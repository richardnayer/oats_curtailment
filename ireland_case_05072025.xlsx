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18. RES Research PSCC 2026 Paper/oats_curtailment/"/>
    </mc:Choice>
  </mc:AlternateContent>
  <xr:revisionPtr revIDLastSave="759" documentId="114_{D301639E-74A8-4237-8286-F30DBF25EDD8}" xr6:coauthVersionLast="47" xr6:coauthVersionMax="47" xr10:uidLastSave="{B97DAB22-CDD9-4F76-8DBA-E3CFB816086B}"/>
  <bookViews>
    <workbookView xWindow="-108" yWindow="-108" windowWidth="23256" windowHeight="13896" tabRatio="809" activeTab="5" xr2:uid="{00000000-000D-0000-FFFF-FFFF00000000}"/>
  </bookViews>
  <sheets>
    <sheet name="bus" sheetId="1" r:id="rId1"/>
    <sheet name="demand" sheetId="2" r:id="rId2"/>
    <sheet name="ts_PD" sheetId="11" r:id="rId3"/>
    <sheet name="ts_VOLL" sheetId="12" r:id="rId4"/>
    <sheet name="branch" sheetId="3" r:id="rId5"/>
    <sheet name="ts_Lmax" sheetId="13" r:id="rId6"/>
    <sheet name="transformer" sheetId="4" r:id="rId7"/>
    <sheet name="ts_TLmax" sheetId="14" r:id="rId8"/>
    <sheet name="generator" sheetId="8" r:id="rId9"/>
    <sheet name="ts_PGLB" sheetId="15" r:id="rId10"/>
    <sheet name="ts_PGUB" sheetId="16" r:id="rId11"/>
    <sheet name="ts_bid" sheetId="17" r:id="rId12"/>
    <sheet name="baseMVA" sheetId="9" r:id="rId13"/>
  </sheets>
  <externalReferences>
    <externalReference r:id="rId14"/>
  </externalReferences>
  <definedNames>
    <definedName name="_xlnm._FilterDatabase" localSheetId="4" hidden="1">branch!$A$1:$I$551</definedName>
    <definedName name="_xlnm._FilterDatabase" localSheetId="0" hidden="1">bus!$A$1:$E$447</definedName>
    <definedName name="_xlnm._FilterDatabase" localSheetId="1" hidden="1">demand!$A$1:$E$1</definedName>
    <definedName name="_xlnm._FilterDatabase" localSheetId="8" hidden="1">generator!$A$1:$R$295</definedName>
    <definedName name="solver_adj" localSheetId="2" hidden="1">ts_PD!$F$5:$G$5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ts_PD!$E$8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ts_PD!$E$7</definedName>
    <definedName name="solver_pre" localSheetId="2" hidden="1">0.000001</definedName>
    <definedName name="solver_rbv" localSheetId="2" hidden="1">2</definedName>
    <definedName name="solver_rel1" localSheetId="2" hidden="1">2</definedName>
    <definedName name="solver_rhs1" localSheetId="2" hidden="1">40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170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B49" i="13" l="1" a="1"/>
  <c r="B49" i="13" s="1"/>
  <c r="B48" i="13" a="1"/>
  <c r="B48" i="13" s="1"/>
  <c r="B47" i="13" a="1"/>
  <c r="B47" i="13" s="1"/>
  <c r="B46" i="13" a="1"/>
  <c r="B46" i="13" s="1"/>
  <c r="B45" i="13" a="1"/>
  <c r="B45" i="13" s="1"/>
  <c r="B44" i="13" a="1"/>
  <c r="B44" i="13" s="1"/>
  <c r="B43" i="13" a="1"/>
  <c r="B43" i="13" s="1"/>
  <c r="B42" i="13" a="1"/>
  <c r="B42" i="13" s="1"/>
  <c r="B41" i="13" a="1"/>
  <c r="B41" i="13" s="1"/>
  <c r="B40" i="13" a="1"/>
  <c r="B40" i="13" s="1"/>
  <c r="B39" i="13" a="1"/>
  <c r="B39" i="13" s="1"/>
  <c r="B38" i="13" a="1"/>
  <c r="B38" i="13" s="1"/>
  <c r="B37" i="13" a="1"/>
  <c r="B37" i="13" s="1"/>
  <c r="B36" i="13" a="1"/>
  <c r="B36" i="13" s="1"/>
  <c r="B35" i="13" a="1"/>
  <c r="B35" i="13" s="1"/>
  <c r="B34" i="13" a="1"/>
  <c r="B34" i="13" s="1"/>
  <c r="B33" i="13" a="1"/>
  <c r="B33" i="13" s="1"/>
  <c r="B32" i="13" a="1"/>
  <c r="B32" i="13" s="1"/>
  <c r="B31" i="13" a="1"/>
  <c r="B31" i="13" s="1"/>
  <c r="B30" i="13" a="1"/>
  <c r="B30" i="13" s="1"/>
  <c r="B29" i="13" a="1"/>
  <c r="B29" i="13" s="1"/>
  <c r="B28" i="13" a="1"/>
  <c r="B28" i="13" s="1"/>
  <c r="B27" i="13" a="1"/>
  <c r="B27" i="13" s="1"/>
  <c r="B26" i="13" a="1"/>
  <c r="B26" i="13" s="1"/>
  <c r="B25" i="13" a="1"/>
  <c r="B25" i="13" s="1"/>
  <c r="B24" i="13" a="1"/>
  <c r="B24" i="13" s="1"/>
  <c r="B23" i="13" a="1"/>
  <c r="B23" i="13" s="1"/>
  <c r="B22" i="13" a="1"/>
  <c r="B22" i="13" s="1"/>
  <c r="B21" i="13" a="1"/>
  <c r="B21" i="13" s="1"/>
  <c r="B20" i="13" a="1"/>
  <c r="B20" i="13" s="1"/>
  <c r="B19" i="13" a="1"/>
  <c r="B19" i="13" s="1"/>
  <c r="B18" i="13" a="1"/>
  <c r="B18" i="13" s="1"/>
  <c r="B17" i="13" a="1"/>
  <c r="B17" i="13" s="1"/>
  <c r="B16" i="13" a="1"/>
  <c r="B16" i="13" s="1"/>
  <c r="B15" i="13" a="1"/>
  <c r="B15" i="13" s="1"/>
  <c r="B14" i="13" a="1"/>
  <c r="B14" i="13" s="1"/>
  <c r="B13" i="13" a="1"/>
  <c r="B13" i="13" s="1"/>
  <c r="B12" i="13" a="1"/>
  <c r="B12" i="13" s="1"/>
  <c r="B11" i="13" a="1"/>
  <c r="B11" i="13" s="1"/>
  <c r="B10" i="13" a="1"/>
  <c r="B10" i="13" s="1"/>
  <c r="B9" i="13" a="1"/>
  <c r="B9" i="13" s="1"/>
  <c r="B8" i="13" a="1"/>
  <c r="B8" i="13" s="1"/>
  <c r="B7" i="13" a="1"/>
  <c r="B7" i="13" s="1"/>
  <c r="B6" i="13" a="1"/>
  <c r="B6" i="13" s="1"/>
  <c r="B5" i="13" a="1"/>
  <c r="B5" i="13" s="1"/>
  <c r="B4" i="13" a="1"/>
  <c r="B4" i="13" s="1"/>
  <c r="B3" i="13" a="1"/>
  <c r="B3" i="13" s="1"/>
  <c r="B2" i="13" a="1"/>
  <c r="B2" i="13" s="1"/>
  <c r="B49" i="14" a="1"/>
  <c r="B49" i="14" s="1"/>
  <c r="B48" i="14" a="1"/>
  <c r="B48" i="14" s="1"/>
  <c r="B47" i="14" a="1"/>
  <c r="B47" i="14" s="1"/>
  <c r="B46" i="14" a="1"/>
  <c r="B46" i="14" s="1"/>
  <c r="B45" i="14" a="1"/>
  <c r="B45" i="14" s="1"/>
  <c r="B44" i="14" a="1"/>
  <c r="B44" i="14" s="1"/>
  <c r="B43" i="14" a="1"/>
  <c r="B43" i="14" s="1"/>
  <c r="B42" i="14" a="1"/>
  <c r="B42" i="14" s="1"/>
  <c r="B41" i="14" a="1"/>
  <c r="B41" i="14" s="1"/>
  <c r="B40" i="14" a="1"/>
  <c r="B40" i="14" s="1"/>
  <c r="B39" i="14" a="1"/>
  <c r="B39" i="14" s="1"/>
  <c r="B38" i="14" a="1"/>
  <c r="B38" i="14" s="1"/>
  <c r="B37" i="14" a="1"/>
  <c r="B37" i="14" s="1"/>
  <c r="B36" i="14" a="1"/>
  <c r="B36" i="14" s="1"/>
  <c r="B35" i="14" a="1"/>
  <c r="B35" i="14" s="1"/>
  <c r="B34" i="14" a="1"/>
  <c r="B34" i="14" s="1"/>
  <c r="B33" i="14" a="1"/>
  <c r="B33" i="14" s="1"/>
  <c r="B32" i="14" a="1"/>
  <c r="B32" i="14" s="1"/>
  <c r="B31" i="14" a="1"/>
  <c r="B31" i="14" s="1"/>
  <c r="B30" i="14" a="1"/>
  <c r="B30" i="14" s="1"/>
  <c r="B29" i="14" a="1"/>
  <c r="B29" i="14" s="1"/>
  <c r="B28" i="14" a="1"/>
  <c r="B28" i="14" s="1"/>
  <c r="B27" i="14" a="1"/>
  <c r="B27" i="14" s="1"/>
  <c r="B26" i="14" a="1"/>
  <c r="B26" i="14" s="1"/>
  <c r="B25" i="14" a="1"/>
  <c r="B25" i="14" s="1"/>
  <c r="B24" i="14" a="1"/>
  <c r="B24" i="14" s="1"/>
  <c r="B23" i="14" a="1"/>
  <c r="B23" i="14" s="1"/>
  <c r="B22" i="14" a="1"/>
  <c r="B22" i="14" s="1"/>
  <c r="B21" i="14" a="1"/>
  <c r="B21" i="14" s="1"/>
  <c r="B20" i="14" a="1"/>
  <c r="B20" i="14" s="1"/>
  <c r="B19" i="14" a="1"/>
  <c r="B19" i="14" s="1"/>
  <c r="B18" i="14" a="1"/>
  <c r="B18" i="14" s="1"/>
  <c r="B17" i="14" a="1"/>
  <c r="B17" i="14" s="1"/>
  <c r="B16" i="14" a="1"/>
  <c r="B16" i="14" s="1"/>
  <c r="B15" i="14" a="1"/>
  <c r="B15" i="14" s="1"/>
  <c r="B14" i="14" a="1"/>
  <c r="B14" i="14" s="1"/>
  <c r="B13" i="14" a="1"/>
  <c r="B13" i="14" s="1"/>
  <c r="B12" i="14" a="1"/>
  <c r="B12" i="14" s="1"/>
  <c r="B11" i="14" a="1"/>
  <c r="B11" i="14" s="1"/>
  <c r="B10" i="14" a="1"/>
  <c r="B10" i="14" s="1"/>
  <c r="B9" i="14" a="1"/>
  <c r="B9" i="14" s="1"/>
  <c r="B8" i="14" a="1"/>
  <c r="B8" i="14" s="1"/>
  <c r="B7" i="14" a="1"/>
  <c r="B7" i="14" s="1"/>
  <c r="B6" i="14" a="1"/>
  <c r="B6" i="14" s="1"/>
  <c r="B5" i="14" a="1"/>
  <c r="B5" i="14" s="1"/>
  <c r="B4" i="14" a="1"/>
  <c r="B4" i="14" s="1"/>
  <c r="B3" i="14" a="1"/>
  <c r="B3" i="14" s="1"/>
  <c r="B2" i="14" a="1"/>
  <c r="B2" i="14" s="1"/>
  <c r="B1" i="13" a="1"/>
  <c r="B1" i="13" s="1"/>
  <c r="KC49" i="17"/>
  <c r="KB49" i="17"/>
  <c r="KA49" i="17"/>
  <c r="JZ49" i="17"/>
  <c r="JY49" i="17"/>
  <c r="JU49" i="17"/>
  <c r="JG49" i="17"/>
  <c r="JB49" i="17"/>
  <c r="JA49" i="17"/>
  <c r="IV49" i="17"/>
  <c r="IU49" i="17"/>
  <c r="IT49" i="17"/>
  <c r="IS49" i="17"/>
  <c r="IR49" i="17"/>
  <c r="IQ49" i="17"/>
  <c r="IP49" i="17"/>
  <c r="IO49" i="17"/>
  <c r="IN49" i="17"/>
  <c r="IM49" i="17"/>
  <c r="IL49" i="17"/>
  <c r="IK49" i="17"/>
  <c r="IJ49" i="17"/>
  <c r="II49" i="17"/>
  <c r="IH49" i="17"/>
  <c r="IG49" i="17"/>
  <c r="IF49" i="17"/>
  <c r="HE49" i="17"/>
  <c r="HD49" i="17"/>
  <c r="HC49" i="17"/>
  <c r="HB49" i="17"/>
  <c r="HA49" i="17"/>
  <c r="GZ49" i="17"/>
  <c r="GY49" i="17"/>
  <c r="GX49" i="17"/>
  <c r="GW49" i="17"/>
  <c r="GV49" i="17"/>
  <c r="GU49" i="17"/>
  <c r="GT49" i="17"/>
  <c r="GS49" i="17"/>
  <c r="GR49" i="17"/>
  <c r="GQ49" i="17"/>
  <c r="GP49" i="17"/>
  <c r="GO49" i="17"/>
  <c r="GN49" i="17"/>
  <c r="GM49" i="17"/>
  <c r="GL49" i="17"/>
  <c r="GK49" i="17"/>
  <c r="GJ49" i="17"/>
  <c r="GI49" i="17"/>
  <c r="GH49" i="17"/>
  <c r="GG49" i="17"/>
  <c r="GF49" i="17"/>
  <c r="GE49" i="17"/>
  <c r="GD49" i="17"/>
  <c r="GC49" i="17"/>
  <c r="GB49" i="17"/>
  <c r="GA49" i="17"/>
  <c r="FZ49" i="17"/>
  <c r="FY49" i="17"/>
  <c r="FX49" i="17"/>
  <c r="FW49" i="17"/>
  <c r="FV49" i="17"/>
  <c r="FU49" i="17"/>
  <c r="FT49" i="17"/>
  <c r="FS49" i="17"/>
  <c r="FR49" i="17"/>
  <c r="FQ49" i="17"/>
  <c r="FP49" i="17"/>
  <c r="FO49" i="17"/>
  <c r="FN49" i="17"/>
  <c r="FM49" i="17"/>
  <c r="FL49" i="17"/>
  <c r="FK49" i="17"/>
  <c r="FJ49" i="17"/>
  <c r="FI49" i="17"/>
  <c r="FH49" i="17"/>
  <c r="FG49" i="17"/>
  <c r="FF49" i="17"/>
  <c r="FE49" i="17"/>
  <c r="FD49" i="17"/>
  <c r="FC49" i="17"/>
  <c r="FB49" i="17"/>
  <c r="FA49" i="17"/>
  <c r="EZ49" i="17"/>
  <c r="EY49" i="17"/>
  <c r="EX49" i="17"/>
  <c r="EW49" i="17"/>
  <c r="EV49" i="17"/>
  <c r="EU49" i="17"/>
  <c r="ET49" i="17"/>
  <c r="ES49" i="17"/>
  <c r="ER49" i="17"/>
  <c r="EQ49" i="17"/>
  <c r="EP49" i="17"/>
  <c r="EO49" i="17"/>
  <c r="EN49" i="17"/>
  <c r="EM49" i="17"/>
  <c r="EL49" i="17"/>
  <c r="EK49" i="17"/>
  <c r="EJ49" i="17"/>
  <c r="EI49" i="17"/>
  <c r="EH49" i="17"/>
  <c r="EG49" i="17"/>
  <c r="EF49" i="17"/>
  <c r="EE49" i="17"/>
  <c r="ED49" i="17"/>
  <c r="EC49" i="17"/>
  <c r="EB49" i="17"/>
  <c r="EA49" i="17"/>
  <c r="DZ49" i="17"/>
  <c r="DY49" i="17"/>
  <c r="DX49" i="17"/>
  <c r="DW49" i="17"/>
  <c r="DV49" i="17"/>
  <c r="DU49" i="17"/>
  <c r="DT49" i="17"/>
  <c r="DS49" i="17"/>
  <c r="DR49" i="17"/>
  <c r="DQ49" i="17"/>
  <c r="DP49" i="17"/>
  <c r="DO49" i="17"/>
  <c r="DN49" i="17"/>
  <c r="DM49" i="17"/>
  <c r="DL49" i="17"/>
  <c r="DK49" i="17"/>
  <c r="DJ49" i="17"/>
  <c r="DI49" i="17"/>
  <c r="DH49" i="17"/>
  <c r="DG49" i="17"/>
  <c r="DF49" i="17"/>
  <c r="DE49" i="17"/>
  <c r="DD49" i="17"/>
  <c r="DC49" i="17"/>
  <c r="DB49" i="17"/>
  <c r="DA49" i="17"/>
  <c r="CZ49" i="17"/>
  <c r="CY49" i="17"/>
  <c r="CX49" i="17"/>
  <c r="CW49" i="17"/>
  <c r="CV49" i="17"/>
  <c r="CU49" i="17"/>
  <c r="CT49" i="17"/>
  <c r="CS49" i="17"/>
  <c r="CR49" i="17"/>
  <c r="CQ49" i="17"/>
  <c r="CP49" i="17"/>
  <c r="CO49" i="17"/>
  <c r="CN49" i="17"/>
  <c r="CM49" i="17"/>
  <c r="CL49" i="17"/>
  <c r="CK49" i="17"/>
  <c r="CJ49" i="17"/>
  <c r="CI49" i="17"/>
  <c r="CH49" i="17"/>
  <c r="CG49" i="17"/>
  <c r="CF49" i="17"/>
  <c r="CE49" i="17"/>
  <c r="CD49" i="17"/>
  <c r="CC49" i="17"/>
  <c r="CB49" i="17"/>
  <c r="CA49" i="17"/>
  <c r="BZ49" i="17"/>
  <c r="BY49" i="17"/>
  <c r="BX49" i="17"/>
  <c r="BW49" i="17"/>
  <c r="BV49" i="17"/>
  <c r="BU49" i="17"/>
  <c r="BT49" i="17"/>
  <c r="BS49" i="17"/>
  <c r="BR49" i="17"/>
  <c r="BQ49" i="17"/>
  <c r="BP49" i="17"/>
  <c r="BO49" i="17"/>
  <c r="BN49" i="17"/>
  <c r="BM49" i="17"/>
  <c r="BL49" i="17"/>
  <c r="BK49" i="17"/>
  <c r="BJ49" i="17"/>
  <c r="BI49" i="17"/>
  <c r="BH49" i="17"/>
  <c r="BG49" i="17"/>
  <c r="BF49" i="17"/>
  <c r="BE49" i="17"/>
  <c r="BD49" i="17"/>
  <c r="BC49" i="17"/>
  <c r="BB49" i="17"/>
  <c r="BA49" i="17"/>
  <c r="AZ49" i="17"/>
  <c r="AY49" i="17"/>
  <c r="AX49" i="17"/>
  <c r="AW49" i="17"/>
  <c r="AV49" i="17"/>
  <c r="AU49" i="17"/>
  <c r="AT49" i="17"/>
  <c r="AS49" i="17"/>
  <c r="AR49" i="17"/>
  <c r="AQ49" i="17"/>
  <c r="AP49" i="17"/>
  <c r="AO49" i="17"/>
  <c r="AN49" i="17"/>
  <c r="AM49" i="17"/>
  <c r="AL49" i="17"/>
  <c r="AK49" i="17"/>
  <c r="AJ49" i="17"/>
  <c r="AI49" i="17"/>
  <c r="AH49" i="17"/>
  <c r="AG49" i="17"/>
  <c r="AF49" i="17"/>
  <c r="AE49" i="17"/>
  <c r="AD49" i="17"/>
  <c r="AC49" i="17"/>
  <c r="AB49" i="17"/>
  <c r="AA49" i="17"/>
  <c r="Z49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KC48" i="17"/>
  <c r="KB48" i="17"/>
  <c r="KA48" i="17"/>
  <c r="JZ48" i="17"/>
  <c r="JY48" i="17"/>
  <c r="JU48" i="17"/>
  <c r="JG48" i="17"/>
  <c r="JB48" i="17"/>
  <c r="JA48" i="17"/>
  <c r="IV48" i="17"/>
  <c r="IU48" i="17"/>
  <c r="IT48" i="17"/>
  <c r="IS48" i="17"/>
  <c r="IR48" i="17"/>
  <c r="IQ48" i="17"/>
  <c r="IP48" i="17"/>
  <c r="IO48" i="17"/>
  <c r="IN48" i="17"/>
  <c r="IM48" i="17"/>
  <c r="IL48" i="17"/>
  <c r="IK48" i="17"/>
  <c r="IJ48" i="17"/>
  <c r="II48" i="17"/>
  <c r="IH48" i="17"/>
  <c r="IG48" i="17"/>
  <c r="IF48" i="17"/>
  <c r="HE48" i="17"/>
  <c r="HD48" i="17"/>
  <c r="HC48" i="17"/>
  <c r="HB48" i="17"/>
  <c r="HA48" i="17"/>
  <c r="GZ48" i="17"/>
  <c r="GY48" i="17"/>
  <c r="GX48" i="17"/>
  <c r="GW48" i="17"/>
  <c r="GV48" i="17"/>
  <c r="GU48" i="17"/>
  <c r="GT48" i="17"/>
  <c r="GS48" i="17"/>
  <c r="GR48" i="17"/>
  <c r="GQ48" i="17"/>
  <c r="GP48" i="17"/>
  <c r="GO48" i="17"/>
  <c r="GN48" i="17"/>
  <c r="GM48" i="17"/>
  <c r="GL48" i="17"/>
  <c r="GK48" i="17"/>
  <c r="GJ48" i="17"/>
  <c r="GI48" i="17"/>
  <c r="GH48" i="17"/>
  <c r="GG48" i="17"/>
  <c r="GF48" i="17"/>
  <c r="GE48" i="17"/>
  <c r="GD48" i="17"/>
  <c r="GC48" i="17"/>
  <c r="GB48" i="17"/>
  <c r="GA48" i="17"/>
  <c r="FZ48" i="17"/>
  <c r="FY48" i="17"/>
  <c r="FX48" i="17"/>
  <c r="FW48" i="17"/>
  <c r="FV48" i="17"/>
  <c r="FU48" i="17"/>
  <c r="FT48" i="17"/>
  <c r="FS48" i="17"/>
  <c r="FR48" i="17"/>
  <c r="FQ48" i="17"/>
  <c r="FP48" i="17"/>
  <c r="FO48" i="17"/>
  <c r="FN48" i="17"/>
  <c r="FM48" i="17"/>
  <c r="FL48" i="17"/>
  <c r="FK48" i="17"/>
  <c r="FJ48" i="17"/>
  <c r="FI48" i="17"/>
  <c r="FH48" i="17"/>
  <c r="FG48" i="17"/>
  <c r="FF48" i="17"/>
  <c r="FE48" i="17"/>
  <c r="FD48" i="17"/>
  <c r="FC48" i="17"/>
  <c r="FB48" i="17"/>
  <c r="FA48" i="17"/>
  <c r="EZ48" i="17"/>
  <c r="EY48" i="17"/>
  <c r="EX48" i="17"/>
  <c r="EW48" i="17"/>
  <c r="EV48" i="17"/>
  <c r="EU48" i="17"/>
  <c r="ET48" i="17"/>
  <c r="ES48" i="17"/>
  <c r="ER48" i="17"/>
  <c r="EQ48" i="17"/>
  <c r="EP48" i="17"/>
  <c r="EO48" i="17"/>
  <c r="EN48" i="17"/>
  <c r="EM48" i="17"/>
  <c r="EL48" i="17"/>
  <c r="EK48" i="17"/>
  <c r="EJ48" i="17"/>
  <c r="EI48" i="17"/>
  <c r="EH48" i="17"/>
  <c r="EG48" i="17"/>
  <c r="EF48" i="17"/>
  <c r="EE48" i="17"/>
  <c r="ED48" i="17"/>
  <c r="EC48" i="17"/>
  <c r="EB48" i="17"/>
  <c r="EA48" i="17"/>
  <c r="DZ48" i="17"/>
  <c r="DY48" i="17"/>
  <c r="DX48" i="17"/>
  <c r="DW48" i="17"/>
  <c r="DV48" i="17"/>
  <c r="DU48" i="17"/>
  <c r="DT48" i="17"/>
  <c r="DS48" i="17"/>
  <c r="DR48" i="17"/>
  <c r="DQ48" i="17"/>
  <c r="DP48" i="17"/>
  <c r="DO48" i="17"/>
  <c r="DN48" i="17"/>
  <c r="DM48" i="17"/>
  <c r="DL48" i="17"/>
  <c r="DK48" i="17"/>
  <c r="DJ48" i="17"/>
  <c r="DI48" i="17"/>
  <c r="DH48" i="17"/>
  <c r="DG48" i="17"/>
  <c r="DF48" i="17"/>
  <c r="DE48" i="17"/>
  <c r="DD48" i="17"/>
  <c r="DC48" i="17"/>
  <c r="DB48" i="17"/>
  <c r="DA48" i="17"/>
  <c r="CZ48" i="17"/>
  <c r="CY48" i="17"/>
  <c r="CX48" i="17"/>
  <c r="CW48" i="17"/>
  <c r="CV48" i="17"/>
  <c r="CU48" i="17"/>
  <c r="CT48" i="17"/>
  <c r="CS48" i="17"/>
  <c r="CR48" i="17"/>
  <c r="CQ48" i="17"/>
  <c r="CP48" i="17"/>
  <c r="CO48" i="17"/>
  <c r="CN48" i="17"/>
  <c r="CM48" i="17"/>
  <c r="CL48" i="17"/>
  <c r="CK48" i="17"/>
  <c r="CJ48" i="17"/>
  <c r="CI48" i="17"/>
  <c r="CH48" i="17"/>
  <c r="CG48" i="17"/>
  <c r="CF48" i="17"/>
  <c r="CE48" i="17"/>
  <c r="CD48" i="17"/>
  <c r="CC48" i="17"/>
  <c r="CB48" i="17"/>
  <c r="CA48" i="17"/>
  <c r="BZ48" i="17"/>
  <c r="BY48" i="17"/>
  <c r="BX48" i="17"/>
  <c r="BW48" i="17"/>
  <c r="BV48" i="17"/>
  <c r="BU48" i="17"/>
  <c r="BT48" i="17"/>
  <c r="BS48" i="17"/>
  <c r="BR48" i="17"/>
  <c r="BQ48" i="17"/>
  <c r="BP48" i="17"/>
  <c r="BO48" i="17"/>
  <c r="BN48" i="17"/>
  <c r="BM48" i="17"/>
  <c r="BL48" i="17"/>
  <c r="BK48" i="17"/>
  <c r="BJ48" i="17"/>
  <c r="BI48" i="17"/>
  <c r="BH48" i="17"/>
  <c r="BG48" i="17"/>
  <c r="BF48" i="17"/>
  <c r="BE48" i="17"/>
  <c r="BD48" i="17"/>
  <c r="BC48" i="17"/>
  <c r="BB48" i="17"/>
  <c r="BA48" i="17"/>
  <c r="AZ48" i="17"/>
  <c r="AY48" i="17"/>
  <c r="AX48" i="17"/>
  <c r="AW48" i="17"/>
  <c r="AV48" i="17"/>
  <c r="AU48" i="17"/>
  <c r="AT48" i="17"/>
  <c r="AS48" i="17"/>
  <c r="AR48" i="17"/>
  <c r="AQ48" i="17"/>
  <c r="AP48" i="17"/>
  <c r="AO48" i="17"/>
  <c r="AN48" i="17"/>
  <c r="AM48" i="17"/>
  <c r="AL48" i="17"/>
  <c r="AK48" i="17"/>
  <c r="AJ48" i="17"/>
  <c r="AI48" i="17"/>
  <c r="AH48" i="17"/>
  <c r="AG48" i="17"/>
  <c r="AF48" i="17"/>
  <c r="AE48" i="17"/>
  <c r="AD48" i="17"/>
  <c r="AC48" i="17"/>
  <c r="AB48" i="17"/>
  <c r="AA48" i="17"/>
  <c r="Z48" i="17"/>
  <c r="Y48" i="17"/>
  <c r="X48" i="17"/>
  <c r="W48" i="17"/>
  <c r="V48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KC47" i="17"/>
  <c r="KB47" i="17"/>
  <c r="KA47" i="17"/>
  <c r="JZ47" i="17"/>
  <c r="JY47" i="17"/>
  <c r="JU47" i="17"/>
  <c r="JG47" i="17"/>
  <c r="JB47" i="17"/>
  <c r="JA47" i="17"/>
  <c r="IV47" i="17"/>
  <c r="IU47" i="17"/>
  <c r="IT47" i="17"/>
  <c r="IS47" i="17"/>
  <c r="IR47" i="17"/>
  <c r="IQ47" i="17"/>
  <c r="IP47" i="17"/>
  <c r="IO47" i="17"/>
  <c r="IN47" i="17"/>
  <c r="IM47" i="17"/>
  <c r="IL47" i="17"/>
  <c r="IK47" i="17"/>
  <c r="IJ47" i="17"/>
  <c r="II47" i="17"/>
  <c r="IH47" i="17"/>
  <c r="IG47" i="17"/>
  <c r="IF47" i="17"/>
  <c r="HE47" i="17"/>
  <c r="HD47" i="17"/>
  <c r="HC47" i="17"/>
  <c r="HB47" i="17"/>
  <c r="HA47" i="17"/>
  <c r="GZ47" i="17"/>
  <c r="GY47" i="17"/>
  <c r="GX47" i="17"/>
  <c r="GW47" i="17"/>
  <c r="GV47" i="17"/>
  <c r="GU47" i="17"/>
  <c r="GT47" i="17"/>
  <c r="GS47" i="17"/>
  <c r="GR47" i="17"/>
  <c r="GQ47" i="17"/>
  <c r="GP47" i="17"/>
  <c r="GO47" i="17"/>
  <c r="GN47" i="17"/>
  <c r="GM47" i="17"/>
  <c r="GL47" i="17"/>
  <c r="GK47" i="17"/>
  <c r="GJ47" i="17"/>
  <c r="GI47" i="17"/>
  <c r="GH47" i="17"/>
  <c r="GG47" i="17"/>
  <c r="GF47" i="17"/>
  <c r="GE47" i="17"/>
  <c r="GD47" i="17"/>
  <c r="GC47" i="17"/>
  <c r="GB47" i="17"/>
  <c r="GA47" i="17"/>
  <c r="FZ47" i="17"/>
  <c r="FY47" i="17"/>
  <c r="FX47" i="17"/>
  <c r="FW47" i="17"/>
  <c r="FV47" i="17"/>
  <c r="FU47" i="17"/>
  <c r="FT47" i="17"/>
  <c r="FS47" i="17"/>
  <c r="FR47" i="17"/>
  <c r="FQ47" i="17"/>
  <c r="FP47" i="17"/>
  <c r="FO47" i="17"/>
  <c r="FN47" i="17"/>
  <c r="FM47" i="17"/>
  <c r="FL47" i="17"/>
  <c r="FK47" i="17"/>
  <c r="FJ47" i="17"/>
  <c r="FI47" i="17"/>
  <c r="FH47" i="17"/>
  <c r="FG47" i="17"/>
  <c r="FF47" i="17"/>
  <c r="FE47" i="17"/>
  <c r="FD47" i="17"/>
  <c r="FC47" i="17"/>
  <c r="FB47" i="17"/>
  <c r="FA47" i="17"/>
  <c r="EZ47" i="17"/>
  <c r="EY47" i="17"/>
  <c r="EX47" i="17"/>
  <c r="EW47" i="17"/>
  <c r="EV47" i="17"/>
  <c r="EU47" i="17"/>
  <c r="ET47" i="17"/>
  <c r="ES47" i="17"/>
  <c r="ER47" i="17"/>
  <c r="EQ47" i="17"/>
  <c r="EP47" i="17"/>
  <c r="EO47" i="17"/>
  <c r="EN47" i="17"/>
  <c r="EM47" i="17"/>
  <c r="EL47" i="17"/>
  <c r="EK47" i="17"/>
  <c r="EJ47" i="17"/>
  <c r="EI47" i="17"/>
  <c r="EH47" i="17"/>
  <c r="EG47" i="17"/>
  <c r="EF47" i="17"/>
  <c r="EE47" i="17"/>
  <c r="ED47" i="17"/>
  <c r="EC47" i="17"/>
  <c r="EB47" i="17"/>
  <c r="EA47" i="17"/>
  <c r="DZ47" i="17"/>
  <c r="DY47" i="17"/>
  <c r="DX47" i="17"/>
  <c r="DW47" i="17"/>
  <c r="DV47" i="17"/>
  <c r="DU47" i="17"/>
  <c r="DT47" i="17"/>
  <c r="DS47" i="17"/>
  <c r="DR47" i="17"/>
  <c r="DQ47" i="17"/>
  <c r="DP47" i="17"/>
  <c r="DO47" i="17"/>
  <c r="DN47" i="17"/>
  <c r="DM47" i="17"/>
  <c r="DL47" i="17"/>
  <c r="DK47" i="17"/>
  <c r="DJ47" i="17"/>
  <c r="DI47" i="17"/>
  <c r="DH47" i="17"/>
  <c r="DG47" i="17"/>
  <c r="DF47" i="17"/>
  <c r="DE47" i="17"/>
  <c r="DD47" i="17"/>
  <c r="DC47" i="17"/>
  <c r="DB47" i="17"/>
  <c r="DA47" i="17"/>
  <c r="CZ47" i="17"/>
  <c r="CY47" i="17"/>
  <c r="CX47" i="17"/>
  <c r="CW47" i="17"/>
  <c r="CV47" i="17"/>
  <c r="CU47" i="17"/>
  <c r="CT47" i="17"/>
  <c r="CS47" i="17"/>
  <c r="CR47" i="17"/>
  <c r="CQ47" i="17"/>
  <c r="CP47" i="17"/>
  <c r="CO47" i="17"/>
  <c r="CN47" i="17"/>
  <c r="CM47" i="17"/>
  <c r="CL47" i="17"/>
  <c r="CK47" i="17"/>
  <c r="CJ47" i="17"/>
  <c r="CI47" i="17"/>
  <c r="CH47" i="17"/>
  <c r="CG47" i="17"/>
  <c r="CF47" i="17"/>
  <c r="CE47" i="17"/>
  <c r="CD47" i="17"/>
  <c r="CC47" i="17"/>
  <c r="CB47" i="17"/>
  <c r="CA47" i="17"/>
  <c r="BZ47" i="17"/>
  <c r="BY47" i="17"/>
  <c r="BX47" i="17"/>
  <c r="BW47" i="17"/>
  <c r="BV47" i="17"/>
  <c r="BU47" i="17"/>
  <c r="BT47" i="17"/>
  <c r="BS47" i="17"/>
  <c r="BR47" i="17"/>
  <c r="BQ47" i="17"/>
  <c r="BP47" i="17"/>
  <c r="BO47" i="17"/>
  <c r="BN47" i="17"/>
  <c r="BM47" i="17"/>
  <c r="BL47" i="17"/>
  <c r="BK47" i="17"/>
  <c r="BJ47" i="17"/>
  <c r="BI47" i="17"/>
  <c r="BH47" i="17"/>
  <c r="BG47" i="17"/>
  <c r="BF47" i="17"/>
  <c r="BE47" i="17"/>
  <c r="BD47" i="17"/>
  <c r="BC47" i="17"/>
  <c r="BB47" i="17"/>
  <c r="BA47" i="17"/>
  <c r="AZ47" i="17"/>
  <c r="AY47" i="17"/>
  <c r="AX47" i="17"/>
  <c r="AW47" i="17"/>
  <c r="AV47" i="17"/>
  <c r="AU47" i="17"/>
  <c r="AT47" i="17"/>
  <c r="AS47" i="17"/>
  <c r="AR47" i="17"/>
  <c r="AQ47" i="17"/>
  <c r="AP47" i="17"/>
  <c r="AO47" i="17"/>
  <c r="AN47" i="17"/>
  <c r="AM47" i="17"/>
  <c r="AL47" i="17"/>
  <c r="AK47" i="17"/>
  <c r="AJ47" i="17"/>
  <c r="AI47" i="17"/>
  <c r="AH47" i="17"/>
  <c r="AG47" i="17"/>
  <c r="AF47" i="17"/>
  <c r="AE47" i="17"/>
  <c r="AD47" i="17"/>
  <c r="AC47" i="17"/>
  <c r="AB47" i="17"/>
  <c r="AA47" i="17"/>
  <c r="Z47" i="17"/>
  <c r="Y47" i="17"/>
  <c r="X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KC46" i="17"/>
  <c r="KB46" i="17"/>
  <c r="KA46" i="17"/>
  <c r="JZ46" i="17"/>
  <c r="JY46" i="17"/>
  <c r="JU46" i="17"/>
  <c r="JG46" i="17"/>
  <c r="JB46" i="17"/>
  <c r="JA46" i="17"/>
  <c r="IV46" i="17"/>
  <c r="IU46" i="17"/>
  <c r="IT46" i="17"/>
  <c r="IS46" i="17"/>
  <c r="IR46" i="17"/>
  <c r="IQ46" i="17"/>
  <c r="IP46" i="17"/>
  <c r="IO46" i="17"/>
  <c r="IN46" i="17"/>
  <c r="IM46" i="17"/>
  <c r="IL46" i="17"/>
  <c r="IK46" i="17"/>
  <c r="IJ46" i="17"/>
  <c r="II46" i="17"/>
  <c r="IH46" i="17"/>
  <c r="IG46" i="17"/>
  <c r="IF46" i="17"/>
  <c r="HE46" i="17"/>
  <c r="HD46" i="17"/>
  <c r="HC46" i="17"/>
  <c r="HB46" i="17"/>
  <c r="HA46" i="17"/>
  <c r="GZ46" i="17"/>
  <c r="GY46" i="17"/>
  <c r="GX46" i="17"/>
  <c r="GW46" i="17"/>
  <c r="GV46" i="17"/>
  <c r="GU46" i="17"/>
  <c r="GT46" i="17"/>
  <c r="GS46" i="17"/>
  <c r="GR46" i="17"/>
  <c r="GQ46" i="17"/>
  <c r="GP46" i="17"/>
  <c r="GO46" i="17"/>
  <c r="GN46" i="17"/>
  <c r="GM46" i="17"/>
  <c r="GL46" i="17"/>
  <c r="GK46" i="17"/>
  <c r="GJ46" i="17"/>
  <c r="GI46" i="17"/>
  <c r="GH46" i="17"/>
  <c r="GG46" i="17"/>
  <c r="GF46" i="17"/>
  <c r="GE46" i="17"/>
  <c r="GD46" i="17"/>
  <c r="GC46" i="17"/>
  <c r="GB46" i="17"/>
  <c r="GA46" i="17"/>
  <c r="FZ46" i="17"/>
  <c r="FY46" i="17"/>
  <c r="FX46" i="17"/>
  <c r="FW46" i="17"/>
  <c r="FV46" i="17"/>
  <c r="FU46" i="17"/>
  <c r="FT46" i="17"/>
  <c r="FS46" i="17"/>
  <c r="FR46" i="17"/>
  <c r="FQ46" i="17"/>
  <c r="FP46" i="17"/>
  <c r="FO46" i="17"/>
  <c r="FN46" i="17"/>
  <c r="FM46" i="17"/>
  <c r="FL46" i="17"/>
  <c r="FK46" i="17"/>
  <c r="FJ46" i="17"/>
  <c r="FI46" i="17"/>
  <c r="FH46" i="17"/>
  <c r="FG46" i="17"/>
  <c r="FF46" i="17"/>
  <c r="FE46" i="17"/>
  <c r="FD46" i="17"/>
  <c r="FC46" i="17"/>
  <c r="FB46" i="17"/>
  <c r="FA46" i="17"/>
  <c r="EZ46" i="17"/>
  <c r="EY46" i="17"/>
  <c r="EX46" i="17"/>
  <c r="EW46" i="17"/>
  <c r="EV46" i="17"/>
  <c r="EU46" i="17"/>
  <c r="ET46" i="17"/>
  <c r="ES46" i="17"/>
  <c r="ER46" i="17"/>
  <c r="EQ46" i="17"/>
  <c r="EP46" i="17"/>
  <c r="EO46" i="17"/>
  <c r="EN46" i="17"/>
  <c r="EM46" i="17"/>
  <c r="EL46" i="17"/>
  <c r="EK46" i="17"/>
  <c r="EJ46" i="17"/>
  <c r="EI46" i="17"/>
  <c r="EH46" i="17"/>
  <c r="EG46" i="17"/>
  <c r="EF46" i="17"/>
  <c r="EE46" i="17"/>
  <c r="ED46" i="17"/>
  <c r="EC46" i="17"/>
  <c r="EB46" i="17"/>
  <c r="EA46" i="17"/>
  <c r="DZ46" i="17"/>
  <c r="DY46" i="17"/>
  <c r="DX46" i="17"/>
  <c r="DW46" i="17"/>
  <c r="DV46" i="17"/>
  <c r="DU46" i="17"/>
  <c r="DT46" i="17"/>
  <c r="DS46" i="17"/>
  <c r="DR46" i="17"/>
  <c r="DQ46" i="17"/>
  <c r="DP46" i="17"/>
  <c r="DO46" i="17"/>
  <c r="DN46" i="17"/>
  <c r="DM46" i="17"/>
  <c r="DL46" i="17"/>
  <c r="DK46" i="17"/>
  <c r="DJ46" i="17"/>
  <c r="DI46" i="17"/>
  <c r="DH46" i="17"/>
  <c r="DG46" i="17"/>
  <c r="DF46" i="17"/>
  <c r="DE46" i="17"/>
  <c r="DD46" i="17"/>
  <c r="DC46" i="17"/>
  <c r="DB46" i="17"/>
  <c r="DA46" i="17"/>
  <c r="CZ46" i="17"/>
  <c r="CY46" i="17"/>
  <c r="CX46" i="17"/>
  <c r="CW46" i="17"/>
  <c r="CV46" i="17"/>
  <c r="CU46" i="17"/>
  <c r="CT46" i="17"/>
  <c r="CS46" i="17"/>
  <c r="CR46" i="17"/>
  <c r="CQ46" i="17"/>
  <c r="CP46" i="17"/>
  <c r="CO46" i="17"/>
  <c r="CN46" i="17"/>
  <c r="CM46" i="17"/>
  <c r="CL46" i="17"/>
  <c r="CK46" i="17"/>
  <c r="CJ46" i="17"/>
  <c r="CI46" i="17"/>
  <c r="CH46" i="17"/>
  <c r="CG46" i="17"/>
  <c r="CF46" i="17"/>
  <c r="CE46" i="17"/>
  <c r="CD46" i="17"/>
  <c r="CC46" i="17"/>
  <c r="CB46" i="17"/>
  <c r="CA46" i="17"/>
  <c r="BZ46" i="17"/>
  <c r="BY46" i="17"/>
  <c r="BX46" i="17"/>
  <c r="BW46" i="17"/>
  <c r="BV46" i="17"/>
  <c r="BU46" i="17"/>
  <c r="BT46" i="17"/>
  <c r="BS46" i="17"/>
  <c r="BR46" i="17"/>
  <c r="BQ46" i="17"/>
  <c r="BP46" i="17"/>
  <c r="BO46" i="17"/>
  <c r="BN46" i="17"/>
  <c r="BM46" i="17"/>
  <c r="BL46" i="17"/>
  <c r="BK46" i="17"/>
  <c r="BJ46" i="17"/>
  <c r="BI46" i="17"/>
  <c r="BH46" i="17"/>
  <c r="BG46" i="17"/>
  <c r="BF46" i="17"/>
  <c r="BE46" i="17"/>
  <c r="BD46" i="17"/>
  <c r="BC46" i="17"/>
  <c r="BB46" i="17"/>
  <c r="BA46" i="17"/>
  <c r="AZ46" i="17"/>
  <c r="AY46" i="17"/>
  <c r="AX46" i="17"/>
  <c r="AW46" i="17"/>
  <c r="AV46" i="17"/>
  <c r="AU46" i="17"/>
  <c r="AT46" i="17"/>
  <c r="AS46" i="17"/>
  <c r="AR46" i="17"/>
  <c r="AQ46" i="17"/>
  <c r="AP46" i="17"/>
  <c r="AO46" i="17"/>
  <c r="AN46" i="17"/>
  <c r="AM46" i="17"/>
  <c r="AL46" i="17"/>
  <c r="AK46" i="17"/>
  <c r="AJ46" i="17"/>
  <c r="AI46" i="17"/>
  <c r="AH46" i="17"/>
  <c r="AG46" i="17"/>
  <c r="AF46" i="17"/>
  <c r="AE46" i="17"/>
  <c r="AD46" i="17"/>
  <c r="AC46" i="17"/>
  <c r="AB46" i="17"/>
  <c r="AA46" i="17"/>
  <c r="Z46" i="17"/>
  <c r="Y46" i="17"/>
  <c r="X46" i="17"/>
  <c r="W46" i="17"/>
  <c r="V46" i="17"/>
  <c r="U46" i="17"/>
  <c r="T46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KC45" i="17"/>
  <c r="KB45" i="17"/>
  <c r="KA45" i="17"/>
  <c r="JZ45" i="17"/>
  <c r="JY45" i="17"/>
  <c r="JU45" i="17"/>
  <c r="JG45" i="17"/>
  <c r="JB45" i="17"/>
  <c r="JA45" i="17"/>
  <c r="IV45" i="17"/>
  <c r="IU45" i="17"/>
  <c r="IT45" i="17"/>
  <c r="IS45" i="17"/>
  <c r="IR45" i="17"/>
  <c r="IQ45" i="17"/>
  <c r="IP45" i="17"/>
  <c r="IO45" i="17"/>
  <c r="IN45" i="17"/>
  <c r="IM45" i="17"/>
  <c r="IL45" i="17"/>
  <c r="IK45" i="17"/>
  <c r="IJ45" i="17"/>
  <c r="II45" i="17"/>
  <c r="IH45" i="17"/>
  <c r="IG45" i="17"/>
  <c r="IF45" i="17"/>
  <c r="HE45" i="17"/>
  <c r="HD45" i="17"/>
  <c r="HC45" i="17"/>
  <c r="HB45" i="17"/>
  <c r="HA45" i="17"/>
  <c r="GZ45" i="17"/>
  <c r="GY45" i="17"/>
  <c r="GX45" i="17"/>
  <c r="GW45" i="17"/>
  <c r="GV45" i="17"/>
  <c r="GU45" i="17"/>
  <c r="GT45" i="17"/>
  <c r="GS45" i="17"/>
  <c r="GR45" i="17"/>
  <c r="GQ45" i="17"/>
  <c r="GP45" i="17"/>
  <c r="GO45" i="17"/>
  <c r="GN45" i="17"/>
  <c r="GM45" i="17"/>
  <c r="GL45" i="17"/>
  <c r="GK45" i="17"/>
  <c r="GJ45" i="17"/>
  <c r="GI45" i="17"/>
  <c r="GH45" i="17"/>
  <c r="GG45" i="17"/>
  <c r="GF45" i="17"/>
  <c r="GE45" i="17"/>
  <c r="GD45" i="17"/>
  <c r="GC45" i="17"/>
  <c r="GB45" i="17"/>
  <c r="GA45" i="17"/>
  <c r="FZ45" i="17"/>
  <c r="FY45" i="17"/>
  <c r="FX45" i="17"/>
  <c r="FW45" i="17"/>
  <c r="FV45" i="17"/>
  <c r="FU45" i="17"/>
  <c r="FT45" i="17"/>
  <c r="FS45" i="17"/>
  <c r="FR45" i="17"/>
  <c r="FQ45" i="17"/>
  <c r="FP45" i="17"/>
  <c r="FO45" i="17"/>
  <c r="FN45" i="17"/>
  <c r="FM45" i="17"/>
  <c r="FL45" i="17"/>
  <c r="FK45" i="17"/>
  <c r="FJ45" i="17"/>
  <c r="FI45" i="17"/>
  <c r="FH45" i="17"/>
  <c r="FG45" i="17"/>
  <c r="FF45" i="17"/>
  <c r="FE45" i="17"/>
  <c r="FD45" i="17"/>
  <c r="FC45" i="17"/>
  <c r="FB45" i="17"/>
  <c r="FA45" i="17"/>
  <c r="EZ45" i="17"/>
  <c r="EY45" i="17"/>
  <c r="EX45" i="17"/>
  <c r="EW45" i="17"/>
  <c r="EV45" i="17"/>
  <c r="EU45" i="17"/>
  <c r="ET45" i="17"/>
  <c r="ES45" i="17"/>
  <c r="ER45" i="17"/>
  <c r="EQ45" i="17"/>
  <c r="EP45" i="17"/>
  <c r="EO45" i="17"/>
  <c r="EN45" i="17"/>
  <c r="EM45" i="17"/>
  <c r="EL45" i="17"/>
  <c r="EK45" i="17"/>
  <c r="EJ45" i="17"/>
  <c r="EI45" i="17"/>
  <c r="EH45" i="17"/>
  <c r="EG45" i="17"/>
  <c r="EF45" i="17"/>
  <c r="EE45" i="17"/>
  <c r="ED45" i="17"/>
  <c r="EC45" i="17"/>
  <c r="EB45" i="17"/>
  <c r="EA45" i="17"/>
  <c r="DZ45" i="17"/>
  <c r="DY45" i="17"/>
  <c r="DX45" i="17"/>
  <c r="DW45" i="17"/>
  <c r="DV45" i="17"/>
  <c r="DU45" i="17"/>
  <c r="DT45" i="17"/>
  <c r="DS45" i="17"/>
  <c r="DR45" i="17"/>
  <c r="DQ45" i="17"/>
  <c r="DP45" i="17"/>
  <c r="DO45" i="17"/>
  <c r="DN45" i="17"/>
  <c r="DM45" i="17"/>
  <c r="DL45" i="17"/>
  <c r="DK45" i="17"/>
  <c r="DJ45" i="17"/>
  <c r="DI45" i="17"/>
  <c r="DH45" i="17"/>
  <c r="DG45" i="17"/>
  <c r="DF45" i="17"/>
  <c r="DE45" i="17"/>
  <c r="DD45" i="17"/>
  <c r="DC45" i="17"/>
  <c r="DB45" i="17"/>
  <c r="DA45" i="17"/>
  <c r="CZ45" i="17"/>
  <c r="CY45" i="17"/>
  <c r="CX45" i="17"/>
  <c r="CW45" i="17"/>
  <c r="CV45" i="17"/>
  <c r="CU45" i="17"/>
  <c r="CT45" i="17"/>
  <c r="CS45" i="17"/>
  <c r="CR45" i="17"/>
  <c r="CQ45" i="17"/>
  <c r="CP45" i="17"/>
  <c r="CO45" i="17"/>
  <c r="CN45" i="17"/>
  <c r="CM45" i="17"/>
  <c r="CL45" i="17"/>
  <c r="CK45" i="17"/>
  <c r="CJ45" i="17"/>
  <c r="CI45" i="17"/>
  <c r="CH45" i="17"/>
  <c r="CG45" i="17"/>
  <c r="CF45" i="17"/>
  <c r="CE45" i="17"/>
  <c r="CD45" i="17"/>
  <c r="CC45" i="17"/>
  <c r="CB45" i="17"/>
  <c r="CA45" i="17"/>
  <c r="BZ45" i="17"/>
  <c r="BY45" i="17"/>
  <c r="BX45" i="17"/>
  <c r="BW45" i="17"/>
  <c r="BV45" i="17"/>
  <c r="BU45" i="17"/>
  <c r="BT45" i="17"/>
  <c r="BS45" i="17"/>
  <c r="BR45" i="17"/>
  <c r="BQ45" i="17"/>
  <c r="BP45" i="17"/>
  <c r="BO45" i="17"/>
  <c r="BN45" i="17"/>
  <c r="BM45" i="17"/>
  <c r="BL45" i="17"/>
  <c r="BK45" i="17"/>
  <c r="BJ45" i="17"/>
  <c r="BI45" i="17"/>
  <c r="BH45" i="17"/>
  <c r="BG45" i="17"/>
  <c r="BF45" i="17"/>
  <c r="BE45" i="17"/>
  <c r="BD45" i="17"/>
  <c r="BC45" i="17"/>
  <c r="BB45" i="17"/>
  <c r="BA45" i="17"/>
  <c r="AZ45" i="17"/>
  <c r="AY45" i="17"/>
  <c r="AX45" i="17"/>
  <c r="AW45" i="17"/>
  <c r="AV45" i="17"/>
  <c r="AU45" i="17"/>
  <c r="AT45" i="17"/>
  <c r="AS45" i="17"/>
  <c r="AR45" i="17"/>
  <c r="AQ45" i="17"/>
  <c r="AP45" i="17"/>
  <c r="AO45" i="17"/>
  <c r="AN45" i="17"/>
  <c r="AM45" i="17"/>
  <c r="AL45" i="17"/>
  <c r="AK45" i="17"/>
  <c r="AJ45" i="17"/>
  <c r="AI45" i="17"/>
  <c r="AH45" i="17"/>
  <c r="AG45" i="17"/>
  <c r="AF45" i="17"/>
  <c r="AE45" i="17"/>
  <c r="AD45" i="17"/>
  <c r="AC45" i="17"/>
  <c r="AB45" i="17"/>
  <c r="AA45" i="17"/>
  <c r="Z45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KC44" i="17"/>
  <c r="KB44" i="17"/>
  <c r="KA44" i="17"/>
  <c r="JZ44" i="17"/>
  <c r="JY44" i="17"/>
  <c r="JU44" i="17"/>
  <c r="JG44" i="17"/>
  <c r="JB44" i="17"/>
  <c r="JA44" i="17"/>
  <c r="IV44" i="17"/>
  <c r="IU44" i="17"/>
  <c r="IT44" i="17"/>
  <c r="IS44" i="17"/>
  <c r="IR44" i="17"/>
  <c r="IQ44" i="17"/>
  <c r="IP44" i="17"/>
  <c r="IO44" i="17"/>
  <c r="IN44" i="17"/>
  <c r="IM44" i="17"/>
  <c r="IL44" i="17"/>
  <c r="IK44" i="17"/>
  <c r="IJ44" i="17"/>
  <c r="II44" i="17"/>
  <c r="IH44" i="17"/>
  <c r="IG44" i="17"/>
  <c r="IF44" i="17"/>
  <c r="HE44" i="17"/>
  <c r="HD44" i="17"/>
  <c r="HC44" i="17"/>
  <c r="HB44" i="17"/>
  <c r="HA44" i="17"/>
  <c r="GZ44" i="17"/>
  <c r="GY44" i="17"/>
  <c r="GX44" i="17"/>
  <c r="GW44" i="17"/>
  <c r="GV44" i="17"/>
  <c r="GU44" i="17"/>
  <c r="GT44" i="17"/>
  <c r="GS44" i="17"/>
  <c r="GR44" i="17"/>
  <c r="GQ44" i="17"/>
  <c r="GP44" i="17"/>
  <c r="GO44" i="17"/>
  <c r="GN44" i="17"/>
  <c r="GM44" i="17"/>
  <c r="GL44" i="17"/>
  <c r="GK44" i="17"/>
  <c r="GJ44" i="17"/>
  <c r="GI44" i="17"/>
  <c r="GH44" i="17"/>
  <c r="GG44" i="17"/>
  <c r="GF44" i="17"/>
  <c r="GE44" i="17"/>
  <c r="GD44" i="17"/>
  <c r="GC44" i="17"/>
  <c r="GB44" i="17"/>
  <c r="GA44" i="17"/>
  <c r="FZ44" i="17"/>
  <c r="FY44" i="17"/>
  <c r="FX44" i="17"/>
  <c r="FW44" i="17"/>
  <c r="FV44" i="17"/>
  <c r="FU44" i="17"/>
  <c r="FT44" i="17"/>
  <c r="FS44" i="17"/>
  <c r="FR44" i="17"/>
  <c r="FQ44" i="17"/>
  <c r="FP44" i="17"/>
  <c r="FO44" i="17"/>
  <c r="FN44" i="17"/>
  <c r="FM44" i="17"/>
  <c r="FL44" i="17"/>
  <c r="FK44" i="17"/>
  <c r="FJ44" i="17"/>
  <c r="FI44" i="17"/>
  <c r="FH44" i="17"/>
  <c r="FG44" i="17"/>
  <c r="FF44" i="17"/>
  <c r="FE44" i="17"/>
  <c r="FD44" i="17"/>
  <c r="FC44" i="17"/>
  <c r="FB44" i="17"/>
  <c r="FA44" i="17"/>
  <c r="EZ44" i="17"/>
  <c r="EY44" i="17"/>
  <c r="EX44" i="17"/>
  <c r="EW44" i="17"/>
  <c r="EV44" i="17"/>
  <c r="EU44" i="17"/>
  <c r="ET44" i="17"/>
  <c r="ES44" i="17"/>
  <c r="ER44" i="17"/>
  <c r="EQ44" i="17"/>
  <c r="EP44" i="17"/>
  <c r="EO44" i="17"/>
  <c r="EN44" i="17"/>
  <c r="EM44" i="17"/>
  <c r="EL44" i="17"/>
  <c r="EK44" i="17"/>
  <c r="EJ44" i="17"/>
  <c r="EI44" i="17"/>
  <c r="EH44" i="17"/>
  <c r="EG44" i="17"/>
  <c r="EF44" i="17"/>
  <c r="EE44" i="17"/>
  <c r="ED44" i="17"/>
  <c r="EC44" i="17"/>
  <c r="EB44" i="17"/>
  <c r="EA44" i="17"/>
  <c r="DZ44" i="17"/>
  <c r="DY44" i="17"/>
  <c r="DX44" i="17"/>
  <c r="DW44" i="17"/>
  <c r="DV44" i="17"/>
  <c r="DU44" i="17"/>
  <c r="DT44" i="17"/>
  <c r="DS44" i="17"/>
  <c r="DR44" i="17"/>
  <c r="DQ44" i="17"/>
  <c r="DP44" i="17"/>
  <c r="DO44" i="17"/>
  <c r="DN44" i="17"/>
  <c r="DM44" i="17"/>
  <c r="DL44" i="17"/>
  <c r="DK44" i="17"/>
  <c r="DJ44" i="17"/>
  <c r="DI44" i="17"/>
  <c r="DH44" i="17"/>
  <c r="DG44" i="17"/>
  <c r="DF44" i="17"/>
  <c r="DE44" i="17"/>
  <c r="DD44" i="17"/>
  <c r="DC44" i="17"/>
  <c r="DB44" i="17"/>
  <c r="DA44" i="17"/>
  <c r="CZ44" i="17"/>
  <c r="CY44" i="17"/>
  <c r="CX44" i="17"/>
  <c r="CW44" i="17"/>
  <c r="CV44" i="17"/>
  <c r="CU44" i="17"/>
  <c r="CT44" i="17"/>
  <c r="CS44" i="17"/>
  <c r="CR44" i="17"/>
  <c r="CQ44" i="17"/>
  <c r="CP44" i="17"/>
  <c r="CO44" i="17"/>
  <c r="CN44" i="17"/>
  <c r="CM44" i="17"/>
  <c r="CL44" i="17"/>
  <c r="CK44" i="17"/>
  <c r="CJ44" i="17"/>
  <c r="CI44" i="17"/>
  <c r="CH44" i="17"/>
  <c r="CG44" i="17"/>
  <c r="CF44" i="17"/>
  <c r="CE44" i="17"/>
  <c r="CD44" i="17"/>
  <c r="CC44" i="17"/>
  <c r="CB44" i="17"/>
  <c r="CA44" i="17"/>
  <c r="BZ44" i="17"/>
  <c r="BY44" i="17"/>
  <c r="BX44" i="17"/>
  <c r="BW44" i="17"/>
  <c r="BV44" i="17"/>
  <c r="BU44" i="17"/>
  <c r="BT44" i="17"/>
  <c r="BS44" i="17"/>
  <c r="BR44" i="17"/>
  <c r="BQ44" i="17"/>
  <c r="BP44" i="17"/>
  <c r="BO44" i="17"/>
  <c r="BN44" i="17"/>
  <c r="BM44" i="17"/>
  <c r="BL44" i="17"/>
  <c r="BK44" i="17"/>
  <c r="BJ44" i="17"/>
  <c r="BI44" i="17"/>
  <c r="BH44" i="17"/>
  <c r="BG44" i="17"/>
  <c r="BF44" i="17"/>
  <c r="BE44" i="17"/>
  <c r="BD44" i="17"/>
  <c r="BC44" i="17"/>
  <c r="BB44" i="17"/>
  <c r="BA44" i="17"/>
  <c r="AZ44" i="17"/>
  <c r="AY44" i="17"/>
  <c r="AX44" i="17"/>
  <c r="AW44" i="17"/>
  <c r="AV44" i="17"/>
  <c r="AU44" i="17"/>
  <c r="AT44" i="17"/>
  <c r="AS44" i="17"/>
  <c r="AR44" i="17"/>
  <c r="AQ44" i="17"/>
  <c r="AP44" i="17"/>
  <c r="AO44" i="17"/>
  <c r="AN44" i="17"/>
  <c r="AM44" i="17"/>
  <c r="AL44" i="17"/>
  <c r="AK44" i="17"/>
  <c r="AJ44" i="17"/>
  <c r="AI44" i="17"/>
  <c r="AH44" i="17"/>
  <c r="AG44" i="17"/>
  <c r="AF44" i="17"/>
  <c r="AE44" i="17"/>
  <c r="AD44" i="17"/>
  <c r="AC44" i="17"/>
  <c r="AB44" i="17"/>
  <c r="AA44" i="17"/>
  <c r="Z44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KC43" i="17"/>
  <c r="KB43" i="17"/>
  <c r="KA43" i="17"/>
  <c r="JZ43" i="17"/>
  <c r="JY43" i="17"/>
  <c r="JU43" i="17"/>
  <c r="JG43" i="17"/>
  <c r="JB43" i="17"/>
  <c r="JA43" i="17"/>
  <c r="IV43" i="17"/>
  <c r="IU43" i="17"/>
  <c r="IT43" i="17"/>
  <c r="IS43" i="17"/>
  <c r="IR43" i="17"/>
  <c r="IQ43" i="17"/>
  <c r="IP43" i="17"/>
  <c r="IO43" i="17"/>
  <c r="IN43" i="17"/>
  <c r="IM43" i="17"/>
  <c r="IL43" i="17"/>
  <c r="IK43" i="17"/>
  <c r="IJ43" i="17"/>
  <c r="II43" i="17"/>
  <c r="IH43" i="17"/>
  <c r="IG43" i="17"/>
  <c r="IF43" i="17"/>
  <c r="HE43" i="17"/>
  <c r="HD43" i="17"/>
  <c r="HC43" i="17"/>
  <c r="HB43" i="17"/>
  <c r="HA43" i="17"/>
  <c r="GZ43" i="17"/>
  <c r="GY43" i="17"/>
  <c r="GX43" i="17"/>
  <c r="GW43" i="17"/>
  <c r="GV43" i="17"/>
  <c r="GU43" i="17"/>
  <c r="GT43" i="17"/>
  <c r="GS43" i="17"/>
  <c r="GR43" i="17"/>
  <c r="GQ43" i="17"/>
  <c r="GP43" i="17"/>
  <c r="GO43" i="17"/>
  <c r="GN43" i="17"/>
  <c r="GM43" i="17"/>
  <c r="GL43" i="17"/>
  <c r="GK43" i="17"/>
  <c r="GJ43" i="17"/>
  <c r="GI43" i="17"/>
  <c r="GH43" i="17"/>
  <c r="GG43" i="17"/>
  <c r="GF43" i="17"/>
  <c r="GE43" i="17"/>
  <c r="GD43" i="17"/>
  <c r="GC43" i="17"/>
  <c r="GB43" i="17"/>
  <c r="GA43" i="17"/>
  <c r="FZ43" i="17"/>
  <c r="FY43" i="17"/>
  <c r="FX43" i="17"/>
  <c r="FW43" i="17"/>
  <c r="FV43" i="17"/>
  <c r="FU43" i="17"/>
  <c r="FT43" i="17"/>
  <c r="FS43" i="17"/>
  <c r="FR43" i="17"/>
  <c r="FQ43" i="17"/>
  <c r="FP43" i="17"/>
  <c r="FO43" i="17"/>
  <c r="FN43" i="17"/>
  <c r="FM43" i="17"/>
  <c r="FL43" i="17"/>
  <c r="FK43" i="17"/>
  <c r="FJ43" i="17"/>
  <c r="FI43" i="17"/>
  <c r="FH43" i="17"/>
  <c r="FG43" i="17"/>
  <c r="FF43" i="17"/>
  <c r="FE43" i="17"/>
  <c r="FD43" i="17"/>
  <c r="FC43" i="17"/>
  <c r="FB43" i="17"/>
  <c r="FA43" i="17"/>
  <c r="EZ43" i="17"/>
  <c r="EY43" i="17"/>
  <c r="EX43" i="17"/>
  <c r="EW43" i="17"/>
  <c r="EV43" i="17"/>
  <c r="EU43" i="17"/>
  <c r="ET43" i="17"/>
  <c r="ES43" i="17"/>
  <c r="ER43" i="17"/>
  <c r="EQ43" i="17"/>
  <c r="EP43" i="17"/>
  <c r="EO43" i="17"/>
  <c r="EN43" i="17"/>
  <c r="EM43" i="17"/>
  <c r="EL43" i="17"/>
  <c r="EK43" i="17"/>
  <c r="EJ43" i="17"/>
  <c r="EI43" i="17"/>
  <c r="EH43" i="17"/>
  <c r="EG43" i="17"/>
  <c r="EF43" i="17"/>
  <c r="EE43" i="17"/>
  <c r="ED43" i="17"/>
  <c r="EC43" i="17"/>
  <c r="EB43" i="17"/>
  <c r="EA43" i="17"/>
  <c r="DZ43" i="17"/>
  <c r="DY43" i="17"/>
  <c r="DX43" i="17"/>
  <c r="DW43" i="17"/>
  <c r="DV43" i="17"/>
  <c r="DU43" i="17"/>
  <c r="DT43" i="17"/>
  <c r="DS43" i="17"/>
  <c r="DR43" i="17"/>
  <c r="DQ43" i="17"/>
  <c r="DP43" i="17"/>
  <c r="DO43" i="17"/>
  <c r="DN43" i="17"/>
  <c r="DM43" i="17"/>
  <c r="DL43" i="17"/>
  <c r="DK43" i="17"/>
  <c r="DJ43" i="17"/>
  <c r="DI43" i="17"/>
  <c r="DH43" i="17"/>
  <c r="DG43" i="17"/>
  <c r="DF43" i="17"/>
  <c r="DE43" i="17"/>
  <c r="DD43" i="17"/>
  <c r="DC43" i="17"/>
  <c r="DB43" i="17"/>
  <c r="DA43" i="17"/>
  <c r="CZ43" i="17"/>
  <c r="CY43" i="17"/>
  <c r="CX43" i="17"/>
  <c r="CW43" i="17"/>
  <c r="CV43" i="17"/>
  <c r="CU43" i="17"/>
  <c r="CT43" i="17"/>
  <c r="CS43" i="17"/>
  <c r="CR43" i="17"/>
  <c r="CQ43" i="17"/>
  <c r="CP43" i="17"/>
  <c r="CO43" i="17"/>
  <c r="CN43" i="17"/>
  <c r="CM43" i="17"/>
  <c r="CL43" i="17"/>
  <c r="CK43" i="17"/>
  <c r="CJ43" i="17"/>
  <c r="CI43" i="17"/>
  <c r="CH43" i="17"/>
  <c r="CG43" i="17"/>
  <c r="CF43" i="17"/>
  <c r="CE43" i="17"/>
  <c r="CD43" i="17"/>
  <c r="CC43" i="17"/>
  <c r="CB43" i="17"/>
  <c r="CA43" i="17"/>
  <c r="BZ43" i="17"/>
  <c r="BY43" i="17"/>
  <c r="BX43" i="17"/>
  <c r="BW43" i="17"/>
  <c r="BV43" i="17"/>
  <c r="BU43" i="17"/>
  <c r="BT43" i="17"/>
  <c r="BS43" i="17"/>
  <c r="BR43" i="17"/>
  <c r="BQ43" i="17"/>
  <c r="BP43" i="17"/>
  <c r="BO43" i="17"/>
  <c r="BN43" i="17"/>
  <c r="BM43" i="17"/>
  <c r="BL43" i="17"/>
  <c r="BK43" i="17"/>
  <c r="BJ43" i="17"/>
  <c r="BI43" i="17"/>
  <c r="BH43" i="17"/>
  <c r="BG43" i="17"/>
  <c r="BF43" i="17"/>
  <c r="BE43" i="17"/>
  <c r="BD43" i="17"/>
  <c r="BC43" i="17"/>
  <c r="BB43" i="17"/>
  <c r="BA43" i="17"/>
  <c r="AZ43" i="17"/>
  <c r="AY43" i="17"/>
  <c r="AX43" i="17"/>
  <c r="AW43" i="17"/>
  <c r="AV43" i="17"/>
  <c r="AU43" i="17"/>
  <c r="AT43" i="17"/>
  <c r="AS43" i="17"/>
  <c r="AR43" i="17"/>
  <c r="AQ43" i="17"/>
  <c r="AP43" i="17"/>
  <c r="AO43" i="17"/>
  <c r="AN43" i="17"/>
  <c r="AM43" i="17"/>
  <c r="AL43" i="17"/>
  <c r="AK43" i="17"/>
  <c r="AJ43" i="17"/>
  <c r="AI43" i="17"/>
  <c r="AH43" i="17"/>
  <c r="AG43" i="17"/>
  <c r="AF43" i="17"/>
  <c r="AE43" i="17"/>
  <c r="AD43" i="17"/>
  <c r="AC43" i="17"/>
  <c r="AB43" i="17"/>
  <c r="AA43" i="17"/>
  <c r="Z43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KC42" i="17"/>
  <c r="KB42" i="17"/>
  <c r="KA42" i="17"/>
  <c r="JZ42" i="17"/>
  <c r="JY42" i="17"/>
  <c r="JU42" i="17"/>
  <c r="JG42" i="17"/>
  <c r="JB42" i="17"/>
  <c r="JA42" i="17"/>
  <c r="IV42" i="17"/>
  <c r="IU42" i="17"/>
  <c r="IT42" i="17"/>
  <c r="IS42" i="17"/>
  <c r="IR42" i="17"/>
  <c r="IQ42" i="17"/>
  <c r="IP42" i="17"/>
  <c r="IO42" i="17"/>
  <c r="IN42" i="17"/>
  <c r="IM42" i="17"/>
  <c r="IL42" i="17"/>
  <c r="IK42" i="17"/>
  <c r="IJ42" i="17"/>
  <c r="II42" i="17"/>
  <c r="IH42" i="17"/>
  <c r="IG42" i="17"/>
  <c r="IF42" i="17"/>
  <c r="HE42" i="17"/>
  <c r="HD42" i="17"/>
  <c r="HC42" i="17"/>
  <c r="HB42" i="17"/>
  <c r="HA42" i="17"/>
  <c r="GZ42" i="17"/>
  <c r="GY42" i="17"/>
  <c r="GX42" i="17"/>
  <c r="GW42" i="17"/>
  <c r="GV42" i="17"/>
  <c r="GU42" i="17"/>
  <c r="GT42" i="17"/>
  <c r="GS42" i="17"/>
  <c r="GR42" i="17"/>
  <c r="GQ42" i="17"/>
  <c r="GP42" i="17"/>
  <c r="GO42" i="17"/>
  <c r="GN42" i="17"/>
  <c r="GM42" i="17"/>
  <c r="GL42" i="17"/>
  <c r="GK42" i="17"/>
  <c r="GJ42" i="17"/>
  <c r="GI42" i="17"/>
  <c r="GH42" i="17"/>
  <c r="GG42" i="17"/>
  <c r="GF42" i="17"/>
  <c r="GE42" i="17"/>
  <c r="GD42" i="17"/>
  <c r="GC42" i="17"/>
  <c r="GB42" i="17"/>
  <c r="GA42" i="17"/>
  <c r="FZ42" i="17"/>
  <c r="FY42" i="17"/>
  <c r="FX42" i="17"/>
  <c r="FW42" i="17"/>
  <c r="FV42" i="17"/>
  <c r="FU42" i="17"/>
  <c r="FT42" i="17"/>
  <c r="FS42" i="17"/>
  <c r="FR42" i="17"/>
  <c r="FQ42" i="17"/>
  <c r="FP42" i="17"/>
  <c r="FO42" i="17"/>
  <c r="FN42" i="17"/>
  <c r="FM42" i="17"/>
  <c r="FL42" i="17"/>
  <c r="FK42" i="17"/>
  <c r="FJ42" i="17"/>
  <c r="FI42" i="17"/>
  <c r="FH42" i="17"/>
  <c r="FG42" i="17"/>
  <c r="FF42" i="17"/>
  <c r="FE42" i="17"/>
  <c r="FD42" i="17"/>
  <c r="FC42" i="17"/>
  <c r="FB42" i="17"/>
  <c r="FA42" i="17"/>
  <c r="EZ42" i="17"/>
  <c r="EY42" i="17"/>
  <c r="EX42" i="17"/>
  <c r="EW42" i="17"/>
  <c r="EV42" i="17"/>
  <c r="EU42" i="17"/>
  <c r="ET42" i="17"/>
  <c r="ES42" i="17"/>
  <c r="ER42" i="17"/>
  <c r="EQ42" i="17"/>
  <c r="EP42" i="17"/>
  <c r="EO42" i="17"/>
  <c r="EN42" i="17"/>
  <c r="EM42" i="17"/>
  <c r="EL42" i="17"/>
  <c r="EK42" i="17"/>
  <c r="EJ42" i="17"/>
  <c r="EI42" i="17"/>
  <c r="EH42" i="17"/>
  <c r="EG42" i="17"/>
  <c r="EF42" i="17"/>
  <c r="EE42" i="17"/>
  <c r="ED42" i="17"/>
  <c r="EC42" i="17"/>
  <c r="EB42" i="17"/>
  <c r="EA42" i="17"/>
  <c r="DZ42" i="17"/>
  <c r="DY42" i="17"/>
  <c r="DX42" i="17"/>
  <c r="DW42" i="17"/>
  <c r="DV42" i="17"/>
  <c r="DU42" i="17"/>
  <c r="DT42" i="17"/>
  <c r="DS42" i="17"/>
  <c r="DR42" i="17"/>
  <c r="DQ42" i="17"/>
  <c r="DP42" i="17"/>
  <c r="DO42" i="17"/>
  <c r="DN42" i="17"/>
  <c r="DM42" i="17"/>
  <c r="DL42" i="17"/>
  <c r="DK42" i="17"/>
  <c r="DJ42" i="17"/>
  <c r="DI42" i="17"/>
  <c r="DH42" i="17"/>
  <c r="DG42" i="17"/>
  <c r="DF42" i="17"/>
  <c r="DE42" i="17"/>
  <c r="DD42" i="17"/>
  <c r="DC42" i="17"/>
  <c r="DB42" i="17"/>
  <c r="DA42" i="17"/>
  <c r="CZ42" i="17"/>
  <c r="CY42" i="17"/>
  <c r="CX42" i="17"/>
  <c r="CW42" i="17"/>
  <c r="CV42" i="17"/>
  <c r="CU42" i="17"/>
  <c r="CT42" i="17"/>
  <c r="CS42" i="17"/>
  <c r="CR42" i="17"/>
  <c r="CQ42" i="17"/>
  <c r="CP42" i="17"/>
  <c r="CO42" i="17"/>
  <c r="CN42" i="17"/>
  <c r="CM42" i="17"/>
  <c r="CL42" i="17"/>
  <c r="CK42" i="17"/>
  <c r="CJ42" i="17"/>
  <c r="CI42" i="17"/>
  <c r="CH42" i="17"/>
  <c r="CG42" i="17"/>
  <c r="CF42" i="17"/>
  <c r="CE42" i="17"/>
  <c r="CD42" i="17"/>
  <c r="CC42" i="17"/>
  <c r="CB42" i="17"/>
  <c r="CA42" i="17"/>
  <c r="BZ42" i="17"/>
  <c r="BY42" i="17"/>
  <c r="BX42" i="17"/>
  <c r="BW42" i="17"/>
  <c r="BV42" i="17"/>
  <c r="BU42" i="17"/>
  <c r="BT42" i="17"/>
  <c r="BS42" i="17"/>
  <c r="BR42" i="17"/>
  <c r="BQ42" i="17"/>
  <c r="BP42" i="17"/>
  <c r="BO42" i="17"/>
  <c r="BN42" i="17"/>
  <c r="BM42" i="17"/>
  <c r="BL42" i="17"/>
  <c r="BK42" i="17"/>
  <c r="BJ42" i="17"/>
  <c r="BI42" i="17"/>
  <c r="BH42" i="17"/>
  <c r="BG42" i="17"/>
  <c r="BF42" i="17"/>
  <c r="BE42" i="17"/>
  <c r="BD42" i="17"/>
  <c r="BC42" i="17"/>
  <c r="BB42" i="17"/>
  <c r="BA42" i="17"/>
  <c r="AZ42" i="17"/>
  <c r="AY42" i="17"/>
  <c r="AX42" i="17"/>
  <c r="AW42" i="17"/>
  <c r="AV42" i="17"/>
  <c r="AU42" i="17"/>
  <c r="AT42" i="17"/>
  <c r="AS42" i="17"/>
  <c r="AR42" i="17"/>
  <c r="AQ42" i="17"/>
  <c r="AP42" i="17"/>
  <c r="AO42" i="17"/>
  <c r="AN42" i="17"/>
  <c r="AM42" i="17"/>
  <c r="AL42" i="17"/>
  <c r="AK42" i="17"/>
  <c r="AJ42" i="17"/>
  <c r="AI42" i="17"/>
  <c r="AH42" i="17"/>
  <c r="AG42" i="17"/>
  <c r="AF42" i="17"/>
  <c r="AE42" i="17"/>
  <c r="AD42" i="17"/>
  <c r="AC42" i="17"/>
  <c r="AB42" i="17"/>
  <c r="AA42" i="17"/>
  <c r="Z42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KC41" i="17"/>
  <c r="KB41" i="17"/>
  <c r="KA41" i="17"/>
  <c r="JZ41" i="17"/>
  <c r="JY41" i="17"/>
  <c r="JU41" i="17"/>
  <c r="JG41" i="17"/>
  <c r="JB41" i="17"/>
  <c r="JA41" i="17"/>
  <c r="IV41" i="17"/>
  <c r="IU41" i="17"/>
  <c r="IT41" i="17"/>
  <c r="IS41" i="17"/>
  <c r="IR41" i="17"/>
  <c r="IQ41" i="17"/>
  <c r="IP41" i="17"/>
  <c r="IO41" i="17"/>
  <c r="IN41" i="17"/>
  <c r="IM41" i="17"/>
  <c r="IL41" i="17"/>
  <c r="IK41" i="17"/>
  <c r="IJ41" i="17"/>
  <c r="II41" i="17"/>
  <c r="IH41" i="17"/>
  <c r="IG41" i="17"/>
  <c r="IF41" i="17"/>
  <c r="HE41" i="17"/>
  <c r="HD41" i="17"/>
  <c r="HC41" i="17"/>
  <c r="HB41" i="17"/>
  <c r="HA41" i="17"/>
  <c r="GZ41" i="17"/>
  <c r="GY41" i="17"/>
  <c r="GX41" i="17"/>
  <c r="GW41" i="17"/>
  <c r="GV41" i="17"/>
  <c r="GU41" i="17"/>
  <c r="GT41" i="17"/>
  <c r="GS41" i="17"/>
  <c r="GR41" i="17"/>
  <c r="GQ41" i="17"/>
  <c r="GP41" i="17"/>
  <c r="GO41" i="17"/>
  <c r="GN41" i="17"/>
  <c r="GM41" i="17"/>
  <c r="GL41" i="17"/>
  <c r="GK41" i="17"/>
  <c r="GJ41" i="17"/>
  <c r="GI41" i="17"/>
  <c r="GH41" i="17"/>
  <c r="GG41" i="17"/>
  <c r="GF41" i="17"/>
  <c r="GE41" i="17"/>
  <c r="GD41" i="17"/>
  <c r="GC41" i="17"/>
  <c r="GB41" i="17"/>
  <c r="GA41" i="17"/>
  <c r="FZ41" i="17"/>
  <c r="FY41" i="17"/>
  <c r="FX41" i="17"/>
  <c r="FW41" i="17"/>
  <c r="FV41" i="17"/>
  <c r="FU41" i="17"/>
  <c r="FT41" i="17"/>
  <c r="FS41" i="17"/>
  <c r="FR41" i="17"/>
  <c r="FQ41" i="17"/>
  <c r="FP41" i="17"/>
  <c r="FO41" i="17"/>
  <c r="FN41" i="17"/>
  <c r="FM41" i="17"/>
  <c r="FL41" i="17"/>
  <c r="FK41" i="17"/>
  <c r="FJ41" i="17"/>
  <c r="FI41" i="17"/>
  <c r="FH41" i="17"/>
  <c r="FG41" i="17"/>
  <c r="FF41" i="17"/>
  <c r="FE41" i="17"/>
  <c r="FD41" i="17"/>
  <c r="FC41" i="17"/>
  <c r="FB41" i="17"/>
  <c r="FA41" i="17"/>
  <c r="EZ41" i="17"/>
  <c r="EY41" i="17"/>
  <c r="EX41" i="17"/>
  <c r="EW41" i="17"/>
  <c r="EV41" i="17"/>
  <c r="EU41" i="17"/>
  <c r="ET41" i="17"/>
  <c r="ES41" i="17"/>
  <c r="ER41" i="17"/>
  <c r="EQ41" i="17"/>
  <c r="EP41" i="17"/>
  <c r="EO41" i="17"/>
  <c r="EN41" i="17"/>
  <c r="EM41" i="17"/>
  <c r="EL41" i="17"/>
  <c r="EK41" i="17"/>
  <c r="EJ41" i="17"/>
  <c r="EI41" i="17"/>
  <c r="EH41" i="17"/>
  <c r="EG41" i="17"/>
  <c r="EF41" i="17"/>
  <c r="EE41" i="17"/>
  <c r="ED41" i="17"/>
  <c r="EC41" i="17"/>
  <c r="EB41" i="17"/>
  <c r="EA41" i="17"/>
  <c r="DZ41" i="17"/>
  <c r="DY41" i="17"/>
  <c r="DX41" i="17"/>
  <c r="DW41" i="17"/>
  <c r="DV41" i="17"/>
  <c r="DU41" i="17"/>
  <c r="DT41" i="17"/>
  <c r="DS41" i="17"/>
  <c r="DR41" i="17"/>
  <c r="DQ41" i="17"/>
  <c r="DP41" i="17"/>
  <c r="DO41" i="17"/>
  <c r="DN41" i="17"/>
  <c r="DM41" i="17"/>
  <c r="DL41" i="17"/>
  <c r="DK41" i="17"/>
  <c r="DJ41" i="17"/>
  <c r="DI41" i="17"/>
  <c r="DH41" i="17"/>
  <c r="DG41" i="17"/>
  <c r="DF41" i="17"/>
  <c r="DE41" i="17"/>
  <c r="DD41" i="17"/>
  <c r="DC41" i="17"/>
  <c r="DB41" i="17"/>
  <c r="DA41" i="17"/>
  <c r="CZ41" i="17"/>
  <c r="CY41" i="17"/>
  <c r="CX41" i="17"/>
  <c r="CW41" i="17"/>
  <c r="CV41" i="17"/>
  <c r="CU41" i="17"/>
  <c r="CT41" i="17"/>
  <c r="CS41" i="17"/>
  <c r="CR41" i="17"/>
  <c r="CQ41" i="17"/>
  <c r="CP41" i="17"/>
  <c r="CO41" i="17"/>
  <c r="CN41" i="17"/>
  <c r="CM41" i="17"/>
  <c r="CL41" i="17"/>
  <c r="CK41" i="17"/>
  <c r="CJ41" i="17"/>
  <c r="CI41" i="17"/>
  <c r="CH41" i="17"/>
  <c r="CG41" i="17"/>
  <c r="CF41" i="17"/>
  <c r="CE41" i="17"/>
  <c r="CD41" i="17"/>
  <c r="CC41" i="17"/>
  <c r="CB41" i="17"/>
  <c r="CA41" i="17"/>
  <c r="BZ41" i="17"/>
  <c r="BY41" i="17"/>
  <c r="BX41" i="17"/>
  <c r="BW41" i="17"/>
  <c r="BV41" i="17"/>
  <c r="BU41" i="17"/>
  <c r="BT41" i="17"/>
  <c r="BS41" i="17"/>
  <c r="BR41" i="17"/>
  <c r="BQ41" i="17"/>
  <c r="BP41" i="17"/>
  <c r="BO41" i="17"/>
  <c r="BN41" i="17"/>
  <c r="BM41" i="17"/>
  <c r="BL41" i="17"/>
  <c r="BK41" i="17"/>
  <c r="BJ41" i="17"/>
  <c r="BI41" i="17"/>
  <c r="BH41" i="17"/>
  <c r="BG41" i="17"/>
  <c r="BF41" i="17"/>
  <c r="BE41" i="17"/>
  <c r="BD41" i="17"/>
  <c r="BC41" i="17"/>
  <c r="BB41" i="17"/>
  <c r="BA41" i="17"/>
  <c r="AZ41" i="17"/>
  <c r="AY41" i="17"/>
  <c r="AX41" i="17"/>
  <c r="AW41" i="17"/>
  <c r="AV41" i="17"/>
  <c r="AU41" i="17"/>
  <c r="AT41" i="17"/>
  <c r="AS41" i="17"/>
  <c r="AR41" i="17"/>
  <c r="AQ41" i="17"/>
  <c r="AP41" i="17"/>
  <c r="AO41" i="17"/>
  <c r="AN41" i="17"/>
  <c r="AM41" i="17"/>
  <c r="AL41" i="17"/>
  <c r="AK41" i="17"/>
  <c r="AJ41" i="17"/>
  <c r="AI41" i="17"/>
  <c r="AH41" i="17"/>
  <c r="AG41" i="17"/>
  <c r="AF41" i="17"/>
  <c r="AE41" i="17"/>
  <c r="AD41" i="17"/>
  <c r="AC41" i="17"/>
  <c r="AB41" i="17"/>
  <c r="AA41" i="17"/>
  <c r="Z41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KC40" i="17"/>
  <c r="KB40" i="17"/>
  <c r="KA40" i="17"/>
  <c r="JZ40" i="17"/>
  <c r="JY40" i="17"/>
  <c r="JU40" i="17"/>
  <c r="JG40" i="17"/>
  <c r="JB40" i="17"/>
  <c r="JA40" i="17"/>
  <c r="IV40" i="17"/>
  <c r="IU40" i="17"/>
  <c r="IT40" i="17"/>
  <c r="IS40" i="17"/>
  <c r="IR40" i="17"/>
  <c r="IQ40" i="17"/>
  <c r="IP40" i="17"/>
  <c r="IO40" i="17"/>
  <c r="IN40" i="17"/>
  <c r="IM40" i="17"/>
  <c r="IL40" i="17"/>
  <c r="IK40" i="17"/>
  <c r="IJ40" i="17"/>
  <c r="II40" i="17"/>
  <c r="IH40" i="17"/>
  <c r="IG40" i="17"/>
  <c r="IF40" i="17"/>
  <c r="HE40" i="17"/>
  <c r="HD40" i="17"/>
  <c r="HC40" i="17"/>
  <c r="HB40" i="17"/>
  <c r="HA40" i="17"/>
  <c r="GZ40" i="17"/>
  <c r="GY40" i="17"/>
  <c r="GX40" i="17"/>
  <c r="GW40" i="17"/>
  <c r="GV40" i="17"/>
  <c r="GU40" i="17"/>
  <c r="GT40" i="17"/>
  <c r="GS40" i="17"/>
  <c r="GR40" i="17"/>
  <c r="GQ40" i="17"/>
  <c r="GP40" i="17"/>
  <c r="GO40" i="17"/>
  <c r="GN40" i="17"/>
  <c r="GM40" i="17"/>
  <c r="GL40" i="17"/>
  <c r="GK40" i="17"/>
  <c r="GJ40" i="17"/>
  <c r="GI40" i="17"/>
  <c r="GH40" i="17"/>
  <c r="GG40" i="17"/>
  <c r="GF40" i="17"/>
  <c r="GE40" i="17"/>
  <c r="GD40" i="17"/>
  <c r="GC40" i="17"/>
  <c r="GB40" i="17"/>
  <c r="GA40" i="17"/>
  <c r="FZ40" i="17"/>
  <c r="FY40" i="17"/>
  <c r="FX40" i="17"/>
  <c r="FW40" i="17"/>
  <c r="FV40" i="17"/>
  <c r="FU40" i="17"/>
  <c r="FT40" i="17"/>
  <c r="FS40" i="17"/>
  <c r="FR40" i="17"/>
  <c r="FQ40" i="17"/>
  <c r="FP40" i="17"/>
  <c r="FO40" i="17"/>
  <c r="FN40" i="17"/>
  <c r="FM40" i="17"/>
  <c r="FL40" i="17"/>
  <c r="FK40" i="17"/>
  <c r="FJ40" i="17"/>
  <c r="FI40" i="17"/>
  <c r="FH40" i="17"/>
  <c r="FG40" i="17"/>
  <c r="FF40" i="17"/>
  <c r="FE40" i="17"/>
  <c r="FD40" i="17"/>
  <c r="FC40" i="17"/>
  <c r="FB40" i="17"/>
  <c r="FA40" i="17"/>
  <c r="EZ40" i="17"/>
  <c r="EY40" i="17"/>
  <c r="EX40" i="17"/>
  <c r="EW40" i="17"/>
  <c r="EV40" i="17"/>
  <c r="EU40" i="17"/>
  <c r="ET40" i="17"/>
  <c r="ES40" i="17"/>
  <c r="ER40" i="17"/>
  <c r="EQ40" i="17"/>
  <c r="EP40" i="17"/>
  <c r="EO40" i="17"/>
  <c r="EN40" i="17"/>
  <c r="EM40" i="17"/>
  <c r="EL40" i="17"/>
  <c r="EK40" i="17"/>
  <c r="EJ40" i="17"/>
  <c r="EI40" i="17"/>
  <c r="EH40" i="17"/>
  <c r="EG40" i="17"/>
  <c r="EF40" i="17"/>
  <c r="EE40" i="17"/>
  <c r="ED40" i="17"/>
  <c r="EC40" i="17"/>
  <c r="EB40" i="17"/>
  <c r="EA40" i="17"/>
  <c r="DZ40" i="17"/>
  <c r="DY40" i="17"/>
  <c r="DX40" i="17"/>
  <c r="DW40" i="17"/>
  <c r="DV40" i="17"/>
  <c r="DU40" i="17"/>
  <c r="DT40" i="17"/>
  <c r="DS40" i="17"/>
  <c r="DR40" i="17"/>
  <c r="DQ40" i="17"/>
  <c r="DP40" i="17"/>
  <c r="DO40" i="17"/>
  <c r="DN40" i="17"/>
  <c r="DM40" i="17"/>
  <c r="DL40" i="17"/>
  <c r="DK40" i="17"/>
  <c r="DJ40" i="17"/>
  <c r="DI40" i="17"/>
  <c r="DH40" i="17"/>
  <c r="DG40" i="17"/>
  <c r="DF40" i="17"/>
  <c r="DE40" i="17"/>
  <c r="DD40" i="17"/>
  <c r="DC40" i="17"/>
  <c r="DB40" i="17"/>
  <c r="DA40" i="17"/>
  <c r="CZ40" i="17"/>
  <c r="CY40" i="17"/>
  <c r="CX40" i="17"/>
  <c r="CW40" i="17"/>
  <c r="CV40" i="17"/>
  <c r="CU40" i="17"/>
  <c r="CT40" i="17"/>
  <c r="CS40" i="17"/>
  <c r="CR40" i="17"/>
  <c r="CQ40" i="17"/>
  <c r="CP40" i="17"/>
  <c r="CO40" i="17"/>
  <c r="CN40" i="17"/>
  <c r="CM40" i="17"/>
  <c r="CL40" i="17"/>
  <c r="CK40" i="17"/>
  <c r="CJ40" i="17"/>
  <c r="CI40" i="17"/>
  <c r="CH40" i="17"/>
  <c r="CG40" i="17"/>
  <c r="CF40" i="17"/>
  <c r="CE40" i="17"/>
  <c r="CD40" i="17"/>
  <c r="CC40" i="17"/>
  <c r="CB40" i="17"/>
  <c r="CA40" i="17"/>
  <c r="BZ40" i="17"/>
  <c r="BY40" i="17"/>
  <c r="BX40" i="17"/>
  <c r="BW40" i="17"/>
  <c r="BV40" i="17"/>
  <c r="BU40" i="17"/>
  <c r="BT40" i="17"/>
  <c r="BS40" i="17"/>
  <c r="BR40" i="17"/>
  <c r="BQ40" i="17"/>
  <c r="BP40" i="17"/>
  <c r="BO40" i="17"/>
  <c r="BN40" i="17"/>
  <c r="BM40" i="17"/>
  <c r="BL40" i="17"/>
  <c r="BK40" i="17"/>
  <c r="BJ40" i="17"/>
  <c r="BI40" i="17"/>
  <c r="BH40" i="17"/>
  <c r="BG40" i="17"/>
  <c r="BF40" i="17"/>
  <c r="BE40" i="17"/>
  <c r="BD40" i="17"/>
  <c r="BC40" i="17"/>
  <c r="BB40" i="17"/>
  <c r="BA40" i="17"/>
  <c r="AZ40" i="17"/>
  <c r="AY40" i="17"/>
  <c r="AX40" i="17"/>
  <c r="AW40" i="17"/>
  <c r="AV40" i="17"/>
  <c r="AU40" i="17"/>
  <c r="AT40" i="17"/>
  <c r="AS40" i="17"/>
  <c r="AR40" i="17"/>
  <c r="AQ40" i="17"/>
  <c r="AP40" i="17"/>
  <c r="AO40" i="17"/>
  <c r="AN40" i="17"/>
  <c r="AM40" i="17"/>
  <c r="AL40" i="17"/>
  <c r="AK40" i="17"/>
  <c r="AJ40" i="17"/>
  <c r="AI40" i="17"/>
  <c r="AH40" i="17"/>
  <c r="AG40" i="17"/>
  <c r="AF40" i="17"/>
  <c r="AE40" i="17"/>
  <c r="AD40" i="17"/>
  <c r="AC40" i="17"/>
  <c r="AB40" i="17"/>
  <c r="AA40" i="17"/>
  <c r="Z40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KC39" i="17"/>
  <c r="KB39" i="17"/>
  <c r="KA39" i="17"/>
  <c r="JZ39" i="17"/>
  <c r="JY39" i="17"/>
  <c r="JU39" i="17"/>
  <c r="JG39" i="17"/>
  <c r="JB39" i="17"/>
  <c r="JA39" i="17"/>
  <c r="IV39" i="17"/>
  <c r="IU39" i="17"/>
  <c r="IT39" i="17"/>
  <c r="IS39" i="17"/>
  <c r="IR39" i="17"/>
  <c r="IQ39" i="17"/>
  <c r="IP39" i="17"/>
  <c r="IO39" i="17"/>
  <c r="IN39" i="17"/>
  <c r="IM39" i="17"/>
  <c r="IL39" i="17"/>
  <c r="IK39" i="17"/>
  <c r="IJ39" i="17"/>
  <c r="II39" i="17"/>
  <c r="IH39" i="17"/>
  <c r="IG39" i="17"/>
  <c r="IF39" i="17"/>
  <c r="HE39" i="17"/>
  <c r="HD39" i="17"/>
  <c r="HC39" i="17"/>
  <c r="HB39" i="17"/>
  <c r="HA39" i="17"/>
  <c r="GZ39" i="17"/>
  <c r="GY39" i="17"/>
  <c r="GX39" i="17"/>
  <c r="GW39" i="17"/>
  <c r="GV39" i="17"/>
  <c r="GU39" i="17"/>
  <c r="GT39" i="17"/>
  <c r="GS39" i="17"/>
  <c r="GR39" i="17"/>
  <c r="GQ39" i="17"/>
  <c r="GP39" i="17"/>
  <c r="GO39" i="17"/>
  <c r="GN39" i="17"/>
  <c r="GM39" i="17"/>
  <c r="GL39" i="17"/>
  <c r="GK39" i="17"/>
  <c r="GJ39" i="17"/>
  <c r="GI39" i="17"/>
  <c r="GH39" i="17"/>
  <c r="GG39" i="17"/>
  <c r="GF39" i="17"/>
  <c r="GE39" i="17"/>
  <c r="GD39" i="17"/>
  <c r="GC39" i="17"/>
  <c r="GB39" i="17"/>
  <c r="GA39" i="17"/>
  <c r="FZ39" i="17"/>
  <c r="FY39" i="17"/>
  <c r="FX39" i="17"/>
  <c r="FW39" i="17"/>
  <c r="FV39" i="17"/>
  <c r="FU39" i="17"/>
  <c r="FT39" i="17"/>
  <c r="FS39" i="17"/>
  <c r="FR39" i="17"/>
  <c r="FQ39" i="17"/>
  <c r="FP39" i="17"/>
  <c r="FO39" i="17"/>
  <c r="FN39" i="17"/>
  <c r="FM39" i="17"/>
  <c r="FL39" i="17"/>
  <c r="FK39" i="17"/>
  <c r="FJ39" i="17"/>
  <c r="FI39" i="17"/>
  <c r="FH39" i="17"/>
  <c r="FG39" i="17"/>
  <c r="FF39" i="17"/>
  <c r="FE39" i="17"/>
  <c r="FD39" i="17"/>
  <c r="FC39" i="17"/>
  <c r="FB39" i="17"/>
  <c r="FA39" i="17"/>
  <c r="EZ39" i="17"/>
  <c r="EY39" i="17"/>
  <c r="EX39" i="17"/>
  <c r="EW39" i="17"/>
  <c r="EV39" i="17"/>
  <c r="EU39" i="17"/>
  <c r="ET39" i="17"/>
  <c r="ES39" i="17"/>
  <c r="ER39" i="17"/>
  <c r="EQ39" i="17"/>
  <c r="EP39" i="17"/>
  <c r="EO39" i="17"/>
  <c r="EN39" i="17"/>
  <c r="EM39" i="17"/>
  <c r="EL39" i="17"/>
  <c r="EK39" i="17"/>
  <c r="EJ39" i="17"/>
  <c r="EI39" i="17"/>
  <c r="EH39" i="17"/>
  <c r="EG39" i="17"/>
  <c r="EF39" i="17"/>
  <c r="EE39" i="17"/>
  <c r="ED39" i="17"/>
  <c r="EC39" i="17"/>
  <c r="EB39" i="17"/>
  <c r="EA39" i="17"/>
  <c r="DZ39" i="17"/>
  <c r="DY39" i="17"/>
  <c r="DX39" i="17"/>
  <c r="DW39" i="17"/>
  <c r="DV39" i="17"/>
  <c r="DU39" i="17"/>
  <c r="DT39" i="17"/>
  <c r="DS39" i="17"/>
  <c r="DR39" i="17"/>
  <c r="DQ39" i="17"/>
  <c r="DP39" i="17"/>
  <c r="DO39" i="17"/>
  <c r="DN39" i="17"/>
  <c r="DM39" i="17"/>
  <c r="DL39" i="17"/>
  <c r="DK39" i="17"/>
  <c r="DJ39" i="17"/>
  <c r="DI39" i="17"/>
  <c r="DH39" i="17"/>
  <c r="DG39" i="17"/>
  <c r="DF39" i="17"/>
  <c r="DE39" i="17"/>
  <c r="DD39" i="17"/>
  <c r="DC39" i="17"/>
  <c r="DB39" i="17"/>
  <c r="DA39" i="17"/>
  <c r="CZ39" i="17"/>
  <c r="CY39" i="17"/>
  <c r="CX39" i="17"/>
  <c r="CW39" i="17"/>
  <c r="CV39" i="17"/>
  <c r="CU39" i="17"/>
  <c r="CT39" i="17"/>
  <c r="CS39" i="17"/>
  <c r="CR39" i="17"/>
  <c r="CQ39" i="17"/>
  <c r="CP39" i="17"/>
  <c r="CO39" i="17"/>
  <c r="CN39" i="17"/>
  <c r="CM39" i="17"/>
  <c r="CL39" i="17"/>
  <c r="CK39" i="17"/>
  <c r="CJ39" i="17"/>
  <c r="CI39" i="17"/>
  <c r="CH39" i="17"/>
  <c r="CG39" i="17"/>
  <c r="CF39" i="17"/>
  <c r="CE39" i="17"/>
  <c r="CD39" i="17"/>
  <c r="CC39" i="17"/>
  <c r="CB39" i="17"/>
  <c r="CA39" i="17"/>
  <c r="BZ39" i="17"/>
  <c r="BY39" i="17"/>
  <c r="BX39" i="17"/>
  <c r="BW39" i="17"/>
  <c r="BV39" i="17"/>
  <c r="BU39" i="17"/>
  <c r="BT39" i="17"/>
  <c r="BS39" i="17"/>
  <c r="BR39" i="17"/>
  <c r="BQ39" i="17"/>
  <c r="BP39" i="17"/>
  <c r="BO39" i="17"/>
  <c r="BN39" i="17"/>
  <c r="BM39" i="17"/>
  <c r="BL39" i="17"/>
  <c r="BK39" i="17"/>
  <c r="BJ39" i="17"/>
  <c r="BI39" i="17"/>
  <c r="BH39" i="17"/>
  <c r="BG39" i="17"/>
  <c r="BF39" i="17"/>
  <c r="BE39" i="17"/>
  <c r="BD39" i="17"/>
  <c r="BC39" i="17"/>
  <c r="BB39" i="17"/>
  <c r="BA39" i="17"/>
  <c r="AZ39" i="17"/>
  <c r="AY39" i="17"/>
  <c r="AX39" i="17"/>
  <c r="AW39" i="17"/>
  <c r="AV39" i="17"/>
  <c r="AU39" i="17"/>
  <c r="AT39" i="17"/>
  <c r="AS39" i="17"/>
  <c r="AR39" i="17"/>
  <c r="AQ39" i="17"/>
  <c r="AP39" i="17"/>
  <c r="AO39" i="17"/>
  <c r="AN39" i="17"/>
  <c r="AM39" i="17"/>
  <c r="AL39" i="17"/>
  <c r="AK39" i="17"/>
  <c r="AJ39" i="17"/>
  <c r="AI39" i="17"/>
  <c r="AH39" i="17"/>
  <c r="AG39" i="17"/>
  <c r="AF39" i="17"/>
  <c r="AE39" i="17"/>
  <c r="AD39" i="17"/>
  <c r="AC39" i="17"/>
  <c r="AB39" i="17"/>
  <c r="AA39" i="17"/>
  <c r="Z39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KC38" i="17"/>
  <c r="KB38" i="17"/>
  <c r="KA38" i="17"/>
  <c r="JZ38" i="17"/>
  <c r="JY38" i="17"/>
  <c r="JU38" i="17"/>
  <c r="JG38" i="17"/>
  <c r="JB38" i="17"/>
  <c r="JA38" i="17"/>
  <c r="IV38" i="17"/>
  <c r="IU38" i="17"/>
  <c r="IT38" i="17"/>
  <c r="IS38" i="17"/>
  <c r="IR38" i="17"/>
  <c r="IQ38" i="17"/>
  <c r="IP38" i="17"/>
  <c r="IO38" i="17"/>
  <c r="IN38" i="17"/>
  <c r="IM38" i="17"/>
  <c r="IL38" i="17"/>
  <c r="IK38" i="17"/>
  <c r="IJ38" i="17"/>
  <c r="II38" i="17"/>
  <c r="IH38" i="17"/>
  <c r="IG38" i="17"/>
  <c r="IF38" i="17"/>
  <c r="HE38" i="17"/>
  <c r="HD38" i="17"/>
  <c r="HC38" i="17"/>
  <c r="HB38" i="17"/>
  <c r="HA38" i="17"/>
  <c r="GZ38" i="17"/>
  <c r="GY38" i="17"/>
  <c r="GX38" i="17"/>
  <c r="GW38" i="17"/>
  <c r="GV38" i="17"/>
  <c r="GU38" i="17"/>
  <c r="GT38" i="17"/>
  <c r="GS38" i="17"/>
  <c r="GR38" i="17"/>
  <c r="GQ38" i="17"/>
  <c r="GP38" i="17"/>
  <c r="GO38" i="17"/>
  <c r="GN38" i="17"/>
  <c r="GM38" i="17"/>
  <c r="GL38" i="17"/>
  <c r="GK38" i="17"/>
  <c r="GJ38" i="17"/>
  <c r="GI38" i="17"/>
  <c r="GH38" i="17"/>
  <c r="GG38" i="17"/>
  <c r="GF38" i="17"/>
  <c r="GE38" i="17"/>
  <c r="GD38" i="17"/>
  <c r="GC38" i="17"/>
  <c r="GB38" i="17"/>
  <c r="GA38" i="17"/>
  <c r="FZ38" i="17"/>
  <c r="FY38" i="17"/>
  <c r="FX38" i="17"/>
  <c r="FW38" i="17"/>
  <c r="FV38" i="17"/>
  <c r="FU38" i="17"/>
  <c r="FT38" i="17"/>
  <c r="FS38" i="17"/>
  <c r="FR38" i="17"/>
  <c r="FQ38" i="17"/>
  <c r="FP38" i="17"/>
  <c r="FO38" i="17"/>
  <c r="FN38" i="17"/>
  <c r="FM38" i="17"/>
  <c r="FL38" i="17"/>
  <c r="FK38" i="17"/>
  <c r="FJ38" i="17"/>
  <c r="FI38" i="17"/>
  <c r="FH38" i="17"/>
  <c r="FG38" i="17"/>
  <c r="FF38" i="17"/>
  <c r="FE38" i="17"/>
  <c r="FD38" i="17"/>
  <c r="FC38" i="17"/>
  <c r="FB38" i="17"/>
  <c r="FA38" i="17"/>
  <c r="EZ38" i="17"/>
  <c r="EY38" i="17"/>
  <c r="EX38" i="17"/>
  <c r="EW38" i="17"/>
  <c r="EV38" i="17"/>
  <c r="EU38" i="17"/>
  <c r="ET38" i="17"/>
  <c r="ES38" i="17"/>
  <c r="ER38" i="17"/>
  <c r="EQ38" i="17"/>
  <c r="EP38" i="17"/>
  <c r="EO38" i="17"/>
  <c r="EN38" i="17"/>
  <c r="EM38" i="17"/>
  <c r="EL38" i="17"/>
  <c r="EK38" i="17"/>
  <c r="EJ38" i="17"/>
  <c r="EI38" i="17"/>
  <c r="EH38" i="17"/>
  <c r="EG38" i="17"/>
  <c r="EF38" i="17"/>
  <c r="EE38" i="17"/>
  <c r="ED38" i="17"/>
  <c r="EC38" i="17"/>
  <c r="EB38" i="17"/>
  <c r="EA38" i="17"/>
  <c r="DZ38" i="17"/>
  <c r="DY38" i="17"/>
  <c r="DX38" i="17"/>
  <c r="DW38" i="17"/>
  <c r="DV38" i="17"/>
  <c r="DU38" i="17"/>
  <c r="DT38" i="17"/>
  <c r="DS38" i="17"/>
  <c r="DR38" i="17"/>
  <c r="DQ38" i="17"/>
  <c r="DP38" i="17"/>
  <c r="DO38" i="17"/>
  <c r="DN38" i="17"/>
  <c r="DM38" i="17"/>
  <c r="DL38" i="17"/>
  <c r="DK38" i="17"/>
  <c r="DJ38" i="17"/>
  <c r="DI38" i="17"/>
  <c r="DH38" i="17"/>
  <c r="DG38" i="17"/>
  <c r="DF38" i="17"/>
  <c r="DE38" i="17"/>
  <c r="DD38" i="17"/>
  <c r="DC38" i="17"/>
  <c r="DB38" i="17"/>
  <c r="DA38" i="17"/>
  <c r="CZ38" i="17"/>
  <c r="CY38" i="17"/>
  <c r="CX38" i="17"/>
  <c r="CW38" i="17"/>
  <c r="CV38" i="17"/>
  <c r="CU38" i="17"/>
  <c r="CT38" i="17"/>
  <c r="CS38" i="17"/>
  <c r="CR38" i="17"/>
  <c r="CQ38" i="17"/>
  <c r="CP38" i="17"/>
  <c r="CO38" i="17"/>
  <c r="CN38" i="17"/>
  <c r="CM38" i="17"/>
  <c r="CL38" i="17"/>
  <c r="CK38" i="17"/>
  <c r="CJ38" i="17"/>
  <c r="CI38" i="17"/>
  <c r="CH38" i="17"/>
  <c r="CG38" i="17"/>
  <c r="CF38" i="17"/>
  <c r="CE38" i="17"/>
  <c r="CD38" i="17"/>
  <c r="CC38" i="17"/>
  <c r="CB38" i="17"/>
  <c r="CA38" i="17"/>
  <c r="BZ38" i="17"/>
  <c r="BY38" i="17"/>
  <c r="BX38" i="17"/>
  <c r="BW38" i="17"/>
  <c r="BV38" i="17"/>
  <c r="BU38" i="17"/>
  <c r="BT38" i="17"/>
  <c r="BS38" i="17"/>
  <c r="BR38" i="17"/>
  <c r="BQ38" i="17"/>
  <c r="BP38" i="17"/>
  <c r="BO38" i="17"/>
  <c r="BN38" i="17"/>
  <c r="BM38" i="17"/>
  <c r="BL38" i="17"/>
  <c r="BK38" i="17"/>
  <c r="BJ38" i="17"/>
  <c r="BI38" i="17"/>
  <c r="BH38" i="17"/>
  <c r="BG38" i="17"/>
  <c r="BF38" i="17"/>
  <c r="BE38" i="17"/>
  <c r="BD38" i="17"/>
  <c r="BC38" i="17"/>
  <c r="BB38" i="17"/>
  <c r="BA38" i="17"/>
  <c r="AZ38" i="17"/>
  <c r="AY38" i="17"/>
  <c r="AX38" i="17"/>
  <c r="AW38" i="17"/>
  <c r="AV38" i="17"/>
  <c r="AU38" i="17"/>
  <c r="AT38" i="17"/>
  <c r="AS38" i="17"/>
  <c r="AR38" i="17"/>
  <c r="AQ38" i="17"/>
  <c r="AP38" i="17"/>
  <c r="AO38" i="17"/>
  <c r="AN38" i="17"/>
  <c r="AM38" i="17"/>
  <c r="AL38" i="17"/>
  <c r="AK38" i="17"/>
  <c r="AJ38" i="17"/>
  <c r="AI38" i="17"/>
  <c r="AH38" i="17"/>
  <c r="AG38" i="17"/>
  <c r="AF38" i="17"/>
  <c r="AE38" i="17"/>
  <c r="AD38" i="17"/>
  <c r="AC38" i="17"/>
  <c r="AB38" i="17"/>
  <c r="AA38" i="17"/>
  <c r="Z38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KC37" i="17"/>
  <c r="KB37" i="17"/>
  <c r="KA37" i="17"/>
  <c r="JZ37" i="17"/>
  <c r="JY37" i="17"/>
  <c r="JU37" i="17"/>
  <c r="JG37" i="17"/>
  <c r="JB37" i="17"/>
  <c r="JA37" i="17"/>
  <c r="IV37" i="17"/>
  <c r="IU37" i="17"/>
  <c r="IT37" i="17"/>
  <c r="IS37" i="17"/>
  <c r="IR37" i="17"/>
  <c r="IQ37" i="17"/>
  <c r="IP37" i="17"/>
  <c r="IO37" i="17"/>
  <c r="IN37" i="17"/>
  <c r="IM37" i="17"/>
  <c r="IL37" i="17"/>
  <c r="IK37" i="17"/>
  <c r="IJ37" i="17"/>
  <c r="II37" i="17"/>
  <c r="IH37" i="17"/>
  <c r="IG37" i="17"/>
  <c r="IF37" i="17"/>
  <c r="HE37" i="17"/>
  <c r="HD37" i="17"/>
  <c r="HC37" i="17"/>
  <c r="HB37" i="17"/>
  <c r="HA37" i="17"/>
  <c r="GZ37" i="17"/>
  <c r="GY37" i="17"/>
  <c r="GX37" i="17"/>
  <c r="GW37" i="17"/>
  <c r="GV37" i="17"/>
  <c r="GU37" i="17"/>
  <c r="GT37" i="17"/>
  <c r="GS37" i="17"/>
  <c r="GR37" i="17"/>
  <c r="GQ37" i="17"/>
  <c r="GP37" i="17"/>
  <c r="GO37" i="17"/>
  <c r="GN37" i="17"/>
  <c r="GM37" i="17"/>
  <c r="GL37" i="17"/>
  <c r="GK37" i="17"/>
  <c r="GJ37" i="17"/>
  <c r="GI37" i="17"/>
  <c r="GH37" i="17"/>
  <c r="GG37" i="17"/>
  <c r="GF37" i="17"/>
  <c r="GE37" i="17"/>
  <c r="GD37" i="17"/>
  <c r="GC37" i="17"/>
  <c r="GB37" i="17"/>
  <c r="GA37" i="17"/>
  <c r="FZ37" i="17"/>
  <c r="FY37" i="17"/>
  <c r="FX37" i="17"/>
  <c r="FW37" i="17"/>
  <c r="FV37" i="17"/>
  <c r="FU37" i="17"/>
  <c r="FT37" i="17"/>
  <c r="FS37" i="17"/>
  <c r="FR37" i="17"/>
  <c r="FQ37" i="17"/>
  <c r="FP37" i="17"/>
  <c r="FO37" i="17"/>
  <c r="FN37" i="17"/>
  <c r="FM37" i="17"/>
  <c r="FL37" i="17"/>
  <c r="FK37" i="17"/>
  <c r="FJ37" i="17"/>
  <c r="FI37" i="17"/>
  <c r="FH37" i="17"/>
  <c r="FG37" i="17"/>
  <c r="FF37" i="17"/>
  <c r="FE37" i="17"/>
  <c r="FD37" i="17"/>
  <c r="FC37" i="17"/>
  <c r="FB37" i="17"/>
  <c r="FA37" i="17"/>
  <c r="EZ37" i="17"/>
  <c r="EY37" i="17"/>
  <c r="EX37" i="17"/>
  <c r="EW37" i="17"/>
  <c r="EV37" i="17"/>
  <c r="EU37" i="17"/>
  <c r="ET37" i="17"/>
  <c r="ES37" i="17"/>
  <c r="ER37" i="17"/>
  <c r="EQ37" i="17"/>
  <c r="EP37" i="17"/>
  <c r="EO37" i="17"/>
  <c r="EN37" i="17"/>
  <c r="EM37" i="17"/>
  <c r="EL37" i="17"/>
  <c r="EK37" i="17"/>
  <c r="EJ37" i="17"/>
  <c r="EI37" i="17"/>
  <c r="EH37" i="17"/>
  <c r="EG37" i="17"/>
  <c r="EF37" i="17"/>
  <c r="EE37" i="17"/>
  <c r="ED37" i="17"/>
  <c r="EC37" i="17"/>
  <c r="EB37" i="17"/>
  <c r="EA37" i="17"/>
  <c r="DZ37" i="17"/>
  <c r="DY37" i="17"/>
  <c r="DX37" i="17"/>
  <c r="DW37" i="17"/>
  <c r="DV37" i="17"/>
  <c r="DU37" i="17"/>
  <c r="DT37" i="17"/>
  <c r="DS37" i="17"/>
  <c r="DR37" i="17"/>
  <c r="DQ37" i="17"/>
  <c r="DP37" i="17"/>
  <c r="DO37" i="17"/>
  <c r="DN37" i="17"/>
  <c r="DM37" i="17"/>
  <c r="DL37" i="17"/>
  <c r="DK37" i="17"/>
  <c r="DJ37" i="17"/>
  <c r="DI37" i="17"/>
  <c r="DH37" i="17"/>
  <c r="DG37" i="17"/>
  <c r="DF37" i="17"/>
  <c r="DE37" i="17"/>
  <c r="DD37" i="17"/>
  <c r="DC37" i="17"/>
  <c r="DB37" i="17"/>
  <c r="DA37" i="17"/>
  <c r="CZ37" i="17"/>
  <c r="CY37" i="17"/>
  <c r="CX37" i="17"/>
  <c r="CW37" i="17"/>
  <c r="CV37" i="17"/>
  <c r="CU37" i="17"/>
  <c r="CT37" i="17"/>
  <c r="CS37" i="17"/>
  <c r="CR37" i="17"/>
  <c r="CQ37" i="17"/>
  <c r="CP37" i="17"/>
  <c r="CO37" i="17"/>
  <c r="CN37" i="17"/>
  <c r="CM37" i="17"/>
  <c r="CL37" i="17"/>
  <c r="CK37" i="17"/>
  <c r="CJ37" i="17"/>
  <c r="CI37" i="17"/>
  <c r="CH37" i="17"/>
  <c r="CG37" i="17"/>
  <c r="CF37" i="17"/>
  <c r="CE37" i="17"/>
  <c r="CD37" i="17"/>
  <c r="CC37" i="17"/>
  <c r="CB37" i="17"/>
  <c r="CA37" i="17"/>
  <c r="BZ37" i="17"/>
  <c r="BY37" i="17"/>
  <c r="BX37" i="17"/>
  <c r="BW37" i="17"/>
  <c r="BV37" i="17"/>
  <c r="BU37" i="17"/>
  <c r="BT37" i="17"/>
  <c r="BS37" i="17"/>
  <c r="BR37" i="17"/>
  <c r="BQ37" i="17"/>
  <c r="BP37" i="17"/>
  <c r="BO37" i="17"/>
  <c r="BN37" i="17"/>
  <c r="BM37" i="17"/>
  <c r="BL37" i="17"/>
  <c r="BK37" i="17"/>
  <c r="BJ37" i="17"/>
  <c r="BI37" i="17"/>
  <c r="BH37" i="17"/>
  <c r="BG37" i="17"/>
  <c r="BF37" i="17"/>
  <c r="BE37" i="17"/>
  <c r="BD37" i="17"/>
  <c r="BC37" i="17"/>
  <c r="BB37" i="17"/>
  <c r="BA37" i="17"/>
  <c r="AZ37" i="17"/>
  <c r="AY37" i="17"/>
  <c r="AX37" i="17"/>
  <c r="AW37" i="17"/>
  <c r="AV37" i="17"/>
  <c r="AU37" i="17"/>
  <c r="AT37" i="17"/>
  <c r="AS37" i="17"/>
  <c r="AR37" i="17"/>
  <c r="AQ37" i="17"/>
  <c r="AP37" i="17"/>
  <c r="AO37" i="17"/>
  <c r="AN37" i="17"/>
  <c r="AM37" i="17"/>
  <c r="AL37" i="17"/>
  <c r="AK37" i="17"/>
  <c r="AJ37" i="17"/>
  <c r="AI37" i="17"/>
  <c r="AH37" i="17"/>
  <c r="AG37" i="17"/>
  <c r="AF37" i="17"/>
  <c r="AE37" i="17"/>
  <c r="AD37" i="17"/>
  <c r="AC37" i="17"/>
  <c r="AB37" i="17"/>
  <c r="AA37" i="17"/>
  <c r="Z37" i="17"/>
  <c r="Y37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KC36" i="17"/>
  <c r="KB36" i="17"/>
  <c r="KA36" i="17"/>
  <c r="JZ36" i="17"/>
  <c r="JY36" i="17"/>
  <c r="JU36" i="17"/>
  <c r="JG36" i="17"/>
  <c r="JB36" i="17"/>
  <c r="JA36" i="17"/>
  <c r="IV36" i="17"/>
  <c r="IU36" i="17"/>
  <c r="IT36" i="17"/>
  <c r="IS36" i="17"/>
  <c r="IR36" i="17"/>
  <c r="IQ36" i="17"/>
  <c r="IP36" i="17"/>
  <c r="IO36" i="17"/>
  <c r="IN36" i="17"/>
  <c r="IM36" i="17"/>
  <c r="IL36" i="17"/>
  <c r="IK36" i="17"/>
  <c r="IJ36" i="17"/>
  <c r="II36" i="17"/>
  <c r="IH36" i="17"/>
  <c r="IG36" i="17"/>
  <c r="IF36" i="17"/>
  <c r="HE36" i="17"/>
  <c r="HD36" i="17"/>
  <c r="HC36" i="17"/>
  <c r="HB36" i="17"/>
  <c r="HA36" i="17"/>
  <c r="GZ36" i="17"/>
  <c r="GY36" i="17"/>
  <c r="GX36" i="17"/>
  <c r="GW36" i="17"/>
  <c r="GV36" i="17"/>
  <c r="GU36" i="17"/>
  <c r="GT36" i="17"/>
  <c r="GS36" i="17"/>
  <c r="GR36" i="17"/>
  <c r="GQ36" i="17"/>
  <c r="GP36" i="17"/>
  <c r="GO36" i="17"/>
  <c r="GN36" i="17"/>
  <c r="GM36" i="17"/>
  <c r="GL36" i="17"/>
  <c r="GK36" i="17"/>
  <c r="GJ36" i="17"/>
  <c r="GI36" i="17"/>
  <c r="GH36" i="17"/>
  <c r="GG36" i="17"/>
  <c r="GF36" i="17"/>
  <c r="GE36" i="17"/>
  <c r="GD36" i="17"/>
  <c r="GC36" i="17"/>
  <c r="GB36" i="17"/>
  <c r="GA36" i="17"/>
  <c r="FZ36" i="17"/>
  <c r="FY36" i="17"/>
  <c r="FX36" i="17"/>
  <c r="FW36" i="17"/>
  <c r="FV36" i="17"/>
  <c r="FU36" i="17"/>
  <c r="FT36" i="17"/>
  <c r="FS36" i="17"/>
  <c r="FR36" i="17"/>
  <c r="FQ36" i="17"/>
  <c r="FP36" i="17"/>
  <c r="FO36" i="17"/>
  <c r="FN36" i="17"/>
  <c r="FM36" i="17"/>
  <c r="FL36" i="17"/>
  <c r="FK36" i="17"/>
  <c r="FJ36" i="17"/>
  <c r="FI36" i="17"/>
  <c r="FH36" i="17"/>
  <c r="FG36" i="17"/>
  <c r="FF36" i="17"/>
  <c r="FE36" i="17"/>
  <c r="FD36" i="17"/>
  <c r="FC36" i="17"/>
  <c r="FB36" i="17"/>
  <c r="FA36" i="17"/>
  <c r="EZ36" i="17"/>
  <c r="EY36" i="17"/>
  <c r="EX36" i="17"/>
  <c r="EW36" i="17"/>
  <c r="EV36" i="17"/>
  <c r="EU36" i="17"/>
  <c r="ET36" i="17"/>
  <c r="ES36" i="17"/>
  <c r="ER36" i="17"/>
  <c r="EQ36" i="17"/>
  <c r="EP36" i="17"/>
  <c r="EO36" i="17"/>
  <c r="EN36" i="17"/>
  <c r="EM36" i="17"/>
  <c r="EL36" i="17"/>
  <c r="EK36" i="17"/>
  <c r="EJ36" i="17"/>
  <c r="EI36" i="17"/>
  <c r="EH36" i="17"/>
  <c r="EG36" i="17"/>
  <c r="EF36" i="17"/>
  <c r="EE36" i="17"/>
  <c r="ED36" i="17"/>
  <c r="EC36" i="17"/>
  <c r="EB36" i="17"/>
  <c r="EA36" i="17"/>
  <c r="DZ36" i="17"/>
  <c r="DY36" i="17"/>
  <c r="DX36" i="17"/>
  <c r="DW36" i="17"/>
  <c r="DV36" i="17"/>
  <c r="DU36" i="17"/>
  <c r="DT36" i="17"/>
  <c r="DS36" i="17"/>
  <c r="DR36" i="17"/>
  <c r="DQ36" i="17"/>
  <c r="DP36" i="17"/>
  <c r="DO36" i="17"/>
  <c r="DN36" i="17"/>
  <c r="DM36" i="17"/>
  <c r="DL36" i="17"/>
  <c r="DK36" i="17"/>
  <c r="DJ36" i="17"/>
  <c r="DI36" i="17"/>
  <c r="DH36" i="17"/>
  <c r="DG36" i="17"/>
  <c r="DF36" i="17"/>
  <c r="DE36" i="17"/>
  <c r="DD36" i="17"/>
  <c r="DC36" i="17"/>
  <c r="DB36" i="17"/>
  <c r="DA36" i="17"/>
  <c r="CZ36" i="17"/>
  <c r="CY36" i="17"/>
  <c r="CX36" i="17"/>
  <c r="CW36" i="17"/>
  <c r="CV36" i="17"/>
  <c r="CU36" i="17"/>
  <c r="CT36" i="17"/>
  <c r="CS36" i="17"/>
  <c r="CR36" i="17"/>
  <c r="CQ36" i="17"/>
  <c r="CP36" i="17"/>
  <c r="CO36" i="17"/>
  <c r="CN36" i="17"/>
  <c r="CM36" i="17"/>
  <c r="CL36" i="17"/>
  <c r="CK36" i="17"/>
  <c r="CJ36" i="17"/>
  <c r="CI36" i="17"/>
  <c r="CH36" i="17"/>
  <c r="CG36" i="17"/>
  <c r="CF36" i="17"/>
  <c r="CE36" i="17"/>
  <c r="CD36" i="17"/>
  <c r="CC36" i="17"/>
  <c r="CB36" i="17"/>
  <c r="CA36" i="17"/>
  <c r="BZ36" i="17"/>
  <c r="BY36" i="17"/>
  <c r="BX36" i="17"/>
  <c r="BW36" i="17"/>
  <c r="BV36" i="17"/>
  <c r="BU36" i="17"/>
  <c r="BT36" i="17"/>
  <c r="BS36" i="17"/>
  <c r="BR36" i="17"/>
  <c r="BQ36" i="17"/>
  <c r="BP36" i="17"/>
  <c r="BO36" i="17"/>
  <c r="BN36" i="17"/>
  <c r="BM36" i="17"/>
  <c r="BL36" i="17"/>
  <c r="BK36" i="17"/>
  <c r="BJ36" i="17"/>
  <c r="BI36" i="17"/>
  <c r="BH36" i="17"/>
  <c r="BG36" i="17"/>
  <c r="BF36" i="17"/>
  <c r="BE36" i="17"/>
  <c r="BD36" i="17"/>
  <c r="BC36" i="17"/>
  <c r="BB36" i="17"/>
  <c r="BA36" i="17"/>
  <c r="AZ36" i="17"/>
  <c r="AY36" i="17"/>
  <c r="AX36" i="17"/>
  <c r="AW36" i="17"/>
  <c r="AV36" i="17"/>
  <c r="AU36" i="17"/>
  <c r="AT36" i="17"/>
  <c r="AS36" i="17"/>
  <c r="AR36" i="17"/>
  <c r="AQ36" i="17"/>
  <c r="AP36" i="17"/>
  <c r="AO36" i="17"/>
  <c r="AN36" i="17"/>
  <c r="AM36" i="17"/>
  <c r="AL36" i="17"/>
  <c r="AK36" i="17"/>
  <c r="AJ36" i="17"/>
  <c r="AI36" i="17"/>
  <c r="AH36" i="17"/>
  <c r="AG36" i="17"/>
  <c r="AF36" i="17"/>
  <c r="AE36" i="17"/>
  <c r="AD36" i="17"/>
  <c r="AC36" i="17"/>
  <c r="AB36" i="17"/>
  <c r="AA36" i="17"/>
  <c r="Z36" i="17"/>
  <c r="Y36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KC35" i="17"/>
  <c r="KB35" i="17"/>
  <c r="KA35" i="17"/>
  <c r="JZ35" i="17"/>
  <c r="JY35" i="17"/>
  <c r="JU35" i="17"/>
  <c r="JG35" i="17"/>
  <c r="JB35" i="17"/>
  <c r="JA35" i="17"/>
  <c r="IV35" i="17"/>
  <c r="IU35" i="17"/>
  <c r="IT35" i="17"/>
  <c r="IS35" i="17"/>
  <c r="IR35" i="17"/>
  <c r="IQ35" i="17"/>
  <c r="IP35" i="17"/>
  <c r="IO35" i="17"/>
  <c r="IN35" i="17"/>
  <c r="IM35" i="17"/>
  <c r="IL35" i="17"/>
  <c r="IK35" i="17"/>
  <c r="IJ35" i="17"/>
  <c r="II35" i="17"/>
  <c r="IH35" i="17"/>
  <c r="IG35" i="17"/>
  <c r="IF35" i="17"/>
  <c r="HE35" i="17"/>
  <c r="HD35" i="17"/>
  <c r="HC35" i="17"/>
  <c r="HB35" i="17"/>
  <c r="HA35" i="17"/>
  <c r="GZ35" i="17"/>
  <c r="GY35" i="17"/>
  <c r="GX35" i="17"/>
  <c r="GW35" i="17"/>
  <c r="GV35" i="17"/>
  <c r="GU35" i="17"/>
  <c r="GT35" i="17"/>
  <c r="GS35" i="17"/>
  <c r="GR35" i="17"/>
  <c r="GQ35" i="17"/>
  <c r="GP35" i="17"/>
  <c r="GO35" i="17"/>
  <c r="GN35" i="17"/>
  <c r="GM35" i="17"/>
  <c r="GL35" i="17"/>
  <c r="GK35" i="17"/>
  <c r="GJ35" i="17"/>
  <c r="GI35" i="17"/>
  <c r="GH35" i="17"/>
  <c r="GG35" i="17"/>
  <c r="GF35" i="17"/>
  <c r="GE35" i="17"/>
  <c r="GD35" i="17"/>
  <c r="GC35" i="17"/>
  <c r="GB35" i="17"/>
  <c r="GA35" i="17"/>
  <c r="FZ35" i="17"/>
  <c r="FY35" i="17"/>
  <c r="FX35" i="17"/>
  <c r="FW35" i="17"/>
  <c r="FV35" i="17"/>
  <c r="FU35" i="17"/>
  <c r="FT35" i="17"/>
  <c r="FS35" i="17"/>
  <c r="FR35" i="17"/>
  <c r="FQ35" i="17"/>
  <c r="FP35" i="17"/>
  <c r="FO35" i="17"/>
  <c r="FN35" i="17"/>
  <c r="FM35" i="17"/>
  <c r="FL35" i="17"/>
  <c r="FK35" i="17"/>
  <c r="FJ35" i="17"/>
  <c r="FI35" i="17"/>
  <c r="FH35" i="17"/>
  <c r="FG35" i="17"/>
  <c r="FF35" i="17"/>
  <c r="FE35" i="17"/>
  <c r="FD35" i="17"/>
  <c r="FC35" i="17"/>
  <c r="FB35" i="17"/>
  <c r="FA35" i="17"/>
  <c r="EZ35" i="17"/>
  <c r="EY35" i="17"/>
  <c r="EX35" i="17"/>
  <c r="EW35" i="17"/>
  <c r="EV35" i="17"/>
  <c r="EU35" i="17"/>
  <c r="ET35" i="17"/>
  <c r="ES35" i="17"/>
  <c r="ER35" i="17"/>
  <c r="EQ35" i="17"/>
  <c r="EP35" i="17"/>
  <c r="EO35" i="17"/>
  <c r="EN35" i="17"/>
  <c r="EM35" i="17"/>
  <c r="EL35" i="17"/>
  <c r="EK35" i="17"/>
  <c r="EJ35" i="17"/>
  <c r="EI35" i="17"/>
  <c r="EH35" i="17"/>
  <c r="EG35" i="17"/>
  <c r="EF35" i="17"/>
  <c r="EE35" i="17"/>
  <c r="ED35" i="17"/>
  <c r="EC35" i="17"/>
  <c r="EB35" i="17"/>
  <c r="EA35" i="17"/>
  <c r="DZ35" i="17"/>
  <c r="DY35" i="17"/>
  <c r="DX35" i="17"/>
  <c r="DW35" i="17"/>
  <c r="DV35" i="17"/>
  <c r="DU35" i="17"/>
  <c r="DT35" i="17"/>
  <c r="DS35" i="17"/>
  <c r="DR35" i="17"/>
  <c r="DQ35" i="17"/>
  <c r="DP35" i="17"/>
  <c r="DO35" i="17"/>
  <c r="DN35" i="17"/>
  <c r="DM35" i="17"/>
  <c r="DL35" i="17"/>
  <c r="DK35" i="17"/>
  <c r="DJ35" i="17"/>
  <c r="DI35" i="17"/>
  <c r="DH35" i="17"/>
  <c r="DG35" i="17"/>
  <c r="DF35" i="17"/>
  <c r="DE35" i="17"/>
  <c r="DD35" i="17"/>
  <c r="DC35" i="17"/>
  <c r="DB35" i="17"/>
  <c r="DA35" i="17"/>
  <c r="CZ35" i="17"/>
  <c r="CY35" i="17"/>
  <c r="CX35" i="17"/>
  <c r="CW35" i="17"/>
  <c r="CV35" i="17"/>
  <c r="CU35" i="17"/>
  <c r="CT35" i="17"/>
  <c r="CS35" i="17"/>
  <c r="CR35" i="17"/>
  <c r="CQ35" i="17"/>
  <c r="CP35" i="17"/>
  <c r="CO35" i="17"/>
  <c r="CN35" i="17"/>
  <c r="CM35" i="17"/>
  <c r="CL35" i="17"/>
  <c r="CK35" i="17"/>
  <c r="CJ35" i="17"/>
  <c r="CI35" i="17"/>
  <c r="CH35" i="17"/>
  <c r="CG35" i="17"/>
  <c r="CF35" i="17"/>
  <c r="CE35" i="17"/>
  <c r="CD35" i="17"/>
  <c r="CC35" i="17"/>
  <c r="CB35" i="17"/>
  <c r="CA35" i="17"/>
  <c r="BZ35" i="17"/>
  <c r="BY35" i="17"/>
  <c r="BX35" i="17"/>
  <c r="BW35" i="17"/>
  <c r="BV35" i="17"/>
  <c r="BU35" i="17"/>
  <c r="BT35" i="17"/>
  <c r="BS35" i="17"/>
  <c r="BR35" i="17"/>
  <c r="BQ35" i="17"/>
  <c r="BP35" i="17"/>
  <c r="BO35" i="17"/>
  <c r="BN35" i="17"/>
  <c r="BM35" i="17"/>
  <c r="BL35" i="17"/>
  <c r="BK35" i="17"/>
  <c r="BJ35" i="17"/>
  <c r="BI35" i="17"/>
  <c r="BH35" i="17"/>
  <c r="BG35" i="17"/>
  <c r="BF35" i="17"/>
  <c r="BE35" i="17"/>
  <c r="BD35" i="17"/>
  <c r="BC35" i="17"/>
  <c r="BB35" i="17"/>
  <c r="BA35" i="17"/>
  <c r="AZ35" i="17"/>
  <c r="AY35" i="17"/>
  <c r="AX35" i="17"/>
  <c r="AW35" i="17"/>
  <c r="AV35" i="17"/>
  <c r="AU35" i="17"/>
  <c r="AT35" i="17"/>
  <c r="AS35" i="17"/>
  <c r="AR35" i="17"/>
  <c r="AQ35" i="17"/>
  <c r="AP35" i="17"/>
  <c r="AO35" i="17"/>
  <c r="AN35" i="17"/>
  <c r="AM35" i="17"/>
  <c r="AL35" i="17"/>
  <c r="AK35" i="17"/>
  <c r="AJ35" i="17"/>
  <c r="AI35" i="17"/>
  <c r="AH35" i="17"/>
  <c r="AG35" i="17"/>
  <c r="AF35" i="17"/>
  <c r="AE35" i="17"/>
  <c r="AD35" i="17"/>
  <c r="AC35" i="17"/>
  <c r="AB35" i="17"/>
  <c r="AA35" i="17"/>
  <c r="Z35" i="17"/>
  <c r="Y35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KC34" i="17"/>
  <c r="KB34" i="17"/>
  <c r="KA34" i="17"/>
  <c r="JZ34" i="17"/>
  <c r="JY34" i="17"/>
  <c r="JU34" i="17"/>
  <c r="JG34" i="17"/>
  <c r="JB34" i="17"/>
  <c r="JA34" i="17"/>
  <c r="IV34" i="17"/>
  <c r="IU34" i="17"/>
  <c r="IT34" i="17"/>
  <c r="IS34" i="17"/>
  <c r="IR34" i="17"/>
  <c r="IQ34" i="17"/>
  <c r="IP34" i="17"/>
  <c r="IO34" i="17"/>
  <c r="IN34" i="17"/>
  <c r="IM34" i="17"/>
  <c r="IL34" i="17"/>
  <c r="IK34" i="17"/>
  <c r="IJ34" i="17"/>
  <c r="II34" i="17"/>
  <c r="IH34" i="17"/>
  <c r="IG34" i="17"/>
  <c r="IF34" i="17"/>
  <c r="HE34" i="17"/>
  <c r="HD34" i="17"/>
  <c r="HC34" i="17"/>
  <c r="HB34" i="17"/>
  <c r="HA34" i="17"/>
  <c r="GZ34" i="17"/>
  <c r="GY34" i="17"/>
  <c r="GX34" i="17"/>
  <c r="GW34" i="17"/>
  <c r="GV34" i="17"/>
  <c r="GU34" i="17"/>
  <c r="GT34" i="17"/>
  <c r="GS34" i="17"/>
  <c r="GR34" i="17"/>
  <c r="GQ34" i="17"/>
  <c r="GP34" i="17"/>
  <c r="GO34" i="17"/>
  <c r="GN34" i="17"/>
  <c r="GM34" i="17"/>
  <c r="GL34" i="17"/>
  <c r="GK34" i="17"/>
  <c r="GJ34" i="17"/>
  <c r="GI34" i="17"/>
  <c r="GH34" i="17"/>
  <c r="GG34" i="17"/>
  <c r="GF34" i="17"/>
  <c r="GE34" i="17"/>
  <c r="GD34" i="17"/>
  <c r="GC34" i="17"/>
  <c r="GB34" i="17"/>
  <c r="GA34" i="17"/>
  <c r="FZ34" i="17"/>
  <c r="FY34" i="17"/>
  <c r="FX34" i="17"/>
  <c r="FW34" i="17"/>
  <c r="FV34" i="17"/>
  <c r="FU34" i="17"/>
  <c r="FT34" i="17"/>
  <c r="FS34" i="17"/>
  <c r="FR34" i="17"/>
  <c r="FQ34" i="17"/>
  <c r="FP34" i="17"/>
  <c r="FO34" i="17"/>
  <c r="FN34" i="17"/>
  <c r="FM34" i="17"/>
  <c r="FL34" i="17"/>
  <c r="FK34" i="17"/>
  <c r="FJ34" i="17"/>
  <c r="FI34" i="17"/>
  <c r="FH34" i="17"/>
  <c r="FG34" i="17"/>
  <c r="FF34" i="17"/>
  <c r="FE34" i="17"/>
  <c r="FD34" i="17"/>
  <c r="FC34" i="17"/>
  <c r="FB34" i="17"/>
  <c r="FA34" i="17"/>
  <c r="EZ34" i="17"/>
  <c r="EY34" i="17"/>
  <c r="EX34" i="17"/>
  <c r="EW34" i="17"/>
  <c r="EV34" i="17"/>
  <c r="EU34" i="17"/>
  <c r="ET34" i="17"/>
  <c r="ES34" i="17"/>
  <c r="ER34" i="17"/>
  <c r="EQ34" i="17"/>
  <c r="EP34" i="17"/>
  <c r="EO34" i="17"/>
  <c r="EN34" i="17"/>
  <c r="EM34" i="17"/>
  <c r="EL34" i="17"/>
  <c r="EK34" i="17"/>
  <c r="EJ34" i="17"/>
  <c r="EI34" i="17"/>
  <c r="EH34" i="17"/>
  <c r="EG34" i="17"/>
  <c r="EF34" i="17"/>
  <c r="EE34" i="17"/>
  <c r="ED34" i="17"/>
  <c r="EC34" i="17"/>
  <c r="EB34" i="17"/>
  <c r="EA34" i="17"/>
  <c r="DZ34" i="17"/>
  <c r="DY34" i="17"/>
  <c r="DX34" i="17"/>
  <c r="DW34" i="17"/>
  <c r="DV34" i="17"/>
  <c r="DU34" i="17"/>
  <c r="DT34" i="17"/>
  <c r="DS34" i="17"/>
  <c r="DR34" i="17"/>
  <c r="DQ34" i="17"/>
  <c r="DP34" i="17"/>
  <c r="DO34" i="17"/>
  <c r="DN34" i="17"/>
  <c r="DM34" i="17"/>
  <c r="DL34" i="17"/>
  <c r="DK34" i="17"/>
  <c r="DJ34" i="17"/>
  <c r="DI34" i="17"/>
  <c r="DH34" i="17"/>
  <c r="DG34" i="17"/>
  <c r="DF34" i="17"/>
  <c r="DE34" i="17"/>
  <c r="DD34" i="17"/>
  <c r="DC34" i="17"/>
  <c r="DB34" i="17"/>
  <c r="DA34" i="17"/>
  <c r="CZ34" i="17"/>
  <c r="CY34" i="17"/>
  <c r="CX34" i="17"/>
  <c r="CW34" i="17"/>
  <c r="CV34" i="17"/>
  <c r="CU34" i="17"/>
  <c r="CT34" i="17"/>
  <c r="CS34" i="17"/>
  <c r="CR34" i="17"/>
  <c r="CQ34" i="17"/>
  <c r="CP34" i="17"/>
  <c r="CO34" i="17"/>
  <c r="CN34" i="17"/>
  <c r="CM34" i="17"/>
  <c r="CL34" i="17"/>
  <c r="CK34" i="17"/>
  <c r="CJ34" i="17"/>
  <c r="CI34" i="17"/>
  <c r="CH34" i="17"/>
  <c r="CG34" i="17"/>
  <c r="CF34" i="17"/>
  <c r="CE34" i="17"/>
  <c r="CD34" i="17"/>
  <c r="CC34" i="17"/>
  <c r="CB34" i="17"/>
  <c r="CA34" i="17"/>
  <c r="BZ34" i="17"/>
  <c r="BY34" i="17"/>
  <c r="BX34" i="17"/>
  <c r="BW34" i="17"/>
  <c r="BV34" i="17"/>
  <c r="BU34" i="17"/>
  <c r="BT34" i="17"/>
  <c r="BS34" i="17"/>
  <c r="BR34" i="17"/>
  <c r="BQ34" i="17"/>
  <c r="BP34" i="17"/>
  <c r="BO34" i="17"/>
  <c r="BN34" i="17"/>
  <c r="BM34" i="17"/>
  <c r="BL34" i="17"/>
  <c r="BK34" i="17"/>
  <c r="BJ34" i="17"/>
  <c r="BI34" i="17"/>
  <c r="BH34" i="17"/>
  <c r="BG34" i="17"/>
  <c r="BF34" i="17"/>
  <c r="BE34" i="17"/>
  <c r="BD34" i="17"/>
  <c r="BC34" i="17"/>
  <c r="BB34" i="17"/>
  <c r="BA34" i="17"/>
  <c r="AZ34" i="17"/>
  <c r="AY34" i="17"/>
  <c r="AX34" i="17"/>
  <c r="AW34" i="17"/>
  <c r="AV34" i="17"/>
  <c r="AU34" i="17"/>
  <c r="AT34" i="17"/>
  <c r="AS34" i="17"/>
  <c r="AR34" i="17"/>
  <c r="AQ34" i="17"/>
  <c r="AP34" i="17"/>
  <c r="AO34" i="17"/>
  <c r="AN34" i="17"/>
  <c r="AM34" i="17"/>
  <c r="AL34" i="17"/>
  <c r="AK34" i="17"/>
  <c r="AJ34" i="17"/>
  <c r="AI34" i="17"/>
  <c r="AH34" i="17"/>
  <c r="AG34" i="17"/>
  <c r="AF34" i="17"/>
  <c r="AE34" i="17"/>
  <c r="AD34" i="17"/>
  <c r="AC34" i="17"/>
  <c r="AB34" i="17"/>
  <c r="AA34" i="17"/>
  <c r="Z34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KC33" i="17"/>
  <c r="KB33" i="17"/>
  <c r="KA33" i="17"/>
  <c r="JZ33" i="17"/>
  <c r="JY33" i="17"/>
  <c r="JU33" i="17"/>
  <c r="JG33" i="17"/>
  <c r="JB33" i="17"/>
  <c r="JA33" i="17"/>
  <c r="IV33" i="17"/>
  <c r="IU33" i="17"/>
  <c r="IT33" i="17"/>
  <c r="IS33" i="17"/>
  <c r="IR33" i="17"/>
  <c r="IQ33" i="17"/>
  <c r="IP33" i="17"/>
  <c r="IO33" i="17"/>
  <c r="IN33" i="17"/>
  <c r="IM33" i="17"/>
  <c r="IL33" i="17"/>
  <c r="IK33" i="17"/>
  <c r="IJ33" i="17"/>
  <c r="II33" i="17"/>
  <c r="IH33" i="17"/>
  <c r="IG33" i="17"/>
  <c r="IF33" i="17"/>
  <c r="HE33" i="17"/>
  <c r="HD33" i="17"/>
  <c r="HC33" i="17"/>
  <c r="HB33" i="17"/>
  <c r="HA33" i="17"/>
  <c r="GZ33" i="17"/>
  <c r="GY33" i="17"/>
  <c r="GX33" i="17"/>
  <c r="GW33" i="17"/>
  <c r="GV33" i="17"/>
  <c r="GU33" i="17"/>
  <c r="GT33" i="17"/>
  <c r="GS33" i="17"/>
  <c r="GR33" i="17"/>
  <c r="GQ33" i="17"/>
  <c r="GP33" i="17"/>
  <c r="GO33" i="17"/>
  <c r="GN33" i="17"/>
  <c r="GM33" i="17"/>
  <c r="GL33" i="17"/>
  <c r="GK33" i="17"/>
  <c r="GJ33" i="17"/>
  <c r="GI33" i="17"/>
  <c r="GH33" i="17"/>
  <c r="GG33" i="17"/>
  <c r="GF33" i="17"/>
  <c r="GE33" i="17"/>
  <c r="GD33" i="17"/>
  <c r="GC33" i="17"/>
  <c r="GB33" i="17"/>
  <c r="GA33" i="17"/>
  <c r="FZ33" i="17"/>
  <c r="FY33" i="17"/>
  <c r="FX33" i="17"/>
  <c r="FW33" i="17"/>
  <c r="FV33" i="17"/>
  <c r="FU33" i="17"/>
  <c r="FT33" i="17"/>
  <c r="FS33" i="17"/>
  <c r="FR33" i="17"/>
  <c r="FQ33" i="17"/>
  <c r="FP33" i="17"/>
  <c r="FO33" i="17"/>
  <c r="FN33" i="17"/>
  <c r="FM33" i="17"/>
  <c r="FL33" i="17"/>
  <c r="FK33" i="17"/>
  <c r="FJ33" i="17"/>
  <c r="FI33" i="17"/>
  <c r="FH33" i="17"/>
  <c r="FG33" i="17"/>
  <c r="FF33" i="17"/>
  <c r="FE33" i="17"/>
  <c r="FD33" i="17"/>
  <c r="FC33" i="17"/>
  <c r="FB33" i="17"/>
  <c r="FA33" i="17"/>
  <c r="EZ33" i="17"/>
  <c r="EY33" i="17"/>
  <c r="EX33" i="17"/>
  <c r="EW33" i="17"/>
  <c r="EV33" i="17"/>
  <c r="EU33" i="17"/>
  <c r="ET33" i="17"/>
  <c r="ES33" i="17"/>
  <c r="ER33" i="17"/>
  <c r="EQ33" i="17"/>
  <c r="EP33" i="17"/>
  <c r="EO33" i="17"/>
  <c r="EN33" i="17"/>
  <c r="EM33" i="17"/>
  <c r="EL33" i="17"/>
  <c r="EK33" i="17"/>
  <c r="EJ33" i="17"/>
  <c r="EI33" i="17"/>
  <c r="EH33" i="17"/>
  <c r="EG33" i="17"/>
  <c r="EF33" i="17"/>
  <c r="EE33" i="17"/>
  <c r="ED33" i="17"/>
  <c r="EC33" i="17"/>
  <c r="EB33" i="17"/>
  <c r="EA33" i="17"/>
  <c r="DZ33" i="17"/>
  <c r="DY33" i="17"/>
  <c r="DX33" i="17"/>
  <c r="DW33" i="17"/>
  <c r="DV33" i="17"/>
  <c r="DU33" i="17"/>
  <c r="DT33" i="17"/>
  <c r="DS33" i="17"/>
  <c r="DR33" i="17"/>
  <c r="DQ33" i="17"/>
  <c r="DP33" i="17"/>
  <c r="DO33" i="17"/>
  <c r="DN33" i="17"/>
  <c r="DM33" i="17"/>
  <c r="DL33" i="17"/>
  <c r="DK33" i="17"/>
  <c r="DJ33" i="17"/>
  <c r="DI33" i="17"/>
  <c r="DH33" i="17"/>
  <c r="DG33" i="17"/>
  <c r="DF33" i="17"/>
  <c r="DE33" i="17"/>
  <c r="DD33" i="17"/>
  <c r="DC33" i="17"/>
  <c r="DB33" i="17"/>
  <c r="DA33" i="17"/>
  <c r="CZ33" i="17"/>
  <c r="CY33" i="17"/>
  <c r="CX33" i="17"/>
  <c r="CW33" i="17"/>
  <c r="CV33" i="17"/>
  <c r="CU33" i="17"/>
  <c r="CT33" i="17"/>
  <c r="CS33" i="17"/>
  <c r="CR33" i="17"/>
  <c r="CQ33" i="17"/>
  <c r="CP33" i="17"/>
  <c r="CO33" i="17"/>
  <c r="CN33" i="17"/>
  <c r="CM33" i="17"/>
  <c r="CL33" i="17"/>
  <c r="CK33" i="17"/>
  <c r="CJ33" i="17"/>
  <c r="CI33" i="17"/>
  <c r="CH33" i="17"/>
  <c r="CG33" i="17"/>
  <c r="CF33" i="17"/>
  <c r="CE33" i="17"/>
  <c r="CD33" i="17"/>
  <c r="CC33" i="17"/>
  <c r="CB33" i="17"/>
  <c r="CA33" i="17"/>
  <c r="BZ33" i="17"/>
  <c r="BY33" i="17"/>
  <c r="BX33" i="17"/>
  <c r="BW33" i="17"/>
  <c r="BV33" i="17"/>
  <c r="BU33" i="17"/>
  <c r="BT33" i="17"/>
  <c r="BS33" i="17"/>
  <c r="BR33" i="17"/>
  <c r="BQ33" i="17"/>
  <c r="BP33" i="17"/>
  <c r="BO33" i="17"/>
  <c r="BN33" i="17"/>
  <c r="BM33" i="17"/>
  <c r="BL33" i="17"/>
  <c r="BK33" i="17"/>
  <c r="BJ33" i="17"/>
  <c r="BI33" i="17"/>
  <c r="BH33" i="17"/>
  <c r="BG33" i="17"/>
  <c r="BF33" i="17"/>
  <c r="BE33" i="17"/>
  <c r="BD33" i="17"/>
  <c r="BC33" i="17"/>
  <c r="BB33" i="17"/>
  <c r="BA33" i="17"/>
  <c r="AZ33" i="17"/>
  <c r="AY33" i="17"/>
  <c r="AX33" i="17"/>
  <c r="AW33" i="17"/>
  <c r="AV33" i="17"/>
  <c r="AU33" i="17"/>
  <c r="AT33" i="17"/>
  <c r="AS33" i="17"/>
  <c r="AR33" i="17"/>
  <c r="AQ33" i="17"/>
  <c r="AP33" i="17"/>
  <c r="AO33" i="17"/>
  <c r="AN33" i="17"/>
  <c r="AM33" i="17"/>
  <c r="AL33" i="17"/>
  <c r="AK33" i="17"/>
  <c r="AJ33" i="17"/>
  <c r="AI33" i="17"/>
  <c r="AH33" i="17"/>
  <c r="AG33" i="17"/>
  <c r="AF33" i="17"/>
  <c r="AE33" i="17"/>
  <c r="AD33" i="17"/>
  <c r="AC33" i="17"/>
  <c r="AB33" i="17"/>
  <c r="AA33" i="17"/>
  <c r="Z33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KC32" i="17"/>
  <c r="KB32" i="17"/>
  <c r="KA32" i="17"/>
  <c r="JZ32" i="17"/>
  <c r="JY32" i="17"/>
  <c r="JU32" i="17"/>
  <c r="JG32" i="17"/>
  <c r="JB32" i="17"/>
  <c r="JA32" i="17"/>
  <c r="IV32" i="17"/>
  <c r="IU32" i="17"/>
  <c r="IT32" i="17"/>
  <c r="IS32" i="17"/>
  <c r="IR32" i="17"/>
  <c r="IQ32" i="17"/>
  <c r="IP32" i="17"/>
  <c r="IO32" i="17"/>
  <c r="IN32" i="17"/>
  <c r="IM32" i="17"/>
  <c r="IL32" i="17"/>
  <c r="IK32" i="17"/>
  <c r="IJ32" i="17"/>
  <c r="II32" i="17"/>
  <c r="IH32" i="17"/>
  <c r="IG32" i="17"/>
  <c r="IF32" i="17"/>
  <c r="HE32" i="17"/>
  <c r="HD32" i="17"/>
  <c r="HC32" i="17"/>
  <c r="HB32" i="17"/>
  <c r="HA32" i="17"/>
  <c r="GZ32" i="17"/>
  <c r="GY32" i="17"/>
  <c r="GX32" i="17"/>
  <c r="GW32" i="17"/>
  <c r="GV32" i="17"/>
  <c r="GU32" i="17"/>
  <c r="GT32" i="17"/>
  <c r="GS32" i="17"/>
  <c r="GR32" i="17"/>
  <c r="GQ32" i="17"/>
  <c r="GP32" i="17"/>
  <c r="GO32" i="17"/>
  <c r="GN32" i="17"/>
  <c r="GM32" i="17"/>
  <c r="GL32" i="17"/>
  <c r="GK32" i="17"/>
  <c r="GJ32" i="17"/>
  <c r="GI32" i="17"/>
  <c r="GH32" i="17"/>
  <c r="GG32" i="17"/>
  <c r="GF32" i="17"/>
  <c r="GE32" i="17"/>
  <c r="GD32" i="17"/>
  <c r="GC32" i="17"/>
  <c r="GB32" i="17"/>
  <c r="GA32" i="17"/>
  <c r="FZ32" i="17"/>
  <c r="FY32" i="17"/>
  <c r="FX32" i="17"/>
  <c r="FW32" i="17"/>
  <c r="FV32" i="17"/>
  <c r="FU32" i="17"/>
  <c r="FT32" i="17"/>
  <c r="FS32" i="17"/>
  <c r="FR32" i="17"/>
  <c r="FQ32" i="17"/>
  <c r="FP32" i="17"/>
  <c r="FO32" i="17"/>
  <c r="FN32" i="17"/>
  <c r="FM32" i="17"/>
  <c r="FL32" i="17"/>
  <c r="FK32" i="17"/>
  <c r="FJ32" i="17"/>
  <c r="FI32" i="17"/>
  <c r="FH32" i="17"/>
  <c r="FG32" i="17"/>
  <c r="FF32" i="17"/>
  <c r="FE32" i="17"/>
  <c r="FD32" i="17"/>
  <c r="FC32" i="17"/>
  <c r="FB32" i="17"/>
  <c r="FA32" i="17"/>
  <c r="EZ32" i="17"/>
  <c r="EY32" i="17"/>
  <c r="EX32" i="17"/>
  <c r="EW32" i="17"/>
  <c r="EV32" i="17"/>
  <c r="EU32" i="17"/>
  <c r="ET32" i="17"/>
  <c r="ES32" i="17"/>
  <c r="ER32" i="17"/>
  <c r="EQ32" i="17"/>
  <c r="EP32" i="17"/>
  <c r="EO32" i="17"/>
  <c r="EN32" i="17"/>
  <c r="EM32" i="17"/>
  <c r="EL32" i="17"/>
  <c r="EK32" i="17"/>
  <c r="EJ32" i="17"/>
  <c r="EI32" i="17"/>
  <c r="EH32" i="17"/>
  <c r="EG32" i="17"/>
  <c r="EF32" i="17"/>
  <c r="EE32" i="17"/>
  <c r="ED32" i="17"/>
  <c r="EC32" i="17"/>
  <c r="EB32" i="17"/>
  <c r="EA32" i="17"/>
  <c r="DZ32" i="17"/>
  <c r="DY32" i="17"/>
  <c r="DX32" i="17"/>
  <c r="DW32" i="17"/>
  <c r="DV32" i="17"/>
  <c r="DU32" i="17"/>
  <c r="DT32" i="17"/>
  <c r="DS32" i="17"/>
  <c r="DR32" i="17"/>
  <c r="DQ32" i="17"/>
  <c r="DP32" i="17"/>
  <c r="DO32" i="17"/>
  <c r="DN32" i="17"/>
  <c r="DM32" i="17"/>
  <c r="DL32" i="17"/>
  <c r="DK32" i="17"/>
  <c r="DJ32" i="17"/>
  <c r="DI32" i="17"/>
  <c r="DH32" i="17"/>
  <c r="DG32" i="17"/>
  <c r="DF32" i="17"/>
  <c r="DE32" i="17"/>
  <c r="DD32" i="17"/>
  <c r="DC32" i="17"/>
  <c r="DB32" i="17"/>
  <c r="DA32" i="17"/>
  <c r="CZ32" i="17"/>
  <c r="CY32" i="17"/>
  <c r="CX32" i="17"/>
  <c r="CW32" i="17"/>
  <c r="CV32" i="17"/>
  <c r="CU32" i="17"/>
  <c r="CT32" i="17"/>
  <c r="CS32" i="17"/>
  <c r="CR32" i="17"/>
  <c r="CQ32" i="17"/>
  <c r="CP32" i="17"/>
  <c r="CO32" i="17"/>
  <c r="CN32" i="17"/>
  <c r="CM32" i="17"/>
  <c r="CL32" i="17"/>
  <c r="CK32" i="17"/>
  <c r="CJ32" i="17"/>
  <c r="CI32" i="17"/>
  <c r="CH32" i="17"/>
  <c r="CG32" i="17"/>
  <c r="CF32" i="17"/>
  <c r="CE32" i="17"/>
  <c r="CD32" i="17"/>
  <c r="CC32" i="17"/>
  <c r="CB32" i="17"/>
  <c r="CA32" i="17"/>
  <c r="BZ32" i="17"/>
  <c r="BY32" i="17"/>
  <c r="BX32" i="17"/>
  <c r="BW32" i="17"/>
  <c r="BV32" i="17"/>
  <c r="BU32" i="17"/>
  <c r="BT32" i="17"/>
  <c r="BS32" i="17"/>
  <c r="BR32" i="17"/>
  <c r="BQ32" i="17"/>
  <c r="BP32" i="17"/>
  <c r="BO32" i="17"/>
  <c r="BN32" i="17"/>
  <c r="BM32" i="17"/>
  <c r="BL32" i="17"/>
  <c r="BK32" i="17"/>
  <c r="BJ32" i="17"/>
  <c r="BI32" i="17"/>
  <c r="BH32" i="17"/>
  <c r="BG32" i="17"/>
  <c r="BF32" i="17"/>
  <c r="BE32" i="17"/>
  <c r="BD32" i="17"/>
  <c r="BC32" i="17"/>
  <c r="BB32" i="17"/>
  <c r="BA32" i="17"/>
  <c r="AZ32" i="17"/>
  <c r="AY32" i="17"/>
  <c r="AX32" i="17"/>
  <c r="AW32" i="17"/>
  <c r="AV32" i="17"/>
  <c r="AU32" i="17"/>
  <c r="AT32" i="17"/>
  <c r="AS32" i="17"/>
  <c r="AR32" i="17"/>
  <c r="AQ32" i="17"/>
  <c r="AP32" i="17"/>
  <c r="AO32" i="17"/>
  <c r="AN32" i="17"/>
  <c r="AM32" i="17"/>
  <c r="AL32" i="17"/>
  <c r="AK32" i="17"/>
  <c r="AJ32" i="17"/>
  <c r="AI32" i="17"/>
  <c r="AH32" i="17"/>
  <c r="AG32" i="17"/>
  <c r="AF32" i="17"/>
  <c r="AE32" i="17"/>
  <c r="AD32" i="17"/>
  <c r="AC32" i="17"/>
  <c r="AB32" i="17"/>
  <c r="AA32" i="17"/>
  <c r="Z32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KC31" i="17"/>
  <c r="KB31" i="17"/>
  <c r="KA31" i="17"/>
  <c r="JZ31" i="17"/>
  <c r="JY31" i="17"/>
  <c r="JU31" i="17"/>
  <c r="JG31" i="17"/>
  <c r="JB31" i="17"/>
  <c r="JA31" i="17"/>
  <c r="IV31" i="17"/>
  <c r="IU31" i="17"/>
  <c r="IT31" i="17"/>
  <c r="IS31" i="17"/>
  <c r="IR31" i="17"/>
  <c r="IQ31" i="17"/>
  <c r="IP31" i="17"/>
  <c r="IO31" i="17"/>
  <c r="IN31" i="17"/>
  <c r="IM31" i="17"/>
  <c r="IL31" i="17"/>
  <c r="IK31" i="17"/>
  <c r="IJ31" i="17"/>
  <c r="II31" i="17"/>
  <c r="IH31" i="17"/>
  <c r="IG31" i="17"/>
  <c r="IF31" i="17"/>
  <c r="HE31" i="17"/>
  <c r="HD31" i="17"/>
  <c r="HC31" i="17"/>
  <c r="HB31" i="17"/>
  <c r="HA31" i="17"/>
  <c r="GZ31" i="17"/>
  <c r="GY31" i="17"/>
  <c r="GX31" i="17"/>
  <c r="GW31" i="17"/>
  <c r="GV31" i="17"/>
  <c r="GU31" i="17"/>
  <c r="GT31" i="17"/>
  <c r="GS31" i="17"/>
  <c r="GR31" i="17"/>
  <c r="GQ31" i="17"/>
  <c r="GP31" i="17"/>
  <c r="GO31" i="17"/>
  <c r="GN31" i="17"/>
  <c r="GM31" i="17"/>
  <c r="GL31" i="17"/>
  <c r="GK31" i="17"/>
  <c r="GJ31" i="17"/>
  <c r="GI31" i="17"/>
  <c r="GH31" i="17"/>
  <c r="GG31" i="17"/>
  <c r="GF31" i="17"/>
  <c r="GE31" i="17"/>
  <c r="GD31" i="17"/>
  <c r="GC31" i="17"/>
  <c r="GB31" i="17"/>
  <c r="GA31" i="17"/>
  <c r="FZ31" i="17"/>
  <c r="FY31" i="17"/>
  <c r="FX31" i="17"/>
  <c r="FW31" i="17"/>
  <c r="FV31" i="17"/>
  <c r="FU31" i="17"/>
  <c r="FT31" i="17"/>
  <c r="FS31" i="17"/>
  <c r="FR31" i="17"/>
  <c r="FQ31" i="17"/>
  <c r="FP31" i="17"/>
  <c r="FO31" i="17"/>
  <c r="FN31" i="17"/>
  <c r="FM31" i="17"/>
  <c r="FL31" i="17"/>
  <c r="FK31" i="17"/>
  <c r="FJ31" i="17"/>
  <c r="FI31" i="17"/>
  <c r="FH31" i="17"/>
  <c r="FG31" i="17"/>
  <c r="FF31" i="17"/>
  <c r="FE31" i="17"/>
  <c r="FD31" i="17"/>
  <c r="FC31" i="17"/>
  <c r="FB31" i="17"/>
  <c r="FA31" i="17"/>
  <c r="EZ31" i="17"/>
  <c r="EY31" i="17"/>
  <c r="EX31" i="17"/>
  <c r="EW31" i="17"/>
  <c r="EV31" i="17"/>
  <c r="EU31" i="17"/>
  <c r="ET31" i="17"/>
  <c r="ES31" i="17"/>
  <c r="ER31" i="17"/>
  <c r="EQ31" i="17"/>
  <c r="EP31" i="17"/>
  <c r="EO31" i="17"/>
  <c r="EN31" i="17"/>
  <c r="EM31" i="17"/>
  <c r="EL31" i="17"/>
  <c r="EK31" i="17"/>
  <c r="EJ31" i="17"/>
  <c r="EI31" i="17"/>
  <c r="EH31" i="17"/>
  <c r="EG31" i="17"/>
  <c r="EF31" i="17"/>
  <c r="EE31" i="17"/>
  <c r="ED31" i="17"/>
  <c r="EC31" i="17"/>
  <c r="EB31" i="17"/>
  <c r="EA31" i="17"/>
  <c r="DZ31" i="17"/>
  <c r="DY31" i="17"/>
  <c r="DX31" i="17"/>
  <c r="DW31" i="17"/>
  <c r="DV31" i="17"/>
  <c r="DU31" i="17"/>
  <c r="DT31" i="17"/>
  <c r="DS31" i="17"/>
  <c r="DR31" i="17"/>
  <c r="DQ31" i="17"/>
  <c r="DP31" i="17"/>
  <c r="DO31" i="17"/>
  <c r="DN31" i="17"/>
  <c r="DM31" i="17"/>
  <c r="DL31" i="17"/>
  <c r="DK31" i="17"/>
  <c r="DJ31" i="17"/>
  <c r="DI31" i="17"/>
  <c r="DH31" i="17"/>
  <c r="DG31" i="17"/>
  <c r="DF31" i="17"/>
  <c r="DE31" i="17"/>
  <c r="DD31" i="17"/>
  <c r="DC31" i="17"/>
  <c r="DB31" i="17"/>
  <c r="DA31" i="17"/>
  <c r="CZ31" i="17"/>
  <c r="CY31" i="17"/>
  <c r="CX31" i="17"/>
  <c r="CW31" i="17"/>
  <c r="CV31" i="17"/>
  <c r="CU31" i="17"/>
  <c r="CT31" i="17"/>
  <c r="CS31" i="17"/>
  <c r="CR31" i="17"/>
  <c r="CQ31" i="17"/>
  <c r="CP31" i="17"/>
  <c r="CO31" i="17"/>
  <c r="CN31" i="17"/>
  <c r="CM31" i="17"/>
  <c r="CL31" i="17"/>
  <c r="CK31" i="17"/>
  <c r="CJ31" i="17"/>
  <c r="CI31" i="17"/>
  <c r="CH31" i="17"/>
  <c r="CG31" i="17"/>
  <c r="CF31" i="17"/>
  <c r="CE31" i="17"/>
  <c r="CD31" i="17"/>
  <c r="CC31" i="17"/>
  <c r="CB31" i="17"/>
  <c r="CA31" i="17"/>
  <c r="BZ31" i="17"/>
  <c r="BY31" i="17"/>
  <c r="BX31" i="17"/>
  <c r="BW31" i="17"/>
  <c r="BV31" i="17"/>
  <c r="BU31" i="17"/>
  <c r="BT31" i="17"/>
  <c r="BS31" i="17"/>
  <c r="BR31" i="17"/>
  <c r="BQ31" i="17"/>
  <c r="BP31" i="17"/>
  <c r="BO31" i="17"/>
  <c r="BN31" i="17"/>
  <c r="BM31" i="17"/>
  <c r="BL31" i="17"/>
  <c r="BK31" i="17"/>
  <c r="BJ31" i="17"/>
  <c r="BI31" i="17"/>
  <c r="BH31" i="17"/>
  <c r="BG31" i="17"/>
  <c r="BF31" i="17"/>
  <c r="BE31" i="17"/>
  <c r="BD31" i="17"/>
  <c r="BC31" i="17"/>
  <c r="BB31" i="17"/>
  <c r="BA31" i="17"/>
  <c r="AZ31" i="17"/>
  <c r="AY31" i="17"/>
  <c r="AX31" i="17"/>
  <c r="AW31" i="17"/>
  <c r="AV31" i="17"/>
  <c r="AU31" i="17"/>
  <c r="AT31" i="17"/>
  <c r="AS31" i="17"/>
  <c r="AR31" i="17"/>
  <c r="AQ31" i="17"/>
  <c r="AP31" i="17"/>
  <c r="AO31" i="17"/>
  <c r="AN31" i="17"/>
  <c r="AM31" i="17"/>
  <c r="AL31" i="17"/>
  <c r="AK31" i="17"/>
  <c r="AJ31" i="17"/>
  <c r="AI31" i="17"/>
  <c r="AH31" i="17"/>
  <c r="AG31" i="17"/>
  <c r="AF31" i="17"/>
  <c r="AE31" i="17"/>
  <c r="AD31" i="17"/>
  <c r="AC31" i="17"/>
  <c r="AB31" i="17"/>
  <c r="AA31" i="17"/>
  <c r="Z31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KC30" i="17"/>
  <c r="KB30" i="17"/>
  <c r="KA30" i="17"/>
  <c r="JZ30" i="17"/>
  <c r="JY30" i="17"/>
  <c r="JU30" i="17"/>
  <c r="JG30" i="17"/>
  <c r="JB30" i="17"/>
  <c r="JA30" i="17"/>
  <c r="IV30" i="17"/>
  <c r="IU30" i="17"/>
  <c r="IT30" i="17"/>
  <c r="IS30" i="17"/>
  <c r="IR30" i="17"/>
  <c r="IQ30" i="17"/>
  <c r="IP30" i="17"/>
  <c r="IO30" i="17"/>
  <c r="IN30" i="17"/>
  <c r="IM30" i="17"/>
  <c r="IL30" i="17"/>
  <c r="IK30" i="17"/>
  <c r="IJ30" i="17"/>
  <c r="II30" i="17"/>
  <c r="IH30" i="17"/>
  <c r="IG30" i="17"/>
  <c r="IF30" i="17"/>
  <c r="HE30" i="17"/>
  <c r="HD30" i="17"/>
  <c r="HC30" i="17"/>
  <c r="HB30" i="17"/>
  <c r="HA30" i="17"/>
  <c r="GZ30" i="17"/>
  <c r="GY30" i="17"/>
  <c r="GX30" i="17"/>
  <c r="GW30" i="17"/>
  <c r="GV30" i="17"/>
  <c r="GU30" i="17"/>
  <c r="GT30" i="17"/>
  <c r="GS30" i="17"/>
  <c r="GR30" i="17"/>
  <c r="GQ30" i="17"/>
  <c r="GP30" i="17"/>
  <c r="GO30" i="17"/>
  <c r="GN30" i="17"/>
  <c r="GM30" i="17"/>
  <c r="GL30" i="17"/>
  <c r="GK30" i="17"/>
  <c r="GJ30" i="17"/>
  <c r="GI30" i="17"/>
  <c r="GH30" i="17"/>
  <c r="GG30" i="17"/>
  <c r="GF30" i="17"/>
  <c r="GE30" i="17"/>
  <c r="GD30" i="17"/>
  <c r="GC30" i="17"/>
  <c r="GB30" i="17"/>
  <c r="GA30" i="17"/>
  <c r="FZ30" i="17"/>
  <c r="FY30" i="17"/>
  <c r="FX30" i="17"/>
  <c r="FW30" i="17"/>
  <c r="FV30" i="17"/>
  <c r="FU30" i="17"/>
  <c r="FT30" i="17"/>
  <c r="FS30" i="17"/>
  <c r="FR30" i="17"/>
  <c r="FQ30" i="17"/>
  <c r="FP30" i="17"/>
  <c r="FO30" i="17"/>
  <c r="FN30" i="17"/>
  <c r="FM30" i="17"/>
  <c r="FL30" i="17"/>
  <c r="FK30" i="17"/>
  <c r="FJ30" i="17"/>
  <c r="FI30" i="17"/>
  <c r="FH30" i="17"/>
  <c r="FG30" i="17"/>
  <c r="FF30" i="17"/>
  <c r="FE30" i="17"/>
  <c r="FD30" i="17"/>
  <c r="FC30" i="17"/>
  <c r="FB30" i="17"/>
  <c r="FA30" i="17"/>
  <c r="EZ30" i="17"/>
  <c r="EY30" i="17"/>
  <c r="EX30" i="17"/>
  <c r="EW30" i="17"/>
  <c r="EV30" i="17"/>
  <c r="EU30" i="17"/>
  <c r="ET30" i="17"/>
  <c r="ES30" i="17"/>
  <c r="ER30" i="17"/>
  <c r="EQ30" i="17"/>
  <c r="EP30" i="17"/>
  <c r="EO30" i="17"/>
  <c r="EN30" i="17"/>
  <c r="EM30" i="17"/>
  <c r="EL30" i="17"/>
  <c r="EK30" i="17"/>
  <c r="EJ30" i="17"/>
  <c r="EI30" i="17"/>
  <c r="EH30" i="17"/>
  <c r="EG30" i="17"/>
  <c r="EF30" i="17"/>
  <c r="EE30" i="17"/>
  <c r="ED30" i="17"/>
  <c r="EC30" i="17"/>
  <c r="EB30" i="17"/>
  <c r="EA30" i="17"/>
  <c r="DZ30" i="17"/>
  <c r="DY30" i="17"/>
  <c r="DX30" i="17"/>
  <c r="DW30" i="17"/>
  <c r="DV30" i="17"/>
  <c r="DU30" i="17"/>
  <c r="DT30" i="17"/>
  <c r="DS30" i="17"/>
  <c r="DR30" i="17"/>
  <c r="DQ30" i="17"/>
  <c r="DP30" i="17"/>
  <c r="DO30" i="17"/>
  <c r="DN30" i="17"/>
  <c r="DM30" i="17"/>
  <c r="DL30" i="17"/>
  <c r="DK30" i="17"/>
  <c r="DJ30" i="17"/>
  <c r="DI30" i="17"/>
  <c r="DH30" i="17"/>
  <c r="DG30" i="17"/>
  <c r="DF30" i="17"/>
  <c r="DE30" i="17"/>
  <c r="DD30" i="17"/>
  <c r="DC30" i="17"/>
  <c r="DB30" i="17"/>
  <c r="DA30" i="17"/>
  <c r="CZ30" i="17"/>
  <c r="CY30" i="17"/>
  <c r="CX30" i="17"/>
  <c r="CW30" i="17"/>
  <c r="CV30" i="17"/>
  <c r="CU30" i="17"/>
  <c r="CT30" i="17"/>
  <c r="CS30" i="17"/>
  <c r="CR30" i="17"/>
  <c r="CQ30" i="17"/>
  <c r="CP30" i="17"/>
  <c r="CO30" i="17"/>
  <c r="CN30" i="17"/>
  <c r="CM30" i="17"/>
  <c r="CL30" i="17"/>
  <c r="CK30" i="17"/>
  <c r="CJ30" i="17"/>
  <c r="CI30" i="17"/>
  <c r="CH30" i="17"/>
  <c r="CG30" i="17"/>
  <c r="CF30" i="17"/>
  <c r="CE30" i="17"/>
  <c r="CD30" i="17"/>
  <c r="CC30" i="17"/>
  <c r="CB30" i="17"/>
  <c r="CA30" i="17"/>
  <c r="BZ30" i="17"/>
  <c r="BY30" i="17"/>
  <c r="BX30" i="17"/>
  <c r="BW30" i="17"/>
  <c r="BV30" i="17"/>
  <c r="BU30" i="17"/>
  <c r="BT30" i="17"/>
  <c r="BS30" i="17"/>
  <c r="BR30" i="17"/>
  <c r="BQ30" i="17"/>
  <c r="BP30" i="17"/>
  <c r="BO30" i="17"/>
  <c r="BN30" i="17"/>
  <c r="BM30" i="17"/>
  <c r="BL30" i="17"/>
  <c r="BK30" i="17"/>
  <c r="BJ30" i="17"/>
  <c r="BI30" i="17"/>
  <c r="BH30" i="17"/>
  <c r="BG30" i="17"/>
  <c r="BF30" i="17"/>
  <c r="BE30" i="17"/>
  <c r="BD30" i="17"/>
  <c r="BC30" i="17"/>
  <c r="BB30" i="17"/>
  <c r="BA30" i="17"/>
  <c r="AZ30" i="17"/>
  <c r="AY30" i="17"/>
  <c r="AX30" i="17"/>
  <c r="AW30" i="17"/>
  <c r="AV30" i="17"/>
  <c r="AU30" i="17"/>
  <c r="AT30" i="17"/>
  <c r="AS30" i="17"/>
  <c r="AR30" i="17"/>
  <c r="AQ30" i="17"/>
  <c r="AP30" i="17"/>
  <c r="AO30" i="17"/>
  <c r="AN30" i="17"/>
  <c r="AM30" i="17"/>
  <c r="AL30" i="17"/>
  <c r="AK30" i="17"/>
  <c r="AJ30" i="17"/>
  <c r="AI30" i="17"/>
  <c r="AH30" i="17"/>
  <c r="AG30" i="17"/>
  <c r="AF30" i="17"/>
  <c r="AE30" i="17"/>
  <c r="AD30" i="17"/>
  <c r="AC30" i="17"/>
  <c r="AB30" i="17"/>
  <c r="AA30" i="17"/>
  <c r="Z30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KC29" i="17"/>
  <c r="KB29" i="17"/>
  <c r="KA29" i="17"/>
  <c r="JZ29" i="17"/>
  <c r="JY29" i="17"/>
  <c r="JU29" i="17"/>
  <c r="JG29" i="17"/>
  <c r="JB29" i="17"/>
  <c r="JA29" i="17"/>
  <c r="IV29" i="17"/>
  <c r="IU29" i="17"/>
  <c r="IT29" i="17"/>
  <c r="IS29" i="17"/>
  <c r="IR29" i="17"/>
  <c r="IQ29" i="17"/>
  <c r="IP29" i="17"/>
  <c r="IO29" i="17"/>
  <c r="IN29" i="17"/>
  <c r="IM29" i="17"/>
  <c r="IL29" i="17"/>
  <c r="IK29" i="17"/>
  <c r="IJ29" i="17"/>
  <c r="II29" i="17"/>
  <c r="IH29" i="17"/>
  <c r="IG29" i="17"/>
  <c r="IF29" i="17"/>
  <c r="HE29" i="17"/>
  <c r="HD29" i="17"/>
  <c r="HC29" i="17"/>
  <c r="HB29" i="17"/>
  <c r="HA29" i="17"/>
  <c r="GZ29" i="17"/>
  <c r="GY29" i="17"/>
  <c r="GX29" i="17"/>
  <c r="GW29" i="17"/>
  <c r="GV29" i="17"/>
  <c r="GU29" i="17"/>
  <c r="GT29" i="17"/>
  <c r="GS29" i="17"/>
  <c r="GR29" i="17"/>
  <c r="GQ29" i="17"/>
  <c r="GP29" i="17"/>
  <c r="GO29" i="17"/>
  <c r="GN29" i="17"/>
  <c r="GM29" i="17"/>
  <c r="GL29" i="17"/>
  <c r="GK29" i="17"/>
  <c r="GJ29" i="17"/>
  <c r="GI29" i="17"/>
  <c r="GH29" i="17"/>
  <c r="GG29" i="17"/>
  <c r="GF29" i="17"/>
  <c r="GE29" i="17"/>
  <c r="GD29" i="17"/>
  <c r="GC29" i="17"/>
  <c r="GB29" i="17"/>
  <c r="GA29" i="17"/>
  <c r="FZ29" i="17"/>
  <c r="FY29" i="17"/>
  <c r="FX29" i="17"/>
  <c r="FW29" i="17"/>
  <c r="FV29" i="17"/>
  <c r="FU29" i="17"/>
  <c r="FT29" i="17"/>
  <c r="FS29" i="17"/>
  <c r="FR29" i="17"/>
  <c r="FQ29" i="17"/>
  <c r="FP29" i="17"/>
  <c r="FO29" i="17"/>
  <c r="FN29" i="17"/>
  <c r="FM29" i="17"/>
  <c r="FL29" i="17"/>
  <c r="FK29" i="17"/>
  <c r="FJ29" i="17"/>
  <c r="FI29" i="17"/>
  <c r="FH29" i="17"/>
  <c r="FG29" i="17"/>
  <c r="FF29" i="17"/>
  <c r="FE29" i="17"/>
  <c r="FD29" i="17"/>
  <c r="FC29" i="17"/>
  <c r="FB29" i="17"/>
  <c r="FA29" i="17"/>
  <c r="EZ29" i="17"/>
  <c r="EY29" i="17"/>
  <c r="EX29" i="17"/>
  <c r="EW29" i="17"/>
  <c r="EV29" i="17"/>
  <c r="EU29" i="17"/>
  <c r="ET29" i="17"/>
  <c r="ES29" i="17"/>
  <c r="ER29" i="17"/>
  <c r="EQ29" i="17"/>
  <c r="EP29" i="17"/>
  <c r="EO29" i="17"/>
  <c r="EN29" i="17"/>
  <c r="EM29" i="17"/>
  <c r="EL29" i="17"/>
  <c r="EK29" i="17"/>
  <c r="EJ29" i="17"/>
  <c r="EI29" i="17"/>
  <c r="EH29" i="17"/>
  <c r="EG29" i="17"/>
  <c r="EF29" i="17"/>
  <c r="EE29" i="17"/>
  <c r="ED29" i="17"/>
  <c r="EC29" i="17"/>
  <c r="EB29" i="17"/>
  <c r="EA29" i="17"/>
  <c r="DZ29" i="17"/>
  <c r="DY29" i="17"/>
  <c r="DX29" i="17"/>
  <c r="DW29" i="17"/>
  <c r="DV29" i="17"/>
  <c r="DU29" i="17"/>
  <c r="DT29" i="17"/>
  <c r="DS29" i="17"/>
  <c r="DR29" i="17"/>
  <c r="DQ29" i="17"/>
  <c r="DP29" i="17"/>
  <c r="DO29" i="17"/>
  <c r="DN29" i="17"/>
  <c r="DM29" i="17"/>
  <c r="DL29" i="17"/>
  <c r="DK29" i="17"/>
  <c r="DJ29" i="17"/>
  <c r="DI29" i="17"/>
  <c r="DH29" i="17"/>
  <c r="DG29" i="17"/>
  <c r="DF29" i="17"/>
  <c r="DE29" i="17"/>
  <c r="DD29" i="17"/>
  <c r="DC29" i="17"/>
  <c r="DB29" i="17"/>
  <c r="DA29" i="17"/>
  <c r="CZ29" i="17"/>
  <c r="CY29" i="17"/>
  <c r="CX29" i="17"/>
  <c r="CW29" i="17"/>
  <c r="CV29" i="17"/>
  <c r="CU29" i="17"/>
  <c r="CT29" i="17"/>
  <c r="CS29" i="17"/>
  <c r="CR29" i="17"/>
  <c r="CQ29" i="17"/>
  <c r="CP29" i="17"/>
  <c r="CO29" i="17"/>
  <c r="CN29" i="17"/>
  <c r="CM29" i="17"/>
  <c r="CL29" i="17"/>
  <c r="CK29" i="17"/>
  <c r="CJ29" i="17"/>
  <c r="CI29" i="17"/>
  <c r="CH29" i="17"/>
  <c r="CG29" i="17"/>
  <c r="CF29" i="17"/>
  <c r="CE29" i="17"/>
  <c r="CD29" i="17"/>
  <c r="CC29" i="17"/>
  <c r="CB29" i="17"/>
  <c r="CA29" i="17"/>
  <c r="BZ29" i="17"/>
  <c r="BY29" i="17"/>
  <c r="BX29" i="17"/>
  <c r="BW29" i="17"/>
  <c r="BV29" i="17"/>
  <c r="BU29" i="17"/>
  <c r="BT29" i="17"/>
  <c r="BS29" i="17"/>
  <c r="BR29" i="17"/>
  <c r="BQ29" i="17"/>
  <c r="BP29" i="17"/>
  <c r="BO29" i="17"/>
  <c r="BN29" i="17"/>
  <c r="BM29" i="17"/>
  <c r="BL29" i="17"/>
  <c r="BK29" i="17"/>
  <c r="BJ29" i="17"/>
  <c r="BI29" i="17"/>
  <c r="BH29" i="17"/>
  <c r="BG29" i="17"/>
  <c r="BF29" i="17"/>
  <c r="BE29" i="17"/>
  <c r="BD29" i="17"/>
  <c r="BC29" i="17"/>
  <c r="BB29" i="17"/>
  <c r="BA29" i="17"/>
  <c r="AZ29" i="17"/>
  <c r="AY29" i="17"/>
  <c r="AX29" i="17"/>
  <c r="AW29" i="17"/>
  <c r="AV29" i="17"/>
  <c r="AU29" i="17"/>
  <c r="AT29" i="17"/>
  <c r="AS29" i="17"/>
  <c r="AR29" i="17"/>
  <c r="AQ29" i="17"/>
  <c r="AP29" i="17"/>
  <c r="AO29" i="17"/>
  <c r="AN29" i="17"/>
  <c r="AM29" i="17"/>
  <c r="AL29" i="17"/>
  <c r="AK29" i="17"/>
  <c r="AJ29" i="17"/>
  <c r="AI29" i="17"/>
  <c r="AH29" i="17"/>
  <c r="AG29" i="17"/>
  <c r="AF29" i="17"/>
  <c r="AE29" i="17"/>
  <c r="AD29" i="17"/>
  <c r="AC29" i="17"/>
  <c r="AB29" i="17"/>
  <c r="AA29" i="17"/>
  <c r="Z29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KC28" i="17"/>
  <c r="KB28" i="17"/>
  <c r="KA28" i="17"/>
  <c r="JZ28" i="17"/>
  <c r="JY28" i="17"/>
  <c r="JU28" i="17"/>
  <c r="JG28" i="17"/>
  <c r="JB28" i="17"/>
  <c r="JA28" i="17"/>
  <c r="IV28" i="17"/>
  <c r="IU28" i="17"/>
  <c r="IT28" i="17"/>
  <c r="IS28" i="17"/>
  <c r="IR28" i="17"/>
  <c r="IQ28" i="17"/>
  <c r="IP28" i="17"/>
  <c r="IO28" i="17"/>
  <c r="IN28" i="17"/>
  <c r="IM28" i="17"/>
  <c r="IL28" i="17"/>
  <c r="IK28" i="17"/>
  <c r="IJ28" i="17"/>
  <c r="II28" i="17"/>
  <c r="IH28" i="17"/>
  <c r="IG28" i="17"/>
  <c r="IF28" i="17"/>
  <c r="HE28" i="17"/>
  <c r="HD28" i="17"/>
  <c r="HC28" i="17"/>
  <c r="HB28" i="17"/>
  <c r="HA28" i="17"/>
  <c r="GZ28" i="17"/>
  <c r="GY28" i="17"/>
  <c r="GX28" i="17"/>
  <c r="GW28" i="17"/>
  <c r="GV28" i="17"/>
  <c r="GU28" i="17"/>
  <c r="GT28" i="17"/>
  <c r="GS28" i="17"/>
  <c r="GR28" i="17"/>
  <c r="GQ28" i="17"/>
  <c r="GP28" i="17"/>
  <c r="GO28" i="17"/>
  <c r="GN28" i="17"/>
  <c r="GM28" i="17"/>
  <c r="GL28" i="17"/>
  <c r="GK28" i="17"/>
  <c r="GJ28" i="17"/>
  <c r="GI28" i="17"/>
  <c r="GH28" i="17"/>
  <c r="GG28" i="17"/>
  <c r="GF28" i="17"/>
  <c r="GE28" i="17"/>
  <c r="GD28" i="17"/>
  <c r="GC28" i="17"/>
  <c r="GB28" i="17"/>
  <c r="GA28" i="17"/>
  <c r="FZ28" i="17"/>
  <c r="FY28" i="17"/>
  <c r="FX28" i="17"/>
  <c r="FW28" i="17"/>
  <c r="FV28" i="17"/>
  <c r="FU28" i="17"/>
  <c r="FT28" i="17"/>
  <c r="FS28" i="17"/>
  <c r="FR28" i="17"/>
  <c r="FQ28" i="17"/>
  <c r="FP28" i="17"/>
  <c r="FO28" i="17"/>
  <c r="FN28" i="17"/>
  <c r="FM28" i="17"/>
  <c r="FL28" i="17"/>
  <c r="FK28" i="17"/>
  <c r="FJ28" i="17"/>
  <c r="FI28" i="17"/>
  <c r="FH28" i="17"/>
  <c r="FG28" i="17"/>
  <c r="FF28" i="17"/>
  <c r="FE28" i="17"/>
  <c r="FD28" i="17"/>
  <c r="FC28" i="17"/>
  <c r="FB28" i="17"/>
  <c r="FA28" i="17"/>
  <c r="EZ28" i="17"/>
  <c r="EY28" i="17"/>
  <c r="EX28" i="17"/>
  <c r="EW28" i="17"/>
  <c r="EV28" i="17"/>
  <c r="EU28" i="17"/>
  <c r="ET28" i="17"/>
  <c r="ES28" i="17"/>
  <c r="ER28" i="17"/>
  <c r="EQ28" i="17"/>
  <c r="EP28" i="17"/>
  <c r="EO28" i="17"/>
  <c r="EN28" i="17"/>
  <c r="EM28" i="17"/>
  <c r="EL28" i="17"/>
  <c r="EK28" i="17"/>
  <c r="EJ28" i="17"/>
  <c r="EI28" i="17"/>
  <c r="EH28" i="17"/>
  <c r="EG28" i="17"/>
  <c r="EF28" i="17"/>
  <c r="EE28" i="17"/>
  <c r="ED28" i="17"/>
  <c r="EC28" i="17"/>
  <c r="EB28" i="17"/>
  <c r="EA28" i="17"/>
  <c r="DZ28" i="17"/>
  <c r="DY28" i="17"/>
  <c r="DX28" i="17"/>
  <c r="DW28" i="17"/>
  <c r="DV28" i="17"/>
  <c r="DU28" i="17"/>
  <c r="DT28" i="17"/>
  <c r="DS28" i="17"/>
  <c r="DR28" i="17"/>
  <c r="DQ28" i="17"/>
  <c r="DP28" i="17"/>
  <c r="DO28" i="17"/>
  <c r="DN28" i="17"/>
  <c r="DM28" i="17"/>
  <c r="DL28" i="17"/>
  <c r="DK28" i="17"/>
  <c r="DJ28" i="17"/>
  <c r="DI28" i="17"/>
  <c r="DH28" i="17"/>
  <c r="DG28" i="17"/>
  <c r="DF28" i="17"/>
  <c r="DE28" i="17"/>
  <c r="DD28" i="17"/>
  <c r="DC28" i="17"/>
  <c r="DB28" i="17"/>
  <c r="DA28" i="17"/>
  <c r="CZ28" i="17"/>
  <c r="CY28" i="17"/>
  <c r="CX28" i="17"/>
  <c r="CW28" i="17"/>
  <c r="CV28" i="17"/>
  <c r="CU28" i="17"/>
  <c r="CT28" i="17"/>
  <c r="CS28" i="17"/>
  <c r="CR28" i="17"/>
  <c r="CQ28" i="17"/>
  <c r="CP28" i="17"/>
  <c r="CO28" i="17"/>
  <c r="CN28" i="17"/>
  <c r="CM28" i="17"/>
  <c r="CL28" i="17"/>
  <c r="CK28" i="17"/>
  <c r="CJ28" i="17"/>
  <c r="CI28" i="17"/>
  <c r="CH28" i="17"/>
  <c r="CG28" i="17"/>
  <c r="CF28" i="17"/>
  <c r="CE28" i="17"/>
  <c r="CD28" i="17"/>
  <c r="CC28" i="17"/>
  <c r="CB28" i="17"/>
  <c r="CA28" i="17"/>
  <c r="BZ28" i="17"/>
  <c r="BY28" i="17"/>
  <c r="BX28" i="17"/>
  <c r="BW28" i="17"/>
  <c r="BV28" i="17"/>
  <c r="BU28" i="17"/>
  <c r="BT28" i="17"/>
  <c r="BS28" i="17"/>
  <c r="BR28" i="17"/>
  <c r="BQ28" i="17"/>
  <c r="BP28" i="17"/>
  <c r="BO28" i="17"/>
  <c r="BN28" i="17"/>
  <c r="BM28" i="17"/>
  <c r="BL28" i="17"/>
  <c r="BK28" i="17"/>
  <c r="BJ28" i="17"/>
  <c r="BI28" i="17"/>
  <c r="BH28" i="17"/>
  <c r="BG28" i="17"/>
  <c r="BF28" i="17"/>
  <c r="BE28" i="17"/>
  <c r="BD28" i="17"/>
  <c r="BC28" i="17"/>
  <c r="BB28" i="17"/>
  <c r="BA28" i="17"/>
  <c r="AZ28" i="17"/>
  <c r="AY28" i="17"/>
  <c r="AX28" i="17"/>
  <c r="AW28" i="17"/>
  <c r="AV28" i="17"/>
  <c r="AU28" i="17"/>
  <c r="AT28" i="17"/>
  <c r="AS28" i="17"/>
  <c r="AR28" i="17"/>
  <c r="AQ28" i="17"/>
  <c r="AP28" i="17"/>
  <c r="AO28" i="17"/>
  <c r="AN28" i="17"/>
  <c r="AM28" i="17"/>
  <c r="AL28" i="17"/>
  <c r="AK28" i="17"/>
  <c r="AJ28" i="17"/>
  <c r="AI28" i="17"/>
  <c r="AH28" i="17"/>
  <c r="AG28" i="17"/>
  <c r="AF28" i="17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KC27" i="17"/>
  <c r="KB27" i="17"/>
  <c r="KA27" i="17"/>
  <c r="JZ27" i="17"/>
  <c r="JY27" i="17"/>
  <c r="JU27" i="17"/>
  <c r="JG27" i="17"/>
  <c r="JB27" i="17"/>
  <c r="JA27" i="17"/>
  <c r="IV27" i="17"/>
  <c r="IU27" i="17"/>
  <c r="IT27" i="17"/>
  <c r="IS27" i="17"/>
  <c r="IR27" i="17"/>
  <c r="IQ27" i="17"/>
  <c r="IP27" i="17"/>
  <c r="IO27" i="17"/>
  <c r="IN27" i="17"/>
  <c r="IM27" i="17"/>
  <c r="IL27" i="17"/>
  <c r="IK27" i="17"/>
  <c r="IJ27" i="17"/>
  <c r="II27" i="17"/>
  <c r="IH27" i="17"/>
  <c r="IG27" i="17"/>
  <c r="IF27" i="17"/>
  <c r="HE27" i="17"/>
  <c r="HD27" i="17"/>
  <c r="HC27" i="17"/>
  <c r="HB27" i="17"/>
  <c r="HA27" i="17"/>
  <c r="GZ27" i="17"/>
  <c r="GY27" i="17"/>
  <c r="GX27" i="17"/>
  <c r="GW27" i="17"/>
  <c r="GV27" i="17"/>
  <c r="GU27" i="17"/>
  <c r="GT27" i="17"/>
  <c r="GS27" i="17"/>
  <c r="GR27" i="17"/>
  <c r="GQ27" i="17"/>
  <c r="GP27" i="17"/>
  <c r="GO27" i="17"/>
  <c r="GN27" i="17"/>
  <c r="GM27" i="17"/>
  <c r="GL27" i="17"/>
  <c r="GK27" i="17"/>
  <c r="GJ27" i="17"/>
  <c r="GI27" i="17"/>
  <c r="GH27" i="17"/>
  <c r="GG27" i="17"/>
  <c r="GF27" i="17"/>
  <c r="GE27" i="17"/>
  <c r="GD27" i="17"/>
  <c r="GC27" i="17"/>
  <c r="GB27" i="17"/>
  <c r="GA27" i="17"/>
  <c r="FZ27" i="17"/>
  <c r="FY27" i="17"/>
  <c r="FX27" i="17"/>
  <c r="FW27" i="17"/>
  <c r="FV27" i="17"/>
  <c r="FU27" i="17"/>
  <c r="FT27" i="17"/>
  <c r="FS27" i="17"/>
  <c r="FR27" i="17"/>
  <c r="FQ27" i="17"/>
  <c r="FP27" i="17"/>
  <c r="FO27" i="17"/>
  <c r="FN27" i="17"/>
  <c r="FM27" i="17"/>
  <c r="FL27" i="17"/>
  <c r="FK27" i="17"/>
  <c r="FJ27" i="17"/>
  <c r="FI27" i="17"/>
  <c r="FH27" i="17"/>
  <c r="FG27" i="17"/>
  <c r="FF27" i="17"/>
  <c r="FE27" i="17"/>
  <c r="FD27" i="17"/>
  <c r="FC27" i="17"/>
  <c r="FB27" i="17"/>
  <c r="FA27" i="17"/>
  <c r="EZ27" i="17"/>
  <c r="EY27" i="17"/>
  <c r="EX27" i="17"/>
  <c r="EW27" i="17"/>
  <c r="EV27" i="17"/>
  <c r="EU27" i="17"/>
  <c r="ET27" i="17"/>
  <c r="ES27" i="17"/>
  <c r="ER27" i="17"/>
  <c r="EQ27" i="17"/>
  <c r="EP27" i="17"/>
  <c r="EO27" i="17"/>
  <c r="EN27" i="17"/>
  <c r="EM27" i="17"/>
  <c r="EL27" i="17"/>
  <c r="EK27" i="17"/>
  <c r="EJ27" i="17"/>
  <c r="EI27" i="17"/>
  <c r="EH27" i="17"/>
  <c r="EG27" i="17"/>
  <c r="EF27" i="17"/>
  <c r="EE27" i="17"/>
  <c r="ED27" i="17"/>
  <c r="EC27" i="17"/>
  <c r="EB27" i="17"/>
  <c r="EA27" i="17"/>
  <c r="DZ27" i="17"/>
  <c r="DY27" i="17"/>
  <c r="DX27" i="17"/>
  <c r="DW27" i="17"/>
  <c r="DV27" i="17"/>
  <c r="DU27" i="17"/>
  <c r="DT27" i="17"/>
  <c r="DS27" i="17"/>
  <c r="DR27" i="17"/>
  <c r="DQ27" i="17"/>
  <c r="DP27" i="17"/>
  <c r="DO27" i="17"/>
  <c r="DN27" i="17"/>
  <c r="DM27" i="17"/>
  <c r="DL27" i="17"/>
  <c r="DK27" i="17"/>
  <c r="DJ27" i="17"/>
  <c r="DI27" i="17"/>
  <c r="DH27" i="17"/>
  <c r="DG27" i="17"/>
  <c r="DF27" i="17"/>
  <c r="DE27" i="17"/>
  <c r="DD27" i="17"/>
  <c r="DC27" i="17"/>
  <c r="DB27" i="17"/>
  <c r="DA27" i="17"/>
  <c r="CZ27" i="17"/>
  <c r="CY27" i="17"/>
  <c r="CX27" i="17"/>
  <c r="CW27" i="17"/>
  <c r="CV27" i="17"/>
  <c r="CU27" i="17"/>
  <c r="CT27" i="17"/>
  <c r="CS27" i="17"/>
  <c r="CR27" i="17"/>
  <c r="CQ27" i="17"/>
  <c r="CP27" i="17"/>
  <c r="CO27" i="17"/>
  <c r="CN27" i="17"/>
  <c r="CM27" i="17"/>
  <c r="CL27" i="17"/>
  <c r="CK27" i="17"/>
  <c r="CJ27" i="17"/>
  <c r="CI27" i="17"/>
  <c r="CH27" i="17"/>
  <c r="CG27" i="17"/>
  <c r="CF27" i="17"/>
  <c r="CE27" i="17"/>
  <c r="CD27" i="17"/>
  <c r="CC27" i="17"/>
  <c r="CB27" i="17"/>
  <c r="CA27" i="17"/>
  <c r="BZ27" i="17"/>
  <c r="BY27" i="17"/>
  <c r="BX27" i="17"/>
  <c r="BW27" i="17"/>
  <c r="BV27" i="17"/>
  <c r="BU27" i="17"/>
  <c r="BT27" i="17"/>
  <c r="BS27" i="17"/>
  <c r="BR27" i="17"/>
  <c r="BQ27" i="17"/>
  <c r="BP27" i="17"/>
  <c r="BO27" i="17"/>
  <c r="BN27" i="17"/>
  <c r="BM27" i="17"/>
  <c r="BL27" i="17"/>
  <c r="BK27" i="17"/>
  <c r="BJ27" i="17"/>
  <c r="BI27" i="17"/>
  <c r="BH27" i="17"/>
  <c r="BG27" i="17"/>
  <c r="BF27" i="17"/>
  <c r="BE27" i="17"/>
  <c r="BD27" i="17"/>
  <c r="BC27" i="17"/>
  <c r="BB27" i="17"/>
  <c r="BA27" i="17"/>
  <c r="AZ27" i="17"/>
  <c r="AY27" i="17"/>
  <c r="AX27" i="17"/>
  <c r="AW27" i="17"/>
  <c r="AV27" i="17"/>
  <c r="AU27" i="17"/>
  <c r="AT27" i="17"/>
  <c r="AS27" i="17"/>
  <c r="AR27" i="17"/>
  <c r="AQ27" i="17"/>
  <c r="AP27" i="17"/>
  <c r="AO27" i="17"/>
  <c r="AN27" i="17"/>
  <c r="AM27" i="17"/>
  <c r="AL27" i="17"/>
  <c r="AK27" i="17"/>
  <c r="AJ27" i="17"/>
  <c r="AI27" i="17"/>
  <c r="AH27" i="17"/>
  <c r="AG27" i="17"/>
  <c r="AF27" i="17"/>
  <c r="AE27" i="17"/>
  <c r="AD27" i="17"/>
  <c r="AC27" i="17"/>
  <c r="AB27" i="17"/>
  <c r="AA27" i="17"/>
  <c r="Z27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KC26" i="17"/>
  <c r="KB26" i="17"/>
  <c r="KA26" i="17"/>
  <c r="JZ26" i="17"/>
  <c r="JY26" i="17"/>
  <c r="JU26" i="17"/>
  <c r="JG26" i="17"/>
  <c r="JB26" i="17"/>
  <c r="JA26" i="17"/>
  <c r="IV26" i="17"/>
  <c r="IU26" i="17"/>
  <c r="IT26" i="17"/>
  <c r="IS26" i="17"/>
  <c r="IR26" i="17"/>
  <c r="IQ26" i="17"/>
  <c r="IP26" i="17"/>
  <c r="IO26" i="17"/>
  <c r="IN26" i="17"/>
  <c r="IM26" i="17"/>
  <c r="IL26" i="17"/>
  <c r="IK26" i="17"/>
  <c r="IJ26" i="17"/>
  <c r="II26" i="17"/>
  <c r="IH26" i="17"/>
  <c r="IG26" i="17"/>
  <c r="IF26" i="17"/>
  <c r="HE26" i="17"/>
  <c r="HD26" i="17"/>
  <c r="HC26" i="17"/>
  <c r="HB26" i="17"/>
  <c r="HA26" i="17"/>
  <c r="GZ26" i="17"/>
  <c r="GY26" i="17"/>
  <c r="GX26" i="17"/>
  <c r="GW26" i="17"/>
  <c r="GV26" i="17"/>
  <c r="GU26" i="17"/>
  <c r="GT26" i="17"/>
  <c r="GS26" i="17"/>
  <c r="GR26" i="17"/>
  <c r="GQ26" i="17"/>
  <c r="GP26" i="17"/>
  <c r="GO26" i="17"/>
  <c r="GN26" i="17"/>
  <c r="GM26" i="17"/>
  <c r="GL26" i="17"/>
  <c r="GK26" i="17"/>
  <c r="GJ26" i="17"/>
  <c r="GI26" i="17"/>
  <c r="GH26" i="17"/>
  <c r="GG26" i="17"/>
  <c r="GF26" i="17"/>
  <c r="GE26" i="17"/>
  <c r="GD26" i="17"/>
  <c r="GC26" i="17"/>
  <c r="GB26" i="17"/>
  <c r="GA26" i="17"/>
  <c r="FZ26" i="17"/>
  <c r="FY26" i="17"/>
  <c r="FX26" i="17"/>
  <c r="FW26" i="17"/>
  <c r="FV26" i="17"/>
  <c r="FU26" i="17"/>
  <c r="FT26" i="17"/>
  <c r="FS26" i="17"/>
  <c r="FR26" i="17"/>
  <c r="FQ26" i="17"/>
  <c r="FP26" i="17"/>
  <c r="FO26" i="17"/>
  <c r="FN26" i="17"/>
  <c r="FM26" i="17"/>
  <c r="FL26" i="17"/>
  <c r="FK26" i="17"/>
  <c r="FJ26" i="17"/>
  <c r="FI26" i="17"/>
  <c r="FH26" i="17"/>
  <c r="FG26" i="17"/>
  <c r="FF26" i="17"/>
  <c r="FE26" i="17"/>
  <c r="FD26" i="17"/>
  <c r="FC26" i="17"/>
  <c r="FB26" i="17"/>
  <c r="FA26" i="17"/>
  <c r="EZ26" i="17"/>
  <c r="EY26" i="17"/>
  <c r="EX26" i="17"/>
  <c r="EW26" i="17"/>
  <c r="EV26" i="17"/>
  <c r="EU26" i="17"/>
  <c r="ET26" i="17"/>
  <c r="ES26" i="17"/>
  <c r="ER26" i="17"/>
  <c r="EQ26" i="17"/>
  <c r="EP26" i="17"/>
  <c r="EO26" i="17"/>
  <c r="EN26" i="17"/>
  <c r="EM26" i="17"/>
  <c r="EL26" i="17"/>
  <c r="EK26" i="17"/>
  <c r="EJ26" i="17"/>
  <c r="EI26" i="17"/>
  <c r="EH26" i="17"/>
  <c r="EG26" i="17"/>
  <c r="EF26" i="17"/>
  <c r="EE26" i="17"/>
  <c r="ED26" i="17"/>
  <c r="EC26" i="17"/>
  <c r="EB26" i="17"/>
  <c r="EA26" i="17"/>
  <c r="DZ26" i="17"/>
  <c r="DY26" i="17"/>
  <c r="DX26" i="17"/>
  <c r="DW26" i="17"/>
  <c r="DV26" i="17"/>
  <c r="DU26" i="17"/>
  <c r="DT26" i="17"/>
  <c r="DS26" i="17"/>
  <c r="DR26" i="17"/>
  <c r="DQ26" i="17"/>
  <c r="DP26" i="17"/>
  <c r="DO26" i="17"/>
  <c r="DN26" i="17"/>
  <c r="DM26" i="17"/>
  <c r="DL26" i="17"/>
  <c r="DK26" i="17"/>
  <c r="DJ26" i="17"/>
  <c r="DI26" i="17"/>
  <c r="DH26" i="17"/>
  <c r="DG26" i="17"/>
  <c r="DF26" i="17"/>
  <c r="DE26" i="17"/>
  <c r="DD26" i="17"/>
  <c r="DC26" i="17"/>
  <c r="DB26" i="17"/>
  <c r="DA26" i="17"/>
  <c r="CZ26" i="17"/>
  <c r="CY26" i="17"/>
  <c r="CX26" i="17"/>
  <c r="CW26" i="17"/>
  <c r="CV26" i="17"/>
  <c r="CU26" i="17"/>
  <c r="CT26" i="17"/>
  <c r="CS26" i="17"/>
  <c r="CR26" i="17"/>
  <c r="CQ26" i="17"/>
  <c r="CP26" i="17"/>
  <c r="CO26" i="17"/>
  <c r="CN26" i="17"/>
  <c r="CM26" i="17"/>
  <c r="CL26" i="17"/>
  <c r="CK26" i="17"/>
  <c r="CJ26" i="17"/>
  <c r="CI26" i="17"/>
  <c r="CH26" i="17"/>
  <c r="CG26" i="17"/>
  <c r="CF26" i="17"/>
  <c r="CE26" i="17"/>
  <c r="CD26" i="17"/>
  <c r="CC26" i="17"/>
  <c r="CB26" i="17"/>
  <c r="CA26" i="17"/>
  <c r="BZ26" i="17"/>
  <c r="BY26" i="17"/>
  <c r="BX26" i="17"/>
  <c r="BW26" i="17"/>
  <c r="BV26" i="17"/>
  <c r="BU26" i="17"/>
  <c r="BT26" i="17"/>
  <c r="BS26" i="17"/>
  <c r="BR26" i="17"/>
  <c r="BQ26" i="17"/>
  <c r="BP26" i="17"/>
  <c r="BO26" i="17"/>
  <c r="BN26" i="17"/>
  <c r="BM26" i="17"/>
  <c r="BL26" i="17"/>
  <c r="BK26" i="17"/>
  <c r="BJ26" i="17"/>
  <c r="BI26" i="17"/>
  <c r="BH26" i="17"/>
  <c r="BG26" i="17"/>
  <c r="BF26" i="17"/>
  <c r="BE26" i="17"/>
  <c r="BD26" i="17"/>
  <c r="BC26" i="17"/>
  <c r="BB26" i="17"/>
  <c r="BA26" i="17"/>
  <c r="AZ26" i="17"/>
  <c r="AY26" i="17"/>
  <c r="AX26" i="17"/>
  <c r="AW26" i="17"/>
  <c r="AV26" i="17"/>
  <c r="AU26" i="17"/>
  <c r="AT26" i="17"/>
  <c r="AS26" i="17"/>
  <c r="AR26" i="17"/>
  <c r="AQ26" i="17"/>
  <c r="AP26" i="17"/>
  <c r="AO26" i="17"/>
  <c r="AN26" i="17"/>
  <c r="AM26" i="17"/>
  <c r="AL26" i="17"/>
  <c r="AK26" i="17"/>
  <c r="AJ26" i="17"/>
  <c r="AI26" i="17"/>
  <c r="AH26" i="17"/>
  <c r="AG26" i="17"/>
  <c r="AF26" i="17"/>
  <c r="AE26" i="17"/>
  <c r="AD26" i="17"/>
  <c r="AC26" i="17"/>
  <c r="AB26" i="17"/>
  <c r="AA26" i="17"/>
  <c r="Z26" i="17"/>
  <c r="Y26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KC25" i="17"/>
  <c r="KB25" i="17"/>
  <c r="KA25" i="17"/>
  <c r="JZ25" i="17"/>
  <c r="JY25" i="17"/>
  <c r="JU25" i="17"/>
  <c r="JG25" i="17"/>
  <c r="JB25" i="17"/>
  <c r="JA25" i="17"/>
  <c r="IV25" i="17"/>
  <c r="IU25" i="17"/>
  <c r="IT25" i="17"/>
  <c r="IS25" i="17"/>
  <c r="IR25" i="17"/>
  <c r="IQ25" i="17"/>
  <c r="IP25" i="17"/>
  <c r="IO25" i="17"/>
  <c r="IN25" i="17"/>
  <c r="IM25" i="17"/>
  <c r="IL25" i="17"/>
  <c r="IK25" i="17"/>
  <c r="IJ25" i="17"/>
  <c r="II25" i="17"/>
  <c r="IH25" i="17"/>
  <c r="IG25" i="17"/>
  <c r="IF25" i="17"/>
  <c r="HE25" i="17"/>
  <c r="HD25" i="17"/>
  <c r="HC25" i="17"/>
  <c r="HB25" i="17"/>
  <c r="HA25" i="17"/>
  <c r="GZ25" i="17"/>
  <c r="GY25" i="17"/>
  <c r="GX25" i="17"/>
  <c r="GW25" i="17"/>
  <c r="GV25" i="17"/>
  <c r="GU25" i="17"/>
  <c r="GT25" i="17"/>
  <c r="GS25" i="17"/>
  <c r="GR25" i="17"/>
  <c r="GQ25" i="17"/>
  <c r="GP25" i="17"/>
  <c r="GO25" i="17"/>
  <c r="GN25" i="17"/>
  <c r="GM25" i="17"/>
  <c r="GL25" i="17"/>
  <c r="GK25" i="17"/>
  <c r="GJ25" i="17"/>
  <c r="GI25" i="17"/>
  <c r="GH25" i="17"/>
  <c r="GG25" i="17"/>
  <c r="GF25" i="17"/>
  <c r="GE25" i="17"/>
  <c r="GD25" i="17"/>
  <c r="GC25" i="17"/>
  <c r="GB25" i="17"/>
  <c r="GA25" i="17"/>
  <c r="FZ25" i="17"/>
  <c r="FY25" i="17"/>
  <c r="FX25" i="17"/>
  <c r="FW25" i="17"/>
  <c r="FV25" i="17"/>
  <c r="FU25" i="17"/>
  <c r="FT25" i="17"/>
  <c r="FS25" i="17"/>
  <c r="FR25" i="17"/>
  <c r="FQ25" i="17"/>
  <c r="FP25" i="17"/>
  <c r="FO25" i="17"/>
  <c r="FN25" i="17"/>
  <c r="FM25" i="17"/>
  <c r="FL25" i="17"/>
  <c r="FK25" i="17"/>
  <c r="FJ25" i="17"/>
  <c r="FI25" i="17"/>
  <c r="FH25" i="17"/>
  <c r="FG25" i="17"/>
  <c r="FF25" i="17"/>
  <c r="FE25" i="17"/>
  <c r="FD25" i="17"/>
  <c r="FC25" i="17"/>
  <c r="FB25" i="17"/>
  <c r="FA25" i="17"/>
  <c r="EZ25" i="17"/>
  <c r="EY25" i="17"/>
  <c r="EX25" i="17"/>
  <c r="EW25" i="17"/>
  <c r="EV25" i="17"/>
  <c r="EU25" i="17"/>
  <c r="ET25" i="17"/>
  <c r="ES25" i="17"/>
  <c r="ER25" i="17"/>
  <c r="EQ25" i="17"/>
  <c r="EP25" i="17"/>
  <c r="EO25" i="17"/>
  <c r="EN25" i="17"/>
  <c r="EM25" i="17"/>
  <c r="EL25" i="17"/>
  <c r="EK25" i="17"/>
  <c r="EJ25" i="17"/>
  <c r="EI25" i="17"/>
  <c r="EH25" i="17"/>
  <c r="EG25" i="17"/>
  <c r="EF25" i="17"/>
  <c r="EE25" i="17"/>
  <c r="ED25" i="17"/>
  <c r="EC25" i="17"/>
  <c r="EB25" i="17"/>
  <c r="EA25" i="17"/>
  <c r="DZ25" i="17"/>
  <c r="DY25" i="17"/>
  <c r="DX25" i="17"/>
  <c r="DW25" i="17"/>
  <c r="DV25" i="17"/>
  <c r="DU25" i="17"/>
  <c r="DT25" i="17"/>
  <c r="DS25" i="17"/>
  <c r="DR25" i="17"/>
  <c r="DQ25" i="17"/>
  <c r="DP25" i="17"/>
  <c r="DO25" i="17"/>
  <c r="DN25" i="17"/>
  <c r="DM25" i="17"/>
  <c r="DL25" i="17"/>
  <c r="DK25" i="17"/>
  <c r="DJ25" i="17"/>
  <c r="DI25" i="17"/>
  <c r="DH25" i="17"/>
  <c r="DG25" i="17"/>
  <c r="DF25" i="17"/>
  <c r="DE25" i="17"/>
  <c r="DD25" i="17"/>
  <c r="DC25" i="17"/>
  <c r="DB25" i="17"/>
  <c r="DA25" i="17"/>
  <c r="CZ25" i="17"/>
  <c r="CY25" i="17"/>
  <c r="CX25" i="17"/>
  <c r="CW25" i="17"/>
  <c r="CV25" i="17"/>
  <c r="CU25" i="17"/>
  <c r="CT25" i="17"/>
  <c r="CS25" i="17"/>
  <c r="CR25" i="17"/>
  <c r="CQ25" i="17"/>
  <c r="CP25" i="17"/>
  <c r="CO25" i="17"/>
  <c r="CN25" i="17"/>
  <c r="CM25" i="17"/>
  <c r="CL25" i="17"/>
  <c r="CK25" i="17"/>
  <c r="CJ25" i="17"/>
  <c r="CI25" i="17"/>
  <c r="CH25" i="17"/>
  <c r="CG25" i="17"/>
  <c r="CF25" i="17"/>
  <c r="CE25" i="17"/>
  <c r="CD25" i="17"/>
  <c r="CC25" i="17"/>
  <c r="CB25" i="17"/>
  <c r="CA25" i="17"/>
  <c r="BZ25" i="17"/>
  <c r="BY25" i="17"/>
  <c r="BX25" i="17"/>
  <c r="BW25" i="17"/>
  <c r="BV25" i="17"/>
  <c r="BU25" i="17"/>
  <c r="BT25" i="17"/>
  <c r="BS25" i="17"/>
  <c r="BR25" i="17"/>
  <c r="BQ25" i="17"/>
  <c r="BP25" i="17"/>
  <c r="BO25" i="17"/>
  <c r="BN25" i="17"/>
  <c r="BM25" i="17"/>
  <c r="BL25" i="17"/>
  <c r="BK25" i="17"/>
  <c r="BJ25" i="17"/>
  <c r="BI25" i="17"/>
  <c r="BH25" i="17"/>
  <c r="BG25" i="17"/>
  <c r="BF25" i="17"/>
  <c r="BE25" i="17"/>
  <c r="BD25" i="17"/>
  <c r="BC25" i="17"/>
  <c r="BB25" i="17"/>
  <c r="BA25" i="17"/>
  <c r="AZ25" i="17"/>
  <c r="AY25" i="17"/>
  <c r="AX25" i="17"/>
  <c r="AW25" i="17"/>
  <c r="AV25" i="17"/>
  <c r="AU25" i="17"/>
  <c r="AT25" i="17"/>
  <c r="AS25" i="17"/>
  <c r="AR25" i="17"/>
  <c r="AQ25" i="17"/>
  <c r="AP25" i="17"/>
  <c r="AO25" i="17"/>
  <c r="AN25" i="17"/>
  <c r="AM25" i="17"/>
  <c r="AL25" i="17"/>
  <c r="AK25" i="17"/>
  <c r="AJ25" i="17"/>
  <c r="AI25" i="17"/>
  <c r="AH25" i="17"/>
  <c r="AG25" i="17"/>
  <c r="AF25" i="17"/>
  <c r="AE25" i="17"/>
  <c r="AD25" i="17"/>
  <c r="AC25" i="17"/>
  <c r="AB25" i="17"/>
  <c r="AA25" i="17"/>
  <c r="Z25" i="17"/>
  <c r="Y25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KC24" i="17"/>
  <c r="KB24" i="17"/>
  <c r="KA24" i="17"/>
  <c r="JZ24" i="17"/>
  <c r="JY24" i="17"/>
  <c r="JU24" i="17"/>
  <c r="JG24" i="17"/>
  <c r="JB24" i="17"/>
  <c r="JA24" i="17"/>
  <c r="IV24" i="17"/>
  <c r="IU24" i="17"/>
  <c r="IT24" i="17"/>
  <c r="IS24" i="17"/>
  <c r="IR24" i="17"/>
  <c r="IQ24" i="17"/>
  <c r="IP24" i="17"/>
  <c r="IO24" i="17"/>
  <c r="IN24" i="17"/>
  <c r="IM24" i="17"/>
  <c r="IL24" i="17"/>
  <c r="IK24" i="17"/>
  <c r="IJ24" i="17"/>
  <c r="II24" i="17"/>
  <c r="IH24" i="17"/>
  <c r="IG24" i="17"/>
  <c r="IF24" i="17"/>
  <c r="HE24" i="17"/>
  <c r="HD24" i="17"/>
  <c r="HC24" i="17"/>
  <c r="HB24" i="17"/>
  <c r="HA24" i="17"/>
  <c r="GZ24" i="17"/>
  <c r="GY24" i="17"/>
  <c r="GX24" i="17"/>
  <c r="GW24" i="17"/>
  <c r="GV24" i="17"/>
  <c r="GU24" i="17"/>
  <c r="GT24" i="17"/>
  <c r="GS24" i="17"/>
  <c r="GR24" i="17"/>
  <c r="GQ24" i="17"/>
  <c r="GP24" i="17"/>
  <c r="GO24" i="17"/>
  <c r="GN24" i="17"/>
  <c r="GM24" i="17"/>
  <c r="GL24" i="17"/>
  <c r="GK24" i="17"/>
  <c r="GJ24" i="17"/>
  <c r="GI24" i="17"/>
  <c r="GH24" i="17"/>
  <c r="GG24" i="17"/>
  <c r="GF24" i="17"/>
  <c r="GE24" i="17"/>
  <c r="GD24" i="17"/>
  <c r="GC24" i="17"/>
  <c r="GB24" i="17"/>
  <c r="GA24" i="17"/>
  <c r="FZ24" i="17"/>
  <c r="FY24" i="17"/>
  <c r="FX24" i="17"/>
  <c r="FW24" i="17"/>
  <c r="FV24" i="17"/>
  <c r="FU24" i="17"/>
  <c r="FT24" i="17"/>
  <c r="FS24" i="17"/>
  <c r="FR24" i="17"/>
  <c r="FQ24" i="17"/>
  <c r="FP24" i="17"/>
  <c r="FO24" i="17"/>
  <c r="FN24" i="17"/>
  <c r="FM24" i="17"/>
  <c r="FL24" i="17"/>
  <c r="FK24" i="17"/>
  <c r="FJ24" i="17"/>
  <c r="FI24" i="17"/>
  <c r="FH24" i="17"/>
  <c r="FG24" i="17"/>
  <c r="FF24" i="17"/>
  <c r="FE24" i="17"/>
  <c r="FD24" i="17"/>
  <c r="FC24" i="17"/>
  <c r="FB24" i="17"/>
  <c r="FA24" i="17"/>
  <c r="EZ24" i="17"/>
  <c r="EY24" i="17"/>
  <c r="EX24" i="17"/>
  <c r="EW24" i="17"/>
  <c r="EV24" i="17"/>
  <c r="EU24" i="17"/>
  <c r="ET24" i="17"/>
  <c r="ES24" i="17"/>
  <c r="ER24" i="17"/>
  <c r="EQ24" i="17"/>
  <c r="EP24" i="17"/>
  <c r="EO24" i="17"/>
  <c r="EN24" i="17"/>
  <c r="EM24" i="17"/>
  <c r="EL24" i="17"/>
  <c r="EK24" i="17"/>
  <c r="EJ24" i="17"/>
  <c r="EI24" i="17"/>
  <c r="EH24" i="17"/>
  <c r="EG24" i="17"/>
  <c r="EF24" i="17"/>
  <c r="EE24" i="17"/>
  <c r="ED24" i="17"/>
  <c r="EC24" i="17"/>
  <c r="EB24" i="17"/>
  <c r="EA24" i="17"/>
  <c r="DZ24" i="17"/>
  <c r="DY24" i="17"/>
  <c r="DX24" i="17"/>
  <c r="DW24" i="17"/>
  <c r="DV24" i="17"/>
  <c r="DU24" i="17"/>
  <c r="DT24" i="17"/>
  <c r="DS24" i="17"/>
  <c r="DR24" i="17"/>
  <c r="DQ24" i="17"/>
  <c r="DP24" i="17"/>
  <c r="DO24" i="17"/>
  <c r="DN24" i="17"/>
  <c r="DM24" i="17"/>
  <c r="DL24" i="17"/>
  <c r="DK24" i="17"/>
  <c r="DJ24" i="17"/>
  <c r="DI24" i="17"/>
  <c r="DH24" i="17"/>
  <c r="DG24" i="17"/>
  <c r="DF24" i="17"/>
  <c r="DE24" i="17"/>
  <c r="DD24" i="17"/>
  <c r="DC24" i="17"/>
  <c r="DB24" i="17"/>
  <c r="DA24" i="17"/>
  <c r="CZ24" i="17"/>
  <c r="CY24" i="17"/>
  <c r="CX24" i="17"/>
  <c r="CW24" i="17"/>
  <c r="CV24" i="17"/>
  <c r="CU24" i="17"/>
  <c r="CT24" i="17"/>
  <c r="CS24" i="17"/>
  <c r="CR24" i="17"/>
  <c r="CQ24" i="17"/>
  <c r="CP24" i="17"/>
  <c r="CO24" i="17"/>
  <c r="CN24" i="17"/>
  <c r="CM24" i="17"/>
  <c r="CL24" i="17"/>
  <c r="CK24" i="17"/>
  <c r="CJ24" i="17"/>
  <c r="CI24" i="17"/>
  <c r="CH24" i="17"/>
  <c r="CG24" i="17"/>
  <c r="CF24" i="17"/>
  <c r="CE24" i="17"/>
  <c r="CD24" i="17"/>
  <c r="CC24" i="17"/>
  <c r="CB24" i="17"/>
  <c r="CA24" i="17"/>
  <c r="BZ24" i="17"/>
  <c r="BY24" i="17"/>
  <c r="BX24" i="17"/>
  <c r="BW24" i="17"/>
  <c r="BV24" i="17"/>
  <c r="BU24" i="17"/>
  <c r="BT24" i="17"/>
  <c r="BS24" i="17"/>
  <c r="BR24" i="17"/>
  <c r="BQ24" i="17"/>
  <c r="BP24" i="17"/>
  <c r="BO24" i="17"/>
  <c r="BN24" i="17"/>
  <c r="BM24" i="17"/>
  <c r="BL24" i="17"/>
  <c r="BK24" i="17"/>
  <c r="BJ24" i="17"/>
  <c r="BI24" i="17"/>
  <c r="BH24" i="17"/>
  <c r="BG24" i="17"/>
  <c r="BF24" i="17"/>
  <c r="BE24" i="17"/>
  <c r="BD24" i="17"/>
  <c r="BC24" i="17"/>
  <c r="BB24" i="17"/>
  <c r="BA24" i="17"/>
  <c r="AZ24" i="17"/>
  <c r="AY24" i="17"/>
  <c r="AX24" i="17"/>
  <c r="AW24" i="17"/>
  <c r="AV24" i="17"/>
  <c r="AU24" i="17"/>
  <c r="AT24" i="17"/>
  <c r="AS24" i="17"/>
  <c r="AR24" i="17"/>
  <c r="AQ24" i="17"/>
  <c r="AP24" i="17"/>
  <c r="AO24" i="17"/>
  <c r="AN24" i="17"/>
  <c r="AM24" i="17"/>
  <c r="AL24" i="17"/>
  <c r="AK24" i="17"/>
  <c r="AJ24" i="17"/>
  <c r="AI24" i="17"/>
  <c r="AH24" i="17"/>
  <c r="AG24" i="17"/>
  <c r="AF24" i="17"/>
  <c r="AE24" i="17"/>
  <c r="AD24" i="17"/>
  <c r="AC24" i="17"/>
  <c r="AB24" i="17"/>
  <c r="AA24" i="17"/>
  <c r="Z24" i="17"/>
  <c r="Y24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KC23" i="17"/>
  <c r="KB23" i="17"/>
  <c r="KA23" i="17"/>
  <c r="JZ23" i="17"/>
  <c r="JY23" i="17"/>
  <c r="JU23" i="17"/>
  <c r="JG23" i="17"/>
  <c r="JB23" i="17"/>
  <c r="JA23" i="17"/>
  <c r="IV23" i="17"/>
  <c r="IU23" i="17"/>
  <c r="IT23" i="17"/>
  <c r="IS23" i="17"/>
  <c r="IR23" i="17"/>
  <c r="IQ23" i="17"/>
  <c r="IP23" i="17"/>
  <c r="IO23" i="17"/>
  <c r="IN23" i="17"/>
  <c r="IM23" i="17"/>
  <c r="IL23" i="17"/>
  <c r="IK23" i="17"/>
  <c r="IJ23" i="17"/>
  <c r="II23" i="17"/>
  <c r="IH23" i="17"/>
  <c r="IG23" i="17"/>
  <c r="IF23" i="17"/>
  <c r="HE23" i="17"/>
  <c r="HD23" i="17"/>
  <c r="HC23" i="17"/>
  <c r="HB23" i="17"/>
  <c r="HA23" i="17"/>
  <c r="GZ23" i="17"/>
  <c r="GY23" i="17"/>
  <c r="GX23" i="17"/>
  <c r="GW23" i="17"/>
  <c r="GV23" i="17"/>
  <c r="GU23" i="17"/>
  <c r="GT23" i="17"/>
  <c r="GS23" i="17"/>
  <c r="GR23" i="17"/>
  <c r="GQ23" i="17"/>
  <c r="GP23" i="17"/>
  <c r="GO23" i="17"/>
  <c r="GN23" i="17"/>
  <c r="GM23" i="17"/>
  <c r="GL23" i="17"/>
  <c r="GK23" i="17"/>
  <c r="GJ23" i="17"/>
  <c r="GI23" i="17"/>
  <c r="GH23" i="17"/>
  <c r="GG23" i="17"/>
  <c r="GF23" i="17"/>
  <c r="GE23" i="17"/>
  <c r="GD23" i="17"/>
  <c r="GC23" i="17"/>
  <c r="GB23" i="17"/>
  <c r="GA23" i="17"/>
  <c r="FZ23" i="17"/>
  <c r="FY23" i="17"/>
  <c r="FX23" i="17"/>
  <c r="FW23" i="17"/>
  <c r="FV23" i="17"/>
  <c r="FU23" i="17"/>
  <c r="FT23" i="17"/>
  <c r="FS23" i="17"/>
  <c r="FR23" i="17"/>
  <c r="FQ23" i="17"/>
  <c r="FP23" i="17"/>
  <c r="FO23" i="17"/>
  <c r="FN23" i="17"/>
  <c r="FM23" i="17"/>
  <c r="FL23" i="17"/>
  <c r="FK23" i="17"/>
  <c r="FJ23" i="17"/>
  <c r="FI23" i="17"/>
  <c r="FH23" i="17"/>
  <c r="FG23" i="17"/>
  <c r="FF23" i="17"/>
  <c r="FE23" i="17"/>
  <c r="FD23" i="17"/>
  <c r="FC23" i="17"/>
  <c r="FB23" i="17"/>
  <c r="FA23" i="17"/>
  <c r="EZ23" i="17"/>
  <c r="EY23" i="17"/>
  <c r="EX23" i="17"/>
  <c r="EW23" i="17"/>
  <c r="EV23" i="17"/>
  <c r="EU23" i="17"/>
  <c r="ET23" i="17"/>
  <c r="ES23" i="17"/>
  <c r="ER23" i="17"/>
  <c r="EQ23" i="17"/>
  <c r="EP23" i="17"/>
  <c r="EO23" i="17"/>
  <c r="EN23" i="17"/>
  <c r="EM23" i="17"/>
  <c r="EL23" i="17"/>
  <c r="EK23" i="17"/>
  <c r="EJ23" i="17"/>
  <c r="EI23" i="17"/>
  <c r="EH23" i="17"/>
  <c r="EG23" i="17"/>
  <c r="EF23" i="17"/>
  <c r="EE23" i="17"/>
  <c r="ED23" i="17"/>
  <c r="EC23" i="17"/>
  <c r="EB23" i="17"/>
  <c r="EA23" i="17"/>
  <c r="DZ23" i="17"/>
  <c r="DY23" i="17"/>
  <c r="DX23" i="17"/>
  <c r="DW23" i="17"/>
  <c r="DV23" i="17"/>
  <c r="DU23" i="17"/>
  <c r="DT23" i="17"/>
  <c r="DS23" i="17"/>
  <c r="DR23" i="17"/>
  <c r="DQ23" i="17"/>
  <c r="DP23" i="17"/>
  <c r="DO23" i="17"/>
  <c r="DN23" i="17"/>
  <c r="DM23" i="17"/>
  <c r="DL23" i="17"/>
  <c r="DK23" i="17"/>
  <c r="DJ23" i="17"/>
  <c r="DI23" i="17"/>
  <c r="DH23" i="17"/>
  <c r="DG23" i="17"/>
  <c r="DF23" i="17"/>
  <c r="DE23" i="17"/>
  <c r="DD23" i="17"/>
  <c r="DC23" i="17"/>
  <c r="DB23" i="17"/>
  <c r="DA23" i="17"/>
  <c r="CZ23" i="17"/>
  <c r="CY23" i="17"/>
  <c r="CX23" i="17"/>
  <c r="CW23" i="17"/>
  <c r="CV23" i="17"/>
  <c r="CU23" i="17"/>
  <c r="CT23" i="17"/>
  <c r="CS23" i="17"/>
  <c r="CR23" i="17"/>
  <c r="CQ23" i="17"/>
  <c r="CP23" i="17"/>
  <c r="CO23" i="17"/>
  <c r="CN23" i="17"/>
  <c r="CM23" i="17"/>
  <c r="CL23" i="17"/>
  <c r="CK23" i="17"/>
  <c r="CJ23" i="17"/>
  <c r="CI23" i="17"/>
  <c r="CH23" i="17"/>
  <c r="CG23" i="17"/>
  <c r="CF23" i="17"/>
  <c r="CE23" i="17"/>
  <c r="CD23" i="17"/>
  <c r="CC23" i="17"/>
  <c r="CB23" i="17"/>
  <c r="CA23" i="17"/>
  <c r="BZ23" i="17"/>
  <c r="BY23" i="17"/>
  <c r="BX23" i="17"/>
  <c r="BW23" i="17"/>
  <c r="BV23" i="17"/>
  <c r="BU23" i="17"/>
  <c r="BT23" i="17"/>
  <c r="BS23" i="17"/>
  <c r="BR23" i="17"/>
  <c r="BQ23" i="17"/>
  <c r="BP23" i="17"/>
  <c r="BO23" i="17"/>
  <c r="BN23" i="17"/>
  <c r="BM23" i="17"/>
  <c r="BL23" i="17"/>
  <c r="BK23" i="17"/>
  <c r="BJ23" i="17"/>
  <c r="BI23" i="17"/>
  <c r="BH23" i="17"/>
  <c r="BG23" i="17"/>
  <c r="BF23" i="17"/>
  <c r="BE23" i="17"/>
  <c r="BD23" i="17"/>
  <c r="BC23" i="17"/>
  <c r="BB23" i="17"/>
  <c r="BA23" i="17"/>
  <c r="AZ23" i="17"/>
  <c r="AY23" i="17"/>
  <c r="AX23" i="17"/>
  <c r="AW23" i="17"/>
  <c r="AV23" i="17"/>
  <c r="AU23" i="17"/>
  <c r="AT23" i="17"/>
  <c r="AS23" i="17"/>
  <c r="AR23" i="17"/>
  <c r="AQ23" i="17"/>
  <c r="AP23" i="17"/>
  <c r="AO23" i="17"/>
  <c r="AN23" i="17"/>
  <c r="AM23" i="17"/>
  <c r="AL23" i="17"/>
  <c r="AK23" i="17"/>
  <c r="AJ23" i="17"/>
  <c r="AI23" i="17"/>
  <c r="AH23" i="17"/>
  <c r="AG23" i="17"/>
  <c r="AF23" i="17"/>
  <c r="AE23" i="17"/>
  <c r="AD23" i="17"/>
  <c r="AC23" i="17"/>
  <c r="AB23" i="17"/>
  <c r="AA23" i="17"/>
  <c r="Z23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KC22" i="17"/>
  <c r="KB22" i="17"/>
  <c r="KA22" i="17"/>
  <c r="JZ22" i="17"/>
  <c r="JY22" i="17"/>
  <c r="JU22" i="17"/>
  <c r="JG22" i="17"/>
  <c r="JB22" i="17"/>
  <c r="JA22" i="17"/>
  <c r="IV22" i="17"/>
  <c r="IU22" i="17"/>
  <c r="IT22" i="17"/>
  <c r="IS22" i="17"/>
  <c r="IR22" i="17"/>
  <c r="IQ22" i="17"/>
  <c r="IP22" i="17"/>
  <c r="IO22" i="17"/>
  <c r="IN22" i="17"/>
  <c r="IM22" i="17"/>
  <c r="IL22" i="17"/>
  <c r="IK22" i="17"/>
  <c r="IJ22" i="17"/>
  <c r="II22" i="17"/>
  <c r="IH22" i="17"/>
  <c r="IG22" i="17"/>
  <c r="IF22" i="17"/>
  <c r="HE22" i="17"/>
  <c r="HD22" i="17"/>
  <c r="HC22" i="17"/>
  <c r="HB22" i="17"/>
  <c r="HA22" i="17"/>
  <c r="GZ22" i="17"/>
  <c r="GY22" i="17"/>
  <c r="GX22" i="17"/>
  <c r="GW22" i="17"/>
  <c r="GV22" i="17"/>
  <c r="GU22" i="17"/>
  <c r="GT22" i="17"/>
  <c r="GS22" i="17"/>
  <c r="GR22" i="17"/>
  <c r="GQ22" i="17"/>
  <c r="GP22" i="17"/>
  <c r="GO22" i="17"/>
  <c r="GN22" i="17"/>
  <c r="GM22" i="17"/>
  <c r="GL22" i="17"/>
  <c r="GK22" i="17"/>
  <c r="GJ22" i="17"/>
  <c r="GI22" i="17"/>
  <c r="GH22" i="17"/>
  <c r="GG22" i="17"/>
  <c r="GF22" i="17"/>
  <c r="GE22" i="17"/>
  <c r="GD22" i="17"/>
  <c r="GC22" i="17"/>
  <c r="GB22" i="17"/>
  <c r="GA22" i="17"/>
  <c r="FZ22" i="17"/>
  <c r="FY22" i="17"/>
  <c r="FX22" i="17"/>
  <c r="FW22" i="17"/>
  <c r="FV22" i="17"/>
  <c r="FU22" i="17"/>
  <c r="FT22" i="17"/>
  <c r="FS22" i="17"/>
  <c r="FR22" i="17"/>
  <c r="FQ22" i="17"/>
  <c r="FP22" i="17"/>
  <c r="FO22" i="17"/>
  <c r="FN22" i="17"/>
  <c r="FM22" i="17"/>
  <c r="FL22" i="17"/>
  <c r="FK22" i="17"/>
  <c r="FJ22" i="17"/>
  <c r="FI22" i="17"/>
  <c r="FH22" i="17"/>
  <c r="FG22" i="17"/>
  <c r="FF22" i="17"/>
  <c r="FE22" i="17"/>
  <c r="FD22" i="17"/>
  <c r="FC22" i="17"/>
  <c r="FB22" i="17"/>
  <c r="FA22" i="17"/>
  <c r="EZ22" i="17"/>
  <c r="EY22" i="17"/>
  <c r="EX22" i="17"/>
  <c r="EW22" i="17"/>
  <c r="EV22" i="17"/>
  <c r="EU22" i="17"/>
  <c r="ET22" i="17"/>
  <c r="ES22" i="17"/>
  <c r="ER22" i="17"/>
  <c r="EQ22" i="17"/>
  <c r="EP22" i="17"/>
  <c r="EO22" i="17"/>
  <c r="EN22" i="17"/>
  <c r="EM22" i="17"/>
  <c r="EL22" i="17"/>
  <c r="EK22" i="17"/>
  <c r="EJ22" i="17"/>
  <c r="EI22" i="17"/>
  <c r="EH22" i="17"/>
  <c r="EG22" i="17"/>
  <c r="EF22" i="17"/>
  <c r="EE22" i="17"/>
  <c r="ED22" i="17"/>
  <c r="EC22" i="17"/>
  <c r="EB22" i="17"/>
  <c r="EA22" i="17"/>
  <c r="DZ22" i="17"/>
  <c r="DY22" i="17"/>
  <c r="DX22" i="17"/>
  <c r="DW22" i="17"/>
  <c r="DV22" i="17"/>
  <c r="DU22" i="17"/>
  <c r="DT22" i="17"/>
  <c r="DS22" i="17"/>
  <c r="DR22" i="17"/>
  <c r="DQ22" i="17"/>
  <c r="DP22" i="17"/>
  <c r="DO22" i="17"/>
  <c r="DN22" i="17"/>
  <c r="DM22" i="17"/>
  <c r="DL22" i="17"/>
  <c r="DK22" i="17"/>
  <c r="DJ22" i="17"/>
  <c r="DI22" i="17"/>
  <c r="DH22" i="17"/>
  <c r="DG22" i="17"/>
  <c r="DF22" i="17"/>
  <c r="DE22" i="17"/>
  <c r="DD22" i="17"/>
  <c r="DC22" i="17"/>
  <c r="DB22" i="17"/>
  <c r="DA22" i="17"/>
  <c r="CZ22" i="17"/>
  <c r="CY22" i="17"/>
  <c r="CX22" i="17"/>
  <c r="CW22" i="17"/>
  <c r="CV22" i="17"/>
  <c r="CU22" i="17"/>
  <c r="CT22" i="17"/>
  <c r="CS22" i="17"/>
  <c r="CR22" i="17"/>
  <c r="CQ22" i="17"/>
  <c r="CP22" i="17"/>
  <c r="CO22" i="17"/>
  <c r="CN22" i="17"/>
  <c r="CM22" i="17"/>
  <c r="CL22" i="17"/>
  <c r="CK22" i="17"/>
  <c r="CJ22" i="17"/>
  <c r="CI22" i="17"/>
  <c r="CH22" i="17"/>
  <c r="CG22" i="17"/>
  <c r="CF22" i="17"/>
  <c r="CE22" i="17"/>
  <c r="CD22" i="17"/>
  <c r="CC22" i="17"/>
  <c r="CB22" i="17"/>
  <c r="CA22" i="17"/>
  <c r="BZ22" i="17"/>
  <c r="BY22" i="17"/>
  <c r="BX22" i="17"/>
  <c r="BW22" i="17"/>
  <c r="BV22" i="17"/>
  <c r="BU22" i="17"/>
  <c r="BT22" i="17"/>
  <c r="BS22" i="17"/>
  <c r="BR22" i="17"/>
  <c r="BQ22" i="17"/>
  <c r="BP22" i="17"/>
  <c r="BO22" i="17"/>
  <c r="BN22" i="17"/>
  <c r="BM22" i="17"/>
  <c r="BL22" i="17"/>
  <c r="BK22" i="17"/>
  <c r="BJ22" i="17"/>
  <c r="BI22" i="17"/>
  <c r="BH22" i="17"/>
  <c r="BG22" i="17"/>
  <c r="BF22" i="17"/>
  <c r="BE22" i="17"/>
  <c r="BD22" i="17"/>
  <c r="BC22" i="17"/>
  <c r="BB22" i="17"/>
  <c r="BA22" i="17"/>
  <c r="AZ22" i="17"/>
  <c r="AY22" i="17"/>
  <c r="AX22" i="17"/>
  <c r="AW22" i="17"/>
  <c r="AV22" i="17"/>
  <c r="AU22" i="17"/>
  <c r="AT22" i="17"/>
  <c r="AS22" i="17"/>
  <c r="AR22" i="17"/>
  <c r="AQ22" i="17"/>
  <c r="AP22" i="17"/>
  <c r="AO22" i="17"/>
  <c r="AN22" i="17"/>
  <c r="AM22" i="17"/>
  <c r="AL22" i="17"/>
  <c r="AK22" i="17"/>
  <c r="AJ22" i="17"/>
  <c r="AI22" i="17"/>
  <c r="AH22" i="17"/>
  <c r="AG22" i="17"/>
  <c r="AF22" i="17"/>
  <c r="AE22" i="17"/>
  <c r="AD22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KC21" i="17"/>
  <c r="KB21" i="17"/>
  <c r="KA21" i="17"/>
  <c r="JZ21" i="17"/>
  <c r="JY21" i="17"/>
  <c r="JU21" i="17"/>
  <c r="JG21" i="17"/>
  <c r="JB21" i="17"/>
  <c r="JA21" i="17"/>
  <c r="IV21" i="17"/>
  <c r="IU21" i="17"/>
  <c r="IT21" i="17"/>
  <c r="IS21" i="17"/>
  <c r="IR21" i="17"/>
  <c r="IQ21" i="17"/>
  <c r="IP21" i="17"/>
  <c r="IO21" i="17"/>
  <c r="IN21" i="17"/>
  <c r="IM21" i="17"/>
  <c r="IL21" i="17"/>
  <c r="IK21" i="17"/>
  <c r="IJ21" i="17"/>
  <c r="II21" i="17"/>
  <c r="IH21" i="17"/>
  <c r="IG21" i="17"/>
  <c r="IF21" i="17"/>
  <c r="HE21" i="17"/>
  <c r="HD21" i="17"/>
  <c r="HC21" i="17"/>
  <c r="HB21" i="17"/>
  <c r="HA21" i="17"/>
  <c r="GZ21" i="17"/>
  <c r="GY21" i="17"/>
  <c r="GX21" i="17"/>
  <c r="GW21" i="17"/>
  <c r="GV21" i="17"/>
  <c r="GU21" i="17"/>
  <c r="GT21" i="17"/>
  <c r="GS21" i="17"/>
  <c r="GR21" i="17"/>
  <c r="GQ21" i="17"/>
  <c r="GP21" i="17"/>
  <c r="GO21" i="17"/>
  <c r="GN21" i="17"/>
  <c r="GM21" i="17"/>
  <c r="GL21" i="17"/>
  <c r="GK21" i="17"/>
  <c r="GJ21" i="17"/>
  <c r="GI21" i="17"/>
  <c r="GH21" i="17"/>
  <c r="GG21" i="17"/>
  <c r="GF21" i="17"/>
  <c r="GE21" i="17"/>
  <c r="GD21" i="17"/>
  <c r="GC21" i="17"/>
  <c r="GB21" i="17"/>
  <c r="GA21" i="17"/>
  <c r="FZ21" i="17"/>
  <c r="FY21" i="17"/>
  <c r="FX21" i="17"/>
  <c r="FW21" i="17"/>
  <c r="FV21" i="17"/>
  <c r="FU21" i="17"/>
  <c r="FT21" i="17"/>
  <c r="FS21" i="17"/>
  <c r="FR21" i="17"/>
  <c r="FQ21" i="17"/>
  <c r="FP21" i="17"/>
  <c r="FO21" i="17"/>
  <c r="FN21" i="17"/>
  <c r="FM21" i="17"/>
  <c r="FL21" i="17"/>
  <c r="FK21" i="17"/>
  <c r="FJ21" i="17"/>
  <c r="FI21" i="17"/>
  <c r="FH21" i="17"/>
  <c r="FG21" i="17"/>
  <c r="FF21" i="17"/>
  <c r="FE21" i="17"/>
  <c r="FD21" i="17"/>
  <c r="FC21" i="17"/>
  <c r="FB21" i="17"/>
  <c r="FA21" i="17"/>
  <c r="EZ21" i="17"/>
  <c r="EY21" i="17"/>
  <c r="EX21" i="17"/>
  <c r="EW21" i="17"/>
  <c r="EV21" i="17"/>
  <c r="EU21" i="17"/>
  <c r="ET21" i="17"/>
  <c r="ES21" i="17"/>
  <c r="ER21" i="17"/>
  <c r="EQ21" i="17"/>
  <c r="EP21" i="17"/>
  <c r="EO21" i="17"/>
  <c r="EN21" i="17"/>
  <c r="EM21" i="17"/>
  <c r="EL21" i="17"/>
  <c r="EK21" i="17"/>
  <c r="EJ21" i="17"/>
  <c r="EI21" i="17"/>
  <c r="EH21" i="17"/>
  <c r="EG21" i="17"/>
  <c r="EF21" i="17"/>
  <c r="EE21" i="17"/>
  <c r="ED21" i="17"/>
  <c r="EC21" i="17"/>
  <c r="EB21" i="17"/>
  <c r="EA21" i="17"/>
  <c r="DZ21" i="17"/>
  <c r="DY21" i="17"/>
  <c r="DX21" i="17"/>
  <c r="DW21" i="17"/>
  <c r="DV21" i="17"/>
  <c r="DU21" i="17"/>
  <c r="DT21" i="17"/>
  <c r="DS21" i="17"/>
  <c r="DR21" i="17"/>
  <c r="DQ21" i="17"/>
  <c r="DP21" i="17"/>
  <c r="DO21" i="17"/>
  <c r="DN21" i="17"/>
  <c r="DM21" i="17"/>
  <c r="DL21" i="17"/>
  <c r="DK21" i="17"/>
  <c r="DJ21" i="17"/>
  <c r="DI21" i="17"/>
  <c r="DH21" i="17"/>
  <c r="DG21" i="17"/>
  <c r="DF21" i="17"/>
  <c r="DE21" i="17"/>
  <c r="DD21" i="17"/>
  <c r="DC21" i="17"/>
  <c r="DB21" i="17"/>
  <c r="DA21" i="17"/>
  <c r="CZ21" i="17"/>
  <c r="CY21" i="17"/>
  <c r="CX21" i="17"/>
  <c r="CW21" i="17"/>
  <c r="CV21" i="17"/>
  <c r="CU21" i="17"/>
  <c r="CT21" i="17"/>
  <c r="CS21" i="17"/>
  <c r="CR21" i="17"/>
  <c r="CQ21" i="17"/>
  <c r="CP21" i="17"/>
  <c r="CO21" i="17"/>
  <c r="CN21" i="17"/>
  <c r="CM21" i="17"/>
  <c r="CL21" i="17"/>
  <c r="CK21" i="17"/>
  <c r="CJ21" i="17"/>
  <c r="CI21" i="17"/>
  <c r="CH21" i="17"/>
  <c r="CG21" i="17"/>
  <c r="CF21" i="17"/>
  <c r="CE21" i="17"/>
  <c r="CD21" i="17"/>
  <c r="CC21" i="17"/>
  <c r="CB21" i="17"/>
  <c r="CA21" i="17"/>
  <c r="BZ21" i="17"/>
  <c r="BY21" i="17"/>
  <c r="BX21" i="17"/>
  <c r="BW21" i="17"/>
  <c r="BV21" i="17"/>
  <c r="BU21" i="17"/>
  <c r="BT21" i="17"/>
  <c r="BS21" i="17"/>
  <c r="BR21" i="17"/>
  <c r="BQ21" i="17"/>
  <c r="BP21" i="17"/>
  <c r="BO21" i="17"/>
  <c r="BN21" i="17"/>
  <c r="BM21" i="17"/>
  <c r="BL21" i="17"/>
  <c r="BK21" i="17"/>
  <c r="BJ21" i="17"/>
  <c r="BI21" i="17"/>
  <c r="BH21" i="17"/>
  <c r="BG21" i="17"/>
  <c r="BF21" i="17"/>
  <c r="BE21" i="17"/>
  <c r="BD21" i="17"/>
  <c r="BC21" i="17"/>
  <c r="BB21" i="17"/>
  <c r="BA21" i="17"/>
  <c r="AZ21" i="17"/>
  <c r="AY21" i="17"/>
  <c r="AX21" i="17"/>
  <c r="AW21" i="17"/>
  <c r="AV21" i="17"/>
  <c r="AU21" i="17"/>
  <c r="AT21" i="17"/>
  <c r="AS21" i="17"/>
  <c r="AR21" i="17"/>
  <c r="AQ21" i="17"/>
  <c r="AP21" i="17"/>
  <c r="AO21" i="17"/>
  <c r="AN21" i="17"/>
  <c r="AM21" i="17"/>
  <c r="AL21" i="17"/>
  <c r="AK21" i="17"/>
  <c r="AJ21" i="17"/>
  <c r="AI21" i="17"/>
  <c r="AH21" i="17"/>
  <c r="AG21" i="17"/>
  <c r="AF21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KC20" i="17"/>
  <c r="KB20" i="17"/>
  <c r="KA20" i="17"/>
  <c r="JZ20" i="17"/>
  <c r="JY20" i="17"/>
  <c r="JU20" i="17"/>
  <c r="JG20" i="17"/>
  <c r="JB20" i="17"/>
  <c r="JA20" i="17"/>
  <c r="IV20" i="17"/>
  <c r="IU20" i="17"/>
  <c r="IT20" i="17"/>
  <c r="IS20" i="17"/>
  <c r="IR20" i="17"/>
  <c r="IQ20" i="17"/>
  <c r="IP20" i="17"/>
  <c r="IO20" i="17"/>
  <c r="IN20" i="17"/>
  <c r="IM20" i="17"/>
  <c r="IL20" i="17"/>
  <c r="IK20" i="17"/>
  <c r="IJ20" i="17"/>
  <c r="II20" i="17"/>
  <c r="IH20" i="17"/>
  <c r="IG20" i="17"/>
  <c r="IF20" i="17"/>
  <c r="HE20" i="17"/>
  <c r="HD20" i="17"/>
  <c r="HC20" i="17"/>
  <c r="HB20" i="17"/>
  <c r="HA20" i="17"/>
  <c r="GZ20" i="17"/>
  <c r="GY20" i="17"/>
  <c r="GX20" i="17"/>
  <c r="GW20" i="17"/>
  <c r="GV20" i="17"/>
  <c r="GU20" i="17"/>
  <c r="GT20" i="17"/>
  <c r="GS20" i="17"/>
  <c r="GR20" i="17"/>
  <c r="GQ20" i="17"/>
  <c r="GP20" i="17"/>
  <c r="GO20" i="17"/>
  <c r="GN20" i="17"/>
  <c r="GM20" i="17"/>
  <c r="GL20" i="17"/>
  <c r="GK20" i="17"/>
  <c r="GJ20" i="17"/>
  <c r="GI20" i="17"/>
  <c r="GH20" i="17"/>
  <c r="GG20" i="17"/>
  <c r="GF20" i="17"/>
  <c r="GE20" i="17"/>
  <c r="GD20" i="17"/>
  <c r="GC20" i="17"/>
  <c r="GB20" i="17"/>
  <c r="GA20" i="17"/>
  <c r="FZ20" i="17"/>
  <c r="FY20" i="17"/>
  <c r="FX20" i="17"/>
  <c r="FW20" i="17"/>
  <c r="FV20" i="17"/>
  <c r="FU20" i="17"/>
  <c r="FT20" i="17"/>
  <c r="FS20" i="17"/>
  <c r="FR20" i="17"/>
  <c r="FQ20" i="17"/>
  <c r="FP20" i="17"/>
  <c r="FO20" i="17"/>
  <c r="FN20" i="17"/>
  <c r="FM20" i="17"/>
  <c r="FL20" i="17"/>
  <c r="FK20" i="17"/>
  <c r="FJ20" i="17"/>
  <c r="FI20" i="17"/>
  <c r="FH20" i="17"/>
  <c r="FG20" i="17"/>
  <c r="FF20" i="17"/>
  <c r="FE20" i="17"/>
  <c r="FD20" i="17"/>
  <c r="FC20" i="17"/>
  <c r="FB20" i="17"/>
  <c r="FA20" i="17"/>
  <c r="EZ20" i="17"/>
  <c r="EY20" i="17"/>
  <c r="EX20" i="17"/>
  <c r="EW20" i="17"/>
  <c r="EV20" i="17"/>
  <c r="EU20" i="17"/>
  <c r="ET20" i="17"/>
  <c r="ES20" i="17"/>
  <c r="ER20" i="17"/>
  <c r="EQ20" i="17"/>
  <c r="EP20" i="17"/>
  <c r="EO20" i="17"/>
  <c r="EN20" i="17"/>
  <c r="EM20" i="17"/>
  <c r="EL20" i="17"/>
  <c r="EK20" i="17"/>
  <c r="EJ20" i="17"/>
  <c r="EI20" i="17"/>
  <c r="EH20" i="17"/>
  <c r="EG20" i="17"/>
  <c r="EF20" i="17"/>
  <c r="EE20" i="17"/>
  <c r="ED20" i="17"/>
  <c r="EC20" i="17"/>
  <c r="EB20" i="17"/>
  <c r="EA20" i="17"/>
  <c r="DZ20" i="17"/>
  <c r="DY20" i="17"/>
  <c r="DX20" i="17"/>
  <c r="DW20" i="17"/>
  <c r="DV20" i="17"/>
  <c r="DU20" i="17"/>
  <c r="DT20" i="17"/>
  <c r="DS20" i="17"/>
  <c r="DR20" i="17"/>
  <c r="DQ20" i="17"/>
  <c r="DP20" i="17"/>
  <c r="DO20" i="17"/>
  <c r="DN20" i="17"/>
  <c r="DM20" i="17"/>
  <c r="DL20" i="17"/>
  <c r="DK20" i="17"/>
  <c r="DJ20" i="17"/>
  <c r="DI20" i="17"/>
  <c r="DH20" i="17"/>
  <c r="DG20" i="17"/>
  <c r="DF20" i="17"/>
  <c r="DE20" i="17"/>
  <c r="DD20" i="17"/>
  <c r="DC20" i="17"/>
  <c r="DB20" i="17"/>
  <c r="DA20" i="17"/>
  <c r="CZ20" i="17"/>
  <c r="CY20" i="17"/>
  <c r="CX20" i="17"/>
  <c r="CW20" i="17"/>
  <c r="CV20" i="17"/>
  <c r="CU20" i="17"/>
  <c r="CT20" i="17"/>
  <c r="CS20" i="17"/>
  <c r="CR20" i="17"/>
  <c r="CQ20" i="17"/>
  <c r="CP20" i="17"/>
  <c r="CO20" i="17"/>
  <c r="CN20" i="17"/>
  <c r="CM20" i="17"/>
  <c r="CL20" i="17"/>
  <c r="CK20" i="17"/>
  <c r="CJ20" i="17"/>
  <c r="CI20" i="17"/>
  <c r="CH20" i="17"/>
  <c r="CG20" i="17"/>
  <c r="CF20" i="17"/>
  <c r="CE20" i="17"/>
  <c r="CD20" i="17"/>
  <c r="CC20" i="17"/>
  <c r="CB20" i="17"/>
  <c r="CA20" i="17"/>
  <c r="BZ20" i="17"/>
  <c r="BY20" i="17"/>
  <c r="BX20" i="17"/>
  <c r="BW20" i="17"/>
  <c r="BV20" i="17"/>
  <c r="BU20" i="17"/>
  <c r="BT20" i="17"/>
  <c r="BS20" i="17"/>
  <c r="BR20" i="17"/>
  <c r="BQ20" i="17"/>
  <c r="BP20" i="17"/>
  <c r="BO20" i="17"/>
  <c r="BN20" i="17"/>
  <c r="BM20" i="17"/>
  <c r="BL20" i="17"/>
  <c r="BK20" i="17"/>
  <c r="BJ20" i="17"/>
  <c r="BI20" i="17"/>
  <c r="BH20" i="17"/>
  <c r="BG20" i="17"/>
  <c r="BF20" i="17"/>
  <c r="BE20" i="17"/>
  <c r="BD20" i="17"/>
  <c r="BC20" i="17"/>
  <c r="BB20" i="17"/>
  <c r="BA20" i="17"/>
  <c r="AZ20" i="17"/>
  <c r="AY20" i="17"/>
  <c r="AX20" i="17"/>
  <c r="AW20" i="17"/>
  <c r="AV20" i="17"/>
  <c r="AU20" i="17"/>
  <c r="AT20" i="17"/>
  <c r="AS20" i="17"/>
  <c r="AR20" i="17"/>
  <c r="AQ20" i="17"/>
  <c r="AP20" i="17"/>
  <c r="AO20" i="17"/>
  <c r="AN20" i="17"/>
  <c r="AM20" i="17"/>
  <c r="AL20" i="17"/>
  <c r="AK20" i="17"/>
  <c r="AJ20" i="17"/>
  <c r="AI20" i="17"/>
  <c r="AH20" i="17"/>
  <c r="AG20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KC19" i="17"/>
  <c r="KB19" i="17"/>
  <c r="KA19" i="17"/>
  <c r="JZ19" i="17"/>
  <c r="JY19" i="17"/>
  <c r="JU19" i="17"/>
  <c r="JG19" i="17"/>
  <c r="JB19" i="17"/>
  <c r="JA19" i="17"/>
  <c r="IV19" i="17"/>
  <c r="IU19" i="17"/>
  <c r="IT19" i="17"/>
  <c r="IS19" i="17"/>
  <c r="IR19" i="17"/>
  <c r="IQ19" i="17"/>
  <c r="IP19" i="17"/>
  <c r="IO19" i="17"/>
  <c r="IN19" i="17"/>
  <c r="IM19" i="17"/>
  <c r="IL19" i="17"/>
  <c r="IK19" i="17"/>
  <c r="IJ19" i="17"/>
  <c r="II19" i="17"/>
  <c r="IH19" i="17"/>
  <c r="IG19" i="17"/>
  <c r="IF19" i="17"/>
  <c r="HE19" i="17"/>
  <c r="HD19" i="17"/>
  <c r="HC19" i="17"/>
  <c r="HB19" i="17"/>
  <c r="HA19" i="17"/>
  <c r="GZ19" i="17"/>
  <c r="GY19" i="17"/>
  <c r="GX19" i="17"/>
  <c r="GW19" i="17"/>
  <c r="GV19" i="17"/>
  <c r="GU19" i="17"/>
  <c r="GT19" i="17"/>
  <c r="GS19" i="17"/>
  <c r="GR19" i="17"/>
  <c r="GQ19" i="17"/>
  <c r="GP19" i="17"/>
  <c r="GO19" i="17"/>
  <c r="GN19" i="17"/>
  <c r="GM19" i="17"/>
  <c r="GL19" i="17"/>
  <c r="GK19" i="17"/>
  <c r="GJ19" i="17"/>
  <c r="GI19" i="17"/>
  <c r="GH19" i="17"/>
  <c r="GG19" i="17"/>
  <c r="GF19" i="17"/>
  <c r="GE19" i="17"/>
  <c r="GD19" i="17"/>
  <c r="GC19" i="17"/>
  <c r="GB19" i="17"/>
  <c r="GA19" i="17"/>
  <c r="FZ19" i="17"/>
  <c r="FY19" i="17"/>
  <c r="FX19" i="17"/>
  <c r="FW19" i="17"/>
  <c r="FV19" i="17"/>
  <c r="FU19" i="17"/>
  <c r="FT19" i="17"/>
  <c r="FS19" i="17"/>
  <c r="FR19" i="17"/>
  <c r="FQ19" i="17"/>
  <c r="FP19" i="17"/>
  <c r="FO19" i="17"/>
  <c r="FN19" i="17"/>
  <c r="FM19" i="17"/>
  <c r="FL19" i="17"/>
  <c r="FK19" i="17"/>
  <c r="FJ19" i="17"/>
  <c r="FI19" i="17"/>
  <c r="FH19" i="17"/>
  <c r="FG19" i="17"/>
  <c r="FF19" i="17"/>
  <c r="FE19" i="17"/>
  <c r="FD19" i="17"/>
  <c r="FC19" i="17"/>
  <c r="FB19" i="17"/>
  <c r="FA19" i="17"/>
  <c r="EZ19" i="17"/>
  <c r="EY19" i="17"/>
  <c r="EX19" i="17"/>
  <c r="EW19" i="17"/>
  <c r="EV19" i="17"/>
  <c r="EU19" i="17"/>
  <c r="ET19" i="17"/>
  <c r="ES19" i="17"/>
  <c r="ER19" i="17"/>
  <c r="EQ19" i="17"/>
  <c r="EP19" i="17"/>
  <c r="EO19" i="17"/>
  <c r="EN19" i="17"/>
  <c r="EM19" i="17"/>
  <c r="EL19" i="17"/>
  <c r="EK19" i="17"/>
  <c r="EJ19" i="17"/>
  <c r="EI19" i="17"/>
  <c r="EH19" i="17"/>
  <c r="EG19" i="17"/>
  <c r="EF19" i="17"/>
  <c r="EE19" i="17"/>
  <c r="ED19" i="17"/>
  <c r="EC19" i="17"/>
  <c r="EB19" i="17"/>
  <c r="EA19" i="17"/>
  <c r="DZ19" i="17"/>
  <c r="DY19" i="17"/>
  <c r="DX19" i="17"/>
  <c r="DW19" i="17"/>
  <c r="DV19" i="17"/>
  <c r="DU19" i="17"/>
  <c r="DT19" i="17"/>
  <c r="DS19" i="17"/>
  <c r="DR19" i="17"/>
  <c r="DQ19" i="17"/>
  <c r="DP19" i="17"/>
  <c r="DO19" i="17"/>
  <c r="DN19" i="17"/>
  <c r="DM19" i="17"/>
  <c r="DL19" i="17"/>
  <c r="DK19" i="17"/>
  <c r="DJ19" i="17"/>
  <c r="DI19" i="17"/>
  <c r="DH19" i="17"/>
  <c r="DG19" i="17"/>
  <c r="DF19" i="17"/>
  <c r="DE19" i="17"/>
  <c r="DD19" i="17"/>
  <c r="DC19" i="17"/>
  <c r="DB19" i="17"/>
  <c r="DA19" i="17"/>
  <c r="CZ19" i="17"/>
  <c r="CY19" i="17"/>
  <c r="CX19" i="17"/>
  <c r="CW19" i="17"/>
  <c r="CV19" i="17"/>
  <c r="CU19" i="17"/>
  <c r="CT19" i="17"/>
  <c r="CS19" i="17"/>
  <c r="CR19" i="17"/>
  <c r="CQ19" i="17"/>
  <c r="CP19" i="17"/>
  <c r="CO19" i="17"/>
  <c r="CN19" i="17"/>
  <c r="CM19" i="17"/>
  <c r="CL19" i="17"/>
  <c r="CK19" i="17"/>
  <c r="CJ19" i="17"/>
  <c r="CI19" i="17"/>
  <c r="CH19" i="17"/>
  <c r="CG19" i="17"/>
  <c r="CF19" i="17"/>
  <c r="CE19" i="17"/>
  <c r="CD19" i="17"/>
  <c r="CC19" i="17"/>
  <c r="CB19" i="17"/>
  <c r="CA19" i="17"/>
  <c r="BZ19" i="17"/>
  <c r="BY19" i="17"/>
  <c r="BX19" i="17"/>
  <c r="BW19" i="17"/>
  <c r="BV19" i="17"/>
  <c r="BU19" i="17"/>
  <c r="BT19" i="17"/>
  <c r="BS19" i="17"/>
  <c r="BR19" i="17"/>
  <c r="BQ19" i="17"/>
  <c r="BP19" i="17"/>
  <c r="BO19" i="17"/>
  <c r="BN19" i="17"/>
  <c r="BM19" i="17"/>
  <c r="BL19" i="17"/>
  <c r="BK19" i="17"/>
  <c r="BJ19" i="17"/>
  <c r="BI19" i="17"/>
  <c r="BH19" i="17"/>
  <c r="BG19" i="17"/>
  <c r="BF19" i="17"/>
  <c r="BE19" i="17"/>
  <c r="BD19" i="17"/>
  <c r="BC19" i="17"/>
  <c r="BB19" i="17"/>
  <c r="BA19" i="17"/>
  <c r="AZ19" i="17"/>
  <c r="AY19" i="17"/>
  <c r="AX19" i="17"/>
  <c r="AW19" i="17"/>
  <c r="AV19" i="17"/>
  <c r="AU19" i="17"/>
  <c r="AT19" i="17"/>
  <c r="AS19" i="17"/>
  <c r="AR19" i="17"/>
  <c r="AQ19" i="17"/>
  <c r="AP19" i="17"/>
  <c r="AO19" i="17"/>
  <c r="AN19" i="17"/>
  <c r="AM19" i="17"/>
  <c r="AL19" i="17"/>
  <c r="AK19" i="17"/>
  <c r="AJ19" i="17"/>
  <c r="AI19" i="17"/>
  <c r="AH19" i="17"/>
  <c r="AG19" i="17"/>
  <c r="AF19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KC18" i="17"/>
  <c r="KB18" i="17"/>
  <c r="KA18" i="17"/>
  <c r="JZ18" i="17"/>
  <c r="JY18" i="17"/>
  <c r="JU18" i="17"/>
  <c r="JG18" i="17"/>
  <c r="JB18" i="17"/>
  <c r="JA18" i="17"/>
  <c r="IV18" i="17"/>
  <c r="IU18" i="17"/>
  <c r="IT18" i="17"/>
  <c r="IS18" i="17"/>
  <c r="IR18" i="17"/>
  <c r="IQ18" i="17"/>
  <c r="IP18" i="17"/>
  <c r="IO18" i="17"/>
  <c r="IN18" i="17"/>
  <c r="IM18" i="17"/>
  <c r="IL18" i="17"/>
  <c r="IK18" i="17"/>
  <c r="IJ18" i="17"/>
  <c r="II18" i="17"/>
  <c r="IH18" i="17"/>
  <c r="IG18" i="17"/>
  <c r="IF18" i="17"/>
  <c r="HE18" i="17"/>
  <c r="HD18" i="17"/>
  <c r="HC18" i="17"/>
  <c r="HB18" i="17"/>
  <c r="HA18" i="17"/>
  <c r="GZ18" i="17"/>
  <c r="GY18" i="17"/>
  <c r="GX18" i="17"/>
  <c r="GW18" i="17"/>
  <c r="GV18" i="17"/>
  <c r="GU18" i="17"/>
  <c r="GT18" i="17"/>
  <c r="GS18" i="17"/>
  <c r="GR18" i="17"/>
  <c r="GQ18" i="17"/>
  <c r="GP18" i="17"/>
  <c r="GO18" i="17"/>
  <c r="GN18" i="17"/>
  <c r="GM18" i="17"/>
  <c r="GL18" i="17"/>
  <c r="GK18" i="17"/>
  <c r="GJ18" i="17"/>
  <c r="GI18" i="17"/>
  <c r="GH18" i="17"/>
  <c r="GG18" i="17"/>
  <c r="GF18" i="17"/>
  <c r="GE18" i="17"/>
  <c r="GD18" i="17"/>
  <c r="GC18" i="17"/>
  <c r="GB18" i="17"/>
  <c r="GA18" i="17"/>
  <c r="FZ18" i="17"/>
  <c r="FY18" i="17"/>
  <c r="FX18" i="17"/>
  <c r="FW18" i="17"/>
  <c r="FV18" i="17"/>
  <c r="FU18" i="17"/>
  <c r="FT18" i="17"/>
  <c r="FS18" i="17"/>
  <c r="FR18" i="17"/>
  <c r="FQ18" i="17"/>
  <c r="FP18" i="17"/>
  <c r="FO18" i="17"/>
  <c r="FN18" i="17"/>
  <c r="FM18" i="17"/>
  <c r="FL18" i="17"/>
  <c r="FK18" i="17"/>
  <c r="FJ18" i="17"/>
  <c r="FI18" i="17"/>
  <c r="FH18" i="17"/>
  <c r="FG18" i="17"/>
  <c r="FF18" i="17"/>
  <c r="FE18" i="17"/>
  <c r="FD18" i="17"/>
  <c r="FC18" i="17"/>
  <c r="FB18" i="17"/>
  <c r="FA18" i="17"/>
  <c r="EZ18" i="17"/>
  <c r="EY18" i="17"/>
  <c r="EX18" i="17"/>
  <c r="EW18" i="17"/>
  <c r="EV18" i="17"/>
  <c r="EU18" i="17"/>
  <c r="ET18" i="17"/>
  <c r="ES18" i="17"/>
  <c r="ER18" i="17"/>
  <c r="EQ18" i="17"/>
  <c r="EP18" i="17"/>
  <c r="EO18" i="17"/>
  <c r="EN18" i="17"/>
  <c r="EM18" i="17"/>
  <c r="EL18" i="17"/>
  <c r="EK18" i="17"/>
  <c r="EJ18" i="17"/>
  <c r="EI18" i="17"/>
  <c r="EH18" i="17"/>
  <c r="EG18" i="17"/>
  <c r="EF18" i="17"/>
  <c r="EE18" i="17"/>
  <c r="ED18" i="17"/>
  <c r="EC18" i="17"/>
  <c r="EB18" i="17"/>
  <c r="EA18" i="17"/>
  <c r="DZ18" i="17"/>
  <c r="DY18" i="17"/>
  <c r="DX18" i="17"/>
  <c r="DW18" i="17"/>
  <c r="DV18" i="17"/>
  <c r="DU18" i="17"/>
  <c r="DT18" i="17"/>
  <c r="DS18" i="17"/>
  <c r="DR18" i="17"/>
  <c r="DQ18" i="17"/>
  <c r="DP18" i="17"/>
  <c r="DO18" i="17"/>
  <c r="DN18" i="17"/>
  <c r="DM18" i="17"/>
  <c r="DL18" i="17"/>
  <c r="DK18" i="17"/>
  <c r="DJ18" i="17"/>
  <c r="DI18" i="17"/>
  <c r="DH18" i="17"/>
  <c r="DG18" i="17"/>
  <c r="DF18" i="17"/>
  <c r="DE18" i="17"/>
  <c r="DD18" i="17"/>
  <c r="DC18" i="17"/>
  <c r="DB18" i="17"/>
  <c r="DA18" i="17"/>
  <c r="CZ18" i="17"/>
  <c r="CY18" i="17"/>
  <c r="CX18" i="17"/>
  <c r="CW18" i="17"/>
  <c r="CV18" i="17"/>
  <c r="CU18" i="17"/>
  <c r="CT18" i="17"/>
  <c r="CS18" i="17"/>
  <c r="CR18" i="17"/>
  <c r="CQ18" i="17"/>
  <c r="CP18" i="17"/>
  <c r="CO18" i="17"/>
  <c r="CN18" i="17"/>
  <c r="CM18" i="17"/>
  <c r="CL18" i="17"/>
  <c r="CK18" i="17"/>
  <c r="CJ18" i="17"/>
  <c r="CI18" i="17"/>
  <c r="CH18" i="17"/>
  <c r="CG18" i="17"/>
  <c r="CF18" i="17"/>
  <c r="CE18" i="17"/>
  <c r="CD18" i="17"/>
  <c r="CC18" i="17"/>
  <c r="CB18" i="17"/>
  <c r="CA18" i="17"/>
  <c r="BZ18" i="17"/>
  <c r="BY18" i="17"/>
  <c r="BX18" i="17"/>
  <c r="BW18" i="17"/>
  <c r="BV18" i="17"/>
  <c r="BU18" i="17"/>
  <c r="BT18" i="17"/>
  <c r="BS18" i="17"/>
  <c r="BR18" i="17"/>
  <c r="BQ18" i="17"/>
  <c r="BP18" i="17"/>
  <c r="BO18" i="17"/>
  <c r="BN18" i="17"/>
  <c r="BM18" i="17"/>
  <c r="BL18" i="17"/>
  <c r="BK18" i="17"/>
  <c r="BJ18" i="17"/>
  <c r="BI18" i="17"/>
  <c r="BH18" i="17"/>
  <c r="BG18" i="17"/>
  <c r="BF18" i="17"/>
  <c r="BE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AP18" i="17"/>
  <c r="AO18" i="17"/>
  <c r="AN18" i="17"/>
  <c r="AM18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KC17" i="17"/>
  <c r="KB17" i="17"/>
  <c r="KA17" i="17"/>
  <c r="JZ17" i="17"/>
  <c r="JY17" i="17"/>
  <c r="JU17" i="17"/>
  <c r="JG17" i="17"/>
  <c r="JB17" i="17"/>
  <c r="JA17" i="17"/>
  <c r="IV17" i="17"/>
  <c r="IU17" i="17"/>
  <c r="IT17" i="17"/>
  <c r="IS17" i="17"/>
  <c r="IR17" i="17"/>
  <c r="IQ17" i="17"/>
  <c r="IP17" i="17"/>
  <c r="IO17" i="17"/>
  <c r="IN17" i="17"/>
  <c r="IM17" i="17"/>
  <c r="IL17" i="17"/>
  <c r="IK17" i="17"/>
  <c r="IJ17" i="17"/>
  <c r="II17" i="17"/>
  <c r="IH17" i="17"/>
  <c r="IG17" i="17"/>
  <c r="IF17" i="17"/>
  <c r="HE17" i="17"/>
  <c r="HD17" i="17"/>
  <c r="HC17" i="17"/>
  <c r="HB17" i="17"/>
  <c r="HA17" i="17"/>
  <c r="GZ17" i="17"/>
  <c r="GY17" i="17"/>
  <c r="GX17" i="17"/>
  <c r="GW17" i="17"/>
  <c r="GV17" i="17"/>
  <c r="GU17" i="17"/>
  <c r="GT17" i="17"/>
  <c r="GS17" i="17"/>
  <c r="GR17" i="17"/>
  <c r="GQ17" i="17"/>
  <c r="GP17" i="17"/>
  <c r="GO17" i="17"/>
  <c r="GN17" i="17"/>
  <c r="GM17" i="17"/>
  <c r="GL17" i="17"/>
  <c r="GK17" i="17"/>
  <c r="GJ17" i="17"/>
  <c r="GI17" i="17"/>
  <c r="GH17" i="17"/>
  <c r="GG17" i="17"/>
  <c r="GF17" i="17"/>
  <c r="GE17" i="17"/>
  <c r="GD17" i="17"/>
  <c r="GC17" i="17"/>
  <c r="GB17" i="17"/>
  <c r="GA17" i="17"/>
  <c r="FZ17" i="17"/>
  <c r="FY17" i="17"/>
  <c r="FX17" i="17"/>
  <c r="FW17" i="17"/>
  <c r="FV17" i="17"/>
  <c r="FU17" i="17"/>
  <c r="FT17" i="17"/>
  <c r="FS17" i="17"/>
  <c r="FR17" i="17"/>
  <c r="FQ17" i="17"/>
  <c r="FP17" i="17"/>
  <c r="FO17" i="17"/>
  <c r="FN17" i="17"/>
  <c r="FM17" i="17"/>
  <c r="FL17" i="17"/>
  <c r="FK17" i="17"/>
  <c r="FJ17" i="17"/>
  <c r="FI17" i="17"/>
  <c r="FH17" i="17"/>
  <c r="FG17" i="17"/>
  <c r="FF17" i="17"/>
  <c r="FE17" i="17"/>
  <c r="FD17" i="17"/>
  <c r="FC17" i="17"/>
  <c r="FB17" i="17"/>
  <c r="FA17" i="17"/>
  <c r="EZ17" i="17"/>
  <c r="EY17" i="17"/>
  <c r="EX17" i="17"/>
  <c r="EW17" i="17"/>
  <c r="EV17" i="17"/>
  <c r="EU17" i="17"/>
  <c r="ET17" i="17"/>
  <c r="ES17" i="17"/>
  <c r="ER17" i="17"/>
  <c r="EQ17" i="17"/>
  <c r="EP17" i="17"/>
  <c r="EO17" i="17"/>
  <c r="EN17" i="17"/>
  <c r="EM17" i="17"/>
  <c r="EL17" i="17"/>
  <c r="EK17" i="17"/>
  <c r="EJ17" i="17"/>
  <c r="EI17" i="17"/>
  <c r="EH17" i="17"/>
  <c r="EG17" i="17"/>
  <c r="EF17" i="17"/>
  <c r="EE17" i="17"/>
  <c r="ED17" i="17"/>
  <c r="EC17" i="17"/>
  <c r="EB17" i="17"/>
  <c r="EA17" i="17"/>
  <c r="DZ17" i="17"/>
  <c r="DY17" i="17"/>
  <c r="DX17" i="17"/>
  <c r="DW17" i="17"/>
  <c r="DV17" i="17"/>
  <c r="DU17" i="17"/>
  <c r="DT17" i="17"/>
  <c r="DS17" i="17"/>
  <c r="DR17" i="17"/>
  <c r="DQ17" i="17"/>
  <c r="DP17" i="17"/>
  <c r="DO17" i="17"/>
  <c r="DN17" i="17"/>
  <c r="DM17" i="17"/>
  <c r="DL17" i="17"/>
  <c r="DK17" i="17"/>
  <c r="DJ17" i="17"/>
  <c r="DI17" i="17"/>
  <c r="DH17" i="17"/>
  <c r="DG17" i="17"/>
  <c r="DF17" i="17"/>
  <c r="DE17" i="17"/>
  <c r="DD17" i="17"/>
  <c r="DC17" i="17"/>
  <c r="DB17" i="17"/>
  <c r="DA17" i="17"/>
  <c r="CZ17" i="17"/>
  <c r="CY17" i="17"/>
  <c r="CX17" i="17"/>
  <c r="CW17" i="17"/>
  <c r="CV17" i="17"/>
  <c r="CU17" i="17"/>
  <c r="CT17" i="17"/>
  <c r="CS17" i="17"/>
  <c r="CR17" i="17"/>
  <c r="CQ17" i="17"/>
  <c r="CP17" i="17"/>
  <c r="CO17" i="17"/>
  <c r="CN17" i="17"/>
  <c r="CM17" i="17"/>
  <c r="CL17" i="17"/>
  <c r="CK17" i="17"/>
  <c r="CJ17" i="17"/>
  <c r="CI17" i="17"/>
  <c r="CH17" i="17"/>
  <c r="CG17" i="17"/>
  <c r="CF17" i="17"/>
  <c r="CE17" i="17"/>
  <c r="CD17" i="17"/>
  <c r="CC17" i="17"/>
  <c r="CB17" i="17"/>
  <c r="CA17" i="17"/>
  <c r="BZ17" i="17"/>
  <c r="BY17" i="17"/>
  <c r="BX17" i="17"/>
  <c r="BW17" i="17"/>
  <c r="BV17" i="17"/>
  <c r="BU17" i="17"/>
  <c r="BT17" i="17"/>
  <c r="BS17" i="17"/>
  <c r="BR17" i="17"/>
  <c r="BQ17" i="17"/>
  <c r="BP17" i="17"/>
  <c r="BO17" i="17"/>
  <c r="BN17" i="17"/>
  <c r="BM17" i="17"/>
  <c r="BL17" i="17"/>
  <c r="BK17" i="17"/>
  <c r="BJ17" i="17"/>
  <c r="BI17" i="17"/>
  <c r="BH17" i="17"/>
  <c r="BG17" i="17"/>
  <c r="BF17" i="17"/>
  <c r="BE17" i="17"/>
  <c r="BD17" i="17"/>
  <c r="BC17" i="17"/>
  <c r="BB17" i="17"/>
  <c r="BA17" i="17"/>
  <c r="AZ17" i="17"/>
  <c r="AY17" i="17"/>
  <c r="AX17" i="17"/>
  <c r="AW17" i="17"/>
  <c r="AV17" i="17"/>
  <c r="AU17" i="17"/>
  <c r="AT17" i="17"/>
  <c r="AS17" i="17"/>
  <c r="AR17" i="17"/>
  <c r="AQ17" i="17"/>
  <c r="AP17" i="17"/>
  <c r="AO17" i="17"/>
  <c r="AN17" i="17"/>
  <c r="AM17" i="17"/>
  <c r="AL17" i="17"/>
  <c r="AK17" i="17"/>
  <c r="AJ17" i="17"/>
  <c r="AI17" i="17"/>
  <c r="AH17" i="17"/>
  <c r="AG17" i="17"/>
  <c r="AF17" i="17"/>
  <c r="AE17" i="17"/>
  <c r="AD17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KC16" i="17"/>
  <c r="KB16" i="17"/>
  <c r="KA16" i="17"/>
  <c r="JZ16" i="17"/>
  <c r="JY16" i="17"/>
  <c r="JU16" i="17"/>
  <c r="JG16" i="17"/>
  <c r="JB16" i="17"/>
  <c r="JA16" i="17"/>
  <c r="IV16" i="17"/>
  <c r="IU16" i="17"/>
  <c r="IT16" i="17"/>
  <c r="IS16" i="17"/>
  <c r="IR16" i="17"/>
  <c r="IQ16" i="17"/>
  <c r="IP16" i="17"/>
  <c r="IO16" i="17"/>
  <c r="IN16" i="17"/>
  <c r="IM16" i="17"/>
  <c r="IL16" i="17"/>
  <c r="IK16" i="17"/>
  <c r="IJ16" i="17"/>
  <c r="II16" i="17"/>
  <c r="IH16" i="17"/>
  <c r="IG16" i="17"/>
  <c r="IF16" i="17"/>
  <c r="HE16" i="17"/>
  <c r="HD16" i="17"/>
  <c r="HC16" i="17"/>
  <c r="HB16" i="17"/>
  <c r="HA16" i="17"/>
  <c r="GZ16" i="17"/>
  <c r="GY16" i="17"/>
  <c r="GX16" i="17"/>
  <c r="GW16" i="17"/>
  <c r="GV16" i="17"/>
  <c r="GU16" i="17"/>
  <c r="GT16" i="17"/>
  <c r="GS16" i="17"/>
  <c r="GR16" i="17"/>
  <c r="GQ16" i="17"/>
  <c r="GP16" i="17"/>
  <c r="GO16" i="17"/>
  <c r="GN16" i="17"/>
  <c r="GM16" i="17"/>
  <c r="GL16" i="17"/>
  <c r="GK16" i="17"/>
  <c r="GJ16" i="17"/>
  <c r="GI16" i="17"/>
  <c r="GH16" i="17"/>
  <c r="GG16" i="17"/>
  <c r="GF16" i="17"/>
  <c r="GE16" i="17"/>
  <c r="GD16" i="17"/>
  <c r="GC16" i="17"/>
  <c r="GB16" i="17"/>
  <c r="GA16" i="17"/>
  <c r="FZ16" i="17"/>
  <c r="FY16" i="17"/>
  <c r="FX16" i="17"/>
  <c r="FW16" i="17"/>
  <c r="FV16" i="17"/>
  <c r="FU16" i="17"/>
  <c r="FT16" i="17"/>
  <c r="FS16" i="17"/>
  <c r="FR16" i="17"/>
  <c r="FQ16" i="17"/>
  <c r="FP16" i="17"/>
  <c r="FO16" i="17"/>
  <c r="FN16" i="17"/>
  <c r="FM16" i="17"/>
  <c r="FL16" i="17"/>
  <c r="FK16" i="17"/>
  <c r="FJ16" i="17"/>
  <c r="FI16" i="17"/>
  <c r="FH16" i="17"/>
  <c r="FG16" i="17"/>
  <c r="FF16" i="17"/>
  <c r="FE16" i="17"/>
  <c r="FD16" i="17"/>
  <c r="FC16" i="17"/>
  <c r="FB16" i="17"/>
  <c r="FA16" i="17"/>
  <c r="EZ16" i="17"/>
  <c r="EY16" i="17"/>
  <c r="EX16" i="17"/>
  <c r="EW16" i="17"/>
  <c r="EV16" i="17"/>
  <c r="EU16" i="17"/>
  <c r="ET16" i="17"/>
  <c r="ES16" i="17"/>
  <c r="ER16" i="17"/>
  <c r="EQ16" i="17"/>
  <c r="EP16" i="17"/>
  <c r="EO16" i="17"/>
  <c r="EN16" i="17"/>
  <c r="EM16" i="17"/>
  <c r="EL16" i="17"/>
  <c r="EK16" i="17"/>
  <c r="EJ16" i="17"/>
  <c r="EI16" i="17"/>
  <c r="EH16" i="17"/>
  <c r="EG16" i="17"/>
  <c r="EF16" i="17"/>
  <c r="EE16" i="17"/>
  <c r="ED16" i="17"/>
  <c r="EC16" i="17"/>
  <c r="EB16" i="17"/>
  <c r="EA16" i="17"/>
  <c r="DZ16" i="17"/>
  <c r="DY16" i="17"/>
  <c r="DX16" i="17"/>
  <c r="DW16" i="17"/>
  <c r="DV16" i="17"/>
  <c r="DU16" i="17"/>
  <c r="DT16" i="17"/>
  <c r="DS16" i="17"/>
  <c r="DR16" i="17"/>
  <c r="DQ16" i="17"/>
  <c r="DP16" i="17"/>
  <c r="DO16" i="17"/>
  <c r="DN16" i="17"/>
  <c r="DM16" i="17"/>
  <c r="DL16" i="17"/>
  <c r="DK16" i="17"/>
  <c r="DJ16" i="17"/>
  <c r="DI16" i="17"/>
  <c r="DH16" i="17"/>
  <c r="DG16" i="17"/>
  <c r="DF16" i="17"/>
  <c r="DE16" i="17"/>
  <c r="DD16" i="17"/>
  <c r="DC16" i="17"/>
  <c r="DB16" i="17"/>
  <c r="DA16" i="17"/>
  <c r="CZ16" i="17"/>
  <c r="CY16" i="17"/>
  <c r="CX16" i="17"/>
  <c r="CW16" i="17"/>
  <c r="CV16" i="17"/>
  <c r="CU16" i="17"/>
  <c r="CT16" i="17"/>
  <c r="CS16" i="17"/>
  <c r="CR16" i="17"/>
  <c r="CQ16" i="17"/>
  <c r="CP16" i="17"/>
  <c r="CO16" i="17"/>
  <c r="CN16" i="17"/>
  <c r="CM16" i="17"/>
  <c r="CL16" i="17"/>
  <c r="CK16" i="17"/>
  <c r="CJ16" i="17"/>
  <c r="CI16" i="17"/>
  <c r="CH16" i="17"/>
  <c r="CG16" i="17"/>
  <c r="CF16" i="17"/>
  <c r="CE16" i="17"/>
  <c r="CD16" i="17"/>
  <c r="CC16" i="17"/>
  <c r="CB16" i="17"/>
  <c r="CA16" i="17"/>
  <c r="BZ16" i="17"/>
  <c r="BY16" i="17"/>
  <c r="BX16" i="17"/>
  <c r="BW16" i="17"/>
  <c r="BV16" i="17"/>
  <c r="BU16" i="17"/>
  <c r="BT16" i="17"/>
  <c r="BS16" i="17"/>
  <c r="BR16" i="17"/>
  <c r="BQ16" i="17"/>
  <c r="BP16" i="17"/>
  <c r="BO16" i="17"/>
  <c r="BN16" i="17"/>
  <c r="BM16" i="17"/>
  <c r="BL16" i="17"/>
  <c r="BK16" i="17"/>
  <c r="BJ16" i="17"/>
  <c r="BI16" i="17"/>
  <c r="BH16" i="17"/>
  <c r="BG16" i="17"/>
  <c r="BF16" i="17"/>
  <c r="BE16" i="17"/>
  <c r="BD16" i="17"/>
  <c r="BC16" i="17"/>
  <c r="BB16" i="17"/>
  <c r="BA16" i="17"/>
  <c r="AZ16" i="17"/>
  <c r="AY16" i="17"/>
  <c r="AX16" i="17"/>
  <c r="AW16" i="17"/>
  <c r="AV16" i="17"/>
  <c r="AU16" i="17"/>
  <c r="AT16" i="17"/>
  <c r="AS16" i="17"/>
  <c r="AR16" i="17"/>
  <c r="AQ16" i="17"/>
  <c r="AP16" i="17"/>
  <c r="AO16" i="17"/>
  <c r="AN16" i="17"/>
  <c r="AM16" i="17"/>
  <c r="AL16" i="17"/>
  <c r="AK16" i="17"/>
  <c r="AJ16" i="17"/>
  <c r="AI16" i="17"/>
  <c r="AH16" i="17"/>
  <c r="AG16" i="17"/>
  <c r="AF16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KC15" i="17"/>
  <c r="KB15" i="17"/>
  <c r="KA15" i="17"/>
  <c r="JZ15" i="17"/>
  <c r="JY15" i="17"/>
  <c r="JU15" i="17"/>
  <c r="JG15" i="17"/>
  <c r="JB15" i="17"/>
  <c r="JA15" i="17"/>
  <c r="IV15" i="17"/>
  <c r="IU15" i="17"/>
  <c r="IT15" i="17"/>
  <c r="IS15" i="17"/>
  <c r="IR15" i="17"/>
  <c r="IQ15" i="17"/>
  <c r="IP15" i="17"/>
  <c r="IO15" i="17"/>
  <c r="IN15" i="17"/>
  <c r="IM15" i="17"/>
  <c r="IL15" i="17"/>
  <c r="IK15" i="17"/>
  <c r="IJ15" i="17"/>
  <c r="II15" i="17"/>
  <c r="IH15" i="17"/>
  <c r="IG15" i="17"/>
  <c r="IF15" i="17"/>
  <c r="HE15" i="17"/>
  <c r="HD15" i="17"/>
  <c r="HC15" i="17"/>
  <c r="HB15" i="17"/>
  <c r="HA15" i="17"/>
  <c r="GZ15" i="17"/>
  <c r="GY15" i="17"/>
  <c r="GX15" i="17"/>
  <c r="GW15" i="17"/>
  <c r="GV15" i="17"/>
  <c r="GU15" i="17"/>
  <c r="GT15" i="17"/>
  <c r="GS15" i="17"/>
  <c r="GR15" i="17"/>
  <c r="GQ15" i="17"/>
  <c r="GP15" i="17"/>
  <c r="GO15" i="17"/>
  <c r="GN15" i="17"/>
  <c r="GM15" i="17"/>
  <c r="GL15" i="17"/>
  <c r="GK15" i="17"/>
  <c r="GJ15" i="17"/>
  <c r="GI15" i="17"/>
  <c r="GH15" i="17"/>
  <c r="GG15" i="17"/>
  <c r="GF15" i="17"/>
  <c r="GE15" i="17"/>
  <c r="GD15" i="17"/>
  <c r="GC15" i="17"/>
  <c r="GB15" i="17"/>
  <c r="GA15" i="17"/>
  <c r="FZ15" i="17"/>
  <c r="FY15" i="17"/>
  <c r="FX15" i="17"/>
  <c r="FW15" i="17"/>
  <c r="FV15" i="17"/>
  <c r="FU15" i="17"/>
  <c r="FT15" i="17"/>
  <c r="FS15" i="17"/>
  <c r="FR15" i="17"/>
  <c r="FQ15" i="17"/>
  <c r="FP15" i="17"/>
  <c r="FO15" i="17"/>
  <c r="FN15" i="17"/>
  <c r="FM15" i="17"/>
  <c r="FL15" i="17"/>
  <c r="FK15" i="17"/>
  <c r="FJ15" i="17"/>
  <c r="FI15" i="17"/>
  <c r="FH15" i="17"/>
  <c r="FG15" i="17"/>
  <c r="FF15" i="17"/>
  <c r="FE15" i="17"/>
  <c r="FD15" i="17"/>
  <c r="FC15" i="17"/>
  <c r="FB15" i="17"/>
  <c r="FA15" i="17"/>
  <c r="EZ15" i="17"/>
  <c r="EY15" i="17"/>
  <c r="EX15" i="17"/>
  <c r="EW15" i="17"/>
  <c r="EV15" i="17"/>
  <c r="EU15" i="17"/>
  <c r="ET15" i="17"/>
  <c r="ES15" i="17"/>
  <c r="ER15" i="17"/>
  <c r="EQ15" i="17"/>
  <c r="EP15" i="17"/>
  <c r="EO15" i="17"/>
  <c r="EN15" i="17"/>
  <c r="EM15" i="17"/>
  <c r="EL15" i="17"/>
  <c r="EK15" i="17"/>
  <c r="EJ15" i="17"/>
  <c r="EI15" i="17"/>
  <c r="EH15" i="17"/>
  <c r="EG15" i="17"/>
  <c r="EF15" i="17"/>
  <c r="EE15" i="17"/>
  <c r="ED15" i="17"/>
  <c r="EC15" i="17"/>
  <c r="EB15" i="17"/>
  <c r="EA15" i="17"/>
  <c r="DZ15" i="17"/>
  <c r="DY15" i="17"/>
  <c r="DX15" i="17"/>
  <c r="DW15" i="17"/>
  <c r="DV15" i="17"/>
  <c r="DU15" i="17"/>
  <c r="DT15" i="17"/>
  <c r="DS15" i="17"/>
  <c r="DR15" i="17"/>
  <c r="DQ15" i="17"/>
  <c r="DP15" i="17"/>
  <c r="DO15" i="17"/>
  <c r="DN15" i="17"/>
  <c r="DM15" i="17"/>
  <c r="DL15" i="17"/>
  <c r="DK15" i="17"/>
  <c r="DJ15" i="17"/>
  <c r="DI15" i="17"/>
  <c r="DH15" i="17"/>
  <c r="DG15" i="17"/>
  <c r="DF15" i="17"/>
  <c r="DE15" i="17"/>
  <c r="DD15" i="17"/>
  <c r="DC15" i="17"/>
  <c r="DB15" i="17"/>
  <c r="DA15" i="17"/>
  <c r="CZ15" i="17"/>
  <c r="CY15" i="17"/>
  <c r="CX15" i="17"/>
  <c r="CW15" i="17"/>
  <c r="CV15" i="17"/>
  <c r="CU15" i="17"/>
  <c r="CT15" i="17"/>
  <c r="CS15" i="17"/>
  <c r="CR15" i="17"/>
  <c r="CQ15" i="17"/>
  <c r="CP15" i="17"/>
  <c r="CO15" i="17"/>
  <c r="CN15" i="17"/>
  <c r="CM15" i="17"/>
  <c r="CL15" i="17"/>
  <c r="CK15" i="17"/>
  <c r="CJ15" i="17"/>
  <c r="CI15" i="17"/>
  <c r="CH15" i="17"/>
  <c r="CG15" i="17"/>
  <c r="CF15" i="17"/>
  <c r="CE15" i="17"/>
  <c r="CD15" i="17"/>
  <c r="CC15" i="17"/>
  <c r="CB15" i="17"/>
  <c r="CA15" i="17"/>
  <c r="BZ15" i="17"/>
  <c r="BY15" i="17"/>
  <c r="BX15" i="17"/>
  <c r="BW15" i="17"/>
  <c r="BV15" i="17"/>
  <c r="BU15" i="17"/>
  <c r="BT15" i="17"/>
  <c r="BS15" i="17"/>
  <c r="BR15" i="17"/>
  <c r="BQ15" i="17"/>
  <c r="BP15" i="17"/>
  <c r="BO15" i="17"/>
  <c r="BN15" i="17"/>
  <c r="BM15" i="17"/>
  <c r="BL15" i="17"/>
  <c r="BK15" i="17"/>
  <c r="BJ15" i="17"/>
  <c r="BI15" i="17"/>
  <c r="BH15" i="17"/>
  <c r="BG15" i="17"/>
  <c r="BF15" i="17"/>
  <c r="BE15" i="17"/>
  <c r="BD15" i="17"/>
  <c r="BC15" i="17"/>
  <c r="BB15" i="17"/>
  <c r="BA15" i="17"/>
  <c r="AZ15" i="17"/>
  <c r="AY15" i="17"/>
  <c r="AX15" i="17"/>
  <c r="AW15" i="17"/>
  <c r="AV15" i="17"/>
  <c r="AU15" i="17"/>
  <c r="AT15" i="17"/>
  <c r="AS15" i="17"/>
  <c r="AR15" i="17"/>
  <c r="AQ15" i="17"/>
  <c r="AP15" i="17"/>
  <c r="AO15" i="17"/>
  <c r="AN15" i="17"/>
  <c r="AM15" i="17"/>
  <c r="AL15" i="17"/>
  <c r="AK15" i="17"/>
  <c r="AJ15" i="17"/>
  <c r="AI15" i="17"/>
  <c r="AH15" i="17"/>
  <c r="AG15" i="17"/>
  <c r="AF15" i="17"/>
  <c r="AE15" i="17"/>
  <c r="AD15" i="17"/>
  <c r="AC15" i="17"/>
  <c r="AB15" i="17"/>
  <c r="AA15" i="17"/>
  <c r="Z15" i="17"/>
  <c r="Y15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KC14" i="17"/>
  <c r="KB14" i="17"/>
  <c r="KA14" i="17"/>
  <c r="JZ14" i="17"/>
  <c r="JY14" i="17"/>
  <c r="JU14" i="17"/>
  <c r="JG14" i="17"/>
  <c r="JB14" i="17"/>
  <c r="JA14" i="17"/>
  <c r="IV14" i="17"/>
  <c r="IU14" i="17"/>
  <c r="IT14" i="17"/>
  <c r="IS14" i="17"/>
  <c r="IR14" i="17"/>
  <c r="IQ14" i="17"/>
  <c r="IP14" i="17"/>
  <c r="IO14" i="17"/>
  <c r="IN14" i="17"/>
  <c r="IM14" i="17"/>
  <c r="IL14" i="17"/>
  <c r="IK14" i="17"/>
  <c r="IJ14" i="17"/>
  <c r="II14" i="17"/>
  <c r="IH14" i="17"/>
  <c r="IG14" i="17"/>
  <c r="IF14" i="17"/>
  <c r="HE14" i="17"/>
  <c r="HD14" i="17"/>
  <c r="HC14" i="17"/>
  <c r="HB14" i="17"/>
  <c r="HA14" i="17"/>
  <c r="GZ14" i="17"/>
  <c r="GY14" i="17"/>
  <c r="GX14" i="17"/>
  <c r="GW14" i="17"/>
  <c r="GV14" i="17"/>
  <c r="GU14" i="17"/>
  <c r="GT14" i="17"/>
  <c r="GS14" i="17"/>
  <c r="GR14" i="17"/>
  <c r="GQ14" i="17"/>
  <c r="GP14" i="17"/>
  <c r="GO14" i="17"/>
  <c r="GN14" i="17"/>
  <c r="GM14" i="17"/>
  <c r="GL14" i="17"/>
  <c r="GK14" i="17"/>
  <c r="GJ14" i="17"/>
  <c r="GI14" i="17"/>
  <c r="GH14" i="17"/>
  <c r="GG14" i="17"/>
  <c r="GF14" i="17"/>
  <c r="GE14" i="17"/>
  <c r="GD14" i="17"/>
  <c r="GC14" i="17"/>
  <c r="GB14" i="17"/>
  <c r="GA14" i="17"/>
  <c r="FZ14" i="17"/>
  <c r="FY14" i="17"/>
  <c r="FX14" i="17"/>
  <c r="FW14" i="17"/>
  <c r="FV14" i="17"/>
  <c r="FU14" i="17"/>
  <c r="FT14" i="17"/>
  <c r="FS14" i="17"/>
  <c r="FR14" i="17"/>
  <c r="FQ14" i="17"/>
  <c r="FP14" i="17"/>
  <c r="FO14" i="17"/>
  <c r="FN14" i="17"/>
  <c r="FM14" i="17"/>
  <c r="FL14" i="17"/>
  <c r="FK14" i="17"/>
  <c r="FJ14" i="17"/>
  <c r="FI14" i="17"/>
  <c r="FH14" i="17"/>
  <c r="FG14" i="17"/>
  <c r="FF14" i="17"/>
  <c r="FE14" i="17"/>
  <c r="FD14" i="17"/>
  <c r="FC14" i="17"/>
  <c r="FB14" i="17"/>
  <c r="FA14" i="17"/>
  <c r="EZ14" i="17"/>
  <c r="EY14" i="17"/>
  <c r="EX14" i="17"/>
  <c r="EW14" i="17"/>
  <c r="EV14" i="17"/>
  <c r="EU14" i="17"/>
  <c r="ET14" i="17"/>
  <c r="ES14" i="17"/>
  <c r="ER14" i="17"/>
  <c r="EQ14" i="17"/>
  <c r="EP14" i="17"/>
  <c r="EO14" i="17"/>
  <c r="EN14" i="17"/>
  <c r="EM14" i="17"/>
  <c r="EL14" i="17"/>
  <c r="EK14" i="17"/>
  <c r="EJ14" i="17"/>
  <c r="EI14" i="17"/>
  <c r="EH14" i="17"/>
  <c r="EG14" i="17"/>
  <c r="EF14" i="17"/>
  <c r="EE14" i="17"/>
  <c r="ED14" i="17"/>
  <c r="EC14" i="17"/>
  <c r="EB14" i="17"/>
  <c r="EA14" i="17"/>
  <c r="DZ14" i="17"/>
  <c r="DY14" i="17"/>
  <c r="DX14" i="17"/>
  <c r="DW14" i="17"/>
  <c r="DV14" i="17"/>
  <c r="DU14" i="17"/>
  <c r="DT14" i="17"/>
  <c r="DS14" i="17"/>
  <c r="DR14" i="17"/>
  <c r="DQ14" i="17"/>
  <c r="DP14" i="17"/>
  <c r="DO14" i="17"/>
  <c r="DN14" i="17"/>
  <c r="DM14" i="17"/>
  <c r="DL14" i="17"/>
  <c r="DK14" i="17"/>
  <c r="DJ14" i="17"/>
  <c r="DI14" i="17"/>
  <c r="DH14" i="17"/>
  <c r="DG14" i="17"/>
  <c r="DF14" i="17"/>
  <c r="DE14" i="17"/>
  <c r="DD14" i="17"/>
  <c r="DC14" i="17"/>
  <c r="DB14" i="17"/>
  <c r="DA14" i="17"/>
  <c r="CZ14" i="17"/>
  <c r="CY14" i="17"/>
  <c r="CX14" i="17"/>
  <c r="CW14" i="17"/>
  <c r="CV14" i="17"/>
  <c r="CU14" i="17"/>
  <c r="CT14" i="17"/>
  <c r="CS14" i="17"/>
  <c r="CR14" i="17"/>
  <c r="CQ14" i="17"/>
  <c r="CP14" i="17"/>
  <c r="CO14" i="17"/>
  <c r="CN14" i="17"/>
  <c r="CM14" i="17"/>
  <c r="CL14" i="17"/>
  <c r="CK14" i="17"/>
  <c r="CJ14" i="17"/>
  <c r="CI14" i="17"/>
  <c r="CH14" i="17"/>
  <c r="CG14" i="17"/>
  <c r="CF14" i="17"/>
  <c r="CE14" i="17"/>
  <c r="CD14" i="17"/>
  <c r="CC14" i="17"/>
  <c r="CB14" i="17"/>
  <c r="CA14" i="17"/>
  <c r="BZ14" i="17"/>
  <c r="BY14" i="17"/>
  <c r="BX14" i="17"/>
  <c r="BW14" i="17"/>
  <c r="BV14" i="17"/>
  <c r="BU14" i="17"/>
  <c r="BT14" i="17"/>
  <c r="BS14" i="17"/>
  <c r="BR14" i="17"/>
  <c r="BQ14" i="17"/>
  <c r="BP14" i="17"/>
  <c r="BO14" i="17"/>
  <c r="BN14" i="17"/>
  <c r="BM14" i="17"/>
  <c r="BL14" i="17"/>
  <c r="BK14" i="17"/>
  <c r="BJ14" i="17"/>
  <c r="BI14" i="17"/>
  <c r="BH14" i="17"/>
  <c r="BG14" i="17"/>
  <c r="BF14" i="17"/>
  <c r="BE14" i="17"/>
  <c r="BD14" i="17"/>
  <c r="BC14" i="17"/>
  <c r="BB14" i="17"/>
  <c r="BA14" i="17"/>
  <c r="AZ14" i="17"/>
  <c r="AY14" i="17"/>
  <c r="AX14" i="17"/>
  <c r="AW14" i="17"/>
  <c r="AV14" i="17"/>
  <c r="AU14" i="17"/>
  <c r="AT14" i="17"/>
  <c r="AS14" i="17"/>
  <c r="AR14" i="17"/>
  <c r="AQ14" i="17"/>
  <c r="AP14" i="17"/>
  <c r="AO14" i="17"/>
  <c r="AN14" i="17"/>
  <c r="AM14" i="17"/>
  <c r="AL14" i="17"/>
  <c r="AK14" i="17"/>
  <c r="AJ14" i="17"/>
  <c r="AI14" i="17"/>
  <c r="AH14" i="17"/>
  <c r="AG14" i="17"/>
  <c r="AF14" i="17"/>
  <c r="AE14" i="17"/>
  <c r="AD14" i="17"/>
  <c r="AC14" i="17"/>
  <c r="AB14" i="17"/>
  <c r="AA14" i="17"/>
  <c r="Z14" i="17"/>
  <c r="Y14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KC13" i="17"/>
  <c r="KB13" i="17"/>
  <c r="KA13" i="17"/>
  <c r="JZ13" i="17"/>
  <c r="JY13" i="17"/>
  <c r="JU13" i="17"/>
  <c r="JG13" i="17"/>
  <c r="JB13" i="17"/>
  <c r="JA13" i="17"/>
  <c r="IV13" i="17"/>
  <c r="IU13" i="17"/>
  <c r="IT13" i="17"/>
  <c r="IS13" i="17"/>
  <c r="IR13" i="17"/>
  <c r="IQ13" i="17"/>
  <c r="IP13" i="17"/>
  <c r="IO13" i="17"/>
  <c r="IN13" i="17"/>
  <c r="IM13" i="17"/>
  <c r="IL13" i="17"/>
  <c r="IK13" i="17"/>
  <c r="IJ13" i="17"/>
  <c r="II13" i="17"/>
  <c r="IH13" i="17"/>
  <c r="IG13" i="17"/>
  <c r="IF13" i="17"/>
  <c r="HE13" i="17"/>
  <c r="HD13" i="17"/>
  <c r="HC13" i="17"/>
  <c r="HB13" i="17"/>
  <c r="HA13" i="17"/>
  <c r="GZ13" i="17"/>
  <c r="GY13" i="17"/>
  <c r="GX13" i="17"/>
  <c r="GW13" i="17"/>
  <c r="GV13" i="17"/>
  <c r="GU13" i="17"/>
  <c r="GT13" i="17"/>
  <c r="GS13" i="17"/>
  <c r="GR13" i="17"/>
  <c r="GQ13" i="17"/>
  <c r="GP13" i="17"/>
  <c r="GO13" i="17"/>
  <c r="GN13" i="17"/>
  <c r="GM13" i="17"/>
  <c r="GL13" i="17"/>
  <c r="GK13" i="17"/>
  <c r="GJ13" i="17"/>
  <c r="GI13" i="17"/>
  <c r="GH13" i="17"/>
  <c r="GG13" i="17"/>
  <c r="GF13" i="17"/>
  <c r="GE13" i="17"/>
  <c r="GD13" i="17"/>
  <c r="GC13" i="17"/>
  <c r="GB13" i="17"/>
  <c r="GA13" i="17"/>
  <c r="FZ13" i="17"/>
  <c r="FY13" i="17"/>
  <c r="FX13" i="17"/>
  <c r="FW13" i="17"/>
  <c r="FV13" i="17"/>
  <c r="FU13" i="17"/>
  <c r="FT13" i="17"/>
  <c r="FS13" i="17"/>
  <c r="FR13" i="17"/>
  <c r="FQ13" i="17"/>
  <c r="FP13" i="17"/>
  <c r="FO13" i="17"/>
  <c r="FN13" i="17"/>
  <c r="FM13" i="17"/>
  <c r="FL13" i="17"/>
  <c r="FK13" i="17"/>
  <c r="FJ13" i="17"/>
  <c r="FI13" i="17"/>
  <c r="FH13" i="17"/>
  <c r="FG13" i="17"/>
  <c r="FF13" i="17"/>
  <c r="FE13" i="17"/>
  <c r="FD13" i="17"/>
  <c r="FC13" i="17"/>
  <c r="FB13" i="17"/>
  <c r="FA13" i="17"/>
  <c r="EZ13" i="17"/>
  <c r="EY13" i="17"/>
  <c r="EX13" i="17"/>
  <c r="EW13" i="17"/>
  <c r="EV13" i="17"/>
  <c r="EU13" i="17"/>
  <c r="ET13" i="17"/>
  <c r="ES13" i="17"/>
  <c r="ER13" i="17"/>
  <c r="EQ13" i="17"/>
  <c r="EP13" i="17"/>
  <c r="EO13" i="17"/>
  <c r="EN13" i="17"/>
  <c r="EM13" i="17"/>
  <c r="EL13" i="17"/>
  <c r="EK13" i="17"/>
  <c r="EJ13" i="17"/>
  <c r="EI13" i="17"/>
  <c r="EH13" i="17"/>
  <c r="EG13" i="17"/>
  <c r="EF13" i="17"/>
  <c r="EE13" i="17"/>
  <c r="ED13" i="17"/>
  <c r="EC13" i="17"/>
  <c r="EB13" i="17"/>
  <c r="EA13" i="17"/>
  <c r="DZ13" i="17"/>
  <c r="DY13" i="17"/>
  <c r="DX13" i="17"/>
  <c r="DW13" i="17"/>
  <c r="DV13" i="17"/>
  <c r="DU13" i="17"/>
  <c r="DT13" i="17"/>
  <c r="DS13" i="17"/>
  <c r="DR13" i="17"/>
  <c r="DQ13" i="17"/>
  <c r="DP13" i="17"/>
  <c r="DO13" i="17"/>
  <c r="DN13" i="17"/>
  <c r="DM13" i="17"/>
  <c r="DL13" i="17"/>
  <c r="DK13" i="17"/>
  <c r="DJ13" i="17"/>
  <c r="DI13" i="17"/>
  <c r="DH13" i="17"/>
  <c r="DG13" i="17"/>
  <c r="DF13" i="17"/>
  <c r="DE13" i="17"/>
  <c r="DD13" i="17"/>
  <c r="DC13" i="17"/>
  <c r="DB13" i="17"/>
  <c r="DA13" i="17"/>
  <c r="CZ13" i="17"/>
  <c r="CY13" i="17"/>
  <c r="CX13" i="17"/>
  <c r="CW13" i="17"/>
  <c r="CV13" i="17"/>
  <c r="CU13" i="17"/>
  <c r="CT13" i="17"/>
  <c r="CS13" i="17"/>
  <c r="CR13" i="17"/>
  <c r="CQ13" i="17"/>
  <c r="CP13" i="17"/>
  <c r="CO13" i="17"/>
  <c r="CN13" i="17"/>
  <c r="CM13" i="17"/>
  <c r="CL13" i="17"/>
  <c r="CK13" i="17"/>
  <c r="CJ13" i="17"/>
  <c r="CI13" i="17"/>
  <c r="CH13" i="17"/>
  <c r="CG13" i="17"/>
  <c r="CF13" i="17"/>
  <c r="CE13" i="17"/>
  <c r="CD13" i="17"/>
  <c r="CC13" i="17"/>
  <c r="CB13" i="17"/>
  <c r="CA13" i="17"/>
  <c r="BZ13" i="17"/>
  <c r="BY13" i="17"/>
  <c r="BX13" i="17"/>
  <c r="BW13" i="17"/>
  <c r="BV13" i="17"/>
  <c r="BU13" i="17"/>
  <c r="BT13" i="17"/>
  <c r="BS13" i="17"/>
  <c r="BR13" i="17"/>
  <c r="BQ13" i="17"/>
  <c r="BP13" i="17"/>
  <c r="BO13" i="17"/>
  <c r="BN13" i="17"/>
  <c r="BM13" i="17"/>
  <c r="BL13" i="17"/>
  <c r="BK13" i="17"/>
  <c r="BJ13" i="17"/>
  <c r="BI13" i="17"/>
  <c r="BH13" i="17"/>
  <c r="BG13" i="17"/>
  <c r="BF13" i="17"/>
  <c r="BE13" i="17"/>
  <c r="BD13" i="17"/>
  <c r="BC13" i="17"/>
  <c r="BB13" i="17"/>
  <c r="BA13" i="17"/>
  <c r="AZ13" i="17"/>
  <c r="AY13" i="17"/>
  <c r="AX13" i="17"/>
  <c r="AW13" i="17"/>
  <c r="AV13" i="17"/>
  <c r="AU13" i="17"/>
  <c r="AT13" i="17"/>
  <c r="AS13" i="17"/>
  <c r="AR13" i="17"/>
  <c r="AQ13" i="17"/>
  <c r="AP13" i="17"/>
  <c r="AO13" i="17"/>
  <c r="AN13" i="17"/>
  <c r="AM13" i="17"/>
  <c r="AL13" i="17"/>
  <c r="AK13" i="17"/>
  <c r="AJ13" i="17"/>
  <c r="AI13" i="17"/>
  <c r="AH13" i="17"/>
  <c r="AG13" i="17"/>
  <c r="AF13" i="17"/>
  <c r="AE13" i="17"/>
  <c r="AD13" i="17"/>
  <c r="AC13" i="17"/>
  <c r="AB13" i="17"/>
  <c r="AA13" i="17"/>
  <c r="Z13" i="17"/>
  <c r="Y13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KC12" i="17"/>
  <c r="KB12" i="17"/>
  <c r="KA12" i="17"/>
  <c r="JZ12" i="17"/>
  <c r="JY12" i="17"/>
  <c r="JU12" i="17"/>
  <c r="JG12" i="17"/>
  <c r="JB12" i="17"/>
  <c r="JA12" i="17"/>
  <c r="IV12" i="17"/>
  <c r="IU12" i="17"/>
  <c r="IT12" i="17"/>
  <c r="IS12" i="17"/>
  <c r="IR12" i="17"/>
  <c r="IQ12" i="17"/>
  <c r="IP12" i="17"/>
  <c r="IO12" i="17"/>
  <c r="IN12" i="17"/>
  <c r="IM12" i="17"/>
  <c r="IL12" i="17"/>
  <c r="IK12" i="17"/>
  <c r="IJ12" i="17"/>
  <c r="II12" i="17"/>
  <c r="IH12" i="17"/>
  <c r="IG12" i="17"/>
  <c r="IF12" i="17"/>
  <c r="HE12" i="17"/>
  <c r="HD12" i="17"/>
  <c r="HC12" i="17"/>
  <c r="HB12" i="17"/>
  <c r="HA12" i="17"/>
  <c r="GZ12" i="17"/>
  <c r="GY12" i="17"/>
  <c r="GX12" i="17"/>
  <c r="GW12" i="17"/>
  <c r="GV12" i="17"/>
  <c r="GU12" i="17"/>
  <c r="GT12" i="17"/>
  <c r="GS12" i="17"/>
  <c r="GR12" i="17"/>
  <c r="GQ12" i="17"/>
  <c r="GP12" i="17"/>
  <c r="GO12" i="17"/>
  <c r="GN12" i="17"/>
  <c r="GM12" i="17"/>
  <c r="GL12" i="17"/>
  <c r="GK12" i="17"/>
  <c r="GJ12" i="17"/>
  <c r="GI12" i="17"/>
  <c r="GH12" i="17"/>
  <c r="GG12" i="17"/>
  <c r="GF12" i="17"/>
  <c r="GE12" i="17"/>
  <c r="GD12" i="17"/>
  <c r="GC12" i="17"/>
  <c r="GB12" i="17"/>
  <c r="GA12" i="17"/>
  <c r="FZ12" i="17"/>
  <c r="FY12" i="17"/>
  <c r="FX12" i="17"/>
  <c r="FW12" i="17"/>
  <c r="FV12" i="17"/>
  <c r="FU12" i="17"/>
  <c r="FT12" i="17"/>
  <c r="FS12" i="17"/>
  <c r="FR12" i="17"/>
  <c r="FQ12" i="17"/>
  <c r="FP12" i="17"/>
  <c r="FO12" i="17"/>
  <c r="FN12" i="17"/>
  <c r="FM12" i="17"/>
  <c r="FL12" i="17"/>
  <c r="FK12" i="17"/>
  <c r="FJ12" i="17"/>
  <c r="FI12" i="17"/>
  <c r="FH12" i="17"/>
  <c r="FG12" i="17"/>
  <c r="FF12" i="17"/>
  <c r="FE12" i="17"/>
  <c r="FD12" i="17"/>
  <c r="FC12" i="17"/>
  <c r="FB12" i="17"/>
  <c r="FA12" i="17"/>
  <c r="EZ12" i="17"/>
  <c r="EY12" i="17"/>
  <c r="EX12" i="17"/>
  <c r="EW12" i="17"/>
  <c r="EV12" i="17"/>
  <c r="EU12" i="17"/>
  <c r="ET12" i="17"/>
  <c r="ES12" i="17"/>
  <c r="ER12" i="17"/>
  <c r="EQ12" i="17"/>
  <c r="EP12" i="17"/>
  <c r="EO12" i="17"/>
  <c r="EN12" i="17"/>
  <c r="EM12" i="17"/>
  <c r="EL12" i="17"/>
  <c r="EK12" i="17"/>
  <c r="EJ12" i="17"/>
  <c r="EI12" i="17"/>
  <c r="EH12" i="17"/>
  <c r="EG12" i="17"/>
  <c r="EF12" i="17"/>
  <c r="EE12" i="17"/>
  <c r="ED12" i="17"/>
  <c r="EC12" i="17"/>
  <c r="EB12" i="17"/>
  <c r="EA12" i="17"/>
  <c r="DZ12" i="17"/>
  <c r="DY12" i="17"/>
  <c r="DX12" i="17"/>
  <c r="DW12" i="17"/>
  <c r="DV12" i="17"/>
  <c r="DU12" i="17"/>
  <c r="DT12" i="17"/>
  <c r="DS12" i="17"/>
  <c r="DR12" i="17"/>
  <c r="DQ12" i="17"/>
  <c r="DP12" i="17"/>
  <c r="DO12" i="17"/>
  <c r="DN12" i="17"/>
  <c r="DM12" i="17"/>
  <c r="DL12" i="17"/>
  <c r="DK12" i="17"/>
  <c r="DJ12" i="17"/>
  <c r="DI12" i="17"/>
  <c r="DH12" i="17"/>
  <c r="DG12" i="17"/>
  <c r="DF12" i="17"/>
  <c r="DE12" i="17"/>
  <c r="DD12" i="17"/>
  <c r="DC12" i="17"/>
  <c r="DB12" i="17"/>
  <c r="DA12" i="17"/>
  <c r="CZ12" i="17"/>
  <c r="CY12" i="17"/>
  <c r="CX12" i="17"/>
  <c r="CW12" i="17"/>
  <c r="CV12" i="17"/>
  <c r="CU12" i="17"/>
  <c r="CT12" i="17"/>
  <c r="CS12" i="17"/>
  <c r="CR12" i="17"/>
  <c r="CQ12" i="17"/>
  <c r="CP12" i="17"/>
  <c r="CO12" i="17"/>
  <c r="CN12" i="17"/>
  <c r="CM12" i="17"/>
  <c r="CL12" i="17"/>
  <c r="CK12" i="17"/>
  <c r="CJ12" i="17"/>
  <c r="CI12" i="17"/>
  <c r="CH12" i="17"/>
  <c r="CG12" i="17"/>
  <c r="CF12" i="17"/>
  <c r="CE12" i="17"/>
  <c r="CD12" i="17"/>
  <c r="CC12" i="17"/>
  <c r="CB12" i="17"/>
  <c r="CA12" i="17"/>
  <c r="BZ12" i="17"/>
  <c r="BY12" i="17"/>
  <c r="BX12" i="17"/>
  <c r="BW12" i="17"/>
  <c r="BV12" i="17"/>
  <c r="BU12" i="17"/>
  <c r="BT12" i="17"/>
  <c r="BS12" i="17"/>
  <c r="BR12" i="17"/>
  <c r="BQ12" i="17"/>
  <c r="BP12" i="17"/>
  <c r="BO12" i="17"/>
  <c r="BN12" i="17"/>
  <c r="BM12" i="17"/>
  <c r="BL12" i="17"/>
  <c r="BK12" i="17"/>
  <c r="BJ12" i="17"/>
  <c r="BI12" i="17"/>
  <c r="BH12" i="17"/>
  <c r="BG12" i="17"/>
  <c r="BF12" i="17"/>
  <c r="BE12" i="17"/>
  <c r="BD12" i="17"/>
  <c r="BC12" i="17"/>
  <c r="BB12" i="17"/>
  <c r="BA12" i="17"/>
  <c r="AZ12" i="17"/>
  <c r="AY12" i="17"/>
  <c r="AX12" i="17"/>
  <c r="AW12" i="17"/>
  <c r="AV12" i="17"/>
  <c r="AU12" i="17"/>
  <c r="AT12" i="17"/>
  <c r="AS12" i="17"/>
  <c r="AR12" i="17"/>
  <c r="AQ12" i="17"/>
  <c r="AP12" i="17"/>
  <c r="AO12" i="17"/>
  <c r="AN12" i="17"/>
  <c r="AM12" i="17"/>
  <c r="AL12" i="17"/>
  <c r="AK12" i="17"/>
  <c r="AJ12" i="17"/>
  <c r="AI12" i="17"/>
  <c r="AH12" i="17"/>
  <c r="AG12" i="17"/>
  <c r="AF12" i="17"/>
  <c r="AE12" i="17"/>
  <c r="AD12" i="17"/>
  <c r="AC12" i="17"/>
  <c r="AB12" i="17"/>
  <c r="AA12" i="17"/>
  <c r="Z12" i="17"/>
  <c r="Y12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KC11" i="17"/>
  <c r="KB11" i="17"/>
  <c r="KA11" i="17"/>
  <c r="JZ11" i="17"/>
  <c r="JY11" i="17"/>
  <c r="JU11" i="17"/>
  <c r="JG11" i="17"/>
  <c r="JB11" i="17"/>
  <c r="JA11" i="17"/>
  <c r="IV11" i="17"/>
  <c r="IU11" i="17"/>
  <c r="IT11" i="17"/>
  <c r="IS11" i="17"/>
  <c r="IR11" i="17"/>
  <c r="IQ11" i="17"/>
  <c r="IP11" i="17"/>
  <c r="IO11" i="17"/>
  <c r="IN11" i="17"/>
  <c r="IM11" i="17"/>
  <c r="IL11" i="17"/>
  <c r="IK11" i="17"/>
  <c r="IJ11" i="17"/>
  <c r="II11" i="17"/>
  <c r="IH11" i="17"/>
  <c r="IG11" i="17"/>
  <c r="IF11" i="17"/>
  <c r="HE11" i="17"/>
  <c r="HD11" i="17"/>
  <c r="HC11" i="17"/>
  <c r="HB11" i="17"/>
  <c r="HA11" i="17"/>
  <c r="GZ11" i="17"/>
  <c r="GY11" i="17"/>
  <c r="GX11" i="17"/>
  <c r="GW11" i="17"/>
  <c r="GV11" i="17"/>
  <c r="GU11" i="17"/>
  <c r="GT11" i="17"/>
  <c r="GS11" i="17"/>
  <c r="GR11" i="17"/>
  <c r="GQ11" i="17"/>
  <c r="GP11" i="17"/>
  <c r="GO11" i="17"/>
  <c r="GN11" i="17"/>
  <c r="GM11" i="17"/>
  <c r="GL11" i="17"/>
  <c r="GK11" i="17"/>
  <c r="GJ11" i="17"/>
  <c r="GI11" i="17"/>
  <c r="GH11" i="17"/>
  <c r="GG11" i="17"/>
  <c r="GF11" i="17"/>
  <c r="GE11" i="17"/>
  <c r="GD11" i="17"/>
  <c r="GC11" i="17"/>
  <c r="GB11" i="17"/>
  <c r="GA11" i="17"/>
  <c r="FZ11" i="17"/>
  <c r="FY11" i="17"/>
  <c r="FX11" i="17"/>
  <c r="FW11" i="17"/>
  <c r="FV11" i="17"/>
  <c r="FU11" i="17"/>
  <c r="FT11" i="17"/>
  <c r="FS11" i="17"/>
  <c r="FR11" i="17"/>
  <c r="FQ11" i="17"/>
  <c r="FP11" i="17"/>
  <c r="FO11" i="17"/>
  <c r="FN11" i="17"/>
  <c r="FM11" i="17"/>
  <c r="FL11" i="17"/>
  <c r="FK11" i="17"/>
  <c r="FJ11" i="17"/>
  <c r="FI11" i="17"/>
  <c r="FH11" i="17"/>
  <c r="FG11" i="17"/>
  <c r="FF11" i="17"/>
  <c r="FE11" i="17"/>
  <c r="FD11" i="17"/>
  <c r="FC11" i="17"/>
  <c r="FB11" i="17"/>
  <c r="FA11" i="17"/>
  <c r="EZ11" i="17"/>
  <c r="EY11" i="17"/>
  <c r="EX11" i="17"/>
  <c r="EW11" i="17"/>
  <c r="EV11" i="17"/>
  <c r="EU11" i="17"/>
  <c r="ET11" i="17"/>
  <c r="ES11" i="17"/>
  <c r="ER11" i="17"/>
  <c r="EQ11" i="17"/>
  <c r="EP11" i="17"/>
  <c r="EO11" i="17"/>
  <c r="EN11" i="17"/>
  <c r="EM11" i="17"/>
  <c r="EL11" i="17"/>
  <c r="EK11" i="17"/>
  <c r="EJ11" i="17"/>
  <c r="EI11" i="17"/>
  <c r="EH11" i="17"/>
  <c r="EG11" i="17"/>
  <c r="EF11" i="17"/>
  <c r="EE11" i="17"/>
  <c r="ED11" i="17"/>
  <c r="EC11" i="17"/>
  <c r="EB11" i="17"/>
  <c r="EA11" i="17"/>
  <c r="DZ11" i="17"/>
  <c r="DY11" i="17"/>
  <c r="DX11" i="17"/>
  <c r="DW11" i="17"/>
  <c r="DV11" i="17"/>
  <c r="DU11" i="17"/>
  <c r="DT11" i="17"/>
  <c r="DS11" i="17"/>
  <c r="DR11" i="17"/>
  <c r="DQ11" i="17"/>
  <c r="DP11" i="17"/>
  <c r="DO11" i="17"/>
  <c r="DN11" i="17"/>
  <c r="DM11" i="17"/>
  <c r="DL11" i="17"/>
  <c r="DK11" i="17"/>
  <c r="DJ11" i="17"/>
  <c r="DI11" i="17"/>
  <c r="DH11" i="17"/>
  <c r="DG11" i="17"/>
  <c r="DF11" i="17"/>
  <c r="DE11" i="17"/>
  <c r="DD11" i="17"/>
  <c r="DC11" i="17"/>
  <c r="DB11" i="17"/>
  <c r="DA11" i="17"/>
  <c r="CZ11" i="17"/>
  <c r="CY11" i="17"/>
  <c r="CX11" i="17"/>
  <c r="CW11" i="17"/>
  <c r="CV11" i="17"/>
  <c r="CU11" i="17"/>
  <c r="CT11" i="17"/>
  <c r="CS11" i="17"/>
  <c r="CR11" i="17"/>
  <c r="CQ11" i="17"/>
  <c r="CP11" i="17"/>
  <c r="CO11" i="17"/>
  <c r="CN11" i="17"/>
  <c r="CM11" i="17"/>
  <c r="CL11" i="17"/>
  <c r="CK11" i="17"/>
  <c r="CJ11" i="17"/>
  <c r="CI11" i="17"/>
  <c r="CH11" i="17"/>
  <c r="CG11" i="17"/>
  <c r="CF11" i="17"/>
  <c r="CE11" i="17"/>
  <c r="CD11" i="17"/>
  <c r="CC11" i="17"/>
  <c r="CB11" i="17"/>
  <c r="CA11" i="17"/>
  <c r="BZ11" i="17"/>
  <c r="BY11" i="17"/>
  <c r="BX11" i="17"/>
  <c r="BW11" i="17"/>
  <c r="BV11" i="17"/>
  <c r="BU11" i="17"/>
  <c r="BT11" i="17"/>
  <c r="BS11" i="17"/>
  <c r="BR11" i="17"/>
  <c r="BQ11" i="17"/>
  <c r="BP11" i="17"/>
  <c r="BO11" i="17"/>
  <c r="BN11" i="17"/>
  <c r="BM11" i="17"/>
  <c r="BL11" i="17"/>
  <c r="BK11" i="17"/>
  <c r="BJ11" i="17"/>
  <c r="BI11" i="17"/>
  <c r="BH11" i="17"/>
  <c r="BG11" i="17"/>
  <c r="BF11" i="17"/>
  <c r="BE11" i="17"/>
  <c r="BD11" i="17"/>
  <c r="BC11" i="17"/>
  <c r="BB11" i="17"/>
  <c r="BA11" i="17"/>
  <c r="AZ11" i="17"/>
  <c r="AY11" i="17"/>
  <c r="AX11" i="17"/>
  <c r="AW11" i="17"/>
  <c r="AV11" i="17"/>
  <c r="AU11" i="17"/>
  <c r="AT11" i="17"/>
  <c r="AS11" i="17"/>
  <c r="AR11" i="17"/>
  <c r="AQ11" i="17"/>
  <c r="AP11" i="17"/>
  <c r="AO11" i="17"/>
  <c r="AN11" i="17"/>
  <c r="AM11" i="17"/>
  <c r="AL11" i="17"/>
  <c r="AK11" i="17"/>
  <c r="AJ11" i="17"/>
  <c r="AI11" i="17"/>
  <c r="AH11" i="17"/>
  <c r="AG11" i="17"/>
  <c r="AF11" i="17"/>
  <c r="AE11" i="17"/>
  <c r="AD11" i="17"/>
  <c r="AC11" i="17"/>
  <c r="AB11" i="17"/>
  <c r="AA11" i="17"/>
  <c r="Z11" i="17"/>
  <c r="Y11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KC10" i="17"/>
  <c r="KB10" i="17"/>
  <c r="KA10" i="17"/>
  <c r="JZ10" i="17"/>
  <c r="JY10" i="17"/>
  <c r="JU10" i="17"/>
  <c r="JG10" i="17"/>
  <c r="JB10" i="17"/>
  <c r="JA10" i="17"/>
  <c r="IV10" i="17"/>
  <c r="IU10" i="17"/>
  <c r="IT10" i="17"/>
  <c r="IS10" i="17"/>
  <c r="IR10" i="17"/>
  <c r="IQ10" i="17"/>
  <c r="IP10" i="17"/>
  <c r="IO10" i="17"/>
  <c r="IN10" i="17"/>
  <c r="IM10" i="17"/>
  <c r="IL10" i="17"/>
  <c r="IK10" i="17"/>
  <c r="IJ10" i="17"/>
  <c r="II10" i="17"/>
  <c r="IH10" i="17"/>
  <c r="IG10" i="17"/>
  <c r="IF10" i="17"/>
  <c r="HE10" i="17"/>
  <c r="HD10" i="17"/>
  <c r="HC10" i="17"/>
  <c r="HB10" i="17"/>
  <c r="HA10" i="17"/>
  <c r="GZ10" i="17"/>
  <c r="GY10" i="17"/>
  <c r="GX10" i="17"/>
  <c r="GW10" i="17"/>
  <c r="GV10" i="17"/>
  <c r="GU10" i="17"/>
  <c r="GT10" i="17"/>
  <c r="GS10" i="17"/>
  <c r="GR10" i="17"/>
  <c r="GQ10" i="17"/>
  <c r="GP10" i="17"/>
  <c r="GO10" i="17"/>
  <c r="GN10" i="17"/>
  <c r="GM10" i="17"/>
  <c r="GL10" i="17"/>
  <c r="GK10" i="17"/>
  <c r="GJ10" i="17"/>
  <c r="GI10" i="17"/>
  <c r="GH10" i="17"/>
  <c r="GG10" i="17"/>
  <c r="GF10" i="17"/>
  <c r="GE10" i="17"/>
  <c r="GD10" i="17"/>
  <c r="GC10" i="17"/>
  <c r="GB10" i="17"/>
  <c r="GA10" i="17"/>
  <c r="FZ10" i="17"/>
  <c r="FY10" i="17"/>
  <c r="FX10" i="17"/>
  <c r="FW10" i="17"/>
  <c r="FV10" i="17"/>
  <c r="FU10" i="17"/>
  <c r="FT10" i="17"/>
  <c r="FS10" i="17"/>
  <c r="FR10" i="17"/>
  <c r="FQ10" i="17"/>
  <c r="FP10" i="17"/>
  <c r="FO10" i="17"/>
  <c r="FN10" i="17"/>
  <c r="FM10" i="17"/>
  <c r="FL10" i="17"/>
  <c r="FK10" i="17"/>
  <c r="FJ10" i="17"/>
  <c r="FI10" i="17"/>
  <c r="FH10" i="17"/>
  <c r="FG10" i="17"/>
  <c r="FF10" i="17"/>
  <c r="FE10" i="17"/>
  <c r="FD10" i="17"/>
  <c r="FC10" i="17"/>
  <c r="FB10" i="17"/>
  <c r="FA10" i="17"/>
  <c r="EZ10" i="17"/>
  <c r="EY10" i="17"/>
  <c r="EX10" i="17"/>
  <c r="EW10" i="17"/>
  <c r="EV10" i="17"/>
  <c r="EU10" i="17"/>
  <c r="ET10" i="17"/>
  <c r="ES10" i="17"/>
  <c r="ER10" i="17"/>
  <c r="EQ10" i="17"/>
  <c r="EP10" i="17"/>
  <c r="EO10" i="17"/>
  <c r="EN10" i="17"/>
  <c r="EM10" i="17"/>
  <c r="EL10" i="17"/>
  <c r="EK10" i="17"/>
  <c r="EJ10" i="17"/>
  <c r="EI10" i="17"/>
  <c r="EH10" i="17"/>
  <c r="EG10" i="17"/>
  <c r="EF10" i="17"/>
  <c r="EE10" i="17"/>
  <c r="ED10" i="17"/>
  <c r="EC10" i="17"/>
  <c r="EB10" i="17"/>
  <c r="EA10" i="17"/>
  <c r="DZ10" i="17"/>
  <c r="DY10" i="17"/>
  <c r="DX10" i="17"/>
  <c r="DW10" i="17"/>
  <c r="DV10" i="17"/>
  <c r="DU10" i="17"/>
  <c r="DT10" i="17"/>
  <c r="DS10" i="17"/>
  <c r="DR10" i="17"/>
  <c r="DQ10" i="17"/>
  <c r="DP10" i="17"/>
  <c r="DO10" i="17"/>
  <c r="DN10" i="17"/>
  <c r="DM10" i="17"/>
  <c r="DL10" i="17"/>
  <c r="DK10" i="17"/>
  <c r="DJ10" i="17"/>
  <c r="DI10" i="17"/>
  <c r="DH10" i="17"/>
  <c r="DG10" i="17"/>
  <c r="DF10" i="17"/>
  <c r="DE10" i="17"/>
  <c r="DD10" i="17"/>
  <c r="DC10" i="17"/>
  <c r="DB10" i="17"/>
  <c r="DA10" i="17"/>
  <c r="CZ10" i="17"/>
  <c r="CY10" i="17"/>
  <c r="CX10" i="17"/>
  <c r="CW10" i="17"/>
  <c r="CV10" i="17"/>
  <c r="CU10" i="17"/>
  <c r="CT10" i="17"/>
  <c r="CS10" i="17"/>
  <c r="CR10" i="17"/>
  <c r="CQ10" i="17"/>
  <c r="CP10" i="17"/>
  <c r="CO10" i="17"/>
  <c r="CN10" i="17"/>
  <c r="CM10" i="17"/>
  <c r="CL10" i="17"/>
  <c r="CK10" i="17"/>
  <c r="CJ10" i="17"/>
  <c r="CI10" i="17"/>
  <c r="CH10" i="17"/>
  <c r="CG10" i="17"/>
  <c r="CF10" i="17"/>
  <c r="CE10" i="17"/>
  <c r="CD10" i="17"/>
  <c r="CC10" i="17"/>
  <c r="CB10" i="17"/>
  <c r="CA10" i="17"/>
  <c r="BZ10" i="17"/>
  <c r="BY10" i="17"/>
  <c r="BX10" i="17"/>
  <c r="BW10" i="17"/>
  <c r="BV10" i="17"/>
  <c r="BU10" i="17"/>
  <c r="BT10" i="17"/>
  <c r="BS10" i="17"/>
  <c r="BR10" i="17"/>
  <c r="BQ10" i="17"/>
  <c r="BP10" i="17"/>
  <c r="BO10" i="17"/>
  <c r="BN10" i="17"/>
  <c r="BM10" i="17"/>
  <c r="BL10" i="17"/>
  <c r="BK10" i="17"/>
  <c r="BJ10" i="17"/>
  <c r="BI10" i="17"/>
  <c r="BH10" i="17"/>
  <c r="BG10" i="17"/>
  <c r="BF10" i="17"/>
  <c r="BE10" i="17"/>
  <c r="BD10" i="17"/>
  <c r="BC10" i="17"/>
  <c r="BB10" i="17"/>
  <c r="BA10" i="17"/>
  <c r="AZ10" i="17"/>
  <c r="AY10" i="17"/>
  <c r="AX10" i="17"/>
  <c r="AW10" i="17"/>
  <c r="AV10" i="17"/>
  <c r="AU10" i="17"/>
  <c r="AT10" i="17"/>
  <c r="AS10" i="17"/>
  <c r="AR10" i="17"/>
  <c r="AQ10" i="17"/>
  <c r="AP10" i="17"/>
  <c r="AO10" i="17"/>
  <c r="AN10" i="17"/>
  <c r="AM10" i="17"/>
  <c r="AL10" i="17"/>
  <c r="AK10" i="17"/>
  <c r="AJ10" i="17"/>
  <c r="AI10" i="17"/>
  <c r="AH10" i="17"/>
  <c r="AG10" i="17"/>
  <c r="AF10" i="17"/>
  <c r="AE10" i="17"/>
  <c r="AD10" i="17"/>
  <c r="AC10" i="17"/>
  <c r="AB10" i="17"/>
  <c r="AA10" i="17"/>
  <c r="Z10" i="17"/>
  <c r="Y10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KC9" i="17"/>
  <c r="KB9" i="17"/>
  <c r="KA9" i="17"/>
  <c r="JZ9" i="17"/>
  <c r="JY9" i="17"/>
  <c r="JU9" i="17"/>
  <c r="JG9" i="17"/>
  <c r="JB9" i="17"/>
  <c r="JA9" i="17"/>
  <c r="IV9" i="17"/>
  <c r="IU9" i="17"/>
  <c r="IT9" i="17"/>
  <c r="IS9" i="17"/>
  <c r="IR9" i="17"/>
  <c r="IQ9" i="17"/>
  <c r="IP9" i="17"/>
  <c r="IO9" i="17"/>
  <c r="IN9" i="17"/>
  <c r="IM9" i="17"/>
  <c r="IL9" i="17"/>
  <c r="IK9" i="17"/>
  <c r="IJ9" i="17"/>
  <c r="II9" i="17"/>
  <c r="IH9" i="17"/>
  <c r="IG9" i="17"/>
  <c r="IF9" i="17"/>
  <c r="HE9" i="17"/>
  <c r="HD9" i="17"/>
  <c r="HC9" i="17"/>
  <c r="HB9" i="17"/>
  <c r="HA9" i="17"/>
  <c r="GZ9" i="17"/>
  <c r="GY9" i="17"/>
  <c r="GX9" i="17"/>
  <c r="GW9" i="17"/>
  <c r="GV9" i="17"/>
  <c r="GU9" i="17"/>
  <c r="GT9" i="17"/>
  <c r="GS9" i="17"/>
  <c r="GR9" i="17"/>
  <c r="GQ9" i="17"/>
  <c r="GP9" i="17"/>
  <c r="GO9" i="17"/>
  <c r="GN9" i="17"/>
  <c r="GM9" i="17"/>
  <c r="GL9" i="17"/>
  <c r="GK9" i="17"/>
  <c r="GJ9" i="17"/>
  <c r="GI9" i="17"/>
  <c r="GH9" i="17"/>
  <c r="GG9" i="17"/>
  <c r="GF9" i="17"/>
  <c r="GE9" i="17"/>
  <c r="GD9" i="17"/>
  <c r="GC9" i="17"/>
  <c r="GB9" i="17"/>
  <c r="GA9" i="17"/>
  <c r="FZ9" i="17"/>
  <c r="FY9" i="17"/>
  <c r="FX9" i="17"/>
  <c r="FW9" i="17"/>
  <c r="FV9" i="17"/>
  <c r="FU9" i="17"/>
  <c r="FT9" i="17"/>
  <c r="FS9" i="17"/>
  <c r="FR9" i="17"/>
  <c r="FQ9" i="17"/>
  <c r="FP9" i="17"/>
  <c r="FO9" i="17"/>
  <c r="FN9" i="17"/>
  <c r="FM9" i="17"/>
  <c r="FL9" i="17"/>
  <c r="FK9" i="17"/>
  <c r="FJ9" i="17"/>
  <c r="FI9" i="17"/>
  <c r="FH9" i="17"/>
  <c r="FG9" i="17"/>
  <c r="FF9" i="17"/>
  <c r="FE9" i="17"/>
  <c r="FD9" i="17"/>
  <c r="FC9" i="17"/>
  <c r="FB9" i="17"/>
  <c r="FA9" i="17"/>
  <c r="EZ9" i="17"/>
  <c r="EY9" i="17"/>
  <c r="EX9" i="17"/>
  <c r="EW9" i="17"/>
  <c r="EV9" i="17"/>
  <c r="EU9" i="17"/>
  <c r="ET9" i="17"/>
  <c r="ES9" i="17"/>
  <c r="ER9" i="17"/>
  <c r="EQ9" i="17"/>
  <c r="EP9" i="17"/>
  <c r="EO9" i="17"/>
  <c r="EN9" i="17"/>
  <c r="EM9" i="17"/>
  <c r="EL9" i="17"/>
  <c r="EK9" i="17"/>
  <c r="EJ9" i="17"/>
  <c r="EI9" i="17"/>
  <c r="EH9" i="17"/>
  <c r="EG9" i="17"/>
  <c r="EF9" i="17"/>
  <c r="EE9" i="17"/>
  <c r="ED9" i="17"/>
  <c r="EC9" i="17"/>
  <c r="EB9" i="17"/>
  <c r="EA9" i="17"/>
  <c r="DZ9" i="17"/>
  <c r="DY9" i="17"/>
  <c r="DX9" i="17"/>
  <c r="DW9" i="17"/>
  <c r="DV9" i="17"/>
  <c r="DU9" i="17"/>
  <c r="DT9" i="17"/>
  <c r="DS9" i="17"/>
  <c r="DR9" i="17"/>
  <c r="DQ9" i="17"/>
  <c r="DP9" i="17"/>
  <c r="DO9" i="17"/>
  <c r="DN9" i="17"/>
  <c r="DM9" i="17"/>
  <c r="DL9" i="17"/>
  <c r="DK9" i="17"/>
  <c r="DJ9" i="17"/>
  <c r="DI9" i="17"/>
  <c r="DH9" i="17"/>
  <c r="DG9" i="17"/>
  <c r="DF9" i="17"/>
  <c r="DE9" i="17"/>
  <c r="DD9" i="17"/>
  <c r="DC9" i="17"/>
  <c r="DB9" i="17"/>
  <c r="DA9" i="17"/>
  <c r="CZ9" i="17"/>
  <c r="CY9" i="17"/>
  <c r="CX9" i="17"/>
  <c r="CW9" i="17"/>
  <c r="CV9" i="17"/>
  <c r="CU9" i="17"/>
  <c r="CT9" i="17"/>
  <c r="CS9" i="17"/>
  <c r="CR9" i="17"/>
  <c r="CQ9" i="17"/>
  <c r="CP9" i="17"/>
  <c r="CO9" i="17"/>
  <c r="CN9" i="17"/>
  <c r="CM9" i="17"/>
  <c r="CL9" i="17"/>
  <c r="CK9" i="17"/>
  <c r="CJ9" i="17"/>
  <c r="CI9" i="17"/>
  <c r="CH9" i="17"/>
  <c r="CG9" i="17"/>
  <c r="CF9" i="17"/>
  <c r="CE9" i="17"/>
  <c r="CD9" i="17"/>
  <c r="CC9" i="17"/>
  <c r="CB9" i="17"/>
  <c r="CA9" i="17"/>
  <c r="BZ9" i="17"/>
  <c r="BY9" i="17"/>
  <c r="BX9" i="17"/>
  <c r="BW9" i="17"/>
  <c r="BV9" i="17"/>
  <c r="BU9" i="17"/>
  <c r="BT9" i="17"/>
  <c r="BS9" i="17"/>
  <c r="BR9" i="17"/>
  <c r="BQ9" i="17"/>
  <c r="BP9" i="17"/>
  <c r="BO9" i="17"/>
  <c r="BN9" i="17"/>
  <c r="BM9" i="17"/>
  <c r="BL9" i="17"/>
  <c r="BK9" i="17"/>
  <c r="BJ9" i="17"/>
  <c r="BI9" i="17"/>
  <c r="BH9" i="17"/>
  <c r="BG9" i="17"/>
  <c r="BF9" i="17"/>
  <c r="BE9" i="17"/>
  <c r="BD9" i="17"/>
  <c r="BC9" i="17"/>
  <c r="BB9" i="17"/>
  <c r="BA9" i="17"/>
  <c r="AZ9" i="17"/>
  <c r="AY9" i="17"/>
  <c r="AX9" i="17"/>
  <c r="AW9" i="17"/>
  <c r="AV9" i="17"/>
  <c r="AU9" i="17"/>
  <c r="AT9" i="17"/>
  <c r="AS9" i="17"/>
  <c r="AR9" i="17"/>
  <c r="AQ9" i="17"/>
  <c r="AP9" i="17"/>
  <c r="AO9" i="17"/>
  <c r="AN9" i="17"/>
  <c r="AM9" i="17"/>
  <c r="AL9" i="17"/>
  <c r="AK9" i="17"/>
  <c r="AJ9" i="17"/>
  <c r="AI9" i="17"/>
  <c r="AH9" i="17"/>
  <c r="AG9" i="17"/>
  <c r="AF9" i="17"/>
  <c r="AE9" i="17"/>
  <c r="AD9" i="17"/>
  <c r="AC9" i="17"/>
  <c r="AB9" i="17"/>
  <c r="AA9" i="17"/>
  <c r="Z9" i="17"/>
  <c r="Y9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KC8" i="17"/>
  <c r="KB8" i="17"/>
  <c r="KA8" i="17"/>
  <c r="JZ8" i="17"/>
  <c r="JY8" i="17"/>
  <c r="JU8" i="17"/>
  <c r="JG8" i="17"/>
  <c r="JB8" i="17"/>
  <c r="JA8" i="17"/>
  <c r="IV8" i="17"/>
  <c r="IU8" i="17"/>
  <c r="IT8" i="17"/>
  <c r="IS8" i="17"/>
  <c r="IR8" i="17"/>
  <c r="IQ8" i="17"/>
  <c r="IP8" i="17"/>
  <c r="IO8" i="17"/>
  <c r="IN8" i="17"/>
  <c r="IM8" i="17"/>
  <c r="IL8" i="17"/>
  <c r="IK8" i="17"/>
  <c r="IJ8" i="17"/>
  <c r="II8" i="17"/>
  <c r="IH8" i="17"/>
  <c r="IG8" i="17"/>
  <c r="IF8" i="17"/>
  <c r="HE8" i="17"/>
  <c r="HD8" i="17"/>
  <c r="HC8" i="17"/>
  <c r="HB8" i="17"/>
  <c r="HA8" i="17"/>
  <c r="GZ8" i="17"/>
  <c r="GY8" i="17"/>
  <c r="GX8" i="17"/>
  <c r="GW8" i="17"/>
  <c r="GV8" i="17"/>
  <c r="GU8" i="17"/>
  <c r="GT8" i="17"/>
  <c r="GS8" i="17"/>
  <c r="GR8" i="17"/>
  <c r="GQ8" i="17"/>
  <c r="GP8" i="17"/>
  <c r="GO8" i="17"/>
  <c r="GN8" i="17"/>
  <c r="GM8" i="17"/>
  <c r="GL8" i="17"/>
  <c r="GK8" i="17"/>
  <c r="GJ8" i="17"/>
  <c r="GI8" i="17"/>
  <c r="GH8" i="17"/>
  <c r="GG8" i="17"/>
  <c r="GF8" i="17"/>
  <c r="GE8" i="17"/>
  <c r="GD8" i="17"/>
  <c r="GC8" i="17"/>
  <c r="GB8" i="17"/>
  <c r="GA8" i="17"/>
  <c r="FZ8" i="17"/>
  <c r="FY8" i="17"/>
  <c r="FX8" i="17"/>
  <c r="FW8" i="17"/>
  <c r="FV8" i="17"/>
  <c r="FU8" i="17"/>
  <c r="FT8" i="17"/>
  <c r="FS8" i="17"/>
  <c r="FR8" i="17"/>
  <c r="FQ8" i="17"/>
  <c r="FP8" i="17"/>
  <c r="FO8" i="17"/>
  <c r="FN8" i="17"/>
  <c r="FM8" i="17"/>
  <c r="FL8" i="17"/>
  <c r="FK8" i="17"/>
  <c r="FJ8" i="17"/>
  <c r="FI8" i="17"/>
  <c r="FH8" i="17"/>
  <c r="FG8" i="17"/>
  <c r="FF8" i="17"/>
  <c r="FE8" i="17"/>
  <c r="FD8" i="17"/>
  <c r="FC8" i="17"/>
  <c r="FB8" i="17"/>
  <c r="FA8" i="17"/>
  <c r="EZ8" i="17"/>
  <c r="EY8" i="17"/>
  <c r="EX8" i="17"/>
  <c r="EW8" i="17"/>
  <c r="EV8" i="17"/>
  <c r="EU8" i="17"/>
  <c r="ET8" i="17"/>
  <c r="ES8" i="17"/>
  <c r="ER8" i="17"/>
  <c r="EQ8" i="17"/>
  <c r="EP8" i="17"/>
  <c r="EO8" i="17"/>
  <c r="EN8" i="17"/>
  <c r="EM8" i="17"/>
  <c r="EL8" i="17"/>
  <c r="EK8" i="17"/>
  <c r="EJ8" i="17"/>
  <c r="EI8" i="17"/>
  <c r="EH8" i="17"/>
  <c r="EG8" i="17"/>
  <c r="EF8" i="17"/>
  <c r="EE8" i="17"/>
  <c r="ED8" i="17"/>
  <c r="EC8" i="17"/>
  <c r="EB8" i="17"/>
  <c r="EA8" i="17"/>
  <c r="DZ8" i="17"/>
  <c r="DY8" i="17"/>
  <c r="DX8" i="17"/>
  <c r="DW8" i="17"/>
  <c r="DV8" i="17"/>
  <c r="DU8" i="17"/>
  <c r="DT8" i="17"/>
  <c r="DS8" i="17"/>
  <c r="DR8" i="17"/>
  <c r="DQ8" i="17"/>
  <c r="DP8" i="17"/>
  <c r="DO8" i="17"/>
  <c r="DN8" i="17"/>
  <c r="DM8" i="17"/>
  <c r="DL8" i="17"/>
  <c r="DK8" i="17"/>
  <c r="DJ8" i="17"/>
  <c r="DI8" i="17"/>
  <c r="DH8" i="17"/>
  <c r="DG8" i="17"/>
  <c r="DF8" i="17"/>
  <c r="DE8" i="17"/>
  <c r="DD8" i="17"/>
  <c r="DC8" i="17"/>
  <c r="DB8" i="17"/>
  <c r="DA8" i="17"/>
  <c r="CZ8" i="17"/>
  <c r="CY8" i="17"/>
  <c r="CX8" i="17"/>
  <c r="CW8" i="17"/>
  <c r="CV8" i="17"/>
  <c r="CU8" i="17"/>
  <c r="CT8" i="17"/>
  <c r="CS8" i="17"/>
  <c r="CR8" i="17"/>
  <c r="CQ8" i="17"/>
  <c r="CP8" i="17"/>
  <c r="CO8" i="17"/>
  <c r="CN8" i="17"/>
  <c r="CM8" i="17"/>
  <c r="CL8" i="17"/>
  <c r="CK8" i="17"/>
  <c r="CJ8" i="17"/>
  <c r="CI8" i="17"/>
  <c r="CH8" i="17"/>
  <c r="CG8" i="17"/>
  <c r="CF8" i="17"/>
  <c r="CE8" i="17"/>
  <c r="CD8" i="17"/>
  <c r="CC8" i="17"/>
  <c r="CB8" i="17"/>
  <c r="CA8" i="17"/>
  <c r="BZ8" i="17"/>
  <c r="BY8" i="17"/>
  <c r="BX8" i="17"/>
  <c r="BW8" i="17"/>
  <c r="BV8" i="17"/>
  <c r="BU8" i="17"/>
  <c r="BT8" i="17"/>
  <c r="BS8" i="17"/>
  <c r="BR8" i="17"/>
  <c r="BQ8" i="17"/>
  <c r="BP8" i="17"/>
  <c r="BO8" i="17"/>
  <c r="BN8" i="17"/>
  <c r="BM8" i="17"/>
  <c r="BL8" i="17"/>
  <c r="BK8" i="17"/>
  <c r="BJ8" i="17"/>
  <c r="BI8" i="17"/>
  <c r="BH8" i="17"/>
  <c r="BG8" i="17"/>
  <c r="BF8" i="17"/>
  <c r="BE8" i="17"/>
  <c r="BD8" i="17"/>
  <c r="BC8" i="17"/>
  <c r="BB8" i="17"/>
  <c r="BA8" i="17"/>
  <c r="AZ8" i="17"/>
  <c r="AY8" i="17"/>
  <c r="AX8" i="17"/>
  <c r="AW8" i="17"/>
  <c r="AV8" i="17"/>
  <c r="AU8" i="17"/>
  <c r="AT8" i="17"/>
  <c r="AS8" i="17"/>
  <c r="AR8" i="17"/>
  <c r="AQ8" i="17"/>
  <c r="AP8" i="17"/>
  <c r="AO8" i="17"/>
  <c r="AN8" i="17"/>
  <c r="AM8" i="17"/>
  <c r="AL8" i="17"/>
  <c r="AK8" i="17"/>
  <c r="AJ8" i="17"/>
  <c r="AI8" i="17"/>
  <c r="AH8" i="17"/>
  <c r="AG8" i="17"/>
  <c r="AF8" i="17"/>
  <c r="AE8" i="17"/>
  <c r="AD8" i="17"/>
  <c r="AC8" i="17"/>
  <c r="AB8" i="17"/>
  <c r="AA8" i="17"/>
  <c r="Z8" i="17"/>
  <c r="Y8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KC7" i="17"/>
  <c r="KB7" i="17"/>
  <c r="KA7" i="17"/>
  <c r="JZ7" i="17"/>
  <c r="JY7" i="17"/>
  <c r="JU7" i="17"/>
  <c r="JG7" i="17"/>
  <c r="JB7" i="17"/>
  <c r="JA7" i="17"/>
  <c r="IV7" i="17"/>
  <c r="IU7" i="17"/>
  <c r="IT7" i="17"/>
  <c r="IS7" i="17"/>
  <c r="IR7" i="17"/>
  <c r="IQ7" i="17"/>
  <c r="IP7" i="17"/>
  <c r="IO7" i="17"/>
  <c r="IN7" i="17"/>
  <c r="IM7" i="17"/>
  <c r="IL7" i="17"/>
  <c r="IK7" i="17"/>
  <c r="IJ7" i="17"/>
  <c r="II7" i="17"/>
  <c r="IH7" i="17"/>
  <c r="IG7" i="17"/>
  <c r="IF7" i="17"/>
  <c r="HE7" i="17"/>
  <c r="HD7" i="17"/>
  <c r="HC7" i="17"/>
  <c r="HB7" i="17"/>
  <c r="HA7" i="17"/>
  <c r="GZ7" i="17"/>
  <c r="GY7" i="17"/>
  <c r="GX7" i="17"/>
  <c r="GW7" i="17"/>
  <c r="GV7" i="17"/>
  <c r="GU7" i="17"/>
  <c r="GT7" i="17"/>
  <c r="GS7" i="17"/>
  <c r="GR7" i="17"/>
  <c r="GQ7" i="17"/>
  <c r="GP7" i="17"/>
  <c r="GO7" i="17"/>
  <c r="GN7" i="17"/>
  <c r="GM7" i="17"/>
  <c r="GL7" i="17"/>
  <c r="GK7" i="17"/>
  <c r="GJ7" i="17"/>
  <c r="GI7" i="17"/>
  <c r="GH7" i="17"/>
  <c r="GG7" i="17"/>
  <c r="GF7" i="17"/>
  <c r="GE7" i="17"/>
  <c r="GD7" i="17"/>
  <c r="GC7" i="17"/>
  <c r="GB7" i="17"/>
  <c r="GA7" i="17"/>
  <c r="FZ7" i="17"/>
  <c r="FY7" i="17"/>
  <c r="FX7" i="17"/>
  <c r="FW7" i="17"/>
  <c r="FV7" i="17"/>
  <c r="FU7" i="17"/>
  <c r="FT7" i="17"/>
  <c r="FS7" i="17"/>
  <c r="FR7" i="17"/>
  <c r="FQ7" i="17"/>
  <c r="FP7" i="17"/>
  <c r="FO7" i="17"/>
  <c r="FN7" i="17"/>
  <c r="FM7" i="17"/>
  <c r="FL7" i="17"/>
  <c r="FK7" i="17"/>
  <c r="FJ7" i="17"/>
  <c r="FI7" i="17"/>
  <c r="FH7" i="17"/>
  <c r="FG7" i="17"/>
  <c r="FF7" i="17"/>
  <c r="FE7" i="17"/>
  <c r="FD7" i="17"/>
  <c r="FC7" i="17"/>
  <c r="FB7" i="17"/>
  <c r="FA7" i="17"/>
  <c r="EZ7" i="17"/>
  <c r="EY7" i="17"/>
  <c r="EX7" i="17"/>
  <c r="EW7" i="17"/>
  <c r="EV7" i="17"/>
  <c r="EU7" i="17"/>
  <c r="ET7" i="17"/>
  <c r="ES7" i="17"/>
  <c r="ER7" i="17"/>
  <c r="EQ7" i="17"/>
  <c r="EP7" i="17"/>
  <c r="EO7" i="17"/>
  <c r="EN7" i="17"/>
  <c r="EM7" i="17"/>
  <c r="EL7" i="17"/>
  <c r="EK7" i="17"/>
  <c r="EJ7" i="17"/>
  <c r="EI7" i="17"/>
  <c r="EH7" i="17"/>
  <c r="EG7" i="17"/>
  <c r="EF7" i="17"/>
  <c r="EE7" i="17"/>
  <c r="ED7" i="17"/>
  <c r="EC7" i="17"/>
  <c r="EB7" i="17"/>
  <c r="EA7" i="17"/>
  <c r="DZ7" i="17"/>
  <c r="DY7" i="17"/>
  <c r="DX7" i="17"/>
  <c r="DW7" i="17"/>
  <c r="DV7" i="17"/>
  <c r="DU7" i="17"/>
  <c r="DT7" i="17"/>
  <c r="DS7" i="17"/>
  <c r="DR7" i="17"/>
  <c r="DQ7" i="17"/>
  <c r="DP7" i="17"/>
  <c r="DO7" i="17"/>
  <c r="DN7" i="17"/>
  <c r="DM7" i="17"/>
  <c r="DL7" i="17"/>
  <c r="DK7" i="17"/>
  <c r="DJ7" i="17"/>
  <c r="DI7" i="17"/>
  <c r="DH7" i="17"/>
  <c r="DG7" i="17"/>
  <c r="DF7" i="17"/>
  <c r="DE7" i="17"/>
  <c r="DD7" i="17"/>
  <c r="DC7" i="17"/>
  <c r="DB7" i="17"/>
  <c r="DA7" i="17"/>
  <c r="CZ7" i="17"/>
  <c r="CY7" i="17"/>
  <c r="CX7" i="17"/>
  <c r="CW7" i="17"/>
  <c r="CV7" i="17"/>
  <c r="CU7" i="17"/>
  <c r="CT7" i="17"/>
  <c r="CS7" i="17"/>
  <c r="CR7" i="17"/>
  <c r="CQ7" i="17"/>
  <c r="CP7" i="17"/>
  <c r="CO7" i="17"/>
  <c r="CN7" i="17"/>
  <c r="CM7" i="17"/>
  <c r="CL7" i="17"/>
  <c r="CK7" i="17"/>
  <c r="CJ7" i="17"/>
  <c r="CI7" i="17"/>
  <c r="CH7" i="17"/>
  <c r="CG7" i="17"/>
  <c r="CF7" i="17"/>
  <c r="CE7" i="17"/>
  <c r="CD7" i="17"/>
  <c r="CC7" i="17"/>
  <c r="CB7" i="17"/>
  <c r="CA7" i="17"/>
  <c r="BZ7" i="17"/>
  <c r="BY7" i="17"/>
  <c r="BX7" i="17"/>
  <c r="BW7" i="17"/>
  <c r="BV7" i="17"/>
  <c r="BU7" i="17"/>
  <c r="BT7" i="17"/>
  <c r="BS7" i="17"/>
  <c r="BR7" i="17"/>
  <c r="BQ7" i="17"/>
  <c r="BP7" i="17"/>
  <c r="BO7" i="17"/>
  <c r="BN7" i="17"/>
  <c r="BM7" i="17"/>
  <c r="BL7" i="17"/>
  <c r="BK7" i="17"/>
  <c r="BJ7" i="17"/>
  <c r="BI7" i="17"/>
  <c r="BH7" i="17"/>
  <c r="BG7" i="17"/>
  <c r="BF7" i="17"/>
  <c r="BE7" i="17"/>
  <c r="BD7" i="17"/>
  <c r="BC7" i="17"/>
  <c r="BB7" i="17"/>
  <c r="BA7" i="17"/>
  <c r="AZ7" i="17"/>
  <c r="AY7" i="17"/>
  <c r="AX7" i="17"/>
  <c r="AW7" i="17"/>
  <c r="AV7" i="17"/>
  <c r="AU7" i="17"/>
  <c r="AT7" i="17"/>
  <c r="AS7" i="17"/>
  <c r="AR7" i="17"/>
  <c r="AQ7" i="17"/>
  <c r="AP7" i="17"/>
  <c r="AO7" i="17"/>
  <c r="AN7" i="17"/>
  <c r="AM7" i="17"/>
  <c r="AL7" i="17"/>
  <c r="AK7" i="17"/>
  <c r="AJ7" i="17"/>
  <c r="AI7" i="17"/>
  <c r="AH7" i="17"/>
  <c r="AG7" i="17"/>
  <c r="AF7" i="17"/>
  <c r="AE7" i="17"/>
  <c r="AD7" i="17"/>
  <c r="AC7" i="17"/>
  <c r="AB7" i="17"/>
  <c r="AA7" i="17"/>
  <c r="Z7" i="17"/>
  <c r="Y7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KC6" i="17"/>
  <c r="KB6" i="17"/>
  <c r="KA6" i="17"/>
  <c r="JZ6" i="17"/>
  <c r="JY6" i="17"/>
  <c r="JU6" i="17"/>
  <c r="JG6" i="17"/>
  <c r="JB6" i="17"/>
  <c r="JA6" i="17"/>
  <c r="IV6" i="17"/>
  <c r="IU6" i="17"/>
  <c r="IT6" i="17"/>
  <c r="IS6" i="17"/>
  <c r="IR6" i="17"/>
  <c r="IQ6" i="17"/>
  <c r="IP6" i="17"/>
  <c r="IO6" i="17"/>
  <c r="IN6" i="17"/>
  <c r="IM6" i="17"/>
  <c r="IL6" i="17"/>
  <c r="IK6" i="17"/>
  <c r="IJ6" i="17"/>
  <c r="II6" i="17"/>
  <c r="IH6" i="17"/>
  <c r="IG6" i="17"/>
  <c r="IF6" i="17"/>
  <c r="HE6" i="17"/>
  <c r="HD6" i="17"/>
  <c r="HC6" i="17"/>
  <c r="HB6" i="17"/>
  <c r="HA6" i="17"/>
  <c r="GZ6" i="17"/>
  <c r="GY6" i="17"/>
  <c r="GX6" i="17"/>
  <c r="GW6" i="17"/>
  <c r="GV6" i="17"/>
  <c r="GU6" i="17"/>
  <c r="GT6" i="17"/>
  <c r="GS6" i="17"/>
  <c r="GR6" i="17"/>
  <c r="GQ6" i="17"/>
  <c r="GP6" i="17"/>
  <c r="GO6" i="17"/>
  <c r="GN6" i="17"/>
  <c r="GM6" i="17"/>
  <c r="GL6" i="17"/>
  <c r="GK6" i="17"/>
  <c r="GJ6" i="17"/>
  <c r="GI6" i="17"/>
  <c r="GH6" i="17"/>
  <c r="GG6" i="17"/>
  <c r="GF6" i="17"/>
  <c r="GE6" i="17"/>
  <c r="GD6" i="17"/>
  <c r="GC6" i="17"/>
  <c r="GB6" i="17"/>
  <c r="GA6" i="17"/>
  <c r="FZ6" i="17"/>
  <c r="FY6" i="17"/>
  <c r="FX6" i="17"/>
  <c r="FW6" i="17"/>
  <c r="FV6" i="17"/>
  <c r="FU6" i="17"/>
  <c r="FT6" i="17"/>
  <c r="FS6" i="17"/>
  <c r="FR6" i="17"/>
  <c r="FQ6" i="17"/>
  <c r="FP6" i="17"/>
  <c r="FO6" i="17"/>
  <c r="FN6" i="17"/>
  <c r="FM6" i="17"/>
  <c r="FL6" i="17"/>
  <c r="FK6" i="17"/>
  <c r="FJ6" i="17"/>
  <c r="FI6" i="17"/>
  <c r="FH6" i="17"/>
  <c r="FG6" i="17"/>
  <c r="FF6" i="17"/>
  <c r="FE6" i="17"/>
  <c r="FD6" i="17"/>
  <c r="FC6" i="17"/>
  <c r="FB6" i="17"/>
  <c r="FA6" i="17"/>
  <c r="EZ6" i="17"/>
  <c r="EY6" i="17"/>
  <c r="EX6" i="17"/>
  <c r="EW6" i="17"/>
  <c r="EV6" i="17"/>
  <c r="EU6" i="17"/>
  <c r="ET6" i="17"/>
  <c r="ES6" i="17"/>
  <c r="ER6" i="17"/>
  <c r="EQ6" i="17"/>
  <c r="EP6" i="17"/>
  <c r="EO6" i="17"/>
  <c r="EN6" i="17"/>
  <c r="EM6" i="17"/>
  <c r="EL6" i="17"/>
  <c r="EK6" i="17"/>
  <c r="EJ6" i="17"/>
  <c r="EI6" i="17"/>
  <c r="EH6" i="17"/>
  <c r="EG6" i="17"/>
  <c r="EF6" i="17"/>
  <c r="EE6" i="17"/>
  <c r="ED6" i="17"/>
  <c r="EC6" i="17"/>
  <c r="EB6" i="17"/>
  <c r="EA6" i="17"/>
  <c r="DZ6" i="17"/>
  <c r="DY6" i="17"/>
  <c r="DX6" i="17"/>
  <c r="DW6" i="17"/>
  <c r="DV6" i="17"/>
  <c r="DU6" i="17"/>
  <c r="DT6" i="17"/>
  <c r="DS6" i="17"/>
  <c r="DR6" i="17"/>
  <c r="DQ6" i="17"/>
  <c r="DP6" i="17"/>
  <c r="DO6" i="17"/>
  <c r="DN6" i="17"/>
  <c r="DM6" i="17"/>
  <c r="DL6" i="17"/>
  <c r="DK6" i="17"/>
  <c r="DJ6" i="17"/>
  <c r="DI6" i="17"/>
  <c r="DH6" i="17"/>
  <c r="DG6" i="17"/>
  <c r="DF6" i="17"/>
  <c r="DE6" i="17"/>
  <c r="DD6" i="17"/>
  <c r="DC6" i="17"/>
  <c r="DB6" i="17"/>
  <c r="DA6" i="17"/>
  <c r="CZ6" i="17"/>
  <c r="CY6" i="17"/>
  <c r="CX6" i="17"/>
  <c r="CW6" i="17"/>
  <c r="CV6" i="17"/>
  <c r="CU6" i="17"/>
  <c r="CT6" i="17"/>
  <c r="CS6" i="17"/>
  <c r="CR6" i="17"/>
  <c r="CQ6" i="17"/>
  <c r="CP6" i="17"/>
  <c r="CO6" i="17"/>
  <c r="CN6" i="17"/>
  <c r="CM6" i="17"/>
  <c r="CL6" i="17"/>
  <c r="CK6" i="17"/>
  <c r="CJ6" i="17"/>
  <c r="CI6" i="17"/>
  <c r="CH6" i="17"/>
  <c r="CG6" i="17"/>
  <c r="CF6" i="17"/>
  <c r="CE6" i="17"/>
  <c r="CD6" i="17"/>
  <c r="CC6" i="17"/>
  <c r="CB6" i="17"/>
  <c r="CA6" i="17"/>
  <c r="BZ6" i="17"/>
  <c r="BY6" i="17"/>
  <c r="BX6" i="17"/>
  <c r="BW6" i="17"/>
  <c r="BV6" i="17"/>
  <c r="BU6" i="17"/>
  <c r="BT6" i="17"/>
  <c r="BS6" i="17"/>
  <c r="BR6" i="17"/>
  <c r="BQ6" i="17"/>
  <c r="BP6" i="17"/>
  <c r="BO6" i="17"/>
  <c r="BN6" i="17"/>
  <c r="BM6" i="17"/>
  <c r="BL6" i="17"/>
  <c r="BK6" i="17"/>
  <c r="BJ6" i="17"/>
  <c r="BI6" i="17"/>
  <c r="BH6" i="17"/>
  <c r="BG6" i="17"/>
  <c r="BF6" i="17"/>
  <c r="BE6" i="17"/>
  <c r="BD6" i="17"/>
  <c r="BC6" i="17"/>
  <c r="BB6" i="17"/>
  <c r="BA6" i="17"/>
  <c r="AZ6" i="17"/>
  <c r="AY6" i="17"/>
  <c r="AX6" i="17"/>
  <c r="AW6" i="17"/>
  <c r="AV6" i="17"/>
  <c r="AU6" i="17"/>
  <c r="AT6" i="17"/>
  <c r="AS6" i="17"/>
  <c r="AR6" i="17"/>
  <c r="AQ6" i="17"/>
  <c r="AP6" i="17"/>
  <c r="AO6" i="17"/>
  <c r="AN6" i="17"/>
  <c r="AM6" i="17"/>
  <c r="AL6" i="17"/>
  <c r="AK6" i="17"/>
  <c r="AJ6" i="17"/>
  <c r="AI6" i="17"/>
  <c r="AH6" i="17"/>
  <c r="AG6" i="17"/>
  <c r="AF6" i="17"/>
  <c r="AE6" i="17"/>
  <c r="AD6" i="17"/>
  <c r="AC6" i="17"/>
  <c r="AB6" i="17"/>
  <c r="AA6" i="17"/>
  <c r="Z6" i="17"/>
  <c r="Y6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KC5" i="17"/>
  <c r="KB5" i="17"/>
  <c r="KA5" i="17"/>
  <c r="JZ5" i="17"/>
  <c r="JY5" i="17"/>
  <c r="JU5" i="17"/>
  <c r="JG5" i="17"/>
  <c r="JB5" i="17"/>
  <c r="JA5" i="17"/>
  <c r="IV5" i="17"/>
  <c r="IU5" i="17"/>
  <c r="IT5" i="17"/>
  <c r="IS5" i="17"/>
  <c r="IR5" i="17"/>
  <c r="IQ5" i="17"/>
  <c r="IP5" i="17"/>
  <c r="IO5" i="17"/>
  <c r="IN5" i="17"/>
  <c r="IM5" i="17"/>
  <c r="IL5" i="17"/>
  <c r="IK5" i="17"/>
  <c r="IJ5" i="17"/>
  <c r="II5" i="17"/>
  <c r="IH5" i="17"/>
  <c r="IG5" i="17"/>
  <c r="IF5" i="17"/>
  <c r="HE5" i="17"/>
  <c r="HD5" i="17"/>
  <c r="HC5" i="17"/>
  <c r="HB5" i="17"/>
  <c r="HA5" i="17"/>
  <c r="GZ5" i="17"/>
  <c r="GY5" i="17"/>
  <c r="GX5" i="17"/>
  <c r="GW5" i="17"/>
  <c r="GV5" i="17"/>
  <c r="GU5" i="17"/>
  <c r="GT5" i="17"/>
  <c r="GS5" i="17"/>
  <c r="GR5" i="17"/>
  <c r="GQ5" i="17"/>
  <c r="GP5" i="17"/>
  <c r="GO5" i="17"/>
  <c r="GN5" i="17"/>
  <c r="GM5" i="17"/>
  <c r="GL5" i="17"/>
  <c r="GK5" i="17"/>
  <c r="GJ5" i="17"/>
  <c r="GI5" i="17"/>
  <c r="GH5" i="17"/>
  <c r="GG5" i="17"/>
  <c r="GF5" i="17"/>
  <c r="GE5" i="17"/>
  <c r="GD5" i="17"/>
  <c r="GC5" i="17"/>
  <c r="GB5" i="17"/>
  <c r="GA5" i="17"/>
  <c r="FZ5" i="17"/>
  <c r="FY5" i="17"/>
  <c r="FX5" i="17"/>
  <c r="FW5" i="17"/>
  <c r="FV5" i="17"/>
  <c r="FU5" i="17"/>
  <c r="FT5" i="17"/>
  <c r="FS5" i="17"/>
  <c r="FR5" i="17"/>
  <c r="FQ5" i="17"/>
  <c r="FP5" i="17"/>
  <c r="FO5" i="17"/>
  <c r="FN5" i="17"/>
  <c r="FM5" i="17"/>
  <c r="FL5" i="17"/>
  <c r="FK5" i="17"/>
  <c r="FJ5" i="17"/>
  <c r="FI5" i="17"/>
  <c r="FH5" i="17"/>
  <c r="FG5" i="17"/>
  <c r="FF5" i="17"/>
  <c r="FE5" i="17"/>
  <c r="FD5" i="17"/>
  <c r="FC5" i="17"/>
  <c r="FB5" i="17"/>
  <c r="FA5" i="17"/>
  <c r="EZ5" i="17"/>
  <c r="EY5" i="17"/>
  <c r="EX5" i="17"/>
  <c r="EW5" i="17"/>
  <c r="EV5" i="17"/>
  <c r="EU5" i="17"/>
  <c r="ET5" i="17"/>
  <c r="ES5" i="17"/>
  <c r="ER5" i="17"/>
  <c r="EQ5" i="17"/>
  <c r="EP5" i="17"/>
  <c r="EO5" i="17"/>
  <c r="EN5" i="17"/>
  <c r="EM5" i="17"/>
  <c r="EL5" i="17"/>
  <c r="EK5" i="17"/>
  <c r="EJ5" i="17"/>
  <c r="EI5" i="17"/>
  <c r="EH5" i="17"/>
  <c r="EG5" i="17"/>
  <c r="EF5" i="17"/>
  <c r="EE5" i="17"/>
  <c r="ED5" i="17"/>
  <c r="EC5" i="17"/>
  <c r="EB5" i="17"/>
  <c r="EA5" i="17"/>
  <c r="DZ5" i="17"/>
  <c r="DY5" i="17"/>
  <c r="DX5" i="17"/>
  <c r="DW5" i="17"/>
  <c r="DV5" i="17"/>
  <c r="DU5" i="17"/>
  <c r="DT5" i="17"/>
  <c r="DS5" i="17"/>
  <c r="DR5" i="17"/>
  <c r="DQ5" i="17"/>
  <c r="DP5" i="17"/>
  <c r="DO5" i="17"/>
  <c r="DN5" i="17"/>
  <c r="DM5" i="17"/>
  <c r="DL5" i="17"/>
  <c r="DK5" i="17"/>
  <c r="DJ5" i="17"/>
  <c r="DI5" i="17"/>
  <c r="DH5" i="17"/>
  <c r="DG5" i="17"/>
  <c r="DF5" i="17"/>
  <c r="DE5" i="17"/>
  <c r="DD5" i="17"/>
  <c r="DC5" i="17"/>
  <c r="DB5" i="17"/>
  <c r="DA5" i="17"/>
  <c r="CZ5" i="17"/>
  <c r="CY5" i="17"/>
  <c r="CX5" i="17"/>
  <c r="CW5" i="17"/>
  <c r="CV5" i="17"/>
  <c r="CU5" i="17"/>
  <c r="CT5" i="17"/>
  <c r="CS5" i="17"/>
  <c r="CR5" i="17"/>
  <c r="CQ5" i="17"/>
  <c r="CP5" i="17"/>
  <c r="CO5" i="17"/>
  <c r="CN5" i="17"/>
  <c r="CM5" i="17"/>
  <c r="CL5" i="17"/>
  <c r="CK5" i="17"/>
  <c r="CJ5" i="17"/>
  <c r="CI5" i="17"/>
  <c r="CH5" i="17"/>
  <c r="CG5" i="17"/>
  <c r="CF5" i="17"/>
  <c r="CE5" i="17"/>
  <c r="CD5" i="17"/>
  <c r="CC5" i="17"/>
  <c r="CB5" i="17"/>
  <c r="CA5" i="17"/>
  <c r="BZ5" i="17"/>
  <c r="BY5" i="17"/>
  <c r="BX5" i="17"/>
  <c r="BW5" i="17"/>
  <c r="BV5" i="17"/>
  <c r="BU5" i="17"/>
  <c r="BT5" i="17"/>
  <c r="BS5" i="17"/>
  <c r="BR5" i="17"/>
  <c r="BQ5" i="17"/>
  <c r="BP5" i="17"/>
  <c r="BO5" i="17"/>
  <c r="BN5" i="17"/>
  <c r="BM5" i="17"/>
  <c r="BL5" i="17"/>
  <c r="BK5" i="17"/>
  <c r="BJ5" i="17"/>
  <c r="BI5" i="17"/>
  <c r="BH5" i="17"/>
  <c r="BG5" i="17"/>
  <c r="BF5" i="17"/>
  <c r="BE5" i="17"/>
  <c r="BD5" i="17"/>
  <c r="BC5" i="17"/>
  <c r="BB5" i="17"/>
  <c r="BA5" i="17"/>
  <c r="AZ5" i="17"/>
  <c r="AY5" i="17"/>
  <c r="AX5" i="17"/>
  <c r="AW5" i="17"/>
  <c r="AV5" i="17"/>
  <c r="AU5" i="17"/>
  <c r="AT5" i="17"/>
  <c r="AS5" i="17"/>
  <c r="AR5" i="17"/>
  <c r="AQ5" i="17"/>
  <c r="AP5" i="17"/>
  <c r="AO5" i="17"/>
  <c r="AN5" i="17"/>
  <c r="AM5" i="17"/>
  <c r="AL5" i="17"/>
  <c r="AK5" i="17"/>
  <c r="AJ5" i="17"/>
  <c r="AI5" i="17"/>
  <c r="AH5" i="17"/>
  <c r="AG5" i="17"/>
  <c r="AF5" i="17"/>
  <c r="AE5" i="17"/>
  <c r="AD5" i="17"/>
  <c r="AC5" i="17"/>
  <c r="AB5" i="17"/>
  <c r="AA5" i="17"/>
  <c r="Z5" i="17"/>
  <c r="Y5" i="17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KC4" i="17"/>
  <c r="KB4" i="17"/>
  <c r="KA4" i="17"/>
  <c r="JZ4" i="17"/>
  <c r="JY4" i="17"/>
  <c r="JU4" i="17"/>
  <c r="JG4" i="17"/>
  <c r="JB4" i="17"/>
  <c r="JA4" i="17"/>
  <c r="IV4" i="17"/>
  <c r="IU4" i="17"/>
  <c r="IT4" i="17"/>
  <c r="IS4" i="17"/>
  <c r="IR4" i="17"/>
  <c r="IQ4" i="17"/>
  <c r="IP4" i="17"/>
  <c r="IO4" i="17"/>
  <c r="IN4" i="17"/>
  <c r="IM4" i="17"/>
  <c r="IL4" i="17"/>
  <c r="IK4" i="17"/>
  <c r="IJ4" i="17"/>
  <c r="II4" i="17"/>
  <c r="IH4" i="17"/>
  <c r="IG4" i="17"/>
  <c r="IF4" i="17"/>
  <c r="HE4" i="17"/>
  <c r="HD4" i="17"/>
  <c r="HC4" i="17"/>
  <c r="HB4" i="17"/>
  <c r="HA4" i="17"/>
  <c r="GZ4" i="17"/>
  <c r="GY4" i="17"/>
  <c r="GX4" i="17"/>
  <c r="GW4" i="17"/>
  <c r="GV4" i="17"/>
  <c r="GU4" i="17"/>
  <c r="GT4" i="17"/>
  <c r="GS4" i="17"/>
  <c r="GR4" i="17"/>
  <c r="GQ4" i="17"/>
  <c r="GP4" i="17"/>
  <c r="GO4" i="17"/>
  <c r="GN4" i="17"/>
  <c r="GM4" i="17"/>
  <c r="GL4" i="17"/>
  <c r="GK4" i="17"/>
  <c r="GJ4" i="17"/>
  <c r="GI4" i="17"/>
  <c r="GH4" i="17"/>
  <c r="GG4" i="17"/>
  <c r="GF4" i="17"/>
  <c r="GE4" i="17"/>
  <c r="GD4" i="17"/>
  <c r="GC4" i="17"/>
  <c r="GB4" i="17"/>
  <c r="GA4" i="17"/>
  <c r="FZ4" i="17"/>
  <c r="FY4" i="17"/>
  <c r="FX4" i="17"/>
  <c r="FW4" i="17"/>
  <c r="FV4" i="17"/>
  <c r="FU4" i="17"/>
  <c r="FT4" i="17"/>
  <c r="FS4" i="17"/>
  <c r="FR4" i="17"/>
  <c r="FQ4" i="17"/>
  <c r="FP4" i="17"/>
  <c r="FO4" i="17"/>
  <c r="FN4" i="17"/>
  <c r="FM4" i="17"/>
  <c r="FL4" i="17"/>
  <c r="FK4" i="17"/>
  <c r="FJ4" i="17"/>
  <c r="FI4" i="17"/>
  <c r="FH4" i="17"/>
  <c r="FG4" i="17"/>
  <c r="FF4" i="17"/>
  <c r="FE4" i="17"/>
  <c r="FD4" i="17"/>
  <c r="FC4" i="17"/>
  <c r="FB4" i="17"/>
  <c r="FA4" i="17"/>
  <c r="EZ4" i="17"/>
  <c r="EY4" i="17"/>
  <c r="EX4" i="17"/>
  <c r="EW4" i="17"/>
  <c r="EV4" i="17"/>
  <c r="EU4" i="17"/>
  <c r="ET4" i="17"/>
  <c r="ES4" i="17"/>
  <c r="ER4" i="17"/>
  <c r="EQ4" i="17"/>
  <c r="EP4" i="17"/>
  <c r="EO4" i="17"/>
  <c r="EN4" i="17"/>
  <c r="EM4" i="17"/>
  <c r="EL4" i="17"/>
  <c r="EK4" i="17"/>
  <c r="EJ4" i="17"/>
  <c r="EI4" i="17"/>
  <c r="EH4" i="17"/>
  <c r="EG4" i="17"/>
  <c r="EF4" i="17"/>
  <c r="EE4" i="17"/>
  <c r="ED4" i="17"/>
  <c r="EC4" i="17"/>
  <c r="EB4" i="17"/>
  <c r="EA4" i="17"/>
  <c r="DZ4" i="17"/>
  <c r="DY4" i="17"/>
  <c r="DX4" i="17"/>
  <c r="DW4" i="17"/>
  <c r="DV4" i="17"/>
  <c r="DU4" i="17"/>
  <c r="DT4" i="17"/>
  <c r="DS4" i="17"/>
  <c r="DR4" i="17"/>
  <c r="DQ4" i="17"/>
  <c r="DP4" i="17"/>
  <c r="DO4" i="17"/>
  <c r="DN4" i="17"/>
  <c r="DM4" i="17"/>
  <c r="DL4" i="17"/>
  <c r="DK4" i="17"/>
  <c r="DJ4" i="17"/>
  <c r="DI4" i="17"/>
  <c r="DH4" i="17"/>
  <c r="DG4" i="17"/>
  <c r="DF4" i="17"/>
  <c r="DE4" i="17"/>
  <c r="DD4" i="17"/>
  <c r="DC4" i="17"/>
  <c r="DB4" i="17"/>
  <c r="DA4" i="17"/>
  <c r="CZ4" i="17"/>
  <c r="CY4" i="17"/>
  <c r="CX4" i="17"/>
  <c r="CW4" i="17"/>
  <c r="CV4" i="17"/>
  <c r="CU4" i="17"/>
  <c r="CT4" i="17"/>
  <c r="CS4" i="17"/>
  <c r="CR4" i="17"/>
  <c r="CQ4" i="17"/>
  <c r="CP4" i="17"/>
  <c r="CO4" i="17"/>
  <c r="CN4" i="17"/>
  <c r="CM4" i="17"/>
  <c r="CL4" i="17"/>
  <c r="CK4" i="17"/>
  <c r="CJ4" i="17"/>
  <c r="CI4" i="17"/>
  <c r="CH4" i="17"/>
  <c r="CG4" i="17"/>
  <c r="CF4" i="17"/>
  <c r="CE4" i="17"/>
  <c r="CD4" i="17"/>
  <c r="CC4" i="17"/>
  <c r="CB4" i="17"/>
  <c r="CA4" i="17"/>
  <c r="BZ4" i="17"/>
  <c r="BY4" i="17"/>
  <c r="BX4" i="17"/>
  <c r="BW4" i="17"/>
  <c r="BV4" i="17"/>
  <c r="BU4" i="17"/>
  <c r="BT4" i="17"/>
  <c r="BS4" i="17"/>
  <c r="BR4" i="17"/>
  <c r="BQ4" i="17"/>
  <c r="BP4" i="17"/>
  <c r="BO4" i="17"/>
  <c r="BN4" i="17"/>
  <c r="BM4" i="17"/>
  <c r="BL4" i="17"/>
  <c r="BK4" i="17"/>
  <c r="BJ4" i="17"/>
  <c r="BI4" i="17"/>
  <c r="BH4" i="17"/>
  <c r="BG4" i="17"/>
  <c r="BF4" i="17"/>
  <c r="BE4" i="17"/>
  <c r="BD4" i="17"/>
  <c r="BC4" i="17"/>
  <c r="BB4" i="17"/>
  <c r="BA4" i="17"/>
  <c r="AZ4" i="17"/>
  <c r="AY4" i="17"/>
  <c r="AX4" i="17"/>
  <c r="AW4" i="17"/>
  <c r="AV4" i="17"/>
  <c r="AU4" i="17"/>
  <c r="AT4" i="17"/>
  <c r="AS4" i="17"/>
  <c r="AR4" i="17"/>
  <c r="AQ4" i="17"/>
  <c r="AP4" i="17"/>
  <c r="AO4" i="17"/>
  <c r="AN4" i="17"/>
  <c r="AM4" i="17"/>
  <c r="AL4" i="17"/>
  <c r="AK4" i="17"/>
  <c r="AJ4" i="17"/>
  <c r="AI4" i="17"/>
  <c r="AH4" i="17"/>
  <c r="AG4" i="17"/>
  <c r="AF4" i="17"/>
  <c r="AE4" i="17"/>
  <c r="AD4" i="17"/>
  <c r="AC4" i="17"/>
  <c r="AB4" i="17"/>
  <c r="AA4" i="17"/>
  <c r="Z4" i="17"/>
  <c r="Y4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KC3" i="17"/>
  <c r="KB3" i="17"/>
  <c r="KA3" i="17"/>
  <c r="JZ3" i="17"/>
  <c r="JY3" i="17"/>
  <c r="JU3" i="17"/>
  <c r="JG3" i="17"/>
  <c r="JB3" i="17"/>
  <c r="JA3" i="17"/>
  <c r="IV3" i="17"/>
  <c r="IU3" i="17"/>
  <c r="IT3" i="17"/>
  <c r="IS3" i="17"/>
  <c r="IR3" i="17"/>
  <c r="IQ3" i="17"/>
  <c r="IP3" i="17"/>
  <c r="IO3" i="17"/>
  <c r="IN3" i="17"/>
  <c r="IM3" i="17"/>
  <c r="IL3" i="17"/>
  <c r="IK3" i="17"/>
  <c r="IJ3" i="17"/>
  <c r="II3" i="17"/>
  <c r="IH3" i="17"/>
  <c r="IG3" i="17"/>
  <c r="IF3" i="17"/>
  <c r="HE3" i="17"/>
  <c r="HD3" i="17"/>
  <c r="HC3" i="17"/>
  <c r="HB3" i="17"/>
  <c r="HA3" i="17"/>
  <c r="GZ3" i="17"/>
  <c r="GY3" i="17"/>
  <c r="GX3" i="17"/>
  <c r="GW3" i="17"/>
  <c r="GV3" i="17"/>
  <c r="GU3" i="17"/>
  <c r="GT3" i="17"/>
  <c r="GS3" i="17"/>
  <c r="GR3" i="17"/>
  <c r="GQ3" i="17"/>
  <c r="GP3" i="17"/>
  <c r="GO3" i="17"/>
  <c r="GN3" i="17"/>
  <c r="GM3" i="17"/>
  <c r="GL3" i="17"/>
  <c r="GK3" i="17"/>
  <c r="GJ3" i="17"/>
  <c r="GI3" i="17"/>
  <c r="GH3" i="17"/>
  <c r="GG3" i="17"/>
  <c r="GF3" i="17"/>
  <c r="GE3" i="17"/>
  <c r="GD3" i="17"/>
  <c r="GC3" i="17"/>
  <c r="GB3" i="17"/>
  <c r="GA3" i="17"/>
  <c r="FZ3" i="17"/>
  <c r="FY3" i="17"/>
  <c r="FX3" i="17"/>
  <c r="FW3" i="17"/>
  <c r="FV3" i="17"/>
  <c r="FU3" i="17"/>
  <c r="FT3" i="17"/>
  <c r="FS3" i="17"/>
  <c r="FR3" i="17"/>
  <c r="FQ3" i="17"/>
  <c r="FP3" i="17"/>
  <c r="FO3" i="17"/>
  <c r="FN3" i="17"/>
  <c r="FM3" i="17"/>
  <c r="FL3" i="17"/>
  <c r="FK3" i="17"/>
  <c r="FJ3" i="17"/>
  <c r="FI3" i="17"/>
  <c r="FH3" i="17"/>
  <c r="FG3" i="17"/>
  <c r="FF3" i="17"/>
  <c r="FE3" i="17"/>
  <c r="FD3" i="17"/>
  <c r="FC3" i="17"/>
  <c r="FB3" i="17"/>
  <c r="FA3" i="17"/>
  <c r="EZ3" i="17"/>
  <c r="EY3" i="17"/>
  <c r="EX3" i="17"/>
  <c r="EW3" i="17"/>
  <c r="EV3" i="17"/>
  <c r="EU3" i="17"/>
  <c r="ET3" i="17"/>
  <c r="ES3" i="17"/>
  <c r="ER3" i="17"/>
  <c r="EQ3" i="17"/>
  <c r="EP3" i="17"/>
  <c r="EO3" i="17"/>
  <c r="EN3" i="17"/>
  <c r="EM3" i="17"/>
  <c r="EL3" i="17"/>
  <c r="EK3" i="17"/>
  <c r="EJ3" i="17"/>
  <c r="EI3" i="17"/>
  <c r="EH3" i="17"/>
  <c r="EG3" i="17"/>
  <c r="EF3" i="17"/>
  <c r="EE3" i="17"/>
  <c r="ED3" i="17"/>
  <c r="EC3" i="17"/>
  <c r="EB3" i="17"/>
  <c r="EA3" i="17"/>
  <c r="DZ3" i="17"/>
  <c r="DY3" i="17"/>
  <c r="DX3" i="17"/>
  <c r="DW3" i="17"/>
  <c r="DV3" i="17"/>
  <c r="DU3" i="17"/>
  <c r="DT3" i="17"/>
  <c r="DS3" i="17"/>
  <c r="DR3" i="17"/>
  <c r="DQ3" i="17"/>
  <c r="DP3" i="17"/>
  <c r="DO3" i="17"/>
  <c r="DN3" i="17"/>
  <c r="DM3" i="17"/>
  <c r="DL3" i="17"/>
  <c r="DK3" i="17"/>
  <c r="DJ3" i="17"/>
  <c r="DI3" i="17"/>
  <c r="DH3" i="17"/>
  <c r="DG3" i="17"/>
  <c r="DF3" i="17"/>
  <c r="DE3" i="17"/>
  <c r="DD3" i="17"/>
  <c r="DC3" i="17"/>
  <c r="DB3" i="17"/>
  <c r="DA3" i="17"/>
  <c r="CZ3" i="17"/>
  <c r="CY3" i="17"/>
  <c r="CX3" i="17"/>
  <c r="CW3" i="17"/>
  <c r="CV3" i="17"/>
  <c r="CU3" i="17"/>
  <c r="CT3" i="17"/>
  <c r="CS3" i="17"/>
  <c r="CR3" i="17"/>
  <c r="CQ3" i="17"/>
  <c r="CP3" i="17"/>
  <c r="CO3" i="17"/>
  <c r="CN3" i="17"/>
  <c r="CM3" i="17"/>
  <c r="CL3" i="17"/>
  <c r="CK3" i="17"/>
  <c r="CJ3" i="17"/>
  <c r="CI3" i="17"/>
  <c r="CH3" i="17"/>
  <c r="CG3" i="17"/>
  <c r="CF3" i="17"/>
  <c r="CE3" i="17"/>
  <c r="CD3" i="17"/>
  <c r="CC3" i="17"/>
  <c r="CB3" i="17"/>
  <c r="CA3" i="17"/>
  <c r="BZ3" i="17"/>
  <c r="BY3" i="17"/>
  <c r="BX3" i="17"/>
  <c r="BW3" i="17"/>
  <c r="BV3" i="17"/>
  <c r="BU3" i="17"/>
  <c r="BT3" i="17"/>
  <c r="BS3" i="17"/>
  <c r="BR3" i="17"/>
  <c r="BQ3" i="17"/>
  <c r="BP3" i="17"/>
  <c r="BO3" i="17"/>
  <c r="BN3" i="17"/>
  <c r="BM3" i="17"/>
  <c r="BL3" i="17"/>
  <c r="BK3" i="17"/>
  <c r="BJ3" i="17"/>
  <c r="BI3" i="17"/>
  <c r="BH3" i="17"/>
  <c r="BG3" i="17"/>
  <c r="BF3" i="17"/>
  <c r="BE3" i="17"/>
  <c r="BD3" i="17"/>
  <c r="BC3" i="17"/>
  <c r="BB3" i="17"/>
  <c r="BA3" i="17"/>
  <c r="AZ3" i="17"/>
  <c r="AY3" i="17"/>
  <c r="AX3" i="17"/>
  <c r="AW3" i="17"/>
  <c r="AV3" i="17"/>
  <c r="AU3" i="17"/>
  <c r="AT3" i="17"/>
  <c r="AS3" i="17"/>
  <c r="AR3" i="17"/>
  <c r="AQ3" i="17"/>
  <c r="AP3" i="17"/>
  <c r="AO3" i="17"/>
  <c r="AN3" i="17"/>
  <c r="AM3" i="17"/>
  <c r="AL3" i="17"/>
  <c r="AK3" i="17"/>
  <c r="AJ3" i="17"/>
  <c r="AI3" i="17"/>
  <c r="AH3" i="17"/>
  <c r="AG3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KC2" i="17"/>
  <c r="KB2" i="17"/>
  <c r="KA2" i="17"/>
  <c r="JZ2" i="17"/>
  <c r="JY2" i="17"/>
  <c r="JU2" i="17"/>
  <c r="JG2" i="17"/>
  <c r="JB2" i="17"/>
  <c r="JA2" i="17"/>
  <c r="IV2" i="17"/>
  <c r="IU2" i="17"/>
  <c r="IT2" i="17"/>
  <c r="IS2" i="17"/>
  <c r="IR2" i="17"/>
  <c r="IQ2" i="17"/>
  <c r="IP2" i="17"/>
  <c r="IO2" i="17"/>
  <c r="IN2" i="17"/>
  <c r="IM2" i="17"/>
  <c r="IL2" i="17"/>
  <c r="IK2" i="17"/>
  <c r="IJ2" i="17"/>
  <c r="II2" i="17"/>
  <c r="IH2" i="17"/>
  <c r="IG2" i="17"/>
  <c r="IF2" i="17"/>
  <c r="HE2" i="17"/>
  <c r="HD2" i="17"/>
  <c r="HC2" i="17"/>
  <c r="HB2" i="17"/>
  <c r="HA2" i="17"/>
  <c r="GZ2" i="17"/>
  <c r="GY2" i="17"/>
  <c r="GX2" i="17"/>
  <c r="GW2" i="17"/>
  <c r="GV2" i="17"/>
  <c r="GU2" i="17"/>
  <c r="GT2" i="17"/>
  <c r="GS2" i="17"/>
  <c r="GR2" i="17"/>
  <c r="GQ2" i="17"/>
  <c r="GP2" i="17"/>
  <c r="GO2" i="17"/>
  <c r="GN2" i="17"/>
  <c r="GM2" i="17"/>
  <c r="GL2" i="17"/>
  <c r="GK2" i="17"/>
  <c r="GJ2" i="17"/>
  <c r="GI2" i="17"/>
  <c r="GH2" i="17"/>
  <c r="GG2" i="17"/>
  <c r="GF2" i="17"/>
  <c r="GE2" i="17"/>
  <c r="GD2" i="17"/>
  <c r="GC2" i="17"/>
  <c r="GB2" i="17"/>
  <c r="GA2" i="17"/>
  <c r="FZ2" i="17"/>
  <c r="FY2" i="17"/>
  <c r="FX2" i="17"/>
  <c r="FW2" i="17"/>
  <c r="FV2" i="17"/>
  <c r="FU2" i="17"/>
  <c r="FT2" i="17"/>
  <c r="FS2" i="17"/>
  <c r="FR2" i="17"/>
  <c r="FQ2" i="17"/>
  <c r="FP2" i="17"/>
  <c r="FO2" i="17"/>
  <c r="FN2" i="17"/>
  <c r="FM2" i="17"/>
  <c r="FL2" i="17"/>
  <c r="FK2" i="17"/>
  <c r="FJ2" i="17"/>
  <c r="FI2" i="17"/>
  <c r="FH2" i="17"/>
  <c r="FG2" i="17"/>
  <c r="FF2" i="17"/>
  <c r="FE2" i="17"/>
  <c r="FD2" i="17"/>
  <c r="FC2" i="17"/>
  <c r="FB2" i="17"/>
  <c r="FA2" i="17"/>
  <c r="EZ2" i="17"/>
  <c r="EY2" i="17"/>
  <c r="EX2" i="17"/>
  <c r="EW2" i="17"/>
  <c r="EV2" i="17"/>
  <c r="EU2" i="17"/>
  <c r="ET2" i="17"/>
  <c r="ES2" i="17"/>
  <c r="ER2" i="17"/>
  <c r="EQ2" i="17"/>
  <c r="EP2" i="17"/>
  <c r="EO2" i="17"/>
  <c r="EN2" i="17"/>
  <c r="EM2" i="17"/>
  <c r="EL2" i="17"/>
  <c r="EK2" i="17"/>
  <c r="EJ2" i="17"/>
  <c r="EI2" i="17"/>
  <c r="EH2" i="17"/>
  <c r="EG2" i="17"/>
  <c r="EF2" i="17"/>
  <c r="EE2" i="17"/>
  <c r="ED2" i="17"/>
  <c r="EC2" i="17"/>
  <c r="EB2" i="17"/>
  <c r="EA2" i="17"/>
  <c r="DZ2" i="17"/>
  <c r="DY2" i="17"/>
  <c r="DX2" i="17"/>
  <c r="DW2" i="17"/>
  <c r="DV2" i="17"/>
  <c r="DU2" i="17"/>
  <c r="DT2" i="17"/>
  <c r="DS2" i="17"/>
  <c r="DR2" i="17"/>
  <c r="DQ2" i="17"/>
  <c r="DP2" i="17"/>
  <c r="DO2" i="17"/>
  <c r="DN2" i="17"/>
  <c r="DM2" i="17"/>
  <c r="DL2" i="17"/>
  <c r="DK2" i="17"/>
  <c r="DJ2" i="17"/>
  <c r="DI2" i="17"/>
  <c r="DH2" i="17"/>
  <c r="DG2" i="17"/>
  <c r="DF2" i="17"/>
  <c r="DE2" i="17"/>
  <c r="DD2" i="17"/>
  <c r="DC2" i="17"/>
  <c r="DB2" i="17"/>
  <c r="DA2" i="17"/>
  <c r="CZ2" i="17"/>
  <c r="CY2" i="17"/>
  <c r="CX2" i="17"/>
  <c r="CW2" i="17"/>
  <c r="CV2" i="17"/>
  <c r="CU2" i="17"/>
  <c r="CT2" i="17"/>
  <c r="CS2" i="17"/>
  <c r="CR2" i="17"/>
  <c r="CQ2" i="17"/>
  <c r="CP2" i="17"/>
  <c r="CO2" i="17"/>
  <c r="CN2" i="17"/>
  <c r="CM2" i="17"/>
  <c r="CL2" i="17"/>
  <c r="CK2" i="17"/>
  <c r="CJ2" i="17"/>
  <c r="CI2" i="17"/>
  <c r="CH2" i="17"/>
  <c r="CG2" i="17"/>
  <c r="CF2" i="17"/>
  <c r="CE2" i="17"/>
  <c r="CD2" i="17"/>
  <c r="CC2" i="17"/>
  <c r="CB2" i="17"/>
  <c r="CA2" i="17"/>
  <c r="BZ2" i="17"/>
  <c r="BY2" i="17"/>
  <c r="BX2" i="17"/>
  <c r="BW2" i="17"/>
  <c r="BV2" i="17"/>
  <c r="BU2" i="17"/>
  <c r="BT2" i="17"/>
  <c r="BS2" i="17"/>
  <c r="BR2" i="17"/>
  <c r="BQ2" i="17"/>
  <c r="BP2" i="17"/>
  <c r="BO2" i="17"/>
  <c r="BN2" i="17"/>
  <c r="BM2" i="17"/>
  <c r="BL2" i="17"/>
  <c r="BK2" i="17"/>
  <c r="BJ2" i="17"/>
  <c r="BI2" i="17"/>
  <c r="BH2" i="17"/>
  <c r="BG2" i="17"/>
  <c r="BF2" i="17"/>
  <c r="BE2" i="17"/>
  <c r="BD2" i="17"/>
  <c r="BC2" i="17"/>
  <c r="BB2" i="17"/>
  <c r="BA2" i="17"/>
  <c r="AZ2" i="17"/>
  <c r="AY2" i="17"/>
  <c r="AX2" i="17"/>
  <c r="AW2" i="17"/>
  <c r="AV2" i="17"/>
  <c r="AU2" i="17"/>
  <c r="AT2" i="17"/>
  <c r="AS2" i="17"/>
  <c r="AR2" i="17"/>
  <c r="AQ2" i="17"/>
  <c r="AP2" i="17"/>
  <c r="AO2" i="17"/>
  <c r="AN2" i="17"/>
  <c r="AM2" i="17"/>
  <c r="AL2" i="17"/>
  <c r="AK2" i="17"/>
  <c r="AJ2" i="17"/>
  <c r="AI2" i="17"/>
  <c r="AH2" i="17"/>
  <c r="AG2" i="17"/>
  <c r="AF2" i="17"/>
  <c r="AE2" i="17"/>
  <c r="AD2" i="17"/>
  <c r="AC2" i="17"/>
  <c r="AB2" i="17"/>
  <c r="AA2" i="17"/>
  <c r="Z2" i="17"/>
  <c r="Y2" i="17"/>
  <c r="X2" i="17"/>
  <c r="W2" i="17"/>
  <c r="V2" i="17"/>
  <c r="U2" i="17"/>
  <c r="T2" i="17"/>
  <c r="S2" i="17"/>
  <c r="R2" i="17"/>
  <c r="Q2" i="17"/>
  <c r="P2" i="17"/>
  <c r="O2" i="17"/>
  <c r="N2" i="17"/>
  <c r="M2" i="17"/>
  <c r="L2" i="17"/>
  <c r="K2" i="17"/>
  <c r="J2" i="17"/>
  <c r="I2" i="17"/>
  <c r="H2" i="17"/>
  <c r="G2" i="17"/>
  <c r="F2" i="17"/>
  <c r="E2" i="17"/>
  <c r="KC49" i="16"/>
  <c r="KB49" i="16"/>
  <c r="KA49" i="16"/>
  <c r="JZ49" i="16"/>
  <c r="JY49" i="16"/>
  <c r="JX49" i="16"/>
  <c r="JW49" i="16"/>
  <c r="JV49" i="16"/>
  <c r="JU49" i="16"/>
  <c r="JT49" i="16"/>
  <c r="JS49" i="16"/>
  <c r="JR49" i="16"/>
  <c r="JQ49" i="16"/>
  <c r="JP49" i="16"/>
  <c r="JO49" i="16"/>
  <c r="JN49" i="16"/>
  <c r="JM49" i="16"/>
  <c r="JL49" i="16"/>
  <c r="JK49" i="16"/>
  <c r="JJ49" i="16"/>
  <c r="JI49" i="16"/>
  <c r="JH49" i="16"/>
  <c r="JG49" i="16"/>
  <c r="JF49" i="16"/>
  <c r="JE49" i="16"/>
  <c r="JD49" i="16"/>
  <c r="JC49" i="16"/>
  <c r="JB49" i="16"/>
  <c r="JA49" i="16"/>
  <c r="IZ49" i="16"/>
  <c r="IY49" i="16"/>
  <c r="IX49" i="16"/>
  <c r="IW49" i="16"/>
  <c r="IV49" i="16"/>
  <c r="IU49" i="16"/>
  <c r="IT49" i="16"/>
  <c r="IS49" i="16"/>
  <c r="IR49" i="16"/>
  <c r="IQ49" i="16"/>
  <c r="IP49" i="16"/>
  <c r="IO49" i="16"/>
  <c r="IN49" i="16"/>
  <c r="IM49" i="16"/>
  <c r="IL49" i="16"/>
  <c r="IK49" i="16"/>
  <c r="IJ49" i="16"/>
  <c r="II49" i="16"/>
  <c r="IH49" i="16"/>
  <c r="IG49" i="16"/>
  <c r="IF49" i="16"/>
  <c r="IE49" i="16"/>
  <c r="ID49" i="16"/>
  <c r="IC49" i="16"/>
  <c r="IB49" i="16"/>
  <c r="IA49" i="16"/>
  <c r="HZ49" i="16"/>
  <c r="HY49" i="16"/>
  <c r="HX49" i="16"/>
  <c r="HW49" i="16"/>
  <c r="HV49" i="16"/>
  <c r="HU49" i="16"/>
  <c r="HT49" i="16"/>
  <c r="HS49" i="16"/>
  <c r="HR49" i="16"/>
  <c r="HQ49" i="16"/>
  <c r="HP49" i="16"/>
  <c r="HO49" i="16"/>
  <c r="HN49" i="16"/>
  <c r="HM49" i="16"/>
  <c r="HL49" i="16"/>
  <c r="HK49" i="16"/>
  <c r="HJ49" i="16"/>
  <c r="HI49" i="16"/>
  <c r="HH49" i="16"/>
  <c r="HG49" i="16"/>
  <c r="HF49" i="16"/>
  <c r="HE49" i="16"/>
  <c r="KC48" i="16"/>
  <c r="KB48" i="16"/>
  <c r="KA48" i="16"/>
  <c r="JZ48" i="16"/>
  <c r="JY48" i="16"/>
  <c r="JX48" i="16"/>
  <c r="JW48" i="16"/>
  <c r="JV48" i="16"/>
  <c r="JU48" i="16"/>
  <c r="JT48" i="16"/>
  <c r="JS48" i="16"/>
  <c r="JR48" i="16"/>
  <c r="JQ48" i="16"/>
  <c r="JP48" i="16"/>
  <c r="JO48" i="16"/>
  <c r="JN48" i="16"/>
  <c r="JM48" i="16"/>
  <c r="JL48" i="16"/>
  <c r="JK48" i="16"/>
  <c r="JJ48" i="16"/>
  <c r="JI48" i="16"/>
  <c r="JH48" i="16"/>
  <c r="JG48" i="16"/>
  <c r="JF48" i="16"/>
  <c r="JE48" i="16"/>
  <c r="JD48" i="16"/>
  <c r="JC48" i="16"/>
  <c r="JB48" i="16"/>
  <c r="JA48" i="16"/>
  <c r="IZ48" i="16"/>
  <c r="IY48" i="16"/>
  <c r="IX48" i="16"/>
  <c r="IW48" i="16"/>
  <c r="IV48" i="16"/>
  <c r="IU48" i="16"/>
  <c r="IT48" i="16"/>
  <c r="IS48" i="16"/>
  <c r="IR48" i="16"/>
  <c r="IQ48" i="16"/>
  <c r="IP48" i="16"/>
  <c r="IO48" i="16"/>
  <c r="IN48" i="16"/>
  <c r="IM48" i="16"/>
  <c r="IL48" i="16"/>
  <c r="IK48" i="16"/>
  <c r="IJ48" i="16"/>
  <c r="II48" i="16"/>
  <c r="IH48" i="16"/>
  <c r="IG48" i="16"/>
  <c r="IF48" i="16"/>
  <c r="IE48" i="16"/>
  <c r="ID48" i="16"/>
  <c r="IC48" i="16"/>
  <c r="IB48" i="16"/>
  <c r="IA48" i="16"/>
  <c r="HZ48" i="16"/>
  <c r="HY48" i="16"/>
  <c r="HX48" i="16"/>
  <c r="HW48" i="16"/>
  <c r="HV48" i="16"/>
  <c r="HU48" i="16"/>
  <c r="HT48" i="16"/>
  <c r="HS48" i="16"/>
  <c r="HR48" i="16"/>
  <c r="HQ48" i="16"/>
  <c r="HP48" i="16"/>
  <c r="HO48" i="16"/>
  <c r="HN48" i="16"/>
  <c r="HM48" i="16"/>
  <c r="HL48" i="16"/>
  <c r="HK48" i="16"/>
  <c r="HJ48" i="16"/>
  <c r="HI48" i="16"/>
  <c r="HH48" i="16"/>
  <c r="HG48" i="16"/>
  <c r="HF48" i="16"/>
  <c r="HE48" i="16"/>
  <c r="KC47" i="16"/>
  <c r="KB47" i="16"/>
  <c r="KA47" i="16"/>
  <c r="JZ47" i="16"/>
  <c r="JY47" i="16"/>
  <c r="JX47" i="16"/>
  <c r="JW47" i="16"/>
  <c r="JV47" i="16"/>
  <c r="JU47" i="16"/>
  <c r="JT47" i="16"/>
  <c r="JS47" i="16"/>
  <c r="JR47" i="16"/>
  <c r="JQ47" i="16"/>
  <c r="JP47" i="16"/>
  <c r="JO47" i="16"/>
  <c r="JN47" i="16"/>
  <c r="JM47" i="16"/>
  <c r="JL47" i="16"/>
  <c r="JK47" i="16"/>
  <c r="JJ47" i="16"/>
  <c r="JI47" i="16"/>
  <c r="JH47" i="16"/>
  <c r="JG47" i="16"/>
  <c r="JF47" i="16"/>
  <c r="JE47" i="16"/>
  <c r="JD47" i="16"/>
  <c r="JC47" i="16"/>
  <c r="JB47" i="16"/>
  <c r="JA47" i="16"/>
  <c r="IZ47" i="16"/>
  <c r="IY47" i="16"/>
  <c r="IX47" i="16"/>
  <c r="IW47" i="16"/>
  <c r="IV47" i="16"/>
  <c r="IU47" i="16"/>
  <c r="IT47" i="16"/>
  <c r="IS47" i="16"/>
  <c r="IR47" i="16"/>
  <c r="IQ47" i="16"/>
  <c r="IP47" i="16"/>
  <c r="IO47" i="16"/>
  <c r="IN47" i="16"/>
  <c r="IM47" i="16"/>
  <c r="IL47" i="16"/>
  <c r="IK47" i="16"/>
  <c r="IJ47" i="16"/>
  <c r="II47" i="16"/>
  <c r="IH47" i="16"/>
  <c r="IG47" i="16"/>
  <c r="IF47" i="16"/>
  <c r="IE47" i="16"/>
  <c r="ID47" i="16"/>
  <c r="IC47" i="16"/>
  <c r="IB47" i="16"/>
  <c r="IA47" i="16"/>
  <c r="HZ47" i="16"/>
  <c r="HY47" i="16"/>
  <c r="HX47" i="16"/>
  <c r="HW47" i="16"/>
  <c r="HV47" i="16"/>
  <c r="HU47" i="16"/>
  <c r="HT47" i="16"/>
  <c r="HS47" i="16"/>
  <c r="HR47" i="16"/>
  <c r="HQ47" i="16"/>
  <c r="HP47" i="16"/>
  <c r="HO47" i="16"/>
  <c r="HN47" i="16"/>
  <c r="HM47" i="16"/>
  <c r="HL47" i="16"/>
  <c r="HK47" i="16"/>
  <c r="HJ47" i="16"/>
  <c r="HI47" i="16"/>
  <c r="HH47" i="16"/>
  <c r="HG47" i="16"/>
  <c r="HF47" i="16"/>
  <c r="HE47" i="16"/>
  <c r="KC46" i="16"/>
  <c r="KB46" i="16"/>
  <c r="KA46" i="16"/>
  <c r="JZ46" i="16"/>
  <c r="JY46" i="16"/>
  <c r="JX46" i="16"/>
  <c r="JW46" i="16"/>
  <c r="JV46" i="16"/>
  <c r="JU46" i="16"/>
  <c r="JT46" i="16"/>
  <c r="JS46" i="16"/>
  <c r="JR46" i="16"/>
  <c r="JQ46" i="16"/>
  <c r="JP46" i="16"/>
  <c r="JO46" i="16"/>
  <c r="JN46" i="16"/>
  <c r="JM46" i="16"/>
  <c r="JL46" i="16"/>
  <c r="JK46" i="16"/>
  <c r="JJ46" i="16"/>
  <c r="JI46" i="16"/>
  <c r="JH46" i="16"/>
  <c r="JG46" i="16"/>
  <c r="JF46" i="16"/>
  <c r="JE46" i="16"/>
  <c r="JD46" i="16"/>
  <c r="JC46" i="16"/>
  <c r="JB46" i="16"/>
  <c r="JA46" i="16"/>
  <c r="IZ46" i="16"/>
  <c r="IY46" i="16"/>
  <c r="IX46" i="16"/>
  <c r="IW46" i="16"/>
  <c r="IV46" i="16"/>
  <c r="IU46" i="16"/>
  <c r="IT46" i="16"/>
  <c r="IS46" i="16"/>
  <c r="IR46" i="16"/>
  <c r="IQ46" i="16"/>
  <c r="IP46" i="16"/>
  <c r="IO46" i="16"/>
  <c r="IN46" i="16"/>
  <c r="IM46" i="16"/>
  <c r="IL46" i="16"/>
  <c r="IK46" i="16"/>
  <c r="IJ46" i="16"/>
  <c r="II46" i="16"/>
  <c r="IH46" i="16"/>
  <c r="IG46" i="16"/>
  <c r="IF46" i="16"/>
  <c r="IE46" i="16"/>
  <c r="ID46" i="16"/>
  <c r="IC46" i="16"/>
  <c r="IB46" i="16"/>
  <c r="IA46" i="16"/>
  <c r="HZ46" i="16"/>
  <c r="HY46" i="16"/>
  <c r="HX46" i="16"/>
  <c r="HW46" i="16"/>
  <c r="HV46" i="16"/>
  <c r="HU46" i="16"/>
  <c r="HT46" i="16"/>
  <c r="HS46" i="16"/>
  <c r="HR46" i="16"/>
  <c r="HQ46" i="16"/>
  <c r="HP46" i="16"/>
  <c r="HO46" i="16"/>
  <c r="HN46" i="16"/>
  <c r="HM46" i="16"/>
  <c r="HL46" i="16"/>
  <c r="HK46" i="16"/>
  <c r="HJ46" i="16"/>
  <c r="HI46" i="16"/>
  <c r="HH46" i="16"/>
  <c r="HG46" i="16"/>
  <c r="HF46" i="16"/>
  <c r="HE46" i="16"/>
  <c r="KC45" i="16"/>
  <c r="KB45" i="16"/>
  <c r="KA45" i="16"/>
  <c r="JZ45" i="16"/>
  <c r="JY45" i="16"/>
  <c r="JX45" i="16"/>
  <c r="JW45" i="16"/>
  <c r="JV45" i="16"/>
  <c r="JU45" i="16"/>
  <c r="JT45" i="16"/>
  <c r="JS45" i="16"/>
  <c r="JR45" i="16"/>
  <c r="JQ45" i="16"/>
  <c r="JP45" i="16"/>
  <c r="JO45" i="16"/>
  <c r="JN45" i="16"/>
  <c r="JM45" i="16"/>
  <c r="JL45" i="16"/>
  <c r="JK45" i="16"/>
  <c r="JJ45" i="16"/>
  <c r="JI45" i="16"/>
  <c r="JH45" i="16"/>
  <c r="JG45" i="16"/>
  <c r="JF45" i="16"/>
  <c r="JE45" i="16"/>
  <c r="JD45" i="16"/>
  <c r="JC45" i="16"/>
  <c r="JB45" i="16"/>
  <c r="JA45" i="16"/>
  <c r="IZ45" i="16"/>
  <c r="IY45" i="16"/>
  <c r="IX45" i="16"/>
  <c r="IW45" i="16"/>
  <c r="IV45" i="16"/>
  <c r="IU45" i="16"/>
  <c r="IT45" i="16"/>
  <c r="IS45" i="16"/>
  <c r="IR45" i="16"/>
  <c r="IQ45" i="16"/>
  <c r="IP45" i="16"/>
  <c r="IO45" i="16"/>
  <c r="IN45" i="16"/>
  <c r="IM45" i="16"/>
  <c r="IL45" i="16"/>
  <c r="IK45" i="16"/>
  <c r="IJ45" i="16"/>
  <c r="II45" i="16"/>
  <c r="IH45" i="16"/>
  <c r="IG45" i="16"/>
  <c r="IF45" i="16"/>
  <c r="IE45" i="16"/>
  <c r="ID45" i="16"/>
  <c r="IC45" i="16"/>
  <c r="IB45" i="16"/>
  <c r="IA45" i="16"/>
  <c r="HZ45" i="16"/>
  <c r="HY45" i="16"/>
  <c r="HX45" i="16"/>
  <c r="HW45" i="16"/>
  <c r="HV45" i="16"/>
  <c r="HU45" i="16"/>
  <c r="HT45" i="16"/>
  <c r="HS45" i="16"/>
  <c r="HR45" i="16"/>
  <c r="HQ45" i="16"/>
  <c r="HP45" i="16"/>
  <c r="HO45" i="16"/>
  <c r="HN45" i="16"/>
  <c r="HM45" i="16"/>
  <c r="HL45" i="16"/>
  <c r="HK45" i="16"/>
  <c r="HJ45" i="16"/>
  <c r="HI45" i="16"/>
  <c r="HH45" i="16"/>
  <c r="HG45" i="16"/>
  <c r="HF45" i="16"/>
  <c r="HE45" i="16"/>
  <c r="KC44" i="16"/>
  <c r="KB44" i="16"/>
  <c r="KA44" i="16"/>
  <c r="JZ44" i="16"/>
  <c r="JY44" i="16"/>
  <c r="JX44" i="16"/>
  <c r="JW44" i="16"/>
  <c r="JV44" i="16"/>
  <c r="JU44" i="16"/>
  <c r="JT44" i="16"/>
  <c r="JS44" i="16"/>
  <c r="JR44" i="16"/>
  <c r="JQ44" i="16"/>
  <c r="JP44" i="16"/>
  <c r="JO44" i="16"/>
  <c r="JN44" i="16"/>
  <c r="JM44" i="16"/>
  <c r="JL44" i="16"/>
  <c r="JK44" i="16"/>
  <c r="JJ44" i="16"/>
  <c r="JI44" i="16"/>
  <c r="JH44" i="16"/>
  <c r="JG44" i="16"/>
  <c r="JF44" i="16"/>
  <c r="JE44" i="16"/>
  <c r="JD44" i="16"/>
  <c r="JC44" i="16"/>
  <c r="JB44" i="16"/>
  <c r="JA44" i="16"/>
  <c r="IZ44" i="16"/>
  <c r="IY44" i="16"/>
  <c r="IX44" i="16"/>
  <c r="IW44" i="16"/>
  <c r="IV44" i="16"/>
  <c r="IU44" i="16"/>
  <c r="IT44" i="16"/>
  <c r="IS44" i="16"/>
  <c r="IR44" i="16"/>
  <c r="IQ44" i="16"/>
  <c r="IP44" i="16"/>
  <c r="IO44" i="16"/>
  <c r="IN44" i="16"/>
  <c r="IM44" i="16"/>
  <c r="IL44" i="16"/>
  <c r="IK44" i="16"/>
  <c r="IJ44" i="16"/>
  <c r="II44" i="16"/>
  <c r="IH44" i="16"/>
  <c r="IG44" i="16"/>
  <c r="IF44" i="16"/>
  <c r="IE44" i="16"/>
  <c r="ID44" i="16"/>
  <c r="IC44" i="16"/>
  <c r="IB44" i="16"/>
  <c r="IA44" i="16"/>
  <c r="HZ44" i="16"/>
  <c r="HY44" i="16"/>
  <c r="HX44" i="16"/>
  <c r="HW44" i="16"/>
  <c r="HV44" i="16"/>
  <c r="HU44" i="16"/>
  <c r="HT44" i="16"/>
  <c r="HS44" i="16"/>
  <c r="HR44" i="16"/>
  <c r="HQ44" i="16"/>
  <c r="HP44" i="16"/>
  <c r="HO44" i="16"/>
  <c r="HN44" i="16"/>
  <c r="HM44" i="16"/>
  <c r="HL44" i="16"/>
  <c r="HK44" i="16"/>
  <c r="HJ44" i="16"/>
  <c r="HI44" i="16"/>
  <c r="HH44" i="16"/>
  <c r="HG44" i="16"/>
  <c r="HF44" i="16"/>
  <c r="HE44" i="16"/>
  <c r="KC43" i="16"/>
  <c r="KB43" i="16"/>
  <c r="KA43" i="16"/>
  <c r="JZ43" i="16"/>
  <c r="JY43" i="16"/>
  <c r="JX43" i="16"/>
  <c r="JW43" i="16"/>
  <c r="JV43" i="16"/>
  <c r="JU43" i="16"/>
  <c r="JT43" i="16"/>
  <c r="JS43" i="16"/>
  <c r="JR43" i="16"/>
  <c r="JQ43" i="16"/>
  <c r="JP43" i="16"/>
  <c r="JO43" i="16"/>
  <c r="JN43" i="16"/>
  <c r="JM43" i="16"/>
  <c r="JL43" i="16"/>
  <c r="JK43" i="16"/>
  <c r="JJ43" i="16"/>
  <c r="JI43" i="16"/>
  <c r="JH43" i="16"/>
  <c r="JG43" i="16"/>
  <c r="JF43" i="16"/>
  <c r="JE43" i="16"/>
  <c r="JD43" i="16"/>
  <c r="JC43" i="16"/>
  <c r="JB43" i="16"/>
  <c r="JA43" i="16"/>
  <c r="IZ43" i="16"/>
  <c r="IY43" i="16"/>
  <c r="IX43" i="16"/>
  <c r="IW43" i="16"/>
  <c r="IV43" i="16"/>
  <c r="IU43" i="16"/>
  <c r="IT43" i="16"/>
  <c r="IS43" i="16"/>
  <c r="IR43" i="16"/>
  <c r="IQ43" i="16"/>
  <c r="IP43" i="16"/>
  <c r="IO43" i="16"/>
  <c r="IN43" i="16"/>
  <c r="IM43" i="16"/>
  <c r="IL43" i="16"/>
  <c r="IK43" i="16"/>
  <c r="IJ43" i="16"/>
  <c r="II43" i="16"/>
  <c r="IH43" i="16"/>
  <c r="IG43" i="16"/>
  <c r="IF43" i="16"/>
  <c r="IE43" i="16"/>
  <c r="ID43" i="16"/>
  <c r="IC43" i="16"/>
  <c r="IB43" i="16"/>
  <c r="IA43" i="16"/>
  <c r="HZ43" i="16"/>
  <c r="HY43" i="16"/>
  <c r="HX43" i="16"/>
  <c r="HW43" i="16"/>
  <c r="HV43" i="16"/>
  <c r="HU43" i="16"/>
  <c r="HT43" i="16"/>
  <c r="HS43" i="16"/>
  <c r="HR43" i="16"/>
  <c r="HQ43" i="16"/>
  <c r="HP43" i="16"/>
  <c r="HO43" i="16"/>
  <c r="HN43" i="16"/>
  <c r="HM43" i="16"/>
  <c r="HL43" i="16"/>
  <c r="HK43" i="16"/>
  <c r="HJ43" i="16"/>
  <c r="HI43" i="16"/>
  <c r="HH43" i="16"/>
  <c r="HG43" i="16"/>
  <c r="HF43" i="16"/>
  <c r="HE43" i="16"/>
  <c r="KC42" i="16"/>
  <c r="KB42" i="16"/>
  <c r="KA42" i="16"/>
  <c r="JZ42" i="16"/>
  <c r="JY42" i="16"/>
  <c r="JX42" i="16"/>
  <c r="JW42" i="16"/>
  <c r="JV42" i="16"/>
  <c r="JU42" i="16"/>
  <c r="JT42" i="16"/>
  <c r="JS42" i="16"/>
  <c r="JR42" i="16"/>
  <c r="JQ42" i="16"/>
  <c r="JP42" i="16"/>
  <c r="JO42" i="16"/>
  <c r="JN42" i="16"/>
  <c r="JM42" i="16"/>
  <c r="JL42" i="16"/>
  <c r="JK42" i="16"/>
  <c r="JJ42" i="16"/>
  <c r="JI42" i="16"/>
  <c r="JH42" i="16"/>
  <c r="JG42" i="16"/>
  <c r="JF42" i="16"/>
  <c r="JE42" i="16"/>
  <c r="JD42" i="16"/>
  <c r="JC42" i="16"/>
  <c r="JB42" i="16"/>
  <c r="JA42" i="16"/>
  <c r="IZ42" i="16"/>
  <c r="IY42" i="16"/>
  <c r="IX42" i="16"/>
  <c r="IW42" i="16"/>
  <c r="IV42" i="16"/>
  <c r="IU42" i="16"/>
  <c r="IT42" i="16"/>
  <c r="IS42" i="16"/>
  <c r="IR42" i="16"/>
  <c r="IQ42" i="16"/>
  <c r="IP42" i="16"/>
  <c r="IO42" i="16"/>
  <c r="IN42" i="16"/>
  <c r="IM42" i="16"/>
  <c r="IL42" i="16"/>
  <c r="IK42" i="16"/>
  <c r="IJ42" i="16"/>
  <c r="II42" i="16"/>
  <c r="IH42" i="16"/>
  <c r="IG42" i="16"/>
  <c r="IF42" i="16"/>
  <c r="IE42" i="16"/>
  <c r="ID42" i="16"/>
  <c r="IC42" i="16"/>
  <c r="IB42" i="16"/>
  <c r="IA42" i="16"/>
  <c r="HZ42" i="16"/>
  <c r="HY42" i="16"/>
  <c r="HX42" i="16"/>
  <c r="HW42" i="16"/>
  <c r="HV42" i="16"/>
  <c r="HU42" i="16"/>
  <c r="HT42" i="16"/>
  <c r="HS42" i="16"/>
  <c r="HR42" i="16"/>
  <c r="HQ42" i="16"/>
  <c r="HP42" i="16"/>
  <c r="HO42" i="16"/>
  <c r="HN42" i="16"/>
  <c r="HM42" i="16"/>
  <c r="HL42" i="16"/>
  <c r="HK42" i="16"/>
  <c r="HJ42" i="16"/>
  <c r="HI42" i="16"/>
  <c r="HH42" i="16"/>
  <c r="HG42" i="16"/>
  <c r="HF42" i="16"/>
  <c r="HE42" i="16"/>
  <c r="KC41" i="16"/>
  <c r="KB41" i="16"/>
  <c r="KA41" i="16"/>
  <c r="JZ41" i="16"/>
  <c r="JY41" i="16"/>
  <c r="JX41" i="16"/>
  <c r="JW41" i="16"/>
  <c r="JV41" i="16"/>
  <c r="JU41" i="16"/>
  <c r="JT41" i="16"/>
  <c r="JS41" i="16"/>
  <c r="JR41" i="16"/>
  <c r="JQ41" i="16"/>
  <c r="JP41" i="16"/>
  <c r="JO41" i="16"/>
  <c r="JN41" i="16"/>
  <c r="JM41" i="16"/>
  <c r="JL41" i="16"/>
  <c r="JK41" i="16"/>
  <c r="JJ41" i="16"/>
  <c r="JI41" i="16"/>
  <c r="JH41" i="16"/>
  <c r="JG41" i="16"/>
  <c r="JF41" i="16"/>
  <c r="JE41" i="16"/>
  <c r="JD41" i="16"/>
  <c r="JC41" i="16"/>
  <c r="JB41" i="16"/>
  <c r="JA41" i="16"/>
  <c r="IZ41" i="16"/>
  <c r="IY41" i="16"/>
  <c r="IX41" i="16"/>
  <c r="IW41" i="16"/>
  <c r="IV41" i="16"/>
  <c r="IU41" i="16"/>
  <c r="IT41" i="16"/>
  <c r="IS41" i="16"/>
  <c r="IR41" i="16"/>
  <c r="IQ41" i="16"/>
  <c r="IP41" i="16"/>
  <c r="IO41" i="16"/>
  <c r="IN41" i="16"/>
  <c r="IM41" i="16"/>
  <c r="IL41" i="16"/>
  <c r="IK41" i="16"/>
  <c r="IJ41" i="16"/>
  <c r="II41" i="16"/>
  <c r="IH41" i="16"/>
  <c r="IG41" i="16"/>
  <c r="IF41" i="16"/>
  <c r="IE41" i="16"/>
  <c r="ID41" i="16"/>
  <c r="IC41" i="16"/>
  <c r="IB41" i="16"/>
  <c r="IA41" i="16"/>
  <c r="HZ41" i="16"/>
  <c r="HY41" i="16"/>
  <c r="HX41" i="16"/>
  <c r="HW41" i="16"/>
  <c r="HV41" i="16"/>
  <c r="HU41" i="16"/>
  <c r="HT41" i="16"/>
  <c r="HS41" i="16"/>
  <c r="HR41" i="16"/>
  <c r="HQ41" i="16"/>
  <c r="HP41" i="16"/>
  <c r="HO41" i="16"/>
  <c r="HN41" i="16"/>
  <c r="HM41" i="16"/>
  <c r="HL41" i="16"/>
  <c r="HK41" i="16"/>
  <c r="HJ41" i="16"/>
  <c r="HI41" i="16"/>
  <c r="HH41" i="16"/>
  <c r="HG41" i="16"/>
  <c r="HF41" i="16"/>
  <c r="HE41" i="16"/>
  <c r="KC40" i="16"/>
  <c r="KB40" i="16"/>
  <c r="KA40" i="16"/>
  <c r="JZ40" i="16"/>
  <c r="JY40" i="16"/>
  <c r="JX40" i="16"/>
  <c r="JW40" i="16"/>
  <c r="JV40" i="16"/>
  <c r="JU40" i="16"/>
  <c r="JT40" i="16"/>
  <c r="JS40" i="16"/>
  <c r="JR40" i="16"/>
  <c r="JQ40" i="16"/>
  <c r="JP40" i="16"/>
  <c r="JO40" i="16"/>
  <c r="JN40" i="16"/>
  <c r="JM40" i="16"/>
  <c r="JL40" i="16"/>
  <c r="JK40" i="16"/>
  <c r="JJ40" i="16"/>
  <c r="JI40" i="16"/>
  <c r="JH40" i="16"/>
  <c r="JG40" i="16"/>
  <c r="JF40" i="16"/>
  <c r="JE40" i="16"/>
  <c r="JD40" i="16"/>
  <c r="JC40" i="16"/>
  <c r="JB40" i="16"/>
  <c r="JA40" i="16"/>
  <c r="IZ40" i="16"/>
  <c r="IY40" i="16"/>
  <c r="IX40" i="16"/>
  <c r="IW40" i="16"/>
  <c r="IV40" i="16"/>
  <c r="IU40" i="16"/>
  <c r="IT40" i="16"/>
  <c r="IS40" i="16"/>
  <c r="IR40" i="16"/>
  <c r="IQ40" i="16"/>
  <c r="IP40" i="16"/>
  <c r="IO40" i="16"/>
  <c r="IN40" i="16"/>
  <c r="IM40" i="16"/>
  <c r="IL40" i="16"/>
  <c r="IK40" i="16"/>
  <c r="IJ40" i="16"/>
  <c r="II40" i="16"/>
  <c r="IH40" i="16"/>
  <c r="IG40" i="16"/>
  <c r="IF40" i="16"/>
  <c r="IE40" i="16"/>
  <c r="ID40" i="16"/>
  <c r="IC40" i="16"/>
  <c r="IB40" i="16"/>
  <c r="IA40" i="16"/>
  <c r="HZ40" i="16"/>
  <c r="HY40" i="16"/>
  <c r="HX40" i="16"/>
  <c r="HW40" i="16"/>
  <c r="HV40" i="16"/>
  <c r="HU40" i="16"/>
  <c r="HT40" i="16"/>
  <c r="HS40" i="16"/>
  <c r="HR40" i="16"/>
  <c r="HQ40" i="16"/>
  <c r="HP40" i="16"/>
  <c r="HO40" i="16"/>
  <c r="HN40" i="16"/>
  <c r="HM40" i="16"/>
  <c r="HL40" i="16"/>
  <c r="HK40" i="16"/>
  <c r="HJ40" i="16"/>
  <c r="HI40" i="16"/>
  <c r="HH40" i="16"/>
  <c r="HG40" i="16"/>
  <c r="HF40" i="16"/>
  <c r="HE40" i="16"/>
  <c r="KC39" i="16"/>
  <c r="KB39" i="16"/>
  <c r="KA39" i="16"/>
  <c r="JZ39" i="16"/>
  <c r="JY39" i="16"/>
  <c r="JX39" i="16"/>
  <c r="JW39" i="16"/>
  <c r="JV39" i="16"/>
  <c r="JU39" i="16"/>
  <c r="JT39" i="16"/>
  <c r="JS39" i="16"/>
  <c r="JR39" i="16"/>
  <c r="JQ39" i="16"/>
  <c r="JP39" i="16"/>
  <c r="JO39" i="16"/>
  <c r="JN39" i="16"/>
  <c r="JM39" i="16"/>
  <c r="JL39" i="16"/>
  <c r="JK39" i="16"/>
  <c r="JJ39" i="16"/>
  <c r="JI39" i="16"/>
  <c r="JH39" i="16"/>
  <c r="JG39" i="16"/>
  <c r="JF39" i="16"/>
  <c r="JE39" i="16"/>
  <c r="JD39" i="16"/>
  <c r="JC39" i="16"/>
  <c r="JB39" i="16"/>
  <c r="JA39" i="16"/>
  <c r="IZ39" i="16"/>
  <c r="IY39" i="16"/>
  <c r="IX39" i="16"/>
  <c r="IW39" i="16"/>
  <c r="IV39" i="16"/>
  <c r="IU39" i="16"/>
  <c r="IT39" i="16"/>
  <c r="IS39" i="16"/>
  <c r="IR39" i="16"/>
  <c r="IQ39" i="16"/>
  <c r="IP39" i="16"/>
  <c r="IO39" i="16"/>
  <c r="IN39" i="16"/>
  <c r="IM39" i="16"/>
  <c r="IL39" i="16"/>
  <c r="IK39" i="16"/>
  <c r="IJ39" i="16"/>
  <c r="II39" i="16"/>
  <c r="IH39" i="16"/>
  <c r="IG39" i="16"/>
  <c r="IF39" i="16"/>
  <c r="IE39" i="16"/>
  <c r="ID39" i="16"/>
  <c r="IC39" i="16"/>
  <c r="IB39" i="16"/>
  <c r="IA39" i="16"/>
  <c r="HZ39" i="16"/>
  <c r="HY39" i="16"/>
  <c r="HX39" i="16"/>
  <c r="HW39" i="16"/>
  <c r="HV39" i="16"/>
  <c r="HU39" i="16"/>
  <c r="HT39" i="16"/>
  <c r="HS39" i="16"/>
  <c r="HR39" i="16"/>
  <c r="HQ39" i="16"/>
  <c r="HP39" i="16"/>
  <c r="HO39" i="16"/>
  <c r="HN39" i="16"/>
  <c r="HM39" i="16"/>
  <c r="HL39" i="16"/>
  <c r="HK39" i="16"/>
  <c r="HJ39" i="16"/>
  <c r="HI39" i="16"/>
  <c r="HH39" i="16"/>
  <c r="HG39" i="16"/>
  <c r="HF39" i="16"/>
  <c r="HE39" i="16"/>
  <c r="KC38" i="16"/>
  <c r="KB38" i="16"/>
  <c r="KA38" i="16"/>
  <c r="JZ38" i="16"/>
  <c r="JY38" i="16"/>
  <c r="JX38" i="16"/>
  <c r="JW38" i="16"/>
  <c r="JV38" i="16"/>
  <c r="JU38" i="16"/>
  <c r="JT38" i="16"/>
  <c r="JS38" i="16"/>
  <c r="JR38" i="16"/>
  <c r="JQ38" i="16"/>
  <c r="JP38" i="16"/>
  <c r="JO38" i="16"/>
  <c r="JN38" i="16"/>
  <c r="JM38" i="16"/>
  <c r="JL38" i="16"/>
  <c r="JK38" i="16"/>
  <c r="JJ38" i="16"/>
  <c r="JI38" i="16"/>
  <c r="JH38" i="16"/>
  <c r="JG38" i="16"/>
  <c r="JF38" i="16"/>
  <c r="JE38" i="16"/>
  <c r="JD38" i="16"/>
  <c r="JC38" i="16"/>
  <c r="JB38" i="16"/>
  <c r="JA38" i="16"/>
  <c r="IZ38" i="16"/>
  <c r="IY38" i="16"/>
  <c r="IX38" i="16"/>
  <c r="IW38" i="16"/>
  <c r="IV38" i="16"/>
  <c r="IU38" i="16"/>
  <c r="IT38" i="16"/>
  <c r="IS38" i="16"/>
  <c r="IR38" i="16"/>
  <c r="IQ38" i="16"/>
  <c r="IP38" i="16"/>
  <c r="IO38" i="16"/>
  <c r="IN38" i="16"/>
  <c r="IM38" i="16"/>
  <c r="IL38" i="16"/>
  <c r="IK38" i="16"/>
  <c r="IJ38" i="16"/>
  <c r="II38" i="16"/>
  <c r="IH38" i="16"/>
  <c r="IG38" i="16"/>
  <c r="IF38" i="16"/>
  <c r="IE38" i="16"/>
  <c r="ID38" i="16"/>
  <c r="IC38" i="16"/>
  <c r="IB38" i="16"/>
  <c r="IA38" i="16"/>
  <c r="HZ38" i="16"/>
  <c r="HY38" i="16"/>
  <c r="HX38" i="16"/>
  <c r="HW38" i="16"/>
  <c r="HV38" i="16"/>
  <c r="HU38" i="16"/>
  <c r="HT38" i="16"/>
  <c r="HS38" i="16"/>
  <c r="HR38" i="16"/>
  <c r="HQ38" i="16"/>
  <c r="HP38" i="16"/>
  <c r="HO38" i="16"/>
  <c r="HN38" i="16"/>
  <c r="HM38" i="16"/>
  <c r="HL38" i="16"/>
  <c r="HK38" i="16"/>
  <c r="HJ38" i="16"/>
  <c r="HI38" i="16"/>
  <c r="HH38" i="16"/>
  <c r="HG38" i="16"/>
  <c r="HF38" i="16"/>
  <c r="HE38" i="16"/>
  <c r="KC37" i="16"/>
  <c r="KB37" i="16"/>
  <c r="KA37" i="16"/>
  <c r="JZ37" i="16"/>
  <c r="JY37" i="16"/>
  <c r="JX37" i="16"/>
  <c r="JW37" i="16"/>
  <c r="JV37" i="16"/>
  <c r="JU37" i="16"/>
  <c r="JT37" i="16"/>
  <c r="JS37" i="16"/>
  <c r="JR37" i="16"/>
  <c r="JQ37" i="16"/>
  <c r="JP37" i="16"/>
  <c r="JO37" i="16"/>
  <c r="JN37" i="16"/>
  <c r="JM37" i="16"/>
  <c r="JL37" i="16"/>
  <c r="JK37" i="16"/>
  <c r="JJ37" i="16"/>
  <c r="JI37" i="16"/>
  <c r="JH37" i="16"/>
  <c r="JG37" i="16"/>
  <c r="JF37" i="16"/>
  <c r="JE37" i="16"/>
  <c r="JD37" i="16"/>
  <c r="JC37" i="16"/>
  <c r="JB37" i="16"/>
  <c r="JA37" i="16"/>
  <c r="IZ37" i="16"/>
  <c r="IY37" i="16"/>
  <c r="IX37" i="16"/>
  <c r="IW37" i="16"/>
  <c r="IV37" i="16"/>
  <c r="IU37" i="16"/>
  <c r="IT37" i="16"/>
  <c r="IS37" i="16"/>
  <c r="IR37" i="16"/>
  <c r="IQ37" i="16"/>
  <c r="IP37" i="16"/>
  <c r="IO37" i="16"/>
  <c r="IN37" i="16"/>
  <c r="IM37" i="16"/>
  <c r="IL37" i="16"/>
  <c r="IK37" i="16"/>
  <c r="IJ37" i="16"/>
  <c r="II37" i="16"/>
  <c r="IH37" i="16"/>
  <c r="IG37" i="16"/>
  <c r="IF37" i="16"/>
  <c r="IE37" i="16"/>
  <c r="ID37" i="16"/>
  <c r="IC37" i="16"/>
  <c r="IB37" i="16"/>
  <c r="IA37" i="16"/>
  <c r="HZ37" i="16"/>
  <c r="HY37" i="16"/>
  <c r="HX37" i="16"/>
  <c r="HW37" i="16"/>
  <c r="HV37" i="16"/>
  <c r="HU37" i="16"/>
  <c r="HT37" i="16"/>
  <c r="HS37" i="16"/>
  <c r="HR37" i="16"/>
  <c r="HQ37" i="16"/>
  <c r="HP37" i="16"/>
  <c r="HO37" i="16"/>
  <c r="HN37" i="16"/>
  <c r="HM37" i="16"/>
  <c r="HL37" i="16"/>
  <c r="HK37" i="16"/>
  <c r="HJ37" i="16"/>
  <c r="HI37" i="16"/>
  <c r="HH37" i="16"/>
  <c r="HG37" i="16"/>
  <c r="HF37" i="16"/>
  <c r="HE37" i="16"/>
  <c r="KC36" i="16"/>
  <c r="KB36" i="16"/>
  <c r="KA36" i="16"/>
  <c r="JZ36" i="16"/>
  <c r="JY36" i="16"/>
  <c r="JX36" i="16"/>
  <c r="JW36" i="16"/>
  <c r="JV36" i="16"/>
  <c r="JU36" i="16"/>
  <c r="JT36" i="16"/>
  <c r="JS36" i="16"/>
  <c r="JR36" i="16"/>
  <c r="JQ36" i="16"/>
  <c r="JP36" i="16"/>
  <c r="JO36" i="16"/>
  <c r="JN36" i="16"/>
  <c r="JM36" i="16"/>
  <c r="JL36" i="16"/>
  <c r="JK36" i="16"/>
  <c r="JJ36" i="16"/>
  <c r="JI36" i="16"/>
  <c r="JH36" i="16"/>
  <c r="JG36" i="16"/>
  <c r="JF36" i="16"/>
  <c r="JE36" i="16"/>
  <c r="JD36" i="16"/>
  <c r="JC36" i="16"/>
  <c r="JB36" i="16"/>
  <c r="JA36" i="16"/>
  <c r="IZ36" i="16"/>
  <c r="IY36" i="16"/>
  <c r="IX36" i="16"/>
  <c r="IW36" i="16"/>
  <c r="IV36" i="16"/>
  <c r="IU36" i="16"/>
  <c r="IT36" i="16"/>
  <c r="IS36" i="16"/>
  <c r="IR36" i="16"/>
  <c r="IQ36" i="16"/>
  <c r="IP36" i="16"/>
  <c r="IO36" i="16"/>
  <c r="IN36" i="16"/>
  <c r="IM36" i="16"/>
  <c r="IL36" i="16"/>
  <c r="IK36" i="16"/>
  <c r="IJ36" i="16"/>
  <c r="II36" i="16"/>
  <c r="IH36" i="16"/>
  <c r="IG36" i="16"/>
  <c r="IF36" i="16"/>
  <c r="IE36" i="16"/>
  <c r="ID36" i="16"/>
  <c r="IC36" i="16"/>
  <c r="IB36" i="16"/>
  <c r="IA36" i="16"/>
  <c r="HZ36" i="16"/>
  <c r="HY36" i="16"/>
  <c r="HX36" i="16"/>
  <c r="HW36" i="16"/>
  <c r="HV36" i="16"/>
  <c r="HU36" i="16"/>
  <c r="HT36" i="16"/>
  <c r="HS36" i="16"/>
  <c r="HR36" i="16"/>
  <c r="HQ36" i="16"/>
  <c r="HP36" i="16"/>
  <c r="HO36" i="16"/>
  <c r="HN36" i="16"/>
  <c r="HM36" i="16"/>
  <c r="HL36" i="16"/>
  <c r="HK36" i="16"/>
  <c r="HJ36" i="16"/>
  <c r="HI36" i="16"/>
  <c r="HH36" i="16"/>
  <c r="HG36" i="16"/>
  <c r="HF36" i="16"/>
  <c r="HE36" i="16"/>
  <c r="KC35" i="16"/>
  <c r="KB35" i="16"/>
  <c r="KA35" i="16"/>
  <c r="JZ35" i="16"/>
  <c r="JY35" i="16"/>
  <c r="JX35" i="16"/>
  <c r="JW35" i="16"/>
  <c r="JV35" i="16"/>
  <c r="JU35" i="16"/>
  <c r="JT35" i="16"/>
  <c r="JS35" i="16"/>
  <c r="JR35" i="16"/>
  <c r="JQ35" i="16"/>
  <c r="JP35" i="16"/>
  <c r="JO35" i="16"/>
  <c r="JN35" i="16"/>
  <c r="JM35" i="16"/>
  <c r="JL35" i="16"/>
  <c r="JK35" i="16"/>
  <c r="JJ35" i="16"/>
  <c r="JI35" i="16"/>
  <c r="JH35" i="16"/>
  <c r="JG35" i="16"/>
  <c r="JF35" i="16"/>
  <c r="JE35" i="16"/>
  <c r="JD35" i="16"/>
  <c r="JC35" i="16"/>
  <c r="JB35" i="16"/>
  <c r="JA35" i="16"/>
  <c r="IZ35" i="16"/>
  <c r="IY35" i="16"/>
  <c r="IX35" i="16"/>
  <c r="IW35" i="16"/>
  <c r="IV35" i="16"/>
  <c r="IU35" i="16"/>
  <c r="IT35" i="16"/>
  <c r="IS35" i="16"/>
  <c r="IR35" i="16"/>
  <c r="IQ35" i="16"/>
  <c r="IP35" i="16"/>
  <c r="IO35" i="16"/>
  <c r="IN35" i="16"/>
  <c r="IM35" i="16"/>
  <c r="IL35" i="16"/>
  <c r="IK35" i="16"/>
  <c r="IJ35" i="16"/>
  <c r="II35" i="16"/>
  <c r="IH35" i="16"/>
  <c r="IG35" i="16"/>
  <c r="IF35" i="16"/>
  <c r="IE35" i="16"/>
  <c r="ID35" i="16"/>
  <c r="IC35" i="16"/>
  <c r="IB35" i="16"/>
  <c r="IA35" i="16"/>
  <c r="HZ35" i="16"/>
  <c r="HY35" i="16"/>
  <c r="HX35" i="16"/>
  <c r="HW35" i="16"/>
  <c r="HV35" i="16"/>
  <c r="HU35" i="16"/>
  <c r="HT35" i="16"/>
  <c r="HS35" i="16"/>
  <c r="HR35" i="16"/>
  <c r="HQ35" i="16"/>
  <c r="HP35" i="16"/>
  <c r="HO35" i="16"/>
  <c r="HN35" i="16"/>
  <c r="HM35" i="16"/>
  <c r="HL35" i="16"/>
  <c r="HK35" i="16"/>
  <c r="HJ35" i="16"/>
  <c r="HI35" i="16"/>
  <c r="HH35" i="16"/>
  <c r="HG35" i="16"/>
  <c r="HF35" i="16"/>
  <c r="HE35" i="16"/>
  <c r="KC34" i="16"/>
  <c r="KB34" i="16"/>
  <c r="KA34" i="16"/>
  <c r="JZ34" i="16"/>
  <c r="JY34" i="16"/>
  <c r="JX34" i="16"/>
  <c r="JW34" i="16"/>
  <c r="JV34" i="16"/>
  <c r="JU34" i="16"/>
  <c r="JT34" i="16"/>
  <c r="JS34" i="16"/>
  <c r="JR34" i="16"/>
  <c r="JQ34" i="16"/>
  <c r="JP34" i="16"/>
  <c r="JO34" i="16"/>
  <c r="JN34" i="16"/>
  <c r="JM34" i="16"/>
  <c r="JL34" i="16"/>
  <c r="JK34" i="16"/>
  <c r="JJ34" i="16"/>
  <c r="JI34" i="16"/>
  <c r="JH34" i="16"/>
  <c r="JG34" i="16"/>
  <c r="JF34" i="16"/>
  <c r="JE34" i="16"/>
  <c r="JD34" i="16"/>
  <c r="JC34" i="16"/>
  <c r="JB34" i="16"/>
  <c r="JA34" i="16"/>
  <c r="IZ34" i="16"/>
  <c r="IY34" i="16"/>
  <c r="IX34" i="16"/>
  <c r="IW34" i="16"/>
  <c r="IV34" i="16"/>
  <c r="IU34" i="16"/>
  <c r="IT34" i="16"/>
  <c r="IS34" i="16"/>
  <c r="IR34" i="16"/>
  <c r="IQ34" i="16"/>
  <c r="IP34" i="16"/>
  <c r="IO34" i="16"/>
  <c r="IN34" i="16"/>
  <c r="IM34" i="16"/>
  <c r="IL34" i="16"/>
  <c r="IK34" i="16"/>
  <c r="IJ34" i="16"/>
  <c r="II34" i="16"/>
  <c r="IH34" i="16"/>
  <c r="IG34" i="16"/>
  <c r="IF34" i="16"/>
  <c r="IE34" i="16"/>
  <c r="ID34" i="16"/>
  <c r="IC34" i="16"/>
  <c r="IB34" i="16"/>
  <c r="IA34" i="16"/>
  <c r="HZ34" i="16"/>
  <c r="HY34" i="16"/>
  <c r="HX34" i="16"/>
  <c r="HW34" i="16"/>
  <c r="HV34" i="16"/>
  <c r="HU34" i="16"/>
  <c r="HT34" i="16"/>
  <c r="HS34" i="16"/>
  <c r="HR34" i="16"/>
  <c r="HQ34" i="16"/>
  <c r="HP34" i="16"/>
  <c r="HO34" i="16"/>
  <c r="HN34" i="16"/>
  <c r="HM34" i="16"/>
  <c r="HL34" i="16"/>
  <c r="HK34" i="16"/>
  <c r="HJ34" i="16"/>
  <c r="HI34" i="16"/>
  <c r="HH34" i="16"/>
  <c r="HG34" i="16"/>
  <c r="HF34" i="16"/>
  <c r="HE34" i="16"/>
  <c r="KC33" i="16"/>
  <c r="KB33" i="16"/>
  <c r="KA33" i="16"/>
  <c r="JZ33" i="16"/>
  <c r="JY33" i="16"/>
  <c r="JX33" i="16"/>
  <c r="JW33" i="16"/>
  <c r="JV33" i="16"/>
  <c r="JU33" i="16"/>
  <c r="JT33" i="16"/>
  <c r="JS33" i="16"/>
  <c r="JR33" i="16"/>
  <c r="JQ33" i="16"/>
  <c r="JP33" i="16"/>
  <c r="JO33" i="16"/>
  <c r="JN33" i="16"/>
  <c r="JM33" i="16"/>
  <c r="JL33" i="16"/>
  <c r="JK33" i="16"/>
  <c r="JJ33" i="16"/>
  <c r="JI33" i="16"/>
  <c r="JH33" i="16"/>
  <c r="JG33" i="16"/>
  <c r="JF33" i="16"/>
  <c r="JE33" i="16"/>
  <c r="JD33" i="16"/>
  <c r="JC33" i="16"/>
  <c r="JB33" i="16"/>
  <c r="JA33" i="16"/>
  <c r="IZ33" i="16"/>
  <c r="IY33" i="16"/>
  <c r="IX33" i="16"/>
  <c r="IW33" i="16"/>
  <c r="IV33" i="16"/>
  <c r="IU33" i="16"/>
  <c r="IT33" i="16"/>
  <c r="IS33" i="16"/>
  <c r="IR33" i="16"/>
  <c r="IQ33" i="16"/>
  <c r="IP33" i="16"/>
  <c r="IO33" i="16"/>
  <c r="IN33" i="16"/>
  <c r="IM33" i="16"/>
  <c r="IL33" i="16"/>
  <c r="IK33" i="16"/>
  <c r="IJ33" i="16"/>
  <c r="II33" i="16"/>
  <c r="IH33" i="16"/>
  <c r="IG33" i="16"/>
  <c r="IF33" i="16"/>
  <c r="IE33" i="16"/>
  <c r="ID33" i="16"/>
  <c r="IC33" i="16"/>
  <c r="IB33" i="16"/>
  <c r="IA33" i="16"/>
  <c r="HZ33" i="16"/>
  <c r="HY33" i="16"/>
  <c r="HX33" i="16"/>
  <c r="HW33" i="16"/>
  <c r="HV33" i="16"/>
  <c r="HU33" i="16"/>
  <c r="HT33" i="16"/>
  <c r="HS33" i="16"/>
  <c r="HR33" i="16"/>
  <c r="HQ33" i="16"/>
  <c r="HP33" i="16"/>
  <c r="HO33" i="16"/>
  <c r="HN33" i="16"/>
  <c r="HM33" i="16"/>
  <c r="HL33" i="16"/>
  <c r="HK33" i="16"/>
  <c r="HJ33" i="16"/>
  <c r="HI33" i="16"/>
  <c r="HH33" i="16"/>
  <c r="HG33" i="16"/>
  <c r="HF33" i="16"/>
  <c r="HE33" i="16"/>
  <c r="KC32" i="16"/>
  <c r="KB32" i="16"/>
  <c r="KA32" i="16"/>
  <c r="JZ32" i="16"/>
  <c r="JY32" i="16"/>
  <c r="JX32" i="16"/>
  <c r="JW32" i="16"/>
  <c r="JV32" i="16"/>
  <c r="JU32" i="16"/>
  <c r="JT32" i="16"/>
  <c r="JS32" i="16"/>
  <c r="JR32" i="16"/>
  <c r="JQ32" i="16"/>
  <c r="JP32" i="16"/>
  <c r="JO32" i="16"/>
  <c r="JN32" i="16"/>
  <c r="JM32" i="16"/>
  <c r="JL32" i="16"/>
  <c r="JK32" i="16"/>
  <c r="JJ32" i="16"/>
  <c r="JI32" i="16"/>
  <c r="JH32" i="16"/>
  <c r="JG32" i="16"/>
  <c r="JF32" i="16"/>
  <c r="JE32" i="16"/>
  <c r="JD32" i="16"/>
  <c r="JC32" i="16"/>
  <c r="JB32" i="16"/>
  <c r="JA32" i="16"/>
  <c r="IZ32" i="16"/>
  <c r="IY32" i="16"/>
  <c r="IX32" i="16"/>
  <c r="IW32" i="16"/>
  <c r="IV32" i="16"/>
  <c r="IU32" i="16"/>
  <c r="IT32" i="16"/>
  <c r="IS32" i="16"/>
  <c r="IR32" i="16"/>
  <c r="IQ32" i="16"/>
  <c r="IP32" i="16"/>
  <c r="IO32" i="16"/>
  <c r="IN32" i="16"/>
  <c r="IM32" i="16"/>
  <c r="IL32" i="16"/>
  <c r="IK32" i="16"/>
  <c r="IJ32" i="16"/>
  <c r="II32" i="16"/>
  <c r="IH32" i="16"/>
  <c r="IG32" i="16"/>
  <c r="IF32" i="16"/>
  <c r="IE32" i="16"/>
  <c r="ID32" i="16"/>
  <c r="IC32" i="16"/>
  <c r="IB32" i="16"/>
  <c r="IA32" i="16"/>
  <c r="HZ32" i="16"/>
  <c r="HY32" i="16"/>
  <c r="HX32" i="16"/>
  <c r="HW32" i="16"/>
  <c r="HV32" i="16"/>
  <c r="HU32" i="16"/>
  <c r="HT32" i="16"/>
  <c r="HS32" i="16"/>
  <c r="HR32" i="16"/>
  <c r="HQ32" i="16"/>
  <c r="HP32" i="16"/>
  <c r="HO32" i="16"/>
  <c r="HN32" i="16"/>
  <c r="HM32" i="16"/>
  <c r="HL32" i="16"/>
  <c r="HK32" i="16"/>
  <c r="HJ32" i="16"/>
  <c r="HI32" i="16"/>
  <c r="HH32" i="16"/>
  <c r="HG32" i="16"/>
  <c r="HF32" i="16"/>
  <c r="HE32" i="16"/>
  <c r="KC31" i="16"/>
  <c r="KB31" i="16"/>
  <c r="KA31" i="16"/>
  <c r="JZ31" i="16"/>
  <c r="JY31" i="16"/>
  <c r="JX31" i="16"/>
  <c r="JW31" i="16"/>
  <c r="JV31" i="16"/>
  <c r="JU31" i="16"/>
  <c r="JT31" i="16"/>
  <c r="JS31" i="16"/>
  <c r="JR31" i="16"/>
  <c r="JQ31" i="16"/>
  <c r="JP31" i="16"/>
  <c r="JO31" i="16"/>
  <c r="JN31" i="16"/>
  <c r="JM31" i="16"/>
  <c r="JL31" i="16"/>
  <c r="JK31" i="16"/>
  <c r="JJ31" i="16"/>
  <c r="JI31" i="16"/>
  <c r="JH31" i="16"/>
  <c r="JG31" i="16"/>
  <c r="JF31" i="16"/>
  <c r="JE31" i="16"/>
  <c r="JD31" i="16"/>
  <c r="JC31" i="16"/>
  <c r="JB31" i="16"/>
  <c r="JA31" i="16"/>
  <c r="IZ31" i="16"/>
  <c r="IY31" i="16"/>
  <c r="IX31" i="16"/>
  <c r="IW31" i="16"/>
  <c r="IV31" i="16"/>
  <c r="IU31" i="16"/>
  <c r="IT31" i="16"/>
  <c r="IS31" i="16"/>
  <c r="IR31" i="16"/>
  <c r="IQ31" i="16"/>
  <c r="IP31" i="16"/>
  <c r="IO31" i="16"/>
  <c r="IN31" i="16"/>
  <c r="IM31" i="16"/>
  <c r="IL31" i="16"/>
  <c r="IK31" i="16"/>
  <c r="IJ31" i="16"/>
  <c r="II31" i="16"/>
  <c r="IH31" i="16"/>
  <c r="IG31" i="16"/>
  <c r="IF31" i="16"/>
  <c r="IE31" i="16"/>
  <c r="ID31" i="16"/>
  <c r="IC31" i="16"/>
  <c r="IB31" i="16"/>
  <c r="IA31" i="16"/>
  <c r="HZ31" i="16"/>
  <c r="HY31" i="16"/>
  <c r="HX31" i="16"/>
  <c r="HW31" i="16"/>
  <c r="HV31" i="16"/>
  <c r="HU31" i="16"/>
  <c r="HT31" i="16"/>
  <c r="HS31" i="16"/>
  <c r="HR31" i="16"/>
  <c r="HQ31" i="16"/>
  <c r="HP31" i="16"/>
  <c r="HO31" i="16"/>
  <c r="HN31" i="16"/>
  <c r="HM31" i="16"/>
  <c r="HL31" i="16"/>
  <c r="HK31" i="16"/>
  <c r="HJ31" i="16"/>
  <c r="HI31" i="16"/>
  <c r="HH31" i="16"/>
  <c r="HG31" i="16"/>
  <c r="HF31" i="16"/>
  <c r="HE31" i="16"/>
  <c r="KC30" i="16"/>
  <c r="KB30" i="16"/>
  <c r="KA30" i="16"/>
  <c r="JZ30" i="16"/>
  <c r="JY30" i="16"/>
  <c r="JX30" i="16"/>
  <c r="JW30" i="16"/>
  <c r="JV30" i="16"/>
  <c r="JU30" i="16"/>
  <c r="JT30" i="16"/>
  <c r="JS30" i="16"/>
  <c r="JR30" i="16"/>
  <c r="JQ30" i="16"/>
  <c r="JP30" i="16"/>
  <c r="JO30" i="16"/>
  <c r="JN30" i="16"/>
  <c r="JM30" i="16"/>
  <c r="JL30" i="16"/>
  <c r="JK30" i="16"/>
  <c r="JJ30" i="16"/>
  <c r="JI30" i="16"/>
  <c r="JH30" i="16"/>
  <c r="JG30" i="16"/>
  <c r="JF30" i="16"/>
  <c r="JE30" i="16"/>
  <c r="JD30" i="16"/>
  <c r="JC30" i="16"/>
  <c r="JB30" i="16"/>
  <c r="JA30" i="16"/>
  <c r="IZ30" i="16"/>
  <c r="IY30" i="16"/>
  <c r="IX30" i="16"/>
  <c r="IW30" i="16"/>
  <c r="IV30" i="16"/>
  <c r="IU30" i="16"/>
  <c r="IT30" i="16"/>
  <c r="IS30" i="16"/>
  <c r="IR30" i="16"/>
  <c r="IQ30" i="16"/>
  <c r="IP30" i="16"/>
  <c r="IO30" i="16"/>
  <c r="IN30" i="16"/>
  <c r="IM30" i="16"/>
  <c r="IL30" i="16"/>
  <c r="IK30" i="16"/>
  <c r="IJ30" i="16"/>
  <c r="II30" i="16"/>
  <c r="IH30" i="16"/>
  <c r="IG30" i="16"/>
  <c r="IF30" i="16"/>
  <c r="IE30" i="16"/>
  <c r="ID30" i="16"/>
  <c r="IC30" i="16"/>
  <c r="IB30" i="16"/>
  <c r="IA30" i="16"/>
  <c r="HZ30" i="16"/>
  <c r="HY30" i="16"/>
  <c r="HX30" i="16"/>
  <c r="HW30" i="16"/>
  <c r="HV30" i="16"/>
  <c r="HU30" i="16"/>
  <c r="HT30" i="16"/>
  <c r="HS30" i="16"/>
  <c r="HR30" i="16"/>
  <c r="HQ30" i="16"/>
  <c r="HP30" i="16"/>
  <c r="HO30" i="16"/>
  <c r="HN30" i="16"/>
  <c r="HM30" i="16"/>
  <c r="HL30" i="16"/>
  <c r="HK30" i="16"/>
  <c r="HJ30" i="16"/>
  <c r="HI30" i="16"/>
  <c r="HH30" i="16"/>
  <c r="HG30" i="16"/>
  <c r="HF30" i="16"/>
  <c r="HE30" i="16"/>
  <c r="KC29" i="16"/>
  <c r="KB29" i="16"/>
  <c r="KA29" i="16"/>
  <c r="JZ29" i="16"/>
  <c r="JY29" i="16"/>
  <c r="JX29" i="16"/>
  <c r="JW29" i="16"/>
  <c r="JV29" i="16"/>
  <c r="JU29" i="16"/>
  <c r="JT29" i="16"/>
  <c r="JS29" i="16"/>
  <c r="JR29" i="16"/>
  <c r="JQ29" i="16"/>
  <c r="JP29" i="16"/>
  <c r="JO29" i="16"/>
  <c r="JN29" i="16"/>
  <c r="JM29" i="16"/>
  <c r="JL29" i="16"/>
  <c r="JK29" i="16"/>
  <c r="JJ29" i="16"/>
  <c r="JI29" i="16"/>
  <c r="JH29" i="16"/>
  <c r="JG29" i="16"/>
  <c r="JF29" i="16"/>
  <c r="JE29" i="16"/>
  <c r="JD29" i="16"/>
  <c r="JC29" i="16"/>
  <c r="JB29" i="16"/>
  <c r="JA29" i="16"/>
  <c r="IZ29" i="16"/>
  <c r="IY29" i="16"/>
  <c r="IX29" i="16"/>
  <c r="IW29" i="16"/>
  <c r="IV29" i="16"/>
  <c r="IU29" i="16"/>
  <c r="IT29" i="16"/>
  <c r="IS29" i="16"/>
  <c r="IR29" i="16"/>
  <c r="IQ29" i="16"/>
  <c r="IP29" i="16"/>
  <c r="IO29" i="16"/>
  <c r="IN29" i="16"/>
  <c r="IM29" i="16"/>
  <c r="IL29" i="16"/>
  <c r="IK29" i="16"/>
  <c r="IJ29" i="16"/>
  <c r="II29" i="16"/>
  <c r="IH29" i="16"/>
  <c r="IG29" i="16"/>
  <c r="IF29" i="16"/>
  <c r="IE29" i="16"/>
  <c r="ID29" i="16"/>
  <c r="IC29" i="16"/>
  <c r="IB29" i="16"/>
  <c r="IA29" i="16"/>
  <c r="HZ29" i="16"/>
  <c r="HY29" i="16"/>
  <c r="HX29" i="16"/>
  <c r="HW29" i="16"/>
  <c r="HV29" i="16"/>
  <c r="HU29" i="16"/>
  <c r="HT29" i="16"/>
  <c r="HS29" i="16"/>
  <c r="HR29" i="16"/>
  <c r="HQ29" i="16"/>
  <c r="HP29" i="16"/>
  <c r="HO29" i="16"/>
  <c r="HN29" i="16"/>
  <c r="HM29" i="16"/>
  <c r="HL29" i="16"/>
  <c r="HK29" i="16"/>
  <c r="HJ29" i="16"/>
  <c r="HI29" i="16"/>
  <c r="HH29" i="16"/>
  <c r="HG29" i="16"/>
  <c r="HF29" i="16"/>
  <c r="HE29" i="16"/>
  <c r="KC28" i="16"/>
  <c r="KB28" i="16"/>
  <c r="KA28" i="16"/>
  <c r="JZ28" i="16"/>
  <c r="JY28" i="16"/>
  <c r="JX28" i="16"/>
  <c r="JW28" i="16"/>
  <c r="JV28" i="16"/>
  <c r="JU28" i="16"/>
  <c r="JT28" i="16"/>
  <c r="JS28" i="16"/>
  <c r="JR28" i="16"/>
  <c r="JQ28" i="16"/>
  <c r="JP28" i="16"/>
  <c r="JO28" i="16"/>
  <c r="JN28" i="16"/>
  <c r="JM28" i="16"/>
  <c r="JL28" i="16"/>
  <c r="JK28" i="16"/>
  <c r="JJ28" i="16"/>
  <c r="JI28" i="16"/>
  <c r="JH28" i="16"/>
  <c r="JG28" i="16"/>
  <c r="JF28" i="16"/>
  <c r="JE28" i="16"/>
  <c r="JD28" i="16"/>
  <c r="JC28" i="16"/>
  <c r="JB28" i="16"/>
  <c r="JA28" i="16"/>
  <c r="IZ28" i="16"/>
  <c r="IY28" i="16"/>
  <c r="IX28" i="16"/>
  <c r="IW28" i="16"/>
  <c r="IV28" i="16"/>
  <c r="IU28" i="16"/>
  <c r="IT28" i="16"/>
  <c r="IS28" i="16"/>
  <c r="IR28" i="16"/>
  <c r="IQ28" i="16"/>
  <c r="IP28" i="16"/>
  <c r="IO28" i="16"/>
  <c r="IN28" i="16"/>
  <c r="IM28" i="16"/>
  <c r="IL28" i="16"/>
  <c r="IK28" i="16"/>
  <c r="IJ28" i="16"/>
  <c r="II28" i="16"/>
  <c r="IH28" i="16"/>
  <c r="IG28" i="16"/>
  <c r="IF28" i="16"/>
  <c r="IE28" i="16"/>
  <c r="ID28" i="16"/>
  <c r="IC28" i="16"/>
  <c r="IB28" i="16"/>
  <c r="IA28" i="16"/>
  <c r="HZ28" i="16"/>
  <c r="HY28" i="16"/>
  <c r="HX28" i="16"/>
  <c r="HW28" i="16"/>
  <c r="HV28" i="16"/>
  <c r="HU28" i="16"/>
  <c r="HT28" i="16"/>
  <c r="HS28" i="16"/>
  <c r="HR28" i="16"/>
  <c r="HQ28" i="16"/>
  <c r="HP28" i="16"/>
  <c r="HO28" i="16"/>
  <c r="HN28" i="16"/>
  <c r="HM28" i="16"/>
  <c r="HL28" i="16"/>
  <c r="HK28" i="16"/>
  <c r="HJ28" i="16"/>
  <c r="HI28" i="16"/>
  <c r="HH28" i="16"/>
  <c r="HG28" i="16"/>
  <c r="HF28" i="16"/>
  <c r="HE28" i="16"/>
  <c r="KC27" i="16"/>
  <c r="KB27" i="16"/>
  <c r="KA27" i="16"/>
  <c r="JZ27" i="16"/>
  <c r="JY27" i="16"/>
  <c r="JX27" i="16"/>
  <c r="JW27" i="16"/>
  <c r="JV27" i="16"/>
  <c r="JU27" i="16"/>
  <c r="JT27" i="16"/>
  <c r="JS27" i="16"/>
  <c r="JR27" i="16"/>
  <c r="JQ27" i="16"/>
  <c r="JP27" i="16"/>
  <c r="JO27" i="16"/>
  <c r="JN27" i="16"/>
  <c r="JM27" i="16"/>
  <c r="JL27" i="16"/>
  <c r="JK27" i="16"/>
  <c r="JJ27" i="16"/>
  <c r="JI27" i="16"/>
  <c r="JH27" i="16"/>
  <c r="JG27" i="16"/>
  <c r="JF27" i="16"/>
  <c r="JE27" i="16"/>
  <c r="JD27" i="16"/>
  <c r="JC27" i="16"/>
  <c r="JB27" i="16"/>
  <c r="JA27" i="16"/>
  <c r="IZ27" i="16"/>
  <c r="IY27" i="16"/>
  <c r="IX27" i="16"/>
  <c r="IW27" i="16"/>
  <c r="IV27" i="16"/>
  <c r="IU27" i="16"/>
  <c r="IT27" i="16"/>
  <c r="IS27" i="16"/>
  <c r="IR27" i="16"/>
  <c r="IQ27" i="16"/>
  <c r="IP27" i="16"/>
  <c r="IO27" i="16"/>
  <c r="IN27" i="16"/>
  <c r="IM27" i="16"/>
  <c r="IL27" i="16"/>
  <c r="IK27" i="16"/>
  <c r="IJ27" i="16"/>
  <c r="II27" i="16"/>
  <c r="IH27" i="16"/>
  <c r="IG27" i="16"/>
  <c r="IF27" i="16"/>
  <c r="IE27" i="16"/>
  <c r="ID27" i="16"/>
  <c r="IC27" i="16"/>
  <c r="IB27" i="16"/>
  <c r="IA27" i="16"/>
  <c r="HZ27" i="16"/>
  <c r="HY27" i="16"/>
  <c r="HX27" i="16"/>
  <c r="HW27" i="16"/>
  <c r="HV27" i="16"/>
  <c r="HU27" i="16"/>
  <c r="HT27" i="16"/>
  <c r="HS27" i="16"/>
  <c r="HR27" i="16"/>
  <c r="HQ27" i="16"/>
  <c r="HP27" i="16"/>
  <c r="HO27" i="16"/>
  <c r="HN27" i="16"/>
  <c r="HM27" i="16"/>
  <c r="HL27" i="16"/>
  <c r="HK27" i="16"/>
  <c r="HJ27" i="16"/>
  <c r="HI27" i="16"/>
  <c r="HH27" i="16"/>
  <c r="HG27" i="16"/>
  <c r="HF27" i="16"/>
  <c r="HE27" i="16"/>
  <c r="KC26" i="16"/>
  <c r="KB26" i="16"/>
  <c r="KA26" i="16"/>
  <c r="JZ26" i="16"/>
  <c r="JY26" i="16"/>
  <c r="JX26" i="16"/>
  <c r="JW26" i="16"/>
  <c r="JV26" i="16"/>
  <c r="JU26" i="16"/>
  <c r="JT26" i="16"/>
  <c r="JS26" i="16"/>
  <c r="JR26" i="16"/>
  <c r="JQ26" i="16"/>
  <c r="JP26" i="16"/>
  <c r="JO26" i="16"/>
  <c r="JN26" i="16"/>
  <c r="JM26" i="16"/>
  <c r="JL26" i="16"/>
  <c r="JK26" i="16"/>
  <c r="JJ26" i="16"/>
  <c r="JI26" i="16"/>
  <c r="JH26" i="16"/>
  <c r="JG26" i="16"/>
  <c r="JF26" i="16"/>
  <c r="JE26" i="16"/>
  <c r="JD26" i="16"/>
  <c r="JC26" i="16"/>
  <c r="JB26" i="16"/>
  <c r="JA26" i="16"/>
  <c r="IZ26" i="16"/>
  <c r="IY26" i="16"/>
  <c r="IX26" i="16"/>
  <c r="IW26" i="16"/>
  <c r="IV26" i="16"/>
  <c r="IU26" i="16"/>
  <c r="IT26" i="16"/>
  <c r="IS26" i="16"/>
  <c r="IR26" i="16"/>
  <c r="IQ26" i="16"/>
  <c r="IP26" i="16"/>
  <c r="IO26" i="16"/>
  <c r="IN26" i="16"/>
  <c r="IM26" i="16"/>
  <c r="IL26" i="16"/>
  <c r="IK26" i="16"/>
  <c r="IJ26" i="16"/>
  <c r="II26" i="16"/>
  <c r="IH26" i="16"/>
  <c r="IG26" i="16"/>
  <c r="IF26" i="16"/>
  <c r="IE26" i="16"/>
  <c r="ID26" i="16"/>
  <c r="IC26" i="16"/>
  <c r="IB26" i="16"/>
  <c r="IA26" i="16"/>
  <c r="HZ26" i="16"/>
  <c r="HY26" i="16"/>
  <c r="HX26" i="16"/>
  <c r="HW26" i="16"/>
  <c r="HV26" i="16"/>
  <c r="HU26" i="16"/>
  <c r="HT26" i="16"/>
  <c r="HS26" i="16"/>
  <c r="HR26" i="16"/>
  <c r="HQ26" i="16"/>
  <c r="HP26" i="16"/>
  <c r="HO26" i="16"/>
  <c r="HN26" i="16"/>
  <c r="HM26" i="16"/>
  <c r="HL26" i="16"/>
  <c r="HK26" i="16"/>
  <c r="HJ26" i="16"/>
  <c r="HI26" i="16"/>
  <c r="HH26" i="16"/>
  <c r="HG26" i="16"/>
  <c r="HF26" i="16"/>
  <c r="HE26" i="16"/>
  <c r="KC25" i="16"/>
  <c r="KB25" i="16"/>
  <c r="KA25" i="16"/>
  <c r="JZ25" i="16"/>
  <c r="JY25" i="16"/>
  <c r="JX25" i="16"/>
  <c r="JW25" i="16"/>
  <c r="JV25" i="16"/>
  <c r="JU25" i="16"/>
  <c r="JT25" i="16"/>
  <c r="JS25" i="16"/>
  <c r="JR25" i="16"/>
  <c r="JQ25" i="16"/>
  <c r="JP25" i="16"/>
  <c r="JO25" i="16"/>
  <c r="JN25" i="16"/>
  <c r="JM25" i="16"/>
  <c r="JL25" i="16"/>
  <c r="JK25" i="16"/>
  <c r="JJ25" i="16"/>
  <c r="JI25" i="16"/>
  <c r="JH25" i="16"/>
  <c r="JG25" i="16"/>
  <c r="JF25" i="16"/>
  <c r="JE25" i="16"/>
  <c r="JD25" i="16"/>
  <c r="JC25" i="16"/>
  <c r="JB25" i="16"/>
  <c r="JA25" i="16"/>
  <c r="IZ25" i="16"/>
  <c r="IY25" i="16"/>
  <c r="IX25" i="16"/>
  <c r="IW25" i="16"/>
  <c r="IV25" i="16"/>
  <c r="IU25" i="16"/>
  <c r="IT25" i="16"/>
  <c r="IS25" i="16"/>
  <c r="IR25" i="16"/>
  <c r="IQ25" i="16"/>
  <c r="IP25" i="16"/>
  <c r="IO25" i="16"/>
  <c r="IN25" i="16"/>
  <c r="IM25" i="16"/>
  <c r="IL25" i="16"/>
  <c r="IK25" i="16"/>
  <c r="IJ25" i="16"/>
  <c r="II25" i="16"/>
  <c r="IH25" i="16"/>
  <c r="IG25" i="16"/>
  <c r="IF25" i="16"/>
  <c r="IE25" i="16"/>
  <c r="ID25" i="16"/>
  <c r="IC25" i="16"/>
  <c r="IB25" i="16"/>
  <c r="IA25" i="16"/>
  <c r="HZ25" i="16"/>
  <c r="HY25" i="16"/>
  <c r="HX25" i="16"/>
  <c r="HW25" i="16"/>
  <c r="HV25" i="16"/>
  <c r="HU25" i="16"/>
  <c r="HT25" i="16"/>
  <c r="HS25" i="16"/>
  <c r="HR25" i="16"/>
  <c r="HQ25" i="16"/>
  <c r="HP25" i="16"/>
  <c r="HO25" i="16"/>
  <c r="HN25" i="16"/>
  <c r="HM25" i="16"/>
  <c r="HL25" i="16"/>
  <c r="HK25" i="16"/>
  <c r="HJ25" i="16"/>
  <c r="HI25" i="16"/>
  <c r="HH25" i="16"/>
  <c r="HG25" i="16"/>
  <c r="HF25" i="16"/>
  <c r="HE25" i="16"/>
  <c r="KC24" i="16"/>
  <c r="KB24" i="16"/>
  <c r="KA24" i="16"/>
  <c r="JZ24" i="16"/>
  <c r="JY24" i="16"/>
  <c r="JX24" i="16"/>
  <c r="JW24" i="16"/>
  <c r="JV24" i="16"/>
  <c r="JU24" i="16"/>
  <c r="JT24" i="16"/>
  <c r="JS24" i="16"/>
  <c r="JR24" i="16"/>
  <c r="JQ24" i="16"/>
  <c r="JP24" i="16"/>
  <c r="JO24" i="16"/>
  <c r="JN24" i="16"/>
  <c r="JM24" i="16"/>
  <c r="JL24" i="16"/>
  <c r="JK24" i="16"/>
  <c r="JJ24" i="16"/>
  <c r="JI24" i="16"/>
  <c r="JH24" i="16"/>
  <c r="JG24" i="16"/>
  <c r="JF24" i="16"/>
  <c r="JE24" i="16"/>
  <c r="JD24" i="16"/>
  <c r="JC24" i="16"/>
  <c r="JB24" i="16"/>
  <c r="JA24" i="16"/>
  <c r="IZ24" i="16"/>
  <c r="IY24" i="16"/>
  <c r="IX24" i="16"/>
  <c r="IW24" i="16"/>
  <c r="IV24" i="16"/>
  <c r="IU24" i="16"/>
  <c r="IT24" i="16"/>
  <c r="IS24" i="16"/>
  <c r="IR24" i="16"/>
  <c r="IQ24" i="16"/>
  <c r="IP24" i="16"/>
  <c r="IO24" i="16"/>
  <c r="IN24" i="16"/>
  <c r="IM24" i="16"/>
  <c r="IL24" i="16"/>
  <c r="IK24" i="16"/>
  <c r="IJ24" i="16"/>
  <c r="II24" i="16"/>
  <c r="IH24" i="16"/>
  <c r="IG24" i="16"/>
  <c r="IF24" i="16"/>
  <c r="IE24" i="16"/>
  <c r="ID24" i="16"/>
  <c r="IC24" i="16"/>
  <c r="IB24" i="16"/>
  <c r="IA24" i="16"/>
  <c r="HZ24" i="16"/>
  <c r="HY24" i="16"/>
  <c r="HX24" i="16"/>
  <c r="HW24" i="16"/>
  <c r="HV24" i="16"/>
  <c r="HU24" i="16"/>
  <c r="HT24" i="16"/>
  <c r="HS24" i="16"/>
  <c r="HR24" i="16"/>
  <c r="HQ24" i="16"/>
  <c r="HP24" i="16"/>
  <c r="HO24" i="16"/>
  <c r="HN24" i="16"/>
  <c r="HM24" i="16"/>
  <c r="HL24" i="16"/>
  <c r="HK24" i="16"/>
  <c r="HJ24" i="16"/>
  <c r="HI24" i="16"/>
  <c r="HH24" i="16"/>
  <c r="HG24" i="16"/>
  <c r="HF24" i="16"/>
  <c r="HE24" i="16"/>
  <c r="KC23" i="16"/>
  <c r="KB23" i="16"/>
  <c r="KA23" i="16"/>
  <c r="JZ23" i="16"/>
  <c r="JY23" i="16"/>
  <c r="JX23" i="16"/>
  <c r="JW23" i="16"/>
  <c r="JV23" i="16"/>
  <c r="JU23" i="16"/>
  <c r="JT23" i="16"/>
  <c r="JS23" i="16"/>
  <c r="JR23" i="16"/>
  <c r="JQ23" i="16"/>
  <c r="JP23" i="16"/>
  <c r="JO23" i="16"/>
  <c r="JN23" i="16"/>
  <c r="JM23" i="16"/>
  <c r="JL23" i="16"/>
  <c r="JK23" i="16"/>
  <c r="JJ23" i="16"/>
  <c r="JI23" i="16"/>
  <c r="JH23" i="16"/>
  <c r="JG23" i="16"/>
  <c r="JF23" i="16"/>
  <c r="JE23" i="16"/>
  <c r="JD23" i="16"/>
  <c r="JC23" i="16"/>
  <c r="JB23" i="16"/>
  <c r="JA23" i="16"/>
  <c r="IZ23" i="16"/>
  <c r="IY23" i="16"/>
  <c r="IX23" i="16"/>
  <c r="IW23" i="16"/>
  <c r="IV23" i="16"/>
  <c r="IU23" i="16"/>
  <c r="IT23" i="16"/>
  <c r="IS23" i="16"/>
  <c r="IR23" i="16"/>
  <c r="IQ23" i="16"/>
  <c r="IP23" i="16"/>
  <c r="IO23" i="16"/>
  <c r="IN23" i="16"/>
  <c r="IM23" i="16"/>
  <c r="IL23" i="16"/>
  <c r="IK23" i="16"/>
  <c r="IJ23" i="16"/>
  <c r="II23" i="16"/>
  <c r="IH23" i="16"/>
  <c r="IG23" i="16"/>
  <c r="IF23" i="16"/>
  <c r="IE23" i="16"/>
  <c r="ID23" i="16"/>
  <c r="IC23" i="16"/>
  <c r="IB23" i="16"/>
  <c r="IA23" i="16"/>
  <c r="HZ23" i="16"/>
  <c r="HY23" i="16"/>
  <c r="HX23" i="16"/>
  <c r="HW23" i="16"/>
  <c r="HV23" i="16"/>
  <c r="HU23" i="16"/>
  <c r="HT23" i="16"/>
  <c r="HS23" i="16"/>
  <c r="HR23" i="16"/>
  <c r="HQ23" i="16"/>
  <c r="HP23" i="16"/>
  <c r="HO23" i="16"/>
  <c r="HN23" i="16"/>
  <c r="HM23" i="16"/>
  <c r="HL23" i="16"/>
  <c r="HK23" i="16"/>
  <c r="HJ23" i="16"/>
  <c r="HI23" i="16"/>
  <c r="HH23" i="16"/>
  <c r="HG23" i="16"/>
  <c r="HF23" i="16"/>
  <c r="HE23" i="16"/>
  <c r="KC22" i="16"/>
  <c r="KB22" i="16"/>
  <c r="KA22" i="16"/>
  <c r="JZ22" i="16"/>
  <c r="JY22" i="16"/>
  <c r="JX22" i="16"/>
  <c r="JW22" i="16"/>
  <c r="JV22" i="16"/>
  <c r="JU22" i="16"/>
  <c r="JT22" i="16"/>
  <c r="JS22" i="16"/>
  <c r="JR22" i="16"/>
  <c r="JQ22" i="16"/>
  <c r="JP22" i="16"/>
  <c r="JO22" i="16"/>
  <c r="JN22" i="16"/>
  <c r="JM22" i="16"/>
  <c r="JL22" i="16"/>
  <c r="JK22" i="16"/>
  <c r="JJ22" i="16"/>
  <c r="JI22" i="16"/>
  <c r="JH22" i="16"/>
  <c r="JG22" i="16"/>
  <c r="JF22" i="16"/>
  <c r="JE22" i="16"/>
  <c r="JD22" i="16"/>
  <c r="JC22" i="16"/>
  <c r="JB22" i="16"/>
  <c r="JA22" i="16"/>
  <c r="IZ22" i="16"/>
  <c r="IY22" i="16"/>
  <c r="IX22" i="16"/>
  <c r="IW22" i="16"/>
  <c r="IV22" i="16"/>
  <c r="IU22" i="16"/>
  <c r="IT22" i="16"/>
  <c r="IS22" i="16"/>
  <c r="IR22" i="16"/>
  <c r="IQ22" i="16"/>
  <c r="IP22" i="16"/>
  <c r="IO22" i="16"/>
  <c r="IN22" i="16"/>
  <c r="IM22" i="16"/>
  <c r="IL22" i="16"/>
  <c r="IK22" i="16"/>
  <c r="IJ22" i="16"/>
  <c r="II22" i="16"/>
  <c r="IH22" i="16"/>
  <c r="IG22" i="16"/>
  <c r="IF22" i="16"/>
  <c r="IE22" i="16"/>
  <c r="ID22" i="16"/>
  <c r="IC22" i="16"/>
  <c r="IB22" i="16"/>
  <c r="IA22" i="16"/>
  <c r="HZ22" i="16"/>
  <c r="HY22" i="16"/>
  <c r="HX22" i="16"/>
  <c r="HW22" i="16"/>
  <c r="HV22" i="16"/>
  <c r="HU22" i="16"/>
  <c r="HT22" i="16"/>
  <c r="HS22" i="16"/>
  <c r="HR22" i="16"/>
  <c r="HQ22" i="16"/>
  <c r="HP22" i="16"/>
  <c r="HO22" i="16"/>
  <c r="HN22" i="16"/>
  <c r="HM22" i="16"/>
  <c r="HL22" i="16"/>
  <c r="HK22" i="16"/>
  <c r="HJ22" i="16"/>
  <c r="HI22" i="16"/>
  <c r="HH22" i="16"/>
  <c r="HG22" i="16"/>
  <c r="HF22" i="16"/>
  <c r="HE22" i="16"/>
  <c r="KC21" i="16"/>
  <c r="KB21" i="16"/>
  <c r="KA21" i="16"/>
  <c r="JZ21" i="16"/>
  <c r="JY21" i="16"/>
  <c r="JX21" i="16"/>
  <c r="JW21" i="16"/>
  <c r="JV21" i="16"/>
  <c r="JU21" i="16"/>
  <c r="JT21" i="16"/>
  <c r="JS21" i="16"/>
  <c r="JR21" i="16"/>
  <c r="JQ21" i="16"/>
  <c r="JP21" i="16"/>
  <c r="JO21" i="16"/>
  <c r="JN21" i="16"/>
  <c r="JM21" i="16"/>
  <c r="JL21" i="16"/>
  <c r="JK21" i="16"/>
  <c r="JJ21" i="16"/>
  <c r="JI21" i="16"/>
  <c r="JH21" i="16"/>
  <c r="JG21" i="16"/>
  <c r="JF21" i="16"/>
  <c r="JE21" i="16"/>
  <c r="JD21" i="16"/>
  <c r="JC21" i="16"/>
  <c r="JB21" i="16"/>
  <c r="JA21" i="16"/>
  <c r="IZ21" i="16"/>
  <c r="IY21" i="16"/>
  <c r="IX21" i="16"/>
  <c r="IW21" i="16"/>
  <c r="IV21" i="16"/>
  <c r="IU21" i="16"/>
  <c r="IT21" i="16"/>
  <c r="IS21" i="16"/>
  <c r="IR21" i="16"/>
  <c r="IQ21" i="16"/>
  <c r="IP21" i="16"/>
  <c r="IO21" i="16"/>
  <c r="IN21" i="16"/>
  <c r="IM21" i="16"/>
  <c r="IL21" i="16"/>
  <c r="IK21" i="16"/>
  <c r="IJ21" i="16"/>
  <c r="II21" i="16"/>
  <c r="IH21" i="16"/>
  <c r="IG21" i="16"/>
  <c r="IF21" i="16"/>
  <c r="IE21" i="16"/>
  <c r="ID21" i="16"/>
  <c r="IC21" i="16"/>
  <c r="IB21" i="16"/>
  <c r="IA21" i="16"/>
  <c r="HZ21" i="16"/>
  <c r="HY21" i="16"/>
  <c r="HX21" i="16"/>
  <c r="HW21" i="16"/>
  <c r="HV21" i="16"/>
  <c r="HU21" i="16"/>
  <c r="HT21" i="16"/>
  <c r="HS21" i="16"/>
  <c r="HR21" i="16"/>
  <c r="HQ21" i="16"/>
  <c r="HP21" i="16"/>
  <c r="HO21" i="16"/>
  <c r="HN21" i="16"/>
  <c r="HM21" i="16"/>
  <c r="HL21" i="16"/>
  <c r="HK21" i="16"/>
  <c r="HJ21" i="16"/>
  <c r="HI21" i="16"/>
  <c r="HH21" i="16"/>
  <c r="HG21" i="16"/>
  <c r="HF21" i="16"/>
  <c r="HE21" i="16"/>
  <c r="KC20" i="16"/>
  <c r="KB20" i="16"/>
  <c r="KA20" i="16"/>
  <c r="JZ20" i="16"/>
  <c r="JY20" i="16"/>
  <c r="JX20" i="16"/>
  <c r="JW20" i="16"/>
  <c r="JV20" i="16"/>
  <c r="JU20" i="16"/>
  <c r="JT20" i="16"/>
  <c r="JS20" i="16"/>
  <c r="JR20" i="16"/>
  <c r="JQ20" i="16"/>
  <c r="JP20" i="16"/>
  <c r="JO20" i="16"/>
  <c r="JN20" i="16"/>
  <c r="JM20" i="16"/>
  <c r="JL20" i="16"/>
  <c r="JK20" i="16"/>
  <c r="JJ20" i="16"/>
  <c r="JI20" i="16"/>
  <c r="JH20" i="16"/>
  <c r="JG20" i="16"/>
  <c r="JF20" i="16"/>
  <c r="JE20" i="16"/>
  <c r="JD20" i="16"/>
  <c r="JC20" i="16"/>
  <c r="JB20" i="16"/>
  <c r="JA20" i="16"/>
  <c r="IZ20" i="16"/>
  <c r="IY20" i="16"/>
  <c r="IX20" i="16"/>
  <c r="IW20" i="16"/>
  <c r="IV20" i="16"/>
  <c r="IU20" i="16"/>
  <c r="IT20" i="16"/>
  <c r="IS20" i="16"/>
  <c r="IR20" i="16"/>
  <c r="IQ20" i="16"/>
  <c r="IP20" i="16"/>
  <c r="IO20" i="16"/>
  <c r="IN20" i="16"/>
  <c r="IM20" i="16"/>
  <c r="IL20" i="16"/>
  <c r="IK20" i="16"/>
  <c r="IJ20" i="16"/>
  <c r="II20" i="16"/>
  <c r="IH20" i="16"/>
  <c r="IG20" i="16"/>
  <c r="IF20" i="16"/>
  <c r="IE20" i="16"/>
  <c r="ID20" i="16"/>
  <c r="IC20" i="16"/>
  <c r="IB20" i="16"/>
  <c r="IA20" i="16"/>
  <c r="HZ20" i="16"/>
  <c r="HY20" i="16"/>
  <c r="HX20" i="16"/>
  <c r="HW20" i="16"/>
  <c r="HV20" i="16"/>
  <c r="HU20" i="16"/>
  <c r="HT20" i="16"/>
  <c r="HS20" i="16"/>
  <c r="HR20" i="16"/>
  <c r="HQ20" i="16"/>
  <c r="HP20" i="16"/>
  <c r="HO20" i="16"/>
  <c r="HN20" i="16"/>
  <c r="HM20" i="16"/>
  <c r="HL20" i="16"/>
  <c r="HK20" i="16"/>
  <c r="HJ20" i="16"/>
  <c r="HI20" i="16"/>
  <c r="HH20" i="16"/>
  <c r="HG20" i="16"/>
  <c r="HF20" i="16"/>
  <c r="HE20" i="16"/>
  <c r="KC19" i="16"/>
  <c r="KB19" i="16"/>
  <c r="KA19" i="16"/>
  <c r="JZ19" i="16"/>
  <c r="JY19" i="16"/>
  <c r="JX19" i="16"/>
  <c r="JW19" i="16"/>
  <c r="JV19" i="16"/>
  <c r="JU19" i="16"/>
  <c r="JT19" i="16"/>
  <c r="JS19" i="16"/>
  <c r="JR19" i="16"/>
  <c r="JQ19" i="16"/>
  <c r="JP19" i="16"/>
  <c r="JO19" i="16"/>
  <c r="JN19" i="16"/>
  <c r="JM19" i="16"/>
  <c r="JL19" i="16"/>
  <c r="JK19" i="16"/>
  <c r="JJ19" i="16"/>
  <c r="JI19" i="16"/>
  <c r="JH19" i="16"/>
  <c r="JG19" i="16"/>
  <c r="JF19" i="16"/>
  <c r="JE19" i="16"/>
  <c r="JD19" i="16"/>
  <c r="JC19" i="16"/>
  <c r="JB19" i="16"/>
  <c r="JA19" i="16"/>
  <c r="IZ19" i="16"/>
  <c r="IY19" i="16"/>
  <c r="IX19" i="16"/>
  <c r="IW19" i="16"/>
  <c r="IV19" i="16"/>
  <c r="IU19" i="16"/>
  <c r="IT19" i="16"/>
  <c r="IS19" i="16"/>
  <c r="IR19" i="16"/>
  <c r="IQ19" i="16"/>
  <c r="IP19" i="16"/>
  <c r="IO19" i="16"/>
  <c r="IN19" i="16"/>
  <c r="IM19" i="16"/>
  <c r="IL19" i="16"/>
  <c r="IK19" i="16"/>
  <c r="IJ19" i="16"/>
  <c r="II19" i="16"/>
  <c r="IH19" i="16"/>
  <c r="IG19" i="16"/>
  <c r="IF19" i="16"/>
  <c r="IE19" i="16"/>
  <c r="ID19" i="16"/>
  <c r="IC19" i="16"/>
  <c r="IB19" i="16"/>
  <c r="IA19" i="16"/>
  <c r="HZ19" i="16"/>
  <c r="HY19" i="16"/>
  <c r="HX19" i="16"/>
  <c r="HW19" i="16"/>
  <c r="HV19" i="16"/>
  <c r="HU19" i="16"/>
  <c r="HT19" i="16"/>
  <c r="HS19" i="16"/>
  <c r="HR19" i="16"/>
  <c r="HQ19" i="16"/>
  <c r="HP19" i="16"/>
  <c r="HO19" i="16"/>
  <c r="HN19" i="16"/>
  <c r="HM19" i="16"/>
  <c r="HL19" i="16"/>
  <c r="HK19" i="16"/>
  <c r="HJ19" i="16"/>
  <c r="HI19" i="16"/>
  <c r="HH19" i="16"/>
  <c r="HG19" i="16"/>
  <c r="HF19" i="16"/>
  <c r="HE19" i="16"/>
  <c r="KC18" i="16"/>
  <c r="KB18" i="16"/>
  <c r="KA18" i="16"/>
  <c r="JZ18" i="16"/>
  <c r="JY18" i="16"/>
  <c r="JX18" i="16"/>
  <c r="JW18" i="16"/>
  <c r="JV18" i="16"/>
  <c r="JU18" i="16"/>
  <c r="JT18" i="16"/>
  <c r="JS18" i="16"/>
  <c r="JR18" i="16"/>
  <c r="JQ18" i="16"/>
  <c r="JP18" i="16"/>
  <c r="JO18" i="16"/>
  <c r="JN18" i="16"/>
  <c r="JM18" i="16"/>
  <c r="JL18" i="16"/>
  <c r="JK18" i="16"/>
  <c r="JJ18" i="16"/>
  <c r="JI18" i="16"/>
  <c r="JH18" i="16"/>
  <c r="JG18" i="16"/>
  <c r="JF18" i="16"/>
  <c r="JE18" i="16"/>
  <c r="JD18" i="16"/>
  <c r="JC18" i="16"/>
  <c r="JB18" i="16"/>
  <c r="JA18" i="16"/>
  <c r="IZ18" i="16"/>
  <c r="IY18" i="16"/>
  <c r="IX18" i="16"/>
  <c r="IW18" i="16"/>
  <c r="IV18" i="16"/>
  <c r="IU18" i="16"/>
  <c r="IT18" i="16"/>
  <c r="IS18" i="16"/>
  <c r="IR18" i="16"/>
  <c r="IQ18" i="16"/>
  <c r="IP18" i="16"/>
  <c r="IO18" i="16"/>
  <c r="IN18" i="16"/>
  <c r="IM18" i="16"/>
  <c r="IL18" i="16"/>
  <c r="IK18" i="16"/>
  <c r="IJ18" i="16"/>
  <c r="II18" i="16"/>
  <c r="IH18" i="16"/>
  <c r="IG18" i="16"/>
  <c r="IF18" i="16"/>
  <c r="IE18" i="16"/>
  <c r="ID18" i="16"/>
  <c r="IC18" i="16"/>
  <c r="IB18" i="16"/>
  <c r="IA18" i="16"/>
  <c r="HZ18" i="16"/>
  <c r="HY18" i="16"/>
  <c r="HX18" i="16"/>
  <c r="HW18" i="16"/>
  <c r="HV18" i="16"/>
  <c r="HU18" i="16"/>
  <c r="HT18" i="16"/>
  <c r="HS18" i="16"/>
  <c r="HR18" i="16"/>
  <c r="HQ18" i="16"/>
  <c r="HP18" i="16"/>
  <c r="HO18" i="16"/>
  <c r="HN18" i="16"/>
  <c r="HM18" i="16"/>
  <c r="HL18" i="16"/>
  <c r="HK18" i="16"/>
  <c r="HJ18" i="16"/>
  <c r="HI18" i="16"/>
  <c r="HH18" i="16"/>
  <c r="HG18" i="16"/>
  <c r="HF18" i="16"/>
  <c r="HE18" i="16"/>
  <c r="KC17" i="16"/>
  <c r="KB17" i="16"/>
  <c r="KA17" i="16"/>
  <c r="JZ17" i="16"/>
  <c r="JY17" i="16"/>
  <c r="JX17" i="16"/>
  <c r="JW17" i="16"/>
  <c r="JV17" i="16"/>
  <c r="JU17" i="16"/>
  <c r="JT17" i="16"/>
  <c r="JS17" i="16"/>
  <c r="JR17" i="16"/>
  <c r="JQ17" i="16"/>
  <c r="JP17" i="16"/>
  <c r="JO17" i="16"/>
  <c r="JN17" i="16"/>
  <c r="JM17" i="16"/>
  <c r="JL17" i="16"/>
  <c r="JK17" i="16"/>
  <c r="JJ17" i="16"/>
  <c r="JI17" i="16"/>
  <c r="JH17" i="16"/>
  <c r="JG17" i="16"/>
  <c r="JF17" i="16"/>
  <c r="JE17" i="16"/>
  <c r="JD17" i="16"/>
  <c r="JC17" i="16"/>
  <c r="JB17" i="16"/>
  <c r="JA17" i="16"/>
  <c r="IZ17" i="16"/>
  <c r="IY17" i="16"/>
  <c r="IX17" i="16"/>
  <c r="IW17" i="16"/>
  <c r="IV17" i="16"/>
  <c r="IU17" i="16"/>
  <c r="IT17" i="16"/>
  <c r="IS17" i="16"/>
  <c r="IR17" i="16"/>
  <c r="IQ17" i="16"/>
  <c r="IP17" i="16"/>
  <c r="IO17" i="16"/>
  <c r="IN17" i="16"/>
  <c r="IM17" i="16"/>
  <c r="IL17" i="16"/>
  <c r="IK17" i="16"/>
  <c r="IJ17" i="16"/>
  <c r="II17" i="16"/>
  <c r="IH17" i="16"/>
  <c r="IG17" i="16"/>
  <c r="IF17" i="16"/>
  <c r="IE17" i="16"/>
  <c r="ID17" i="16"/>
  <c r="IC17" i="16"/>
  <c r="IB17" i="16"/>
  <c r="IA17" i="16"/>
  <c r="HZ17" i="16"/>
  <c r="HY17" i="16"/>
  <c r="HX17" i="16"/>
  <c r="HW17" i="16"/>
  <c r="HV17" i="16"/>
  <c r="HU17" i="16"/>
  <c r="HT17" i="16"/>
  <c r="HS17" i="16"/>
  <c r="HR17" i="16"/>
  <c r="HQ17" i="16"/>
  <c r="HP17" i="16"/>
  <c r="HO17" i="16"/>
  <c r="HN17" i="16"/>
  <c r="HM17" i="16"/>
  <c r="HL17" i="16"/>
  <c r="HK17" i="16"/>
  <c r="HJ17" i="16"/>
  <c r="HI17" i="16"/>
  <c r="HH17" i="16"/>
  <c r="HG17" i="16"/>
  <c r="HF17" i="16"/>
  <c r="HE17" i="16"/>
  <c r="KC16" i="16"/>
  <c r="KB16" i="16"/>
  <c r="KA16" i="16"/>
  <c r="JZ16" i="16"/>
  <c r="JY16" i="16"/>
  <c r="JX16" i="16"/>
  <c r="JW16" i="16"/>
  <c r="JV16" i="16"/>
  <c r="JU16" i="16"/>
  <c r="JT16" i="16"/>
  <c r="JS16" i="16"/>
  <c r="JR16" i="16"/>
  <c r="JQ16" i="16"/>
  <c r="JP16" i="16"/>
  <c r="JO16" i="16"/>
  <c r="JN16" i="16"/>
  <c r="JM16" i="16"/>
  <c r="JL16" i="16"/>
  <c r="JK16" i="16"/>
  <c r="JJ16" i="16"/>
  <c r="JI16" i="16"/>
  <c r="JH16" i="16"/>
  <c r="JG16" i="16"/>
  <c r="JF16" i="16"/>
  <c r="JE16" i="16"/>
  <c r="JD16" i="16"/>
  <c r="JC16" i="16"/>
  <c r="JB16" i="16"/>
  <c r="JA16" i="16"/>
  <c r="IZ16" i="16"/>
  <c r="IY16" i="16"/>
  <c r="IX16" i="16"/>
  <c r="IW16" i="16"/>
  <c r="IV16" i="16"/>
  <c r="IU16" i="16"/>
  <c r="IT16" i="16"/>
  <c r="IS16" i="16"/>
  <c r="IR16" i="16"/>
  <c r="IQ16" i="16"/>
  <c r="IP16" i="16"/>
  <c r="IO16" i="16"/>
  <c r="IN16" i="16"/>
  <c r="IM16" i="16"/>
  <c r="IL16" i="16"/>
  <c r="IK16" i="16"/>
  <c r="IJ16" i="16"/>
  <c r="II16" i="16"/>
  <c r="IH16" i="16"/>
  <c r="IG16" i="16"/>
  <c r="IF16" i="16"/>
  <c r="IE16" i="16"/>
  <c r="ID16" i="16"/>
  <c r="IC16" i="16"/>
  <c r="IB16" i="16"/>
  <c r="IA16" i="16"/>
  <c r="HZ16" i="16"/>
  <c r="HY16" i="16"/>
  <c r="HX16" i="16"/>
  <c r="HW16" i="16"/>
  <c r="HV16" i="16"/>
  <c r="HU16" i="16"/>
  <c r="HT16" i="16"/>
  <c r="HS16" i="16"/>
  <c r="HR16" i="16"/>
  <c r="HQ16" i="16"/>
  <c r="HP16" i="16"/>
  <c r="HO16" i="16"/>
  <c r="HN16" i="16"/>
  <c r="HM16" i="16"/>
  <c r="HL16" i="16"/>
  <c r="HK16" i="16"/>
  <c r="HJ16" i="16"/>
  <c r="HI16" i="16"/>
  <c r="HH16" i="16"/>
  <c r="HG16" i="16"/>
  <c r="HF16" i="16"/>
  <c r="HE16" i="16"/>
  <c r="KC15" i="16"/>
  <c r="KB15" i="16"/>
  <c r="KA15" i="16"/>
  <c r="JZ15" i="16"/>
  <c r="JY15" i="16"/>
  <c r="JX15" i="16"/>
  <c r="JW15" i="16"/>
  <c r="JV15" i="16"/>
  <c r="JU15" i="16"/>
  <c r="JT15" i="16"/>
  <c r="JS15" i="16"/>
  <c r="JR15" i="16"/>
  <c r="JQ15" i="16"/>
  <c r="JP15" i="16"/>
  <c r="JO15" i="16"/>
  <c r="JN15" i="16"/>
  <c r="JM15" i="16"/>
  <c r="JL15" i="16"/>
  <c r="JK15" i="16"/>
  <c r="JJ15" i="16"/>
  <c r="JI15" i="16"/>
  <c r="JH15" i="16"/>
  <c r="JG15" i="16"/>
  <c r="JF15" i="16"/>
  <c r="JE15" i="16"/>
  <c r="JD15" i="16"/>
  <c r="JC15" i="16"/>
  <c r="JB15" i="16"/>
  <c r="JA15" i="16"/>
  <c r="IZ15" i="16"/>
  <c r="IY15" i="16"/>
  <c r="IX15" i="16"/>
  <c r="IW15" i="16"/>
  <c r="IV15" i="16"/>
  <c r="IU15" i="16"/>
  <c r="IT15" i="16"/>
  <c r="IS15" i="16"/>
  <c r="IR15" i="16"/>
  <c r="IQ15" i="16"/>
  <c r="IP15" i="16"/>
  <c r="IO15" i="16"/>
  <c r="IN15" i="16"/>
  <c r="IM15" i="16"/>
  <c r="IL15" i="16"/>
  <c r="IK15" i="16"/>
  <c r="IJ15" i="16"/>
  <c r="II15" i="16"/>
  <c r="IH15" i="16"/>
  <c r="IG15" i="16"/>
  <c r="IF15" i="16"/>
  <c r="IE15" i="16"/>
  <c r="ID15" i="16"/>
  <c r="IC15" i="16"/>
  <c r="IB15" i="16"/>
  <c r="IA15" i="16"/>
  <c r="HZ15" i="16"/>
  <c r="HY15" i="16"/>
  <c r="HX15" i="16"/>
  <c r="HW15" i="16"/>
  <c r="HV15" i="16"/>
  <c r="HU15" i="16"/>
  <c r="HT15" i="16"/>
  <c r="HS15" i="16"/>
  <c r="HR15" i="16"/>
  <c r="HQ15" i="16"/>
  <c r="HP15" i="16"/>
  <c r="HO15" i="16"/>
  <c r="HN15" i="16"/>
  <c r="HM15" i="16"/>
  <c r="HL15" i="16"/>
  <c r="HK15" i="16"/>
  <c r="HJ15" i="16"/>
  <c r="HI15" i="16"/>
  <c r="HH15" i="16"/>
  <c r="HG15" i="16"/>
  <c r="HF15" i="16"/>
  <c r="HE15" i="16"/>
  <c r="KC14" i="16"/>
  <c r="KB14" i="16"/>
  <c r="KA14" i="16"/>
  <c r="JZ14" i="16"/>
  <c r="JY14" i="16"/>
  <c r="JX14" i="16"/>
  <c r="JW14" i="16"/>
  <c r="JV14" i="16"/>
  <c r="JU14" i="16"/>
  <c r="JT14" i="16"/>
  <c r="JS14" i="16"/>
  <c r="JR14" i="16"/>
  <c r="JQ14" i="16"/>
  <c r="JP14" i="16"/>
  <c r="JO14" i="16"/>
  <c r="JN14" i="16"/>
  <c r="JM14" i="16"/>
  <c r="JL14" i="16"/>
  <c r="JK14" i="16"/>
  <c r="JJ14" i="16"/>
  <c r="JI14" i="16"/>
  <c r="JH14" i="16"/>
  <c r="JG14" i="16"/>
  <c r="JF14" i="16"/>
  <c r="JE14" i="16"/>
  <c r="JD14" i="16"/>
  <c r="JC14" i="16"/>
  <c r="JB14" i="16"/>
  <c r="JA14" i="16"/>
  <c r="IZ14" i="16"/>
  <c r="IY14" i="16"/>
  <c r="IX14" i="16"/>
  <c r="IW14" i="16"/>
  <c r="IV14" i="16"/>
  <c r="IU14" i="16"/>
  <c r="IT14" i="16"/>
  <c r="IS14" i="16"/>
  <c r="IR14" i="16"/>
  <c r="IQ14" i="16"/>
  <c r="IP14" i="16"/>
  <c r="IO14" i="16"/>
  <c r="IN14" i="16"/>
  <c r="IM14" i="16"/>
  <c r="IL14" i="16"/>
  <c r="IK14" i="16"/>
  <c r="IJ14" i="16"/>
  <c r="II14" i="16"/>
  <c r="IH14" i="16"/>
  <c r="IG14" i="16"/>
  <c r="IF14" i="16"/>
  <c r="IE14" i="16"/>
  <c r="ID14" i="16"/>
  <c r="IC14" i="16"/>
  <c r="IB14" i="16"/>
  <c r="IA14" i="16"/>
  <c r="HZ14" i="16"/>
  <c r="HY14" i="16"/>
  <c r="HX14" i="16"/>
  <c r="HW14" i="16"/>
  <c r="HV14" i="16"/>
  <c r="HU14" i="16"/>
  <c r="HT14" i="16"/>
  <c r="HS14" i="16"/>
  <c r="HR14" i="16"/>
  <c r="HQ14" i="16"/>
  <c r="HP14" i="16"/>
  <c r="HO14" i="16"/>
  <c r="HN14" i="16"/>
  <c r="HM14" i="16"/>
  <c r="HL14" i="16"/>
  <c r="HK14" i="16"/>
  <c r="HJ14" i="16"/>
  <c r="HI14" i="16"/>
  <c r="HH14" i="16"/>
  <c r="HG14" i="16"/>
  <c r="HF14" i="16"/>
  <c r="HE14" i="16"/>
  <c r="KC13" i="16"/>
  <c r="KB13" i="16"/>
  <c r="KA13" i="16"/>
  <c r="JZ13" i="16"/>
  <c r="JY13" i="16"/>
  <c r="JX13" i="16"/>
  <c r="JW13" i="16"/>
  <c r="JV13" i="16"/>
  <c r="JU13" i="16"/>
  <c r="JT13" i="16"/>
  <c r="JS13" i="16"/>
  <c r="JR13" i="16"/>
  <c r="JQ13" i="16"/>
  <c r="JP13" i="16"/>
  <c r="JO13" i="16"/>
  <c r="JN13" i="16"/>
  <c r="JM13" i="16"/>
  <c r="JL13" i="16"/>
  <c r="JK13" i="16"/>
  <c r="JJ13" i="16"/>
  <c r="JI13" i="16"/>
  <c r="JH13" i="16"/>
  <c r="JG13" i="16"/>
  <c r="JF13" i="16"/>
  <c r="JE13" i="16"/>
  <c r="JD13" i="16"/>
  <c r="JC13" i="16"/>
  <c r="JB13" i="16"/>
  <c r="JA13" i="16"/>
  <c r="IZ13" i="16"/>
  <c r="IY13" i="16"/>
  <c r="IX13" i="16"/>
  <c r="IW13" i="16"/>
  <c r="IV13" i="16"/>
  <c r="IU13" i="16"/>
  <c r="IT13" i="16"/>
  <c r="IS13" i="16"/>
  <c r="IR13" i="16"/>
  <c r="IQ13" i="16"/>
  <c r="IP13" i="16"/>
  <c r="IO13" i="16"/>
  <c r="IN13" i="16"/>
  <c r="IM13" i="16"/>
  <c r="IL13" i="16"/>
  <c r="IK13" i="16"/>
  <c r="IJ13" i="16"/>
  <c r="II13" i="16"/>
  <c r="IH13" i="16"/>
  <c r="IG13" i="16"/>
  <c r="IF13" i="16"/>
  <c r="IE13" i="16"/>
  <c r="ID13" i="16"/>
  <c r="IC13" i="16"/>
  <c r="IB13" i="16"/>
  <c r="IA13" i="16"/>
  <c r="HZ13" i="16"/>
  <c r="HY13" i="16"/>
  <c r="HX13" i="16"/>
  <c r="HW13" i="16"/>
  <c r="HV13" i="16"/>
  <c r="HU13" i="16"/>
  <c r="HT13" i="16"/>
  <c r="HS13" i="16"/>
  <c r="HR13" i="16"/>
  <c r="HQ13" i="16"/>
  <c r="HP13" i="16"/>
  <c r="HO13" i="16"/>
  <c r="HN13" i="16"/>
  <c r="HM13" i="16"/>
  <c r="HL13" i="16"/>
  <c r="HK13" i="16"/>
  <c r="HJ13" i="16"/>
  <c r="HI13" i="16"/>
  <c r="HH13" i="16"/>
  <c r="HG13" i="16"/>
  <c r="HF13" i="16"/>
  <c r="HE13" i="16"/>
  <c r="KC12" i="16"/>
  <c r="KB12" i="16"/>
  <c r="KA12" i="16"/>
  <c r="JZ12" i="16"/>
  <c r="JY12" i="16"/>
  <c r="JX12" i="16"/>
  <c r="JW12" i="16"/>
  <c r="JV12" i="16"/>
  <c r="JU12" i="16"/>
  <c r="JT12" i="16"/>
  <c r="JS12" i="16"/>
  <c r="JR12" i="16"/>
  <c r="JQ12" i="16"/>
  <c r="JP12" i="16"/>
  <c r="JO12" i="16"/>
  <c r="JN12" i="16"/>
  <c r="JM12" i="16"/>
  <c r="JL12" i="16"/>
  <c r="JK12" i="16"/>
  <c r="JJ12" i="16"/>
  <c r="JI12" i="16"/>
  <c r="JH12" i="16"/>
  <c r="JG12" i="16"/>
  <c r="JF12" i="16"/>
  <c r="JE12" i="16"/>
  <c r="JD12" i="16"/>
  <c r="JC12" i="16"/>
  <c r="JB12" i="16"/>
  <c r="JA12" i="16"/>
  <c r="IZ12" i="16"/>
  <c r="IY12" i="16"/>
  <c r="IX12" i="16"/>
  <c r="IW12" i="16"/>
  <c r="IV12" i="16"/>
  <c r="IU12" i="16"/>
  <c r="IT12" i="16"/>
  <c r="IS12" i="16"/>
  <c r="IR12" i="16"/>
  <c r="IQ12" i="16"/>
  <c r="IP12" i="16"/>
  <c r="IO12" i="16"/>
  <c r="IN12" i="16"/>
  <c r="IM12" i="16"/>
  <c r="IL12" i="16"/>
  <c r="IK12" i="16"/>
  <c r="IJ12" i="16"/>
  <c r="II12" i="16"/>
  <c r="IH12" i="16"/>
  <c r="IG12" i="16"/>
  <c r="IF12" i="16"/>
  <c r="IE12" i="16"/>
  <c r="ID12" i="16"/>
  <c r="IC12" i="16"/>
  <c r="IB12" i="16"/>
  <c r="IA12" i="16"/>
  <c r="HZ12" i="16"/>
  <c r="HY12" i="16"/>
  <c r="HX12" i="16"/>
  <c r="HW12" i="16"/>
  <c r="HV12" i="16"/>
  <c r="HU12" i="16"/>
  <c r="HT12" i="16"/>
  <c r="HS12" i="16"/>
  <c r="HR12" i="16"/>
  <c r="HQ12" i="16"/>
  <c r="HP12" i="16"/>
  <c r="HO12" i="16"/>
  <c r="HN12" i="16"/>
  <c r="HM12" i="16"/>
  <c r="HL12" i="16"/>
  <c r="HK12" i="16"/>
  <c r="HJ12" i="16"/>
  <c r="HI12" i="16"/>
  <c r="HH12" i="16"/>
  <c r="HG12" i="16"/>
  <c r="HF12" i="16"/>
  <c r="HE12" i="16"/>
  <c r="KC11" i="16"/>
  <c r="KB11" i="16"/>
  <c r="KA11" i="16"/>
  <c r="JZ11" i="16"/>
  <c r="JY11" i="16"/>
  <c r="JX11" i="16"/>
  <c r="JW11" i="16"/>
  <c r="JV11" i="16"/>
  <c r="JU11" i="16"/>
  <c r="JT11" i="16"/>
  <c r="JS11" i="16"/>
  <c r="JR11" i="16"/>
  <c r="JQ11" i="16"/>
  <c r="JP11" i="16"/>
  <c r="JO11" i="16"/>
  <c r="JN11" i="16"/>
  <c r="JM11" i="16"/>
  <c r="JL11" i="16"/>
  <c r="JK11" i="16"/>
  <c r="JJ11" i="16"/>
  <c r="JI11" i="16"/>
  <c r="JH11" i="16"/>
  <c r="JG11" i="16"/>
  <c r="JF11" i="16"/>
  <c r="JE11" i="16"/>
  <c r="JD11" i="16"/>
  <c r="JC11" i="16"/>
  <c r="JB11" i="16"/>
  <c r="JA11" i="16"/>
  <c r="IZ11" i="16"/>
  <c r="IY11" i="16"/>
  <c r="IX11" i="16"/>
  <c r="IW11" i="16"/>
  <c r="IV11" i="16"/>
  <c r="IU11" i="16"/>
  <c r="IT11" i="16"/>
  <c r="IS11" i="16"/>
  <c r="IR11" i="16"/>
  <c r="IQ11" i="16"/>
  <c r="IP11" i="16"/>
  <c r="IO11" i="16"/>
  <c r="IN11" i="16"/>
  <c r="IM11" i="16"/>
  <c r="IL11" i="16"/>
  <c r="IK11" i="16"/>
  <c r="IJ11" i="16"/>
  <c r="II11" i="16"/>
  <c r="IH11" i="16"/>
  <c r="IG11" i="16"/>
  <c r="IF11" i="16"/>
  <c r="IE11" i="16"/>
  <c r="ID11" i="16"/>
  <c r="IC11" i="16"/>
  <c r="IB11" i="16"/>
  <c r="IA11" i="16"/>
  <c r="HZ11" i="16"/>
  <c r="HY11" i="16"/>
  <c r="HX11" i="16"/>
  <c r="HW11" i="16"/>
  <c r="HV11" i="16"/>
  <c r="HU11" i="16"/>
  <c r="HT11" i="16"/>
  <c r="HS11" i="16"/>
  <c r="HR11" i="16"/>
  <c r="HQ11" i="16"/>
  <c r="HP11" i="16"/>
  <c r="HO11" i="16"/>
  <c r="HN11" i="16"/>
  <c r="HM11" i="16"/>
  <c r="HL11" i="16"/>
  <c r="HK11" i="16"/>
  <c r="HJ11" i="16"/>
  <c r="HI11" i="16"/>
  <c r="HH11" i="16"/>
  <c r="HG11" i="16"/>
  <c r="HF11" i="16"/>
  <c r="HE11" i="16"/>
  <c r="KC10" i="16"/>
  <c r="KB10" i="16"/>
  <c r="KA10" i="16"/>
  <c r="JZ10" i="16"/>
  <c r="JY10" i="16"/>
  <c r="JX10" i="16"/>
  <c r="JW10" i="16"/>
  <c r="JV10" i="16"/>
  <c r="JU10" i="16"/>
  <c r="JT10" i="16"/>
  <c r="JS10" i="16"/>
  <c r="JR10" i="16"/>
  <c r="JQ10" i="16"/>
  <c r="JP10" i="16"/>
  <c r="JO10" i="16"/>
  <c r="JN10" i="16"/>
  <c r="JM10" i="16"/>
  <c r="JL10" i="16"/>
  <c r="JK10" i="16"/>
  <c r="JJ10" i="16"/>
  <c r="JI10" i="16"/>
  <c r="JH10" i="16"/>
  <c r="JG10" i="16"/>
  <c r="JF10" i="16"/>
  <c r="JE10" i="16"/>
  <c r="JD10" i="16"/>
  <c r="JC10" i="16"/>
  <c r="JB10" i="16"/>
  <c r="JA10" i="16"/>
  <c r="IZ10" i="16"/>
  <c r="IY10" i="16"/>
  <c r="IX10" i="16"/>
  <c r="IW10" i="16"/>
  <c r="IV10" i="16"/>
  <c r="IU10" i="16"/>
  <c r="IT10" i="16"/>
  <c r="IS10" i="16"/>
  <c r="IR10" i="16"/>
  <c r="IQ10" i="16"/>
  <c r="IP10" i="16"/>
  <c r="IO10" i="16"/>
  <c r="IN10" i="16"/>
  <c r="IM10" i="16"/>
  <c r="IL10" i="16"/>
  <c r="IK10" i="16"/>
  <c r="IJ10" i="16"/>
  <c r="II10" i="16"/>
  <c r="IH10" i="16"/>
  <c r="IG10" i="16"/>
  <c r="IF10" i="16"/>
  <c r="IE10" i="16"/>
  <c r="ID10" i="16"/>
  <c r="IC10" i="16"/>
  <c r="IB10" i="16"/>
  <c r="IA10" i="16"/>
  <c r="HZ10" i="16"/>
  <c r="HY10" i="16"/>
  <c r="HX10" i="16"/>
  <c r="HW10" i="16"/>
  <c r="HV10" i="16"/>
  <c r="HU10" i="16"/>
  <c r="HT10" i="16"/>
  <c r="HS10" i="16"/>
  <c r="HR10" i="16"/>
  <c r="HQ10" i="16"/>
  <c r="HP10" i="16"/>
  <c r="HO10" i="16"/>
  <c r="HN10" i="16"/>
  <c r="HM10" i="16"/>
  <c r="HL10" i="16"/>
  <c r="HK10" i="16"/>
  <c r="HJ10" i="16"/>
  <c r="HI10" i="16"/>
  <c r="HH10" i="16"/>
  <c r="HG10" i="16"/>
  <c r="HF10" i="16"/>
  <c r="HE10" i="16"/>
  <c r="KC9" i="16"/>
  <c r="KB9" i="16"/>
  <c r="KA9" i="16"/>
  <c r="JZ9" i="16"/>
  <c r="JY9" i="16"/>
  <c r="JX9" i="16"/>
  <c r="JW9" i="16"/>
  <c r="JV9" i="16"/>
  <c r="JU9" i="16"/>
  <c r="JT9" i="16"/>
  <c r="JS9" i="16"/>
  <c r="JR9" i="16"/>
  <c r="JQ9" i="16"/>
  <c r="JP9" i="16"/>
  <c r="JO9" i="16"/>
  <c r="JN9" i="16"/>
  <c r="JM9" i="16"/>
  <c r="JL9" i="16"/>
  <c r="JK9" i="16"/>
  <c r="JJ9" i="16"/>
  <c r="JI9" i="16"/>
  <c r="JH9" i="16"/>
  <c r="JG9" i="16"/>
  <c r="JF9" i="16"/>
  <c r="JE9" i="16"/>
  <c r="JD9" i="16"/>
  <c r="JC9" i="16"/>
  <c r="JB9" i="16"/>
  <c r="JA9" i="16"/>
  <c r="IZ9" i="16"/>
  <c r="IY9" i="16"/>
  <c r="IX9" i="16"/>
  <c r="IW9" i="16"/>
  <c r="IV9" i="16"/>
  <c r="IU9" i="16"/>
  <c r="IT9" i="16"/>
  <c r="IS9" i="16"/>
  <c r="IR9" i="16"/>
  <c r="IQ9" i="16"/>
  <c r="IP9" i="16"/>
  <c r="IO9" i="16"/>
  <c r="IN9" i="16"/>
  <c r="IM9" i="16"/>
  <c r="IL9" i="16"/>
  <c r="IK9" i="16"/>
  <c r="IJ9" i="16"/>
  <c r="II9" i="16"/>
  <c r="IH9" i="16"/>
  <c r="IG9" i="16"/>
  <c r="IF9" i="16"/>
  <c r="IE9" i="16"/>
  <c r="ID9" i="16"/>
  <c r="IC9" i="16"/>
  <c r="IB9" i="16"/>
  <c r="IA9" i="16"/>
  <c r="HZ9" i="16"/>
  <c r="HY9" i="16"/>
  <c r="HX9" i="16"/>
  <c r="HW9" i="16"/>
  <c r="HV9" i="16"/>
  <c r="HU9" i="16"/>
  <c r="HT9" i="16"/>
  <c r="HS9" i="16"/>
  <c r="HR9" i="16"/>
  <c r="HQ9" i="16"/>
  <c r="HP9" i="16"/>
  <c r="HO9" i="16"/>
  <c r="HN9" i="16"/>
  <c r="HM9" i="16"/>
  <c r="HL9" i="16"/>
  <c r="HK9" i="16"/>
  <c r="HJ9" i="16"/>
  <c r="HI9" i="16"/>
  <c r="HH9" i="16"/>
  <c r="HG9" i="16"/>
  <c r="HF9" i="16"/>
  <c r="HE9" i="16"/>
  <c r="KC8" i="16"/>
  <c r="KB8" i="16"/>
  <c r="KA8" i="16"/>
  <c r="JZ8" i="16"/>
  <c r="JY8" i="16"/>
  <c r="JX8" i="16"/>
  <c r="JW8" i="16"/>
  <c r="JV8" i="16"/>
  <c r="JU8" i="16"/>
  <c r="JT8" i="16"/>
  <c r="JS8" i="16"/>
  <c r="JR8" i="16"/>
  <c r="JQ8" i="16"/>
  <c r="JP8" i="16"/>
  <c r="JO8" i="16"/>
  <c r="JN8" i="16"/>
  <c r="JM8" i="16"/>
  <c r="JL8" i="16"/>
  <c r="JK8" i="16"/>
  <c r="JJ8" i="16"/>
  <c r="JI8" i="16"/>
  <c r="JH8" i="16"/>
  <c r="JG8" i="16"/>
  <c r="JF8" i="16"/>
  <c r="JE8" i="16"/>
  <c r="JD8" i="16"/>
  <c r="JC8" i="16"/>
  <c r="JB8" i="16"/>
  <c r="JA8" i="16"/>
  <c r="IZ8" i="16"/>
  <c r="IY8" i="16"/>
  <c r="IX8" i="16"/>
  <c r="IW8" i="16"/>
  <c r="IV8" i="16"/>
  <c r="IU8" i="16"/>
  <c r="IT8" i="16"/>
  <c r="IS8" i="16"/>
  <c r="IR8" i="16"/>
  <c r="IQ8" i="16"/>
  <c r="IP8" i="16"/>
  <c r="IO8" i="16"/>
  <c r="IN8" i="16"/>
  <c r="IM8" i="16"/>
  <c r="IL8" i="16"/>
  <c r="IK8" i="16"/>
  <c r="IJ8" i="16"/>
  <c r="II8" i="16"/>
  <c r="IH8" i="16"/>
  <c r="IG8" i="16"/>
  <c r="IF8" i="16"/>
  <c r="IE8" i="16"/>
  <c r="ID8" i="16"/>
  <c r="IC8" i="16"/>
  <c r="IB8" i="16"/>
  <c r="IA8" i="16"/>
  <c r="HZ8" i="16"/>
  <c r="HY8" i="16"/>
  <c r="HX8" i="16"/>
  <c r="HW8" i="16"/>
  <c r="HV8" i="16"/>
  <c r="HU8" i="16"/>
  <c r="HT8" i="16"/>
  <c r="HS8" i="16"/>
  <c r="HR8" i="16"/>
  <c r="HQ8" i="16"/>
  <c r="HP8" i="16"/>
  <c r="HO8" i="16"/>
  <c r="HN8" i="16"/>
  <c r="HM8" i="16"/>
  <c r="HL8" i="16"/>
  <c r="HK8" i="16"/>
  <c r="HJ8" i="16"/>
  <c r="HI8" i="16"/>
  <c r="HH8" i="16"/>
  <c r="HG8" i="16"/>
  <c r="HF8" i="16"/>
  <c r="HE8" i="16"/>
  <c r="KC7" i="16"/>
  <c r="KB7" i="16"/>
  <c r="KA7" i="16"/>
  <c r="JZ7" i="16"/>
  <c r="JY7" i="16"/>
  <c r="JX7" i="16"/>
  <c r="JW7" i="16"/>
  <c r="JV7" i="16"/>
  <c r="JU7" i="16"/>
  <c r="JT7" i="16"/>
  <c r="JS7" i="16"/>
  <c r="JR7" i="16"/>
  <c r="JQ7" i="16"/>
  <c r="JP7" i="16"/>
  <c r="JO7" i="16"/>
  <c r="JN7" i="16"/>
  <c r="JM7" i="16"/>
  <c r="JL7" i="16"/>
  <c r="JK7" i="16"/>
  <c r="JJ7" i="16"/>
  <c r="JI7" i="16"/>
  <c r="JH7" i="16"/>
  <c r="JG7" i="16"/>
  <c r="JF7" i="16"/>
  <c r="JE7" i="16"/>
  <c r="JD7" i="16"/>
  <c r="JC7" i="16"/>
  <c r="JB7" i="16"/>
  <c r="JA7" i="16"/>
  <c r="IZ7" i="16"/>
  <c r="IY7" i="16"/>
  <c r="IX7" i="16"/>
  <c r="IW7" i="16"/>
  <c r="IV7" i="16"/>
  <c r="IU7" i="16"/>
  <c r="IT7" i="16"/>
  <c r="IS7" i="16"/>
  <c r="IR7" i="16"/>
  <c r="IQ7" i="16"/>
  <c r="IP7" i="16"/>
  <c r="IO7" i="16"/>
  <c r="IN7" i="16"/>
  <c r="IM7" i="16"/>
  <c r="IL7" i="16"/>
  <c r="IK7" i="16"/>
  <c r="IJ7" i="16"/>
  <c r="II7" i="16"/>
  <c r="IH7" i="16"/>
  <c r="IG7" i="16"/>
  <c r="IF7" i="16"/>
  <c r="IE7" i="16"/>
  <c r="ID7" i="16"/>
  <c r="IC7" i="16"/>
  <c r="IB7" i="16"/>
  <c r="IA7" i="16"/>
  <c r="HZ7" i="16"/>
  <c r="HY7" i="16"/>
  <c r="HX7" i="16"/>
  <c r="HW7" i="16"/>
  <c r="HV7" i="16"/>
  <c r="HU7" i="16"/>
  <c r="HT7" i="16"/>
  <c r="HS7" i="16"/>
  <c r="HR7" i="16"/>
  <c r="HQ7" i="16"/>
  <c r="HP7" i="16"/>
  <c r="HO7" i="16"/>
  <c r="HN7" i="16"/>
  <c r="HM7" i="16"/>
  <c r="HL7" i="16"/>
  <c r="HK7" i="16"/>
  <c r="HJ7" i="16"/>
  <c r="HI7" i="16"/>
  <c r="HH7" i="16"/>
  <c r="HG7" i="16"/>
  <c r="HF7" i="16"/>
  <c r="HE7" i="16"/>
  <c r="KC6" i="16"/>
  <c r="KB6" i="16"/>
  <c r="KA6" i="16"/>
  <c r="JZ6" i="16"/>
  <c r="JY6" i="16"/>
  <c r="JX6" i="16"/>
  <c r="JW6" i="16"/>
  <c r="JV6" i="16"/>
  <c r="JU6" i="16"/>
  <c r="JT6" i="16"/>
  <c r="JS6" i="16"/>
  <c r="JR6" i="16"/>
  <c r="JQ6" i="16"/>
  <c r="JP6" i="16"/>
  <c r="JO6" i="16"/>
  <c r="JN6" i="16"/>
  <c r="JM6" i="16"/>
  <c r="JL6" i="16"/>
  <c r="JK6" i="16"/>
  <c r="JJ6" i="16"/>
  <c r="JI6" i="16"/>
  <c r="JH6" i="16"/>
  <c r="JG6" i="16"/>
  <c r="JF6" i="16"/>
  <c r="JE6" i="16"/>
  <c r="JD6" i="16"/>
  <c r="JC6" i="16"/>
  <c r="JB6" i="16"/>
  <c r="JA6" i="16"/>
  <c r="IZ6" i="16"/>
  <c r="IY6" i="16"/>
  <c r="IX6" i="16"/>
  <c r="IW6" i="16"/>
  <c r="IV6" i="16"/>
  <c r="IU6" i="16"/>
  <c r="IT6" i="16"/>
  <c r="IS6" i="16"/>
  <c r="IR6" i="16"/>
  <c r="IQ6" i="16"/>
  <c r="IP6" i="16"/>
  <c r="IO6" i="16"/>
  <c r="IN6" i="16"/>
  <c r="IM6" i="16"/>
  <c r="IL6" i="16"/>
  <c r="IK6" i="16"/>
  <c r="IJ6" i="16"/>
  <c r="II6" i="16"/>
  <c r="IH6" i="16"/>
  <c r="IG6" i="16"/>
  <c r="IF6" i="16"/>
  <c r="IE6" i="16"/>
  <c r="ID6" i="16"/>
  <c r="IC6" i="16"/>
  <c r="IB6" i="16"/>
  <c r="IA6" i="16"/>
  <c r="HZ6" i="16"/>
  <c r="HY6" i="16"/>
  <c r="HX6" i="16"/>
  <c r="HW6" i="16"/>
  <c r="HV6" i="16"/>
  <c r="HU6" i="16"/>
  <c r="HT6" i="16"/>
  <c r="HS6" i="16"/>
  <c r="HR6" i="16"/>
  <c r="HQ6" i="16"/>
  <c r="HP6" i="16"/>
  <c r="HO6" i="16"/>
  <c r="HN6" i="16"/>
  <c r="HM6" i="16"/>
  <c r="HL6" i="16"/>
  <c r="HK6" i="16"/>
  <c r="HJ6" i="16"/>
  <c r="HI6" i="16"/>
  <c r="HH6" i="16"/>
  <c r="HG6" i="16"/>
  <c r="HF6" i="16"/>
  <c r="HE6" i="16"/>
  <c r="KC5" i="16"/>
  <c r="KB5" i="16"/>
  <c r="KA5" i="16"/>
  <c r="JZ5" i="16"/>
  <c r="JY5" i="16"/>
  <c r="JX5" i="16"/>
  <c r="JW5" i="16"/>
  <c r="JV5" i="16"/>
  <c r="JU5" i="16"/>
  <c r="JT5" i="16"/>
  <c r="JS5" i="16"/>
  <c r="JR5" i="16"/>
  <c r="JQ5" i="16"/>
  <c r="JP5" i="16"/>
  <c r="JO5" i="16"/>
  <c r="JN5" i="16"/>
  <c r="JM5" i="16"/>
  <c r="JL5" i="16"/>
  <c r="JK5" i="16"/>
  <c r="JJ5" i="16"/>
  <c r="JI5" i="16"/>
  <c r="JH5" i="16"/>
  <c r="JG5" i="16"/>
  <c r="JF5" i="16"/>
  <c r="JE5" i="16"/>
  <c r="JD5" i="16"/>
  <c r="JC5" i="16"/>
  <c r="JB5" i="16"/>
  <c r="JA5" i="16"/>
  <c r="IZ5" i="16"/>
  <c r="IY5" i="16"/>
  <c r="IX5" i="16"/>
  <c r="IW5" i="16"/>
  <c r="IV5" i="16"/>
  <c r="IU5" i="16"/>
  <c r="IT5" i="16"/>
  <c r="IS5" i="16"/>
  <c r="IR5" i="16"/>
  <c r="IQ5" i="16"/>
  <c r="IP5" i="16"/>
  <c r="IO5" i="16"/>
  <c r="IN5" i="16"/>
  <c r="IM5" i="16"/>
  <c r="IL5" i="16"/>
  <c r="IK5" i="16"/>
  <c r="IJ5" i="16"/>
  <c r="II5" i="16"/>
  <c r="IH5" i="16"/>
  <c r="IG5" i="16"/>
  <c r="IF5" i="16"/>
  <c r="IE5" i="16"/>
  <c r="ID5" i="16"/>
  <c r="IC5" i="16"/>
  <c r="IB5" i="16"/>
  <c r="IA5" i="16"/>
  <c r="HZ5" i="16"/>
  <c r="HY5" i="16"/>
  <c r="HX5" i="16"/>
  <c r="HW5" i="16"/>
  <c r="HV5" i="16"/>
  <c r="HU5" i="16"/>
  <c r="HT5" i="16"/>
  <c r="HS5" i="16"/>
  <c r="HR5" i="16"/>
  <c r="HQ5" i="16"/>
  <c r="HP5" i="16"/>
  <c r="HO5" i="16"/>
  <c r="HN5" i="16"/>
  <c r="HM5" i="16"/>
  <c r="HL5" i="16"/>
  <c r="HK5" i="16"/>
  <c r="HJ5" i="16"/>
  <c r="HI5" i="16"/>
  <c r="HH5" i="16"/>
  <c r="HG5" i="16"/>
  <c r="HF5" i="16"/>
  <c r="HE5" i="16"/>
  <c r="KC4" i="16"/>
  <c r="KB4" i="16"/>
  <c r="KA4" i="16"/>
  <c r="JZ4" i="16"/>
  <c r="JY4" i="16"/>
  <c r="JX4" i="16"/>
  <c r="JW4" i="16"/>
  <c r="JV4" i="16"/>
  <c r="JU4" i="16"/>
  <c r="JT4" i="16"/>
  <c r="JS4" i="16"/>
  <c r="JR4" i="16"/>
  <c r="JQ4" i="16"/>
  <c r="JP4" i="16"/>
  <c r="JO4" i="16"/>
  <c r="JN4" i="16"/>
  <c r="JM4" i="16"/>
  <c r="JL4" i="16"/>
  <c r="JK4" i="16"/>
  <c r="JJ4" i="16"/>
  <c r="JI4" i="16"/>
  <c r="JH4" i="16"/>
  <c r="JG4" i="16"/>
  <c r="JF4" i="16"/>
  <c r="JE4" i="16"/>
  <c r="JD4" i="16"/>
  <c r="JC4" i="16"/>
  <c r="JB4" i="16"/>
  <c r="JA4" i="16"/>
  <c r="IZ4" i="16"/>
  <c r="IY4" i="16"/>
  <c r="IX4" i="16"/>
  <c r="IW4" i="16"/>
  <c r="IV4" i="16"/>
  <c r="IU4" i="16"/>
  <c r="IT4" i="16"/>
  <c r="IS4" i="16"/>
  <c r="IR4" i="16"/>
  <c r="IQ4" i="16"/>
  <c r="IP4" i="16"/>
  <c r="IO4" i="16"/>
  <c r="IN4" i="16"/>
  <c r="IM4" i="16"/>
  <c r="IL4" i="16"/>
  <c r="IK4" i="16"/>
  <c r="IJ4" i="16"/>
  <c r="II4" i="16"/>
  <c r="IH4" i="16"/>
  <c r="IG4" i="16"/>
  <c r="IF4" i="16"/>
  <c r="IE4" i="16"/>
  <c r="ID4" i="16"/>
  <c r="IC4" i="16"/>
  <c r="IB4" i="16"/>
  <c r="IA4" i="16"/>
  <c r="HZ4" i="16"/>
  <c r="HY4" i="16"/>
  <c r="HX4" i="16"/>
  <c r="HW4" i="16"/>
  <c r="HV4" i="16"/>
  <c r="HU4" i="16"/>
  <c r="HT4" i="16"/>
  <c r="HS4" i="16"/>
  <c r="HR4" i="16"/>
  <c r="HQ4" i="16"/>
  <c r="HP4" i="16"/>
  <c r="HO4" i="16"/>
  <c r="HN4" i="16"/>
  <c r="HM4" i="16"/>
  <c r="HL4" i="16"/>
  <c r="HK4" i="16"/>
  <c r="HJ4" i="16"/>
  <c r="HI4" i="16"/>
  <c r="HH4" i="16"/>
  <c r="HG4" i="16"/>
  <c r="HF4" i="16"/>
  <c r="HE4" i="16"/>
  <c r="KC3" i="16"/>
  <c r="KB3" i="16"/>
  <c r="KA3" i="16"/>
  <c r="JZ3" i="16"/>
  <c r="JY3" i="16"/>
  <c r="JX3" i="16"/>
  <c r="JW3" i="16"/>
  <c r="JV3" i="16"/>
  <c r="JU3" i="16"/>
  <c r="JT3" i="16"/>
  <c r="JS3" i="16"/>
  <c r="JR3" i="16"/>
  <c r="JQ3" i="16"/>
  <c r="JP3" i="16"/>
  <c r="JO3" i="16"/>
  <c r="JN3" i="16"/>
  <c r="JM3" i="16"/>
  <c r="JL3" i="16"/>
  <c r="JK3" i="16"/>
  <c r="JJ3" i="16"/>
  <c r="JI3" i="16"/>
  <c r="JH3" i="16"/>
  <c r="JG3" i="16"/>
  <c r="JF3" i="16"/>
  <c r="JE3" i="16"/>
  <c r="JD3" i="16"/>
  <c r="JC3" i="16"/>
  <c r="JB3" i="16"/>
  <c r="JA3" i="16"/>
  <c r="IZ3" i="16"/>
  <c r="IY3" i="16"/>
  <c r="IX3" i="16"/>
  <c r="IW3" i="16"/>
  <c r="IV3" i="16"/>
  <c r="IU3" i="16"/>
  <c r="IT3" i="16"/>
  <c r="IS3" i="16"/>
  <c r="IR3" i="16"/>
  <c r="IQ3" i="16"/>
  <c r="IP3" i="16"/>
  <c r="IO3" i="16"/>
  <c r="IN3" i="16"/>
  <c r="IM3" i="16"/>
  <c r="IL3" i="16"/>
  <c r="IK3" i="16"/>
  <c r="IJ3" i="16"/>
  <c r="II3" i="16"/>
  <c r="IH3" i="16"/>
  <c r="IG3" i="16"/>
  <c r="IF3" i="16"/>
  <c r="IE3" i="16"/>
  <c r="ID3" i="16"/>
  <c r="IC3" i="16"/>
  <c r="IB3" i="16"/>
  <c r="IA3" i="16"/>
  <c r="HZ3" i="16"/>
  <c r="HY3" i="16"/>
  <c r="HX3" i="16"/>
  <c r="HW3" i="16"/>
  <c r="HV3" i="16"/>
  <c r="HU3" i="16"/>
  <c r="HT3" i="16"/>
  <c r="HS3" i="16"/>
  <c r="HR3" i="16"/>
  <c r="HQ3" i="16"/>
  <c r="HP3" i="16"/>
  <c r="HO3" i="16"/>
  <c r="HN3" i="16"/>
  <c r="HM3" i="16"/>
  <c r="HL3" i="16"/>
  <c r="HK3" i="16"/>
  <c r="HJ3" i="16"/>
  <c r="HI3" i="16"/>
  <c r="HH3" i="16"/>
  <c r="HG3" i="16"/>
  <c r="HF3" i="16"/>
  <c r="HE3" i="16"/>
  <c r="KC2" i="16"/>
  <c r="KB2" i="16"/>
  <c r="KA2" i="16"/>
  <c r="JZ2" i="16"/>
  <c r="JY2" i="16"/>
  <c r="JX2" i="16"/>
  <c r="JW2" i="16"/>
  <c r="JV2" i="16"/>
  <c r="JU2" i="16"/>
  <c r="JT2" i="16"/>
  <c r="JS2" i="16"/>
  <c r="JR2" i="16"/>
  <c r="JQ2" i="16"/>
  <c r="JP2" i="16"/>
  <c r="JO2" i="16"/>
  <c r="JN2" i="16"/>
  <c r="JM2" i="16"/>
  <c r="JL2" i="16"/>
  <c r="JK2" i="16"/>
  <c r="JJ2" i="16"/>
  <c r="JI2" i="16"/>
  <c r="JH2" i="16"/>
  <c r="JG2" i="16"/>
  <c r="JF2" i="16"/>
  <c r="JE2" i="16"/>
  <c r="JD2" i="16"/>
  <c r="JC2" i="16"/>
  <c r="JB2" i="16"/>
  <c r="JA2" i="16"/>
  <c r="IZ2" i="16"/>
  <c r="IY2" i="16"/>
  <c r="IX2" i="16"/>
  <c r="IW2" i="16"/>
  <c r="IV2" i="16"/>
  <c r="IU2" i="16"/>
  <c r="IT2" i="16"/>
  <c r="IS2" i="16"/>
  <c r="IR2" i="16"/>
  <c r="IQ2" i="16"/>
  <c r="IP2" i="16"/>
  <c r="IO2" i="16"/>
  <c r="IN2" i="16"/>
  <c r="IM2" i="16"/>
  <c r="IL2" i="16"/>
  <c r="IK2" i="16"/>
  <c r="IJ2" i="16"/>
  <c r="II2" i="16"/>
  <c r="IH2" i="16"/>
  <c r="IG2" i="16"/>
  <c r="IF2" i="16"/>
  <c r="IE2" i="16"/>
  <c r="ID2" i="16"/>
  <c r="IC2" i="16"/>
  <c r="IB2" i="16"/>
  <c r="IA2" i="16"/>
  <c r="HZ2" i="16"/>
  <c r="HY2" i="16"/>
  <c r="HX2" i="16"/>
  <c r="HW2" i="16"/>
  <c r="HV2" i="16"/>
  <c r="HU2" i="16"/>
  <c r="HT2" i="16"/>
  <c r="HS2" i="16"/>
  <c r="HR2" i="16"/>
  <c r="HQ2" i="16"/>
  <c r="HP2" i="16"/>
  <c r="HO2" i="16"/>
  <c r="HN2" i="16"/>
  <c r="HM2" i="16"/>
  <c r="HL2" i="16"/>
  <c r="HK2" i="16"/>
  <c r="HJ2" i="16"/>
  <c r="HI2" i="16"/>
  <c r="HH2" i="16"/>
  <c r="HG2" i="16"/>
  <c r="HF2" i="16"/>
  <c r="HE2" i="16"/>
  <c r="KC49" i="15"/>
  <c r="KB49" i="15"/>
  <c r="KA49" i="15"/>
  <c r="JZ49" i="15"/>
  <c r="JY49" i="15"/>
  <c r="JX49" i="15"/>
  <c r="JW49" i="15"/>
  <c r="JV49" i="15"/>
  <c r="JU49" i="15"/>
  <c r="JT49" i="15"/>
  <c r="JS49" i="15"/>
  <c r="JR49" i="15"/>
  <c r="JQ49" i="15"/>
  <c r="JP49" i="15"/>
  <c r="JO49" i="15"/>
  <c r="JN49" i="15"/>
  <c r="JM49" i="15"/>
  <c r="JL49" i="15"/>
  <c r="JK49" i="15"/>
  <c r="JJ49" i="15"/>
  <c r="JI49" i="15"/>
  <c r="JH49" i="15"/>
  <c r="JG49" i="15"/>
  <c r="JF49" i="15"/>
  <c r="JE49" i="15"/>
  <c r="JD49" i="15"/>
  <c r="JC49" i="15"/>
  <c r="JB49" i="15"/>
  <c r="JA49" i="15"/>
  <c r="IZ49" i="15"/>
  <c r="IY49" i="15"/>
  <c r="IX49" i="15"/>
  <c r="IW49" i="15"/>
  <c r="IV49" i="15"/>
  <c r="IU49" i="15"/>
  <c r="IT49" i="15"/>
  <c r="IS49" i="15"/>
  <c r="IR49" i="15"/>
  <c r="IQ49" i="15"/>
  <c r="IP49" i="15"/>
  <c r="IO49" i="15"/>
  <c r="IN49" i="15"/>
  <c r="IM49" i="15"/>
  <c r="IL49" i="15"/>
  <c r="IK49" i="15"/>
  <c r="IJ49" i="15"/>
  <c r="II49" i="15"/>
  <c r="IH49" i="15"/>
  <c r="IG49" i="15"/>
  <c r="IF49" i="15"/>
  <c r="IE49" i="15"/>
  <c r="ID49" i="15"/>
  <c r="IC49" i="15"/>
  <c r="IB49" i="15"/>
  <c r="IA49" i="15"/>
  <c r="HZ49" i="15"/>
  <c r="HY49" i="15"/>
  <c r="HX49" i="15"/>
  <c r="HW49" i="15"/>
  <c r="HV49" i="15"/>
  <c r="HU49" i="15"/>
  <c r="HT49" i="15"/>
  <c r="HS49" i="15"/>
  <c r="HR49" i="15"/>
  <c r="HQ49" i="15"/>
  <c r="HP49" i="15"/>
  <c r="HO49" i="15"/>
  <c r="HN49" i="15"/>
  <c r="HM49" i="15"/>
  <c r="HL49" i="15"/>
  <c r="HK49" i="15"/>
  <c r="HJ49" i="15"/>
  <c r="HI49" i="15"/>
  <c r="HH49" i="15"/>
  <c r="HG49" i="15"/>
  <c r="HF49" i="15"/>
  <c r="HE49" i="15"/>
  <c r="HD49" i="15"/>
  <c r="HC49" i="15"/>
  <c r="HB49" i="15"/>
  <c r="HA49" i="15"/>
  <c r="GZ49" i="15"/>
  <c r="GY49" i="15"/>
  <c r="GX49" i="15"/>
  <c r="GW49" i="15"/>
  <c r="GV49" i="15"/>
  <c r="GU49" i="15"/>
  <c r="GT49" i="15"/>
  <c r="GS49" i="15"/>
  <c r="GR49" i="15"/>
  <c r="GQ49" i="15"/>
  <c r="GP49" i="15"/>
  <c r="GO49" i="15"/>
  <c r="GN49" i="15"/>
  <c r="GM49" i="15"/>
  <c r="GL49" i="15"/>
  <c r="GK49" i="15"/>
  <c r="GJ49" i="15"/>
  <c r="GI49" i="15"/>
  <c r="GH49" i="15"/>
  <c r="GG49" i="15"/>
  <c r="GF49" i="15"/>
  <c r="GE49" i="15"/>
  <c r="GD49" i="15"/>
  <c r="GC49" i="15"/>
  <c r="GB49" i="15"/>
  <c r="GA49" i="15"/>
  <c r="FZ49" i="15"/>
  <c r="FY49" i="15"/>
  <c r="FX49" i="15"/>
  <c r="FW49" i="15"/>
  <c r="FV49" i="15"/>
  <c r="FU49" i="15"/>
  <c r="FT49" i="15"/>
  <c r="FS49" i="15"/>
  <c r="FR49" i="15"/>
  <c r="FQ49" i="15"/>
  <c r="FP49" i="15"/>
  <c r="FO49" i="15"/>
  <c r="FN49" i="15"/>
  <c r="FM49" i="15"/>
  <c r="FL49" i="15"/>
  <c r="FK49" i="15"/>
  <c r="FJ49" i="15"/>
  <c r="FI49" i="15"/>
  <c r="FH49" i="15"/>
  <c r="FG49" i="15"/>
  <c r="FF49" i="15"/>
  <c r="FE49" i="15"/>
  <c r="FD49" i="15"/>
  <c r="FC49" i="15"/>
  <c r="FB49" i="15"/>
  <c r="FA49" i="15"/>
  <c r="EZ49" i="15"/>
  <c r="EY49" i="15"/>
  <c r="EX49" i="15"/>
  <c r="EW49" i="15"/>
  <c r="EV49" i="15"/>
  <c r="EU49" i="15"/>
  <c r="ET49" i="15"/>
  <c r="ES49" i="15"/>
  <c r="ER49" i="15"/>
  <c r="EQ49" i="15"/>
  <c r="EP49" i="15"/>
  <c r="EO49" i="15"/>
  <c r="EN49" i="15"/>
  <c r="EM49" i="15"/>
  <c r="EL49" i="15"/>
  <c r="EK49" i="15"/>
  <c r="EJ49" i="15"/>
  <c r="EI49" i="15"/>
  <c r="EH49" i="15"/>
  <c r="EG49" i="15"/>
  <c r="EF49" i="15"/>
  <c r="EE49" i="15"/>
  <c r="ED49" i="15"/>
  <c r="EC49" i="15"/>
  <c r="EB49" i="15"/>
  <c r="EA49" i="15"/>
  <c r="DZ49" i="15"/>
  <c r="DY49" i="15"/>
  <c r="DX49" i="15"/>
  <c r="DW49" i="15"/>
  <c r="DV49" i="15"/>
  <c r="DU49" i="15"/>
  <c r="DT49" i="15"/>
  <c r="DS49" i="15"/>
  <c r="DR49" i="15"/>
  <c r="DQ49" i="15"/>
  <c r="DP49" i="15"/>
  <c r="DO49" i="15"/>
  <c r="DN49" i="15"/>
  <c r="DM49" i="15"/>
  <c r="DL49" i="15"/>
  <c r="DK49" i="15"/>
  <c r="DJ49" i="15"/>
  <c r="DI49" i="15"/>
  <c r="DH49" i="15"/>
  <c r="DG49" i="15"/>
  <c r="DF49" i="15"/>
  <c r="DE49" i="15"/>
  <c r="DD49" i="15"/>
  <c r="DC49" i="15"/>
  <c r="DB49" i="15"/>
  <c r="DA49" i="15"/>
  <c r="CZ49" i="15"/>
  <c r="CY49" i="15"/>
  <c r="CX49" i="15"/>
  <c r="CW49" i="15"/>
  <c r="CV49" i="15"/>
  <c r="CU49" i="15"/>
  <c r="CT49" i="15"/>
  <c r="CS49" i="15"/>
  <c r="CR49" i="15"/>
  <c r="CQ49" i="15"/>
  <c r="CP49" i="15"/>
  <c r="CO49" i="15"/>
  <c r="CN49" i="15"/>
  <c r="CM49" i="15"/>
  <c r="CL49" i="15"/>
  <c r="CK49" i="15"/>
  <c r="CJ49" i="15"/>
  <c r="CI49" i="15"/>
  <c r="CH49" i="15"/>
  <c r="CG49" i="15"/>
  <c r="CF49" i="15"/>
  <c r="CE49" i="15"/>
  <c r="CD49" i="15"/>
  <c r="CC49" i="15"/>
  <c r="CB49" i="15"/>
  <c r="CA49" i="15"/>
  <c r="BZ49" i="15"/>
  <c r="BY49" i="15"/>
  <c r="BX49" i="15"/>
  <c r="BW49" i="15"/>
  <c r="BV49" i="15"/>
  <c r="BU49" i="15"/>
  <c r="BT49" i="15"/>
  <c r="BS49" i="15"/>
  <c r="BR49" i="15"/>
  <c r="BQ49" i="15"/>
  <c r="BP49" i="15"/>
  <c r="BO49" i="15"/>
  <c r="BN49" i="15"/>
  <c r="BM49" i="15"/>
  <c r="BL49" i="15"/>
  <c r="BK49" i="15"/>
  <c r="BJ49" i="15"/>
  <c r="BI49" i="15"/>
  <c r="BH49" i="15"/>
  <c r="BG49" i="15"/>
  <c r="BF49" i="15"/>
  <c r="BE49" i="15"/>
  <c r="BD49" i="15"/>
  <c r="BC49" i="15"/>
  <c r="BB49" i="15"/>
  <c r="BA49" i="15"/>
  <c r="AZ49" i="15"/>
  <c r="AY49" i="15"/>
  <c r="AX49" i="15"/>
  <c r="AW49" i="15"/>
  <c r="AV49" i="15"/>
  <c r="AU49" i="15"/>
  <c r="AT49" i="15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KC48" i="15"/>
  <c r="KB48" i="15"/>
  <c r="KA48" i="15"/>
  <c r="JZ48" i="15"/>
  <c r="JY48" i="15"/>
  <c r="JX48" i="15"/>
  <c r="JW48" i="15"/>
  <c r="JV48" i="15"/>
  <c r="JU48" i="15"/>
  <c r="JT48" i="15"/>
  <c r="JS48" i="15"/>
  <c r="JR48" i="15"/>
  <c r="JQ48" i="15"/>
  <c r="JP48" i="15"/>
  <c r="JO48" i="15"/>
  <c r="JN48" i="15"/>
  <c r="JM48" i="15"/>
  <c r="JL48" i="15"/>
  <c r="JK48" i="15"/>
  <c r="JJ48" i="15"/>
  <c r="JI48" i="15"/>
  <c r="JH48" i="15"/>
  <c r="JG48" i="15"/>
  <c r="JF48" i="15"/>
  <c r="JE48" i="15"/>
  <c r="JD48" i="15"/>
  <c r="JC48" i="15"/>
  <c r="JB48" i="15"/>
  <c r="JA48" i="15"/>
  <c r="IZ48" i="15"/>
  <c r="IY48" i="15"/>
  <c r="IX48" i="15"/>
  <c r="IW48" i="15"/>
  <c r="IV48" i="15"/>
  <c r="IU48" i="15"/>
  <c r="IT48" i="15"/>
  <c r="IS48" i="15"/>
  <c r="IR48" i="15"/>
  <c r="IQ48" i="15"/>
  <c r="IP48" i="15"/>
  <c r="IO48" i="15"/>
  <c r="IN48" i="15"/>
  <c r="IM48" i="15"/>
  <c r="IL48" i="15"/>
  <c r="IK48" i="15"/>
  <c r="IJ48" i="15"/>
  <c r="II48" i="15"/>
  <c r="IH48" i="15"/>
  <c r="IG48" i="15"/>
  <c r="IF48" i="15"/>
  <c r="IE48" i="15"/>
  <c r="ID48" i="15"/>
  <c r="IC48" i="15"/>
  <c r="IB48" i="15"/>
  <c r="IA48" i="15"/>
  <c r="HZ48" i="15"/>
  <c r="HY48" i="15"/>
  <c r="HX48" i="15"/>
  <c r="HW48" i="15"/>
  <c r="HV48" i="15"/>
  <c r="HU48" i="15"/>
  <c r="HT48" i="15"/>
  <c r="HS48" i="15"/>
  <c r="HR48" i="15"/>
  <c r="HQ48" i="15"/>
  <c r="HP48" i="15"/>
  <c r="HO48" i="15"/>
  <c r="HN48" i="15"/>
  <c r="HM48" i="15"/>
  <c r="HL48" i="15"/>
  <c r="HK48" i="15"/>
  <c r="HJ48" i="15"/>
  <c r="HI48" i="15"/>
  <c r="HH48" i="15"/>
  <c r="HG48" i="15"/>
  <c r="HF48" i="15"/>
  <c r="HE48" i="15"/>
  <c r="HD48" i="15"/>
  <c r="HC48" i="15"/>
  <c r="HB48" i="15"/>
  <c r="HA48" i="15"/>
  <c r="GZ48" i="15"/>
  <c r="GY48" i="15"/>
  <c r="GX48" i="15"/>
  <c r="GW48" i="15"/>
  <c r="GV48" i="15"/>
  <c r="GU48" i="15"/>
  <c r="GT48" i="15"/>
  <c r="GS48" i="15"/>
  <c r="GR48" i="15"/>
  <c r="GQ48" i="15"/>
  <c r="GP48" i="15"/>
  <c r="GO48" i="15"/>
  <c r="GN48" i="15"/>
  <c r="GM48" i="15"/>
  <c r="GL48" i="15"/>
  <c r="GK48" i="15"/>
  <c r="GJ48" i="15"/>
  <c r="GI48" i="15"/>
  <c r="GH48" i="15"/>
  <c r="GG48" i="15"/>
  <c r="GF48" i="15"/>
  <c r="GE48" i="15"/>
  <c r="GD48" i="15"/>
  <c r="GC48" i="15"/>
  <c r="GB48" i="15"/>
  <c r="GA48" i="15"/>
  <c r="FZ48" i="15"/>
  <c r="FY48" i="15"/>
  <c r="FX48" i="15"/>
  <c r="FW48" i="15"/>
  <c r="FV48" i="15"/>
  <c r="FU48" i="15"/>
  <c r="FT48" i="15"/>
  <c r="FS48" i="15"/>
  <c r="FR48" i="15"/>
  <c r="FQ48" i="15"/>
  <c r="FP48" i="15"/>
  <c r="FO48" i="15"/>
  <c r="FN48" i="15"/>
  <c r="FM48" i="15"/>
  <c r="FL48" i="15"/>
  <c r="FK48" i="15"/>
  <c r="FJ48" i="15"/>
  <c r="FI48" i="15"/>
  <c r="FH48" i="15"/>
  <c r="FG48" i="15"/>
  <c r="FF48" i="15"/>
  <c r="FE48" i="15"/>
  <c r="FD48" i="15"/>
  <c r="FC48" i="15"/>
  <c r="FB48" i="15"/>
  <c r="FA48" i="15"/>
  <c r="EZ48" i="15"/>
  <c r="EY48" i="15"/>
  <c r="EX48" i="15"/>
  <c r="EW48" i="15"/>
  <c r="EV48" i="15"/>
  <c r="EU48" i="15"/>
  <c r="ET48" i="15"/>
  <c r="ES48" i="15"/>
  <c r="ER48" i="15"/>
  <c r="EQ48" i="15"/>
  <c r="EP48" i="15"/>
  <c r="EO48" i="15"/>
  <c r="EN48" i="15"/>
  <c r="EM48" i="15"/>
  <c r="EL48" i="15"/>
  <c r="EK48" i="15"/>
  <c r="EJ48" i="15"/>
  <c r="EI48" i="15"/>
  <c r="EH48" i="15"/>
  <c r="EG48" i="15"/>
  <c r="EF48" i="15"/>
  <c r="EE48" i="15"/>
  <c r="ED48" i="15"/>
  <c r="EC48" i="15"/>
  <c r="EB48" i="15"/>
  <c r="EA48" i="15"/>
  <c r="DZ48" i="15"/>
  <c r="DY48" i="15"/>
  <c r="DX48" i="15"/>
  <c r="DW48" i="15"/>
  <c r="DV48" i="15"/>
  <c r="DU48" i="15"/>
  <c r="DT48" i="15"/>
  <c r="DS48" i="15"/>
  <c r="DR48" i="15"/>
  <c r="DQ48" i="15"/>
  <c r="DP48" i="15"/>
  <c r="DO48" i="15"/>
  <c r="DN48" i="15"/>
  <c r="DM48" i="15"/>
  <c r="DL48" i="15"/>
  <c r="DK48" i="15"/>
  <c r="DJ48" i="15"/>
  <c r="DI48" i="15"/>
  <c r="DH48" i="15"/>
  <c r="DG48" i="15"/>
  <c r="DF48" i="15"/>
  <c r="DE48" i="15"/>
  <c r="DD48" i="15"/>
  <c r="DC48" i="15"/>
  <c r="DB48" i="15"/>
  <c r="DA48" i="15"/>
  <c r="CZ48" i="15"/>
  <c r="CY48" i="15"/>
  <c r="CX48" i="15"/>
  <c r="CW48" i="15"/>
  <c r="CV48" i="15"/>
  <c r="CU48" i="15"/>
  <c r="CT48" i="15"/>
  <c r="CS48" i="15"/>
  <c r="CR48" i="15"/>
  <c r="CQ48" i="15"/>
  <c r="CP48" i="15"/>
  <c r="CO48" i="15"/>
  <c r="CN48" i="15"/>
  <c r="CM48" i="15"/>
  <c r="CL48" i="15"/>
  <c r="CK48" i="15"/>
  <c r="CJ48" i="15"/>
  <c r="CI48" i="15"/>
  <c r="CH48" i="15"/>
  <c r="CG48" i="15"/>
  <c r="CF48" i="15"/>
  <c r="CE48" i="15"/>
  <c r="CD48" i="15"/>
  <c r="CC48" i="15"/>
  <c r="CB48" i="15"/>
  <c r="CA48" i="15"/>
  <c r="BZ48" i="15"/>
  <c r="BY48" i="15"/>
  <c r="BX48" i="15"/>
  <c r="BW48" i="15"/>
  <c r="BV48" i="15"/>
  <c r="BU48" i="15"/>
  <c r="BT48" i="15"/>
  <c r="BS48" i="15"/>
  <c r="BR48" i="15"/>
  <c r="BQ48" i="15"/>
  <c r="BP48" i="15"/>
  <c r="BO48" i="15"/>
  <c r="BN48" i="15"/>
  <c r="BM48" i="15"/>
  <c r="BL48" i="15"/>
  <c r="BK48" i="15"/>
  <c r="BJ48" i="15"/>
  <c r="BI48" i="15"/>
  <c r="BH48" i="15"/>
  <c r="BG48" i="15"/>
  <c r="BF48" i="15"/>
  <c r="BE48" i="15"/>
  <c r="BD48" i="15"/>
  <c r="BC48" i="15"/>
  <c r="BB48" i="15"/>
  <c r="BA48" i="15"/>
  <c r="AZ48" i="15"/>
  <c r="AY48" i="15"/>
  <c r="AX48" i="15"/>
  <c r="AW48" i="15"/>
  <c r="AV48" i="15"/>
  <c r="AU48" i="15"/>
  <c r="AT48" i="15"/>
  <c r="AS48" i="15"/>
  <c r="AR48" i="15"/>
  <c r="AQ48" i="15"/>
  <c r="AP48" i="15"/>
  <c r="AO48" i="15"/>
  <c r="AN48" i="15"/>
  <c r="AM48" i="15"/>
  <c r="AL48" i="15"/>
  <c r="AK48" i="15"/>
  <c r="AJ48" i="15"/>
  <c r="AI48" i="15"/>
  <c r="AH48" i="15"/>
  <c r="AG48" i="15"/>
  <c r="AF48" i="15"/>
  <c r="AE48" i="15"/>
  <c r="AD48" i="15"/>
  <c r="AC48" i="15"/>
  <c r="AB48" i="15"/>
  <c r="AA48" i="15"/>
  <c r="Z48" i="15"/>
  <c r="Y48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KC47" i="15"/>
  <c r="KB47" i="15"/>
  <c r="KA47" i="15"/>
  <c r="JZ47" i="15"/>
  <c r="JY47" i="15"/>
  <c r="JX47" i="15"/>
  <c r="JW47" i="15"/>
  <c r="JV47" i="15"/>
  <c r="JU47" i="15"/>
  <c r="JT47" i="15"/>
  <c r="JS47" i="15"/>
  <c r="JR47" i="15"/>
  <c r="JQ47" i="15"/>
  <c r="JP47" i="15"/>
  <c r="JO47" i="15"/>
  <c r="JN47" i="15"/>
  <c r="JM47" i="15"/>
  <c r="JL47" i="15"/>
  <c r="JK47" i="15"/>
  <c r="JJ47" i="15"/>
  <c r="JI47" i="15"/>
  <c r="JH47" i="15"/>
  <c r="JG47" i="15"/>
  <c r="JF47" i="15"/>
  <c r="JE47" i="15"/>
  <c r="JD47" i="15"/>
  <c r="JC47" i="15"/>
  <c r="JB47" i="15"/>
  <c r="JA47" i="15"/>
  <c r="IZ47" i="15"/>
  <c r="IY47" i="15"/>
  <c r="IX47" i="15"/>
  <c r="IW47" i="15"/>
  <c r="IV47" i="15"/>
  <c r="IU47" i="15"/>
  <c r="IT47" i="15"/>
  <c r="IS47" i="15"/>
  <c r="IR47" i="15"/>
  <c r="IQ47" i="15"/>
  <c r="IP47" i="15"/>
  <c r="IO47" i="15"/>
  <c r="IN47" i="15"/>
  <c r="IM47" i="15"/>
  <c r="IL47" i="15"/>
  <c r="IK47" i="15"/>
  <c r="IJ47" i="15"/>
  <c r="II47" i="15"/>
  <c r="IH47" i="15"/>
  <c r="IG47" i="15"/>
  <c r="IF47" i="15"/>
  <c r="IE47" i="15"/>
  <c r="ID47" i="15"/>
  <c r="IC47" i="15"/>
  <c r="IB47" i="15"/>
  <c r="IA47" i="15"/>
  <c r="HZ47" i="15"/>
  <c r="HY47" i="15"/>
  <c r="HX47" i="15"/>
  <c r="HW47" i="15"/>
  <c r="HV47" i="15"/>
  <c r="HU47" i="15"/>
  <c r="HT47" i="15"/>
  <c r="HS47" i="15"/>
  <c r="HR47" i="15"/>
  <c r="HQ47" i="15"/>
  <c r="HP47" i="15"/>
  <c r="HO47" i="15"/>
  <c r="HN47" i="15"/>
  <c r="HM47" i="15"/>
  <c r="HL47" i="15"/>
  <c r="HK47" i="15"/>
  <c r="HJ47" i="15"/>
  <c r="HI47" i="15"/>
  <c r="HH47" i="15"/>
  <c r="HG47" i="15"/>
  <c r="HF47" i="15"/>
  <c r="HE47" i="15"/>
  <c r="HD47" i="15"/>
  <c r="HC47" i="15"/>
  <c r="HB47" i="15"/>
  <c r="HA47" i="15"/>
  <c r="GZ47" i="15"/>
  <c r="GY47" i="15"/>
  <c r="GX47" i="15"/>
  <c r="GW47" i="15"/>
  <c r="GV47" i="15"/>
  <c r="GU47" i="15"/>
  <c r="GT47" i="15"/>
  <c r="GS47" i="15"/>
  <c r="GR47" i="15"/>
  <c r="GQ47" i="15"/>
  <c r="GP47" i="15"/>
  <c r="GO47" i="15"/>
  <c r="GN47" i="15"/>
  <c r="GM47" i="15"/>
  <c r="GL47" i="15"/>
  <c r="GK47" i="15"/>
  <c r="GJ47" i="15"/>
  <c r="GI47" i="15"/>
  <c r="GH47" i="15"/>
  <c r="GG47" i="15"/>
  <c r="GF47" i="15"/>
  <c r="GE47" i="15"/>
  <c r="GD47" i="15"/>
  <c r="GC47" i="15"/>
  <c r="GB47" i="15"/>
  <c r="GA47" i="15"/>
  <c r="FZ47" i="15"/>
  <c r="FY47" i="15"/>
  <c r="FX47" i="15"/>
  <c r="FW47" i="15"/>
  <c r="FV47" i="15"/>
  <c r="FU47" i="15"/>
  <c r="FT47" i="15"/>
  <c r="FS47" i="15"/>
  <c r="FR47" i="15"/>
  <c r="FQ47" i="15"/>
  <c r="FP47" i="15"/>
  <c r="FO47" i="15"/>
  <c r="FN47" i="15"/>
  <c r="FM47" i="15"/>
  <c r="FL47" i="15"/>
  <c r="FK47" i="15"/>
  <c r="FJ47" i="15"/>
  <c r="FI47" i="15"/>
  <c r="FH47" i="15"/>
  <c r="FG47" i="15"/>
  <c r="FF47" i="15"/>
  <c r="FE47" i="15"/>
  <c r="FD47" i="15"/>
  <c r="FC47" i="15"/>
  <c r="FB47" i="15"/>
  <c r="FA47" i="15"/>
  <c r="EZ47" i="15"/>
  <c r="EY47" i="15"/>
  <c r="EX47" i="15"/>
  <c r="EW47" i="15"/>
  <c r="EV47" i="15"/>
  <c r="EU47" i="15"/>
  <c r="ET47" i="15"/>
  <c r="ES47" i="15"/>
  <c r="ER47" i="15"/>
  <c r="EQ47" i="15"/>
  <c r="EP47" i="15"/>
  <c r="EO47" i="15"/>
  <c r="EN47" i="15"/>
  <c r="EM47" i="15"/>
  <c r="EL47" i="15"/>
  <c r="EK47" i="15"/>
  <c r="EJ47" i="15"/>
  <c r="EI47" i="15"/>
  <c r="EH47" i="15"/>
  <c r="EG47" i="15"/>
  <c r="EF47" i="15"/>
  <c r="EE47" i="15"/>
  <c r="ED47" i="15"/>
  <c r="EC47" i="15"/>
  <c r="EB47" i="15"/>
  <c r="EA47" i="15"/>
  <c r="DZ47" i="15"/>
  <c r="DY47" i="15"/>
  <c r="DX47" i="15"/>
  <c r="DW47" i="15"/>
  <c r="DV47" i="15"/>
  <c r="DU47" i="15"/>
  <c r="DT47" i="15"/>
  <c r="DS47" i="15"/>
  <c r="DR47" i="15"/>
  <c r="DQ47" i="15"/>
  <c r="DP47" i="15"/>
  <c r="DO47" i="15"/>
  <c r="DN47" i="15"/>
  <c r="DM47" i="15"/>
  <c r="DL47" i="15"/>
  <c r="DK47" i="15"/>
  <c r="DJ47" i="15"/>
  <c r="DI47" i="15"/>
  <c r="DH47" i="15"/>
  <c r="DG47" i="15"/>
  <c r="DF47" i="15"/>
  <c r="DE47" i="15"/>
  <c r="DD47" i="15"/>
  <c r="DC47" i="15"/>
  <c r="DB47" i="15"/>
  <c r="DA47" i="15"/>
  <c r="CZ47" i="15"/>
  <c r="CY47" i="15"/>
  <c r="CX47" i="15"/>
  <c r="CW47" i="15"/>
  <c r="CV47" i="15"/>
  <c r="CU47" i="15"/>
  <c r="CT47" i="15"/>
  <c r="CS47" i="15"/>
  <c r="CR47" i="15"/>
  <c r="CQ47" i="15"/>
  <c r="CP47" i="15"/>
  <c r="CO47" i="15"/>
  <c r="CN47" i="15"/>
  <c r="CM47" i="15"/>
  <c r="CL47" i="15"/>
  <c r="CK47" i="15"/>
  <c r="CJ47" i="15"/>
  <c r="CI47" i="15"/>
  <c r="CH47" i="15"/>
  <c r="CG47" i="15"/>
  <c r="CF47" i="15"/>
  <c r="CE47" i="15"/>
  <c r="CD47" i="15"/>
  <c r="CC47" i="15"/>
  <c r="CB47" i="15"/>
  <c r="CA47" i="15"/>
  <c r="BZ47" i="15"/>
  <c r="BY47" i="15"/>
  <c r="BX47" i="15"/>
  <c r="BW47" i="15"/>
  <c r="BV47" i="15"/>
  <c r="BU47" i="15"/>
  <c r="BT47" i="15"/>
  <c r="BS47" i="15"/>
  <c r="BR47" i="15"/>
  <c r="BQ47" i="15"/>
  <c r="BP47" i="15"/>
  <c r="BO47" i="15"/>
  <c r="BN47" i="15"/>
  <c r="BM47" i="15"/>
  <c r="BL47" i="15"/>
  <c r="BK47" i="15"/>
  <c r="BJ47" i="15"/>
  <c r="BI47" i="15"/>
  <c r="BH47" i="15"/>
  <c r="BG47" i="15"/>
  <c r="BF47" i="15"/>
  <c r="BE47" i="15"/>
  <c r="BD47" i="15"/>
  <c r="BC47" i="15"/>
  <c r="BB47" i="15"/>
  <c r="BA47" i="15"/>
  <c r="AZ47" i="15"/>
  <c r="AY47" i="15"/>
  <c r="AX47" i="15"/>
  <c r="AW47" i="15"/>
  <c r="AV47" i="15"/>
  <c r="AU47" i="15"/>
  <c r="AT47" i="15"/>
  <c r="AS47" i="15"/>
  <c r="AR47" i="15"/>
  <c r="AQ47" i="15"/>
  <c r="AP47" i="15"/>
  <c r="AO47" i="15"/>
  <c r="AN47" i="15"/>
  <c r="AM47" i="15"/>
  <c r="AL47" i="15"/>
  <c r="AK47" i="15"/>
  <c r="AJ47" i="15"/>
  <c r="AI47" i="15"/>
  <c r="AH47" i="15"/>
  <c r="AG47" i="15"/>
  <c r="AF47" i="15"/>
  <c r="AE47" i="15"/>
  <c r="AD47" i="15"/>
  <c r="AC47" i="15"/>
  <c r="AB47" i="15"/>
  <c r="AA47" i="15"/>
  <c r="Z47" i="15"/>
  <c r="Y47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KC46" i="15"/>
  <c r="KB46" i="15"/>
  <c r="KA46" i="15"/>
  <c r="JZ46" i="15"/>
  <c r="JY46" i="15"/>
  <c r="JX46" i="15"/>
  <c r="JW46" i="15"/>
  <c r="JV46" i="15"/>
  <c r="JU46" i="15"/>
  <c r="JT46" i="15"/>
  <c r="JS46" i="15"/>
  <c r="JR46" i="15"/>
  <c r="JQ46" i="15"/>
  <c r="JP46" i="15"/>
  <c r="JO46" i="15"/>
  <c r="JN46" i="15"/>
  <c r="JM46" i="15"/>
  <c r="JL46" i="15"/>
  <c r="JK46" i="15"/>
  <c r="JJ46" i="15"/>
  <c r="JI46" i="15"/>
  <c r="JH46" i="15"/>
  <c r="JG46" i="15"/>
  <c r="JF46" i="15"/>
  <c r="JE46" i="15"/>
  <c r="JD46" i="15"/>
  <c r="JC46" i="15"/>
  <c r="JB46" i="15"/>
  <c r="JA46" i="15"/>
  <c r="IZ46" i="15"/>
  <c r="IY46" i="15"/>
  <c r="IX46" i="15"/>
  <c r="IW46" i="15"/>
  <c r="IV46" i="15"/>
  <c r="IU46" i="15"/>
  <c r="IT46" i="15"/>
  <c r="IS46" i="15"/>
  <c r="IR46" i="15"/>
  <c r="IQ46" i="15"/>
  <c r="IP46" i="15"/>
  <c r="IO46" i="15"/>
  <c r="IN46" i="15"/>
  <c r="IM46" i="15"/>
  <c r="IL46" i="15"/>
  <c r="IK46" i="15"/>
  <c r="IJ46" i="15"/>
  <c r="II46" i="15"/>
  <c r="IH46" i="15"/>
  <c r="IG46" i="15"/>
  <c r="IF46" i="15"/>
  <c r="IE46" i="15"/>
  <c r="ID46" i="15"/>
  <c r="IC46" i="15"/>
  <c r="IB46" i="15"/>
  <c r="IA46" i="15"/>
  <c r="HZ46" i="15"/>
  <c r="HY46" i="15"/>
  <c r="HX46" i="15"/>
  <c r="HW46" i="15"/>
  <c r="HV46" i="15"/>
  <c r="HU46" i="15"/>
  <c r="HT46" i="15"/>
  <c r="HS46" i="15"/>
  <c r="HR46" i="15"/>
  <c r="HQ46" i="15"/>
  <c r="HP46" i="15"/>
  <c r="HO46" i="15"/>
  <c r="HN46" i="15"/>
  <c r="HM46" i="15"/>
  <c r="HL46" i="15"/>
  <c r="HK46" i="15"/>
  <c r="HJ46" i="15"/>
  <c r="HI46" i="15"/>
  <c r="HH46" i="15"/>
  <c r="HG46" i="15"/>
  <c r="HF46" i="15"/>
  <c r="HE46" i="15"/>
  <c r="HD46" i="15"/>
  <c r="HC46" i="15"/>
  <c r="HB46" i="15"/>
  <c r="HA46" i="15"/>
  <c r="GZ46" i="15"/>
  <c r="GY46" i="15"/>
  <c r="GX46" i="15"/>
  <c r="GW46" i="15"/>
  <c r="GV46" i="15"/>
  <c r="GU46" i="15"/>
  <c r="GT46" i="15"/>
  <c r="GS46" i="15"/>
  <c r="GR46" i="15"/>
  <c r="GQ46" i="15"/>
  <c r="GP46" i="15"/>
  <c r="GO46" i="15"/>
  <c r="GN46" i="15"/>
  <c r="GM46" i="15"/>
  <c r="GL46" i="15"/>
  <c r="GK46" i="15"/>
  <c r="GJ46" i="15"/>
  <c r="GI46" i="15"/>
  <c r="GH46" i="15"/>
  <c r="GG46" i="15"/>
  <c r="GF46" i="15"/>
  <c r="GE46" i="15"/>
  <c r="GD46" i="15"/>
  <c r="GC46" i="15"/>
  <c r="GB46" i="15"/>
  <c r="GA46" i="15"/>
  <c r="FZ46" i="15"/>
  <c r="FY46" i="15"/>
  <c r="FX46" i="15"/>
  <c r="FW46" i="15"/>
  <c r="FV46" i="15"/>
  <c r="FU46" i="15"/>
  <c r="FT46" i="15"/>
  <c r="FS46" i="15"/>
  <c r="FR46" i="15"/>
  <c r="FQ46" i="15"/>
  <c r="FP46" i="15"/>
  <c r="FO46" i="15"/>
  <c r="FN46" i="15"/>
  <c r="FM46" i="15"/>
  <c r="FL46" i="15"/>
  <c r="FK46" i="15"/>
  <c r="FJ46" i="15"/>
  <c r="FI46" i="15"/>
  <c r="FH46" i="15"/>
  <c r="FG46" i="15"/>
  <c r="FF46" i="15"/>
  <c r="FE46" i="15"/>
  <c r="FD46" i="15"/>
  <c r="FC46" i="15"/>
  <c r="FB46" i="15"/>
  <c r="FA46" i="15"/>
  <c r="EZ46" i="15"/>
  <c r="EY46" i="15"/>
  <c r="EX46" i="15"/>
  <c r="EW46" i="15"/>
  <c r="EV46" i="15"/>
  <c r="EU46" i="15"/>
  <c r="ET46" i="15"/>
  <c r="ES46" i="15"/>
  <c r="ER46" i="15"/>
  <c r="EQ46" i="15"/>
  <c r="EP46" i="15"/>
  <c r="EO46" i="15"/>
  <c r="EN46" i="15"/>
  <c r="EM46" i="15"/>
  <c r="EL46" i="15"/>
  <c r="EK46" i="15"/>
  <c r="EJ46" i="15"/>
  <c r="EI46" i="15"/>
  <c r="EH46" i="15"/>
  <c r="EG46" i="15"/>
  <c r="EF46" i="15"/>
  <c r="EE46" i="15"/>
  <c r="ED46" i="15"/>
  <c r="EC46" i="15"/>
  <c r="EB46" i="15"/>
  <c r="EA46" i="15"/>
  <c r="DZ46" i="15"/>
  <c r="DY46" i="15"/>
  <c r="DX46" i="15"/>
  <c r="DW46" i="15"/>
  <c r="DV46" i="15"/>
  <c r="DU46" i="15"/>
  <c r="DT46" i="15"/>
  <c r="DS46" i="15"/>
  <c r="DR46" i="15"/>
  <c r="DQ46" i="15"/>
  <c r="DP46" i="15"/>
  <c r="DO46" i="15"/>
  <c r="DN46" i="15"/>
  <c r="DM46" i="15"/>
  <c r="DL46" i="15"/>
  <c r="DK46" i="15"/>
  <c r="DJ46" i="15"/>
  <c r="DI46" i="15"/>
  <c r="DH46" i="15"/>
  <c r="DG46" i="15"/>
  <c r="DF46" i="15"/>
  <c r="DE46" i="15"/>
  <c r="DD46" i="15"/>
  <c r="DC46" i="15"/>
  <c r="DB46" i="15"/>
  <c r="DA46" i="15"/>
  <c r="CZ46" i="15"/>
  <c r="CY46" i="15"/>
  <c r="CX46" i="15"/>
  <c r="CW46" i="15"/>
  <c r="CV46" i="15"/>
  <c r="CU46" i="15"/>
  <c r="CT46" i="15"/>
  <c r="CS46" i="15"/>
  <c r="CR46" i="15"/>
  <c r="CQ46" i="15"/>
  <c r="CP46" i="15"/>
  <c r="CO46" i="15"/>
  <c r="CN46" i="15"/>
  <c r="CM46" i="15"/>
  <c r="CL46" i="15"/>
  <c r="CK46" i="15"/>
  <c r="CJ46" i="15"/>
  <c r="CI46" i="15"/>
  <c r="CH46" i="15"/>
  <c r="CG46" i="15"/>
  <c r="CF46" i="15"/>
  <c r="CE46" i="15"/>
  <c r="CD46" i="15"/>
  <c r="CC46" i="15"/>
  <c r="CB46" i="15"/>
  <c r="CA46" i="15"/>
  <c r="BZ46" i="15"/>
  <c r="BY46" i="15"/>
  <c r="BX46" i="15"/>
  <c r="BW46" i="15"/>
  <c r="BV46" i="15"/>
  <c r="BU46" i="15"/>
  <c r="BT46" i="15"/>
  <c r="BS46" i="15"/>
  <c r="BR46" i="15"/>
  <c r="BQ46" i="15"/>
  <c r="BP46" i="15"/>
  <c r="BO46" i="15"/>
  <c r="BN46" i="15"/>
  <c r="BM46" i="15"/>
  <c r="BL46" i="15"/>
  <c r="BK46" i="15"/>
  <c r="BJ46" i="15"/>
  <c r="BI46" i="15"/>
  <c r="BH46" i="15"/>
  <c r="BG46" i="15"/>
  <c r="BF46" i="15"/>
  <c r="BE46" i="15"/>
  <c r="BD46" i="15"/>
  <c r="BC46" i="15"/>
  <c r="BB46" i="15"/>
  <c r="BA46" i="15"/>
  <c r="AZ46" i="15"/>
  <c r="AY46" i="15"/>
  <c r="AX46" i="15"/>
  <c r="AW46" i="15"/>
  <c r="AV46" i="15"/>
  <c r="AU46" i="15"/>
  <c r="AT46" i="15"/>
  <c r="AS46" i="15"/>
  <c r="AR46" i="15"/>
  <c r="AQ46" i="15"/>
  <c r="AP46" i="15"/>
  <c r="AO46" i="15"/>
  <c r="AN46" i="15"/>
  <c r="AM46" i="15"/>
  <c r="AL46" i="15"/>
  <c r="AK46" i="15"/>
  <c r="AJ46" i="15"/>
  <c r="AI46" i="15"/>
  <c r="AH46" i="15"/>
  <c r="AG46" i="15"/>
  <c r="AF46" i="15"/>
  <c r="AE46" i="15"/>
  <c r="AD46" i="15"/>
  <c r="AC46" i="15"/>
  <c r="AB46" i="15"/>
  <c r="AA46" i="15"/>
  <c r="Z46" i="15"/>
  <c r="Y46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KC45" i="15"/>
  <c r="KB45" i="15"/>
  <c r="KA45" i="15"/>
  <c r="JZ45" i="15"/>
  <c r="JY45" i="15"/>
  <c r="JX45" i="15"/>
  <c r="JW45" i="15"/>
  <c r="JV45" i="15"/>
  <c r="JU45" i="15"/>
  <c r="JT45" i="15"/>
  <c r="JS45" i="15"/>
  <c r="JR45" i="15"/>
  <c r="JQ45" i="15"/>
  <c r="JP45" i="15"/>
  <c r="JO45" i="15"/>
  <c r="JN45" i="15"/>
  <c r="JM45" i="15"/>
  <c r="JL45" i="15"/>
  <c r="JK45" i="15"/>
  <c r="JJ45" i="15"/>
  <c r="JI45" i="15"/>
  <c r="JH45" i="15"/>
  <c r="JG45" i="15"/>
  <c r="JF45" i="15"/>
  <c r="JE45" i="15"/>
  <c r="JD45" i="15"/>
  <c r="JC45" i="15"/>
  <c r="JB45" i="15"/>
  <c r="JA45" i="15"/>
  <c r="IZ45" i="15"/>
  <c r="IY45" i="15"/>
  <c r="IX45" i="15"/>
  <c r="IW45" i="15"/>
  <c r="IV45" i="15"/>
  <c r="IU45" i="15"/>
  <c r="IT45" i="15"/>
  <c r="IS45" i="15"/>
  <c r="IR45" i="15"/>
  <c r="IQ45" i="15"/>
  <c r="IP45" i="15"/>
  <c r="IO45" i="15"/>
  <c r="IN45" i="15"/>
  <c r="IM45" i="15"/>
  <c r="IL45" i="15"/>
  <c r="IK45" i="15"/>
  <c r="IJ45" i="15"/>
  <c r="II45" i="15"/>
  <c r="IH45" i="15"/>
  <c r="IG45" i="15"/>
  <c r="IF45" i="15"/>
  <c r="IE45" i="15"/>
  <c r="ID45" i="15"/>
  <c r="IC45" i="15"/>
  <c r="IB45" i="15"/>
  <c r="IA45" i="15"/>
  <c r="HZ45" i="15"/>
  <c r="HY45" i="15"/>
  <c r="HX45" i="15"/>
  <c r="HW45" i="15"/>
  <c r="HV45" i="15"/>
  <c r="HU45" i="15"/>
  <c r="HT45" i="15"/>
  <c r="HS45" i="15"/>
  <c r="HR45" i="15"/>
  <c r="HQ45" i="15"/>
  <c r="HP45" i="15"/>
  <c r="HO45" i="15"/>
  <c r="HN45" i="15"/>
  <c r="HM45" i="15"/>
  <c r="HL45" i="15"/>
  <c r="HK45" i="15"/>
  <c r="HJ45" i="15"/>
  <c r="HI45" i="15"/>
  <c r="HH45" i="15"/>
  <c r="HG45" i="15"/>
  <c r="HF45" i="15"/>
  <c r="HE45" i="15"/>
  <c r="HD45" i="15"/>
  <c r="HC45" i="15"/>
  <c r="HB45" i="15"/>
  <c r="HA45" i="15"/>
  <c r="GZ45" i="15"/>
  <c r="GY45" i="15"/>
  <c r="GX45" i="15"/>
  <c r="GW45" i="15"/>
  <c r="GV45" i="15"/>
  <c r="GU45" i="15"/>
  <c r="GT45" i="15"/>
  <c r="GS45" i="15"/>
  <c r="GR45" i="15"/>
  <c r="GQ45" i="15"/>
  <c r="GP45" i="15"/>
  <c r="GO45" i="15"/>
  <c r="GN45" i="15"/>
  <c r="GM45" i="15"/>
  <c r="GL45" i="15"/>
  <c r="GK45" i="15"/>
  <c r="GJ45" i="15"/>
  <c r="GI45" i="15"/>
  <c r="GH45" i="15"/>
  <c r="GG45" i="15"/>
  <c r="GF45" i="15"/>
  <c r="GE45" i="15"/>
  <c r="GD45" i="15"/>
  <c r="GC45" i="15"/>
  <c r="GB45" i="15"/>
  <c r="GA45" i="15"/>
  <c r="FZ45" i="15"/>
  <c r="FY45" i="15"/>
  <c r="FX45" i="15"/>
  <c r="FW45" i="15"/>
  <c r="FV45" i="15"/>
  <c r="FU45" i="15"/>
  <c r="FT45" i="15"/>
  <c r="FS45" i="15"/>
  <c r="FR45" i="15"/>
  <c r="FQ45" i="15"/>
  <c r="FP45" i="15"/>
  <c r="FO45" i="15"/>
  <c r="FN45" i="15"/>
  <c r="FM45" i="15"/>
  <c r="FL45" i="15"/>
  <c r="FK45" i="15"/>
  <c r="FJ45" i="15"/>
  <c r="FI45" i="15"/>
  <c r="FH45" i="15"/>
  <c r="FG45" i="15"/>
  <c r="FF45" i="15"/>
  <c r="FE45" i="15"/>
  <c r="FD45" i="15"/>
  <c r="FC45" i="15"/>
  <c r="FB45" i="15"/>
  <c r="FA45" i="15"/>
  <c r="EZ45" i="15"/>
  <c r="EY45" i="15"/>
  <c r="EX45" i="15"/>
  <c r="EW45" i="15"/>
  <c r="EV45" i="15"/>
  <c r="EU45" i="15"/>
  <c r="ET45" i="15"/>
  <c r="ES45" i="15"/>
  <c r="ER45" i="15"/>
  <c r="EQ45" i="15"/>
  <c r="EP45" i="15"/>
  <c r="EO45" i="15"/>
  <c r="EN45" i="15"/>
  <c r="EM45" i="15"/>
  <c r="EL45" i="15"/>
  <c r="EK45" i="15"/>
  <c r="EJ45" i="15"/>
  <c r="EI45" i="15"/>
  <c r="EH45" i="15"/>
  <c r="EG45" i="15"/>
  <c r="EF45" i="15"/>
  <c r="EE45" i="15"/>
  <c r="ED45" i="15"/>
  <c r="EC45" i="15"/>
  <c r="EB45" i="15"/>
  <c r="EA45" i="15"/>
  <c r="DZ45" i="15"/>
  <c r="DY45" i="15"/>
  <c r="DX45" i="15"/>
  <c r="DW45" i="15"/>
  <c r="DV45" i="15"/>
  <c r="DU45" i="15"/>
  <c r="DT45" i="15"/>
  <c r="DS45" i="15"/>
  <c r="DR45" i="15"/>
  <c r="DQ45" i="15"/>
  <c r="DP45" i="15"/>
  <c r="DO45" i="15"/>
  <c r="DN45" i="15"/>
  <c r="DM45" i="15"/>
  <c r="DL45" i="15"/>
  <c r="DK45" i="15"/>
  <c r="DJ45" i="15"/>
  <c r="DI45" i="15"/>
  <c r="DH45" i="15"/>
  <c r="DG45" i="15"/>
  <c r="DF45" i="15"/>
  <c r="DE45" i="15"/>
  <c r="DD45" i="15"/>
  <c r="DC45" i="15"/>
  <c r="DB45" i="15"/>
  <c r="DA45" i="15"/>
  <c r="CZ45" i="15"/>
  <c r="CY45" i="15"/>
  <c r="CX45" i="15"/>
  <c r="CW45" i="15"/>
  <c r="CV45" i="15"/>
  <c r="CU45" i="15"/>
  <c r="CT45" i="15"/>
  <c r="CS45" i="15"/>
  <c r="CR45" i="15"/>
  <c r="CQ45" i="15"/>
  <c r="CP45" i="15"/>
  <c r="CO45" i="15"/>
  <c r="CN45" i="15"/>
  <c r="CM45" i="15"/>
  <c r="CL45" i="15"/>
  <c r="CK45" i="15"/>
  <c r="CJ45" i="15"/>
  <c r="CI45" i="15"/>
  <c r="CH45" i="15"/>
  <c r="CG45" i="15"/>
  <c r="CF45" i="15"/>
  <c r="CE45" i="15"/>
  <c r="CD45" i="15"/>
  <c r="CC45" i="15"/>
  <c r="CB45" i="15"/>
  <c r="CA45" i="15"/>
  <c r="BZ45" i="15"/>
  <c r="BY45" i="15"/>
  <c r="BX45" i="15"/>
  <c r="BW45" i="15"/>
  <c r="BV45" i="15"/>
  <c r="BU45" i="15"/>
  <c r="BT45" i="15"/>
  <c r="BS45" i="15"/>
  <c r="BR45" i="15"/>
  <c r="BQ45" i="15"/>
  <c r="BP45" i="15"/>
  <c r="BO45" i="15"/>
  <c r="BN45" i="15"/>
  <c r="BM45" i="15"/>
  <c r="BL45" i="15"/>
  <c r="BK45" i="15"/>
  <c r="BJ45" i="15"/>
  <c r="BI45" i="15"/>
  <c r="BH45" i="15"/>
  <c r="BG45" i="15"/>
  <c r="BF45" i="15"/>
  <c r="BE45" i="15"/>
  <c r="BD45" i="15"/>
  <c r="BC45" i="15"/>
  <c r="BB45" i="15"/>
  <c r="BA45" i="15"/>
  <c r="AZ45" i="15"/>
  <c r="AY45" i="15"/>
  <c r="AX45" i="15"/>
  <c r="AW45" i="15"/>
  <c r="AV45" i="15"/>
  <c r="AU45" i="15"/>
  <c r="AT45" i="15"/>
  <c r="AS45" i="15"/>
  <c r="AR45" i="15"/>
  <c r="AQ45" i="15"/>
  <c r="AP45" i="15"/>
  <c r="AO45" i="15"/>
  <c r="AN45" i="15"/>
  <c r="AM45" i="15"/>
  <c r="AL45" i="15"/>
  <c r="AK45" i="15"/>
  <c r="AJ45" i="15"/>
  <c r="AI45" i="15"/>
  <c r="AH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KC44" i="15"/>
  <c r="KB44" i="15"/>
  <c r="KA44" i="15"/>
  <c r="JZ44" i="15"/>
  <c r="JY44" i="15"/>
  <c r="JX44" i="15"/>
  <c r="JW44" i="15"/>
  <c r="JV44" i="15"/>
  <c r="JU44" i="15"/>
  <c r="JT44" i="15"/>
  <c r="JS44" i="15"/>
  <c r="JR44" i="15"/>
  <c r="JQ44" i="15"/>
  <c r="JP44" i="15"/>
  <c r="JO44" i="15"/>
  <c r="JN44" i="15"/>
  <c r="JM44" i="15"/>
  <c r="JL44" i="15"/>
  <c r="JK44" i="15"/>
  <c r="JJ44" i="15"/>
  <c r="JI44" i="15"/>
  <c r="JH44" i="15"/>
  <c r="JG44" i="15"/>
  <c r="JF44" i="15"/>
  <c r="JE44" i="15"/>
  <c r="JD44" i="15"/>
  <c r="JC44" i="15"/>
  <c r="JB44" i="15"/>
  <c r="JA44" i="15"/>
  <c r="IZ44" i="15"/>
  <c r="IY44" i="15"/>
  <c r="IX44" i="15"/>
  <c r="IW44" i="15"/>
  <c r="IV44" i="15"/>
  <c r="IU44" i="15"/>
  <c r="IT44" i="15"/>
  <c r="IS44" i="15"/>
  <c r="IR44" i="15"/>
  <c r="IQ44" i="15"/>
  <c r="IP44" i="15"/>
  <c r="IO44" i="15"/>
  <c r="IN44" i="15"/>
  <c r="IM44" i="15"/>
  <c r="IL44" i="15"/>
  <c r="IK44" i="15"/>
  <c r="IJ44" i="15"/>
  <c r="II44" i="15"/>
  <c r="IH44" i="15"/>
  <c r="IG44" i="15"/>
  <c r="IF44" i="15"/>
  <c r="IE44" i="15"/>
  <c r="ID44" i="15"/>
  <c r="IC44" i="15"/>
  <c r="IB44" i="15"/>
  <c r="IA44" i="15"/>
  <c r="HZ44" i="15"/>
  <c r="HY44" i="15"/>
  <c r="HX44" i="15"/>
  <c r="HW44" i="15"/>
  <c r="HV44" i="15"/>
  <c r="HU44" i="15"/>
  <c r="HT44" i="15"/>
  <c r="HS44" i="15"/>
  <c r="HR44" i="15"/>
  <c r="HQ44" i="15"/>
  <c r="HP44" i="15"/>
  <c r="HO44" i="15"/>
  <c r="HN44" i="15"/>
  <c r="HM44" i="15"/>
  <c r="HL44" i="15"/>
  <c r="HK44" i="15"/>
  <c r="HJ44" i="15"/>
  <c r="HI44" i="15"/>
  <c r="HH44" i="15"/>
  <c r="HG44" i="15"/>
  <c r="HF44" i="15"/>
  <c r="HE44" i="15"/>
  <c r="HD44" i="15"/>
  <c r="HC44" i="15"/>
  <c r="HB44" i="15"/>
  <c r="HA44" i="15"/>
  <c r="GZ44" i="15"/>
  <c r="GY44" i="15"/>
  <c r="GX44" i="15"/>
  <c r="GW44" i="15"/>
  <c r="GV44" i="15"/>
  <c r="GU44" i="15"/>
  <c r="GT44" i="15"/>
  <c r="GS44" i="15"/>
  <c r="GR44" i="15"/>
  <c r="GQ44" i="15"/>
  <c r="GP44" i="15"/>
  <c r="GO44" i="15"/>
  <c r="GN44" i="15"/>
  <c r="GM44" i="15"/>
  <c r="GL44" i="15"/>
  <c r="GK44" i="15"/>
  <c r="GJ44" i="15"/>
  <c r="GI44" i="15"/>
  <c r="GH44" i="15"/>
  <c r="GG44" i="15"/>
  <c r="GF44" i="15"/>
  <c r="GE44" i="15"/>
  <c r="GD44" i="15"/>
  <c r="GC44" i="15"/>
  <c r="GB44" i="15"/>
  <c r="GA44" i="15"/>
  <c r="FZ44" i="15"/>
  <c r="FY44" i="15"/>
  <c r="FX44" i="15"/>
  <c r="FW44" i="15"/>
  <c r="FV44" i="15"/>
  <c r="FU44" i="15"/>
  <c r="FT44" i="15"/>
  <c r="FS44" i="15"/>
  <c r="FR44" i="15"/>
  <c r="FQ44" i="15"/>
  <c r="FP44" i="15"/>
  <c r="FO44" i="15"/>
  <c r="FN44" i="15"/>
  <c r="FM44" i="15"/>
  <c r="FL44" i="15"/>
  <c r="FK44" i="15"/>
  <c r="FJ44" i="15"/>
  <c r="FI44" i="15"/>
  <c r="FH44" i="15"/>
  <c r="FG44" i="15"/>
  <c r="FF44" i="15"/>
  <c r="FE44" i="15"/>
  <c r="FD44" i="15"/>
  <c r="FC44" i="15"/>
  <c r="FB44" i="15"/>
  <c r="FA44" i="15"/>
  <c r="EZ44" i="15"/>
  <c r="EY44" i="15"/>
  <c r="EX44" i="15"/>
  <c r="EW44" i="15"/>
  <c r="EV44" i="15"/>
  <c r="EU44" i="15"/>
  <c r="ET44" i="15"/>
  <c r="ES44" i="15"/>
  <c r="ER44" i="15"/>
  <c r="EQ44" i="15"/>
  <c r="EP44" i="15"/>
  <c r="EO44" i="15"/>
  <c r="EN44" i="15"/>
  <c r="EM44" i="15"/>
  <c r="EL44" i="15"/>
  <c r="EK44" i="15"/>
  <c r="EJ44" i="15"/>
  <c r="EI44" i="15"/>
  <c r="EH44" i="15"/>
  <c r="EG44" i="15"/>
  <c r="EF44" i="15"/>
  <c r="EE44" i="15"/>
  <c r="ED44" i="15"/>
  <c r="EC44" i="15"/>
  <c r="EB44" i="15"/>
  <c r="EA44" i="15"/>
  <c r="DZ44" i="15"/>
  <c r="DY44" i="15"/>
  <c r="DX44" i="15"/>
  <c r="DW44" i="15"/>
  <c r="DV44" i="15"/>
  <c r="DU44" i="15"/>
  <c r="DT44" i="15"/>
  <c r="DS44" i="15"/>
  <c r="DR44" i="15"/>
  <c r="DQ44" i="15"/>
  <c r="DP44" i="15"/>
  <c r="DO44" i="15"/>
  <c r="DN44" i="15"/>
  <c r="DM44" i="15"/>
  <c r="DL44" i="15"/>
  <c r="DK44" i="15"/>
  <c r="DJ44" i="15"/>
  <c r="DI44" i="15"/>
  <c r="DH44" i="15"/>
  <c r="DG44" i="15"/>
  <c r="DF44" i="15"/>
  <c r="DE44" i="15"/>
  <c r="DD44" i="15"/>
  <c r="DC44" i="15"/>
  <c r="DB44" i="15"/>
  <c r="DA44" i="15"/>
  <c r="CZ44" i="15"/>
  <c r="CY44" i="15"/>
  <c r="CX44" i="15"/>
  <c r="CW44" i="15"/>
  <c r="CV44" i="15"/>
  <c r="CU44" i="15"/>
  <c r="CT44" i="15"/>
  <c r="CS44" i="15"/>
  <c r="CR44" i="15"/>
  <c r="CQ44" i="15"/>
  <c r="CP44" i="15"/>
  <c r="CO44" i="15"/>
  <c r="CN44" i="15"/>
  <c r="CM44" i="15"/>
  <c r="CL44" i="15"/>
  <c r="CK44" i="15"/>
  <c r="CJ44" i="15"/>
  <c r="CI44" i="15"/>
  <c r="CH44" i="15"/>
  <c r="CG44" i="15"/>
  <c r="CF44" i="15"/>
  <c r="CE44" i="15"/>
  <c r="CD44" i="15"/>
  <c r="CC44" i="15"/>
  <c r="CB44" i="15"/>
  <c r="CA44" i="15"/>
  <c r="BZ44" i="15"/>
  <c r="BY44" i="15"/>
  <c r="BX44" i="15"/>
  <c r="BW44" i="15"/>
  <c r="BV44" i="15"/>
  <c r="BU44" i="15"/>
  <c r="BT44" i="15"/>
  <c r="BS44" i="15"/>
  <c r="BR44" i="15"/>
  <c r="BQ44" i="15"/>
  <c r="BP44" i="15"/>
  <c r="BO44" i="15"/>
  <c r="BN44" i="15"/>
  <c r="BM44" i="15"/>
  <c r="BL44" i="15"/>
  <c r="BK44" i="15"/>
  <c r="BJ44" i="15"/>
  <c r="BI44" i="15"/>
  <c r="BH44" i="15"/>
  <c r="BG44" i="15"/>
  <c r="BF44" i="15"/>
  <c r="BE44" i="15"/>
  <c r="BD44" i="15"/>
  <c r="BC44" i="15"/>
  <c r="BB44" i="15"/>
  <c r="BA44" i="15"/>
  <c r="AZ44" i="15"/>
  <c r="AY44" i="15"/>
  <c r="AX44" i="15"/>
  <c r="AW44" i="15"/>
  <c r="AV44" i="15"/>
  <c r="AU44" i="15"/>
  <c r="AT44" i="15"/>
  <c r="AS44" i="15"/>
  <c r="AR44" i="15"/>
  <c r="AQ44" i="15"/>
  <c r="AP44" i="15"/>
  <c r="AO44" i="15"/>
  <c r="AN44" i="15"/>
  <c r="AM44" i="15"/>
  <c r="AL44" i="15"/>
  <c r="AK44" i="15"/>
  <c r="AJ44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KC43" i="15"/>
  <c r="KB43" i="15"/>
  <c r="KA43" i="15"/>
  <c r="JZ43" i="15"/>
  <c r="JY43" i="15"/>
  <c r="JX43" i="15"/>
  <c r="JW43" i="15"/>
  <c r="JV43" i="15"/>
  <c r="JU43" i="15"/>
  <c r="JT43" i="15"/>
  <c r="JS43" i="15"/>
  <c r="JR43" i="15"/>
  <c r="JQ43" i="15"/>
  <c r="JP43" i="15"/>
  <c r="JO43" i="15"/>
  <c r="JN43" i="15"/>
  <c r="JM43" i="15"/>
  <c r="JL43" i="15"/>
  <c r="JK43" i="15"/>
  <c r="JJ43" i="15"/>
  <c r="JI43" i="15"/>
  <c r="JH43" i="15"/>
  <c r="JG43" i="15"/>
  <c r="JF43" i="15"/>
  <c r="JE43" i="15"/>
  <c r="JD43" i="15"/>
  <c r="JC43" i="15"/>
  <c r="JB43" i="15"/>
  <c r="JA43" i="15"/>
  <c r="IZ43" i="15"/>
  <c r="IY43" i="15"/>
  <c r="IX43" i="15"/>
  <c r="IW43" i="15"/>
  <c r="IV43" i="15"/>
  <c r="IU43" i="15"/>
  <c r="IT43" i="15"/>
  <c r="IS43" i="15"/>
  <c r="IR43" i="15"/>
  <c r="IQ43" i="15"/>
  <c r="IP43" i="15"/>
  <c r="IO43" i="15"/>
  <c r="IN43" i="15"/>
  <c r="IM43" i="15"/>
  <c r="IL43" i="15"/>
  <c r="IK43" i="15"/>
  <c r="IJ43" i="15"/>
  <c r="II43" i="15"/>
  <c r="IH43" i="15"/>
  <c r="IG43" i="15"/>
  <c r="IF43" i="15"/>
  <c r="IE43" i="15"/>
  <c r="ID43" i="15"/>
  <c r="IC43" i="15"/>
  <c r="IB43" i="15"/>
  <c r="IA43" i="15"/>
  <c r="HZ43" i="15"/>
  <c r="HY43" i="15"/>
  <c r="HX43" i="15"/>
  <c r="HW43" i="15"/>
  <c r="HV43" i="15"/>
  <c r="HU43" i="15"/>
  <c r="HT43" i="15"/>
  <c r="HS43" i="15"/>
  <c r="HR43" i="15"/>
  <c r="HQ43" i="15"/>
  <c r="HP43" i="15"/>
  <c r="HO43" i="15"/>
  <c r="HN43" i="15"/>
  <c r="HM43" i="15"/>
  <c r="HL43" i="15"/>
  <c r="HK43" i="15"/>
  <c r="HJ43" i="15"/>
  <c r="HI43" i="15"/>
  <c r="HH43" i="15"/>
  <c r="HG43" i="15"/>
  <c r="HF43" i="15"/>
  <c r="HE43" i="15"/>
  <c r="HD43" i="15"/>
  <c r="HC43" i="15"/>
  <c r="HB43" i="15"/>
  <c r="HA43" i="15"/>
  <c r="GZ43" i="15"/>
  <c r="GY43" i="15"/>
  <c r="GX43" i="15"/>
  <c r="GW43" i="15"/>
  <c r="GV43" i="15"/>
  <c r="GU43" i="15"/>
  <c r="GT43" i="15"/>
  <c r="GS43" i="15"/>
  <c r="GR43" i="15"/>
  <c r="GQ43" i="15"/>
  <c r="GP43" i="15"/>
  <c r="GO43" i="15"/>
  <c r="GN43" i="15"/>
  <c r="GM43" i="15"/>
  <c r="GL43" i="15"/>
  <c r="GK43" i="15"/>
  <c r="GJ43" i="15"/>
  <c r="GI43" i="15"/>
  <c r="GH43" i="15"/>
  <c r="GG43" i="15"/>
  <c r="GF43" i="15"/>
  <c r="GE43" i="15"/>
  <c r="GD43" i="15"/>
  <c r="GC43" i="15"/>
  <c r="GB43" i="15"/>
  <c r="GA43" i="15"/>
  <c r="FZ43" i="15"/>
  <c r="FY43" i="15"/>
  <c r="FX43" i="15"/>
  <c r="FW43" i="15"/>
  <c r="FV43" i="15"/>
  <c r="FU43" i="15"/>
  <c r="FT43" i="15"/>
  <c r="FS43" i="15"/>
  <c r="FR43" i="15"/>
  <c r="FQ43" i="15"/>
  <c r="FP43" i="15"/>
  <c r="FO43" i="15"/>
  <c r="FN43" i="15"/>
  <c r="FM43" i="15"/>
  <c r="FL43" i="15"/>
  <c r="FK43" i="15"/>
  <c r="FJ43" i="15"/>
  <c r="FI43" i="15"/>
  <c r="FH43" i="15"/>
  <c r="FG43" i="15"/>
  <c r="FF43" i="15"/>
  <c r="FE43" i="15"/>
  <c r="FD43" i="15"/>
  <c r="FC43" i="15"/>
  <c r="FB43" i="15"/>
  <c r="FA43" i="15"/>
  <c r="EZ43" i="15"/>
  <c r="EY43" i="15"/>
  <c r="EX43" i="15"/>
  <c r="EW43" i="15"/>
  <c r="EV43" i="15"/>
  <c r="EU43" i="15"/>
  <c r="ET43" i="15"/>
  <c r="ES43" i="15"/>
  <c r="ER43" i="15"/>
  <c r="EQ43" i="15"/>
  <c r="EP43" i="15"/>
  <c r="EO43" i="15"/>
  <c r="EN43" i="15"/>
  <c r="EM43" i="15"/>
  <c r="EL43" i="15"/>
  <c r="EK43" i="15"/>
  <c r="EJ43" i="15"/>
  <c r="EI43" i="15"/>
  <c r="EH43" i="15"/>
  <c r="EG43" i="15"/>
  <c r="EF43" i="15"/>
  <c r="EE43" i="15"/>
  <c r="ED43" i="15"/>
  <c r="EC43" i="15"/>
  <c r="EB43" i="15"/>
  <c r="EA43" i="15"/>
  <c r="DZ43" i="15"/>
  <c r="DY43" i="15"/>
  <c r="DX43" i="15"/>
  <c r="DW43" i="15"/>
  <c r="DV43" i="15"/>
  <c r="DU43" i="15"/>
  <c r="DT43" i="15"/>
  <c r="DS43" i="15"/>
  <c r="DR43" i="15"/>
  <c r="DQ43" i="15"/>
  <c r="DP43" i="15"/>
  <c r="DO43" i="15"/>
  <c r="DN43" i="15"/>
  <c r="DM43" i="15"/>
  <c r="DL43" i="15"/>
  <c r="DK43" i="15"/>
  <c r="DJ43" i="15"/>
  <c r="DI43" i="15"/>
  <c r="DH43" i="15"/>
  <c r="DG43" i="15"/>
  <c r="DF43" i="15"/>
  <c r="DE43" i="15"/>
  <c r="DD43" i="15"/>
  <c r="DC43" i="15"/>
  <c r="DB43" i="15"/>
  <c r="DA43" i="15"/>
  <c r="CZ43" i="15"/>
  <c r="CY43" i="15"/>
  <c r="CX43" i="15"/>
  <c r="CW43" i="15"/>
  <c r="CV43" i="15"/>
  <c r="CU43" i="15"/>
  <c r="CT43" i="15"/>
  <c r="CS43" i="15"/>
  <c r="CR43" i="15"/>
  <c r="CQ43" i="15"/>
  <c r="CP43" i="15"/>
  <c r="CO43" i="15"/>
  <c r="CN43" i="15"/>
  <c r="CM43" i="15"/>
  <c r="CL43" i="15"/>
  <c r="CK43" i="15"/>
  <c r="CJ43" i="15"/>
  <c r="CI43" i="15"/>
  <c r="CH43" i="15"/>
  <c r="CG43" i="15"/>
  <c r="CF43" i="15"/>
  <c r="CE43" i="15"/>
  <c r="CD43" i="15"/>
  <c r="CC43" i="15"/>
  <c r="CB43" i="15"/>
  <c r="CA43" i="15"/>
  <c r="BZ43" i="15"/>
  <c r="BY43" i="15"/>
  <c r="BX43" i="15"/>
  <c r="BW43" i="15"/>
  <c r="BV43" i="15"/>
  <c r="BU43" i="15"/>
  <c r="BT43" i="15"/>
  <c r="BS43" i="15"/>
  <c r="BR43" i="15"/>
  <c r="BQ43" i="15"/>
  <c r="BP43" i="15"/>
  <c r="BO43" i="15"/>
  <c r="BN43" i="15"/>
  <c r="BM43" i="15"/>
  <c r="BL43" i="15"/>
  <c r="BK43" i="15"/>
  <c r="BJ43" i="15"/>
  <c r="BI43" i="15"/>
  <c r="BH43" i="15"/>
  <c r="BG43" i="15"/>
  <c r="BF43" i="15"/>
  <c r="BE43" i="15"/>
  <c r="BD43" i="15"/>
  <c r="BC43" i="15"/>
  <c r="BB43" i="15"/>
  <c r="BA43" i="15"/>
  <c r="AZ43" i="15"/>
  <c r="AY43" i="15"/>
  <c r="AX43" i="15"/>
  <c r="AW43" i="15"/>
  <c r="AV43" i="15"/>
  <c r="AU43" i="15"/>
  <c r="AT43" i="15"/>
  <c r="AS43" i="15"/>
  <c r="AR43" i="15"/>
  <c r="AQ43" i="15"/>
  <c r="AP43" i="15"/>
  <c r="AO43" i="15"/>
  <c r="AN43" i="15"/>
  <c r="AM43" i="15"/>
  <c r="AL43" i="15"/>
  <c r="AK43" i="15"/>
  <c r="AJ43" i="15"/>
  <c r="AI43" i="15"/>
  <c r="AH43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KC42" i="15"/>
  <c r="KB42" i="15"/>
  <c r="KA42" i="15"/>
  <c r="JZ42" i="15"/>
  <c r="JY42" i="15"/>
  <c r="JX42" i="15"/>
  <c r="JW42" i="15"/>
  <c r="JV42" i="15"/>
  <c r="JU42" i="15"/>
  <c r="JT42" i="15"/>
  <c r="JS42" i="15"/>
  <c r="JR42" i="15"/>
  <c r="JQ42" i="15"/>
  <c r="JP42" i="15"/>
  <c r="JO42" i="15"/>
  <c r="JN42" i="15"/>
  <c r="JM42" i="15"/>
  <c r="JL42" i="15"/>
  <c r="JK42" i="15"/>
  <c r="JJ42" i="15"/>
  <c r="JI42" i="15"/>
  <c r="JH42" i="15"/>
  <c r="JG42" i="15"/>
  <c r="JF42" i="15"/>
  <c r="JE42" i="15"/>
  <c r="JD42" i="15"/>
  <c r="JC42" i="15"/>
  <c r="JB42" i="15"/>
  <c r="JA42" i="15"/>
  <c r="IZ42" i="15"/>
  <c r="IY42" i="15"/>
  <c r="IX42" i="15"/>
  <c r="IW42" i="15"/>
  <c r="IV42" i="15"/>
  <c r="IU42" i="15"/>
  <c r="IT42" i="15"/>
  <c r="IS42" i="15"/>
  <c r="IR42" i="15"/>
  <c r="IQ42" i="15"/>
  <c r="IP42" i="15"/>
  <c r="IO42" i="15"/>
  <c r="IN42" i="15"/>
  <c r="IM42" i="15"/>
  <c r="IL42" i="15"/>
  <c r="IK42" i="15"/>
  <c r="IJ42" i="15"/>
  <c r="II42" i="15"/>
  <c r="IH42" i="15"/>
  <c r="IG42" i="15"/>
  <c r="IF42" i="15"/>
  <c r="IE42" i="15"/>
  <c r="ID42" i="15"/>
  <c r="IC42" i="15"/>
  <c r="IB42" i="15"/>
  <c r="IA42" i="15"/>
  <c r="HZ42" i="15"/>
  <c r="HY42" i="15"/>
  <c r="HX42" i="15"/>
  <c r="HW42" i="15"/>
  <c r="HV42" i="15"/>
  <c r="HU42" i="15"/>
  <c r="HT42" i="15"/>
  <c r="HS42" i="15"/>
  <c r="HR42" i="15"/>
  <c r="HQ42" i="15"/>
  <c r="HP42" i="15"/>
  <c r="HO42" i="15"/>
  <c r="HN42" i="15"/>
  <c r="HM42" i="15"/>
  <c r="HL42" i="15"/>
  <c r="HK42" i="15"/>
  <c r="HJ42" i="15"/>
  <c r="HI42" i="15"/>
  <c r="HH42" i="15"/>
  <c r="HG42" i="15"/>
  <c r="HF42" i="15"/>
  <c r="HE42" i="15"/>
  <c r="HD42" i="15"/>
  <c r="HC42" i="15"/>
  <c r="HB42" i="15"/>
  <c r="HA42" i="15"/>
  <c r="GZ42" i="15"/>
  <c r="GY42" i="15"/>
  <c r="GX42" i="15"/>
  <c r="GW42" i="15"/>
  <c r="GV42" i="15"/>
  <c r="GU42" i="15"/>
  <c r="GT42" i="15"/>
  <c r="GS42" i="15"/>
  <c r="GR42" i="15"/>
  <c r="GQ42" i="15"/>
  <c r="GP42" i="15"/>
  <c r="GO42" i="15"/>
  <c r="GN42" i="15"/>
  <c r="GM42" i="15"/>
  <c r="GL42" i="15"/>
  <c r="GK42" i="15"/>
  <c r="GJ42" i="15"/>
  <c r="GI42" i="15"/>
  <c r="GH42" i="15"/>
  <c r="GG42" i="15"/>
  <c r="GF42" i="15"/>
  <c r="GE42" i="15"/>
  <c r="GD42" i="15"/>
  <c r="GC42" i="15"/>
  <c r="GB42" i="15"/>
  <c r="GA42" i="15"/>
  <c r="FZ42" i="15"/>
  <c r="FY42" i="15"/>
  <c r="FX42" i="15"/>
  <c r="FW42" i="15"/>
  <c r="FV42" i="15"/>
  <c r="FU42" i="15"/>
  <c r="FT42" i="15"/>
  <c r="FS42" i="15"/>
  <c r="FR42" i="15"/>
  <c r="FQ42" i="15"/>
  <c r="FP42" i="15"/>
  <c r="FO42" i="15"/>
  <c r="FN42" i="15"/>
  <c r="FM42" i="15"/>
  <c r="FL42" i="15"/>
  <c r="FK42" i="15"/>
  <c r="FJ42" i="15"/>
  <c r="FI42" i="15"/>
  <c r="FH42" i="15"/>
  <c r="FG42" i="15"/>
  <c r="FF42" i="15"/>
  <c r="FE42" i="15"/>
  <c r="FD42" i="15"/>
  <c r="FC42" i="15"/>
  <c r="FB42" i="15"/>
  <c r="FA42" i="15"/>
  <c r="EZ42" i="15"/>
  <c r="EY42" i="15"/>
  <c r="EX42" i="15"/>
  <c r="EW42" i="15"/>
  <c r="EV42" i="15"/>
  <c r="EU42" i="15"/>
  <c r="ET42" i="15"/>
  <c r="ES42" i="15"/>
  <c r="ER42" i="15"/>
  <c r="EQ42" i="15"/>
  <c r="EP42" i="15"/>
  <c r="EO42" i="15"/>
  <c r="EN42" i="15"/>
  <c r="EM42" i="15"/>
  <c r="EL42" i="15"/>
  <c r="EK42" i="15"/>
  <c r="EJ42" i="15"/>
  <c r="EI42" i="15"/>
  <c r="EH42" i="15"/>
  <c r="EG42" i="15"/>
  <c r="EF42" i="15"/>
  <c r="EE42" i="15"/>
  <c r="ED42" i="15"/>
  <c r="EC42" i="15"/>
  <c r="EB42" i="15"/>
  <c r="EA42" i="15"/>
  <c r="DZ42" i="15"/>
  <c r="DY42" i="15"/>
  <c r="DX42" i="15"/>
  <c r="DW42" i="15"/>
  <c r="DV42" i="15"/>
  <c r="DU42" i="15"/>
  <c r="DT42" i="15"/>
  <c r="DS42" i="15"/>
  <c r="DR42" i="15"/>
  <c r="DQ42" i="15"/>
  <c r="DP42" i="15"/>
  <c r="DO42" i="15"/>
  <c r="DN42" i="15"/>
  <c r="DM42" i="15"/>
  <c r="DL42" i="15"/>
  <c r="DK42" i="15"/>
  <c r="DJ42" i="15"/>
  <c r="DI42" i="15"/>
  <c r="DH42" i="15"/>
  <c r="DG42" i="15"/>
  <c r="DF42" i="15"/>
  <c r="DE42" i="15"/>
  <c r="DD42" i="15"/>
  <c r="DC42" i="15"/>
  <c r="DB42" i="15"/>
  <c r="DA42" i="15"/>
  <c r="CZ42" i="15"/>
  <c r="CY42" i="15"/>
  <c r="CX42" i="15"/>
  <c r="CW42" i="15"/>
  <c r="CV42" i="15"/>
  <c r="CU42" i="15"/>
  <c r="CT42" i="15"/>
  <c r="CS42" i="15"/>
  <c r="CR42" i="15"/>
  <c r="CQ42" i="15"/>
  <c r="CP42" i="15"/>
  <c r="CO42" i="15"/>
  <c r="CN42" i="15"/>
  <c r="CM42" i="15"/>
  <c r="CL42" i="15"/>
  <c r="CK42" i="15"/>
  <c r="CJ42" i="15"/>
  <c r="CI42" i="15"/>
  <c r="CH42" i="15"/>
  <c r="CG42" i="15"/>
  <c r="CF42" i="15"/>
  <c r="CE42" i="15"/>
  <c r="CD42" i="15"/>
  <c r="CC42" i="15"/>
  <c r="CB42" i="15"/>
  <c r="CA42" i="15"/>
  <c r="BZ42" i="15"/>
  <c r="BY42" i="15"/>
  <c r="BX42" i="15"/>
  <c r="BW42" i="15"/>
  <c r="BV42" i="15"/>
  <c r="BU42" i="15"/>
  <c r="BT42" i="15"/>
  <c r="BS42" i="15"/>
  <c r="BR42" i="15"/>
  <c r="BQ42" i="15"/>
  <c r="BP42" i="15"/>
  <c r="BO42" i="15"/>
  <c r="BN42" i="15"/>
  <c r="BM42" i="15"/>
  <c r="BL42" i="15"/>
  <c r="BK42" i="15"/>
  <c r="BJ42" i="15"/>
  <c r="BI42" i="15"/>
  <c r="BH42" i="15"/>
  <c r="BG42" i="15"/>
  <c r="BF42" i="15"/>
  <c r="BE42" i="15"/>
  <c r="BD42" i="15"/>
  <c r="BC42" i="15"/>
  <c r="BB42" i="15"/>
  <c r="BA42" i="15"/>
  <c r="AZ42" i="15"/>
  <c r="AY42" i="15"/>
  <c r="AX42" i="15"/>
  <c r="AW42" i="15"/>
  <c r="AV42" i="15"/>
  <c r="AU42" i="15"/>
  <c r="AT42" i="15"/>
  <c r="AS42" i="15"/>
  <c r="AR42" i="15"/>
  <c r="AQ42" i="15"/>
  <c r="AP42" i="15"/>
  <c r="AO42" i="15"/>
  <c r="AN42" i="15"/>
  <c r="AM42" i="15"/>
  <c r="AL42" i="15"/>
  <c r="AK42" i="15"/>
  <c r="AJ42" i="15"/>
  <c r="AI42" i="15"/>
  <c r="AH42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KC41" i="15"/>
  <c r="KB41" i="15"/>
  <c r="KA41" i="15"/>
  <c r="JZ41" i="15"/>
  <c r="JY41" i="15"/>
  <c r="JX41" i="15"/>
  <c r="JW41" i="15"/>
  <c r="JV41" i="15"/>
  <c r="JU41" i="15"/>
  <c r="JT41" i="15"/>
  <c r="JS41" i="15"/>
  <c r="JR41" i="15"/>
  <c r="JQ41" i="15"/>
  <c r="JP41" i="15"/>
  <c r="JO41" i="15"/>
  <c r="JN41" i="15"/>
  <c r="JM41" i="15"/>
  <c r="JL41" i="15"/>
  <c r="JK41" i="15"/>
  <c r="JJ41" i="15"/>
  <c r="JI41" i="15"/>
  <c r="JH41" i="15"/>
  <c r="JG41" i="15"/>
  <c r="JF41" i="15"/>
  <c r="JE41" i="15"/>
  <c r="JD41" i="15"/>
  <c r="JC41" i="15"/>
  <c r="JB41" i="15"/>
  <c r="JA41" i="15"/>
  <c r="IZ41" i="15"/>
  <c r="IY41" i="15"/>
  <c r="IX41" i="15"/>
  <c r="IW41" i="15"/>
  <c r="IV41" i="15"/>
  <c r="IU41" i="15"/>
  <c r="IT41" i="15"/>
  <c r="IS41" i="15"/>
  <c r="IR41" i="15"/>
  <c r="IQ41" i="15"/>
  <c r="IP41" i="15"/>
  <c r="IO41" i="15"/>
  <c r="IN41" i="15"/>
  <c r="IM41" i="15"/>
  <c r="IL41" i="15"/>
  <c r="IK41" i="15"/>
  <c r="IJ41" i="15"/>
  <c r="II41" i="15"/>
  <c r="IH41" i="15"/>
  <c r="IG41" i="15"/>
  <c r="IF41" i="15"/>
  <c r="IE41" i="15"/>
  <c r="ID41" i="15"/>
  <c r="IC41" i="15"/>
  <c r="IB41" i="15"/>
  <c r="IA41" i="15"/>
  <c r="HZ41" i="15"/>
  <c r="HY41" i="15"/>
  <c r="HX41" i="15"/>
  <c r="HW41" i="15"/>
  <c r="HV41" i="15"/>
  <c r="HU41" i="15"/>
  <c r="HT41" i="15"/>
  <c r="HS41" i="15"/>
  <c r="HR41" i="15"/>
  <c r="HQ41" i="15"/>
  <c r="HP41" i="15"/>
  <c r="HO41" i="15"/>
  <c r="HN41" i="15"/>
  <c r="HM41" i="15"/>
  <c r="HL41" i="15"/>
  <c r="HK41" i="15"/>
  <c r="HJ41" i="15"/>
  <c r="HI41" i="15"/>
  <c r="HH41" i="15"/>
  <c r="HG41" i="15"/>
  <c r="HF41" i="15"/>
  <c r="HE41" i="15"/>
  <c r="HD41" i="15"/>
  <c r="HC41" i="15"/>
  <c r="HB41" i="15"/>
  <c r="HA41" i="15"/>
  <c r="GZ41" i="15"/>
  <c r="GY41" i="15"/>
  <c r="GX41" i="15"/>
  <c r="GW41" i="15"/>
  <c r="GV41" i="15"/>
  <c r="GU41" i="15"/>
  <c r="GT41" i="15"/>
  <c r="GS41" i="15"/>
  <c r="GR41" i="15"/>
  <c r="GQ41" i="15"/>
  <c r="GP41" i="15"/>
  <c r="GO41" i="15"/>
  <c r="GN41" i="15"/>
  <c r="GM41" i="15"/>
  <c r="GL41" i="15"/>
  <c r="GK41" i="15"/>
  <c r="GJ41" i="15"/>
  <c r="GI41" i="15"/>
  <c r="GH41" i="15"/>
  <c r="GG41" i="15"/>
  <c r="GF41" i="15"/>
  <c r="GE41" i="15"/>
  <c r="GD41" i="15"/>
  <c r="GC41" i="15"/>
  <c r="GB41" i="15"/>
  <c r="GA41" i="15"/>
  <c r="FZ41" i="15"/>
  <c r="FY41" i="15"/>
  <c r="FX41" i="15"/>
  <c r="FW41" i="15"/>
  <c r="FV41" i="15"/>
  <c r="FU41" i="15"/>
  <c r="FT41" i="15"/>
  <c r="FS41" i="15"/>
  <c r="FR41" i="15"/>
  <c r="FQ41" i="15"/>
  <c r="FP41" i="15"/>
  <c r="FO41" i="15"/>
  <c r="FN41" i="15"/>
  <c r="FM41" i="15"/>
  <c r="FL41" i="15"/>
  <c r="FK41" i="15"/>
  <c r="FJ41" i="15"/>
  <c r="FI41" i="15"/>
  <c r="FH41" i="15"/>
  <c r="FG41" i="15"/>
  <c r="FF41" i="15"/>
  <c r="FE41" i="15"/>
  <c r="FD41" i="15"/>
  <c r="FC41" i="15"/>
  <c r="FB41" i="15"/>
  <c r="FA41" i="15"/>
  <c r="EZ41" i="15"/>
  <c r="EY41" i="15"/>
  <c r="EX41" i="15"/>
  <c r="EW41" i="15"/>
  <c r="EV41" i="15"/>
  <c r="EU41" i="15"/>
  <c r="ET41" i="15"/>
  <c r="ES41" i="15"/>
  <c r="ER41" i="15"/>
  <c r="EQ41" i="15"/>
  <c r="EP41" i="15"/>
  <c r="EO41" i="15"/>
  <c r="EN41" i="15"/>
  <c r="EM41" i="15"/>
  <c r="EL41" i="15"/>
  <c r="EK41" i="15"/>
  <c r="EJ41" i="15"/>
  <c r="EI41" i="15"/>
  <c r="EH41" i="15"/>
  <c r="EG41" i="15"/>
  <c r="EF41" i="15"/>
  <c r="EE41" i="15"/>
  <c r="ED41" i="15"/>
  <c r="EC41" i="15"/>
  <c r="EB41" i="15"/>
  <c r="EA41" i="15"/>
  <c r="DZ41" i="15"/>
  <c r="DY41" i="15"/>
  <c r="DX41" i="15"/>
  <c r="DW41" i="15"/>
  <c r="DV41" i="15"/>
  <c r="DU41" i="15"/>
  <c r="DT41" i="15"/>
  <c r="DS41" i="15"/>
  <c r="DR41" i="15"/>
  <c r="DQ41" i="15"/>
  <c r="DP41" i="15"/>
  <c r="DO41" i="15"/>
  <c r="DN41" i="15"/>
  <c r="DM41" i="15"/>
  <c r="DL41" i="15"/>
  <c r="DK41" i="15"/>
  <c r="DJ41" i="15"/>
  <c r="DI41" i="15"/>
  <c r="DH41" i="15"/>
  <c r="DG41" i="15"/>
  <c r="DF41" i="15"/>
  <c r="DE41" i="15"/>
  <c r="DD41" i="15"/>
  <c r="DC41" i="15"/>
  <c r="DB41" i="15"/>
  <c r="DA41" i="15"/>
  <c r="CZ41" i="15"/>
  <c r="CY41" i="15"/>
  <c r="CX41" i="15"/>
  <c r="CW41" i="15"/>
  <c r="CV41" i="15"/>
  <c r="CU41" i="15"/>
  <c r="CT41" i="15"/>
  <c r="CS41" i="15"/>
  <c r="CR41" i="15"/>
  <c r="CQ41" i="15"/>
  <c r="CP41" i="15"/>
  <c r="CO41" i="15"/>
  <c r="CN41" i="15"/>
  <c r="CM41" i="15"/>
  <c r="CL41" i="15"/>
  <c r="CK41" i="15"/>
  <c r="CJ41" i="15"/>
  <c r="CI41" i="15"/>
  <c r="CH41" i="15"/>
  <c r="CG41" i="15"/>
  <c r="CF41" i="15"/>
  <c r="CE41" i="15"/>
  <c r="CD41" i="15"/>
  <c r="CC41" i="15"/>
  <c r="CB41" i="15"/>
  <c r="CA41" i="15"/>
  <c r="BZ41" i="15"/>
  <c r="BY41" i="15"/>
  <c r="BX41" i="15"/>
  <c r="BW41" i="15"/>
  <c r="BV41" i="15"/>
  <c r="BU41" i="15"/>
  <c r="BT41" i="15"/>
  <c r="BS41" i="15"/>
  <c r="BR41" i="15"/>
  <c r="BQ41" i="15"/>
  <c r="BP41" i="15"/>
  <c r="BO41" i="15"/>
  <c r="BN41" i="15"/>
  <c r="BM41" i="15"/>
  <c r="BL41" i="15"/>
  <c r="BK41" i="15"/>
  <c r="BJ41" i="15"/>
  <c r="BI41" i="15"/>
  <c r="BH41" i="15"/>
  <c r="BG41" i="15"/>
  <c r="BF41" i="15"/>
  <c r="BE41" i="15"/>
  <c r="BD41" i="15"/>
  <c r="BC41" i="15"/>
  <c r="BB41" i="15"/>
  <c r="BA41" i="15"/>
  <c r="AZ41" i="15"/>
  <c r="AY41" i="15"/>
  <c r="AX41" i="15"/>
  <c r="AW41" i="15"/>
  <c r="AV41" i="15"/>
  <c r="AU41" i="15"/>
  <c r="AT41" i="15"/>
  <c r="AS41" i="15"/>
  <c r="AR41" i="15"/>
  <c r="AQ41" i="15"/>
  <c r="AP41" i="15"/>
  <c r="AO41" i="15"/>
  <c r="AN41" i="15"/>
  <c r="AM41" i="15"/>
  <c r="AL41" i="15"/>
  <c r="AK41" i="15"/>
  <c r="AJ41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KC40" i="15"/>
  <c r="KB40" i="15"/>
  <c r="KA40" i="15"/>
  <c r="JZ40" i="15"/>
  <c r="JY40" i="15"/>
  <c r="JX40" i="15"/>
  <c r="JW40" i="15"/>
  <c r="JV40" i="15"/>
  <c r="JU40" i="15"/>
  <c r="JT40" i="15"/>
  <c r="JS40" i="15"/>
  <c r="JR40" i="15"/>
  <c r="JQ40" i="15"/>
  <c r="JP40" i="15"/>
  <c r="JO40" i="15"/>
  <c r="JN40" i="15"/>
  <c r="JM40" i="15"/>
  <c r="JL40" i="15"/>
  <c r="JK40" i="15"/>
  <c r="JJ40" i="15"/>
  <c r="JI40" i="15"/>
  <c r="JH40" i="15"/>
  <c r="JG40" i="15"/>
  <c r="JF40" i="15"/>
  <c r="JE40" i="15"/>
  <c r="JD40" i="15"/>
  <c r="JC40" i="15"/>
  <c r="JB40" i="15"/>
  <c r="JA40" i="15"/>
  <c r="IZ40" i="15"/>
  <c r="IY40" i="15"/>
  <c r="IX40" i="15"/>
  <c r="IW40" i="15"/>
  <c r="IV40" i="15"/>
  <c r="IU40" i="15"/>
  <c r="IT40" i="15"/>
  <c r="IS40" i="15"/>
  <c r="IR40" i="15"/>
  <c r="IQ40" i="15"/>
  <c r="IP40" i="15"/>
  <c r="IO40" i="15"/>
  <c r="IN40" i="15"/>
  <c r="IM40" i="15"/>
  <c r="IL40" i="15"/>
  <c r="IK40" i="15"/>
  <c r="IJ40" i="15"/>
  <c r="II40" i="15"/>
  <c r="IH40" i="15"/>
  <c r="IG40" i="15"/>
  <c r="IF40" i="15"/>
  <c r="IE40" i="15"/>
  <c r="ID40" i="15"/>
  <c r="IC40" i="15"/>
  <c r="IB40" i="15"/>
  <c r="IA40" i="15"/>
  <c r="HZ40" i="15"/>
  <c r="HY40" i="15"/>
  <c r="HX40" i="15"/>
  <c r="HW40" i="15"/>
  <c r="HV40" i="15"/>
  <c r="HU40" i="15"/>
  <c r="HT40" i="15"/>
  <c r="HS40" i="15"/>
  <c r="HR40" i="15"/>
  <c r="HQ40" i="15"/>
  <c r="HP40" i="15"/>
  <c r="HO40" i="15"/>
  <c r="HN40" i="15"/>
  <c r="HM40" i="15"/>
  <c r="HL40" i="15"/>
  <c r="HK40" i="15"/>
  <c r="HJ40" i="15"/>
  <c r="HI40" i="15"/>
  <c r="HH40" i="15"/>
  <c r="HG40" i="15"/>
  <c r="HF40" i="15"/>
  <c r="HE40" i="15"/>
  <c r="HD40" i="15"/>
  <c r="HC40" i="15"/>
  <c r="HB40" i="15"/>
  <c r="HA40" i="15"/>
  <c r="GZ40" i="15"/>
  <c r="GY40" i="15"/>
  <c r="GX40" i="15"/>
  <c r="GW40" i="15"/>
  <c r="GV40" i="15"/>
  <c r="GU40" i="15"/>
  <c r="GT40" i="15"/>
  <c r="GS40" i="15"/>
  <c r="GR40" i="15"/>
  <c r="GQ40" i="15"/>
  <c r="GP40" i="15"/>
  <c r="GO40" i="15"/>
  <c r="GN40" i="15"/>
  <c r="GM40" i="15"/>
  <c r="GL40" i="15"/>
  <c r="GK40" i="15"/>
  <c r="GJ40" i="15"/>
  <c r="GI40" i="15"/>
  <c r="GH40" i="15"/>
  <c r="GG40" i="15"/>
  <c r="GF40" i="15"/>
  <c r="GE40" i="15"/>
  <c r="GD40" i="15"/>
  <c r="GC40" i="15"/>
  <c r="GB40" i="15"/>
  <c r="GA40" i="15"/>
  <c r="FZ40" i="15"/>
  <c r="FY40" i="15"/>
  <c r="FX40" i="15"/>
  <c r="FW40" i="15"/>
  <c r="FV40" i="15"/>
  <c r="FU40" i="15"/>
  <c r="FT40" i="15"/>
  <c r="FS40" i="15"/>
  <c r="FR40" i="15"/>
  <c r="FQ40" i="15"/>
  <c r="FP40" i="15"/>
  <c r="FO40" i="15"/>
  <c r="FN40" i="15"/>
  <c r="FM40" i="15"/>
  <c r="FL40" i="15"/>
  <c r="FK40" i="15"/>
  <c r="FJ40" i="15"/>
  <c r="FI40" i="15"/>
  <c r="FH40" i="15"/>
  <c r="FG40" i="15"/>
  <c r="FF40" i="15"/>
  <c r="FE40" i="15"/>
  <c r="FD40" i="15"/>
  <c r="FC40" i="15"/>
  <c r="FB40" i="15"/>
  <c r="FA40" i="15"/>
  <c r="EZ40" i="15"/>
  <c r="EY40" i="15"/>
  <c r="EX40" i="15"/>
  <c r="EW40" i="15"/>
  <c r="EV40" i="15"/>
  <c r="EU40" i="15"/>
  <c r="ET40" i="15"/>
  <c r="ES40" i="15"/>
  <c r="ER40" i="15"/>
  <c r="EQ40" i="15"/>
  <c r="EP40" i="15"/>
  <c r="EO40" i="15"/>
  <c r="EN40" i="15"/>
  <c r="EM40" i="15"/>
  <c r="EL40" i="15"/>
  <c r="EK40" i="15"/>
  <c r="EJ40" i="15"/>
  <c r="EI40" i="15"/>
  <c r="EH40" i="15"/>
  <c r="EG40" i="15"/>
  <c r="EF40" i="15"/>
  <c r="EE40" i="15"/>
  <c r="ED40" i="15"/>
  <c r="EC40" i="15"/>
  <c r="EB40" i="15"/>
  <c r="EA40" i="15"/>
  <c r="DZ40" i="15"/>
  <c r="DY40" i="15"/>
  <c r="DX40" i="15"/>
  <c r="DW40" i="15"/>
  <c r="DV40" i="15"/>
  <c r="DU40" i="15"/>
  <c r="DT40" i="15"/>
  <c r="DS40" i="15"/>
  <c r="DR40" i="15"/>
  <c r="DQ40" i="15"/>
  <c r="DP40" i="15"/>
  <c r="DO40" i="15"/>
  <c r="DN40" i="15"/>
  <c r="DM40" i="15"/>
  <c r="DL40" i="15"/>
  <c r="DK40" i="15"/>
  <c r="DJ40" i="15"/>
  <c r="DI40" i="15"/>
  <c r="DH40" i="15"/>
  <c r="DG40" i="15"/>
  <c r="DF40" i="15"/>
  <c r="DE40" i="15"/>
  <c r="DD40" i="15"/>
  <c r="DC40" i="15"/>
  <c r="DB40" i="15"/>
  <c r="DA40" i="15"/>
  <c r="CZ40" i="15"/>
  <c r="CY40" i="15"/>
  <c r="CX40" i="15"/>
  <c r="CW40" i="15"/>
  <c r="CV40" i="15"/>
  <c r="CU40" i="15"/>
  <c r="CT40" i="15"/>
  <c r="CS40" i="15"/>
  <c r="CR40" i="15"/>
  <c r="CQ40" i="15"/>
  <c r="CP40" i="15"/>
  <c r="CO40" i="15"/>
  <c r="CN40" i="15"/>
  <c r="CM40" i="15"/>
  <c r="CL40" i="15"/>
  <c r="CK40" i="15"/>
  <c r="CJ40" i="15"/>
  <c r="CI40" i="15"/>
  <c r="CH40" i="15"/>
  <c r="CG40" i="15"/>
  <c r="CF40" i="15"/>
  <c r="CE40" i="15"/>
  <c r="CD40" i="15"/>
  <c r="CC40" i="15"/>
  <c r="CB40" i="15"/>
  <c r="CA40" i="15"/>
  <c r="BZ40" i="15"/>
  <c r="BY40" i="15"/>
  <c r="BX40" i="15"/>
  <c r="BW40" i="15"/>
  <c r="BV40" i="15"/>
  <c r="BU40" i="15"/>
  <c r="BT40" i="15"/>
  <c r="BS40" i="15"/>
  <c r="BR40" i="15"/>
  <c r="BQ40" i="15"/>
  <c r="BP40" i="15"/>
  <c r="BO40" i="15"/>
  <c r="BN40" i="15"/>
  <c r="BM40" i="15"/>
  <c r="BL40" i="15"/>
  <c r="BK40" i="15"/>
  <c r="BJ40" i="15"/>
  <c r="BI40" i="15"/>
  <c r="BH40" i="15"/>
  <c r="BG40" i="15"/>
  <c r="BF40" i="15"/>
  <c r="BE40" i="15"/>
  <c r="BD40" i="15"/>
  <c r="BC40" i="15"/>
  <c r="BB40" i="15"/>
  <c r="BA40" i="15"/>
  <c r="AZ40" i="15"/>
  <c r="AY40" i="15"/>
  <c r="AX40" i="15"/>
  <c r="AW40" i="15"/>
  <c r="AV40" i="15"/>
  <c r="AU40" i="15"/>
  <c r="AT40" i="15"/>
  <c r="AS40" i="15"/>
  <c r="AR40" i="15"/>
  <c r="AQ40" i="15"/>
  <c r="AP40" i="15"/>
  <c r="AO40" i="15"/>
  <c r="AN40" i="15"/>
  <c r="AM40" i="15"/>
  <c r="AL40" i="15"/>
  <c r="AK40" i="15"/>
  <c r="AJ40" i="15"/>
  <c r="AI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KC39" i="15"/>
  <c r="KB39" i="15"/>
  <c r="KA39" i="15"/>
  <c r="JZ39" i="15"/>
  <c r="JY39" i="15"/>
  <c r="JX39" i="15"/>
  <c r="JW39" i="15"/>
  <c r="JV39" i="15"/>
  <c r="JU39" i="15"/>
  <c r="JT39" i="15"/>
  <c r="JS39" i="15"/>
  <c r="JR39" i="15"/>
  <c r="JQ39" i="15"/>
  <c r="JP39" i="15"/>
  <c r="JO39" i="15"/>
  <c r="JN39" i="15"/>
  <c r="JM39" i="15"/>
  <c r="JL39" i="15"/>
  <c r="JK39" i="15"/>
  <c r="JJ39" i="15"/>
  <c r="JI39" i="15"/>
  <c r="JH39" i="15"/>
  <c r="JG39" i="15"/>
  <c r="JF39" i="15"/>
  <c r="JE39" i="15"/>
  <c r="JD39" i="15"/>
  <c r="JC39" i="15"/>
  <c r="JB39" i="15"/>
  <c r="JA39" i="15"/>
  <c r="IZ39" i="15"/>
  <c r="IY39" i="15"/>
  <c r="IX39" i="15"/>
  <c r="IW39" i="15"/>
  <c r="IV39" i="15"/>
  <c r="IU39" i="15"/>
  <c r="IT39" i="15"/>
  <c r="IS39" i="15"/>
  <c r="IR39" i="15"/>
  <c r="IQ39" i="15"/>
  <c r="IP39" i="15"/>
  <c r="IO39" i="15"/>
  <c r="IN39" i="15"/>
  <c r="IM39" i="15"/>
  <c r="IL39" i="15"/>
  <c r="IK39" i="15"/>
  <c r="IJ39" i="15"/>
  <c r="II39" i="15"/>
  <c r="IH39" i="15"/>
  <c r="IG39" i="15"/>
  <c r="IF39" i="15"/>
  <c r="IE39" i="15"/>
  <c r="ID39" i="15"/>
  <c r="IC39" i="15"/>
  <c r="IB39" i="15"/>
  <c r="IA39" i="15"/>
  <c r="HZ39" i="15"/>
  <c r="HY39" i="15"/>
  <c r="HX39" i="15"/>
  <c r="HW39" i="15"/>
  <c r="HV39" i="15"/>
  <c r="HU39" i="15"/>
  <c r="HT39" i="15"/>
  <c r="HS39" i="15"/>
  <c r="HR39" i="15"/>
  <c r="HQ39" i="15"/>
  <c r="HP39" i="15"/>
  <c r="HO39" i="15"/>
  <c r="HN39" i="15"/>
  <c r="HM39" i="15"/>
  <c r="HL39" i="15"/>
  <c r="HK39" i="15"/>
  <c r="HJ39" i="15"/>
  <c r="HI39" i="15"/>
  <c r="HH39" i="15"/>
  <c r="HG39" i="15"/>
  <c r="HF39" i="15"/>
  <c r="HE39" i="15"/>
  <c r="HD39" i="15"/>
  <c r="HC39" i="15"/>
  <c r="HB39" i="15"/>
  <c r="HA39" i="15"/>
  <c r="GZ39" i="15"/>
  <c r="GY39" i="15"/>
  <c r="GX39" i="15"/>
  <c r="GW39" i="15"/>
  <c r="GV39" i="15"/>
  <c r="GU39" i="15"/>
  <c r="GT39" i="15"/>
  <c r="GS39" i="15"/>
  <c r="GR39" i="15"/>
  <c r="GQ39" i="15"/>
  <c r="GP39" i="15"/>
  <c r="GO39" i="15"/>
  <c r="GN39" i="15"/>
  <c r="GM39" i="15"/>
  <c r="GL39" i="15"/>
  <c r="GK39" i="15"/>
  <c r="GJ39" i="15"/>
  <c r="GI39" i="15"/>
  <c r="GH39" i="15"/>
  <c r="GG39" i="15"/>
  <c r="GF39" i="15"/>
  <c r="GE39" i="15"/>
  <c r="GD39" i="15"/>
  <c r="GC39" i="15"/>
  <c r="GB39" i="15"/>
  <c r="GA39" i="15"/>
  <c r="FZ39" i="15"/>
  <c r="FY39" i="15"/>
  <c r="FX39" i="15"/>
  <c r="FW39" i="15"/>
  <c r="FV39" i="15"/>
  <c r="FU39" i="15"/>
  <c r="FT39" i="15"/>
  <c r="FS39" i="15"/>
  <c r="FR39" i="15"/>
  <c r="FQ39" i="15"/>
  <c r="FP39" i="15"/>
  <c r="FO39" i="15"/>
  <c r="FN39" i="15"/>
  <c r="FM39" i="15"/>
  <c r="FL39" i="15"/>
  <c r="FK39" i="15"/>
  <c r="FJ39" i="15"/>
  <c r="FI39" i="15"/>
  <c r="FH39" i="15"/>
  <c r="FG39" i="15"/>
  <c r="FF39" i="15"/>
  <c r="FE39" i="15"/>
  <c r="FD39" i="15"/>
  <c r="FC39" i="15"/>
  <c r="FB39" i="15"/>
  <c r="FA39" i="15"/>
  <c r="EZ39" i="15"/>
  <c r="EY39" i="15"/>
  <c r="EX39" i="15"/>
  <c r="EW39" i="15"/>
  <c r="EV39" i="15"/>
  <c r="EU39" i="15"/>
  <c r="ET39" i="15"/>
  <c r="ES39" i="15"/>
  <c r="ER39" i="15"/>
  <c r="EQ39" i="15"/>
  <c r="EP39" i="15"/>
  <c r="EO39" i="15"/>
  <c r="EN39" i="15"/>
  <c r="EM39" i="15"/>
  <c r="EL39" i="15"/>
  <c r="EK39" i="15"/>
  <c r="EJ39" i="15"/>
  <c r="EI39" i="15"/>
  <c r="EH39" i="15"/>
  <c r="EG39" i="15"/>
  <c r="EF39" i="15"/>
  <c r="EE39" i="15"/>
  <c r="ED39" i="15"/>
  <c r="EC39" i="15"/>
  <c r="EB39" i="15"/>
  <c r="EA39" i="15"/>
  <c r="DZ39" i="15"/>
  <c r="DY39" i="15"/>
  <c r="DX39" i="15"/>
  <c r="DW39" i="15"/>
  <c r="DV39" i="15"/>
  <c r="DU39" i="15"/>
  <c r="DT39" i="15"/>
  <c r="DS39" i="15"/>
  <c r="DR39" i="15"/>
  <c r="DQ39" i="15"/>
  <c r="DP39" i="15"/>
  <c r="DO39" i="15"/>
  <c r="DN39" i="15"/>
  <c r="DM39" i="15"/>
  <c r="DL39" i="15"/>
  <c r="DK39" i="15"/>
  <c r="DJ39" i="15"/>
  <c r="DI39" i="15"/>
  <c r="DH39" i="15"/>
  <c r="DG39" i="15"/>
  <c r="DF39" i="15"/>
  <c r="DE39" i="15"/>
  <c r="DD39" i="15"/>
  <c r="DC39" i="15"/>
  <c r="DB39" i="15"/>
  <c r="DA39" i="15"/>
  <c r="CZ39" i="15"/>
  <c r="CY39" i="15"/>
  <c r="CX39" i="15"/>
  <c r="CW39" i="15"/>
  <c r="CV39" i="15"/>
  <c r="CU39" i="15"/>
  <c r="CT39" i="15"/>
  <c r="CS39" i="15"/>
  <c r="CR39" i="15"/>
  <c r="CQ39" i="15"/>
  <c r="CP39" i="15"/>
  <c r="CO39" i="15"/>
  <c r="CN39" i="15"/>
  <c r="CM39" i="15"/>
  <c r="CL39" i="15"/>
  <c r="CK39" i="15"/>
  <c r="CJ39" i="15"/>
  <c r="CI39" i="15"/>
  <c r="CH39" i="15"/>
  <c r="CG39" i="15"/>
  <c r="CF39" i="15"/>
  <c r="CE39" i="15"/>
  <c r="CD39" i="15"/>
  <c r="CC39" i="15"/>
  <c r="CB39" i="15"/>
  <c r="CA39" i="15"/>
  <c r="BZ39" i="15"/>
  <c r="BY39" i="15"/>
  <c r="BX39" i="15"/>
  <c r="BW39" i="15"/>
  <c r="BV39" i="15"/>
  <c r="BU39" i="15"/>
  <c r="BT39" i="15"/>
  <c r="BS39" i="15"/>
  <c r="BR39" i="15"/>
  <c r="BQ39" i="15"/>
  <c r="BP39" i="15"/>
  <c r="BO39" i="15"/>
  <c r="BN39" i="15"/>
  <c r="BM39" i="15"/>
  <c r="BL39" i="15"/>
  <c r="BK39" i="15"/>
  <c r="BJ39" i="15"/>
  <c r="BI39" i="15"/>
  <c r="BH39" i="15"/>
  <c r="BG39" i="15"/>
  <c r="BF39" i="15"/>
  <c r="BE39" i="15"/>
  <c r="BD39" i="15"/>
  <c r="BC39" i="15"/>
  <c r="BB39" i="15"/>
  <c r="BA39" i="15"/>
  <c r="AZ39" i="15"/>
  <c r="AY39" i="15"/>
  <c r="AX39" i="15"/>
  <c r="AW39" i="15"/>
  <c r="AV39" i="15"/>
  <c r="AU39" i="15"/>
  <c r="AT39" i="15"/>
  <c r="AS39" i="15"/>
  <c r="AR39" i="15"/>
  <c r="AQ39" i="15"/>
  <c r="AP39" i="15"/>
  <c r="AO39" i="15"/>
  <c r="AN39" i="15"/>
  <c r="AM39" i="15"/>
  <c r="AL39" i="15"/>
  <c r="AK39" i="15"/>
  <c r="AJ39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KC38" i="15"/>
  <c r="KB38" i="15"/>
  <c r="KA38" i="15"/>
  <c r="JZ38" i="15"/>
  <c r="JY38" i="15"/>
  <c r="JX38" i="15"/>
  <c r="JW38" i="15"/>
  <c r="JV38" i="15"/>
  <c r="JU38" i="15"/>
  <c r="JT38" i="15"/>
  <c r="JS38" i="15"/>
  <c r="JR38" i="15"/>
  <c r="JQ38" i="15"/>
  <c r="JP38" i="15"/>
  <c r="JO38" i="15"/>
  <c r="JN38" i="15"/>
  <c r="JM38" i="15"/>
  <c r="JL38" i="15"/>
  <c r="JK38" i="15"/>
  <c r="JJ38" i="15"/>
  <c r="JI38" i="15"/>
  <c r="JH38" i="15"/>
  <c r="JG38" i="15"/>
  <c r="JF38" i="15"/>
  <c r="JE38" i="15"/>
  <c r="JD38" i="15"/>
  <c r="JC38" i="15"/>
  <c r="JB38" i="15"/>
  <c r="JA38" i="15"/>
  <c r="IZ38" i="15"/>
  <c r="IY38" i="15"/>
  <c r="IX38" i="15"/>
  <c r="IW38" i="15"/>
  <c r="IV38" i="15"/>
  <c r="IU38" i="15"/>
  <c r="IT38" i="15"/>
  <c r="IS38" i="15"/>
  <c r="IR38" i="15"/>
  <c r="IQ38" i="15"/>
  <c r="IP38" i="15"/>
  <c r="IO38" i="15"/>
  <c r="IN38" i="15"/>
  <c r="IM38" i="15"/>
  <c r="IL38" i="15"/>
  <c r="IK38" i="15"/>
  <c r="IJ38" i="15"/>
  <c r="II38" i="15"/>
  <c r="IH38" i="15"/>
  <c r="IG38" i="15"/>
  <c r="IF38" i="15"/>
  <c r="IE38" i="15"/>
  <c r="ID38" i="15"/>
  <c r="IC38" i="15"/>
  <c r="IB38" i="15"/>
  <c r="IA38" i="15"/>
  <c r="HZ38" i="15"/>
  <c r="HY38" i="15"/>
  <c r="HX38" i="15"/>
  <c r="HW38" i="15"/>
  <c r="HV38" i="15"/>
  <c r="HU38" i="15"/>
  <c r="HT38" i="15"/>
  <c r="HS38" i="15"/>
  <c r="HR38" i="15"/>
  <c r="HQ38" i="15"/>
  <c r="HP38" i="15"/>
  <c r="HO38" i="15"/>
  <c r="HN38" i="15"/>
  <c r="HM38" i="15"/>
  <c r="HL38" i="15"/>
  <c r="HK38" i="15"/>
  <c r="HJ38" i="15"/>
  <c r="HI38" i="15"/>
  <c r="HH38" i="15"/>
  <c r="HG38" i="15"/>
  <c r="HF38" i="15"/>
  <c r="HE38" i="15"/>
  <c r="HD38" i="15"/>
  <c r="HC38" i="15"/>
  <c r="HB38" i="15"/>
  <c r="HA38" i="15"/>
  <c r="GZ38" i="15"/>
  <c r="GY38" i="15"/>
  <c r="GX38" i="15"/>
  <c r="GW38" i="15"/>
  <c r="GV38" i="15"/>
  <c r="GU38" i="15"/>
  <c r="GT38" i="15"/>
  <c r="GS38" i="15"/>
  <c r="GR38" i="15"/>
  <c r="GQ38" i="15"/>
  <c r="GP38" i="15"/>
  <c r="GO38" i="15"/>
  <c r="GN38" i="15"/>
  <c r="GM38" i="15"/>
  <c r="GL38" i="15"/>
  <c r="GK38" i="15"/>
  <c r="GJ38" i="15"/>
  <c r="GI38" i="15"/>
  <c r="GH38" i="15"/>
  <c r="GG38" i="15"/>
  <c r="GF38" i="15"/>
  <c r="GE38" i="15"/>
  <c r="GD38" i="15"/>
  <c r="GC38" i="15"/>
  <c r="GB38" i="15"/>
  <c r="GA38" i="15"/>
  <c r="FZ38" i="15"/>
  <c r="FY38" i="15"/>
  <c r="FX38" i="15"/>
  <c r="FW38" i="15"/>
  <c r="FV38" i="15"/>
  <c r="FU38" i="15"/>
  <c r="FT38" i="15"/>
  <c r="FS38" i="15"/>
  <c r="FR38" i="15"/>
  <c r="FQ38" i="15"/>
  <c r="FP38" i="15"/>
  <c r="FO38" i="15"/>
  <c r="FN38" i="15"/>
  <c r="FM38" i="15"/>
  <c r="FL38" i="15"/>
  <c r="FK38" i="15"/>
  <c r="FJ38" i="15"/>
  <c r="FI38" i="15"/>
  <c r="FH38" i="15"/>
  <c r="FG38" i="15"/>
  <c r="FF38" i="15"/>
  <c r="FE38" i="15"/>
  <c r="FD38" i="15"/>
  <c r="FC38" i="15"/>
  <c r="FB38" i="15"/>
  <c r="FA38" i="15"/>
  <c r="EZ38" i="15"/>
  <c r="EY38" i="15"/>
  <c r="EX38" i="15"/>
  <c r="EW38" i="15"/>
  <c r="EV38" i="15"/>
  <c r="EU38" i="15"/>
  <c r="ET38" i="15"/>
  <c r="ES38" i="15"/>
  <c r="ER38" i="15"/>
  <c r="EQ38" i="15"/>
  <c r="EP38" i="15"/>
  <c r="EO38" i="15"/>
  <c r="EN38" i="15"/>
  <c r="EM38" i="15"/>
  <c r="EL38" i="15"/>
  <c r="EK38" i="15"/>
  <c r="EJ38" i="15"/>
  <c r="EI38" i="15"/>
  <c r="EH38" i="15"/>
  <c r="EG38" i="15"/>
  <c r="EF38" i="15"/>
  <c r="EE38" i="15"/>
  <c r="ED38" i="15"/>
  <c r="EC38" i="15"/>
  <c r="EB38" i="15"/>
  <c r="EA38" i="15"/>
  <c r="DZ38" i="15"/>
  <c r="DY38" i="15"/>
  <c r="DX38" i="15"/>
  <c r="DW38" i="15"/>
  <c r="DV38" i="15"/>
  <c r="DU38" i="15"/>
  <c r="DT38" i="15"/>
  <c r="DS38" i="15"/>
  <c r="DR38" i="15"/>
  <c r="DQ38" i="15"/>
  <c r="DP38" i="15"/>
  <c r="DO38" i="15"/>
  <c r="DN38" i="15"/>
  <c r="DM38" i="15"/>
  <c r="DL38" i="15"/>
  <c r="DK38" i="15"/>
  <c r="DJ38" i="15"/>
  <c r="DI38" i="15"/>
  <c r="DH38" i="15"/>
  <c r="DG38" i="15"/>
  <c r="DF38" i="15"/>
  <c r="DE38" i="15"/>
  <c r="DD38" i="15"/>
  <c r="DC38" i="15"/>
  <c r="DB38" i="15"/>
  <c r="DA38" i="15"/>
  <c r="CZ38" i="15"/>
  <c r="CY38" i="15"/>
  <c r="CX38" i="15"/>
  <c r="CW38" i="15"/>
  <c r="CV38" i="15"/>
  <c r="CU38" i="15"/>
  <c r="CT38" i="15"/>
  <c r="CS38" i="15"/>
  <c r="CR38" i="15"/>
  <c r="CQ38" i="15"/>
  <c r="CP38" i="15"/>
  <c r="CO38" i="15"/>
  <c r="CN38" i="15"/>
  <c r="CM38" i="15"/>
  <c r="CL38" i="15"/>
  <c r="CK38" i="15"/>
  <c r="CJ38" i="15"/>
  <c r="CI38" i="15"/>
  <c r="CH38" i="15"/>
  <c r="CG38" i="15"/>
  <c r="CF38" i="15"/>
  <c r="CE38" i="15"/>
  <c r="CD38" i="15"/>
  <c r="CC38" i="15"/>
  <c r="CB38" i="15"/>
  <c r="CA38" i="15"/>
  <c r="BZ38" i="15"/>
  <c r="BY38" i="15"/>
  <c r="BX38" i="15"/>
  <c r="BW38" i="15"/>
  <c r="BV38" i="15"/>
  <c r="BU38" i="15"/>
  <c r="BT38" i="15"/>
  <c r="BS38" i="15"/>
  <c r="BR38" i="15"/>
  <c r="BQ38" i="15"/>
  <c r="BP38" i="15"/>
  <c r="BO38" i="15"/>
  <c r="BN38" i="15"/>
  <c r="BM38" i="15"/>
  <c r="BL38" i="15"/>
  <c r="BK38" i="15"/>
  <c r="BJ38" i="15"/>
  <c r="BI38" i="15"/>
  <c r="BH38" i="15"/>
  <c r="BG38" i="15"/>
  <c r="BF38" i="15"/>
  <c r="BE38" i="15"/>
  <c r="BD38" i="15"/>
  <c r="BC38" i="15"/>
  <c r="BB38" i="15"/>
  <c r="BA38" i="15"/>
  <c r="AZ38" i="15"/>
  <c r="AY38" i="15"/>
  <c r="AX38" i="15"/>
  <c r="AW38" i="15"/>
  <c r="AV38" i="15"/>
  <c r="AU38" i="15"/>
  <c r="AT38" i="15"/>
  <c r="AS38" i="15"/>
  <c r="AR38" i="15"/>
  <c r="AQ38" i="15"/>
  <c r="AP38" i="15"/>
  <c r="AO38" i="15"/>
  <c r="AN38" i="15"/>
  <c r="AM38" i="15"/>
  <c r="AL38" i="15"/>
  <c r="AK38" i="15"/>
  <c r="AJ38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KC37" i="15"/>
  <c r="KB37" i="15"/>
  <c r="KA37" i="15"/>
  <c r="JZ37" i="15"/>
  <c r="JY37" i="15"/>
  <c r="JX37" i="15"/>
  <c r="JW37" i="15"/>
  <c r="JV37" i="15"/>
  <c r="JU37" i="15"/>
  <c r="JT37" i="15"/>
  <c r="JS37" i="15"/>
  <c r="JR37" i="15"/>
  <c r="JQ37" i="15"/>
  <c r="JP37" i="15"/>
  <c r="JO37" i="15"/>
  <c r="JN37" i="15"/>
  <c r="JM37" i="15"/>
  <c r="JL37" i="15"/>
  <c r="JK37" i="15"/>
  <c r="JJ37" i="15"/>
  <c r="JI37" i="15"/>
  <c r="JH37" i="15"/>
  <c r="JG37" i="15"/>
  <c r="JF37" i="15"/>
  <c r="JE37" i="15"/>
  <c r="JD37" i="15"/>
  <c r="JC37" i="15"/>
  <c r="JB37" i="15"/>
  <c r="JA37" i="15"/>
  <c r="IZ37" i="15"/>
  <c r="IY37" i="15"/>
  <c r="IX37" i="15"/>
  <c r="IW37" i="15"/>
  <c r="IV37" i="15"/>
  <c r="IU37" i="15"/>
  <c r="IT37" i="15"/>
  <c r="IS37" i="15"/>
  <c r="IR37" i="15"/>
  <c r="IQ37" i="15"/>
  <c r="IP37" i="15"/>
  <c r="IO37" i="15"/>
  <c r="IN37" i="15"/>
  <c r="IM37" i="15"/>
  <c r="IL37" i="15"/>
  <c r="IK37" i="15"/>
  <c r="IJ37" i="15"/>
  <c r="II37" i="15"/>
  <c r="IH37" i="15"/>
  <c r="IG37" i="15"/>
  <c r="IF37" i="15"/>
  <c r="IE37" i="15"/>
  <c r="ID37" i="15"/>
  <c r="IC37" i="15"/>
  <c r="IB37" i="15"/>
  <c r="IA37" i="15"/>
  <c r="HZ37" i="15"/>
  <c r="HY37" i="15"/>
  <c r="HX37" i="15"/>
  <c r="HW37" i="15"/>
  <c r="HV37" i="15"/>
  <c r="HU37" i="15"/>
  <c r="HT37" i="15"/>
  <c r="HS37" i="15"/>
  <c r="HR37" i="15"/>
  <c r="HQ37" i="15"/>
  <c r="HP37" i="15"/>
  <c r="HO37" i="15"/>
  <c r="HN37" i="15"/>
  <c r="HM37" i="15"/>
  <c r="HL37" i="15"/>
  <c r="HK37" i="15"/>
  <c r="HJ37" i="15"/>
  <c r="HI37" i="15"/>
  <c r="HH37" i="15"/>
  <c r="HG37" i="15"/>
  <c r="HF37" i="15"/>
  <c r="HE37" i="15"/>
  <c r="HD37" i="15"/>
  <c r="HC37" i="15"/>
  <c r="HB37" i="15"/>
  <c r="HA37" i="15"/>
  <c r="GZ37" i="15"/>
  <c r="GY37" i="15"/>
  <c r="GX37" i="15"/>
  <c r="GW37" i="15"/>
  <c r="GV37" i="15"/>
  <c r="GU37" i="15"/>
  <c r="GT37" i="15"/>
  <c r="GS37" i="15"/>
  <c r="GR37" i="15"/>
  <c r="GQ37" i="15"/>
  <c r="GP37" i="15"/>
  <c r="GO37" i="15"/>
  <c r="GN37" i="15"/>
  <c r="GM37" i="15"/>
  <c r="GL37" i="15"/>
  <c r="GK37" i="15"/>
  <c r="GJ37" i="15"/>
  <c r="GI37" i="15"/>
  <c r="GH37" i="15"/>
  <c r="GG37" i="15"/>
  <c r="GF37" i="15"/>
  <c r="GE37" i="15"/>
  <c r="GD37" i="15"/>
  <c r="GC37" i="15"/>
  <c r="GB37" i="15"/>
  <c r="GA37" i="15"/>
  <c r="FZ37" i="15"/>
  <c r="FY37" i="15"/>
  <c r="FX37" i="15"/>
  <c r="FW37" i="15"/>
  <c r="FV37" i="15"/>
  <c r="FU37" i="15"/>
  <c r="FT37" i="15"/>
  <c r="FS37" i="15"/>
  <c r="FR37" i="15"/>
  <c r="FQ37" i="15"/>
  <c r="FP37" i="15"/>
  <c r="FO37" i="15"/>
  <c r="FN37" i="15"/>
  <c r="FM37" i="15"/>
  <c r="FL37" i="15"/>
  <c r="FK37" i="15"/>
  <c r="FJ37" i="15"/>
  <c r="FI37" i="15"/>
  <c r="FH37" i="15"/>
  <c r="FG37" i="15"/>
  <c r="FF37" i="15"/>
  <c r="FE37" i="15"/>
  <c r="FD37" i="15"/>
  <c r="FC37" i="15"/>
  <c r="FB37" i="15"/>
  <c r="FA37" i="15"/>
  <c r="EZ37" i="15"/>
  <c r="EY37" i="15"/>
  <c r="EX37" i="15"/>
  <c r="EW37" i="15"/>
  <c r="EV37" i="15"/>
  <c r="EU37" i="15"/>
  <c r="ET37" i="15"/>
  <c r="ES37" i="15"/>
  <c r="ER37" i="15"/>
  <c r="EQ37" i="15"/>
  <c r="EP37" i="15"/>
  <c r="EO37" i="15"/>
  <c r="EN37" i="15"/>
  <c r="EM37" i="15"/>
  <c r="EL37" i="15"/>
  <c r="EK37" i="15"/>
  <c r="EJ37" i="15"/>
  <c r="EI37" i="15"/>
  <c r="EH37" i="15"/>
  <c r="EG37" i="15"/>
  <c r="EF37" i="15"/>
  <c r="EE37" i="15"/>
  <c r="ED37" i="15"/>
  <c r="EC37" i="15"/>
  <c r="EB37" i="15"/>
  <c r="EA37" i="15"/>
  <c r="DZ37" i="15"/>
  <c r="DY37" i="15"/>
  <c r="DX37" i="15"/>
  <c r="DW37" i="15"/>
  <c r="DV37" i="15"/>
  <c r="DU37" i="15"/>
  <c r="DT37" i="15"/>
  <c r="DS37" i="15"/>
  <c r="DR37" i="15"/>
  <c r="DQ37" i="15"/>
  <c r="DP37" i="15"/>
  <c r="DO37" i="15"/>
  <c r="DN37" i="15"/>
  <c r="DM37" i="15"/>
  <c r="DL37" i="15"/>
  <c r="DK37" i="15"/>
  <c r="DJ37" i="15"/>
  <c r="DI37" i="15"/>
  <c r="DH37" i="15"/>
  <c r="DG37" i="15"/>
  <c r="DF37" i="15"/>
  <c r="DE37" i="15"/>
  <c r="DD37" i="15"/>
  <c r="DC37" i="15"/>
  <c r="DB37" i="15"/>
  <c r="DA37" i="15"/>
  <c r="CZ37" i="15"/>
  <c r="CY37" i="15"/>
  <c r="CX37" i="15"/>
  <c r="CW37" i="15"/>
  <c r="CV37" i="15"/>
  <c r="CU37" i="15"/>
  <c r="CT37" i="15"/>
  <c r="CS37" i="15"/>
  <c r="CR37" i="15"/>
  <c r="CQ37" i="15"/>
  <c r="CP37" i="15"/>
  <c r="CO37" i="15"/>
  <c r="CN37" i="15"/>
  <c r="CM37" i="15"/>
  <c r="CL37" i="15"/>
  <c r="CK37" i="15"/>
  <c r="CJ37" i="15"/>
  <c r="CI37" i="15"/>
  <c r="CH37" i="15"/>
  <c r="CG37" i="15"/>
  <c r="CF37" i="15"/>
  <c r="CE37" i="15"/>
  <c r="CD37" i="15"/>
  <c r="CC37" i="15"/>
  <c r="CB37" i="15"/>
  <c r="CA37" i="15"/>
  <c r="BZ37" i="15"/>
  <c r="BY37" i="15"/>
  <c r="BX37" i="15"/>
  <c r="BW37" i="15"/>
  <c r="BV37" i="15"/>
  <c r="BU37" i="15"/>
  <c r="BT37" i="15"/>
  <c r="BS37" i="15"/>
  <c r="BR37" i="15"/>
  <c r="BQ37" i="15"/>
  <c r="BP37" i="15"/>
  <c r="BO37" i="15"/>
  <c r="BN37" i="15"/>
  <c r="BM37" i="15"/>
  <c r="BL37" i="15"/>
  <c r="BK37" i="15"/>
  <c r="BJ37" i="15"/>
  <c r="BI37" i="15"/>
  <c r="BH37" i="15"/>
  <c r="BG37" i="15"/>
  <c r="BF37" i="15"/>
  <c r="BE37" i="15"/>
  <c r="BD37" i="15"/>
  <c r="BC37" i="15"/>
  <c r="BB37" i="15"/>
  <c r="BA37" i="15"/>
  <c r="AZ37" i="15"/>
  <c r="AY37" i="15"/>
  <c r="AX37" i="15"/>
  <c r="AW37" i="15"/>
  <c r="AV37" i="15"/>
  <c r="AU37" i="15"/>
  <c r="AT37" i="15"/>
  <c r="AS37" i="15"/>
  <c r="AR37" i="15"/>
  <c r="AQ37" i="15"/>
  <c r="AP37" i="15"/>
  <c r="AO37" i="15"/>
  <c r="AN37" i="15"/>
  <c r="AM37" i="15"/>
  <c r="AL37" i="15"/>
  <c r="AK37" i="15"/>
  <c r="AJ37" i="15"/>
  <c r="AI37" i="15"/>
  <c r="AH37" i="15"/>
  <c r="AG37" i="15"/>
  <c r="AF37" i="15"/>
  <c r="AE37" i="15"/>
  <c r="AD37" i="15"/>
  <c r="AC37" i="15"/>
  <c r="AB37" i="15"/>
  <c r="AA37" i="15"/>
  <c r="Z37" i="15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KC36" i="15"/>
  <c r="KB36" i="15"/>
  <c r="KA36" i="15"/>
  <c r="JZ36" i="15"/>
  <c r="JY36" i="15"/>
  <c r="JX36" i="15"/>
  <c r="JW36" i="15"/>
  <c r="JV36" i="15"/>
  <c r="JU36" i="15"/>
  <c r="JT36" i="15"/>
  <c r="JS36" i="15"/>
  <c r="JR36" i="15"/>
  <c r="JQ36" i="15"/>
  <c r="JP36" i="15"/>
  <c r="JO36" i="15"/>
  <c r="JN36" i="15"/>
  <c r="JM36" i="15"/>
  <c r="JL36" i="15"/>
  <c r="JK36" i="15"/>
  <c r="JJ36" i="15"/>
  <c r="JI36" i="15"/>
  <c r="JH36" i="15"/>
  <c r="JG36" i="15"/>
  <c r="JF36" i="15"/>
  <c r="JE36" i="15"/>
  <c r="JD36" i="15"/>
  <c r="JC36" i="15"/>
  <c r="JB36" i="15"/>
  <c r="JA36" i="15"/>
  <c r="IZ36" i="15"/>
  <c r="IY36" i="15"/>
  <c r="IX36" i="15"/>
  <c r="IW36" i="15"/>
  <c r="IV36" i="15"/>
  <c r="IU36" i="15"/>
  <c r="IT36" i="15"/>
  <c r="IS36" i="15"/>
  <c r="IR36" i="15"/>
  <c r="IQ36" i="15"/>
  <c r="IP36" i="15"/>
  <c r="IO36" i="15"/>
  <c r="IN36" i="15"/>
  <c r="IM36" i="15"/>
  <c r="IL36" i="15"/>
  <c r="IK36" i="15"/>
  <c r="IJ36" i="15"/>
  <c r="II36" i="15"/>
  <c r="IH36" i="15"/>
  <c r="IG36" i="15"/>
  <c r="IF36" i="15"/>
  <c r="IE36" i="15"/>
  <c r="ID36" i="15"/>
  <c r="IC36" i="15"/>
  <c r="IB36" i="15"/>
  <c r="IA36" i="15"/>
  <c r="HZ36" i="15"/>
  <c r="HY36" i="15"/>
  <c r="HX36" i="15"/>
  <c r="HW36" i="15"/>
  <c r="HV36" i="15"/>
  <c r="HU36" i="15"/>
  <c r="HT36" i="15"/>
  <c r="HS36" i="15"/>
  <c r="HR36" i="15"/>
  <c r="HQ36" i="15"/>
  <c r="HP36" i="15"/>
  <c r="HO36" i="15"/>
  <c r="HN36" i="15"/>
  <c r="HM36" i="15"/>
  <c r="HL36" i="15"/>
  <c r="HK36" i="15"/>
  <c r="HJ36" i="15"/>
  <c r="HI36" i="15"/>
  <c r="HH36" i="15"/>
  <c r="HG36" i="15"/>
  <c r="HF36" i="15"/>
  <c r="HE36" i="15"/>
  <c r="HD36" i="15"/>
  <c r="HC36" i="15"/>
  <c r="HB36" i="15"/>
  <c r="HA36" i="15"/>
  <c r="GZ36" i="15"/>
  <c r="GY36" i="15"/>
  <c r="GX36" i="15"/>
  <c r="GW36" i="15"/>
  <c r="GV36" i="15"/>
  <c r="GU36" i="15"/>
  <c r="GT36" i="15"/>
  <c r="GS36" i="15"/>
  <c r="GR36" i="15"/>
  <c r="GQ36" i="15"/>
  <c r="GP36" i="15"/>
  <c r="GO36" i="15"/>
  <c r="GN36" i="15"/>
  <c r="GM36" i="15"/>
  <c r="GL36" i="15"/>
  <c r="GK36" i="15"/>
  <c r="GJ36" i="15"/>
  <c r="GI36" i="15"/>
  <c r="GH36" i="15"/>
  <c r="GG36" i="15"/>
  <c r="GF36" i="15"/>
  <c r="GE36" i="15"/>
  <c r="GD36" i="15"/>
  <c r="GC36" i="15"/>
  <c r="GB36" i="15"/>
  <c r="GA36" i="15"/>
  <c r="FZ36" i="15"/>
  <c r="FY36" i="15"/>
  <c r="FX36" i="15"/>
  <c r="FW36" i="15"/>
  <c r="FV36" i="15"/>
  <c r="FU36" i="15"/>
  <c r="FT36" i="15"/>
  <c r="FS36" i="15"/>
  <c r="FR36" i="15"/>
  <c r="FQ36" i="15"/>
  <c r="FP36" i="15"/>
  <c r="FO36" i="15"/>
  <c r="FN36" i="15"/>
  <c r="FM36" i="15"/>
  <c r="FL36" i="15"/>
  <c r="FK36" i="15"/>
  <c r="FJ36" i="15"/>
  <c r="FI36" i="15"/>
  <c r="FH36" i="15"/>
  <c r="FG36" i="15"/>
  <c r="FF36" i="15"/>
  <c r="FE36" i="15"/>
  <c r="FD36" i="15"/>
  <c r="FC36" i="15"/>
  <c r="FB36" i="15"/>
  <c r="FA36" i="15"/>
  <c r="EZ36" i="15"/>
  <c r="EY36" i="15"/>
  <c r="EX36" i="15"/>
  <c r="EW36" i="15"/>
  <c r="EV36" i="15"/>
  <c r="EU36" i="15"/>
  <c r="ET36" i="15"/>
  <c r="ES36" i="15"/>
  <c r="ER36" i="15"/>
  <c r="EQ36" i="15"/>
  <c r="EP36" i="15"/>
  <c r="EO36" i="15"/>
  <c r="EN36" i="15"/>
  <c r="EM36" i="15"/>
  <c r="EL36" i="15"/>
  <c r="EK36" i="15"/>
  <c r="EJ36" i="15"/>
  <c r="EI36" i="15"/>
  <c r="EH36" i="15"/>
  <c r="EG36" i="15"/>
  <c r="EF36" i="15"/>
  <c r="EE36" i="15"/>
  <c r="ED36" i="15"/>
  <c r="EC36" i="15"/>
  <c r="EB36" i="15"/>
  <c r="EA36" i="15"/>
  <c r="DZ36" i="15"/>
  <c r="DY36" i="15"/>
  <c r="DX36" i="15"/>
  <c r="DW36" i="15"/>
  <c r="DV36" i="15"/>
  <c r="DU36" i="15"/>
  <c r="DT36" i="15"/>
  <c r="DS36" i="15"/>
  <c r="DR36" i="15"/>
  <c r="DQ36" i="15"/>
  <c r="DP36" i="15"/>
  <c r="DO36" i="15"/>
  <c r="DN36" i="15"/>
  <c r="DM36" i="15"/>
  <c r="DL36" i="15"/>
  <c r="DK36" i="15"/>
  <c r="DJ36" i="15"/>
  <c r="DI36" i="15"/>
  <c r="DH36" i="15"/>
  <c r="DG36" i="15"/>
  <c r="DF36" i="15"/>
  <c r="DE36" i="15"/>
  <c r="DD36" i="15"/>
  <c r="DC36" i="15"/>
  <c r="DB36" i="15"/>
  <c r="DA36" i="15"/>
  <c r="CZ36" i="15"/>
  <c r="CY36" i="15"/>
  <c r="CX36" i="15"/>
  <c r="CW36" i="15"/>
  <c r="CV36" i="15"/>
  <c r="CU36" i="15"/>
  <c r="CT36" i="15"/>
  <c r="CS36" i="15"/>
  <c r="CR36" i="15"/>
  <c r="CQ36" i="15"/>
  <c r="CP36" i="15"/>
  <c r="CO36" i="15"/>
  <c r="CN36" i="15"/>
  <c r="CM36" i="15"/>
  <c r="CL36" i="15"/>
  <c r="CK36" i="15"/>
  <c r="CJ36" i="15"/>
  <c r="CI36" i="15"/>
  <c r="CH36" i="15"/>
  <c r="CG36" i="15"/>
  <c r="CF36" i="15"/>
  <c r="CE36" i="15"/>
  <c r="CD36" i="15"/>
  <c r="CC36" i="15"/>
  <c r="CB36" i="15"/>
  <c r="CA36" i="15"/>
  <c r="BZ36" i="15"/>
  <c r="BY36" i="15"/>
  <c r="BX36" i="15"/>
  <c r="BW36" i="15"/>
  <c r="BV36" i="15"/>
  <c r="BU36" i="15"/>
  <c r="BT36" i="15"/>
  <c r="BS36" i="15"/>
  <c r="BR36" i="15"/>
  <c r="BQ36" i="15"/>
  <c r="BP36" i="15"/>
  <c r="BO36" i="15"/>
  <c r="BN36" i="15"/>
  <c r="BM36" i="15"/>
  <c r="BL36" i="15"/>
  <c r="BK36" i="15"/>
  <c r="BJ36" i="15"/>
  <c r="BI36" i="15"/>
  <c r="BH36" i="15"/>
  <c r="BG36" i="15"/>
  <c r="BF36" i="15"/>
  <c r="BE36" i="15"/>
  <c r="BD36" i="15"/>
  <c r="BC36" i="15"/>
  <c r="BB36" i="15"/>
  <c r="BA36" i="15"/>
  <c r="AZ36" i="15"/>
  <c r="AY36" i="15"/>
  <c r="AX36" i="15"/>
  <c r="AW36" i="15"/>
  <c r="AV36" i="15"/>
  <c r="AU36" i="15"/>
  <c r="AT36" i="15"/>
  <c r="AS36" i="15"/>
  <c r="AR36" i="15"/>
  <c r="AQ36" i="15"/>
  <c r="AP36" i="15"/>
  <c r="AO36" i="15"/>
  <c r="AN36" i="15"/>
  <c r="AM36" i="15"/>
  <c r="AL36" i="15"/>
  <c r="AK36" i="15"/>
  <c r="AJ36" i="15"/>
  <c r="AI36" i="15"/>
  <c r="AH36" i="15"/>
  <c r="AG36" i="15"/>
  <c r="AF36" i="15"/>
  <c r="AE36" i="15"/>
  <c r="AD36" i="15"/>
  <c r="AC36" i="15"/>
  <c r="AB36" i="15"/>
  <c r="AA36" i="15"/>
  <c r="Z36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KC35" i="15"/>
  <c r="KB35" i="15"/>
  <c r="KA35" i="15"/>
  <c r="JZ35" i="15"/>
  <c r="JY35" i="15"/>
  <c r="JX35" i="15"/>
  <c r="JW35" i="15"/>
  <c r="JV35" i="15"/>
  <c r="JU35" i="15"/>
  <c r="JT35" i="15"/>
  <c r="JS35" i="15"/>
  <c r="JR35" i="15"/>
  <c r="JQ35" i="15"/>
  <c r="JP35" i="15"/>
  <c r="JO35" i="15"/>
  <c r="JN35" i="15"/>
  <c r="JM35" i="15"/>
  <c r="JL35" i="15"/>
  <c r="JK35" i="15"/>
  <c r="JJ35" i="15"/>
  <c r="JI35" i="15"/>
  <c r="JH35" i="15"/>
  <c r="JG35" i="15"/>
  <c r="JF35" i="15"/>
  <c r="JE35" i="15"/>
  <c r="JD35" i="15"/>
  <c r="JC35" i="15"/>
  <c r="JB35" i="15"/>
  <c r="JA35" i="15"/>
  <c r="IZ35" i="15"/>
  <c r="IY35" i="15"/>
  <c r="IX35" i="15"/>
  <c r="IW35" i="15"/>
  <c r="IV35" i="15"/>
  <c r="IU35" i="15"/>
  <c r="IT35" i="15"/>
  <c r="IS35" i="15"/>
  <c r="IR35" i="15"/>
  <c r="IQ35" i="15"/>
  <c r="IP35" i="15"/>
  <c r="IO35" i="15"/>
  <c r="IN35" i="15"/>
  <c r="IM35" i="15"/>
  <c r="IL35" i="15"/>
  <c r="IK35" i="15"/>
  <c r="IJ35" i="15"/>
  <c r="II35" i="15"/>
  <c r="IH35" i="15"/>
  <c r="IG35" i="15"/>
  <c r="IF35" i="15"/>
  <c r="IE35" i="15"/>
  <c r="ID35" i="15"/>
  <c r="IC35" i="15"/>
  <c r="IB35" i="15"/>
  <c r="IA35" i="15"/>
  <c r="HZ35" i="15"/>
  <c r="HY35" i="15"/>
  <c r="HX35" i="15"/>
  <c r="HW35" i="15"/>
  <c r="HV35" i="15"/>
  <c r="HU35" i="15"/>
  <c r="HT35" i="15"/>
  <c r="HS35" i="15"/>
  <c r="HR35" i="15"/>
  <c r="HQ35" i="15"/>
  <c r="HP35" i="15"/>
  <c r="HO35" i="15"/>
  <c r="HN35" i="15"/>
  <c r="HM35" i="15"/>
  <c r="HL35" i="15"/>
  <c r="HK35" i="15"/>
  <c r="HJ35" i="15"/>
  <c r="HI35" i="15"/>
  <c r="HH35" i="15"/>
  <c r="HG35" i="15"/>
  <c r="HF35" i="15"/>
  <c r="HE35" i="15"/>
  <c r="HD35" i="15"/>
  <c r="HC35" i="15"/>
  <c r="HB35" i="15"/>
  <c r="HA35" i="15"/>
  <c r="GZ35" i="15"/>
  <c r="GY35" i="15"/>
  <c r="GX35" i="15"/>
  <c r="GW35" i="15"/>
  <c r="GV35" i="15"/>
  <c r="GU35" i="15"/>
  <c r="GT35" i="15"/>
  <c r="GS35" i="15"/>
  <c r="GR35" i="15"/>
  <c r="GQ35" i="15"/>
  <c r="GP35" i="15"/>
  <c r="GO35" i="15"/>
  <c r="GN35" i="15"/>
  <c r="GM35" i="15"/>
  <c r="GL35" i="15"/>
  <c r="GK35" i="15"/>
  <c r="GJ35" i="15"/>
  <c r="GI35" i="15"/>
  <c r="GH35" i="15"/>
  <c r="GG35" i="15"/>
  <c r="GF35" i="15"/>
  <c r="GE35" i="15"/>
  <c r="GD35" i="15"/>
  <c r="GC35" i="15"/>
  <c r="GB35" i="15"/>
  <c r="GA35" i="15"/>
  <c r="FZ35" i="15"/>
  <c r="FY35" i="15"/>
  <c r="FX35" i="15"/>
  <c r="FW35" i="15"/>
  <c r="FV35" i="15"/>
  <c r="FU35" i="15"/>
  <c r="FT35" i="15"/>
  <c r="FS35" i="15"/>
  <c r="FR35" i="15"/>
  <c r="FQ35" i="15"/>
  <c r="FP35" i="15"/>
  <c r="FO35" i="15"/>
  <c r="FN35" i="15"/>
  <c r="FM35" i="15"/>
  <c r="FL35" i="15"/>
  <c r="FK35" i="15"/>
  <c r="FJ35" i="15"/>
  <c r="FI35" i="15"/>
  <c r="FH35" i="15"/>
  <c r="FG35" i="15"/>
  <c r="FF35" i="15"/>
  <c r="FE35" i="15"/>
  <c r="FD35" i="15"/>
  <c r="FC35" i="15"/>
  <c r="FB35" i="15"/>
  <c r="FA35" i="15"/>
  <c r="EZ35" i="15"/>
  <c r="EY35" i="15"/>
  <c r="EX35" i="15"/>
  <c r="EW35" i="15"/>
  <c r="EV35" i="15"/>
  <c r="EU35" i="15"/>
  <c r="ET35" i="15"/>
  <c r="ES35" i="15"/>
  <c r="ER35" i="15"/>
  <c r="EQ35" i="15"/>
  <c r="EP35" i="15"/>
  <c r="EO35" i="15"/>
  <c r="EN35" i="15"/>
  <c r="EM35" i="15"/>
  <c r="EL35" i="15"/>
  <c r="EK35" i="15"/>
  <c r="EJ35" i="15"/>
  <c r="EI35" i="15"/>
  <c r="EH35" i="15"/>
  <c r="EG35" i="15"/>
  <c r="EF35" i="15"/>
  <c r="EE35" i="15"/>
  <c r="ED35" i="15"/>
  <c r="EC35" i="15"/>
  <c r="EB35" i="15"/>
  <c r="EA35" i="15"/>
  <c r="DZ35" i="15"/>
  <c r="DY35" i="15"/>
  <c r="DX35" i="15"/>
  <c r="DW35" i="15"/>
  <c r="DV35" i="15"/>
  <c r="DU35" i="15"/>
  <c r="DT35" i="15"/>
  <c r="DS35" i="15"/>
  <c r="DR35" i="15"/>
  <c r="DQ35" i="15"/>
  <c r="DP35" i="15"/>
  <c r="DO35" i="15"/>
  <c r="DN35" i="15"/>
  <c r="DM35" i="15"/>
  <c r="DL35" i="15"/>
  <c r="DK35" i="15"/>
  <c r="DJ35" i="15"/>
  <c r="DI35" i="15"/>
  <c r="DH35" i="15"/>
  <c r="DG35" i="15"/>
  <c r="DF35" i="15"/>
  <c r="DE35" i="15"/>
  <c r="DD35" i="15"/>
  <c r="DC35" i="15"/>
  <c r="DB35" i="15"/>
  <c r="DA35" i="15"/>
  <c r="CZ35" i="15"/>
  <c r="CY35" i="15"/>
  <c r="CX35" i="15"/>
  <c r="CW35" i="15"/>
  <c r="CV35" i="15"/>
  <c r="CU35" i="15"/>
  <c r="CT35" i="15"/>
  <c r="CS35" i="15"/>
  <c r="CR35" i="15"/>
  <c r="CQ35" i="15"/>
  <c r="CP35" i="15"/>
  <c r="CO35" i="15"/>
  <c r="CN35" i="15"/>
  <c r="CM35" i="15"/>
  <c r="CL35" i="15"/>
  <c r="CK35" i="15"/>
  <c r="CJ35" i="15"/>
  <c r="CI35" i="15"/>
  <c r="CH35" i="15"/>
  <c r="CG35" i="15"/>
  <c r="CF35" i="15"/>
  <c r="CE35" i="15"/>
  <c r="CD35" i="15"/>
  <c r="CC35" i="15"/>
  <c r="CB35" i="15"/>
  <c r="CA35" i="15"/>
  <c r="BZ35" i="15"/>
  <c r="BY35" i="15"/>
  <c r="BX35" i="15"/>
  <c r="BW35" i="15"/>
  <c r="BV35" i="15"/>
  <c r="BU35" i="15"/>
  <c r="BT35" i="15"/>
  <c r="BS35" i="15"/>
  <c r="BR35" i="15"/>
  <c r="BQ35" i="15"/>
  <c r="BP35" i="15"/>
  <c r="BO35" i="15"/>
  <c r="BN35" i="15"/>
  <c r="BM35" i="15"/>
  <c r="BL35" i="15"/>
  <c r="BK35" i="15"/>
  <c r="BJ35" i="15"/>
  <c r="BI35" i="15"/>
  <c r="BH35" i="15"/>
  <c r="BG35" i="15"/>
  <c r="BF35" i="15"/>
  <c r="BE35" i="15"/>
  <c r="BD35" i="15"/>
  <c r="BC35" i="15"/>
  <c r="BB35" i="15"/>
  <c r="BA35" i="15"/>
  <c r="AZ35" i="15"/>
  <c r="AY35" i="15"/>
  <c r="AX35" i="15"/>
  <c r="AW35" i="15"/>
  <c r="AV35" i="15"/>
  <c r="AU35" i="15"/>
  <c r="AT35" i="15"/>
  <c r="AS35" i="15"/>
  <c r="AR35" i="15"/>
  <c r="AQ35" i="15"/>
  <c r="AP35" i="15"/>
  <c r="AO35" i="15"/>
  <c r="AN35" i="15"/>
  <c r="AM35" i="15"/>
  <c r="AL35" i="15"/>
  <c r="AK35" i="15"/>
  <c r="AJ35" i="15"/>
  <c r="AI35" i="15"/>
  <c r="AH35" i="15"/>
  <c r="AG35" i="15"/>
  <c r="AF35" i="15"/>
  <c r="AE35" i="15"/>
  <c r="AD35" i="15"/>
  <c r="AC35" i="15"/>
  <c r="AB35" i="15"/>
  <c r="AA35" i="15"/>
  <c r="Z35" i="15"/>
  <c r="Y35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KC34" i="15"/>
  <c r="KB34" i="15"/>
  <c r="KA34" i="15"/>
  <c r="JZ34" i="15"/>
  <c r="JY34" i="15"/>
  <c r="JX34" i="15"/>
  <c r="JW34" i="15"/>
  <c r="JV34" i="15"/>
  <c r="JU34" i="15"/>
  <c r="JT34" i="15"/>
  <c r="JS34" i="15"/>
  <c r="JR34" i="15"/>
  <c r="JQ34" i="15"/>
  <c r="JP34" i="15"/>
  <c r="JO34" i="15"/>
  <c r="JN34" i="15"/>
  <c r="JM34" i="15"/>
  <c r="JL34" i="15"/>
  <c r="JK34" i="15"/>
  <c r="JJ34" i="15"/>
  <c r="JI34" i="15"/>
  <c r="JH34" i="15"/>
  <c r="JG34" i="15"/>
  <c r="JF34" i="15"/>
  <c r="JE34" i="15"/>
  <c r="JD34" i="15"/>
  <c r="JC34" i="15"/>
  <c r="JB34" i="15"/>
  <c r="JA34" i="15"/>
  <c r="IZ34" i="15"/>
  <c r="IY34" i="15"/>
  <c r="IX34" i="15"/>
  <c r="IW34" i="15"/>
  <c r="IV34" i="15"/>
  <c r="IU34" i="15"/>
  <c r="IT34" i="15"/>
  <c r="IS34" i="15"/>
  <c r="IR34" i="15"/>
  <c r="IQ34" i="15"/>
  <c r="IP34" i="15"/>
  <c r="IO34" i="15"/>
  <c r="IN34" i="15"/>
  <c r="IM34" i="15"/>
  <c r="IL34" i="15"/>
  <c r="IK34" i="15"/>
  <c r="IJ34" i="15"/>
  <c r="II34" i="15"/>
  <c r="IH34" i="15"/>
  <c r="IG34" i="15"/>
  <c r="IF34" i="15"/>
  <c r="IE34" i="15"/>
  <c r="ID34" i="15"/>
  <c r="IC34" i="15"/>
  <c r="IB34" i="15"/>
  <c r="IA34" i="15"/>
  <c r="HZ34" i="15"/>
  <c r="HY34" i="15"/>
  <c r="HX34" i="15"/>
  <c r="HW34" i="15"/>
  <c r="HV34" i="15"/>
  <c r="HU34" i="15"/>
  <c r="HT34" i="15"/>
  <c r="HS34" i="15"/>
  <c r="HR34" i="15"/>
  <c r="HQ34" i="15"/>
  <c r="HP34" i="15"/>
  <c r="HO34" i="15"/>
  <c r="HN34" i="15"/>
  <c r="HM34" i="15"/>
  <c r="HL34" i="15"/>
  <c r="HK34" i="15"/>
  <c r="HJ34" i="15"/>
  <c r="HI34" i="15"/>
  <c r="HH34" i="15"/>
  <c r="HG34" i="15"/>
  <c r="HF34" i="15"/>
  <c r="HE34" i="15"/>
  <c r="HD34" i="15"/>
  <c r="HC34" i="15"/>
  <c r="HB34" i="15"/>
  <c r="HA34" i="15"/>
  <c r="GZ34" i="15"/>
  <c r="GY34" i="15"/>
  <c r="GX34" i="15"/>
  <c r="GW34" i="15"/>
  <c r="GV34" i="15"/>
  <c r="GU34" i="15"/>
  <c r="GT34" i="15"/>
  <c r="GS34" i="15"/>
  <c r="GR34" i="15"/>
  <c r="GQ34" i="15"/>
  <c r="GP34" i="15"/>
  <c r="GO34" i="15"/>
  <c r="GN34" i="15"/>
  <c r="GM34" i="15"/>
  <c r="GL34" i="15"/>
  <c r="GK34" i="15"/>
  <c r="GJ34" i="15"/>
  <c r="GI34" i="15"/>
  <c r="GH34" i="15"/>
  <c r="GG34" i="15"/>
  <c r="GF34" i="15"/>
  <c r="GE34" i="15"/>
  <c r="GD34" i="15"/>
  <c r="GC34" i="15"/>
  <c r="GB34" i="15"/>
  <c r="GA34" i="15"/>
  <c r="FZ34" i="15"/>
  <c r="FY34" i="15"/>
  <c r="FX34" i="15"/>
  <c r="FW34" i="15"/>
  <c r="FV34" i="15"/>
  <c r="FU34" i="15"/>
  <c r="FT34" i="15"/>
  <c r="FS34" i="15"/>
  <c r="FR34" i="15"/>
  <c r="FQ34" i="15"/>
  <c r="FP34" i="15"/>
  <c r="FO34" i="15"/>
  <c r="FN34" i="15"/>
  <c r="FM34" i="15"/>
  <c r="FL34" i="15"/>
  <c r="FK34" i="15"/>
  <c r="FJ34" i="15"/>
  <c r="FI34" i="15"/>
  <c r="FH34" i="15"/>
  <c r="FG34" i="15"/>
  <c r="FF34" i="15"/>
  <c r="FE34" i="15"/>
  <c r="FD34" i="15"/>
  <c r="FC34" i="15"/>
  <c r="FB34" i="15"/>
  <c r="FA34" i="15"/>
  <c r="EZ34" i="15"/>
  <c r="EY34" i="15"/>
  <c r="EX34" i="15"/>
  <c r="EW34" i="15"/>
  <c r="EV34" i="15"/>
  <c r="EU34" i="15"/>
  <c r="ET34" i="15"/>
  <c r="ES34" i="15"/>
  <c r="ER34" i="15"/>
  <c r="EQ34" i="15"/>
  <c r="EP34" i="15"/>
  <c r="EO34" i="15"/>
  <c r="EN34" i="15"/>
  <c r="EM34" i="15"/>
  <c r="EL34" i="15"/>
  <c r="EK34" i="15"/>
  <c r="EJ34" i="15"/>
  <c r="EI34" i="15"/>
  <c r="EH34" i="15"/>
  <c r="EG34" i="15"/>
  <c r="EF34" i="15"/>
  <c r="EE34" i="15"/>
  <c r="ED34" i="15"/>
  <c r="EC34" i="15"/>
  <c r="EB34" i="15"/>
  <c r="EA34" i="15"/>
  <c r="DZ34" i="15"/>
  <c r="DY34" i="15"/>
  <c r="DX34" i="15"/>
  <c r="DW34" i="15"/>
  <c r="DV34" i="15"/>
  <c r="DU34" i="15"/>
  <c r="DT34" i="15"/>
  <c r="DS34" i="15"/>
  <c r="DR34" i="15"/>
  <c r="DQ34" i="15"/>
  <c r="DP34" i="15"/>
  <c r="DO34" i="15"/>
  <c r="DN34" i="15"/>
  <c r="DM34" i="15"/>
  <c r="DL34" i="15"/>
  <c r="DK34" i="15"/>
  <c r="DJ34" i="15"/>
  <c r="DI34" i="15"/>
  <c r="DH34" i="15"/>
  <c r="DG34" i="15"/>
  <c r="DF34" i="15"/>
  <c r="DE34" i="15"/>
  <c r="DD34" i="15"/>
  <c r="DC34" i="15"/>
  <c r="DB34" i="15"/>
  <c r="DA34" i="15"/>
  <c r="CZ34" i="15"/>
  <c r="CY34" i="15"/>
  <c r="CX34" i="15"/>
  <c r="CW34" i="15"/>
  <c r="CV34" i="15"/>
  <c r="CU34" i="15"/>
  <c r="CT34" i="15"/>
  <c r="CS34" i="15"/>
  <c r="CR34" i="15"/>
  <c r="CQ34" i="15"/>
  <c r="CP34" i="15"/>
  <c r="CO34" i="15"/>
  <c r="CN34" i="15"/>
  <c r="CM34" i="15"/>
  <c r="CL34" i="15"/>
  <c r="CK34" i="15"/>
  <c r="CJ34" i="15"/>
  <c r="CI34" i="15"/>
  <c r="CH34" i="15"/>
  <c r="CG34" i="15"/>
  <c r="CF34" i="15"/>
  <c r="CE34" i="15"/>
  <c r="CD34" i="15"/>
  <c r="CC34" i="15"/>
  <c r="CB34" i="15"/>
  <c r="CA34" i="15"/>
  <c r="BZ34" i="15"/>
  <c r="BY34" i="15"/>
  <c r="BX34" i="15"/>
  <c r="BW34" i="15"/>
  <c r="BV34" i="15"/>
  <c r="BU34" i="15"/>
  <c r="BT34" i="15"/>
  <c r="BS34" i="15"/>
  <c r="BR34" i="15"/>
  <c r="BQ34" i="15"/>
  <c r="BP34" i="15"/>
  <c r="BO34" i="15"/>
  <c r="BN34" i="15"/>
  <c r="BM34" i="15"/>
  <c r="BL34" i="15"/>
  <c r="BK34" i="15"/>
  <c r="BJ34" i="15"/>
  <c r="BI34" i="15"/>
  <c r="BH34" i="15"/>
  <c r="BG34" i="15"/>
  <c r="BF34" i="15"/>
  <c r="BE34" i="15"/>
  <c r="BD34" i="15"/>
  <c r="BC34" i="15"/>
  <c r="BB34" i="15"/>
  <c r="BA34" i="15"/>
  <c r="AZ34" i="15"/>
  <c r="AY34" i="15"/>
  <c r="AX34" i="15"/>
  <c r="AW34" i="15"/>
  <c r="AV34" i="15"/>
  <c r="AU34" i="15"/>
  <c r="AT34" i="15"/>
  <c r="AS34" i="15"/>
  <c r="AR34" i="15"/>
  <c r="AQ34" i="15"/>
  <c r="AP34" i="15"/>
  <c r="AO34" i="15"/>
  <c r="AN34" i="15"/>
  <c r="AM34" i="15"/>
  <c r="AL34" i="15"/>
  <c r="AK34" i="15"/>
  <c r="AJ34" i="15"/>
  <c r="AI34" i="15"/>
  <c r="AH34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KC33" i="15"/>
  <c r="KB33" i="15"/>
  <c r="KA33" i="15"/>
  <c r="JZ33" i="15"/>
  <c r="JY33" i="15"/>
  <c r="JX33" i="15"/>
  <c r="JW33" i="15"/>
  <c r="JV33" i="15"/>
  <c r="JU33" i="15"/>
  <c r="JT33" i="15"/>
  <c r="JS33" i="15"/>
  <c r="JR33" i="15"/>
  <c r="JQ33" i="15"/>
  <c r="JP33" i="15"/>
  <c r="JO33" i="15"/>
  <c r="JN33" i="15"/>
  <c r="JM33" i="15"/>
  <c r="JL33" i="15"/>
  <c r="JK33" i="15"/>
  <c r="JJ33" i="15"/>
  <c r="JI33" i="15"/>
  <c r="JH33" i="15"/>
  <c r="JG33" i="15"/>
  <c r="JF33" i="15"/>
  <c r="JE33" i="15"/>
  <c r="JD33" i="15"/>
  <c r="JC33" i="15"/>
  <c r="JB33" i="15"/>
  <c r="JA33" i="15"/>
  <c r="IZ33" i="15"/>
  <c r="IY33" i="15"/>
  <c r="IX33" i="15"/>
  <c r="IW33" i="15"/>
  <c r="IV33" i="15"/>
  <c r="IU33" i="15"/>
  <c r="IT33" i="15"/>
  <c r="IS33" i="15"/>
  <c r="IR33" i="15"/>
  <c r="IQ33" i="15"/>
  <c r="IP33" i="15"/>
  <c r="IO33" i="15"/>
  <c r="IN33" i="15"/>
  <c r="IM33" i="15"/>
  <c r="IL33" i="15"/>
  <c r="IK33" i="15"/>
  <c r="IJ33" i="15"/>
  <c r="II33" i="15"/>
  <c r="IH33" i="15"/>
  <c r="IG33" i="15"/>
  <c r="IF33" i="15"/>
  <c r="IE33" i="15"/>
  <c r="ID33" i="15"/>
  <c r="IC33" i="15"/>
  <c r="IB33" i="15"/>
  <c r="IA33" i="15"/>
  <c r="HZ33" i="15"/>
  <c r="HY33" i="15"/>
  <c r="HX33" i="15"/>
  <c r="HW33" i="15"/>
  <c r="HV33" i="15"/>
  <c r="HU33" i="15"/>
  <c r="HT33" i="15"/>
  <c r="HS33" i="15"/>
  <c r="HR33" i="15"/>
  <c r="HQ33" i="15"/>
  <c r="HP33" i="15"/>
  <c r="HO33" i="15"/>
  <c r="HN33" i="15"/>
  <c r="HM33" i="15"/>
  <c r="HL33" i="15"/>
  <c r="HK33" i="15"/>
  <c r="HJ33" i="15"/>
  <c r="HI33" i="15"/>
  <c r="HH33" i="15"/>
  <c r="HG33" i="15"/>
  <c r="HF33" i="15"/>
  <c r="HE33" i="15"/>
  <c r="HD33" i="15"/>
  <c r="HC33" i="15"/>
  <c r="HB33" i="15"/>
  <c r="HA33" i="15"/>
  <c r="GZ33" i="15"/>
  <c r="GY33" i="15"/>
  <c r="GX33" i="15"/>
  <c r="GW33" i="15"/>
  <c r="GV33" i="15"/>
  <c r="GU33" i="15"/>
  <c r="GT33" i="15"/>
  <c r="GS33" i="15"/>
  <c r="GR33" i="15"/>
  <c r="GQ33" i="15"/>
  <c r="GP33" i="15"/>
  <c r="GO33" i="15"/>
  <c r="GN33" i="15"/>
  <c r="GM33" i="15"/>
  <c r="GL33" i="15"/>
  <c r="GK33" i="15"/>
  <c r="GJ33" i="15"/>
  <c r="GI33" i="15"/>
  <c r="GH33" i="15"/>
  <c r="GG33" i="15"/>
  <c r="GF33" i="15"/>
  <c r="GE33" i="15"/>
  <c r="GD33" i="15"/>
  <c r="GC33" i="15"/>
  <c r="GB33" i="15"/>
  <c r="GA33" i="15"/>
  <c r="FZ33" i="15"/>
  <c r="FY33" i="15"/>
  <c r="FX33" i="15"/>
  <c r="FW33" i="15"/>
  <c r="FV33" i="15"/>
  <c r="FU33" i="15"/>
  <c r="FT33" i="15"/>
  <c r="FS33" i="15"/>
  <c r="FR33" i="15"/>
  <c r="FQ33" i="15"/>
  <c r="FP33" i="15"/>
  <c r="FO33" i="15"/>
  <c r="FN33" i="15"/>
  <c r="FM33" i="15"/>
  <c r="FL33" i="15"/>
  <c r="FK33" i="15"/>
  <c r="FJ33" i="15"/>
  <c r="FI33" i="15"/>
  <c r="FH33" i="15"/>
  <c r="FG33" i="15"/>
  <c r="FF33" i="15"/>
  <c r="FE33" i="15"/>
  <c r="FD33" i="15"/>
  <c r="FC33" i="15"/>
  <c r="FB33" i="15"/>
  <c r="FA33" i="15"/>
  <c r="EZ33" i="15"/>
  <c r="EY33" i="15"/>
  <c r="EX33" i="15"/>
  <c r="EW33" i="15"/>
  <c r="EV33" i="15"/>
  <c r="EU33" i="15"/>
  <c r="ET33" i="15"/>
  <c r="ES33" i="15"/>
  <c r="ER33" i="15"/>
  <c r="EQ33" i="15"/>
  <c r="EP33" i="15"/>
  <c r="EO33" i="15"/>
  <c r="EN33" i="15"/>
  <c r="EM33" i="15"/>
  <c r="EL33" i="15"/>
  <c r="EK33" i="15"/>
  <c r="EJ33" i="15"/>
  <c r="EI33" i="15"/>
  <c r="EH33" i="15"/>
  <c r="EG33" i="15"/>
  <c r="EF33" i="15"/>
  <c r="EE33" i="15"/>
  <c r="ED33" i="15"/>
  <c r="EC33" i="15"/>
  <c r="EB33" i="15"/>
  <c r="EA33" i="15"/>
  <c r="DZ33" i="15"/>
  <c r="DY33" i="15"/>
  <c r="DX33" i="15"/>
  <c r="DW33" i="15"/>
  <c r="DV33" i="15"/>
  <c r="DU33" i="15"/>
  <c r="DT33" i="15"/>
  <c r="DS33" i="15"/>
  <c r="DR33" i="15"/>
  <c r="DQ33" i="15"/>
  <c r="DP33" i="15"/>
  <c r="DO33" i="15"/>
  <c r="DN33" i="15"/>
  <c r="DM33" i="15"/>
  <c r="DL33" i="15"/>
  <c r="DK33" i="15"/>
  <c r="DJ33" i="15"/>
  <c r="DI33" i="15"/>
  <c r="DH33" i="15"/>
  <c r="DG33" i="15"/>
  <c r="DF33" i="15"/>
  <c r="DE33" i="15"/>
  <c r="DD33" i="15"/>
  <c r="DC33" i="15"/>
  <c r="DB33" i="15"/>
  <c r="DA33" i="15"/>
  <c r="CZ33" i="15"/>
  <c r="CY33" i="15"/>
  <c r="CX33" i="15"/>
  <c r="CW33" i="15"/>
  <c r="CV33" i="15"/>
  <c r="CU33" i="15"/>
  <c r="CT33" i="15"/>
  <c r="CS33" i="15"/>
  <c r="CR33" i="15"/>
  <c r="CQ33" i="15"/>
  <c r="CP33" i="15"/>
  <c r="CO33" i="15"/>
  <c r="CN33" i="15"/>
  <c r="CM33" i="15"/>
  <c r="CL33" i="15"/>
  <c r="CK33" i="15"/>
  <c r="CJ33" i="15"/>
  <c r="CI33" i="15"/>
  <c r="CH33" i="15"/>
  <c r="CG33" i="15"/>
  <c r="CF33" i="15"/>
  <c r="CE33" i="15"/>
  <c r="CD33" i="15"/>
  <c r="CC33" i="15"/>
  <c r="CB33" i="15"/>
  <c r="CA33" i="15"/>
  <c r="BZ33" i="15"/>
  <c r="BY33" i="15"/>
  <c r="BX33" i="15"/>
  <c r="BW33" i="15"/>
  <c r="BV33" i="15"/>
  <c r="BU33" i="15"/>
  <c r="BT33" i="15"/>
  <c r="BS33" i="15"/>
  <c r="BR33" i="15"/>
  <c r="BQ33" i="15"/>
  <c r="BP33" i="15"/>
  <c r="BO33" i="15"/>
  <c r="BN33" i="15"/>
  <c r="BM33" i="15"/>
  <c r="BL33" i="15"/>
  <c r="BK33" i="15"/>
  <c r="BJ33" i="15"/>
  <c r="BI33" i="15"/>
  <c r="BH33" i="15"/>
  <c r="BG33" i="15"/>
  <c r="BF33" i="15"/>
  <c r="BE33" i="15"/>
  <c r="BD33" i="15"/>
  <c r="BC33" i="15"/>
  <c r="BB33" i="15"/>
  <c r="BA33" i="15"/>
  <c r="AZ33" i="15"/>
  <c r="AY33" i="15"/>
  <c r="AX33" i="15"/>
  <c r="AW33" i="15"/>
  <c r="AV33" i="15"/>
  <c r="AU33" i="15"/>
  <c r="AT33" i="15"/>
  <c r="AS33" i="15"/>
  <c r="AR33" i="15"/>
  <c r="AQ33" i="15"/>
  <c r="AP33" i="15"/>
  <c r="AO33" i="15"/>
  <c r="AN33" i="15"/>
  <c r="AM33" i="15"/>
  <c r="AL33" i="15"/>
  <c r="AK33" i="15"/>
  <c r="AJ33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KC32" i="15"/>
  <c r="KB32" i="15"/>
  <c r="KA32" i="15"/>
  <c r="JZ32" i="15"/>
  <c r="JY32" i="15"/>
  <c r="JX32" i="15"/>
  <c r="JW32" i="15"/>
  <c r="JV32" i="15"/>
  <c r="JU32" i="15"/>
  <c r="JT32" i="15"/>
  <c r="JS32" i="15"/>
  <c r="JR32" i="15"/>
  <c r="JQ32" i="15"/>
  <c r="JP32" i="15"/>
  <c r="JO32" i="15"/>
  <c r="JN32" i="15"/>
  <c r="JM32" i="15"/>
  <c r="JL32" i="15"/>
  <c r="JK32" i="15"/>
  <c r="JJ32" i="15"/>
  <c r="JI32" i="15"/>
  <c r="JH32" i="15"/>
  <c r="JG32" i="15"/>
  <c r="JF32" i="15"/>
  <c r="JE32" i="15"/>
  <c r="JD32" i="15"/>
  <c r="JC32" i="15"/>
  <c r="JB32" i="15"/>
  <c r="JA32" i="15"/>
  <c r="IZ32" i="15"/>
  <c r="IY32" i="15"/>
  <c r="IX32" i="15"/>
  <c r="IW32" i="15"/>
  <c r="IV32" i="15"/>
  <c r="IU32" i="15"/>
  <c r="IT32" i="15"/>
  <c r="IS32" i="15"/>
  <c r="IR32" i="15"/>
  <c r="IQ32" i="15"/>
  <c r="IP32" i="15"/>
  <c r="IO32" i="15"/>
  <c r="IN32" i="15"/>
  <c r="IM32" i="15"/>
  <c r="IL32" i="15"/>
  <c r="IK32" i="15"/>
  <c r="IJ32" i="15"/>
  <c r="II32" i="15"/>
  <c r="IH32" i="15"/>
  <c r="IG32" i="15"/>
  <c r="IF32" i="15"/>
  <c r="IE32" i="15"/>
  <c r="ID32" i="15"/>
  <c r="IC32" i="15"/>
  <c r="IB32" i="15"/>
  <c r="IA32" i="15"/>
  <c r="HZ32" i="15"/>
  <c r="HY32" i="15"/>
  <c r="HX32" i="15"/>
  <c r="HW32" i="15"/>
  <c r="HV32" i="15"/>
  <c r="HU32" i="15"/>
  <c r="HT32" i="15"/>
  <c r="HS32" i="15"/>
  <c r="HR32" i="15"/>
  <c r="HQ32" i="15"/>
  <c r="HP32" i="15"/>
  <c r="HO32" i="15"/>
  <c r="HN32" i="15"/>
  <c r="HM32" i="15"/>
  <c r="HL32" i="15"/>
  <c r="HK32" i="15"/>
  <c r="HJ32" i="15"/>
  <c r="HI32" i="15"/>
  <c r="HH32" i="15"/>
  <c r="HG32" i="15"/>
  <c r="HF32" i="15"/>
  <c r="HE32" i="15"/>
  <c r="HD32" i="15"/>
  <c r="HC32" i="15"/>
  <c r="HB32" i="15"/>
  <c r="HA32" i="15"/>
  <c r="GZ32" i="15"/>
  <c r="GY32" i="15"/>
  <c r="GX32" i="15"/>
  <c r="GW32" i="15"/>
  <c r="GV32" i="15"/>
  <c r="GU32" i="15"/>
  <c r="GT32" i="15"/>
  <c r="GS32" i="15"/>
  <c r="GR32" i="15"/>
  <c r="GQ32" i="15"/>
  <c r="GP32" i="15"/>
  <c r="GO32" i="15"/>
  <c r="GN32" i="15"/>
  <c r="GM32" i="15"/>
  <c r="GL32" i="15"/>
  <c r="GK32" i="15"/>
  <c r="GJ32" i="15"/>
  <c r="GI32" i="15"/>
  <c r="GH32" i="15"/>
  <c r="GG32" i="15"/>
  <c r="GF32" i="15"/>
  <c r="GE32" i="15"/>
  <c r="GD32" i="15"/>
  <c r="GC32" i="15"/>
  <c r="GB32" i="15"/>
  <c r="GA32" i="15"/>
  <c r="FZ32" i="15"/>
  <c r="FY32" i="15"/>
  <c r="FX32" i="15"/>
  <c r="FW32" i="15"/>
  <c r="FV32" i="15"/>
  <c r="FU32" i="15"/>
  <c r="FT32" i="15"/>
  <c r="FS32" i="15"/>
  <c r="FR32" i="15"/>
  <c r="FQ32" i="15"/>
  <c r="FP32" i="15"/>
  <c r="FO32" i="15"/>
  <c r="FN32" i="15"/>
  <c r="FM32" i="15"/>
  <c r="FL32" i="15"/>
  <c r="FK32" i="15"/>
  <c r="FJ32" i="15"/>
  <c r="FI32" i="15"/>
  <c r="FH32" i="15"/>
  <c r="FG32" i="15"/>
  <c r="FF32" i="15"/>
  <c r="FE32" i="15"/>
  <c r="FD32" i="15"/>
  <c r="FC32" i="15"/>
  <c r="FB32" i="15"/>
  <c r="FA32" i="15"/>
  <c r="EZ32" i="15"/>
  <c r="EY32" i="15"/>
  <c r="EX32" i="15"/>
  <c r="EW32" i="15"/>
  <c r="EV32" i="15"/>
  <c r="EU32" i="15"/>
  <c r="ET32" i="15"/>
  <c r="ES32" i="15"/>
  <c r="ER32" i="15"/>
  <c r="EQ32" i="15"/>
  <c r="EP32" i="15"/>
  <c r="EO32" i="15"/>
  <c r="EN32" i="15"/>
  <c r="EM32" i="15"/>
  <c r="EL32" i="15"/>
  <c r="EK32" i="15"/>
  <c r="EJ32" i="15"/>
  <c r="EI32" i="15"/>
  <c r="EH32" i="15"/>
  <c r="EG32" i="15"/>
  <c r="EF32" i="15"/>
  <c r="EE32" i="15"/>
  <c r="ED32" i="15"/>
  <c r="EC32" i="15"/>
  <c r="EB32" i="15"/>
  <c r="EA32" i="15"/>
  <c r="DZ32" i="15"/>
  <c r="DY32" i="15"/>
  <c r="DX32" i="15"/>
  <c r="DW32" i="15"/>
  <c r="DV32" i="15"/>
  <c r="DU32" i="15"/>
  <c r="DT32" i="15"/>
  <c r="DS32" i="15"/>
  <c r="DR32" i="15"/>
  <c r="DQ32" i="15"/>
  <c r="DP32" i="15"/>
  <c r="DO32" i="15"/>
  <c r="DN32" i="15"/>
  <c r="DM32" i="15"/>
  <c r="DL32" i="15"/>
  <c r="DK32" i="15"/>
  <c r="DJ32" i="15"/>
  <c r="DI32" i="15"/>
  <c r="DH32" i="15"/>
  <c r="DG32" i="15"/>
  <c r="DF32" i="15"/>
  <c r="DE32" i="15"/>
  <c r="DD32" i="15"/>
  <c r="DC32" i="15"/>
  <c r="DB32" i="15"/>
  <c r="DA32" i="15"/>
  <c r="CZ32" i="15"/>
  <c r="CY32" i="15"/>
  <c r="CX32" i="15"/>
  <c r="CW32" i="15"/>
  <c r="CV32" i="15"/>
  <c r="CU32" i="15"/>
  <c r="CT32" i="15"/>
  <c r="CS32" i="15"/>
  <c r="CR32" i="15"/>
  <c r="CQ32" i="15"/>
  <c r="CP32" i="15"/>
  <c r="CO32" i="15"/>
  <c r="CN32" i="15"/>
  <c r="CM32" i="15"/>
  <c r="CL32" i="15"/>
  <c r="CK32" i="15"/>
  <c r="CJ32" i="15"/>
  <c r="CI32" i="15"/>
  <c r="CH32" i="15"/>
  <c r="CG32" i="15"/>
  <c r="CF32" i="15"/>
  <c r="CE32" i="15"/>
  <c r="CD32" i="15"/>
  <c r="CC32" i="15"/>
  <c r="CB32" i="15"/>
  <c r="CA32" i="15"/>
  <c r="BZ32" i="15"/>
  <c r="BY32" i="15"/>
  <c r="BX32" i="15"/>
  <c r="BW32" i="15"/>
  <c r="BV32" i="15"/>
  <c r="BU32" i="15"/>
  <c r="BT32" i="15"/>
  <c r="BS32" i="15"/>
  <c r="BR32" i="15"/>
  <c r="BQ32" i="15"/>
  <c r="BP32" i="15"/>
  <c r="BO32" i="15"/>
  <c r="BN32" i="15"/>
  <c r="BM32" i="15"/>
  <c r="BL32" i="15"/>
  <c r="BK32" i="15"/>
  <c r="BJ32" i="15"/>
  <c r="BI32" i="15"/>
  <c r="BH32" i="15"/>
  <c r="BG32" i="15"/>
  <c r="BF32" i="15"/>
  <c r="BE32" i="15"/>
  <c r="BD32" i="15"/>
  <c r="BC32" i="15"/>
  <c r="BB32" i="15"/>
  <c r="BA32" i="15"/>
  <c r="AZ32" i="15"/>
  <c r="AY32" i="15"/>
  <c r="AX32" i="15"/>
  <c r="AW32" i="15"/>
  <c r="AV32" i="15"/>
  <c r="AU32" i="15"/>
  <c r="AT32" i="15"/>
  <c r="AS32" i="15"/>
  <c r="AR32" i="15"/>
  <c r="AQ32" i="15"/>
  <c r="AP32" i="15"/>
  <c r="AO32" i="15"/>
  <c r="AN32" i="15"/>
  <c r="AM32" i="15"/>
  <c r="AL32" i="15"/>
  <c r="AK32" i="15"/>
  <c r="AJ32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KC31" i="15"/>
  <c r="KB31" i="15"/>
  <c r="KA31" i="15"/>
  <c r="JZ31" i="15"/>
  <c r="JY31" i="15"/>
  <c r="JX31" i="15"/>
  <c r="JW31" i="15"/>
  <c r="JV31" i="15"/>
  <c r="JU31" i="15"/>
  <c r="JT31" i="15"/>
  <c r="JS31" i="15"/>
  <c r="JR31" i="15"/>
  <c r="JQ31" i="15"/>
  <c r="JP31" i="15"/>
  <c r="JO31" i="15"/>
  <c r="JN31" i="15"/>
  <c r="JM31" i="15"/>
  <c r="JL31" i="15"/>
  <c r="JK31" i="15"/>
  <c r="JJ31" i="15"/>
  <c r="JI31" i="15"/>
  <c r="JH31" i="15"/>
  <c r="JG31" i="15"/>
  <c r="JF31" i="15"/>
  <c r="JE31" i="15"/>
  <c r="JD31" i="15"/>
  <c r="JC31" i="15"/>
  <c r="JB31" i="15"/>
  <c r="JA31" i="15"/>
  <c r="IZ31" i="15"/>
  <c r="IY31" i="15"/>
  <c r="IX31" i="15"/>
  <c r="IW31" i="15"/>
  <c r="IV31" i="15"/>
  <c r="IU31" i="15"/>
  <c r="IT31" i="15"/>
  <c r="IS31" i="15"/>
  <c r="IR31" i="15"/>
  <c r="IQ31" i="15"/>
  <c r="IP31" i="15"/>
  <c r="IO31" i="15"/>
  <c r="IN31" i="15"/>
  <c r="IM31" i="15"/>
  <c r="IL31" i="15"/>
  <c r="IK31" i="15"/>
  <c r="IJ31" i="15"/>
  <c r="II31" i="15"/>
  <c r="IH31" i="15"/>
  <c r="IG31" i="15"/>
  <c r="IF31" i="15"/>
  <c r="IE31" i="15"/>
  <c r="ID31" i="15"/>
  <c r="IC31" i="15"/>
  <c r="IB31" i="15"/>
  <c r="IA31" i="15"/>
  <c r="HZ31" i="15"/>
  <c r="HY31" i="15"/>
  <c r="HX31" i="15"/>
  <c r="HW31" i="15"/>
  <c r="HV31" i="15"/>
  <c r="HU31" i="15"/>
  <c r="HT31" i="15"/>
  <c r="HS31" i="15"/>
  <c r="HR31" i="15"/>
  <c r="HQ31" i="15"/>
  <c r="HP31" i="15"/>
  <c r="HO31" i="15"/>
  <c r="HN31" i="15"/>
  <c r="HM31" i="15"/>
  <c r="HL31" i="15"/>
  <c r="HK31" i="15"/>
  <c r="HJ31" i="15"/>
  <c r="HI31" i="15"/>
  <c r="HH31" i="15"/>
  <c r="HG31" i="15"/>
  <c r="HF31" i="15"/>
  <c r="HE31" i="15"/>
  <c r="HD31" i="15"/>
  <c r="HC31" i="15"/>
  <c r="HB31" i="15"/>
  <c r="HA31" i="15"/>
  <c r="GZ31" i="15"/>
  <c r="GY31" i="15"/>
  <c r="GX31" i="15"/>
  <c r="GW31" i="15"/>
  <c r="GV31" i="15"/>
  <c r="GU31" i="15"/>
  <c r="GT31" i="15"/>
  <c r="GS31" i="15"/>
  <c r="GR31" i="15"/>
  <c r="GQ31" i="15"/>
  <c r="GP31" i="15"/>
  <c r="GO31" i="15"/>
  <c r="GN31" i="15"/>
  <c r="GM31" i="15"/>
  <c r="GL31" i="15"/>
  <c r="GK31" i="15"/>
  <c r="GJ31" i="15"/>
  <c r="GI31" i="15"/>
  <c r="GH31" i="15"/>
  <c r="GG31" i="15"/>
  <c r="GF31" i="15"/>
  <c r="GE31" i="15"/>
  <c r="GD31" i="15"/>
  <c r="GC31" i="15"/>
  <c r="GB31" i="15"/>
  <c r="GA31" i="15"/>
  <c r="FZ31" i="15"/>
  <c r="FY31" i="15"/>
  <c r="FX31" i="15"/>
  <c r="FW31" i="15"/>
  <c r="FV31" i="15"/>
  <c r="FU31" i="15"/>
  <c r="FT31" i="15"/>
  <c r="FS31" i="15"/>
  <c r="FR31" i="15"/>
  <c r="FQ31" i="15"/>
  <c r="FP31" i="15"/>
  <c r="FO31" i="15"/>
  <c r="FN31" i="15"/>
  <c r="FM31" i="15"/>
  <c r="FL31" i="15"/>
  <c r="FK31" i="15"/>
  <c r="FJ31" i="15"/>
  <c r="FI31" i="15"/>
  <c r="FH31" i="15"/>
  <c r="FG31" i="15"/>
  <c r="FF31" i="15"/>
  <c r="FE31" i="15"/>
  <c r="FD31" i="15"/>
  <c r="FC31" i="15"/>
  <c r="FB31" i="15"/>
  <c r="FA31" i="15"/>
  <c r="EZ31" i="15"/>
  <c r="EY31" i="15"/>
  <c r="EX31" i="15"/>
  <c r="EW31" i="15"/>
  <c r="EV31" i="15"/>
  <c r="EU31" i="15"/>
  <c r="ET31" i="15"/>
  <c r="ES31" i="15"/>
  <c r="ER31" i="15"/>
  <c r="EQ31" i="15"/>
  <c r="EP31" i="15"/>
  <c r="EO31" i="15"/>
  <c r="EN31" i="15"/>
  <c r="EM31" i="15"/>
  <c r="EL31" i="15"/>
  <c r="EK31" i="15"/>
  <c r="EJ31" i="15"/>
  <c r="EI31" i="15"/>
  <c r="EH31" i="15"/>
  <c r="EG31" i="15"/>
  <c r="EF31" i="15"/>
  <c r="EE31" i="15"/>
  <c r="ED31" i="15"/>
  <c r="EC31" i="15"/>
  <c r="EB31" i="15"/>
  <c r="EA31" i="15"/>
  <c r="DZ31" i="15"/>
  <c r="DY31" i="15"/>
  <c r="DX31" i="15"/>
  <c r="DW31" i="15"/>
  <c r="DV31" i="15"/>
  <c r="DU31" i="15"/>
  <c r="DT31" i="15"/>
  <c r="DS31" i="15"/>
  <c r="DR31" i="15"/>
  <c r="DQ31" i="15"/>
  <c r="DP31" i="15"/>
  <c r="DO31" i="15"/>
  <c r="DN31" i="15"/>
  <c r="DM31" i="15"/>
  <c r="DL31" i="15"/>
  <c r="DK31" i="15"/>
  <c r="DJ31" i="15"/>
  <c r="DI31" i="15"/>
  <c r="DH31" i="15"/>
  <c r="DG31" i="15"/>
  <c r="DF31" i="15"/>
  <c r="DE31" i="15"/>
  <c r="DD31" i="15"/>
  <c r="DC31" i="15"/>
  <c r="DB31" i="15"/>
  <c r="DA31" i="15"/>
  <c r="CZ31" i="15"/>
  <c r="CY31" i="15"/>
  <c r="CX31" i="15"/>
  <c r="CW31" i="15"/>
  <c r="CV31" i="15"/>
  <c r="CU31" i="15"/>
  <c r="CT31" i="15"/>
  <c r="CS31" i="15"/>
  <c r="CR31" i="15"/>
  <c r="CQ31" i="15"/>
  <c r="CP31" i="15"/>
  <c r="CO31" i="15"/>
  <c r="CN31" i="15"/>
  <c r="CM31" i="15"/>
  <c r="CL31" i="15"/>
  <c r="CK31" i="15"/>
  <c r="CJ31" i="15"/>
  <c r="CI31" i="15"/>
  <c r="CH31" i="15"/>
  <c r="CG31" i="15"/>
  <c r="CF31" i="15"/>
  <c r="CE31" i="15"/>
  <c r="CD31" i="15"/>
  <c r="CC31" i="15"/>
  <c r="CB31" i="15"/>
  <c r="CA31" i="15"/>
  <c r="BZ31" i="15"/>
  <c r="BY31" i="15"/>
  <c r="BX31" i="15"/>
  <c r="BW31" i="15"/>
  <c r="BV31" i="15"/>
  <c r="BU31" i="15"/>
  <c r="BT31" i="15"/>
  <c r="BS31" i="15"/>
  <c r="BR31" i="15"/>
  <c r="BQ31" i="15"/>
  <c r="BP31" i="15"/>
  <c r="BO31" i="15"/>
  <c r="BN31" i="15"/>
  <c r="BM31" i="15"/>
  <c r="BL31" i="15"/>
  <c r="BK31" i="15"/>
  <c r="BJ31" i="15"/>
  <c r="BI31" i="15"/>
  <c r="BH31" i="15"/>
  <c r="BG31" i="15"/>
  <c r="BF31" i="15"/>
  <c r="BE31" i="15"/>
  <c r="BD31" i="15"/>
  <c r="BC31" i="15"/>
  <c r="BB31" i="15"/>
  <c r="BA31" i="15"/>
  <c r="AZ31" i="15"/>
  <c r="AY31" i="15"/>
  <c r="AX31" i="15"/>
  <c r="AW31" i="15"/>
  <c r="AV31" i="15"/>
  <c r="AU31" i="15"/>
  <c r="AT31" i="15"/>
  <c r="AS31" i="15"/>
  <c r="AR31" i="15"/>
  <c r="AQ31" i="15"/>
  <c r="AP31" i="15"/>
  <c r="AO31" i="15"/>
  <c r="AN31" i="15"/>
  <c r="AM31" i="15"/>
  <c r="AL31" i="15"/>
  <c r="AK31" i="15"/>
  <c r="AJ31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KC30" i="15"/>
  <c r="KB30" i="15"/>
  <c r="KA30" i="15"/>
  <c r="JZ30" i="15"/>
  <c r="JY30" i="15"/>
  <c r="JX30" i="15"/>
  <c r="JW30" i="15"/>
  <c r="JV30" i="15"/>
  <c r="JU30" i="15"/>
  <c r="JT30" i="15"/>
  <c r="JS30" i="15"/>
  <c r="JR30" i="15"/>
  <c r="JQ30" i="15"/>
  <c r="JP30" i="15"/>
  <c r="JO30" i="15"/>
  <c r="JN30" i="15"/>
  <c r="JM30" i="15"/>
  <c r="JL30" i="15"/>
  <c r="JK30" i="15"/>
  <c r="JJ30" i="15"/>
  <c r="JI30" i="15"/>
  <c r="JH30" i="15"/>
  <c r="JG30" i="15"/>
  <c r="JF30" i="15"/>
  <c r="JE30" i="15"/>
  <c r="JD30" i="15"/>
  <c r="JC30" i="15"/>
  <c r="JB30" i="15"/>
  <c r="JA30" i="15"/>
  <c r="IZ30" i="15"/>
  <c r="IY30" i="15"/>
  <c r="IX30" i="15"/>
  <c r="IW30" i="15"/>
  <c r="IV30" i="15"/>
  <c r="IU30" i="15"/>
  <c r="IT30" i="15"/>
  <c r="IS30" i="15"/>
  <c r="IR30" i="15"/>
  <c r="IQ30" i="15"/>
  <c r="IP30" i="15"/>
  <c r="IO30" i="15"/>
  <c r="IN30" i="15"/>
  <c r="IM30" i="15"/>
  <c r="IL30" i="15"/>
  <c r="IK30" i="15"/>
  <c r="IJ30" i="15"/>
  <c r="II30" i="15"/>
  <c r="IH30" i="15"/>
  <c r="IG30" i="15"/>
  <c r="IF30" i="15"/>
  <c r="IE30" i="15"/>
  <c r="ID30" i="15"/>
  <c r="IC30" i="15"/>
  <c r="IB30" i="15"/>
  <c r="IA30" i="15"/>
  <c r="HZ30" i="15"/>
  <c r="HY30" i="15"/>
  <c r="HX30" i="15"/>
  <c r="HW30" i="15"/>
  <c r="HV30" i="15"/>
  <c r="HU30" i="15"/>
  <c r="HT30" i="15"/>
  <c r="HS30" i="15"/>
  <c r="HR30" i="15"/>
  <c r="HQ30" i="15"/>
  <c r="HP30" i="15"/>
  <c r="HO30" i="15"/>
  <c r="HN30" i="15"/>
  <c r="HM30" i="15"/>
  <c r="HL30" i="15"/>
  <c r="HK30" i="15"/>
  <c r="HJ30" i="15"/>
  <c r="HI30" i="15"/>
  <c r="HH30" i="15"/>
  <c r="HG30" i="15"/>
  <c r="HF30" i="15"/>
  <c r="HE30" i="15"/>
  <c r="HD30" i="15"/>
  <c r="HC30" i="15"/>
  <c r="HB30" i="15"/>
  <c r="HA30" i="15"/>
  <c r="GZ30" i="15"/>
  <c r="GY30" i="15"/>
  <c r="GX30" i="15"/>
  <c r="GW30" i="15"/>
  <c r="GV30" i="15"/>
  <c r="GU30" i="15"/>
  <c r="GT30" i="15"/>
  <c r="GS30" i="15"/>
  <c r="GR30" i="15"/>
  <c r="GQ30" i="15"/>
  <c r="GP30" i="15"/>
  <c r="GO30" i="15"/>
  <c r="GN30" i="15"/>
  <c r="GM30" i="15"/>
  <c r="GL30" i="15"/>
  <c r="GK30" i="15"/>
  <c r="GJ30" i="15"/>
  <c r="GI30" i="15"/>
  <c r="GH30" i="15"/>
  <c r="GG30" i="15"/>
  <c r="GF30" i="15"/>
  <c r="GE30" i="15"/>
  <c r="GD30" i="15"/>
  <c r="GC30" i="15"/>
  <c r="GB30" i="15"/>
  <c r="GA30" i="15"/>
  <c r="FZ30" i="15"/>
  <c r="FY30" i="15"/>
  <c r="FX30" i="15"/>
  <c r="FW30" i="15"/>
  <c r="FV30" i="15"/>
  <c r="FU30" i="15"/>
  <c r="FT30" i="15"/>
  <c r="FS30" i="15"/>
  <c r="FR30" i="15"/>
  <c r="FQ30" i="15"/>
  <c r="FP30" i="15"/>
  <c r="FO30" i="15"/>
  <c r="FN30" i="15"/>
  <c r="FM30" i="15"/>
  <c r="FL30" i="15"/>
  <c r="FK30" i="15"/>
  <c r="FJ30" i="15"/>
  <c r="FI30" i="15"/>
  <c r="FH30" i="15"/>
  <c r="FG30" i="15"/>
  <c r="FF30" i="15"/>
  <c r="FE30" i="15"/>
  <c r="FD30" i="15"/>
  <c r="FC30" i="15"/>
  <c r="FB30" i="15"/>
  <c r="FA30" i="15"/>
  <c r="EZ30" i="15"/>
  <c r="EY30" i="15"/>
  <c r="EX30" i="15"/>
  <c r="EW30" i="15"/>
  <c r="EV30" i="15"/>
  <c r="EU30" i="15"/>
  <c r="ET30" i="15"/>
  <c r="ES30" i="15"/>
  <c r="ER30" i="15"/>
  <c r="EQ30" i="15"/>
  <c r="EP30" i="15"/>
  <c r="EO30" i="15"/>
  <c r="EN30" i="15"/>
  <c r="EM30" i="15"/>
  <c r="EL30" i="15"/>
  <c r="EK30" i="15"/>
  <c r="EJ30" i="15"/>
  <c r="EI30" i="15"/>
  <c r="EH30" i="15"/>
  <c r="EG30" i="15"/>
  <c r="EF30" i="15"/>
  <c r="EE30" i="15"/>
  <c r="ED30" i="15"/>
  <c r="EC30" i="15"/>
  <c r="EB30" i="15"/>
  <c r="EA30" i="15"/>
  <c r="DZ30" i="15"/>
  <c r="DY30" i="15"/>
  <c r="DX30" i="15"/>
  <c r="DW30" i="15"/>
  <c r="DV30" i="15"/>
  <c r="DU30" i="15"/>
  <c r="DT30" i="15"/>
  <c r="DS30" i="15"/>
  <c r="DR30" i="15"/>
  <c r="DQ30" i="15"/>
  <c r="DP30" i="15"/>
  <c r="DO30" i="15"/>
  <c r="DN30" i="15"/>
  <c r="DM30" i="15"/>
  <c r="DL30" i="15"/>
  <c r="DK30" i="15"/>
  <c r="DJ30" i="15"/>
  <c r="DI30" i="15"/>
  <c r="DH30" i="15"/>
  <c r="DG30" i="15"/>
  <c r="DF30" i="15"/>
  <c r="DE30" i="15"/>
  <c r="DD30" i="15"/>
  <c r="DC30" i="15"/>
  <c r="DB30" i="15"/>
  <c r="DA30" i="15"/>
  <c r="CZ30" i="15"/>
  <c r="CY30" i="15"/>
  <c r="CX30" i="15"/>
  <c r="CW30" i="15"/>
  <c r="CV30" i="15"/>
  <c r="CU30" i="15"/>
  <c r="CT30" i="15"/>
  <c r="CS30" i="15"/>
  <c r="CR30" i="15"/>
  <c r="CQ30" i="15"/>
  <c r="CP30" i="15"/>
  <c r="CO30" i="15"/>
  <c r="CN30" i="15"/>
  <c r="CM30" i="15"/>
  <c r="CL30" i="15"/>
  <c r="CK30" i="15"/>
  <c r="CJ30" i="15"/>
  <c r="CI30" i="15"/>
  <c r="CH30" i="15"/>
  <c r="CG30" i="15"/>
  <c r="CF30" i="15"/>
  <c r="CE30" i="15"/>
  <c r="CD30" i="15"/>
  <c r="CC30" i="15"/>
  <c r="CB30" i="15"/>
  <c r="CA30" i="15"/>
  <c r="BZ30" i="15"/>
  <c r="BY30" i="15"/>
  <c r="BX30" i="15"/>
  <c r="BW30" i="15"/>
  <c r="BV30" i="15"/>
  <c r="BU30" i="15"/>
  <c r="BT30" i="15"/>
  <c r="BS30" i="15"/>
  <c r="BR30" i="15"/>
  <c r="BQ30" i="15"/>
  <c r="BP30" i="15"/>
  <c r="BO30" i="15"/>
  <c r="BN30" i="15"/>
  <c r="BM30" i="15"/>
  <c r="BL30" i="15"/>
  <c r="BK30" i="15"/>
  <c r="BJ30" i="15"/>
  <c r="BI30" i="15"/>
  <c r="BH30" i="15"/>
  <c r="BG30" i="15"/>
  <c r="BF30" i="15"/>
  <c r="BE30" i="15"/>
  <c r="BD30" i="15"/>
  <c r="BC30" i="15"/>
  <c r="BB30" i="15"/>
  <c r="BA30" i="15"/>
  <c r="AZ30" i="15"/>
  <c r="AY30" i="15"/>
  <c r="AX30" i="15"/>
  <c r="AW30" i="15"/>
  <c r="AV30" i="15"/>
  <c r="AU30" i="15"/>
  <c r="AT30" i="15"/>
  <c r="AS30" i="15"/>
  <c r="AR30" i="15"/>
  <c r="AQ30" i="15"/>
  <c r="AP30" i="15"/>
  <c r="AO30" i="15"/>
  <c r="AN30" i="15"/>
  <c r="AM30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KC29" i="15"/>
  <c r="KB29" i="15"/>
  <c r="KA29" i="15"/>
  <c r="JZ29" i="15"/>
  <c r="JY29" i="15"/>
  <c r="JX29" i="15"/>
  <c r="JW29" i="15"/>
  <c r="JV29" i="15"/>
  <c r="JU29" i="15"/>
  <c r="JT29" i="15"/>
  <c r="JS29" i="15"/>
  <c r="JR29" i="15"/>
  <c r="JQ29" i="15"/>
  <c r="JP29" i="15"/>
  <c r="JO29" i="15"/>
  <c r="JN29" i="15"/>
  <c r="JM29" i="15"/>
  <c r="JL29" i="15"/>
  <c r="JK29" i="15"/>
  <c r="JJ29" i="15"/>
  <c r="JI29" i="15"/>
  <c r="JH29" i="15"/>
  <c r="JG29" i="15"/>
  <c r="JF29" i="15"/>
  <c r="JE29" i="15"/>
  <c r="JD29" i="15"/>
  <c r="JC29" i="15"/>
  <c r="JB29" i="15"/>
  <c r="JA29" i="15"/>
  <c r="IZ29" i="15"/>
  <c r="IY29" i="15"/>
  <c r="IX29" i="15"/>
  <c r="IW29" i="15"/>
  <c r="IV29" i="15"/>
  <c r="IU29" i="15"/>
  <c r="IT29" i="15"/>
  <c r="IS29" i="15"/>
  <c r="IR29" i="15"/>
  <c r="IQ29" i="15"/>
  <c r="IP29" i="15"/>
  <c r="IO29" i="15"/>
  <c r="IN29" i="15"/>
  <c r="IM29" i="15"/>
  <c r="IL29" i="15"/>
  <c r="IK29" i="15"/>
  <c r="IJ29" i="15"/>
  <c r="II29" i="15"/>
  <c r="IH29" i="15"/>
  <c r="IG29" i="15"/>
  <c r="IF29" i="15"/>
  <c r="IE29" i="15"/>
  <c r="ID29" i="15"/>
  <c r="IC29" i="15"/>
  <c r="IB29" i="15"/>
  <c r="IA29" i="15"/>
  <c r="HZ29" i="15"/>
  <c r="HY29" i="15"/>
  <c r="HX29" i="15"/>
  <c r="HW29" i="15"/>
  <c r="HV29" i="15"/>
  <c r="HU29" i="15"/>
  <c r="HT29" i="15"/>
  <c r="HS29" i="15"/>
  <c r="HR29" i="15"/>
  <c r="HQ29" i="15"/>
  <c r="HP29" i="15"/>
  <c r="HO29" i="15"/>
  <c r="HN29" i="15"/>
  <c r="HM29" i="15"/>
  <c r="HL29" i="15"/>
  <c r="HK29" i="15"/>
  <c r="HJ29" i="15"/>
  <c r="HI29" i="15"/>
  <c r="HH29" i="15"/>
  <c r="HG29" i="15"/>
  <c r="HF29" i="15"/>
  <c r="HE29" i="15"/>
  <c r="HD29" i="15"/>
  <c r="HC29" i="15"/>
  <c r="HB29" i="15"/>
  <c r="HA29" i="15"/>
  <c r="GZ29" i="15"/>
  <c r="GY29" i="15"/>
  <c r="GX29" i="15"/>
  <c r="GW29" i="15"/>
  <c r="GV29" i="15"/>
  <c r="GU29" i="15"/>
  <c r="GT29" i="15"/>
  <c r="GS29" i="15"/>
  <c r="GR29" i="15"/>
  <c r="GQ29" i="15"/>
  <c r="GP29" i="15"/>
  <c r="GO29" i="15"/>
  <c r="GN29" i="15"/>
  <c r="GM29" i="15"/>
  <c r="GL29" i="15"/>
  <c r="GK29" i="15"/>
  <c r="GJ29" i="15"/>
  <c r="GI29" i="15"/>
  <c r="GH29" i="15"/>
  <c r="GG29" i="15"/>
  <c r="GF29" i="15"/>
  <c r="GE29" i="15"/>
  <c r="GD29" i="15"/>
  <c r="GC29" i="15"/>
  <c r="GB29" i="15"/>
  <c r="GA29" i="15"/>
  <c r="FZ29" i="15"/>
  <c r="FY29" i="15"/>
  <c r="FX29" i="15"/>
  <c r="FW29" i="15"/>
  <c r="FV29" i="15"/>
  <c r="FU29" i="15"/>
  <c r="FT29" i="15"/>
  <c r="FS29" i="15"/>
  <c r="FR29" i="15"/>
  <c r="FQ29" i="15"/>
  <c r="FP29" i="15"/>
  <c r="FO29" i="15"/>
  <c r="FN29" i="15"/>
  <c r="FM29" i="15"/>
  <c r="FL29" i="15"/>
  <c r="FK29" i="15"/>
  <c r="FJ29" i="15"/>
  <c r="FI29" i="15"/>
  <c r="FH29" i="15"/>
  <c r="FG29" i="15"/>
  <c r="FF29" i="15"/>
  <c r="FE29" i="15"/>
  <c r="FD29" i="15"/>
  <c r="FC29" i="15"/>
  <c r="FB29" i="15"/>
  <c r="FA29" i="15"/>
  <c r="EZ29" i="15"/>
  <c r="EY29" i="15"/>
  <c r="EX29" i="15"/>
  <c r="EW29" i="15"/>
  <c r="EV29" i="15"/>
  <c r="EU29" i="15"/>
  <c r="ET29" i="15"/>
  <c r="ES29" i="15"/>
  <c r="ER29" i="15"/>
  <c r="EQ29" i="15"/>
  <c r="EP29" i="15"/>
  <c r="EO29" i="15"/>
  <c r="EN29" i="15"/>
  <c r="EM29" i="15"/>
  <c r="EL29" i="15"/>
  <c r="EK29" i="15"/>
  <c r="EJ29" i="15"/>
  <c r="EI29" i="15"/>
  <c r="EH29" i="15"/>
  <c r="EG29" i="15"/>
  <c r="EF29" i="15"/>
  <c r="EE29" i="15"/>
  <c r="ED29" i="15"/>
  <c r="EC29" i="15"/>
  <c r="EB29" i="15"/>
  <c r="EA29" i="15"/>
  <c r="DZ29" i="15"/>
  <c r="DY29" i="15"/>
  <c r="DX29" i="15"/>
  <c r="DW29" i="15"/>
  <c r="DV29" i="15"/>
  <c r="DU29" i="15"/>
  <c r="DT29" i="15"/>
  <c r="DS29" i="15"/>
  <c r="DR29" i="15"/>
  <c r="DQ29" i="15"/>
  <c r="DP29" i="15"/>
  <c r="DO29" i="15"/>
  <c r="DN29" i="15"/>
  <c r="DM29" i="15"/>
  <c r="DL29" i="15"/>
  <c r="DK29" i="15"/>
  <c r="DJ29" i="15"/>
  <c r="DI29" i="15"/>
  <c r="DH29" i="15"/>
  <c r="DG29" i="15"/>
  <c r="DF29" i="15"/>
  <c r="DE29" i="15"/>
  <c r="DD29" i="15"/>
  <c r="DC29" i="15"/>
  <c r="DB29" i="15"/>
  <c r="DA29" i="15"/>
  <c r="CZ29" i="15"/>
  <c r="CY29" i="15"/>
  <c r="CX29" i="15"/>
  <c r="CW29" i="15"/>
  <c r="CV29" i="15"/>
  <c r="CU29" i="15"/>
  <c r="CT29" i="15"/>
  <c r="CS29" i="15"/>
  <c r="CR29" i="15"/>
  <c r="CQ29" i="15"/>
  <c r="CP29" i="15"/>
  <c r="CO29" i="15"/>
  <c r="CN29" i="15"/>
  <c r="CM29" i="15"/>
  <c r="CL29" i="15"/>
  <c r="CK29" i="15"/>
  <c r="CJ29" i="15"/>
  <c r="CI29" i="15"/>
  <c r="CH29" i="15"/>
  <c r="CG29" i="15"/>
  <c r="CF29" i="15"/>
  <c r="CE29" i="15"/>
  <c r="CD29" i="15"/>
  <c r="CC29" i="15"/>
  <c r="CB29" i="15"/>
  <c r="CA29" i="15"/>
  <c r="BZ29" i="15"/>
  <c r="BY29" i="15"/>
  <c r="BX29" i="15"/>
  <c r="BW29" i="15"/>
  <c r="BV29" i="15"/>
  <c r="BU29" i="15"/>
  <c r="BT29" i="15"/>
  <c r="BS29" i="15"/>
  <c r="BR29" i="15"/>
  <c r="BQ29" i="15"/>
  <c r="BP29" i="15"/>
  <c r="BO29" i="15"/>
  <c r="BN29" i="15"/>
  <c r="BM29" i="15"/>
  <c r="BL29" i="15"/>
  <c r="BK29" i="15"/>
  <c r="BJ29" i="15"/>
  <c r="BI29" i="15"/>
  <c r="BH29" i="15"/>
  <c r="BG29" i="15"/>
  <c r="BF29" i="15"/>
  <c r="BE29" i="15"/>
  <c r="BD29" i="15"/>
  <c r="BC29" i="15"/>
  <c r="BB29" i="15"/>
  <c r="BA29" i="15"/>
  <c r="AZ29" i="15"/>
  <c r="AY29" i="15"/>
  <c r="AX29" i="15"/>
  <c r="AW29" i="15"/>
  <c r="AV29" i="15"/>
  <c r="AU29" i="15"/>
  <c r="AT29" i="15"/>
  <c r="AS29" i="15"/>
  <c r="AR29" i="15"/>
  <c r="AQ29" i="15"/>
  <c r="AP29" i="15"/>
  <c r="AO29" i="15"/>
  <c r="AN29" i="15"/>
  <c r="AM29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KC28" i="15"/>
  <c r="KB28" i="15"/>
  <c r="KA28" i="15"/>
  <c r="JZ28" i="15"/>
  <c r="JY28" i="15"/>
  <c r="JX28" i="15"/>
  <c r="JW28" i="15"/>
  <c r="JV28" i="15"/>
  <c r="JU28" i="15"/>
  <c r="JT28" i="15"/>
  <c r="JS28" i="15"/>
  <c r="JR28" i="15"/>
  <c r="JQ28" i="15"/>
  <c r="JP28" i="15"/>
  <c r="JO28" i="15"/>
  <c r="JN28" i="15"/>
  <c r="JM28" i="15"/>
  <c r="JL28" i="15"/>
  <c r="JK28" i="15"/>
  <c r="JJ28" i="15"/>
  <c r="JI28" i="15"/>
  <c r="JH28" i="15"/>
  <c r="JG28" i="15"/>
  <c r="JF28" i="15"/>
  <c r="JE28" i="15"/>
  <c r="JD28" i="15"/>
  <c r="JC28" i="15"/>
  <c r="JB28" i="15"/>
  <c r="JA28" i="15"/>
  <c r="IZ28" i="15"/>
  <c r="IY28" i="15"/>
  <c r="IX28" i="15"/>
  <c r="IW28" i="15"/>
  <c r="IV28" i="15"/>
  <c r="IU28" i="15"/>
  <c r="IT28" i="15"/>
  <c r="IS28" i="15"/>
  <c r="IR28" i="15"/>
  <c r="IQ28" i="15"/>
  <c r="IP28" i="15"/>
  <c r="IO28" i="15"/>
  <c r="IN28" i="15"/>
  <c r="IM28" i="15"/>
  <c r="IL28" i="15"/>
  <c r="IK28" i="15"/>
  <c r="IJ28" i="15"/>
  <c r="II28" i="15"/>
  <c r="IH28" i="15"/>
  <c r="IG28" i="15"/>
  <c r="IF28" i="15"/>
  <c r="IE28" i="15"/>
  <c r="ID28" i="15"/>
  <c r="IC28" i="15"/>
  <c r="IB28" i="15"/>
  <c r="IA28" i="15"/>
  <c r="HZ28" i="15"/>
  <c r="HY28" i="15"/>
  <c r="HX28" i="15"/>
  <c r="HW28" i="15"/>
  <c r="HV28" i="15"/>
  <c r="HU28" i="15"/>
  <c r="HT28" i="15"/>
  <c r="HS28" i="15"/>
  <c r="HR28" i="15"/>
  <c r="HQ28" i="15"/>
  <c r="HP28" i="15"/>
  <c r="HO28" i="15"/>
  <c r="HN28" i="15"/>
  <c r="HM28" i="15"/>
  <c r="HL28" i="15"/>
  <c r="HK28" i="15"/>
  <c r="HJ28" i="15"/>
  <c r="HI28" i="15"/>
  <c r="HH28" i="15"/>
  <c r="HG28" i="15"/>
  <c r="HF28" i="15"/>
  <c r="HE28" i="15"/>
  <c r="HD28" i="15"/>
  <c r="HC28" i="15"/>
  <c r="HB28" i="15"/>
  <c r="HA28" i="15"/>
  <c r="GZ28" i="15"/>
  <c r="GY28" i="15"/>
  <c r="GX28" i="15"/>
  <c r="GW28" i="15"/>
  <c r="GV28" i="15"/>
  <c r="GU28" i="15"/>
  <c r="GT28" i="15"/>
  <c r="GS28" i="15"/>
  <c r="GR28" i="15"/>
  <c r="GQ28" i="15"/>
  <c r="GP28" i="15"/>
  <c r="GO28" i="15"/>
  <c r="GN28" i="15"/>
  <c r="GM28" i="15"/>
  <c r="GL28" i="15"/>
  <c r="GK28" i="15"/>
  <c r="GJ28" i="15"/>
  <c r="GI28" i="15"/>
  <c r="GH28" i="15"/>
  <c r="GG28" i="15"/>
  <c r="GF28" i="15"/>
  <c r="GE28" i="15"/>
  <c r="GD28" i="15"/>
  <c r="GC28" i="15"/>
  <c r="GB28" i="15"/>
  <c r="GA28" i="15"/>
  <c r="FZ28" i="15"/>
  <c r="FY28" i="15"/>
  <c r="FX28" i="15"/>
  <c r="FW28" i="15"/>
  <c r="FV28" i="15"/>
  <c r="FU28" i="15"/>
  <c r="FT28" i="15"/>
  <c r="FS28" i="15"/>
  <c r="FR28" i="15"/>
  <c r="FQ28" i="15"/>
  <c r="FP28" i="15"/>
  <c r="FO28" i="15"/>
  <c r="FN28" i="15"/>
  <c r="FM28" i="15"/>
  <c r="FL28" i="15"/>
  <c r="FK28" i="15"/>
  <c r="FJ28" i="15"/>
  <c r="FI28" i="15"/>
  <c r="FH28" i="15"/>
  <c r="FG28" i="15"/>
  <c r="FF28" i="15"/>
  <c r="FE28" i="15"/>
  <c r="FD28" i="15"/>
  <c r="FC28" i="15"/>
  <c r="FB28" i="15"/>
  <c r="FA28" i="15"/>
  <c r="EZ28" i="15"/>
  <c r="EY28" i="15"/>
  <c r="EX28" i="15"/>
  <c r="EW28" i="15"/>
  <c r="EV28" i="15"/>
  <c r="EU28" i="15"/>
  <c r="ET28" i="15"/>
  <c r="ES28" i="15"/>
  <c r="ER28" i="15"/>
  <c r="EQ28" i="15"/>
  <c r="EP28" i="15"/>
  <c r="EO28" i="15"/>
  <c r="EN28" i="15"/>
  <c r="EM28" i="15"/>
  <c r="EL28" i="15"/>
  <c r="EK28" i="15"/>
  <c r="EJ28" i="15"/>
  <c r="EI28" i="15"/>
  <c r="EH28" i="15"/>
  <c r="EG28" i="15"/>
  <c r="EF28" i="15"/>
  <c r="EE28" i="15"/>
  <c r="ED28" i="15"/>
  <c r="EC28" i="15"/>
  <c r="EB28" i="15"/>
  <c r="EA28" i="15"/>
  <c r="DZ28" i="15"/>
  <c r="DY28" i="15"/>
  <c r="DX28" i="15"/>
  <c r="DW28" i="15"/>
  <c r="DV28" i="15"/>
  <c r="DU28" i="15"/>
  <c r="DT28" i="15"/>
  <c r="DS28" i="15"/>
  <c r="DR28" i="15"/>
  <c r="DQ28" i="15"/>
  <c r="DP28" i="15"/>
  <c r="DO28" i="15"/>
  <c r="DN28" i="15"/>
  <c r="DM28" i="15"/>
  <c r="DL28" i="15"/>
  <c r="DK28" i="15"/>
  <c r="DJ28" i="15"/>
  <c r="DI28" i="15"/>
  <c r="DH28" i="15"/>
  <c r="DG28" i="15"/>
  <c r="DF28" i="15"/>
  <c r="DE28" i="15"/>
  <c r="DD28" i="15"/>
  <c r="DC28" i="15"/>
  <c r="DB28" i="15"/>
  <c r="DA28" i="15"/>
  <c r="CZ28" i="15"/>
  <c r="CY28" i="15"/>
  <c r="CX28" i="15"/>
  <c r="CW28" i="15"/>
  <c r="CV28" i="15"/>
  <c r="CU28" i="15"/>
  <c r="CT28" i="15"/>
  <c r="CS28" i="15"/>
  <c r="CR28" i="15"/>
  <c r="CQ28" i="15"/>
  <c r="CP28" i="15"/>
  <c r="CO28" i="15"/>
  <c r="CN28" i="15"/>
  <c r="CM28" i="15"/>
  <c r="CL28" i="15"/>
  <c r="CK28" i="15"/>
  <c r="CJ28" i="15"/>
  <c r="CI28" i="15"/>
  <c r="CH28" i="15"/>
  <c r="CG28" i="15"/>
  <c r="CF28" i="15"/>
  <c r="CE28" i="15"/>
  <c r="CD28" i="15"/>
  <c r="CC28" i="15"/>
  <c r="CB28" i="15"/>
  <c r="CA28" i="15"/>
  <c r="BZ28" i="15"/>
  <c r="BY28" i="15"/>
  <c r="BX28" i="15"/>
  <c r="BW28" i="15"/>
  <c r="BV28" i="15"/>
  <c r="BU28" i="15"/>
  <c r="BT28" i="15"/>
  <c r="BS28" i="15"/>
  <c r="BR28" i="15"/>
  <c r="BQ28" i="15"/>
  <c r="BP28" i="15"/>
  <c r="BO28" i="15"/>
  <c r="BN28" i="15"/>
  <c r="BM28" i="15"/>
  <c r="BL28" i="15"/>
  <c r="BK28" i="15"/>
  <c r="BJ28" i="15"/>
  <c r="BI28" i="15"/>
  <c r="BH28" i="15"/>
  <c r="BG28" i="15"/>
  <c r="BF28" i="15"/>
  <c r="BE28" i="15"/>
  <c r="BD28" i="15"/>
  <c r="BC28" i="15"/>
  <c r="BB28" i="15"/>
  <c r="BA28" i="15"/>
  <c r="AZ28" i="15"/>
  <c r="AY28" i="15"/>
  <c r="AX28" i="15"/>
  <c r="AW28" i="15"/>
  <c r="AV28" i="15"/>
  <c r="AU28" i="15"/>
  <c r="AT28" i="15"/>
  <c r="AS28" i="15"/>
  <c r="AR28" i="15"/>
  <c r="AQ28" i="15"/>
  <c r="AP28" i="15"/>
  <c r="AO28" i="15"/>
  <c r="AN28" i="15"/>
  <c r="AM28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KC27" i="15"/>
  <c r="KB27" i="15"/>
  <c r="KA27" i="15"/>
  <c r="JZ27" i="15"/>
  <c r="JY27" i="15"/>
  <c r="JX27" i="15"/>
  <c r="JW27" i="15"/>
  <c r="JV27" i="15"/>
  <c r="JU27" i="15"/>
  <c r="JT27" i="15"/>
  <c r="JS27" i="15"/>
  <c r="JR27" i="15"/>
  <c r="JQ27" i="15"/>
  <c r="JP27" i="15"/>
  <c r="JO27" i="15"/>
  <c r="JN27" i="15"/>
  <c r="JM27" i="15"/>
  <c r="JL27" i="15"/>
  <c r="JK27" i="15"/>
  <c r="JJ27" i="15"/>
  <c r="JI27" i="15"/>
  <c r="JH27" i="15"/>
  <c r="JG27" i="15"/>
  <c r="JF27" i="15"/>
  <c r="JE27" i="15"/>
  <c r="JD27" i="15"/>
  <c r="JC27" i="15"/>
  <c r="JB27" i="15"/>
  <c r="JA27" i="15"/>
  <c r="IZ27" i="15"/>
  <c r="IY27" i="15"/>
  <c r="IX27" i="15"/>
  <c r="IW27" i="15"/>
  <c r="IV27" i="15"/>
  <c r="IU27" i="15"/>
  <c r="IT27" i="15"/>
  <c r="IS27" i="15"/>
  <c r="IR27" i="15"/>
  <c r="IQ27" i="15"/>
  <c r="IP27" i="15"/>
  <c r="IO27" i="15"/>
  <c r="IN27" i="15"/>
  <c r="IM27" i="15"/>
  <c r="IL27" i="15"/>
  <c r="IK27" i="15"/>
  <c r="IJ27" i="15"/>
  <c r="II27" i="15"/>
  <c r="IH27" i="15"/>
  <c r="IG27" i="15"/>
  <c r="IF27" i="15"/>
  <c r="IE27" i="15"/>
  <c r="ID27" i="15"/>
  <c r="IC27" i="15"/>
  <c r="IB27" i="15"/>
  <c r="IA27" i="15"/>
  <c r="HZ27" i="15"/>
  <c r="HY27" i="15"/>
  <c r="HX27" i="15"/>
  <c r="HW27" i="15"/>
  <c r="HV27" i="15"/>
  <c r="HU27" i="15"/>
  <c r="HT27" i="15"/>
  <c r="HS27" i="15"/>
  <c r="HR27" i="15"/>
  <c r="HQ27" i="15"/>
  <c r="HP27" i="15"/>
  <c r="HO27" i="15"/>
  <c r="HN27" i="15"/>
  <c r="HM27" i="15"/>
  <c r="HL27" i="15"/>
  <c r="HK27" i="15"/>
  <c r="HJ27" i="15"/>
  <c r="HI27" i="15"/>
  <c r="HH27" i="15"/>
  <c r="HG27" i="15"/>
  <c r="HF27" i="15"/>
  <c r="HE27" i="15"/>
  <c r="HD27" i="15"/>
  <c r="HC27" i="15"/>
  <c r="HB27" i="15"/>
  <c r="HA27" i="15"/>
  <c r="GZ27" i="15"/>
  <c r="GY27" i="15"/>
  <c r="GX27" i="15"/>
  <c r="GW27" i="15"/>
  <c r="GV27" i="15"/>
  <c r="GU27" i="15"/>
  <c r="GT27" i="15"/>
  <c r="GS27" i="15"/>
  <c r="GR27" i="15"/>
  <c r="GQ27" i="15"/>
  <c r="GP27" i="15"/>
  <c r="GO27" i="15"/>
  <c r="GN27" i="15"/>
  <c r="GM27" i="15"/>
  <c r="GL27" i="15"/>
  <c r="GK27" i="15"/>
  <c r="GJ27" i="15"/>
  <c r="GI27" i="15"/>
  <c r="GH27" i="15"/>
  <c r="GG27" i="15"/>
  <c r="GF27" i="15"/>
  <c r="GE27" i="15"/>
  <c r="GD27" i="15"/>
  <c r="GC27" i="15"/>
  <c r="GB27" i="15"/>
  <c r="GA27" i="15"/>
  <c r="FZ27" i="15"/>
  <c r="FY27" i="15"/>
  <c r="FX27" i="15"/>
  <c r="FW27" i="15"/>
  <c r="FV27" i="15"/>
  <c r="FU27" i="15"/>
  <c r="FT27" i="15"/>
  <c r="FS27" i="15"/>
  <c r="FR27" i="15"/>
  <c r="FQ27" i="15"/>
  <c r="FP27" i="15"/>
  <c r="FO27" i="15"/>
  <c r="FN27" i="15"/>
  <c r="FM27" i="15"/>
  <c r="FL27" i="15"/>
  <c r="FK27" i="15"/>
  <c r="FJ27" i="15"/>
  <c r="FI27" i="15"/>
  <c r="FH27" i="15"/>
  <c r="FG27" i="15"/>
  <c r="FF27" i="15"/>
  <c r="FE27" i="15"/>
  <c r="FD27" i="15"/>
  <c r="FC27" i="15"/>
  <c r="FB27" i="15"/>
  <c r="FA27" i="15"/>
  <c r="EZ27" i="15"/>
  <c r="EY27" i="15"/>
  <c r="EX27" i="15"/>
  <c r="EW27" i="15"/>
  <c r="EV27" i="15"/>
  <c r="EU27" i="15"/>
  <c r="ET27" i="15"/>
  <c r="ES27" i="15"/>
  <c r="ER27" i="15"/>
  <c r="EQ27" i="15"/>
  <c r="EP27" i="15"/>
  <c r="EO27" i="15"/>
  <c r="EN27" i="15"/>
  <c r="EM27" i="15"/>
  <c r="EL27" i="15"/>
  <c r="EK27" i="15"/>
  <c r="EJ27" i="15"/>
  <c r="EI27" i="15"/>
  <c r="EH27" i="15"/>
  <c r="EG27" i="15"/>
  <c r="EF27" i="15"/>
  <c r="EE27" i="15"/>
  <c r="ED27" i="15"/>
  <c r="EC27" i="15"/>
  <c r="EB27" i="15"/>
  <c r="EA27" i="15"/>
  <c r="DZ27" i="15"/>
  <c r="DY27" i="15"/>
  <c r="DX27" i="15"/>
  <c r="DW27" i="15"/>
  <c r="DV27" i="15"/>
  <c r="DU27" i="15"/>
  <c r="DT27" i="15"/>
  <c r="DS27" i="15"/>
  <c r="DR27" i="15"/>
  <c r="DQ27" i="15"/>
  <c r="DP27" i="15"/>
  <c r="DO27" i="15"/>
  <c r="DN27" i="15"/>
  <c r="DM27" i="15"/>
  <c r="DL27" i="15"/>
  <c r="DK27" i="15"/>
  <c r="DJ27" i="15"/>
  <c r="DI27" i="15"/>
  <c r="DH27" i="15"/>
  <c r="DG27" i="15"/>
  <c r="DF27" i="15"/>
  <c r="DE27" i="15"/>
  <c r="DD27" i="15"/>
  <c r="DC27" i="15"/>
  <c r="DB27" i="15"/>
  <c r="DA27" i="15"/>
  <c r="CZ27" i="15"/>
  <c r="CY27" i="15"/>
  <c r="CX27" i="15"/>
  <c r="CW27" i="15"/>
  <c r="CV27" i="15"/>
  <c r="CU27" i="15"/>
  <c r="CT27" i="15"/>
  <c r="CS27" i="15"/>
  <c r="CR27" i="15"/>
  <c r="CQ27" i="15"/>
  <c r="CP27" i="15"/>
  <c r="CO27" i="15"/>
  <c r="CN27" i="15"/>
  <c r="CM27" i="15"/>
  <c r="CL27" i="15"/>
  <c r="CK27" i="15"/>
  <c r="CJ27" i="15"/>
  <c r="CI27" i="15"/>
  <c r="CH27" i="15"/>
  <c r="CG27" i="15"/>
  <c r="CF27" i="15"/>
  <c r="CE27" i="15"/>
  <c r="CD27" i="15"/>
  <c r="CC27" i="15"/>
  <c r="CB27" i="15"/>
  <c r="CA27" i="15"/>
  <c r="BZ27" i="15"/>
  <c r="BY27" i="15"/>
  <c r="BX27" i="15"/>
  <c r="BW27" i="15"/>
  <c r="BV27" i="15"/>
  <c r="BU27" i="15"/>
  <c r="BT27" i="15"/>
  <c r="BS27" i="15"/>
  <c r="BR27" i="15"/>
  <c r="BQ27" i="15"/>
  <c r="BP27" i="15"/>
  <c r="BO27" i="15"/>
  <c r="BN27" i="15"/>
  <c r="BM27" i="15"/>
  <c r="BL27" i="15"/>
  <c r="BK27" i="15"/>
  <c r="BJ27" i="15"/>
  <c r="BI27" i="15"/>
  <c r="BH27" i="15"/>
  <c r="BG27" i="15"/>
  <c r="BF27" i="15"/>
  <c r="BE27" i="15"/>
  <c r="BD27" i="15"/>
  <c r="BC27" i="15"/>
  <c r="BB27" i="15"/>
  <c r="BA27" i="15"/>
  <c r="AZ27" i="15"/>
  <c r="AY27" i="15"/>
  <c r="AX27" i="15"/>
  <c r="AW27" i="15"/>
  <c r="AV27" i="15"/>
  <c r="AU27" i="15"/>
  <c r="AT27" i="15"/>
  <c r="AS27" i="15"/>
  <c r="AR27" i="15"/>
  <c r="AQ27" i="15"/>
  <c r="AP27" i="15"/>
  <c r="AO27" i="15"/>
  <c r="AN27" i="15"/>
  <c r="AM27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KC26" i="15"/>
  <c r="KB26" i="15"/>
  <c r="KA26" i="15"/>
  <c r="JZ26" i="15"/>
  <c r="JY26" i="15"/>
  <c r="JX26" i="15"/>
  <c r="JW26" i="15"/>
  <c r="JV26" i="15"/>
  <c r="JU26" i="15"/>
  <c r="JT26" i="15"/>
  <c r="JS26" i="15"/>
  <c r="JR26" i="15"/>
  <c r="JQ26" i="15"/>
  <c r="JP26" i="15"/>
  <c r="JO26" i="15"/>
  <c r="JN26" i="15"/>
  <c r="JM26" i="15"/>
  <c r="JL26" i="15"/>
  <c r="JK26" i="15"/>
  <c r="JJ26" i="15"/>
  <c r="JI26" i="15"/>
  <c r="JH26" i="15"/>
  <c r="JG26" i="15"/>
  <c r="JF26" i="15"/>
  <c r="JE26" i="15"/>
  <c r="JD26" i="15"/>
  <c r="JC26" i="15"/>
  <c r="JB26" i="15"/>
  <c r="JA26" i="15"/>
  <c r="IZ26" i="15"/>
  <c r="IY26" i="15"/>
  <c r="IX26" i="15"/>
  <c r="IW26" i="15"/>
  <c r="IV26" i="15"/>
  <c r="IU26" i="15"/>
  <c r="IT26" i="15"/>
  <c r="IS26" i="15"/>
  <c r="IR26" i="15"/>
  <c r="IQ26" i="15"/>
  <c r="IP26" i="15"/>
  <c r="IO26" i="15"/>
  <c r="IN26" i="15"/>
  <c r="IM26" i="15"/>
  <c r="IL26" i="15"/>
  <c r="IK26" i="15"/>
  <c r="IJ26" i="15"/>
  <c r="II26" i="15"/>
  <c r="IH26" i="15"/>
  <c r="IG26" i="15"/>
  <c r="IF26" i="15"/>
  <c r="IE26" i="15"/>
  <c r="ID26" i="15"/>
  <c r="IC26" i="15"/>
  <c r="IB26" i="15"/>
  <c r="IA26" i="15"/>
  <c r="HZ26" i="15"/>
  <c r="HY26" i="15"/>
  <c r="HX26" i="15"/>
  <c r="HW26" i="15"/>
  <c r="HV26" i="15"/>
  <c r="HU26" i="15"/>
  <c r="HT26" i="15"/>
  <c r="HS26" i="15"/>
  <c r="HR26" i="15"/>
  <c r="HQ26" i="15"/>
  <c r="HP26" i="15"/>
  <c r="HO26" i="15"/>
  <c r="HN26" i="15"/>
  <c r="HM26" i="15"/>
  <c r="HL26" i="15"/>
  <c r="HK26" i="15"/>
  <c r="HJ26" i="15"/>
  <c r="HI26" i="15"/>
  <c r="HH26" i="15"/>
  <c r="HG26" i="15"/>
  <c r="HF26" i="15"/>
  <c r="HE26" i="15"/>
  <c r="HD26" i="15"/>
  <c r="HC26" i="15"/>
  <c r="HB26" i="15"/>
  <c r="HA26" i="15"/>
  <c r="GZ26" i="15"/>
  <c r="GY26" i="15"/>
  <c r="GX26" i="15"/>
  <c r="GW26" i="15"/>
  <c r="GV26" i="15"/>
  <c r="GU26" i="15"/>
  <c r="GT26" i="15"/>
  <c r="GS26" i="15"/>
  <c r="GR26" i="15"/>
  <c r="GQ26" i="15"/>
  <c r="GP26" i="15"/>
  <c r="GO26" i="15"/>
  <c r="GN26" i="15"/>
  <c r="GM26" i="15"/>
  <c r="GL26" i="15"/>
  <c r="GK26" i="15"/>
  <c r="GJ26" i="15"/>
  <c r="GI26" i="15"/>
  <c r="GH26" i="15"/>
  <c r="GG26" i="15"/>
  <c r="GF26" i="15"/>
  <c r="GE26" i="15"/>
  <c r="GD26" i="15"/>
  <c r="GC26" i="15"/>
  <c r="GB26" i="15"/>
  <c r="GA26" i="15"/>
  <c r="FZ26" i="15"/>
  <c r="FY26" i="15"/>
  <c r="FX26" i="15"/>
  <c r="FW26" i="15"/>
  <c r="FV26" i="15"/>
  <c r="FU26" i="15"/>
  <c r="FT26" i="15"/>
  <c r="FS26" i="15"/>
  <c r="FR26" i="15"/>
  <c r="FQ26" i="15"/>
  <c r="FP26" i="15"/>
  <c r="FO26" i="15"/>
  <c r="FN26" i="15"/>
  <c r="FM26" i="15"/>
  <c r="FL26" i="15"/>
  <c r="FK26" i="15"/>
  <c r="FJ26" i="15"/>
  <c r="FI26" i="15"/>
  <c r="FH26" i="15"/>
  <c r="FG26" i="15"/>
  <c r="FF26" i="15"/>
  <c r="FE26" i="15"/>
  <c r="FD26" i="15"/>
  <c r="FC26" i="15"/>
  <c r="FB26" i="15"/>
  <c r="FA26" i="15"/>
  <c r="EZ26" i="15"/>
  <c r="EY26" i="15"/>
  <c r="EX26" i="15"/>
  <c r="EW26" i="15"/>
  <c r="EV26" i="15"/>
  <c r="EU26" i="15"/>
  <c r="ET26" i="15"/>
  <c r="ES26" i="15"/>
  <c r="ER26" i="15"/>
  <c r="EQ26" i="15"/>
  <c r="EP26" i="15"/>
  <c r="EO26" i="15"/>
  <c r="EN26" i="15"/>
  <c r="EM26" i="15"/>
  <c r="EL26" i="15"/>
  <c r="EK26" i="15"/>
  <c r="EJ26" i="15"/>
  <c r="EI26" i="15"/>
  <c r="EH26" i="15"/>
  <c r="EG26" i="15"/>
  <c r="EF26" i="15"/>
  <c r="EE26" i="15"/>
  <c r="ED26" i="15"/>
  <c r="EC26" i="15"/>
  <c r="EB26" i="15"/>
  <c r="EA26" i="15"/>
  <c r="DZ26" i="15"/>
  <c r="DY26" i="15"/>
  <c r="DX26" i="15"/>
  <c r="DW26" i="15"/>
  <c r="DV26" i="15"/>
  <c r="DU26" i="15"/>
  <c r="DT26" i="15"/>
  <c r="DS26" i="15"/>
  <c r="DR26" i="15"/>
  <c r="DQ26" i="15"/>
  <c r="DP26" i="15"/>
  <c r="DO26" i="15"/>
  <c r="DN26" i="15"/>
  <c r="DM26" i="15"/>
  <c r="DL26" i="15"/>
  <c r="DK26" i="15"/>
  <c r="DJ26" i="15"/>
  <c r="DI26" i="15"/>
  <c r="DH26" i="15"/>
  <c r="DG26" i="15"/>
  <c r="DF26" i="15"/>
  <c r="DE26" i="15"/>
  <c r="DD26" i="15"/>
  <c r="DC26" i="15"/>
  <c r="DB26" i="15"/>
  <c r="DA26" i="15"/>
  <c r="CZ26" i="15"/>
  <c r="CY26" i="15"/>
  <c r="CX26" i="15"/>
  <c r="CW26" i="15"/>
  <c r="CV26" i="15"/>
  <c r="CU26" i="15"/>
  <c r="CT26" i="15"/>
  <c r="CS26" i="15"/>
  <c r="CR26" i="15"/>
  <c r="CQ26" i="15"/>
  <c r="CP26" i="15"/>
  <c r="CO26" i="15"/>
  <c r="CN26" i="15"/>
  <c r="CM26" i="15"/>
  <c r="CL26" i="15"/>
  <c r="CK26" i="15"/>
  <c r="CJ26" i="15"/>
  <c r="CI26" i="15"/>
  <c r="CH26" i="15"/>
  <c r="CG26" i="15"/>
  <c r="CF26" i="15"/>
  <c r="CE26" i="15"/>
  <c r="CD26" i="15"/>
  <c r="CC26" i="15"/>
  <c r="CB26" i="15"/>
  <c r="CA26" i="15"/>
  <c r="BZ26" i="15"/>
  <c r="BY26" i="15"/>
  <c r="BX26" i="15"/>
  <c r="BW26" i="15"/>
  <c r="BV26" i="15"/>
  <c r="BU26" i="15"/>
  <c r="BT26" i="15"/>
  <c r="BS26" i="15"/>
  <c r="BR26" i="15"/>
  <c r="BQ26" i="15"/>
  <c r="BP26" i="15"/>
  <c r="BO26" i="15"/>
  <c r="BN26" i="15"/>
  <c r="BM26" i="15"/>
  <c r="BL26" i="15"/>
  <c r="BK26" i="15"/>
  <c r="BJ26" i="15"/>
  <c r="BI26" i="15"/>
  <c r="BH26" i="15"/>
  <c r="BG26" i="15"/>
  <c r="BF26" i="15"/>
  <c r="BE26" i="15"/>
  <c r="BD26" i="15"/>
  <c r="BC26" i="15"/>
  <c r="BB26" i="15"/>
  <c r="BA26" i="15"/>
  <c r="AZ26" i="15"/>
  <c r="AY26" i="15"/>
  <c r="AX26" i="15"/>
  <c r="AW26" i="15"/>
  <c r="AV26" i="15"/>
  <c r="AU26" i="15"/>
  <c r="AT26" i="15"/>
  <c r="AS26" i="15"/>
  <c r="AR26" i="15"/>
  <c r="AQ26" i="15"/>
  <c r="AP26" i="15"/>
  <c r="AO26" i="15"/>
  <c r="AN26" i="15"/>
  <c r="AM26" i="15"/>
  <c r="AL26" i="15"/>
  <c r="AK26" i="15"/>
  <c r="AJ26" i="15"/>
  <c r="AI26" i="15"/>
  <c r="AH26" i="15"/>
  <c r="AG26" i="15"/>
  <c r="AF26" i="15"/>
  <c r="AE26" i="15"/>
  <c r="AD26" i="15"/>
  <c r="AC26" i="15"/>
  <c r="AB26" i="15"/>
  <c r="AA26" i="15"/>
  <c r="Z26" i="15"/>
  <c r="Y26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KC25" i="15"/>
  <c r="KB25" i="15"/>
  <c r="KA25" i="15"/>
  <c r="JZ25" i="15"/>
  <c r="JY25" i="15"/>
  <c r="JX25" i="15"/>
  <c r="JW25" i="15"/>
  <c r="JV25" i="15"/>
  <c r="JU25" i="15"/>
  <c r="JT25" i="15"/>
  <c r="JS25" i="15"/>
  <c r="JR25" i="15"/>
  <c r="JQ25" i="15"/>
  <c r="JP25" i="15"/>
  <c r="JO25" i="15"/>
  <c r="JN25" i="15"/>
  <c r="JM25" i="15"/>
  <c r="JL25" i="15"/>
  <c r="JK25" i="15"/>
  <c r="JJ25" i="15"/>
  <c r="JI25" i="15"/>
  <c r="JH25" i="15"/>
  <c r="JG25" i="15"/>
  <c r="JF25" i="15"/>
  <c r="JE25" i="15"/>
  <c r="JD25" i="15"/>
  <c r="JC25" i="15"/>
  <c r="JB25" i="15"/>
  <c r="JA25" i="15"/>
  <c r="IZ25" i="15"/>
  <c r="IY25" i="15"/>
  <c r="IX25" i="15"/>
  <c r="IW25" i="15"/>
  <c r="IV25" i="15"/>
  <c r="IU25" i="15"/>
  <c r="IT25" i="15"/>
  <c r="IS25" i="15"/>
  <c r="IR25" i="15"/>
  <c r="IQ25" i="15"/>
  <c r="IP25" i="15"/>
  <c r="IO25" i="15"/>
  <c r="IN25" i="15"/>
  <c r="IM25" i="15"/>
  <c r="IL25" i="15"/>
  <c r="IK25" i="15"/>
  <c r="IJ25" i="15"/>
  <c r="II25" i="15"/>
  <c r="IH25" i="15"/>
  <c r="IG25" i="15"/>
  <c r="IF25" i="15"/>
  <c r="IE25" i="15"/>
  <c r="ID25" i="15"/>
  <c r="IC25" i="15"/>
  <c r="IB25" i="15"/>
  <c r="IA25" i="15"/>
  <c r="HZ25" i="15"/>
  <c r="HY25" i="15"/>
  <c r="HX25" i="15"/>
  <c r="HW25" i="15"/>
  <c r="HV25" i="15"/>
  <c r="HU25" i="15"/>
  <c r="HT25" i="15"/>
  <c r="HS25" i="15"/>
  <c r="HR25" i="15"/>
  <c r="HQ25" i="15"/>
  <c r="HP25" i="15"/>
  <c r="HO25" i="15"/>
  <c r="HN25" i="15"/>
  <c r="HM25" i="15"/>
  <c r="HL25" i="15"/>
  <c r="HK25" i="15"/>
  <c r="HJ25" i="15"/>
  <c r="HI25" i="15"/>
  <c r="HH25" i="15"/>
  <c r="HG25" i="15"/>
  <c r="HF25" i="15"/>
  <c r="HE25" i="15"/>
  <c r="HD25" i="15"/>
  <c r="HC25" i="15"/>
  <c r="HB25" i="15"/>
  <c r="HA25" i="15"/>
  <c r="GZ25" i="15"/>
  <c r="GY25" i="15"/>
  <c r="GX25" i="15"/>
  <c r="GW25" i="15"/>
  <c r="GV25" i="15"/>
  <c r="GU25" i="15"/>
  <c r="GT25" i="15"/>
  <c r="GS25" i="15"/>
  <c r="GR25" i="15"/>
  <c r="GQ25" i="15"/>
  <c r="GP25" i="15"/>
  <c r="GO25" i="15"/>
  <c r="GN25" i="15"/>
  <c r="GM25" i="15"/>
  <c r="GL25" i="15"/>
  <c r="GK25" i="15"/>
  <c r="GJ25" i="15"/>
  <c r="GI25" i="15"/>
  <c r="GH25" i="15"/>
  <c r="GG25" i="15"/>
  <c r="GF25" i="15"/>
  <c r="GE25" i="15"/>
  <c r="GD25" i="15"/>
  <c r="GC25" i="15"/>
  <c r="GB25" i="15"/>
  <c r="GA25" i="15"/>
  <c r="FZ25" i="15"/>
  <c r="FY25" i="15"/>
  <c r="FX25" i="15"/>
  <c r="FW25" i="15"/>
  <c r="FV25" i="15"/>
  <c r="FU25" i="15"/>
  <c r="FT25" i="15"/>
  <c r="FS25" i="15"/>
  <c r="FR25" i="15"/>
  <c r="FQ25" i="15"/>
  <c r="FP25" i="15"/>
  <c r="FO25" i="15"/>
  <c r="FN25" i="15"/>
  <c r="FM25" i="15"/>
  <c r="FL25" i="15"/>
  <c r="FK25" i="15"/>
  <c r="FJ25" i="15"/>
  <c r="FI25" i="15"/>
  <c r="FH25" i="15"/>
  <c r="FG25" i="15"/>
  <c r="FF25" i="15"/>
  <c r="FE25" i="15"/>
  <c r="FD25" i="15"/>
  <c r="FC25" i="15"/>
  <c r="FB25" i="15"/>
  <c r="FA25" i="15"/>
  <c r="EZ25" i="15"/>
  <c r="EY25" i="15"/>
  <c r="EX25" i="15"/>
  <c r="EW25" i="15"/>
  <c r="EV25" i="15"/>
  <c r="EU25" i="15"/>
  <c r="ET25" i="15"/>
  <c r="ES25" i="15"/>
  <c r="ER25" i="15"/>
  <c r="EQ25" i="15"/>
  <c r="EP25" i="15"/>
  <c r="EO25" i="15"/>
  <c r="EN25" i="15"/>
  <c r="EM25" i="15"/>
  <c r="EL25" i="15"/>
  <c r="EK25" i="15"/>
  <c r="EJ25" i="15"/>
  <c r="EI25" i="15"/>
  <c r="EH25" i="15"/>
  <c r="EG25" i="15"/>
  <c r="EF25" i="15"/>
  <c r="EE25" i="15"/>
  <c r="ED25" i="15"/>
  <c r="EC25" i="15"/>
  <c r="EB25" i="15"/>
  <c r="EA25" i="15"/>
  <c r="DZ25" i="15"/>
  <c r="DY25" i="15"/>
  <c r="DX25" i="15"/>
  <c r="DW25" i="15"/>
  <c r="DV25" i="15"/>
  <c r="DU25" i="15"/>
  <c r="DT25" i="15"/>
  <c r="DS25" i="15"/>
  <c r="DR25" i="15"/>
  <c r="DQ25" i="15"/>
  <c r="DP25" i="15"/>
  <c r="DO25" i="15"/>
  <c r="DN25" i="15"/>
  <c r="DM25" i="15"/>
  <c r="DL25" i="15"/>
  <c r="DK25" i="15"/>
  <c r="DJ25" i="15"/>
  <c r="DI25" i="15"/>
  <c r="DH25" i="15"/>
  <c r="DG25" i="15"/>
  <c r="DF25" i="15"/>
  <c r="DE25" i="15"/>
  <c r="DD25" i="15"/>
  <c r="DC25" i="15"/>
  <c r="DB25" i="15"/>
  <c r="DA25" i="15"/>
  <c r="CZ25" i="15"/>
  <c r="CY25" i="15"/>
  <c r="CX25" i="15"/>
  <c r="CW25" i="15"/>
  <c r="CV25" i="15"/>
  <c r="CU25" i="15"/>
  <c r="CT25" i="15"/>
  <c r="CS25" i="15"/>
  <c r="CR25" i="15"/>
  <c r="CQ25" i="15"/>
  <c r="CP25" i="15"/>
  <c r="CO25" i="15"/>
  <c r="CN25" i="15"/>
  <c r="CM25" i="15"/>
  <c r="CL25" i="15"/>
  <c r="CK25" i="15"/>
  <c r="CJ25" i="15"/>
  <c r="CI25" i="15"/>
  <c r="CH25" i="15"/>
  <c r="CG25" i="15"/>
  <c r="CF25" i="15"/>
  <c r="CE25" i="15"/>
  <c r="CD25" i="15"/>
  <c r="CC25" i="15"/>
  <c r="CB25" i="15"/>
  <c r="CA25" i="15"/>
  <c r="BZ25" i="15"/>
  <c r="BY25" i="15"/>
  <c r="BX25" i="15"/>
  <c r="BW25" i="15"/>
  <c r="BV25" i="15"/>
  <c r="BU25" i="15"/>
  <c r="BT25" i="15"/>
  <c r="BS25" i="15"/>
  <c r="BR25" i="15"/>
  <c r="BQ25" i="15"/>
  <c r="BP25" i="15"/>
  <c r="BO25" i="15"/>
  <c r="BN25" i="15"/>
  <c r="BM25" i="15"/>
  <c r="BL25" i="15"/>
  <c r="BK25" i="15"/>
  <c r="BJ25" i="15"/>
  <c r="BI25" i="15"/>
  <c r="BH25" i="15"/>
  <c r="BG25" i="15"/>
  <c r="BF25" i="15"/>
  <c r="BE25" i="15"/>
  <c r="BD25" i="15"/>
  <c r="BC25" i="15"/>
  <c r="BB25" i="15"/>
  <c r="BA25" i="15"/>
  <c r="AZ25" i="15"/>
  <c r="AY25" i="15"/>
  <c r="AX25" i="15"/>
  <c r="AW25" i="15"/>
  <c r="AV25" i="15"/>
  <c r="AU25" i="15"/>
  <c r="AT25" i="15"/>
  <c r="AS25" i="15"/>
  <c r="AR25" i="15"/>
  <c r="AQ25" i="15"/>
  <c r="AP25" i="15"/>
  <c r="AO25" i="15"/>
  <c r="AN25" i="15"/>
  <c r="AM25" i="15"/>
  <c r="AL25" i="15"/>
  <c r="AK25" i="15"/>
  <c r="AJ25" i="15"/>
  <c r="AI25" i="15"/>
  <c r="AH25" i="15"/>
  <c r="AG25" i="15"/>
  <c r="AF25" i="15"/>
  <c r="AE25" i="15"/>
  <c r="AD25" i="15"/>
  <c r="AC25" i="15"/>
  <c r="AB25" i="15"/>
  <c r="AA25" i="15"/>
  <c r="Z25" i="15"/>
  <c r="Y25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KC24" i="15"/>
  <c r="KB24" i="15"/>
  <c r="KA24" i="15"/>
  <c r="JZ24" i="15"/>
  <c r="JY24" i="15"/>
  <c r="JX24" i="15"/>
  <c r="JW24" i="15"/>
  <c r="JV24" i="15"/>
  <c r="JU24" i="15"/>
  <c r="JT24" i="15"/>
  <c r="JS24" i="15"/>
  <c r="JR24" i="15"/>
  <c r="JQ24" i="15"/>
  <c r="JP24" i="15"/>
  <c r="JO24" i="15"/>
  <c r="JN24" i="15"/>
  <c r="JM24" i="15"/>
  <c r="JL24" i="15"/>
  <c r="JK24" i="15"/>
  <c r="JJ24" i="15"/>
  <c r="JI24" i="15"/>
  <c r="JH24" i="15"/>
  <c r="JG24" i="15"/>
  <c r="JF24" i="15"/>
  <c r="JE24" i="15"/>
  <c r="JD24" i="15"/>
  <c r="JC24" i="15"/>
  <c r="JB24" i="15"/>
  <c r="JA24" i="15"/>
  <c r="IZ24" i="15"/>
  <c r="IY24" i="15"/>
  <c r="IX24" i="15"/>
  <c r="IW24" i="15"/>
  <c r="IV24" i="15"/>
  <c r="IU24" i="15"/>
  <c r="IT24" i="15"/>
  <c r="IS24" i="15"/>
  <c r="IR24" i="15"/>
  <c r="IQ24" i="15"/>
  <c r="IP24" i="15"/>
  <c r="IO24" i="15"/>
  <c r="IN24" i="15"/>
  <c r="IM24" i="15"/>
  <c r="IL24" i="15"/>
  <c r="IK24" i="15"/>
  <c r="IJ24" i="15"/>
  <c r="II24" i="15"/>
  <c r="IH24" i="15"/>
  <c r="IG24" i="15"/>
  <c r="IF24" i="15"/>
  <c r="IE24" i="15"/>
  <c r="ID24" i="15"/>
  <c r="IC24" i="15"/>
  <c r="IB24" i="15"/>
  <c r="IA24" i="15"/>
  <c r="HZ24" i="15"/>
  <c r="HY24" i="15"/>
  <c r="HX24" i="15"/>
  <c r="HW24" i="15"/>
  <c r="HV24" i="15"/>
  <c r="HU24" i="15"/>
  <c r="HT24" i="15"/>
  <c r="HS24" i="15"/>
  <c r="HR24" i="15"/>
  <c r="HQ24" i="15"/>
  <c r="HP24" i="15"/>
  <c r="HO24" i="15"/>
  <c r="HN24" i="15"/>
  <c r="HM24" i="15"/>
  <c r="HL24" i="15"/>
  <c r="HK24" i="15"/>
  <c r="HJ24" i="15"/>
  <c r="HI24" i="15"/>
  <c r="HH24" i="15"/>
  <c r="HG24" i="15"/>
  <c r="HF24" i="15"/>
  <c r="HE24" i="15"/>
  <c r="HD24" i="15"/>
  <c r="HC24" i="15"/>
  <c r="HB24" i="15"/>
  <c r="HA24" i="15"/>
  <c r="GZ24" i="15"/>
  <c r="GY24" i="15"/>
  <c r="GX24" i="15"/>
  <c r="GW24" i="15"/>
  <c r="GV24" i="15"/>
  <c r="GU24" i="15"/>
  <c r="GT24" i="15"/>
  <c r="GS24" i="15"/>
  <c r="GR24" i="15"/>
  <c r="GQ24" i="15"/>
  <c r="GP24" i="15"/>
  <c r="GO24" i="15"/>
  <c r="GN24" i="15"/>
  <c r="GM24" i="15"/>
  <c r="GL24" i="15"/>
  <c r="GK24" i="15"/>
  <c r="GJ24" i="15"/>
  <c r="GI24" i="15"/>
  <c r="GH24" i="15"/>
  <c r="GG24" i="15"/>
  <c r="GF24" i="15"/>
  <c r="GE24" i="15"/>
  <c r="GD24" i="15"/>
  <c r="GC24" i="15"/>
  <c r="GB24" i="15"/>
  <c r="GA24" i="15"/>
  <c r="FZ24" i="15"/>
  <c r="FY24" i="15"/>
  <c r="FX24" i="15"/>
  <c r="FW24" i="15"/>
  <c r="FV24" i="15"/>
  <c r="FU24" i="15"/>
  <c r="FT24" i="15"/>
  <c r="FS24" i="15"/>
  <c r="FR24" i="15"/>
  <c r="FQ24" i="15"/>
  <c r="FP24" i="15"/>
  <c r="FO24" i="15"/>
  <c r="FN24" i="15"/>
  <c r="FM24" i="15"/>
  <c r="FL24" i="15"/>
  <c r="FK24" i="15"/>
  <c r="FJ24" i="15"/>
  <c r="FI24" i="15"/>
  <c r="FH24" i="15"/>
  <c r="FG24" i="15"/>
  <c r="FF24" i="15"/>
  <c r="FE24" i="15"/>
  <c r="FD24" i="15"/>
  <c r="FC24" i="15"/>
  <c r="FB24" i="15"/>
  <c r="FA24" i="15"/>
  <c r="EZ24" i="15"/>
  <c r="EY24" i="15"/>
  <c r="EX24" i="15"/>
  <c r="EW24" i="15"/>
  <c r="EV24" i="15"/>
  <c r="EU24" i="15"/>
  <c r="ET24" i="15"/>
  <c r="ES24" i="15"/>
  <c r="ER24" i="15"/>
  <c r="EQ24" i="15"/>
  <c r="EP24" i="15"/>
  <c r="EO24" i="15"/>
  <c r="EN24" i="15"/>
  <c r="EM24" i="15"/>
  <c r="EL24" i="15"/>
  <c r="EK24" i="15"/>
  <c r="EJ24" i="15"/>
  <c r="EI24" i="15"/>
  <c r="EH24" i="15"/>
  <c r="EG24" i="15"/>
  <c r="EF24" i="15"/>
  <c r="EE24" i="15"/>
  <c r="ED24" i="15"/>
  <c r="EC24" i="15"/>
  <c r="EB24" i="15"/>
  <c r="EA24" i="15"/>
  <c r="DZ24" i="15"/>
  <c r="DY24" i="15"/>
  <c r="DX24" i="15"/>
  <c r="DW24" i="15"/>
  <c r="DV24" i="15"/>
  <c r="DU24" i="15"/>
  <c r="DT24" i="15"/>
  <c r="DS24" i="15"/>
  <c r="DR24" i="15"/>
  <c r="DQ24" i="15"/>
  <c r="DP24" i="15"/>
  <c r="DO24" i="15"/>
  <c r="DN24" i="15"/>
  <c r="DM24" i="15"/>
  <c r="DL24" i="15"/>
  <c r="DK24" i="15"/>
  <c r="DJ24" i="15"/>
  <c r="DI24" i="15"/>
  <c r="DH24" i="15"/>
  <c r="DG24" i="15"/>
  <c r="DF24" i="15"/>
  <c r="DE24" i="15"/>
  <c r="DD24" i="15"/>
  <c r="DC24" i="15"/>
  <c r="DB24" i="15"/>
  <c r="DA24" i="15"/>
  <c r="CZ24" i="15"/>
  <c r="CY24" i="15"/>
  <c r="CX24" i="15"/>
  <c r="CW24" i="15"/>
  <c r="CV24" i="15"/>
  <c r="CU24" i="15"/>
  <c r="CT24" i="15"/>
  <c r="CS24" i="15"/>
  <c r="CR24" i="15"/>
  <c r="CQ24" i="15"/>
  <c r="CP24" i="15"/>
  <c r="CO24" i="15"/>
  <c r="CN24" i="15"/>
  <c r="CM24" i="15"/>
  <c r="CL24" i="15"/>
  <c r="CK24" i="15"/>
  <c r="CJ24" i="15"/>
  <c r="CI24" i="15"/>
  <c r="CH24" i="15"/>
  <c r="CG24" i="15"/>
  <c r="CF24" i="15"/>
  <c r="CE24" i="15"/>
  <c r="CD24" i="15"/>
  <c r="CC24" i="15"/>
  <c r="CB24" i="15"/>
  <c r="CA24" i="15"/>
  <c r="BZ24" i="15"/>
  <c r="BY24" i="15"/>
  <c r="BX24" i="15"/>
  <c r="BW24" i="15"/>
  <c r="BV24" i="15"/>
  <c r="BU24" i="15"/>
  <c r="BT24" i="15"/>
  <c r="BS24" i="15"/>
  <c r="BR24" i="15"/>
  <c r="BQ24" i="15"/>
  <c r="BP24" i="15"/>
  <c r="BO24" i="15"/>
  <c r="BN24" i="15"/>
  <c r="BM24" i="15"/>
  <c r="BL24" i="15"/>
  <c r="BK24" i="15"/>
  <c r="BJ24" i="15"/>
  <c r="BI24" i="15"/>
  <c r="BH24" i="15"/>
  <c r="BG24" i="15"/>
  <c r="BF24" i="15"/>
  <c r="BE24" i="15"/>
  <c r="BD24" i="15"/>
  <c r="BC24" i="15"/>
  <c r="BB24" i="15"/>
  <c r="BA24" i="15"/>
  <c r="AZ24" i="15"/>
  <c r="AY24" i="15"/>
  <c r="AX24" i="15"/>
  <c r="AW24" i="15"/>
  <c r="AV24" i="15"/>
  <c r="AU24" i="15"/>
  <c r="AT24" i="15"/>
  <c r="AS24" i="15"/>
  <c r="AR24" i="15"/>
  <c r="AQ24" i="15"/>
  <c r="AP24" i="15"/>
  <c r="AO24" i="15"/>
  <c r="AN24" i="15"/>
  <c r="AM24" i="15"/>
  <c r="AL24" i="15"/>
  <c r="AK24" i="15"/>
  <c r="AJ24" i="15"/>
  <c r="AI24" i="15"/>
  <c r="AH24" i="15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KC23" i="15"/>
  <c r="KB23" i="15"/>
  <c r="KA23" i="15"/>
  <c r="JZ23" i="15"/>
  <c r="JY23" i="15"/>
  <c r="JX23" i="15"/>
  <c r="JW23" i="15"/>
  <c r="JV23" i="15"/>
  <c r="JU23" i="15"/>
  <c r="JT23" i="15"/>
  <c r="JS23" i="15"/>
  <c r="JR23" i="15"/>
  <c r="JQ23" i="15"/>
  <c r="JP23" i="15"/>
  <c r="JO23" i="15"/>
  <c r="JN23" i="15"/>
  <c r="JM23" i="15"/>
  <c r="JL23" i="15"/>
  <c r="JK23" i="15"/>
  <c r="JJ23" i="15"/>
  <c r="JI23" i="15"/>
  <c r="JH23" i="15"/>
  <c r="JG23" i="15"/>
  <c r="JF23" i="15"/>
  <c r="JE23" i="15"/>
  <c r="JD23" i="15"/>
  <c r="JC23" i="15"/>
  <c r="JB23" i="15"/>
  <c r="JA23" i="15"/>
  <c r="IZ23" i="15"/>
  <c r="IY23" i="15"/>
  <c r="IX23" i="15"/>
  <c r="IW23" i="15"/>
  <c r="IV23" i="15"/>
  <c r="IU23" i="15"/>
  <c r="IT23" i="15"/>
  <c r="IS23" i="15"/>
  <c r="IR23" i="15"/>
  <c r="IQ23" i="15"/>
  <c r="IP23" i="15"/>
  <c r="IO23" i="15"/>
  <c r="IN23" i="15"/>
  <c r="IM23" i="15"/>
  <c r="IL23" i="15"/>
  <c r="IK23" i="15"/>
  <c r="IJ23" i="15"/>
  <c r="II23" i="15"/>
  <c r="IH23" i="15"/>
  <c r="IG23" i="15"/>
  <c r="IF23" i="15"/>
  <c r="IE23" i="15"/>
  <c r="ID23" i="15"/>
  <c r="IC23" i="15"/>
  <c r="IB23" i="15"/>
  <c r="IA23" i="15"/>
  <c r="HZ23" i="15"/>
  <c r="HY23" i="15"/>
  <c r="HX23" i="15"/>
  <c r="HW23" i="15"/>
  <c r="HV23" i="15"/>
  <c r="HU23" i="15"/>
  <c r="HT23" i="15"/>
  <c r="HS23" i="15"/>
  <c r="HR23" i="15"/>
  <c r="HQ23" i="15"/>
  <c r="HP23" i="15"/>
  <c r="HO23" i="15"/>
  <c r="HN23" i="15"/>
  <c r="HM23" i="15"/>
  <c r="HL23" i="15"/>
  <c r="HK23" i="15"/>
  <c r="HJ23" i="15"/>
  <c r="HI23" i="15"/>
  <c r="HH23" i="15"/>
  <c r="HG23" i="15"/>
  <c r="HF23" i="15"/>
  <c r="HE23" i="15"/>
  <c r="HD23" i="15"/>
  <c r="HC23" i="15"/>
  <c r="HB23" i="15"/>
  <c r="HA23" i="15"/>
  <c r="GZ23" i="15"/>
  <c r="GY23" i="15"/>
  <c r="GX23" i="15"/>
  <c r="GW23" i="15"/>
  <c r="GV23" i="15"/>
  <c r="GU23" i="15"/>
  <c r="GT23" i="15"/>
  <c r="GS23" i="15"/>
  <c r="GR23" i="15"/>
  <c r="GQ23" i="15"/>
  <c r="GP23" i="15"/>
  <c r="GO23" i="15"/>
  <c r="GN23" i="15"/>
  <c r="GM23" i="15"/>
  <c r="GL23" i="15"/>
  <c r="GK23" i="15"/>
  <c r="GJ23" i="15"/>
  <c r="GI23" i="15"/>
  <c r="GH23" i="15"/>
  <c r="GG23" i="15"/>
  <c r="GF23" i="15"/>
  <c r="GE23" i="15"/>
  <c r="GD23" i="15"/>
  <c r="GC23" i="15"/>
  <c r="GB23" i="15"/>
  <c r="GA23" i="15"/>
  <c r="FZ23" i="15"/>
  <c r="FY23" i="15"/>
  <c r="FX23" i="15"/>
  <c r="FW23" i="15"/>
  <c r="FV23" i="15"/>
  <c r="FU23" i="15"/>
  <c r="FT23" i="15"/>
  <c r="FS23" i="15"/>
  <c r="FR23" i="15"/>
  <c r="FQ23" i="15"/>
  <c r="FP23" i="15"/>
  <c r="FO23" i="15"/>
  <c r="FN23" i="15"/>
  <c r="FM23" i="15"/>
  <c r="FL23" i="15"/>
  <c r="FK23" i="15"/>
  <c r="FJ23" i="15"/>
  <c r="FI23" i="15"/>
  <c r="FH23" i="15"/>
  <c r="FG23" i="15"/>
  <c r="FF23" i="15"/>
  <c r="FE23" i="15"/>
  <c r="FD23" i="15"/>
  <c r="FC23" i="15"/>
  <c r="FB23" i="15"/>
  <c r="FA23" i="15"/>
  <c r="EZ23" i="15"/>
  <c r="EY23" i="15"/>
  <c r="EX23" i="15"/>
  <c r="EW23" i="15"/>
  <c r="EV23" i="15"/>
  <c r="EU23" i="15"/>
  <c r="ET23" i="15"/>
  <c r="ES23" i="15"/>
  <c r="ER23" i="15"/>
  <c r="EQ23" i="15"/>
  <c r="EP23" i="15"/>
  <c r="EO23" i="15"/>
  <c r="EN23" i="15"/>
  <c r="EM23" i="15"/>
  <c r="EL23" i="15"/>
  <c r="EK23" i="15"/>
  <c r="EJ23" i="15"/>
  <c r="EI23" i="15"/>
  <c r="EH23" i="15"/>
  <c r="EG23" i="15"/>
  <c r="EF23" i="15"/>
  <c r="EE23" i="15"/>
  <c r="ED23" i="15"/>
  <c r="EC23" i="15"/>
  <c r="EB23" i="15"/>
  <c r="EA23" i="15"/>
  <c r="DZ23" i="15"/>
  <c r="DY23" i="15"/>
  <c r="DX23" i="15"/>
  <c r="DW23" i="15"/>
  <c r="DV23" i="15"/>
  <c r="DU23" i="15"/>
  <c r="DT23" i="15"/>
  <c r="DS23" i="15"/>
  <c r="DR23" i="15"/>
  <c r="DQ23" i="15"/>
  <c r="DP23" i="15"/>
  <c r="DO23" i="15"/>
  <c r="DN23" i="15"/>
  <c r="DM23" i="15"/>
  <c r="DL23" i="15"/>
  <c r="DK23" i="15"/>
  <c r="DJ23" i="15"/>
  <c r="DI23" i="15"/>
  <c r="DH23" i="15"/>
  <c r="DG23" i="15"/>
  <c r="DF23" i="15"/>
  <c r="DE23" i="15"/>
  <c r="DD23" i="15"/>
  <c r="DC23" i="15"/>
  <c r="DB23" i="15"/>
  <c r="DA23" i="15"/>
  <c r="CZ23" i="15"/>
  <c r="CY23" i="15"/>
  <c r="CX23" i="15"/>
  <c r="CW23" i="15"/>
  <c r="CV23" i="15"/>
  <c r="CU23" i="15"/>
  <c r="CT23" i="15"/>
  <c r="CS23" i="15"/>
  <c r="CR23" i="15"/>
  <c r="CQ23" i="15"/>
  <c r="CP23" i="15"/>
  <c r="CO23" i="15"/>
  <c r="CN23" i="15"/>
  <c r="CM23" i="15"/>
  <c r="CL23" i="15"/>
  <c r="CK23" i="15"/>
  <c r="CJ23" i="15"/>
  <c r="CI23" i="15"/>
  <c r="CH23" i="15"/>
  <c r="CG23" i="15"/>
  <c r="CF23" i="15"/>
  <c r="CE23" i="15"/>
  <c r="CD23" i="15"/>
  <c r="CC23" i="15"/>
  <c r="CB23" i="15"/>
  <c r="CA23" i="15"/>
  <c r="BZ23" i="15"/>
  <c r="BY23" i="15"/>
  <c r="BX23" i="15"/>
  <c r="BW23" i="15"/>
  <c r="BV23" i="15"/>
  <c r="BU23" i="15"/>
  <c r="BT23" i="15"/>
  <c r="BS23" i="15"/>
  <c r="BR23" i="15"/>
  <c r="BQ23" i="15"/>
  <c r="BP23" i="15"/>
  <c r="BO23" i="15"/>
  <c r="BN23" i="15"/>
  <c r="BM23" i="15"/>
  <c r="BL23" i="15"/>
  <c r="BK23" i="15"/>
  <c r="BJ23" i="15"/>
  <c r="BI23" i="15"/>
  <c r="BH23" i="15"/>
  <c r="BG23" i="15"/>
  <c r="BF23" i="15"/>
  <c r="BE23" i="15"/>
  <c r="BD23" i="15"/>
  <c r="BC23" i="15"/>
  <c r="BB23" i="15"/>
  <c r="BA23" i="15"/>
  <c r="AZ23" i="15"/>
  <c r="AY23" i="15"/>
  <c r="AX23" i="15"/>
  <c r="AW23" i="15"/>
  <c r="AV23" i="15"/>
  <c r="AU23" i="15"/>
  <c r="AT23" i="15"/>
  <c r="AS23" i="15"/>
  <c r="AR23" i="15"/>
  <c r="AQ23" i="15"/>
  <c r="AP23" i="15"/>
  <c r="AO23" i="15"/>
  <c r="AN23" i="15"/>
  <c r="AM23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KC22" i="15"/>
  <c r="KB22" i="15"/>
  <c r="KA22" i="15"/>
  <c r="JZ22" i="15"/>
  <c r="JY22" i="15"/>
  <c r="JX22" i="15"/>
  <c r="JW22" i="15"/>
  <c r="JV22" i="15"/>
  <c r="JU22" i="15"/>
  <c r="JT22" i="15"/>
  <c r="JS22" i="15"/>
  <c r="JR22" i="15"/>
  <c r="JQ22" i="15"/>
  <c r="JP22" i="15"/>
  <c r="JO22" i="15"/>
  <c r="JN22" i="15"/>
  <c r="JM22" i="15"/>
  <c r="JL22" i="15"/>
  <c r="JK22" i="15"/>
  <c r="JJ22" i="15"/>
  <c r="JI22" i="15"/>
  <c r="JH22" i="15"/>
  <c r="JG22" i="15"/>
  <c r="JF22" i="15"/>
  <c r="JE22" i="15"/>
  <c r="JD22" i="15"/>
  <c r="JC22" i="15"/>
  <c r="JB22" i="15"/>
  <c r="JA22" i="15"/>
  <c r="IZ22" i="15"/>
  <c r="IY22" i="15"/>
  <c r="IX22" i="15"/>
  <c r="IW22" i="15"/>
  <c r="IV22" i="15"/>
  <c r="IU22" i="15"/>
  <c r="IT22" i="15"/>
  <c r="IS22" i="15"/>
  <c r="IR22" i="15"/>
  <c r="IQ22" i="15"/>
  <c r="IP22" i="15"/>
  <c r="IO22" i="15"/>
  <c r="IN22" i="15"/>
  <c r="IM22" i="15"/>
  <c r="IL22" i="15"/>
  <c r="IK22" i="15"/>
  <c r="IJ22" i="15"/>
  <c r="II22" i="15"/>
  <c r="IH22" i="15"/>
  <c r="IG22" i="15"/>
  <c r="IF22" i="15"/>
  <c r="IE22" i="15"/>
  <c r="ID22" i="15"/>
  <c r="IC22" i="15"/>
  <c r="IB22" i="15"/>
  <c r="IA22" i="15"/>
  <c r="HZ22" i="15"/>
  <c r="HY22" i="15"/>
  <c r="HX22" i="15"/>
  <c r="HW22" i="15"/>
  <c r="HV22" i="15"/>
  <c r="HU22" i="15"/>
  <c r="HT22" i="15"/>
  <c r="HS22" i="15"/>
  <c r="HR22" i="15"/>
  <c r="HQ22" i="15"/>
  <c r="HP22" i="15"/>
  <c r="HO22" i="15"/>
  <c r="HN22" i="15"/>
  <c r="HM22" i="15"/>
  <c r="HL22" i="15"/>
  <c r="HK22" i="15"/>
  <c r="HJ22" i="15"/>
  <c r="HI22" i="15"/>
  <c r="HH22" i="15"/>
  <c r="HG22" i="15"/>
  <c r="HF22" i="15"/>
  <c r="HE22" i="15"/>
  <c r="HD22" i="15"/>
  <c r="HC22" i="15"/>
  <c r="HB22" i="15"/>
  <c r="HA22" i="15"/>
  <c r="GZ22" i="15"/>
  <c r="GY22" i="15"/>
  <c r="GX22" i="15"/>
  <c r="GW22" i="15"/>
  <c r="GV22" i="15"/>
  <c r="GU22" i="15"/>
  <c r="GT22" i="15"/>
  <c r="GS22" i="15"/>
  <c r="GR22" i="15"/>
  <c r="GQ22" i="15"/>
  <c r="GP22" i="15"/>
  <c r="GO22" i="15"/>
  <c r="GN22" i="15"/>
  <c r="GM22" i="15"/>
  <c r="GL22" i="15"/>
  <c r="GK22" i="15"/>
  <c r="GJ22" i="15"/>
  <c r="GI22" i="15"/>
  <c r="GH22" i="15"/>
  <c r="GG22" i="15"/>
  <c r="GF22" i="15"/>
  <c r="GE22" i="15"/>
  <c r="GD22" i="15"/>
  <c r="GC22" i="15"/>
  <c r="GB22" i="15"/>
  <c r="GA22" i="15"/>
  <c r="FZ22" i="15"/>
  <c r="FY22" i="15"/>
  <c r="FX22" i="15"/>
  <c r="FW22" i="15"/>
  <c r="FV22" i="15"/>
  <c r="FU22" i="15"/>
  <c r="FT22" i="15"/>
  <c r="FS22" i="15"/>
  <c r="FR22" i="15"/>
  <c r="FQ22" i="15"/>
  <c r="FP22" i="15"/>
  <c r="FO22" i="15"/>
  <c r="FN22" i="15"/>
  <c r="FM22" i="15"/>
  <c r="FL22" i="15"/>
  <c r="FK22" i="15"/>
  <c r="FJ22" i="15"/>
  <c r="FI22" i="15"/>
  <c r="FH22" i="15"/>
  <c r="FG22" i="15"/>
  <c r="FF22" i="15"/>
  <c r="FE22" i="15"/>
  <c r="FD22" i="15"/>
  <c r="FC22" i="15"/>
  <c r="FB22" i="15"/>
  <c r="FA22" i="15"/>
  <c r="EZ22" i="15"/>
  <c r="EY22" i="15"/>
  <c r="EX22" i="15"/>
  <c r="EW22" i="15"/>
  <c r="EV22" i="15"/>
  <c r="EU22" i="15"/>
  <c r="ET22" i="15"/>
  <c r="ES22" i="15"/>
  <c r="ER22" i="15"/>
  <c r="EQ22" i="15"/>
  <c r="EP22" i="15"/>
  <c r="EO22" i="15"/>
  <c r="EN22" i="15"/>
  <c r="EM22" i="15"/>
  <c r="EL22" i="15"/>
  <c r="EK22" i="15"/>
  <c r="EJ22" i="15"/>
  <c r="EI22" i="15"/>
  <c r="EH22" i="15"/>
  <c r="EG22" i="15"/>
  <c r="EF22" i="15"/>
  <c r="EE22" i="15"/>
  <c r="ED22" i="15"/>
  <c r="EC22" i="15"/>
  <c r="EB22" i="15"/>
  <c r="EA22" i="15"/>
  <c r="DZ22" i="15"/>
  <c r="DY22" i="15"/>
  <c r="DX22" i="15"/>
  <c r="DW22" i="15"/>
  <c r="DV22" i="15"/>
  <c r="DU22" i="15"/>
  <c r="DT22" i="15"/>
  <c r="DS22" i="15"/>
  <c r="DR22" i="15"/>
  <c r="DQ22" i="15"/>
  <c r="DP22" i="15"/>
  <c r="DO22" i="15"/>
  <c r="DN22" i="15"/>
  <c r="DM22" i="15"/>
  <c r="DL22" i="15"/>
  <c r="DK22" i="15"/>
  <c r="DJ22" i="15"/>
  <c r="DI22" i="15"/>
  <c r="DH22" i="15"/>
  <c r="DG22" i="15"/>
  <c r="DF22" i="15"/>
  <c r="DE22" i="15"/>
  <c r="DD22" i="15"/>
  <c r="DC22" i="15"/>
  <c r="DB22" i="15"/>
  <c r="DA22" i="15"/>
  <c r="CZ22" i="15"/>
  <c r="CY22" i="15"/>
  <c r="CX22" i="15"/>
  <c r="CW22" i="15"/>
  <c r="CV22" i="15"/>
  <c r="CU22" i="15"/>
  <c r="CT22" i="15"/>
  <c r="CS22" i="15"/>
  <c r="CR22" i="15"/>
  <c r="CQ22" i="15"/>
  <c r="CP22" i="15"/>
  <c r="CO22" i="15"/>
  <c r="CN22" i="15"/>
  <c r="CM22" i="15"/>
  <c r="CL22" i="15"/>
  <c r="CK22" i="15"/>
  <c r="CJ22" i="15"/>
  <c r="CI22" i="15"/>
  <c r="CH22" i="15"/>
  <c r="CG22" i="15"/>
  <c r="CF22" i="15"/>
  <c r="CE22" i="15"/>
  <c r="CD22" i="15"/>
  <c r="CC22" i="15"/>
  <c r="CB22" i="15"/>
  <c r="CA22" i="15"/>
  <c r="BZ22" i="15"/>
  <c r="BY22" i="15"/>
  <c r="BX22" i="15"/>
  <c r="BW22" i="15"/>
  <c r="BV22" i="15"/>
  <c r="BU22" i="15"/>
  <c r="BT22" i="15"/>
  <c r="BS22" i="15"/>
  <c r="BR22" i="15"/>
  <c r="BQ22" i="15"/>
  <c r="BP22" i="15"/>
  <c r="BO22" i="15"/>
  <c r="BN22" i="15"/>
  <c r="BM22" i="15"/>
  <c r="BL22" i="15"/>
  <c r="BK22" i="15"/>
  <c r="BJ22" i="15"/>
  <c r="BI22" i="15"/>
  <c r="BH22" i="15"/>
  <c r="BG22" i="15"/>
  <c r="BF22" i="15"/>
  <c r="BE22" i="15"/>
  <c r="BD22" i="15"/>
  <c r="BC22" i="15"/>
  <c r="BB22" i="15"/>
  <c r="BA22" i="15"/>
  <c r="AZ22" i="15"/>
  <c r="AY22" i="15"/>
  <c r="AX22" i="15"/>
  <c r="AW22" i="15"/>
  <c r="AV22" i="15"/>
  <c r="AU22" i="15"/>
  <c r="AT22" i="15"/>
  <c r="AS22" i="15"/>
  <c r="AR22" i="15"/>
  <c r="AQ22" i="15"/>
  <c r="AP22" i="15"/>
  <c r="AO22" i="15"/>
  <c r="AN22" i="15"/>
  <c r="AM22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KC21" i="15"/>
  <c r="KB21" i="15"/>
  <c r="KA21" i="15"/>
  <c r="JZ21" i="15"/>
  <c r="JY21" i="15"/>
  <c r="JX21" i="15"/>
  <c r="JW21" i="15"/>
  <c r="JV21" i="15"/>
  <c r="JU21" i="15"/>
  <c r="JT21" i="15"/>
  <c r="JS21" i="15"/>
  <c r="JR21" i="15"/>
  <c r="JQ21" i="15"/>
  <c r="JP21" i="15"/>
  <c r="JO21" i="15"/>
  <c r="JN21" i="15"/>
  <c r="JM21" i="15"/>
  <c r="JL21" i="15"/>
  <c r="JK21" i="15"/>
  <c r="JJ21" i="15"/>
  <c r="JI21" i="15"/>
  <c r="JH21" i="15"/>
  <c r="JG21" i="15"/>
  <c r="JF21" i="15"/>
  <c r="JE21" i="15"/>
  <c r="JD21" i="15"/>
  <c r="JC21" i="15"/>
  <c r="JB21" i="15"/>
  <c r="JA21" i="15"/>
  <c r="IZ21" i="15"/>
  <c r="IY21" i="15"/>
  <c r="IX21" i="15"/>
  <c r="IW21" i="15"/>
  <c r="IV21" i="15"/>
  <c r="IU21" i="15"/>
  <c r="IT21" i="15"/>
  <c r="IS21" i="15"/>
  <c r="IR21" i="15"/>
  <c r="IQ21" i="15"/>
  <c r="IP21" i="15"/>
  <c r="IO21" i="15"/>
  <c r="IN21" i="15"/>
  <c r="IM21" i="15"/>
  <c r="IL21" i="15"/>
  <c r="IK21" i="15"/>
  <c r="IJ21" i="15"/>
  <c r="II21" i="15"/>
  <c r="IH21" i="15"/>
  <c r="IG21" i="15"/>
  <c r="IF21" i="15"/>
  <c r="IE21" i="15"/>
  <c r="ID21" i="15"/>
  <c r="IC21" i="15"/>
  <c r="IB21" i="15"/>
  <c r="IA21" i="15"/>
  <c r="HZ21" i="15"/>
  <c r="HY21" i="15"/>
  <c r="HX21" i="15"/>
  <c r="HW21" i="15"/>
  <c r="HV21" i="15"/>
  <c r="HU21" i="15"/>
  <c r="HT21" i="15"/>
  <c r="HS21" i="15"/>
  <c r="HR21" i="15"/>
  <c r="HQ21" i="15"/>
  <c r="HP21" i="15"/>
  <c r="HO21" i="15"/>
  <c r="HN21" i="15"/>
  <c r="HM21" i="15"/>
  <c r="HL21" i="15"/>
  <c r="HK21" i="15"/>
  <c r="HJ21" i="15"/>
  <c r="HI21" i="15"/>
  <c r="HH21" i="15"/>
  <c r="HG21" i="15"/>
  <c r="HF21" i="15"/>
  <c r="HE21" i="15"/>
  <c r="HD21" i="15"/>
  <c r="HC21" i="15"/>
  <c r="HB21" i="15"/>
  <c r="HA21" i="15"/>
  <c r="GZ21" i="15"/>
  <c r="GY21" i="15"/>
  <c r="GX21" i="15"/>
  <c r="GW21" i="15"/>
  <c r="GV21" i="15"/>
  <c r="GU21" i="15"/>
  <c r="GT21" i="15"/>
  <c r="GS21" i="15"/>
  <c r="GR21" i="15"/>
  <c r="GQ21" i="15"/>
  <c r="GP21" i="15"/>
  <c r="GO21" i="15"/>
  <c r="GN21" i="15"/>
  <c r="GM21" i="15"/>
  <c r="GL21" i="15"/>
  <c r="GK21" i="15"/>
  <c r="GJ21" i="15"/>
  <c r="GI21" i="15"/>
  <c r="GH21" i="15"/>
  <c r="GG21" i="15"/>
  <c r="GF21" i="15"/>
  <c r="GE21" i="15"/>
  <c r="GD21" i="15"/>
  <c r="GC21" i="15"/>
  <c r="GB21" i="15"/>
  <c r="GA21" i="15"/>
  <c r="FZ21" i="15"/>
  <c r="FY21" i="15"/>
  <c r="FX21" i="15"/>
  <c r="FW21" i="15"/>
  <c r="FV21" i="15"/>
  <c r="FU21" i="15"/>
  <c r="FT21" i="15"/>
  <c r="FS21" i="15"/>
  <c r="FR21" i="15"/>
  <c r="FQ21" i="15"/>
  <c r="FP21" i="15"/>
  <c r="FO21" i="15"/>
  <c r="FN21" i="15"/>
  <c r="FM21" i="15"/>
  <c r="FL21" i="15"/>
  <c r="FK21" i="15"/>
  <c r="FJ21" i="15"/>
  <c r="FI21" i="15"/>
  <c r="FH21" i="15"/>
  <c r="FG21" i="15"/>
  <c r="FF21" i="15"/>
  <c r="FE21" i="15"/>
  <c r="FD21" i="15"/>
  <c r="FC21" i="15"/>
  <c r="FB21" i="15"/>
  <c r="FA21" i="15"/>
  <c r="EZ21" i="15"/>
  <c r="EY21" i="15"/>
  <c r="EX21" i="15"/>
  <c r="EW21" i="15"/>
  <c r="EV21" i="15"/>
  <c r="EU21" i="15"/>
  <c r="ET21" i="15"/>
  <c r="ES21" i="15"/>
  <c r="ER21" i="15"/>
  <c r="EQ21" i="15"/>
  <c r="EP21" i="15"/>
  <c r="EO21" i="15"/>
  <c r="EN21" i="15"/>
  <c r="EM21" i="15"/>
  <c r="EL21" i="15"/>
  <c r="EK21" i="15"/>
  <c r="EJ21" i="15"/>
  <c r="EI21" i="15"/>
  <c r="EH21" i="15"/>
  <c r="EG21" i="15"/>
  <c r="EF21" i="15"/>
  <c r="EE21" i="15"/>
  <c r="ED21" i="15"/>
  <c r="EC21" i="15"/>
  <c r="EB21" i="15"/>
  <c r="EA21" i="15"/>
  <c r="DZ21" i="15"/>
  <c r="DY21" i="15"/>
  <c r="DX21" i="15"/>
  <c r="DW21" i="15"/>
  <c r="DV21" i="15"/>
  <c r="DU21" i="15"/>
  <c r="DT21" i="15"/>
  <c r="DS21" i="15"/>
  <c r="DR21" i="15"/>
  <c r="DQ21" i="15"/>
  <c r="DP21" i="15"/>
  <c r="DO21" i="15"/>
  <c r="DN21" i="15"/>
  <c r="DM21" i="15"/>
  <c r="DL21" i="15"/>
  <c r="DK21" i="15"/>
  <c r="DJ21" i="15"/>
  <c r="DI21" i="15"/>
  <c r="DH21" i="15"/>
  <c r="DG21" i="15"/>
  <c r="DF21" i="15"/>
  <c r="DE21" i="15"/>
  <c r="DD21" i="15"/>
  <c r="DC21" i="15"/>
  <c r="DB21" i="15"/>
  <c r="DA21" i="15"/>
  <c r="CZ21" i="15"/>
  <c r="CY21" i="15"/>
  <c r="CX21" i="15"/>
  <c r="CW21" i="15"/>
  <c r="CV21" i="15"/>
  <c r="CU21" i="15"/>
  <c r="CT21" i="15"/>
  <c r="CS21" i="15"/>
  <c r="CR21" i="15"/>
  <c r="CQ21" i="15"/>
  <c r="CP21" i="15"/>
  <c r="CO21" i="15"/>
  <c r="CN21" i="15"/>
  <c r="CM21" i="15"/>
  <c r="CL21" i="15"/>
  <c r="CK21" i="15"/>
  <c r="CJ21" i="15"/>
  <c r="CI21" i="15"/>
  <c r="CH21" i="15"/>
  <c r="CG21" i="15"/>
  <c r="CF21" i="15"/>
  <c r="CE21" i="15"/>
  <c r="CD21" i="15"/>
  <c r="CC21" i="15"/>
  <c r="CB21" i="15"/>
  <c r="CA21" i="15"/>
  <c r="BZ21" i="15"/>
  <c r="BY21" i="15"/>
  <c r="BX21" i="15"/>
  <c r="BW21" i="15"/>
  <c r="BV21" i="15"/>
  <c r="BU21" i="15"/>
  <c r="BT21" i="15"/>
  <c r="BS21" i="15"/>
  <c r="BR21" i="15"/>
  <c r="BQ21" i="15"/>
  <c r="BP21" i="15"/>
  <c r="BO21" i="15"/>
  <c r="BN21" i="15"/>
  <c r="BM21" i="15"/>
  <c r="BL21" i="15"/>
  <c r="BK21" i="15"/>
  <c r="BJ21" i="15"/>
  <c r="BI21" i="15"/>
  <c r="BH21" i="15"/>
  <c r="BG21" i="15"/>
  <c r="BF21" i="15"/>
  <c r="BE21" i="15"/>
  <c r="BD21" i="15"/>
  <c r="BC21" i="15"/>
  <c r="BB21" i="15"/>
  <c r="BA21" i="15"/>
  <c r="AZ21" i="15"/>
  <c r="AY21" i="15"/>
  <c r="AX21" i="15"/>
  <c r="AW21" i="15"/>
  <c r="AV21" i="15"/>
  <c r="AU21" i="15"/>
  <c r="AT21" i="15"/>
  <c r="AS21" i="15"/>
  <c r="AR21" i="15"/>
  <c r="AQ21" i="15"/>
  <c r="AP21" i="15"/>
  <c r="AO21" i="15"/>
  <c r="AN21" i="15"/>
  <c r="AM21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KC20" i="15"/>
  <c r="KB20" i="15"/>
  <c r="KA20" i="15"/>
  <c r="JZ20" i="15"/>
  <c r="JY20" i="15"/>
  <c r="JX20" i="15"/>
  <c r="JW20" i="15"/>
  <c r="JV20" i="15"/>
  <c r="JU20" i="15"/>
  <c r="JT20" i="15"/>
  <c r="JS20" i="15"/>
  <c r="JR20" i="15"/>
  <c r="JQ20" i="15"/>
  <c r="JP20" i="15"/>
  <c r="JO20" i="15"/>
  <c r="JN20" i="15"/>
  <c r="JM20" i="15"/>
  <c r="JL20" i="15"/>
  <c r="JK20" i="15"/>
  <c r="JJ20" i="15"/>
  <c r="JI20" i="15"/>
  <c r="JH20" i="15"/>
  <c r="JG20" i="15"/>
  <c r="JF20" i="15"/>
  <c r="JE20" i="15"/>
  <c r="JD20" i="15"/>
  <c r="JC20" i="15"/>
  <c r="JB20" i="15"/>
  <c r="JA20" i="15"/>
  <c r="IZ20" i="15"/>
  <c r="IY20" i="15"/>
  <c r="IX20" i="15"/>
  <c r="IW20" i="15"/>
  <c r="IV20" i="15"/>
  <c r="IU20" i="15"/>
  <c r="IT20" i="15"/>
  <c r="IS20" i="15"/>
  <c r="IR20" i="15"/>
  <c r="IQ20" i="15"/>
  <c r="IP20" i="15"/>
  <c r="IO20" i="15"/>
  <c r="IN20" i="15"/>
  <c r="IM20" i="15"/>
  <c r="IL20" i="15"/>
  <c r="IK20" i="15"/>
  <c r="IJ20" i="15"/>
  <c r="II20" i="15"/>
  <c r="IH20" i="15"/>
  <c r="IG20" i="15"/>
  <c r="IF20" i="15"/>
  <c r="IE20" i="15"/>
  <c r="ID20" i="15"/>
  <c r="IC20" i="15"/>
  <c r="IB20" i="15"/>
  <c r="IA20" i="15"/>
  <c r="HZ20" i="15"/>
  <c r="HY20" i="15"/>
  <c r="HX20" i="15"/>
  <c r="HW20" i="15"/>
  <c r="HV20" i="15"/>
  <c r="HU20" i="15"/>
  <c r="HT20" i="15"/>
  <c r="HS20" i="15"/>
  <c r="HR20" i="15"/>
  <c r="HQ20" i="15"/>
  <c r="HP20" i="15"/>
  <c r="HO20" i="15"/>
  <c r="HN20" i="15"/>
  <c r="HM20" i="15"/>
  <c r="HL20" i="15"/>
  <c r="HK20" i="15"/>
  <c r="HJ20" i="15"/>
  <c r="HI20" i="15"/>
  <c r="HH20" i="15"/>
  <c r="HG20" i="15"/>
  <c r="HF20" i="15"/>
  <c r="HE20" i="15"/>
  <c r="HD20" i="15"/>
  <c r="HC20" i="15"/>
  <c r="HB20" i="15"/>
  <c r="HA20" i="15"/>
  <c r="GZ20" i="15"/>
  <c r="GY20" i="15"/>
  <c r="GX20" i="15"/>
  <c r="GW20" i="15"/>
  <c r="GV20" i="15"/>
  <c r="GU20" i="15"/>
  <c r="GT20" i="15"/>
  <c r="GS20" i="15"/>
  <c r="GR20" i="15"/>
  <c r="GQ20" i="15"/>
  <c r="GP20" i="15"/>
  <c r="GO20" i="15"/>
  <c r="GN20" i="15"/>
  <c r="GM20" i="15"/>
  <c r="GL20" i="15"/>
  <c r="GK20" i="15"/>
  <c r="GJ20" i="15"/>
  <c r="GI20" i="15"/>
  <c r="GH20" i="15"/>
  <c r="GG20" i="15"/>
  <c r="GF20" i="15"/>
  <c r="GE20" i="15"/>
  <c r="GD20" i="15"/>
  <c r="GC20" i="15"/>
  <c r="GB20" i="15"/>
  <c r="GA20" i="15"/>
  <c r="FZ20" i="15"/>
  <c r="FY20" i="15"/>
  <c r="FX20" i="15"/>
  <c r="FW20" i="15"/>
  <c r="FV20" i="15"/>
  <c r="FU20" i="15"/>
  <c r="FT20" i="15"/>
  <c r="FS20" i="15"/>
  <c r="FR20" i="15"/>
  <c r="FQ20" i="15"/>
  <c r="FP20" i="15"/>
  <c r="FO20" i="15"/>
  <c r="FN20" i="15"/>
  <c r="FM20" i="15"/>
  <c r="FL20" i="15"/>
  <c r="FK20" i="15"/>
  <c r="FJ20" i="15"/>
  <c r="FI20" i="15"/>
  <c r="FH20" i="15"/>
  <c r="FG20" i="15"/>
  <c r="FF20" i="15"/>
  <c r="FE20" i="15"/>
  <c r="FD20" i="15"/>
  <c r="FC20" i="15"/>
  <c r="FB20" i="15"/>
  <c r="FA20" i="15"/>
  <c r="EZ20" i="15"/>
  <c r="EY20" i="15"/>
  <c r="EX20" i="15"/>
  <c r="EW20" i="15"/>
  <c r="EV20" i="15"/>
  <c r="EU20" i="15"/>
  <c r="ET20" i="15"/>
  <c r="ES20" i="15"/>
  <c r="ER20" i="15"/>
  <c r="EQ20" i="15"/>
  <c r="EP20" i="15"/>
  <c r="EO20" i="15"/>
  <c r="EN20" i="15"/>
  <c r="EM20" i="15"/>
  <c r="EL20" i="15"/>
  <c r="EK20" i="15"/>
  <c r="EJ20" i="15"/>
  <c r="EI20" i="15"/>
  <c r="EH20" i="15"/>
  <c r="EG20" i="15"/>
  <c r="EF20" i="15"/>
  <c r="EE20" i="15"/>
  <c r="ED20" i="15"/>
  <c r="EC20" i="15"/>
  <c r="EB20" i="15"/>
  <c r="EA20" i="15"/>
  <c r="DZ20" i="15"/>
  <c r="DY20" i="15"/>
  <c r="DX20" i="15"/>
  <c r="DW20" i="15"/>
  <c r="DV20" i="15"/>
  <c r="DU20" i="15"/>
  <c r="DT20" i="15"/>
  <c r="DS20" i="15"/>
  <c r="DR20" i="15"/>
  <c r="DQ20" i="15"/>
  <c r="DP20" i="15"/>
  <c r="DO20" i="15"/>
  <c r="DN20" i="15"/>
  <c r="DM20" i="15"/>
  <c r="DL20" i="15"/>
  <c r="DK20" i="15"/>
  <c r="DJ20" i="15"/>
  <c r="DI20" i="15"/>
  <c r="DH20" i="15"/>
  <c r="DG20" i="15"/>
  <c r="DF20" i="15"/>
  <c r="DE20" i="15"/>
  <c r="DD20" i="15"/>
  <c r="DC20" i="15"/>
  <c r="DB20" i="15"/>
  <c r="DA20" i="15"/>
  <c r="CZ20" i="15"/>
  <c r="CY20" i="15"/>
  <c r="CX20" i="15"/>
  <c r="CW20" i="15"/>
  <c r="CV20" i="15"/>
  <c r="CU20" i="15"/>
  <c r="CT20" i="15"/>
  <c r="CS20" i="15"/>
  <c r="CR20" i="15"/>
  <c r="CQ20" i="15"/>
  <c r="CP20" i="15"/>
  <c r="CO20" i="15"/>
  <c r="CN20" i="15"/>
  <c r="CM20" i="15"/>
  <c r="CL20" i="15"/>
  <c r="CK20" i="15"/>
  <c r="CJ20" i="15"/>
  <c r="CI20" i="15"/>
  <c r="CH20" i="15"/>
  <c r="CG20" i="15"/>
  <c r="CF20" i="15"/>
  <c r="CE20" i="15"/>
  <c r="CD20" i="15"/>
  <c r="CC20" i="15"/>
  <c r="CB20" i="15"/>
  <c r="CA20" i="15"/>
  <c r="BZ20" i="15"/>
  <c r="BY20" i="15"/>
  <c r="BX20" i="15"/>
  <c r="BW20" i="15"/>
  <c r="BV20" i="15"/>
  <c r="BU20" i="15"/>
  <c r="BT20" i="15"/>
  <c r="BS20" i="15"/>
  <c r="BR20" i="15"/>
  <c r="BQ20" i="15"/>
  <c r="BP20" i="15"/>
  <c r="BO20" i="15"/>
  <c r="BN20" i="15"/>
  <c r="BM20" i="15"/>
  <c r="BL20" i="15"/>
  <c r="BK20" i="15"/>
  <c r="BJ20" i="15"/>
  <c r="BI20" i="15"/>
  <c r="BH20" i="15"/>
  <c r="BG20" i="15"/>
  <c r="BF20" i="15"/>
  <c r="BE20" i="15"/>
  <c r="BD20" i="15"/>
  <c r="BC20" i="15"/>
  <c r="BB20" i="15"/>
  <c r="BA20" i="15"/>
  <c r="AZ20" i="15"/>
  <c r="AY20" i="15"/>
  <c r="AX20" i="15"/>
  <c r="AW20" i="15"/>
  <c r="AV20" i="15"/>
  <c r="AU20" i="15"/>
  <c r="AT20" i="15"/>
  <c r="AS20" i="15"/>
  <c r="AR20" i="15"/>
  <c r="AQ20" i="15"/>
  <c r="AP20" i="15"/>
  <c r="AO20" i="15"/>
  <c r="AN20" i="15"/>
  <c r="AM20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KC19" i="15"/>
  <c r="KB19" i="15"/>
  <c r="KA19" i="15"/>
  <c r="JZ19" i="15"/>
  <c r="JY19" i="15"/>
  <c r="JX19" i="15"/>
  <c r="JW19" i="15"/>
  <c r="JV19" i="15"/>
  <c r="JU19" i="15"/>
  <c r="JT19" i="15"/>
  <c r="JS19" i="15"/>
  <c r="JR19" i="15"/>
  <c r="JQ19" i="15"/>
  <c r="JP19" i="15"/>
  <c r="JO19" i="15"/>
  <c r="JN19" i="15"/>
  <c r="JM19" i="15"/>
  <c r="JL19" i="15"/>
  <c r="JK19" i="15"/>
  <c r="JJ19" i="15"/>
  <c r="JI19" i="15"/>
  <c r="JH19" i="15"/>
  <c r="JG19" i="15"/>
  <c r="JF19" i="15"/>
  <c r="JE19" i="15"/>
  <c r="JD19" i="15"/>
  <c r="JC19" i="15"/>
  <c r="JB19" i="15"/>
  <c r="JA19" i="15"/>
  <c r="IZ19" i="15"/>
  <c r="IY19" i="15"/>
  <c r="IX19" i="15"/>
  <c r="IW19" i="15"/>
  <c r="IV19" i="15"/>
  <c r="IU19" i="15"/>
  <c r="IT19" i="15"/>
  <c r="IS19" i="15"/>
  <c r="IR19" i="15"/>
  <c r="IQ19" i="15"/>
  <c r="IP19" i="15"/>
  <c r="IO19" i="15"/>
  <c r="IN19" i="15"/>
  <c r="IM19" i="15"/>
  <c r="IL19" i="15"/>
  <c r="IK19" i="15"/>
  <c r="IJ19" i="15"/>
  <c r="II19" i="15"/>
  <c r="IH19" i="15"/>
  <c r="IG19" i="15"/>
  <c r="IF19" i="15"/>
  <c r="IE19" i="15"/>
  <c r="ID19" i="15"/>
  <c r="IC19" i="15"/>
  <c r="IB19" i="15"/>
  <c r="IA19" i="15"/>
  <c r="HZ19" i="15"/>
  <c r="HY19" i="15"/>
  <c r="HX19" i="15"/>
  <c r="HW19" i="15"/>
  <c r="HV19" i="15"/>
  <c r="HU19" i="15"/>
  <c r="HT19" i="15"/>
  <c r="HS19" i="15"/>
  <c r="HR19" i="15"/>
  <c r="HQ19" i="15"/>
  <c r="HP19" i="15"/>
  <c r="HO19" i="15"/>
  <c r="HN19" i="15"/>
  <c r="HM19" i="15"/>
  <c r="HL19" i="15"/>
  <c r="HK19" i="15"/>
  <c r="HJ19" i="15"/>
  <c r="HI19" i="15"/>
  <c r="HH19" i="15"/>
  <c r="HG19" i="15"/>
  <c r="HF19" i="15"/>
  <c r="HE19" i="15"/>
  <c r="HD19" i="15"/>
  <c r="HC19" i="15"/>
  <c r="HB19" i="15"/>
  <c r="HA19" i="15"/>
  <c r="GZ19" i="15"/>
  <c r="GY19" i="15"/>
  <c r="GX19" i="15"/>
  <c r="GW19" i="15"/>
  <c r="GV19" i="15"/>
  <c r="GU19" i="15"/>
  <c r="GT19" i="15"/>
  <c r="GS19" i="15"/>
  <c r="GR19" i="15"/>
  <c r="GQ19" i="15"/>
  <c r="GP19" i="15"/>
  <c r="GO19" i="15"/>
  <c r="GN19" i="15"/>
  <c r="GM19" i="15"/>
  <c r="GL19" i="15"/>
  <c r="GK19" i="15"/>
  <c r="GJ19" i="15"/>
  <c r="GI19" i="15"/>
  <c r="GH19" i="15"/>
  <c r="GG19" i="15"/>
  <c r="GF19" i="15"/>
  <c r="GE19" i="15"/>
  <c r="GD19" i="15"/>
  <c r="GC19" i="15"/>
  <c r="GB19" i="15"/>
  <c r="GA19" i="15"/>
  <c r="FZ19" i="15"/>
  <c r="FY19" i="15"/>
  <c r="FX19" i="15"/>
  <c r="FW19" i="15"/>
  <c r="FV19" i="15"/>
  <c r="FU19" i="15"/>
  <c r="FT19" i="15"/>
  <c r="FS19" i="15"/>
  <c r="FR19" i="15"/>
  <c r="FQ19" i="15"/>
  <c r="FP19" i="15"/>
  <c r="FO19" i="15"/>
  <c r="FN19" i="15"/>
  <c r="FM19" i="15"/>
  <c r="FL19" i="15"/>
  <c r="FK19" i="15"/>
  <c r="FJ19" i="15"/>
  <c r="FI19" i="15"/>
  <c r="FH19" i="15"/>
  <c r="FG19" i="15"/>
  <c r="FF19" i="15"/>
  <c r="FE19" i="15"/>
  <c r="FD19" i="15"/>
  <c r="FC19" i="15"/>
  <c r="FB19" i="15"/>
  <c r="FA19" i="15"/>
  <c r="EZ19" i="15"/>
  <c r="EY19" i="15"/>
  <c r="EX19" i="15"/>
  <c r="EW19" i="15"/>
  <c r="EV19" i="15"/>
  <c r="EU19" i="15"/>
  <c r="ET19" i="15"/>
  <c r="ES19" i="15"/>
  <c r="ER19" i="15"/>
  <c r="EQ19" i="15"/>
  <c r="EP19" i="15"/>
  <c r="EO19" i="15"/>
  <c r="EN19" i="15"/>
  <c r="EM19" i="15"/>
  <c r="EL19" i="15"/>
  <c r="EK19" i="15"/>
  <c r="EJ19" i="15"/>
  <c r="EI19" i="15"/>
  <c r="EH19" i="15"/>
  <c r="EG19" i="15"/>
  <c r="EF19" i="15"/>
  <c r="EE19" i="15"/>
  <c r="ED19" i="15"/>
  <c r="EC19" i="15"/>
  <c r="EB19" i="15"/>
  <c r="EA19" i="15"/>
  <c r="DZ19" i="15"/>
  <c r="DY19" i="15"/>
  <c r="DX19" i="15"/>
  <c r="DW19" i="15"/>
  <c r="DV19" i="15"/>
  <c r="DU19" i="15"/>
  <c r="DT19" i="15"/>
  <c r="DS19" i="15"/>
  <c r="DR19" i="15"/>
  <c r="DQ19" i="15"/>
  <c r="DP19" i="15"/>
  <c r="DO19" i="15"/>
  <c r="DN19" i="15"/>
  <c r="DM19" i="15"/>
  <c r="DL19" i="15"/>
  <c r="DK19" i="15"/>
  <c r="DJ19" i="15"/>
  <c r="DI19" i="15"/>
  <c r="DH19" i="15"/>
  <c r="DG19" i="15"/>
  <c r="DF19" i="15"/>
  <c r="DE19" i="15"/>
  <c r="DD19" i="15"/>
  <c r="DC19" i="15"/>
  <c r="DB19" i="15"/>
  <c r="DA19" i="15"/>
  <c r="CZ19" i="15"/>
  <c r="CY19" i="15"/>
  <c r="CX19" i="15"/>
  <c r="CW19" i="15"/>
  <c r="CV19" i="15"/>
  <c r="CU19" i="15"/>
  <c r="CT19" i="15"/>
  <c r="CS19" i="15"/>
  <c r="CR19" i="15"/>
  <c r="CQ19" i="15"/>
  <c r="CP19" i="15"/>
  <c r="CO19" i="15"/>
  <c r="CN19" i="15"/>
  <c r="CM19" i="15"/>
  <c r="CL19" i="15"/>
  <c r="CK19" i="15"/>
  <c r="CJ19" i="15"/>
  <c r="CI19" i="15"/>
  <c r="CH19" i="15"/>
  <c r="CG19" i="15"/>
  <c r="CF19" i="15"/>
  <c r="CE19" i="15"/>
  <c r="CD19" i="15"/>
  <c r="CC19" i="15"/>
  <c r="CB19" i="15"/>
  <c r="CA19" i="15"/>
  <c r="BZ19" i="15"/>
  <c r="BY19" i="15"/>
  <c r="BX19" i="15"/>
  <c r="BW19" i="15"/>
  <c r="BV19" i="15"/>
  <c r="BU19" i="15"/>
  <c r="BT19" i="15"/>
  <c r="BS19" i="15"/>
  <c r="BR19" i="15"/>
  <c r="BQ19" i="15"/>
  <c r="BP19" i="15"/>
  <c r="BO19" i="15"/>
  <c r="BN19" i="15"/>
  <c r="BM19" i="15"/>
  <c r="BL19" i="15"/>
  <c r="BK19" i="15"/>
  <c r="BJ19" i="15"/>
  <c r="BI19" i="15"/>
  <c r="BH19" i="15"/>
  <c r="BG19" i="15"/>
  <c r="BF19" i="15"/>
  <c r="BE19" i="15"/>
  <c r="BD19" i="15"/>
  <c r="BC19" i="15"/>
  <c r="BB19" i="15"/>
  <c r="BA19" i="15"/>
  <c r="AZ19" i="15"/>
  <c r="AY19" i="15"/>
  <c r="AX19" i="15"/>
  <c r="AW19" i="15"/>
  <c r="AV19" i="15"/>
  <c r="AU19" i="15"/>
  <c r="AT19" i="15"/>
  <c r="AS19" i="15"/>
  <c r="AR19" i="15"/>
  <c r="AQ19" i="15"/>
  <c r="AP19" i="15"/>
  <c r="AO19" i="15"/>
  <c r="AN19" i="15"/>
  <c r="AM19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KC18" i="15"/>
  <c r="KB18" i="15"/>
  <c r="KA18" i="15"/>
  <c r="JZ18" i="15"/>
  <c r="JY18" i="15"/>
  <c r="JX18" i="15"/>
  <c r="JW18" i="15"/>
  <c r="JV18" i="15"/>
  <c r="JU18" i="15"/>
  <c r="JT18" i="15"/>
  <c r="JS18" i="15"/>
  <c r="JR18" i="15"/>
  <c r="JQ18" i="15"/>
  <c r="JP18" i="15"/>
  <c r="JO18" i="15"/>
  <c r="JN18" i="15"/>
  <c r="JM18" i="15"/>
  <c r="JL18" i="15"/>
  <c r="JK18" i="15"/>
  <c r="JJ18" i="15"/>
  <c r="JI18" i="15"/>
  <c r="JH18" i="15"/>
  <c r="JG18" i="15"/>
  <c r="JF18" i="15"/>
  <c r="JE18" i="15"/>
  <c r="JD18" i="15"/>
  <c r="JC18" i="15"/>
  <c r="JB18" i="15"/>
  <c r="JA18" i="15"/>
  <c r="IZ18" i="15"/>
  <c r="IY18" i="15"/>
  <c r="IX18" i="15"/>
  <c r="IW18" i="15"/>
  <c r="IV18" i="15"/>
  <c r="IU18" i="15"/>
  <c r="IT18" i="15"/>
  <c r="IS18" i="15"/>
  <c r="IR18" i="15"/>
  <c r="IQ18" i="15"/>
  <c r="IP18" i="15"/>
  <c r="IO18" i="15"/>
  <c r="IN18" i="15"/>
  <c r="IM18" i="15"/>
  <c r="IL18" i="15"/>
  <c r="IK18" i="15"/>
  <c r="IJ18" i="15"/>
  <c r="II18" i="15"/>
  <c r="IH18" i="15"/>
  <c r="IG18" i="15"/>
  <c r="IF18" i="15"/>
  <c r="IE18" i="15"/>
  <c r="ID18" i="15"/>
  <c r="IC18" i="15"/>
  <c r="IB18" i="15"/>
  <c r="IA18" i="15"/>
  <c r="HZ18" i="15"/>
  <c r="HY18" i="15"/>
  <c r="HX18" i="15"/>
  <c r="HW18" i="15"/>
  <c r="HV18" i="15"/>
  <c r="HU18" i="15"/>
  <c r="HT18" i="15"/>
  <c r="HS18" i="15"/>
  <c r="HR18" i="15"/>
  <c r="HQ18" i="15"/>
  <c r="HP18" i="15"/>
  <c r="HO18" i="15"/>
  <c r="HN18" i="15"/>
  <c r="HM18" i="15"/>
  <c r="HL18" i="15"/>
  <c r="HK18" i="15"/>
  <c r="HJ18" i="15"/>
  <c r="HI18" i="15"/>
  <c r="HH18" i="15"/>
  <c r="HG18" i="15"/>
  <c r="HF18" i="15"/>
  <c r="HE18" i="15"/>
  <c r="HD18" i="15"/>
  <c r="HC18" i="15"/>
  <c r="HB18" i="15"/>
  <c r="HA18" i="15"/>
  <c r="GZ18" i="15"/>
  <c r="GY18" i="15"/>
  <c r="GX18" i="15"/>
  <c r="GW18" i="15"/>
  <c r="GV18" i="15"/>
  <c r="GU18" i="15"/>
  <c r="GT18" i="15"/>
  <c r="GS18" i="15"/>
  <c r="GR18" i="15"/>
  <c r="GQ18" i="15"/>
  <c r="GP18" i="15"/>
  <c r="GO18" i="15"/>
  <c r="GN18" i="15"/>
  <c r="GM18" i="15"/>
  <c r="GL18" i="15"/>
  <c r="GK18" i="15"/>
  <c r="GJ18" i="15"/>
  <c r="GI18" i="15"/>
  <c r="GH18" i="15"/>
  <c r="GG18" i="15"/>
  <c r="GF18" i="15"/>
  <c r="GE18" i="15"/>
  <c r="GD18" i="15"/>
  <c r="GC18" i="15"/>
  <c r="GB18" i="15"/>
  <c r="GA18" i="15"/>
  <c r="FZ18" i="15"/>
  <c r="FY18" i="15"/>
  <c r="FX18" i="15"/>
  <c r="FW18" i="15"/>
  <c r="FV18" i="15"/>
  <c r="FU18" i="15"/>
  <c r="FT18" i="15"/>
  <c r="FS18" i="15"/>
  <c r="FR18" i="15"/>
  <c r="FQ18" i="15"/>
  <c r="FP18" i="15"/>
  <c r="FO18" i="15"/>
  <c r="FN18" i="15"/>
  <c r="FM18" i="15"/>
  <c r="FL18" i="15"/>
  <c r="FK18" i="15"/>
  <c r="FJ18" i="15"/>
  <c r="FI18" i="15"/>
  <c r="FH18" i="15"/>
  <c r="FG18" i="15"/>
  <c r="FF18" i="15"/>
  <c r="FE18" i="15"/>
  <c r="FD18" i="15"/>
  <c r="FC18" i="15"/>
  <c r="FB18" i="15"/>
  <c r="FA18" i="15"/>
  <c r="EZ18" i="15"/>
  <c r="EY18" i="15"/>
  <c r="EX18" i="15"/>
  <c r="EW18" i="15"/>
  <c r="EV18" i="15"/>
  <c r="EU18" i="15"/>
  <c r="ET18" i="15"/>
  <c r="ES18" i="15"/>
  <c r="ER18" i="15"/>
  <c r="EQ18" i="15"/>
  <c r="EP18" i="15"/>
  <c r="EO18" i="15"/>
  <c r="EN18" i="15"/>
  <c r="EM18" i="15"/>
  <c r="EL18" i="15"/>
  <c r="EK18" i="15"/>
  <c r="EJ18" i="15"/>
  <c r="EI18" i="15"/>
  <c r="EH18" i="15"/>
  <c r="EG18" i="15"/>
  <c r="EF18" i="15"/>
  <c r="EE18" i="15"/>
  <c r="ED18" i="15"/>
  <c r="EC18" i="15"/>
  <c r="EB18" i="15"/>
  <c r="EA18" i="15"/>
  <c r="DZ18" i="15"/>
  <c r="DY18" i="15"/>
  <c r="DX18" i="15"/>
  <c r="DW18" i="15"/>
  <c r="DV18" i="15"/>
  <c r="DU18" i="15"/>
  <c r="DT18" i="15"/>
  <c r="DS18" i="15"/>
  <c r="DR18" i="15"/>
  <c r="DQ18" i="15"/>
  <c r="DP18" i="15"/>
  <c r="DO18" i="15"/>
  <c r="DN18" i="15"/>
  <c r="DM18" i="15"/>
  <c r="DL18" i="15"/>
  <c r="DK18" i="15"/>
  <c r="DJ18" i="15"/>
  <c r="DI18" i="15"/>
  <c r="DH18" i="15"/>
  <c r="DG18" i="15"/>
  <c r="DF18" i="15"/>
  <c r="DE18" i="15"/>
  <c r="DD18" i="15"/>
  <c r="DC18" i="15"/>
  <c r="DB18" i="15"/>
  <c r="DA18" i="15"/>
  <c r="CZ18" i="15"/>
  <c r="CY18" i="15"/>
  <c r="CX18" i="15"/>
  <c r="CW18" i="15"/>
  <c r="CV18" i="15"/>
  <c r="CU18" i="15"/>
  <c r="CT18" i="15"/>
  <c r="CS18" i="15"/>
  <c r="CR18" i="15"/>
  <c r="CQ18" i="15"/>
  <c r="CP18" i="15"/>
  <c r="CO18" i="15"/>
  <c r="CN18" i="15"/>
  <c r="CM18" i="15"/>
  <c r="CL18" i="15"/>
  <c r="CK18" i="15"/>
  <c r="CJ18" i="15"/>
  <c r="CI18" i="15"/>
  <c r="CH18" i="15"/>
  <c r="CG18" i="15"/>
  <c r="CF18" i="15"/>
  <c r="CE18" i="15"/>
  <c r="CD18" i="15"/>
  <c r="CC18" i="15"/>
  <c r="CB18" i="15"/>
  <c r="CA18" i="15"/>
  <c r="BZ18" i="15"/>
  <c r="BY18" i="15"/>
  <c r="BX18" i="15"/>
  <c r="BW18" i="15"/>
  <c r="BV18" i="15"/>
  <c r="BU18" i="15"/>
  <c r="BT18" i="15"/>
  <c r="BS18" i="15"/>
  <c r="BR18" i="15"/>
  <c r="BQ18" i="15"/>
  <c r="BP18" i="15"/>
  <c r="BO18" i="15"/>
  <c r="BN18" i="15"/>
  <c r="BM18" i="15"/>
  <c r="BL18" i="15"/>
  <c r="BK18" i="15"/>
  <c r="BJ18" i="15"/>
  <c r="BI18" i="15"/>
  <c r="BH18" i="15"/>
  <c r="BG18" i="15"/>
  <c r="BF18" i="15"/>
  <c r="BE18" i="15"/>
  <c r="BD18" i="15"/>
  <c r="BC18" i="15"/>
  <c r="BB18" i="15"/>
  <c r="BA18" i="15"/>
  <c r="AZ18" i="15"/>
  <c r="AY18" i="15"/>
  <c r="AX18" i="15"/>
  <c r="AW18" i="15"/>
  <c r="AV18" i="15"/>
  <c r="AU18" i="15"/>
  <c r="AT18" i="15"/>
  <c r="AS18" i="15"/>
  <c r="AR18" i="15"/>
  <c r="AQ18" i="15"/>
  <c r="AP18" i="15"/>
  <c r="AO18" i="15"/>
  <c r="AN18" i="15"/>
  <c r="AM18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KC17" i="15"/>
  <c r="KB17" i="15"/>
  <c r="KA17" i="15"/>
  <c r="JZ17" i="15"/>
  <c r="JY17" i="15"/>
  <c r="JX17" i="15"/>
  <c r="JW17" i="15"/>
  <c r="JV17" i="15"/>
  <c r="JU17" i="15"/>
  <c r="JT17" i="15"/>
  <c r="JS17" i="15"/>
  <c r="JR17" i="15"/>
  <c r="JQ17" i="15"/>
  <c r="JP17" i="15"/>
  <c r="JO17" i="15"/>
  <c r="JN17" i="15"/>
  <c r="JM17" i="15"/>
  <c r="JL17" i="15"/>
  <c r="JK17" i="15"/>
  <c r="JJ17" i="15"/>
  <c r="JI17" i="15"/>
  <c r="JH17" i="15"/>
  <c r="JG17" i="15"/>
  <c r="JF17" i="15"/>
  <c r="JE17" i="15"/>
  <c r="JD17" i="15"/>
  <c r="JC17" i="15"/>
  <c r="JB17" i="15"/>
  <c r="JA17" i="15"/>
  <c r="IZ17" i="15"/>
  <c r="IY17" i="15"/>
  <c r="IX17" i="15"/>
  <c r="IW17" i="15"/>
  <c r="IV17" i="15"/>
  <c r="IU17" i="15"/>
  <c r="IT17" i="15"/>
  <c r="IS17" i="15"/>
  <c r="IR17" i="15"/>
  <c r="IQ17" i="15"/>
  <c r="IP17" i="15"/>
  <c r="IO17" i="15"/>
  <c r="IN17" i="15"/>
  <c r="IM17" i="15"/>
  <c r="IL17" i="15"/>
  <c r="IK17" i="15"/>
  <c r="IJ17" i="15"/>
  <c r="II17" i="15"/>
  <c r="IH17" i="15"/>
  <c r="IG17" i="15"/>
  <c r="IF17" i="15"/>
  <c r="IE17" i="15"/>
  <c r="ID17" i="15"/>
  <c r="IC17" i="15"/>
  <c r="IB17" i="15"/>
  <c r="IA17" i="15"/>
  <c r="HZ17" i="15"/>
  <c r="HY17" i="15"/>
  <c r="HX17" i="15"/>
  <c r="HW17" i="15"/>
  <c r="HV17" i="15"/>
  <c r="HU17" i="15"/>
  <c r="HT17" i="15"/>
  <c r="HS17" i="15"/>
  <c r="HR17" i="15"/>
  <c r="HQ17" i="15"/>
  <c r="HP17" i="15"/>
  <c r="HO17" i="15"/>
  <c r="HN17" i="15"/>
  <c r="HM17" i="15"/>
  <c r="HL17" i="15"/>
  <c r="HK17" i="15"/>
  <c r="HJ17" i="15"/>
  <c r="HI17" i="15"/>
  <c r="HH17" i="15"/>
  <c r="HG17" i="15"/>
  <c r="HF17" i="15"/>
  <c r="HE17" i="15"/>
  <c r="HD17" i="15"/>
  <c r="HC17" i="15"/>
  <c r="HB17" i="15"/>
  <c r="HA17" i="15"/>
  <c r="GZ17" i="15"/>
  <c r="GY17" i="15"/>
  <c r="GX17" i="15"/>
  <c r="GW17" i="15"/>
  <c r="GV17" i="15"/>
  <c r="GU17" i="15"/>
  <c r="GT17" i="15"/>
  <c r="GS17" i="15"/>
  <c r="GR17" i="15"/>
  <c r="GQ17" i="15"/>
  <c r="GP17" i="15"/>
  <c r="GO17" i="15"/>
  <c r="GN17" i="15"/>
  <c r="GM17" i="15"/>
  <c r="GL17" i="15"/>
  <c r="GK17" i="15"/>
  <c r="GJ17" i="15"/>
  <c r="GI17" i="15"/>
  <c r="GH17" i="15"/>
  <c r="GG17" i="15"/>
  <c r="GF17" i="15"/>
  <c r="GE17" i="15"/>
  <c r="GD17" i="15"/>
  <c r="GC17" i="15"/>
  <c r="GB17" i="15"/>
  <c r="GA17" i="15"/>
  <c r="FZ17" i="15"/>
  <c r="FY17" i="15"/>
  <c r="FX17" i="15"/>
  <c r="FW17" i="15"/>
  <c r="FV17" i="15"/>
  <c r="FU17" i="15"/>
  <c r="FT17" i="15"/>
  <c r="FS17" i="15"/>
  <c r="FR17" i="15"/>
  <c r="FQ17" i="15"/>
  <c r="FP17" i="15"/>
  <c r="FO17" i="15"/>
  <c r="FN17" i="15"/>
  <c r="FM17" i="15"/>
  <c r="FL17" i="15"/>
  <c r="FK17" i="15"/>
  <c r="FJ17" i="15"/>
  <c r="FI17" i="15"/>
  <c r="FH17" i="15"/>
  <c r="FG17" i="15"/>
  <c r="FF17" i="15"/>
  <c r="FE17" i="15"/>
  <c r="FD17" i="15"/>
  <c r="FC17" i="15"/>
  <c r="FB17" i="15"/>
  <c r="FA17" i="15"/>
  <c r="EZ17" i="15"/>
  <c r="EY17" i="15"/>
  <c r="EX17" i="15"/>
  <c r="EW17" i="15"/>
  <c r="EV17" i="15"/>
  <c r="EU17" i="15"/>
  <c r="ET17" i="15"/>
  <c r="ES17" i="15"/>
  <c r="ER17" i="15"/>
  <c r="EQ17" i="15"/>
  <c r="EP17" i="15"/>
  <c r="EO17" i="15"/>
  <c r="EN17" i="15"/>
  <c r="EM17" i="15"/>
  <c r="EL17" i="15"/>
  <c r="EK17" i="15"/>
  <c r="EJ17" i="15"/>
  <c r="EI17" i="15"/>
  <c r="EH17" i="15"/>
  <c r="EG17" i="15"/>
  <c r="EF17" i="15"/>
  <c r="EE17" i="15"/>
  <c r="ED17" i="15"/>
  <c r="EC17" i="15"/>
  <c r="EB17" i="15"/>
  <c r="EA17" i="15"/>
  <c r="DZ17" i="15"/>
  <c r="DY17" i="15"/>
  <c r="DX17" i="15"/>
  <c r="DW17" i="15"/>
  <c r="DV17" i="15"/>
  <c r="DU17" i="15"/>
  <c r="DT17" i="15"/>
  <c r="DS17" i="15"/>
  <c r="DR17" i="15"/>
  <c r="DQ17" i="15"/>
  <c r="DP17" i="15"/>
  <c r="DO17" i="15"/>
  <c r="DN17" i="15"/>
  <c r="DM17" i="15"/>
  <c r="DL17" i="15"/>
  <c r="DK17" i="15"/>
  <c r="DJ17" i="15"/>
  <c r="DI17" i="15"/>
  <c r="DH17" i="15"/>
  <c r="DG17" i="15"/>
  <c r="DF17" i="15"/>
  <c r="DE17" i="15"/>
  <c r="DD17" i="15"/>
  <c r="DC17" i="15"/>
  <c r="DB17" i="15"/>
  <c r="DA17" i="15"/>
  <c r="CZ17" i="15"/>
  <c r="CY17" i="15"/>
  <c r="CX17" i="15"/>
  <c r="CW17" i="15"/>
  <c r="CV17" i="15"/>
  <c r="CU17" i="15"/>
  <c r="CT17" i="15"/>
  <c r="CS17" i="15"/>
  <c r="CR17" i="15"/>
  <c r="CQ17" i="15"/>
  <c r="CP17" i="15"/>
  <c r="CO17" i="15"/>
  <c r="CN17" i="15"/>
  <c r="CM17" i="15"/>
  <c r="CL17" i="15"/>
  <c r="CK17" i="15"/>
  <c r="CJ17" i="15"/>
  <c r="CI17" i="15"/>
  <c r="CH17" i="15"/>
  <c r="CG17" i="15"/>
  <c r="CF17" i="15"/>
  <c r="CE17" i="15"/>
  <c r="CD17" i="15"/>
  <c r="CC17" i="15"/>
  <c r="CB17" i="15"/>
  <c r="CA17" i="15"/>
  <c r="BZ17" i="15"/>
  <c r="BY17" i="15"/>
  <c r="BX17" i="15"/>
  <c r="BW17" i="15"/>
  <c r="BV17" i="15"/>
  <c r="BU17" i="15"/>
  <c r="BT17" i="15"/>
  <c r="BS17" i="15"/>
  <c r="BR17" i="15"/>
  <c r="BQ17" i="15"/>
  <c r="BP17" i="15"/>
  <c r="BO17" i="15"/>
  <c r="BN17" i="15"/>
  <c r="BM17" i="15"/>
  <c r="BL17" i="15"/>
  <c r="BK17" i="15"/>
  <c r="BJ17" i="15"/>
  <c r="BI17" i="15"/>
  <c r="BH17" i="15"/>
  <c r="BG17" i="15"/>
  <c r="BF17" i="15"/>
  <c r="BE17" i="15"/>
  <c r="BD17" i="15"/>
  <c r="BC17" i="15"/>
  <c r="BB17" i="15"/>
  <c r="BA17" i="15"/>
  <c r="AZ17" i="15"/>
  <c r="AY17" i="15"/>
  <c r="AX17" i="15"/>
  <c r="AW17" i="15"/>
  <c r="AV17" i="15"/>
  <c r="AU17" i="15"/>
  <c r="AT17" i="15"/>
  <c r="AS17" i="15"/>
  <c r="AR17" i="15"/>
  <c r="AQ17" i="15"/>
  <c r="AP17" i="15"/>
  <c r="AO17" i="15"/>
  <c r="AN17" i="15"/>
  <c r="AM17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KC16" i="15"/>
  <c r="KB16" i="15"/>
  <c r="KA16" i="15"/>
  <c r="JZ16" i="15"/>
  <c r="JY16" i="15"/>
  <c r="JX16" i="15"/>
  <c r="JW16" i="15"/>
  <c r="JV16" i="15"/>
  <c r="JU16" i="15"/>
  <c r="JT16" i="15"/>
  <c r="JS16" i="15"/>
  <c r="JR16" i="15"/>
  <c r="JQ16" i="15"/>
  <c r="JP16" i="15"/>
  <c r="JO16" i="15"/>
  <c r="JN16" i="15"/>
  <c r="JM16" i="15"/>
  <c r="JL16" i="15"/>
  <c r="JK16" i="15"/>
  <c r="JJ16" i="15"/>
  <c r="JI16" i="15"/>
  <c r="JH16" i="15"/>
  <c r="JG16" i="15"/>
  <c r="JF16" i="15"/>
  <c r="JE16" i="15"/>
  <c r="JD16" i="15"/>
  <c r="JC16" i="15"/>
  <c r="JB16" i="15"/>
  <c r="JA16" i="15"/>
  <c r="IZ16" i="15"/>
  <c r="IY16" i="15"/>
  <c r="IX16" i="15"/>
  <c r="IW16" i="15"/>
  <c r="IV16" i="15"/>
  <c r="IU16" i="15"/>
  <c r="IT16" i="15"/>
  <c r="IS16" i="15"/>
  <c r="IR16" i="15"/>
  <c r="IQ16" i="15"/>
  <c r="IP16" i="15"/>
  <c r="IO16" i="15"/>
  <c r="IN16" i="15"/>
  <c r="IM16" i="15"/>
  <c r="IL16" i="15"/>
  <c r="IK16" i="15"/>
  <c r="IJ16" i="15"/>
  <c r="II16" i="15"/>
  <c r="IH16" i="15"/>
  <c r="IG16" i="15"/>
  <c r="IF16" i="15"/>
  <c r="IE16" i="15"/>
  <c r="ID16" i="15"/>
  <c r="IC16" i="15"/>
  <c r="IB16" i="15"/>
  <c r="IA16" i="15"/>
  <c r="HZ16" i="15"/>
  <c r="HY16" i="15"/>
  <c r="HX16" i="15"/>
  <c r="HW16" i="15"/>
  <c r="HV16" i="15"/>
  <c r="HU16" i="15"/>
  <c r="HT16" i="15"/>
  <c r="HS16" i="15"/>
  <c r="HR16" i="15"/>
  <c r="HQ16" i="15"/>
  <c r="HP16" i="15"/>
  <c r="HO16" i="15"/>
  <c r="HN16" i="15"/>
  <c r="HM16" i="15"/>
  <c r="HL16" i="15"/>
  <c r="HK16" i="15"/>
  <c r="HJ16" i="15"/>
  <c r="HI16" i="15"/>
  <c r="HH16" i="15"/>
  <c r="HG16" i="15"/>
  <c r="HF16" i="15"/>
  <c r="HE16" i="15"/>
  <c r="HD16" i="15"/>
  <c r="HC16" i="15"/>
  <c r="HB16" i="15"/>
  <c r="HA16" i="15"/>
  <c r="GZ16" i="15"/>
  <c r="GY16" i="15"/>
  <c r="GX16" i="15"/>
  <c r="GW16" i="15"/>
  <c r="GV16" i="15"/>
  <c r="GU16" i="15"/>
  <c r="GT16" i="15"/>
  <c r="GS16" i="15"/>
  <c r="GR16" i="15"/>
  <c r="GQ16" i="15"/>
  <c r="GP16" i="15"/>
  <c r="GO16" i="15"/>
  <c r="GN16" i="15"/>
  <c r="GM16" i="15"/>
  <c r="GL16" i="15"/>
  <c r="GK16" i="15"/>
  <c r="GJ16" i="15"/>
  <c r="GI16" i="15"/>
  <c r="GH16" i="15"/>
  <c r="GG16" i="15"/>
  <c r="GF16" i="15"/>
  <c r="GE16" i="15"/>
  <c r="GD16" i="15"/>
  <c r="GC16" i="15"/>
  <c r="GB16" i="15"/>
  <c r="GA16" i="15"/>
  <c r="FZ16" i="15"/>
  <c r="FY16" i="15"/>
  <c r="FX16" i="15"/>
  <c r="FW16" i="15"/>
  <c r="FV16" i="15"/>
  <c r="FU16" i="15"/>
  <c r="FT16" i="15"/>
  <c r="FS16" i="15"/>
  <c r="FR16" i="15"/>
  <c r="FQ16" i="15"/>
  <c r="FP16" i="15"/>
  <c r="FO16" i="15"/>
  <c r="FN16" i="15"/>
  <c r="FM16" i="15"/>
  <c r="FL16" i="15"/>
  <c r="FK16" i="15"/>
  <c r="FJ16" i="15"/>
  <c r="FI16" i="15"/>
  <c r="FH16" i="15"/>
  <c r="FG16" i="15"/>
  <c r="FF16" i="15"/>
  <c r="FE16" i="15"/>
  <c r="FD16" i="15"/>
  <c r="FC16" i="15"/>
  <c r="FB16" i="15"/>
  <c r="FA16" i="15"/>
  <c r="EZ16" i="15"/>
  <c r="EY16" i="15"/>
  <c r="EX16" i="15"/>
  <c r="EW16" i="15"/>
  <c r="EV16" i="15"/>
  <c r="EU16" i="15"/>
  <c r="ET16" i="15"/>
  <c r="ES16" i="15"/>
  <c r="ER16" i="15"/>
  <c r="EQ16" i="15"/>
  <c r="EP16" i="15"/>
  <c r="EO16" i="15"/>
  <c r="EN16" i="15"/>
  <c r="EM16" i="15"/>
  <c r="EL16" i="15"/>
  <c r="EK16" i="15"/>
  <c r="EJ16" i="15"/>
  <c r="EI16" i="15"/>
  <c r="EH16" i="15"/>
  <c r="EG16" i="15"/>
  <c r="EF16" i="15"/>
  <c r="EE16" i="15"/>
  <c r="ED16" i="15"/>
  <c r="EC16" i="15"/>
  <c r="EB16" i="15"/>
  <c r="EA16" i="15"/>
  <c r="DZ16" i="15"/>
  <c r="DY16" i="15"/>
  <c r="DX16" i="15"/>
  <c r="DW16" i="15"/>
  <c r="DV16" i="15"/>
  <c r="DU16" i="15"/>
  <c r="DT16" i="15"/>
  <c r="DS16" i="15"/>
  <c r="DR16" i="15"/>
  <c r="DQ16" i="15"/>
  <c r="DP16" i="15"/>
  <c r="DO16" i="15"/>
  <c r="DN16" i="15"/>
  <c r="DM16" i="15"/>
  <c r="DL16" i="15"/>
  <c r="DK16" i="15"/>
  <c r="DJ16" i="15"/>
  <c r="DI16" i="15"/>
  <c r="DH16" i="15"/>
  <c r="DG16" i="15"/>
  <c r="DF16" i="15"/>
  <c r="DE16" i="15"/>
  <c r="DD16" i="15"/>
  <c r="DC16" i="15"/>
  <c r="DB16" i="15"/>
  <c r="DA16" i="15"/>
  <c r="CZ16" i="15"/>
  <c r="CY16" i="15"/>
  <c r="CX16" i="15"/>
  <c r="CW16" i="15"/>
  <c r="CV16" i="15"/>
  <c r="CU16" i="15"/>
  <c r="CT16" i="15"/>
  <c r="CS16" i="15"/>
  <c r="CR16" i="15"/>
  <c r="CQ16" i="15"/>
  <c r="CP16" i="15"/>
  <c r="CO16" i="15"/>
  <c r="CN16" i="15"/>
  <c r="CM16" i="15"/>
  <c r="CL16" i="15"/>
  <c r="CK16" i="15"/>
  <c r="CJ16" i="15"/>
  <c r="CI16" i="15"/>
  <c r="CH16" i="15"/>
  <c r="CG16" i="15"/>
  <c r="CF16" i="15"/>
  <c r="CE16" i="15"/>
  <c r="CD16" i="15"/>
  <c r="CC16" i="15"/>
  <c r="CB16" i="15"/>
  <c r="CA16" i="15"/>
  <c r="BZ16" i="15"/>
  <c r="BY16" i="15"/>
  <c r="BX16" i="15"/>
  <c r="BW16" i="15"/>
  <c r="BV16" i="15"/>
  <c r="BU16" i="15"/>
  <c r="BT16" i="15"/>
  <c r="BS16" i="15"/>
  <c r="BR16" i="15"/>
  <c r="BQ16" i="15"/>
  <c r="BP16" i="15"/>
  <c r="BO16" i="15"/>
  <c r="BN16" i="15"/>
  <c r="BM16" i="15"/>
  <c r="BL16" i="15"/>
  <c r="BK16" i="15"/>
  <c r="BJ16" i="15"/>
  <c r="BI16" i="15"/>
  <c r="BH16" i="15"/>
  <c r="BG16" i="15"/>
  <c r="BF16" i="15"/>
  <c r="BE16" i="15"/>
  <c r="BD16" i="15"/>
  <c r="BC16" i="15"/>
  <c r="BB16" i="15"/>
  <c r="BA16" i="15"/>
  <c r="AZ16" i="15"/>
  <c r="AY16" i="15"/>
  <c r="AX16" i="15"/>
  <c r="AW16" i="15"/>
  <c r="AV16" i="15"/>
  <c r="AU16" i="15"/>
  <c r="AT16" i="15"/>
  <c r="AS16" i="15"/>
  <c r="AR16" i="15"/>
  <c r="AQ16" i="15"/>
  <c r="AP16" i="15"/>
  <c r="AO16" i="15"/>
  <c r="AN16" i="15"/>
  <c r="AM16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KC15" i="15"/>
  <c r="KB15" i="15"/>
  <c r="KA15" i="15"/>
  <c r="JZ15" i="15"/>
  <c r="JY15" i="15"/>
  <c r="JX15" i="15"/>
  <c r="JW15" i="15"/>
  <c r="JV15" i="15"/>
  <c r="JU15" i="15"/>
  <c r="JT15" i="15"/>
  <c r="JS15" i="15"/>
  <c r="JR15" i="15"/>
  <c r="JQ15" i="15"/>
  <c r="JP15" i="15"/>
  <c r="JO15" i="15"/>
  <c r="JN15" i="15"/>
  <c r="JM15" i="15"/>
  <c r="JL15" i="15"/>
  <c r="JK15" i="15"/>
  <c r="JJ15" i="15"/>
  <c r="JI15" i="15"/>
  <c r="JH15" i="15"/>
  <c r="JG15" i="15"/>
  <c r="JF15" i="15"/>
  <c r="JE15" i="15"/>
  <c r="JD15" i="15"/>
  <c r="JC15" i="15"/>
  <c r="JB15" i="15"/>
  <c r="JA15" i="15"/>
  <c r="IZ15" i="15"/>
  <c r="IY15" i="15"/>
  <c r="IX15" i="15"/>
  <c r="IW15" i="15"/>
  <c r="IV15" i="15"/>
  <c r="IU15" i="15"/>
  <c r="IT15" i="15"/>
  <c r="IS15" i="15"/>
  <c r="IR15" i="15"/>
  <c r="IQ15" i="15"/>
  <c r="IP15" i="15"/>
  <c r="IO15" i="15"/>
  <c r="IN15" i="15"/>
  <c r="IM15" i="15"/>
  <c r="IL15" i="15"/>
  <c r="IK15" i="15"/>
  <c r="IJ15" i="15"/>
  <c r="II15" i="15"/>
  <c r="IH15" i="15"/>
  <c r="IG15" i="15"/>
  <c r="IF15" i="15"/>
  <c r="IE15" i="15"/>
  <c r="ID15" i="15"/>
  <c r="IC15" i="15"/>
  <c r="IB15" i="15"/>
  <c r="IA15" i="15"/>
  <c r="HZ15" i="15"/>
  <c r="HY15" i="15"/>
  <c r="HX15" i="15"/>
  <c r="HW15" i="15"/>
  <c r="HV15" i="15"/>
  <c r="HU15" i="15"/>
  <c r="HT15" i="15"/>
  <c r="HS15" i="15"/>
  <c r="HR15" i="15"/>
  <c r="HQ15" i="15"/>
  <c r="HP15" i="15"/>
  <c r="HO15" i="15"/>
  <c r="HN15" i="15"/>
  <c r="HM15" i="15"/>
  <c r="HL15" i="15"/>
  <c r="HK15" i="15"/>
  <c r="HJ15" i="15"/>
  <c r="HI15" i="15"/>
  <c r="HH15" i="15"/>
  <c r="HG15" i="15"/>
  <c r="HF15" i="15"/>
  <c r="HE15" i="15"/>
  <c r="HD15" i="15"/>
  <c r="HC15" i="15"/>
  <c r="HB15" i="15"/>
  <c r="HA15" i="15"/>
  <c r="GZ15" i="15"/>
  <c r="GY15" i="15"/>
  <c r="GX15" i="15"/>
  <c r="GW15" i="15"/>
  <c r="GV15" i="15"/>
  <c r="GU15" i="15"/>
  <c r="GT15" i="15"/>
  <c r="GS15" i="15"/>
  <c r="GR15" i="15"/>
  <c r="GQ15" i="15"/>
  <c r="GP15" i="15"/>
  <c r="GO15" i="15"/>
  <c r="GN15" i="15"/>
  <c r="GM15" i="15"/>
  <c r="GL15" i="15"/>
  <c r="GK15" i="15"/>
  <c r="GJ15" i="15"/>
  <c r="GI15" i="15"/>
  <c r="GH15" i="15"/>
  <c r="GG15" i="15"/>
  <c r="GF15" i="15"/>
  <c r="GE15" i="15"/>
  <c r="GD15" i="15"/>
  <c r="GC15" i="15"/>
  <c r="GB15" i="15"/>
  <c r="GA15" i="15"/>
  <c r="FZ15" i="15"/>
  <c r="FY15" i="15"/>
  <c r="FX15" i="15"/>
  <c r="FW15" i="15"/>
  <c r="FV15" i="15"/>
  <c r="FU15" i="15"/>
  <c r="FT15" i="15"/>
  <c r="FS15" i="15"/>
  <c r="FR15" i="15"/>
  <c r="FQ15" i="15"/>
  <c r="FP15" i="15"/>
  <c r="FO15" i="15"/>
  <c r="FN15" i="15"/>
  <c r="FM15" i="15"/>
  <c r="FL15" i="15"/>
  <c r="FK15" i="15"/>
  <c r="FJ15" i="15"/>
  <c r="FI15" i="15"/>
  <c r="FH15" i="15"/>
  <c r="FG15" i="15"/>
  <c r="FF15" i="15"/>
  <c r="FE15" i="15"/>
  <c r="FD15" i="15"/>
  <c r="FC15" i="15"/>
  <c r="FB15" i="15"/>
  <c r="FA15" i="15"/>
  <c r="EZ15" i="15"/>
  <c r="EY15" i="15"/>
  <c r="EX15" i="15"/>
  <c r="EW15" i="15"/>
  <c r="EV15" i="15"/>
  <c r="EU15" i="15"/>
  <c r="ET15" i="15"/>
  <c r="ES15" i="15"/>
  <c r="ER15" i="15"/>
  <c r="EQ15" i="15"/>
  <c r="EP15" i="15"/>
  <c r="EO15" i="15"/>
  <c r="EN15" i="15"/>
  <c r="EM15" i="15"/>
  <c r="EL15" i="15"/>
  <c r="EK15" i="15"/>
  <c r="EJ15" i="15"/>
  <c r="EI15" i="15"/>
  <c r="EH15" i="15"/>
  <c r="EG15" i="15"/>
  <c r="EF15" i="15"/>
  <c r="EE15" i="15"/>
  <c r="ED15" i="15"/>
  <c r="EC15" i="15"/>
  <c r="EB15" i="15"/>
  <c r="EA15" i="15"/>
  <c r="DZ15" i="15"/>
  <c r="DY15" i="15"/>
  <c r="DX15" i="15"/>
  <c r="DW15" i="15"/>
  <c r="DV15" i="15"/>
  <c r="DU15" i="15"/>
  <c r="DT15" i="15"/>
  <c r="DS15" i="15"/>
  <c r="DR15" i="15"/>
  <c r="DQ15" i="15"/>
  <c r="DP15" i="15"/>
  <c r="DO15" i="15"/>
  <c r="DN15" i="15"/>
  <c r="DM15" i="15"/>
  <c r="DL15" i="15"/>
  <c r="DK15" i="15"/>
  <c r="DJ15" i="15"/>
  <c r="DI15" i="15"/>
  <c r="DH15" i="15"/>
  <c r="DG15" i="15"/>
  <c r="DF15" i="15"/>
  <c r="DE15" i="15"/>
  <c r="DD15" i="15"/>
  <c r="DC15" i="15"/>
  <c r="DB15" i="15"/>
  <c r="DA15" i="15"/>
  <c r="CZ15" i="15"/>
  <c r="CY15" i="15"/>
  <c r="CX15" i="15"/>
  <c r="CW15" i="15"/>
  <c r="CV15" i="15"/>
  <c r="CU15" i="15"/>
  <c r="CT15" i="15"/>
  <c r="CS15" i="15"/>
  <c r="CR15" i="15"/>
  <c r="CQ15" i="15"/>
  <c r="CP15" i="15"/>
  <c r="CO15" i="15"/>
  <c r="CN15" i="15"/>
  <c r="CM15" i="15"/>
  <c r="CL15" i="15"/>
  <c r="CK15" i="15"/>
  <c r="CJ15" i="15"/>
  <c r="CI15" i="15"/>
  <c r="CH15" i="15"/>
  <c r="CG15" i="15"/>
  <c r="CF15" i="15"/>
  <c r="CE15" i="15"/>
  <c r="CD15" i="15"/>
  <c r="CC15" i="15"/>
  <c r="CB15" i="15"/>
  <c r="CA15" i="15"/>
  <c r="BZ15" i="15"/>
  <c r="BY15" i="15"/>
  <c r="BX15" i="15"/>
  <c r="BW15" i="15"/>
  <c r="BV15" i="15"/>
  <c r="BU15" i="15"/>
  <c r="BT15" i="15"/>
  <c r="BS15" i="15"/>
  <c r="BR15" i="15"/>
  <c r="BQ15" i="15"/>
  <c r="BP15" i="15"/>
  <c r="BO15" i="15"/>
  <c r="BN15" i="15"/>
  <c r="BM15" i="15"/>
  <c r="BL15" i="15"/>
  <c r="BK15" i="15"/>
  <c r="BJ15" i="15"/>
  <c r="BI15" i="15"/>
  <c r="BH15" i="15"/>
  <c r="BG15" i="15"/>
  <c r="BF15" i="15"/>
  <c r="BE15" i="15"/>
  <c r="BD15" i="15"/>
  <c r="BC15" i="15"/>
  <c r="BB15" i="15"/>
  <c r="BA15" i="15"/>
  <c r="AZ15" i="15"/>
  <c r="AY15" i="15"/>
  <c r="AX15" i="15"/>
  <c r="AW15" i="15"/>
  <c r="AV15" i="15"/>
  <c r="AU15" i="15"/>
  <c r="AT15" i="15"/>
  <c r="AS15" i="15"/>
  <c r="AR15" i="15"/>
  <c r="AQ15" i="15"/>
  <c r="AP15" i="15"/>
  <c r="AO15" i="15"/>
  <c r="AN15" i="15"/>
  <c r="AM15" i="15"/>
  <c r="AL15" i="15"/>
  <c r="AK15" i="15"/>
  <c r="AJ15" i="15"/>
  <c r="AI15" i="15"/>
  <c r="AH15" i="15"/>
  <c r="AG15" i="15"/>
  <c r="AF15" i="15"/>
  <c r="AE15" i="15"/>
  <c r="AD15" i="15"/>
  <c r="AC15" i="15"/>
  <c r="AB15" i="15"/>
  <c r="AA15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KC14" i="15"/>
  <c r="KB14" i="15"/>
  <c r="KA14" i="15"/>
  <c r="JZ14" i="15"/>
  <c r="JY14" i="15"/>
  <c r="JX14" i="15"/>
  <c r="JW14" i="15"/>
  <c r="JV14" i="15"/>
  <c r="JU14" i="15"/>
  <c r="JT14" i="15"/>
  <c r="JS14" i="15"/>
  <c r="JR14" i="15"/>
  <c r="JQ14" i="15"/>
  <c r="JP14" i="15"/>
  <c r="JO14" i="15"/>
  <c r="JN14" i="15"/>
  <c r="JM14" i="15"/>
  <c r="JL14" i="15"/>
  <c r="JK14" i="15"/>
  <c r="JJ14" i="15"/>
  <c r="JI14" i="15"/>
  <c r="JH14" i="15"/>
  <c r="JG14" i="15"/>
  <c r="JF14" i="15"/>
  <c r="JE14" i="15"/>
  <c r="JD14" i="15"/>
  <c r="JC14" i="15"/>
  <c r="JB14" i="15"/>
  <c r="JA14" i="15"/>
  <c r="IZ14" i="15"/>
  <c r="IY14" i="15"/>
  <c r="IX14" i="15"/>
  <c r="IW14" i="15"/>
  <c r="IV14" i="15"/>
  <c r="IU14" i="15"/>
  <c r="IT14" i="15"/>
  <c r="IS14" i="15"/>
  <c r="IR14" i="15"/>
  <c r="IQ14" i="15"/>
  <c r="IP14" i="15"/>
  <c r="IO14" i="15"/>
  <c r="IN14" i="15"/>
  <c r="IM14" i="15"/>
  <c r="IL14" i="15"/>
  <c r="IK14" i="15"/>
  <c r="IJ14" i="15"/>
  <c r="II14" i="15"/>
  <c r="IH14" i="15"/>
  <c r="IG14" i="15"/>
  <c r="IF14" i="15"/>
  <c r="IE14" i="15"/>
  <c r="ID14" i="15"/>
  <c r="IC14" i="15"/>
  <c r="IB14" i="15"/>
  <c r="IA14" i="15"/>
  <c r="HZ14" i="15"/>
  <c r="HY14" i="15"/>
  <c r="HX14" i="15"/>
  <c r="HW14" i="15"/>
  <c r="HV14" i="15"/>
  <c r="HU14" i="15"/>
  <c r="HT14" i="15"/>
  <c r="HS14" i="15"/>
  <c r="HR14" i="15"/>
  <c r="HQ14" i="15"/>
  <c r="HP14" i="15"/>
  <c r="HO14" i="15"/>
  <c r="HN14" i="15"/>
  <c r="HM14" i="15"/>
  <c r="HL14" i="15"/>
  <c r="HK14" i="15"/>
  <c r="HJ14" i="15"/>
  <c r="HI14" i="15"/>
  <c r="HH14" i="15"/>
  <c r="HG14" i="15"/>
  <c r="HF14" i="15"/>
  <c r="HE14" i="15"/>
  <c r="HD14" i="15"/>
  <c r="HC14" i="15"/>
  <c r="HB14" i="15"/>
  <c r="HA14" i="15"/>
  <c r="GZ14" i="15"/>
  <c r="GY14" i="15"/>
  <c r="GX14" i="15"/>
  <c r="GW14" i="15"/>
  <c r="GV14" i="15"/>
  <c r="GU14" i="15"/>
  <c r="GT14" i="15"/>
  <c r="GS14" i="15"/>
  <c r="GR14" i="15"/>
  <c r="GQ14" i="15"/>
  <c r="GP14" i="15"/>
  <c r="GO14" i="15"/>
  <c r="GN14" i="15"/>
  <c r="GM14" i="15"/>
  <c r="GL14" i="15"/>
  <c r="GK14" i="15"/>
  <c r="GJ14" i="15"/>
  <c r="GI14" i="15"/>
  <c r="GH14" i="15"/>
  <c r="GG14" i="15"/>
  <c r="GF14" i="15"/>
  <c r="GE14" i="15"/>
  <c r="GD14" i="15"/>
  <c r="GC14" i="15"/>
  <c r="GB14" i="15"/>
  <c r="GA14" i="15"/>
  <c r="FZ14" i="15"/>
  <c r="FY14" i="15"/>
  <c r="FX14" i="15"/>
  <c r="FW14" i="15"/>
  <c r="FV14" i="15"/>
  <c r="FU14" i="15"/>
  <c r="FT14" i="15"/>
  <c r="FS14" i="15"/>
  <c r="FR14" i="15"/>
  <c r="FQ14" i="15"/>
  <c r="FP14" i="15"/>
  <c r="FO14" i="15"/>
  <c r="FN14" i="15"/>
  <c r="FM14" i="15"/>
  <c r="FL14" i="15"/>
  <c r="FK14" i="15"/>
  <c r="FJ14" i="15"/>
  <c r="FI14" i="15"/>
  <c r="FH14" i="15"/>
  <c r="FG14" i="15"/>
  <c r="FF14" i="15"/>
  <c r="FE14" i="15"/>
  <c r="FD14" i="15"/>
  <c r="FC14" i="15"/>
  <c r="FB14" i="15"/>
  <c r="FA14" i="15"/>
  <c r="EZ14" i="15"/>
  <c r="EY14" i="15"/>
  <c r="EX14" i="15"/>
  <c r="EW14" i="15"/>
  <c r="EV14" i="15"/>
  <c r="EU14" i="15"/>
  <c r="ET14" i="15"/>
  <c r="ES14" i="15"/>
  <c r="ER14" i="15"/>
  <c r="EQ14" i="15"/>
  <c r="EP14" i="15"/>
  <c r="EO14" i="15"/>
  <c r="EN14" i="15"/>
  <c r="EM14" i="15"/>
  <c r="EL14" i="15"/>
  <c r="EK14" i="15"/>
  <c r="EJ14" i="15"/>
  <c r="EI14" i="15"/>
  <c r="EH14" i="15"/>
  <c r="EG14" i="15"/>
  <c r="EF14" i="15"/>
  <c r="EE14" i="15"/>
  <c r="ED14" i="15"/>
  <c r="EC14" i="15"/>
  <c r="EB14" i="15"/>
  <c r="EA14" i="15"/>
  <c r="DZ14" i="15"/>
  <c r="DY14" i="15"/>
  <c r="DX14" i="15"/>
  <c r="DW14" i="15"/>
  <c r="DV14" i="15"/>
  <c r="DU14" i="15"/>
  <c r="DT14" i="15"/>
  <c r="DS14" i="15"/>
  <c r="DR14" i="15"/>
  <c r="DQ14" i="15"/>
  <c r="DP14" i="15"/>
  <c r="DO14" i="15"/>
  <c r="DN14" i="15"/>
  <c r="DM14" i="15"/>
  <c r="DL14" i="15"/>
  <c r="DK14" i="15"/>
  <c r="DJ14" i="15"/>
  <c r="DI14" i="15"/>
  <c r="DH14" i="15"/>
  <c r="DG14" i="15"/>
  <c r="DF14" i="15"/>
  <c r="DE14" i="15"/>
  <c r="DD14" i="15"/>
  <c r="DC14" i="15"/>
  <c r="DB14" i="15"/>
  <c r="DA14" i="15"/>
  <c r="CZ14" i="15"/>
  <c r="CY14" i="15"/>
  <c r="CX14" i="15"/>
  <c r="CW14" i="15"/>
  <c r="CV14" i="15"/>
  <c r="CU14" i="15"/>
  <c r="CT14" i="15"/>
  <c r="CS14" i="15"/>
  <c r="CR14" i="15"/>
  <c r="CQ14" i="15"/>
  <c r="CP14" i="15"/>
  <c r="CO14" i="15"/>
  <c r="CN14" i="15"/>
  <c r="CM14" i="15"/>
  <c r="CL14" i="15"/>
  <c r="CK14" i="15"/>
  <c r="CJ14" i="15"/>
  <c r="CI14" i="15"/>
  <c r="CH14" i="15"/>
  <c r="CG14" i="15"/>
  <c r="CF14" i="15"/>
  <c r="CE14" i="15"/>
  <c r="CD14" i="15"/>
  <c r="CC14" i="15"/>
  <c r="CB14" i="15"/>
  <c r="CA14" i="15"/>
  <c r="BZ14" i="15"/>
  <c r="BY14" i="15"/>
  <c r="BX14" i="15"/>
  <c r="BW14" i="15"/>
  <c r="BV14" i="15"/>
  <c r="BU14" i="15"/>
  <c r="BT14" i="15"/>
  <c r="BS14" i="15"/>
  <c r="BR14" i="15"/>
  <c r="BQ14" i="15"/>
  <c r="BP14" i="15"/>
  <c r="BO14" i="15"/>
  <c r="BN14" i="15"/>
  <c r="BM14" i="15"/>
  <c r="BL14" i="15"/>
  <c r="BK14" i="15"/>
  <c r="BJ14" i="15"/>
  <c r="BI14" i="15"/>
  <c r="BH14" i="15"/>
  <c r="BG14" i="15"/>
  <c r="BF14" i="15"/>
  <c r="BE14" i="15"/>
  <c r="BD14" i="15"/>
  <c r="BC14" i="15"/>
  <c r="BB14" i="15"/>
  <c r="BA14" i="15"/>
  <c r="AZ14" i="15"/>
  <c r="AY14" i="15"/>
  <c r="AX14" i="15"/>
  <c r="AW14" i="15"/>
  <c r="AV14" i="15"/>
  <c r="AU14" i="15"/>
  <c r="AT14" i="15"/>
  <c r="AS14" i="15"/>
  <c r="AR14" i="15"/>
  <c r="AQ14" i="15"/>
  <c r="AP14" i="15"/>
  <c r="AO14" i="15"/>
  <c r="AN14" i="15"/>
  <c r="AM14" i="15"/>
  <c r="AL14" i="15"/>
  <c r="AK14" i="15"/>
  <c r="AJ14" i="15"/>
  <c r="AI14" i="15"/>
  <c r="AH14" i="15"/>
  <c r="AG14" i="15"/>
  <c r="AF14" i="15"/>
  <c r="AE14" i="15"/>
  <c r="AD14" i="15"/>
  <c r="AC14" i="15"/>
  <c r="AB14" i="15"/>
  <c r="AA14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KC13" i="15"/>
  <c r="KB13" i="15"/>
  <c r="KA13" i="15"/>
  <c r="JZ13" i="15"/>
  <c r="JY13" i="15"/>
  <c r="JX13" i="15"/>
  <c r="JW13" i="15"/>
  <c r="JV13" i="15"/>
  <c r="JU13" i="15"/>
  <c r="JT13" i="15"/>
  <c r="JS13" i="15"/>
  <c r="JR13" i="15"/>
  <c r="JQ13" i="15"/>
  <c r="JP13" i="15"/>
  <c r="JO13" i="15"/>
  <c r="JN13" i="15"/>
  <c r="JM13" i="15"/>
  <c r="JL13" i="15"/>
  <c r="JK13" i="15"/>
  <c r="JJ13" i="15"/>
  <c r="JI13" i="15"/>
  <c r="JH13" i="15"/>
  <c r="JG13" i="15"/>
  <c r="JF13" i="15"/>
  <c r="JE13" i="15"/>
  <c r="JD13" i="15"/>
  <c r="JC13" i="15"/>
  <c r="JB13" i="15"/>
  <c r="JA13" i="15"/>
  <c r="IZ13" i="15"/>
  <c r="IY13" i="15"/>
  <c r="IX13" i="15"/>
  <c r="IW13" i="15"/>
  <c r="IV13" i="15"/>
  <c r="IU13" i="15"/>
  <c r="IT13" i="15"/>
  <c r="IS13" i="15"/>
  <c r="IR13" i="15"/>
  <c r="IQ13" i="15"/>
  <c r="IP13" i="15"/>
  <c r="IO13" i="15"/>
  <c r="IN13" i="15"/>
  <c r="IM13" i="15"/>
  <c r="IL13" i="15"/>
  <c r="IK13" i="15"/>
  <c r="IJ13" i="15"/>
  <c r="II13" i="15"/>
  <c r="IH13" i="15"/>
  <c r="IG13" i="15"/>
  <c r="IF13" i="15"/>
  <c r="IE13" i="15"/>
  <c r="ID13" i="15"/>
  <c r="IC13" i="15"/>
  <c r="IB13" i="15"/>
  <c r="IA13" i="15"/>
  <c r="HZ13" i="15"/>
  <c r="HY13" i="15"/>
  <c r="HX13" i="15"/>
  <c r="HW13" i="15"/>
  <c r="HV13" i="15"/>
  <c r="HU13" i="15"/>
  <c r="HT13" i="15"/>
  <c r="HS13" i="15"/>
  <c r="HR13" i="15"/>
  <c r="HQ13" i="15"/>
  <c r="HP13" i="15"/>
  <c r="HO13" i="15"/>
  <c r="HN13" i="15"/>
  <c r="HM13" i="15"/>
  <c r="HL13" i="15"/>
  <c r="HK13" i="15"/>
  <c r="HJ13" i="15"/>
  <c r="HI13" i="15"/>
  <c r="HH13" i="15"/>
  <c r="HG13" i="15"/>
  <c r="HF13" i="15"/>
  <c r="HE13" i="15"/>
  <c r="HD13" i="15"/>
  <c r="HC13" i="15"/>
  <c r="HB13" i="15"/>
  <c r="HA13" i="15"/>
  <c r="GZ13" i="15"/>
  <c r="GY13" i="15"/>
  <c r="GX13" i="15"/>
  <c r="GW13" i="15"/>
  <c r="GV13" i="15"/>
  <c r="GU13" i="15"/>
  <c r="GT13" i="15"/>
  <c r="GS13" i="15"/>
  <c r="GR13" i="15"/>
  <c r="GQ13" i="15"/>
  <c r="GP13" i="15"/>
  <c r="GO13" i="15"/>
  <c r="GN13" i="15"/>
  <c r="GM13" i="15"/>
  <c r="GL13" i="15"/>
  <c r="GK13" i="15"/>
  <c r="GJ13" i="15"/>
  <c r="GI13" i="15"/>
  <c r="GH13" i="15"/>
  <c r="GG13" i="15"/>
  <c r="GF13" i="15"/>
  <c r="GE13" i="15"/>
  <c r="GD13" i="15"/>
  <c r="GC13" i="15"/>
  <c r="GB13" i="15"/>
  <c r="GA13" i="15"/>
  <c r="FZ13" i="15"/>
  <c r="FY13" i="15"/>
  <c r="FX13" i="15"/>
  <c r="FW13" i="15"/>
  <c r="FV13" i="15"/>
  <c r="FU13" i="15"/>
  <c r="FT13" i="15"/>
  <c r="FS13" i="15"/>
  <c r="FR13" i="15"/>
  <c r="FQ13" i="15"/>
  <c r="FP13" i="15"/>
  <c r="FO13" i="15"/>
  <c r="FN13" i="15"/>
  <c r="FM13" i="15"/>
  <c r="FL13" i="15"/>
  <c r="FK13" i="15"/>
  <c r="FJ13" i="15"/>
  <c r="FI13" i="15"/>
  <c r="FH13" i="15"/>
  <c r="FG13" i="15"/>
  <c r="FF13" i="15"/>
  <c r="FE13" i="15"/>
  <c r="FD13" i="15"/>
  <c r="FC13" i="15"/>
  <c r="FB13" i="15"/>
  <c r="FA13" i="15"/>
  <c r="EZ13" i="15"/>
  <c r="EY13" i="15"/>
  <c r="EX13" i="15"/>
  <c r="EW13" i="15"/>
  <c r="EV13" i="15"/>
  <c r="EU13" i="15"/>
  <c r="ET13" i="15"/>
  <c r="ES13" i="15"/>
  <c r="ER13" i="15"/>
  <c r="EQ13" i="15"/>
  <c r="EP13" i="15"/>
  <c r="EO13" i="15"/>
  <c r="EN13" i="15"/>
  <c r="EM13" i="15"/>
  <c r="EL13" i="15"/>
  <c r="EK13" i="15"/>
  <c r="EJ13" i="15"/>
  <c r="EI13" i="15"/>
  <c r="EH13" i="15"/>
  <c r="EG13" i="15"/>
  <c r="EF13" i="15"/>
  <c r="EE13" i="15"/>
  <c r="ED13" i="15"/>
  <c r="EC13" i="15"/>
  <c r="EB13" i="15"/>
  <c r="EA13" i="15"/>
  <c r="DZ13" i="15"/>
  <c r="DY13" i="15"/>
  <c r="DX13" i="15"/>
  <c r="DW13" i="15"/>
  <c r="DV13" i="15"/>
  <c r="DU13" i="15"/>
  <c r="DT13" i="15"/>
  <c r="DS13" i="15"/>
  <c r="DR13" i="15"/>
  <c r="DQ13" i="15"/>
  <c r="DP13" i="15"/>
  <c r="DO13" i="15"/>
  <c r="DN13" i="15"/>
  <c r="DM13" i="15"/>
  <c r="DL13" i="15"/>
  <c r="DK13" i="15"/>
  <c r="DJ13" i="15"/>
  <c r="DI13" i="15"/>
  <c r="DH13" i="15"/>
  <c r="DG13" i="15"/>
  <c r="DF13" i="15"/>
  <c r="DE13" i="15"/>
  <c r="DD13" i="15"/>
  <c r="DC13" i="15"/>
  <c r="DB13" i="15"/>
  <c r="DA13" i="15"/>
  <c r="CZ13" i="15"/>
  <c r="CY13" i="15"/>
  <c r="CX13" i="15"/>
  <c r="CW13" i="15"/>
  <c r="CV13" i="15"/>
  <c r="CU13" i="15"/>
  <c r="CT13" i="15"/>
  <c r="CS13" i="15"/>
  <c r="CR13" i="15"/>
  <c r="CQ13" i="15"/>
  <c r="CP13" i="15"/>
  <c r="CO13" i="15"/>
  <c r="CN13" i="15"/>
  <c r="CM13" i="15"/>
  <c r="CL13" i="15"/>
  <c r="CK13" i="15"/>
  <c r="CJ13" i="15"/>
  <c r="CI13" i="15"/>
  <c r="CH13" i="15"/>
  <c r="CG13" i="15"/>
  <c r="CF13" i="15"/>
  <c r="CE13" i="15"/>
  <c r="CD13" i="15"/>
  <c r="CC13" i="15"/>
  <c r="CB13" i="15"/>
  <c r="CA13" i="15"/>
  <c r="BZ13" i="15"/>
  <c r="BY13" i="15"/>
  <c r="BX13" i="15"/>
  <c r="BW13" i="15"/>
  <c r="BV13" i="15"/>
  <c r="BU13" i="15"/>
  <c r="BT13" i="15"/>
  <c r="BS13" i="15"/>
  <c r="BR13" i="15"/>
  <c r="BQ13" i="15"/>
  <c r="BP13" i="15"/>
  <c r="BO13" i="15"/>
  <c r="BN13" i="15"/>
  <c r="BM13" i="15"/>
  <c r="BL13" i="15"/>
  <c r="BK13" i="15"/>
  <c r="BJ13" i="15"/>
  <c r="BI13" i="15"/>
  <c r="BH13" i="15"/>
  <c r="BG13" i="15"/>
  <c r="BF13" i="15"/>
  <c r="BE13" i="15"/>
  <c r="BD13" i="15"/>
  <c r="BC13" i="15"/>
  <c r="BB13" i="15"/>
  <c r="BA13" i="15"/>
  <c r="AZ13" i="15"/>
  <c r="AY13" i="15"/>
  <c r="AX13" i="15"/>
  <c r="AW13" i="15"/>
  <c r="AV13" i="15"/>
  <c r="AU13" i="15"/>
  <c r="AT13" i="15"/>
  <c r="AS13" i="15"/>
  <c r="AR13" i="15"/>
  <c r="AQ13" i="15"/>
  <c r="AP13" i="15"/>
  <c r="AO13" i="15"/>
  <c r="AN13" i="15"/>
  <c r="AM13" i="15"/>
  <c r="AL13" i="15"/>
  <c r="AK13" i="15"/>
  <c r="AJ13" i="15"/>
  <c r="AI13" i="15"/>
  <c r="AH13" i="15"/>
  <c r="AG13" i="15"/>
  <c r="AF13" i="15"/>
  <c r="AE13" i="15"/>
  <c r="AD13" i="15"/>
  <c r="AC13" i="15"/>
  <c r="AB13" i="15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KC12" i="15"/>
  <c r="KB12" i="15"/>
  <c r="KA12" i="15"/>
  <c r="JZ12" i="15"/>
  <c r="JY12" i="15"/>
  <c r="JX12" i="15"/>
  <c r="JW12" i="15"/>
  <c r="JV12" i="15"/>
  <c r="JU12" i="15"/>
  <c r="JT12" i="15"/>
  <c r="JS12" i="15"/>
  <c r="JR12" i="15"/>
  <c r="JQ12" i="15"/>
  <c r="JP12" i="15"/>
  <c r="JO12" i="15"/>
  <c r="JN12" i="15"/>
  <c r="JM12" i="15"/>
  <c r="JL12" i="15"/>
  <c r="JK12" i="15"/>
  <c r="JJ12" i="15"/>
  <c r="JI12" i="15"/>
  <c r="JH12" i="15"/>
  <c r="JG12" i="15"/>
  <c r="JF12" i="15"/>
  <c r="JE12" i="15"/>
  <c r="JD12" i="15"/>
  <c r="JC12" i="15"/>
  <c r="JB12" i="15"/>
  <c r="JA12" i="15"/>
  <c r="IZ12" i="15"/>
  <c r="IY12" i="15"/>
  <c r="IX12" i="15"/>
  <c r="IW12" i="15"/>
  <c r="IV12" i="15"/>
  <c r="IU12" i="15"/>
  <c r="IT12" i="15"/>
  <c r="IS12" i="15"/>
  <c r="IR12" i="15"/>
  <c r="IQ12" i="15"/>
  <c r="IP12" i="15"/>
  <c r="IO12" i="15"/>
  <c r="IN12" i="15"/>
  <c r="IM12" i="15"/>
  <c r="IL12" i="15"/>
  <c r="IK12" i="15"/>
  <c r="IJ12" i="15"/>
  <c r="II12" i="15"/>
  <c r="IH12" i="15"/>
  <c r="IG12" i="15"/>
  <c r="IF12" i="15"/>
  <c r="IE12" i="15"/>
  <c r="ID12" i="15"/>
  <c r="IC12" i="15"/>
  <c r="IB12" i="15"/>
  <c r="IA12" i="15"/>
  <c r="HZ12" i="15"/>
  <c r="HY12" i="15"/>
  <c r="HX12" i="15"/>
  <c r="HW12" i="15"/>
  <c r="HV12" i="15"/>
  <c r="HU12" i="15"/>
  <c r="HT12" i="15"/>
  <c r="HS12" i="15"/>
  <c r="HR12" i="15"/>
  <c r="HQ12" i="15"/>
  <c r="HP12" i="15"/>
  <c r="HO12" i="15"/>
  <c r="HN12" i="15"/>
  <c r="HM12" i="15"/>
  <c r="HL12" i="15"/>
  <c r="HK12" i="15"/>
  <c r="HJ12" i="15"/>
  <c r="HI12" i="15"/>
  <c r="HH12" i="15"/>
  <c r="HG12" i="15"/>
  <c r="HF12" i="15"/>
  <c r="HE12" i="15"/>
  <c r="HD12" i="15"/>
  <c r="HC12" i="15"/>
  <c r="HB12" i="15"/>
  <c r="HA12" i="15"/>
  <c r="GZ12" i="15"/>
  <c r="GY12" i="15"/>
  <c r="GX12" i="15"/>
  <c r="GW12" i="15"/>
  <c r="GV12" i="15"/>
  <c r="GU12" i="15"/>
  <c r="GT12" i="15"/>
  <c r="GS12" i="15"/>
  <c r="GR12" i="15"/>
  <c r="GQ12" i="15"/>
  <c r="GP12" i="15"/>
  <c r="GO12" i="15"/>
  <c r="GN12" i="15"/>
  <c r="GM12" i="15"/>
  <c r="GL12" i="15"/>
  <c r="GK12" i="15"/>
  <c r="GJ12" i="15"/>
  <c r="GI12" i="15"/>
  <c r="GH12" i="15"/>
  <c r="GG12" i="15"/>
  <c r="GF12" i="15"/>
  <c r="GE12" i="15"/>
  <c r="GD12" i="15"/>
  <c r="GC12" i="15"/>
  <c r="GB12" i="15"/>
  <c r="GA12" i="15"/>
  <c r="FZ12" i="15"/>
  <c r="FY12" i="15"/>
  <c r="FX12" i="15"/>
  <c r="FW12" i="15"/>
  <c r="FV12" i="15"/>
  <c r="FU12" i="15"/>
  <c r="FT12" i="15"/>
  <c r="FS12" i="15"/>
  <c r="FR12" i="15"/>
  <c r="FQ12" i="15"/>
  <c r="FP12" i="15"/>
  <c r="FO12" i="15"/>
  <c r="FN12" i="15"/>
  <c r="FM12" i="15"/>
  <c r="FL12" i="15"/>
  <c r="FK12" i="15"/>
  <c r="FJ12" i="15"/>
  <c r="FI12" i="15"/>
  <c r="FH12" i="15"/>
  <c r="FG12" i="15"/>
  <c r="FF12" i="15"/>
  <c r="FE12" i="15"/>
  <c r="FD12" i="15"/>
  <c r="FC12" i="15"/>
  <c r="FB12" i="15"/>
  <c r="FA12" i="15"/>
  <c r="EZ12" i="15"/>
  <c r="EY12" i="15"/>
  <c r="EX12" i="15"/>
  <c r="EW12" i="15"/>
  <c r="EV12" i="15"/>
  <c r="EU12" i="15"/>
  <c r="ET12" i="15"/>
  <c r="ES12" i="15"/>
  <c r="ER12" i="15"/>
  <c r="EQ12" i="15"/>
  <c r="EP12" i="15"/>
  <c r="EO12" i="15"/>
  <c r="EN12" i="15"/>
  <c r="EM12" i="15"/>
  <c r="EL12" i="15"/>
  <c r="EK12" i="15"/>
  <c r="EJ12" i="15"/>
  <c r="EI12" i="15"/>
  <c r="EH12" i="15"/>
  <c r="EG12" i="15"/>
  <c r="EF12" i="15"/>
  <c r="EE12" i="15"/>
  <c r="ED12" i="15"/>
  <c r="EC12" i="15"/>
  <c r="EB12" i="15"/>
  <c r="EA12" i="15"/>
  <c r="DZ12" i="15"/>
  <c r="DY12" i="15"/>
  <c r="DX12" i="15"/>
  <c r="DW12" i="15"/>
  <c r="DV12" i="15"/>
  <c r="DU12" i="15"/>
  <c r="DT12" i="15"/>
  <c r="DS12" i="15"/>
  <c r="DR12" i="15"/>
  <c r="DQ12" i="15"/>
  <c r="DP12" i="15"/>
  <c r="DO12" i="15"/>
  <c r="DN12" i="15"/>
  <c r="DM12" i="15"/>
  <c r="DL12" i="15"/>
  <c r="DK12" i="15"/>
  <c r="DJ12" i="15"/>
  <c r="DI12" i="15"/>
  <c r="DH12" i="15"/>
  <c r="DG12" i="15"/>
  <c r="DF12" i="15"/>
  <c r="DE12" i="15"/>
  <c r="DD12" i="15"/>
  <c r="DC12" i="15"/>
  <c r="DB12" i="15"/>
  <c r="DA12" i="15"/>
  <c r="CZ12" i="15"/>
  <c r="CY12" i="15"/>
  <c r="CX12" i="15"/>
  <c r="CW12" i="15"/>
  <c r="CV12" i="15"/>
  <c r="CU12" i="15"/>
  <c r="CT12" i="15"/>
  <c r="CS12" i="15"/>
  <c r="CR12" i="15"/>
  <c r="CQ12" i="15"/>
  <c r="CP12" i="15"/>
  <c r="CO12" i="15"/>
  <c r="CN12" i="15"/>
  <c r="CM12" i="15"/>
  <c r="CL12" i="15"/>
  <c r="CK12" i="15"/>
  <c r="CJ12" i="15"/>
  <c r="CI12" i="15"/>
  <c r="CH12" i="15"/>
  <c r="CG12" i="15"/>
  <c r="CF12" i="15"/>
  <c r="CE12" i="15"/>
  <c r="CD12" i="15"/>
  <c r="CC12" i="15"/>
  <c r="CB12" i="15"/>
  <c r="CA12" i="15"/>
  <c r="BZ12" i="15"/>
  <c r="BY12" i="15"/>
  <c r="BX12" i="15"/>
  <c r="BW12" i="15"/>
  <c r="BV12" i="15"/>
  <c r="BU12" i="15"/>
  <c r="BT12" i="15"/>
  <c r="BS12" i="15"/>
  <c r="BR12" i="15"/>
  <c r="BQ12" i="15"/>
  <c r="BP12" i="15"/>
  <c r="BO12" i="15"/>
  <c r="BN12" i="15"/>
  <c r="BM12" i="15"/>
  <c r="BL12" i="15"/>
  <c r="BK12" i="15"/>
  <c r="BJ12" i="15"/>
  <c r="BI12" i="15"/>
  <c r="BH12" i="15"/>
  <c r="BG12" i="15"/>
  <c r="BF12" i="15"/>
  <c r="BE12" i="15"/>
  <c r="BD12" i="15"/>
  <c r="BC12" i="15"/>
  <c r="BB12" i="15"/>
  <c r="BA12" i="15"/>
  <c r="AZ12" i="15"/>
  <c r="AY12" i="15"/>
  <c r="AX12" i="15"/>
  <c r="AW12" i="15"/>
  <c r="AV12" i="15"/>
  <c r="AU12" i="15"/>
  <c r="AT12" i="15"/>
  <c r="AS12" i="15"/>
  <c r="AR12" i="15"/>
  <c r="AQ12" i="15"/>
  <c r="AP12" i="15"/>
  <c r="AO12" i="15"/>
  <c r="AN12" i="15"/>
  <c r="AM12" i="15"/>
  <c r="AL12" i="15"/>
  <c r="AK12" i="15"/>
  <c r="AJ12" i="15"/>
  <c r="AI12" i="15"/>
  <c r="AH12" i="15"/>
  <c r="AG12" i="15"/>
  <c r="AF12" i="15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KC11" i="15"/>
  <c r="KB11" i="15"/>
  <c r="KA11" i="15"/>
  <c r="JZ11" i="15"/>
  <c r="JY11" i="15"/>
  <c r="JX11" i="15"/>
  <c r="JW11" i="15"/>
  <c r="JV11" i="15"/>
  <c r="JU11" i="15"/>
  <c r="JT11" i="15"/>
  <c r="JS11" i="15"/>
  <c r="JR11" i="15"/>
  <c r="JQ11" i="15"/>
  <c r="JP11" i="15"/>
  <c r="JO11" i="15"/>
  <c r="JN11" i="15"/>
  <c r="JM11" i="15"/>
  <c r="JL11" i="15"/>
  <c r="JK11" i="15"/>
  <c r="JJ11" i="15"/>
  <c r="JI11" i="15"/>
  <c r="JH11" i="15"/>
  <c r="JG11" i="15"/>
  <c r="JF11" i="15"/>
  <c r="JE11" i="15"/>
  <c r="JD11" i="15"/>
  <c r="JC11" i="15"/>
  <c r="JB11" i="15"/>
  <c r="JA11" i="15"/>
  <c r="IZ11" i="15"/>
  <c r="IY11" i="15"/>
  <c r="IX11" i="15"/>
  <c r="IW11" i="15"/>
  <c r="IV11" i="15"/>
  <c r="IU11" i="15"/>
  <c r="IT11" i="15"/>
  <c r="IS11" i="15"/>
  <c r="IR11" i="15"/>
  <c r="IQ11" i="15"/>
  <c r="IP11" i="15"/>
  <c r="IO11" i="15"/>
  <c r="IN11" i="15"/>
  <c r="IM11" i="15"/>
  <c r="IL11" i="15"/>
  <c r="IK11" i="15"/>
  <c r="IJ11" i="15"/>
  <c r="II11" i="15"/>
  <c r="IH11" i="15"/>
  <c r="IG11" i="15"/>
  <c r="IF11" i="15"/>
  <c r="IE11" i="15"/>
  <c r="ID11" i="15"/>
  <c r="IC11" i="15"/>
  <c r="IB11" i="15"/>
  <c r="IA11" i="15"/>
  <c r="HZ11" i="15"/>
  <c r="HY11" i="15"/>
  <c r="HX11" i="15"/>
  <c r="HW11" i="15"/>
  <c r="HV11" i="15"/>
  <c r="HU11" i="15"/>
  <c r="HT11" i="15"/>
  <c r="HS11" i="15"/>
  <c r="HR11" i="15"/>
  <c r="HQ11" i="15"/>
  <c r="HP11" i="15"/>
  <c r="HO11" i="15"/>
  <c r="HN11" i="15"/>
  <c r="HM11" i="15"/>
  <c r="HL11" i="15"/>
  <c r="HK11" i="15"/>
  <c r="HJ11" i="15"/>
  <c r="HI11" i="15"/>
  <c r="HH11" i="15"/>
  <c r="HG11" i="15"/>
  <c r="HF11" i="15"/>
  <c r="HE11" i="15"/>
  <c r="HD11" i="15"/>
  <c r="HC11" i="15"/>
  <c r="HB11" i="15"/>
  <c r="HA11" i="15"/>
  <c r="GZ11" i="15"/>
  <c r="GY11" i="15"/>
  <c r="GX11" i="15"/>
  <c r="GW11" i="15"/>
  <c r="GV11" i="15"/>
  <c r="GU11" i="15"/>
  <c r="GT11" i="15"/>
  <c r="GS11" i="15"/>
  <c r="GR11" i="15"/>
  <c r="GQ11" i="15"/>
  <c r="GP11" i="15"/>
  <c r="GO11" i="15"/>
  <c r="GN11" i="15"/>
  <c r="GM11" i="15"/>
  <c r="GL11" i="15"/>
  <c r="GK11" i="15"/>
  <c r="GJ11" i="15"/>
  <c r="GI11" i="15"/>
  <c r="GH11" i="15"/>
  <c r="GG11" i="15"/>
  <c r="GF11" i="15"/>
  <c r="GE11" i="15"/>
  <c r="GD11" i="15"/>
  <c r="GC11" i="15"/>
  <c r="GB11" i="15"/>
  <c r="GA11" i="15"/>
  <c r="FZ11" i="15"/>
  <c r="FY11" i="15"/>
  <c r="FX11" i="15"/>
  <c r="FW11" i="15"/>
  <c r="FV11" i="15"/>
  <c r="FU11" i="15"/>
  <c r="FT11" i="15"/>
  <c r="FS11" i="15"/>
  <c r="FR11" i="15"/>
  <c r="FQ11" i="15"/>
  <c r="FP11" i="15"/>
  <c r="FO11" i="15"/>
  <c r="FN11" i="15"/>
  <c r="FM11" i="15"/>
  <c r="FL11" i="15"/>
  <c r="FK11" i="15"/>
  <c r="FJ11" i="15"/>
  <c r="FI11" i="15"/>
  <c r="FH11" i="15"/>
  <c r="FG11" i="15"/>
  <c r="FF11" i="15"/>
  <c r="FE11" i="15"/>
  <c r="FD11" i="15"/>
  <c r="FC11" i="15"/>
  <c r="FB11" i="15"/>
  <c r="FA11" i="15"/>
  <c r="EZ11" i="15"/>
  <c r="EY11" i="15"/>
  <c r="EX11" i="15"/>
  <c r="EW11" i="15"/>
  <c r="EV11" i="15"/>
  <c r="EU11" i="15"/>
  <c r="ET11" i="15"/>
  <c r="ES11" i="15"/>
  <c r="ER11" i="15"/>
  <c r="EQ11" i="15"/>
  <c r="EP11" i="15"/>
  <c r="EO11" i="15"/>
  <c r="EN11" i="15"/>
  <c r="EM11" i="15"/>
  <c r="EL11" i="15"/>
  <c r="EK11" i="15"/>
  <c r="EJ11" i="15"/>
  <c r="EI11" i="15"/>
  <c r="EH11" i="15"/>
  <c r="EG11" i="15"/>
  <c r="EF11" i="15"/>
  <c r="EE11" i="15"/>
  <c r="ED11" i="15"/>
  <c r="EC11" i="15"/>
  <c r="EB11" i="15"/>
  <c r="EA11" i="15"/>
  <c r="DZ11" i="15"/>
  <c r="DY11" i="15"/>
  <c r="DX11" i="15"/>
  <c r="DW11" i="15"/>
  <c r="DV11" i="15"/>
  <c r="DU11" i="15"/>
  <c r="DT11" i="15"/>
  <c r="DS11" i="15"/>
  <c r="DR11" i="15"/>
  <c r="DQ11" i="15"/>
  <c r="DP11" i="15"/>
  <c r="DO11" i="15"/>
  <c r="DN11" i="15"/>
  <c r="DM11" i="15"/>
  <c r="DL11" i="15"/>
  <c r="DK11" i="15"/>
  <c r="DJ11" i="15"/>
  <c r="DI11" i="15"/>
  <c r="DH11" i="15"/>
  <c r="DG11" i="15"/>
  <c r="DF11" i="15"/>
  <c r="DE11" i="15"/>
  <c r="DD11" i="15"/>
  <c r="DC11" i="15"/>
  <c r="DB11" i="15"/>
  <c r="DA11" i="15"/>
  <c r="CZ11" i="15"/>
  <c r="CY11" i="15"/>
  <c r="CX11" i="15"/>
  <c r="CW11" i="15"/>
  <c r="CV11" i="15"/>
  <c r="CU11" i="15"/>
  <c r="CT11" i="15"/>
  <c r="CS11" i="15"/>
  <c r="CR11" i="15"/>
  <c r="CQ11" i="15"/>
  <c r="CP11" i="15"/>
  <c r="CO11" i="15"/>
  <c r="CN11" i="15"/>
  <c r="CM11" i="15"/>
  <c r="CL11" i="15"/>
  <c r="CK11" i="15"/>
  <c r="CJ11" i="15"/>
  <c r="CI11" i="15"/>
  <c r="CH11" i="15"/>
  <c r="CG11" i="15"/>
  <c r="CF11" i="15"/>
  <c r="CE11" i="15"/>
  <c r="CD11" i="15"/>
  <c r="CC11" i="15"/>
  <c r="CB11" i="15"/>
  <c r="CA11" i="15"/>
  <c r="BZ11" i="15"/>
  <c r="BY11" i="15"/>
  <c r="BX11" i="15"/>
  <c r="BW11" i="15"/>
  <c r="BV11" i="15"/>
  <c r="BU11" i="15"/>
  <c r="BT11" i="15"/>
  <c r="BS11" i="15"/>
  <c r="BR11" i="15"/>
  <c r="BQ11" i="15"/>
  <c r="BP11" i="15"/>
  <c r="BO11" i="15"/>
  <c r="BN11" i="15"/>
  <c r="BM11" i="15"/>
  <c r="BL11" i="15"/>
  <c r="BK11" i="15"/>
  <c r="BJ11" i="15"/>
  <c r="BI11" i="15"/>
  <c r="BH11" i="15"/>
  <c r="BG11" i="15"/>
  <c r="BF11" i="15"/>
  <c r="BE11" i="15"/>
  <c r="BD11" i="15"/>
  <c r="BC11" i="15"/>
  <c r="BB11" i="15"/>
  <c r="BA11" i="15"/>
  <c r="AZ11" i="15"/>
  <c r="AY11" i="15"/>
  <c r="AX11" i="15"/>
  <c r="AW11" i="15"/>
  <c r="AV11" i="15"/>
  <c r="AU11" i="15"/>
  <c r="AT11" i="15"/>
  <c r="AS11" i="15"/>
  <c r="AR11" i="15"/>
  <c r="AQ11" i="15"/>
  <c r="AP11" i="15"/>
  <c r="AO11" i="15"/>
  <c r="AN11" i="15"/>
  <c r="AM11" i="15"/>
  <c r="AL11" i="15"/>
  <c r="AK11" i="15"/>
  <c r="AJ11" i="15"/>
  <c r="AI11" i="15"/>
  <c r="AH11" i="15"/>
  <c r="AG11" i="15"/>
  <c r="AF11" i="15"/>
  <c r="AE11" i="15"/>
  <c r="AD11" i="15"/>
  <c r="AC11" i="15"/>
  <c r="AB11" i="15"/>
  <c r="AA11" i="15"/>
  <c r="Z11" i="15"/>
  <c r="Y11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KC10" i="15"/>
  <c r="KB10" i="15"/>
  <c r="KA10" i="15"/>
  <c r="JZ10" i="15"/>
  <c r="JY10" i="15"/>
  <c r="JX10" i="15"/>
  <c r="JW10" i="15"/>
  <c r="JV10" i="15"/>
  <c r="JU10" i="15"/>
  <c r="JT10" i="15"/>
  <c r="JS10" i="15"/>
  <c r="JR10" i="15"/>
  <c r="JQ10" i="15"/>
  <c r="JP10" i="15"/>
  <c r="JO10" i="15"/>
  <c r="JN10" i="15"/>
  <c r="JM10" i="15"/>
  <c r="JL10" i="15"/>
  <c r="JK10" i="15"/>
  <c r="JJ10" i="15"/>
  <c r="JI10" i="15"/>
  <c r="JH10" i="15"/>
  <c r="JG10" i="15"/>
  <c r="JF10" i="15"/>
  <c r="JE10" i="15"/>
  <c r="JD10" i="15"/>
  <c r="JC10" i="15"/>
  <c r="JB10" i="15"/>
  <c r="JA10" i="15"/>
  <c r="IZ10" i="15"/>
  <c r="IY10" i="15"/>
  <c r="IX10" i="15"/>
  <c r="IW10" i="15"/>
  <c r="IV10" i="15"/>
  <c r="IU10" i="15"/>
  <c r="IT10" i="15"/>
  <c r="IS10" i="15"/>
  <c r="IR10" i="15"/>
  <c r="IQ10" i="15"/>
  <c r="IP10" i="15"/>
  <c r="IO10" i="15"/>
  <c r="IN10" i="15"/>
  <c r="IM10" i="15"/>
  <c r="IL10" i="15"/>
  <c r="IK10" i="15"/>
  <c r="IJ10" i="15"/>
  <c r="II10" i="15"/>
  <c r="IH10" i="15"/>
  <c r="IG10" i="15"/>
  <c r="IF10" i="15"/>
  <c r="IE10" i="15"/>
  <c r="ID10" i="15"/>
  <c r="IC10" i="15"/>
  <c r="IB10" i="15"/>
  <c r="IA10" i="15"/>
  <c r="HZ10" i="15"/>
  <c r="HY10" i="15"/>
  <c r="HX10" i="15"/>
  <c r="HW10" i="15"/>
  <c r="HV10" i="15"/>
  <c r="HU10" i="15"/>
  <c r="HT10" i="15"/>
  <c r="HS10" i="15"/>
  <c r="HR10" i="15"/>
  <c r="HQ10" i="15"/>
  <c r="HP10" i="15"/>
  <c r="HO10" i="15"/>
  <c r="HN10" i="15"/>
  <c r="HM10" i="15"/>
  <c r="HL10" i="15"/>
  <c r="HK10" i="15"/>
  <c r="HJ10" i="15"/>
  <c r="HI10" i="15"/>
  <c r="HH10" i="15"/>
  <c r="HG10" i="15"/>
  <c r="HF10" i="15"/>
  <c r="HE10" i="15"/>
  <c r="HD10" i="15"/>
  <c r="HC10" i="15"/>
  <c r="HB10" i="15"/>
  <c r="HA10" i="15"/>
  <c r="GZ10" i="15"/>
  <c r="GY10" i="15"/>
  <c r="GX10" i="15"/>
  <c r="GW10" i="15"/>
  <c r="GV10" i="15"/>
  <c r="GU10" i="15"/>
  <c r="GT10" i="15"/>
  <c r="GS10" i="15"/>
  <c r="GR10" i="15"/>
  <c r="GQ10" i="15"/>
  <c r="GP10" i="15"/>
  <c r="GO10" i="15"/>
  <c r="GN10" i="15"/>
  <c r="GM10" i="15"/>
  <c r="GL10" i="15"/>
  <c r="GK10" i="15"/>
  <c r="GJ10" i="15"/>
  <c r="GI10" i="15"/>
  <c r="GH10" i="15"/>
  <c r="GG10" i="15"/>
  <c r="GF10" i="15"/>
  <c r="GE10" i="15"/>
  <c r="GD10" i="15"/>
  <c r="GC10" i="15"/>
  <c r="GB10" i="15"/>
  <c r="GA10" i="15"/>
  <c r="FZ10" i="15"/>
  <c r="FY10" i="15"/>
  <c r="FX10" i="15"/>
  <c r="FW10" i="15"/>
  <c r="FV10" i="15"/>
  <c r="FU10" i="15"/>
  <c r="FT10" i="15"/>
  <c r="FS10" i="15"/>
  <c r="FR10" i="15"/>
  <c r="FQ10" i="15"/>
  <c r="FP10" i="15"/>
  <c r="FO10" i="15"/>
  <c r="FN10" i="15"/>
  <c r="FM10" i="15"/>
  <c r="FL10" i="15"/>
  <c r="FK10" i="15"/>
  <c r="FJ10" i="15"/>
  <c r="FI10" i="15"/>
  <c r="FH10" i="15"/>
  <c r="FG10" i="15"/>
  <c r="FF10" i="15"/>
  <c r="FE10" i="15"/>
  <c r="FD10" i="15"/>
  <c r="FC10" i="15"/>
  <c r="FB10" i="15"/>
  <c r="FA10" i="15"/>
  <c r="EZ10" i="15"/>
  <c r="EY10" i="15"/>
  <c r="EX10" i="15"/>
  <c r="EW10" i="15"/>
  <c r="EV10" i="15"/>
  <c r="EU10" i="15"/>
  <c r="ET10" i="15"/>
  <c r="ES10" i="15"/>
  <c r="ER10" i="15"/>
  <c r="EQ10" i="15"/>
  <c r="EP10" i="15"/>
  <c r="EO10" i="15"/>
  <c r="EN10" i="15"/>
  <c r="EM10" i="15"/>
  <c r="EL10" i="15"/>
  <c r="EK10" i="15"/>
  <c r="EJ10" i="15"/>
  <c r="EI10" i="15"/>
  <c r="EH10" i="15"/>
  <c r="EG10" i="15"/>
  <c r="EF10" i="15"/>
  <c r="EE10" i="15"/>
  <c r="ED10" i="15"/>
  <c r="EC10" i="15"/>
  <c r="EB10" i="15"/>
  <c r="EA10" i="15"/>
  <c r="DZ10" i="15"/>
  <c r="DY10" i="15"/>
  <c r="DX10" i="15"/>
  <c r="DW10" i="15"/>
  <c r="DV10" i="15"/>
  <c r="DU10" i="15"/>
  <c r="DT10" i="15"/>
  <c r="DS10" i="15"/>
  <c r="DR10" i="15"/>
  <c r="DQ10" i="15"/>
  <c r="DP10" i="15"/>
  <c r="DO10" i="15"/>
  <c r="DN10" i="15"/>
  <c r="DM10" i="15"/>
  <c r="DL10" i="15"/>
  <c r="DK10" i="15"/>
  <c r="DJ10" i="15"/>
  <c r="DI10" i="15"/>
  <c r="DH10" i="15"/>
  <c r="DG10" i="15"/>
  <c r="DF10" i="15"/>
  <c r="DE10" i="15"/>
  <c r="DD10" i="15"/>
  <c r="DC10" i="15"/>
  <c r="DB10" i="15"/>
  <c r="DA10" i="15"/>
  <c r="CZ10" i="15"/>
  <c r="CY10" i="15"/>
  <c r="CX10" i="15"/>
  <c r="CW10" i="15"/>
  <c r="CV10" i="15"/>
  <c r="CU10" i="15"/>
  <c r="CT10" i="15"/>
  <c r="CS10" i="15"/>
  <c r="CR10" i="15"/>
  <c r="CQ10" i="15"/>
  <c r="CP10" i="15"/>
  <c r="CO10" i="15"/>
  <c r="CN10" i="15"/>
  <c r="CM10" i="15"/>
  <c r="CL10" i="15"/>
  <c r="CK10" i="15"/>
  <c r="CJ10" i="15"/>
  <c r="CI10" i="15"/>
  <c r="CH10" i="15"/>
  <c r="CG10" i="15"/>
  <c r="CF10" i="15"/>
  <c r="CE10" i="15"/>
  <c r="CD10" i="15"/>
  <c r="CC10" i="15"/>
  <c r="CB10" i="15"/>
  <c r="CA10" i="15"/>
  <c r="BZ10" i="15"/>
  <c r="BY10" i="15"/>
  <c r="BX10" i="15"/>
  <c r="BW10" i="15"/>
  <c r="BV10" i="15"/>
  <c r="BU10" i="15"/>
  <c r="BT10" i="15"/>
  <c r="BS10" i="15"/>
  <c r="BR10" i="15"/>
  <c r="BQ10" i="15"/>
  <c r="BP10" i="15"/>
  <c r="BO10" i="15"/>
  <c r="BN10" i="15"/>
  <c r="BM10" i="15"/>
  <c r="BL10" i="15"/>
  <c r="BK10" i="15"/>
  <c r="BJ10" i="15"/>
  <c r="BI10" i="15"/>
  <c r="BH10" i="15"/>
  <c r="BG10" i="15"/>
  <c r="BF10" i="15"/>
  <c r="BE10" i="15"/>
  <c r="BD10" i="15"/>
  <c r="BC10" i="15"/>
  <c r="BB10" i="15"/>
  <c r="BA10" i="15"/>
  <c r="AZ10" i="15"/>
  <c r="AY10" i="15"/>
  <c r="AX10" i="15"/>
  <c r="AW10" i="15"/>
  <c r="AV10" i="15"/>
  <c r="AU10" i="15"/>
  <c r="AT10" i="15"/>
  <c r="AS10" i="15"/>
  <c r="AR10" i="15"/>
  <c r="AQ10" i="15"/>
  <c r="AP10" i="15"/>
  <c r="AO10" i="15"/>
  <c r="AN10" i="15"/>
  <c r="AM10" i="15"/>
  <c r="AL10" i="15"/>
  <c r="AK10" i="15"/>
  <c r="AJ10" i="15"/>
  <c r="AI10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KC9" i="15"/>
  <c r="KB9" i="15"/>
  <c r="KA9" i="15"/>
  <c r="JZ9" i="15"/>
  <c r="JY9" i="15"/>
  <c r="JX9" i="15"/>
  <c r="JW9" i="15"/>
  <c r="JV9" i="15"/>
  <c r="JU9" i="15"/>
  <c r="JT9" i="15"/>
  <c r="JS9" i="15"/>
  <c r="JR9" i="15"/>
  <c r="JQ9" i="15"/>
  <c r="JP9" i="15"/>
  <c r="JO9" i="15"/>
  <c r="JN9" i="15"/>
  <c r="JM9" i="15"/>
  <c r="JL9" i="15"/>
  <c r="JK9" i="15"/>
  <c r="JJ9" i="15"/>
  <c r="JI9" i="15"/>
  <c r="JH9" i="15"/>
  <c r="JG9" i="15"/>
  <c r="JF9" i="15"/>
  <c r="JE9" i="15"/>
  <c r="JD9" i="15"/>
  <c r="JC9" i="15"/>
  <c r="JB9" i="15"/>
  <c r="JA9" i="15"/>
  <c r="IZ9" i="15"/>
  <c r="IY9" i="15"/>
  <c r="IX9" i="15"/>
  <c r="IW9" i="15"/>
  <c r="IV9" i="15"/>
  <c r="IU9" i="15"/>
  <c r="IT9" i="15"/>
  <c r="IS9" i="15"/>
  <c r="IR9" i="15"/>
  <c r="IQ9" i="15"/>
  <c r="IP9" i="15"/>
  <c r="IO9" i="15"/>
  <c r="IN9" i="15"/>
  <c r="IM9" i="15"/>
  <c r="IL9" i="15"/>
  <c r="IK9" i="15"/>
  <c r="IJ9" i="15"/>
  <c r="II9" i="15"/>
  <c r="IH9" i="15"/>
  <c r="IG9" i="15"/>
  <c r="IF9" i="15"/>
  <c r="IE9" i="15"/>
  <c r="ID9" i="15"/>
  <c r="IC9" i="15"/>
  <c r="IB9" i="15"/>
  <c r="IA9" i="15"/>
  <c r="HZ9" i="15"/>
  <c r="HY9" i="15"/>
  <c r="HX9" i="15"/>
  <c r="HW9" i="15"/>
  <c r="HV9" i="15"/>
  <c r="HU9" i="15"/>
  <c r="HT9" i="15"/>
  <c r="HS9" i="15"/>
  <c r="HR9" i="15"/>
  <c r="HQ9" i="15"/>
  <c r="HP9" i="15"/>
  <c r="HO9" i="15"/>
  <c r="HN9" i="15"/>
  <c r="HM9" i="15"/>
  <c r="HL9" i="15"/>
  <c r="HK9" i="15"/>
  <c r="HJ9" i="15"/>
  <c r="HI9" i="15"/>
  <c r="HH9" i="15"/>
  <c r="HG9" i="15"/>
  <c r="HF9" i="15"/>
  <c r="HE9" i="15"/>
  <c r="HD9" i="15"/>
  <c r="HC9" i="15"/>
  <c r="HB9" i="15"/>
  <c r="HA9" i="15"/>
  <c r="GZ9" i="15"/>
  <c r="GY9" i="15"/>
  <c r="GX9" i="15"/>
  <c r="GW9" i="15"/>
  <c r="GV9" i="15"/>
  <c r="GU9" i="15"/>
  <c r="GT9" i="15"/>
  <c r="GS9" i="15"/>
  <c r="GR9" i="15"/>
  <c r="GQ9" i="15"/>
  <c r="GP9" i="15"/>
  <c r="GO9" i="15"/>
  <c r="GN9" i="15"/>
  <c r="GM9" i="15"/>
  <c r="GL9" i="15"/>
  <c r="GK9" i="15"/>
  <c r="GJ9" i="15"/>
  <c r="GI9" i="15"/>
  <c r="GH9" i="15"/>
  <c r="GG9" i="15"/>
  <c r="GF9" i="15"/>
  <c r="GE9" i="15"/>
  <c r="GD9" i="15"/>
  <c r="GC9" i="15"/>
  <c r="GB9" i="15"/>
  <c r="GA9" i="15"/>
  <c r="FZ9" i="15"/>
  <c r="FY9" i="15"/>
  <c r="FX9" i="15"/>
  <c r="FW9" i="15"/>
  <c r="FV9" i="15"/>
  <c r="FU9" i="15"/>
  <c r="FT9" i="15"/>
  <c r="FS9" i="15"/>
  <c r="FR9" i="15"/>
  <c r="FQ9" i="15"/>
  <c r="FP9" i="15"/>
  <c r="FO9" i="15"/>
  <c r="FN9" i="15"/>
  <c r="FM9" i="15"/>
  <c r="FL9" i="15"/>
  <c r="FK9" i="15"/>
  <c r="FJ9" i="15"/>
  <c r="FI9" i="15"/>
  <c r="FH9" i="15"/>
  <c r="FG9" i="15"/>
  <c r="FF9" i="15"/>
  <c r="FE9" i="15"/>
  <c r="FD9" i="15"/>
  <c r="FC9" i="15"/>
  <c r="FB9" i="15"/>
  <c r="FA9" i="15"/>
  <c r="EZ9" i="15"/>
  <c r="EY9" i="15"/>
  <c r="EX9" i="15"/>
  <c r="EW9" i="15"/>
  <c r="EV9" i="15"/>
  <c r="EU9" i="15"/>
  <c r="ET9" i="15"/>
  <c r="ES9" i="15"/>
  <c r="ER9" i="15"/>
  <c r="EQ9" i="15"/>
  <c r="EP9" i="15"/>
  <c r="EO9" i="15"/>
  <c r="EN9" i="15"/>
  <c r="EM9" i="15"/>
  <c r="EL9" i="15"/>
  <c r="EK9" i="15"/>
  <c r="EJ9" i="15"/>
  <c r="EI9" i="15"/>
  <c r="EH9" i="15"/>
  <c r="EG9" i="15"/>
  <c r="EF9" i="15"/>
  <c r="EE9" i="15"/>
  <c r="ED9" i="15"/>
  <c r="EC9" i="15"/>
  <c r="EB9" i="15"/>
  <c r="EA9" i="15"/>
  <c r="DZ9" i="15"/>
  <c r="DY9" i="15"/>
  <c r="DX9" i="15"/>
  <c r="DW9" i="15"/>
  <c r="DV9" i="15"/>
  <c r="DU9" i="15"/>
  <c r="DT9" i="15"/>
  <c r="DS9" i="15"/>
  <c r="DR9" i="15"/>
  <c r="DQ9" i="15"/>
  <c r="DP9" i="15"/>
  <c r="DO9" i="15"/>
  <c r="DN9" i="15"/>
  <c r="DM9" i="15"/>
  <c r="DL9" i="15"/>
  <c r="DK9" i="15"/>
  <c r="DJ9" i="15"/>
  <c r="DI9" i="15"/>
  <c r="DH9" i="15"/>
  <c r="DG9" i="15"/>
  <c r="DF9" i="15"/>
  <c r="DE9" i="15"/>
  <c r="DD9" i="15"/>
  <c r="DC9" i="15"/>
  <c r="DB9" i="15"/>
  <c r="DA9" i="15"/>
  <c r="CZ9" i="15"/>
  <c r="CY9" i="15"/>
  <c r="CX9" i="15"/>
  <c r="CW9" i="15"/>
  <c r="CV9" i="15"/>
  <c r="CU9" i="15"/>
  <c r="CT9" i="15"/>
  <c r="CS9" i="15"/>
  <c r="CR9" i="15"/>
  <c r="CQ9" i="15"/>
  <c r="CP9" i="15"/>
  <c r="CO9" i="15"/>
  <c r="CN9" i="15"/>
  <c r="CM9" i="15"/>
  <c r="CL9" i="15"/>
  <c r="CK9" i="15"/>
  <c r="CJ9" i="15"/>
  <c r="CI9" i="15"/>
  <c r="CH9" i="15"/>
  <c r="CG9" i="15"/>
  <c r="CF9" i="15"/>
  <c r="CE9" i="15"/>
  <c r="CD9" i="15"/>
  <c r="CC9" i="15"/>
  <c r="CB9" i="15"/>
  <c r="CA9" i="15"/>
  <c r="BZ9" i="15"/>
  <c r="BY9" i="15"/>
  <c r="BX9" i="15"/>
  <c r="BW9" i="15"/>
  <c r="BV9" i="15"/>
  <c r="BU9" i="15"/>
  <c r="BT9" i="15"/>
  <c r="BS9" i="15"/>
  <c r="BR9" i="15"/>
  <c r="BQ9" i="15"/>
  <c r="BP9" i="15"/>
  <c r="BO9" i="15"/>
  <c r="BN9" i="15"/>
  <c r="BM9" i="15"/>
  <c r="BL9" i="15"/>
  <c r="BK9" i="15"/>
  <c r="BJ9" i="15"/>
  <c r="BI9" i="15"/>
  <c r="BH9" i="15"/>
  <c r="BG9" i="15"/>
  <c r="BF9" i="15"/>
  <c r="BE9" i="15"/>
  <c r="BD9" i="15"/>
  <c r="BC9" i="15"/>
  <c r="BB9" i="15"/>
  <c r="BA9" i="15"/>
  <c r="AZ9" i="15"/>
  <c r="AY9" i="15"/>
  <c r="AX9" i="15"/>
  <c r="AW9" i="15"/>
  <c r="AV9" i="15"/>
  <c r="AU9" i="15"/>
  <c r="AT9" i="15"/>
  <c r="AS9" i="15"/>
  <c r="AR9" i="15"/>
  <c r="AQ9" i="15"/>
  <c r="AP9" i="15"/>
  <c r="AO9" i="15"/>
  <c r="AN9" i="15"/>
  <c r="AM9" i="15"/>
  <c r="AL9" i="15"/>
  <c r="AK9" i="15"/>
  <c r="AJ9" i="15"/>
  <c r="AI9" i="15"/>
  <c r="AH9" i="15"/>
  <c r="AG9" i="15"/>
  <c r="AF9" i="15"/>
  <c r="AE9" i="15"/>
  <c r="AD9" i="15"/>
  <c r="AC9" i="15"/>
  <c r="AB9" i="15"/>
  <c r="AA9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KC8" i="15"/>
  <c r="KB8" i="15"/>
  <c r="KA8" i="15"/>
  <c r="JZ8" i="15"/>
  <c r="JY8" i="15"/>
  <c r="JX8" i="15"/>
  <c r="JW8" i="15"/>
  <c r="JV8" i="15"/>
  <c r="JU8" i="15"/>
  <c r="JT8" i="15"/>
  <c r="JS8" i="15"/>
  <c r="JR8" i="15"/>
  <c r="JQ8" i="15"/>
  <c r="JP8" i="15"/>
  <c r="JO8" i="15"/>
  <c r="JN8" i="15"/>
  <c r="JM8" i="15"/>
  <c r="JL8" i="15"/>
  <c r="JK8" i="15"/>
  <c r="JJ8" i="15"/>
  <c r="JI8" i="15"/>
  <c r="JH8" i="15"/>
  <c r="JG8" i="15"/>
  <c r="JF8" i="15"/>
  <c r="JE8" i="15"/>
  <c r="JD8" i="15"/>
  <c r="JC8" i="15"/>
  <c r="JB8" i="15"/>
  <c r="JA8" i="15"/>
  <c r="IZ8" i="15"/>
  <c r="IY8" i="15"/>
  <c r="IX8" i="15"/>
  <c r="IW8" i="15"/>
  <c r="IV8" i="15"/>
  <c r="IU8" i="15"/>
  <c r="IT8" i="15"/>
  <c r="IS8" i="15"/>
  <c r="IR8" i="15"/>
  <c r="IQ8" i="15"/>
  <c r="IP8" i="15"/>
  <c r="IO8" i="15"/>
  <c r="IN8" i="15"/>
  <c r="IM8" i="15"/>
  <c r="IL8" i="15"/>
  <c r="IK8" i="15"/>
  <c r="IJ8" i="15"/>
  <c r="II8" i="15"/>
  <c r="IH8" i="15"/>
  <c r="IG8" i="15"/>
  <c r="IF8" i="15"/>
  <c r="IE8" i="15"/>
  <c r="ID8" i="15"/>
  <c r="IC8" i="15"/>
  <c r="IB8" i="15"/>
  <c r="IA8" i="15"/>
  <c r="HZ8" i="15"/>
  <c r="HY8" i="15"/>
  <c r="HX8" i="15"/>
  <c r="HW8" i="15"/>
  <c r="HV8" i="15"/>
  <c r="HU8" i="15"/>
  <c r="HT8" i="15"/>
  <c r="HS8" i="15"/>
  <c r="HR8" i="15"/>
  <c r="HQ8" i="15"/>
  <c r="HP8" i="15"/>
  <c r="HO8" i="15"/>
  <c r="HN8" i="15"/>
  <c r="HM8" i="15"/>
  <c r="HL8" i="15"/>
  <c r="HK8" i="15"/>
  <c r="HJ8" i="15"/>
  <c r="HI8" i="15"/>
  <c r="HH8" i="15"/>
  <c r="HG8" i="15"/>
  <c r="HF8" i="15"/>
  <c r="HE8" i="15"/>
  <c r="HD8" i="15"/>
  <c r="HC8" i="15"/>
  <c r="HB8" i="15"/>
  <c r="HA8" i="15"/>
  <c r="GZ8" i="15"/>
  <c r="GY8" i="15"/>
  <c r="GX8" i="15"/>
  <c r="GW8" i="15"/>
  <c r="GV8" i="15"/>
  <c r="GU8" i="15"/>
  <c r="GT8" i="15"/>
  <c r="GS8" i="15"/>
  <c r="GR8" i="15"/>
  <c r="GQ8" i="15"/>
  <c r="GP8" i="15"/>
  <c r="GO8" i="15"/>
  <c r="GN8" i="15"/>
  <c r="GM8" i="15"/>
  <c r="GL8" i="15"/>
  <c r="GK8" i="15"/>
  <c r="GJ8" i="15"/>
  <c r="GI8" i="15"/>
  <c r="GH8" i="15"/>
  <c r="GG8" i="15"/>
  <c r="GF8" i="15"/>
  <c r="GE8" i="15"/>
  <c r="GD8" i="15"/>
  <c r="GC8" i="15"/>
  <c r="GB8" i="15"/>
  <c r="GA8" i="15"/>
  <c r="FZ8" i="15"/>
  <c r="FY8" i="15"/>
  <c r="FX8" i="15"/>
  <c r="FW8" i="15"/>
  <c r="FV8" i="15"/>
  <c r="FU8" i="15"/>
  <c r="FT8" i="15"/>
  <c r="FS8" i="15"/>
  <c r="FR8" i="15"/>
  <c r="FQ8" i="15"/>
  <c r="FP8" i="15"/>
  <c r="FO8" i="15"/>
  <c r="FN8" i="15"/>
  <c r="FM8" i="15"/>
  <c r="FL8" i="15"/>
  <c r="FK8" i="15"/>
  <c r="FJ8" i="15"/>
  <c r="FI8" i="15"/>
  <c r="FH8" i="15"/>
  <c r="FG8" i="15"/>
  <c r="FF8" i="15"/>
  <c r="FE8" i="15"/>
  <c r="FD8" i="15"/>
  <c r="FC8" i="15"/>
  <c r="FB8" i="15"/>
  <c r="FA8" i="15"/>
  <c r="EZ8" i="15"/>
  <c r="EY8" i="15"/>
  <c r="EX8" i="15"/>
  <c r="EW8" i="15"/>
  <c r="EV8" i="15"/>
  <c r="EU8" i="15"/>
  <c r="ET8" i="15"/>
  <c r="ES8" i="15"/>
  <c r="ER8" i="15"/>
  <c r="EQ8" i="15"/>
  <c r="EP8" i="15"/>
  <c r="EO8" i="15"/>
  <c r="EN8" i="15"/>
  <c r="EM8" i="15"/>
  <c r="EL8" i="15"/>
  <c r="EK8" i="15"/>
  <c r="EJ8" i="15"/>
  <c r="EI8" i="15"/>
  <c r="EH8" i="15"/>
  <c r="EG8" i="15"/>
  <c r="EF8" i="15"/>
  <c r="EE8" i="15"/>
  <c r="ED8" i="15"/>
  <c r="EC8" i="15"/>
  <c r="EB8" i="15"/>
  <c r="EA8" i="15"/>
  <c r="DZ8" i="15"/>
  <c r="DY8" i="15"/>
  <c r="DX8" i="15"/>
  <c r="DW8" i="15"/>
  <c r="DV8" i="15"/>
  <c r="DU8" i="15"/>
  <c r="DT8" i="15"/>
  <c r="DS8" i="15"/>
  <c r="DR8" i="15"/>
  <c r="DQ8" i="15"/>
  <c r="DP8" i="15"/>
  <c r="DO8" i="15"/>
  <c r="DN8" i="15"/>
  <c r="DM8" i="15"/>
  <c r="DL8" i="15"/>
  <c r="DK8" i="15"/>
  <c r="DJ8" i="15"/>
  <c r="DI8" i="15"/>
  <c r="DH8" i="15"/>
  <c r="DG8" i="15"/>
  <c r="DF8" i="15"/>
  <c r="DE8" i="15"/>
  <c r="DD8" i="15"/>
  <c r="DC8" i="15"/>
  <c r="DB8" i="15"/>
  <c r="DA8" i="15"/>
  <c r="CZ8" i="15"/>
  <c r="CY8" i="15"/>
  <c r="CX8" i="15"/>
  <c r="CW8" i="15"/>
  <c r="CV8" i="15"/>
  <c r="CU8" i="15"/>
  <c r="CT8" i="15"/>
  <c r="CS8" i="15"/>
  <c r="CR8" i="15"/>
  <c r="CQ8" i="15"/>
  <c r="CP8" i="15"/>
  <c r="CO8" i="15"/>
  <c r="CN8" i="15"/>
  <c r="CM8" i="15"/>
  <c r="CL8" i="15"/>
  <c r="CK8" i="15"/>
  <c r="CJ8" i="15"/>
  <c r="CI8" i="15"/>
  <c r="CH8" i="15"/>
  <c r="CG8" i="15"/>
  <c r="CF8" i="15"/>
  <c r="CE8" i="15"/>
  <c r="CD8" i="15"/>
  <c r="CC8" i="15"/>
  <c r="CB8" i="15"/>
  <c r="CA8" i="15"/>
  <c r="BZ8" i="15"/>
  <c r="BY8" i="15"/>
  <c r="BX8" i="15"/>
  <c r="BW8" i="15"/>
  <c r="BV8" i="15"/>
  <c r="BU8" i="15"/>
  <c r="BT8" i="15"/>
  <c r="BS8" i="15"/>
  <c r="BR8" i="15"/>
  <c r="BQ8" i="15"/>
  <c r="BP8" i="15"/>
  <c r="BO8" i="15"/>
  <c r="BN8" i="15"/>
  <c r="BM8" i="15"/>
  <c r="BL8" i="15"/>
  <c r="BK8" i="15"/>
  <c r="BJ8" i="15"/>
  <c r="BI8" i="15"/>
  <c r="BH8" i="15"/>
  <c r="BG8" i="15"/>
  <c r="BF8" i="15"/>
  <c r="BE8" i="15"/>
  <c r="BD8" i="15"/>
  <c r="BC8" i="15"/>
  <c r="BB8" i="15"/>
  <c r="BA8" i="15"/>
  <c r="AZ8" i="15"/>
  <c r="AY8" i="15"/>
  <c r="AX8" i="15"/>
  <c r="AW8" i="15"/>
  <c r="AV8" i="15"/>
  <c r="AU8" i="15"/>
  <c r="AT8" i="15"/>
  <c r="AS8" i="15"/>
  <c r="AR8" i="15"/>
  <c r="AQ8" i="15"/>
  <c r="AP8" i="15"/>
  <c r="AO8" i="15"/>
  <c r="AN8" i="15"/>
  <c r="AM8" i="15"/>
  <c r="AL8" i="15"/>
  <c r="AK8" i="15"/>
  <c r="AJ8" i="15"/>
  <c r="AI8" i="15"/>
  <c r="AH8" i="15"/>
  <c r="AG8" i="15"/>
  <c r="AF8" i="15"/>
  <c r="AE8" i="15"/>
  <c r="AD8" i="15"/>
  <c r="AC8" i="15"/>
  <c r="AB8" i="15"/>
  <c r="AA8" i="15"/>
  <c r="Z8" i="15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KC7" i="15"/>
  <c r="KB7" i="15"/>
  <c r="KA7" i="15"/>
  <c r="JZ7" i="15"/>
  <c r="JY7" i="15"/>
  <c r="JX7" i="15"/>
  <c r="JW7" i="15"/>
  <c r="JV7" i="15"/>
  <c r="JU7" i="15"/>
  <c r="JT7" i="15"/>
  <c r="JS7" i="15"/>
  <c r="JR7" i="15"/>
  <c r="JQ7" i="15"/>
  <c r="JP7" i="15"/>
  <c r="JO7" i="15"/>
  <c r="JN7" i="15"/>
  <c r="JM7" i="15"/>
  <c r="JL7" i="15"/>
  <c r="JK7" i="15"/>
  <c r="JJ7" i="15"/>
  <c r="JI7" i="15"/>
  <c r="JH7" i="15"/>
  <c r="JG7" i="15"/>
  <c r="JF7" i="15"/>
  <c r="JE7" i="15"/>
  <c r="JD7" i="15"/>
  <c r="JC7" i="15"/>
  <c r="JB7" i="15"/>
  <c r="JA7" i="15"/>
  <c r="IZ7" i="15"/>
  <c r="IY7" i="15"/>
  <c r="IX7" i="15"/>
  <c r="IW7" i="15"/>
  <c r="IV7" i="15"/>
  <c r="IU7" i="15"/>
  <c r="IT7" i="15"/>
  <c r="IS7" i="15"/>
  <c r="IR7" i="15"/>
  <c r="IQ7" i="15"/>
  <c r="IP7" i="15"/>
  <c r="IO7" i="15"/>
  <c r="IN7" i="15"/>
  <c r="IM7" i="15"/>
  <c r="IL7" i="15"/>
  <c r="IK7" i="15"/>
  <c r="IJ7" i="15"/>
  <c r="II7" i="15"/>
  <c r="IH7" i="15"/>
  <c r="IG7" i="15"/>
  <c r="IF7" i="15"/>
  <c r="IE7" i="15"/>
  <c r="ID7" i="15"/>
  <c r="IC7" i="15"/>
  <c r="IB7" i="15"/>
  <c r="IA7" i="15"/>
  <c r="HZ7" i="15"/>
  <c r="HY7" i="15"/>
  <c r="HX7" i="15"/>
  <c r="HW7" i="15"/>
  <c r="HV7" i="15"/>
  <c r="HU7" i="15"/>
  <c r="HT7" i="15"/>
  <c r="HS7" i="15"/>
  <c r="HR7" i="15"/>
  <c r="HQ7" i="15"/>
  <c r="HP7" i="15"/>
  <c r="HO7" i="15"/>
  <c r="HN7" i="15"/>
  <c r="HM7" i="15"/>
  <c r="HL7" i="15"/>
  <c r="HK7" i="15"/>
  <c r="HJ7" i="15"/>
  <c r="HI7" i="15"/>
  <c r="HH7" i="15"/>
  <c r="HG7" i="15"/>
  <c r="HF7" i="15"/>
  <c r="HE7" i="15"/>
  <c r="HD7" i="15"/>
  <c r="HC7" i="15"/>
  <c r="HB7" i="15"/>
  <c r="HA7" i="15"/>
  <c r="GZ7" i="15"/>
  <c r="GY7" i="15"/>
  <c r="GX7" i="15"/>
  <c r="GW7" i="15"/>
  <c r="GV7" i="15"/>
  <c r="GU7" i="15"/>
  <c r="GT7" i="15"/>
  <c r="GS7" i="15"/>
  <c r="GR7" i="15"/>
  <c r="GQ7" i="15"/>
  <c r="GP7" i="15"/>
  <c r="GO7" i="15"/>
  <c r="GN7" i="15"/>
  <c r="GM7" i="15"/>
  <c r="GL7" i="15"/>
  <c r="GK7" i="15"/>
  <c r="GJ7" i="15"/>
  <c r="GI7" i="15"/>
  <c r="GH7" i="15"/>
  <c r="GG7" i="15"/>
  <c r="GF7" i="15"/>
  <c r="GE7" i="15"/>
  <c r="GD7" i="15"/>
  <c r="GC7" i="15"/>
  <c r="GB7" i="15"/>
  <c r="GA7" i="15"/>
  <c r="FZ7" i="15"/>
  <c r="FY7" i="15"/>
  <c r="FX7" i="15"/>
  <c r="FW7" i="15"/>
  <c r="FV7" i="15"/>
  <c r="FU7" i="15"/>
  <c r="FT7" i="15"/>
  <c r="FS7" i="15"/>
  <c r="FR7" i="15"/>
  <c r="FQ7" i="15"/>
  <c r="FP7" i="15"/>
  <c r="FO7" i="15"/>
  <c r="FN7" i="15"/>
  <c r="FM7" i="15"/>
  <c r="FL7" i="15"/>
  <c r="FK7" i="15"/>
  <c r="FJ7" i="15"/>
  <c r="FI7" i="15"/>
  <c r="FH7" i="15"/>
  <c r="FG7" i="15"/>
  <c r="FF7" i="15"/>
  <c r="FE7" i="15"/>
  <c r="FD7" i="15"/>
  <c r="FC7" i="15"/>
  <c r="FB7" i="15"/>
  <c r="FA7" i="15"/>
  <c r="EZ7" i="15"/>
  <c r="EY7" i="15"/>
  <c r="EX7" i="15"/>
  <c r="EW7" i="15"/>
  <c r="EV7" i="15"/>
  <c r="EU7" i="15"/>
  <c r="ET7" i="15"/>
  <c r="ES7" i="15"/>
  <c r="ER7" i="15"/>
  <c r="EQ7" i="15"/>
  <c r="EP7" i="15"/>
  <c r="EO7" i="15"/>
  <c r="EN7" i="15"/>
  <c r="EM7" i="15"/>
  <c r="EL7" i="15"/>
  <c r="EK7" i="15"/>
  <c r="EJ7" i="15"/>
  <c r="EI7" i="15"/>
  <c r="EH7" i="15"/>
  <c r="EG7" i="15"/>
  <c r="EF7" i="15"/>
  <c r="EE7" i="15"/>
  <c r="ED7" i="15"/>
  <c r="EC7" i="15"/>
  <c r="EB7" i="15"/>
  <c r="EA7" i="15"/>
  <c r="DZ7" i="15"/>
  <c r="DY7" i="15"/>
  <c r="DX7" i="15"/>
  <c r="DW7" i="15"/>
  <c r="DV7" i="15"/>
  <c r="DU7" i="15"/>
  <c r="DT7" i="15"/>
  <c r="DS7" i="15"/>
  <c r="DR7" i="15"/>
  <c r="DQ7" i="15"/>
  <c r="DP7" i="15"/>
  <c r="DO7" i="15"/>
  <c r="DN7" i="15"/>
  <c r="DM7" i="15"/>
  <c r="DL7" i="15"/>
  <c r="DK7" i="15"/>
  <c r="DJ7" i="15"/>
  <c r="DI7" i="15"/>
  <c r="DH7" i="15"/>
  <c r="DG7" i="15"/>
  <c r="DF7" i="15"/>
  <c r="DE7" i="15"/>
  <c r="DD7" i="15"/>
  <c r="DC7" i="15"/>
  <c r="DB7" i="15"/>
  <c r="DA7" i="15"/>
  <c r="CZ7" i="15"/>
  <c r="CY7" i="15"/>
  <c r="CX7" i="15"/>
  <c r="CW7" i="15"/>
  <c r="CV7" i="15"/>
  <c r="CU7" i="15"/>
  <c r="CT7" i="15"/>
  <c r="CS7" i="15"/>
  <c r="CR7" i="15"/>
  <c r="CQ7" i="15"/>
  <c r="CP7" i="15"/>
  <c r="CO7" i="15"/>
  <c r="CN7" i="15"/>
  <c r="CM7" i="15"/>
  <c r="CL7" i="15"/>
  <c r="CK7" i="15"/>
  <c r="CJ7" i="15"/>
  <c r="CI7" i="15"/>
  <c r="CH7" i="15"/>
  <c r="CG7" i="15"/>
  <c r="CF7" i="15"/>
  <c r="CE7" i="15"/>
  <c r="CD7" i="15"/>
  <c r="CC7" i="15"/>
  <c r="CB7" i="15"/>
  <c r="CA7" i="15"/>
  <c r="BZ7" i="15"/>
  <c r="BY7" i="15"/>
  <c r="BX7" i="15"/>
  <c r="BW7" i="15"/>
  <c r="BV7" i="15"/>
  <c r="BU7" i="15"/>
  <c r="BT7" i="15"/>
  <c r="BS7" i="15"/>
  <c r="BR7" i="15"/>
  <c r="BQ7" i="15"/>
  <c r="BP7" i="15"/>
  <c r="BO7" i="15"/>
  <c r="BN7" i="15"/>
  <c r="BM7" i="15"/>
  <c r="BL7" i="15"/>
  <c r="BK7" i="15"/>
  <c r="BJ7" i="15"/>
  <c r="BI7" i="15"/>
  <c r="BH7" i="15"/>
  <c r="BG7" i="15"/>
  <c r="BF7" i="15"/>
  <c r="BE7" i="15"/>
  <c r="BD7" i="15"/>
  <c r="BC7" i="15"/>
  <c r="BB7" i="15"/>
  <c r="BA7" i="15"/>
  <c r="AZ7" i="15"/>
  <c r="AY7" i="15"/>
  <c r="AX7" i="15"/>
  <c r="AW7" i="15"/>
  <c r="AV7" i="15"/>
  <c r="AU7" i="15"/>
  <c r="AT7" i="15"/>
  <c r="AS7" i="15"/>
  <c r="AR7" i="15"/>
  <c r="AQ7" i="15"/>
  <c r="AP7" i="15"/>
  <c r="AO7" i="15"/>
  <c r="AN7" i="15"/>
  <c r="AM7" i="15"/>
  <c r="AL7" i="15"/>
  <c r="AK7" i="15"/>
  <c r="AJ7" i="15"/>
  <c r="AI7" i="15"/>
  <c r="AH7" i="15"/>
  <c r="AG7" i="15"/>
  <c r="AF7" i="15"/>
  <c r="AE7" i="15"/>
  <c r="AD7" i="15"/>
  <c r="AC7" i="15"/>
  <c r="AB7" i="15"/>
  <c r="AA7" i="15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KC6" i="15"/>
  <c r="KB6" i="15"/>
  <c r="KA6" i="15"/>
  <c r="JZ6" i="15"/>
  <c r="JY6" i="15"/>
  <c r="JX6" i="15"/>
  <c r="JW6" i="15"/>
  <c r="JV6" i="15"/>
  <c r="JU6" i="15"/>
  <c r="JT6" i="15"/>
  <c r="JS6" i="15"/>
  <c r="JR6" i="15"/>
  <c r="JQ6" i="15"/>
  <c r="JP6" i="15"/>
  <c r="JO6" i="15"/>
  <c r="JN6" i="15"/>
  <c r="JM6" i="15"/>
  <c r="JL6" i="15"/>
  <c r="JK6" i="15"/>
  <c r="JJ6" i="15"/>
  <c r="JI6" i="15"/>
  <c r="JH6" i="15"/>
  <c r="JG6" i="15"/>
  <c r="JF6" i="15"/>
  <c r="JE6" i="15"/>
  <c r="JD6" i="15"/>
  <c r="JC6" i="15"/>
  <c r="JB6" i="15"/>
  <c r="JA6" i="15"/>
  <c r="IZ6" i="15"/>
  <c r="IY6" i="15"/>
  <c r="IX6" i="15"/>
  <c r="IW6" i="15"/>
  <c r="IV6" i="15"/>
  <c r="IU6" i="15"/>
  <c r="IT6" i="15"/>
  <c r="IS6" i="15"/>
  <c r="IR6" i="15"/>
  <c r="IQ6" i="15"/>
  <c r="IP6" i="15"/>
  <c r="IO6" i="15"/>
  <c r="IN6" i="15"/>
  <c r="IM6" i="15"/>
  <c r="IL6" i="15"/>
  <c r="IK6" i="15"/>
  <c r="IJ6" i="15"/>
  <c r="II6" i="15"/>
  <c r="IH6" i="15"/>
  <c r="IG6" i="15"/>
  <c r="IF6" i="15"/>
  <c r="IE6" i="15"/>
  <c r="ID6" i="15"/>
  <c r="IC6" i="15"/>
  <c r="IB6" i="15"/>
  <c r="IA6" i="15"/>
  <c r="HZ6" i="15"/>
  <c r="HY6" i="15"/>
  <c r="HX6" i="15"/>
  <c r="HW6" i="15"/>
  <c r="HV6" i="15"/>
  <c r="HU6" i="15"/>
  <c r="HT6" i="15"/>
  <c r="HS6" i="15"/>
  <c r="HR6" i="15"/>
  <c r="HQ6" i="15"/>
  <c r="HP6" i="15"/>
  <c r="HO6" i="15"/>
  <c r="HN6" i="15"/>
  <c r="HM6" i="15"/>
  <c r="HL6" i="15"/>
  <c r="HK6" i="15"/>
  <c r="HJ6" i="15"/>
  <c r="HI6" i="15"/>
  <c r="HH6" i="15"/>
  <c r="HG6" i="15"/>
  <c r="HF6" i="15"/>
  <c r="HE6" i="15"/>
  <c r="HD6" i="15"/>
  <c r="HC6" i="15"/>
  <c r="HB6" i="15"/>
  <c r="HA6" i="15"/>
  <c r="GZ6" i="15"/>
  <c r="GY6" i="15"/>
  <c r="GX6" i="15"/>
  <c r="GW6" i="15"/>
  <c r="GV6" i="15"/>
  <c r="GU6" i="15"/>
  <c r="GT6" i="15"/>
  <c r="GS6" i="15"/>
  <c r="GR6" i="15"/>
  <c r="GQ6" i="15"/>
  <c r="GP6" i="15"/>
  <c r="GO6" i="15"/>
  <c r="GN6" i="15"/>
  <c r="GM6" i="15"/>
  <c r="GL6" i="15"/>
  <c r="GK6" i="15"/>
  <c r="GJ6" i="15"/>
  <c r="GI6" i="15"/>
  <c r="GH6" i="15"/>
  <c r="GG6" i="15"/>
  <c r="GF6" i="15"/>
  <c r="GE6" i="15"/>
  <c r="GD6" i="15"/>
  <c r="GC6" i="15"/>
  <c r="GB6" i="15"/>
  <c r="GA6" i="15"/>
  <c r="FZ6" i="15"/>
  <c r="FY6" i="15"/>
  <c r="FX6" i="15"/>
  <c r="FW6" i="15"/>
  <c r="FV6" i="15"/>
  <c r="FU6" i="15"/>
  <c r="FT6" i="15"/>
  <c r="FS6" i="15"/>
  <c r="FR6" i="15"/>
  <c r="FQ6" i="15"/>
  <c r="FP6" i="15"/>
  <c r="FO6" i="15"/>
  <c r="FN6" i="15"/>
  <c r="FM6" i="15"/>
  <c r="FL6" i="15"/>
  <c r="FK6" i="15"/>
  <c r="FJ6" i="15"/>
  <c r="FI6" i="15"/>
  <c r="FH6" i="15"/>
  <c r="FG6" i="15"/>
  <c r="FF6" i="15"/>
  <c r="FE6" i="15"/>
  <c r="FD6" i="15"/>
  <c r="FC6" i="15"/>
  <c r="FB6" i="15"/>
  <c r="FA6" i="15"/>
  <c r="EZ6" i="15"/>
  <c r="EY6" i="15"/>
  <c r="EX6" i="15"/>
  <c r="EW6" i="15"/>
  <c r="EV6" i="15"/>
  <c r="EU6" i="15"/>
  <c r="ET6" i="15"/>
  <c r="ES6" i="15"/>
  <c r="ER6" i="15"/>
  <c r="EQ6" i="15"/>
  <c r="EP6" i="15"/>
  <c r="EO6" i="15"/>
  <c r="EN6" i="15"/>
  <c r="EM6" i="15"/>
  <c r="EL6" i="15"/>
  <c r="EK6" i="15"/>
  <c r="EJ6" i="15"/>
  <c r="EI6" i="15"/>
  <c r="EH6" i="15"/>
  <c r="EG6" i="15"/>
  <c r="EF6" i="15"/>
  <c r="EE6" i="15"/>
  <c r="ED6" i="15"/>
  <c r="EC6" i="15"/>
  <c r="EB6" i="15"/>
  <c r="EA6" i="15"/>
  <c r="DZ6" i="15"/>
  <c r="DY6" i="15"/>
  <c r="DX6" i="15"/>
  <c r="DW6" i="15"/>
  <c r="DV6" i="15"/>
  <c r="DU6" i="15"/>
  <c r="DT6" i="15"/>
  <c r="DS6" i="15"/>
  <c r="DR6" i="15"/>
  <c r="DQ6" i="15"/>
  <c r="DP6" i="15"/>
  <c r="DO6" i="15"/>
  <c r="DN6" i="15"/>
  <c r="DM6" i="15"/>
  <c r="DL6" i="15"/>
  <c r="DK6" i="15"/>
  <c r="DJ6" i="15"/>
  <c r="DI6" i="15"/>
  <c r="DH6" i="15"/>
  <c r="DG6" i="15"/>
  <c r="DF6" i="15"/>
  <c r="DE6" i="15"/>
  <c r="DD6" i="15"/>
  <c r="DC6" i="15"/>
  <c r="DB6" i="15"/>
  <c r="DA6" i="15"/>
  <c r="CZ6" i="15"/>
  <c r="CY6" i="15"/>
  <c r="CX6" i="15"/>
  <c r="CW6" i="15"/>
  <c r="CV6" i="15"/>
  <c r="CU6" i="15"/>
  <c r="CT6" i="15"/>
  <c r="CS6" i="15"/>
  <c r="CR6" i="15"/>
  <c r="CQ6" i="15"/>
  <c r="CP6" i="15"/>
  <c r="CO6" i="15"/>
  <c r="CN6" i="15"/>
  <c r="CM6" i="15"/>
  <c r="CL6" i="15"/>
  <c r="CK6" i="15"/>
  <c r="CJ6" i="15"/>
  <c r="CI6" i="15"/>
  <c r="CH6" i="15"/>
  <c r="CG6" i="15"/>
  <c r="CF6" i="15"/>
  <c r="CE6" i="15"/>
  <c r="CD6" i="15"/>
  <c r="CC6" i="15"/>
  <c r="CB6" i="15"/>
  <c r="CA6" i="15"/>
  <c r="BZ6" i="15"/>
  <c r="BY6" i="15"/>
  <c r="BX6" i="15"/>
  <c r="BW6" i="15"/>
  <c r="BV6" i="15"/>
  <c r="BU6" i="15"/>
  <c r="BT6" i="15"/>
  <c r="BS6" i="15"/>
  <c r="BR6" i="15"/>
  <c r="BQ6" i="15"/>
  <c r="BP6" i="15"/>
  <c r="BO6" i="15"/>
  <c r="BN6" i="15"/>
  <c r="BM6" i="15"/>
  <c r="BL6" i="15"/>
  <c r="BK6" i="15"/>
  <c r="BJ6" i="15"/>
  <c r="BI6" i="15"/>
  <c r="BH6" i="15"/>
  <c r="BG6" i="15"/>
  <c r="BF6" i="15"/>
  <c r="BE6" i="15"/>
  <c r="BD6" i="15"/>
  <c r="BC6" i="15"/>
  <c r="BB6" i="15"/>
  <c r="BA6" i="15"/>
  <c r="AZ6" i="15"/>
  <c r="AY6" i="15"/>
  <c r="AX6" i="15"/>
  <c r="AW6" i="15"/>
  <c r="AV6" i="15"/>
  <c r="AU6" i="15"/>
  <c r="AT6" i="15"/>
  <c r="AS6" i="15"/>
  <c r="AR6" i="15"/>
  <c r="AQ6" i="15"/>
  <c r="AP6" i="15"/>
  <c r="AO6" i="15"/>
  <c r="AN6" i="15"/>
  <c r="AM6" i="15"/>
  <c r="AL6" i="15"/>
  <c r="AK6" i="15"/>
  <c r="AJ6" i="15"/>
  <c r="AI6" i="15"/>
  <c r="AH6" i="15"/>
  <c r="AG6" i="15"/>
  <c r="AF6" i="15"/>
  <c r="AE6" i="15"/>
  <c r="AD6" i="15"/>
  <c r="AC6" i="15"/>
  <c r="AB6" i="15"/>
  <c r="AA6" i="15"/>
  <c r="Z6" i="15"/>
  <c r="Y6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KC5" i="15"/>
  <c r="KB5" i="15"/>
  <c r="KA5" i="15"/>
  <c r="JZ5" i="15"/>
  <c r="JY5" i="15"/>
  <c r="JX5" i="15"/>
  <c r="JW5" i="15"/>
  <c r="JV5" i="15"/>
  <c r="JU5" i="15"/>
  <c r="JT5" i="15"/>
  <c r="JS5" i="15"/>
  <c r="JR5" i="15"/>
  <c r="JQ5" i="15"/>
  <c r="JP5" i="15"/>
  <c r="JO5" i="15"/>
  <c r="JN5" i="15"/>
  <c r="JM5" i="15"/>
  <c r="JL5" i="15"/>
  <c r="JK5" i="15"/>
  <c r="JJ5" i="15"/>
  <c r="JI5" i="15"/>
  <c r="JH5" i="15"/>
  <c r="JG5" i="15"/>
  <c r="JF5" i="15"/>
  <c r="JE5" i="15"/>
  <c r="JD5" i="15"/>
  <c r="JC5" i="15"/>
  <c r="JB5" i="15"/>
  <c r="JA5" i="15"/>
  <c r="IZ5" i="15"/>
  <c r="IY5" i="15"/>
  <c r="IX5" i="15"/>
  <c r="IW5" i="15"/>
  <c r="IV5" i="15"/>
  <c r="IU5" i="15"/>
  <c r="IT5" i="15"/>
  <c r="IS5" i="15"/>
  <c r="IR5" i="15"/>
  <c r="IQ5" i="15"/>
  <c r="IP5" i="15"/>
  <c r="IO5" i="15"/>
  <c r="IN5" i="15"/>
  <c r="IM5" i="15"/>
  <c r="IL5" i="15"/>
  <c r="IK5" i="15"/>
  <c r="IJ5" i="15"/>
  <c r="II5" i="15"/>
  <c r="IH5" i="15"/>
  <c r="IG5" i="15"/>
  <c r="IF5" i="15"/>
  <c r="IE5" i="15"/>
  <c r="ID5" i="15"/>
  <c r="IC5" i="15"/>
  <c r="IB5" i="15"/>
  <c r="IA5" i="15"/>
  <c r="HZ5" i="15"/>
  <c r="HY5" i="15"/>
  <c r="HX5" i="15"/>
  <c r="HW5" i="15"/>
  <c r="HV5" i="15"/>
  <c r="HU5" i="15"/>
  <c r="HT5" i="15"/>
  <c r="HS5" i="15"/>
  <c r="HR5" i="15"/>
  <c r="HQ5" i="15"/>
  <c r="HP5" i="15"/>
  <c r="HO5" i="15"/>
  <c r="HN5" i="15"/>
  <c r="HM5" i="15"/>
  <c r="HL5" i="15"/>
  <c r="HK5" i="15"/>
  <c r="HJ5" i="15"/>
  <c r="HI5" i="15"/>
  <c r="HH5" i="15"/>
  <c r="HG5" i="15"/>
  <c r="HF5" i="15"/>
  <c r="HE5" i="15"/>
  <c r="HD5" i="15"/>
  <c r="HC5" i="15"/>
  <c r="HB5" i="15"/>
  <c r="HA5" i="15"/>
  <c r="GZ5" i="15"/>
  <c r="GY5" i="15"/>
  <c r="GX5" i="15"/>
  <c r="GW5" i="15"/>
  <c r="GV5" i="15"/>
  <c r="GU5" i="15"/>
  <c r="GT5" i="15"/>
  <c r="GS5" i="15"/>
  <c r="GR5" i="15"/>
  <c r="GQ5" i="15"/>
  <c r="GP5" i="15"/>
  <c r="GO5" i="15"/>
  <c r="GN5" i="15"/>
  <c r="GM5" i="15"/>
  <c r="GL5" i="15"/>
  <c r="GK5" i="15"/>
  <c r="GJ5" i="15"/>
  <c r="GI5" i="15"/>
  <c r="GH5" i="15"/>
  <c r="GG5" i="15"/>
  <c r="GF5" i="15"/>
  <c r="GE5" i="15"/>
  <c r="GD5" i="15"/>
  <c r="GC5" i="15"/>
  <c r="GB5" i="15"/>
  <c r="GA5" i="15"/>
  <c r="FZ5" i="15"/>
  <c r="FY5" i="15"/>
  <c r="FX5" i="15"/>
  <c r="FW5" i="15"/>
  <c r="FV5" i="15"/>
  <c r="FU5" i="15"/>
  <c r="FT5" i="15"/>
  <c r="FS5" i="15"/>
  <c r="FR5" i="15"/>
  <c r="FQ5" i="15"/>
  <c r="FP5" i="15"/>
  <c r="FO5" i="15"/>
  <c r="FN5" i="15"/>
  <c r="FM5" i="15"/>
  <c r="FL5" i="15"/>
  <c r="FK5" i="15"/>
  <c r="FJ5" i="15"/>
  <c r="FI5" i="15"/>
  <c r="FH5" i="15"/>
  <c r="FG5" i="15"/>
  <c r="FF5" i="15"/>
  <c r="FE5" i="15"/>
  <c r="FD5" i="15"/>
  <c r="FC5" i="15"/>
  <c r="FB5" i="15"/>
  <c r="FA5" i="15"/>
  <c r="EZ5" i="15"/>
  <c r="EY5" i="15"/>
  <c r="EX5" i="15"/>
  <c r="EW5" i="15"/>
  <c r="EV5" i="15"/>
  <c r="EU5" i="15"/>
  <c r="ET5" i="15"/>
  <c r="ES5" i="15"/>
  <c r="ER5" i="15"/>
  <c r="EQ5" i="15"/>
  <c r="EP5" i="15"/>
  <c r="EO5" i="15"/>
  <c r="EN5" i="15"/>
  <c r="EM5" i="15"/>
  <c r="EL5" i="15"/>
  <c r="EK5" i="15"/>
  <c r="EJ5" i="15"/>
  <c r="EI5" i="15"/>
  <c r="EH5" i="15"/>
  <c r="EG5" i="15"/>
  <c r="EF5" i="15"/>
  <c r="EE5" i="15"/>
  <c r="ED5" i="15"/>
  <c r="EC5" i="15"/>
  <c r="EB5" i="15"/>
  <c r="EA5" i="15"/>
  <c r="DZ5" i="15"/>
  <c r="DY5" i="15"/>
  <c r="DX5" i="15"/>
  <c r="DW5" i="15"/>
  <c r="DV5" i="15"/>
  <c r="DU5" i="15"/>
  <c r="DT5" i="15"/>
  <c r="DS5" i="15"/>
  <c r="DR5" i="15"/>
  <c r="DQ5" i="15"/>
  <c r="DP5" i="15"/>
  <c r="DO5" i="15"/>
  <c r="DN5" i="15"/>
  <c r="DM5" i="15"/>
  <c r="DL5" i="15"/>
  <c r="DK5" i="15"/>
  <c r="DJ5" i="15"/>
  <c r="DI5" i="15"/>
  <c r="DH5" i="15"/>
  <c r="DG5" i="15"/>
  <c r="DF5" i="15"/>
  <c r="DE5" i="15"/>
  <c r="DD5" i="15"/>
  <c r="DC5" i="15"/>
  <c r="DB5" i="15"/>
  <c r="DA5" i="15"/>
  <c r="CZ5" i="15"/>
  <c r="CY5" i="15"/>
  <c r="CX5" i="15"/>
  <c r="CW5" i="15"/>
  <c r="CV5" i="15"/>
  <c r="CU5" i="15"/>
  <c r="CT5" i="15"/>
  <c r="CS5" i="15"/>
  <c r="CR5" i="15"/>
  <c r="CQ5" i="15"/>
  <c r="CP5" i="15"/>
  <c r="CO5" i="15"/>
  <c r="CN5" i="15"/>
  <c r="CM5" i="15"/>
  <c r="CL5" i="15"/>
  <c r="CK5" i="15"/>
  <c r="CJ5" i="15"/>
  <c r="CI5" i="15"/>
  <c r="CH5" i="15"/>
  <c r="CG5" i="15"/>
  <c r="CF5" i="15"/>
  <c r="CE5" i="15"/>
  <c r="CD5" i="15"/>
  <c r="CC5" i="15"/>
  <c r="CB5" i="15"/>
  <c r="CA5" i="15"/>
  <c r="BZ5" i="15"/>
  <c r="BY5" i="15"/>
  <c r="BX5" i="15"/>
  <c r="BW5" i="15"/>
  <c r="BV5" i="15"/>
  <c r="BU5" i="15"/>
  <c r="BT5" i="15"/>
  <c r="BS5" i="15"/>
  <c r="BR5" i="15"/>
  <c r="BQ5" i="15"/>
  <c r="BP5" i="15"/>
  <c r="BO5" i="15"/>
  <c r="BN5" i="15"/>
  <c r="BM5" i="15"/>
  <c r="BL5" i="15"/>
  <c r="BK5" i="15"/>
  <c r="BJ5" i="15"/>
  <c r="BI5" i="15"/>
  <c r="BH5" i="15"/>
  <c r="BG5" i="15"/>
  <c r="BF5" i="15"/>
  <c r="BE5" i="15"/>
  <c r="BD5" i="15"/>
  <c r="BC5" i="15"/>
  <c r="BB5" i="15"/>
  <c r="BA5" i="15"/>
  <c r="AZ5" i="15"/>
  <c r="AY5" i="15"/>
  <c r="AX5" i="15"/>
  <c r="AW5" i="15"/>
  <c r="AV5" i="15"/>
  <c r="AU5" i="15"/>
  <c r="AT5" i="15"/>
  <c r="AS5" i="15"/>
  <c r="AR5" i="15"/>
  <c r="AQ5" i="15"/>
  <c r="AP5" i="15"/>
  <c r="AO5" i="15"/>
  <c r="AN5" i="15"/>
  <c r="AM5" i="15"/>
  <c r="AL5" i="15"/>
  <c r="AK5" i="15"/>
  <c r="AJ5" i="15"/>
  <c r="AI5" i="15"/>
  <c r="AH5" i="15"/>
  <c r="AG5" i="15"/>
  <c r="AF5" i="15"/>
  <c r="AE5" i="15"/>
  <c r="AD5" i="15"/>
  <c r="AC5" i="15"/>
  <c r="AB5" i="15"/>
  <c r="AA5" i="15"/>
  <c r="Z5" i="15"/>
  <c r="Y5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KC4" i="15"/>
  <c r="KB4" i="15"/>
  <c r="KA4" i="15"/>
  <c r="JZ4" i="15"/>
  <c r="JY4" i="15"/>
  <c r="JX4" i="15"/>
  <c r="JW4" i="15"/>
  <c r="JV4" i="15"/>
  <c r="JU4" i="15"/>
  <c r="JT4" i="15"/>
  <c r="JS4" i="15"/>
  <c r="JR4" i="15"/>
  <c r="JQ4" i="15"/>
  <c r="JP4" i="15"/>
  <c r="JO4" i="15"/>
  <c r="JN4" i="15"/>
  <c r="JM4" i="15"/>
  <c r="JL4" i="15"/>
  <c r="JK4" i="15"/>
  <c r="JJ4" i="15"/>
  <c r="JI4" i="15"/>
  <c r="JH4" i="15"/>
  <c r="JG4" i="15"/>
  <c r="JF4" i="15"/>
  <c r="JE4" i="15"/>
  <c r="JD4" i="15"/>
  <c r="JC4" i="15"/>
  <c r="JB4" i="15"/>
  <c r="JA4" i="15"/>
  <c r="IZ4" i="15"/>
  <c r="IY4" i="15"/>
  <c r="IX4" i="15"/>
  <c r="IW4" i="15"/>
  <c r="IV4" i="15"/>
  <c r="IU4" i="15"/>
  <c r="IT4" i="15"/>
  <c r="IS4" i="15"/>
  <c r="IR4" i="15"/>
  <c r="IQ4" i="15"/>
  <c r="IP4" i="15"/>
  <c r="IO4" i="15"/>
  <c r="IN4" i="15"/>
  <c r="IM4" i="15"/>
  <c r="IL4" i="15"/>
  <c r="IK4" i="15"/>
  <c r="IJ4" i="15"/>
  <c r="II4" i="15"/>
  <c r="IH4" i="15"/>
  <c r="IG4" i="15"/>
  <c r="IF4" i="15"/>
  <c r="IE4" i="15"/>
  <c r="ID4" i="15"/>
  <c r="IC4" i="15"/>
  <c r="IB4" i="15"/>
  <c r="IA4" i="15"/>
  <c r="HZ4" i="15"/>
  <c r="HY4" i="15"/>
  <c r="HX4" i="15"/>
  <c r="HW4" i="15"/>
  <c r="HV4" i="15"/>
  <c r="HU4" i="15"/>
  <c r="HT4" i="15"/>
  <c r="HS4" i="15"/>
  <c r="HR4" i="15"/>
  <c r="HQ4" i="15"/>
  <c r="HP4" i="15"/>
  <c r="HO4" i="15"/>
  <c r="HN4" i="15"/>
  <c r="HM4" i="15"/>
  <c r="HL4" i="15"/>
  <c r="HK4" i="15"/>
  <c r="HJ4" i="15"/>
  <c r="HI4" i="15"/>
  <c r="HH4" i="15"/>
  <c r="HG4" i="15"/>
  <c r="HF4" i="15"/>
  <c r="HE4" i="15"/>
  <c r="HD4" i="15"/>
  <c r="HC4" i="15"/>
  <c r="HB4" i="15"/>
  <c r="HA4" i="15"/>
  <c r="GZ4" i="15"/>
  <c r="GY4" i="15"/>
  <c r="GX4" i="15"/>
  <c r="GW4" i="15"/>
  <c r="GV4" i="15"/>
  <c r="GU4" i="15"/>
  <c r="GT4" i="15"/>
  <c r="GS4" i="15"/>
  <c r="GR4" i="15"/>
  <c r="GQ4" i="15"/>
  <c r="GP4" i="15"/>
  <c r="GO4" i="15"/>
  <c r="GN4" i="15"/>
  <c r="GM4" i="15"/>
  <c r="GL4" i="15"/>
  <c r="GK4" i="15"/>
  <c r="GJ4" i="15"/>
  <c r="GI4" i="15"/>
  <c r="GH4" i="15"/>
  <c r="GG4" i="15"/>
  <c r="GF4" i="15"/>
  <c r="GE4" i="15"/>
  <c r="GD4" i="15"/>
  <c r="GC4" i="15"/>
  <c r="GB4" i="15"/>
  <c r="GA4" i="15"/>
  <c r="FZ4" i="15"/>
  <c r="FY4" i="15"/>
  <c r="FX4" i="15"/>
  <c r="FW4" i="15"/>
  <c r="FV4" i="15"/>
  <c r="FU4" i="15"/>
  <c r="FT4" i="15"/>
  <c r="FS4" i="15"/>
  <c r="FR4" i="15"/>
  <c r="FQ4" i="15"/>
  <c r="FP4" i="15"/>
  <c r="FO4" i="15"/>
  <c r="FN4" i="15"/>
  <c r="FM4" i="15"/>
  <c r="FL4" i="15"/>
  <c r="FK4" i="15"/>
  <c r="FJ4" i="15"/>
  <c r="FI4" i="15"/>
  <c r="FH4" i="15"/>
  <c r="FG4" i="15"/>
  <c r="FF4" i="15"/>
  <c r="FE4" i="15"/>
  <c r="FD4" i="15"/>
  <c r="FC4" i="15"/>
  <c r="FB4" i="15"/>
  <c r="FA4" i="15"/>
  <c r="EZ4" i="15"/>
  <c r="EY4" i="15"/>
  <c r="EX4" i="15"/>
  <c r="EW4" i="15"/>
  <c r="EV4" i="15"/>
  <c r="EU4" i="15"/>
  <c r="ET4" i="15"/>
  <c r="ES4" i="15"/>
  <c r="ER4" i="15"/>
  <c r="EQ4" i="15"/>
  <c r="EP4" i="15"/>
  <c r="EO4" i="15"/>
  <c r="EN4" i="15"/>
  <c r="EM4" i="15"/>
  <c r="EL4" i="15"/>
  <c r="EK4" i="15"/>
  <c r="EJ4" i="15"/>
  <c r="EI4" i="15"/>
  <c r="EH4" i="15"/>
  <c r="EG4" i="15"/>
  <c r="EF4" i="15"/>
  <c r="EE4" i="15"/>
  <c r="ED4" i="15"/>
  <c r="EC4" i="15"/>
  <c r="EB4" i="15"/>
  <c r="EA4" i="15"/>
  <c r="DZ4" i="15"/>
  <c r="DY4" i="15"/>
  <c r="DX4" i="15"/>
  <c r="DW4" i="15"/>
  <c r="DV4" i="15"/>
  <c r="DU4" i="15"/>
  <c r="DT4" i="15"/>
  <c r="DS4" i="15"/>
  <c r="DR4" i="15"/>
  <c r="DQ4" i="15"/>
  <c r="DP4" i="15"/>
  <c r="DO4" i="15"/>
  <c r="DN4" i="15"/>
  <c r="DM4" i="15"/>
  <c r="DL4" i="15"/>
  <c r="DK4" i="15"/>
  <c r="DJ4" i="15"/>
  <c r="DI4" i="15"/>
  <c r="DH4" i="15"/>
  <c r="DG4" i="15"/>
  <c r="DF4" i="15"/>
  <c r="DE4" i="15"/>
  <c r="DD4" i="15"/>
  <c r="DC4" i="15"/>
  <c r="DB4" i="15"/>
  <c r="DA4" i="15"/>
  <c r="CZ4" i="15"/>
  <c r="CY4" i="15"/>
  <c r="CX4" i="15"/>
  <c r="CW4" i="15"/>
  <c r="CV4" i="15"/>
  <c r="CU4" i="15"/>
  <c r="CT4" i="15"/>
  <c r="CS4" i="15"/>
  <c r="CR4" i="15"/>
  <c r="CQ4" i="15"/>
  <c r="CP4" i="15"/>
  <c r="CO4" i="15"/>
  <c r="CN4" i="15"/>
  <c r="CM4" i="15"/>
  <c r="CL4" i="15"/>
  <c r="CK4" i="15"/>
  <c r="CJ4" i="15"/>
  <c r="CI4" i="15"/>
  <c r="CH4" i="15"/>
  <c r="CG4" i="15"/>
  <c r="CF4" i="15"/>
  <c r="CE4" i="15"/>
  <c r="CD4" i="15"/>
  <c r="CC4" i="15"/>
  <c r="CB4" i="15"/>
  <c r="CA4" i="15"/>
  <c r="BZ4" i="15"/>
  <c r="BY4" i="15"/>
  <c r="BX4" i="15"/>
  <c r="BW4" i="15"/>
  <c r="BV4" i="15"/>
  <c r="BU4" i="15"/>
  <c r="BT4" i="15"/>
  <c r="BS4" i="15"/>
  <c r="BR4" i="15"/>
  <c r="BQ4" i="15"/>
  <c r="BP4" i="15"/>
  <c r="BO4" i="15"/>
  <c r="BN4" i="15"/>
  <c r="BM4" i="15"/>
  <c r="BL4" i="15"/>
  <c r="BK4" i="15"/>
  <c r="BJ4" i="15"/>
  <c r="BI4" i="15"/>
  <c r="BH4" i="15"/>
  <c r="BG4" i="15"/>
  <c r="BF4" i="15"/>
  <c r="BE4" i="15"/>
  <c r="BD4" i="15"/>
  <c r="BC4" i="15"/>
  <c r="BB4" i="15"/>
  <c r="BA4" i="15"/>
  <c r="AZ4" i="15"/>
  <c r="AY4" i="15"/>
  <c r="AX4" i="15"/>
  <c r="AW4" i="15"/>
  <c r="AV4" i="15"/>
  <c r="AU4" i="15"/>
  <c r="AT4" i="15"/>
  <c r="AS4" i="15"/>
  <c r="AR4" i="15"/>
  <c r="AQ4" i="15"/>
  <c r="AP4" i="15"/>
  <c r="AO4" i="15"/>
  <c r="AN4" i="15"/>
  <c r="AM4" i="15"/>
  <c r="AL4" i="15"/>
  <c r="AK4" i="15"/>
  <c r="AJ4" i="15"/>
  <c r="AI4" i="15"/>
  <c r="AH4" i="15"/>
  <c r="AG4" i="15"/>
  <c r="AF4" i="15"/>
  <c r="AE4" i="15"/>
  <c r="AD4" i="15"/>
  <c r="AC4" i="15"/>
  <c r="AB4" i="15"/>
  <c r="AA4" i="15"/>
  <c r="Z4" i="15"/>
  <c r="Y4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KC3" i="15"/>
  <c r="KB3" i="15"/>
  <c r="KA3" i="15"/>
  <c r="JZ3" i="15"/>
  <c r="JY3" i="15"/>
  <c r="JX3" i="15"/>
  <c r="JW3" i="15"/>
  <c r="JV3" i="15"/>
  <c r="JU3" i="15"/>
  <c r="JT3" i="15"/>
  <c r="JS3" i="15"/>
  <c r="JR3" i="15"/>
  <c r="JQ3" i="15"/>
  <c r="JP3" i="15"/>
  <c r="JO3" i="15"/>
  <c r="JN3" i="15"/>
  <c r="JM3" i="15"/>
  <c r="JL3" i="15"/>
  <c r="JK3" i="15"/>
  <c r="JJ3" i="15"/>
  <c r="JI3" i="15"/>
  <c r="JH3" i="15"/>
  <c r="JG3" i="15"/>
  <c r="JF3" i="15"/>
  <c r="JE3" i="15"/>
  <c r="JD3" i="15"/>
  <c r="JC3" i="15"/>
  <c r="JB3" i="15"/>
  <c r="JA3" i="15"/>
  <c r="IZ3" i="15"/>
  <c r="IY3" i="15"/>
  <c r="IX3" i="15"/>
  <c r="IW3" i="15"/>
  <c r="IV3" i="15"/>
  <c r="IU3" i="15"/>
  <c r="IT3" i="15"/>
  <c r="IS3" i="15"/>
  <c r="IR3" i="15"/>
  <c r="IQ3" i="15"/>
  <c r="IP3" i="15"/>
  <c r="IO3" i="15"/>
  <c r="IN3" i="15"/>
  <c r="IM3" i="15"/>
  <c r="IL3" i="15"/>
  <c r="IK3" i="15"/>
  <c r="IJ3" i="15"/>
  <c r="II3" i="15"/>
  <c r="IH3" i="15"/>
  <c r="IG3" i="15"/>
  <c r="IF3" i="15"/>
  <c r="IE3" i="15"/>
  <c r="ID3" i="15"/>
  <c r="IC3" i="15"/>
  <c r="IB3" i="15"/>
  <c r="IA3" i="15"/>
  <c r="HZ3" i="15"/>
  <c r="HY3" i="15"/>
  <c r="HX3" i="15"/>
  <c r="HW3" i="15"/>
  <c r="HV3" i="15"/>
  <c r="HU3" i="15"/>
  <c r="HT3" i="15"/>
  <c r="HS3" i="15"/>
  <c r="HR3" i="15"/>
  <c r="HQ3" i="15"/>
  <c r="HP3" i="15"/>
  <c r="HO3" i="15"/>
  <c r="HN3" i="15"/>
  <c r="HM3" i="15"/>
  <c r="HL3" i="15"/>
  <c r="HK3" i="15"/>
  <c r="HJ3" i="15"/>
  <c r="HI3" i="15"/>
  <c r="HH3" i="15"/>
  <c r="HG3" i="15"/>
  <c r="HF3" i="15"/>
  <c r="HE3" i="15"/>
  <c r="HD3" i="15"/>
  <c r="HC3" i="15"/>
  <c r="HB3" i="15"/>
  <c r="HA3" i="15"/>
  <c r="GZ3" i="15"/>
  <c r="GY3" i="15"/>
  <c r="GX3" i="15"/>
  <c r="GW3" i="15"/>
  <c r="GV3" i="15"/>
  <c r="GU3" i="15"/>
  <c r="GT3" i="15"/>
  <c r="GS3" i="15"/>
  <c r="GR3" i="15"/>
  <c r="GQ3" i="15"/>
  <c r="GP3" i="15"/>
  <c r="GO3" i="15"/>
  <c r="GN3" i="15"/>
  <c r="GM3" i="15"/>
  <c r="GL3" i="15"/>
  <c r="GK3" i="15"/>
  <c r="GJ3" i="15"/>
  <c r="GI3" i="15"/>
  <c r="GH3" i="15"/>
  <c r="GG3" i="15"/>
  <c r="GF3" i="15"/>
  <c r="GE3" i="15"/>
  <c r="GD3" i="15"/>
  <c r="GC3" i="15"/>
  <c r="GB3" i="15"/>
  <c r="GA3" i="15"/>
  <c r="FZ3" i="15"/>
  <c r="FY3" i="15"/>
  <c r="FX3" i="15"/>
  <c r="FW3" i="15"/>
  <c r="FV3" i="15"/>
  <c r="FU3" i="15"/>
  <c r="FT3" i="15"/>
  <c r="FS3" i="15"/>
  <c r="FR3" i="15"/>
  <c r="FQ3" i="15"/>
  <c r="FP3" i="15"/>
  <c r="FO3" i="15"/>
  <c r="FN3" i="15"/>
  <c r="FM3" i="15"/>
  <c r="FL3" i="15"/>
  <c r="FK3" i="15"/>
  <c r="FJ3" i="15"/>
  <c r="FI3" i="15"/>
  <c r="FH3" i="15"/>
  <c r="FG3" i="15"/>
  <c r="FF3" i="15"/>
  <c r="FE3" i="15"/>
  <c r="FD3" i="15"/>
  <c r="FC3" i="15"/>
  <c r="FB3" i="15"/>
  <c r="FA3" i="15"/>
  <c r="EZ3" i="15"/>
  <c r="EY3" i="15"/>
  <c r="EX3" i="15"/>
  <c r="EW3" i="15"/>
  <c r="EV3" i="15"/>
  <c r="EU3" i="15"/>
  <c r="ET3" i="15"/>
  <c r="ES3" i="15"/>
  <c r="ER3" i="15"/>
  <c r="EQ3" i="15"/>
  <c r="EP3" i="15"/>
  <c r="EO3" i="15"/>
  <c r="EN3" i="15"/>
  <c r="EM3" i="15"/>
  <c r="EL3" i="15"/>
  <c r="EK3" i="15"/>
  <c r="EJ3" i="15"/>
  <c r="EI3" i="15"/>
  <c r="EH3" i="15"/>
  <c r="EG3" i="15"/>
  <c r="EF3" i="15"/>
  <c r="EE3" i="15"/>
  <c r="ED3" i="15"/>
  <c r="EC3" i="15"/>
  <c r="EB3" i="15"/>
  <c r="EA3" i="15"/>
  <c r="DZ3" i="15"/>
  <c r="DY3" i="15"/>
  <c r="DX3" i="15"/>
  <c r="DW3" i="15"/>
  <c r="DV3" i="15"/>
  <c r="DU3" i="15"/>
  <c r="DT3" i="15"/>
  <c r="DS3" i="15"/>
  <c r="DR3" i="15"/>
  <c r="DQ3" i="15"/>
  <c r="DP3" i="15"/>
  <c r="DO3" i="15"/>
  <c r="DN3" i="15"/>
  <c r="DM3" i="15"/>
  <c r="DL3" i="15"/>
  <c r="DK3" i="15"/>
  <c r="DJ3" i="15"/>
  <c r="DI3" i="15"/>
  <c r="DH3" i="15"/>
  <c r="DG3" i="15"/>
  <c r="DF3" i="15"/>
  <c r="DE3" i="15"/>
  <c r="DD3" i="15"/>
  <c r="DC3" i="15"/>
  <c r="DB3" i="15"/>
  <c r="DA3" i="15"/>
  <c r="CZ3" i="15"/>
  <c r="CY3" i="15"/>
  <c r="CX3" i="15"/>
  <c r="CW3" i="15"/>
  <c r="CV3" i="15"/>
  <c r="CU3" i="15"/>
  <c r="CT3" i="15"/>
  <c r="CS3" i="15"/>
  <c r="CR3" i="15"/>
  <c r="CQ3" i="15"/>
  <c r="CP3" i="15"/>
  <c r="CO3" i="15"/>
  <c r="CN3" i="15"/>
  <c r="CM3" i="15"/>
  <c r="CL3" i="15"/>
  <c r="CK3" i="15"/>
  <c r="CJ3" i="15"/>
  <c r="CI3" i="15"/>
  <c r="CH3" i="15"/>
  <c r="CG3" i="15"/>
  <c r="CF3" i="15"/>
  <c r="CE3" i="15"/>
  <c r="CD3" i="15"/>
  <c r="CC3" i="15"/>
  <c r="CB3" i="15"/>
  <c r="CA3" i="15"/>
  <c r="BZ3" i="15"/>
  <c r="BY3" i="15"/>
  <c r="BX3" i="15"/>
  <c r="BW3" i="15"/>
  <c r="BV3" i="15"/>
  <c r="BU3" i="15"/>
  <c r="BT3" i="15"/>
  <c r="BS3" i="15"/>
  <c r="BR3" i="15"/>
  <c r="BQ3" i="15"/>
  <c r="BP3" i="15"/>
  <c r="BO3" i="15"/>
  <c r="BN3" i="15"/>
  <c r="BM3" i="15"/>
  <c r="BL3" i="15"/>
  <c r="BK3" i="15"/>
  <c r="BJ3" i="15"/>
  <c r="BI3" i="15"/>
  <c r="BH3" i="15"/>
  <c r="BG3" i="15"/>
  <c r="BF3" i="15"/>
  <c r="BE3" i="15"/>
  <c r="BD3" i="15"/>
  <c r="BC3" i="15"/>
  <c r="BB3" i="15"/>
  <c r="BA3" i="15"/>
  <c r="AZ3" i="15"/>
  <c r="AY3" i="15"/>
  <c r="AX3" i="15"/>
  <c r="AW3" i="15"/>
  <c r="AV3" i="15"/>
  <c r="AU3" i="15"/>
  <c r="AT3" i="15"/>
  <c r="AS3" i="15"/>
  <c r="AR3" i="15"/>
  <c r="AQ3" i="15"/>
  <c r="AP3" i="15"/>
  <c r="AO3" i="15"/>
  <c r="AN3" i="15"/>
  <c r="AM3" i="15"/>
  <c r="AL3" i="15"/>
  <c r="AK3" i="15"/>
  <c r="AJ3" i="15"/>
  <c r="AI3" i="15"/>
  <c r="AH3" i="15"/>
  <c r="AG3" i="15"/>
  <c r="AF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KC2" i="15"/>
  <c r="KB2" i="15"/>
  <c r="KA2" i="15"/>
  <c r="JZ2" i="15"/>
  <c r="JY2" i="15"/>
  <c r="JX2" i="15"/>
  <c r="JW2" i="15"/>
  <c r="JV2" i="15"/>
  <c r="JU2" i="15"/>
  <c r="JT2" i="15"/>
  <c r="JS2" i="15"/>
  <c r="JR2" i="15"/>
  <c r="JQ2" i="15"/>
  <c r="JP2" i="15"/>
  <c r="JN2" i="15"/>
  <c r="JM2" i="15"/>
  <c r="JL2" i="15"/>
  <c r="JK2" i="15"/>
  <c r="JJ2" i="15"/>
  <c r="JI2" i="15"/>
  <c r="JH2" i="15"/>
  <c r="JG2" i="15"/>
  <c r="JF2" i="15"/>
  <c r="JE2" i="15"/>
  <c r="JD2" i="15"/>
  <c r="JC2" i="15"/>
  <c r="JB2" i="15"/>
  <c r="JA2" i="15"/>
  <c r="IZ2" i="15"/>
  <c r="IY2" i="15"/>
  <c r="IX2" i="15"/>
  <c r="IW2" i="15"/>
  <c r="IV2" i="15"/>
  <c r="IU2" i="15"/>
  <c r="IT2" i="15"/>
  <c r="IS2" i="15"/>
  <c r="IR2" i="15"/>
  <c r="IQ2" i="15"/>
  <c r="IP2" i="15"/>
  <c r="IO2" i="15"/>
  <c r="IN2" i="15"/>
  <c r="IM2" i="15"/>
  <c r="IL2" i="15"/>
  <c r="IK2" i="15"/>
  <c r="IJ2" i="15"/>
  <c r="II2" i="15"/>
  <c r="IH2" i="15"/>
  <c r="IG2" i="15"/>
  <c r="IF2" i="15"/>
  <c r="IE2" i="15"/>
  <c r="ID2" i="15"/>
  <c r="IC2" i="15"/>
  <c r="IB2" i="15"/>
  <c r="IA2" i="15"/>
  <c r="HZ2" i="15"/>
  <c r="HY2" i="15"/>
  <c r="HX2" i="15"/>
  <c r="HW2" i="15"/>
  <c r="HV2" i="15"/>
  <c r="HU2" i="15"/>
  <c r="HT2" i="15"/>
  <c r="HS2" i="15"/>
  <c r="HR2" i="15"/>
  <c r="HQ2" i="15"/>
  <c r="HP2" i="15"/>
  <c r="HO2" i="15"/>
  <c r="HN2" i="15"/>
  <c r="HM2" i="15"/>
  <c r="HL2" i="15"/>
  <c r="HK2" i="15"/>
  <c r="HJ2" i="15"/>
  <c r="HI2" i="15"/>
  <c r="HH2" i="15"/>
  <c r="HG2" i="15"/>
  <c r="HF2" i="15"/>
  <c r="HE2" i="15"/>
  <c r="HD2" i="15"/>
  <c r="HC2" i="15"/>
  <c r="HB2" i="15"/>
  <c r="HA2" i="15"/>
  <c r="GZ2" i="15"/>
  <c r="GY2" i="15"/>
  <c r="GX2" i="15"/>
  <c r="GW2" i="15"/>
  <c r="GV2" i="15"/>
  <c r="GU2" i="15"/>
  <c r="GT2" i="15"/>
  <c r="GS2" i="15"/>
  <c r="GR2" i="15"/>
  <c r="GQ2" i="15"/>
  <c r="GP2" i="15"/>
  <c r="GO2" i="15"/>
  <c r="GN2" i="15"/>
  <c r="GM2" i="15"/>
  <c r="GL2" i="15"/>
  <c r="GK2" i="15"/>
  <c r="GJ2" i="15"/>
  <c r="GI2" i="15"/>
  <c r="GH2" i="15"/>
  <c r="GG2" i="15"/>
  <c r="GF2" i="15"/>
  <c r="GE2" i="15"/>
  <c r="GD2" i="15"/>
  <c r="GC2" i="15"/>
  <c r="GB2" i="15"/>
  <c r="GA2" i="15"/>
  <c r="FZ2" i="15"/>
  <c r="FY2" i="15"/>
  <c r="FX2" i="15"/>
  <c r="FW2" i="15"/>
  <c r="FV2" i="15"/>
  <c r="FU2" i="15"/>
  <c r="FT2" i="15"/>
  <c r="FS2" i="15"/>
  <c r="FR2" i="15"/>
  <c r="FQ2" i="15"/>
  <c r="FP2" i="15"/>
  <c r="FO2" i="15"/>
  <c r="FN2" i="15"/>
  <c r="FM2" i="15"/>
  <c r="FL2" i="15"/>
  <c r="FK2" i="15"/>
  <c r="FJ2" i="15"/>
  <c r="FI2" i="15"/>
  <c r="FH2" i="15"/>
  <c r="FG2" i="15"/>
  <c r="FF2" i="15"/>
  <c r="FE2" i="15"/>
  <c r="FD2" i="15"/>
  <c r="FC2" i="15"/>
  <c r="FB2" i="15"/>
  <c r="FA2" i="15"/>
  <c r="EZ2" i="15"/>
  <c r="EY2" i="15"/>
  <c r="EX2" i="15"/>
  <c r="EW2" i="15"/>
  <c r="EV2" i="15"/>
  <c r="EU2" i="15"/>
  <c r="ET2" i="15"/>
  <c r="ES2" i="15"/>
  <c r="ER2" i="15"/>
  <c r="EQ2" i="15"/>
  <c r="EP2" i="15"/>
  <c r="EO2" i="15"/>
  <c r="EN2" i="15"/>
  <c r="EM2" i="15"/>
  <c r="EL2" i="15"/>
  <c r="EK2" i="15"/>
  <c r="EJ2" i="15"/>
  <c r="EI2" i="15"/>
  <c r="EH2" i="15"/>
  <c r="EG2" i="15"/>
  <c r="EF2" i="15"/>
  <c r="EE2" i="15"/>
  <c r="ED2" i="15"/>
  <c r="EC2" i="15"/>
  <c r="EB2" i="15"/>
  <c r="EA2" i="15"/>
  <c r="DZ2" i="15"/>
  <c r="DY2" i="15"/>
  <c r="DX2" i="15"/>
  <c r="DW2" i="15"/>
  <c r="DV2" i="15"/>
  <c r="DU2" i="15"/>
  <c r="DT2" i="15"/>
  <c r="DS2" i="15"/>
  <c r="DR2" i="15"/>
  <c r="DQ2" i="15"/>
  <c r="DP2" i="15"/>
  <c r="DO2" i="15"/>
  <c r="DN2" i="15"/>
  <c r="DM2" i="15"/>
  <c r="DL2" i="15"/>
  <c r="DK2" i="15"/>
  <c r="DJ2" i="15"/>
  <c r="DI2" i="15"/>
  <c r="DH2" i="15"/>
  <c r="DG2" i="15"/>
  <c r="DF2" i="15"/>
  <c r="DE2" i="15"/>
  <c r="DD2" i="15"/>
  <c r="DC2" i="15"/>
  <c r="DB2" i="15"/>
  <c r="DA2" i="15"/>
  <c r="CZ2" i="15"/>
  <c r="CY2" i="15"/>
  <c r="CX2" i="15"/>
  <c r="CW2" i="15"/>
  <c r="CV2" i="15"/>
  <c r="CU2" i="15"/>
  <c r="CT2" i="15"/>
  <c r="CS2" i="15"/>
  <c r="CR2" i="15"/>
  <c r="CQ2" i="15"/>
  <c r="CP2" i="15"/>
  <c r="CO2" i="15"/>
  <c r="CN2" i="15"/>
  <c r="CM2" i="15"/>
  <c r="CL2" i="15"/>
  <c r="CK2" i="15"/>
  <c r="CJ2" i="15"/>
  <c r="CI2" i="15"/>
  <c r="CH2" i="15"/>
  <c r="CG2" i="15"/>
  <c r="CF2" i="15"/>
  <c r="CE2" i="15"/>
  <c r="CD2" i="15"/>
  <c r="CC2" i="15"/>
  <c r="CB2" i="15"/>
  <c r="CA2" i="15"/>
  <c r="BZ2" i="15"/>
  <c r="BY2" i="15"/>
  <c r="BX2" i="15"/>
  <c r="BW2" i="15"/>
  <c r="BV2" i="15"/>
  <c r="BU2" i="15"/>
  <c r="BT2" i="15"/>
  <c r="BS2" i="15"/>
  <c r="BR2" i="15"/>
  <c r="BQ2" i="15"/>
  <c r="BP2" i="15"/>
  <c r="BO2" i="15"/>
  <c r="BN2" i="15"/>
  <c r="BM2" i="15"/>
  <c r="BL2" i="15"/>
  <c r="BK2" i="15"/>
  <c r="BJ2" i="15"/>
  <c r="BI2" i="15"/>
  <c r="BH2" i="15"/>
  <c r="BG2" i="15"/>
  <c r="BF2" i="15"/>
  <c r="BE2" i="15"/>
  <c r="BD2" i="15"/>
  <c r="BC2" i="15"/>
  <c r="BB2" i="15"/>
  <c r="BA2" i="15"/>
  <c r="AZ2" i="15"/>
  <c r="AY2" i="15"/>
  <c r="AX2" i="15"/>
  <c r="AW2" i="15"/>
  <c r="AV2" i="15"/>
  <c r="AU2" i="15"/>
  <c r="AT2" i="15"/>
  <c r="AS2" i="15"/>
  <c r="AR2" i="15"/>
  <c r="AQ2" i="15"/>
  <c r="AP2" i="15"/>
  <c r="AO2" i="15"/>
  <c r="AN2" i="15"/>
  <c r="AM2" i="15"/>
  <c r="AL2" i="15"/>
  <c r="AK2" i="15"/>
  <c r="AJ2" i="15"/>
  <c r="AI2" i="15"/>
  <c r="AH2" i="15"/>
  <c r="AG2" i="15"/>
  <c r="AF2" i="15"/>
  <c r="AE2" i="15"/>
  <c r="AD2" i="15"/>
  <c r="AC2" i="15"/>
  <c r="AB2" i="15"/>
  <c r="AA2" i="15"/>
  <c r="Z2" i="15"/>
  <c r="Y2" i="15"/>
  <c r="X2" i="15"/>
  <c r="W2" i="15"/>
  <c r="V2" i="15"/>
  <c r="U2" i="15"/>
  <c r="T2" i="15"/>
  <c r="S2" i="15"/>
  <c r="R2" i="15"/>
  <c r="Q2" i="15"/>
  <c r="P2" i="15"/>
  <c r="O2" i="15"/>
  <c r="N2" i="15"/>
  <c r="M2" i="15"/>
  <c r="L2" i="15"/>
  <c r="K2" i="15"/>
  <c r="J2" i="15"/>
  <c r="I2" i="15"/>
  <c r="H2" i="15"/>
  <c r="G2" i="15"/>
  <c r="F2" i="15"/>
  <c r="E2" i="15"/>
  <c r="JO2" i="15"/>
  <c r="R295" i="8" l="1"/>
  <c r="R294" i="8"/>
  <c r="R293" i="8"/>
  <c r="R292" i="8"/>
  <c r="R291" i="8"/>
  <c r="R290" i="8"/>
  <c r="R289" i="8"/>
  <c r="R28" i="8"/>
  <c r="Q28" i="8"/>
  <c r="R87" i="8"/>
  <c r="R86" i="8"/>
  <c r="R85" i="8"/>
  <c r="R84" i="8"/>
  <c r="R288" i="8"/>
  <c r="R287" i="8"/>
  <c r="R105" i="8"/>
  <c r="R286" i="8"/>
  <c r="R285" i="8"/>
  <c r="R284" i="8"/>
  <c r="R283" i="8"/>
  <c r="R282" i="8"/>
  <c r="R281" i="8"/>
  <c r="R280" i="8"/>
  <c r="R279" i="8"/>
  <c r="R278" i="8"/>
  <c r="R277" i="8"/>
  <c r="R276" i="8"/>
  <c r="R275" i="8"/>
  <c r="R21" i="8"/>
  <c r="Q21" i="8"/>
  <c r="R20" i="8"/>
  <c r="Q20" i="8"/>
  <c r="R274" i="8"/>
  <c r="R80" i="8"/>
  <c r="Q80" i="8"/>
  <c r="R273" i="8"/>
  <c r="R272" i="8"/>
  <c r="R79" i="8"/>
  <c r="Q79" i="8"/>
  <c r="R78" i="8"/>
  <c r="Q78" i="8"/>
  <c r="R19" i="8"/>
  <c r="Q19" i="8"/>
  <c r="R83" i="8"/>
  <c r="R271" i="8"/>
  <c r="R270" i="8"/>
  <c r="R104" i="8"/>
  <c r="R269" i="8"/>
  <c r="R268" i="8"/>
  <c r="R267" i="8"/>
  <c r="R266" i="8"/>
  <c r="R103" i="8"/>
  <c r="R265" i="8"/>
  <c r="R264" i="8"/>
  <c r="R102" i="8"/>
  <c r="R263" i="8"/>
  <c r="R262" i="8"/>
  <c r="R77" i="8"/>
  <c r="R76" i="8"/>
  <c r="Q76" i="8"/>
  <c r="R45" i="8"/>
  <c r="R44" i="8"/>
  <c r="R43" i="8"/>
  <c r="R42" i="8"/>
  <c r="R41" i="8"/>
  <c r="R261" i="8"/>
  <c r="R260" i="8"/>
  <c r="R259" i="8"/>
  <c r="R258" i="8"/>
  <c r="R257" i="8"/>
  <c r="R18" i="8"/>
  <c r="Q18" i="8"/>
  <c r="R27" i="8"/>
  <c r="Q27" i="8"/>
  <c r="R101" i="8"/>
  <c r="R256" i="8"/>
  <c r="R255" i="8"/>
  <c r="R254" i="8"/>
  <c r="R5" i="8"/>
  <c r="Q5" i="8"/>
  <c r="R253" i="8"/>
  <c r="R4" i="8"/>
  <c r="Q4" i="8"/>
  <c r="R3" i="8"/>
  <c r="Q3" i="8"/>
  <c r="R252" i="8"/>
  <c r="R251" i="8"/>
  <c r="R250" i="8"/>
  <c r="R249" i="8"/>
  <c r="R248" i="8"/>
  <c r="R247" i="8"/>
  <c r="R246" i="8"/>
  <c r="R245" i="8"/>
  <c r="R244" i="8"/>
  <c r="R100" i="8"/>
  <c r="R243" i="8"/>
  <c r="R99" i="8"/>
  <c r="R242" i="8"/>
  <c r="R241" i="8"/>
  <c r="R240" i="8"/>
  <c r="R239" i="8"/>
  <c r="R238" i="8"/>
  <c r="R237" i="8"/>
  <c r="R236" i="8"/>
  <c r="R235" i="8"/>
  <c r="R234" i="8"/>
  <c r="R233" i="8"/>
  <c r="R232" i="8"/>
  <c r="R98" i="8"/>
  <c r="R97" i="8"/>
  <c r="R96" i="8"/>
  <c r="R26" i="8"/>
  <c r="Q26" i="8"/>
  <c r="R231" i="8"/>
  <c r="R230" i="8"/>
  <c r="R229" i="8"/>
  <c r="R228" i="8"/>
  <c r="R227" i="8"/>
  <c r="R226" i="8"/>
  <c r="R225" i="8"/>
  <c r="R224" i="8"/>
  <c r="R82" i="8"/>
  <c r="R223" i="8"/>
  <c r="R222" i="8"/>
  <c r="R221" i="8"/>
  <c r="R220" i="8"/>
  <c r="R219" i="8"/>
  <c r="R75" i="8"/>
  <c r="Q75" i="8"/>
  <c r="R74" i="8"/>
  <c r="Q74" i="8"/>
  <c r="R17" i="8"/>
  <c r="Q17" i="8"/>
  <c r="R16" i="8"/>
  <c r="Q16" i="8"/>
  <c r="R15" i="8"/>
  <c r="Q15" i="8"/>
  <c r="R14" i="8"/>
  <c r="Q14" i="8"/>
  <c r="R218" i="8"/>
  <c r="R13" i="8"/>
  <c r="Q13" i="8"/>
  <c r="R217" i="8"/>
  <c r="R216" i="8"/>
  <c r="R215" i="8"/>
  <c r="R214" i="8"/>
  <c r="R73" i="8"/>
  <c r="Q73" i="8"/>
  <c r="R213" i="8"/>
  <c r="R72" i="8"/>
  <c r="Q72" i="8"/>
  <c r="R71" i="8"/>
  <c r="Q71" i="8"/>
  <c r="R40" i="8"/>
  <c r="R39" i="8"/>
  <c r="R70" i="8"/>
  <c r="Q70" i="8"/>
  <c r="R69" i="8"/>
  <c r="Q69" i="8"/>
  <c r="R68" i="8"/>
  <c r="Q68" i="8"/>
  <c r="R67" i="8"/>
  <c r="Q67" i="8"/>
  <c r="R66" i="8"/>
  <c r="Q66" i="8"/>
  <c r="R65" i="8"/>
  <c r="Q65" i="8"/>
  <c r="R212" i="8"/>
  <c r="R25" i="8"/>
  <c r="Q25" i="8"/>
  <c r="R24" i="8"/>
  <c r="Q24" i="8"/>
  <c r="R64" i="8"/>
  <c r="Q64" i="8"/>
  <c r="R211" i="8"/>
  <c r="R210" i="8"/>
  <c r="R209" i="8"/>
  <c r="R208" i="8"/>
  <c r="R207" i="8"/>
  <c r="R206" i="8"/>
  <c r="R205" i="8"/>
  <c r="R204" i="8"/>
  <c r="R203" i="8"/>
  <c r="R202" i="8"/>
  <c r="R201" i="8"/>
  <c r="R200" i="8"/>
  <c r="R199" i="8"/>
  <c r="R63" i="8"/>
  <c r="Q63" i="8"/>
  <c r="R198" i="8"/>
  <c r="R197" i="8"/>
  <c r="R196" i="8"/>
  <c r="R195" i="8"/>
  <c r="R194" i="8"/>
  <c r="R193" i="8"/>
  <c r="R95" i="8"/>
  <c r="R94" i="8"/>
  <c r="R93" i="8"/>
  <c r="R23" i="8"/>
  <c r="Q23" i="8"/>
  <c r="R192" i="8"/>
  <c r="R191" i="8"/>
  <c r="R190" i="8"/>
  <c r="R189" i="8"/>
  <c r="R188" i="8"/>
  <c r="R187" i="8"/>
  <c r="R186" i="8"/>
  <c r="R92" i="8"/>
  <c r="R185" i="8"/>
  <c r="R62" i="8"/>
  <c r="R184" i="8"/>
  <c r="R183" i="8"/>
  <c r="R182" i="8"/>
  <c r="R12" i="8"/>
  <c r="Q12" i="8"/>
  <c r="R11" i="8"/>
  <c r="Q11" i="8"/>
  <c r="R181" i="8"/>
  <c r="R61" i="8"/>
  <c r="Q61" i="8"/>
  <c r="R60" i="8"/>
  <c r="Q60" i="8"/>
  <c r="R180" i="8"/>
  <c r="R91" i="8"/>
  <c r="R179" i="8"/>
  <c r="R10" i="8"/>
  <c r="Q10" i="8"/>
  <c r="R9" i="8"/>
  <c r="Q9" i="8"/>
  <c r="R81" i="8"/>
  <c r="R178" i="8"/>
  <c r="R177" i="8"/>
  <c r="R59" i="8"/>
  <c r="Q59" i="8"/>
  <c r="R176" i="8"/>
  <c r="R175" i="8"/>
  <c r="R174" i="8"/>
  <c r="R173" i="8"/>
  <c r="R172" i="8"/>
  <c r="R171" i="8"/>
  <c r="R170" i="8"/>
  <c r="R169" i="8"/>
  <c r="R168" i="8"/>
  <c r="R167" i="8"/>
  <c r="R166" i="8"/>
  <c r="R165" i="8"/>
  <c r="R8" i="8"/>
  <c r="Q8" i="8"/>
  <c r="R58" i="8"/>
  <c r="Q58" i="8"/>
  <c r="R164" i="8"/>
  <c r="R2" i="8"/>
  <c r="R163" i="8"/>
  <c r="R162" i="8"/>
  <c r="R161" i="8"/>
  <c r="R160" i="8"/>
  <c r="R159" i="8"/>
  <c r="R158" i="8"/>
  <c r="R157" i="8"/>
  <c r="R156" i="8"/>
  <c r="R155" i="8"/>
  <c r="R38" i="8"/>
  <c r="R37" i="8"/>
  <c r="R154" i="8"/>
  <c r="R153" i="8"/>
  <c r="R152" i="8"/>
  <c r="R151" i="8"/>
  <c r="R150" i="8"/>
  <c r="R149" i="8"/>
  <c r="R148" i="8"/>
  <c r="R147" i="8"/>
  <c r="R146" i="8"/>
  <c r="R36" i="8"/>
  <c r="R35" i="8"/>
  <c r="R145" i="8"/>
  <c r="R144" i="8"/>
  <c r="R143" i="8"/>
  <c r="R34" i="8"/>
  <c r="R142" i="8"/>
  <c r="R141" i="8"/>
  <c r="R90" i="8"/>
  <c r="R140" i="8"/>
  <c r="R139" i="8"/>
  <c r="R138" i="8"/>
  <c r="R137" i="8"/>
  <c r="R136" i="8"/>
  <c r="R135" i="8"/>
  <c r="R134" i="8"/>
  <c r="R133" i="8"/>
  <c r="R132" i="8"/>
  <c r="R131" i="8"/>
  <c r="R130" i="8"/>
  <c r="R129" i="8"/>
  <c r="R89" i="8"/>
  <c r="R128" i="8"/>
  <c r="R127" i="8"/>
  <c r="R33" i="8"/>
  <c r="R126" i="8"/>
  <c r="R125" i="8"/>
  <c r="R57" i="8"/>
  <c r="Q57" i="8"/>
  <c r="R124" i="8"/>
  <c r="R123" i="8"/>
  <c r="R88" i="8"/>
  <c r="R122" i="8"/>
  <c r="R48" i="8"/>
  <c r="R56" i="8"/>
  <c r="Q56" i="8"/>
  <c r="R55" i="8"/>
  <c r="Q55" i="8"/>
  <c r="R22" i="8"/>
  <c r="Q22" i="8"/>
  <c r="R7" i="8"/>
  <c r="Q7" i="8"/>
  <c r="R6" i="8"/>
  <c r="Q6" i="8"/>
  <c r="R54" i="8"/>
  <c r="R53" i="8"/>
  <c r="R121" i="8"/>
  <c r="R120" i="8"/>
  <c r="R119" i="8"/>
  <c r="R118" i="8"/>
  <c r="R117" i="8"/>
  <c r="R32" i="8"/>
  <c r="R31" i="8"/>
  <c r="R30" i="8"/>
  <c r="R29" i="8"/>
  <c r="R116" i="8"/>
  <c r="R115" i="8"/>
  <c r="R114" i="8"/>
  <c r="R52" i="8"/>
  <c r="Q52" i="8"/>
  <c r="R51" i="8"/>
  <c r="Q51" i="8"/>
  <c r="R50" i="8"/>
  <c r="Q50" i="8"/>
  <c r="R49" i="8"/>
  <c r="Q49" i="8"/>
  <c r="R113" i="8"/>
  <c r="R112" i="8"/>
  <c r="R111" i="8"/>
  <c r="R110" i="8"/>
  <c r="R109" i="8"/>
  <c r="R108" i="8"/>
  <c r="R107" i="8"/>
  <c r="R47" i="8"/>
  <c r="R106" i="8"/>
  <c r="R46" i="8"/>
  <c r="I185" i="4"/>
  <c r="I184" i="4"/>
  <c r="I183" i="4"/>
  <c r="I182" i="4"/>
  <c r="H591" i="3"/>
  <c r="H590" i="3"/>
  <c r="H589" i="3"/>
  <c r="H588" i="3"/>
  <c r="H587" i="3"/>
  <c r="H586" i="3"/>
  <c r="H585" i="3"/>
  <c r="H584" i="3"/>
  <c r="H583" i="3"/>
  <c r="H582" i="3"/>
  <c r="H581" i="3"/>
  <c r="H580" i="3"/>
  <c r="H579" i="3"/>
  <c r="H578" i="3"/>
  <c r="H577" i="3"/>
  <c r="H576" i="3"/>
  <c r="H575" i="3"/>
  <c r="H574" i="3"/>
  <c r="H573" i="3"/>
  <c r="H572" i="3"/>
  <c r="H571" i="3"/>
  <c r="H570" i="3"/>
  <c r="H569" i="3"/>
  <c r="H568" i="3"/>
  <c r="H567" i="3"/>
  <c r="H566" i="3"/>
  <c r="H565" i="3"/>
  <c r="H564" i="3"/>
  <c r="H563" i="3"/>
  <c r="H562" i="3"/>
  <c r="H561" i="3"/>
  <c r="H560" i="3"/>
  <c r="H559" i="3"/>
  <c r="H558" i="3"/>
  <c r="H557" i="3"/>
  <c r="H556" i="3"/>
  <c r="H555" i="3"/>
  <c r="H554" i="3"/>
  <c r="H553" i="3"/>
  <c r="H552" i="3"/>
  <c r="G505" i="3"/>
  <c r="F505" i="3"/>
  <c r="E505" i="3"/>
  <c r="G504" i="3"/>
  <c r="F504" i="3"/>
  <c r="E504" i="3"/>
  <c r="G406" i="3"/>
  <c r="F406" i="3"/>
  <c r="E406" i="3"/>
  <c r="G405" i="3"/>
  <c r="F405" i="3"/>
  <c r="E405" i="3"/>
  <c r="G393" i="3"/>
  <c r="F393" i="3"/>
  <c r="E393" i="3"/>
  <c r="G392" i="3"/>
  <c r="F392" i="3"/>
  <c r="E392" i="3"/>
  <c r="G309" i="3"/>
  <c r="F309" i="3"/>
  <c r="E309" i="3"/>
  <c r="G308" i="3"/>
  <c r="F308" i="3"/>
  <c r="E308" i="3"/>
  <c r="G104" i="3"/>
  <c r="F104" i="3"/>
  <c r="E104" i="3"/>
  <c r="G103" i="3"/>
  <c r="F103" i="3"/>
  <c r="E103" i="3"/>
  <c r="JJ47" i="17" l="1"/>
  <c r="JJ43" i="17"/>
  <c r="JJ39" i="17"/>
  <c r="JJ35" i="17"/>
  <c r="JJ48" i="17"/>
  <c r="JJ44" i="17"/>
  <c r="JJ40" i="17"/>
  <c r="JJ36" i="17"/>
  <c r="JJ32" i="17"/>
  <c r="JJ49" i="17"/>
  <c r="JJ45" i="17"/>
  <c r="JJ41" i="17"/>
  <c r="JJ37" i="17"/>
  <c r="JJ33" i="17"/>
  <c r="JJ46" i="17"/>
  <c r="JJ42" i="17"/>
  <c r="JJ38" i="17"/>
  <c r="JJ34" i="17"/>
  <c r="JJ29" i="17"/>
  <c r="JJ25" i="17"/>
  <c r="JJ21" i="17"/>
  <c r="JJ31" i="17"/>
  <c r="JJ30" i="17"/>
  <c r="JJ26" i="17"/>
  <c r="JJ22" i="17"/>
  <c r="JJ27" i="17"/>
  <c r="JJ23" i="17"/>
  <c r="JJ19" i="17"/>
  <c r="JJ28" i="17"/>
  <c r="JJ18" i="17"/>
  <c r="JJ24" i="17"/>
  <c r="JJ12" i="17"/>
  <c r="JJ8" i="17"/>
  <c r="JJ4" i="17"/>
  <c r="JJ20" i="17"/>
  <c r="JJ15" i="17"/>
  <c r="JJ13" i="17"/>
  <c r="JJ9" i="17"/>
  <c r="JJ5" i="17"/>
  <c r="JJ17" i="17"/>
  <c r="JJ16" i="17"/>
  <c r="JJ14" i="17"/>
  <c r="JJ10" i="17"/>
  <c r="JJ6" i="17"/>
  <c r="JJ2" i="17"/>
  <c r="JJ11" i="17"/>
  <c r="JJ7" i="17"/>
  <c r="JJ3" i="17"/>
  <c r="JR49" i="17"/>
  <c r="JR45" i="17"/>
  <c r="JR41" i="17"/>
  <c r="JR37" i="17"/>
  <c r="JR46" i="17"/>
  <c r="JR42" i="17"/>
  <c r="JR38" i="17"/>
  <c r="JR34" i="17"/>
  <c r="JR47" i="17"/>
  <c r="JR43" i="17"/>
  <c r="JR39" i="17"/>
  <c r="JR35" i="17"/>
  <c r="JR31" i="17"/>
  <c r="JR48" i="17"/>
  <c r="JR44" i="17"/>
  <c r="JR40" i="17"/>
  <c r="JR36" i="17"/>
  <c r="JR28" i="17"/>
  <c r="JR24" i="17"/>
  <c r="JR20" i="17"/>
  <c r="JR29" i="17"/>
  <c r="JR25" i="17"/>
  <c r="JR21" i="17"/>
  <c r="JR17" i="17"/>
  <c r="JR33" i="17"/>
  <c r="JR30" i="17"/>
  <c r="JR26" i="17"/>
  <c r="JR22" i="17"/>
  <c r="JR18" i="17"/>
  <c r="JR16" i="17"/>
  <c r="JR32" i="17"/>
  <c r="JR11" i="17"/>
  <c r="JR7" i="17"/>
  <c r="JR3" i="17"/>
  <c r="JR27" i="17"/>
  <c r="JR23" i="17"/>
  <c r="JR12" i="17"/>
  <c r="JR8" i="17"/>
  <c r="JR4" i="17"/>
  <c r="JR19" i="17"/>
  <c r="JR15" i="17"/>
  <c r="JR13" i="17"/>
  <c r="JR9" i="17"/>
  <c r="JR5" i="17"/>
  <c r="JR14" i="17"/>
  <c r="JR10" i="17"/>
  <c r="JR6" i="17"/>
  <c r="JR2" i="17"/>
  <c r="HG48" i="17"/>
  <c r="HG44" i="17"/>
  <c r="HG40" i="17"/>
  <c r="HG36" i="17"/>
  <c r="HG49" i="17"/>
  <c r="HG45" i="17"/>
  <c r="HG41" i="17"/>
  <c r="HG37" i="17"/>
  <c r="HG33" i="17"/>
  <c r="HG46" i="17"/>
  <c r="HG42" i="17"/>
  <c r="HG38" i="17"/>
  <c r="HG34" i="17"/>
  <c r="HG47" i="17"/>
  <c r="HG43" i="17"/>
  <c r="HG39" i="17"/>
  <c r="HG35" i="17"/>
  <c r="HG32" i="17"/>
  <c r="HG31" i="17"/>
  <c r="HG27" i="17"/>
  <c r="HG23" i="17"/>
  <c r="HG19" i="17"/>
  <c r="HG28" i="17"/>
  <c r="HG24" i="17"/>
  <c r="HG20" i="17"/>
  <c r="HG16" i="17"/>
  <c r="HG29" i="17"/>
  <c r="HG25" i="17"/>
  <c r="HG21" i="17"/>
  <c r="HG17" i="17"/>
  <c r="HG14" i="17"/>
  <c r="HG10" i="17"/>
  <c r="HG6" i="17"/>
  <c r="HG2" i="17"/>
  <c r="HG15" i="17"/>
  <c r="HG11" i="17"/>
  <c r="HG7" i="17"/>
  <c r="HG3" i="17"/>
  <c r="HG26" i="17"/>
  <c r="HG30" i="17"/>
  <c r="HG12" i="17"/>
  <c r="HG8" i="17"/>
  <c r="HG4" i="17"/>
  <c r="HG22" i="17"/>
  <c r="HG18" i="17"/>
  <c r="HG13" i="17"/>
  <c r="HG9" i="17"/>
  <c r="HG5" i="17"/>
  <c r="JX47" i="17"/>
  <c r="JX43" i="17"/>
  <c r="JX39" i="17"/>
  <c r="JX35" i="17"/>
  <c r="JX48" i="17"/>
  <c r="JX44" i="17"/>
  <c r="JX40" i="17"/>
  <c r="JX36" i="17"/>
  <c r="JX32" i="17"/>
  <c r="JX49" i="17"/>
  <c r="JX45" i="17"/>
  <c r="JX41" i="17"/>
  <c r="JX37" i="17"/>
  <c r="JX33" i="17"/>
  <c r="JX46" i="17"/>
  <c r="JX42" i="17"/>
  <c r="JX38" i="17"/>
  <c r="JX34" i="17"/>
  <c r="JX31" i="17"/>
  <c r="JX30" i="17"/>
  <c r="JX26" i="17"/>
  <c r="JX22" i="17"/>
  <c r="JX27" i="17"/>
  <c r="JX23" i="17"/>
  <c r="JX19" i="17"/>
  <c r="JX15" i="17"/>
  <c r="JX28" i="17"/>
  <c r="JX24" i="17"/>
  <c r="JX20" i="17"/>
  <c r="JX16" i="17"/>
  <c r="JX13" i="17"/>
  <c r="JX9" i="17"/>
  <c r="JX5" i="17"/>
  <c r="JX21" i="17"/>
  <c r="JX14" i="17"/>
  <c r="JX10" i="17"/>
  <c r="JX6" i="17"/>
  <c r="JX2" i="17"/>
  <c r="JX18" i="17"/>
  <c r="JX29" i="17"/>
  <c r="JX25" i="17"/>
  <c r="JX11" i="17"/>
  <c r="JX7" i="17"/>
  <c r="JX3" i="17"/>
  <c r="JX17" i="17"/>
  <c r="JX12" i="17"/>
  <c r="JX8" i="17"/>
  <c r="JX4" i="17"/>
  <c r="JT46" i="17"/>
  <c r="JT42" i="17"/>
  <c r="JT38" i="17"/>
  <c r="JT47" i="17"/>
  <c r="JT43" i="17"/>
  <c r="JT39" i="17"/>
  <c r="JT35" i="17"/>
  <c r="JT48" i="17"/>
  <c r="JT44" i="17"/>
  <c r="JT40" i="17"/>
  <c r="JT36" i="17"/>
  <c r="JT32" i="17"/>
  <c r="JT49" i="17"/>
  <c r="JT41" i="17"/>
  <c r="JT28" i="17"/>
  <c r="JT24" i="17"/>
  <c r="JT20" i="17"/>
  <c r="JT45" i="17"/>
  <c r="JT29" i="17"/>
  <c r="JT25" i="17"/>
  <c r="JT21" i="17"/>
  <c r="JT34" i="17"/>
  <c r="JT31" i="17"/>
  <c r="JT30" i="17"/>
  <c r="JT26" i="17"/>
  <c r="JT22" i="17"/>
  <c r="JT18" i="17"/>
  <c r="JT33" i="17"/>
  <c r="JT37" i="17"/>
  <c r="JT27" i="17"/>
  <c r="JT23" i="17"/>
  <c r="JT19" i="17"/>
  <c r="JT11" i="17"/>
  <c r="JT7" i="17"/>
  <c r="JT3" i="17"/>
  <c r="JT17" i="17"/>
  <c r="JT12" i="17"/>
  <c r="JT8" i="17"/>
  <c r="JT4" i="17"/>
  <c r="JT14" i="17"/>
  <c r="JT15" i="17"/>
  <c r="JT13" i="17"/>
  <c r="JT9" i="17"/>
  <c r="JT5" i="17"/>
  <c r="JT16" i="17"/>
  <c r="JT2" i="17"/>
  <c r="JT6" i="17"/>
  <c r="JT10" i="17"/>
  <c r="JK47" i="17"/>
  <c r="JK43" i="17"/>
  <c r="JK39" i="17"/>
  <c r="JK48" i="17"/>
  <c r="JK44" i="17"/>
  <c r="JK40" i="17"/>
  <c r="JK36" i="17"/>
  <c r="JK49" i="17"/>
  <c r="JK45" i="17"/>
  <c r="JK41" i="17"/>
  <c r="JK37" i="17"/>
  <c r="JK33" i="17"/>
  <c r="JK29" i="17"/>
  <c r="JK25" i="17"/>
  <c r="JK21" i="17"/>
  <c r="JK17" i="17"/>
  <c r="JK42" i="17"/>
  <c r="JK35" i="17"/>
  <c r="JK31" i="17"/>
  <c r="JK32" i="17"/>
  <c r="JK30" i="17"/>
  <c r="JK26" i="17"/>
  <c r="JK22" i="17"/>
  <c r="JK18" i="17"/>
  <c r="JK46" i="17"/>
  <c r="JK34" i="17"/>
  <c r="JK27" i="17"/>
  <c r="JK23" i="17"/>
  <c r="JK19" i="17"/>
  <c r="JK28" i="17"/>
  <c r="JK24" i="17"/>
  <c r="JK20" i="17"/>
  <c r="JK16" i="17"/>
  <c r="JK12" i="17"/>
  <c r="JK8" i="17"/>
  <c r="JK4" i="17"/>
  <c r="JK15" i="17"/>
  <c r="JK13" i="17"/>
  <c r="JK9" i="17"/>
  <c r="JK5" i="17"/>
  <c r="JK14" i="17"/>
  <c r="JK10" i="17"/>
  <c r="JK6" i="17"/>
  <c r="JK2" i="17"/>
  <c r="JK38" i="17"/>
  <c r="JK3" i="17"/>
  <c r="JK7" i="17"/>
  <c r="JK11" i="17"/>
  <c r="JP49" i="17"/>
  <c r="JP45" i="17"/>
  <c r="JP41" i="17"/>
  <c r="JP37" i="17"/>
  <c r="JP33" i="17"/>
  <c r="JP46" i="17"/>
  <c r="JP42" i="17"/>
  <c r="JP38" i="17"/>
  <c r="JP34" i="17"/>
  <c r="JP47" i="17"/>
  <c r="JP43" i="17"/>
  <c r="JP39" i="17"/>
  <c r="JP35" i="17"/>
  <c r="JP48" i="17"/>
  <c r="JP44" i="17"/>
  <c r="JP40" i="17"/>
  <c r="JP36" i="17"/>
  <c r="JP32" i="17"/>
  <c r="JP27" i="17"/>
  <c r="JP23" i="17"/>
  <c r="JP19" i="17"/>
  <c r="JP28" i="17"/>
  <c r="JP24" i="17"/>
  <c r="JP20" i="17"/>
  <c r="JP29" i="17"/>
  <c r="JP25" i="17"/>
  <c r="JP21" i="17"/>
  <c r="JP31" i="17"/>
  <c r="JP14" i="17"/>
  <c r="JP10" i="17"/>
  <c r="JP6" i="17"/>
  <c r="JP2" i="17"/>
  <c r="JP17" i="17"/>
  <c r="JP16" i="17"/>
  <c r="JP30" i="17"/>
  <c r="JP11" i="17"/>
  <c r="JP7" i="17"/>
  <c r="JP3" i="17"/>
  <c r="JP26" i="17"/>
  <c r="JP18" i="17"/>
  <c r="JP22" i="17"/>
  <c r="JP12" i="17"/>
  <c r="JP8" i="17"/>
  <c r="JP4" i="17"/>
  <c r="JP15" i="17"/>
  <c r="JP13" i="17"/>
  <c r="JP9" i="17"/>
  <c r="JP5" i="17"/>
  <c r="JS46" i="17"/>
  <c r="JS42" i="17"/>
  <c r="JS38" i="17"/>
  <c r="JS34" i="17"/>
  <c r="JS47" i="17"/>
  <c r="JS43" i="17"/>
  <c r="JS39" i="17"/>
  <c r="JS35" i="17"/>
  <c r="JS31" i="17"/>
  <c r="JS48" i="17"/>
  <c r="JS44" i="17"/>
  <c r="JS40" i="17"/>
  <c r="JS36" i="17"/>
  <c r="JS32" i="17"/>
  <c r="JS49" i="17"/>
  <c r="JS45" i="17"/>
  <c r="JS41" i="17"/>
  <c r="JS37" i="17"/>
  <c r="JS33" i="17"/>
  <c r="JS28" i="17"/>
  <c r="JS24" i="17"/>
  <c r="JS20" i="17"/>
  <c r="JS29" i="17"/>
  <c r="JS25" i="17"/>
  <c r="JS21" i="17"/>
  <c r="JS30" i="17"/>
  <c r="JS26" i="17"/>
  <c r="JS22" i="17"/>
  <c r="JS18" i="17"/>
  <c r="JS16" i="17"/>
  <c r="JS11" i="17"/>
  <c r="JS7" i="17"/>
  <c r="JS3" i="17"/>
  <c r="JS17" i="17"/>
  <c r="JS27" i="17"/>
  <c r="JS23" i="17"/>
  <c r="JS12" i="17"/>
  <c r="JS8" i="17"/>
  <c r="JS4" i="17"/>
  <c r="JS19" i="17"/>
  <c r="JS15" i="17"/>
  <c r="JS13" i="17"/>
  <c r="JS9" i="17"/>
  <c r="JS5" i="17"/>
  <c r="JS14" i="17"/>
  <c r="JS10" i="17"/>
  <c r="JS6" i="17"/>
  <c r="JS2" i="17"/>
  <c r="IE48" i="17"/>
  <c r="IE44" i="17"/>
  <c r="IE40" i="17"/>
  <c r="IE36" i="17"/>
  <c r="IE49" i="17"/>
  <c r="IE45" i="17"/>
  <c r="IE41" i="17"/>
  <c r="IE37" i="17"/>
  <c r="IE33" i="17"/>
  <c r="IE46" i="17"/>
  <c r="IE42" i="17"/>
  <c r="IE38" i="17"/>
  <c r="IE34" i="17"/>
  <c r="IE47" i="17"/>
  <c r="IE43" i="17"/>
  <c r="IE39" i="17"/>
  <c r="IE35" i="17"/>
  <c r="IE27" i="17"/>
  <c r="IE23" i="17"/>
  <c r="IE19" i="17"/>
  <c r="IE32" i="17"/>
  <c r="IE28" i="17"/>
  <c r="IE24" i="17"/>
  <c r="IE20" i="17"/>
  <c r="IE16" i="17"/>
  <c r="IE31" i="17"/>
  <c r="IE29" i="17"/>
  <c r="IE25" i="17"/>
  <c r="IE21" i="17"/>
  <c r="IE17" i="17"/>
  <c r="IE18" i="17"/>
  <c r="IE14" i="17"/>
  <c r="IE10" i="17"/>
  <c r="IE6" i="17"/>
  <c r="IE2" i="17"/>
  <c r="IE30" i="17"/>
  <c r="IE26" i="17"/>
  <c r="IE11" i="17"/>
  <c r="IE7" i="17"/>
  <c r="IE3" i="17"/>
  <c r="IE22" i="17"/>
  <c r="IE15" i="17"/>
  <c r="IE12" i="17"/>
  <c r="IE8" i="17"/>
  <c r="IE4" i="17"/>
  <c r="IE13" i="17"/>
  <c r="IE9" i="17"/>
  <c r="IE5" i="17"/>
  <c r="HM46" i="17"/>
  <c r="HM42" i="17"/>
  <c r="HM38" i="17"/>
  <c r="HM34" i="17"/>
  <c r="HM47" i="17"/>
  <c r="HM43" i="17"/>
  <c r="HM39" i="17"/>
  <c r="HM35" i="17"/>
  <c r="HM48" i="17"/>
  <c r="HM44" i="17"/>
  <c r="HM40" i="17"/>
  <c r="HM36" i="17"/>
  <c r="HM32" i="17"/>
  <c r="HM49" i="17"/>
  <c r="HM45" i="17"/>
  <c r="HM41" i="17"/>
  <c r="HM37" i="17"/>
  <c r="HM29" i="17"/>
  <c r="HM25" i="17"/>
  <c r="HM21" i="17"/>
  <c r="HM30" i="17"/>
  <c r="HM26" i="17"/>
  <c r="HM22" i="17"/>
  <c r="HM18" i="17"/>
  <c r="HM33" i="17"/>
  <c r="HM27" i="17"/>
  <c r="HM23" i="17"/>
  <c r="HM19" i="17"/>
  <c r="HM15" i="17"/>
  <c r="HM12" i="17"/>
  <c r="HM8" i="17"/>
  <c r="HM4" i="17"/>
  <c r="HM31" i="17"/>
  <c r="HM28" i="17"/>
  <c r="HM24" i="17"/>
  <c r="HM20" i="17"/>
  <c r="HM13" i="17"/>
  <c r="HM9" i="17"/>
  <c r="HM5" i="17"/>
  <c r="HM17" i="17"/>
  <c r="HM14" i="17"/>
  <c r="HM10" i="17"/>
  <c r="HM6" i="17"/>
  <c r="HM2" i="17"/>
  <c r="HM16" i="17"/>
  <c r="HM11" i="17"/>
  <c r="HM7" i="17"/>
  <c r="HM3" i="17"/>
  <c r="IZ47" i="17"/>
  <c r="IZ43" i="17"/>
  <c r="IZ39" i="17"/>
  <c r="IZ35" i="17"/>
  <c r="IZ48" i="17"/>
  <c r="IZ44" i="17"/>
  <c r="IZ40" i="17"/>
  <c r="IZ36" i="17"/>
  <c r="IZ32" i="17"/>
  <c r="IZ49" i="17"/>
  <c r="IZ45" i="17"/>
  <c r="IZ41" i="17"/>
  <c r="IZ37" i="17"/>
  <c r="IZ33" i="17"/>
  <c r="IZ46" i="17"/>
  <c r="IZ42" i="17"/>
  <c r="IZ38" i="17"/>
  <c r="IZ34" i="17"/>
  <c r="IZ30" i="17"/>
  <c r="IZ26" i="17"/>
  <c r="IZ22" i="17"/>
  <c r="IZ27" i="17"/>
  <c r="IZ23" i="17"/>
  <c r="IZ19" i="17"/>
  <c r="IZ15" i="17"/>
  <c r="IZ28" i="17"/>
  <c r="IZ24" i="17"/>
  <c r="IZ20" i="17"/>
  <c r="IZ16" i="17"/>
  <c r="IZ17" i="17"/>
  <c r="IZ29" i="17"/>
  <c r="IZ13" i="17"/>
  <c r="IZ9" i="17"/>
  <c r="IZ5" i="17"/>
  <c r="IZ25" i="17"/>
  <c r="IZ21" i="17"/>
  <c r="IZ14" i="17"/>
  <c r="IZ10" i="17"/>
  <c r="IZ6" i="17"/>
  <c r="IZ2" i="17"/>
  <c r="IZ31" i="17"/>
  <c r="IZ18" i="17"/>
  <c r="IZ11" i="17"/>
  <c r="IZ7" i="17"/>
  <c r="IZ3" i="17"/>
  <c r="IZ12" i="17"/>
  <c r="IZ8" i="17"/>
  <c r="IZ4" i="17"/>
  <c r="HK46" i="17"/>
  <c r="HK42" i="17"/>
  <c r="HK38" i="17"/>
  <c r="HK34" i="17"/>
  <c r="HK47" i="17"/>
  <c r="HK43" i="17"/>
  <c r="HK39" i="17"/>
  <c r="HK35" i="17"/>
  <c r="HK31" i="17"/>
  <c r="HK48" i="17"/>
  <c r="HK44" i="17"/>
  <c r="HK40" i="17"/>
  <c r="HK36" i="17"/>
  <c r="HK32" i="17"/>
  <c r="HK49" i="17"/>
  <c r="HK45" i="17"/>
  <c r="HK41" i="17"/>
  <c r="HK37" i="17"/>
  <c r="HK33" i="17"/>
  <c r="HK28" i="17"/>
  <c r="HK24" i="17"/>
  <c r="HK20" i="17"/>
  <c r="HK29" i="17"/>
  <c r="HK25" i="17"/>
  <c r="HK21" i="17"/>
  <c r="HK30" i="17"/>
  <c r="HK26" i="17"/>
  <c r="HK22" i="17"/>
  <c r="HK16" i="17"/>
  <c r="HK15" i="17"/>
  <c r="HK11" i="17"/>
  <c r="HK7" i="17"/>
  <c r="HK3" i="17"/>
  <c r="HK18" i="17"/>
  <c r="HK27" i="17"/>
  <c r="HK12" i="17"/>
  <c r="HK8" i="17"/>
  <c r="HK4" i="17"/>
  <c r="HK23" i="17"/>
  <c r="HK19" i="17"/>
  <c r="HK17" i="17"/>
  <c r="HK13" i="17"/>
  <c r="HK9" i="17"/>
  <c r="HK5" i="17"/>
  <c r="HK14" i="17"/>
  <c r="HK10" i="17"/>
  <c r="HK6" i="17"/>
  <c r="HK2" i="17"/>
  <c r="HZ47" i="17"/>
  <c r="HZ43" i="17"/>
  <c r="HZ39" i="17"/>
  <c r="HZ35" i="17"/>
  <c r="HZ48" i="17"/>
  <c r="HZ44" i="17"/>
  <c r="HZ40" i="17"/>
  <c r="HZ36" i="17"/>
  <c r="HZ32" i="17"/>
  <c r="HZ49" i="17"/>
  <c r="HZ45" i="17"/>
  <c r="HZ41" i="17"/>
  <c r="HZ37" i="17"/>
  <c r="HZ33" i="17"/>
  <c r="HZ46" i="17"/>
  <c r="HZ42" i="17"/>
  <c r="HZ38" i="17"/>
  <c r="HZ34" i="17"/>
  <c r="HZ29" i="17"/>
  <c r="HZ25" i="17"/>
  <c r="HZ21" i="17"/>
  <c r="HZ30" i="17"/>
  <c r="HZ26" i="17"/>
  <c r="HZ22" i="17"/>
  <c r="HZ27" i="17"/>
  <c r="HZ23" i="17"/>
  <c r="HZ19" i="17"/>
  <c r="HZ28" i="17"/>
  <c r="HZ16" i="17"/>
  <c r="HZ15" i="17"/>
  <c r="HZ24" i="17"/>
  <c r="HZ12" i="17"/>
  <c r="HZ8" i="17"/>
  <c r="HZ4" i="17"/>
  <c r="HZ31" i="17"/>
  <c r="HZ20" i="17"/>
  <c r="HZ18" i="17"/>
  <c r="HZ13" i="17"/>
  <c r="HZ9" i="17"/>
  <c r="HZ5" i="17"/>
  <c r="HZ14" i="17"/>
  <c r="HZ10" i="17"/>
  <c r="HZ6" i="17"/>
  <c r="HZ2" i="17"/>
  <c r="HZ11" i="17"/>
  <c r="HZ7" i="17"/>
  <c r="HZ3" i="17"/>
  <c r="HZ17" i="17"/>
  <c r="HH49" i="17"/>
  <c r="HH45" i="17"/>
  <c r="HH41" i="17"/>
  <c r="HH37" i="17"/>
  <c r="HH33" i="17"/>
  <c r="HH46" i="17"/>
  <c r="HH42" i="17"/>
  <c r="HH38" i="17"/>
  <c r="HH34" i="17"/>
  <c r="HH47" i="17"/>
  <c r="HH43" i="17"/>
  <c r="HH39" i="17"/>
  <c r="HH35" i="17"/>
  <c r="HH48" i="17"/>
  <c r="HH44" i="17"/>
  <c r="HH40" i="17"/>
  <c r="HH36" i="17"/>
  <c r="HH32" i="17"/>
  <c r="HH31" i="17"/>
  <c r="HH27" i="17"/>
  <c r="HH23" i="17"/>
  <c r="HH19" i="17"/>
  <c r="HH28" i="17"/>
  <c r="HH24" i="17"/>
  <c r="HH20" i="17"/>
  <c r="HH29" i="17"/>
  <c r="HH25" i="17"/>
  <c r="HH21" i="17"/>
  <c r="HH14" i="17"/>
  <c r="HH10" i="17"/>
  <c r="HH6" i="17"/>
  <c r="HH2" i="17"/>
  <c r="HH16" i="17"/>
  <c r="HH15" i="17"/>
  <c r="HH11" i="17"/>
  <c r="HH7" i="17"/>
  <c r="HH3" i="17"/>
  <c r="HH22" i="17"/>
  <c r="HH30" i="17"/>
  <c r="HH12" i="17"/>
  <c r="HH8" i="17"/>
  <c r="HH4" i="17"/>
  <c r="HH26" i="17"/>
  <c r="HH18" i="17"/>
  <c r="HH17" i="17"/>
  <c r="HH13" i="17"/>
  <c r="HH9" i="17"/>
  <c r="HH5" i="17"/>
  <c r="HW46" i="17"/>
  <c r="HW42" i="17"/>
  <c r="HW38" i="17"/>
  <c r="HW34" i="17"/>
  <c r="HW47" i="17"/>
  <c r="HW43" i="17"/>
  <c r="HW39" i="17"/>
  <c r="HW35" i="17"/>
  <c r="HW31" i="17"/>
  <c r="HW48" i="17"/>
  <c r="HW44" i="17"/>
  <c r="HW40" i="17"/>
  <c r="HW36" i="17"/>
  <c r="HW32" i="17"/>
  <c r="HW49" i="17"/>
  <c r="HW45" i="17"/>
  <c r="HW41" i="17"/>
  <c r="HW37" i="17"/>
  <c r="HW33" i="17"/>
  <c r="HW28" i="17"/>
  <c r="HW24" i="17"/>
  <c r="HW20" i="17"/>
  <c r="HW29" i="17"/>
  <c r="HW25" i="17"/>
  <c r="HW21" i="17"/>
  <c r="HW30" i="17"/>
  <c r="HW26" i="17"/>
  <c r="HW22" i="17"/>
  <c r="HW11" i="17"/>
  <c r="HW7" i="17"/>
  <c r="HW3" i="17"/>
  <c r="HW27" i="17"/>
  <c r="HW17" i="17"/>
  <c r="HW15" i="17"/>
  <c r="HW23" i="17"/>
  <c r="HW16" i="17"/>
  <c r="HW19" i="17"/>
  <c r="HW18" i="17"/>
  <c r="HW12" i="17"/>
  <c r="HW8" i="17"/>
  <c r="HW4" i="17"/>
  <c r="HW13" i="17"/>
  <c r="HW9" i="17"/>
  <c r="HW5" i="17"/>
  <c r="HW14" i="17"/>
  <c r="HW10" i="17"/>
  <c r="HW6" i="17"/>
  <c r="HW2" i="17"/>
  <c r="IX47" i="17"/>
  <c r="IX43" i="17"/>
  <c r="IX39" i="17"/>
  <c r="IX35" i="17"/>
  <c r="IX48" i="17"/>
  <c r="IX44" i="17"/>
  <c r="IX40" i="17"/>
  <c r="IX36" i="17"/>
  <c r="IX32" i="17"/>
  <c r="IX49" i="17"/>
  <c r="IX45" i="17"/>
  <c r="IX41" i="17"/>
  <c r="IX37" i="17"/>
  <c r="IX33" i="17"/>
  <c r="IX46" i="17"/>
  <c r="IX42" i="17"/>
  <c r="IX38" i="17"/>
  <c r="IX34" i="17"/>
  <c r="IX31" i="17"/>
  <c r="IX29" i="17"/>
  <c r="IX25" i="17"/>
  <c r="IX21" i="17"/>
  <c r="IX30" i="17"/>
  <c r="IX26" i="17"/>
  <c r="IX22" i="17"/>
  <c r="IX27" i="17"/>
  <c r="IX23" i="17"/>
  <c r="IX19" i="17"/>
  <c r="IX15" i="17"/>
  <c r="IX12" i="17"/>
  <c r="IX8" i="17"/>
  <c r="IX4" i="17"/>
  <c r="IX17" i="17"/>
  <c r="IX16" i="17"/>
  <c r="IX13" i="17"/>
  <c r="IX9" i="17"/>
  <c r="IX5" i="17"/>
  <c r="IX28" i="17"/>
  <c r="IX24" i="17"/>
  <c r="IX20" i="17"/>
  <c r="IX18" i="17"/>
  <c r="IX14" i="17"/>
  <c r="IX10" i="17"/>
  <c r="IX6" i="17"/>
  <c r="IX2" i="17"/>
  <c r="IX11" i="17"/>
  <c r="IX7" i="17"/>
  <c r="IX3" i="17"/>
  <c r="HP47" i="17"/>
  <c r="HP43" i="17"/>
  <c r="HP39" i="17"/>
  <c r="HP35" i="17"/>
  <c r="HP48" i="17"/>
  <c r="HP44" i="17"/>
  <c r="HP40" i="17"/>
  <c r="HP36" i="17"/>
  <c r="HP32" i="17"/>
  <c r="HP49" i="17"/>
  <c r="HP45" i="17"/>
  <c r="HP41" i="17"/>
  <c r="HP37" i="17"/>
  <c r="HP33" i="17"/>
  <c r="HP46" i="17"/>
  <c r="HP42" i="17"/>
  <c r="HP38" i="17"/>
  <c r="HP34" i="17"/>
  <c r="HP30" i="17"/>
  <c r="HP26" i="17"/>
  <c r="HP22" i="17"/>
  <c r="HP27" i="17"/>
  <c r="HP23" i="17"/>
  <c r="HP19" i="17"/>
  <c r="HP31" i="17"/>
  <c r="HP28" i="17"/>
  <c r="HP24" i="17"/>
  <c r="HP20" i="17"/>
  <c r="HP16" i="17"/>
  <c r="HP25" i="17"/>
  <c r="HP21" i="17"/>
  <c r="HP13" i="17"/>
  <c r="HP9" i="17"/>
  <c r="HP5" i="17"/>
  <c r="HP17" i="17"/>
  <c r="HP14" i="17"/>
  <c r="HP10" i="17"/>
  <c r="HP6" i="17"/>
  <c r="HP2" i="17"/>
  <c r="HP15" i="17"/>
  <c r="HP18" i="17"/>
  <c r="HP11" i="17"/>
  <c r="HP7" i="17"/>
  <c r="HP3" i="17"/>
  <c r="HP29" i="17"/>
  <c r="HP12" i="17"/>
  <c r="HP8" i="17"/>
  <c r="HP4" i="17"/>
  <c r="JL47" i="17"/>
  <c r="JL43" i="17"/>
  <c r="JL39" i="17"/>
  <c r="JL35" i="17"/>
  <c r="JL48" i="17"/>
  <c r="JL44" i="17"/>
  <c r="JL40" i="17"/>
  <c r="JL36" i="17"/>
  <c r="JL32" i="17"/>
  <c r="JL49" i="17"/>
  <c r="JL45" i="17"/>
  <c r="JL41" i="17"/>
  <c r="JL37" i="17"/>
  <c r="JL33" i="17"/>
  <c r="JL46" i="17"/>
  <c r="JL42" i="17"/>
  <c r="JL38" i="17"/>
  <c r="JL34" i="17"/>
  <c r="JL31" i="17"/>
  <c r="JL30" i="17"/>
  <c r="JL26" i="17"/>
  <c r="JL22" i="17"/>
  <c r="JL27" i="17"/>
  <c r="JL23" i="17"/>
  <c r="JL19" i="17"/>
  <c r="JL15" i="17"/>
  <c r="JL28" i="17"/>
  <c r="JL24" i="17"/>
  <c r="JL20" i="17"/>
  <c r="JL16" i="17"/>
  <c r="JL21" i="17"/>
  <c r="JL13" i="17"/>
  <c r="JL9" i="17"/>
  <c r="JL5" i="17"/>
  <c r="JL17" i="17"/>
  <c r="JL14" i="17"/>
  <c r="JL10" i="17"/>
  <c r="JL6" i="17"/>
  <c r="JL2" i="17"/>
  <c r="JL11" i="17"/>
  <c r="JL7" i="17"/>
  <c r="JL3" i="17"/>
  <c r="JL29" i="17"/>
  <c r="JL25" i="17"/>
  <c r="JL18" i="17"/>
  <c r="JL12" i="17"/>
  <c r="JL8" i="17"/>
  <c r="JL4" i="17"/>
  <c r="JQ49" i="17"/>
  <c r="JQ45" i="17"/>
  <c r="JQ41" i="17"/>
  <c r="JQ37" i="17"/>
  <c r="JQ46" i="17"/>
  <c r="JQ42" i="17"/>
  <c r="JQ38" i="17"/>
  <c r="JQ34" i="17"/>
  <c r="JQ47" i="17"/>
  <c r="JQ43" i="17"/>
  <c r="JQ39" i="17"/>
  <c r="JQ35" i="17"/>
  <c r="JQ32" i="17"/>
  <c r="JQ27" i="17"/>
  <c r="JQ23" i="17"/>
  <c r="JQ19" i="17"/>
  <c r="JQ44" i="17"/>
  <c r="JQ28" i="17"/>
  <c r="JQ24" i="17"/>
  <c r="JQ20" i="17"/>
  <c r="JQ48" i="17"/>
  <c r="JQ29" i="17"/>
  <c r="JQ25" i="17"/>
  <c r="JQ21" i="17"/>
  <c r="JQ17" i="17"/>
  <c r="JQ31" i="17"/>
  <c r="JQ36" i="17"/>
  <c r="JQ33" i="17"/>
  <c r="JQ30" i="17"/>
  <c r="JQ26" i="17"/>
  <c r="JQ22" i="17"/>
  <c r="JQ18" i="17"/>
  <c r="JQ14" i="17"/>
  <c r="JQ10" i="17"/>
  <c r="JQ6" i="17"/>
  <c r="JQ2" i="17"/>
  <c r="JQ16" i="17"/>
  <c r="JQ11" i="17"/>
  <c r="JQ7" i="17"/>
  <c r="JQ3" i="17"/>
  <c r="JQ13" i="17"/>
  <c r="JQ40" i="17"/>
  <c r="JQ15" i="17"/>
  <c r="JQ12" i="17"/>
  <c r="JQ8" i="17"/>
  <c r="JQ4" i="17"/>
  <c r="JQ5" i="17"/>
  <c r="JQ9" i="17"/>
  <c r="HQ48" i="17"/>
  <c r="HQ44" i="17"/>
  <c r="HQ40" i="17"/>
  <c r="HQ36" i="17"/>
  <c r="HQ32" i="17"/>
  <c r="HQ49" i="17"/>
  <c r="HQ45" i="17"/>
  <c r="HQ41" i="17"/>
  <c r="HQ37" i="17"/>
  <c r="HQ33" i="17"/>
  <c r="HQ46" i="17"/>
  <c r="HQ42" i="17"/>
  <c r="HQ38" i="17"/>
  <c r="HQ34" i="17"/>
  <c r="HQ47" i="17"/>
  <c r="HQ43" i="17"/>
  <c r="HQ39" i="17"/>
  <c r="HQ35" i="17"/>
  <c r="HQ30" i="17"/>
  <c r="HQ26" i="17"/>
  <c r="HQ22" i="17"/>
  <c r="HQ18" i="17"/>
  <c r="HQ27" i="17"/>
  <c r="HQ23" i="17"/>
  <c r="HQ19" i="17"/>
  <c r="HQ31" i="17"/>
  <c r="HQ28" i="17"/>
  <c r="HQ24" i="17"/>
  <c r="HQ20" i="17"/>
  <c r="HQ21" i="17"/>
  <c r="HQ13" i="17"/>
  <c r="HQ9" i="17"/>
  <c r="HQ5" i="17"/>
  <c r="HQ17" i="17"/>
  <c r="HQ14" i="17"/>
  <c r="HQ10" i="17"/>
  <c r="HQ6" i="17"/>
  <c r="HQ2" i="17"/>
  <c r="HQ11" i="17"/>
  <c r="HQ7" i="17"/>
  <c r="HQ3" i="17"/>
  <c r="HQ16" i="17"/>
  <c r="HQ15" i="17"/>
  <c r="HQ29" i="17"/>
  <c r="HQ12" i="17"/>
  <c r="HQ8" i="17"/>
  <c r="HQ4" i="17"/>
  <c r="HQ25" i="17"/>
  <c r="HV49" i="17"/>
  <c r="HV45" i="17"/>
  <c r="HV41" i="17"/>
  <c r="HV37" i="17"/>
  <c r="HV46" i="17"/>
  <c r="HV42" i="17"/>
  <c r="HV38" i="17"/>
  <c r="HV34" i="17"/>
  <c r="HV47" i="17"/>
  <c r="HV43" i="17"/>
  <c r="HV39" i="17"/>
  <c r="HV35" i="17"/>
  <c r="HV31" i="17"/>
  <c r="HV48" i="17"/>
  <c r="HV44" i="17"/>
  <c r="HV40" i="17"/>
  <c r="HV36" i="17"/>
  <c r="HV28" i="17"/>
  <c r="HV24" i="17"/>
  <c r="HV20" i="17"/>
  <c r="HV33" i="17"/>
  <c r="HV29" i="17"/>
  <c r="HV25" i="17"/>
  <c r="HV21" i="17"/>
  <c r="HV17" i="17"/>
  <c r="HV32" i="17"/>
  <c r="HV30" i="17"/>
  <c r="HV26" i="17"/>
  <c r="HV22" i="17"/>
  <c r="HV18" i="17"/>
  <c r="HV11" i="17"/>
  <c r="HV7" i="17"/>
  <c r="HV3" i="17"/>
  <c r="HV27" i="17"/>
  <c r="HV15" i="17"/>
  <c r="HV23" i="17"/>
  <c r="HV16" i="17"/>
  <c r="HV19" i="17"/>
  <c r="HV12" i="17"/>
  <c r="HV8" i="17"/>
  <c r="HV4" i="17"/>
  <c r="HV13" i="17"/>
  <c r="HV9" i="17"/>
  <c r="HV5" i="17"/>
  <c r="HV14" i="17"/>
  <c r="HV10" i="17"/>
  <c r="HV6" i="17"/>
  <c r="HV2" i="17"/>
  <c r="HO47" i="17"/>
  <c r="HO43" i="17"/>
  <c r="HO39" i="17"/>
  <c r="HO48" i="17"/>
  <c r="HO44" i="17"/>
  <c r="HO40" i="17"/>
  <c r="HO36" i="17"/>
  <c r="HO49" i="17"/>
  <c r="HO45" i="17"/>
  <c r="HO41" i="17"/>
  <c r="HO37" i="17"/>
  <c r="HO33" i="17"/>
  <c r="HO42" i="17"/>
  <c r="HO29" i="17"/>
  <c r="HO25" i="17"/>
  <c r="HO21" i="17"/>
  <c r="HO17" i="17"/>
  <c r="HO35" i="17"/>
  <c r="HO46" i="17"/>
  <c r="HO30" i="17"/>
  <c r="HO26" i="17"/>
  <c r="HO22" i="17"/>
  <c r="HO18" i="17"/>
  <c r="HO34" i="17"/>
  <c r="HO27" i="17"/>
  <c r="HO23" i="17"/>
  <c r="HO19" i="17"/>
  <c r="HO31" i="17"/>
  <c r="HO38" i="17"/>
  <c r="HO28" i="17"/>
  <c r="HO24" i="17"/>
  <c r="HO20" i="17"/>
  <c r="HO16" i="17"/>
  <c r="HO12" i="17"/>
  <c r="HO8" i="17"/>
  <c r="HO4" i="17"/>
  <c r="HO32" i="17"/>
  <c r="HO13" i="17"/>
  <c r="HO9" i="17"/>
  <c r="HO5" i="17"/>
  <c r="HO14" i="17"/>
  <c r="HO10" i="17"/>
  <c r="HO6" i="17"/>
  <c r="HO2" i="17"/>
  <c r="HO15" i="17"/>
  <c r="HO3" i="17"/>
  <c r="HO7" i="17"/>
  <c r="HO11" i="17"/>
  <c r="JD49" i="17"/>
  <c r="JD45" i="17"/>
  <c r="JD41" i="17"/>
  <c r="JD37" i="17"/>
  <c r="JD33" i="17"/>
  <c r="JD46" i="17"/>
  <c r="JD42" i="17"/>
  <c r="JD38" i="17"/>
  <c r="JD34" i="17"/>
  <c r="JD47" i="17"/>
  <c r="JD43" i="17"/>
  <c r="JD39" i="17"/>
  <c r="JD35" i="17"/>
  <c r="JD48" i="17"/>
  <c r="JD44" i="17"/>
  <c r="JD40" i="17"/>
  <c r="JD36" i="17"/>
  <c r="JD32" i="17"/>
  <c r="JD27" i="17"/>
  <c r="JD23" i="17"/>
  <c r="JD19" i="17"/>
  <c r="JD28" i="17"/>
  <c r="JD24" i="17"/>
  <c r="JD20" i="17"/>
  <c r="JD31" i="17"/>
  <c r="JD29" i="17"/>
  <c r="JD25" i="17"/>
  <c r="JD21" i="17"/>
  <c r="JD16" i="17"/>
  <c r="JD14" i="17"/>
  <c r="JD10" i="17"/>
  <c r="JD6" i="17"/>
  <c r="JD2" i="17"/>
  <c r="JD18" i="17"/>
  <c r="JD11" i="17"/>
  <c r="JD7" i="17"/>
  <c r="JD3" i="17"/>
  <c r="JD30" i="17"/>
  <c r="JD12" i="17"/>
  <c r="JD8" i="17"/>
  <c r="JD4" i="17"/>
  <c r="JD26" i="17"/>
  <c r="JD15" i="17"/>
  <c r="JD22" i="17"/>
  <c r="JD17" i="17"/>
  <c r="JD13" i="17"/>
  <c r="JD9" i="17"/>
  <c r="JD5" i="17"/>
  <c r="JF49" i="17"/>
  <c r="JF45" i="17"/>
  <c r="JF41" i="17"/>
  <c r="JF37" i="17"/>
  <c r="JF46" i="17"/>
  <c r="JF42" i="17"/>
  <c r="JF38" i="17"/>
  <c r="JF34" i="17"/>
  <c r="JF47" i="17"/>
  <c r="JF43" i="17"/>
  <c r="JF39" i="17"/>
  <c r="JF35" i="17"/>
  <c r="JF31" i="17"/>
  <c r="JF48" i="17"/>
  <c r="JF44" i="17"/>
  <c r="JF40" i="17"/>
  <c r="JF36" i="17"/>
  <c r="JF33" i="17"/>
  <c r="JF28" i="17"/>
  <c r="JF24" i="17"/>
  <c r="JF20" i="17"/>
  <c r="JF32" i="17"/>
  <c r="JF29" i="17"/>
  <c r="JF25" i="17"/>
  <c r="JF21" i="17"/>
  <c r="JF17" i="17"/>
  <c r="JF30" i="17"/>
  <c r="JF26" i="17"/>
  <c r="JF22" i="17"/>
  <c r="JF18" i="17"/>
  <c r="JF11" i="17"/>
  <c r="JF7" i="17"/>
  <c r="JF3" i="17"/>
  <c r="JF12" i="17"/>
  <c r="JF8" i="17"/>
  <c r="JF4" i="17"/>
  <c r="JF27" i="17"/>
  <c r="JF15" i="17"/>
  <c r="JF23" i="17"/>
  <c r="JF19" i="17"/>
  <c r="JF13" i="17"/>
  <c r="JF9" i="17"/>
  <c r="JF5" i="17"/>
  <c r="JF16" i="17"/>
  <c r="JF14" i="17"/>
  <c r="JF10" i="17"/>
  <c r="JF6" i="17"/>
  <c r="JF2" i="17"/>
  <c r="JI46" i="17"/>
  <c r="JI42" i="17"/>
  <c r="JI38" i="17"/>
  <c r="JI34" i="17"/>
  <c r="JI47" i="17"/>
  <c r="JI43" i="17"/>
  <c r="JI39" i="17"/>
  <c r="JI35" i="17"/>
  <c r="JI31" i="17"/>
  <c r="JI48" i="17"/>
  <c r="JI44" i="17"/>
  <c r="JI40" i="17"/>
  <c r="JI36" i="17"/>
  <c r="JI32" i="17"/>
  <c r="JI49" i="17"/>
  <c r="JI45" i="17"/>
  <c r="JI41" i="17"/>
  <c r="JI37" i="17"/>
  <c r="JI29" i="17"/>
  <c r="JI25" i="17"/>
  <c r="JI21" i="17"/>
  <c r="JI30" i="17"/>
  <c r="JI26" i="17"/>
  <c r="JI22" i="17"/>
  <c r="JI18" i="17"/>
  <c r="JI27" i="17"/>
  <c r="JI23" i="17"/>
  <c r="JI19" i="17"/>
  <c r="JI15" i="17"/>
  <c r="JI28" i="17"/>
  <c r="JI24" i="17"/>
  <c r="JI12" i="17"/>
  <c r="JI8" i="17"/>
  <c r="JI4" i="17"/>
  <c r="JI20" i="17"/>
  <c r="JI33" i="17"/>
  <c r="JI13" i="17"/>
  <c r="JI9" i="17"/>
  <c r="JI5" i="17"/>
  <c r="JI17" i="17"/>
  <c r="JI16" i="17"/>
  <c r="JI14" i="17"/>
  <c r="JI10" i="17"/>
  <c r="JI6" i="17"/>
  <c r="JI2" i="17"/>
  <c r="JI11" i="17"/>
  <c r="JI7" i="17"/>
  <c r="JI3" i="17"/>
  <c r="HX46" i="17"/>
  <c r="HX42" i="17"/>
  <c r="HX38" i="17"/>
  <c r="HX47" i="17"/>
  <c r="HX43" i="17"/>
  <c r="HX39" i="17"/>
  <c r="HX35" i="17"/>
  <c r="HX48" i="17"/>
  <c r="HX44" i="17"/>
  <c r="HX40" i="17"/>
  <c r="HX36" i="17"/>
  <c r="HX32" i="17"/>
  <c r="HX28" i="17"/>
  <c r="HX24" i="17"/>
  <c r="HX20" i="17"/>
  <c r="HX45" i="17"/>
  <c r="HX31" i="17"/>
  <c r="HX33" i="17"/>
  <c r="HX29" i="17"/>
  <c r="HX25" i="17"/>
  <c r="HX21" i="17"/>
  <c r="HX49" i="17"/>
  <c r="HX34" i="17"/>
  <c r="HX30" i="17"/>
  <c r="HX26" i="17"/>
  <c r="HX22" i="17"/>
  <c r="HX18" i="17"/>
  <c r="HX37" i="17"/>
  <c r="HX27" i="17"/>
  <c r="HX23" i="17"/>
  <c r="HX19" i="17"/>
  <c r="HX11" i="17"/>
  <c r="HX7" i="17"/>
  <c r="HX3" i="17"/>
  <c r="HX17" i="17"/>
  <c r="HX15" i="17"/>
  <c r="HX16" i="17"/>
  <c r="HX41" i="17"/>
  <c r="HX12" i="17"/>
  <c r="HX8" i="17"/>
  <c r="HX4" i="17"/>
  <c r="HX13" i="17"/>
  <c r="HX9" i="17"/>
  <c r="HX5" i="17"/>
  <c r="HX14" i="17"/>
  <c r="HX2" i="17"/>
  <c r="HX6" i="17"/>
  <c r="HX10" i="17"/>
  <c r="JC48" i="17"/>
  <c r="JC44" i="17"/>
  <c r="JC40" i="17"/>
  <c r="JC36" i="17"/>
  <c r="JC49" i="17"/>
  <c r="JC45" i="17"/>
  <c r="JC41" i="17"/>
  <c r="JC37" i="17"/>
  <c r="JC33" i="17"/>
  <c r="JC46" i="17"/>
  <c r="JC42" i="17"/>
  <c r="JC38" i="17"/>
  <c r="JC34" i="17"/>
  <c r="JC47" i="17"/>
  <c r="JC43" i="17"/>
  <c r="JC39" i="17"/>
  <c r="JC35" i="17"/>
  <c r="JC27" i="17"/>
  <c r="JC23" i="17"/>
  <c r="JC19" i="17"/>
  <c r="JC28" i="17"/>
  <c r="JC24" i="17"/>
  <c r="JC20" i="17"/>
  <c r="JC16" i="17"/>
  <c r="JC32" i="17"/>
  <c r="JC31" i="17"/>
  <c r="JC29" i="17"/>
  <c r="JC25" i="17"/>
  <c r="JC21" i="17"/>
  <c r="JC17" i="17"/>
  <c r="JC14" i="17"/>
  <c r="JC10" i="17"/>
  <c r="JC6" i="17"/>
  <c r="JC2" i="17"/>
  <c r="JC18" i="17"/>
  <c r="JC26" i="17"/>
  <c r="JC11" i="17"/>
  <c r="JC7" i="17"/>
  <c r="JC3" i="17"/>
  <c r="JC15" i="17"/>
  <c r="JC30" i="17"/>
  <c r="JC12" i="17"/>
  <c r="JC8" i="17"/>
  <c r="JC4" i="17"/>
  <c r="JC22" i="17"/>
  <c r="JC13" i="17"/>
  <c r="JC9" i="17"/>
  <c r="JC5" i="17"/>
  <c r="JM48" i="17"/>
  <c r="JM44" i="17"/>
  <c r="JM40" i="17"/>
  <c r="JM36" i="17"/>
  <c r="JM32" i="17"/>
  <c r="JM49" i="17"/>
  <c r="JM45" i="17"/>
  <c r="JM41" i="17"/>
  <c r="JM37" i="17"/>
  <c r="JM33" i="17"/>
  <c r="JM46" i="17"/>
  <c r="JM42" i="17"/>
  <c r="JM38" i="17"/>
  <c r="JM34" i="17"/>
  <c r="JM47" i="17"/>
  <c r="JM43" i="17"/>
  <c r="JM39" i="17"/>
  <c r="JM35" i="17"/>
  <c r="JM30" i="17"/>
  <c r="JM26" i="17"/>
  <c r="JM22" i="17"/>
  <c r="JM18" i="17"/>
  <c r="JM27" i="17"/>
  <c r="JM23" i="17"/>
  <c r="JM19" i="17"/>
  <c r="JM28" i="17"/>
  <c r="JM24" i="17"/>
  <c r="JM20" i="17"/>
  <c r="JM15" i="17"/>
  <c r="JM13" i="17"/>
  <c r="JM9" i="17"/>
  <c r="JM5" i="17"/>
  <c r="JM31" i="17"/>
  <c r="JM17" i="17"/>
  <c r="JM14" i="17"/>
  <c r="JM10" i="17"/>
  <c r="JM6" i="17"/>
  <c r="JM2" i="17"/>
  <c r="JM16" i="17"/>
  <c r="JM11" i="17"/>
  <c r="JM7" i="17"/>
  <c r="JM3" i="17"/>
  <c r="JM29" i="17"/>
  <c r="JM25" i="17"/>
  <c r="JM12" i="17"/>
  <c r="JM8" i="17"/>
  <c r="JM4" i="17"/>
  <c r="JM21" i="17"/>
  <c r="HR48" i="17"/>
  <c r="HR44" i="17"/>
  <c r="HR40" i="17"/>
  <c r="HR49" i="17"/>
  <c r="HR45" i="17"/>
  <c r="HR41" i="17"/>
  <c r="HR37" i="17"/>
  <c r="HR46" i="17"/>
  <c r="HR42" i="17"/>
  <c r="HR38" i="17"/>
  <c r="HR34" i="17"/>
  <c r="HR30" i="17"/>
  <c r="HR26" i="17"/>
  <c r="HR22" i="17"/>
  <c r="HR18" i="17"/>
  <c r="HR35" i="17"/>
  <c r="HR47" i="17"/>
  <c r="HR27" i="17"/>
  <c r="HR23" i="17"/>
  <c r="HR19" i="17"/>
  <c r="HR33" i="17"/>
  <c r="HR31" i="17"/>
  <c r="HR28" i="17"/>
  <c r="HR24" i="17"/>
  <c r="HR20" i="17"/>
  <c r="HR39" i="17"/>
  <c r="HR36" i="17"/>
  <c r="HR29" i="17"/>
  <c r="HR25" i="17"/>
  <c r="HR21" i="17"/>
  <c r="HR17" i="17"/>
  <c r="HR32" i="17"/>
  <c r="HR13" i="17"/>
  <c r="HR9" i="17"/>
  <c r="HR5" i="17"/>
  <c r="HR14" i="17"/>
  <c r="HR10" i="17"/>
  <c r="HR6" i="17"/>
  <c r="HR2" i="17"/>
  <c r="HR12" i="17"/>
  <c r="HR11" i="17"/>
  <c r="HR7" i="17"/>
  <c r="HR3" i="17"/>
  <c r="HR16" i="17"/>
  <c r="HR15" i="17"/>
  <c r="HR43" i="17"/>
  <c r="HR4" i="17"/>
  <c r="HR8" i="17"/>
  <c r="IC48" i="17"/>
  <c r="IC44" i="17"/>
  <c r="IC40" i="17"/>
  <c r="IC36" i="17"/>
  <c r="IC32" i="17"/>
  <c r="IC49" i="17"/>
  <c r="IC45" i="17"/>
  <c r="IC41" i="17"/>
  <c r="IC37" i="17"/>
  <c r="IC33" i="17"/>
  <c r="IC46" i="17"/>
  <c r="IC42" i="17"/>
  <c r="IC38" i="17"/>
  <c r="IC34" i="17"/>
  <c r="IC47" i="17"/>
  <c r="IC43" i="17"/>
  <c r="IC39" i="17"/>
  <c r="IC35" i="17"/>
  <c r="IC30" i="17"/>
  <c r="IC26" i="17"/>
  <c r="IC22" i="17"/>
  <c r="IC18" i="17"/>
  <c r="IC27" i="17"/>
  <c r="IC23" i="17"/>
  <c r="IC19" i="17"/>
  <c r="IC28" i="17"/>
  <c r="IC24" i="17"/>
  <c r="IC20" i="17"/>
  <c r="IC31" i="17"/>
  <c r="IC13" i="17"/>
  <c r="IC9" i="17"/>
  <c r="IC5" i="17"/>
  <c r="IC17" i="17"/>
  <c r="IC14" i="17"/>
  <c r="IC10" i="17"/>
  <c r="IC6" i="17"/>
  <c r="IC2" i="17"/>
  <c r="IC25" i="17"/>
  <c r="IC11" i="17"/>
  <c r="IC7" i="17"/>
  <c r="IC3" i="17"/>
  <c r="IC15" i="17"/>
  <c r="IC29" i="17"/>
  <c r="IC21" i="17"/>
  <c r="IC12" i="17"/>
  <c r="IC8" i="17"/>
  <c r="IC4" i="17"/>
  <c r="IC16" i="17"/>
  <c r="JV47" i="17"/>
  <c r="JV43" i="17"/>
  <c r="JV39" i="17"/>
  <c r="JV35" i="17"/>
  <c r="JV48" i="17"/>
  <c r="JV44" i="17"/>
  <c r="JV40" i="17"/>
  <c r="JV36" i="17"/>
  <c r="JV32" i="17"/>
  <c r="JV49" i="17"/>
  <c r="JV45" i="17"/>
  <c r="JV41" i="17"/>
  <c r="JV37" i="17"/>
  <c r="JV33" i="17"/>
  <c r="JV46" i="17"/>
  <c r="JV42" i="17"/>
  <c r="JV38" i="17"/>
  <c r="JV34" i="17"/>
  <c r="JV29" i="17"/>
  <c r="JV25" i="17"/>
  <c r="JV21" i="17"/>
  <c r="JV31" i="17"/>
  <c r="JV30" i="17"/>
  <c r="JV26" i="17"/>
  <c r="JV22" i="17"/>
  <c r="JV27" i="17"/>
  <c r="JV23" i="17"/>
  <c r="JV19" i="17"/>
  <c r="JV20" i="17"/>
  <c r="JV12" i="17"/>
  <c r="JV8" i="17"/>
  <c r="JV4" i="17"/>
  <c r="JV15" i="17"/>
  <c r="JV13" i="17"/>
  <c r="JV9" i="17"/>
  <c r="JV5" i="17"/>
  <c r="JV16" i="17"/>
  <c r="JV18" i="17"/>
  <c r="JV14" i="17"/>
  <c r="JV10" i="17"/>
  <c r="JV6" i="17"/>
  <c r="JV2" i="17"/>
  <c r="JV28" i="17"/>
  <c r="JV11" i="17"/>
  <c r="JV7" i="17"/>
  <c r="JV3" i="17"/>
  <c r="JV24" i="17"/>
  <c r="JV17" i="17"/>
  <c r="JE49" i="17"/>
  <c r="JE45" i="17"/>
  <c r="JE41" i="17"/>
  <c r="JE37" i="17"/>
  <c r="JE46" i="17"/>
  <c r="JE42" i="17"/>
  <c r="JE38" i="17"/>
  <c r="JE34" i="17"/>
  <c r="JE47" i="17"/>
  <c r="JE43" i="17"/>
  <c r="JE39" i="17"/>
  <c r="JE35" i="17"/>
  <c r="JE27" i="17"/>
  <c r="JE23" i="17"/>
  <c r="JE19" i="17"/>
  <c r="JE40" i="17"/>
  <c r="JE33" i="17"/>
  <c r="JE28" i="17"/>
  <c r="JE24" i="17"/>
  <c r="JE20" i="17"/>
  <c r="JE44" i="17"/>
  <c r="JE31" i="17"/>
  <c r="JE32" i="17"/>
  <c r="JE29" i="17"/>
  <c r="JE25" i="17"/>
  <c r="JE21" i="17"/>
  <c r="JE17" i="17"/>
  <c r="JE48" i="17"/>
  <c r="JE30" i="17"/>
  <c r="JE26" i="17"/>
  <c r="JE22" i="17"/>
  <c r="JE18" i="17"/>
  <c r="JE14" i="17"/>
  <c r="JE10" i="17"/>
  <c r="JE6" i="17"/>
  <c r="JE2" i="17"/>
  <c r="JE36" i="17"/>
  <c r="JE11" i="17"/>
  <c r="JE7" i="17"/>
  <c r="JE3" i="17"/>
  <c r="JE13" i="17"/>
  <c r="JE12" i="17"/>
  <c r="JE8" i="17"/>
  <c r="JE4" i="17"/>
  <c r="JE15" i="17"/>
  <c r="JE16" i="17"/>
  <c r="JE5" i="17"/>
  <c r="JE9" i="17"/>
  <c r="HI49" i="17"/>
  <c r="HI45" i="17"/>
  <c r="HI41" i="17"/>
  <c r="HI37" i="17"/>
  <c r="HI46" i="17"/>
  <c r="HI42" i="17"/>
  <c r="HI38" i="17"/>
  <c r="HI34" i="17"/>
  <c r="HI47" i="17"/>
  <c r="HI43" i="17"/>
  <c r="HI39" i="17"/>
  <c r="HI35" i="17"/>
  <c r="HI31" i="17"/>
  <c r="HI27" i="17"/>
  <c r="HI23" i="17"/>
  <c r="HI19" i="17"/>
  <c r="HI44" i="17"/>
  <c r="HI32" i="17"/>
  <c r="HI28" i="17"/>
  <c r="HI24" i="17"/>
  <c r="HI20" i="17"/>
  <c r="HI48" i="17"/>
  <c r="HI29" i="17"/>
  <c r="HI25" i="17"/>
  <c r="HI21" i="17"/>
  <c r="HI17" i="17"/>
  <c r="HI33" i="17"/>
  <c r="HI30" i="17"/>
  <c r="HI26" i="17"/>
  <c r="HI22" i="17"/>
  <c r="HI18" i="17"/>
  <c r="HI14" i="17"/>
  <c r="HI10" i="17"/>
  <c r="HI6" i="17"/>
  <c r="HI2" i="17"/>
  <c r="HI40" i="17"/>
  <c r="HI16" i="17"/>
  <c r="HI15" i="17"/>
  <c r="HI11" i="17"/>
  <c r="HI7" i="17"/>
  <c r="HI3" i="17"/>
  <c r="HI13" i="17"/>
  <c r="HI12" i="17"/>
  <c r="HI8" i="17"/>
  <c r="HI4" i="17"/>
  <c r="HI36" i="17"/>
  <c r="HI5" i="17"/>
  <c r="HI9" i="17"/>
  <c r="IA47" i="17"/>
  <c r="IA43" i="17"/>
  <c r="IA39" i="17"/>
  <c r="IA48" i="17"/>
  <c r="IA44" i="17"/>
  <c r="IA40" i="17"/>
  <c r="IA36" i="17"/>
  <c r="IA49" i="17"/>
  <c r="IA45" i="17"/>
  <c r="IA41" i="17"/>
  <c r="IA37" i="17"/>
  <c r="IA33" i="17"/>
  <c r="IA35" i="17"/>
  <c r="IA29" i="17"/>
  <c r="IA25" i="17"/>
  <c r="IA21" i="17"/>
  <c r="IA17" i="17"/>
  <c r="IA46" i="17"/>
  <c r="IA30" i="17"/>
  <c r="IA26" i="17"/>
  <c r="IA22" i="17"/>
  <c r="IA18" i="17"/>
  <c r="IA34" i="17"/>
  <c r="IA32" i="17"/>
  <c r="IA27" i="17"/>
  <c r="IA23" i="17"/>
  <c r="IA19" i="17"/>
  <c r="IA38" i="17"/>
  <c r="IA28" i="17"/>
  <c r="IA24" i="17"/>
  <c r="IA20" i="17"/>
  <c r="IA16" i="17"/>
  <c r="IA12" i="17"/>
  <c r="IA8" i="17"/>
  <c r="IA4" i="17"/>
  <c r="IA31" i="17"/>
  <c r="IA13" i="17"/>
  <c r="IA9" i="17"/>
  <c r="IA5" i="17"/>
  <c r="IA14" i="17"/>
  <c r="IA10" i="17"/>
  <c r="IA6" i="17"/>
  <c r="IA2" i="17"/>
  <c r="IA42" i="17"/>
  <c r="IA15" i="17"/>
  <c r="IA3" i="17"/>
  <c r="IA7" i="17"/>
  <c r="IA11" i="17"/>
  <c r="HY46" i="17"/>
  <c r="HY42" i="17"/>
  <c r="HY38" i="17"/>
  <c r="HY34" i="17"/>
  <c r="HY47" i="17"/>
  <c r="HY43" i="17"/>
  <c r="HY39" i="17"/>
  <c r="HY35" i="17"/>
  <c r="HY48" i="17"/>
  <c r="HY44" i="17"/>
  <c r="HY40" i="17"/>
  <c r="HY36" i="17"/>
  <c r="HY32" i="17"/>
  <c r="HY49" i="17"/>
  <c r="HY45" i="17"/>
  <c r="HY41" i="17"/>
  <c r="HY37" i="17"/>
  <c r="HY31" i="17"/>
  <c r="HY33" i="17"/>
  <c r="HY29" i="17"/>
  <c r="HY25" i="17"/>
  <c r="HY21" i="17"/>
  <c r="HY30" i="17"/>
  <c r="HY26" i="17"/>
  <c r="HY22" i="17"/>
  <c r="HY18" i="17"/>
  <c r="HY27" i="17"/>
  <c r="HY23" i="17"/>
  <c r="HY19" i="17"/>
  <c r="HY15" i="17"/>
  <c r="HY17" i="17"/>
  <c r="HY28" i="17"/>
  <c r="HY16" i="17"/>
  <c r="HY24" i="17"/>
  <c r="HY12" i="17"/>
  <c r="HY8" i="17"/>
  <c r="HY4" i="17"/>
  <c r="HY20" i="17"/>
  <c r="HY13" i="17"/>
  <c r="HY9" i="17"/>
  <c r="HY5" i="17"/>
  <c r="HY14" i="17"/>
  <c r="HY10" i="17"/>
  <c r="HY6" i="17"/>
  <c r="HY2" i="17"/>
  <c r="HY11" i="17"/>
  <c r="HY7" i="17"/>
  <c r="HY3" i="17"/>
  <c r="JH46" i="17"/>
  <c r="JH42" i="17"/>
  <c r="JH38" i="17"/>
  <c r="JH47" i="17"/>
  <c r="JH43" i="17"/>
  <c r="JH39" i="17"/>
  <c r="JH35" i="17"/>
  <c r="JH48" i="17"/>
  <c r="JH44" i="17"/>
  <c r="JH40" i="17"/>
  <c r="JH36" i="17"/>
  <c r="JH32" i="17"/>
  <c r="JH33" i="17"/>
  <c r="JH28" i="17"/>
  <c r="JH24" i="17"/>
  <c r="JH20" i="17"/>
  <c r="JH41" i="17"/>
  <c r="JH31" i="17"/>
  <c r="JH29" i="17"/>
  <c r="JH25" i="17"/>
  <c r="JH21" i="17"/>
  <c r="JH45" i="17"/>
  <c r="JH34" i="17"/>
  <c r="JH30" i="17"/>
  <c r="JH26" i="17"/>
  <c r="JH22" i="17"/>
  <c r="JH18" i="17"/>
  <c r="JH49" i="17"/>
  <c r="JH27" i="17"/>
  <c r="JH23" i="17"/>
  <c r="JH19" i="17"/>
  <c r="JH11" i="17"/>
  <c r="JH7" i="17"/>
  <c r="JH3" i="17"/>
  <c r="JH12" i="17"/>
  <c r="JH8" i="17"/>
  <c r="JH4" i="17"/>
  <c r="JH15" i="17"/>
  <c r="JH37" i="17"/>
  <c r="JH13" i="17"/>
  <c r="JH9" i="17"/>
  <c r="JH5" i="17"/>
  <c r="JH17" i="17"/>
  <c r="JH16" i="17"/>
  <c r="JH14" i="17"/>
  <c r="JH2" i="17"/>
  <c r="JH6" i="17"/>
  <c r="JH10" i="17"/>
  <c r="JN48" i="17"/>
  <c r="JN44" i="17"/>
  <c r="JN40" i="17"/>
  <c r="JN49" i="17"/>
  <c r="JN45" i="17"/>
  <c r="JN41" i="17"/>
  <c r="JN37" i="17"/>
  <c r="JN46" i="17"/>
  <c r="JN42" i="17"/>
  <c r="JN38" i="17"/>
  <c r="JN34" i="17"/>
  <c r="JN35" i="17"/>
  <c r="JN30" i="17"/>
  <c r="JN26" i="17"/>
  <c r="JN22" i="17"/>
  <c r="JN18" i="17"/>
  <c r="JN43" i="17"/>
  <c r="JN32" i="17"/>
  <c r="JN27" i="17"/>
  <c r="JN23" i="17"/>
  <c r="JN19" i="17"/>
  <c r="JN47" i="17"/>
  <c r="JN28" i="17"/>
  <c r="JN24" i="17"/>
  <c r="JN20" i="17"/>
  <c r="JN36" i="17"/>
  <c r="JN29" i="17"/>
  <c r="JN25" i="17"/>
  <c r="JN21" i="17"/>
  <c r="JN17" i="17"/>
  <c r="JN15" i="17"/>
  <c r="JN13" i="17"/>
  <c r="JN9" i="17"/>
  <c r="JN5" i="17"/>
  <c r="JN39" i="17"/>
  <c r="JN31" i="17"/>
  <c r="JN14" i="17"/>
  <c r="JN10" i="17"/>
  <c r="JN6" i="17"/>
  <c r="JN2" i="17"/>
  <c r="JN33" i="17"/>
  <c r="JN16" i="17"/>
  <c r="JN11" i="17"/>
  <c r="JN7" i="17"/>
  <c r="JN3" i="17"/>
  <c r="JN12" i="17"/>
  <c r="JN4" i="17"/>
  <c r="JN8" i="17"/>
  <c r="HS48" i="17"/>
  <c r="HS44" i="17"/>
  <c r="HS40" i="17"/>
  <c r="HS36" i="17"/>
  <c r="HS49" i="17"/>
  <c r="HS45" i="17"/>
  <c r="HS41" i="17"/>
  <c r="HS37" i="17"/>
  <c r="HS33" i="17"/>
  <c r="HS46" i="17"/>
  <c r="HS42" i="17"/>
  <c r="HS38" i="17"/>
  <c r="HS34" i="17"/>
  <c r="HS47" i="17"/>
  <c r="HS43" i="17"/>
  <c r="HS39" i="17"/>
  <c r="HS35" i="17"/>
  <c r="HS27" i="17"/>
  <c r="HS23" i="17"/>
  <c r="HS19" i="17"/>
  <c r="HS31" i="17"/>
  <c r="HS28" i="17"/>
  <c r="HS24" i="17"/>
  <c r="HS20" i="17"/>
  <c r="HS16" i="17"/>
  <c r="HS29" i="17"/>
  <c r="HS25" i="17"/>
  <c r="HS21" i="17"/>
  <c r="HS17" i="17"/>
  <c r="HS32" i="17"/>
  <c r="HS14" i="17"/>
  <c r="HS10" i="17"/>
  <c r="HS6" i="17"/>
  <c r="HS2" i="17"/>
  <c r="HS11" i="17"/>
  <c r="HS7" i="17"/>
  <c r="HS3" i="17"/>
  <c r="HS30" i="17"/>
  <c r="HS18" i="17"/>
  <c r="HS15" i="17"/>
  <c r="HS26" i="17"/>
  <c r="HS22" i="17"/>
  <c r="HS12" i="17"/>
  <c r="HS8" i="17"/>
  <c r="HS4" i="17"/>
  <c r="HS13" i="17"/>
  <c r="HS9" i="17"/>
  <c r="HS5" i="17"/>
  <c r="JW47" i="17"/>
  <c r="JW43" i="17"/>
  <c r="JW39" i="17"/>
  <c r="JW48" i="17"/>
  <c r="JW44" i="17"/>
  <c r="JW40" i="17"/>
  <c r="JW36" i="17"/>
  <c r="JW49" i="17"/>
  <c r="JW45" i="17"/>
  <c r="JW41" i="17"/>
  <c r="JW37" i="17"/>
  <c r="JW33" i="17"/>
  <c r="JW29" i="17"/>
  <c r="JW25" i="17"/>
  <c r="JW21" i="17"/>
  <c r="JW17" i="17"/>
  <c r="JW46" i="17"/>
  <c r="JW34" i="17"/>
  <c r="JW31" i="17"/>
  <c r="JW30" i="17"/>
  <c r="JW26" i="17"/>
  <c r="JW22" i="17"/>
  <c r="JW18" i="17"/>
  <c r="JW27" i="17"/>
  <c r="JW23" i="17"/>
  <c r="JW19" i="17"/>
  <c r="JW38" i="17"/>
  <c r="JW32" i="17"/>
  <c r="JW28" i="17"/>
  <c r="JW24" i="17"/>
  <c r="JW20" i="17"/>
  <c r="JW16" i="17"/>
  <c r="JW12" i="17"/>
  <c r="JW8" i="17"/>
  <c r="JW4" i="17"/>
  <c r="JW15" i="17"/>
  <c r="JW13" i="17"/>
  <c r="JW9" i="17"/>
  <c r="JW5" i="17"/>
  <c r="JW14" i="17"/>
  <c r="JW10" i="17"/>
  <c r="JW6" i="17"/>
  <c r="JW2" i="17"/>
  <c r="JW42" i="17"/>
  <c r="JW35" i="17"/>
  <c r="JW3" i="17"/>
  <c r="JW7" i="17"/>
  <c r="JW11" i="17"/>
  <c r="HU49" i="17"/>
  <c r="HU45" i="17"/>
  <c r="HU41" i="17"/>
  <c r="HU37" i="17"/>
  <c r="HU46" i="17"/>
  <c r="HU42" i="17"/>
  <c r="HU38" i="17"/>
  <c r="HU34" i="17"/>
  <c r="HU47" i="17"/>
  <c r="HU43" i="17"/>
  <c r="HU39" i="17"/>
  <c r="HU35" i="17"/>
  <c r="HU44" i="17"/>
  <c r="HU27" i="17"/>
  <c r="HU23" i="17"/>
  <c r="HU19" i="17"/>
  <c r="HU31" i="17"/>
  <c r="HU48" i="17"/>
  <c r="HU28" i="17"/>
  <c r="HU24" i="17"/>
  <c r="HU20" i="17"/>
  <c r="HU33" i="17"/>
  <c r="HU29" i="17"/>
  <c r="HU25" i="17"/>
  <c r="HU21" i="17"/>
  <c r="HU17" i="17"/>
  <c r="HU36" i="17"/>
  <c r="HU32" i="17"/>
  <c r="HU40" i="17"/>
  <c r="HU30" i="17"/>
  <c r="HU26" i="17"/>
  <c r="HU22" i="17"/>
  <c r="HU18" i="17"/>
  <c r="HU14" i="17"/>
  <c r="HU10" i="17"/>
  <c r="HU6" i="17"/>
  <c r="HU2" i="17"/>
  <c r="HU11" i="17"/>
  <c r="HU7" i="17"/>
  <c r="HU3" i="17"/>
  <c r="HU15" i="17"/>
  <c r="HU16" i="17"/>
  <c r="HU12" i="17"/>
  <c r="HU8" i="17"/>
  <c r="HU4" i="17"/>
  <c r="HU13" i="17"/>
  <c r="HU5" i="17"/>
  <c r="HU9" i="17"/>
  <c r="IY47" i="17"/>
  <c r="IY43" i="17"/>
  <c r="IY39" i="17"/>
  <c r="IY48" i="17"/>
  <c r="IY44" i="17"/>
  <c r="IY40" i="17"/>
  <c r="IY36" i="17"/>
  <c r="IY49" i="17"/>
  <c r="IY45" i="17"/>
  <c r="IY41" i="17"/>
  <c r="IY37" i="17"/>
  <c r="IY33" i="17"/>
  <c r="IY29" i="17"/>
  <c r="IY25" i="17"/>
  <c r="IY21" i="17"/>
  <c r="IY17" i="17"/>
  <c r="IY38" i="17"/>
  <c r="IY30" i="17"/>
  <c r="IY26" i="17"/>
  <c r="IY22" i="17"/>
  <c r="IY18" i="17"/>
  <c r="IY42" i="17"/>
  <c r="IY35" i="17"/>
  <c r="IY27" i="17"/>
  <c r="IY23" i="17"/>
  <c r="IY19" i="17"/>
  <c r="IY46" i="17"/>
  <c r="IY28" i="17"/>
  <c r="IY24" i="17"/>
  <c r="IY20" i="17"/>
  <c r="IY16" i="17"/>
  <c r="IY15" i="17"/>
  <c r="IY12" i="17"/>
  <c r="IY8" i="17"/>
  <c r="IY4" i="17"/>
  <c r="IY13" i="17"/>
  <c r="IY9" i="17"/>
  <c r="IY5" i="17"/>
  <c r="IY32" i="17"/>
  <c r="IY14" i="17"/>
  <c r="IY10" i="17"/>
  <c r="IY6" i="17"/>
  <c r="IY2" i="17"/>
  <c r="IY31" i="17"/>
  <c r="IY34" i="17"/>
  <c r="IY11" i="17"/>
  <c r="IY3" i="17"/>
  <c r="IY7" i="17"/>
  <c r="IW46" i="17"/>
  <c r="IW42" i="17"/>
  <c r="IW38" i="17"/>
  <c r="IW34" i="17"/>
  <c r="IW47" i="17"/>
  <c r="IW43" i="17"/>
  <c r="IW39" i="17"/>
  <c r="IW35" i="17"/>
  <c r="IW31" i="17"/>
  <c r="IW48" i="17"/>
  <c r="IW44" i="17"/>
  <c r="IW40" i="17"/>
  <c r="IW36" i="17"/>
  <c r="IW32" i="17"/>
  <c r="IW49" i="17"/>
  <c r="IW45" i="17"/>
  <c r="IW41" i="17"/>
  <c r="IW37" i="17"/>
  <c r="IW29" i="17"/>
  <c r="IW25" i="17"/>
  <c r="IW21" i="17"/>
  <c r="IW30" i="17"/>
  <c r="IW26" i="17"/>
  <c r="IW22" i="17"/>
  <c r="IW18" i="17"/>
  <c r="IW33" i="17"/>
  <c r="IW27" i="17"/>
  <c r="IW23" i="17"/>
  <c r="IW19" i="17"/>
  <c r="IW15" i="17"/>
  <c r="IW12" i="17"/>
  <c r="IW8" i="17"/>
  <c r="IW4" i="17"/>
  <c r="IW17" i="17"/>
  <c r="IW16" i="17"/>
  <c r="IW13" i="17"/>
  <c r="IW9" i="17"/>
  <c r="IW5" i="17"/>
  <c r="IW28" i="17"/>
  <c r="IW24" i="17"/>
  <c r="IW20" i="17"/>
  <c r="IW14" i="17"/>
  <c r="IW10" i="17"/>
  <c r="IW6" i="17"/>
  <c r="IW2" i="17"/>
  <c r="IW11" i="17"/>
  <c r="IW7" i="17"/>
  <c r="IW3" i="17"/>
  <c r="HJ49" i="17"/>
  <c r="HJ45" i="17"/>
  <c r="HJ41" i="17"/>
  <c r="HJ37" i="17"/>
  <c r="HJ46" i="17"/>
  <c r="HJ42" i="17"/>
  <c r="HJ38" i="17"/>
  <c r="HJ34" i="17"/>
  <c r="HJ47" i="17"/>
  <c r="HJ43" i="17"/>
  <c r="HJ39" i="17"/>
  <c r="HJ35" i="17"/>
  <c r="HJ31" i="17"/>
  <c r="HJ48" i="17"/>
  <c r="HJ44" i="17"/>
  <c r="HJ40" i="17"/>
  <c r="HJ36" i="17"/>
  <c r="HJ32" i="17"/>
  <c r="HJ28" i="17"/>
  <c r="HJ24" i="17"/>
  <c r="HJ20" i="17"/>
  <c r="HJ29" i="17"/>
  <c r="HJ25" i="17"/>
  <c r="HJ21" i="17"/>
  <c r="HJ17" i="17"/>
  <c r="HJ33" i="17"/>
  <c r="HJ30" i="17"/>
  <c r="HJ26" i="17"/>
  <c r="HJ22" i="17"/>
  <c r="HJ18" i="17"/>
  <c r="HJ16" i="17"/>
  <c r="HJ15" i="17"/>
  <c r="HJ11" i="17"/>
  <c r="HJ7" i="17"/>
  <c r="HJ3" i="17"/>
  <c r="HJ27" i="17"/>
  <c r="HJ12" i="17"/>
  <c r="HJ8" i="17"/>
  <c r="HJ4" i="17"/>
  <c r="HJ23" i="17"/>
  <c r="HJ19" i="17"/>
  <c r="HJ13" i="17"/>
  <c r="HJ9" i="17"/>
  <c r="HJ5" i="17"/>
  <c r="HJ14" i="17"/>
  <c r="HJ10" i="17"/>
  <c r="HJ6" i="17"/>
  <c r="HJ2" i="17"/>
  <c r="IB47" i="17"/>
  <c r="IB43" i="17"/>
  <c r="IB39" i="17"/>
  <c r="IB35" i="17"/>
  <c r="IB48" i="17"/>
  <c r="IB44" i="17"/>
  <c r="IB40" i="17"/>
  <c r="IB36" i="17"/>
  <c r="IB32" i="17"/>
  <c r="IB49" i="17"/>
  <c r="IB45" i="17"/>
  <c r="IB41" i="17"/>
  <c r="IB37" i="17"/>
  <c r="IB33" i="17"/>
  <c r="IB46" i="17"/>
  <c r="IB42" i="17"/>
  <c r="IB38" i="17"/>
  <c r="IB34" i="17"/>
  <c r="IB30" i="17"/>
  <c r="IB26" i="17"/>
  <c r="IB22" i="17"/>
  <c r="IB27" i="17"/>
  <c r="IB23" i="17"/>
  <c r="IB19" i="17"/>
  <c r="IB28" i="17"/>
  <c r="IB24" i="17"/>
  <c r="IB20" i="17"/>
  <c r="IB16" i="17"/>
  <c r="IB31" i="17"/>
  <c r="IB18" i="17"/>
  <c r="IB13" i="17"/>
  <c r="IB9" i="17"/>
  <c r="IB5" i="17"/>
  <c r="IB14" i="17"/>
  <c r="IB10" i="17"/>
  <c r="IB6" i="17"/>
  <c r="IB2" i="17"/>
  <c r="IB29" i="17"/>
  <c r="IB11" i="17"/>
  <c r="IB7" i="17"/>
  <c r="IB3" i="17"/>
  <c r="IB25" i="17"/>
  <c r="IB17" i="17"/>
  <c r="IB15" i="17"/>
  <c r="IB21" i="17"/>
  <c r="IB12" i="17"/>
  <c r="IB8" i="17"/>
  <c r="IB4" i="17"/>
  <c r="ID48" i="17"/>
  <c r="ID44" i="17"/>
  <c r="ID40" i="17"/>
  <c r="ID49" i="17"/>
  <c r="ID45" i="17"/>
  <c r="ID41" i="17"/>
  <c r="ID37" i="17"/>
  <c r="ID46" i="17"/>
  <c r="ID42" i="17"/>
  <c r="ID38" i="17"/>
  <c r="ID34" i="17"/>
  <c r="ID33" i="17"/>
  <c r="ID30" i="17"/>
  <c r="ID26" i="17"/>
  <c r="ID22" i="17"/>
  <c r="ID18" i="17"/>
  <c r="ID47" i="17"/>
  <c r="ID27" i="17"/>
  <c r="ID23" i="17"/>
  <c r="ID19" i="17"/>
  <c r="ID32" i="17"/>
  <c r="ID28" i="17"/>
  <c r="ID24" i="17"/>
  <c r="ID20" i="17"/>
  <c r="ID39" i="17"/>
  <c r="ID36" i="17"/>
  <c r="ID31" i="17"/>
  <c r="ID29" i="17"/>
  <c r="ID25" i="17"/>
  <c r="ID21" i="17"/>
  <c r="ID17" i="17"/>
  <c r="ID13" i="17"/>
  <c r="ID9" i="17"/>
  <c r="ID5" i="17"/>
  <c r="ID14" i="17"/>
  <c r="ID10" i="17"/>
  <c r="ID6" i="17"/>
  <c r="ID2" i="17"/>
  <c r="ID11" i="17"/>
  <c r="ID7" i="17"/>
  <c r="ID3" i="17"/>
  <c r="ID35" i="17"/>
  <c r="ID15" i="17"/>
  <c r="ID43" i="17"/>
  <c r="ID12" i="17"/>
  <c r="ID16" i="17"/>
  <c r="ID4" i="17"/>
  <c r="ID8" i="17"/>
  <c r="HL46" i="17"/>
  <c r="HL42" i="17"/>
  <c r="HL38" i="17"/>
  <c r="HL47" i="17"/>
  <c r="HL43" i="17"/>
  <c r="HL39" i="17"/>
  <c r="HL35" i="17"/>
  <c r="HL48" i="17"/>
  <c r="HL44" i="17"/>
  <c r="HL40" i="17"/>
  <c r="HL36" i="17"/>
  <c r="HL32" i="17"/>
  <c r="HL28" i="17"/>
  <c r="HL24" i="17"/>
  <c r="HL20" i="17"/>
  <c r="HL45" i="17"/>
  <c r="HL29" i="17"/>
  <c r="HL25" i="17"/>
  <c r="HL21" i="17"/>
  <c r="HL49" i="17"/>
  <c r="HL30" i="17"/>
  <c r="HL26" i="17"/>
  <c r="HL22" i="17"/>
  <c r="HL18" i="17"/>
  <c r="HL34" i="17"/>
  <c r="HL33" i="17"/>
  <c r="HL37" i="17"/>
  <c r="HL27" i="17"/>
  <c r="HL23" i="17"/>
  <c r="HL19" i="17"/>
  <c r="HL15" i="17"/>
  <c r="HL11" i="17"/>
  <c r="HL7" i="17"/>
  <c r="HL3" i="17"/>
  <c r="HL12" i="17"/>
  <c r="HL8" i="17"/>
  <c r="HL4" i="17"/>
  <c r="HL41" i="17"/>
  <c r="HL31" i="17"/>
  <c r="HL13" i="17"/>
  <c r="HL9" i="17"/>
  <c r="HL5" i="17"/>
  <c r="HL14" i="17"/>
  <c r="HL17" i="17"/>
  <c r="HL16" i="17"/>
  <c r="HL2" i="17"/>
  <c r="HL6" i="17"/>
  <c r="HL10" i="17"/>
  <c r="HN47" i="17"/>
  <c r="HN43" i="17"/>
  <c r="HN39" i="17"/>
  <c r="HN35" i="17"/>
  <c r="HN48" i="17"/>
  <c r="HN44" i="17"/>
  <c r="HN40" i="17"/>
  <c r="HN36" i="17"/>
  <c r="HN32" i="17"/>
  <c r="HN49" i="17"/>
  <c r="HN45" i="17"/>
  <c r="HN41" i="17"/>
  <c r="HN37" i="17"/>
  <c r="HN33" i="17"/>
  <c r="HN46" i="17"/>
  <c r="HN42" i="17"/>
  <c r="HN38" i="17"/>
  <c r="HN34" i="17"/>
  <c r="HN29" i="17"/>
  <c r="HN25" i="17"/>
  <c r="HN21" i="17"/>
  <c r="HN30" i="17"/>
  <c r="HN26" i="17"/>
  <c r="HN22" i="17"/>
  <c r="HN27" i="17"/>
  <c r="HN23" i="17"/>
  <c r="HN19" i="17"/>
  <c r="HN31" i="17"/>
  <c r="HN12" i="17"/>
  <c r="HN8" i="17"/>
  <c r="HN4" i="17"/>
  <c r="HN28" i="17"/>
  <c r="HN24" i="17"/>
  <c r="HN20" i="17"/>
  <c r="HN13" i="17"/>
  <c r="HN9" i="17"/>
  <c r="HN5" i="17"/>
  <c r="HN16" i="17"/>
  <c r="HN17" i="17"/>
  <c r="HN14" i="17"/>
  <c r="HN10" i="17"/>
  <c r="HN6" i="17"/>
  <c r="HN2" i="17"/>
  <c r="HN18" i="17"/>
  <c r="HN11" i="17"/>
  <c r="HN7" i="17"/>
  <c r="HN3" i="17"/>
  <c r="HN15" i="17"/>
  <c r="JO48" i="17"/>
  <c r="JO44" i="17"/>
  <c r="JO40" i="17"/>
  <c r="JO36" i="17"/>
  <c r="JO49" i="17"/>
  <c r="JO45" i="17"/>
  <c r="JO41" i="17"/>
  <c r="JO37" i="17"/>
  <c r="JO33" i="17"/>
  <c r="JO46" i="17"/>
  <c r="JO42" i="17"/>
  <c r="JO38" i="17"/>
  <c r="JO34" i="17"/>
  <c r="JO47" i="17"/>
  <c r="JO43" i="17"/>
  <c r="JO39" i="17"/>
  <c r="JO35" i="17"/>
  <c r="JO32" i="17"/>
  <c r="JO27" i="17"/>
  <c r="JO23" i="17"/>
  <c r="JO19" i="17"/>
  <c r="JO28" i="17"/>
  <c r="JO24" i="17"/>
  <c r="JO20" i="17"/>
  <c r="JO16" i="17"/>
  <c r="JO29" i="17"/>
  <c r="JO25" i="17"/>
  <c r="JO21" i="17"/>
  <c r="JO17" i="17"/>
  <c r="JO31" i="17"/>
  <c r="JO14" i="17"/>
  <c r="JO10" i="17"/>
  <c r="JO6" i="17"/>
  <c r="JO2" i="17"/>
  <c r="JO30" i="17"/>
  <c r="JO11" i="17"/>
  <c r="JO7" i="17"/>
  <c r="JO3" i="17"/>
  <c r="JO26" i="17"/>
  <c r="JO22" i="17"/>
  <c r="JO12" i="17"/>
  <c r="JO8" i="17"/>
  <c r="JO4" i="17"/>
  <c r="JO18" i="17"/>
  <c r="JO15" i="17"/>
  <c r="JO13" i="17"/>
  <c r="JO9" i="17"/>
  <c r="JO5" i="17"/>
  <c r="HT49" i="17"/>
  <c r="HT45" i="17"/>
  <c r="HT41" i="17"/>
  <c r="HT37" i="17"/>
  <c r="HT33" i="17"/>
  <c r="HT46" i="17"/>
  <c r="HT42" i="17"/>
  <c r="HT38" i="17"/>
  <c r="HT34" i="17"/>
  <c r="HT47" i="17"/>
  <c r="HT43" i="17"/>
  <c r="HT39" i="17"/>
  <c r="HT35" i="17"/>
  <c r="HT48" i="17"/>
  <c r="HT44" i="17"/>
  <c r="HT40" i="17"/>
  <c r="HT36" i="17"/>
  <c r="HT32" i="17"/>
  <c r="HT27" i="17"/>
  <c r="HT23" i="17"/>
  <c r="HT19" i="17"/>
  <c r="HT31" i="17"/>
  <c r="HT28" i="17"/>
  <c r="HT24" i="17"/>
  <c r="HT20" i="17"/>
  <c r="HT29" i="17"/>
  <c r="HT25" i="17"/>
  <c r="HT21" i="17"/>
  <c r="HT14" i="17"/>
  <c r="HT10" i="17"/>
  <c r="HT6" i="17"/>
  <c r="HT2" i="17"/>
  <c r="HT17" i="17"/>
  <c r="HT11" i="17"/>
  <c r="HT7" i="17"/>
  <c r="HT3" i="17"/>
  <c r="HT30" i="17"/>
  <c r="HT18" i="17"/>
  <c r="HT15" i="17"/>
  <c r="HT26" i="17"/>
  <c r="HT16" i="17"/>
  <c r="HT22" i="17"/>
  <c r="HT12" i="17"/>
  <c r="HT8" i="17"/>
  <c r="HT4" i="17"/>
  <c r="HT13" i="17"/>
  <c r="HT9" i="17"/>
  <c r="HT5" i="17"/>
  <c r="HF48" i="17"/>
  <c r="HF44" i="17"/>
  <c r="HF40" i="17"/>
  <c r="HF49" i="17"/>
  <c r="HF45" i="17"/>
  <c r="HF41" i="17"/>
  <c r="HF37" i="17"/>
  <c r="HF46" i="17"/>
  <c r="HF42" i="17"/>
  <c r="HF38" i="17"/>
  <c r="HF34" i="17"/>
  <c r="HF43" i="17"/>
  <c r="HF30" i="17"/>
  <c r="HF26" i="17"/>
  <c r="HF22" i="17"/>
  <c r="HF18" i="17"/>
  <c r="HF47" i="17"/>
  <c r="HF35" i="17"/>
  <c r="HF32" i="17"/>
  <c r="HF31" i="17"/>
  <c r="HF27" i="17"/>
  <c r="HF23" i="17"/>
  <c r="HF19" i="17"/>
  <c r="HF28" i="17"/>
  <c r="HF24" i="17"/>
  <c r="HF20" i="17"/>
  <c r="HF39" i="17"/>
  <c r="HF29" i="17"/>
  <c r="HF25" i="17"/>
  <c r="HF21" i="17"/>
  <c r="HF17" i="17"/>
  <c r="HF13" i="17"/>
  <c r="HF9" i="17"/>
  <c r="HF5" i="17"/>
  <c r="HF33" i="17"/>
  <c r="HF14" i="17"/>
  <c r="HF10" i="17"/>
  <c r="HF6" i="17"/>
  <c r="HF2" i="17"/>
  <c r="HF12" i="17"/>
  <c r="HF16" i="17"/>
  <c r="HF15" i="17"/>
  <c r="HF11" i="17"/>
  <c r="HF7" i="17"/>
  <c r="HF3" i="17"/>
  <c r="HF36" i="17"/>
  <c r="HF4" i="17"/>
  <c r="HF8" i="17"/>
  <c r="B1" i="14" a="1"/>
  <c r="B1" i="14" s="1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H551" i="3"/>
  <c r="H550" i="3"/>
  <c r="H549" i="3"/>
  <c r="H548" i="3"/>
  <c r="H547" i="3"/>
  <c r="H546" i="3"/>
  <c r="H545" i="3"/>
  <c r="H544" i="3"/>
  <c r="H543" i="3"/>
  <c r="H542" i="3"/>
  <c r="H541" i="3"/>
  <c r="H540" i="3"/>
  <c r="H539" i="3"/>
  <c r="H538" i="3"/>
  <c r="H537" i="3"/>
  <c r="H536" i="3"/>
  <c r="H535" i="3"/>
  <c r="H534" i="3"/>
  <c r="H533" i="3"/>
  <c r="H532" i="3"/>
  <c r="H531" i="3"/>
  <c r="H530" i="3"/>
  <c r="H529" i="3"/>
  <c r="H528" i="3"/>
  <c r="H527" i="3"/>
  <c r="H526" i="3"/>
  <c r="H525" i="3"/>
  <c r="H524" i="3"/>
  <c r="H523" i="3"/>
  <c r="H522" i="3"/>
  <c r="H521" i="3"/>
  <c r="H520" i="3"/>
  <c r="H519" i="3"/>
  <c r="H518" i="3"/>
  <c r="H517" i="3"/>
  <c r="H516" i="3"/>
  <c r="H515" i="3"/>
  <c r="H514" i="3"/>
  <c r="H513" i="3"/>
  <c r="H512" i="3"/>
  <c r="H511" i="3"/>
  <c r="H510" i="3"/>
  <c r="H509" i="3"/>
  <c r="H508" i="3"/>
  <c r="H507" i="3"/>
  <c r="H506" i="3"/>
  <c r="H505" i="3"/>
  <c r="H504" i="3"/>
  <c r="H503" i="3"/>
  <c r="H502" i="3"/>
  <c r="H501" i="3"/>
  <c r="H500" i="3"/>
  <c r="H499" i="3"/>
  <c r="H498" i="3"/>
  <c r="H497" i="3"/>
  <c r="H496" i="3"/>
  <c r="H495" i="3"/>
  <c r="H494" i="3"/>
  <c r="H493" i="3"/>
  <c r="H492" i="3"/>
  <c r="H491" i="3"/>
  <c r="H490" i="3"/>
  <c r="H489" i="3"/>
  <c r="H488" i="3"/>
  <c r="H487" i="3"/>
  <c r="H486" i="3"/>
  <c r="H485" i="3"/>
  <c r="H484" i="3"/>
  <c r="H483" i="3"/>
  <c r="H482" i="3"/>
  <c r="H481" i="3"/>
  <c r="H480" i="3"/>
  <c r="H479" i="3"/>
  <c r="H478" i="3"/>
  <c r="H477" i="3"/>
  <c r="H476" i="3"/>
  <c r="H475" i="3"/>
  <c r="H474" i="3"/>
  <c r="H473" i="3"/>
  <c r="H472" i="3"/>
  <c r="H471" i="3"/>
  <c r="H470" i="3"/>
  <c r="H469" i="3"/>
  <c r="H468" i="3"/>
  <c r="H467" i="3"/>
  <c r="H466" i="3"/>
  <c r="H465" i="3"/>
  <c r="H464" i="3"/>
  <c r="H463" i="3"/>
  <c r="H462" i="3"/>
  <c r="H461" i="3"/>
  <c r="H460" i="3"/>
  <c r="H459" i="3"/>
  <c r="H458" i="3"/>
  <c r="H457" i="3"/>
  <c r="H456" i="3"/>
  <c r="H455" i="3"/>
  <c r="H454" i="3"/>
  <c r="H453" i="3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tc={3A9C4E29-8E11-4D3E-B1D1-32492B0B0C78}</author>
    <author>tc={CA172FA7-685B-43DF-9263-570648D2AC8E}</author>
    <author>tc={CAE7B849-D060-4299-AB1D-B3B934D6B709}</author>
    <author>tc={A9FB9B08-5785-43AA-B7EE-F1F078D469C8}</author>
    <author>tc={79A83861-13F0-43DA-B3C4-D9FE572E0809}</author>
    <author>tc={23285821-3CEF-46C0-B6F6-6DFA6F7F207A}</author>
    <author>tc={0CB4AEE9-DF7A-4754-8D11-0194C3399C3B}</author>
    <author>tc={CDB95027-5D4B-4FC1-B1BB-DBF2FB526079}</author>
    <author>tc={72F84ABB-A821-4503-9427-BCC4C0FF4756}</author>
    <author>tc={EC08CD65-0DAC-45C2-9306-6B02B718E0F4}</author>
    <author>tc={2A7016F9-2D73-4DA6-8E79-C554CCFB492C}</author>
    <author>tc={A09A1BD4-63E8-4972-9CC1-D04FF2F66C05}</author>
    <author>tc={D0D8826C-C92C-4073-80C6-5E294CC5FD6C}</author>
    <author>tc={5FC72B35-975C-4DC9-A486-6E2BB71BA91A}</author>
    <author>tc={7AD9E0B9-6FEE-4195-A3C8-77391E37F2E9}</author>
    <author>tc={E80C6B14-3E4E-44B5-B9CA-D45E4F54D4A5}</author>
    <author>tc={3E57A1E0-2541-44BB-8F0B-DE7F26EADD8A}</author>
    <author>tc={1E1A108C-8638-448E-BCD1-51B274AFF28E}</author>
    <author>tc={BA584528-724C-46E1-B229-EAED96B05BE4}</author>
    <author>tc={ADFFD22B-213F-4B5C-9D93-BC25202786F1}</author>
    <author>tc={D7024E1C-6017-4C99-B7AA-6F4D311E0E80}</author>
    <author>tc={F4397CAF-BE24-41B0-A502-0897C8DF55C6}</author>
    <author>tc={09660962-9A12-4046-A23C-3B4EC88A55A0}</author>
    <author>tc={8170A905-36EF-4B45-85F3-43B3481FBBD3}</author>
    <author>tc={C26F89B8-04EA-4F07-B612-4E88723DEF83}</author>
    <author>tc={03E15AA1-6594-419C-8060-FEEC9F911274}</author>
    <author>tc={52BD8C2F-B4B8-411E-8464-CB063F01BE1A}</author>
    <author>tc={AC6BB7D7-5460-4481-9377-CBCC7022BE22}</author>
  </authors>
  <commentList>
    <comment ref="H1" authorId="0" shapeId="0" xr:uid="{3A9C4E29-8E11-4D3E-B1D1-32492B0B0C78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125% of continuous rating.</t>
      </text>
    </comment>
    <comment ref="D6" authorId="1" shapeId="0" xr:uid="{CA172FA7-685B-43DF-9263-570648D2AC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Status to 0 if line taken to itself.</t>
      </text>
    </comment>
    <comment ref="F10" authorId="2" shapeId="0" xr:uid="{CAE7B849-D060-4299-AB1D-B3B934D6B709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from 0 to 0.0001 to allow solution.</t>
      </text>
    </comment>
    <comment ref="C31" authorId="3" shapeId="0" xr:uid="{A9FB9B08-5785-43AA-B7EE-F1F078D469C8}">
      <text>
        <t>[Threaded comment]
Your version of Excel allows you to read this threaded comment; however, any edits to it will get removed if the file is opened in a newer version of Excel. Learn more: https://go.microsoft.com/fwlink/?linkid=870924
Comment:
    Marked as LOD in TYTS, clearly linked to Lodgewood LWD).</t>
      </text>
    </comment>
    <comment ref="D96" authorId="4" shapeId="0" xr:uid="{79A83861-13F0-43DA-B3C4-D9FE572E080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Status to 0 if line taken to itself.</t>
      </text>
    </comment>
    <comment ref="F109" authorId="5" shapeId="0" xr:uid="{23285821-3CEF-46C0-B6F6-6DFA6F7F207A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from 0 to 0.0001 to allow solution.</t>
      </text>
    </comment>
    <comment ref="B156" authorId="6" shapeId="0" xr:uid="{0CB4AEE9-DF7A-4754-8D11-0194C3399C3B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to CTN (Cauteen)</t>
      </text>
    </comment>
    <comment ref="A157" authorId="7" shapeId="0" xr:uid="{CDB95027-5D4B-4FC1-B1BB-DBF2FB526079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from CBA to CBL - Cloghboola is connected to Trien (TRI), no CBA on diagram.</t>
      </text>
    </comment>
    <comment ref="E162" authorId="8" shapeId="0" xr:uid="{72F84ABB-A821-4503-9427-BCC4C0FF4756}">
      <text>
        <t>[Threaded comment]
Your version of Excel allows you to read this threaded comment; however, any edits to it will get removed if the file is opened in a newer version of Excel. Learn more: https://go.microsoft.com/fwlink/?linkid=870924
Comment:
    Very small value</t>
      </text>
    </comment>
    <comment ref="E227" authorId="9" shapeId="0" xr:uid="{EC08CD65-0DAC-45C2-9306-6B02B718E0F4}">
      <text>
        <t>[Threaded comment]
Your version of Excel allows you to read this threaded comment; however, any edits to it will get removed if the file is opened in a newer version of Excel. Learn more: https://go.microsoft.com/fwlink/?linkid=870924
Comment:
    Very small for 0 R</t>
      </text>
    </comment>
    <comment ref="F227" authorId="10" shapeId="0" xr:uid="{2A7016F9-2D73-4DA6-8E79-C554CCFB492C}">
      <text>
        <t>[Threaded comment]
Your version of Excel allows you to read this threaded comment; however, any edits to it will get removed if the file is opened in a newer version of Excel. Learn more: https://go.microsoft.com/fwlink/?linkid=870924
Comment:
    Very small for 0 X</t>
      </text>
    </comment>
    <comment ref="E228" authorId="11" shapeId="0" xr:uid="{A09A1BD4-63E8-4972-9CC1-D04FF2F66C05}">
      <text>
        <t>[Threaded comment]
Your version of Excel allows you to read this threaded comment; however, any edits to it will get removed if the file is opened in a newer version of Excel. Learn more: https://go.microsoft.com/fwlink/?linkid=870924
Comment:
    Very small for 0 R</t>
      </text>
    </comment>
    <comment ref="E313" authorId="12" shapeId="0" xr:uid="{D0D8826C-C92C-4073-80C6-5E294CC5FD6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defined in TYTS, assumed to be no losses.</t>
      </text>
    </comment>
    <comment ref="F313" authorId="13" shapeId="0" xr:uid="{5FC72B35-975C-4DC9-A486-6E2BB71BA91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defined in TYTS, assumed to be no losses.</t>
      </text>
    </comment>
    <comment ref="G313" authorId="14" shapeId="0" xr:uid="{7AD9E0B9-6FEE-4195-A3C8-77391E37F2E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defined in TYTS, assumed to be no losses.</t>
      </text>
    </comment>
    <comment ref="I313" authorId="15" shapeId="0" xr:uid="{E80C6B14-3E4E-44B5-B9CA-D45E4F54D4A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defined in TYTS, assumed to be as line from RNW</t>
      </text>
    </comment>
    <comment ref="C330" authorId="16" shapeId="0" xr:uid="{3E57A1E0-2541-44BB-8F0B-DE7F26EADD8A}">
      <text>
        <t>[Threaded comment]
Your version of Excel allows you to read this threaded comment; however, any edits to it will get removed if the file is opened in a newer version of Excel. Learn more: https://go.microsoft.com/fwlink/?linkid=870924
Comment:
    Drumquin Cluster, connected to DRO and OMA</t>
      </text>
    </comment>
    <comment ref="D355" authorId="17" shapeId="0" xr:uid="{1E1A108C-8638-448E-BCD1-51B274AFF2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Status to 0 if line taken to itself.</t>
      </text>
    </comment>
    <comment ref="A389" authorId="18" shapeId="0" xr:uid="{BA584528-724C-46E1-B229-EAED96B05BE4}">
      <text>
        <t>[Threaded comment]
Your version of Excel allows you to read this threaded comment; however, any edits to it will get removed if the file is opened in a newer version of Excel. Learn more: https://go.microsoft.com/fwlink/?linkid=870924
Comment:
    Great Island -&gt; Loughtown (Greenlink) Link.</t>
      </text>
    </comment>
    <comment ref="E389" authorId="19" shapeId="0" xr:uid="{ADFFD22B-213F-4B5C-9D93-BC25202786F1}">
      <text>
        <t>[Threaded comment]
Your version of Excel allows you to read this threaded comment; however, any edits to it will get removed if the file is opened in a newer version of Excel. Learn more: https://go.microsoft.com/fwlink/?linkid=870924
Comment:
    Equal to 0, set very small.</t>
      </text>
    </comment>
    <comment ref="F389" authorId="20" shapeId="0" xr:uid="{D7024E1C-6017-4C99-B7AA-6F4D311E0E80}">
      <text>
        <t>[Threaded comment]
Your version of Excel allows you to read this threaded comment; however, any edits to it will get removed if the file is opened in a newer version of Excel. Learn more: https://go.microsoft.com/fwlink/?linkid=870924
Comment:
    Equal to 0, set very small.</t>
      </text>
    </comment>
    <comment ref="F450" authorId="21" shapeId="0" xr:uid="{F4397CAF-BE24-41B0-A502-0897C8DF55C6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from 0 to 0.0001 to allow solution.</t>
      </text>
    </comment>
    <comment ref="G514" authorId="22" shapeId="0" xr:uid="{09660962-9A12-4046-A23C-3B4EC88A55A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I514" authorId="23" shapeId="0" xr:uid="{8170A905-36EF-4B45-85F3-43B3481FBBD3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D560" authorId="24" shapeId="0" xr:uid="{C26F89B8-04EA-4F07-B612-4E88723DEF8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Status to 0 if line taken to itself.</t>
      </text>
    </comment>
    <comment ref="F563" authorId="25" shapeId="0" xr:uid="{03E15AA1-6594-419C-8060-FEEC9F911274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from 0 to 0.0001 to allow solution.</t>
      </text>
    </comment>
    <comment ref="F570" authorId="26" shapeId="0" xr:uid="{52BD8C2F-B4B8-411E-8464-CB063F01BE1A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from 0 to 0.0001 to allow solution.</t>
      </text>
    </comment>
    <comment ref="F591" authorId="27" shapeId="0" xr:uid="{AC6BB7D7-5460-4481-9377-CBCC7022BE22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from 0 to 0.0001 to allow solution.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tc={98315978-7E36-4C62-8195-616928A90145}</author>
    <author>tc={B6717718-51FB-42D2-8B63-D8EFFAD64CB8}</author>
    <author>tc={7201D732-A6EE-4F65-8D0E-AC3CC9A05CEB}</author>
    <author>tc={EB750E09-E463-40E7-A1E3-455A5190F1EF}</author>
    <author>tc={3EAF7333-924B-4627-BECC-479BDAAC8EC7}</author>
    <author>tc={B2C854D2-0813-493D-BC11-FE12D359D5B0}</author>
    <author>tc={B0B6C3EA-4981-446E-811E-E3ACA9B1F798}</author>
    <author>tc={BD090073-634B-468D-A70A-42C230F80E9A}</author>
    <author>tc={E1F750FF-76FB-4724-B46C-C9C490DC5EB6}</author>
    <author>tc={7C158B3D-72E2-4E71-80C8-F82A60629A53}</author>
    <author>tc={428D395A-316F-428E-A931-BD85F5C14BDC}</author>
    <author>tc={2198994A-B06B-4B5C-9D12-86857E7A72DE}</author>
    <author>tc={C0242920-9498-497A-BCBE-9E38ECC6F62D}</author>
    <author>tc={B90FC3AE-EEC0-4836-80BC-03682FA8064C}</author>
    <author>tc={5CEF5ADB-3868-41A1-A49F-4DB5CA2EBB84}</author>
    <author>tc={99DB7308-F48A-493D-BC19-26FD3FFD7A0B}</author>
    <author>tc={461F3BF9-5906-423A-BC38-82FE35229BE1}</author>
    <author>tc={2FFBDD0C-4D88-48E9-93AB-1F16E9B71B61}</author>
    <author>tc={27ED942E-1698-4334-918B-9FB37C441200}</author>
    <author>tc={F18B9507-12F8-4AB9-9195-72CB11C197A1}</author>
    <author>tc={FA8E2CF2-2231-4F8D-BF14-9E59F683A284}</author>
    <author>tc={C2576373-3C4D-41D0-86CC-F9039882A2B1}</author>
    <author>tc={781F9DE4-DCF7-44A2-9628-016B695CA16A}</author>
    <author>tc={C6BE009A-6987-49A9-8345-9B94CF20C478}</author>
    <author>tc={A5CDBEF2-B0AB-4360-BF17-87D087389CDD}</author>
    <author>tc={F4F68247-90FA-490B-B47E-E1FE757FEA31}</author>
    <author>tc={2733C658-2217-4F5E-90F4-E538AD59DADC}</author>
    <author>tc={232F8C96-6437-4B3C-ABFF-05782C522F42}</author>
    <author>tc={ACB85A62-E4B2-4413-A0BD-CF95BE8DBEF9}</author>
    <author>tc={7DDA9683-7837-4D23-B2B4-A9D1A654B4F9}</author>
    <author>tc={C0A62749-D739-4744-8072-789A774638E3}</author>
    <author>tc={E6316A1C-0E1B-4578-B6F5-A2B3C813ECBE}</author>
    <author>tc={834FE14D-0239-4DC3-AA75-5443345111B1}</author>
    <author>tc={70392845-3053-478F-AC67-F6E844272F36}</author>
    <author>tc={B7C48F8B-FAD5-49B7-8430-FD776EF65DB0}</author>
    <author>tc={1495B731-D4BF-4133-954B-B4981705460C}</author>
    <author>tc={A4D2205C-188A-454D-A507-6DBDC45107CF}</author>
    <author>tc={CCC8DD52-00CB-497F-919F-E3AC1496485A}</author>
    <author>tc={787AE381-C0B6-4A66-9934-D7706C8AED04}</author>
    <author>tc={EB8A45A8-71F2-4D80-945A-160F5AA00875}</author>
    <author>tc={0E80F709-AF5F-4AA3-B4DE-0B3A85556A78}</author>
    <author>tc={D80B7074-D82E-4A31-B5D8-091607C87712}</author>
    <author>tc={56368264-87DE-44DD-B530-B2046D765CD8}</author>
    <author>tc={3C6EF863-08FF-4F7A-9BDA-D3601D8509E8}</author>
    <author>tc={1D6CE746-376A-43F5-B463-3795708FBDD2}</author>
    <author>tc={449A5EC4-AF3C-4131-A1FF-78051832D510}</author>
    <author>tc={7F7D3D45-E3DC-445F-BCAA-774BD085DD5C}</author>
    <author>tc={4DDCC4AF-00F0-4EFA-8B47-015142BFF614}</author>
    <author>tc={9968D4B8-4220-46D5-8A0E-5549C90FCB2B}</author>
    <author>tc={47E85D38-A865-4326-906F-EBB53983F59F}</author>
    <author>tc={24B99610-4391-4CF3-9ECE-4063BE267812}</author>
    <author>tc={735CC1F4-B906-47CC-8CCF-0B649F883F98}</author>
    <author>tc={CB21BDC9-89E3-4407-B590-FBBDA047927F}</author>
    <author>tc={A6BBF612-2346-4104-90E0-0ED7ED63855B}</author>
    <author>tc={305324CD-CB38-4199-8D09-A44AC2938A95}</author>
    <author>tc={1D36756B-C69A-4622-BF01-D07C254AD594}</author>
    <author>tc={CFF48AC6-B7DE-466F-B699-D2BC0F91AAF3}</author>
    <author>tc={1A32D8CD-596E-4C6E-A8FB-13E1B822146C}</author>
    <author>tc={75383AA2-5116-421B-905E-8CF5241AF603}</author>
    <author>tc={524EEC03-DC80-45D3-955D-8F19507FF1D1}</author>
    <author>tc={43AF3EC8-960A-472F-B4FC-9C7F75F9E2B1}</author>
    <author>tc={FE7DC535-8720-4156-BA16-A06C5EADC487}</author>
    <author>tc={ECEBF939-DB46-442E-BB31-A60DEF7FA215}</author>
    <author>tc={D7AAA3F0-CC71-4812-A92F-98BABB5244A4}</author>
    <author>tc={EFFDD9EE-77D0-4B3B-9955-4C6A119E77D7}</author>
    <author>tc={18B86517-89BF-4A6E-9D35-DC406A991257}</author>
    <author>tc={DBED17A6-4EF0-4C2D-A3F5-5401568D9FF6}</author>
    <author>tc={4CBDF8DD-A6F9-44BD-94FE-3578A284D000}</author>
    <author>tc={0913F608-A36C-4AAA-A93A-F1060FF31F74}</author>
    <author>tc={D91321B1-C784-4446-AFCA-62D10C3B3F5F}</author>
    <author>tc={26326EAE-B8FF-44C5-ACB5-0AF3162F95FA}</author>
    <author>tc={8D63707A-E234-47E7-9177-CF2657E16315}</author>
    <author>tc={73EE6132-727A-4578-9F01-8243CF355816}</author>
    <author>tc={E74EED98-1E23-430F-B4E0-CFB3033470F9}</author>
    <author>tc={61DCEC6C-A90B-4176-8CFC-C86EF4989D06}</author>
    <author>tc={9526F0B4-A190-4A1F-B6D6-AD143195209C}</author>
    <author>tc={FA0DB152-8279-4402-AD65-30D30308999E}</author>
    <author>tc={98447147-4FA4-4AAB-8C8F-64BCE4880F10}</author>
    <author>tc={CC183809-3CC2-461A-8A86-9CEF06A6DAE4}</author>
    <author>tc={4ADEC6E8-8CB1-4564-837E-5CCCACD94F1F}</author>
    <author>tc={82EA2A2D-3B01-4C8F-BE41-88E7114855BD}</author>
    <author>tc={A5987083-B076-4893-87F1-D069616A87E5}</author>
    <author>tc={B73A6F83-C81C-424A-BF91-9C5AA50402EF}</author>
    <author>tc={7AEA1AAD-FBAB-44E7-8F02-62E498C97897}</author>
    <author>tc={78F3326F-B9B1-42A7-B6C9-B2282EB22FA8}</author>
    <author>tc={234E0991-07AF-4C1A-86EB-4E9F78D6010A}</author>
    <author>tc={D7D45989-349F-4813-8382-5E1B95885972}</author>
    <author>tc={E60443D0-DD49-4CBC-AB4C-496DC1013019}</author>
    <author>tc={C63D5A55-25C8-41DA-835C-45E810D3A09F}</author>
    <author>tc={CDEB08B8-229B-4F0B-8FA5-79810D29FAF7}</author>
    <author>tc={C1E53F62-84F1-4F80-9852-F25F42BBEC94}</author>
    <author>tc={2CB540C8-9CE6-4E39-B086-8C7AEC7A6807}</author>
    <author>tc={D693CA0F-B36D-4FDA-94FF-52084E7BCA12}</author>
    <author>tc={467AEFCB-32EA-4C5E-852F-84A702599DBB}</author>
    <author>tc={24A29569-0E6C-4327-A433-3B212CA5BD53}</author>
    <author>tc={0951E4D6-B555-439B-92FB-A21A518639AB}</author>
    <author>tc={A65FA735-19D8-43A4-A7C6-7701E8D0A6C8}</author>
    <author>tc={5A7A7ED4-5146-4720-96EE-5D1B48FDC237}</author>
    <author>tc={32C1F9AA-28F7-40F2-A44C-A9E920795AA5}</author>
    <author>tc={5CE263D5-49EA-4C0D-908E-02D020A6A920}</author>
    <author>tc={AC75F5C4-F4C3-4042-878D-85801A7072B5}</author>
    <author>tc={662B5326-2289-4ACF-BAAF-04A578F443B5}</author>
    <author>tc={F0EAFD5E-9B9E-4F97-A36B-DBA001F5B940}</author>
    <author>tc={D2CDACCC-5D17-46EE-82BF-B33521B029F8}</author>
    <author>tc={074845E1-63A1-4663-9AE1-C790EB0CC7ED}</author>
    <author>tc={1D821953-3646-4C70-8B7F-D1943F290AE3}</author>
    <author>tc={9A596C1F-0129-4230-9335-F52FBD677F66}</author>
    <author>tc={69CC6B22-3EC4-4872-B9C0-9F12DCAD176A}</author>
    <author>tc={B19A55F5-B3F3-44FB-B949-C9659C551972}</author>
    <author>tc={646C10DD-3E52-4E1B-AB73-95A113AEEE94}</author>
    <author>tc={8113291E-6462-4505-B68C-ACB19DAB475E}</author>
    <author>tc={51C2CF1B-2137-4C81-9380-511FE9CC882F}</author>
    <author>tc={FF0E2DE6-C9B6-4F27-9EDB-ACCFBD65F39A}</author>
    <author>tc={ECAED072-7F79-4E03-AD7A-71C47BFF55BB}</author>
    <author>tc={354EA042-9CB0-47E4-B82A-981D5A7359FF}</author>
    <author>tc={B4E25D20-D94B-4C67-8C33-2B2C35706773}</author>
    <author>tc={5ED94A9D-CCFE-400E-BCAA-45EF65A406EC}</author>
    <author>tc={C7057D3A-E962-4908-BC24-1C1253443E29}</author>
    <author>tc={0774F5C9-C010-4459-81DB-EF83710DDF9B}</author>
    <author>tc={8217ECA5-E86B-42C6-BEAE-30A3384A0467}</author>
    <author>tc={30435093-9132-4720-A738-159FBD8A649F}</author>
    <author>tc={2ADFB7C5-A42E-43B4-8B7C-28C30A06182F}</author>
    <author>tc={0241AA7D-CDFB-46EA-8C61-F923AAE8100F}</author>
    <author>tc={6463C056-33BB-4D9B-90AE-370914B3FF54}</author>
    <author>tc={2C2DF6B4-5E7A-458D-883E-3F7C1BC23AC1}</author>
    <author>tc={5540B63E-2566-4946-8E04-AD2422DB8CF6}</author>
    <author>tc={41B770A0-C48F-44CD-9DCE-EA983412C16B}</author>
    <author>tc={B5B9E07D-0A8A-4538-8F84-7C2E9064C396}</author>
    <author>tc={4F64DA48-BC51-4487-9A20-D55659045396}</author>
    <author>tc={A85F2428-D80E-401E-9420-2031ECBD686D}</author>
    <author>tc={FFC2B51B-4A1B-4169-BEFA-A774217CDBD9}</author>
    <author>tc={272B4248-B3B3-49FD-A552-18B595E11E4E}</author>
    <author>tc={765BA3B8-5BCF-4875-806C-86929114280C}</author>
    <author>tc={9FE2E80D-A6FC-4A6B-8144-E30BBCC82AD1}</author>
    <author>tc={C4FDB743-1A5C-41DB-9A54-0FF185F8ECBF}</author>
    <author>tc={BB6EF805-2D1C-4FA7-B9D9-6A985A79B457}</author>
    <author>tc={788C5549-7A04-443C-8D21-EDCF1411B385}</author>
    <author>tc={50F119BA-1AB9-4A19-803C-86F33563A4A9}</author>
    <author>tc={71FA76E4-CB55-42BE-8875-457E929D3DBC}</author>
    <author>tc={38280E53-FD87-4B14-88BE-5B36055B9909}</author>
    <author>tc={085BA075-0630-400D-983F-25FF409D3087}</author>
    <author>tc={F6E0F470-661F-4967-BBDE-1F51FB8C3E79}</author>
    <author>tc={1FDF4C07-CCCA-4B77-A02F-8FE75CB6DD40}</author>
    <author>tc={FD3435EC-9A6B-470B-9FFE-7FEBD1E747A6}</author>
    <author>tc={C8CC2A86-5CD2-4CBE-8C76-6589BCB07B97}</author>
    <author>tc={E6ABED02-BD98-4182-8491-AFA7778E96BB}</author>
    <author>tc={EAC22283-B91C-4C40-9189-E77CA7CAC075}</author>
    <author>tc={62A97CD8-BD96-45F4-B095-1E2FFDA065C8}</author>
    <author>tc={B0AB9897-E7F2-40AA-B3C1-F6D1A18DEFC8}</author>
    <author>tc={848A30CD-EC79-4CD7-9815-509BEEE8F100}</author>
    <author>tc={0F741D48-00A4-4BFA-A4DB-4B410215113D}</author>
    <author>tc={80ABD382-66DA-45BC-9F4B-9F575C5E791B}</author>
    <author>tc={2F8AD8C5-8D3A-4A01-B095-91EEA015893A}</author>
    <author>tc={0F001484-2932-4665-8BE5-86DAA8043B02}</author>
    <author>tc={2115D98A-1D26-449D-B3A7-7C5912D3D185}</author>
    <author>tc={4F20ED0C-C89E-4871-9183-26CD1F58A01F}</author>
    <author>tc={27D836AB-A118-4EB9-B84E-887882FA0E45}</author>
    <author>tc={62D2201C-4BBD-46B7-B1AB-26C7D7B41EAE}</author>
    <author>tc={26F3496C-3D3F-4BDA-BA4A-F6DF04815CDC}</author>
    <author>tc={11488FAE-2FB0-42BA-9E1C-8A40E402C2A5}</author>
    <author>tc={48A71E0E-1DED-403D-886E-3E0B7EDCB447}</author>
    <author>tc={C2EB092C-3EF5-4411-A50F-AAD955192924}</author>
    <author>tc={A3555C11-547A-460F-966A-9668EF8DF42A}</author>
    <author>tc={D5D25E6F-086E-4EAF-A42C-7D15ED5E65AF}</author>
    <author>tc={C028881F-44E1-4205-84C9-612266E4324E}</author>
    <author>tc={AC735715-7824-4AAF-A489-52FCE04678B8}</author>
    <author>tc={3520CF80-0E28-4FE1-8637-91C3FBC6811F}</author>
    <author>tc={E6B5981D-66B9-46D6-8355-6BFFE635F88F}</author>
    <author>tc={D2407324-2ADF-4A8B-B0A4-21424DD580EF}</author>
    <author>tc={7DD86FE3-9AAE-43E4-9FFE-FF9F870AABEE}</author>
    <author>tc={45FAABE1-88C2-4525-AA63-08106E80ADF6}</author>
    <author>tc={E2C558E6-DB56-4CB2-ABC8-642E748F2DB0}</author>
    <author>tc={C3B9CD22-981E-44BE-9940-A32EAE59FD86}</author>
    <author>tc={9D635B7F-121E-4E98-AFE9-A5FCB4A5F21D}</author>
    <author>tc={3C2852B8-6318-4735-B14E-873EFC100BDD}</author>
    <author>tc={903C3F67-D93D-4FC2-94BD-8C6413F844FF}</author>
    <author>tc={2543C4C3-BA1A-4564-A5C3-9F6376BF6794}</author>
    <author>tc={AF9E8571-33F4-420F-A057-175DA252F83E}</author>
    <author>tc={BE7F7F93-2089-4436-91E7-044AB76EB526}</author>
    <author>tc={77C7A3C2-B14C-4573-B095-4B32054C9483}</author>
    <author>tc={292F6EDB-2AC4-42AB-BF26-49D4634EA771}</author>
    <author>tc={C7BA7E7D-903D-45F1-8DA4-D30131BF25C6}</author>
    <author>tc={2DC9AA80-B9F5-4929-B6A3-7A1A21FC5107}</author>
    <author>tc={5195A32E-2DD6-472A-9D9B-651874E9897C}</author>
    <author>tc={3CFCD3C2-8020-4F46-AC5B-2F5FEF6692CE}</author>
    <author>tc={C292982C-260E-46E0-8D13-A99D2C17ABA4}</author>
    <author>tc={E9C2E7AC-F84D-423F-888E-5BDB41CDE3CC}</author>
    <author>tc={FA22FC34-8B7D-4F8F-953E-B559FBCCC201}</author>
    <author>tc={5390EC83-B5FE-4591-959D-685829A74CB8}</author>
    <author>tc={10AC9E2A-C8DE-497D-8657-7CCE6750C37A}</author>
    <author>tc={C8AC7E30-8B31-4507-BFDE-E6C93C92BE93}</author>
    <author>tc={5C889040-1D8C-49AF-ABDF-60A1A19F5977}</author>
    <author>tc={92625E3C-805E-4E4B-8E91-5BF2EAAB14D5}</author>
    <author>tc={487B3050-D4D9-491F-BD38-89A2EC204174}</author>
  </authors>
  <commentList>
    <comment ref="EO1" authorId="0" shapeId="0" xr:uid="{98315978-7E36-4C62-8195-616928A90145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from CBA to CBL - Cloghboola is connected to Trien (TRI), no CBA on diagram.</t>
      </text>
    </comment>
    <comment ref="MU1" authorId="1" shapeId="0" xr:uid="{B6717718-51FB-42D2-8B63-D8EFFAD64CB8}">
      <text>
        <t>[Threaded comment]
Your version of Excel allows you to read this threaded comment; however, any edits to it will get removed if the file is opened in a newer version of Excel. Learn more: https://go.microsoft.com/fwlink/?linkid=870924
Comment:
    Great Island -&gt; Loughtown (Greenlink) Link.</t>
      </text>
    </comment>
    <comment ref="B2" authorId="2" shapeId="0" xr:uid="{7201D732-A6EE-4F65-8D0E-AC3CC9A05CEB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2" authorId="3" shapeId="0" xr:uid="{EB750E09-E463-40E7-A1E3-455A5190F1EF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2" authorId="4" shapeId="0" xr:uid="{3EAF7333-924B-4627-BECC-479BDAAC8EC7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2" authorId="5" shapeId="0" xr:uid="{B2C854D2-0813-493D-BC11-FE12D359D5B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3" authorId="6" shapeId="0" xr:uid="{B0B6C3EA-4981-446E-811E-E3ACA9B1F798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3" authorId="7" shapeId="0" xr:uid="{BD090073-634B-468D-A70A-42C230F80E9A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3" authorId="8" shapeId="0" xr:uid="{E1F750FF-76FB-4724-B46C-C9C490DC5EB6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3" authorId="9" shapeId="0" xr:uid="{7C158B3D-72E2-4E71-80C8-F82A60629A53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4" authorId="10" shapeId="0" xr:uid="{428D395A-316F-428E-A931-BD85F5C14BDC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4" authorId="11" shapeId="0" xr:uid="{2198994A-B06B-4B5C-9D12-86857E7A72DE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4" authorId="12" shapeId="0" xr:uid="{C0242920-9498-497A-BCBE-9E38ECC6F62D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4" authorId="13" shapeId="0" xr:uid="{B90FC3AE-EEC0-4836-80BC-03682FA8064C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5" authorId="14" shapeId="0" xr:uid="{5CEF5ADB-3868-41A1-A49F-4DB5CA2EBB84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5" authorId="15" shapeId="0" xr:uid="{99DB7308-F48A-493D-BC19-26FD3FFD7A0B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5" authorId="16" shapeId="0" xr:uid="{461F3BF9-5906-423A-BC38-82FE35229BE1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5" authorId="17" shapeId="0" xr:uid="{2FFBDD0C-4D88-48E9-93AB-1F16E9B71B61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6" authorId="18" shapeId="0" xr:uid="{27ED942E-1698-4334-918B-9FB37C441200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6" authorId="19" shapeId="0" xr:uid="{F18B9507-12F8-4AB9-9195-72CB11C197A1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6" authorId="20" shapeId="0" xr:uid="{FA8E2CF2-2231-4F8D-BF14-9E59F683A284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6" authorId="21" shapeId="0" xr:uid="{C2576373-3C4D-41D0-86CC-F9039882A2B1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7" authorId="22" shapeId="0" xr:uid="{781F9DE4-DCF7-44A2-9628-016B695CA16A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7" authorId="23" shapeId="0" xr:uid="{C6BE009A-6987-49A9-8345-9B94CF20C478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7" authorId="24" shapeId="0" xr:uid="{A5CDBEF2-B0AB-4360-BF17-87D087389CDD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7" authorId="25" shapeId="0" xr:uid="{F4F68247-90FA-490B-B47E-E1FE757FEA31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8" authorId="26" shapeId="0" xr:uid="{2733C658-2217-4F5E-90F4-E538AD59DADC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8" authorId="27" shapeId="0" xr:uid="{232F8C96-6437-4B3C-ABFF-05782C522F42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8" authorId="28" shapeId="0" xr:uid="{ACB85A62-E4B2-4413-A0BD-CF95BE8DBEF9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8" authorId="29" shapeId="0" xr:uid="{7DDA9683-7837-4D23-B2B4-A9D1A654B4F9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9" authorId="30" shapeId="0" xr:uid="{C0A62749-D739-4744-8072-789A774638E3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9" authorId="31" shapeId="0" xr:uid="{E6316A1C-0E1B-4578-B6F5-A2B3C813ECBE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9" authorId="32" shapeId="0" xr:uid="{834FE14D-0239-4DC3-AA75-5443345111B1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9" authorId="33" shapeId="0" xr:uid="{70392845-3053-478F-AC67-F6E844272F36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10" authorId="34" shapeId="0" xr:uid="{B7C48F8B-FAD5-49B7-8430-FD776EF65DB0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10" authorId="35" shapeId="0" xr:uid="{1495B731-D4BF-4133-954B-B4981705460C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10" authorId="36" shapeId="0" xr:uid="{A4D2205C-188A-454D-A507-6DBDC45107CF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10" authorId="37" shapeId="0" xr:uid="{CCC8DD52-00CB-497F-919F-E3AC1496485A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11" authorId="38" shapeId="0" xr:uid="{787AE381-C0B6-4A66-9934-D7706C8AED04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11" authorId="39" shapeId="0" xr:uid="{EB8A45A8-71F2-4D80-945A-160F5AA00875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11" authorId="40" shapeId="0" xr:uid="{0E80F709-AF5F-4AA3-B4DE-0B3A85556A78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11" authorId="41" shapeId="0" xr:uid="{D80B7074-D82E-4A31-B5D8-091607C87712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12" authorId="42" shapeId="0" xr:uid="{56368264-87DE-44DD-B530-B2046D765CD8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12" authorId="43" shapeId="0" xr:uid="{3C6EF863-08FF-4F7A-9BDA-D3601D8509E8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12" authorId="44" shapeId="0" xr:uid="{1D6CE746-376A-43F5-B463-3795708FBDD2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12" authorId="45" shapeId="0" xr:uid="{449A5EC4-AF3C-4131-A1FF-78051832D51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13" authorId="46" shapeId="0" xr:uid="{7F7D3D45-E3DC-445F-BCAA-774BD085DD5C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13" authorId="47" shapeId="0" xr:uid="{4DDCC4AF-00F0-4EFA-8B47-015142BFF614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13" authorId="48" shapeId="0" xr:uid="{9968D4B8-4220-46D5-8A0E-5549C90FCB2B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13" authorId="49" shapeId="0" xr:uid="{47E85D38-A865-4326-906F-EBB53983F59F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14" authorId="50" shapeId="0" xr:uid="{24B99610-4391-4CF3-9ECE-4063BE267812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14" authorId="51" shapeId="0" xr:uid="{735CC1F4-B906-47CC-8CCF-0B649F883F98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14" authorId="52" shapeId="0" xr:uid="{CB21BDC9-89E3-4407-B590-FBBDA047927F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14" authorId="53" shapeId="0" xr:uid="{A6BBF612-2346-4104-90E0-0ED7ED63855B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15" authorId="54" shapeId="0" xr:uid="{305324CD-CB38-4199-8D09-A44AC2938A95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15" authorId="55" shapeId="0" xr:uid="{1D36756B-C69A-4622-BF01-D07C254AD594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15" authorId="56" shapeId="0" xr:uid="{CFF48AC6-B7DE-466F-B699-D2BC0F91AAF3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15" authorId="57" shapeId="0" xr:uid="{1A32D8CD-596E-4C6E-A8FB-13E1B822146C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16" authorId="58" shapeId="0" xr:uid="{75383AA2-5116-421B-905E-8CF5241AF603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16" authorId="59" shapeId="0" xr:uid="{524EEC03-DC80-45D3-955D-8F19507FF1D1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16" authorId="60" shapeId="0" xr:uid="{43AF3EC8-960A-472F-B4FC-9C7F75F9E2B1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16" authorId="61" shapeId="0" xr:uid="{FE7DC535-8720-4156-BA16-A06C5EADC487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17" authorId="62" shapeId="0" xr:uid="{ECEBF939-DB46-442E-BB31-A60DEF7FA215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17" authorId="63" shapeId="0" xr:uid="{D7AAA3F0-CC71-4812-A92F-98BABB5244A4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17" authorId="64" shapeId="0" xr:uid="{EFFDD9EE-77D0-4B3B-9955-4C6A119E77D7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17" authorId="65" shapeId="0" xr:uid="{18B86517-89BF-4A6E-9D35-DC406A991257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18" authorId="66" shapeId="0" xr:uid="{DBED17A6-4EF0-4C2D-A3F5-5401568D9FF6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18" authorId="67" shapeId="0" xr:uid="{4CBDF8DD-A6F9-44BD-94FE-3578A284D000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18" authorId="68" shapeId="0" xr:uid="{0913F608-A36C-4AAA-A93A-F1060FF31F74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18" authorId="69" shapeId="0" xr:uid="{D91321B1-C784-4446-AFCA-62D10C3B3F5F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19" authorId="70" shapeId="0" xr:uid="{26326EAE-B8FF-44C5-ACB5-0AF3162F95FA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19" authorId="71" shapeId="0" xr:uid="{8D63707A-E234-47E7-9177-CF2657E16315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19" authorId="72" shapeId="0" xr:uid="{73EE6132-727A-4578-9F01-8243CF355816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19" authorId="73" shapeId="0" xr:uid="{E74EED98-1E23-430F-B4E0-CFB3033470F9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20" authorId="74" shapeId="0" xr:uid="{61DCEC6C-A90B-4176-8CFC-C86EF4989D06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20" authorId="75" shapeId="0" xr:uid="{9526F0B4-A190-4A1F-B6D6-AD143195209C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20" authorId="76" shapeId="0" xr:uid="{FA0DB152-8279-4402-AD65-30D30308999E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20" authorId="77" shapeId="0" xr:uid="{98447147-4FA4-4AAB-8C8F-64BCE4880F1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21" authorId="78" shapeId="0" xr:uid="{CC183809-3CC2-461A-8A86-9CEF06A6DAE4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21" authorId="79" shapeId="0" xr:uid="{4ADEC6E8-8CB1-4564-837E-5CCCACD94F1F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21" authorId="80" shapeId="0" xr:uid="{82EA2A2D-3B01-4C8F-BE41-88E7114855BD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21" authorId="81" shapeId="0" xr:uid="{A5987083-B076-4893-87F1-D069616A87E5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22" authorId="82" shapeId="0" xr:uid="{B73A6F83-C81C-424A-BF91-9C5AA50402EF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22" authorId="83" shapeId="0" xr:uid="{7AEA1AAD-FBAB-44E7-8F02-62E498C97897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22" authorId="84" shapeId="0" xr:uid="{78F3326F-B9B1-42A7-B6C9-B2282EB22FA8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22" authorId="85" shapeId="0" xr:uid="{234E0991-07AF-4C1A-86EB-4E9F78D6010A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23" authorId="86" shapeId="0" xr:uid="{D7D45989-349F-4813-8382-5E1B95885972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23" authorId="87" shapeId="0" xr:uid="{E60443D0-DD49-4CBC-AB4C-496DC1013019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23" authorId="88" shapeId="0" xr:uid="{C63D5A55-25C8-41DA-835C-45E810D3A09F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23" authorId="89" shapeId="0" xr:uid="{CDEB08B8-229B-4F0B-8FA5-79810D29FAF7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24" authorId="90" shapeId="0" xr:uid="{C1E53F62-84F1-4F80-9852-F25F42BBEC94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24" authorId="91" shapeId="0" xr:uid="{2CB540C8-9CE6-4E39-B086-8C7AEC7A6807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24" authorId="92" shapeId="0" xr:uid="{D693CA0F-B36D-4FDA-94FF-52084E7BCA12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24" authorId="93" shapeId="0" xr:uid="{467AEFCB-32EA-4C5E-852F-84A702599DBB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25" authorId="94" shapeId="0" xr:uid="{24A29569-0E6C-4327-A433-3B212CA5BD53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25" authorId="95" shapeId="0" xr:uid="{0951E4D6-B555-439B-92FB-A21A518639AB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25" authorId="96" shapeId="0" xr:uid="{A65FA735-19D8-43A4-A7C6-7701E8D0A6C8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25" authorId="97" shapeId="0" xr:uid="{5A7A7ED4-5146-4720-96EE-5D1B48FDC237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26" authorId="98" shapeId="0" xr:uid="{32C1F9AA-28F7-40F2-A44C-A9E920795AA5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26" authorId="99" shapeId="0" xr:uid="{5CE263D5-49EA-4C0D-908E-02D020A6A920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26" authorId="100" shapeId="0" xr:uid="{AC75F5C4-F4C3-4042-878D-85801A7072B5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26" authorId="101" shapeId="0" xr:uid="{662B5326-2289-4ACF-BAAF-04A578F443B5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27" authorId="102" shapeId="0" xr:uid="{F0EAFD5E-9B9E-4F97-A36B-DBA001F5B940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27" authorId="103" shapeId="0" xr:uid="{D2CDACCC-5D17-46EE-82BF-B33521B029F8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27" authorId="104" shapeId="0" xr:uid="{074845E1-63A1-4663-9AE1-C790EB0CC7ED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27" authorId="105" shapeId="0" xr:uid="{1D821953-3646-4C70-8B7F-D1943F290AE3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28" authorId="106" shapeId="0" xr:uid="{9A596C1F-0129-4230-9335-F52FBD677F66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28" authorId="107" shapeId="0" xr:uid="{69CC6B22-3EC4-4872-B9C0-9F12DCAD176A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28" authorId="108" shapeId="0" xr:uid="{B19A55F5-B3F3-44FB-B949-C9659C551972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28" authorId="109" shapeId="0" xr:uid="{646C10DD-3E52-4E1B-AB73-95A113AEEE94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29" authorId="110" shapeId="0" xr:uid="{8113291E-6462-4505-B68C-ACB19DAB475E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29" authorId="111" shapeId="0" xr:uid="{51C2CF1B-2137-4C81-9380-511FE9CC882F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29" authorId="112" shapeId="0" xr:uid="{FF0E2DE6-C9B6-4F27-9EDB-ACCFBD65F39A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29" authorId="113" shapeId="0" xr:uid="{ECAED072-7F79-4E03-AD7A-71C47BFF55BB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30" authorId="114" shapeId="0" xr:uid="{354EA042-9CB0-47E4-B82A-981D5A7359FF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30" authorId="115" shapeId="0" xr:uid="{B4E25D20-D94B-4C67-8C33-2B2C35706773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30" authorId="116" shapeId="0" xr:uid="{5ED94A9D-CCFE-400E-BCAA-45EF65A406EC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30" authorId="117" shapeId="0" xr:uid="{C7057D3A-E962-4908-BC24-1C1253443E29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31" authorId="118" shapeId="0" xr:uid="{0774F5C9-C010-4459-81DB-EF83710DDF9B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31" authorId="119" shapeId="0" xr:uid="{8217ECA5-E86B-42C6-BEAE-30A3384A0467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31" authorId="120" shapeId="0" xr:uid="{30435093-9132-4720-A738-159FBD8A649F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31" authorId="121" shapeId="0" xr:uid="{2ADFB7C5-A42E-43B4-8B7C-28C30A06182F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32" authorId="122" shapeId="0" xr:uid="{0241AA7D-CDFB-46EA-8C61-F923AAE8100F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32" authorId="123" shapeId="0" xr:uid="{6463C056-33BB-4D9B-90AE-370914B3FF54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32" authorId="124" shapeId="0" xr:uid="{2C2DF6B4-5E7A-458D-883E-3F7C1BC23AC1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32" authorId="125" shapeId="0" xr:uid="{5540B63E-2566-4946-8E04-AD2422DB8CF6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33" authorId="126" shapeId="0" xr:uid="{41B770A0-C48F-44CD-9DCE-EA983412C16B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33" authorId="127" shapeId="0" xr:uid="{B5B9E07D-0A8A-4538-8F84-7C2E9064C396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33" authorId="128" shapeId="0" xr:uid="{4F64DA48-BC51-4487-9A20-D55659045396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33" authorId="129" shapeId="0" xr:uid="{A85F2428-D80E-401E-9420-2031ECBD686D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34" authorId="130" shapeId="0" xr:uid="{FFC2B51B-4A1B-4169-BEFA-A774217CDBD9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34" authorId="131" shapeId="0" xr:uid="{272B4248-B3B3-49FD-A552-18B595E11E4E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34" authorId="132" shapeId="0" xr:uid="{765BA3B8-5BCF-4875-806C-86929114280C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34" authorId="133" shapeId="0" xr:uid="{9FE2E80D-A6FC-4A6B-8144-E30BBCC82AD1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35" authorId="134" shapeId="0" xr:uid="{C4FDB743-1A5C-41DB-9A54-0FF185F8ECBF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35" authorId="135" shapeId="0" xr:uid="{BB6EF805-2D1C-4FA7-B9D9-6A985A79B457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35" authorId="136" shapeId="0" xr:uid="{788C5549-7A04-443C-8D21-EDCF1411B385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35" authorId="137" shapeId="0" xr:uid="{50F119BA-1AB9-4A19-803C-86F33563A4A9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36" authorId="138" shapeId="0" xr:uid="{71FA76E4-CB55-42BE-8875-457E929D3DBC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36" authorId="139" shapeId="0" xr:uid="{38280E53-FD87-4B14-88BE-5B36055B9909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36" authorId="140" shapeId="0" xr:uid="{085BA075-0630-400D-983F-25FF409D3087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36" authorId="141" shapeId="0" xr:uid="{F6E0F470-661F-4967-BBDE-1F51FB8C3E79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37" authorId="142" shapeId="0" xr:uid="{1FDF4C07-CCCA-4B77-A02F-8FE75CB6DD40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37" authorId="143" shapeId="0" xr:uid="{FD3435EC-9A6B-470B-9FFE-7FEBD1E747A6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37" authorId="144" shapeId="0" xr:uid="{C8CC2A86-5CD2-4CBE-8C76-6589BCB07B97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37" authorId="145" shapeId="0" xr:uid="{E6ABED02-BD98-4182-8491-AFA7778E96BB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38" authorId="146" shapeId="0" xr:uid="{EAC22283-B91C-4C40-9189-E77CA7CAC075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38" authorId="147" shapeId="0" xr:uid="{62A97CD8-BD96-45F4-B095-1E2FFDA065C8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38" authorId="148" shapeId="0" xr:uid="{B0AB9897-E7F2-40AA-B3C1-F6D1A18DEFC8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38" authorId="149" shapeId="0" xr:uid="{848A30CD-EC79-4CD7-9815-509BEEE8F10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39" authorId="150" shapeId="0" xr:uid="{0F741D48-00A4-4BFA-A4DB-4B410215113D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39" authorId="151" shapeId="0" xr:uid="{80ABD382-66DA-45BC-9F4B-9F575C5E791B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39" authorId="152" shapeId="0" xr:uid="{2F8AD8C5-8D3A-4A01-B095-91EEA015893A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39" authorId="153" shapeId="0" xr:uid="{0F001484-2932-4665-8BE5-86DAA8043B02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40" authorId="154" shapeId="0" xr:uid="{2115D98A-1D26-449D-B3A7-7C5912D3D185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40" authorId="155" shapeId="0" xr:uid="{4F20ED0C-C89E-4871-9183-26CD1F58A01F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40" authorId="156" shapeId="0" xr:uid="{27D836AB-A118-4EB9-B84E-887882FA0E45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40" authorId="157" shapeId="0" xr:uid="{62D2201C-4BBD-46B7-B1AB-26C7D7B41EAE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41" authorId="158" shapeId="0" xr:uid="{26F3496C-3D3F-4BDA-BA4A-F6DF04815CDC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41" authorId="159" shapeId="0" xr:uid="{11488FAE-2FB0-42BA-9E1C-8A40E402C2A5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41" authorId="160" shapeId="0" xr:uid="{48A71E0E-1DED-403D-886E-3E0B7EDCB447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41" authorId="161" shapeId="0" xr:uid="{C2EB092C-3EF5-4411-A50F-AAD955192924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42" authorId="162" shapeId="0" xr:uid="{A3555C11-547A-460F-966A-9668EF8DF42A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42" authorId="163" shapeId="0" xr:uid="{D5D25E6F-086E-4EAF-A42C-7D15ED5E65AF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42" authorId="164" shapeId="0" xr:uid="{C028881F-44E1-4205-84C9-612266E4324E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42" authorId="165" shapeId="0" xr:uid="{AC735715-7824-4AAF-A489-52FCE04678B8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43" authorId="166" shapeId="0" xr:uid="{3520CF80-0E28-4FE1-8637-91C3FBC6811F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43" authorId="167" shapeId="0" xr:uid="{E6B5981D-66B9-46D6-8355-6BFFE635F88F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43" authorId="168" shapeId="0" xr:uid="{D2407324-2ADF-4A8B-B0A4-21424DD580EF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43" authorId="169" shapeId="0" xr:uid="{7DD86FE3-9AAE-43E4-9FFE-FF9F870AABEE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44" authorId="170" shapeId="0" xr:uid="{45FAABE1-88C2-4525-AA63-08106E80ADF6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44" authorId="171" shapeId="0" xr:uid="{E2C558E6-DB56-4CB2-ABC8-642E748F2DB0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44" authorId="172" shapeId="0" xr:uid="{C3B9CD22-981E-44BE-9940-A32EAE59FD86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44" authorId="173" shapeId="0" xr:uid="{9D635B7F-121E-4E98-AFE9-A5FCB4A5F21D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45" authorId="174" shapeId="0" xr:uid="{3C2852B8-6318-4735-B14E-873EFC100BDD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45" authorId="175" shapeId="0" xr:uid="{903C3F67-D93D-4FC2-94BD-8C6413F844FF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45" authorId="176" shapeId="0" xr:uid="{2543C4C3-BA1A-4564-A5C3-9F6376BF6794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45" authorId="177" shapeId="0" xr:uid="{AF9E8571-33F4-420F-A057-175DA252F83E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46" authorId="178" shapeId="0" xr:uid="{BE7F7F93-2089-4436-91E7-044AB76EB526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46" authorId="179" shapeId="0" xr:uid="{77C7A3C2-B14C-4573-B095-4B32054C9483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46" authorId="180" shapeId="0" xr:uid="{292F6EDB-2AC4-42AB-BF26-49D4634EA771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46" authorId="181" shapeId="0" xr:uid="{C7BA7E7D-903D-45F1-8DA4-D30131BF25C6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47" authorId="182" shapeId="0" xr:uid="{2DC9AA80-B9F5-4929-B6A3-7A1A21FC5107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47" authorId="183" shapeId="0" xr:uid="{5195A32E-2DD6-472A-9D9B-651874E9897C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47" authorId="184" shapeId="0" xr:uid="{3CFCD3C2-8020-4F46-AC5B-2F5FEF6692CE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47" authorId="185" shapeId="0" xr:uid="{C292982C-260E-46E0-8D13-A99D2C17ABA4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48" authorId="186" shapeId="0" xr:uid="{E9C2E7AC-F84D-423F-888E-5BDB41CDE3CC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48" authorId="187" shapeId="0" xr:uid="{FA22FC34-8B7D-4F8F-953E-B559FBCCC201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48" authorId="188" shapeId="0" xr:uid="{5390EC83-B5FE-4591-959D-685829A74CB8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48" authorId="189" shapeId="0" xr:uid="{10AC9E2A-C8DE-497D-8657-7CCE6750C37A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  <comment ref="B49" authorId="190" shapeId="0" xr:uid="{C8AC7E30-8B31-4507-BFDE-E6C93C92BE93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RD49" authorId="191" shapeId="0" xr:uid="{5C889040-1D8C-49AF-ABDF-60A1A19F5977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E49" authorId="192" shapeId="0" xr:uid="{92625E3C-805E-4E4B-8E91-5BF2EAAB14D5}">
      <text>
        <t>[Threaded comment]
Your version of Excel allows you to read this threaded comment; however, any edits to it will get removed if the file is opened in a newer version of Excel. Learn more: https://go.microsoft.com/fwlink/?linkid=870924
Comment:
    Limited to 450 MW total flow North to South or South to North in line with S_MWR_ROI.</t>
      </text>
    </comment>
    <comment ref="RG49" authorId="193" shapeId="0" xr:uid="{487B3050-D4D9-491F-BD38-89A2EC204174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as the 1km AUG - SK line.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tc={2D4104D5-7C13-4ECB-A86D-404ABCEC1FE8}</author>
    <author>Richard Nayer</author>
  </authors>
  <commentList>
    <comment ref="I1" authorId="0" shapeId="0" xr:uid="{2D4104D5-7C13-4ECB-A86D-404ABCEC1FE8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125% of continuous rating.</t>
      </text>
    </comment>
    <comment ref="F169" authorId="1" shapeId="0" xr:uid="{1F508921-A267-4E4B-9476-8F469924ABCA}">
      <text>
        <r>
          <rPr>
            <b/>
            <sz val="9"/>
            <color indexed="81"/>
            <rFont val="Tahoma"/>
            <family val="2"/>
          </rPr>
          <t>Richard Nayer:</t>
        </r>
        <r>
          <rPr>
            <sz val="9"/>
            <color indexed="81"/>
            <rFont val="Tahoma"/>
            <family val="2"/>
          </rPr>
          <t xml:space="preserve">
Winding 1-2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tc={2B36DA6A-A01F-4AB9-B15D-CA171596AFD8}</author>
    <author>tc={883AA268-A196-4AD0-BA32-82B4F7DCCEF3}</author>
    <author>tc={00DA42C8-C174-4D3D-9289-C12E6BDF5124}</author>
    <author>tc={41AA774E-A3F7-4FE0-A63D-1012C3575A0C}</author>
    <author>tc={5F37F7D9-10FD-4E8E-95AB-EE393F6C35E9}</author>
    <author>tc={67D71970-8A6F-461D-ADD1-FA0D4D9D1E7E}</author>
    <author>tc={5B7472BF-79F5-41CB-A56B-CE412E1339A0}</author>
    <author>tc={D83E39C7-01F5-4F74-85DE-93704E32E1DB}</author>
    <author>tc={DFA96BB2-1819-4337-8D24-F45F6E15C8C9}</author>
    <author>tc={3AD8BAC7-391B-4612-890E-03481BE44932}</author>
    <author>tc={60D71A10-10DB-4104-9597-D7CDDF430919}</author>
    <author>tc={4B7C851F-F135-4A4B-9AA5-84796F380718}</author>
    <author>tc={7C9CA440-9D3A-44C6-9A68-64819A7CDC17}</author>
    <author>tc={BFA5E6E8-84E0-4C5F-80DA-CD924037A1E6}</author>
    <author>tc={F033E211-AF73-4082-BF96-8E089BB8E72B}</author>
    <author>tc={10000963-6B2C-40B2-86D9-CA8C260542B8}</author>
    <author>tc={6C7B373C-19E8-429F-8EBD-98F92A5C74D0}</author>
    <author>tc={647B20EB-9E4A-4323-9FB8-31F02565FE10}</author>
    <author>tc={762A8C70-CD43-4BF6-BFE1-28BE41822BED}</author>
    <author>tc={6B9AFBF7-23BC-4E06-855E-8DF959961D72}</author>
    <author>tc={D8B7962D-F469-44AC-9FE2-9FA257934085}</author>
    <author>tc={A3C5F4D5-90D2-41AF-97B5-99A567086F47}</author>
    <author>tc={69372D37-74D2-4841-83EF-766E416BCF42}</author>
    <author>tc={85F7695B-51A5-4BEE-8827-52972B77D903}</author>
    <author>tc={73857567-E58B-4938-8E9E-486D7F9484DF}</author>
    <author>tc={F162C05D-9F9F-4CD9-B458-D4333C82D64A}</author>
    <author>tc={FFBFE99F-B60F-4778-BE66-74AC75C579E9}</author>
    <author>tc={8BF08B5D-6100-419E-B24B-81A168ACDEA9}</author>
    <author>tc={C45A3FA8-C284-4944-B2B0-69FD3794DBFD}</author>
    <author>tc={1498AB41-DF1F-4253-A0D7-61B030587E4F}</author>
    <author>tc={1B24E09F-F89E-477C-A2E9-01FBCF8CEFC0}</author>
    <author>tc={F31758E4-2E89-41D4-BCFF-C2EA57FC3094}</author>
    <author>tc={B8660DCF-9F92-4FC7-8312-796F8AE8622A}</author>
    <author>tc={1EE7FBA1-D96D-4347-A3D8-B4F21BEE59AB}</author>
    <author>tc={1039BD16-07A1-464A-90A5-9BA0B36433BC}</author>
    <author>tc={0BB83AA0-D8AE-4D70-849C-FBB7837B092D}</author>
    <author>tc={ED8F9EA1-65B6-4FCA-B28B-5724A6FEB25F}</author>
    <author>tc={3A83A00E-DEAC-4C54-8643-863A6B05489F}</author>
    <author>tc={61EA2C23-5DBA-4B2F-8400-E06B317E69C6}</author>
    <author>tc={AAA62391-FFF7-4D44-B91F-5B49A85BBC90}</author>
    <author>tc={F6DC948A-B3AC-433B-97E4-1DF3A8F745B3}</author>
    <author>tc={FD4C3116-8A69-4DB7-93C7-4CC8EB44880C}</author>
    <author>tc={1C40D20F-6312-4305-A8A6-B7F8EE42B5FD}</author>
    <author>tc={3F3941F5-92E3-4B70-B3C4-C67D31F54D9D}</author>
    <author>tc={81DD8BF9-F12C-41CD-8C7F-F29D6203E8E9}</author>
    <author>tc={72FB9199-2D6C-4B16-B0AA-7886029C1FDA}</author>
    <author>tc={4995F27E-1A95-4D55-99C4-99321C389500}</author>
    <author>tc={983F1911-65E3-4163-9582-49BFEFADD60E}</author>
  </authors>
  <commentList>
    <comment ref="B2" authorId="0" shapeId="0" xr:uid="{2B36DA6A-A01F-4AB9-B15D-CA171596AFD8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3" authorId="1" shapeId="0" xr:uid="{883AA268-A196-4AD0-BA32-82B4F7DCCEF3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4" authorId="2" shapeId="0" xr:uid="{00DA42C8-C174-4D3D-9289-C12E6BDF5124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5" authorId="3" shapeId="0" xr:uid="{41AA774E-A3F7-4FE0-A63D-1012C3575A0C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6" authorId="4" shapeId="0" xr:uid="{5F37F7D9-10FD-4E8E-95AB-EE393F6C35E9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7" authorId="5" shapeId="0" xr:uid="{67D71970-8A6F-461D-ADD1-FA0D4D9D1E7E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8" authorId="6" shapeId="0" xr:uid="{5B7472BF-79F5-41CB-A56B-CE412E1339A0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9" authorId="7" shapeId="0" xr:uid="{D83E39C7-01F5-4F74-85DE-93704E32E1DB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10" authorId="8" shapeId="0" xr:uid="{DFA96BB2-1819-4337-8D24-F45F6E15C8C9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11" authorId="9" shapeId="0" xr:uid="{3AD8BAC7-391B-4612-890E-03481BE44932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12" authorId="10" shapeId="0" xr:uid="{60D71A10-10DB-4104-9597-D7CDDF430919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13" authorId="11" shapeId="0" xr:uid="{4B7C851F-F135-4A4B-9AA5-84796F380718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14" authorId="12" shapeId="0" xr:uid="{7C9CA440-9D3A-44C6-9A68-64819A7CDC17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15" authorId="13" shapeId="0" xr:uid="{BFA5E6E8-84E0-4C5F-80DA-CD924037A1E6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16" authorId="14" shapeId="0" xr:uid="{F033E211-AF73-4082-BF96-8E089BB8E72B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17" authorId="15" shapeId="0" xr:uid="{10000963-6B2C-40B2-86D9-CA8C260542B8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18" authorId="16" shapeId="0" xr:uid="{6C7B373C-19E8-429F-8EBD-98F92A5C74D0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19" authorId="17" shapeId="0" xr:uid="{647B20EB-9E4A-4323-9FB8-31F02565FE10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20" authorId="18" shapeId="0" xr:uid="{762A8C70-CD43-4BF6-BFE1-28BE41822BED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21" authorId="19" shapeId="0" xr:uid="{6B9AFBF7-23BC-4E06-855E-8DF959961D72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22" authorId="20" shapeId="0" xr:uid="{D8B7962D-F469-44AC-9FE2-9FA257934085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23" authorId="21" shapeId="0" xr:uid="{A3C5F4D5-90D2-41AF-97B5-99A567086F47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24" authorId="22" shapeId="0" xr:uid="{69372D37-74D2-4841-83EF-766E416BCF42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25" authorId="23" shapeId="0" xr:uid="{85F7695B-51A5-4BEE-8827-52972B77D903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26" authorId="24" shapeId="0" xr:uid="{73857567-E58B-4938-8E9E-486D7F9484DF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27" authorId="25" shapeId="0" xr:uid="{F162C05D-9F9F-4CD9-B458-D4333C82D64A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28" authorId="26" shapeId="0" xr:uid="{FFBFE99F-B60F-4778-BE66-74AC75C579E9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29" authorId="27" shapeId="0" xr:uid="{8BF08B5D-6100-419E-B24B-81A168ACDEA9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30" authorId="28" shapeId="0" xr:uid="{C45A3FA8-C284-4944-B2B0-69FD3794DBFD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31" authorId="29" shapeId="0" xr:uid="{1498AB41-DF1F-4253-A0D7-61B030587E4F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32" authorId="30" shapeId="0" xr:uid="{1B24E09F-F89E-477C-A2E9-01FBCF8CEFC0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33" authorId="31" shapeId="0" xr:uid="{F31758E4-2E89-41D4-BCFF-C2EA57FC3094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34" authorId="32" shapeId="0" xr:uid="{B8660DCF-9F92-4FC7-8312-796F8AE8622A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35" authorId="33" shapeId="0" xr:uid="{1EE7FBA1-D96D-4347-A3D8-B4F21BEE59AB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36" authorId="34" shapeId="0" xr:uid="{1039BD16-07A1-464A-90A5-9BA0B36433BC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37" authorId="35" shapeId="0" xr:uid="{0BB83AA0-D8AE-4D70-849C-FBB7837B092D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38" authorId="36" shapeId="0" xr:uid="{ED8F9EA1-65B6-4FCA-B28B-5724A6FEB25F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39" authorId="37" shapeId="0" xr:uid="{3A83A00E-DEAC-4C54-8643-863A6B05489F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40" authorId="38" shapeId="0" xr:uid="{61EA2C23-5DBA-4B2F-8400-E06B317E69C6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41" authorId="39" shapeId="0" xr:uid="{AAA62391-FFF7-4D44-B91F-5B49A85BBC90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42" authorId="40" shapeId="0" xr:uid="{F6DC948A-B3AC-433B-97E4-1DF3A8F745B3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43" authorId="41" shapeId="0" xr:uid="{FD4C3116-8A69-4DB7-93C7-4CC8EB44880C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44" authorId="42" shapeId="0" xr:uid="{1C40D20F-6312-4305-A8A6-B7F8EE42B5FD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45" authorId="43" shapeId="0" xr:uid="{3F3941F5-92E3-4B70-B3C4-C67D31F54D9D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46" authorId="44" shapeId="0" xr:uid="{81DD8BF9-F12C-41CD-8C7F-F29D6203E8E9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47" authorId="45" shapeId="0" xr:uid="{72FB9199-2D6C-4B16-B0AA-7886029C1FDA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48" authorId="46" shapeId="0" xr:uid="{4995F27E-1A95-4D55-99C4-99321C389500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  <comment ref="B49" authorId="47" shapeId="0" xr:uid="{983F1911-65E3-4163-9582-49BFEFADD60E}">
      <text>
        <t>[Threaded comment]
Your version of Excel allows you to read this threaded comment; however, any edits to it will get removed if the file is opened in a newer version of Excel. Learn more: https://go.microsoft.com/fwlink/?linkid=870924
Comment:
    Unvalidated assumption of 80% of rating to account for N-1 limits.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tc={AE0C8273-9F1F-4323-8B3D-3F16C8273B70}</author>
    <author>tc={A9534043-F3A1-4822-B49D-220B8B90D1BC}</author>
    <author>tc={85B9955E-75A3-4649-AD06-C97F6FC08BEA}</author>
    <author>tc={B0A7061B-70D4-4A7E-9E33-3B384A503159}</author>
    <author>tc={C693DDA9-3BD0-4B92-A8FE-4F720A74D55F}</author>
    <author>tc={7D62AB9C-E7AF-49F6-81ED-C76E12B2B7C5}</author>
    <author>tc={7740BF8C-E3F1-466C-B3D5-CC1A9606A974}</author>
    <author>tc={EA1DB443-3007-4948-9EC3-C7831E5DE55B}</author>
    <author>tc={A33D9A93-612D-4035-AD2B-58F6951C6620}</author>
    <author>tc={AC85D097-00EC-4687-813D-73BA8B4F6E54}</author>
    <author>tc={803CFC99-8311-41B9-A828-F491D1F128F9}</author>
    <author>tc={6B600A07-097C-4D39-8AB5-87DD1B59134E}</author>
  </authors>
  <commentList>
    <comment ref="Q53" authorId="0" shapeId="0" xr:uid="{AE0C8273-9F1F-4323-8B3D-3F16C8273B70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Manually Set to 0</t>
      </text>
    </comment>
    <comment ref="Q54" authorId="1" shapeId="0" xr:uid="{A9534043-F3A1-4822-B49D-220B8B90D1BC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Manually Set to 0</t>
      </text>
    </comment>
    <comment ref="J57" authorId="2" shapeId="0" xr:uid="{85B9955E-75A3-4649-AD06-C97F6FC08BE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included in model - BESS</t>
      </text>
    </comment>
    <comment ref="J60" authorId="3" shapeId="0" xr:uid="{B0A7061B-70D4-4A7E-9E33-3B384A50315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included in model - BESS</t>
      </text>
    </comment>
    <comment ref="J61" authorId="4" shapeId="0" xr:uid="{C693DDA9-3BD0-4B92-A8FE-4F720A74D55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included in model - BESS</t>
      </text>
    </comment>
    <comment ref="Q62" authorId="5" shapeId="0" xr:uid="{7D62AB9C-E7AF-49F6-81ED-C76E12B2B7C5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Manually Set to 0</t>
      </text>
    </comment>
    <comment ref="J73" authorId="6" shapeId="0" xr:uid="{7740BF8C-E3F1-466C-B3D5-CC1A9606A97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included in model - BESS</t>
      </text>
    </comment>
    <comment ref="Q77" authorId="7" shapeId="0" xr:uid="{EA1DB443-3007-4948-9EC3-C7831E5DE55B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Manually Set to 0</t>
      </text>
    </comment>
    <comment ref="Q84" authorId="8" shapeId="0" xr:uid="{A33D9A93-612D-4035-AD2B-58F6951C6620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Manually Set to 0</t>
      </text>
    </comment>
    <comment ref="Q85" authorId="9" shapeId="0" xr:uid="{AC85D097-00EC-4687-813D-73BA8B4F6E54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Manually Set to 0</t>
      </text>
    </comment>
    <comment ref="Q86" authorId="10" shapeId="0" xr:uid="{803CFC99-8311-41B9-A828-F491D1F128F9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Manually Set to 0</t>
      </text>
    </comment>
    <comment ref="Q87" authorId="11" shapeId="0" xr:uid="{6B600A07-097C-4D39-8AB5-87DD1B59134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Manually Set to 0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<sst xmlns="http://schemas.openxmlformats.org/spreadsheetml/2006/main" count="11256" uniqueCount="3213">
  <si>
    <t>name</t>
  </si>
  <si>
    <t>baseKV</t>
  </si>
  <si>
    <t>type</t>
  </si>
  <si>
    <t>zone</t>
  </si>
  <si>
    <t>busname</t>
  </si>
  <si>
    <t>real</t>
  </si>
  <si>
    <t>stat</t>
  </si>
  <si>
    <t>VOLL</t>
  </si>
  <si>
    <t>from_busname</t>
  </si>
  <si>
    <t>to_busname</t>
  </si>
  <si>
    <t>r</t>
  </si>
  <si>
    <t>x</t>
  </si>
  <si>
    <t>b</t>
  </si>
  <si>
    <t>ShortTermRating</t>
  </si>
  <si>
    <t>ContinousRating</t>
  </si>
  <si>
    <t>PGLB</t>
  </si>
  <si>
    <t>PGUB</t>
  </si>
  <si>
    <t>offer</t>
  </si>
  <si>
    <t>FuelType</t>
  </si>
  <si>
    <t>costc1</t>
  </si>
  <si>
    <t>costc0</t>
  </si>
  <si>
    <t>bid</t>
  </si>
  <si>
    <t>baseMVA</t>
  </si>
  <si>
    <t>export_policy</t>
  </si>
  <si>
    <t>lifo_group</t>
  </si>
  <si>
    <t>lifo_position</t>
  </si>
  <si>
    <t>prorata_groups</t>
  </si>
  <si>
    <t>synchronous</t>
  </si>
  <si>
    <t>No</t>
  </si>
  <si>
    <t>200</t>
  </si>
  <si>
    <t>Yes</t>
  </si>
  <si>
    <t>timestep</t>
  </si>
  <si>
    <t>0.0023</t>
  </si>
  <si>
    <t>Individual</t>
  </si>
  <si>
    <t>MUON_group</t>
  </si>
  <si>
    <t>AA_I_Z_110</t>
  </si>
  <si>
    <t>Ardnacrusha_110kV</t>
  </si>
  <si>
    <t>110</t>
  </si>
  <si>
    <t>AA1_I_Z_110</t>
  </si>
  <si>
    <t>AD_I_Z_110</t>
  </si>
  <si>
    <t>Aghada_110kV</t>
  </si>
  <si>
    <t>AD_I_Z_220</t>
  </si>
  <si>
    <t>Aghada_220kV</t>
  </si>
  <si>
    <t>220</t>
  </si>
  <si>
    <t>ADM_I_Z_110</t>
  </si>
  <si>
    <t>Adamstown_110kV</t>
  </si>
  <si>
    <t>AGH_N_Z_110</t>
  </si>
  <si>
    <t>Aghyoule_110kV</t>
  </si>
  <si>
    <t>AGH_N_Z_33</t>
  </si>
  <si>
    <t>Aghyoule_33kV</t>
  </si>
  <si>
    <t>33</t>
  </si>
  <si>
    <t>AGL_I_Z_110</t>
  </si>
  <si>
    <t>Agannygal_110kV</t>
  </si>
  <si>
    <t>AGN_I_Z_110</t>
  </si>
  <si>
    <t>AHA_I_Z_110</t>
  </si>
  <si>
    <t>Ahane_110kV</t>
  </si>
  <si>
    <t>AIR_N_Z_33</t>
  </si>
  <si>
    <t>ANR_I_Z_110</t>
  </si>
  <si>
    <t>Anner_110kV</t>
  </si>
  <si>
    <t>ANT_N_Z_110</t>
  </si>
  <si>
    <t>Antrim_110kV</t>
  </si>
  <si>
    <t>ANT_N_Z_33</t>
  </si>
  <si>
    <t>Antrim_33kV</t>
  </si>
  <si>
    <t>ARD_I_Z_110</t>
  </si>
  <si>
    <t>Ardnagappary_110kV</t>
  </si>
  <si>
    <t>ARI_I_T_110</t>
  </si>
  <si>
    <t>Arigna_110kV_Tee</t>
  </si>
  <si>
    <t>ARI_I_Z_110</t>
  </si>
  <si>
    <t>Arigna_110kV</t>
  </si>
  <si>
    <t>ARK_I_Z_110</t>
  </si>
  <si>
    <t>Arklow_110kV</t>
  </si>
  <si>
    <t>ARK_I_Z_220</t>
  </si>
  <si>
    <t>Arklow_220kV</t>
  </si>
  <si>
    <t>ART_I_Z_110</t>
  </si>
  <si>
    <t>Artane_110kV</t>
  </si>
  <si>
    <t>ARV_I_Z_110</t>
  </si>
  <si>
    <t>Arva_110kV</t>
  </si>
  <si>
    <t>ATE_I_Z_110</t>
  </si>
  <si>
    <t>Athea_110kV</t>
  </si>
  <si>
    <t>ATH_I_Z_110</t>
  </si>
  <si>
    <t>Athlone_110kV</t>
  </si>
  <si>
    <t>ATN_I_Z_110</t>
  </si>
  <si>
    <t>Airton_110kV</t>
  </si>
  <si>
    <t>ATY_I_Z_110</t>
  </si>
  <si>
    <t>Athy_110kV</t>
  </si>
  <si>
    <t>AUG_I_Z_110</t>
  </si>
  <si>
    <t>Aughinish_110kV</t>
  </si>
  <si>
    <t>BAL_I_Z_110</t>
  </si>
  <si>
    <t>Baltrasna_110kV</t>
  </si>
  <si>
    <t>BAN_I_Z_110</t>
  </si>
  <si>
    <t>Bandon_110kV</t>
  </si>
  <si>
    <t>BAN_N_Z_110</t>
  </si>
  <si>
    <t>Banbridge_110kV</t>
  </si>
  <si>
    <t>BAN_N_Z_33</t>
  </si>
  <si>
    <t>Banbridge_33kV</t>
  </si>
  <si>
    <t>BAR_I_T_110</t>
  </si>
  <si>
    <t>Barrymore_110kV_Tee</t>
  </si>
  <si>
    <t>BAR_I_Z_110</t>
  </si>
  <si>
    <t>Barrymore_110kV</t>
  </si>
  <si>
    <t>BCT_I_Z_110</t>
  </si>
  <si>
    <t>Bancroft_110kV</t>
  </si>
  <si>
    <t>BDA_I_Z_110</t>
  </si>
  <si>
    <t>Baroda_110kV</t>
  </si>
  <si>
    <t>BDN_I_Z_110</t>
  </si>
  <si>
    <t>Ballydine_110kV</t>
  </si>
  <si>
    <t>BEG_I_Z_110</t>
  </si>
  <si>
    <t>Ballybeg_110kV</t>
  </si>
  <si>
    <t>BGH_I_Z_110</t>
  </si>
  <si>
    <t>Boggeragh_110kV</t>
  </si>
  <si>
    <t>BGN_I_Z_110</t>
  </si>
  <si>
    <t>Bogtown_110kV</t>
  </si>
  <si>
    <t>BIN_I_Z_110</t>
  </si>
  <si>
    <t>Binbane_110kV</t>
  </si>
  <si>
    <t>BK_I_Z_110</t>
  </si>
  <si>
    <t>Bellacorick_110kV</t>
  </si>
  <si>
    <t>BKM_I_Z_110</t>
  </si>
  <si>
    <t>Bunkimalta_110kV</t>
  </si>
  <si>
    <t>BKT_I_Z_110</t>
  </si>
  <si>
    <t>BKY_I_Z_110</t>
  </si>
  <si>
    <t>Barnakyle_110kV</t>
  </si>
  <si>
    <t>BLA_I_Z_110</t>
  </si>
  <si>
    <t>Blackrock_110kV</t>
  </si>
  <si>
    <t>BLC_I_Z_110</t>
  </si>
  <si>
    <t>Belcamp_110kV</t>
  </si>
  <si>
    <t>BLC_I_Z_220</t>
  </si>
  <si>
    <t>Belcamp_220kV</t>
  </si>
  <si>
    <t>BLI_I_Z_110</t>
  </si>
  <si>
    <t>Ballylickey_110kV</t>
  </si>
  <si>
    <t>BLK_I_Z_110</t>
  </si>
  <si>
    <t>Blake_110kV</t>
  </si>
  <si>
    <t>BLU_I_Z_110</t>
  </si>
  <si>
    <t>Blundelstown_110kV</t>
  </si>
  <si>
    <t>BMA_N_Z_110</t>
  </si>
  <si>
    <t>Ballymena_110kV</t>
  </si>
  <si>
    <t>BMA_N_Z_33</t>
  </si>
  <si>
    <t>Ballymena_33kV</t>
  </si>
  <si>
    <t>BNH_N_Z_110</t>
  </si>
  <si>
    <t>Ballynahinch_110kV</t>
  </si>
  <si>
    <t>BNH_N_Z_33</t>
  </si>
  <si>
    <t>Ballynahinch_33kV</t>
  </si>
  <si>
    <t>BNM_N_Z_110</t>
  </si>
  <si>
    <t>Belfast North_110kV</t>
  </si>
  <si>
    <t>BNM_N_Z_33</t>
  </si>
  <si>
    <t>Belfast North_33kV</t>
  </si>
  <si>
    <t>BOG_I_Z_110</t>
  </si>
  <si>
    <t>Banoge_110kV</t>
  </si>
  <si>
    <t>BOL_I_Z_110</t>
  </si>
  <si>
    <t>Booltiagh_110kV</t>
  </si>
  <si>
    <t>BPS_N_Z_110</t>
  </si>
  <si>
    <t>Ballylumford Power Station_110kV</t>
  </si>
  <si>
    <t>BPS_N_Z_275</t>
  </si>
  <si>
    <t>Ballylumford Power Station_275kV</t>
  </si>
  <si>
    <t>275</t>
  </si>
  <si>
    <t>BRI_I_Z_110</t>
  </si>
  <si>
    <t>BRO_N_Z_110</t>
  </si>
  <si>
    <t>Brockaghboy_110kV</t>
  </si>
  <si>
    <t>BRO_N_Z_33</t>
  </si>
  <si>
    <t>Brockaghboy_33kV</t>
  </si>
  <si>
    <t>BRY_I_Z_110</t>
  </si>
  <si>
    <t>Barnahely_110kV</t>
  </si>
  <si>
    <t>BTN_I_Z_220</t>
  </si>
  <si>
    <t>Bracetown_220kV</t>
  </si>
  <si>
    <t>BUF_I_Z_110</t>
  </si>
  <si>
    <t>Buffy_110kV</t>
  </si>
  <si>
    <t>BUT_I_Z_110</t>
  </si>
  <si>
    <t>Butlerstown_110kV</t>
  </si>
  <si>
    <t>BVG_N_Z_110</t>
  </si>
  <si>
    <t>Ballyvallagh_110kV</t>
  </si>
  <si>
    <t>BVK_I_Z_110</t>
  </si>
  <si>
    <t>Ballyvouskill_110kV</t>
  </si>
  <si>
    <t>BVK_I_Z_220</t>
  </si>
  <si>
    <t>Ballyvouskill_220kV</t>
  </si>
  <si>
    <t>BWR_I_Z_110</t>
  </si>
  <si>
    <t>Ballywater_110kV</t>
  </si>
  <si>
    <t>BYC_N_Z_275</t>
  </si>
  <si>
    <t>Ballycronan More (Moyle)_275kV</t>
  </si>
  <si>
    <t>BYH_I_Z_110</t>
  </si>
  <si>
    <t>Ballynahulla_110kV</t>
  </si>
  <si>
    <t>BYH_I_Z_220</t>
  </si>
  <si>
    <t>Ballynahulla_220kV</t>
  </si>
  <si>
    <t>CAB_I_Z_110</t>
  </si>
  <si>
    <t>Cabra_110kV</t>
  </si>
  <si>
    <t>CAD_Y_Z_110</t>
  </si>
  <si>
    <t>#Not Solved Yet_110kV</t>
  </si>
  <si>
    <t>Y</t>
  </si>
  <si>
    <t>CAH_I_Z_110</t>
  </si>
  <si>
    <t>Cahir_110kV</t>
  </si>
  <si>
    <t>CAR_N_Z_110</t>
  </si>
  <si>
    <t>Carnmoney_110kV</t>
  </si>
  <si>
    <t>CAR_N_Z_33</t>
  </si>
  <si>
    <t>Carnmoney_33kV</t>
  </si>
  <si>
    <t>CAS_N_Z_110</t>
  </si>
  <si>
    <t>Castlereagh_110kV</t>
  </si>
  <si>
    <t>CAS_N_Z_275</t>
  </si>
  <si>
    <t>Castlereagh_275kV</t>
  </si>
  <si>
    <t>CBG_I_Z_110</t>
  </si>
  <si>
    <t>Carrowbeg_110kV</t>
  </si>
  <si>
    <t>CBL_I_Z_110</t>
  </si>
  <si>
    <t>Cloghboola_110kV</t>
  </si>
  <si>
    <t>CBR_I_Z_110</t>
  </si>
  <si>
    <t>Castlebar_110kV</t>
  </si>
  <si>
    <t>CBT_I_Z_110</t>
  </si>
  <si>
    <t>Castlebagot_110kV</t>
  </si>
  <si>
    <t>CBT_I_Z_220</t>
  </si>
  <si>
    <t>Castlebagot_220kV</t>
  </si>
  <si>
    <t>CD_I_Z_110</t>
  </si>
  <si>
    <t>Carrigadrohid_110kV</t>
  </si>
  <si>
    <t>CDK_I_Z_110</t>
  </si>
  <si>
    <t>Castledockrill_110kV</t>
  </si>
  <si>
    <t>CDL_I_Z_110</t>
  </si>
  <si>
    <t>Cordal_110kV</t>
  </si>
  <si>
    <t>CDN_I_Z_110</t>
  </si>
  <si>
    <t>Carrigdangan_110kV</t>
  </si>
  <si>
    <t>CDU_I_Z_110</t>
  </si>
  <si>
    <t>Corduff_110kV</t>
  </si>
  <si>
    <t>CDU_I_Z_220</t>
  </si>
  <si>
    <t>Corduff_220kV</t>
  </si>
  <si>
    <t>CDY_I_Z_110</t>
  </si>
  <si>
    <t>Corderry_110kV</t>
  </si>
  <si>
    <t>CEN_N_Z_110</t>
  </si>
  <si>
    <t>Belfast Central_110kV</t>
  </si>
  <si>
    <t>CEN_N_Z_33</t>
  </si>
  <si>
    <t>Belfast Central_33kV</t>
  </si>
  <si>
    <t>CF_I_Z_110</t>
  </si>
  <si>
    <t>Cathaleen’s Fall_110kV</t>
  </si>
  <si>
    <t>CFM_I_Z_110</t>
  </si>
  <si>
    <t>CGL_I_Z_110</t>
  </si>
  <si>
    <t>Coomagearlah_110kV</t>
  </si>
  <si>
    <t>CGW_I_Z_110</t>
  </si>
  <si>
    <t>CHA_I_Z_110</t>
  </si>
  <si>
    <t>Charleville_110kV</t>
  </si>
  <si>
    <t>CHE_I_Z_110</t>
  </si>
  <si>
    <t>Cherrywood_110kV</t>
  </si>
  <si>
    <t>CKG_I_Z_110</t>
  </si>
  <si>
    <t>Corkagh_110kV</t>
  </si>
  <si>
    <t>CKL_Y_Z_110</t>
  </si>
  <si>
    <t>CKM_I_Z_110</t>
  </si>
  <si>
    <t>Carrickmines_110kV</t>
  </si>
  <si>
    <t>CKM_I_Z_220</t>
  </si>
  <si>
    <t>Carrickmines_220kV</t>
  </si>
  <si>
    <t>CKN_I_Z_110</t>
  </si>
  <si>
    <t>Clonkeen_110kV</t>
  </si>
  <si>
    <t>CL_I_Z_110</t>
  </si>
  <si>
    <t>Cliff_110kV</t>
  </si>
  <si>
    <t>CLA_I_Z_110</t>
  </si>
  <si>
    <t>Clashavoon_110kV</t>
  </si>
  <si>
    <t>CLA_I_Z_220</t>
  </si>
  <si>
    <t>Clashavoon_220kV</t>
  </si>
  <si>
    <t>CLE_I_Z_220</t>
  </si>
  <si>
    <t>Clonee_220kV</t>
  </si>
  <si>
    <t>CLG_I_Z_110</t>
  </si>
  <si>
    <t>Cloghran_110kV</t>
  </si>
  <si>
    <t>CLH_I_Z_110</t>
  </si>
  <si>
    <t>Clahane_110kV</t>
  </si>
  <si>
    <t>CLN_I_Z_110</t>
  </si>
  <si>
    <t>Cloon_110kV</t>
  </si>
  <si>
    <t>CLO_I_Z_110</t>
  </si>
  <si>
    <t>Clogher_110kV</t>
  </si>
  <si>
    <t>CLU_I_Z_110</t>
  </si>
  <si>
    <t>CLW_I_Z_110</t>
  </si>
  <si>
    <t>Carlow_110kV</t>
  </si>
  <si>
    <t>CNG_I_Z_110</t>
  </si>
  <si>
    <t>Coolnanoonag_110kV</t>
  </si>
  <si>
    <t>COL_I_Z_110</t>
  </si>
  <si>
    <t>College Park_110kV</t>
  </si>
  <si>
    <t>COL_N_Z_110</t>
  </si>
  <si>
    <t>Coleraine_110kV</t>
  </si>
  <si>
    <t>COL_N_Z_33</t>
  </si>
  <si>
    <t>COO_I_Z_110</t>
  </si>
  <si>
    <t>Cookstown_110kV</t>
  </si>
  <si>
    <t>COR_I_Z_110</t>
  </si>
  <si>
    <t>Corraclassy_110kV</t>
  </si>
  <si>
    <t>COS_I_Z_110</t>
  </si>
  <si>
    <t>Carrick-on-Shannon_110kV</t>
  </si>
  <si>
    <t>COW_I_Z_110</t>
  </si>
  <si>
    <t>Cow Cross_110kV</t>
  </si>
  <si>
    <t>CPK_I_Z_110</t>
  </si>
  <si>
    <t>Central Park_110kV</t>
  </si>
  <si>
    <t>CPS_N_Z_110</t>
  </si>
  <si>
    <t>Coolkeeragh Power Station_110kV</t>
  </si>
  <si>
    <t>CPS_N_Z_275</t>
  </si>
  <si>
    <t>Coolkeeragh Power Station_275kV</t>
  </si>
  <si>
    <t>CPS_N_Z_33</t>
  </si>
  <si>
    <t>CRA_I_Z_110</t>
  </si>
  <si>
    <t>Crane_110kV</t>
  </si>
  <si>
    <t>CRE_N_Z_110</t>
  </si>
  <si>
    <t>Cregagh_110kV</t>
  </si>
  <si>
    <t>CRE_N_Z_33</t>
  </si>
  <si>
    <t>CRG_N_Z_110</t>
  </si>
  <si>
    <t>Creagh_110kV</t>
  </si>
  <si>
    <t>CRG_N_Z_33</t>
  </si>
  <si>
    <t>CRM_I_Z_110</t>
  </si>
  <si>
    <t>Cromcastle_110kV</t>
  </si>
  <si>
    <t>CRO_I_Z_110</t>
  </si>
  <si>
    <t>Coolroe_110kV</t>
  </si>
  <si>
    <t>CRR_N_Z_110</t>
  </si>
  <si>
    <t>CRR_N_Z_33</t>
  </si>
  <si>
    <t>CSH_I_Z_110</t>
  </si>
  <si>
    <t>Cashla_110kV</t>
  </si>
  <si>
    <t>CSH_I_Z_220</t>
  </si>
  <si>
    <t>Cashla_220kV</t>
  </si>
  <si>
    <t>CTG_I_Z_110</t>
  </si>
  <si>
    <t>CTN_I_Z_110</t>
  </si>
  <si>
    <t>Cauteen_110kV</t>
  </si>
  <si>
    <t>CTY_I_Z_110</t>
  </si>
  <si>
    <t>City West_110kV</t>
  </si>
  <si>
    <t>CUL_I_Z_110</t>
  </si>
  <si>
    <t>Cullenagh_110kV</t>
  </si>
  <si>
    <t>CUL_I_Z_220</t>
  </si>
  <si>
    <t>Cullenagh_220kV</t>
  </si>
  <si>
    <t>CUN_I_Z_110</t>
  </si>
  <si>
    <t>Cunghill_110kV</t>
  </si>
  <si>
    <t>CUR_I_Z_110</t>
  </si>
  <si>
    <t>Cureeny_110kV</t>
  </si>
  <si>
    <t>CUS_I_Z_110</t>
  </si>
  <si>
    <t>Cushaling_110kV</t>
  </si>
  <si>
    <t>CVW_I_Z_110</t>
  </si>
  <si>
    <t>Castleview_110kV</t>
  </si>
  <si>
    <t>DAL_I_T_110</t>
  </si>
  <si>
    <t>Dallow_110kV_Tee</t>
  </si>
  <si>
    <t>DAL_I_Z_110</t>
  </si>
  <si>
    <t>Dallow_110kV</t>
  </si>
  <si>
    <t>DDK_I_Z_110</t>
  </si>
  <si>
    <t>Dundalk_110kV</t>
  </si>
  <si>
    <t>DEE_I_Z_110</t>
  </si>
  <si>
    <t>DER_I_Z_110</t>
  </si>
  <si>
    <t>Derryiron_110kV</t>
  </si>
  <si>
    <t>DEY_I_Z_110</t>
  </si>
  <si>
    <t>Derrycarney_110kV</t>
  </si>
  <si>
    <t>DFR_I_T_110</t>
  </si>
  <si>
    <t>DFR_I_Z_110</t>
  </si>
  <si>
    <t>Dunfirth_110kV</t>
  </si>
  <si>
    <t>DGN_I_Z_110</t>
  </si>
  <si>
    <t>Dungarvan_110kV</t>
  </si>
  <si>
    <t>DKL_I_Z_110</t>
  </si>
  <si>
    <t>DLT_I_Z_110</t>
  </si>
  <si>
    <t>Dalton_110kV</t>
  </si>
  <si>
    <t>DMY_I_Z_110</t>
  </si>
  <si>
    <t>Dunmanway_110kV</t>
  </si>
  <si>
    <t>DON_N_Z_110</t>
  </si>
  <si>
    <t>Donegall_110kV</t>
  </si>
  <si>
    <t>DON_N_Z_33</t>
  </si>
  <si>
    <t>DOO_I_Z_110</t>
  </si>
  <si>
    <t>DRM_I_Z_110</t>
  </si>
  <si>
    <t>Drumkeen_110kV</t>
  </si>
  <si>
    <t>DRO_I_Z_110</t>
  </si>
  <si>
    <t>DRO_N_Z_110</t>
  </si>
  <si>
    <t>Dromore_110kV</t>
  </si>
  <si>
    <t>DRQ_N_Z_110</t>
  </si>
  <si>
    <t>Drumquin_110kV</t>
  </si>
  <si>
    <t>DRU_I_Z_110</t>
  </si>
  <si>
    <t>Drumline_110kV</t>
  </si>
  <si>
    <t>DRU_N_Z_110</t>
  </si>
  <si>
    <t>Drumnakelly_110kV</t>
  </si>
  <si>
    <t>DRU_N_Z_33</t>
  </si>
  <si>
    <t>DRY_I_Z_110</t>
  </si>
  <si>
    <t>Drybridge_110kV</t>
  </si>
  <si>
    <t>DSN_I_Z_220</t>
  </si>
  <si>
    <t>Dunstown_220kV</t>
  </si>
  <si>
    <t>DSN_I_Z_380</t>
  </si>
  <si>
    <t>Dunstown_380kV</t>
  </si>
  <si>
    <t>380</t>
  </si>
  <si>
    <t>DTN_I_Z_110</t>
  </si>
  <si>
    <t>Dardistown_110kV</t>
  </si>
  <si>
    <t>DUN_N_Z_110</t>
  </si>
  <si>
    <t>Dungannon_110kV</t>
  </si>
  <si>
    <t>DUN_N_Z_33</t>
  </si>
  <si>
    <t>DYN_I_Z_110</t>
  </si>
  <si>
    <t>EDE_N_Z_110</t>
  </si>
  <si>
    <t>EDE_N_Z_33</t>
  </si>
  <si>
    <t>ENN_I_Z_110</t>
  </si>
  <si>
    <t>Ennis_110kV</t>
  </si>
  <si>
    <t>ENN_N_Z_110</t>
  </si>
  <si>
    <t>Enniskillen_110kV</t>
  </si>
  <si>
    <t>ENN_N_Z_33</t>
  </si>
  <si>
    <t>FAS_I_Z_110</t>
  </si>
  <si>
    <t>Fassaroe_110kV</t>
  </si>
  <si>
    <t>FIN_I_Z_110</t>
  </si>
  <si>
    <t>Finglas_110kV</t>
  </si>
  <si>
    <t>FIN_I_Z_220</t>
  </si>
  <si>
    <t>Finglas_220kV</t>
  </si>
  <si>
    <t>FIN_N_Z_110</t>
  </si>
  <si>
    <t>Finaghy_110kV</t>
  </si>
  <si>
    <t>FIN_N_Z_33</t>
  </si>
  <si>
    <t>FLA_I_Z_110</t>
  </si>
  <si>
    <t>Flagford_110kV</t>
  </si>
  <si>
    <t>FLA_I_Z_220</t>
  </si>
  <si>
    <t>Flagford_220kV</t>
  </si>
  <si>
    <t>FRS_I_Z_110</t>
  </si>
  <si>
    <t>FTT_I_Z_110</t>
  </si>
  <si>
    <t>Fortunestown_110kV</t>
  </si>
  <si>
    <t>GAE_I_Z_110</t>
  </si>
  <si>
    <t>GAL_I_Z_110</t>
  </si>
  <si>
    <t>Galway_110kV</t>
  </si>
  <si>
    <t>GAN_I_Z_110</t>
  </si>
  <si>
    <t>Gallanstown_110kV</t>
  </si>
  <si>
    <t>GCA_I_Z_110</t>
  </si>
  <si>
    <t>Grange Castle_110kV</t>
  </si>
  <si>
    <t>GGO_I_Z_220</t>
  </si>
  <si>
    <t>Glanagow_220kV</t>
  </si>
  <si>
    <t>GI_I_Z_110</t>
  </si>
  <si>
    <t>Great Island_110kV</t>
  </si>
  <si>
    <t>GI_I_Z_220</t>
  </si>
  <si>
    <t>Great Island_220kV</t>
  </si>
  <si>
    <t>GIL_I_Z_110</t>
  </si>
  <si>
    <t>Gilra_110kV</t>
  </si>
  <si>
    <t>GLA_I_Z_110</t>
  </si>
  <si>
    <t>Glasmore_110kV</t>
  </si>
  <si>
    <t>GLE_I_Z_110</t>
  </si>
  <si>
    <t>Glenlara_110kV</t>
  </si>
  <si>
    <t>GLE_N_Z_110</t>
  </si>
  <si>
    <t>Glengormley_110kV</t>
  </si>
  <si>
    <t>GLE_N_Z_33</t>
  </si>
  <si>
    <t>GLR_I_Z_110</t>
  </si>
  <si>
    <t>Glenree_110kV</t>
  </si>
  <si>
    <t>LWN_I_Z_220</t>
  </si>
  <si>
    <t>Loughtown_220kV</t>
  </si>
  <si>
    <t>GOL_I_T_110</t>
  </si>
  <si>
    <t>Golagh_110kV_Tee</t>
  </si>
  <si>
    <t>GOL_I_Z_110</t>
  </si>
  <si>
    <t>Golagh_110kV</t>
  </si>
  <si>
    <t>GOR_I_Z_110</t>
  </si>
  <si>
    <t>Gorman_110kV</t>
  </si>
  <si>
    <t>GOR_I_Z_220</t>
  </si>
  <si>
    <t>Gorman_220kV</t>
  </si>
  <si>
    <t>GOR_N_Z_110</t>
  </si>
  <si>
    <t>GOR_N_Z_33</t>
  </si>
  <si>
    <t>GRA_I_Z_110</t>
  </si>
  <si>
    <t>Grange_110kV</t>
  </si>
  <si>
    <t>GRH_I_Z_110</t>
  </si>
  <si>
    <t>Garballagh_110kV</t>
  </si>
  <si>
    <t>GRI_I_T_110</t>
  </si>
  <si>
    <t>Griffinrath_110kV_Tee</t>
  </si>
  <si>
    <t>GRI_I_Z_110</t>
  </si>
  <si>
    <t>Griffinrath_110kV</t>
  </si>
  <si>
    <t>GRO_I_Z_110</t>
  </si>
  <si>
    <t>Garrow_110kV</t>
  </si>
  <si>
    <t>GRV_I_Z_110</t>
  </si>
  <si>
    <t>GWE_I_Z_110</t>
  </si>
  <si>
    <t>Gortawee_110kV</t>
  </si>
  <si>
    <t>HAN_N_Z_110</t>
  </si>
  <si>
    <t>Hannastown_110kV</t>
  </si>
  <si>
    <t>HAN_N_Z_275</t>
  </si>
  <si>
    <t>Hannastown_275kV</t>
  </si>
  <si>
    <t>HAR_I_Z_110</t>
  </si>
  <si>
    <t>Harolds Cross_110kV</t>
  </si>
  <si>
    <t>HEU_I_Z_110</t>
  </si>
  <si>
    <t>Heuston Square_110kV</t>
  </si>
  <si>
    <t>HN_I_Z_220</t>
  </si>
  <si>
    <t>Huntstown_220kV</t>
  </si>
  <si>
    <t>IA_I_Z_110</t>
  </si>
  <si>
    <t>Inniscarra_110kV</t>
  </si>
  <si>
    <t>IKE_I_T_110</t>
  </si>
  <si>
    <t>Ikerrin_110kV_Tee</t>
  </si>
  <si>
    <t>IKE_I_Z_110</t>
  </si>
  <si>
    <t>Ikerrin_110kV</t>
  </si>
  <si>
    <t>INC_I_Z_110</t>
  </si>
  <si>
    <t>Inchicore_110kV</t>
  </si>
  <si>
    <t>INC_I_Z_220</t>
  </si>
  <si>
    <t>Inchicore_220kV</t>
  </si>
  <si>
    <t>ISH_I_Z_220</t>
  </si>
  <si>
    <t>Irishtown_220kV</t>
  </si>
  <si>
    <t>KBY_I_Z_110</t>
  </si>
  <si>
    <t>Kilbarry_110kV</t>
  </si>
  <si>
    <t>KCR_I_Z_110</t>
  </si>
  <si>
    <t>Knockacummer_110kV</t>
  </si>
  <si>
    <t>KCY_I_Z_110</t>
  </si>
  <si>
    <t>KEL_N_Z_110</t>
  </si>
  <si>
    <t>Kells_110kV</t>
  </si>
  <si>
    <t>KEL_N_Z_275</t>
  </si>
  <si>
    <t>Kells_275kV</t>
  </si>
  <si>
    <t>KER_I_Z_110</t>
  </si>
  <si>
    <t>Knockearagh_110kV</t>
  </si>
  <si>
    <t>KHL_I_Z_110</t>
  </si>
  <si>
    <t>KIN_I_Z_110</t>
  </si>
  <si>
    <t>Kinnegad_110kV</t>
  </si>
  <si>
    <t>KKY_I_Z_110</t>
  </si>
  <si>
    <t>Kilkenny_110kV</t>
  </si>
  <si>
    <t>KLH_I_Z_110</t>
  </si>
  <si>
    <t>Knockalough_110kV</t>
  </si>
  <si>
    <t>KLM_I_Z_110</t>
  </si>
  <si>
    <t>Kilmore_110kV</t>
  </si>
  <si>
    <t>KLN_I_Z_110</t>
  </si>
  <si>
    <t>Killonan_110kV</t>
  </si>
  <si>
    <t>KLN_I_Z_220</t>
  </si>
  <si>
    <t>Killonan_220kV</t>
  </si>
  <si>
    <t>KLP_I_Z_110</t>
  </si>
  <si>
    <t>KLP_I_Z_220</t>
  </si>
  <si>
    <t>#Not Solved Yet_220kV</t>
  </si>
  <si>
    <t>KLS_I_Z_110</t>
  </si>
  <si>
    <t>Kellis_110kV</t>
  </si>
  <si>
    <t>KLS_I_Z_220</t>
  </si>
  <si>
    <t>Kellis_220kV</t>
  </si>
  <si>
    <t>KMT_N_Z_110</t>
  </si>
  <si>
    <t>Killymallaght_110kV</t>
  </si>
  <si>
    <t>KMT_N_Z_33</t>
  </si>
  <si>
    <t>KNO_N_Z_110</t>
  </si>
  <si>
    <t>KNO_N_Z_33</t>
  </si>
  <si>
    <t>KNR_I_Z_110</t>
  </si>
  <si>
    <t>Knockanure_110kV</t>
  </si>
  <si>
    <t>KNR_I_Z_220</t>
  </si>
  <si>
    <t>Knockanure_220kV</t>
  </si>
  <si>
    <t>KNY_I_Z_110</t>
  </si>
  <si>
    <t>Knockranny_110kV</t>
  </si>
  <si>
    <t>KPG_I_Z_110</t>
  </si>
  <si>
    <t>KPG_I_Z_220</t>
  </si>
  <si>
    <t>Kilpaddoge_220kV</t>
  </si>
  <si>
    <t>KPS_N_Z_275</t>
  </si>
  <si>
    <t>Kilroot Power Station_275kV</t>
  </si>
  <si>
    <t>KRA_I_Z_110</t>
  </si>
  <si>
    <t>Knockraha_110kV</t>
  </si>
  <si>
    <t>KRA_I_Z_220</t>
  </si>
  <si>
    <t>Knockraha_220kV</t>
  </si>
  <si>
    <t>KSE_I_Z_110</t>
  </si>
  <si>
    <t>KTL_I_Z_110</t>
  </si>
  <si>
    <t>Kilteel_110kV</t>
  </si>
  <si>
    <t>KTN_I_Z_110</t>
  </si>
  <si>
    <t>Killoteran_110kV</t>
  </si>
  <si>
    <t>KUD_I_Z_110</t>
  </si>
  <si>
    <t>Kilmahud_110kV</t>
  </si>
  <si>
    <t>KUR_I_Z_110</t>
  </si>
  <si>
    <t>Knockumber_110kV</t>
  </si>
  <si>
    <t>KYT_I_Z_220</t>
  </si>
  <si>
    <t>LA_I_Z_110</t>
  </si>
  <si>
    <t>Lanesboro_110kV</t>
  </si>
  <si>
    <t>LAR_N_Z_110</t>
  </si>
  <si>
    <t>LAR_N_Z_33</t>
  </si>
  <si>
    <t>LET_I_Z_110</t>
  </si>
  <si>
    <t>Letterkenny_110kV</t>
  </si>
  <si>
    <t>LGT_I_Z_110</t>
  </si>
  <si>
    <t>LIB_I_Z_110</t>
  </si>
  <si>
    <t>Liberty Street_110kV</t>
  </si>
  <si>
    <t>LIM_I_Z_110</t>
  </si>
  <si>
    <t>Limerick_110kV</t>
  </si>
  <si>
    <t>LIM_N_Z_110</t>
  </si>
  <si>
    <t>LIM_N_Z_33</t>
  </si>
  <si>
    <t>LIS_I_Z_110</t>
  </si>
  <si>
    <t>Lisdrum_110kV</t>
  </si>
  <si>
    <t>LIS_N_Z_110</t>
  </si>
  <si>
    <t>Lisburn_110kV</t>
  </si>
  <si>
    <t>LIS_N_Z_33</t>
  </si>
  <si>
    <t>LMR_N_Z_110</t>
  </si>
  <si>
    <t>LMR_N_Z_33</t>
  </si>
  <si>
    <t>LNA_I_Z_110</t>
  </si>
  <si>
    <t>LOG_N_Z_110</t>
  </si>
  <si>
    <t>LOG_N_Z_33</t>
  </si>
  <si>
    <t>LOU_I_Z_110</t>
  </si>
  <si>
    <t>Louth_110kV</t>
  </si>
  <si>
    <t>LOU_I_Z_220</t>
  </si>
  <si>
    <t>Louth_220kV</t>
  </si>
  <si>
    <t>LOU_I_Z_275</t>
  </si>
  <si>
    <t>Louth_275kV</t>
  </si>
  <si>
    <t>LPT_I_Z_220</t>
  </si>
  <si>
    <t>LSA_I_Z_110</t>
  </si>
  <si>
    <t>LSA_I_T_110</t>
  </si>
  <si>
    <t>Lislea_110kV_Tee</t>
  </si>
  <si>
    <t>LSN_I_Z_110</t>
  </si>
  <si>
    <t>Lisheen_110kV</t>
  </si>
  <si>
    <t>LWD_I_Z_110</t>
  </si>
  <si>
    <t>LWD_I_Z_220</t>
  </si>
  <si>
    <t>Lodgewood_220kV</t>
  </si>
  <si>
    <t>MAC_I_Z_110</t>
  </si>
  <si>
    <t>Macroom_110kV</t>
  </si>
  <si>
    <t>MAG_N_Z_275</t>
  </si>
  <si>
    <t>Magherafelt_275kV</t>
  </si>
  <si>
    <t>MAL_I_Z_110</t>
  </si>
  <si>
    <t>Mallow_110kV</t>
  </si>
  <si>
    <t>MAY_I_Z_110</t>
  </si>
  <si>
    <t>Maynooth_110kV</t>
  </si>
  <si>
    <t>MAY_I_Z_220</t>
  </si>
  <si>
    <t>Maynooth_220kV</t>
  </si>
  <si>
    <t>MCD_I_Z_110</t>
  </si>
  <si>
    <t>McDermott_110kV</t>
  </si>
  <si>
    <t>MCE_I_Z_110</t>
  </si>
  <si>
    <t>Macetown_110kV</t>
  </si>
  <si>
    <t>MEE_I_Z_110</t>
  </si>
  <si>
    <t>MEN_I_Z_110</t>
  </si>
  <si>
    <t>Monatooreen_110kV</t>
  </si>
  <si>
    <t>MHL_I_Z_110</t>
  </si>
  <si>
    <t>Misery Hill_110kV</t>
  </si>
  <si>
    <t>MID_I_Z_110</t>
  </si>
  <si>
    <t>Midleton_110kV</t>
  </si>
  <si>
    <t>MIL_I_Z_110</t>
  </si>
  <si>
    <t>Milltown_110kV</t>
  </si>
  <si>
    <t>MKL_N_Z_110</t>
  </si>
  <si>
    <t>Magherakeel Cluster_110kV</t>
  </si>
  <si>
    <t>MKL_N_Z_33</t>
  </si>
  <si>
    <t>MLC_I_Z_110</t>
  </si>
  <si>
    <t>Mountlucas_110kV</t>
  </si>
  <si>
    <t>MLN_I_Z_110</t>
  </si>
  <si>
    <t>Mullagharlin_110kV</t>
  </si>
  <si>
    <t>MNH_I_Z_110</t>
  </si>
  <si>
    <t>MON_I_Z_110</t>
  </si>
  <si>
    <t>Monread_110kV</t>
  </si>
  <si>
    <t>MOY_I_Z_110</t>
  </si>
  <si>
    <t>Moy_110kV</t>
  </si>
  <si>
    <t>MP_I_Z_110</t>
  </si>
  <si>
    <t>Moneypoint_110kV</t>
  </si>
  <si>
    <t>MP_I_Z_220</t>
  </si>
  <si>
    <t>Moneypoint_220kV</t>
  </si>
  <si>
    <t>MP_I_Z_380</t>
  </si>
  <si>
    <t>Moneypoint_380kV</t>
  </si>
  <si>
    <t>MR_I_Z_110</t>
  </si>
  <si>
    <t>Marina_110kV</t>
  </si>
  <si>
    <t>MRY_I_Z_110</t>
  </si>
  <si>
    <t>MTA_I_Z_110</t>
  </si>
  <si>
    <t>MTH_I_Z_110</t>
  </si>
  <si>
    <t>Meath Hill_110kV</t>
  </si>
  <si>
    <t>MTN_I_Z_110</t>
  </si>
  <si>
    <t>Moneteen_110kV</t>
  </si>
  <si>
    <t>MUL_I_Z_110</t>
  </si>
  <si>
    <t>Mullingar_110kV</t>
  </si>
  <si>
    <t>MUN_I_Z_110</t>
  </si>
  <si>
    <t>Mungret_110kV</t>
  </si>
  <si>
    <t>NAN_I_Z_110</t>
  </si>
  <si>
    <t>Nangor_110kV</t>
  </si>
  <si>
    <t>NAR_N_Z_110</t>
  </si>
  <si>
    <t>NAR_N_Z_33</t>
  </si>
  <si>
    <t>NAV_I_Z_110</t>
  </si>
  <si>
    <t>Navan_110kV</t>
  </si>
  <si>
    <t>NBY_I_Z_110</t>
  </si>
  <si>
    <t>Newbury_110kV</t>
  </si>
  <si>
    <t>NEN_I_Z_110</t>
  </si>
  <si>
    <t>NEW_I_Z_110</t>
  </si>
  <si>
    <t>Newbridge_110kV</t>
  </si>
  <si>
    <t>NEW_N_Z_110</t>
  </si>
  <si>
    <t>Newry_110kV</t>
  </si>
  <si>
    <t>NEW_N_Z_33</t>
  </si>
  <si>
    <t>NQS_I_Z_110</t>
  </si>
  <si>
    <t>North Quays_110kV</t>
  </si>
  <si>
    <t>NW_I_Z_220</t>
  </si>
  <si>
    <t>North Wall_220kV</t>
  </si>
  <si>
    <t>OBE_I_Z_110</t>
  </si>
  <si>
    <t>OLD_I_Z_110</t>
  </si>
  <si>
    <t>OMA_N_Z_110</t>
  </si>
  <si>
    <t>Omagh_110kV</t>
  </si>
  <si>
    <t>OMA_N_Z_33</t>
  </si>
  <si>
    <t>ONH_I_Z_110</t>
  </si>
  <si>
    <t>OST_I_Z_220</t>
  </si>
  <si>
    <t>Oldstreet_220kV</t>
  </si>
  <si>
    <t>OST_I_Z_380</t>
  </si>
  <si>
    <t>Oldstreet_380kV</t>
  </si>
  <si>
    <t>OUG_I_T_110</t>
  </si>
  <si>
    <t>Oughtragh_110kV_Tee</t>
  </si>
  <si>
    <t>OUG_I_Z_110</t>
  </si>
  <si>
    <t>Oughtragh_110kV</t>
  </si>
  <si>
    <t>PA_I_Z_110</t>
  </si>
  <si>
    <t>Pollaphuca_110kV</t>
  </si>
  <si>
    <t>PB_I_Z_110</t>
  </si>
  <si>
    <t>Poolbeg_110kV</t>
  </si>
  <si>
    <t>PB_I_Z_220</t>
  </si>
  <si>
    <t>Poolbeg_220kV</t>
  </si>
  <si>
    <t>PLA_I_Z_110</t>
  </si>
  <si>
    <t>Platin_110kV</t>
  </si>
  <si>
    <t>PLS_I_Z_110</t>
  </si>
  <si>
    <t>Portlaoise_110kV</t>
  </si>
  <si>
    <t>POP_I_Z_110</t>
  </si>
  <si>
    <t>Poppintree_110kV</t>
  </si>
  <si>
    <t>POT_I_Z_110</t>
  </si>
  <si>
    <t>PRO_I_Z_220</t>
  </si>
  <si>
    <t>Prospect_220kV</t>
  </si>
  <si>
    <t>PRT_I_Z_380</t>
  </si>
  <si>
    <t>Portan_380kV</t>
  </si>
  <si>
    <t>PTN_I_Z_110</t>
  </si>
  <si>
    <t>RAF_I_Z_110</t>
  </si>
  <si>
    <t>Rafef en_110kV</t>
  </si>
  <si>
    <t>RAF_I_Z_220</t>
  </si>
  <si>
    <t>Rafef en_220kV</t>
  </si>
  <si>
    <t>RAT_I_Z_110</t>
  </si>
  <si>
    <t>Rathkeale_110kV</t>
  </si>
  <si>
    <t>RAT_N_Z_110</t>
  </si>
  <si>
    <t>RAT_N_Z_33</t>
  </si>
  <si>
    <t>RE_I_Z_110</t>
  </si>
  <si>
    <t>Ringsend_110kV</t>
  </si>
  <si>
    <t>REM_I_Z_110</t>
  </si>
  <si>
    <t>Reamore_110kV</t>
  </si>
  <si>
    <t>RIC_I_Z_110</t>
  </si>
  <si>
    <t>Richmond_110kV</t>
  </si>
  <si>
    <t>RNW_I_Z_110</t>
  </si>
  <si>
    <t>Rinawade_110kV</t>
  </si>
  <si>
    <t>ROP_I_Z_110</t>
  </si>
  <si>
    <t>ROS_N_Z_110</t>
  </si>
  <si>
    <t>ROS_N_Z_33</t>
  </si>
  <si>
    <t>RRU_I_Z_110</t>
  </si>
  <si>
    <t>Ratrussan_110kV</t>
  </si>
  <si>
    <t>RSK_N_Z_110</t>
  </si>
  <si>
    <t>Rasharkin Cluster_110kV</t>
  </si>
  <si>
    <t>RSK_N_Z_33</t>
  </si>
  <si>
    <t>RSY_I_Z_110</t>
  </si>
  <si>
    <t>Ringaskiddy_110kV</t>
  </si>
  <si>
    <t>RTO_I_Z_110</t>
  </si>
  <si>
    <t>RYB_I_Z_110</t>
  </si>
  <si>
    <t>Ryebrook_110kV</t>
  </si>
  <si>
    <t>SAL_I_Z_110</t>
  </si>
  <si>
    <t>Salthill_110kV</t>
  </si>
  <si>
    <t>SBH_I_Z_110</t>
  </si>
  <si>
    <t>Snughborough_110kV</t>
  </si>
  <si>
    <t>SCR_I_Z_110</t>
  </si>
  <si>
    <t>Screeb_110kV</t>
  </si>
  <si>
    <t>SEE_I_Z_110</t>
  </si>
  <si>
    <t>SH_I_Z_110</t>
  </si>
  <si>
    <t>Shannonbridge_110kV</t>
  </si>
  <si>
    <t>SH_I_Z_220</t>
  </si>
  <si>
    <t>Shannonbridge_220kV</t>
  </si>
  <si>
    <t>SHE_I_Z_110</t>
  </si>
  <si>
    <t>SHL_I_Z_220</t>
  </si>
  <si>
    <t>Shellybanks_220kV</t>
  </si>
  <si>
    <t>SK_I_Z_110</t>
  </si>
  <si>
    <t>SKL_I_Z_110</t>
  </si>
  <si>
    <t>Shankill_110kV</t>
  </si>
  <si>
    <t>SKY_I_Z_110</t>
  </si>
  <si>
    <t>SLB_I_Z_110</t>
  </si>
  <si>
    <t>Sliabh Bawn_110kV</t>
  </si>
  <si>
    <t>SLC_I_Z_110</t>
  </si>
  <si>
    <t>SLI_I_Z_110</t>
  </si>
  <si>
    <t>Sligo_110kV</t>
  </si>
  <si>
    <t>SLK_N_Z_110</t>
  </si>
  <si>
    <t>Slieve Kirk_110kV</t>
  </si>
  <si>
    <t>SNG_I_Z_110</t>
  </si>
  <si>
    <t>Singland_110kV</t>
  </si>
  <si>
    <t>SOM_I_T_110</t>
  </si>
  <si>
    <t>Somerset_110kV_Tee</t>
  </si>
  <si>
    <t>SOM_I_Z_110</t>
  </si>
  <si>
    <t>Somerset_110kV</t>
  </si>
  <si>
    <t>SOR_I_Z_110</t>
  </si>
  <si>
    <t>Sorne Hill_110kV</t>
  </si>
  <si>
    <t>SPR_N_Z_110</t>
  </si>
  <si>
    <t>SPR_N_Z_33</t>
  </si>
  <si>
    <t>SRA_I_Z_110</t>
  </si>
  <si>
    <t>Srananagh_110kV</t>
  </si>
  <si>
    <t>SRA_I_Z_220</t>
  </si>
  <si>
    <t>STR_I_T_110</t>
  </si>
  <si>
    <t>Stratford_110kV_Tee</t>
  </si>
  <si>
    <t>STR_I_Z_110</t>
  </si>
  <si>
    <t>Stratford_110kV</t>
  </si>
  <si>
    <t>STR_N_Z_110</t>
  </si>
  <si>
    <t>Strabane_110kV</t>
  </si>
  <si>
    <t>STR_N_Z_33</t>
  </si>
  <si>
    <t>SVN_I_Z_110</t>
  </si>
  <si>
    <t>TAN_N_Z_110</t>
  </si>
  <si>
    <t>Tandragee_110kV</t>
  </si>
  <si>
    <t>TAN_N_Z_275</t>
  </si>
  <si>
    <t>Tandragee_275kV</t>
  </si>
  <si>
    <t>TAW_I_Z_110</t>
  </si>
  <si>
    <t>Tawnaghmore_110kV</t>
  </si>
  <si>
    <t>TB_I_Z_110</t>
  </si>
  <si>
    <t>Tarbert_110kV</t>
  </si>
  <si>
    <t>TB_I_Z_220</t>
  </si>
  <si>
    <t>Tarbert_220kV</t>
  </si>
  <si>
    <t>TBG_I_Z_110</t>
  </si>
  <si>
    <t>Trabeg_110kV</t>
  </si>
  <si>
    <t>TBK_I_T_110</t>
  </si>
  <si>
    <t>Tullabrack_110kV_Tee</t>
  </si>
  <si>
    <t>TBK_I_Z_110</t>
  </si>
  <si>
    <t>Tullabrack_110kV</t>
  </si>
  <si>
    <t>TEN_I_Z_110</t>
  </si>
  <si>
    <t>TH_I_Z_220</t>
  </si>
  <si>
    <t>Turlough Hill_220kV</t>
  </si>
  <si>
    <t>THU_I_Z_110</t>
  </si>
  <si>
    <t>Thurles_110kV</t>
  </si>
  <si>
    <t>TIP_I_Z_110</t>
  </si>
  <si>
    <t>TIV_I_Z_110</t>
  </si>
  <si>
    <t>Tievebrack_110kV</t>
  </si>
  <si>
    <t>TLK_I_Z_110</t>
  </si>
  <si>
    <t>Trillick_110kV</t>
  </si>
  <si>
    <t>TMN_N_Z_110</t>
  </si>
  <si>
    <t>Tamnamore_110kV</t>
  </si>
  <si>
    <t>TMN_N_Z_275</t>
  </si>
  <si>
    <t>Tamnamore_275kV</t>
  </si>
  <si>
    <t>TMN_N_Z_33</t>
  </si>
  <si>
    <t>TNY_I_Z_110</t>
  </si>
  <si>
    <t>TON_I_Z_110</t>
  </si>
  <si>
    <t>TRE_N_Z_110</t>
  </si>
  <si>
    <t>Tremoge Cluster_110kV</t>
  </si>
  <si>
    <t>TRE_N_Z_33</t>
  </si>
  <si>
    <t>TRI_I_Z_110</t>
  </si>
  <si>
    <t>Trien_110kV</t>
  </si>
  <si>
    <t>TRL_I_Z_110</t>
  </si>
  <si>
    <t>Tralee_110kV</t>
  </si>
  <si>
    <t>TRN_I_Z_110</t>
  </si>
  <si>
    <t>Trinity_110kV</t>
  </si>
  <si>
    <t>TSB_I_Z_110</t>
  </si>
  <si>
    <t>Thornsberry_110kV</t>
  </si>
  <si>
    <t>TTU_I_Z_110</t>
  </si>
  <si>
    <t>TYN_I_Z_220</t>
  </si>
  <si>
    <t>Tynagh_220kV</t>
  </si>
  <si>
    <t>UGL_I_Z_110</t>
  </si>
  <si>
    <t>Uggool_110kV</t>
  </si>
  <si>
    <t>WAR_N_Z_110</t>
  </si>
  <si>
    <t>Waringstown_110kV</t>
  </si>
  <si>
    <t>WAR_N_Z_33</t>
  </si>
  <si>
    <t>WAT_I_Z_110</t>
  </si>
  <si>
    <t>Waterford_110kV</t>
  </si>
  <si>
    <t>WBK_I_Z_110</t>
  </si>
  <si>
    <t>WEX_I_Z_110</t>
  </si>
  <si>
    <t>WHE_I_Z_110</t>
  </si>
  <si>
    <t>WHI_I_Z_110</t>
  </si>
  <si>
    <t>Whitegate_110kV</t>
  </si>
  <si>
    <t>WHO_I_Z_110</t>
  </si>
  <si>
    <t>Woodhouse_110kV</t>
  </si>
  <si>
    <t>WOL_I_Z_110</t>
  </si>
  <si>
    <t>Wolfe Tone_110kV</t>
  </si>
  <si>
    <t>WOO_I_Z_220</t>
  </si>
  <si>
    <t>Woodland_220kV</t>
  </si>
  <si>
    <t>WOO_I_Z_260</t>
  </si>
  <si>
    <t>WOO_I_Z_380</t>
  </si>
  <si>
    <t>Woodland_380kV</t>
  </si>
  <si>
    <t>description</t>
  </si>
  <si>
    <t>AA(I)(Z)&gt;DRU(I)(Z)_110L1</t>
  </si>
  <si>
    <t>0.027</t>
  </si>
  <si>
    <t>0.063</t>
  </si>
  <si>
    <t>0.006</t>
  </si>
  <si>
    <t>99</t>
  </si>
  <si>
    <t>AA(I)(Z)&gt;ENN(I)(Z)_110L1</t>
  </si>
  <si>
    <t>0.048</t>
  </si>
  <si>
    <t>0.111</t>
  </si>
  <si>
    <t>0.012</t>
  </si>
  <si>
    <t>AA(I)(Z)&gt;LIM(I)(Z)_110L1</t>
  </si>
  <si>
    <t>0.007</t>
  </si>
  <si>
    <t>0.037</t>
  </si>
  <si>
    <t>178</t>
  </si>
  <si>
    <t>AA1(I)(Z)&gt;SNG(I)(Z)_110L1</t>
  </si>
  <si>
    <t>0.003</t>
  </si>
  <si>
    <t>0.017</t>
  </si>
  <si>
    <t>145</t>
  </si>
  <si>
    <t>AD(I)(Z)&gt;AD(I)(Z)_220L1</t>
  </si>
  <si>
    <t>0</t>
  </si>
  <si>
    <t>0.001</t>
  </si>
  <si>
    <t>0.038</t>
  </si>
  <si>
    <t>593</t>
  </si>
  <si>
    <t>AD(I)(Z)&gt;GGO(I)(Z)_220L1</t>
  </si>
  <si>
    <t>0.002</t>
  </si>
  <si>
    <t>0.104</t>
  </si>
  <si>
    <t>536</t>
  </si>
  <si>
    <t>AD(I)(Z)&gt;KRA(I)(Z)_220L1</t>
  </si>
  <si>
    <t>0.022</t>
  </si>
  <si>
    <t>0.034</t>
  </si>
  <si>
    <t>393</t>
  </si>
  <si>
    <t>AD(I)(Z)&gt;KRA(I)(Z)_220L2</t>
  </si>
  <si>
    <t>AD(I)(Z)&gt;LPT(I)(Z)_220L1</t>
  </si>
  <si>
    <t>0.0265</t>
  </si>
  <si>
    <t>AD(I)(Z)&gt;RAF(I)(Z)_220L1</t>
  </si>
  <si>
    <t>0.009</t>
  </si>
  <si>
    <t>0.252</t>
  </si>
  <si>
    <t>434</t>
  </si>
  <si>
    <t>AD(I)(Z)&gt;WHI(I)(Z)_110L1</t>
  </si>
  <si>
    <t>0.005</t>
  </si>
  <si>
    <t>0.011</t>
  </si>
  <si>
    <t>ADM(I)(Z)&gt;GCA(I)(Z)_110L1</t>
  </si>
  <si>
    <t>0.004</t>
  </si>
  <si>
    <t>0.025</t>
  </si>
  <si>
    <t>140</t>
  </si>
  <si>
    <t>ADM(I)(Z)&gt;INC(I)(Z)_110L1</t>
  </si>
  <si>
    <t>0.024</t>
  </si>
  <si>
    <t>103</t>
  </si>
  <si>
    <t>AGH(N)(Z)&gt;ENN(N)(Z)_110L1</t>
  </si>
  <si>
    <t>0.039</t>
  </si>
  <si>
    <t>0.095</t>
  </si>
  <si>
    <t>0.019</t>
  </si>
  <si>
    <t>109</t>
  </si>
  <si>
    <t>AGL(I)(Z)&gt;DYN(I)(Z)_110L1</t>
  </si>
  <si>
    <t>0.028</t>
  </si>
  <si>
    <t>105</t>
  </si>
  <si>
    <t>AGL(I)(Z)&gt;ENN(I)(Z)_110L1</t>
  </si>
  <si>
    <t>0.059</t>
  </si>
  <si>
    <t>0.131</t>
  </si>
  <si>
    <t>AGL(I)(Z)&gt;SH(I)(Z)_110L1</t>
  </si>
  <si>
    <t>0.068</t>
  </si>
  <si>
    <t>0.157</t>
  </si>
  <si>
    <t>104</t>
  </si>
  <si>
    <t>AHA(I)(Z)&gt;KLN(I)(Z)_110L1</t>
  </si>
  <si>
    <t>112</t>
  </si>
  <si>
    <t>ANR(I)(Z)&gt;DOO(I)(Z)_110L1</t>
  </si>
  <si>
    <t>ANT(N)(Z)&gt;KEL(N)(Z)_110L1</t>
  </si>
  <si>
    <t>0.03</t>
  </si>
  <si>
    <t>82</t>
  </si>
  <si>
    <t>ANT(N)(Z)&gt;KEL(N)(Z)_110L2</t>
  </si>
  <si>
    <t>ARD(I)(Z)&gt;TIV(I)(Z)_110L1</t>
  </si>
  <si>
    <t>0.054</t>
  </si>
  <si>
    <t>0.12</t>
  </si>
  <si>
    <t>ARI(I)(Z)&gt;ARI(I)(T)_110L1</t>
  </si>
  <si>
    <t>ARK(I)(Z)&gt;BEG(I)(Z)_110L1</t>
  </si>
  <si>
    <t>0.01</t>
  </si>
  <si>
    <t>0.079</t>
  </si>
  <si>
    <t>ARK(I)(Z)&gt;BOG(I)(Z)_110L1</t>
  </si>
  <si>
    <t>0.021</t>
  </si>
  <si>
    <t>ARK(I)(Z)&gt;CKM(I)(Z)_220L1</t>
  </si>
  <si>
    <t>0.046</t>
  </si>
  <si>
    <t>0.081</t>
  </si>
  <si>
    <t>ARK(I)(Z)&gt;LOD(I)(Z)_220L1</t>
  </si>
  <si>
    <t>0.051</t>
  </si>
  <si>
    <t>ARK(I)(Z)&gt;SHE(I)(Z)_110L1</t>
  </si>
  <si>
    <t>0.008</t>
  </si>
  <si>
    <t>34</t>
  </si>
  <si>
    <t>ART(I)(Z)&gt;FIN(I)(Z)_110L1</t>
  </si>
  <si>
    <t>0.055</t>
  </si>
  <si>
    <t>120</t>
  </si>
  <si>
    <t>ART(I)(Z)&gt;MCD(I)(Z)_110L1</t>
  </si>
  <si>
    <t>ARV(I)(Z)&gt;COS(I)(Z)_110L1</t>
  </si>
  <si>
    <t>0.067</t>
  </si>
  <si>
    <t>0.148</t>
  </si>
  <si>
    <t>0.014</t>
  </si>
  <si>
    <t>ARV(I)(Z)&gt;GWE(I)(Z)_110L1</t>
  </si>
  <si>
    <t>0.099</t>
  </si>
  <si>
    <t>ARV(I)(Z)&gt;NAV(I)(Z)_110L1</t>
  </si>
  <si>
    <t>0.041</t>
  </si>
  <si>
    <t>0.213</t>
  </si>
  <si>
    <t>0.023</t>
  </si>
  <si>
    <t>ARV(I)(Z)&gt;SKL(I)(Z)_110L1</t>
  </si>
  <si>
    <t>0.06</t>
  </si>
  <si>
    <t>ARV(I)(Z)&gt;SKL(I)(Z)_110L2</t>
  </si>
  <si>
    <t>0.015</t>
  </si>
  <si>
    <t>0.076</t>
  </si>
  <si>
    <t>ATE(I)(Z)&gt;DRO(I)(Z)_110L1</t>
  </si>
  <si>
    <t>ATE(I)(Z)&gt;KNR(I)(Z)_110L1</t>
  </si>
  <si>
    <t>ATH(I)(Z)&gt;LA(I)(Z)_110L1</t>
  </si>
  <si>
    <t>0.123</t>
  </si>
  <si>
    <t>ATH(I)(Z)&gt;SH(I)(Z)_110L1</t>
  </si>
  <si>
    <t>0.07</t>
  </si>
  <si>
    <t>ATN(I)(Z)&gt;INC(I)(Z)_110L1</t>
  </si>
  <si>
    <t>0.065</t>
  </si>
  <si>
    <t>ATN(I)(Z)&gt;INC(I)(Z)_110L2</t>
  </si>
  <si>
    <t>ATY(I)(Z)&gt;CLW(I)(Z)_110L1</t>
  </si>
  <si>
    <t>0.036</t>
  </si>
  <si>
    <t>0.083</t>
  </si>
  <si>
    <t>ATY(I)(Z)&gt;PLS(I)(Z)_110L1</t>
  </si>
  <si>
    <t>0.088</t>
  </si>
  <si>
    <t>AUG(I)(Z)&gt;CFM(I)(Z)_110L1</t>
  </si>
  <si>
    <t>96</t>
  </si>
  <si>
    <t>AUG(I)(Z)&gt;CFM(I)(Z)_110L2</t>
  </si>
  <si>
    <t>AUG(I)(Z)&gt;KPG(I)(Z)_110L1</t>
  </si>
  <si>
    <t>0.107</t>
  </si>
  <si>
    <t>AUG(I)(Z)&gt;MTN(I)(Z)_110L1</t>
  </si>
  <si>
    <t>0.089</t>
  </si>
  <si>
    <t>AUG(I)(Z)&gt;SK(I)(Z)_110L1</t>
  </si>
  <si>
    <t>AUG(I)(Z)&gt;SK(I)(Z)_110L2</t>
  </si>
  <si>
    <t>BAL(I)(Z)&gt;CDU(I)(Z)_110L1</t>
  </si>
  <si>
    <t>BAL(I)(Z)&gt;DRY(I)(Z)_110L1</t>
  </si>
  <si>
    <t>0.013</t>
  </si>
  <si>
    <t>BAL(I)(Z)&gt;DEE(I)(Z)_110L1</t>
  </si>
  <si>
    <t>BAN(I)(Z)&gt;BRI(I)(Z)_110L1</t>
  </si>
  <si>
    <t>BAN(I)(Z)&gt;BRI(I)(Z)_110L2</t>
  </si>
  <si>
    <t>BAN(I)(Z)&gt;DMY(I)(Z)_110L1</t>
  </si>
  <si>
    <t>0.04</t>
  </si>
  <si>
    <t>BAN(I)(Z)&gt;RAF(I)(Z)_110L1</t>
  </si>
  <si>
    <t>0.091</t>
  </si>
  <si>
    <t>BAN(N)(Z)&gt;TAN(N)(Z)_110L1</t>
  </si>
  <si>
    <t>0.062</t>
  </si>
  <si>
    <t>BAN(N)(Z)&gt;TAN(N)(Z)_110L2</t>
  </si>
  <si>
    <t>0.049</t>
  </si>
  <si>
    <t>BAR(I)(Z)&gt;BAR(I)(T)_110L1</t>
  </si>
  <si>
    <t>136</t>
  </si>
  <si>
    <t>BCT(I)(Z)&gt;CKM(I)(Z)_110L1</t>
  </si>
  <si>
    <t>0.031</t>
  </si>
  <si>
    <t>BCT(I)(Z)&gt;COO(I)(Z)_110L1</t>
  </si>
  <si>
    <t>0.045</t>
  </si>
  <si>
    <t>130</t>
  </si>
  <si>
    <t>BDA(I)(Z)&gt;MON(I)(Z)_110L1</t>
  </si>
  <si>
    <t>0.029</t>
  </si>
  <si>
    <t>BDA(I)(Z)&gt;NEW(I)(Z)_110L1</t>
  </si>
  <si>
    <t>122</t>
  </si>
  <si>
    <t>BDN(I)(Z)&gt;CUL(I)(Z)_110L1</t>
  </si>
  <si>
    <t>0.075</t>
  </si>
  <si>
    <t>196</t>
  </si>
  <si>
    <t>BDN(I)(Z)&gt;DOO(I)(Z)_110L1</t>
  </si>
  <si>
    <t>BEG(I)(Z)&gt;CKM(I)(Z)_110L1</t>
  </si>
  <si>
    <t>0.116</t>
  </si>
  <si>
    <t>BGH(I)(Z)&gt;CLA(I)(Z)_110L1</t>
  </si>
  <si>
    <t>BGN(I)(Z)&gt;MLC(I)(Z)_110L1</t>
  </si>
  <si>
    <t>BIN(I)(Z)&gt;CF(I)(Z)_110L1</t>
  </si>
  <si>
    <t>0.053</t>
  </si>
  <si>
    <t>0.118</t>
  </si>
  <si>
    <t>BIN(I)(Z)&gt;TIV(I)(Z)_110L1</t>
  </si>
  <si>
    <t>0.077</t>
  </si>
  <si>
    <t>BK(I)(Z)&gt;CBR(I)(Z)_110L1</t>
  </si>
  <si>
    <t>0.128</t>
  </si>
  <si>
    <t>195</t>
  </si>
  <si>
    <t>BK(I)(Z)&gt;CGW(I)(Z)_110L1</t>
  </si>
  <si>
    <t>BK(I)(Z)&gt;MOY(I)(Z)_110L1</t>
  </si>
  <si>
    <t>BK(I)(Z)&gt;SKY(I)(Z)_110L1</t>
  </si>
  <si>
    <t>0.044</t>
  </si>
  <si>
    <t>192</t>
  </si>
  <si>
    <t>BK(I)(Z)&gt;SKY(I)(Z)_110L2</t>
  </si>
  <si>
    <t>187</t>
  </si>
  <si>
    <t>BKT(I)(Z)&gt;CUR(I)(Z)_110L1</t>
  </si>
  <si>
    <t>0.072</t>
  </si>
  <si>
    <t>BKY(I)(Z)&gt;CBT(I)(Z)_110L1</t>
  </si>
  <si>
    <t>BKY(I)(Z)&gt;CBT(I)(Z)_110L2</t>
  </si>
  <si>
    <t>BLA(I)(Z)&gt;POT(I)(Z)_110L1</t>
  </si>
  <si>
    <t>0.092</t>
  </si>
  <si>
    <t>119</t>
  </si>
  <si>
    <t>BLA(I)(Z)&gt;RE(I)(Z)_110L1</t>
  </si>
  <si>
    <t>0.136</t>
  </si>
  <si>
    <t>BLC(I)(Z)&gt;FIN(I)(Z)_220L1</t>
  </si>
  <si>
    <t>0.332</t>
  </si>
  <si>
    <t>570</t>
  </si>
  <si>
    <t>BLC(I)(Z)&gt;GRA(I)(Z)_110L1</t>
  </si>
  <si>
    <t>0.0025</t>
  </si>
  <si>
    <t>BLC(I)(Z)&gt;KLM(I)(Z)_110L1</t>
  </si>
  <si>
    <t>BLI(I)(Z)&gt;DMY(I)(Z)_110L1</t>
  </si>
  <si>
    <t>0.043</t>
  </si>
  <si>
    <t>0.094</t>
  </si>
  <si>
    <t>BLK(I)(Z)&gt;BLK(I)(Z)_110L1</t>
  </si>
  <si>
    <t>BMA(N)(Z)&gt;KEL(N)(Z)_110L1</t>
  </si>
  <si>
    <t>0.035</t>
  </si>
  <si>
    <t>BMA(N)(Z)&gt;KEL(N)(Z)_110L2</t>
  </si>
  <si>
    <t>BNH(N)(Z)&gt;CAS(N)(Z)_110L1</t>
  </si>
  <si>
    <t>0.071</t>
  </si>
  <si>
    <t>BNH(N)(Z)&gt;CAS(N)(Z)_110L2</t>
  </si>
  <si>
    <t>BNM(N)(Z)&gt;DON(N)(Z)_110L1</t>
  </si>
  <si>
    <t>75</t>
  </si>
  <si>
    <t>BNM(N)(Z)&gt;DON(N)(Z)_110L2</t>
  </si>
  <si>
    <t>BOG(I)(Z)&gt;TTU(I)(Z)_110L1</t>
  </si>
  <si>
    <t>TTU(I)(Z)&gt;CRA(I)(Z)_110L1</t>
  </si>
  <si>
    <t>BOL(I)(Z)&gt;ENN(I)(Z)_110L1</t>
  </si>
  <si>
    <t>0.016</t>
  </si>
  <si>
    <t>0.08</t>
  </si>
  <si>
    <t>BOL(I)(Z)&gt;TBK(I)(T)_110L1</t>
  </si>
  <si>
    <t>BPS(N)(Z)&gt;BVG(N)(Z)_110L1</t>
  </si>
  <si>
    <t>0.058</t>
  </si>
  <si>
    <t>BPS(N)(Z)&gt;BVG(N)(Z)_110L2</t>
  </si>
  <si>
    <t>BPS(N)(Z)&gt;BYC(N)(Z)_275L1</t>
  </si>
  <si>
    <t>710</t>
  </si>
  <si>
    <t>BPS(N)(Z)&gt;EDE(N)(Z)_110L1</t>
  </si>
  <si>
    <t>69</t>
  </si>
  <si>
    <t>BPS(N)(Z)&gt;EDE(N)(Z)_110L2</t>
  </si>
  <si>
    <t>70</t>
  </si>
  <si>
    <t>BPS(N)(Z)&gt;HAN(N)(Z)_275L1</t>
  </si>
  <si>
    <t>0.114</t>
  </si>
  <si>
    <t>BPS(N)(Z)&gt;KEL(N)(Z)_275L1</t>
  </si>
  <si>
    <t>BPS(N)(Z)&gt;MAG(N)(Z)_275L1</t>
  </si>
  <si>
    <t>0.169</t>
  </si>
  <si>
    <t>BRO(N)(Z)&gt;RSK(N)(Z)_110L1</t>
  </si>
  <si>
    <t>0.02</t>
  </si>
  <si>
    <t>144</t>
  </si>
  <si>
    <t>BRY(I)(Z)&gt;RAF(I)(Z)_110L1</t>
  </si>
  <si>
    <t>63</t>
  </si>
  <si>
    <t>BRY(I)(Z)&gt;RAF(I)(Z)_110L2</t>
  </si>
  <si>
    <t>BTN(I)(Z)&gt;CLE(I)(Z)_220L1</t>
  </si>
  <si>
    <t>0.0001</t>
  </si>
  <si>
    <t>0.0004</t>
  </si>
  <si>
    <t>BTN(I)(Z)&gt;CLE(I)(Z)_220L2</t>
  </si>
  <si>
    <t>BUT(I)(Z)&gt;CUL(I)(Z)_110L1</t>
  </si>
  <si>
    <t>BUT(I)(Z)&gt;KTN(I)(Z)_110L1</t>
  </si>
  <si>
    <t>BVG(N)(Z)&gt;KEL(N)(Z)_110L1</t>
  </si>
  <si>
    <t>0.073</t>
  </si>
  <si>
    <t>BVG(N)(Z)&gt;KEL(N)(Z)_110L2</t>
  </si>
  <si>
    <t>BVG(N)(Z)&gt;LAR(N)(Z)_110L1</t>
  </si>
  <si>
    <t>79</t>
  </si>
  <si>
    <t>BVG(N)(Z)&gt;LAR(N)(Z)_110L2</t>
  </si>
  <si>
    <t>BVK(I)(Z)&gt;BYH(I)(Z)_220L1</t>
  </si>
  <si>
    <t>0.0246</t>
  </si>
  <si>
    <t>0.05</t>
  </si>
  <si>
    <t>BVK(I)(Z)&gt;CLA(I)(Z)_220L1</t>
  </si>
  <si>
    <t>740</t>
  </si>
  <si>
    <t>BVK(I)(Z)&gt;CTG(I)(Z)_110L1</t>
  </si>
  <si>
    <t>0.386</t>
  </si>
  <si>
    <t>228</t>
  </si>
  <si>
    <t>BWR(I)(Z)&gt;CRA(I)(Z)_110L1</t>
  </si>
  <si>
    <t>0.137</t>
  </si>
  <si>
    <t>115</t>
  </si>
  <si>
    <t>BYH(I)(Z)&gt;CDL(I)(Z)_110L1</t>
  </si>
  <si>
    <t>0.105</t>
  </si>
  <si>
    <t>BYH(I)(Z)&gt;GLE(I)(Z)_110L1</t>
  </si>
  <si>
    <t>0.186</t>
  </si>
  <si>
    <t>124</t>
  </si>
  <si>
    <t>CAB(I)(Z)&gt;PTN(I)(Z)_110L1</t>
  </si>
  <si>
    <t>80</t>
  </si>
  <si>
    <t>CAB(I)(Z)&gt;WOL(I)(Z)_110L1</t>
  </si>
  <si>
    <t>CAH(I)(Z)&gt;BAR(I)(T)_110L1</t>
  </si>
  <si>
    <t>0.15</t>
  </si>
  <si>
    <t>CAH(I)(Z)&gt;DOO(I)(Z)_110L1</t>
  </si>
  <si>
    <t>CAH(I)(Z)&gt;KHL(I)(Z)_110L1</t>
  </si>
  <si>
    <t>CAH(I)(Z)&gt;TIP(I)(Z)_110L1</t>
  </si>
  <si>
    <t>CAR(N)(Z)&gt;CAS(N)(Z)_110L1</t>
  </si>
  <si>
    <t>CAR(N)(Z)&gt;CAS(N)(Z)_110L2</t>
  </si>
  <si>
    <t>0.086</t>
  </si>
  <si>
    <t>CAR(N)(Z)&gt;EDE(N)(Z)_110L1</t>
  </si>
  <si>
    <t>CAR(N)(Z)&gt;EDE(N)(Z)_110L2</t>
  </si>
  <si>
    <t>CAS(N)(Z)&gt;CRE(N)(Z)_110L1</t>
  </si>
  <si>
    <t>0.061</t>
  </si>
  <si>
    <t>132</t>
  </si>
  <si>
    <t>CAS(N)(Z)&gt;CRE(N)(Z)_110L2</t>
  </si>
  <si>
    <t>CAS(N)(Z)&gt;HAN(N)(Z)_275L1</t>
  </si>
  <si>
    <t>CAS(N)(Z)&gt;HAN(N)(Z)_275L2</t>
  </si>
  <si>
    <t>CAS(N)(Z)&gt;KNO(N)(Z)_110L1</t>
  </si>
  <si>
    <t>66</t>
  </si>
  <si>
    <t>CAS(N)(Z)&gt;KNO(N)(Z)_110L2</t>
  </si>
  <si>
    <t>CAS(N)(Z)&gt;KPS(N)(Z)_275L1</t>
  </si>
  <si>
    <t>0.171</t>
  </si>
  <si>
    <t>CAS(N)(Z)&gt;NAR(N)(Z)_110L1</t>
  </si>
  <si>
    <t>CAS(N)(Z)&gt;NAR(N)(Z)_110L2</t>
  </si>
  <si>
    <t>0.018</t>
  </si>
  <si>
    <t>CAS(N)(Z)&gt;RAT(N)(Z)_110L1</t>
  </si>
  <si>
    <t>0.064</t>
  </si>
  <si>
    <t>CAS(N)(Z)&gt;RAT(N)(Z)_110L2</t>
  </si>
  <si>
    <t>CAS(N)(Z)&gt;ROS(N)(Z)_110L1</t>
  </si>
  <si>
    <t>CAS(N)(Z)&gt;ROS(N)(Z)_110L2</t>
  </si>
  <si>
    <t>CAS(N)(Z)&gt;TAN(N)(Z)_275L1</t>
  </si>
  <si>
    <t>CTN(I)(Z)&gt;KLN(I)(Z)_110L1</t>
  </si>
  <si>
    <t>CBL(I)(Z)&gt;TRI(I)(Z)_110L1</t>
  </si>
  <si>
    <t>CBG(I)(Z)&gt;CBR(I)(Z)_110L1</t>
  </si>
  <si>
    <t>0.078</t>
  </si>
  <si>
    <t>CBR(I)(Z)&gt;CLN(I)(Z)_110L1</t>
  </si>
  <si>
    <t>0.198</t>
  </si>
  <si>
    <t>CBR(I)(Z)&gt;DLT(I)(Z)_110L1</t>
  </si>
  <si>
    <t>0.096</t>
  </si>
  <si>
    <t>CBT(I)(Z)&gt;INC(I)(Z)_220L1</t>
  </si>
  <si>
    <t>761</t>
  </si>
  <si>
    <t>CBT(I)(Z)&gt;INC(I)(Z)_220L2</t>
  </si>
  <si>
    <t>CBT(I)(Z)&gt;MAY(I)(Z)_220L1</t>
  </si>
  <si>
    <t>CBT(I)(Z)&gt;MAY(I)(Z)_220L2</t>
  </si>
  <si>
    <t>CD(I)(Z)&gt;KBY(I)(Z)_110L1</t>
  </si>
  <si>
    <t>CD(I)(Z)&gt;MAC(I)(Z)_110L1</t>
  </si>
  <si>
    <t>CDK(I)(Z)&gt;LWD(I)(Z)_110L1</t>
  </si>
  <si>
    <t>CDU(I)(Z)&gt;FIN(I)(Z)_220L1</t>
  </si>
  <si>
    <t>CDU(I)(Z)&gt;FIN(I)(Z)_220L2</t>
  </si>
  <si>
    <t>CDU(I)(Z)&gt;HN(I)(Z)_220L1</t>
  </si>
  <si>
    <t>0.134</t>
  </si>
  <si>
    <t>555</t>
  </si>
  <si>
    <t>CDU(I)(Z)&gt;BLU(I)(Z)_110L1</t>
  </si>
  <si>
    <t>BLU(I)(Z)&gt;MUL(I)(Z)_110L1</t>
  </si>
  <si>
    <t>CDU(I)(Z)&gt;PLA(I)(Z)_110L1</t>
  </si>
  <si>
    <t>CDU(I)(Z)&gt;RYB(I)(Z)_110L1</t>
  </si>
  <si>
    <t>CDU(I)(Z)&gt;SBH(I)(Z)_110L1</t>
  </si>
  <si>
    <t>238</t>
  </si>
  <si>
    <t>CDU(I)(Z)&gt;WOO(I)(Z)_220L1</t>
  </si>
  <si>
    <t>CDY(I)(Z)&gt;ARI(I)(T)_110L1</t>
  </si>
  <si>
    <t>CDY(I)(Z)&gt;GRV(I)(Z)_110L1</t>
  </si>
  <si>
    <t>CDY(I)(Z)&gt;SRA(I)(Z)_110L1</t>
  </si>
  <si>
    <t>CEN(N)(Z)&gt;CRE(N)(Z)_110L1</t>
  </si>
  <si>
    <t>CEN(N)(Z)&gt;CRE(N)(Z)_110L2</t>
  </si>
  <si>
    <t>CF(I)(Z)&gt;CAD(Y)(Z)_110L1</t>
  </si>
  <si>
    <t>CF(I)(Z)&gt;CKL(Y)(Z)_110L1</t>
  </si>
  <si>
    <t>CF(I)(Z)&gt;CL(I)(Z)_110L1</t>
  </si>
  <si>
    <t>CF(I)(Z)&gt;CLO(I)(Z)_110L1</t>
  </si>
  <si>
    <t>CF(I)(Z)&gt;CLO(I)(Z)_110L2</t>
  </si>
  <si>
    <t>CF(I)(Z)&gt;COR(I)(Z)_110L1</t>
  </si>
  <si>
    <t>0.199</t>
  </si>
  <si>
    <t>CF(I)(Z)&gt;SRA(I)(Z)_110L1</t>
  </si>
  <si>
    <t>0.179</t>
  </si>
  <si>
    <t>CF(I)(Z)&gt;SRA(I)(Z)_110L2</t>
  </si>
  <si>
    <t>0.16</t>
  </si>
  <si>
    <t>CGL(I)(Z)&gt;GAE(I)(Z)_110L1</t>
  </si>
  <si>
    <t>CHA(I)(Z)&gt;GLE(I)(Z)_110L1</t>
  </si>
  <si>
    <t>0.042</t>
  </si>
  <si>
    <t>CHA(I)(Z)&gt;KLN(I)(Z)_110L1</t>
  </si>
  <si>
    <t>CHA(I)(Z)&gt;MAL(I)(Z)_110L1</t>
  </si>
  <si>
    <t>CHE(I)(Z)&gt;FAS(I)(Z)_110L1</t>
  </si>
  <si>
    <t>CKG(I)(Z)&gt;CBT(I)(Z)_110L1</t>
  </si>
  <si>
    <t>CKG(I)(Z)&gt;CBT(I)(Z)_110L2</t>
  </si>
  <si>
    <t>CKG(I)(Z)&gt;KUD(I)(Z)_110L1</t>
  </si>
  <si>
    <t>CKM(I)(Z)&gt;CHE(I)(Z)_110L1</t>
  </si>
  <si>
    <t>CKM(I)(Z)&gt;COO(I)(Z)_110L1</t>
  </si>
  <si>
    <t>CKM(I)(Z)&gt;DSN(I)(Z)_220L1</t>
  </si>
  <si>
    <t>0.109</t>
  </si>
  <si>
    <t>CKM(I)(Z)&gt;FAS(I)(Z)_110L1</t>
  </si>
  <si>
    <t>CKM(I)(Z)&gt;FAS(I)(Z)_110L2</t>
  </si>
  <si>
    <t>0.026</t>
  </si>
  <si>
    <t>CKM(I)(Z)&gt;ISH(I)(Z)_220L1</t>
  </si>
  <si>
    <t>0.326</t>
  </si>
  <si>
    <t>CKM(I)(Z)&gt;POT(I)(Z)_110L1</t>
  </si>
  <si>
    <t>0.057</t>
  </si>
  <si>
    <t>CKN(I)(Z)&gt;CGL(I)(Z)_110L1</t>
  </si>
  <si>
    <t>CKN(I)(Z)&gt;GRO(I)(Z)_110L1</t>
  </si>
  <si>
    <t>CKN(I)(Z)&gt;KER(I)(Z)_110L1</t>
  </si>
  <si>
    <t>0.066</t>
  </si>
  <si>
    <t>CLA(I)(Z)&gt;CKN(I)(Z)_110L1</t>
  </si>
  <si>
    <t>CLA(I)(Z)&gt;DMY(I)(Z)_110L1</t>
  </si>
  <si>
    <t>0.126</t>
  </si>
  <si>
    <t>CLA(I)(Z)&gt;KRA(I)(Z)_220L1</t>
  </si>
  <si>
    <t>646</t>
  </si>
  <si>
    <t>CLA(I)(Z)&gt;MAC(I)(Z)_110L1</t>
  </si>
  <si>
    <t>161</t>
  </si>
  <si>
    <t>CLA(I)(Z)&gt;MAC(I)(Z)_110L2</t>
  </si>
  <si>
    <t>CLE(I)(Z)&gt;CDU(I)(Z)_220L1</t>
  </si>
  <si>
    <t>CLE(I)(Z)&gt;WOO(I)(Z)_220L1</t>
  </si>
  <si>
    <t>CLG(I)(Z)&gt;CDU(I)(Z)_110L1</t>
  </si>
  <si>
    <t>CLG(I)(Z)&gt;FIN(I)(Z)_110L1</t>
  </si>
  <si>
    <t>CLH(I)(Z)&gt;TRI(I)(Z)_110L1</t>
  </si>
  <si>
    <t>CLH(I)(Z)&gt;TRL(I)(Z)_110L1</t>
  </si>
  <si>
    <t>CLN(I)(Z)&gt;LA(I)(Z)_110L1</t>
  </si>
  <si>
    <t>0.222</t>
  </si>
  <si>
    <t>CLO(I)(Z)&gt;CF(I)(Z)_110L1</t>
  </si>
  <si>
    <t>CLO(I)(Z)&gt;GOL(I)(T)_110L1</t>
  </si>
  <si>
    <t>CLO(I)(Z)&gt;MRY(I)(Z)_110L1</t>
  </si>
  <si>
    <t>0.09</t>
  </si>
  <si>
    <t>CLW(I)(Z)&gt;KLS(I)(Z)_110L1</t>
  </si>
  <si>
    <t>CLW(I)(Z)&gt;KLS(I)(Z)_110L2</t>
  </si>
  <si>
    <t>CLW(I)(Z)&gt;STR(I)(T)_110L1</t>
  </si>
  <si>
    <t>COL(I)(Z)&gt;CDU(I)(Z)_110L1</t>
  </si>
  <si>
    <t>143</t>
  </si>
  <si>
    <t>COL(I)(Z)&gt;FIN(I)(Z)_110L1</t>
  </si>
  <si>
    <t>COL(N)(Z)&gt;CPS(N)(Z)_110L1</t>
  </si>
  <si>
    <t>0.161</t>
  </si>
  <si>
    <t>COL(N)(Z)&gt;LIM(N)(Z)_110L1</t>
  </si>
  <si>
    <t>COL(N)(Z)&gt;LOG(N)(Z)_110L1</t>
  </si>
  <si>
    <t>COL(N)(Z)&gt;LOG(N)(Z)_110L2</t>
  </si>
  <si>
    <t>COL(N)(Z)&gt;RSK(N)(Z)_110L1</t>
  </si>
  <si>
    <t>0.069</t>
  </si>
  <si>
    <t>186</t>
  </si>
  <si>
    <t>COO(I)(Z)&gt;FTT(I)(Z)_110L1</t>
  </si>
  <si>
    <t>COO(I)(Z)&gt;INC(I)(Z)_110L1</t>
  </si>
  <si>
    <t>COR(I)(Z)&gt;ENN(N)(Z)_110L1</t>
  </si>
  <si>
    <t>COR(I)(Z)&gt;GWE(I)(Z)_110L1</t>
  </si>
  <si>
    <t>COS(I)(Z)&gt;ARI(I)(T)_110L1</t>
  </si>
  <si>
    <t>COS(I)(Z)&gt;FLA(I)(Z)_110L1</t>
  </si>
  <si>
    <t>COS(I)(Z)&gt;FLA(I)(Z)_110L2</t>
  </si>
  <si>
    <t>COW(I)(Z)&gt;OLD(I)(Z)_110L1</t>
  </si>
  <si>
    <t>COW(I)(Z)&gt;OLD(I)(Z)_110L2</t>
  </si>
  <si>
    <t>COW(I)(Z)&gt;RAF(I)(Z)_110L1</t>
  </si>
  <si>
    <t>COW(I)(Z)&gt;WHI(I)(Z)_110L1</t>
  </si>
  <si>
    <t>CPK(I)(Z)&gt;CKM(I)(Z)_110L1</t>
  </si>
  <si>
    <t>100</t>
  </si>
  <si>
    <t>CPK(I)(Z)&gt;TNY(I)(Z)_110L1</t>
  </si>
  <si>
    <t>CPS(N)(Z)&gt;KMT(N)(Z)_110L1</t>
  </si>
  <si>
    <t>CPS(N)(Z)&gt;LIM(N)(Z)_110L1</t>
  </si>
  <si>
    <t>0.101</t>
  </si>
  <si>
    <t>CPS(N)(Z)&gt;LMR(N)(Z)_110L1</t>
  </si>
  <si>
    <t>CPS(N)(Z)&gt;LMR(N)(Z)_110L2</t>
  </si>
  <si>
    <t>CPS(N)(Z)&gt;MAG(N)(Z)_275L1</t>
  </si>
  <si>
    <t>0.151</t>
  </si>
  <si>
    <t>412</t>
  </si>
  <si>
    <t>CPS(N)(Z)&gt;MAG(N)(Z)_275L2</t>
  </si>
  <si>
    <t>CPS(N)(Z)&gt;SPR(N)(Z)_110L1</t>
  </si>
  <si>
    <t>CPS(N)(Z)&gt;SPR(N)(Z)_110L2</t>
  </si>
  <si>
    <t>CPS(N)(Z)&gt;STR(N)(Z)_110L1</t>
  </si>
  <si>
    <t>CRA(I)(Z)&gt;LWD(I)(Z)_110L1</t>
  </si>
  <si>
    <t>CRA(I)(Z)&gt;WEX(I)(Z)_110L1</t>
  </si>
  <si>
    <t>CRG(N)(Z)&gt;KEL(N)(Z)_110L1</t>
  </si>
  <si>
    <t>CRG(N)(Z)&gt;TMN(N)(Z)_110L1</t>
  </si>
  <si>
    <t>0.119</t>
  </si>
  <si>
    <t>CRM(I)(Z)&gt;KLM(I)(Z)_110L1</t>
  </si>
  <si>
    <t>CRM(I)(Z)&gt;KLM(I)(Z)_110L2</t>
  </si>
  <si>
    <t>CRO(I)(Z)&gt;IA(I)(Z)_110L1</t>
  </si>
  <si>
    <t>CRO(I)(Z)&gt;KBY(I)(Z)_110L1</t>
  </si>
  <si>
    <t>CSH(I)(Z)&gt;CLN(I)(Z)_110L1</t>
  </si>
  <si>
    <t>0.074</t>
  </si>
  <si>
    <t>CSH(I)(Z)&gt;DLT(I)(Z)_110L1</t>
  </si>
  <si>
    <t>0.205</t>
  </si>
  <si>
    <t>CSH(I)(Z)&gt;ENN(I)(Z)_110L1</t>
  </si>
  <si>
    <t>0.174</t>
  </si>
  <si>
    <t>CSH(I)(Z)&gt;FLA(I)(Z)_220L1</t>
  </si>
  <si>
    <t>0.115</t>
  </si>
  <si>
    <t>350</t>
  </si>
  <si>
    <t>CSH(I)(Z)&gt;GAL(I)(Z)_110L1</t>
  </si>
  <si>
    <t>CSH(I)(Z)&gt;GAL(I)(Z)_110L2</t>
  </si>
  <si>
    <t>CSH(I)(Z)&gt;GAL(I)(Z)_110L3</t>
  </si>
  <si>
    <t>CSH(I)(Z)&gt;PRO(I)(Z)_220L1</t>
  </si>
  <si>
    <t>392</t>
  </si>
  <si>
    <t>CSH(I)(Z)&gt;SAL(I)(Z)_110L1</t>
  </si>
  <si>
    <t>97</t>
  </si>
  <si>
    <t>CSH(I)(Z)&gt;SOM(I)(T)_110L1</t>
  </si>
  <si>
    <t>0.172</t>
  </si>
  <si>
    <t>CSH(I)(Z)&gt;TYN(I)(Z)_220L1</t>
  </si>
  <si>
    <t>CTN(I)(Z)&gt;TIP(I)(Z)_110L1</t>
  </si>
  <si>
    <t>CTY(I)(Z)&gt;FTT(I)(Z)_110L1</t>
  </si>
  <si>
    <t>CTY(I)(Z)&gt;INC(I)(Z)_110L1</t>
  </si>
  <si>
    <t>CUL(I)(Z)&gt;DGN(I)(Z)_110L1</t>
  </si>
  <si>
    <t>CUL(I)(Z)&gt;GI(I)(Z)_220L1</t>
  </si>
  <si>
    <t>746</t>
  </si>
  <si>
    <t>CUL(I)(Z)&gt;KRA(I)(Z)_220L1</t>
  </si>
  <si>
    <t>0.117</t>
  </si>
  <si>
    <t>CUL(I)(Z)&gt;WAT(I)(Z)_110L1</t>
  </si>
  <si>
    <t>CUN(I)(Z)&gt;GLR(I)(Z)_110L1</t>
  </si>
  <si>
    <t>CUN(I)(Z)&gt;SLI(I)(Z)_110L1</t>
  </si>
  <si>
    <t>CUR(I)(Z)&gt;BKM(I)(Z)_110L1</t>
  </si>
  <si>
    <t>0.192</t>
  </si>
  <si>
    <t>190</t>
  </si>
  <si>
    <t>CUR(I)(Z)&gt;NEN(I)(Z)_110L1</t>
  </si>
  <si>
    <t>CUS(I)(Z)&gt;MLC(I)(Z)_110L1</t>
  </si>
  <si>
    <t>CUS(I)(Z)&gt;NEW(I)(Z)_110L1</t>
  </si>
  <si>
    <t>0.082</t>
  </si>
  <si>
    <t>134</t>
  </si>
  <si>
    <t>CUS(I)(Z)&gt;PLS(I)(Z)_110L1</t>
  </si>
  <si>
    <t>0.14</t>
  </si>
  <si>
    <t>CVW(I)(Z)&gt;COW(I)(Z)_110L1</t>
  </si>
  <si>
    <t>CVW(I)(Z)&gt;DKL(I)(Z)_110L1</t>
  </si>
  <si>
    <t>CVW(I)(Z)&gt;KRA(I)(Z)_110L1</t>
  </si>
  <si>
    <t>DAL(I)(Z)&gt;DAL(I)(T)_110L1</t>
  </si>
  <si>
    <t>DDK(I)(Z)&gt;LOU(I)(Z)_110L1</t>
  </si>
  <si>
    <t>DDK(I)(Z)&gt;MLN(I)(Z)_110L1</t>
  </si>
  <si>
    <t>DER(I)(Z)&gt;KIN(I)(Z)_110L1</t>
  </si>
  <si>
    <t>DER(I)(Z)&gt;TEN(I)(Z)_110L1</t>
  </si>
  <si>
    <t>74</t>
  </si>
  <si>
    <t>TEN(I)(Z)&gt;MAY(I)(Z)_110L1</t>
  </si>
  <si>
    <t>DER(I)(Z)&gt;TSB(I)(Z)_110L1</t>
  </si>
  <si>
    <t>DEY(I)(Z)&gt;DAL(I)(T)_110L1</t>
  </si>
  <si>
    <t>DEY(I)(Z)&gt;PLS(I)(Z)_110L1</t>
  </si>
  <si>
    <t>DGN(I)(Z)&gt;WHE(I)(Z)_110L1</t>
  </si>
  <si>
    <t>DMY(I)(Z)&gt;CDN(I)(Z)_110L1</t>
  </si>
  <si>
    <t>211</t>
  </si>
  <si>
    <t>DMY(I)(Z)&gt;MAC(I)(Z)_110L1</t>
  </si>
  <si>
    <t>DON(N)(Z)&gt;FIN(N)(Z)_110L1</t>
  </si>
  <si>
    <t>DON(N)(Z)&gt;FIN(N)(Z)_110L2</t>
  </si>
  <si>
    <t>DON(N)(Z)&gt;HAN(N)(Z)_110L1</t>
  </si>
  <si>
    <t>DON(N)(Z)&gt;HAN(N)(Z)_110L2</t>
  </si>
  <si>
    <t>DRM(I)(Z)&gt;CLO(I)(Z)_110L1</t>
  </si>
  <si>
    <t>DRM(I)(Z)&gt;LET(I)(Z)_110L1</t>
  </si>
  <si>
    <t>DRM(I)(Z)&gt;MEE(I)(Z)_110L1</t>
  </si>
  <si>
    <t>DRO(N)(Z)&gt;ENN(N)(Z)_110L1</t>
  </si>
  <si>
    <t>0.032</t>
  </si>
  <si>
    <t>DRO(N)(Z)&gt;ENN(N)(Z)_110L2</t>
  </si>
  <si>
    <t>DRO(N)(Z)&gt;OMA(N)(Z)_110L1</t>
  </si>
  <si>
    <t>0.047</t>
  </si>
  <si>
    <t>DRO(N)(Z)&gt;OMA(N)(Z)_110L2</t>
  </si>
  <si>
    <t>DRQ(N)(Z)&gt;DRO(N)(Z)_110L1</t>
  </si>
  <si>
    <t>DRU(I)(Z)&gt;ENN(I)(Z)_110L1</t>
  </si>
  <si>
    <t>DRU(N)(Z)&gt;TAN(N)(Z)_110L1</t>
  </si>
  <si>
    <t>DRU(N)(Z)&gt;TAN(N)(Z)_110L2</t>
  </si>
  <si>
    <t>DRU(N)(Z)&gt;TAN(N)(Z)_110L3</t>
  </si>
  <si>
    <t>108</t>
  </si>
  <si>
    <t>DRU(N)(Z)&gt;TMN(N)(Z)_110L1</t>
  </si>
  <si>
    <t>DRU(N)(Z)&gt;TMN(N)(Z)_110L2</t>
  </si>
  <si>
    <t>DRY(I)(Z)&gt;GOR(I)(Z)_110L1</t>
  </si>
  <si>
    <t>DRY(I)(Z)&gt;LOU(I)(Z)_110L1</t>
  </si>
  <si>
    <t>DRY(I)(Z)&gt;PLA(I)(Z)_110L1</t>
  </si>
  <si>
    <t>DSN(I)(Z)&gt;KLS(I)(Z)_220L1</t>
  </si>
  <si>
    <t>DSN(I)(Z)&gt;MAY(I)(Z)_220L1</t>
  </si>
  <si>
    <t>DSN(I)(Z)&gt;MAY(I)(Z)_220L2</t>
  </si>
  <si>
    <t>DSN(I)(Z)&gt;MAY(I)(Z)_220L3</t>
  </si>
  <si>
    <t>0.040</t>
  </si>
  <si>
    <t>DSN(I)(Z)&gt;MP(I)(Z)_380L1</t>
  </si>
  <si>
    <t>1.14</t>
  </si>
  <si>
    <t>DSN(I)(Z)&gt;TH(I)(Z)_220L1</t>
  </si>
  <si>
    <t>0.144</t>
  </si>
  <si>
    <t>351</t>
  </si>
  <si>
    <t>DTN(I)(Z)&gt;BLC(I)(Z)_110L1</t>
  </si>
  <si>
    <t>DTN(I)(Z)&gt;FIN(I)(Z)_110L1</t>
  </si>
  <si>
    <t>DTN(I)(Z)&gt;KLM(I)(Z)_110L1</t>
  </si>
  <si>
    <t>DUN(N)(Z)&gt;OMA(N)(Z)_110L1</t>
  </si>
  <si>
    <t>0.124</t>
  </si>
  <si>
    <t>DUN(N)(Z)&gt;TMN(N)(Z)_110L1</t>
  </si>
  <si>
    <t>157</t>
  </si>
  <si>
    <t>DUN(N)(Z)&gt;TMN(N)(Z)_110L2</t>
  </si>
  <si>
    <t>DUN(N)(Z)&gt;TMN(N)(Z)_110L3</t>
  </si>
  <si>
    <t>ENN(I)(Z)&gt;SLC(I)(Z)_110L1</t>
  </si>
  <si>
    <t>0.271</t>
  </si>
  <si>
    <t>FAS(I)(Z)&gt;FAS(I)(Z)_110L1</t>
  </si>
  <si>
    <t>FIN(I)(Z)&gt;GLA(I)(Z)_110L1</t>
  </si>
  <si>
    <t>FIN(I)(Z)&gt;GRA(I)(Z)_110L1</t>
  </si>
  <si>
    <t>0.236</t>
  </si>
  <si>
    <t>FIN(I)(Z)&gt;HN(I)(Z)_220L1</t>
  </si>
  <si>
    <t>FIN(I)(Z)&gt;MCD(I)(Z)_110L1</t>
  </si>
  <si>
    <t>0.141</t>
  </si>
  <si>
    <t>FIN(I)(Z)&gt;NW(I)(Z)_220L1</t>
  </si>
  <si>
    <t>0.67</t>
  </si>
  <si>
    <t>332</t>
  </si>
  <si>
    <t>FIN(I)(Z)&gt;POP(I)(Z)_110L1</t>
  </si>
  <si>
    <t>FIN(I)(Z)&gt;PTN(I)(Z)_110L1</t>
  </si>
  <si>
    <t>FIN(I)(Z)&gt;SHL(I)(Z)_220L1</t>
  </si>
  <si>
    <t>0.367</t>
  </si>
  <si>
    <t>FIN(I)(Z)&gt;SVN(I)(Z)_110L1</t>
  </si>
  <si>
    <t>0.056</t>
  </si>
  <si>
    <t>FIN(N)(Z)&gt;HAN(N)(Z)_110L1</t>
  </si>
  <si>
    <t>FIN(N)(Z)&gt;HAN(N)(Z)_110L2</t>
  </si>
  <si>
    <t>FLA(I)(Z)&gt;GIL(I)(Z)_110L1</t>
  </si>
  <si>
    <t>FLA(I)(Z)&gt;LOU(I)(Z)_220L1</t>
  </si>
  <si>
    <t>0.098</t>
  </si>
  <si>
    <t>0.145</t>
  </si>
  <si>
    <t>384</t>
  </si>
  <si>
    <t>FLA(I)(Z)&gt;SLB(I)(Z)_110L1</t>
  </si>
  <si>
    <t>FLA(I)(Z)&gt;SLI(I)(Z)_110L1</t>
  </si>
  <si>
    <t>FLA(I)(Z)&gt;SRA(I)(Z)_220L1</t>
  </si>
  <si>
    <t>FLA(I)(Z)&gt;TON(I)(Z)_110L1</t>
  </si>
  <si>
    <t>98</t>
  </si>
  <si>
    <t>FRS(I)(Z)&gt;HAR(I)(Z)_110L1</t>
  </si>
  <si>
    <t>107</t>
  </si>
  <si>
    <t>FRS(I)(Z)&gt;HEU(I)(Z)_110L1</t>
  </si>
  <si>
    <t>FRS(I)(Z)&gt;INC(I)(Z)_110L1</t>
  </si>
  <si>
    <t>FRS(I)(Z)&gt;TRN(I)(Z)_110L1</t>
  </si>
  <si>
    <t>GAL(I)(Z)&gt;SAL(I)(Z)_110L1</t>
  </si>
  <si>
    <t>GAL(I)(Z)&gt;SEE(I)(Z)_110L1</t>
  </si>
  <si>
    <t>0.138</t>
  </si>
  <si>
    <t>CDU(I)(Z)&gt;GAN(I)(Z)_110L1</t>
  </si>
  <si>
    <t>GCA(I)(Z)&gt;GRI(I)(T)_110L1</t>
  </si>
  <si>
    <t>GCA(I)(Z)&gt;INC(I)(Z)_110L1</t>
  </si>
  <si>
    <t>GCA(I)(Z)&gt;INC(I)(Z)_110L2</t>
  </si>
  <si>
    <t>GCA(I)(Z)&gt;NAN(I)(Z)_110L1</t>
  </si>
  <si>
    <t>GCA(I)(Z)&gt;NAN(I)(Z)_110L2</t>
  </si>
  <si>
    <t>GGO(I)(Z)&gt;RAF(I)(Z)_220L1</t>
  </si>
  <si>
    <t>0.414</t>
  </si>
  <si>
    <t>GI(I)(Z)&gt;KKY(I)(Z)_110L1</t>
  </si>
  <si>
    <t>GI(I)(Z)&gt;KLS(I)(Z)_220L1</t>
  </si>
  <si>
    <t>GI(I)(Z)&gt;LWD(I)(Z)_220L1</t>
  </si>
  <si>
    <t>GI(I)(Z)&gt;LWN(I)(Z)_220L1</t>
  </si>
  <si>
    <t>GI(I)(Z)&gt;WAT(I)(Z)_110L1</t>
  </si>
  <si>
    <t>GI(I)(Z)&gt;WAT(I)(Z)_110L2</t>
  </si>
  <si>
    <t>GI(I)(Z)&gt;ROP(I)(Z)_110L1</t>
  </si>
  <si>
    <t>ROP(I)(Z)&gt;WEX(I)(Z)_110L1</t>
  </si>
  <si>
    <t>GLA(I)(Z)&gt;SVN(I)(Z)_110L1</t>
  </si>
  <si>
    <t>0.052</t>
  </si>
  <si>
    <t>GLE(I)(Z)&gt;KCR(I)(Z)_110L1</t>
  </si>
  <si>
    <t>GLE(N)(Z)&gt;KEL(N)(Z)_110L1</t>
  </si>
  <si>
    <t>GLE(N)(Z)&gt;KEL(N)(Z)_110L2</t>
  </si>
  <si>
    <t>GOL(I)(Z)&gt;GOL(I)(T)_110L1</t>
  </si>
  <si>
    <t>GOR(I)(Z)&gt;LOU(I)(Z)_220L1</t>
  </si>
  <si>
    <t>GOR(I)(Z)&gt;MAY(I)(Z)_220L1</t>
  </si>
  <si>
    <t>GOR(I)(Z)&gt;MTH(I)(Z)_110L1</t>
  </si>
  <si>
    <t>0.087</t>
  </si>
  <si>
    <t>GOR(I)(Z)&gt;NAV(I)(Z)_110L1</t>
  </si>
  <si>
    <t>GOR(I)(Z)&gt;NAV(I)(Z)_110L2</t>
  </si>
  <si>
    <t>GOR(I)(Z)&gt;NAV(I)(Z)_110L3</t>
  </si>
  <si>
    <t>GOR(I)(Z)&gt;GRH(I)(Z)_110L1</t>
  </si>
  <si>
    <t>GRH(I)(Z)&gt;PLA(I)(Z)_110L1</t>
  </si>
  <si>
    <t>GOR(N)(Z)&gt;OMA(N)(Z)_110L1</t>
  </si>
  <si>
    <t>GOR(N)(Z)&gt;TMN(N)(Z)_110L1</t>
  </si>
  <si>
    <t>GRA(I)(Z)&gt;NBY(I)(Z)_110L1</t>
  </si>
  <si>
    <t>GRI(I)(T)&gt;MAY(I)(Z)_110L1</t>
  </si>
  <si>
    <t>GRI(I)(Z)&gt;GRI(I)(T)_110L1</t>
  </si>
  <si>
    <t>GRO(I)(Z)&gt;BVK(I)(Z)_110L1</t>
  </si>
  <si>
    <t>HAN(N)(Z)&gt;BYC(N)(Z)_275L1</t>
  </si>
  <si>
    <t>0.112</t>
  </si>
  <si>
    <t>HAN(N)(Z)&gt;LIS(N)(Z)_110L1</t>
  </si>
  <si>
    <t>HAN(N)(Z)&gt;LIS(N)(Z)_110L2</t>
  </si>
  <si>
    <t>HAR(I)(Z)&gt;RE(I)(Z)_110L1</t>
  </si>
  <si>
    <t>HEU(I)(Z)&gt;INC(I)(Z)_110L1</t>
  </si>
  <si>
    <t>IA(I)(Z)&gt;MAC(I)(Z)_110L1</t>
  </si>
  <si>
    <t>IKE(I)(Z)&gt;IKE(I)(T)_110L1</t>
  </si>
  <si>
    <t>INC(I)(Z)&gt;ISH(I)(Z)_220L1</t>
  </si>
  <si>
    <t>0.33</t>
  </si>
  <si>
    <t>562</t>
  </si>
  <si>
    <t>INC(I)(Z)&gt;MIL(I)(Z)_110L1</t>
  </si>
  <si>
    <t>INC(I)(Z)&gt;PB(I)(Z)_220L1</t>
  </si>
  <si>
    <t>0.498</t>
  </si>
  <si>
    <t>267</t>
  </si>
  <si>
    <t>INC(I)(Z)&gt;PB(I)(Z)_220L2</t>
  </si>
  <si>
    <t>0.722</t>
  </si>
  <si>
    <t>ISH(I)(Z)&gt;SHL(I)(Z)_220L1</t>
  </si>
  <si>
    <t>KBY(I)(Z)&gt;KRA(I)(Z)_110L1</t>
  </si>
  <si>
    <t>KBY(I)(Z)&gt;KRA(I)(Z)_110L2</t>
  </si>
  <si>
    <t>KBY(I)(Z)&gt;MAL(I)(Z)_110L1</t>
  </si>
  <si>
    <t>KBY(I)(Z)&gt;MR(I)(Z)_110L1</t>
  </si>
  <si>
    <t>KBY(I)(Z)&gt;MR(I)(Z)_110L2</t>
  </si>
  <si>
    <t>KEL(N)(Z)&gt;KPS(N)(Z)_275L1</t>
  </si>
  <si>
    <t>KEL(N)(Z)&gt;KPS(N)(Z)_275L2</t>
  </si>
  <si>
    <t>KEL(N)(Z)&gt;MAG(N)(Z)_275L1</t>
  </si>
  <si>
    <t>KEL(N)(Z)&gt;RSK(N)(Z)_110L1</t>
  </si>
  <si>
    <t>0.133</t>
  </si>
  <si>
    <t>185</t>
  </si>
  <si>
    <t>KER(I)(Z)&gt;OUG(I)(T)_110L1</t>
  </si>
  <si>
    <t>KIN(I)(Z)&gt;MUL(I)(Z)_110L1</t>
  </si>
  <si>
    <t>KLH(I)(Z)&gt;THU(I)(Z)_110L1</t>
  </si>
  <si>
    <t>KLM(I)(Z)&gt;NBY(I)(Z)_110L1</t>
  </si>
  <si>
    <t>KLM(I)(Z)&gt;POP(I)(Z)_110L1</t>
  </si>
  <si>
    <t>KLN(I)(Z)&gt;CUR(I)(Z)_110L1</t>
  </si>
  <si>
    <t>KLN(I)(Z)&gt;KPG(I)(Z)_220L1</t>
  </si>
  <si>
    <t>KLN(I)(Z)&gt;KRA(I)(Z)_220L1</t>
  </si>
  <si>
    <t>512</t>
  </si>
  <si>
    <t>KLN(I)(Z)&gt;LIM(I)(Z)_110L1</t>
  </si>
  <si>
    <t>KLN(I)(Z)&gt;LIM(I)(Z)_110L2</t>
  </si>
  <si>
    <t>KLN(I)(Z)&gt;SH(I)(Z)_220L1</t>
  </si>
  <si>
    <t>269</t>
  </si>
  <si>
    <t>KLN(I)(Z)&gt;SNG(I)(Z)_110L1</t>
  </si>
  <si>
    <t>KLP(I)(Z)&gt;CNG(I)(Z)_110L1</t>
  </si>
  <si>
    <t>KLP(I)(Z)&gt;KNR(I)(Z)_110L1</t>
  </si>
  <si>
    <t>KLP(I)(Z)&gt;KNR(I)(Z)_220L1</t>
  </si>
  <si>
    <t>731</t>
  </si>
  <si>
    <t>KLP(I)(Z)&gt;KNR(I)(Z)_220L2</t>
  </si>
  <si>
    <t>0.971</t>
  </si>
  <si>
    <t>KLP(I)(Z)&gt;MP(I)(Z)_220L1</t>
  </si>
  <si>
    <t>660</t>
  </si>
  <si>
    <t>KLP(I)(Z)&gt;MP(I)(Z)_220L2</t>
  </si>
  <si>
    <t>KLP(I)(Z)&gt;RAT(I)(Z)_110L1</t>
  </si>
  <si>
    <t>0.033</t>
  </si>
  <si>
    <t>KLP(I)(Z)&gt;TB(I)(Z)_110L1</t>
  </si>
  <si>
    <t>KLP(I)(Z)&gt;TB(I)(Z)_110L2</t>
  </si>
  <si>
    <t>KLP(I)(Z)&gt;TB(I)(Z)_220L1</t>
  </si>
  <si>
    <t>KLP(I)(Z)&gt;TB(I)(Z)_220L2</t>
  </si>
  <si>
    <t>KLP(I)(Z)&gt;TRL(I)(Z)_110L1</t>
  </si>
  <si>
    <t>0.135</t>
  </si>
  <si>
    <t>KLP(I)(Z)&gt;TRL(I)(Z)_110L2</t>
  </si>
  <si>
    <t>KLS(I)(Z)&gt;KKY(I)(Z)_110L1</t>
  </si>
  <si>
    <t>KMT(N)(Z)&gt;SLK(N)(Z)_110L1</t>
  </si>
  <si>
    <t>KMT(N)(Z)&gt;STR(N)(Z)_110L1</t>
  </si>
  <si>
    <t>KNR(I)(Z)&gt;BYH(I)(Z)_220L1</t>
  </si>
  <si>
    <t>KNR(I)(Z)&gt;TRI(I)(Z)_110L1</t>
  </si>
  <si>
    <t>KNR(I)(Z)&gt;TRI(I)(Z)_110L2</t>
  </si>
  <si>
    <t>KNY(I)(Z)&gt;BUF(I)(Z)_110L1</t>
  </si>
  <si>
    <t>KNY(I)(Z)&gt;KLH(I)(Z)_110L1</t>
  </si>
  <si>
    <t>KNY(I)(Z)&gt;SAL(I)(Z)_110L1</t>
  </si>
  <si>
    <t>KNY(I)(Z)&gt;SCR(I)(Z)_110L1</t>
  </si>
  <si>
    <t>0.108</t>
  </si>
  <si>
    <t>135</t>
  </si>
  <si>
    <t>KNY(I)(Z)&gt;UGL(I)(Z)_110L1</t>
  </si>
  <si>
    <t>KPS(N)(Z)&gt;TAN(N)(Z)_275L1</t>
  </si>
  <si>
    <t>0.206</t>
  </si>
  <si>
    <t>KRA(I)(Z)&gt;BAR(I)(T)_110L1</t>
  </si>
  <si>
    <t>KRA(I)(Z)&gt;MEN(I)(Z)_110L1</t>
  </si>
  <si>
    <t>KRA(I)(Z)&gt;MID(I)(Z)_110L1</t>
  </si>
  <si>
    <t>KRA(I)(Z)&gt;RAF(I)(Z)_220L1</t>
  </si>
  <si>
    <t>353</t>
  </si>
  <si>
    <t>KRA(I)(Z)&gt;WHO(I)(Z)_110L1</t>
  </si>
  <si>
    <t>KTL(I)(Z)&gt;MAY(I)(Z)_110L1</t>
  </si>
  <si>
    <t>KTL(I)(Z)&gt;MON(I)(Z)_110L1</t>
  </si>
  <si>
    <t>KTN(I)(Z)&gt;WAT(I)(Z)_110L1</t>
  </si>
  <si>
    <t>KUD(I)(Z)&gt;CBT(I)(Z)_110L1</t>
  </si>
  <si>
    <t>KUR(I)(Z)&gt;NAV(I)(Z)_110L1</t>
  </si>
  <si>
    <t>LA(I)(Z)&gt;MUL(I)(Z)_110L1</t>
  </si>
  <si>
    <t>LA(I)(Z)&gt;RIC(I)(Z)_110L1</t>
  </si>
  <si>
    <t>LA(I)(Z)&gt;RIC(I)(Z)_110L2</t>
  </si>
  <si>
    <t>LA(I)(Z)&gt;SLB(I)(Z)_110L1</t>
  </si>
  <si>
    <t>LET(I)(Z)&gt;GOL(I)(T)_110L1</t>
  </si>
  <si>
    <t>0.132</t>
  </si>
  <si>
    <t>LET(I)(Z)&gt;STR(N)(Z)_110L1</t>
  </si>
  <si>
    <t>LET(I)(Z)&gt;TIV(I)(Z)_110L1</t>
  </si>
  <si>
    <t>LET(I)(Z)&gt;TLK(I)(Z)_110L1</t>
  </si>
  <si>
    <t>LIB(I)(Z)&gt;MR(I)(Z)_110L1</t>
  </si>
  <si>
    <t>LIB(I)(Z)&gt;MR(I)(Z)_110L2</t>
  </si>
  <si>
    <t>LIM(I)(Z)&gt;MTN(I)(Z)_110L1</t>
  </si>
  <si>
    <t>LIM(I)(Z)&gt;RAT(I)(Z)_110L1</t>
  </si>
  <si>
    <t>LIS(I)(Z)&gt;LOU(I)(Z)_110L1</t>
  </si>
  <si>
    <t>0.139</t>
  </si>
  <si>
    <t>LIS(I)(Z)&gt;LSA(I)(T)_110L1</t>
  </si>
  <si>
    <t>LSA(I)(T)&gt;SKL(I)(Z)_110L1</t>
  </si>
  <si>
    <t>LIS(N)(Z)&gt;TAN(N)(Z)_110L1</t>
  </si>
  <si>
    <t>0.106</t>
  </si>
  <si>
    <t>LIS(N)(Z)&gt;TAN(N)(Z)_110L2</t>
  </si>
  <si>
    <t>0.1</t>
  </si>
  <si>
    <t>LOU(I)(Z)&gt;MLN(I)(Z)_110L1</t>
  </si>
  <si>
    <t>LOU(I)(Z)&gt;MTH(I)(Z)_110L1</t>
  </si>
  <si>
    <t>LOU(I)(Z)&gt;RRU(I)(Z)_110L1</t>
  </si>
  <si>
    <t>95</t>
  </si>
  <si>
    <t>LOU(I)(Z)&gt;TAN(N)(Z)_275L1</t>
  </si>
  <si>
    <t>0.127</t>
  </si>
  <si>
    <t>LOU(I)(Z)&gt;TAN(N)(Z)_275L2</t>
  </si>
  <si>
    <t>LOU(I)(Z)&gt;WOO(I)(Z)_220L1</t>
  </si>
  <si>
    <t>LSA(I)(Z)&gt;LSA(I)(T)_110L1</t>
  </si>
  <si>
    <t>LSN(I)(Z)&gt;THU(I)(Z)_110L1</t>
  </si>
  <si>
    <t>MAG(N)(Z)&gt;TMN(N)(Z)_275L1</t>
  </si>
  <si>
    <t>MAG(N)(Z)&gt;TMN(N)(Z)_275L2</t>
  </si>
  <si>
    <t>MAY(I)(Z)&gt;BLK(I)(Z)_110L1</t>
  </si>
  <si>
    <t>0.103</t>
  </si>
  <si>
    <t>MAY(I)(Z)&gt;GRI(I)(Z)_110L1</t>
  </si>
  <si>
    <t>MAY(I)(Z)&gt;RNW(I)(Z)_110L1</t>
  </si>
  <si>
    <t>MAY(I)(Z)&gt;RYB(I)(Z)_110L1</t>
  </si>
  <si>
    <t>MAY(I)(Z)&gt;SH(I)(Z)_220L1</t>
  </si>
  <si>
    <t>0.142</t>
  </si>
  <si>
    <t>MAY(I)(Z)&gt;TH(I)(Z)_220L1</t>
  </si>
  <si>
    <t>0.184</t>
  </si>
  <si>
    <t>325</t>
  </si>
  <si>
    <t>MAY(I)(Z)&gt;WOO(I)(Z)_220L1</t>
  </si>
  <si>
    <t>MCD(I)(Z)&gt;NQS(I)(Z)_110L1</t>
  </si>
  <si>
    <t>MCD(I)(Z)&gt;WOL(I)(Z)_110L1</t>
  </si>
  <si>
    <t>MHL(I)(Z)&gt;RE(I)(Z)_110L1</t>
  </si>
  <si>
    <t>MHL(I)(Z)&gt;TRN(I)(Z)_110L1</t>
  </si>
  <si>
    <t>MID(I)(Z)&gt;WHI(I)(Z)_110L1</t>
  </si>
  <si>
    <t>MIL(I)(Z)&gt;RE(I)(Z)_110L1</t>
  </si>
  <si>
    <t>MIL(I)(Z)&gt;RE(I)(Z)_110L2</t>
  </si>
  <si>
    <t>MKL(N)(Z)&gt;OMA(N)(Z)_110L1</t>
  </si>
  <si>
    <t>0.113</t>
  </si>
  <si>
    <t>139</t>
  </si>
  <si>
    <t>MLC(I)(Z)&gt;TSB(I)(Z)_110L1</t>
  </si>
  <si>
    <t>MOY(I)(Z)&gt;TAW(I)(Z)_110L1</t>
  </si>
  <si>
    <t>MOY(I)(Z)&gt;TAW(I)(Z)_110L2</t>
  </si>
  <si>
    <t>MP(I)(Z)&gt;OST(I)(Z)_380L1</t>
  </si>
  <si>
    <t>0.489</t>
  </si>
  <si>
    <t>MP(I)(Z)&gt;PRO(I)(Z)_220L1</t>
  </si>
  <si>
    <t>537</t>
  </si>
  <si>
    <t>MP(I)(Z)&gt;TBK(I)(T)_110L1</t>
  </si>
  <si>
    <t>MR(I)(Z)&gt;TBG(I)(Z)_110L1</t>
  </si>
  <si>
    <t>MR(I)(Z)&gt;TBG(I)(Z)_110L2</t>
  </si>
  <si>
    <t>MTN(I)(Z)&gt;MUN(I)(Z)_110L1</t>
  </si>
  <si>
    <t>MTN(I)(Z)&gt;MUN(I)(Z)_110L2</t>
  </si>
  <si>
    <t>NEW(I)(Z)&gt;BLK(I)(Z)_110L1</t>
  </si>
  <si>
    <t>NEW(I)(Z)&gt;PLS(I)(Z)_110L1</t>
  </si>
  <si>
    <t>0.146</t>
  </si>
  <si>
    <t>NEW(N)(Z)&gt;TAN(N)(Z)_110L1</t>
  </si>
  <si>
    <t>NEW(N)(Z)&gt;TAN(N)(Z)_110L2</t>
  </si>
  <si>
    <t>NQS(I)(Z)&gt;RE(I)(Z)_110L1</t>
  </si>
  <si>
    <t>NW(I)(Z)&gt;PB(I)(Z)_220L1</t>
  </si>
  <si>
    <t>0.261</t>
  </si>
  <si>
    <t>OMA(N)(Z)&gt;STR(N)(Z)_110L1</t>
  </si>
  <si>
    <t>OMA(N)(Z)&gt;STR(N)(Z)_110L2</t>
  </si>
  <si>
    <t>0.125</t>
  </si>
  <si>
    <t>OMA(N)(Z)&gt;TRE(N)(Z)_110L1</t>
  </si>
  <si>
    <t>ONH(I)(Z)&gt;MOY(I)(Z)_110L1</t>
  </si>
  <si>
    <t>OST(I)(Z)&gt;TYN(I)(Z)_220L1</t>
  </si>
  <si>
    <t>OST(I)(Z)&gt;WOO(I)(Z)_380L1</t>
  </si>
  <si>
    <t>0.572</t>
  </si>
  <si>
    <t>OUG(I)(Z)&gt;OUG(I)(T)_110L1</t>
  </si>
  <si>
    <t>PA(I)(Z)&gt;STR(I)(T)_110L1</t>
  </si>
  <si>
    <t>PB(I)(Z)&gt;CKM(I)(Z)_220L1</t>
  </si>
  <si>
    <t>0.579</t>
  </si>
  <si>
    <t>PB(I)(Z)&gt;PB(I)(Z)_220L1</t>
  </si>
  <si>
    <t>450</t>
  </si>
  <si>
    <t>PB(I)(Z)&gt;RE(I)(Z)_110L1</t>
  </si>
  <si>
    <t>PB(I)(Z)&gt;RE(I)(Z)_110L2</t>
  </si>
  <si>
    <t>PB(I)(Z)&gt;SHL(I)(Z)_220L1</t>
  </si>
  <si>
    <t>PRO(I)(Z)&gt;TB(I)(Z)_220L1</t>
  </si>
  <si>
    <t>0.173</t>
  </si>
  <si>
    <t>467</t>
  </si>
  <si>
    <t>RAF(I)(Z)&gt;RSY(I)(Z)_110L1</t>
  </si>
  <si>
    <t>RAF(I)(Z)&gt;TBG(I)(Z)_110L1</t>
  </si>
  <si>
    <t>RAF(I)(Z)&gt;TBG(I)(Z)_110L2</t>
  </si>
  <si>
    <t>RE(I)(Z)&gt;WBK(I)(Z)_110L1</t>
  </si>
  <si>
    <t>125</t>
  </si>
  <si>
    <t>REM(I)(Z)&gt;TRL(I)(Z)_110L1</t>
  </si>
  <si>
    <t>0.11</t>
  </si>
  <si>
    <t>0.085</t>
  </si>
  <si>
    <t>RRU(I)(Z)&gt;SKL(I)(Z)_110L1</t>
  </si>
  <si>
    <t>SBH(I)(Z)&gt;MCE(I)(Z)_110L1</t>
  </si>
  <si>
    <t>SH(I)(Z)&gt;DAL(I)(T)_110L1</t>
  </si>
  <si>
    <t>SH(I)(Z)&gt;IKE(I)(T)_110L1</t>
  </si>
  <si>
    <t>0.175</t>
  </si>
  <si>
    <t>SH(I)(Z)&gt;SOM(I)(T)_110L1</t>
  </si>
  <si>
    <t>SLI(I)(Z)&gt;SRA(I)(Z)_110L1</t>
  </si>
  <si>
    <t>SLI(I)(Z)&gt;SRA(I)(Z)_110L2</t>
  </si>
  <si>
    <t>SOM(I)(Z)&gt;SOM(I)(T)_110L1</t>
  </si>
  <si>
    <t>SOR(I)(Z)&gt;TLK(I)(Z)_110L1</t>
  </si>
  <si>
    <t>STR(I)(Z)&gt;STR(I)(T)_110L1</t>
  </si>
  <si>
    <t>TAN(N)(Z)&gt;TMN(N)(Z)_275L1</t>
  </si>
  <si>
    <t>TAN(N)(Z)&gt;TMN(N)(Z)_275L2</t>
  </si>
  <si>
    <t>TAN(N)(Z)&gt;WAR(N)(Z)_110L1</t>
  </si>
  <si>
    <t>TAN(N)(Z)&gt;WAR(N)(Z)_110L2</t>
  </si>
  <si>
    <t>TBK(I)(Z)&gt;TBK(I)(T)_110L1</t>
  </si>
  <si>
    <t>THU(I)(Z)&gt;IKE(I)(T)_110L1</t>
  </si>
  <si>
    <t>TRE(N)(Z)&gt;TMN(N)(Z)_110L1</t>
  </si>
  <si>
    <t>TRL(I)(Z)&gt;OUG(I)(T)_110L1</t>
  </si>
  <si>
    <t>WOO(I)(Z)&gt;PRT(I)(Z)_380L1</t>
  </si>
  <si>
    <t>685</t>
  </si>
  <si>
    <t>AD_T2101</t>
  </si>
  <si>
    <t>ARK_T2101</t>
  </si>
  <si>
    <t>0.18</t>
  </si>
  <si>
    <t>ARK_T2102</t>
  </si>
  <si>
    <t>0.0021</t>
  </si>
  <si>
    <t>0.1237</t>
  </si>
  <si>
    <t>BLC_T2101</t>
  </si>
  <si>
    <t>0.0646</t>
  </si>
  <si>
    <t>250</t>
  </si>
  <si>
    <t>BVK_T2101</t>
  </si>
  <si>
    <t>BVK_T2102</t>
  </si>
  <si>
    <t>BYH_T2101</t>
  </si>
  <si>
    <t>BYH_T2102</t>
  </si>
  <si>
    <t>CBT_T2101</t>
  </si>
  <si>
    <t>CBT_T2102</t>
  </si>
  <si>
    <t>CBT_T2103</t>
  </si>
  <si>
    <t>CBT_T2104</t>
  </si>
  <si>
    <t>CDU_T2101</t>
  </si>
  <si>
    <t>0.00093</t>
  </si>
  <si>
    <t>0.06152</t>
  </si>
  <si>
    <t>CDU_T2102</t>
  </si>
  <si>
    <t>0.00066</t>
  </si>
  <si>
    <t>CKM_PST2201</t>
  </si>
  <si>
    <t>CKM_T2101</t>
  </si>
  <si>
    <t>CKM_T2102</t>
  </si>
  <si>
    <t>CKM_T2103</t>
  </si>
  <si>
    <t>CKM_T2104</t>
  </si>
  <si>
    <t>0.0631</t>
  </si>
  <si>
    <t>CLA_T2102</t>
  </si>
  <si>
    <t>0.0013</t>
  </si>
  <si>
    <t>0.0647</t>
  </si>
  <si>
    <t>CSH_T2101</t>
  </si>
  <si>
    <t>CSH_T2102</t>
  </si>
  <si>
    <t>CSH_T2104</t>
  </si>
  <si>
    <t>0.1332</t>
  </si>
  <si>
    <t>175</t>
  </si>
  <si>
    <t>CUL_T2101</t>
  </si>
  <si>
    <t>0.0005</t>
  </si>
  <si>
    <t>DSN_T4201</t>
  </si>
  <si>
    <t>0.0002</t>
  </si>
  <si>
    <t>0.0317</t>
  </si>
  <si>
    <t>500</t>
  </si>
  <si>
    <t>DSN_T4202</t>
  </si>
  <si>
    <t>0.0003</t>
  </si>
  <si>
    <t>FIN_T2101</t>
  </si>
  <si>
    <t>0.0651</t>
  </si>
  <si>
    <t>FIN_T2102</t>
  </si>
  <si>
    <t>0.0648</t>
  </si>
  <si>
    <t>FIN_T2103</t>
  </si>
  <si>
    <t>FIN_T2104</t>
  </si>
  <si>
    <t>0.0638</t>
  </si>
  <si>
    <t>FIN_T2105</t>
  </si>
  <si>
    <t>FLA_T2101</t>
  </si>
  <si>
    <t>0.0027</t>
  </si>
  <si>
    <t>FLA_T2102</t>
  </si>
  <si>
    <t>0.0008</t>
  </si>
  <si>
    <t>0.1331</t>
  </si>
  <si>
    <t>GI_T2101</t>
  </si>
  <si>
    <t>0.0026</t>
  </si>
  <si>
    <t>GI_T2102</t>
  </si>
  <si>
    <t>GOR_T2101</t>
  </si>
  <si>
    <t>INC_T2102</t>
  </si>
  <si>
    <t>0.0564</t>
  </si>
  <si>
    <t>INC_T2104</t>
  </si>
  <si>
    <t>INC_T2101</t>
  </si>
  <si>
    <t>INC_T2103</t>
  </si>
  <si>
    <t>KLN_T2101</t>
  </si>
  <si>
    <t>0.0065</t>
  </si>
  <si>
    <t>0.2453</t>
  </si>
  <si>
    <t>KLN_T2102</t>
  </si>
  <si>
    <t>0.0095</t>
  </si>
  <si>
    <t>0.2473</t>
  </si>
  <si>
    <t>KLN_T2103</t>
  </si>
  <si>
    <t>KLN_T2104</t>
  </si>
  <si>
    <t>KLP_T2101</t>
  </si>
  <si>
    <t>KLP_T2102</t>
  </si>
  <si>
    <t>KLS_T2101</t>
  </si>
  <si>
    <t>0.00132</t>
  </si>
  <si>
    <t>KLS_T2102</t>
  </si>
  <si>
    <t>KNR_T2101</t>
  </si>
  <si>
    <t>KNR_T2102</t>
  </si>
  <si>
    <t>BLC_BELCAMP</t>
  </si>
  <si>
    <t>CLA_T2101</t>
  </si>
  <si>
    <t>KRA_T2101</t>
  </si>
  <si>
    <t>KRA_T2102</t>
  </si>
  <si>
    <t>0.0652</t>
  </si>
  <si>
    <t>LWD_T2101</t>
  </si>
  <si>
    <t>LOU_T2101</t>
  </si>
  <si>
    <t>0.0022</t>
  </si>
  <si>
    <t>LOU_T2103</t>
  </si>
  <si>
    <t>0.1324</t>
  </si>
  <si>
    <t>LOU_T2102</t>
  </si>
  <si>
    <t>LOU_T2104</t>
  </si>
  <si>
    <t>LOU_AT1</t>
  </si>
  <si>
    <t>300</t>
  </si>
  <si>
    <t>LOU_AT2</t>
  </si>
  <si>
    <t>600</t>
  </si>
  <si>
    <t>LOU_AT3</t>
  </si>
  <si>
    <t>0.0303</t>
  </si>
  <si>
    <t>MAY_T2101</t>
  </si>
  <si>
    <t>0.1339</t>
  </si>
  <si>
    <t>MAY_T2102</t>
  </si>
  <si>
    <t>MAY_T2103</t>
  </si>
  <si>
    <t>MAY_T2104</t>
  </si>
  <si>
    <t>MP_T4202_01</t>
  </si>
  <si>
    <t>MP_T2101</t>
  </si>
  <si>
    <t>MP_T4202_2</t>
  </si>
  <si>
    <t>0.0329</t>
  </si>
  <si>
    <t>OST_T4202</t>
  </si>
  <si>
    <t>PB_T2103</t>
  </si>
  <si>
    <t>PB_T2104</t>
  </si>
  <si>
    <t>0.0609</t>
  </si>
  <si>
    <t>RAF_T2101</t>
  </si>
  <si>
    <t>RAF_T2102</t>
  </si>
  <si>
    <t>0.000446</t>
  </si>
  <si>
    <t>0.0558</t>
  </si>
  <si>
    <t>SH_T2102</t>
  </si>
  <si>
    <t>0.00131</t>
  </si>
  <si>
    <t>SH_T2101</t>
  </si>
  <si>
    <t>0.00574</t>
  </si>
  <si>
    <t>SRA_T2102</t>
  </si>
  <si>
    <t>TB_T2101</t>
  </si>
  <si>
    <t>0.00099</t>
  </si>
  <si>
    <t>0.0554</t>
  </si>
  <si>
    <t>TB_T2102</t>
  </si>
  <si>
    <t>WOO_T4201</t>
  </si>
  <si>
    <t>0.0316</t>
  </si>
  <si>
    <t>WOO_T4202</t>
  </si>
  <si>
    <t>WOO_T4204</t>
  </si>
  <si>
    <t>550</t>
  </si>
  <si>
    <t>WOO_WOODLAND</t>
  </si>
  <si>
    <t>582</t>
  </si>
  <si>
    <t>AGH_1</t>
  </si>
  <si>
    <t>90</t>
  </si>
  <si>
    <t>ANT_1</t>
  </si>
  <si>
    <t>ANT_2</t>
  </si>
  <si>
    <t>MKL_1</t>
  </si>
  <si>
    <t>MKL_2</t>
  </si>
  <si>
    <t>BMA_1</t>
  </si>
  <si>
    <t>BMA_2</t>
  </si>
  <si>
    <t>BMA_3</t>
  </si>
  <si>
    <t>BMA_4</t>
  </si>
  <si>
    <t>BAN_1</t>
  </si>
  <si>
    <t>30</t>
  </si>
  <si>
    <t>BAN_2</t>
  </si>
  <si>
    <t>BAN_3</t>
  </si>
  <si>
    <t>BAN_4</t>
  </si>
  <si>
    <t>BNH_1</t>
  </si>
  <si>
    <t>BNH_2</t>
  </si>
  <si>
    <t>BNM_1</t>
  </si>
  <si>
    <t>BNM_2</t>
  </si>
  <si>
    <t>BRO</t>
  </si>
  <si>
    <t>CAR_1</t>
  </si>
  <si>
    <t>CAR_2</t>
  </si>
  <si>
    <t>CEN_1</t>
  </si>
  <si>
    <t>CEN_2</t>
  </si>
  <si>
    <t>COL (N)_1</t>
  </si>
  <si>
    <t>60</t>
  </si>
  <si>
    <t>COL (N)_2</t>
  </si>
  <si>
    <t>CPS_1_110/33</t>
  </si>
  <si>
    <t>CPS_2_110/33</t>
  </si>
  <si>
    <t>CRG_1</t>
  </si>
  <si>
    <t>CRG_2</t>
  </si>
  <si>
    <t>CRE_1</t>
  </si>
  <si>
    <t>CRE_2</t>
  </si>
  <si>
    <t>DON_1</t>
  </si>
  <si>
    <t>DON_2</t>
  </si>
  <si>
    <t>DON_3</t>
  </si>
  <si>
    <t>DON_4</t>
  </si>
  <si>
    <t>DRU (N)_1</t>
  </si>
  <si>
    <t>DRU (N)_2</t>
  </si>
  <si>
    <t>CRR</t>
  </si>
  <si>
    <t>DUN_1</t>
  </si>
  <si>
    <t>DUN_2</t>
  </si>
  <si>
    <t>EDE_1</t>
  </si>
  <si>
    <t>45</t>
  </si>
  <si>
    <t>EDE_2</t>
  </si>
  <si>
    <t>ENN (N)_1</t>
  </si>
  <si>
    <t>ENN (N)_2</t>
  </si>
  <si>
    <t>ENN (N)_3</t>
  </si>
  <si>
    <t>FIN (N)_1</t>
  </si>
  <si>
    <t>FIN (N)_2</t>
  </si>
  <si>
    <t>GLE (N)</t>
  </si>
  <si>
    <t>GOR (N)</t>
  </si>
  <si>
    <t>KMT</t>
  </si>
  <si>
    <t>KNO_1</t>
  </si>
  <si>
    <t>KNO_2</t>
  </si>
  <si>
    <t>LAR_1</t>
  </si>
  <si>
    <t>LAR_2</t>
  </si>
  <si>
    <t>LIM (N)_1</t>
  </si>
  <si>
    <t>LIM (N)_2</t>
  </si>
  <si>
    <t>LIS (N)_1</t>
  </si>
  <si>
    <t>LIS (N)_2</t>
  </si>
  <si>
    <t>LMR_1</t>
  </si>
  <si>
    <t>LMR_2</t>
  </si>
  <si>
    <t>LOG_1</t>
  </si>
  <si>
    <t>LOG_2</t>
  </si>
  <si>
    <t>NAR_1</t>
  </si>
  <si>
    <t>NAR_2</t>
  </si>
  <si>
    <t>NEW (N)_1</t>
  </si>
  <si>
    <t>NEW (N)_2</t>
  </si>
  <si>
    <t>OMA_1</t>
  </si>
  <si>
    <t>OMA_2</t>
  </si>
  <si>
    <t>RSK</t>
  </si>
  <si>
    <t>RAT (N)_1</t>
  </si>
  <si>
    <t>RAT (N)_2</t>
  </si>
  <si>
    <t>ROS_1</t>
  </si>
  <si>
    <t>ROS_2</t>
  </si>
  <si>
    <t>SPR_1</t>
  </si>
  <si>
    <t>SPR_2</t>
  </si>
  <si>
    <t>STR (N)_1</t>
  </si>
  <si>
    <t>STR (N)_2</t>
  </si>
  <si>
    <t>TRE</t>
  </si>
  <si>
    <t>TMN</t>
  </si>
  <si>
    <t>WAR_1</t>
  </si>
  <si>
    <t>WAR_2</t>
  </si>
  <si>
    <t>BPS_1</t>
  </si>
  <si>
    <t>0.0018</t>
  </si>
  <si>
    <t>0.0641</t>
  </si>
  <si>
    <t>240</t>
  </si>
  <si>
    <t>BPS_2</t>
  </si>
  <si>
    <t>CAS_1</t>
  </si>
  <si>
    <t>0.0014</t>
  </si>
  <si>
    <t>0.0639</t>
  </si>
  <si>
    <t>CAS_2</t>
  </si>
  <si>
    <t>CAS_3</t>
  </si>
  <si>
    <t>0.0656</t>
  </si>
  <si>
    <t>CPS_1</t>
  </si>
  <si>
    <t>0.0699</t>
  </si>
  <si>
    <t>CPS_2</t>
  </si>
  <si>
    <t>HAN_1</t>
  </si>
  <si>
    <t>0.0591</t>
  </si>
  <si>
    <t>HAN_2</t>
  </si>
  <si>
    <t>HAN_3</t>
  </si>
  <si>
    <t>KEL_1</t>
  </si>
  <si>
    <t>KEL_2</t>
  </si>
  <si>
    <t>0.0607</t>
  </si>
  <si>
    <t>TAN_1</t>
  </si>
  <si>
    <t>TAN_2</t>
  </si>
  <si>
    <t>TAN_3</t>
  </si>
  <si>
    <t>0.0698</t>
  </si>
  <si>
    <t>TMN_1</t>
  </si>
  <si>
    <t>0.0644</t>
  </si>
  <si>
    <t>TMN_2</t>
  </si>
  <si>
    <t>Market ID</t>
  </si>
  <si>
    <t xml:space="preserve">EWIC			</t>
  </si>
  <si>
    <t>EWIC</t>
  </si>
  <si>
    <t/>
  </si>
  <si>
    <t>interconnector</t>
  </si>
  <si>
    <t xml:space="preserve">Dromdeeveen Windfarm                                          </t>
  </si>
  <si>
    <t>GU_401240</t>
  </si>
  <si>
    <t>DV1</t>
  </si>
  <si>
    <t>wind</t>
  </si>
  <si>
    <t xml:space="preserve">Greenlink			</t>
  </si>
  <si>
    <t>I_ROIGRLK</t>
  </si>
  <si>
    <t>GLK</t>
  </si>
  <si>
    <t xml:space="preserve">Sliabh Bawn Windfarm                                          </t>
  </si>
  <si>
    <t>GU_401900</t>
  </si>
  <si>
    <t>SB1</t>
  </si>
  <si>
    <t xml:space="preserve">Knockalassa Windfarm                                          </t>
  </si>
  <si>
    <t>GU_403940</t>
  </si>
  <si>
    <t>KD1</t>
  </si>
  <si>
    <t xml:space="preserve">Boolinrudda Windfarm                                          </t>
  </si>
  <si>
    <t>GU_402270</t>
  </si>
  <si>
    <t>RD1</t>
  </si>
  <si>
    <t>Oweninny Wind Farm</t>
  </si>
  <si>
    <t>GU_403760</t>
  </si>
  <si>
    <t>OY1</t>
  </si>
  <si>
    <t>Oweninny 2 Windfarm</t>
  </si>
  <si>
    <t>GU_405130</t>
  </si>
  <si>
    <t>OY2</t>
  </si>
  <si>
    <t xml:space="preserve">Knockawarriga 1 Windfarm                                      </t>
  </si>
  <si>
    <t>GU_404200</t>
  </si>
  <si>
    <t>KW1</t>
  </si>
  <si>
    <t xml:space="preserve">Tournafulla Generatot Unit                                    </t>
  </si>
  <si>
    <t>GU_400600</t>
  </si>
  <si>
    <t>TN2</t>
  </si>
  <si>
    <t xml:space="preserve">AGHADA CT11 Generator Unit                                    </t>
  </si>
  <si>
    <t>GU_400181</t>
  </si>
  <si>
    <t>AT1</t>
  </si>
  <si>
    <t>S_REP_ROI,S_MWMAX_CRK_MW,S_MWMAX_STH_MW</t>
  </si>
  <si>
    <t>multi_fuel</t>
  </si>
  <si>
    <t>12033.5</t>
  </si>
  <si>
    <t xml:space="preserve">AGHADA CT12 Generator Unit                                    </t>
  </si>
  <si>
    <t>GU_400182</t>
  </si>
  <si>
    <t>AT2</t>
  </si>
  <si>
    <t xml:space="preserve">AGHADA CT14 Generator Unit                                    </t>
  </si>
  <si>
    <t>GU_400183</t>
  </si>
  <si>
    <t>AT4</t>
  </si>
  <si>
    <t xml:space="preserve">Aghada 2 Generator Unit                                       </t>
  </si>
  <si>
    <t>GU_400850</t>
  </si>
  <si>
    <t>AD2</t>
  </si>
  <si>
    <t>S_NBMIN_ROImin,S_MWMAX_CRK_MW,S_MWMAX_STH_MW</t>
  </si>
  <si>
    <t>57991.36</t>
  </si>
  <si>
    <t xml:space="preserve">Molly Mountain Wind Farm                                      </t>
  </si>
  <si>
    <t>GU_503860</t>
  </si>
  <si>
    <t>MYM</t>
  </si>
  <si>
    <t>Slieve Rushen Windfarm</t>
  </si>
  <si>
    <t>GU_503900</t>
  </si>
  <si>
    <t>SL2</t>
  </si>
  <si>
    <t>Corby Knowe Windfarm</t>
  </si>
  <si>
    <t>GU_501410</t>
  </si>
  <si>
    <t>CBY</t>
  </si>
  <si>
    <t xml:space="preserve">Ardnacrusha 1 Generator Unit                                  </t>
  </si>
  <si>
    <t>GU_400200</t>
  </si>
  <si>
    <t>AA1</t>
  </si>
  <si>
    <t>hydro</t>
  </si>
  <si>
    <t xml:space="preserve">Ardnacrusha 2 Generator Unit                                  </t>
  </si>
  <si>
    <t>GU_400201</t>
  </si>
  <si>
    <t>AA2</t>
  </si>
  <si>
    <t xml:space="preserve">Ardnacrusha 3 Generator Unit                                  </t>
  </si>
  <si>
    <t>GU_400202</t>
  </si>
  <si>
    <t>AA3</t>
  </si>
  <si>
    <t xml:space="preserve">Ardnacrusha 4 Generator Unit                                  </t>
  </si>
  <si>
    <t>GU_400203</t>
  </si>
  <si>
    <t>AA4</t>
  </si>
  <si>
    <t xml:space="preserve">ESB Arklow Bank                                               </t>
  </si>
  <si>
    <t>GU_401020</t>
  </si>
  <si>
    <t>ABK</t>
  </si>
  <si>
    <t xml:space="preserve">Raheenleagh                                                   </t>
  </si>
  <si>
    <t>GU_401940</t>
  </si>
  <si>
    <t>RL1</t>
  </si>
  <si>
    <t xml:space="preserve">Ballycumber Windfarm                                          </t>
  </si>
  <si>
    <t>GU_404460</t>
  </si>
  <si>
    <t>YR1</t>
  </si>
  <si>
    <t xml:space="preserve">Athea Wind Farm                                               </t>
  </si>
  <si>
    <t>GU_401380</t>
  </si>
  <si>
    <t>AH1</t>
  </si>
  <si>
    <t xml:space="preserve">Beenanaspuck and Tobertoreen Windfarm                         </t>
  </si>
  <si>
    <t>GU_404000</t>
  </si>
  <si>
    <t>XT1</t>
  </si>
  <si>
    <t xml:space="preserve">Sealrock 3 Generator Unit                                     </t>
  </si>
  <si>
    <t>GU_400120</t>
  </si>
  <si>
    <t>SK3</t>
  </si>
  <si>
    <t>12837</t>
  </si>
  <si>
    <t xml:space="preserve">Sealrock 4 Generator Unit                                     </t>
  </si>
  <si>
    <t>GU_400121</t>
  </si>
  <si>
    <t>SK4</t>
  </si>
  <si>
    <t xml:space="preserve">Ballylumford GT1		</t>
  </si>
  <si>
    <t>GU_500283</t>
  </si>
  <si>
    <t>BGT1</t>
  </si>
  <si>
    <t>S_MWMAX_NI_GT</t>
  </si>
  <si>
    <t>distillate</t>
  </si>
  <si>
    <t>20696.55</t>
  </si>
  <si>
    <t xml:space="preserve">Ballylumford GT2	</t>
  </si>
  <si>
    <t>GU_500284</t>
  </si>
  <si>
    <t>BGT2</t>
  </si>
  <si>
    <t>18208.86</t>
  </si>
  <si>
    <t xml:space="preserve">Ballylumford Generator Unit B10	</t>
  </si>
  <si>
    <t>GU_503740</t>
  </si>
  <si>
    <t>B10</t>
  </si>
  <si>
    <t>S_NBMIN_MINNIU</t>
  </si>
  <si>
    <t>gas</t>
  </si>
  <si>
    <t>12758.51</t>
  </si>
  <si>
    <t xml:space="preserve">Ballylumford Generator Unit B31	</t>
  </si>
  <si>
    <t>GU_503720</t>
  </si>
  <si>
    <t>B31</t>
  </si>
  <si>
    <t>22451.27</t>
  </si>
  <si>
    <t xml:space="preserve">Ballylumford Generator Unit B32	</t>
  </si>
  <si>
    <t>GU_503730</t>
  </si>
  <si>
    <t>B32</t>
  </si>
  <si>
    <t xml:space="preserve">Moyle				 </t>
  </si>
  <si>
    <t>MOYLE</t>
  </si>
  <si>
    <t>M</t>
  </si>
  <si>
    <t>Ballywater Windfarm</t>
  </si>
  <si>
    <t>GU_405890</t>
  </si>
  <si>
    <t>BW1</t>
  </si>
  <si>
    <t>Hilltown Solar Farm</t>
  </si>
  <si>
    <t>GU_405090</t>
  </si>
  <si>
    <t>HS1</t>
  </si>
  <si>
    <t>solar</t>
  </si>
  <si>
    <t xml:space="preserve">Rathsherry Wind Farm                                          </t>
  </si>
  <si>
    <t>GU_501680</t>
  </si>
  <si>
    <t>RHY</t>
  </si>
  <si>
    <t xml:space="preserve">Elginny Hill Wind Farm                                        </t>
  </si>
  <si>
    <t>GU_501720</t>
  </si>
  <si>
    <t>EGH</t>
  </si>
  <si>
    <t>Ballydown Battery</t>
  </si>
  <si>
    <t>GU_504250</t>
  </si>
  <si>
    <t>BLD</t>
  </si>
  <si>
    <t xml:space="preserve">Barranafaddock Windfarm                                       </t>
  </si>
  <si>
    <t>GU_401810</t>
  </si>
  <si>
    <t>BF1</t>
  </si>
  <si>
    <t>Sheskin Windfarm</t>
  </si>
  <si>
    <t>GU_406560</t>
  </si>
  <si>
    <t>SS1</t>
  </si>
  <si>
    <t xml:space="preserve">Clady Generating Station                                      </t>
  </si>
  <si>
    <t>GU_401190</t>
  </si>
  <si>
    <t>CU1</t>
  </si>
  <si>
    <t xml:space="preserve">Airoshin Generator Unit                                       </t>
  </si>
  <si>
    <t>GU_405870</t>
  </si>
  <si>
    <t>MC1</t>
  </si>
  <si>
    <t xml:space="preserve">Clogheravaddy WF 2                                            </t>
  </si>
  <si>
    <t>GU_404630</t>
  </si>
  <si>
    <t>YV2</t>
  </si>
  <si>
    <t>Blundelstown Solar Farm</t>
  </si>
  <si>
    <t>GU_406520</t>
  </si>
  <si>
    <t>NA1</t>
  </si>
  <si>
    <t xml:space="preserve">Boggeragh Windfarm Generator Unit                             </t>
  </si>
  <si>
    <t>GU_400910</t>
  </si>
  <si>
    <t>BG1</t>
  </si>
  <si>
    <t xml:space="preserve">Boggeragh 2 Windfarm                                          </t>
  </si>
  <si>
    <t>GU_401840</t>
  </si>
  <si>
    <t>BG2</t>
  </si>
  <si>
    <t xml:space="preserve">Esk Windfarm                                                  </t>
  </si>
  <si>
    <t>GU_404340</t>
  </si>
  <si>
    <t>ES1</t>
  </si>
  <si>
    <t>Carraigcannon Windfarm</t>
  </si>
  <si>
    <t>GU_401070</t>
  </si>
  <si>
    <t>CD1</t>
  </si>
  <si>
    <t>Moanvane Windfarm</t>
  </si>
  <si>
    <t>GU_407330</t>
  </si>
  <si>
    <t>QA1</t>
  </si>
  <si>
    <t xml:space="preserve">Booltiagh Windfarm                                            </t>
  </si>
  <si>
    <t>GU_401720</t>
  </si>
  <si>
    <t>BT1</t>
  </si>
  <si>
    <t xml:space="preserve">Booltiagh 2 Wind Farm                                         </t>
  </si>
  <si>
    <t>GU_401730</t>
  </si>
  <si>
    <t>BT2</t>
  </si>
  <si>
    <t xml:space="preserve">Lissycasey Windfarm                                           </t>
  </si>
  <si>
    <t>GU_403950</t>
  </si>
  <si>
    <t>LY1</t>
  </si>
  <si>
    <t xml:space="preserve">Sorrell Island 1 Windfarm                                     </t>
  </si>
  <si>
    <t>GU_403800</t>
  </si>
  <si>
    <t>SF1</t>
  </si>
  <si>
    <t xml:space="preserve">Sorrell Island 2 Windfarm                                     </t>
  </si>
  <si>
    <t>GU_404480</t>
  </si>
  <si>
    <t>SF2</t>
  </si>
  <si>
    <t xml:space="preserve">Boolynagleragh Windfarm                                       </t>
  </si>
  <si>
    <t>GU_403770</t>
  </si>
  <si>
    <t>BJ1</t>
  </si>
  <si>
    <t xml:space="preserve">Brockaghboy                                                   </t>
  </si>
  <si>
    <t>GU_501670</t>
  </si>
  <si>
    <t>BKY</t>
  </si>
  <si>
    <t xml:space="preserve">Ballymacadam Solar Farm		 </t>
  </si>
  <si>
    <t>GU_406710</t>
  </si>
  <si>
    <t>YM1</t>
  </si>
  <si>
    <t xml:space="preserve">Gortahile Windfarm Ltd Generator Unit                         </t>
  </si>
  <si>
    <t>GU_401060</t>
  </si>
  <si>
    <t>GE1</t>
  </si>
  <si>
    <t xml:space="preserve">Carn Hill Wind Farm                                           </t>
  </si>
  <si>
    <t>GU_501210</t>
  </si>
  <si>
    <t>CNH</t>
  </si>
  <si>
    <t xml:space="preserve">Carrigadrohid Generator Unit                                  </t>
  </si>
  <si>
    <t>GU_400290</t>
  </si>
  <si>
    <t>LE3</t>
  </si>
  <si>
    <t xml:space="preserve">Carrigdangan Windfarm                                         </t>
  </si>
  <si>
    <t>GU_404330</t>
  </si>
  <si>
    <t>XA1</t>
  </si>
  <si>
    <t>Raheen Barr Wind Farm</t>
  </si>
  <si>
    <t>GU_403740</t>
  </si>
  <si>
    <t>MX1</t>
  </si>
  <si>
    <t>Acres Windfarm</t>
  </si>
  <si>
    <t>GU_401820</t>
  </si>
  <si>
    <t>AS1</t>
  </si>
  <si>
    <t xml:space="preserve">Erne 3 Generator Unit                                         </t>
  </si>
  <si>
    <t>GU_400220</t>
  </si>
  <si>
    <t>ER3</t>
  </si>
  <si>
    <t xml:space="preserve">Erne 4 Generator Unit                                         </t>
  </si>
  <si>
    <t>GU_400221</t>
  </si>
  <si>
    <t>ER4</t>
  </si>
  <si>
    <t xml:space="preserve">Cappawhite                                                    </t>
  </si>
  <si>
    <t>GU_402150</t>
  </si>
  <si>
    <t>CP1</t>
  </si>
  <si>
    <t xml:space="preserve">Cappawhite B Windfarm                                         </t>
  </si>
  <si>
    <t>GU_402340</t>
  </si>
  <si>
    <t>CP3</t>
  </si>
  <si>
    <t xml:space="preserve">Garracummer Wind Farm Ltd                                     </t>
  </si>
  <si>
    <t>GU_401740</t>
  </si>
  <si>
    <t>GM1</t>
  </si>
  <si>
    <t xml:space="preserve">Glenough Windfarm                                             </t>
  </si>
  <si>
    <t>GU_401250</t>
  </si>
  <si>
    <t>GU1</t>
  </si>
  <si>
    <t xml:space="preserve">Glencarbry Windfarm                                           </t>
  </si>
  <si>
    <t>GU_404470</t>
  </si>
  <si>
    <t>GY1</t>
  </si>
  <si>
    <t xml:space="preserve">Knocknatallig Windfarm                                        </t>
  </si>
  <si>
    <t>GU_403930</t>
  </si>
  <si>
    <t>KQ1</t>
  </si>
  <si>
    <t xml:space="preserve">Castlepook Windfarm                                           </t>
  </si>
  <si>
    <t>GU_402190</t>
  </si>
  <si>
    <t>PO1</t>
  </si>
  <si>
    <t xml:space="preserve">Pallas Generator Unit                                         </t>
  </si>
  <si>
    <t>GU_400660</t>
  </si>
  <si>
    <t>CJ1</t>
  </si>
  <si>
    <t xml:space="preserve">Clahane 2 Windfarm                                            </t>
  </si>
  <si>
    <t>GU_401980</t>
  </si>
  <si>
    <t>CJ2</t>
  </si>
  <si>
    <t xml:space="preserve">Erne 1 Generator Unit                                         </t>
  </si>
  <si>
    <t>GU_400210</t>
  </si>
  <si>
    <t>ER1</t>
  </si>
  <si>
    <t xml:space="preserve">Erne 2 Generator Unit                                         </t>
  </si>
  <si>
    <t>GU_400211</t>
  </si>
  <si>
    <t>ER2</t>
  </si>
  <si>
    <t xml:space="preserve">Cloghboola Wind Farm                                          </t>
  </si>
  <si>
    <t>GU_404570</t>
  </si>
  <si>
    <t>CL1</t>
  </si>
  <si>
    <t xml:space="preserve">Glanaruddery 1 Windfarm                                       </t>
  </si>
  <si>
    <t>GU_404490</t>
  </si>
  <si>
    <t>DA1</t>
  </si>
  <si>
    <t xml:space="preserve">Glanaruddery 2 Windfarm                                       </t>
  </si>
  <si>
    <t>GU_404500</t>
  </si>
  <si>
    <t>DA2</t>
  </si>
  <si>
    <t>Cloghanaleskirt Windfarm</t>
  </si>
  <si>
    <t>GU_402280</t>
  </si>
  <si>
    <t>KI1</t>
  </si>
  <si>
    <t>Croaghonagh Windfarm</t>
  </si>
  <si>
    <t>GU_404930</t>
  </si>
  <si>
    <t>OA1</t>
  </si>
  <si>
    <t xml:space="preserve">Garves Wind Farm                                              </t>
  </si>
  <si>
    <t>GU_500720</t>
  </si>
  <si>
    <t>GAR</t>
  </si>
  <si>
    <t xml:space="preserve">Gruig Wind Farm                                               </t>
  </si>
  <si>
    <t>GU_504240</t>
  </si>
  <si>
    <t>GRU</t>
  </si>
  <si>
    <t xml:space="preserve">Dunmore Wind Farm                                             </t>
  </si>
  <si>
    <t>GU_501250</t>
  </si>
  <si>
    <t>DMR</t>
  </si>
  <si>
    <t xml:space="preserve">Dunbeg Wind Farm                                              </t>
  </si>
  <si>
    <t>GU_503920</t>
  </si>
  <si>
    <t>DBG</t>
  </si>
  <si>
    <t>Lisahally Biomass Generator</t>
  </si>
  <si>
    <t>GU_501350</t>
  </si>
  <si>
    <t>LPS</t>
  </si>
  <si>
    <t>biomass</t>
  </si>
  <si>
    <t>47815.76</t>
  </si>
  <si>
    <t xml:space="preserve">Monnaboy Wind Farm                                            </t>
  </si>
  <si>
    <t>GU_501360</t>
  </si>
  <si>
    <t>MBY</t>
  </si>
  <si>
    <t xml:space="preserve">Coolkeeragh		</t>
  </si>
  <si>
    <t>GU_500040</t>
  </si>
  <si>
    <t>CGT8</t>
  </si>
  <si>
    <t>96443.23</t>
  </si>
  <si>
    <t>GU_500041</t>
  </si>
  <si>
    <t>C30</t>
  </si>
  <si>
    <t>S_NBMIN_MINNIU,S_NBMIN_MINNI3,S_NBMIN_CPS</t>
  </si>
  <si>
    <t>17041.17</t>
  </si>
  <si>
    <t xml:space="preserve">Coomagearlahy Generator Unit                                  </t>
  </si>
  <si>
    <t>GU_404210</t>
  </si>
  <si>
    <t>CG1</t>
  </si>
  <si>
    <t xml:space="preserve">SWS Green Energy Gen Unit (Sillahertane)                      </t>
  </si>
  <si>
    <t>GU_400730</t>
  </si>
  <si>
    <t>CG2</t>
  </si>
  <si>
    <t xml:space="preserve">SWS Kilgarvan Ext Inchincoosh                                 </t>
  </si>
  <si>
    <t>GU_400731</t>
  </si>
  <si>
    <t>CG3</t>
  </si>
  <si>
    <t xml:space="preserve">Cleanrath		</t>
  </si>
  <si>
    <t>GU_403810</t>
  </si>
  <si>
    <t>YT1</t>
  </si>
  <si>
    <t xml:space="preserve">Grousemount Windfarm                                          </t>
  </si>
  <si>
    <t>GU_403790</t>
  </si>
  <si>
    <t>GD1</t>
  </si>
  <si>
    <t xml:space="preserve">Cordal 1 Windfarm                                             </t>
  </si>
  <si>
    <t>GU_402110</t>
  </si>
  <si>
    <t>DL1</t>
  </si>
  <si>
    <t xml:space="preserve">Cordal 2 Windfarm                                             </t>
  </si>
  <si>
    <t>GU_402130</t>
  </si>
  <si>
    <t>DL2</t>
  </si>
  <si>
    <t xml:space="preserve">Coollegrean Windfarm                                          </t>
  </si>
  <si>
    <t>GU_403920</t>
  </si>
  <si>
    <t>OG1</t>
  </si>
  <si>
    <t xml:space="preserve">Scartaglen 1 Windfarm                                         </t>
  </si>
  <si>
    <t>GU_402250</t>
  </si>
  <si>
    <t>ST1</t>
  </si>
  <si>
    <t xml:space="preserve">Scartaglen 2 Windfarm                                         </t>
  </si>
  <si>
    <t>GU_402260</t>
  </si>
  <si>
    <t>ST2</t>
  </si>
  <si>
    <t xml:space="preserve">Tullynamoyle Windfarm 2                                       </t>
  </si>
  <si>
    <t>GU_402160</t>
  </si>
  <si>
    <t>TM2</t>
  </si>
  <si>
    <t xml:space="preserve">Tullynamoyle 3 Windfarm                                     </t>
  </si>
  <si>
    <t>GU_402200</t>
  </si>
  <si>
    <t>TM3</t>
  </si>
  <si>
    <t xml:space="preserve">Corduff_OCGT			</t>
  </si>
  <si>
    <t>GU_403680</t>
  </si>
  <si>
    <t>FG2</t>
  </si>
  <si>
    <t>S_REP_ROI</t>
  </si>
  <si>
    <t>5161.24</t>
  </si>
  <si>
    <t xml:space="preserve">Dunneil Windfarm (Kingsmountain Phase 2)                      </t>
  </si>
  <si>
    <t>GU_400021</t>
  </si>
  <si>
    <t>KG2</t>
  </si>
  <si>
    <t xml:space="preserve">Kingsmountain Generator Unit                                  </t>
  </si>
  <si>
    <t>GU_400020</t>
  </si>
  <si>
    <t>KGM</t>
  </si>
  <si>
    <t xml:space="preserve">Edenderry Power Supply                                        </t>
  </si>
  <si>
    <t>GU_401860</t>
  </si>
  <si>
    <t>ED1</t>
  </si>
  <si>
    <t>peat</t>
  </si>
  <si>
    <t>30753.26</t>
  </si>
  <si>
    <t xml:space="preserve">Cushaling Power                             </t>
  </si>
  <si>
    <t>GU_401010</t>
  </si>
  <si>
    <t>ED3</t>
  </si>
  <si>
    <t>925.19</t>
  </si>
  <si>
    <t xml:space="preserve">Cushaling Power                                          </t>
  </si>
  <si>
    <t>GU_401011</t>
  </si>
  <si>
    <t>ED5</t>
  </si>
  <si>
    <t xml:space="preserve">Magheramore Windfarm                                          </t>
  </si>
  <si>
    <t>GU_403400</t>
  </si>
  <si>
    <t>MM1</t>
  </si>
  <si>
    <t xml:space="preserve">Gaskinstown Solar Farm		</t>
  </si>
  <si>
    <t>GU_407030</t>
  </si>
  <si>
    <t>QB1</t>
  </si>
  <si>
    <t xml:space="preserve">Derrybrien Wind Farm                                          </t>
  </si>
  <si>
    <t>GU_401440</t>
  </si>
  <si>
    <t>DY1</t>
  </si>
  <si>
    <t xml:space="preserve">Lumcloon ESS 1                                                </t>
  </si>
  <si>
    <t>GU_407520</t>
  </si>
  <si>
    <t>LU1</t>
  </si>
  <si>
    <t xml:space="preserve">Lumcloon ESS 2                                                </t>
  </si>
  <si>
    <t>GU_407530</t>
  </si>
  <si>
    <t>LU2</t>
  </si>
  <si>
    <t xml:space="preserve">Cloghan Wind Farm		</t>
  </si>
  <si>
    <t>GU_405160</t>
  </si>
  <si>
    <t>NC1</t>
  </si>
  <si>
    <t xml:space="preserve">Rhode Peaking 1 Generator Unit                                </t>
  </si>
  <si>
    <t>GU_400770</t>
  </si>
  <si>
    <t>RP1</t>
  </si>
  <si>
    <t>839.54</t>
  </si>
  <si>
    <t xml:space="preserve">Rhode Peaking 2 Generator Unit                                </t>
  </si>
  <si>
    <t>GU_400771</t>
  </si>
  <si>
    <t>RP2</t>
  </si>
  <si>
    <t xml:space="preserve">Dromada Windfarm Generator Unit                               </t>
  </si>
  <si>
    <t>GU_400920</t>
  </si>
  <si>
    <t>DR1</t>
  </si>
  <si>
    <t xml:space="preserve">Cornavarrow Wind Farm                                         </t>
  </si>
  <si>
    <t>GU_501750</t>
  </si>
  <si>
    <t>CNV</t>
  </si>
  <si>
    <t xml:space="preserve">Castlecraig Wind Farm                                         </t>
  </si>
  <si>
    <t>GU_501730</t>
  </si>
  <si>
    <t>CCG</t>
  </si>
  <si>
    <t xml:space="preserve">Indaver - Meath Waste - Generator                             </t>
  </si>
  <si>
    <t>GU_401230</t>
  </si>
  <si>
    <t>IW1</t>
  </si>
  <si>
    <t xml:space="preserve">Grove Hill Windfarm                                           </t>
  </si>
  <si>
    <t>GU_401890</t>
  </si>
  <si>
    <t>GR1</t>
  </si>
  <si>
    <t>Hortland Solar Farm</t>
  </si>
  <si>
    <t>GU_405100</t>
  </si>
  <si>
    <t>HT1</t>
  </si>
  <si>
    <t xml:space="preserve">Crockagarran Wind Farm                                        </t>
  </si>
  <si>
    <t>GU_501050</t>
  </si>
  <si>
    <t>CRO</t>
  </si>
  <si>
    <t xml:space="preserve">Ballybane Generator Unit                                      </t>
  </si>
  <si>
    <t>GU_406600</t>
  </si>
  <si>
    <t>BA1</t>
  </si>
  <si>
    <t xml:space="preserve">Ballybane Wind Farm Phase 2                                   </t>
  </si>
  <si>
    <t>GU_401790</t>
  </si>
  <si>
    <t>BA2</t>
  </si>
  <si>
    <t xml:space="preserve">Ballybane Wind Farm Phase 3                                   </t>
  </si>
  <si>
    <t>GU_402010</t>
  </si>
  <si>
    <t>BA3</t>
  </si>
  <si>
    <t xml:space="preserve">Kilaveenoge 1 WF                                              </t>
  </si>
  <si>
    <t>GU_401950</t>
  </si>
  <si>
    <t>KV1</t>
  </si>
  <si>
    <t xml:space="preserve">Callagheen Wind Farm                                          </t>
  </si>
  <si>
    <t>GU_500020</t>
  </si>
  <si>
    <t>CAL</t>
  </si>
  <si>
    <t xml:space="preserve">Ora More Wind Farm                                            </t>
  </si>
  <si>
    <t>GU_501520</t>
  </si>
  <si>
    <t>ORA</t>
  </si>
  <si>
    <t>Huntstown TEG</t>
  </si>
  <si>
    <t>GU_405860</t>
  </si>
  <si>
    <t>DG1</t>
  </si>
  <si>
    <t>286.05</t>
  </si>
  <si>
    <t xml:space="preserve">Gallanstown Solar		</t>
  </si>
  <si>
    <t>GU_405840</t>
  </si>
  <si>
    <t>IA1</t>
  </si>
  <si>
    <t>Harlockstown Solar Farm</t>
  </si>
  <si>
    <t>GU_407340</t>
  </si>
  <si>
    <t>IA2</t>
  </si>
  <si>
    <t>Gillinstown Solar Farm</t>
  </si>
  <si>
    <t>GU_405190</t>
  </si>
  <si>
    <t>NB1</t>
  </si>
  <si>
    <t xml:space="preserve">Coomacheo Generator Unit                                      </t>
  </si>
  <si>
    <t>GU_400591</t>
  </si>
  <si>
    <t>CZ1</t>
  </si>
  <si>
    <t>Craiggore Windfarm</t>
  </si>
  <si>
    <t>GU_504030</t>
  </si>
  <si>
    <t>CGR</t>
  </si>
  <si>
    <t>Evishagaran Windfarm</t>
  </si>
  <si>
    <t>GU_504040</t>
  </si>
  <si>
    <t>EVG</t>
  </si>
  <si>
    <t xml:space="preserve">Derrysallagh Windfarm                                         </t>
  </si>
  <si>
    <t>GU_405830</t>
  </si>
  <si>
    <t>DS1</t>
  </si>
  <si>
    <t xml:space="preserve">Garvagh Glebe Generator Unit                                  </t>
  </si>
  <si>
    <t>GU_400950</t>
  </si>
  <si>
    <t>GH1</t>
  </si>
  <si>
    <t xml:space="preserve">Tullynahaw Generator Unit                                     </t>
  </si>
  <si>
    <t>GU_400940</t>
  </si>
  <si>
    <t>GH2</t>
  </si>
  <si>
    <t xml:space="preserve">Whitegate Generator Unit                                      </t>
  </si>
  <si>
    <t>GU_400930</t>
  </si>
  <si>
    <t>WG1</t>
  </si>
  <si>
    <t>85526</t>
  </si>
  <si>
    <t xml:space="preserve">Midas Generator Unit                                          </t>
  </si>
  <si>
    <t>GU_400060</t>
  </si>
  <si>
    <t>GLC</t>
  </si>
  <si>
    <t xml:space="preserve">Mauricetown Windfarm                                          </t>
  </si>
  <si>
    <t>GU_403980</t>
  </si>
  <si>
    <t>MR1</t>
  </si>
  <si>
    <t xml:space="preserve">Taurbeg Wind Farm                                             </t>
  </si>
  <si>
    <t>GU_404990</t>
  </si>
  <si>
    <t>TR1</t>
  </si>
  <si>
    <t xml:space="preserve">Bunnyconnellan Windfarm                                       </t>
  </si>
  <si>
    <t>GU_403880</t>
  </si>
  <si>
    <t>GJ1</t>
  </si>
  <si>
    <t xml:space="preserve">Black Lough WFPS                                              </t>
  </si>
  <si>
    <t>GU_403990</t>
  </si>
  <si>
    <t>XL1</t>
  </si>
  <si>
    <t xml:space="preserve">Carrowleagh Windfarm                                          </t>
  </si>
  <si>
    <t>GU_401280</t>
  </si>
  <si>
    <t>XR1</t>
  </si>
  <si>
    <t xml:space="preserve">Barnesmore (Golagh) Windfarm                                  </t>
  </si>
  <si>
    <t>GU_405880</t>
  </si>
  <si>
    <t>GO1</t>
  </si>
  <si>
    <t xml:space="preserve">Slieve Divena Wind Farm                                       </t>
  </si>
  <si>
    <t>GU_500740</t>
  </si>
  <si>
    <t>SD1</t>
  </si>
  <si>
    <t xml:space="preserve">Slieve Divena 2 Wind Farm                                     </t>
  </si>
  <si>
    <t>GU_501550</t>
  </si>
  <si>
    <t>SD2</t>
  </si>
  <si>
    <t xml:space="preserve">Altamuskin Wind Farm                                          </t>
  </si>
  <si>
    <t>GU_503790</t>
  </si>
  <si>
    <t>AKN</t>
  </si>
  <si>
    <t xml:space="preserve">Shantavny Scotch Wind Farm                                    </t>
  </si>
  <si>
    <t>GU_501700</t>
  </si>
  <si>
    <t>STS</t>
  </si>
  <si>
    <t xml:space="preserve">Teiges Wind Farm                                              </t>
  </si>
  <si>
    <t>GU_501740</t>
  </si>
  <si>
    <t>TGS</t>
  </si>
  <si>
    <t>Murley Mountain Windfarm</t>
  </si>
  <si>
    <t>GU_504260</t>
  </si>
  <si>
    <t>MUR</t>
  </si>
  <si>
    <t xml:space="preserve">Great Island CCGT                                             </t>
  </si>
  <si>
    <t>GU_400762</t>
  </si>
  <si>
    <t>GI4</t>
  </si>
  <si>
    <t>S_NBMIN_ROImin,S_MWMAX_STH_MW</t>
  </si>
  <si>
    <t>34093.88</t>
  </si>
  <si>
    <t xml:space="preserve">VPL Generation Unit                                           </t>
  </si>
  <si>
    <t>GU_400540</t>
  </si>
  <si>
    <t>HN2</t>
  </si>
  <si>
    <t>S_NBMIN_ROImin,S_NBMIN_DubNB2,S_NBMIN_Dub_NB,S_NBMIN_DUB_L2</t>
  </si>
  <si>
    <t>72518.03</t>
  </si>
  <si>
    <t xml:space="preserve">HPC1 Generation Unit                                          </t>
  </si>
  <si>
    <t>GU_400480</t>
  </si>
  <si>
    <t>HNC</t>
  </si>
  <si>
    <t>96024.48</t>
  </si>
  <si>
    <t xml:space="preserve">Monaincha Wind Farm                                           </t>
  </si>
  <si>
    <t>GU_401540</t>
  </si>
  <si>
    <t>MH1</t>
  </si>
  <si>
    <t xml:space="preserve">Grange Power IL1 Generator		</t>
  </si>
  <si>
    <t>GU_407560</t>
  </si>
  <si>
    <t>IL1</t>
  </si>
  <si>
    <t>135.56</t>
  </si>
  <si>
    <t xml:space="preserve">Grange Power IL2 Generator		</t>
  </si>
  <si>
    <t>GU_403450</t>
  </si>
  <si>
    <t>IL2</t>
  </si>
  <si>
    <t xml:space="preserve">Grange Power IL3 Generator	</t>
  </si>
  <si>
    <t>GU_407570</t>
  </si>
  <si>
    <t>IL3</t>
  </si>
  <si>
    <t xml:space="preserve">Grange Power IL4 Generator	</t>
  </si>
  <si>
    <t>GU_407580</t>
  </si>
  <si>
    <t>IL4</t>
  </si>
  <si>
    <t xml:space="preserve">Grange Power IL5 Generator		</t>
  </si>
  <si>
    <t>GU_407590</t>
  </si>
  <si>
    <t>IL5</t>
  </si>
  <si>
    <t xml:space="preserve">Grange Power IL6 Generator		</t>
  </si>
  <si>
    <t>GU_407600</t>
  </si>
  <si>
    <t>IL6</t>
  </si>
  <si>
    <t xml:space="preserve">Inniscarra (Lee unit 1) Generator Unit                        </t>
  </si>
  <si>
    <t>GU_400280</t>
  </si>
  <si>
    <t>LE1</t>
  </si>
  <si>
    <t xml:space="preserve">Lee unit 2 Generator Unit                                     </t>
  </si>
  <si>
    <t>GU_400281</t>
  </si>
  <si>
    <t>LE2</t>
  </si>
  <si>
    <t xml:space="preserve">Dublin Bay  Generator Unit                                    </t>
  </si>
  <si>
    <t>GU_400500</t>
  </si>
  <si>
    <t>DB1</t>
  </si>
  <si>
    <t>69518.36</t>
  </si>
  <si>
    <t xml:space="preserve">Ringngsend_OCGT	</t>
  </si>
  <si>
    <t>GU_403610</t>
  </si>
  <si>
    <t>IS3</t>
  </si>
  <si>
    <t>5165.08</t>
  </si>
  <si>
    <t>Cloncreen Wind Farm</t>
  </si>
  <si>
    <t>GU_405140</t>
  </si>
  <si>
    <t>OE1</t>
  </si>
  <si>
    <t xml:space="preserve">Cloncreen Battery		</t>
  </si>
  <si>
    <t>GU_407320</t>
  </si>
  <si>
    <t>OE2</t>
  </si>
  <si>
    <t xml:space="preserve">Kill Hill Wind Farm Limited                                   </t>
  </si>
  <si>
    <t>GU_401780</t>
  </si>
  <si>
    <t>KH1</t>
  </si>
  <si>
    <t xml:space="preserve">Eglish Wind Farm	</t>
  </si>
  <si>
    <t>GU_501440</t>
  </si>
  <si>
    <t>EGL</t>
  </si>
  <si>
    <t>Carrickatane Windfarm</t>
  </si>
  <si>
    <t>GU_501190</t>
  </si>
  <si>
    <t>CKT</t>
  </si>
  <si>
    <t>Kelwin Power Plant</t>
  </si>
  <si>
    <t>GU_402300</t>
  </si>
  <si>
    <t>KZ1</t>
  </si>
  <si>
    <t xml:space="preserve">Kelwin 3 Diesel Unit                                          </t>
  </si>
  <si>
    <t>GU_403000</t>
  </si>
  <si>
    <t>KZ3</t>
  </si>
  <si>
    <t xml:space="preserve">Leanamore Windfarm                                            </t>
  </si>
  <si>
    <t>GU_402210</t>
  </si>
  <si>
    <t>LM1</t>
  </si>
  <si>
    <t>Kilroot - GT1</t>
  </si>
  <si>
    <t>GU_500824</t>
  </si>
  <si>
    <t>KGT1</t>
  </si>
  <si>
    <t>8976.52</t>
  </si>
  <si>
    <t xml:space="preserve">Kilroot - GT2		</t>
  </si>
  <si>
    <t>GU_500825</t>
  </si>
  <si>
    <t>KGT2</t>
  </si>
  <si>
    <t xml:space="preserve">Kilroot - GT3		</t>
  </si>
  <si>
    <t>GU_500820</t>
  </si>
  <si>
    <t>KGT3</t>
  </si>
  <si>
    <t>1258.93</t>
  </si>
  <si>
    <t xml:space="preserve">Kilroot - GT4		</t>
  </si>
  <si>
    <t>GU_500821</t>
  </si>
  <si>
    <t>KGT4</t>
  </si>
  <si>
    <t xml:space="preserve">Kilroot GT6			</t>
  </si>
  <si>
    <t>GU_504110</t>
  </si>
  <si>
    <t>KGT6</t>
  </si>
  <si>
    <t>S_NBMIN_MINNIU,S_NBMIN_MINNI3</t>
  </si>
  <si>
    <t>142148.49</t>
  </si>
  <si>
    <t xml:space="preserve">Kilroot GT7			</t>
  </si>
  <si>
    <t>GU_504120</t>
  </si>
  <si>
    <t>KGT7</t>
  </si>
  <si>
    <t xml:space="preserve">Knockacummer Wind Farm                                        </t>
  </si>
  <si>
    <t>GU_401770</t>
  </si>
  <si>
    <t>KC1</t>
  </si>
  <si>
    <t xml:space="preserve">Knockalough WFPS		</t>
  </si>
  <si>
    <t>GU_403380</t>
  </si>
  <si>
    <t>KU1</t>
  </si>
  <si>
    <t>Yellow River Windfarm</t>
  </si>
  <si>
    <t>GU_407510</t>
  </si>
  <si>
    <t>YW1</t>
  </si>
  <si>
    <t>Knock South Windfarm</t>
  </si>
  <si>
    <t>GU_401140</t>
  </si>
  <si>
    <t>INW1_1</t>
  </si>
  <si>
    <t>Ardderroo Windfarm</t>
  </si>
  <si>
    <t>GU_405210</t>
  </si>
  <si>
    <t>UF1</t>
  </si>
  <si>
    <t>Lanesboro</t>
  </si>
  <si>
    <t>GU_400240</t>
  </si>
  <si>
    <t>LR4</t>
  </si>
  <si>
    <t>Ballykeel Windfarm</t>
  </si>
  <si>
    <t>GU_504200</t>
  </si>
  <si>
    <t>BKL</t>
  </si>
  <si>
    <t>Lenalea Windfarm</t>
  </si>
  <si>
    <t>GU_405930</t>
  </si>
  <si>
    <t>LL1</t>
  </si>
  <si>
    <t xml:space="preserve">Cark Wind Farm                                                </t>
  </si>
  <si>
    <t>GU_403900</t>
  </si>
  <si>
    <t>CAR</t>
  </si>
  <si>
    <t xml:space="preserve">Cuillagh Generator Unit                                       </t>
  </si>
  <si>
    <t>GU_400030</t>
  </si>
  <si>
    <t>CUH</t>
  </si>
  <si>
    <t xml:space="preserve">Beam Hill Wind Farm                                           </t>
  </si>
  <si>
    <t>GU_404560</t>
  </si>
  <si>
    <t>BM1</t>
  </si>
  <si>
    <t xml:space="preserve">Sorne Hill Generator Unit                                     </t>
  </si>
  <si>
    <t>GU_400550</t>
  </si>
  <si>
    <t>SN1</t>
  </si>
  <si>
    <t xml:space="preserve">Altahullion (1) Wind Farm                                     </t>
  </si>
  <si>
    <t>GU_504060</t>
  </si>
  <si>
    <t>ALT</t>
  </si>
  <si>
    <t xml:space="preserve">Altahullion (2) Wind Farm                                     </t>
  </si>
  <si>
    <t>GU_504160</t>
  </si>
  <si>
    <t>AL2</t>
  </si>
  <si>
    <t xml:space="preserve">Contour Global APTG		</t>
  </si>
  <si>
    <t>GU_500900</t>
  </si>
  <si>
    <t>NICG2</t>
  </si>
  <si>
    <t xml:space="preserve">Lough Road PV Solar Farm                                      </t>
  </si>
  <si>
    <t>GU_504090</t>
  </si>
  <si>
    <t>LRP</t>
  </si>
  <si>
    <t xml:space="preserve">Ballinderry Road PV Solar Farm		</t>
  </si>
  <si>
    <t>GU_501660</t>
  </si>
  <si>
    <t>BDP</t>
  </si>
  <si>
    <t xml:space="preserve">Maghaberry Road PV Solar Farm                                 </t>
  </si>
  <si>
    <t>GU_503400</t>
  </si>
  <si>
    <t>MRP</t>
  </si>
  <si>
    <t xml:space="preserve">Bruckana Wind Farm Limited                                    </t>
  </si>
  <si>
    <t>GU_401700</t>
  </si>
  <si>
    <t>BU1</t>
  </si>
  <si>
    <t xml:space="preserve">Lisheen Windfarm Phase 1                                      </t>
  </si>
  <si>
    <t>GU_400840</t>
  </si>
  <si>
    <t>LS1</t>
  </si>
  <si>
    <t xml:space="preserve">Lisheen Wind Farm 2 Ltd                                       </t>
  </si>
  <si>
    <t>GU_401750</t>
  </si>
  <si>
    <t>LS2</t>
  </si>
  <si>
    <t xml:space="preserve">Lisheen III Wind Farm		</t>
  </si>
  <si>
    <t>GU_404420</t>
  </si>
  <si>
    <t>LS3</t>
  </si>
  <si>
    <t>Drumlins Windfarm</t>
  </si>
  <si>
    <t>GU_406610</t>
  </si>
  <si>
    <t>LA1</t>
  </si>
  <si>
    <t xml:space="preserve">Ballycadden Wind Farm                                         </t>
  </si>
  <si>
    <t>GU_401290</t>
  </si>
  <si>
    <t>BY1</t>
  </si>
  <si>
    <t xml:space="preserve">Ballycadden Wind Farm Phase 2                                 </t>
  </si>
  <si>
    <t>GU_401360</t>
  </si>
  <si>
    <t>BY2</t>
  </si>
  <si>
    <t xml:space="preserve">Castledockrell Windfarm (Gen Unit)                            </t>
  </si>
  <si>
    <t>GU_403390</t>
  </si>
  <si>
    <t>CK1</t>
  </si>
  <si>
    <t xml:space="preserve">Gibbet Hill Windfarm                                          </t>
  </si>
  <si>
    <t>GU_401340</t>
  </si>
  <si>
    <t>GT1</t>
  </si>
  <si>
    <t xml:space="preserve">Cloonty Wind Farm                                             </t>
  </si>
  <si>
    <t>GU_501390</t>
  </si>
  <si>
    <t>CNY</t>
  </si>
  <si>
    <t xml:space="preserve">Curryfree Wind Farm                                           </t>
  </si>
  <si>
    <t>GU_501150</t>
  </si>
  <si>
    <t>CUR</t>
  </si>
  <si>
    <t>Lysaghtstown Solar Farm</t>
  </si>
  <si>
    <t>GU_406580</t>
  </si>
  <si>
    <t>LO1</t>
  </si>
  <si>
    <t xml:space="preserve">Bawnmore Windfarm                                             </t>
  </si>
  <si>
    <t>GU_401150</t>
  </si>
  <si>
    <t>BN1</t>
  </si>
  <si>
    <t>Knockglass Solar Farm</t>
  </si>
  <si>
    <t>GU_405080</t>
  </si>
  <si>
    <t>JG1</t>
  </si>
  <si>
    <t xml:space="preserve">Crighshane Wind Farm                                          </t>
  </si>
  <si>
    <t>GU_503830</t>
  </si>
  <si>
    <t>CRI</t>
  </si>
  <si>
    <t xml:space="preserve">Church Hill Wind Farm                                         </t>
  </si>
  <si>
    <t>GU_503840</t>
  </si>
  <si>
    <t>CHU</t>
  </si>
  <si>
    <t xml:space="preserve">Thornog Wind Farm                                             </t>
  </si>
  <si>
    <t>GU_503820</t>
  </si>
  <si>
    <t>TNG</t>
  </si>
  <si>
    <t xml:space="preserve">Seegronan Wind Farm                                           </t>
  </si>
  <si>
    <t>GU_503780</t>
  </si>
  <si>
    <t>SRN</t>
  </si>
  <si>
    <t xml:space="preserve">Tievenameenta Wind Farm                                       </t>
  </si>
  <si>
    <t>GU_501500</t>
  </si>
  <si>
    <t>TMA</t>
  </si>
  <si>
    <t>Gartnaneane Generator Unit</t>
  </si>
  <si>
    <t>GU_400041</t>
  </si>
  <si>
    <t>GA2</t>
  </si>
  <si>
    <t xml:space="preserve">Raragh 2 Windfarm                                             </t>
  </si>
  <si>
    <t>GU_403970</t>
  </si>
  <si>
    <t>RR2</t>
  </si>
  <si>
    <t>Taghart Windfarm</t>
  </si>
  <si>
    <t>GU_405110</t>
  </si>
  <si>
    <t>VB1</t>
  </si>
  <si>
    <t xml:space="preserve">Meentycat Generator Unit                                      </t>
  </si>
  <si>
    <t>GU_400070</t>
  </si>
  <si>
    <t>MCT</t>
  </si>
  <si>
    <t xml:space="preserve">Moneypoint 1 Generator Unit                                   </t>
  </si>
  <si>
    <t>GU_400270</t>
  </si>
  <si>
    <t>MP1</t>
  </si>
  <si>
    <t>S_NBMIN_ROImin,S_NBMIN_MP_NB</t>
  </si>
  <si>
    <t>coal</t>
  </si>
  <si>
    <t>162544.66</t>
  </si>
  <si>
    <t xml:space="preserve">Moneypoint 2 Generator Unit                                   </t>
  </si>
  <si>
    <t>GU_400271</t>
  </si>
  <si>
    <t>MP2</t>
  </si>
  <si>
    <t>S_NBMIN_ROImin,S_NBMIN_MP_NB,MP5_NB</t>
  </si>
  <si>
    <t xml:space="preserve">Moneypoint Windfarm                                           </t>
  </si>
  <si>
    <t>GU_402080</t>
  </si>
  <si>
    <t>MP9</t>
  </si>
  <si>
    <t xml:space="preserve">Moneypoint 3 Generator Unit                                   </t>
  </si>
  <si>
    <t>GU_400272</t>
  </si>
  <si>
    <t>MP3</t>
  </si>
  <si>
    <t xml:space="preserve">Mount Lucas Wind Farm Limited                                 </t>
  </si>
  <si>
    <t>GU_401690</t>
  </si>
  <si>
    <t>MO1</t>
  </si>
  <si>
    <t xml:space="preserve">Mulreavy Windfarm                                             </t>
  </si>
  <si>
    <t>GU_401930</t>
  </si>
  <si>
    <t>MB1</t>
  </si>
  <si>
    <t xml:space="preserve">Meenadreen South 2 Windfarm                                   </t>
  </si>
  <si>
    <t>GU_401920</t>
  </si>
  <si>
    <t>MB2</t>
  </si>
  <si>
    <t>Dunmurry Springs Solar Farm</t>
  </si>
  <si>
    <t>GU_407690</t>
  </si>
  <si>
    <t>DZ1</t>
  </si>
  <si>
    <t xml:space="preserve">North Wall5 Generator Unit	</t>
  </si>
  <si>
    <t>GU_405850</t>
  </si>
  <si>
    <t>NW8</t>
  </si>
  <si>
    <t>91.4</t>
  </si>
  <si>
    <t xml:space="preserve">Tarbert 5 TEG			</t>
  </si>
  <si>
    <t>GU_406490</t>
  </si>
  <si>
    <t>TB5</t>
  </si>
  <si>
    <t>520.73</t>
  </si>
  <si>
    <t xml:space="preserve">Lendrums Bridge (1) Wind Farm                                 </t>
  </si>
  <si>
    <t>GU_504050</t>
  </si>
  <si>
    <t>LEN</t>
  </si>
  <si>
    <t xml:space="preserve">Lendrums Bridge (2) Wind Farm	</t>
  </si>
  <si>
    <t>GU_504070</t>
  </si>
  <si>
    <t>LEN1</t>
  </si>
  <si>
    <t xml:space="preserve">Hunter's Hill Wind Farm                                       </t>
  </si>
  <si>
    <t>GU_501040</t>
  </si>
  <si>
    <t>HUN</t>
  </si>
  <si>
    <t xml:space="preserve">Tappaghan Wind Farm                                           </t>
  </si>
  <si>
    <t>GU_500010</t>
  </si>
  <si>
    <t>TAP</t>
  </si>
  <si>
    <t xml:space="preserve">Screggagh Wind Farm                                           </t>
  </si>
  <si>
    <t>GU_503850</t>
  </si>
  <si>
    <t>SCR</t>
  </si>
  <si>
    <t xml:space="preserve">Liffey 1 Generator Unit                                       </t>
  </si>
  <si>
    <t>GU_400250</t>
  </si>
  <si>
    <t>LI1</t>
  </si>
  <si>
    <t xml:space="preserve">Liffey 2 Generator Unit                                       </t>
  </si>
  <si>
    <t>GU_400251</t>
  </si>
  <si>
    <t>LI2</t>
  </si>
  <si>
    <t xml:space="preserve">Liffey 3 Hydro Unit                                           </t>
  </si>
  <si>
    <t>GU_401220</t>
  </si>
  <si>
    <t>LI3</t>
  </si>
  <si>
    <t xml:space="preserve">Liffey 4 Generator Unit                                       </t>
  </si>
  <si>
    <t>GU_400252</t>
  </si>
  <si>
    <t>LI4</t>
  </si>
  <si>
    <t xml:space="preserve">Liffey 5 Generator Unit                                       </t>
  </si>
  <si>
    <t>GU_400260</t>
  </si>
  <si>
    <t>LI5</t>
  </si>
  <si>
    <t xml:space="preserve">Poolbeg_OCGT			</t>
  </si>
  <si>
    <t>GU_403620</t>
  </si>
  <si>
    <t>PB7</t>
  </si>
  <si>
    <t xml:space="preserve">Dublin Waste to Energy                                        </t>
  </si>
  <si>
    <t>GU_402030</t>
  </si>
  <si>
    <t>DW1</t>
  </si>
  <si>
    <t>19685.78</t>
  </si>
  <si>
    <t xml:space="preserve">Long Mountain Wind Farm                                       </t>
  </si>
  <si>
    <t>GU_503810</t>
  </si>
  <si>
    <t>LMT</t>
  </si>
  <si>
    <t xml:space="preserve">Altaveedan Wind Farm                                          </t>
  </si>
  <si>
    <t>GU_501620</t>
  </si>
  <si>
    <t>AVN</t>
  </si>
  <si>
    <t xml:space="preserve">Rasharkin PV (Bann Road PV) Solar Farm                        </t>
  </si>
  <si>
    <t>GU_501630</t>
  </si>
  <si>
    <t>BNP</t>
  </si>
  <si>
    <t xml:space="preserve">Grouselodge Windfarm (Gen Unit)                               </t>
  </si>
  <si>
    <t>GU_401090</t>
  </si>
  <si>
    <t>GW1</t>
  </si>
  <si>
    <t xml:space="preserve">Rathcahill West Windfarm                                      </t>
  </si>
  <si>
    <t>GU_401080</t>
  </si>
  <si>
    <t>RC1</t>
  </si>
  <si>
    <t xml:space="preserve">Rathnaskilloge Solar Farm	</t>
  </si>
  <si>
    <t>GU_407040</t>
  </si>
  <si>
    <t>RT1</t>
  </si>
  <si>
    <t xml:space="preserve">Bindoo Generator Unit                                         </t>
  </si>
  <si>
    <t>GU_400050</t>
  </si>
  <si>
    <t>BD1</t>
  </si>
  <si>
    <t xml:space="preserve">Mountain Lodge Wind Farm                                      </t>
  </si>
  <si>
    <t>GU_400620</t>
  </si>
  <si>
    <t>ML1</t>
  </si>
  <si>
    <t xml:space="preserve">Knocknagoum Windfarm Limited                                  </t>
  </si>
  <si>
    <t>GU_401350</t>
  </si>
  <si>
    <t>KM1</t>
  </si>
  <si>
    <t xml:space="preserve">Muingnaminnane Generator Unit                                 </t>
  </si>
  <si>
    <t>GU_400960</t>
  </si>
  <si>
    <t>MU1</t>
  </si>
  <si>
    <t xml:space="preserve">Rosspile Solar			</t>
  </si>
  <si>
    <t>GU_405150</t>
  </si>
  <si>
    <t>RO1</t>
  </si>
  <si>
    <t xml:space="preserve">Leitir Guingaid Wind Farm phase 1                             </t>
  </si>
  <si>
    <t>GU_401500</t>
  </si>
  <si>
    <t>LG1</t>
  </si>
  <si>
    <t>Carrickallen Windfarm</t>
  </si>
  <si>
    <t>GU_402220</t>
  </si>
  <si>
    <t>AL1</t>
  </si>
  <si>
    <t xml:space="preserve">Shannonbridge Generator Unit                                  </t>
  </si>
  <si>
    <t>GU_400370</t>
  </si>
  <si>
    <t>WO4</t>
  </si>
  <si>
    <t>Shannonbridge 1 TEG</t>
  </si>
  <si>
    <t>GU_406510</t>
  </si>
  <si>
    <t>SQ1</t>
  </si>
  <si>
    <t>1683.49</t>
  </si>
  <si>
    <t xml:space="preserve">Shellybanks PBA                                               </t>
  </si>
  <si>
    <t>GU_400324</t>
  </si>
  <si>
    <t>PBA</t>
  </si>
  <si>
    <t>43598.24</t>
  </si>
  <si>
    <t xml:space="preserve">Shellybanks PBB                                               </t>
  </si>
  <si>
    <t>GU_400325</t>
  </si>
  <si>
    <t>PBB</t>
  </si>
  <si>
    <t xml:space="preserve">Slieve Kirk Wind Farm                                         </t>
  </si>
  <si>
    <t>GU_501160</t>
  </si>
  <si>
    <t>SK1</t>
  </si>
  <si>
    <t xml:space="preserve">Derrinlough Windfarm		</t>
  </si>
  <si>
    <t>GU_406620</t>
  </si>
  <si>
    <t>DN1</t>
  </si>
  <si>
    <t>Carnmeen Generator</t>
  </si>
  <si>
    <t>GU_504340</t>
  </si>
  <si>
    <t>CMN</t>
  </si>
  <si>
    <t>23496.28</t>
  </si>
  <si>
    <t xml:space="preserve">Killala Windfarm                                              </t>
  </si>
  <si>
    <t>GU_403750</t>
  </si>
  <si>
    <t>KF1</t>
  </si>
  <si>
    <t xml:space="preserve">Tawnaghmore Peaking 1 Generator Unit                          </t>
  </si>
  <si>
    <t>GU_400780</t>
  </si>
  <si>
    <t>TP1</t>
  </si>
  <si>
    <t>879.73</t>
  </si>
  <si>
    <t xml:space="preserve">Tawnaghmore Peaking 3 Generator Unit                          </t>
  </si>
  <si>
    <t>GU_400781</t>
  </si>
  <si>
    <t>TP3</t>
  </si>
  <si>
    <t xml:space="preserve">Cnoc Windfarms                                                </t>
  </si>
  <si>
    <t>GU_401670</t>
  </si>
  <si>
    <t>AC1</t>
  </si>
  <si>
    <t xml:space="preserve">Ballybay Wind Farm                                            </t>
  </si>
  <si>
    <t>GU_404580</t>
  </si>
  <si>
    <t>BS1</t>
  </si>
  <si>
    <t xml:space="preserve">Cronalaght 2			</t>
  </si>
  <si>
    <t>GU_403840</t>
  </si>
  <si>
    <t>YC2</t>
  </si>
  <si>
    <t>Timahoe North Solar Farm</t>
  </si>
  <si>
    <t>GU_406590</t>
  </si>
  <si>
    <t>TE1</t>
  </si>
  <si>
    <t>Ballincollig Hill Generator Unit</t>
  </si>
  <si>
    <t>GU_401000</t>
  </si>
  <si>
    <t>BCW</t>
  </si>
  <si>
    <t xml:space="preserve">Tursillagh Windfarm                                           </t>
  </si>
  <si>
    <t>GU_403830</t>
  </si>
  <si>
    <t>TUR</t>
  </si>
  <si>
    <t>Gortfinbar Wind Farm</t>
  </si>
  <si>
    <t>GU_503800</t>
  </si>
  <si>
    <t>GFB</t>
  </si>
  <si>
    <t xml:space="preserve">Cregganconroe Wind Farm	</t>
  </si>
  <si>
    <t>GU_503940</t>
  </si>
  <si>
    <t>CNR</t>
  </si>
  <si>
    <t xml:space="preserve">Inishative Wind Farm                                          </t>
  </si>
  <si>
    <t>GU_503930</t>
  </si>
  <si>
    <t>INT</t>
  </si>
  <si>
    <t xml:space="preserve">Crockandun Wind Farm                                          </t>
  </si>
  <si>
    <t>GU_501710</t>
  </si>
  <si>
    <t>CDN</t>
  </si>
  <si>
    <t xml:space="preserve">Crockdun Wind Farm                                            </t>
  </si>
  <si>
    <t>GU_501430</t>
  </si>
  <si>
    <t>CKD</t>
  </si>
  <si>
    <t xml:space="preserve">Knockawarriga 2 Windfarm                                      </t>
  </si>
  <si>
    <t>GU_404290</t>
  </si>
  <si>
    <t>KW2</t>
  </si>
  <si>
    <t>Tullabeg Solar Farm</t>
  </si>
  <si>
    <t>GU_406470</t>
  </si>
  <si>
    <t>TL1</t>
  </si>
  <si>
    <t xml:space="preserve">Moanmore Windfarm Generator Unit                              </t>
  </si>
  <si>
    <t>GU_400970</t>
  </si>
  <si>
    <t>MMR</t>
  </si>
  <si>
    <t xml:space="preserve">Tullabrack Windfarm </t>
  </si>
  <si>
    <t>GU_402050</t>
  </si>
  <si>
    <t>TK1</t>
  </si>
  <si>
    <t xml:space="preserve">Turlough Hill 1 Generator Unit                                </t>
  </si>
  <si>
    <t>GU_400360</t>
  </si>
  <si>
    <t>TH1</t>
  </si>
  <si>
    <t>pump_storage</t>
  </si>
  <si>
    <t xml:space="preserve">Turlough Hill 2 Generator Unit                                </t>
  </si>
  <si>
    <t>GU_400361</t>
  </si>
  <si>
    <t>TH2</t>
  </si>
  <si>
    <t xml:space="preserve">Turlough Hill 3 Generator Unit                                </t>
  </si>
  <si>
    <t>GU_400362</t>
  </si>
  <si>
    <t>TH3</t>
  </si>
  <si>
    <t xml:space="preserve">Turlough Hill 4 Generator Unit                                </t>
  </si>
  <si>
    <t>GU_400363</t>
  </si>
  <si>
    <t>TH4</t>
  </si>
  <si>
    <t xml:space="preserve">Tynagh Generator Unit                                         </t>
  </si>
  <si>
    <t>GU_400530</t>
  </si>
  <si>
    <t>TYC</t>
  </si>
  <si>
    <t>98038.7</t>
  </si>
  <si>
    <t xml:space="preserve">Seecon Windfarm                                               </t>
  </si>
  <si>
    <t>GU_401990</t>
  </si>
  <si>
    <t>SO1</t>
  </si>
  <si>
    <t xml:space="preserve">Uggool Wind Farm                                              </t>
  </si>
  <si>
    <t>GU_401960</t>
  </si>
  <si>
    <t>UG1</t>
  </si>
  <si>
    <t xml:space="preserve">Ballymartin Wind Farm Phase 1                                 </t>
  </si>
  <si>
    <t>GU_401710</t>
  </si>
  <si>
    <t>BX1</t>
  </si>
  <si>
    <t xml:space="preserve">Ballymartin Wind Farm Phase 2                                 </t>
  </si>
  <si>
    <t>GU_401760</t>
  </si>
  <si>
    <t>BX2</t>
  </si>
  <si>
    <t xml:space="preserve">Carnsore Point Generator Unit                                 </t>
  </si>
  <si>
    <t>GU_400470</t>
  </si>
  <si>
    <t>CNS</t>
  </si>
  <si>
    <t xml:space="preserve">Richfield Generator Unit                                      </t>
  </si>
  <si>
    <t>GU_400080</t>
  </si>
  <si>
    <t>RF1</t>
  </si>
  <si>
    <t xml:space="preserve">Woodhouse Wind Farm                                           </t>
  </si>
  <si>
    <t>GU_401680</t>
  </si>
  <si>
    <t>WS1</t>
  </si>
  <si>
    <t>Aungierstown_110kV</t>
  </si>
  <si>
    <t>Airport Road_33kV</t>
  </si>
  <si>
    <t>Brinny_110kV</t>
  </si>
  <si>
    <t>CFD_I_Z_110</t>
  </si>
  <si>
    <t>Clonfad_110kV</t>
  </si>
  <si>
    <t>Castlefarm_110kV</t>
  </si>
  <si>
    <t>Croagh West_110kV</t>
  </si>
  <si>
    <t>Clutterland_110kV</t>
  </si>
  <si>
    <t>CNB_I_Z_110</t>
  </si>
  <si>
    <t>Coolnabacky_110kV</t>
  </si>
  <si>
    <t>Coleraine_33kV</t>
  </si>
  <si>
    <t>Coolkeeragh Power Station_33kV</t>
  </si>
  <si>
    <t>CRD_I_Z_110</t>
  </si>
  <si>
    <t>Croaghonagh_110kV</t>
  </si>
  <si>
    <t>Cregagh_33kV</t>
  </si>
  <si>
    <t>Creagh_33kV</t>
  </si>
  <si>
    <t>Curragha_110kV</t>
  </si>
  <si>
    <t>Curragha_33kV</t>
  </si>
  <si>
    <t>Coomataggart_110kV</t>
  </si>
  <si>
    <t>Deenes_110kV</t>
  </si>
  <si>
    <t>Dunfirth_110kV_Tee</t>
  </si>
  <si>
    <t>Donegall_33kV</t>
  </si>
  <si>
    <t>Doon_110kV</t>
  </si>
  <si>
    <t>Dromada_110kV</t>
  </si>
  <si>
    <t>Drumnakelly_33kV</t>
  </si>
  <si>
    <t>Dungannon_33kV</t>
  </si>
  <si>
    <t>Derrybrien_110kV</t>
  </si>
  <si>
    <t>Eden_110kV</t>
  </si>
  <si>
    <t>Eden_33kV</t>
  </si>
  <si>
    <t>Enniskillen_33kV</t>
  </si>
  <si>
    <t>Finaghy_33kV</t>
  </si>
  <si>
    <t>Glanlee_110kV</t>
  </si>
  <si>
    <t>GGT_I_Z_110</t>
  </si>
  <si>
    <t>Garrintaggart_110kV</t>
  </si>
  <si>
    <t>Glengormley_33kV</t>
  </si>
  <si>
    <t>GLN_I_Z_110</t>
  </si>
  <si>
    <t>Glen_110kV</t>
  </si>
  <si>
    <t>Gorman_33kV</t>
  </si>
  <si>
    <t>Garvagh_110kV</t>
  </si>
  <si>
    <t>HWN_I_Z_110</t>
  </si>
  <si>
    <t>Harristown_110kV</t>
  </si>
  <si>
    <t>Kilcarbery_110kV</t>
  </si>
  <si>
    <t>Kill Hill_110kV</t>
  </si>
  <si>
    <t>Killymallaght_33kV</t>
  </si>
  <si>
    <t>Knock_110kV</t>
  </si>
  <si>
    <t>Knock_33kV</t>
  </si>
  <si>
    <t>Kilpaddoge_110kV</t>
  </si>
  <si>
    <t>Kishoge_110kV</t>
  </si>
  <si>
    <t>Kellystown_220kV</t>
  </si>
  <si>
    <t>Larne_110kV</t>
  </si>
  <si>
    <t>Larne_33kV</t>
  </si>
  <si>
    <t>LCK_I_Z_110</t>
  </si>
  <si>
    <t>Lickny_110kV</t>
  </si>
  <si>
    <t>Lysaghtstown_110kV</t>
  </si>
  <si>
    <t>Limavady_110kV</t>
  </si>
  <si>
    <t>Limavady_33kV</t>
  </si>
  <si>
    <t>Lisburn_33kV</t>
  </si>
  <si>
    <t>Lisaghmore_110kV</t>
  </si>
  <si>
    <t>Lisaghmore_33kV</t>
  </si>
  <si>
    <t>Lenalea_110kV</t>
  </si>
  <si>
    <t>Loguestown_110kV</t>
  </si>
  <si>
    <t>Loguestown_33kV</t>
  </si>
  <si>
    <t>Longpoint_220kV</t>
  </si>
  <si>
    <t>Lislea_110kV</t>
  </si>
  <si>
    <t>Lodgewood_110kV</t>
  </si>
  <si>
    <t>Meentycat_110kV</t>
  </si>
  <si>
    <t>MGT_I_Z_110</t>
  </si>
  <si>
    <t>Mulgeeth_110kV</t>
  </si>
  <si>
    <t>Magherakeel Cluster_33kV</t>
  </si>
  <si>
    <t>Metro North_110kV</t>
  </si>
  <si>
    <t>Mulreavy_110kV</t>
  </si>
  <si>
    <t>Metro Airport_110kV</t>
  </si>
  <si>
    <t>Newtownards_110kV</t>
  </si>
  <si>
    <t>Newtownards_33kV</t>
  </si>
  <si>
    <t>Nenagh_110kV</t>
  </si>
  <si>
    <t>Newry_33kV</t>
  </si>
  <si>
    <t>Oldbridge_110kV</t>
  </si>
  <si>
    <t>Oldcourt_110kV</t>
  </si>
  <si>
    <t>Omagh_33kV</t>
  </si>
  <si>
    <t>Pottery Road_110kV</t>
  </si>
  <si>
    <t>PPT_I_Z_110</t>
  </si>
  <si>
    <t>Philipstown_110kV</t>
  </si>
  <si>
    <t>Pelletstown_110kV</t>
  </si>
  <si>
    <t>Rathgael_110kV</t>
  </si>
  <si>
    <t>Rathgael_33kV</t>
  </si>
  <si>
    <t>Rosspile_110kV</t>
  </si>
  <si>
    <t>Rosebank_110kV</t>
  </si>
  <si>
    <t>Rosebank_33kV</t>
  </si>
  <si>
    <t>Rasharkin Cluster_33kV</t>
  </si>
  <si>
    <t>Rathnaskillo_110kV</t>
  </si>
  <si>
    <t>Shelton Abbey_110kV</t>
  </si>
  <si>
    <t>Sealrock_110kV</t>
  </si>
  <si>
    <t>Srahnakilly_110kV</t>
  </si>
  <si>
    <t>Slievecallan_110kV</t>
  </si>
  <si>
    <t>Springtown_110kV</t>
  </si>
  <si>
    <t>Springtown_33kV</t>
  </si>
  <si>
    <t>Srananagh_220kV</t>
  </si>
  <si>
    <t>Strabane_33kV</t>
  </si>
  <si>
    <t>Stevenstown_110kV</t>
  </si>
  <si>
    <t>Timahoe_110kV</t>
  </si>
  <si>
    <t>Tipperary_110kV</t>
  </si>
  <si>
    <t>Tamnamore_33kV</t>
  </si>
  <si>
    <t>Tonroe_110kV</t>
  </si>
  <si>
    <t>Tremoge Cluster_33kV</t>
  </si>
  <si>
    <t>Tullabeg_110kV</t>
  </si>
  <si>
    <t>Waringstown_33kV</t>
  </si>
  <si>
    <t>Wexford_110kV</t>
  </si>
  <si>
    <t>Woodland_260kV</t>
  </si>
  <si>
    <t>260</t>
  </si>
  <si>
    <t>AGN(I)(Z)&gt;CBT(I)(Z)_110L1</t>
  </si>
  <si>
    <t>AGN(I)(Z)&gt;CBT(I)(Z)_110L2</t>
  </si>
  <si>
    <t>ATY(I)(Z)&gt;CNB(I)(Z)_110L1</t>
  </si>
  <si>
    <t>BGT(I)(Z)&gt;CNB(I)(Z)_110L1</t>
  </si>
  <si>
    <t>BGT_I_Z_110</t>
  </si>
  <si>
    <t>BGT(I)(Z)&gt;GGT(I)(Z)_110L1</t>
  </si>
  <si>
    <t>BGT(I)(Z)&gt;KKY(I)(Z)_110L1</t>
  </si>
  <si>
    <t>BKY(I)(Z)&gt;KCY(I)(Z)_110</t>
  </si>
  <si>
    <t>BLC(I)(Z)&gt;MNH(I)(Z)_110L1</t>
  </si>
  <si>
    <t>CBT(I)(Z)&gt;KCY(I)(Z)_110L1</t>
  </si>
  <si>
    <t>CDU(I)(Z)&gt;GLN(I)(Z)_110L1</t>
  </si>
  <si>
    <t>CFD(I)(Z)&gt;MUL(I)(Z)_110L1</t>
  </si>
  <si>
    <t>CFD(I)(Z)&gt;KIN(I)(Z)_110L1</t>
  </si>
  <si>
    <t>CLU(I)(Z)&gt;CBT(I)(Z)_110L1</t>
  </si>
  <si>
    <t>CLU(I)(Z)&gt;KUD(I)(Z)_110L1</t>
  </si>
  <si>
    <t>CNB(I)(Z)&gt;GGT(I)(T)_110L1</t>
  </si>
  <si>
    <t>CNB(I)(Z)&gt;PLS(I)(T)_110L1</t>
  </si>
  <si>
    <t>CNB(I)(Z)&gt;MP(I)(T)_380L1</t>
  </si>
  <si>
    <t>CNB(I)(Z)&gt;DSN(I)(T)_380L1</t>
  </si>
  <si>
    <t>CPS(N)(Z)&gt;CRD(N)(Z)_110L1</t>
  </si>
  <si>
    <t>CUL(I)(Z)&gt;RTO(I)(Z)_110L1</t>
  </si>
  <si>
    <t>CUS(I)(Z)&gt;PPT(I)(Z)_110L1</t>
  </si>
  <si>
    <t>DFR(I)(T)&gt;DFR(I)(Z)_110L1</t>
  </si>
  <si>
    <t>DFR(I)(Z)&gt;MGT(I)(Z)_110L1</t>
  </si>
  <si>
    <t>DGN(I)(Z)&gt;RTO(I)(Z)_110L1</t>
  </si>
  <si>
    <t>DRY(I)(Z)&gt;OBE(I)(Z)_110L1</t>
  </si>
  <si>
    <t>HWN(I)(Z)&gt;MGT(I)(Z)_110L1</t>
  </si>
  <si>
    <t>HWN(I)(Z)&gt;KIN(I)(Z)_110L1</t>
  </si>
  <si>
    <t>HWN(I)(Z)&gt;DFR(I)(T)_110L1</t>
  </si>
  <si>
    <t>KIN(I)(Z)&gt;DFR(I)(T)_110L1</t>
  </si>
  <si>
    <t>KRA(I)(Z)&gt;LGT(I)(T)_110L1</t>
  </si>
  <si>
    <t>KYT(I)(Z)&gt;MAY(I)(Z)_220L1</t>
  </si>
  <si>
    <t>KYT(I)(Z)&gt;WOO(I)(Z)_220L1</t>
  </si>
  <si>
    <t>LNA(I)(Z)&gt;TIV(I)(Z)_110L1</t>
  </si>
  <si>
    <t>LCK(I)(Z)&gt;MUL(I)(Z)_110L1</t>
  </si>
  <si>
    <t>LET(I)(Z)&gt;LNA(I)(Z)_110L1</t>
  </si>
  <si>
    <t>MID(I)(Z)&gt;LGT(I)(Z)_110L1</t>
  </si>
  <si>
    <t>MNH(I)(Z)&gt;MTA(I)(Z)_110L1</t>
  </si>
  <si>
    <t>PLA(I)(Z)&gt;OBE(I)(Z)_220L1</t>
  </si>
  <si>
    <t>PPT(I)(Z)&gt;PLS(I)(Z)_110L1</t>
  </si>
  <si>
    <t>RNW(I)(Z)&gt;DFR(I)(T)_110L1</t>
  </si>
  <si>
    <t>CNB_T4101</t>
  </si>
  <si>
    <t>CNB_I_Z_380</t>
  </si>
  <si>
    <t>CNB_T4102</t>
  </si>
  <si>
    <t>AIR_1</t>
  </si>
  <si>
    <t>AIR_N_Z_110</t>
  </si>
  <si>
    <t>AIR_2</t>
  </si>
  <si>
    <t>BLC(I)(Z)&gt;SHL(I)(Z)_220L1</t>
  </si>
  <si>
    <t>Ballyragget_110kV</t>
  </si>
  <si>
    <t>Airport Road_110kV</t>
  </si>
  <si>
    <t>Coolnabacky_380kV</t>
  </si>
  <si>
    <t>AGN(I)(Z)&gt;KSE(I)(Z)_110L1</t>
  </si>
  <si>
    <t>ROI/1</t>
  </si>
  <si>
    <t>ROI-W/2,ROI-SW/3a,ROI-SW/3b,ROI-SW/3c,ROI/1,ROI/1</t>
  </si>
  <si>
    <t>ROI-NW/4,ROI-W/1,ROI-W/2,ROI/1</t>
  </si>
  <si>
    <t>ROI-W/1,ROI-W/2,ROI/1</t>
  </si>
  <si>
    <t>ROI-NW/4,ROI-W/1,ROI-W/2,ROI-W/6,ROI-W/7,ROI-W/8,ROI/1</t>
  </si>
  <si>
    <t>ROI-W/2,ROI/1</t>
  </si>
  <si>
    <t>NI/2,NI/3,NI/4</t>
  </si>
  <si>
    <t>NI/4</t>
  </si>
  <si>
    <t>ROI-W/2,ROI-W/2,ROI/1</t>
  </si>
  <si>
    <t>ROI-NW/1,ROI-NW/3,ROI-NW/4,ROI-W/2,ROI/1</t>
  </si>
  <si>
    <t>NI/1,NI/4,NI/5</t>
  </si>
  <si>
    <t>ROI-NW/4,ROI-W/1,ROI-W/2,ROI-W/6,ROI/1</t>
  </si>
  <si>
    <t>ROI-NW/3,ROI-NW/4,ROI-W/2,ROI/1</t>
  </si>
  <si>
    <t>ROI-W/1,ROI-W/2,ROI-W/4,ROI/1</t>
  </si>
  <si>
    <t>ROI-W/2,ROI-SW/3c,ROI/1</t>
  </si>
  <si>
    <t>ROI-W/2</t>
  </si>
  <si>
    <t>NI/1,NI/4</t>
  </si>
  <si>
    <t>ROI-NW/3,ROI-NW/4,ROI-W/1,ROI-W/2,ROI/1</t>
  </si>
  <si>
    <t>ROI-NW/3,ROI-NW/4,ROI-W/1,ROI-W/2,ROI-W/6,ROI-W/8,ROI/1</t>
  </si>
  <si>
    <t>NI/2,NI/3</t>
  </si>
  <si>
    <t>ROI-NE/2</t>
  </si>
  <si>
    <t>NI/1,NI/4,NI/5,ROI-NW/3,ROI-NW/4,ROI-W/1,ROI-W/2,ROI/1</t>
  </si>
  <si>
    <t>NI/2,ROI/1</t>
  </si>
  <si>
    <t>NI/2,NI/4</t>
  </si>
  <si>
    <t>NI/4,ROI-W/2,ROI-SW/3a,ROI-SW/3b,ROI-SW/3c,ROI/1</t>
  </si>
  <si>
    <t>ROI-W/1,ROI-W/2,ROI-W/3,ROI/1</t>
  </si>
  <si>
    <t>ROI-W/1,ROI-W/2,ROI-W/5,ROI/1</t>
  </si>
  <si>
    <t>ROI-NE/1</t>
  </si>
  <si>
    <t>ROI-NW/2,ROI-NW/3,ROI-NW/4,ROI-W/2,ROI/1</t>
  </si>
  <si>
    <t>ROI-W/1,ROI-W/2,ROI-SW/2,ROI/1</t>
  </si>
  <si>
    <t>ROI-NE/1,ROI/1</t>
  </si>
  <si>
    <t>ROI-NW/3,ROI-NW/4,ROI-W/1,ROI-W/2,ROI-W/6,ROI-W/7,ROI-W/8,ROI/1</t>
  </si>
  <si>
    <t>Pro-Rata</t>
  </si>
  <si>
    <t>05/07/25 00:00</t>
  </si>
  <si>
    <t>05/07/25 00:30</t>
  </si>
  <si>
    <t>05/07/25 01:00</t>
  </si>
  <si>
    <t>05/07/25 01:30</t>
  </si>
  <si>
    <t>05/07/25 02:00</t>
  </si>
  <si>
    <t>05/07/25 02:30</t>
  </si>
  <si>
    <t>05/07/25 03:00</t>
  </si>
  <si>
    <t>05/07/25 03:30</t>
  </si>
  <si>
    <t>05/07/25 04:00</t>
  </si>
  <si>
    <t>05/07/25 04:30</t>
  </si>
  <si>
    <t>05/07/25 05:00</t>
  </si>
  <si>
    <t>05/07/25 05:30</t>
  </si>
  <si>
    <t>05/07/25 06:00</t>
  </si>
  <si>
    <t>05/07/25 06:30</t>
  </si>
  <si>
    <t>05/07/25 07:00</t>
  </si>
  <si>
    <t>05/07/25 07:30</t>
  </si>
  <si>
    <t>05/07/25 08:00</t>
  </si>
  <si>
    <t>05/07/25 08:30</t>
  </si>
  <si>
    <t>05/07/25 09:00</t>
  </si>
  <si>
    <t>05/07/25 09:30</t>
  </si>
  <si>
    <t>05/07/25 10:00</t>
  </si>
  <si>
    <t>05/07/25 10:30</t>
  </si>
  <si>
    <t>05/07/25 11:00</t>
  </si>
  <si>
    <t>05/07/25 11:30</t>
  </si>
  <si>
    <t>05/07/25 12:00</t>
  </si>
  <si>
    <t>05/07/25 12:30</t>
  </si>
  <si>
    <t>05/07/25 13:00</t>
  </si>
  <si>
    <t>05/07/25 13:30</t>
  </si>
  <si>
    <t>05/07/25 14:00</t>
  </si>
  <si>
    <t>05/07/25 14:30</t>
  </si>
  <si>
    <t>05/07/25 15:00</t>
  </si>
  <si>
    <t>05/07/25 15:30</t>
  </si>
  <si>
    <t>05/07/25 16:00</t>
  </si>
  <si>
    <t>05/07/25 16:30</t>
  </si>
  <si>
    <t>05/07/25 17:00</t>
  </si>
  <si>
    <t>05/07/25 17:30</t>
  </si>
  <si>
    <t>05/07/25 18:00</t>
  </si>
  <si>
    <t>05/07/25 18:30</t>
  </si>
  <si>
    <t>05/07/25 19:00</t>
  </si>
  <si>
    <t>05/07/25 19:30</t>
  </si>
  <si>
    <t>05/07/25 20:00</t>
  </si>
  <si>
    <t>05/07/25 20:30</t>
  </si>
  <si>
    <t>05/07/25 21:00</t>
  </si>
  <si>
    <t>05/07/25 21:30</t>
  </si>
  <si>
    <t>05/07/25 22:00</t>
  </si>
  <si>
    <t>05/07/25 22:30</t>
  </si>
  <si>
    <t>05/07/25 23:00</t>
  </si>
  <si>
    <t>05/07/25 23:30</t>
  </si>
  <si>
    <t>AGH_N_Z_110_PF0.99</t>
  </si>
  <si>
    <t>AIR_N_Z_110_PF0.99</t>
  </si>
  <si>
    <t>ANT_N_Z_110_PF0.98</t>
  </si>
  <si>
    <t>BAN_N_Z_33_PF0.99</t>
  </si>
  <si>
    <t>BMA_N_Z_110_PF0.95</t>
  </si>
  <si>
    <t>BNH_N_Z_110_PF0.99</t>
  </si>
  <si>
    <t>BNM_N_Z_110_PF0.99</t>
  </si>
  <si>
    <t>CAR_N_Z_110_PF0.99</t>
  </si>
  <si>
    <t>CEN_N_Z_110_PF0.99</t>
  </si>
  <si>
    <t>COL_N_Z_33_PF0.99</t>
  </si>
  <si>
    <t>CPS_N_Z_110_PF0.99</t>
  </si>
  <si>
    <t>CRE_N_Z_110_PF0.99</t>
  </si>
  <si>
    <t>CRG_N_Z_110_PF0.99</t>
  </si>
  <si>
    <t>DON_N_Z_110_PF0.99</t>
  </si>
  <si>
    <t>DRU_N_Z_33_PF0.99</t>
  </si>
  <si>
    <t>DUN_N_Z_110_PF0.99</t>
  </si>
  <si>
    <t>EDE_N_Z_110_PF0.99</t>
  </si>
  <si>
    <t>ENN_N_Z_33_PF0.99</t>
  </si>
  <si>
    <t>FIN_N_Z_33_PF0.99</t>
  </si>
  <si>
    <t>GLE_N_Z_33_PF0.99</t>
  </si>
  <si>
    <t>KNO_N_Z_110_PF0.99</t>
  </si>
  <si>
    <t>LAR_N_Z_110_PF0.99</t>
  </si>
  <si>
    <t>LIM_N_Z_33_PF0.99</t>
  </si>
  <si>
    <t>LIS_N_Z_33_PF0.99</t>
  </si>
  <si>
    <t>LMR_N_Z_110_PF0.98</t>
  </si>
  <si>
    <t>LOG_N_Z_110_PF0.98</t>
  </si>
  <si>
    <t>NAR_N_Z_110_PF0.99</t>
  </si>
  <si>
    <t>NEW_N_Z_33_PF0.99</t>
  </si>
  <si>
    <t>OMA_N_Z_110_PF0.99</t>
  </si>
  <si>
    <t>RAT_N_Z_33_PF0.99</t>
  </si>
  <si>
    <t>ROS_N_Z_110_PF0.99</t>
  </si>
  <si>
    <t>SPR_N_Z_110_PF0.99</t>
  </si>
  <si>
    <t>STR_N_Z_33_PF0.99</t>
  </si>
  <si>
    <t>WAR_N_Z_110_PF0.99</t>
  </si>
  <si>
    <t>AA_I_Z_110_PF0.993</t>
  </si>
  <si>
    <t>AGN_I_Z_110_PF0.95</t>
  </si>
  <si>
    <t>AHA_I_Z_110_PF0.998</t>
  </si>
  <si>
    <t>ANR_I_Z_110_PF0.95</t>
  </si>
  <si>
    <t>ARD_I_Z_110_PF0.99</t>
  </si>
  <si>
    <t>ARI_I_T_110_PF0.998</t>
  </si>
  <si>
    <t>ARK_I_Z_110_PF0.997</t>
  </si>
  <si>
    <t>ATH_I_Z_110_PF0.998</t>
  </si>
  <si>
    <t>ATY_I_Z_110_PF0.968</t>
  </si>
  <si>
    <t>BAL_I_Z_110_PF1</t>
  </si>
  <si>
    <t>BAN_I_Z_110_PF0.987</t>
  </si>
  <si>
    <t>BAR_I_T_110_PF1</t>
  </si>
  <si>
    <t>BDA_I_Z_110_PF0.95</t>
  </si>
  <si>
    <t>BDN_I_Z_110_PF0.96</t>
  </si>
  <si>
    <t>BDN_I_Z_110_PF0.95</t>
  </si>
  <si>
    <t>BEG_I_Z_110_PF1</t>
  </si>
  <si>
    <t>BIN_I_Z_110_PF0.99</t>
  </si>
  <si>
    <t>BK_I_Z_110_PF0.996</t>
  </si>
  <si>
    <t>BLC_I_Z_110_PF0.95</t>
  </si>
  <si>
    <t>BLI_I_Z_110_PF0.991</t>
  </si>
  <si>
    <t>BLK_I_Z_110_PF0.99</t>
  </si>
  <si>
    <t>BOG_I_Z_110_PF0.97</t>
  </si>
  <si>
    <t>BRI_I_Z_110_PF0.95</t>
  </si>
  <si>
    <t>BRY_I_Z_110_PF0.976</t>
  </si>
  <si>
    <t>BUT_I_Z_110_PF0.989</t>
  </si>
  <si>
    <t>CAH_I_Z_110_PF0.981</t>
  </si>
  <si>
    <t>CBG_I_Z_110_PF0.984</t>
  </si>
  <si>
    <t>CBR_I_Z_110_PF0.988</t>
  </si>
  <si>
    <t>CF_I_Z_110_PF0.964</t>
  </si>
  <si>
    <t>CFM_I_Z_110_PF0.95</t>
  </si>
  <si>
    <t>CHA_I_Z_110_PF0.96</t>
  </si>
  <si>
    <t>CKM_I_Z_110_PF0.998</t>
  </si>
  <si>
    <t>CLE_I_Z_220_PF0.95</t>
  </si>
  <si>
    <t>CLG_I_Z_110_PF0.95</t>
  </si>
  <si>
    <t>CLN_I_Z_110_PF0.925</t>
  </si>
  <si>
    <t>CLU_I_Z_110_PF0.95</t>
  </si>
  <si>
    <t>CLW_I_Z_110_PF0.991</t>
  </si>
  <si>
    <t>COL_I_Z_110_PF0.986</t>
  </si>
  <si>
    <t>COS_I_Z_110_PF0.989</t>
  </si>
  <si>
    <t>COW_I_Z_110_PF0.997</t>
  </si>
  <si>
    <t>CRA_I_Z_110_PF0.979</t>
  </si>
  <si>
    <t>CRO_I_Z_110_PF1</t>
  </si>
  <si>
    <t>CVW_I_Z_110_PF0.982</t>
  </si>
  <si>
    <t>DAL_I_T_110_PF0.987</t>
  </si>
  <si>
    <t>DDK_I_Z_110_PF0.986</t>
  </si>
  <si>
    <t>DFR_I_T_110_PF0.991</t>
  </si>
  <si>
    <t>DGN_I_Z_110_PF0.984</t>
  </si>
  <si>
    <t>DLT_I_Z_110_PF0.981</t>
  </si>
  <si>
    <t>DMY_I_Z_110_PF0.976</t>
  </si>
  <si>
    <t>DOO_I_Z_110_PF0.984</t>
  </si>
  <si>
    <t>DRU_I_Z_110_PF0.945</t>
  </si>
  <si>
    <t>DRY_I_Z_110_PF0.985</t>
  </si>
  <si>
    <t>ENN_I_Z_110_PF0.981</t>
  </si>
  <si>
    <t>FIN_I_Z_110_PF0.994</t>
  </si>
  <si>
    <t>FTT_I_Z_110_PF0.997</t>
  </si>
  <si>
    <t>GAL_I_Z_110_PF0.988</t>
  </si>
  <si>
    <t>GI_I_Z_110_PF0.952</t>
  </si>
  <si>
    <t>GIL_I_Z_110_PF0.95</t>
  </si>
  <si>
    <t>GLE_I_Z_110_PF0.998</t>
  </si>
  <si>
    <t>GRI_I_T_110_PF0.997</t>
  </si>
  <si>
    <t>GWE_I_Z_110_PF0.98</t>
  </si>
  <si>
    <t>GWE_I_Z_110_PF0.95</t>
  </si>
  <si>
    <t>HN_I_Z_220_PF0.95</t>
  </si>
  <si>
    <t>IKE_I_T_110_PF0.967</t>
  </si>
  <si>
    <t>INC_I_Z_110_PF0.995</t>
  </si>
  <si>
    <t>KBY_I_Z_110_PF0.993</t>
  </si>
  <si>
    <t>KCY_I_Z_110_PF0.95</t>
  </si>
  <si>
    <t>KER_I_Z_110_PF0.971</t>
  </si>
  <si>
    <t>KSE_I_Z_110_PF0.95</t>
  </si>
  <si>
    <t>KTL_I_Z_110_PF0.988</t>
  </si>
  <si>
    <t>KIN_I_Z_110_PF0.95</t>
  </si>
  <si>
    <t>KKY_I_Z_110_PF0.978</t>
  </si>
  <si>
    <t>KLM_I_Z_110_PF0.989</t>
  </si>
  <si>
    <t>KTN_I_Z_110_PF0.976</t>
  </si>
  <si>
    <t>KUR_I_Z_110_PF0.95</t>
  </si>
  <si>
    <t>KYT_I_Z_220_PF0.95</t>
  </si>
  <si>
    <t>LA_I_Z_110_PF0.984</t>
  </si>
  <si>
    <t>LET_I_Z_110_PF0.987</t>
  </si>
  <si>
    <t>LIB_I_Z_110_PF0.986</t>
  </si>
  <si>
    <t>LIM_I_Z_110_PF0.993</t>
  </si>
  <si>
    <t>LIS_I_Z_110_PF0.952</t>
  </si>
  <si>
    <t>MAC_I_Z_110_PF0.973</t>
  </si>
  <si>
    <t>MAL_I_Z_110_PF0.981</t>
  </si>
  <si>
    <t>MCE_I_Z_110_PF0.995</t>
  </si>
  <si>
    <t>MCE_I_Z_110_PF0.95</t>
  </si>
  <si>
    <t>MID_I_Z_110_PF0.98</t>
  </si>
  <si>
    <t>MLN_I_Z_110_PF0.95</t>
  </si>
  <si>
    <t>MON_I_Z_110_PF0.975</t>
  </si>
  <si>
    <t>MOY_I_Z_110_PF0.989</t>
  </si>
  <si>
    <t>MR_I_Z_110_PF0.992</t>
  </si>
  <si>
    <t>MTA_I_Z_110_PF0.95</t>
  </si>
  <si>
    <t>MTH_I_Z_110_PF0.938</t>
  </si>
  <si>
    <t>MTN_I_Z_110_PF0.95</t>
  </si>
  <si>
    <t>MUL_I_Z_110_PF0.985</t>
  </si>
  <si>
    <t>MUN_I_Z_110_PF0.95</t>
  </si>
  <si>
    <t>NAV_I_Z_110_PF0.98</t>
  </si>
  <si>
    <t>NEW_I_Z_110_PF0.981</t>
  </si>
  <si>
    <t>NEN_I_Z_110_PF0.954</t>
  </si>
  <si>
    <t>OBE_I_Z_110_PF0.95</t>
  </si>
  <si>
    <t>OLD_I_Z_110_PF0.95</t>
  </si>
  <si>
    <t>OUG_I_T_110_PF0.992</t>
  </si>
  <si>
    <t>PB_I_Z_110_PF0.989</t>
  </si>
  <si>
    <t>PLA_I_Z_110_PF0.95</t>
  </si>
  <si>
    <t>PLS_I_Z_110_PF0.979</t>
  </si>
  <si>
    <t>RAT_I_Z_110_PF0.993</t>
  </si>
  <si>
    <t>RIC_I_Z_110_PF0.972</t>
  </si>
  <si>
    <t>RNW_I_Z_110_PF0.95</t>
  </si>
  <si>
    <t>RYB_I_Z_110_PF0.95</t>
  </si>
  <si>
    <t>SCR_I_Z_110_PF0.999</t>
  </si>
  <si>
    <t>SHE_I_Z_110_PF0.95</t>
  </si>
  <si>
    <t>SHL_I_Z_220_PF0.997</t>
  </si>
  <si>
    <t>SKL_I_Z_110_PF0.993</t>
  </si>
  <si>
    <t>SLI_I_Z_110_PF0.996</t>
  </si>
  <si>
    <t>SNG_I_Z_110_PF0.992</t>
  </si>
  <si>
    <t>SBH_I_Z_110_PF0.95</t>
  </si>
  <si>
    <t>SOM_I_T_110_PF0.974</t>
  </si>
  <si>
    <t>STR_I_T_110_PF0.958</t>
  </si>
  <si>
    <t>TBG_I_Z_110_PF0.994</t>
  </si>
  <si>
    <t>TBK_I_T_110_PF0.931</t>
  </si>
  <si>
    <t>THU_I_Z_110_PF0.983</t>
  </si>
  <si>
    <t>TIP_I_Z_110_PF0.986</t>
  </si>
  <si>
    <t>TLK_I_Z_110_PF0.968</t>
  </si>
  <si>
    <t>TON_I_Z_110_PF0.925</t>
  </si>
  <si>
    <t>TRI_I_Z_110_PF1</t>
  </si>
  <si>
    <t>TRL_I_Z_110_PF0.99</t>
  </si>
  <si>
    <t>TSB_I_Z_110_PF0.977</t>
  </si>
  <si>
    <t>WAT_I_Z_110_PF0.986</t>
  </si>
  <si>
    <t>WEX_I_Z_110_PF0.979</t>
  </si>
  <si>
    <t>WHI_I_Z_110_PF0.95</t>
  </si>
  <si>
    <t>BIN_I_Z_110_PF0.999</t>
  </si>
  <si>
    <t>ROI</t>
  </si>
  <si>
    <t>NI</t>
  </si>
  <si>
    <t>S_NBMIN_ROImin,S_NBMIN_DubNB2,S_NBMIN_Dub_NB,S_NBMIN_DUB_L1,S_NBMIN_DUB_L2</t>
  </si>
  <si>
    <t>S_NBMIN_ROImin,S_REP_ROI,S_NBMIN_Dub_NB,S_NBMIN_DUB_L1,S_NBMIN_DUB_L2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</si>
</sst>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9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0" borderId="2" xfId="0" applyBorder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0" borderId="1" xfId="0" applyBorder="1"/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165" fontId="2" fillId="0" borderId="0" xfId="0" applyNumberFormat="1" applyFont="1" applyAlignment="1">
      <alignment horizontal="center"/>
    </xf>
    <xf numFmtId="0" fontId="8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rath.sharepoint.com/sites/EEE_STU_NayerPhD/Shared%20Documents/General/18.%20RES%20Research%20PSCC%202026%20Paper/ireland_transmission/PUB_DailyCommercialOfferData_202509161015_by_ResourceName.xlsx" TargetMode="External"/><Relationship Id="rId1" Type="http://schemas.openxmlformats.org/officeDocument/2006/relationships/externalLinkPath" Target="/sites/EEE_STU_NayerPhD/Shared%20Documents/General/18.%20RES%20Research%20PSCC%202026%20Paper/ireland_transmission/PUB_DailyCommercialOfferData_202509161015_by_ResourceNam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ilyCommercialOfferData"/>
    </sheetNames>
    <sheetDataSet>
      <sheetData sheetId="0">
        <row r="2">
          <cell r="A2" t="str">
            <v>DSU_401270</v>
          </cell>
          <cell r="C2" t="str">
            <v>0</v>
          </cell>
        </row>
        <row r="3">
          <cell r="A3" t="str">
            <v>DSU_401330</v>
          </cell>
          <cell r="C3" t="str">
            <v>1000</v>
          </cell>
        </row>
        <row r="4">
          <cell r="A4" t="str">
            <v>DSU_401400</v>
          </cell>
          <cell r="C4" t="str">
            <v>0</v>
          </cell>
        </row>
        <row r="5">
          <cell r="A5" t="str">
            <v>DSU_401490</v>
          </cell>
          <cell r="C5" t="str">
            <v>0</v>
          </cell>
        </row>
        <row r="6">
          <cell r="A6" t="str">
            <v>DSU_401530</v>
          </cell>
          <cell r="C6" t="str">
            <v>0</v>
          </cell>
        </row>
        <row r="7">
          <cell r="A7" t="str">
            <v>DSU_401590</v>
          </cell>
          <cell r="C7" t="str">
            <v>0</v>
          </cell>
        </row>
        <row r="8">
          <cell r="A8" t="str">
            <v>DSU_401610</v>
          </cell>
          <cell r="C8" t="str">
            <v>-160</v>
          </cell>
        </row>
        <row r="9">
          <cell r="A9" t="str">
            <v>DSU_401620</v>
          </cell>
          <cell r="C9" t="str">
            <v>0</v>
          </cell>
        </row>
        <row r="10">
          <cell r="A10" t="str">
            <v>DSU_401660</v>
          </cell>
          <cell r="C10" t="str">
            <v>412.44</v>
          </cell>
        </row>
        <row r="11">
          <cell r="A11" t="str">
            <v>DSU_401800</v>
          </cell>
          <cell r="C11" t="str">
            <v>0</v>
          </cell>
        </row>
        <row r="12">
          <cell r="A12" t="str">
            <v>DSU_401850</v>
          </cell>
          <cell r="C12" t="str">
            <v>0</v>
          </cell>
        </row>
        <row r="13">
          <cell r="A13" t="str">
            <v>DSU_401870</v>
          </cell>
          <cell r="C13" t="str">
            <v>-317.87</v>
          </cell>
        </row>
        <row r="14">
          <cell r="A14" t="str">
            <v>DSU_401880</v>
          </cell>
          <cell r="C14" t="str">
            <v>-260.89</v>
          </cell>
        </row>
        <row r="15">
          <cell r="A15" t="str">
            <v>DSU_401910</v>
          </cell>
          <cell r="C15" t="str">
            <v>-217</v>
          </cell>
        </row>
        <row r="16">
          <cell r="A16" t="str">
            <v>DSU_402040</v>
          </cell>
          <cell r="C16" t="str">
            <v>0</v>
          </cell>
        </row>
        <row r="17">
          <cell r="A17" t="str">
            <v>DSU_402090</v>
          </cell>
          <cell r="C17" t="str">
            <v>-316.73</v>
          </cell>
        </row>
        <row r="18">
          <cell r="A18" t="str">
            <v>DSU_402100</v>
          </cell>
          <cell r="C18" t="str">
            <v>-289.21</v>
          </cell>
        </row>
        <row r="19">
          <cell r="A19" t="str">
            <v>DSU_402120</v>
          </cell>
          <cell r="C19" t="str">
            <v>-231</v>
          </cell>
        </row>
        <row r="20">
          <cell r="A20" t="str">
            <v>DSU_402180</v>
          </cell>
          <cell r="C20" t="str">
            <v>0</v>
          </cell>
        </row>
        <row r="21">
          <cell r="A21" t="str">
            <v>DSU_403020</v>
          </cell>
          <cell r="C21" t="str">
            <v>0</v>
          </cell>
        </row>
        <row r="22">
          <cell r="A22" t="str">
            <v>DSU_403030</v>
          </cell>
          <cell r="C22" t="str">
            <v>0</v>
          </cell>
        </row>
        <row r="23">
          <cell r="A23" t="str">
            <v>DSU_403040</v>
          </cell>
          <cell r="C23" t="str">
            <v>0</v>
          </cell>
        </row>
        <row r="24">
          <cell r="A24" t="str">
            <v>DSU_403050</v>
          </cell>
          <cell r="C24" t="str">
            <v>0</v>
          </cell>
        </row>
        <row r="25">
          <cell r="A25" t="str">
            <v>DSU_403080</v>
          </cell>
          <cell r="C25" t="str">
            <v>0</v>
          </cell>
        </row>
        <row r="26">
          <cell r="A26" t="str">
            <v>DSU_403120</v>
          </cell>
          <cell r="C26" t="str">
            <v>0</v>
          </cell>
        </row>
        <row r="27">
          <cell r="A27" t="str">
            <v>DSU_403450</v>
          </cell>
          <cell r="C27" t="str">
            <v>0</v>
          </cell>
        </row>
        <row r="28">
          <cell r="A28" t="str">
            <v>DSU_403470</v>
          </cell>
          <cell r="C28" t="str">
            <v>0</v>
          </cell>
        </row>
        <row r="29">
          <cell r="A29" t="str">
            <v>DSU_403500</v>
          </cell>
          <cell r="C29" t="str">
            <v>412.44</v>
          </cell>
        </row>
        <row r="30">
          <cell r="A30" t="str">
            <v>DSU_403520</v>
          </cell>
          <cell r="C30" t="str">
            <v>0</v>
          </cell>
        </row>
        <row r="31">
          <cell r="A31" t="str">
            <v>DSU_403560</v>
          </cell>
          <cell r="C31" t="str">
            <v>0</v>
          </cell>
        </row>
        <row r="32">
          <cell r="A32" t="str">
            <v>DSU_403590</v>
          </cell>
          <cell r="C32" t="str">
            <v>0</v>
          </cell>
        </row>
        <row r="33">
          <cell r="A33" t="str">
            <v>DSU_403620</v>
          </cell>
          <cell r="C33" t="str">
            <v>0</v>
          </cell>
        </row>
        <row r="34">
          <cell r="A34" t="str">
            <v>DSU_403630</v>
          </cell>
          <cell r="C34" t="str">
            <v>0</v>
          </cell>
        </row>
        <row r="35">
          <cell r="A35" t="str">
            <v>DSU_403640</v>
          </cell>
          <cell r="C35" t="str">
            <v>0</v>
          </cell>
        </row>
        <row r="36">
          <cell r="A36" t="str">
            <v>DSU_403650</v>
          </cell>
          <cell r="C36" t="str">
            <v>464.74</v>
          </cell>
        </row>
        <row r="37">
          <cell r="A37" t="str">
            <v>DSU_403660</v>
          </cell>
          <cell r="C37" t="str">
            <v>0</v>
          </cell>
        </row>
        <row r="38">
          <cell r="A38" t="str">
            <v>DSU_403690</v>
          </cell>
          <cell r="C38" t="str">
            <v>0</v>
          </cell>
        </row>
        <row r="39">
          <cell r="A39" t="str">
            <v>DSU_403720</v>
          </cell>
          <cell r="C39" t="str">
            <v>0</v>
          </cell>
        </row>
        <row r="40">
          <cell r="A40" t="str">
            <v>DSU_403730</v>
          </cell>
          <cell r="C40" t="str">
            <v>0</v>
          </cell>
        </row>
        <row r="41">
          <cell r="A41" t="str">
            <v>DSU_403750</v>
          </cell>
          <cell r="C41" t="str">
            <v>0</v>
          </cell>
        </row>
        <row r="42">
          <cell r="A42" t="str">
            <v>DSU_403760</v>
          </cell>
          <cell r="C42" t="str">
            <v>0</v>
          </cell>
        </row>
        <row r="43">
          <cell r="A43" t="str">
            <v>DSU_403790</v>
          </cell>
          <cell r="C43" t="str">
            <v>5.16</v>
          </cell>
        </row>
        <row r="44">
          <cell r="A44" t="str">
            <v>DSU_403820</v>
          </cell>
          <cell r="C44" t="str">
            <v>412.44</v>
          </cell>
        </row>
        <row r="45">
          <cell r="A45" t="str">
            <v>DSU_501200</v>
          </cell>
          <cell r="C45" t="str">
            <v>169</v>
          </cell>
        </row>
        <row r="46">
          <cell r="A46" t="str">
            <v>DSU_501330</v>
          </cell>
          <cell r="C46" t="str">
            <v>412.44</v>
          </cell>
        </row>
        <row r="47">
          <cell r="A47" t="str">
            <v>DSU_501380</v>
          </cell>
          <cell r="C47" t="str">
            <v>0</v>
          </cell>
        </row>
        <row r="48">
          <cell r="A48" t="str">
            <v>DSU_501450</v>
          </cell>
          <cell r="C48" t="str">
            <v>0</v>
          </cell>
        </row>
        <row r="49">
          <cell r="A49" t="str">
            <v>DSU_501460</v>
          </cell>
          <cell r="C49" t="str">
            <v>0</v>
          </cell>
        </row>
        <row r="50">
          <cell r="A50" t="str">
            <v>DSU_501510</v>
          </cell>
          <cell r="C50" t="str">
            <v>0</v>
          </cell>
        </row>
        <row r="51">
          <cell r="A51" t="str">
            <v>DSU_501560</v>
          </cell>
          <cell r="C51" t="str">
            <v>412.44</v>
          </cell>
        </row>
        <row r="52">
          <cell r="A52" t="str">
            <v>DSU_501590</v>
          </cell>
          <cell r="C52" t="str">
            <v>0</v>
          </cell>
        </row>
        <row r="53">
          <cell r="A53" t="str">
            <v>DSU_501600</v>
          </cell>
          <cell r="C53" t="str">
            <v>0</v>
          </cell>
        </row>
        <row r="54">
          <cell r="A54" t="str">
            <v>DSU_501610</v>
          </cell>
          <cell r="C54" t="str">
            <v>0</v>
          </cell>
        </row>
        <row r="55">
          <cell r="A55" t="str">
            <v>DSU_503420</v>
          </cell>
          <cell r="C55" t="str">
            <v>288.59</v>
          </cell>
        </row>
        <row r="56">
          <cell r="A56" t="str">
            <v>DSU_503450</v>
          </cell>
          <cell r="C56" t="str">
            <v>329.02</v>
          </cell>
        </row>
        <row r="57">
          <cell r="A57" t="str">
            <v>DSU_503460</v>
          </cell>
          <cell r="C57" t="str">
            <v>0</v>
          </cell>
        </row>
        <row r="58">
          <cell r="A58" t="str">
            <v>DSU_503480</v>
          </cell>
          <cell r="C58" t="str">
            <v>288.59</v>
          </cell>
        </row>
        <row r="59">
          <cell r="A59" t="str">
            <v>DSU_503490</v>
          </cell>
          <cell r="C59" t="str">
            <v>0</v>
          </cell>
        </row>
        <row r="60">
          <cell r="A60" t="str">
            <v>DSU_503650</v>
          </cell>
          <cell r="C60" t="str">
            <v>0</v>
          </cell>
        </row>
        <row r="61">
          <cell r="A61" t="str">
            <v>GU_400120</v>
          </cell>
          <cell r="C61" t="str">
            <v>-1000</v>
          </cell>
        </row>
        <row r="62">
          <cell r="A62" t="str">
            <v>GU_400121</v>
          </cell>
          <cell r="C62" t="str">
            <v>-1000</v>
          </cell>
        </row>
        <row r="63">
          <cell r="A63" t="str">
            <v>GU_400181</v>
          </cell>
          <cell r="C63" t="str">
            <v>108.19</v>
          </cell>
        </row>
        <row r="64">
          <cell r="A64" t="str">
            <v>GU_400182</v>
          </cell>
          <cell r="C64" t="str">
            <v>108.18</v>
          </cell>
        </row>
        <row r="65">
          <cell r="A65" t="str">
            <v>GU_400183</v>
          </cell>
          <cell r="C65" t="str">
            <v>108.17</v>
          </cell>
        </row>
        <row r="66">
          <cell r="A66" t="str">
            <v>GU_400200</v>
          </cell>
          <cell r="C66" t="str">
            <v>0</v>
          </cell>
        </row>
        <row r="67">
          <cell r="A67" t="str">
            <v>GU_400201</v>
          </cell>
          <cell r="C67" t="str">
            <v>0</v>
          </cell>
        </row>
        <row r="68">
          <cell r="A68" t="str">
            <v>GU_400202</v>
          </cell>
          <cell r="C68" t="str">
            <v>0</v>
          </cell>
        </row>
        <row r="69">
          <cell r="A69" t="str">
            <v>GU_400203</v>
          </cell>
          <cell r="C69" t="str">
            <v>0</v>
          </cell>
        </row>
        <row r="70">
          <cell r="A70" t="str">
            <v>GU_400210</v>
          </cell>
          <cell r="C70" t="str">
            <v>0</v>
          </cell>
        </row>
        <row r="71">
          <cell r="A71" t="str">
            <v>GU_400211</v>
          </cell>
          <cell r="C71" t="str">
            <v>0</v>
          </cell>
        </row>
        <row r="72">
          <cell r="A72" t="str">
            <v>GU_400220</v>
          </cell>
          <cell r="C72" t="str">
            <v>0</v>
          </cell>
        </row>
        <row r="73">
          <cell r="A73" t="str">
            <v>GU_400221</v>
          </cell>
          <cell r="C73" t="str">
            <v>0</v>
          </cell>
        </row>
        <row r="74">
          <cell r="A74" t="str">
            <v>GU_400250</v>
          </cell>
          <cell r="C74" t="str">
            <v>0</v>
          </cell>
        </row>
        <row r="75">
          <cell r="A75" t="str">
            <v>GU_400251</v>
          </cell>
          <cell r="C75" t="str">
            <v>0</v>
          </cell>
        </row>
        <row r="76">
          <cell r="A76" t="str">
            <v>GU_400252</v>
          </cell>
          <cell r="C76" t="str">
            <v>0</v>
          </cell>
        </row>
        <row r="77">
          <cell r="A77" t="str">
            <v>GU_400260</v>
          </cell>
          <cell r="C77" t="str">
            <v>0</v>
          </cell>
        </row>
        <row r="78">
          <cell r="A78" t="str">
            <v>GU_400270</v>
          </cell>
          <cell r="C78" t="str">
            <v>143</v>
          </cell>
        </row>
        <row r="79">
          <cell r="A79" t="str">
            <v>GU_400271</v>
          </cell>
          <cell r="C79" t="str">
            <v>143</v>
          </cell>
        </row>
        <row r="80">
          <cell r="A80" t="str">
            <v>GU_400272</v>
          </cell>
          <cell r="C80" t="str">
            <v>143</v>
          </cell>
        </row>
        <row r="81">
          <cell r="A81" t="str">
            <v>GU_400280</v>
          </cell>
          <cell r="C81" t="str">
            <v>0</v>
          </cell>
        </row>
        <row r="82">
          <cell r="A82" t="str">
            <v>GU_400281</v>
          </cell>
          <cell r="C82" t="str">
            <v>0</v>
          </cell>
        </row>
        <row r="83">
          <cell r="A83" t="str">
            <v>GU_400290</v>
          </cell>
          <cell r="C83" t="str">
            <v>0</v>
          </cell>
        </row>
        <row r="84">
          <cell r="A84" t="str">
            <v>GU_400324</v>
          </cell>
          <cell r="C84" t="str">
            <v>77.63</v>
          </cell>
        </row>
        <row r="85">
          <cell r="A85" t="str">
            <v>GU_400325</v>
          </cell>
          <cell r="C85" t="str">
            <v>77.64</v>
          </cell>
        </row>
        <row r="86">
          <cell r="A86" t="str">
            <v>GU_400360</v>
          </cell>
          <cell r="C86" t="str">
            <v>-3.19</v>
          </cell>
        </row>
        <row r="87">
          <cell r="A87" t="str">
            <v>GU_400361</v>
          </cell>
          <cell r="C87" t="str">
            <v>-3.19</v>
          </cell>
        </row>
        <row r="88">
          <cell r="A88" t="str">
            <v>GU_400362</v>
          </cell>
          <cell r="C88" t="str">
            <v>-3.19</v>
          </cell>
        </row>
        <row r="89">
          <cell r="A89" t="str">
            <v>GU_400363</v>
          </cell>
          <cell r="C89" t="str">
            <v>-3.19</v>
          </cell>
        </row>
        <row r="90">
          <cell r="A90" t="str">
            <v>GU_400480</v>
          </cell>
          <cell r="C90" t="str">
            <v>59.7</v>
          </cell>
        </row>
        <row r="91">
          <cell r="A91" t="str">
            <v>GU_400500</v>
          </cell>
          <cell r="C91" t="str">
            <v>47.53</v>
          </cell>
        </row>
        <row r="92">
          <cell r="A92" t="str">
            <v>GU_400530</v>
          </cell>
          <cell r="C92" t="str">
            <v>26.6</v>
          </cell>
        </row>
        <row r="93">
          <cell r="A93" t="str">
            <v>GU_400540</v>
          </cell>
          <cell r="C93" t="str">
            <v>54.19</v>
          </cell>
        </row>
        <row r="94">
          <cell r="A94" t="str">
            <v>GU_400762</v>
          </cell>
          <cell r="C94" t="str">
            <v>71.88</v>
          </cell>
        </row>
        <row r="95">
          <cell r="A95" t="str">
            <v>GU_400770</v>
          </cell>
          <cell r="C95" t="str">
            <v>190.97</v>
          </cell>
        </row>
        <row r="96">
          <cell r="A96" t="str">
            <v>GU_400771</v>
          </cell>
          <cell r="C96" t="str">
            <v>190.97</v>
          </cell>
        </row>
        <row r="97">
          <cell r="A97" t="str">
            <v>GU_400780</v>
          </cell>
          <cell r="C97" t="str">
            <v>193.76</v>
          </cell>
        </row>
        <row r="98">
          <cell r="A98" t="str">
            <v>GU_400781</v>
          </cell>
          <cell r="C98" t="str">
            <v>193.76</v>
          </cell>
        </row>
        <row r="99">
          <cell r="A99" t="str">
            <v>GU_400850</v>
          </cell>
          <cell r="C99" t="str">
            <v>40.96</v>
          </cell>
        </row>
        <row r="100">
          <cell r="A100" t="str">
            <v>GU_400930</v>
          </cell>
          <cell r="C100" t="str">
            <v>48.65</v>
          </cell>
        </row>
        <row r="101">
          <cell r="A101" t="str">
            <v>GU_401010</v>
          </cell>
          <cell r="C101" t="str">
            <v>506.96</v>
          </cell>
        </row>
        <row r="102">
          <cell r="A102" t="str">
            <v>GU_401011</v>
          </cell>
          <cell r="C102" t="str">
            <v>506.95</v>
          </cell>
        </row>
        <row r="103">
          <cell r="A103" t="str">
            <v>GU_401230</v>
          </cell>
          <cell r="C103" t="str">
            <v>-5.77</v>
          </cell>
        </row>
        <row r="104">
          <cell r="A104" t="str">
            <v>GU_401860</v>
          </cell>
          <cell r="C104" t="str">
            <v>18.53</v>
          </cell>
        </row>
        <row r="105">
          <cell r="A105" t="str">
            <v>GU_402030</v>
          </cell>
          <cell r="C105" t="str">
            <v>-1</v>
          </cell>
        </row>
        <row r="106">
          <cell r="A106" t="str">
            <v>GU_403000</v>
          </cell>
          <cell r="C106" t="str">
            <v>424.84</v>
          </cell>
        </row>
        <row r="107">
          <cell r="A107" t="str">
            <v>GU_403450</v>
          </cell>
          <cell r="C107" t="str">
            <v>98.17</v>
          </cell>
        </row>
        <row r="108">
          <cell r="A108" t="str">
            <v>GU_403560</v>
          </cell>
          <cell r="C108" t="str">
            <v>-3.19</v>
          </cell>
        </row>
        <row r="109">
          <cell r="A109" t="str">
            <v>GU_403570</v>
          </cell>
          <cell r="C109" t="str">
            <v>-3.19</v>
          </cell>
        </row>
        <row r="110">
          <cell r="A110" t="str">
            <v>GU_403600</v>
          </cell>
          <cell r="C110" t="str">
            <v>-3.19</v>
          </cell>
        </row>
        <row r="111">
          <cell r="A111" t="str">
            <v>GU_403610</v>
          </cell>
          <cell r="C111" t="str">
            <v>108.86</v>
          </cell>
        </row>
        <row r="112">
          <cell r="A112" t="str">
            <v>GU_403620</v>
          </cell>
          <cell r="C112" t="str">
            <v>108.86</v>
          </cell>
        </row>
        <row r="113">
          <cell r="A113" t="str">
            <v>GU_403630</v>
          </cell>
          <cell r="C113" t="str">
            <v>-3.19</v>
          </cell>
        </row>
        <row r="114">
          <cell r="A114" t="str">
            <v>GU_403660</v>
          </cell>
          <cell r="C114" t="str">
            <v>-3.19</v>
          </cell>
        </row>
        <row r="115">
          <cell r="A115" t="str">
            <v>GU_403680</v>
          </cell>
          <cell r="C115" t="str">
            <v>111.57</v>
          </cell>
        </row>
        <row r="116">
          <cell r="A116" t="str">
            <v>GU_404010</v>
          </cell>
          <cell r="C116" t="str">
            <v>-435</v>
          </cell>
        </row>
        <row r="117">
          <cell r="A117" t="str">
            <v>GU_404260</v>
          </cell>
          <cell r="C117" t="str">
            <v>0</v>
          </cell>
        </row>
        <row r="118">
          <cell r="A118" t="str">
            <v>GU_404270</v>
          </cell>
          <cell r="C118" t="str">
            <v>0</v>
          </cell>
        </row>
        <row r="119">
          <cell r="A119" t="str">
            <v>GU_404380</v>
          </cell>
          <cell r="C119" t="str">
            <v>0</v>
          </cell>
        </row>
        <row r="120">
          <cell r="A120" t="str">
            <v>GU_404390</v>
          </cell>
          <cell r="C120" t="str">
            <v>0</v>
          </cell>
        </row>
        <row r="121">
          <cell r="A121" t="str">
            <v>GU_404510</v>
          </cell>
          <cell r="C121" t="str">
            <v>-239</v>
          </cell>
        </row>
        <row r="122">
          <cell r="A122" t="str">
            <v>GU_404520</v>
          </cell>
          <cell r="C122" t="str">
            <v>-316</v>
          </cell>
        </row>
        <row r="123">
          <cell r="A123" t="str">
            <v>GU_404530</v>
          </cell>
          <cell r="C123" t="str">
            <v>-95</v>
          </cell>
        </row>
        <row r="124">
          <cell r="A124" t="str">
            <v>GU_404540</v>
          </cell>
          <cell r="C124" t="str">
            <v>-95</v>
          </cell>
        </row>
        <row r="125">
          <cell r="A125" t="str">
            <v>GU_404550</v>
          </cell>
          <cell r="C125" t="str">
            <v>0</v>
          </cell>
        </row>
        <row r="126">
          <cell r="A126" t="str">
            <v>GU_404900</v>
          </cell>
          <cell r="C126" t="str">
            <v>-278</v>
          </cell>
        </row>
        <row r="127">
          <cell r="A127" t="str">
            <v>GU_404920</v>
          </cell>
          <cell r="C127" t="str">
            <v>-3.19</v>
          </cell>
        </row>
        <row r="128">
          <cell r="A128" t="str">
            <v>GU_405070</v>
          </cell>
          <cell r="C128" t="str">
            <v>-226</v>
          </cell>
        </row>
        <row r="129">
          <cell r="A129" t="str">
            <v>GU_405170</v>
          </cell>
          <cell r="C129" t="str">
            <v>-1000</v>
          </cell>
        </row>
        <row r="130">
          <cell r="A130" t="str">
            <v>GU_405850</v>
          </cell>
          <cell r="C130" t="str">
            <v>121.14</v>
          </cell>
        </row>
        <row r="131">
          <cell r="A131" t="str">
            <v>GU_405860</v>
          </cell>
          <cell r="C131" t="str">
            <v>125.79</v>
          </cell>
        </row>
        <row r="132">
          <cell r="A132" t="str">
            <v>GU_406490</v>
          </cell>
          <cell r="C132" t="str">
            <v>145.57</v>
          </cell>
        </row>
        <row r="133">
          <cell r="A133" t="str">
            <v>GU_406510</v>
          </cell>
          <cell r="C133" t="str">
            <v>132.62</v>
          </cell>
        </row>
        <row r="134">
          <cell r="A134" t="str">
            <v>GU_407320</v>
          </cell>
          <cell r="C134" t="str">
            <v>8.62</v>
          </cell>
        </row>
        <row r="135">
          <cell r="A135" t="str">
            <v>GU_407520</v>
          </cell>
          <cell r="C135" t="str">
            <v>0</v>
          </cell>
        </row>
        <row r="136">
          <cell r="A136" t="str">
            <v>GU_407530</v>
          </cell>
          <cell r="C136" t="str">
            <v>0</v>
          </cell>
        </row>
        <row r="137">
          <cell r="A137" t="str">
            <v>GU_407550</v>
          </cell>
          <cell r="C137" t="str">
            <v>-38</v>
          </cell>
        </row>
        <row r="138">
          <cell r="A138" t="str">
            <v>GU_407560</v>
          </cell>
          <cell r="C138" t="str">
            <v>98.17</v>
          </cell>
        </row>
        <row r="139">
          <cell r="A139" t="str">
            <v>GU_407570</v>
          </cell>
          <cell r="C139" t="str">
            <v>98.17</v>
          </cell>
        </row>
        <row r="140">
          <cell r="A140" t="str">
            <v>GU_407580</v>
          </cell>
          <cell r="C140" t="str">
            <v>98.17</v>
          </cell>
        </row>
        <row r="141">
          <cell r="A141" t="str">
            <v>GU_407590</v>
          </cell>
          <cell r="C141" t="str">
            <v>98.17</v>
          </cell>
        </row>
        <row r="142">
          <cell r="A142" t="str">
            <v>GU_407600</v>
          </cell>
          <cell r="C142" t="str">
            <v>98.17</v>
          </cell>
        </row>
        <row r="143">
          <cell r="A143" t="str">
            <v>GU_500040</v>
          </cell>
          <cell r="C143" t="str">
            <v>51.59</v>
          </cell>
        </row>
        <row r="144">
          <cell r="A144" t="str">
            <v>GU_500041</v>
          </cell>
          <cell r="C144" t="str">
            <v>206.04</v>
          </cell>
        </row>
        <row r="145">
          <cell r="A145" t="str">
            <v>GU_500283</v>
          </cell>
          <cell r="C145" t="str">
            <v>246.74</v>
          </cell>
        </row>
        <row r="146">
          <cell r="A146" t="str">
            <v>GU_500284</v>
          </cell>
          <cell r="C146" t="str">
            <v>246.74</v>
          </cell>
        </row>
        <row r="147">
          <cell r="A147" t="str">
            <v>GU_500820</v>
          </cell>
          <cell r="C147" t="str">
            <v>196.54</v>
          </cell>
        </row>
        <row r="148">
          <cell r="A148" t="str">
            <v>GU_500821</v>
          </cell>
          <cell r="C148" t="str">
            <v>196.54</v>
          </cell>
        </row>
        <row r="149">
          <cell r="A149" t="str">
            <v>GU_500824</v>
          </cell>
          <cell r="C149" t="str">
            <v>425.9</v>
          </cell>
        </row>
        <row r="150">
          <cell r="A150" t="str">
            <v>GU_500825</v>
          </cell>
          <cell r="C150" t="str">
            <v>425.9</v>
          </cell>
        </row>
        <row r="151">
          <cell r="A151" t="str">
            <v>GU_501130</v>
          </cell>
          <cell r="C151" t="str">
            <v>288.53</v>
          </cell>
        </row>
        <row r="152">
          <cell r="A152" t="str">
            <v>GU_501230</v>
          </cell>
          <cell r="C152" t="str">
            <v>0</v>
          </cell>
        </row>
        <row r="153">
          <cell r="A153" t="str">
            <v>GU_501350</v>
          </cell>
          <cell r="C153" t="str">
            <v>16.76</v>
          </cell>
        </row>
        <row r="154">
          <cell r="A154" t="str">
            <v>GU_503350</v>
          </cell>
          <cell r="C154" t="str">
            <v>0</v>
          </cell>
        </row>
        <row r="155">
          <cell r="A155" t="str">
            <v>GU_503720</v>
          </cell>
          <cell r="C155" t="str">
            <v>75.91</v>
          </cell>
        </row>
        <row r="156">
          <cell r="A156" t="str">
            <v>GU_503730</v>
          </cell>
          <cell r="C156" t="str">
            <v>75.91</v>
          </cell>
        </row>
        <row r="157">
          <cell r="A157" t="str">
            <v>GU_503740</v>
          </cell>
          <cell r="C157" t="str">
            <v>79.19</v>
          </cell>
        </row>
        <row r="158">
          <cell r="A158" t="str">
            <v>GU_503950</v>
          </cell>
          <cell r="C158" t="str">
            <v>-375</v>
          </cell>
        </row>
        <row r="159">
          <cell r="A159" t="str">
            <v>GU_503960</v>
          </cell>
          <cell r="C159" t="str">
            <v>-375</v>
          </cell>
        </row>
        <row r="160">
          <cell r="A160" t="str">
            <v>GU_503980</v>
          </cell>
          <cell r="C160" t="str">
            <v>0</v>
          </cell>
        </row>
        <row r="161">
          <cell r="A161" t="str">
            <v>GU_504110</v>
          </cell>
          <cell r="C161" t="str">
            <v>83.15</v>
          </cell>
        </row>
        <row r="162">
          <cell r="A162" t="str">
            <v>GU_504120</v>
          </cell>
          <cell r="C162" t="str">
            <v>83.15</v>
          </cell>
        </row>
        <row r="163">
          <cell r="A163" t="str">
            <v>GU_504250</v>
          </cell>
          <cell r="C163" t="str">
            <v>0</v>
          </cell>
        </row>
        <row r="164">
          <cell r="A164" t="str">
            <v>GU_504340</v>
          </cell>
          <cell r="C164" t="str">
            <v>331.49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ichard Nayer" id="{A3671517-355B-4537-A00D-5020116DFFF8}" userId="S::richard.nayer@strath.ac.uk::770fed74-69b6-4284-9339-98a70c2a0741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5-09-16T17:44:32.72" personId="{A3671517-355B-4537-A00D-5020116DFFF8}" id="{3A9C4E29-8E11-4D3E-B1D1-32492B0B0C78}">
    <text>Unvalidated assumption of 125% of continuous rating.</text>
  </threadedComment>
  <threadedComment ref="D6" dT="2024-08-02T09:43:38.04" personId="{A3671517-355B-4537-A00D-5020116DFFF8}" id="{CA172FA7-685B-43DF-9263-570648D2AC8E}">
    <text>Status to 0 if line taken to itself.</text>
  </threadedComment>
  <threadedComment ref="F10" dT="2024-08-02T09:40:58.03" personId="{A3671517-355B-4537-A00D-5020116DFFF8}" id="{CAE7B849-D060-4299-AB1D-B3B934D6B709}">
    <text>Changed from 0 to 0.0001 to allow solution.</text>
  </threadedComment>
  <threadedComment ref="C31" dT="2025-09-16T13:49:00.08" personId="{A3671517-355B-4537-A00D-5020116DFFF8}" id="{A9FB9B08-5785-43AA-B7EE-F1F078D469C8}">
    <text>Marked as LOD in TYTS, clearly linked to Lodgewood LWD).</text>
  </threadedComment>
  <threadedComment ref="D96" dT="2024-08-02T09:43:38.04" personId="{A3671517-355B-4537-A00D-5020116DFFF8}" id="{79A83861-13F0-43DA-B3C4-D9FE572E0809}">
    <text>Status to 0 if line taken to itself.</text>
  </threadedComment>
  <threadedComment ref="F109" dT="2024-08-02T09:40:58.03" personId="{A3671517-355B-4537-A00D-5020116DFFF8}" id="{23285821-3CEF-46C0-B6F6-6DFA6F7F207A}">
    <text>Changed from 0 to 0.0001 to allow solution.</text>
  </threadedComment>
  <threadedComment ref="B156" dT="2025-09-16T15:55:27.45" personId="{A3671517-355B-4537-A00D-5020116DFFF8}" id="{0CB4AEE9-DF7A-4754-8D11-0194C3399C3B}">
    <text>Changed to CTN (Cauteen)</text>
  </threadedComment>
  <threadedComment ref="A157" dT="2025-09-04T14:38:09.68" personId="{A3671517-355B-4537-A00D-5020116DFFF8}" id="{CDB95027-5D4B-4FC1-B1BB-DBF2FB526079}">
    <text>Changed from CBA to CBL - Cloghboola is connected to Trien (TRI), no CBA on diagram.</text>
  </threadedComment>
  <threadedComment ref="E162" dT="2025-10-01T10:09:42.37" personId="{A3671517-355B-4537-A00D-5020116DFFF8}" id="{72F84ABB-A821-4503-9427-BCC4C0FF4756}">
    <text>Very small value</text>
  </threadedComment>
  <threadedComment ref="E227" dT="2025-10-01T09:43:49.22" personId="{A3671517-355B-4537-A00D-5020116DFFF8}" id="{EC08CD65-0DAC-45C2-9306-6B02B718E0F4}">
    <text>Very small for 0 R</text>
  </threadedComment>
  <threadedComment ref="F227" dT="2025-10-01T09:43:49.22" personId="{A3671517-355B-4537-A00D-5020116DFFF8}" id="{2A7016F9-2D73-4DA6-8E79-C554CCFB492C}">
    <text>Very small for 0 X</text>
  </threadedComment>
  <threadedComment ref="E228" dT="2025-10-01T09:43:49.22" personId="{A3671517-355B-4537-A00D-5020116DFFF8}" id="{A09A1BD4-63E8-4972-9CC1-D04FF2F66C05}">
    <text>Very small for 0 R</text>
  </threadedComment>
  <threadedComment ref="E313" dT="2025-10-01T09:56:40.49" personId="{A3671517-355B-4537-A00D-5020116DFFF8}" id="{D0D8826C-C92C-4073-80C6-5E294CC5FD6C}">
    <text>Not defined in TYTS, assumed to be no losses.</text>
  </threadedComment>
  <threadedComment ref="F313" dT="2025-10-01T09:56:40.49" personId="{A3671517-355B-4537-A00D-5020116DFFF8}" id="{5FC72B35-975C-4DC9-A486-6E2BB71BA91A}">
    <text>Not defined in TYTS, assumed to be no losses.</text>
  </threadedComment>
  <threadedComment ref="G313" dT="2025-10-01T09:56:40.49" personId="{A3671517-355B-4537-A00D-5020116DFFF8}" id="{7AD9E0B9-6FEE-4195-A3C8-77391E37F2E9}">
    <text>Not defined in TYTS, assumed to be no losses.</text>
  </threadedComment>
  <threadedComment ref="I313" dT="2025-10-01T09:56:40.49" personId="{A3671517-355B-4537-A00D-5020116DFFF8}" id="{E80C6B14-3E4E-44B5-B9CA-D45E4F54D4A5}">
    <text>Not defined in TYTS, assumed to be as line from RNW</text>
  </threadedComment>
  <threadedComment ref="C330" dT="2025-09-16T14:12:21.16" personId="{A3671517-355B-4537-A00D-5020116DFFF8}" id="{3E57A1E0-2541-44BB-8F0B-DE7F26EADD8A}">
    <text>Drumquin Cluster, connected to DRO and OMA</text>
  </threadedComment>
  <threadedComment ref="D355" dT="2024-08-02T09:43:38.04" personId="{A3671517-355B-4537-A00D-5020116DFFF8}" id="{1E1A108C-8638-448E-BCD1-51B274AFF28E}">
    <text>Status to 0 if line taken to itself.</text>
  </threadedComment>
  <threadedComment ref="A389" dT="2025-09-16T13:59:19.01" personId="{A3671517-355B-4537-A00D-5020116DFFF8}" id="{BA584528-724C-46E1-B229-EAED96B05BE4}">
    <text>Great Island -&gt; Loughtown (Greenlink) Link.</text>
  </threadedComment>
  <threadedComment ref="E389" dT="2025-09-16T14:33:04.48" personId="{A3671517-355B-4537-A00D-5020116DFFF8}" id="{ADFFD22B-213F-4B5C-9D93-BC25202786F1}">
    <text>Equal to 0, set very small.</text>
  </threadedComment>
  <threadedComment ref="F389" dT="2025-09-16T14:33:04.48" personId="{A3671517-355B-4537-A00D-5020116DFFF8}" id="{D7024E1C-6017-4C99-B7AA-6F4D311E0E80}">
    <text>Equal to 0, set very small.</text>
  </threadedComment>
  <threadedComment ref="F450" dT="2024-08-02T09:40:58.03" personId="{A3671517-355B-4537-A00D-5020116DFFF8}" id="{F4397CAF-BE24-41B0-A502-0897C8DF55C6}">
    <text>Changed from 0 to 0.0001 to allow solution.</text>
  </threadedComment>
  <threadedComment ref="G514" dT="2025-09-16T14:56:46.49" personId="{A3671517-355B-4537-A00D-5020116DFFF8}" id="{09660962-9A12-4046-A23C-3B4EC88A55A0}">
    <text>Assumed to be as the 1km AUG - SK line.</text>
  </threadedComment>
  <threadedComment ref="I514" dT="2025-09-16T14:56:46.49" personId="{A3671517-355B-4537-A00D-5020116DFFF8}" id="{8170A905-36EF-4B45-85F3-43B3481FBBD3}">
    <text>Assumed to be as the 1km AUG - SK line.</text>
  </threadedComment>
  <threadedComment ref="D560" dT="2024-08-02T09:43:38.04" personId="{A3671517-355B-4537-A00D-5020116DFFF8}" id="{C26F89B8-04EA-4F07-B612-4E88723DEF83}">
    <text>Status to 0 if line taken to itself.</text>
  </threadedComment>
  <threadedComment ref="F563" dT="2024-08-02T09:40:58.03" personId="{A3671517-355B-4537-A00D-5020116DFFF8}" id="{03E15AA1-6594-419C-8060-FEEC9F911274}">
    <text>Changed from 0 to 0.0001 to allow solution.</text>
  </threadedComment>
  <threadedComment ref="F570" dT="2024-08-02T09:40:58.03" personId="{A3671517-355B-4537-A00D-5020116DFFF8}" id="{52BD8C2F-B4B8-411E-8464-CB063F01BE1A}">
    <text>Changed from 0 to 0.0001 to allow solution.</text>
  </threadedComment>
  <threadedComment ref="F591" dT="2024-08-02T09:40:58.03" personId="{A3671517-355B-4537-A00D-5020116DFFF8}" id="{AC6BB7D7-5460-4481-9377-CBCC7022BE22}">
    <text>Changed from 0 to 0.0001 to allow solution.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O1" dT="2025-09-04T14:38:09.68" personId="{A3671517-355B-4537-A00D-5020116DFFF8}" id="{98315978-7E36-4C62-8195-616928A90145}">
    <text>Changed from CBA to CBL - Cloghboola is connected to Trien (TRI), no CBA on diagram.</text>
  </threadedComment>
  <threadedComment ref="MU1" dT="2025-09-16T13:59:19.01" personId="{A3671517-355B-4537-A00D-5020116DFFF8}" id="{B6717718-51FB-42D2-8B63-D8EFFAD64CB8}">
    <text>Great Island -&gt; Loughtown (Greenlink) Link.</text>
  </threadedComment>
  <threadedComment ref="B2" dT="2025-10-03T10:15:11.94" personId="{A3671517-355B-4537-A00D-5020116DFFF8}" id="{7201D732-A6EE-4F65-8D0E-AC3CC9A05CEB}">
    <text>Unvalidated assumption of 80% of rating to account for N-1 limits.</text>
  </threadedComment>
  <threadedComment ref="RD2" dT="2025-09-16T17:40:49.61" personId="{A3671517-355B-4537-A00D-5020116DFFF8}" id="{EB750E09-E463-40E7-A1E3-455A5190F1EF}">
    <text>Limited to 450 MW total flow North to South or South to North in line with S_MWR_ROI.</text>
  </threadedComment>
  <threadedComment ref="RE2" dT="2025-09-16T17:40:49.61" personId="{A3671517-355B-4537-A00D-5020116DFFF8}" id="{3EAF7333-924B-4627-BECC-479BDAAC8EC7}">
    <text>Limited to 450 MW total flow North to South or South to North in line with S_MWR_ROI.</text>
  </threadedComment>
  <threadedComment ref="RG2" dT="2025-09-16T14:56:46.49" personId="{A3671517-355B-4537-A00D-5020116DFFF8}" id="{B2C854D2-0813-493D-BC11-FE12D359D5B0}">
    <text>Assumed to be as the 1km AUG - SK line.</text>
  </threadedComment>
  <threadedComment ref="B3" dT="2025-10-03T10:15:11.94" personId="{A3671517-355B-4537-A00D-5020116DFFF8}" id="{B0B6C3EA-4981-446E-811E-E3ACA9B1F798}">
    <text>Unvalidated assumption of 80% of rating to account for N-1 limits.</text>
  </threadedComment>
  <threadedComment ref="RD3" dT="2025-09-16T17:40:49.61" personId="{A3671517-355B-4537-A00D-5020116DFFF8}" id="{BD090073-634B-468D-A70A-42C230F80E9A}">
    <text>Limited to 450 MW total flow North to South or South to North in line with S_MWR_ROI.</text>
  </threadedComment>
  <threadedComment ref="RE3" dT="2025-09-16T17:40:49.61" personId="{A3671517-355B-4537-A00D-5020116DFFF8}" id="{E1F750FF-76FB-4724-B46C-C9C490DC5EB6}">
    <text>Limited to 450 MW total flow North to South or South to North in line with S_MWR_ROI.</text>
  </threadedComment>
  <threadedComment ref="RG3" dT="2025-09-16T14:56:46.49" personId="{A3671517-355B-4537-A00D-5020116DFFF8}" id="{7C158B3D-72E2-4E71-80C8-F82A60629A53}">
    <text>Assumed to be as the 1km AUG - SK line.</text>
  </threadedComment>
  <threadedComment ref="B4" dT="2025-10-03T10:15:11.94" personId="{A3671517-355B-4537-A00D-5020116DFFF8}" id="{428D395A-316F-428E-A931-BD85F5C14BDC}">
    <text>Unvalidated assumption of 80% of rating to account for N-1 limits.</text>
  </threadedComment>
  <threadedComment ref="RD4" dT="2025-09-16T17:40:49.61" personId="{A3671517-355B-4537-A00D-5020116DFFF8}" id="{2198994A-B06B-4B5C-9D12-86857E7A72DE}">
    <text>Limited to 450 MW total flow North to South or South to North in line with S_MWR_ROI.</text>
  </threadedComment>
  <threadedComment ref="RE4" dT="2025-09-16T17:40:49.61" personId="{A3671517-355B-4537-A00D-5020116DFFF8}" id="{C0242920-9498-497A-BCBE-9E38ECC6F62D}">
    <text>Limited to 450 MW total flow North to South or South to North in line with S_MWR_ROI.</text>
  </threadedComment>
  <threadedComment ref="RG4" dT="2025-09-16T14:56:46.49" personId="{A3671517-355B-4537-A00D-5020116DFFF8}" id="{B90FC3AE-EEC0-4836-80BC-03682FA8064C}">
    <text>Assumed to be as the 1km AUG - SK line.</text>
  </threadedComment>
  <threadedComment ref="B5" dT="2025-10-03T10:15:11.94" personId="{A3671517-355B-4537-A00D-5020116DFFF8}" id="{5CEF5ADB-3868-41A1-A49F-4DB5CA2EBB84}">
    <text>Unvalidated assumption of 80% of rating to account for N-1 limits.</text>
  </threadedComment>
  <threadedComment ref="RD5" dT="2025-09-16T17:40:49.61" personId="{A3671517-355B-4537-A00D-5020116DFFF8}" id="{99DB7308-F48A-493D-BC19-26FD3FFD7A0B}">
    <text>Limited to 450 MW total flow North to South or South to North in line with S_MWR_ROI.</text>
  </threadedComment>
  <threadedComment ref="RE5" dT="2025-09-16T17:40:49.61" personId="{A3671517-355B-4537-A00D-5020116DFFF8}" id="{461F3BF9-5906-423A-BC38-82FE35229BE1}">
    <text>Limited to 450 MW total flow North to South or South to North in line with S_MWR_ROI.</text>
  </threadedComment>
  <threadedComment ref="RG5" dT="2025-09-16T14:56:46.49" personId="{A3671517-355B-4537-A00D-5020116DFFF8}" id="{2FFBDD0C-4D88-48E9-93AB-1F16E9B71B61}">
    <text>Assumed to be as the 1km AUG - SK line.</text>
  </threadedComment>
  <threadedComment ref="B6" dT="2025-10-03T10:15:11.94" personId="{A3671517-355B-4537-A00D-5020116DFFF8}" id="{27ED942E-1698-4334-918B-9FB37C441200}">
    <text>Unvalidated assumption of 80% of rating to account for N-1 limits.</text>
  </threadedComment>
  <threadedComment ref="RD6" dT="2025-09-16T17:40:49.61" personId="{A3671517-355B-4537-A00D-5020116DFFF8}" id="{F18B9507-12F8-4AB9-9195-72CB11C197A1}">
    <text>Limited to 450 MW total flow North to South or South to North in line with S_MWR_ROI.</text>
  </threadedComment>
  <threadedComment ref="RE6" dT="2025-09-16T17:40:49.61" personId="{A3671517-355B-4537-A00D-5020116DFFF8}" id="{FA8E2CF2-2231-4F8D-BF14-9E59F683A284}">
    <text>Limited to 450 MW total flow North to South or South to North in line with S_MWR_ROI.</text>
  </threadedComment>
  <threadedComment ref="RG6" dT="2025-09-16T14:56:46.49" personId="{A3671517-355B-4537-A00D-5020116DFFF8}" id="{C2576373-3C4D-41D0-86CC-F9039882A2B1}">
    <text>Assumed to be as the 1km AUG - SK line.</text>
  </threadedComment>
  <threadedComment ref="B7" dT="2025-10-03T10:15:11.94" personId="{A3671517-355B-4537-A00D-5020116DFFF8}" id="{781F9DE4-DCF7-44A2-9628-016B695CA16A}">
    <text>Unvalidated assumption of 80% of rating to account for N-1 limits.</text>
  </threadedComment>
  <threadedComment ref="RD7" dT="2025-09-16T17:40:49.61" personId="{A3671517-355B-4537-A00D-5020116DFFF8}" id="{C6BE009A-6987-49A9-8345-9B94CF20C478}">
    <text>Limited to 450 MW total flow North to South or South to North in line with S_MWR_ROI.</text>
  </threadedComment>
  <threadedComment ref="RE7" dT="2025-09-16T17:40:49.61" personId="{A3671517-355B-4537-A00D-5020116DFFF8}" id="{A5CDBEF2-B0AB-4360-BF17-87D087389CDD}">
    <text>Limited to 450 MW total flow North to South or South to North in line with S_MWR_ROI.</text>
  </threadedComment>
  <threadedComment ref="RG7" dT="2025-09-16T14:56:46.49" personId="{A3671517-355B-4537-A00D-5020116DFFF8}" id="{F4F68247-90FA-490B-B47E-E1FE757FEA31}">
    <text>Assumed to be as the 1km AUG - SK line.</text>
  </threadedComment>
  <threadedComment ref="B8" dT="2025-10-03T10:15:11.94" personId="{A3671517-355B-4537-A00D-5020116DFFF8}" id="{2733C658-2217-4F5E-90F4-E538AD59DADC}">
    <text>Unvalidated assumption of 80% of rating to account for N-1 limits.</text>
  </threadedComment>
  <threadedComment ref="RD8" dT="2025-09-16T17:40:49.61" personId="{A3671517-355B-4537-A00D-5020116DFFF8}" id="{232F8C96-6437-4B3C-ABFF-05782C522F42}">
    <text>Limited to 450 MW total flow North to South or South to North in line with S_MWR_ROI.</text>
  </threadedComment>
  <threadedComment ref="RE8" dT="2025-09-16T17:40:49.61" personId="{A3671517-355B-4537-A00D-5020116DFFF8}" id="{ACB85A62-E4B2-4413-A0BD-CF95BE8DBEF9}">
    <text>Limited to 450 MW total flow North to South or South to North in line with S_MWR_ROI.</text>
  </threadedComment>
  <threadedComment ref="RG8" dT="2025-09-16T14:56:46.49" personId="{A3671517-355B-4537-A00D-5020116DFFF8}" id="{7DDA9683-7837-4D23-B2B4-A9D1A654B4F9}">
    <text>Assumed to be as the 1km AUG - SK line.</text>
  </threadedComment>
  <threadedComment ref="B9" dT="2025-10-03T10:15:11.94" personId="{A3671517-355B-4537-A00D-5020116DFFF8}" id="{C0A62749-D739-4744-8072-789A774638E3}">
    <text>Unvalidated assumption of 80% of rating to account for N-1 limits.</text>
  </threadedComment>
  <threadedComment ref="RD9" dT="2025-09-16T17:40:49.61" personId="{A3671517-355B-4537-A00D-5020116DFFF8}" id="{E6316A1C-0E1B-4578-B6F5-A2B3C813ECBE}">
    <text>Limited to 450 MW total flow North to South or South to North in line with S_MWR_ROI.</text>
  </threadedComment>
  <threadedComment ref="RE9" dT="2025-09-16T17:40:49.61" personId="{A3671517-355B-4537-A00D-5020116DFFF8}" id="{834FE14D-0239-4DC3-AA75-5443345111B1}">
    <text>Limited to 450 MW total flow North to South or South to North in line with S_MWR_ROI.</text>
  </threadedComment>
  <threadedComment ref="RG9" dT="2025-09-16T14:56:46.49" personId="{A3671517-355B-4537-A00D-5020116DFFF8}" id="{70392845-3053-478F-AC67-F6E844272F36}">
    <text>Assumed to be as the 1km AUG - SK line.</text>
  </threadedComment>
  <threadedComment ref="B10" dT="2025-10-03T10:15:11.94" personId="{A3671517-355B-4537-A00D-5020116DFFF8}" id="{B7C48F8B-FAD5-49B7-8430-FD776EF65DB0}">
    <text>Unvalidated assumption of 80% of rating to account for N-1 limits.</text>
  </threadedComment>
  <threadedComment ref="RD10" dT="2025-09-16T17:40:49.61" personId="{A3671517-355B-4537-A00D-5020116DFFF8}" id="{1495B731-D4BF-4133-954B-B4981705460C}">
    <text>Limited to 450 MW total flow North to South or South to North in line with S_MWR_ROI.</text>
  </threadedComment>
  <threadedComment ref="RE10" dT="2025-09-16T17:40:49.61" personId="{A3671517-355B-4537-A00D-5020116DFFF8}" id="{A4D2205C-188A-454D-A507-6DBDC45107CF}">
    <text>Limited to 450 MW total flow North to South or South to North in line with S_MWR_ROI.</text>
  </threadedComment>
  <threadedComment ref="RG10" dT="2025-09-16T14:56:46.49" personId="{A3671517-355B-4537-A00D-5020116DFFF8}" id="{CCC8DD52-00CB-497F-919F-E3AC1496485A}">
    <text>Assumed to be as the 1km AUG - SK line.</text>
  </threadedComment>
  <threadedComment ref="B11" dT="2025-10-03T10:15:11.94" personId="{A3671517-355B-4537-A00D-5020116DFFF8}" id="{787AE381-C0B6-4A66-9934-D7706C8AED04}">
    <text>Unvalidated assumption of 80% of rating to account for N-1 limits.</text>
  </threadedComment>
  <threadedComment ref="RD11" dT="2025-09-16T17:40:49.61" personId="{A3671517-355B-4537-A00D-5020116DFFF8}" id="{EB8A45A8-71F2-4D80-945A-160F5AA00875}">
    <text>Limited to 450 MW total flow North to South or South to North in line with S_MWR_ROI.</text>
  </threadedComment>
  <threadedComment ref="RE11" dT="2025-09-16T17:40:49.61" personId="{A3671517-355B-4537-A00D-5020116DFFF8}" id="{0E80F709-AF5F-4AA3-B4DE-0B3A85556A78}">
    <text>Limited to 450 MW total flow North to South or South to North in line with S_MWR_ROI.</text>
  </threadedComment>
  <threadedComment ref="RG11" dT="2025-09-16T14:56:46.49" personId="{A3671517-355B-4537-A00D-5020116DFFF8}" id="{D80B7074-D82E-4A31-B5D8-091607C87712}">
    <text>Assumed to be as the 1km AUG - SK line.</text>
  </threadedComment>
  <threadedComment ref="B12" dT="2025-10-03T10:15:11.94" personId="{A3671517-355B-4537-A00D-5020116DFFF8}" id="{56368264-87DE-44DD-B530-B2046D765CD8}">
    <text>Unvalidated assumption of 80% of rating to account for N-1 limits.</text>
  </threadedComment>
  <threadedComment ref="RD12" dT="2025-09-16T17:40:49.61" personId="{A3671517-355B-4537-A00D-5020116DFFF8}" id="{3C6EF863-08FF-4F7A-9BDA-D3601D8509E8}">
    <text>Limited to 450 MW total flow North to South or South to North in line with S_MWR_ROI.</text>
  </threadedComment>
  <threadedComment ref="RE12" dT="2025-09-16T17:40:49.61" personId="{A3671517-355B-4537-A00D-5020116DFFF8}" id="{1D6CE746-376A-43F5-B463-3795708FBDD2}">
    <text>Limited to 450 MW total flow North to South or South to North in line with S_MWR_ROI.</text>
  </threadedComment>
  <threadedComment ref="RG12" dT="2025-09-16T14:56:46.49" personId="{A3671517-355B-4537-A00D-5020116DFFF8}" id="{449A5EC4-AF3C-4131-A1FF-78051832D510}">
    <text>Assumed to be as the 1km AUG - SK line.</text>
  </threadedComment>
  <threadedComment ref="B13" dT="2025-10-03T10:15:11.94" personId="{A3671517-355B-4537-A00D-5020116DFFF8}" id="{7F7D3D45-E3DC-445F-BCAA-774BD085DD5C}">
    <text>Unvalidated assumption of 80% of rating to account for N-1 limits.</text>
  </threadedComment>
  <threadedComment ref="RD13" dT="2025-09-16T17:40:49.61" personId="{A3671517-355B-4537-A00D-5020116DFFF8}" id="{4DDCC4AF-00F0-4EFA-8B47-015142BFF614}">
    <text>Limited to 450 MW total flow North to South or South to North in line with S_MWR_ROI.</text>
  </threadedComment>
  <threadedComment ref="RE13" dT="2025-09-16T17:40:49.61" personId="{A3671517-355B-4537-A00D-5020116DFFF8}" id="{9968D4B8-4220-46D5-8A0E-5549C90FCB2B}">
    <text>Limited to 450 MW total flow North to South or South to North in line with S_MWR_ROI.</text>
  </threadedComment>
  <threadedComment ref="RG13" dT="2025-09-16T14:56:46.49" personId="{A3671517-355B-4537-A00D-5020116DFFF8}" id="{47E85D38-A865-4326-906F-EBB53983F59F}">
    <text>Assumed to be as the 1km AUG - SK line.</text>
  </threadedComment>
  <threadedComment ref="B14" dT="2025-10-03T10:15:11.94" personId="{A3671517-355B-4537-A00D-5020116DFFF8}" id="{24B99610-4391-4CF3-9ECE-4063BE267812}">
    <text>Unvalidated assumption of 80% of rating to account for N-1 limits.</text>
  </threadedComment>
  <threadedComment ref="RD14" dT="2025-09-16T17:40:49.61" personId="{A3671517-355B-4537-A00D-5020116DFFF8}" id="{735CC1F4-B906-47CC-8CCF-0B649F883F98}">
    <text>Limited to 450 MW total flow North to South or South to North in line with S_MWR_ROI.</text>
  </threadedComment>
  <threadedComment ref="RE14" dT="2025-09-16T17:40:49.61" personId="{A3671517-355B-4537-A00D-5020116DFFF8}" id="{CB21BDC9-89E3-4407-B590-FBBDA047927F}">
    <text>Limited to 450 MW total flow North to South or South to North in line with S_MWR_ROI.</text>
  </threadedComment>
  <threadedComment ref="RG14" dT="2025-09-16T14:56:46.49" personId="{A3671517-355B-4537-A00D-5020116DFFF8}" id="{A6BBF612-2346-4104-90E0-0ED7ED63855B}">
    <text>Assumed to be as the 1km AUG - SK line.</text>
  </threadedComment>
  <threadedComment ref="B15" dT="2025-10-03T10:15:11.94" personId="{A3671517-355B-4537-A00D-5020116DFFF8}" id="{305324CD-CB38-4199-8D09-A44AC2938A95}">
    <text>Unvalidated assumption of 80% of rating to account for N-1 limits.</text>
  </threadedComment>
  <threadedComment ref="RD15" dT="2025-09-16T17:40:49.61" personId="{A3671517-355B-4537-A00D-5020116DFFF8}" id="{1D36756B-C69A-4622-BF01-D07C254AD594}">
    <text>Limited to 450 MW total flow North to South or South to North in line with S_MWR_ROI.</text>
  </threadedComment>
  <threadedComment ref="RE15" dT="2025-09-16T17:40:49.61" personId="{A3671517-355B-4537-A00D-5020116DFFF8}" id="{CFF48AC6-B7DE-466F-B699-D2BC0F91AAF3}">
    <text>Limited to 450 MW total flow North to South or South to North in line with S_MWR_ROI.</text>
  </threadedComment>
  <threadedComment ref="RG15" dT="2025-09-16T14:56:46.49" personId="{A3671517-355B-4537-A00D-5020116DFFF8}" id="{1A32D8CD-596E-4C6E-A8FB-13E1B822146C}">
    <text>Assumed to be as the 1km AUG - SK line.</text>
  </threadedComment>
  <threadedComment ref="B16" dT="2025-10-03T10:15:11.94" personId="{A3671517-355B-4537-A00D-5020116DFFF8}" id="{75383AA2-5116-421B-905E-8CF5241AF603}">
    <text>Unvalidated assumption of 80% of rating to account for N-1 limits.</text>
  </threadedComment>
  <threadedComment ref="RD16" dT="2025-09-16T17:40:49.61" personId="{A3671517-355B-4537-A00D-5020116DFFF8}" id="{524EEC03-DC80-45D3-955D-8F19507FF1D1}">
    <text>Limited to 450 MW total flow North to South or South to North in line with S_MWR_ROI.</text>
  </threadedComment>
  <threadedComment ref="RE16" dT="2025-09-16T17:40:49.61" personId="{A3671517-355B-4537-A00D-5020116DFFF8}" id="{43AF3EC8-960A-472F-B4FC-9C7F75F9E2B1}">
    <text>Limited to 450 MW total flow North to South or South to North in line with S_MWR_ROI.</text>
  </threadedComment>
  <threadedComment ref="RG16" dT="2025-09-16T14:56:46.49" personId="{A3671517-355B-4537-A00D-5020116DFFF8}" id="{FE7DC535-8720-4156-BA16-A06C5EADC487}">
    <text>Assumed to be as the 1km AUG - SK line.</text>
  </threadedComment>
  <threadedComment ref="B17" dT="2025-10-03T10:15:11.94" personId="{A3671517-355B-4537-A00D-5020116DFFF8}" id="{ECEBF939-DB46-442E-BB31-A60DEF7FA215}">
    <text>Unvalidated assumption of 80% of rating to account for N-1 limits.</text>
  </threadedComment>
  <threadedComment ref="RD17" dT="2025-09-16T17:40:49.61" personId="{A3671517-355B-4537-A00D-5020116DFFF8}" id="{D7AAA3F0-CC71-4812-A92F-98BABB5244A4}">
    <text>Limited to 450 MW total flow North to South or South to North in line with S_MWR_ROI.</text>
  </threadedComment>
  <threadedComment ref="RE17" dT="2025-09-16T17:40:49.61" personId="{A3671517-355B-4537-A00D-5020116DFFF8}" id="{EFFDD9EE-77D0-4B3B-9955-4C6A119E77D7}">
    <text>Limited to 450 MW total flow North to South or South to North in line with S_MWR_ROI.</text>
  </threadedComment>
  <threadedComment ref="RG17" dT="2025-09-16T14:56:46.49" personId="{A3671517-355B-4537-A00D-5020116DFFF8}" id="{18B86517-89BF-4A6E-9D35-DC406A991257}">
    <text>Assumed to be as the 1km AUG - SK line.</text>
  </threadedComment>
  <threadedComment ref="B18" dT="2025-10-03T10:15:11.94" personId="{A3671517-355B-4537-A00D-5020116DFFF8}" id="{DBED17A6-4EF0-4C2D-A3F5-5401568D9FF6}">
    <text>Unvalidated assumption of 80% of rating to account for N-1 limits.</text>
  </threadedComment>
  <threadedComment ref="RD18" dT="2025-09-16T17:40:49.61" personId="{A3671517-355B-4537-A00D-5020116DFFF8}" id="{4CBDF8DD-A6F9-44BD-94FE-3578A284D000}">
    <text>Limited to 450 MW total flow North to South or South to North in line with S_MWR_ROI.</text>
  </threadedComment>
  <threadedComment ref="RE18" dT="2025-09-16T17:40:49.61" personId="{A3671517-355B-4537-A00D-5020116DFFF8}" id="{0913F608-A36C-4AAA-A93A-F1060FF31F74}">
    <text>Limited to 450 MW total flow North to South or South to North in line with S_MWR_ROI.</text>
  </threadedComment>
  <threadedComment ref="RG18" dT="2025-09-16T14:56:46.49" personId="{A3671517-355B-4537-A00D-5020116DFFF8}" id="{D91321B1-C784-4446-AFCA-62D10C3B3F5F}">
    <text>Assumed to be as the 1km AUG - SK line.</text>
  </threadedComment>
  <threadedComment ref="B19" dT="2025-10-03T10:15:11.94" personId="{A3671517-355B-4537-A00D-5020116DFFF8}" id="{26326EAE-B8FF-44C5-ACB5-0AF3162F95FA}">
    <text>Unvalidated assumption of 80% of rating to account for N-1 limits.</text>
  </threadedComment>
  <threadedComment ref="RD19" dT="2025-09-16T17:40:49.61" personId="{A3671517-355B-4537-A00D-5020116DFFF8}" id="{8D63707A-E234-47E7-9177-CF2657E16315}">
    <text>Limited to 450 MW total flow North to South or South to North in line with S_MWR_ROI.</text>
  </threadedComment>
  <threadedComment ref="RE19" dT="2025-09-16T17:40:49.61" personId="{A3671517-355B-4537-A00D-5020116DFFF8}" id="{73EE6132-727A-4578-9F01-8243CF355816}">
    <text>Limited to 450 MW total flow North to South or South to North in line with S_MWR_ROI.</text>
  </threadedComment>
  <threadedComment ref="RG19" dT="2025-09-16T14:56:46.49" personId="{A3671517-355B-4537-A00D-5020116DFFF8}" id="{E74EED98-1E23-430F-B4E0-CFB3033470F9}">
    <text>Assumed to be as the 1km AUG - SK line.</text>
  </threadedComment>
  <threadedComment ref="B20" dT="2025-10-03T10:15:11.94" personId="{A3671517-355B-4537-A00D-5020116DFFF8}" id="{61DCEC6C-A90B-4176-8CFC-C86EF4989D06}">
    <text>Unvalidated assumption of 80% of rating to account for N-1 limits.</text>
  </threadedComment>
  <threadedComment ref="RD20" dT="2025-09-16T17:40:49.61" personId="{A3671517-355B-4537-A00D-5020116DFFF8}" id="{9526F0B4-A190-4A1F-B6D6-AD143195209C}">
    <text>Limited to 450 MW total flow North to South or South to North in line with S_MWR_ROI.</text>
  </threadedComment>
  <threadedComment ref="RE20" dT="2025-09-16T17:40:49.61" personId="{A3671517-355B-4537-A00D-5020116DFFF8}" id="{FA0DB152-8279-4402-AD65-30D30308999E}">
    <text>Limited to 450 MW total flow North to South or South to North in line with S_MWR_ROI.</text>
  </threadedComment>
  <threadedComment ref="RG20" dT="2025-09-16T14:56:46.49" personId="{A3671517-355B-4537-A00D-5020116DFFF8}" id="{98447147-4FA4-4AAB-8C8F-64BCE4880F10}">
    <text>Assumed to be as the 1km AUG - SK line.</text>
  </threadedComment>
  <threadedComment ref="B21" dT="2025-10-03T10:15:11.94" personId="{A3671517-355B-4537-A00D-5020116DFFF8}" id="{CC183809-3CC2-461A-8A86-9CEF06A6DAE4}">
    <text>Unvalidated assumption of 80% of rating to account for N-1 limits.</text>
  </threadedComment>
  <threadedComment ref="RD21" dT="2025-09-16T17:40:49.61" personId="{A3671517-355B-4537-A00D-5020116DFFF8}" id="{4ADEC6E8-8CB1-4564-837E-5CCCACD94F1F}">
    <text>Limited to 450 MW total flow North to South or South to North in line with S_MWR_ROI.</text>
  </threadedComment>
  <threadedComment ref="RE21" dT="2025-09-16T17:40:49.61" personId="{A3671517-355B-4537-A00D-5020116DFFF8}" id="{82EA2A2D-3B01-4C8F-BE41-88E7114855BD}">
    <text>Limited to 450 MW total flow North to South or South to North in line with S_MWR_ROI.</text>
  </threadedComment>
  <threadedComment ref="RG21" dT="2025-09-16T14:56:46.49" personId="{A3671517-355B-4537-A00D-5020116DFFF8}" id="{A5987083-B076-4893-87F1-D069616A87E5}">
    <text>Assumed to be as the 1km AUG - SK line.</text>
  </threadedComment>
  <threadedComment ref="B22" dT="2025-10-03T10:15:11.94" personId="{A3671517-355B-4537-A00D-5020116DFFF8}" id="{B73A6F83-C81C-424A-BF91-9C5AA50402EF}">
    <text>Unvalidated assumption of 80% of rating to account for N-1 limits.</text>
  </threadedComment>
  <threadedComment ref="RD22" dT="2025-09-16T17:40:49.61" personId="{A3671517-355B-4537-A00D-5020116DFFF8}" id="{7AEA1AAD-FBAB-44E7-8F02-62E498C97897}">
    <text>Limited to 450 MW total flow North to South or South to North in line with S_MWR_ROI.</text>
  </threadedComment>
  <threadedComment ref="RE22" dT="2025-09-16T17:40:49.61" personId="{A3671517-355B-4537-A00D-5020116DFFF8}" id="{78F3326F-B9B1-42A7-B6C9-B2282EB22FA8}">
    <text>Limited to 450 MW total flow North to South or South to North in line with S_MWR_ROI.</text>
  </threadedComment>
  <threadedComment ref="RG22" dT="2025-09-16T14:56:46.49" personId="{A3671517-355B-4537-A00D-5020116DFFF8}" id="{234E0991-07AF-4C1A-86EB-4E9F78D6010A}">
    <text>Assumed to be as the 1km AUG - SK line.</text>
  </threadedComment>
  <threadedComment ref="B23" dT="2025-10-03T10:15:11.94" personId="{A3671517-355B-4537-A00D-5020116DFFF8}" id="{D7D45989-349F-4813-8382-5E1B95885972}">
    <text>Unvalidated assumption of 80% of rating to account for N-1 limits.</text>
  </threadedComment>
  <threadedComment ref="RD23" dT="2025-09-16T17:40:49.61" personId="{A3671517-355B-4537-A00D-5020116DFFF8}" id="{E60443D0-DD49-4CBC-AB4C-496DC1013019}">
    <text>Limited to 450 MW total flow North to South or South to North in line with S_MWR_ROI.</text>
  </threadedComment>
  <threadedComment ref="RE23" dT="2025-09-16T17:40:49.61" personId="{A3671517-355B-4537-A00D-5020116DFFF8}" id="{C63D5A55-25C8-41DA-835C-45E810D3A09F}">
    <text>Limited to 450 MW total flow North to South or South to North in line with S_MWR_ROI.</text>
  </threadedComment>
  <threadedComment ref="RG23" dT="2025-09-16T14:56:46.49" personId="{A3671517-355B-4537-A00D-5020116DFFF8}" id="{CDEB08B8-229B-4F0B-8FA5-79810D29FAF7}">
    <text>Assumed to be as the 1km AUG - SK line.</text>
  </threadedComment>
  <threadedComment ref="B24" dT="2025-10-03T10:15:11.94" personId="{A3671517-355B-4537-A00D-5020116DFFF8}" id="{C1E53F62-84F1-4F80-9852-F25F42BBEC94}">
    <text>Unvalidated assumption of 80% of rating to account for N-1 limits.</text>
  </threadedComment>
  <threadedComment ref="RD24" dT="2025-09-16T17:40:49.61" personId="{A3671517-355B-4537-A00D-5020116DFFF8}" id="{2CB540C8-9CE6-4E39-B086-8C7AEC7A6807}">
    <text>Limited to 450 MW total flow North to South or South to North in line with S_MWR_ROI.</text>
  </threadedComment>
  <threadedComment ref="RE24" dT="2025-09-16T17:40:49.61" personId="{A3671517-355B-4537-A00D-5020116DFFF8}" id="{D693CA0F-B36D-4FDA-94FF-52084E7BCA12}">
    <text>Limited to 450 MW total flow North to South or South to North in line with S_MWR_ROI.</text>
  </threadedComment>
  <threadedComment ref="RG24" dT="2025-09-16T14:56:46.49" personId="{A3671517-355B-4537-A00D-5020116DFFF8}" id="{467AEFCB-32EA-4C5E-852F-84A702599DBB}">
    <text>Assumed to be as the 1km AUG - SK line.</text>
  </threadedComment>
  <threadedComment ref="B25" dT="2025-10-03T10:15:11.94" personId="{A3671517-355B-4537-A00D-5020116DFFF8}" id="{24A29569-0E6C-4327-A433-3B212CA5BD53}">
    <text>Unvalidated assumption of 80% of rating to account for N-1 limits.</text>
  </threadedComment>
  <threadedComment ref="RD25" dT="2025-09-16T17:40:49.61" personId="{A3671517-355B-4537-A00D-5020116DFFF8}" id="{0951E4D6-B555-439B-92FB-A21A518639AB}">
    <text>Limited to 450 MW total flow North to South or South to North in line with S_MWR_ROI.</text>
  </threadedComment>
  <threadedComment ref="RE25" dT="2025-09-16T17:40:49.61" personId="{A3671517-355B-4537-A00D-5020116DFFF8}" id="{A65FA735-19D8-43A4-A7C6-7701E8D0A6C8}">
    <text>Limited to 450 MW total flow North to South or South to North in line with S_MWR_ROI.</text>
  </threadedComment>
  <threadedComment ref="RG25" dT="2025-09-16T14:56:46.49" personId="{A3671517-355B-4537-A00D-5020116DFFF8}" id="{5A7A7ED4-5146-4720-96EE-5D1B48FDC237}">
    <text>Assumed to be as the 1km AUG - SK line.</text>
  </threadedComment>
  <threadedComment ref="B26" dT="2025-10-03T10:15:11.94" personId="{A3671517-355B-4537-A00D-5020116DFFF8}" id="{32C1F9AA-28F7-40F2-A44C-A9E920795AA5}">
    <text>Unvalidated assumption of 80% of rating to account for N-1 limits.</text>
  </threadedComment>
  <threadedComment ref="RD26" dT="2025-09-16T17:40:49.61" personId="{A3671517-355B-4537-A00D-5020116DFFF8}" id="{5CE263D5-49EA-4C0D-908E-02D020A6A920}">
    <text>Limited to 450 MW total flow North to South or South to North in line with S_MWR_ROI.</text>
  </threadedComment>
  <threadedComment ref="RE26" dT="2025-09-16T17:40:49.61" personId="{A3671517-355B-4537-A00D-5020116DFFF8}" id="{AC75F5C4-F4C3-4042-878D-85801A7072B5}">
    <text>Limited to 450 MW total flow North to South or South to North in line with S_MWR_ROI.</text>
  </threadedComment>
  <threadedComment ref="RG26" dT="2025-09-16T14:56:46.49" personId="{A3671517-355B-4537-A00D-5020116DFFF8}" id="{662B5326-2289-4ACF-BAAF-04A578F443B5}">
    <text>Assumed to be as the 1km AUG - SK line.</text>
  </threadedComment>
  <threadedComment ref="B27" dT="2025-10-03T10:15:11.94" personId="{A3671517-355B-4537-A00D-5020116DFFF8}" id="{F0EAFD5E-9B9E-4F97-A36B-DBA001F5B940}">
    <text>Unvalidated assumption of 80% of rating to account for N-1 limits.</text>
  </threadedComment>
  <threadedComment ref="RD27" dT="2025-09-16T17:40:49.61" personId="{A3671517-355B-4537-A00D-5020116DFFF8}" id="{D2CDACCC-5D17-46EE-82BF-B33521B029F8}">
    <text>Limited to 450 MW total flow North to South or South to North in line with S_MWR_ROI.</text>
  </threadedComment>
  <threadedComment ref="RE27" dT="2025-09-16T17:40:49.61" personId="{A3671517-355B-4537-A00D-5020116DFFF8}" id="{074845E1-63A1-4663-9AE1-C790EB0CC7ED}">
    <text>Limited to 450 MW total flow North to South or South to North in line with S_MWR_ROI.</text>
  </threadedComment>
  <threadedComment ref="RG27" dT="2025-09-16T14:56:46.49" personId="{A3671517-355B-4537-A00D-5020116DFFF8}" id="{1D821953-3646-4C70-8B7F-D1943F290AE3}">
    <text>Assumed to be as the 1km AUG - SK line.</text>
  </threadedComment>
  <threadedComment ref="B28" dT="2025-10-03T10:15:11.94" personId="{A3671517-355B-4537-A00D-5020116DFFF8}" id="{9A596C1F-0129-4230-9335-F52FBD677F66}">
    <text>Unvalidated assumption of 80% of rating to account for N-1 limits.</text>
  </threadedComment>
  <threadedComment ref="RD28" dT="2025-09-16T17:40:49.61" personId="{A3671517-355B-4537-A00D-5020116DFFF8}" id="{69CC6B22-3EC4-4872-B9C0-9F12DCAD176A}">
    <text>Limited to 450 MW total flow North to South or South to North in line with S_MWR_ROI.</text>
  </threadedComment>
  <threadedComment ref="RE28" dT="2025-09-16T17:40:49.61" personId="{A3671517-355B-4537-A00D-5020116DFFF8}" id="{B19A55F5-B3F3-44FB-B949-C9659C551972}">
    <text>Limited to 450 MW total flow North to South or South to North in line with S_MWR_ROI.</text>
  </threadedComment>
  <threadedComment ref="RG28" dT="2025-09-16T14:56:46.49" personId="{A3671517-355B-4537-A00D-5020116DFFF8}" id="{646C10DD-3E52-4E1B-AB73-95A113AEEE94}">
    <text>Assumed to be as the 1km AUG - SK line.</text>
  </threadedComment>
  <threadedComment ref="B29" dT="2025-10-03T10:15:11.94" personId="{A3671517-355B-4537-A00D-5020116DFFF8}" id="{8113291E-6462-4505-B68C-ACB19DAB475E}">
    <text>Unvalidated assumption of 80% of rating to account for N-1 limits.</text>
  </threadedComment>
  <threadedComment ref="RD29" dT="2025-09-16T17:40:49.61" personId="{A3671517-355B-4537-A00D-5020116DFFF8}" id="{51C2CF1B-2137-4C81-9380-511FE9CC882F}">
    <text>Limited to 450 MW total flow North to South or South to North in line with S_MWR_ROI.</text>
  </threadedComment>
  <threadedComment ref="RE29" dT="2025-09-16T17:40:49.61" personId="{A3671517-355B-4537-A00D-5020116DFFF8}" id="{FF0E2DE6-C9B6-4F27-9EDB-ACCFBD65F39A}">
    <text>Limited to 450 MW total flow North to South or South to North in line with S_MWR_ROI.</text>
  </threadedComment>
  <threadedComment ref="RG29" dT="2025-09-16T14:56:46.49" personId="{A3671517-355B-4537-A00D-5020116DFFF8}" id="{ECAED072-7F79-4E03-AD7A-71C47BFF55BB}">
    <text>Assumed to be as the 1km AUG - SK line.</text>
  </threadedComment>
  <threadedComment ref="B30" dT="2025-10-03T10:15:11.94" personId="{A3671517-355B-4537-A00D-5020116DFFF8}" id="{354EA042-9CB0-47E4-B82A-981D5A7359FF}">
    <text>Unvalidated assumption of 80% of rating to account for N-1 limits.</text>
  </threadedComment>
  <threadedComment ref="RD30" dT="2025-09-16T17:40:49.61" personId="{A3671517-355B-4537-A00D-5020116DFFF8}" id="{B4E25D20-D94B-4C67-8C33-2B2C35706773}">
    <text>Limited to 450 MW total flow North to South or South to North in line with S_MWR_ROI.</text>
  </threadedComment>
  <threadedComment ref="RE30" dT="2025-09-16T17:40:49.61" personId="{A3671517-355B-4537-A00D-5020116DFFF8}" id="{5ED94A9D-CCFE-400E-BCAA-45EF65A406EC}">
    <text>Limited to 450 MW total flow North to South or South to North in line with S_MWR_ROI.</text>
  </threadedComment>
  <threadedComment ref="RG30" dT="2025-09-16T14:56:46.49" personId="{A3671517-355B-4537-A00D-5020116DFFF8}" id="{C7057D3A-E962-4908-BC24-1C1253443E29}">
    <text>Assumed to be as the 1km AUG - SK line.</text>
  </threadedComment>
  <threadedComment ref="B31" dT="2025-10-03T10:15:11.94" personId="{A3671517-355B-4537-A00D-5020116DFFF8}" id="{0774F5C9-C010-4459-81DB-EF83710DDF9B}">
    <text>Unvalidated assumption of 80% of rating to account for N-1 limits.</text>
  </threadedComment>
  <threadedComment ref="RD31" dT="2025-09-16T17:40:49.61" personId="{A3671517-355B-4537-A00D-5020116DFFF8}" id="{8217ECA5-E86B-42C6-BEAE-30A3384A0467}">
    <text>Limited to 450 MW total flow North to South or South to North in line with S_MWR_ROI.</text>
  </threadedComment>
  <threadedComment ref="RE31" dT="2025-09-16T17:40:49.61" personId="{A3671517-355B-4537-A00D-5020116DFFF8}" id="{30435093-9132-4720-A738-159FBD8A649F}">
    <text>Limited to 450 MW total flow North to South or South to North in line with S_MWR_ROI.</text>
  </threadedComment>
  <threadedComment ref="RG31" dT="2025-09-16T14:56:46.49" personId="{A3671517-355B-4537-A00D-5020116DFFF8}" id="{2ADFB7C5-A42E-43B4-8B7C-28C30A06182F}">
    <text>Assumed to be as the 1km AUG - SK line.</text>
  </threadedComment>
  <threadedComment ref="B32" dT="2025-10-03T10:15:11.94" personId="{A3671517-355B-4537-A00D-5020116DFFF8}" id="{0241AA7D-CDFB-46EA-8C61-F923AAE8100F}">
    <text>Unvalidated assumption of 80% of rating to account for N-1 limits.</text>
  </threadedComment>
  <threadedComment ref="RD32" dT="2025-09-16T17:40:49.61" personId="{A3671517-355B-4537-A00D-5020116DFFF8}" id="{6463C056-33BB-4D9B-90AE-370914B3FF54}">
    <text>Limited to 450 MW total flow North to South or South to North in line with S_MWR_ROI.</text>
  </threadedComment>
  <threadedComment ref="RE32" dT="2025-09-16T17:40:49.61" personId="{A3671517-355B-4537-A00D-5020116DFFF8}" id="{2C2DF6B4-5E7A-458D-883E-3F7C1BC23AC1}">
    <text>Limited to 450 MW total flow North to South or South to North in line with S_MWR_ROI.</text>
  </threadedComment>
  <threadedComment ref="RG32" dT="2025-09-16T14:56:46.49" personId="{A3671517-355B-4537-A00D-5020116DFFF8}" id="{5540B63E-2566-4946-8E04-AD2422DB8CF6}">
    <text>Assumed to be as the 1km AUG - SK line.</text>
  </threadedComment>
  <threadedComment ref="B33" dT="2025-10-03T10:15:11.94" personId="{A3671517-355B-4537-A00D-5020116DFFF8}" id="{41B770A0-C48F-44CD-9DCE-EA983412C16B}">
    <text>Unvalidated assumption of 80% of rating to account for N-1 limits.</text>
  </threadedComment>
  <threadedComment ref="RD33" dT="2025-09-16T17:40:49.61" personId="{A3671517-355B-4537-A00D-5020116DFFF8}" id="{B5B9E07D-0A8A-4538-8F84-7C2E9064C396}">
    <text>Limited to 450 MW total flow North to South or South to North in line with S_MWR_ROI.</text>
  </threadedComment>
  <threadedComment ref="RE33" dT="2025-09-16T17:40:49.61" personId="{A3671517-355B-4537-A00D-5020116DFFF8}" id="{4F64DA48-BC51-4487-9A20-D55659045396}">
    <text>Limited to 450 MW total flow North to South or South to North in line with S_MWR_ROI.</text>
  </threadedComment>
  <threadedComment ref="RG33" dT="2025-09-16T14:56:46.49" personId="{A3671517-355B-4537-A00D-5020116DFFF8}" id="{A85F2428-D80E-401E-9420-2031ECBD686D}">
    <text>Assumed to be as the 1km AUG - SK line.</text>
  </threadedComment>
  <threadedComment ref="B34" dT="2025-10-03T10:15:11.94" personId="{A3671517-355B-4537-A00D-5020116DFFF8}" id="{FFC2B51B-4A1B-4169-BEFA-A774217CDBD9}">
    <text>Unvalidated assumption of 80% of rating to account for N-1 limits.</text>
  </threadedComment>
  <threadedComment ref="RD34" dT="2025-09-16T17:40:49.61" personId="{A3671517-355B-4537-A00D-5020116DFFF8}" id="{272B4248-B3B3-49FD-A552-18B595E11E4E}">
    <text>Limited to 450 MW total flow North to South or South to North in line with S_MWR_ROI.</text>
  </threadedComment>
  <threadedComment ref="RE34" dT="2025-09-16T17:40:49.61" personId="{A3671517-355B-4537-A00D-5020116DFFF8}" id="{765BA3B8-5BCF-4875-806C-86929114280C}">
    <text>Limited to 450 MW total flow North to South or South to North in line with S_MWR_ROI.</text>
  </threadedComment>
  <threadedComment ref="RG34" dT="2025-09-16T14:56:46.49" personId="{A3671517-355B-4537-A00D-5020116DFFF8}" id="{9FE2E80D-A6FC-4A6B-8144-E30BBCC82AD1}">
    <text>Assumed to be as the 1km AUG - SK line.</text>
  </threadedComment>
  <threadedComment ref="B35" dT="2025-10-03T10:15:11.94" personId="{A3671517-355B-4537-A00D-5020116DFFF8}" id="{C4FDB743-1A5C-41DB-9A54-0FF185F8ECBF}">
    <text>Unvalidated assumption of 80% of rating to account for N-1 limits.</text>
  </threadedComment>
  <threadedComment ref="RD35" dT="2025-09-16T17:40:49.61" personId="{A3671517-355B-4537-A00D-5020116DFFF8}" id="{BB6EF805-2D1C-4FA7-B9D9-6A985A79B457}">
    <text>Limited to 450 MW total flow North to South or South to North in line with S_MWR_ROI.</text>
  </threadedComment>
  <threadedComment ref="RE35" dT="2025-09-16T17:40:49.61" personId="{A3671517-355B-4537-A00D-5020116DFFF8}" id="{788C5549-7A04-443C-8D21-EDCF1411B385}">
    <text>Limited to 450 MW total flow North to South or South to North in line with S_MWR_ROI.</text>
  </threadedComment>
  <threadedComment ref="RG35" dT="2025-09-16T14:56:46.49" personId="{A3671517-355B-4537-A00D-5020116DFFF8}" id="{50F119BA-1AB9-4A19-803C-86F33563A4A9}">
    <text>Assumed to be as the 1km AUG - SK line.</text>
  </threadedComment>
  <threadedComment ref="B36" dT="2025-10-03T10:15:11.94" personId="{A3671517-355B-4537-A00D-5020116DFFF8}" id="{71FA76E4-CB55-42BE-8875-457E929D3DBC}">
    <text>Unvalidated assumption of 80% of rating to account for N-1 limits.</text>
  </threadedComment>
  <threadedComment ref="RD36" dT="2025-09-16T17:40:49.61" personId="{A3671517-355B-4537-A00D-5020116DFFF8}" id="{38280E53-FD87-4B14-88BE-5B36055B9909}">
    <text>Limited to 450 MW total flow North to South or South to North in line with S_MWR_ROI.</text>
  </threadedComment>
  <threadedComment ref="RE36" dT="2025-09-16T17:40:49.61" personId="{A3671517-355B-4537-A00D-5020116DFFF8}" id="{085BA075-0630-400D-983F-25FF409D3087}">
    <text>Limited to 450 MW total flow North to South or South to North in line with S_MWR_ROI.</text>
  </threadedComment>
  <threadedComment ref="RG36" dT="2025-09-16T14:56:46.49" personId="{A3671517-355B-4537-A00D-5020116DFFF8}" id="{F6E0F470-661F-4967-BBDE-1F51FB8C3E79}">
    <text>Assumed to be as the 1km AUG - SK line.</text>
  </threadedComment>
  <threadedComment ref="B37" dT="2025-10-03T10:15:11.94" personId="{A3671517-355B-4537-A00D-5020116DFFF8}" id="{1FDF4C07-CCCA-4B77-A02F-8FE75CB6DD40}">
    <text>Unvalidated assumption of 80% of rating to account for N-1 limits.</text>
  </threadedComment>
  <threadedComment ref="RD37" dT="2025-09-16T17:40:49.61" personId="{A3671517-355B-4537-A00D-5020116DFFF8}" id="{FD3435EC-9A6B-470B-9FFE-7FEBD1E747A6}">
    <text>Limited to 450 MW total flow North to South or South to North in line with S_MWR_ROI.</text>
  </threadedComment>
  <threadedComment ref="RE37" dT="2025-09-16T17:40:49.61" personId="{A3671517-355B-4537-A00D-5020116DFFF8}" id="{C8CC2A86-5CD2-4CBE-8C76-6589BCB07B97}">
    <text>Limited to 450 MW total flow North to South or South to North in line with S_MWR_ROI.</text>
  </threadedComment>
  <threadedComment ref="RG37" dT="2025-09-16T14:56:46.49" personId="{A3671517-355B-4537-A00D-5020116DFFF8}" id="{E6ABED02-BD98-4182-8491-AFA7778E96BB}">
    <text>Assumed to be as the 1km AUG - SK line.</text>
  </threadedComment>
  <threadedComment ref="B38" dT="2025-10-03T10:15:11.94" personId="{A3671517-355B-4537-A00D-5020116DFFF8}" id="{EAC22283-B91C-4C40-9189-E77CA7CAC075}">
    <text>Unvalidated assumption of 80% of rating to account for N-1 limits.</text>
  </threadedComment>
  <threadedComment ref="RD38" dT="2025-09-16T17:40:49.61" personId="{A3671517-355B-4537-A00D-5020116DFFF8}" id="{62A97CD8-BD96-45F4-B095-1E2FFDA065C8}">
    <text>Limited to 450 MW total flow North to South or South to North in line with S_MWR_ROI.</text>
  </threadedComment>
  <threadedComment ref="RE38" dT="2025-09-16T17:40:49.61" personId="{A3671517-355B-4537-A00D-5020116DFFF8}" id="{B0AB9897-E7F2-40AA-B3C1-F6D1A18DEFC8}">
    <text>Limited to 450 MW total flow North to South or South to North in line with S_MWR_ROI.</text>
  </threadedComment>
  <threadedComment ref="RG38" dT="2025-09-16T14:56:46.49" personId="{A3671517-355B-4537-A00D-5020116DFFF8}" id="{848A30CD-EC79-4CD7-9815-509BEEE8F100}">
    <text>Assumed to be as the 1km AUG - SK line.</text>
  </threadedComment>
  <threadedComment ref="B39" dT="2025-10-03T10:15:11.94" personId="{A3671517-355B-4537-A00D-5020116DFFF8}" id="{0F741D48-00A4-4BFA-A4DB-4B410215113D}">
    <text>Unvalidated assumption of 80% of rating to account for N-1 limits.</text>
  </threadedComment>
  <threadedComment ref="RD39" dT="2025-09-16T17:40:49.61" personId="{A3671517-355B-4537-A00D-5020116DFFF8}" id="{80ABD382-66DA-45BC-9F4B-9F575C5E791B}">
    <text>Limited to 450 MW total flow North to South or South to North in line with S_MWR_ROI.</text>
  </threadedComment>
  <threadedComment ref="RE39" dT="2025-09-16T17:40:49.61" personId="{A3671517-355B-4537-A00D-5020116DFFF8}" id="{2F8AD8C5-8D3A-4A01-B095-91EEA015893A}">
    <text>Limited to 450 MW total flow North to South or South to North in line with S_MWR_ROI.</text>
  </threadedComment>
  <threadedComment ref="RG39" dT="2025-09-16T14:56:46.49" personId="{A3671517-355B-4537-A00D-5020116DFFF8}" id="{0F001484-2932-4665-8BE5-86DAA8043B02}">
    <text>Assumed to be as the 1km AUG - SK line.</text>
  </threadedComment>
  <threadedComment ref="B40" dT="2025-10-03T10:15:11.94" personId="{A3671517-355B-4537-A00D-5020116DFFF8}" id="{2115D98A-1D26-449D-B3A7-7C5912D3D185}">
    <text>Unvalidated assumption of 80% of rating to account for N-1 limits.</text>
  </threadedComment>
  <threadedComment ref="RD40" dT="2025-09-16T17:40:49.61" personId="{A3671517-355B-4537-A00D-5020116DFFF8}" id="{4F20ED0C-C89E-4871-9183-26CD1F58A01F}">
    <text>Limited to 450 MW total flow North to South or South to North in line with S_MWR_ROI.</text>
  </threadedComment>
  <threadedComment ref="RE40" dT="2025-09-16T17:40:49.61" personId="{A3671517-355B-4537-A00D-5020116DFFF8}" id="{27D836AB-A118-4EB9-B84E-887882FA0E45}">
    <text>Limited to 450 MW total flow North to South or South to North in line with S_MWR_ROI.</text>
  </threadedComment>
  <threadedComment ref="RG40" dT="2025-09-16T14:56:46.49" personId="{A3671517-355B-4537-A00D-5020116DFFF8}" id="{62D2201C-4BBD-46B7-B1AB-26C7D7B41EAE}">
    <text>Assumed to be as the 1km AUG - SK line.</text>
  </threadedComment>
  <threadedComment ref="B41" dT="2025-10-03T10:15:11.94" personId="{A3671517-355B-4537-A00D-5020116DFFF8}" id="{26F3496C-3D3F-4BDA-BA4A-F6DF04815CDC}">
    <text>Unvalidated assumption of 80% of rating to account for N-1 limits.</text>
  </threadedComment>
  <threadedComment ref="RD41" dT="2025-09-16T17:40:49.61" personId="{A3671517-355B-4537-A00D-5020116DFFF8}" id="{11488FAE-2FB0-42BA-9E1C-8A40E402C2A5}">
    <text>Limited to 450 MW total flow North to South or South to North in line with S_MWR_ROI.</text>
  </threadedComment>
  <threadedComment ref="RE41" dT="2025-09-16T17:40:49.61" personId="{A3671517-355B-4537-A00D-5020116DFFF8}" id="{48A71E0E-1DED-403D-886E-3E0B7EDCB447}">
    <text>Limited to 450 MW total flow North to South or South to North in line with S_MWR_ROI.</text>
  </threadedComment>
  <threadedComment ref="RG41" dT="2025-09-16T14:56:46.49" personId="{A3671517-355B-4537-A00D-5020116DFFF8}" id="{C2EB092C-3EF5-4411-A50F-AAD955192924}">
    <text>Assumed to be as the 1km AUG - SK line.</text>
  </threadedComment>
  <threadedComment ref="B42" dT="2025-10-03T10:15:11.94" personId="{A3671517-355B-4537-A00D-5020116DFFF8}" id="{A3555C11-547A-460F-966A-9668EF8DF42A}">
    <text>Unvalidated assumption of 80% of rating to account for N-1 limits.</text>
  </threadedComment>
  <threadedComment ref="RD42" dT="2025-09-16T17:40:49.61" personId="{A3671517-355B-4537-A00D-5020116DFFF8}" id="{D5D25E6F-086E-4EAF-A42C-7D15ED5E65AF}">
    <text>Limited to 450 MW total flow North to South or South to North in line with S_MWR_ROI.</text>
  </threadedComment>
  <threadedComment ref="RE42" dT="2025-09-16T17:40:49.61" personId="{A3671517-355B-4537-A00D-5020116DFFF8}" id="{C028881F-44E1-4205-84C9-612266E4324E}">
    <text>Limited to 450 MW total flow North to South or South to North in line with S_MWR_ROI.</text>
  </threadedComment>
  <threadedComment ref="RG42" dT="2025-09-16T14:56:46.49" personId="{A3671517-355B-4537-A00D-5020116DFFF8}" id="{AC735715-7824-4AAF-A489-52FCE04678B8}">
    <text>Assumed to be as the 1km AUG - SK line.</text>
  </threadedComment>
  <threadedComment ref="B43" dT="2025-10-03T10:15:11.94" personId="{A3671517-355B-4537-A00D-5020116DFFF8}" id="{3520CF80-0E28-4FE1-8637-91C3FBC6811F}">
    <text>Unvalidated assumption of 80% of rating to account for N-1 limits.</text>
  </threadedComment>
  <threadedComment ref="RD43" dT="2025-09-16T17:40:49.61" personId="{A3671517-355B-4537-A00D-5020116DFFF8}" id="{E6B5981D-66B9-46D6-8355-6BFFE635F88F}">
    <text>Limited to 450 MW total flow North to South or South to North in line with S_MWR_ROI.</text>
  </threadedComment>
  <threadedComment ref="RE43" dT="2025-09-16T17:40:49.61" personId="{A3671517-355B-4537-A00D-5020116DFFF8}" id="{D2407324-2ADF-4A8B-B0A4-21424DD580EF}">
    <text>Limited to 450 MW total flow North to South or South to North in line with S_MWR_ROI.</text>
  </threadedComment>
  <threadedComment ref="RG43" dT="2025-09-16T14:56:46.49" personId="{A3671517-355B-4537-A00D-5020116DFFF8}" id="{7DD86FE3-9AAE-43E4-9FFE-FF9F870AABEE}">
    <text>Assumed to be as the 1km AUG - SK line.</text>
  </threadedComment>
  <threadedComment ref="B44" dT="2025-10-03T10:15:11.94" personId="{A3671517-355B-4537-A00D-5020116DFFF8}" id="{45FAABE1-88C2-4525-AA63-08106E80ADF6}">
    <text>Unvalidated assumption of 80% of rating to account for N-1 limits.</text>
  </threadedComment>
  <threadedComment ref="RD44" dT="2025-09-16T17:40:49.61" personId="{A3671517-355B-4537-A00D-5020116DFFF8}" id="{E2C558E6-DB56-4CB2-ABC8-642E748F2DB0}">
    <text>Limited to 450 MW total flow North to South or South to North in line with S_MWR_ROI.</text>
  </threadedComment>
  <threadedComment ref="RE44" dT="2025-09-16T17:40:49.61" personId="{A3671517-355B-4537-A00D-5020116DFFF8}" id="{C3B9CD22-981E-44BE-9940-A32EAE59FD86}">
    <text>Limited to 450 MW total flow North to South or South to North in line with S_MWR_ROI.</text>
  </threadedComment>
  <threadedComment ref="RG44" dT="2025-09-16T14:56:46.49" personId="{A3671517-355B-4537-A00D-5020116DFFF8}" id="{9D635B7F-121E-4E98-AFE9-A5FCB4A5F21D}">
    <text>Assumed to be as the 1km AUG - SK line.</text>
  </threadedComment>
  <threadedComment ref="B45" dT="2025-10-03T10:15:11.94" personId="{A3671517-355B-4537-A00D-5020116DFFF8}" id="{3C2852B8-6318-4735-B14E-873EFC100BDD}">
    <text>Unvalidated assumption of 80% of rating to account for N-1 limits.</text>
  </threadedComment>
  <threadedComment ref="RD45" dT="2025-09-16T17:40:49.61" personId="{A3671517-355B-4537-A00D-5020116DFFF8}" id="{903C3F67-D93D-4FC2-94BD-8C6413F844FF}">
    <text>Limited to 450 MW total flow North to South or South to North in line with S_MWR_ROI.</text>
  </threadedComment>
  <threadedComment ref="RE45" dT="2025-09-16T17:40:49.61" personId="{A3671517-355B-4537-A00D-5020116DFFF8}" id="{2543C4C3-BA1A-4564-A5C3-9F6376BF6794}">
    <text>Limited to 450 MW total flow North to South or South to North in line with S_MWR_ROI.</text>
  </threadedComment>
  <threadedComment ref="RG45" dT="2025-09-16T14:56:46.49" personId="{A3671517-355B-4537-A00D-5020116DFFF8}" id="{AF9E8571-33F4-420F-A057-175DA252F83E}">
    <text>Assumed to be as the 1km AUG - SK line.</text>
  </threadedComment>
  <threadedComment ref="B46" dT="2025-10-03T10:15:11.94" personId="{A3671517-355B-4537-A00D-5020116DFFF8}" id="{BE7F7F93-2089-4436-91E7-044AB76EB526}">
    <text>Unvalidated assumption of 80% of rating to account for N-1 limits.</text>
  </threadedComment>
  <threadedComment ref="RD46" dT="2025-09-16T17:40:49.61" personId="{A3671517-355B-4537-A00D-5020116DFFF8}" id="{77C7A3C2-B14C-4573-B095-4B32054C9483}">
    <text>Limited to 450 MW total flow North to South or South to North in line with S_MWR_ROI.</text>
  </threadedComment>
  <threadedComment ref="RE46" dT="2025-09-16T17:40:49.61" personId="{A3671517-355B-4537-A00D-5020116DFFF8}" id="{292F6EDB-2AC4-42AB-BF26-49D4634EA771}">
    <text>Limited to 450 MW total flow North to South or South to North in line with S_MWR_ROI.</text>
  </threadedComment>
  <threadedComment ref="RG46" dT="2025-09-16T14:56:46.49" personId="{A3671517-355B-4537-A00D-5020116DFFF8}" id="{C7BA7E7D-903D-45F1-8DA4-D30131BF25C6}">
    <text>Assumed to be as the 1km AUG - SK line.</text>
  </threadedComment>
  <threadedComment ref="B47" dT="2025-10-03T10:15:11.94" personId="{A3671517-355B-4537-A00D-5020116DFFF8}" id="{2DC9AA80-B9F5-4929-B6A3-7A1A21FC5107}">
    <text>Unvalidated assumption of 80% of rating to account for N-1 limits.</text>
  </threadedComment>
  <threadedComment ref="RD47" dT="2025-09-16T17:40:49.61" personId="{A3671517-355B-4537-A00D-5020116DFFF8}" id="{5195A32E-2DD6-472A-9D9B-651874E9897C}">
    <text>Limited to 450 MW total flow North to South or South to North in line with S_MWR_ROI.</text>
  </threadedComment>
  <threadedComment ref="RE47" dT="2025-09-16T17:40:49.61" personId="{A3671517-355B-4537-A00D-5020116DFFF8}" id="{3CFCD3C2-8020-4F46-AC5B-2F5FEF6692CE}">
    <text>Limited to 450 MW total flow North to South or South to North in line with S_MWR_ROI.</text>
  </threadedComment>
  <threadedComment ref="RG47" dT="2025-09-16T14:56:46.49" personId="{A3671517-355B-4537-A00D-5020116DFFF8}" id="{C292982C-260E-46E0-8D13-A99D2C17ABA4}">
    <text>Assumed to be as the 1km AUG - SK line.</text>
  </threadedComment>
  <threadedComment ref="B48" dT="2025-10-03T10:15:11.94" personId="{A3671517-355B-4537-A00D-5020116DFFF8}" id="{E9C2E7AC-F84D-423F-888E-5BDB41CDE3CC}">
    <text>Unvalidated assumption of 80% of rating to account for N-1 limits.</text>
  </threadedComment>
  <threadedComment ref="RD48" dT="2025-09-16T17:40:49.61" personId="{A3671517-355B-4537-A00D-5020116DFFF8}" id="{FA22FC34-8B7D-4F8F-953E-B559FBCCC201}">
    <text>Limited to 450 MW total flow North to South or South to North in line with S_MWR_ROI.</text>
  </threadedComment>
  <threadedComment ref="RE48" dT="2025-09-16T17:40:49.61" personId="{A3671517-355B-4537-A00D-5020116DFFF8}" id="{5390EC83-B5FE-4591-959D-685829A74CB8}">
    <text>Limited to 450 MW total flow North to South or South to North in line with S_MWR_ROI.</text>
  </threadedComment>
  <threadedComment ref="RG48" dT="2025-09-16T14:56:46.49" personId="{A3671517-355B-4537-A00D-5020116DFFF8}" id="{10AC9E2A-C8DE-497D-8657-7CCE6750C37A}">
    <text>Assumed to be as the 1km AUG - SK line.</text>
  </threadedComment>
  <threadedComment ref="B49" dT="2025-10-03T10:15:11.94" personId="{A3671517-355B-4537-A00D-5020116DFFF8}" id="{C8AC7E30-8B31-4507-BFDE-E6C93C92BE93}">
    <text>Unvalidated assumption of 80% of rating to account for N-1 limits.</text>
  </threadedComment>
  <threadedComment ref="RD49" dT="2025-09-16T17:40:49.61" personId="{A3671517-355B-4537-A00D-5020116DFFF8}" id="{5C889040-1D8C-49AF-ABDF-60A1A19F5977}">
    <text>Limited to 450 MW total flow North to South or South to North in line with S_MWR_ROI.</text>
  </threadedComment>
  <threadedComment ref="RE49" dT="2025-09-16T17:40:49.61" personId="{A3671517-355B-4537-A00D-5020116DFFF8}" id="{92625E3C-805E-4E4B-8E91-5BF2EAAB14D5}">
    <text>Limited to 450 MW total flow North to South or South to North in line with S_MWR_ROI.</text>
  </threadedComment>
  <threadedComment ref="RG49" dT="2025-09-16T14:56:46.49" personId="{A3671517-355B-4537-A00D-5020116DFFF8}" id="{487B3050-D4D9-491F-BD38-89A2EC204174}">
    <text>Assumed to be as the 1km AUG - SK line.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I1" dT="2025-09-16T17:44:32.72" personId="{A3671517-355B-4537-A00D-5020116DFFF8}" id="{2D4104D5-7C13-4ECB-A86D-404ABCEC1FE8}">
    <text>Unvalidated assumption of 125% of continuous rating.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2" dT="2025-10-03T10:14:59.66" personId="{A3671517-355B-4537-A00D-5020116DFFF8}" id="{2B36DA6A-A01F-4AB9-B15D-CA171596AFD8}">
    <text>Unvalidated assumption of 80% of rating to account for N-1 limits.</text>
  </threadedComment>
  <threadedComment ref="B3" dT="2025-10-03T10:14:59.66" personId="{A3671517-355B-4537-A00D-5020116DFFF8}" id="{883AA268-A196-4AD0-BA32-82B4F7DCCEF3}">
    <text>Unvalidated assumption of 80% of rating to account for N-1 limits.</text>
  </threadedComment>
  <threadedComment ref="B4" dT="2025-10-03T10:14:59.66" personId="{A3671517-355B-4537-A00D-5020116DFFF8}" id="{00DA42C8-C174-4D3D-9289-C12E6BDF5124}">
    <text>Unvalidated assumption of 80% of rating to account for N-1 limits.</text>
  </threadedComment>
  <threadedComment ref="B5" dT="2025-10-03T10:14:59.66" personId="{A3671517-355B-4537-A00D-5020116DFFF8}" id="{41AA774E-A3F7-4FE0-A63D-1012C3575A0C}">
    <text>Unvalidated assumption of 80% of rating to account for N-1 limits.</text>
  </threadedComment>
  <threadedComment ref="B6" dT="2025-10-03T10:14:59.66" personId="{A3671517-355B-4537-A00D-5020116DFFF8}" id="{5F37F7D9-10FD-4E8E-95AB-EE393F6C35E9}">
    <text>Unvalidated assumption of 80% of rating to account for N-1 limits.</text>
  </threadedComment>
  <threadedComment ref="B7" dT="2025-10-03T10:14:59.66" personId="{A3671517-355B-4537-A00D-5020116DFFF8}" id="{67D71970-8A6F-461D-ADD1-FA0D4D9D1E7E}">
    <text>Unvalidated assumption of 80% of rating to account for N-1 limits.</text>
  </threadedComment>
  <threadedComment ref="B8" dT="2025-10-03T10:14:59.66" personId="{A3671517-355B-4537-A00D-5020116DFFF8}" id="{5B7472BF-79F5-41CB-A56B-CE412E1339A0}">
    <text>Unvalidated assumption of 80% of rating to account for N-1 limits.</text>
  </threadedComment>
  <threadedComment ref="B9" dT="2025-10-03T10:14:59.66" personId="{A3671517-355B-4537-A00D-5020116DFFF8}" id="{D83E39C7-01F5-4F74-85DE-93704E32E1DB}">
    <text>Unvalidated assumption of 80% of rating to account for N-1 limits.</text>
  </threadedComment>
  <threadedComment ref="B10" dT="2025-10-03T10:14:59.66" personId="{A3671517-355B-4537-A00D-5020116DFFF8}" id="{DFA96BB2-1819-4337-8D24-F45F6E15C8C9}">
    <text>Unvalidated assumption of 80% of rating to account for N-1 limits.</text>
  </threadedComment>
  <threadedComment ref="B11" dT="2025-10-03T10:14:59.66" personId="{A3671517-355B-4537-A00D-5020116DFFF8}" id="{3AD8BAC7-391B-4612-890E-03481BE44932}">
    <text>Unvalidated assumption of 80% of rating to account for N-1 limits.</text>
  </threadedComment>
  <threadedComment ref="B12" dT="2025-10-03T10:14:59.66" personId="{A3671517-355B-4537-A00D-5020116DFFF8}" id="{60D71A10-10DB-4104-9597-D7CDDF430919}">
    <text>Unvalidated assumption of 80% of rating to account for N-1 limits.</text>
  </threadedComment>
  <threadedComment ref="B13" dT="2025-10-03T10:14:59.66" personId="{A3671517-355B-4537-A00D-5020116DFFF8}" id="{4B7C851F-F135-4A4B-9AA5-84796F380718}">
    <text>Unvalidated assumption of 80% of rating to account for N-1 limits.</text>
  </threadedComment>
  <threadedComment ref="B14" dT="2025-10-03T10:14:59.66" personId="{A3671517-355B-4537-A00D-5020116DFFF8}" id="{7C9CA440-9D3A-44C6-9A68-64819A7CDC17}">
    <text>Unvalidated assumption of 80% of rating to account for N-1 limits.</text>
  </threadedComment>
  <threadedComment ref="B15" dT="2025-10-03T10:14:59.66" personId="{A3671517-355B-4537-A00D-5020116DFFF8}" id="{BFA5E6E8-84E0-4C5F-80DA-CD924037A1E6}">
    <text>Unvalidated assumption of 80% of rating to account for N-1 limits.</text>
  </threadedComment>
  <threadedComment ref="B16" dT="2025-10-03T10:14:59.66" personId="{A3671517-355B-4537-A00D-5020116DFFF8}" id="{F033E211-AF73-4082-BF96-8E089BB8E72B}">
    <text>Unvalidated assumption of 80% of rating to account for N-1 limits.</text>
  </threadedComment>
  <threadedComment ref="B17" dT="2025-10-03T10:14:59.66" personId="{A3671517-355B-4537-A00D-5020116DFFF8}" id="{10000963-6B2C-40B2-86D9-CA8C260542B8}">
    <text>Unvalidated assumption of 80% of rating to account for N-1 limits.</text>
  </threadedComment>
  <threadedComment ref="B18" dT="2025-10-03T10:14:59.66" personId="{A3671517-355B-4537-A00D-5020116DFFF8}" id="{6C7B373C-19E8-429F-8EBD-98F92A5C74D0}">
    <text>Unvalidated assumption of 80% of rating to account for N-1 limits.</text>
  </threadedComment>
  <threadedComment ref="B19" dT="2025-10-03T10:14:59.66" personId="{A3671517-355B-4537-A00D-5020116DFFF8}" id="{647B20EB-9E4A-4323-9FB8-31F02565FE10}">
    <text>Unvalidated assumption of 80% of rating to account for N-1 limits.</text>
  </threadedComment>
  <threadedComment ref="B20" dT="2025-10-03T10:14:59.66" personId="{A3671517-355B-4537-A00D-5020116DFFF8}" id="{762A8C70-CD43-4BF6-BFE1-28BE41822BED}">
    <text>Unvalidated assumption of 80% of rating to account for N-1 limits.</text>
  </threadedComment>
  <threadedComment ref="B21" dT="2025-10-03T10:14:59.66" personId="{A3671517-355B-4537-A00D-5020116DFFF8}" id="{6B9AFBF7-23BC-4E06-855E-8DF959961D72}">
    <text>Unvalidated assumption of 80% of rating to account for N-1 limits.</text>
  </threadedComment>
  <threadedComment ref="B22" dT="2025-10-03T10:14:59.66" personId="{A3671517-355B-4537-A00D-5020116DFFF8}" id="{D8B7962D-F469-44AC-9FE2-9FA257934085}">
    <text>Unvalidated assumption of 80% of rating to account for N-1 limits.</text>
  </threadedComment>
  <threadedComment ref="B23" dT="2025-10-03T10:14:59.66" personId="{A3671517-355B-4537-A00D-5020116DFFF8}" id="{A3C5F4D5-90D2-41AF-97B5-99A567086F47}">
    <text>Unvalidated assumption of 80% of rating to account for N-1 limits.</text>
  </threadedComment>
  <threadedComment ref="B24" dT="2025-10-03T10:14:59.66" personId="{A3671517-355B-4537-A00D-5020116DFFF8}" id="{69372D37-74D2-4841-83EF-766E416BCF42}">
    <text>Unvalidated assumption of 80% of rating to account for N-1 limits.</text>
  </threadedComment>
  <threadedComment ref="B25" dT="2025-10-03T10:14:59.66" personId="{A3671517-355B-4537-A00D-5020116DFFF8}" id="{85F7695B-51A5-4BEE-8827-52972B77D903}">
    <text>Unvalidated assumption of 80% of rating to account for N-1 limits.</text>
  </threadedComment>
  <threadedComment ref="B26" dT="2025-10-03T10:14:59.66" personId="{A3671517-355B-4537-A00D-5020116DFFF8}" id="{73857567-E58B-4938-8E9E-486D7F9484DF}">
    <text>Unvalidated assumption of 80% of rating to account for N-1 limits.</text>
  </threadedComment>
  <threadedComment ref="B27" dT="2025-10-03T10:14:59.66" personId="{A3671517-355B-4537-A00D-5020116DFFF8}" id="{F162C05D-9F9F-4CD9-B458-D4333C82D64A}">
    <text>Unvalidated assumption of 80% of rating to account for N-1 limits.</text>
  </threadedComment>
  <threadedComment ref="B28" dT="2025-10-03T10:14:59.66" personId="{A3671517-355B-4537-A00D-5020116DFFF8}" id="{FFBFE99F-B60F-4778-BE66-74AC75C579E9}">
    <text>Unvalidated assumption of 80% of rating to account for N-1 limits.</text>
  </threadedComment>
  <threadedComment ref="B29" dT="2025-10-03T10:14:59.66" personId="{A3671517-355B-4537-A00D-5020116DFFF8}" id="{8BF08B5D-6100-419E-B24B-81A168ACDEA9}">
    <text>Unvalidated assumption of 80% of rating to account for N-1 limits.</text>
  </threadedComment>
  <threadedComment ref="B30" dT="2025-10-03T10:14:59.66" personId="{A3671517-355B-4537-A00D-5020116DFFF8}" id="{C45A3FA8-C284-4944-B2B0-69FD3794DBFD}">
    <text>Unvalidated assumption of 80% of rating to account for N-1 limits.</text>
  </threadedComment>
  <threadedComment ref="B31" dT="2025-10-03T10:14:59.66" personId="{A3671517-355B-4537-A00D-5020116DFFF8}" id="{1498AB41-DF1F-4253-A0D7-61B030587E4F}">
    <text>Unvalidated assumption of 80% of rating to account for N-1 limits.</text>
  </threadedComment>
  <threadedComment ref="B32" dT="2025-10-03T10:14:59.66" personId="{A3671517-355B-4537-A00D-5020116DFFF8}" id="{1B24E09F-F89E-477C-A2E9-01FBCF8CEFC0}">
    <text>Unvalidated assumption of 80% of rating to account for N-1 limits.</text>
  </threadedComment>
  <threadedComment ref="B33" dT="2025-10-03T10:14:59.66" personId="{A3671517-355B-4537-A00D-5020116DFFF8}" id="{F31758E4-2E89-41D4-BCFF-C2EA57FC3094}">
    <text>Unvalidated assumption of 80% of rating to account for N-1 limits.</text>
  </threadedComment>
  <threadedComment ref="B34" dT="2025-10-03T10:14:59.66" personId="{A3671517-355B-4537-A00D-5020116DFFF8}" id="{B8660DCF-9F92-4FC7-8312-796F8AE8622A}">
    <text>Unvalidated assumption of 80% of rating to account for N-1 limits.</text>
  </threadedComment>
  <threadedComment ref="B35" dT="2025-10-03T10:14:59.66" personId="{A3671517-355B-4537-A00D-5020116DFFF8}" id="{1EE7FBA1-D96D-4347-A3D8-B4F21BEE59AB}">
    <text>Unvalidated assumption of 80% of rating to account for N-1 limits.</text>
  </threadedComment>
  <threadedComment ref="B36" dT="2025-10-03T10:14:59.66" personId="{A3671517-355B-4537-A00D-5020116DFFF8}" id="{1039BD16-07A1-464A-90A5-9BA0B36433BC}">
    <text>Unvalidated assumption of 80% of rating to account for N-1 limits.</text>
  </threadedComment>
  <threadedComment ref="B37" dT="2025-10-03T10:14:59.66" personId="{A3671517-355B-4537-A00D-5020116DFFF8}" id="{0BB83AA0-D8AE-4D70-849C-FBB7837B092D}">
    <text>Unvalidated assumption of 80% of rating to account for N-1 limits.</text>
  </threadedComment>
  <threadedComment ref="B38" dT="2025-10-03T10:14:59.66" personId="{A3671517-355B-4537-A00D-5020116DFFF8}" id="{ED8F9EA1-65B6-4FCA-B28B-5724A6FEB25F}">
    <text>Unvalidated assumption of 80% of rating to account for N-1 limits.</text>
  </threadedComment>
  <threadedComment ref="B39" dT="2025-10-03T10:14:59.66" personId="{A3671517-355B-4537-A00D-5020116DFFF8}" id="{3A83A00E-DEAC-4C54-8643-863A6B05489F}">
    <text>Unvalidated assumption of 80% of rating to account for N-1 limits.</text>
  </threadedComment>
  <threadedComment ref="B40" dT="2025-10-03T10:14:59.66" personId="{A3671517-355B-4537-A00D-5020116DFFF8}" id="{61EA2C23-5DBA-4B2F-8400-E06B317E69C6}">
    <text>Unvalidated assumption of 80% of rating to account for N-1 limits.</text>
  </threadedComment>
  <threadedComment ref="B41" dT="2025-10-03T10:14:59.66" personId="{A3671517-355B-4537-A00D-5020116DFFF8}" id="{AAA62391-FFF7-4D44-B91F-5B49A85BBC90}">
    <text>Unvalidated assumption of 80% of rating to account for N-1 limits.</text>
  </threadedComment>
  <threadedComment ref="B42" dT="2025-10-03T10:14:59.66" personId="{A3671517-355B-4537-A00D-5020116DFFF8}" id="{F6DC948A-B3AC-433B-97E4-1DF3A8F745B3}">
    <text>Unvalidated assumption of 80% of rating to account for N-1 limits.</text>
  </threadedComment>
  <threadedComment ref="B43" dT="2025-10-03T10:14:59.66" personId="{A3671517-355B-4537-A00D-5020116DFFF8}" id="{FD4C3116-8A69-4DB7-93C7-4CC8EB44880C}">
    <text>Unvalidated assumption of 80% of rating to account for N-1 limits.</text>
  </threadedComment>
  <threadedComment ref="B44" dT="2025-10-03T10:14:59.66" personId="{A3671517-355B-4537-A00D-5020116DFFF8}" id="{1C40D20F-6312-4305-A8A6-B7F8EE42B5FD}">
    <text>Unvalidated assumption of 80% of rating to account for N-1 limits.</text>
  </threadedComment>
  <threadedComment ref="B45" dT="2025-10-03T10:14:59.66" personId="{A3671517-355B-4537-A00D-5020116DFFF8}" id="{3F3941F5-92E3-4B70-B3C4-C67D31F54D9D}">
    <text>Unvalidated assumption of 80% of rating to account for N-1 limits.</text>
  </threadedComment>
  <threadedComment ref="B46" dT="2025-10-03T10:14:59.66" personId="{A3671517-355B-4537-A00D-5020116DFFF8}" id="{81DD8BF9-F12C-41CD-8C7F-F29D6203E8E9}">
    <text>Unvalidated assumption of 80% of rating to account for N-1 limits.</text>
  </threadedComment>
  <threadedComment ref="B47" dT="2025-10-03T10:14:59.66" personId="{A3671517-355B-4537-A00D-5020116DFFF8}" id="{72FB9199-2D6C-4B16-B0AA-7886029C1FDA}">
    <text>Unvalidated assumption of 80% of rating to account for N-1 limits.</text>
  </threadedComment>
  <threadedComment ref="B48" dT="2025-10-03T10:14:59.66" personId="{A3671517-355B-4537-A00D-5020116DFFF8}" id="{4995F27E-1A95-4D55-99C4-99321C389500}">
    <text>Unvalidated assumption of 80% of rating to account for N-1 limits.</text>
  </threadedComment>
  <threadedComment ref="B49" dT="2025-10-03T10:14:59.66" personId="{A3671517-355B-4537-A00D-5020116DFFF8}" id="{983F1911-65E3-4163-9582-49BFEFADD60E}">
    <text>Unvalidated assumption of 80% of rating to account for N-1 limits.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Q53" dT="2025-10-02T08:20:10.93" personId="{A3671517-355B-4537-A00D-5020116DFFF8}" id="{AE0C8273-9F1F-4323-8B3D-3F16C8273B70}">
    <text>Manually Set to 0</text>
  </threadedComment>
  <threadedComment ref="Q54" dT="2025-10-02T08:20:10.93" personId="{A3671517-355B-4537-A00D-5020116DFFF8}" id="{A9534043-F3A1-4822-B49D-220B8B90D1BC}">
    <text>Manually Set to 0</text>
  </threadedComment>
  <threadedComment ref="J57" dT="2025-10-01T11:49:31.15" personId="{A3671517-355B-4537-A00D-5020116DFFF8}" id="{85B9955E-75A3-4649-AD06-C97F6FC08BEA}">
    <text>Not included in model - BESS</text>
  </threadedComment>
  <threadedComment ref="J60" dT="2025-10-01T11:49:31.15" personId="{A3671517-355B-4537-A00D-5020116DFFF8}" id="{B0A7061B-70D4-4A7E-9E33-3B384A503159}">
    <text>Not included in model - BESS</text>
  </threadedComment>
  <threadedComment ref="J61" dT="2025-10-01T11:49:31.15" personId="{A3671517-355B-4537-A00D-5020116DFFF8}" id="{C693DDA9-3BD0-4B92-A8FE-4F720A74D55F}">
    <text>Not included in model - BESS</text>
  </threadedComment>
  <threadedComment ref="Q62" dT="2025-10-02T08:20:10.93" personId="{A3671517-355B-4537-A00D-5020116DFFF8}" id="{7D62AB9C-E7AF-49F6-81ED-C76E12B2B7C5}">
    <text>Manually Set to 0</text>
  </threadedComment>
  <threadedComment ref="J73" dT="2025-10-01T11:49:31.15" personId="{A3671517-355B-4537-A00D-5020116DFFF8}" id="{7740BF8C-E3F1-466C-B3D5-CC1A9606A974}">
    <text>Not included in model - BESS</text>
  </threadedComment>
  <threadedComment ref="Q77" dT="2025-10-02T08:20:10.93" personId="{A3671517-355B-4537-A00D-5020116DFFF8}" id="{EA1DB443-3007-4948-9EC3-C7831E5DE55B}">
    <text>Manually Set to 0</text>
  </threadedComment>
  <threadedComment ref="Q84" dT="2025-10-02T08:20:10.93" personId="{A3671517-355B-4537-A00D-5020116DFFF8}" id="{A33D9A93-612D-4035-AD2B-58F6951C6620}">
    <text>Manually Set to 0</text>
  </threadedComment>
  <threadedComment ref="Q85" dT="2025-10-02T08:20:10.93" personId="{A3671517-355B-4537-A00D-5020116DFFF8}" id="{AC85D097-00EC-4687-813D-73BA8B4F6E54}">
    <text>Manually Set to 0</text>
  </threadedComment>
  <threadedComment ref="Q86" dT="2025-10-02T08:20:10.93" personId="{A3671517-355B-4537-A00D-5020116DFFF8}" id="{803CFC99-8311-41B9-A828-F491D1F128F9}">
    <text>Manually Set to 0</text>
  </threadedComment>
  <threadedComment ref="Q87" dT="2025-10-02T08:20:10.93" personId="{A3671517-355B-4537-A00D-5020116DFFF8}" id="{6B600A07-097C-4D39-8AB5-87DD1B59134E}">
    <text>Manually Set to 0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7"/>
  <sheetViews>
    <sheetView zoomScaleNormal="100" workbookViewId="0">
      <selection activeCell="E1" sqref="E1"/>
    </sheetView>
  </sheetViews>
  <sheetFormatPr defaultColWidth="8.77734375" defaultRowHeight="14.4" x14ac:dyDescent="0.3"/>
  <cols>
    <col min="1" max="1" width="13.5546875" bestFit="1" customWidth="1"/>
    <col min="2" max="2" width="30.6640625" bestFit="1" customWidth="1"/>
    <col min="3" max="1019" width="8.44140625" customWidth="1"/>
  </cols>
  <sheetData>
    <row r="1" spans="1:5" x14ac:dyDescent="0.3">
      <c r="A1" s="5" t="s">
        <v>0</v>
      </c>
      <c r="B1" s="5" t="s">
        <v>807</v>
      </c>
      <c r="C1" s="5" t="s">
        <v>1</v>
      </c>
      <c r="D1" s="5" t="s">
        <v>2</v>
      </c>
      <c r="E1" s="5" t="s">
        <v>3</v>
      </c>
    </row>
    <row r="2" spans="1:5" x14ac:dyDescent="0.3">
      <c r="A2" s="4" t="s">
        <v>35</v>
      </c>
      <c r="B2" s="4" t="s">
        <v>36</v>
      </c>
      <c r="C2" s="4" t="s">
        <v>37</v>
      </c>
      <c r="D2" s="4">
        <v>1</v>
      </c>
      <c r="E2" s="4" t="s">
        <v>3209</v>
      </c>
    </row>
    <row r="3" spans="1:5" x14ac:dyDescent="0.3">
      <c r="A3" s="4" t="s">
        <v>38</v>
      </c>
      <c r="B3" s="4" t="s">
        <v>36</v>
      </c>
      <c r="C3" s="4" t="s">
        <v>37</v>
      </c>
      <c r="D3" s="4">
        <v>1</v>
      </c>
      <c r="E3" s="4" t="s">
        <v>3209</v>
      </c>
    </row>
    <row r="4" spans="1:5" x14ac:dyDescent="0.3">
      <c r="A4" s="4" t="s">
        <v>39</v>
      </c>
      <c r="B4" s="4" t="s">
        <v>40</v>
      </c>
      <c r="C4" s="4" t="s">
        <v>37</v>
      </c>
      <c r="D4" s="4">
        <v>1</v>
      </c>
      <c r="E4" s="4" t="s">
        <v>3209</v>
      </c>
    </row>
    <row r="5" spans="1:5" x14ac:dyDescent="0.3">
      <c r="A5" s="4" t="s">
        <v>41</v>
      </c>
      <c r="B5" s="4" t="s">
        <v>42</v>
      </c>
      <c r="C5" s="4" t="s">
        <v>43</v>
      </c>
      <c r="D5" s="4">
        <v>1</v>
      </c>
      <c r="E5" s="4" t="s">
        <v>3209</v>
      </c>
    </row>
    <row r="6" spans="1:5" x14ac:dyDescent="0.3">
      <c r="A6" s="4" t="s">
        <v>44</v>
      </c>
      <c r="B6" s="4" t="s">
        <v>45</v>
      </c>
      <c r="C6" s="4" t="s">
        <v>37</v>
      </c>
      <c r="D6" s="4">
        <v>1</v>
      </c>
      <c r="E6" s="4" t="s">
        <v>3209</v>
      </c>
    </row>
    <row r="7" spans="1:5" x14ac:dyDescent="0.3">
      <c r="A7" s="4" t="s">
        <v>46</v>
      </c>
      <c r="B7" s="4" t="s">
        <v>47</v>
      </c>
      <c r="C7" s="4" t="s">
        <v>37</v>
      </c>
      <c r="D7" s="4">
        <v>1</v>
      </c>
      <c r="E7" s="4" t="s">
        <v>3210</v>
      </c>
    </row>
    <row r="8" spans="1:5" x14ac:dyDescent="0.3">
      <c r="A8" s="4" t="s">
        <v>48</v>
      </c>
      <c r="B8" s="4" t="s">
        <v>49</v>
      </c>
      <c r="C8" s="4" t="s">
        <v>50</v>
      </c>
      <c r="D8" s="4">
        <v>1</v>
      </c>
      <c r="E8" s="4" t="s">
        <v>3210</v>
      </c>
    </row>
    <row r="9" spans="1:5" x14ac:dyDescent="0.3">
      <c r="A9" s="4" t="s">
        <v>51</v>
      </c>
      <c r="B9" s="4" t="s">
        <v>52</v>
      </c>
      <c r="C9" s="4" t="s">
        <v>37</v>
      </c>
      <c r="D9" s="4">
        <v>1</v>
      </c>
      <c r="E9" s="4" t="s">
        <v>3209</v>
      </c>
    </row>
    <row r="10" spans="1:5" x14ac:dyDescent="0.3">
      <c r="A10" s="4" t="s">
        <v>53</v>
      </c>
      <c r="B10" s="4" t="s">
        <v>2803</v>
      </c>
      <c r="C10" s="4" t="s">
        <v>37</v>
      </c>
      <c r="D10" s="4">
        <v>1</v>
      </c>
      <c r="E10" s="4" t="s">
        <v>3209</v>
      </c>
    </row>
    <row r="11" spans="1:5" x14ac:dyDescent="0.3">
      <c r="A11" s="4" t="s">
        <v>54</v>
      </c>
      <c r="B11" s="4" t="s">
        <v>55</v>
      </c>
      <c r="C11" s="4" t="s">
        <v>37</v>
      </c>
      <c r="D11" s="4">
        <v>1</v>
      </c>
      <c r="E11" s="4" t="s">
        <v>3209</v>
      </c>
    </row>
    <row r="12" spans="1:5" x14ac:dyDescent="0.3">
      <c r="A12" s="4" t="s">
        <v>2957</v>
      </c>
      <c r="B12" s="4" t="s">
        <v>2961</v>
      </c>
      <c r="C12" s="4">
        <v>110</v>
      </c>
      <c r="D12" s="4">
        <v>1</v>
      </c>
      <c r="E12" s="4" t="s">
        <v>3210</v>
      </c>
    </row>
    <row r="13" spans="1:5" x14ac:dyDescent="0.3">
      <c r="A13" s="4" t="s">
        <v>56</v>
      </c>
      <c r="B13" s="4" t="s">
        <v>2804</v>
      </c>
      <c r="C13" s="4" t="s">
        <v>50</v>
      </c>
      <c r="D13" s="4">
        <v>1</v>
      </c>
      <c r="E13" s="4" t="s">
        <v>3210</v>
      </c>
    </row>
    <row r="14" spans="1:5" x14ac:dyDescent="0.3">
      <c r="A14" s="4" t="s">
        <v>57</v>
      </c>
      <c r="B14" s="4" t="s">
        <v>58</v>
      </c>
      <c r="C14" s="4" t="s">
        <v>37</v>
      </c>
      <c r="D14" s="4">
        <v>1</v>
      </c>
      <c r="E14" s="4" t="s">
        <v>3209</v>
      </c>
    </row>
    <row r="15" spans="1:5" x14ac:dyDescent="0.3">
      <c r="A15" s="4" t="s">
        <v>59</v>
      </c>
      <c r="B15" s="4" t="s">
        <v>60</v>
      </c>
      <c r="C15" s="4" t="s">
        <v>37</v>
      </c>
      <c r="D15" s="4">
        <v>1</v>
      </c>
      <c r="E15" s="4" t="s">
        <v>3210</v>
      </c>
    </row>
    <row r="16" spans="1:5" x14ac:dyDescent="0.3">
      <c r="A16" s="4" t="s">
        <v>61</v>
      </c>
      <c r="B16" s="4" t="s">
        <v>62</v>
      </c>
      <c r="C16" s="4" t="s">
        <v>50</v>
      </c>
      <c r="D16" s="4">
        <v>1</v>
      </c>
      <c r="E16" s="4" t="s">
        <v>3210</v>
      </c>
    </row>
    <row r="17" spans="1:5" x14ac:dyDescent="0.3">
      <c r="A17" s="4" t="s">
        <v>63</v>
      </c>
      <c r="B17" s="4" t="s">
        <v>64</v>
      </c>
      <c r="C17" s="4" t="s">
        <v>37</v>
      </c>
      <c r="D17" s="4">
        <v>1</v>
      </c>
      <c r="E17" s="4" t="s">
        <v>3209</v>
      </c>
    </row>
    <row r="18" spans="1:5" x14ac:dyDescent="0.3">
      <c r="A18" s="4" t="s">
        <v>65</v>
      </c>
      <c r="B18" s="4" t="s">
        <v>66</v>
      </c>
      <c r="C18" s="4" t="s">
        <v>37</v>
      </c>
      <c r="D18" s="4">
        <v>1</v>
      </c>
      <c r="E18" s="4" t="s">
        <v>3209</v>
      </c>
    </row>
    <row r="19" spans="1:5" x14ac:dyDescent="0.3">
      <c r="A19" s="4" t="s">
        <v>67</v>
      </c>
      <c r="B19" s="4" t="s">
        <v>68</v>
      </c>
      <c r="C19" s="4" t="s">
        <v>37</v>
      </c>
      <c r="D19" s="4">
        <v>1</v>
      </c>
      <c r="E19" s="4" t="s">
        <v>3209</v>
      </c>
    </row>
    <row r="20" spans="1:5" x14ac:dyDescent="0.3">
      <c r="A20" s="4" t="s">
        <v>69</v>
      </c>
      <c r="B20" s="4" t="s">
        <v>70</v>
      </c>
      <c r="C20" s="4" t="s">
        <v>37</v>
      </c>
      <c r="D20" s="4">
        <v>1</v>
      </c>
      <c r="E20" s="4" t="s">
        <v>3209</v>
      </c>
    </row>
    <row r="21" spans="1:5" x14ac:dyDescent="0.3">
      <c r="A21" s="4" t="s">
        <v>71</v>
      </c>
      <c r="B21" s="4" t="s">
        <v>72</v>
      </c>
      <c r="C21" s="4" t="s">
        <v>43</v>
      </c>
      <c r="D21" s="4">
        <v>1</v>
      </c>
      <c r="E21" s="4" t="s">
        <v>3209</v>
      </c>
    </row>
    <row r="22" spans="1:5" x14ac:dyDescent="0.3">
      <c r="A22" s="4" t="s">
        <v>73</v>
      </c>
      <c r="B22" s="4" t="s">
        <v>74</v>
      </c>
      <c r="C22" s="4" t="s">
        <v>37</v>
      </c>
      <c r="D22" s="4">
        <v>1</v>
      </c>
      <c r="E22" s="4" t="s">
        <v>3209</v>
      </c>
    </row>
    <row r="23" spans="1:5" x14ac:dyDescent="0.3">
      <c r="A23" s="4" t="s">
        <v>75</v>
      </c>
      <c r="B23" s="4" t="s">
        <v>76</v>
      </c>
      <c r="C23" s="4" t="s">
        <v>37</v>
      </c>
      <c r="D23" s="4">
        <v>1</v>
      </c>
      <c r="E23" s="4" t="s">
        <v>3209</v>
      </c>
    </row>
    <row r="24" spans="1:5" x14ac:dyDescent="0.3">
      <c r="A24" s="4" t="s">
        <v>77</v>
      </c>
      <c r="B24" s="4" t="s">
        <v>78</v>
      </c>
      <c r="C24" s="4" t="s">
        <v>37</v>
      </c>
      <c r="D24" s="4">
        <v>1</v>
      </c>
      <c r="E24" s="4" t="s">
        <v>3209</v>
      </c>
    </row>
    <row r="25" spans="1:5" x14ac:dyDescent="0.3">
      <c r="A25" s="4" t="s">
        <v>79</v>
      </c>
      <c r="B25" s="4" t="s">
        <v>80</v>
      </c>
      <c r="C25" s="4" t="s">
        <v>37</v>
      </c>
      <c r="D25" s="4">
        <v>1</v>
      </c>
      <c r="E25" s="4" t="s">
        <v>3209</v>
      </c>
    </row>
    <row r="26" spans="1:5" x14ac:dyDescent="0.3">
      <c r="A26" s="4" t="s">
        <v>81</v>
      </c>
      <c r="B26" s="4" t="s">
        <v>82</v>
      </c>
      <c r="C26" s="4" t="s">
        <v>37</v>
      </c>
      <c r="D26" s="4">
        <v>1</v>
      </c>
      <c r="E26" s="4" t="s">
        <v>3209</v>
      </c>
    </row>
    <row r="27" spans="1:5" x14ac:dyDescent="0.3">
      <c r="A27" s="4" t="s">
        <v>83</v>
      </c>
      <c r="B27" s="4" t="s">
        <v>84</v>
      </c>
      <c r="C27" s="4" t="s">
        <v>37</v>
      </c>
      <c r="D27" s="4">
        <v>1</v>
      </c>
      <c r="E27" s="4" t="s">
        <v>3209</v>
      </c>
    </row>
    <row r="28" spans="1:5" x14ac:dyDescent="0.3">
      <c r="A28" s="4" t="s">
        <v>85</v>
      </c>
      <c r="B28" s="4" t="s">
        <v>86</v>
      </c>
      <c r="C28" s="4" t="s">
        <v>37</v>
      </c>
      <c r="D28" s="4">
        <v>1</v>
      </c>
      <c r="E28" s="4" t="s">
        <v>3209</v>
      </c>
    </row>
    <row r="29" spans="1:5" x14ac:dyDescent="0.3">
      <c r="A29" s="4" t="s">
        <v>87</v>
      </c>
      <c r="B29" s="4" t="s">
        <v>88</v>
      </c>
      <c r="C29" s="4" t="s">
        <v>37</v>
      </c>
      <c r="D29" s="4">
        <v>1</v>
      </c>
      <c r="E29" s="4" t="s">
        <v>3209</v>
      </c>
    </row>
    <row r="30" spans="1:5" x14ac:dyDescent="0.3">
      <c r="A30" s="4" t="s">
        <v>89</v>
      </c>
      <c r="B30" s="4" t="s">
        <v>90</v>
      </c>
      <c r="C30" s="4" t="s">
        <v>37</v>
      </c>
      <c r="D30" s="4">
        <v>1</v>
      </c>
      <c r="E30" s="4" t="s">
        <v>3209</v>
      </c>
    </row>
    <row r="31" spans="1:5" x14ac:dyDescent="0.3">
      <c r="A31" s="4" t="s">
        <v>91</v>
      </c>
      <c r="B31" s="4" t="s">
        <v>92</v>
      </c>
      <c r="C31" s="4" t="s">
        <v>37</v>
      </c>
      <c r="D31" s="4">
        <v>1</v>
      </c>
      <c r="E31" s="4" t="s">
        <v>3210</v>
      </c>
    </row>
    <row r="32" spans="1:5" x14ac:dyDescent="0.3">
      <c r="A32" s="4" t="s">
        <v>93</v>
      </c>
      <c r="B32" s="4" t="s">
        <v>94</v>
      </c>
      <c r="C32" s="4" t="s">
        <v>50</v>
      </c>
      <c r="D32" s="4">
        <v>1</v>
      </c>
      <c r="E32" s="4" t="s">
        <v>3210</v>
      </c>
    </row>
    <row r="33" spans="1:5" x14ac:dyDescent="0.3">
      <c r="A33" s="4" t="s">
        <v>95</v>
      </c>
      <c r="B33" s="4" t="s">
        <v>96</v>
      </c>
      <c r="C33" s="4" t="s">
        <v>37</v>
      </c>
      <c r="D33" s="4">
        <v>1</v>
      </c>
      <c r="E33" s="4" t="s">
        <v>3209</v>
      </c>
    </row>
    <row r="34" spans="1:5" x14ac:dyDescent="0.3">
      <c r="A34" s="4" t="s">
        <v>97</v>
      </c>
      <c r="B34" s="4" t="s">
        <v>98</v>
      </c>
      <c r="C34" s="4" t="s">
        <v>37</v>
      </c>
      <c r="D34" s="4">
        <v>1</v>
      </c>
      <c r="E34" s="4" t="s">
        <v>3209</v>
      </c>
    </row>
    <row r="35" spans="1:5" x14ac:dyDescent="0.3">
      <c r="A35" s="4" t="s">
        <v>99</v>
      </c>
      <c r="B35" s="4" t="s">
        <v>100</v>
      </c>
      <c r="C35" s="4" t="s">
        <v>37</v>
      </c>
      <c r="D35" s="4">
        <v>1</v>
      </c>
      <c r="E35" s="4" t="s">
        <v>3209</v>
      </c>
    </row>
    <row r="36" spans="1:5" x14ac:dyDescent="0.3">
      <c r="A36" s="4" t="s">
        <v>101</v>
      </c>
      <c r="B36" s="4" t="s">
        <v>102</v>
      </c>
      <c r="C36" s="4" t="s">
        <v>37</v>
      </c>
      <c r="D36" s="4">
        <v>1</v>
      </c>
      <c r="E36" s="4" t="s">
        <v>3209</v>
      </c>
    </row>
    <row r="37" spans="1:5" x14ac:dyDescent="0.3">
      <c r="A37" s="4" t="s">
        <v>103</v>
      </c>
      <c r="B37" s="4" t="s">
        <v>104</v>
      </c>
      <c r="C37" s="4" t="s">
        <v>37</v>
      </c>
      <c r="D37" s="4">
        <v>1</v>
      </c>
      <c r="E37" s="4" t="s">
        <v>3209</v>
      </c>
    </row>
    <row r="38" spans="1:5" x14ac:dyDescent="0.3">
      <c r="A38" s="4" t="s">
        <v>105</v>
      </c>
      <c r="B38" s="4" t="s">
        <v>106</v>
      </c>
      <c r="C38" s="4" t="s">
        <v>37</v>
      </c>
      <c r="D38" s="4">
        <v>1</v>
      </c>
      <c r="E38" s="4" t="s">
        <v>3209</v>
      </c>
    </row>
    <row r="39" spans="1:5" x14ac:dyDescent="0.3">
      <c r="A39" s="4" t="s">
        <v>107</v>
      </c>
      <c r="B39" s="4" t="s">
        <v>108</v>
      </c>
      <c r="C39" s="4" t="s">
        <v>37</v>
      </c>
      <c r="D39" s="4">
        <v>1</v>
      </c>
      <c r="E39" s="4" t="s">
        <v>3209</v>
      </c>
    </row>
    <row r="40" spans="1:5" x14ac:dyDescent="0.3">
      <c r="A40" s="8" t="s">
        <v>109</v>
      </c>
      <c r="B40" s="8" t="s">
        <v>110</v>
      </c>
      <c r="C40" s="8" t="s">
        <v>37</v>
      </c>
      <c r="D40" s="8">
        <v>1</v>
      </c>
      <c r="E40" s="8" t="s">
        <v>3209</v>
      </c>
    </row>
    <row r="41" spans="1:5" x14ac:dyDescent="0.3">
      <c r="A41" s="8" t="s">
        <v>2916</v>
      </c>
      <c r="B41" s="8" t="s">
        <v>2960</v>
      </c>
      <c r="C41" s="8" t="s">
        <v>37</v>
      </c>
      <c r="D41" s="8">
        <v>1</v>
      </c>
      <c r="E41" s="8" t="s">
        <v>3209</v>
      </c>
    </row>
    <row r="42" spans="1:5" x14ac:dyDescent="0.3">
      <c r="A42" s="4" t="s">
        <v>111</v>
      </c>
      <c r="B42" s="4" t="s">
        <v>112</v>
      </c>
      <c r="C42" s="4" t="s">
        <v>37</v>
      </c>
      <c r="D42" s="4">
        <v>1</v>
      </c>
      <c r="E42" s="4" t="s">
        <v>3209</v>
      </c>
    </row>
    <row r="43" spans="1:5" x14ac:dyDescent="0.3">
      <c r="A43" s="4" t="s">
        <v>113</v>
      </c>
      <c r="B43" s="4" t="s">
        <v>114</v>
      </c>
      <c r="C43" s="4" t="s">
        <v>37</v>
      </c>
      <c r="D43" s="4">
        <v>1</v>
      </c>
      <c r="E43" s="4" t="s">
        <v>3209</v>
      </c>
    </row>
    <row r="44" spans="1:5" x14ac:dyDescent="0.3">
      <c r="A44" s="4" t="s">
        <v>115</v>
      </c>
      <c r="B44" s="4" t="s">
        <v>116</v>
      </c>
      <c r="C44" s="4" t="s">
        <v>37</v>
      </c>
      <c r="D44" s="4">
        <v>1</v>
      </c>
      <c r="E44" s="4" t="s">
        <v>3209</v>
      </c>
    </row>
    <row r="45" spans="1:5" x14ac:dyDescent="0.3">
      <c r="A45" s="4" t="s">
        <v>117</v>
      </c>
      <c r="B45" s="4" t="s">
        <v>116</v>
      </c>
      <c r="C45" s="4" t="s">
        <v>37</v>
      </c>
      <c r="D45" s="4">
        <v>1</v>
      </c>
      <c r="E45" s="4" t="s">
        <v>3209</v>
      </c>
    </row>
    <row r="46" spans="1:5" x14ac:dyDescent="0.3">
      <c r="A46" s="4" t="s">
        <v>118</v>
      </c>
      <c r="B46" s="4" t="s">
        <v>119</v>
      </c>
      <c r="C46" s="4" t="s">
        <v>37</v>
      </c>
      <c r="D46" s="4">
        <v>1</v>
      </c>
      <c r="E46" s="4" t="s">
        <v>3209</v>
      </c>
    </row>
    <row r="47" spans="1:5" x14ac:dyDescent="0.3">
      <c r="A47" s="4" t="s">
        <v>120</v>
      </c>
      <c r="B47" s="4" t="s">
        <v>121</v>
      </c>
      <c r="C47" s="4" t="s">
        <v>37</v>
      </c>
      <c r="D47" s="4">
        <v>1</v>
      </c>
      <c r="E47" s="4" t="s">
        <v>3209</v>
      </c>
    </row>
    <row r="48" spans="1:5" x14ac:dyDescent="0.3">
      <c r="A48" s="4" t="s">
        <v>122</v>
      </c>
      <c r="B48" s="4" t="s">
        <v>123</v>
      </c>
      <c r="C48" s="4" t="s">
        <v>37</v>
      </c>
      <c r="D48" s="4">
        <v>1</v>
      </c>
      <c r="E48" s="4" t="s">
        <v>3209</v>
      </c>
    </row>
    <row r="49" spans="1:5" x14ac:dyDescent="0.3">
      <c r="A49" s="4" t="s">
        <v>124</v>
      </c>
      <c r="B49" s="4" t="s">
        <v>125</v>
      </c>
      <c r="C49" s="4" t="s">
        <v>43</v>
      </c>
      <c r="D49" s="4">
        <v>1</v>
      </c>
      <c r="E49" s="4" t="s">
        <v>3209</v>
      </c>
    </row>
    <row r="50" spans="1:5" x14ac:dyDescent="0.3">
      <c r="A50" s="4" t="s">
        <v>126</v>
      </c>
      <c r="B50" s="4" t="s">
        <v>127</v>
      </c>
      <c r="C50" s="4" t="s">
        <v>37</v>
      </c>
      <c r="D50" s="4">
        <v>1</v>
      </c>
      <c r="E50" s="4" t="s">
        <v>3209</v>
      </c>
    </row>
    <row r="51" spans="1:5" x14ac:dyDescent="0.3">
      <c r="A51" s="4" t="s">
        <v>128</v>
      </c>
      <c r="B51" s="4" t="s">
        <v>129</v>
      </c>
      <c r="C51" s="4" t="s">
        <v>37</v>
      </c>
      <c r="D51" s="4">
        <v>1</v>
      </c>
      <c r="E51" s="4" t="s">
        <v>3209</v>
      </c>
    </row>
    <row r="52" spans="1:5" x14ac:dyDescent="0.3">
      <c r="A52" s="4" t="s">
        <v>130</v>
      </c>
      <c r="B52" s="4" t="s">
        <v>131</v>
      </c>
      <c r="C52" s="4" t="s">
        <v>37</v>
      </c>
      <c r="D52" s="4">
        <v>1</v>
      </c>
      <c r="E52" s="4" t="s">
        <v>3209</v>
      </c>
    </row>
    <row r="53" spans="1:5" x14ac:dyDescent="0.3">
      <c r="A53" s="4" t="s">
        <v>132</v>
      </c>
      <c r="B53" s="4" t="s">
        <v>133</v>
      </c>
      <c r="C53" s="4" t="s">
        <v>37</v>
      </c>
      <c r="D53" s="4">
        <v>1</v>
      </c>
      <c r="E53" s="4" t="s">
        <v>3210</v>
      </c>
    </row>
    <row r="54" spans="1:5" x14ac:dyDescent="0.3">
      <c r="A54" s="4" t="s">
        <v>134</v>
      </c>
      <c r="B54" s="4" t="s">
        <v>135</v>
      </c>
      <c r="C54" s="4" t="s">
        <v>50</v>
      </c>
      <c r="D54" s="4">
        <v>1</v>
      </c>
      <c r="E54" s="4" t="s">
        <v>3210</v>
      </c>
    </row>
    <row r="55" spans="1:5" x14ac:dyDescent="0.3">
      <c r="A55" s="4" t="s">
        <v>136</v>
      </c>
      <c r="B55" s="4" t="s">
        <v>137</v>
      </c>
      <c r="C55" s="4" t="s">
        <v>37</v>
      </c>
      <c r="D55" s="4">
        <v>1</v>
      </c>
      <c r="E55" s="4" t="s">
        <v>3210</v>
      </c>
    </row>
    <row r="56" spans="1:5" x14ac:dyDescent="0.3">
      <c r="A56" s="4" t="s">
        <v>138</v>
      </c>
      <c r="B56" s="4" t="s">
        <v>139</v>
      </c>
      <c r="C56" s="4" t="s">
        <v>50</v>
      </c>
      <c r="D56" s="4">
        <v>1</v>
      </c>
      <c r="E56" s="4" t="s">
        <v>3210</v>
      </c>
    </row>
    <row r="57" spans="1:5" x14ac:dyDescent="0.3">
      <c r="A57" s="4" t="s">
        <v>140</v>
      </c>
      <c r="B57" s="4" t="s">
        <v>141</v>
      </c>
      <c r="C57" s="4" t="s">
        <v>37</v>
      </c>
      <c r="D57" s="4">
        <v>1</v>
      </c>
      <c r="E57" s="4" t="s">
        <v>3210</v>
      </c>
    </row>
    <row r="58" spans="1:5" x14ac:dyDescent="0.3">
      <c r="A58" s="4" t="s">
        <v>142</v>
      </c>
      <c r="B58" s="4" t="s">
        <v>143</v>
      </c>
      <c r="C58" s="4" t="s">
        <v>50</v>
      </c>
      <c r="D58" s="4">
        <v>1</v>
      </c>
      <c r="E58" s="4" t="s">
        <v>3210</v>
      </c>
    </row>
    <row r="59" spans="1:5" x14ac:dyDescent="0.3">
      <c r="A59" s="4" t="s">
        <v>144</v>
      </c>
      <c r="B59" s="4" t="s">
        <v>145</v>
      </c>
      <c r="C59" s="4" t="s">
        <v>37</v>
      </c>
      <c r="D59" s="4">
        <v>1</v>
      </c>
      <c r="E59" s="4" t="s">
        <v>3209</v>
      </c>
    </row>
    <row r="60" spans="1:5" x14ac:dyDescent="0.3">
      <c r="A60" s="4" t="s">
        <v>146</v>
      </c>
      <c r="B60" s="4" t="s">
        <v>147</v>
      </c>
      <c r="C60" s="4" t="s">
        <v>37</v>
      </c>
      <c r="D60" s="4">
        <v>1</v>
      </c>
      <c r="E60" s="4" t="s">
        <v>3209</v>
      </c>
    </row>
    <row r="61" spans="1:5" x14ac:dyDescent="0.3">
      <c r="A61" s="4" t="s">
        <v>148</v>
      </c>
      <c r="B61" s="4" t="s">
        <v>149</v>
      </c>
      <c r="C61" s="4" t="s">
        <v>37</v>
      </c>
      <c r="D61" s="4">
        <v>1</v>
      </c>
      <c r="E61" s="4" t="s">
        <v>3210</v>
      </c>
    </row>
    <row r="62" spans="1:5" x14ac:dyDescent="0.3">
      <c r="A62" s="4" t="s">
        <v>150</v>
      </c>
      <c r="B62" s="4" t="s">
        <v>151</v>
      </c>
      <c r="C62" s="4" t="s">
        <v>152</v>
      </c>
      <c r="D62" s="4">
        <v>1</v>
      </c>
      <c r="E62" s="4" t="s">
        <v>3210</v>
      </c>
    </row>
    <row r="63" spans="1:5" x14ac:dyDescent="0.3">
      <c r="A63" s="4" t="s">
        <v>153</v>
      </c>
      <c r="B63" s="4" t="s">
        <v>2805</v>
      </c>
      <c r="C63" s="4" t="s">
        <v>37</v>
      </c>
      <c r="D63" s="4">
        <v>1</v>
      </c>
      <c r="E63" s="4" t="s">
        <v>3209</v>
      </c>
    </row>
    <row r="64" spans="1:5" x14ac:dyDescent="0.3">
      <c r="A64" s="4" t="s">
        <v>154</v>
      </c>
      <c r="B64" s="4" t="s">
        <v>155</v>
      </c>
      <c r="C64" s="4" t="s">
        <v>37</v>
      </c>
      <c r="D64" s="4">
        <v>1</v>
      </c>
      <c r="E64" s="4" t="s">
        <v>3210</v>
      </c>
    </row>
    <row r="65" spans="1:5" x14ac:dyDescent="0.3">
      <c r="A65" s="4" t="s">
        <v>156</v>
      </c>
      <c r="B65" s="4" t="s">
        <v>157</v>
      </c>
      <c r="C65" s="4" t="s">
        <v>50</v>
      </c>
      <c r="D65" s="4">
        <v>1</v>
      </c>
      <c r="E65" s="4" t="s">
        <v>3210</v>
      </c>
    </row>
    <row r="66" spans="1:5" x14ac:dyDescent="0.3">
      <c r="A66" s="4" t="s">
        <v>158</v>
      </c>
      <c r="B66" s="4" t="s">
        <v>159</v>
      </c>
      <c r="C66" s="4" t="s">
        <v>37</v>
      </c>
      <c r="D66" s="4">
        <v>1</v>
      </c>
      <c r="E66" s="4" t="s">
        <v>3209</v>
      </c>
    </row>
    <row r="67" spans="1:5" x14ac:dyDescent="0.3">
      <c r="A67" s="4" t="s">
        <v>160</v>
      </c>
      <c r="B67" s="4" t="s">
        <v>161</v>
      </c>
      <c r="C67" s="4" t="s">
        <v>43</v>
      </c>
      <c r="D67" s="4">
        <v>1</v>
      </c>
      <c r="E67" s="4" t="s">
        <v>3209</v>
      </c>
    </row>
    <row r="68" spans="1:5" x14ac:dyDescent="0.3">
      <c r="A68" s="4" t="s">
        <v>162</v>
      </c>
      <c r="B68" s="4" t="s">
        <v>163</v>
      </c>
      <c r="C68" s="4" t="s">
        <v>37</v>
      </c>
      <c r="D68" s="4">
        <v>1</v>
      </c>
      <c r="E68" s="4" t="s">
        <v>3209</v>
      </c>
    </row>
    <row r="69" spans="1:5" x14ac:dyDescent="0.3">
      <c r="A69" s="4" t="s">
        <v>164</v>
      </c>
      <c r="B69" s="4" t="s">
        <v>165</v>
      </c>
      <c r="C69" s="4" t="s">
        <v>37</v>
      </c>
      <c r="D69" s="4">
        <v>1</v>
      </c>
      <c r="E69" s="4" t="s">
        <v>3209</v>
      </c>
    </row>
    <row r="70" spans="1:5" x14ac:dyDescent="0.3">
      <c r="A70" s="4" t="s">
        <v>166</v>
      </c>
      <c r="B70" s="4" t="s">
        <v>167</v>
      </c>
      <c r="C70" s="4" t="s">
        <v>37</v>
      </c>
      <c r="D70" s="4">
        <v>1</v>
      </c>
      <c r="E70" s="4" t="s">
        <v>3210</v>
      </c>
    </row>
    <row r="71" spans="1:5" x14ac:dyDescent="0.3">
      <c r="A71" s="4" t="s">
        <v>168</v>
      </c>
      <c r="B71" s="4" t="s">
        <v>169</v>
      </c>
      <c r="C71" s="4" t="s">
        <v>37</v>
      </c>
      <c r="D71" s="4">
        <v>1</v>
      </c>
      <c r="E71" s="4" t="s">
        <v>3209</v>
      </c>
    </row>
    <row r="72" spans="1:5" x14ac:dyDescent="0.3">
      <c r="A72" s="4" t="s">
        <v>170</v>
      </c>
      <c r="B72" s="4" t="s">
        <v>171</v>
      </c>
      <c r="C72" s="4" t="s">
        <v>43</v>
      </c>
      <c r="D72" s="4">
        <v>1</v>
      </c>
      <c r="E72" s="4" t="s">
        <v>3209</v>
      </c>
    </row>
    <row r="73" spans="1:5" x14ac:dyDescent="0.3">
      <c r="A73" s="4" t="s">
        <v>172</v>
      </c>
      <c r="B73" s="4" t="s">
        <v>173</v>
      </c>
      <c r="C73" s="4" t="s">
        <v>37</v>
      </c>
      <c r="D73" s="4">
        <v>1</v>
      </c>
      <c r="E73" s="4" t="s">
        <v>3209</v>
      </c>
    </row>
    <row r="74" spans="1:5" x14ac:dyDescent="0.3">
      <c r="A74" s="4" t="s">
        <v>174</v>
      </c>
      <c r="B74" s="4" t="s">
        <v>175</v>
      </c>
      <c r="C74" s="4" t="s">
        <v>152</v>
      </c>
      <c r="D74" s="4">
        <v>1</v>
      </c>
      <c r="E74" s="4" t="s">
        <v>3210</v>
      </c>
    </row>
    <row r="75" spans="1:5" x14ac:dyDescent="0.3">
      <c r="A75" s="4" t="s">
        <v>176</v>
      </c>
      <c r="B75" s="4" t="s">
        <v>177</v>
      </c>
      <c r="C75" s="4" t="s">
        <v>37</v>
      </c>
      <c r="D75" s="4">
        <v>1</v>
      </c>
      <c r="E75" s="4" t="s">
        <v>3209</v>
      </c>
    </row>
    <row r="76" spans="1:5" x14ac:dyDescent="0.3">
      <c r="A76" s="4" t="s">
        <v>178</v>
      </c>
      <c r="B76" s="4" t="s">
        <v>179</v>
      </c>
      <c r="C76" s="4" t="s">
        <v>43</v>
      </c>
      <c r="D76" s="4">
        <v>1</v>
      </c>
      <c r="E76" s="4" t="s">
        <v>3209</v>
      </c>
    </row>
    <row r="77" spans="1:5" x14ac:dyDescent="0.3">
      <c r="A77" s="4" t="s">
        <v>180</v>
      </c>
      <c r="B77" s="4" t="s">
        <v>181</v>
      </c>
      <c r="C77" s="4" t="s">
        <v>37</v>
      </c>
      <c r="D77" s="4">
        <v>1</v>
      </c>
      <c r="E77" s="4" t="s">
        <v>3209</v>
      </c>
    </row>
    <row r="78" spans="1:5" x14ac:dyDescent="0.3">
      <c r="A78" s="4" t="s">
        <v>182</v>
      </c>
      <c r="B78" s="4" t="s">
        <v>183</v>
      </c>
      <c r="C78" s="4" t="s">
        <v>37</v>
      </c>
      <c r="D78" s="4">
        <v>1</v>
      </c>
      <c r="E78" s="4" t="s">
        <v>184</v>
      </c>
    </row>
    <row r="79" spans="1:5" x14ac:dyDescent="0.3">
      <c r="A79" s="4" t="s">
        <v>185</v>
      </c>
      <c r="B79" s="4" t="s">
        <v>186</v>
      </c>
      <c r="C79" s="4" t="s">
        <v>37</v>
      </c>
      <c r="D79" s="4">
        <v>1</v>
      </c>
      <c r="E79" s="4" t="s">
        <v>3209</v>
      </c>
    </row>
    <row r="80" spans="1:5" x14ac:dyDescent="0.3">
      <c r="A80" s="4" t="s">
        <v>187</v>
      </c>
      <c r="B80" s="4" t="s">
        <v>188</v>
      </c>
      <c r="C80" s="4" t="s">
        <v>37</v>
      </c>
      <c r="D80" s="4">
        <v>1</v>
      </c>
      <c r="E80" s="4" t="s">
        <v>3210</v>
      </c>
    </row>
    <row r="81" spans="1:5" x14ac:dyDescent="0.3">
      <c r="A81" s="4" t="s">
        <v>189</v>
      </c>
      <c r="B81" s="4" t="s">
        <v>190</v>
      </c>
      <c r="C81" s="4" t="s">
        <v>50</v>
      </c>
      <c r="D81" s="4">
        <v>1</v>
      </c>
      <c r="E81" s="4" t="s">
        <v>3210</v>
      </c>
    </row>
    <row r="82" spans="1:5" x14ac:dyDescent="0.3">
      <c r="A82" s="4" t="s">
        <v>191</v>
      </c>
      <c r="B82" s="4" t="s">
        <v>192</v>
      </c>
      <c r="C82" s="4" t="s">
        <v>37</v>
      </c>
      <c r="D82" s="4">
        <v>1</v>
      </c>
      <c r="E82" s="4" t="s">
        <v>3210</v>
      </c>
    </row>
    <row r="83" spans="1:5" x14ac:dyDescent="0.3">
      <c r="A83" s="4" t="s">
        <v>193</v>
      </c>
      <c r="B83" s="4" t="s">
        <v>194</v>
      </c>
      <c r="C83" s="4" t="s">
        <v>152</v>
      </c>
      <c r="D83" s="4">
        <v>1</v>
      </c>
      <c r="E83" s="4" t="s">
        <v>3210</v>
      </c>
    </row>
    <row r="84" spans="1:5" x14ac:dyDescent="0.3">
      <c r="A84" s="4" t="s">
        <v>195</v>
      </c>
      <c r="B84" s="4" t="s">
        <v>196</v>
      </c>
      <c r="C84" s="4" t="s">
        <v>37</v>
      </c>
      <c r="D84" s="4">
        <v>1</v>
      </c>
      <c r="E84" s="4" t="s">
        <v>3209</v>
      </c>
    </row>
    <row r="85" spans="1:5" x14ac:dyDescent="0.3">
      <c r="A85" s="4" t="s">
        <v>197</v>
      </c>
      <c r="B85" s="4" t="s">
        <v>198</v>
      </c>
      <c r="C85" s="4" t="s">
        <v>37</v>
      </c>
      <c r="D85" s="4">
        <v>1</v>
      </c>
      <c r="E85" s="4" t="s">
        <v>3209</v>
      </c>
    </row>
    <row r="86" spans="1:5" x14ac:dyDescent="0.3">
      <c r="A86" s="4" t="s">
        <v>199</v>
      </c>
      <c r="B86" s="4" t="s">
        <v>200</v>
      </c>
      <c r="C86" s="4" t="s">
        <v>37</v>
      </c>
      <c r="D86" s="4">
        <v>1</v>
      </c>
      <c r="E86" s="4" t="s">
        <v>3209</v>
      </c>
    </row>
    <row r="87" spans="1:5" x14ac:dyDescent="0.3">
      <c r="A87" s="4" t="s">
        <v>201</v>
      </c>
      <c r="B87" s="4" t="s">
        <v>202</v>
      </c>
      <c r="C87" s="4" t="s">
        <v>37</v>
      </c>
      <c r="D87" s="4">
        <v>1</v>
      </c>
      <c r="E87" s="4" t="s">
        <v>3209</v>
      </c>
    </row>
    <row r="88" spans="1:5" x14ac:dyDescent="0.3">
      <c r="A88" s="4" t="s">
        <v>203</v>
      </c>
      <c r="B88" s="4" t="s">
        <v>204</v>
      </c>
      <c r="C88" s="4" t="s">
        <v>43</v>
      </c>
      <c r="D88" s="4">
        <v>1</v>
      </c>
      <c r="E88" s="4" t="s">
        <v>3209</v>
      </c>
    </row>
    <row r="89" spans="1:5" x14ac:dyDescent="0.3">
      <c r="A89" s="4" t="s">
        <v>205</v>
      </c>
      <c r="B89" s="4" t="s">
        <v>206</v>
      </c>
      <c r="C89" s="4" t="s">
        <v>37</v>
      </c>
      <c r="D89" s="4">
        <v>1</v>
      </c>
      <c r="E89" s="4" t="s">
        <v>3209</v>
      </c>
    </row>
    <row r="90" spans="1:5" x14ac:dyDescent="0.3">
      <c r="A90" s="4" t="s">
        <v>207</v>
      </c>
      <c r="B90" s="4" t="s">
        <v>208</v>
      </c>
      <c r="C90" s="4" t="s">
        <v>37</v>
      </c>
      <c r="D90" s="4">
        <v>1</v>
      </c>
      <c r="E90" s="4" t="s">
        <v>3209</v>
      </c>
    </row>
    <row r="91" spans="1:5" x14ac:dyDescent="0.3">
      <c r="A91" s="4" t="s">
        <v>209</v>
      </c>
      <c r="B91" s="4" t="s">
        <v>210</v>
      </c>
      <c r="C91" s="4" t="s">
        <v>37</v>
      </c>
      <c r="D91" s="4">
        <v>1</v>
      </c>
      <c r="E91" s="4" t="s">
        <v>3209</v>
      </c>
    </row>
    <row r="92" spans="1:5" x14ac:dyDescent="0.3">
      <c r="A92" s="4" t="s">
        <v>211</v>
      </c>
      <c r="B92" s="4" t="s">
        <v>212</v>
      </c>
      <c r="C92" s="4" t="s">
        <v>37</v>
      </c>
      <c r="D92" s="4">
        <v>1</v>
      </c>
      <c r="E92" s="4" t="s">
        <v>3209</v>
      </c>
    </row>
    <row r="93" spans="1:5" x14ac:dyDescent="0.3">
      <c r="A93" s="4" t="s">
        <v>213</v>
      </c>
      <c r="B93" s="4" t="s">
        <v>214</v>
      </c>
      <c r="C93" s="4" t="s">
        <v>37</v>
      </c>
      <c r="D93" s="4">
        <v>1</v>
      </c>
      <c r="E93" s="4" t="s">
        <v>3209</v>
      </c>
    </row>
    <row r="94" spans="1:5" x14ac:dyDescent="0.3">
      <c r="A94" s="4" t="s">
        <v>215</v>
      </c>
      <c r="B94" s="4" t="s">
        <v>216</v>
      </c>
      <c r="C94" s="4" t="s">
        <v>43</v>
      </c>
      <c r="D94" s="4">
        <v>1</v>
      </c>
      <c r="E94" s="4" t="s">
        <v>3209</v>
      </c>
    </row>
    <row r="95" spans="1:5" x14ac:dyDescent="0.3">
      <c r="A95" s="4" t="s">
        <v>217</v>
      </c>
      <c r="B95" s="4" t="s">
        <v>218</v>
      </c>
      <c r="C95" s="4" t="s">
        <v>37</v>
      </c>
      <c r="D95" s="4">
        <v>1</v>
      </c>
      <c r="E95" s="4" t="s">
        <v>3209</v>
      </c>
    </row>
    <row r="96" spans="1:5" x14ac:dyDescent="0.3">
      <c r="A96" s="4" t="s">
        <v>219</v>
      </c>
      <c r="B96" s="4" t="s">
        <v>220</v>
      </c>
      <c r="C96" s="4" t="s">
        <v>37</v>
      </c>
      <c r="D96" s="4">
        <v>1</v>
      </c>
      <c r="E96" s="4" t="s">
        <v>3210</v>
      </c>
    </row>
    <row r="97" spans="1:5" x14ac:dyDescent="0.3">
      <c r="A97" s="4" t="s">
        <v>221</v>
      </c>
      <c r="B97" s="4" t="s">
        <v>222</v>
      </c>
      <c r="C97" s="4" t="s">
        <v>50</v>
      </c>
      <c r="D97" s="4">
        <v>1</v>
      </c>
      <c r="E97" s="4" t="s">
        <v>3210</v>
      </c>
    </row>
    <row r="98" spans="1:5" x14ac:dyDescent="0.3">
      <c r="A98" s="4" t="s">
        <v>223</v>
      </c>
      <c r="B98" s="4" t="s">
        <v>224</v>
      </c>
      <c r="C98" s="4" t="s">
        <v>37</v>
      </c>
      <c r="D98" s="4">
        <v>1</v>
      </c>
      <c r="E98" s="4" t="s">
        <v>3209</v>
      </c>
    </row>
    <row r="99" spans="1:5" x14ac:dyDescent="0.3">
      <c r="A99" s="4" t="s">
        <v>2806</v>
      </c>
      <c r="B99" s="4" t="s">
        <v>2807</v>
      </c>
      <c r="C99" s="4" t="s">
        <v>37</v>
      </c>
      <c r="D99" s="4">
        <v>1</v>
      </c>
      <c r="E99" s="4" t="s">
        <v>3209</v>
      </c>
    </row>
    <row r="100" spans="1:5" x14ac:dyDescent="0.3">
      <c r="A100" s="4" t="s">
        <v>225</v>
      </c>
      <c r="B100" s="4" t="s">
        <v>2808</v>
      </c>
      <c r="C100" s="4" t="s">
        <v>37</v>
      </c>
      <c r="D100" s="4">
        <v>1</v>
      </c>
      <c r="E100" s="4" t="s">
        <v>3209</v>
      </c>
    </row>
    <row r="101" spans="1:5" x14ac:dyDescent="0.3">
      <c r="A101" s="4" t="s">
        <v>226</v>
      </c>
      <c r="B101" s="4" t="s">
        <v>227</v>
      </c>
      <c r="C101" s="4" t="s">
        <v>37</v>
      </c>
      <c r="D101" s="4">
        <v>1</v>
      </c>
      <c r="E101" s="4" t="s">
        <v>3209</v>
      </c>
    </row>
    <row r="102" spans="1:5" x14ac:dyDescent="0.3">
      <c r="A102" s="4" t="s">
        <v>228</v>
      </c>
      <c r="B102" s="8" t="s">
        <v>2809</v>
      </c>
      <c r="C102" s="4" t="s">
        <v>37</v>
      </c>
      <c r="D102" s="4">
        <v>1</v>
      </c>
      <c r="E102" s="4" t="s">
        <v>3209</v>
      </c>
    </row>
    <row r="103" spans="1:5" x14ac:dyDescent="0.3">
      <c r="A103" s="4" t="s">
        <v>229</v>
      </c>
      <c r="B103" s="4" t="s">
        <v>230</v>
      </c>
      <c r="C103" s="4" t="s">
        <v>37</v>
      </c>
      <c r="D103" s="4">
        <v>1</v>
      </c>
      <c r="E103" s="4" t="s">
        <v>3209</v>
      </c>
    </row>
    <row r="104" spans="1:5" x14ac:dyDescent="0.3">
      <c r="A104" s="4" t="s">
        <v>231</v>
      </c>
      <c r="B104" s="4" t="s">
        <v>232</v>
      </c>
      <c r="C104" s="4" t="s">
        <v>37</v>
      </c>
      <c r="D104" s="4">
        <v>1</v>
      </c>
      <c r="E104" s="4" t="s">
        <v>3209</v>
      </c>
    </row>
    <row r="105" spans="1:5" x14ac:dyDescent="0.3">
      <c r="A105" s="4" t="s">
        <v>233</v>
      </c>
      <c r="B105" s="4" t="s">
        <v>234</v>
      </c>
      <c r="C105" s="4" t="s">
        <v>37</v>
      </c>
      <c r="D105" s="4">
        <v>1</v>
      </c>
      <c r="E105" s="4" t="s">
        <v>3209</v>
      </c>
    </row>
    <row r="106" spans="1:5" x14ac:dyDescent="0.3">
      <c r="A106" s="4" t="s">
        <v>235</v>
      </c>
      <c r="B106" s="4" t="s">
        <v>183</v>
      </c>
      <c r="C106" s="4" t="s">
        <v>37</v>
      </c>
      <c r="D106" s="4">
        <v>1</v>
      </c>
      <c r="E106" s="4" t="s">
        <v>184</v>
      </c>
    </row>
    <row r="107" spans="1:5" x14ac:dyDescent="0.3">
      <c r="A107" s="4" t="s">
        <v>236</v>
      </c>
      <c r="B107" s="4" t="s">
        <v>237</v>
      </c>
      <c r="C107" s="4" t="s">
        <v>37</v>
      </c>
      <c r="D107" s="4">
        <v>1</v>
      </c>
      <c r="E107" s="4" t="s">
        <v>3209</v>
      </c>
    </row>
    <row r="108" spans="1:5" x14ac:dyDescent="0.3">
      <c r="A108" s="4" t="s">
        <v>238</v>
      </c>
      <c r="B108" s="4" t="s">
        <v>239</v>
      </c>
      <c r="C108" s="4" t="s">
        <v>43</v>
      </c>
      <c r="D108" s="4">
        <v>1</v>
      </c>
      <c r="E108" s="4" t="s">
        <v>3209</v>
      </c>
    </row>
    <row r="109" spans="1:5" x14ac:dyDescent="0.3">
      <c r="A109" s="4" t="s">
        <v>240</v>
      </c>
      <c r="B109" s="4" t="s">
        <v>241</v>
      </c>
      <c r="C109" s="4" t="s">
        <v>37</v>
      </c>
      <c r="D109" s="4">
        <v>1</v>
      </c>
      <c r="E109" s="4" t="s">
        <v>3209</v>
      </c>
    </row>
    <row r="110" spans="1:5" x14ac:dyDescent="0.3">
      <c r="A110" s="4" t="s">
        <v>242</v>
      </c>
      <c r="B110" s="4" t="s">
        <v>243</v>
      </c>
      <c r="C110" s="4" t="s">
        <v>37</v>
      </c>
      <c r="D110" s="4">
        <v>1</v>
      </c>
      <c r="E110" s="4" t="s">
        <v>3209</v>
      </c>
    </row>
    <row r="111" spans="1:5" x14ac:dyDescent="0.3">
      <c r="A111" s="4" t="s">
        <v>244</v>
      </c>
      <c r="B111" s="4" t="s">
        <v>245</v>
      </c>
      <c r="C111" s="4" t="s">
        <v>37</v>
      </c>
      <c r="D111" s="4">
        <v>1</v>
      </c>
      <c r="E111" s="4" t="s">
        <v>3209</v>
      </c>
    </row>
    <row r="112" spans="1:5" x14ac:dyDescent="0.3">
      <c r="A112" s="4" t="s">
        <v>246</v>
      </c>
      <c r="B112" s="4" t="s">
        <v>247</v>
      </c>
      <c r="C112" s="4" t="s">
        <v>43</v>
      </c>
      <c r="D112" s="4">
        <v>1</v>
      </c>
      <c r="E112" s="4" t="s">
        <v>3209</v>
      </c>
    </row>
    <row r="113" spans="1:5" x14ac:dyDescent="0.3">
      <c r="A113" s="4" t="s">
        <v>248</v>
      </c>
      <c r="B113" s="4" t="s">
        <v>249</v>
      </c>
      <c r="C113" s="4" t="s">
        <v>43</v>
      </c>
      <c r="D113" s="4">
        <v>1</v>
      </c>
      <c r="E113" s="4" t="s">
        <v>3209</v>
      </c>
    </row>
    <row r="114" spans="1:5" x14ac:dyDescent="0.3">
      <c r="A114" s="4" t="s">
        <v>250</v>
      </c>
      <c r="B114" s="4" t="s">
        <v>251</v>
      </c>
      <c r="C114" s="4" t="s">
        <v>37</v>
      </c>
      <c r="D114" s="4">
        <v>1</v>
      </c>
      <c r="E114" s="4" t="s">
        <v>3209</v>
      </c>
    </row>
    <row r="115" spans="1:5" x14ac:dyDescent="0.3">
      <c r="A115" s="4" t="s">
        <v>252</v>
      </c>
      <c r="B115" s="4" t="s">
        <v>253</v>
      </c>
      <c r="C115" s="4" t="s">
        <v>37</v>
      </c>
      <c r="D115" s="4">
        <v>1</v>
      </c>
      <c r="E115" s="4" t="s">
        <v>3209</v>
      </c>
    </row>
    <row r="116" spans="1:5" x14ac:dyDescent="0.3">
      <c r="A116" s="4" t="s">
        <v>254</v>
      </c>
      <c r="B116" s="4" t="s">
        <v>255</v>
      </c>
      <c r="C116" s="4" t="s">
        <v>37</v>
      </c>
      <c r="D116" s="4">
        <v>1</v>
      </c>
      <c r="E116" s="4" t="s">
        <v>3209</v>
      </c>
    </row>
    <row r="117" spans="1:5" x14ac:dyDescent="0.3">
      <c r="A117" s="4" t="s">
        <v>256</v>
      </c>
      <c r="B117" s="4" t="s">
        <v>257</v>
      </c>
      <c r="C117" s="4" t="s">
        <v>37</v>
      </c>
      <c r="D117" s="4">
        <v>1</v>
      </c>
      <c r="E117" s="4" t="s">
        <v>3209</v>
      </c>
    </row>
    <row r="118" spans="1:5" x14ac:dyDescent="0.3">
      <c r="A118" s="4" t="s">
        <v>258</v>
      </c>
      <c r="B118" s="4" t="s">
        <v>2810</v>
      </c>
      <c r="C118" s="4" t="s">
        <v>37</v>
      </c>
      <c r="D118" s="4">
        <v>1</v>
      </c>
      <c r="E118" s="4" t="s">
        <v>3209</v>
      </c>
    </row>
    <row r="119" spans="1:5" x14ac:dyDescent="0.3">
      <c r="A119" s="4" t="s">
        <v>259</v>
      </c>
      <c r="B119" s="4" t="s">
        <v>260</v>
      </c>
      <c r="C119" s="4" t="s">
        <v>37</v>
      </c>
      <c r="D119" s="4">
        <v>1</v>
      </c>
      <c r="E119" s="4" t="s">
        <v>3209</v>
      </c>
    </row>
    <row r="120" spans="1:5" x14ac:dyDescent="0.3">
      <c r="A120" s="4" t="s">
        <v>2954</v>
      </c>
      <c r="B120" s="4" t="s">
        <v>2962</v>
      </c>
      <c r="C120" s="4">
        <v>330</v>
      </c>
      <c r="D120" s="4">
        <v>1</v>
      </c>
      <c r="E120" s="4" t="s">
        <v>3209</v>
      </c>
    </row>
    <row r="121" spans="1:5" x14ac:dyDescent="0.3">
      <c r="A121" s="4" t="s">
        <v>2811</v>
      </c>
      <c r="B121" s="4" t="s">
        <v>2812</v>
      </c>
      <c r="C121" s="4" t="s">
        <v>37</v>
      </c>
      <c r="D121" s="4">
        <v>1</v>
      </c>
      <c r="E121" s="4" t="s">
        <v>3209</v>
      </c>
    </row>
    <row r="122" spans="1:5" x14ac:dyDescent="0.3">
      <c r="A122" s="4" t="s">
        <v>261</v>
      </c>
      <c r="B122" s="4" t="s">
        <v>262</v>
      </c>
      <c r="C122" s="4" t="s">
        <v>37</v>
      </c>
      <c r="D122" s="4">
        <v>1</v>
      </c>
      <c r="E122" s="4" t="s">
        <v>3209</v>
      </c>
    </row>
    <row r="123" spans="1:5" x14ac:dyDescent="0.3">
      <c r="A123" s="4" t="s">
        <v>263</v>
      </c>
      <c r="B123" s="4" t="s">
        <v>264</v>
      </c>
      <c r="C123" s="4" t="s">
        <v>37</v>
      </c>
      <c r="D123" s="4">
        <v>1</v>
      </c>
      <c r="E123" s="4" t="s">
        <v>3209</v>
      </c>
    </row>
    <row r="124" spans="1:5" x14ac:dyDescent="0.3">
      <c r="A124" s="4" t="s">
        <v>265</v>
      </c>
      <c r="B124" s="4" t="s">
        <v>266</v>
      </c>
      <c r="C124" s="4" t="s">
        <v>37</v>
      </c>
      <c r="D124" s="4">
        <v>1</v>
      </c>
      <c r="E124" s="4" t="s">
        <v>3210</v>
      </c>
    </row>
    <row r="125" spans="1:5" x14ac:dyDescent="0.3">
      <c r="A125" s="4" t="s">
        <v>267</v>
      </c>
      <c r="B125" s="4" t="s">
        <v>2813</v>
      </c>
      <c r="C125" s="4" t="s">
        <v>50</v>
      </c>
      <c r="D125" s="4">
        <v>1</v>
      </c>
      <c r="E125" s="4" t="s">
        <v>3210</v>
      </c>
    </row>
    <row r="126" spans="1:5" x14ac:dyDescent="0.3">
      <c r="A126" s="4" t="s">
        <v>268</v>
      </c>
      <c r="B126" s="4" t="s">
        <v>269</v>
      </c>
      <c r="C126" s="4" t="s">
        <v>37</v>
      </c>
      <c r="D126" s="4">
        <v>1</v>
      </c>
      <c r="E126" s="4" t="s">
        <v>3209</v>
      </c>
    </row>
    <row r="127" spans="1:5" x14ac:dyDescent="0.3">
      <c r="A127" s="4" t="s">
        <v>270</v>
      </c>
      <c r="B127" s="4" t="s">
        <v>271</v>
      </c>
      <c r="C127" s="4" t="s">
        <v>37</v>
      </c>
      <c r="D127" s="4">
        <v>1</v>
      </c>
      <c r="E127" s="4" t="s">
        <v>3209</v>
      </c>
    </row>
    <row r="128" spans="1:5" x14ac:dyDescent="0.3">
      <c r="A128" s="4" t="s">
        <v>272</v>
      </c>
      <c r="B128" s="4" t="s">
        <v>273</v>
      </c>
      <c r="C128" s="4" t="s">
        <v>37</v>
      </c>
      <c r="D128" s="4">
        <v>1</v>
      </c>
      <c r="E128" s="4" t="s">
        <v>3209</v>
      </c>
    </row>
    <row r="129" spans="1:5" x14ac:dyDescent="0.3">
      <c r="A129" s="4" t="s">
        <v>274</v>
      </c>
      <c r="B129" s="4" t="s">
        <v>275</v>
      </c>
      <c r="C129" s="4" t="s">
        <v>37</v>
      </c>
      <c r="D129" s="4">
        <v>1</v>
      </c>
      <c r="E129" s="4" t="s">
        <v>3209</v>
      </c>
    </row>
    <row r="130" spans="1:5" x14ac:dyDescent="0.3">
      <c r="A130" s="4" t="s">
        <v>276</v>
      </c>
      <c r="B130" s="4" t="s">
        <v>277</v>
      </c>
      <c r="C130" s="4" t="s">
        <v>37</v>
      </c>
      <c r="D130" s="4">
        <v>1</v>
      </c>
      <c r="E130" s="4" t="s">
        <v>3209</v>
      </c>
    </row>
    <row r="131" spans="1:5" x14ac:dyDescent="0.3">
      <c r="A131" s="4" t="s">
        <v>278</v>
      </c>
      <c r="B131" s="4" t="s">
        <v>279</v>
      </c>
      <c r="C131" s="4" t="s">
        <v>37</v>
      </c>
      <c r="D131" s="4">
        <v>1</v>
      </c>
      <c r="E131" s="4" t="s">
        <v>3210</v>
      </c>
    </row>
    <row r="132" spans="1:5" x14ac:dyDescent="0.3">
      <c r="A132" s="4" t="s">
        <v>280</v>
      </c>
      <c r="B132" s="4" t="s">
        <v>281</v>
      </c>
      <c r="C132" s="4" t="s">
        <v>152</v>
      </c>
      <c r="D132" s="4">
        <v>1</v>
      </c>
      <c r="E132" s="4" t="s">
        <v>3210</v>
      </c>
    </row>
    <row r="133" spans="1:5" x14ac:dyDescent="0.3">
      <c r="A133" s="4" t="s">
        <v>282</v>
      </c>
      <c r="B133" s="4" t="s">
        <v>2814</v>
      </c>
      <c r="C133" s="4" t="s">
        <v>50</v>
      </c>
      <c r="D133" s="4">
        <v>1</v>
      </c>
      <c r="E133" s="4" t="s">
        <v>3210</v>
      </c>
    </row>
    <row r="134" spans="1:5" x14ac:dyDescent="0.3">
      <c r="A134" s="4" t="s">
        <v>283</v>
      </c>
      <c r="B134" s="4" t="s">
        <v>284</v>
      </c>
      <c r="C134" s="4" t="s">
        <v>37</v>
      </c>
      <c r="D134" s="4">
        <v>1</v>
      </c>
      <c r="E134" s="4" t="s">
        <v>3209</v>
      </c>
    </row>
    <row r="135" spans="1:5" x14ac:dyDescent="0.3">
      <c r="A135" s="4" t="s">
        <v>2815</v>
      </c>
      <c r="B135" s="4" t="s">
        <v>2816</v>
      </c>
      <c r="C135" s="4" t="s">
        <v>37</v>
      </c>
      <c r="D135" s="4">
        <v>1</v>
      </c>
      <c r="E135" s="4" t="s">
        <v>3209</v>
      </c>
    </row>
    <row r="136" spans="1:5" x14ac:dyDescent="0.3">
      <c r="A136" s="4" t="s">
        <v>285</v>
      </c>
      <c r="B136" s="4" t="s">
        <v>286</v>
      </c>
      <c r="C136" s="4" t="s">
        <v>37</v>
      </c>
      <c r="D136" s="4">
        <v>1</v>
      </c>
      <c r="E136" s="4" t="s">
        <v>3210</v>
      </c>
    </row>
    <row r="137" spans="1:5" x14ac:dyDescent="0.3">
      <c r="A137" s="4" t="s">
        <v>287</v>
      </c>
      <c r="B137" s="4" t="s">
        <v>2817</v>
      </c>
      <c r="C137" s="4" t="s">
        <v>50</v>
      </c>
      <c r="D137" s="4">
        <v>1</v>
      </c>
      <c r="E137" s="4" t="s">
        <v>3210</v>
      </c>
    </row>
    <row r="138" spans="1:5" x14ac:dyDescent="0.3">
      <c r="A138" s="4" t="s">
        <v>288</v>
      </c>
      <c r="B138" s="4" t="s">
        <v>289</v>
      </c>
      <c r="C138" s="4" t="s">
        <v>37</v>
      </c>
      <c r="D138" s="4">
        <v>1</v>
      </c>
      <c r="E138" s="4" t="s">
        <v>3210</v>
      </c>
    </row>
    <row r="139" spans="1:5" x14ac:dyDescent="0.3">
      <c r="A139" s="4" t="s">
        <v>290</v>
      </c>
      <c r="B139" s="4" t="s">
        <v>2818</v>
      </c>
      <c r="C139" s="4" t="s">
        <v>50</v>
      </c>
      <c r="D139" s="4">
        <v>1</v>
      </c>
      <c r="E139" s="4" t="s">
        <v>3210</v>
      </c>
    </row>
    <row r="140" spans="1:5" x14ac:dyDescent="0.3">
      <c r="A140" s="4" t="s">
        <v>291</v>
      </c>
      <c r="B140" s="4" t="s">
        <v>292</v>
      </c>
      <c r="C140" s="4" t="s">
        <v>37</v>
      </c>
      <c r="D140" s="4">
        <v>1</v>
      </c>
      <c r="E140" s="4" t="s">
        <v>3209</v>
      </c>
    </row>
    <row r="141" spans="1:5" x14ac:dyDescent="0.3">
      <c r="A141" s="4" t="s">
        <v>293</v>
      </c>
      <c r="B141" s="4" t="s">
        <v>294</v>
      </c>
      <c r="C141" s="4" t="s">
        <v>37</v>
      </c>
      <c r="D141" s="4">
        <v>1</v>
      </c>
      <c r="E141" s="4" t="s">
        <v>3209</v>
      </c>
    </row>
    <row r="142" spans="1:5" x14ac:dyDescent="0.3">
      <c r="A142" s="4" t="s">
        <v>295</v>
      </c>
      <c r="B142" s="4" t="s">
        <v>2819</v>
      </c>
      <c r="C142" s="4" t="s">
        <v>37</v>
      </c>
      <c r="D142" s="4">
        <v>1</v>
      </c>
      <c r="E142" s="4" t="s">
        <v>3210</v>
      </c>
    </row>
    <row r="143" spans="1:5" x14ac:dyDescent="0.3">
      <c r="A143" s="4" t="s">
        <v>296</v>
      </c>
      <c r="B143" s="4" t="s">
        <v>2820</v>
      </c>
      <c r="C143" s="4" t="s">
        <v>50</v>
      </c>
      <c r="D143" s="4">
        <v>1</v>
      </c>
      <c r="E143" s="4" t="s">
        <v>3210</v>
      </c>
    </row>
    <row r="144" spans="1:5" x14ac:dyDescent="0.3">
      <c r="A144" s="4" t="s">
        <v>297</v>
      </c>
      <c r="B144" s="4" t="s">
        <v>298</v>
      </c>
      <c r="C144" s="4" t="s">
        <v>37</v>
      </c>
      <c r="D144" s="4">
        <v>1</v>
      </c>
      <c r="E144" s="4" t="s">
        <v>3209</v>
      </c>
    </row>
    <row r="145" spans="1:5" x14ac:dyDescent="0.3">
      <c r="A145" s="4" t="s">
        <v>299</v>
      </c>
      <c r="B145" s="4" t="s">
        <v>300</v>
      </c>
      <c r="C145" s="4" t="s">
        <v>43</v>
      </c>
      <c r="D145" s="4">
        <v>1</v>
      </c>
      <c r="E145" s="4" t="s">
        <v>3209</v>
      </c>
    </row>
    <row r="146" spans="1:5" x14ac:dyDescent="0.3">
      <c r="A146" s="4" t="s">
        <v>301</v>
      </c>
      <c r="B146" s="4" t="s">
        <v>2821</v>
      </c>
      <c r="C146" s="4" t="s">
        <v>37</v>
      </c>
      <c r="D146" s="4">
        <v>1</v>
      </c>
      <c r="E146" s="4" t="s">
        <v>3209</v>
      </c>
    </row>
    <row r="147" spans="1:5" x14ac:dyDescent="0.3">
      <c r="A147" s="4" t="s">
        <v>302</v>
      </c>
      <c r="B147" s="4" t="s">
        <v>303</v>
      </c>
      <c r="C147" s="4" t="s">
        <v>37</v>
      </c>
      <c r="D147" s="4">
        <v>1</v>
      </c>
      <c r="E147" s="4" t="s">
        <v>3209</v>
      </c>
    </row>
    <row r="148" spans="1:5" x14ac:dyDescent="0.3">
      <c r="A148" s="4" t="s">
        <v>304</v>
      </c>
      <c r="B148" s="4" t="s">
        <v>305</v>
      </c>
      <c r="C148" s="4" t="s">
        <v>37</v>
      </c>
      <c r="D148" s="4">
        <v>1</v>
      </c>
      <c r="E148" s="4" t="s">
        <v>3209</v>
      </c>
    </row>
    <row r="149" spans="1:5" x14ac:dyDescent="0.3">
      <c r="A149" s="4" t="s">
        <v>306</v>
      </c>
      <c r="B149" s="4" t="s">
        <v>307</v>
      </c>
      <c r="C149" s="4" t="s">
        <v>37</v>
      </c>
      <c r="D149" s="4">
        <v>1</v>
      </c>
      <c r="E149" s="4" t="s">
        <v>3209</v>
      </c>
    </row>
    <row r="150" spans="1:5" x14ac:dyDescent="0.3">
      <c r="A150" s="4" t="s">
        <v>308</v>
      </c>
      <c r="B150" s="4" t="s">
        <v>309</v>
      </c>
      <c r="C150" s="4" t="s">
        <v>43</v>
      </c>
      <c r="D150" s="4">
        <v>1</v>
      </c>
      <c r="E150" s="4" t="s">
        <v>3209</v>
      </c>
    </row>
    <row r="151" spans="1:5" x14ac:dyDescent="0.3">
      <c r="A151" s="4" t="s">
        <v>310</v>
      </c>
      <c r="B151" s="4" t="s">
        <v>311</v>
      </c>
      <c r="C151" s="4" t="s">
        <v>37</v>
      </c>
      <c r="D151" s="4">
        <v>1</v>
      </c>
      <c r="E151" s="4" t="s">
        <v>3209</v>
      </c>
    </row>
    <row r="152" spans="1:5" x14ac:dyDescent="0.3">
      <c r="A152" s="4" t="s">
        <v>312</v>
      </c>
      <c r="B152" s="4" t="s">
        <v>313</v>
      </c>
      <c r="C152" s="4" t="s">
        <v>37</v>
      </c>
      <c r="D152" s="4">
        <v>1</v>
      </c>
      <c r="E152" s="4" t="s">
        <v>3209</v>
      </c>
    </row>
    <row r="153" spans="1:5" x14ac:dyDescent="0.3">
      <c r="A153" s="4" t="s">
        <v>314</v>
      </c>
      <c r="B153" s="4" t="s">
        <v>315</v>
      </c>
      <c r="C153" s="4" t="s">
        <v>37</v>
      </c>
      <c r="D153" s="4">
        <v>1</v>
      </c>
      <c r="E153" s="4" t="s">
        <v>3209</v>
      </c>
    </row>
    <row r="154" spans="1:5" x14ac:dyDescent="0.3">
      <c r="A154" s="4" t="s">
        <v>316</v>
      </c>
      <c r="B154" s="4" t="s">
        <v>317</v>
      </c>
      <c r="C154" s="4" t="s">
        <v>37</v>
      </c>
      <c r="D154" s="4">
        <v>1</v>
      </c>
      <c r="E154" s="4" t="s">
        <v>3209</v>
      </c>
    </row>
    <row r="155" spans="1:5" x14ac:dyDescent="0.3">
      <c r="A155" s="4" t="s">
        <v>318</v>
      </c>
      <c r="B155" s="4" t="s">
        <v>319</v>
      </c>
      <c r="C155" s="4" t="s">
        <v>37</v>
      </c>
      <c r="D155" s="4">
        <v>1</v>
      </c>
      <c r="E155" s="4" t="s">
        <v>3209</v>
      </c>
    </row>
    <row r="156" spans="1:5" x14ac:dyDescent="0.3">
      <c r="A156" s="4" t="s">
        <v>320</v>
      </c>
      <c r="B156" s="4" t="s">
        <v>321</v>
      </c>
      <c r="C156" s="4" t="s">
        <v>37</v>
      </c>
      <c r="D156" s="4">
        <v>1</v>
      </c>
      <c r="E156" s="4" t="s">
        <v>3209</v>
      </c>
    </row>
    <row r="157" spans="1:5" x14ac:dyDescent="0.3">
      <c r="A157" s="4" t="s">
        <v>322</v>
      </c>
      <c r="B157" s="4" t="s">
        <v>323</v>
      </c>
      <c r="C157" s="4" t="s">
        <v>37</v>
      </c>
      <c r="D157" s="4">
        <v>1</v>
      </c>
      <c r="E157" s="4" t="s">
        <v>3209</v>
      </c>
    </row>
    <row r="158" spans="1:5" x14ac:dyDescent="0.3">
      <c r="A158" s="4" t="s">
        <v>324</v>
      </c>
      <c r="B158" s="4" t="s">
        <v>2822</v>
      </c>
      <c r="C158" s="4" t="s">
        <v>37</v>
      </c>
      <c r="D158" s="4">
        <v>1</v>
      </c>
      <c r="E158" s="4" t="s">
        <v>3209</v>
      </c>
    </row>
    <row r="159" spans="1:5" x14ac:dyDescent="0.3">
      <c r="A159" s="4" t="s">
        <v>325</v>
      </c>
      <c r="B159" s="4" t="s">
        <v>326</v>
      </c>
      <c r="C159" s="4" t="s">
        <v>37</v>
      </c>
      <c r="D159" s="4">
        <v>1</v>
      </c>
      <c r="E159" s="4" t="s">
        <v>3209</v>
      </c>
    </row>
    <row r="160" spans="1:5" x14ac:dyDescent="0.3">
      <c r="A160" s="4" t="s">
        <v>327</v>
      </c>
      <c r="B160" s="4" t="s">
        <v>328</v>
      </c>
      <c r="C160" s="4" t="s">
        <v>37</v>
      </c>
      <c r="D160" s="4">
        <v>1</v>
      </c>
      <c r="E160" s="4" t="s">
        <v>3209</v>
      </c>
    </row>
    <row r="161" spans="1:5" x14ac:dyDescent="0.3">
      <c r="A161" s="4" t="s">
        <v>329</v>
      </c>
      <c r="B161" s="4" t="s">
        <v>2823</v>
      </c>
      <c r="C161" s="4" t="s">
        <v>37</v>
      </c>
      <c r="D161" s="4">
        <v>1</v>
      </c>
      <c r="E161" s="4" t="s">
        <v>3209</v>
      </c>
    </row>
    <row r="162" spans="1:5" x14ac:dyDescent="0.3">
      <c r="A162" s="4" t="s">
        <v>330</v>
      </c>
      <c r="B162" s="4" t="s">
        <v>331</v>
      </c>
      <c r="C162" s="4" t="s">
        <v>37</v>
      </c>
      <c r="D162" s="4">
        <v>1</v>
      </c>
      <c r="E162" s="4" t="s">
        <v>3209</v>
      </c>
    </row>
    <row r="163" spans="1:5" x14ac:dyDescent="0.3">
      <c r="A163" s="4" t="s">
        <v>332</v>
      </c>
      <c r="B163" s="4" t="s">
        <v>333</v>
      </c>
      <c r="C163" s="4" t="s">
        <v>37</v>
      </c>
      <c r="D163" s="4">
        <v>1</v>
      </c>
      <c r="E163" s="4" t="s">
        <v>3209</v>
      </c>
    </row>
    <row r="164" spans="1:5" x14ac:dyDescent="0.3">
      <c r="A164" s="4" t="s">
        <v>334</v>
      </c>
      <c r="B164" s="4" t="s">
        <v>183</v>
      </c>
      <c r="C164" s="4" t="s">
        <v>37</v>
      </c>
      <c r="D164" s="4">
        <v>1</v>
      </c>
      <c r="E164" s="4" t="s">
        <v>3209</v>
      </c>
    </row>
    <row r="165" spans="1:5" x14ac:dyDescent="0.3">
      <c r="A165" s="4" t="s">
        <v>335</v>
      </c>
      <c r="B165" s="4" t="s">
        <v>336</v>
      </c>
      <c r="C165" s="4" t="s">
        <v>37</v>
      </c>
      <c r="D165" s="4">
        <v>1</v>
      </c>
      <c r="E165" s="4" t="s">
        <v>3209</v>
      </c>
    </row>
    <row r="166" spans="1:5" x14ac:dyDescent="0.3">
      <c r="A166" s="4" t="s">
        <v>337</v>
      </c>
      <c r="B166" s="4" t="s">
        <v>338</v>
      </c>
      <c r="C166" s="4" t="s">
        <v>37</v>
      </c>
      <c r="D166" s="4">
        <v>1</v>
      </c>
      <c r="E166" s="4" t="s">
        <v>3209</v>
      </c>
    </row>
    <row r="167" spans="1:5" x14ac:dyDescent="0.3">
      <c r="A167" s="4" t="s">
        <v>339</v>
      </c>
      <c r="B167" s="4" t="s">
        <v>340</v>
      </c>
      <c r="C167" s="4" t="s">
        <v>37</v>
      </c>
      <c r="D167" s="4">
        <v>1</v>
      </c>
      <c r="E167" s="4" t="s">
        <v>3210</v>
      </c>
    </row>
    <row r="168" spans="1:5" x14ac:dyDescent="0.3">
      <c r="A168" s="4" t="s">
        <v>341</v>
      </c>
      <c r="B168" s="4" t="s">
        <v>2824</v>
      </c>
      <c r="C168" s="4" t="s">
        <v>50</v>
      </c>
      <c r="D168" s="4">
        <v>1</v>
      </c>
      <c r="E168" s="4" t="s">
        <v>3210</v>
      </c>
    </row>
    <row r="169" spans="1:5" x14ac:dyDescent="0.3">
      <c r="A169" s="4" t="s">
        <v>342</v>
      </c>
      <c r="B169" s="4" t="s">
        <v>2825</v>
      </c>
      <c r="C169" s="4" t="s">
        <v>37</v>
      </c>
      <c r="D169" s="4">
        <v>1</v>
      </c>
      <c r="E169" s="4" t="s">
        <v>3209</v>
      </c>
    </row>
    <row r="170" spans="1:5" x14ac:dyDescent="0.3">
      <c r="A170" s="4" t="s">
        <v>343</v>
      </c>
      <c r="B170" s="4" t="s">
        <v>344</v>
      </c>
      <c r="C170" s="4" t="s">
        <v>37</v>
      </c>
      <c r="D170" s="4">
        <v>1</v>
      </c>
      <c r="E170" s="4" t="s">
        <v>3209</v>
      </c>
    </row>
    <row r="171" spans="1:5" x14ac:dyDescent="0.3">
      <c r="A171" s="4" t="s">
        <v>345</v>
      </c>
      <c r="B171" s="4" t="s">
        <v>2826</v>
      </c>
      <c r="C171" s="4" t="s">
        <v>37</v>
      </c>
      <c r="D171" s="4">
        <v>1</v>
      </c>
      <c r="E171" s="4" t="s">
        <v>3209</v>
      </c>
    </row>
    <row r="172" spans="1:5" x14ac:dyDescent="0.3">
      <c r="A172" s="4" t="s">
        <v>346</v>
      </c>
      <c r="B172" s="4" t="s">
        <v>347</v>
      </c>
      <c r="C172" s="4" t="s">
        <v>37</v>
      </c>
      <c r="D172" s="4">
        <v>1</v>
      </c>
      <c r="E172" s="4" t="s">
        <v>3210</v>
      </c>
    </row>
    <row r="173" spans="1:5" x14ac:dyDescent="0.3">
      <c r="A173" s="8" t="s">
        <v>348</v>
      </c>
      <c r="B173" s="8" t="s">
        <v>349</v>
      </c>
      <c r="C173" s="8" t="s">
        <v>37</v>
      </c>
      <c r="D173" s="8">
        <v>1</v>
      </c>
      <c r="E173" s="8" t="s">
        <v>3210</v>
      </c>
    </row>
    <row r="174" spans="1:5" x14ac:dyDescent="0.3">
      <c r="A174" s="4" t="s">
        <v>350</v>
      </c>
      <c r="B174" s="4" t="s">
        <v>351</v>
      </c>
      <c r="C174" s="4" t="s">
        <v>37</v>
      </c>
      <c r="D174" s="4">
        <v>1</v>
      </c>
      <c r="E174" s="4" t="s">
        <v>3209</v>
      </c>
    </row>
    <row r="175" spans="1:5" x14ac:dyDescent="0.3">
      <c r="A175" s="4" t="s">
        <v>352</v>
      </c>
      <c r="B175" s="4" t="s">
        <v>353</v>
      </c>
      <c r="C175" s="4" t="s">
        <v>37</v>
      </c>
      <c r="D175" s="4">
        <v>1</v>
      </c>
      <c r="E175" s="4" t="s">
        <v>3210</v>
      </c>
    </row>
    <row r="176" spans="1:5" x14ac:dyDescent="0.3">
      <c r="A176" s="4" t="s">
        <v>354</v>
      </c>
      <c r="B176" s="4" t="s">
        <v>2827</v>
      </c>
      <c r="C176" s="4" t="s">
        <v>50</v>
      </c>
      <c r="D176" s="4">
        <v>1</v>
      </c>
      <c r="E176" s="4" t="s">
        <v>3210</v>
      </c>
    </row>
    <row r="177" spans="1:5" x14ac:dyDescent="0.3">
      <c r="A177" s="4" t="s">
        <v>355</v>
      </c>
      <c r="B177" s="4" t="s">
        <v>356</v>
      </c>
      <c r="C177" s="4" t="s">
        <v>37</v>
      </c>
      <c r="D177" s="4">
        <v>1</v>
      </c>
      <c r="E177" s="4" t="s">
        <v>3209</v>
      </c>
    </row>
    <row r="178" spans="1:5" x14ac:dyDescent="0.3">
      <c r="A178" s="4" t="s">
        <v>357</v>
      </c>
      <c r="B178" s="4" t="s">
        <v>358</v>
      </c>
      <c r="C178" s="4" t="s">
        <v>43</v>
      </c>
      <c r="D178" s="4">
        <v>1</v>
      </c>
      <c r="E178" s="4" t="s">
        <v>3209</v>
      </c>
    </row>
    <row r="179" spans="1:5" x14ac:dyDescent="0.3">
      <c r="A179" s="4" t="s">
        <v>359</v>
      </c>
      <c r="B179" s="4" t="s">
        <v>360</v>
      </c>
      <c r="C179" s="4" t="s">
        <v>361</v>
      </c>
      <c r="D179" s="4">
        <v>1</v>
      </c>
      <c r="E179" s="4" t="s">
        <v>3209</v>
      </c>
    </row>
    <row r="180" spans="1:5" x14ac:dyDescent="0.3">
      <c r="A180" s="4" t="s">
        <v>362</v>
      </c>
      <c r="B180" s="4" t="s">
        <v>363</v>
      </c>
      <c r="C180" s="4" t="s">
        <v>37</v>
      </c>
      <c r="D180" s="4">
        <v>1</v>
      </c>
      <c r="E180" s="4" t="s">
        <v>3209</v>
      </c>
    </row>
    <row r="181" spans="1:5" x14ac:dyDescent="0.3">
      <c r="A181" s="4" t="s">
        <v>364</v>
      </c>
      <c r="B181" s="4" t="s">
        <v>365</v>
      </c>
      <c r="C181" s="4" t="s">
        <v>37</v>
      </c>
      <c r="D181" s="4">
        <v>1</v>
      </c>
      <c r="E181" s="4" t="s">
        <v>3210</v>
      </c>
    </row>
    <row r="182" spans="1:5" x14ac:dyDescent="0.3">
      <c r="A182" s="4" t="s">
        <v>366</v>
      </c>
      <c r="B182" s="4" t="s">
        <v>2828</v>
      </c>
      <c r="C182" s="4" t="s">
        <v>50</v>
      </c>
      <c r="D182" s="4">
        <v>1</v>
      </c>
      <c r="E182" s="4" t="s">
        <v>3210</v>
      </c>
    </row>
    <row r="183" spans="1:5" x14ac:dyDescent="0.3">
      <c r="A183" s="4" t="s">
        <v>367</v>
      </c>
      <c r="B183" s="4" t="s">
        <v>2829</v>
      </c>
      <c r="C183" s="4" t="s">
        <v>37</v>
      </c>
      <c r="D183" s="4">
        <v>1</v>
      </c>
      <c r="E183" s="4" t="s">
        <v>3209</v>
      </c>
    </row>
    <row r="184" spans="1:5" x14ac:dyDescent="0.3">
      <c r="A184" s="4" t="s">
        <v>368</v>
      </c>
      <c r="B184" s="4" t="s">
        <v>2830</v>
      </c>
      <c r="C184" s="4" t="s">
        <v>37</v>
      </c>
      <c r="D184" s="4">
        <v>1</v>
      </c>
      <c r="E184" s="4" t="s">
        <v>3210</v>
      </c>
    </row>
    <row r="185" spans="1:5" x14ac:dyDescent="0.3">
      <c r="A185" s="4" t="s">
        <v>369</v>
      </c>
      <c r="B185" s="4" t="s">
        <v>2831</v>
      </c>
      <c r="C185" s="4" t="s">
        <v>50</v>
      </c>
      <c r="D185" s="4">
        <v>1</v>
      </c>
      <c r="E185" s="4" t="s">
        <v>3210</v>
      </c>
    </row>
    <row r="186" spans="1:5" x14ac:dyDescent="0.3">
      <c r="A186" s="4" t="s">
        <v>370</v>
      </c>
      <c r="B186" s="4" t="s">
        <v>371</v>
      </c>
      <c r="C186" s="4" t="s">
        <v>37</v>
      </c>
      <c r="D186" s="4">
        <v>1</v>
      </c>
      <c r="E186" s="4" t="s">
        <v>3209</v>
      </c>
    </row>
    <row r="187" spans="1:5" x14ac:dyDescent="0.3">
      <c r="A187" s="4" t="s">
        <v>372</v>
      </c>
      <c r="B187" s="4" t="s">
        <v>373</v>
      </c>
      <c r="C187" s="4" t="s">
        <v>37</v>
      </c>
      <c r="D187" s="4">
        <v>1</v>
      </c>
      <c r="E187" s="4" t="s">
        <v>3210</v>
      </c>
    </row>
    <row r="188" spans="1:5" x14ac:dyDescent="0.3">
      <c r="A188" s="4" t="s">
        <v>374</v>
      </c>
      <c r="B188" s="4" t="s">
        <v>2832</v>
      </c>
      <c r="C188" s="4" t="s">
        <v>50</v>
      </c>
      <c r="D188" s="4">
        <v>1</v>
      </c>
      <c r="E188" s="4" t="s">
        <v>3210</v>
      </c>
    </row>
    <row r="189" spans="1:5" x14ac:dyDescent="0.3">
      <c r="A189" s="4" t="s">
        <v>375</v>
      </c>
      <c r="B189" s="4" t="s">
        <v>376</v>
      </c>
      <c r="C189" s="4" t="s">
        <v>37</v>
      </c>
      <c r="D189" s="4">
        <v>1</v>
      </c>
      <c r="E189" s="4" t="s">
        <v>3209</v>
      </c>
    </row>
    <row r="190" spans="1:5" x14ac:dyDescent="0.3">
      <c r="A190" s="4" t="s">
        <v>377</v>
      </c>
      <c r="B190" s="4" t="s">
        <v>378</v>
      </c>
      <c r="C190" s="4" t="s">
        <v>37</v>
      </c>
      <c r="D190" s="4">
        <v>1</v>
      </c>
      <c r="E190" s="4" t="s">
        <v>3209</v>
      </c>
    </row>
    <row r="191" spans="1:5" x14ac:dyDescent="0.3">
      <c r="A191" s="4" t="s">
        <v>379</v>
      </c>
      <c r="B191" s="4" t="s">
        <v>380</v>
      </c>
      <c r="C191" s="4" t="s">
        <v>43</v>
      </c>
      <c r="D191" s="4">
        <v>1</v>
      </c>
      <c r="E191" s="4" t="s">
        <v>3209</v>
      </c>
    </row>
    <row r="192" spans="1:5" x14ac:dyDescent="0.3">
      <c r="A192" s="4" t="s">
        <v>381</v>
      </c>
      <c r="B192" s="4" t="s">
        <v>382</v>
      </c>
      <c r="C192" s="4" t="s">
        <v>37</v>
      </c>
      <c r="D192" s="4">
        <v>1</v>
      </c>
      <c r="E192" s="4" t="s">
        <v>3210</v>
      </c>
    </row>
    <row r="193" spans="1:5" x14ac:dyDescent="0.3">
      <c r="A193" s="4" t="s">
        <v>383</v>
      </c>
      <c r="B193" s="4" t="s">
        <v>2833</v>
      </c>
      <c r="C193" s="4" t="s">
        <v>50</v>
      </c>
      <c r="D193" s="4">
        <v>1</v>
      </c>
      <c r="E193" s="4" t="s">
        <v>3210</v>
      </c>
    </row>
    <row r="194" spans="1:5" x14ac:dyDescent="0.3">
      <c r="A194" s="4" t="s">
        <v>384</v>
      </c>
      <c r="B194" s="4" t="s">
        <v>385</v>
      </c>
      <c r="C194" s="4" t="s">
        <v>37</v>
      </c>
      <c r="D194" s="4">
        <v>1</v>
      </c>
      <c r="E194" s="4" t="s">
        <v>3209</v>
      </c>
    </row>
    <row r="195" spans="1:5" x14ac:dyDescent="0.3">
      <c r="A195" s="4" t="s">
        <v>386</v>
      </c>
      <c r="B195" s="4" t="s">
        <v>387</v>
      </c>
      <c r="C195" s="4" t="s">
        <v>43</v>
      </c>
      <c r="D195" s="4">
        <v>1</v>
      </c>
      <c r="E195" s="4" t="s">
        <v>3209</v>
      </c>
    </row>
    <row r="196" spans="1:5" x14ac:dyDescent="0.3">
      <c r="A196" s="4" t="s">
        <v>388</v>
      </c>
      <c r="B196" s="4" t="s">
        <v>183</v>
      </c>
      <c r="C196" s="4" t="s">
        <v>37</v>
      </c>
      <c r="D196" s="4">
        <v>1</v>
      </c>
      <c r="E196" s="4" t="s">
        <v>3209</v>
      </c>
    </row>
    <row r="197" spans="1:5" x14ac:dyDescent="0.3">
      <c r="A197" s="4" t="s">
        <v>389</v>
      </c>
      <c r="B197" s="4" t="s">
        <v>390</v>
      </c>
      <c r="C197" s="4" t="s">
        <v>37</v>
      </c>
      <c r="D197" s="4">
        <v>1</v>
      </c>
      <c r="E197" s="4" t="s">
        <v>3209</v>
      </c>
    </row>
    <row r="198" spans="1:5" x14ac:dyDescent="0.3">
      <c r="A198" s="4" t="s">
        <v>391</v>
      </c>
      <c r="B198" s="4" t="s">
        <v>2834</v>
      </c>
      <c r="C198" s="4" t="s">
        <v>37</v>
      </c>
      <c r="D198" s="4">
        <v>1</v>
      </c>
      <c r="E198" s="4" t="s">
        <v>3209</v>
      </c>
    </row>
    <row r="199" spans="1:5" x14ac:dyDescent="0.3">
      <c r="A199" s="4" t="s">
        <v>392</v>
      </c>
      <c r="B199" s="4" t="s">
        <v>393</v>
      </c>
      <c r="C199" s="4" t="s">
        <v>37</v>
      </c>
      <c r="D199" s="4">
        <v>1</v>
      </c>
      <c r="E199" s="4" t="s">
        <v>3209</v>
      </c>
    </row>
    <row r="200" spans="1:5" x14ac:dyDescent="0.3">
      <c r="A200" s="4" t="s">
        <v>394</v>
      </c>
      <c r="B200" s="4" t="s">
        <v>395</v>
      </c>
      <c r="C200" s="4" t="s">
        <v>37</v>
      </c>
      <c r="D200" s="4">
        <v>1</v>
      </c>
      <c r="E200" s="4" t="s">
        <v>3209</v>
      </c>
    </row>
    <row r="201" spans="1:5" x14ac:dyDescent="0.3">
      <c r="A201" s="4" t="s">
        <v>396</v>
      </c>
      <c r="B201" s="4" t="s">
        <v>397</v>
      </c>
      <c r="C201" s="4" t="s">
        <v>37</v>
      </c>
      <c r="D201" s="4">
        <v>1</v>
      </c>
      <c r="E201" s="4" t="s">
        <v>3209</v>
      </c>
    </row>
    <row r="202" spans="1:5" x14ac:dyDescent="0.3">
      <c r="A202" s="4" t="s">
        <v>398</v>
      </c>
      <c r="B202" s="4" t="s">
        <v>399</v>
      </c>
      <c r="C202" s="4" t="s">
        <v>43</v>
      </c>
      <c r="D202" s="4">
        <v>1</v>
      </c>
      <c r="E202" s="4" t="s">
        <v>3209</v>
      </c>
    </row>
    <row r="203" spans="1:5" x14ac:dyDescent="0.3">
      <c r="A203" s="4" t="s">
        <v>2835</v>
      </c>
      <c r="B203" s="4" t="s">
        <v>2836</v>
      </c>
      <c r="C203" s="4" t="s">
        <v>37</v>
      </c>
      <c r="D203" s="4">
        <v>1</v>
      </c>
      <c r="E203" s="4" t="s">
        <v>3209</v>
      </c>
    </row>
    <row r="204" spans="1:5" x14ac:dyDescent="0.3">
      <c r="A204" s="4" t="s">
        <v>400</v>
      </c>
      <c r="B204" s="4" t="s">
        <v>401</v>
      </c>
      <c r="C204" s="4" t="s">
        <v>37</v>
      </c>
      <c r="D204" s="4">
        <v>1</v>
      </c>
      <c r="E204" s="4" t="s">
        <v>3209</v>
      </c>
    </row>
    <row r="205" spans="1:5" x14ac:dyDescent="0.3">
      <c r="A205" s="4" t="s">
        <v>402</v>
      </c>
      <c r="B205" s="4" t="s">
        <v>403</v>
      </c>
      <c r="C205" s="4" t="s">
        <v>43</v>
      </c>
      <c r="D205" s="4">
        <v>1</v>
      </c>
      <c r="E205" s="4" t="s">
        <v>3209</v>
      </c>
    </row>
    <row r="206" spans="1:5" x14ac:dyDescent="0.3">
      <c r="A206" s="4" t="s">
        <v>404</v>
      </c>
      <c r="B206" s="4" t="s">
        <v>405</v>
      </c>
      <c r="C206" s="4" t="s">
        <v>37</v>
      </c>
      <c r="D206" s="4">
        <v>1</v>
      </c>
      <c r="E206" s="4" t="s">
        <v>3209</v>
      </c>
    </row>
    <row r="207" spans="1:5" x14ac:dyDescent="0.3">
      <c r="A207" s="4" t="s">
        <v>406</v>
      </c>
      <c r="B207" s="4" t="s">
        <v>407</v>
      </c>
      <c r="C207" s="4" t="s">
        <v>37</v>
      </c>
      <c r="D207" s="4">
        <v>1</v>
      </c>
      <c r="E207" s="4" t="s">
        <v>3209</v>
      </c>
    </row>
    <row r="208" spans="1:5" x14ac:dyDescent="0.3">
      <c r="A208" s="4" t="s">
        <v>408</v>
      </c>
      <c r="B208" s="4" t="s">
        <v>409</v>
      </c>
      <c r="C208" s="4" t="s">
        <v>37</v>
      </c>
      <c r="D208" s="4">
        <v>1</v>
      </c>
      <c r="E208" s="4" t="s">
        <v>3209</v>
      </c>
    </row>
    <row r="209" spans="1:5" x14ac:dyDescent="0.3">
      <c r="A209" s="4" t="s">
        <v>410</v>
      </c>
      <c r="B209" s="4" t="s">
        <v>411</v>
      </c>
      <c r="C209" s="4" t="s">
        <v>37</v>
      </c>
      <c r="D209" s="4">
        <v>1</v>
      </c>
      <c r="E209" s="4" t="s">
        <v>3210</v>
      </c>
    </row>
    <row r="210" spans="1:5" x14ac:dyDescent="0.3">
      <c r="A210" s="4" t="s">
        <v>412</v>
      </c>
      <c r="B210" s="4" t="s">
        <v>2837</v>
      </c>
      <c r="C210" s="4" t="s">
        <v>50</v>
      </c>
      <c r="D210" s="4">
        <v>1</v>
      </c>
      <c r="E210" s="4" t="s">
        <v>3210</v>
      </c>
    </row>
    <row r="211" spans="1:5" x14ac:dyDescent="0.3">
      <c r="A211" s="4" t="s">
        <v>2838</v>
      </c>
      <c r="B211" s="4" t="s">
        <v>2839</v>
      </c>
      <c r="C211" s="4" t="s">
        <v>37</v>
      </c>
      <c r="D211" s="4">
        <v>1</v>
      </c>
      <c r="E211" s="4" t="s">
        <v>3209</v>
      </c>
    </row>
    <row r="212" spans="1:5" x14ac:dyDescent="0.3">
      <c r="A212" s="4" t="s">
        <v>413</v>
      </c>
      <c r="B212" s="4" t="s">
        <v>414</v>
      </c>
      <c r="C212" s="4" t="s">
        <v>37</v>
      </c>
      <c r="D212" s="4">
        <v>1</v>
      </c>
      <c r="E212" s="4" t="s">
        <v>3209</v>
      </c>
    </row>
    <row r="213" spans="1:5" x14ac:dyDescent="0.3">
      <c r="A213" s="8" t="s">
        <v>415</v>
      </c>
      <c r="B213" s="8" t="s">
        <v>416</v>
      </c>
      <c r="C213" s="8" t="s">
        <v>43</v>
      </c>
      <c r="D213" s="8">
        <v>1</v>
      </c>
      <c r="E213" s="8" t="s">
        <v>3209</v>
      </c>
    </row>
    <row r="214" spans="1:5" x14ac:dyDescent="0.3">
      <c r="A214" s="4" t="s">
        <v>417</v>
      </c>
      <c r="B214" s="4" t="s">
        <v>418</v>
      </c>
      <c r="C214" s="4" t="s">
        <v>37</v>
      </c>
      <c r="D214" s="4">
        <v>1</v>
      </c>
      <c r="E214" s="4" t="s">
        <v>3209</v>
      </c>
    </row>
    <row r="215" spans="1:5" x14ac:dyDescent="0.3">
      <c r="A215" s="4" t="s">
        <v>419</v>
      </c>
      <c r="B215" s="4" t="s">
        <v>420</v>
      </c>
      <c r="C215" s="4" t="s">
        <v>37</v>
      </c>
      <c r="D215" s="4">
        <v>1</v>
      </c>
      <c r="E215" s="4" t="s">
        <v>3209</v>
      </c>
    </row>
    <row r="216" spans="1:5" x14ac:dyDescent="0.3">
      <c r="A216" s="4" t="s">
        <v>421</v>
      </c>
      <c r="B216" s="4" t="s">
        <v>422</v>
      </c>
      <c r="C216" s="4" t="s">
        <v>37</v>
      </c>
      <c r="D216" s="4">
        <v>1</v>
      </c>
      <c r="E216" s="4" t="s">
        <v>3209</v>
      </c>
    </row>
    <row r="217" spans="1:5" x14ac:dyDescent="0.3">
      <c r="A217" s="4" t="s">
        <v>423</v>
      </c>
      <c r="B217" s="4" t="s">
        <v>424</v>
      </c>
      <c r="C217" s="4" t="s">
        <v>43</v>
      </c>
      <c r="D217" s="4">
        <v>1</v>
      </c>
      <c r="E217" s="4" t="s">
        <v>3209</v>
      </c>
    </row>
    <row r="218" spans="1:5" x14ac:dyDescent="0.3">
      <c r="A218" s="4" t="s">
        <v>425</v>
      </c>
      <c r="B218" s="4" t="s">
        <v>422</v>
      </c>
      <c r="C218" s="4" t="s">
        <v>37</v>
      </c>
      <c r="D218" s="4">
        <v>1</v>
      </c>
      <c r="E218" s="4" t="s">
        <v>3210</v>
      </c>
    </row>
    <row r="219" spans="1:5" x14ac:dyDescent="0.3">
      <c r="A219" s="4" t="s">
        <v>426</v>
      </c>
      <c r="B219" s="4" t="s">
        <v>2840</v>
      </c>
      <c r="C219" s="4" t="s">
        <v>50</v>
      </c>
      <c r="D219" s="4">
        <v>1</v>
      </c>
      <c r="E219" s="4" t="s">
        <v>3210</v>
      </c>
    </row>
    <row r="220" spans="1:5" x14ac:dyDescent="0.3">
      <c r="A220" s="4" t="s">
        <v>427</v>
      </c>
      <c r="B220" s="4" t="s">
        <v>428</v>
      </c>
      <c r="C220" s="4" t="s">
        <v>37</v>
      </c>
      <c r="D220" s="4">
        <v>1</v>
      </c>
      <c r="E220" s="4" t="s">
        <v>3209</v>
      </c>
    </row>
    <row r="221" spans="1:5" x14ac:dyDescent="0.3">
      <c r="A221" s="8" t="s">
        <v>429</v>
      </c>
      <c r="B221" s="8" t="s">
        <v>430</v>
      </c>
      <c r="C221" s="8" t="s">
        <v>37</v>
      </c>
      <c r="D221" s="8">
        <v>1</v>
      </c>
      <c r="E221" s="8" t="s">
        <v>3209</v>
      </c>
    </row>
    <row r="222" spans="1:5" x14ac:dyDescent="0.3">
      <c r="A222" s="4" t="s">
        <v>431</v>
      </c>
      <c r="B222" s="4" t="s">
        <v>432</v>
      </c>
      <c r="C222" s="4" t="s">
        <v>37</v>
      </c>
      <c r="D222" s="4">
        <v>1</v>
      </c>
      <c r="E222" s="4" t="s">
        <v>3209</v>
      </c>
    </row>
    <row r="223" spans="1:5" x14ac:dyDescent="0.3">
      <c r="A223" s="4" t="s">
        <v>433</v>
      </c>
      <c r="B223" s="4" t="s">
        <v>434</v>
      </c>
      <c r="C223" s="4" t="s">
        <v>37</v>
      </c>
      <c r="D223" s="4">
        <v>1</v>
      </c>
      <c r="E223" s="4" t="s">
        <v>3209</v>
      </c>
    </row>
    <row r="224" spans="1:5" x14ac:dyDescent="0.3">
      <c r="A224" s="4" t="s">
        <v>435</v>
      </c>
      <c r="B224" s="4" t="s">
        <v>436</v>
      </c>
      <c r="C224" s="4" t="s">
        <v>37</v>
      </c>
      <c r="D224" s="4">
        <v>1</v>
      </c>
      <c r="E224" s="4" t="s">
        <v>3209</v>
      </c>
    </row>
    <row r="225" spans="1:5" x14ac:dyDescent="0.3">
      <c r="A225" s="4" t="s">
        <v>437</v>
      </c>
      <c r="B225" s="4" t="s">
        <v>2841</v>
      </c>
      <c r="C225" s="4" t="s">
        <v>37</v>
      </c>
      <c r="D225" s="4">
        <v>1</v>
      </c>
      <c r="E225" s="4" t="s">
        <v>3209</v>
      </c>
    </row>
    <row r="226" spans="1:5" x14ac:dyDescent="0.3">
      <c r="A226" s="4" t="s">
        <v>438</v>
      </c>
      <c r="B226" s="4" t="s">
        <v>439</v>
      </c>
      <c r="C226" s="4" t="s">
        <v>37</v>
      </c>
      <c r="D226" s="4">
        <v>1</v>
      </c>
      <c r="E226" s="4" t="s">
        <v>3209</v>
      </c>
    </row>
    <row r="227" spans="1:5" x14ac:dyDescent="0.3">
      <c r="A227" s="4" t="s">
        <v>440</v>
      </c>
      <c r="B227" s="4" t="s">
        <v>441</v>
      </c>
      <c r="C227" s="4" t="s">
        <v>37</v>
      </c>
      <c r="D227" s="4">
        <v>1</v>
      </c>
      <c r="E227" s="4" t="s">
        <v>3210</v>
      </c>
    </row>
    <row r="228" spans="1:5" x14ac:dyDescent="0.3">
      <c r="A228" s="4" t="s">
        <v>442</v>
      </c>
      <c r="B228" s="4" t="s">
        <v>443</v>
      </c>
      <c r="C228" s="4" t="s">
        <v>152</v>
      </c>
      <c r="D228" s="4">
        <v>1</v>
      </c>
      <c r="E228" s="4" t="s">
        <v>3210</v>
      </c>
    </row>
    <row r="229" spans="1:5" x14ac:dyDescent="0.3">
      <c r="A229" s="4" t="s">
        <v>444</v>
      </c>
      <c r="B229" s="4" t="s">
        <v>445</v>
      </c>
      <c r="C229" s="4" t="s">
        <v>37</v>
      </c>
      <c r="D229" s="4">
        <v>1</v>
      </c>
      <c r="E229" s="4" t="s">
        <v>3209</v>
      </c>
    </row>
    <row r="230" spans="1:5" x14ac:dyDescent="0.3">
      <c r="A230" s="4" t="s">
        <v>446</v>
      </c>
      <c r="B230" s="4" t="s">
        <v>447</v>
      </c>
      <c r="C230" s="4" t="s">
        <v>37</v>
      </c>
      <c r="D230" s="4">
        <v>1</v>
      </c>
      <c r="E230" s="4" t="s">
        <v>3209</v>
      </c>
    </row>
    <row r="231" spans="1:5" x14ac:dyDescent="0.3">
      <c r="A231" s="4" t="s">
        <v>448</v>
      </c>
      <c r="B231" s="4" t="s">
        <v>449</v>
      </c>
      <c r="C231" s="4" t="s">
        <v>43</v>
      </c>
      <c r="D231" s="4">
        <v>1</v>
      </c>
      <c r="E231" s="4" t="s">
        <v>3209</v>
      </c>
    </row>
    <row r="232" spans="1:5" x14ac:dyDescent="0.3">
      <c r="A232" s="4" t="s">
        <v>2842</v>
      </c>
      <c r="B232" s="4" t="s">
        <v>2843</v>
      </c>
      <c r="C232" s="4">
        <v>110</v>
      </c>
      <c r="D232" s="4">
        <v>1</v>
      </c>
      <c r="E232" s="4" t="s">
        <v>3209</v>
      </c>
    </row>
    <row r="233" spans="1:5" x14ac:dyDescent="0.3">
      <c r="A233" s="4" t="s">
        <v>450</v>
      </c>
      <c r="B233" s="4" t="s">
        <v>451</v>
      </c>
      <c r="C233" s="4" t="s">
        <v>37</v>
      </c>
      <c r="D233" s="4">
        <v>1</v>
      </c>
      <c r="E233" s="4" t="s">
        <v>3209</v>
      </c>
    </row>
    <row r="234" spans="1:5" x14ac:dyDescent="0.3">
      <c r="A234" s="4" t="s">
        <v>452</v>
      </c>
      <c r="B234" s="4" t="s">
        <v>453</v>
      </c>
      <c r="C234" s="4" t="s">
        <v>37</v>
      </c>
      <c r="D234" s="4">
        <v>1</v>
      </c>
      <c r="E234" s="4" t="s">
        <v>3209</v>
      </c>
    </row>
    <row r="235" spans="1:5" x14ac:dyDescent="0.3">
      <c r="A235" s="4" t="s">
        <v>454</v>
      </c>
      <c r="B235" s="4" t="s">
        <v>455</v>
      </c>
      <c r="C235" s="4" t="s">
        <v>37</v>
      </c>
      <c r="D235" s="4">
        <v>1</v>
      </c>
      <c r="E235" s="4" t="s">
        <v>3209</v>
      </c>
    </row>
    <row r="236" spans="1:5" x14ac:dyDescent="0.3">
      <c r="A236" s="4" t="s">
        <v>456</v>
      </c>
      <c r="B236" s="4" t="s">
        <v>457</v>
      </c>
      <c r="C236" s="4" t="s">
        <v>37</v>
      </c>
      <c r="D236" s="4">
        <v>1</v>
      </c>
      <c r="E236" s="4" t="s">
        <v>3209</v>
      </c>
    </row>
    <row r="237" spans="1:5" x14ac:dyDescent="0.3">
      <c r="A237" s="4" t="s">
        <v>458</v>
      </c>
      <c r="B237" s="4" t="s">
        <v>459</v>
      </c>
      <c r="C237" s="4" t="s">
        <v>43</v>
      </c>
      <c r="D237" s="4">
        <v>1</v>
      </c>
      <c r="E237" s="4" t="s">
        <v>3209</v>
      </c>
    </row>
    <row r="238" spans="1:5" x14ac:dyDescent="0.3">
      <c r="A238" s="4" t="s">
        <v>460</v>
      </c>
      <c r="B238" s="4" t="s">
        <v>461</v>
      </c>
      <c r="C238" s="4" t="s">
        <v>43</v>
      </c>
      <c r="D238" s="4">
        <v>1</v>
      </c>
      <c r="E238" s="4" t="s">
        <v>3209</v>
      </c>
    </row>
    <row r="239" spans="1:5" x14ac:dyDescent="0.3">
      <c r="A239" s="4" t="s">
        <v>462</v>
      </c>
      <c r="B239" s="4" t="s">
        <v>463</v>
      </c>
      <c r="C239" s="4" t="s">
        <v>37</v>
      </c>
      <c r="D239" s="4">
        <v>1</v>
      </c>
      <c r="E239" s="4" t="s">
        <v>3209</v>
      </c>
    </row>
    <row r="240" spans="1:5" x14ac:dyDescent="0.3">
      <c r="A240" s="4" t="s">
        <v>464</v>
      </c>
      <c r="B240" s="4" t="s">
        <v>465</v>
      </c>
      <c r="C240" s="4" t="s">
        <v>37</v>
      </c>
      <c r="D240" s="4">
        <v>1</v>
      </c>
      <c r="E240" s="4" t="s">
        <v>3209</v>
      </c>
    </row>
    <row r="241" spans="1:5" x14ac:dyDescent="0.3">
      <c r="A241" s="4" t="s">
        <v>466</v>
      </c>
      <c r="B241" s="4" t="s">
        <v>2844</v>
      </c>
      <c r="C241" s="4" t="s">
        <v>37</v>
      </c>
      <c r="D241" s="4">
        <v>1</v>
      </c>
      <c r="E241" s="4" t="s">
        <v>3209</v>
      </c>
    </row>
    <row r="242" spans="1:5" x14ac:dyDescent="0.3">
      <c r="A242" s="4" t="s">
        <v>467</v>
      </c>
      <c r="B242" s="4" t="s">
        <v>468</v>
      </c>
      <c r="C242" s="4" t="s">
        <v>37</v>
      </c>
      <c r="D242" s="4">
        <v>1</v>
      </c>
      <c r="E242" s="4" t="s">
        <v>3210</v>
      </c>
    </row>
    <row r="243" spans="1:5" x14ac:dyDescent="0.3">
      <c r="A243" s="4" t="s">
        <v>469</v>
      </c>
      <c r="B243" s="4" t="s">
        <v>470</v>
      </c>
      <c r="C243" s="4" t="s">
        <v>152</v>
      </c>
      <c r="D243" s="4">
        <v>1</v>
      </c>
      <c r="E243" s="4" t="s">
        <v>3210</v>
      </c>
    </row>
    <row r="244" spans="1:5" x14ac:dyDescent="0.3">
      <c r="A244" s="4" t="s">
        <v>471</v>
      </c>
      <c r="B244" s="4" t="s">
        <v>472</v>
      </c>
      <c r="C244" s="4" t="s">
        <v>37</v>
      </c>
      <c r="D244" s="4">
        <v>1</v>
      </c>
      <c r="E244" s="4" t="s">
        <v>3209</v>
      </c>
    </row>
    <row r="245" spans="1:5" x14ac:dyDescent="0.3">
      <c r="A245" s="4" t="s">
        <v>473</v>
      </c>
      <c r="B245" s="4" t="s">
        <v>2845</v>
      </c>
      <c r="C245" s="4" t="s">
        <v>37</v>
      </c>
      <c r="D245" s="4">
        <v>1</v>
      </c>
      <c r="E245" s="4" t="s">
        <v>3209</v>
      </c>
    </row>
    <row r="246" spans="1:5" x14ac:dyDescent="0.3">
      <c r="A246" s="4" t="s">
        <v>474</v>
      </c>
      <c r="B246" s="4" t="s">
        <v>475</v>
      </c>
      <c r="C246" s="4" t="s">
        <v>37</v>
      </c>
      <c r="D246" s="4">
        <v>1</v>
      </c>
      <c r="E246" s="4" t="s">
        <v>3209</v>
      </c>
    </row>
    <row r="247" spans="1:5" x14ac:dyDescent="0.3">
      <c r="A247" s="4" t="s">
        <v>476</v>
      </c>
      <c r="B247" s="4" t="s">
        <v>477</v>
      </c>
      <c r="C247" s="4" t="s">
        <v>37</v>
      </c>
      <c r="D247" s="4">
        <v>1</v>
      </c>
      <c r="E247" s="4" t="s">
        <v>3209</v>
      </c>
    </row>
    <row r="248" spans="1:5" x14ac:dyDescent="0.3">
      <c r="A248" s="4" t="s">
        <v>478</v>
      </c>
      <c r="B248" s="4" t="s">
        <v>479</v>
      </c>
      <c r="C248" s="4" t="s">
        <v>37</v>
      </c>
      <c r="D248" s="4">
        <v>1</v>
      </c>
      <c r="E248" s="4" t="s">
        <v>3209</v>
      </c>
    </row>
    <row r="249" spans="1:5" x14ac:dyDescent="0.3">
      <c r="A249" s="4" t="s">
        <v>480</v>
      </c>
      <c r="B249" s="4" t="s">
        <v>481</v>
      </c>
      <c r="C249" s="4" t="s">
        <v>37</v>
      </c>
      <c r="D249" s="4">
        <v>1</v>
      </c>
      <c r="E249" s="4" t="s">
        <v>3209</v>
      </c>
    </row>
    <row r="250" spans="1:5" x14ac:dyDescent="0.3">
      <c r="A250" s="4" t="s">
        <v>482</v>
      </c>
      <c r="B250" s="4" t="s">
        <v>483</v>
      </c>
      <c r="C250" s="4" t="s">
        <v>37</v>
      </c>
      <c r="D250" s="4">
        <v>1</v>
      </c>
      <c r="E250" s="4" t="s">
        <v>3209</v>
      </c>
    </row>
    <row r="251" spans="1:5" x14ac:dyDescent="0.3">
      <c r="A251" s="4" t="s">
        <v>484</v>
      </c>
      <c r="B251" s="4" t="s">
        <v>485</v>
      </c>
      <c r="C251" s="4" t="s">
        <v>43</v>
      </c>
      <c r="D251" s="4">
        <v>1</v>
      </c>
      <c r="E251" s="4" t="s">
        <v>3209</v>
      </c>
    </row>
    <row r="252" spans="1:5" x14ac:dyDescent="0.3">
      <c r="A252" s="4" t="s">
        <v>486</v>
      </c>
      <c r="B252" s="4" t="s">
        <v>183</v>
      </c>
      <c r="C252" s="4" t="s">
        <v>37</v>
      </c>
      <c r="D252" s="4">
        <v>1</v>
      </c>
      <c r="E252" s="4" t="s">
        <v>3209</v>
      </c>
    </row>
    <row r="253" spans="1:5" x14ac:dyDescent="0.3">
      <c r="A253" s="4" t="s">
        <v>487</v>
      </c>
      <c r="B253" s="4" t="s">
        <v>488</v>
      </c>
      <c r="C253" s="4" t="s">
        <v>43</v>
      </c>
      <c r="D253" s="4">
        <v>1</v>
      </c>
      <c r="E253" s="4" t="s">
        <v>3209</v>
      </c>
    </row>
    <row r="254" spans="1:5" x14ac:dyDescent="0.3">
      <c r="A254" s="4" t="s">
        <v>489</v>
      </c>
      <c r="B254" s="4" t="s">
        <v>490</v>
      </c>
      <c r="C254" s="4" t="s">
        <v>37</v>
      </c>
      <c r="D254" s="4">
        <v>1</v>
      </c>
      <c r="E254" s="4" t="s">
        <v>3209</v>
      </c>
    </row>
    <row r="255" spans="1:5" x14ac:dyDescent="0.3">
      <c r="A255" s="4" t="s">
        <v>491</v>
      </c>
      <c r="B255" s="4" t="s">
        <v>492</v>
      </c>
      <c r="C255" s="4" t="s">
        <v>43</v>
      </c>
      <c r="D255" s="4">
        <v>1</v>
      </c>
      <c r="E255" s="4" t="s">
        <v>3209</v>
      </c>
    </row>
    <row r="256" spans="1:5" x14ac:dyDescent="0.3">
      <c r="A256" s="4" t="s">
        <v>493</v>
      </c>
      <c r="B256" s="4" t="s">
        <v>494</v>
      </c>
      <c r="C256" s="4" t="s">
        <v>37</v>
      </c>
      <c r="D256" s="4">
        <v>1</v>
      </c>
      <c r="E256" s="4" t="s">
        <v>3210</v>
      </c>
    </row>
    <row r="257" spans="1:5" x14ac:dyDescent="0.3">
      <c r="A257" s="4" t="s">
        <v>495</v>
      </c>
      <c r="B257" s="4" t="s">
        <v>2846</v>
      </c>
      <c r="C257" s="4" t="s">
        <v>50</v>
      </c>
      <c r="D257" s="4">
        <v>1</v>
      </c>
      <c r="E257" s="4" t="s">
        <v>3210</v>
      </c>
    </row>
    <row r="258" spans="1:5" x14ac:dyDescent="0.3">
      <c r="A258" s="4" t="s">
        <v>496</v>
      </c>
      <c r="B258" s="4" t="s">
        <v>2847</v>
      </c>
      <c r="C258" s="4" t="s">
        <v>37</v>
      </c>
      <c r="D258" s="4">
        <v>1</v>
      </c>
      <c r="E258" s="4" t="s">
        <v>3210</v>
      </c>
    </row>
    <row r="259" spans="1:5" x14ac:dyDescent="0.3">
      <c r="A259" s="4" t="s">
        <v>497</v>
      </c>
      <c r="B259" s="4" t="s">
        <v>2848</v>
      </c>
      <c r="C259" s="4" t="s">
        <v>50</v>
      </c>
      <c r="D259" s="4">
        <v>1</v>
      </c>
      <c r="E259" s="4" t="s">
        <v>3210</v>
      </c>
    </row>
    <row r="260" spans="1:5" x14ac:dyDescent="0.3">
      <c r="A260" s="4" t="s">
        <v>498</v>
      </c>
      <c r="B260" s="4" t="s">
        <v>499</v>
      </c>
      <c r="C260" s="4" t="s">
        <v>37</v>
      </c>
      <c r="D260" s="4">
        <v>1</v>
      </c>
      <c r="E260" s="4" t="s">
        <v>3209</v>
      </c>
    </row>
    <row r="261" spans="1:5" x14ac:dyDescent="0.3">
      <c r="A261" s="4" t="s">
        <v>500</v>
      </c>
      <c r="B261" s="4" t="s">
        <v>501</v>
      </c>
      <c r="C261" s="4" t="s">
        <v>43</v>
      </c>
      <c r="D261" s="4">
        <v>1</v>
      </c>
      <c r="E261" s="4" t="s">
        <v>3209</v>
      </c>
    </row>
    <row r="262" spans="1:5" x14ac:dyDescent="0.3">
      <c r="A262" s="4" t="s">
        <v>502</v>
      </c>
      <c r="B262" s="4" t="s">
        <v>503</v>
      </c>
      <c r="C262" s="4" t="s">
        <v>37</v>
      </c>
      <c r="D262" s="4">
        <v>1</v>
      </c>
      <c r="E262" s="4" t="s">
        <v>3209</v>
      </c>
    </row>
    <row r="263" spans="1:5" x14ac:dyDescent="0.3">
      <c r="A263" s="4" t="s">
        <v>504</v>
      </c>
      <c r="B263" s="4" t="s">
        <v>2849</v>
      </c>
      <c r="C263" s="4" t="s">
        <v>37</v>
      </c>
      <c r="D263" s="4">
        <v>1</v>
      </c>
      <c r="E263" s="4" t="s">
        <v>3209</v>
      </c>
    </row>
    <row r="264" spans="1:5" x14ac:dyDescent="0.3">
      <c r="A264" s="4" t="s">
        <v>505</v>
      </c>
      <c r="B264" s="4" t="s">
        <v>506</v>
      </c>
      <c r="C264" s="4" t="s">
        <v>43</v>
      </c>
      <c r="D264" s="4">
        <v>1</v>
      </c>
      <c r="E264" s="4" t="s">
        <v>3209</v>
      </c>
    </row>
    <row r="265" spans="1:5" x14ac:dyDescent="0.3">
      <c r="A265" s="4" t="s">
        <v>507</v>
      </c>
      <c r="B265" s="4" t="s">
        <v>508</v>
      </c>
      <c r="C265" s="4" t="s">
        <v>152</v>
      </c>
      <c r="D265" s="4">
        <v>1</v>
      </c>
      <c r="E265" s="4" t="s">
        <v>3210</v>
      </c>
    </row>
    <row r="266" spans="1:5" x14ac:dyDescent="0.3">
      <c r="A266" s="4" t="s">
        <v>509</v>
      </c>
      <c r="B266" s="4" t="s">
        <v>510</v>
      </c>
      <c r="C266" s="4" t="s">
        <v>37</v>
      </c>
      <c r="D266" s="4">
        <v>1</v>
      </c>
      <c r="E266" s="4" t="s">
        <v>3209</v>
      </c>
    </row>
    <row r="267" spans="1:5" x14ac:dyDescent="0.3">
      <c r="A267" s="4" t="s">
        <v>511</v>
      </c>
      <c r="B267" s="4" t="s">
        <v>512</v>
      </c>
      <c r="C267" s="4" t="s">
        <v>43</v>
      </c>
      <c r="D267" s="4">
        <v>1</v>
      </c>
      <c r="E267" s="4" t="s">
        <v>3209</v>
      </c>
    </row>
    <row r="268" spans="1:5" x14ac:dyDescent="0.3">
      <c r="A268" s="4" t="s">
        <v>513</v>
      </c>
      <c r="B268" s="4" t="s">
        <v>2850</v>
      </c>
      <c r="C268" s="4" t="s">
        <v>37</v>
      </c>
      <c r="D268" s="4">
        <v>1</v>
      </c>
      <c r="E268" s="4" t="s">
        <v>3209</v>
      </c>
    </row>
    <row r="269" spans="1:5" x14ac:dyDescent="0.3">
      <c r="A269" s="4" t="s">
        <v>514</v>
      </c>
      <c r="B269" s="4" t="s">
        <v>515</v>
      </c>
      <c r="C269" s="4" t="s">
        <v>37</v>
      </c>
      <c r="D269" s="4">
        <v>1</v>
      </c>
      <c r="E269" s="4" t="s">
        <v>3209</v>
      </c>
    </row>
    <row r="270" spans="1:5" x14ac:dyDescent="0.3">
      <c r="A270" s="4" t="s">
        <v>516</v>
      </c>
      <c r="B270" s="4" t="s">
        <v>517</v>
      </c>
      <c r="C270" s="4" t="s">
        <v>37</v>
      </c>
      <c r="D270" s="4">
        <v>1</v>
      </c>
      <c r="E270" s="4" t="s">
        <v>3209</v>
      </c>
    </row>
    <row r="271" spans="1:5" x14ac:dyDescent="0.3">
      <c r="A271" s="4" t="s">
        <v>518</v>
      </c>
      <c r="B271" s="4" t="s">
        <v>519</v>
      </c>
      <c r="C271" s="4" t="s">
        <v>37</v>
      </c>
      <c r="D271" s="4">
        <v>1</v>
      </c>
      <c r="E271" s="4" t="s">
        <v>3209</v>
      </c>
    </row>
    <row r="272" spans="1:5" x14ac:dyDescent="0.3">
      <c r="A272" s="4" t="s">
        <v>520</v>
      </c>
      <c r="B272" s="4" t="s">
        <v>521</v>
      </c>
      <c r="C272" s="4" t="s">
        <v>37</v>
      </c>
      <c r="D272" s="4">
        <v>1</v>
      </c>
      <c r="E272" s="4" t="s">
        <v>3209</v>
      </c>
    </row>
    <row r="273" spans="1:5" x14ac:dyDescent="0.3">
      <c r="A273" s="4" t="s">
        <v>522</v>
      </c>
      <c r="B273" s="4" t="s">
        <v>2851</v>
      </c>
      <c r="C273" s="4" t="s">
        <v>43</v>
      </c>
      <c r="D273" s="4">
        <v>1</v>
      </c>
      <c r="E273" s="4" t="s">
        <v>3209</v>
      </c>
    </row>
    <row r="274" spans="1:5" x14ac:dyDescent="0.3">
      <c r="A274" s="4" t="s">
        <v>523</v>
      </c>
      <c r="B274" s="4" t="s">
        <v>524</v>
      </c>
      <c r="C274" s="4" t="s">
        <v>37</v>
      </c>
      <c r="D274" s="4">
        <v>1</v>
      </c>
      <c r="E274" s="4" t="s">
        <v>3209</v>
      </c>
    </row>
    <row r="275" spans="1:5" x14ac:dyDescent="0.3">
      <c r="A275" s="4" t="s">
        <v>525</v>
      </c>
      <c r="B275" s="4" t="s">
        <v>2852</v>
      </c>
      <c r="C275" s="4" t="s">
        <v>37</v>
      </c>
      <c r="D275" s="4">
        <v>1</v>
      </c>
      <c r="E275" s="4" t="s">
        <v>3210</v>
      </c>
    </row>
    <row r="276" spans="1:5" x14ac:dyDescent="0.3">
      <c r="A276" s="4" t="s">
        <v>526</v>
      </c>
      <c r="B276" s="4" t="s">
        <v>2853</v>
      </c>
      <c r="C276" s="4" t="s">
        <v>50</v>
      </c>
      <c r="D276" s="4">
        <v>1</v>
      </c>
      <c r="E276" s="4" t="s">
        <v>3210</v>
      </c>
    </row>
    <row r="277" spans="1:5" x14ac:dyDescent="0.3">
      <c r="A277" s="4" t="s">
        <v>2854</v>
      </c>
      <c r="B277" s="4" t="s">
        <v>2855</v>
      </c>
      <c r="C277" s="4" t="s">
        <v>37</v>
      </c>
      <c r="D277" s="4">
        <v>1</v>
      </c>
      <c r="E277" s="4" t="s">
        <v>3209</v>
      </c>
    </row>
    <row r="278" spans="1:5" x14ac:dyDescent="0.3">
      <c r="A278" s="4" t="s">
        <v>527</v>
      </c>
      <c r="B278" s="4" t="s">
        <v>528</v>
      </c>
      <c r="C278" s="4" t="s">
        <v>37</v>
      </c>
      <c r="D278" s="4">
        <v>1</v>
      </c>
      <c r="E278" s="4" t="s">
        <v>3209</v>
      </c>
    </row>
    <row r="279" spans="1:5" x14ac:dyDescent="0.3">
      <c r="A279" s="4" t="s">
        <v>529</v>
      </c>
      <c r="B279" s="4" t="s">
        <v>2856</v>
      </c>
      <c r="C279" s="4" t="s">
        <v>37</v>
      </c>
      <c r="D279" s="4">
        <v>1</v>
      </c>
      <c r="E279" s="4" t="s">
        <v>3209</v>
      </c>
    </row>
    <row r="280" spans="1:5" x14ac:dyDescent="0.3">
      <c r="A280" s="4" t="s">
        <v>530</v>
      </c>
      <c r="B280" s="4" t="s">
        <v>531</v>
      </c>
      <c r="C280" s="4" t="s">
        <v>37</v>
      </c>
      <c r="D280" s="4">
        <v>1</v>
      </c>
      <c r="E280" s="4" t="s">
        <v>3209</v>
      </c>
    </row>
    <row r="281" spans="1:5" x14ac:dyDescent="0.3">
      <c r="A281" s="4" t="s">
        <v>532</v>
      </c>
      <c r="B281" s="4" t="s">
        <v>533</v>
      </c>
      <c r="C281" s="4" t="s">
        <v>37</v>
      </c>
      <c r="D281" s="4">
        <v>1</v>
      </c>
      <c r="E281" s="4" t="s">
        <v>3209</v>
      </c>
    </row>
    <row r="282" spans="1:5" x14ac:dyDescent="0.3">
      <c r="A282" s="4" t="s">
        <v>534</v>
      </c>
      <c r="B282" s="4" t="s">
        <v>2857</v>
      </c>
      <c r="C282" s="4" t="s">
        <v>37</v>
      </c>
      <c r="D282" s="4">
        <v>1</v>
      </c>
      <c r="E282" s="4" t="s">
        <v>3210</v>
      </c>
    </row>
    <row r="283" spans="1:5" x14ac:dyDescent="0.3">
      <c r="A283" s="4" t="s">
        <v>535</v>
      </c>
      <c r="B283" s="4" t="s">
        <v>2858</v>
      </c>
      <c r="C283" s="4" t="s">
        <v>50</v>
      </c>
      <c r="D283" s="4">
        <v>1</v>
      </c>
      <c r="E283" s="4" t="s">
        <v>3210</v>
      </c>
    </row>
    <row r="284" spans="1:5" x14ac:dyDescent="0.3">
      <c r="A284" s="4" t="s">
        <v>536</v>
      </c>
      <c r="B284" s="4" t="s">
        <v>537</v>
      </c>
      <c r="C284" s="4" t="s">
        <v>37</v>
      </c>
      <c r="D284" s="4">
        <v>1</v>
      </c>
      <c r="E284" s="4" t="s">
        <v>3209</v>
      </c>
    </row>
    <row r="285" spans="1:5" x14ac:dyDescent="0.3">
      <c r="A285" s="4" t="s">
        <v>538</v>
      </c>
      <c r="B285" s="4" t="s">
        <v>539</v>
      </c>
      <c r="C285" s="4" t="s">
        <v>37</v>
      </c>
      <c r="D285" s="4">
        <v>1</v>
      </c>
      <c r="E285" s="4" t="s">
        <v>3210</v>
      </c>
    </row>
    <row r="286" spans="1:5" x14ac:dyDescent="0.3">
      <c r="A286" s="4" t="s">
        <v>540</v>
      </c>
      <c r="B286" s="4" t="s">
        <v>2859</v>
      </c>
      <c r="C286" s="4" t="s">
        <v>50</v>
      </c>
      <c r="D286" s="4">
        <v>1</v>
      </c>
      <c r="E286" s="4" t="s">
        <v>3210</v>
      </c>
    </row>
    <row r="287" spans="1:5" x14ac:dyDescent="0.3">
      <c r="A287" s="4" t="s">
        <v>541</v>
      </c>
      <c r="B287" s="4" t="s">
        <v>2860</v>
      </c>
      <c r="C287" s="4" t="s">
        <v>37</v>
      </c>
      <c r="D287" s="4">
        <v>1</v>
      </c>
      <c r="E287" s="4" t="s">
        <v>3210</v>
      </c>
    </row>
    <row r="288" spans="1:5" x14ac:dyDescent="0.3">
      <c r="A288" s="4" t="s">
        <v>542</v>
      </c>
      <c r="B288" s="4" t="s">
        <v>2861</v>
      </c>
      <c r="C288" s="4" t="s">
        <v>50</v>
      </c>
      <c r="D288" s="4">
        <v>1</v>
      </c>
      <c r="E288" s="4" t="s">
        <v>3210</v>
      </c>
    </row>
    <row r="289" spans="1:5" x14ac:dyDescent="0.3">
      <c r="A289" s="4" t="s">
        <v>543</v>
      </c>
      <c r="B289" s="4" t="s">
        <v>2862</v>
      </c>
      <c r="C289" s="4" t="s">
        <v>37</v>
      </c>
      <c r="D289" s="4">
        <v>1</v>
      </c>
      <c r="E289" s="4" t="s">
        <v>3209</v>
      </c>
    </row>
    <row r="290" spans="1:5" x14ac:dyDescent="0.3">
      <c r="A290" s="4" t="s">
        <v>544</v>
      </c>
      <c r="B290" s="4" t="s">
        <v>2863</v>
      </c>
      <c r="C290" s="4" t="s">
        <v>37</v>
      </c>
      <c r="D290" s="4">
        <v>1</v>
      </c>
      <c r="E290" s="4" t="s">
        <v>3210</v>
      </c>
    </row>
    <row r="291" spans="1:5" x14ac:dyDescent="0.3">
      <c r="A291" s="4" t="s">
        <v>545</v>
      </c>
      <c r="B291" s="4" t="s">
        <v>2864</v>
      </c>
      <c r="C291" s="4" t="s">
        <v>50</v>
      </c>
      <c r="D291" s="4">
        <v>1</v>
      </c>
      <c r="E291" s="4" t="s">
        <v>3210</v>
      </c>
    </row>
    <row r="292" spans="1:5" x14ac:dyDescent="0.3">
      <c r="A292" s="4" t="s">
        <v>546</v>
      </c>
      <c r="B292" s="4" t="s">
        <v>547</v>
      </c>
      <c r="C292" s="4" t="s">
        <v>37</v>
      </c>
      <c r="D292" s="4">
        <v>1</v>
      </c>
      <c r="E292" s="4" t="s">
        <v>3209</v>
      </c>
    </row>
    <row r="293" spans="1:5" x14ac:dyDescent="0.3">
      <c r="A293" s="4" t="s">
        <v>548</v>
      </c>
      <c r="B293" s="4" t="s">
        <v>549</v>
      </c>
      <c r="C293" s="4" t="s">
        <v>43</v>
      </c>
      <c r="D293" s="4">
        <v>1</v>
      </c>
      <c r="E293" s="4" t="s">
        <v>3209</v>
      </c>
    </row>
    <row r="294" spans="1:5" x14ac:dyDescent="0.3">
      <c r="A294" s="4" t="s">
        <v>550</v>
      </c>
      <c r="B294" s="4" t="s">
        <v>551</v>
      </c>
      <c r="C294" s="4" t="s">
        <v>152</v>
      </c>
      <c r="D294" s="4">
        <v>1</v>
      </c>
      <c r="E294" s="4" t="s">
        <v>3209</v>
      </c>
    </row>
    <row r="295" spans="1:5" x14ac:dyDescent="0.3">
      <c r="A295" s="4" t="s">
        <v>552</v>
      </c>
      <c r="B295" s="4" t="s">
        <v>2865</v>
      </c>
      <c r="C295" s="4" t="s">
        <v>43</v>
      </c>
      <c r="D295" s="4">
        <v>1</v>
      </c>
      <c r="E295" s="4" t="s">
        <v>3209</v>
      </c>
    </row>
    <row r="296" spans="1:5" x14ac:dyDescent="0.3">
      <c r="A296" s="8" t="s">
        <v>553</v>
      </c>
      <c r="B296" s="8" t="s">
        <v>2866</v>
      </c>
      <c r="C296" s="8" t="s">
        <v>37</v>
      </c>
      <c r="D296" s="8">
        <v>1</v>
      </c>
      <c r="E296" s="8" t="s">
        <v>3209</v>
      </c>
    </row>
    <row r="297" spans="1:5" x14ac:dyDescent="0.3">
      <c r="A297" s="8" t="s">
        <v>554</v>
      </c>
      <c r="B297" s="8" t="s">
        <v>555</v>
      </c>
      <c r="C297" s="8" t="s">
        <v>37</v>
      </c>
      <c r="D297" s="8">
        <v>1</v>
      </c>
      <c r="E297" s="8" t="s">
        <v>3209</v>
      </c>
    </row>
    <row r="298" spans="1:5" x14ac:dyDescent="0.3">
      <c r="A298" s="4" t="s">
        <v>556</v>
      </c>
      <c r="B298" s="4" t="s">
        <v>557</v>
      </c>
      <c r="C298" s="4" t="s">
        <v>37</v>
      </c>
      <c r="D298" s="4">
        <v>1</v>
      </c>
      <c r="E298" s="4" t="s">
        <v>3209</v>
      </c>
    </row>
    <row r="299" spans="1:5" x14ac:dyDescent="0.3">
      <c r="A299" s="8" t="s">
        <v>558</v>
      </c>
      <c r="B299" s="4" t="s">
        <v>2867</v>
      </c>
      <c r="C299" s="4" t="s">
        <v>37</v>
      </c>
      <c r="D299" s="4">
        <v>1</v>
      </c>
      <c r="E299" s="4" t="s">
        <v>3209</v>
      </c>
    </row>
    <row r="300" spans="1:5" x14ac:dyDescent="0.3">
      <c r="A300" s="8" t="s">
        <v>559</v>
      </c>
      <c r="B300" s="4" t="s">
        <v>560</v>
      </c>
      <c r="C300" s="4" t="s">
        <v>43</v>
      </c>
      <c r="D300" s="4">
        <v>1</v>
      </c>
      <c r="E300" s="4" t="s">
        <v>3209</v>
      </c>
    </row>
    <row r="301" spans="1:5" x14ac:dyDescent="0.3">
      <c r="A301" s="4" t="s">
        <v>561</v>
      </c>
      <c r="B301" s="4" t="s">
        <v>562</v>
      </c>
      <c r="C301" s="4" t="s">
        <v>37</v>
      </c>
      <c r="D301" s="4">
        <v>1</v>
      </c>
      <c r="E301" s="4" t="s">
        <v>3209</v>
      </c>
    </row>
    <row r="302" spans="1:5" x14ac:dyDescent="0.3">
      <c r="A302" s="4" t="s">
        <v>563</v>
      </c>
      <c r="B302" s="4" t="s">
        <v>564</v>
      </c>
      <c r="C302" s="4" t="s">
        <v>152</v>
      </c>
      <c r="D302" s="4">
        <v>1</v>
      </c>
      <c r="E302" s="4" t="s">
        <v>3210</v>
      </c>
    </row>
    <row r="303" spans="1:5" x14ac:dyDescent="0.3">
      <c r="A303" s="4" t="s">
        <v>565</v>
      </c>
      <c r="B303" s="4" t="s">
        <v>566</v>
      </c>
      <c r="C303" s="4" t="s">
        <v>37</v>
      </c>
      <c r="D303" s="4">
        <v>1</v>
      </c>
      <c r="E303" s="4" t="s">
        <v>3209</v>
      </c>
    </row>
    <row r="304" spans="1:5" x14ac:dyDescent="0.3">
      <c r="A304" s="4" t="s">
        <v>567</v>
      </c>
      <c r="B304" s="4" t="s">
        <v>568</v>
      </c>
      <c r="C304" s="4" t="s">
        <v>37</v>
      </c>
      <c r="D304" s="4">
        <v>1</v>
      </c>
      <c r="E304" s="4" t="s">
        <v>3209</v>
      </c>
    </row>
    <row r="305" spans="1:5" x14ac:dyDescent="0.3">
      <c r="A305" s="4" t="s">
        <v>569</v>
      </c>
      <c r="B305" s="4" t="s">
        <v>570</v>
      </c>
      <c r="C305" s="4" t="s">
        <v>43</v>
      </c>
      <c r="D305" s="4">
        <v>1</v>
      </c>
      <c r="E305" s="4" t="s">
        <v>3209</v>
      </c>
    </row>
    <row r="306" spans="1:5" x14ac:dyDescent="0.3">
      <c r="A306" s="4" t="s">
        <v>571</v>
      </c>
      <c r="B306" s="4" t="s">
        <v>572</v>
      </c>
      <c r="C306" s="4" t="s">
        <v>37</v>
      </c>
      <c r="D306" s="4">
        <v>1</v>
      </c>
      <c r="E306" s="4" t="s">
        <v>3209</v>
      </c>
    </row>
    <row r="307" spans="1:5" x14ac:dyDescent="0.3">
      <c r="A307" s="4" t="s">
        <v>573</v>
      </c>
      <c r="B307" s="4" t="s">
        <v>574</v>
      </c>
      <c r="C307" s="4" t="s">
        <v>37</v>
      </c>
      <c r="D307" s="4">
        <v>1</v>
      </c>
      <c r="E307" s="4" t="s">
        <v>3209</v>
      </c>
    </row>
    <row r="308" spans="1:5" x14ac:dyDescent="0.3">
      <c r="A308" s="4" t="s">
        <v>575</v>
      </c>
      <c r="B308" s="4" t="s">
        <v>2868</v>
      </c>
      <c r="C308" s="4" t="s">
        <v>37</v>
      </c>
      <c r="D308" s="4">
        <v>1</v>
      </c>
      <c r="E308" s="4" t="s">
        <v>3209</v>
      </c>
    </row>
    <row r="309" spans="1:5" x14ac:dyDescent="0.3">
      <c r="A309" s="4" t="s">
        <v>576</v>
      </c>
      <c r="B309" s="4" t="s">
        <v>577</v>
      </c>
      <c r="C309" s="4" t="s">
        <v>37</v>
      </c>
      <c r="D309" s="4">
        <v>1</v>
      </c>
      <c r="E309" s="4" t="s">
        <v>3209</v>
      </c>
    </row>
    <row r="310" spans="1:5" x14ac:dyDescent="0.3">
      <c r="A310" s="4" t="s">
        <v>2869</v>
      </c>
      <c r="B310" s="4" t="s">
        <v>2870</v>
      </c>
      <c r="C310" s="4" t="s">
        <v>37</v>
      </c>
      <c r="D310" s="4">
        <v>1</v>
      </c>
      <c r="E310" s="4" t="s">
        <v>3209</v>
      </c>
    </row>
    <row r="311" spans="1:5" x14ac:dyDescent="0.3">
      <c r="A311" s="4" t="s">
        <v>578</v>
      </c>
      <c r="B311" s="4" t="s">
        <v>579</v>
      </c>
      <c r="C311" s="4" t="s">
        <v>37</v>
      </c>
      <c r="D311" s="4">
        <v>1</v>
      </c>
      <c r="E311" s="4" t="s">
        <v>3209</v>
      </c>
    </row>
    <row r="312" spans="1:5" x14ac:dyDescent="0.3">
      <c r="A312" s="4" t="s">
        <v>580</v>
      </c>
      <c r="B312" s="4" t="s">
        <v>581</v>
      </c>
      <c r="C312" s="4" t="s">
        <v>37</v>
      </c>
      <c r="D312" s="4">
        <v>1</v>
      </c>
      <c r="E312" s="4" t="s">
        <v>3209</v>
      </c>
    </row>
    <row r="313" spans="1:5" x14ac:dyDescent="0.3">
      <c r="A313" s="4" t="s">
        <v>582</v>
      </c>
      <c r="B313" s="4" t="s">
        <v>583</v>
      </c>
      <c r="C313" s="4" t="s">
        <v>37</v>
      </c>
      <c r="D313" s="4">
        <v>1</v>
      </c>
      <c r="E313" s="4" t="s">
        <v>3209</v>
      </c>
    </row>
    <row r="314" spans="1:5" x14ac:dyDescent="0.3">
      <c r="A314" s="4" t="s">
        <v>584</v>
      </c>
      <c r="B314" s="4" t="s">
        <v>585</v>
      </c>
      <c r="C314" s="4" t="s">
        <v>37</v>
      </c>
      <c r="D314" s="4">
        <v>1</v>
      </c>
      <c r="E314" s="4" t="s">
        <v>3210</v>
      </c>
    </row>
    <row r="315" spans="1:5" x14ac:dyDescent="0.3">
      <c r="A315" s="4" t="s">
        <v>586</v>
      </c>
      <c r="B315" s="4" t="s">
        <v>2871</v>
      </c>
      <c r="C315" s="4" t="s">
        <v>50</v>
      </c>
      <c r="D315" s="4">
        <v>1</v>
      </c>
      <c r="E315" s="4" t="s">
        <v>3210</v>
      </c>
    </row>
    <row r="316" spans="1:5" x14ac:dyDescent="0.3">
      <c r="A316" s="4" t="s">
        <v>587</v>
      </c>
      <c r="B316" s="4" t="s">
        <v>588</v>
      </c>
      <c r="C316" s="4" t="s">
        <v>37</v>
      </c>
      <c r="D316" s="4">
        <v>1</v>
      </c>
      <c r="E316" s="4" t="s">
        <v>3209</v>
      </c>
    </row>
    <row r="317" spans="1:5" x14ac:dyDescent="0.3">
      <c r="A317" s="4" t="s">
        <v>589</v>
      </c>
      <c r="B317" s="4" t="s">
        <v>590</v>
      </c>
      <c r="C317" s="4" t="s">
        <v>37</v>
      </c>
      <c r="D317" s="4">
        <v>1</v>
      </c>
      <c r="E317" s="4" t="s">
        <v>3209</v>
      </c>
    </row>
    <row r="318" spans="1:5" x14ac:dyDescent="0.3">
      <c r="A318" s="4" t="s">
        <v>591</v>
      </c>
      <c r="B318" s="4" t="s">
        <v>2872</v>
      </c>
      <c r="C318" s="4" t="s">
        <v>37</v>
      </c>
      <c r="D318" s="4">
        <v>1</v>
      </c>
      <c r="E318" s="4" t="s">
        <v>3209</v>
      </c>
    </row>
    <row r="319" spans="1:5" x14ac:dyDescent="0.3">
      <c r="A319" s="4" t="s">
        <v>592</v>
      </c>
      <c r="B319" s="4" t="s">
        <v>593</v>
      </c>
      <c r="C319" s="4" t="s">
        <v>37</v>
      </c>
      <c r="D319" s="4">
        <v>1</v>
      </c>
      <c r="E319" s="4" t="s">
        <v>3209</v>
      </c>
    </row>
    <row r="320" spans="1:5" x14ac:dyDescent="0.3">
      <c r="A320" s="4" t="s">
        <v>594</v>
      </c>
      <c r="B320" s="4" t="s">
        <v>595</v>
      </c>
      <c r="C320" s="4" t="s">
        <v>37</v>
      </c>
      <c r="D320" s="4">
        <v>1</v>
      </c>
      <c r="E320" s="4" t="s">
        <v>3209</v>
      </c>
    </row>
    <row r="321" spans="1:5" x14ac:dyDescent="0.3">
      <c r="A321" s="4" t="s">
        <v>596</v>
      </c>
      <c r="B321" s="4" t="s">
        <v>597</v>
      </c>
      <c r="C321" s="4" t="s">
        <v>37</v>
      </c>
      <c r="D321" s="4">
        <v>1</v>
      </c>
      <c r="E321" s="4" t="s">
        <v>3209</v>
      </c>
    </row>
    <row r="322" spans="1:5" x14ac:dyDescent="0.3">
      <c r="A322" s="4" t="s">
        <v>598</v>
      </c>
      <c r="B322" s="4" t="s">
        <v>599</v>
      </c>
      <c r="C322" s="4" t="s">
        <v>43</v>
      </c>
      <c r="D322" s="4">
        <v>1</v>
      </c>
      <c r="E322" s="4" t="s">
        <v>3209</v>
      </c>
    </row>
    <row r="323" spans="1:5" x14ac:dyDescent="0.3">
      <c r="A323" s="4" t="s">
        <v>600</v>
      </c>
      <c r="B323" s="4" t="s">
        <v>601</v>
      </c>
      <c r="C323" s="4" t="s">
        <v>361</v>
      </c>
      <c r="D323" s="4">
        <v>1</v>
      </c>
      <c r="E323" s="4" t="s">
        <v>3209</v>
      </c>
    </row>
    <row r="324" spans="1:5" x14ac:dyDescent="0.3">
      <c r="A324" s="4" t="s">
        <v>602</v>
      </c>
      <c r="B324" s="4" t="s">
        <v>603</v>
      </c>
      <c r="C324" s="4" t="s">
        <v>37</v>
      </c>
      <c r="D324" s="4">
        <v>1</v>
      </c>
      <c r="E324" s="4" t="s">
        <v>3209</v>
      </c>
    </row>
    <row r="325" spans="1:5" x14ac:dyDescent="0.3">
      <c r="A325" s="4" t="s">
        <v>604</v>
      </c>
      <c r="B325" s="4" t="s">
        <v>2873</v>
      </c>
      <c r="C325" s="4" t="s">
        <v>37</v>
      </c>
      <c r="D325" s="4">
        <v>1</v>
      </c>
      <c r="E325" s="4" t="s">
        <v>3209</v>
      </c>
    </row>
    <row r="326" spans="1:5" x14ac:dyDescent="0.3">
      <c r="A326" s="4" t="s">
        <v>605</v>
      </c>
      <c r="B326" s="4" t="s">
        <v>2874</v>
      </c>
      <c r="C326" s="4" t="s">
        <v>37</v>
      </c>
      <c r="D326" s="4">
        <v>1</v>
      </c>
      <c r="E326" s="4" t="s">
        <v>3209</v>
      </c>
    </row>
    <row r="327" spans="1:5" x14ac:dyDescent="0.3">
      <c r="A327" s="4" t="s">
        <v>606</v>
      </c>
      <c r="B327" s="4" t="s">
        <v>607</v>
      </c>
      <c r="C327" s="4" t="s">
        <v>37</v>
      </c>
      <c r="D327" s="4">
        <v>1</v>
      </c>
      <c r="E327" s="4" t="s">
        <v>3209</v>
      </c>
    </row>
    <row r="328" spans="1:5" x14ac:dyDescent="0.3">
      <c r="A328" s="4" t="s">
        <v>608</v>
      </c>
      <c r="B328" s="4" t="s">
        <v>609</v>
      </c>
      <c r="C328" s="4" t="s">
        <v>37</v>
      </c>
      <c r="D328" s="4">
        <v>1</v>
      </c>
      <c r="E328" s="4" t="s">
        <v>3209</v>
      </c>
    </row>
    <row r="329" spans="1:5" x14ac:dyDescent="0.3">
      <c r="A329" s="4" t="s">
        <v>610</v>
      </c>
      <c r="B329" s="4" t="s">
        <v>611</v>
      </c>
      <c r="C329" s="4" t="s">
        <v>37</v>
      </c>
      <c r="D329" s="4">
        <v>1</v>
      </c>
      <c r="E329" s="4" t="s">
        <v>3209</v>
      </c>
    </row>
    <row r="330" spans="1:5" x14ac:dyDescent="0.3">
      <c r="A330" s="4" t="s">
        <v>612</v>
      </c>
      <c r="B330" s="4" t="s">
        <v>613</v>
      </c>
      <c r="C330" s="4" t="s">
        <v>37</v>
      </c>
      <c r="D330" s="4">
        <v>1</v>
      </c>
      <c r="E330" s="4" t="s">
        <v>3209</v>
      </c>
    </row>
    <row r="331" spans="1:5" x14ac:dyDescent="0.3">
      <c r="A331" s="4" t="s">
        <v>614</v>
      </c>
      <c r="B331" s="4" t="s">
        <v>615</v>
      </c>
      <c r="C331" s="4" t="s">
        <v>37</v>
      </c>
      <c r="D331" s="4">
        <v>1</v>
      </c>
      <c r="E331" s="4" t="s">
        <v>3209</v>
      </c>
    </row>
    <row r="332" spans="1:5" x14ac:dyDescent="0.3">
      <c r="A332" s="4" t="s">
        <v>616</v>
      </c>
      <c r="B332" s="4" t="s">
        <v>2875</v>
      </c>
      <c r="C332" s="4" t="s">
        <v>37</v>
      </c>
      <c r="D332" s="4">
        <v>1</v>
      </c>
      <c r="E332" s="4" t="s">
        <v>3210</v>
      </c>
    </row>
    <row r="333" spans="1:5" x14ac:dyDescent="0.3">
      <c r="A333" s="4" t="s">
        <v>617</v>
      </c>
      <c r="B333" s="4" t="s">
        <v>2876</v>
      </c>
      <c r="C333" s="4" t="s">
        <v>50</v>
      </c>
      <c r="D333" s="4">
        <v>1</v>
      </c>
      <c r="E333" s="4" t="s">
        <v>3210</v>
      </c>
    </row>
    <row r="334" spans="1:5" x14ac:dyDescent="0.3">
      <c r="A334" s="4" t="s">
        <v>618</v>
      </c>
      <c r="B334" s="4" t="s">
        <v>619</v>
      </c>
      <c r="C334" s="4" t="s">
        <v>37</v>
      </c>
      <c r="D334" s="4">
        <v>1</v>
      </c>
      <c r="E334" s="4" t="s">
        <v>3209</v>
      </c>
    </row>
    <row r="335" spans="1:5" x14ac:dyDescent="0.3">
      <c r="A335" s="4" t="s">
        <v>620</v>
      </c>
      <c r="B335" s="4" t="s">
        <v>621</v>
      </c>
      <c r="C335" s="4" t="s">
        <v>37</v>
      </c>
      <c r="D335" s="4">
        <v>1</v>
      </c>
      <c r="E335" s="4" t="s">
        <v>3209</v>
      </c>
    </row>
    <row r="336" spans="1:5" x14ac:dyDescent="0.3">
      <c r="A336" s="4" t="s">
        <v>622</v>
      </c>
      <c r="B336" s="4" t="s">
        <v>2877</v>
      </c>
      <c r="C336" s="4" t="s">
        <v>37</v>
      </c>
      <c r="D336" s="4">
        <v>1</v>
      </c>
      <c r="E336" s="4" t="s">
        <v>3209</v>
      </c>
    </row>
    <row r="337" spans="1:5" x14ac:dyDescent="0.3">
      <c r="A337" s="4" t="s">
        <v>623</v>
      </c>
      <c r="B337" s="4" t="s">
        <v>624</v>
      </c>
      <c r="C337" s="4" t="s">
        <v>37</v>
      </c>
      <c r="D337" s="4">
        <v>1</v>
      </c>
      <c r="E337" s="4" t="s">
        <v>3209</v>
      </c>
    </row>
    <row r="338" spans="1:5" x14ac:dyDescent="0.3">
      <c r="A338" s="4" t="s">
        <v>625</v>
      </c>
      <c r="B338" s="4" t="s">
        <v>626</v>
      </c>
      <c r="C338" s="4" t="s">
        <v>37</v>
      </c>
      <c r="D338" s="4">
        <v>1</v>
      </c>
      <c r="E338" s="4" t="s">
        <v>3210</v>
      </c>
    </row>
    <row r="339" spans="1:5" x14ac:dyDescent="0.3">
      <c r="A339" s="4" t="s">
        <v>627</v>
      </c>
      <c r="B339" s="4" t="s">
        <v>2878</v>
      </c>
      <c r="C339" s="4" t="s">
        <v>50</v>
      </c>
      <c r="D339" s="4">
        <v>1</v>
      </c>
      <c r="E339" s="4" t="s">
        <v>3210</v>
      </c>
    </row>
    <row r="340" spans="1:5" x14ac:dyDescent="0.3">
      <c r="A340" s="4" t="s">
        <v>628</v>
      </c>
      <c r="B340" s="4" t="s">
        <v>629</v>
      </c>
      <c r="C340" s="4" t="s">
        <v>37</v>
      </c>
      <c r="D340" s="4">
        <v>1</v>
      </c>
      <c r="E340" s="4" t="s">
        <v>3209</v>
      </c>
    </row>
    <row r="341" spans="1:5" x14ac:dyDescent="0.3">
      <c r="A341" s="4" t="s">
        <v>630</v>
      </c>
      <c r="B341" s="4" t="s">
        <v>631</v>
      </c>
      <c r="C341" s="4" t="s">
        <v>43</v>
      </c>
      <c r="D341" s="4">
        <v>1</v>
      </c>
      <c r="E341" s="4" t="s">
        <v>3209</v>
      </c>
    </row>
    <row r="342" spans="1:5" x14ac:dyDescent="0.3">
      <c r="A342" s="4" t="s">
        <v>632</v>
      </c>
      <c r="B342" s="4" t="s">
        <v>2879</v>
      </c>
      <c r="C342" s="4" t="s">
        <v>37</v>
      </c>
      <c r="D342" s="4">
        <v>1</v>
      </c>
      <c r="E342" s="4" t="s">
        <v>3209</v>
      </c>
    </row>
    <row r="343" spans="1:5" x14ac:dyDescent="0.3">
      <c r="A343" s="4" t="s">
        <v>633</v>
      </c>
      <c r="B343" s="4" t="s">
        <v>2880</v>
      </c>
      <c r="C343" s="4" t="s">
        <v>37</v>
      </c>
      <c r="D343" s="4">
        <v>1</v>
      </c>
      <c r="E343" s="4" t="s">
        <v>3209</v>
      </c>
    </row>
    <row r="344" spans="1:5" x14ac:dyDescent="0.3">
      <c r="A344" s="4" t="s">
        <v>634</v>
      </c>
      <c r="B344" s="4" t="s">
        <v>635</v>
      </c>
      <c r="C344" s="4" t="s">
        <v>37</v>
      </c>
      <c r="D344" s="4">
        <v>1</v>
      </c>
      <c r="E344" s="4" t="s">
        <v>3210</v>
      </c>
    </row>
    <row r="345" spans="1:5" x14ac:dyDescent="0.3">
      <c r="A345" s="4" t="s">
        <v>636</v>
      </c>
      <c r="B345" s="4" t="s">
        <v>2881</v>
      </c>
      <c r="C345" s="4" t="s">
        <v>50</v>
      </c>
      <c r="D345" s="4">
        <v>1</v>
      </c>
      <c r="E345" s="4" t="s">
        <v>3210</v>
      </c>
    </row>
    <row r="346" spans="1:5" x14ac:dyDescent="0.3">
      <c r="A346" s="4" t="s">
        <v>637</v>
      </c>
      <c r="B346" s="4" t="s">
        <v>183</v>
      </c>
      <c r="C346" s="4" t="s">
        <v>37</v>
      </c>
      <c r="D346" s="4">
        <v>1</v>
      </c>
      <c r="E346" s="4" t="s">
        <v>3209</v>
      </c>
    </row>
    <row r="347" spans="1:5" x14ac:dyDescent="0.3">
      <c r="A347" s="4" t="s">
        <v>638</v>
      </c>
      <c r="B347" s="4" t="s">
        <v>639</v>
      </c>
      <c r="C347" s="4" t="s">
        <v>43</v>
      </c>
      <c r="D347" s="4">
        <v>1</v>
      </c>
      <c r="E347" s="4" t="s">
        <v>3209</v>
      </c>
    </row>
    <row r="348" spans="1:5" x14ac:dyDescent="0.3">
      <c r="A348" s="4" t="s">
        <v>640</v>
      </c>
      <c r="B348" s="4" t="s">
        <v>641</v>
      </c>
      <c r="C348" s="4" t="s">
        <v>361</v>
      </c>
      <c r="D348" s="4">
        <v>1</v>
      </c>
      <c r="E348" s="4" t="s">
        <v>3209</v>
      </c>
    </row>
    <row r="349" spans="1:5" x14ac:dyDescent="0.3">
      <c r="A349" s="4" t="s">
        <v>642</v>
      </c>
      <c r="B349" s="4" t="s">
        <v>643</v>
      </c>
      <c r="C349" s="4" t="s">
        <v>37</v>
      </c>
      <c r="D349" s="4">
        <v>1</v>
      </c>
      <c r="E349" s="4" t="s">
        <v>3209</v>
      </c>
    </row>
    <row r="350" spans="1:5" x14ac:dyDescent="0.3">
      <c r="A350" s="4" t="s">
        <v>644</v>
      </c>
      <c r="B350" s="4" t="s">
        <v>645</v>
      </c>
      <c r="C350" s="4" t="s">
        <v>37</v>
      </c>
      <c r="D350" s="4">
        <v>1</v>
      </c>
      <c r="E350" s="4" t="s">
        <v>3209</v>
      </c>
    </row>
    <row r="351" spans="1:5" x14ac:dyDescent="0.3">
      <c r="A351" s="4" t="s">
        <v>646</v>
      </c>
      <c r="B351" s="4" t="s">
        <v>647</v>
      </c>
      <c r="C351" s="4" t="s">
        <v>37</v>
      </c>
      <c r="D351" s="4">
        <v>1</v>
      </c>
      <c r="E351" s="4" t="s">
        <v>3209</v>
      </c>
    </row>
    <row r="352" spans="1:5" x14ac:dyDescent="0.3">
      <c r="A352" s="4" t="s">
        <v>648</v>
      </c>
      <c r="B352" s="4" t="s">
        <v>649</v>
      </c>
      <c r="C352" s="4" t="s">
        <v>37</v>
      </c>
      <c r="D352" s="4">
        <v>1</v>
      </c>
      <c r="E352" s="4" t="s">
        <v>3209</v>
      </c>
    </row>
    <row r="353" spans="1:5" x14ac:dyDescent="0.3">
      <c r="A353" s="4" t="s">
        <v>650</v>
      </c>
      <c r="B353" s="4" t="s">
        <v>651</v>
      </c>
      <c r="C353" s="4" t="s">
        <v>43</v>
      </c>
      <c r="D353" s="4">
        <v>1</v>
      </c>
      <c r="E353" s="4" t="s">
        <v>3209</v>
      </c>
    </row>
    <row r="354" spans="1:5" x14ac:dyDescent="0.3">
      <c r="A354" s="4" t="s">
        <v>652</v>
      </c>
      <c r="B354" s="4" t="s">
        <v>653</v>
      </c>
      <c r="C354" s="4" t="s">
        <v>37</v>
      </c>
      <c r="D354" s="4">
        <v>1</v>
      </c>
      <c r="E354" s="4" t="s">
        <v>3209</v>
      </c>
    </row>
    <row r="355" spans="1:5" x14ac:dyDescent="0.3">
      <c r="A355" s="4" t="s">
        <v>654</v>
      </c>
      <c r="B355" s="4" t="s">
        <v>655</v>
      </c>
      <c r="C355" s="4" t="s">
        <v>37</v>
      </c>
      <c r="D355" s="4">
        <v>1</v>
      </c>
      <c r="E355" s="4" t="s">
        <v>3209</v>
      </c>
    </row>
    <row r="356" spans="1:5" x14ac:dyDescent="0.3">
      <c r="A356" s="4" t="s">
        <v>656</v>
      </c>
      <c r="B356" s="4" t="s">
        <v>657</v>
      </c>
      <c r="C356" s="4" t="s">
        <v>37</v>
      </c>
      <c r="D356" s="4">
        <v>1</v>
      </c>
      <c r="E356" s="4" t="s">
        <v>3209</v>
      </c>
    </row>
    <row r="357" spans="1:5" x14ac:dyDescent="0.3">
      <c r="A357" s="4" t="s">
        <v>658</v>
      </c>
      <c r="B357" s="4" t="s">
        <v>2882</v>
      </c>
      <c r="C357" s="4" t="s">
        <v>37</v>
      </c>
      <c r="D357" s="4">
        <v>1</v>
      </c>
      <c r="E357" s="4" t="s">
        <v>3209</v>
      </c>
    </row>
    <row r="358" spans="1:5" x14ac:dyDescent="0.3">
      <c r="A358" s="4" t="s">
        <v>2883</v>
      </c>
      <c r="B358" s="4" t="s">
        <v>2884</v>
      </c>
      <c r="C358" s="4" t="s">
        <v>37</v>
      </c>
      <c r="D358" s="4">
        <v>1</v>
      </c>
      <c r="E358" s="4" t="s">
        <v>3209</v>
      </c>
    </row>
    <row r="359" spans="1:5" x14ac:dyDescent="0.3">
      <c r="A359" s="4" t="s">
        <v>659</v>
      </c>
      <c r="B359" s="4" t="s">
        <v>660</v>
      </c>
      <c r="C359" s="4" t="s">
        <v>43</v>
      </c>
      <c r="D359" s="4">
        <v>1</v>
      </c>
      <c r="E359" s="4" t="s">
        <v>3209</v>
      </c>
    </row>
    <row r="360" spans="1:5" x14ac:dyDescent="0.3">
      <c r="A360" s="4" t="s">
        <v>661</v>
      </c>
      <c r="B360" s="4" t="s">
        <v>662</v>
      </c>
      <c r="C360" s="4" t="s">
        <v>361</v>
      </c>
      <c r="D360" s="4">
        <v>1</v>
      </c>
      <c r="E360" s="4" t="s">
        <v>3209</v>
      </c>
    </row>
    <row r="361" spans="1:5" x14ac:dyDescent="0.3">
      <c r="A361" s="4" t="s">
        <v>663</v>
      </c>
      <c r="B361" s="4" t="s">
        <v>2885</v>
      </c>
      <c r="C361" s="4" t="s">
        <v>37</v>
      </c>
      <c r="D361" s="4">
        <v>1</v>
      </c>
      <c r="E361" s="4" t="s">
        <v>3209</v>
      </c>
    </row>
    <row r="362" spans="1:5" x14ac:dyDescent="0.3">
      <c r="A362" s="4" t="s">
        <v>664</v>
      </c>
      <c r="B362" s="4" t="s">
        <v>665</v>
      </c>
      <c r="C362" s="4" t="s">
        <v>37</v>
      </c>
      <c r="D362" s="4">
        <v>1</v>
      </c>
      <c r="E362" s="4" t="s">
        <v>3209</v>
      </c>
    </row>
    <row r="363" spans="1:5" x14ac:dyDescent="0.3">
      <c r="A363" s="4" t="s">
        <v>666</v>
      </c>
      <c r="B363" s="4" t="s">
        <v>667</v>
      </c>
      <c r="C363" s="4" t="s">
        <v>43</v>
      </c>
      <c r="D363" s="4">
        <v>1</v>
      </c>
      <c r="E363" s="4" t="s">
        <v>3209</v>
      </c>
    </row>
    <row r="364" spans="1:5" x14ac:dyDescent="0.3">
      <c r="A364" s="4" t="s">
        <v>668</v>
      </c>
      <c r="B364" s="4" t="s">
        <v>669</v>
      </c>
      <c r="C364" s="4" t="s">
        <v>37</v>
      </c>
      <c r="D364" s="4">
        <v>1</v>
      </c>
      <c r="E364" s="4" t="s">
        <v>3209</v>
      </c>
    </row>
    <row r="365" spans="1:5" x14ac:dyDescent="0.3">
      <c r="A365" s="4" t="s">
        <v>670</v>
      </c>
      <c r="B365" s="4" t="s">
        <v>2886</v>
      </c>
      <c r="C365" s="4" t="s">
        <v>37</v>
      </c>
      <c r="D365" s="4">
        <v>1</v>
      </c>
      <c r="E365" s="4" t="s">
        <v>3210</v>
      </c>
    </row>
    <row r="366" spans="1:5" x14ac:dyDescent="0.3">
      <c r="A366" s="4" t="s">
        <v>671</v>
      </c>
      <c r="B366" s="4" t="s">
        <v>2887</v>
      </c>
      <c r="C366" s="4" t="s">
        <v>50</v>
      </c>
      <c r="D366" s="4">
        <v>1</v>
      </c>
      <c r="E366" s="4" t="s">
        <v>3210</v>
      </c>
    </row>
    <row r="367" spans="1:5" x14ac:dyDescent="0.3">
      <c r="A367" s="4" t="s">
        <v>672</v>
      </c>
      <c r="B367" s="4" t="s">
        <v>673</v>
      </c>
      <c r="C367" s="4" t="s">
        <v>37</v>
      </c>
      <c r="D367" s="4">
        <v>1</v>
      </c>
      <c r="E367" s="4" t="s">
        <v>3209</v>
      </c>
    </row>
    <row r="368" spans="1:5" x14ac:dyDescent="0.3">
      <c r="A368" s="4" t="s">
        <v>674</v>
      </c>
      <c r="B368" s="4" t="s">
        <v>675</v>
      </c>
      <c r="C368" s="4" t="s">
        <v>37</v>
      </c>
      <c r="D368" s="4">
        <v>1</v>
      </c>
      <c r="E368" s="4" t="s">
        <v>3209</v>
      </c>
    </row>
    <row r="369" spans="1:5" x14ac:dyDescent="0.3">
      <c r="A369" s="4" t="s">
        <v>676</v>
      </c>
      <c r="B369" s="4" t="s">
        <v>677</v>
      </c>
      <c r="C369" s="4" t="s">
        <v>37</v>
      </c>
      <c r="D369" s="4">
        <v>1</v>
      </c>
      <c r="E369" s="4" t="s">
        <v>3209</v>
      </c>
    </row>
    <row r="370" spans="1:5" x14ac:dyDescent="0.3">
      <c r="A370" s="4" t="s">
        <v>678</v>
      </c>
      <c r="B370" s="4" t="s">
        <v>679</v>
      </c>
      <c r="C370" s="4" t="s">
        <v>37</v>
      </c>
      <c r="D370" s="4">
        <v>1</v>
      </c>
      <c r="E370" s="4" t="s">
        <v>3209</v>
      </c>
    </row>
    <row r="371" spans="1:5" x14ac:dyDescent="0.3">
      <c r="A371" s="4" t="s">
        <v>680</v>
      </c>
      <c r="B371" s="4" t="s">
        <v>2888</v>
      </c>
      <c r="C371" s="4" t="s">
        <v>37</v>
      </c>
      <c r="D371" s="4">
        <v>1</v>
      </c>
      <c r="E371" s="4" t="s">
        <v>3209</v>
      </c>
    </row>
    <row r="372" spans="1:5" x14ac:dyDescent="0.3">
      <c r="A372" s="4" t="s">
        <v>681</v>
      </c>
      <c r="B372" s="4" t="s">
        <v>2889</v>
      </c>
      <c r="C372" s="4" t="s">
        <v>37</v>
      </c>
      <c r="D372" s="4">
        <v>1</v>
      </c>
      <c r="E372" s="4" t="s">
        <v>3210</v>
      </c>
    </row>
    <row r="373" spans="1:5" x14ac:dyDescent="0.3">
      <c r="A373" s="4" t="s">
        <v>682</v>
      </c>
      <c r="B373" s="4" t="s">
        <v>2890</v>
      </c>
      <c r="C373" s="4" t="s">
        <v>50</v>
      </c>
      <c r="D373" s="4">
        <v>1</v>
      </c>
      <c r="E373" s="4" t="s">
        <v>3210</v>
      </c>
    </row>
    <row r="374" spans="1:5" x14ac:dyDescent="0.3">
      <c r="A374" s="4" t="s">
        <v>683</v>
      </c>
      <c r="B374" s="4" t="s">
        <v>684</v>
      </c>
      <c r="C374" s="4" t="s">
        <v>37</v>
      </c>
      <c r="D374" s="4">
        <v>1</v>
      </c>
      <c r="E374" s="4" t="s">
        <v>3209</v>
      </c>
    </row>
    <row r="375" spans="1:5" x14ac:dyDescent="0.3">
      <c r="A375" s="4" t="s">
        <v>685</v>
      </c>
      <c r="B375" s="4" t="s">
        <v>686</v>
      </c>
      <c r="C375" s="4" t="s">
        <v>37</v>
      </c>
      <c r="D375" s="4">
        <v>1</v>
      </c>
      <c r="E375" s="4" t="s">
        <v>3210</v>
      </c>
    </row>
    <row r="376" spans="1:5" x14ac:dyDescent="0.3">
      <c r="A376" s="4" t="s">
        <v>687</v>
      </c>
      <c r="B376" s="4" t="s">
        <v>2891</v>
      </c>
      <c r="C376" s="4" t="s">
        <v>50</v>
      </c>
      <c r="D376" s="4">
        <v>1</v>
      </c>
      <c r="E376" s="4" t="s">
        <v>3210</v>
      </c>
    </row>
    <row r="377" spans="1:5" x14ac:dyDescent="0.3">
      <c r="A377" s="4" t="s">
        <v>688</v>
      </c>
      <c r="B377" s="4" t="s">
        <v>689</v>
      </c>
      <c r="C377" s="4" t="s">
        <v>37</v>
      </c>
      <c r="D377" s="4">
        <v>1</v>
      </c>
      <c r="E377" s="4" t="s">
        <v>3209</v>
      </c>
    </row>
    <row r="378" spans="1:5" x14ac:dyDescent="0.3">
      <c r="A378" s="4" t="s">
        <v>690</v>
      </c>
      <c r="B378" s="4" t="s">
        <v>2892</v>
      </c>
      <c r="C378" s="4" t="s">
        <v>37</v>
      </c>
      <c r="D378" s="4">
        <v>1</v>
      </c>
      <c r="E378" s="4" t="s">
        <v>3209</v>
      </c>
    </row>
    <row r="379" spans="1:5" x14ac:dyDescent="0.3">
      <c r="A379" s="4" t="s">
        <v>691</v>
      </c>
      <c r="B379" s="4" t="s">
        <v>692</v>
      </c>
      <c r="C379" s="4" t="s">
        <v>37</v>
      </c>
      <c r="D379" s="4">
        <v>1</v>
      </c>
      <c r="E379" s="4" t="s">
        <v>3209</v>
      </c>
    </row>
    <row r="380" spans="1:5" x14ac:dyDescent="0.3">
      <c r="A380" s="4" t="s">
        <v>693</v>
      </c>
      <c r="B380" s="4" t="s">
        <v>694</v>
      </c>
      <c r="C380" s="4" t="s">
        <v>37</v>
      </c>
      <c r="D380" s="4">
        <v>1</v>
      </c>
      <c r="E380" s="4" t="s">
        <v>3209</v>
      </c>
    </row>
    <row r="381" spans="1:5" x14ac:dyDescent="0.3">
      <c r="A381" s="4" t="s">
        <v>695</v>
      </c>
      <c r="B381" s="4" t="s">
        <v>696</v>
      </c>
      <c r="C381" s="4" t="s">
        <v>37</v>
      </c>
      <c r="D381" s="4">
        <v>1</v>
      </c>
      <c r="E381" s="4" t="s">
        <v>3209</v>
      </c>
    </row>
    <row r="382" spans="1:5" x14ac:dyDescent="0.3">
      <c r="A382" s="4" t="s">
        <v>697</v>
      </c>
      <c r="B382" s="4" t="s">
        <v>698</v>
      </c>
      <c r="C382" s="4" t="s">
        <v>37</v>
      </c>
      <c r="D382" s="4">
        <v>1</v>
      </c>
      <c r="E382" s="4" t="s">
        <v>3209</v>
      </c>
    </row>
    <row r="383" spans="1:5" x14ac:dyDescent="0.3">
      <c r="A383" s="4" t="s">
        <v>699</v>
      </c>
      <c r="B383" s="4" t="s">
        <v>183</v>
      </c>
      <c r="C383" s="4" t="s">
        <v>37</v>
      </c>
      <c r="D383" s="4">
        <v>1</v>
      </c>
      <c r="E383" s="4" t="s">
        <v>3209</v>
      </c>
    </row>
    <row r="384" spans="1:5" x14ac:dyDescent="0.3">
      <c r="A384" s="4" t="s">
        <v>700</v>
      </c>
      <c r="B384" s="4" t="s">
        <v>701</v>
      </c>
      <c r="C384" s="4" t="s">
        <v>37</v>
      </c>
      <c r="D384" s="4">
        <v>1</v>
      </c>
      <c r="E384" s="4" t="s">
        <v>3209</v>
      </c>
    </row>
    <row r="385" spans="1:5" x14ac:dyDescent="0.3">
      <c r="A385" s="4" t="s">
        <v>702</v>
      </c>
      <c r="B385" s="4" t="s">
        <v>703</v>
      </c>
      <c r="C385" s="4" t="s">
        <v>43</v>
      </c>
      <c r="D385" s="4">
        <v>1</v>
      </c>
      <c r="E385" s="4" t="s">
        <v>3209</v>
      </c>
    </row>
    <row r="386" spans="1:5" x14ac:dyDescent="0.3">
      <c r="A386" s="4" t="s">
        <v>704</v>
      </c>
      <c r="B386" s="4" t="s">
        <v>2893</v>
      </c>
      <c r="C386" s="4" t="s">
        <v>37</v>
      </c>
      <c r="D386" s="4">
        <v>1</v>
      </c>
      <c r="E386" s="4" t="s">
        <v>3209</v>
      </c>
    </row>
    <row r="387" spans="1:5" x14ac:dyDescent="0.3">
      <c r="A387" s="4" t="s">
        <v>705</v>
      </c>
      <c r="B387" s="4" t="s">
        <v>706</v>
      </c>
      <c r="C387" s="4" t="s">
        <v>43</v>
      </c>
      <c r="D387" s="4">
        <v>1</v>
      </c>
      <c r="E387" s="4" t="s">
        <v>3209</v>
      </c>
    </row>
    <row r="388" spans="1:5" x14ac:dyDescent="0.3">
      <c r="A388" s="4" t="s">
        <v>707</v>
      </c>
      <c r="B388" s="4" t="s">
        <v>2894</v>
      </c>
      <c r="C388" s="4" t="s">
        <v>37</v>
      </c>
      <c r="D388" s="4">
        <v>1</v>
      </c>
      <c r="E388" s="4" t="s">
        <v>3209</v>
      </c>
    </row>
    <row r="389" spans="1:5" x14ac:dyDescent="0.3">
      <c r="A389" s="4" t="s">
        <v>708</v>
      </c>
      <c r="B389" s="4" t="s">
        <v>709</v>
      </c>
      <c r="C389" s="4" t="s">
        <v>37</v>
      </c>
      <c r="D389" s="4">
        <v>1</v>
      </c>
      <c r="E389" s="4" t="s">
        <v>3209</v>
      </c>
    </row>
    <row r="390" spans="1:5" x14ac:dyDescent="0.3">
      <c r="A390" s="4" t="s">
        <v>710</v>
      </c>
      <c r="B390" s="4" t="s">
        <v>2895</v>
      </c>
      <c r="C390" s="4" t="s">
        <v>37</v>
      </c>
      <c r="D390" s="4">
        <v>1</v>
      </c>
      <c r="E390" s="4" t="s">
        <v>3209</v>
      </c>
    </row>
    <row r="391" spans="1:5" x14ac:dyDescent="0.3">
      <c r="A391" s="4" t="s">
        <v>711</v>
      </c>
      <c r="B391" s="4" t="s">
        <v>712</v>
      </c>
      <c r="C391" s="4" t="s">
        <v>37</v>
      </c>
      <c r="D391" s="4">
        <v>1</v>
      </c>
      <c r="E391" s="4" t="s">
        <v>3209</v>
      </c>
    </row>
    <row r="392" spans="1:5" x14ac:dyDescent="0.3">
      <c r="A392" s="4" t="s">
        <v>713</v>
      </c>
      <c r="B392" s="4" t="s">
        <v>2896</v>
      </c>
      <c r="C392" s="4" t="s">
        <v>37</v>
      </c>
      <c r="D392" s="4">
        <v>1</v>
      </c>
      <c r="E392" s="4" t="s">
        <v>3209</v>
      </c>
    </row>
    <row r="393" spans="1:5" x14ac:dyDescent="0.3">
      <c r="A393" s="4" t="s">
        <v>714</v>
      </c>
      <c r="B393" s="4" t="s">
        <v>715</v>
      </c>
      <c r="C393" s="4" t="s">
        <v>37</v>
      </c>
      <c r="D393" s="4">
        <v>1</v>
      </c>
      <c r="E393" s="4" t="s">
        <v>3209</v>
      </c>
    </row>
    <row r="394" spans="1:5" x14ac:dyDescent="0.3">
      <c r="A394" s="4" t="s">
        <v>716</v>
      </c>
      <c r="B394" s="4" t="s">
        <v>717</v>
      </c>
      <c r="C394" s="4" t="s">
        <v>37</v>
      </c>
      <c r="D394" s="4">
        <v>1</v>
      </c>
      <c r="E394" s="4" t="s">
        <v>3210</v>
      </c>
    </row>
    <row r="395" spans="1:5" x14ac:dyDescent="0.3">
      <c r="A395" s="4" t="s">
        <v>718</v>
      </c>
      <c r="B395" s="4" t="s">
        <v>719</v>
      </c>
      <c r="C395" s="4" t="s">
        <v>37</v>
      </c>
      <c r="D395" s="4">
        <v>1</v>
      </c>
      <c r="E395" s="4" t="s">
        <v>3209</v>
      </c>
    </row>
    <row r="396" spans="1:5" x14ac:dyDescent="0.3">
      <c r="A396" s="4" t="s">
        <v>720</v>
      </c>
      <c r="B396" s="4" t="s">
        <v>721</v>
      </c>
      <c r="C396" s="4" t="s">
        <v>37</v>
      </c>
      <c r="D396" s="4">
        <v>1</v>
      </c>
      <c r="E396" s="4" t="s">
        <v>3209</v>
      </c>
    </row>
    <row r="397" spans="1:5" x14ac:dyDescent="0.3">
      <c r="A397" s="4" t="s">
        <v>722</v>
      </c>
      <c r="B397" s="4" t="s">
        <v>723</v>
      </c>
      <c r="C397" s="4" t="s">
        <v>37</v>
      </c>
      <c r="D397" s="4">
        <v>1</v>
      </c>
      <c r="E397" s="4" t="s">
        <v>3209</v>
      </c>
    </row>
    <row r="398" spans="1:5" x14ac:dyDescent="0.3">
      <c r="A398" s="4" t="s">
        <v>724</v>
      </c>
      <c r="B398" s="4" t="s">
        <v>725</v>
      </c>
      <c r="C398" s="4" t="s">
        <v>37</v>
      </c>
      <c r="D398" s="4">
        <v>1</v>
      </c>
      <c r="E398" s="4" t="s">
        <v>3209</v>
      </c>
    </row>
    <row r="399" spans="1:5" x14ac:dyDescent="0.3">
      <c r="A399" s="4" t="s">
        <v>726</v>
      </c>
      <c r="B399" s="4" t="s">
        <v>2897</v>
      </c>
      <c r="C399" s="4" t="s">
        <v>37</v>
      </c>
      <c r="D399" s="4">
        <v>1</v>
      </c>
      <c r="E399" s="4" t="s">
        <v>3210</v>
      </c>
    </row>
    <row r="400" spans="1:5" x14ac:dyDescent="0.3">
      <c r="A400" s="4" t="s">
        <v>727</v>
      </c>
      <c r="B400" s="4" t="s">
        <v>2898</v>
      </c>
      <c r="C400" s="4" t="s">
        <v>50</v>
      </c>
      <c r="D400" s="4">
        <v>1</v>
      </c>
      <c r="E400" s="4" t="s">
        <v>3210</v>
      </c>
    </row>
    <row r="401" spans="1:5" x14ac:dyDescent="0.3">
      <c r="A401" s="4" t="s">
        <v>728</v>
      </c>
      <c r="B401" s="4" t="s">
        <v>729</v>
      </c>
      <c r="C401" s="4" t="s">
        <v>37</v>
      </c>
      <c r="D401" s="4">
        <v>1</v>
      </c>
      <c r="E401" s="4" t="s">
        <v>3209</v>
      </c>
    </row>
    <row r="402" spans="1:5" x14ac:dyDescent="0.3">
      <c r="A402" s="4" t="s">
        <v>730</v>
      </c>
      <c r="B402" s="4" t="s">
        <v>2899</v>
      </c>
      <c r="C402" s="4" t="s">
        <v>43</v>
      </c>
      <c r="D402" s="4">
        <v>1</v>
      </c>
      <c r="E402" s="4" t="s">
        <v>3209</v>
      </c>
    </row>
    <row r="403" spans="1:5" x14ac:dyDescent="0.3">
      <c r="A403" s="4" t="s">
        <v>731</v>
      </c>
      <c r="B403" s="4" t="s">
        <v>732</v>
      </c>
      <c r="C403" s="4" t="s">
        <v>37</v>
      </c>
      <c r="D403" s="4">
        <v>1</v>
      </c>
      <c r="E403" s="4" t="s">
        <v>3209</v>
      </c>
    </row>
    <row r="404" spans="1:5" x14ac:dyDescent="0.3">
      <c r="A404" s="4" t="s">
        <v>733</v>
      </c>
      <c r="B404" s="4" t="s">
        <v>734</v>
      </c>
      <c r="C404" s="4" t="s">
        <v>37</v>
      </c>
      <c r="D404" s="4">
        <v>1</v>
      </c>
      <c r="E404" s="4" t="s">
        <v>3209</v>
      </c>
    </row>
    <row r="405" spans="1:5" x14ac:dyDescent="0.3">
      <c r="A405" s="4" t="s">
        <v>735</v>
      </c>
      <c r="B405" s="4" t="s">
        <v>736</v>
      </c>
      <c r="C405" s="4" t="s">
        <v>37</v>
      </c>
      <c r="D405" s="4">
        <v>1</v>
      </c>
      <c r="E405" s="4" t="s">
        <v>3210</v>
      </c>
    </row>
    <row r="406" spans="1:5" x14ac:dyDescent="0.3">
      <c r="A406" s="4" t="s">
        <v>737</v>
      </c>
      <c r="B406" s="4" t="s">
        <v>2900</v>
      </c>
      <c r="C406" s="4" t="s">
        <v>50</v>
      </c>
      <c r="D406" s="4">
        <v>1</v>
      </c>
      <c r="E406" s="4" t="s">
        <v>3210</v>
      </c>
    </row>
    <row r="407" spans="1:5" x14ac:dyDescent="0.3">
      <c r="A407" s="4" t="s">
        <v>738</v>
      </c>
      <c r="B407" s="4" t="s">
        <v>2901</v>
      </c>
      <c r="C407" s="4" t="s">
        <v>37</v>
      </c>
      <c r="D407" s="4">
        <v>1</v>
      </c>
      <c r="E407" s="4" t="s">
        <v>3209</v>
      </c>
    </row>
    <row r="408" spans="1:5" x14ac:dyDescent="0.3">
      <c r="A408" s="4" t="s">
        <v>739</v>
      </c>
      <c r="B408" s="4" t="s">
        <v>740</v>
      </c>
      <c r="C408" s="4" t="s">
        <v>37</v>
      </c>
      <c r="D408" s="4">
        <v>1</v>
      </c>
      <c r="E408" s="4" t="s">
        <v>3210</v>
      </c>
    </row>
    <row r="409" spans="1:5" x14ac:dyDescent="0.3">
      <c r="A409" s="4" t="s">
        <v>741</v>
      </c>
      <c r="B409" s="4" t="s">
        <v>742</v>
      </c>
      <c r="C409" s="4" t="s">
        <v>152</v>
      </c>
      <c r="D409" s="4">
        <v>3</v>
      </c>
      <c r="E409" s="4" t="s">
        <v>3210</v>
      </c>
    </row>
    <row r="410" spans="1:5" x14ac:dyDescent="0.3">
      <c r="A410" s="4" t="s">
        <v>743</v>
      </c>
      <c r="B410" s="4" t="s">
        <v>744</v>
      </c>
      <c r="C410" s="4" t="s">
        <v>37</v>
      </c>
      <c r="D410" s="4">
        <v>1</v>
      </c>
      <c r="E410" s="4" t="s">
        <v>3209</v>
      </c>
    </row>
    <row r="411" spans="1:5" x14ac:dyDescent="0.3">
      <c r="A411" s="4" t="s">
        <v>745</v>
      </c>
      <c r="B411" s="4" t="s">
        <v>746</v>
      </c>
      <c r="C411" s="4" t="s">
        <v>37</v>
      </c>
      <c r="D411" s="4">
        <v>1</v>
      </c>
      <c r="E411" s="4" t="s">
        <v>3209</v>
      </c>
    </row>
    <row r="412" spans="1:5" x14ac:dyDescent="0.3">
      <c r="A412" s="4" t="s">
        <v>747</v>
      </c>
      <c r="B412" s="4" t="s">
        <v>748</v>
      </c>
      <c r="C412" s="4" t="s">
        <v>43</v>
      </c>
      <c r="D412" s="4">
        <v>1</v>
      </c>
      <c r="E412" s="4" t="s">
        <v>3209</v>
      </c>
    </row>
    <row r="413" spans="1:5" x14ac:dyDescent="0.3">
      <c r="A413" s="4" t="s">
        <v>749</v>
      </c>
      <c r="B413" s="4" t="s">
        <v>750</v>
      </c>
      <c r="C413" s="4" t="s">
        <v>37</v>
      </c>
      <c r="D413" s="4">
        <v>1</v>
      </c>
      <c r="E413" s="4" t="s">
        <v>3209</v>
      </c>
    </row>
    <row r="414" spans="1:5" x14ac:dyDescent="0.3">
      <c r="A414" s="4" t="s">
        <v>751</v>
      </c>
      <c r="B414" s="4" t="s">
        <v>752</v>
      </c>
      <c r="C414" s="4" t="s">
        <v>37</v>
      </c>
      <c r="D414" s="4">
        <v>1</v>
      </c>
      <c r="E414" s="4" t="s">
        <v>3209</v>
      </c>
    </row>
    <row r="415" spans="1:5" x14ac:dyDescent="0.3">
      <c r="A415" s="4" t="s">
        <v>753</v>
      </c>
      <c r="B415" s="4" t="s">
        <v>754</v>
      </c>
      <c r="C415" s="4" t="s">
        <v>37</v>
      </c>
      <c r="D415" s="4">
        <v>1</v>
      </c>
      <c r="E415" s="4" t="s">
        <v>3209</v>
      </c>
    </row>
    <row r="416" spans="1:5" x14ac:dyDescent="0.3">
      <c r="A416" s="4" t="s">
        <v>755</v>
      </c>
      <c r="B416" s="4" t="s">
        <v>2902</v>
      </c>
      <c r="C416" s="4" t="s">
        <v>37</v>
      </c>
      <c r="D416" s="4">
        <v>1</v>
      </c>
      <c r="E416" s="4" t="s">
        <v>3209</v>
      </c>
    </row>
    <row r="417" spans="1:5" x14ac:dyDescent="0.3">
      <c r="A417" s="4" t="s">
        <v>756</v>
      </c>
      <c r="B417" s="4" t="s">
        <v>757</v>
      </c>
      <c r="C417" s="4" t="s">
        <v>43</v>
      </c>
      <c r="D417" s="4">
        <v>1</v>
      </c>
      <c r="E417" s="4" t="s">
        <v>3209</v>
      </c>
    </row>
    <row r="418" spans="1:5" x14ac:dyDescent="0.3">
      <c r="A418" s="4" t="s">
        <v>758</v>
      </c>
      <c r="B418" s="4" t="s">
        <v>759</v>
      </c>
      <c r="C418" s="4" t="s">
        <v>37</v>
      </c>
      <c r="D418" s="4">
        <v>1</v>
      </c>
      <c r="E418" s="4" t="s">
        <v>3209</v>
      </c>
    </row>
    <row r="419" spans="1:5" x14ac:dyDescent="0.3">
      <c r="A419" s="4" t="s">
        <v>760</v>
      </c>
      <c r="B419" s="4" t="s">
        <v>2903</v>
      </c>
      <c r="C419" s="4" t="s">
        <v>37</v>
      </c>
      <c r="D419" s="4">
        <v>1</v>
      </c>
      <c r="E419" s="4" t="s">
        <v>3209</v>
      </c>
    </row>
    <row r="420" spans="1:5" x14ac:dyDescent="0.3">
      <c r="A420" s="4" t="s">
        <v>761</v>
      </c>
      <c r="B420" s="4" t="s">
        <v>762</v>
      </c>
      <c r="C420" s="4" t="s">
        <v>37</v>
      </c>
      <c r="D420" s="4">
        <v>1</v>
      </c>
      <c r="E420" s="4" t="s">
        <v>3209</v>
      </c>
    </row>
    <row r="421" spans="1:5" x14ac:dyDescent="0.3">
      <c r="A421" s="4" t="s">
        <v>763</v>
      </c>
      <c r="B421" s="4" t="s">
        <v>764</v>
      </c>
      <c r="C421" s="4" t="s">
        <v>37</v>
      </c>
      <c r="D421" s="4">
        <v>1</v>
      </c>
      <c r="E421" s="4" t="s">
        <v>3209</v>
      </c>
    </row>
    <row r="422" spans="1:5" x14ac:dyDescent="0.3">
      <c r="A422" s="4" t="s">
        <v>765</v>
      </c>
      <c r="B422" s="4" t="s">
        <v>766</v>
      </c>
      <c r="C422" s="4" t="s">
        <v>37</v>
      </c>
      <c r="D422" s="4">
        <v>1</v>
      </c>
      <c r="E422" s="4" t="s">
        <v>3210</v>
      </c>
    </row>
    <row r="423" spans="1:5" x14ac:dyDescent="0.3">
      <c r="A423" s="4" t="s">
        <v>767</v>
      </c>
      <c r="B423" s="4" t="s">
        <v>768</v>
      </c>
      <c r="C423" s="4" t="s">
        <v>152</v>
      </c>
      <c r="D423" s="4">
        <v>1</v>
      </c>
      <c r="E423" s="4" t="s">
        <v>3210</v>
      </c>
    </row>
    <row r="424" spans="1:5" x14ac:dyDescent="0.3">
      <c r="A424" s="4" t="s">
        <v>769</v>
      </c>
      <c r="B424" s="4" t="s">
        <v>2904</v>
      </c>
      <c r="C424" s="4" t="s">
        <v>50</v>
      </c>
      <c r="D424" s="4">
        <v>1</v>
      </c>
      <c r="E424" s="4" t="s">
        <v>3210</v>
      </c>
    </row>
    <row r="425" spans="1:5" x14ac:dyDescent="0.3">
      <c r="A425" s="4" t="s">
        <v>770</v>
      </c>
      <c r="B425" s="4" t="s">
        <v>183</v>
      </c>
      <c r="C425" s="4" t="s">
        <v>37</v>
      </c>
      <c r="D425" s="4">
        <v>1</v>
      </c>
      <c r="E425" s="4" t="s">
        <v>3209</v>
      </c>
    </row>
    <row r="426" spans="1:5" x14ac:dyDescent="0.3">
      <c r="A426" s="4" t="s">
        <v>771</v>
      </c>
      <c r="B426" s="4" t="s">
        <v>2905</v>
      </c>
      <c r="C426" s="4" t="s">
        <v>37</v>
      </c>
      <c r="D426" s="4">
        <v>1</v>
      </c>
      <c r="E426" s="4" t="s">
        <v>3209</v>
      </c>
    </row>
    <row r="427" spans="1:5" x14ac:dyDescent="0.3">
      <c r="A427" s="4" t="s">
        <v>772</v>
      </c>
      <c r="B427" s="4" t="s">
        <v>773</v>
      </c>
      <c r="C427" s="4" t="s">
        <v>37</v>
      </c>
      <c r="D427" s="4">
        <v>1</v>
      </c>
      <c r="E427" s="4" t="s">
        <v>3210</v>
      </c>
    </row>
    <row r="428" spans="1:5" x14ac:dyDescent="0.3">
      <c r="A428" s="4" t="s">
        <v>774</v>
      </c>
      <c r="B428" s="4" t="s">
        <v>2906</v>
      </c>
      <c r="C428" s="4" t="s">
        <v>50</v>
      </c>
      <c r="D428" s="4">
        <v>1</v>
      </c>
      <c r="E428" s="4" t="s">
        <v>3210</v>
      </c>
    </row>
    <row r="429" spans="1:5" x14ac:dyDescent="0.3">
      <c r="A429" s="4" t="s">
        <v>775</v>
      </c>
      <c r="B429" s="4" t="s">
        <v>776</v>
      </c>
      <c r="C429" s="4" t="s">
        <v>37</v>
      </c>
      <c r="D429" s="4">
        <v>1</v>
      </c>
      <c r="E429" s="4" t="s">
        <v>3209</v>
      </c>
    </row>
    <row r="430" spans="1:5" x14ac:dyDescent="0.3">
      <c r="A430" s="4" t="s">
        <v>777</v>
      </c>
      <c r="B430" s="4" t="s">
        <v>778</v>
      </c>
      <c r="C430" s="4" t="s">
        <v>37</v>
      </c>
      <c r="D430" s="4">
        <v>1</v>
      </c>
      <c r="E430" s="4" t="s">
        <v>3209</v>
      </c>
    </row>
    <row r="431" spans="1:5" x14ac:dyDescent="0.3">
      <c r="A431" s="4" t="s">
        <v>779</v>
      </c>
      <c r="B431" s="4" t="s">
        <v>780</v>
      </c>
      <c r="C431" s="4" t="s">
        <v>37</v>
      </c>
      <c r="D431" s="4">
        <v>1</v>
      </c>
      <c r="E431" s="4" t="s">
        <v>3209</v>
      </c>
    </row>
    <row r="432" spans="1:5" x14ac:dyDescent="0.3">
      <c r="A432" s="4" t="s">
        <v>781</v>
      </c>
      <c r="B432" s="4" t="s">
        <v>782</v>
      </c>
      <c r="C432" s="4" t="s">
        <v>37</v>
      </c>
      <c r="D432" s="4">
        <v>1</v>
      </c>
      <c r="E432" s="4" t="s">
        <v>3209</v>
      </c>
    </row>
    <row r="433" spans="1:5" x14ac:dyDescent="0.3">
      <c r="A433" s="4" t="s">
        <v>783</v>
      </c>
      <c r="B433" s="4" t="s">
        <v>2907</v>
      </c>
      <c r="C433" s="4" t="s">
        <v>37</v>
      </c>
      <c r="D433" s="4">
        <v>1</v>
      </c>
      <c r="E433" s="4" t="s">
        <v>3209</v>
      </c>
    </row>
    <row r="434" spans="1:5" x14ac:dyDescent="0.3">
      <c r="A434" s="4" t="s">
        <v>784</v>
      </c>
      <c r="B434" s="4" t="s">
        <v>785</v>
      </c>
      <c r="C434" s="4" t="s">
        <v>43</v>
      </c>
      <c r="D434" s="4">
        <v>1</v>
      </c>
      <c r="E434" s="4" t="s">
        <v>3209</v>
      </c>
    </row>
    <row r="435" spans="1:5" x14ac:dyDescent="0.3">
      <c r="A435" s="4" t="s">
        <v>786</v>
      </c>
      <c r="B435" s="4" t="s">
        <v>787</v>
      </c>
      <c r="C435" s="4" t="s">
        <v>37</v>
      </c>
      <c r="D435" s="4">
        <v>1</v>
      </c>
      <c r="E435" s="4" t="s">
        <v>3209</v>
      </c>
    </row>
    <row r="436" spans="1:5" x14ac:dyDescent="0.3">
      <c r="A436" s="4" t="s">
        <v>788</v>
      </c>
      <c r="B436" s="4" t="s">
        <v>789</v>
      </c>
      <c r="C436" s="4" t="s">
        <v>37</v>
      </c>
      <c r="D436" s="4">
        <v>1</v>
      </c>
      <c r="E436" s="4" t="s">
        <v>3210</v>
      </c>
    </row>
    <row r="437" spans="1:5" x14ac:dyDescent="0.3">
      <c r="A437" s="4" t="s">
        <v>790</v>
      </c>
      <c r="B437" s="4" t="s">
        <v>2908</v>
      </c>
      <c r="C437" s="4" t="s">
        <v>50</v>
      </c>
      <c r="D437" s="4">
        <v>1</v>
      </c>
      <c r="E437" s="4" t="s">
        <v>3210</v>
      </c>
    </row>
    <row r="438" spans="1:5" x14ac:dyDescent="0.3">
      <c r="A438" s="4" t="s">
        <v>791</v>
      </c>
      <c r="B438" s="4" t="s">
        <v>792</v>
      </c>
      <c r="C438" s="4" t="s">
        <v>37</v>
      </c>
      <c r="D438" s="4">
        <v>1</v>
      </c>
      <c r="E438" s="4" t="s">
        <v>3209</v>
      </c>
    </row>
    <row r="439" spans="1:5" x14ac:dyDescent="0.3">
      <c r="A439" s="4" t="s">
        <v>793</v>
      </c>
      <c r="B439" s="4" t="s">
        <v>183</v>
      </c>
      <c r="C439" s="4" t="s">
        <v>37</v>
      </c>
      <c r="D439" s="4">
        <v>1</v>
      </c>
      <c r="E439" s="4" t="s">
        <v>3209</v>
      </c>
    </row>
    <row r="440" spans="1:5" x14ac:dyDescent="0.3">
      <c r="A440" s="4" t="s">
        <v>794</v>
      </c>
      <c r="B440" s="4" t="s">
        <v>2909</v>
      </c>
      <c r="C440" s="4" t="s">
        <v>37</v>
      </c>
      <c r="D440" s="4">
        <v>1</v>
      </c>
      <c r="E440" s="4" t="s">
        <v>3209</v>
      </c>
    </row>
    <row r="441" spans="1:5" x14ac:dyDescent="0.3">
      <c r="A441" s="4" t="s">
        <v>795</v>
      </c>
      <c r="B441" s="4" t="s">
        <v>183</v>
      </c>
      <c r="C441" s="4" t="s">
        <v>37</v>
      </c>
      <c r="D441" s="4">
        <v>1</v>
      </c>
      <c r="E441" s="4" t="s">
        <v>3209</v>
      </c>
    </row>
    <row r="442" spans="1:5" x14ac:dyDescent="0.3">
      <c r="A442" s="4" t="s">
        <v>796</v>
      </c>
      <c r="B442" s="4" t="s">
        <v>797</v>
      </c>
      <c r="C442" s="4" t="s">
        <v>37</v>
      </c>
      <c r="D442" s="4">
        <v>1</v>
      </c>
      <c r="E442" s="4" t="s">
        <v>3209</v>
      </c>
    </row>
    <row r="443" spans="1:5" x14ac:dyDescent="0.3">
      <c r="A443" s="4" t="s">
        <v>798</v>
      </c>
      <c r="B443" s="4" t="s">
        <v>799</v>
      </c>
      <c r="C443" s="4" t="s">
        <v>37</v>
      </c>
      <c r="D443" s="4">
        <v>1</v>
      </c>
      <c r="E443" s="4" t="s">
        <v>3209</v>
      </c>
    </row>
    <row r="444" spans="1:5" x14ac:dyDescent="0.3">
      <c r="A444" s="4" t="s">
        <v>800</v>
      </c>
      <c r="B444" s="4" t="s">
        <v>801</v>
      </c>
      <c r="C444" s="4" t="s">
        <v>37</v>
      </c>
      <c r="D444" s="4">
        <v>1</v>
      </c>
      <c r="E444" s="4" t="s">
        <v>3209</v>
      </c>
    </row>
    <row r="445" spans="1:5" x14ac:dyDescent="0.3">
      <c r="A445" s="4" t="s">
        <v>802</v>
      </c>
      <c r="B445" s="4" t="s">
        <v>803</v>
      </c>
      <c r="C445" s="4" t="s">
        <v>43</v>
      </c>
      <c r="D445" s="4">
        <v>1</v>
      </c>
      <c r="E445" s="4" t="s">
        <v>3209</v>
      </c>
    </row>
    <row r="446" spans="1:5" x14ac:dyDescent="0.3">
      <c r="A446" s="4" t="s">
        <v>804</v>
      </c>
      <c r="B446" s="4" t="s">
        <v>2910</v>
      </c>
      <c r="C446" s="4" t="s">
        <v>2911</v>
      </c>
      <c r="D446" s="4">
        <v>1</v>
      </c>
      <c r="E446" s="4" t="s">
        <v>3209</v>
      </c>
    </row>
    <row r="447" spans="1:5" x14ac:dyDescent="0.3">
      <c r="A447" s="4" t="s">
        <v>805</v>
      </c>
      <c r="B447" s="4" t="s">
        <v>806</v>
      </c>
      <c r="C447" s="4" t="s">
        <v>361</v>
      </c>
      <c r="D447" s="4">
        <v>1</v>
      </c>
      <c r="E447" s="4" t="s">
        <v>3209</v>
      </c>
    </row>
  </sheetData>
  <autoFilter ref="A1:E447" xr:uid="{00000000-0001-0000-0000-000000000000}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1:E165"/>
  <sheetViews>
    <sheetView topLeftCell="A2" zoomScale="110" zoomScaleNormal="110" workbookViewId="0">
      <selection activeCell="G8" sqref="G8"/>
    </sheetView>
  </sheetViews>
  <sheetFormatPr defaultColWidth="8.77734375" defaultRowHeight="14.4" x14ac:dyDescent="0.3"/>
  <cols>
    <col min="1" max="1" width="20.109375" bestFit="1" customWidth="1"/>
    <col min="2" max="2" width="12.77734375" bestFit="1" customWidth="1"/>
    <col min="3" max="1024" width="8.44140625" customWidth="1"/>
  </cols>
  <sheetData>
    <row r="1" spans="1:5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t="s">
        <v>3079</v>
      </c>
      <c r="B2" t="s">
        <v>35</v>
      </c>
      <c r="C2">
        <v>51.4</v>
      </c>
      <c r="D2">
        <v>1</v>
      </c>
      <c r="E2" s="6">
        <v>20000</v>
      </c>
    </row>
    <row r="3" spans="1:5" x14ac:dyDescent="0.3">
      <c r="A3" t="s">
        <v>3045</v>
      </c>
      <c r="B3" t="s">
        <v>46</v>
      </c>
      <c r="C3">
        <v>16.2</v>
      </c>
      <c r="D3">
        <v>1</v>
      </c>
      <c r="E3" s="6">
        <v>20000</v>
      </c>
    </row>
    <row r="4" spans="1:5" x14ac:dyDescent="0.3">
      <c r="A4" t="s">
        <v>3080</v>
      </c>
      <c r="B4" t="s">
        <v>53</v>
      </c>
      <c r="C4">
        <v>25.2</v>
      </c>
      <c r="D4">
        <v>1</v>
      </c>
      <c r="E4" s="6">
        <v>20000</v>
      </c>
    </row>
    <row r="5" spans="1:5" x14ac:dyDescent="0.3">
      <c r="A5" t="s">
        <v>3081</v>
      </c>
      <c r="B5" t="s">
        <v>54</v>
      </c>
      <c r="C5">
        <v>4.0999999999999996</v>
      </c>
      <c r="D5">
        <v>1</v>
      </c>
      <c r="E5" s="6">
        <v>20000</v>
      </c>
    </row>
    <row r="6" spans="1:5" x14ac:dyDescent="0.3">
      <c r="A6" t="s">
        <v>3046</v>
      </c>
      <c r="B6" t="s">
        <v>2957</v>
      </c>
      <c r="C6">
        <v>16.5</v>
      </c>
      <c r="D6">
        <v>1</v>
      </c>
      <c r="E6" s="6">
        <v>20000</v>
      </c>
    </row>
    <row r="7" spans="1:5" x14ac:dyDescent="0.3">
      <c r="A7" t="s">
        <v>3082</v>
      </c>
      <c r="B7" t="s">
        <v>57</v>
      </c>
      <c r="C7">
        <v>14</v>
      </c>
      <c r="D7">
        <v>1</v>
      </c>
      <c r="E7" s="6">
        <v>20000</v>
      </c>
    </row>
    <row r="8" spans="1:5" x14ac:dyDescent="0.3">
      <c r="A8" t="s">
        <v>3047</v>
      </c>
      <c r="B8" t="s">
        <v>59</v>
      </c>
      <c r="C8">
        <v>34.200000000000003</v>
      </c>
      <c r="D8">
        <v>1</v>
      </c>
      <c r="E8" s="6">
        <v>20000</v>
      </c>
    </row>
    <row r="9" spans="1:5" x14ac:dyDescent="0.3">
      <c r="A9" t="s">
        <v>3083</v>
      </c>
      <c r="B9" t="s">
        <v>63</v>
      </c>
      <c r="C9">
        <v>13</v>
      </c>
      <c r="D9">
        <v>1</v>
      </c>
      <c r="E9" s="6">
        <v>20000</v>
      </c>
    </row>
    <row r="10" spans="1:5" x14ac:dyDescent="0.3">
      <c r="A10" t="s">
        <v>3084</v>
      </c>
      <c r="B10" t="s">
        <v>65</v>
      </c>
      <c r="C10">
        <v>4.5</v>
      </c>
      <c r="D10">
        <v>1</v>
      </c>
      <c r="E10" s="6">
        <v>20000</v>
      </c>
    </row>
    <row r="11" spans="1:5" x14ac:dyDescent="0.3">
      <c r="A11" t="s">
        <v>3085</v>
      </c>
      <c r="B11" t="s">
        <v>69</v>
      </c>
      <c r="C11">
        <v>33.9</v>
      </c>
      <c r="D11">
        <v>1</v>
      </c>
      <c r="E11" s="6">
        <v>20000</v>
      </c>
    </row>
    <row r="12" spans="1:5" x14ac:dyDescent="0.3">
      <c r="A12" t="s">
        <v>3086</v>
      </c>
      <c r="B12" t="s">
        <v>79</v>
      </c>
      <c r="C12">
        <v>66.8</v>
      </c>
      <c r="D12">
        <v>1</v>
      </c>
      <c r="E12" s="6">
        <v>20000</v>
      </c>
    </row>
    <row r="13" spans="1:5" x14ac:dyDescent="0.3">
      <c r="A13" t="s">
        <v>3087</v>
      </c>
      <c r="B13" t="s">
        <v>83</v>
      </c>
      <c r="C13">
        <v>15.8</v>
      </c>
      <c r="D13">
        <v>1</v>
      </c>
      <c r="E13" s="6">
        <v>20000</v>
      </c>
    </row>
    <row r="14" spans="1:5" x14ac:dyDescent="0.3">
      <c r="A14" t="s">
        <v>3088</v>
      </c>
      <c r="B14" t="s">
        <v>87</v>
      </c>
      <c r="C14">
        <v>13.4</v>
      </c>
      <c r="D14">
        <v>1</v>
      </c>
      <c r="E14" s="6">
        <v>20000</v>
      </c>
    </row>
    <row r="15" spans="1:5" x14ac:dyDescent="0.3">
      <c r="A15" t="s">
        <v>3089</v>
      </c>
      <c r="B15" t="s">
        <v>89</v>
      </c>
      <c r="C15">
        <v>39.700000000000003</v>
      </c>
      <c r="D15">
        <v>1</v>
      </c>
      <c r="E15" s="6">
        <v>20000</v>
      </c>
    </row>
    <row r="16" spans="1:5" x14ac:dyDescent="0.3">
      <c r="A16" t="s">
        <v>3048</v>
      </c>
      <c r="B16" t="s">
        <v>93</v>
      </c>
      <c r="C16">
        <v>29.2</v>
      </c>
      <c r="D16">
        <v>1</v>
      </c>
      <c r="E16" s="6">
        <v>20000</v>
      </c>
    </row>
    <row r="17" spans="1:5" x14ac:dyDescent="0.3">
      <c r="A17" t="s">
        <v>3090</v>
      </c>
      <c r="B17" t="s">
        <v>95</v>
      </c>
      <c r="C17">
        <v>25.7</v>
      </c>
      <c r="D17">
        <v>1</v>
      </c>
      <c r="E17" s="6">
        <v>20000</v>
      </c>
    </row>
    <row r="18" spans="1:5" x14ac:dyDescent="0.3">
      <c r="A18" t="s">
        <v>3091</v>
      </c>
      <c r="B18" t="s">
        <v>101</v>
      </c>
      <c r="C18">
        <v>5.3</v>
      </c>
      <c r="D18">
        <v>1</v>
      </c>
      <c r="E18" s="6">
        <v>20000</v>
      </c>
    </row>
    <row r="19" spans="1:5" x14ac:dyDescent="0.3">
      <c r="A19" t="s">
        <v>3092</v>
      </c>
      <c r="B19" t="s">
        <v>103</v>
      </c>
      <c r="C19">
        <v>12.4</v>
      </c>
      <c r="D19">
        <v>1</v>
      </c>
      <c r="E19" s="6">
        <v>20000</v>
      </c>
    </row>
    <row r="20" spans="1:5" x14ac:dyDescent="0.3">
      <c r="A20" t="s">
        <v>3093</v>
      </c>
      <c r="B20" t="s">
        <v>103</v>
      </c>
      <c r="C20">
        <v>6</v>
      </c>
      <c r="D20">
        <v>1</v>
      </c>
      <c r="E20" s="6">
        <v>20000</v>
      </c>
    </row>
    <row r="21" spans="1:5" x14ac:dyDescent="0.3">
      <c r="A21" t="s">
        <v>3094</v>
      </c>
      <c r="B21" t="s">
        <v>105</v>
      </c>
      <c r="C21">
        <v>12.6</v>
      </c>
      <c r="D21">
        <v>1</v>
      </c>
      <c r="E21" s="6">
        <v>20000</v>
      </c>
    </row>
    <row r="22" spans="1:5" x14ac:dyDescent="0.3">
      <c r="A22" t="s">
        <v>3095</v>
      </c>
      <c r="B22" t="s">
        <v>111</v>
      </c>
      <c r="C22">
        <v>12.6</v>
      </c>
      <c r="D22">
        <v>1</v>
      </c>
      <c r="E22" s="6">
        <v>20000</v>
      </c>
    </row>
    <row r="23" spans="1:5" x14ac:dyDescent="0.3">
      <c r="A23" t="s">
        <v>3208</v>
      </c>
      <c r="B23" t="s">
        <v>111</v>
      </c>
      <c r="C23">
        <v>3.8</v>
      </c>
      <c r="D23">
        <v>1</v>
      </c>
      <c r="E23" s="6">
        <v>20000</v>
      </c>
    </row>
    <row r="24" spans="1:5" x14ac:dyDescent="0.3">
      <c r="A24" t="s">
        <v>3096</v>
      </c>
      <c r="B24" t="s">
        <v>113</v>
      </c>
      <c r="C24">
        <v>4.9000000000000004</v>
      </c>
      <c r="D24">
        <v>1</v>
      </c>
      <c r="E24" s="6">
        <v>20000</v>
      </c>
    </row>
    <row r="25" spans="1:5" x14ac:dyDescent="0.3">
      <c r="A25" t="s">
        <v>3097</v>
      </c>
      <c r="B25" t="s">
        <v>122</v>
      </c>
      <c r="C25">
        <v>108.3</v>
      </c>
      <c r="D25">
        <v>1</v>
      </c>
      <c r="E25" s="6">
        <v>20000</v>
      </c>
    </row>
    <row r="26" spans="1:5" x14ac:dyDescent="0.3">
      <c r="A26" t="s">
        <v>3098</v>
      </c>
      <c r="B26" t="s">
        <v>126</v>
      </c>
      <c r="C26">
        <v>11.5</v>
      </c>
      <c r="D26">
        <v>1</v>
      </c>
      <c r="E26" s="6">
        <v>20000</v>
      </c>
    </row>
    <row r="27" spans="1:5" x14ac:dyDescent="0.3">
      <c r="A27" t="s">
        <v>3099</v>
      </c>
      <c r="B27" t="s">
        <v>128</v>
      </c>
      <c r="C27">
        <v>22.7</v>
      </c>
      <c r="D27">
        <v>1</v>
      </c>
      <c r="E27" s="6">
        <v>20000</v>
      </c>
    </row>
    <row r="28" spans="1:5" x14ac:dyDescent="0.3">
      <c r="A28" t="s">
        <v>3049</v>
      </c>
      <c r="B28" t="s">
        <v>132</v>
      </c>
      <c r="C28">
        <v>47.7</v>
      </c>
      <c r="D28">
        <v>1</v>
      </c>
      <c r="E28" s="6">
        <v>20000</v>
      </c>
    </row>
    <row r="29" spans="1:5" x14ac:dyDescent="0.3">
      <c r="A29" t="s">
        <v>3050</v>
      </c>
      <c r="B29" t="s">
        <v>136</v>
      </c>
      <c r="C29">
        <v>46.3</v>
      </c>
      <c r="D29">
        <v>1</v>
      </c>
      <c r="E29" s="6">
        <v>20000</v>
      </c>
    </row>
    <row r="30" spans="1:5" x14ac:dyDescent="0.3">
      <c r="A30" t="s">
        <v>3051</v>
      </c>
      <c r="B30" t="s">
        <v>140</v>
      </c>
      <c r="C30">
        <v>38.6</v>
      </c>
      <c r="D30">
        <v>1</v>
      </c>
      <c r="E30" s="6">
        <v>20000</v>
      </c>
    </row>
    <row r="31" spans="1:5" x14ac:dyDescent="0.3">
      <c r="A31" t="s">
        <v>3100</v>
      </c>
      <c r="B31" t="s">
        <v>144</v>
      </c>
      <c r="C31">
        <v>7</v>
      </c>
      <c r="D31">
        <v>1</v>
      </c>
      <c r="E31" s="6">
        <v>20000</v>
      </c>
    </row>
    <row r="32" spans="1:5" x14ac:dyDescent="0.3">
      <c r="A32" t="s">
        <v>3101</v>
      </c>
      <c r="B32" t="s">
        <v>153</v>
      </c>
      <c r="C32">
        <v>4</v>
      </c>
      <c r="D32">
        <v>1</v>
      </c>
      <c r="E32" s="6">
        <v>20000</v>
      </c>
    </row>
    <row r="33" spans="1:5" x14ac:dyDescent="0.3">
      <c r="A33" t="s">
        <v>3102</v>
      </c>
      <c r="B33" t="s">
        <v>158</v>
      </c>
      <c r="C33">
        <v>28.7</v>
      </c>
      <c r="D33">
        <v>1</v>
      </c>
      <c r="E33" s="6">
        <v>20000</v>
      </c>
    </row>
    <row r="34" spans="1:5" x14ac:dyDescent="0.3">
      <c r="A34" t="s">
        <v>3103</v>
      </c>
      <c r="B34" t="s">
        <v>164</v>
      </c>
      <c r="C34">
        <v>33.9</v>
      </c>
      <c r="D34">
        <v>1</v>
      </c>
      <c r="E34" s="6">
        <v>20000</v>
      </c>
    </row>
    <row r="35" spans="1:5" x14ac:dyDescent="0.3">
      <c r="A35" t="s">
        <v>3104</v>
      </c>
      <c r="B35" t="s">
        <v>185</v>
      </c>
      <c r="C35">
        <v>22.2</v>
      </c>
      <c r="D35">
        <v>1</v>
      </c>
      <c r="E35" s="6">
        <v>20000</v>
      </c>
    </row>
    <row r="36" spans="1:5" x14ac:dyDescent="0.3">
      <c r="A36" t="s">
        <v>3052</v>
      </c>
      <c r="B36" t="s">
        <v>187</v>
      </c>
      <c r="C36">
        <v>26.7</v>
      </c>
      <c r="D36">
        <v>1</v>
      </c>
      <c r="E36" s="6">
        <v>20000</v>
      </c>
    </row>
    <row r="37" spans="1:5" x14ac:dyDescent="0.3">
      <c r="A37" t="s">
        <v>3105</v>
      </c>
      <c r="B37" t="s">
        <v>195</v>
      </c>
      <c r="C37">
        <v>15.1</v>
      </c>
      <c r="D37">
        <v>1</v>
      </c>
      <c r="E37" s="6">
        <v>20000</v>
      </c>
    </row>
    <row r="38" spans="1:5" x14ac:dyDescent="0.3">
      <c r="A38" t="s">
        <v>3106</v>
      </c>
      <c r="B38" t="s">
        <v>199</v>
      </c>
      <c r="C38">
        <v>27.9</v>
      </c>
      <c r="D38">
        <v>1</v>
      </c>
      <c r="E38" s="6">
        <v>20000</v>
      </c>
    </row>
    <row r="39" spans="1:5" x14ac:dyDescent="0.3">
      <c r="A39" t="s">
        <v>3053</v>
      </c>
      <c r="B39" t="s">
        <v>219</v>
      </c>
      <c r="C39">
        <v>41.5</v>
      </c>
      <c r="D39">
        <v>1</v>
      </c>
      <c r="E39" s="6">
        <v>20000</v>
      </c>
    </row>
    <row r="40" spans="1:5" x14ac:dyDescent="0.3">
      <c r="A40" t="s">
        <v>3107</v>
      </c>
      <c r="B40" t="s">
        <v>223</v>
      </c>
      <c r="C40">
        <v>17.399999999999999</v>
      </c>
      <c r="D40">
        <v>1</v>
      </c>
      <c r="E40" s="6">
        <v>20000</v>
      </c>
    </row>
    <row r="41" spans="1:5" x14ac:dyDescent="0.3">
      <c r="A41" t="s">
        <v>3108</v>
      </c>
      <c r="B41" t="s">
        <v>225</v>
      </c>
      <c r="C41">
        <v>50.8</v>
      </c>
      <c r="D41">
        <v>1</v>
      </c>
      <c r="E41" s="6">
        <v>20000</v>
      </c>
    </row>
    <row r="42" spans="1:5" x14ac:dyDescent="0.3">
      <c r="A42" t="s">
        <v>3109</v>
      </c>
      <c r="B42" t="s">
        <v>229</v>
      </c>
      <c r="C42">
        <v>16.899999999999999</v>
      </c>
      <c r="D42">
        <v>1</v>
      </c>
      <c r="E42" s="6">
        <v>20000</v>
      </c>
    </row>
    <row r="43" spans="1:5" x14ac:dyDescent="0.3">
      <c r="A43" t="s">
        <v>3110</v>
      </c>
      <c r="B43" t="s">
        <v>236</v>
      </c>
      <c r="C43">
        <v>289.39999999999998</v>
      </c>
      <c r="D43">
        <v>1</v>
      </c>
      <c r="E43" s="6">
        <v>20000</v>
      </c>
    </row>
    <row r="44" spans="1:5" x14ac:dyDescent="0.3">
      <c r="A44" t="s">
        <v>3111</v>
      </c>
      <c r="B44" t="s">
        <v>248</v>
      </c>
      <c r="C44">
        <v>135.4</v>
      </c>
      <c r="D44">
        <v>1</v>
      </c>
      <c r="E44" s="6">
        <v>20000</v>
      </c>
    </row>
    <row r="45" spans="1:5" x14ac:dyDescent="0.3">
      <c r="A45" t="s">
        <v>3112</v>
      </c>
      <c r="B45" t="s">
        <v>250</v>
      </c>
      <c r="C45">
        <v>73.2</v>
      </c>
      <c r="D45">
        <v>1</v>
      </c>
      <c r="E45" s="6">
        <v>20000</v>
      </c>
    </row>
    <row r="46" spans="1:5" x14ac:dyDescent="0.3">
      <c r="A46" t="s">
        <v>3113</v>
      </c>
      <c r="B46" t="s">
        <v>254</v>
      </c>
      <c r="C46">
        <v>22.3</v>
      </c>
      <c r="D46">
        <v>1</v>
      </c>
      <c r="E46" s="6">
        <v>20000</v>
      </c>
    </row>
    <row r="47" spans="1:5" x14ac:dyDescent="0.3">
      <c r="A47" t="s">
        <v>3114</v>
      </c>
      <c r="B47" t="s">
        <v>258</v>
      </c>
      <c r="C47">
        <v>14.3</v>
      </c>
      <c r="D47">
        <v>1</v>
      </c>
      <c r="E47" s="6">
        <v>20000</v>
      </c>
    </row>
    <row r="48" spans="1:5" x14ac:dyDescent="0.3">
      <c r="A48" t="s">
        <v>3115</v>
      </c>
      <c r="B48" t="s">
        <v>259</v>
      </c>
      <c r="C48">
        <v>58.2</v>
      </c>
      <c r="D48">
        <v>1</v>
      </c>
      <c r="E48" s="6">
        <v>20000</v>
      </c>
    </row>
    <row r="49" spans="1:5" x14ac:dyDescent="0.3">
      <c r="A49" t="s">
        <v>3116</v>
      </c>
      <c r="B49" t="s">
        <v>263</v>
      </c>
      <c r="C49">
        <v>27.9</v>
      </c>
      <c r="D49">
        <v>1</v>
      </c>
      <c r="E49" s="6">
        <v>20000</v>
      </c>
    </row>
    <row r="50" spans="1:5" x14ac:dyDescent="0.3">
      <c r="A50" t="s">
        <v>3054</v>
      </c>
      <c r="B50" t="s">
        <v>267</v>
      </c>
      <c r="C50">
        <v>33</v>
      </c>
      <c r="D50">
        <v>1</v>
      </c>
      <c r="E50" s="6">
        <v>20000</v>
      </c>
    </row>
    <row r="51" spans="1:5" x14ac:dyDescent="0.3">
      <c r="A51" t="s">
        <v>3117</v>
      </c>
      <c r="B51" t="s">
        <v>272</v>
      </c>
      <c r="C51">
        <v>24.2</v>
      </c>
      <c r="D51">
        <v>1</v>
      </c>
      <c r="E51" s="6">
        <v>20000</v>
      </c>
    </row>
    <row r="52" spans="1:5" x14ac:dyDescent="0.3">
      <c r="A52" t="s">
        <v>3118</v>
      </c>
      <c r="B52" t="s">
        <v>274</v>
      </c>
      <c r="C52">
        <v>14.1</v>
      </c>
      <c r="D52">
        <v>1</v>
      </c>
      <c r="E52" s="6">
        <v>20000</v>
      </c>
    </row>
    <row r="53" spans="1:5" x14ac:dyDescent="0.3">
      <c r="A53" t="s">
        <v>3055</v>
      </c>
      <c r="B53" t="s">
        <v>278</v>
      </c>
      <c r="C53">
        <v>28.2</v>
      </c>
      <c r="D53">
        <v>1</v>
      </c>
      <c r="E53" s="6">
        <v>20000</v>
      </c>
    </row>
    <row r="54" spans="1:5" x14ac:dyDescent="0.3">
      <c r="A54" t="s">
        <v>3119</v>
      </c>
      <c r="B54" t="s">
        <v>283</v>
      </c>
      <c r="C54">
        <v>26.5</v>
      </c>
      <c r="D54">
        <v>1</v>
      </c>
      <c r="E54" s="6">
        <v>20000</v>
      </c>
    </row>
    <row r="55" spans="1:5" x14ac:dyDescent="0.3">
      <c r="A55" t="s">
        <v>3056</v>
      </c>
      <c r="B55" t="s">
        <v>285</v>
      </c>
      <c r="C55">
        <v>43.2</v>
      </c>
      <c r="D55">
        <v>1</v>
      </c>
      <c r="E55" s="6">
        <v>20000</v>
      </c>
    </row>
    <row r="56" spans="1:5" x14ac:dyDescent="0.3">
      <c r="A56" t="s">
        <v>3057</v>
      </c>
      <c r="B56" t="s">
        <v>288</v>
      </c>
      <c r="C56">
        <v>39.1</v>
      </c>
      <c r="D56">
        <v>1</v>
      </c>
      <c r="E56" s="6">
        <v>20000</v>
      </c>
    </row>
    <row r="57" spans="1:5" x14ac:dyDescent="0.3">
      <c r="A57" t="s">
        <v>3120</v>
      </c>
      <c r="B57" t="s">
        <v>293</v>
      </c>
      <c r="C57">
        <v>8.9</v>
      </c>
      <c r="D57">
        <v>1</v>
      </c>
      <c r="E57" s="6">
        <v>20000</v>
      </c>
    </row>
    <row r="58" spans="1:5" x14ac:dyDescent="0.3">
      <c r="A58" t="s">
        <v>3121</v>
      </c>
      <c r="B58" t="s">
        <v>316</v>
      </c>
      <c r="C58">
        <v>27.3</v>
      </c>
      <c r="D58">
        <v>1</v>
      </c>
      <c r="E58" s="6">
        <v>20000</v>
      </c>
    </row>
    <row r="59" spans="1:5" x14ac:dyDescent="0.3">
      <c r="A59" t="s">
        <v>3122</v>
      </c>
      <c r="B59" t="s">
        <v>318</v>
      </c>
      <c r="C59">
        <v>15.6</v>
      </c>
      <c r="D59">
        <v>1</v>
      </c>
      <c r="E59" s="6">
        <v>20000</v>
      </c>
    </row>
    <row r="60" spans="1:5" x14ac:dyDescent="0.3">
      <c r="A60" t="s">
        <v>3123</v>
      </c>
      <c r="B60" t="s">
        <v>322</v>
      </c>
      <c r="C60">
        <v>55.4</v>
      </c>
      <c r="D60">
        <v>1</v>
      </c>
      <c r="E60" s="6">
        <v>20000</v>
      </c>
    </row>
    <row r="61" spans="1:5" x14ac:dyDescent="0.3">
      <c r="A61" t="s">
        <v>3124</v>
      </c>
      <c r="B61" t="s">
        <v>329</v>
      </c>
      <c r="C61">
        <v>9</v>
      </c>
      <c r="D61">
        <v>1</v>
      </c>
      <c r="E61" s="6">
        <v>20000</v>
      </c>
    </row>
    <row r="62" spans="1:5" x14ac:dyDescent="0.3">
      <c r="A62" t="s">
        <v>3125</v>
      </c>
      <c r="B62" t="s">
        <v>332</v>
      </c>
      <c r="C62">
        <v>41.1</v>
      </c>
      <c r="D62">
        <v>1</v>
      </c>
      <c r="E62" s="6">
        <v>20000</v>
      </c>
    </row>
    <row r="63" spans="1:5" x14ac:dyDescent="0.3">
      <c r="A63" t="s">
        <v>3126</v>
      </c>
      <c r="B63" t="s">
        <v>335</v>
      </c>
      <c r="C63">
        <v>23.8</v>
      </c>
      <c r="D63">
        <v>1</v>
      </c>
      <c r="E63" s="6">
        <v>20000</v>
      </c>
    </row>
    <row r="64" spans="1:5" x14ac:dyDescent="0.3">
      <c r="A64" t="s">
        <v>3127</v>
      </c>
      <c r="B64" t="s">
        <v>337</v>
      </c>
      <c r="C64">
        <v>29</v>
      </c>
      <c r="D64">
        <v>1</v>
      </c>
      <c r="E64" s="6">
        <v>20000</v>
      </c>
    </row>
    <row r="65" spans="1:5" x14ac:dyDescent="0.3">
      <c r="A65" t="s">
        <v>3058</v>
      </c>
      <c r="B65" t="s">
        <v>339</v>
      </c>
      <c r="C65">
        <v>67.599999999999994</v>
      </c>
      <c r="D65">
        <v>1</v>
      </c>
      <c r="E65" s="6">
        <v>20000</v>
      </c>
    </row>
    <row r="66" spans="1:5" x14ac:dyDescent="0.3">
      <c r="A66" t="s">
        <v>3128</v>
      </c>
      <c r="B66" t="s">
        <v>342</v>
      </c>
      <c r="C66">
        <v>23.1</v>
      </c>
      <c r="D66">
        <v>1</v>
      </c>
      <c r="E66" s="6">
        <v>20000</v>
      </c>
    </row>
    <row r="67" spans="1:5" x14ac:dyDescent="0.3">
      <c r="A67" t="s">
        <v>3129</v>
      </c>
      <c r="B67" t="s">
        <v>350</v>
      </c>
      <c r="C67">
        <v>25.7</v>
      </c>
      <c r="D67">
        <v>1</v>
      </c>
      <c r="E67" s="6">
        <v>20000</v>
      </c>
    </row>
    <row r="68" spans="1:5" x14ac:dyDescent="0.3">
      <c r="A68" t="s">
        <v>3059</v>
      </c>
      <c r="B68" t="s">
        <v>354</v>
      </c>
      <c r="C68">
        <v>68</v>
      </c>
      <c r="D68">
        <v>1</v>
      </c>
      <c r="E68" s="6">
        <v>20000</v>
      </c>
    </row>
    <row r="69" spans="1:5" x14ac:dyDescent="0.3">
      <c r="A69" t="s">
        <v>3130</v>
      </c>
      <c r="B69" t="s">
        <v>355</v>
      </c>
      <c r="C69">
        <v>75.2</v>
      </c>
      <c r="D69">
        <v>1</v>
      </c>
      <c r="E69" s="6">
        <v>20000</v>
      </c>
    </row>
    <row r="70" spans="1:5" x14ac:dyDescent="0.3">
      <c r="A70" t="s">
        <v>3060</v>
      </c>
      <c r="B70" t="s">
        <v>364</v>
      </c>
      <c r="C70">
        <v>72.5</v>
      </c>
      <c r="D70">
        <v>1</v>
      </c>
      <c r="E70" s="6">
        <v>20000</v>
      </c>
    </row>
    <row r="71" spans="1:5" x14ac:dyDescent="0.3">
      <c r="A71" t="s">
        <v>3061</v>
      </c>
      <c r="B71" t="s">
        <v>368</v>
      </c>
      <c r="C71">
        <v>26</v>
      </c>
      <c r="D71">
        <v>1</v>
      </c>
      <c r="E71" s="6">
        <v>20000</v>
      </c>
    </row>
    <row r="72" spans="1:5" x14ac:dyDescent="0.3">
      <c r="A72" t="s">
        <v>3131</v>
      </c>
      <c r="B72" t="s">
        <v>370</v>
      </c>
      <c r="C72">
        <v>51.7</v>
      </c>
      <c r="D72">
        <v>1</v>
      </c>
      <c r="E72" s="6">
        <v>20000</v>
      </c>
    </row>
    <row r="73" spans="1:5" x14ac:dyDescent="0.3">
      <c r="A73" t="s">
        <v>3062</v>
      </c>
      <c r="B73" t="s">
        <v>374</v>
      </c>
      <c r="C73">
        <v>48.5</v>
      </c>
      <c r="D73">
        <v>1</v>
      </c>
      <c r="E73" s="6">
        <v>20000</v>
      </c>
    </row>
    <row r="74" spans="1:5" x14ac:dyDescent="0.3">
      <c r="A74" t="s">
        <v>3132</v>
      </c>
      <c r="B74" t="s">
        <v>377</v>
      </c>
      <c r="C74">
        <v>395.2</v>
      </c>
      <c r="D74">
        <v>1</v>
      </c>
      <c r="E74" s="6">
        <v>20000</v>
      </c>
    </row>
    <row r="75" spans="1:5" x14ac:dyDescent="0.3">
      <c r="A75" t="s">
        <v>3063</v>
      </c>
      <c r="B75" t="s">
        <v>383</v>
      </c>
      <c r="C75">
        <v>26.1</v>
      </c>
      <c r="D75">
        <v>1</v>
      </c>
      <c r="E75" s="6">
        <v>20000</v>
      </c>
    </row>
    <row r="76" spans="1:5" x14ac:dyDescent="0.3">
      <c r="A76" t="s">
        <v>3133</v>
      </c>
      <c r="B76" t="s">
        <v>389</v>
      </c>
      <c r="C76">
        <v>11.7</v>
      </c>
      <c r="D76">
        <v>1</v>
      </c>
      <c r="E76" s="6">
        <v>20000</v>
      </c>
    </row>
    <row r="77" spans="1:5" x14ac:dyDescent="0.3">
      <c r="A77" t="s">
        <v>3134</v>
      </c>
      <c r="B77" t="s">
        <v>392</v>
      </c>
      <c r="C77">
        <v>79.599999999999994</v>
      </c>
      <c r="D77">
        <v>1</v>
      </c>
      <c r="E77" s="6">
        <v>20000</v>
      </c>
    </row>
    <row r="78" spans="1:5" x14ac:dyDescent="0.3">
      <c r="A78" t="s">
        <v>3135</v>
      </c>
      <c r="B78" t="s">
        <v>400</v>
      </c>
      <c r="C78">
        <v>13.4</v>
      </c>
      <c r="D78">
        <v>1</v>
      </c>
      <c r="E78" s="6">
        <v>20000</v>
      </c>
    </row>
    <row r="79" spans="1:5" x14ac:dyDescent="0.3">
      <c r="A79" t="s">
        <v>3136</v>
      </c>
      <c r="B79" t="s">
        <v>404</v>
      </c>
      <c r="C79">
        <v>11.4</v>
      </c>
      <c r="D79">
        <v>1</v>
      </c>
      <c r="E79" s="6">
        <v>20000</v>
      </c>
    </row>
    <row r="80" spans="1:5" x14ac:dyDescent="0.3">
      <c r="A80" t="s">
        <v>3137</v>
      </c>
      <c r="B80" t="s">
        <v>408</v>
      </c>
      <c r="C80">
        <v>14.4</v>
      </c>
      <c r="D80">
        <v>1</v>
      </c>
      <c r="E80" s="6">
        <v>20000</v>
      </c>
    </row>
    <row r="81" spans="1:5" x14ac:dyDescent="0.3">
      <c r="A81" t="s">
        <v>3064</v>
      </c>
      <c r="B81" t="s">
        <v>412</v>
      </c>
      <c r="C81">
        <v>23</v>
      </c>
      <c r="D81">
        <v>1</v>
      </c>
      <c r="E81" s="6">
        <v>20000</v>
      </c>
    </row>
    <row r="82" spans="1:5" x14ac:dyDescent="0.3">
      <c r="A82" t="s">
        <v>3138</v>
      </c>
      <c r="B82" t="s">
        <v>431</v>
      </c>
      <c r="C82">
        <v>54.3</v>
      </c>
      <c r="D82">
        <v>1</v>
      </c>
      <c r="E82" s="6">
        <v>20000</v>
      </c>
    </row>
    <row r="83" spans="1:5" x14ac:dyDescent="0.3">
      <c r="A83" t="s">
        <v>3139</v>
      </c>
      <c r="B83" t="s">
        <v>438</v>
      </c>
      <c r="C83">
        <v>9</v>
      </c>
      <c r="D83">
        <v>1</v>
      </c>
      <c r="E83" s="6">
        <v>20000</v>
      </c>
    </row>
    <row r="84" spans="1:5" x14ac:dyDescent="0.3">
      <c r="A84" t="s">
        <v>3140</v>
      </c>
      <c r="B84" t="s">
        <v>438</v>
      </c>
      <c r="C84">
        <v>22.8</v>
      </c>
      <c r="D84">
        <v>1</v>
      </c>
      <c r="E84" s="6">
        <v>20000</v>
      </c>
    </row>
    <row r="85" spans="1:5" x14ac:dyDescent="0.3">
      <c r="A85" t="s">
        <v>3141</v>
      </c>
      <c r="B85" t="s">
        <v>448</v>
      </c>
      <c r="C85">
        <v>15.2</v>
      </c>
      <c r="D85">
        <v>1</v>
      </c>
      <c r="E85" s="6">
        <v>20000</v>
      </c>
    </row>
    <row r="86" spans="1:5" x14ac:dyDescent="0.3">
      <c r="A86" t="s">
        <v>3142</v>
      </c>
      <c r="B86" t="s">
        <v>452</v>
      </c>
      <c r="C86">
        <v>25.8</v>
      </c>
      <c r="D86">
        <v>1</v>
      </c>
      <c r="E86" s="6">
        <v>20000</v>
      </c>
    </row>
    <row r="87" spans="1:5" x14ac:dyDescent="0.3">
      <c r="A87" t="s">
        <v>3143</v>
      </c>
      <c r="B87" t="s">
        <v>456</v>
      </c>
      <c r="C87">
        <v>543</v>
      </c>
      <c r="D87">
        <v>1</v>
      </c>
      <c r="E87" s="6">
        <v>20000</v>
      </c>
    </row>
    <row r="88" spans="1:5" x14ac:dyDescent="0.3">
      <c r="A88" t="s">
        <v>3144</v>
      </c>
      <c r="B88" t="s">
        <v>462</v>
      </c>
      <c r="C88">
        <v>71.599999999999994</v>
      </c>
      <c r="D88">
        <v>1</v>
      </c>
      <c r="E88" s="6">
        <v>20000</v>
      </c>
    </row>
    <row r="89" spans="1:5" x14ac:dyDescent="0.3">
      <c r="A89" t="s">
        <v>3145</v>
      </c>
      <c r="B89" t="s">
        <v>466</v>
      </c>
      <c r="C89">
        <v>7.6</v>
      </c>
      <c r="D89">
        <v>1</v>
      </c>
      <c r="E89" s="6">
        <v>20000</v>
      </c>
    </row>
    <row r="90" spans="1:5" x14ac:dyDescent="0.3">
      <c r="A90" t="s">
        <v>3146</v>
      </c>
      <c r="B90" t="s">
        <v>471</v>
      </c>
      <c r="C90">
        <v>33.6</v>
      </c>
      <c r="D90">
        <v>1</v>
      </c>
      <c r="E90" s="6">
        <v>20000</v>
      </c>
    </row>
    <row r="91" spans="1:5" x14ac:dyDescent="0.3">
      <c r="A91" t="s">
        <v>3147</v>
      </c>
      <c r="B91" t="s">
        <v>513</v>
      </c>
      <c r="C91">
        <v>9.5</v>
      </c>
      <c r="D91">
        <v>1</v>
      </c>
      <c r="E91" s="6">
        <v>20000</v>
      </c>
    </row>
    <row r="92" spans="1:5" x14ac:dyDescent="0.3">
      <c r="A92" t="s">
        <v>3148</v>
      </c>
      <c r="B92" t="s">
        <v>514</v>
      </c>
      <c r="C92">
        <v>29.5</v>
      </c>
      <c r="D92">
        <v>1</v>
      </c>
      <c r="E92" s="6">
        <v>20000</v>
      </c>
    </row>
    <row r="93" spans="1:5" x14ac:dyDescent="0.3">
      <c r="A93" t="s">
        <v>3149</v>
      </c>
      <c r="B93" t="s">
        <v>474</v>
      </c>
      <c r="C93">
        <v>10.199999999999999</v>
      </c>
      <c r="D93">
        <v>1</v>
      </c>
      <c r="E93" s="6">
        <v>20000</v>
      </c>
    </row>
    <row r="94" spans="1:5" x14ac:dyDescent="0.3">
      <c r="A94" t="s">
        <v>3150</v>
      </c>
      <c r="B94" t="s">
        <v>476</v>
      </c>
      <c r="C94">
        <v>50.2</v>
      </c>
      <c r="D94">
        <v>1</v>
      </c>
      <c r="E94" s="6">
        <v>20000</v>
      </c>
    </row>
    <row r="95" spans="1:5" x14ac:dyDescent="0.3">
      <c r="A95" t="s">
        <v>3151</v>
      </c>
      <c r="B95" t="s">
        <v>480</v>
      </c>
      <c r="C95">
        <v>16.3</v>
      </c>
      <c r="D95">
        <v>1</v>
      </c>
      <c r="E95" s="6">
        <v>20000</v>
      </c>
    </row>
    <row r="96" spans="1:5" x14ac:dyDescent="0.3">
      <c r="A96" t="s">
        <v>3065</v>
      </c>
      <c r="B96" t="s">
        <v>496</v>
      </c>
      <c r="C96">
        <v>37.200000000000003</v>
      </c>
      <c r="D96">
        <v>1</v>
      </c>
      <c r="E96" s="6">
        <v>20000</v>
      </c>
    </row>
    <row r="97" spans="1:5" x14ac:dyDescent="0.3">
      <c r="A97" t="s">
        <v>3152</v>
      </c>
      <c r="B97" t="s">
        <v>516</v>
      </c>
      <c r="C97">
        <v>11.8</v>
      </c>
      <c r="D97">
        <v>1</v>
      </c>
      <c r="E97" s="6">
        <v>20000</v>
      </c>
    </row>
    <row r="98" spans="1:5" x14ac:dyDescent="0.3">
      <c r="A98" t="s">
        <v>3153</v>
      </c>
      <c r="B98" t="s">
        <v>520</v>
      </c>
      <c r="C98">
        <v>23.7</v>
      </c>
      <c r="D98">
        <v>1</v>
      </c>
      <c r="E98" s="6">
        <v>20000</v>
      </c>
    </row>
    <row r="99" spans="1:5" x14ac:dyDescent="0.3">
      <c r="A99" t="s">
        <v>3154</v>
      </c>
      <c r="B99" t="s">
        <v>522</v>
      </c>
      <c r="C99">
        <v>116.9</v>
      </c>
      <c r="D99">
        <v>1</v>
      </c>
      <c r="E99" s="6">
        <v>20000</v>
      </c>
    </row>
    <row r="100" spans="1:5" x14ac:dyDescent="0.3">
      <c r="A100" t="s">
        <v>3155</v>
      </c>
      <c r="B100" t="s">
        <v>523</v>
      </c>
      <c r="C100">
        <v>13.9</v>
      </c>
      <c r="D100">
        <v>1</v>
      </c>
      <c r="E100" s="6">
        <v>20000</v>
      </c>
    </row>
    <row r="101" spans="1:5" x14ac:dyDescent="0.3">
      <c r="A101" t="s">
        <v>3066</v>
      </c>
      <c r="B101" t="s">
        <v>525</v>
      </c>
      <c r="C101">
        <v>34.799999999999997</v>
      </c>
      <c r="D101">
        <v>1</v>
      </c>
      <c r="E101" s="6">
        <v>20000</v>
      </c>
    </row>
    <row r="102" spans="1:5" x14ac:dyDescent="0.3">
      <c r="A102" t="s">
        <v>3156</v>
      </c>
      <c r="B102" t="s">
        <v>527</v>
      </c>
      <c r="C102">
        <v>57.6</v>
      </c>
      <c r="D102">
        <v>1</v>
      </c>
      <c r="E102" s="6">
        <v>20000</v>
      </c>
    </row>
    <row r="103" spans="1:5" x14ac:dyDescent="0.3">
      <c r="A103" t="s">
        <v>3157</v>
      </c>
      <c r="B103" t="s">
        <v>530</v>
      </c>
      <c r="C103">
        <v>20.9</v>
      </c>
      <c r="D103">
        <v>1</v>
      </c>
      <c r="E103" s="6">
        <v>20000</v>
      </c>
    </row>
    <row r="104" spans="1:5" x14ac:dyDescent="0.3">
      <c r="A104" t="s">
        <v>3158</v>
      </c>
      <c r="B104" t="s">
        <v>532</v>
      </c>
      <c r="C104">
        <v>70.400000000000006</v>
      </c>
      <c r="D104">
        <v>1</v>
      </c>
      <c r="E104" s="6">
        <v>20000</v>
      </c>
    </row>
    <row r="105" spans="1:5" x14ac:dyDescent="0.3">
      <c r="A105" t="s">
        <v>3067</v>
      </c>
      <c r="B105" t="s">
        <v>535</v>
      </c>
      <c r="C105">
        <v>17.2</v>
      </c>
      <c r="D105">
        <v>1</v>
      </c>
      <c r="E105" s="6">
        <v>20000</v>
      </c>
    </row>
    <row r="106" spans="1:5" x14ac:dyDescent="0.3">
      <c r="A106" t="s">
        <v>3159</v>
      </c>
      <c r="B106" t="s">
        <v>536</v>
      </c>
      <c r="C106">
        <v>26.1</v>
      </c>
      <c r="D106">
        <v>1</v>
      </c>
      <c r="E106" s="6">
        <v>20000</v>
      </c>
    </row>
    <row r="107" spans="1:5" x14ac:dyDescent="0.3">
      <c r="A107" t="s">
        <v>3068</v>
      </c>
      <c r="B107" t="s">
        <v>540</v>
      </c>
      <c r="C107">
        <v>63.3</v>
      </c>
      <c r="D107">
        <v>1</v>
      </c>
      <c r="E107" s="6">
        <v>20000</v>
      </c>
    </row>
    <row r="108" spans="1:5" x14ac:dyDescent="0.3">
      <c r="A108" t="s">
        <v>3069</v>
      </c>
      <c r="B108" t="s">
        <v>541</v>
      </c>
      <c r="C108">
        <v>31.9</v>
      </c>
      <c r="D108">
        <v>1</v>
      </c>
      <c r="E108" s="6">
        <v>20000</v>
      </c>
    </row>
    <row r="109" spans="1:5" x14ac:dyDescent="0.3">
      <c r="A109" t="s">
        <v>3070</v>
      </c>
      <c r="B109" t="s">
        <v>544</v>
      </c>
      <c r="C109">
        <v>30</v>
      </c>
      <c r="D109">
        <v>1</v>
      </c>
      <c r="E109" s="6">
        <v>20000</v>
      </c>
    </row>
    <row r="110" spans="1:5" x14ac:dyDescent="0.3">
      <c r="A110" t="s">
        <v>3160</v>
      </c>
      <c r="B110" t="s">
        <v>561</v>
      </c>
      <c r="C110">
        <v>14.6</v>
      </c>
      <c r="D110">
        <v>1</v>
      </c>
      <c r="E110" s="6">
        <v>20000</v>
      </c>
    </row>
    <row r="111" spans="1:5" x14ac:dyDescent="0.3">
      <c r="A111" t="s">
        <v>3161</v>
      </c>
      <c r="B111" t="s">
        <v>565</v>
      </c>
      <c r="C111">
        <v>20.100000000000001</v>
      </c>
      <c r="D111">
        <v>1</v>
      </c>
      <c r="E111" s="6">
        <v>20000</v>
      </c>
    </row>
    <row r="112" spans="1:5" x14ac:dyDescent="0.3">
      <c r="A112" t="s">
        <v>3162</v>
      </c>
      <c r="B112" t="s">
        <v>573</v>
      </c>
      <c r="C112">
        <v>25.5</v>
      </c>
      <c r="D112">
        <v>1</v>
      </c>
      <c r="E112" s="6">
        <v>20000</v>
      </c>
    </row>
    <row r="113" spans="1:5" x14ac:dyDescent="0.3">
      <c r="A113" t="s">
        <v>3163</v>
      </c>
      <c r="B113" t="s">
        <v>573</v>
      </c>
      <c r="C113">
        <v>4.5999999999999996</v>
      </c>
      <c r="D113">
        <v>1</v>
      </c>
      <c r="E113" s="6">
        <v>20000</v>
      </c>
    </row>
    <row r="114" spans="1:5" x14ac:dyDescent="0.3">
      <c r="A114" t="s">
        <v>3164</v>
      </c>
      <c r="B114" t="s">
        <v>580</v>
      </c>
      <c r="C114">
        <v>36.299999999999997</v>
      </c>
      <c r="D114">
        <v>1</v>
      </c>
      <c r="E114" s="6">
        <v>20000</v>
      </c>
    </row>
    <row r="115" spans="1:5" x14ac:dyDescent="0.3">
      <c r="A115" t="s">
        <v>3165</v>
      </c>
      <c r="B115" t="s">
        <v>589</v>
      </c>
      <c r="C115">
        <v>4.5</v>
      </c>
      <c r="D115">
        <v>1</v>
      </c>
      <c r="E115" s="6">
        <v>20000</v>
      </c>
    </row>
    <row r="116" spans="1:5" x14ac:dyDescent="0.3">
      <c r="A116" t="s">
        <v>3166</v>
      </c>
      <c r="B116" t="s">
        <v>592</v>
      </c>
      <c r="C116">
        <v>11.7</v>
      </c>
      <c r="D116">
        <v>1</v>
      </c>
      <c r="E116" s="6">
        <v>20000</v>
      </c>
    </row>
    <row r="117" spans="1:5" x14ac:dyDescent="0.3">
      <c r="A117" t="s">
        <v>3167</v>
      </c>
      <c r="B117" t="s">
        <v>594</v>
      </c>
      <c r="C117">
        <v>25.5</v>
      </c>
      <c r="D117">
        <v>1</v>
      </c>
      <c r="E117" s="6">
        <v>20000</v>
      </c>
    </row>
    <row r="118" spans="1:5" x14ac:dyDescent="0.3">
      <c r="A118" t="s">
        <v>3168</v>
      </c>
      <c r="B118" t="s">
        <v>602</v>
      </c>
      <c r="C118">
        <v>14.2</v>
      </c>
      <c r="D118">
        <v>1</v>
      </c>
      <c r="E118" s="6">
        <v>20000</v>
      </c>
    </row>
    <row r="119" spans="1:5" x14ac:dyDescent="0.3">
      <c r="A119" t="s">
        <v>3169</v>
      </c>
      <c r="B119" t="s">
        <v>605</v>
      </c>
      <c r="C119">
        <v>0</v>
      </c>
      <c r="D119">
        <v>1</v>
      </c>
      <c r="E119" s="6">
        <v>20000</v>
      </c>
    </row>
    <row r="120" spans="1:5" x14ac:dyDescent="0.3">
      <c r="A120" t="s">
        <v>3170</v>
      </c>
      <c r="B120" t="s">
        <v>606</v>
      </c>
      <c r="C120">
        <v>47.6</v>
      </c>
      <c r="D120">
        <v>1</v>
      </c>
      <c r="E120" s="6">
        <v>20000</v>
      </c>
    </row>
    <row r="121" spans="1:5" x14ac:dyDescent="0.3">
      <c r="A121" t="s">
        <v>3171</v>
      </c>
      <c r="B121" t="s">
        <v>608</v>
      </c>
      <c r="C121">
        <v>0</v>
      </c>
      <c r="D121">
        <v>1</v>
      </c>
      <c r="E121" s="6">
        <v>20000</v>
      </c>
    </row>
    <row r="122" spans="1:5" x14ac:dyDescent="0.3">
      <c r="A122" t="s">
        <v>3172</v>
      </c>
      <c r="B122" t="s">
        <v>610</v>
      </c>
      <c r="C122">
        <v>37.6</v>
      </c>
      <c r="D122">
        <v>1</v>
      </c>
      <c r="E122" s="6">
        <v>20000</v>
      </c>
    </row>
    <row r="123" spans="1:5" x14ac:dyDescent="0.3">
      <c r="A123" t="s">
        <v>3173</v>
      </c>
      <c r="B123" t="s">
        <v>612</v>
      </c>
      <c r="C123">
        <v>21.5</v>
      </c>
      <c r="D123">
        <v>1</v>
      </c>
      <c r="E123" s="6">
        <v>20000</v>
      </c>
    </row>
    <row r="124" spans="1:5" x14ac:dyDescent="0.3">
      <c r="A124" t="s">
        <v>3071</v>
      </c>
      <c r="B124" t="s">
        <v>616</v>
      </c>
      <c r="C124">
        <v>31.4</v>
      </c>
      <c r="D124">
        <v>1</v>
      </c>
      <c r="E124" s="6">
        <v>20000</v>
      </c>
    </row>
    <row r="125" spans="1:5" x14ac:dyDescent="0.3">
      <c r="A125" t="s">
        <v>3174</v>
      </c>
      <c r="B125" t="s">
        <v>618</v>
      </c>
      <c r="C125">
        <v>52.3</v>
      </c>
      <c r="D125">
        <v>1</v>
      </c>
      <c r="E125" s="6">
        <v>20000</v>
      </c>
    </row>
    <row r="126" spans="1:5" x14ac:dyDescent="0.3">
      <c r="A126" t="s">
        <v>3175</v>
      </c>
      <c r="B126" t="s">
        <v>623</v>
      </c>
      <c r="C126">
        <v>35.299999999999997</v>
      </c>
      <c r="D126">
        <v>1</v>
      </c>
      <c r="E126" s="6">
        <v>20000</v>
      </c>
    </row>
    <row r="127" spans="1:5" x14ac:dyDescent="0.3">
      <c r="A127" t="s">
        <v>3072</v>
      </c>
      <c r="B127" t="s">
        <v>627</v>
      </c>
      <c r="C127">
        <v>59.6</v>
      </c>
      <c r="D127">
        <v>1</v>
      </c>
      <c r="E127" s="6">
        <v>20000</v>
      </c>
    </row>
    <row r="128" spans="1:5" x14ac:dyDescent="0.3">
      <c r="A128" t="s">
        <v>3176</v>
      </c>
      <c r="B128" t="s">
        <v>622</v>
      </c>
      <c r="C128">
        <v>18.7</v>
      </c>
      <c r="D128">
        <v>1</v>
      </c>
      <c r="E128" s="6">
        <v>20000</v>
      </c>
    </row>
    <row r="129" spans="1:5" x14ac:dyDescent="0.3">
      <c r="A129" t="s">
        <v>3177</v>
      </c>
      <c r="B129" t="s">
        <v>632</v>
      </c>
      <c r="C129">
        <v>14.3</v>
      </c>
      <c r="D129">
        <v>1</v>
      </c>
      <c r="E129" s="6">
        <v>20000</v>
      </c>
    </row>
    <row r="130" spans="1:5" x14ac:dyDescent="0.3">
      <c r="A130" t="s">
        <v>3178</v>
      </c>
      <c r="B130" t="s">
        <v>633</v>
      </c>
      <c r="C130">
        <v>0.3</v>
      </c>
      <c r="D130">
        <v>1</v>
      </c>
      <c r="E130" s="6">
        <v>20000</v>
      </c>
    </row>
    <row r="131" spans="1:5" x14ac:dyDescent="0.3">
      <c r="A131" t="s">
        <v>3073</v>
      </c>
      <c r="B131" t="s">
        <v>634</v>
      </c>
      <c r="C131">
        <v>47.8</v>
      </c>
      <c r="D131">
        <v>1</v>
      </c>
      <c r="E131" s="6">
        <v>20000</v>
      </c>
    </row>
    <row r="132" spans="1:5" x14ac:dyDescent="0.3">
      <c r="A132" t="s">
        <v>3179</v>
      </c>
      <c r="B132" t="s">
        <v>642</v>
      </c>
      <c r="C132">
        <v>22.4</v>
      </c>
      <c r="D132">
        <v>1</v>
      </c>
      <c r="E132" s="6">
        <v>20000</v>
      </c>
    </row>
    <row r="133" spans="1:5" x14ac:dyDescent="0.3">
      <c r="A133" t="s">
        <v>3180</v>
      </c>
      <c r="B133" t="s">
        <v>648</v>
      </c>
      <c r="C133">
        <v>151.5</v>
      </c>
      <c r="D133">
        <v>1</v>
      </c>
      <c r="E133" s="6">
        <v>20000</v>
      </c>
    </row>
    <row r="134" spans="1:5" x14ac:dyDescent="0.3">
      <c r="A134" t="s">
        <v>3181</v>
      </c>
      <c r="B134" t="s">
        <v>652</v>
      </c>
      <c r="C134">
        <v>18</v>
      </c>
      <c r="D134">
        <v>1</v>
      </c>
      <c r="E134" s="6">
        <v>20000</v>
      </c>
    </row>
    <row r="135" spans="1:5" x14ac:dyDescent="0.3">
      <c r="A135" t="s">
        <v>3182</v>
      </c>
      <c r="B135" t="s">
        <v>654</v>
      </c>
      <c r="C135">
        <v>45.5</v>
      </c>
      <c r="D135">
        <v>1</v>
      </c>
      <c r="E135" s="6">
        <v>20000</v>
      </c>
    </row>
    <row r="136" spans="1:5" x14ac:dyDescent="0.3">
      <c r="A136" t="s">
        <v>3183</v>
      </c>
      <c r="B136" t="s">
        <v>668</v>
      </c>
      <c r="C136">
        <v>35.200000000000003</v>
      </c>
      <c r="D136">
        <v>1</v>
      </c>
      <c r="E136" s="6">
        <v>20000</v>
      </c>
    </row>
    <row r="137" spans="1:5" x14ac:dyDescent="0.3">
      <c r="A137" t="s">
        <v>3074</v>
      </c>
      <c r="B137" t="s">
        <v>671</v>
      </c>
      <c r="C137">
        <v>41.8</v>
      </c>
      <c r="D137">
        <v>1</v>
      </c>
      <c r="E137" s="6">
        <v>20000</v>
      </c>
    </row>
    <row r="138" spans="1:5" x14ac:dyDescent="0.3">
      <c r="A138" t="s">
        <v>3184</v>
      </c>
      <c r="B138" t="s">
        <v>676</v>
      </c>
      <c r="C138">
        <v>30.7</v>
      </c>
      <c r="D138">
        <v>1</v>
      </c>
      <c r="E138" s="6">
        <v>20000</v>
      </c>
    </row>
    <row r="139" spans="1:5" x14ac:dyDescent="0.3">
      <c r="A139" t="s">
        <v>3185</v>
      </c>
      <c r="B139" t="s">
        <v>678</v>
      </c>
      <c r="C139">
        <v>9.1</v>
      </c>
      <c r="D139">
        <v>1</v>
      </c>
      <c r="E139" s="6">
        <v>20000</v>
      </c>
    </row>
    <row r="140" spans="1:5" x14ac:dyDescent="0.3">
      <c r="A140" t="s">
        <v>3075</v>
      </c>
      <c r="B140" t="s">
        <v>681</v>
      </c>
      <c r="C140">
        <v>25.8</v>
      </c>
      <c r="D140">
        <v>1</v>
      </c>
      <c r="E140" s="6">
        <v>20000</v>
      </c>
    </row>
    <row r="141" spans="1:5" x14ac:dyDescent="0.3">
      <c r="A141" t="s">
        <v>3186</v>
      </c>
      <c r="B141" t="s">
        <v>691</v>
      </c>
      <c r="C141">
        <v>104.5</v>
      </c>
      <c r="D141">
        <v>1</v>
      </c>
      <c r="E141" s="6">
        <v>20000</v>
      </c>
    </row>
    <row r="142" spans="1:5" x14ac:dyDescent="0.3">
      <c r="A142" t="s">
        <v>3187</v>
      </c>
      <c r="B142" t="s">
        <v>697</v>
      </c>
      <c r="C142">
        <v>14.1</v>
      </c>
      <c r="D142">
        <v>1</v>
      </c>
      <c r="E142" s="6">
        <v>20000</v>
      </c>
    </row>
    <row r="143" spans="1:5" x14ac:dyDescent="0.3">
      <c r="A143" t="s">
        <v>3188</v>
      </c>
      <c r="B143" t="s">
        <v>704</v>
      </c>
      <c r="C143">
        <v>2.2999999999999998</v>
      </c>
      <c r="D143">
        <v>1</v>
      </c>
      <c r="E143" s="6">
        <v>20000</v>
      </c>
    </row>
    <row r="144" spans="1:5" x14ac:dyDescent="0.3">
      <c r="A144" t="s">
        <v>3189</v>
      </c>
      <c r="B144" t="s">
        <v>705</v>
      </c>
      <c r="C144">
        <v>36.9</v>
      </c>
      <c r="D144">
        <v>1</v>
      </c>
      <c r="E144" s="6">
        <v>20000</v>
      </c>
    </row>
    <row r="145" spans="1:5" x14ac:dyDescent="0.3">
      <c r="A145" t="s">
        <v>3190</v>
      </c>
      <c r="B145" t="s">
        <v>708</v>
      </c>
      <c r="C145">
        <v>48.3</v>
      </c>
      <c r="D145">
        <v>1</v>
      </c>
      <c r="E145" s="6">
        <v>20000</v>
      </c>
    </row>
    <row r="146" spans="1:5" x14ac:dyDescent="0.3">
      <c r="A146" t="s">
        <v>3191</v>
      </c>
      <c r="B146" t="s">
        <v>714</v>
      </c>
      <c r="C146">
        <v>46.2</v>
      </c>
      <c r="D146">
        <v>1</v>
      </c>
      <c r="E146" s="6">
        <v>20000</v>
      </c>
    </row>
    <row r="147" spans="1:5" x14ac:dyDescent="0.3">
      <c r="A147" t="s">
        <v>3192</v>
      </c>
      <c r="B147" t="s">
        <v>718</v>
      </c>
      <c r="C147">
        <v>14.8</v>
      </c>
      <c r="D147">
        <v>1</v>
      </c>
      <c r="E147" s="6">
        <v>20000</v>
      </c>
    </row>
    <row r="148" spans="1:5" x14ac:dyDescent="0.3">
      <c r="A148" t="s">
        <v>3193</v>
      </c>
      <c r="B148" t="s">
        <v>695</v>
      </c>
      <c r="C148">
        <v>21.9</v>
      </c>
      <c r="D148">
        <v>1</v>
      </c>
      <c r="E148" s="6">
        <v>20000</v>
      </c>
    </row>
    <row r="149" spans="1:5" x14ac:dyDescent="0.3">
      <c r="A149" t="s">
        <v>3194</v>
      </c>
      <c r="B149" t="s">
        <v>720</v>
      </c>
      <c r="C149">
        <v>19.3</v>
      </c>
      <c r="D149">
        <v>1</v>
      </c>
      <c r="E149" s="6">
        <v>20000</v>
      </c>
    </row>
    <row r="150" spans="1:5" x14ac:dyDescent="0.3">
      <c r="A150" t="s">
        <v>3076</v>
      </c>
      <c r="B150" t="s">
        <v>726</v>
      </c>
      <c r="C150">
        <v>26.2</v>
      </c>
      <c r="D150">
        <v>1</v>
      </c>
      <c r="E150" s="6">
        <v>20000</v>
      </c>
    </row>
    <row r="151" spans="1:5" x14ac:dyDescent="0.3">
      <c r="A151" t="s">
        <v>3195</v>
      </c>
      <c r="B151" t="s">
        <v>731</v>
      </c>
      <c r="C151">
        <v>19.7</v>
      </c>
      <c r="D151">
        <v>1</v>
      </c>
      <c r="E151" s="6">
        <v>20000</v>
      </c>
    </row>
    <row r="152" spans="1:5" x14ac:dyDescent="0.3">
      <c r="A152" t="s">
        <v>3077</v>
      </c>
      <c r="B152" t="s">
        <v>737</v>
      </c>
      <c r="C152">
        <v>37.299999999999997</v>
      </c>
      <c r="D152">
        <v>1</v>
      </c>
      <c r="E152" s="6">
        <v>20000</v>
      </c>
    </row>
    <row r="153" spans="1:5" x14ac:dyDescent="0.3">
      <c r="A153" t="s">
        <v>3196</v>
      </c>
      <c r="B153" t="s">
        <v>749</v>
      </c>
      <c r="C153">
        <v>60</v>
      </c>
      <c r="D153">
        <v>1</v>
      </c>
      <c r="E153" s="6">
        <v>20000</v>
      </c>
    </row>
    <row r="154" spans="1:5" x14ac:dyDescent="0.3">
      <c r="A154" t="s">
        <v>3197</v>
      </c>
      <c r="B154" t="s">
        <v>751</v>
      </c>
      <c r="C154">
        <v>10.5</v>
      </c>
      <c r="D154">
        <v>1</v>
      </c>
      <c r="E154" s="6">
        <v>20000</v>
      </c>
    </row>
    <row r="155" spans="1:5" x14ac:dyDescent="0.3">
      <c r="A155" t="s">
        <v>3198</v>
      </c>
      <c r="B155" t="s">
        <v>758</v>
      </c>
      <c r="C155">
        <v>24.7</v>
      </c>
      <c r="D155">
        <v>1</v>
      </c>
      <c r="E155" s="6">
        <v>20000</v>
      </c>
    </row>
    <row r="156" spans="1:5" x14ac:dyDescent="0.3">
      <c r="A156" t="s">
        <v>3199</v>
      </c>
      <c r="B156" t="s">
        <v>760</v>
      </c>
      <c r="C156">
        <v>17.5</v>
      </c>
      <c r="D156">
        <v>1</v>
      </c>
      <c r="E156" s="6">
        <v>20000</v>
      </c>
    </row>
    <row r="157" spans="1:5" x14ac:dyDescent="0.3">
      <c r="A157" t="s">
        <v>3200</v>
      </c>
      <c r="B157" t="s">
        <v>763</v>
      </c>
      <c r="C157">
        <v>18.600000000000001</v>
      </c>
      <c r="D157">
        <v>1</v>
      </c>
      <c r="E157" s="6">
        <v>20000</v>
      </c>
    </row>
    <row r="158" spans="1:5" x14ac:dyDescent="0.3">
      <c r="A158" t="s">
        <v>3201</v>
      </c>
      <c r="B158" t="s">
        <v>771</v>
      </c>
      <c r="C158">
        <v>12.5</v>
      </c>
      <c r="D158">
        <v>1</v>
      </c>
      <c r="E158" s="6">
        <v>20000</v>
      </c>
    </row>
    <row r="159" spans="1:5" x14ac:dyDescent="0.3">
      <c r="A159" t="s">
        <v>3202</v>
      </c>
      <c r="B159" t="s">
        <v>775</v>
      </c>
      <c r="C159">
        <v>14.9</v>
      </c>
      <c r="D159">
        <v>1</v>
      </c>
      <c r="E159" s="6">
        <v>20000</v>
      </c>
    </row>
    <row r="160" spans="1:5" x14ac:dyDescent="0.3">
      <c r="A160" t="s">
        <v>3203</v>
      </c>
      <c r="B160" t="s">
        <v>777</v>
      </c>
      <c r="C160">
        <v>47.4</v>
      </c>
      <c r="D160">
        <v>1</v>
      </c>
      <c r="E160" s="6">
        <v>20000</v>
      </c>
    </row>
    <row r="161" spans="1:5" x14ac:dyDescent="0.3">
      <c r="A161" t="s">
        <v>3204</v>
      </c>
      <c r="B161" t="s">
        <v>781</v>
      </c>
      <c r="C161">
        <v>29.4</v>
      </c>
      <c r="D161">
        <v>1</v>
      </c>
      <c r="E161" s="6">
        <v>20000</v>
      </c>
    </row>
    <row r="162" spans="1:5" x14ac:dyDescent="0.3">
      <c r="A162" t="s">
        <v>3078</v>
      </c>
      <c r="B162" t="s">
        <v>788</v>
      </c>
      <c r="C162">
        <v>46.4</v>
      </c>
      <c r="D162">
        <v>1</v>
      </c>
      <c r="E162" s="6">
        <v>20000</v>
      </c>
    </row>
    <row r="163" spans="1:5" x14ac:dyDescent="0.3">
      <c r="A163" t="s">
        <v>3205</v>
      </c>
      <c r="B163" t="s">
        <v>791</v>
      </c>
      <c r="C163">
        <v>45.6</v>
      </c>
      <c r="D163">
        <v>1</v>
      </c>
      <c r="E163" s="6">
        <v>20000</v>
      </c>
    </row>
    <row r="164" spans="1:5" x14ac:dyDescent="0.3">
      <c r="A164" t="s">
        <v>3206</v>
      </c>
      <c r="B164" t="s">
        <v>794</v>
      </c>
      <c r="C164">
        <v>49.7</v>
      </c>
      <c r="D164">
        <v>1</v>
      </c>
      <c r="E164" s="6">
        <v>20000</v>
      </c>
    </row>
    <row r="165" spans="1:5" x14ac:dyDescent="0.3">
      <c r="A165" t="s">
        <v>3207</v>
      </c>
      <c r="B165" t="s">
        <v>796</v>
      </c>
      <c r="C165">
        <v>9</v>
      </c>
      <c r="D165">
        <v>1</v>
      </c>
      <c r="E165" s="6">
        <v>20000</v>
      </c>
    </row>
  </sheetData>
  <autoFilter ref="A1:E1" xr:uid="{00000000-0001-0000-0100-000000000000}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B7D6-E04B-4641-8EE2-577E6B760165}">
  <sheetPr>
    <tabColor theme="5" tint="0.79998168889431442"/>
  </sheetPr>
  <dimension ref="A1:FI49"/>
  <sheetViews>
    <sheetView zoomScale="110" zoomScaleNormal="110" workbookViewId="0">
      <selection activeCell="C13" sqref="C13"/>
    </sheetView>
  </sheetViews>
  <sheetFormatPr defaultColWidth="8.5546875" defaultRowHeight="14.4" x14ac:dyDescent="0.3"/>
  <cols>
    <col min="1" max="1" width="13.77734375" bestFit="1" customWidth="1"/>
    <col min="2" max="2" width="18.44140625" bestFit="1" customWidth="1"/>
    <col min="3" max="3" width="18.88671875" bestFit="1" customWidth="1"/>
    <col min="4" max="4" width="19.6640625" bestFit="1" customWidth="1"/>
    <col min="5" max="5" width="18.6640625" bestFit="1" customWidth="1"/>
    <col min="6" max="6" width="18.5546875" bestFit="1" customWidth="1"/>
    <col min="7" max="7" width="19" bestFit="1" customWidth="1"/>
    <col min="8" max="8" width="19.44140625" bestFit="1" customWidth="1"/>
    <col min="9" max="9" width="19.5546875" bestFit="1" customWidth="1"/>
    <col min="10" max="10" width="19.33203125" bestFit="1" customWidth="1"/>
    <col min="11" max="11" width="15.5546875" bestFit="1" customWidth="1"/>
    <col min="12" max="12" width="19.6640625" bestFit="1" customWidth="1"/>
    <col min="13" max="13" width="16" bestFit="1" customWidth="1"/>
    <col min="14" max="14" width="18.5546875" bestFit="1" customWidth="1"/>
    <col min="15" max="16" width="18.77734375" bestFit="1" customWidth="1"/>
    <col min="17" max="17" width="15.88671875" bestFit="1" customWidth="1"/>
    <col min="18" max="19" width="18.109375" bestFit="1" customWidth="1"/>
    <col min="20" max="21" width="18.21875" bestFit="1" customWidth="1"/>
    <col min="22" max="22" width="18.6640625" bestFit="1" customWidth="1"/>
    <col min="23" max="23" width="18.109375" bestFit="1" customWidth="1"/>
    <col min="24" max="24" width="18.77734375" bestFit="1" customWidth="1"/>
    <col min="25" max="25" width="17.88671875" bestFit="1" customWidth="1"/>
    <col min="26" max="26" width="19.33203125" bestFit="1" customWidth="1"/>
    <col min="27" max="29" width="19.5546875" bestFit="1" customWidth="1"/>
    <col min="30" max="30" width="19.44140625" bestFit="1" customWidth="1"/>
    <col min="31" max="31" width="18.109375" bestFit="1" customWidth="1"/>
    <col min="32" max="32" width="18.77734375" bestFit="1" customWidth="1"/>
    <col min="33" max="33" width="18.5546875" bestFit="1" customWidth="1"/>
    <col min="34" max="34" width="19.88671875" bestFit="1" customWidth="1"/>
    <col min="35" max="35" width="18.109375" bestFit="1" customWidth="1"/>
    <col min="36" max="36" width="18.33203125" bestFit="1" customWidth="1"/>
    <col min="37" max="37" width="19.44140625" bestFit="1" customWidth="1"/>
    <col min="38" max="38" width="18.44140625" bestFit="1" customWidth="1"/>
    <col min="39" max="39" width="19.88671875" bestFit="1" customWidth="1"/>
    <col min="40" max="41" width="19.44140625" bestFit="1" customWidth="1"/>
    <col min="42" max="42" width="20.33203125" bestFit="1" customWidth="1"/>
    <col min="43" max="43" width="19.5546875" bestFit="1" customWidth="1"/>
    <col min="44" max="44" width="16" bestFit="1" customWidth="1"/>
    <col min="45" max="45" width="20.109375" bestFit="1" customWidth="1"/>
    <col min="46" max="46" width="19.44140625" bestFit="1" customWidth="1"/>
    <col min="47" max="47" width="19.5546875" bestFit="1" customWidth="1"/>
    <col min="48" max="48" width="19.44140625" bestFit="1" customWidth="1"/>
    <col min="49" max="49" width="19.88671875" bestFit="1" customWidth="1"/>
    <col min="50" max="50" width="19.21875" bestFit="1" customWidth="1"/>
    <col min="51" max="52" width="20" bestFit="1" customWidth="1"/>
    <col min="53" max="53" width="19.77734375" bestFit="1" customWidth="1"/>
    <col min="54" max="54" width="19.44140625" bestFit="1" customWidth="1"/>
    <col min="55" max="55" width="19.77734375" bestFit="1" customWidth="1"/>
    <col min="56" max="56" width="18.88671875" bestFit="1" customWidth="1"/>
    <col min="57" max="57" width="19" bestFit="1" customWidth="1"/>
    <col min="58" max="58" width="19.44140625" bestFit="1" customWidth="1"/>
    <col min="59" max="59" width="17.88671875" bestFit="1" customWidth="1"/>
    <col min="60" max="60" width="17.77734375" bestFit="1" customWidth="1"/>
    <col min="61" max="61" width="19.21875" bestFit="1" customWidth="1"/>
    <col min="62" max="62" width="19.109375" bestFit="1" customWidth="1"/>
    <col min="63" max="64" width="19.21875" bestFit="1" customWidth="1"/>
    <col min="65" max="65" width="17.6640625" bestFit="1" customWidth="1"/>
    <col min="66" max="66" width="18.77734375" bestFit="1" customWidth="1"/>
    <col min="67" max="67" width="19.109375" bestFit="1" customWidth="1"/>
    <col min="68" max="68" width="19.21875" bestFit="1" customWidth="1"/>
    <col min="69" max="69" width="18.21875" bestFit="1" customWidth="1"/>
    <col min="70" max="70" width="19.21875" bestFit="1" customWidth="1"/>
    <col min="71" max="71" width="18" bestFit="1" customWidth="1"/>
    <col min="72" max="72" width="19" bestFit="1" customWidth="1"/>
    <col min="73" max="73" width="18" bestFit="1" customWidth="1"/>
    <col min="74" max="74" width="19.109375" bestFit="1" customWidth="1"/>
    <col min="75" max="75" width="19.6640625" bestFit="1" customWidth="1"/>
    <col min="76" max="76" width="19.44140625" bestFit="1" customWidth="1"/>
    <col min="77" max="77" width="18.5546875" bestFit="1" customWidth="1"/>
    <col min="78" max="79" width="18.109375" bestFit="1" customWidth="1"/>
    <col min="80" max="80" width="19" bestFit="1" customWidth="1"/>
    <col min="81" max="81" width="18.6640625" bestFit="1" customWidth="1"/>
    <col min="82" max="82" width="19.21875" bestFit="1" customWidth="1"/>
    <col min="83" max="83" width="18.44140625" bestFit="1" customWidth="1"/>
    <col min="84" max="84" width="20.109375" bestFit="1" customWidth="1"/>
    <col min="85" max="85" width="19.77734375" bestFit="1" customWidth="1"/>
    <col min="86" max="86" width="19.88671875" bestFit="1" customWidth="1"/>
    <col min="87" max="87" width="18.88671875" bestFit="1" customWidth="1"/>
    <col min="88" max="88" width="18.5546875" bestFit="1" customWidth="1"/>
    <col min="89" max="89" width="19" bestFit="1" customWidth="1"/>
    <col min="90" max="90" width="20.44140625" bestFit="1" customWidth="1"/>
    <col min="91" max="91" width="20.109375" bestFit="1" customWidth="1"/>
    <col min="92" max="92" width="18.88671875" bestFit="1" customWidth="1"/>
    <col min="93" max="93" width="19" bestFit="1" customWidth="1"/>
    <col min="94" max="94" width="20" bestFit="1" customWidth="1"/>
    <col min="95" max="95" width="19.109375" bestFit="1" customWidth="1"/>
    <col min="96" max="96" width="20" bestFit="1" customWidth="1"/>
    <col min="97" max="97" width="19.44140625" bestFit="1" customWidth="1"/>
    <col min="98" max="98" width="18.6640625" bestFit="1" customWidth="1"/>
    <col min="99" max="99" width="20.21875" bestFit="1" customWidth="1"/>
    <col min="100" max="100" width="19.77734375" bestFit="1" customWidth="1"/>
    <col min="101" max="102" width="18.5546875" bestFit="1" customWidth="1"/>
    <col min="103" max="103" width="20.109375" bestFit="1" customWidth="1"/>
    <col min="104" max="104" width="18.21875" bestFit="1" customWidth="1"/>
    <col min="105" max="105" width="18.109375" bestFit="1" customWidth="1"/>
    <col min="106" max="106" width="18.88671875" bestFit="1" customWidth="1"/>
    <col min="107" max="107" width="19.44140625" bestFit="1" customWidth="1"/>
    <col min="108" max="108" width="18.88671875" bestFit="1" customWidth="1"/>
    <col min="109" max="109" width="19.33203125" bestFit="1" customWidth="1"/>
    <col min="110" max="110" width="18.33203125" bestFit="1" customWidth="1"/>
    <col min="111" max="111" width="19.21875" bestFit="1" customWidth="1"/>
    <col min="112" max="112" width="18.21875" bestFit="1" customWidth="1"/>
    <col min="113" max="113" width="19.109375" bestFit="1" customWidth="1"/>
    <col min="114" max="114" width="18.88671875" bestFit="1" customWidth="1"/>
    <col min="115" max="115" width="18.44140625" bestFit="1" customWidth="1"/>
    <col min="116" max="116" width="19.5546875" bestFit="1" customWidth="1"/>
    <col min="117" max="117" width="18.33203125" bestFit="1" customWidth="1"/>
    <col min="118" max="118" width="20.109375" bestFit="1" customWidth="1"/>
    <col min="119" max="119" width="19.21875" bestFit="1" customWidth="1"/>
    <col min="120" max="120" width="19.5546875" bestFit="1" customWidth="1"/>
    <col min="121" max="121" width="19.33203125" bestFit="1" customWidth="1"/>
    <col min="122" max="122" width="19.6640625" bestFit="1" customWidth="1"/>
    <col min="123" max="123" width="18.6640625" bestFit="1" customWidth="1"/>
    <col min="124" max="124" width="19" bestFit="1" customWidth="1"/>
    <col min="125" max="125" width="19.77734375" bestFit="1" customWidth="1"/>
    <col min="126" max="126" width="15.109375" bestFit="1" customWidth="1"/>
    <col min="127" max="127" width="18.109375" bestFit="1" customWidth="1"/>
    <col min="128" max="128" width="19.109375" bestFit="1" customWidth="1"/>
    <col min="129" max="129" width="20.109375" bestFit="1" customWidth="1"/>
    <col min="130" max="130" width="19.88671875" bestFit="1" customWidth="1"/>
    <col min="131" max="131" width="18.6640625" bestFit="1" customWidth="1"/>
    <col min="132" max="132" width="19.5546875" bestFit="1" customWidth="1"/>
    <col min="133" max="133" width="18.6640625" bestFit="1" customWidth="1"/>
    <col min="134" max="134" width="19.44140625" bestFit="1" customWidth="1"/>
    <col min="135" max="135" width="18.44140625" bestFit="1" customWidth="1"/>
    <col min="136" max="136" width="19.88671875" bestFit="1" customWidth="1"/>
    <col min="137" max="137" width="19.5546875" bestFit="1" customWidth="1"/>
    <col min="138" max="138" width="20" bestFit="1" customWidth="1"/>
    <col min="139" max="140" width="19.33203125" bestFit="1" customWidth="1"/>
    <col min="141" max="141" width="18.21875" bestFit="1" customWidth="1"/>
    <col min="142" max="142" width="18.88671875" bestFit="1" customWidth="1"/>
    <col min="143" max="143" width="19.109375" bestFit="1" customWidth="1"/>
    <col min="144" max="144" width="19.44140625" bestFit="1" customWidth="1"/>
    <col min="145" max="145" width="19.77734375" bestFit="1" customWidth="1"/>
    <col min="146" max="146" width="18.5546875" bestFit="1" customWidth="1"/>
    <col min="147" max="147" width="19.77734375" bestFit="1" customWidth="1"/>
    <col min="148" max="148" width="19.109375" bestFit="1" customWidth="1"/>
    <col min="149" max="149" width="18.5546875" bestFit="1" customWidth="1"/>
    <col min="150" max="150" width="17.6640625" bestFit="1" customWidth="1"/>
    <col min="151" max="151" width="18" bestFit="1" customWidth="1"/>
    <col min="152" max="152" width="19.5546875" bestFit="1" customWidth="1"/>
    <col min="153" max="153" width="19" bestFit="1" customWidth="1"/>
    <col min="154" max="154" width="18" bestFit="1" customWidth="1"/>
    <col min="155" max="155" width="17.21875" bestFit="1" customWidth="1"/>
    <col min="156" max="156" width="19.5546875" bestFit="1" customWidth="1"/>
    <col min="157" max="157" width="19.33203125" bestFit="1" customWidth="1"/>
    <col min="158" max="158" width="19.5546875" bestFit="1" customWidth="1"/>
    <col min="159" max="159" width="19" bestFit="1" customWidth="1"/>
    <col min="160" max="160" width="20.109375" bestFit="1" customWidth="1"/>
    <col min="161" max="161" width="18.21875" bestFit="1" customWidth="1"/>
    <col min="162" max="162" width="19.21875" bestFit="1" customWidth="1"/>
    <col min="163" max="163" width="18.88671875" bestFit="1" customWidth="1"/>
    <col min="164" max="164" width="17.88671875" bestFit="1" customWidth="1"/>
    <col min="165" max="165" width="20" bestFit="1" customWidth="1"/>
  </cols>
  <sheetData>
    <row r="1" spans="1:165" x14ac:dyDescent="0.3">
      <c r="A1" s="2" t="s">
        <v>31</v>
      </c>
      <c r="B1" s="4" t="s">
        <v>3079</v>
      </c>
      <c r="C1" s="4" t="s">
        <v>3080</v>
      </c>
      <c r="D1" s="8" t="s">
        <v>3081</v>
      </c>
      <c r="E1" s="4" t="s">
        <v>3082</v>
      </c>
      <c r="F1" s="4" t="s">
        <v>3083</v>
      </c>
      <c r="G1" s="4" t="s">
        <v>3084</v>
      </c>
      <c r="H1" s="4" t="s">
        <v>3085</v>
      </c>
      <c r="I1" s="4" t="s">
        <v>3086</v>
      </c>
      <c r="J1" s="4" t="s">
        <v>3087</v>
      </c>
      <c r="K1" s="4" t="s">
        <v>3088</v>
      </c>
      <c r="L1" s="4" t="s">
        <v>3089</v>
      </c>
      <c r="M1" s="4" t="s">
        <v>3090</v>
      </c>
      <c r="N1" s="4" t="s">
        <v>3091</v>
      </c>
      <c r="O1" s="4" t="s">
        <v>3092</v>
      </c>
      <c r="P1" s="4" t="s">
        <v>3093</v>
      </c>
      <c r="Q1" s="4" t="s">
        <v>3094</v>
      </c>
      <c r="R1" s="4" t="s">
        <v>3095</v>
      </c>
      <c r="S1" s="4" t="s">
        <v>3208</v>
      </c>
      <c r="T1" s="4" t="s">
        <v>3096</v>
      </c>
      <c r="U1" s="4" t="s">
        <v>3097</v>
      </c>
      <c r="V1" s="4" t="s">
        <v>3098</v>
      </c>
      <c r="W1" s="4" t="s">
        <v>3099</v>
      </c>
      <c r="X1" s="4" t="s">
        <v>3100</v>
      </c>
      <c r="Y1" s="4" t="s">
        <v>3101</v>
      </c>
      <c r="Z1" s="4" t="s">
        <v>3102</v>
      </c>
      <c r="AA1" s="4" t="s">
        <v>3103</v>
      </c>
      <c r="AB1" s="4" t="s">
        <v>3104</v>
      </c>
      <c r="AC1" s="4" t="s">
        <v>3105</v>
      </c>
      <c r="AD1" s="4" t="s">
        <v>3106</v>
      </c>
      <c r="AE1" s="4" t="s">
        <v>3107</v>
      </c>
      <c r="AF1" s="4" t="s">
        <v>3108</v>
      </c>
      <c r="AG1" s="4" t="s">
        <v>3109</v>
      </c>
      <c r="AH1" s="4" t="s">
        <v>3110</v>
      </c>
      <c r="AI1" s="4" t="s">
        <v>3111</v>
      </c>
      <c r="AJ1" s="4" t="s">
        <v>3112</v>
      </c>
      <c r="AK1" s="4" t="s">
        <v>3113</v>
      </c>
      <c r="AL1" s="4" t="s">
        <v>3114</v>
      </c>
      <c r="AM1" s="4" t="s">
        <v>3115</v>
      </c>
      <c r="AN1" s="4" t="s">
        <v>3116</v>
      </c>
      <c r="AO1" s="4" t="s">
        <v>3117</v>
      </c>
      <c r="AP1" s="4" t="s">
        <v>3118</v>
      </c>
      <c r="AQ1" s="4" t="s">
        <v>3119</v>
      </c>
      <c r="AR1" s="4" t="s">
        <v>3120</v>
      </c>
      <c r="AS1" s="4" t="s">
        <v>3121</v>
      </c>
      <c r="AT1" s="4" t="s">
        <v>3122</v>
      </c>
      <c r="AU1" s="4" t="s">
        <v>3123</v>
      </c>
      <c r="AV1" s="8" t="s">
        <v>3124</v>
      </c>
      <c r="AW1" s="4" t="s">
        <v>3125</v>
      </c>
      <c r="AX1" s="4" t="s">
        <v>3126</v>
      </c>
      <c r="AY1" s="4" t="s">
        <v>3127</v>
      </c>
      <c r="AZ1" s="4" t="s">
        <v>3128</v>
      </c>
      <c r="BA1" s="4" t="s">
        <v>3129</v>
      </c>
      <c r="BB1" s="4" t="s">
        <v>3130</v>
      </c>
      <c r="BC1" s="4" t="s">
        <v>3131</v>
      </c>
      <c r="BD1" s="4" t="s">
        <v>3132</v>
      </c>
      <c r="BE1" s="4" t="s">
        <v>3133</v>
      </c>
      <c r="BF1" s="4" t="s">
        <v>3134</v>
      </c>
      <c r="BG1" s="4" t="s">
        <v>3135</v>
      </c>
      <c r="BH1" s="4" t="s">
        <v>3136</v>
      </c>
      <c r="BI1" s="4" t="s">
        <v>3137</v>
      </c>
      <c r="BJ1" s="4" t="s">
        <v>3138</v>
      </c>
      <c r="BK1" s="4" t="s">
        <v>3139</v>
      </c>
      <c r="BL1" s="4" t="s">
        <v>3140</v>
      </c>
      <c r="BM1" s="4" t="s">
        <v>3141</v>
      </c>
      <c r="BN1" s="4" t="s">
        <v>3142</v>
      </c>
      <c r="BO1" s="4" t="s">
        <v>3143</v>
      </c>
      <c r="BP1" s="4" t="s">
        <v>3144</v>
      </c>
      <c r="BQ1" s="4" t="s">
        <v>3145</v>
      </c>
      <c r="BR1" s="4" t="s">
        <v>3146</v>
      </c>
      <c r="BS1" s="4" t="s">
        <v>3147</v>
      </c>
      <c r="BT1" s="4" t="s">
        <v>3148</v>
      </c>
      <c r="BU1" s="4" t="s">
        <v>3149</v>
      </c>
      <c r="BV1" s="4" t="s">
        <v>3150</v>
      </c>
      <c r="BW1" s="4" t="s">
        <v>3151</v>
      </c>
      <c r="BX1" s="4" t="s">
        <v>3152</v>
      </c>
      <c r="BY1" s="4" t="s">
        <v>3153</v>
      </c>
      <c r="BZ1" s="4" t="s">
        <v>3154</v>
      </c>
      <c r="CA1" s="4" t="s">
        <v>3155</v>
      </c>
      <c r="CB1" s="4" t="s">
        <v>3156</v>
      </c>
      <c r="CC1" s="4" t="s">
        <v>3157</v>
      </c>
      <c r="CD1" s="4" t="s">
        <v>3158</v>
      </c>
      <c r="CE1" s="4" t="s">
        <v>3159</v>
      </c>
      <c r="CF1" s="4" t="s">
        <v>3160</v>
      </c>
      <c r="CG1" s="4" t="s">
        <v>3161</v>
      </c>
      <c r="CH1" s="4" t="s">
        <v>3162</v>
      </c>
      <c r="CI1" s="4" t="s">
        <v>3163</v>
      </c>
      <c r="CJ1" s="4" t="s">
        <v>3164</v>
      </c>
      <c r="CK1" s="4" t="s">
        <v>3165</v>
      </c>
      <c r="CL1" s="4" t="s">
        <v>3166</v>
      </c>
      <c r="CM1" s="4" t="s">
        <v>3167</v>
      </c>
      <c r="CN1" s="4" t="s">
        <v>3168</v>
      </c>
      <c r="CO1" s="4" t="s">
        <v>3169</v>
      </c>
      <c r="CP1" s="4" t="s">
        <v>3170</v>
      </c>
      <c r="CQ1" s="4" t="s">
        <v>3171</v>
      </c>
      <c r="CR1" s="4" t="s">
        <v>3172</v>
      </c>
      <c r="CS1" s="4" t="s">
        <v>3173</v>
      </c>
      <c r="CT1" s="4" t="s">
        <v>3174</v>
      </c>
      <c r="CU1" s="4" t="s">
        <v>3175</v>
      </c>
      <c r="CV1" s="4" t="s">
        <v>3176</v>
      </c>
      <c r="CW1" s="8" t="s">
        <v>3177</v>
      </c>
      <c r="CX1" s="4" t="s">
        <v>3178</v>
      </c>
      <c r="CY1" s="4" t="s">
        <v>3179</v>
      </c>
      <c r="CZ1" s="4" t="s">
        <v>3180</v>
      </c>
      <c r="DA1" s="4" t="s">
        <v>3181</v>
      </c>
      <c r="DB1" s="4" t="s">
        <v>3182</v>
      </c>
      <c r="DC1" s="4" t="s">
        <v>3183</v>
      </c>
      <c r="DD1" s="4" t="s">
        <v>3184</v>
      </c>
      <c r="DE1" s="4" t="s">
        <v>3185</v>
      </c>
      <c r="DF1" s="4" t="s">
        <v>3186</v>
      </c>
      <c r="DG1" s="4" t="s">
        <v>3187</v>
      </c>
      <c r="DH1" s="4" t="s">
        <v>3188</v>
      </c>
      <c r="DI1" s="4" t="s">
        <v>3189</v>
      </c>
      <c r="DJ1" s="4" t="s">
        <v>3190</v>
      </c>
      <c r="DK1" s="4" t="s">
        <v>3191</v>
      </c>
      <c r="DL1" s="4" t="s">
        <v>3192</v>
      </c>
      <c r="DM1" s="4" t="s">
        <v>3193</v>
      </c>
      <c r="DN1" s="4" t="s">
        <v>3194</v>
      </c>
      <c r="DO1" s="4" t="s">
        <v>3195</v>
      </c>
      <c r="DP1" s="4" t="s">
        <v>3196</v>
      </c>
      <c r="DQ1" s="4" t="s">
        <v>3197</v>
      </c>
      <c r="DR1" s="4" t="s">
        <v>3198</v>
      </c>
      <c r="DS1" s="4" t="s">
        <v>3199</v>
      </c>
      <c r="DT1" s="4" t="s">
        <v>3200</v>
      </c>
      <c r="DU1" s="4" t="s">
        <v>3201</v>
      </c>
      <c r="DV1" s="4" t="s">
        <v>3202</v>
      </c>
      <c r="DW1" s="4" t="s">
        <v>3203</v>
      </c>
      <c r="DX1" s="4" t="s">
        <v>3204</v>
      </c>
      <c r="DY1" s="4" t="s">
        <v>3205</v>
      </c>
      <c r="DZ1" s="4" t="s">
        <v>3206</v>
      </c>
      <c r="EA1" s="4" t="s">
        <v>3207</v>
      </c>
      <c r="EB1" s="4" t="s">
        <v>3045</v>
      </c>
      <c r="EC1" s="4" t="s">
        <v>3046</v>
      </c>
      <c r="ED1" s="4" t="s">
        <v>3047</v>
      </c>
      <c r="EE1" s="4" t="s">
        <v>3048</v>
      </c>
      <c r="EF1" s="4" t="s">
        <v>3049</v>
      </c>
      <c r="EG1" s="4" t="s">
        <v>3050</v>
      </c>
      <c r="EH1" s="4" t="s">
        <v>3051</v>
      </c>
      <c r="EI1" s="4" t="s">
        <v>3052</v>
      </c>
      <c r="EJ1" s="4" t="s">
        <v>3053</v>
      </c>
      <c r="EK1" s="4" t="s">
        <v>3054</v>
      </c>
      <c r="EL1" s="4" t="s">
        <v>3055</v>
      </c>
      <c r="EM1" s="4" t="s">
        <v>3056</v>
      </c>
      <c r="EN1" s="4" t="s">
        <v>3057</v>
      </c>
      <c r="EO1" s="4" t="s">
        <v>3058</v>
      </c>
      <c r="EP1" s="4" t="s">
        <v>3059</v>
      </c>
      <c r="EQ1" s="4" t="s">
        <v>3060</v>
      </c>
      <c r="ER1" s="4" t="s">
        <v>3061</v>
      </c>
      <c r="ES1" s="4" t="s">
        <v>3062</v>
      </c>
      <c r="ET1" s="4" t="s">
        <v>3063</v>
      </c>
      <c r="EU1" s="4" t="s">
        <v>3064</v>
      </c>
      <c r="EV1" s="4" t="s">
        <v>3065</v>
      </c>
      <c r="EW1" s="4" t="s">
        <v>3066</v>
      </c>
      <c r="EX1" s="4" t="s">
        <v>3067</v>
      </c>
      <c r="EY1" s="4" t="s">
        <v>3068</v>
      </c>
      <c r="EZ1" s="4" t="s">
        <v>3069</v>
      </c>
      <c r="FA1" s="4" t="s">
        <v>3070</v>
      </c>
      <c r="FB1" s="4" t="s">
        <v>3071</v>
      </c>
      <c r="FC1" s="4" t="s">
        <v>3072</v>
      </c>
      <c r="FD1" s="4" t="s">
        <v>3073</v>
      </c>
      <c r="FE1" s="4" t="s">
        <v>3074</v>
      </c>
      <c r="FF1" s="4" t="s">
        <v>3075</v>
      </c>
      <c r="FG1" s="4" t="s">
        <v>3076</v>
      </c>
      <c r="FH1" s="4" t="s">
        <v>3077</v>
      </c>
      <c r="FI1" s="4" t="s">
        <v>3078</v>
      </c>
    </row>
    <row r="2" spans="1:165" x14ac:dyDescent="0.3">
      <c r="A2" s="4" t="s">
        <v>2997</v>
      </c>
      <c r="B2" s="24">
        <v>35.099264980134606</v>
      </c>
      <c r="C2" s="25">
        <v>17.208199951350039</v>
      </c>
      <c r="D2" s="26">
        <v>2.7997468174815539</v>
      </c>
      <c r="E2" s="25">
        <v>9.5601110840833563</v>
      </c>
      <c r="F2" s="25">
        <v>8.8772460066488303</v>
      </c>
      <c r="G2" s="25">
        <v>3.0728928484553641</v>
      </c>
      <c r="H2" s="25">
        <v>23.14912612503041</v>
      </c>
      <c r="I2" s="25">
        <v>45.615387172626299</v>
      </c>
      <c r="J2" s="25">
        <v>10.789268223465502</v>
      </c>
      <c r="K2" s="25">
        <v>9.1503920376226411</v>
      </c>
      <c r="L2" s="25">
        <v>27.109743574150659</v>
      </c>
      <c r="M2" s="25">
        <v>17.549632490067303</v>
      </c>
      <c r="N2" s="25">
        <v>3.6191849104029843</v>
      </c>
      <c r="O2" s="25">
        <v>8.4675269601881151</v>
      </c>
      <c r="P2" s="25">
        <v>4.0971904646071522</v>
      </c>
      <c r="Q2" s="25">
        <v>8.6040999756750196</v>
      </c>
      <c r="R2" s="25">
        <v>8.6040999756750196</v>
      </c>
      <c r="S2" s="25">
        <v>2.5948872942511962</v>
      </c>
      <c r="T2" s="25">
        <v>3.3460388794291749</v>
      </c>
      <c r="U2" s="25">
        <v>73.954287886159094</v>
      </c>
      <c r="V2" s="25">
        <v>7.8529483904970423</v>
      </c>
      <c r="W2" s="25">
        <v>15.501037257763727</v>
      </c>
      <c r="X2" s="25">
        <v>4.7800555420416782</v>
      </c>
      <c r="Y2" s="25">
        <v>2.7314603097381021</v>
      </c>
      <c r="Z2" s="25">
        <v>19.598227722370879</v>
      </c>
      <c r="AA2" s="25">
        <v>23.14912612503041</v>
      </c>
      <c r="AB2" s="25">
        <v>15.159604719046463</v>
      </c>
      <c r="AC2" s="25">
        <v>10.311262669261334</v>
      </c>
      <c r="AD2" s="25">
        <v>19.051935660423258</v>
      </c>
      <c r="AE2" s="25">
        <v>11.881852347360741</v>
      </c>
      <c r="AF2" s="25">
        <v>34.689545933673891</v>
      </c>
      <c r="AG2" s="25">
        <v>11.540419808643477</v>
      </c>
      <c r="AH2" s="25">
        <v>197.62115340955165</v>
      </c>
      <c r="AI2" s="25">
        <v>92.459931484634751</v>
      </c>
      <c r="AJ2" s="25">
        <v>49.985723668207264</v>
      </c>
      <c r="AK2" s="25">
        <v>15.227891226789916</v>
      </c>
      <c r="AL2" s="25">
        <v>9.7649706073137139</v>
      </c>
      <c r="AM2" s="25">
        <v>39.742747506689383</v>
      </c>
      <c r="AN2" s="25">
        <v>19.051935660423258</v>
      </c>
      <c r="AO2" s="25">
        <v>16.525334873915515</v>
      </c>
      <c r="AP2" s="25">
        <v>9.6283975918268077</v>
      </c>
      <c r="AQ2" s="25">
        <v>18.095924552014921</v>
      </c>
      <c r="AR2" s="25">
        <v>6.0774991891672769</v>
      </c>
      <c r="AS2" s="25">
        <v>18.642216613962546</v>
      </c>
      <c r="AT2" s="25">
        <v>10.652695207978596</v>
      </c>
      <c r="AU2" s="25">
        <v>37.830725289872703</v>
      </c>
      <c r="AV2" s="26">
        <v>6.1457856969107283</v>
      </c>
      <c r="AW2" s="25">
        <v>28.065754682558996</v>
      </c>
      <c r="AX2" s="25">
        <v>16.252188842941706</v>
      </c>
      <c r="AY2" s="25">
        <v>19.803087245601237</v>
      </c>
      <c r="AZ2" s="25">
        <v>15.774183288737538</v>
      </c>
      <c r="BA2" s="25">
        <v>17.549632490067303</v>
      </c>
      <c r="BB2" s="25">
        <v>51.351453823076312</v>
      </c>
      <c r="BC2" s="25">
        <v>35.304124503364967</v>
      </c>
      <c r="BD2" s="25">
        <v>269.86827860212446</v>
      </c>
      <c r="BE2" s="25">
        <v>7.9895214059839459</v>
      </c>
      <c r="BF2" s="25">
        <v>54.356060163788221</v>
      </c>
      <c r="BG2" s="25">
        <v>9.1503920376226411</v>
      </c>
      <c r="BH2" s="25">
        <v>7.7846618827535901</v>
      </c>
      <c r="BI2" s="25">
        <v>9.8332571150571653</v>
      </c>
      <c r="BJ2" s="25">
        <v>37.079573704694724</v>
      </c>
      <c r="BK2" s="25">
        <v>6.1457856969107283</v>
      </c>
      <c r="BL2" s="25">
        <v>15.56932376550718</v>
      </c>
      <c r="BM2" s="25">
        <v>10.379549177004785</v>
      </c>
      <c r="BN2" s="25">
        <v>17.617918997810758</v>
      </c>
      <c r="BO2" s="25">
        <v>370.79573704694729</v>
      </c>
      <c r="BP2" s="25">
        <v>48.893139544312014</v>
      </c>
      <c r="BQ2" s="25">
        <v>5.1897745885023925</v>
      </c>
      <c r="BR2" s="25">
        <v>22.944266601800056</v>
      </c>
      <c r="BS2" s="25">
        <v>6.4872182356279913</v>
      </c>
      <c r="BT2" s="25">
        <v>20.144519784318501</v>
      </c>
      <c r="BU2" s="25">
        <v>6.9652237898321596</v>
      </c>
      <c r="BV2" s="25">
        <v>34.279826887213176</v>
      </c>
      <c r="BW2" s="25">
        <v>11.130700762182764</v>
      </c>
      <c r="BX2" s="25">
        <v>8.0578079137273999</v>
      </c>
      <c r="BY2" s="25">
        <v>16.183902335198255</v>
      </c>
      <c r="BZ2" s="25">
        <v>79.826927552096024</v>
      </c>
      <c r="CA2" s="25">
        <v>9.4918245763399032</v>
      </c>
      <c r="CB2" s="25">
        <v>39.333028460228661</v>
      </c>
      <c r="CC2" s="25">
        <v>14.27188011838158</v>
      </c>
      <c r="CD2" s="25">
        <v>48.07370145139059</v>
      </c>
      <c r="CE2" s="25">
        <v>17.822778521041116</v>
      </c>
      <c r="CF2" s="25">
        <v>9.9698301305440715</v>
      </c>
      <c r="CG2" s="25">
        <v>13.725588056433962</v>
      </c>
      <c r="CH2" s="25">
        <v>17.413059474580397</v>
      </c>
      <c r="CI2" s="25">
        <v>3.1411793561988164</v>
      </c>
      <c r="CJ2" s="25">
        <v>24.788002310873271</v>
      </c>
      <c r="CK2" s="25">
        <v>3.0728928484553641</v>
      </c>
      <c r="CL2" s="25">
        <v>7.9895214059839459</v>
      </c>
      <c r="CM2" s="25">
        <v>17.413059474580397</v>
      </c>
      <c r="CN2" s="25">
        <v>9.6966840995702608</v>
      </c>
      <c r="CO2" s="25">
        <v>0</v>
      </c>
      <c r="CP2" s="25">
        <v>32.504377685883412</v>
      </c>
      <c r="CQ2" s="25">
        <v>0</v>
      </c>
      <c r="CR2" s="25">
        <v>25.675726911538156</v>
      </c>
      <c r="CS2" s="25">
        <v>14.681599164842298</v>
      </c>
      <c r="CT2" s="25">
        <v>35.713843549825683</v>
      </c>
      <c r="CU2" s="25">
        <v>24.105137233438747</v>
      </c>
      <c r="CV2" s="25">
        <v>12.769576948025625</v>
      </c>
      <c r="CW2" s="26">
        <v>9.7649706073137139</v>
      </c>
      <c r="CX2" s="25">
        <v>0.20485952323035764</v>
      </c>
      <c r="CY2" s="25">
        <v>15.296177734533368</v>
      </c>
      <c r="CZ2" s="25">
        <v>103.45405923133059</v>
      </c>
      <c r="DA2" s="25">
        <v>12.291571393821457</v>
      </c>
      <c r="DB2" s="25">
        <v>31.070361023270905</v>
      </c>
      <c r="DC2" s="25">
        <v>24.036850725695295</v>
      </c>
      <c r="DD2" s="25">
        <v>20.963957877239928</v>
      </c>
      <c r="DE2" s="25">
        <v>6.2140722046541814</v>
      </c>
      <c r="DF2" s="25">
        <v>71.359400591907914</v>
      </c>
      <c r="DG2" s="25">
        <v>9.6283975918268077</v>
      </c>
      <c r="DH2" s="25">
        <v>1.5705896780994082</v>
      </c>
      <c r="DI2" s="25">
        <v>25.197721357333986</v>
      </c>
      <c r="DJ2" s="25">
        <v>32.982383240087579</v>
      </c>
      <c r="DK2" s="25">
        <v>31.548366577475075</v>
      </c>
      <c r="DL2" s="25">
        <v>10.106403146030976</v>
      </c>
      <c r="DM2" s="25">
        <v>14.954745195816106</v>
      </c>
      <c r="DN2" s="25">
        <v>13.17929599448634</v>
      </c>
      <c r="DO2" s="25">
        <v>13.452442025460151</v>
      </c>
      <c r="DP2" s="25">
        <v>40.971904646071529</v>
      </c>
      <c r="DQ2" s="25">
        <v>7.1700833130625172</v>
      </c>
      <c r="DR2" s="25">
        <v>16.866767412632779</v>
      </c>
      <c r="DS2" s="25">
        <v>11.950138855104194</v>
      </c>
      <c r="DT2" s="25">
        <v>12.701290440282174</v>
      </c>
      <c r="DU2" s="25">
        <v>8.5358134679315683</v>
      </c>
      <c r="DV2" s="25">
        <v>10.174689653774429</v>
      </c>
      <c r="DW2" s="25">
        <v>32.367804670396509</v>
      </c>
      <c r="DX2" s="25">
        <v>20.076233276575046</v>
      </c>
      <c r="DY2" s="25">
        <v>31.13864753101436</v>
      </c>
      <c r="DZ2" s="25">
        <v>33.938394348495912</v>
      </c>
      <c r="EA2" s="25">
        <v>6.1457856969107283</v>
      </c>
      <c r="EB2" s="25">
        <v>6.2555713079521027</v>
      </c>
      <c r="EC2" s="25">
        <v>6.3714152210623274</v>
      </c>
      <c r="ED2" s="25">
        <v>13.206206094565552</v>
      </c>
      <c r="EE2" s="25">
        <v>11.275474209395149</v>
      </c>
      <c r="EF2" s="25">
        <v>18.419182184525638</v>
      </c>
      <c r="EG2" s="25">
        <v>17.878577256677925</v>
      </c>
      <c r="EH2" s="25">
        <v>14.905250153515507</v>
      </c>
      <c r="EI2" s="25">
        <v>10.310108266809948</v>
      </c>
      <c r="EJ2" s="25">
        <v>16.025074646914337</v>
      </c>
      <c r="EK2" s="25">
        <v>12.742830442124655</v>
      </c>
      <c r="EL2" s="25">
        <v>10.889327832361069</v>
      </c>
      <c r="EM2" s="25">
        <v>16.681523487872276</v>
      </c>
      <c r="EN2" s="25">
        <v>15.098323342032547</v>
      </c>
      <c r="EO2" s="25">
        <v>26.103495087503838</v>
      </c>
      <c r="EP2" s="25">
        <v>26.257953638317471</v>
      </c>
      <c r="EQ2" s="25">
        <v>27.995612334970833</v>
      </c>
      <c r="ER2" s="25">
        <v>10.039805802886091</v>
      </c>
      <c r="ES2" s="25">
        <v>18.728099286152901</v>
      </c>
      <c r="ET2" s="25">
        <v>10.078420440589502</v>
      </c>
      <c r="EU2" s="25">
        <v>8.8813666717838515</v>
      </c>
      <c r="EV2" s="25">
        <v>14.364645225667795</v>
      </c>
      <c r="EW2" s="25">
        <v>13.437893920785999</v>
      </c>
      <c r="EX2" s="25">
        <v>6.6417176849861841</v>
      </c>
      <c r="EY2" s="25">
        <v>24.44306566625729</v>
      </c>
      <c r="EZ2" s="25">
        <v>12.318069427387167</v>
      </c>
      <c r="FA2" s="25">
        <v>11.584391311022413</v>
      </c>
      <c r="FB2" s="25">
        <v>12.124996238870127</v>
      </c>
      <c r="FC2" s="25">
        <v>23.014324071231197</v>
      </c>
      <c r="FD2" s="25">
        <v>18.457796822229046</v>
      </c>
      <c r="FE2" s="25">
        <v>16.140918560024563</v>
      </c>
      <c r="FF2" s="25">
        <v>9.9625765274792766</v>
      </c>
      <c r="FG2" s="25">
        <v>10.117035078292908</v>
      </c>
      <c r="FH2" s="25">
        <v>14.403259863371201</v>
      </c>
      <c r="FI2" s="25">
        <v>17.917191894381332</v>
      </c>
    </row>
    <row r="3" spans="1:165" x14ac:dyDescent="0.3">
      <c r="A3" s="4" t="s">
        <v>2998</v>
      </c>
      <c r="B3" s="27">
        <v>34.163360293521457</v>
      </c>
      <c r="C3" s="27">
        <v>16.7493517392362</v>
      </c>
      <c r="D3" s="27">
        <v>2.7250929417011274</v>
      </c>
      <c r="E3" s="27">
        <v>9.3051954106867782</v>
      </c>
      <c r="F3" s="27">
        <v>8.6405385956377234</v>
      </c>
      <c r="G3" s="27">
        <v>2.9909556677207498</v>
      </c>
      <c r="H3" s="27">
        <v>22.531866030162981</v>
      </c>
      <c r="I3" s="27">
        <v>44.399075245276912</v>
      </c>
      <c r="J3" s="27">
        <v>10.501577677775078</v>
      </c>
      <c r="K3" s="27">
        <v>8.906401321657345</v>
      </c>
      <c r="L3" s="27">
        <v>26.386875557447507</v>
      </c>
      <c r="M3" s="27">
        <v>17.081680146760728</v>
      </c>
      <c r="N3" s="27">
        <v>3.5226811197599943</v>
      </c>
      <c r="O3" s="27">
        <v>8.2417445066082902</v>
      </c>
      <c r="P3" s="27">
        <v>3.9879408902943334</v>
      </c>
      <c r="Q3" s="27">
        <v>8.3746758696181001</v>
      </c>
      <c r="R3" s="27">
        <v>8.3746758696181001</v>
      </c>
      <c r="S3" s="27">
        <v>2.5256958971864112</v>
      </c>
      <c r="T3" s="27">
        <v>3.2568183937403727</v>
      </c>
      <c r="U3" s="27">
        <v>71.982333069812711</v>
      </c>
      <c r="V3" s="27">
        <v>7.6435533730641394</v>
      </c>
      <c r="W3" s="27">
        <v>15.087709701613562</v>
      </c>
      <c r="X3" s="27">
        <v>4.6525977053433891</v>
      </c>
      <c r="Y3" s="27">
        <v>2.6586272601962224</v>
      </c>
      <c r="Z3" s="27">
        <v>19.075650591907895</v>
      </c>
      <c r="AA3" s="27">
        <v>22.531866030162981</v>
      </c>
      <c r="AB3" s="27">
        <v>14.755381294089032</v>
      </c>
      <c r="AC3" s="27">
        <v>10.03631790724074</v>
      </c>
      <c r="AD3" s="27">
        <v>18.543925139868652</v>
      </c>
      <c r="AE3" s="27">
        <v>11.565028581853566</v>
      </c>
      <c r="AF3" s="27">
        <v>33.76456620449202</v>
      </c>
      <c r="AG3" s="27">
        <v>11.232700174329038</v>
      </c>
      <c r="AH3" s="27">
        <v>192.35168227519668</v>
      </c>
      <c r="AI3" s="27">
        <v>89.994532757642133</v>
      </c>
      <c r="AJ3" s="27">
        <v>48.652878861590871</v>
      </c>
      <c r="AK3" s="27">
        <v>14.821846975593939</v>
      </c>
      <c r="AL3" s="27">
        <v>9.5045924552014949</v>
      </c>
      <c r="AM3" s="27">
        <v>38.683026635855036</v>
      </c>
      <c r="AN3" s="27">
        <v>18.543925139868652</v>
      </c>
      <c r="AO3" s="27">
        <v>16.084694924187144</v>
      </c>
      <c r="AP3" s="27">
        <v>9.3716610921916832</v>
      </c>
      <c r="AQ3" s="27">
        <v>17.613405598799972</v>
      </c>
      <c r="AR3" s="27">
        <v>5.9154456539365947</v>
      </c>
      <c r="AS3" s="27">
        <v>18.145131050839218</v>
      </c>
      <c r="AT3" s="27">
        <v>10.368646314765266</v>
      </c>
      <c r="AU3" s="27">
        <v>36.821987553717676</v>
      </c>
      <c r="AV3" s="27">
        <v>5.9819113354414997</v>
      </c>
      <c r="AW3" s="27">
        <v>27.317395098516183</v>
      </c>
      <c r="AX3" s="27">
        <v>15.818832198167524</v>
      </c>
      <c r="AY3" s="27">
        <v>19.275047636422613</v>
      </c>
      <c r="AZ3" s="27">
        <v>15.353572427633186</v>
      </c>
      <c r="BA3" s="27">
        <v>17.081680146760728</v>
      </c>
      <c r="BB3" s="27">
        <v>49.982192491688984</v>
      </c>
      <c r="BC3" s="27">
        <v>34.362757338036175</v>
      </c>
      <c r="BD3" s="27">
        <v>262.67237330738675</v>
      </c>
      <c r="BE3" s="27">
        <v>7.7764847360739493</v>
      </c>
      <c r="BF3" s="27">
        <v>52.906682477904816</v>
      </c>
      <c r="BG3" s="27">
        <v>8.906401321657345</v>
      </c>
      <c r="BH3" s="27">
        <v>7.5770876915592345</v>
      </c>
      <c r="BI3" s="27">
        <v>9.5710581367063998</v>
      </c>
      <c r="BJ3" s="27">
        <v>36.090865057163711</v>
      </c>
      <c r="BK3" s="27">
        <v>5.9819113354414997</v>
      </c>
      <c r="BL3" s="27">
        <v>15.154175383118469</v>
      </c>
      <c r="BM3" s="27">
        <v>10.102783588745645</v>
      </c>
      <c r="BN3" s="27">
        <v>17.148145828265637</v>
      </c>
      <c r="BO3" s="27">
        <v>360.90865057163717</v>
      </c>
      <c r="BP3" s="27">
        <v>47.58942795751237</v>
      </c>
      <c r="BQ3" s="27">
        <v>5.0513917943728224</v>
      </c>
      <c r="BR3" s="27">
        <v>22.332468985648269</v>
      </c>
      <c r="BS3" s="27">
        <v>6.314239742966028</v>
      </c>
      <c r="BT3" s="27">
        <v>19.607376043947138</v>
      </c>
      <c r="BU3" s="27">
        <v>6.7794995135003671</v>
      </c>
      <c r="BV3" s="27">
        <v>33.36577211546259</v>
      </c>
      <c r="BW3" s="27">
        <v>10.833906085299606</v>
      </c>
      <c r="BX3" s="27">
        <v>7.842950417578856</v>
      </c>
      <c r="BY3" s="27">
        <v>15.752366516662617</v>
      </c>
      <c r="BZ3" s="27">
        <v>77.6983816792346</v>
      </c>
      <c r="CA3" s="27">
        <v>9.2387297291818715</v>
      </c>
      <c r="CB3" s="27">
        <v>38.284232546825599</v>
      </c>
      <c r="CC3" s="27">
        <v>13.891327434525261</v>
      </c>
      <c r="CD3" s="27">
        <v>46.791839779453511</v>
      </c>
      <c r="CE3" s="27">
        <v>17.347542872780352</v>
      </c>
      <c r="CF3" s="27">
        <v>9.7039894997162115</v>
      </c>
      <c r="CG3" s="27">
        <v>13.359601982486017</v>
      </c>
      <c r="CH3" s="27">
        <v>16.948748783750915</v>
      </c>
      <c r="CI3" s="27">
        <v>3.0574213492256552</v>
      </c>
      <c r="CJ3" s="27">
        <v>24.127042386280717</v>
      </c>
      <c r="CK3" s="27">
        <v>2.9909556677207498</v>
      </c>
      <c r="CL3" s="27">
        <v>7.7764847360739493</v>
      </c>
      <c r="CM3" s="27">
        <v>16.948748783750915</v>
      </c>
      <c r="CN3" s="27">
        <v>9.4381267736965881</v>
      </c>
      <c r="CO3" s="27">
        <v>0</v>
      </c>
      <c r="CP3" s="27">
        <v>31.637664396335047</v>
      </c>
      <c r="CQ3" s="27">
        <v>0</v>
      </c>
      <c r="CR3" s="27">
        <v>24.991096245844492</v>
      </c>
      <c r="CS3" s="27">
        <v>14.290121523554696</v>
      </c>
      <c r="CT3" s="27">
        <v>34.761551427065605</v>
      </c>
      <c r="CU3" s="27">
        <v>23.46238557123166</v>
      </c>
      <c r="CV3" s="27">
        <v>12.429082441417339</v>
      </c>
      <c r="CW3" s="27">
        <v>9.5045924552014949</v>
      </c>
      <c r="CX3" s="27">
        <v>0.19939704451471668</v>
      </c>
      <c r="CY3" s="27">
        <v>14.888312657098842</v>
      </c>
      <c r="CZ3" s="27">
        <v>100.69550747993192</v>
      </c>
      <c r="DA3" s="27">
        <v>11.963822670882999</v>
      </c>
      <c r="DB3" s="27">
        <v>30.241885084732026</v>
      </c>
      <c r="DC3" s="27">
        <v>23.395919889726756</v>
      </c>
      <c r="DD3" s="27">
        <v>20.404964222006004</v>
      </c>
      <c r="DE3" s="27">
        <v>6.0483770169464055</v>
      </c>
      <c r="DF3" s="27">
        <v>69.456637172626316</v>
      </c>
      <c r="DG3" s="27">
        <v>9.3716610921916832</v>
      </c>
      <c r="DH3" s="27">
        <v>1.5287106746128276</v>
      </c>
      <c r="DI3" s="27">
        <v>24.52583647531015</v>
      </c>
      <c r="DJ3" s="27">
        <v>32.102924166869386</v>
      </c>
      <c r="DK3" s="27">
        <v>30.707144855266371</v>
      </c>
      <c r="DL3" s="27">
        <v>9.8369208627260232</v>
      </c>
      <c r="DM3" s="27">
        <v>14.555984249574315</v>
      </c>
      <c r="DN3" s="27">
        <v>12.827876530446773</v>
      </c>
      <c r="DO3" s="27">
        <v>13.093739256466394</v>
      </c>
      <c r="DP3" s="27">
        <v>39.879408902943339</v>
      </c>
      <c r="DQ3" s="27">
        <v>6.9788965580150837</v>
      </c>
      <c r="DR3" s="27">
        <v>16.417023331711672</v>
      </c>
      <c r="DS3" s="27">
        <v>11.631494263358473</v>
      </c>
      <c r="DT3" s="27">
        <v>12.362616759912434</v>
      </c>
      <c r="DU3" s="27">
        <v>8.3082101881131951</v>
      </c>
      <c r="DV3" s="27">
        <v>9.9033865442309281</v>
      </c>
      <c r="DW3" s="27">
        <v>31.504733033325234</v>
      </c>
      <c r="DX3" s="27">
        <v>19.540910362442233</v>
      </c>
      <c r="DY3" s="27">
        <v>30.308350766236938</v>
      </c>
      <c r="DZ3" s="27">
        <v>33.033443707938062</v>
      </c>
      <c r="EA3" s="27">
        <v>5.9819113354414997</v>
      </c>
      <c r="EB3" s="27">
        <v>5.9497757906048507</v>
      </c>
      <c r="EC3" s="27">
        <v>6.0599568237642005</v>
      </c>
      <c r="ED3" s="27">
        <v>12.560637780165798</v>
      </c>
      <c r="EE3" s="27">
        <v>10.724287227509979</v>
      </c>
      <c r="EF3" s="27">
        <v>17.518784272336507</v>
      </c>
      <c r="EG3" s="27">
        <v>17.004606117592878</v>
      </c>
      <c r="EH3" s="27">
        <v>14.176626266502918</v>
      </c>
      <c r="EI3" s="27">
        <v>9.8061119511820696</v>
      </c>
      <c r="EJ3" s="27">
        <v>15.241709587043291</v>
      </c>
      <c r="EK3" s="27">
        <v>12.119913647528401</v>
      </c>
      <c r="EL3" s="27">
        <v>10.357017116978815</v>
      </c>
      <c r="EM3" s="27">
        <v>15.866068774946271</v>
      </c>
      <c r="EN3" s="27">
        <v>14.360261321768501</v>
      </c>
      <c r="EO3" s="27">
        <v>24.827459471906664</v>
      </c>
      <c r="EP3" s="27">
        <v>24.974367516119131</v>
      </c>
      <c r="EQ3" s="27">
        <v>26.627083013509367</v>
      </c>
      <c r="ER3" s="27">
        <v>9.5490228738102552</v>
      </c>
      <c r="ES3" s="27">
        <v>17.812600360761436</v>
      </c>
      <c r="ET3" s="27">
        <v>9.5857498848633735</v>
      </c>
      <c r="EU3" s="27">
        <v>8.4472125422167643</v>
      </c>
      <c r="EV3" s="27">
        <v>13.662448111759291</v>
      </c>
      <c r="EW3" s="27">
        <v>12.780999846484496</v>
      </c>
      <c r="EX3" s="27">
        <v>6.3170459011360149</v>
      </c>
      <c r="EY3" s="27">
        <v>23.248197996622658</v>
      </c>
      <c r="EZ3" s="27">
        <v>11.71591652594412</v>
      </c>
      <c r="FA3" s="27">
        <v>11.01810331593491</v>
      </c>
      <c r="FB3" s="27">
        <v>11.532281470678539</v>
      </c>
      <c r="FC3" s="27">
        <v>21.889298587657358</v>
      </c>
      <c r="FD3" s="27">
        <v>17.555511283389624</v>
      </c>
      <c r="FE3" s="27">
        <v>15.351890620202642</v>
      </c>
      <c r="FF3" s="27">
        <v>9.4755688517040237</v>
      </c>
      <c r="FG3" s="27">
        <v>9.6224768959164884</v>
      </c>
      <c r="FH3" s="27">
        <v>13.699175122812404</v>
      </c>
      <c r="FI3" s="27">
        <v>17.041333128645995</v>
      </c>
    </row>
    <row r="4" spans="1:165" x14ac:dyDescent="0.3">
      <c r="A4" s="4" t="s">
        <v>2999</v>
      </c>
      <c r="B4" s="27">
        <v>33.623801994648517</v>
      </c>
      <c r="C4" s="27">
        <v>16.484821211384098</v>
      </c>
      <c r="D4" s="27">
        <v>2.6820542447093172</v>
      </c>
      <c r="E4" s="27">
        <v>9.1582340063244985</v>
      </c>
      <c r="F4" s="27">
        <v>8.5040744344441777</v>
      </c>
      <c r="G4" s="27">
        <v>2.9437180734614459</v>
      </c>
      <c r="H4" s="27">
        <v>22.176009486742892</v>
      </c>
      <c r="I4" s="27">
        <v>43.697859401605463</v>
      </c>
      <c r="J4" s="27">
        <v>10.335721235709077</v>
      </c>
      <c r="K4" s="27">
        <v>8.7657382631963063</v>
      </c>
      <c r="L4" s="27">
        <v>25.970135003648757</v>
      </c>
      <c r="M4" s="27">
        <v>16.811900997324258</v>
      </c>
      <c r="N4" s="27">
        <v>3.4670457309657028</v>
      </c>
      <c r="O4" s="27">
        <v>8.1115786913159855</v>
      </c>
      <c r="P4" s="27">
        <v>3.924957431281928</v>
      </c>
      <c r="Q4" s="27">
        <v>8.242410605692049</v>
      </c>
      <c r="R4" s="27">
        <v>8.242410605692049</v>
      </c>
      <c r="S4" s="27">
        <v>2.4858063731452207</v>
      </c>
      <c r="T4" s="27">
        <v>3.205381902213575</v>
      </c>
      <c r="U4" s="27">
        <v>70.845481634638801</v>
      </c>
      <c r="V4" s="27">
        <v>7.5228350766236955</v>
      </c>
      <c r="W4" s="27">
        <v>14.849422281683294</v>
      </c>
      <c r="X4" s="27">
        <v>4.5791170031622492</v>
      </c>
      <c r="Y4" s="27">
        <v>2.6166382875212855</v>
      </c>
      <c r="Z4" s="27">
        <v>18.774379712965221</v>
      </c>
      <c r="AA4" s="27">
        <v>22.176009486742892</v>
      </c>
      <c r="AB4" s="27">
        <v>14.522342495743132</v>
      </c>
      <c r="AC4" s="27">
        <v>9.877809535392851</v>
      </c>
      <c r="AD4" s="27">
        <v>18.251052055460963</v>
      </c>
      <c r="AE4" s="27">
        <v>11.38237655071759</v>
      </c>
      <c r="AF4" s="27">
        <v>33.231306251520316</v>
      </c>
      <c r="AG4" s="27">
        <v>11.055296764777429</v>
      </c>
      <c r="AH4" s="27">
        <v>189.31378010216497</v>
      </c>
      <c r="AI4" s="27">
        <v>88.573206032595508</v>
      </c>
      <c r="AJ4" s="27">
        <v>47.884480661639522</v>
      </c>
      <c r="AK4" s="27">
        <v>14.587758452931165</v>
      </c>
      <c r="AL4" s="27">
        <v>9.3544818778885954</v>
      </c>
      <c r="AM4" s="27">
        <v>38.072087083434702</v>
      </c>
      <c r="AN4" s="27">
        <v>18.251052055460963</v>
      </c>
      <c r="AO4" s="27">
        <v>15.830661639503775</v>
      </c>
      <c r="AP4" s="27">
        <v>9.2236499635125302</v>
      </c>
      <c r="AQ4" s="27">
        <v>17.335228654828512</v>
      </c>
      <c r="AR4" s="27">
        <v>5.82202018973486</v>
      </c>
      <c r="AS4" s="27">
        <v>17.858556312332773</v>
      </c>
      <c r="AT4" s="27">
        <v>10.204889321333013</v>
      </c>
      <c r="AU4" s="27">
        <v>36.2404402821698</v>
      </c>
      <c r="AV4" s="27">
        <v>5.8874361469228917</v>
      </c>
      <c r="AW4" s="27">
        <v>26.885958404281208</v>
      </c>
      <c r="AX4" s="27">
        <v>15.568997810751648</v>
      </c>
      <c r="AY4" s="27">
        <v>18.970627584529318</v>
      </c>
      <c r="AZ4" s="27">
        <v>15.111086110435423</v>
      </c>
      <c r="BA4" s="27">
        <v>16.811900997324258</v>
      </c>
      <c r="BB4" s="27">
        <v>49.192799805400163</v>
      </c>
      <c r="BC4" s="27">
        <v>33.820049866212614</v>
      </c>
      <c r="BD4" s="27">
        <v>258.523862807103</v>
      </c>
      <c r="BE4" s="27">
        <v>7.6536669909997581</v>
      </c>
      <c r="BF4" s="27">
        <v>52.071101921673574</v>
      </c>
      <c r="BG4" s="27">
        <v>8.7657382631963063</v>
      </c>
      <c r="BH4" s="27">
        <v>7.4574191194356638</v>
      </c>
      <c r="BI4" s="27">
        <v>9.4198978350766271</v>
      </c>
      <c r="BJ4" s="27">
        <v>35.520864753101442</v>
      </c>
      <c r="BK4" s="27">
        <v>5.8874361469228917</v>
      </c>
      <c r="BL4" s="27">
        <v>14.914838238871328</v>
      </c>
      <c r="BM4" s="27">
        <v>9.9432254925808827</v>
      </c>
      <c r="BN4" s="27">
        <v>16.877316954512292</v>
      </c>
      <c r="BO4" s="27">
        <v>355.20864753101449</v>
      </c>
      <c r="BP4" s="27">
        <v>46.837825346631</v>
      </c>
      <c r="BQ4" s="27">
        <v>4.9716127462904414</v>
      </c>
      <c r="BR4" s="27">
        <v>21.979761615178798</v>
      </c>
      <c r="BS4" s="27">
        <v>6.2145159328630522</v>
      </c>
      <c r="BT4" s="27">
        <v>19.297707370469478</v>
      </c>
      <c r="BU4" s="27">
        <v>6.6724276331792778</v>
      </c>
      <c r="BV4" s="27">
        <v>32.838810508392129</v>
      </c>
      <c r="BW4" s="27">
        <v>10.662801021649237</v>
      </c>
      <c r="BX4" s="27">
        <v>7.7190829481877916</v>
      </c>
      <c r="BY4" s="27">
        <v>15.503581853563615</v>
      </c>
      <c r="BZ4" s="27">
        <v>76.471253952809576</v>
      </c>
      <c r="CA4" s="27">
        <v>9.092818049136465</v>
      </c>
      <c r="CB4" s="27">
        <v>37.679591340306509</v>
      </c>
      <c r="CC4" s="27">
        <v>13.671935052298714</v>
      </c>
      <c r="CD4" s="27">
        <v>46.052833860374619</v>
      </c>
      <c r="CE4" s="27">
        <v>17.073564826076389</v>
      </c>
      <c r="CF4" s="27">
        <v>9.5507297494526906</v>
      </c>
      <c r="CG4" s="27">
        <v>13.148607394794459</v>
      </c>
      <c r="CH4" s="27">
        <v>16.681069082948191</v>
      </c>
      <c r="CI4" s="27">
        <v>3.0091340306494776</v>
      </c>
      <c r="CJ4" s="27">
        <v>23.745992459255664</v>
      </c>
      <c r="CK4" s="27">
        <v>2.9437180734614459</v>
      </c>
      <c r="CL4" s="27">
        <v>7.6536669909997581</v>
      </c>
      <c r="CM4" s="27">
        <v>16.681069082948191</v>
      </c>
      <c r="CN4" s="27">
        <v>9.2890659207005619</v>
      </c>
      <c r="CO4" s="27">
        <v>0</v>
      </c>
      <c r="CP4" s="27">
        <v>31.137995621503297</v>
      </c>
      <c r="CQ4" s="27">
        <v>0</v>
      </c>
      <c r="CR4" s="27">
        <v>24.596399902700082</v>
      </c>
      <c r="CS4" s="27">
        <v>14.06443079542691</v>
      </c>
      <c r="CT4" s="27">
        <v>34.212545609340808</v>
      </c>
      <c r="CU4" s="27">
        <v>23.09183288737534</v>
      </c>
      <c r="CV4" s="27">
        <v>12.232783994162009</v>
      </c>
      <c r="CW4" s="27">
        <v>9.3544818778885954</v>
      </c>
      <c r="CX4" s="27">
        <v>0.1962478715640964</v>
      </c>
      <c r="CY4" s="27">
        <v>14.653174410119195</v>
      </c>
      <c r="CZ4" s="27">
        <v>99.105175139868678</v>
      </c>
      <c r="DA4" s="27">
        <v>11.774872293845783</v>
      </c>
      <c r="DB4" s="27">
        <v>29.764260520554618</v>
      </c>
      <c r="DC4" s="27">
        <v>23.02641693018731</v>
      </c>
      <c r="DD4" s="27">
        <v>20.082698856725862</v>
      </c>
      <c r="DE4" s="27">
        <v>5.9528521041109235</v>
      </c>
      <c r="DF4" s="27">
        <v>68.359675261493578</v>
      </c>
      <c r="DG4" s="27">
        <v>9.2236499635125302</v>
      </c>
      <c r="DH4" s="27">
        <v>1.5045670153247388</v>
      </c>
      <c r="DI4" s="27">
        <v>24.138488202383854</v>
      </c>
      <c r="DJ4" s="27">
        <v>31.595907321819521</v>
      </c>
      <c r="DK4" s="27">
        <v>30.222172220870846</v>
      </c>
      <c r="DL4" s="27">
        <v>9.6815616638287558</v>
      </c>
      <c r="DM4" s="27">
        <v>14.326094624179035</v>
      </c>
      <c r="DN4" s="27">
        <v>12.625279737290201</v>
      </c>
      <c r="DO4" s="27">
        <v>12.88694356604233</v>
      </c>
      <c r="DP4" s="27">
        <v>39.249574312819284</v>
      </c>
      <c r="DQ4" s="27">
        <v>6.8686755047433738</v>
      </c>
      <c r="DR4" s="27">
        <v>16.157741425443938</v>
      </c>
      <c r="DS4" s="27">
        <v>11.447792507905623</v>
      </c>
      <c r="DT4" s="27">
        <v>12.167368036973977</v>
      </c>
      <c r="DU4" s="27">
        <v>8.1769946485040172</v>
      </c>
      <c r="DV4" s="27">
        <v>9.7469776210167876</v>
      </c>
      <c r="DW4" s="27">
        <v>31.00716370712723</v>
      </c>
      <c r="DX4" s="27">
        <v>19.232291413281445</v>
      </c>
      <c r="DY4" s="27">
        <v>29.829676477742655</v>
      </c>
      <c r="DZ4" s="27">
        <v>32.511730722451972</v>
      </c>
      <c r="EA4" s="27">
        <v>5.8874361469228917</v>
      </c>
      <c r="EB4" s="27">
        <v>5.7792082437826213</v>
      </c>
      <c r="EC4" s="27">
        <v>5.8862306186674855</v>
      </c>
      <c r="ED4" s="27">
        <v>12.200550736874424</v>
      </c>
      <c r="EE4" s="27">
        <v>10.416844488793368</v>
      </c>
      <c r="EF4" s="27">
        <v>17.016557606693276</v>
      </c>
      <c r="EG4" s="27">
        <v>16.517119857230579</v>
      </c>
      <c r="EH4" s="27">
        <v>13.770212235185754</v>
      </c>
      <c r="EI4" s="27">
        <v>9.5249913647528395</v>
      </c>
      <c r="EJ4" s="27">
        <v>14.804761859072764</v>
      </c>
      <c r="EK4" s="27">
        <v>11.772461237334971</v>
      </c>
      <c r="EL4" s="27">
        <v>10.060103239177156</v>
      </c>
      <c r="EM4" s="27">
        <v>15.411221983420326</v>
      </c>
      <c r="EN4" s="27">
        <v>13.948582859993861</v>
      </c>
      <c r="EO4" s="27">
        <v>24.115708474055879</v>
      </c>
      <c r="EP4" s="27">
        <v>24.258404973902362</v>
      </c>
      <c r="EQ4" s="27">
        <v>25.863740597175312</v>
      </c>
      <c r="ER4" s="27">
        <v>9.2752724900214929</v>
      </c>
      <c r="ES4" s="27">
        <v>17.301950606386246</v>
      </c>
      <c r="ET4" s="27">
        <v>9.3109466149831146</v>
      </c>
      <c r="EU4" s="27">
        <v>8.2050487411728596</v>
      </c>
      <c r="EV4" s="27">
        <v>13.270774485723059</v>
      </c>
      <c r="EW4" s="27">
        <v>12.414595486644151</v>
      </c>
      <c r="EX4" s="27">
        <v>6.135949493398833</v>
      </c>
      <c r="EY4" s="27">
        <v>22.581721100706169</v>
      </c>
      <c r="EZ4" s="27">
        <v>11.380045862757138</v>
      </c>
      <c r="FA4" s="27">
        <v>10.702237488486338</v>
      </c>
      <c r="FB4" s="27">
        <v>11.201675237949033</v>
      </c>
      <c r="FC4" s="27">
        <v>21.261778477126192</v>
      </c>
      <c r="FD4" s="27">
        <v>17.052231731654896</v>
      </c>
      <c r="FE4" s="27">
        <v>14.911784233957631</v>
      </c>
      <c r="FF4" s="27">
        <v>9.2039242400982513</v>
      </c>
      <c r="FG4" s="27">
        <v>9.3466207399447327</v>
      </c>
      <c r="FH4" s="27">
        <v>13.306448610684679</v>
      </c>
      <c r="FI4" s="27">
        <v>16.552793982192199</v>
      </c>
    </row>
    <row r="5" spans="1:165" x14ac:dyDescent="0.3">
      <c r="A5" s="4" t="s">
        <v>3000</v>
      </c>
      <c r="B5" s="27">
        <v>32.759320927592647</v>
      </c>
      <c r="C5" s="27">
        <v>16.060990026757484</v>
      </c>
      <c r="D5" s="27">
        <v>2.6130975837184791</v>
      </c>
      <c r="E5" s="27">
        <v>8.9227722370874911</v>
      </c>
      <c r="F5" s="28">
        <v>8.2854313630098133</v>
      </c>
      <c r="G5" s="28">
        <v>2.8680339333495506</v>
      </c>
      <c r="H5" s="27">
        <v>21.605855631233279</v>
      </c>
      <c r="I5" s="27">
        <v>42.574370388388886</v>
      </c>
      <c r="J5" s="27">
        <v>10.069985810427312</v>
      </c>
      <c r="K5" s="27">
        <v>8.5403677126408848</v>
      </c>
      <c r="L5" s="27">
        <v>25.302432700883813</v>
      </c>
      <c r="M5" s="27">
        <v>16.379660463796323</v>
      </c>
      <c r="N5" s="27">
        <v>3.3779066326116927</v>
      </c>
      <c r="O5" s="27">
        <v>7.903026838563207</v>
      </c>
      <c r="P5" s="27">
        <v>3.8240452444660678</v>
      </c>
      <c r="Q5" s="27">
        <v>8.0304950133787418</v>
      </c>
      <c r="R5" s="27">
        <v>8.0304950133787418</v>
      </c>
      <c r="S5" s="27">
        <v>2.4218953214951759</v>
      </c>
      <c r="T5" s="27">
        <v>3.1229702829806225</v>
      </c>
      <c r="U5" s="27">
        <v>69.024016662612524</v>
      </c>
      <c r="V5" s="27">
        <v>7.3294200518932966</v>
      </c>
      <c r="W5" s="27">
        <v>14.46763784156329</v>
      </c>
      <c r="X5" s="27">
        <v>4.4613861185437456</v>
      </c>
      <c r="Y5" s="27">
        <v>2.5493634963107121</v>
      </c>
      <c r="Z5" s="27">
        <v>18.291683086029355</v>
      </c>
      <c r="AA5" s="27">
        <v>21.605855631233279</v>
      </c>
      <c r="AB5" s="27">
        <v>14.148967404524448</v>
      </c>
      <c r="AC5" s="27">
        <v>9.6238471985729372</v>
      </c>
      <c r="AD5" s="27">
        <v>17.781810386767216</v>
      </c>
      <c r="AE5" s="27">
        <v>11.089731208951594</v>
      </c>
      <c r="AF5" s="27">
        <v>32.376916403146033</v>
      </c>
      <c r="AG5" s="27">
        <v>10.771060771912756</v>
      </c>
      <c r="AH5" s="27">
        <v>184.44644895807997</v>
      </c>
      <c r="AI5" s="27">
        <v>86.295954350117597</v>
      </c>
      <c r="AJ5" s="27">
        <v>46.653351982486029</v>
      </c>
      <c r="AK5" s="27">
        <v>14.212701491932219</v>
      </c>
      <c r="AL5" s="27">
        <v>9.1139744993107943</v>
      </c>
      <c r="AM5" s="27">
        <v>37.093238871320857</v>
      </c>
      <c r="AN5" s="27">
        <v>17.781810386767216</v>
      </c>
      <c r="AO5" s="27">
        <v>15.423649152679806</v>
      </c>
      <c r="AP5" s="27">
        <v>8.9865063244952594</v>
      </c>
      <c r="AQ5" s="27">
        <v>16.889533163058463</v>
      </c>
      <c r="AR5" s="27">
        <v>5.6723337792913338</v>
      </c>
      <c r="AS5" s="27">
        <v>17.399405862320609</v>
      </c>
      <c r="AT5" s="27">
        <v>9.9425176356117753</v>
      </c>
      <c r="AU5" s="27">
        <v>35.308684423903351</v>
      </c>
      <c r="AV5" s="27">
        <v>5.7360678666991012</v>
      </c>
      <c r="AW5" s="27">
        <v>26.194709924592562</v>
      </c>
      <c r="AX5" s="27">
        <v>15.168712803048736</v>
      </c>
      <c r="AY5" s="27">
        <v>18.482885348252662</v>
      </c>
      <c r="AZ5" s="27">
        <v>14.722574191194362</v>
      </c>
      <c r="BA5" s="27">
        <v>16.379660463796323</v>
      </c>
      <c r="BB5" s="27">
        <v>47.928033730641381</v>
      </c>
      <c r="BC5" s="27">
        <v>32.950523189815954</v>
      </c>
      <c r="BD5" s="27">
        <v>251.87711343549833</v>
      </c>
      <c r="BE5" s="27">
        <v>7.4568882267088306</v>
      </c>
      <c r="BF5" s="27">
        <v>50.732333576583159</v>
      </c>
      <c r="BG5" s="27">
        <v>8.5403677126408848</v>
      </c>
      <c r="BH5" s="27">
        <v>7.2656859644855292</v>
      </c>
      <c r="BI5" s="27">
        <v>9.1777085867185626</v>
      </c>
      <c r="BJ5" s="27">
        <v>34.607609462417905</v>
      </c>
      <c r="BK5" s="27">
        <v>5.7360678666991012</v>
      </c>
      <c r="BL5" s="27">
        <v>14.531371928971058</v>
      </c>
      <c r="BM5" s="27">
        <v>9.6875812859807038</v>
      </c>
      <c r="BN5" s="27">
        <v>16.443394551204094</v>
      </c>
      <c r="BO5" s="27">
        <v>346.07609462417912</v>
      </c>
      <c r="BP5" s="27">
        <v>45.633606583961736</v>
      </c>
      <c r="BQ5" s="27">
        <v>4.8437906429903519</v>
      </c>
      <c r="BR5" s="27">
        <v>21.414653369009979</v>
      </c>
      <c r="BS5" s="27">
        <v>6.0547383037379401</v>
      </c>
      <c r="BT5" s="27">
        <v>18.801555785291498</v>
      </c>
      <c r="BU5" s="27">
        <v>6.5008769155923147</v>
      </c>
      <c r="BV5" s="27">
        <v>31.994511878699434</v>
      </c>
      <c r="BW5" s="27">
        <v>10.388656247466152</v>
      </c>
      <c r="BX5" s="27">
        <v>7.5206223141165998</v>
      </c>
      <c r="BY5" s="27">
        <v>15.104978715640968</v>
      </c>
      <c r="BZ5" s="27">
        <v>74.50514817968056</v>
      </c>
      <c r="CA5" s="27">
        <v>8.8590381496797228</v>
      </c>
      <c r="CB5" s="27">
        <v>36.71083434687425</v>
      </c>
      <c r="CC5" s="27">
        <v>13.320424268223467</v>
      </c>
      <c r="CD5" s="27">
        <v>44.868797535068531</v>
      </c>
      <c r="CE5" s="27">
        <v>16.634596813427397</v>
      </c>
      <c r="CF5" s="27">
        <v>9.3051767615340975</v>
      </c>
      <c r="CG5" s="27">
        <v>12.810551568961328</v>
      </c>
      <c r="CH5" s="27">
        <v>16.252192288980787</v>
      </c>
      <c r="CI5" s="27">
        <v>2.931768020757318</v>
      </c>
      <c r="CJ5" s="27">
        <v>23.135473729019708</v>
      </c>
      <c r="CK5" s="27">
        <v>2.8680339333495506</v>
      </c>
      <c r="CL5" s="27">
        <v>7.4568882267088306</v>
      </c>
      <c r="CM5" s="27">
        <v>16.252192288980787</v>
      </c>
      <c r="CN5" s="27">
        <v>9.050240411903026</v>
      </c>
      <c r="CO5" s="27">
        <v>0</v>
      </c>
      <c r="CP5" s="27">
        <v>30.337425606097472</v>
      </c>
      <c r="CQ5" s="27">
        <v>0</v>
      </c>
      <c r="CR5" s="27">
        <v>23.964016865320691</v>
      </c>
      <c r="CS5" s="27">
        <v>13.702828792670077</v>
      </c>
      <c r="CT5" s="27">
        <v>33.33292771426256</v>
      </c>
      <c r="CU5" s="27">
        <v>22.498132854942028</v>
      </c>
      <c r="CV5" s="27">
        <v>11.918274345252577</v>
      </c>
      <c r="CW5" s="27">
        <v>9.1139744993107943</v>
      </c>
      <c r="CX5" s="27">
        <v>0.19120226222330339</v>
      </c>
      <c r="CY5" s="27">
        <v>14.276435579339983</v>
      </c>
      <c r="CZ5" s="27">
        <v>96.557142422768209</v>
      </c>
      <c r="DA5" s="27">
        <v>11.472135733398202</v>
      </c>
      <c r="DB5" s="27">
        <v>28.999009770534347</v>
      </c>
      <c r="DC5" s="27">
        <v>22.434398767534265</v>
      </c>
      <c r="DD5" s="27">
        <v>19.566364834184711</v>
      </c>
      <c r="DE5" s="27">
        <v>5.7998019541068695</v>
      </c>
      <c r="DF5" s="27">
        <v>66.602121341117353</v>
      </c>
      <c r="DG5" s="27">
        <v>8.9865063244952594</v>
      </c>
      <c r="DH5" s="27">
        <v>1.465884010378659</v>
      </c>
      <c r="DI5" s="27">
        <v>23.517878253466314</v>
      </c>
      <c r="DJ5" s="27">
        <v>30.783564217951845</v>
      </c>
      <c r="DK5" s="27">
        <v>29.445148382388723</v>
      </c>
      <c r="DL5" s="27">
        <v>9.4326449363496341</v>
      </c>
      <c r="DM5" s="27">
        <v>13.957765142301145</v>
      </c>
      <c r="DN5" s="27">
        <v>12.300678869699183</v>
      </c>
      <c r="DO5" s="27">
        <v>12.555615219330255</v>
      </c>
      <c r="DP5" s="27">
        <v>38.240452444660676</v>
      </c>
      <c r="DQ5" s="27">
        <v>6.6920791778156179</v>
      </c>
      <c r="DR5" s="27">
        <v>15.742319589718646</v>
      </c>
      <c r="DS5" s="27">
        <v>11.153465296359363</v>
      </c>
      <c r="DT5" s="27">
        <v>11.85454025784481</v>
      </c>
      <c r="DU5" s="27">
        <v>7.9667609259709744</v>
      </c>
      <c r="DV5" s="27">
        <v>9.4963790237574006</v>
      </c>
      <c r="DW5" s="27">
        <v>30.209957431281936</v>
      </c>
      <c r="DX5" s="27">
        <v>18.737821697883732</v>
      </c>
      <c r="DY5" s="27">
        <v>29.062743857942117</v>
      </c>
      <c r="DZ5" s="27">
        <v>31.675841441660594</v>
      </c>
      <c r="EA5" s="27">
        <v>5.7360678666991012</v>
      </c>
      <c r="EB5" s="27">
        <v>5.5642424009824989</v>
      </c>
      <c r="EC5" s="27">
        <v>5.6672839269266193</v>
      </c>
      <c r="ED5" s="27">
        <v>11.746733957629722</v>
      </c>
      <c r="EE5" s="27">
        <v>10.029375191894383</v>
      </c>
      <c r="EF5" s="27">
        <v>16.383602625115138</v>
      </c>
      <c r="EG5" s="27">
        <v>15.902742170709242</v>
      </c>
      <c r="EH5" s="27">
        <v>13.25800967147682</v>
      </c>
      <c r="EI5" s="27">
        <v>9.1706958090267126</v>
      </c>
      <c r="EJ5" s="27">
        <v>14.254077755603316</v>
      </c>
      <c r="EK5" s="27">
        <v>11.334567853853239</v>
      </c>
      <c r="EL5" s="27">
        <v>9.6859034387473137</v>
      </c>
      <c r="EM5" s="27">
        <v>14.837979735953333</v>
      </c>
      <c r="EN5" s="27">
        <v>13.429745548050356</v>
      </c>
      <c r="EO5" s="27">
        <v>23.218690512741787</v>
      </c>
      <c r="EP5" s="27">
        <v>23.356079214000616</v>
      </c>
      <c r="EQ5" s="27">
        <v>24.901702103162421</v>
      </c>
      <c r="ER5" s="27">
        <v>8.9302655818237646</v>
      </c>
      <c r="ES5" s="27">
        <v>16.658380027632791</v>
      </c>
      <c r="ET5" s="27">
        <v>8.9646127571384735</v>
      </c>
      <c r="EU5" s="27">
        <v>7.8998503223825614</v>
      </c>
      <c r="EV5" s="27">
        <v>12.777149217070926</v>
      </c>
      <c r="EW5" s="27">
        <v>11.952817009517961</v>
      </c>
      <c r="EX5" s="27">
        <v>5.9077141541295672</v>
      </c>
      <c r="EY5" s="27">
        <v>21.741761974209396</v>
      </c>
      <c r="EZ5" s="27">
        <v>10.956748925391464</v>
      </c>
      <c r="FA5" s="27">
        <v>10.304152594412036</v>
      </c>
      <c r="FB5" s="27">
        <v>10.785013048817932</v>
      </c>
      <c r="FC5" s="27">
        <v>20.470916487565248</v>
      </c>
      <c r="FD5" s="27">
        <v>16.417949800429845</v>
      </c>
      <c r="FE5" s="27">
        <v>14.357119281547439</v>
      </c>
      <c r="FF5" s="27">
        <v>8.8615712311943522</v>
      </c>
      <c r="FG5" s="27">
        <v>8.998959932453177</v>
      </c>
      <c r="FH5" s="27">
        <v>12.811496392385632</v>
      </c>
      <c r="FI5" s="27">
        <v>15.937089346023949</v>
      </c>
    </row>
    <row r="6" spans="1:165" x14ac:dyDescent="0.3">
      <c r="A6" s="4" t="s">
        <v>3001</v>
      </c>
      <c r="B6" s="27">
        <v>33.396611327333183</v>
      </c>
      <c r="C6" s="27">
        <v>16.373435903673077</v>
      </c>
      <c r="D6" s="27">
        <v>2.6639320319468096</v>
      </c>
      <c r="E6" s="27">
        <v>9.0963532798183753</v>
      </c>
      <c r="F6" s="27">
        <v>8.4466137598313491</v>
      </c>
      <c r="G6" s="27">
        <v>2.9238278399416204</v>
      </c>
      <c r="H6" s="27">
        <v>22.026169727560209</v>
      </c>
      <c r="I6" s="27">
        <v>43.402599935133388</v>
      </c>
      <c r="J6" s="27">
        <v>10.265884415795025</v>
      </c>
      <c r="K6" s="27">
        <v>8.7065095678261599</v>
      </c>
      <c r="L6" s="27">
        <v>25.794658943484965</v>
      </c>
      <c r="M6" s="27">
        <v>16.698305663666591</v>
      </c>
      <c r="N6" s="27">
        <v>3.4436194559312421</v>
      </c>
      <c r="O6" s="27">
        <v>8.0567700478391338</v>
      </c>
      <c r="P6" s="27">
        <v>3.898437119922161</v>
      </c>
      <c r="Q6" s="27">
        <v>8.1867179518365383</v>
      </c>
      <c r="R6" s="27">
        <v>8.1867179518365383</v>
      </c>
      <c r="S6" s="27">
        <v>2.4690101759507019</v>
      </c>
      <c r="T6" s="27">
        <v>3.1837236479364321</v>
      </c>
      <c r="U6" s="27">
        <v>70.366790014594997</v>
      </c>
      <c r="V6" s="27">
        <v>7.472004479850809</v>
      </c>
      <c r="W6" s="27">
        <v>14.749087103705509</v>
      </c>
      <c r="X6" s="27">
        <v>4.5481766399091876</v>
      </c>
      <c r="Y6" s="27">
        <v>2.5989580799481073</v>
      </c>
      <c r="Z6" s="27">
        <v>18.64752422362767</v>
      </c>
      <c r="AA6" s="27">
        <v>22.026169727560209</v>
      </c>
      <c r="AB6" s="27">
        <v>14.424217343711994</v>
      </c>
      <c r="AC6" s="27">
        <v>9.8110667518041055</v>
      </c>
      <c r="AD6" s="27">
        <v>18.127732607638048</v>
      </c>
      <c r="AE6" s="27">
        <v>11.305467647774266</v>
      </c>
      <c r="AF6" s="27">
        <v>33.006767615340962</v>
      </c>
      <c r="AG6" s="27">
        <v>10.980597887780752</v>
      </c>
      <c r="AH6" s="27">
        <v>188.03461708424555</v>
      </c>
      <c r="AI6" s="27">
        <v>87.974731006243445</v>
      </c>
      <c r="AJ6" s="27">
        <v>47.560932863050368</v>
      </c>
      <c r="AK6" s="27">
        <v>14.489191295710699</v>
      </c>
      <c r="AL6" s="27">
        <v>9.2912751358144838</v>
      </c>
      <c r="AM6" s="27">
        <v>37.814840063244965</v>
      </c>
      <c r="AN6" s="27">
        <v>18.127732607638048</v>
      </c>
      <c r="AO6" s="27">
        <v>15.723696383686049</v>
      </c>
      <c r="AP6" s="27">
        <v>9.1613272318170775</v>
      </c>
      <c r="AQ6" s="27">
        <v>17.21809727965621</v>
      </c>
      <c r="AR6" s="27">
        <v>5.7826817278845395</v>
      </c>
      <c r="AS6" s="27">
        <v>17.737888895645835</v>
      </c>
      <c r="AT6" s="27">
        <v>10.135936511797619</v>
      </c>
      <c r="AU6" s="27">
        <v>35.99556940728128</v>
      </c>
      <c r="AV6" s="27">
        <v>5.8476556798832409</v>
      </c>
      <c r="AW6" s="27">
        <v>26.704294271466804</v>
      </c>
      <c r="AX6" s="27">
        <v>15.46380057569124</v>
      </c>
      <c r="AY6" s="27">
        <v>18.84244607962378</v>
      </c>
      <c r="AZ6" s="27">
        <v>15.00898291170032</v>
      </c>
      <c r="BA6" s="27">
        <v>16.698305663666591</v>
      </c>
      <c r="BB6" s="27">
        <v>48.860411903024421</v>
      </c>
      <c r="BC6" s="27">
        <v>33.59153318332929</v>
      </c>
      <c r="BD6" s="27">
        <v>256.77705829887304</v>
      </c>
      <c r="BE6" s="27">
        <v>7.6019523838482126</v>
      </c>
      <c r="BF6" s="27">
        <v>51.719265790967334</v>
      </c>
      <c r="BG6" s="27">
        <v>8.7065095678261599</v>
      </c>
      <c r="BH6" s="27">
        <v>7.4070305278521067</v>
      </c>
      <c r="BI6" s="27">
        <v>9.3562490878131861</v>
      </c>
      <c r="BJ6" s="27">
        <v>35.280855935295556</v>
      </c>
      <c r="BK6" s="27">
        <v>5.8476556798832409</v>
      </c>
      <c r="BL6" s="27">
        <v>14.814061055704213</v>
      </c>
      <c r="BM6" s="27">
        <v>9.8760407038028077</v>
      </c>
      <c r="BN6" s="27">
        <v>16.763279615665294</v>
      </c>
      <c r="BO6" s="27">
        <v>352.80855935295557</v>
      </c>
      <c r="BP6" s="27">
        <v>46.521349631071118</v>
      </c>
      <c r="BQ6" s="27">
        <v>4.9380203519014039</v>
      </c>
      <c r="BR6" s="27">
        <v>21.831247871564102</v>
      </c>
      <c r="BS6" s="27">
        <v>6.1725254398767548</v>
      </c>
      <c r="BT6" s="27">
        <v>19.167315839617292</v>
      </c>
      <c r="BU6" s="27">
        <v>6.6273431038676742</v>
      </c>
      <c r="BV6" s="27">
        <v>32.616923903348749</v>
      </c>
      <c r="BW6" s="27">
        <v>10.590754175788538</v>
      </c>
      <c r="BX6" s="27">
        <v>7.6669263358469166</v>
      </c>
      <c r="BY6" s="27">
        <v>15.398826623692537</v>
      </c>
      <c r="BZ6" s="27">
        <v>75.954549886483449</v>
      </c>
      <c r="CA6" s="27">
        <v>9.031379327819673</v>
      </c>
      <c r="CB6" s="27">
        <v>37.424996351252744</v>
      </c>
      <c r="CC6" s="27">
        <v>13.57955596772886</v>
      </c>
      <c r="CD6" s="27">
        <v>45.741662207086691</v>
      </c>
      <c r="CE6" s="27">
        <v>16.9582014716614</v>
      </c>
      <c r="CF6" s="27">
        <v>9.4861969918105924</v>
      </c>
      <c r="CG6" s="27">
        <v>13.05976435173924</v>
      </c>
      <c r="CH6" s="27">
        <v>16.568357759669183</v>
      </c>
      <c r="CI6" s="27">
        <v>2.9888017919403231</v>
      </c>
      <c r="CJ6" s="27">
        <v>23.585544575529074</v>
      </c>
      <c r="CK6" s="27">
        <v>2.9238278399416204</v>
      </c>
      <c r="CL6" s="27">
        <v>7.6019523838482126</v>
      </c>
      <c r="CM6" s="27">
        <v>16.568357759669183</v>
      </c>
      <c r="CN6" s="27">
        <v>9.2263011838157798</v>
      </c>
      <c r="CO6" s="27">
        <v>0</v>
      </c>
      <c r="CP6" s="27">
        <v>30.927601151382479</v>
      </c>
      <c r="CQ6" s="27">
        <v>0</v>
      </c>
      <c r="CR6" s="27">
        <v>24.43020595151221</v>
      </c>
      <c r="CS6" s="27">
        <v>13.969399679721079</v>
      </c>
      <c r="CT6" s="27">
        <v>33.981376895321503</v>
      </c>
      <c r="CU6" s="27">
        <v>22.935805055542048</v>
      </c>
      <c r="CV6" s="27">
        <v>12.150129023757401</v>
      </c>
      <c r="CW6" s="27">
        <v>9.2912751358144838</v>
      </c>
      <c r="CX6" s="27">
        <v>0.19492185599610806</v>
      </c>
      <c r="CY6" s="27">
        <v>14.554165247709399</v>
      </c>
      <c r="CZ6" s="27">
        <v>98.435537278034559</v>
      </c>
      <c r="DA6" s="27">
        <v>11.695311359766482</v>
      </c>
      <c r="DB6" s="27">
        <v>29.563148159409721</v>
      </c>
      <c r="DC6" s="27">
        <v>22.870831103543345</v>
      </c>
      <c r="DD6" s="27">
        <v>19.947003263601722</v>
      </c>
      <c r="DE6" s="27">
        <v>5.912629631881944</v>
      </c>
      <c r="DF6" s="27">
        <v>67.897779838644311</v>
      </c>
      <c r="DG6" s="27">
        <v>9.1613272318170775</v>
      </c>
      <c r="DH6" s="27">
        <v>1.4944008959701616</v>
      </c>
      <c r="DI6" s="27">
        <v>23.975388287521287</v>
      </c>
      <c r="DJ6" s="27">
        <v>31.382418815373395</v>
      </c>
      <c r="DK6" s="27">
        <v>30.01796582340064</v>
      </c>
      <c r="DL6" s="27">
        <v>9.6161448958079969</v>
      </c>
      <c r="DM6" s="27">
        <v>14.229295487715888</v>
      </c>
      <c r="DN6" s="27">
        <v>12.539972735749618</v>
      </c>
      <c r="DO6" s="27">
        <v>12.799868543744429</v>
      </c>
      <c r="DP6" s="27">
        <v>38.984371199221613</v>
      </c>
      <c r="DQ6" s="27">
        <v>6.8222649598637819</v>
      </c>
      <c r="DR6" s="27">
        <v>16.048566143679565</v>
      </c>
      <c r="DS6" s="27">
        <v>11.370441599772969</v>
      </c>
      <c r="DT6" s="27">
        <v>12.085155071758699</v>
      </c>
      <c r="DU6" s="27">
        <v>8.121743999837836</v>
      </c>
      <c r="DV6" s="27">
        <v>9.6811188478066992</v>
      </c>
      <c r="DW6" s="27">
        <v>30.797653247385075</v>
      </c>
      <c r="DX6" s="27">
        <v>19.102341887618589</v>
      </c>
      <c r="DY6" s="27">
        <v>29.628122111408427</v>
      </c>
      <c r="DZ6" s="27">
        <v>32.292054143355237</v>
      </c>
      <c r="EA6" s="27">
        <v>5.8476556798832409</v>
      </c>
      <c r="EB6" s="27">
        <v>5.6955534233957623</v>
      </c>
      <c r="EC6" s="27">
        <v>5.8010266349401283</v>
      </c>
      <c r="ED6" s="27">
        <v>12.023946116057722</v>
      </c>
      <c r="EE6" s="27">
        <v>10.266059256984954</v>
      </c>
      <c r="EF6" s="27">
        <v>16.770240635554192</v>
      </c>
      <c r="EG6" s="27">
        <v>16.278032315013814</v>
      </c>
      <c r="EH6" s="27">
        <v>13.570886552041756</v>
      </c>
      <c r="EI6" s="27">
        <v>9.3871158274485715</v>
      </c>
      <c r="EJ6" s="27">
        <v>14.590460930303959</v>
      </c>
      <c r="EK6" s="27">
        <v>11.602053269880257</v>
      </c>
      <c r="EL6" s="27">
        <v>9.9144818851704013</v>
      </c>
      <c r="EM6" s="27">
        <v>15.188142462388701</v>
      </c>
      <c r="EN6" s="27">
        <v>13.746675237949033</v>
      </c>
      <c r="EO6" s="27">
        <v>23.766630334663798</v>
      </c>
      <c r="EP6" s="27">
        <v>23.907261283389619</v>
      </c>
      <c r="EQ6" s="27">
        <v>25.48935945655511</v>
      </c>
      <c r="ER6" s="27">
        <v>9.1410116671783843</v>
      </c>
      <c r="ES6" s="27">
        <v>17.051502533005831</v>
      </c>
      <c r="ET6" s="27">
        <v>9.1761694043598414</v>
      </c>
      <c r="EU6" s="27">
        <v>8.0862795517347248</v>
      </c>
      <c r="EV6" s="27">
        <v>13.078678231501383</v>
      </c>
      <c r="EW6" s="27">
        <v>12.234892539146452</v>
      </c>
      <c r="EX6" s="27">
        <v>6.0471307952103155</v>
      </c>
      <c r="EY6" s="27">
        <v>22.254847635861218</v>
      </c>
      <c r="EZ6" s="27">
        <v>11.215318160884248</v>
      </c>
      <c r="FA6" s="27">
        <v>10.547321154436597</v>
      </c>
      <c r="FB6" s="27">
        <v>11.039529474976971</v>
      </c>
      <c r="FC6" s="27">
        <v>20.954011360147376</v>
      </c>
      <c r="FD6" s="27">
        <v>16.805398372735645</v>
      </c>
      <c r="FE6" s="27">
        <v>14.695934141848326</v>
      </c>
      <c r="FF6" s="27">
        <v>9.0706961928154755</v>
      </c>
      <c r="FG6" s="27">
        <v>9.2113271415412949</v>
      </c>
      <c r="FH6" s="27">
        <v>13.113835968682835</v>
      </c>
      <c r="FI6" s="27">
        <v>16.313190052195271</v>
      </c>
    </row>
    <row r="7" spans="1:165" x14ac:dyDescent="0.3">
      <c r="A7" s="4" t="s">
        <v>3002</v>
      </c>
      <c r="B7" s="27">
        <v>32.820898402659537</v>
      </c>
      <c r="C7" s="27">
        <v>16.09117976161518</v>
      </c>
      <c r="D7" s="27">
        <v>2.6180094056596128</v>
      </c>
      <c r="E7" s="27">
        <v>8.9395443120084348</v>
      </c>
      <c r="F7" s="27">
        <v>8.3010054325792613</v>
      </c>
      <c r="G7" s="27">
        <v>2.8734249574312822</v>
      </c>
      <c r="H7" s="27">
        <v>21.646468012648992</v>
      </c>
      <c r="I7" s="27">
        <v>42.654397145868813</v>
      </c>
      <c r="J7" s="27">
        <v>10.088914294980947</v>
      </c>
      <c r="K7" s="27">
        <v>8.5564209843509307</v>
      </c>
      <c r="L7" s="27">
        <v>25.349993513338202</v>
      </c>
      <c r="M7" s="27">
        <v>16.410449201329769</v>
      </c>
      <c r="N7" s="27">
        <v>3.3842560609746215</v>
      </c>
      <c r="O7" s="27">
        <v>7.9178821049217571</v>
      </c>
      <c r="P7" s="27">
        <v>3.8312332765750434</v>
      </c>
      <c r="Q7" s="27">
        <v>8.0455898808075901</v>
      </c>
      <c r="R7" s="27">
        <v>8.0455898808075901</v>
      </c>
      <c r="S7" s="27">
        <v>2.4264477418308608</v>
      </c>
      <c r="T7" s="27">
        <v>3.1288405092029525</v>
      </c>
      <c r="U7" s="27">
        <v>69.153760642179535</v>
      </c>
      <c r="V7" s="27">
        <v>7.3431971134355001</v>
      </c>
      <c r="W7" s="27">
        <v>14.494832563042248</v>
      </c>
      <c r="X7" s="27">
        <v>4.4697721560042174</v>
      </c>
      <c r="Y7" s="27">
        <v>2.5541555177166959</v>
      </c>
      <c r="Z7" s="27">
        <v>18.326065839617289</v>
      </c>
      <c r="AA7" s="27">
        <v>21.646468012648992</v>
      </c>
      <c r="AB7" s="27">
        <v>14.17556312332766</v>
      </c>
      <c r="AC7" s="27">
        <v>9.6419370793805257</v>
      </c>
      <c r="AD7" s="27">
        <v>17.81523473607395</v>
      </c>
      <c r="AE7" s="27">
        <v>11.110576502067625</v>
      </c>
      <c r="AF7" s="27">
        <v>32.43777507500203</v>
      </c>
      <c r="AG7" s="27">
        <v>10.791307062353038</v>
      </c>
      <c r="AH7" s="27">
        <v>184.79315170680292</v>
      </c>
      <c r="AI7" s="27">
        <v>86.458164274710157</v>
      </c>
      <c r="AJ7" s="27">
        <v>46.741045974215531</v>
      </c>
      <c r="AK7" s="27">
        <v>14.239417011270577</v>
      </c>
      <c r="AL7" s="27">
        <v>9.1311059758371869</v>
      </c>
      <c r="AM7" s="27">
        <v>37.162962782777925</v>
      </c>
      <c r="AN7" s="27">
        <v>17.81523473607395</v>
      </c>
      <c r="AO7" s="27">
        <v>15.452640882186008</v>
      </c>
      <c r="AP7" s="27">
        <v>9.0033981999513522</v>
      </c>
      <c r="AQ7" s="27">
        <v>16.921280304873108</v>
      </c>
      <c r="AR7" s="27">
        <v>5.682996026919648</v>
      </c>
      <c r="AS7" s="27">
        <v>17.432111408416446</v>
      </c>
      <c r="AT7" s="27">
        <v>9.9612065190951125</v>
      </c>
      <c r="AU7" s="27">
        <v>35.375053920376232</v>
      </c>
      <c r="AV7" s="27">
        <v>5.7468499148625645</v>
      </c>
      <c r="AW7" s="27">
        <v>26.243947944539048</v>
      </c>
      <c r="AX7" s="27">
        <v>15.197225330414341</v>
      </c>
      <c r="AY7" s="27">
        <v>18.517627503446043</v>
      </c>
      <c r="AZ7" s="27">
        <v>14.750248114813918</v>
      </c>
      <c r="BA7" s="27">
        <v>16.410449201329769</v>
      </c>
      <c r="BB7" s="27">
        <v>48.018123733073878</v>
      </c>
      <c r="BC7" s="27">
        <v>33.012460066488295</v>
      </c>
      <c r="BD7" s="27">
        <v>252.35056515040952</v>
      </c>
      <c r="BE7" s="27">
        <v>7.4709048893213339</v>
      </c>
      <c r="BF7" s="27">
        <v>50.827694802562235</v>
      </c>
      <c r="BG7" s="27">
        <v>8.5564209843509307</v>
      </c>
      <c r="BH7" s="27">
        <v>7.2793432254925827</v>
      </c>
      <c r="BI7" s="27">
        <v>9.1949598637801042</v>
      </c>
      <c r="BJ7" s="27">
        <v>34.672661153004135</v>
      </c>
      <c r="BK7" s="27">
        <v>5.7468499148625645</v>
      </c>
      <c r="BL7" s="27">
        <v>14.558686450985165</v>
      </c>
      <c r="BM7" s="27">
        <v>9.705790967323443</v>
      </c>
      <c r="BN7" s="27">
        <v>16.474303089272688</v>
      </c>
      <c r="BO7" s="27">
        <v>346.72661153004145</v>
      </c>
      <c r="BP7" s="27">
        <v>45.719383767128846</v>
      </c>
      <c r="BQ7" s="27">
        <v>4.8528954836617215</v>
      </c>
      <c r="BR7" s="27">
        <v>21.454906348820245</v>
      </c>
      <c r="BS7" s="27">
        <v>6.0661193545771521</v>
      </c>
      <c r="BT7" s="27">
        <v>18.836896943160628</v>
      </c>
      <c r="BU7" s="27">
        <v>6.5130965701775736</v>
      </c>
      <c r="BV7" s="27">
        <v>32.054651747344529</v>
      </c>
      <c r="BW7" s="27">
        <v>10.408183734695536</v>
      </c>
      <c r="BX7" s="27">
        <v>7.5347587772642521</v>
      </c>
      <c r="BY7" s="27">
        <v>15.133371442471422</v>
      </c>
      <c r="BZ7" s="27">
        <v>74.645195005270438</v>
      </c>
      <c r="CA7" s="27">
        <v>8.8756904240655174</v>
      </c>
      <c r="CB7" s="27">
        <v>36.779839455120417</v>
      </c>
      <c r="CC7" s="27">
        <v>13.345462580069734</v>
      </c>
      <c r="CD7" s="27">
        <v>44.953137111813845</v>
      </c>
      <c r="CE7" s="27">
        <v>16.665864753101442</v>
      </c>
      <c r="CF7" s="27">
        <v>9.3226676396659389</v>
      </c>
      <c r="CG7" s="27">
        <v>12.834631476526395</v>
      </c>
      <c r="CH7" s="27">
        <v>16.282741425443934</v>
      </c>
      <c r="CI7" s="27">
        <v>2.9372788453741996</v>
      </c>
      <c r="CJ7" s="27">
        <v>23.178961323279012</v>
      </c>
      <c r="CK7" s="27">
        <v>2.8734249574312822</v>
      </c>
      <c r="CL7" s="27">
        <v>7.4709048893213339</v>
      </c>
      <c r="CM7" s="27">
        <v>16.282741425443934</v>
      </c>
      <c r="CN7" s="27">
        <v>9.0672520878942695</v>
      </c>
      <c r="CO7" s="27">
        <v>0</v>
      </c>
      <c r="CP7" s="27">
        <v>30.394450660828682</v>
      </c>
      <c r="CQ7" s="27">
        <v>0</v>
      </c>
      <c r="CR7" s="27">
        <v>24.009061866536939</v>
      </c>
      <c r="CS7" s="27">
        <v>13.72858590772724</v>
      </c>
      <c r="CT7" s="27">
        <v>33.395583394145795</v>
      </c>
      <c r="CU7" s="27">
        <v>22.540422443849838</v>
      </c>
      <c r="CV7" s="27">
        <v>11.940677045325552</v>
      </c>
      <c r="CW7" s="27">
        <v>9.1311059758371869</v>
      </c>
      <c r="CX7" s="27">
        <v>0.19156166382875217</v>
      </c>
      <c r="CY7" s="27">
        <v>14.303270899213492</v>
      </c>
      <c r="CZ7" s="27">
        <v>96.738640233519845</v>
      </c>
      <c r="DA7" s="27">
        <v>11.493699829725129</v>
      </c>
      <c r="DB7" s="27">
        <v>29.053519014027412</v>
      </c>
      <c r="DC7" s="27">
        <v>22.476568555906923</v>
      </c>
      <c r="DD7" s="27">
        <v>19.603143598475636</v>
      </c>
      <c r="DE7" s="27">
        <v>5.8107038028054827</v>
      </c>
      <c r="DF7" s="27">
        <v>66.727312900348679</v>
      </c>
      <c r="DG7" s="27">
        <v>9.0033981999513522</v>
      </c>
      <c r="DH7" s="27">
        <v>1.4686394226870998</v>
      </c>
      <c r="DI7" s="27">
        <v>23.562084650936516</v>
      </c>
      <c r="DJ7" s="27">
        <v>30.841427876429101</v>
      </c>
      <c r="DK7" s="27">
        <v>29.500496229627835</v>
      </c>
      <c r="DL7" s="27">
        <v>9.4503754155517736</v>
      </c>
      <c r="DM7" s="27">
        <v>13.984001459498907</v>
      </c>
      <c r="DN7" s="27">
        <v>12.323800372983056</v>
      </c>
      <c r="DO7" s="27">
        <v>12.579215924754726</v>
      </c>
      <c r="DP7" s="27">
        <v>38.312332765750433</v>
      </c>
      <c r="DQ7" s="27">
        <v>6.7046582340063257</v>
      </c>
      <c r="DR7" s="27">
        <v>15.771910321900595</v>
      </c>
      <c r="DS7" s="27">
        <v>11.174430390010542</v>
      </c>
      <c r="DT7" s="27">
        <v>11.876823157382635</v>
      </c>
      <c r="DU7" s="27">
        <v>7.9817359928646736</v>
      </c>
      <c r="DV7" s="27">
        <v>9.514229303494691</v>
      </c>
      <c r="DW7" s="27">
        <v>30.266742884942843</v>
      </c>
      <c r="DX7" s="27">
        <v>18.773043055217713</v>
      </c>
      <c r="DY7" s="27">
        <v>29.117372901970331</v>
      </c>
      <c r="DZ7" s="27">
        <v>31.735382307629944</v>
      </c>
      <c r="EA7" s="27">
        <v>5.7468499148625645</v>
      </c>
      <c r="EB7" s="27">
        <v>5.5910579521031618</v>
      </c>
      <c r="EC7" s="27">
        <v>5.6945960623272942</v>
      </c>
      <c r="ED7" s="27">
        <v>11.80334456555112</v>
      </c>
      <c r="EE7" s="27">
        <v>10.07770939514891</v>
      </c>
      <c r="EF7" s="27">
        <v>16.462559525637086</v>
      </c>
      <c r="EG7" s="27">
        <v>15.979381677924469</v>
      </c>
      <c r="EH7" s="27">
        <v>13.321903515505065</v>
      </c>
      <c r="EI7" s="27">
        <v>9.2148918099478045</v>
      </c>
      <c r="EJ7" s="27">
        <v>14.322771914338345</v>
      </c>
      <c r="EK7" s="27">
        <v>11.389192124654588</v>
      </c>
      <c r="EL7" s="27">
        <v>9.7325823610684665</v>
      </c>
      <c r="EM7" s="27">
        <v>14.909487872275099</v>
      </c>
      <c r="EN7" s="27">
        <v>13.494467032545288</v>
      </c>
      <c r="EO7" s="27">
        <v>23.330587503837883</v>
      </c>
      <c r="EP7" s="27">
        <v>23.468638317470063</v>
      </c>
      <c r="EQ7" s="27">
        <v>25.021709970832053</v>
      </c>
      <c r="ER7" s="27">
        <v>8.9733028860914938</v>
      </c>
      <c r="ES7" s="27">
        <v>16.738661152901443</v>
      </c>
      <c r="ET7" s="27">
        <v>9.0078155894995398</v>
      </c>
      <c r="EU7" s="27">
        <v>7.937921783850169</v>
      </c>
      <c r="EV7" s="27">
        <v>12.838725667792447</v>
      </c>
      <c r="EW7" s="27">
        <v>12.010420785999385</v>
      </c>
      <c r="EX7" s="27">
        <v>5.936184986183604</v>
      </c>
      <c r="EY7" s="27">
        <v>21.846541257291982</v>
      </c>
      <c r="EZ7" s="27">
        <v>11.009552387166103</v>
      </c>
      <c r="FA7" s="27">
        <v>10.353811022413263</v>
      </c>
      <c r="FB7" s="27">
        <v>10.836988870125882</v>
      </c>
      <c r="FC7" s="27">
        <v>20.569571231194352</v>
      </c>
      <c r="FD7" s="27">
        <v>16.497072229045131</v>
      </c>
      <c r="FE7" s="27">
        <v>14.426310024562481</v>
      </c>
      <c r="FF7" s="27">
        <v>8.9042774792754074</v>
      </c>
      <c r="FG7" s="27">
        <v>9.0423282929075821</v>
      </c>
      <c r="FH7" s="27">
        <v>12.87323837120049</v>
      </c>
      <c r="FI7" s="27">
        <v>16.013894381332513</v>
      </c>
    </row>
    <row r="8" spans="1:165" x14ac:dyDescent="0.3">
      <c r="A8" s="4" t="s">
        <v>3003</v>
      </c>
      <c r="B8" s="27">
        <v>32.407881294089037</v>
      </c>
      <c r="C8" s="27">
        <v>15.88868888348334</v>
      </c>
      <c r="D8" s="27">
        <v>2.5850644612016542</v>
      </c>
      <c r="E8" s="27">
        <v>8.8270493797129674</v>
      </c>
      <c r="F8" s="27">
        <v>8.1965458525906136</v>
      </c>
      <c r="G8" s="27">
        <v>2.8372658720505965</v>
      </c>
      <c r="H8" s="27">
        <v>21.374069569447826</v>
      </c>
      <c r="I8" s="27">
        <v>42.117635611773302</v>
      </c>
      <c r="J8" s="27">
        <v>9.9619557285332068</v>
      </c>
      <c r="K8" s="27">
        <v>8.4487472634395555</v>
      </c>
      <c r="L8" s="27">
        <v>25.030990026757486</v>
      </c>
      <c r="M8" s="27">
        <v>16.203940647044519</v>
      </c>
      <c r="N8" s="27">
        <v>3.3416686937484803</v>
      </c>
      <c r="O8" s="27">
        <v>7.8182437363172008</v>
      </c>
      <c r="P8" s="27">
        <v>3.783021162734129</v>
      </c>
      <c r="Q8" s="27">
        <v>7.94434444174167</v>
      </c>
      <c r="R8" s="27">
        <v>7.94434444174167</v>
      </c>
      <c r="S8" s="27">
        <v>2.3959134030649483</v>
      </c>
      <c r="T8" s="27">
        <v>3.0894672828995389</v>
      </c>
      <c r="U8" s="27">
        <v>68.283531987351026</v>
      </c>
      <c r="V8" s="27">
        <v>7.2507905619070803</v>
      </c>
      <c r="W8" s="27">
        <v>14.312430065677455</v>
      </c>
      <c r="X8" s="27">
        <v>4.4135246898564837</v>
      </c>
      <c r="Y8" s="27">
        <v>2.5220141084894196</v>
      </c>
      <c r="Z8" s="27">
        <v>18.09545122841158</v>
      </c>
      <c r="AA8" s="27">
        <v>21.374069569447826</v>
      </c>
      <c r="AB8" s="27">
        <v>13.997178302116277</v>
      </c>
      <c r="AC8" s="27">
        <v>9.520603259547558</v>
      </c>
      <c r="AD8" s="27">
        <v>17.5910484067137</v>
      </c>
      <c r="AE8" s="27">
        <v>10.970761371928972</v>
      </c>
      <c r="AF8" s="27">
        <v>32.02957917781562</v>
      </c>
      <c r="AG8" s="27">
        <v>10.655509608367796</v>
      </c>
      <c r="AH8" s="27">
        <v>182.46772074920946</v>
      </c>
      <c r="AI8" s="27">
        <v>85.370177572366842</v>
      </c>
      <c r="AJ8" s="27">
        <v>46.152858185356372</v>
      </c>
      <c r="AK8" s="27">
        <v>14.060228654828512</v>
      </c>
      <c r="AL8" s="27">
        <v>9.0162004378496743</v>
      </c>
      <c r="AM8" s="27">
        <v>36.695305278521055</v>
      </c>
      <c r="AN8" s="27">
        <v>17.5910484067137</v>
      </c>
      <c r="AO8" s="27">
        <v>15.258185356360986</v>
      </c>
      <c r="AP8" s="27">
        <v>8.8900997324252025</v>
      </c>
      <c r="AQ8" s="27">
        <v>16.708343468742402</v>
      </c>
      <c r="AR8" s="27">
        <v>5.6114813913889581</v>
      </c>
      <c r="AS8" s="27">
        <v>17.212746290440286</v>
      </c>
      <c r="AT8" s="27">
        <v>9.8358550231087349</v>
      </c>
      <c r="AU8" s="27">
        <v>34.929895402578452</v>
      </c>
      <c r="AV8" s="27">
        <v>5.6745317441011931</v>
      </c>
      <c r="AW8" s="27">
        <v>25.913694964728784</v>
      </c>
      <c r="AX8" s="27">
        <v>15.005983945512046</v>
      </c>
      <c r="AY8" s="27">
        <v>18.284602286548292</v>
      </c>
      <c r="AZ8" s="27">
        <v>14.564631476526397</v>
      </c>
      <c r="BA8" s="27">
        <v>16.203940647044519</v>
      </c>
      <c r="BB8" s="27">
        <v>47.413865239601087</v>
      </c>
      <c r="BC8" s="27">
        <v>32.597032352225746</v>
      </c>
      <c r="BD8" s="27">
        <v>249.17499391875464</v>
      </c>
      <c r="BE8" s="27">
        <v>7.3768912673315503</v>
      </c>
      <c r="BF8" s="27">
        <v>50.188080758939442</v>
      </c>
      <c r="BG8" s="27">
        <v>8.4487472634395555</v>
      </c>
      <c r="BH8" s="27">
        <v>7.1877402091948452</v>
      </c>
      <c r="BI8" s="27">
        <v>9.0792507905619093</v>
      </c>
      <c r="BJ8" s="27">
        <v>34.236341522743864</v>
      </c>
      <c r="BK8" s="27">
        <v>5.6745317441011931</v>
      </c>
      <c r="BL8" s="27">
        <v>14.37548041838969</v>
      </c>
      <c r="BM8" s="27">
        <v>9.5836536122597931</v>
      </c>
      <c r="BN8" s="27">
        <v>16.266990999756757</v>
      </c>
      <c r="BO8" s="27">
        <v>342.36341522743868</v>
      </c>
      <c r="BP8" s="27">
        <v>45.144052541960598</v>
      </c>
      <c r="BQ8" s="27">
        <v>4.7918268061298965</v>
      </c>
      <c r="BR8" s="27">
        <v>21.184918511311121</v>
      </c>
      <c r="BS8" s="27">
        <v>5.9897835076623709</v>
      </c>
      <c r="BT8" s="27">
        <v>18.599854050109467</v>
      </c>
      <c r="BU8" s="27">
        <v>6.4311359766480196</v>
      </c>
      <c r="BV8" s="27">
        <v>31.651277061542213</v>
      </c>
      <c r="BW8" s="27">
        <v>10.277207492094384</v>
      </c>
      <c r="BX8" s="27">
        <v>7.4399416200437871</v>
      </c>
      <c r="BY8" s="27">
        <v>14.942933592799809</v>
      </c>
      <c r="BZ8" s="27">
        <v>73.705862320603288</v>
      </c>
      <c r="CA8" s="27">
        <v>8.7639990270007324</v>
      </c>
      <c r="CB8" s="27">
        <v>36.317003162247637</v>
      </c>
      <c r="CC8" s="27">
        <v>13.177523716857214</v>
      </c>
      <c r="CD8" s="27">
        <v>44.387448309413777</v>
      </c>
      <c r="CE8" s="27">
        <v>16.456142057893462</v>
      </c>
      <c r="CF8" s="27">
        <v>9.2053514959863811</v>
      </c>
      <c r="CG8" s="27">
        <v>12.673120895159332</v>
      </c>
      <c r="CH8" s="27">
        <v>16.077839941620049</v>
      </c>
      <c r="CI8" s="27">
        <v>2.900316224762832</v>
      </c>
      <c r="CJ8" s="27">
        <v>22.887278034541477</v>
      </c>
      <c r="CK8" s="27">
        <v>2.8372658720505965</v>
      </c>
      <c r="CL8" s="27">
        <v>7.3768912673315503</v>
      </c>
      <c r="CM8" s="27">
        <v>16.077839941620049</v>
      </c>
      <c r="CN8" s="27">
        <v>8.9531500851374375</v>
      </c>
      <c r="CO8" s="27">
        <v>0</v>
      </c>
      <c r="CP8" s="27">
        <v>30.011967891024092</v>
      </c>
      <c r="CQ8" s="27">
        <v>0</v>
      </c>
      <c r="CR8" s="27">
        <v>23.706932619800543</v>
      </c>
      <c r="CS8" s="27">
        <v>13.55582583313063</v>
      </c>
      <c r="CT8" s="27">
        <v>32.975334468499156</v>
      </c>
      <c r="CU8" s="27">
        <v>22.256774507419124</v>
      </c>
      <c r="CV8" s="27">
        <v>11.790415957188035</v>
      </c>
      <c r="CW8" s="27">
        <v>9.0162004378496743</v>
      </c>
      <c r="CX8" s="27">
        <v>0.18915105813670643</v>
      </c>
      <c r="CY8" s="27">
        <v>14.123279007540745</v>
      </c>
      <c r="CZ8" s="27">
        <v>95.521284359036756</v>
      </c>
      <c r="DA8" s="27">
        <v>11.349063488202386</v>
      </c>
      <c r="DB8" s="27">
        <v>28.687910484067142</v>
      </c>
      <c r="DC8" s="27">
        <v>22.193724154706889</v>
      </c>
      <c r="DD8" s="27">
        <v>19.356458282656291</v>
      </c>
      <c r="DE8" s="27">
        <v>5.737582096813429</v>
      </c>
      <c r="DF8" s="27">
        <v>65.887618584286088</v>
      </c>
      <c r="DG8" s="27">
        <v>8.8900997324252025</v>
      </c>
      <c r="DH8" s="27">
        <v>1.450158112381416</v>
      </c>
      <c r="DI8" s="27">
        <v>23.265580150814891</v>
      </c>
      <c r="DJ8" s="27">
        <v>30.453320360009737</v>
      </c>
      <c r="DK8" s="27">
        <v>29.129262953052795</v>
      </c>
      <c r="DL8" s="27">
        <v>9.3314522014108512</v>
      </c>
      <c r="DM8" s="27">
        <v>13.80802724397957</v>
      </c>
      <c r="DN8" s="27">
        <v>12.168718073461447</v>
      </c>
      <c r="DO8" s="27">
        <v>12.420919484310391</v>
      </c>
      <c r="DP8" s="27">
        <v>37.830211627341292</v>
      </c>
      <c r="DQ8" s="27">
        <v>6.6202870347847256</v>
      </c>
      <c r="DR8" s="27">
        <v>15.573437119922165</v>
      </c>
      <c r="DS8" s="27">
        <v>11.033811724641209</v>
      </c>
      <c r="DT8" s="27">
        <v>11.7273656044758</v>
      </c>
      <c r="DU8" s="27">
        <v>7.8812940890294358</v>
      </c>
      <c r="DV8" s="27">
        <v>9.3945025541230862</v>
      </c>
      <c r="DW8" s="27">
        <v>29.885867185599619</v>
      </c>
      <c r="DX8" s="27">
        <v>18.536803697397229</v>
      </c>
      <c r="DY8" s="27">
        <v>28.750960836779381</v>
      </c>
      <c r="DZ8" s="27">
        <v>31.336025297981035</v>
      </c>
      <c r="EA8" s="27">
        <v>5.6745317441011931</v>
      </c>
      <c r="EB8" s="27">
        <v>5.4934824224746697</v>
      </c>
      <c r="EC8" s="27">
        <v>5.5952135784464225</v>
      </c>
      <c r="ED8" s="27">
        <v>11.597351780779858</v>
      </c>
      <c r="EE8" s="27">
        <v>9.9018325145839725</v>
      </c>
      <c r="EF8" s="27">
        <v>16.175253799508749</v>
      </c>
      <c r="EG8" s="27">
        <v>15.700508404973903</v>
      </c>
      <c r="EH8" s="27">
        <v>13.089408735032238</v>
      </c>
      <c r="EI8" s="27">
        <v>9.0540728814860305</v>
      </c>
      <c r="EJ8" s="27">
        <v>14.07280990942585</v>
      </c>
      <c r="EK8" s="27">
        <v>11.190427156892845</v>
      </c>
      <c r="EL8" s="27">
        <v>9.5627286613447957</v>
      </c>
      <c r="EM8" s="27">
        <v>14.649286459932453</v>
      </c>
      <c r="EN8" s="27">
        <v>13.258960661651829</v>
      </c>
      <c r="EO8" s="27">
        <v>22.923420478968374</v>
      </c>
      <c r="EP8" s="27">
        <v>23.059062020264047</v>
      </c>
      <c r="EQ8" s="27">
        <v>24.585029359840341</v>
      </c>
      <c r="ER8" s="27">
        <v>8.8167001842186057</v>
      </c>
      <c r="ES8" s="27">
        <v>16.446536882100091</v>
      </c>
      <c r="ET8" s="27">
        <v>8.8506105695425248</v>
      </c>
      <c r="EU8" s="27">
        <v>7.7993886245010753</v>
      </c>
      <c r="EV8" s="27">
        <v>12.614663340497392</v>
      </c>
      <c r="EW8" s="27">
        <v>11.800814092723364</v>
      </c>
      <c r="EX8" s="27">
        <v>5.8325862757138465</v>
      </c>
      <c r="EY8" s="27">
        <v>21.465273910039912</v>
      </c>
      <c r="EZ8" s="27">
        <v>10.817412918329751</v>
      </c>
      <c r="FA8" s="27">
        <v>10.173115597175315</v>
      </c>
      <c r="FB8" s="27">
        <v>10.647860991710163</v>
      </c>
      <c r="FC8" s="27">
        <v>20.21058965305496</v>
      </c>
      <c r="FD8" s="27">
        <v>16.209164184832666</v>
      </c>
      <c r="FE8" s="27">
        <v>14.174541065397605</v>
      </c>
      <c r="FF8" s="27">
        <v>8.748879413570771</v>
      </c>
      <c r="FG8" s="27">
        <v>8.8845209548664403</v>
      </c>
      <c r="FH8" s="27">
        <v>12.648573725821308</v>
      </c>
      <c r="FI8" s="27">
        <v>15.73441879029782</v>
      </c>
    </row>
    <row r="9" spans="1:165" x14ac:dyDescent="0.3">
      <c r="A9" s="4" t="s">
        <v>3004</v>
      </c>
      <c r="B9" s="27">
        <v>31.947769399172955</v>
      </c>
      <c r="C9" s="27">
        <v>15.663108732668451</v>
      </c>
      <c r="D9" s="27">
        <v>2.5483629287278036</v>
      </c>
      <c r="E9" s="27">
        <v>8.7017270737046957</v>
      </c>
      <c r="F9" s="27">
        <v>8.080175139868647</v>
      </c>
      <c r="G9" s="27">
        <v>2.7969837022622235</v>
      </c>
      <c r="H9" s="27">
        <v>21.070610557042084</v>
      </c>
      <c r="I9" s="27">
        <v>41.519669180248123</v>
      </c>
      <c r="J9" s="27">
        <v>9.8205205546095851</v>
      </c>
      <c r="K9" s="27">
        <v>8.3287959134030665</v>
      </c>
      <c r="L9" s="27">
        <v>24.675611773291173</v>
      </c>
      <c r="M9" s="27">
        <v>15.973884699586478</v>
      </c>
      <c r="N9" s="27">
        <v>3.2942252493310633</v>
      </c>
      <c r="O9" s="27">
        <v>7.7072439795670169</v>
      </c>
      <c r="P9" s="27">
        <v>3.7293116030162983</v>
      </c>
      <c r="Q9" s="27">
        <v>7.8315543663342257</v>
      </c>
      <c r="R9" s="27">
        <v>7.8315543663342257</v>
      </c>
      <c r="S9" s="27">
        <v>2.361897348576989</v>
      </c>
      <c r="T9" s="27">
        <v>3.0456044757966443</v>
      </c>
      <c r="U9" s="27">
        <v>67.31407443444418</v>
      </c>
      <c r="V9" s="27">
        <v>7.1478472391145722</v>
      </c>
      <c r="W9" s="27">
        <v>14.10922889807833</v>
      </c>
      <c r="X9" s="27">
        <v>4.3508635368523478</v>
      </c>
      <c r="Y9" s="27">
        <v>2.4862077353441991</v>
      </c>
      <c r="Z9" s="27">
        <v>17.838540501094624</v>
      </c>
      <c r="AA9" s="27">
        <v>21.070610557042084</v>
      </c>
      <c r="AB9" s="27">
        <v>13.798452931160302</v>
      </c>
      <c r="AC9" s="27">
        <v>9.385434200924351</v>
      </c>
      <c r="AD9" s="27">
        <v>17.341298954025788</v>
      </c>
      <c r="AE9" s="27">
        <v>10.815003648747263</v>
      </c>
      <c r="AF9" s="27">
        <v>31.574838238871322</v>
      </c>
      <c r="AG9" s="27">
        <v>10.504227681829239</v>
      </c>
      <c r="AH9" s="27">
        <v>179.87712965215277</v>
      </c>
      <c r="AI9" s="27">
        <v>84.158131841401143</v>
      </c>
      <c r="AJ9" s="27">
        <v>45.497601556798841</v>
      </c>
      <c r="AK9" s="27">
        <v>13.860608124543909</v>
      </c>
      <c r="AL9" s="27">
        <v>8.8881926538555103</v>
      </c>
      <c r="AM9" s="27">
        <v>36.1743225492581</v>
      </c>
      <c r="AN9" s="27">
        <v>17.341298954025788</v>
      </c>
      <c r="AO9" s="27">
        <v>15.041556798832403</v>
      </c>
      <c r="AP9" s="27">
        <v>8.7638822670883005</v>
      </c>
      <c r="AQ9" s="27">
        <v>16.471126246655317</v>
      </c>
      <c r="AR9" s="27">
        <v>5.531812211140843</v>
      </c>
      <c r="AS9" s="27">
        <v>16.968367793724159</v>
      </c>
      <c r="AT9" s="27">
        <v>9.6962101678423753</v>
      </c>
      <c r="AU9" s="27">
        <v>34.43397713451715</v>
      </c>
      <c r="AV9" s="27">
        <v>5.593967404524447</v>
      </c>
      <c r="AW9" s="27">
        <v>25.545784480661645</v>
      </c>
      <c r="AX9" s="27">
        <v>14.792936025297985</v>
      </c>
      <c r="AY9" s="27">
        <v>18.025006081245444</v>
      </c>
      <c r="AZ9" s="27">
        <v>14.357849671612749</v>
      </c>
      <c r="BA9" s="27">
        <v>15.973884699586478</v>
      </c>
      <c r="BB9" s="27">
        <v>46.740705424470939</v>
      </c>
      <c r="BC9" s="27">
        <v>32.134234979323772</v>
      </c>
      <c r="BD9" s="27">
        <v>245.63732425200686</v>
      </c>
      <c r="BE9" s="27">
        <v>7.2721576258817811</v>
      </c>
      <c r="BF9" s="27">
        <v>49.475533933349553</v>
      </c>
      <c r="BG9" s="27">
        <v>8.3287959134030665</v>
      </c>
      <c r="BH9" s="27">
        <v>7.0856920457309673</v>
      </c>
      <c r="BI9" s="27">
        <v>8.9503478472391151</v>
      </c>
      <c r="BJ9" s="27">
        <v>33.750270007297495</v>
      </c>
      <c r="BK9" s="27">
        <v>5.593967404524447</v>
      </c>
      <c r="BL9" s="27">
        <v>14.171384091461935</v>
      </c>
      <c r="BM9" s="27">
        <v>9.4475893943079559</v>
      </c>
      <c r="BN9" s="27">
        <v>16.036039892970084</v>
      </c>
      <c r="BO9" s="27">
        <v>337.50270007297502</v>
      </c>
      <c r="BP9" s="27">
        <v>44.503118462661156</v>
      </c>
      <c r="BQ9" s="27">
        <v>4.7237946971539779</v>
      </c>
      <c r="BR9" s="27">
        <v>20.884144976891271</v>
      </c>
      <c r="BS9" s="27">
        <v>5.9047433714424722</v>
      </c>
      <c r="BT9" s="27">
        <v>18.335782048163466</v>
      </c>
      <c r="BU9" s="27">
        <v>6.3398297251277071</v>
      </c>
      <c r="BV9" s="27">
        <v>31.201907078569697</v>
      </c>
      <c r="BW9" s="27">
        <v>10.131296521527611</v>
      </c>
      <c r="BX9" s="27">
        <v>7.3343128192653868</v>
      </c>
      <c r="BY9" s="27">
        <v>14.730780831914378</v>
      </c>
      <c r="BZ9" s="27">
        <v>72.659421065434216</v>
      </c>
      <c r="CA9" s="27">
        <v>8.6395718803210908</v>
      </c>
      <c r="CB9" s="27">
        <v>35.801391388956461</v>
      </c>
      <c r="CC9" s="27">
        <v>12.990435417173439</v>
      </c>
      <c r="CD9" s="27">
        <v>43.757256142057898</v>
      </c>
      <c r="CE9" s="27">
        <v>16.222505473120901</v>
      </c>
      <c r="CF9" s="27">
        <v>9.0746582340063267</v>
      </c>
      <c r="CG9" s="27">
        <v>12.4931938701046</v>
      </c>
      <c r="CH9" s="27">
        <v>15.849574312819266</v>
      </c>
      <c r="CI9" s="27">
        <v>2.8591388956458283</v>
      </c>
      <c r="CJ9" s="27">
        <v>22.562335198248604</v>
      </c>
      <c r="CK9" s="27">
        <v>2.7969837022622235</v>
      </c>
      <c r="CL9" s="27">
        <v>7.2721576258817811</v>
      </c>
      <c r="CM9" s="27">
        <v>15.849574312819266</v>
      </c>
      <c r="CN9" s="27">
        <v>8.8260374604719054</v>
      </c>
      <c r="CO9" s="27">
        <v>0</v>
      </c>
      <c r="CP9" s="27">
        <v>29.58587205059597</v>
      </c>
      <c r="CQ9" s="27">
        <v>0</v>
      </c>
      <c r="CR9" s="27">
        <v>23.370352712235469</v>
      </c>
      <c r="CS9" s="27">
        <v>13.36336657747507</v>
      </c>
      <c r="CT9" s="27">
        <v>32.507166139625404</v>
      </c>
      <c r="CU9" s="27">
        <v>21.940783264412552</v>
      </c>
      <c r="CV9" s="27">
        <v>11.62302116273413</v>
      </c>
      <c r="CW9" s="27">
        <v>8.8881926538555103</v>
      </c>
      <c r="CX9" s="27">
        <v>0.18646558015081491</v>
      </c>
      <c r="CY9" s="27">
        <v>13.922763317927512</v>
      </c>
      <c r="CZ9" s="27">
        <v>94.165117976161525</v>
      </c>
      <c r="DA9" s="27">
        <v>11.187934809048894</v>
      </c>
      <c r="DB9" s="27">
        <v>28.280612989540263</v>
      </c>
      <c r="DC9" s="27">
        <v>21.878628071028949</v>
      </c>
      <c r="DD9" s="27">
        <v>19.081644368766725</v>
      </c>
      <c r="DE9" s="27">
        <v>5.6561225979080527</v>
      </c>
      <c r="DF9" s="27">
        <v>64.952177085867206</v>
      </c>
      <c r="DG9" s="27">
        <v>8.7638822670883005</v>
      </c>
      <c r="DH9" s="27">
        <v>1.4295694478229142</v>
      </c>
      <c r="DI9" s="27">
        <v>22.935266358550233</v>
      </c>
      <c r="DJ9" s="27">
        <v>30.020958404281203</v>
      </c>
      <c r="DK9" s="27">
        <v>28.715699343225499</v>
      </c>
      <c r="DL9" s="27">
        <v>9.1989686207735364</v>
      </c>
      <c r="DM9" s="27">
        <v>13.611987351009487</v>
      </c>
      <c r="DN9" s="27">
        <v>11.995952323035759</v>
      </c>
      <c r="DO9" s="27">
        <v>12.24457309657018</v>
      </c>
      <c r="DP9" s="27">
        <v>37.293116030162984</v>
      </c>
      <c r="DQ9" s="27">
        <v>6.5262953052785218</v>
      </c>
      <c r="DR9" s="27">
        <v>15.352332765750429</v>
      </c>
      <c r="DS9" s="27">
        <v>10.87715884213087</v>
      </c>
      <c r="DT9" s="27">
        <v>11.560865969350525</v>
      </c>
      <c r="DU9" s="27">
        <v>7.7693991729506218</v>
      </c>
      <c r="DV9" s="27">
        <v>9.2611238141571413</v>
      </c>
      <c r="DW9" s="27">
        <v>29.461561663828757</v>
      </c>
      <c r="DX9" s="27">
        <v>18.273626854779859</v>
      </c>
      <c r="DY9" s="27">
        <v>28.342768182923869</v>
      </c>
      <c r="DZ9" s="27">
        <v>30.891131111651671</v>
      </c>
      <c r="EA9" s="27">
        <v>5.593967404524447</v>
      </c>
      <c r="EB9" s="27">
        <v>5.3827944427387164</v>
      </c>
      <c r="EC9" s="27">
        <v>5.4824758213079523</v>
      </c>
      <c r="ED9" s="27">
        <v>11.363677156892848</v>
      </c>
      <c r="EE9" s="27">
        <v>9.7023208474055895</v>
      </c>
      <c r="EF9" s="27">
        <v>15.849339192508445</v>
      </c>
      <c r="EG9" s="27">
        <v>15.384159425852012</v>
      </c>
      <c r="EH9" s="27">
        <v>12.825670709241635</v>
      </c>
      <c r="EI9" s="27">
        <v>8.8716426926619594</v>
      </c>
      <c r="EJ9" s="27">
        <v>13.789257368744243</v>
      </c>
      <c r="EK9" s="27">
        <v>10.964951642615905</v>
      </c>
      <c r="EL9" s="27">
        <v>9.3700495855081378</v>
      </c>
      <c r="EM9" s="27">
        <v>14.354118513969913</v>
      </c>
      <c r="EN9" s="27">
        <v>12.991806340190362</v>
      </c>
      <c r="EO9" s="27">
        <v>22.461537304267733</v>
      </c>
      <c r="EP9" s="27">
        <v>22.594445809026713</v>
      </c>
      <c r="EQ9" s="27">
        <v>24.089666487565246</v>
      </c>
      <c r="ER9" s="27">
        <v>8.6390528093337444</v>
      </c>
      <c r="ES9" s="27">
        <v>16.115156202026405</v>
      </c>
      <c r="ET9" s="27">
        <v>8.6722799355234894</v>
      </c>
      <c r="EU9" s="27">
        <v>7.6422390236413893</v>
      </c>
      <c r="EV9" s="27">
        <v>12.360490942585203</v>
      </c>
      <c r="EW9" s="27">
        <v>11.563039914031318</v>
      </c>
      <c r="EX9" s="27">
        <v>5.715065704636169</v>
      </c>
      <c r="EY9" s="27">
        <v>21.032770878108689</v>
      </c>
      <c r="EZ9" s="27">
        <v>10.599453254528708</v>
      </c>
      <c r="FA9" s="27">
        <v>9.9681378569235495</v>
      </c>
      <c r="FB9" s="27">
        <v>10.433317623579983</v>
      </c>
      <c r="FC9" s="27">
        <v>19.803367209088123</v>
      </c>
      <c r="FD9" s="27">
        <v>15.88256631869819</v>
      </c>
      <c r="FE9" s="27">
        <v>13.88893874731348</v>
      </c>
      <c r="FF9" s="27">
        <v>8.5725985569542544</v>
      </c>
      <c r="FG9" s="27">
        <v>8.7055070617132326</v>
      </c>
      <c r="FH9" s="27">
        <v>12.393718068774946</v>
      </c>
      <c r="FI9" s="27">
        <v>15.417386552041757</v>
      </c>
    </row>
    <row r="10" spans="1:165" x14ac:dyDescent="0.3">
      <c r="A10" s="4" t="s">
        <v>3005</v>
      </c>
      <c r="B10" s="27">
        <v>32.058838076704781</v>
      </c>
      <c r="C10" s="27">
        <v>15.717562636828024</v>
      </c>
      <c r="D10" s="27">
        <v>2.5572224924997973</v>
      </c>
      <c r="E10" s="27">
        <v>8.731979242682236</v>
      </c>
      <c r="F10" s="27">
        <v>8.1082664396335051</v>
      </c>
      <c r="G10" s="27">
        <v>2.8067076137192899</v>
      </c>
      <c r="H10" s="27">
        <v>21.143864023351984</v>
      </c>
      <c r="I10" s="27">
        <v>41.664015243655236</v>
      </c>
      <c r="J10" s="27">
        <v>9.8546622881699513</v>
      </c>
      <c r="K10" s="27">
        <v>8.3577515608529982</v>
      </c>
      <c r="L10" s="27">
        <v>24.761398281034626</v>
      </c>
      <c r="M10" s="27">
        <v>16.02941903835239</v>
      </c>
      <c r="N10" s="27">
        <v>3.3056778561582747</v>
      </c>
      <c r="O10" s="27">
        <v>7.7340387578042664</v>
      </c>
      <c r="P10" s="27">
        <v>3.7422768182923867</v>
      </c>
      <c r="Q10" s="27">
        <v>7.8587813184140121</v>
      </c>
      <c r="R10" s="27">
        <v>7.8587813184140121</v>
      </c>
      <c r="S10" s="27">
        <v>2.3701086515851779</v>
      </c>
      <c r="T10" s="27">
        <v>3.056192734938783</v>
      </c>
      <c r="U10" s="27">
        <v>67.548096570177577</v>
      </c>
      <c r="V10" s="27">
        <v>7.1726972350604079</v>
      </c>
      <c r="W10" s="27">
        <v>14.158280629206196</v>
      </c>
      <c r="X10" s="27">
        <v>4.365989621341118</v>
      </c>
      <c r="Y10" s="27">
        <v>2.4948512121949245</v>
      </c>
      <c r="Z10" s="27">
        <v>17.900557447498581</v>
      </c>
      <c r="AA10" s="27">
        <v>21.143864023351984</v>
      </c>
      <c r="AB10" s="27">
        <v>13.84642422768183</v>
      </c>
      <c r="AC10" s="27">
        <v>9.4180633260358402</v>
      </c>
      <c r="AD10" s="27">
        <v>17.401587205059599</v>
      </c>
      <c r="AE10" s="27">
        <v>10.85260277304792</v>
      </c>
      <c r="AF10" s="27">
        <v>31.684610394875538</v>
      </c>
      <c r="AG10" s="27">
        <v>10.540746371523554</v>
      </c>
      <c r="AH10" s="27">
        <v>180.50248520230278</v>
      </c>
      <c r="AI10" s="27">
        <v>84.450713532798204</v>
      </c>
      <c r="AJ10" s="27">
        <v>45.655777183167118</v>
      </c>
      <c r="AK10" s="27">
        <v>13.908795507986703</v>
      </c>
      <c r="AL10" s="27">
        <v>8.9190930835968558</v>
      </c>
      <c r="AM10" s="27">
        <v>36.300085137436156</v>
      </c>
      <c r="AN10" s="27">
        <v>17.401587205059599</v>
      </c>
      <c r="AO10" s="27">
        <v>15.093849833779291</v>
      </c>
      <c r="AP10" s="27">
        <v>8.7943505229871093</v>
      </c>
      <c r="AQ10" s="27">
        <v>16.528389280791373</v>
      </c>
      <c r="AR10" s="27">
        <v>5.5510439471337074</v>
      </c>
      <c r="AS10" s="27">
        <v>17.027359523230359</v>
      </c>
      <c r="AT10" s="27">
        <v>9.7299197275602047</v>
      </c>
      <c r="AU10" s="27">
        <v>34.553689288899697</v>
      </c>
      <c r="AV10" s="27">
        <v>5.6134152274385798</v>
      </c>
      <c r="AW10" s="27">
        <v>25.634596205302849</v>
      </c>
      <c r="AX10" s="27">
        <v>14.844364712559802</v>
      </c>
      <c r="AY10" s="27">
        <v>18.087671288413205</v>
      </c>
      <c r="AZ10" s="27">
        <v>14.407765750425689</v>
      </c>
      <c r="BA10" s="27">
        <v>16.02941903835239</v>
      </c>
      <c r="BB10" s="27">
        <v>46.903202789264583</v>
      </c>
      <c r="BC10" s="27">
        <v>32.245951917619401</v>
      </c>
      <c r="BD10" s="27">
        <v>246.49129976485855</v>
      </c>
      <c r="BE10" s="27">
        <v>7.2974397956701527</v>
      </c>
      <c r="BF10" s="27">
        <v>49.647539122678992</v>
      </c>
      <c r="BG10" s="27">
        <v>8.3577515608529982</v>
      </c>
      <c r="BH10" s="27">
        <v>7.1103259547555355</v>
      </c>
      <c r="BI10" s="27">
        <v>8.9814643639017273</v>
      </c>
      <c r="BJ10" s="27">
        <v>33.867605205546099</v>
      </c>
      <c r="BK10" s="27">
        <v>5.6134152274385798</v>
      </c>
      <c r="BL10" s="27">
        <v>14.220651909511071</v>
      </c>
      <c r="BM10" s="27">
        <v>9.4804346063407117</v>
      </c>
      <c r="BN10" s="27">
        <v>16.091790318657264</v>
      </c>
      <c r="BO10" s="27">
        <v>338.67605205546101</v>
      </c>
      <c r="BP10" s="27">
        <v>44.657836698289145</v>
      </c>
      <c r="BQ10" s="27">
        <v>4.7402173031703558</v>
      </c>
      <c r="BR10" s="27">
        <v>20.956750182437368</v>
      </c>
      <c r="BS10" s="27">
        <v>5.9252716289629452</v>
      </c>
      <c r="BT10" s="27">
        <v>18.399527689937567</v>
      </c>
      <c r="BU10" s="27">
        <v>6.3618705910970572</v>
      </c>
      <c r="BV10" s="27">
        <v>31.310382713046305</v>
      </c>
      <c r="BW10" s="27">
        <v>10.166518689694318</v>
      </c>
      <c r="BX10" s="27">
        <v>7.3598110759750268</v>
      </c>
      <c r="BY10" s="27">
        <v>14.781993432254929</v>
      </c>
      <c r="BZ10" s="27">
        <v>72.912026676396678</v>
      </c>
      <c r="CA10" s="27">
        <v>8.6696079623773628</v>
      </c>
      <c r="CB10" s="27">
        <v>35.925857455606909</v>
      </c>
      <c r="CC10" s="27">
        <v>13.035597583718479</v>
      </c>
      <c r="CD10" s="27">
        <v>43.909381334630673</v>
      </c>
      <c r="CE10" s="27">
        <v>16.278904159571884</v>
      </c>
      <c r="CF10" s="27">
        <v>9.1062069245114738</v>
      </c>
      <c r="CG10" s="27">
        <v>12.536627341279496</v>
      </c>
      <c r="CH10" s="27">
        <v>15.904676477742642</v>
      </c>
      <c r="CI10" s="27">
        <v>2.8690788940241627</v>
      </c>
      <c r="CJ10" s="27">
        <v>22.640774750668939</v>
      </c>
      <c r="CK10" s="27">
        <v>2.8067076137192899</v>
      </c>
      <c r="CL10" s="27">
        <v>7.2974397956701527</v>
      </c>
      <c r="CM10" s="27">
        <v>15.904676477742642</v>
      </c>
      <c r="CN10" s="27">
        <v>8.8567218032919808</v>
      </c>
      <c r="CO10" s="27">
        <v>0</v>
      </c>
      <c r="CP10" s="27">
        <v>29.688729425119604</v>
      </c>
      <c r="CQ10" s="27">
        <v>0</v>
      </c>
      <c r="CR10" s="27">
        <v>23.451601394632291</v>
      </c>
      <c r="CS10" s="27">
        <v>13.40982526554772</v>
      </c>
      <c r="CT10" s="27">
        <v>32.62017959944864</v>
      </c>
      <c r="CU10" s="27">
        <v>22.017061947620206</v>
      </c>
      <c r="CV10" s="27">
        <v>11.663429417011272</v>
      </c>
      <c r="CW10" s="27">
        <v>8.9190930835968558</v>
      </c>
      <c r="CX10" s="27">
        <v>0.18711384091461933</v>
      </c>
      <c r="CY10" s="27">
        <v>13.971166788291574</v>
      </c>
      <c r="CZ10" s="27">
        <v>94.492489661882757</v>
      </c>
      <c r="DA10" s="27">
        <v>11.22683045487716</v>
      </c>
      <c r="DB10" s="27">
        <v>28.378932538717265</v>
      </c>
      <c r="DC10" s="27">
        <v>21.954690667315337</v>
      </c>
      <c r="DD10" s="27">
        <v>19.147983053596043</v>
      </c>
      <c r="DE10" s="27">
        <v>5.6757865077434531</v>
      </c>
      <c r="DF10" s="27">
        <v>65.177987918592407</v>
      </c>
      <c r="DG10" s="27">
        <v>8.7943505229871093</v>
      </c>
      <c r="DH10" s="27">
        <v>1.4345394470120814</v>
      </c>
      <c r="DI10" s="27">
        <v>23.015002432498175</v>
      </c>
      <c r="DJ10" s="27">
        <v>30.125328387253713</v>
      </c>
      <c r="DK10" s="27">
        <v>28.815531500851378</v>
      </c>
      <c r="DL10" s="27">
        <v>9.2309494851212204</v>
      </c>
      <c r="DM10" s="27">
        <v>13.65931038676721</v>
      </c>
      <c r="DN10" s="27">
        <v>12.03765709884051</v>
      </c>
      <c r="DO10" s="27">
        <v>12.287142220060003</v>
      </c>
      <c r="DP10" s="27">
        <v>37.422768182923868</v>
      </c>
      <c r="DQ10" s="27">
        <v>6.548984432011677</v>
      </c>
      <c r="DR10" s="27">
        <v>15.40570623530366</v>
      </c>
      <c r="DS10" s="27">
        <v>10.914974053352793</v>
      </c>
      <c r="DT10" s="27">
        <v>11.601058136706399</v>
      </c>
      <c r="DU10" s="27">
        <v>7.7964100381091388</v>
      </c>
      <c r="DV10" s="27">
        <v>9.2933207654260936</v>
      </c>
      <c r="DW10" s="27">
        <v>29.563986864509857</v>
      </c>
      <c r="DX10" s="27">
        <v>18.337156409632694</v>
      </c>
      <c r="DY10" s="27">
        <v>28.441303819022142</v>
      </c>
      <c r="DZ10" s="27">
        <v>30.998526311521939</v>
      </c>
      <c r="EA10" s="27">
        <v>5.6134152274385798</v>
      </c>
      <c r="EB10" s="27">
        <v>5.403100399140313</v>
      </c>
      <c r="EC10" s="27">
        <v>5.5031578139392083</v>
      </c>
      <c r="ED10" s="27">
        <v>11.406545287073996</v>
      </c>
      <c r="EE10" s="27">
        <v>9.7389217070924179</v>
      </c>
      <c r="EF10" s="27">
        <v>15.909128953024256</v>
      </c>
      <c r="EG10" s="27">
        <v>15.442194350629414</v>
      </c>
      <c r="EH10" s="27">
        <v>12.874054037457784</v>
      </c>
      <c r="EI10" s="27">
        <v>8.9051099171016279</v>
      </c>
      <c r="EJ10" s="27">
        <v>13.841275713847098</v>
      </c>
      <c r="EK10" s="27">
        <v>11.006315627878417</v>
      </c>
      <c r="EL10" s="27">
        <v>9.4053969910961008</v>
      </c>
      <c r="EM10" s="27">
        <v>14.408267731040837</v>
      </c>
      <c r="EN10" s="27">
        <v>13.040816395455943</v>
      </c>
      <c r="EO10" s="27">
        <v>22.546270801350936</v>
      </c>
      <c r="EP10" s="27">
        <v>22.679680687749464</v>
      </c>
      <c r="EQ10" s="27">
        <v>24.180541909732884</v>
      </c>
      <c r="ER10" s="27">
        <v>8.6716426159042062</v>
      </c>
      <c r="ES10" s="27">
        <v>16.175948725821307</v>
      </c>
      <c r="ET10" s="27">
        <v>8.7049950875038391</v>
      </c>
      <c r="EU10" s="27">
        <v>7.6710684679152603</v>
      </c>
      <c r="EV10" s="27">
        <v>12.407119435062944</v>
      </c>
      <c r="EW10" s="27">
        <v>11.606660116671785</v>
      </c>
      <c r="EX10" s="27">
        <v>5.7366251151366292</v>
      </c>
      <c r="EY10" s="27">
        <v>21.112114522566777</v>
      </c>
      <c r="EZ10" s="27">
        <v>10.639438440282468</v>
      </c>
      <c r="FA10" s="27">
        <v>10.005741479889469</v>
      </c>
      <c r="FB10" s="27">
        <v>10.472676082284311</v>
      </c>
      <c r="FC10" s="27">
        <v>19.878073073380413</v>
      </c>
      <c r="FD10" s="27">
        <v>15.942481424623887</v>
      </c>
      <c r="FE10" s="27">
        <v>13.941333128645995</v>
      </c>
      <c r="FF10" s="27">
        <v>8.6049376727049438</v>
      </c>
      <c r="FG10" s="27">
        <v>8.7383475591034685</v>
      </c>
      <c r="FH10" s="27">
        <v>12.440471906662573</v>
      </c>
      <c r="FI10" s="27">
        <v>15.475546822229045</v>
      </c>
    </row>
    <row r="11" spans="1:165" x14ac:dyDescent="0.3">
      <c r="A11" s="4" t="s">
        <v>3006</v>
      </c>
      <c r="B11" s="27">
        <v>31.83836779372416</v>
      </c>
      <c r="C11" s="27">
        <v>15.609472147895891</v>
      </c>
      <c r="D11" s="27">
        <v>2.5396363415227441</v>
      </c>
      <c r="E11" s="27">
        <v>8.6719289710532728</v>
      </c>
      <c r="F11" s="27">
        <v>8.0525054731208972</v>
      </c>
      <c r="G11" s="27">
        <v>2.7874057406956947</v>
      </c>
      <c r="H11" s="27">
        <v>20.998456579907565</v>
      </c>
      <c r="I11" s="27">
        <v>41.377489661882755</v>
      </c>
      <c r="J11" s="27">
        <v>9.7868912673315513</v>
      </c>
      <c r="K11" s="27">
        <v>8.3002748722938477</v>
      </c>
      <c r="L11" s="27">
        <v>24.591112867915353</v>
      </c>
      <c r="M11" s="27">
        <v>15.91918389686208</v>
      </c>
      <c r="N11" s="27">
        <v>3.2829445390415959</v>
      </c>
      <c r="O11" s="27">
        <v>7.6808513743614713</v>
      </c>
      <c r="P11" s="27">
        <v>3.7165409875942599</v>
      </c>
      <c r="Q11" s="27">
        <v>7.8047360739479457</v>
      </c>
      <c r="R11" s="27">
        <v>7.8047360739479457</v>
      </c>
      <c r="S11" s="27">
        <v>2.3538092921430311</v>
      </c>
      <c r="T11" s="27">
        <v>3.0351751398686462</v>
      </c>
      <c r="U11" s="27">
        <v>67.083564826076383</v>
      </c>
      <c r="V11" s="27">
        <v>7.1233702262223311</v>
      </c>
      <c r="W11" s="27">
        <v>14.06091340306495</v>
      </c>
      <c r="X11" s="27">
        <v>4.3359644855266364</v>
      </c>
      <c r="Y11" s="27">
        <v>2.4776939917295069</v>
      </c>
      <c r="Z11" s="27">
        <v>17.777454390659209</v>
      </c>
      <c r="AA11" s="27">
        <v>20.998456579907565</v>
      </c>
      <c r="AB11" s="27">
        <v>13.751201654098761</v>
      </c>
      <c r="AC11" s="27">
        <v>9.3532948187788865</v>
      </c>
      <c r="AD11" s="27">
        <v>17.281915592313307</v>
      </c>
      <c r="AE11" s="27">
        <v>10.777968864023352</v>
      </c>
      <c r="AF11" s="27">
        <v>31.466713694964731</v>
      </c>
      <c r="AG11" s="27">
        <v>10.468257115057163</v>
      </c>
      <c r="AH11" s="27">
        <v>179.26116030162979</v>
      </c>
      <c r="AI11" s="27">
        <v>83.869941620043804</v>
      </c>
      <c r="AJ11" s="27">
        <v>45.341800048649972</v>
      </c>
      <c r="AK11" s="27">
        <v>13.813144003891999</v>
      </c>
      <c r="AL11" s="27">
        <v>8.857756020432987</v>
      </c>
      <c r="AM11" s="27">
        <v>36.050447579664322</v>
      </c>
      <c r="AN11" s="27">
        <v>17.281915592313307</v>
      </c>
      <c r="AO11" s="27">
        <v>14.990048649963514</v>
      </c>
      <c r="AP11" s="27">
        <v>8.7338713208465109</v>
      </c>
      <c r="AQ11" s="27">
        <v>16.414722695207981</v>
      </c>
      <c r="AR11" s="27">
        <v>5.5128691315981522</v>
      </c>
      <c r="AS11" s="27">
        <v>16.910261493553882</v>
      </c>
      <c r="AT11" s="27">
        <v>9.6630065677450752</v>
      </c>
      <c r="AU11" s="27">
        <v>34.316061785453662</v>
      </c>
      <c r="AV11" s="27">
        <v>5.5748114813913894</v>
      </c>
      <c r="AW11" s="27">
        <v>25.458305765020679</v>
      </c>
      <c r="AX11" s="27">
        <v>14.742279250790565</v>
      </c>
      <c r="AY11" s="27">
        <v>17.963281440038923</v>
      </c>
      <c r="AZ11" s="27">
        <v>14.308682802237902</v>
      </c>
      <c r="BA11" s="27">
        <v>15.91918389686208</v>
      </c>
      <c r="BB11" s="27">
        <v>46.580647044514727</v>
      </c>
      <c r="BC11" s="27">
        <v>32.024194843103871</v>
      </c>
      <c r="BD11" s="27">
        <v>244.79616638287527</v>
      </c>
      <c r="BE11" s="27">
        <v>7.2472549258088055</v>
      </c>
      <c r="BF11" s="27">
        <v>49.306110435417175</v>
      </c>
      <c r="BG11" s="27">
        <v>8.3002748722938477</v>
      </c>
      <c r="BH11" s="27">
        <v>7.0614278764290948</v>
      </c>
      <c r="BI11" s="27">
        <v>8.9196983702262234</v>
      </c>
      <c r="BJ11" s="27">
        <v>33.634695937728047</v>
      </c>
      <c r="BK11" s="27">
        <v>5.5748114813913894</v>
      </c>
      <c r="BL11" s="27">
        <v>14.12285575285819</v>
      </c>
      <c r="BM11" s="27">
        <v>9.4152371685721246</v>
      </c>
      <c r="BN11" s="27">
        <v>15.981126246655318</v>
      </c>
      <c r="BO11" s="27">
        <v>336.34695937728054</v>
      </c>
      <c r="BP11" s="27">
        <v>44.350722451958163</v>
      </c>
      <c r="BQ11" s="27">
        <v>4.7076185842860623</v>
      </c>
      <c r="BR11" s="27">
        <v>20.812629530527857</v>
      </c>
      <c r="BS11" s="27">
        <v>5.8845232303575781</v>
      </c>
      <c r="BT11" s="27">
        <v>18.27299318900511</v>
      </c>
      <c r="BU11" s="27">
        <v>6.3181196789102421</v>
      </c>
      <c r="BV11" s="27">
        <v>31.09505959620531</v>
      </c>
      <c r="BW11" s="27">
        <v>10.09660301629774</v>
      </c>
      <c r="BX11" s="27">
        <v>7.3091972756020445</v>
      </c>
      <c r="BY11" s="27">
        <v>14.680336900997327</v>
      </c>
      <c r="BZ11" s="27">
        <v>72.410606908294838</v>
      </c>
      <c r="CA11" s="27">
        <v>8.6099866212600347</v>
      </c>
      <c r="CB11" s="27">
        <v>35.678793480904893</v>
      </c>
      <c r="CC11" s="27">
        <v>12.945951106786671</v>
      </c>
      <c r="CD11" s="27">
        <v>43.60741425443932</v>
      </c>
      <c r="CE11" s="27">
        <v>16.166953296035032</v>
      </c>
      <c r="CF11" s="27">
        <v>9.0435830698126995</v>
      </c>
      <c r="CG11" s="27">
        <v>12.450412308440772</v>
      </c>
      <c r="CH11" s="27">
        <v>15.795299197275604</v>
      </c>
      <c r="CI11" s="27">
        <v>2.8493480904889323</v>
      </c>
      <c r="CJ11" s="27">
        <v>22.485072974945272</v>
      </c>
      <c r="CK11" s="27">
        <v>2.7874057406956947</v>
      </c>
      <c r="CL11" s="27">
        <v>7.2472549258088055</v>
      </c>
      <c r="CM11" s="27">
        <v>15.795299197275604</v>
      </c>
      <c r="CN11" s="27">
        <v>8.7958136706397472</v>
      </c>
      <c r="CO11" s="27">
        <v>0</v>
      </c>
      <c r="CP11" s="27">
        <v>29.48455850158113</v>
      </c>
      <c r="CQ11" s="27">
        <v>0</v>
      </c>
      <c r="CR11" s="27">
        <v>23.290323522257363</v>
      </c>
      <c r="CS11" s="27">
        <v>13.3176052055461</v>
      </c>
      <c r="CT11" s="27">
        <v>32.395848941863299</v>
      </c>
      <c r="CU11" s="27">
        <v>21.865649477012894</v>
      </c>
      <c r="CV11" s="27">
        <v>11.583219411335444</v>
      </c>
      <c r="CW11" s="27">
        <v>8.857756020432987</v>
      </c>
      <c r="CX11" s="27">
        <v>0.18582704937971301</v>
      </c>
      <c r="CY11" s="27">
        <v>13.875086353685235</v>
      </c>
      <c r="CZ11" s="27">
        <v>93.842659936755055</v>
      </c>
      <c r="DA11" s="27">
        <v>11.149622962782779</v>
      </c>
      <c r="DB11" s="27">
        <v>28.183769155923137</v>
      </c>
      <c r="DC11" s="27">
        <v>21.80370712721966</v>
      </c>
      <c r="DD11" s="27">
        <v>19.016301386523963</v>
      </c>
      <c r="DE11" s="27">
        <v>5.6367538311846275</v>
      </c>
      <c r="DF11" s="27">
        <v>64.729755533933357</v>
      </c>
      <c r="DG11" s="27">
        <v>8.7338713208465109</v>
      </c>
      <c r="DH11" s="27">
        <v>1.4246740452444662</v>
      </c>
      <c r="DI11" s="27">
        <v>22.856727073704697</v>
      </c>
      <c r="DJ11" s="27">
        <v>29.918154950133793</v>
      </c>
      <c r="DK11" s="27">
        <v>28.617365604475804</v>
      </c>
      <c r="DL11" s="27">
        <v>9.167467769399174</v>
      </c>
      <c r="DM11" s="27">
        <v>13.565374604719048</v>
      </c>
      <c r="DN11" s="27">
        <v>11.954873510094869</v>
      </c>
      <c r="DO11" s="27">
        <v>12.202642909267819</v>
      </c>
      <c r="DP11" s="27">
        <v>37.165409875942601</v>
      </c>
      <c r="DQ11" s="27">
        <v>6.5039467282899546</v>
      </c>
      <c r="DR11" s="27">
        <v>15.299760398929704</v>
      </c>
      <c r="DS11" s="27">
        <v>10.83991121381659</v>
      </c>
      <c r="DT11" s="27">
        <v>11.521277061542206</v>
      </c>
      <c r="DU11" s="27">
        <v>7.7427937241547085</v>
      </c>
      <c r="DV11" s="27">
        <v>9.2294101191924121</v>
      </c>
      <c r="DW11" s="27">
        <v>29.360673801994654</v>
      </c>
      <c r="DX11" s="27">
        <v>18.211050839211872</v>
      </c>
      <c r="DY11" s="27">
        <v>28.245711505716379</v>
      </c>
      <c r="DZ11" s="27">
        <v>30.78534784723912</v>
      </c>
      <c r="EA11" s="27">
        <v>5.5748114813913894</v>
      </c>
      <c r="EB11" s="27">
        <v>5.3472932146146759</v>
      </c>
      <c r="EC11" s="27">
        <v>5.4463171630334664</v>
      </c>
      <c r="ED11" s="27">
        <v>11.288730119742095</v>
      </c>
      <c r="EE11" s="27">
        <v>9.6383309794289236</v>
      </c>
      <c r="EF11" s="27">
        <v>15.744807798587658</v>
      </c>
      <c r="EG11" s="27">
        <v>15.282696039299971</v>
      </c>
      <c r="EH11" s="27">
        <v>12.741081363217686</v>
      </c>
      <c r="EI11" s="27">
        <v>8.8131314092723372</v>
      </c>
      <c r="EJ11" s="27">
        <v>13.698312864599323</v>
      </c>
      <c r="EK11" s="27">
        <v>10.892634326066933</v>
      </c>
      <c r="EL11" s="27">
        <v>9.3082511513662887</v>
      </c>
      <c r="EM11" s="27">
        <v>14.259448572305805</v>
      </c>
      <c r="EN11" s="27">
        <v>12.906121277249005</v>
      </c>
      <c r="EO11" s="27">
        <v>22.313396377034081</v>
      </c>
      <c r="EP11" s="27">
        <v>22.445428308259135</v>
      </c>
      <c r="EQ11" s="27">
        <v>23.93078753454099</v>
      </c>
      <c r="ER11" s="27">
        <v>8.5820755296284936</v>
      </c>
      <c r="ES11" s="27">
        <v>16.008871661037766</v>
      </c>
      <c r="ET11" s="27">
        <v>8.615083512434758</v>
      </c>
      <c r="EU11" s="27">
        <v>7.5918360454405907</v>
      </c>
      <c r="EV11" s="27">
        <v>12.278969603929999</v>
      </c>
      <c r="EW11" s="27">
        <v>11.486778016579676</v>
      </c>
      <c r="EX11" s="27">
        <v>5.6773730426773108</v>
      </c>
      <c r="EY11" s="27">
        <v>20.894053116364752</v>
      </c>
      <c r="EZ11" s="27">
        <v>10.529546515198035</v>
      </c>
      <c r="FA11" s="27">
        <v>9.9023948418790297</v>
      </c>
      <c r="FB11" s="27">
        <v>10.364506601166719</v>
      </c>
      <c r="FC11" s="27">
        <v>19.672757752533009</v>
      </c>
      <c r="FD11" s="27">
        <v>15.777815781393921</v>
      </c>
      <c r="FE11" s="27">
        <v>13.797336813018116</v>
      </c>
      <c r="FF11" s="27">
        <v>8.5160595640159666</v>
      </c>
      <c r="FG11" s="27">
        <v>8.6480914952410188</v>
      </c>
      <c r="FH11" s="27">
        <v>12.31197758673626</v>
      </c>
      <c r="FI11" s="27">
        <v>15.315704022106233</v>
      </c>
    </row>
    <row r="12" spans="1:165" x14ac:dyDescent="0.3">
      <c r="A12" s="4" t="s">
        <v>3007</v>
      </c>
      <c r="B12" s="27">
        <v>31.569917092353855</v>
      </c>
      <c r="C12" s="27">
        <v>15.477858185356363</v>
      </c>
      <c r="D12" s="27">
        <v>2.5182229587286145</v>
      </c>
      <c r="E12" s="27">
        <v>8.598810102975758</v>
      </c>
      <c r="F12" s="27">
        <v>7.9846093813346322</v>
      </c>
      <c r="G12" s="27">
        <v>2.7639032473850649</v>
      </c>
      <c r="H12" s="27">
        <v>20.821404463634153</v>
      </c>
      <c r="I12" s="27">
        <v>41.028608205627187</v>
      </c>
      <c r="J12" s="27">
        <v>9.7043714019297838</v>
      </c>
      <c r="K12" s="27">
        <v>8.2302896699910839</v>
      </c>
      <c r="L12" s="27">
        <v>24.383768649152685</v>
      </c>
      <c r="M12" s="27">
        <v>15.784958546176927</v>
      </c>
      <c r="N12" s="27">
        <v>3.2552638246979653</v>
      </c>
      <c r="O12" s="27">
        <v>7.6160889483499572</v>
      </c>
      <c r="P12" s="27">
        <v>3.6852043298467536</v>
      </c>
      <c r="Q12" s="27">
        <v>7.7389290926781813</v>
      </c>
      <c r="R12" s="27">
        <v>7.7389290926781813</v>
      </c>
      <c r="S12" s="27">
        <v>2.333962742236277</v>
      </c>
      <c r="T12" s="27">
        <v>3.0095835360415157</v>
      </c>
      <c r="U12" s="27">
        <v>66.517938153733894</v>
      </c>
      <c r="V12" s="27">
        <v>7.0633082988729443</v>
      </c>
      <c r="W12" s="27">
        <v>13.94235638125355</v>
      </c>
      <c r="X12" s="27">
        <v>4.299405051487879</v>
      </c>
      <c r="Y12" s="27">
        <v>2.4568028865645024</v>
      </c>
      <c r="Z12" s="27">
        <v>17.627560711100301</v>
      </c>
      <c r="AA12" s="27">
        <v>20.821404463634153</v>
      </c>
      <c r="AB12" s="27">
        <v>13.635256020432987</v>
      </c>
      <c r="AC12" s="27">
        <v>9.2744308967809967</v>
      </c>
      <c r="AD12" s="27">
        <v>17.136200133787401</v>
      </c>
      <c r="AE12" s="27">
        <v>10.687092556555584</v>
      </c>
      <c r="AF12" s="27">
        <v>31.201396659369173</v>
      </c>
      <c r="AG12" s="27">
        <v>10.379992195735021</v>
      </c>
      <c r="AH12" s="27">
        <v>177.74968884294174</v>
      </c>
      <c r="AI12" s="27">
        <v>83.162777710208402</v>
      </c>
      <c r="AJ12" s="27">
        <v>44.959492824130393</v>
      </c>
      <c r="AK12" s="27">
        <v>13.6966760925971</v>
      </c>
      <c r="AL12" s="27">
        <v>8.783070319468095</v>
      </c>
      <c r="AM12" s="27">
        <v>35.746481999513513</v>
      </c>
      <c r="AN12" s="27">
        <v>17.136200133787401</v>
      </c>
      <c r="AO12" s="27">
        <v>14.863657463715239</v>
      </c>
      <c r="AP12" s="27">
        <v>8.6602301751398709</v>
      </c>
      <c r="AQ12" s="27">
        <v>16.276319123489827</v>
      </c>
      <c r="AR12" s="27">
        <v>5.4663864226060177</v>
      </c>
      <c r="AS12" s="27">
        <v>16.767679700802727</v>
      </c>
      <c r="AT12" s="27">
        <v>9.5815312576015579</v>
      </c>
      <c r="AU12" s="27">
        <v>34.026719978918351</v>
      </c>
      <c r="AV12" s="27">
        <v>5.5278064947701298</v>
      </c>
      <c r="AW12" s="27">
        <v>25.243649659450259</v>
      </c>
      <c r="AX12" s="27">
        <v>14.61797717505879</v>
      </c>
      <c r="AY12" s="27">
        <v>17.811820927592642</v>
      </c>
      <c r="AZ12" s="27">
        <v>14.188036669910002</v>
      </c>
      <c r="BA12" s="27">
        <v>15.784958546176927</v>
      </c>
      <c r="BB12" s="27">
        <v>46.187894267412645</v>
      </c>
      <c r="BC12" s="27">
        <v>31.754177308846192</v>
      </c>
      <c r="BD12" s="27">
        <v>242.73212519257282</v>
      </c>
      <c r="BE12" s="27">
        <v>7.1861484432011684</v>
      </c>
      <c r="BF12" s="27">
        <v>48.890377442633593</v>
      </c>
      <c r="BG12" s="27">
        <v>8.2302896699910839</v>
      </c>
      <c r="BH12" s="27">
        <v>7.0018882267088323</v>
      </c>
      <c r="BI12" s="27">
        <v>8.844490391632208</v>
      </c>
      <c r="BJ12" s="27">
        <v>33.351099185113114</v>
      </c>
      <c r="BK12" s="27">
        <v>5.5278064947701298</v>
      </c>
      <c r="BL12" s="27">
        <v>14.003776453417665</v>
      </c>
      <c r="BM12" s="27">
        <v>9.3358509689451079</v>
      </c>
      <c r="BN12" s="27">
        <v>15.84637861834104</v>
      </c>
      <c r="BO12" s="27">
        <v>333.51099185113117</v>
      </c>
      <c r="BP12" s="27">
        <v>43.976771669504586</v>
      </c>
      <c r="BQ12" s="27">
        <v>4.667925484472554</v>
      </c>
      <c r="BR12" s="27">
        <v>20.637144247141819</v>
      </c>
      <c r="BS12" s="27">
        <v>5.8349068555906927</v>
      </c>
      <c r="BT12" s="27">
        <v>18.118921288413205</v>
      </c>
      <c r="BU12" s="27">
        <v>6.2648473607394806</v>
      </c>
      <c r="BV12" s="27">
        <v>30.832876226384506</v>
      </c>
      <c r="BW12" s="27">
        <v>10.011471762750347</v>
      </c>
      <c r="BX12" s="27">
        <v>7.2475685153652813</v>
      </c>
      <c r="BY12" s="27">
        <v>14.556557102894676</v>
      </c>
      <c r="BZ12" s="27">
        <v>71.800064359847582</v>
      </c>
      <c r="CA12" s="27">
        <v>8.537390030811645</v>
      </c>
      <c r="CB12" s="27">
        <v>35.377961566528832</v>
      </c>
      <c r="CC12" s="27">
        <v>12.836795082299524</v>
      </c>
      <c r="CD12" s="27">
        <v>43.239730803535238</v>
      </c>
      <c r="CE12" s="27">
        <v>16.030638834833379</v>
      </c>
      <c r="CF12" s="27">
        <v>8.9673305359604338</v>
      </c>
      <c r="CG12" s="27">
        <v>12.345434504986624</v>
      </c>
      <c r="CH12" s="27">
        <v>15.662118401848701</v>
      </c>
      <c r="CI12" s="27">
        <v>2.8253233195491774</v>
      </c>
      <c r="CJ12" s="27">
        <v>22.295486195572856</v>
      </c>
      <c r="CK12" s="27">
        <v>2.7639032473850649</v>
      </c>
      <c r="CL12" s="27">
        <v>7.1861484432011684</v>
      </c>
      <c r="CM12" s="27">
        <v>15.662118401848701</v>
      </c>
      <c r="CN12" s="27">
        <v>8.7216502473039821</v>
      </c>
      <c r="CO12" s="27">
        <v>0</v>
      </c>
      <c r="CP12" s="27">
        <v>29.235954350117581</v>
      </c>
      <c r="CQ12" s="27">
        <v>0</v>
      </c>
      <c r="CR12" s="27">
        <v>23.093947133706322</v>
      </c>
      <c r="CS12" s="27">
        <v>13.2053155152842</v>
      </c>
      <c r="CT12" s="27">
        <v>32.122697741830869</v>
      </c>
      <c r="CU12" s="27">
        <v>21.68128547393173</v>
      </c>
      <c r="CV12" s="27">
        <v>11.485553494689048</v>
      </c>
      <c r="CW12" s="27">
        <v>8.783070319468095</v>
      </c>
      <c r="CX12" s="27">
        <v>0.18426021649233768</v>
      </c>
      <c r="CY12" s="27">
        <v>13.758096164761211</v>
      </c>
      <c r="CZ12" s="27">
        <v>93.051409328630513</v>
      </c>
      <c r="DA12" s="27">
        <v>11.05561298954026</v>
      </c>
      <c r="DB12" s="27">
        <v>27.946132834671211</v>
      </c>
      <c r="DC12" s="27">
        <v>21.619865401767619</v>
      </c>
      <c r="DD12" s="27">
        <v>18.855962154382553</v>
      </c>
      <c r="DE12" s="27">
        <v>5.5892265669342427</v>
      </c>
      <c r="DF12" s="27">
        <v>64.183975411497627</v>
      </c>
      <c r="DG12" s="27">
        <v>8.6602301751398709</v>
      </c>
      <c r="DH12" s="27">
        <v>1.4126616597745887</v>
      </c>
      <c r="DI12" s="27">
        <v>22.66400662855753</v>
      </c>
      <c r="DJ12" s="27">
        <v>29.665894855266366</v>
      </c>
      <c r="DK12" s="27">
        <v>28.376073339820003</v>
      </c>
      <c r="DL12" s="27">
        <v>9.0901706802886579</v>
      </c>
      <c r="DM12" s="27">
        <v>13.450995803940648</v>
      </c>
      <c r="DN12" s="27">
        <v>11.854073927673722</v>
      </c>
      <c r="DO12" s="27">
        <v>12.099754216330174</v>
      </c>
      <c r="DP12" s="27">
        <v>36.852043298467535</v>
      </c>
      <c r="DQ12" s="27">
        <v>6.4491075772318185</v>
      </c>
      <c r="DR12" s="27">
        <v>15.170757824535801</v>
      </c>
      <c r="DS12" s="27">
        <v>10.748512628719697</v>
      </c>
      <c r="DT12" s="27">
        <v>11.424133422524935</v>
      </c>
      <c r="DU12" s="27">
        <v>7.6775090205140692</v>
      </c>
      <c r="DV12" s="27">
        <v>9.1515907524527709</v>
      </c>
      <c r="DW12" s="27">
        <v>29.113114205789351</v>
      </c>
      <c r="DX12" s="27">
        <v>18.05750121624909</v>
      </c>
      <c r="DY12" s="27">
        <v>28.007552906835329</v>
      </c>
      <c r="DZ12" s="27">
        <v>30.52577586556394</v>
      </c>
      <c r="EA12" s="27">
        <v>5.5278064947701298</v>
      </c>
      <c r="EB12" s="27">
        <v>5.3676489100399136</v>
      </c>
      <c r="EC12" s="27">
        <v>5.4670498157813938</v>
      </c>
      <c r="ED12" s="27">
        <v>11.331703254528708</v>
      </c>
      <c r="EE12" s="27">
        <v>9.6750214921707105</v>
      </c>
      <c r="EF12" s="27">
        <v>15.804744012895304</v>
      </c>
      <c r="EG12" s="27">
        <v>15.340873119435063</v>
      </c>
      <c r="EH12" s="27">
        <v>12.789583205403748</v>
      </c>
      <c r="EI12" s="27">
        <v>8.8466806109917115</v>
      </c>
      <c r="EJ12" s="27">
        <v>13.750458627571385</v>
      </c>
      <c r="EK12" s="27">
        <v>10.934099631562788</v>
      </c>
      <c r="EL12" s="27">
        <v>9.3436851396991099</v>
      </c>
      <c r="EM12" s="27">
        <v>14.313730426773105</v>
      </c>
      <c r="EN12" s="27">
        <v>12.955251381639547</v>
      </c>
      <c r="EO12" s="27">
        <v>22.398337427080136</v>
      </c>
      <c r="EP12" s="27">
        <v>22.530871968068777</v>
      </c>
      <c r="EQ12" s="27">
        <v>24.021885554190973</v>
      </c>
      <c r="ER12" s="27">
        <v>8.6147451642615902</v>
      </c>
      <c r="ES12" s="27">
        <v>16.069813094872583</v>
      </c>
      <c r="ET12" s="27">
        <v>8.6478787995087529</v>
      </c>
      <c r="EU12" s="27">
        <v>7.6207361068467927</v>
      </c>
      <c r="EV12" s="27">
        <v>12.325712311943509</v>
      </c>
      <c r="EW12" s="27">
        <v>11.530505066011667</v>
      </c>
      <c r="EX12" s="27">
        <v>5.6989852625115143</v>
      </c>
      <c r="EY12" s="27">
        <v>20.973591111452258</v>
      </c>
      <c r="EZ12" s="27">
        <v>10.569629643844028</v>
      </c>
      <c r="FA12" s="27">
        <v>9.9400905741479892</v>
      </c>
      <c r="FB12" s="27">
        <v>10.40396146760823</v>
      </c>
      <c r="FC12" s="27">
        <v>19.747646607307342</v>
      </c>
      <c r="FD12" s="27">
        <v>15.837877648142463</v>
      </c>
      <c r="FE12" s="27">
        <v>13.849859533312866</v>
      </c>
      <c r="FF12" s="27">
        <v>8.5484778937672719</v>
      </c>
      <c r="FG12" s="27">
        <v>8.6810124347559103</v>
      </c>
      <c r="FH12" s="27">
        <v>12.358845947190666</v>
      </c>
      <c r="FI12" s="27">
        <v>15.374006754682224</v>
      </c>
    </row>
    <row r="13" spans="1:165" x14ac:dyDescent="0.3">
      <c r="A13" s="4" t="s">
        <v>3008</v>
      </c>
      <c r="B13" s="27">
        <v>31.573355428525108</v>
      </c>
      <c r="C13" s="27">
        <v>15.479543906592074</v>
      </c>
      <c r="D13" s="27">
        <v>2.5184972228979166</v>
      </c>
      <c r="E13" s="27">
        <v>8.599746614773375</v>
      </c>
      <c r="F13" s="27">
        <v>7.98547899943242</v>
      </c>
      <c r="G13" s="27">
        <v>2.7642042690342992</v>
      </c>
      <c r="H13" s="27">
        <v>20.823672160058386</v>
      </c>
      <c r="I13" s="27">
        <v>41.033076704775816</v>
      </c>
      <c r="J13" s="27">
        <v>9.7054283223870943</v>
      </c>
      <c r="K13" s="27">
        <v>8.2311860455688031</v>
      </c>
      <c r="L13" s="27">
        <v>24.386424329035929</v>
      </c>
      <c r="M13" s="27">
        <v>15.786677714262554</v>
      </c>
      <c r="N13" s="27">
        <v>3.2556183613070631</v>
      </c>
      <c r="O13" s="27">
        <v>7.6169184302278472</v>
      </c>
      <c r="P13" s="27">
        <v>3.6856056920457321</v>
      </c>
      <c r="Q13" s="27">
        <v>7.739771953296037</v>
      </c>
      <c r="R13" s="27">
        <v>7.739771953296037</v>
      </c>
      <c r="S13" s="27">
        <v>2.3342169382956302</v>
      </c>
      <c r="T13" s="27">
        <v>3.0099113151706818</v>
      </c>
      <c r="U13" s="27">
        <v>66.525182741425468</v>
      </c>
      <c r="V13" s="27">
        <v>7.0640775764209867</v>
      </c>
      <c r="W13" s="27">
        <v>13.943874868239687</v>
      </c>
      <c r="X13" s="27">
        <v>4.2998733073866875</v>
      </c>
      <c r="Y13" s="27">
        <v>2.4570704613638217</v>
      </c>
      <c r="Z13" s="27">
        <v>17.629480560285419</v>
      </c>
      <c r="AA13" s="27">
        <v>20.823672160058386</v>
      </c>
      <c r="AB13" s="27">
        <v>13.636741060569207</v>
      </c>
      <c r="AC13" s="27">
        <v>9.2754409916484253</v>
      </c>
      <c r="AD13" s="27">
        <v>17.138066468012653</v>
      </c>
      <c r="AE13" s="27">
        <v>10.688256506932621</v>
      </c>
      <c r="AF13" s="27">
        <v>31.204794859320529</v>
      </c>
      <c r="AG13" s="27">
        <v>10.381122699262145</v>
      </c>
      <c r="AH13" s="27">
        <v>177.76904787967246</v>
      </c>
      <c r="AI13" s="27">
        <v>83.171835117165358</v>
      </c>
      <c r="AJ13" s="27">
        <v>44.964389442957938</v>
      </c>
      <c r="AK13" s="27">
        <v>13.698167822103304</v>
      </c>
      <c r="AL13" s="27">
        <v>8.7840268993756609</v>
      </c>
      <c r="AM13" s="27">
        <v>35.750375212843608</v>
      </c>
      <c r="AN13" s="27">
        <v>17.138066468012653</v>
      </c>
      <c r="AO13" s="27">
        <v>14.865276291251119</v>
      </c>
      <c r="AP13" s="27">
        <v>8.6611733763074703</v>
      </c>
      <c r="AQ13" s="27">
        <v>16.278091806535315</v>
      </c>
      <c r="AR13" s="27">
        <v>5.466981776534503</v>
      </c>
      <c r="AS13" s="27">
        <v>16.769505898808081</v>
      </c>
      <c r="AT13" s="27">
        <v>9.5825747993189037</v>
      </c>
      <c r="AU13" s="27">
        <v>34.030425889888924</v>
      </c>
      <c r="AV13" s="27">
        <v>5.5284085380685983</v>
      </c>
      <c r="AW13" s="27">
        <v>25.246398990513267</v>
      </c>
      <c r="AX13" s="27">
        <v>14.619569245114739</v>
      </c>
      <c r="AY13" s="27">
        <v>17.813760844887707</v>
      </c>
      <c r="AZ13" s="27">
        <v>14.18958191437607</v>
      </c>
      <c r="BA13" s="27">
        <v>15.786677714262554</v>
      </c>
      <c r="BB13" s="27">
        <v>46.192924673639844</v>
      </c>
      <c r="BC13" s="27">
        <v>31.757635713127392</v>
      </c>
      <c r="BD13" s="27">
        <v>242.75856158274556</v>
      </c>
      <c r="BE13" s="27">
        <v>7.1869310994891764</v>
      </c>
      <c r="BF13" s="27">
        <v>48.895702181140045</v>
      </c>
      <c r="BG13" s="27">
        <v>8.2311860455688031</v>
      </c>
      <c r="BH13" s="27">
        <v>7.0026508148868913</v>
      </c>
      <c r="BI13" s="27">
        <v>8.8454536609097563</v>
      </c>
      <c r="BJ13" s="27">
        <v>33.354731513013874</v>
      </c>
      <c r="BK13" s="27">
        <v>5.5284085380685983</v>
      </c>
      <c r="BL13" s="27">
        <v>14.005301629773783</v>
      </c>
      <c r="BM13" s="27">
        <v>9.3368677531825206</v>
      </c>
      <c r="BN13" s="27">
        <v>15.848104475796649</v>
      </c>
      <c r="BO13" s="27">
        <v>333.54731513013877</v>
      </c>
      <c r="BP13" s="27">
        <v>43.981561258412398</v>
      </c>
      <c r="BQ13" s="27">
        <v>4.6684338765912603</v>
      </c>
      <c r="BR13" s="27">
        <v>20.639391875456102</v>
      </c>
      <c r="BS13" s="27">
        <v>5.8355423457390758</v>
      </c>
      <c r="BT13" s="27">
        <v>18.120894652558182</v>
      </c>
      <c r="BU13" s="27">
        <v>6.2655296764777448</v>
      </c>
      <c r="BV13" s="27">
        <v>30.836234290115961</v>
      </c>
      <c r="BW13" s="27">
        <v>10.012562130057573</v>
      </c>
      <c r="BX13" s="27">
        <v>7.2483578610232735</v>
      </c>
      <c r="BY13" s="27">
        <v>14.558142483580642</v>
      </c>
      <c r="BZ13" s="27">
        <v>71.807884233357683</v>
      </c>
      <c r="CA13" s="27">
        <v>8.5383198532392797</v>
      </c>
      <c r="CB13" s="27">
        <v>35.381814643639025</v>
      </c>
      <c r="CC13" s="27">
        <v>12.838193160625966</v>
      </c>
      <c r="CD13" s="27">
        <v>43.244440120003262</v>
      </c>
      <c r="CE13" s="27">
        <v>16.032384760398937</v>
      </c>
      <c r="CF13" s="27">
        <v>8.9683071839779487</v>
      </c>
      <c r="CG13" s="27">
        <v>12.346779068353204</v>
      </c>
      <c r="CH13" s="27">
        <v>15.66382419119436</v>
      </c>
      <c r="CI13" s="27">
        <v>2.8256310305683945</v>
      </c>
      <c r="CJ13" s="27">
        <v>22.297914436876678</v>
      </c>
      <c r="CK13" s="27">
        <v>2.7642042690342992</v>
      </c>
      <c r="CL13" s="27">
        <v>7.1869310994891764</v>
      </c>
      <c r="CM13" s="27">
        <v>15.66382419119436</v>
      </c>
      <c r="CN13" s="27">
        <v>8.7226001378415656</v>
      </c>
      <c r="CO13" s="27">
        <v>0</v>
      </c>
      <c r="CP13" s="27">
        <v>29.239138490229479</v>
      </c>
      <c r="CQ13" s="27">
        <v>0</v>
      </c>
      <c r="CR13" s="27">
        <v>23.096462336819922</v>
      </c>
      <c r="CS13" s="27">
        <v>13.206753729830542</v>
      </c>
      <c r="CT13" s="27">
        <v>32.126196282331968</v>
      </c>
      <c r="CU13" s="27">
        <v>21.683646821535724</v>
      </c>
      <c r="CV13" s="27">
        <v>11.486804406875866</v>
      </c>
      <c r="CW13" s="27">
        <v>8.7840268993756609</v>
      </c>
      <c r="CX13" s="27">
        <v>0.1842802846022866</v>
      </c>
      <c r="CY13" s="27">
        <v>13.759594583637398</v>
      </c>
      <c r="CZ13" s="27">
        <v>93.061543724154731</v>
      </c>
      <c r="DA13" s="27">
        <v>11.056817076137197</v>
      </c>
      <c r="DB13" s="27">
        <v>27.949176498013468</v>
      </c>
      <c r="DC13" s="27">
        <v>21.622220060001631</v>
      </c>
      <c r="DD13" s="27">
        <v>18.858015790967329</v>
      </c>
      <c r="DE13" s="27">
        <v>5.5898352996026937</v>
      </c>
      <c r="DF13" s="27">
        <v>64.190965803129842</v>
      </c>
      <c r="DG13" s="27">
        <v>8.6611733763074703</v>
      </c>
      <c r="DH13" s="27">
        <v>1.4128155152841972</v>
      </c>
      <c r="DI13" s="27">
        <v>22.666475006081249</v>
      </c>
      <c r="DJ13" s="27">
        <v>29.669125820968144</v>
      </c>
      <c r="DK13" s="27">
        <v>28.379163828752141</v>
      </c>
      <c r="DL13" s="27">
        <v>9.0911607070461393</v>
      </c>
      <c r="DM13" s="27">
        <v>13.452460775966921</v>
      </c>
      <c r="DN13" s="27">
        <v>11.855364976080438</v>
      </c>
      <c r="DO13" s="27">
        <v>12.101072022216821</v>
      </c>
      <c r="DP13" s="27">
        <v>36.856056920457327</v>
      </c>
      <c r="DQ13" s="27">
        <v>6.4498099610800308</v>
      </c>
      <c r="DR13" s="27">
        <v>15.172410098921597</v>
      </c>
      <c r="DS13" s="27">
        <v>10.749683268466718</v>
      </c>
      <c r="DT13" s="27">
        <v>11.42537764534177</v>
      </c>
      <c r="DU13" s="27">
        <v>7.6783451917619425</v>
      </c>
      <c r="DV13" s="27">
        <v>9.1525874685802346</v>
      </c>
      <c r="DW13" s="27">
        <v>29.116284967161285</v>
      </c>
      <c r="DX13" s="27">
        <v>18.059467891024088</v>
      </c>
      <c r="DY13" s="27">
        <v>28.010603259547565</v>
      </c>
      <c r="DZ13" s="27">
        <v>30.529100482445482</v>
      </c>
      <c r="EA13" s="27">
        <v>5.5284085380685983</v>
      </c>
      <c r="EB13" s="27">
        <v>5.4930409886398524</v>
      </c>
      <c r="EC13" s="27">
        <v>5.5947639699109608</v>
      </c>
      <c r="ED13" s="27">
        <v>11.596419864906357</v>
      </c>
      <c r="EE13" s="27">
        <v>9.9010368437212168</v>
      </c>
      <c r="EF13" s="27">
        <v>16.173954022106233</v>
      </c>
      <c r="EG13" s="27">
        <v>15.699246776174395</v>
      </c>
      <c r="EH13" s="27">
        <v>13.088356923549279</v>
      </c>
      <c r="EI13" s="27">
        <v>9.0533453331286466</v>
      </c>
      <c r="EJ13" s="27">
        <v>14.071679075836659</v>
      </c>
      <c r="EK13" s="27">
        <v>11.189527939821922</v>
      </c>
      <c r="EL13" s="27">
        <v>9.5619602394841881</v>
      </c>
      <c r="EM13" s="27">
        <v>14.648109303039609</v>
      </c>
      <c r="EN13" s="27">
        <v>13.257895225667795</v>
      </c>
      <c r="EO13" s="27">
        <v>22.921578446423087</v>
      </c>
      <c r="EP13" s="27">
        <v>23.057209088117901</v>
      </c>
      <c r="EQ13" s="27">
        <v>24.583053807184527</v>
      </c>
      <c r="ER13" s="27">
        <v>8.8159917101627272</v>
      </c>
      <c r="ES13" s="27">
        <v>16.445215305495857</v>
      </c>
      <c r="ET13" s="27">
        <v>8.8498993705864315</v>
      </c>
      <c r="EU13" s="27">
        <v>7.7987618974516435</v>
      </c>
      <c r="EV13" s="27">
        <v>12.613649677617442</v>
      </c>
      <c r="EW13" s="27">
        <v>11.799865827448572</v>
      </c>
      <c r="EX13" s="27">
        <v>5.8321175928768811</v>
      </c>
      <c r="EY13" s="27">
        <v>21.46354904820387</v>
      </c>
      <c r="EZ13" s="27">
        <v>10.816543675161192</v>
      </c>
      <c r="FA13" s="27">
        <v>10.172298127110839</v>
      </c>
      <c r="FB13" s="27">
        <v>10.647005373042678</v>
      </c>
      <c r="FC13" s="27">
        <v>20.208965612526868</v>
      </c>
      <c r="FD13" s="27">
        <v>16.207861682529938</v>
      </c>
      <c r="FE13" s="27">
        <v>14.173402057107769</v>
      </c>
      <c r="FF13" s="27">
        <v>8.7481763893153222</v>
      </c>
      <c r="FG13" s="27">
        <v>8.8838070310101322</v>
      </c>
      <c r="FH13" s="27">
        <v>12.647557338041143</v>
      </c>
      <c r="FI13" s="27">
        <v>15.733154436598097</v>
      </c>
    </row>
    <row r="14" spans="1:165" x14ac:dyDescent="0.3">
      <c r="A14" s="4" t="s">
        <v>3009</v>
      </c>
      <c r="B14" s="27">
        <v>32.071289021324908</v>
      </c>
      <c r="C14" s="27">
        <v>15.723666990999758</v>
      </c>
      <c r="D14" s="27">
        <v>2.5582156612340876</v>
      </c>
      <c r="E14" s="27">
        <v>8.7353705505554213</v>
      </c>
      <c r="F14" s="27">
        <v>8.1114155112300352</v>
      </c>
      <c r="G14" s="27">
        <v>2.8077976769642428</v>
      </c>
      <c r="H14" s="27">
        <v>21.152075833130628</v>
      </c>
      <c r="I14" s="27">
        <v>41.680196626935867</v>
      </c>
      <c r="J14" s="27">
        <v>9.8584896213411195</v>
      </c>
      <c r="K14" s="27">
        <v>8.3609975269601904</v>
      </c>
      <c r="L14" s="27">
        <v>24.771015061217874</v>
      </c>
      <c r="M14" s="27">
        <v>16.035644510662454</v>
      </c>
      <c r="N14" s="27">
        <v>3.3069617084245522</v>
      </c>
      <c r="O14" s="27">
        <v>7.7370424876348025</v>
      </c>
      <c r="P14" s="27">
        <v>3.7437302359523237</v>
      </c>
      <c r="Q14" s="27">
        <v>7.8618334954998792</v>
      </c>
      <c r="R14" s="27">
        <v>7.8618334954998792</v>
      </c>
      <c r="S14" s="27">
        <v>2.3710291494364717</v>
      </c>
      <c r="T14" s="27">
        <v>3.0573796926943979</v>
      </c>
      <c r="U14" s="27">
        <v>67.574330758939439</v>
      </c>
      <c r="V14" s="27">
        <v>7.1754829522419534</v>
      </c>
      <c r="W14" s="27">
        <v>14.163779392686292</v>
      </c>
      <c r="X14" s="27">
        <v>4.3676852752777107</v>
      </c>
      <c r="Y14" s="27">
        <v>2.4958201573015493</v>
      </c>
      <c r="Z14" s="27">
        <v>17.907509628638614</v>
      </c>
      <c r="AA14" s="27">
        <v>21.152075833130628</v>
      </c>
      <c r="AB14" s="27">
        <v>13.851801873023597</v>
      </c>
      <c r="AC14" s="27">
        <v>9.421721093813348</v>
      </c>
      <c r="AD14" s="27">
        <v>17.408345597178304</v>
      </c>
      <c r="AE14" s="27">
        <v>10.856817684261737</v>
      </c>
      <c r="AF14" s="27">
        <v>31.696915997729668</v>
      </c>
      <c r="AG14" s="27">
        <v>10.544840164599043</v>
      </c>
      <c r="AH14" s="27">
        <v>180.57258838076706</v>
      </c>
      <c r="AI14" s="27">
        <v>84.48351232465744</v>
      </c>
      <c r="AJ14" s="27">
        <v>45.67350887861835</v>
      </c>
      <c r="AK14" s="27">
        <v>13.914197376956135</v>
      </c>
      <c r="AL14" s="27">
        <v>8.9225570623530377</v>
      </c>
      <c r="AM14" s="27">
        <v>36.314183288737546</v>
      </c>
      <c r="AN14" s="27">
        <v>17.408345597178304</v>
      </c>
      <c r="AO14" s="27">
        <v>15.099711951674371</v>
      </c>
      <c r="AP14" s="27">
        <v>8.7977660544879601</v>
      </c>
      <c r="AQ14" s="27">
        <v>16.534808542122761</v>
      </c>
      <c r="AR14" s="27">
        <v>5.5531998499959467</v>
      </c>
      <c r="AS14" s="27">
        <v>17.033972573583071</v>
      </c>
      <c r="AT14" s="27">
        <v>9.7336986134760419</v>
      </c>
      <c r="AU14" s="27">
        <v>34.567109178626453</v>
      </c>
      <c r="AV14" s="27">
        <v>5.6155953539284855</v>
      </c>
      <c r="AW14" s="27">
        <v>25.644552116273417</v>
      </c>
      <c r="AX14" s="27">
        <v>14.850129935944219</v>
      </c>
      <c r="AY14" s="27">
        <v>18.094696140436231</v>
      </c>
      <c r="AZ14" s="27">
        <v>14.413361408416447</v>
      </c>
      <c r="BA14" s="27">
        <v>16.035644510662454</v>
      </c>
      <c r="BB14" s="27">
        <v>46.921418957269125</v>
      </c>
      <c r="BC14" s="27">
        <v>32.258475533122521</v>
      </c>
      <c r="BD14" s="27">
        <v>246.58703154139306</v>
      </c>
      <c r="BE14" s="27">
        <v>7.3002739601070301</v>
      </c>
      <c r="BF14" s="27">
        <v>49.666821130300825</v>
      </c>
      <c r="BG14" s="27">
        <v>8.3609975269601904</v>
      </c>
      <c r="BH14" s="27">
        <v>7.1130874483094155</v>
      </c>
      <c r="BI14" s="27">
        <v>8.9849525662855765</v>
      </c>
      <c r="BJ14" s="27">
        <v>33.880758635368522</v>
      </c>
      <c r="BK14" s="27">
        <v>5.6155953539284855</v>
      </c>
      <c r="BL14" s="27">
        <v>14.226174896618831</v>
      </c>
      <c r="BM14" s="27">
        <v>9.4841165977458868</v>
      </c>
      <c r="BN14" s="27">
        <v>16.098040014594993</v>
      </c>
      <c r="BO14" s="27">
        <v>338.80758635368528</v>
      </c>
      <c r="BP14" s="27">
        <v>44.675180815697722</v>
      </c>
      <c r="BQ14" s="27">
        <v>4.7420582988729434</v>
      </c>
      <c r="BR14" s="27">
        <v>20.964889321333015</v>
      </c>
      <c r="BS14" s="27">
        <v>5.9275728735911786</v>
      </c>
      <c r="BT14" s="27">
        <v>18.406673660098924</v>
      </c>
      <c r="BU14" s="27">
        <v>6.3643414011189501</v>
      </c>
      <c r="BV14" s="27">
        <v>31.322542974134443</v>
      </c>
      <c r="BW14" s="27">
        <v>10.170467141003813</v>
      </c>
      <c r="BX14" s="27">
        <v>7.3626694640395698</v>
      </c>
      <c r="BY14" s="27">
        <v>14.787734432011678</v>
      </c>
      <c r="BZ14" s="27">
        <v>72.940344097137782</v>
      </c>
      <c r="CA14" s="27">
        <v>8.6729750466228825</v>
      </c>
      <c r="CB14" s="27">
        <v>35.939810265142306</v>
      </c>
      <c r="CC14" s="27">
        <v>13.040660321900592</v>
      </c>
      <c r="CD14" s="27">
        <v>43.926434768507264</v>
      </c>
      <c r="CE14" s="27">
        <v>16.285226526392609</v>
      </c>
      <c r="CF14" s="27">
        <v>9.1097435741506541</v>
      </c>
      <c r="CG14" s="27">
        <v>12.541496290440286</v>
      </c>
      <c r="CH14" s="27">
        <v>15.910853502797375</v>
      </c>
      <c r="CI14" s="27">
        <v>2.8701931808967811</v>
      </c>
      <c r="CJ14" s="27">
        <v>22.649567927511558</v>
      </c>
      <c r="CK14" s="27">
        <v>2.8077976769642428</v>
      </c>
      <c r="CL14" s="27">
        <v>7.3002739601070301</v>
      </c>
      <c r="CM14" s="27">
        <v>15.910853502797375</v>
      </c>
      <c r="CN14" s="27">
        <v>8.8601615584204989</v>
      </c>
      <c r="CO14" s="27">
        <v>0</v>
      </c>
      <c r="CP14" s="27">
        <v>29.700259871888438</v>
      </c>
      <c r="CQ14" s="27">
        <v>0</v>
      </c>
      <c r="CR14" s="27">
        <v>23.460709478634563</v>
      </c>
      <c r="CS14" s="27">
        <v>13.415033345495827</v>
      </c>
      <c r="CT14" s="27">
        <v>32.632848556717754</v>
      </c>
      <c r="CU14" s="27">
        <v>22.025612888186171</v>
      </c>
      <c r="CV14" s="27">
        <v>11.667959235384743</v>
      </c>
      <c r="CW14" s="27">
        <v>8.9225570623530377</v>
      </c>
      <c r="CX14" s="27">
        <v>0.18718651179761617</v>
      </c>
      <c r="CY14" s="27">
        <v>13.976592880888672</v>
      </c>
      <c r="CZ14" s="27">
        <v>94.529188457796167</v>
      </c>
      <c r="DA14" s="27">
        <v>11.231190707856971</v>
      </c>
      <c r="DB14" s="27">
        <v>28.38995428930512</v>
      </c>
      <c r="DC14" s="27">
        <v>21.963217384253632</v>
      </c>
      <c r="DD14" s="27">
        <v>19.155419707289386</v>
      </c>
      <c r="DE14" s="27">
        <v>5.6779908578610243</v>
      </c>
      <c r="DF14" s="27">
        <v>65.203301609502972</v>
      </c>
      <c r="DG14" s="27">
        <v>8.7977660544879601</v>
      </c>
      <c r="DH14" s="27">
        <v>1.4350965904483906</v>
      </c>
      <c r="DI14" s="27">
        <v>23.023940951106788</v>
      </c>
      <c r="DJ14" s="27">
        <v>30.137028399416206</v>
      </c>
      <c r="DK14" s="27">
        <v>28.826722816832895</v>
      </c>
      <c r="DL14" s="27">
        <v>9.2345345820157316</v>
      </c>
      <c r="DM14" s="27">
        <v>13.66461536122598</v>
      </c>
      <c r="DN14" s="27">
        <v>12.042332258979974</v>
      </c>
      <c r="DO14" s="27">
        <v>12.291914274710129</v>
      </c>
      <c r="DP14" s="27">
        <v>37.437302359523237</v>
      </c>
      <c r="DQ14" s="27">
        <v>6.5515279129165664</v>
      </c>
      <c r="DR14" s="27">
        <v>15.411689471337066</v>
      </c>
      <c r="DS14" s="27">
        <v>10.919213188194277</v>
      </c>
      <c r="DT14" s="27">
        <v>11.605563731452204</v>
      </c>
      <c r="DU14" s="27">
        <v>7.7994379915673413</v>
      </c>
      <c r="DV14" s="27">
        <v>9.2969300859482704</v>
      </c>
      <c r="DW14" s="27">
        <v>29.575468864023357</v>
      </c>
      <c r="DX14" s="27">
        <v>18.344278156166386</v>
      </c>
      <c r="DY14" s="27">
        <v>28.452349793237662</v>
      </c>
      <c r="DZ14" s="27">
        <v>31.010565454471749</v>
      </c>
      <c r="EA14" s="27">
        <v>5.6155953539284855</v>
      </c>
      <c r="EB14" s="27">
        <v>5.9419045901136007</v>
      </c>
      <c r="EC14" s="27">
        <v>6.05193986030089</v>
      </c>
      <c r="ED14" s="27">
        <v>12.544020801350937</v>
      </c>
      <c r="EE14" s="27">
        <v>10.710099631562787</v>
      </c>
      <c r="EF14" s="27">
        <v>17.495607959778937</v>
      </c>
      <c r="EG14" s="27">
        <v>16.982110032238257</v>
      </c>
      <c r="EH14" s="27">
        <v>14.157871430764507</v>
      </c>
      <c r="EI14" s="27">
        <v>9.7931390466687134</v>
      </c>
      <c r="EJ14" s="27">
        <v>15.221545709241632</v>
      </c>
      <c r="EK14" s="27">
        <v>12.10387972060178</v>
      </c>
      <c r="EL14" s="27">
        <v>10.343315397605158</v>
      </c>
      <c r="EM14" s="27">
        <v>15.845078906969604</v>
      </c>
      <c r="EN14" s="27">
        <v>14.341263547743324</v>
      </c>
      <c r="EO14" s="27">
        <v>24.794614215535766</v>
      </c>
      <c r="EP14" s="27">
        <v>24.941327909118822</v>
      </c>
      <c r="EQ14" s="27">
        <v>26.591856961928155</v>
      </c>
      <c r="ER14" s="27">
        <v>9.5363900828983734</v>
      </c>
      <c r="ES14" s="27">
        <v>17.789035346945042</v>
      </c>
      <c r="ET14" s="27">
        <v>9.5730685062941365</v>
      </c>
      <c r="EU14" s="27">
        <v>8.4360373810254838</v>
      </c>
      <c r="EV14" s="27">
        <v>13.644373503223827</v>
      </c>
      <c r="EW14" s="27">
        <v>12.764091341725514</v>
      </c>
      <c r="EX14" s="27">
        <v>6.3086888240712309</v>
      </c>
      <c r="EY14" s="27">
        <v>23.21744200951796</v>
      </c>
      <c r="EZ14" s="27">
        <v>11.700417063248388</v>
      </c>
      <c r="FA14" s="27">
        <v>11.003527018728892</v>
      </c>
      <c r="FB14" s="27">
        <v>11.517024946269574</v>
      </c>
      <c r="FC14" s="27">
        <v>21.860340343874732</v>
      </c>
      <c r="FD14" s="27">
        <v>17.5322863831747</v>
      </c>
      <c r="FE14" s="27">
        <v>15.331580979428923</v>
      </c>
      <c r="FF14" s="27">
        <v>9.4630332361068472</v>
      </c>
      <c r="FG14" s="27">
        <v>9.6097469296898979</v>
      </c>
      <c r="FH14" s="27">
        <v>13.681051926619588</v>
      </c>
      <c r="FI14" s="27">
        <v>17.01878845563402</v>
      </c>
    </row>
    <row r="15" spans="1:165" x14ac:dyDescent="0.3">
      <c r="A15" s="4" t="s">
        <v>3010</v>
      </c>
      <c r="B15" s="27">
        <v>32.685605083921196</v>
      </c>
      <c r="C15" s="27">
        <v>16.024849185113116</v>
      </c>
      <c r="D15" s="27">
        <v>2.607217526149356</v>
      </c>
      <c r="E15" s="27">
        <v>8.9026939917295103</v>
      </c>
      <c r="F15" s="27">
        <v>8.2667872780345437</v>
      </c>
      <c r="G15" s="27">
        <v>2.8615802116273419</v>
      </c>
      <c r="H15" s="27">
        <v>21.557237594259309</v>
      </c>
      <c r="I15" s="27">
        <v>42.478568474823653</v>
      </c>
      <c r="J15" s="27">
        <v>10.047326076380447</v>
      </c>
      <c r="K15" s="27">
        <v>8.5211499635125314</v>
      </c>
      <c r="L15" s="27">
        <v>25.245496533690108</v>
      </c>
      <c r="M15" s="27">
        <v>16.342802541960598</v>
      </c>
      <c r="N15" s="27">
        <v>3.3703055825833137</v>
      </c>
      <c r="O15" s="27">
        <v>7.8852432498175657</v>
      </c>
      <c r="P15" s="27">
        <v>3.8154402821697895</v>
      </c>
      <c r="Q15" s="27">
        <v>8.0124245925565578</v>
      </c>
      <c r="R15" s="27">
        <v>8.0124245925565578</v>
      </c>
      <c r="S15" s="27">
        <v>2.4164455120408666</v>
      </c>
      <c r="T15" s="27">
        <v>3.1159428971053287</v>
      </c>
      <c r="U15" s="27">
        <v>68.868697093164698</v>
      </c>
      <c r="V15" s="27">
        <v>7.3129272074920966</v>
      </c>
      <c r="W15" s="27">
        <v>14.435082400875704</v>
      </c>
      <c r="X15" s="27">
        <v>4.4513469958647551</v>
      </c>
      <c r="Y15" s="27">
        <v>2.5436268547798599</v>
      </c>
      <c r="Z15" s="27">
        <v>18.250522683045492</v>
      </c>
      <c r="AA15" s="27">
        <v>21.557237594259309</v>
      </c>
      <c r="AB15" s="27">
        <v>14.11712904402822</v>
      </c>
      <c r="AC15" s="27">
        <v>9.6021913767939697</v>
      </c>
      <c r="AD15" s="27">
        <v>17.74179731208952</v>
      </c>
      <c r="AE15" s="27">
        <v>11.064776818292389</v>
      </c>
      <c r="AF15" s="27">
        <v>32.304061055704217</v>
      </c>
      <c r="AG15" s="27">
        <v>10.746823461444906</v>
      </c>
      <c r="AH15" s="27">
        <v>184.03140294332283</v>
      </c>
      <c r="AI15" s="27">
        <v>86.101769034298258</v>
      </c>
      <c r="AJ15" s="27">
        <v>46.548371442471435</v>
      </c>
      <c r="AK15" s="27">
        <v>14.180719715397718</v>
      </c>
      <c r="AL15" s="27">
        <v>9.0934660058379979</v>
      </c>
      <c r="AM15" s="27">
        <v>37.009770737046964</v>
      </c>
      <c r="AN15" s="27">
        <v>17.74179731208952</v>
      </c>
      <c r="AO15" s="27">
        <v>15.388942471418151</v>
      </c>
      <c r="AP15" s="27">
        <v>8.966284663099005</v>
      </c>
      <c r="AQ15" s="27">
        <v>16.85152791291657</v>
      </c>
      <c r="AR15" s="27">
        <v>5.6595697518851882</v>
      </c>
      <c r="AS15" s="27">
        <v>17.360253283872542</v>
      </c>
      <c r="AT15" s="27">
        <v>9.9201447336414521</v>
      </c>
      <c r="AU15" s="27">
        <v>35.229231938701055</v>
      </c>
      <c r="AV15" s="27">
        <v>5.7231604232546838</v>
      </c>
      <c r="AW15" s="27">
        <v>26.135765932863059</v>
      </c>
      <c r="AX15" s="27">
        <v>15.134579785940167</v>
      </c>
      <c r="AY15" s="27">
        <v>18.441294697153985</v>
      </c>
      <c r="AZ15" s="27">
        <v>14.689445086353691</v>
      </c>
      <c r="BA15" s="27">
        <v>16.342802541960598</v>
      </c>
      <c r="BB15" s="27">
        <v>47.820184869861365</v>
      </c>
      <c r="BC15" s="27">
        <v>32.876377098029685</v>
      </c>
      <c r="BD15" s="27">
        <v>251.31033325225016</v>
      </c>
      <c r="BE15" s="27">
        <v>7.4401085502310886</v>
      </c>
      <c r="BF15" s="27">
        <v>50.618174410119202</v>
      </c>
      <c r="BG15" s="27">
        <v>8.5211499635125314</v>
      </c>
      <c r="BH15" s="27">
        <v>7.249336536122601</v>
      </c>
      <c r="BI15" s="27">
        <v>9.1570566772074944</v>
      </c>
      <c r="BJ15" s="27">
        <v>34.529734553636594</v>
      </c>
      <c r="BK15" s="27">
        <v>5.7231604232546838</v>
      </c>
      <c r="BL15" s="27">
        <v>14.498673072245202</v>
      </c>
      <c r="BM15" s="27">
        <v>9.6657820481634662</v>
      </c>
      <c r="BN15" s="27">
        <v>16.406393213330098</v>
      </c>
      <c r="BO15" s="27">
        <v>345.29734553636598</v>
      </c>
      <c r="BP15" s="27">
        <v>45.530920700559484</v>
      </c>
      <c r="BQ15" s="27">
        <v>4.8328910240817331</v>
      </c>
      <c r="BR15" s="27">
        <v>21.366465580150823</v>
      </c>
      <c r="BS15" s="27">
        <v>6.041113780102167</v>
      </c>
      <c r="BT15" s="27">
        <v>18.759248054001464</v>
      </c>
      <c r="BU15" s="27">
        <v>6.4862484796886424</v>
      </c>
      <c r="BV15" s="27">
        <v>31.922517027487242</v>
      </c>
      <c r="BW15" s="27">
        <v>10.365279433227929</v>
      </c>
      <c r="BX15" s="27">
        <v>7.503699221600586</v>
      </c>
      <c r="BY15" s="27">
        <v>15.070989114570668</v>
      </c>
      <c r="BZ15" s="27">
        <v>74.337494830941409</v>
      </c>
      <c r="CA15" s="27">
        <v>8.839103320360012</v>
      </c>
      <c r="CB15" s="27">
        <v>36.628226708829978</v>
      </c>
      <c r="CC15" s="27">
        <v>13.290450316224765</v>
      </c>
      <c r="CD15" s="27">
        <v>44.767832644125534</v>
      </c>
      <c r="CE15" s="27">
        <v>16.597165227438587</v>
      </c>
      <c r="CF15" s="27">
        <v>9.2842380199464873</v>
      </c>
      <c r="CG15" s="27">
        <v>12.781724945268795</v>
      </c>
      <c r="CH15" s="27">
        <v>16.215621199221605</v>
      </c>
      <c r="CI15" s="27">
        <v>2.9251708829968384</v>
      </c>
      <c r="CJ15" s="27">
        <v>23.083413707127225</v>
      </c>
      <c r="CK15" s="27">
        <v>2.8615802116273419</v>
      </c>
      <c r="CL15" s="27">
        <v>7.4401085502310886</v>
      </c>
      <c r="CM15" s="27">
        <v>16.215621199221605</v>
      </c>
      <c r="CN15" s="27">
        <v>9.0298753344685014</v>
      </c>
      <c r="CO15" s="27">
        <v>0</v>
      </c>
      <c r="CP15" s="27">
        <v>30.269159571880333</v>
      </c>
      <c r="CQ15" s="27">
        <v>0</v>
      </c>
      <c r="CR15" s="27">
        <v>23.910092434930682</v>
      </c>
      <c r="CS15" s="27">
        <v>13.671994344441748</v>
      </c>
      <c r="CT15" s="27">
        <v>33.257921126246664</v>
      </c>
      <c r="CU15" s="27">
        <v>22.44750699343226</v>
      </c>
      <c r="CV15" s="27">
        <v>11.891455546095845</v>
      </c>
      <c r="CW15" s="27">
        <v>9.0934660058379979</v>
      </c>
      <c r="CX15" s="27">
        <v>0.19077201410848948</v>
      </c>
      <c r="CY15" s="27">
        <v>14.244310386767213</v>
      </c>
      <c r="CZ15" s="27">
        <v>96.339867124787176</v>
      </c>
      <c r="DA15" s="27">
        <v>11.446320846509368</v>
      </c>
      <c r="DB15" s="27">
        <v>28.933755473120904</v>
      </c>
      <c r="DC15" s="27">
        <v>22.383916322062767</v>
      </c>
      <c r="DD15" s="27">
        <v>19.522336110435422</v>
      </c>
      <c r="DE15" s="27">
        <v>5.7867510946241811</v>
      </c>
      <c r="DF15" s="27">
        <v>66.452251581123832</v>
      </c>
      <c r="DG15" s="27">
        <v>8.966284663099005</v>
      </c>
      <c r="DH15" s="27">
        <v>1.4625854414984192</v>
      </c>
      <c r="DI15" s="27">
        <v>23.464957735344203</v>
      </c>
      <c r="DJ15" s="27">
        <v>30.714294271466805</v>
      </c>
      <c r="DK15" s="27">
        <v>29.378890172707383</v>
      </c>
      <c r="DL15" s="27">
        <v>9.4114193626854803</v>
      </c>
      <c r="DM15" s="27">
        <v>13.926357029919732</v>
      </c>
      <c r="DN15" s="27">
        <v>12.272999574312822</v>
      </c>
      <c r="DO15" s="27">
        <v>12.527362259790809</v>
      </c>
      <c r="DP15" s="27">
        <v>38.1544028216979</v>
      </c>
      <c r="DQ15" s="27">
        <v>6.6770204937971318</v>
      </c>
      <c r="DR15" s="27">
        <v>15.706895828265635</v>
      </c>
      <c r="DS15" s="27">
        <v>11.128367489661885</v>
      </c>
      <c r="DT15" s="27">
        <v>11.827864874726348</v>
      </c>
      <c r="DU15" s="27">
        <v>7.9488339211870622</v>
      </c>
      <c r="DV15" s="27">
        <v>9.4750100340549768</v>
      </c>
      <c r="DW15" s="27">
        <v>30.141978229141337</v>
      </c>
      <c r="DX15" s="27">
        <v>18.695657382631968</v>
      </c>
      <c r="DY15" s="27">
        <v>28.997346144490404</v>
      </c>
      <c r="DZ15" s="27">
        <v>31.604563670639759</v>
      </c>
      <c r="EA15" s="27">
        <v>5.7231604232546838</v>
      </c>
      <c r="EB15" s="27">
        <v>6.225864676082284</v>
      </c>
      <c r="EC15" s="27">
        <v>6.3411584663801044</v>
      </c>
      <c r="ED15" s="27">
        <v>13.14349209395149</v>
      </c>
      <c r="EE15" s="27">
        <v>11.221928922321155</v>
      </c>
      <c r="EF15" s="27">
        <v>18.331712657353393</v>
      </c>
      <c r="EG15" s="27">
        <v>17.793674969296898</v>
      </c>
      <c r="EH15" s="27">
        <v>14.834467684986185</v>
      </c>
      <c r="EI15" s="27">
        <v>10.261147336505987</v>
      </c>
      <c r="EJ15" s="27">
        <v>15.948974324531777</v>
      </c>
      <c r="EK15" s="27">
        <v>12.682316932760209</v>
      </c>
      <c r="EL15" s="27">
        <v>10.837616287995088</v>
      </c>
      <c r="EM15" s="27">
        <v>16.602305802886093</v>
      </c>
      <c r="EN15" s="27">
        <v>15.026624002149219</v>
      </c>
      <c r="EO15" s="27">
        <v>25.979534080442125</v>
      </c>
      <c r="EP15" s="27">
        <v>26.133259134172551</v>
      </c>
      <c r="EQ15" s="27">
        <v>27.862665988639851</v>
      </c>
      <c r="ER15" s="27">
        <v>9.9921284924777414</v>
      </c>
      <c r="ES15" s="27">
        <v>18.639162764814245</v>
      </c>
      <c r="ET15" s="27">
        <v>10.030559755910348</v>
      </c>
      <c r="EU15" s="27">
        <v>8.8391905894995411</v>
      </c>
      <c r="EV15" s="27">
        <v>14.296429996929692</v>
      </c>
      <c r="EW15" s="27">
        <v>13.374079674547129</v>
      </c>
      <c r="EX15" s="27">
        <v>6.6101773104083517</v>
      </c>
      <c r="EY15" s="27">
        <v>24.326989752840035</v>
      </c>
      <c r="EZ15" s="27">
        <v>12.259573035001536</v>
      </c>
      <c r="FA15" s="27">
        <v>11.529379029782008</v>
      </c>
      <c r="FB15" s="27">
        <v>12.067416717838503</v>
      </c>
      <c r="FC15" s="27">
        <v>22.905033005833591</v>
      </c>
      <c r="FD15" s="27">
        <v>18.370143920785999</v>
      </c>
      <c r="FE15" s="27">
        <v>16.064268114829598</v>
      </c>
      <c r="FF15" s="27">
        <v>9.9152659656125284</v>
      </c>
      <c r="FG15" s="27">
        <v>10.068991019342953</v>
      </c>
      <c r="FH15" s="27">
        <v>14.334861260362297</v>
      </c>
      <c r="FI15" s="27">
        <v>17.832106232729505</v>
      </c>
    </row>
    <row r="16" spans="1:165" x14ac:dyDescent="0.3">
      <c r="A16" s="4" t="s">
        <v>3011</v>
      </c>
      <c r="B16" s="27">
        <v>34.023013662531426</v>
      </c>
      <c r="C16" s="27">
        <v>16.680543663342256</v>
      </c>
      <c r="D16" s="27">
        <v>2.7138979769723508</v>
      </c>
      <c r="E16" s="27">
        <v>9.2669687018568094</v>
      </c>
      <c r="F16" s="27">
        <v>8.6050423660098936</v>
      </c>
      <c r="G16" s="27">
        <v>2.9786685113111169</v>
      </c>
      <c r="H16" s="27">
        <v>22.439302785210415</v>
      </c>
      <c r="I16" s="27">
        <v>44.216679234573917</v>
      </c>
      <c r="J16" s="27">
        <v>10.458436106381257</v>
      </c>
      <c r="K16" s="27">
        <v>8.869812900348661</v>
      </c>
      <c r="L16" s="27">
        <v>26.278475533122521</v>
      </c>
      <c r="M16" s="27">
        <v>17.011506831265713</v>
      </c>
      <c r="N16" s="27">
        <v>3.5082095799886486</v>
      </c>
      <c r="O16" s="27">
        <v>8.2078865645017451</v>
      </c>
      <c r="P16" s="27">
        <v>3.9715580150814898</v>
      </c>
      <c r="Q16" s="27">
        <v>8.340271831671128</v>
      </c>
      <c r="R16" s="27">
        <v>8.340271831671128</v>
      </c>
      <c r="S16" s="27">
        <v>2.5153200762182766</v>
      </c>
      <c r="T16" s="27">
        <v>3.2434390456498838</v>
      </c>
      <c r="U16" s="27">
        <v>71.686622172220879</v>
      </c>
      <c r="V16" s="27">
        <v>7.6121528622395216</v>
      </c>
      <c r="W16" s="27">
        <v>15.025727823724969</v>
      </c>
      <c r="X16" s="27">
        <v>4.6334843509284047</v>
      </c>
      <c r="Y16" s="27">
        <v>2.6477053433876598</v>
      </c>
      <c r="Z16" s="27">
        <v>18.997285838806455</v>
      </c>
      <c r="AA16" s="27">
        <v>22.439302785210415</v>
      </c>
      <c r="AB16" s="27">
        <v>14.69476465580151</v>
      </c>
      <c r="AC16" s="27">
        <v>9.9950876712884149</v>
      </c>
      <c r="AD16" s="27">
        <v>18.467744770128927</v>
      </c>
      <c r="AE16" s="27">
        <v>11.517518243736319</v>
      </c>
      <c r="AF16" s="27">
        <v>33.625857861023277</v>
      </c>
      <c r="AG16" s="27">
        <v>11.18655507581286</v>
      </c>
      <c r="AH16" s="27">
        <v>191.56148159409716</v>
      </c>
      <c r="AI16" s="27">
        <v>89.624825873672293</v>
      </c>
      <c r="AJ16" s="27">
        <v>48.453007783994174</v>
      </c>
      <c r="AK16" s="27">
        <v>14.760957289386203</v>
      </c>
      <c r="AL16" s="27">
        <v>9.4655466026108837</v>
      </c>
      <c r="AM16" s="27">
        <v>38.524112746290449</v>
      </c>
      <c r="AN16" s="27">
        <v>18.467744770128927</v>
      </c>
      <c r="AO16" s="27">
        <v>16.018617327495342</v>
      </c>
      <c r="AP16" s="27">
        <v>9.3331613354415008</v>
      </c>
      <c r="AQ16" s="27">
        <v>17.541047899943244</v>
      </c>
      <c r="AR16" s="27">
        <v>5.8911443890375432</v>
      </c>
      <c r="AS16" s="27">
        <v>18.070588968620779</v>
      </c>
      <c r="AT16" s="27">
        <v>10.326050839211872</v>
      </c>
      <c r="AU16" s="27">
        <v>36.670719005919082</v>
      </c>
      <c r="AV16" s="27">
        <v>5.9573370226222337</v>
      </c>
      <c r="AW16" s="27">
        <v>27.205172403308204</v>
      </c>
      <c r="AX16" s="27">
        <v>15.753846793156576</v>
      </c>
      <c r="AY16" s="27">
        <v>19.195863739560533</v>
      </c>
      <c r="AZ16" s="27">
        <v>15.290498358063736</v>
      </c>
      <c r="BA16" s="27">
        <v>17.011506831265713</v>
      </c>
      <c r="BB16" s="27">
        <v>49.776860455688002</v>
      </c>
      <c r="BC16" s="27">
        <v>34.2215915632855</v>
      </c>
      <c r="BD16" s="27">
        <v>261.59328792670078</v>
      </c>
      <c r="BE16" s="27">
        <v>7.7445381294089035</v>
      </c>
      <c r="BF16" s="27">
        <v>52.689336333414424</v>
      </c>
      <c r="BG16" s="27">
        <v>8.869812900348661</v>
      </c>
      <c r="BH16" s="27">
        <v>7.5459602286548311</v>
      </c>
      <c r="BI16" s="27">
        <v>9.5317392361955751</v>
      </c>
      <c r="BJ16" s="27">
        <v>35.942600036487477</v>
      </c>
      <c r="BK16" s="27">
        <v>5.9573370226222337</v>
      </c>
      <c r="BL16" s="27">
        <v>15.091920457309662</v>
      </c>
      <c r="BM16" s="27">
        <v>10.061280304873106</v>
      </c>
      <c r="BN16" s="27">
        <v>17.077699464850408</v>
      </c>
      <c r="BO16" s="27">
        <v>359.42600036487482</v>
      </c>
      <c r="BP16" s="27">
        <v>47.393925646639104</v>
      </c>
      <c r="BQ16" s="27">
        <v>5.0306401524365532</v>
      </c>
      <c r="BR16" s="27">
        <v>22.240724884456341</v>
      </c>
      <c r="BS16" s="27">
        <v>6.2883001905456917</v>
      </c>
      <c r="BT16" s="27">
        <v>19.52682690748399</v>
      </c>
      <c r="BU16" s="27">
        <v>6.7516486256385324</v>
      </c>
      <c r="BV16" s="27">
        <v>33.228702059515129</v>
      </c>
      <c r="BW16" s="27">
        <v>10.789399274304714</v>
      </c>
      <c r="BX16" s="27">
        <v>7.8107307629935958</v>
      </c>
      <c r="BY16" s="27">
        <v>15.687654159571885</v>
      </c>
      <c r="BZ16" s="27">
        <v>77.379188660504369</v>
      </c>
      <c r="CA16" s="27">
        <v>9.2007760682721162</v>
      </c>
      <c r="CB16" s="27">
        <v>38.1269569447823</v>
      </c>
      <c r="CC16" s="27">
        <v>13.83426041920052</v>
      </c>
      <c r="CD16" s="27">
        <v>46.599614043622815</v>
      </c>
      <c r="CE16" s="27">
        <v>17.276277365604482</v>
      </c>
      <c r="CF16" s="27">
        <v>9.6641245033649579</v>
      </c>
      <c r="CG16" s="27">
        <v>13.304719350522991</v>
      </c>
      <c r="CH16" s="27">
        <v>16.87912156409633</v>
      </c>
      <c r="CI16" s="27">
        <v>3.0448611448958083</v>
      </c>
      <c r="CJ16" s="27">
        <v>24.027925991243009</v>
      </c>
      <c r="CK16" s="27">
        <v>2.9786685113111169</v>
      </c>
      <c r="CL16" s="27">
        <v>7.7445381294089035</v>
      </c>
      <c r="CM16" s="27">
        <v>16.87912156409633</v>
      </c>
      <c r="CN16" s="27">
        <v>9.3993539690261905</v>
      </c>
      <c r="CO16" s="27">
        <v>0</v>
      </c>
      <c r="CP16" s="27">
        <v>31.507693586313152</v>
      </c>
      <c r="CQ16" s="27">
        <v>0</v>
      </c>
      <c r="CR16" s="27">
        <v>24.888430227844001</v>
      </c>
      <c r="CS16" s="27">
        <v>14.231416220708672</v>
      </c>
      <c r="CT16" s="27">
        <v>34.618747364793649</v>
      </c>
      <c r="CU16" s="27">
        <v>23.365999655396095</v>
      </c>
      <c r="CV16" s="27">
        <v>12.378022480337309</v>
      </c>
      <c r="CW16" s="27">
        <v>9.4655466026108837</v>
      </c>
      <c r="CX16" s="27">
        <v>0.19857790075407447</v>
      </c>
      <c r="CY16" s="27">
        <v>14.827149922970893</v>
      </c>
      <c r="CZ16" s="27">
        <v>100.28183988080761</v>
      </c>
      <c r="DA16" s="27">
        <v>11.914674045244467</v>
      </c>
      <c r="DB16" s="27">
        <v>30.117648281034629</v>
      </c>
      <c r="DC16" s="27">
        <v>23.299807021811407</v>
      </c>
      <c r="DD16" s="27">
        <v>20.321138510500287</v>
      </c>
      <c r="DE16" s="27">
        <v>6.023529656206926</v>
      </c>
      <c r="DF16" s="27">
        <v>69.17130209600262</v>
      </c>
      <c r="DG16" s="27">
        <v>9.3331613354415008</v>
      </c>
      <c r="DH16" s="27">
        <v>1.5224305724479041</v>
      </c>
      <c r="DI16" s="27">
        <v>24.425081792751158</v>
      </c>
      <c r="DJ16" s="27">
        <v>31.971042021405992</v>
      </c>
      <c r="DK16" s="27">
        <v>30.580996716127473</v>
      </c>
      <c r="DL16" s="27">
        <v>9.7965097705343407</v>
      </c>
      <c r="DM16" s="27">
        <v>14.496186755047436</v>
      </c>
      <c r="DN16" s="27">
        <v>12.775178281845458</v>
      </c>
      <c r="DO16" s="27">
        <v>13.039948816184223</v>
      </c>
      <c r="DP16" s="27">
        <v>39.715580150814894</v>
      </c>
      <c r="DQ16" s="27">
        <v>6.9502265263926066</v>
      </c>
      <c r="DR16" s="27">
        <v>16.349580495418799</v>
      </c>
      <c r="DS16" s="27">
        <v>11.58371087732101</v>
      </c>
      <c r="DT16" s="27">
        <v>12.311829846752618</v>
      </c>
      <c r="DU16" s="27">
        <v>8.2740791980864365</v>
      </c>
      <c r="DV16" s="27">
        <v>9.8627024041190321</v>
      </c>
      <c r="DW16" s="27">
        <v>31.37530831914377</v>
      </c>
      <c r="DX16" s="27">
        <v>19.460634273899299</v>
      </c>
      <c r="DY16" s="27">
        <v>30.183840914619324</v>
      </c>
      <c r="DZ16" s="27">
        <v>32.897738891591672</v>
      </c>
      <c r="EA16" s="27">
        <v>5.9573370226222337</v>
      </c>
      <c r="EB16" s="27">
        <v>6.6978507061713231</v>
      </c>
      <c r="EC16" s="27">
        <v>6.8218849785078293</v>
      </c>
      <c r="ED16" s="27">
        <v>14.139907046361683</v>
      </c>
      <c r="EE16" s="27">
        <v>12.072669174086583</v>
      </c>
      <c r="EF16" s="27">
        <v>19.721449301504453</v>
      </c>
      <c r="EG16" s="27">
        <v>19.142622697267424</v>
      </c>
      <c r="EH16" s="27">
        <v>15.959076373963772</v>
      </c>
      <c r="EI16" s="27">
        <v>11.039050237949033</v>
      </c>
      <c r="EJ16" s="27">
        <v>17.158074339883328</v>
      </c>
      <c r="EK16" s="27">
        <v>13.643769957015659</v>
      </c>
      <c r="EL16" s="27">
        <v>11.659221599631563</v>
      </c>
      <c r="EM16" s="27">
        <v>17.860935216456863</v>
      </c>
      <c r="EN16" s="27">
        <v>16.165800161191282</v>
      </c>
      <c r="EO16" s="27">
        <v>27.949056033159348</v>
      </c>
      <c r="EP16" s="27">
        <v>28.114435062941357</v>
      </c>
      <c r="EQ16" s="27">
        <v>29.974949147988948</v>
      </c>
      <c r="ER16" s="27">
        <v>10.749636935830519</v>
      </c>
      <c r="ES16" s="27">
        <v>20.052207361068469</v>
      </c>
      <c r="ET16" s="27">
        <v>10.790981693276022</v>
      </c>
      <c r="EU16" s="27">
        <v>9.5092942124654591</v>
      </c>
      <c r="EV16" s="27">
        <v>15.380249769726744</v>
      </c>
      <c r="EW16" s="27">
        <v>14.387975591034694</v>
      </c>
      <c r="EX16" s="27">
        <v>7.1112982806263432</v>
      </c>
      <c r="EY16" s="27">
        <v>26.171231463002762</v>
      </c>
      <c r="EZ16" s="27">
        <v>13.188977625115136</v>
      </c>
      <c r="FA16" s="27">
        <v>12.403427233650598</v>
      </c>
      <c r="FB16" s="27">
        <v>12.982253837887628</v>
      </c>
      <c r="FC16" s="27">
        <v>24.64147543751919</v>
      </c>
      <c r="FD16" s="27">
        <v>19.762794058949954</v>
      </c>
      <c r="FE16" s="27">
        <v>17.282108612219837</v>
      </c>
      <c r="FF16" s="27">
        <v>10.666947420939517</v>
      </c>
      <c r="FG16" s="27">
        <v>10.832326450721522</v>
      </c>
      <c r="FH16" s="27">
        <v>15.421594527172244</v>
      </c>
      <c r="FI16" s="27">
        <v>19.183967454712924</v>
      </c>
    </row>
    <row r="17" spans="1:165" x14ac:dyDescent="0.3">
      <c r="A17" s="4" t="s">
        <v>3012</v>
      </c>
      <c r="B17" s="27">
        <v>35.302751966269369</v>
      </c>
      <c r="C17" s="27">
        <v>17.307963999027002</v>
      </c>
      <c r="D17" s="27">
        <v>2.8159782696829643</v>
      </c>
      <c r="E17" s="27">
        <v>9.6155355550150023</v>
      </c>
      <c r="F17" s="27">
        <v>8.9287115867996452</v>
      </c>
      <c r="G17" s="27">
        <v>3.0907078569691078</v>
      </c>
      <c r="H17" s="27">
        <v>23.283332522500611</v>
      </c>
      <c r="I17" s="27">
        <v>45.879841076785866</v>
      </c>
      <c r="J17" s="27">
        <v>10.851818697802646</v>
      </c>
      <c r="K17" s="27">
        <v>9.2034411740857891</v>
      </c>
      <c r="L17" s="27">
        <v>27.266911538149685</v>
      </c>
      <c r="M17" s="27">
        <v>17.651375983134685</v>
      </c>
      <c r="N17" s="27">
        <v>3.6401670315413934</v>
      </c>
      <c r="O17" s="27">
        <v>8.5166172058704319</v>
      </c>
      <c r="P17" s="27">
        <v>4.120943809292144</v>
      </c>
      <c r="Q17" s="27">
        <v>8.6539819995135012</v>
      </c>
      <c r="R17" s="27">
        <v>8.6539819995135012</v>
      </c>
      <c r="S17" s="27">
        <v>2.6099310792183577</v>
      </c>
      <c r="T17" s="27">
        <v>3.3654374442552513</v>
      </c>
      <c r="U17" s="27">
        <v>74.383035757723192</v>
      </c>
      <c r="V17" s="27">
        <v>7.8984756344766085</v>
      </c>
      <c r="W17" s="27">
        <v>15.590904078488611</v>
      </c>
      <c r="X17" s="27">
        <v>4.8077677775075012</v>
      </c>
      <c r="Y17" s="27">
        <v>2.7472958728614292</v>
      </c>
      <c r="Z17" s="27">
        <v>19.711847887780753</v>
      </c>
      <c r="AA17" s="27">
        <v>23.283332522500611</v>
      </c>
      <c r="AB17" s="27">
        <v>15.247492094380931</v>
      </c>
      <c r="AC17" s="27">
        <v>10.371041920051894</v>
      </c>
      <c r="AD17" s="27">
        <v>19.162388713208468</v>
      </c>
      <c r="AE17" s="27">
        <v>11.950737046947216</v>
      </c>
      <c r="AF17" s="27">
        <v>34.890657585340143</v>
      </c>
      <c r="AG17" s="27">
        <v>11.607325062839536</v>
      </c>
      <c r="AH17" s="27">
        <v>198.76685640152439</v>
      </c>
      <c r="AI17" s="27">
        <v>92.995965296359387</v>
      </c>
      <c r="AJ17" s="27">
        <v>50.275514473364154</v>
      </c>
      <c r="AK17" s="27">
        <v>15.316174491202467</v>
      </c>
      <c r="AL17" s="27">
        <v>9.8215827454796099</v>
      </c>
      <c r="AM17" s="27">
        <v>39.973154950133797</v>
      </c>
      <c r="AN17" s="27">
        <v>19.162388713208468</v>
      </c>
      <c r="AO17" s="27">
        <v>16.621140030811645</v>
      </c>
      <c r="AP17" s="27">
        <v>9.684217951836537</v>
      </c>
      <c r="AQ17" s="27">
        <v>18.200835157706965</v>
      </c>
      <c r="AR17" s="27">
        <v>6.11273331711668</v>
      </c>
      <c r="AS17" s="27">
        <v>18.750294332279253</v>
      </c>
      <c r="AT17" s="27">
        <v>10.714453904159573</v>
      </c>
      <c r="AU17" s="27">
        <v>38.050047839130791</v>
      </c>
      <c r="AV17" s="27">
        <v>6.1814157139382155</v>
      </c>
      <c r="AW17" s="27">
        <v>28.228465093651185</v>
      </c>
      <c r="AX17" s="27">
        <v>16.346410443525503</v>
      </c>
      <c r="AY17" s="27">
        <v>19.917895078245362</v>
      </c>
      <c r="AZ17" s="27">
        <v>15.865633665774753</v>
      </c>
      <c r="BA17" s="27">
        <v>17.651375983134685</v>
      </c>
      <c r="BB17" s="27">
        <v>51.649162409794869</v>
      </c>
      <c r="BC17" s="27">
        <v>35.508799156733971</v>
      </c>
      <c r="BD17" s="27">
        <v>271.43283223870918</v>
      </c>
      <c r="BE17" s="27">
        <v>8.0358404281196787</v>
      </c>
      <c r="BF17" s="27">
        <v>54.671187869942436</v>
      </c>
      <c r="BG17" s="27">
        <v>9.2034411740857891</v>
      </c>
      <c r="BH17" s="27">
        <v>7.8297932376550738</v>
      </c>
      <c r="BI17" s="27">
        <v>9.8902651423011445</v>
      </c>
      <c r="BJ17" s="27">
        <v>37.294541474093897</v>
      </c>
      <c r="BK17" s="27">
        <v>6.1814157139382155</v>
      </c>
      <c r="BL17" s="27">
        <v>15.659586475310148</v>
      </c>
      <c r="BM17" s="27">
        <v>10.439724316873431</v>
      </c>
      <c r="BN17" s="27">
        <v>17.720058379956221</v>
      </c>
      <c r="BO17" s="27">
        <v>372.94541474093899</v>
      </c>
      <c r="BP17" s="27">
        <v>49.176596124219579</v>
      </c>
      <c r="BQ17" s="27">
        <v>5.2198621584367153</v>
      </c>
      <c r="BR17" s="27">
        <v>23.077285332036006</v>
      </c>
      <c r="BS17" s="27">
        <v>6.5248276980458941</v>
      </c>
      <c r="BT17" s="27">
        <v>20.26130706235304</v>
      </c>
      <c r="BU17" s="27">
        <v>7.0056044757966447</v>
      </c>
      <c r="BV17" s="27">
        <v>34.478563204410939</v>
      </c>
      <c r="BW17" s="27">
        <v>11.195230681910324</v>
      </c>
      <c r="BX17" s="27">
        <v>8.1045228249412151</v>
      </c>
      <c r="BY17" s="27">
        <v>16.277728046703967</v>
      </c>
      <c r="BZ17" s="27">
        <v>80.289721884375268</v>
      </c>
      <c r="CA17" s="27">
        <v>9.5468531581934659</v>
      </c>
      <c r="CB17" s="27">
        <v>39.561060569204578</v>
      </c>
      <c r="CC17" s="27">
        <v>14.354620935700966</v>
      </c>
      <c r="CD17" s="27">
        <v>48.352407362361156</v>
      </c>
      <c r="CE17" s="27">
        <v>17.926105570420827</v>
      </c>
      <c r="CF17" s="27">
        <v>10.027629935944216</v>
      </c>
      <c r="CG17" s="27">
        <v>13.805161761128682</v>
      </c>
      <c r="CH17" s="27">
        <v>17.514011189491608</v>
      </c>
      <c r="CI17" s="27">
        <v>3.1593902537906433</v>
      </c>
      <c r="CJ17" s="27">
        <v>24.931710046217468</v>
      </c>
      <c r="CK17" s="27">
        <v>3.0907078569691078</v>
      </c>
      <c r="CL17" s="27">
        <v>8.0358404281196787</v>
      </c>
      <c r="CM17" s="27">
        <v>17.514011189491608</v>
      </c>
      <c r="CN17" s="27">
        <v>9.7529003486580734</v>
      </c>
      <c r="CO17" s="27">
        <v>0</v>
      </c>
      <c r="CP17" s="27">
        <v>32.692820887051006</v>
      </c>
      <c r="CQ17" s="27">
        <v>0</v>
      </c>
      <c r="CR17" s="27">
        <v>25.824581204897434</v>
      </c>
      <c r="CS17" s="27">
        <v>14.766715316630183</v>
      </c>
      <c r="CT17" s="27">
        <v>35.92089353766319</v>
      </c>
      <c r="CU17" s="27">
        <v>24.244886078002111</v>
      </c>
      <c r="CV17" s="27">
        <v>12.843608205627181</v>
      </c>
      <c r="CW17" s="27">
        <v>9.8215827454796099</v>
      </c>
      <c r="CX17" s="27">
        <v>0.20604719046460718</v>
      </c>
      <c r="CY17" s="27">
        <v>15.384856888024</v>
      </c>
      <c r="CZ17" s="27">
        <v>104.05383118462662</v>
      </c>
      <c r="DA17" s="27">
        <v>12.362831427876431</v>
      </c>
      <c r="DB17" s="27">
        <v>31.250490553798755</v>
      </c>
      <c r="DC17" s="27">
        <v>24.176203681180578</v>
      </c>
      <c r="DD17" s="27">
        <v>21.085495824211467</v>
      </c>
      <c r="DE17" s="27">
        <v>6.2500981107597511</v>
      </c>
      <c r="DF17" s="27">
        <v>71.773104678504836</v>
      </c>
      <c r="DG17" s="27">
        <v>9.684217951836537</v>
      </c>
      <c r="DH17" s="27">
        <v>1.5796951268953217</v>
      </c>
      <c r="DI17" s="27">
        <v>25.343804427146683</v>
      </c>
      <c r="DJ17" s="27">
        <v>33.173597664801754</v>
      </c>
      <c r="DK17" s="27">
        <v>31.731267331549507</v>
      </c>
      <c r="DL17" s="27">
        <v>10.164994729587288</v>
      </c>
      <c r="DM17" s="27">
        <v>15.041444903916323</v>
      </c>
      <c r="DN17" s="27">
        <v>13.255702586556396</v>
      </c>
      <c r="DO17" s="27">
        <v>13.530432173842538</v>
      </c>
      <c r="DP17" s="27">
        <v>41.209438092921438</v>
      </c>
      <c r="DQ17" s="27">
        <v>7.2116516662612513</v>
      </c>
      <c r="DR17" s="27">
        <v>16.964552014919324</v>
      </c>
      <c r="DS17" s="27">
        <v>12.019419443768752</v>
      </c>
      <c r="DT17" s="27">
        <v>12.774925808805646</v>
      </c>
      <c r="DU17" s="27">
        <v>8.5852996026919666</v>
      </c>
      <c r="DV17" s="27">
        <v>10.233677126408823</v>
      </c>
      <c r="DW17" s="27">
        <v>32.555456093407933</v>
      </c>
      <c r="DX17" s="27">
        <v>20.192624665531504</v>
      </c>
      <c r="DY17" s="27">
        <v>31.319172950620295</v>
      </c>
      <c r="DZ17" s="27">
        <v>34.135151220303257</v>
      </c>
      <c r="EA17" s="27">
        <v>6.1814157139382155</v>
      </c>
      <c r="EB17" s="27">
        <v>7.1411124501074594</v>
      </c>
      <c r="EC17" s="27">
        <v>7.2733552732575983</v>
      </c>
      <c r="ED17" s="27">
        <v>15.075681839115751</v>
      </c>
      <c r="EE17" s="27">
        <v>12.871634786613447</v>
      </c>
      <c r="EF17" s="27">
        <v>21.026608880871965</v>
      </c>
      <c r="EG17" s="27">
        <v>20.409475706171321</v>
      </c>
      <c r="EH17" s="27">
        <v>17.015243245317777</v>
      </c>
      <c r="EI17" s="27">
        <v>11.769611260362296</v>
      </c>
      <c r="EJ17" s="27">
        <v>18.293590535769109</v>
      </c>
      <c r="EK17" s="27">
        <v>14.546710546515197</v>
      </c>
      <c r="EL17" s="27">
        <v>12.430825376112987</v>
      </c>
      <c r="EM17" s="27">
        <v>19.042966533619893</v>
      </c>
      <c r="EN17" s="27">
        <v>17.235647950568008</v>
      </c>
      <c r="EO17" s="27">
        <v>29.798716149831129</v>
      </c>
      <c r="EP17" s="27">
        <v>29.975039914031314</v>
      </c>
      <c r="EQ17" s="27">
        <v>31.958682261283386</v>
      </c>
      <c r="ER17" s="27">
        <v>11.461044673011973</v>
      </c>
      <c r="ES17" s="27">
        <v>21.379256409272333</v>
      </c>
      <c r="ET17" s="27">
        <v>11.50512561406202</v>
      </c>
      <c r="EU17" s="27">
        <v>10.138616441510592</v>
      </c>
      <c r="EV17" s="27">
        <v>16.398110070617133</v>
      </c>
      <c r="EW17" s="27">
        <v>15.340167485416025</v>
      </c>
      <c r="EX17" s="27">
        <v>7.5819218606079204</v>
      </c>
      <c r="EY17" s="27">
        <v>27.903235684679146</v>
      </c>
      <c r="EZ17" s="27">
        <v>14.061820194964689</v>
      </c>
      <c r="FA17" s="27">
        <v>13.224282315013815</v>
      </c>
      <c r="FB17" s="27">
        <v>13.841415489714461</v>
      </c>
      <c r="FC17" s="27">
        <v>26.272240865827449</v>
      </c>
      <c r="FD17" s="27">
        <v>21.070689821922013</v>
      </c>
      <c r="FE17" s="27">
        <v>18.425833358919249</v>
      </c>
      <c r="FF17" s="27">
        <v>11.372882790911882</v>
      </c>
      <c r="FG17" s="27">
        <v>11.549206555112065</v>
      </c>
      <c r="FH17" s="27">
        <v>16.442191011667177</v>
      </c>
      <c r="FI17" s="27">
        <v>20.453556647221365</v>
      </c>
    </row>
    <row r="18" spans="1:165" x14ac:dyDescent="0.3">
      <c r="A18" s="4" t="s">
        <v>3013</v>
      </c>
      <c r="B18" s="27">
        <v>36.521173274953391</v>
      </c>
      <c r="C18" s="27">
        <v>17.905322306008276</v>
      </c>
      <c r="D18" s="27">
        <v>2.9131675180410288</v>
      </c>
      <c r="E18" s="27">
        <v>9.9474012811157095</v>
      </c>
      <c r="F18" s="27">
        <v>9.2368726181788734</v>
      </c>
      <c r="G18" s="27">
        <v>3.1973789832157635</v>
      </c>
      <c r="H18" s="27">
        <v>24.086921673558749</v>
      </c>
      <c r="I18" s="27">
        <v>47.463314684180666</v>
      </c>
      <c r="J18" s="27">
        <v>11.226352874402014</v>
      </c>
      <c r="K18" s="27">
        <v>9.5210840833536086</v>
      </c>
      <c r="L18" s="27">
        <v>28.207987918592401</v>
      </c>
      <c r="M18" s="27">
        <v>18.260586637476695</v>
      </c>
      <c r="N18" s="27">
        <v>3.7658019135652325</v>
      </c>
      <c r="O18" s="27">
        <v>8.8105554204167724</v>
      </c>
      <c r="P18" s="27">
        <v>4.2631719776210177</v>
      </c>
      <c r="Q18" s="27">
        <v>8.9526611530041382</v>
      </c>
      <c r="R18" s="27">
        <v>8.9526611530041382</v>
      </c>
      <c r="S18" s="27">
        <v>2.7000089191599779</v>
      </c>
      <c r="T18" s="27">
        <v>3.4815904483904987</v>
      </c>
      <c r="U18" s="27">
        <v>76.950254196059376</v>
      </c>
      <c r="V18" s="27">
        <v>8.1710796237736183</v>
      </c>
      <c r="W18" s="27">
        <v>16.129000648666185</v>
      </c>
      <c r="X18" s="27">
        <v>4.9737006405578548</v>
      </c>
      <c r="Y18" s="27">
        <v>2.8421146517473455</v>
      </c>
      <c r="Z18" s="27">
        <v>20.392172626287202</v>
      </c>
      <c r="AA18" s="27">
        <v>24.086921673558749</v>
      </c>
      <c r="AB18" s="27">
        <v>15.773736317197766</v>
      </c>
      <c r="AC18" s="27">
        <v>10.728982810346229</v>
      </c>
      <c r="AD18" s="27">
        <v>19.823749695937735</v>
      </c>
      <c r="AE18" s="27">
        <v>12.363198735100951</v>
      </c>
      <c r="AF18" s="27">
        <v>36.094856077191281</v>
      </c>
      <c r="AG18" s="27">
        <v>12.007934403632532</v>
      </c>
      <c r="AH18" s="27">
        <v>205.62699505392044</v>
      </c>
      <c r="AI18" s="27">
        <v>96.205580961647655</v>
      </c>
      <c r="AJ18" s="27">
        <v>52.010698126976422</v>
      </c>
      <c r="AK18" s="27">
        <v>15.84478918349145</v>
      </c>
      <c r="AL18" s="27">
        <v>10.160559879996759</v>
      </c>
      <c r="AM18" s="27">
        <v>41.352768182923882</v>
      </c>
      <c r="AN18" s="27">
        <v>19.823749695937735</v>
      </c>
      <c r="AO18" s="27">
        <v>17.194793643071439</v>
      </c>
      <c r="AP18" s="27">
        <v>10.018454147409392</v>
      </c>
      <c r="AQ18" s="27">
        <v>18.829009567826162</v>
      </c>
      <c r="AR18" s="27">
        <v>6.3237051001378441</v>
      </c>
      <c r="AS18" s="27">
        <v>19.397432498175633</v>
      </c>
      <c r="AT18" s="27">
        <v>11.084247141814647</v>
      </c>
      <c r="AU18" s="27">
        <v>39.363287926700728</v>
      </c>
      <c r="AV18" s="27">
        <v>6.3947579664315271</v>
      </c>
      <c r="AW18" s="27">
        <v>29.202728046703974</v>
      </c>
      <c r="AX18" s="27">
        <v>16.910582177896707</v>
      </c>
      <c r="AY18" s="27">
        <v>20.605331225168253</v>
      </c>
      <c r="AZ18" s="27">
        <v>16.41321211384092</v>
      </c>
      <c r="BA18" s="27">
        <v>18.260586637476695</v>
      </c>
      <c r="BB18" s="27">
        <v>53.431755452850098</v>
      </c>
      <c r="BC18" s="27">
        <v>36.734331873834442</v>
      </c>
      <c r="BD18" s="27">
        <v>280.80092759263772</v>
      </c>
      <c r="BE18" s="27">
        <v>8.3131853563609841</v>
      </c>
      <c r="BF18" s="27">
        <v>56.55808156977217</v>
      </c>
      <c r="BG18" s="27">
        <v>9.5210840833536086</v>
      </c>
      <c r="BH18" s="27">
        <v>8.1000267574799345</v>
      </c>
      <c r="BI18" s="27">
        <v>10.231612746290443</v>
      </c>
      <c r="BJ18" s="27">
        <v>38.581706397470207</v>
      </c>
      <c r="BK18" s="27">
        <v>6.3947579664315271</v>
      </c>
      <c r="BL18" s="27">
        <v>16.200053514959869</v>
      </c>
      <c r="BM18" s="27">
        <v>10.800035676639911</v>
      </c>
      <c r="BN18" s="27">
        <v>18.331639503770379</v>
      </c>
      <c r="BO18" s="27">
        <v>385.81706397470214</v>
      </c>
      <c r="BP18" s="27">
        <v>50.873852266277474</v>
      </c>
      <c r="BQ18" s="27">
        <v>5.4000178383199557</v>
      </c>
      <c r="BR18" s="27">
        <v>23.873763074677701</v>
      </c>
      <c r="BS18" s="27">
        <v>6.7500222978999451</v>
      </c>
      <c r="BT18" s="27">
        <v>20.960595556636672</v>
      </c>
      <c r="BU18" s="27">
        <v>7.2473923619557308</v>
      </c>
      <c r="BV18" s="27">
        <v>35.668538879429185</v>
      </c>
      <c r="BW18" s="27">
        <v>11.581617205870433</v>
      </c>
      <c r="BX18" s="27">
        <v>8.3842382226546679</v>
      </c>
      <c r="BY18" s="27">
        <v>16.839529311603023</v>
      </c>
      <c r="BZ18" s="27">
        <v>83.060800697316182</v>
      </c>
      <c r="CA18" s="27">
        <v>9.876348414822024</v>
      </c>
      <c r="CB18" s="27">
        <v>40.926450985161772</v>
      </c>
      <c r="CC18" s="27">
        <v>14.850049055379879</v>
      </c>
      <c r="CD18" s="27">
        <v>50.021217870753283</v>
      </c>
      <c r="CE18" s="27">
        <v>18.544798102651431</v>
      </c>
      <c r="CF18" s="27">
        <v>10.373718478877811</v>
      </c>
      <c r="CG18" s="27">
        <v>14.281626125030412</v>
      </c>
      <c r="CH18" s="27">
        <v>18.118480904889324</v>
      </c>
      <c r="CI18" s="27">
        <v>3.2684318495094469</v>
      </c>
      <c r="CJ18" s="27">
        <v>25.79219046460716</v>
      </c>
      <c r="CK18" s="27">
        <v>3.1973789832157635</v>
      </c>
      <c r="CL18" s="27">
        <v>8.3131853563609841</v>
      </c>
      <c r="CM18" s="27">
        <v>18.118480904889324</v>
      </c>
      <c r="CN18" s="27">
        <v>10.089507013703075</v>
      </c>
      <c r="CO18" s="27">
        <v>0</v>
      </c>
      <c r="CP18" s="27">
        <v>33.821164355793414</v>
      </c>
      <c r="CQ18" s="27">
        <v>0</v>
      </c>
      <c r="CR18" s="27">
        <v>26.715877726425049</v>
      </c>
      <c r="CS18" s="27">
        <v>15.276366253141983</v>
      </c>
      <c r="CT18" s="27">
        <v>37.160649071596545</v>
      </c>
      <c r="CU18" s="27">
        <v>25.081661801670322</v>
      </c>
      <c r="CV18" s="27">
        <v>13.286885996918839</v>
      </c>
      <c r="CW18" s="27">
        <v>10.160559879996759</v>
      </c>
      <c r="CX18" s="27">
        <v>0.2131585988810509</v>
      </c>
      <c r="CY18" s="27">
        <v>15.915842049785132</v>
      </c>
      <c r="CZ18" s="27">
        <v>107.6450924349307</v>
      </c>
      <c r="DA18" s="27">
        <v>12.789515932863054</v>
      </c>
      <c r="DB18" s="27">
        <v>32.329054163626054</v>
      </c>
      <c r="DC18" s="27">
        <v>25.010608935376641</v>
      </c>
      <c r="DD18" s="27">
        <v>21.813229952160874</v>
      </c>
      <c r="DE18" s="27">
        <v>6.4658108327252108</v>
      </c>
      <c r="DF18" s="27">
        <v>74.250245276899406</v>
      </c>
      <c r="DG18" s="27">
        <v>10.018454147409392</v>
      </c>
      <c r="DH18" s="27">
        <v>1.6342159247547234</v>
      </c>
      <c r="DI18" s="27">
        <v>26.218507662369259</v>
      </c>
      <c r="DJ18" s="27">
        <v>34.318534419849193</v>
      </c>
      <c r="DK18" s="27">
        <v>32.826424227681841</v>
      </c>
      <c r="DL18" s="27">
        <v>10.515824211465178</v>
      </c>
      <c r="DM18" s="27">
        <v>15.560577718316715</v>
      </c>
      <c r="DN18" s="27">
        <v>13.713203194680942</v>
      </c>
      <c r="DO18" s="27">
        <v>13.997414659855677</v>
      </c>
      <c r="DP18" s="27">
        <v>42.631719776210183</v>
      </c>
      <c r="DQ18" s="27">
        <v>7.4605509608367813</v>
      </c>
      <c r="DR18" s="27">
        <v>17.550057974539857</v>
      </c>
      <c r="DS18" s="27">
        <v>12.434251601394635</v>
      </c>
      <c r="DT18" s="27">
        <v>13.215833130625157</v>
      </c>
      <c r="DU18" s="27">
        <v>8.8816082867104544</v>
      </c>
      <c r="DV18" s="27">
        <v>10.586877077758862</v>
      </c>
      <c r="DW18" s="27">
        <v>33.679058623206046</v>
      </c>
      <c r="DX18" s="27">
        <v>20.889542690342989</v>
      </c>
      <c r="DY18" s="27">
        <v>32.400107029919738</v>
      </c>
      <c r="DZ18" s="27">
        <v>35.313274547960766</v>
      </c>
      <c r="EA18" s="27">
        <v>6.3947579664315271</v>
      </c>
      <c r="EB18" s="27">
        <v>7.7395910346945032</v>
      </c>
      <c r="EC18" s="27">
        <v>7.8829167945962535</v>
      </c>
      <c r="ED18" s="27">
        <v>16.339136628799508</v>
      </c>
      <c r="EE18" s="27">
        <v>13.950373963770341</v>
      </c>
      <c r="EF18" s="27">
        <v>22.788795824378262</v>
      </c>
      <c r="EG18" s="27">
        <v>22.119942278170093</v>
      </c>
      <c r="EH18" s="27">
        <v>18.441247774025175</v>
      </c>
      <c r="EI18" s="27">
        <v>12.755992631255756</v>
      </c>
      <c r="EJ18" s="27">
        <v>19.826730119742091</v>
      </c>
      <c r="EK18" s="27">
        <v>15.765833589192507</v>
      </c>
      <c r="EL18" s="27">
        <v>13.472621430764507</v>
      </c>
      <c r="EM18" s="27">
        <v>20.63890942585201</v>
      </c>
      <c r="EN18" s="27">
        <v>18.680124040528092</v>
      </c>
      <c r="EO18" s="27">
        <v>32.296071231194347</v>
      </c>
      <c r="EP18" s="27">
        <v>32.487172244396682</v>
      </c>
      <c r="EQ18" s="27">
        <v>34.637058642922931</v>
      </c>
      <c r="ER18" s="27">
        <v>12.421565858151672</v>
      </c>
      <c r="ES18" s="27">
        <v>23.170997850782928</v>
      </c>
      <c r="ET18" s="27">
        <v>12.469341111452257</v>
      </c>
      <c r="EU18" s="27">
        <v>10.988308259134172</v>
      </c>
      <c r="EV18" s="27">
        <v>17.77239422781701</v>
      </c>
      <c r="EW18" s="27">
        <v>16.625788148603007</v>
      </c>
      <c r="EX18" s="27">
        <v>8.2173435677003361</v>
      </c>
      <c r="EY18" s="27">
        <v>30.241735339269262</v>
      </c>
      <c r="EZ18" s="27">
        <v>15.240305802886089</v>
      </c>
      <c r="FA18" s="27">
        <v>14.332575990175007</v>
      </c>
      <c r="FB18" s="27">
        <v>15.001429536383174</v>
      </c>
      <c r="FC18" s="27">
        <v>28.474050967147683</v>
      </c>
      <c r="FD18" s="27">
        <v>22.836571077678844</v>
      </c>
      <c r="FE18" s="27">
        <v>19.970055879643844</v>
      </c>
      <c r="FF18" s="27">
        <v>12.326015351550508</v>
      </c>
      <c r="FG18" s="27">
        <v>12.517116364752837</v>
      </c>
      <c r="FH18" s="27">
        <v>17.820169481117592</v>
      </c>
      <c r="FI18" s="27">
        <v>22.167717531470675</v>
      </c>
    </row>
    <row r="19" spans="1:165" x14ac:dyDescent="0.3">
      <c r="A19" s="4" t="s">
        <v>3014</v>
      </c>
      <c r="B19" s="27">
        <v>37.456140233519832</v>
      </c>
      <c r="C19" s="27">
        <v>18.363710775966922</v>
      </c>
      <c r="D19" s="27">
        <v>2.9877465945025543</v>
      </c>
      <c r="E19" s="27">
        <v>10.202061542203847</v>
      </c>
      <c r="F19" s="27">
        <v>9.4733428606178567</v>
      </c>
      <c r="G19" s="27">
        <v>3.2792340671369504</v>
      </c>
      <c r="H19" s="27">
        <v>24.703563305765023</v>
      </c>
      <c r="I19" s="27">
        <v>48.678407929944058</v>
      </c>
      <c r="J19" s="27">
        <v>11.513755169058626</v>
      </c>
      <c r="K19" s="27">
        <v>9.7648303332522524</v>
      </c>
      <c r="L19" s="27">
        <v>28.930131658963763</v>
      </c>
      <c r="M19" s="27">
        <v>18.728070116759916</v>
      </c>
      <c r="N19" s="27">
        <v>3.8622090124057413</v>
      </c>
      <c r="O19" s="27">
        <v>9.0361116516662641</v>
      </c>
      <c r="P19" s="27">
        <v>4.3723120895159342</v>
      </c>
      <c r="Q19" s="27">
        <v>9.181855387983461</v>
      </c>
      <c r="R19" s="27">
        <v>9.181855387983461</v>
      </c>
      <c r="S19" s="27">
        <v>2.769130990026758</v>
      </c>
      <c r="T19" s="27">
        <v>3.5707215397713465</v>
      </c>
      <c r="U19" s="27">
        <v>78.920233215762607</v>
      </c>
      <c r="V19" s="27">
        <v>8.3802648382388725</v>
      </c>
      <c r="W19" s="27">
        <v>16.541914072001951</v>
      </c>
      <c r="X19" s="27">
        <v>5.1010307711019234</v>
      </c>
      <c r="Y19" s="27">
        <v>2.9148747263439558</v>
      </c>
      <c r="Z19" s="27">
        <v>20.914226161517881</v>
      </c>
      <c r="AA19" s="27">
        <v>24.703563305765023</v>
      </c>
      <c r="AB19" s="27">
        <v>16.177554731208954</v>
      </c>
      <c r="AC19" s="27">
        <v>11.003652091948434</v>
      </c>
      <c r="AD19" s="27">
        <v>20.331251216249093</v>
      </c>
      <c r="AE19" s="27">
        <v>12.679705059596207</v>
      </c>
      <c r="AF19" s="27">
        <v>37.018909024568238</v>
      </c>
      <c r="AG19" s="27">
        <v>12.315345718803211</v>
      </c>
      <c r="AH19" s="27">
        <v>210.8911864509852</v>
      </c>
      <c r="AI19" s="27">
        <v>98.66850948674292</v>
      </c>
      <c r="AJ19" s="27">
        <v>53.342207492094396</v>
      </c>
      <c r="AK19" s="27">
        <v>16.250426599367554</v>
      </c>
      <c r="AL19" s="27">
        <v>10.420677146679642</v>
      </c>
      <c r="AM19" s="27">
        <v>42.411427268304564</v>
      </c>
      <c r="AN19" s="27">
        <v>20.331251216249093</v>
      </c>
      <c r="AO19" s="27">
        <v>17.634992094380934</v>
      </c>
      <c r="AP19" s="27">
        <v>10.274933410362443</v>
      </c>
      <c r="AQ19" s="27">
        <v>19.311045062028708</v>
      </c>
      <c r="AR19" s="27">
        <v>6.4855962661153024</v>
      </c>
      <c r="AS19" s="27">
        <v>19.894020007297499</v>
      </c>
      <c r="AT19" s="27">
        <v>11.368011432741428</v>
      </c>
      <c r="AU19" s="27">
        <v>40.371014959863786</v>
      </c>
      <c r="AV19" s="27">
        <v>6.5584681342739009</v>
      </c>
      <c r="AW19" s="27">
        <v>29.950337813184149</v>
      </c>
      <c r="AX19" s="27">
        <v>17.34350462174654</v>
      </c>
      <c r="AY19" s="27">
        <v>21.132841765993682</v>
      </c>
      <c r="AZ19" s="27">
        <v>16.833401544636345</v>
      </c>
      <c r="BA19" s="27">
        <v>18.728070116759916</v>
      </c>
      <c r="BB19" s="27">
        <v>54.799644855266372</v>
      </c>
      <c r="BC19" s="27">
        <v>37.674755837995633</v>
      </c>
      <c r="BD19" s="27">
        <v>287.98962296278285</v>
      </c>
      <c r="BE19" s="27">
        <v>8.5260085745560694</v>
      </c>
      <c r="BF19" s="27">
        <v>58.006007054244719</v>
      </c>
      <c r="BG19" s="27">
        <v>9.7648303332522524</v>
      </c>
      <c r="BH19" s="27">
        <v>8.3073929700802758</v>
      </c>
      <c r="BI19" s="27">
        <v>10.493549014838241</v>
      </c>
      <c r="BJ19" s="27">
        <v>39.569424410119197</v>
      </c>
      <c r="BK19" s="27">
        <v>6.5584681342739009</v>
      </c>
      <c r="BL19" s="27">
        <v>16.614785940160552</v>
      </c>
      <c r="BM19" s="27">
        <v>11.076523960107032</v>
      </c>
      <c r="BN19" s="27">
        <v>18.800941984918516</v>
      </c>
      <c r="BO19" s="27">
        <v>395.694244101192</v>
      </c>
      <c r="BP19" s="27">
        <v>52.176257601556806</v>
      </c>
      <c r="BQ19" s="27">
        <v>5.538261980053516</v>
      </c>
      <c r="BR19" s="27">
        <v>24.484947701289229</v>
      </c>
      <c r="BS19" s="27">
        <v>6.922827475066895</v>
      </c>
      <c r="BT19" s="27">
        <v>21.497201106786672</v>
      </c>
      <c r="BU19" s="27">
        <v>7.4329305521770879</v>
      </c>
      <c r="BV19" s="27">
        <v>36.581677815616651</v>
      </c>
      <c r="BW19" s="27">
        <v>11.878114509851621</v>
      </c>
      <c r="BX19" s="27">
        <v>8.5988804427146697</v>
      </c>
      <c r="BY19" s="27">
        <v>17.27063275358794</v>
      </c>
      <c r="BZ19" s="27">
        <v>85.187213877402115</v>
      </c>
      <c r="CA19" s="27">
        <v>10.129189674045247</v>
      </c>
      <c r="CB19" s="27">
        <v>41.974196059352963</v>
      </c>
      <c r="CC19" s="27">
        <v>15.230220445147168</v>
      </c>
      <c r="CD19" s="27">
        <v>51.301795183653624</v>
      </c>
      <c r="CE19" s="27">
        <v>19.019557589394314</v>
      </c>
      <c r="CF19" s="27">
        <v>10.639292751155439</v>
      </c>
      <c r="CG19" s="27">
        <v>14.647245499878379</v>
      </c>
      <c r="CH19" s="27">
        <v>18.582326380442719</v>
      </c>
      <c r="CI19" s="27">
        <v>3.3521059352955489</v>
      </c>
      <c r="CJ19" s="27">
        <v>26.452488141571397</v>
      </c>
      <c r="CK19" s="27">
        <v>3.2792340671369504</v>
      </c>
      <c r="CL19" s="27">
        <v>8.5260085745560694</v>
      </c>
      <c r="CM19" s="27">
        <v>18.582326380442719</v>
      </c>
      <c r="CN19" s="27">
        <v>10.347805278521042</v>
      </c>
      <c r="CO19" s="27">
        <v>0</v>
      </c>
      <c r="CP19" s="27">
        <v>34.68700924349308</v>
      </c>
      <c r="CQ19" s="27">
        <v>0</v>
      </c>
      <c r="CR19" s="27">
        <v>27.399822427633186</v>
      </c>
      <c r="CS19" s="27">
        <v>15.667451654098764</v>
      </c>
      <c r="CT19" s="27">
        <v>38.11198704694722</v>
      </c>
      <c r="CU19" s="27">
        <v>25.723769459985409</v>
      </c>
      <c r="CV19" s="27">
        <v>13.627039345657993</v>
      </c>
      <c r="CW19" s="27">
        <v>10.420677146679642</v>
      </c>
      <c r="CX19" s="27">
        <v>0.2186156044757967</v>
      </c>
      <c r="CY19" s="27">
        <v>16.323298467526151</v>
      </c>
      <c r="CZ19" s="27">
        <v>110.40088026027732</v>
      </c>
      <c r="DA19" s="27">
        <v>13.116936268547802</v>
      </c>
      <c r="DB19" s="27">
        <v>33.156700012162496</v>
      </c>
      <c r="DC19" s="27">
        <v>25.650897591826812</v>
      </c>
      <c r="DD19" s="27">
        <v>22.371663524689861</v>
      </c>
      <c r="DE19" s="27">
        <v>6.6313400024324993</v>
      </c>
      <c r="DF19" s="27">
        <v>76.151102225735855</v>
      </c>
      <c r="DG19" s="27">
        <v>10.274933410362443</v>
      </c>
      <c r="DH19" s="27">
        <v>1.6760529676477744</v>
      </c>
      <c r="DI19" s="27">
        <v>26.889719350522991</v>
      </c>
      <c r="DJ19" s="27">
        <v>35.197112320603267</v>
      </c>
      <c r="DK19" s="27">
        <v>33.66680308927269</v>
      </c>
      <c r="DL19" s="27">
        <v>10.785036487472636</v>
      </c>
      <c r="DM19" s="27">
        <v>15.958939126733158</v>
      </c>
      <c r="DN19" s="27">
        <v>14.064270554609587</v>
      </c>
      <c r="DO19" s="27">
        <v>14.355758027243983</v>
      </c>
      <c r="DP19" s="27">
        <v>43.72312089515934</v>
      </c>
      <c r="DQ19" s="27">
        <v>7.6515461566528842</v>
      </c>
      <c r="DR19" s="27">
        <v>17.999351435173928</v>
      </c>
      <c r="DS19" s="27">
        <v>12.752576927754806</v>
      </c>
      <c r="DT19" s="27">
        <v>13.554167477499396</v>
      </c>
      <c r="DU19" s="27">
        <v>9.1089835198248625</v>
      </c>
      <c r="DV19" s="27">
        <v>10.857908355631235</v>
      </c>
      <c r="DW19" s="27">
        <v>34.541265507175879</v>
      </c>
      <c r="DX19" s="27">
        <v>21.424329238628076</v>
      </c>
      <c r="DY19" s="27">
        <v>33.229571880321103</v>
      </c>
      <c r="DZ19" s="27">
        <v>36.217318474823649</v>
      </c>
      <c r="EA19" s="27">
        <v>6.5584681342739009</v>
      </c>
      <c r="EB19" s="27">
        <v>8.0766786152901435</v>
      </c>
      <c r="EC19" s="27">
        <v>8.2262467377955169</v>
      </c>
      <c r="ED19" s="27">
        <v>17.050765965612527</v>
      </c>
      <c r="EE19" s="27">
        <v>14.55796392385631</v>
      </c>
      <c r="EF19" s="27">
        <v>23.781331478354314</v>
      </c>
      <c r="EG19" s="27">
        <v>23.083346906662573</v>
      </c>
      <c r="EH19" s="27">
        <v>19.244431762357998</v>
      </c>
      <c r="EI19" s="27">
        <v>13.311562902978201</v>
      </c>
      <c r="EJ19" s="27">
        <v>20.690256946576604</v>
      </c>
      <c r="EK19" s="27">
        <v>16.452493475591034</v>
      </c>
      <c r="EL19" s="27">
        <v>14.059403515505066</v>
      </c>
      <c r="EM19" s="27">
        <v>21.53780964077372</v>
      </c>
      <c r="EN19" s="27">
        <v>19.49371196653362</v>
      </c>
      <c r="EO19" s="27">
        <v>33.702683604544056</v>
      </c>
      <c r="EP19" s="27">
        <v>33.902107767884559</v>
      </c>
      <c r="EQ19" s="27">
        <v>36.145629605465153</v>
      </c>
      <c r="ER19" s="27">
        <v>12.96257061713233</v>
      </c>
      <c r="ES19" s="27">
        <v>24.180179805035309</v>
      </c>
      <c r="ET19" s="27">
        <v>13.012426657967456</v>
      </c>
      <c r="EU19" s="27">
        <v>11.466889392078601</v>
      </c>
      <c r="EV19" s="27">
        <v>18.54644719066626</v>
      </c>
      <c r="EW19" s="27">
        <v>17.349902210623274</v>
      </c>
      <c r="EX19" s="27">
        <v>8.5752390236413873</v>
      </c>
      <c r="EY19" s="27">
        <v>31.558873848633709</v>
      </c>
      <c r="EZ19" s="27">
        <v>15.904077026404666</v>
      </c>
      <c r="FA19" s="27">
        <v>14.956812250537304</v>
      </c>
      <c r="FB19" s="27">
        <v>15.654796822229045</v>
      </c>
      <c r="FC19" s="27">
        <v>29.714200337734113</v>
      </c>
      <c r="FD19" s="27">
        <v>23.831187519189438</v>
      </c>
      <c r="FE19" s="27">
        <v>20.839825069081979</v>
      </c>
      <c r="FF19" s="27">
        <v>12.862858535462083</v>
      </c>
      <c r="FG19" s="27">
        <v>13.062282698802578</v>
      </c>
      <c r="FH19" s="27">
        <v>18.596303231501381</v>
      </c>
      <c r="FI19" s="27">
        <v>23.133202947497697</v>
      </c>
    </row>
    <row r="20" spans="1:165" x14ac:dyDescent="0.3">
      <c r="A20" s="4" t="s">
        <v>3015</v>
      </c>
      <c r="B20" s="27">
        <v>38.522753790643002</v>
      </c>
      <c r="C20" s="27">
        <v>18.88664193626855</v>
      </c>
      <c r="D20" s="27">
        <v>3.0728266642341686</v>
      </c>
      <c r="E20" s="27">
        <v>10.492578853482529</v>
      </c>
      <c r="F20" s="27">
        <v>9.7431089353766342</v>
      </c>
      <c r="G20" s="27">
        <v>3.3726146314765271</v>
      </c>
      <c r="H20" s="27">
        <v>25.407030223789835</v>
      </c>
      <c r="I20" s="27">
        <v>50.064590529473776</v>
      </c>
      <c r="J20" s="27">
        <v>11.841624706073139</v>
      </c>
      <c r="K20" s="27">
        <v>10.042896902618992</v>
      </c>
      <c r="L20" s="27">
        <v>29.753955748804028</v>
      </c>
      <c r="M20" s="27">
        <v>19.261376895321501</v>
      </c>
      <c r="N20" s="27">
        <v>3.9721905659612426</v>
      </c>
      <c r="O20" s="27">
        <v>9.293426984513097</v>
      </c>
      <c r="P20" s="27">
        <v>4.4968195086353697</v>
      </c>
      <c r="Q20" s="27">
        <v>9.4433209681342749</v>
      </c>
      <c r="R20" s="27">
        <v>9.4433209681342749</v>
      </c>
      <c r="S20" s="27">
        <v>2.8479856888024004</v>
      </c>
      <c r="T20" s="27">
        <v>3.6724025987188855</v>
      </c>
      <c r="U20" s="27">
        <v>81.167592130868414</v>
      </c>
      <c r="V20" s="27">
        <v>8.618904058217792</v>
      </c>
      <c r="W20" s="27">
        <v>17.012967141003813</v>
      </c>
      <c r="X20" s="27">
        <v>5.2462894267412645</v>
      </c>
      <c r="Y20" s="27">
        <v>2.9978796724235797</v>
      </c>
      <c r="Z20" s="27">
        <v>21.509786649639182</v>
      </c>
      <c r="AA20" s="27">
        <v>25.407030223789835</v>
      </c>
      <c r="AB20" s="27">
        <v>16.638232181950865</v>
      </c>
      <c r="AC20" s="27">
        <v>11.316995763399014</v>
      </c>
      <c r="AD20" s="27">
        <v>20.910210715154466</v>
      </c>
      <c r="AE20" s="27">
        <v>13.040776575042569</v>
      </c>
      <c r="AF20" s="27">
        <v>38.073071839779459</v>
      </c>
      <c r="AG20" s="27">
        <v>12.666041615989622</v>
      </c>
      <c r="AH20" s="27">
        <v>216.89659429984596</v>
      </c>
      <c r="AI20" s="27">
        <v>101.47822691153817</v>
      </c>
      <c r="AJ20" s="27">
        <v>54.861198005351511</v>
      </c>
      <c r="AK20" s="27">
        <v>16.713179173761457</v>
      </c>
      <c r="AL20" s="27">
        <v>10.717419828914297</v>
      </c>
      <c r="AM20" s="27">
        <v>43.619149233763089</v>
      </c>
      <c r="AN20" s="27">
        <v>20.910210715154466</v>
      </c>
      <c r="AO20" s="27">
        <v>18.137172018162655</v>
      </c>
      <c r="AP20" s="27">
        <v>10.567525845293117</v>
      </c>
      <c r="AQ20" s="27">
        <v>19.860952829806212</v>
      </c>
      <c r="AR20" s="27">
        <v>6.6702822711424652</v>
      </c>
      <c r="AS20" s="27">
        <v>20.460528764290931</v>
      </c>
      <c r="AT20" s="27">
        <v>11.691730722451961</v>
      </c>
      <c r="AU20" s="27">
        <v>41.520633463066574</v>
      </c>
      <c r="AV20" s="27">
        <v>6.7452292629530541</v>
      </c>
      <c r="AW20" s="27">
        <v>30.803213634152282</v>
      </c>
      <c r="AX20" s="27">
        <v>17.837384050920299</v>
      </c>
      <c r="AY20" s="27">
        <v>21.734627625070953</v>
      </c>
      <c r="AZ20" s="27">
        <v>17.312755108246172</v>
      </c>
      <c r="BA20" s="27">
        <v>19.261376895321501</v>
      </c>
      <c r="BB20" s="27">
        <v>56.360137841563301</v>
      </c>
      <c r="BC20" s="27">
        <v>38.747594766074769</v>
      </c>
      <c r="BD20" s="27">
        <v>296.1905116354497</v>
      </c>
      <c r="BE20" s="27">
        <v>8.7687980418389699</v>
      </c>
      <c r="BF20" s="27">
        <v>59.657805481229225</v>
      </c>
      <c r="BG20" s="27">
        <v>10.042896902618992</v>
      </c>
      <c r="BH20" s="27">
        <v>8.5439570664072022</v>
      </c>
      <c r="BI20" s="27">
        <v>10.792366820724887</v>
      </c>
      <c r="BJ20" s="27">
        <v>40.696216553150087</v>
      </c>
      <c r="BK20" s="27">
        <v>6.7452292629530541</v>
      </c>
      <c r="BL20" s="27">
        <v>17.087914132814404</v>
      </c>
      <c r="BM20" s="27">
        <v>11.391942755209602</v>
      </c>
      <c r="BN20" s="27">
        <v>19.336323887132089</v>
      </c>
      <c r="BO20" s="27">
        <v>406.96216553150094</v>
      </c>
      <c r="BP20" s="27">
        <v>53.662046136382067</v>
      </c>
      <c r="BQ20" s="27">
        <v>5.6959713776048009</v>
      </c>
      <c r="BR20" s="27">
        <v>25.182189248358071</v>
      </c>
      <c r="BS20" s="27">
        <v>7.1199642220060015</v>
      </c>
      <c r="BT20" s="27">
        <v>22.1093625841239</v>
      </c>
      <c r="BU20" s="27">
        <v>7.6445931646801277</v>
      </c>
      <c r="BV20" s="27">
        <v>37.623389888915924</v>
      </c>
      <c r="BW20" s="27">
        <v>12.216359665126086</v>
      </c>
      <c r="BX20" s="27">
        <v>8.8437450336495598</v>
      </c>
      <c r="BY20" s="27">
        <v>17.762437059109711</v>
      </c>
      <c r="BZ20" s="27">
        <v>87.613033426579122</v>
      </c>
      <c r="CA20" s="27">
        <v>10.417631861671939</v>
      </c>
      <c r="CB20" s="27">
        <v>43.169467282899546</v>
      </c>
      <c r="CC20" s="27">
        <v>15.663921288413203</v>
      </c>
      <c r="CD20" s="27">
        <v>52.762682234655003</v>
      </c>
      <c r="CE20" s="27">
        <v>19.561164862563857</v>
      </c>
      <c r="CF20" s="27">
        <v>10.942260804346065</v>
      </c>
      <c r="CG20" s="27">
        <v>15.064345353928488</v>
      </c>
      <c r="CH20" s="27">
        <v>19.111482911700318</v>
      </c>
      <c r="CI20" s="27">
        <v>3.447561623287116</v>
      </c>
      <c r="CJ20" s="27">
        <v>27.205758027243984</v>
      </c>
      <c r="CK20" s="27">
        <v>3.3726146314765271</v>
      </c>
      <c r="CL20" s="27">
        <v>8.7687980418389699</v>
      </c>
      <c r="CM20" s="27">
        <v>19.111482911700318</v>
      </c>
      <c r="CN20" s="27">
        <v>10.642472837103707</v>
      </c>
      <c r="CO20" s="27">
        <v>0</v>
      </c>
      <c r="CP20" s="27">
        <v>35.674768101840598</v>
      </c>
      <c r="CQ20" s="27">
        <v>0</v>
      </c>
      <c r="CR20" s="27">
        <v>28.18006892078165</v>
      </c>
      <c r="CS20" s="27">
        <v>16.113603239276742</v>
      </c>
      <c r="CT20" s="27">
        <v>39.197276716938305</v>
      </c>
      <c r="CU20" s="27">
        <v>26.456288109138089</v>
      </c>
      <c r="CV20" s="27">
        <v>14.015087468580234</v>
      </c>
      <c r="CW20" s="27">
        <v>10.717419828914297</v>
      </c>
      <c r="CX20" s="27">
        <v>0.22484097543176848</v>
      </c>
      <c r="CY20" s="27">
        <v>16.788126165572042</v>
      </c>
      <c r="CZ20" s="27">
        <v>113.54469259304307</v>
      </c>
      <c r="DA20" s="27">
        <v>13.490458525906108</v>
      </c>
      <c r="DB20" s="27">
        <v>34.100881273818217</v>
      </c>
      <c r="DC20" s="27">
        <v>26.381341117327501</v>
      </c>
      <c r="DD20" s="27">
        <v>23.008726485850971</v>
      </c>
      <c r="DE20" s="27">
        <v>6.8201762547636431</v>
      </c>
      <c r="DF20" s="27">
        <v>78.319606442066018</v>
      </c>
      <c r="DG20" s="27">
        <v>10.567525845293117</v>
      </c>
      <c r="DH20" s="27">
        <v>1.723780811643558</v>
      </c>
      <c r="DI20" s="27">
        <v>27.65543997810752</v>
      </c>
      <c r="DJ20" s="27">
        <v>36.199397044514726</v>
      </c>
      <c r="DK20" s="27">
        <v>34.625510216492344</v>
      </c>
      <c r="DL20" s="27">
        <v>11.092154787967244</v>
      </c>
      <c r="DM20" s="27">
        <v>16.413391206519098</v>
      </c>
      <c r="DN20" s="27">
        <v>14.464769419443771</v>
      </c>
      <c r="DO20" s="27">
        <v>14.76455738668613</v>
      </c>
      <c r="DP20" s="27">
        <v>44.968195086353695</v>
      </c>
      <c r="DQ20" s="27">
        <v>7.8694341401118963</v>
      </c>
      <c r="DR20" s="27">
        <v>18.511906977215606</v>
      </c>
      <c r="DS20" s="27">
        <v>13.115723566853159</v>
      </c>
      <c r="DT20" s="27">
        <v>13.940140476769646</v>
      </c>
      <c r="DU20" s="27">
        <v>9.3683739763236868</v>
      </c>
      <c r="DV20" s="27">
        <v>11.167101779777834</v>
      </c>
      <c r="DW20" s="27">
        <v>35.524874118219422</v>
      </c>
      <c r="DX20" s="27">
        <v>22.034415592313309</v>
      </c>
      <c r="DY20" s="27">
        <v>34.175828265628809</v>
      </c>
      <c r="DZ20" s="27">
        <v>37.24865492986298</v>
      </c>
      <c r="EA20" s="27">
        <v>6.7452292629530541</v>
      </c>
      <c r="EB20" s="27">
        <v>8.2701945041449179</v>
      </c>
      <c r="EC20" s="27">
        <v>8.4233462542216753</v>
      </c>
      <c r="ED20" s="27">
        <v>17.459299508750384</v>
      </c>
      <c r="EE20" s="27">
        <v>14.906770340804421</v>
      </c>
      <c r="EF20" s="27">
        <v>24.351128262204483</v>
      </c>
      <c r="EG20" s="27">
        <v>23.636420095179613</v>
      </c>
      <c r="EH20" s="27">
        <v>19.705525176542832</v>
      </c>
      <c r="EI20" s="27">
        <v>13.63050575683144</v>
      </c>
      <c r="EJ20" s="27">
        <v>21.185992093951487</v>
      </c>
      <c r="EK20" s="27">
        <v>16.846692508443351</v>
      </c>
      <c r="EL20" s="27">
        <v>14.396264507215228</v>
      </c>
      <c r="EM20" s="27">
        <v>22.053852011053117</v>
      </c>
      <c r="EN20" s="27">
        <v>19.960778093337428</v>
      </c>
      <c r="EO20" s="27">
        <v>34.510194350629412</v>
      </c>
      <c r="EP20" s="27">
        <v>34.714396684065093</v>
      </c>
      <c r="EQ20" s="27">
        <v>37.011672935216453</v>
      </c>
      <c r="ER20" s="27">
        <v>13.273151673319004</v>
      </c>
      <c r="ES20" s="27">
        <v>24.759532929075835</v>
      </c>
      <c r="ET20" s="27">
        <v>13.324202256677927</v>
      </c>
      <c r="EU20" s="27">
        <v>11.741634172551429</v>
      </c>
      <c r="EV20" s="27">
        <v>18.990817009517965</v>
      </c>
      <c r="EW20" s="27">
        <v>17.765603008903899</v>
      </c>
      <c r="EX20" s="27">
        <v>8.7807003377341104</v>
      </c>
      <c r="EY20" s="27">
        <v>32.315019266195883</v>
      </c>
      <c r="EZ20" s="27">
        <v>16.285136091495239</v>
      </c>
      <c r="FA20" s="27">
        <v>15.315175007675775</v>
      </c>
      <c r="FB20" s="27">
        <v>16.029883174700647</v>
      </c>
      <c r="FC20" s="27">
        <v>30.426147681915875</v>
      </c>
      <c r="FD20" s="27">
        <v>24.402178845563402</v>
      </c>
      <c r="FE20" s="27">
        <v>21.339143844028246</v>
      </c>
      <c r="FF20" s="27">
        <v>13.171050506601167</v>
      </c>
      <c r="FG20" s="27">
        <v>13.375252840036843</v>
      </c>
      <c r="FH20" s="27">
        <v>19.04186759287688</v>
      </c>
      <c r="FI20" s="27">
        <v>23.687470678538531</v>
      </c>
    </row>
    <row r="21" spans="1:165" x14ac:dyDescent="0.3">
      <c r="A21" s="4" t="s">
        <v>3016</v>
      </c>
      <c r="B21" s="27">
        <v>38.770574474985821</v>
      </c>
      <c r="C21" s="27">
        <v>19.008141571393825</v>
      </c>
      <c r="D21" s="27">
        <v>3.092594462012487</v>
      </c>
      <c r="E21" s="27">
        <v>10.560078650774347</v>
      </c>
      <c r="F21" s="27">
        <v>9.8057873185761792</v>
      </c>
      <c r="G21" s="27">
        <v>3.3943109948917543</v>
      </c>
      <c r="H21" s="27">
        <v>25.570476161517881</v>
      </c>
      <c r="I21" s="27">
        <v>50.386660990837598</v>
      </c>
      <c r="J21" s="27">
        <v>11.917803048731049</v>
      </c>
      <c r="K21" s="27">
        <v>10.107503851455448</v>
      </c>
      <c r="L21" s="27">
        <v>29.945365888267254</v>
      </c>
      <c r="M21" s="27">
        <v>19.385287237492911</v>
      </c>
      <c r="N21" s="27">
        <v>3.9977440606502879</v>
      </c>
      <c r="O21" s="27">
        <v>9.3532125192572799</v>
      </c>
      <c r="P21" s="27">
        <v>4.5257479931890057</v>
      </c>
      <c r="Q21" s="27">
        <v>9.5040707856969124</v>
      </c>
      <c r="R21" s="27">
        <v>9.5040707856969124</v>
      </c>
      <c r="S21" s="27">
        <v>2.8663070623530369</v>
      </c>
      <c r="T21" s="27">
        <v>3.6960275277710219</v>
      </c>
      <c r="U21" s="27">
        <v>81.689751277061546</v>
      </c>
      <c r="V21" s="27">
        <v>8.6743503202789274</v>
      </c>
      <c r="W21" s="27">
        <v>17.122413240898407</v>
      </c>
      <c r="X21" s="27">
        <v>5.2800393253871736</v>
      </c>
      <c r="Y21" s="27">
        <v>3.0171653287926707</v>
      </c>
      <c r="Z21" s="27">
        <v>21.648161234087411</v>
      </c>
      <c r="AA21" s="27">
        <v>25.570476161517881</v>
      </c>
      <c r="AB21" s="27">
        <v>16.745267574799321</v>
      </c>
      <c r="AC21" s="27">
        <v>11.38979911619233</v>
      </c>
      <c r="AD21" s="27">
        <v>21.044728168328877</v>
      </c>
      <c r="AE21" s="27">
        <v>13.124669180248116</v>
      </c>
      <c r="AF21" s="27">
        <v>38.317999675666911</v>
      </c>
      <c r="AG21" s="27">
        <v>12.747523514149032</v>
      </c>
      <c r="AH21" s="27">
        <v>218.29191153814969</v>
      </c>
      <c r="AI21" s="27">
        <v>102.13104637963191</v>
      </c>
      <c r="AJ21" s="27">
        <v>55.214125516905874</v>
      </c>
      <c r="AK21" s="27">
        <v>16.820696708019138</v>
      </c>
      <c r="AL21" s="27">
        <v>10.786366050433797</v>
      </c>
      <c r="AM21" s="27">
        <v>43.899755533933359</v>
      </c>
      <c r="AN21" s="27">
        <v>21.044728168328877</v>
      </c>
      <c r="AO21" s="27">
        <v>18.253850239195657</v>
      </c>
      <c r="AP21" s="27">
        <v>10.635507783994163</v>
      </c>
      <c r="AQ21" s="27">
        <v>19.988720303251441</v>
      </c>
      <c r="AR21" s="27">
        <v>6.7131928565636922</v>
      </c>
      <c r="AS21" s="27">
        <v>20.592153369009978</v>
      </c>
      <c r="AT21" s="27">
        <v>11.766944782291414</v>
      </c>
      <c r="AU21" s="27">
        <v>41.787739803778486</v>
      </c>
      <c r="AV21" s="27">
        <v>6.7886219897835085</v>
      </c>
      <c r="AW21" s="27">
        <v>31.001373753344691</v>
      </c>
      <c r="AX21" s="27">
        <v>17.952133706316392</v>
      </c>
      <c r="AY21" s="27">
        <v>21.874448633746862</v>
      </c>
      <c r="AZ21" s="27">
        <v>17.424129773777672</v>
      </c>
      <c r="BA21" s="27">
        <v>19.385287237492911</v>
      </c>
      <c r="BB21" s="27">
        <v>56.72270818130221</v>
      </c>
      <c r="BC21" s="27">
        <v>38.996861874645269</v>
      </c>
      <c r="BD21" s="27">
        <v>298.09593448471588</v>
      </c>
      <c r="BE21" s="27">
        <v>8.8252085867185599</v>
      </c>
      <c r="BF21" s="27">
        <v>60.041590042974136</v>
      </c>
      <c r="BG21" s="27">
        <v>10.107503851455448</v>
      </c>
      <c r="BH21" s="27">
        <v>8.598921187059112</v>
      </c>
      <c r="BI21" s="27">
        <v>10.861795183653614</v>
      </c>
      <c r="BJ21" s="27">
        <v>40.958019338360494</v>
      </c>
      <c r="BK21" s="27">
        <v>6.7886219897835085</v>
      </c>
      <c r="BL21" s="27">
        <v>17.197842374118224</v>
      </c>
      <c r="BM21" s="27">
        <v>11.465228249412148</v>
      </c>
      <c r="BN21" s="27">
        <v>19.460716370712728</v>
      </c>
      <c r="BO21" s="27">
        <v>409.58019338360504</v>
      </c>
      <c r="BP21" s="27">
        <v>54.007259385388799</v>
      </c>
      <c r="BQ21" s="27">
        <v>5.7326141247060738</v>
      </c>
      <c r="BR21" s="27">
        <v>25.344188761858433</v>
      </c>
      <c r="BS21" s="27">
        <v>7.1657676558825925</v>
      </c>
      <c r="BT21" s="27">
        <v>22.251594299845944</v>
      </c>
      <c r="BU21" s="27">
        <v>7.6937715884213098</v>
      </c>
      <c r="BV21" s="27">
        <v>37.865424876348015</v>
      </c>
      <c r="BW21" s="27">
        <v>12.294948714830133</v>
      </c>
      <c r="BX21" s="27">
        <v>8.900637719938377</v>
      </c>
      <c r="BY21" s="27">
        <v>17.876704573096575</v>
      </c>
      <c r="BZ21" s="27">
        <v>88.1766567339658</v>
      </c>
      <c r="CA21" s="27">
        <v>10.48464951755453</v>
      </c>
      <c r="CB21" s="27">
        <v>43.447180734614456</v>
      </c>
      <c r="CC21" s="27">
        <v>15.764688842941702</v>
      </c>
      <c r="CD21" s="27">
        <v>53.102109786751001</v>
      </c>
      <c r="CE21" s="27">
        <v>19.687003770372176</v>
      </c>
      <c r="CF21" s="27">
        <v>11.012653450093246</v>
      </c>
      <c r="CG21" s="27">
        <v>15.16125577718317</v>
      </c>
      <c r="CH21" s="27">
        <v>19.234428971053273</v>
      </c>
      <c r="CI21" s="27">
        <v>3.4697401281115705</v>
      </c>
      <c r="CJ21" s="27">
        <v>27.380775358793482</v>
      </c>
      <c r="CK21" s="27">
        <v>3.3943109948917543</v>
      </c>
      <c r="CL21" s="27">
        <v>8.8252085867185599</v>
      </c>
      <c r="CM21" s="27">
        <v>19.234428971053273</v>
      </c>
      <c r="CN21" s="27">
        <v>10.71093691721398</v>
      </c>
      <c r="CO21" s="27">
        <v>0</v>
      </c>
      <c r="CP21" s="27">
        <v>35.904267412632784</v>
      </c>
      <c r="CQ21" s="27">
        <v>0</v>
      </c>
      <c r="CR21" s="27">
        <v>28.361354090651105</v>
      </c>
      <c r="CS21" s="27">
        <v>16.217263642260605</v>
      </c>
      <c r="CT21" s="27">
        <v>39.449436673964165</v>
      </c>
      <c r="CU21" s="27">
        <v>26.626484026595314</v>
      </c>
      <c r="CV21" s="27">
        <v>14.105247912105735</v>
      </c>
      <c r="CW21" s="27">
        <v>10.786366050433797</v>
      </c>
      <c r="CX21" s="27">
        <v>0.2262873996594503</v>
      </c>
      <c r="CY21" s="27">
        <v>16.896125841238952</v>
      </c>
      <c r="CZ21" s="27">
        <v>114.2751368280224</v>
      </c>
      <c r="DA21" s="27">
        <v>13.577243979567017</v>
      </c>
      <c r="DB21" s="27">
        <v>34.320255615016627</v>
      </c>
      <c r="DC21" s="27">
        <v>26.5510548933755</v>
      </c>
      <c r="DD21" s="27">
        <v>23.156743898483743</v>
      </c>
      <c r="DE21" s="27">
        <v>6.8640511230033256</v>
      </c>
      <c r="DF21" s="27">
        <v>78.823444214708516</v>
      </c>
      <c r="DG21" s="27">
        <v>10.635507783994163</v>
      </c>
      <c r="DH21" s="27">
        <v>1.7348700640557853</v>
      </c>
      <c r="DI21" s="27">
        <v>27.833350158112385</v>
      </c>
      <c r="DJ21" s="27">
        <v>36.4322713451715</v>
      </c>
      <c r="DK21" s="27">
        <v>34.848259547555344</v>
      </c>
      <c r="DL21" s="27">
        <v>11.163511716532881</v>
      </c>
      <c r="DM21" s="27">
        <v>16.51898017513987</v>
      </c>
      <c r="DN21" s="27">
        <v>14.557822711424635</v>
      </c>
      <c r="DO21" s="27">
        <v>14.859539244303903</v>
      </c>
      <c r="DP21" s="27">
        <v>45.25747993189006</v>
      </c>
      <c r="DQ21" s="27">
        <v>7.9200589880807604</v>
      </c>
      <c r="DR21" s="27">
        <v>18.630995905294743</v>
      </c>
      <c r="DS21" s="27">
        <v>13.200098313467933</v>
      </c>
      <c r="DT21" s="27">
        <v>14.029818778885918</v>
      </c>
      <c r="DU21" s="27">
        <v>9.4286416524770953</v>
      </c>
      <c r="DV21" s="27">
        <v>11.238940849752698</v>
      </c>
      <c r="DW21" s="27">
        <v>35.75340914619315</v>
      </c>
      <c r="DX21" s="27">
        <v>22.176165166626127</v>
      </c>
      <c r="DY21" s="27">
        <v>34.395684748236448</v>
      </c>
      <c r="DZ21" s="27">
        <v>37.488279210248933</v>
      </c>
      <c r="EA21" s="27">
        <v>6.7886219897835085</v>
      </c>
      <c r="EB21" s="27">
        <v>8.3676954252379492</v>
      </c>
      <c r="EC21" s="27">
        <v>8.5226527479275411</v>
      </c>
      <c r="ED21" s="27">
        <v>17.66513478661345</v>
      </c>
      <c r="EE21" s="27">
        <v>15.082512741786921</v>
      </c>
      <c r="EF21" s="27">
        <v>24.638214307645072</v>
      </c>
      <c r="EG21" s="27">
        <v>23.915080135093646</v>
      </c>
      <c r="EH21" s="27">
        <v>19.937842186060792</v>
      </c>
      <c r="EI21" s="27">
        <v>13.791201719373657</v>
      </c>
      <c r="EJ21" s="27">
        <v>21.435762972060175</v>
      </c>
      <c r="EK21" s="27">
        <v>17.045305495855082</v>
      </c>
      <c r="EL21" s="27">
        <v>14.565988332821615</v>
      </c>
      <c r="EM21" s="27">
        <v>22.313854467301198</v>
      </c>
      <c r="EN21" s="27">
        <v>20.196104390543447</v>
      </c>
      <c r="EO21" s="27">
        <v>34.917050046054648</v>
      </c>
      <c r="EP21" s="27">
        <v>35.12365980964077</v>
      </c>
      <c r="EQ21" s="27">
        <v>37.448019649984644</v>
      </c>
      <c r="ER21" s="27">
        <v>13.429634633097944</v>
      </c>
      <c r="ES21" s="27">
        <v>25.051433834817317</v>
      </c>
      <c r="ET21" s="27">
        <v>13.481287073994475</v>
      </c>
      <c r="EU21" s="27">
        <v>11.880061406202028</v>
      </c>
      <c r="EV21" s="27">
        <v>19.214708013509366</v>
      </c>
      <c r="EW21" s="27">
        <v>17.97504943199263</v>
      </c>
      <c r="EX21" s="27">
        <v>8.8842198342032539</v>
      </c>
      <c r="EY21" s="27">
        <v>32.695995087503839</v>
      </c>
      <c r="EZ21" s="27">
        <v>16.477128645993243</v>
      </c>
      <c r="FA21" s="27">
        <v>15.495732268959165</v>
      </c>
      <c r="FB21" s="27">
        <v>16.218866441510592</v>
      </c>
      <c r="FC21" s="27">
        <v>30.78485477433221</v>
      </c>
      <c r="FD21" s="27">
        <v>24.689866748541604</v>
      </c>
      <c r="FE21" s="27">
        <v>21.590720294749772</v>
      </c>
      <c r="FF21" s="27">
        <v>13.326329751304883</v>
      </c>
      <c r="FG21" s="27">
        <v>13.532939514891003</v>
      </c>
      <c r="FH21" s="27">
        <v>19.266360454405895</v>
      </c>
      <c r="FI21" s="27">
        <v>23.966732575990175</v>
      </c>
    </row>
    <row r="22" spans="1:165" x14ac:dyDescent="0.3">
      <c r="A22" s="4" t="s">
        <v>3017</v>
      </c>
      <c r="B22" s="27">
        <v>38.827775885834761</v>
      </c>
      <c r="C22" s="27">
        <v>19.036185842860622</v>
      </c>
      <c r="D22" s="27">
        <v>3.0971572204654181</v>
      </c>
      <c r="E22" s="27">
        <v>10.575658801589235</v>
      </c>
      <c r="F22" s="27">
        <v>9.8202546014757175</v>
      </c>
      <c r="G22" s="27">
        <v>3.3993189005108251</v>
      </c>
      <c r="H22" s="27">
        <v>25.608202383848216</v>
      </c>
      <c r="I22" s="27">
        <v>50.461000567582914</v>
      </c>
      <c r="J22" s="27">
        <v>11.935386361793565</v>
      </c>
      <c r="K22" s="27">
        <v>10.122416281521126</v>
      </c>
      <c r="L22" s="27">
        <v>29.989546744506615</v>
      </c>
      <c r="M22" s="27">
        <v>19.413887942917381</v>
      </c>
      <c r="N22" s="27">
        <v>4.0036422606016382</v>
      </c>
      <c r="O22" s="27">
        <v>9.3670120814076085</v>
      </c>
      <c r="P22" s="27">
        <v>4.5324252006811001</v>
      </c>
      <c r="Q22" s="27">
        <v>9.5180929214303109</v>
      </c>
      <c r="R22" s="27">
        <v>9.5180929214303109</v>
      </c>
      <c r="S22" s="27">
        <v>2.8705359604313636</v>
      </c>
      <c r="T22" s="27">
        <v>3.7014805805562325</v>
      </c>
      <c r="U22" s="27">
        <v>81.81027487229386</v>
      </c>
      <c r="V22" s="27">
        <v>8.6871483013054434</v>
      </c>
      <c r="W22" s="27">
        <v>17.147675342576829</v>
      </c>
      <c r="X22" s="27">
        <v>5.2878294007946174</v>
      </c>
      <c r="Y22" s="27">
        <v>3.0216168004540673</v>
      </c>
      <c r="Z22" s="27">
        <v>21.680100543257929</v>
      </c>
      <c r="AA22" s="27">
        <v>25.608202383848216</v>
      </c>
      <c r="AB22" s="27">
        <v>16.76997324252007</v>
      </c>
      <c r="AC22" s="27">
        <v>11.406603421714102</v>
      </c>
      <c r="AD22" s="27">
        <v>21.075777183167116</v>
      </c>
      <c r="AE22" s="27">
        <v>13.14403308197519</v>
      </c>
      <c r="AF22" s="27">
        <v>38.374533365766645</v>
      </c>
      <c r="AG22" s="27">
        <v>12.766330981918431</v>
      </c>
      <c r="AH22" s="27">
        <v>218.61397551285174</v>
      </c>
      <c r="AI22" s="27">
        <v>102.28172869537018</v>
      </c>
      <c r="AJ22" s="27">
        <v>55.295587448309426</v>
      </c>
      <c r="AK22" s="27">
        <v>16.845513662531424</v>
      </c>
      <c r="AL22" s="27">
        <v>10.802280061623289</v>
      </c>
      <c r="AM22" s="27">
        <v>43.964524446606681</v>
      </c>
      <c r="AN22" s="27">
        <v>21.075777183167116</v>
      </c>
      <c r="AO22" s="27">
        <v>18.280781642747105</v>
      </c>
      <c r="AP22" s="27">
        <v>10.651199221600585</v>
      </c>
      <c r="AQ22" s="27">
        <v>20.018211303008194</v>
      </c>
      <c r="AR22" s="27">
        <v>6.723097381010299</v>
      </c>
      <c r="AS22" s="27">
        <v>20.622534663099007</v>
      </c>
      <c r="AT22" s="27">
        <v>11.784305521770861</v>
      </c>
      <c r="AU22" s="27">
        <v>41.849392686288823</v>
      </c>
      <c r="AV22" s="27">
        <v>6.7986378010216502</v>
      </c>
      <c r="AW22" s="27">
        <v>31.047112624665537</v>
      </c>
      <c r="AX22" s="27">
        <v>17.9786199627017</v>
      </c>
      <c r="AY22" s="27">
        <v>21.906721803291987</v>
      </c>
      <c r="AZ22" s="27">
        <v>17.449837022622237</v>
      </c>
      <c r="BA22" s="27">
        <v>19.413887942917381</v>
      </c>
      <c r="BB22" s="27">
        <v>56.806395848536461</v>
      </c>
      <c r="BC22" s="27">
        <v>39.054397145868819</v>
      </c>
      <c r="BD22" s="27">
        <v>298.53573988486181</v>
      </c>
      <c r="BE22" s="27">
        <v>8.838229141328144</v>
      </c>
      <c r="BF22" s="27">
        <v>60.130174329035924</v>
      </c>
      <c r="BG22" s="27">
        <v>10.122416281521126</v>
      </c>
      <c r="BH22" s="27">
        <v>8.6116078812940913</v>
      </c>
      <c r="BI22" s="27">
        <v>10.877820481634641</v>
      </c>
      <c r="BJ22" s="27">
        <v>41.018448066163955</v>
      </c>
      <c r="BK22" s="27">
        <v>6.7986378010216502</v>
      </c>
      <c r="BL22" s="27">
        <v>17.223215762588183</v>
      </c>
      <c r="BM22" s="27">
        <v>11.482143841725454</v>
      </c>
      <c r="BN22" s="27">
        <v>19.489428362928734</v>
      </c>
      <c r="BO22" s="27">
        <v>410.18448066163961</v>
      </c>
      <c r="BP22" s="27">
        <v>54.086940728127793</v>
      </c>
      <c r="BQ22" s="27">
        <v>5.7410719208627272</v>
      </c>
      <c r="BR22" s="27">
        <v>25.381581123814165</v>
      </c>
      <c r="BS22" s="27">
        <v>7.1763399010784088</v>
      </c>
      <c r="BT22" s="27">
        <v>22.284423903348742</v>
      </c>
      <c r="BU22" s="27">
        <v>7.7051228411578707</v>
      </c>
      <c r="BV22" s="27">
        <v>37.921290845698543</v>
      </c>
      <c r="BW22" s="27">
        <v>12.313088461850324</v>
      </c>
      <c r="BX22" s="27">
        <v>8.9137695613394978</v>
      </c>
      <c r="BY22" s="27">
        <v>17.903079542690346</v>
      </c>
      <c r="BZ22" s="27">
        <v>88.306750993270114</v>
      </c>
      <c r="CA22" s="27">
        <v>10.500118381577883</v>
      </c>
      <c r="CB22" s="27">
        <v>43.511281926538565</v>
      </c>
      <c r="CC22" s="27">
        <v>15.787947782372498</v>
      </c>
      <c r="CD22" s="27">
        <v>53.180455687991582</v>
      </c>
      <c r="CE22" s="27">
        <v>19.716049622962789</v>
      </c>
      <c r="CF22" s="27">
        <v>11.028901321657344</v>
      </c>
      <c r="CG22" s="27">
        <v>15.183624422281687</v>
      </c>
      <c r="CH22" s="27">
        <v>19.262807102894676</v>
      </c>
      <c r="CI22" s="27">
        <v>3.4748593205221767</v>
      </c>
      <c r="CJ22" s="27">
        <v>27.421172464120655</v>
      </c>
      <c r="CK22" s="27">
        <v>3.3993189005108251</v>
      </c>
      <c r="CL22" s="27">
        <v>8.838229141328144</v>
      </c>
      <c r="CM22" s="27">
        <v>19.262807102894676</v>
      </c>
      <c r="CN22" s="27">
        <v>10.726739641611937</v>
      </c>
      <c r="CO22" s="27">
        <v>0</v>
      </c>
      <c r="CP22" s="27">
        <v>35.9572399254034</v>
      </c>
      <c r="CQ22" s="27">
        <v>0</v>
      </c>
      <c r="CR22" s="27">
        <v>28.40319792426823</v>
      </c>
      <c r="CS22" s="27">
        <v>16.241190302440611</v>
      </c>
      <c r="CT22" s="27">
        <v>39.507639665936928</v>
      </c>
      <c r="CU22" s="27">
        <v>26.665768264007138</v>
      </c>
      <c r="CV22" s="27">
        <v>14.126058542122763</v>
      </c>
      <c r="CW22" s="27">
        <v>10.802280061623289</v>
      </c>
      <c r="CX22" s="27">
        <v>0.22662126003405503</v>
      </c>
      <c r="CY22" s="27">
        <v>16.921054082542774</v>
      </c>
      <c r="CZ22" s="27">
        <v>114.44373631719778</v>
      </c>
      <c r="DA22" s="27">
        <v>13.5972756020433</v>
      </c>
      <c r="DB22" s="27">
        <v>34.370891105165008</v>
      </c>
      <c r="DC22" s="27">
        <v>26.590227843995791</v>
      </c>
      <c r="DD22" s="27">
        <v>23.190908943484963</v>
      </c>
      <c r="DE22" s="27">
        <v>6.8741782210330022</v>
      </c>
      <c r="DF22" s="27">
        <v>78.939738911862506</v>
      </c>
      <c r="DG22" s="27">
        <v>10.651199221600585</v>
      </c>
      <c r="DH22" s="27">
        <v>1.7374296602610884</v>
      </c>
      <c r="DI22" s="27">
        <v>27.874414984188764</v>
      </c>
      <c r="DJ22" s="27">
        <v>36.486022865482859</v>
      </c>
      <c r="DK22" s="27">
        <v>34.899674045244474</v>
      </c>
      <c r="DL22" s="27">
        <v>11.179982161680048</v>
      </c>
      <c r="DM22" s="27">
        <v>16.543351982486016</v>
      </c>
      <c r="DN22" s="27">
        <v>14.579301062190872</v>
      </c>
      <c r="DO22" s="27">
        <v>14.88146274223628</v>
      </c>
      <c r="DP22" s="27">
        <v>45.324252006811008</v>
      </c>
      <c r="DQ22" s="27">
        <v>7.9317441011919261</v>
      </c>
      <c r="DR22" s="27">
        <v>18.658483742803863</v>
      </c>
      <c r="DS22" s="27">
        <v>13.219573501986542</v>
      </c>
      <c r="DT22" s="27">
        <v>14.050518122111411</v>
      </c>
      <c r="DU22" s="27">
        <v>9.4425525014189589</v>
      </c>
      <c r="DV22" s="27">
        <v>11.255522581691398</v>
      </c>
      <c r="DW22" s="27">
        <v>35.806159085380692</v>
      </c>
      <c r="DX22" s="27">
        <v>22.208883483337392</v>
      </c>
      <c r="DY22" s="27">
        <v>34.446431525176365</v>
      </c>
      <c r="DZ22" s="27">
        <v>37.543588745641784</v>
      </c>
      <c r="EA22" s="27">
        <v>6.7986378010216502</v>
      </c>
      <c r="EB22" s="27">
        <v>8.5292229045133556</v>
      </c>
      <c r="EC22" s="27">
        <v>8.6871714768191595</v>
      </c>
      <c r="ED22" s="27">
        <v>18.006137242861531</v>
      </c>
      <c r="EE22" s="27">
        <v>15.373661037764816</v>
      </c>
      <c r="EF22" s="27">
        <v>25.113822996622659</v>
      </c>
      <c r="EG22" s="27">
        <v>24.376729659195579</v>
      </c>
      <c r="EH22" s="27">
        <v>20.322716303346638</v>
      </c>
      <c r="EI22" s="27">
        <v>14.057422935216458</v>
      </c>
      <c r="EJ22" s="27">
        <v>21.849552502302732</v>
      </c>
      <c r="EK22" s="27">
        <v>17.374342953638319</v>
      </c>
      <c r="EL22" s="27">
        <v>14.847165796745472</v>
      </c>
      <c r="EM22" s="27">
        <v>22.744594412035617</v>
      </c>
      <c r="EN22" s="27">
        <v>20.585963923856312</v>
      </c>
      <c r="EO22" s="27">
        <v>35.591078292907582</v>
      </c>
      <c r="EP22" s="27">
        <v>35.801676389315318</v>
      </c>
      <c r="EQ22" s="27">
        <v>38.170904973902367</v>
      </c>
      <c r="ER22" s="27">
        <v>13.688876266502918</v>
      </c>
      <c r="ES22" s="27">
        <v>25.535019189438135</v>
      </c>
      <c r="ET22" s="27">
        <v>13.741525790604854</v>
      </c>
      <c r="EU22" s="27">
        <v>12.109390543444889</v>
      </c>
      <c r="EV22" s="27">
        <v>19.585622965919562</v>
      </c>
      <c r="EW22" s="27">
        <v>18.322034387473135</v>
      </c>
      <c r="EX22" s="27">
        <v>9.0557181455326994</v>
      </c>
      <c r="EY22" s="27">
        <v>33.327148756524409</v>
      </c>
      <c r="EZ22" s="27">
        <v>16.795198188517041</v>
      </c>
      <c r="FA22" s="27">
        <v>15.794857230580289</v>
      </c>
      <c r="FB22" s="27">
        <v>16.531950568007371</v>
      </c>
      <c r="FC22" s="27">
        <v>31.379116364752843</v>
      </c>
      <c r="FD22" s="27">
        <v>25.166472520724593</v>
      </c>
      <c r="FE22" s="27">
        <v>22.007501074608538</v>
      </c>
      <c r="FF22" s="27">
        <v>13.58357721829905</v>
      </c>
      <c r="FG22" s="27">
        <v>13.794175314706784</v>
      </c>
      <c r="FH22" s="27">
        <v>19.638272490021492</v>
      </c>
      <c r="FI22" s="27">
        <v>24.429379183297513</v>
      </c>
    </row>
    <row r="23" spans="1:165" x14ac:dyDescent="0.3">
      <c r="A23" s="4" t="s">
        <v>3018</v>
      </c>
      <c r="B23" s="27">
        <v>38.67320704613639</v>
      </c>
      <c r="C23" s="27">
        <v>18.960405010946246</v>
      </c>
      <c r="D23" s="27">
        <v>3.0848277993999837</v>
      </c>
      <c r="E23" s="27">
        <v>10.533558339414581</v>
      </c>
      <c r="F23" s="27">
        <v>9.7811613151706833</v>
      </c>
      <c r="G23" s="27">
        <v>3.3857866090975439</v>
      </c>
      <c r="H23" s="27">
        <v>25.506259121868162</v>
      </c>
      <c r="I23" s="27">
        <v>50.260121219492426</v>
      </c>
      <c r="J23" s="27">
        <v>11.887872983053599</v>
      </c>
      <c r="K23" s="27">
        <v>10.082120124868243</v>
      </c>
      <c r="L23" s="27">
        <v>29.870161862482774</v>
      </c>
      <c r="M23" s="27">
        <v>19.336603523068195</v>
      </c>
      <c r="N23" s="27">
        <v>3.9877042284926625</v>
      </c>
      <c r="O23" s="27">
        <v>9.329723100624344</v>
      </c>
      <c r="P23" s="27">
        <v>4.5143821454633919</v>
      </c>
      <c r="Q23" s="27">
        <v>9.4802025054731232</v>
      </c>
      <c r="R23" s="27">
        <v>9.4802025054731232</v>
      </c>
      <c r="S23" s="27">
        <v>2.8591086921268145</v>
      </c>
      <c r="T23" s="27">
        <v>3.6867454187951036</v>
      </c>
      <c r="U23" s="27">
        <v>81.484597725614222</v>
      </c>
      <c r="V23" s="27">
        <v>8.6525657788048349</v>
      </c>
      <c r="W23" s="27">
        <v>17.079412450336498</v>
      </c>
      <c r="X23" s="27">
        <v>5.2667791697072905</v>
      </c>
      <c r="Y23" s="27">
        <v>3.0095880969755946</v>
      </c>
      <c r="Z23" s="27">
        <v>21.593794595799888</v>
      </c>
      <c r="AA23" s="27">
        <v>25.506259121868162</v>
      </c>
      <c r="AB23" s="27">
        <v>16.703213938214549</v>
      </c>
      <c r="AC23" s="27">
        <v>11.361195066082869</v>
      </c>
      <c r="AD23" s="27">
        <v>20.991876976404772</v>
      </c>
      <c r="AE23" s="27">
        <v>13.091708221843835</v>
      </c>
      <c r="AF23" s="27">
        <v>38.221768831590047</v>
      </c>
      <c r="AG23" s="27">
        <v>12.715509709721886</v>
      </c>
      <c r="AH23" s="27">
        <v>217.74369881618426</v>
      </c>
      <c r="AI23" s="27">
        <v>101.87455708262388</v>
      </c>
      <c r="AJ23" s="27">
        <v>55.075462174653381</v>
      </c>
      <c r="AK23" s="27">
        <v>16.77845364063894</v>
      </c>
      <c r="AL23" s="27">
        <v>10.759277446687751</v>
      </c>
      <c r="AM23" s="27">
        <v>43.789506810994908</v>
      </c>
      <c r="AN23" s="27">
        <v>20.991876976404772</v>
      </c>
      <c r="AO23" s="27">
        <v>18.208007986702345</v>
      </c>
      <c r="AP23" s="27">
        <v>10.60879804183897</v>
      </c>
      <c r="AQ23" s="27">
        <v>19.938521142463312</v>
      </c>
      <c r="AR23" s="27">
        <v>6.6963335157706982</v>
      </c>
      <c r="AS23" s="27">
        <v>20.540438761858432</v>
      </c>
      <c r="AT23" s="27">
        <v>11.737393578204818</v>
      </c>
      <c r="AU23" s="27">
        <v>41.682795143111981</v>
      </c>
      <c r="AV23" s="27">
        <v>6.7715732181950878</v>
      </c>
      <c r="AW23" s="27">
        <v>30.923517696424234</v>
      </c>
      <c r="AX23" s="27">
        <v>17.90704917700479</v>
      </c>
      <c r="AY23" s="27">
        <v>21.81951370307306</v>
      </c>
      <c r="AZ23" s="27">
        <v>17.38037126003406</v>
      </c>
      <c r="BA23" s="27">
        <v>19.336603523068195</v>
      </c>
      <c r="BB23" s="27">
        <v>56.580256223141184</v>
      </c>
      <c r="BC23" s="27">
        <v>38.898926153409562</v>
      </c>
      <c r="BD23" s="27">
        <v>297.34730398118876</v>
      </c>
      <c r="BE23" s="27">
        <v>8.8030451836536123</v>
      </c>
      <c r="BF23" s="27">
        <v>59.890803129814323</v>
      </c>
      <c r="BG23" s="27">
        <v>10.082120124868243</v>
      </c>
      <c r="BH23" s="27">
        <v>8.5773260763804444</v>
      </c>
      <c r="BI23" s="27">
        <v>10.834517149112139</v>
      </c>
      <c r="BJ23" s="27">
        <v>40.855158416443693</v>
      </c>
      <c r="BK23" s="27">
        <v>6.7715732181950878</v>
      </c>
      <c r="BL23" s="27">
        <v>17.154652152760889</v>
      </c>
      <c r="BM23" s="27">
        <v>11.436434768507258</v>
      </c>
      <c r="BN23" s="27">
        <v>19.411843225492586</v>
      </c>
      <c r="BO23" s="27">
        <v>408.55158416443697</v>
      </c>
      <c r="BP23" s="27">
        <v>53.871626935863134</v>
      </c>
      <c r="BQ23" s="27">
        <v>5.718217384253629</v>
      </c>
      <c r="BR23" s="27">
        <v>25.280540014594994</v>
      </c>
      <c r="BS23" s="27">
        <v>7.1477717303170367</v>
      </c>
      <c r="BT23" s="27">
        <v>22.195712215195009</v>
      </c>
      <c r="BU23" s="27">
        <v>7.6744496472877666</v>
      </c>
      <c r="BV23" s="27">
        <v>37.770330617043712</v>
      </c>
      <c r="BW23" s="27">
        <v>12.264071495175548</v>
      </c>
      <c r="BX23" s="27">
        <v>8.8782848860780028</v>
      </c>
      <c r="BY23" s="27">
        <v>17.8318094745804</v>
      </c>
      <c r="BZ23" s="27">
        <v>87.955212134111761</v>
      </c>
      <c r="CA23" s="27">
        <v>10.458318636990191</v>
      </c>
      <c r="CB23" s="27">
        <v>43.338068596448558</v>
      </c>
      <c r="CC23" s="27">
        <v>15.72509780669748</v>
      </c>
      <c r="CD23" s="27">
        <v>52.968750506770462</v>
      </c>
      <c r="CE23" s="27">
        <v>19.637562332765757</v>
      </c>
      <c r="CF23" s="27">
        <v>10.98499655396092</v>
      </c>
      <c r="CG23" s="27">
        <v>15.123180187302363</v>
      </c>
      <c r="CH23" s="27">
        <v>19.186124118219414</v>
      </c>
      <c r="CI23" s="27">
        <v>3.4610263115219335</v>
      </c>
      <c r="CJ23" s="27">
        <v>27.312011980053519</v>
      </c>
      <c r="CK23" s="27">
        <v>3.3857866090975439</v>
      </c>
      <c r="CL23" s="27">
        <v>8.8030451836536123</v>
      </c>
      <c r="CM23" s="27">
        <v>19.186124118219414</v>
      </c>
      <c r="CN23" s="27">
        <v>10.68403774426336</v>
      </c>
      <c r="CO23" s="27">
        <v>0</v>
      </c>
      <c r="CP23" s="27">
        <v>35.81409835400958</v>
      </c>
      <c r="CQ23" s="27">
        <v>0</v>
      </c>
      <c r="CR23" s="27">
        <v>28.290128111570592</v>
      </c>
      <c r="CS23" s="27">
        <v>16.176536021243823</v>
      </c>
      <c r="CT23" s="27">
        <v>39.350364367955898</v>
      </c>
      <c r="CU23" s="27">
        <v>26.559614955809622</v>
      </c>
      <c r="CV23" s="27">
        <v>14.069824353360904</v>
      </c>
      <c r="CW23" s="27">
        <v>10.759277446687751</v>
      </c>
      <c r="CX23" s="27">
        <v>0.2257191072731696</v>
      </c>
      <c r="CY23" s="27">
        <v>16.853693343063327</v>
      </c>
      <c r="CZ23" s="27">
        <v>113.98814917295064</v>
      </c>
      <c r="DA23" s="27">
        <v>13.543146436390176</v>
      </c>
      <c r="DB23" s="27">
        <v>34.234064603097387</v>
      </c>
      <c r="DC23" s="27">
        <v>26.484375253385231</v>
      </c>
      <c r="DD23" s="27">
        <v>23.098588644287688</v>
      </c>
      <c r="DE23" s="27">
        <v>6.8468129206194774</v>
      </c>
      <c r="DF23" s="27">
        <v>78.625489033487412</v>
      </c>
      <c r="DG23" s="27">
        <v>10.60879804183897</v>
      </c>
      <c r="DH23" s="27">
        <v>1.7305131557609668</v>
      </c>
      <c r="DI23" s="27">
        <v>27.763450194599859</v>
      </c>
      <c r="DJ23" s="27">
        <v>36.340776270980307</v>
      </c>
      <c r="DK23" s="27">
        <v>34.760742520068121</v>
      </c>
      <c r="DL23" s="27">
        <v>11.1354759588097</v>
      </c>
      <c r="DM23" s="27">
        <v>16.477494830941378</v>
      </c>
      <c r="DN23" s="27">
        <v>14.521262567907243</v>
      </c>
      <c r="DO23" s="27">
        <v>14.822221377604803</v>
      </c>
      <c r="DP23" s="27">
        <v>45.143821454633922</v>
      </c>
      <c r="DQ23" s="27">
        <v>7.9001687545609354</v>
      </c>
      <c r="DR23" s="27">
        <v>18.584206498824297</v>
      </c>
      <c r="DS23" s="27">
        <v>13.166947924268225</v>
      </c>
      <c r="DT23" s="27">
        <v>13.994584650936515</v>
      </c>
      <c r="DU23" s="27">
        <v>9.4049628030487327</v>
      </c>
      <c r="DV23" s="27">
        <v>11.21071566123409</v>
      </c>
      <c r="DW23" s="27">
        <v>35.663618949160799</v>
      </c>
      <c r="DX23" s="27">
        <v>22.120472512770618</v>
      </c>
      <c r="DY23" s="27">
        <v>34.309304305521778</v>
      </c>
      <c r="DZ23" s="27">
        <v>37.394132104921766</v>
      </c>
      <c r="EA23" s="27">
        <v>6.7715732181950878</v>
      </c>
      <c r="EB23" s="27">
        <v>8.5145934141848336</v>
      </c>
      <c r="EC23" s="27">
        <v>8.6722710700030721</v>
      </c>
      <c r="ED23" s="27">
        <v>17.975252763279094</v>
      </c>
      <c r="EE23" s="27">
        <v>15.347291832975133</v>
      </c>
      <c r="EF23" s="27">
        <v>25.070747275099787</v>
      </c>
      <c r="EG23" s="27">
        <v>24.334918214614678</v>
      </c>
      <c r="EH23" s="27">
        <v>20.287858381946581</v>
      </c>
      <c r="EI23" s="27">
        <v>14.033311367823153</v>
      </c>
      <c r="EJ23" s="27">
        <v>21.812075721522874</v>
      </c>
      <c r="EK23" s="27">
        <v>17.344542140006144</v>
      </c>
      <c r="EL23" s="27">
        <v>14.82169964691434</v>
      </c>
      <c r="EM23" s="27">
        <v>22.705582437826227</v>
      </c>
      <c r="EN23" s="27">
        <v>20.550654474976977</v>
      </c>
      <c r="EO23" s="27">
        <v>35.530031777709553</v>
      </c>
      <c r="EP23" s="27">
        <v>35.740268652133871</v>
      </c>
      <c r="EQ23" s="27">
        <v>38.105433489407432</v>
      </c>
      <c r="ER23" s="27">
        <v>13.665396837580598</v>
      </c>
      <c r="ES23" s="27">
        <v>25.491221023948423</v>
      </c>
      <c r="ET23" s="27">
        <v>13.717956056186679</v>
      </c>
      <c r="EU23" s="27">
        <v>12.088620279398222</v>
      </c>
      <c r="EV23" s="27">
        <v>19.552029321461472</v>
      </c>
      <c r="EW23" s="27">
        <v>18.290608074915568</v>
      </c>
      <c r="EX23" s="27">
        <v>9.0401856002456267</v>
      </c>
      <c r="EY23" s="27">
        <v>33.269985377648148</v>
      </c>
      <c r="EZ23" s="27">
        <v>16.766390735339272</v>
      </c>
      <c r="FA23" s="27">
        <v>15.767765581823767</v>
      </c>
      <c r="FB23" s="27">
        <v>16.503594642308876</v>
      </c>
      <c r="FC23" s="27">
        <v>31.325294289223219</v>
      </c>
      <c r="FD23" s="27">
        <v>25.123306493705869</v>
      </c>
      <c r="FE23" s="27">
        <v>21.969753377341114</v>
      </c>
      <c r="FF23" s="27">
        <v>13.560278400368441</v>
      </c>
      <c r="FG23" s="27">
        <v>13.770515274792755</v>
      </c>
      <c r="FH23" s="27">
        <v>19.604588540067549</v>
      </c>
      <c r="FI23" s="27">
        <v>24.387477433220759</v>
      </c>
    </row>
    <row r="24" spans="1:165" x14ac:dyDescent="0.3">
      <c r="A24" s="4" t="s">
        <v>3019</v>
      </c>
      <c r="B24" s="27">
        <v>38.553125760155687</v>
      </c>
      <c r="C24" s="27">
        <v>18.901532473850647</v>
      </c>
      <c r="D24" s="27">
        <v>3.0752493310630018</v>
      </c>
      <c r="E24" s="27">
        <v>10.500851374361471</v>
      </c>
      <c r="F24" s="27">
        <v>9.7507905619070812</v>
      </c>
      <c r="G24" s="27">
        <v>3.3752736560447585</v>
      </c>
      <c r="H24" s="27">
        <v>25.427061542203845</v>
      </c>
      <c r="I24" s="27">
        <v>50.104062271953303</v>
      </c>
      <c r="J24" s="27">
        <v>11.850960836779375</v>
      </c>
      <c r="K24" s="27">
        <v>10.050814886888837</v>
      </c>
      <c r="L24" s="27">
        <v>29.777414254439314</v>
      </c>
      <c r="M24" s="27">
        <v>19.276562880077844</v>
      </c>
      <c r="N24" s="27">
        <v>3.975322306008271</v>
      </c>
      <c r="O24" s="27">
        <v>9.3007540744344475</v>
      </c>
      <c r="P24" s="27">
        <v>4.5003648747263449</v>
      </c>
      <c r="Q24" s="27">
        <v>9.4507662369253236</v>
      </c>
      <c r="R24" s="27">
        <v>9.4507662369253236</v>
      </c>
      <c r="S24" s="27">
        <v>2.850231087326685</v>
      </c>
      <c r="T24" s="27">
        <v>3.6752979810265156</v>
      </c>
      <c r="U24" s="27">
        <v>81.231585988810522</v>
      </c>
      <c r="V24" s="27">
        <v>8.6256993432254934</v>
      </c>
      <c r="W24" s="27">
        <v>17.026380442714672</v>
      </c>
      <c r="X24" s="27">
        <v>5.2504256871807353</v>
      </c>
      <c r="Y24" s="27">
        <v>3.0002432498175633</v>
      </c>
      <c r="Z24" s="27">
        <v>21.526745317441012</v>
      </c>
      <c r="AA24" s="27">
        <v>25.427061542203845</v>
      </c>
      <c r="AB24" s="27">
        <v>16.651350036487475</v>
      </c>
      <c r="AC24" s="27">
        <v>11.325918268061301</v>
      </c>
      <c r="AD24" s="27">
        <v>20.926696667477504</v>
      </c>
      <c r="AE24" s="27">
        <v>13.051058136706398</v>
      </c>
      <c r="AF24" s="27">
        <v>38.10308927268305</v>
      </c>
      <c r="AG24" s="27">
        <v>12.676027730479202</v>
      </c>
      <c r="AH24" s="27">
        <v>217.06759912430067</v>
      </c>
      <c r="AI24" s="27">
        <v>101.55823400632453</v>
      </c>
      <c r="AJ24" s="27">
        <v>54.90445147166141</v>
      </c>
      <c r="AK24" s="27">
        <v>16.726356117732916</v>
      </c>
      <c r="AL24" s="27">
        <v>10.725869618097789</v>
      </c>
      <c r="AM24" s="27">
        <v>43.65353928484555</v>
      </c>
      <c r="AN24" s="27">
        <v>20.926696667477504</v>
      </c>
      <c r="AO24" s="27">
        <v>18.151471661396258</v>
      </c>
      <c r="AP24" s="27">
        <v>10.57585745560691</v>
      </c>
      <c r="AQ24" s="27">
        <v>19.876611530041355</v>
      </c>
      <c r="AR24" s="27">
        <v>6.675541230844078</v>
      </c>
      <c r="AS24" s="27">
        <v>20.47666018000487</v>
      </c>
      <c r="AT24" s="27">
        <v>11.700948674288496</v>
      </c>
      <c r="AU24" s="27">
        <v>41.553369009973245</v>
      </c>
      <c r="AV24" s="27">
        <v>6.750547312089517</v>
      </c>
      <c r="AW24" s="27">
        <v>30.827499391875463</v>
      </c>
      <c r="AX24" s="27">
        <v>17.851447336414502</v>
      </c>
      <c r="AY24" s="27">
        <v>21.751763561177334</v>
      </c>
      <c r="AZ24" s="27">
        <v>17.326404767696427</v>
      </c>
      <c r="BA24" s="27">
        <v>19.276562880077844</v>
      </c>
      <c r="BB24" s="27">
        <v>56.404573096570189</v>
      </c>
      <c r="BC24" s="27">
        <v>38.778144003892002</v>
      </c>
      <c r="BD24" s="27">
        <v>296.42403308197527</v>
      </c>
      <c r="BE24" s="27">
        <v>8.7757115057163713</v>
      </c>
      <c r="BF24" s="27">
        <v>59.704840671369503</v>
      </c>
      <c r="BG24" s="27">
        <v>10.050814886888837</v>
      </c>
      <c r="BH24" s="27">
        <v>8.5506932619800562</v>
      </c>
      <c r="BI24" s="27">
        <v>10.800875699343226</v>
      </c>
      <c r="BJ24" s="27">
        <v>40.728302116273412</v>
      </c>
      <c r="BK24" s="27">
        <v>6.750547312089517</v>
      </c>
      <c r="BL24" s="27">
        <v>17.101386523960112</v>
      </c>
      <c r="BM24" s="27">
        <v>11.40092434930674</v>
      </c>
      <c r="BN24" s="27">
        <v>19.351568961323284</v>
      </c>
      <c r="BO24" s="27">
        <v>407.2830211627342</v>
      </c>
      <c r="BP24" s="27">
        <v>53.704354171734373</v>
      </c>
      <c r="BQ24" s="27">
        <v>5.7004621746533699</v>
      </c>
      <c r="BR24" s="27">
        <v>25.202043298467533</v>
      </c>
      <c r="BS24" s="27">
        <v>7.1255777183167126</v>
      </c>
      <c r="BT24" s="27">
        <v>22.126793967404527</v>
      </c>
      <c r="BU24" s="27">
        <v>7.6506202870347861</v>
      </c>
      <c r="BV24" s="27">
        <v>37.65305278521042</v>
      </c>
      <c r="BW24" s="27">
        <v>12.22599124300657</v>
      </c>
      <c r="BX24" s="27">
        <v>8.850717586961812</v>
      </c>
      <c r="BY24" s="27">
        <v>17.776441255169061</v>
      </c>
      <c r="BZ24" s="27">
        <v>87.682108975918297</v>
      </c>
      <c r="CA24" s="27">
        <v>10.425845293116032</v>
      </c>
      <c r="CB24" s="27">
        <v>43.203502797372906</v>
      </c>
      <c r="CC24" s="27">
        <v>15.676270980296767</v>
      </c>
      <c r="CD24" s="27">
        <v>52.804281196789113</v>
      </c>
      <c r="CE24" s="27">
        <v>19.576587205059599</v>
      </c>
      <c r="CF24" s="27">
        <v>10.950887861834106</v>
      </c>
      <c r="CG24" s="27">
        <v>15.076222330333255</v>
      </c>
      <c r="CH24" s="27">
        <v>19.126550717586966</v>
      </c>
      <c r="CI24" s="27">
        <v>3.4502797372901974</v>
      </c>
      <c r="CJ24" s="27">
        <v>27.227207492094383</v>
      </c>
      <c r="CK24" s="27">
        <v>3.3752736560447585</v>
      </c>
      <c r="CL24" s="27">
        <v>8.7757115057163713</v>
      </c>
      <c r="CM24" s="27">
        <v>19.126550717586966</v>
      </c>
      <c r="CN24" s="27">
        <v>10.650863536852349</v>
      </c>
      <c r="CO24" s="27">
        <v>0</v>
      </c>
      <c r="CP24" s="27">
        <v>35.702894672829004</v>
      </c>
      <c r="CQ24" s="27">
        <v>0</v>
      </c>
      <c r="CR24" s="27">
        <v>28.202286548285095</v>
      </c>
      <c r="CS24" s="27">
        <v>16.126307467769404</v>
      </c>
      <c r="CT24" s="27">
        <v>39.22818049136464</v>
      </c>
      <c r="CU24" s="27">
        <v>26.477146679639993</v>
      </c>
      <c r="CV24" s="27">
        <v>14.026137192897108</v>
      </c>
      <c r="CW24" s="27">
        <v>10.725869618097789</v>
      </c>
      <c r="CX24" s="27">
        <v>0.22501824373631724</v>
      </c>
      <c r="CY24" s="27">
        <v>16.801362198978349</v>
      </c>
      <c r="CZ24" s="27">
        <v>113.63421308684021</v>
      </c>
      <c r="DA24" s="27">
        <v>13.501094624179034</v>
      </c>
      <c r="DB24" s="27">
        <v>34.127766966674777</v>
      </c>
      <c r="DC24" s="27">
        <v>26.402140598394556</v>
      </c>
      <c r="DD24" s="27">
        <v>23.026866942349795</v>
      </c>
      <c r="DE24" s="27">
        <v>6.8255533933349559</v>
      </c>
      <c r="DF24" s="27">
        <v>78.381354901483846</v>
      </c>
      <c r="DG24" s="27">
        <v>10.57585745560691</v>
      </c>
      <c r="DH24" s="27">
        <v>1.7251398686450987</v>
      </c>
      <c r="DI24" s="27">
        <v>27.677243979567017</v>
      </c>
      <c r="DJ24" s="27">
        <v>36.227937241547075</v>
      </c>
      <c r="DK24" s="27">
        <v>34.652809535392855</v>
      </c>
      <c r="DL24" s="27">
        <v>11.100900024324984</v>
      </c>
      <c r="DM24" s="27">
        <v>16.426331792751157</v>
      </c>
      <c r="DN24" s="27">
        <v>14.476173680369742</v>
      </c>
      <c r="DO24" s="27">
        <v>14.776198005351498</v>
      </c>
      <c r="DP24" s="27">
        <v>45.003648747263448</v>
      </c>
      <c r="DQ24" s="27">
        <v>7.875638530771103</v>
      </c>
      <c r="DR24" s="27">
        <v>18.526502067623454</v>
      </c>
      <c r="DS24" s="27">
        <v>13.126064217951837</v>
      </c>
      <c r="DT24" s="27">
        <v>13.951131111651669</v>
      </c>
      <c r="DU24" s="27">
        <v>9.3757601556798846</v>
      </c>
      <c r="DV24" s="27">
        <v>11.175906105570423</v>
      </c>
      <c r="DW24" s="27">
        <v>35.552882510338122</v>
      </c>
      <c r="DX24" s="27">
        <v>22.051787886159087</v>
      </c>
      <c r="DY24" s="27">
        <v>34.202773047920225</v>
      </c>
      <c r="DZ24" s="27">
        <v>37.278022378983223</v>
      </c>
      <c r="EA24" s="27">
        <v>6.750547312089517</v>
      </c>
      <c r="EB24" s="27">
        <v>8.4698966840650893</v>
      </c>
      <c r="EC24" s="27">
        <v>8.6267466226588869</v>
      </c>
      <c r="ED24" s="27">
        <v>17.880892999692968</v>
      </c>
      <c r="EE24" s="27">
        <v>15.266727356463003</v>
      </c>
      <c r="EF24" s="27">
        <v>24.939140236413877</v>
      </c>
      <c r="EG24" s="27">
        <v>24.207173856309485</v>
      </c>
      <c r="EH24" s="27">
        <v>20.181358765735339</v>
      </c>
      <c r="EI24" s="27">
        <v>13.959644534848019</v>
      </c>
      <c r="EJ24" s="27">
        <v>21.697574838808716</v>
      </c>
      <c r="EK24" s="27">
        <v>17.253493245317774</v>
      </c>
      <c r="EL24" s="27">
        <v>14.743894227817009</v>
      </c>
      <c r="EM24" s="27">
        <v>22.586391157506906</v>
      </c>
      <c r="EN24" s="27">
        <v>20.442775330058335</v>
      </c>
      <c r="EO24" s="27">
        <v>35.343519496469135</v>
      </c>
      <c r="EP24" s="27">
        <v>35.552652747927539</v>
      </c>
      <c r="EQ24" s="27">
        <v>37.905401826834506</v>
      </c>
      <c r="ER24" s="27">
        <v>13.593661344795823</v>
      </c>
      <c r="ES24" s="27">
        <v>25.357406739330671</v>
      </c>
      <c r="ET24" s="27">
        <v>13.645944657660424</v>
      </c>
      <c r="EU24" s="27">
        <v>12.025161958857845</v>
      </c>
      <c r="EV24" s="27">
        <v>19.449392385630951</v>
      </c>
      <c r="EW24" s="27">
        <v>18.194592876880563</v>
      </c>
      <c r="EX24" s="27">
        <v>8.9927298127110831</v>
      </c>
      <c r="EY24" s="27">
        <v>33.095337043291366</v>
      </c>
      <c r="EZ24" s="27">
        <v>16.678376803807183</v>
      </c>
      <c r="FA24" s="27">
        <v>15.684993859379796</v>
      </c>
      <c r="FB24" s="27">
        <v>16.416960239484187</v>
      </c>
      <c r="FC24" s="27">
        <v>31.160854467301199</v>
      </c>
      <c r="FD24" s="27">
        <v>24.991423549278476</v>
      </c>
      <c r="FE24" s="27">
        <v>21.854424777402517</v>
      </c>
      <c r="FF24" s="27">
        <v>13.489094719066626</v>
      </c>
      <c r="FG24" s="27">
        <v>13.698227970525021</v>
      </c>
      <c r="FH24" s="27">
        <v>19.501675698495546</v>
      </c>
      <c r="FI24" s="27">
        <v>24.259457169174084</v>
      </c>
    </row>
    <row r="25" spans="1:165" x14ac:dyDescent="0.3">
      <c r="A25" s="4" t="s">
        <v>3020</v>
      </c>
      <c r="B25" s="27">
        <v>37.997886564501755</v>
      </c>
      <c r="C25" s="27">
        <v>18.629314035514476</v>
      </c>
      <c r="D25" s="27">
        <v>3.030959823238466</v>
      </c>
      <c r="E25" s="27">
        <v>10.349618908619155</v>
      </c>
      <c r="F25" s="27">
        <v>9.6103604151463582</v>
      </c>
      <c r="G25" s="27">
        <v>3.326663220627585</v>
      </c>
      <c r="H25" s="27">
        <v>25.060862928727804</v>
      </c>
      <c r="I25" s="27">
        <v>49.382467363982819</v>
      </c>
      <c r="J25" s="27">
        <v>11.680284196870188</v>
      </c>
      <c r="K25" s="27">
        <v>9.9060638125354767</v>
      </c>
      <c r="L25" s="27">
        <v>29.34856219087003</v>
      </c>
      <c r="M25" s="27">
        <v>18.998943282250877</v>
      </c>
      <c r="N25" s="27">
        <v>3.9180700154058221</v>
      </c>
      <c r="O25" s="27">
        <v>9.1668053190626804</v>
      </c>
      <c r="P25" s="27">
        <v>4.43555096083678</v>
      </c>
      <c r="Q25" s="27">
        <v>9.3146570177572379</v>
      </c>
      <c r="R25" s="27">
        <v>9.3146570177572379</v>
      </c>
      <c r="S25" s="27">
        <v>2.8091822751966271</v>
      </c>
      <c r="T25" s="27">
        <v>3.6223666180167045</v>
      </c>
      <c r="U25" s="27">
        <v>80.061694843103879</v>
      </c>
      <c r="V25" s="27">
        <v>8.5014726749371619</v>
      </c>
      <c r="W25" s="27">
        <v>16.781167801832485</v>
      </c>
      <c r="X25" s="27">
        <v>5.1748094543095773</v>
      </c>
      <c r="Y25" s="27">
        <v>2.9570339738911868</v>
      </c>
      <c r="Z25" s="27">
        <v>21.216718762669263</v>
      </c>
      <c r="AA25" s="27">
        <v>25.060862928727804</v>
      </c>
      <c r="AB25" s="27">
        <v>16.411538555096087</v>
      </c>
      <c r="AC25" s="27">
        <v>11.162803251439231</v>
      </c>
      <c r="AD25" s="27">
        <v>20.625311967891029</v>
      </c>
      <c r="AE25" s="27">
        <v>12.86309778642666</v>
      </c>
      <c r="AF25" s="27">
        <v>37.55433146841807</v>
      </c>
      <c r="AG25" s="27">
        <v>12.493468539690262</v>
      </c>
      <c r="AH25" s="27">
        <v>213.94140801102736</v>
      </c>
      <c r="AI25" s="27">
        <v>100.09560001621668</v>
      </c>
      <c r="AJ25" s="27">
        <v>54.113721722208723</v>
      </c>
      <c r="AK25" s="27">
        <v>16.485464404443366</v>
      </c>
      <c r="AL25" s="27">
        <v>10.571396456660993</v>
      </c>
      <c r="AM25" s="27">
        <v>43.02484432011677</v>
      </c>
      <c r="AN25" s="27">
        <v>20.625311967891029</v>
      </c>
      <c r="AO25" s="27">
        <v>17.890055542041679</v>
      </c>
      <c r="AP25" s="27">
        <v>10.423544757966432</v>
      </c>
      <c r="AQ25" s="27">
        <v>19.590350077029111</v>
      </c>
      <c r="AR25" s="27">
        <v>6.5794005919078913</v>
      </c>
      <c r="AS25" s="27">
        <v>20.181756871807352</v>
      </c>
      <c r="AT25" s="27">
        <v>11.532432498175629</v>
      </c>
      <c r="AU25" s="27">
        <v>40.954920538392933</v>
      </c>
      <c r="AV25" s="27">
        <v>6.65332644125517</v>
      </c>
      <c r="AW25" s="27">
        <v>30.383524081731945</v>
      </c>
      <c r="AX25" s="27">
        <v>17.594352144652564</v>
      </c>
      <c r="AY25" s="27">
        <v>21.438496310711106</v>
      </c>
      <c r="AZ25" s="27">
        <v>17.076871199221603</v>
      </c>
      <c r="BA25" s="27">
        <v>18.998943282250877</v>
      </c>
      <c r="BB25" s="27">
        <v>55.592238709154316</v>
      </c>
      <c r="BC25" s="27">
        <v>38.21966411254359</v>
      </c>
      <c r="BD25" s="27">
        <v>292.15495662044924</v>
      </c>
      <c r="BE25" s="27">
        <v>8.6493243736317194</v>
      </c>
      <c r="BF25" s="27">
        <v>58.844976080434613</v>
      </c>
      <c r="BG25" s="27">
        <v>9.9060638125354767</v>
      </c>
      <c r="BH25" s="27">
        <v>8.4275468255898822</v>
      </c>
      <c r="BI25" s="27">
        <v>10.645322306008271</v>
      </c>
      <c r="BJ25" s="27">
        <v>40.141736195572854</v>
      </c>
      <c r="BK25" s="27">
        <v>6.65332644125517</v>
      </c>
      <c r="BL25" s="27">
        <v>16.855093651179764</v>
      </c>
      <c r="BM25" s="27">
        <v>11.236729100786508</v>
      </c>
      <c r="BN25" s="27">
        <v>19.072869131598157</v>
      </c>
      <c r="BO25" s="27">
        <v>401.41736195572861</v>
      </c>
      <c r="BP25" s="27">
        <v>52.930908132652235</v>
      </c>
      <c r="BQ25" s="27">
        <v>5.6183645503932542</v>
      </c>
      <c r="BR25" s="27">
        <v>24.839085380685969</v>
      </c>
      <c r="BS25" s="27">
        <v>7.0229556879915682</v>
      </c>
      <c r="BT25" s="27">
        <v>21.808125557447504</v>
      </c>
      <c r="BU25" s="27">
        <v>7.5404366334225266</v>
      </c>
      <c r="BV25" s="27">
        <v>37.110776372334399</v>
      </c>
      <c r="BW25" s="27">
        <v>12.049913443606586</v>
      </c>
      <c r="BX25" s="27">
        <v>8.7232502229790008</v>
      </c>
      <c r="BY25" s="27">
        <v>17.520426295305281</v>
      </c>
      <c r="BZ25" s="27">
        <v>86.419317886969949</v>
      </c>
      <c r="CA25" s="27">
        <v>10.275693059271873</v>
      </c>
      <c r="CB25" s="27">
        <v>42.581289224033085</v>
      </c>
      <c r="CC25" s="27">
        <v>15.45050251358145</v>
      </c>
      <c r="CD25" s="27">
        <v>52.043797940484886</v>
      </c>
      <c r="CE25" s="27">
        <v>19.294646679639996</v>
      </c>
      <c r="CF25" s="27">
        <v>10.793174004702832</v>
      </c>
      <c r="CG25" s="27">
        <v>14.859095718803214</v>
      </c>
      <c r="CH25" s="27">
        <v>18.851091583556315</v>
      </c>
      <c r="CI25" s="27">
        <v>3.4005890699748647</v>
      </c>
      <c r="CJ25" s="27">
        <v>26.835083313062519</v>
      </c>
      <c r="CK25" s="27">
        <v>3.326663220627585</v>
      </c>
      <c r="CL25" s="27">
        <v>8.6493243736317194</v>
      </c>
      <c r="CM25" s="27">
        <v>18.851091583556315</v>
      </c>
      <c r="CN25" s="27">
        <v>10.497470607313712</v>
      </c>
      <c r="CO25" s="27">
        <v>0</v>
      </c>
      <c r="CP25" s="27">
        <v>35.188704289305129</v>
      </c>
      <c r="CQ25" s="27">
        <v>0</v>
      </c>
      <c r="CR25" s="27">
        <v>27.796119354577158</v>
      </c>
      <c r="CS25" s="27">
        <v>15.894057609665131</v>
      </c>
      <c r="CT25" s="27">
        <v>38.663219208627268</v>
      </c>
      <c r="CU25" s="27">
        <v>26.095824819589723</v>
      </c>
      <c r="CV25" s="27">
        <v>13.824133827941298</v>
      </c>
      <c r="CW25" s="27">
        <v>10.571396456660993</v>
      </c>
      <c r="CX25" s="27">
        <v>0.221777548041839</v>
      </c>
      <c r="CY25" s="27">
        <v>16.559390253790642</v>
      </c>
      <c r="CZ25" s="27">
        <v>111.9976617611287</v>
      </c>
      <c r="DA25" s="27">
        <v>13.30665288251034</v>
      </c>
      <c r="DB25" s="27">
        <v>33.636261453012246</v>
      </c>
      <c r="DC25" s="27">
        <v>26.021898970242443</v>
      </c>
      <c r="DD25" s="27">
        <v>22.695235749614856</v>
      </c>
      <c r="DE25" s="27">
        <v>6.7272522906024497</v>
      </c>
      <c r="DF25" s="27">
        <v>77.25251256790726</v>
      </c>
      <c r="DG25" s="27">
        <v>10.423544757966432</v>
      </c>
      <c r="DH25" s="27">
        <v>1.7002945349874323</v>
      </c>
      <c r="DI25" s="27">
        <v>27.278638409146197</v>
      </c>
      <c r="DJ25" s="27">
        <v>35.706185234736083</v>
      </c>
      <c r="DK25" s="27">
        <v>34.153742398443207</v>
      </c>
      <c r="DL25" s="27">
        <v>10.941025703397392</v>
      </c>
      <c r="DM25" s="27">
        <v>16.189761007054248</v>
      </c>
      <c r="DN25" s="27">
        <v>14.267688924024975</v>
      </c>
      <c r="DO25" s="27">
        <v>14.563392321414096</v>
      </c>
      <c r="DP25" s="27">
        <v>44.355509608367804</v>
      </c>
      <c r="DQ25" s="27">
        <v>7.7622141814643655</v>
      </c>
      <c r="DR25" s="27">
        <v>18.259684788778078</v>
      </c>
      <c r="DS25" s="27">
        <v>12.937023635773942</v>
      </c>
      <c r="DT25" s="27">
        <v>13.75020797859402</v>
      </c>
      <c r="DU25" s="27">
        <v>9.2407311684099582</v>
      </c>
      <c r="DV25" s="27">
        <v>11.014951552744671</v>
      </c>
      <c r="DW25" s="27">
        <v>35.040852590610562</v>
      </c>
      <c r="DX25" s="27">
        <v>21.734199708100221</v>
      </c>
      <c r="DY25" s="27">
        <v>33.710187302359529</v>
      </c>
      <c r="DZ25" s="27">
        <v>36.741147125597998</v>
      </c>
      <c r="EA25" s="27">
        <v>6.65332644125517</v>
      </c>
      <c r="EB25" s="27">
        <v>8.370810331593491</v>
      </c>
      <c r="EC25" s="27">
        <v>8.5258253377341102</v>
      </c>
      <c r="ED25" s="27">
        <v>17.671710700030705</v>
      </c>
      <c r="EE25" s="27">
        <v>15.0881272643537</v>
      </c>
      <c r="EF25" s="27">
        <v>24.647385976358613</v>
      </c>
      <c r="EG25" s="27">
        <v>23.923982614369052</v>
      </c>
      <c r="EH25" s="27">
        <v>19.945264123426465</v>
      </c>
      <c r="EI25" s="27">
        <v>13.796335546515198</v>
      </c>
      <c r="EJ25" s="27">
        <v>21.443742516119126</v>
      </c>
      <c r="EK25" s="27">
        <v>17.05165067546822</v>
      </c>
      <c r="EL25" s="27">
        <v>14.571410577218298</v>
      </c>
      <c r="EM25" s="27">
        <v>22.32216088424931</v>
      </c>
      <c r="EN25" s="27">
        <v>20.203622466994169</v>
      </c>
      <c r="EO25" s="27">
        <v>34.930048050353086</v>
      </c>
      <c r="EP25" s="27">
        <v>35.136734725207248</v>
      </c>
      <c r="EQ25" s="27">
        <v>37.461959817316547</v>
      </c>
      <c r="ER25" s="27">
        <v>13.434633865520418</v>
      </c>
      <c r="ES25" s="27">
        <v>25.060759326066933</v>
      </c>
      <c r="ET25" s="27">
        <v>13.48630553423396</v>
      </c>
      <c r="EU25" s="27">
        <v>11.884483804114216</v>
      </c>
      <c r="EV25" s="27">
        <v>19.221860761436908</v>
      </c>
      <c r="EW25" s="27">
        <v>17.981740712311943</v>
      </c>
      <c r="EX25" s="27">
        <v>8.8875270187288908</v>
      </c>
      <c r="EY25" s="27">
        <v>32.708166295670857</v>
      </c>
      <c r="EZ25" s="27">
        <v>16.483262319619282</v>
      </c>
      <c r="FA25" s="27">
        <v>15.501500614062021</v>
      </c>
      <c r="FB25" s="27">
        <v>16.224903976051582</v>
      </c>
      <c r="FC25" s="27">
        <v>30.796314553269884</v>
      </c>
      <c r="FD25" s="27">
        <v>24.699057645072152</v>
      </c>
      <c r="FE25" s="27">
        <v>21.598757522259749</v>
      </c>
      <c r="FF25" s="27">
        <v>13.331290528093339</v>
      </c>
      <c r="FG25" s="27">
        <v>13.537977202947497</v>
      </c>
      <c r="FH25" s="27">
        <v>19.273532430150446</v>
      </c>
      <c r="FI25" s="27">
        <v>23.975654283082591</v>
      </c>
    </row>
    <row r="26" spans="1:165" x14ac:dyDescent="0.3">
      <c r="A26" s="4" t="s">
        <v>3021</v>
      </c>
      <c r="B26" s="27">
        <v>37.972880483256318</v>
      </c>
      <c r="C26" s="27">
        <v>18.617054244709323</v>
      </c>
      <c r="D26" s="27">
        <v>3.0289651747344526</v>
      </c>
      <c r="E26" s="27">
        <v>10.342807913727402</v>
      </c>
      <c r="F26" s="27">
        <v>9.6040359198897303</v>
      </c>
      <c r="G26" s="27">
        <v>3.3244739722695216</v>
      </c>
      <c r="H26" s="27">
        <v>25.04437059109706</v>
      </c>
      <c r="I26" s="27">
        <v>49.349969188356454</v>
      </c>
      <c r="J26" s="27">
        <v>11.67259750263521</v>
      </c>
      <c r="K26" s="27">
        <v>9.8995447174247992</v>
      </c>
      <c r="L26" s="27">
        <v>29.329248155355558</v>
      </c>
      <c r="M26" s="27">
        <v>18.986440241628159</v>
      </c>
      <c r="N26" s="27">
        <v>3.9154915673396586</v>
      </c>
      <c r="O26" s="27">
        <v>9.1607727235871277</v>
      </c>
      <c r="P26" s="27">
        <v>4.4326319630260294</v>
      </c>
      <c r="Q26" s="27">
        <v>9.3085271223546613</v>
      </c>
      <c r="R26" s="27">
        <v>9.3085271223546613</v>
      </c>
      <c r="S26" s="27">
        <v>2.8073335765831517</v>
      </c>
      <c r="T26" s="27">
        <v>3.619982769804591</v>
      </c>
      <c r="U26" s="27">
        <v>80.009006932619826</v>
      </c>
      <c r="V26" s="27">
        <v>8.495877929133222</v>
      </c>
      <c r="W26" s="27">
        <v>16.770124260115143</v>
      </c>
      <c r="X26" s="27">
        <v>5.1714039568637009</v>
      </c>
      <c r="Y26" s="27">
        <v>2.9550879753506862</v>
      </c>
      <c r="Z26" s="27">
        <v>21.202756223141169</v>
      </c>
      <c r="AA26" s="27">
        <v>25.04437059109706</v>
      </c>
      <c r="AB26" s="27">
        <v>16.400738263196306</v>
      </c>
      <c r="AC26" s="27">
        <v>11.155457106948839</v>
      </c>
      <c r="AD26" s="27">
        <v>20.611738628071034</v>
      </c>
      <c r="AE26" s="27">
        <v>12.854632692775482</v>
      </c>
      <c r="AF26" s="27">
        <v>37.529617286953709</v>
      </c>
      <c r="AG26" s="27">
        <v>12.485246695856647</v>
      </c>
      <c r="AH26" s="27">
        <v>213.80061501662212</v>
      </c>
      <c r="AI26" s="27">
        <v>100.02972796562072</v>
      </c>
      <c r="AJ26" s="27">
        <v>54.078109948917557</v>
      </c>
      <c r="AK26" s="27">
        <v>16.474615462580076</v>
      </c>
      <c r="AL26" s="27">
        <v>10.564439511878703</v>
      </c>
      <c r="AM26" s="27">
        <v>42.996530041352486</v>
      </c>
      <c r="AN26" s="27">
        <v>20.611738628071034</v>
      </c>
      <c r="AO26" s="27">
        <v>17.878282250871649</v>
      </c>
      <c r="AP26" s="27">
        <v>10.416685113111168</v>
      </c>
      <c r="AQ26" s="27">
        <v>19.577457836698294</v>
      </c>
      <c r="AR26" s="27">
        <v>6.5750707451552763</v>
      </c>
      <c r="AS26" s="27">
        <v>20.168475431768432</v>
      </c>
      <c r="AT26" s="27">
        <v>11.524843103867676</v>
      </c>
      <c r="AU26" s="27">
        <v>40.927968458606998</v>
      </c>
      <c r="AV26" s="27">
        <v>6.6489479445390431</v>
      </c>
      <c r="AW26" s="27">
        <v>30.363528946728298</v>
      </c>
      <c r="AX26" s="27">
        <v>17.582773453336582</v>
      </c>
      <c r="AY26" s="27">
        <v>21.424387821292473</v>
      </c>
      <c r="AZ26" s="27">
        <v>17.065633057650214</v>
      </c>
      <c r="BA26" s="27">
        <v>18.986440241628159</v>
      </c>
      <c r="BB26" s="27">
        <v>55.555653936592897</v>
      </c>
      <c r="BC26" s="27">
        <v>38.194512081407616</v>
      </c>
      <c r="BD26" s="27">
        <v>291.96269196464777</v>
      </c>
      <c r="BE26" s="27">
        <v>8.6436323279007556</v>
      </c>
      <c r="BF26" s="27">
        <v>58.806250709478647</v>
      </c>
      <c r="BG26" s="27">
        <v>9.8995447174247992</v>
      </c>
      <c r="BH26" s="27">
        <v>8.4220007297494561</v>
      </c>
      <c r="BI26" s="27">
        <v>10.638316711262469</v>
      </c>
      <c r="BJ26" s="27">
        <v>40.115319265385558</v>
      </c>
      <c r="BK26" s="27">
        <v>6.6489479445390431</v>
      </c>
      <c r="BL26" s="27">
        <v>16.844001459498912</v>
      </c>
      <c r="BM26" s="27">
        <v>11.229334306332607</v>
      </c>
      <c r="BN26" s="27">
        <v>19.060317441011925</v>
      </c>
      <c r="BO26" s="27">
        <v>401.15319265385563</v>
      </c>
      <c r="BP26" s="27">
        <v>52.896074758777274</v>
      </c>
      <c r="BQ26" s="27">
        <v>5.6146671531663035</v>
      </c>
      <c r="BR26" s="27">
        <v>24.822738992945762</v>
      </c>
      <c r="BS26" s="27">
        <v>7.0183339414578789</v>
      </c>
      <c r="BT26" s="27">
        <v>21.79377381821131</v>
      </c>
      <c r="BU26" s="27">
        <v>7.5354743371442492</v>
      </c>
      <c r="BV26" s="27">
        <v>37.086354090651113</v>
      </c>
      <c r="BW26" s="27">
        <v>12.041983499554046</v>
      </c>
      <c r="BX26" s="27">
        <v>8.7175095272845233</v>
      </c>
      <c r="BY26" s="27">
        <v>17.508896253952816</v>
      </c>
      <c r="BZ26" s="27">
        <v>86.362446079623808</v>
      </c>
      <c r="CA26" s="27">
        <v>10.268930714343634</v>
      </c>
      <c r="CB26" s="27">
        <v>42.553266845049876</v>
      </c>
      <c r="CC26" s="27">
        <v>15.440334671207333</v>
      </c>
      <c r="CD26" s="27">
        <v>52.009548366172076</v>
      </c>
      <c r="CE26" s="27">
        <v>19.281949039163226</v>
      </c>
      <c r="CF26" s="27">
        <v>10.786071110030004</v>
      </c>
      <c r="CG26" s="27">
        <v>14.849317076137197</v>
      </c>
      <c r="CH26" s="27">
        <v>18.838685842860624</v>
      </c>
      <c r="CI26" s="27">
        <v>3.3983511716532884</v>
      </c>
      <c r="CJ26" s="27">
        <v>26.817423376307474</v>
      </c>
      <c r="CK26" s="27">
        <v>3.3244739722695216</v>
      </c>
      <c r="CL26" s="27">
        <v>8.6436323279007556</v>
      </c>
      <c r="CM26" s="27">
        <v>18.838685842860624</v>
      </c>
      <c r="CN26" s="27">
        <v>10.490562312494934</v>
      </c>
      <c r="CO26" s="27">
        <v>0</v>
      </c>
      <c r="CP26" s="27">
        <v>35.165546906673164</v>
      </c>
      <c r="CQ26" s="27">
        <v>0</v>
      </c>
      <c r="CR26" s="27">
        <v>27.777826968296448</v>
      </c>
      <c r="CS26" s="27">
        <v>15.883597867509939</v>
      </c>
      <c r="CT26" s="27">
        <v>38.637775277710219</v>
      </c>
      <c r="CU26" s="27">
        <v>26.078651382469804</v>
      </c>
      <c r="CV26" s="27">
        <v>13.815036284764457</v>
      </c>
      <c r="CW26" s="27">
        <v>10.564439511878703</v>
      </c>
      <c r="CX26" s="27">
        <v>0.22163159815130146</v>
      </c>
      <c r="CY26" s="27">
        <v>16.548492661963838</v>
      </c>
      <c r="CZ26" s="27">
        <v>111.92395706640723</v>
      </c>
      <c r="DA26" s="27">
        <v>13.297895889078086</v>
      </c>
      <c r="DB26" s="27">
        <v>33.614125719614051</v>
      </c>
      <c r="DC26" s="27">
        <v>26.004774183086038</v>
      </c>
      <c r="DD26" s="27">
        <v>22.680300210816512</v>
      </c>
      <c r="DE26" s="27">
        <v>6.7228251439228108</v>
      </c>
      <c r="DF26" s="27">
        <v>77.201673356036679</v>
      </c>
      <c r="DG26" s="27">
        <v>10.416685113111168</v>
      </c>
      <c r="DH26" s="27">
        <v>1.6991755858266442</v>
      </c>
      <c r="DI26" s="27">
        <v>27.260686572610076</v>
      </c>
      <c r="DJ26" s="27">
        <v>35.682687302359533</v>
      </c>
      <c r="DK26" s="27">
        <v>34.131266115300427</v>
      </c>
      <c r="DL26" s="27">
        <v>10.933825508797538</v>
      </c>
      <c r="DM26" s="27">
        <v>16.179106665045005</v>
      </c>
      <c r="DN26" s="27">
        <v>14.258299481067059</v>
      </c>
      <c r="DO26" s="27">
        <v>14.553808278602128</v>
      </c>
      <c r="DP26" s="27">
        <v>44.326319630260294</v>
      </c>
      <c r="DQ26" s="27">
        <v>7.7571059352955505</v>
      </c>
      <c r="DR26" s="27">
        <v>18.247668247790486</v>
      </c>
      <c r="DS26" s="27">
        <v>12.928509892159251</v>
      </c>
      <c r="DT26" s="27">
        <v>13.741159085380691</v>
      </c>
      <c r="DU26" s="27">
        <v>9.2346499229708936</v>
      </c>
      <c r="DV26" s="27">
        <v>11.007702708181306</v>
      </c>
      <c r="DW26" s="27">
        <v>35.017792507905632</v>
      </c>
      <c r="DX26" s="27">
        <v>21.719896618827541</v>
      </c>
      <c r="DY26" s="27">
        <v>33.688002918997825</v>
      </c>
      <c r="DZ26" s="27">
        <v>36.716968093732277</v>
      </c>
      <c r="EA26" s="27">
        <v>6.6489479445390431</v>
      </c>
      <c r="EB26" s="27">
        <v>8.3231914338348165</v>
      </c>
      <c r="EC26" s="27">
        <v>8.4773246085354614</v>
      </c>
      <c r="ED26" s="27">
        <v>17.571181915873503</v>
      </c>
      <c r="EE26" s="27">
        <v>15.002295670862756</v>
      </c>
      <c r="EF26" s="27">
        <v>24.507174777402515</v>
      </c>
      <c r="EG26" s="27">
        <v>23.787886628799505</v>
      </c>
      <c r="EH26" s="27">
        <v>19.831801811482958</v>
      </c>
      <c r="EI26" s="27">
        <v>13.717852548357383</v>
      </c>
      <c r="EJ26" s="27">
        <v>21.32175583358919</v>
      </c>
      <c r="EK26" s="27">
        <v>16.954649217070923</v>
      </c>
      <c r="EL26" s="27">
        <v>14.488518421860606</v>
      </c>
      <c r="EM26" s="27">
        <v>22.195177156892846</v>
      </c>
      <c r="EN26" s="27">
        <v>20.088690435984034</v>
      </c>
      <c r="EO26" s="27">
        <v>34.731342032545278</v>
      </c>
      <c r="EP26" s="27">
        <v>34.936852932146145</v>
      </c>
      <c r="EQ26" s="27">
        <v>37.248850552655817</v>
      </c>
      <c r="ER26" s="27">
        <v>13.358208474055878</v>
      </c>
      <c r="ES26" s="27">
        <v>24.918196576604235</v>
      </c>
      <c r="ET26" s="27">
        <v>13.409586198956095</v>
      </c>
      <c r="EU26" s="27">
        <v>11.816876727049431</v>
      </c>
      <c r="EV26" s="27">
        <v>19.112513662879952</v>
      </c>
      <c r="EW26" s="27">
        <v>17.879448265274789</v>
      </c>
      <c r="EX26" s="27">
        <v>8.8369686828369662</v>
      </c>
      <c r="EY26" s="27">
        <v>32.52209986183604</v>
      </c>
      <c r="EZ26" s="27">
        <v>16.389494243168556</v>
      </c>
      <c r="FA26" s="27">
        <v>15.413317470064476</v>
      </c>
      <c r="FB26" s="27">
        <v>16.132605618667483</v>
      </c>
      <c r="FC26" s="27">
        <v>30.621124040528095</v>
      </c>
      <c r="FD26" s="27">
        <v>24.558552502302732</v>
      </c>
      <c r="FE26" s="27">
        <v>21.475889008289837</v>
      </c>
      <c r="FF26" s="27">
        <v>13.25545302425545</v>
      </c>
      <c r="FG26" s="27">
        <v>13.460963923856307</v>
      </c>
      <c r="FH26" s="27">
        <v>19.163891387780165</v>
      </c>
      <c r="FI26" s="27">
        <v>23.839264353699722</v>
      </c>
    </row>
    <row r="27" spans="1:165" x14ac:dyDescent="0.3">
      <c r="A27" s="4" t="s">
        <v>3022</v>
      </c>
      <c r="B27" s="27">
        <v>37.639570258655652</v>
      </c>
      <c r="C27" s="27">
        <v>18.453641449768917</v>
      </c>
      <c r="D27" s="27">
        <v>3.0023781723830374</v>
      </c>
      <c r="E27" s="27">
        <v>10.252023027649399</v>
      </c>
      <c r="F27" s="27">
        <v>9.5197356685315846</v>
      </c>
      <c r="G27" s="27">
        <v>3.2952931160301637</v>
      </c>
      <c r="H27" s="27">
        <v>24.824541474093898</v>
      </c>
      <c r="I27" s="27">
        <v>48.916795589069984</v>
      </c>
      <c r="J27" s="27">
        <v>11.570140274061464</v>
      </c>
      <c r="K27" s="27">
        <v>9.8126506121787109</v>
      </c>
      <c r="L27" s="27">
        <v>29.071808156977223</v>
      </c>
      <c r="M27" s="27">
        <v>18.819785129327826</v>
      </c>
      <c r="N27" s="27">
        <v>3.8811230033244146</v>
      </c>
      <c r="O27" s="27">
        <v>9.0803632530608969</v>
      </c>
      <c r="P27" s="27">
        <v>4.3937241547068853</v>
      </c>
      <c r="Q27" s="27">
        <v>9.2268207248844583</v>
      </c>
      <c r="R27" s="27">
        <v>9.2268207248844583</v>
      </c>
      <c r="S27" s="27">
        <v>2.7826919646476935</v>
      </c>
      <c r="T27" s="27">
        <v>3.5882080596772901</v>
      </c>
      <c r="U27" s="27">
        <v>79.306720992459276</v>
      </c>
      <c r="V27" s="27">
        <v>8.4213046298548626</v>
      </c>
      <c r="W27" s="27">
        <v>16.622923051974382</v>
      </c>
      <c r="X27" s="27">
        <v>5.1260115138246993</v>
      </c>
      <c r="Y27" s="27">
        <v>2.9291494364712567</v>
      </c>
      <c r="Z27" s="27">
        <v>21.016647206681263</v>
      </c>
      <c r="AA27" s="27">
        <v>24.824541474093898</v>
      </c>
      <c r="AB27" s="27">
        <v>16.256779372415473</v>
      </c>
      <c r="AC27" s="27">
        <v>11.057539122678994</v>
      </c>
      <c r="AD27" s="27">
        <v>20.430817319387014</v>
      </c>
      <c r="AE27" s="27">
        <v>12.741800048649965</v>
      </c>
      <c r="AF27" s="27">
        <v>37.200197843184952</v>
      </c>
      <c r="AG27" s="27">
        <v>12.375656369091057</v>
      </c>
      <c r="AH27" s="27">
        <v>211.92396172869539</v>
      </c>
      <c r="AI27" s="27">
        <v>99.151708424552041</v>
      </c>
      <c r="AJ27" s="27">
        <v>53.603434687423999</v>
      </c>
      <c r="AK27" s="27">
        <v>16.330008108327256</v>
      </c>
      <c r="AL27" s="27">
        <v>10.471709235384743</v>
      </c>
      <c r="AM27" s="27">
        <v>42.619124300656786</v>
      </c>
      <c r="AN27" s="27">
        <v>20.430817319387014</v>
      </c>
      <c r="AO27" s="27">
        <v>17.721354090651101</v>
      </c>
      <c r="AP27" s="27">
        <v>10.32525176356118</v>
      </c>
      <c r="AQ27" s="27">
        <v>19.405615016622075</v>
      </c>
      <c r="AR27" s="27">
        <v>6.5173574961485468</v>
      </c>
      <c r="AS27" s="27">
        <v>19.991444903916328</v>
      </c>
      <c r="AT27" s="27">
        <v>11.4236828022379</v>
      </c>
      <c r="AU27" s="27">
        <v>40.568719695126902</v>
      </c>
      <c r="AV27" s="27">
        <v>6.5905862320603275</v>
      </c>
      <c r="AW27" s="27">
        <v>30.097010459742162</v>
      </c>
      <c r="AX27" s="27">
        <v>17.428439147003978</v>
      </c>
      <c r="AY27" s="27">
        <v>21.236333414416613</v>
      </c>
      <c r="AZ27" s="27">
        <v>16.915837995621509</v>
      </c>
      <c r="BA27" s="27">
        <v>18.819785129327826</v>
      </c>
      <c r="BB27" s="27">
        <v>55.06800940565963</v>
      </c>
      <c r="BC27" s="27">
        <v>37.859256466390995</v>
      </c>
      <c r="BD27" s="27">
        <v>289.39996432336017</v>
      </c>
      <c r="BE27" s="27">
        <v>8.567762101678424</v>
      </c>
      <c r="BF27" s="27">
        <v>58.290073785777999</v>
      </c>
      <c r="BG27" s="27">
        <v>9.8126506121787109</v>
      </c>
      <c r="BH27" s="27">
        <v>8.3480758939430828</v>
      </c>
      <c r="BI27" s="27">
        <v>10.544937971296523</v>
      </c>
      <c r="BJ27" s="27">
        <v>39.763203600097306</v>
      </c>
      <c r="BK27" s="27">
        <v>6.5905862320603275</v>
      </c>
      <c r="BL27" s="27">
        <v>16.696151787886166</v>
      </c>
      <c r="BM27" s="27">
        <v>11.130767858590774</v>
      </c>
      <c r="BN27" s="27">
        <v>18.893013865239606</v>
      </c>
      <c r="BO27" s="27">
        <v>397.63203600097307</v>
      </c>
      <c r="BP27" s="27">
        <v>52.431774912835486</v>
      </c>
      <c r="BQ27" s="27">
        <v>5.5653839292953871</v>
      </c>
      <c r="BR27" s="27">
        <v>24.604855266358555</v>
      </c>
      <c r="BS27" s="27">
        <v>6.9567299116192345</v>
      </c>
      <c r="BT27" s="27">
        <v>21.602477093975516</v>
      </c>
      <c r="BU27" s="27">
        <v>7.4693310630017047</v>
      </c>
      <c r="BV27" s="27">
        <v>36.760825427714273</v>
      </c>
      <c r="BW27" s="27">
        <v>11.936283953620372</v>
      </c>
      <c r="BX27" s="27">
        <v>8.6409908375902074</v>
      </c>
      <c r="BY27" s="27">
        <v>17.355210411092195</v>
      </c>
      <c r="BZ27" s="27">
        <v>85.604392280872489</v>
      </c>
      <c r="CA27" s="27">
        <v>10.178794291737617</v>
      </c>
      <c r="CB27" s="27">
        <v>42.179751885186093</v>
      </c>
      <c r="CC27" s="27">
        <v>15.304805805562316</v>
      </c>
      <c r="CD27" s="27">
        <v>51.553030081894121</v>
      </c>
      <c r="CE27" s="27">
        <v>19.112700072974953</v>
      </c>
      <c r="CF27" s="27">
        <v>10.691395443120086</v>
      </c>
      <c r="CG27" s="27">
        <v>14.718975918268065</v>
      </c>
      <c r="CH27" s="27">
        <v>18.673327657504259</v>
      </c>
      <c r="CI27" s="27">
        <v>3.3685218519419449</v>
      </c>
      <c r="CJ27" s="27">
        <v>26.582031135976653</v>
      </c>
      <c r="CK27" s="27">
        <v>3.2952931160301637</v>
      </c>
      <c r="CL27" s="27">
        <v>8.567762101678424</v>
      </c>
      <c r="CM27" s="27">
        <v>18.673327657504259</v>
      </c>
      <c r="CN27" s="27">
        <v>10.39848049947296</v>
      </c>
      <c r="CO27" s="27">
        <v>0</v>
      </c>
      <c r="CP27" s="27">
        <v>34.856878294007956</v>
      </c>
      <c r="CQ27" s="27">
        <v>0</v>
      </c>
      <c r="CR27" s="27">
        <v>27.534004702829815</v>
      </c>
      <c r="CS27" s="27">
        <v>15.744178221033005</v>
      </c>
      <c r="CT27" s="27">
        <v>38.298628881861681</v>
      </c>
      <c r="CU27" s="27">
        <v>25.849743776858837</v>
      </c>
      <c r="CV27" s="27">
        <v>13.693773615503124</v>
      </c>
      <c r="CW27" s="27">
        <v>10.471709235384743</v>
      </c>
      <c r="CX27" s="27">
        <v>0.21968620773534425</v>
      </c>
      <c r="CY27" s="27">
        <v>16.403236844239036</v>
      </c>
      <c r="CZ27" s="27">
        <v>110.94153490634883</v>
      </c>
      <c r="DA27" s="27">
        <v>13.181172464120655</v>
      </c>
      <c r="DB27" s="27">
        <v>33.319074839860541</v>
      </c>
      <c r="DC27" s="27">
        <v>25.776515040947061</v>
      </c>
      <c r="DD27" s="27">
        <v>22.481221924916895</v>
      </c>
      <c r="DE27" s="27">
        <v>6.663814967972109</v>
      </c>
      <c r="DF27" s="27">
        <v>76.524029027811579</v>
      </c>
      <c r="DG27" s="27">
        <v>10.32525176356118</v>
      </c>
      <c r="DH27" s="27">
        <v>1.6842609259709724</v>
      </c>
      <c r="DI27" s="27">
        <v>27.021403551447339</v>
      </c>
      <c r="DJ27" s="27">
        <v>35.369479445390425</v>
      </c>
      <c r="DK27" s="27">
        <v>33.831675991243017</v>
      </c>
      <c r="DL27" s="27">
        <v>10.83785291494365</v>
      </c>
      <c r="DM27" s="27">
        <v>16.03709316468013</v>
      </c>
      <c r="DN27" s="27">
        <v>14.133146030973812</v>
      </c>
      <c r="DO27" s="27">
        <v>14.426060974620938</v>
      </c>
      <c r="DP27" s="27">
        <v>43.937241547068851</v>
      </c>
      <c r="DQ27" s="27">
        <v>7.6890172707370485</v>
      </c>
      <c r="DR27" s="27">
        <v>18.08749777021001</v>
      </c>
      <c r="DS27" s="27">
        <v>12.815028784561747</v>
      </c>
      <c r="DT27" s="27">
        <v>13.620544879591344</v>
      </c>
      <c r="DU27" s="27">
        <v>9.1535919889726767</v>
      </c>
      <c r="DV27" s="27">
        <v>10.911081650855431</v>
      </c>
      <c r="DW27" s="27">
        <v>34.710420822184389</v>
      </c>
      <c r="DX27" s="27">
        <v>21.529248358063736</v>
      </c>
      <c r="DY27" s="27">
        <v>33.392303575772331</v>
      </c>
      <c r="DZ27" s="27">
        <v>36.394681748155364</v>
      </c>
      <c r="EA27" s="27">
        <v>6.5905862320603275</v>
      </c>
      <c r="EB27" s="27">
        <v>8.2338352778630632</v>
      </c>
      <c r="EC27" s="27">
        <v>8.3863137089346029</v>
      </c>
      <c r="ED27" s="27">
        <v>17.382541142155358</v>
      </c>
      <c r="EE27" s="27">
        <v>14.841233957629722</v>
      </c>
      <c r="EF27" s="27">
        <v>24.24407054037458</v>
      </c>
      <c r="EG27" s="27">
        <v>23.532504528707399</v>
      </c>
      <c r="EH27" s="27">
        <v>19.618891464537921</v>
      </c>
      <c r="EI27" s="27">
        <v>13.570580365366903</v>
      </c>
      <c r="EJ27" s="27">
        <v>21.092849631562785</v>
      </c>
      <c r="EK27" s="27">
        <v>16.772627417869206</v>
      </c>
      <c r="EL27" s="27">
        <v>14.332972520724594</v>
      </c>
      <c r="EM27" s="27">
        <v>21.956894074301506</v>
      </c>
      <c r="EN27" s="27">
        <v>19.873022182990486</v>
      </c>
      <c r="EO27" s="27">
        <v>34.358473134786614</v>
      </c>
      <c r="EP27" s="27">
        <v>34.561777709548664</v>
      </c>
      <c r="EQ27" s="27">
        <v>36.848954175621735</v>
      </c>
      <c r="ER27" s="27">
        <v>13.214797359533314</v>
      </c>
      <c r="ES27" s="27">
        <v>24.650679689898681</v>
      </c>
      <c r="ET27" s="27">
        <v>13.265623503223829</v>
      </c>
      <c r="EU27" s="27">
        <v>11.690013048817931</v>
      </c>
      <c r="EV27" s="27">
        <v>18.907325452870744</v>
      </c>
      <c r="EW27" s="27">
        <v>17.687498004298433</v>
      </c>
      <c r="EX27" s="27">
        <v>8.7420967147681914</v>
      </c>
      <c r="EY27" s="27">
        <v>32.172948956094565</v>
      </c>
      <c r="EZ27" s="27">
        <v>16.213539837273565</v>
      </c>
      <c r="FA27" s="27">
        <v>15.247843107153823</v>
      </c>
      <c r="FB27" s="27">
        <v>15.959409118821002</v>
      </c>
      <c r="FC27" s="27">
        <v>30.292381639545599</v>
      </c>
      <c r="FD27" s="27">
        <v>24.29489668406509</v>
      </c>
      <c r="FE27" s="27">
        <v>21.245328062634329</v>
      </c>
      <c r="FF27" s="27">
        <v>13.113145072152289</v>
      </c>
      <c r="FG27" s="27">
        <v>13.316449646914338</v>
      </c>
      <c r="FH27" s="27">
        <v>18.958151596561255</v>
      </c>
      <c r="FI27" s="27">
        <v>23.583330672397913</v>
      </c>
    </row>
    <row r="28" spans="1:165" x14ac:dyDescent="0.3">
      <c r="A28" s="4" t="s">
        <v>3023</v>
      </c>
      <c r="B28" s="27">
        <v>37.401960390821387</v>
      </c>
      <c r="C28" s="27">
        <v>18.337147895889082</v>
      </c>
      <c r="D28" s="27">
        <v>2.9834248560771917</v>
      </c>
      <c r="E28" s="27">
        <v>10.187304386605046</v>
      </c>
      <c r="F28" s="27">
        <v>9.4596397875618283</v>
      </c>
      <c r="G28" s="27">
        <v>3.274490695694479</v>
      </c>
      <c r="H28" s="27">
        <v>24.667829907565075</v>
      </c>
      <c r="I28" s="27">
        <v>48.607995216086934</v>
      </c>
      <c r="J28" s="27">
        <v>11.497100664882838</v>
      </c>
      <c r="K28" s="27">
        <v>9.7507056271791157</v>
      </c>
      <c r="L28" s="27">
        <v>28.888284582015739</v>
      </c>
      <c r="M28" s="27">
        <v>18.700980195410693</v>
      </c>
      <c r="N28" s="27">
        <v>3.8566223749290529</v>
      </c>
      <c r="O28" s="27">
        <v>9.0230410281358981</v>
      </c>
      <c r="P28" s="27">
        <v>4.3659875942593054</v>
      </c>
      <c r="Q28" s="27">
        <v>9.1685739479445409</v>
      </c>
      <c r="R28" s="27">
        <v>9.1685739479445409</v>
      </c>
      <c r="S28" s="27">
        <v>2.7651254763642266</v>
      </c>
      <c r="T28" s="27">
        <v>3.5655565353117669</v>
      </c>
      <c r="U28" s="27">
        <v>78.806076076380464</v>
      </c>
      <c r="V28" s="27">
        <v>8.3681428889970029</v>
      </c>
      <c r="W28" s="27">
        <v>16.517986398281039</v>
      </c>
      <c r="X28" s="27">
        <v>5.0936521933025229</v>
      </c>
      <c r="Y28" s="27">
        <v>2.9106583961728707</v>
      </c>
      <c r="Z28" s="27">
        <v>20.883973992540344</v>
      </c>
      <c r="AA28" s="27">
        <v>24.667829907565075</v>
      </c>
      <c r="AB28" s="27">
        <v>16.154154098759427</v>
      </c>
      <c r="AC28" s="27">
        <v>10.987735445552586</v>
      </c>
      <c r="AD28" s="27">
        <v>20.301842313305769</v>
      </c>
      <c r="AE28" s="27">
        <v>12.661364023351984</v>
      </c>
      <c r="AF28" s="27">
        <v>36.965361631395446</v>
      </c>
      <c r="AG28" s="27">
        <v>12.297531723830376</v>
      </c>
      <c r="AH28" s="27">
        <v>210.58613496310716</v>
      </c>
      <c r="AI28" s="27">
        <v>98.525786710451669</v>
      </c>
      <c r="AJ28" s="27">
        <v>53.265048649963532</v>
      </c>
      <c r="AK28" s="27">
        <v>16.226920558663753</v>
      </c>
      <c r="AL28" s="27">
        <v>10.405603766318011</v>
      </c>
      <c r="AM28" s="27">
        <v>42.350079664315267</v>
      </c>
      <c r="AN28" s="27">
        <v>20.301842313305769</v>
      </c>
      <c r="AO28" s="27">
        <v>17.609483296845866</v>
      </c>
      <c r="AP28" s="27">
        <v>10.260070846509368</v>
      </c>
      <c r="AQ28" s="27">
        <v>19.283111874645265</v>
      </c>
      <c r="AR28" s="27">
        <v>6.4762149314846367</v>
      </c>
      <c r="AS28" s="27">
        <v>19.865243553879839</v>
      </c>
      <c r="AT28" s="27">
        <v>11.351567745074194</v>
      </c>
      <c r="AU28" s="27">
        <v>40.31261878699425</v>
      </c>
      <c r="AV28" s="27">
        <v>6.5489813913889581</v>
      </c>
      <c r="AW28" s="27">
        <v>29.907015020676244</v>
      </c>
      <c r="AX28" s="27">
        <v>17.318417457228581</v>
      </c>
      <c r="AY28" s="27">
        <v>21.102273372253311</v>
      </c>
      <c r="AZ28" s="27">
        <v>16.809052237898328</v>
      </c>
      <c r="BA28" s="27">
        <v>18.700980195410693</v>
      </c>
      <c r="BB28" s="27">
        <v>54.720377848049964</v>
      </c>
      <c r="BC28" s="27">
        <v>37.620259770534354</v>
      </c>
      <c r="BD28" s="27">
        <v>287.57304954187958</v>
      </c>
      <c r="BE28" s="27">
        <v>8.5136758088056439</v>
      </c>
      <c r="BF28" s="27">
        <v>57.922102083840116</v>
      </c>
      <c r="BG28" s="27">
        <v>9.7507056271791157</v>
      </c>
      <c r="BH28" s="27">
        <v>8.2953764290926806</v>
      </c>
      <c r="BI28" s="27">
        <v>10.478370226222333</v>
      </c>
      <c r="BJ28" s="27">
        <v>39.512187728046712</v>
      </c>
      <c r="BK28" s="27">
        <v>6.5489813913889581</v>
      </c>
      <c r="BL28" s="27">
        <v>16.590752858185361</v>
      </c>
      <c r="BM28" s="27">
        <v>11.060501905456906</v>
      </c>
      <c r="BN28" s="27">
        <v>18.773746655315016</v>
      </c>
      <c r="BO28" s="27">
        <v>395.12187728046712</v>
      </c>
      <c r="BP28" s="27">
        <v>52.100785291494375</v>
      </c>
      <c r="BQ28" s="27">
        <v>5.5302509527284531</v>
      </c>
      <c r="BR28" s="27">
        <v>24.449530527852112</v>
      </c>
      <c r="BS28" s="27">
        <v>6.9128136909105669</v>
      </c>
      <c r="BT28" s="27">
        <v>21.466105671774919</v>
      </c>
      <c r="BU28" s="27">
        <v>7.4221789102408193</v>
      </c>
      <c r="BV28" s="27">
        <v>36.528762871969526</v>
      </c>
      <c r="BW28" s="27">
        <v>11.860932964404446</v>
      </c>
      <c r="BX28" s="27">
        <v>8.586442268709968</v>
      </c>
      <c r="BY28" s="27">
        <v>17.245650997324258</v>
      </c>
      <c r="BZ28" s="27">
        <v>85.063991628152138</v>
      </c>
      <c r="CA28" s="27">
        <v>10.114537926700724</v>
      </c>
      <c r="CB28" s="27">
        <v>41.913480904889333</v>
      </c>
      <c r="CC28" s="27">
        <v>15.208190120003247</v>
      </c>
      <c r="CD28" s="27">
        <v>51.227587772642522</v>
      </c>
      <c r="CE28" s="27">
        <v>18.992046035027979</v>
      </c>
      <c r="CF28" s="27">
        <v>10.623903146030976</v>
      </c>
      <c r="CG28" s="27">
        <v>14.626058440768674</v>
      </c>
      <c r="CH28" s="27">
        <v>18.555447275602049</v>
      </c>
      <c r="CI28" s="27">
        <v>3.3472571555988004</v>
      </c>
      <c r="CJ28" s="27">
        <v>26.414224945268796</v>
      </c>
      <c r="CK28" s="27">
        <v>3.274490695694479</v>
      </c>
      <c r="CL28" s="27">
        <v>8.5136758088056439</v>
      </c>
      <c r="CM28" s="27">
        <v>18.555447275602049</v>
      </c>
      <c r="CN28" s="27">
        <v>10.332837306413689</v>
      </c>
      <c r="CO28" s="27">
        <v>0</v>
      </c>
      <c r="CP28" s="27">
        <v>34.636834914457161</v>
      </c>
      <c r="CQ28" s="27">
        <v>0</v>
      </c>
      <c r="CR28" s="27">
        <v>27.360188924024982</v>
      </c>
      <c r="CS28" s="27">
        <v>15.64478887942918</v>
      </c>
      <c r="CT28" s="27">
        <v>38.05685852996028</v>
      </c>
      <c r="CU28" s="27">
        <v>25.68656034622558</v>
      </c>
      <c r="CV28" s="27">
        <v>13.607328002108169</v>
      </c>
      <c r="CW28" s="27">
        <v>10.405603766318011</v>
      </c>
      <c r="CX28" s="27">
        <v>0.21829937971296529</v>
      </c>
      <c r="CY28" s="27">
        <v>16.299687018568072</v>
      </c>
      <c r="CZ28" s="27">
        <v>110.24118675504745</v>
      </c>
      <c r="DA28" s="27">
        <v>13.097962782777916</v>
      </c>
      <c r="DB28" s="27">
        <v>33.1087392564664</v>
      </c>
      <c r="DC28" s="27">
        <v>25.613793886321261</v>
      </c>
      <c r="DD28" s="27">
        <v>22.339303190626779</v>
      </c>
      <c r="DE28" s="27">
        <v>6.6217478512932795</v>
      </c>
      <c r="DF28" s="27">
        <v>76.040950600016245</v>
      </c>
      <c r="DG28" s="27">
        <v>10.260070846509368</v>
      </c>
      <c r="DH28" s="27">
        <v>1.6736285777994002</v>
      </c>
      <c r="DI28" s="27">
        <v>26.850823704694726</v>
      </c>
      <c r="DJ28" s="27">
        <v>35.14620013378741</v>
      </c>
      <c r="DK28" s="27">
        <v>33.618104475796656</v>
      </c>
      <c r="DL28" s="27">
        <v>10.769436065839621</v>
      </c>
      <c r="DM28" s="27">
        <v>15.935854719046464</v>
      </c>
      <c r="DN28" s="27">
        <v>14.043926761534099</v>
      </c>
      <c r="DO28" s="27">
        <v>14.334992601151386</v>
      </c>
      <c r="DP28" s="27">
        <v>43.659875942593054</v>
      </c>
      <c r="DQ28" s="27">
        <v>7.6404782899537844</v>
      </c>
      <c r="DR28" s="27">
        <v>17.973315596367474</v>
      </c>
      <c r="DS28" s="27">
        <v>12.734130483256306</v>
      </c>
      <c r="DT28" s="27">
        <v>13.534561542203848</v>
      </c>
      <c r="DU28" s="27">
        <v>9.0958074880402204</v>
      </c>
      <c r="DV28" s="27">
        <v>10.842202525743941</v>
      </c>
      <c r="DW28" s="27">
        <v>34.491301994648516</v>
      </c>
      <c r="DX28" s="27">
        <v>21.393339211870597</v>
      </c>
      <c r="DY28" s="27">
        <v>33.181505716370722</v>
      </c>
      <c r="DZ28" s="27">
        <v>36.164930572447915</v>
      </c>
      <c r="EA28" s="27">
        <v>6.5489813913889581</v>
      </c>
      <c r="EB28" s="27">
        <v>8.1293025023027319</v>
      </c>
      <c r="EC28" s="27">
        <v>8.2798451412342633</v>
      </c>
      <c r="ED28" s="27">
        <v>17.161860838194659</v>
      </c>
      <c r="EE28" s="27">
        <v>14.652816856002456</v>
      </c>
      <c r="EF28" s="27">
        <v>23.9362795901136</v>
      </c>
      <c r="EG28" s="27">
        <v>23.233747275099784</v>
      </c>
      <c r="EH28" s="27">
        <v>19.369819542523796</v>
      </c>
      <c r="EI28" s="27">
        <v>13.398294864906354</v>
      </c>
      <c r="EJ28" s="27">
        <v>20.825065052195267</v>
      </c>
      <c r="EK28" s="27">
        <v>16.559690282468527</v>
      </c>
      <c r="EL28" s="27">
        <v>14.151008059564015</v>
      </c>
      <c r="EM28" s="27">
        <v>21.67814000614062</v>
      </c>
      <c r="EN28" s="27">
        <v>19.620723940743016</v>
      </c>
      <c r="EO28" s="27">
        <v>33.922274639238559</v>
      </c>
      <c r="EP28" s="27">
        <v>34.122998157813939</v>
      </c>
      <c r="EQ28" s="27">
        <v>36.381137741786915</v>
      </c>
      <c r="ER28" s="27">
        <v>13.047028707399447</v>
      </c>
      <c r="ES28" s="27">
        <v>24.337726627264352</v>
      </c>
      <c r="ET28" s="27">
        <v>13.097209587043293</v>
      </c>
      <c r="EU28" s="27">
        <v>11.541602318084127</v>
      </c>
      <c r="EV28" s="27">
        <v>18.667287227509981</v>
      </c>
      <c r="EW28" s="27">
        <v>17.462946116057719</v>
      </c>
      <c r="EX28" s="27">
        <v>8.6311112987411729</v>
      </c>
      <c r="EY28" s="27">
        <v>31.764496814553265</v>
      </c>
      <c r="EZ28" s="27">
        <v>16.007700606386244</v>
      </c>
      <c r="FA28" s="27">
        <v>15.054263893153207</v>
      </c>
      <c r="FB28" s="27">
        <v>15.756796208167025</v>
      </c>
      <c r="FC28" s="27">
        <v>29.907804267731041</v>
      </c>
      <c r="FD28" s="27">
        <v>23.986460469757443</v>
      </c>
      <c r="FE28" s="27">
        <v>20.975607691126804</v>
      </c>
      <c r="FF28" s="27">
        <v>12.94666694811176</v>
      </c>
      <c r="FG28" s="27">
        <v>13.147390466687133</v>
      </c>
      <c r="FH28" s="27">
        <v>18.71746810715382</v>
      </c>
      <c r="FI28" s="27">
        <v>23.283928154743627</v>
      </c>
    </row>
    <row r="29" spans="1:165" x14ac:dyDescent="0.3">
      <c r="A29" s="4" t="s">
        <v>3024</v>
      </c>
      <c r="B29" s="27">
        <v>37.005666099083776</v>
      </c>
      <c r="C29" s="27">
        <v>18.142855752858189</v>
      </c>
      <c r="D29" s="27">
        <v>2.9518138328062924</v>
      </c>
      <c r="E29" s="27">
        <v>10.07936430714344</v>
      </c>
      <c r="F29" s="27">
        <v>9.359409713776051</v>
      </c>
      <c r="G29" s="27">
        <v>3.2397956701532484</v>
      </c>
      <c r="H29" s="27">
        <v>24.40646071515447</v>
      </c>
      <c r="I29" s="27">
        <v>48.09296683694155</v>
      </c>
      <c r="J29" s="27">
        <v>11.375282575204739</v>
      </c>
      <c r="K29" s="27">
        <v>9.6473915511230075</v>
      </c>
      <c r="L29" s="27">
        <v>28.582197356685324</v>
      </c>
      <c r="M29" s="27">
        <v>18.502833049541888</v>
      </c>
      <c r="N29" s="27">
        <v>3.8157593448471587</v>
      </c>
      <c r="O29" s="27">
        <v>8.927436957755619</v>
      </c>
      <c r="P29" s="27">
        <v>4.3197275602043312</v>
      </c>
      <c r="Q29" s="27">
        <v>9.0714278764290945</v>
      </c>
      <c r="R29" s="27">
        <v>9.0714278764290945</v>
      </c>
      <c r="S29" s="27">
        <v>2.7358274547960764</v>
      </c>
      <c r="T29" s="27">
        <v>3.5277775075002045</v>
      </c>
      <c r="U29" s="27">
        <v>77.971082461688169</v>
      </c>
      <c r="V29" s="27">
        <v>8.2794778237249673</v>
      </c>
      <c r="W29" s="27">
        <v>16.34296926943972</v>
      </c>
      <c r="X29" s="27">
        <v>5.0396821535717198</v>
      </c>
      <c r="Y29" s="27">
        <v>2.8798183734695542</v>
      </c>
      <c r="Z29" s="27">
        <v>20.662696829644048</v>
      </c>
      <c r="AA29" s="27">
        <v>24.40646071515447</v>
      </c>
      <c r="AB29" s="27">
        <v>15.982991972756023</v>
      </c>
      <c r="AC29" s="27">
        <v>10.871314359847567</v>
      </c>
      <c r="AD29" s="27">
        <v>20.086733154950139</v>
      </c>
      <c r="AE29" s="27">
        <v>12.527209924592558</v>
      </c>
      <c r="AF29" s="27">
        <v>36.573693343063333</v>
      </c>
      <c r="AG29" s="27">
        <v>12.167232627908865</v>
      </c>
      <c r="AH29" s="27">
        <v>208.35485932052222</v>
      </c>
      <c r="AI29" s="27">
        <v>97.481851941944413</v>
      </c>
      <c r="AJ29" s="27">
        <v>52.700676234492846</v>
      </c>
      <c r="AK29" s="27">
        <v>16.054987432092766</v>
      </c>
      <c r="AL29" s="27">
        <v>10.295350685153656</v>
      </c>
      <c r="AM29" s="27">
        <v>41.90135733398202</v>
      </c>
      <c r="AN29" s="27">
        <v>20.086733154950139</v>
      </c>
      <c r="AO29" s="27">
        <v>17.422901159490802</v>
      </c>
      <c r="AP29" s="27">
        <v>10.151359766480178</v>
      </c>
      <c r="AQ29" s="27">
        <v>19.078796724235794</v>
      </c>
      <c r="AR29" s="27">
        <v>6.4075958809697582</v>
      </c>
      <c r="AS29" s="27">
        <v>19.654760398929707</v>
      </c>
      <c r="AT29" s="27">
        <v>11.231291656531262</v>
      </c>
      <c r="AU29" s="27">
        <v>39.885484472553323</v>
      </c>
      <c r="AV29" s="27">
        <v>6.4795913403064969</v>
      </c>
      <c r="AW29" s="27">
        <v>29.590133787399669</v>
      </c>
      <c r="AX29" s="27">
        <v>17.134919322143848</v>
      </c>
      <c r="AY29" s="27">
        <v>20.878683207654269</v>
      </c>
      <c r="AZ29" s="27">
        <v>16.630951106786675</v>
      </c>
      <c r="BA29" s="27">
        <v>18.502833049541888</v>
      </c>
      <c r="BB29" s="27">
        <v>54.14058542122762</v>
      </c>
      <c r="BC29" s="27">
        <v>37.22165247709399</v>
      </c>
      <c r="BD29" s="27">
        <v>284.52605529879196</v>
      </c>
      <c r="BE29" s="27">
        <v>8.4234687423984447</v>
      </c>
      <c r="BF29" s="27">
        <v>57.308385632044121</v>
      </c>
      <c r="BG29" s="27">
        <v>9.6473915511230075</v>
      </c>
      <c r="BH29" s="27">
        <v>8.2074823643882304</v>
      </c>
      <c r="BI29" s="27">
        <v>10.367346144490394</v>
      </c>
      <c r="BJ29" s="27">
        <v>39.093534419849192</v>
      </c>
      <c r="BK29" s="27">
        <v>6.4795913403064969</v>
      </c>
      <c r="BL29" s="27">
        <v>16.414964728776461</v>
      </c>
      <c r="BM29" s="27">
        <v>10.943309819184305</v>
      </c>
      <c r="BN29" s="27">
        <v>18.574828508878625</v>
      </c>
      <c r="BO29" s="27">
        <v>390.93534419849198</v>
      </c>
      <c r="BP29" s="27">
        <v>51.548748885105013</v>
      </c>
      <c r="BQ29" s="27">
        <v>5.4716549095921527</v>
      </c>
      <c r="BR29" s="27">
        <v>24.190474337144256</v>
      </c>
      <c r="BS29" s="27">
        <v>6.8395686369901911</v>
      </c>
      <c r="BT29" s="27">
        <v>21.238660504337961</v>
      </c>
      <c r="BU29" s="27">
        <v>7.3435368523473628</v>
      </c>
      <c r="BV29" s="27">
        <v>36.141720587042904</v>
      </c>
      <c r="BW29" s="27">
        <v>11.735259871888433</v>
      </c>
      <c r="BX29" s="27">
        <v>8.4954642017351851</v>
      </c>
      <c r="BY29" s="27">
        <v>17.062923862807107</v>
      </c>
      <c r="BZ29" s="27">
        <v>84.162691964647735</v>
      </c>
      <c r="CA29" s="27">
        <v>10.007368847806701</v>
      </c>
      <c r="CB29" s="27">
        <v>41.469384577961577</v>
      </c>
      <c r="CC29" s="27">
        <v>15.047051001378419</v>
      </c>
      <c r="CD29" s="27">
        <v>50.684803373064156</v>
      </c>
      <c r="CE29" s="27">
        <v>18.790814886888842</v>
      </c>
      <c r="CF29" s="27">
        <v>10.511337063163872</v>
      </c>
      <c r="CG29" s="27">
        <v>14.471087326684509</v>
      </c>
      <c r="CH29" s="27">
        <v>18.358842130868407</v>
      </c>
      <c r="CI29" s="27">
        <v>3.3117911294899867</v>
      </c>
      <c r="CJ29" s="27">
        <v>26.134351739236202</v>
      </c>
      <c r="CK29" s="27">
        <v>3.2397956701532484</v>
      </c>
      <c r="CL29" s="27">
        <v>8.4234687423984447</v>
      </c>
      <c r="CM29" s="27">
        <v>18.358842130868407</v>
      </c>
      <c r="CN29" s="27">
        <v>10.223355225816917</v>
      </c>
      <c r="CO29" s="27">
        <v>0</v>
      </c>
      <c r="CP29" s="27">
        <v>34.269838644287695</v>
      </c>
      <c r="CQ29" s="27">
        <v>0</v>
      </c>
      <c r="CR29" s="27">
        <v>27.07029271061381</v>
      </c>
      <c r="CS29" s="27">
        <v>15.479023757398854</v>
      </c>
      <c r="CT29" s="27">
        <v>37.653625233114418</v>
      </c>
      <c r="CU29" s="27">
        <v>25.414397145868815</v>
      </c>
      <c r="CV29" s="27">
        <v>13.463150895970164</v>
      </c>
      <c r="CW29" s="27">
        <v>10.295350685153656</v>
      </c>
      <c r="CX29" s="27">
        <v>0.21598637801021656</v>
      </c>
      <c r="CY29" s="27">
        <v>16.126982891429499</v>
      </c>
      <c r="CZ29" s="27">
        <v>109.07312089515936</v>
      </c>
      <c r="DA29" s="27">
        <v>12.959182680612994</v>
      </c>
      <c r="DB29" s="27">
        <v>32.757933998216174</v>
      </c>
      <c r="DC29" s="27">
        <v>25.342401686532078</v>
      </c>
      <c r="DD29" s="27">
        <v>22.102606016378825</v>
      </c>
      <c r="DE29" s="27">
        <v>6.5515867996432355</v>
      </c>
      <c r="DF29" s="27">
        <v>75.235255006892103</v>
      </c>
      <c r="DG29" s="27">
        <v>10.151359766480178</v>
      </c>
      <c r="DH29" s="27">
        <v>1.6558955647449933</v>
      </c>
      <c r="DI29" s="27">
        <v>26.566324495256634</v>
      </c>
      <c r="DJ29" s="27">
        <v>34.773806859644864</v>
      </c>
      <c r="DK29" s="27">
        <v>33.26190221357335</v>
      </c>
      <c r="DL29" s="27">
        <v>10.655327981837351</v>
      </c>
      <c r="DM29" s="27">
        <v>15.767005594745807</v>
      </c>
      <c r="DN29" s="27">
        <v>13.895123651990598</v>
      </c>
      <c r="DO29" s="27">
        <v>14.183105489337555</v>
      </c>
      <c r="DP29" s="27">
        <v>43.197275602043312</v>
      </c>
      <c r="DQ29" s="27">
        <v>7.5595232303575797</v>
      </c>
      <c r="DR29" s="27">
        <v>17.782878456174497</v>
      </c>
      <c r="DS29" s="27">
        <v>12.599205383929299</v>
      </c>
      <c r="DT29" s="27">
        <v>13.391155436633428</v>
      </c>
      <c r="DU29" s="27">
        <v>8.9994324170923576</v>
      </c>
      <c r="DV29" s="27">
        <v>10.727323441174089</v>
      </c>
      <c r="DW29" s="27">
        <v>34.125847725614214</v>
      </c>
      <c r="DX29" s="27">
        <v>21.166665045001221</v>
      </c>
      <c r="DY29" s="27">
        <v>32.829929457552922</v>
      </c>
      <c r="DZ29" s="27">
        <v>35.781743290359209</v>
      </c>
      <c r="EA29" s="27">
        <v>6.4795913403064969</v>
      </c>
      <c r="EB29" s="27">
        <v>7.9842324224746699</v>
      </c>
      <c r="EC29" s="27">
        <v>8.1320885784464227</v>
      </c>
      <c r="ED29" s="27">
        <v>16.85560178077986</v>
      </c>
      <c r="EE29" s="27">
        <v>14.391332514583974</v>
      </c>
      <c r="EF29" s="27">
        <v>23.509128799508751</v>
      </c>
      <c r="EG29" s="27">
        <v>22.819133404973904</v>
      </c>
      <c r="EH29" s="27">
        <v>19.024158735032241</v>
      </c>
      <c r="EI29" s="27">
        <v>13.159197881486032</v>
      </c>
      <c r="EJ29" s="27">
        <v>20.453434909425852</v>
      </c>
      <c r="EK29" s="27">
        <v>16.264177156892845</v>
      </c>
      <c r="EL29" s="27">
        <v>13.898478661344797</v>
      </c>
      <c r="EM29" s="27">
        <v>21.291286459932454</v>
      </c>
      <c r="EN29" s="27">
        <v>19.270585661651829</v>
      </c>
      <c r="EO29" s="27">
        <v>33.316920478968377</v>
      </c>
      <c r="EP29" s="27">
        <v>33.514062020264049</v>
      </c>
      <c r="EQ29" s="27">
        <v>35.731904359840343</v>
      </c>
      <c r="ER29" s="27">
        <v>12.814200184218606</v>
      </c>
      <c r="ES29" s="27">
        <v>23.903411882100094</v>
      </c>
      <c r="ET29" s="27">
        <v>12.863485569542526</v>
      </c>
      <c r="EU29" s="27">
        <v>11.335638624501076</v>
      </c>
      <c r="EV29" s="27">
        <v>18.334163340497394</v>
      </c>
      <c r="EW29" s="27">
        <v>17.151314092723364</v>
      </c>
      <c r="EX29" s="27">
        <v>8.4770862757138481</v>
      </c>
      <c r="EY29" s="27">
        <v>31.197648910039913</v>
      </c>
      <c r="EZ29" s="27">
        <v>15.722037918329752</v>
      </c>
      <c r="FA29" s="27">
        <v>14.785615597175315</v>
      </c>
      <c r="FB29" s="27">
        <v>15.475610991710164</v>
      </c>
      <c r="FC29" s="27">
        <v>29.374089653054963</v>
      </c>
      <c r="FD29" s="27">
        <v>23.558414184832667</v>
      </c>
      <c r="FE29" s="27">
        <v>20.601291065397607</v>
      </c>
      <c r="FF29" s="27">
        <v>12.715629413570772</v>
      </c>
      <c r="FG29" s="27">
        <v>12.912770954866442</v>
      </c>
      <c r="FH29" s="27">
        <v>18.38344872582131</v>
      </c>
      <c r="FI29" s="27">
        <v>22.86841879029782</v>
      </c>
    </row>
    <row r="30" spans="1:165" x14ac:dyDescent="0.3">
      <c r="A30" s="4" t="s">
        <v>3025</v>
      </c>
      <c r="B30" s="27">
        <v>36.622656288007796</v>
      </c>
      <c r="C30" s="27">
        <v>17.955076623692538</v>
      </c>
      <c r="D30" s="27">
        <v>2.9212624665531504</v>
      </c>
      <c r="E30" s="27">
        <v>9.9750425687180755</v>
      </c>
      <c r="F30" s="27">
        <v>9.2625395280953562</v>
      </c>
      <c r="G30" s="27">
        <v>3.2062636828022386</v>
      </c>
      <c r="H30" s="27">
        <v>24.153853077110195</v>
      </c>
      <c r="I30" s="27">
        <v>47.595203113597677</v>
      </c>
      <c r="J30" s="27">
        <v>11.257548041838971</v>
      </c>
      <c r="K30" s="27">
        <v>9.5475407443444453</v>
      </c>
      <c r="L30" s="27">
        <v>28.286370712721972</v>
      </c>
      <c r="M30" s="27">
        <v>18.311328144003898</v>
      </c>
      <c r="N30" s="27">
        <v>3.7762661153004142</v>
      </c>
      <c r="O30" s="27">
        <v>8.835037703721726</v>
      </c>
      <c r="P30" s="27">
        <v>4.2750182437363184</v>
      </c>
      <c r="Q30" s="27">
        <v>8.9775383118462688</v>
      </c>
      <c r="R30" s="27">
        <v>8.9775383118462688</v>
      </c>
      <c r="S30" s="27">
        <v>2.7075115543663348</v>
      </c>
      <c r="T30" s="27">
        <v>3.4912648990513273</v>
      </c>
      <c r="U30" s="27">
        <v>77.164079299440544</v>
      </c>
      <c r="V30" s="27">
        <v>8.1937849671612764</v>
      </c>
      <c r="W30" s="27">
        <v>16.173819022135739</v>
      </c>
      <c r="X30" s="27">
        <v>4.9875212843590377</v>
      </c>
      <c r="Y30" s="27">
        <v>2.850012162490879</v>
      </c>
      <c r="Z30" s="27">
        <v>20.448837265872054</v>
      </c>
      <c r="AA30" s="27">
        <v>24.153853077110195</v>
      </c>
      <c r="AB30" s="27">
        <v>15.817567501824376</v>
      </c>
      <c r="AC30" s="27">
        <v>10.758795913403068</v>
      </c>
      <c r="AD30" s="27">
        <v>19.87883483337388</v>
      </c>
      <c r="AE30" s="27">
        <v>12.397552906835321</v>
      </c>
      <c r="AF30" s="27">
        <v>36.195154463634154</v>
      </c>
      <c r="AG30" s="27">
        <v>12.041301386523962</v>
      </c>
      <c r="AH30" s="27">
        <v>206.19837995621506</v>
      </c>
      <c r="AI30" s="27">
        <v>96.47291170031626</v>
      </c>
      <c r="AJ30" s="27">
        <v>52.155222573583089</v>
      </c>
      <c r="AK30" s="27">
        <v>15.888817805886649</v>
      </c>
      <c r="AL30" s="27">
        <v>10.188793480904891</v>
      </c>
      <c r="AM30" s="27">
        <v>41.467676964242294</v>
      </c>
      <c r="AN30" s="27">
        <v>19.87883483337388</v>
      </c>
      <c r="AO30" s="27">
        <v>17.242573583069817</v>
      </c>
      <c r="AP30" s="27">
        <v>10.046292872780347</v>
      </c>
      <c r="AQ30" s="27">
        <v>18.881330576502073</v>
      </c>
      <c r="AR30" s="27">
        <v>6.3412770615422058</v>
      </c>
      <c r="AS30" s="27">
        <v>19.451333009000248</v>
      </c>
      <c r="AT30" s="27">
        <v>11.115047433714427</v>
      </c>
      <c r="AU30" s="27">
        <v>39.472668450498666</v>
      </c>
      <c r="AV30" s="27">
        <v>6.4125273656044772</v>
      </c>
      <c r="AW30" s="27">
        <v>29.283874969593782</v>
      </c>
      <c r="AX30" s="27">
        <v>16.957572366820731</v>
      </c>
      <c r="AY30" s="27">
        <v>20.662588178058872</v>
      </c>
      <c r="AZ30" s="27">
        <v>16.458820238384828</v>
      </c>
      <c r="BA30" s="27">
        <v>18.311328144003898</v>
      </c>
      <c r="BB30" s="27">
        <v>53.580228654828524</v>
      </c>
      <c r="BC30" s="27">
        <v>36.836407200194607</v>
      </c>
      <c r="BD30" s="27">
        <v>281.58120165409883</v>
      </c>
      <c r="BE30" s="27">
        <v>8.3362855752858191</v>
      </c>
      <c r="BF30" s="27">
        <v>56.715242033568487</v>
      </c>
      <c r="BG30" s="27">
        <v>9.5475407443444453</v>
      </c>
      <c r="BH30" s="27">
        <v>8.122534663099005</v>
      </c>
      <c r="BI30" s="27">
        <v>10.260043784967163</v>
      </c>
      <c r="BJ30" s="27">
        <v>38.688915105813678</v>
      </c>
      <c r="BK30" s="27">
        <v>6.4125273656044772</v>
      </c>
      <c r="BL30" s="27">
        <v>16.24506932619801</v>
      </c>
      <c r="BM30" s="27">
        <v>10.830046217465339</v>
      </c>
      <c r="BN30" s="27">
        <v>18.38257844806617</v>
      </c>
      <c r="BO30" s="27">
        <v>386.8891510581368</v>
      </c>
      <c r="BP30" s="27">
        <v>51.015217708586725</v>
      </c>
      <c r="BQ30" s="27">
        <v>5.4150231087326697</v>
      </c>
      <c r="BR30" s="27">
        <v>23.940102164923385</v>
      </c>
      <c r="BS30" s="27">
        <v>6.7687788859158369</v>
      </c>
      <c r="BT30" s="27">
        <v>21.018839698370233</v>
      </c>
      <c r="BU30" s="27">
        <v>7.2675310143517411</v>
      </c>
      <c r="BV30" s="27">
        <v>35.767652639260533</v>
      </c>
      <c r="BW30" s="27">
        <v>11.613799562150332</v>
      </c>
      <c r="BX30" s="27">
        <v>8.4075358793480923</v>
      </c>
      <c r="BY30" s="27">
        <v>16.886322062758456</v>
      </c>
      <c r="BZ30" s="27">
        <v>83.291605448795949</v>
      </c>
      <c r="CA30" s="27">
        <v>9.9037922646558041</v>
      </c>
      <c r="CB30" s="27">
        <v>41.040175139868651</v>
      </c>
      <c r="CC30" s="27">
        <v>14.891313549014841</v>
      </c>
      <c r="CD30" s="27">
        <v>50.160214059839468</v>
      </c>
      <c r="CE30" s="27">
        <v>18.596329360252987</v>
      </c>
      <c r="CF30" s="27">
        <v>10.402544393091707</v>
      </c>
      <c r="CG30" s="27">
        <v>14.321311116516666</v>
      </c>
      <c r="CH30" s="27">
        <v>18.168827535879352</v>
      </c>
      <c r="CI30" s="27">
        <v>3.2775139868645105</v>
      </c>
      <c r="CJ30" s="27">
        <v>25.863860374604723</v>
      </c>
      <c r="CK30" s="27">
        <v>3.2062636828022386</v>
      </c>
      <c r="CL30" s="27">
        <v>8.3362855752858191</v>
      </c>
      <c r="CM30" s="27">
        <v>18.168827535879352</v>
      </c>
      <c r="CN30" s="27">
        <v>10.117543176842618</v>
      </c>
      <c r="CO30" s="27">
        <v>0</v>
      </c>
      <c r="CP30" s="27">
        <v>33.915144733641462</v>
      </c>
      <c r="CQ30" s="27">
        <v>0</v>
      </c>
      <c r="CR30" s="27">
        <v>26.790114327414262</v>
      </c>
      <c r="CS30" s="27">
        <v>15.318815373388475</v>
      </c>
      <c r="CT30" s="27">
        <v>37.263909024568243</v>
      </c>
      <c r="CU30" s="27">
        <v>25.151357333982006</v>
      </c>
      <c r="CV30" s="27">
        <v>13.323806859644858</v>
      </c>
      <c r="CW30" s="27">
        <v>10.188793480904891</v>
      </c>
      <c r="CX30" s="27">
        <v>0.21375091218681591</v>
      </c>
      <c r="CY30" s="27">
        <v>15.960068109948919</v>
      </c>
      <c r="CZ30" s="27">
        <v>107.94421065434203</v>
      </c>
      <c r="DA30" s="27">
        <v>12.825054731208954</v>
      </c>
      <c r="DB30" s="27">
        <v>32.418888348333745</v>
      </c>
      <c r="DC30" s="27">
        <v>25.080107029919734</v>
      </c>
      <c r="DD30" s="27">
        <v>21.873843347117493</v>
      </c>
      <c r="DE30" s="27">
        <v>6.4837776696667495</v>
      </c>
      <c r="DF30" s="27">
        <v>74.45656774507421</v>
      </c>
      <c r="DG30" s="27">
        <v>10.046292872780347</v>
      </c>
      <c r="DH30" s="27">
        <v>1.6387569934322552</v>
      </c>
      <c r="DI30" s="27">
        <v>26.291362198978355</v>
      </c>
      <c r="DJ30" s="27">
        <v>34.413896862077365</v>
      </c>
      <c r="DK30" s="27">
        <v>32.917640476769655</v>
      </c>
      <c r="DL30" s="27">
        <v>10.545045001216252</v>
      </c>
      <c r="DM30" s="27">
        <v>15.60381658963756</v>
      </c>
      <c r="DN30" s="27">
        <v>13.75130868401849</v>
      </c>
      <c r="DO30" s="27">
        <v>14.036309900267579</v>
      </c>
      <c r="DP30" s="27">
        <v>42.750182437363186</v>
      </c>
      <c r="DQ30" s="27">
        <v>7.4812819265385571</v>
      </c>
      <c r="DR30" s="27">
        <v>17.598825103381177</v>
      </c>
      <c r="DS30" s="27">
        <v>12.468803210897594</v>
      </c>
      <c r="DT30" s="27">
        <v>13.252556555582586</v>
      </c>
      <c r="DU30" s="27">
        <v>8.9062880077839974</v>
      </c>
      <c r="DV30" s="27">
        <v>10.616295305278523</v>
      </c>
      <c r="DW30" s="27">
        <v>33.772644125516912</v>
      </c>
      <c r="DX30" s="27">
        <v>20.947589394307958</v>
      </c>
      <c r="DY30" s="27">
        <v>32.49013865239602</v>
      </c>
      <c r="DZ30" s="27">
        <v>35.411401118949172</v>
      </c>
      <c r="EA30" s="27">
        <v>6.4125273656044772</v>
      </c>
      <c r="EB30" s="27">
        <v>7.8907852318084126</v>
      </c>
      <c r="EC30" s="27">
        <v>8.0369108842493091</v>
      </c>
      <c r="ED30" s="27">
        <v>16.658324378262208</v>
      </c>
      <c r="EE30" s="27">
        <v>14.222896837580597</v>
      </c>
      <c r="EF30" s="27">
        <v>23.23397873810255</v>
      </c>
      <c r="EG30" s="27">
        <v>22.552059026711699</v>
      </c>
      <c r="EH30" s="27">
        <v>18.801500614062022</v>
      </c>
      <c r="EI30" s="27">
        <v>13.005183067239793</v>
      </c>
      <c r="EJ30" s="27">
        <v>20.214048587657352</v>
      </c>
      <c r="EK30" s="27">
        <v>16.073821768498618</v>
      </c>
      <c r="EL30" s="27">
        <v>13.735811329444275</v>
      </c>
      <c r="EM30" s="27">
        <v>21.042093951489104</v>
      </c>
      <c r="EN30" s="27">
        <v>19.045043368130184</v>
      </c>
      <c r="EO30" s="27">
        <v>32.926980350015349</v>
      </c>
      <c r="EP30" s="27">
        <v>33.121814553269886</v>
      </c>
      <c r="EQ30" s="27">
        <v>35.313699339883328</v>
      </c>
      <c r="ER30" s="27">
        <v>12.664223211544368</v>
      </c>
      <c r="ES30" s="27">
        <v>23.623647144611606</v>
      </c>
      <c r="ET30" s="27">
        <v>12.712931762358002</v>
      </c>
      <c r="EU30" s="27">
        <v>11.202966687135403</v>
      </c>
      <c r="EV30" s="27">
        <v>18.119580902671174</v>
      </c>
      <c r="EW30" s="27">
        <v>16.950575683143999</v>
      </c>
      <c r="EX30" s="27">
        <v>8.3778707399447345</v>
      </c>
      <c r="EY30" s="27">
        <v>30.832512665029167</v>
      </c>
      <c r="EZ30" s="27">
        <v>15.538027709548665</v>
      </c>
      <c r="FA30" s="27">
        <v>14.612565244089655</v>
      </c>
      <c r="FB30" s="27">
        <v>15.294484955480506</v>
      </c>
      <c r="FC30" s="27">
        <v>29.030296284924784</v>
      </c>
      <c r="FD30" s="27">
        <v>23.282687288916183</v>
      </c>
      <c r="FE30" s="27">
        <v>20.360174240098253</v>
      </c>
      <c r="FF30" s="27">
        <v>12.566806109917104</v>
      </c>
      <c r="FG30" s="27">
        <v>12.761640313171631</v>
      </c>
      <c r="FH30" s="27">
        <v>18.168289453484803</v>
      </c>
      <c r="FI30" s="27">
        <v>22.600767577525332</v>
      </c>
    </row>
    <row r="31" spans="1:165" x14ac:dyDescent="0.3">
      <c r="A31" s="4" t="s">
        <v>3026</v>
      </c>
      <c r="B31" s="27">
        <v>36.205836171247881</v>
      </c>
      <c r="C31" s="27">
        <v>17.750721235709076</v>
      </c>
      <c r="D31" s="27">
        <v>2.888014169301873</v>
      </c>
      <c r="E31" s="27">
        <v>9.8615117976161546</v>
      </c>
      <c r="F31" s="27">
        <v>9.1571180977864284</v>
      </c>
      <c r="G31" s="27">
        <v>3.1697716492337635</v>
      </c>
      <c r="H31" s="27">
        <v>23.878946424227685</v>
      </c>
      <c r="I31" s="27">
        <v>47.053499148625647</v>
      </c>
      <c r="J31" s="27">
        <v>11.12942045730966</v>
      </c>
      <c r="K31" s="27">
        <v>9.4388755777183189</v>
      </c>
      <c r="L31" s="27">
        <v>27.964429883240093</v>
      </c>
      <c r="M31" s="27">
        <v>18.102918085623941</v>
      </c>
      <c r="N31" s="27">
        <v>3.7332866090975436</v>
      </c>
      <c r="O31" s="27">
        <v>8.7344818778885944</v>
      </c>
      <c r="P31" s="27">
        <v>4.226362198978352</v>
      </c>
      <c r="Q31" s="27">
        <v>8.8753606178545379</v>
      </c>
      <c r="R31" s="27">
        <v>8.8753606178545379</v>
      </c>
      <c r="S31" s="27">
        <v>2.6766960593529561</v>
      </c>
      <c r="T31" s="27">
        <v>3.4515291291656545</v>
      </c>
      <c r="U31" s="27">
        <v>76.285837691559237</v>
      </c>
      <c r="V31" s="27">
        <v>8.1005275480418408</v>
      </c>
      <c r="W31" s="27">
        <v>15.989736986134764</v>
      </c>
      <c r="X31" s="27">
        <v>4.9307558988080773</v>
      </c>
      <c r="Y31" s="27">
        <v>2.8175747993189013</v>
      </c>
      <c r="Z31" s="27">
        <v>20.216099185113112</v>
      </c>
      <c r="AA31" s="27">
        <v>23.878946424227685</v>
      </c>
      <c r="AB31" s="27">
        <v>15.637540136219901</v>
      </c>
      <c r="AC31" s="27">
        <v>10.636344867428852</v>
      </c>
      <c r="AD31" s="27">
        <v>19.652584225249335</v>
      </c>
      <c r="AE31" s="27">
        <v>12.256450377037218</v>
      </c>
      <c r="AF31" s="27">
        <v>35.783199951350042</v>
      </c>
      <c r="AG31" s="27">
        <v>11.904253527122355</v>
      </c>
      <c r="AH31" s="27">
        <v>203.85153673072247</v>
      </c>
      <c r="AI31" s="27">
        <v>95.374906956944812</v>
      </c>
      <c r="AJ31" s="27">
        <v>51.561618827535895</v>
      </c>
      <c r="AK31" s="27">
        <v>15.707979506202873</v>
      </c>
      <c r="AL31" s="27">
        <v>10.072829907565072</v>
      </c>
      <c r="AM31" s="27">
        <v>40.995713330090013</v>
      </c>
      <c r="AN31" s="27">
        <v>19.652584225249335</v>
      </c>
      <c r="AO31" s="27">
        <v>17.04632753587935</v>
      </c>
      <c r="AP31" s="27">
        <v>9.9319511675991254</v>
      </c>
      <c r="AQ31" s="27">
        <v>18.666433045487718</v>
      </c>
      <c r="AR31" s="27">
        <v>6.2691039284845553</v>
      </c>
      <c r="AS31" s="27">
        <v>19.229948005351499</v>
      </c>
      <c r="AT31" s="27">
        <v>10.988541717343715</v>
      </c>
      <c r="AU31" s="27">
        <v>39.023410970566779</v>
      </c>
      <c r="AV31" s="27">
        <v>6.3395432984675271</v>
      </c>
      <c r="AW31" s="27">
        <v>28.95058106300171</v>
      </c>
      <c r="AX31" s="27">
        <v>16.764570055947463</v>
      </c>
      <c r="AY31" s="27">
        <v>20.427417295062035</v>
      </c>
      <c r="AZ31" s="27">
        <v>16.271494466066656</v>
      </c>
      <c r="BA31" s="27">
        <v>18.102918085623941</v>
      </c>
      <c r="BB31" s="27">
        <v>52.970406227195348</v>
      </c>
      <c r="BC31" s="27">
        <v>36.417154281196801</v>
      </c>
      <c r="BD31" s="27">
        <v>278.37639017270743</v>
      </c>
      <c r="BE31" s="27">
        <v>8.2414062880077843</v>
      </c>
      <c r="BF31" s="27">
        <v>56.069738506446129</v>
      </c>
      <c r="BG31" s="27">
        <v>9.4388755777183189</v>
      </c>
      <c r="BH31" s="27">
        <v>8.0300881780588682</v>
      </c>
      <c r="BI31" s="27">
        <v>10.143269277548043</v>
      </c>
      <c r="BJ31" s="27">
        <v>38.248577900754078</v>
      </c>
      <c r="BK31" s="27">
        <v>6.3395432984675271</v>
      </c>
      <c r="BL31" s="27">
        <v>16.060176356117736</v>
      </c>
      <c r="BM31" s="27">
        <v>10.706784237411824</v>
      </c>
      <c r="BN31" s="27">
        <v>18.173357455606915</v>
      </c>
      <c r="BO31" s="27">
        <v>382.48577900754083</v>
      </c>
      <c r="BP31" s="27">
        <v>50.434588907808326</v>
      </c>
      <c r="BQ31" s="27">
        <v>5.3533921187059121</v>
      </c>
      <c r="BR31" s="27">
        <v>23.667628314278769</v>
      </c>
      <c r="BS31" s="27">
        <v>6.6917401483823902</v>
      </c>
      <c r="BT31" s="27">
        <v>20.779614144976897</v>
      </c>
      <c r="BU31" s="27">
        <v>7.1848157382631976</v>
      </c>
      <c r="BV31" s="27">
        <v>35.36056373145221</v>
      </c>
      <c r="BW31" s="27">
        <v>11.481617307224523</v>
      </c>
      <c r="BX31" s="27">
        <v>8.3118456579907587</v>
      </c>
      <c r="BY31" s="27">
        <v>16.694130685964488</v>
      </c>
      <c r="BZ31" s="27">
        <v>82.343623510094901</v>
      </c>
      <c r="CA31" s="27">
        <v>9.7910724276331802</v>
      </c>
      <c r="CB31" s="27">
        <v>40.573077110192173</v>
      </c>
      <c r="CC31" s="27">
        <v>14.721828326441257</v>
      </c>
      <c r="CD31" s="27">
        <v>49.589316468012662</v>
      </c>
      <c r="CE31" s="27">
        <v>18.384675565555831</v>
      </c>
      <c r="CF31" s="27">
        <v>10.284148017513989</v>
      </c>
      <c r="CG31" s="27">
        <v>14.158313366577479</v>
      </c>
      <c r="CH31" s="27">
        <v>17.962039345657992</v>
      </c>
      <c r="CI31" s="27">
        <v>3.2402110192167362</v>
      </c>
      <c r="CJ31" s="27">
        <v>25.569491303819028</v>
      </c>
      <c r="CK31" s="27">
        <v>3.1697716492337635</v>
      </c>
      <c r="CL31" s="27">
        <v>8.2414062880077843</v>
      </c>
      <c r="CM31" s="27">
        <v>17.962039345657992</v>
      </c>
      <c r="CN31" s="27">
        <v>10.002390537582098</v>
      </c>
      <c r="CO31" s="27">
        <v>0</v>
      </c>
      <c r="CP31" s="27">
        <v>33.529140111894925</v>
      </c>
      <c r="CQ31" s="27">
        <v>0</v>
      </c>
      <c r="CR31" s="27">
        <v>26.485203113597674</v>
      </c>
      <c r="CS31" s="27">
        <v>15.144464546339094</v>
      </c>
      <c r="CT31" s="27">
        <v>36.839790501094633</v>
      </c>
      <c r="CU31" s="27">
        <v>24.865097603989302</v>
      </c>
      <c r="CV31" s="27">
        <v>13.172162186815862</v>
      </c>
      <c r="CW31" s="27">
        <v>10.072829907565072</v>
      </c>
      <c r="CX31" s="27">
        <v>0.21131810994891759</v>
      </c>
      <c r="CY31" s="27">
        <v>15.778418876185844</v>
      </c>
      <c r="CZ31" s="27">
        <v>106.71564552420338</v>
      </c>
      <c r="DA31" s="27">
        <v>12.679086596935054</v>
      </c>
      <c r="DB31" s="27">
        <v>32.049913342252502</v>
      </c>
      <c r="DC31" s="27">
        <v>24.794658234006331</v>
      </c>
      <c r="DD31" s="27">
        <v>21.624886584772565</v>
      </c>
      <c r="DE31" s="27">
        <v>6.4099826684504997</v>
      </c>
      <c r="DF31" s="27">
        <v>73.609141632206288</v>
      </c>
      <c r="DG31" s="27">
        <v>9.9319511675991254</v>
      </c>
      <c r="DH31" s="27">
        <v>1.6201055096083681</v>
      </c>
      <c r="DI31" s="27">
        <v>25.99212752371686</v>
      </c>
      <c r="DJ31" s="27">
        <v>34.022215701775728</v>
      </c>
      <c r="DK31" s="27">
        <v>32.542988932133312</v>
      </c>
      <c r="DL31" s="27">
        <v>10.425026757479934</v>
      </c>
      <c r="DM31" s="27">
        <v>15.426222026270983</v>
      </c>
      <c r="DN31" s="27">
        <v>13.594798406713696</v>
      </c>
      <c r="DO31" s="27">
        <v>13.876555886645589</v>
      </c>
      <c r="DP31" s="27">
        <v>42.263621989783516</v>
      </c>
      <c r="DQ31" s="27">
        <v>7.3961338482121155</v>
      </c>
      <c r="DR31" s="27">
        <v>17.398524385794214</v>
      </c>
      <c r="DS31" s="27">
        <v>12.326889747020191</v>
      </c>
      <c r="DT31" s="27">
        <v>13.10172281683289</v>
      </c>
      <c r="DU31" s="27">
        <v>8.804921247871567</v>
      </c>
      <c r="DV31" s="27">
        <v>10.495466127462906</v>
      </c>
      <c r="DW31" s="27">
        <v>33.388261371928976</v>
      </c>
      <c r="DX31" s="27">
        <v>20.709174774993922</v>
      </c>
      <c r="DY31" s="27">
        <v>32.120352712235473</v>
      </c>
      <c r="DZ31" s="27">
        <v>35.008366881537349</v>
      </c>
      <c r="EA31" s="27">
        <v>6.3395432984675271</v>
      </c>
      <c r="EB31" s="27">
        <v>7.8693725821307954</v>
      </c>
      <c r="EC31" s="27">
        <v>8.015101704022106</v>
      </c>
      <c r="ED31" s="27">
        <v>16.613119895609458</v>
      </c>
      <c r="EE31" s="27">
        <v>14.184301197420941</v>
      </c>
      <c r="EF31" s="27">
        <v>23.170930380718456</v>
      </c>
      <c r="EG31" s="27">
        <v>22.490861145225669</v>
      </c>
      <c r="EH31" s="27">
        <v>18.750480350015355</v>
      </c>
      <c r="EI31" s="27">
        <v>12.969891848326682</v>
      </c>
      <c r="EJ31" s="27">
        <v>20.159195194964692</v>
      </c>
      <c r="EK31" s="27">
        <v>16.030203408044212</v>
      </c>
      <c r="EL31" s="27">
        <v>13.698537457783237</v>
      </c>
      <c r="EM31" s="27">
        <v>20.98499355234879</v>
      </c>
      <c r="EN31" s="27">
        <v>18.993362219834207</v>
      </c>
      <c r="EO31" s="27">
        <v>32.837628799508749</v>
      </c>
      <c r="EP31" s="27">
        <v>33.031934295363833</v>
      </c>
      <c r="EQ31" s="27">
        <v>35.217871123733502</v>
      </c>
      <c r="ER31" s="27">
        <v>12.62985723058029</v>
      </c>
      <c r="ES31" s="27">
        <v>23.559541372428619</v>
      </c>
      <c r="ET31" s="27">
        <v>12.678433604544063</v>
      </c>
      <c r="EU31" s="27">
        <v>11.172566011667181</v>
      </c>
      <c r="EV31" s="27">
        <v>18.070411114522571</v>
      </c>
      <c r="EW31" s="27">
        <v>16.904578139392079</v>
      </c>
      <c r="EX31" s="27">
        <v>8.3551363217684997</v>
      </c>
      <c r="EY31" s="27">
        <v>30.748844719066629</v>
      </c>
      <c r="EZ31" s="27">
        <v>15.49586329444274</v>
      </c>
      <c r="FA31" s="27">
        <v>14.572912189131104</v>
      </c>
      <c r="FB31" s="27">
        <v>15.25298142462389</v>
      </c>
      <c r="FC31" s="27">
        <v>28.951518882407129</v>
      </c>
      <c r="FD31" s="27">
        <v>23.219506754682225</v>
      </c>
      <c r="FE31" s="27">
        <v>20.304924316856006</v>
      </c>
      <c r="FF31" s="27">
        <v>12.53270448265275</v>
      </c>
      <c r="FG31" s="27">
        <v>12.72700997850783</v>
      </c>
      <c r="FH31" s="27">
        <v>18.11898748848634</v>
      </c>
      <c r="FI31" s="27">
        <v>22.539437519189441</v>
      </c>
    </row>
    <row r="32" spans="1:165" x14ac:dyDescent="0.3">
      <c r="A32" s="4" t="s">
        <v>3027</v>
      </c>
      <c r="B32" s="27">
        <v>36.375617043703897</v>
      </c>
      <c r="C32" s="27">
        <v>17.833960107029924</v>
      </c>
      <c r="D32" s="27">
        <v>2.9015570015405823</v>
      </c>
      <c r="E32" s="27">
        <v>9.9077556150166242</v>
      </c>
      <c r="F32" s="27">
        <v>9.2000587853725797</v>
      </c>
      <c r="G32" s="27">
        <v>3.1846357333982005</v>
      </c>
      <c r="H32" s="27">
        <v>23.990922524933108</v>
      </c>
      <c r="I32" s="27">
        <v>47.27414822022218</v>
      </c>
      <c r="J32" s="27">
        <v>11.181609908375904</v>
      </c>
      <c r="K32" s="27">
        <v>9.4831375172301993</v>
      </c>
      <c r="L32" s="27">
        <v>28.095564136868571</v>
      </c>
      <c r="M32" s="27">
        <v>18.187808521851949</v>
      </c>
      <c r="N32" s="27">
        <v>3.7507931971134361</v>
      </c>
      <c r="O32" s="27">
        <v>8.775440687586153</v>
      </c>
      <c r="P32" s="27">
        <v>4.2461809778642676</v>
      </c>
      <c r="Q32" s="27">
        <v>8.9169800535149619</v>
      </c>
      <c r="R32" s="27">
        <v>8.9169800535149619</v>
      </c>
      <c r="S32" s="27">
        <v>2.6892479526473694</v>
      </c>
      <c r="T32" s="27">
        <v>3.4677144652558192</v>
      </c>
      <c r="U32" s="27">
        <v>76.643566650450026</v>
      </c>
      <c r="V32" s="27">
        <v>8.1385135409065121</v>
      </c>
      <c r="W32" s="27">
        <v>16.064718032919814</v>
      </c>
      <c r="X32" s="27">
        <v>4.9538778075083121</v>
      </c>
      <c r="Y32" s="27">
        <v>2.8307873185761787</v>
      </c>
      <c r="Z32" s="27">
        <v>20.310899010784077</v>
      </c>
      <c r="AA32" s="27">
        <v>23.990922524933108</v>
      </c>
      <c r="AB32" s="27">
        <v>15.710869618097789</v>
      </c>
      <c r="AC32" s="27">
        <v>10.686222127625074</v>
      </c>
      <c r="AD32" s="27">
        <v>19.744741547068845</v>
      </c>
      <c r="AE32" s="27">
        <v>12.313924835806375</v>
      </c>
      <c r="AF32" s="27">
        <v>35.950998945917462</v>
      </c>
      <c r="AG32" s="27">
        <v>11.960076420984352</v>
      </c>
      <c r="AH32" s="27">
        <v>204.8074624989865</v>
      </c>
      <c r="AI32" s="27">
        <v>95.822150733803653</v>
      </c>
      <c r="AJ32" s="27">
        <v>51.803407929944065</v>
      </c>
      <c r="AK32" s="27">
        <v>15.781639301062194</v>
      </c>
      <c r="AL32" s="27">
        <v>10.120064663909838</v>
      </c>
      <c r="AM32" s="27">
        <v>41.187955485283396</v>
      </c>
      <c r="AN32" s="27">
        <v>19.744741547068845</v>
      </c>
      <c r="AO32" s="27">
        <v>17.126263277385878</v>
      </c>
      <c r="AP32" s="27">
        <v>9.9785252979810295</v>
      </c>
      <c r="AQ32" s="27">
        <v>18.753965985567181</v>
      </c>
      <c r="AR32" s="27">
        <v>6.2985017838319974</v>
      </c>
      <c r="AS32" s="27">
        <v>19.320123449282416</v>
      </c>
      <c r="AT32" s="27">
        <v>11.040070542447095</v>
      </c>
      <c r="AU32" s="27">
        <v>39.206404362280068</v>
      </c>
      <c r="AV32" s="27">
        <v>6.369271466796401</v>
      </c>
      <c r="AW32" s="27">
        <v>29.086339698370235</v>
      </c>
      <c r="AX32" s="27">
        <v>16.843184545528263</v>
      </c>
      <c r="AY32" s="27">
        <v>20.523208059677295</v>
      </c>
      <c r="AZ32" s="27">
        <v>16.347796764777431</v>
      </c>
      <c r="BA32" s="27">
        <v>18.187808521851949</v>
      </c>
      <c r="BB32" s="27">
        <v>53.218801589232157</v>
      </c>
      <c r="BC32" s="27">
        <v>36.587926092597108</v>
      </c>
      <c r="BD32" s="27">
        <v>279.68178707532644</v>
      </c>
      <c r="BE32" s="27">
        <v>8.280052906835321</v>
      </c>
      <c r="BF32" s="27">
        <v>56.332667639665942</v>
      </c>
      <c r="BG32" s="27">
        <v>9.4831375172301993</v>
      </c>
      <c r="BH32" s="27">
        <v>8.0677438579421086</v>
      </c>
      <c r="BI32" s="27">
        <v>10.190834346874242</v>
      </c>
      <c r="BJ32" s="27">
        <v>38.427937849671615</v>
      </c>
      <c r="BK32" s="27">
        <v>6.369271466796401</v>
      </c>
      <c r="BL32" s="27">
        <v>16.135487715884217</v>
      </c>
      <c r="BM32" s="27">
        <v>10.756991810589478</v>
      </c>
      <c r="BN32" s="27">
        <v>18.258578204816352</v>
      </c>
      <c r="BO32" s="27">
        <v>384.27937849671622</v>
      </c>
      <c r="BP32" s="27">
        <v>50.671093002513587</v>
      </c>
      <c r="BQ32" s="27">
        <v>5.3784959052947388</v>
      </c>
      <c r="BR32" s="27">
        <v>23.778613476039901</v>
      </c>
      <c r="BS32" s="27">
        <v>6.7231198816184232</v>
      </c>
      <c r="BT32" s="27">
        <v>20.877056474499316</v>
      </c>
      <c r="BU32" s="27">
        <v>7.2185076623692552</v>
      </c>
      <c r="BV32" s="27">
        <v>35.526380848131041</v>
      </c>
      <c r="BW32" s="27">
        <v>11.535458323197927</v>
      </c>
      <c r="BX32" s="27">
        <v>8.3508225897997264</v>
      </c>
      <c r="BY32" s="27">
        <v>16.772414862563856</v>
      </c>
      <c r="BZ32" s="27">
        <v>82.729759385388817</v>
      </c>
      <c r="CA32" s="27">
        <v>9.8369859320522188</v>
      </c>
      <c r="CB32" s="27">
        <v>40.763337387496968</v>
      </c>
      <c r="CC32" s="27">
        <v>14.790863739560532</v>
      </c>
      <c r="CD32" s="27">
        <v>49.821856806940744</v>
      </c>
      <c r="CE32" s="27">
        <v>18.470887253709567</v>
      </c>
      <c r="CF32" s="27">
        <v>10.332373712803051</v>
      </c>
      <c r="CG32" s="27">
        <v>14.224706275845296</v>
      </c>
      <c r="CH32" s="27">
        <v>18.046269155923135</v>
      </c>
      <c r="CI32" s="27">
        <v>3.2554054163626049</v>
      </c>
      <c r="CJ32" s="27">
        <v>25.689394916078818</v>
      </c>
      <c r="CK32" s="27">
        <v>3.1846357333982005</v>
      </c>
      <c r="CL32" s="27">
        <v>8.280052906835321</v>
      </c>
      <c r="CM32" s="27">
        <v>18.046269155923135</v>
      </c>
      <c r="CN32" s="27">
        <v>10.049294980945433</v>
      </c>
      <c r="CO32" s="27">
        <v>0</v>
      </c>
      <c r="CP32" s="27">
        <v>33.686369091056527</v>
      </c>
      <c r="CQ32" s="27">
        <v>0</v>
      </c>
      <c r="CR32" s="27">
        <v>26.609400794616079</v>
      </c>
      <c r="CS32" s="27">
        <v>15.21548183734696</v>
      </c>
      <c r="CT32" s="27">
        <v>37.012544190383537</v>
      </c>
      <c r="CU32" s="27">
        <v>24.981698086434772</v>
      </c>
      <c r="CV32" s="27">
        <v>13.233930714343634</v>
      </c>
      <c r="CW32" s="27">
        <v>10.120064663909838</v>
      </c>
      <c r="CX32" s="27">
        <v>0.21230904889321339</v>
      </c>
      <c r="CY32" s="27">
        <v>15.852408984026596</v>
      </c>
      <c r="CZ32" s="27">
        <v>107.21606969107275</v>
      </c>
      <c r="DA32" s="27">
        <v>12.738542933592802</v>
      </c>
      <c r="DB32" s="27">
        <v>32.200205748804031</v>
      </c>
      <c r="DC32" s="27">
        <v>24.910928403470372</v>
      </c>
      <c r="DD32" s="27">
        <v>21.726292670072169</v>
      </c>
      <c r="DE32" s="27">
        <v>6.4400411497608054</v>
      </c>
      <c r="DF32" s="27">
        <v>73.954318697802663</v>
      </c>
      <c r="DG32" s="27">
        <v>9.9785252979810295</v>
      </c>
      <c r="DH32" s="27">
        <v>1.6277027081813025</v>
      </c>
      <c r="DI32" s="27">
        <v>26.114013013865243</v>
      </c>
      <c r="DJ32" s="27">
        <v>34.181756871807352</v>
      </c>
      <c r="DK32" s="27">
        <v>32.695593529554863</v>
      </c>
      <c r="DL32" s="27">
        <v>10.47391307873186</v>
      </c>
      <c r="DM32" s="27">
        <v>15.498560569204576</v>
      </c>
      <c r="DN32" s="27">
        <v>13.658548812130061</v>
      </c>
      <c r="DO32" s="27">
        <v>13.941627543987678</v>
      </c>
      <c r="DP32" s="27">
        <v>42.461809778642682</v>
      </c>
      <c r="DQ32" s="27">
        <v>7.4308167112624686</v>
      </c>
      <c r="DR32" s="27">
        <v>17.480111692207903</v>
      </c>
      <c r="DS32" s="27">
        <v>12.384694518770781</v>
      </c>
      <c r="DT32" s="27">
        <v>13.16316103137923</v>
      </c>
      <c r="DU32" s="27">
        <v>8.8462103705505584</v>
      </c>
      <c r="DV32" s="27">
        <v>10.544682761696265</v>
      </c>
      <c r="DW32" s="27">
        <v>33.544829725127713</v>
      </c>
      <c r="DX32" s="27">
        <v>20.806286791534909</v>
      </c>
      <c r="DY32" s="27">
        <v>32.270975431768434</v>
      </c>
      <c r="DZ32" s="27">
        <v>35.172532433309016</v>
      </c>
      <c r="EA32" s="27">
        <v>6.369271466796401</v>
      </c>
      <c r="EB32" s="27">
        <v>7.880315167331899</v>
      </c>
      <c r="EC32" s="27">
        <v>8.0262469296898971</v>
      </c>
      <c r="ED32" s="27">
        <v>16.63622090881179</v>
      </c>
      <c r="EE32" s="27">
        <v>14.204024869511819</v>
      </c>
      <c r="EF32" s="27">
        <v>23.203150214921706</v>
      </c>
      <c r="EG32" s="27">
        <v>22.522135323917713</v>
      </c>
      <c r="EH32" s="27">
        <v>18.776553423395761</v>
      </c>
      <c r="EI32" s="27">
        <v>12.987926849861836</v>
      </c>
      <c r="EJ32" s="27">
        <v>20.187227126189743</v>
      </c>
      <c r="EK32" s="27">
        <v>16.052493859379794</v>
      </c>
      <c r="EL32" s="27">
        <v>13.717585661651826</v>
      </c>
      <c r="EM32" s="27">
        <v>21.014173779551733</v>
      </c>
      <c r="EN32" s="27">
        <v>19.019773027325762</v>
      </c>
      <c r="EO32" s="27">
        <v>32.883290451335583</v>
      </c>
      <c r="EP32" s="27">
        <v>33.077866134479578</v>
      </c>
      <c r="EQ32" s="27">
        <v>35.266842569849551</v>
      </c>
      <c r="ER32" s="27">
        <v>12.647419404359839</v>
      </c>
      <c r="ES32" s="27">
        <v>23.5923015812097</v>
      </c>
      <c r="ET32" s="27">
        <v>12.696063325145841</v>
      </c>
      <c r="EU32" s="27">
        <v>11.188101780779858</v>
      </c>
      <c r="EV32" s="27">
        <v>18.095538532391771</v>
      </c>
      <c r="EW32" s="27">
        <v>16.928084433527786</v>
      </c>
      <c r="EX32" s="27">
        <v>8.3667543751918938</v>
      </c>
      <c r="EY32" s="27">
        <v>30.791601857537607</v>
      </c>
      <c r="EZ32" s="27">
        <v>15.517410730733802</v>
      </c>
      <c r="FA32" s="27">
        <v>14.593176235799815</v>
      </c>
      <c r="FB32" s="27">
        <v>15.274191126803807</v>
      </c>
      <c r="FC32" s="27">
        <v>28.991776788455635</v>
      </c>
      <c r="FD32" s="27">
        <v>23.251794135707705</v>
      </c>
      <c r="FE32" s="27">
        <v>20.333158888547743</v>
      </c>
      <c r="FF32" s="27">
        <v>12.550131562787842</v>
      </c>
      <c r="FG32" s="27">
        <v>12.744707245931837</v>
      </c>
      <c r="FH32" s="27">
        <v>18.14418245317777</v>
      </c>
      <c r="FI32" s="27">
        <v>22.570779244703711</v>
      </c>
    </row>
    <row r="33" spans="1:165" x14ac:dyDescent="0.3">
      <c r="A33" s="4" t="s">
        <v>3028</v>
      </c>
      <c r="B33" s="27">
        <v>36.429432214384185</v>
      </c>
      <c r="C33" s="27">
        <v>17.860344198491855</v>
      </c>
      <c r="D33" s="27">
        <v>2.9058496513419283</v>
      </c>
      <c r="E33" s="27">
        <v>9.9224134436065867</v>
      </c>
      <c r="F33" s="27">
        <v>9.2136696262061157</v>
      </c>
      <c r="G33" s="27">
        <v>3.1893471783021168</v>
      </c>
      <c r="H33" s="27">
        <v>24.026415409875945</v>
      </c>
      <c r="I33" s="27">
        <v>47.344087002351422</v>
      </c>
      <c r="J33" s="27">
        <v>11.198152314927434</v>
      </c>
      <c r="K33" s="27">
        <v>9.4971671531663056</v>
      </c>
      <c r="L33" s="27">
        <v>28.137129550798676</v>
      </c>
      <c r="M33" s="27">
        <v>18.214716107192093</v>
      </c>
      <c r="N33" s="27">
        <v>3.7563422322224929</v>
      </c>
      <c r="O33" s="27">
        <v>8.7884233357658346</v>
      </c>
      <c r="P33" s="27">
        <v>4.2524629044028224</v>
      </c>
      <c r="Q33" s="27">
        <v>8.9301720992459277</v>
      </c>
      <c r="R33" s="27">
        <v>8.9301720992459277</v>
      </c>
      <c r="S33" s="27">
        <v>2.6932265061217877</v>
      </c>
      <c r="T33" s="27">
        <v>3.4728447052623057</v>
      </c>
      <c r="U33" s="27">
        <v>76.756955424470945</v>
      </c>
      <c r="V33" s="27">
        <v>8.150553900105411</v>
      </c>
      <c r="W33" s="27">
        <v>16.08848465499068</v>
      </c>
      <c r="X33" s="27">
        <v>4.9612067218032934</v>
      </c>
      <c r="Y33" s="27">
        <v>2.8349752696018817</v>
      </c>
      <c r="Z33" s="27">
        <v>20.340947559393499</v>
      </c>
      <c r="AA33" s="27">
        <v>24.026415409875945</v>
      </c>
      <c r="AB33" s="27">
        <v>15.734112746290442</v>
      </c>
      <c r="AC33" s="27">
        <v>10.702031642747103</v>
      </c>
      <c r="AD33" s="27">
        <v>19.773952505473126</v>
      </c>
      <c r="AE33" s="27">
        <v>12.332142422768184</v>
      </c>
      <c r="AF33" s="27">
        <v>36.004185923943893</v>
      </c>
      <c r="AG33" s="27">
        <v>11.977770514067949</v>
      </c>
      <c r="AH33" s="27">
        <v>205.11046075569612</v>
      </c>
      <c r="AI33" s="27">
        <v>95.963912876023699</v>
      </c>
      <c r="AJ33" s="27">
        <v>51.880047433714438</v>
      </c>
      <c r="AK33" s="27">
        <v>15.80498712803049</v>
      </c>
      <c r="AL33" s="27">
        <v>10.135036588826727</v>
      </c>
      <c r="AM33" s="27">
        <v>41.248890172707384</v>
      </c>
      <c r="AN33" s="27">
        <v>19.773952505473126</v>
      </c>
      <c r="AO33" s="27">
        <v>17.151600381091384</v>
      </c>
      <c r="AP33" s="27">
        <v>9.9932878253466324</v>
      </c>
      <c r="AQ33" s="27">
        <v>18.781711161112465</v>
      </c>
      <c r="AR33" s="27">
        <v>6.307819974864187</v>
      </c>
      <c r="AS33" s="27">
        <v>19.348706215032845</v>
      </c>
      <c r="AT33" s="27">
        <v>11.056403551447339</v>
      </c>
      <c r="AU33" s="27">
        <v>39.264407483986062</v>
      </c>
      <c r="AV33" s="27">
        <v>6.3786943566042336</v>
      </c>
      <c r="AW33" s="27">
        <v>29.129370895159337</v>
      </c>
      <c r="AX33" s="27">
        <v>16.868102854131198</v>
      </c>
      <c r="AY33" s="27">
        <v>20.553570704613644</v>
      </c>
      <c r="AZ33" s="27">
        <v>16.37198218195087</v>
      </c>
      <c r="BA33" s="27">
        <v>18.214716107192093</v>
      </c>
      <c r="BB33" s="27">
        <v>53.29753506851538</v>
      </c>
      <c r="BC33" s="27">
        <v>36.642055359604321</v>
      </c>
      <c r="BD33" s="27">
        <v>280.09555663666595</v>
      </c>
      <c r="BE33" s="27">
        <v>8.2923026635855024</v>
      </c>
      <c r="BF33" s="27">
        <v>56.416007865077439</v>
      </c>
      <c r="BG33" s="27">
        <v>9.4971671531663056</v>
      </c>
      <c r="BH33" s="27">
        <v>8.0796795183653636</v>
      </c>
      <c r="BI33" s="27">
        <v>10.205910970566775</v>
      </c>
      <c r="BJ33" s="27">
        <v>38.48478928484554</v>
      </c>
      <c r="BK33" s="27">
        <v>6.3786943566042336</v>
      </c>
      <c r="BL33" s="27">
        <v>16.159359036730727</v>
      </c>
      <c r="BM33" s="27">
        <v>10.772906024487151</v>
      </c>
      <c r="BN33" s="27">
        <v>18.28559048893214</v>
      </c>
      <c r="BO33" s="27">
        <v>384.84789284845544</v>
      </c>
      <c r="BP33" s="27">
        <v>50.746057325873679</v>
      </c>
      <c r="BQ33" s="27">
        <v>5.3864530122435754</v>
      </c>
      <c r="BR33" s="27">
        <v>23.81379226465581</v>
      </c>
      <c r="BS33" s="27">
        <v>6.7330662653044691</v>
      </c>
      <c r="BT33" s="27">
        <v>20.907942613313878</v>
      </c>
      <c r="BU33" s="27">
        <v>7.2291869374847986</v>
      </c>
      <c r="BV33" s="27">
        <v>35.578939633503616</v>
      </c>
      <c r="BW33" s="27">
        <v>11.552524223627669</v>
      </c>
      <c r="BX33" s="27">
        <v>8.3631770453255516</v>
      </c>
      <c r="BY33" s="27">
        <v>16.797228472391151</v>
      </c>
      <c r="BZ33" s="27">
        <v>82.852152254114998</v>
      </c>
      <c r="CA33" s="27">
        <v>9.8515390618665393</v>
      </c>
      <c r="CB33" s="27">
        <v>40.823643882267099</v>
      </c>
      <c r="CC33" s="27">
        <v>14.812745783669831</v>
      </c>
      <c r="CD33" s="27">
        <v>49.895564744993123</v>
      </c>
      <c r="CE33" s="27">
        <v>18.498213634152279</v>
      </c>
      <c r="CF33" s="27">
        <v>10.347659734046868</v>
      </c>
      <c r="CG33" s="27">
        <v>14.245750729749457</v>
      </c>
      <c r="CH33" s="27">
        <v>18.072967343711994</v>
      </c>
      <c r="CI33" s="27">
        <v>3.2602215600421638</v>
      </c>
      <c r="CJ33" s="27">
        <v>25.727400571637077</v>
      </c>
      <c r="CK33" s="27">
        <v>3.1893471783021168</v>
      </c>
      <c r="CL33" s="27">
        <v>8.2923026635855024</v>
      </c>
      <c r="CM33" s="27">
        <v>18.072967343711994</v>
      </c>
      <c r="CN33" s="27">
        <v>10.06416220708668</v>
      </c>
      <c r="CO33" s="27">
        <v>0</v>
      </c>
      <c r="CP33" s="27">
        <v>33.736205708262396</v>
      </c>
      <c r="CQ33" s="27">
        <v>0</v>
      </c>
      <c r="CR33" s="27">
        <v>26.64876753425769</v>
      </c>
      <c r="CS33" s="27">
        <v>15.237992074110116</v>
      </c>
      <c r="CT33" s="27">
        <v>37.067301650044605</v>
      </c>
      <c r="CU33" s="27">
        <v>25.018656754236606</v>
      </c>
      <c r="CV33" s="27">
        <v>13.253509385388798</v>
      </c>
      <c r="CW33" s="27">
        <v>10.135036588826727</v>
      </c>
      <c r="CX33" s="27">
        <v>0.21262314522014114</v>
      </c>
      <c r="CY33" s="27">
        <v>15.875861509770536</v>
      </c>
      <c r="CZ33" s="27">
        <v>107.37468833617126</v>
      </c>
      <c r="DA33" s="27">
        <v>12.757388713208467</v>
      </c>
      <c r="DB33" s="27">
        <v>32.247843691721407</v>
      </c>
      <c r="DC33" s="27">
        <v>24.947782372496562</v>
      </c>
      <c r="DD33" s="27">
        <v>21.75843519419444</v>
      </c>
      <c r="DE33" s="27">
        <v>6.449568738344281</v>
      </c>
      <c r="DF33" s="27">
        <v>74.06372891834917</v>
      </c>
      <c r="DG33" s="27">
        <v>9.9932878253466324</v>
      </c>
      <c r="DH33" s="27">
        <v>1.6301107800210819</v>
      </c>
      <c r="DI33" s="27">
        <v>26.152646862077358</v>
      </c>
      <c r="DJ33" s="27">
        <v>34.232326380442721</v>
      </c>
      <c r="DK33" s="27">
        <v>32.743964363901739</v>
      </c>
      <c r="DL33" s="27">
        <v>10.489408497526963</v>
      </c>
      <c r="DM33" s="27">
        <v>15.521489601070302</v>
      </c>
      <c r="DN33" s="27">
        <v>13.678755675829079</v>
      </c>
      <c r="DO33" s="27">
        <v>13.962253202789269</v>
      </c>
      <c r="DP33" s="27">
        <v>42.524629044028231</v>
      </c>
      <c r="DQ33" s="27">
        <v>7.4418100827049392</v>
      </c>
      <c r="DR33" s="27">
        <v>17.505972289791622</v>
      </c>
      <c r="DS33" s="27">
        <v>12.403016804508232</v>
      </c>
      <c r="DT33" s="27">
        <v>13.18263500364875</v>
      </c>
      <c r="DU33" s="27">
        <v>8.8592977175058802</v>
      </c>
      <c r="DV33" s="27">
        <v>10.560282879267008</v>
      </c>
      <c r="DW33" s="27">
        <v>33.594456944782301</v>
      </c>
      <c r="DX33" s="27">
        <v>20.837068231573831</v>
      </c>
      <c r="DY33" s="27">
        <v>32.318718073461454</v>
      </c>
      <c r="DZ33" s="27">
        <v>35.224567724803379</v>
      </c>
      <c r="EA33" s="27">
        <v>6.3786943566042336</v>
      </c>
      <c r="EB33" s="27">
        <v>7.8501608842493082</v>
      </c>
      <c r="EC33" s="27">
        <v>7.9955342339576294</v>
      </c>
      <c r="ED33" s="27">
        <v>16.572561866748543</v>
      </c>
      <c r="EE33" s="27">
        <v>14.1496727049432</v>
      </c>
      <c r="EF33" s="27">
        <v>23.114362603622965</v>
      </c>
      <c r="EG33" s="27">
        <v>22.435953638317471</v>
      </c>
      <c r="EH33" s="27">
        <v>18.704704329137243</v>
      </c>
      <c r="EI33" s="27">
        <v>12.938228124040528</v>
      </c>
      <c r="EJ33" s="27">
        <v>20.10998004298434</v>
      </c>
      <c r="EK33" s="27">
        <v>15.991068467915259</v>
      </c>
      <c r="EL33" s="27">
        <v>13.665094872582131</v>
      </c>
      <c r="EM33" s="27">
        <v>20.933762357998159</v>
      </c>
      <c r="EN33" s="27">
        <v>18.946993245317778</v>
      </c>
      <c r="EO33" s="27">
        <v>32.757461467608223</v>
      </c>
      <c r="EP33" s="27">
        <v>32.951292600552655</v>
      </c>
      <c r="EQ33" s="27">
        <v>35.131892846177465</v>
      </c>
      <c r="ER33" s="27">
        <v>12.599023641387781</v>
      </c>
      <c r="ES33" s="27">
        <v>23.502024869511821</v>
      </c>
      <c r="ET33" s="27">
        <v>12.647481424623889</v>
      </c>
      <c r="EU33" s="27">
        <v>11.145290144304576</v>
      </c>
      <c r="EV33" s="27">
        <v>18.02629536383175</v>
      </c>
      <c r="EW33" s="27">
        <v>16.86330856616518</v>
      </c>
      <c r="EX33" s="27">
        <v>8.3347387166103779</v>
      </c>
      <c r="EY33" s="27">
        <v>30.673776788455633</v>
      </c>
      <c r="EZ33" s="27">
        <v>15.458032852318084</v>
      </c>
      <c r="FA33" s="27">
        <v>14.537334970832054</v>
      </c>
      <c r="FB33" s="27">
        <v>15.215743936137549</v>
      </c>
      <c r="FC33" s="27">
        <v>28.880838808719684</v>
      </c>
      <c r="FD33" s="27">
        <v>23.162820386859071</v>
      </c>
      <c r="FE33" s="27">
        <v>20.255353392692662</v>
      </c>
      <c r="FF33" s="27">
        <v>12.502108074915569</v>
      </c>
      <c r="FG33" s="27">
        <v>12.695939207859993</v>
      </c>
      <c r="FH33" s="27">
        <v>18.074753147067852</v>
      </c>
      <c r="FI33" s="27">
        <v>22.484411421553578</v>
      </c>
    </row>
    <row r="34" spans="1:165" x14ac:dyDescent="0.3">
      <c r="A34" s="4" t="s">
        <v>3029</v>
      </c>
      <c r="B34" s="27">
        <v>36.787696424227697</v>
      </c>
      <c r="C34" s="27">
        <v>18.035991243006571</v>
      </c>
      <c r="D34" s="27">
        <v>2.9344271466796403</v>
      </c>
      <c r="E34" s="27">
        <v>10.019995135003652</v>
      </c>
      <c r="F34" s="27">
        <v>9.3042811967891055</v>
      </c>
      <c r="G34" s="27">
        <v>3.2207127219654592</v>
      </c>
      <c r="H34" s="27">
        <v>24.262702505473126</v>
      </c>
      <c r="I34" s="27">
        <v>47.809691072731709</v>
      </c>
      <c r="J34" s="27">
        <v>11.308280223789836</v>
      </c>
      <c r="K34" s="27">
        <v>9.5905667720749239</v>
      </c>
      <c r="L34" s="27">
        <v>28.413843347117499</v>
      </c>
      <c r="M34" s="27">
        <v>18.393848212113848</v>
      </c>
      <c r="N34" s="27">
        <v>3.7932838725370965</v>
      </c>
      <c r="O34" s="27">
        <v>8.8748528338603787</v>
      </c>
      <c r="P34" s="27">
        <v>4.2942836292872792</v>
      </c>
      <c r="Q34" s="27">
        <v>9.0179956215032853</v>
      </c>
      <c r="R34" s="27">
        <v>9.0179956215032853</v>
      </c>
      <c r="S34" s="27">
        <v>2.7197129652152765</v>
      </c>
      <c r="T34" s="27">
        <v>3.5069982972512785</v>
      </c>
      <c r="U34" s="27">
        <v>77.511819508635384</v>
      </c>
      <c r="V34" s="27">
        <v>8.2307102894672859</v>
      </c>
      <c r="W34" s="27">
        <v>16.246706397470206</v>
      </c>
      <c r="X34" s="27">
        <v>5.0099975675018262</v>
      </c>
      <c r="Y34" s="27">
        <v>2.8628557528581862</v>
      </c>
      <c r="Z34" s="27">
        <v>20.540990026757484</v>
      </c>
      <c r="AA34" s="27">
        <v>24.262702505473126</v>
      </c>
      <c r="AB34" s="27">
        <v>15.888849428362931</v>
      </c>
      <c r="AC34" s="27">
        <v>10.807280467039654</v>
      </c>
      <c r="AD34" s="27">
        <v>19.968418876185847</v>
      </c>
      <c r="AE34" s="27">
        <v>12.453422524933108</v>
      </c>
      <c r="AF34" s="27">
        <v>36.358268061298958</v>
      </c>
      <c r="AG34" s="27">
        <v>12.095565555825836</v>
      </c>
      <c r="AH34" s="27">
        <v>207.12761371928977</v>
      </c>
      <c r="AI34" s="27">
        <v>96.907667234249615</v>
      </c>
      <c r="AJ34" s="27">
        <v>52.390260277304812</v>
      </c>
      <c r="AK34" s="27">
        <v>15.960420822184387</v>
      </c>
      <c r="AL34" s="27">
        <v>10.234709316468015</v>
      </c>
      <c r="AM34" s="27">
        <v>41.654551204086616</v>
      </c>
      <c r="AN34" s="27">
        <v>19.968418876185847</v>
      </c>
      <c r="AO34" s="27">
        <v>17.320277304792025</v>
      </c>
      <c r="AP34" s="27">
        <v>10.091566528825107</v>
      </c>
      <c r="AQ34" s="27">
        <v>18.966419362685482</v>
      </c>
      <c r="AR34" s="27">
        <v>6.3698540501094643</v>
      </c>
      <c r="AS34" s="27">
        <v>19.538990513257122</v>
      </c>
      <c r="AT34" s="27">
        <v>11.165137436146926</v>
      </c>
      <c r="AU34" s="27">
        <v>39.650552177085878</v>
      </c>
      <c r="AV34" s="27">
        <v>6.4414254439309184</v>
      </c>
      <c r="AW34" s="27">
        <v>29.415842860617865</v>
      </c>
      <c r="AX34" s="27">
        <v>17.033991729506209</v>
      </c>
      <c r="AY34" s="27">
        <v>20.75570420822185</v>
      </c>
      <c r="AZ34" s="27">
        <v>16.532991972756026</v>
      </c>
      <c r="BA34" s="27">
        <v>18.393848212113848</v>
      </c>
      <c r="BB34" s="27">
        <v>53.821688153733902</v>
      </c>
      <c r="BC34" s="27">
        <v>37.002410605692056</v>
      </c>
      <c r="BD34" s="27">
        <v>282.8501483823888</v>
      </c>
      <c r="BE34" s="27">
        <v>8.3738530771101942</v>
      </c>
      <c r="BF34" s="27">
        <v>56.9708294818779</v>
      </c>
      <c r="BG34" s="27">
        <v>9.5905667720749239</v>
      </c>
      <c r="BH34" s="27">
        <v>8.1591388956458317</v>
      </c>
      <c r="BI34" s="27">
        <v>10.306280710289469</v>
      </c>
      <c r="BJ34" s="27">
        <v>38.863266845049871</v>
      </c>
      <c r="BK34" s="27">
        <v>6.4414254439309184</v>
      </c>
      <c r="BL34" s="27">
        <v>16.318277791291663</v>
      </c>
      <c r="BM34" s="27">
        <v>10.878851860861106</v>
      </c>
      <c r="BN34" s="27">
        <v>18.465419605935303</v>
      </c>
      <c r="BO34" s="27">
        <v>388.63266845049878</v>
      </c>
      <c r="BP34" s="27">
        <v>51.245117976161524</v>
      </c>
      <c r="BQ34" s="27">
        <v>5.439425930430553</v>
      </c>
      <c r="BR34" s="27">
        <v>24.047988324008767</v>
      </c>
      <c r="BS34" s="27">
        <v>6.7992824130381919</v>
      </c>
      <c r="BT34" s="27">
        <v>21.113561177329121</v>
      </c>
      <c r="BU34" s="27">
        <v>7.3002821697883746</v>
      </c>
      <c r="BV34" s="27">
        <v>35.92883969837024</v>
      </c>
      <c r="BW34" s="27">
        <v>11.666137192897109</v>
      </c>
      <c r="BX34" s="27">
        <v>8.4454244709316484</v>
      </c>
      <c r="BY34" s="27">
        <v>16.962420335684754</v>
      </c>
      <c r="BZ34" s="27">
        <v>83.666959377280506</v>
      </c>
      <c r="CA34" s="27">
        <v>9.9484237411821965</v>
      </c>
      <c r="CB34" s="27">
        <v>41.225122841157877</v>
      </c>
      <c r="CC34" s="27">
        <v>14.958421308684022</v>
      </c>
      <c r="CD34" s="27">
        <v>50.386261250304081</v>
      </c>
      <c r="CE34" s="27">
        <v>18.680133787399665</v>
      </c>
      <c r="CF34" s="27">
        <v>10.449423497932379</v>
      </c>
      <c r="CG34" s="27">
        <v>14.385850158112387</v>
      </c>
      <c r="CH34" s="27">
        <v>18.250705424470937</v>
      </c>
      <c r="CI34" s="27">
        <v>3.2922841157869138</v>
      </c>
      <c r="CJ34" s="27">
        <v>25.98041595718804</v>
      </c>
      <c r="CK34" s="27">
        <v>3.2207127219654592</v>
      </c>
      <c r="CL34" s="27">
        <v>8.3738530771101942</v>
      </c>
      <c r="CM34" s="27">
        <v>18.250705424470937</v>
      </c>
      <c r="CN34" s="27">
        <v>10.163137922646561</v>
      </c>
      <c r="CO34" s="27">
        <v>0</v>
      </c>
      <c r="CP34" s="27">
        <v>34.067983459012417</v>
      </c>
      <c r="CQ34" s="27">
        <v>0</v>
      </c>
      <c r="CR34" s="27">
        <v>26.910844076866951</v>
      </c>
      <c r="CS34" s="27">
        <v>15.387849671612752</v>
      </c>
      <c r="CT34" s="27">
        <v>37.431838968620788</v>
      </c>
      <c r="CU34" s="27">
        <v>25.264702018973491</v>
      </c>
      <c r="CV34" s="27">
        <v>13.38385064461202</v>
      </c>
      <c r="CW34" s="27">
        <v>10.234709316468015</v>
      </c>
      <c r="CX34" s="27">
        <v>0.21471418146436397</v>
      </c>
      <c r="CY34" s="27">
        <v>16.03199221600584</v>
      </c>
      <c r="CZ34" s="27">
        <v>108.4306616395038</v>
      </c>
      <c r="DA34" s="27">
        <v>12.882850887861837</v>
      </c>
      <c r="DB34" s="27">
        <v>32.564984188761869</v>
      </c>
      <c r="DC34" s="27">
        <v>25.19313062515204</v>
      </c>
      <c r="DD34" s="27">
        <v>21.972417903186578</v>
      </c>
      <c r="DE34" s="27">
        <v>6.5129968377523735</v>
      </c>
      <c r="DF34" s="27">
        <v>74.792106543420118</v>
      </c>
      <c r="DG34" s="27">
        <v>10.091566528825107</v>
      </c>
      <c r="DH34" s="27">
        <v>1.6461420578934569</v>
      </c>
      <c r="DI34" s="27">
        <v>26.409844320116765</v>
      </c>
      <c r="DJ34" s="27">
        <v>34.5689832157626</v>
      </c>
      <c r="DK34" s="27">
        <v>33.065983945512052</v>
      </c>
      <c r="DL34" s="27">
        <v>10.592566285575289</v>
      </c>
      <c r="DM34" s="27">
        <v>15.674135246898569</v>
      </c>
      <c r="DN34" s="27">
        <v>13.813279007540748</v>
      </c>
      <c r="DO34" s="27">
        <v>14.099564582826567</v>
      </c>
      <c r="DP34" s="27">
        <v>42.942836292872798</v>
      </c>
      <c r="DQ34" s="27">
        <v>7.5149963512527389</v>
      </c>
      <c r="DR34" s="27">
        <v>17.6781342738993</v>
      </c>
      <c r="DS34" s="27">
        <v>12.524993918754564</v>
      </c>
      <c r="DT34" s="27">
        <v>13.312279250790565</v>
      </c>
      <c r="DU34" s="27">
        <v>8.9464242276818329</v>
      </c>
      <c r="DV34" s="27">
        <v>10.664137679396744</v>
      </c>
      <c r="DW34" s="27">
        <v>33.924840671369509</v>
      </c>
      <c r="DX34" s="27">
        <v>21.041989783507667</v>
      </c>
      <c r="DY34" s="27">
        <v>32.636555582583327</v>
      </c>
      <c r="DZ34" s="27">
        <v>35.570982729262965</v>
      </c>
      <c r="EA34" s="27">
        <v>6.4414254439309184</v>
      </c>
      <c r="EB34" s="27">
        <v>8.0743533159349088</v>
      </c>
      <c r="EC34" s="27">
        <v>8.2238783773411104</v>
      </c>
      <c r="ED34" s="27">
        <v>17.045857000307031</v>
      </c>
      <c r="EE34" s="27">
        <v>14.553772643536998</v>
      </c>
      <c r="EF34" s="27">
        <v>23.774484763586123</v>
      </c>
      <c r="EG34" s="27">
        <v>23.076701143690514</v>
      </c>
      <c r="EH34" s="27">
        <v>19.23889123426466</v>
      </c>
      <c r="EI34" s="27">
        <v>13.30773046515198</v>
      </c>
      <c r="EJ34" s="27">
        <v>20.684300161191278</v>
      </c>
      <c r="EK34" s="27">
        <v>16.447756754682221</v>
      </c>
      <c r="EL34" s="27">
        <v>14.05535577218299</v>
      </c>
      <c r="EM34" s="27">
        <v>21.531608842493092</v>
      </c>
      <c r="EN34" s="27">
        <v>19.488099669941665</v>
      </c>
      <c r="EO34" s="27">
        <v>33.692980503530855</v>
      </c>
      <c r="EP34" s="27">
        <v>33.892347252072462</v>
      </c>
      <c r="EQ34" s="27">
        <v>36.135223173165485</v>
      </c>
      <c r="ER34" s="27">
        <v>12.958838655204175</v>
      </c>
      <c r="ES34" s="27">
        <v>24.173218260669326</v>
      </c>
      <c r="ET34" s="27">
        <v>13.008680342339577</v>
      </c>
      <c r="EU34" s="27">
        <v>11.463588041142156</v>
      </c>
      <c r="EV34" s="27">
        <v>18.541107614369054</v>
      </c>
      <c r="EW34" s="27">
        <v>17.344907123119434</v>
      </c>
      <c r="EX34" s="27">
        <v>8.5727701872889153</v>
      </c>
      <c r="EY34" s="27">
        <v>31.549787956708624</v>
      </c>
      <c r="EZ34" s="27">
        <v>15.899498196192814</v>
      </c>
      <c r="FA34" s="27">
        <v>14.952506140620203</v>
      </c>
      <c r="FB34" s="27">
        <v>15.650289760515813</v>
      </c>
      <c r="FC34" s="27">
        <v>29.705645532698803</v>
      </c>
      <c r="FD34" s="27">
        <v>23.824326450721522</v>
      </c>
      <c r="FE34" s="27">
        <v>20.833825222597483</v>
      </c>
      <c r="FF34" s="27">
        <v>12.859155280933376</v>
      </c>
      <c r="FG34" s="27">
        <v>13.058522029474975</v>
      </c>
      <c r="FH34" s="27">
        <v>18.590949301504452</v>
      </c>
      <c r="FI34" s="27">
        <v>23.126542830825912</v>
      </c>
    </row>
    <row r="35" spans="1:165" x14ac:dyDescent="0.3">
      <c r="A35" s="4" t="s">
        <v>3030</v>
      </c>
      <c r="B35" s="27">
        <v>37.338872131679246</v>
      </c>
      <c r="C35" s="27">
        <v>18.306217465336903</v>
      </c>
      <c r="D35" s="27">
        <v>2.9783925241222735</v>
      </c>
      <c r="E35" s="27">
        <v>10.170120814076059</v>
      </c>
      <c r="F35" s="27">
        <v>9.4436836130706254</v>
      </c>
      <c r="G35" s="27">
        <v>3.2689674045244472</v>
      </c>
      <c r="H35" s="27">
        <v>24.626221114084167</v>
      </c>
      <c r="I35" s="27">
        <v>48.526005027162903</v>
      </c>
      <c r="J35" s="27">
        <v>11.477707775885838</v>
      </c>
      <c r="K35" s="27">
        <v>9.7342584934727991</v>
      </c>
      <c r="L35" s="27">
        <v>28.83955687991568</v>
      </c>
      <c r="M35" s="27">
        <v>18.669436065839623</v>
      </c>
      <c r="N35" s="27">
        <v>3.8501171653287929</v>
      </c>
      <c r="O35" s="27">
        <v>9.0078212924673657</v>
      </c>
      <c r="P35" s="27">
        <v>4.358623206032596</v>
      </c>
      <c r="Q35" s="27">
        <v>9.1531087326684517</v>
      </c>
      <c r="R35" s="27">
        <v>9.1531087326684517</v>
      </c>
      <c r="S35" s="27">
        <v>2.7604613638206441</v>
      </c>
      <c r="T35" s="27">
        <v>3.5595422849266209</v>
      </c>
      <c r="U35" s="27">
        <v>78.673148868888362</v>
      </c>
      <c r="V35" s="27">
        <v>8.3540278115624762</v>
      </c>
      <c r="W35" s="27">
        <v>16.490124462823324</v>
      </c>
      <c r="X35" s="27">
        <v>5.0850604070380294</v>
      </c>
      <c r="Y35" s="27">
        <v>2.905748804021731</v>
      </c>
      <c r="Z35" s="27">
        <v>20.848747668855918</v>
      </c>
      <c r="AA35" s="27">
        <v>24.626221114084167</v>
      </c>
      <c r="AB35" s="27">
        <v>16.126905862320605</v>
      </c>
      <c r="AC35" s="27">
        <v>10.969201735182034</v>
      </c>
      <c r="AD35" s="27">
        <v>20.267597908051574</v>
      </c>
      <c r="AE35" s="27">
        <v>12.640007297494527</v>
      </c>
      <c r="AF35" s="27">
        <v>36.903009811075975</v>
      </c>
      <c r="AG35" s="27">
        <v>12.276788696991812</v>
      </c>
      <c r="AH35" s="27">
        <v>210.23092597097221</v>
      </c>
      <c r="AI35" s="27">
        <v>98.359597016135595</v>
      </c>
      <c r="AJ35" s="27">
        <v>53.175203113597675</v>
      </c>
      <c r="AK35" s="27">
        <v>16.199549582421149</v>
      </c>
      <c r="AL35" s="27">
        <v>10.388051974377689</v>
      </c>
      <c r="AM35" s="27">
        <v>42.278645098516186</v>
      </c>
      <c r="AN35" s="27">
        <v>20.267597908051574</v>
      </c>
      <c r="AO35" s="27">
        <v>17.579780264331472</v>
      </c>
      <c r="AP35" s="27">
        <v>10.242764534176601</v>
      </c>
      <c r="AQ35" s="27">
        <v>19.250585826643967</v>
      </c>
      <c r="AR35" s="27">
        <v>6.4652910889483515</v>
      </c>
      <c r="AS35" s="27">
        <v>19.831735587448314</v>
      </c>
      <c r="AT35" s="27">
        <v>11.33242033568475</v>
      </c>
      <c r="AU35" s="27">
        <v>40.244620935700965</v>
      </c>
      <c r="AV35" s="27">
        <v>6.5379348090488945</v>
      </c>
      <c r="AW35" s="27">
        <v>29.856568961323283</v>
      </c>
      <c r="AX35" s="27">
        <v>17.2892053839293</v>
      </c>
      <c r="AY35" s="27">
        <v>21.066678829157549</v>
      </c>
      <c r="AZ35" s="27">
        <v>16.780699343225496</v>
      </c>
      <c r="BA35" s="27">
        <v>18.669436065839623</v>
      </c>
      <c r="BB35" s="27">
        <v>54.628077515608545</v>
      </c>
      <c r="BC35" s="27">
        <v>37.55680329198087</v>
      </c>
      <c r="BD35" s="27">
        <v>287.087981837347</v>
      </c>
      <c r="BE35" s="27">
        <v>8.4993152517635622</v>
      </c>
      <c r="BF35" s="27">
        <v>57.82440120003244</v>
      </c>
      <c r="BG35" s="27">
        <v>9.7342584934727991</v>
      </c>
      <c r="BH35" s="27">
        <v>8.2813840914619341</v>
      </c>
      <c r="BI35" s="27">
        <v>10.460695694478231</v>
      </c>
      <c r="BJ35" s="27">
        <v>39.445540014594989</v>
      </c>
      <c r="BK35" s="27">
        <v>6.5379348090488945</v>
      </c>
      <c r="BL35" s="27">
        <v>16.562768182923868</v>
      </c>
      <c r="BM35" s="27">
        <v>11.041845455282576</v>
      </c>
      <c r="BN35" s="27">
        <v>18.742079785940167</v>
      </c>
      <c r="BO35" s="27">
        <v>394.45540014594997</v>
      </c>
      <c r="BP35" s="27">
        <v>52.012903591988973</v>
      </c>
      <c r="BQ35" s="27">
        <v>5.5209227276412882</v>
      </c>
      <c r="BR35" s="27">
        <v>24.408289953782539</v>
      </c>
      <c r="BS35" s="27">
        <v>6.9011534095516103</v>
      </c>
      <c r="BT35" s="27">
        <v>21.429897429660265</v>
      </c>
      <c r="BU35" s="27">
        <v>7.4096594502554138</v>
      </c>
      <c r="BV35" s="27">
        <v>36.467147490472726</v>
      </c>
      <c r="BW35" s="27">
        <v>11.840926376388554</v>
      </c>
      <c r="BX35" s="27">
        <v>8.571958971864106</v>
      </c>
      <c r="BY35" s="27">
        <v>17.216561663828756</v>
      </c>
      <c r="BZ35" s="27">
        <v>84.920508797535092</v>
      </c>
      <c r="CA35" s="27">
        <v>10.097477093975515</v>
      </c>
      <c r="CB35" s="27">
        <v>41.842782777912923</v>
      </c>
      <c r="CC35" s="27">
        <v>15.182537501013543</v>
      </c>
      <c r="CD35" s="27">
        <v>51.141178950782461</v>
      </c>
      <c r="CE35" s="27">
        <v>18.960010946241795</v>
      </c>
      <c r="CF35" s="27">
        <v>10.605983134679317</v>
      </c>
      <c r="CG35" s="27">
        <v>14.601387740209198</v>
      </c>
      <c r="CH35" s="27">
        <v>18.524148625638531</v>
      </c>
      <c r="CI35" s="27">
        <v>3.3416111246249902</v>
      </c>
      <c r="CJ35" s="27">
        <v>26.369670396497206</v>
      </c>
      <c r="CK35" s="27">
        <v>3.2689674045244472</v>
      </c>
      <c r="CL35" s="27">
        <v>8.4993152517635622</v>
      </c>
      <c r="CM35" s="27">
        <v>18.524148625638531</v>
      </c>
      <c r="CN35" s="27">
        <v>10.315408254277143</v>
      </c>
      <c r="CO35" s="27">
        <v>0</v>
      </c>
      <c r="CP35" s="27">
        <v>34.5784107678586</v>
      </c>
      <c r="CQ35" s="27">
        <v>0</v>
      </c>
      <c r="CR35" s="27">
        <v>27.314038757804273</v>
      </c>
      <c r="CS35" s="27">
        <v>15.618399821616805</v>
      </c>
      <c r="CT35" s="27">
        <v>37.992665612584133</v>
      </c>
      <c r="CU35" s="27">
        <v>25.643233195491774</v>
      </c>
      <c r="CV35" s="27">
        <v>13.584375658801591</v>
      </c>
      <c r="CW35" s="27">
        <v>10.388051974377689</v>
      </c>
      <c r="CX35" s="27">
        <v>0.21793116030162982</v>
      </c>
      <c r="CY35" s="27">
        <v>16.272193302521689</v>
      </c>
      <c r="CZ35" s="27">
        <v>110.05523595232305</v>
      </c>
      <c r="DA35" s="27">
        <v>13.075869618097789</v>
      </c>
      <c r="DB35" s="27">
        <v>33.052892645747185</v>
      </c>
      <c r="DC35" s="27">
        <v>25.57058947539123</v>
      </c>
      <c r="DD35" s="27">
        <v>22.301622070866784</v>
      </c>
      <c r="DE35" s="27">
        <v>6.6105785291494374</v>
      </c>
      <c r="DF35" s="27">
        <v>75.912687505067723</v>
      </c>
      <c r="DG35" s="27">
        <v>10.242764534176601</v>
      </c>
      <c r="DH35" s="27">
        <v>1.6708055623124951</v>
      </c>
      <c r="DI35" s="27">
        <v>26.805532717100466</v>
      </c>
      <c r="DJ35" s="27">
        <v>35.0869168085624</v>
      </c>
      <c r="DK35" s="27">
        <v>33.561398686450993</v>
      </c>
      <c r="DL35" s="27">
        <v>10.751270574880404</v>
      </c>
      <c r="DM35" s="27">
        <v>15.908974702018975</v>
      </c>
      <c r="DN35" s="27">
        <v>14.02023797940485</v>
      </c>
      <c r="DO35" s="27">
        <v>14.310812859807024</v>
      </c>
      <c r="DP35" s="27">
        <v>43.586232060325962</v>
      </c>
      <c r="DQ35" s="27">
        <v>7.6275906105570437</v>
      </c>
      <c r="DR35" s="27">
        <v>17.942998864834188</v>
      </c>
      <c r="DS35" s="27">
        <v>12.712651017595071</v>
      </c>
      <c r="DT35" s="27">
        <v>13.511731938701049</v>
      </c>
      <c r="DU35" s="27">
        <v>9.0804650125679096</v>
      </c>
      <c r="DV35" s="27">
        <v>10.823914294980947</v>
      </c>
      <c r="DW35" s="27">
        <v>34.433123327657512</v>
      </c>
      <c r="DX35" s="27">
        <v>21.357253709559721</v>
      </c>
      <c r="DY35" s="27">
        <v>33.125536365847736</v>
      </c>
      <c r="DZ35" s="27">
        <v>36.103928889970007</v>
      </c>
      <c r="EA35" s="27">
        <v>6.5379348090488945</v>
      </c>
      <c r="EB35" s="27">
        <v>8.4959039760515793</v>
      </c>
      <c r="EC35" s="27">
        <v>8.6532355311636469</v>
      </c>
      <c r="ED35" s="27">
        <v>17.93579728277556</v>
      </c>
      <c r="EE35" s="27">
        <v>15.313604697574455</v>
      </c>
      <c r="EF35" s="27">
        <v>25.015717262818544</v>
      </c>
      <c r="EG35" s="27">
        <v>24.281503338962231</v>
      </c>
      <c r="EH35" s="27">
        <v>20.243326757752531</v>
      </c>
      <c r="EI35" s="27">
        <v>14.002508404973902</v>
      </c>
      <c r="EJ35" s="27">
        <v>21.764198457169169</v>
      </c>
      <c r="EK35" s="27">
        <v>17.306471062327294</v>
      </c>
      <c r="EL35" s="27">
        <v>14.789166180534233</v>
      </c>
      <c r="EM35" s="27">
        <v>22.655743936137551</v>
      </c>
      <c r="EN35" s="27">
        <v>20.505546016272643</v>
      </c>
      <c r="EO35" s="27">
        <v>35.452043751918936</v>
      </c>
      <c r="EP35" s="27">
        <v>35.661819158735028</v>
      </c>
      <c r="EQ35" s="27">
        <v>38.021792485416022</v>
      </c>
      <c r="ER35" s="27">
        <v>13.635401443045746</v>
      </c>
      <c r="ES35" s="27">
        <v>25.435268076450718</v>
      </c>
      <c r="ET35" s="27">
        <v>13.687845294749771</v>
      </c>
      <c r="EU35" s="27">
        <v>12.062085891925085</v>
      </c>
      <c r="EV35" s="27">
        <v>19.509112833896225</v>
      </c>
      <c r="EW35" s="27">
        <v>18.250460392999692</v>
      </c>
      <c r="EX35" s="27">
        <v>9.0203424930918015</v>
      </c>
      <c r="EY35" s="27">
        <v>33.196958128645988</v>
      </c>
      <c r="EZ35" s="27">
        <v>16.72958869358305</v>
      </c>
      <c r="FA35" s="27">
        <v>15.733155511206631</v>
      </c>
      <c r="FB35" s="27">
        <v>16.467369435062942</v>
      </c>
      <c r="FC35" s="27">
        <v>31.256535615597176</v>
      </c>
      <c r="FD35" s="27">
        <v>25.068161114522564</v>
      </c>
      <c r="FE35" s="27">
        <v>21.921530012281238</v>
      </c>
      <c r="FF35" s="27">
        <v>13.530513739637703</v>
      </c>
      <c r="FG35" s="27">
        <v>13.74028914645379</v>
      </c>
      <c r="FH35" s="27">
        <v>19.561556685600245</v>
      </c>
      <c r="FI35" s="27">
        <v>24.333947190666255</v>
      </c>
    </row>
    <row r="36" spans="1:165" x14ac:dyDescent="0.3">
      <c r="A36" s="4" t="s">
        <v>3031</v>
      </c>
      <c r="B36" s="27">
        <v>37.723236438822681</v>
      </c>
      <c r="C36" s="27">
        <v>18.494660666504505</v>
      </c>
      <c r="D36" s="27">
        <v>3.0090519338360502</v>
      </c>
      <c r="E36" s="27">
        <v>10.274811481391392</v>
      </c>
      <c r="F36" s="27">
        <v>9.5408963755777219</v>
      </c>
      <c r="G36" s="27">
        <v>3.3026179761615189</v>
      </c>
      <c r="H36" s="27">
        <v>24.87972208708344</v>
      </c>
      <c r="I36" s="27">
        <v>49.025529068353208</v>
      </c>
      <c r="J36" s="27">
        <v>11.595858671856</v>
      </c>
      <c r="K36" s="27">
        <v>9.8344624179031896</v>
      </c>
      <c r="L36" s="27">
        <v>29.136429700802733</v>
      </c>
      <c r="M36" s="27">
        <v>18.861618219411341</v>
      </c>
      <c r="N36" s="27">
        <v>3.8897500608124553</v>
      </c>
      <c r="O36" s="27">
        <v>9.1005473120895193</v>
      </c>
      <c r="P36" s="27">
        <v>4.4034906348820249</v>
      </c>
      <c r="Q36" s="27">
        <v>9.2473303332522523</v>
      </c>
      <c r="R36" s="27">
        <v>9.2473303332522523</v>
      </c>
      <c r="S36" s="27">
        <v>2.7888774020919489</v>
      </c>
      <c r="T36" s="27">
        <v>3.5961840184869875</v>
      </c>
      <c r="U36" s="27">
        <v>79.483005959620542</v>
      </c>
      <c r="V36" s="27">
        <v>8.4400237168572154</v>
      </c>
      <c r="W36" s="27">
        <v>16.659872901970328</v>
      </c>
      <c r="X36" s="27">
        <v>5.1374057406956961</v>
      </c>
      <c r="Y36" s="27">
        <v>2.9356604232546837</v>
      </c>
      <c r="Z36" s="27">
        <v>21.06336353685235</v>
      </c>
      <c r="AA36" s="27">
        <v>24.87972208708344</v>
      </c>
      <c r="AB36" s="27">
        <v>16.292915349063492</v>
      </c>
      <c r="AC36" s="27">
        <v>11.082118097786429</v>
      </c>
      <c r="AD36" s="27">
        <v>20.476231452201418</v>
      </c>
      <c r="AE36" s="27">
        <v>12.770122841157871</v>
      </c>
      <c r="AF36" s="27">
        <v>37.282887375334475</v>
      </c>
      <c r="AG36" s="27">
        <v>12.403165288251035</v>
      </c>
      <c r="AH36" s="27">
        <v>212.39503162247632</v>
      </c>
      <c r="AI36" s="27">
        <v>99.372105327171042</v>
      </c>
      <c r="AJ36" s="27">
        <v>53.722585745560707</v>
      </c>
      <c r="AK36" s="27">
        <v>16.366306859644858</v>
      </c>
      <c r="AL36" s="27">
        <v>10.494986013135494</v>
      </c>
      <c r="AM36" s="27">
        <v>42.713859158355646</v>
      </c>
      <c r="AN36" s="27">
        <v>20.476231452201418</v>
      </c>
      <c r="AO36" s="27">
        <v>17.760745560690832</v>
      </c>
      <c r="AP36" s="27">
        <v>10.348202991972759</v>
      </c>
      <c r="AQ36" s="27">
        <v>19.448750304062276</v>
      </c>
      <c r="AR36" s="27">
        <v>6.5318444417416712</v>
      </c>
      <c r="AS36" s="27">
        <v>20.035882388713215</v>
      </c>
      <c r="AT36" s="27">
        <v>11.449075650693265</v>
      </c>
      <c r="AU36" s="27">
        <v>40.658896862077363</v>
      </c>
      <c r="AV36" s="27">
        <v>6.6052359523230377</v>
      </c>
      <c r="AW36" s="27">
        <v>30.163910848941871</v>
      </c>
      <c r="AX36" s="27">
        <v>17.467179518365366</v>
      </c>
      <c r="AY36" s="27">
        <v>21.283538068596457</v>
      </c>
      <c r="AZ36" s="27">
        <v>16.953438944295797</v>
      </c>
      <c r="BA36" s="27">
        <v>18.861618219411341</v>
      </c>
      <c r="BB36" s="27">
        <v>55.190415957188051</v>
      </c>
      <c r="BC36" s="27">
        <v>37.943410970566781</v>
      </c>
      <c r="BD36" s="27">
        <v>290.04324981756275</v>
      </c>
      <c r="BE36" s="27">
        <v>8.5868067380199484</v>
      </c>
      <c r="BF36" s="27">
        <v>58.419642422768192</v>
      </c>
      <c r="BG36" s="27">
        <v>9.8344624179031896</v>
      </c>
      <c r="BH36" s="27">
        <v>8.3666322062758489</v>
      </c>
      <c r="BI36" s="27">
        <v>10.56837752371686</v>
      </c>
      <c r="BJ36" s="27">
        <v>39.851590245682324</v>
      </c>
      <c r="BK36" s="27">
        <v>6.6052359523230377</v>
      </c>
      <c r="BL36" s="27">
        <v>16.733264412551698</v>
      </c>
      <c r="BM36" s="27">
        <v>11.155509608367796</v>
      </c>
      <c r="BN36" s="27">
        <v>18.935009729992711</v>
      </c>
      <c r="BO36" s="27">
        <v>398.51590245682326</v>
      </c>
      <c r="BP36" s="27">
        <v>52.548321576258829</v>
      </c>
      <c r="BQ36" s="27">
        <v>5.5777548041838978</v>
      </c>
      <c r="BR36" s="27">
        <v>24.659547555339341</v>
      </c>
      <c r="BS36" s="27">
        <v>6.9721935052298729</v>
      </c>
      <c r="BT36" s="27">
        <v>21.650495621503289</v>
      </c>
      <c r="BU36" s="27">
        <v>7.4859340792994429</v>
      </c>
      <c r="BV36" s="27">
        <v>36.842538311846276</v>
      </c>
      <c r="BW36" s="27">
        <v>11.962816224762836</v>
      </c>
      <c r="BX36" s="27">
        <v>8.6601982486013149</v>
      </c>
      <c r="BY36" s="27">
        <v>17.393788007784</v>
      </c>
      <c r="BZ36" s="27">
        <v>85.794675869618132</v>
      </c>
      <c r="CA36" s="27">
        <v>10.201419970810024</v>
      </c>
      <c r="CB36" s="27">
        <v>42.27351009486744</v>
      </c>
      <c r="CC36" s="27">
        <v>15.33882571150572</v>
      </c>
      <c r="CD36" s="27">
        <v>51.667623449282431</v>
      </c>
      <c r="CE36" s="27">
        <v>19.15518426173681</v>
      </c>
      <c r="CF36" s="27">
        <v>10.715160544879595</v>
      </c>
      <c r="CG36" s="27">
        <v>14.751693626854784</v>
      </c>
      <c r="CH36" s="27">
        <v>18.714835198248604</v>
      </c>
      <c r="CI36" s="27">
        <v>3.3760094867428854</v>
      </c>
      <c r="CJ36" s="27">
        <v>26.64111834103625</v>
      </c>
      <c r="CK36" s="27">
        <v>3.3026179761615189</v>
      </c>
      <c r="CL36" s="27">
        <v>8.5868067380199484</v>
      </c>
      <c r="CM36" s="27">
        <v>18.714835198248604</v>
      </c>
      <c r="CN36" s="27">
        <v>10.421594502554125</v>
      </c>
      <c r="CO36" s="27">
        <v>0</v>
      </c>
      <c r="CP36" s="27">
        <v>34.934359036730733</v>
      </c>
      <c r="CQ36" s="27">
        <v>0</v>
      </c>
      <c r="CR36" s="27">
        <v>27.595207978594026</v>
      </c>
      <c r="CS36" s="27">
        <v>15.779174774993924</v>
      </c>
      <c r="CT36" s="27">
        <v>38.383760034054987</v>
      </c>
      <c r="CU36" s="27">
        <v>25.907203235222578</v>
      </c>
      <c r="CV36" s="27">
        <v>13.724212478715645</v>
      </c>
      <c r="CW36" s="27">
        <v>10.494986013135494</v>
      </c>
      <c r="CX36" s="27">
        <v>0.22017453174410126</v>
      </c>
      <c r="CY36" s="27">
        <v>16.439698370226225</v>
      </c>
      <c r="CZ36" s="27">
        <v>111.18813853077113</v>
      </c>
      <c r="DA36" s="27">
        <v>13.210471904646075</v>
      </c>
      <c r="DB36" s="27">
        <v>33.393137314522022</v>
      </c>
      <c r="DC36" s="27">
        <v>25.833811724641215</v>
      </c>
      <c r="DD36" s="27">
        <v>22.531193748479694</v>
      </c>
      <c r="DE36" s="27">
        <v>6.6786274629044042</v>
      </c>
      <c r="DF36" s="27">
        <v>76.6941285575286</v>
      </c>
      <c r="DG36" s="27">
        <v>10.348202991972759</v>
      </c>
      <c r="DH36" s="27">
        <v>1.6880047433714427</v>
      </c>
      <c r="DI36" s="27">
        <v>27.081467404524453</v>
      </c>
      <c r="DJ36" s="27">
        <v>35.448099610800305</v>
      </c>
      <c r="DK36" s="27">
        <v>33.906877888591595</v>
      </c>
      <c r="DL36" s="27">
        <v>10.86194356604233</v>
      </c>
      <c r="DM36" s="27">
        <v>16.072740817319392</v>
      </c>
      <c r="DN36" s="27">
        <v>14.164561542203847</v>
      </c>
      <c r="DO36" s="27">
        <v>14.458127584529315</v>
      </c>
      <c r="DP36" s="27">
        <v>44.03490634882025</v>
      </c>
      <c r="DQ36" s="27">
        <v>7.7061086110435442</v>
      </c>
      <c r="DR36" s="27">
        <v>18.127703113597672</v>
      </c>
      <c r="DS36" s="27">
        <v>12.843514351739239</v>
      </c>
      <c r="DT36" s="27">
        <v>13.650820968134278</v>
      </c>
      <c r="DU36" s="27">
        <v>9.1739388226708858</v>
      </c>
      <c r="DV36" s="27">
        <v>10.935335076623694</v>
      </c>
      <c r="DW36" s="27">
        <v>34.787576015568</v>
      </c>
      <c r="DX36" s="27">
        <v>21.577104110921923</v>
      </c>
      <c r="DY36" s="27">
        <v>33.466528825103396</v>
      </c>
      <c r="DZ36" s="27">
        <v>36.475580758939444</v>
      </c>
      <c r="EA36" s="27">
        <v>6.6052359523230377</v>
      </c>
      <c r="EB36" s="27">
        <v>8.9970059871046981</v>
      </c>
      <c r="EC36" s="27">
        <v>9.1636172090881178</v>
      </c>
      <c r="ED36" s="27">
        <v>18.993679306109918</v>
      </c>
      <c r="EE36" s="27">
        <v>16.216825606386248</v>
      </c>
      <c r="EF36" s="27">
        <v>26.491184295363833</v>
      </c>
      <c r="EG36" s="27">
        <v>25.713665259441203</v>
      </c>
      <c r="EH36" s="27">
        <v>21.437310561866749</v>
      </c>
      <c r="EI36" s="27">
        <v>14.828398756524411</v>
      </c>
      <c r="EJ36" s="27">
        <v>23.047885707706477</v>
      </c>
      <c r="EK36" s="27">
        <v>18.327234418176236</v>
      </c>
      <c r="EL36" s="27">
        <v>15.661454866441511</v>
      </c>
      <c r="EM36" s="27">
        <v>23.992015965612531</v>
      </c>
      <c r="EN36" s="27">
        <v>21.71499593183912</v>
      </c>
      <c r="EO36" s="27">
        <v>37.543062020264045</v>
      </c>
      <c r="EP36" s="27">
        <v>37.765210316241941</v>
      </c>
      <c r="EQ36" s="27">
        <v>40.264378645993247</v>
      </c>
      <c r="ER36" s="27">
        <v>14.439639238563096</v>
      </c>
      <c r="ES36" s="27">
        <v>26.935480887319621</v>
      </c>
      <c r="ET36" s="27">
        <v>14.495176312557572</v>
      </c>
      <c r="EU36" s="27">
        <v>12.773527018728894</v>
      </c>
      <c r="EV36" s="27">
        <v>20.659791525944126</v>
      </c>
      <c r="EW36" s="27">
        <v>19.326901750076757</v>
      </c>
      <c r="EX36" s="27">
        <v>9.5523767270494329</v>
      </c>
      <c r="EY36" s="27">
        <v>35.15496783850169</v>
      </c>
      <c r="EZ36" s="27">
        <v>17.716326604237029</v>
      </c>
      <c r="FA36" s="27">
        <v>16.661122198342035</v>
      </c>
      <c r="FB36" s="27">
        <v>17.438641234264662</v>
      </c>
      <c r="FC36" s="27">
        <v>33.100096100706175</v>
      </c>
      <c r="FD36" s="27">
        <v>26.546721369358306</v>
      </c>
      <c r="FE36" s="27">
        <v>23.214496929689901</v>
      </c>
      <c r="FF36" s="27">
        <v>14.32856509057415</v>
      </c>
      <c r="FG36" s="27">
        <v>14.550713386552042</v>
      </c>
      <c r="FH36" s="27">
        <v>20.715328599938594</v>
      </c>
      <c r="FI36" s="27">
        <v>25.769202333435679</v>
      </c>
    </row>
    <row r="37" spans="1:165" x14ac:dyDescent="0.3">
      <c r="A37" s="4" t="s">
        <v>3032</v>
      </c>
      <c r="B37" s="27">
        <v>38.329686005027177</v>
      </c>
      <c r="C37" s="27">
        <v>18.791986134760403</v>
      </c>
      <c r="D37" s="27">
        <v>3.0574263155760968</v>
      </c>
      <c r="E37" s="27">
        <v>10.439992297089114</v>
      </c>
      <c r="F37" s="27">
        <v>9.6942785615827489</v>
      </c>
      <c r="G37" s="27">
        <v>3.3557118097786436</v>
      </c>
      <c r="H37" s="27">
        <v>25.279695633665778</v>
      </c>
      <c r="I37" s="27">
        <v>49.813677531825192</v>
      </c>
      <c r="J37" s="27">
        <v>11.782277021000571</v>
      </c>
      <c r="K37" s="27">
        <v>9.9925640557852944</v>
      </c>
      <c r="L37" s="27">
        <v>29.604835299602698</v>
      </c>
      <c r="M37" s="27">
        <v>19.164843002513589</v>
      </c>
      <c r="N37" s="27">
        <v>3.9522827981837354</v>
      </c>
      <c r="O37" s="27">
        <v>9.2468503202789289</v>
      </c>
      <c r="P37" s="27">
        <v>4.4742824130381917</v>
      </c>
      <c r="Q37" s="27">
        <v>9.3959930673802017</v>
      </c>
      <c r="R37" s="27">
        <v>9.3959930673802017</v>
      </c>
      <c r="S37" s="27">
        <v>2.8337121949241877</v>
      </c>
      <c r="T37" s="27">
        <v>3.6539973039811904</v>
      </c>
      <c r="U37" s="27">
        <v>80.760797555339352</v>
      </c>
      <c r="V37" s="27">
        <v>8.5757079583231999</v>
      </c>
      <c r="W37" s="27">
        <v>16.927701795994491</v>
      </c>
      <c r="X37" s="27">
        <v>5.2199961485445572</v>
      </c>
      <c r="Y37" s="27">
        <v>2.9828549420254613</v>
      </c>
      <c r="Z37" s="27">
        <v>21.40198420903268</v>
      </c>
      <c r="AA37" s="27">
        <v>25.279695633665778</v>
      </c>
      <c r="AB37" s="27">
        <v>16.554844928241305</v>
      </c>
      <c r="AC37" s="27">
        <v>11.260277406146114</v>
      </c>
      <c r="AD37" s="27">
        <v>20.805413220627589</v>
      </c>
      <c r="AE37" s="27">
        <v>12.975418997810753</v>
      </c>
      <c r="AF37" s="27">
        <v>37.882257763723352</v>
      </c>
      <c r="AG37" s="27">
        <v>12.602562130057571</v>
      </c>
      <c r="AH37" s="27">
        <v>215.80955505554209</v>
      </c>
      <c r="AI37" s="27">
        <v>100.96963978756186</v>
      </c>
      <c r="AJ37" s="27">
        <v>54.586245439065941</v>
      </c>
      <c r="AK37" s="27">
        <v>16.629416301791945</v>
      </c>
      <c r="AL37" s="27">
        <v>10.663706417741023</v>
      </c>
      <c r="AM37" s="27">
        <v>43.400539406470457</v>
      </c>
      <c r="AN37" s="27">
        <v>20.805413220627589</v>
      </c>
      <c r="AO37" s="27">
        <v>18.046272399254036</v>
      </c>
      <c r="AP37" s="27">
        <v>10.514563670639749</v>
      </c>
      <c r="AQ37" s="27">
        <v>19.761413990918676</v>
      </c>
      <c r="AR37" s="27">
        <v>6.6368522460066508</v>
      </c>
      <c r="AS37" s="27">
        <v>20.357984979323771</v>
      </c>
      <c r="AT37" s="27">
        <v>11.633134273899298</v>
      </c>
      <c r="AU37" s="27">
        <v>41.312540947052632</v>
      </c>
      <c r="AV37" s="27">
        <v>6.7114236195572872</v>
      </c>
      <c r="AW37" s="27">
        <v>30.64883452931161</v>
      </c>
      <c r="AX37" s="27">
        <v>17.747986905051494</v>
      </c>
      <c r="AY37" s="27">
        <v>21.625698329684592</v>
      </c>
      <c r="AZ37" s="27">
        <v>17.225987290197036</v>
      </c>
      <c r="BA37" s="27">
        <v>19.164843002513589</v>
      </c>
      <c r="BB37" s="27">
        <v>56.077672910078668</v>
      </c>
      <c r="BC37" s="27">
        <v>38.553400125679083</v>
      </c>
      <c r="BD37" s="27">
        <v>294.70606827211554</v>
      </c>
      <c r="BE37" s="27">
        <v>8.7248507054244726</v>
      </c>
      <c r="BF37" s="27">
        <v>59.358813346306668</v>
      </c>
      <c r="BG37" s="27">
        <v>9.9925640557852944</v>
      </c>
      <c r="BH37" s="27">
        <v>8.5011365847725635</v>
      </c>
      <c r="BI37" s="27">
        <v>10.738277791291658</v>
      </c>
      <c r="BJ37" s="27">
        <v>40.492255837995629</v>
      </c>
      <c r="BK37" s="27">
        <v>6.7114236195572872</v>
      </c>
      <c r="BL37" s="27">
        <v>17.002273169545127</v>
      </c>
      <c r="BM37" s="27">
        <v>11.334848779696751</v>
      </c>
      <c r="BN37" s="27">
        <v>19.239414376064225</v>
      </c>
      <c r="BO37" s="27">
        <v>404.92255837995634</v>
      </c>
      <c r="BP37" s="27">
        <v>53.393103462255745</v>
      </c>
      <c r="BQ37" s="27">
        <v>5.6674243898483754</v>
      </c>
      <c r="BR37" s="27">
        <v>25.055981513013872</v>
      </c>
      <c r="BS37" s="27">
        <v>7.084280487310469</v>
      </c>
      <c r="BT37" s="27">
        <v>21.998555197437774</v>
      </c>
      <c r="BU37" s="27">
        <v>7.6062801021649253</v>
      </c>
      <c r="BV37" s="27">
        <v>37.434829522419534</v>
      </c>
      <c r="BW37" s="27">
        <v>12.155133888753754</v>
      </c>
      <c r="BX37" s="27">
        <v>8.799422078975109</v>
      </c>
      <c r="BY37" s="27">
        <v>17.673415531500858</v>
      </c>
      <c r="BZ37" s="27">
        <v>87.1739356806941</v>
      </c>
      <c r="CA37" s="27">
        <v>10.365420923538476</v>
      </c>
      <c r="CB37" s="27">
        <v>42.953111165166632</v>
      </c>
      <c r="CC37" s="27">
        <v>15.585417072083033</v>
      </c>
      <c r="CD37" s="27">
        <v>52.498246979648115</v>
      </c>
      <c r="CE37" s="27">
        <v>19.463128496716134</v>
      </c>
      <c r="CF37" s="27">
        <v>10.887420538392933</v>
      </c>
      <c r="CG37" s="27">
        <v>14.988846083677942</v>
      </c>
      <c r="CH37" s="27">
        <v>19.015700255412312</v>
      </c>
      <c r="CI37" s="27">
        <v>3.4302831833292795</v>
      </c>
      <c r="CJ37" s="27">
        <v>27.069408598881058</v>
      </c>
      <c r="CK37" s="27">
        <v>3.3557118097786436</v>
      </c>
      <c r="CL37" s="27">
        <v>8.7248507054244726</v>
      </c>
      <c r="CM37" s="27">
        <v>19.015700255412312</v>
      </c>
      <c r="CN37" s="27">
        <v>10.589135044190385</v>
      </c>
      <c r="CO37" s="27">
        <v>0</v>
      </c>
      <c r="CP37" s="27">
        <v>35.495973810102988</v>
      </c>
      <c r="CQ37" s="27">
        <v>0</v>
      </c>
      <c r="CR37" s="27">
        <v>28.038836455039334</v>
      </c>
      <c r="CS37" s="27">
        <v>16.032845313386854</v>
      </c>
      <c r="CT37" s="27">
        <v>39.000828366982901</v>
      </c>
      <c r="CU37" s="27">
        <v>26.323694863374691</v>
      </c>
      <c r="CV37" s="27">
        <v>13.944846853969029</v>
      </c>
      <c r="CW37" s="27">
        <v>10.663706417741023</v>
      </c>
      <c r="CX37" s="27">
        <v>0.22371412065190957</v>
      </c>
      <c r="CY37" s="27">
        <v>16.703987675342578</v>
      </c>
      <c r="CZ37" s="27">
        <v>112.97563092921433</v>
      </c>
      <c r="DA37" s="27">
        <v>13.422847239114574</v>
      </c>
      <c r="DB37" s="27">
        <v>33.929974965539614</v>
      </c>
      <c r="DC37" s="27">
        <v>26.249123489824058</v>
      </c>
      <c r="DD37" s="27">
        <v>22.893411680045411</v>
      </c>
      <c r="DE37" s="27">
        <v>6.7859949931079235</v>
      </c>
      <c r="DF37" s="27">
        <v>77.927085360415177</v>
      </c>
      <c r="DG37" s="27">
        <v>10.514563670639749</v>
      </c>
      <c r="DH37" s="27">
        <v>1.7151415916646398</v>
      </c>
      <c r="DI37" s="27">
        <v>27.516836840184876</v>
      </c>
      <c r="DJ37" s="27">
        <v>36.017973424957439</v>
      </c>
      <c r="DK37" s="27">
        <v>34.451974580394072</v>
      </c>
      <c r="DL37" s="27">
        <v>11.036563285494205</v>
      </c>
      <c r="DM37" s="27">
        <v>16.331130807589396</v>
      </c>
      <c r="DN37" s="27">
        <v>14.392275095272849</v>
      </c>
      <c r="DO37" s="27">
        <v>14.690560589475394</v>
      </c>
      <c r="DP37" s="27">
        <v>44.742824130381919</v>
      </c>
      <c r="DQ37" s="27">
        <v>7.8299942228168344</v>
      </c>
      <c r="DR37" s="27">
        <v>18.419129267007222</v>
      </c>
      <c r="DS37" s="27">
        <v>13.049990371361391</v>
      </c>
      <c r="DT37" s="27">
        <v>13.870275480418394</v>
      </c>
      <c r="DU37" s="27">
        <v>9.3214216938295653</v>
      </c>
      <c r="DV37" s="27">
        <v>11.111134659044842</v>
      </c>
      <c r="DW37" s="27">
        <v>35.346831063001716</v>
      </c>
      <c r="DX37" s="27">
        <v>21.923983823887138</v>
      </c>
      <c r="DY37" s="27">
        <v>34.004546339090254</v>
      </c>
      <c r="DZ37" s="27">
        <v>37.061972654666356</v>
      </c>
      <c r="EA37" s="27">
        <v>6.7114236195572872</v>
      </c>
      <c r="EB37" s="27">
        <v>9.1923560024562487</v>
      </c>
      <c r="EC37" s="27">
        <v>9.3625848173165505</v>
      </c>
      <c r="ED37" s="27">
        <v>19.406084894074304</v>
      </c>
      <c r="EE37" s="27">
        <v>16.568937979735956</v>
      </c>
      <c r="EF37" s="27">
        <v>27.066381562787846</v>
      </c>
      <c r="EG37" s="27">
        <v>26.271980426773109</v>
      </c>
      <c r="EH37" s="27">
        <v>21.902774178692052</v>
      </c>
      <c r="EI37" s="27">
        <v>15.150364522566781</v>
      </c>
      <c r="EJ37" s="27">
        <v>23.548319389008292</v>
      </c>
      <c r="EK37" s="27">
        <v>18.725169634633101</v>
      </c>
      <c r="EL37" s="27">
        <v>16.001508596868284</v>
      </c>
      <c r="EM37" s="27">
        <v>24.512949339883331</v>
      </c>
      <c r="EN37" s="27">
        <v>22.186488870125888</v>
      </c>
      <c r="EO37" s="27">
        <v>38.358226281854471</v>
      </c>
      <c r="EP37" s="27">
        <v>38.58519803500154</v>
      </c>
      <c r="EQ37" s="27">
        <v>41.138630257906051</v>
      </c>
      <c r="ER37" s="27">
        <v>14.753163954559412</v>
      </c>
      <c r="ES37" s="27">
        <v>27.520325069081981</v>
      </c>
      <c r="ET37" s="27">
        <v>14.809906892846181</v>
      </c>
      <c r="EU37" s="27">
        <v>13.050875805956403</v>
      </c>
      <c r="EV37" s="27">
        <v>21.108373042677314</v>
      </c>
      <c r="EW37" s="27">
        <v>19.746542523794904</v>
      </c>
      <c r="EX37" s="27">
        <v>9.7597853853239194</v>
      </c>
      <c r="EY37" s="27">
        <v>35.918279935523486</v>
      </c>
      <c r="EZ37" s="27">
        <v>18.100997313478661</v>
      </c>
      <c r="FA37" s="27">
        <v>17.022881486030091</v>
      </c>
      <c r="FB37" s="27">
        <v>17.817282622044829</v>
      </c>
      <c r="FC37" s="27">
        <v>33.81879121891312</v>
      </c>
      <c r="FD37" s="27">
        <v>27.12312450107461</v>
      </c>
      <c r="FE37" s="27">
        <v>23.718548203868593</v>
      </c>
      <c r="FF37" s="27">
        <v>14.639678077985879</v>
      </c>
      <c r="FG37" s="27">
        <v>14.866649831132944</v>
      </c>
      <c r="FH37" s="27">
        <v>21.165115980964078</v>
      </c>
      <c r="FI37" s="27">
        <v>26.328723365059872</v>
      </c>
    </row>
    <row r="38" spans="1:165" x14ac:dyDescent="0.3">
      <c r="A38" s="4" t="s">
        <v>3033</v>
      </c>
      <c r="B38" s="27">
        <v>38.484046460715163</v>
      </c>
      <c r="C38" s="27">
        <v>18.867664801751399</v>
      </c>
      <c r="D38" s="27">
        <v>3.0697391145706643</v>
      </c>
      <c r="E38" s="27">
        <v>10.482036000973002</v>
      </c>
      <c r="F38" s="27">
        <v>9.7333191437606441</v>
      </c>
      <c r="G38" s="27">
        <v>3.3692258574556071</v>
      </c>
      <c r="H38" s="27">
        <v>25.381501459498907</v>
      </c>
      <c r="I38" s="27">
        <v>50.014286061785462</v>
      </c>
      <c r="J38" s="27">
        <v>11.829726343955244</v>
      </c>
      <c r="K38" s="27">
        <v>10.032805886645587</v>
      </c>
      <c r="L38" s="27">
        <v>29.724059231330582</v>
      </c>
      <c r="M38" s="27">
        <v>19.242023230357582</v>
      </c>
      <c r="N38" s="27">
        <v>3.9681993432254927</v>
      </c>
      <c r="O38" s="27">
        <v>9.2840890294332308</v>
      </c>
      <c r="P38" s="27">
        <v>4.4923011432741431</v>
      </c>
      <c r="Q38" s="27">
        <v>9.4338324008756995</v>
      </c>
      <c r="R38" s="27">
        <v>9.4338324008756995</v>
      </c>
      <c r="S38" s="27">
        <v>2.8451240574069572</v>
      </c>
      <c r="T38" s="27">
        <v>3.6687126003405508</v>
      </c>
      <c r="U38" s="27">
        <v>81.086035636098288</v>
      </c>
      <c r="V38" s="27">
        <v>8.6102438579421072</v>
      </c>
      <c r="W38" s="27">
        <v>16.995872658720508</v>
      </c>
      <c r="X38" s="27">
        <v>5.241018000486501</v>
      </c>
      <c r="Y38" s="27">
        <v>2.994867428849429</v>
      </c>
      <c r="Z38" s="27">
        <v>21.488173801994648</v>
      </c>
      <c r="AA38" s="27">
        <v>25.381501459498907</v>
      </c>
      <c r="AB38" s="27">
        <v>16.621514230114329</v>
      </c>
      <c r="AC38" s="27">
        <v>11.305624543906594</v>
      </c>
      <c r="AD38" s="27">
        <v>20.889200316224766</v>
      </c>
      <c r="AE38" s="27">
        <v>13.027673315495013</v>
      </c>
      <c r="AF38" s="27">
        <v>38.034816346387743</v>
      </c>
      <c r="AG38" s="27">
        <v>12.653314886888834</v>
      </c>
      <c r="AH38" s="27">
        <v>216.67865847725616</v>
      </c>
      <c r="AI38" s="27">
        <v>101.37626246655317</v>
      </c>
      <c r="AJ38" s="27">
        <v>54.806073947944547</v>
      </c>
      <c r="AK38" s="27">
        <v>16.696385915835567</v>
      </c>
      <c r="AL38" s="27">
        <v>10.706651058136709</v>
      </c>
      <c r="AM38" s="27">
        <v>43.575321089759193</v>
      </c>
      <c r="AN38" s="27">
        <v>20.889200316224766</v>
      </c>
      <c r="AO38" s="27">
        <v>18.118947944539045</v>
      </c>
      <c r="AP38" s="27">
        <v>10.556907686694236</v>
      </c>
      <c r="AQ38" s="27">
        <v>19.840996716127464</v>
      </c>
      <c r="AR38" s="27">
        <v>6.6635800291899798</v>
      </c>
      <c r="AS38" s="27">
        <v>20.439970201897353</v>
      </c>
      <c r="AT38" s="27">
        <v>11.679982972512772</v>
      </c>
      <c r="AU38" s="27">
        <v>41.478913889564588</v>
      </c>
      <c r="AV38" s="27">
        <v>6.7384517149112142</v>
      </c>
      <c r="AW38" s="27">
        <v>30.772262831427881</v>
      </c>
      <c r="AX38" s="27">
        <v>17.819461201654104</v>
      </c>
      <c r="AY38" s="27">
        <v>21.712788859158358</v>
      </c>
      <c r="AZ38" s="27">
        <v>17.295359401605452</v>
      </c>
      <c r="BA38" s="27">
        <v>19.242023230357582</v>
      </c>
      <c r="BB38" s="27">
        <v>56.303507662369263</v>
      </c>
      <c r="BC38" s="27">
        <v>38.708661517878866</v>
      </c>
      <c r="BD38" s="27">
        <v>295.89290197032358</v>
      </c>
      <c r="BE38" s="27">
        <v>8.7599872293845777</v>
      </c>
      <c r="BF38" s="27">
        <v>59.597861834103625</v>
      </c>
      <c r="BG38" s="27">
        <v>10.032805886645587</v>
      </c>
      <c r="BH38" s="27">
        <v>8.5353721722208729</v>
      </c>
      <c r="BI38" s="27">
        <v>10.781522743857943</v>
      </c>
      <c r="BJ38" s="27">
        <v>40.655325346630988</v>
      </c>
      <c r="BK38" s="27">
        <v>6.7384517149112142</v>
      </c>
      <c r="BL38" s="27">
        <v>17.070744344441746</v>
      </c>
      <c r="BM38" s="27">
        <v>11.380496229627829</v>
      </c>
      <c r="BN38" s="27">
        <v>19.316894916078816</v>
      </c>
      <c r="BO38" s="27">
        <v>406.55325346630997</v>
      </c>
      <c r="BP38" s="27">
        <v>53.608126976404769</v>
      </c>
      <c r="BQ38" s="27">
        <v>5.6902481148139143</v>
      </c>
      <c r="BR38" s="27">
        <v>25.156886402335203</v>
      </c>
      <c r="BS38" s="27">
        <v>7.1128101435173932</v>
      </c>
      <c r="BT38" s="27">
        <v>22.087147287764537</v>
      </c>
      <c r="BU38" s="27">
        <v>7.6369119435660435</v>
      </c>
      <c r="BV38" s="27">
        <v>37.585586232060336</v>
      </c>
      <c r="BW38" s="27">
        <v>12.204084772561423</v>
      </c>
      <c r="BX38" s="27">
        <v>8.8348589151058139</v>
      </c>
      <c r="BY38" s="27">
        <v>17.744589515932866</v>
      </c>
      <c r="BZ38" s="27">
        <v>87.525000608124571</v>
      </c>
      <c r="CA38" s="27">
        <v>10.407164315251764</v>
      </c>
      <c r="CB38" s="27">
        <v>43.126090975431772</v>
      </c>
      <c r="CC38" s="27">
        <v>15.648182315738264</v>
      </c>
      <c r="CD38" s="27">
        <v>52.709666747749949</v>
      </c>
      <c r="CE38" s="27">
        <v>19.541509973242526</v>
      </c>
      <c r="CF38" s="27">
        <v>10.931266115300415</v>
      </c>
      <c r="CG38" s="27">
        <v>15.04920882996838</v>
      </c>
      <c r="CH38" s="27">
        <v>19.092279858915109</v>
      </c>
      <c r="CI38" s="27">
        <v>3.4440975431768428</v>
      </c>
      <c r="CJ38" s="27">
        <v>27.178421916808563</v>
      </c>
      <c r="CK38" s="27">
        <v>3.3692258574556071</v>
      </c>
      <c r="CL38" s="27">
        <v>8.7599872293845777</v>
      </c>
      <c r="CM38" s="27">
        <v>19.092279858915109</v>
      </c>
      <c r="CN38" s="27">
        <v>10.631779372415471</v>
      </c>
      <c r="CO38" s="27">
        <v>0</v>
      </c>
      <c r="CP38" s="27">
        <v>35.638922403308207</v>
      </c>
      <c r="CQ38" s="27">
        <v>0</v>
      </c>
      <c r="CR38" s="27">
        <v>28.151753831184632</v>
      </c>
      <c r="CS38" s="27">
        <v>16.097412430065681</v>
      </c>
      <c r="CT38" s="27">
        <v>39.15789163220628</v>
      </c>
      <c r="CU38" s="27">
        <v>26.429705059596209</v>
      </c>
      <c r="CV38" s="27">
        <v>14.00100522987108</v>
      </c>
      <c r="CW38" s="27">
        <v>10.706651058136709</v>
      </c>
      <c r="CX38" s="27">
        <v>0.22461505716370717</v>
      </c>
      <c r="CY38" s="27">
        <v>16.771257601556798</v>
      </c>
      <c r="CZ38" s="27">
        <v>113.4306038676721</v>
      </c>
      <c r="DA38" s="27">
        <v>13.476903429822428</v>
      </c>
      <c r="DB38" s="27">
        <v>34.06661700316225</v>
      </c>
      <c r="DC38" s="27">
        <v>26.354833373874975</v>
      </c>
      <c r="DD38" s="27">
        <v>22.985607516419364</v>
      </c>
      <c r="DE38" s="27">
        <v>6.8133234006324503</v>
      </c>
      <c r="DF38" s="27">
        <v>78.240911578691325</v>
      </c>
      <c r="DG38" s="27">
        <v>10.556907686694236</v>
      </c>
      <c r="DH38" s="27">
        <v>1.7220487715884214</v>
      </c>
      <c r="DI38" s="27">
        <v>27.62765203113598</v>
      </c>
      <c r="DJ38" s="27">
        <v>36.163024203356855</v>
      </c>
      <c r="DK38" s="27">
        <v>34.590718803210905</v>
      </c>
      <c r="DL38" s="27">
        <v>11.081009486742888</v>
      </c>
      <c r="DM38" s="27">
        <v>16.396899172950622</v>
      </c>
      <c r="DN38" s="27">
        <v>14.450235344198493</v>
      </c>
      <c r="DO38" s="27">
        <v>14.749722087083438</v>
      </c>
      <c r="DP38" s="27">
        <v>44.923011432741433</v>
      </c>
      <c r="DQ38" s="27">
        <v>7.8615270007297502</v>
      </c>
      <c r="DR38" s="27">
        <v>18.493306373145224</v>
      </c>
      <c r="DS38" s="27">
        <v>13.102545001216251</v>
      </c>
      <c r="DT38" s="27">
        <v>13.926133544149845</v>
      </c>
      <c r="DU38" s="27">
        <v>9.3589607151544651</v>
      </c>
      <c r="DV38" s="27">
        <v>11.155881172464122</v>
      </c>
      <c r="DW38" s="27">
        <v>35.489179031865731</v>
      </c>
      <c r="DX38" s="27">
        <v>22.012275602043299</v>
      </c>
      <c r="DY38" s="27">
        <v>34.141488688883491</v>
      </c>
      <c r="DZ38" s="27">
        <v>37.211227803454157</v>
      </c>
      <c r="EA38" s="27">
        <v>6.7384517149112142</v>
      </c>
      <c r="EB38" s="27">
        <v>9.0706010899600855</v>
      </c>
      <c r="EC38" s="27">
        <v>9.2385751842186057</v>
      </c>
      <c r="ED38" s="27">
        <v>19.149046745471296</v>
      </c>
      <c r="EE38" s="27">
        <v>16.349478507829293</v>
      </c>
      <c r="EF38" s="27">
        <v>26.707880987104698</v>
      </c>
      <c r="EG38" s="27">
        <v>25.924001880564937</v>
      </c>
      <c r="EH38" s="27">
        <v>21.612666794596255</v>
      </c>
      <c r="EI38" s="27">
        <v>14.949694389008291</v>
      </c>
      <c r="EJ38" s="27">
        <v>23.236416372428614</v>
      </c>
      <c r="EK38" s="27">
        <v>18.477150368437211</v>
      </c>
      <c r="EL38" s="27">
        <v>15.78956486030089</v>
      </c>
      <c r="EM38" s="27">
        <v>24.188269573226897</v>
      </c>
      <c r="EN38" s="27">
        <v>21.892623618360457</v>
      </c>
      <c r="EO38" s="27">
        <v>37.850162572919864</v>
      </c>
      <c r="EP38" s="27">
        <v>38.074128031931224</v>
      </c>
      <c r="EQ38" s="27">
        <v>40.593739445809028</v>
      </c>
      <c r="ER38" s="27">
        <v>14.557754835738411</v>
      </c>
      <c r="ES38" s="27">
        <v>27.155811905127418</v>
      </c>
      <c r="ET38" s="27">
        <v>14.613746200491253</v>
      </c>
      <c r="EU38" s="27">
        <v>12.878013893153209</v>
      </c>
      <c r="EV38" s="27">
        <v>20.828787688056497</v>
      </c>
      <c r="EW38" s="27">
        <v>19.484994933988332</v>
      </c>
      <c r="EX38" s="27">
        <v>9.6305147374884861</v>
      </c>
      <c r="EY38" s="27">
        <v>35.442533888547743</v>
      </c>
      <c r="EZ38" s="27">
        <v>17.861245356155973</v>
      </c>
      <c r="FA38" s="27">
        <v>16.797409425852013</v>
      </c>
      <c r="FB38" s="27">
        <v>17.581288532391774</v>
      </c>
      <c r="FC38" s="27">
        <v>33.370853392692666</v>
      </c>
      <c r="FD38" s="27">
        <v>26.76387235185754</v>
      </c>
      <c r="FE38" s="27">
        <v>23.404390466687136</v>
      </c>
      <c r="FF38" s="27">
        <v>14.445772106232733</v>
      </c>
      <c r="FG38" s="27">
        <v>14.669737565244089</v>
      </c>
      <c r="FH38" s="27">
        <v>20.884779052809336</v>
      </c>
      <c r="FI38" s="27">
        <v>25.979993245317779</v>
      </c>
    </row>
    <row r="39" spans="1:165" x14ac:dyDescent="0.3">
      <c r="A39" s="4" t="s">
        <v>3034</v>
      </c>
      <c r="B39" s="27">
        <v>38.440963066569374</v>
      </c>
      <c r="C39" s="27">
        <v>18.846542203843349</v>
      </c>
      <c r="D39" s="27">
        <v>3.0663025014189573</v>
      </c>
      <c r="E39" s="27">
        <v>10.470301224357417</v>
      </c>
      <c r="F39" s="27">
        <v>9.7224225654747443</v>
      </c>
      <c r="G39" s="27">
        <v>3.3654539649720268</v>
      </c>
      <c r="H39" s="27">
        <v>25.3530865361226</v>
      </c>
      <c r="I39" s="27">
        <v>49.95829441336253</v>
      </c>
      <c r="J39" s="27">
        <v>11.816482810346228</v>
      </c>
      <c r="K39" s="27">
        <v>10.021574029027814</v>
      </c>
      <c r="L39" s="27">
        <v>29.690782757642104</v>
      </c>
      <c r="M39" s="27">
        <v>19.220481533284687</v>
      </c>
      <c r="N39" s="27">
        <v>3.9637568920781647</v>
      </c>
      <c r="O39" s="27">
        <v>9.2736953701451412</v>
      </c>
      <c r="P39" s="27">
        <v>4.4872719532960357</v>
      </c>
      <c r="Q39" s="27">
        <v>9.4232711019216744</v>
      </c>
      <c r="R39" s="27">
        <v>9.4232711019216744</v>
      </c>
      <c r="S39" s="27">
        <v>2.8419389037541558</v>
      </c>
      <c r="T39" s="27">
        <v>3.6646054285250966</v>
      </c>
      <c r="U39" s="27">
        <v>80.995258756993451</v>
      </c>
      <c r="V39" s="27">
        <v>8.6006045771507349</v>
      </c>
      <c r="W39" s="27">
        <v>16.976845556636668</v>
      </c>
      <c r="X39" s="27">
        <v>5.2351506121787086</v>
      </c>
      <c r="Y39" s="27">
        <v>2.9915146355306907</v>
      </c>
      <c r="Z39" s="27">
        <v>21.464117509932702</v>
      </c>
      <c r="AA39" s="27">
        <v>25.3530865361226</v>
      </c>
      <c r="AB39" s="27">
        <v>16.602906227195334</v>
      </c>
      <c r="AC39" s="27">
        <v>11.292967749128357</v>
      </c>
      <c r="AD39" s="27">
        <v>20.865814582826566</v>
      </c>
      <c r="AE39" s="27">
        <v>13.013088664558502</v>
      </c>
      <c r="AF39" s="27">
        <v>37.992235871239764</v>
      </c>
      <c r="AG39" s="27">
        <v>12.639149335117166</v>
      </c>
      <c r="AH39" s="27">
        <v>216.43608388064544</v>
      </c>
      <c r="AI39" s="27">
        <v>101.26277041271389</v>
      </c>
      <c r="AJ39" s="27">
        <v>54.744717830211641</v>
      </c>
      <c r="AK39" s="27">
        <v>16.677694093083598</v>
      </c>
      <c r="AL39" s="27">
        <v>10.694664822022219</v>
      </c>
      <c r="AM39" s="27">
        <v>43.526537946971551</v>
      </c>
      <c r="AN39" s="27">
        <v>20.865814582826566</v>
      </c>
      <c r="AO39" s="27">
        <v>18.098663544960676</v>
      </c>
      <c r="AP39" s="27">
        <v>10.545089090245684</v>
      </c>
      <c r="AQ39" s="27">
        <v>19.818784460390823</v>
      </c>
      <c r="AR39" s="27">
        <v>6.6561200640557869</v>
      </c>
      <c r="AS39" s="27">
        <v>20.417087387496963</v>
      </c>
      <c r="AT39" s="27">
        <v>11.666907078569693</v>
      </c>
      <c r="AU39" s="27">
        <v>41.432477702100059</v>
      </c>
      <c r="AV39" s="27">
        <v>6.7309079299440535</v>
      </c>
      <c r="AW39" s="27">
        <v>30.737812880077847</v>
      </c>
      <c r="AX39" s="27">
        <v>17.79951208140761</v>
      </c>
      <c r="AY39" s="27">
        <v>21.688481107597507</v>
      </c>
      <c r="AZ39" s="27">
        <v>17.275997020189738</v>
      </c>
      <c r="BA39" s="27">
        <v>19.220481533284687</v>
      </c>
      <c r="BB39" s="27">
        <v>56.240475147976987</v>
      </c>
      <c r="BC39" s="27">
        <v>38.665326664234179</v>
      </c>
      <c r="BD39" s="27">
        <v>295.56164599043223</v>
      </c>
      <c r="BE39" s="27">
        <v>8.7501803089272698</v>
      </c>
      <c r="BF39" s="27">
        <v>59.531141247060738</v>
      </c>
      <c r="BG39" s="27">
        <v>10.021574029027814</v>
      </c>
      <c r="BH39" s="27">
        <v>8.5258167112624683</v>
      </c>
      <c r="BI39" s="27">
        <v>10.769452687910485</v>
      </c>
      <c r="BJ39" s="27">
        <v>40.609811177329121</v>
      </c>
      <c r="BK39" s="27">
        <v>6.7309079299440535</v>
      </c>
      <c r="BL39" s="27">
        <v>17.051633422524937</v>
      </c>
      <c r="BM39" s="27">
        <v>11.367755615016623</v>
      </c>
      <c r="BN39" s="27">
        <v>19.295269399172955</v>
      </c>
      <c r="BO39" s="27">
        <v>406.09811177329124</v>
      </c>
      <c r="BP39" s="27">
        <v>53.548111975999355</v>
      </c>
      <c r="BQ39" s="27">
        <v>5.6838778075083116</v>
      </c>
      <c r="BR39" s="27">
        <v>25.128722938457802</v>
      </c>
      <c r="BS39" s="27">
        <v>7.10484725938539</v>
      </c>
      <c r="BT39" s="27">
        <v>22.062420437038842</v>
      </c>
      <c r="BU39" s="27">
        <v>7.6283623206032614</v>
      </c>
      <c r="BV39" s="27">
        <v>37.543508675910168</v>
      </c>
      <c r="BW39" s="27">
        <v>12.190422139787565</v>
      </c>
      <c r="BX39" s="27">
        <v>8.8249681748155364</v>
      </c>
      <c r="BY39" s="27">
        <v>17.724724215519341</v>
      </c>
      <c r="BZ39" s="27">
        <v>87.427015223384444</v>
      </c>
      <c r="CA39" s="27">
        <v>10.395513358469149</v>
      </c>
      <c r="CB39" s="27">
        <v>43.077810751641941</v>
      </c>
      <c r="CC39" s="27">
        <v>15.630663970647857</v>
      </c>
      <c r="CD39" s="27">
        <v>52.650657585340156</v>
      </c>
      <c r="CE39" s="27">
        <v>19.519632996837757</v>
      </c>
      <c r="CF39" s="27">
        <v>10.91902841968702</v>
      </c>
      <c r="CG39" s="27">
        <v>15.032361043541721</v>
      </c>
      <c r="CH39" s="27">
        <v>19.07090580150815</v>
      </c>
      <c r="CI39" s="27">
        <v>3.4402418308602938</v>
      </c>
      <c r="CJ39" s="27">
        <v>27.147995317441016</v>
      </c>
      <c r="CK39" s="27">
        <v>3.3654539649720268</v>
      </c>
      <c r="CL39" s="27">
        <v>8.7501803089272698</v>
      </c>
      <c r="CM39" s="27">
        <v>19.07090580150815</v>
      </c>
      <c r="CN39" s="27">
        <v>10.61987695613395</v>
      </c>
      <c r="CO39" s="27">
        <v>0</v>
      </c>
      <c r="CP39" s="27">
        <v>35.599024162815219</v>
      </c>
      <c r="CQ39" s="27">
        <v>0</v>
      </c>
      <c r="CR39" s="27">
        <v>28.120237573988494</v>
      </c>
      <c r="CS39" s="27">
        <v>16.079391165977462</v>
      </c>
      <c r="CT39" s="27">
        <v>39.114053859563782</v>
      </c>
      <c r="CU39" s="27">
        <v>26.400116658558343</v>
      </c>
      <c r="CV39" s="27">
        <v>13.985330921105978</v>
      </c>
      <c r="CW39" s="27">
        <v>10.694664822022219</v>
      </c>
      <c r="CX39" s="27">
        <v>0.22436359766480179</v>
      </c>
      <c r="CY39" s="27">
        <v>16.752481958971867</v>
      </c>
      <c r="CZ39" s="27">
        <v>113.3036168207249</v>
      </c>
      <c r="DA39" s="27">
        <v>13.461815859888107</v>
      </c>
      <c r="DB39" s="27">
        <v>34.028478979161605</v>
      </c>
      <c r="DC39" s="27">
        <v>26.325328792670078</v>
      </c>
      <c r="DD39" s="27">
        <v>22.959874827698048</v>
      </c>
      <c r="DE39" s="27">
        <v>6.805695795832321</v>
      </c>
      <c r="DF39" s="27">
        <v>78.153319853239296</v>
      </c>
      <c r="DG39" s="27">
        <v>10.545089090245684</v>
      </c>
      <c r="DH39" s="27">
        <v>1.7201209154301469</v>
      </c>
      <c r="DI39" s="27">
        <v>27.596722512770619</v>
      </c>
      <c r="DJ39" s="27">
        <v>36.12253922403309</v>
      </c>
      <c r="DK39" s="27">
        <v>34.551994040379476</v>
      </c>
      <c r="DL39" s="27">
        <v>11.068604151463555</v>
      </c>
      <c r="DM39" s="27">
        <v>16.378542629530532</v>
      </c>
      <c r="DN39" s="27">
        <v>14.434058116435581</v>
      </c>
      <c r="DO39" s="27">
        <v>14.733209579988651</v>
      </c>
      <c r="DP39" s="27">
        <v>44.87271953296036</v>
      </c>
      <c r="DQ39" s="27">
        <v>7.8527259182680629</v>
      </c>
      <c r="DR39" s="27">
        <v>18.472602874402014</v>
      </c>
      <c r="DS39" s="27">
        <v>13.087876530446771</v>
      </c>
      <c r="DT39" s="27">
        <v>13.910543055217712</v>
      </c>
      <c r="DU39" s="27">
        <v>9.3484832360334078</v>
      </c>
      <c r="DV39" s="27">
        <v>11.143392017351822</v>
      </c>
      <c r="DW39" s="27">
        <v>35.449448431038682</v>
      </c>
      <c r="DX39" s="27">
        <v>21.987632571150574</v>
      </c>
      <c r="DY39" s="27">
        <v>34.103266845049873</v>
      </c>
      <c r="DZ39" s="27">
        <v>37.169569346468833</v>
      </c>
      <c r="EA39" s="27">
        <v>6.7309079299440535</v>
      </c>
      <c r="EB39" s="27">
        <v>8.9632953638317474</v>
      </c>
      <c r="EC39" s="27">
        <v>9.1292823150138158</v>
      </c>
      <c r="ED39" s="27">
        <v>18.922512434755912</v>
      </c>
      <c r="EE39" s="27">
        <v>16.15606324838809</v>
      </c>
      <c r="EF39" s="27">
        <v>26.391925237949035</v>
      </c>
      <c r="EG39" s="27">
        <v>25.617319465766045</v>
      </c>
      <c r="EH39" s="27">
        <v>21.356987718759598</v>
      </c>
      <c r="EI39" s="27">
        <v>14.772838655204177</v>
      </c>
      <c r="EJ39" s="27">
        <v>22.961528246852932</v>
      </c>
      <c r="EK39" s="27">
        <v>18.258564630027632</v>
      </c>
      <c r="EL39" s="27">
        <v>15.602773411114523</v>
      </c>
      <c r="EM39" s="27">
        <v>23.902120970217993</v>
      </c>
      <c r="EN39" s="27">
        <v>21.633632637396381</v>
      </c>
      <c r="EO39" s="27">
        <v>37.402392999692971</v>
      </c>
      <c r="EP39" s="27">
        <v>37.623708934602398</v>
      </c>
      <c r="EQ39" s="27">
        <v>40.113513202333436</v>
      </c>
      <c r="ER39" s="27">
        <v>14.385535769112682</v>
      </c>
      <c r="ES39" s="27">
        <v>26.834557107767885</v>
      </c>
      <c r="ET39" s="27">
        <v>14.440864752840039</v>
      </c>
      <c r="EU39" s="27">
        <v>12.725666257291987</v>
      </c>
      <c r="EV39" s="27">
        <v>20.582381946576607</v>
      </c>
      <c r="EW39" s="27">
        <v>19.254486337120049</v>
      </c>
      <c r="EX39" s="27">
        <v>9.5165852011053111</v>
      </c>
      <c r="EY39" s="27">
        <v>35.023246699416639</v>
      </c>
      <c r="EZ39" s="27">
        <v>17.649945809026711</v>
      </c>
      <c r="FA39" s="27">
        <v>16.59869511820694</v>
      </c>
      <c r="FB39" s="27">
        <v>17.373300890389931</v>
      </c>
      <c r="FC39" s="27">
        <v>32.976074301504454</v>
      </c>
      <c r="FD39" s="27">
        <v>26.447254221676388</v>
      </c>
      <c r="FE39" s="27">
        <v>23.127515198035002</v>
      </c>
      <c r="FF39" s="27">
        <v>14.27487780165797</v>
      </c>
      <c r="FG39" s="27">
        <v>14.496193736567394</v>
      </c>
      <c r="FH39" s="27">
        <v>20.63771093030396</v>
      </c>
      <c r="FI39" s="27">
        <v>25.672648449493398</v>
      </c>
    </row>
    <row r="40" spans="1:165" x14ac:dyDescent="0.3">
      <c r="A40" s="4" t="s">
        <v>3035</v>
      </c>
      <c r="B40" s="27">
        <v>38.448985850968953</v>
      </c>
      <c r="C40" s="27">
        <v>18.850475553393338</v>
      </c>
      <c r="D40" s="27">
        <v>3.0669424511473284</v>
      </c>
      <c r="E40" s="27">
        <v>10.472486418551854</v>
      </c>
      <c r="F40" s="27">
        <v>9.724451674369579</v>
      </c>
      <c r="G40" s="27">
        <v>3.3661563488202391</v>
      </c>
      <c r="H40" s="27">
        <v>25.358377827779133</v>
      </c>
      <c r="I40" s="27">
        <v>49.968720911375989</v>
      </c>
      <c r="J40" s="27">
        <v>11.81894895807995</v>
      </c>
      <c r="K40" s="27">
        <v>10.023665572042491</v>
      </c>
      <c r="L40" s="27">
        <v>29.696979344036333</v>
      </c>
      <c r="M40" s="27">
        <v>19.224492925484476</v>
      </c>
      <c r="N40" s="27">
        <v>3.964584144166059</v>
      </c>
      <c r="O40" s="27">
        <v>9.2756308278602155</v>
      </c>
      <c r="P40" s="27">
        <v>4.4882084650936518</v>
      </c>
      <c r="Q40" s="27">
        <v>9.4252377766966688</v>
      </c>
      <c r="R40" s="27">
        <v>9.4252377766966688</v>
      </c>
      <c r="S40" s="27">
        <v>2.8425320278926463</v>
      </c>
      <c r="T40" s="27">
        <v>3.6653702464931497</v>
      </c>
      <c r="U40" s="27">
        <v>81.012162794940423</v>
      </c>
      <c r="V40" s="27">
        <v>8.6023995580961667</v>
      </c>
      <c r="W40" s="27">
        <v>16.980388692937652</v>
      </c>
      <c r="X40" s="27">
        <v>5.2362432092759272</v>
      </c>
      <c r="Y40" s="27">
        <v>2.9921389767291018</v>
      </c>
      <c r="Z40" s="27">
        <v>21.468597158031301</v>
      </c>
      <c r="AA40" s="27">
        <v>25.358377827779133</v>
      </c>
      <c r="AB40" s="27">
        <v>16.606371320846513</v>
      </c>
      <c r="AC40" s="27">
        <v>11.295324637152358</v>
      </c>
      <c r="AD40" s="27">
        <v>20.870169362685481</v>
      </c>
      <c r="AE40" s="27">
        <v>13.015804548771589</v>
      </c>
      <c r="AF40" s="27">
        <v>38.000165004459582</v>
      </c>
      <c r="AG40" s="27">
        <v>12.641787176680452</v>
      </c>
      <c r="AH40" s="27">
        <v>216.48125496635046</v>
      </c>
      <c r="AI40" s="27">
        <v>101.28390436228008</v>
      </c>
      <c r="AJ40" s="27">
        <v>54.756143274142559</v>
      </c>
      <c r="AK40" s="27">
        <v>16.681174795264742</v>
      </c>
      <c r="AL40" s="27">
        <v>10.696896841806538</v>
      </c>
      <c r="AM40" s="27">
        <v>43.535622111408429</v>
      </c>
      <c r="AN40" s="27">
        <v>20.870169362685481</v>
      </c>
      <c r="AO40" s="27">
        <v>18.102440809211064</v>
      </c>
      <c r="AP40" s="27">
        <v>10.547289892970083</v>
      </c>
      <c r="AQ40" s="27">
        <v>19.822920720830297</v>
      </c>
      <c r="AR40" s="27">
        <v>6.6575092232222506</v>
      </c>
      <c r="AS40" s="27">
        <v>20.421348516176117</v>
      </c>
      <c r="AT40" s="27">
        <v>11.669342009243495</v>
      </c>
      <c r="AU40" s="27">
        <v>41.441124827698047</v>
      </c>
      <c r="AV40" s="27">
        <v>6.7323126976404781</v>
      </c>
      <c r="AW40" s="27">
        <v>30.744227985891516</v>
      </c>
      <c r="AX40" s="27">
        <v>17.803226911538154</v>
      </c>
      <c r="AY40" s="27">
        <v>21.693007581285986</v>
      </c>
      <c r="AZ40" s="27">
        <v>17.279602590610562</v>
      </c>
      <c r="BA40" s="27">
        <v>19.224492925484476</v>
      </c>
      <c r="BB40" s="27">
        <v>56.252212762507106</v>
      </c>
      <c r="BC40" s="27">
        <v>38.673396274223634</v>
      </c>
      <c r="BD40" s="27">
        <v>295.62333090083524</v>
      </c>
      <c r="BE40" s="27">
        <v>8.7520065069326201</v>
      </c>
      <c r="BF40" s="27">
        <v>59.543565636909115</v>
      </c>
      <c r="BG40" s="27">
        <v>10.023665572042491</v>
      </c>
      <c r="BH40" s="27">
        <v>8.5275960836779401</v>
      </c>
      <c r="BI40" s="27">
        <v>10.771700316224765</v>
      </c>
      <c r="BJ40" s="27">
        <v>40.618286609097545</v>
      </c>
      <c r="BK40" s="27">
        <v>6.7323126976404781</v>
      </c>
      <c r="BL40" s="27">
        <v>17.05519216735588</v>
      </c>
      <c r="BM40" s="27">
        <v>11.370128111570585</v>
      </c>
      <c r="BN40" s="27">
        <v>19.299296399902705</v>
      </c>
      <c r="BO40" s="27">
        <v>406.18286609097549</v>
      </c>
      <c r="BP40" s="27">
        <v>53.559287683450911</v>
      </c>
      <c r="BQ40" s="27">
        <v>5.6850640557852925</v>
      </c>
      <c r="BR40" s="27">
        <v>25.133967404524451</v>
      </c>
      <c r="BS40" s="27">
        <v>7.1063300697316159</v>
      </c>
      <c r="BT40" s="27">
        <v>22.067024953377121</v>
      </c>
      <c r="BU40" s="27">
        <v>7.6299543906592087</v>
      </c>
      <c r="BV40" s="27">
        <v>37.551344157950226</v>
      </c>
      <c r="BW40" s="27">
        <v>12.192966330171089</v>
      </c>
      <c r="BX40" s="27">
        <v>8.8268099813508485</v>
      </c>
      <c r="BY40" s="27">
        <v>17.728423437119925</v>
      </c>
      <c r="BZ40" s="27">
        <v>87.445261594908004</v>
      </c>
      <c r="CA40" s="27">
        <v>10.397682944133626</v>
      </c>
      <c r="CB40" s="27">
        <v>43.086801264899059</v>
      </c>
      <c r="CC40" s="27">
        <v>15.633926153409554</v>
      </c>
      <c r="CD40" s="27">
        <v>52.661645990432184</v>
      </c>
      <c r="CE40" s="27">
        <v>19.523706823157386</v>
      </c>
      <c r="CF40" s="27">
        <v>10.92130726506122</v>
      </c>
      <c r="CG40" s="27">
        <v>15.035498358063736</v>
      </c>
      <c r="CH40" s="27">
        <v>19.074885976648019</v>
      </c>
      <c r="CI40" s="27">
        <v>3.4409598232384662</v>
      </c>
      <c r="CJ40" s="27">
        <v>27.153661213816594</v>
      </c>
      <c r="CK40" s="27">
        <v>3.3661563488202391</v>
      </c>
      <c r="CL40" s="27">
        <v>8.7520065069326201</v>
      </c>
      <c r="CM40" s="27">
        <v>19.074885976648019</v>
      </c>
      <c r="CN40" s="27">
        <v>10.62209336738831</v>
      </c>
      <c r="CO40" s="27">
        <v>0</v>
      </c>
      <c r="CP40" s="27">
        <v>35.606453823076308</v>
      </c>
      <c r="CQ40" s="27">
        <v>0</v>
      </c>
      <c r="CR40" s="27">
        <v>28.126106381253553</v>
      </c>
      <c r="CS40" s="27">
        <v>16.082746999918921</v>
      </c>
      <c r="CT40" s="27">
        <v>39.122217120733005</v>
      </c>
      <c r="CU40" s="27">
        <v>26.405626469634317</v>
      </c>
      <c r="CV40" s="27">
        <v>13.988249716208548</v>
      </c>
      <c r="CW40" s="27">
        <v>10.696896841806538</v>
      </c>
      <c r="CX40" s="27">
        <v>0.22441042325468261</v>
      </c>
      <c r="CY40" s="27">
        <v>16.755978269682966</v>
      </c>
      <c r="CZ40" s="27">
        <v>113.32726374361471</v>
      </c>
      <c r="DA40" s="27">
        <v>13.464625395280956</v>
      </c>
      <c r="DB40" s="27">
        <v>34.035580860293528</v>
      </c>
      <c r="DC40" s="27">
        <v>26.330822995216092</v>
      </c>
      <c r="DD40" s="27">
        <v>22.964666646395852</v>
      </c>
      <c r="DE40" s="27">
        <v>6.8071161720587057</v>
      </c>
      <c r="DF40" s="27">
        <v>78.169630767047778</v>
      </c>
      <c r="DG40" s="27">
        <v>10.547289892970083</v>
      </c>
      <c r="DH40" s="27">
        <v>1.7204799116192331</v>
      </c>
      <c r="DI40" s="27">
        <v>27.602482060325958</v>
      </c>
      <c r="DJ40" s="27">
        <v>36.130078144003903</v>
      </c>
      <c r="DK40" s="27">
        <v>34.559205181221124</v>
      </c>
      <c r="DL40" s="27">
        <v>11.070914213897675</v>
      </c>
      <c r="DM40" s="27">
        <v>16.381960897591828</v>
      </c>
      <c r="DN40" s="27">
        <v>14.437070562717913</v>
      </c>
      <c r="DO40" s="27">
        <v>14.736284460390824</v>
      </c>
      <c r="DP40" s="27">
        <v>44.882084650936527</v>
      </c>
      <c r="DQ40" s="27">
        <v>7.8543648139138913</v>
      </c>
      <c r="DR40" s="27">
        <v>18.476458181302203</v>
      </c>
      <c r="DS40" s="27">
        <v>13.090608023189818</v>
      </c>
      <c r="DT40" s="27">
        <v>13.913446241790322</v>
      </c>
      <c r="DU40" s="27">
        <v>9.3504343022784422</v>
      </c>
      <c r="DV40" s="27">
        <v>11.145717688315901</v>
      </c>
      <c r="DW40" s="27">
        <v>35.456846874239851</v>
      </c>
      <c r="DX40" s="27">
        <v>21.992221478958893</v>
      </c>
      <c r="DY40" s="27">
        <v>34.11038433471176</v>
      </c>
      <c r="DZ40" s="27">
        <v>37.177326785859087</v>
      </c>
      <c r="EA40" s="27">
        <v>6.7323126976404781</v>
      </c>
      <c r="EB40" s="27">
        <v>8.9114983880871961</v>
      </c>
      <c r="EC40" s="27">
        <v>9.0765261360147367</v>
      </c>
      <c r="ED40" s="27">
        <v>18.813163263739639</v>
      </c>
      <c r="EE40" s="27">
        <v>16.062700798280627</v>
      </c>
      <c r="EF40" s="27">
        <v>26.239411920478968</v>
      </c>
      <c r="EG40" s="27">
        <v>25.469282430150443</v>
      </c>
      <c r="EH40" s="27">
        <v>21.233570233343567</v>
      </c>
      <c r="EI40" s="27">
        <v>14.687469565551121</v>
      </c>
      <c r="EJ40" s="27">
        <v>22.82883846330979</v>
      </c>
      <c r="EK40" s="27">
        <v>18.153052272029473</v>
      </c>
      <c r="EL40" s="27">
        <v>15.512608305188824</v>
      </c>
      <c r="EM40" s="27">
        <v>23.763995701565857</v>
      </c>
      <c r="EN40" s="27">
        <v>21.508616479889469</v>
      </c>
      <c r="EO40" s="27">
        <v>37.186252533005828</v>
      </c>
      <c r="EP40" s="27">
        <v>37.406289530242553</v>
      </c>
      <c r="EQ40" s="27">
        <v>39.881705749155664</v>
      </c>
      <c r="ER40" s="27">
        <v>14.302404820386858</v>
      </c>
      <c r="ES40" s="27">
        <v>26.679485914952409</v>
      </c>
      <c r="ET40" s="27">
        <v>14.357414069696041</v>
      </c>
      <c r="EU40" s="27">
        <v>12.652127341111452</v>
      </c>
      <c r="EV40" s="27">
        <v>20.463440743015045</v>
      </c>
      <c r="EW40" s="27">
        <v>19.143218759594717</v>
      </c>
      <c r="EX40" s="27">
        <v>9.4615908811789993</v>
      </c>
      <c r="EY40" s="27">
        <v>34.820854812711076</v>
      </c>
      <c r="EZ40" s="27">
        <v>17.547950529628491</v>
      </c>
      <c r="FA40" s="27">
        <v>16.502774792754067</v>
      </c>
      <c r="FB40" s="27">
        <v>17.272904283082593</v>
      </c>
      <c r="FC40" s="27">
        <v>32.785512588271416</v>
      </c>
      <c r="FD40" s="27">
        <v>26.294421169788148</v>
      </c>
      <c r="FE40" s="27">
        <v>22.993866211237336</v>
      </c>
      <c r="FF40" s="27">
        <v>14.192386321768499</v>
      </c>
      <c r="FG40" s="27">
        <v>14.412423319005217</v>
      </c>
      <c r="FH40" s="27">
        <v>20.518449992324225</v>
      </c>
      <c r="FI40" s="27">
        <v>25.524291679459623</v>
      </c>
    </row>
    <row r="41" spans="1:165" x14ac:dyDescent="0.3">
      <c r="A41" s="4" t="s">
        <v>3036</v>
      </c>
      <c r="B41" s="27">
        <v>38.084105448795931</v>
      </c>
      <c r="C41" s="27">
        <v>18.671584772561427</v>
      </c>
      <c r="D41" s="27">
        <v>3.037837205059597</v>
      </c>
      <c r="E41" s="27">
        <v>10.373102651423014</v>
      </c>
      <c r="F41" s="27">
        <v>9.6321667477499435</v>
      </c>
      <c r="G41" s="27">
        <v>3.3342115665288259</v>
      </c>
      <c r="H41" s="27">
        <v>25.117727134517157</v>
      </c>
      <c r="I41" s="27">
        <v>49.494518365361237</v>
      </c>
      <c r="J41" s="27">
        <v>11.706787278034545</v>
      </c>
      <c r="K41" s="27">
        <v>9.9285411092191715</v>
      </c>
      <c r="L41" s="27">
        <v>29.415155375820977</v>
      </c>
      <c r="M41" s="27">
        <v>19.042052724397966</v>
      </c>
      <c r="N41" s="27">
        <v>3.9269602894672837</v>
      </c>
      <c r="O41" s="27">
        <v>9.1876052055461006</v>
      </c>
      <c r="P41" s="27">
        <v>4.4456154220384354</v>
      </c>
      <c r="Q41" s="27">
        <v>9.3357923862807137</v>
      </c>
      <c r="R41" s="27">
        <v>9.3357923862807137</v>
      </c>
      <c r="S41" s="27">
        <v>2.8155564339576755</v>
      </c>
      <c r="T41" s="27">
        <v>3.6305859279980557</v>
      </c>
      <c r="U41" s="27">
        <v>80.243358367793746</v>
      </c>
      <c r="V41" s="27">
        <v>8.5207628922403345</v>
      </c>
      <c r="W41" s="27">
        <v>16.819245013378747</v>
      </c>
      <c r="X41" s="27">
        <v>5.1865513257115072</v>
      </c>
      <c r="Y41" s="27">
        <v>2.96374361469229</v>
      </c>
      <c r="Z41" s="27">
        <v>21.26486043541718</v>
      </c>
      <c r="AA41" s="27">
        <v>25.117727134517157</v>
      </c>
      <c r="AB41" s="27">
        <v>16.448777061542209</v>
      </c>
      <c r="AC41" s="27">
        <v>11.188132145463394</v>
      </c>
      <c r="AD41" s="27">
        <v>20.672111712478724</v>
      </c>
      <c r="AE41" s="27">
        <v>12.892284723911461</v>
      </c>
      <c r="AF41" s="27">
        <v>37.639543906592081</v>
      </c>
      <c r="AG41" s="27">
        <v>12.521816772074924</v>
      </c>
      <c r="AH41" s="27">
        <v>214.42685052298717</v>
      </c>
      <c r="AI41" s="27">
        <v>100.32272135733402</v>
      </c>
      <c r="AJ41" s="27">
        <v>54.236508148868907</v>
      </c>
      <c r="AK41" s="27">
        <v>16.522870651909518</v>
      </c>
      <c r="AL41" s="27">
        <v>10.595383422524938</v>
      </c>
      <c r="AM41" s="27">
        <v>43.12246959377282</v>
      </c>
      <c r="AN41" s="27">
        <v>20.672111712478724</v>
      </c>
      <c r="AO41" s="27">
        <v>17.930648868888355</v>
      </c>
      <c r="AP41" s="27">
        <v>10.447196241790323</v>
      </c>
      <c r="AQ41" s="27">
        <v>19.634801447336422</v>
      </c>
      <c r="AR41" s="27">
        <v>6.5943295426903452</v>
      </c>
      <c r="AS41" s="27">
        <v>20.227550170274881</v>
      </c>
      <c r="AT41" s="27">
        <v>11.55860009729993</v>
      </c>
      <c r="AU41" s="27">
        <v>41.047849063488215</v>
      </c>
      <c r="AV41" s="27">
        <v>6.6684231330576518</v>
      </c>
      <c r="AW41" s="27">
        <v>30.452465640963279</v>
      </c>
      <c r="AX41" s="27">
        <v>17.634274507419128</v>
      </c>
      <c r="AY41" s="27">
        <v>21.487141206519102</v>
      </c>
      <c r="AZ41" s="27">
        <v>17.115619374847977</v>
      </c>
      <c r="BA41" s="27">
        <v>19.042052724397966</v>
      </c>
      <c r="BB41" s="27">
        <v>55.718379956215053</v>
      </c>
      <c r="BC41" s="27">
        <v>38.306386219897853</v>
      </c>
      <c r="BD41" s="27">
        <v>292.81786913159829</v>
      </c>
      <c r="BE41" s="27">
        <v>8.6689500729749476</v>
      </c>
      <c r="BF41" s="27">
        <v>58.978497932376563</v>
      </c>
      <c r="BG41" s="27">
        <v>9.9285411092191715</v>
      </c>
      <c r="BH41" s="27">
        <v>8.4466693018730279</v>
      </c>
      <c r="BI41" s="27">
        <v>10.669477012892244</v>
      </c>
      <c r="BJ41" s="27">
        <v>40.232819569447834</v>
      </c>
      <c r="BK41" s="27">
        <v>6.6684231330576518</v>
      </c>
      <c r="BL41" s="27">
        <v>16.893338603746056</v>
      </c>
      <c r="BM41" s="27">
        <v>11.262225735830702</v>
      </c>
      <c r="BN41" s="27">
        <v>19.11614631476527</v>
      </c>
      <c r="BO41" s="27">
        <v>402.32819569447838</v>
      </c>
      <c r="BP41" s="27">
        <v>53.051010702991981</v>
      </c>
      <c r="BQ41" s="27">
        <v>5.631112867915351</v>
      </c>
      <c r="BR41" s="27">
        <v>24.895446363415235</v>
      </c>
      <c r="BS41" s="27">
        <v>7.0388910848941881</v>
      </c>
      <c r="BT41" s="27">
        <v>21.85760915835564</v>
      </c>
      <c r="BU41" s="27">
        <v>7.5575462174653394</v>
      </c>
      <c r="BV41" s="27">
        <v>37.194982364388245</v>
      </c>
      <c r="BW41" s="27">
        <v>12.077255229871081</v>
      </c>
      <c r="BX41" s="27">
        <v>8.7430436633422559</v>
      </c>
      <c r="BY41" s="27">
        <v>17.56018091705182</v>
      </c>
      <c r="BZ41" s="27">
        <v>86.615407139382185</v>
      </c>
      <c r="CA41" s="27">
        <v>10.299009061055708</v>
      </c>
      <c r="CB41" s="27">
        <v>42.677908051568977</v>
      </c>
      <c r="CC41" s="27">
        <v>15.485560386767213</v>
      </c>
      <c r="CD41" s="27">
        <v>52.161887618584302</v>
      </c>
      <c r="CE41" s="27">
        <v>19.338427085867195</v>
      </c>
      <c r="CF41" s="27">
        <v>10.817664193626859</v>
      </c>
      <c r="CG41" s="27">
        <v>14.892811663828757</v>
      </c>
      <c r="CH41" s="27">
        <v>18.893865543663349</v>
      </c>
      <c r="CI41" s="27">
        <v>3.4083051568961329</v>
      </c>
      <c r="CJ41" s="27">
        <v>26.895973303332529</v>
      </c>
      <c r="CK41" s="27">
        <v>3.3342115665288259</v>
      </c>
      <c r="CL41" s="27">
        <v>8.6689500729749476</v>
      </c>
      <c r="CM41" s="27">
        <v>18.893865543663349</v>
      </c>
      <c r="CN41" s="27">
        <v>10.521289832157629</v>
      </c>
      <c r="CO41" s="27">
        <v>0</v>
      </c>
      <c r="CP41" s="27">
        <v>35.268549014838257</v>
      </c>
      <c r="CQ41" s="27">
        <v>0</v>
      </c>
      <c r="CR41" s="27">
        <v>27.859189978107526</v>
      </c>
      <c r="CS41" s="27">
        <v>15.93012192897106</v>
      </c>
      <c r="CT41" s="27">
        <v>38.750947762101696</v>
      </c>
      <c r="CU41" s="27">
        <v>26.155037399659456</v>
      </c>
      <c r="CV41" s="27">
        <v>13.855501398686455</v>
      </c>
      <c r="CW41" s="27">
        <v>10.595383422524938</v>
      </c>
      <c r="CX41" s="27">
        <v>0.22228077110192174</v>
      </c>
      <c r="CY41" s="27">
        <v>16.596964242276822</v>
      </c>
      <c r="CZ41" s="27">
        <v>112.25178940647048</v>
      </c>
      <c r="DA41" s="27">
        <v>13.336846266115304</v>
      </c>
      <c r="DB41" s="27">
        <v>33.7125836171248</v>
      </c>
      <c r="DC41" s="27">
        <v>26.080943809292151</v>
      </c>
      <c r="DD41" s="27">
        <v>22.746732242763326</v>
      </c>
      <c r="DE41" s="27">
        <v>6.7425167234249592</v>
      </c>
      <c r="DF41" s="27">
        <v>77.427801933836079</v>
      </c>
      <c r="DG41" s="27">
        <v>10.447196241790323</v>
      </c>
      <c r="DH41" s="27">
        <v>1.7041525784480664</v>
      </c>
      <c r="DI41" s="27">
        <v>27.340534845536371</v>
      </c>
      <c r="DJ41" s="27">
        <v>35.787204147409405</v>
      </c>
      <c r="DK41" s="27">
        <v>34.231238749695954</v>
      </c>
      <c r="DL41" s="27">
        <v>10.965851374361472</v>
      </c>
      <c r="DM41" s="27">
        <v>16.226496290440288</v>
      </c>
      <c r="DN41" s="27">
        <v>14.300062940890298</v>
      </c>
      <c r="DO41" s="27">
        <v>14.596437302359528</v>
      </c>
      <c r="DP41" s="27">
        <v>44.456154220384349</v>
      </c>
      <c r="DQ41" s="27">
        <v>7.7798269885672608</v>
      </c>
      <c r="DR41" s="27">
        <v>18.301116820724893</v>
      </c>
      <c r="DS41" s="27">
        <v>12.966378314278767</v>
      </c>
      <c r="DT41" s="27">
        <v>13.781407808319148</v>
      </c>
      <c r="DU41" s="27">
        <v>9.2616987959134072</v>
      </c>
      <c r="DV41" s="27">
        <v>11.039944964728781</v>
      </c>
      <c r="DW41" s="27">
        <v>35.12036183410364</v>
      </c>
      <c r="DX41" s="27">
        <v>21.783515567988331</v>
      </c>
      <c r="DY41" s="27">
        <v>33.786677207492112</v>
      </c>
      <c r="DZ41" s="27">
        <v>36.824514412551707</v>
      </c>
      <c r="EA41" s="27">
        <v>6.6684231330576518</v>
      </c>
      <c r="EB41" s="27">
        <v>8.8437662726435367</v>
      </c>
      <c r="EC41" s="27">
        <v>9.0075397221369364</v>
      </c>
      <c r="ED41" s="27">
        <v>18.670173242247468</v>
      </c>
      <c r="EE41" s="27">
        <v>15.940615750690823</v>
      </c>
      <c r="EF41" s="27">
        <v>26.039978469450418</v>
      </c>
      <c r="EG41" s="27">
        <v>25.275702371814557</v>
      </c>
      <c r="EH41" s="27">
        <v>21.07218383481732</v>
      </c>
      <c r="EI41" s="27">
        <v>14.575837004912499</v>
      </c>
      <c r="EJ41" s="27">
        <v>22.655327179920171</v>
      </c>
      <c r="EK41" s="27">
        <v>18.015079444273873</v>
      </c>
      <c r="EL41" s="27">
        <v>15.394704252379492</v>
      </c>
      <c r="EM41" s="27">
        <v>23.583376727049437</v>
      </c>
      <c r="EN41" s="27">
        <v>21.345139583972987</v>
      </c>
      <c r="EO41" s="27">
        <v>36.903617285845868</v>
      </c>
      <c r="EP41" s="27">
        <v>37.121981885170406</v>
      </c>
      <c r="EQ41" s="27">
        <v>39.57858362757139</v>
      </c>
      <c r="ER41" s="27">
        <v>14.193698956094567</v>
      </c>
      <c r="ES41" s="27">
        <v>26.476707668099479</v>
      </c>
      <c r="ET41" s="27">
        <v>14.248290105925703</v>
      </c>
      <c r="EU41" s="27">
        <v>12.555964461160579</v>
      </c>
      <c r="EV41" s="27">
        <v>20.307907737181459</v>
      </c>
      <c r="EW41" s="27">
        <v>18.997720141234264</v>
      </c>
      <c r="EX41" s="27">
        <v>9.3896777709548669</v>
      </c>
      <c r="EY41" s="27">
        <v>34.556197843107157</v>
      </c>
      <c r="EZ41" s="27">
        <v>17.41457679613141</v>
      </c>
      <c r="FA41" s="27">
        <v>16.377344949339886</v>
      </c>
      <c r="FB41" s="27">
        <v>17.141621046975747</v>
      </c>
      <c r="FC41" s="27">
        <v>32.536325299355241</v>
      </c>
      <c r="FD41" s="27">
        <v>26.09456961928155</v>
      </c>
      <c r="FE41" s="27">
        <v>22.819100629413573</v>
      </c>
      <c r="FF41" s="27">
        <v>14.084516656432303</v>
      </c>
      <c r="FG41" s="27">
        <v>14.302881255756832</v>
      </c>
      <c r="FH41" s="27">
        <v>20.362498887012588</v>
      </c>
      <c r="FI41" s="27">
        <v>25.330293521645689</v>
      </c>
    </row>
    <row r="42" spans="1:165" x14ac:dyDescent="0.3">
      <c r="A42" s="4" t="s">
        <v>3037</v>
      </c>
      <c r="B42" s="27">
        <v>37.925056352874414</v>
      </c>
      <c r="C42" s="27">
        <v>18.593607394794457</v>
      </c>
      <c r="D42" s="27">
        <v>3.0251504094705264</v>
      </c>
      <c r="E42" s="27">
        <v>10.329781885996923</v>
      </c>
      <c r="F42" s="27">
        <v>9.5919403227114266</v>
      </c>
      <c r="G42" s="27">
        <v>3.3202870347847244</v>
      </c>
      <c r="H42" s="27">
        <v>25.012828995378257</v>
      </c>
      <c r="I42" s="27">
        <v>49.287816427471022</v>
      </c>
      <c r="J42" s="27">
        <v>11.657896699910811</v>
      </c>
      <c r="K42" s="27">
        <v>9.8870769480256264</v>
      </c>
      <c r="L42" s="27">
        <v>29.292310062434126</v>
      </c>
      <c r="M42" s="27">
        <v>18.962528176437207</v>
      </c>
      <c r="N42" s="27">
        <v>3.9105602854131201</v>
      </c>
      <c r="O42" s="27">
        <v>9.1492353847401304</v>
      </c>
      <c r="P42" s="27">
        <v>4.4270493797129662</v>
      </c>
      <c r="Q42" s="27">
        <v>9.2968036973972286</v>
      </c>
      <c r="R42" s="27">
        <v>9.2968036973972286</v>
      </c>
      <c r="S42" s="27">
        <v>2.8037979404848783</v>
      </c>
      <c r="T42" s="27">
        <v>3.6154236600989229</v>
      </c>
      <c r="U42" s="27">
        <v>79.90824130381904</v>
      </c>
      <c r="V42" s="27">
        <v>8.4851779777831862</v>
      </c>
      <c r="W42" s="27">
        <v>16.749003486580722</v>
      </c>
      <c r="X42" s="27">
        <v>5.1648909429984613</v>
      </c>
      <c r="Y42" s="27">
        <v>2.9513662531419778</v>
      </c>
      <c r="Z42" s="27">
        <v>21.176052866293688</v>
      </c>
      <c r="AA42" s="27">
        <v>25.012828995378257</v>
      </c>
      <c r="AB42" s="27">
        <v>16.380082704937973</v>
      </c>
      <c r="AC42" s="27">
        <v>11.141407605610965</v>
      </c>
      <c r="AD42" s="27">
        <v>20.585779615665292</v>
      </c>
      <c r="AE42" s="27">
        <v>12.838443201167602</v>
      </c>
      <c r="AF42" s="27">
        <v>37.482351414903114</v>
      </c>
      <c r="AG42" s="27">
        <v>12.469522419524854</v>
      </c>
      <c r="AH42" s="27">
        <v>213.53134841482205</v>
      </c>
      <c r="AI42" s="27">
        <v>99.903747668855942</v>
      </c>
      <c r="AJ42" s="27">
        <v>54.01000243249819</v>
      </c>
      <c r="AK42" s="27">
        <v>16.453866861266526</v>
      </c>
      <c r="AL42" s="27">
        <v>10.551134354982571</v>
      </c>
      <c r="AM42" s="27">
        <v>42.942378983215775</v>
      </c>
      <c r="AN42" s="27">
        <v>20.585779615665292</v>
      </c>
      <c r="AO42" s="27">
        <v>17.855765831508965</v>
      </c>
      <c r="AP42" s="27">
        <v>10.403566042325471</v>
      </c>
      <c r="AQ42" s="27">
        <v>19.552801427065599</v>
      </c>
      <c r="AR42" s="27">
        <v>6.5667899132409007</v>
      </c>
      <c r="AS42" s="27">
        <v>20.143074677693996</v>
      </c>
      <c r="AT42" s="27">
        <v>11.510328387253713</v>
      </c>
      <c r="AU42" s="27">
        <v>40.876422606016384</v>
      </c>
      <c r="AV42" s="27">
        <v>6.6405740695694488</v>
      </c>
      <c r="AW42" s="27">
        <v>30.325288251033818</v>
      </c>
      <c r="AX42" s="27">
        <v>17.560629206194768</v>
      </c>
      <c r="AY42" s="27">
        <v>21.397405335279338</v>
      </c>
      <c r="AZ42" s="27">
        <v>17.044140111894922</v>
      </c>
      <c r="BA42" s="27">
        <v>18.962528176437207</v>
      </c>
      <c r="BB42" s="27">
        <v>55.485685559069182</v>
      </c>
      <c r="BC42" s="27">
        <v>38.146408821860064</v>
      </c>
      <c r="BD42" s="27">
        <v>291.59498581042737</v>
      </c>
      <c r="BE42" s="27">
        <v>8.6327462904402825</v>
      </c>
      <c r="BF42" s="27">
        <v>58.732188437525345</v>
      </c>
      <c r="BG42" s="27">
        <v>9.8870769480256264</v>
      </c>
      <c r="BH42" s="27">
        <v>8.4113938214546362</v>
      </c>
      <c r="BI42" s="27">
        <v>10.624918511311119</v>
      </c>
      <c r="BJ42" s="27">
        <v>40.064796886402341</v>
      </c>
      <c r="BK42" s="27">
        <v>6.6405740695694488</v>
      </c>
      <c r="BL42" s="27">
        <v>16.822787642909272</v>
      </c>
      <c r="BM42" s="27">
        <v>11.215191761939513</v>
      </c>
      <c r="BN42" s="27">
        <v>19.036312332765757</v>
      </c>
      <c r="BO42" s="27">
        <v>400.64796886402343</v>
      </c>
      <c r="BP42" s="27">
        <v>52.829455931241391</v>
      </c>
      <c r="BQ42" s="27">
        <v>5.6075958809697566</v>
      </c>
      <c r="BR42" s="27">
        <v>24.791476526392611</v>
      </c>
      <c r="BS42" s="27">
        <v>7.0094948512121968</v>
      </c>
      <c r="BT42" s="27">
        <v>21.766326116922084</v>
      </c>
      <c r="BU42" s="27">
        <v>7.525983945512043</v>
      </c>
      <c r="BV42" s="27">
        <v>37.039646476931821</v>
      </c>
      <c r="BW42" s="27">
        <v>12.026817481553559</v>
      </c>
      <c r="BX42" s="27">
        <v>8.7065304467688343</v>
      </c>
      <c r="BY42" s="27">
        <v>17.486845049866218</v>
      </c>
      <c r="BZ42" s="27">
        <v>86.253678748074307</v>
      </c>
      <c r="CA42" s="27">
        <v>10.255997729668371</v>
      </c>
      <c r="CB42" s="27">
        <v>42.499674045244475</v>
      </c>
      <c r="CC42" s="27">
        <v>15.420888672666832</v>
      </c>
      <c r="CD42" s="27">
        <v>51.944046055298806</v>
      </c>
      <c r="CE42" s="27">
        <v>19.257664801751407</v>
      </c>
      <c r="CF42" s="27">
        <v>10.772486823968219</v>
      </c>
      <c r="CG42" s="27">
        <v>14.830615422038438</v>
      </c>
      <c r="CH42" s="27">
        <v>18.814959863780107</v>
      </c>
      <c r="CI42" s="27">
        <v>3.3940711911132739</v>
      </c>
      <c r="CJ42" s="27">
        <v>26.783648747263445</v>
      </c>
      <c r="CK42" s="27">
        <v>3.3202870347847244</v>
      </c>
      <c r="CL42" s="27">
        <v>8.6327462904402825</v>
      </c>
      <c r="CM42" s="27">
        <v>18.814959863780107</v>
      </c>
      <c r="CN42" s="27">
        <v>10.477350198654019</v>
      </c>
      <c r="CO42" s="27">
        <v>0</v>
      </c>
      <c r="CP42" s="27">
        <v>35.121258412389537</v>
      </c>
      <c r="CQ42" s="27">
        <v>0</v>
      </c>
      <c r="CR42" s="27">
        <v>27.742842779534591</v>
      </c>
      <c r="CS42" s="27">
        <v>15.86359361063813</v>
      </c>
      <c r="CT42" s="27">
        <v>38.589113759831356</v>
      </c>
      <c r="CU42" s="27">
        <v>26.045807183977949</v>
      </c>
      <c r="CV42" s="27">
        <v>13.797637233438746</v>
      </c>
      <c r="CW42" s="27">
        <v>10.551134354982571</v>
      </c>
      <c r="CX42" s="27">
        <v>0.22135246898564831</v>
      </c>
      <c r="CY42" s="27">
        <v>16.527651017595073</v>
      </c>
      <c r="CZ42" s="27">
        <v>111.78299683775239</v>
      </c>
      <c r="DA42" s="27">
        <v>13.281148139138898</v>
      </c>
      <c r="DB42" s="27">
        <v>33.571791129489995</v>
      </c>
      <c r="DC42" s="27">
        <v>25.972023027649403</v>
      </c>
      <c r="DD42" s="27">
        <v>22.651735992864676</v>
      </c>
      <c r="DE42" s="27">
        <v>6.7143582258979988</v>
      </c>
      <c r="DF42" s="27">
        <v>77.10444336333417</v>
      </c>
      <c r="DG42" s="27">
        <v>10.403566042325471</v>
      </c>
      <c r="DH42" s="27">
        <v>1.697035595556637</v>
      </c>
      <c r="DI42" s="27">
        <v>27.226353685234741</v>
      </c>
      <c r="DJ42" s="27">
        <v>35.637747506689379</v>
      </c>
      <c r="DK42" s="27">
        <v>34.088280223789845</v>
      </c>
      <c r="DL42" s="27">
        <v>10.920055136625317</v>
      </c>
      <c r="DM42" s="27">
        <v>16.158730235952326</v>
      </c>
      <c r="DN42" s="27">
        <v>14.240342171410042</v>
      </c>
      <c r="DO42" s="27">
        <v>14.53547879672424</v>
      </c>
      <c r="DP42" s="27">
        <v>44.270493797129667</v>
      </c>
      <c r="DQ42" s="27">
        <v>7.7473364144976911</v>
      </c>
      <c r="DR42" s="27">
        <v>18.224686613151711</v>
      </c>
      <c r="DS42" s="27">
        <v>12.912227357496151</v>
      </c>
      <c r="DT42" s="27">
        <v>13.723853077110196</v>
      </c>
      <c r="DU42" s="27">
        <v>9.2230195410686804</v>
      </c>
      <c r="DV42" s="27">
        <v>10.993839292953865</v>
      </c>
      <c r="DW42" s="27">
        <v>34.973690099732437</v>
      </c>
      <c r="DX42" s="27">
        <v>21.692541960593534</v>
      </c>
      <c r="DY42" s="27">
        <v>33.645575285818545</v>
      </c>
      <c r="DZ42" s="27">
        <v>36.670725695289072</v>
      </c>
      <c r="EA42" s="27">
        <v>6.6405740695694488</v>
      </c>
      <c r="EB42" s="27">
        <v>8.8218624501074601</v>
      </c>
      <c r="EC42" s="27">
        <v>8.9852302732575993</v>
      </c>
      <c r="ED42" s="27">
        <v>18.623931839115752</v>
      </c>
      <c r="EE42" s="27">
        <v>15.901134786613449</v>
      </c>
      <c r="EF42" s="27">
        <v>25.97548388087197</v>
      </c>
      <c r="EG42" s="27">
        <v>25.213100706171325</v>
      </c>
      <c r="EH42" s="27">
        <v>21.019993245317778</v>
      </c>
      <c r="EI42" s="27">
        <v>14.539736260362297</v>
      </c>
      <c r="EJ42" s="27">
        <v>22.599215535769112</v>
      </c>
      <c r="EK42" s="27">
        <v>17.970460546515199</v>
      </c>
      <c r="EL42" s="27">
        <v>15.356575376112987</v>
      </c>
      <c r="EM42" s="27">
        <v>23.524966533619896</v>
      </c>
      <c r="EN42" s="27">
        <v>21.292272950568009</v>
      </c>
      <c r="EO42" s="27">
        <v>36.81221614983113</v>
      </c>
      <c r="EP42" s="27">
        <v>37.03003991403132</v>
      </c>
      <c r="EQ42" s="27">
        <v>39.480557261283387</v>
      </c>
      <c r="ER42" s="27">
        <v>14.158544673011974</v>
      </c>
      <c r="ES42" s="27">
        <v>26.411131409272336</v>
      </c>
      <c r="ET42" s="27">
        <v>14.213000614062022</v>
      </c>
      <c r="EU42" s="27">
        <v>12.524866441510593</v>
      </c>
      <c r="EV42" s="27">
        <v>20.257610070617137</v>
      </c>
      <c r="EW42" s="27">
        <v>18.950667485416027</v>
      </c>
      <c r="EX42" s="27">
        <v>9.3664218606079217</v>
      </c>
      <c r="EY42" s="27">
        <v>34.470610684679151</v>
      </c>
      <c r="EZ42" s="27">
        <v>17.371445194964689</v>
      </c>
      <c r="FA42" s="27">
        <v>16.336782315013817</v>
      </c>
      <c r="FB42" s="27">
        <v>17.099165489714462</v>
      </c>
      <c r="FC42" s="27">
        <v>32.455740865827451</v>
      </c>
      <c r="FD42" s="27">
        <v>26.029939821922014</v>
      </c>
      <c r="FE42" s="27">
        <v>22.762583358919251</v>
      </c>
      <c r="FF42" s="27">
        <v>14.049632790911884</v>
      </c>
      <c r="FG42" s="27">
        <v>14.267456555112066</v>
      </c>
      <c r="FH42" s="27">
        <v>20.312066011667177</v>
      </c>
      <c r="FI42" s="27">
        <v>25.267556647221369</v>
      </c>
    </row>
    <row r="43" spans="1:165" x14ac:dyDescent="0.3">
      <c r="A43" s="4" t="s">
        <v>3038</v>
      </c>
      <c r="B43" s="27">
        <v>37.716724438498353</v>
      </c>
      <c r="C43" s="27">
        <v>18.491468012648994</v>
      </c>
      <c r="D43" s="27">
        <v>3.0085324941214631</v>
      </c>
      <c r="E43" s="27">
        <v>10.273037784804998</v>
      </c>
      <c r="F43" s="27">
        <v>9.5392493716046403</v>
      </c>
      <c r="G43" s="27">
        <v>3.3020478594016063</v>
      </c>
      <c r="H43" s="27">
        <v>24.875427207492098</v>
      </c>
      <c r="I43" s="27">
        <v>49.017066001783846</v>
      </c>
      <c r="J43" s="27">
        <v>11.593856928565641</v>
      </c>
      <c r="K43" s="27">
        <v>9.8327647368847835</v>
      </c>
      <c r="L43" s="27">
        <v>29.131400004054171</v>
      </c>
      <c r="M43" s="27">
        <v>18.858362219249177</v>
      </c>
      <c r="N43" s="27">
        <v>3.8890785899618914</v>
      </c>
      <c r="O43" s="27">
        <v>9.0989763236844272</v>
      </c>
      <c r="P43" s="27">
        <v>4.402730479202142</v>
      </c>
      <c r="Q43" s="27">
        <v>9.245734006324497</v>
      </c>
      <c r="R43" s="27">
        <v>9.245734006324497</v>
      </c>
      <c r="S43" s="27">
        <v>2.7883959701613561</v>
      </c>
      <c r="T43" s="27">
        <v>3.5955632246817495</v>
      </c>
      <c r="U43" s="27">
        <v>79.469285149598662</v>
      </c>
      <c r="V43" s="27">
        <v>8.438566751804105</v>
      </c>
      <c r="W43" s="27">
        <v>16.656996979648103</v>
      </c>
      <c r="X43" s="27">
        <v>5.1365188924024991</v>
      </c>
      <c r="Y43" s="27">
        <v>2.9351536528014281</v>
      </c>
      <c r="Z43" s="27">
        <v>21.059727458850244</v>
      </c>
      <c r="AA43" s="27">
        <v>24.875427207492098</v>
      </c>
      <c r="AB43" s="27">
        <v>16.290102773047924</v>
      </c>
      <c r="AC43" s="27">
        <v>11.08020503932539</v>
      </c>
      <c r="AD43" s="27">
        <v>20.472696728289961</v>
      </c>
      <c r="AE43" s="27">
        <v>12.76791838968621</v>
      </c>
      <c r="AF43" s="27">
        <v>37.276451390578131</v>
      </c>
      <c r="AG43" s="27">
        <v>12.401024183086031</v>
      </c>
      <c r="AH43" s="27">
        <v>212.3583667801833</v>
      </c>
      <c r="AI43" s="27">
        <v>99.354951147328336</v>
      </c>
      <c r="AJ43" s="27">
        <v>53.71331184626613</v>
      </c>
      <c r="AK43" s="27">
        <v>16.363481614367959</v>
      </c>
      <c r="AL43" s="27">
        <v>10.493174308765104</v>
      </c>
      <c r="AM43" s="27">
        <v>42.706485648260781</v>
      </c>
      <c r="AN43" s="27">
        <v>20.472696728289961</v>
      </c>
      <c r="AO43" s="27">
        <v>17.757679599448636</v>
      </c>
      <c r="AP43" s="27">
        <v>10.346416626125032</v>
      </c>
      <c r="AQ43" s="27">
        <v>19.44539294980946</v>
      </c>
      <c r="AR43" s="27">
        <v>6.5307168774831776</v>
      </c>
      <c r="AS43" s="27">
        <v>20.032423680369746</v>
      </c>
      <c r="AT43" s="27">
        <v>11.447099245925569</v>
      </c>
      <c r="AU43" s="27">
        <v>40.651878091299771</v>
      </c>
      <c r="AV43" s="27">
        <v>6.6040957188032126</v>
      </c>
      <c r="AW43" s="27">
        <v>30.158703782534673</v>
      </c>
      <c r="AX43" s="27">
        <v>17.464164234168496</v>
      </c>
      <c r="AY43" s="27">
        <v>21.279863982810355</v>
      </c>
      <c r="AZ43" s="27">
        <v>16.950512344928246</v>
      </c>
      <c r="BA43" s="27">
        <v>18.858362219249177</v>
      </c>
      <c r="BB43" s="27">
        <v>55.180888672666846</v>
      </c>
      <c r="BC43" s="27">
        <v>37.936860962458454</v>
      </c>
      <c r="BD43" s="27">
        <v>289.9931808967811</v>
      </c>
      <c r="BE43" s="27">
        <v>8.5853244344441748</v>
      </c>
      <c r="BF43" s="27">
        <v>58.409557690748407</v>
      </c>
      <c r="BG43" s="27">
        <v>9.8327647368847835</v>
      </c>
      <c r="BH43" s="27">
        <v>8.365187910484071</v>
      </c>
      <c r="BI43" s="27">
        <v>10.56655315008514</v>
      </c>
      <c r="BJ43" s="27">
        <v>39.844710836779377</v>
      </c>
      <c r="BK43" s="27">
        <v>6.6040957188032126</v>
      </c>
      <c r="BL43" s="27">
        <v>16.730375820968142</v>
      </c>
      <c r="BM43" s="27">
        <v>11.153583880645424</v>
      </c>
      <c r="BN43" s="27">
        <v>18.931741060569212</v>
      </c>
      <c r="BO43" s="27">
        <v>398.44710836779382</v>
      </c>
      <c r="BP43" s="27">
        <v>52.53925038514555</v>
      </c>
      <c r="BQ43" s="27">
        <v>5.5767919403227122</v>
      </c>
      <c r="BR43" s="27">
        <v>24.655290683531994</v>
      </c>
      <c r="BS43" s="27">
        <v>6.9709899254033907</v>
      </c>
      <c r="BT43" s="27">
        <v>21.64675818941053</v>
      </c>
      <c r="BU43" s="27">
        <v>7.4846418146436413</v>
      </c>
      <c r="BV43" s="27">
        <v>36.836178342657924</v>
      </c>
      <c r="BW43" s="27">
        <v>11.960751135165818</v>
      </c>
      <c r="BX43" s="27">
        <v>8.6587032757642124</v>
      </c>
      <c r="BY43" s="27">
        <v>17.390785392848461</v>
      </c>
      <c r="BZ43" s="27">
        <v>85.779865503121741</v>
      </c>
      <c r="CA43" s="27">
        <v>10.199658943484961</v>
      </c>
      <c r="CB43" s="27">
        <v>42.266212600340559</v>
      </c>
      <c r="CC43" s="27">
        <v>15.33617783588746</v>
      </c>
      <c r="CD43" s="27">
        <v>51.658704289305135</v>
      </c>
      <c r="CE43" s="27">
        <v>19.15187758452932</v>
      </c>
      <c r="CF43" s="27">
        <v>10.713310832725211</v>
      </c>
      <c r="CG43" s="27">
        <v>14.749147105327175</v>
      </c>
      <c r="CH43" s="27">
        <v>18.711604536609102</v>
      </c>
      <c r="CI43" s="27">
        <v>3.3754267007216416</v>
      </c>
      <c r="CJ43" s="27">
        <v>26.636519399172958</v>
      </c>
      <c r="CK43" s="27">
        <v>3.3020478594016063</v>
      </c>
      <c r="CL43" s="27">
        <v>8.5853244344441748</v>
      </c>
      <c r="CM43" s="27">
        <v>18.711604536609102</v>
      </c>
      <c r="CN43" s="27">
        <v>10.419795467445068</v>
      </c>
      <c r="CO43" s="27">
        <v>0</v>
      </c>
      <c r="CP43" s="27">
        <v>34.928328468336993</v>
      </c>
      <c r="CQ43" s="27">
        <v>0</v>
      </c>
      <c r="CR43" s="27">
        <v>27.590444336333423</v>
      </c>
      <c r="CS43" s="27">
        <v>15.776450883807676</v>
      </c>
      <c r="CT43" s="27">
        <v>38.377134010378668</v>
      </c>
      <c r="CU43" s="27">
        <v>25.9027309859726</v>
      </c>
      <c r="CV43" s="27">
        <v>13.721843326846676</v>
      </c>
      <c r="CW43" s="27">
        <v>10.493174308765104</v>
      </c>
      <c r="CX43" s="27">
        <v>0.22013652396010708</v>
      </c>
      <c r="CY43" s="27">
        <v>16.436860455687995</v>
      </c>
      <c r="CZ43" s="27">
        <v>111.16894459985407</v>
      </c>
      <c r="DA43" s="27">
        <v>13.208191437606425</v>
      </c>
      <c r="DB43" s="27">
        <v>33.387372800616241</v>
      </c>
      <c r="DC43" s="27">
        <v>25.829352144652567</v>
      </c>
      <c r="DD43" s="27">
        <v>22.527304285250956</v>
      </c>
      <c r="DE43" s="27">
        <v>6.6774745601232484</v>
      </c>
      <c r="DF43" s="27">
        <v>76.680889179437301</v>
      </c>
      <c r="DG43" s="27">
        <v>10.346416626125032</v>
      </c>
      <c r="DH43" s="27">
        <v>1.6877133503608208</v>
      </c>
      <c r="DI43" s="27">
        <v>27.076792447093169</v>
      </c>
      <c r="DJ43" s="27">
        <v>35.441980357577243</v>
      </c>
      <c r="DK43" s="27">
        <v>33.901024689856492</v>
      </c>
      <c r="DL43" s="27">
        <v>10.860068515365283</v>
      </c>
      <c r="DM43" s="27">
        <v>16.069966249087816</v>
      </c>
      <c r="DN43" s="27">
        <v>14.162116374766889</v>
      </c>
      <c r="DO43" s="27">
        <v>14.455631740047032</v>
      </c>
      <c r="DP43" s="27">
        <v>44.027304792021418</v>
      </c>
      <c r="DQ43" s="27">
        <v>7.7047783386037478</v>
      </c>
      <c r="DR43" s="27">
        <v>18.124573806048819</v>
      </c>
      <c r="DS43" s="27">
        <v>12.841297231006246</v>
      </c>
      <c r="DT43" s="27">
        <v>13.64846448552664</v>
      </c>
      <c r="DU43" s="27">
        <v>9.172355165004463</v>
      </c>
      <c r="DV43" s="27">
        <v>10.933447356685319</v>
      </c>
      <c r="DW43" s="27">
        <v>34.781570785696921</v>
      </c>
      <c r="DX43" s="27">
        <v>21.573379348090494</v>
      </c>
      <c r="DY43" s="27">
        <v>33.460751641936284</v>
      </c>
      <c r="DZ43" s="27">
        <v>36.469284136057745</v>
      </c>
      <c r="EA43" s="27">
        <v>6.6040957188032126</v>
      </c>
      <c r="EB43" s="27">
        <v>8.7528060331593487</v>
      </c>
      <c r="EC43" s="27">
        <v>8.9148950337734103</v>
      </c>
      <c r="ED43" s="27">
        <v>18.478146070003071</v>
      </c>
      <c r="EE43" s="27">
        <v>15.77666272643537</v>
      </c>
      <c r="EF43" s="27">
        <v>25.772151097635863</v>
      </c>
      <c r="EG43" s="27">
        <v>25.015735761436904</v>
      </c>
      <c r="EH43" s="27">
        <v>20.855451412342649</v>
      </c>
      <c r="EI43" s="27">
        <v>14.425921054651521</v>
      </c>
      <c r="EJ43" s="27">
        <v>22.422311751611911</v>
      </c>
      <c r="EK43" s="27">
        <v>17.829790067546821</v>
      </c>
      <c r="EL43" s="27">
        <v>15.236366057721831</v>
      </c>
      <c r="EM43" s="27">
        <v>23.340816088424933</v>
      </c>
      <c r="EN43" s="27">
        <v>21.125599746699418</v>
      </c>
      <c r="EO43" s="27">
        <v>36.524054805035306</v>
      </c>
      <c r="EP43" s="27">
        <v>36.740173472520723</v>
      </c>
      <c r="EQ43" s="27">
        <v>39.171508481731657</v>
      </c>
      <c r="ER43" s="27">
        <v>14.047713386552042</v>
      </c>
      <c r="ES43" s="27">
        <v>26.204388432606695</v>
      </c>
      <c r="ET43" s="27">
        <v>14.101743053423398</v>
      </c>
      <c r="EU43" s="27">
        <v>12.426823380411422</v>
      </c>
      <c r="EV43" s="27">
        <v>20.099036076143694</v>
      </c>
      <c r="EW43" s="27">
        <v>18.802324071231194</v>
      </c>
      <c r="EX43" s="27">
        <v>9.2931027018728898</v>
      </c>
      <c r="EY43" s="27">
        <v>34.200779129567081</v>
      </c>
      <c r="EZ43" s="27">
        <v>17.235463731961929</v>
      </c>
      <c r="FA43" s="27">
        <v>16.208900061406201</v>
      </c>
      <c r="FB43" s="27">
        <v>16.96531539760516</v>
      </c>
      <c r="FC43" s="27">
        <v>32.201681455326991</v>
      </c>
      <c r="FD43" s="27">
        <v>25.826180764507214</v>
      </c>
      <c r="FE43" s="27">
        <v>22.584400752225978</v>
      </c>
      <c r="FF43" s="27">
        <v>13.939654052809336</v>
      </c>
      <c r="FG43" s="27">
        <v>14.155772720294749</v>
      </c>
      <c r="FH43" s="27">
        <v>20.153065743015045</v>
      </c>
      <c r="FI43" s="27">
        <v>25.069765428308258</v>
      </c>
    </row>
    <row r="44" spans="1:165" x14ac:dyDescent="0.3">
      <c r="A44" s="4" t="s">
        <v>3039</v>
      </c>
      <c r="B44" s="27">
        <v>37.312772034379314</v>
      </c>
      <c r="C44" s="27">
        <v>18.293421308684021</v>
      </c>
      <c r="D44" s="27">
        <v>2.9763106097462093</v>
      </c>
      <c r="E44" s="27">
        <v>10.163011838157789</v>
      </c>
      <c r="F44" s="27">
        <v>9.4370824211465187</v>
      </c>
      <c r="G44" s="27">
        <v>3.266682376550718</v>
      </c>
      <c r="H44" s="27">
        <v>24.609007236682075</v>
      </c>
      <c r="I44" s="27">
        <v>48.492085056352877</v>
      </c>
      <c r="J44" s="27">
        <v>11.469684788778077</v>
      </c>
      <c r="K44" s="27">
        <v>9.7274541879510288</v>
      </c>
      <c r="L44" s="27">
        <v>28.819397855347447</v>
      </c>
      <c r="M44" s="27">
        <v>18.656386017189657</v>
      </c>
      <c r="N44" s="27">
        <v>3.8474259101597341</v>
      </c>
      <c r="O44" s="27">
        <v>9.0015247709397581</v>
      </c>
      <c r="P44" s="27">
        <v>4.355576502067624</v>
      </c>
      <c r="Q44" s="27">
        <v>9.1467106543420105</v>
      </c>
      <c r="R44" s="27">
        <v>9.1467106543420105</v>
      </c>
      <c r="S44" s="27">
        <v>2.7585317846428286</v>
      </c>
      <c r="T44" s="27">
        <v>3.5570541433552267</v>
      </c>
      <c r="U44" s="27">
        <v>78.618155862320606</v>
      </c>
      <c r="V44" s="27">
        <v>8.3481882956296136</v>
      </c>
      <c r="W44" s="27">
        <v>16.478597766155843</v>
      </c>
      <c r="X44" s="27">
        <v>5.0815059190788947</v>
      </c>
      <c r="Y44" s="27">
        <v>2.9037176680450831</v>
      </c>
      <c r="Z44" s="27">
        <v>20.834174268223467</v>
      </c>
      <c r="AA44" s="27">
        <v>24.609007236682075</v>
      </c>
      <c r="AB44" s="27">
        <v>16.115633057650207</v>
      </c>
      <c r="AC44" s="27">
        <v>10.961534196870188</v>
      </c>
      <c r="AD44" s="27">
        <v>20.253430734614451</v>
      </c>
      <c r="AE44" s="27">
        <v>12.631171855996108</v>
      </c>
      <c r="AF44" s="27">
        <v>36.877214384172547</v>
      </c>
      <c r="AG44" s="27">
        <v>12.268207147490473</v>
      </c>
      <c r="AH44" s="27">
        <v>210.08397328306171</v>
      </c>
      <c r="AI44" s="27">
        <v>98.290843063326065</v>
      </c>
      <c r="AJ44" s="27">
        <v>53.138033325225017</v>
      </c>
      <c r="AK44" s="27">
        <v>16.188225999351335</v>
      </c>
      <c r="AL44" s="27">
        <v>10.380790663261172</v>
      </c>
      <c r="AM44" s="27">
        <v>42.249092070055958</v>
      </c>
      <c r="AN44" s="27">
        <v>20.253430734614451</v>
      </c>
      <c r="AO44" s="27">
        <v>17.567491891672748</v>
      </c>
      <c r="AP44" s="27">
        <v>10.235604779858917</v>
      </c>
      <c r="AQ44" s="27">
        <v>19.237129550798674</v>
      </c>
      <c r="AR44" s="27">
        <v>6.4607718114003099</v>
      </c>
      <c r="AS44" s="27">
        <v>19.81787308440769</v>
      </c>
      <c r="AT44" s="27">
        <v>11.324498905375822</v>
      </c>
      <c r="AU44" s="27">
        <v>40.21648970242439</v>
      </c>
      <c r="AV44" s="27">
        <v>6.5333647531014361</v>
      </c>
      <c r="AW44" s="27">
        <v>29.835699039163227</v>
      </c>
      <c r="AX44" s="27">
        <v>17.277120124868244</v>
      </c>
      <c r="AY44" s="27">
        <v>21.051953093326851</v>
      </c>
      <c r="AZ44" s="27">
        <v>16.768969532960355</v>
      </c>
      <c r="BA44" s="27">
        <v>18.656386017189657</v>
      </c>
      <c r="BB44" s="27">
        <v>54.589892159247562</v>
      </c>
      <c r="BC44" s="27">
        <v>37.530550859482695</v>
      </c>
      <c r="BD44" s="27">
        <v>286.88730560285421</v>
      </c>
      <c r="BE44" s="27">
        <v>8.493374179031866</v>
      </c>
      <c r="BF44" s="27">
        <v>57.783981594097142</v>
      </c>
      <c r="BG44" s="27">
        <v>9.7274541879510288</v>
      </c>
      <c r="BH44" s="27">
        <v>8.2755953539284857</v>
      </c>
      <c r="BI44" s="27">
        <v>10.453383604962298</v>
      </c>
      <c r="BJ44" s="27">
        <v>39.417967343711993</v>
      </c>
      <c r="BK44" s="27">
        <v>6.5333647531014361</v>
      </c>
      <c r="BL44" s="27">
        <v>16.551190707856971</v>
      </c>
      <c r="BM44" s="27">
        <v>11.034127138571314</v>
      </c>
      <c r="BN44" s="27">
        <v>18.728978958890785</v>
      </c>
      <c r="BO44" s="27">
        <v>394.17967343711996</v>
      </c>
      <c r="BP44" s="27">
        <v>51.976546258006977</v>
      </c>
      <c r="BQ44" s="27">
        <v>5.5170635692856571</v>
      </c>
      <c r="BR44" s="27">
        <v>24.391228411578695</v>
      </c>
      <c r="BS44" s="27">
        <v>6.8963294616070714</v>
      </c>
      <c r="BT44" s="27">
        <v>21.414917801832484</v>
      </c>
      <c r="BU44" s="27">
        <v>7.4044800535149609</v>
      </c>
      <c r="BV44" s="27">
        <v>36.441656733965793</v>
      </c>
      <c r="BW44" s="27">
        <v>11.832649497283713</v>
      </c>
      <c r="BX44" s="27">
        <v>8.5659671207329939</v>
      </c>
      <c r="BY44" s="27">
        <v>17.204527183167116</v>
      </c>
      <c r="BZ44" s="27">
        <v>84.861148848617546</v>
      </c>
      <c r="CA44" s="27">
        <v>10.090418896456661</v>
      </c>
      <c r="CB44" s="27">
        <v>41.813534419849191</v>
      </c>
      <c r="CC44" s="27">
        <v>15.171924815535556</v>
      </c>
      <c r="CD44" s="27">
        <v>51.105430957593455</v>
      </c>
      <c r="CE44" s="27">
        <v>18.946757783994165</v>
      </c>
      <c r="CF44" s="27">
        <v>10.598569488364552</v>
      </c>
      <c r="CG44" s="27">
        <v>14.591181281926541</v>
      </c>
      <c r="CH44" s="27">
        <v>18.511200133787401</v>
      </c>
      <c r="CI44" s="27">
        <v>3.3392753182518446</v>
      </c>
      <c r="CJ44" s="27">
        <v>26.351237837509125</v>
      </c>
      <c r="CK44" s="27">
        <v>3.266682376550718</v>
      </c>
      <c r="CL44" s="27">
        <v>8.493374179031866</v>
      </c>
      <c r="CM44" s="27">
        <v>18.511200133787401</v>
      </c>
      <c r="CN44" s="27">
        <v>10.308197721560044</v>
      </c>
      <c r="CO44" s="27">
        <v>0</v>
      </c>
      <c r="CP44" s="27">
        <v>34.554240249736488</v>
      </c>
      <c r="CQ44" s="27">
        <v>0</v>
      </c>
      <c r="CR44" s="27">
        <v>27.294946079623781</v>
      </c>
      <c r="CS44" s="27">
        <v>15.607482465742322</v>
      </c>
      <c r="CT44" s="27">
        <v>37.966108509689455</v>
      </c>
      <c r="CU44" s="27">
        <v>25.625308420497852</v>
      </c>
      <c r="CV44" s="27">
        <v>13.574880098110762</v>
      </c>
      <c r="CW44" s="27">
        <v>10.380790663261172</v>
      </c>
      <c r="CX44" s="27">
        <v>0.2177788251033812</v>
      </c>
      <c r="CY44" s="27">
        <v>16.26081894105246</v>
      </c>
      <c r="CZ44" s="27">
        <v>109.9783066772075</v>
      </c>
      <c r="DA44" s="27">
        <v>13.066729506202872</v>
      </c>
      <c r="DB44" s="27">
        <v>33.029788474012818</v>
      </c>
      <c r="DC44" s="27">
        <v>25.552715478796728</v>
      </c>
      <c r="DD44" s="27">
        <v>22.286033102246009</v>
      </c>
      <c r="DE44" s="27">
        <v>6.6059576948025631</v>
      </c>
      <c r="DF44" s="27">
        <v>75.859624077677793</v>
      </c>
      <c r="DG44" s="27">
        <v>10.235604779858917</v>
      </c>
      <c r="DH44" s="27">
        <v>1.6696376591259223</v>
      </c>
      <c r="DI44" s="27">
        <v>26.786795487715885</v>
      </c>
      <c r="DJ44" s="27">
        <v>35.062390841644373</v>
      </c>
      <c r="DK44" s="27">
        <v>33.53793906592071</v>
      </c>
      <c r="DL44" s="27">
        <v>10.743755371766806</v>
      </c>
      <c r="DM44" s="27">
        <v>15.897854232546827</v>
      </c>
      <c r="DN44" s="27">
        <v>14.010437748317523</v>
      </c>
      <c r="DO44" s="27">
        <v>14.300809515122033</v>
      </c>
      <c r="DP44" s="27">
        <v>43.55576502067624</v>
      </c>
      <c r="DQ44" s="27">
        <v>7.6222588786183421</v>
      </c>
      <c r="DR44" s="27">
        <v>17.930456600178388</v>
      </c>
      <c r="DS44" s="27">
        <v>12.703764797697236</v>
      </c>
      <c r="DT44" s="27">
        <v>13.502287156409635</v>
      </c>
      <c r="DU44" s="27">
        <v>9.0741177126408843</v>
      </c>
      <c r="DV44" s="27">
        <v>10.816348313467932</v>
      </c>
      <c r="DW44" s="27">
        <v>34.409054366334232</v>
      </c>
      <c r="DX44" s="27">
        <v>21.342324860131356</v>
      </c>
      <c r="DY44" s="27">
        <v>33.102381415713943</v>
      </c>
      <c r="DZ44" s="27">
        <v>36.078692025460157</v>
      </c>
      <c r="EA44" s="27">
        <v>6.5333647531014361</v>
      </c>
      <c r="EB44" s="27">
        <v>8.621998618360454</v>
      </c>
      <c r="EC44" s="27">
        <v>8.781665259441203</v>
      </c>
      <c r="ED44" s="27">
        <v>18.201997083205406</v>
      </c>
      <c r="EE44" s="27">
        <v>15.540886398526252</v>
      </c>
      <c r="EF44" s="27">
        <v>25.386995931839117</v>
      </c>
      <c r="EG44" s="27">
        <v>24.641884940128953</v>
      </c>
      <c r="EH44" s="27">
        <v>20.543774485723059</v>
      </c>
      <c r="EI44" s="27">
        <v>14.210331056186675</v>
      </c>
      <c r="EJ44" s="27">
        <v>22.087218682836966</v>
      </c>
      <c r="EK44" s="27">
        <v>17.563330518882406</v>
      </c>
      <c r="EL44" s="27">
        <v>15.008664261590422</v>
      </c>
      <c r="EM44" s="27">
        <v>22.99199631562788</v>
      </c>
      <c r="EN44" s="27">
        <v>20.809885554190977</v>
      </c>
      <c r="EO44" s="27">
        <v>35.978216456862143</v>
      </c>
      <c r="EP44" s="27">
        <v>36.191105311636477</v>
      </c>
      <c r="EQ44" s="27">
        <v>38.586104927847714</v>
      </c>
      <c r="ER44" s="27">
        <v>13.837775560331595</v>
      </c>
      <c r="ES44" s="27">
        <v>25.812773641387782</v>
      </c>
      <c r="ET44" s="27">
        <v>13.890997774025179</v>
      </c>
      <c r="EU44" s="27">
        <v>12.241109149524103</v>
      </c>
      <c r="EV44" s="27">
        <v>19.798663494012899</v>
      </c>
      <c r="EW44" s="27">
        <v>18.521330365366904</v>
      </c>
      <c r="EX44" s="27">
        <v>9.1542207552962847</v>
      </c>
      <c r="EY44" s="27">
        <v>33.689661268038073</v>
      </c>
      <c r="EZ44" s="27">
        <v>16.977886168252994</v>
      </c>
      <c r="FA44" s="27">
        <v>15.966664108074916</v>
      </c>
      <c r="FB44" s="27">
        <v>16.711775099785079</v>
      </c>
      <c r="FC44" s="27">
        <v>31.720439361375504</v>
      </c>
      <c r="FD44" s="27">
        <v>25.4402181455327</v>
      </c>
      <c r="FE44" s="27">
        <v>22.246885323917716</v>
      </c>
      <c r="FF44" s="27">
        <v>13.73133113294443</v>
      </c>
      <c r="FG44" s="27">
        <v>13.944219987718759</v>
      </c>
      <c r="FH44" s="27">
        <v>19.851885707706479</v>
      </c>
      <c r="FI44" s="27">
        <v>24.695107153822537</v>
      </c>
    </row>
    <row r="45" spans="1:165" x14ac:dyDescent="0.3">
      <c r="A45" s="4" t="s">
        <v>3040</v>
      </c>
      <c r="B45" s="27">
        <v>36.710333860374618</v>
      </c>
      <c r="C45" s="27">
        <v>17.998062515203117</v>
      </c>
      <c r="D45" s="27">
        <v>2.9282562028703483</v>
      </c>
      <c r="E45" s="27">
        <v>9.9989236195572886</v>
      </c>
      <c r="F45" s="27">
        <v>9.2847147895889108</v>
      </c>
      <c r="G45" s="27">
        <v>3.2139397348576995</v>
      </c>
      <c r="H45" s="27">
        <v>24.211679335928</v>
      </c>
      <c r="I45" s="27">
        <v>47.70914984188763</v>
      </c>
      <c r="J45" s="27">
        <v>11.284499513500368</v>
      </c>
      <c r="K45" s="27">
        <v>9.5703983215762616</v>
      </c>
      <c r="L45" s="27">
        <v>28.354090549744594</v>
      </c>
      <c r="M45" s="27">
        <v>18.355166930187309</v>
      </c>
      <c r="N45" s="27">
        <v>3.7853067988324014</v>
      </c>
      <c r="O45" s="27">
        <v>8.8561894916078838</v>
      </c>
      <c r="P45" s="27">
        <v>4.2852529798102665</v>
      </c>
      <c r="Q45" s="27">
        <v>8.9990312576015583</v>
      </c>
      <c r="R45" s="27">
        <v>8.9990312576015583</v>
      </c>
      <c r="S45" s="27">
        <v>2.7139935538798352</v>
      </c>
      <c r="T45" s="27">
        <v>3.4996232668450511</v>
      </c>
      <c r="U45" s="27">
        <v>77.348816285575296</v>
      </c>
      <c r="V45" s="27">
        <v>8.2134015446363442</v>
      </c>
      <c r="W45" s="27">
        <v>16.212540440282176</v>
      </c>
      <c r="X45" s="27">
        <v>4.9994618097786443</v>
      </c>
      <c r="Y45" s="27">
        <v>2.856835319873511</v>
      </c>
      <c r="Z45" s="27">
        <v>20.497793420092439</v>
      </c>
      <c r="AA45" s="27">
        <v>24.211679335928</v>
      </c>
      <c r="AB45" s="27">
        <v>15.855436025297983</v>
      </c>
      <c r="AC45" s="27">
        <v>10.784553332522503</v>
      </c>
      <c r="AD45" s="27">
        <v>19.926426356117737</v>
      </c>
      <c r="AE45" s="27">
        <v>12.427233641449771</v>
      </c>
      <c r="AF45" s="27">
        <v>36.281808562393586</v>
      </c>
      <c r="AG45" s="27">
        <v>12.070129226465582</v>
      </c>
      <c r="AH45" s="27">
        <v>206.69203539284848</v>
      </c>
      <c r="AI45" s="27">
        <v>96.70387557771835</v>
      </c>
      <c r="AJ45" s="27">
        <v>52.280086353685249</v>
      </c>
      <c r="AK45" s="27">
        <v>15.926856908294821</v>
      </c>
      <c r="AL45" s="27">
        <v>10.213186268547801</v>
      </c>
      <c r="AM45" s="27">
        <v>41.566953904159583</v>
      </c>
      <c r="AN45" s="27">
        <v>19.926426356117737</v>
      </c>
      <c r="AO45" s="27">
        <v>17.283853685234739</v>
      </c>
      <c r="AP45" s="27">
        <v>10.070344502554125</v>
      </c>
      <c r="AQ45" s="27">
        <v>18.926533994162007</v>
      </c>
      <c r="AR45" s="27">
        <v>6.3564585867185617</v>
      </c>
      <c r="AS45" s="27">
        <v>19.497901058136712</v>
      </c>
      <c r="AT45" s="27">
        <v>11.141657747506692</v>
      </c>
      <c r="AU45" s="27">
        <v>39.567169180248122</v>
      </c>
      <c r="AV45" s="27">
        <v>6.4278794697153989</v>
      </c>
      <c r="AW45" s="27">
        <v>29.353982911700324</v>
      </c>
      <c r="AX45" s="27">
        <v>16.99817015324739</v>
      </c>
      <c r="AY45" s="27">
        <v>20.712056069082955</v>
      </c>
      <c r="AZ45" s="27">
        <v>16.498223972269525</v>
      </c>
      <c r="BA45" s="27">
        <v>18.355166930187309</v>
      </c>
      <c r="BB45" s="27">
        <v>53.708504013622004</v>
      </c>
      <c r="BC45" s="27">
        <v>36.924596509365131</v>
      </c>
      <c r="BD45" s="27">
        <v>282.2553296035029</v>
      </c>
      <c r="BE45" s="27">
        <v>8.3562433106300187</v>
      </c>
      <c r="BF45" s="27">
        <v>56.851022865482861</v>
      </c>
      <c r="BG45" s="27">
        <v>9.5703983215762616</v>
      </c>
      <c r="BH45" s="27">
        <v>8.1419806616395061</v>
      </c>
      <c r="BI45" s="27">
        <v>10.284607151544638</v>
      </c>
      <c r="BJ45" s="27">
        <v>38.781539467282904</v>
      </c>
      <c r="BK45" s="27">
        <v>6.4278794697153989</v>
      </c>
      <c r="BL45" s="27">
        <v>16.283961323279012</v>
      </c>
      <c r="BM45" s="27">
        <v>10.855974215519341</v>
      </c>
      <c r="BN45" s="27">
        <v>18.426587813184145</v>
      </c>
      <c r="BO45" s="27">
        <v>387.81539467282909</v>
      </c>
      <c r="BP45" s="27">
        <v>51.137352225735839</v>
      </c>
      <c r="BQ45" s="27">
        <v>5.4279871077596704</v>
      </c>
      <c r="BR45" s="27">
        <v>23.997416686937491</v>
      </c>
      <c r="BS45" s="27">
        <v>6.7849838846995878</v>
      </c>
      <c r="BT45" s="27">
        <v>21.06916048406714</v>
      </c>
      <c r="BU45" s="27">
        <v>7.2849300656774529</v>
      </c>
      <c r="BV45" s="27">
        <v>35.853283264412561</v>
      </c>
      <c r="BW45" s="27">
        <v>11.641603928484557</v>
      </c>
      <c r="BX45" s="27">
        <v>8.4276641936268568</v>
      </c>
      <c r="BY45" s="27">
        <v>16.926749270250554</v>
      </c>
      <c r="BZ45" s="27">
        <v>83.491012223303358</v>
      </c>
      <c r="CA45" s="27">
        <v>9.9275027365604487</v>
      </c>
      <c r="CB45" s="27">
        <v>41.13842860617855</v>
      </c>
      <c r="CC45" s="27">
        <v>14.926964546339093</v>
      </c>
      <c r="CD45" s="27">
        <v>50.280301629773788</v>
      </c>
      <c r="CE45" s="27">
        <v>18.640850462174658</v>
      </c>
      <c r="CF45" s="27">
        <v>10.427448917538314</v>
      </c>
      <c r="CG45" s="27">
        <v>14.355597482364391</v>
      </c>
      <c r="CH45" s="27">
        <v>18.212325164193629</v>
      </c>
      <c r="CI45" s="27">
        <v>3.2853606178545371</v>
      </c>
      <c r="CJ45" s="27">
        <v>25.925780527852108</v>
      </c>
      <c r="CK45" s="27">
        <v>3.2139397348576995</v>
      </c>
      <c r="CL45" s="27">
        <v>8.3562433106300187</v>
      </c>
      <c r="CM45" s="27">
        <v>18.212325164193629</v>
      </c>
      <c r="CN45" s="27">
        <v>10.141765385550963</v>
      </c>
      <c r="CO45" s="27">
        <v>0</v>
      </c>
      <c r="CP45" s="27">
        <v>33.99634030649478</v>
      </c>
      <c r="CQ45" s="27">
        <v>0</v>
      </c>
      <c r="CR45" s="27">
        <v>26.854252006811002</v>
      </c>
      <c r="CS45" s="27">
        <v>15.355489844320122</v>
      </c>
      <c r="CT45" s="27">
        <v>37.353121807346156</v>
      </c>
      <c r="CU45" s="27">
        <v>25.211571697883731</v>
      </c>
      <c r="CV45" s="27">
        <v>13.355705120408663</v>
      </c>
      <c r="CW45" s="27">
        <v>10.213186268547801</v>
      </c>
      <c r="CX45" s="27">
        <v>0.21426264899051331</v>
      </c>
      <c r="CY45" s="27">
        <v>15.998277791291658</v>
      </c>
      <c r="CZ45" s="27">
        <v>108.20263774020921</v>
      </c>
      <c r="DA45" s="27">
        <v>12.855758939430798</v>
      </c>
      <c r="DB45" s="27">
        <v>32.496501763561184</v>
      </c>
      <c r="DC45" s="27">
        <v>25.140150814886894</v>
      </c>
      <c r="DD45" s="27">
        <v>21.926211080029194</v>
      </c>
      <c r="DE45" s="27">
        <v>6.499300352712237</v>
      </c>
      <c r="DF45" s="27">
        <v>74.634822731695479</v>
      </c>
      <c r="DG45" s="27">
        <v>10.070344502554125</v>
      </c>
      <c r="DH45" s="27">
        <v>1.6426803089272686</v>
      </c>
      <c r="DI45" s="27">
        <v>26.354305825833134</v>
      </c>
      <c r="DJ45" s="27">
        <v>34.496286487472645</v>
      </c>
      <c r="DK45" s="27">
        <v>32.99644794453905</v>
      </c>
      <c r="DL45" s="27">
        <v>10.57029068353199</v>
      </c>
      <c r="DM45" s="27">
        <v>15.641173376307471</v>
      </c>
      <c r="DN45" s="27">
        <v>13.784230418389688</v>
      </c>
      <c r="DO45" s="27">
        <v>14.069913950377041</v>
      </c>
      <c r="DP45" s="27">
        <v>42.852529798102665</v>
      </c>
      <c r="DQ45" s="27">
        <v>7.4991927146679656</v>
      </c>
      <c r="DR45" s="27">
        <v>17.640958100218931</v>
      </c>
      <c r="DS45" s="27">
        <v>12.498654524446609</v>
      </c>
      <c r="DT45" s="27">
        <v>13.284284237411825</v>
      </c>
      <c r="DU45" s="27">
        <v>8.927610374604722</v>
      </c>
      <c r="DV45" s="27">
        <v>10.641711566528826</v>
      </c>
      <c r="DW45" s="27">
        <v>33.853498540501107</v>
      </c>
      <c r="DX45" s="27">
        <v>20.997739601070304</v>
      </c>
      <c r="DY45" s="27">
        <v>32.567922646558024</v>
      </c>
      <c r="DZ45" s="27">
        <v>35.496178849428375</v>
      </c>
      <c r="EA45" s="27">
        <v>6.4278794697153989</v>
      </c>
      <c r="EB45" s="27">
        <v>8.5913469450414492</v>
      </c>
      <c r="EC45" s="27">
        <v>8.7504459625422157</v>
      </c>
      <c r="ED45" s="27">
        <v>18.137287995087505</v>
      </c>
      <c r="EE45" s="27">
        <v>15.485637703408045</v>
      </c>
      <c r="EF45" s="27">
        <v>25.296743782622045</v>
      </c>
      <c r="EG45" s="27">
        <v>24.554281700951798</v>
      </c>
      <c r="EH45" s="27">
        <v>20.470740251765427</v>
      </c>
      <c r="EI45" s="27">
        <v>14.159812557568314</v>
      </c>
      <c r="EJ45" s="27">
        <v>22.008697420939512</v>
      </c>
      <c r="EK45" s="27">
        <v>17.500891925084431</v>
      </c>
      <c r="EL45" s="27">
        <v>14.955307645072152</v>
      </c>
      <c r="EM45" s="27">
        <v>22.910258520110531</v>
      </c>
      <c r="EN45" s="27">
        <v>20.735905280933377</v>
      </c>
      <c r="EO45" s="27">
        <v>35.850311943506291</v>
      </c>
      <c r="EP45" s="27">
        <v>36.062443966840654</v>
      </c>
      <c r="EQ45" s="27">
        <v>38.44892922935216</v>
      </c>
      <c r="ER45" s="27">
        <v>13.78858151673319</v>
      </c>
      <c r="ES45" s="27">
        <v>25.721007829290759</v>
      </c>
      <c r="ET45" s="27">
        <v>13.841614522566781</v>
      </c>
      <c r="EU45" s="27">
        <v>12.197591341725515</v>
      </c>
      <c r="EV45" s="27">
        <v>19.728278170095184</v>
      </c>
      <c r="EW45" s="27">
        <v>18.455486030089038</v>
      </c>
      <c r="EX45" s="27">
        <v>9.1216770033773411</v>
      </c>
      <c r="EY45" s="27">
        <v>33.569892692661959</v>
      </c>
      <c r="EZ45" s="27">
        <v>16.917528860914953</v>
      </c>
      <c r="FA45" s="27">
        <v>15.909901750076758</v>
      </c>
      <c r="FB45" s="27">
        <v>16.652363831747007</v>
      </c>
      <c r="FC45" s="27">
        <v>31.60767147681916</v>
      </c>
      <c r="FD45" s="27">
        <v>25.349776788455632</v>
      </c>
      <c r="FE45" s="27">
        <v>22.167796438440284</v>
      </c>
      <c r="FF45" s="27">
        <v>13.682515505066013</v>
      </c>
      <c r="FG45" s="27">
        <v>13.894647528400368</v>
      </c>
      <c r="FH45" s="27">
        <v>19.781311175928767</v>
      </c>
      <c r="FI45" s="27">
        <v>24.607314706785385</v>
      </c>
    </row>
    <row r="46" spans="1:165" x14ac:dyDescent="0.3">
      <c r="A46" s="4" t="s">
        <v>3041</v>
      </c>
      <c r="B46" s="27">
        <v>36.405728533203607</v>
      </c>
      <c r="C46" s="27">
        <v>17.848722938457797</v>
      </c>
      <c r="D46" s="27">
        <v>2.903958890780832</v>
      </c>
      <c r="E46" s="27">
        <v>9.9159571880321113</v>
      </c>
      <c r="F46" s="27">
        <v>9.2076745317441038</v>
      </c>
      <c r="G46" s="27">
        <v>3.1872719532960354</v>
      </c>
      <c r="H46" s="27">
        <v>24.010782048163467</v>
      </c>
      <c r="I46" s="27">
        <v>47.313281440038928</v>
      </c>
      <c r="J46" s="27">
        <v>11.190865969350526</v>
      </c>
      <c r="K46" s="27">
        <v>9.4909875942593072</v>
      </c>
      <c r="L46" s="27">
        <v>28.118821454633913</v>
      </c>
      <c r="M46" s="27">
        <v>18.202864266601804</v>
      </c>
      <c r="N46" s="27">
        <v>3.7538980783264417</v>
      </c>
      <c r="O46" s="27">
        <v>8.7827049379712996</v>
      </c>
      <c r="P46" s="27">
        <v>4.2496959377280472</v>
      </c>
      <c r="Q46" s="27">
        <v>8.9243614692288986</v>
      </c>
      <c r="R46" s="27">
        <v>8.9243614692288986</v>
      </c>
      <c r="S46" s="27">
        <v>2.6914740938944299</v>
      </c>
      <c r="T46" s="27">
        <v>3.4705850158112392</v>
      </c>
      <c r="U46" s="27">
        <v>76.707011675991254</v>
      </c>
      <c r="V46" s="27">
        <v>8.1452505473120915</v>
      </c>
      <c r="W46" s="27">
        <v>16.078016297737779</v>
      </c>
      <c r="X46" s="27">
        <v>4.9579785940160557</v>
      </c>
      <c r="Y46" s="27">
        <v>2.8331306251520321</v>
      </c>
      <c r="Z46" s="27">
        <v>20.327712235465825</v>
      </c>
      <c r="AA46" s="27">
        <v>24.010782048163467</v>
      </c>
      <c r="AB46" s="27">
        <v>15.723874969593775</v>
      </c>
      <c r="AC46" s="27">
        <v>10.69506810994892</v>
      </c>
      <c r="AD46" s="27">
        <v>19.761086110435421</v>
      </c>
      <c r="AE46" s="27">
        <v>12.324118219411336</v>
      </c>
      <c r="AF46" s="27">
        <v>35.9807589394308</v>
      </c>
      <c r="AG46" s="27">
        <v>11.969976891267333</v>
      </c>
      <c r="AH46" s="27">
        <v>204.97700072974948</v>
      </c>
      <c r="AI46" s="27">
        <v>95.901471661396286</v>
      </c>
      <c r="AJ46" s="27">
        <v>51.846290440282182</v>
      </c>
      <c r="AK46" s="27">
        <v>15.794703235222576</v>
      </c>
      <c r="AL46" s="27">
        <v>10.128441984918513</v>
      </c>
      <c r="AM46" s="27">
        <v>41.222050595962067</v>
      </c>
      <c r="AN46" s="27">
        <v>19.761086110435421</v>
      </c>
      <c r="AO46" s="27">
        <v>17.140440282169791</v>
      </c>
      <c r="AP46" s="27">
        <v>9.9867854536609109</v>
      </c>
      <c r="AQ46" s="27">
        <v>18.76949039163221</v>
      </c>
      <c r="AR46" s="27">
        <v>6.3037156409632704</v>
      </c>
      <c r="AS46" s="27">
        <v>19.336116516662617</v>
      </c>
      <c r="AT46" s="27">
        <v>11.049209438092923</v>
      </c>
      <c r="AU46" s="27">
        <v>39.238859158355638</v>
      </c>
      <c r="AV46" s="27">
        <v>6.3745439065920708</v>
      </c>
      <c r="AW46" s="27">
        <v>29.110417173437128</v>
      </c>
      <c r="AX46" s="27">
        <v>16.85712721965459</v>
      </c>
      <c r="AY46" s="27">
        <v>20.540197032352232</v>
      </c>
      <c r="AZ46" s="27">
        <v>16.361329360252984</v>
      </c>
      <c r="BA46" s="27">
        <v>18.202864266601804</v>
      </c>
      <c r="BB46" s="27">
        <v>53.262855752858201</v>
      </c>
      <c r="BC46" s="27">
        <v>36.618213330090008</v>
      </c>
      <c r="BD46" s="27">
        <v>279.91330576502077</v>
      </c>
      <c r="BE46" s="27">
        <v>8.2869070785696923</v>
      </c>
      <c r="BF46" s="27">
        <v>56.379299440525429</v>
      </c>
      <c r="BG46" s="27">
        <v>9.4909875942593072</v>
      </c>
      <c r="BH46" s="27">
        <v>8.0744222816832902</v>
      </c>
      <c r="BI46" s="27">
        <v>10.199270250547313</v>
      </c>
      <c r="BJ46" s="27">
        <v>38.459748236438827</v>
      </c>
      <c r="BK46" s="27">
        <v>6.3745439065920708</v>
      </c>
      <c r="BL46" s="27">
        <v>16.14884456336658</v>
      </c>
      <c r="BM46" s="27">
        <v>10.76589637557772</v>
      </c>
      <c r="BN46" s="27">
        <v>18.273692532230605</v>
      </c>
      <c r="BO46" s="27">
        <v>384.59748236438833</v>
      </c>
      <c r="BP46" s="27">
        <v>50.713038190221361</v>
      </c>
      <c r="BQ46" s="27">
        <v>5.3829481877888599</v>
      </c>
      <c r="BR46" s="27">
        <v>23.798297251277067</v>
      </c>
      <c r="BS46" s="27">
        <v>6.7286852347360755</v>
      </c>
      <c r="BT46" s="27">
        <v>20.894338360496235</v>
      </c>
      <c r="BU46" s="27">
        <v>7.224483094137681</v>
      </c>
      <c r="BV46" s="27">
        <v>35.555789345657999</v>
      </c>
      <c r="BW46" s="27">
        <v>11.54500729749453</v>
      </c>
      <c r="BX46" s="27">
        <v>8.3577353441984936</v>
      </c>
      <c r="BY46" s="27">
        <v>16.786298954025789</v>
      </c>
      <c r="BZ46" s="27">
        <v>82.798242520068129</v>
      </c>
      <c r="CA46" s="27">
        <v>9.8451289224033101</v>
      </c>
      <c r="CB46" s="27">
        <v>40.797081002189252</v>
      </c>
      <c r="CC46" s="27">
        <v>14.803107516419365</v>
      </c>
      <c r="CD46" s="27">
        <v>49.86309900267576</v>
      </c>
      <c r="CE46" s="27">
        <v>18.486177329117009</v>
      </c>
      <c r="CF46" s="27">
        <v>10.340926781804916</v>
      </c>
      <c r="CG46" s="27">
        <v>14.23648139138896</v>
      </c>
      <c r="CH46" s="27">
        <v>18.061207735344201</v>
      </c>
      <c r="CI46" s="27">
        <v>3.2581002189248363</v>
      </c>
      <c r="CJ46" s="27">
        <v>25.710660423254687</v>
      </c>
      <c r="CK46" s="27">
        <v>3.1872719532960354</v>
      </c>
      <c r="CL46" s="27">
        <v>8.2869070785696923</v>
      </c>
      <c r="CM46" s="27">
        <v>18.061207735344201</v>
      </c>
      <c r="CN46" s="27">
        <v>10.057613719289712</v>
      </c>
      <c r="CO46" s="27">
        <v>0</v>
      </c>
      <c r="CP46" s="27">
        <v>33.71425443930918</v>
      </c>
      <c r="CQ46" s="27">
        <v>0</v>
      </c>
      <c r="CR46" s="27">
        <v>26.6314278764291</v>
      </c>
      <c r="CS46" s="27">
        <v>15.228077110192173</v>
      </c>
      <c r="CT46" s="27">
        <v>37.043182923862815</v>
      </c>
      <c r="CU46" s="27">
        <v>25.002377766966678</v>
      </c>
      <c r="CV46" s="27">
        <v>13.244885672585749</v>
      </c>
      <c r="CW46" s="27">
        <v>10.128441984918513</v>
      </c>
      <c r="CX46" s="27">
        <v>0.21248479688640237</v>
      </c>
      <c r="CY46" s="27">
        <v>15.865531500851375</v>
      </c>
      <c r="CZ46" s="27">
        <v>107.3048224276332</v>
      </c>
      <c r="DA46" s="27">
        <v>12.749087813184142</v>
      </c>
      <c r="DB46" s="27">
        <v>32.226860861104356</v>
      </c>
      <c r="DC46" s="27">
        <v>24.93154950133788</v>
      </c>
      <c r="DD46" s="27">
        <v>21.744277548041843</v>
      </c>
      <c r="DE46" s="27">
        <v>6.4453721722208721</v>
      </c>
      <c r="DF46" s="27">
        <v>74.015537582096826</v>
      </c>
      <c r="DG46" s="27">
        <v>9.9867854536609109</v>
      </c>
      <c r="DH46" s="27">
        <v>1.6290501094624181</v>
      </c>
      <c r="DI46" s="27">
        <v>26.135630017027491</v>
      </c>
      <c r="DJ46" s="27">
        <v>34.210052298710785</v>
      </c>
      <c r="DK46" s="27">
        <v>32.722658720505969</v>
      </c>
      <c r="DL46" s="27">
        <v>10.482583313062518</v>
      </c>
      <c r="DM46" s="27">
        <v>15.511390172707372</v>
      </c>
      <c r="DN46" s="27">
        <v>13.669855266358553</v>
      </c>
      <c r="DO46" s="27">
        <v>13.953168328873756</v>
      </c>
      <c r="DP46" s="27">
        <v>42.496959377280476</v>
      </c>
      <c r="DQ46" s="27">
        <v>7.4369678910240831</v>
      </c>
      <c r="DR46" s="27">
        <v>17.494581610313798</v>
      </c>
      <c r="DS46" s="27">
        <v>12.394946485040139</v>
      </c>
      <c r="DT46" s="27">
        <v>13.174057406956948</v>
      </c>
      <c r="DU46" s="27">
        <v>8.8535332036000991</v>
      </c>
      <c r="DV46" s="27">
        <v>10.553411578691318</v>
      </c>
      <c r="DW46" s="27">
        <v>33.572597908051577</v>
      </c>
      <c r="DX46" s="27">
        <v>20.82351009486743</v>
      </c>
      <c r="DY46" s="27">
        <v>32.297689126733161</v>
      </c>
      <c r="DZ46" s="27">
        <v>35.201648017513996</v>
      </c>
      <c r="EA46" s="27">
        <v>6.3745439065920708</v>
      </c>
      <c r="EB46" s="27">
        <v>8.4996281854467295</v>
      </c>
      <c r="EC46" s="27">
        <v>8.6570287073994479</v>
      </c>
      <c r="ED46" s="27">
        <v>17.943659502609766</v>
      </c>
      <c r="EE46" s="27">
        <v>15.320317470064477</v>
      </c>
      <c r="EF46" s="27">
        <v>25.02668299048204</v>
      </c>
      <c r="EG46" s="27">
        <v>24.292147221369358</v>
      </c>
      <c r="EH46" s="27">
        <v>20.252200491249617</v>
      </c>
      <c r="EI46" s="27">
        <v>14.008646453791833</v>
      </c>
      <c r="EJ46" s="27">
        <v>21.773738870125882</v>
      </c>
      <c r="EK46" s="27">
        <v>17.314057414798896</v>
      </c>
      <c r="EL46" s="27">
        <v>14.79564906355542</v>
      </c>
      <c r="EM46" s="27">
        <v>22.665675161191281</v>
      </c>
      <c r="EN46" s="27">
        <v>20.514534694504146</v>
      </c>
      <c r="EO46" s="27">
        <v>35.467584280012282</v>
      </c>
      <c r="EP46" s="27">
        <v>35.677451642615907</v>
      </c>
      <c r="EQ46" s="27">
        <v>38.038459471906663</v>
      </c>
      <c r="ER46" s="27">
        <v>13.641378569235494</v>
      </c>
      <c r="ES46" s="27">
        <v>25.446417715689286</v>
      </c>
      <c r="ET46" s="27">
        <v>13.6938454098864</v>
      </c>
      <c r="EU46" s="27">
        <v>12.067373349708323</v>
      </c>
      <c r="EV46" s="27">
        <v>19.517664722136939</v>
      </c>
      <c r="EW46" s="27">
        <v>18.258460546515199</v>
      </c>
      <c r="EX46" s="27">
        <v>9.0242965919557872</v>
      </c>
      <c r="EY46" s="27">
        <v>33.211510132023335</v>
      </c>
      <c r="EZ46" s="27">
        <v>16.73692216763893</v>
      </c>
      <c r="FA46" s="27">
        <v>15.740052195271723</v>
      </c>
      <c r="FB46" s="27">
        <v>16.474587964384405</v>
      </c>
      <c r="FC46" s="27">
        <v>31.270237027939825</v>
      </c>
      <c r="FD46" s="27">
        <v>25.079149831132945</v>
      </c>
      <c r="FE46" s="27">
        <v>21.931139392078602</v>
      </c>
      <c r="FF46" s="27">
        <v>13.536444887933683</v>
      </c>
      <c r="FG46" s="27">
        <v>13.746312250537304</v>
      </c>
      <c r="FH46" s="27">
        <v>19.570131562787843</v>
      </c>
      <c r="FI46" s="27">
        <v>24.344614062020263</v>
      </c>
    </row>
    <row r="47" spans="1:165" x14ac:dyDescent="0.3">
      <c r="A47" s="4" t="s">
        <v>3042</v>
      </c>
      <c r="B47" s="27">
        <v>35.880131963026038</v>
      </c>
      <c r="C47" s="27">
        <v>17.59103746047191</v>
      </c>
      <c r="D47" s="27">
        <v>2.8620338725370962</v>
      </c>
      <c r="E47" s="27">
        <v>9.772798589151062</v>
      </c>
      <c r="F47" s="27">
        <v>9.0747415470688431</v>
      </c>
      <c r="G47" s="27">
        <v>3.1412566893699836</v>
      </c>
      <c r="H47" s="27">
        <v>23.66413372658721</v>
      </c>
      <c r="I47" s="27">
        <v>46.6302104110922</v>
      </c>
      <c r="J47" s="27">
        <v>11.029301264899054</v>
      </c>
      <c r="K47" s="27">
        <v>9.3539643639017314</v>
      </c>
      <c r="L47" s="27">
        <v>27.712864570664081</v>
      </c>
      <c r="M47" s="27">
        <v>17.940065981513019</v>
      </c>
      <c r="N47" s="27">
        <v>3.6997023230357584</v>
      </c>
      <c r="O47" s="27">
        <v>8.6559073218195124</v>
      </c>
      <c r="P47" s="27">
        <v>4.188342252493312</v>
      </c>
      <c r="Q47" s="27">
        <v>8.7955187302359548</v>
      </c>
      <c r="R47" s="27">
        <v>8.7955187302359548</v>
      </c>
      <c r="S47" s="27">
        <v>2.6526167599124308</v>
      </c>
      <c r="T47" s="27">
        <v>3.4204795062028719</v>
      </c>
      <c r="U47" s="27">
        <v>75.59957765750427</v>
      </c>
      <c r="V47" s="27">
        <v>8.0276559839455146</v>
      </c>
      <c r="W47" s="27">
        <v>15.845894855266364</v>
      </c>
      <c r="X47" s="27">
        <v>4.886399294575531</v>
      </c>
      <c r="Y47" s="27">
        <v>2.7922281683288745</v>
      </c>
      <c r="Z47" s="27">
        <v>20.034237107759672</v>
      </c>
      <c r="AA47" s="27">
        <v>23.66413372658721</v>
      </c>
      <c r="AB47" s="27">
        <v>15.496866334225253</v>
      </c>
      <c r="AC47" s="27">
        <v>10.540661335441502</v>
      </c>
      <c r="AD47" s="27">
        <v>19.475791474093899</v>
      </c>
      <c r="AE47" s="27">
        <v>12.146192532230602</v>
      </c>
      <c r="AF47" s="27">
        <v>35.461297737776704</v>
      </c>
      <c r="AG47" s="27">
        <v>11.797164011189494</v>
      </c>
      <c r="AH47" s="27">
        <v>202.01770797859405</v>
      </c>
      <c r="AI47" s="27">
        <v>94.51692349793241</v>
      </c>
      <c r="AJ47" s="27">
        <v>51.097775480418406</v>
      </c>
      <c r="AK47" s="27">
        <v>15.566672038433476</v>
      </c>
      <c r="AL47" s="27">
        <v>9.9822157017757274</v>
      </c>
      <c r="AM47" s="27">
        <v>40.626919849185128</v>
      </c>
      <c r="AN47" s="27">
        <v>19.475791474093899</v>
      </c>
      <c r="AO47" s="27">
        <v>16.892980418389691</v>
      </c>
      <c r="AP47" s="27">
        <v>9.8426042933592832</v>
      </c>
      <c r="AQ47" s="27">
        <v>18.498511615178792</v>
      </c>
      <c r="AR47" s="27">
        <v>6.212707674531746</v>
      </c>
      <c r="AS47" s="27">
        <v>19.056957248844569</v>
      </c>
      <c r="AT47" s="27">
        <v>10.88968985648261</v>
      </c>
      <c r="AU47" s="27">
        <v>38.672360131354907</v>
      </c>
      <c r="AV47" s="27">
        <v>6.2825133787399672</v>
      </c>
      <c r="AW47" s="27">
        <v>28.690144429579185</v>
      </c>
      <c r="AX47" s="27">
        <v>16.613757601556806</v>
      </c>
      <c r="AY47" s="27">
        <v>20.243654220384343</v>
      </c>
      <c r="AZ47" s="27">
        <v>16.12511767209925</v>
      </c>
      <c r="BA47" s="27">
        <v>17.940065981513019</v>
      </c>
      <c r="BB47" s="27">
        <v>52.493889564582844</v>
      </c>
      <c r="BC47" s="27">
        <v>36.089549075650702</v>
      </c>
      <c r="BD47" s="27">
        <v>275.8721430308928</v>
      </c>
      <c r="BE47" s="27">
        <v>8.167267392361957</v>
      </c>
      <c r="BF47" s="27">
        <v>55.565340549744597</v>
      </c>
      <c r="BG47" s="27">
        <v>9.3539643639017314</v>
      </c>
      <c r="BH47" s="27">
        <v>7.9578502797372934</v>
      </c>
      <c r="BI47" s="27">
        <v>10.052021405983949</v>
      </c>
      <c r="BJ47" s="27">
        <v>37.904497385064467</v>
      </c>
      <c r="BK47" s="27">
        <v>6.2825133787399672</v>
      </c>
      <c r="BL47" s="27">
        <v>15.915700559474587</v>
      </c>
      <c r="BM47" s="27">
        <v>10.610467039649723</v>
      </c>
      <c r="BN47" s="27">
        <v>18.009871685721244</v>
      </c>
      <c r="BO47" s="27">
        <v>379.04497385064474</v>
      </c>
      <c r="BP47" s="27">
        <v>49.980884213086846</v>
      </c>
      <c r="BQ47" s="27">
        <v>5.3052335198248617</v>
      </c>
      <c r="BR47" s="27">
        <v>23.454716613962546</v>
      </c>
      <c r="BS47" s="27">
        <v>6.6315418997810767</v>
      </c>
      <c r="BT47" s="27">
        <v>20.592682741425449</v>
      </c>
      <c r="BU47" s="27">
        <v>7.1201818292386303</v>
      </c>
      <c r="BV47" s="27">
        <v>35.042463512527377</v>
      </c>
      <c r="BW47" s="27">
        <v>11.378329785940164</v>
      </c>
      <c r="BX47" s="27">
        <v>8.2370730965701799</v>
      </c>
      <c r="BY47" s="27">
        <v>16.543951897348581</v>
      </c>
      <c r="BZ47" s="27">
        <v>81.602868219411363</v>
      </c>
      <c r="CA47" s="27">
        <v>9.7029928849428391</v>
      </c>
      <c r="CB47" s="27">
        <v>40.208085623935794</v>
      </c>
      <c r="CC47" s="27">
        <v>14.589392179518368</v>
      </c>
      <c r="CD47" s="27">
        <v>49.143215762588191</v>
      </c>
      <c r="CE47" s="27">
        <v>18.219288798345907</v>
      </c>
      <c r="CF47" s="27">
        <v>10.191632814400393</v>
      </c>
      <c r="CG47" s="27">
        <v>14.030946545852595</v>
      </c>
      <c r="CH47" s="27">
        <v>17.800454573096573</v>
      </c>
      <c r="CI47" s="27">
        <v>3.2110623935782052</v>
      </c>
      <c r="CJ47" s="27">
        <v>25.339470627584536</v>
      </c>
      <c r="CK47" s="27">
        <v>3.1412566893699836</v>
      </c>
      <c r="CL47" s="27">
        <v>8.167267392361957</v>
      </c>
      <c r="CM47" s="27">
        <v>17.800454573096573</v>
      </c>
      <c r="CN47" s="27">
        <v>9.9124099975675044</v>
      </c>
      <c r="CO47" s="27">
        <v>0</v>
      </c>
      <c r="CP47" s="27">
        <v>33.227515203113612</v>
      </c>
      <c r="CQ47" s="27">
        <v>0</v>
      </c>
      <c r="CR47" s="27">
        <v>26.246944782291422</v>
      </c>
      <c r="CS47" s="27">
        <v>15.008226404767703</v>
      </c>
      <c r="CT47" s="27">
        <v>36.508383300900036</v>
      </c>
      <c r="CU47" s="27">
        <v>24.641413585502317</v>
      </c>
      <c r="CV47" s="27">
        <v>13.053666686937488</v>
      </c>
      <c r="CW47" s="27">
        <v>9.9822157017757274</v>
      </c>
      <c r="CX47" s="27">
        <v>0.20941711262466559</v>
      </c>
      <c r="CY47" s="27">
        <v>15.636477742641695</v>
      </c>
      <c r="CZ47" s="27">
        <v>105.75564187545612</v>
      </c>
      <c r="DA47" s="27">
        <v>12.565026757479934</v>
      </c>
      <c r="DB47" s="27">
        <v>31.761595414740945</v>
      </c>
      <c r="DC47" s="27">
        <v>24.571607881294096</v>
      </c>
      <c r="DD47" s="27">
        <v>21.43035119192411</v>
      </c>
      <c r="DE47" s="27">
        <v>6.3523190829481893</v>
      </c>
      <c r="DF47" s="27">
        <v>72.94696089759185</v>
      </c>
      <c r="DG47" s="27">
        <v>9.8426042933592832</v>
      </c>
      <c r="DH47" s="27">
        <v>1.6055311967891026</v>
      </c>
      <c r="DI47" s="27">
        <v>25.758304852833867</v>
      </c>
      <c r="DJ47" s="27">
        <v>33.71615513257116</v>
      </c>
      <c r="DK47" s="27">
        <v>32.250235344198501</v>
      </c>
      <c r="DL47" s="27">
        <v>10.331244222816837</v>
      </c>
      <c r="DM47" s="27">
        <v>15.287449221600587</v>
      </c>
      <c r="DN47" s="27">
        <v>13.472500912186819</v>
      </c>
      <c r="DO47" s="27">
        <v>13.751723729019707</v>
      </c>
      <c r="DP47" s="27">
        <v>41.883422524933117</v>
      </c>
      <c r="DQ47" s="27">
        <v>7.3295989418632956</v>
      </c>
      <c r="DR47" s="27">
        <v>17.2420089394308</v>
      </c>
      <c r="DS47" s="27">
        <v>12.215998236438825</v>
      </c>
      <c r="DT47" s="27">
        <v>12.983860982729267</v>
      </c>
      <c r="DU47" s="27">
        <v>8.7257130260277336</v>
      </c>
      <c r="DV47" s="27">
        <v>10.401049927025058</v>
      </c>
      <c r="DW47" s="27">
        <v>33.087903794697162</v>
      </c>
      <c r="DX47" s="27">
        <v>20.522877037217228</v>
      </c>
      <c r="DY47" s="27">
        <v>31.831401118949174</v>
      </c>
      <c r="DZ47" s="27">
        <v>34.693434991486271</v>
      </c>
      <c r="EA47" s="27">
        <v>6.2825133787399672</v>
      </c>
      <c r="EB47" s="27">
        <v>8.2071192047896826</v>
      </c>
      <c r="EC47" s="27">
        <v>8.35910289376727</v>
      </c>
      <c r="ED47" s="27">
        <v>17.32614054344489</v>
      </c>
      <c r="EE47" s="27">
        <v>14.793079060485109</v>
      </c>
      <c r="EF47" s="27">
        <v>24.165406547436291</v>
      </c>
      <c r="EG47" s="27">
        <v>23.456149332207552</v>
      </c>
      <c r="EH47" s="27">
        <v>19.555234648449495</v>
      </c>
      <c r="EI47" s="27">
        <v>13.52654831900522</v>
      </c>
      <c r="EJ47" s="27">
        <v>21.024410308566164</v>
      </c>
      <c r="EK47" s="27">
        <v>16.71820578753454</v>
      </c>
      <c r="EL47" s="27">
        <v>14.286466763893154</v>
      </c>
      <c r="EM47" s="27">
        <v>21.88565121277249</v>
      </c>
      <c r="EN47" s="27">
        <v>19.808540796745472</v>
      </c>
      <c r="EO47" s="27">
        <v>34.246991249616208</v>
      </c>
      <c r="EP47" s="27">
        <v>34.449636168252994</v>
      </c>
      <c r="EQ47" s="27">
        <v>36.729391502916791</v>
      </c>
      <c r="ER47" s="27">
        <v>13.171919711390851</v>
      </c>
      <c r="ES47" s="27">
        <v>24.570696384709855</v>
      </c>
      <c r="ET47" s="27">
        <v>13.222580941050047</v>
      </c>
      <c r="EU47" s="27">
        <v>11.652082821614984</v>
      </c>
      <c r="EV47" s="27">
        <v>18.845977433220757</v>
      </c>
      <c r="EW47" s="27">
        <v>17.630107921400061</v>
      </c>
      <c r="EX47" s="27">
        <v>8.7137315013816394</v>
      </c>
      <c r="EY47" s="27">
        <v>32.0685583742708</v>
      </c>
      <c r="EZ47" s="27">
        <v>16.160932261283389</v>
      </c>
      <c r="FA47" s="27">
        <v>15.198368897758673</v>
      </c>
      <c r="FB47" s="27">
        <v>15.907626112987412</v>
      </c>
      <c r="FC47" s="27">
        <v>30.194092876880568</v>
      </c>
      <c r="FD47" s="27">
        <v>24.216067777095486</v>
      </c>
      <c r="FE47" s="27">
        <v>21.176393997543752</v>
      </c>
      <c r="FF47" s="27">
        <v>13.07059725207246</v>
      </c>
      <c r="FG47" s="27">
        <v>13.27324217070924</v>
      </c>
      <c r="FH47" s="27">
        <v>18.896638662879951</v>
      </c>
      <c r="FI47" s="27">
        <v>23.506810561866747</v>
      </c>
    </row>
    <row r="48" spans="1:165" x14ac:dyDescent="0.3">
      <c r="A48" s="4" t="s">
        <v>3043</v>
      </c>
      <c r="B48" s="27">
        <v>35.183087448309422</v>
      </c>
      <c r="C48" s="27">
        <v>17.24929579177816</v>
      </c>
      <c r="D48" s="27">
        <v>2.806433045487716</v>
      </c>
      <c r="E48" s="27">
        <v>9.5829421065434222</v>
      </c>
      <c r="F48" s="27">
        <v>8.898446241790321</v>
      </c>
      <c r="G48" s="27">
        <v>3.0802313913889572</v>
      </c>
      <c r="H48" s="27">
        <v>23.204409815130141</v>
      </c>
      <c r="I48" s="27">
        <v>45.724323765507187</v>
      </c>
      <c r="J48" s="27">
        <v>10.815034663099006</v>
      </c>
      <c r="K48" s="27">
        <v>9.1722445876915621</v>
      </c>
      <c r="L48" s="27">
        <v>27.174485830698135</v>
      </c>
      <c r="M48" s="27">
        <v>17.591543724154711</v>
      </c>
      <c r="N48" s="27">
        <v>3.6278280831914382</v>
      </c>
      <c r="O48" s="27">
        <v>8.4877487229384609</v>
      </c>
      <c r="P48" s="27">
        <v>4.1069751885186099</v>
      </c>
      <c r="Q48" s="27">
        <v>8.6246478958890798</v>
      </c>
      <c r="R48" s="27">
        <v>8.6246478958890798</v>
      </c>
      <c r="S48" s="27">
        <v>2.601084286061786</v>
      </c>
      <c r="T48" s="27">
        <v>3.3540297372901984</v>
      </c>
      <c r="U48" s="27">
        <v>74.130902152760896</v>
      </c>
      <c r="V48" s="27">
        <v>7.8717024446606683</v>
      </c>
      <c r="W48" s="27">
        <v>15.538056129895407</v>
      </c>
      <c r="X48" s="27">
        <v>4.7914710532717111</v>
      </c>
      <c r="Y48" s="27">
        <v>2.7379834590124066</v>
      </c>
      <c r="Z48" s="27">
        <v>19.645031318414013</v>
      </c>
      <c r="AA48" s="27">
        <v>23.204409815130141</v>
      </c>
      <c r="AB48" s="27">
        <v>15.195808197518854</v>
      </c>
      <c r="AC48" s="27">
        <v>10.335887557771834</v>
      </c>
      <c r="AD48" s="27">
        <v>19.097434626611534</v>
      </c>
      <c r="AE48" s="27">
        <v>11.910228046703967</v>
      </c>
      <c r="AF48" s="27">
        <v>34.77238992945756</v>
      </c>
      <c r="AG48" s="27">
        <v>11.567980114327415</v>
      </c>
      <c r="AH48" s="27">
        <v>198.0931032595476</v>
      </c>
      <c r="AI48" s="27">
        <v>92.680740087569959</v>
      </c>
      <c r="AJ48" s="27">
        <v>50.105097299927039</v>
      </c>
      <c r="AK48" s="27">
        <v>15.264257783994166</v>
      </c>
      <c r="AL48" s="27">
        <v>9.788290865969353</v>
      </c>
      <c r="AM48" s="27">
        <v>39.837659328630515</v>
      </c>
      <c r="AN48" s="27">
        <v>19.097434626611534</v>
      </c>
      <c r="AO48" s="27">
        <v>16.564799927025057</v>
      </c>
      <c r="AP48" s="27">
        <v>9.6513916930187325</v>
      </c>
      <c r="AQ48" s="27">
        <v>18.139140415957193</v>
      </c>
      <c r="AR48" s="27">
        <v>6.092013196302605</v>
      </c>
      <c r="AS48" s="27">
        <v>18.686737107759676</v>
      </c>
      <c r="AT48" s="27">
        <v>10.678135490148385</v>
      </c>
      <c r="AU48" s="27">
        <v>37.921070907321827</v>
      </c>
      <c r="AV48" s="27">
        <v>6.1604627827779144</v>
      </c>
      <c r="AW48" s="27">
        <v>28.132780041352476</v>
      </c>
      <c r="AX48" s="27">
        <v>16.291001581123819</v>
      </c>
      <c r="AY48" s="27">
        <v>19.850380077839947</v>
      </c>
      <c r="AZ48" s="27">
        <v>15.811854475796649</v>
      </c>
      <c r="BA48" s="27">
        <v>17.591543724154711</v>
      </c>
      <c r="BB48" s="27">
        <v>51.474089029433244</v>
      </c>
      <c r="BC48" s="27">
        <v>35.388436207735353</v>
      </c>
      <c r="BD48" s="27">
        <v>270.51276575042579</v>
      </c>
      <c r="BE48" s="27">
        <v>8.0086016176112871</v>
      </c>
      <c r="BF48" s="27">
        <v>54.485870834346883</v>
      </c>
      <c r="BG48" s="27">
        <v>9.1722445876915621</v>
      </c>
      <c r="BH48" s="27">
        <v>7.8032528581853589</v>
      </c>
      <c r="BI48" s="27">
        <v>9.8567404524446633</v>
      </c>
      <c r="BJ48" s="27">
        <v>37.168125456093414</v>
      </c>
      <c r="BK48" s="27">
        <v>6.1604627827779144</v>
      </c>
      <c r="BL48" s="27">
        <v>15.606505716370718</v>
      </c>
      <c r="BM48" s="27">
        <v>10.404337144247144</v>
      </c>
      <c r="BN48" s="27">
        <v>17.659993310630025</v>
      </c>
      <c r="BO48" s="27">
        <v>371.68125456093418</v>
      </c>
      <c r="BP48" s="27">
        <v>49.009903916322067</v>
      </c>
      <c r="BQ48" s="27">
        <v>5.202168572123572</v>
      </c>
      <c r="BR48" s="27">
        <v>22.999061055704214</v>
      </c>
      <c r="BS48" s="27">
        <v>6.502710715154465</v>
      </c>
      <c r="BT48" s="27">
        <v>20.192628010216499</v>
      </c>
      <c r="BU48" s="27">
        <v>6.9818578204816371</v>
      </c>
      <c r="BV48" s="27">
        <v>34.361692410605706</v>
      </c>
      <c r="BW48" s="27">
        <v>11.157282595475557</v>
      </c>
      <c r="BX48" s="27">
        <v>8.0770512040865992</v>
      </c>
      <c r="BY48" s="27">
        <v>16.222551994648509</v>
      </c>
      <c r="BZ48" s="27">
        <v>80.017566589637582</v>
      </c>
      <c r="CA48" s="27">
        <v>9.5144925200681119</v>
      </c>
      <c r="CB48" s="27">
        <v>39.426961809778653</v>
      </c>
      <c r="CC48" s="27">
        <v>14.305963573339822</v>
      </c>
      <c r="CD48" s="27">
        <v>48.188508878618357</v>
      </c>
      <c r="CE48" s="27">
        <v>17.865342070055952</v>
      </c>
      <c r="CF48" s="27">
        <v>9.9936396253952839</v>
      </c>
      <c r="CG48" s="27">
        <v>13.758366881537343</v>
      </c>
      <c r="CH48" s="27">
        <v>17.45464455120409</v>
      </c>
      <c r="CI48" s="27">
        <v>3.148680977864267</v>
      </c>
      <c r="CJ48" s="27">
        <v>24.847199890537588</v>
      </c>
      <c r="CK48" s="27">
        <v>3.0802313913889572</v>
      </c>
      <c r="CL48" s="27">
        <v>8.0086016176112871</v>
      </c>
      <c r="CM48" s="27">
        <v>17.45464455120409</v>
      </c>
      <c r="CN48" s="27">
        <v>9.7198412794940428</v>
      </c>
      <c r="CO48" s="27">
        <v>0</v>
      </c>
      <c r="CP48" s="27">
        <v>32.582003162247638</v>
      </c>
      <c r="CQ48" s="27">
        <v>0</v>
      </c>
      <c r="CR48" s="27">
        <v>25.737044514716622</v>
      </c>
      <c r="CS48" s="27">
        <v>14.716661092191686</v>
      </c>
      <c r="CT48" s="27">
        <v>35.799133726587215</v>
      </c>
      <c r="CU48" s="27">
        <v>24.162704025784485</v>
      </c>
      <c r="CV48" s="27">
        <v>12.800072670883001</v>
      </c>
      <c r="CW48" s="27">
        <v>9.788290865969353</v>
      </c>
      <c r="CX48" s="27">
        <v>0.20534875942593048</v>
      </c>
      <c r="CY48" s="27">
        <v>15.332707370469473</v>
      </c>
      <c r="CZ48" s="27">
        <v>103.70112351009489</v>
      </c>
      <c r="DA48" s="27">
        <v>12.320925565555829</v>
      </c>
      <c r="DB48" s="27">
        <v>31.144561846266122</v>
      </c>
      <c r="DC48" s="27">
        <v>24.094254439309179</v>
      </c>
      <c r="DD48" s="27">
        <v>21.014023047920219</v>
      </c>
      <c r="DE48" s="27">
        <v>6.2289123692532247</v>
      </c>
      <c r="DF48" s="27">
        <v>71.529817866699119</v>
      </c>
      <c r="DG48" s="27">
        <v>9.6513916930187325</v>
      </c>
      <c r="DH48" s="27">
        <v>1.5743404889321335</v>
      </c>
      <c r="DI48" s="27">
        <v>25.257897409389447</v>
      </c>
      <c r="DJ48" s="27">
        <v>33.06115026757481</v>
      </c>
      <c r="DK48" s="27">
        <v>31.623708951593297</v>
      </c>
      <c r="DL48" s="27">
        <v>10.130538798345905</v>
      </c>
      <c r="DM48" s="27">
        <v>14.990459438092925</v>
      </c>
      <c r="DN48" s="27">
        <v>13.210770189734861</v>
      </c>
      <c r="DO48" s="27">
        <v>13.484568535636102</v>
      </c>
      <c r="DP48" s="27">
        <v>41.069751885186101</v>
      </c>
      <c r="DQ48" s="27">
        <v>7.1872065799075671</v>
      </c>
      <c r="DR48" s="27">
        <v>16.907047859401612</v>
      </c>
      <c r="DS48" s="27">
        <v>11.978677633179277</v>
      </c>
      <c r="DT48" s="27">
        <v>12.731623084407691</v>
      </c>
      <c r="DU48" s="27">
        <v>8.5561983094137695</v>
      </c>
      <c r="DV48" s="27">
        <v>10.198988384821213</v>
      </c>
      <c r="DW48" s="27">
        <v>32.445103989297017</v>
      </c>
      <c r="DX48" s="27">
        <v>20.124178423741185</v>
      </c>
      <c r="DY48" s="27">
        <v>31.213011432741435</v>
      </c>
      <c r="DZ48" s="27">
        <v>34.019444478229154</v>
      </c>
      <c r="EA48" s="27">
        <v>6.1604627827779144</v>
      </c>
      <c r="EB48" s="27">
        <v>7.7780703868590724</v>
      </c>
      <c r="EC48" s="27">
        <v>7.9221087273564628</v>
      </c>
      <c r="ED48" s="27">
        <v>16.420370816702487</v>
      </c>
      <c r="EE48" s="27">
        <v>14.019731808412651</v>
      </c>
      <c r="EF48" s="27">
        <v>22.902096139085046</v>
      </c>
      <c r="EG48" s="27">
        <v>22.229917216763894</v>
      </c>
      <c r="EH48" s="27">
        <v>18.532933143997543</v>
      </c>
      <c r="EI48" s="27">
        <v>12.819412304267731</v>
      </c>
      <c r="EJ48" s="27">
        <v>19.925303768805648</v>
      </c>
      <c r="EK48" s="27">
        <v>15.844217454712926</v>
      </c>
      <c r="EL48" s="27">
        <v>13.539604006754683</v>
      </c>
      <c r="EM48" s="27">
        <v>20.741521031624195</v>
      </c>
      <c r="EN48" s="27">
        <v>18.772997044826528</v>
      </c>
      <c r="EO48" s="27">
        <v>32.4566393920786</v>
      </c>
      <c r="EP48" s="27">
        <v>32.648690512741787</v>
      </c>
      <c r="EQ48" s="27">
        <v>34.809265620202638</v>
      </c>
      <c r="ER48" s="27">
        <v>12.483322843107153</v>
      </c>
      <c r="ES48" s="27">
        <v>23.28619838041142</v>
      </c>
      <c r="ET48" s="27">
        <v>12.531335623272952</v>
      </c>
      <c r="EU48" s="27">
        <v>11.042939438133253</v>
      </c>
      <c r="EV48" s="27">
        <v>17.860754221676391</v>
      </c>
      <c r="EW48" s="27">
        <v>16.708447497697268</v>
      </c>
      <c r="EX48" s="27">
        <v>8.2581981885170404</v>
      </c>
      <c r="EY48" s="27">
        <v>30.392089844949336</v>
      </c>
      <c r="EZ48" s="27">
        <v>15.316076872889161</v>
      </c>
      <c r="FA48" s="27">
        <v>14.403834049739023</v>
      </c>
      <c r="FB48" s="27">
        <v>15.076012972060179</v>
      </c>
      <c r="FC48" s="27">
        <v>28.615616978814863</v>
      </c>
      <c r="FD48" s="27">
        <v>22.950108919250845</v>
      </c>
      <c r="FE48" s="27">
        <v>20.06934210930304</v>
      </c>
      <c r="FF48" s="27">
        <v>12.387297282775561</v>
      </c>
      <c r="FG48" s="27">
        <v>12.579348403438747</v>
      </c>
      <c r="FH48" s="27">
        <v>17.908767001842186</v>
      </c>
      <c r="FI48" s="27">
        <v>22.277929996929689</v>
      </c>
    </row>
    <row r="49" spans="1:165" x14ac:dyDescent="0.3">
      <c r="A49" s="4" t="s">
        <v>3044</v>
      </c>
      <c r="B49" s="27">
        <v>33.988213532798191</v>
      </c>
      <c r="C49" s="27">
        <v>16.663482121138411</v>
      </c>
      <c r="D49" s="27">
        <v>2.7111220911375984</v>
      </c>
      <c r="E49" s="27">
        <v>9.2574900672991181</v>
      </c>
      <c r="F49" s="27">
        <v>8.5962407767777531</v>
      </c>
      <c r="G49" s="27">
        <v>2.9756218073461449</v>
      </c>
      <c r="H49" s="27">
        <v>22.416350948674289</v>
      </c>
      <c r="I49" s="27">
        <v>44.171452606827216</v>
      </c>
      <c r="J49" s="27">
        <v>10.447738790237576</v>
      </c>
      <c r="K49" s="27">
        <v>8.8607404929862987</v>
      </c>
      <c r="L49" s="27">
        <v>26.251596833698212</v>
      </c>
      <c r="M49" s="27">
        <v>16.994106766399096</v>
      </c>
      <c r="N49" s="27">
        <v>3.504621239763237</v>
      </c>
      <c r="O49" s="27">
        <v>8.1994912024649338</v>
      </c>
      <c r="P49" s="27">
        <v>3.9674957431281932</v>
      </c>
      <c r="Q49" s="27">
        <v>8.3317410605692057</v>
      </c>
      <c r="R49" s="27">
        <v>8.3317410605692057</v>
      </c>
      <c r="S49" s="27">
        <v>2.5127473039811892</v>
      </c>
      <c r="T49" s="27">
        <v>3.2401215235546919</v>
      </c>
      <c r="U49" s="27">
        <v>71.613298163463881</v>
      </c>
      <c r="V49" s="27">
        <v>7.6043668409957039</v>
      </c>
      <c r="W49" s="27">
        <v>15.010358894834999</v>
      </c>
      <c r="X49" s="27">
        <v>4.628745033649559</v>
      </c>
      <c r="Y49" s="27">
        <v>2.6449971620854624</v>
      </c>
      <c r="Z49" s="27">
        <v>18.97785463796319</v>
      </c>
      <c r="AA49" s="27">
        <v>22.416350948674289</v>
      </c>
      <c r="AB49" s="27">
        <v>14.679734249574315</v>
      </c>
      <c r="AC49" s="27">
        <v>9.9848642868726198</v>
      </c>
      <c r="AD49" s="27">
        <v>18.448855205546099</v>
      </c>
      <c r="AE49" s="27">
        <v>11.505737655071758</v>
      </c>
      <c r="AF49" s="27">
        <v>33.591463958485363</v>
      </c>
      <c r="AG49" s="27">
        <v>11.175113009811076</v>
      </c>
      <c r="AH49" s="27">
        <v>191.36554467688319</v>
      </c>
      <c r="AI49" s="27">
        <v>89.533153936592896</v>
      </c>
      <c r="AJ49" s="27">
        <v>48.403448066163961</v>
      </c>
      <c r="AK49" s="27">
        <v>14.745859178626452</v>
      </c>
      <c r="AL49" s="27">
        <v>9.4558648544555268</v>
      </c>
      <c r="AM49" s="27">
        <v>38.484708708343476</v>
      </c>
      <c r="AN49" s="27">
        <v>18.448855205546099</v>
      </c>
      <c r="AO49" s="27">
        <v>16.002232830617046</v>
      </c>
      <c r="AP49" s="27">
        <v>9.3236149963512549</v>
      </c>
      <c r="AQ49" s="27">
        <v>17.523106198816187</v>
      </c>
      <c r="AR49" s="27">
        <v>5.8851186856401538</v>
      </c>
      <c r="AS49" s="27">
        <v>18.052105631233282</v>
      </c>
      <c r="AT49" s="27">
        <v>10.315488932133302</v>
      </c>
      <c r="AU49" s="27">
        <v>36.633210694883651</v>
      </c>
      <c r="AV49" s="27">
        <v>5.9512436146922898</v>
      </c>
      <c r="AW49" s="27">
        <v>27.177345840428124</v>
      </c>
      <c r="AX49" s="27">
        <v>15.737733114408501</v>
      </c>
      <c r="AY49" s="27">
        <v>19.176229425119601</v>
      </c>
      <c r="AZ49" s="27">
        <v>15.274858611043545</v>
      </c>
      <c r="BA49" s="27">
        <v>16.994106766399096</v>
      </c>
      <c r="BB49" s="27">
        <v>49.72594664720669</v>
      </c>
      <c r="BC49" s="27">
        <v>34.186588319954602</v>
      </c>
      <c r="BD49" s="27">
        <v>261.32571961404369</v>
      </c>
      <c r="BE49" s="27">
        <v>7.7366166990999758</v>
      </c>
      <c r="BF49" s="27">
        <v>52.63544352550069</v>
      </c>
      <c r="BG49" s="27">
        <v>8.8607404929862987</v>
      </c>
      <c r="BH49" s="27">
        <v>7.538241911943568</v>
      </c>
      <c r="BI49" s="27">
        <v>9.5219897835076637</v>
      </c>
      <c r="BJ49" s="27">
        <v>35.905836475310146</v>
      </c>
      <c r="BK49" s="27">
        <v>5.9512436146922898</v>
      </c>
      <c r="BL49" s="27">
        <v>15.076483823887136</v>
      </c>
      <c r="BM49" s="27">
        <v>10.050989215924757</v>
      </c>
      <c r="BN49" s="27">
        <v>17.060231695451233</v>
      </c>
      <c r="BO49" s="27">
        <v>359.0583647531015</v>
      </c>
      <c r="BP49" s="27">
        <v>47.345449201329771</v>
      </c>
      <c r="BQ49" s="27">
        <v>5.0254946079623783</v>
      </c>
      <c r="BR49" s="27">
        <v>22.217976161517882</v>
      </c>
      <c r="BS49" s="27">
        <v>6.2818682599529723</v>
      </c>
      <c r="BT49" s="27">
        <v>19.506854070380282</v>
      </c>
      <c r="BU49" s="27">
        <v>6.7447427633179284</v>
      </c>
      <c r="BV49" s="27">
        <v>33.194714384172556</v>
      </c>
      <c r="BW49" s="27">
        <v>10.778363435498258</v>
      </c>
      <c r="BX49" s="27">
        <v>7.8027416281521136</v>
      </c>
      <c r="BY49" s="27">
        <v>15.671608185356364</v>
      </c>
      <c r="BZ49" s="27">
        <v>77.300042061947636</v>
      </c>
      <c r="CA49" s="27">
        <v>9.1913651382469812</v>
      </c>
      <c r="CB49" s="27">
        <v>38.087959134030655</v>
      </c>
      <c r="CC49" s="27">
        <v>13.820110171896539</v>
      </c>
      <c r="CD49" s="27">
        <v>46.551950052704136</v>
      </c>
      <c r="CE49" s="27">
        <v>17.258606482607643</v>
      </c>
      <c r="CF49" s="27">
        <v>9.6542396416119374</v>
      </c>
      <c r="CG49" s="27">
        <v>13.291110739479448</v>
      </c>
      <c r="CH49" s="27">
        <v>16.861856908294822</v>
      </c>
      <c r="CI49" s="27">
        <v>3.0417467363982813</v>
      </c>
      <c r="CJ49" s="27">
        <v>24.00334924592557</v>
      </c>
      <c r="CK49" s="27">
        <v>2.9756218073461449</v>
      </c>
      <c r="CL49" s="27">
        <v>7.7366166990999758</v>
      </c>
      <c r="CM49" s="27">
        <v>16.861856908294822</v>
      </c>
      <c r="CN49" s="27">
        <v>9.38973992540339</v>
      </c>
      <c r="CO49" s="27">
        <v>0</v>
      </c>
      <c r="CP49" s="27">
        <v>31.475466228817002</v>
      </c>
      <c r="CQ49" s="27">
        <v>0</v>
      </c>
      <c r="CR49" s="27">
        <v>24.862973323603345</v>
      </c>
      <c r="CS49" s="27">
        <v>14.21685974620936</v>
      </c>
      <c r="CT49" s="27">
        <v>34.583337894267416</v>
      </c>
      <c r="CU49" s="27">
        <v>23.342099955404201</v>
      </c>
      <c r="CV49" s="27">
        <v>12.365361732749536</v>
      </c>
      <c r="CW49" s="27">
        <v>9.4558648544555268</v>
      </c>
      <c r="CX49" s="27">
        <v>0.19837478715640966</v>
      </c>
      <c r="CY49" s="27">
        <v>14.811984107678587</v>
      </c>
      <c r="CZ49" s="27">
        <v>100.17926751398687</v>
      </c>
      <c r="DA49" s="27">
        <v>11.90248722938458</v>
      </c>
      <c r="DB49" s="27">
        <v>30.086842718722131</v>
      </c>
      <c r="DC49" s="27">
        <v>23.275975026352068</v>
      </c>
      <c r="DD49" s="27">
        <v>20.30035321900592</v>
      </c>
      <c r="DE49" s="27">
        <v>6.0173685437444266</v>
      </c>
      <c r="DF49" s="27">
        <v>69.100550859482709</v>
      </c>
      <c r="DG49" s="27">
        <v>9.3236149963512549</v>
      </c>
      <c r="DH49" s="27">
        <v>1.5208733681991407</v>
      </c>
      <c r="DI49" s="27">
        <v>24.400098820238387</v>
      </c>
      <c r="DJ49" s="27">
        <v>31.938340732181956</v>
      </c>
      <c r="DK49" s="27">
        <v>30.549717222087089</v>
      </c>
      <c r="DL49" s="27">
        <v>9.7864894997162111</v>
      </c>
      <c r="DM49" s="27">
        <v>14.481359462417904</v>
      </c>
      <c r="DN49" s="27">
        <v>12.762111307062355</v>
      </c>
      <c r="DO49" s="27">
        <v>13.026611023270901</v>
      </c>
      <c r="DP49" s="27">
        <v>39.674957431281932</v>
      </c>
      <c r="DQ49" s="27">
        <v>6.9431175504743381</v>
      </c>
      <c r="DR49" s="27">
        <v>16.332857475877731</v>
      </c>
      <c r="DS49" s="27">
        <v>11.571862584123897</v>
      </c>
      <c r="DT49" s="27">
        <v>12.299236803697399</v>
      </c>
      <c r="DU49" s="27">
        <v>8.2656161315170689</v>
      </c>
      <c r="DV49" s="27">
        <v>9.8526144287683461</v>
      </c>
      <c r="DW49" s="27">
        <v>31.343216370712728</v>
      </c>
      <c r="DX49" s="27">
        <v>19.440729141328145</v>
      </c>
      <c r="DY49" s="27">
        <v>30.152967647774272</v>
      </c>
      <c r="DZ49" s="27">
        <v>32.864089738911872</v>
      </c>
      <c r="EA49" s="27">
        <v>5.9512436146922898</v>
      </c>
      <c r="EB49" s="27">
        <v>7.3233313632176849</v>
      </c>
      <c r="EC49" s="27">
        <v>7.4589486106846792</v>
      </c>
      <c r="ED49" s="27">
        <v>15.460366211237337</v>
      </c>
      <c r="EE49" s="27">
        <v>13.2000787534541</v>
      </c>
      <c r="EF49" s="27">
        <v>21.563142347252075</v>
      </c>
      <c r="EG49" s="27">
        <v>20.930261859072768</v>
      </c>
      <c r="EH49" s="27">
        <v>17.449419174086586</v>
      </c>
      <c r="EI49" s="27">
        <v>12.069935024562483</v>
      </c>
      <c r="EJ49" s="27">
        <v>18.760385899600859</v>
      </c>
      <c r="EK49" s="27">
        <v>14.917897221369358</v>
      </c>
      <c r="EL49" s="27">
        <v>12.748021261897453</v>
      </c>
      <c r="EM49" s="27">
        <v>19.528883635247162</v>
      </c>
      <c r="EN49" s="27">
        <v>17.675447919864908</v>
      </c>
      <c r="EO49" s="27">
        <v>30.559086429229353</v>
      </c>
      <c r="EP49" s="27">
        <v>30.739909425852012</v>
      </c>
      <c r="EQ49" s="27">
        <v>32.774168137856925</v>
      </c>
      <c r="ER49" s="27">
        <v>11.753494780472829</v>
      </c>
      <c r="ES49" s="27">
        <v>21.924788340497393</v>
      </c>
      <c r="ET49" s="27">
        <v>11.798700529628496</v>
      </c>
      <c r="EU49" s="27">
        <v>10.397322305802888</v>
      </c>
      <c r="EV49" s="27">
        <v>16.816538685907279</v>
      </c>
      <c r="EW49" s="27">
        <v>15.731600706171324</v>
      </c>
      <c r="EX49" s="27">
        <v>7.7753888547743326</v>
      </c>
      <c r="EY49" s="27">
        <v>28.61523921553577</v>
      </c>
      <c r="EZ49" s="27">
        <v>14.420633980657048</v>
      </c>
      <c r="FA49" s="27">
        <v>13.561724746699419</v>
      </c>
      <c r="FB49" s="27">
        <v>14.194605234878724</v>
      </c>
      <c r="FC49" s="27">
        <v>26.942626496776178</v>
      </c>
      <c r="FD49" s="27">
        <v>21.608348096407738</v>
      </c>
      <c r="FE49" s="27">
        <v>18.896003147067855</v>
      </c>
      <c r="FF49" s="27">
        <v>11.6630832821615</v>
      </c>
      <c r="FG49" s="27">
        <v>11.843906278784157</v>
      </c>
      <c r="FH49" s="27">
        <v>16.861744435062942</v>
      </c>
      <c r="FI49" s="27">
        <v>20.975467608228431</v>
      </c>
    </row>
  </sheetData>
  <phoneticPr fontId="4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CB92-C074-4144-8480-BCDFFD35A2F5}">
  <sheetPr>
    <tabColor theme="5" tint="0.79998168889431442"/>
  </sheetPr>
  <dimension ref="A1:FI49"/>
  <sheetViews>
    <sheetView zoomScale="85" zoomScaleNormal="85" workbookViewId="0">
      <selection activeCell="E13" sqref="E13"/>
    </sheetView>
  </sheetViews>
  <sheetFormatPr defaultColWidth="8.77734375" defaultRowHeight="14.4" x14ac:dyDescent="0.3"/>
  <cols>
    <col min="1" max="1" width="13.77734375" bestFit="1" customWidth="1"/>
    <col min="2" max="2" width="18.44140625" bestFit="1" customWidth="1"/>
    <col min="3" max="3" width="18.88671875" bestFit="1" customWidth="1"/>
    <col min="4" max="4" width="19.6640625" bestFit="1" customWidth="1"/>
    <col min="5" max="5" width="18.6640625" bestFit="1" customWidth="1"/>
    <col min="6" max="6" width="18.5546875" bestFit="1" customWidth="1"/>
    <col min="7" max="7" width="19" bestFit="1" customWidth="1"/>
    <col min="8" max="8" width="19.44140625" bestFit="1" customWidth="1"/>
    <col min="9" max="9" width="19.5546875" bestFit="1" customWidth="1"/>
    <col min="10" max="10" width="19.33203125" bestFit="1" customWidth="1"/>
    <col min="11" max="11" width="15.5546875" bestFit="1" customWidth="1"/>
    <col min="12" max="12" width="19.6640625" bestFit="1" customWidth="1"/>
    <col min="13" max="13" width="16" bestFit="1" customWidth="1"/>
    <col min="14" max="14" width="18.5546875" bestFit="1" customWidth="1"/>
    <col min="15" max="16" width="18.77734375" bestFit="1" customWidth="1"/>
    <col min="17" max="17" width="15.88671875" bestFit="1" customWidth="1"/>
    <col min="18" max="19" width="18.109375" bestFit="1" customWidth="1"/>
    <col min="20" max="21" width="18.21875" bestFit="1" customWidth="1"/>
    <col min="22" max="22" width="18.6640625" bestFit="1" customWidth="1"/>
    <col min="23" max="23" width="18.109375" bestFit="1" customWidth="1"/>
    <col min="24" max="24" width="18.77734375" bestFit="1" customWidth="1"/>
    <col min="25" max="25" width="17.88671875" bestFit="1" customWidth="1"/>
    <col min="26" max="26" width="19.33203125" bestFit="1" customWidth="1"/>
    <col min="27" max="29" width="19.5546875" bestFit="1" customWidth="1"/>
    <col min="30" max="30" width="19.44140625" bestFit="1" customWidth="1"/>
    <col min="31" max="31" width="18.109375" bestFit="1" customWidth="1"/>
    <col min="32" max="32" width="18.77734375" bestFit="1" customWidth="1"/>
    <col min="33" max="33" width="18.5546875" bestFit="1" customWidth="1"/>
    <col min="34" max="34" width="19.88671875" bestFit="1" customWidth="1"/>
    <col min="35" max="35" width="18.109375" bestFit="1" customWidth="1"/>
    <col min="36" max="36" width="18.33203125" bestFit="1" customWidth="1"/>
    <col min="37" max="37" width="19.44140625" bestFit="1" customWidth="1"/>
    <col min="38" max="38" width="18.44140625" bestFit="1" customWidth="1"/>
    <col min="39" max="39" width="19.88671875" bestFit="1" customWidth="1"/>
    <col min="40" max="41" width="19.44140625" bestFit="1" customWidth="1"/>
    <col min="42" max="42" width="20.33203125" bestFit="1" customWidth="1"/>
    <col min="43" max="43" width="19.5546875" bestFit="1" customWidth="1"/>
    <col min="44" max="44" width="16" bestFit="1" customWidth="1"/>
    <col min="45" max="45" width="20.109375" bestFit="1" customWidth="1"/>
    <col min="46" max="46" width="19.44140625" bestFit="1" customWidth="1"/>
    <col min="47" max="47" width="19.5546875" bestFit="1" customWidth="1"/>
    <col min="48" max="48" width="19.44140625" bestFit="1" customWidth="1"/>
    <col min="49" max="49" width="19.88671875" bestFit="1" customWidth="1"/>
    <col min="50" max="50" width="19.21875" bestFit="1" customWidth="1"/>
    <col min="51" max="52" width="20" bestFit="1" customWidth="1"/>
    <col min="53" max="53" width="19.77734375" bestFit="1" customWidth="1"/>
    <col min="54" max="54" width="19.44140625" bestFit="1" customWidth="1"/>
    <col min="55" max="55" width="19.77734375" bestFit="1" customWidth="1"/>
    <col min="56" max="56" width="18.88671875" bestFit="1" customWidth="1"/>
    <col min="57" max="57" width="19" bestFit="1" customWidth="1"/>
    <col min="58" max="58" width="19.44140625" bestFit="1" customWidth="1"/>
    <col min="59" max="59" width="17.88671875" bestFit="1" customWidth="1"/>
    <col min="60" max="60" width="17.77734375" bestFit="1" customWidth="1"/>
    <col min="61" max="61" width="19.21875" bestFit="1" customWidth="1"/>
    <col min="62" max="62" width="19.109375" bestFit="1" customWidth="1"/>
    <col min="63" max="64" width="19.21875" bestFit="1" customWidth="1"/>
    <col min="65" max="65" width="17.6640625" bestFit="1" customWidth="1"/>
    <col min="66" max="66" width="18.77734375" bestFit="1" customWidth="1"/>
    <col min="67" max="67" width="19.109375" bestFit="1" customWidth="1"/>
    <col min="68" max="68" width="19.21875" bestFit="1" customWidth="1"/>
    <col min="69" max="69" width="18.21875" bestFit="1" customWidth="1"/>
    <col min="70" max="70" width="19.21875" bestFit="1" customWidth="1"/>
    <col min="71" max="71" width="18" bestFit="1" customWidth="1"/>
    <col min="72" max="72" width="19" bestFit="1" customWidth="1"/>
    <col min="73" max="73" width="18" bestFit="1" customWidth="1"/>
    <col min="74" max="74" width="19.109375" bestFit="1" customWidth="1"/>
    <col min="75" max="75" width="19.6640625" bestFit="1" customWidth="1"/>
    <col min="76" max="76" width="19.44140625" bestFit="1" customWidth="1"/>
    <col min="77" max="77" width="18.5546875" bestFit="1" customWidth="1"/>
    <col min="78" max="79" width="18.109375" bestFit="1" customWidth="1"/>
    <col min="80" max="80" width="19" bestFit="1" customWidth="1"/>
    <col min="81" max="81" width="18.6640625" bestFit="1" customWidth="1"/>
    <col min="82" max="82" width="19.21875" bestFit="1" customWidth="1"/>
    <col min="83" max="83" width="18.44140625" bestFit="1" customWidth="1"/>
    <col min="84" max="84" width="20.109375" bestFit="1" customWidth="1"/>
    <col min="85" max="85" width="19.77734375" bestFit="1" customWidth="1"/>
    <col min="86" max="86" width="19.88671875" bestFit="1" customWidth="1"/>
    <col min="87" max="87" width="18.88671875" bestFit="1" customWidth="1"/>
    <col min="88" max="88" width="18.5546875" bestFit="1" customWidth="1"/>
    <col min="89" max="89" width="19" bestFit="1" customWidth="1"/>
    <col min="90" max="90" width="20.44140625" bestFit="1" customWidth="1"/>
    <col min="91" max="91" width="20.109375" bestFit="1" customWidth="1"/>
    <col min="92" max="92" width="18.88671875" bestFit="1" customWidth="1"/>
    <col min="93" max="93" width="19" bestFit="1" customWidth="1"/>
    <col min="94" max="94" width="20" bestFit="1" customWidth="1"/>
    <col min="95" max="95" width="19.109375" bestFit="1" customWidth="1"/>
    <col min="96" max="96" width="20" bestFit="1" customWidth="1"/>
    <col min="97" max="97" width="19.44140625" bestFit="1" customWidth="1"/>
    <col min="98" max="98" width="18.6640625" bestFit="1" customWidth="1"/>
    <col min="99" max="99" width="20.21875" bestFit="1" customWidth="1"/>
    <col min="100" max="100" width="19.77734375" bestFit="1" customWidth="1"/>
    <col min="101" max="102" width="18.5546875" bestFit="1" customWidth="1"/>
    <col min="103" max="103" width="20.109375" bestFit="1" customWidth="1"/>
    <col min="104" max="104" width="18.21875" bestFit="1" customWidth="1"/>
    <col min="105" max="105" width="18.109375" bestFit="1" customWidth="1"/>
    <col min="106" max="106" width="18.88671875" bestFit="1" customWidth="1"/>
    <col min="107" max="107" width="19.44140625" bestFit="1" customWidth="1"/>
    <col min="108" max="108" width="18.88671875" bestFit="1" customWidth="1"/>
    <col min="109" max="109" width="19.33203125" bestFit="1" customWidth="1"/>
    <col min="110" max="110" width="18.33203125" bestFit="1" customWidth="1"/>
    <col min="111" max="111" width="19.21875" bestFit="1" customWidth="1"/>
    <col min="112" max="112" width="18.21875" bestFit="1" customWidth="1"/>
    <col min="113" max="113" width="19.109375" bestFit="1" customWidth="1"/>
    <col min="114" max="114" width="18.88671875" bestFit="1" customWidth="1"/>
    <col min="115" max="115" width="18.44140625" bestFit="1" customWidth="1"/>
    <col min="116" max="116" width="19.5546875" bestFit="1" customWidth="1"/>
    <col min="117" max="117" width="18.33203125" bestFit="1" customWidth="1"/>
    <col min="118" max="118" width="20.109375" bestFit="1" customWidth="1"/>
    <col min="119" max="119" width="19.21875" bestFit="1" customWidth="1"/>
    <col min="120" max="120" width="19.5546875" bestFit="1" customWidth="1"/>
    <col min="121" max="121" width="19.33203125" bestFit="1" customWidth="1"/>
    <col min="122" max="122" width="19.6640625" bestFit="1" customWidth="1"/>
    <col min="123" max="123" width="18.6640625" bestFit="1" customWidth="1"/>
    <col min="124" max="124" width="19" bestFit="1" customWidth="1"/>
    <col min="125" max="125" width="19.77734375" bestFit="1" customWidth="1"/>
    <col min="126" max="126" width="15.109375" bestFit="1" customWidth="1"/>
    <col min="127" max="127" width="18.109375" bestFit="1" customWidth="1"/>
    <col min="128" max="128" width="19.109375" bestFit="1" customWidth="1"/>
    <col min="129" max="129" width="20.109375" bestFit="1" customWidth="1"/>
    <col min="130" max="130" width="19.88671875" bestFit="1" customWidth="1"/>
    <col min="131" max="131" width="18.6640625" bestFit="1" customWidth="1"/>
    <col min="132" max="132" width="19.5546875" bestFit="1" customWidth="1"/>
    <col min="133" max="133" width="18.6640625" bestFit="1" customWidth="1"/>
    <col min="134" max="134" width="19.44140625" bestFit="1" customWidth="1"/>
    <col min="135" max="135" width="18.44140625" bestFit="1" customWidth="1"/>
    <col min="136" max="136" width="19.88671875" bestFit="1" customWidth="1"/>
    <col min="137" max="137" width="19.5546875" bestFit="1" customWidth="1"/>
    <col min="138" max="138" width="20" bestFit="1" customWidth="1"/>
    <col min="139" max="140" width="19.33203125" bestFit="1" customWidth="1"/>
    <col min="141" max="141" width="18.21875" bestFit="1" customWidth="1"/>
    <col min="142" max="142" width="18.88671875" bestFit="1" customWidth="1"/>
    <col min="143" max="143" width="19.109375" bestFit="1" customWidth="1"/>
    <col min="144" max="144" width="19.44140625" bestFit="1" customWidth="1"/>
    <col min="145" max="145" width="19.77734375" bestFit="1" customWidth="1"/>
    <col min="146" max="146" width="18.5546875" bestFit="1" customWidth="1"/>
    <col min="147" max="147" width="19.77734375" bestFit="1" customWidth="1"/>
    <col min="148" max="148" width="19.109375" bestFit="1" customWidth="1"/>
    <col min="149" max="149" width="18.5546875" bestFit="1" customWidth="1"/>
    <col min="150" max="150" width="17.6640625" bestFit="1" customWidth="1"/>
    <col min="151" max="151" width="18" bestFit="1" customWidth="1"/>
    <col min="152" max="152" width="19.5546875" bestFit="1" customWidth="1"/>
    <col min="153" max="153" width="19" bestFit="1" customWidth="1"/>
    <col min="154" max="154" width="18" bestFit="1" customWidth="1"/>
    <col min="155" max="155" width="17.21875" bestFit="1" customWidth="1"/>
    <col min="156" max="156" width="19.5546875" bestFit="1" customWidth="1"/>
    <col min="157" max="157" width="19.33203125" bestFit="1" customWidth="1"/>
    <col min="158" max="158" width="19.5546875" bestFit="1" customWidth="1"/>
    <col min="159" max="159" width="19" bestFit="1" customWidth="1"/>
    <col min="160" max="160" width="20.109375" bestFit="1" customWidth="1"/>
    <col min="161" max="161" width="18.21875" bestFit="1" customWidth="1"/>
    <col min="162" max="162" width="19.21875" bestFit="1" customWidth="1"/>
    <col min="163" max="163" width="18.88671875" bestFit="1" customWidth="1"/>
    <col min="164" max="164" width="17.88671875" bestFit="1" customWidth="1"/>
    <col min="165" max="165" width="20" bestFit="1" customWidth="1"/>
    <col min="166" max="1024" width="8.44140625" customWidth="1"/>
  </cols>
  <sheetData>
    <row r="1" spans="1:165" x14ac:dyDescent="0.3">
      <c r="A1" s="2" t="s">
        <v>31</v>
      </c>
      <c r="B1" s="4" t="s">
        <v>3079</v>
      </c>
      <c r="C1" s="4" t="s">
        <v>3080</v>
      </c>
      <c r="D1" s="8" t="s">
        <v>3081</v>
      </c>
      <c r="E1" s="4" t="s">
        <v>3082</v>
      </c>
      <c r="F1" s="4" t="s">
        <v>3083</v>
      </c>
      <c r="G1" s="4" t="s">
        <v>3084</v>
      </c>
      <c r="H1" s="4" t="s">
        <v>3085</v>
      </c>
      <c r="I1" s="4" t="s">
        <v>3086</v>
      </c>
      <c r="J1" s="4" t="s">
        <v>3087</v>
      </c>
      <c r="K1" s="4" t="s">
        <v>3088</v>
      </c>
      <c r="L1" s="4" t="s">
        <v>3089</v>
      </c>
      <c r="M1" s="4" t="s">
        <v>3090</v>
      </c>
      <c r="N1" s="4" t="s">
        <v>3091</v>
      </c>
      <c r="O1" s="4" t="s">
        <v>3092</v>
      </c>
      <c r="P1" s="4" t="s">
        <v>3093</v>
      </c>
      <c r="Q1" s="4" t="s">
        <v>3094</v>
      </c>
      <c r="R1" s="4" t="s">
        <v>3095</v>
      </c>
      <c r="S1" s="4" t="s">
        <v>3208</v>
      </c>
      <c r="T1" s="4" t="s">
        <v>3096</v>
      </c>
      <c r="U1" s="4" t="s">
        <v>3097</v>
      </c>
      <c r="V1" s="4" t="s">
        <v>3098</v>
      </c>
      <c r="W1" s="4" t="s">
        <v>3099</v>
      </c>
      <c r="X1" s="4" t="s">
        <v>3100</v>
      </c>
      <c r="Y1" s="4" t="s">
        <v>3101</v>
      </c>
      <c r="Z1" s="4" t="s">
        <v>3102</v>
      </c>
      <c r="AA1" s="4" t="s">
        <v>3103</v>
      </c>
      <c r="AB1" s="4" t="s">
        <v>3104</v>
      </c>
      <c r="AC1" s="4" t="s">
        <v>3105</v>
      </c>
      <c r="AD1" s="4" t="s">
        <v>3106</v>
      </c>
      <c r="AE1" s="4" t="s">
        <v>3107</v>
      </c>
      <c r="AF1" s="4" t="s">
        <v>3108</v>
      </c>
      <c r="AG1" s="4" t="s">
        <v>3109</v>
      </c>
      <c r="AH1" s="4" t="s">
        <v>3110</v>
      </c>
      <c r="AI1" s="4" t="s">
        <v>3111</v>
      </c>
      <c r="AJ1" s="4" t="s">
        <v>3112</v>
      </c>
      <c r="AK1" s="4" t="s">
        <v>3113</v>
      </c>
      <c r="AL1" s="4" t="s">
        <v>3114</v>
      </c>
      <c r="AM1" s="4" t="s">
        <v>3115</v>
      </c>
      <c r="AN1" s="4" t="s">
        <v>3116</v>
      </c>
      <c r="AO1" s="4" t="s">
        <v>3117</v>
      </c>
      <c r="AP1" s="4" t="s">
        <v>3118</v>
      </c>
      <c r="AQ1" s="4" t="s">
        <v>3119</v>
      </c>
      <c r="AR1" s="4" t="s">
        <v>3120</v>
      </c>
      <c r="AS1" s="4" t="s">
        <v>3121</v>
      </c>
      <c r="AT1" s="4" t="s">
        <v>3122</v>
      </c>
      <c r="AU1" s="4" t="s">
        <v>3123</v>
      </c>
      <c r="AV1" s="8" t="s">
        <v>3124</v>
      </c>
      <c r="AW1" s="4" t="s">
        <v>3125</v>
      </c>
      <c r="AX1" s="4" t="s">
        <v>3126</v>
      </c>
      <c r="AY1" s="4" t="s">
        <v>3127</v>
      </c>
      <c r="AZ1" s="4" t="s">
        <v>3128</v>
      </c>
      <c r="BA1" s="4" t="s">
        <v>3129</v>
      </c>
      <c r="BB1" s="4" t="s">
        <v>3130</v>
      </c>
      <c r="BC1" s="4" t="s">
        <v>3131</v>
      </c>
      <c r="BD1" s="4" t="s">
        <v>3132</v>
      </c>
      <c r="BE1" s="4" t="s">
        <v>3133</v>
      </c>
      <c r="BF1" s="4" t="s">
        <v>3134</v>
      </c>
      <c r="BG1" s="4" t="s">
        <v>3135</v>
      </c>
      <c r="BH1" s="4" t="s">
        <v>3136</v>
      </c>
      <c r="BI1" s="4" t="s">
        <v>3137</v>
      </c>
      <c r="BJ1" s="4" t="s">
        <v>3138</v>
      </c>
      <c r="BK1" s="4" t="s">
        <v>3139</v>
      </c>
      <c r="BL1" s="4" t="s">
        <v>3140</v>
      </c>
      <c r="BM1" s="4" t="s">
        <v>3141</v>
      </c>
      <c r="BN1" s="4" t="s">
        <v>3142</v>
      </c>
      <c r="BO1" s="4" t="s">
        <v>3143</v>
      </c>
      <c r="BP1" s="4" t="s">
        <v>3144</v>
      </c>
      <c r="BQ1" s="4" t="s">
        <v>3145</v>
      </c>
      <c r="BR1" s="4" t="s">
        <v>3146</v>
      </c>
      <c r="BS1" s="4" t="s">
        <v>3147</v>
      </c>
      <c r="BT1" s="4" t="s">
        <v>3148</v>
      </c>
      <c r="BU1" s="4" t="s">
        <v>3149</v>
      </c>
      <c r="BV1" s="4" t="s">
        <v>3150</v>
      </c>
      <c r="BW1" s="4" t="s">
        <v>3151</v>
      </c>
      <c r="BX1" s="4" t="s">
        <v>3152</v>
      </c>
      <c r="BY1" s="4" t="s">
        <v>3153</v>
      </c>
      <c r="BZ1" s="4" t="s">
        <v>3154</v>
      </c>
      <c r="CA1" s="4" t="s">
        <v>3155</v>
      </c>
      <c r="CB1" s="4" t="s">
        <v>3156</v>
      </c>
      <c r="CC1" s="4" t="s">
        <v>3157</v>
      </c>
      <c r="CD1" s="4" t="s">
        <v>3158</v>
      </c>
      <c r="CE1" s="4" t="s">
        <v>3159</v>
      </c>
      <c r="CF1" s="4" t="s">
        <v>3160</v>
      </c>
      <c r="CG1" s="4" t="s">
        <v>3161</v>
      </c>
      <c r="CH1" s="4" t="s">
        <v>3162</v>
      </c>
      <c r="CI1" s="4" t="s">
        <v>3163</v>
      </c>
      <c r="CJ1" s="4" t="s">
        <v>3164</v>
      </c>
      <c r="CK1" s="4" t="s">
        <v>3165</v>
      </c>
      <c r="CL1" s="4" t="s">
        <v>3166</v>
      </c>
      <c r="CM1" s="4" t="s">
        <v>3167</v>
      </c>
      <c r="CN1" s="4" t="s">
        <v>3168</v>
      </c>
      <c r="CO1" s="4" t="s">
        <v>3169</v>
      </c>
      <c r="CP1" s="4" t="s">
        <v>3170</v>
      </c>
      <c r="CQ1" s="4" t="s">
        <v>3171</v>
      </c>
      <c r="CR1" s="4" t="s">
        <v>3172</v>
      </c>
      <c r="CS1" s="4" t="s">
        <v>3173</v>
      </c>
      <c r="CT1" s="4" t="s">
        <v>3174</v>
      </c>
      <c r="CU1" s="4" t="s">
        <v>3175</v>
      </c>
      <c r="CV1" s="4" t="s">
        <v>3176</v>
      </c>
      <c r="CW1" s="8" t="s">
        <v>3177</v>
      </c>
      <c r="CX1" s="4" t="s">
        <v>3178</v>
      </c>
      <c r="CY1" s="4" t="s">
        <v>3179</v>
      </c>
      <c r="CZ1" s="4" t="s">
        <v>3180</v>
      </c>
      <c r="DA1" s="4" t="s">
        <v>3181</v>
      </c>
      <c r="DB1" s="4" t="s">
        <v>3182</v>
      </c>
      <c r="DC1" s="4" t="s">
        <v>3183</v>
      </c>
      <c r="DD1" s="4" t="s">
        <v>3184</v>
      </c>
      <c r="DE1" s="4" t="s">
        <v>3185</v>
      </c>
      <c r="DF1" s="4" t="s">
        <v>3186</v>
      </c>
      <c r="DG1" s="4" t="s">
        <v>3187</v>
      </c>
      <c r="DH1" s="4" t="s">
        <v>3188</v>
      </c>
      <c r="DI1" s="4" t="s">
        <v>3189</v>
      </c>
      <c r="DJ1" s="4" t="s">
        <v>3190</v>
      </c>
      <c r="DK1" s="4" t="s">
        <v>3191</v>
      </c>
      <c r="DL1" s="4" t="s">
        <v>3192</v>
      </c>
      <c r="DM1" s="4" t="s">
        <v>3193</v>
      </c>
      <c r="DN1" s="4" t="s">
        <v>3194</v>
      </c>
      <c r="DO1" s="4" t="s">
        <v>3195</v>
      </c>
      <c r="DP1" s="4" t="s">
        <v>3196</v>
      </c>
      <c r="DQ1" s="4" t="s">
        <v>3197</v>
      </c>
      <c r="DR1" s="4" t="s">
        <v>3198</v>
      </c>
      <c r="DS1" s="4" t="s">
        <v>3199</v>
      </c>
      <c r="DT1" s="4" t="s">
        <v>3200</v>
      </c>
      <c r="DU1" s="4" t="s">
        <v>3201</v>
      </c>
      <c r="DV1" s="4" t="s">
        <v>3202</v>
      </c>
      <c r="DW1" s="4" t="s">
        <v>3203</v>
      </c>
      <c r="DX1" s="4" t="s">
        <v>3204</v>
      </c>
      <c r="DY1" s="4" t="s">
        <v>3205</v>
      </c>
      <c r="DZ1" s="4" t="s">
        <v>3206</v>
      </c>
      <c r="EA1" s="4" t="s">
        <v>3207</v>
      </c>
      <c r="EB1" s="4" t="s">
        <v>3045</v>
      </c>
      <c r="EC1" s="4" t="s">
        <v>3046</v>
      </c>
      <c r="ED1" s="4" t="s">
        <v>3047</v>
      </c>
      <c r="EE1" s="4" t="s">
        <v>3048</v>
      </c>
      <c r="EF1" s="4" t="s">
        <v>3049</v>
      </c>
      <c r="EG1" s="4" t="s">
        <v>3050</v>
      </c>
      <c r="EH1" s="4" t="s">
        <v>3051</v>
      </c>
      <c r="EI1" s="4" t="s">
        <v>3052</v>
      </c>
      <c r="EJ1" s="4" t="s">
        <v>3053</v>
      </c>
      <c r="EK1" s="4" t="s">
        <v>3054</v>
      </c>
      <c r="EL1" s="4" t="s">
        <v>3055</v>
      </c>
      <c r="EM1" s="4" t="s">
        <v>3056</v>
      </c>
      <c r="EN1" s="4" t="s">
        <v>3057</v>
      </c>
      <c r="EO1" s="4" t="s">
        <v>3058</v>
      </c>
      <c r="EP1" s="4" t="s">
        <v>3059</v>
      </c>
      <c r="EQ1" s="4" t="s">
        <v>3060</v>
      </c>
      <c r="ER1" s="4" t="s">
        <v>3061</v>
      </c>
      <c r="ES1" s="4" t="s">
        <v>3062</v>
      </c>
      <c r="ET1" s="4" t="s">
        <v>3063</v>
      </c>
      <c r="EU1" s="4" t="s">
        <v>3064</v>
      </c>
      <c r="EV1" s="4" t="s">
        <v>3065</v>
      </c>
      <c r="EW1" s="4" t="s">
        <v>3066</v>
      </c>
      <c r="EX1" s="4" t="s">
        <v>3067</v>
      </c>
      <c r="EY1" s="4" t="s">
        <v>3068</v>
      </c>
      <c r="EZ1" s="4" t="s">
        <v>3069</v>
      </c>
      <c r="FA1" s="4" t="s">
        <v>3070</v>
      </c>
      <c r="FB1" s="4" t="s">
        <v>3071</v>
      </c>
      <c r="FC1" s="4" t="s">
        <v>3072</v>
      </c>
      <c r="FD1" s="4" t="s">
        <v>3073</v>
      </c>
      <c r="FE1" s="4" t="s">
        <v>3074</v>
      </c>
      <c r="FF1" s="4" t="s">
        <v>3075</v>
      </c>
      <c r="FG1" s="4" t="s">
        <v>3076</v>
      </c>
      <c r="FH1" s="4" t="s">
        <v>3077</v>
      </c>
      <c r="FI1" s="4" t="s">
        <v>3078</v>
      </c>
    </row>
    <row r="2" spans="1:165" x14ac:dyDescent="0.3">
      <c r="A2" s="4" t="s">
        <v>2997</v>
      </c>
      <c r="B2" s="3">
        <v>20000</v>
      </c>
      <c r="C2" s="3">
        <v>20000</v>
      </c>
      <c r="D2" s="3">
        <v>20000</v>
      </c>
      <c r="E2" s="3">
        <v>20000</v>
      </c>
      <c r="F2" s="3">
        <v>20000</v>
      </c>
      <c r="G2" s="3">
        <v>20000</v>
      </c>
      <c r="H2" s="3">
        <v>20000</v>
      </c>
      <c r="I2" s="3">
        <v>20000</v>
      </c>
      <c r="J2" s="3">
        <v>20000</v>
      </c>
      <c r="K2" s="3">
        <v>20000</v>
      </c>
      <c r="L2" s="3">
        <v>20000</v>
      </c>
      <c r="M2" s="3">
        <v>20000</v>
      </c>
      <c r="N2" s="3">
        <v>20000</v>
      </c>
      <c r="O2" s="3">
        <v>20000</v>
      </c>
      <c r="P2" s="3">
        <v>20000</v>
      </c>
      <c r="Q2" s="3">
        <v>20000</v>
      </c>
      <c r="R2" s="3">
        <v>20000</v>
      </c>
      <c r="S2" s="3">
        <v>20000</v>
      </c>
      <c r="T2" s="3">
        <v>20000</v>
      </c>
      <c r="U2" s="3">
        <v>20000</v>
      </c>
      <c r="V2" s="3">
        <v>20000</v>
      </c>
      <c r="W2" s="3">
        <v>20000</v>
      </c>
      <c r="X2" s="3">
        <v>20000</v>
      </c>
      <c r="Y2" s="3">
        <v>20000</v>
      </c>
      <c r="Z2" s="3">
        <v>20000</v>
      </c>
      <c r="AA2" s="3">
        <v>20000</v>
      </c>
      <c r="AB2" s="3">
        <v>20000</v>
      </c>
      <c r="AC2" s="3">
        <v>20000</v>
      </c>
      <c r="AD2" s="3">
        <v>20000</v>
      </c>
      <c r="AE2" s="3">
        <v>20000</v>
      </c>
      <c r="AF2" s="3">
        <v>20000</v>
      </c>
      <c r="AG2" s="3">
        <v>20000</v>
      </c>
      <c r="AH2" s="3">
        <v>20000</v>
      </c>
      <c r="AI2" s="3">
        <v>20000</v>
      </c>
      <c r="AJ2" s="3">
        <v>20000</v>
      </c>
      <c r="AK2" s="3">
        <v>20000</v>
      </c>
      <c r="AL2" s="3">
        <v>20000</v>
      </c>
      <c r="AM2" s="3">
        <v>20000</v>
      </c>
      <c r="AN2" s="3">
        <v>20000</v>
      </c>
      <c r="AO2" s="3">
        <v>20000</v>
      </c>
      <c r="AP2" s="3">
        <v>20000</v>
      </c>
      <c r="AQ2" s="3">
        <v>20000</v>
      </c>
      <c r="AR2" s="3">
        <v>20000</v>
      </c>
      <c r="AS2" s="3">
        <v>20000</v>
      </c>
      <c r="AT2" s="3">
        <v>20000</v>
      </c>
      <c r="AU2" s="3">
        <v>20000</v>
      </c>
      <c r="AV2" s="3">
        <v>20000</v>
      </c>
      <c r="AW2" s="3">
        <v>20000</v>
      </c>
      <c r="AX2" s="3">
        <v>20000</v>
      </c>
      <c r="AY2" s="3">
        <v>20000</v>
      </c>
      <c r="AZ2" s="3">
        <v>20000</v>
      </c>
      <c r="BA2" s="3">
        <v>20000</v>
      </c>
      <c r="BB2" s="3">
        <v>20000</v>
      </c>
      <c r="BC2" s="3">
        <v>20000</v>
      </c>
      <c r="BD2" s="3">
        <v>20000</v>
      </c>
      <c r="BE2" s="3">
        <v>20000</v>
      </c>
      <c r="BF2" s="3">
        <v>20000</v>
      </c>
      <c r="BG2" s="3">
        <v>20000</v>
      </c>
      <c r="BH2" s="3">
        <v>20000</v>
      </c>
      <c r="BI2" s="3">
        <v>20000</v>
      </c>
      <c r="BJ2" s="3">
        <v>20000</v>
      </c>
      <c r="BK2" s="3">
        <v>20000</v>
      </c>
      <c r="BL2" s="3">
        <v>20000</v>
      </c>
      <c r="BM2" s="3">
        <v>20000</v>
      </c>
      <c r="BN2" s="3">
        <v>20000</v>
      </c>
      <c r="BO2" s="3">
        <v>20000</v>
      </c>
      <c r="BP2" s="3">
        <v>20000</v>
      </c>
      <c r="BQ2" s="3">
        <v>20000</v>
      </c>
      <c r="BR2" s="3">
        <v>20000</v>
      </c>
      <c r="BS2" s="3">
        <v>20000</v>
      </c>
      <c r="BT2" s="3">
        <v>20000</v>
      </c>
      <c r="BU2" s="3">
        <v>20000</v>
      </c>
      <c r="BV2" s="3">
        <v>20000</v>
      </c>
      <c r="BW2" s="3">
        <v>20000</v>
      </c>
      <c r="BX2" s="3">
        <v>20000</v>
      </c>
      <c r="BY2" s="3">
        <v>20000</v>
      </c>
      <c r="BZ2" s="3">
        <v>20000</v>
      </c>
      <c r="CA2" s="3">
        <v>20000</v>
      </c>
      <c r="CB2" s="3">
        <v>20000</v>
      </c>
      <c r="CC2" s="3">
        <v>20000</v>
      </c>
      <c r="CD2" s="3">
        <v>20000</v>
      </c>
      <c r="CE2" s="3">
        <v>20000</v>
      </c>
      <c r="CF2" s="3">
        <v>20000</v>
      </c>
      <c r="CG2" s="3">
        <v>20000</v>
      </c>
      <c r="CH2" s="3">
        <v>20000</v>
      </c>
      <c r="CI2" s="3">
        <v>20000</v>
      </c>
      <c r="CJ2" s="3">
        <v>20000</v>
      </c>
      <c r="CK2" s="3">
        <v>20000</v>
      </c>
      <c r="CL2" s="3">
        <v>20000</v>
      </c>
      <c r="CM2" s="3">
        <v>20000</v>
      </c>
      <c r="CN2" s="3">
        <v>20000</v>
      </c>
      <c r="CO2" s="3">
        <v>20000</v>
      </c>
      <c r="CP2" s="3">
        <v>20000</v>
      </c>
      <c r="CQ2" s="3">
        <v>20000</v>
      </c>
      <c r="CR2" s="3">
        <v>20000</v>
      </c>
      <c r="CS2" s="3">
        <v>20000</v>
      </c>
      <c r="CT2" s="3">
        <v>20000</v>
      </c>
      <c r="CU2" s="3">
        <v>20000</v>
      </c>
      <c r="CV2" s="3">
        <v>20000</v>
      </c>
      <c r="CW2" s="3">
        <v>20000</v>
      </c>
      <c r="CX2" s="3">
        <v>20000</v>
      </c>
      <c r="CY2" s="3">
        <v>20000</v>
      </c>
      <c r="CZ2" s="3">
        <v>20000</v>
      </c>
      <c r="DA2" s="3">
        <v>20000</v>
      </c>
      <c r="DB2" s="3">
        <v>20000</v>
      </c>
      <c r="DC2" s="3">
        <v>20000</v>
      </c>
      <c r="DD2" s="3">
        <v>20000</v>
      </c>
      <c r="DE2" s="3">
        <v>20000</v>
      </c>
      <c r="DF2" s="3">
        <v>20000</v>
      </c>
      <c r="DG2" s="3">
        <v>20000</v>
      </c>
      <c r="DH2" s="3">
        <v>20000</v>
      </c>
      <c r="DI2" s="3">
        <v>20000</v>
      </c>
      <c r="DJ2" s="3">
        <v>20000</v>
      </c>
      <c r="DK2" s="3">
        <v>20000</v>
      </c>
      <c r="DL2" s="3">
        <v>20000</v>
      </c>
      <c r="DM2" s="3">
        <v>20000</v>
      </c>
      <c r="DN2" s="3">
        <v>20000</v>
      </c>
      <c r="DO2" s="3">
        <v>20000</v>
      </c>
      <c r="DP2" s="3">
        <v>20000</v>
      </c>
      <c r="DQ2" s="3">
        <v>20000</v>
      </c>
      <c r="DR2" s="3">
        <v>20000</v>
      </c>
      <c r="DS2" s="3">
        <v>20000</v>
      </c>
      <c r="DT2" s="3">
        <v>20000</v>
      </c>
      <c r="DU2" s="3">
        <v>20000</v>
      </c>
      <c r="DV2" s="3">
        <v>20000</v>
      </c>
      <c r="DW2" s="3">
        <v>20000</v>
      </c>
      <c r="DX2" s="3">
        <v>20000</v>
      </c>
      <c r="DY2" s="3">
        <v>20000</v>
      </c>
      <c r="DZ2" s="3">
        <v>20000</v>
      </c>
      <c r="EA2" s="3">
        <v>20000</v>
      </c>
      <c r="EB2" s="3">
        <v>20000</v>
      </c>
      <c r="EC2" s="3">
        <v>20000</v>
      </c>
      <c r="ED2" s="3">
        <v>20000</v>
      </c>
      <c r="EE2" s="3">
        <v>20000</v>
      </c>
      <c r="EF2" s="3">
        <v>20000</v>
      </c>
      <c r="EG2" s="3">
        <v>20000</v>
      </c>
      <c r="EH2" s="3">
        <v>20000</v>
      </c>
      <c r="EI2" s="3">
        <v>20000</v>
      </c>
      <c r="EJ2" s="3">
        <v>20000</v>
      </c>
      <c r="EK2" s="3">
        <v>20000</v>
      </c>
      <c r="EL2" s="3">
        <v>20000</v>
      </c>
      <c r="EM2" s="3">
        <v>20000</v>
      </c>
      <c r="EN2" s="3">
        <v>20000</v>
      </c>
      <c r="EO2" s="3">
        <v>20000</v>
      </c>
      <c r="EP2" s="3">
        <v>20000</v>
      </c>
      <c r="EQ2" s="3">
        <v>20000</v>
      </c>
      <c r="ER2" s="3">
        <v>20000</v>
      </c>
      <c r="ES2" s="3">
        <v>20000</v>
      </c>
      <c r="ET2" s="3">
        <v>20000</v>
      </c>
      <c r="EU2" s="3">
        <v>20000</v>
      </c>
      <c r="EV2" s="3">
        <v>20000</v>
      </c>
      <c r="EW2" s="3">
        <v>20000</v>
      </c>
      <c r="EX2" s="3">
        <v>20000</v>
      </c>
      <c r="EY2" s="3">
        <v>20000</v>
      </c>
      <c r="EZ2" s="3">
        <v>20000</v>
      </c>
      <c r="FA2" s="3">
        <v>20000</v>
      </c>
      <c r="FB2" s="3">
        <v>20000</v>
      </c>
      <c r="FC2" s="3">
        <v>20000</v>
      </c>
      <c r="FD2" s="3">
        <v>20000</v>
      </c>
      <c r="FE2" s="3">
        <v>20000</v>
      </c>
      <c r="FF2" s="3">
        <v>20000</v>
      </c>
      <c r="FG2" s="3">
        <v>20000</v>
      </c>
      <c r="FH2" s="3">
        <v>20000</v>
      </c>
      <c r="FI2" s="3">
        <v>20000</v>
      </c>
    </row>
    <row r="3" spans="1:165" x14ac:dyDescent="0.3">
      <c r="A3" s="4" t="s">
        <v>2998</v>
      </c>
      <c r="B3" s="3">
        <v>20000</v>
      </c>
      <c r="C3" s="3">
        <v>20000</v>
      </c>
      <c r="D3" s="3">
        <v>20000</v>
      </c>
      <c r="E3" s="3">
        <v>20000</v>
      </c>
      <c r="F3" s="3">
        <v>20000</v>
      </c>
      <c r="G3" s="3">
        <v>20000</v>
      </c>
      <c r="H3" s="3">
        <v>20000</v>
      </c>
      <c r="I3" s="3">
        <v>20000</v>
      </c>
      <c r="J3" s="3">
        <v>20000</v>
      </c>
      <c r="K3" s="3">
        <v>20000</v>
      </c>
      <c r="L3" s="3">
        <v>20000</v>
      </c>
      <c r="M3" s="3">
        <v>20000</v>
      </c>
      <c r="N3" s="3">
        <v>20000</v>
      </c>
      <c r="O3" s="3">
        <v>20000</v>
      </c>
      <c r="P3" s="3">
        <v>20000</v>
      </c>
      <c r="Q3" s="3">
        <v>20000</v>
      </c>
      <c r="R3" s="3">
        <v>20000</v>
      </c>
      <c r="S3" s="3">
        <v>20000</v>
      </c>
      <c r="T3" s="3">
        <v>20000</v>
      </c>
      <c r="U3" s="3">
        <v>20000</v>
      </c>
      <c r="V3" s="3">
        <v>20000</v>
      </c>
      <c r="W3" s="3">
        <v>20000</v>
      </c>
      <c r="X3" s="3">
        <v>20000</v>
      </c>
      <c r="Y3" s="3">
        <v>20000</v>
      </c>
      <c r="Z3" s="3">
        <v>20000</v>
      </c>
      <c r="AA3" s="3">
        <v>20000</v>
      </c>
      <c r="AB3" s="3">
        <v>20000</v>
      </c>
      <c r="AC3" s="3">
        <v>20000</v>
      </c>
      <c r="AD3" s="3">
        <v>20000</v>
      </c>
      <c r="AE3" s="3">
        <v>20000</v>
      </c>
      <c r="AF3" s="3">
        <v>20000</v>
      </c>
      <c r="AG3" s="3">
        <v>20000</v>
      </c>
      <c r="AH3" s="3">
        <v>20000</v>
      </c>
      <c r="AI3" s="3">
        <v>20000</v>
      </c>
      <c r="AJ3" s="3">
        <v>20000</v>
      </c>
      <c r="AK3" s="3">
        <v>20000</v>
      </c>
      <c r="AL3" s="3">
        <v>20000</v>
      </c>
      <c r="AM3" s="3">
        <v>20000</v>
      </c>
      <c r="AN3" s="3">
        <v>20000</v>
      </c>
      <c r="AO3" s="3">
        <v>20000</v>
      </c>
      <c r="AP3" s="3">
        <v>20000</v>
      </c>
      <c r="AQ3" s="3">
        <v>20000</v>
      </c>
      <c r="AR3" s="3">
        <v>20000</v>
      </c>
      <c r="AS3" s="3">
        <v>20000</v>
      </c>
      <c r="AT3" s="3">
        <v>20000</v>
      </c>
      <c r="AU3" s="3">
        <v>20000</v>
      </c>
      <c r="AV3" s="3">
        <v>20000</v>
      </c>
      <c r="AW3" s="3">
        <v>20000</v>
      </c>
      <c r="AX3" s="3">
        <v>20000</v>
      </c>
      <c r="AY3" s="3">
        <v>20000</v>
      </c>
      <c r="AZ3" s="3">
        <v>20000</v>
      </c>
      <c r="BA3" s="3">
        <v>20000</v>
      </c>
      <c r="BB3" s="3">
        <v>20000</v>
      </c>
      <c r="BC3" s="3">
        <v>20000</v>
      </c>
      <c r="BD3" s="3">
        <v>20000</v>
      </c>
      <c r="BE3" s="3">
        <v>20000</v>
      </c>
      <c r="BF3" s="3">
        <v>20000</v>
      </c>
      <c r="BG3" s="3">
        <v>20000</v>
      </c>
      <c r="BH3" s="3">
        <v>20000</v>
      </c>
      <c r="BI3" s="3">
        <v>20000</v>
      </c>
      <c r="BJ3" s="3">
        <v>20000</v>
      </c>
      <c r="BK3" s="3">
        <v>20000</v>
      </c>
      <c r="BL3" s="3">
        <v>20000</v>
      </c>
      <c r="BM3" s="3">
        <v>20000</v>
      </c>
      <c r="BN3" s="3">
        <v>20000</v>
      </c>
      <c r="BO3" s="3">
        <v>20000</v>
      </c>
      <c r="BP3" s="3">
        <v>20000</v>
      </c>
      <c r="BQ3" s="3">
        <v>20000</v>
      </c>
      <c r="BR3" s="3">
        <v>20000</v>
      </c>
      <c r="BS3" s="3">
        <v>20000</v>
      </c>
      <c r="BT3" s="3">
        <v>20000</v>
      </c>
      <c r="BU3" s="3">
        <v>20000</v>
      </c>
      <c r="BV3" s="3">
        <v>20000</v>
      </c>
      <c r="BW3" s="3">
        <v>20000</v>
      </c>
      <c r="BX3" s="3">
        <v>20000</v>
      </c>
      <c r="BY3" s="3">
        <v>20000</v>
      </c>
      <c r="BZ3" s="3">
        <v>20000</v>
      </c>
      <c r="CA3" s="3">
        <v>20000</v>
      </c>
      <c r="CB3" s="3">
        <v>20000</v>
      </c>
      <c r="CC3" s="3">
        <v>20000</v>
      </c>
      <c r="CD3" s="3">
        <v>20000</v>
      </c>
      <c r="CE3" s="3">
        <v>20000</v>
      </c>
      <c r="CF3" s="3">
        <v>20000</v>
      </c>
      <c r="CG3" s="3">
        <v>20000</v>
      </c>
      <c r="CH3" s="3">
        <v>20000</v>
      </c>
      <c r="CI3" s="3">
        <v>20000</v>
      </c>
      <c r="CJ3" s="3">
        <v>20000</v>
      </c>
      <c r="CK3" s="3">
        <v>20000</v>
      </c>
      <c r="CL3" s="3">
        <v>20000</v>
      </c>
      <c r="CM3" s="3">
        <v>20000</v>
      </c>
      <c r="CN3" s="3">
        <v>20000</v>
      </c>
      <c r="CO3" s="3">
        <v>20000</v>
      </c>
      <c r="CP3" s="3">
        <v>20000</v>
      </c>
      <c r="CQ3" s="3">
        <v>20000</v>
      </c>
      <c r="CR3" s="3">
        <v>20000</v>
      </c>
      <c r="CS3" s="3">
        <v>20000</v>
      </c>
      <c r="CT3" s="3">
        <v>20000</v>
      </c>
      <c r="CU3" s="3">
        <v>20000</v>
      </c>
      <c r="CV3" s="3">
        <v>20000</v>
      </c>
      <c r="CW3" s="3">
        <v>20000</v>
      </c>
      <c r="CX3" s="3">
        <v>20000</v>
      </c>
      <c r="CY3" s="3">
        <v>20000</v>
      </c>
      <c r="CZ3" s="3">
        <v>20000</v>
      </c>
      <c r="DA3" s="3">
        <v>20000</v>
      </c>
      <c r="DB3" s="3">
        <v>20000</v>
      </c>
      <c r="DC3" s="3">
        <v>20000</v>
      </c>
      <c r="DD3" s="3">
        <v>20000</v>
      </c>
      <c r="DE3" s="3">
        <v>20000</v>
      </c>
      <c r="DF3" s="3">
        <v>20000</v>
      </c>
      <c r="DG3" s="3">
        <v>20000</v>
      </c>
      <c r="DH3" s="3">
        <v>20000</v>
      </c>
      <c r="DI3" s="3">
        <v>20000</v>
      </c>
      <c r="DJ3" s="3">
        <v>20000</v>
      </c>
      <c r="DK3" s="3">
        <v>20000</v>
      </c>
      <c r="DL3" s="3">
        <v>20000</v>
      </c>
      <c r="DM3" s="3">
        <v>20000</v>
      </c>
      <c r="DN3" s="3">
        <v>20000</v>
      </c>
      <c r="DO3" s="3">
        <v>20000</v>
      </c>
      <c r="DP3" s="3">
        <v>20000</v>
      </c>
      <c r="DQ3" s="3">
        <v>20000</v>
      </c>
      <c r="DR3" s="3">
        <v>20000</v>
      </c>
      <c r="DS3" s="3">
        <v>20000</v>
      </c>
      <c r="DT3" s="3">
        <v>20000</v>
      </c>
      <c r="DU3" s="3">
        <v>20000</v>
      </c>
      <c r="DV3" s="3">
        <v>20000</v>
      </c>
      <c r="DW3" s="3">
        <v>20000</v>
      </c>
      <c r="DX3" s="3">
        <v>20000</v>
      </c>
      <c r="DY3" s="3">
        <v>20000</v>
      </c>
      <c r="DZ3" s="3">
        <v>20000</v>
      </c>
      <c r="EA3" s="3">
        <v>20000</v>
      </c>
      <c r="EB3" s="3">
        <v>20000</v>
      </c>
      <c r="EC3" s="3">
        <v>20000</v>
      </c>
      <c r="ED3" s="3">
        <v>20000</v>
      </c>
      <c r="EE3" s="3">
        <v>20000</v>
      </c>
      <c r="EF3" s="3">
        <v>20000</v>
      </c>
      <c r="EG3" s="3">
        <v>20000</v>
      </c>
      <c r="EH3" s="3">
        <v>20000</v>
      </c>
      <c r="EI3" s="3">
        <v>20000</v>
      </c>
      <c r="EJ3" s="3">
        <v>20000</v>
      </c>
      <c r="EK3" s="3">
        <v>20000</v>
      </c>
      <c r="EL3" s="3">
        <v>20000</v>
      </c>
      <c r="EM3" s="3">
        <v>20000</v>
      </c>
      <c r="EN3" s="3">
        <v>20000</v>
      </c>
      <c r="EO3" s="3">
        <v>20000</v>
      </c>
      <c r="EP3" s="3">
        <v>20000</v>
      </c>
      <c r="EQ3" s="3">
        <v>20000</v>
      </c>
      <c r="ER3" s="3">
        <v>20000</v>
      </c>
      <c r="ES3" s="3">
        <v>20000</v>
      </c>
      <c r="ET3" s="3">
        <v>20000</v>
      </c>
      <c r="EU3" s="3">
        <v>20000</v>
      </c>
      <c r="EV3" s="3">
        <v>20000</v>
      </c>
      <c r="EW3" s="3">
        <v>20000</v>
      </c>
      <c r="EX3" s="3">
        <v>20000</v>
      </c>
      <c r="EY3" s="3">
        <v>20000</v>
      </c>
      <c r="EZ3" s="3">
        <v>20000</v>
      </c>
      <c r="FA3" s="3">
        <v>20000</v>
      </c>
      <c r="FB3" s="3">
        <v>20000</v>
      </c>
      <c r="FC3" s="3">
        <v>20000</v>
      </c>
      <c r="FD3" s="3">
        <v>20000</v>
      </c>
      <c r="FE3" s="3">
        <v>20000</v>
      </c>
      <c r="FF3" s="3">
        <v>20000</v>
      </c>
      <c r="FG3" s="3">
        <v>20000</v>
      </c>
      <c r="FH3" s="3">
        <v>20000</v>
      </c>
      <c r="FI3" s="3">
        <v>20000</v>
      </c>
    </row>
    <row r="4" spans="1:165" x14ac:dyDescent="0.3">
      <c r="A4" s="4" t="s">
        <v>2999</v>
      </c>
      <c r="B4" s="3">
        <v>20000</v>
      </c>
      <c r="C4" s="3">
        <v>20000</v>
      </c>
      <c r="D4" s="3">
        <v>20000</v>
      </c>
      <c r="E4" s="3">
        <v>20000</v>
      </c>
      <c r="F4" s="3">
        <v>20000</v>
      </c>
      <c r="G4" s="3">
        <v>20000</v>
      </c>
      <c r="H4" s="3">
        <v>20000</v>
      </c>
      <c r="I4" s="3">
        <v>20000</v>
      </c>
      <c r="J4" s="3">
        <v>20000</v>
      </c>
      <c r="K4" s="3">
        <v>20000</v>
      </c>
      <c r="L4" s="3">
        <v>20000</v>
      </c>
      <c r="M4" s="3">
        <v>20000</v>
      </c>
      <c r="N4" s="3">
        <v>20000</v>
      </c>
      <c r="O4" s="3">
        <v>20000</v>
      </c>
      <c r="P4" s="3">
        <v>20000</v>
      </c>
      <c r="Q4" s="3">
        <v>20000</v>
      </c>
      <c r="R4" s="3">
        <v>20000</v>
      </c>
      <c r="S4" s="3">
        <v>20000</v>
      </c>
      <c r="T4" s="3">
        <v>20000</v>
      </c>
      <c r="U4" s="3">
        <v>20000</v>
      </c>
      <c r="V4" s="3">
        <v>20000</v>
      </c>
      <c r="W4" s="3">
        <v>20000</v>
      </c>
      <c r="X4" s="3">
        <v>20000</v>
      </c>
      <c r="Y4" s="3">
        <v>20000</v>
      </c>
      <c r="Z4" s="3">
        <v>20000</v>
      </c>
      <c r="AA4" s="3">
        <v>20000</v>
      </c>
      <c r="AB4" s="3">
        <v>20000</v>
      </c>
      <c r="AC4" s="3">
        <v>20000</v>
      </c>
      <c r="AD4" s="3">
        <v>20000</v>
      </c>
      <c r="AE4" s="3">
        <v>20000</v>
      </c>
      <c r="AF4" s="3">
        <v>20000</v>
      </c>
      <c r="AG4" s="3">
        <v>20000</v>
      </c>
      <c r="AH4" s="3">
        <v>20000</v>
      </c>
      <c r="AI4" s="3">
        <v>20000</v>
      </c>
      <c r="AJ4" s="3">
        <v>20000</v>
      </c>
      <c r="AK4" s="3">
        <v>20000</v>
      </c>
      <c r="AL4" s="3">
        <v>20000</v>
      </c>
      <c r="AM4" s="3">
        <v>20000</v>
      </c>
      <c r="AN4" s="3">
        <v>20000</v>
      </c>
      <c r="AO4" s="3">
        <v>20000</v>
      </c>
      <c r="AP4" s="3">
        <v>20000</v>
      </c>
      <c r="AQ4" s="3">
        <v>20000</v>
      </c>
      <c r="AR4" s="3">
        <v>20000</v>
      </c>
      <c r="AS4" s="3">
        <v>20000</v>
      </c>
      <c r="AT4" s="3">
        <v>20000</v>
      </c>
      <c r="AU4" s="3">
        <v>20000</v>
      </c>
      <c r="AV4" s="3">
        <v>20000</v>
      </c>
      <c r="AW4" s="3">
        <v>20000</v>
      </c>
      <c r="AX4" s="3">
        <v>20000</v>
      </c>
      <c r="AY4" s="3">
        <v>20000</v>
      </c>
      <c r="AZ4" s="3">
        <v>20000</v>
      </c>
      <c r="BA4" s="3">
        <v>20000</v>
      </c>
      <c r="BB4" s="3">
        <v>20000</v>
      </c>
      <c r="BC4" s="3">
        <v>20000</v>
      </c>
      <c r="BD4" s="3">
        <v>20000</v>
      </c>
      <c r="BE4" s="3">
        <v>20000</v>
      </c>
      <c r="BF4" s="3">
        <v>20000</v>
      </c>
      <c r="BG4" s="3">
        <v>20000</v>
      </c>
      <c r="BH4" s="3">
        <v>20000</v>
      </c>
      <c r="BI4" s="3">
        <v>20000</v>
      </c>
      <c r="BJ4" s="3">
        <v>20000</v>
      </c>
      <c r="BK4" s="3">
        <v>20000</v>
      </c>
      <c r="BL4" s="3">
        <v>20000</v>
      </c>
      <c r="BM4" s="3">
        <v>20000</v>
      </c>
      <c r="BN4" s="3">
        <v>20000</v>
      </c>
      <c r="BO4" s="3">
        <v>20000</v>
      </c>
      <c r="BP4" s="3">
        <v>20000</v>
      </c>
      <c r="BQ4" s="3">
        <v>20000</v>
      </c>
      <c r="BR4" s="3">
        <v>20000</v>
      </c>
      <c r="BS4" s="3">
        <v>20000</v>
      </c>
      <c r="BT4" s="3">
        <v>20000</v>
      </c>
      <c r="BU4" s="3">
        <v>20000</v>
      </c>
      <c r="BV4" s="3">
        <v>20000</v>
      </c>
      <c r="BW4" s="3">
        <v>20000</v>
      </c>
      <c r="BX4" s="3">
        <v>20000</v>
      </c>
      <c r="BY4" s="3">
        <v>20000</v>
      </c>
      <c r="BZ4" s="3">
        <v>20000</v>
      </c>
      <c r="CA4" s="3">
        <v>20000</v>
      </c>
      <c r="CB4" s="3">
        <v>20000</v>
      </c>
      <c r="CC4" s="3">
        <v>20000</v>
      </c>
      <c r="CD4" s="3">
        <v>20000</v>
      </c>
      <c r="CE4" s="3">
        <v>20000</v>
      </c>
      <c r="CF4" s="3">
        <v>20000</v>
      </c>
      <c r="CG4" s="3">
        <v>20000</v>
      </c>
      <c r="CH4" s="3">
        <v>20000</v>
      </c>
      <c r="CI4" s="3">
        <v>20000</v>
      </c>
      <c r="CJ4" s="3">
        <v>20000</v>
      </c>
      <c r="CK4" s="3">
        <v>20000</v>
      </c>
      <c r="CL4" s="3">
        <v>20000</v>
      </c>
      <c r="CM4" s="3">
        <v>20000</v>
      </c>
      <c r="CN4" s="3">
        <v>20000</v>
      </c>
      <c r="CO4" s="3">
        <v>20000</v>
      </c>
      <c r="CP4" s="3">
        <v>20000</v>
      </c>
      <c r="CQ4" s="3">
        <v>20000</v>
      </c>
      <c r="CR4" s="3">
        <v>20000</v>
      </c>
      <c r="CS4" s="3">
        <v>20000</v>
      </c>
      <c r="CT4" s="3">
        <v>20000</v>
      </c>
      <c r="CU4" s="3">
        <v>20000</v>
      </c>
      <c r="CV4" s="3">
        <v>20000</v>
      </c>
      <c r="CW4" s="3">
        <v>20000</v>
      </c>
      <c r="CX4" s="3">
        <v>20000</v>
      </c>
      <c r="CY4" s="3">
        <v>20000</v>
      </c>
      <c r="CZ4" s="3">
        <v>20000</v>
      </c>
      <c r="DA4" s="3">
        <v>20000</v>
      </c>
      <c r="DB4" s="3">
        <v>20000</v>
      </c>
      <c r="DC4" s="3">
        <v>20000</v>
      </c>
      <c r="DD4" s="3">
        <v>20000</v>
      </c>
      <c r="DE4" s="3">
        <v>20000</v>
      </c>
      <c r="DF4" s="3">
        <v>20000</v>
      </c>
      <c r="DG4" s="3">
        <v>20000</v>
      </c>
      <c r="DH4" s="3">
        <v>20000</v>
      </c>
      <c r="DI4" s="3">
        <v>20000</v>
      </c>
      <c r="DJ4" s="3">
        <v>20000</v>
      </c>
      <c r="DK4" s="3">
        <v>20000</v>
      </c>
      <c r="DL4" s="3">
        <v>20000</v>
      </c>
      <c r="DM4" s="3">
        <v>20000</v>
      </c>
      <c r="DN4" s="3">
        <v>20000</v>
      </c>
      <c r="DO4" s="3">
        <v>20000</v>
      </c>
      <c r="DP4" s="3">
        <v>20000</v>
      </c>
      <c r="DQ4" s="3">
        <v>20000</v>
      </c>
      <c r="DR4" s="3">
        <v>20000</v>
      </c>
      <c r="DS4" s="3">
        <v>20000</v>
      </c>
      <c r="DT4" s="3">
        <v>20000</v>
      </c>
      <c r="DU4" s="3">
        <v>20000</v>
      </c>
      <c r="DV4" s="3">
        <v>20000</v>
      </c>
      <c r="DW4" s="3">
        <v>20000</v>
      </c>
      <c r="DX4" s="3">
        <v>20000</v>
      </c>
      <c r="DY4" s="3">
        <v>20000</v>
      </c>
      <c r="DZ4" s="3">
        <v>20000</v>
      </c>
      <c r="EA4" s="3">
        <v>20000</v>
      </c>
      <c r="EB4" s="3">
        <v>20000</v>
      </c>
      <c r="EC4" s="3">
        <v>20000</v>
      </c>
      <c r="ED4" s="3">
        <v>20000</v>
      </c>
      <c r="EE4" s="3">
        <v>20000</v>
      </c>
      <c r="EF4" s="3">
        <v>20000</v>
      </c>
      <c r="EG4" s="3">
        <v>20000</v>
      </c>
      <c r="EH4" s="3">
        <v>20000</v>
      </c>
      <c r="EI4" s="3">
        <v>20000</v>
      </c>
      <c r="EJ4" s="3">
        <v>20000</v>
      </c>
      <c r="EK4" s="3">
        <v>20000</v>
      </c>
      <c r="EL4" s="3">
        <v>20000</v>
      </c>
      <c r="EM4" s="3">
        <v>20000</v>
      </c>
      <c r="EN4" s="3">
        <v>20000</v>
      </c>
      <c r="EO4" s="3">
        <v>20000</v>
      </c>
      <c r="EP4" s="3">
        <v>20000</v>
      </c>
      <c r="EQ4" s="3">
        <v>20000</v>
      </c>
      <c r="ER4" s="3">
        <v>20000</v>
      </c>
      <c r="ES4" s="3">
        <v>20000</v>
      </c>
      <c r="ET4" s="3">
        <v>20000</v>
      </c>
      <c r="EU4" s="3">
        <v>20000</v>
      </c>
      <c r="EV4" s="3">
        <v>20000</v>
      </c>
      <c r="EW4" s="3">
        <v>20000</v>
      </c>
      <c r="EX4" s="3">
        <v>20000</v>
      </c>
      <c r="EY4" s="3">
        <v>20000</v>
      </c>
      <c r="EZ4" s="3">
        <v>20000</v>
      </c>
      <c r="FA4" s="3">
        <v>20000</v>
      </c>
      <c r="FB4" s="3">
        <v>20000</v>
      </c>
      <c r="FC4" s="3">
        <v>20000</v>
      </c>
      <c r="FD4" s="3">
        <v>20000</v>
      </c>
      <c r="FE4" s="3">
        <v>20000</v>
      </c>
      <c r="FF4" s="3">
        <v>20000</v>
      </c>
      <c r="FG4" s="3">
        <v>20000</v>
      </c>
      <c r="FH4" s="3">
        <v>20000</v>
      </c>
      <c r="FI4" s="3">
        <v>20000</v>
      </c>
    </row>
    <row r="5" spans="1:165" x14ac:dyDescent="0.3">
      <c r="A5" s="4" t="s">
        <v>3000</v>
      </c>
      <c r="B5" s="3">
        <v>20000</v>
      </c>
      <c r="C5" s="3">
        <v>20000</v>
      </c>
      <c r="D5" s="3">
        <v>20000</v>
      </c>
      <c r="E5" s="3">
        <v>20000</v>
      </c>
      <c r="F5" s="3">
        <v>20000</v>
      </c>
      <c r="G5" s="3">
        <v>20000</v>
      </c>
      <c r="H5" s="3">
        <v>20000</v>
      </c>
      <c r="I5" s="3">
        <v>20000</v>
      </c>
      <c r="J5" s="3">
        <v>20000</v>
      </c>
      <c r="K5" s="3">
        <v>20000</v>
      </c>
      <c r="L5" s="3">
        <v>20000</v>
      </c>
      <c r="M5" s="3">
        <v>20000</v>
      </c>
      <c r="N5" s="3">
        <v>20000</v>
      </c>
      <c r="O5" s="3">
        <v>20000</v>
      </c>
      <c r="P5" s="3">
        <v>20000</v>
      </c>
      <c r="Q5" s="3">
        <v>20000</v>
      </c>
      <c r="R5" s="3">
        <v>20000</v>
      </c>
      <c r="S5" s="3">
        <v>20000</v>
      </c>
      <c r="T5" s="3">
        <v>20000</v>
      </c>
      <c r="U5" s="3">
        <v>20000</v>
      </c>
      <c r="V5" s="3">
        <v>20000</v>
      </c>
      <c r="W5" s="3">
        <v>20000</v>
      </c>
      <c r="X5" s="3">
        <v>20000</v>
      </c>
      <c r="Y5" s="3">
        <v>20000</v>
      </c>
      <c r="Z5" s="3">
        <v>20000</v>
      </c>
      <c r="AA5" s="3">
        <v>20000</v>
      </c>
      <c r="AB5" s="3">
        <v>20000</v>
      </c>
      <c r="AC5" s="3">
        <v>20000</v>
      </c>
      <c r="AD5" s="3">
        <v>20000</v>
      </c>
      <c r="AE5" s="3">
        <v>20000</v>
      </c>
      <c r="AF5" s="3">
        <v>20000</v>
      </c>
      <c r="AG5" s="3">
        <v>20000</v>
      </c>
      <c r="AH5" s="3">
        <v>20000</v>
      </c>
      <c r="AI5" s="3">
        <v>20000</v>
      </c>
      <c r="AJ5" s="3">
        <v>20000</v>
      </c>
      <c r="AK5" s="3">
        <v>20000</v>
      </c>
      <c r="AL5" s="3">
        <v>20000</v>
      </c>
      <c r="AM5" s="3">
        <v>20000</v>
      </c>
      <c r="AN5" s="3">
        <v>20000</v>
      </c>
      <c r="AO5" s="3">
        <v>20000</v>
      </c>
      <c r="AP5" s="3">
        <v>20000</v>
      </c>
      <c r="AQ5" s="3">
        <v>20000</v>
      </c>
      <c r="AR5" s="3">
        <v>20000</v>
      </c>
      <c r="AS5" s="3">
        <v>20000</v>
      </c>
      <c r="AT5" s="3">
        <v>20000</v>
      </c>
      <c r="AU5" s="3">
        <v>20000</v>
      </c>
      <c r="AV5" s="3">
        <v>20000</v>
      </c>
      <c r="AW5" s="3">
        <v>20000</v>
      </c>
      <c r="AX5" s="3">
        <v>20000</v>
      </c>
      <c r="AY5" s="3">
        <v>20000</v>
      </c>
      <c r="AZ5" s="3">
        <v>20000</v>
      </c>
      <c r="BA5" s="3">
        <v>20000</v>
      </c>
      <c r="BB5" s="3">
        <v>20000</v>
      </c>
      <c r="BC5" s="3">
        <v>20000</v>
      </c>
      <c r="BD5" s="3">
        <v>20000</v>
      </c>
      <c r="BE5" s="3">
        <v>20000</v>
      </c>
      <c r="BF5" s="3">
        <v>20000</v>
      </c>
      <c r="BG5" s="3">
        <v>20000</v>
      </c>
      <c r="BH5" s="3">
        <v>20000</v>
      </c>
      <c r="BI5" s="3">
        <v>20000</v>
      </c>
      <c r="BJ5" s="3">
        <v>20000</v>
      </c>
      <c r="BK5" s="3">
        <v>20000</v>
      </c>
      <c r="BL5" s="3">
        <v>20000</v>
      </c>
      <c r="BM5" s="3">
        <v>20000</v>
      </c>
      <c r="BN5" s="3">
        <v>20000</v>
      </c>
      <c r="BO5" s="3">
        <v>20000</v>
      </c>
      <c r="BP5" s="3">
        <v>20000</v>
      </c>
      <c r="BQ5" s="3">
        <v>20000</v>
      </c>
      <c r="BR5" s="3">
        <v>20000</v>
      </c>
      <c r="BS5" s="3">
        <v>20000</v>
      </c>
      <c r="BT5" s="3">
        <v>20000</v>
      </c>
      <c r="BU5" s="3">
        <v>20000</v>
      </c>
      <c r="BV5" s="3">
        <v>20000</v>
      </c>
      <c r="BW5" s="3">
        <v>20000</v>
      </c>
      <c r="BX5" s="3">
        <v>20000</v>
      </c>
      <c r="BY5" s="3">
        <v>20000</v>
      </c>
      <c r="BZ5" s="3">
        <v>20000</v>
      </c>
      <c r="CA5" s="3">
        <v>20000</v>
      </c>
      <c r="CB5" s="3">
        <v>20000</v>
      </c>
      <c r="CC5" s="3">
        <v>20000</v>
      </c>
      <c r="CD5" s="3">
        <v>20000</v>
      </c>
      <c r="CE5" s="3">
        <v>20000</v>
      </c>
      <c r="CF5" s="3">
        <v>20000</v>
      </c>
      <c r="CG5" s="3">
        <v>20000</v>
      </c>
      <c r="CH5" s="3">
        <v>20000</v>
      </c>
      <c r="CI5" s="3">
        <v>20000</v>
      </c>
      <c r="CJ5" s="3">
        <v>20000</v>
      </c>
      <c r="CK5" s="3">
        <v>20000</v>
      </c>
      <c r="CL5" s="3">
        <v>20000</v>
      </c>
      <c r="CM5" s="3">
        <v>20000</v>
      </c>
      <c r="CN5" s="3">
        <v>20000</v>
      </c>
      <c r="CO5" s="3">
        <v>20000</v>
      </c>
      <c r="CP5" s="3">
        <v>20000</v>
      </c>
      <c r="CQ5" s="3">
        <v>20000</v>
      </c>
      <c r="CR5" s="3">
        <v>20000</v>
      </c>
      <c r="CS5" s="3">
        <v>20000</v>
      </c>
      <c r="CT5" s="3">
        <v>20000</v>
      </c>
      <c r="CU5" s="3">
        <v>20000</v>
      </c>
      <c r="CV5" s="3">
        <v>20000</v>
      </c>
      <c r="CW5" s="3">
        <v>20000</v>
      </c>
      <c r="CX5" s="3">
        <v>20000</v>
      </c>
      <c r="CY5" s="3">
        <v>20000</v>
      </c>
      <c r="CZ5" s="3">
        <v>20000</v>
      </c>
      <c r="DA5" s="3">
        <v>20000</v>
      </c>
      <c r="DB5" s="3">
        <v>20000</v>
      </c>
      <c r="DC5" s="3">
        <v>20000</v>
      </c>
      <c r="DD5" s="3">
        <v>20000</v>
      </c>
      <c r="DE5" s="3">
        <v>20000</v>
      </c>
      <c r="DF5" s="3">
        <v>20000</v>
      </c>
      <c r="DG5" s="3">
        <v>20000</v>
      </c>
      <c r="DH5" s="3">
        <v>20000</v>
      </c>
      <c r="DI5" s="3">
        <v>20000</v>
      </c>
      <c r="DJ5" s="3">
        <v>20000</v>
      </c>
      <c r="DK5" s="3">
        <v>20000</v>
      </c>
      <c r="DL5" s="3">
        <v>20000</v>
      </c>
      <c r="DM5" s="3">
        <v>20000</v>
      </c>
      <c r="DN5" s="3">
        <v>20000</v>
      </c>
      <c r="DO5" s="3">
        <v>20000</v>
      </c>
      <c r="DP5" s="3">
        <v>20000</v>
      </c>
      <c r="DQ5" s="3">
        <v>20000</v>
      </c>
      <c r="DR5" s="3">
        <v>20000</v>
      </c>
      <c r="DS5" s="3">
        <v>20000</v>
      </c>
      <c r="DT5" s="3">
        <v>20000</v>
      </c>
      <c r="DU5" s="3">
        <v>20000</v>
      </c>
      <c r="DV5" s="3">
        <v>20000</v>
      </c>
      <c r="DW5" s="3">
        <v>20000</v>
      </c>
      <c r="DX5" s="3">
        <v>20000</v>
      </c>
      <c r="DY5" s="3">
        <v>20000</v>
      </c>
      <c r="DZ5" s="3">
        <v>20000</v>
      </c>
      <c r="EA5" s="3">
        <v>20000</v>
      </c>
      <c r="EB5" s="3">
        <v>20000</v>
      </c>
      <c r="EC5" s="3">
        <v>20000</v>
      </c>
      <c r="ED5" s="3">
        <v>20000</v>
      </c>
      <c r="EE5" s="3">
        <v>20000</v>
      </c>
      <c r="EF5" s="3">
        <v>20000</v>
      </c>
      <c r="EG5" s="3">
        <v>20000</v>
      </c>
      <c r="EH5" s="3">
        <v>20000</v>
      </c>
      <c r="EI5" s="3">
        <v>20000</v>
      </c>
      <c r="EJ5" s="3">
        <v>20000</v>
      </c>
      <c r="EK5" s="3">
        <v>20000</v>
      </c>
      <c r="EL5" s="3">
        <v>20000</v>
      </c>
      <c r="EM5" s="3">
        <v>20000</v>
      </c>
      <c r="EN5" s="3">
        <v>20000</v>
      </c>
      <c r="EO5" s="3">
        <v>20000</v>
      </c>
      <c r="EP5" s="3">
        <v>20000</v>
      </c>
      <c r="EQ5" s="3">
        <v>20000</v>
      </c>
      <c r="ER5" s="3">
        <v>20000</v>
      </c>
      <c r="ES5" s="3">
        <v>20000</v>
      </c>
      <c r="ET5" s="3">
        <v>20000</v>
      </c>
      <c r="EU5" s="3">
        <v>20000</v>
      </c>
      <c r="EV5" s="3">
        <v>20000</v>
      </c>
      <c r="EW5" s="3">
        <v>20000</v>
      </c>
      <c r="EX5" s="3">
        <v>20000</v>
      </c>
      <c r="EY5" s="3">
        <v>20000</v>
      </c>
      <c r="EZ5" s="3">
        <v>20000</v>
      </c>
      <c r="FA5" s="3">
        <v>20000</v>
      </c>
      <c r="FB5" s="3">
        <v>20000</v>
      </c>
      <c r="FC5" s="3">
        <v>20000</v>
      </c>
      <c r="FD5" s="3">
        <v>20000</v>
      </c>
      <c r="FE5" s="3">
        <v>20000</v>
      </c>
      <c r="FF5" s="3">
        <v>20000</v>
      </c>
      <c r="FG5" s="3">
        <v>20000</v>
      </c>
      <c r="FH5" s="3">
        <v>20000</v>
      </c>
      <c r="FI5" s="3">
        <v>20000</v>
      </c>
    </row>
    <row r="6" spans="1:165" x14ac:dyDescent="0.3">
      <c r="A6" s="4" t="s">
        <v>3001</v>
      </c>
      <c r="B6" s="3">
        <v>20000</v>
      </c>
      <c r="C6" s="3">
        <v>20000</v>
      </c>
      <c r="D6" s="3">
        <v>20000</v>
      </c>
      <c r="E6" s="3">
        <v>20000</v>
      </c>
      <c r="F6" s="3">
        <v>20000</v>
      </c>
      <c r="G6" s="3">
        <v>20000</v>
      </c>
      <c r="H6" s="3">
        <v>20000</v>
      </c>
      <c r="I6" s="3">
        <v>20000</v>
      </c>
      <c r="J6" s="3">
        <v>20000</v>
      </c>
      <c r="K6" s="3">
        <v>20000</v>
      </c>
      <c r="L6" s="3">
        <v>20000</v>
      </c>
      <c r="M6" s="3">
        <v>20000</v>
      </c>
      <c r="N6" s="3">
        <v>20000</v>
      </c>
      <c r="O6" s="3">
        <v>20000</v>
      </c>
      <c r="P6" s="3">
        <v>20000</v>
      </c>
      <c r="Q6" s="3">
        <v>20000</v>
      </c>
      <c r="R6" s="3">
        <v>20000</v>
      </c>
      <c r="S6" s="3">
        <v>20000</v>
      </c>
      <c r="T6" s="3">
        <v>20000</v>
      </c>
      <c r="U6" s="3">
        <v>20000</v>
      </c>
      <c r="V6" s="3">
        <v>20000</v>
      </c>
      <c r="W6" s="3">
        <v>20000</v>
      </c>
      <c r="X6" s="3">
        <v>20000</v>
      </c>
      <c r="Y6" s="3">
        <v>20000</v>
      </c>
      <c r="Z6" s="3">
        <v>20000</v>
      </c>
      <c r="AA6" s="3">
        <v>20000</v>
      </c>
      <c r="AB6" s="3">
        <v>20000</v>
      </c>
      <c r="AC6" s="3">
        <v>20000</v>
      </c>
      <c r="AD6" s="3">
        <v>20000</v>
      </c>
      <c r="AE6" s="3">
        <v>20000</v>
      </c>
      <c r="AF6" s="3">
        <v>20000</v>
      </c>
      <c r="AG6" s="3">
        <v>20000</v>
      </c>
      <c r="AH6" s="3">
        <v>20000</v>
      </c>
      <c r="AI6" s="3">
        <v>20000</v>
      </c>
      <c r="AJ6" s="3">
        <v>20000</v>
      </c>
      <c r="AK6" s="3">
        <v>20000</v>
      </c>
      <c r="AL6" s="3">
        <v>20000</v>
      </c>
      <c r="AM6" s="3">
        <v>20000</v>
      </c>
      <c r="AN6" s="3">
        <v>20000</v>
      </c>
      <c r="AO6" s="3">
        <v>20000</v>
      </c>
      <c r="AP6" s="3">
        <v>20000</v>
      </c>
      <c r="AQ6" s="3">
        <v>20000</v>
      </c>
      <c r="AR6" s="3">
        <v>20000</v>
      </c>
      <c r="AS6" s="3">
        <v>20000</v>
      </c>
      <c r="AT6" s="3">
        <v>20000</v>
      </c>
      <c r="AU6" s="3">
        <v>20000</v>
      </c>
      <c r="AV6" s="3">
        <v>20000</v>
      </c>
      <c r="AW6" s="3">
        <v>20000</v>
      </c>
      <c r="AX6" s="3">
        <v>20000</v>
      </c>
      <c r="AY6" s="3">
        <v>20000</v>
      </c>
      <c r="AZ6" s="3">
        <v>20000</v>
      </c>
      <c r="BA6" s="3">
        <v>20000</v>
      </c>
      <c r="BB6" s="3">
        <v>20000</v>
      </c>
      <c r="BC6" s="3">
        <v>20000</v>
      </c>
      <c r="BD6" s="3">
        <v>20000</v>
      </c>
      <c r="BE6" s="3">
        <v>20000</v>
      </c>
      <c r="BF6" s="3">
        <v>20000</v>
      </c>
      <c r="BG6" s="3">
        <v>20000</v>
      </c>
      <c r="BH6" s="3">
        <v>20000</v>
      </c>
      <c r="BI6" s="3">
        <v>20000</v>
      </c>
      <c r="BJ6" s="3">
        <v>20000</v>
      </c>
      <c r="BK6" s="3">
        <v>20000</v>
      </c>
      <c r="BL6" s="3">
        <v>20000</v>
      </c>
      <c r="BM6" s="3">
        <v>20000</v>
      </c>
      <c r="BN6" s="3">
        <v>20000</v>
      </c>
      <c r="BO6" s="3">
        <v>20000</v>
      </c>
      <c r="BP6" s="3">
        <v>20000</v>
      </c>
      <c r="BQ6" s="3">
        <v>20000</v>
      </c>
      <c r="BR6" s="3">
        <v>20000</v>
      </c>
      <c r="BS6" s="3">
        <v>20000</v>
      </c>
      <c r="BT6" s="3">
        <v>20000</v>
      </c>
      <c r="BU6" s="3">
        <v>20000</v>
      </c>
      <c r="BV6" s="3">
        <v>20000</v>
      </c>
      <c r="BW6" s="3">
        <v>20000</v>
      </c>
      <c r="BX6" s="3">
        <v>20000</v>
      </c>
      <c r="BY6" s="3">
        <v>20000</v>
      </c>
      <c r="BZ6" s="3">
        <v>20000</v>
      </c>
      <c r="CA6" s="3">
        <v>20000</v>
      </c>
      <c r="CB6" s="3">
        <v>20000</v>
      </c>
      <c r="CC6" s="3">
        <v>20000</v>
      </c>
      <c r="CD6" s="3">
        <v>20000</v>
      </c>
      <c r="CE6" s="3">
        <v>20000</v>
      </c>
      <c r="CF6" s="3">
        <v>20000</v>
      </c>
      <c r="CG6" s="3">
        <v>20000</v>
      </c>
      <c r="CH6" s="3">
        <v>20000</v>
      </c>
      <c r="CI6" s="3">
        <v>20000</v>
      </c>
      <c r="CJ6" s="3">
        <v>20000</v>
      </c>
      <c r="CK6" s="3">
        <v>20000</v>
      </c>
      <c r="CL6" s="3">
        <v>20000</v>
      </c>
      <c r="CM6" s="3">
        <v>20000</v>
      </c>
      <c r="CN6" s="3">
        <v>20000</v>
      </c>
      <c r="CO6" s="3">
        <v>20000</v>
      </c>
      <c r="CP6" s="3">
        <v>20000</v>
      </c>
      <c r="CQ6" s="3">
        <v>20000</v>
      </c>
      <c r="CR6" s="3">
        <v>20000</v>
      </c>
      <c r="CS6" s="3">
        <v>20000</v>
      </c>
      <c r="CT6" s="3">
        <v>20000</v>
      </c>
      <c r="CU6" s="3">
        <v>20000</v>
      </c>
      <c r="CV6" s="3">
        <v>20000</v>
      </c>
      <c r="CW6" s="3">
        <v>20000</v>
      </c>
      <c r="CX6" s="3">
        <v>20000</v>
      </c>
      <c r="CY6" s="3">
        <v>20000</v>
      </c>
      <c r="CZ6" s="3">
        <v>20000</v>
      </c>
      <c r="DA6" s="3">
        <v>20000</v>
      </c>
      <c r="DB6" s="3">
        <v>20000</v>
      </c>
      <c r="DC6" s="3">
        <v>20000</v>
      </c>
      <c r="DD6" s="3">
        <v>20000</v>
      </c>
      <c r="DE6" s="3">
        <v>20000</v>
      </c>
      <c r="DF6" s="3">
        <v>20000</v>
      </c>
      <c r="DG6" s="3">
        <v>20000</v>
      </c>
      <c r="DH6" s="3">
        <v>20000</v>
      </c>
      <c r="DI6" s="3">
        <v>20000</v>
      </c>
      <c r="DJ6" s="3">
        <v>20000</v>
      </c>
      <c r="DK6" s="3">
        <v>20000</v>
      </c>
      <c r="DL6" s="3">
        <v>20000</v>
      </c>
      <c r="DM6" s="3">
        <v>20000</v>
      </c>
      <c r="DN6" s="3">
        <v>20000</v>
      </c>
      <c r="DO6" s="3">
        <v>20000</v>
      </c>
      <c r="DP6" s="3">
        <v>20000</v>
      </c>
      <c r="DQ6" s="3">
        <v>20000</v>
      </c>
      <c r="DR6" s="3">
        <v>20000</v>
      </c>
      <c r="DS6" s="3">
        <v>20000</v>
      </c>
      <c r="DT6" s="3">
        <v>20000</v>
      </c>
      <c r="DU6" s="3">
        <v>20000</v>
      </c>
      <c r="DV6" s="3">
        <v>20000</v>
      </c>
      <c r="DW6" s="3">
        <v>20000</v>
      </c>
      <c r="DX6" s="3">
        <v>20000</v>
      </c>
      <c r="DY6" s="3">
        <v>20000</v>
      </c>
      <c r="DZ6" s="3">
        <v>20000</v>
      </c>
      <c r="EA6" s="3">
        <v>20000</v>
      </c>
      <c r="EB6" s="3">
        <v>20000</v>
      </c>
      <c r="EC6" s="3">
        <v>20000</v>
      </c>
      <c r="ED6" s="3">
        <v>20000</v>
      </c>
      <c r="EE6" s="3">
        <v>20000</v>
      </c>
      <c r="EF6" s="3">
        <v>20000</v>
      </c>
      <c r="EG6" s="3">
        <v>20000</v>
      </c>
      <c r="EH6" s="3">
        <v>20000</v>
      </c>
      <c r="EI6" s="3">
        <v>20000</v>
      </c>
      <c r="EJ6" s="3">
        <v>20000</v>
      </c>
      <c r="EK6" s="3">
        <v>20000</v>
      </c>
      <c r="EL6" s="3">
        <v>20000</v>
      </c>
      <c r="EM6" s="3">
        <v>20000</v>
      </c>
      <c r="EN6" s="3">
        <v>20000</v>
      </c>
      <c r="EO6" s="3">
        <v>20000</v>
      </c>
      <c r="EP6" s="3">
        <v>20000</v>
      </c>
      <c r="EQ6" s="3">
        <v>20000</v>
      </c>
      <c r="ER6" s="3">
        <v>20000</v>
      </c>
      <c r="ES6" s="3">
        <v>20000</v>
      </c>
      <c r="ET6" s="3">
        <v>20000</v>
      </c>
      <c r="EU6" s="3">
        <v>20000</v>
      </c>
      <c r="EV6" s="3">
        <v>20000</v>
      </c>
      <c r="EW6" s="3">
        <v>20000</v>
      </c>
      <c r="EX6" s="3">
        <v>20000</v>
      </c>
      <c r="EY6" s="3">
        <v>20000</v>
      </c>
      <c r="EZ6" s="3">
        <v>20000</v>
      </c>
      <c r="FA6" s="3">
        <v>20000</v>
      </c>
      <c r="FB6" s="3">
        <v>20000</v>
      </c>
      <c r="FC6" s="3">
        <v>20000</v>
      </c>
      <c r="FD6" s="3">
        <v>20000</v>
      </c>
      <c r="FE6" s="3">
        <v>20000</v>
      </c>
      <c r="FF6" s="3">
        <v>20000</v>
      </c>
      <c r="FG6" s="3">
        <v>20000</v>
      </c>
      <c r="FH6" s="3">
        <v>20000</v>
      </c>
      <c r="FI6" s="3">
        <v>20000</v>
      </c>
    </row>
    <row r="7" spans="1:165" x14ac:dyDescent="0.3">
      <c r="A7" s="4" t="s">
        <v>3002</v>
      </c>
      <c r="B7" s="3">
        <v>20000</v>
      </c>
      <c r="C7" s="3">
        <v>20000</v>
      </c>
      <c r="D7" s="3">
        <v>20000</v>
      </c>
      <c r="E7" s="3">
        <v>20000</v>
      </c>
      <c r="F7" s="3">
        <v>20000</v>
      </c>
      <c r="G7" s="3">
        <v>20000</v>
      </c>
      <c r="H7" s="3">
        <v>20000</v>
      </c>
      <c r="I7" s="3">
        <v>20000</v>
      </c>
      <c r="J7" s="3">
        <v>20000</v>
      </c>
      <c r="K7" s="3">
        <v>20000</v>
      </c>
      <c r="L7" s="3">
        <v>20000</v>
      </c>
      <c r="M7" s="3">
        <v>20000</v>
      </c>
      <c r="N7" s="3">
        <v>20000</v>
      </c>
      <c r="O7" s="3">
        <v>20000</v>
      </c>
      <c r="P7" s="3">
        <v>20000</v>
      </c>
      <c r="Q7" s="3">
        <v>20000</v>
      </c>
      <c r="R7" s="3">
        <v>20000</v>
      </c>
      <c r="S7" s="3">
        <v>20000</v>
      </c>
      <c r="T7" s="3">
        <v>20000</v>
      </c>
      <c r="U7" s="3">
        <v>20000</v>
      </c>
      <c r="V7" s="3">
        <v>20000</v>
      </c>
      <c r="W7" s="3">
        <v>20000</v>
      </c>
      <c r="X7" s="3">
        <v>20000</v>
      </c>
      <c r="Y7" s="3">
        <v>20000</v>
      </c>
      <c r="Z7" s="3">
        <v>20000</v>
      </c>
      <c r="AA7" s="3">
        <v>20000</v>
      </c>
      <c r="AB7" s="3">
        <v>20000</v>
      </c>
      <c r="AC7" s="3">
        <v>20000</v>
      </c>
      <c r="AD7" s="3">
        <v>20000</v>
      </c>
      <c r="AE7" s="3">
        <v>20000</v>
      </c>
      <c r="AF7" s="3">
        <v>20000</v>
      </c>
      <c r="AG7" s="3">
        <v>20000</v>
      </c>
      <c r="AH7" s="3">
        <v>20000</v>
      </c>
      <c r="AI7" s="3">
        <v>20000</v>
      </c>
      <c r="AJ7" s="3">
        <v>20000</v>
      </c>
      <c r="AK7" s="3">
        <v>20000</v>
      </c>
      <c r="AL7" s="3">
        <v>20000</v>
      </c>
      <c r="AM7" s="3">
        <v>20000</v>
      </c>
      <c r="AN7" s="3">
        <v>20000</v>
      </c>
      <c r="AO7" s="3">
        <v>20000</v>
      </c>
      <c r="AP7" s="3">
        <v>20000</v>
      </c>
      <c r="AQ7" s="3">
        <v>20000</v>
      </c>
      <c r="AR7" s="3">
        <v>20000</v>
      </c>
      <c r="AS7" s="3">
        <v>20000</v>
      </c>
      <c r="AT7" s="3">
        <v>20000</v>
      </c>
      <c r="AU7" s="3">
        <v>20000</v>
      </c>
      <c r="AV7" s="3">
        <v>20000</v>
      </c>
      <c r="AW7" s="3">
        <v>20000</v>
      </c>
      <c r="AX7" s="3">
        <v>20000</v>
      </c>
      <c r="AY7" s="3">
        <v>20000</v>
      </c>
      <c r="AZ7" s="3">
        <v>20000</v>
      </c>
      <c r="BA7" s="3">
        <v>20000</v>
      </c>
      <c r="BB7" s="3">
        <v>20000</v>
      </c>
      <c r="BC7" s="3">
        <v>20000</v>
      </c>
      <c r="BD7" s="3">
        <v>20000</v>
      </c>
      <c r="BE7" s="3">
        <v>20000</v>
      </c>
      <c r="BF7" s="3">
        <v>20000</v>
      </c>
      <c r="BG7" s="3">
        <v>20000</v>
      </c>
      <c r="BH7" s="3">
        <v>20000</v>
      </c>
      <c r="BI7" s="3">
        <v>20000</v>
      </c>
      <c r="BJ7" s="3">
        <v>20000</v>
      </c>
      <c r="BK7" s="3">
        <v>20000</v>
      </c>
      <c r="BL7" s="3">
        <v>20000</v>
      </c>
      <c r="BM7" s="3">
        <v>20000</v>
      </c>
      <c r="BN7" s="3">
        <v>20000</v>
      </c>
      <c r="BO7" s="3">
        <v>20000</v>
      </c>
      <c r="BP7" s="3">
        <v>20000</v>
      </c>
      <c r="BQ7" s="3">
        <v>20000</v>
      </c>
      <c r="BR7" s="3">
        <v>20000</v>
      </c>
      <c r="BS7" s="3">
        <v>20000</v>
      </c>
      <c r="BT7" s="3">
        <v>20000</v>
      </c>
      <c r="BU7" s="3">
        <v>20000</v>
      </c>
      <c r="BV7" s="3">
        <v>20000</v>
      </c>
      <c r="BW7" s="3">
        <v>20000</v>
      </c>
      <c r="BX7" s="3">
        <v>20000</v>
      </c>
      <c r="BY7" s="3">
        <v>20000</v>
      </c>
      <c r="BZ7" s="3">
        <v>20000</v>
      </c>
      <c r="CA7" s="3">
        <v>20000</v>
      </c>
      <c r="CB7" s="3">
        <v>20000</v>
      </c>
      <c r="CC7" s="3">
        <v>20000</v>
      </c>
      <c r="CD7" s="3">
        <v>20000</v>
      </c>
      <c r="CE7" s="3">
        <v>20000</v>
      </c>
      <c r="CF7" s="3">
        <v>20000</v>
      </c>
      <c r="CG7" s="3">
        <v>20000</v>
      </c>
      <c r="CH7" s="3">
        <v>20000</v>
      </c>
      <c r="CI7" s="3">
        <v>20000</v>
      </c>
      <c r="CJ7" s="3">
        <v>20000</v>
      </c>
      <c r="CK7" s="3">
        <v>20000</v>
      </c>
      <c r="CL7" s="3">
        <v>20000</v>
      </c>
      <c r="CM7" s="3">
        <v>20000</v>
      </c>
      <c r="CN7" s="3">
        <v>20000</v>
      </c>
      <c r="CO7" s="3">
        <v>20000</v>
      </c>
      <c r="CP7" s="3">
        <v>20000</v>
      </c>
      <c r="CQ7" s="3">
        <v>20000</v>
      </c>
      <c r="CR7" s="3">
        <v>20000</v>
      </c>
      <c r="CS7" s="3">
        <v>20000</v>
      </c>
      <c r="CT7" s="3">
        <v>20000</v>
      </c>
      <c r="CU7" s="3">
        <v>20000</v>
      </c>
      <c r="CV7" s="3">
        <v>20000</v>
      </c>
      <c r="CW7" s="3">
        <v>20000</v>
      </c>
      <c r="CX7" s="3">
        <v>20000</v>
      </c>
      <c r="CY7" s="3">
        <v>20000</v>
      </c>
      <c r="CZ7" s="3">
        <v>20000</v>
      </c>
      <c r="DA7" s="3">
        <v>20000</v>
      </c>
      <c r="DB7" s="3">
        <v>20000</v>
      </c>
      <c r="DC7" s="3">
        <v>20000</v>
      </c>
      <c r="DD7" s="3">
        <v>20000</v>
      </c>
      <c r="DE7" s="3">
        <v>20000</v>
      </c>
      <c r="DF7" s="3">
        <v>20000</v>
      </c>
      <c r="DG7" s="3">
        <v>20000</v>
      </c>
      <c r="DH7" s="3">
        <v>20000</v>
      </c>
      <c r="DI7" s="3">
        <v>20000</v>
      </c>
      <c r="DJ7" s="3">
        <v>20000</v>
      </c>
      <c r="DK7" s="3">
        <v>20000</v>
      </c>
      <c r="DL7" s="3">
        <v>20000</v>
      </c>
      <c r="DM7" s="3">
        <v>20000</v>
      </c>
      <c r="DN7" s="3">
        <v>20000</v>
      </c>
      <c r="DO7" s="3">
        <v>20000</v>
      </c>
      <c r="DP7" s="3">
        <v>20000</v>
      </c>
      <c r="DQ7" s="3">
        <v>20000</v>
      </c>
      <c r="DR7" s="3">
        <v>20000</v>
      </c>
      <c r="DS7" s="3">
        <v>20000</v>
      </c>
      <c r="DT7" s="3">
        <v>20000</v>
      </c>
      <c r="DU7" s="3">
        <v>20000</v>
      </c>
      <c r="DV7" s="3">
        <v>20000</v>
      </c>
      <c r="DW7" s="3">
        <v>20000</v>
      </c>
      <c r="DX7" s="3">
        <v>20000</v>
      </c>
      <c r="DY7" s="3">
        <v>20000</v>
      </c>
      <c r="DZ7" s="3">
        <v>20000</v>
      </c>
      <c r="EA7" s="3">
        <v>20000</v>
      </c>
      <c r="EB7" s="3">
        <v>20000</v>
      </c>
      <c r="EC7" s="3">
        <v>20000</v>
      </c>
      <c r="ED7" s="3">
        <v>20000</v>
      </c>
      <c r="EE7" s="3">
        <v>20000</v>
      </c>
      <c r="EF7" s="3">
        <v>20000</v>
      </c>
      <c r="EG7" s="3">
        <v>20000</v>
      </c>
      <c r="EH7" s="3">
        <v>20000</v>
      </c>
      <c r="EI7" s="3">
        <v>20000</v>
      </c>
      <c r="EJ7" s="3">
        <v>20000</v>
      </c>
      <c r="EK7" s="3">
        <v>20000</v>
      </c>
      <c r="EL7" s="3">
        <v>20000</v>
      </c>
      <c r="EM7" s="3">
        <v>20000</v>
      </c>
      <c r="EN7" s="3">
        <v>20000</v>
      </c>
      <c r="EO7" s="3">
        <v>20000</v>
      </c>
      <c r="EP7" s="3">
        <v>20000</v>
      </c>
      <c r="EQ7" s="3">
        <v>20000</v>
      </c>
      <c r="ER7" s="3">
        <v>20000</v>
      </c>
      <c r="ES7" s="3">
        <v>20000</v>
      </c>
      <c r="ET7" s="3">
        <v>20000</v>
      </c>
      <c r="EU7" s="3">
        <v>20000</v>
      </c>
      <c r="EV7" s="3">
        <v>20000</v>
      </c>
      <c r="EW7" s="3">
        <v>20000</v>
      </c>
      <c r="EX7" s="3">
        <v>20000</v>
      </c>
      <c r="EY7" s="3">
        <v>20000</v>
      </c>
      <c r="EZ7" s="3">
        <v>20000</v>
      </c>
      <c r="FA7" s="3">
        <v>20000</v>
      </c>
      <c r="FB7" s="3">
        <v>20000</v>
      </c>
      <c r="FC7" s="3">
        <v>20000</v>
      </c>
      <c r="FD7" s="3">
        <v>20000</v>
      </c>
      <c r="FE7" s="3">
        <v>20000</v>
      </c>
      <c r="FF7" s="3">
        <v>20000</v>
      </c>
      <c r="FG7" s="3">
        <v>20000</v>
      </c>
      <c r="FH7" s="3">
        <v>20000</v>
      </c>
      <c r="FI7" s="3">
        <v>20000</v>
      </c>
    </row>
    <row r="8" spans="1:165" x14ac:dyDescent="0.3">
      <c r="A8" s="4" t="s">
        <v>3003</v>
      </c>
      <c r="B8" s="3">
        <v>20000</v>
      </c>
      <c r="C8" s="3">
        <v>20000</v>
      </c>
      <c r="D8" s="3">
        <v>20000</v>
      </c>
      <c r="E8" s="3">
        <v>20000</v>
      </c>
      <c r="F8" s="3">
        <v>20000</v>
      </c>
      <c r="G8" s="3">
        <v>20000</v>
      </c>
      <c r="H8" s="3">
        <v>20000</v>
      </c>
      <c r="I8" s="3">
        <v>20000</v>
      </c>
      <c r="J8" s="3">
        <v>20000</v>
      </c>
      <c r="K8" s="3">
        <v>20000</v>
      </c>
      <c r="L8" s="3">
        <v>20000</v>
      </c>
      <c r="M8" s="3">
        <v>20000</v>
      </c>
      <c r="N8" s="3">
        <v>20000</v>
      </c>
      <c r="O8" s="3">
        <v>20000</v>
      </c>
      <c r="P8" s="3">
        <v>20000</v>
      </c>
      <c r="Q8" s="3">
        <v>20000</v>
      </c>
      <c r="R8" s="3">
        <v>20000</v>
      </c>
      <c r="S8" s="3">
        <v>20000</v>
      </c>
      <c r="T8" s="3">
        <v>20000</v>
      </c>
      <c r="U8" s="3">
        <v>20000</v>
      </c>
      <c r="V8" s="3">
        <v>20000</v>
      </c>
      <c r="W8" s="3">
        <v>20000</v>
      </c>
      <c r="X8" s="3">
        <v>20000</v>
      </c>
      <c r="Y8" s="3">
        <v>20000</v>
      </c>
      <c r="Z8" s="3">
        <v>20000</v>
      </c>
      <c r="AA8" s="3">
        <v>20000</v>
      </c>
      <c r="AB8" s="3">
        <v>20000</v>
      </c>
      <c r="AC8" s="3">
        <v>20000</v>
      </c>
      <c r="AD8" s="3">
        <v>20000</v>
      </c>
      <c r="AE8" s="3">
        <v>20000</v>
      </c>
      <c r="AF8" s="3">
        <v>20000</v>
      </c>
      <c r="AG8" s="3">
        <v>20000</v>
      </c>
      <c r="AH8" s="3">
        <v>20000</v>
      </c>
      <c r="AI8" s="3">
        <v>20000</v>
      </c>
      <c r="AJ8" s="3">
        <v>20000</v>
      </c>
      <c r="AK8" s="3">
        <v>20000</v>
      </c>
      <c r="AL8" s="3">
        <v>20000</v>
      </c>
      <c r="AM8" s="3">
        <v>20000</v>
      </c>
      <c r="AN8" s="3">
        <v>20000</v>
      </c>
      <c r="AO8" s="3">
        <v>20000</v>
      </c>
      <c r="AP8" s="3">
        <v>20000</v>
      </c>
      <c r="AQ8" s="3">
        <v>20000</v>
      </c>
      <c r="AR8" s="3">
        <v>20000</v>
      </c>
      <c r="AS8" s="3">
        <v>20000</v>
      </c>
      <c r="AT8" s="3">
        <v>20000</v>
      </c>
      <c r="AU8" s="3">
        <v>20000</v>
      </c>
      <c r="AV8" s="3">
        <v>20000</v>
      </c>
      <c r="AW8" s="3">
        <v>20000</v>
      </c>
      <c r="AX8" s="3">
        <v>20000</v>
      </c>
      <c r="AY8" s="3">
        <v>20000</v>
      </c>
      <c r="AZ8" s="3">
        <v>20000</v>
      </c>
      <c r="BA8" s="3">
        <v>20000</v>
      </c>
      <c r="BB8" s="3">
        <v>20000</v>
      </c>
      <c r="BC8" s="3">
        <v>20000</v>
      </c>
      <c r="BD8" s="3">
        <v>20000</v>
      </c>
      <c r="BE8" s="3">
        <v>20000</v>
      </c>
      <c r="BF8" s="3">
        <v>20000</v>
      </c>
      <c r="BG8" s="3">
        <v>20000</v>
      </c>
      <c r="BH8" s="3">
        <v>20000</v>
      </c>
      <c r="BI8" s="3">
        <v>20000</v>
      </c>
      <c r="BJ8" s="3">
        <v>20000</v>
      </c>
      <c r="BK8" s="3">
        <v>20000</v>
      </c>
      <c r="BL8" s="3">
        <v>20000</v>
      </c>
      <c r="BM8" s="3">
        <v>20000</v>
      </c>
      <c r="BN8" s="3">
        <v>20000</v>
      </c>
      <c r="BO8" s="3">
        <v>20000</v>
      </c>
      <c r="BP8" s="3">
        <v>20000</v>
      </c>
      <c r="BQ8" s="3">
        <v>20000</v>
      </c>
      <c r="BR8" s="3">
        <v>20000</v>
      </c>
      <c r="BS8" s="3">
        <v>20000</v>
      </c>
      <c r="BT8" s="3">
        <v>20000</v>
      </c>
      <c r="BU8" s="3">
        <v>20000</v>
      </c>
      <c r="BV8" s="3">
        <v>20000</v>
      </c>
      <c r="BW8" s="3">
        <v>20000</v>
      </c>
      <c r="BX8" s="3">
        <v>20000</v>
      </c>
      <c r="BY8" s="3">
        <v>20000</v>
      </c>
      <c r="BZ8" s="3">
        <v>20000</v>
      </c>
      <c r="CA8" s="3">
        <v>20000</v>
      </c>
      <c r="CB8" s="3">
        <v>20000</v>
      </c>
      <c r="CC8" s="3">
        <v>20000</v>
      </c>
      <c r="CD8" s="3">
        <v>20000</v>
      </c>
      <c r="CE8" s="3">
        <v>20000</v>
      </c>
      <c r="CF8" s="3">
        <v>20000</v>
      </c>
      <c r="CG8" s="3">
        <v>20000</v>
      </c>
      <c r="CH8" s="3">
        <v>20000</v>
      </c>
      <c r="CI8" s="3">
        <v>20000</v>
      </c>
      <c r="CJ8" s="3">
        <v>20000</v>
      </c>
      <c r="CK8" s="3">
        <v>20000</v>
      </c>
      <c r="CL8" s="3">
        <v>20000</v>
      </c>
      <c r="CM8" s="3">
        <v>20000</v>
      </c>
      <c r="CN8" s="3">
        <v>20000</v>
      </c>
      <c r="CO8" s="3">
        <v>20000</v>
      </c>
      <c r="CP8" s="3">
        <v>20000</v>
      </c>
      <c r="CQ8" s="3">
        <v>20000</v>
      </c>
      <c r="CR8" s="3">
        <v>20000</v>
      </c>
      <c r="CS8" s="3">
        <v>20000</v>
      </c>
      <c r="CT8" s="3">
        <v>20000</v>
      </c>
      <c r="CU8" s="3">
        <v>20000</v>
      </c>
      <c r="CV8" s="3">
        <v>20000</v>
      </c>
      <c r="CW8" s="3">
        <v>20000</v>
      </c>
      <c r="CX8" s="3">
        <v>20000</v>
      </c>
      <c r="CY8" s="3">
        <v>20000</v>
      </c>
      <c r="CZ8" s="3">
        <v>20000</v>
      </c>
      <c r="DA8" s="3">
        <v>20000</v>
      </c>
      <c r="DB8" s="3">
        <v>20000</v>
      </c>
      <c r="DC8" s="3">
        <v>20000</v>
      </c>
      <c r="DD8" s="3">
        <v>20000</v>
      </c>
      <c r="DE8" s="3">
        <v>20000</v>
      </c>
      <c r="DF8" s="3">
        <v>20000</v>
      </c>
      <c r="DG8" s="3">
        <v>20000</v>
      </c>
      <c r="DH8" s="3">
        <v>20000</v>
      </c>
      <c r="DI8" s="3">
        <v>20000</v>
      </c>
      <c r="DJ8" s="3">
        <v>20000</v>
      </c>
      <c r="DK8" s="3">
        <v>20000</v>
      </c>
      <c r="DL8" s="3">
        <v>20000</v>
      </c>
      <c r="DM8" s="3">
        <v>20000</v>
      </c>
      <c r="DN8" s="3">
        <v>20000</v>
      </c>
      <c r="DO8" s="3">
        <v>20000</v>
      </c>
      <c r="DP8" s="3">
        <v>20000</v>
      </c>
      <c r="DQ8" s="3">
        <v>20000</v>
      </c>
      <c r="DR8" s="3">
        <v>20000</v>
      </c>
      <c r="DS8" s="3">
        <v>20000</v>
      </c>
      <c r="DT8" s="3">
        <v>20000</v>
      </c>
      <c r="DU8" s="3">
        <v>20000</v>
      </c>
      <c r="DV8" s="3">
        <v>20000</v>
      </c>
      <c r="DW8" s="3">
        <v>20000</v>
      </c>
      <c r="DX8" s="3">
        <v>20000</v>
      </c>
      <c r="DY8" s="3">
        <v>20000</v>
      </c>
      <c r="DZ8" s="3">
        <v>20000</v>
      </c>
      <c r="EA8" s="3">
        <v>20000</v>
      </c>
      <c r="EB8" s="3">
        <v>20000</v>
      </c>
      <c r="EC8" s="3">
        <v>20000</v>
      </c>
      <c r="ED8" s="3">
        <v>20000</v>
      </c>
      <c r="EE8" s="3">
        <v>20000</v>
      </c>
      <c r="EF8" s="3">
        <v>20000</v>
      </c>
      <c r="EG8" s="3">
        <v>20000</v>
      </c>
      <c r="EH8" s="3">
        <v>20000</v>
      </c>
      <c r="EI8" s="3">
        <v>20000</v>
      </c>
      <c r="EJ8" s="3">
        <v>20000</v>
      </c>
      <c r="EK8" s="3">
        <v>20000</v>
      </c>
      <c r="EL8" s="3">
        <v>20000</v>
      </c>
      <c r="EM8" s="3">
        <v>20000</v>
      </c>
      <c r="EN8" s="3">
        <v>20000</v>
      </c>
      <c r="EO8" s="3">
        <v>20000</v>
      </c>
      <c r="EP8" s="3">
        <v>20000</v>
      </c>
      <c r="EQ8" s="3">
        <v>20000</v>
      </c>
      <c r="ER8" s="3">
        <v>20000</v>
      </c>
      <c r="ES8" s="3">
        <v>20000</v>
      </c>
      <c r="ET8" s="3">
        <v>20000</v>
      </c>
      <c r="EU8" s="3">
        <v>20000</v>
      </c>
      <c r="EV8" s="3">
        <v>20000</v>
      </c>
      <c r="EW8" s="3">
        <v>20000</v>
      </c>
      <c r="EX8" s="3">
        <v>20000</v>
      </c>
      <c r="EY8" s="3">
        <v>20000</v>
      </c>
      <c r="EZ8" s="3">
        <v>20000</v>
      </c>
      <c r="FA8" s="3">
        <v>20000</v>
      </c>
      <c r="FB8" s="3">
        <v>20000</v>
      </c>
      <c r="FC8" s="3">
        <v>20000</v>
      </c>
      <c r="FD8" s="3">
        <v>20000</v>
      </c>
      <c r="FE8" s="3">
        <v>20000</v>
      </c>
      <c r="FF8" s="3">
        <v>20000</v>
      </c>
      <c r="FG8" s="3">
        <v>20000</v>
      </c>
      <c r="FH8" s="3">
        <v>20000</v>
      </c>
      <c r="FI8" s="3">
        <v>20000</v>
      </c>
    </row>
    <row r="9" spans="1:165" x14ac:dyDescent="0.3">
      <c r="A9" s="4" t="s">
        <v>3004</v>
      </c>
      <c r="B9" s="3">
        <v>20000</v>
      </c>
      <c r="C9" s="3">
        <v>20000</v>
      </c>
      <c r="D9" s="3">
        <v>20000</v>
      </c>
      <c r="E9" s="3">
        <v>20000</v>
      </c>
      <c r="F9" s="3">
        <v>20000</v>
      </c>
      <c r="G9" s="3">
        <v>20000</v>
      </c>
      <c r="H9" s="3">
        <v>20000</v>
      </c>
      <c r="I9" s="3">
        <v>20000</v>
      </c>
      <c r="J9" s="3">
        <v>20000</v>
      </c>
      <c r="K9" s="3">
        <v>20000</v>
      </c>
      <c r="L9" s="3">
        <v>20000</v>
      </c>
      <c r="M9" s="3">
        <v>20000</v>
      </c>
      <c r="N9" s="3">
        <v>20000</v>
      </c>
      <c r="O9" s="3">
        <v>20000</v>
      </c>
      <c r="P9" s="3">
        <v>20000</v>
      </c>
      <c r="Q9" s="3">
        <v>20000</v>
      </c>
      <c r="R9" s="3">
        <v>20000</v>
      </c>
      <c r="S9" s="3">
        <v>20000</v>
      </c>
      <c r="T9" s="3">
        <v>20000</v>
      </c>
      <c r="U9" s="3">
        <v>20000</v>
      </c>
      <c r="V9" s="3">
        <v>20000</v>
      </c>
      <c r="W9" s="3">
        <v>20000</v>
      </c>
      <c r="X9" s="3">
        <v>20000</v>
      </c>
      <c r="Y9" s="3">
        <v>20000</v>
      </c>
      <c r="Z9" s="3">
        <v>20000</v>
      </c>
      <c r="AA9" s="3">
        <v>20000</v>
      </c>
      <c r="AB9" s="3">
        <v>20000</v>
      </c>
      <c r="AC9" s="3">
        <v>20000</v>
      </c>
      <c r="AD9" s="3">
        <v>20000</v>
      </c>
      <c r="AE9" s="3">
        <v>20000</v>
      </c>
      <c r="AF9" s="3">
        <v>20000</v>
      </c>
      <c r="AG9" s="3">
        <v>20000</v>
      </c>
      <c r="AH9" s="3">
        <v>20000</v>
      </c>
      <c r="AI9" s="3">
        <v>20000</v>
      </c>
      <c r="AJ9" s="3">
        <v>20000</v>
      </c>
      <c r="AK9" s="3">
        <v>20000</v>
      </c>
      <c r="AL9" s="3">
        <v>20000</v>
      </c>
      <c r="AM9" s="3">
        <v>20000</v>
      </c>
      <c r="AN9" s="3">
        <v>20000</v>
      </c>
      <c r="AO9" s="3">
        <v>20000</v>
      </c>
      <c r="AP9" s="3">
        <v>20000</v>
      </c>
      <c r="AQ9" s="3">
        <v>20000</v>
      </c>
      <c r="AR9" s="3">
        <v>20000</v>
      </c>
      <c r="AS9" s="3">
        <v>20000</v>
      </c>
      <c r="AT9" s="3">
        <v>20000</v>
      </c>
      <c r="AU9" s="3">
        <v>20000</v>
      </c>
      <c r="AV9" s="3">
        <v>20000</v>
      </c>
      <c r="AW9" s="3">
        <v>20000</v>
      </c>
      <c r="AX9" s="3">
        <v>20000</v>
      </c>
      <c r="AY9" s="3">
        <v>20000</v>
      </c>
      <c r="AZ9" s="3">
        <v>20000</v>
      </c>
      <c r="BA9" s="3">
        <v>20000</v>
      </c>
      <c r="BB9" s="3">
        <v>20000</v>
      </c>
      <c r="BC9" s="3">
        <v>20000</v>
      </c>
      <c r="BD9" s="3">
        <v>20000</v>
      </c>
      <c r="BE9" s="3">
        <v>20000</v>
      </c>
      <c r="BF9" s="3">
        <v>20000</v>
      </c>
      <c r="BG9" s="3">
        <v>20000</v>
      </c>
      <c r="BH9" s="3">
        <v>20000</v>
      </c>
      <c r="BI9" s="3">
        <v>20000</v>
      </c>
      <c r="BJ9" s="3">
        <v>20000</v>
      </c>
      <c r="BK9" s="3">
        <v>20000</v>
      </c>
      <c r="BL9" s="3">
        <v>20000</v>
      </c>
      <c r="BM9" s="3">
        <v>20000</v>
      </c>
      <c r="BN9" s="3">
        <v>20000</v>
      </c>
      <c r="BO9" s="3">
        <v>20000</v>
      </c>
      <c r="BP9" s="3">
        <v>20000</v>
      </c>
      <c r="BQ9" s="3">
        <v>20000</v>
      </c>
      <c r="BR9" s="3">
        <v>20000</v>
      </c>
      <c r="BS9" s="3">
        <v>20000</v>
      </c>
      <c r="BT9" s="3">
        <v>20000</v>
      </c>
      <c r="BU9" s="3">
        <v>20000</v>
      </c>
      <c r="BV9" s="3">
        <v>20000</v>
      </c>
      <c r="BW9" s="3">
        <v>20000</v>
      </c>
      <c r="BX9" s="3">
        <v>20000</v>
      </c>
      <c r="BY9" s="3">
        <v>20000</v>
      </c>
      <c r="BZ9" s="3">
        <v>20000</v>
      </c>
      <c r="CA9" s="3">
        <v>20000</v>
      </c>
      <c r="CB9" s="3">
        <v>20000</v>
      </c>
      <c r="CC9" s="3">
        <v>20000</v>
      </c>
      <c r="CD9" s="3">
        <v>20000</v>
      </c>
      <c r="CE9" s="3">
        <v>20000</v>
      </c>
      <c r="CF9" s="3">
        <v>20000</v>
      </c>
      <c r="CG9" s="3">
        <v>20000</v>
      </c>
      <c r="CH9" s="3">
        <v>20000</v>
      </c>
      <c r="CI9" s="3">
        <v>20000</v>
      </c>
      <c r="CJ9" s="3">
        <v>20000</v>
      </c>
      <c r="CK9" s="3">
        <v>20000</v>
      </c>
      <c r="CL9" s="3">
        <v>20000</v>
      </c>
      <c r="CM9" s="3">
        <v>20000</v>
      </c>
      <c r="CN9" s="3">
        <v>20000</v>
      </c>
      <c r="CO9" s="3">
        <v>20000</v>
      </c>
      <c r="CP9" s="3">
        <v>20000</v>
      </c>
      <c r="CQ9" s="3">
        <v>20000</v>
      </c>
      <c r="CR9" s="3">
        <v>20000</v>
      </c>
      <c r="CS9" s="3">
        <v>20000</v>
      </c>
      <c r="CT9" s="3">
        <v>20000</v>
      </c>
      <c r="CU9" s="3">
        <v>20000</v>
      </c>
      <c r="CV9" s="3">
        <v>20000</v>
      </c>
      <c r="CW9" s="3">
        <v>20000</v>
      </c>
      <c r="CX9" s="3">
        <v>20000</v>
      </c>
      <c r="CY9" s="3">
        <v>20000</v>
      </c>
      <c r="CZ9" s="3">
        <v>20000</v>
      </c>
      <c r="DA9" s="3">
        <v>20000</v>
      </c>
      <c r="DB9" s="3">
        <v>20000</v>
      </c>
      <c r="DC9" s="3">
        <v>20000</v>
      </c>
      <c r="DD9" s="3">
        <v>20000</v>
      </c>
      <c r="DE9" s="3">
        <v>20000</v>
      </c>
      <c r="DF9" s="3">
        <v>20000</v>
      </c>
      <c r="DG9" s="3">
        <v>20000</v>
      </c>
      <c r="DH9" s="3">
        <v>20000</v>
      </c>
      <c r="DI9" s="3">
        <v>20000</v>
      </c>
      <c r="DJ9" s="3">
        <v>20000</v>
      </c>
      <c r="DK9" s="3">
        <v>20000</v>
      </c>
      <c r="DL9" s="3">
        <v>20000</v>
      </c>
      <c r="DM9" s="3">
        <v>20000</v>
      </c>
      <c r="DN9" s="3">
        <v>20000</v>
      </c>
      <c r="DO9" s="3">
        <v>20000</v>
      </c>
      <c r="DP9" s="3">
        <v>20000</v>
      </c>
      <c r="DQ9" s="3">
        <v>20000</v>
      </c>
      <c r="DR9" s="3">
        <v>20000</v>
      </c>
      <c r="DS9" s="3">
        <v>20000</v>
      </c>
      <c r="DT9" s="3">
        <v>20000</v>
      </c>
      <c r="DU9" s="3">
        <v>20000</v>
      </c>
      <c r="DV9" s="3">
        <v>20000</v>
      </c>
      <c r="DW9" s="3">
        <v>20000</v>
      </c>
      <c r="DX9" s="3">
        <v>20000</v>
      </c>
      <c r="DY9" s="3">
        <v>20000</v>
      </c>
      <c r="DZ9" s="3">
        <v>20000</v>
      </c>
      <c r="EA9" s="3">
        <v>20000</v>
      </c>
      <c r="EB9" s="3">
        <v>20000</v>
      </c>
      <c r="EC9" s="3">
        <v>20000</v>
      </c>
      <c r="ED9" s="3">
        <v>20000</v>
      </c>
      <c r="EE9" s="3">
        <v>20000</v>
      </c>
      <c r="EF9" s="3">
        <v>20000</v>
      </c>
      <c r="EG9" s="3">
        <v>20000</v>
      </c>
      <c r="EH9" s="3">
        <v>20000</v>
      </c>
      <c r="EI9" s="3">
        <v>20000</v>
      </c>
      <c r="EJ9" s="3">
        <v>20000</v>
      </c>
      <c r="EK9" s="3">
        <v>20000</v>
      </c>
      <c r="EL9" s="3">
        <v>20000</v>
      </c>
      <c r="EM9" s="3">
        <v>20000</v>
      </c>
      <c r="EN9" s="3">
        <v>20000</v>
      </c>
      <c r="EO9" s="3">
        <v>20000</v>
      </c>
      <c r="EP9" s="3">
        <v>20000</v>
      </c>
      <c r="EQ9" s="3">
        <v>20000</v>
      </c>
      <c r="ER9" s="3">
        <v>20000</v>
      </c>
      <c r="ES9" s="3">
        <v>20000</v>
      </c>
      <c r="ET9" s="3">
        <v>20000</v>
      </c>
      <c r="EU9" s="3">
        <v>20000</v>
      </c>
      <c r="EV9" s="3">
        <v>20000</v>
      </c>
      <c r="EW9" s="3">
        <v>20000</v>
      </c>
      <c r="EX9" s="3">
        <v>20000</v>
      </c>
      <c r="EY9" s="3">
        <v>20000</v>
      </c>
      <c r="EZ9" s="3">
        <v>20000</v>
      </c>
      <c r="FA9" s="3">
        <v>20000</v>
      </c>
      <c r="FB9" s="3">
        <v>20000</v>
      </c>
      <c r="FC9" s="3">
        <v>20000</v>
      </c>
      <c r="FD9" s="3">
        <v>20000</v>
      </c>
      <c r="FE9" s="3">
        <v>20000</v>
      </c>
      <c r="FF9" s="3">
        <v>20000</v>
      </c>
      <c r="FG9" s="3">
        <v>20000</v>
      </c>
      <c r="FH9" s="3">
        <v>20000</v>
      </c>
      <c r="FI9" s="3">
        <v>20000</v>
      </c>
    </row>
    <row r="10" spans="1:165" x14ac:dyDescent="0.3">
      <c r="A10" s="4" t="s">
        <v>3005</v>
      </c>
      <c r="B10" s="3">
        <v>20000</v>
      </c>
      <c r="C10" s="3">
        <v>20000</v>
      </c>
      <c r="D10" s="3">
        <v>20000</v>
      </c>
      <c r="E10" s="3">
        <v>20000</v>
      </c>
      <c r="F10" s="3">
        <v>20000</v>
      </c>
      <c r="G10" s="3">
        <v>20000</v>
      </c>
      <c r="H10" s="3">
        <v>20000</v>
      </c>
      <c r="I10" s="3">
        <v>20000</v>
      </c>
      <c r="J10" s="3">
        <v>20000</v>
      </c>
      <c r="K10" s="3">
        <v>20000</v>
      </c>
      <c r="L10" s="3">
        <v>20000</v>
      </c>
      <c r="M10" s="3">
        <v>20000</v>
      </c>
      <c r="N10" s="3">
        <v>20000</v>
      </c>
      <c r="O10" s="3">
        <v>20000</v>
      </c>
      <c r="P10" s="3">
        <v>20000</v>
      </c>
      <c r="Q10" s="3">
        <v>20000</v>
      </c>
      <c r="R10" s="3">
        <v>20000</v>
      </c>
      <c r="S10" s="3">
        <v>20000</v>
      </c>
      <c r="T10" s="3">
        <v>20000</v>
      </c>
      <c r="U10" s="3">
        <v>20000</v>
      </c>
      <c r="V10" s="3">
        <v>20000</v>
      </c>
      <c r="W10" s="3">
        <v>20000</v>
      </c>
      <c r="X10" s="3">
        <v>20000</v>
      </c>
      <c r="Y10" s="3">
        <v>20000</v>
      </c>
      <c r="Z10" s="3">
        <v>20000</v>
      </c>
      <c r="AA10" s="3">
        <v>20000</v>
      </c>
      <c r="AB10" s="3">
        <v>20000</v>
      </c>
      <c r="AC10" s="3">
        <v>20000</v>
      </c>
      <c r="AD10" s="3">
        <v>20000</v>
      </c>
      <c r="AE10" s="3">
        <v>20000</v>
      </c>
      <c r="AF10" s="3">
        <v>20000</v>
      </c>
      <c r="AG10" s="3">
        <v>20000</v>
      </c>
      <c r="AH10" s="3">
        <v>20000</v>
      </c>
      <c r="AI10" s="3">
        <v>20000</v>
      </c>
      <c r="AJ10" s="3">
        <v>20000</v>
      </c>
      <c r="AK10" s="3">
        <v>20000</v>
      </c>
      <c r="AL10" s="3">
        <v>20000</v>
      </c>
      <c r="AM10" s="3">
        <v>20000</v>
      </c>
      <c r="AN10" s="3">
        <v>20000</v>
      </c>
      <c r="AO10" s="3">
        <v>20000</v>
      </c>
      <c r="AP10" s="3">
        <v>20000</v>
      </c>
      <c r="AQ10" s="3">
        <v>20000</v>
      </c>
      <c r="AR10" s="3">
        <v>20000</v>
      </c>
      <c r="AS10" s="3">
        <v>20000</v>
      </c>
      <c r="AT10" s="3">
        <v>20000</v>
      </c>
      <c r="AU10" s="3">
        <v>20000</v>
      </c>
      <c r="AV10" s="3">
        <v>20000</v>
      </c>
      <c r="AW10" s="3">
        <v>20000</v>
      </c>
      <c r="AX10" s="3">
        <v>20000</v>
      </c>
      <c r="AY10" s="3">
        <v>20000</v>
      </c>
      <c r="AZ10" s="3">
        <v>20000</v>
      </c>
      <c r="BA10" s="3">
        <v>20000</v>
      </c>
      <c r="BB10" s="3">
        <v>20000</v>
      </c>
      <c r="BC10" s="3">
        <v>20000</v>
      </c>
      <c r="BD10" s="3">
        <v>20000</v>
      </c>
      <c r="BE10" s="3">
        <v>20000</v>
      </c>
      <c r="BF10" s="3">
        <v>20000</v>
      </c>
      <c r="BG10" s="3">
        <v>20000</v>
      </c>
      <c r="BH10" s="3">
        <v>20000</v>
      </c>
      <c r="BI10" s="3">
        <v>20000</v>
      </c>
      <c r="BJ10" s="3">
        <v>20000</v>
      </c>
      <c r="BK10" s="3">
        <v>20000</v>
      </c>
      <c r="BL10" s="3">
        <v>20000</v>
      </c>
      <c r="BM10" s="3">
        <v>20000</v>
      </c>
      <c r="BN10" s="3">
        <v>20000</v>
      </c>
      <c r="BO10" s="3">
        <v>20000</v>
      </c>
      <c r="BP10" s="3">
        <v>20000</v>
      </c>
      <c r="BQ10" s="3">
        <v>20000</v>
      </c>
      <c r="BR10" s="3">
        <v>20000</v>
      </c>
      <c r="BS10" s="3">
        <v>20000</v>
      </c>
      <c r="BT10" s="3">
        <v>20000</v>
      </c>
      <c r="BU10" s="3">
        <v>20000</v>
      </c>
      <c r="BV10" s="3">
        <v>20000</v>
      </c>
      <c r="BW10" s="3">
        <v>20000</v>
      </c>
      <c r="BX10" s="3">
        <v>20000</v>
      </c>
      <c r="BY10" s="3">
        <v>20000</v>
      </c>
      <c r="BZ10" s="3">
        <v>20000</v>
      </c>
      <c r="CA10" s="3">
        <v>20000</v>
      </c>
      <c r="CB10" s="3">
        <v>20000</v>
      </c>
      <c r="CC10" s="3">
        <v>20000</v>
      </c>
      <c r="CD10" s="3">
        <v>20000</v>
      </c>
      <c r="CE10" s="3">
        <v>20000</v>
      </c>
      <c r="CF10" s="3">
        <v>20000</v>
      </c>
      <c r="CG10" s="3">
        <v>20000</v>
      </c>
      <c r="CH10" s="3">
        <v>20000</v>
      </c>
      <c r="CI10" s="3">
        <v>20000</v>
      </c>
      <c r="CJ10" s="3">
        <v>20000</v>
      </c>
      <c r="CK10" s="3">
        <v>20000</v>
      </c>
      <c r="CL10" s="3">
        <v>20000</v>
      </c>
      <c r="CM10" s="3">
        <v>20000</v>
      </c>
      <c r="CN10" s="3">
        <v>20000</v>
      </c>
      <c r="CO10" s="3">
        <v>20000</v>
      </c>
      <c r="CP10" s="3">
        <v>20000</v>
      </c>
      <c r="CQ10" s="3">
        <v>20000</v>
      </c>
      <c r="CR10" s="3">
        <v>20000</v>
      </c>
      <c r="CS10" s="3">
        <v>20000</v>
      </c>
      <c r="CT10" s="3">
        <v>20000</v>
      </c>
      <c r="CU10" s="3">
        <v>20000</v>
      </c>
      <c r="CV10" s="3">
        <v>20000</v>
      </c>
      <c r="CW10" s="3">
        <v>20000</v>
      </c>
      <c r="CX10" s="3">
        <v>20000</v>
      </c>
      <c r="CY10" s="3">
        <v>20000</v>
      </c>
      <c r="CZ10" s="3">
        <v>20000</v>
      </c>
      <c r="DA10" s="3">
        <v>20000</v>
      </c>
      <c r="DB10" s="3">
        <v>20000</v>
      </c>
      <c r="DC10" s="3">
        <v>20000</v>
      </c>
      <c r="DD10" s="3">
        <v>20000</v>
      </c>
      <c r="DE10" s="3">
        <v>20000</v>
      </c>
      <c r="DF10" s="3">
        <v>20000</v>
      </c>
      <c r="DG10" s="3">
        <v>20000</v>
      </c>
      <c r="DH10" s="3">
        <v>20000</v>
      </c>
      <c r="DI10" s="3">
        <v>20000</v>
      </c>
      <c r="DJ10" s="3">
        <v>20000</v>
      </c>
      <c r="DK10" s="3">
        <v>20000</v>
      </c>
      <c r="DL10" s="3">
        <v>20000</v>
      </c>
      <c r="DM10" s="3">
        <v>20000</v>
      </c>
      <c r="DN10" s="3">
        <v>20000</v>
      </c>
      <c r="DO10" s="3">
        <v>20000</v>
      </c>
      <c r="DP10" s="3">
        <v>20000</v>
      </c>
      <c r="DQ10" s="3">
        <v>20000</v>
      </c>
      <c r="DR10" s="3">
        <v>20000</v>
      </c>
      <c r="DS10" s="3">
        <v>20000</v>
      </c>
      <c r="DT10" s="3">
        <v>20000</v>
      </c>
      <c r="DU10" s="3">
        <v>20000</v>
      </c>
      <c r="DV10" s="3">
        <v>20000</v>
      </c>
      <c r="DW10" s="3">
        <v>20000</v>
      </c>
      <c r="DX10" s="3">
        <v>20000</v>
      </c>
      <c r="DY10" s="3">
        <v>20000</v>
      </c>
      <c r="DZ10" s="3">
        <v>20000</v>
      </c>
      <c r="EA10" s="3">
        <v>20000</v>
      </c>
      <c r="EB10" s="3">
        <v>20000</v>
      </c>
      <c r="EC10" s="3">
        <v>20000</v>
      </c>
      <c r="ED10" s="3">
        <v>20000</v>
      </c>
      <c r="EE10" s="3">
        <v>20000</v>
      </c>
      <c r="EF10" s="3">
        <v>20000</v>
      </c>
      <c r="EG10" s="3">
        <v>20000</v>
      </c>
      <c r="EH10" s="3">
        <v>20000</v>
      </c>
      <c r="EI10" s="3">
        <v>20000</v>
      </c>
      <c r="EJ10" s="3">
        <v>20000</v>
      </c>
      <c r="EK10" s="3">
        <v>20000</v>
      </c>
      <c r="EL10" s="3">
        <v>20000</v>
      </c>
      <c r="EM10" s="3">
        <v>20000</v>
      </c>
      <c r="EN10" s="3">
        <v>20000</v>
      </c>
      <c r="EO10" s="3">
        <v>20000</v>
      </c>
      <c r="EP10" s="3">
        <v>20000</v>
      </c>
      <c r="EQ10" s="3">
        <v>20000</v>
      </c>
      <c r="ER10" s="3">
        <v>20000</v>
      </c>
      <c r="ES10" s="3">
        <v>20000</v>
      </c>
      <c r="ET10" s="3">
        <v>20000</v>
      </c>
      <c r="EU10" s="3">
        <v>20000</v>
      </c>
      <c r="EV10" s="3">
        <v>20000</v>
      </c>
      <c r="EW10" s="3">
        <v>20000</v>
      </c>
      <c r="EX10" s="3">
        <v>20000</v>
      </c>
      <c r="EY10" s="3">
        <v>20000</v>
      </c>
      <c r="EZ10" s="3">
        <v>20000</v>
      </c>
      <c r="FA10" s="3">
        <v>20000</v>
      </c>
      <c r="FB10" s="3">
        <v>20000</v>
      </c>
      <c r="FC10" s="3">
        <v>20000</v>
      </c>
      <c r="FD10" s="3">
        <v>20000</v>
      </c>
      <c r="FE10" s="3">
        <v>20000</v>
      </c>
      <c r="FF10" s="3">
        <v>20000</v>
      </c>
      <c r="FG10" s="3">
        <v>20000</v>
      </c>
      <c r="FH10" s="3">
        <v>20000</v>
      </c>
      <c r="FI10" s="3">
        <v>20000</v>
      </c>
    </row>
    <row r="11" spans="1:165" x14ac:dyDescent="0.3">
      <c r="A11" s="4" t="s">
        <v>3006</v>
      </c>
      <c r="B11" s="3">
        <v>20000</v>
      </c>
      <c r="C11" s="3">
        <v>20000</v>
      </c>
      <c r="D11" s="3">
        <v>20000</v>
      </c>
      <c r="E11" s="3">
        <v>20000</v>
      </c>
      <c r="F11" s="3">
        <v>20000</v>
      </c>
      <c r="G11" s="3">
        <v>20000</v>
      </c>
      <c r="H11" s="3">
        <v>20000</v>
      </c>
      <c r="I11" s="3">
        <v>20000</v>
      </c>
      <c r="J11" s="3">
        <v>20000</v>
      </c>
      <c r="K11" s="3">
        <v>20000</v>
      </c>
      <c r="L11" s="3">
        <v>20000</v>
      </c>
      <c r="M11" s="3">
        <v>20000</v>
      </c>
      <c r="N11" s="3">
        <v>20000</v>
      </c>
      <c r="O11" s="3">
        <v>20000</v>
      </c>
      <c r="P11" s="3">
        <v>20000</v>
      </c>
      <c r="Q11" s="3">
        <v>20000</v>
      </c>
      <c r="R11" s="3">
        <v>20000</v>
      </c>
      <c r="S11" s="3">
        <v>20000</v>
      </c>
      <c r="T11" s="3">
        <v>20000</v>
      </c>
      <c r="U11" s="3">
        <v>20000</v>
      </c>
      <c r="V11" s="3">
        <v>20000</v>
      </c>
      <c r="W11" s="3">
        <v>20000</v>
      </c>
      <c r="X11" s="3">
        <v>20000</v>
      </c>
      <c r="Y11" s="3">
        <v>20000</v>
      </c>
      <c r="Z11" s="3">
        <v>20000</v>
      </c>
      <c r="AA11" s="3">
        <v>20000</v>
      </c>
      <c r="AB11" s="3">
        <v>20000</v>
      </c>
      <c r="AC11" s="3">
        <v>20000</v>
      </c>
      <c r="AD11" s="3">
        <v>20000</v>
      </c>
      <c r="AE11" s="3">
        <v>20000</v>
      </c>
      <c r="AF11" s="3">
        <v>20000</v>
      </c>
      <c r="AG11" s="3">
        <v>20000</v>
      </c>
      <c r="AH11" s="3">
        <v>20000</v>
      </c>
      <c r="AI11" s="3">
        <v>20000</v>
      </c>
      <c r="AJ11" s="3">
        <v>20000</v>
      </c>
      <c r="AK11" s="3">
        <v>20000</v>
      </c>
      <c r="AL11" s="3">
        <v>20000</v>
      </c>
      <c r="AM11" s="3">
        <v>20000</v>
      </c>
      <c r="AN11" s="3">
        <v>20000</v>
      </c>
      <c r="AO11" s="3">
        <v>20000</v>
      </c>
      <c r="AP11" s="3">
        <v>20000</v>
      </c>
      <c r="AQ11" s="3">
        <v>20000</v>
      </c>
      <c r="AR11" s="3">
        <v>20000</v>
      </c>
      <c r="AS11" s="3">
        <v>20000</v>
      </c>
      <c r="AT11" s="3">
        <v>20000</v>
      </c>
      <c r="AU11" s="3">
        <v>20000</v>
      </c>
      <c r="AV11" s="3">
        <v>20000</v>
      </c>
      <c r="AW11" s="3">
        <v>20000</v>
      </c>
      <c r="AX11" s="3">
        <v>20000</v>
      </c>
      <c r="AY11" s="3">
        <v>20000</v>
      </c>
      <c r="AZ11" s="3">
        <v>20000</v>
      </c>
      <c r="BA11" s="3">
        <v>20000</v>
      </c>
      <c r="BB11" s="3">
        <v>20000</v>
      </c>
      <c r="BC11" s="3">
        <v>20000</v>
      </c>
      <c r="BD11" s="3">
        <v>20000</v>
      </c>
      <c r="BE11" s="3">
        <v>20000</v>
      </c>
      <c r="BF11" s="3">
        <v>20000</v>
      </c>
      <c r="BG11" s="3">
        <v>20000</v>
      </c>
      <c r="BH11" s="3">
        <v>20000</v>
      </c>
      <c r="BI11" s="3">
        <v>20000</v>
      </c>
      <c r="BJ11" s="3">
        <v>20000</v>
      </c>
      <c r="BK11" s="3">
        <v>20000</v>
      </c>
      <c r="BL11" s="3">
        <v>20000</v>
      </c>
      <c r="BM11" s="3">
        <v>20000</v>
      </c>
      <c r="BN11" s="3">
        <v>20000</v>
      </c>
      <c r="BO11" s="3">
        <v>20000</v>
      </c>
      <c r="BP11" s="3">
        <v>20000</v>
      </c>
      <c r="BQ11" s="3">
        <v>20000</v>
      </c>
      <c r="BR11" s="3">
        <v>20000</v>
      </c>
      <c r="BS11" s="3">
        <v>20000</v>
      </c>
      <c r="BT11" s="3">
        <v>20000</v>
      </c>
      <c r="BU11" s="3">
        <v>20000</v>
      </c>
      <c r="BV11" s="3">
        <v>20000</v>
      </c>
      <c r="BW11" s="3">
        <v>20000</v>
      </c>
      <c r="BX11" s="3">
        <v>20000</v>
      </c>
      <c r="BY11" s="3">
        <v>20000</v>
      </c>
      <c r="BZ11" s="3">
        <v>20000</v>
      </c>
      <c r="CA11" s="3">
        <v>20000</v>
      </c>
      <c r="CB11" s="3">
        <v>20000</v>
      </c>
      <c r="CC11" s="3">
        <v>20000</v>
      </c>
      <c r="CD11" s="3">
        <v>20000</v>
      </c>
      <c r="CE11" s="3">
        <v>20000</v>
      </c>
      <c r="CF11" s="3">
        <v>20000</v>
      </c>
      <c r="CG11" s="3">
        <v>20000</v>
      </c>
      <c r="CH11" s="3">
        <v>20000</v>
      </c>
      <c r="CI11" s="3">
        <v>20000</v>
      </c>
      <c r="CJ11" s="3">
        <v>20000</v>
      </c>
      <c r="CK11" s="3">
        <v>20000</v>
      </c>
      <c r="CL11" s="3">
        <v>20000</v>
      </c>
      <c r="CM11" s="3">
        <v>20000</v>
      </c>
      <c r="CN11" s="3">
        <v>20000</v>
      </c>
      <c r="CO11" s="3">
        <v>20000</v>
      </c>
      <c r="CP11" s="3">
        <v>20000</v>
      </c>
      <c r="CQ11" s="3">
        <v>20000</v>
      </c>
      <c r="CR11" s="3">
        <v>20000</v>
      </c>
      <c r="CS11" s="3">
        <v>20000</v>
      </c>
      <c r="CT11" s="3">
        <v>20000</v>
      </c>
      <c r="CU11" s="3">
        <v>20000</v>
      </c>
      <c r="CV11" s="3">
        <v>20000</v>
      </c>
      <c r="CW11" s="3">
        <v>20000</v>
      </c>
      <c r="CX11" s="3">
        <v>20000</v>
      </c>
      <c r="CY11" s="3">
        <v>20000</v>
      </c>
      <c r="CZ11" s="3">
        <v>20000</v>
      </c>
      <c r="DA11" s="3">
        <v>20000</v>
      </c>
      <c r="DB11" s="3">
        <v>20000</v>
      </c>
      <c r="DC11" s="3">
        <v>20000</v>
      </c>
      <c r="DD11" s="3">
        <v>20000</v>
      </c>
      <c r="DE11" s="3">
        <v>20000</v>
      </c>
      <c r="DF11" s="3">
        <v>20000</v>
      </c>
      <c r="DG11" s="3">
        <v>20000</v>
      </c>
      <c r="DH11" s="3">
        <v>20000</v>
      </c>
      <c r="DI11" s="3">
        <v>20000</v>
      </c>
      <c r="DJ11" s="3">
        <v>20000</v>
      </c>
      <c r="DK11" s="3">
        <v>20000</v>
      </c>
      <c r="DL11" s="3">
        <v>20000</v>
      </c>
      <c r="DM11" s="3">
        <v>20000</v>
      </c>
      <c r="DN11" s="3">
        <v>20000</v>
      </c>
      <c r="DO11" s="3">
        <v>20000</v>
      </c>
      <c r="DP11" s="3">
        <v>20000</v>
      </c>
      <c r="DQ11" s="3">
        <v>20000</v>
      </c>
      <c r="DR11" s="3">
        <v>20000</v>
      </c>
      <c r="DS11" s="3">
        <v>20000</v>
      </c>
      <c r="DT11" s="3">
        <v>20000</v>
      </c>
      <c r="DU11" s="3">
        <v>20000</v>
      </c>
      <c r="DV11" s="3">
        <v>20000</v>
      </c>
      <c r="DW11" s="3">
        <v>20000</v>
      </c>
      <c r="DX11" s="3">
        <v>20000</v>
      </c>
      <c r="DY11" s="3">
        <v>20000</v>
      </c>
      <c r="DZ11" s="3">
        <v>20000</v>
      </c>
      <c r="EA11" s="3">
        <v>20000</v>
      </c>
      <c r="EB11" s="3">
        <v>20000</v>
      </c>
      <c r="EC11" s="3">
        <v>20000</v>
      </c>
      <c r="ED11" s="3">
        <v>20000</v>
      </c>
      <c r="EE11" s="3">
        <v>20000</v>
      </c>
      <c r="EF11" s="3">
        <v>20000</v>
      </c>
      <c r="EG11" s="3">
        <v>20000</v>
      </c>
      <c r="EH11" s="3">
        <v>20000</v>
      </c>
      <c r="EI11" s="3">
        <v>20000</v>
      </c>
      <c r="EJ11" s="3">
        <v>20000</v>
      </c>
      <c r="EK11" s="3">
        <v>20000</v>
      </c>
      <c r="EL11" s="3">
        <v>20000</v>
      </c>
      <c r="EM11" s="3">
        <v>20000</v>
      </c>
      <c r="EN11" s="3">
        <v>20000</v>
      </c>
      <c r="EO11" s="3">
        <v>20000</v>
      </c>
      <c r="EP11" s="3">
        <v>20000</v>
      </c>
      <c r="EQ11" s="3">
        <v>20000</v>
      </c>
      <c r="ER11" s="3">
        <v>20000</v>
      </c>
      <c r="ES11" s="3">
        <v>20000</v>
      </c>
      <c r="ET11" s="3">
        <v>20000</v>
      </c>
      <c r="EU11" s="3">
        <v>20000</v>
      </c>
      <c r="EV11" s="3">
        <v>20000</v>
      </c>
      <c r="EW11" s="3">
        <v>20000</v>
      </c>
      <c r="EX11" s="3">
        <v>20000</v>
      </c>
      <c r="EY11" s="3">
        <v>20000</v>
      </c>
      <c r="EZ11" s="3">
        <v>20000</v>
      </c>
      <c r="FA11" s="3">
        <v>20000</v>
      </c>
      <c r="FB11" s="3">
        <v>20000</v>
      </c>
      <c r="FC11" s="3">
        <v>20000</v>
      </c>
      <c r="FD11" s="3">
        <v>20000</v>
      </c>
      <c r="FE11" s="3">
        <v>20000</v>
      </c>
      <c r="FF11" s="3">
        <v>20000</v>
      </c>
      <c r="FG11" s="3">
        <v>20000</v>
      </c>
      <c r="FH11" s="3">
        <v>20000</v>
      </c>
      <c r="FI11" s="3">
        <v>20000</v>
      </c>
    </row>
    <row r="12" spans="1:165" x14ac:dyDescent="0.3">
      <c r="A12" s="4" t="s">
        <v>3007</v>
      </c>
      <c r="B12" s="3">
        <v>20000</v>
      </c>
      <c r="C12" s="3">
        <v>20000</v>
      </c>
      <c r="D12" s="3">
        <v>20000</v>
      </c>
      <c r="E12" s="3">
        <v>20000</v>
      </c>
      <c r="F12" s="3">
        <v>20000</v>
      </c>
      <c r="G12" s="3">
        <v>20000</v>
      </c>
      <c r="H12" s="3">
        <v>20000</v>
      </c>
      <c r="I12" s="3">
        <v>20000</v>
      </c>
      <c r="J12" s="3">
        <v>20000</v>
      </c>
      <c r="K12" s="3">
        <v>20000</v>
      </c>
      <c r="L12" s="3">
        <v>20000</v>
      </c>
      <c r="M12" s="3">
        <v>20000</v>
      </c>
      <c r="N12" s="3">
        <v>20000</v>
      </c>
      <c r="O12" s="3">
        <v>20000</v>
      </c>
      <c r="P12" s="3">
        <v>20000</v>
      </c>
      <c r="Q12" s="3">
        <v>20000</v>
      </c>
      <c r="R12" s="3">
        <v>20000</v>
      </c>
      <c r="S12" s="3">
        <v>20000</v>
      </c>
      <c r="T12" s="3">
        <v>20000</v>
      </c>
      <c r="U12" s="3">
        <v>20000</v>
      </c>
      <c r="V12" s="3">
        <v>20000</v>
      </c>
      <c r="W12" s="3">
        <v>20000</v>
      </c>
      <c r="X12" s="3">
        <v>20000</v>
      </c>
      <c r="Y12" s="3">
        <v>20000</v>
      </c>
      <c r="Z12" s="3">
        <v>20000</v>
      </c>
      <c r="AA12" s="3">
        <v>20000</v>
      </c>
      <c r="AB12" s="3">
        <v>20000</v>
      </c>
      <c r="AC12" s="3">
        <v>20000</v>
      </c>
      <c r="AD12" s="3">
        <v>20000</v>
      </c>
      <c r="AE12" s="3">
        <v>20000</v>
      </c>
      <c r="AF12" s="3">
        <v>20000</v>
      </c>
      <c r="AG12" s="3">
        <v>20000</v>
      </c>
      <c r="AH12" s="3">
        <v>20000</v>
      </c>
      <c r="AI12" s="3">
        <v>20000</v>
      </c>
      <c r="AJ12" s="3">
        <v>20000</v>
      </c>
      <c r="AK12" s="3">
        <v>20000</v>
      </c>
      <c r="AL12" s="3">
        <v>20000</v>
      </c>
      <c r="AM12" s="3">
        <v>20000</v>
      </c>
      <c r="AN12" s="3">
        <v>20000</v>
      </c>
      <c r="AO12" s="3">
        <v>20000</v>
      </c>
      <c r="AP12" s="3">
        <v>20000</v>
      </c>
      <c r="AQ12" s="3">
        <v>20000</v>
      </c>
      <c r="AR12" s="3">
        <v>20000</v>
      </c>
      <c r="AS12" s="3">
        <v>20000</v>
      </c>
      <c r="AT12" s="3">
        <v>20000</v>
      </c>
      <c r="AU12" s="3">
        <v>20000</v>
      </c>
      <c r="AV12" s="3">
        <v>20000</v>
      </c>
      <c r="AW12" s="3">
        <v>20000</v>
      </c>
      <c r="AX12" s="3">
        <v>20000</v>
      </c>
      <c r="AY12" s="3">
        <v>20000</v>
      </c>
      <c r="AZ12" s="3">
        <v>20000</v>
      </c>
      <c r="BA12" s="3">
        <v>20000</v>
      </c>
      <c r="BB12" s="3">
        <v>20000</v>
      </c>
      <c r="BC12" s="3">
        <v>20000</v>
      </c>
      <c r="BD12" s="3">
        <v>20000</v>
      </c>
      <c r="BE12" s="3">
        <v>20000</v>
      </c>
      <c r="BF12" s="3">
        <v>20000</v>
      </c>
      <c r="BG12" s="3">
        <v>20000</v>
      </c>
      <c r="BH12" s="3">
        <v>20000</v>
      </c>
      <c r="BI12" s="3">
        <v>20000</v>
      </c>
      <c r="BJ12" s="3">
        <v>20000</v>
      </c>
      <c r="BK12" s="3">
        <v>20000</v>
      </c>
      <c r="BL12" s="3">
        <v>20000</v>
      </c>
      <c r="BM12" s="3">
        <v>20000</v>
      </c>
      <c r="BN12" s="3">
        <v>20000</v>
      </c>
      <c r="BO12" s="3">
        <v>20000</v>
      </c>
      <c r="BP12" s="3">
        <v>20000</v>
      </c>
      <c r="BQ12" s="3">
        <v>20000</v>
      </c>
      <c r="BR12" s="3">
        <v>20000</v>
      </c>
      <c r="BS12" s="3">
        <v>20000</v>
      </c>
      <c r="BT12" s="3">
        <v>20000</v>
      </c>
      <c r="BU12" s="3">
        <v>20000</v>
      </c>
      <c r="BV12" s="3">
        <v>20000</v>
      </c>
      <c r="BW12" s="3">
        <v>20000</v>
      </c>
      <c r="BX12" s="3">
        <v>20000</v>
      </c>
      <c r="BY12" s="3">
        <v>20000</v>
      </c>
      <c r="BZ12" s="3">
        <v>20000</v>
      </c>
      <c r="CA12" s="3">
        <v>20000</v>
      </c>
      <c r="CB12" s="3">
        <v>20000</v>
      </c>
      <c r="CC12" s="3">
        <v>20000</v>
      </c>
      <c r="CD12" s="3">
        <v>20000</v>
      </c>
      <c r="CE12" s="3">
        <v>20000</v>
      </c>
      <c r="CF12" s="3">
        <v>20000</v>
      </c>
      <c r="CG12" s="3">
        <v>20000</v>
      </c>
      <c r="CH12" s="3">
        <v>20000</v>
      </c>
      <c r="CI12" s="3">
        <v>20000</v>
      </c>
      <c r="CJ12" s="3">
        <v>20000</v>
      </c>
      <c r="CK12" s="3">
        <v>20000</v>
      </c>
      <c r="CL12" s="3">
        <v>20000</v>
      </c>
      <c r="CM12" s="3">
        <v>20000</v>
      </c>
      <c r="CN12" s="3">
        <v>20000</v>
      </c>
      <c r="CO12" s="3">
        <v>20000</v>
      </c>
      <c r="CP12" s="3">
        <v>20000</v>
      </c>
      <c r="CQ12" s="3">
        <v>20000</v>
      </c>
      <c r="CR12" s="3">
        <v>20000</v>
      </c>
      <c r="CS12" s="3">
        <v>20000</v>
      </c>
      <c r="CT12" s="3">
        <v>20000</v>
      </c>
      <c r="CU12" s="3">
        <v>20000</v>
      </c>
      <c r="CV12" s="3">
        <v>20000</v>
      </c>
      <c r="CW12" s="3">
        <v>20000</v>
      </c>
      <c r="CX12" s="3">
        <v>20000</v>
      </c>
      <c r="CY12" s="3">
        <v>20000</v>
      </c>
      <c r="CZ12" s="3">
        <v>20000</v>
      </c>
      <c r="DA12" s="3">
        <v>20000</v>
      </c>
      <c r="DB12" s="3">
        <v>20000</v>
      </c>
      <c r="DC12" s="3">
        <v>20000</v>
      </c>
      <c r="DD12" s="3">
        <v>20000</v>
      </c>
      <c r="DE12" s="3">
        <v>20000</v>
      </c>
      <c r="DF12" s="3">
        <v>20000</v>
      </c>
      <c r="DG12" s="3">
        <v>20000</v>
      </c>
      <c r="DH12" s="3">
        <v>20000</v>
      </c>
      <c r="DI12" s="3">
        <v>20000</v>
      </c>
      <c r="DJ12" s="3">
        <v>20000</v>
      </c>
      <c r="DK12" s="3">
        <v>20000</v>
      </c>
      <c r="DL12" s="3">
        <v>20000</v>
      </c>
      <c r="DM12" s="3">
        <v>20000</v>
      </c>
      <c r="DN12" s="3">
        <v>20000</v>
      </c>
      <c r="DO12" s="3">
        <v>20000</v>
      </c>
      <c r="DP12" s="3">
        <v>20000</v>
      </c>
      <c r="DQ12" s="3">
        <v>20000</v>
      </c>
      <c r="DR12" s="3">
        <v>20000</v>
      </c>
      <c r="DS12" s="3">
        <v>20000</v>
      </c>
      <c r="DT12" s="3">
        <v>20000</v>
      </c>
      <c r="DU12" s="3">
        <v>20000</v>
      </c>
      <c r="DV12" s="3">
        <v>20000</v>
      </c>
      <c r="DW12" s="3">
        <v>20000</v>
      </c>
      <c r="DX12" s="3">
        <v>20000</v>
      </c>
      <c r="DY12" s="3">
        <v>20000</v>
      </c>
      <c r="DZ12" s="3">
        <v>20000</v>
      </c>
      <c r="EA12" s="3">
        <v>20000</v>
      </c>
      <c r="EB12" s="3">
        <v>20000</v>
      </c>
      <c r="EC12" s="3">
        <v>20000</v>
      </c>
      <c r="ED12" s="3">
        <v>20000</v>
      </c>
      <c r="EE12" s="3">
        <v>20000</v>
      </c>
      <c r="EF12" s="3">
        <v>20000</v>
      </c>
      <c r="EG12" s="3">
        <v>20000</v>
      </c>
      <c r="EH12" s="3">
        <v>20000</v>
      </c>
      <c r="EI12" s="3">
        <v>20000</v>
      </c>
      <c r="EJ12" s="3">
        <v>20000</v>
      </c>
      <c r="EK12" s="3">
        <v>20000</v>
      </c>
      <c r="EL12" s="3">
        <v>20000</v>
      </c>
      <c r="EM12" s="3">
        <v>20000</v>
      </c>
      <c r="EN12" s="3">
        <v>20000</v>
      </c>
      <c r="EO12" s="3">
        <v>20000</v>
      </c>
      <c r="EP12" s="3">
        <v>20000</v>
      </c>
      <c r="EQ12" s="3">
        <v>20000</v>
      </c>
      <c r="ER12" s="3">
        <v>20000</v>
      </c>
      <c r="ES12" s="3">
        <v>20000</v>
      </c>
      <c r="ET12" s="3">
        <v>20000</v>
      </c>
      <c r="EU12" s="3">
        <v>20000</v>
      </c>
      <c r="EV12" s="3">
        <v>20000</v>
      </c>
      <c r="EW12" s="3">
        <v>20000</v>
      </c>
      <c r="EX12" s="3">
        <v>20000</v>
      </c>
      <c r="EY12" s="3">
        <v>20000</v>
      </c>
      <c r="EZ12" s="3">
        <v>20000</v>
      </c>
      <c r="FA12" s="3">
        <v>20000</v>
      </c>
      <c r="FB12" s="3">
        <v>20000</v>
      </c>
      <c r="FC12" s="3">
        <v>20000</v>
      </c>
      <c r="FD12" s="3">
        <v>20000</v>
      </c>
      <c r="FE12" s="3">
        <v>20000</v>
      </c>
      <c r="FF12" s="3">
        <v>20000</v>
      </c>
      <c r="FG12" s="3">
        <v>20000</v>
      </c>
      <c r="FH12" s="3">
        <v>20000</v>
      </c>
      <c r="FI12" s="3">
        <v>20000</v>
      </c>
    </row>
    <row r="13" spans="1:165" x14ac:dyDescent="0.3">
      <c r="A13" s="4" t="s">
        <v>3008</v>
      </c>
      <c r="B13" s="3">
        <v>20000</v>
      </c>
      <c r="C13" s="3">
        <v>20000</v>
      </c>
      <c r="D13" s="3">
        <v>20000</v>
      </c>
      <c r="E13" s="3">
        <v>20000</v>
      </c>
      <c r="F13" s="3">
        <v>20000</v>
      </c>
      <c r="G13" s="3">
        <v>20000</v>
      </c>
      <c r="H13" s="3">
        <v>20000</v>
      </c>
      <c r="I13" s="3">
        <v>20000</v>
      </c>
      <c r="J13" s="3">
        <v>20000</v>
      </c>
      <c r="K13" s="3">
        <v>20000</v>
      </c>
      <c r="L13" s="3">
        <v>20000</v>
      </c>
      <c r="M13" s="3">
        <v>20000</v>
      </c>
      <c r="N13" s="3">
        <v>20000</v>
      </c>
      <c r="O13" s="3">
        <v>20000</v>
      </c>
      <c r="P13" s="3">
        <v>20000</v>
      </c>
      <c r="Q13" s="3">
        <v>20000</v>
      </c>
      <c r="R13" s="3">
        <v>20000</v>
      </c>
      <c r="S13" s="3">
        <v>20000</v>
      </c>
      <c r="T13" s="3">
        <v>20000</v>
      </c>
      <c r="U13" s="3">
        <v>20000</v>
      </c>
      <c r="V13" s="3">
        <v>20000</v>
      </c>
      <c r="W13" s="3">
        <v>20000</v>
      </c>
      <c r="X13" s="3">
        <v>20000</v>
      </c>
      <c r="Y13" s="3">
        <v>20000</v>
      </c>
      <c r="Z13" s="3">
        <v>20000</v>
      </c>
      <c r="AA13" s="3">
        <v>20000</v>
      </c>
      <c r="AB13" s="3">
        <v>20000</v>
      </c>
      <c r="AC13" s="3">
        <v>20000</v>
      </c>
      <c r="AD13" s="3">
        <v>20000</v>
      </c>
      <c r="AE13" s="3">
        <v>20000</v>
      </c>
      <c r="AF13" s="3">
        <v>20000</v>
      </c>
      <c r="AG13" s="3">
        <v>20000</v>
      </c>
      <c r="AH13" s="3">
        <v>20000</v>
      </c>
      <c r="AI13" s="3">
        <v>20000</v>
      </c>
      <c r="AJ13" s="3">
        <v>20000</v>
      </c>
      <c r="AK13" s="3">
        <v>20000</v>
      </c>
      <c r="AL13" s="3">
        <v>20000</v>
      </c>
      <c r="AM13" s="3">
        <v>20000</v>
      </c>
      <c r="AN13" s="3">
        <v>20000</v>
      </c>
      <c r="AO13" s="3">
        <v>20000</v>
      </c>
      <c r="AP13" s="3">
        <v>20000</v>
      </c>
      <c r="AQ13" s="3">
        <v>20000</v>
      </c>
      <c r="AR13" s="3">
        <v>20000</v>
      </c>
      <c r="AS13" s="3">
        <v>20000</v>
      </c>
      <c r="AT13" s="3">
        <v>20000</v>
      </c>
      <c r="AU13" s="3">
        <v>20000</v>
      </c>
      <c r="AV13" s="3">
        <v>20000</v>
      </c>
      <c r="AW13" s="3">
        <v>20000</v>
      </c>
      <c r="AX13" s="3">
        <v>20000</v>
      </c>
      <c r="AY13" s="3">
        <v>20000</v>
      </c>
      <c r="AZ13" s="3">
        <v>20000</v>
      </c>
      <c r="BA13" s="3">
        <v>20000</v>
      </c>
      <c r="BB13" s="3">
        <v>20000</v>
      </c>
      <c r="BC13" s="3">
        <v>20000</v>
      </c>
      <c r="BD13" s="3">
        <v>20000</v>
      </c>
      <c r="BE13" s="3">
        <v>20000</v>
      </c>
      <c r="BF13" s="3">
        <v>20000</v>
      </c>
      <c r="BG13" s="3">
        <v>20000</v>
      </c>
      <c r="BH13" s="3">
        <v>20000</v>
      </c>
      <c r="BI13" s="3">
        <v>20000</v>
      </c>
      <c r="BJ13" s="3">
        <v>20000</v>
      </c>
      <c r="BK13" s="3">
        <v>20000</v>
      </c>
      <c r="BL13" s="3">
        <v>20000</v>
      </c>
      <c r="BM13" s="3">
        <v>20000</v>
      </c>
      <c r="BN13" s="3">
        <v>20000</v>
      </c>
      <c r="BO13" s="3">
        <v>20000</v>
      </c>
      <c r="BP13" s="3">
        <v>20000</v>
      </c>
      <c r="BQ13" s="3">
        <v>20000</v>
      </c>
      <c r="BR13" s="3">
        <v>20000</v>
      </c>
      <c r="BS13" s="3">
        <v>20000</v>
      </c>
      <c r="BT13" s="3">
        <v>20000</v>
      </c>
      <c r="BU13" s="3">
        <v>20000</v>
      </c>
      <c r="BV13" s="3">
        <v>20000</v>
      </c>
      <c r="BW13" s="3">
        <v>20000</v>
      </c>
      <c r="BX13" s="3">
        <v>20000</v>
      </c>
      <c r="BY13" s="3">
        <v>20000</v>
      </c>
      <c r="BZ13" s="3">
        <v>20000</v>
      </c>
      <c r="CA13" s="3">
        <v>20000</v>
      </c>
      <c r="CB13" s="3">
        <v>20000</v>
      </c>
      <c r="CC13" s="3">
        <v>20000</v>
      </c>
      <c r="CD13" s="3">
        <v>20000</v>
      </c>
      <c r="CE13" s="3">
        <v>20000</v>
      </c>
      <c r="CF13" s="3">
        <v>20000</v>
      </c>
      <c r="CG13" s="3">
        <v>20000</v>
      </c>
      <c r="CH13" s="3">
        <v>20000</v>
      </c>
      <c r="CI13" s="3">
        <v>20000</v>
      </c>
      <c r="CJ13" s="3">
        <v>20000</v>
      </c>
      <c r="CK13" s="3">
        <v>20000</v>
      </c>
      <c r="CL13" s="3">
        <v>20000</v>
      </c>
      <c r="CM13" s="3">
        <v>20000</v>
      </c>
      <c r="CN13" s="3">
        <v>20000</v>
      </c>
      <c r="CO13" s="3">
        <v>20000</v>
      </c>
      <c r="CP13" s="3">
        <v>20000</v>
      </c>
      <c r="CQ13" s="3">
        <v>20000</v>
      </c>
      <c r="CR13" s="3">
        <v>20000</v>
      </c>
      <c r="CS13" s="3">
        <v>20000</v>
      </c>
      <c r="CT13" s="3">
        <v>20000</v>
      </c>
      <c r="CU13" s="3">
        <v>20000</v>
      </c>
      <c r="CV13" s="3">
        <v>20000</v>
      </c>
      <c r="CW13" s="3">
        <v>20000</v>
      </c>
      <c r="CX13" s="3">
        <v>20000</v>
      </c>
      <c r="CY13" s="3">
        <v>20000</v>
      </c>
      <c r="CZ13" s="3">
        <v>20000</v>
      </c>
      <c r="DA13" s="3">
        <v>20000</v>
      </c>
      <c r="DB13" s="3">
        <v>20000</v>
      </c>
      <c r="DC13" s="3">
        <v>20000</v>
      </c>
      <c r="DD13" s="3">
        <v>20000</v>
      </c>
      <c r="DE13" s="3">
        <v>20000</v>
      </c>
      <c r="DF13" s="3">
        <v>20000</v>
      </c>
      <c r="DG13" s="3">
        <v>20000</v>
      </c>
      <c r="DH13" s="3">
        <v>20000</v>
      </c>
      <c r="DI13" s="3">
        <v>20000</v>
      </c>
      <c r="DJ13" s="3">
        <v>20000</v>
      </c>
      <c r="DK13" s="3">
        <v>20000</v>
      </c>
      <c r="DL13" s="3">
        <v>20000</v>
      </c>
      <c r="DM13" s="3">
        <v>20000</v>
      </c>
      <c r="DN13" s="3">
        <v>20000</v>
      </c>
      <c r="DO13" s="3">
        <v>20000</v>
      </c>
      <c r="DP13" s="3">
        <v>20000</v>
      </c>
      <c r="DQ13" s="3">
        <v>20000</v>
      </c>
      <c r="DR13" s="3">
        <v>20000</v>
      </c>
      <c r="DS13" s="3">
        <v>20000</v>
      </c>
      <c r="DT13" s="3">
        <v>20000</v>
      </c>
      <c r="DU13" s="3">
        <v>20000</v>
      </c>
      <c r="DV13" s="3">
        <v>20000</v>
      </c>
      <c r="DW13" s="3">
        <v>20000</v>
      </c>
      <c r="DX13" s="3">
        <v>20000</v>
      </c>
      <c r="DY13" s="3">
        <v>20000</v>
      </c>
      <c r="DZ13" s="3">
        <v>20000</v>
      </c>
      <c r="EA13" s="3">
        <v>20000</v>
      </c>
      <c r="EB13" s="3">
        <v>20000</v>
      </c>
      <c r="EC13" s="3">
        <v>20000</v>
      </c>
      <c r="ED13" s="3">
        <v>20000</v>
      </c>
      <c r="EE13" s="3">
        <v>20000</v>
      </c>
      <c r="EF13" s="3">
        <v>20000</v>
      </c>
      <c r="EG13" s="3">
        <v>20000</v>
      </c>
      <c r="EH13" s="3">
        <v>20000</v>
      </c>
      <c r="EI13" s="3">
        <v>20000</v>
      </c>
      <c r="EJ13" s="3">
        <v>20000</v>
      </c>
      <c r="EK13" s="3">
        <v>20000</v>
      </c>
      <c r="EL13" s="3">
        <v>20000</v>
      </c>
      <c r="EM13" s="3">
        <v>20000</v>
      </c>
      <c r="EN13" s="3">
        <v>20000</v>
      </c>
      <c r="EO13" s="3">
        <v>20000</v>
      </c>
      <c r="EP13" s="3">
        <v>20000</v>
      </c>
      <c r="EQ13" s="3">
        <v>20000</v>
      </c>
      <c r="ER13" s="3">
        <v>20000</v>
      </c>
      <c r="ES13" s="3">
        <v>20000</v>
      </c>
      <c r="ET13" s="3">
        <v>20000</v>
      </c>
      <c r="EU13" s="3">
        <v>20000</v>
      </c>
      <c r="EV13" s="3">
        <v>20000</v>
      </c>
      <c r="EW13" s="3">
        <v>20000</v>
      </c>
      <c r="EX13" s="3">
        <v>20000</v>
      </c>
      <c r="EY13" s="3">
        <v>20000</v>
      </c>
      <c r="EZ13" s="3">
        <v>20000</v>
      </c>
      <c r="FA13" s="3">
        <v>20000</v>
      </c>
      <c r="FB13" s="3">
        <v>20000</v>
      </c>
      <c r="FC13" s="3">
        <v>20000</v>
      </c>
      <c r="FD13" s="3">
        <v>20000</v>
      </c>
      <c r="FE13" s="3">
        <v>20000</v>
      </c>
      <c r="FF13" s="3">
        <v>20000</v>
      </c>
      <c r="FG13" s="3">
        <v>20000</v>
      </c>
      <c r="FH13" s="3">
        <v>20000</v>
      </c>
      <c r="FI13" s="3">
        <v>20000</v>
      </c>
    </row>
    <row r="14" spans="1:165" x14ac:dyDescent="0.3">
      <c r="A14" s="4" t="s">
        <v>3009</v>
      </c>
      <c r="B14" s="3">
        <v>20000</v>
      </c>
      <c r="C14" s="3">
        <v>20000</v>
      </c>
      <c r="D14" s="3">
        <v>20000</v>
      </c>
      <c r="E14" s="3">
        <v>20000</v>
      </c>
      <c r="F14" s="3">
        <v>20000</v>
      </c>
      <c r="G14" s="3">
        <v>20000</v>
      </c>
      <c r="H14" s="3">
        <v>20000</v>
      </c>
      <c r="I14" s="3">
        <v>20000</v>
      </c>
      <c r="J14" s="3">
        <v>20000</v>
      </c>
      <c r="K14" s="3">
        <v>20000</v>
      </c>
      <c r="L14" s="3">
        <v>20000</v>
      </c>
      <c r="M14" s="3">
        <v>20000</v>
      </c>
      <c r="N14" s="3">
        <v>20000</v>
      </c>
      <c r="O14" s="3">
        <v>20000</v>
      </c>
      <c r="P14" s="3">
        <v>20000</v>
      </c>
      <c r="Q14" s="3">
        <v>20000</v>
      </c>
      <c r="R14" s="3">
        <v>20000</v>
      </c>
      <c r="S14" s="3">
        <v>20000</v>
      </c>
      <c r="T14" s="3">
        <v>20000</v>
      </c>
      <c r="U14" s="3">
        <v>20000</v>
      </c>
      <c r="V14" s="3">
        <v>20000</v>
      </c>
      <c r="W14" s="3">
        <v>20000</v>
      </c>
      <c r="X14" s="3">
        <v>20000</v>
      </c>
      <c r="Y14" s="3">
        <v>20000</v>
      </c>
      <c r="Z14" s="3">
        <v>20000</v>
      </c>
      <c r="AA14" s="3">
        <v>20000</v>
      </c>
      <c r="AB14" s="3">
        <v>20000</v>
      </c>
      <c r="AC14" s="3">
        <v>20000</v>
      </c>
      <c r="AD14" s="3">
        <v>20000</v>
      </c>
      <c r="AE14" s="3">
        <v>20000</v>
      </c>
      <c r="AF14" s="3">
        <v>20000</v>
      </c>
      <c r="AG14" s="3">
        <v>20000</v>
      </c>
      <c r="AH14" s="3">
        <v>20000</v>
      </c>
      <c r="AI14" s="3">
        <v>20000</v>
      </c>
      <c r="AJ14" s="3">
        <v>20000</v>
      </c>
      <c r="AK14" s="3">
        <v>20000</v>
      </c>
      <c r="AL14" s="3">
        <v>20000</v>
      </c>
      <c r="AM14" s="3">
        <v>20000</v>
      </c>
      <c r="AN14" s="3">
        <v>20000</v>
      </c>
      <c r="AO14" s="3">
        <v>20000</v>
      </c>
      <c r="AP14" s="3">
        <v>20000</v>
      </c>
      <c r="AQ14" s="3">
        <v>20000</v>
      </c>
      <c r="AR14" s="3">
        <v>20000</v>
      </c>
      <c r="AS14" s="3">
        <v>20000</v>
      </c>
      <c r="AT14" s="3">
        <v>20000</v>
      </c>
      <c r="AU14" s="3">
        <v>20000</v>
      </c>
      <c r="AV14" s="3">
        <v>20000</v>
      </c>
      <c r="AW14" s="3">
        <v>20000</v>
      </c>
      <c r="AX14" s="3">
        <v>20000</v>
      </c>
      <c r="AY14" s="3">
        <v>20000</v>
      </c>
      <c r="AZ14" s="3">
        <v>20000</v>
      </c>
      <c r="BA14" s="3">
        <v>20000</v>
      </c>
      <c r="BB14" s="3">
        <v>20000</v>
      </c>
      <c r="BC14" s="3">
        <v>20000</v>
      </c>
      <c r="BD14" s="3">
        <v>20000</v>
      </c>
      <c r="BE14" s="3">
        <v>20000</v>
      </c>
      <c r="BF14" s="3">
        <v>20000</v>
      </c>
      <c r="BG14" s="3">
        <v>20000</v>
      </c>
      <c r="BH14" s="3">
        <v>20000</v>
      </c>
      <c r="BI14" s="3">
        <v>20000</v>
      </c>
      <c r="BJ14" s="3">
        <v>20000</v>
      </c>
      <c r="BK14" s="3">
        <v>20000</v>
      </c>
      <c r="BL14" s="3">
        <v>20000</v>
      </c>
      <c r="BM14" s="3">
        <v>20000</v>
      </c>
      <c r="BN14" s="3">
        <v>20000</v>
      </c>
      <c r="BO14" s="3">
        <v>20000</v>
      </c>
      <c r="BP14" s="3">
        <v>20000</v>
      </c>
      <c r="BQ14" s="3">
        <v>20000</v>
      </c>
      <c r="BR14" s="3">
        <v>20000</v>
      </c>
      <c r="BS14" s="3">
        <v>20000</v>
      </c>
      <c r="BT14" s="3">
        <v>20000</v>
      </c>
      <c r="BU14" s="3">
        <v>20000</v>
      </c>
      <c r="BV14" s="3">
        <v>20000</v>
      </c>
      <c r="BW14" s="3">
        <v>20000</v>
      </c>
      <c r="BX14" s="3">
        <v>20000</v>
      </c>
      <c r="BY14" s="3">
        <v>20000</v>
      </c>
      <c r="BZ14" s="3">
        <v>20000</v>
      </c>
      <c r="CA14" s="3">
        <v>20000</v>
      </c>
      <c r="CB14" s="3">
        <v>20000</v>
      </c>
      <c r="CC14" s="3">
        <v>20000</v>
      </c>
      <c r="CD14" s="3">
        <v>20000</v>
      </c>
      <c r="CE14" s="3">
        <v>20000</v>
      </c>
      <c r="CF14" s="3">
        <v>20000</v>
      </c>
      <c r="CG14" s="3">
        <v>20000</v>
      </c>
      <c r="CH14" s="3">
        <v>20000</v>
      </c>
      <c r="CI14" s="3">
        <v>20000</v>
      </c>
      <c r="CJ14" s="3">
        <v>20000</v>
      </c>
      <c r="CK14" s="3">
        <v>20000</v>
      </c>
      <c r="CL14" s="3">
        <v>20000</v>
      </c>
      <c r="CM14" s="3">
        <v>20000</v>
      </c>
      <c r="CN14" s="3">
        <v>20000</v>
      </c>
      <c r="CO14" s="3">
        <v>20000</v>
      </c>
      <c r="CP14" s="3">
        <v>20000</v>
      </c>
      <c r="CQ14" s="3">
        <v>20000</v>
      </c>
      <c r="CR14" s="3">
        <v>20000</v>
      </c>
      <c r="CS14" s="3">
        <v>20000</v>
      </c>
      <c r="CT14" s="3">
        <v>20000</v>
      </c>
      <c r="CU14" s="3">
        <v>20000</v>
      </c>
      <c r="CV14" s="3">
        <v>20000</v>
      </c>
      <c r="CW14" s="3">
        <v>20000</v>
      </c>
      <c r="CX14" s="3">
        <v>20000</v>
      </c>
      <c r="CY14" s="3">
        <v>20000</v>
      </c>
      <c r="CZ14" s="3">
        <v>20000</v>
      </c>
      <c r="DA14" s="3">
        <v>20000</v>
      </c>
      <c r="DB14" s="3">
        <v>20000</v>
      </c>
      <c r="DC14" s="3">
        <v>20000</v>
      </c>
      <c r="DD14" s="3">
        <v>20000</v>
      </c>
      <c r="DE14" s="3">
        <v>20000</v>
      </c>
      <c r="DF14" s="3">
        <v>20000</v>
      </c>
      <c r="DG14" s="3">
        <v>20000</v>
      </c>
      <c r="DH14" s="3">
        <v>20000</v>
      </c>
      <c r="DI14" s="3">
        <v>20000</v>
      </c>
      <c r="DJ14" s="3">
        <v>20000</v>
      </c>
      <c r="DK14" s="3">
        <v>20000</v>
      </c>
      <c r="DL14" s="3">
        <v>20000</v>
      </c>
      <c r="DM14" s="3">
        <v>20000</v>
      </c>
      <c r="DN14" s="3">
        <v>20000</v>
      </c>
      <c r="DO14" s="3">
        <v>20000</v>
      </c>
      <c r="DP14" s="3">
        <v>20000</v>
      </c>
      <c r="DQ14" s="3">
        <v>20000</v>
      </c>
      <c r="DR14" s="3">
        <v>20000</v>
      </c>
      <c r="DS14" s="3">
        <v>20000</v>
      </c>
      <c r="DT14" s="3">
        <v>20000</v>
      </c>
      <c r="DU14" s="3">
        <v>20000</v>
      </c>
      <c r="DV14" s="3">
        <v>20000</v>
      </c>
      <c r="DW14" s="3">
        <v>20000</v>
      </c>
      <c r="DX14" s="3">
        <v>20000</v>
      </c>
      <c r="DY14" s="3">
        <v>20000</v>
      </c>
      <c r="DZ14" s="3">
        <v>20000</v>
      </c>
      <c r="EA14" s="3">
        <v>20000</v>
      </c>
      <c r="EB14" s="3">
        <v>20000</v>
      </c>
      <c r="EC14" s="3">
        <v>20000</v>
      </c>
      <c r="ED14" s="3">
        <v>20000</v>
      </c>
      <c r="EE14" s="3">
        <v>20000</v>
      </c>
      <c r="EF14" s="3">
        <v>20000</v>
      </c>
      <c r="EG14" s="3">
        <v>20000</v>
      </c>
      <c r="EH14" s="3">
        <v>20000</v>
      </c>
      <c r="EI14" s="3">
        <v>20000</v>
      </c>
      <c r="EJ14" s="3">
        <v>20000</v>
      </c>
      <c r="EK14" s="3">
        <v>20000</v>
      </c>
      <c r="EL14" s="3">
        <v>20000</v>
      </c>
      <c r="EM14" s="3">
        <v>20000</v>
      </c>
      <c r="EN14" s="3">
        <v>20000</v>
      </c>
      <c r="EO14" s="3">
        <v>20000</v>
      </c>
      <c r="EP14" s="3">
        <v>20000</v>
      </c>
      <c r="EQ14" s="3">
        <v>20000</v>
      </c>
      <c r="ER14" s="3">
        <v>20000</v>
      </c>
      <c r="ES14" s="3">
        <v>20000</v>
      </c>
      <c r="ET14" s="3">
        <v>20000</v>
      </c>
      <c r="EU14" s="3">
        <v>20000</v>
      </c>
      <c r="EV14" s="3">
        <v>20000</v>
      </c>
      <c r="EW14" s="3">
        <v>20000</v>
      </c>
      <c r="EX14" s="3">
        <v>20000</v>
      </c>
      <c r="EY14" s="3">
        <v>20000</v>
      </c>
      <c r="EZ14" s="3">
        <v>20000</v>
      </c>
      <c r="FA14" s="3">
        <v>20000</v>
      </c>
      <c r="FB14" s="3">
        <v>20000</v>
      </c>
      <c r="FC14" s="3">
        <v>20000</v>
      </c>
      <c r="FD14" s="3">
        <v>20000</v>
      </c>
      <c r="FE14" s="3">
        <v>20000</v>
      </c>
      <c r="FF14" s="3">
        <v>20000</v>
      </c>
      <c r="FG14" s="3">
        <v>20000</v>
      </c>
      <c r="FH14" s="3">
        <v>20000</v>
      </c>
      <c r="FI14" s="3">
        <v>20000</v>
      </c>
    </row>
    <row r="15" spans="1:165" x14ac:dyDescent="0.3">
      <c r="A15" s="4" t="s">
        <v>3010</v>
      </c>
      <c r="B15" s="3">
        <v>20000</v>
      </c>
      <c r="C15" s="3">
        <v>20000</v>
      </c>
      <c r="D15" s="3">
        <v>20000</v>
      </c>
      <c r="E15" s="3">
        <v>20000</v>
      </c>
      <c r="F15" s="3">
        <v>20000</v>
      </c>
      <c r="G15" s="3">
        <v>20000</v>
      </c>
      <c r="H15" s="3">
        <v>20000</v>
      </c>
      <c r="I15" s="3">
        <v>20000</v>
      </c>
      <c r="J15" s="3">
        <v>20000</v>
      </c>
      <c r="K15" s="3">
        <v>20000</v>
      </c>
      <c r="L15" s="3">
        <v>20000</v>
      </c>
      <c r="M15" s="3">
        <v>20000</v>
      </c>
      <c r="N15" s="3">
        <v>20000</v>
      </c>
      <c r="O15" s="3">
        <v>20000</v>
      </c>
      <c r="P15" s="3">
        <v>20000</v>
      </c>
      <c r="Q15" s="3">
        <v>20000</v>
      </c>
      <c r="R15" s="3">
        <v>20000</v>
      </c>
      <c r="S15" s="3">
        <v>20000</v>
      </c>
      <c r="T15" s="3">
        <v>20000</v>
      </c>
      <c r="U15" s="3">
        <v>20000</v>
      </c>
      <c r="V15" s="3">
        <v>20000</v>
      </c>
      <c r="W15" s="3">
        <v>20000</v>
      </c>
      <c r="X15" s="3">
        <v>20000</v>
      </c>
      <c r="Y15" s="3">
        <v>20000</v>
      </c>
      <c r="Z15" s="3">
        <v>20000</v>
      </c>
      <c r="AA15" s="3">
        <v>20000</v>
      </c>
      <c r="AB15" s="3">
        <v>20000</v>
      </c>
      <c r="AC15" s="3">
        <v>20000</v>
      </c>
      <c r="AD15" s="3">
        <v>20000</v>
      </c>
      <c r="AE15" s="3">
        <v>20000</v>
      </c>
      <c r="AF15" s="3">
        <v>20000</v>
      </c>
      <c r="AG15" s="3">
        <v>20000</v>
      </c>
      <c r="AH15" s="3">
        <v>20000</v>
      </c>
      <c r="AI15" s="3">
        <v>20000</v>
      </c>
      <c r="AJ15" s="3">
        <v>20000</v>
      </c>
      <c r="AK15" s="3">
        <v>20000</v>
      </c>
      <c r="AL15" s="3">
        <v>20000</v>
      </c>
      <c r="AM15" s="3">
        <v>20000</v>
      </c>
      <c r="AN15" s="3">
        <v>20000</v>
      </c>
      <c r="AO15" s="3">
        <v>20000</v>
      </c>
      <c r="AP15" s="3">
        <v>20000</v>
      </c>
      <c r="AQ15" s="3">
        <v>20000</v>
      </c>
      <c r="AR15" s="3">
        <v>20000</v>
      </c>
      <c r="AS15" s="3">
        <v>20000</v>
      </c>
      <c r="AT15" s="3">
        <v>20000</v>
      </c>
      <c r="AU15" s="3">
        <v>20000</v>
      </c>
      <c r="AV15" s="3">
        <v>20000</v>
      </c>
      <c r="AW15" s="3">
        <v>20000</v>
      </c>
      <c r="AX15" s="3">
        <v>20000</v>
      </c>
      <c r="AY15" s="3">
        <v>20000</v>
      </c>
      <c r="AZ15" s="3">
        <v>20000</v>
      </c>
      <c r="BA15" s="3">
        <v>20000</v>
      </c>
      <c r="BB15" s="3">
        <v>20000</v>
      </c>
      <c r="BC15" s="3">
        <v>20000</v>
      </c>
      <c r="BD15" s="3">
        <v>20000</v>
      </c>
      <c r="BE15" s="3">
        <v>20000</v>
      </c>
      <c r="BF15" s="3">
        <v>20000</v>
      </c>
      <c r="BG15" s="3">
        <v>20000</v>
      </c>
      <c r="BH15" s="3">
        <v>20000</v>
      </c>
      <c r="BI15" s="3">
        <v>20000</v>
      </c>
      <c r="BJ15" s="3">
        <v>20000</v>
      </c>
      <c r="BK15" s="3">
        <v>20000</v>
      </c>
      <c r="BL15" s="3">
        <v>20000</v>
      </c>
      <c r="BM15" s="3">
        <v>20000</v>
      </c>
      <c r="BN15" s="3">
        <v>20000</v>
      </c>
      <c r="BO15" s="3">
        <v>20000</v>
      </c>
      <c r="BP15" s="3">
        <v>20000</v>
      </c>
      <c r="BQ15" s="3">
        <v>20000</v>
      </c>
      <c r="BR15" s="3">
        <v>20000</v>
      </c>
      <c r="BS15" s="3">
        <v>20000</v>
      </c>
      <c r="BT15" s="3">
        <v>20000</v>
      </c>
      <c r="BU15" s="3">
        <v>20000</v>
      </c>
      <c r="BV15" s="3">
        <v>20000</v>
      </c>
      <c r="BW15" s="3">
        <v>20000</v>
      </c>
      <c r="BX15" s="3">
        <v>20000</v>
      </c>
      <c r="BY15" s="3">
        <v>20000</v>
      </c>
      <c r="BZ15" s="3">
        <v>20000</v>
      </c>
      <c r="CA15" s="3">
        <v>20000</v>
      </c>
      <c r="CB15" s="3">
        <v>20000</v>
      </c>
      <c r="CC15" s="3">
        <v>20000</v>
      </c>
      <c r="CD15" s="3">
        <v>20000</v>
      </c>
      <c r="CE15" s="3">
        <v>20000</v>
      </c>
      <c r="CF15" s="3">
        <v>20000</v>
      </c>
      <c r="CG15" s="3">
        <v>20000</v>
      </c>
      <c r="CH15" s="3">
        <v>20000</v>
      </c>
      <c r="CI15" s="3">
        <v>20000</v>
      </c>
      <c r="CJ15" s="3">
        <v>20000</v>
      </c>
      <c r="CK15" s="3">
        <v>20000</v>
      </c>
      <c r="CL15" s="3">
        <v>20000</v>
      </c>
      <c r="CM15" s="3">
        <v>20000</v>
      </c>
      <c r="CN15" s="3">
        <v>20000</v>
      </c>
      <c r="CO15" s="3">
        <v>20000</v>
      </c>
      <c r="CP15" s="3">
        <v>20000</v>
      </c>
      <c r="CQ15" s="3">
        <v>20000</v>
      </c>
      <c r="CR15" s="3">
        <v>20000</v>
      </c>
      <c r="CS15" s="3">
        <v>20000</v>
      </c>
      <c r="CT15" s="3">
        <v>20000</v>
      </c>
      <c r="CU15" s="3">
        <v>20000</v>
      </c>
      <c r="CV15" s="3">
        <v>20000</v>
      </c>
      <c r="CW15" s="3">
        <v>20000</v>
      </c>
      <c r="CX15" s="3">
        <v>20000</v>
      </c>
      <c r="CY15" s="3">
        <v>20000</v>
      </c>
      <c r="CZ15" s="3">
        <v>20000</v>
      </c>
      <c r="DA15" s="3">
        <v>20000</v>
      </c>
      <c r="DB15" s="3">
        <v>20000</v>
      </c>
      <c r="DC15" s="3">
        <v>20000</v>
      </c>
      <c r="DD15" s="3">
        <v>20000</v>
      </c>
      <c r="DE15" s="3">
        <v>20000</v>
      </c>
      <c r="DF15" s="3">
        <v>20000</v>
      </c>
      <c r="DG15" s="3">
        <v>20000</v>
      </c>
      <c r="DH15" s="3">
        <v>20000</v>
      </c>
      <c r="DI15" s="3">
        <v>20000</v>
      </c>
      <c r="DJ15" s="3">
        <v>20000</v>
      </c>
      <c r="DK15" s="3">
        <v>20000</v>
      </c>
      <c r="DL15" s="3">
        <v>20000</v>
      </c>
      <c r="DM15" s="3">
        <v>20000</v>
      </c>
      <c r="DN15" s="3">
        <v>20000</v>
      </c>
      <c r="DO15" s="3">
        <v>20000</v>
      </c>
      <c r="DP15" s="3">
        <v>20000</v>
      </c>
      <c r="DQ15" s="3">
        <v>20000</v>
      </c>
      <c r="DR15" s="3">
        <v>20000</v>
      </c>
      <c r="DS15" s="3">
        <v>20000</v>
      </c>
      <c r="DT15" s="3">
        <v>20000</v>
      </c>
      <c r="DU15" s="3">
        <v>20000</v>
      </c>
      <c r="DV15" s="3">
        <v>20000</v>
      </c>
      <c r="DW15" s="3">
        <v>20000</v>
      </c>
      <c r="DX15" s="3">
        <v>20000</v>
      </c>
      <c r="DY15" s="3">
        <v>20000</v>
      </c>
      <c r="DZ15" s="3">
        <v>20000</v>
      </c>
      <c r="EA15" s="3">
        <v>20000</v>
      </c>
      <c r="EB15" s="3">
        <v>20000</v>
      </c>
      <c r="EC15" s="3">
        <v>20000</v>
      </c>
      <c r="ED15" s="3">
        <v>20000</v>
      </c>
      <c r="EE15" s="3">
        <v>20000</v>
      </c>
      <c r="EF15" s="3">
        <v>20000</v>
      </c>
      <c r="EG15" s="3">
        <v>20000</v>
      </c>
      <c r="EH15" s="3">
        <v>20000</v>
      </c>
      <c r="EI15" s="3">
        <v>20000</v>
      </c>
      <c r="EJ15" s="3">
        <v>20000</v>
      </c>
      <c r="EK15" s="3">
        <v>20000</v>
      </c>
      <c r="EL15" s="3">
        <v>20000</v>
      </c>
      <c r="EM15" s="3">
        <v>20000</v>
      </c>
      <c r="EN15" s="3">
        <v>20000</v>
      </c>
      <c r="EO15" s="3">
        <v>20000</v>
      </c>
      <c r="EP15" s="3">
        <v>20000</v>
      </c>
      <c r="EQ15" s="3">
        <v>20000</v>
      </c>
      <c r="ER15" s="3">
        <v>20000</v>
      </c>
      <c r="ES15" s="3">
        <v>20000</v>
      </c>
      <c r="ET15" s="3">
        <v>20000</v>
      </c>
      <c r="EU15" s="3">
        <v>20000</v>
      </c>
      <c r="EV15" s="3">
        <v>20000</v>
      </c>
      <c r="EW15" s="3">
        <v>20000</v>
      </c>
      <c r="EX15" s="3">
        <v>20000</v>
      </c>
      <c r="EY15" s="3">
        <v>20000</v>
      </c>
      <c r="EZ15" s="3">
        <v>20000</v>
      </c>
      <c r="FA15" s="3">
        <v>20000</v>
      </c>
      <c r="FB15" s="3">
        <v>20000</v>
      </c>
      <c r="FC15" s="3">
        <v>20000</v>
      </c>
      <c r="FD15" s="3">
        <v>20000</v>
      </c>
      <c r="FE15" s="3">
        <v>20000</v>
      </c>
      <c r="FF15" s="3">
        <v>20000</v>
      </c>
      <c r="FG15" s="3">
        <v>20000</v>
      </c>
      <c r="FH15" s="3">
        <v>20000</v>
      </c>
      <c r="FI15" s="3">
        <v>20000</v>
      </c>
    </row>
    <row r="16" spans="1:165" x14ac:dyDescent="0.3">
      <c r="A16" s="4" t="s">
        <v>3011</v>
      </c>
      <c r="B16" s="3">
        <v>20000</v>
      </c>
      <c r="C16" s="3">
        <v>20000</v>
      </c>
      <c r="D16" s="3">
        <v>20000</v>
      </c>
      <c r="E16" s="3">
        <v>20000</v>
      </c>
      <c r="F16" s="3">
        <v>20000</v>
      </c>
      <c r="G16" s="3">
        <v>20000</v>
      </c>
      <c r="H16" s="3">
        <v>20000</v>
      </c>
      <c r="I16" s="3">
        <v>20000</v>
      </c>
      <c r="J16" s="3">
        <v>20000</v>
      </c>
      <c r="K16" s="3">
        <v>20000</v>
      </c>
      <c r="L16" s="3">
        <v>20000</v>
      </c>
      <c r="M16" s="3">
        <v>20000</v>
      </c>
      <c r="N16" s="3">
        <v>20000</v>
      </c>
      <c r="O16" s="3">
        <v>20000</v>
      </c>
      <c r="P16" s="3">
        <v>20000</v>
      </c>
      <c r="Q16" s="3">
        <v>20000</v>
      </c>
      <c r="R16" s="3">
        <v>20000</v>
      </c>
      <c r="S16" s="3">
        <v>20000</v>
      </c>
      <c r="T16" s="3">
        <v>20000</v>
      </c>
      <c r="U16" s="3">
        <v>20000</v>
      </c>
      <c r="V16" s="3">
        <v>20000</v>
      </c>
      <c r="W16" s="3">
        <v>20000</v>
      </c>
      <c r="X16" s="3">
        <v>20000</v>
      </c>
      <c r="Y16" s="3">
        <v>20000</v>
      </c>
      <c r="Z16" s="3">
        <v>20000</v>
      </c>
      <c r="AA16" s="3">
        <v>20000</v>
      </c>
      <c r="AB16" s="3">
        <v>20000</v>
      </c>
      <c r="AC16" s="3">
        <v>20000</v>
      </c>
      <c r="AD16" s="3">
        <v>20000</v>
      </c>
      <c r="AE16" s="3">
        <v>20000</v>
      </c>
      <c r="AF16" s="3">
        <v>20000</v>
      </c>
      <c r="AG16" s="3">
        <v>20000</v>
      </c>
      <c r="AH16" s="3">
        <v>20000</v>
      </c>
      <c r="AI16" s="3">
        <v>20000</v>
      </c>
      <c r="AJ16" s="3">
        <v>20000</v>
      </c>
      <c r="AK16" s="3">
        <v>20000</v>
      </c>
      <c r="AL16" s="3">
        <v>20000</v>
      </c>
      <c r="AM16" s="3">
        <v>20000</v>
      </c>
      <c r="AN16" s="3">
        <v>20000</v>
      </c>
      <c r="AO16" s="3">
        <v>20000</v>
      </c>
      <c r="AP16" s="3">
        <v>20000</v>
      </c>
      <c r="AQ16" s="3">
        <v>20000</v>
      </c>
      <c r="AR16" s="3">
        <v>20000</v>
      </c>
      <c r="AS16" s="3">
        <v>20000</v>
      </c>
      <c r="AT16" s="3">
        <v>20000</v>
      </c>
      <c r="AU16" s="3">
        <v>20000</v>
      </c>
      <c r="AV16" s="3">
        <v>20000</v>
      </c>
      <c r="AW16" s="3">
        <v>20000</v>
      </c>
      <c r="AX16" s="3">
        <v>20000</v>
      </c>
      <c r="AY16" s="3">
        <v>20000</v>
      </c>
      <c r="AZ16" s="3">
        <v>20000</v>
      </c>
      <c r="BA16" s="3">
        <v>20000</v>
      </c>
      <c r="BB16" s="3">
        <v>20000</v>
      </c>
      <c r="BC16" s="3">
        <v>20000</v>
      </c>
      <c r="BD16" s="3">
        <v>20000</v>
      </c>
      <c r="BE16" s="3">
        <v>20000</v>
      </c>
      <c r="BF16" s="3">
        <v>20000</v>
      </c>
      <c r="BG16" s="3">
        <v>20000</v>
      </c>
      <c r="BH16" s="3">
        <v>20000</v>
      </c>
      <c r="BI16" s="3">
        <v>20000</v>
      </c>
      <c r="BJ16" s="3">
        <v>20000</v>
      </c>
      <c r="BK16" s="3">
        <v>20000</v>
      </c>
      <c r="BL16" s="3">
        <v>20000</v>
      </c>
      <c r="BM16" s="3">
        <v>20000</v>
      </c>
      <c r="BN16" s="3">
        <v>20000</v>
      </c>
      <c r="BO16" s="3">
        <v>20000</v>
      </c>
      <c r="BP16" s="3">
        <v>20000</v>
      </c>
      <c r="BQ16" s="3">
        <v>20000</v>
      </c>
      <c r="BR16" s="3">
        <v>20000</v>
      </c>
      <c r="BS16" s="3">
        <v>20000</v>
      </c>
      <c r="BT16" s="3">
        <v>20000</v>
      </c>
      <c r="BU16" s="3">
        <v>20000</v>
      </c>
      <c r="BV16" s="3">
        <v>20000</v>
      </c>
      <c r="BW16" s="3">
        <v>20000</v>
      </c>
      <c r="BX16" s="3">
        <v>20000</v>
      </c>
      <c r="BY16" s="3">
        <v>20000</v>
      </c>
      <c r="BZ16" s="3">
        <v>20000</v>
      </c>
      <c r="CA16" s="3">
        <v>20000</v>
      </c>
      <c r="CB16" s="3">
        <v>20000</v>
      </c>
      <c r="CC16" s="3">
        <v>20000</v>
      </c>
      <c r="CD16" s="3">
        <v>20000</v>
      </c>
      <c r="CE16" s="3">
        <v>20000</v>
      </c>
      <c r="CF16" s="3">
        <v>20000</v>
      </c>
      <c r="CG16" s="3">
        <v>20000</v>
      </c>
      <c r="CH16" s="3">
        <v>20000</v>
      </c>
      <c r="CI16" s="3">
        <v>20000</v>
      </c>
      <c r="CJ16" s="3">
        <v>20000</v>
      </c>
      <c r="CK16" s="3">
        <v>20000</v>
      </c>
      <c r="CL16" s="3">
        <v>20000</v>
      </c>
      <c r="CM16" s="3">
        <v>20000</v>
      </c>
      <c r="CN16" s="3">
        <v>20000</v>
      </c>
      <c r="CO16" s="3">
        <v>20000</v>
      </c>
      <c r="CP16" s="3">
        <v>20000</v>
      </c>
      <c r="CQ16" s="3">
        <v>20000</v>
      </c>
      <c r="CR16" s="3">
        <v>20000</v>
      </c>
      <c r="CS16" s="3">
        <v>20000</v>
      </c>
      <c r="CT16" s="3">
        <v>20000</v>
      </c>
      <c r="CU16" s="3">
        <v>20000</v>
      </c>
      <c r="CV16" s="3">
        <v>20000</v>
      </c>
      <c r="CW16" s="3">
        <v>20000</v>
      </c>
      <c r="CX16" s="3">
        <v>20000</v>
      </c>
      <c r="CY16" s="3">
        <v>20000</v>
      </c>
      <c r="CZ16" s="3">
        <v>20000</v>
      </c>
      <c r="DA16" s="3">
        <v>20000</v>
      </c>
      <c r="DB16" s="3">
        <v>20000</v>
      </c>
      <c r="DC16" s="3">
        <v>20000</v>
      </c>
      <c r="DD16" s="3">
        <v>20000</v>
      </c>
      <c r="DE16" s="3">
        <v>20000</v>
      </c>
      <c r="DF16" s="3">
        <v>20000</v>
      </c>
      <c r="DG16" s="3">
        <v>20000</v>
      </c>
      <c r="DH16" s="3">
        <v>20000</v>
      </c>
      <c r="DI16" s="3">
        <v>20000</v>
      </c>
      <c r="DJ16" s="3">
        <v>20000</v>
      </c>
      <c r="DK16" s="3">
        <v>20000</v>
      </c>
      <c r="DL16" s="3">
        <v>20000</v>
      </c>
      <c r="DM16" s="3">
        <v>20000</v>
      </c>
      <c r="DN16" s="3">
        <v>20000</v>
      </c>
      <c r="DO16" s="3">
        <v>20000</v>
      </c>
      <c r="DP16" s="3">
        <v>20000</v>
      </c>
      <c r="DQ16" s="3">
        <v>20000</v>
      </c>
      <c r="DR16" s="3">
        <v>20000</v>
      </c>
      <c r="DS16" s="3">
        <v>20000</v>
      </c>
      <c r="DT16" s="3">
        <v>20000</v>
      </c>
      <c r="DU16" s="3">
        <v>20000</v>
      </c>
      <c r="DV16" s="3">
        <v>20000</v>
      </c>
      <c r="DW16" s="3">
        <v>20000</v>
      </c>
      <c r="DX16" s="3">
        <v>20000</v>
      </c>
      <c r="DY16" s="3">
        <v>20000</v>
      </c>
      <c r="DZ16" s="3">
        <v>20000</v>
      </c>
      <c r="EA16" s="3">
        <v>20000</v>
      </c>
      <c r="EB16" s="3">
        <v>20000</v>
      </c>
      <c r="EC16" s="3">
        <v>20000</v>
      </c>
      <c r="ED16" s="3">
        <v>20000</v>
      </c>
      <c r="EE16" s="3">
        <v>20000</v>
      </c>
      <c r="EF16" s="3">
        <v>20000</v>
      </c>
      <c r="EG16" s="3">
        <v>20000</v>
      </c>
      <c r="EH16" s="3">
        <v>20000</v>
      </c>
      <c r="EI16" s="3">
        <v>20000</v>
      </c>
      <c r="EJ16" s="3">
        <v>20000</v>
      </c>
      <c r="EK16" s="3">
        <v>20000</v>
      </c>
      <c r="EL16" s="3">
        <v>20000</v>
      </c>
      <c r="EM16" s="3">
        <v>20000</v>
      </c>
      <c r="EN16" s="3">
        <v>20000</v>
      </c>
      <c r="EO16" s="3">
        <v>20000</v>
      </c>
      <c r="EP16" s="3">
        <v>20000</v>
      </c>
      <c r="EQ16" s="3">
        <v>20000</v>
      </c>
      <c r="ER16" s="3">
        <v>20000</v>
      </c>
      <c r="ES16" s="3">
        <v>20000</v>
      </c>
      <c r="ET16" s="3">
        <v>20000</v>
      </c>
      <c r="EU16" s="3">
        <v>20000</v>
      </c>
      <c r="EV16" s="3">
        <v>20000</v>
      </c>
      <c r="EW16" s="3">
        <v>20000</v>
      </c>
      <c r="EX16" s="3">
        <v>20000</v>
      </c>
      <c r="EY16" s="3">
        <v>20000</v>
      </c>
      <c r="EZ16" s="3">
        <v>20000</v>
      </c>
      <c r="FA16" s="3">
        <v>20000</v>
      </c>
      <c r="FB16" s="3">
        <v>20000</v>
      </c>
      <c r="FC16" s="3">
        <v>20000</v>
      </c>
      <c r="FD16" s="3">
        <v>20000</v>
      </c>
      <c r="FE16" s="3">
        <v>20000</v>
      </c>
      <c r="FF16" s="3">
        <v>20000</v>
      </c>
      <c r="FG16" s="3">
        <v>20000</v>
      </c>
      <c r="FH16" s="3">
        <v>20000</v>
      </c>
      <c r="FI16" s="3">
        <v>20000</v>
      </c>
    </row>
    <row r="17" spans="1:165" x14ac:dyDescent="0.3">
      <c r="A17" s="4" t="s">
        <v>3012</v>
      </c>
      <c r="B17" s="3">
        <v>20000</v>
      </c>
      <c r="C17" s="3">
        <v>20000</v>
      </c>
      <c r="D17" s="3">
        <v>20000</v>
      </c>
      <c r="E17" s="3">
        <v>20000</v>
      </c>
      <c r="F17" s="3">
        <v>20000</v>
      </c>
      <c r="G17" s="3">
        <v>20000</v>
      </c>
      <c r="H17" s="3">
        <v>20000</v>
      </c>
      <c r="I17" s="3">
        <v>20000</v>
      </c>
      <c r="J17" s="3">
        <v>20000</v>
      </c>
      <c r="K17" s="3">
        <v>20000</v>
      </c>
      <c r="L17" s="3">
        <v>20000</v>
      </c>
      <c r="M17" s="3">
        <v>20000</v>
      </c>
      <c r="N17" s="3">
        <v>20000</v>
      </c>
      <c r="O17" s="3">
        <v>20000</v>
      </c>
      <c r="P17" s="3">
        <v>20000</v>
      </c>
      <c r="Q17" s="3">
        <v>20000</v>
      </c>
      <c r="R17" s="3">
        <v>20000</v>
      </c>
      <c r="S17" s="3">
        <v>20000</v>
      </c>
      <c r="T17" s="3">
        <v>20000</v>
      </c>
      <c r="U17" s="3">
        <v>20000</v>
      </c>
      <c r="V17" s="3">
        <v>20000</v>
      </c>
      <c r="W17" s="3">
        <v>20000</v>
      </c>
      <c r="X17" s="3">
        <v>20000</v>
      </c>
      <c r="Y17" s="3">
        <v>20000</v>
      </c>
      <c r="Z17" s="3">
        <v>20000</v>
      </c>
      <c r="AA17" s="3">
        <v>20000</v>
      </c>
      <c r="AB17" s="3">
        <v>20000</v>
      </c>
      <c r="AC17" s="3">
        <v>20000</v>
      </c>
      <c r="AD17" s="3">
        <v>20000</v>
      </c>
      <c r="AE17" s="3">
        <v>20000</v>
      </c>
      <c r="AF17" s="3">
        <v>20000</v>
      </c>
      <c r="AG17" s="3">
        <v>20000</v>
      </c>
      <c r="AH17" s="3">
        <v>20000</v>
      </c>
      <c r="AI17" s="3">
        <v>20000</v>
      </c>
      <c r="AJ17" s="3">
        <v>20000</v>
      </c>
      <c r="AK17" s="3">
        <v>20000</v>
      </c>
      <c r="AL17" s="3">
        <v>20000</v>
      </c>
      <c r="AM17" s="3">
        <v>20000</v>
      </c>
      <c r="AN17" s="3">
        <v>20000</v>
      </c>
      <c r="AO17" s="3">
        <v>20000</v>
      </c>
      <c r="AP17" s="3">
        <v>20000</v>
      </c>
      <c r="AQ17" s="3">
        <v>20000</v>
      </c>
      <c r="AR17" s="3">
        <v>20000</v>
      </c>
      <c r="AS17" s="3">
        <v>20000</v>
      </c>
      <c r="AT17" s="3">
        <v>20000</v>
      </c>
      <c r="AU17" s="3">
        <v>20000</v>
      </c>
      <c r="AV17" s="3">
        <v>20000</v>
      </c>
      <c r="AW17" s="3">
        <v>20000</v>
      </c>
      <c r="AX17" s="3">
        <v>20000</v>
      </c>
      <c r="AY17" s="3">
        <v>20000</v>
      </c>
      <c r="AZ17" s="3">
        <v>20000</v>
      </c>
      <c r="BA17" s="3">
        <v>20000</v>
      </c>
      <c r="BB17" s="3">
        <v>20000</v>
      </c>
      <c r="BC17" s="3">
        <v>20000</v>
      </c>
      <c r="BD17" s="3">
        <v>20000</v>
      </c>
      <c r="BE17" s="3">
        <v>20000</v>
      </c>
      <c r="BF17" s="3">
        <v>20000</v>
      </c>
      <c r="BG17" s="3">
        <v>20000</v>
      </c>
      <c r="BH17" s="3">
        <v>20000</v>
      </c>
      <c r="BI17" s="3">
        <v>20000</v>
      </c>
      <c r="BJ17" s="3">
        <v>20000</v>
      </c>
      <c r="BK17" s="3">
        <v>20000</v>
      </c>
      <c r="BL17" s="3">
        <v>20000</v>
      </c>
      <c r="BM17" s="3">
        <v>20000</v>
      </c>
      <c r="BN17" s="3">
        <v>20000</v>
      </c>
      <c r="BO17" s="3">
        <v>20000</v>
      </c>
      <c r="BP17" s="3">
        <v>20000</v>
      </c>
      <c r="BQ17" s="3">
        <v>20000</v>
      </c>
      <c r="BR17" s="3">
        <v>20000</v>
      </c>
      <c r="BS17" s="3">
        <v>20000</v>
      </c>
      <c r="BT17" s="3">
        <v>20000</v>
      </c>
      <c r="BU17" s="3">
        <v>20000</v>
      </c>
      <c r="BV17" s="3">
        <v>20000</v>
      </c>
      <c r="BW17" s="3">
        <v>20000</v>
      </c>
      <c r="BX17" s="3">
        <v>20000</v>
      </c>
      <c r="BY17" s="3">
        <v>20000</v>
      </c>
      <c r="BZ17" s="3">
        <v>20000</v>
      </c>
      <c r="CA17" s="3">
        <v>20000</v>
      </c>
      <c r="CB17" s="3">
        <v>20000</v>
      </c>
      <c r="CC17" s="3">
        <v>20000</v>
      </c>
      <c r="CD17" s="3">
        <v>20000</v>
      </c>
      <c r="CE17" s="3">
        <v>20000</v>
      </c>
      <c r="CF17" s="3">
        <v>20000</v>
      </c>
      <c r="CG17" s="3">
        <v>20000</v>
      </c>
      <c r="CH17" s="3">
        <v>20000</v>
      </c>
      <c r="CI17" s="3">
        <v>20000</v>
      </c>
      <c r="CJ17" s="3">
        <v>20000</v>
      </c>
      <c r="CK17" s="3">
        <v>20000</v>
      </c>
      <c r="CL17" s="3">
        <v>20000</v>
      </c>
      <c r="CM17" s="3">
        <v>20000</v>
      </c>
      <c r="CN17" s="3">
        <v>20000</v>
      </c>
      <c r="CO17" s="3">
        <v>20000</v>
      </c>
      <c r="CP17" s="3">
        <v>20000</v>
      </c>
      <c r="CQ17" s="3">
        <v>20000</v>
      </c>
      <c r="CR17" s="3">
        <v>20000</v>
      </c>
      <c r="CS17" s="3">
        <v>20000</v>
      </c>
      <c r="CT17" s="3">
        <v>20000</v>
      </c>
      <c r="CU17" s="3">
        <v>20000</v>
      </c>
      <c r="CV17" s="3">
        <v>20000</v>
      </c>
      <c r="CW17" s="3">
        <v>20000</v>
      </c>
      <c r="CX17" s="3">
        <v>20000</v>
      </c>
      <c r="CY17" s="3">
        <v>20000</v>
      </c>
      <c r="CZ17" s="3">
        <v>20000</v>
      </c>
      <c r="DA17" s="3">
        <v>20000</v>
      </c>
      <c r="DB17" s="3">
        <v>20000</v>
      </c>
      <c r="DC17" s="3">
        <v>20000</v>
      </c>
      <c r="DD17" s="3">
        <v>20000</v>
      </c>
      <c r="DE17" s="3">
        <v>20000</v>
      </c>
      <c r="DF17" s="3">
        <v>20000</v>
      </c>
      <c r="DG17" s="3">
        <v>20000</v>
      </c>
      <c r="DH17" s="3">
        <v>20000</v>
      </c>
      <c r="DI17" s="3">
        <v>20000</v>
      </c>
      <c r="DJ17" s="3">
        <v>20000</v>
      </c>
      <c r="DK17" s="3">
        <v>20000</v>
      </c>
      <c r="DL17" s="3">
        <v>20000</v>
      </c>
      <c r="DM17" s="3">
        <v>20000</v>
      </c>
      <c r="DN17" s="3">
        <v>20000</v>
      </c>
      <c r="DO17" s="3">
        <v>20000</v>
      </c>
      <c r="DP17" s="3">
        <v>20000</v>
      </c>
      <c r="DQ17" s="3">
        <v>20000</v>
      </c>
      <c r="DR17" s="3">
        <v>20000</v>
      </c>
      <c r="DS17" s="3">
        <v>20000</v>
      </c>
      <c r="DT17" s="3">
        <v>20000</v>
      </c>
      <c r="DU17" s="3">
        <v>20000</v>
      </c>
      <c r="DV17" s="3">
        <v>20000</v>
      </c>
      <c r="DW17" s="3">
        <v>20000</v>
      </c>
      <c r="DX17" s="3">
        <v>20000</v>
      </c>
      <c r="DY17" s="3">
        <v>20000</v>
      </c>
      <c r="DZ17" s="3">
        <v>20000</v>
      </c>
      <c r="EA17" s="3">
        <v>20000</v>
      </c>
      <c r="EB17" s="3">
        <v>20000</v>
      </c>
      <c r="EC17" s="3">
        <v>20000</v>
      </c>
      <c r="ED17" s="3">
        <v>20000</v>
      </c>
      <c r="EE17" s="3">
        <v>20000</v>
      </c>
      <c r="EF17" s="3">
        <v>20000</v>
      </c>
      <c r="EG17" s="3">
        <v>20000</v>
      </c>
      <c r="EH17" s="3">
        <v>20000</v>
      </c>
      <c r="EI17" s="3">
        <v>20000</v>
      </c>
      <c r="EJ17" s="3">
        <v>20000</v>
      </c>
      <c r="EK17" s="3">
        <v>20000</v>
      </c>
      <c r="EL17" s="3">
        <v>20000</v>
      </c>
      <c r="EM17" s="3">
        <v>20000</v>
      </c>
      <c r="EN17" s="3">
        <v>20000</v>
      </c>
      <c r="EO17" s="3">
        <v>20000</v>
      </c>
      <c r="EP17" s="3">
        <v>20000</v>
      </c>
      <c r="EQ17" s="3">
        <v>20000</v>
      </c>
      <c r="ER17" s="3">
        <v>20000</v>
      </c>
      <c r="ES17" s="3">
        <v>20000</v>
      </c>
      <c r="ET17" s="3">
        <v>20000</v>
      </c>
      <c r="EU17" s="3">
        <v>20000</v>
      </c>
      <c r="EV17" s="3">
        <v>20000</v>
      </c>
      <c r="EW17" s="3">
        <v>20000</v>
      </c>
      <c r="EX17" s="3">
        <v>20000</v>
      </c>
      <c r="EY17" s="3">
        <v>20000</v>
      </c>
      <c r="EZ17" s="3">
        <v>20000</v>
      </c>
      <c r="FA17" s="3">
        <v>20000</v>
      </c>
      <c r="FB17" s="3">
        <v>20000</v>
      </c>
      <c r="FC17" s="3">
        <v>20000</v>
      </c>
      <c r="FD17" s="3">
        <v>20000</v>
      </c>
      <c r="FE17" s="3">
        <v>20000</v>
      </c>
      <c r="FF17" s="3">
        <v>20000</v>
      </c>
      <c r="FG17" s="3">
        <v>20000</v>
      </c>
      <c r="FH17" s="3">
        <v>20000</v>
      </c>
      <c r="FI17" s="3">
        <v>20000</v>
      </c>
    </row>
    <row r="18" spans="1:165" x14ac:dyDescent="0.3">
      <c r="A18" s="4" t="s">
        <v>3013</v>
      </c>
      <c r="B18" s="3">
        <v>20000</v>
      </c>
      <c r="C18" s="3">
        <v>20000</v>
      </c>
      <c r="D18" s="3">
        <v>20000</v>
      </c>
      <c r="E18" s="3">
        <v>20000</v>
      </c>
      <c r="F18" s="3">
        <v>20000</v>
      </c>
      <c r="G18" s="3">
        <v>20000</v>
      </c>
      <c r="H18" s="3">
        <v>20000</v>
      </c>
      <c r="I18" s="3">
        <v>20000</v>
      </c>
      <c r="J18" s="3">
        <v>20000</v>
      </c>
      <c r="K18" s="3">
        <v>20000</v>
      </c>
      <c r="L18" s="3">
        <v>20000</v>
      </c>
      <c r="M18" s="3">
        <v>20000</v>
      </c>
      <c r="N18" s="3">
        <v>20000</v>
      </c>
      <c r="O18" s="3">
        <v>20000</v>
      </c>
      <c r="P18" s="3">
        <v>20000</v>
      </c>
      <c r="Q18" s="3">
        <v>20000</v>
      </c>
      <c r="R18" s="3">
        <v>20000</v>
      </c>
      <c r="S18" s="3">
        <v>20000</v>
      </c>
      <c r="T18" s="3">
        <v>20000</v>
      </c>
      <c r="U18" s="3">
        <v>20000</v>
      </c>
      <c r="V18" s="3">
        <v>20000</v>
      </c>
      <c r="W18" s="3">
        <v>20000</v>
      </c>
      <c r="X18" s="3">
        <v>20000</v>
      </c>
      <c r="Y18" s="3">
        <v>20000</v>
      </c>
      <c r="Z18" s="3">
        <v>20000</v>
      </c>
      <c r="AA18" s="3">
        <v>20000</v>
      </c>
      <c r="AB18" s="3">
        <v>20000</v>
      </c>
      <c r="AC18" s="3">
        <v>20000</v>
      </c>
      <c r="AD18" s="3">
        <v>20000</v>
      </c>
      <c r="AE18" s="3">
        <v>20000</v>
      </c>
      <c r="AF18" s="3">
        <v>20000</v>
      </c>
      <c r="AG18" s="3">
        <v>20000</v>
      </c>
      <c r="AH18" s="3">
        <v>20000</v>
      </c>
      <c r="AI18" s="3">
        <v>20000</v>
      </c>
      <c r="AJ18" s="3">
        <v>20000</v>
      </c>
      <c r="AK18" s="3">
        <v>20000</v>
      </c>
      <c r="AL18" s="3">
        <v>20000</v>
      </c>
      <c r="AM18" s="3">
        <v>20000</v>
      </c>
      <c r="AN18" s="3">
        <v>20000</v>
      </c>
      <c r="AO18" s="3">
        <v>20000</v>
      </c>
      <c r="AP18" s="3">
        <v>20000</v>
      </c>
      <c r="AQ18" s="3">
        <v>20000</v>
      </c>
      <c r="AR18" s="3">
        <v>20000</v>
      </c>
      <c r="AS18" s="3">
        <v>20000</v>
      </c>
      <c r="AT18" s="3">
        <v>20000</v>
      </c>
      <c r="AU18" s="3">
        <v>20000</v>
      </c>
      <c r="AV18" s="3">
        <v>20000</v>
      </c>
      <c r="AW18" s="3">
        <v>20000</v>
      </c>
      <c r="AX18" s="3">
        <v>20000</v>
      </c>
      <c r="AY18" s="3">
        <v>20000</v>
      </c>
      <c r="AZ18" s="3">
        <v>20000</v>
      </c>
      <c r="BA18" s="3">
        <v>20000</v>
      </c>
      <c r="BB18" s="3">
        <v>20000</v>
      </c>
      <c r="BC18" s="3">
        <v>20000</v>
      </c>
      <c r="BD18" s="3">
        <v>20000</v>
      </c>
      <c r="BE18" s="3">
        <v>20000</v>
      </c>
      <c r="BF18" s="3">
        <v>20000</v>
      </c>
      <c r="BG18" s="3">
        <v>20000</v>
      </c>
      <c r="BH18" s="3">
        <v>20000</v>
      </c>
      <c r="BI18" s="3">
        <v>20000</v>
      </c>
      <c r="BJ18" s="3">
        <v>20000</v>
      </c>
      <c r="BK18" s="3">
        <v>20000</v>
      </c>
      <c r="BL18" s="3">
        <v>20000</v>
      </c>
      <c r="BM18" s="3">
        <v>20000</v>
      </c>
      <c r="BN18" s="3">
        <v>20000</v>
      </c>
      <c r="BO18" s="3">
        <v>20000</v>
      </c>
      <c r="BP18" s="3">
        <v>20000</v>
      </c>
      <c r="BQ18" s="3">
        <v>20000</v>
      </c>
      <c r="BR18" s="3">
        <v>20000</v>
      </c>
      <c r="BS18" s="3">
        <v>20000</v>
      </c>
      <c r="BT18" s="3">
        <v>20000</v>
      </c>
      <c r="BU18" s="3">
        <v>20000</v>
      </c>
      <c r="BV18" s="3">
        <v>20000</v>
      </c>
      <c r="BW18" s="3">
        <v>20000</v>
      </c>
      <c r="BX18" s="3">
        <v>20000</v>
      </c>
      <c r="BY18" s="3">
        <v>20000</v>
      </c>
      <c r="BZ18" s="3">
        <v>20000</v>
      </c>
      <c r="CA18" s="3">
        <v>20000</v>
      </c>
      <c r="CB18" s="3">
        <v>20000</v>
      </c>
      <c r="CC18" s="3">
        <v>20000</v>
      </c>
      <c r="CD18" s="3">
        <v>20000</v>
      </c>
      <c r="CE18" s="3">
        <v>20000</v>
      </c>
      <c r="CF18" s="3">
        <v>20000</v>
      </c>
      <c r="CG18" s="3">
        <v>20000</v>
      </c>
      <c r="CH18" s="3">
        <v>20000</v>
      </c>
      <c r="CI18" s="3">
        <v>20000</v>
      </c>
      <c r="CJ18" s="3">
        <v>20000</v>
      </c>
      <c r="CK18" s="3">
        <v>20000</v>
      </c>
      <c r="CL18" s="3">
        <v>20000</v>
      </c>
      <c r="CM18" s="3">
        <v>20000</v>
      </c>
      <c r="CN18" s="3">
        <v>20000</v>
      </c>
      <c r="CO18" s="3">
        <v>20000</v>
      </c>
      <c r="CP18" s="3">
        <v>20000</v>
      </c>
      <c r="CQ18" s="3">
        <v>20000</v>
      </c>
      <c r="CR18" s="3">
        <v>20000</v>
      </c>
      <c r="CS18" s="3">
        <v>20000</v>
      </c>
      <c r="CT18" s="3">
        <v>20000</v>
      </c>
      <c r="CU18" s="3">
        <v>20000</v>
      </c>
      <c r="CV18" s="3">
        <v>20000</v>
      </c>
      <c r="CW18" s="3">
        <v>20000</v>
      </c>
      <c r="CX18" s="3">
        <v>20000</v>
      </c>
      <c r="CY18" s="3">
        <v>20000</v>
      </c>
      <c r="CZ18" s="3">
        <v>20000</v>
      </c>
      <c r="DA18" s="3">
        <v>20000</v>
      </c>
      <c r="DB18" s="3">
        <v>20000</v>
      </c>
      <c r="DC18" s="3">
        <v>20000</v>
      </c>
      <c r="DD18" s="3">
        <v>20000</v>
      </c>
      <c r="DE18" s="3">
        <v>20000</v>
      </c>
      <c r="DF18" s="3">
        <v>20000</v>
      </c>
      <c r="DG18" s="3">
        <v>20000</v>
      </c>
      <c r="DH18" s="3">
        <v>20000</v>
      </c>
      <c r="DI18" s="3">
        <v>20000</v>
      </c>
      <c r="DJ18" s="3">
        <v>20000</v>
      </c>
      <c r="DK18" s="3">
        <v>20000</v>
      </c>
      <c r="DL18" s="3">
        <v>20000</v>
      </c>
      <c r="DM18" s="3">
        <v>20000</v>
      </c>
      <c r="DN18" s="3">
        <v>20000</v>
      </c>
      <c r="DO18" s="3">
        <v>20000</v>
      </c>
      <c r="DP18" s="3">
        <v>20000</v>
      </c>
      <c r="DQ18" s="3">
        <v>20000</v>
      </c>
      <c r="DR18" s="3">
        <v>20000</v>
      </c>
      <c r="DS18" s="3">
        <v>20000</v>
      </c>
      <c r="DT18" s="3">
        <v>20000</v>
      </c>
      <c r="DU18" s="3">
        <v>20000</v>
      </c>
      <c r="DV18" s="3">
        <v>20000</v>
      </c>
      <c r="DW18" s="3">
        <v>20000</v>
      </c>
      <c r="DX18" s="3">
        <v>20000</v>
      </c>
      <c r="DY18" s="3">
        <v>20000</v>
      </c>
      <c r="DZ18" s="3">
        <v>20000</v>
      </c>
      <c r="EA18" s="3">
        <v>20000</v>
      </c>
      <c r="EB18" s="3">
        <v>20000</v>
      </c>
      <c r="EC18" s="3">
        <v>20000</v>
      </c>
      <c r="ED18" s="3">
        <v>20000</v>
      </c>
      <c r="EE18" s="3">
        <v>20000</v>
      </c>
      <c r="EF18" s="3">
        <v>20000</v>
      </c>
      <c r="EG18" s="3">
        <v>20000</v>
      </c>
      <c r="EH18" s="3">
        <v>20000</v>
      </c>
      <c r="EI18" s="3">
        <v>20000</v>
      </c>
      <c r="EJ18" s="3">
        <v>20000</v>
      </c>
      <c r="EK18" s="3">
        <v>20000</v>
      </c>
      <c r="EL18" s="3">
        <v>20000</v>
      </c>
      <c r="EM18" s="3">
        <v>20000</v>
      </c>
      <c r="EN18" s="3">
        <v>20000</v>
      </c>
      <c r="EO18" s="3">
        <v>20000</v>
      </c>
      <c r="EP18" s="3">
        <v>20000</v>
      </c>
      <c r="EQ18" s="3">
        <v>20000</v>
      </c>
      <c r="ER18" s="3">
        <v>20000</v>
      </c>
      <c r="ES18" s="3">
        <v>20000</v>
      </c>
      <c r="ET18" s="3">
        <v>20000</v>
      </c>
      <c r="EU18" s="3">
        <v>20000</v>
      </c>
      <c r="EV18" s="3">
        <v>20000</v>
      </c>
      <c r="EW18" s="3">
        <v>20000</v>
      </c>
      <c r="EX18" s="3">
        <v>20000</v>
      </c>
      <c r="EY18" s="3">
        <v>20000</v>
      </c>
      <c r="EZ18" s="3">
        <v>20000</v>
      </c>
      <c r="FA18" s="3">
        <v>20000</v>
      </c>
      <c r="FB18" s="3">
        <v>20000</v>
      </c>
      <c r="FC18" s="3">
        <v>20000</v>
      </c>
      <c r="FD18" s="3">
        <v>20000</v>
      </c>
      <c r="FE18" s="3">
        <v>20000</v>
      </c>
      <c r="FF18" s="3">
        <v>20000</v>
      </c>
      <c r="FG18" s="3">
        <v>20000</v>
      </c>
      <c r="FH18" s="3">
        <v>20000</v>
      </c>
      <c r="FI18" s="3">
        <v>20000</v>
      </c>
    </row>
    <row r="19" spans="1:165" x14ac:dyDescent="0.3">
      <c r="A19" s="4" t="s">
        <v>3014</v>
      </c>
      <c r="B19" s="3">
        <v>20000</v>
      </c>
      <c r="C19" s="3">
        <v>20000</v>
      </c>
      <c r="D19" s="3">
        <v>20000</v>
      </c>
      <c r="E19" s="3">
        <v>20000</v>
      </c>
      <c r="F19" s="3">
        <v>20000</v>
      </c>
      <c r="G19" s="3">
        <v>20000</v>
      </c>
      <c r="H19" s="3">
        <v>20000</v>
      </c>
      <c r="I19" s="3">
        <v>20000</v>
      </c>
      <c r="J19" s="3">
        <v>20000</v>
      </c>
      <c r="K19" s="3">
        <v>20000</v>
      </c>
      <c r="L19" s="3">
        <v>20000</v>
      </c>
      <c r="M19" s="3">
        <v>20000</v>
      </c>
      <c r="N19" s="3">
        <v>20000</v>
      </c>
      <c r="O19" s="3">
        <v>20000</v>
      </c>
      <c r="P19" s="3">
        <v>20000</v>
      </c>
      <c r="Q19" s="3">
        <v>20000</v>
      </c>
      <c r="R19" s="3">
        <v>20000</v>
      </c>
      <c r="S19" s="3">
        <v>20000</v>
      </c>
      <c r="T19" s="3">
        <v>20000</v>
      </c>
      <c r="U19" s="3">
        <v>20000</v>
      </c>
      <c r="V19" s="3">
        <v>20000</v>
      </c>
      <c r="W19" s="3">
        <v>20000</v>
      </c>
      <c r="X19" s="3">
        <v>20000</v>
      </c>
      <c r="Y19" s="3">
        <v>20000</v>
      </c>
      <c r="Z19" s="3">
        <v>20000</v>
      </c>
      <c r="AA19" s="3">
        <v>20000</v>
      </c>
      <c r="AB19" s="3">
        <v>20000</v>
      </c>
      <c r="AC19" s="3">
        <v>20000</v>
      </c>
      <c r="AD19" s="3">
        <v>20000</v>
      </c>
      <c r="AE19" s="3">
        <v>20000</v>
      </c>
      <c r="AF19" s="3">
        <v>20000</v>
      </c>
      <c r="AG19" s="3">
        <v>20000</v>
      </c>
      <c r="AH19" s="3">
        <v>20000</v>
      </c>
      <c r="AI19" s="3">
        <v>20000</v>
      </c>
      <c r="AJ19" s="3">
        <v>20000</v>
      </c>
      <c r="AK19" s="3">
        <v>20000</v>
      </c>
      <c r="AL19" s="3">
        <v>20000</v>
      </c>
      <c r="AM19" s="3">
        <v>20000</v>
      </c>
      <c r="AN19" s="3">
        <v>20000</v>
      </c>
      <c r="AO19" s="3">
        <v>20000</v>
      </c>
      <c r="AP19" s="3">
        <v>20000</v>
      </c>
      <c r="AQ19" s="3">
        <v>20000</v>
      </c>
      <c r="AR19" s="3">
        <v>20000</v>
      </c>
      <c r="AS19" s="3">
        <v>20000</v>
      </c>
      <c r="AT19" s="3">
        <v>20000</v>
      </c>
      <c r="AU19" s="3">
        <v>20000</v>
      </c>
      <c r="AV19" s="3">
        <v>20000</v>
      </c>
      <c r="AW19" s="3">
        <v>20000</v>
      </c>
      <c r="AX19" s="3">
        <v>20000</v>
      </c>
      <c r="AY19" s="3">
        <v>20000</v>
      </c>
      <c r="AZ19" s="3">
        <v>20000</v>
      </c>
      <c r="BA19" s="3">
        <v>20000</v>
      </c>
      <c r="BB19" s="3">
        <v>20000</v>
      </c>
      <c r="BC19" s="3">
        <v>20000</v>
      </c>
      <c r="BD19" s="3">
        <v>20000</v>
      </c>
      <c r="BE19" s="3">
        <v>20000</v>
      </c>
      <c r="BF19" s="3">
        <v>20000</v>
      </c>
      <c r="BG19" s="3">
        <v>20000</v>
      </c>
      <c r="BH19" s="3">
        <v>20000</v>
      </c>
      <c r="BI19" s="3">
        <v>20000</v>
      </c>
      <c r="BJ19" s="3">
        <v>20000</v>
      </c>
      <c r="BK19" s="3">
        <v>20000</v>
      </c>
      <c r="BL19" s="3">
        <v>20000</v>
      </c>
      <c r="BM19" s="3">
        <v>20000</v>
      </c>
      <c r="BN19" s="3">
        <v>20000</v>
      </c>
      <c r="BO19" s="3">
        <v>20000</v>
      </c>
      <c r="BP19" s="3">
        <v>20000</v>
      </c>
      <c r="BQ19" s="3">
        <v>20000</v>
      </c>
      <c r="BR19" s="3">
        <v>20000</v>
      </c>
      <c r="BS19" s="3">
        <v>20000</v>
      </c>
      <c r="BT19" s="3">
        <v>20000</v>
      </c>
      <c r="BU19" s="3">
        <v>20000</v>
      </c>
      <c r="BV19" s="3">
        <v>20000</v>
      </c>
      <c r="BW19" s="3">
        <v>20000</v>
      </c>
      <c r="BX19" s="3">
        <v>20000</v>
      </c>
      <c r="BY19" s="3">
        <v>20000</v>
      </c>
      <c r="BZ19" s="3">
        <v>20000</v>
      </c>
      <c r="CA19" s="3">
        <v>20000</v>
      </c>
      <c r="CB19" s="3">
        <v>20000</v>
      </c>
      <c r="CC19" s="3">
        <v>20000</v>
      </c>
      <c r="CD19" s="3">
        <v>20000</v>
      </c>
      <c r="CE19" s="3">
        <v>20000</v>
      </c>
      <c r="CF19" s="3">
        <v>20000</v>
      </c>
      <c r="CG19" s="3">
        <v>20000</v>
      </c>
      <c r="CH19" s="3">
        <v>20000</v>
      </c>
      <c r="CI19" s="3">
        <v>20000</v>
      </c>
      <c r="CJ19" s="3">
        <v>20000</v>
      </c>
      <c r="CK19" s="3">
        <v>20000</v>
      </c>
      <c r="CL19" s="3">
        <v>20000</v>
      </c>
      <c r="CM19" s="3">
        <v>20000</v>
      </c>
      <c r="CN19" s="3">
        <v>20000</v>
      </c>
      <c r="CO19" s="3">
        <v>20000</v>
      </c>
      <c r="CP19" s="3">
        <v>20000</v>
      </c>
      <c r="CQ19" s="3">
        <v>20000</v>
      </c>
      <c r="CR19" s="3">
        <v>20000</v>
      </c>
      <c r="CS19" s="3">
        <v>20000</v>
      </c>
      <c r="CT19" s="3">
        <v>20000</v>
      </c>
      <c r="CU19" s="3">
        <v>20000</v>
      </c>
      <c r="CV19" s="3">
        <v>20000</v>
      </c>
      <c r="CW19" s="3">
        <v>20000</v>
      </c>
      <c r="CX19" s="3">
        <v>20000</v>
      </c>
      <c r="CY19" s="3">
        <v>20000</v>
      </c>
      <c r="CZ19" s="3">
        <v>20000</v>
      </c>
      <c r="DA19" s="3">
        <v>20000</v>
      </c>
      <c r="DB19" s="3">
        <v>20000</v>
      </c>
      <c r="DC19" s="3">
        <v>20000</v>
      </c>
      <c r="DD19" s="3">
        <v>20000</v>
      </c>
      <c r="DE19" s="3">
        <v>20000</v>
      </c>
      <c r="DF19" s="3">
        <v>20000</v>
      </c>
      <c r="DG19" s="3">
        <v>20000</v>
      </c>
      <c r="DH19" s="3">
        <v>20000</v>
      </c>
      <c r="DI19" s="3">
        <v>20000</v>
      </c>
      <c r="DJ19" s="3">
        <v>20000</v>
      </c>
      <c r="DK19" s="3">
        <v>20000</v>
      </c>
      <c r="DL19" s="3">
        <v>20000</v>
      </c>
      <c r="DM19" s="3">
        <v>20000</v>
      </c>
      <c r="DN19" s="3">
        <v>20000</v>
      </c>
      <c r="DO19" s="3">
        <v>20000</v>
      </c>
      <c r="DP19" s="3">
        <v>20000</v>
      </c>
      <c r="DQ19" s="3">
        <v>20000</v>
      </c>
      <c r="DR19" s="3">
        <v>20000</v>
      </c>
      <c r="DS19" s="3">
        <v>20000</v>
      </c>
      <c r="DT19" s="3">
        <v>20000</v>
      </c>
      <c r="DU19" s="3">
        <v>20000</v>
      </c>
      <c r="DV19" s="3">
        <v>20000</v>
      </c>
      <c r="DW19" s="3">
        <v>20000</v>
      </c>
      <c r="DX19" s="3">
        <v>20000</v>
      </c>
      <c r="DY19" s="3">
        <v>20000</v>
      </c>
      <c r="DZ19" s="3">
        <v>20000</v>
      </c>
      <c r="EA19" s="3">
        <v>20000</v>
      </c>
      <c r="EB19" s="3">
        <v>20000</v>
      </c>
      <c r="EC19" s="3">
        <v>20000</v>
      </c>
      <c r="ED19" s="3">
        <v>20000</v>
      </c>
      <c r="EE19" s="3">
        <v>20000</v>
      </c>
      <c r="EF19" s="3">
        <v>20000</v>
      </c>
      <c r="EG19" s="3">
        <v>20000</v>
      </c>
      <c r="EH19" s="3">
        <v>20000</v>
      </c>
      <c r="EI19" s="3">
        <v>20000</v>
      </c>
      <c r="EJ19" s="3">
        <v>20000</v>
      </c>
      <c r="EK19" s="3">
        <v>20000</v>
      </c>
      <c r="EL19" s="3">
        <v>20000</v>
      </c>
      <c r="EM19" s="3">
        <v>20000</v>
      </c>
      <c r="EN19" s="3">
        <v>20000</v>
      </c>
      <c r="EO19" s="3">
        <v>20000</v>
      </c>
      <c r="EP19" s="3">
        <v>20000</v>
      </c>
      <c r="EQ19" s="3">
        <v>20000</v>
      </c>
      <c r="ER19" s="3">
        <v>20000</v>
      </c>
      <c r="ES19" s="3">
        <v>20000</v>
      </c>
      <c r="ET19" s="3">
        <v>20000</v>
      </c>
      <c r="EU19" s="3">
        <v>20000</v>
      </c>
      <c r="EV19" s="3">
        <v>20000</v>
      </c>
      <c r="EW19" s="3">
        <v>20000</v>
      </c>
      <c r="EX19" s="3">
        <v>20000</v>
      </c>
      <c r="EY19" s="3">
        <v>20000</v>
      </c>
      <c r="EZ19" s="3">
        <v>20000</v>
      </c>
      <c r="FA19" s="3">
        <v>20000</v>
      </c>
      <c r="FB19" s="3">
        <v>20000</v>
      </c>
      <c r="FC19" s="3">
        <v>20000</v>
      </c>
      <c r="FD19" s="3">
        <v>20000</v>
      </c>
      <c r="FE19" s="3">
        <v>20000</v>
      </c>
      <c r="FF19" s="3">
        <v>20000</v>
      </c>
      <c r="FG19" s="3">
        <v>20000</v>
      </c>
      <c r="FH19" s="3">
        <v>20000</v>
      </c>
      <c r="FI19" s="3">
        <v>20000</v>
      </c>
    </row>
    <row r="20" spans="1:165" x14ac:dyDescent="0.3">
      <c r="A20" s="4" t="s">
        <v>3015</v>
      </c>
      <c r="B20" s="3">
        <v>20000</v>
      </c>
      <c r="C20" s="3">
        <v>20000</v>
      </c>
      <c r="D20" s="3">
        <v>20000</v>
      </c>
      <c r="E20" s="3">
        <v>20000</v>
      </c>
      <c r="F20" s="3">
        <v>20000</v>
      </c>
      <c r="G20" s="3">
        <v>20000</v>
      </c>
      <c r="H20" s="3">
        <v>20000</v>
      </c>
      <c r="I20" s="3">
        <v>20000</v>
      </c>
      <c r="J20" s="3">
        <v>20000</v>
      </c>
      <c r="K20" s="3">
        <v>20000</v>
      </c>
      <c r="L20" s="3">
        <v>20000</v>
      </c>
      <c r="M20" s="3">
        <v>20000</v>
      </c>
      <c r="N20" s="3">
        <v>20000</v>
      </c>
      <c r="O20" s="3">
        <v>20000</v>
      </c>
      <c r="P20" s="3">
        <v>20000</v>
      </c>
      <c r="Q20" s="3">
        <v>20000</v>
      </c>
      <c r="R20" s="3">
        <v>20000</v>
      </c>
      <c r="S20" s="3">
        <v>20000</v>
      </c>
      <c r="T20" s="3">
        <v>20000</v>
      </c>
      <c r="U20" s="3">
        <v>20000</v>
      </c>
      <c r="V20" s="3">
        <v>20000</v>
      </c>
      <c r="W20" s="3">
        <v>20000</v>
      </c>
      <c r="X20" s="3">
        <v>20000</v>
      </c>
      <c r="Y20" s="3">
        <v>20000</v>
      </c>
      <c r="Z20" s="3">
        <v>20000</v>
      </c>
      <c r="AA20" s="3">
        <v>20000</v>
      </c>
      <c r="AB20" s="3">
        <v>20000</v>
      </c>
      <c r="AC20" s="3">
        <v>20000</v>
      </c>
      <c r="AD20" s="3">
        <v>20000</v>
      </c>
      <c r="AE20" s="3">
        <v>20000</v>
      </c>
      <c r="AF20" s="3">
        <v>20000</v>
      </c>
      <c r="AG20" s="3">
        <v>20000</v>
      </c>
      <c r="AH20" s="3">
        <v>20000</v>
      </c>
      <c r="AI20" s="3">
        <v>20000</v>
      </c>
      <c r="AJ20" s="3">
        <v>20000</v>
      </c>
      <c r="AK20" s="3">
        <v>20000</v>
      </c>
      <c r="AL20" s="3">
        <v>20000</v>
      </c>
      <c r="AM20" s="3">
        <v>20000</v>
      </c>
      <c r="AN20" s="3">
        <v>20000</v>
      </c>
      <c r="AO20" s="3">
        <v>20000</v>
      </c>
      <c r="AP20" s="3">
        <v>20000</v>
      </c>
      <c r="AQ20" s="3">
        <v>20000</v>
      </c>
      <c r="AR20" s="3">
        <v>20000</v>
      </c>
      <c r="AS20" s="3">
        <v>20000</v>
      </c>
      <c r="AT20" s="3">
        <v>20000</v>
      </c>
      <c r="AU20" s="3">
        <v>20000</v>
      </c>
      <c r="AV20" s="3">
        <v>20000</v>
      </c>
      <c r="AW20" s="3">
        <v>20000</v>
      </c>
      <c r="AX20" s="3">
        <v>20000</v>
      </c>
      <c r="AY20" s="3">
        <v>20000</v>
      </c>
      <c r="AZ20" s="3">
        <v>20000</v>
      </c>
      <c r="BA20" s="3">
        <v>20000</v>
      </c>
      <c r="BB20" s="3">
        <v>20000</v>
      </c>
      <c r="BC20" s="3">
        <v>20000</v>
      </c>
      <c r="BD20" s="3">
        <v>20000</v>
      </c>
      <c r="BE20" s="3">
        <v>20000</v>
      </c>
      <c r="BF20" s="3">
        <v>20000</v>
      </c>
      <c r="BG20" s="3">
        <v>20000</v>
      </c>
      <c r="BH20" s="3">
        <v>20000</v>
      </c>
      <c r="BI20" s="3">
        <v>20000</v>
      </c>
      <c r="BJ20" s="3">
        <v>20000</v>
      </c>
      <c r="BK20" s="3">
        <v>20000</v>
      </c>
      <c r="BL20" s="3">
        <v>20000</v>
      </c>
      <c r="BM20" s="3">
        <v>20000</v>
      </c>
      <c r="BN20" s="3">
        <v>20000</v>
      </c>
      <c r="BO20" s="3">
        <v>20000</v>
      </c>
      <c r="BP20" s="3">
        <v>20000</v>
      </c>
      <c r="BQ20" s="3">
        <v>20000</v>
      </c>
      <c r="BR20" s="3">
        <v>20000</v>
      </c>
      <c r="BS20" s="3">
        <v>20000</v>
      </c>
      <c r="BT20" s="3">
        <v>20000</v>
      </c>
      <c r="BU20" s="3">
        <v>20000</v>
      </c>
      <c r="BV20" s="3">
        <v>20000</v>
      </c>
      <c r="BW20" s="3">
        <v>20000</v>
      </c>
      <c r="BX20" s="3">
        <v>20000</v>
      </c>
      <c r="BY20" s="3">
        <v>20000</v>
      </c>
      <c r="BZ20" s="3">
        <v>20000</v>
      </c>
      <c r="CA20" s="3">
        <v>20000</v>
      </c>
      <c r="CB20" s="3">
        <v>20000</v>
      </c>
      <c r="CC20" s="3">
        <v>20000</v>
      </c>
      <c r="CD20" s="3">
        <v>20000</v>
      </c>
      <c r="CE20" s="3">
        <v>20000</v>
      </c>
      <c r="CF20" s="3">
        <v>20000</v>
      </c>
      <c r="CG20" s="3">
        <v>20000</v>
      </c>
      <c r="CH20" s="3">
        <v>20000</v>
      </c>
      <c r="CI20" s="3">
        <v>20000</v>
      </c>
      <c r="CJ20" s="3">
        <v>20000</v>
      </c>
      <c r="CK20" s="3">
        <v>20000</v>
      </c>
      <c r="CL20" s="3">
        <v>20000</v>
      </c>
      <c r="CM20" s="3">
        <v>20000</v>
      </c>
      <c r="CN20" s="3">
        <v>20000</v>
      </c>
      <c r="CO20" s="3">
        <v>20000</v>
      </c>
      <c r="CP20" s="3">
        <v>20000</v>
      </c>
      <c r="CQ20" s="3">
        <v>20000</v>
      </c>
      <c r="CR20" s="3">
        <v>20000</v>
      </c>
      <c r="CS20" s="3">
        <v>20000</v>
      </c>
      <c r="CT20" s="3">
        <v>20000</v>
      </c>
      <c r="CU20" s="3">
        <v>20000</v>
      </c>
      <c r="CV20" s="3">
        <v>20000</v>
      </c>
      <c r="CW20" s="3">
        <v>20000</v>
      </c>
      <c r="CX20" s="3">
        <v>20000</v>
      </c>
      <c r="CY20" s="3">
        <v>20000</v>
      </c>
      <c r="CZ20" s="3">
        <v>20000</v>
      </c>
      <c r="DA20" s="3">
        <v>20000</v>
      </c>
      <c r="DB20" s="3">
        <v>20000</v>
      </c>
      <c r="DC20" s="3">
        <v>20000</v>
      </c>
      <c r="DD20" s="3">
        <v>20000</v>
      </c>
      <c r="DE20" s="3">
        <v>20000</v>
      </c>
      <c r="DF20" s="3">
        <v>20000</v>
      </c>
      <c r="DG20" s="3">
        <v>20000</v>
      </c>
      <c r="DH20" s="3">
        <v>20000</v>
      </c>
      <c r="DI20" s="3">
        <v>20000</v>
      </c>
      <c r="DJ20" s="3">
        <v>20000</v>
      </c>
      <c r="DK20" s="3">
        <v>20000</v>
      </c>
      <c r="DL20" s="3">
        <v>20000</v>
      </c>
      <c r="DM20" s="3">
        <v>20000</v>
      </c>
      <c r="DN20" s="3">
        <v>20000</v>
      </c>
      <c r="DO20" s="3">
        <v>20000</v>
      </c>
      <c r="DP20" s="3">
        <v>20000</v>
      </c>
      <c r="DQ20" s="3">
        <v>20000</v>
      </c>
      <c r="DR20" s="3">
        <v>20000</v>
      </c>
      <c r="DS20" s="3">
        <v>20000</v>
      </c>
      <c r="DT20" s="3">
        <v>20000</v>
      </c>
      <c r="DU20" s="3">
        <v>20000</v>
      </c>
      <c r="DV20" s="3">
        <v>20000</v>
      </c>
      <c r="DW20" s="3">
        <v>20000</v>
      </c>
      <c r="DX20" s="3">
        <v>20000</v>
      </c>
      <c r="DY20" s="3">
        <v>20000</v>
      </c>
      <c r="DZ20" s="3">
        <v>20000</v>
      </c>
      <c r="EA20" s="3">
        <v>20000</v>
      </c>
      <c r="EB20" s="3">
        <v>20000</v>
      </c>
      <c r="EC20" s="3">
        <v>20000</v>
      </c>
      <c r="ED20" s="3">
        <v>20000</v>
      </c>
      <c r="EE20" s="3">
        <v>20000</v>
      </c>
      <c r="EF20" s="3">
        <v>20000</v>
      </c>
      <c r="EG20" s="3">
        <v>20000</v>
      </c>
      <c r="EH20" s="3">
        <v>20000</v>
      </c>
      <c r="EI20" s="3">
        <v>20000</v>
      </c>
      <c r="EJ20" s="3">
        <v>20000</v>
      </c>
      <c r="EK20" s="3">
        <v>20000</v>
      </c>
      <c r="EL20" s="3">
        <v>20000</v>
      </c>
      <c r="EM20" s="3">
        <v>20000</v>
      </c>
      <c r="EN20" s="3">
        <v>20000</v>
      </c>
      <c r="EO20" s="3">
        <v>20000</v>
      </c>
      <c r="EP20" s="3">
        <v>20000</v>
      </c>
      <c r="EQ20" s="3">
        <v>20000</v>
      </c>
      <c r="ER20" s="3">
        <v>20000</v>
      </c>
      <c r="ES20" s="3">
        <v>20000</v>
      </c>
      <c r="ET20" s="3">
        <v>20000</v>
      </c>
      <c r="EU20" s="3">
        <v>20000</v>
      </c>
      <c r="EV20" s="3">
        <v>20000</v>
      </c>
      <c r="EW20" s="3">
        <v>20000</v>
      </c>
      <c r="EX20" s="3">
        <v>20000</v>
      </c>
      <c r="EY20" s="3">
        <v>20000</v>
      </c>
      <c r="EZ20" s="3">
        <v>20000</v>
      </c>
      <c r="FA20" s="3">
        <v>20000</v>
      </c>
      <c r="FB20" s="3">
        <v>20000</v>
      </c>
      <c r="FC20" s="3">
        <v>20000</v>
      </c>
      <c r="FD20" s="3">
        <v>20000</v>
      </c>
      <c r="FE20" s="3">
        <v>20000</v>
      </c>
      <c r="FF20" s="3">
        <v>20000</v>
      </c>
      <c r="FG20" s="3">
        <v>20000</v>
      </c>
      <c r="FH20" s="3">
        <v>20000</v>
      </c>
      <c r="FI20" s="3">
        <v>20000</v>
      </c>
    </row>
    <row r="21" spans="1:165" x14ac:dyDescent="0.3">
      <c r="A21" s="4" t="s">
        <v>3016</v>
      </c>
      <c r="B21" s="3">
        <v>20000</v>
      </c>
      <c r="C21" s="3">
        <v>20000</v>
      </c>
      <c r="D21" s="3">
        <v>20000</v>
      </c>
      <c r="E21" s="3">
        <v>20000</v>
      </c>
      <c r="F21" s="3">
        <v>20000</v>
      </c>
      <c r="G21" s="3">
        <v>20000</v>
      </c>
      <c r="H21" s="3">
        <v>20000</v>
      </c>
      <c r="I21" s="3">
        <v>20000</v>
      </c>
      <c r="J21" s="3">
        <v>20000</v>
      </c>
      <c r="K21" s="3">
        <v>20000</v>
      </c>
      <c r="L21" s="3">
        <v>20000</v>
      </c>
      <c r="M21" s="3">
        <v>20000</v>
      </c>
      <c r="N21" s="3">
        <v>20000</v>
      </c>
      <c r="O21" s="3">
        <v>20000</v>
      </c>
      <c r="P21" s="3">
        <v>20000</v>
      </c>
      <c r="Q21" s="3">
        <v>20000</v>
      </c>
      <c r="R21" s="3">
        <v>20000</v>
      </c>
      <c r="S21" s="3">
        <v>20000</v>
      </c>
      <c r="T21" s="3">
        <v>20000</v>
      </c>
      <c r="U21" s="3">
        <v>20000</v>
      </c>
      <c r="V21" s="3">
        <v>20000</v>
      </c>
      <c r="W21" s="3">
        <v>20000</v>
      </c>
      <c r="X21" s="3">
        <v>20000</v>
      </c>
      <c r="Y21" s="3">
        <v>20000</v>
      </c>
      <c r="Z21" s="3">
        <v>20000</v>
      </c>
      <c r="AA21" s="3">
        <v>20000</v>
      </c>
      <c r="AB21" s="3">
        <v>20000</v>
      </c>
      <c r="AC21" s="3">
        <v>20000</v>
      </c>
      <c r="AD21" s="3">
        <v>20000</v>
      </c>
      <c r="AE21" s="3">
        <v>20000</v>
      </c>
      <c r="AF21" s="3">
        <v>20000</v>
      </c>
      <c r="AG21" s="3">
        <v>20000</v>
      </c>
      <c r="AH21" s="3">
        <v>20000</v>
      </c>
      <c r="AI21" s="3">
        <v>20000</v>
      </c>
      <c r="AJ21" s="3">
        <v>20000</v>
      </c>
      <c r="AK21" s="3">
        <v>20000</v>
      </c>
      <c r="AL21" s="3">
        <v>20000</v>
      </c>
      <c r="AM21" s="3">
        <v>20000</v>
      </c>
      <c r="AN21" s="3">
        <v>20000</v>
      </c>
      <c r="AO21" s="3">
        <v>20000</v>
      </c>
      <c r="AP21" s="3">
        <v>20000</v>
      </c>
      <c r="AQ21" s="3">
        <v>20000</v>
      </c>
      <c r="AR21" s="3">
        <v>20000</v>
      </c>
      <c r="AS21" s="3">
        <v>20000</v>
      </c>
      <c r="AT21" s="3">
        <v>20000</v>
      </c>
      <c r="AU21" s="3">
        <v>20000</v>
      </c>
      <c r="AV21" s="3">
        <v>20000</v>
      </c>
      <c r="AW21" s="3">
        <v>20000</v>
      </c>
      <c r="AX21" s="3">
        <v>20000</v>
      </c>
      <c r="AY21" s="3">
        <v>20000</v>
      </c>
      <c r="AZ21" s="3">
        <v>20000</v>
      </c>
      <c r="BA21" s="3">
        <v>20000</v>
      </c>
      <c r="BB21" s="3">
        <v>20000</v>
      </c>
      <c r="BC21" s="3">
        <v>20000</v>
      </c>
      <c r="BD21" s="3">
        <v>20000</v>
      </c>
      <c r="BE21" s="3">
        <v>20000</v>
      </c>
      <c r="BF21" s="3">
        <v>20000</v>
      </c>
      <c r="BG21" s="3">
        <v>20000</v>
      </c>
      <c r="BH21" s="3">
        <v>20000</v>
      </c>
      <c r="BI21" s="3">
        <v>20000</v>
      </c>
      <c r="BJ21" s="3">
        <v>20000</v>
      </c>
      <c r="BK21" s="3">
        <v>20000</v>
      </c>
      <c r="BL21" s="3">
        <v>20000</v>
      </c>
      <c r="BM21" s="3">
        <v>20000</v>
      </c>
      <c r="BN21" s="3">
        <v>20000</v>
      </c>
      <c r="BO21" s="3">
        <v>20000</v>
      </c>
      <c r="BP21" s="3">
        <v>20000</v>
      </c>
      <c r="BQ21" s="3">
        <v>20000</v>
      </c>
      <c r="BR21" s="3">
        <v>20000</v>
      </c>
      <c r="BS21" s="3">
        <v>20000</v>
      </c>
      <c r="BT21" s="3">
        <v>20000</v>
      </c>
      <c r="BU21" s="3">
        <v>20000</v>
      </c>
      <c r="BV21" s="3">
        <v>20000</v>
      </c>
      <c r="BW21" s="3">
        <v>20000</v>
      </c>
      <c r="BX21" s="3">
        <v>20000</v>
      </c>
      <c r="BY21" s="3">
        <v>20000</v>
      </c>
      <c r="BZ21" s="3">
        <v>20000</v>
      </c>
      <c r="CA21" s="3">
        <v>20000</v>
      </c>
      <c r="CB21" s="3">
        <v>20000</v>
      </c>
      <c r="CC21" s="3">
        <v>20000</v>
      </c>
      <c r="CD21" s="3">
        <v>20000</v>
      </c>
      <c r="CE21" s="3">
        <v>20000</v>
      </c>
      <c r="CF21" s="3">
        <v>20000</v>
      </c>
      <c r="CG21" s="3">
        <v>20000</v>
      </c>
      <c r="CH21" s="3">
        <v>20000</v>
      </c>
      <c r="CI21" s="3">
        <v>20000</v>
      </c>
      <c r="CJ21" s="3">
        <v>20000</v>
      </c>
      <c r="CK21" s="3">
        <v>20000</v>
      </c>
      <c r="CL21" s="3">
        <v>20000</v>
      </c>
      <c r="CM21" s="3">
        <v>20000</v>
      </c>
      <c r="CN21" s="3">
        <v>20000</v>
      </c>
      <c r="CO21" s="3">
        <v>20000</v>
      </c>
      <c r="CP21" s="3">
        <v>20000</v>
      </c>
      <c r="CQ21" s="3">
        <v>20000</v>
      </c>
      <c r="CR21" s="3">
        <v>20000</v>
      </c>
      <c r="CS21" s="3">
        <v>20000</v>
      </c>
      <c r="CT21" s="3">
        <v>20000</v>
      </c>
      <c r="CU21" s="3">
        <v>20000</v>
      </c>
      <c r="CV21" s="3">
        <v>20000</v>
      </c>
      <c r="CW21" s="3">
        <v>20000</v>
      </c>
      <c r="CX21" s="3">
        <v>20000</v>
      </c>
      <c r="CY21" s="3">
        <v>20000</v>
      </c>
      <c r="CZ21" s="3">
        <v>20000</v>
      </c>
      <c r="DA21" s="3">
        <v>20000</v>
      </c>
      <c r="DB21" s="3">
        <v>20000</v>
      </c>
      <c r="DC21" s="3">
        <v>20000</v>
      </c>
      <c r="DD21" s="3">
        <v>20000</v>
      </c>
      <c r="DE21" s="3">
        <v>20000</v>
      </c>
      <c r="DF21" s="3">
        <v>20000</v>
      </c>
      <c r="DG21" s="3">
        <v>20000</v>
      </c>
      <c r="DH21" s="3">
        <v>20000</v>
      </c>
      <c r="DI21" s="3">
        <v>20000</v>
      </c>
      <c r="DJ21" s="3">
        <v>20000</v>
      </c>
      <c r="DK21" s="3">
        <v>20000</v>
      </c>
      <c r="DL21" s="3">
        <v>20000</v>
      </c>
      <c r="DM21" s="3">
        <v>20000</v>
      </c>
      <c r="DN21" s="3">
        <v>20000</v>
      </c>
      <c r="DO21" s="3">
        <v>20000</v>
      </c>
      <c r="DP21" s="3">
        <v>20000</v>
      </c>
      <c r="DQ21" s="3">
        <v>20000</v>
      </c>
      <c r="DR21" s="3">
        <v>20000</v>
      </c>
      <c r="DS21" s="3">
        <v>20000</v>
      </c>
      <c r="DT21" s="3">
        <v>20000</v>
      </c>
      <c r="DU21" s="3">
        <v>20000</v>
      </c>
      <c r="DV21" s="3">
        <v>20000</v>
      </c>
      <c r="DW21" s="3">
        <v>20000</v>
      </c>
      <c r="DX21" s="3">
        <v>20000</v>
      </c>
      <c r="DY21" s="3">
        <v>20000</v>
      </c>
      <c r="DZ21" s="3">
        <v>20000</v>
      </c>
      <c r="EA21" s="3">
        <v>20000</v>
      </c>
      <c r="EB21" s="3">
        <v>20000</v>
      </c>
      <c r="EC21" s="3">
        <v>20000</v>
      </c>
      <c r="ED21" s="3">
        <v>20000</v>
      </c>
      <c r="EE21" s="3">
        <v>20000</v>
      </c>
      <c r="EF21" s="3">
        <v>20000</v>
      </c>
      <c r="EG21" s="3">
        <v>20000</v>
      </c>
      <c r="EH21" s="3">
        <v>20000</v>
      </c>
      <c r="EI21" s="3">
        <v>20000</v>
      </c>
      <c r="EJ21" s="3">
        <v>20000</v>
      </c>
      <c r="EK21" s="3">
        <v>20000</v>
      </c>
      <c r="EL21" s="3">
        <v>20000</v>
      </c>
      <c r="EM21" s="3">
        <v>20000</v>
      </c>
      <c r="EN21" s="3">
        <v>20000</v>
      </c>
      <c r="EO21" s="3">
        <v>20000</v>
      </c>
      <c r="EP21" s="3">
        <v>20000</v>
      </c>
      <c r="EQ21" s="3">
        <v>20000</v>
      </c>
      <c r="ER21" s="3">
        <v>20000</v>
      </c>
      <c r="ES21" s="3">
        <v>20000</v>
      </c>
      <c r="ET21" s="3">
        <v>20000</v>
      </c>
      <c r="EU21" s="3">
        <v>20000</v>
      </c>
      <c r="EV21" s="3">
        <v>20000</v>
      </c>
      <c r="EW21" s="3">
        <v>20000</v>
      </c>
      <c r="EX21" s="3">
        <v>20000</v>
      </c>
      <c r="EY21" s="3">
        <v>20000</v>
      </c>
      <c r="EZ21" s="3">
        <v>20000</v>
      </c>
      <c r="FA21" s="3">
        <v>20000</v>
      </c>
      <c r="FB21" s="3">
        <v>20000</v>
      </c>
      <c r="FC21" s="3">
        <v>20000</v>
      </c>
      <c r="FD21" s="3">
        <v>20000</v>
      </c>
      <c r="FE21" s="3">
        <v>20000</v>
      </c>
      <c r="FF21" s="3">
        <v>20000</v>
      </c>
      <c r="FG21" s="3">
        <v>20000</v>
      </c>
      <c r="FH21" s="3">
        <v>20000</v>
      </c>
      <c r="FI21" s="3">
        <v>20000</v>
      </c>
    </row>
    <row r="22" spans="1:165" x14ac:dyDescent="0.3">
      <c r="A22" s="4" t="s">
        <v>3017</v>
      </c>
      <c r="B22" s="3">
        <v>20000</v>
      </c>
      <c r="C22" s="3">
        <v>20000</v>
      </c>
      <c r="D22" s="3">
        <v>20000</v>
      </c>
      <c r="E22" s="3">
        <v>20000</v>
      </c>
      <c r="F22" s="3">
        <v>20000</v>
      </c>
      <c r="G22" s="3">
        <v>20000</v>
      </c>
      <c r="H22" s="3">
        <v>20000</v>
      </c>
      <c r="I22" s="3">
        <v>20000</v>
      </c>
      <c r="J22" s="3">
        <v>20000</v>
      </c>
      <c r="K22" s="3">
        <v>20000</v>
      </c>
      <c r="L22" s="3">
        <v>20000</v>
      </c>
      <c r="M22" s="3">
        <v>20000</v>
      </c>
      <c r="N22" s="3">
        <v>20000</v>
      </c>
      <c r="O22" s="3">
        <v>20000</v>
      </c>
      <c r="P22" s="3">
        <v>20000</v>
      </c>
      <c r="Q22" s="3">
        <v>20000</v>
      </c>
      <c r="R22" s="3">
        <v>20000</v>
      </c>
      <c r="S22" s="3">
        <v>20000</v>
      </c>
      <c r="T22" s="3">
        <v>20000</v>
      </c>
      <c r="U22" s="3">
        <v>20000</v>
      </c>
      <c r="V22" s="3">
        <v>20000</v>
      </c>
      <c r="W22" s="3">
        <v>20000</v>
      </c>
      <c r="X22" s="3">
        <v>20000</v>
      </c>
      <c r="Y22" s="3">
        <v>20000</v>
      </c>
      <c r="Z22" s="3">
        <v>20000</v>
      </c>
      <c r="AA22" s="3">
        <v>20000</v>
      </c>
      <c r="AB22" s="3">
        <v>20000</v>
      </c>
      <c r="AC22" s="3">
        <v>20000</v>
      </c>
      <c r="AD22" s="3">
        <v>20000</v>
      </c>
      <c r="AE22" s="3">
        <v>20000</v>
      </c>
      <c r="AF22" s="3">
        <v>20000</v>
      </c>
      <c r="AG22" s="3">
        <v>20000</v>
      </c>
      <c r="AH22" s="3">
        <v>20000</v>
      </c>
      <c r="AI22" s="3">
        <v>20000</v>
      </c>
      <c r="AJ22" s="3">
        <v>20000</v>
      </c>
      <c r="AK22" s="3">
        <v>20000</v>
      </c>
      <c r="AL22" s="3">
        <v>20000</v>
      </c>
      <c r="AM22" s="3">
        <v>20000</v>
      </c>
      <c r="AN22" s="3">
        <v>20000</v>
      </c>
      <c r="AO22" s="3">
        <v>20000</v>
      </c>
      <c r="AP22" s="3">
        <v>20000</v>
      </c>
      <c r="AQ22" s="3">
        <v>20000</v>
      </c>
      <c r="AR22" s="3">
        <v>20000</v>
      </c>
      <c r="AS22" s="3">
        <v>20000</v>
      </c>
      <c r="AT22" s="3">
        <v>20000</v>
      </c>
      <c r="AU22" s="3">
        <v>20000</v>
      </c>
      <c r="AV22" s="3">
        <v>20000</v>
      </c>
      <c r="AW22" s="3">
        <v>20000</v>
      </c>
      <c r="AX22" s="3">
        <v>20000</v>
      </c>
      <c r="AY22" s="3">
        <v>20000</v>
      </c>
      <c r="AZ22" s="3">
        <v>20000</v>
      </c>
      <c r="BA22" s="3">
        <v>20000</v>
      </c>
      <c r="BB22" s="3">
        <v>20000</v>
      </c>
      <c r="BC22" s="3">
        <v>20000</v>
      </c>
      <c r="BD22" s="3">
        <v>20000</v>
      </c>
      <c r="BE22" s="3">
        <v>20000</v>
      </c>
      <c r="BF22" s="3">
        <v>20000</v>
      </c>
      <c r="BG22" s="3">
        <v>20000</v>
      </c>
      <c r="BH22" s="3">
        <v>20000</v>
      </c>
      <c r="BI22" s="3">
        <v>20000</v>
      </c>
      <c r="BJ22" s="3">
        <v>20000</v>
      </c>
      <c r="BK22" s="3">
        <v>20000</v>
      </c>
      <c r="BL22" s="3">
        <v>20000</v>
      </c>
      <c r="BM22" s="3">
        <v>20000</v>
      </c>
      <c r="BN22" s="3">
        <v>20000</v>
      </c>
      <c r="BO22" s="3">
        <v>20000</v>
      </c>
      <c r="BP22" s="3">
        <v>20000</v>
      </c>
      <c r="BQ22" s="3">
        <v>20000</v>
      </c>
      <c r="BR22" s="3">
        <v>20000</v>
      </c>
      <c r="BS22" s="3">
        <v>20000</v>
      </c>
      <c r="BT22" s="3">
        <v>20000</v>
      </c>
      <c r="BU22" s="3">
        <v>20000</v>
      </c>
      <c r="BV22" s="3">
        <v>20000</v>
      </c>
      <c r="BW22" s="3">
        <v>20000</v>
      </c>
      <c r="BX22" s="3">
        <v>20000</v>
      </c>
      <c r="BY22" s="3">
        <v>20000</v>
      </c>
      <c r="BZ22" s="3">
        <v>20000</v>
      </c>
      <c r="CA22" s="3">
        <v>20000</v>
      </c>
      <c r="CB22" s="3">
        <v>20000</v>
      </c>
      <c r="CC22" s="3">
        <v>20000</v>
      </c>
      <c r="CD22" s="3">
        <v>20000</v>
      </c>
      <c r="CE22" s="3">
        <v>20000</v>
      </c>
      <c r="CF22" s="3">
        <v>20000</v>
      </c>
      <c r="CG22" s="3">
        <v>20000</v>
      </c>
      <c r="CH22" s="3">
        <v>20000</v>
      </c>
      <c r="CI22" s="3">
        <v>20000</v>
      </c>
      <c r="CJ22" s="3">
        <v>20000</v>
      </c>
      <c r="CK22" s="3">
        <v>20000</v>
      </c>
      <c r="CL22" s="3">
        <v>20000</v>
      </c>
      <c r="CM22" s="3">
        <v>20000</v>
      </c>
      <c r="CN22" s="3">
        <v>20000</v>
      </c>
      <c r="CO22" s="3">
        <v>20000</v>
      </c>
      <c r="CP22" s="3">
        <v>20000</v>
      </c>
      <c r="CQ22" s="3">
        <v>20000</v>
      </c>
      <c r="CR22" s="3">
        <v>20000</v>
      </c>
      <c r="CS22" s="3">
        <v>20000</v>
      </c>
      <c r="CT22" s="3">
        <v>20000</v>
      </c>
      <c r="CU22" s="3">
        <v>20000</v>
      </c>
      <c r="CV22" s="3">
        <v>20000</v>
      </c>
      <c r="CW22" s="3">
        <v>20000</v>
      </c>
      <c r="CX22" s="3">
        <v>20000</v>
      </c>
      <c r="CY22" s="3">
        <v>20000</v>
      </c>
      <c r="CZ22" s="3">
        <v>20000</v>
      </c>
      <c r="DA22" s="3">
        <v>20000</v>
      </c>
      <c r="DB22" s="3">
        <v>20000</v>
      </c>
      <c r="DC22" s="3">
        <v>20000</v>
      </c>
      <c r="DD22" s="3">
        <v>20000</v>
      </c>
      <c r="DE22" s="3">
        <v>20000</v>
      </c>
      <c r="DF22" s="3">
        <v>20000</v>
      </c>
      <c r="DG22" s="3">
        <v>20000</v>
      </c>
      <c r="DH22" s="3">
        <v>20000</v>
      </c>
      <c r="DI22" s="3">
        <v>20000</v>
      </c>
      <c r="DJ22" s="3">
        <v>20000</v>
      </c>
      <c r="DK22" s="3">
        <v>20000</v>
      </c>
      <c r="DL22" s="3">
        <v>20000</v>
      </c>
      <c r="DM22" s="3">
        <v>20000</v>
      </c>
      <c r="DN22" s="3">
        <v>20000</v>
      </c>
      <c r="DO22" s="3">
        <v>20000</v>
      </c>
      <c r="DP22" s="3">
        <v>20000</v>
      </c>
      <c r="DQ22" s="3">
        <v>20000</v>
      </c>
      <c r="DR22" s="3">
        <v>20000</v>
      </c>
      <c r="DS22" s="3">
        <v>20000</v>
      </c>
      <c r="DT22" s="3">
        <v>20000</v>
      </c>
      <c r="DU22" s="3">
        <v>20000</v>
      </c>
      <c r="DV22" s="3">
        <v>20000</v>
      </c>
      <c r="DW22" s="3">
        <v>20000</v>
      </c>
      <c r="DX22" s="3">
        <v>20000</v>
      </c>
      <c r="DY22" s="3">
        <v>20000</v>
      </c>
      <c r="DZ22" s="3">
        <v>20000</v>
      </c>
      <c r="EA22" s="3">
        <v>20000</v>
      </c>
      <c r="EB22" s="3">
        <v>20000</v>
      </c>
      <c r="EC22" s="3">
        <v>20000</v>
      </c>
      <c r="ED22" s="3">
        <v>20000</v>
      </c>
      <c r="EE22" s="3">
        <v>20000</v>
      </c>
      <c r="EF22" s="3">
        <v>20000</v>
      </c>
      <c r="EG22" s="3">
        <v>20000</v>
      </c>
      <c r="EH22" s="3">
        <v>20000</v>
      </c>
      <c r="EI22" s="3">
        <v>20000</v>
      </c>
      <c r="EJ22" s="3">
        <v>20000</v>
      </c>
      <c r="EK22" s="3">
        <v>20000</v>
      </c>
      <c r="EL22" s="3">
        <v>20000</v>
      </c>
      <c r="EM22" s="3">
        <v>20000</v>
      </c>
      <c r="EN22" s="3">
        <v>20000</v>
      </c>
      <c r="EO22" s="3">
        <v>20000</v>
      </c>
      <c r="EP22" s="3">
        <v>20000</v>
      </c>
      <c r="EQ22" s="3">
        <v>20000</v>
      </c>
      <c r="ER22" s="3">
        <v>20000</v>
      </c>
      <c r="ES22" s="3">
        <v>20000</v>
      </c>
      <c r="ET22" s="3">
        <v>20000</v>
      </c>
      <c r="EU22" s="3">
        <v>20000</v>
      </c>
      <c r="EV22" s="3">
        <v>20000</v>
      </c>
      <c r="EW22" s="3">
        <v>20000</v>
      </c>
      <c r="EX22" s="3">
        <v>20000</v>
      </c>
      <c r="EY22" s="3">
        <v>20000</v>
      </c>
      <c r="EZ22" s="3">
        <v>20000</v>
      </c>
      <c r="FA22" s="3">
        <v>20000</v>
      </c>
      <c r="FB22" s="3">
        <v>20000</v>
      </c>
      <c r="FC22" s="3">
        <v>20000</v>
      </c>
      <c r="FD22" s="3">
        <v>20000</v>
      </c>
      <c r="FE22" s="3">
        <v>20000</v>
      </c>
      <c r="FF22" s="3">
        <v>20000</v>
      </c>
      <c r="FG22" s="3">
        <v>20000</v>
      </c>
      <c r="FH22" s="3">
        <v>20000</v>
      </c>
      <c r="FI22" s="3">
        <v>20000</v>
      </c>
    </row>
    <row r="23" spans="1:165" x14ac:dyDescent="0.3">
      <c r="A23" s="4" t="s">
        <v>3018</v>
      </c>
      <c r="B23" s="3">
        <v>20000</v>
      </c>
      <c r="C23" s="3">
        <v>20000</v>
      </c>
      <c r="D23" s="3">
        <v>20000</v>
      </c>
      <c r="E23" s="3">
        <v>20000</v>
      </c>
      <c r="F23" s="3">
        <v>20000</v>
      </c>
      <c r="G23" s="3">
        <v>20000</v>
      </c>
      <c r="H23" s="3">
        <v>20000</v>
      </c>
      <c r="I23" s="3">
        <v>20000</v>
      </c>
      <c r="J23" s="3">
        <v>20000</v>
      </c>
      <c r="K23" s="3">
        <v>20000</v>
      </c>
      <c r="L23" s="3">
        <v>20000</v>
      </c>
      <c r="M23" s="3">
        <v>20000</v>
      </c>
      <c r="N23" s="3">
        <v>20000</v>
      </c>
      <c r="O23" s="3">
        <v>20000</v>
      </c>
      <c r="P23" s="3">
        <v>20000</v>
      </c>
      <c r="Q23" s="3">
        <v>20000</v>
      </c>
      <c r="R23" s="3">
        <v>20000</v>
      </c>
      <c r="S23" s="3">
        <v>20000</v>
      </c>
      <c r="T23" s="3">
        <v>20000</v>
      </c>
      <c r="U23" s="3">
        <v>20000</v>
      </c>
      <c r="V23" s="3">
        <v>20000</v>
      </c>
      <c r="W23" s="3">
        <v>20000</v>
      </c>
      <c r="X23" s="3">
        <v>20000</v>
      </c>
      <c r="Y23" s="3">
        <v>20000</v>
      </c>
      <c r="Z23" s="3">
        <v>20000</v>
      </c>
      <c r="AA23" s="3">
        <v>20000</v>
      </c>
      <c r="AB23" s="3">
        <v>20000</v>
      </c>
      <c r="AC23" s="3">
        <v>20000</v>
      </c>
      <c r="AD23" s="3">
        <v>20000</v>
      </c>
      <c r="AE23" s="3">
        <v>20000</v>
      </c>
      <c r="AF23" s="3">
        <v>20000</v>
      </c>
      <c r="AG23" s="3">
        <v>20000</v>
      </c>
      <c r="AH23" s="3">
        <v>20000</v>
      </c>
      <c r="AI23" s="3">
        <v>20000</v>
      </c>
      <c r="AJ23" s="3">
        <v>20000</v>
      </c>
      <c r="AK23" s="3">
        <v>20000</v>
      </c>
      <c r="AL23" s="3">
        <v>20000</v>
      </c>
      <c r="AM23" s="3">
        <v>20000</v>
      </c>
      <c r="AN23" s="3">
        <v>20000</v>
      </c>
      <c r="AO23" s="3">
        <v>20000</v>
      </c>
      <c r="AP23" s="3">
        <v>20000</v>
      </c>
      <c r="AQ23" s="3">
        <v>20000</v>
      </c>
      <c r="AR23" s="3">
        <v>20000</v>
      </c>
      <c r="AS23" s="3">
        <v>20000</v>
      </c>
      <c r="AT23" s="3">
        <v>20000</v>
      </c>
      <c r="AU23" s="3">
        <v>20000</v>
      </c>
      <c r="AV23" s="3">
        <v>20000</v>
      </c>
      <c r="AW23" s="3">
        <v>20000</v>
      </c>
      <c r="AX23" s="3">
        <v>20000</v>
      </c>
      <c r="AY23" s="3">
        <v>20000</v>
      </c>
      <c r="AZ23" s="3">
        <v>20000</v>
      </c>
      <c r="BA23" s="3">
        <v>20000</v>
      </c>
      <c r="BB23" s="3">
        <v>20000</v>
      </c>
      <c r="BC23" s="3">
        <v>20000</v>
      </c>
      <c r="BD23" s="3">
        <v>20000</v>
      </c>
      <c r="BE23" s="3">
        <v>20000</v>
      </c>
      <c r="BF23" s="3">
        <v>20000</v>
      </c>
      <c r="BG23" s="3">
        <v>20000</v>
      </c>
      <c r="BH23" s="3">
        <v>20000</v>
      </c>
      <c r="BI23" s="3">
        <v>20000</v>
      </c>
      <c r="BJ23" s="3">
        <v>20000</v>
      </c>
      <c r="BK23" s="3">
        <v>20000</v>
      </c>
      <c r="BL23" s="3">
        <v>20000</v>
      </c>
      <c r="BM23" s="3">
        <v>20000</v>
      </c>
      <c r="BN23" s="3">
        <v>20000</v>
      </c>
      <c r="BO23" s="3">
        <v>20000</v>
      </c>
      <c r="BP23" s="3">
        <v>20000</v>
      </c>
      <c r="BQ23" s="3">
        <v>20000</v>
      </c>
      <c r="BR23" s="3">
        <v>20000</v>
      </c>
      <c r="BS23" s="3">
        <v>20000</v>
      </c>
      <c r="BT23" s="3">
        <v>20000</v>
      </c>
      <c r="BU23" s="3">
        <v>20000</v>
      </c>
      <c r="BV23" s="3">
        <v>20000</v>
      </c>
      <c r="BW23" s="3">
        <v>20000</v>
      </c>
      <c r="BX23" s="3">
        <v>20000</v>
      </c>
      <c r="BY23" s="3">
        <v>20000</v>
      </c>
      <c r="BZ23" s="3">
        <v>20000</v>
      </c>
      <c r="CA23" s="3">
        <v>20000</v>
      </c>
      <c r="CB23" s="3">
        <v>20000</v>
      </c>
      <c r="CC23" s="3">
        <v>20000</v>
      </c>
      <c r="CD23" s="3">
        <v>20000</v>
      </c>
      <c r="CE23" s="3">
        <v>20000</v>
      </c>
      <c r="CF23" s="3">
        <v>20000</v>
      </c>
      <c r="CG23" s="3">
        <v>20000</v>
      </c>
      <c r="CH23" s="3">
        <v>20000</v>
      </c>
      <c r="CI23" s="3">
        <v>20000</v>
      </c>
      <c r="CJ23" s="3">
        <v>20000</v>
      </c>
      <c r="CK23" s="3">
        <v>20000</v>
      </c>
      <c r="CL23" s="3">
        <v>20000</v>
      </c>
      <c r="CM23" s="3">
        <v>20000</v>
      </c>
      <c r="CN23" s="3">
        <v>20000</v>
      </c>
      <c r="CO23" s="3">
        <v>20000</v>
      </c>
      <c r="CP23" s="3">
        <v>20000</v>
      </c>
      <c r="CQ23" s="3">
        <v>20000</v>
      </c>
      <c r="CR23" s="3">
        <v>20000</v>
      </c>
      <c r="CS23" s="3">
        <v>20000</v>
      </c>
      <c r="CT23" s="3">
        <v>20000</v>
      </c>
      <c r="CU23" s="3">
        <v>20000</v>
      </c>
      <c r="CV23" s="3">
        <v>20000</v>
      </c>
      <c r="CW23" s="3">
        <v>20000</v>
      </c>
      <c r="CX23" s="3">
        <v>20000</v>
      </c>
      <c r="CY23" s="3">
        <v>20000</v>
      </c>
      <c r="CZ23" s="3">
        <v>20000</v>
      </c>
      <c r="DA23" s="3">
        <v>20000</v>
      </c>
      <c r="DB23" s="3">
        <v>20000</v>
      </c>
      <c r="DC23" s="3">
        <v>20000</v>
      </c>
      <c r="DD23" s="3">
        <v>20000</v>
      </c>
      <c r="DE23" s="3">
        <v>20000</v>
      </c>
      <c r="DF23" s="3">
        <v>20000</v>
      </c>
      <c r="DG23" s="3">
        <v>20000</v>
      </c>
      <c r="DH23" s="3">
        <v>20000</v>
      </c>
      <c r="DI23" s="3">
        <v>20000</v>
      </c>
      <c r="DJ23" s="3">
        <v>20000</v>
      </c>
      <c r="DK23" s="3">
        <v>20000</v>
      </c>
      <c r="DL23" s="3">
        <v>20000</v>
      </c>
      <c r="DM23" s="3">
        <v>20000</v>
      </c>
      <c r="DN23" s="3">
        <v>20000</v>
      </c>
      <c r="DO23" s="3">
        <v>20000</v>
      </c>
      <c r="DP23" s="3">
        <v>20000</v>
      </c>
      <c r="DQ23" s="3">
        <v>20000</v>
      </c>
      <c r="DR23" s="3">
        <v>20000</v>
      </c>
      <c r="DS23" s="3">
        <v>20000</v>
      </c>
      <c r="DT23" s="3">
        <v>20000</v>
      </c>
      <c r="DU23" s="3">
        <v>20000</v>
      </c>
      <c r="DV23" s="3">
        <v>20000</v>
      </c>
      <c r="DW23" s="3">
        <v>20000</v>
      </c>
      <c r="DX23" s="3">
        <v>20000</v>
      </c>
      <c r="DY23" s="3">
        <v>20000</v>
      </c>
      <c r="DZ23" s="3">
        <v>20000</v>
      </c>
      <c r="EA23" s="3">
        <v>20000</v>
      </c>
      <c r="EB23" s="3">
        <v>20000</v>
      </c>
      <c r="EC23" s="3">
        <v>20000</v>
      </c>
      <c r="ED23" s="3">
        <v>20000</v>
      </c>
      <c r="EE23" s="3">
        <v>20000</v>
      </c>
      <c r="EF23" s="3">
        <v>20000</v>
      </c>
      <c r="EG23" s="3">
        <v>20000</v>
      </c>
      <c r="EH23" s="3">
        <v>20000</v>
      </c>
      <c r="EI23" s="3">
        <v>20000</v>
      </c>
      <c r="EJ23" s="3">
        <v>20000</v>
      </c>
      <c r="EK23" s="3">
        <v>20000</v>
      </c>
      <c r="EL23" s="3">
        <v>20000</v>
      </c>
      <c r="EM23" s="3">
        <v>20000</v>
      </c>
      <c r="EN23" s="3">
        <v>20000</v>
      </c>
      <c r="EO23" s="3">
        <v>20000</v>
      </c>
      <c r="EP23" s="3">
        <v>20000</v>
      </c>
      <c r="EQ23" s="3">
        <v>20000</v>
      </c>
      <c r="ER23" s="3">
        <v>20000</v>
      </c>
      <c r="ES23" s="3">
        <v>20000</v>
      </c>
      <c r="ET23" s="3">
        <v>20000</v>
      </c>
      <c r="EU23" s="3">
        <v>20000</v>
      </c>
      <c r="EV23" s="3">
        <v>20000</v>
      </c>
      <c r="EW23" s="3">
        <v>20000</v>
      </c>
      <c r="EX23" s="3">
        <v>20000</v>
      </c>
      <c r="EY23" s="3">
        <v>20000</v>
      </c>
      <c r="EZ23" s="3">
        <v>20000</v>
      </c>
      <c r="FA23" s="3">
        <v>20000</v>
      </c>
      <c r="FB23" s="3">
        <v>20000</v>
      </c>
      <c r="FC23" s="3">
        <v>20000</v>
      </c>
      <c r="FD23" s="3">
        <v>20000</v>
      </c>
      <c r="FE23" s="3">
        <v>20000</v>
      </c>
      <c r="FF23" s="3">
        <v>20000</v>
      </c>
      <c r="FG23" s="3">
        <v>20000</v>
      </c>
      <c r="FH23" s="3">
        <v>20000</v>
      </c>
      <c r="FI23" s="3">
        <v>20000</v>
      </c>
    </row>
    <row r="24" spans="1:165" x14ac:dyDescent="0.3">
      <c r="A24" s="4" t="s">
        <v>3019</v>
      </c>
      <c r="B24" s="3">
        <v>20000</v>
      </c>
      <c r="C24" s="3">
        <v>20000</v>
      </c>
      <c r="D24" s="3">
        <v>20000</v>
      </c>
      <c r="E24" s="3">
        <v>20000</v>
      </c>
      <c r="F24" s="3">
        <v>20000</v>
      </c>
      <c r="G24" s="3">
        <v>20000</v>
      </c>
      <c r="H24" s="3">
        <v>20000</v>
      </c>
      <c r="I24" s="3">
        <v>20000</v>
      </c>
      <c r="J24" s="3">
        <v>20000</v>
      </c>
      <c r="K24" s="3">
        <v>20000</v>
      </c>
      <c r="L24" s="3">
        <v>20000</v>
      </c>
      <c r="M24" s="3">
        <v>20000</v>
      </c>
      <c r="N24" s="3">
        <v>20000</v>
      </c>
      <c r="O24" s="3">
        <v>20000</v>
      </c>
      <c r="P24" s="3">
        <v>20000</v>
      </c>
      <c r="Q24" s="3">
        <v>20000</v>
      </c>
      <c r="R24" s="3">
        <v>20000</v>
      </c>
      <c r="S24" s="3">
        <v>20000</v>
      </c>
      <c r="T24" s="3">
        <v>20000</v>
      </c>
      <c r="U24" s="3">
        <v>20000</v>
      </c>
      <c r="V24" s="3">
        <v>20000</v>
      </c>
      <c r="W24" s="3">
        <v>20000</v>
      </c>
      <c r="X24" s="3">
        <v>20000</v>
      </c>
      <c r="Y24" s="3">
        <v>20000</v>
      </c>
      <c r="Z24" s="3">
        <v>20000</v>
      </c>
      <c r="AA24" s="3">
        <v>20000</v>
      </c>
      <c r="AB24" s="3">
        <v>20000</v>
      </c>
      <c r="AC24" s="3">
        <v>20000</v>
      </c>
      <c r="AD24" s="3">
        <v>20000</v>
      </c>
      <c r="AE24" s="3">
        <v>20000</v>
      </c>
      <c r="AF24" s="3">
        <v>20000</v>
      </c>
      <c r="AG24" s="3">
        <v>20000</v>
      </c>
      <c r="AH24" s="3">
        <v>20000</v>
      </c>
      <c r="AI24" s="3">
        <v>20000</v>
      </c>
      <c r="AJ24" s="3">
        <v>20000</v>
      </c>
      <c r="AK24" s="3">
        <v>20000</v>
      </c>
      <c r="AL24" s="3">
        <v>20000</v>
      </c>
      <c r="AM24" s="3">
        <v>20000</v>
      </c>
      <c r="AN24" s="3">
        <v>20000</v>
      </c>
      <c r="AO24" s="3">
        <v>20000</v>
      </c>
      <c r="AP24" s="3">
        <v>20000</v>
      </c>
      <c r="AQ24" s="3">
        <v>20000</v>
      </c>
      <c r="AR24" s="3">
        <v>20000</v>
      </c>
      <c r="AS24" s="3">
        <v>20000</v>
      </c>
      <c r="AT24" s="3">
        <v>20000</v>
      </c>
      <c r="AU24" s="3">
        <v>20000</v>
      </c>
      <c r="AV24" s="3">
        <v>20000</v>
      </c>
      <c r="AW24" s="3">
        <v>20000</v>
      </c>
      <c r="AX24" s="3">
        <v>20000</v>
      </c>
      <c r="AY24" s="3">
        <v>20000</v>
      </c>
      <c r="AZ24" s="3">
        <v>20000</v>
      </c>
      <c r="BA24" s="3">
        <v>20000</v>
      </c>
      <c r="BB24" s="3">
        <v>20000</v>
      </c>
      <c r="BC24" s="3">
        <v>20000</v>
      </c>
      <c r="BD24" s="3">
        <v>20000</v>
      </c>
      <c r="BE24" s="3">
        <v>20000</v>
      </c>
      <c r="BF24" s="3">
        <v>20000</v>
      </c>
      <c r="BG24" s="3">
        <v>20000</v>
      </c>
      <c r="BH24" s="3">
        <v>20000</v>
      </c>
      <c r="BI24" s="3">
        <v>20000</v>
      </c>
      <c r="BJ24" s="3">
        <v>20000</v>
      </c>
      <c r="BK24" s="3">
        <v>20000</v>
      </c>
      <c r="BL24" s="3">
        <v>20000</v>
      </c>
      <c r="BM24" s="3">
        <v>20000</v>
      </c>
      <c r="BN24" s="3">
        <v>20000</v>
      </c>
      <c r="BO24" s="3">
        <v>20000</v>
      </c>
      <c r="BP24" s="3">
        <v>20000</v>
      </c>
      <c r="BQ24" s="3">
        <v>20000</v>
      </c>
      <c r="BR24" s="3">
        <v>20000</v>
      </c>
      <c r="BS24" s="3">
        <v>20000</v>
      </c>
      <c r="BT24" s="3">
        <v>20000</v>
      </c>
      <c r="BU24" s="3">
        <v>20000</v>
      </c>
      <c r="BV24" s="3">
        <v>20000</v>
      </c>
      <c r="BW24" s="3">
        <v>20000</v>
      </c>
      <c r="BX24" s="3">
        <v>20000</v>
      </c>
      <c r="BY24" s="3">
        <v>20000</v>
      </c>
      <c r="BZ24" s="3">
        <v>20000</v>
      </c>
      <c r="CA24" s="3">
        <v>20000</v>
      </c>
      <c r="CB24" s="3">
        <v>20000</v>
      </c>
      <c r="CC24" s="3">
        <v>20000</v>
      </c>
      <c r="CD24" s="3">
        <v>20000</v>
      </c>
      <c r="CE24" s="3">
        <v>20000</v>
      </c>
      <c r="CF24" s="3">
        <v>20000</v>
      </c>
      <c r="CG24" s="3">
        <v>20000</v>
      </c>
      <c r="CH24" s="3">
        <v>20000</v>
      </c>
      <c r="CI24" s="3">
        <v>20000</v>
      </c>
      <c r="CJ24" s="3">
        <v>20000</v>
      </c>
      <c r="CK24" s="3">
        <v>20000</v>
      </c>
      <c r="CL24" s="3">
        <v>20000</v>
      </c>
      <c r="CM24" s="3">
        <v>20000</v>
      </c>
      <c r="CN24" s="3">
        <v>20000</v>
      </c>
      <c r="CO24" s="3">
        <v>20000</v>
      </c>
      <c r="CP24" s="3">
        <v>20000</v>
      </c>
      <c r="CQ24" s="3">
        <v>20000</v>
      </c>
      <c r="CR24" s="3">
        <v>20000</v>
      </c>
      <c r="CS24" s="3">
        <v>20000</v>
      </c>
      <c r="CT24" s="3">
        <v>20000</v>
      </c>
      <c r="CU24" s="3">
        <v>20000</v>
      </c>
      <c r="CV24" s="3">
        <v>20000</v>
      </c>
      <c r="CW24" s="3">
        <v>20000</v>
      </c>
      <c r="CX24" s="3">
        <v>20000</v>
      </c>
      <c r="CY24" s="3">
        <v>20000</v>
      </c>
      <c r="CZ24" s="3">
        <v>20000</v>
      </c>
      <c r="DA24" s="3">
        <v>20000</v>
      </c>
      <c r="DB24" s="3">
        <v>20000</v>
      </c>
      <c r="DC24" s="3">
        <v>20000</v>
      </c>
      <c r="DD24" s="3">
        <v>20000</v>
      </c>
      <c r="DE24" s="3">
        <v>20000</v>
      </c>
      <c r="DF24" s="3">
        <v>20000</v>
      </c>
      <c r="DG24" s="3">
        <v>20000</v>
      </c>
      <c r="DH24" s="3">
        <v>20000</v>
      </c>
      <c r="DI24" s="3">
        <v>20000</v>
      </c>
      <c r="DJ24" s="3">
        <v>20000</v>
      </c>
      <c r="DK24" s="3">
        <v>20000</v>
      </c>
      <c r="DL24" s="3">
        <v>20000</v>
      </c>
      <c r="DM24" s="3">
        <v>20000</v>
      </c>
      <c r="DN24" s="3">
        <v>20000</v>
      </c>
      <c r="DO24" s="3">
        <v>20000</v>
      </c>
      <c r="DP24" s="3">
        <v>20000</v>
      </c>
      <c r="DQ24" s="3">
        <v>20000</v>
      </c>
      <c r="DR24" s="3">
        <v>20000</v>
      </c>
      <c r="DS24" s="3">
        <v>20000</v>
      </c>
      <c r="DT24" s="3">
        <v>20000</v>
      </c>
      <c r="DU24" s="3">
        <v>20000</v>
      </c>
      <c r="DV24" s="3">
        <v>20000</v>
      </c>
      <c r="DW24" s="3">
        <v>20000</v>
      </c>
      <c r="DX24" s="3">
        <v>20000</v>
      </c>
      <c r="DY24" s="3">
        <v>20000</v>
      </c>
      <c r="DZ24" s="3">
        <v>20000</v>
      </c>
      <c r="EA24" s="3">
        <v>20000</v>
      </c>
      <c r="EB24" s="3">
        <v>20000</v>
      </c>
      <c r="EC24" s="3">
        <v>20000</v>
      </c>
      <c r="ED24" s="3">
        <v>20000</v>
      </c>
      <c r="EE24" s="3">
        <v>20000</v>
      </c>
      <c r="EF24" s="3">
        <v>20000</v>
      </c>
      <c r="EG24" s="3">
        <v>20000</v>
      </c>
      <c r="EH24" s="3">
        <v>20000</v>
      </c>
      <c r="EI24" s="3">
        <v>20000</v>
      </c>
      <c r="EJ24" s="3">
        <v>20000</v>
      </c>
      <c r="EK24" s="3">
        <v>20000</v>
      </c>
      <c r="EL24" s="3">
        <v>20000</v>
      </c>
      <c r="EM24" s="3">
        <v>20000</v>
      </c>
      <c r="EN24" s="3">
        <v>20000</v>
      </c>
      <c r="EO24" s="3">
        <v>20000</v>
      </c>
      <c r="EP24" s="3">
        <v>20000</v>
      </c>
      <c r="EQ24" s="3">
        <v>20000</v>
      </c>
      <c r="ER24" s="3">
        <v>20000</v>
      </c>
      <c r="ES24" s="3">
        <v>20000</v>
      </c>
      <c r="ET24" s="3">
        <v>20000</v>
      </c>
      <c r="EU24" s="3">
        <v>20000</v>
      </c>
      <c r="EV24" s="3">
        <v>20000</v>
      </c>
      <c r="EW24" s="3">
        <v>20000</v>
      </c>
      <c r="EX24" s="3">
        <v>20000</v>
      </c>
      <c r="EY24" s="3">
        <v>20000</v>
      </c>
      <c r="EZ24" s="3">
        <v>20000</v>
      </c>
      <c r="FA24" s="3">
        <v>20000</v>
      </c>
      <c r="FB24" s="3">
        <v>20000</v>
      </c>
      <c r="FC24" s="3">
        <v>20000</v>
      </c>
      <c r="FD24" s="3">
        <v>20000</v>
      </c>
      <c r="FE24" s="3">
        <v>20000</v>
      </c>
      <c r="FF24" s="3">
        <v>20000</v>
      </c>
      <c r="FG24" s="3">
        <v>20000</v>
      </c>
      <c r="FH24" s="3">
        <v>20000</v>
      </c>
      <c r="FI24" s="3">
        <v>20000</v>
      </c>
    </row>
    <row r="25" spans="1:165" x14ac:dyDescent="0.3">
      <c r="A25" s="4" t="s">
        <v>3020</v>
      </c>
      <c r="B25" s="3">
        <v>20000</v>
      </c>
      <c r="C25" s="3">
        <v>20000</v>
      </c>
      <c r="D25" s="3">
        <v>20000</v>
      </c>
      <c r="E25" s="3">
        <v>20000</v>
      </c>
      <c r="F25" s="3">
        <v>20000</v>
      </c>
      <c r="G25" s="3">
        <v>20000</v>
      </c>
      <c r="H25" s="3">
        <v>20000</v>
      </c>
      <c r="I25" s="3">
        <v>20000</v>
      </c>
      <c r="J25" s="3">
        <v>20000</v>
      </c>
      <c r="K25" s="3">
        <v>20000</v>
      </c>
      <c r="L25" s="3">
        <v>20000</v>
      </c>
      <c r="M25" s="3">
        <v>20000</v>
      </c>
      <c r="N25" s="3">
        <v>20000</v>
      </c>
      <c r="O25" s="3">
        <v>20000</v>
      </c>
      <c r="P25" s="3">
        <v>20000</v>
      </c>
      <c r="Q25" s="3">
        <v>20000</v>
      </c>
      <c r="R25" s="3">
        <v>20000</v>
      </c>
      <c r="S25" s="3">
        <v>20000</v>
      </c>
      <c r="T25" s="3">
        <v>20000</v>
      </c>
      <c r="U25" s="3">
        <v>20000</v>
      </c>
      <c r="V25" s="3">
        <v>20000</v>
      </c>
      <c r="W25" s="3">
        <v>20000</v>
      </c>
      <c r="X25" s="3">
        <v>20000</v>
      </c>
      <c r="Y25" s="3">
        <v>20000</v>
      </c>
      <c r="Z25" s="3">
        <v>20000</v>
      </c>
      <c r="AA25" s="3">
        <v>20000</v>
      </c>
      <c r="AB25" s="3">
        <v>20000</v>
      </c>
      <c r="AC25" s="3">
        <v>20000</v>
      </c>
      <c r="AD25" s="3">
        <v>20000</v>
      </c>
      <c r="AE25" s="3">
        <v>20000</v>
      </c>
      <c r="AF25" s="3">
        <v>20000</v>
      </c>
      <c r="AG25" s="3">
        <v>20000</v>
      </c>
      <c r="AH25" s="3">
        <v>20000</v>
      </c>
      <c r="AI25" s="3">
        <v>20000</v>
      </c>
      <c r="AJ25" s="3">
        <v>20000</v>
      </c>
      <c r="AK25" s="3">
        <v>20000</v>
      </c>
      <c r="AL25" s="3">
        <v>20000</v>
      </c>
      <c r="AM25" s="3">
        <v>20000</v>
      </c>
      <c r="AN25" s="3">
        <v>20000</v>
      </c>
      <c r="AO25" s="3">
        <v>20000</v>
      </c>
      <c r="AP25" s="3">
        <v>20000</v>
      </c>
      <c r="AQ25" s="3">
        <v>20000</v>
      </c>
      <c r="AR25" s="3">
        <v>20000</v>
      </c>
      <c r="AS25" s="3">
        <v>20000</v>
      </c>
      <c r="AT25" s="3">
        <v>20000</v>
      </c>
      <c r="AU25" s="3">
        <v>20000</v>
      </c>
      <c r="AV25" s="3">
        <v>20000</v>
      </c>
      <c r="AW25" s="3">
        <v>20000</v>
      </c>
      <c r="AX25" s="3">
        <v>20000</v>
      </c>
      <c r="AY25" s="3">
        <v>20000</v>
      </c>
      <c r="AZ25" s="3">
        <v>20000</v>
      </c>
      <c r="BA25" s="3">
        <v>20000</v>
      </c>
      <c r="BB25" s="3">
        <v>20000</v>
      </c>
      <c r="BC25" s="3">
        <v>20000</v>
      </c>
      <c r="BD25" s="3">
        <v>20000</v>
      </c>
      <c r="BE25" s="3">
        <v>20000</v>
      </c>
      <c r="BF25" s="3">
        <v>20000</v>
      </c>
      <c r="BG25" s="3">
        <v>20000</v>
      </c>
      <c r="BH25" s="3">
        <v>20000</v>
      </c>
      <c r="BI25" s="3">
        <v>20000</v>
      </c>
      <c r="BJ25" s="3">
        <v>20000</v>
      </c>
      <c r="BK25" s="3">
        <v>20000</v>
      </c>
      <c r="BL25" s="3">
        <v>20000</v>
      </c>
      <c r="BM25" s="3">
        <v>20000</v>
      </c>
      <c r="BN25" s="3">
        <v>20000</v>
      </c>
      <c r="BO25" s="3">
        <v>20000</v>
      </c>
      <c r="BP25" s="3">
        <v>20000</v>
      </c>
      <c r="BQ25" s="3">
        <v>20000</v>
      </c>
      <c r="BR25" s="3">
        <v>20000</v>
      </c>
      <c r="BS25" s="3">
        <v>20000</v>
      </c>
      <c r="BT25" s="3">
        <v>20000</v>
      </c>
      <c r="BU25" s="3">
        <v>20000</v>
      </c>
      <c r="BV25" s="3">
        <v>20000</v>
      </c>
      <c r="BW25" s="3">
        <v>20000</v>
      </c>
      <c r="BX25" s="3">
        <v>20000</v>
      </c>
      <c r="BY25" s="3">
        <v>20000</v>
      </c>
      <c r="BZ25" s="3">
        <v>20000</v>
      </c>
      <c r="CA25" s="3">
        <v>20000</v>
      </c>
      <c r="CB25" s="3">
        <v>20000</v>
      </c>
      <c r="CC25" s="3">
        <v>20000</v>
      </c>
      <c r="CD25" s="3">
        <v>20000</v>
      </c>
      <c r="CE25" s="3">
        <v>20000</v>
      </c>
      <c r="CF25" s="3">
        <v>20000</v>
      </c>
      <c r="CG25" s="3">
        <v>20000</v>
      </c>
      <c r="CH25" s="3">
        <v>20000</v>
      </c>
      <c r="CI25" s="3">
        <v>20000</v>
      </c>
      <c r="CJ25" s="3">
        <v>20000</v>
      </c>
      <c r="CK25" s="3">
        <v>20000</v>
      </c>
      <c r="CL25" s="3">
        <v>20000</v>
      </c>
      <c r="CM25" s="3">
        <v>20000</v>
      </c>
      <c r="CN25" s="3">
        <v>20000</v>
      </c>
      <c r="CO25" s="3">
        <v>20000</v>
      </c>
      <c r="CP25" s="3">
        <v>20000</v>
      </c>
      <c r="CQ25" s="3">
        <v>20000</v>
      </c>
      <c r="CR25" s="3">
        <v>20000</v>
      </c>
      <c r="CS25" s="3">
        <v>20000</v>
      </c>
      <c r="CT25" s="3">
        <v>20000</v>
      </c>
      <c r="CU25" s="3">
        <v>20000</v>
      </c>
      <c r="CV25" s="3">
        <v>20000</v>
      </c>
      <c r="CW25" s="3">
        <v>20000</v>
      </c>
      <c r="CX25" s="3">
        <v>20000</v>
      </c>
      <c r="CY25" s="3">
        <v>20000</v>
      </c>
      <c r="CZ25" s="3">
        <v>20000</v>
      </c>
      <c r="DA25" s="3">
        <v>20000</v>
      </c>
      <c r="DB25" s="3">
        <v>20000</v>
      </c>
      <c r="DC25" s="3">
        <v>20000</v>
      </c>
      <c r="DD25" s="3">
        <v>20000</v>
      </c>
      <c r="DE25" s="3">
        <v>20000</v>
      </c>
      <c r="DF25" s="3">
        <v>20000</v>
      </c>
      <c r="DG25" s="3">
        <v>20000</v>
      </c>
      <c r="DH25" s="3">
        <v>20000</v>
      </c>
      <c r="DI25" s="3">
        <v>20000</v>
      </c>
      <c r="DJ25" s="3">
        <v>20000</v>
      </c>
      <c r="DK25" s="3">
        <v>20000</v>
      </c>
      <c r="DL25" s="3">
        <v>20000</v>
      </c>
      <c r="DM25" s="3">
        <v>20000</v>
      </c>
      <c r="DN25" s="3">
        <v>20000</v>
      </c>
      <c r="DO25" s="3">
        <v>20000</v>
      </c>
      <c r="DP25" s="3">
        <v>20000</v>
      </c>
      <c r="DQ25" s="3">
        <v>20000</v>
      </c>
      <c r="DR25" s="3">
        <v>20000</v>
      </c>
      <c r="DS25" s="3">
        <v>20000</v>
      </c>
      <c r="DT25" s="3">
        <v>20000</v>
      </c>
      <c r="DU25" s="3">
        <v>20000</v>
      </c>
      <c r="DV25" s="3">
        <v>20000</v>
      </c>
      <c r="DW25" s="3">
        <v>20000</v>
      </c>
      <c r="DX25" s="3">
        <v>20000</v>
      </c>
      <c r="DY25" s="3">
        <v>20000</v>
      </c>
      <c r="DZ25" s="3">
        <v>20000</v>
      </c>
      <c r="EA25" s="3">
        <v>20000</v>
      </c>
      <c r="EB25" s="3">
        <v>20000</v>
      </c>
      <c r="EC25" s="3">
        <v>20000</v>
      </c>
      <c r="ED25" s="3">
        <v>20000</v>
      </c>
      <c r="EE25" s="3">
        <v>20000</v>
      </c>
      <c r="EF25" s="3">
        <v>20000</v>
      </c>
      <c r="EG25" s="3">
        <v>20000</v>
      </c>
      <c r="EH25" s="3">
        <v>20000</v>
      </c>
      <c r="EI25" s="3">
        <v>20000</v>
      </c>
      <c r="EJ25" s="3">
        <v>20000</v>
      </c>
      <c r="EK25" s="3">
        <v>20000</v>
      </c>
      <c r="EL25" s="3">
        <v>20000</v>
      </c>
      <c r="EM25" s="3">
        <v>20000</v>
      </c>
      <c r="EN25" s="3">
        <v>20000</v>
      </c>
      <c r="EO25" s="3">
        <v>20000</v>
      </c>
      <c r="EP25" s="3">
        <v>20000</v>
      </c>
      <c r="EQ25" s="3">
        <v>20000</v>
      </c>
      <c r="ER25" s="3">
        <v>20000</v>
      </c>
      <c r="ES25" s="3">
        <v>20000</v>
      </c>
      <c r="ET25" s="3">
        <v>20000</v>
      </c>
      <c r="EU25" s="3">
        <v>20000</v>
      </c>
      <c r="EV25" s="3">
        <v>20000</v>
      </c>
      <c r="EW25" s="3">
        <v>20000</v>
      </c>
      <c r="EX25" s="3">
        <v>20000</v>
      </c>
      <c r="EY25" s="3">
        <v>20000</v>
      </c>
      <c r="EZ25" s="3">
        <v>20000</v>
      </c>
      <c r="FA25" s="3">
        <v>20000</v>
      </c>
      <c r="FB25" s="3">
        <v>20000</v>
      </c>
      <c r="FC25" s="3">
        <v>20000</v>
      </c>
      <c r="FD25" s="3">
        <v>20000</v>
      </c>
      <c r="FE25" s="3">
        <v>20000</v>
      </c>
      <c r="FF25" s="3">
        <v>20000</v>
      </c>
      <c r="FG25" s="3">
        <v>20000</v>
      </c>
      <c r="FH25" s="3">
        <v>20000</v>
      </c>
      <c r="FI25" s="3">
        <v>20000</v>
      </c>
    </row>
    <row r="26" spans="1:165" x14ac:dyDescent="0.3">
      <c r="A26" s="4" t="s">
        <v>3021</v>
      </c>
      <c r="B26" s="3">
        <v>20000</v>
      </c>
      <c r="C26" s="3">
        <v>20000</v>
      </c>
      <c r="D26" s="3">
        <v>20000</v>
      </c>
      <c r="E26" s="3">
        <v>20000</v>
      </c>
      <c r="F26" s="3">
        <v>20000</v>
      </c>
      <c r="G26" s="3">
        <v>20000</v>
      </c>
      <c r="H26" s="3">
        <v>20000</v>
      </c>
      <c r="I26" s="3">
        <v>20000</v>
      </c>
      <c r="J26" s="3">
        <v>20000</v>
      </c>
      <c r="K26" s="3">
        <v>20000</v>
      </c>
      <c r="L26" s="3">
        <v>20000</v>
      </c>
      <c r="M26" s="3">
        <v>20000</v>
      </c>
      <c r="N26" s="3">
        <v>20000</v>
      </c>
      <c r="O26" s="3">
        <v>20000</v>
      </c>
      <c r="P26" s="3">
        <v>20000</v>
      </c>
      <c r="Q26" s="3">
        <v>20000</v>
      </c>
      <c r="R26" s="3">
        <v>20000</v>
      </c>
      <c r="S26" s="3">
        <v>20000</v>
      </c>
      <c r="T26" s="3">
        <v>20000</v>
      </c>
      <c r="U26" s="3">
        <v>20000</v>
      </c>
      <c r="V26" s="3">
        <v>20000</v>
      </c>
      <c r="W26" s="3">
        <v>20000</v>
      </c>
      <c r="X26" s="3">
        <v>20000</v>
      </c>
      <c r="Y26" s="3">
        <v>20000</v>
      </c>
      <c r="Z26" s="3">
        <v>20000</v>
      </c>
      <c r="AA26" s="3">
        <v>20000</v>
      </c>
      <c r="AB26" s="3">
        <v>20000</v>
      </c>
      <c r="AC26" s="3">
        <v>20000</v>
      </c>
      <c r="AD26" s="3">
        <v>20000</v>
      </c>
      <c r="AE26" s="3">
        <v>20000</v>
      </c>
      <c r="AF26" s="3">
        <v>20000</v>
      </c>
      <c r="AG26" s="3">
        <v>20000</v>
      </c>
      <c r="AH26" s="3">
        <v>20000</v>
      </c>
      <c r="AI26" s="3">
        <v>20000</v>
      </c>
      <c r="AJ26" s="3">
        <v>20000</v>
      </c>
      <c r="AK26" s="3">
        <v>20000</v>
      </c>
      <c r="AL26" s="3">
        <v>20000</v>
      </c>
      <c r="AM26" s="3">
        <v>20000</v>
      </c>
      <c r="AN26" s="3">
        <v>20000</v>
      </c>
      <c r="AO26" s="3">
        <v>20000</v>
      </c>
      <c r="AP26" s="3">
        <v>20000</v>
      </c>
      <c r="AQ26" s="3">
        <v>20000</v>
      </c>
      <c r="AR26" s="3">
        <v>20000</v>
      </c>
      <c r="AS26" s="3">
        <v>20000</v>
      </c>
      <c r="AT26" s="3">
        <v>20000</v>
      </c>
      <c r="AU26" s="3">
        <v>20000</v>
      </c>
      <c r="AV26" s="3">
        <v>20000</v>
      </c>
      <c r="AW26" s="3">
        <v>20000</v>
      </c>
      <c r="AX26" s="3">
        <v>20000</v>
      </c>
      <c r="AY26" s="3">
        <v>20000</v>
      </c>
      <c r="AZ26" s="3">
        <v>20000</v>
      </c>
      <c r="BA26" s="3">
        <v>20000</v>
      </c>
      <c r="BB26" s="3">
        <v>20000</v>
      </c>
      <c r="BC26" s="3">
        <v>20000</v>
      </c>
      <c r="BD26" s="3">
        <v>20000</v>
      </c>
      <c r="BE26" s="3">
        <v>20000</v>
      </c>
      <c r="BF26" s="3">
        <v>20000</v>
      </c>
      <c r="BG26" s="3">
        <v>20000</v>
      </c>
      <c r="BH26" s="3">
        <v>20000</v>
      </c>
      <c r="BI26" s="3">
        <v>20000</v>
      </c>
      <c r="BJ26" s="3">
        <v>20000</v>
      </c>
      <c r="BK26" s="3">
        <v>20000</v>
      </c>
      <c r="BL26" s="3">
        <v>20000</v>
      </c>
      <c r="BM26" s="3">
        <v>20000</v>
      </c>
      <c r="BN26" s="3">
        <v>20000</v>
      </c>
      <c r="BO26" s="3">
        <v>20000</v>
      </c>
      <c r="BP26" s="3">
        <v>20000</v>
      </c>
      <c r="BQ26" s="3">
        <v>20000</v>
      </c>
      <c r="BR26" s="3">
        <v>20000</v>
      </c>
      <c r="BS26" s="3">
        <v>20000</v>
      </c>
      <c r="BT26" s="3">
        <v>20000</v>
      </c>
      <c r="BU26" s="3">
        <v>20000</v>
      </c>
      <c r="BV26" s="3">
        <v>20000</v>
      </c>
      <c r="BW26" s="3">
        <v>20000</v>
      </c>
      <c r="BX26" s="3">
        <v>20000</v>
      </c>
      <c r="BY26" s="3">
        <v>20000</v>
      </c>
      <c r="BZ26" s="3">
        <v>20000</v>
      </c>
      <c r="CA26" s="3">
        <v>20000</v>
      </c>
      <c r="CB26" s="3">
        <v>20000</v>
      </c>
      <c r="CC26" s="3">
        <v>20000</v>
      </c>
      <c r="CD26" s="3">
        <v>20000</v>
      </c>
      <c r="CE26" s="3">
        <v>20000</v>
      </c>
      <c r="CF26" s="3">
        <v>20000</v>
      </c>
      <c r="CG26" s="3">
        <v>20000</v>
      </c>
      <c r="CH26" s="3">
        <v>20000</v>
      </c>
      <c r="CI26" s="3">
        <v>20000</v>
      </c>
      <c r="CJ26" s="3">
        <v>20000</v>
      </c>
      <c r="CK26" s="3">
        <v>20000</v>
      </c>
      <c r="CL26" s="3">
        <v>20000</v>
      </c>
      <c r="CM26" s="3">
        <v>20000</v>
      </c>
      <c r="CN26" s="3">
        <v>20000</v>
      </c>
      <c r="CO26" s="3">
        <v>20000</v>
      </c>
      <c r="CP26" s="3">
        <v>20000</v>
      </c>
      <c r="CQ26" s="3">
        <v>20000</v>
      </c>
      <c r="CR26" s="3">
        <v>20000</v>
      </c>
      <c r="CS26" s="3">
        <v>20000</v>
      </c>
      <c r="CT26" s="3">
        <v>20000</v>
      </c>
      <c r="CU26" s="3">
        <v>20000</v>
      </c>
      <c r="CV26" s="3">
        <v>20000</v>
      </c>
      <c r="CW26" s="3">
        <v>20000</v>
      </c>
      <c r="CX26" s="3">
        <v>20000</v>
      </c>
      <c r="CY26" s="3">
        <v>20000</v>
      </c>
      <c r="CZ26" s="3">
        <v>20000</v>
      </c>
      <c r="DA26" s="3">
        <v>20000</v>
      </c>
      <c r="DB26" s="3">
        <v>20000</v>
      </c>
      <c r="DC26" s="3">
        <v>20000</v>
      </c>
      <c r="DD26" s="3">
        <v>20000</v>
      </c>
      <c r="DE26" s="3">
        <v>20000</v>
      </c>
      <c r="DF26" s="3">
        <v>20000</v>
      </c>
      <c r="DG26" s="3">
        <v>20000</v>
      </c>
      <c r="DH26" s="3">
        <v>20000</v>
      </c>
      <c r="DI26" s="3">
        <v>20000</v>
      </c>
      <c r="DJ26" s="3">
        <v>20000</v>
      </c>
      <c r="DK26" s="3">
        <v>20000</v>
      </c>
      <c r="DL26" s="3">
        <v>20000</v>
      </c>
      <c r="DM26" s="3">
        <v>20000</v>
      </c>
      <c r="DN26" s="3">
        <v>20000</v>
      </c>
      <c r="DO26" s="3">
        <v>20000</v>
      </c>
      <c r="DP26" s="3">
        <v>20000</v>
      </c>
      <c r="DQ26" s="3">
        <v>20000</v>
      </c>
      <c r="DR26" s="3">
        <v>20000</v>
      </c>
      <c r="DS26" s="3">
        <v>20000</v>
      </c>
      <c r="DT26" s="3">
        <v>20000</v>
      </c>
      <c r="DU26" s="3">
        <v>20000</v>
      </c>
      <c r="DV26" s="3">
        <v>20000</v>
      </c>
      <c r="DW26" s="3">
        <v>20000</v>
      </c>
      <c r="DX26" s="3">
        <v>20000</v>
      </c>
      <c r="DY26" s="3">
        <v>20000</v>
      </c>
      <c r="DZ26" s="3">
        <v>20000</v>
      </c>
      <c r="EA26" s="3">
        <v>20000</v>
      </c>
      <c r="EB26" s="3">
        <v>20000</v>
      </c>
      <c r="EC26" s="3">
        <v>20000</v>
      </c>
      <c r="ED26" s="3">
        <v>20000</v>
      </c>
      <c r="EE26" s="3">
        <v>20000</v>
      </c>
      <c r="EF26" s="3">
        <v>20000</v>
      </c>
      <c r="EG26" s="3">
        <v>20000</v>
      </c>
      <c r="EH26" s="3">
        <v>20000</v>
      </c>
      <c r="EI26" s="3">
        <v>20000</v>
      </c>
      <c r="EJ26" s="3">
        <v>20000</v>
      </c>
      <c r="EK26" s="3">
        <v>20000</v>
      </c>
      <c r="EL26" s="3">
        <v>20000</v>
      </c>
      <c r="EM26" s="3">
        <v>20000</v>
      </c>
      <c r="EN26" s="3">
        <v>20000</v>
      </c>
      <c r="EO26" s="3">
        <v>20000</v>
      </c>
      <c r="EP26" s="3">
        <v>20000</v>
      </c>
      <c r="EQ26" s="3">
        <v>20000</v>
      </c>
      <c r="ER26" s="3">
        <v>20000</v>
      </c>
      <c r="ES26" s="3">
        <v>20000</v>
      </c>
      <c r="ET26" s="3">
        <v>20000</v>
      </c>
      <c r="EU26" s="3">
        <v>20000</v>
      </c>
      <c r="EV26" s="3">
        <v>20000</v>
      </c>
      <c r="EW26" s="3">
        <v>20000</v>
      </c>
      <c r="EX26" s="3">
        <v>20000</v>
      </c>
      <c r="EY26" s="3">
        <v>20000</v>
      </c>
      <c r="EZ26" s="3">
        <v>20000</v>
      </c>
      <c r="FA26" s="3">
        <v>20000</v>
      </c>
      <c r="FB26" s="3">
        <v>20000</v>
      </c>
      <c r="FC26" s="3">
        <v>20000</v>
      </c>
      <c r="FD26" s="3">
        <v>20000</v>
      </c>
      <c r="FE26" s="3">
        <v>20000</v>
      </c>
      <c r="FF26" s="3">
        <v>20000</v>
      </c>
      <c r="FG26" s="3">
        <v>20000</v>
      </c>
      <c r="FH26" s="3">
        <v>20000</v>
      </c>
      <c r="FI26" s="3">
        <v>20000</v>
      </c>
    </row>
    <row r="27" spans="1:165" x14ac:dyDescent="0.3">
      <c r="A27" s="4" t="s">
        <v>3022</v>
      </c>
      <c r="B27" s="3">
        <v>20000</v>
      </c>
      <c r="C27" s="3">
        <v>20000</v>
      </c>
      <c r="D27" s="3">
        <v>20000</v>
      </c>
      <c r="E27" s="3">
        <v>20000</v>
      </c>
      <c r="F27" s="3">
        <v>20000</v>
      </c>
      <c r="G27" s="3">
        <v>20000</v>
      </c>
      <c r="H27" s="3">
        <v>20000</v>
      </c>
      <c r="I27" s="3">
        <v>20000</v>
      </c>
      <c r="J27" s="3">
        <v>20000</v>
      </c>
      <c r="K27" s="3">
        <v>20000</v>
      </c>
      <c r="L27" s="3">
        <v>20000</v>
      </c>
      <c r="M27" s="3">
        <v>20000</v>
      </c>
      <c r="N27" s="3">
        <v>20000</v>
      </c>
      <c r="O27" s="3">
        <v>20000</v>
      </c>
      <c r="P27" s="3">
        <v>20000</v>
      </c>
      <c r="Q27" s="3">
        <v>20000</v>
      </c>
      <c r="R27" s="3">
        <v>20000</v>
      </c>
      <c r="S27" s="3">
        <v>20000</v>
      </c>
      <c r="T27" s="3">
        <v>20000</v>
      </c>
      <c r="U27" s="3">
        <v>20000</v>
      </c>
      <c r="V27" s="3">
        <v>20000</v>
      </c>
      <c r="W27" s="3">
        <v>20000</v>
      </c>
      <c r="X27" s="3">
        <v>20000</v>
      </c>
      <c r="Y27" s="3">
        <v>20000</v>
      </c>
      <c r="Z27" s="3">
        <v>20000</v>
      </c>
      <c r="AA27" s="3">
        <v>20000</v>
      </c>
      <c r="AB27" s="3">
        <v>20000</v>
      </c>
      <c r="AC27" s="3">
        <v>20000</v>
      </c>
      <c r="AD27" s="3">
        <v>20000</v>
      </c>
      <c r="AE27" s="3">
        <v>20000</v>
      </c>
      <c r="AF27" s="3">
        <v>20000</v>
      </c>
      <c r="AG27" s="3">
        <v>20000</v>
      </c>
      <c r="AH27" s="3">
        <v>20000</v>
      </c>
      <c r="AI27" s="3">
        <v>20000</v>
      </c>
      <c r="AJ27" s="3">
        <v>20000</v>
      </c>
      <c r="AK27" s="3">
        <v>20000</v>
      </c>
      <c r="AL27" s="3">
        <v>20000</v>
      </c>
      <c r="AM27" s="3">
        <v>20000</v>
      </c>
      <c r="AN27" s="3">
        <v>20000</v>
      </c>
      <c r="AO27" s="3">
        <v>20000</v>
      </c>
      <c r="AP27" s="3">
        <v>20000</v>
      </c>
      <c r="AQ27" s="3">
        <v>20000</v>
      </c>
      <c r="AR27" s="3">
        <v>20000</v>
      </c>
      <c r="AS27" s="3">
        <v>20000</v>
      </c>
      <c r="AT27" s="3">
        <v>20000</v>
      </c>
      <c r="AU27" s="3">
        <v>20000</v>
      </c>
      <c r="AV27" s="3">
        <v>20000</v>
      </c>
      <c r="AW27" s="3">
        <v>20000</v>
      </c>
      <c r="AX27" s="3">
        <v>20000</v>
      </c>
      <c r="AY27" s="3">
        <v>20000</v>
      </c>
      <c r="AZ27" s="3">
        <v>20000</v>
      </c>
      <c r="BA27" s="3">
        <v>20000</v>
      </c>
      <c r="BB27" s="3">
        <v>20000</v>
      </c>
      <c r="BC27" s="3">
        <v>20000</v>
      </c>
      <c r="BD27" s="3">
        <v>20000</v>
      </c>
      <c r="BE27" s="3">
        <v>20000</v>
      </c>
      <c r="BF27" s="3">
        <v>20000</v>
      </c>
      <c r="BG27" s="3">
        <v>20000</v>
      </c>
      <c r="BH27" s="3">
        <v>20000</v>
      </c>
      <c r="BI27" s="3">
        <v>20000</v>
      </c>
      <c r="BJ27" s="3">
        <v>20000</v>
      </c>
      <c r="BK27" s="3">
        <v>20000</v>
      </c>
      <c r="BL27" s="3">
        <v>20000</v>
      </c>
      <c r="BM27" s="3">
        <v>20000</v>
      </c>
      <c r="BN27" s="3">
        <v>20000</v>
      </c>
      <c r="BO27" s="3">
        <v>20000</v>
      </c>
      <c r="BP27" s="3">
        <v>20000</v>
      </c>
      <c r="BQ27" s="3">
        <v>20000</v>
      </c>
      <c r="BR27" s="3">
        <v>20000</v>
      </c>
      <c r="BS27" s="3">
        <v>20000</v>
      </c>
      <c r="BT27" s="3">
        <v>20000</v>
      </c>
      <c r="BU27" s="3">
        <v>20000</v>
      </c>
      <c r="BV27" s="3">
        <v>20000</v>
      </c>
      <c r="BW27" s="3">
        <v>20000</v>
      </c>
      <c r="BX27" s="3">
        <v>20000</v>
      </c>
      <c r="BY27" s="3">
        <v>20000</v>
      </c>
      <c r="BZ27" s="3">
        <v>20000</v>
      </c>
      <c r="CA27" s="3">
        <v>20000</v>
      </c>
      <c r="CB27" s="3">
        <v>20000</v>
      </c>
      <c r="CC27" s="3">
        <v>20000</v>
      </c>
      <c r="CD27" s="3">
        <v>20000</v>
      </c>
      <c r="CE27" s="3">
        <v>20000</v>
      </c>
      <c r="CF27" s="3">
        <v>20000</v>
      </c>
      <c r="CG27" s="3">
        <v>20000</v>
      </c>
      <c r="CH27" s="3">
        <v>20000</v>
      </c>
      <c r="CI27" s="3">
        <v>20000</v>
      </c>
      <c r="CJ27" s="3">
        <v>20000</v>
      </c>
      <c r="CK27" s="3">
        <v>20000</v>
      </c>
      <c r="CL27" s="3">
        <v>20000</v>
      </c>
      <c r="CM27" s="3">
        <v>20000</v>
      </c>
      <c r="CN27" s="3">
        <v>20000</v>
      </c>
      <c r="CO27" s="3">
        <v>20000</v>
      </c>
      <c r="CP27" s="3">
        <v>20000</v>
      </c>
      <c r="CQ27" s="3">
        <v>20000</v>
      </c>
      <c r="CR27" s="3">
        <v>20000</v>
      </c>
      <c r="CS27" s="3">
        <v>20000</v>
      </c>
      <c r="CT27" s="3">
        <v>20000</v>
      </c>
      <c r="CU27" s="3">
        <v>20000</v>
      </c>
      <c r="CV27" s="3">
        <v>20000</v>
      </c>
      <c r="CW27" s="3">
        <v>20000</v>
      </c>
      <c r="CX27" s="3">
        <v>20000</v>
      </c>
      <c r="CY27" s="3">
        <v>20000</v>
      </c>
      <c r="CZ27" s="3">
        <v>20000</v>
      </c>
      <c r="DA27" s="3">
        <v>20000</v>
      </c>
      <c r="DB27" s="3">
        <v>20000</v>
      </c>
      <c r="DC27" s="3">
        <v>20000</v>
      </c>
      <c r="DD27" s="3">
        <v>20000</v>
      </c>
      <c r="DE27" s="3">
        <v>20000</v>
      </c>
      <c r="DF27" s="3">
        <v>20000</v>
      </c>
      <c r="DG27" s="3">
        <v>20000</v>
      </c>
      <c r="DH27" s="3">
        <v>20000</v>
      </c>
      <c r="DI27" s="3">
        <v>20000</v>
      </c>
      <c r="DJ27" s="3">
        <v>20000</v>
      </c>
      <c r="DK27" s="3">
        <v>20000</v>
      </c>
      <c r="DL27" s="3">
        <v>20000</v>
      </c>
      <c r="DM27" s="3">
        <v>20000</v>
      </c>
      <c r="DN27" s="3">
        <v>20000</v>
      </c>
      <c r="DO27" s="3">
        <v>20000</v>
      </c>
      <c r="DP27" s="3">
        <v>20000</v>
      </c>
      <c r="DQ27" s="3">
        <v>20000</v>
      </c>
      <c r="DR27" s="3">
        <v>20000</v>
      </c>
      <c r="DS27" s="3">
        <v>20000</v>
      </c>
      <c r="DT27" s="3">
        <v>20000</v>
      </c>
      <c r="DU27" s="3">
        <v>20000</v>
      </c>
      <c r="DV27" s="3">
        <v>20000</v>
      </c>
      <c r="DW27" s="3">
        <v>20000</v>
      </c>
      <c r="DX27" s="3">
        <v>20000</v>
      </c>
      <c r="DY27" s="3">
        <v>20000</v>
      </c>
      <c r="DZ27" s="3">
        <v>20000</v>
      </c>
      <c r="EA27" s="3">
        <v>20000</v>
      </c>
      <c r="EB27" s="3">
        <v>20000</v>
      </c>
      <c r="EC27" s="3">
        <v>20000</v>
      </c>
      <c r="ED27" s="3">
        <v>20000</v>
      </c>
      <c r="EE27" s="3">
        <v>20000</v>
      </c>
      <c r="EF27" s="3">
        <v>20000</v>
      </c>
      <c r="EG27" s="3">
        <v>20000</v>
      </c>
      <c r="EH27" s="3">
        <v>20000</v>
      </c>
      <c r="EI27" s="3">
        <v>20000</v>
      </c>
      <c r="EJ27" s="3">
        <v>20000</v>
      </c>
      <c r="EK27" s="3">
        <v>20000</v>
      </c>
      <c r="EL27" s="3">
        <v>20000</v>
      </c>
      <c r="EM27" s="3">
        <v>20000</v>
      </c>
      <c r="EN27" s="3">
        <v>20000</v>
      </c>
      <c r="EO27" s="3">
        <v>20000</v>
      </c>
      <c r="EP27" s="3">
        <v>20000</v>
      </c>
      <c r="EQ27" s="3">
        <v>20000</v>
      </c>
      <c r="ER27" s="3">
        <v>20000</v>
      </c>
      <c r="ES27" s="3">
        <v>20000</v>
      </c>
      <c r="ET27" s="3">
        <v>20000</v>
      </c>
      <c r="EU27" s="3">
        <v>20000</v>
      </c>
      <c r="EV27" s="3">
        <v>20000</v>
      </c>
      <c r="EW27" s="3">
        <v>20000</v>
      </c>
      <c r="EX27" s="3">
        <v>20000</v>
      </c>
      <c r="EY27" s="3">
        <v>20000</v>
      </c>
      <c r="EZ27" s="3">
        <v>20000</v>
      </c>
      <c r="FA27" s="3">
        <v>20000</v>
      </c>
      <c r="FB27" s="3">
        <v>20000</v>
      </c>
      <c r="FC27" s="3">
        <v>20000</v>
      </c>
      <c r="FD27" s="3">
        <v>20000</v>
      </c>
      <c r="FE27" s="3">
        <v>20000</v>
      </c>
      <c r="FF27" s="3">
        <v>20000</v>
      </c>
      <c r="FG27" s="3">
        <v>20000</v>
      </c>
      <c r="FH27" s="3">
        <v>20000</v>
      </c>
      <c r="FI27" s="3">
        <v>20000</v>
      </c>
    </row>
    <row r="28" spans="1:165" x14ac:dyDescent="0.3">
      <c r="A28" s="4" t="s">
        <v>3023</v>
      </c>
      <c r="B28" s="3">
        <v>20000</v>
      </c>
      <c r="C28" s="3">
        <v>20000</v>
      </c>
      <c r="D28" s="3">
        <v>20000</v>
      </c>
      <c r="E28" s="3">
        <v>20000</v>
      </c>
      <c r="F28" s="3">
        <v>20000</v>
      </c>
      <c r="G28" s="3">
        <v>20000</v>
      </c>
      <c r="H28" s="3">
        <v>20000</v>
      </c>
      <c r="I28" s="3">
        <v>20000</v>
      </c>
      <c r="J28" s="3">
        <v>20000</v>
      </c>
      <c r="K28" s="3">
        <v>20000</v>
      </c>
      <c r="L28" s="3">
        <v>20000</v>
      </c>
      <c r="M28" s="3">
        <v>20000</v>
      </c>
      <c r="N28" s="3">
        <v>20000</v>
      </c>
      <c r="O28" s="3">
        <v>20000</v>
      </c>
      <c r="P28" s="3">
        <v>20000</v>
      </c>
      <c r="Q28" s="3">
        <v>20000</v>
      </c>
      <c r="R28" s="3">
        <v>20000</v>
      </c>
      <c r="S28" s="3">
        <v>20000</v>
      </c>
      <c r="T28" s="3">
        <v>20000</v>
      </c>
      <c r="U28" s="3">
        <v>20000</v>
      </c>
      <c r="V28" s="3">
        <v>20000</v>
      </c>
      <c r="W28" s="3">
        <v>20000</v>
      </c>
      <c r="X28" s="3">
        <v>20000</v>
      </c>
      <c r="Y28" s="3">
        <v>20000</v>
      </c>
      <c r="Z28" s="3">
        <v>20000</v>
      </c>
      <c r="AA28" s="3">
        <v>20000</v>
      </c>
      <c r="AB28" s="3">
        <v>20000</v>
      </c>
      <c r="AC28" s="3">
        <v>20000</v>
      </c>
      <c r="AD28" s="3">
        <v>20000</v>
      </c>
      <c r="AE28" s="3">
        <v>20000</v>
      </c>
      <c r="AF28" s="3">
        <v>20000</v>
      </c>
      <c r="AG28" s="3">
        <v>20000</v>
      </c>
      <c r="AH28" s="3">
        <v>20000</v>
      </c>
      <c r="AI28" s="3">
        <v>20000</v>
      </c>
      <c r="AJ28" s="3">
        <v>20000</v>
      </c>
      <c r="AK28" s="3">
        <v>20000</v>
      </c>
      <c r="AL28" s="3">
        <v>20000</v>
      </c>
      <c r="AM28" s="3">
        <v>20000</v>
      </c>
      <c r="AN28" s="3">
        <v>20000</v>
      </c>
      <c r="AO28" s="3">
        <v>20000</v>
      </c>
      <c r="AP28" s="3">
        <v>20000</v>
      </c>
      <c r="AQ28" s="3">
        <v>20000</v>
      </c>
      <c r="AR28" s="3">
        <v>20000</v>
      </c>
      <c r="AS28" s="3">
        <v>20000</v>
      </c>
      <c r="AT28" s="3">
        <v>20000</v>
      </c>
      <c r="AU28" s="3">
        <v>20000</v>
      </c>
      <c r="AV28" s="3">
        <v>20000</v>
      </c>
      <c r="AW28" s="3">
        <v>20000</v>
      </c>
      <c r="AX28" s="3">
        <v>20000</v>
      </c>
      <c r="AY28" s="3">
        <v>20000</v>
      </c>
      <c r="AZ28" s="3">
        <v>20000</v>
      </c>
      <c r="BA28" s="3">
        <v>20000</v>
      </c>
      <c r="BB28" s="3">
        <v>20000</v>
      </c>
      <c r="BC28" s="3">
        <v>20000</v>
      </c>
      <c r="BD28" s="3">
        <v>20000</v>
      </c>
      <c r="BE28" s="3">
        <v>20000</v>
      </c>
      <c r="BF28" s="3">
        <v>20000</v>
      </c>
      <c r="BG28" s="3">
        <v>20000</v>
      </c>
      <c r="BH28" s="3">
        <v>20000</v>
      </c>
      <c r="BI28" s="3">
        <v>20000</v>
      </c>
      <c r="BJ28" s="3">
        <v>20000</v>
      </c>
      <c r="BK28" s="3">
        <v>20000</v>
      </c>
      <c r="BL28" s="3">
        <v>20000</v>
      </c>
      <c r="BM28" s="3">
        <v>20000</v>
      </c>
      <c r="BN28" s="3">
        <v>20000</v>
      </c>
      <c r="BO28" s="3">
        <v>20000</v>
      </c>
      <c r="BP28" s="3">
        <v>20000</v>
      </c>
      <c r="BQ28" s="3">
        <v>20000</v>
      </c>
      <c r="BR28" s="3">
        <v>20000</v>
      </c>
      <c r="BS28" s="3">
        <v>20000</v>
      </c>
      <c r="BT28" s="3">
        <v>20000</v>
      </c>
      <c r="BU28" s="3">
        <v>20000</v>
      </c>
      <c r="BV28" s="3">
        <v>20000</v>
      </c>
      <c r="BW28" s="3">
        <v>20000</v>
      </c>
      <c r="BX28" s="3">
        <v>20000</v>
      </c>
      <c r="BY28" s="3">
        <v>20000</v>
      </c>
      <c r="BZ28" s="3">
        <v>20000</v>
      </c>
      <c r="CA28" s="3">
        <v>20000</v>
      </c>
      <c r="CB28" s="3">
        <v>20000</v>
      </c>
      <c r="CC28" s="3">
        <v>20000</v>
      </c>
      <c r="CD28" s="3">
        <v>20000</v>
      </c>
      <c r="CE28" s="3">
        <v>20000</v>
      </c>
      <c r="CF28" s="3">
        <v>20000</v>
      </c>
      <c r="CG28" s="3">
        <v>20000</v>
      </c>
      <c r="CH28" s="3">
        <v>20000</v>
      </c>
      <c r="CI28" s="3">
        <v>20000</v>
      </c>
      <c r="CJ28" s="3">
        <v>20000</v>
      </c>
      <c r="CK28" s="3">
        <v>20000</v>
      </c>
      <c r="CL28" s="3">
        <v>20000</v>
      </c>
      <c r="CM28" s="3">
        <v>20000</v>
      </c>
      <c r="CN28" s="3">
        <v>20000</v>
      </c>
      <c r="CO28" s="3">
        <v>20000</v>
      </c>
      <c r="CP28" s="3">
        <v>20000</v>
      </c>
      <c r="CQ28" s="3">
        <v>20000</v>
      </c>
      <c r="CR28" s="3">
        <v>20000</v>
      </c>
      <c r="CS28" s="3">
        <v>20000</v>
      </c>
      <c r="CT28" s="3">
        <v>20000</v>
      </c>
      <c r="CU28" s="3">
        <v>20000</v>
      </c>
      <c r="CV28" s="3">
        <v>20000</v>
      </c>
      <c r="CW28" s="3">
        <v>20000</v>
      </c>
      <c r="CX28" s="3">
        <v>20000</v>
      </c>
      <c r="CY28" s="3">
        <v>20000</v>
      </c>
      <c r="CZ28" s="3">
        <v>20000</v>
      </c>
      <c r="DA28" s="3">
        <v>20000</v>
      </c>
      <c r="DB28" s="3">
        <v>20000</v>
      </c>
      <c r="DC28" s="3">
        <v>20000</v>
      </c>
      <c r="DD28" s="3">
        <v>20000</v>
      </c>
      <c r="DE28" s="3">
        <v>20000</v>
      </c>
      <c r="DF28" s="3">
        <v>20000</v>
      </c>
      <c r="DG28" s="3">
        <v>20000</v>
      </c>
      <c r="DH28" s="3">
        <v>20000</v>
      </c>
      <c r="DI28" s="3">
        <v>20000</v>
      </c>
      <c r="DJ28" s="3">
        <v>20000</v>
      </c>
      <c r="DK28" s="3">
        <v>20000</v>
      </c>
      <c r="DL28" s="3">
        <v>20000</v>
      </c>
      <c r="DM28" s="3">
        <v>20000</v>
      </c>
      <c r="DN28" s="3">
        <v>20000</v>
      </c>
      <c r="DO28" s="3">
        <v>20000</v>
      </c>
      <c r="DP28" s="3">
        <v>20000</v>
      </c>
      <c r="DQ28" s="3">
        <v>20000</v>
      </c>
      <c r="DR28" s="3">
        <v>20000</v>
      </c>
      <c r="DS28" s="3">
        <v>20000</v>
      </c>
      <c r="DT28" s="3">
        <v>20000</v>
      </c>
      <c r="DU28" s="3">
        <v>20000</v>
      </c>
      <c r="DV28" s="3">
        <v>20000</v>
      </c>
      <c r="DW28" s="3">
        <v>20000</v>
      </c>
      <c r="DX28" s="3">
        <v>20000</v>
      </c>
      <c r="DY28" s="3">
        <v>20000</v>
      </c>
      <c r="DZ28" s="3">
        <v>20000</v>
      </c>
      <c r="EA28" s="3">
        <v>20000</v>
      </c>
      <c r="EB28" s="3">
        <v>20000</v>
      </c>
      <c r="EC28" s="3">
        <v>20000</v>
      </c>
      <c r="ED28" s="3">
        <v>20000</v>
      </c>
      <c r="EE28" s="3">
        <v>20000</v>
      </c>
      <c r="EF28" s="3">
        <v>20000</v>
      </c>
      <c r="EG28" s="3">
        <v>20000</v>
      </c>
      <c r="EH28" s="3">
        <v>20000</v>
      </c>
      <c r="EI28" s="3">
        <v>20000</v>
      </c>
      <c r="EJ28" s="3">
        <v>20000</v>
      </c>
      <c r="EK28" s="3">
        <v>20000</v>
      </c>
      <c r="EL28" s="3">
        <v>20000</v>
      </c>
      <c r="EM28" s="3">
        <v>20000</v>
      </c>
      <c r="EN28" s="3">
        <v>20000</v>
      </c>
      <c r="EO28" s="3">
        <v>20000</v>
      </c>
      <c r="EP28" s="3">
        <v>20000</v>
      </c>
      <c r="EQ28" s="3">
        <v>20000</v>
      </c>
      <c r="ER28" s="3">
        <v>20000</v>
      </c>
      <c r="ES28" s="3">
        <v>20000</v>
      </c>
      <c r="ET28" s="3">
        <v>20000</v>
      </c>
      <c r="EU28" s="3">
        <v>20000</v>
      </c>
      <c r="EV28" s="3">
        <v>20000</v>
      </c>
      <c r="EW28" s="3">
        <v>20000</v>
      </c>
      <c r="EX28" s="3">
        <v>20000</v>
      </c>
      <c r="EY28" s="3">
        <v>20000</v>
      </c>
      <c r="EZ28" s="3">
        <v>20000</v>
      </c>
      <c r="FA28" s="3">
        <v>20000</v>
      </c>
      <c r="FB28" s="3">
        <v>20000</v>
      </c>
      <c r="FC28" s="3">
        <v>20000</v>
      </c>
      <c r="FD28" s="3">
        <v>20000</v>
      </c>
      <c r="FE28" s="3">
        <v>20000</v>
      </c>
      <c r="FF28" s="3">
        <v>20000</v>
      </c>
      <c r="FG28" s="3">
        <v>20000</v>
      </c>
      <c r="FH28" s="3">
        <v>20000</v>
      </c>
      <c r="FI28" s="3">
        <v>20000</v>
      </c>
    </row>
    <row r="29" spans="1:165" x14ac:dyDescent="0.3">
      <c r="A29" s="4" t="s">
        <v>3024</v>
      </c>
      <c r="B29" s="3">
        <v>20000</v>
      </c>
      <c r="C29" s="3">
        <v>20000</v>
      </c>
      <c r="D29" s="3">
        <v>20000</v>
      </c>
      <c r="E29" s="3">
        <v>20000</v>
      </c>
      <c r="F29" s="3">
        <v>20000</v>
      </c>
      <c r="G29" s="3">
        <v>20000</v>
      </c>
      <c r="H29" s="3">
        <v>20000</v>
      </c>
      <c r="I29" s="3">
        <v>20000</v>
      </c>
      <c r="J29" s="3">
        <v>20000</v>
      </c>
      <c r="K29" s="3">
        <v>20000</v>
      </c>
      <c r="L29" s="3">
        <v>20000</v>
      </c>
      <c r="M29" s="3">
        <v>20000</v>
      </c>
      <c r="N29" s="3">
        <v>20000</v>
      </c>
      <c r="O29" s="3">
        <v>20000</v>
      </c>
      <c r="P29" s="3">
        <v>20000</v>
      </c>
      <c r="Q29" s="3">
        <v>20000</v>
      </c>
      <c r="R29" s="3">
        <v>20000</v>
      </c>
      <c r="S29" s="3">
        <v>20000</v>
      </c>
      <c r="T29" s="3">
        <v>20000</v>
      </c>
      <c r="U29" s="3">
        <v>20000</v>
      </c>
      <c r="V29" s="3">
        <v>20000</v>
      </c>
      <c r="W29" s="3">
        <v>20000</v>
      </c>
      <c r="X29" s="3">
        <v>20000</v>
      </c>
      <c r="Y29" s="3">
        <v>20000</v>
      </c>
      <c r="Z29" s="3">
        <v>20000</v>
      </c>
      <c r="AA29" s="3">
        <v>20000</v>
      </c>
      <c r="AB29" s="3">
        <v>20000</v>
      </c>
      <c r="AC29" s="3">
        <v>20000</v>
      </c>
      <c r="AD29" s="3">
        <v>20000</v>
      </c>
      <c r="AE29" s="3">
        <v>20000</v>
      </c>
      <c r="AF29" s="3">
        <v>20000</v>
      </c>
      <c r="AG29" s="3">
        <v>20000</v>
      </c>
      <c r="AH29" s="3">
        <v>20000</v>
      </c>
      <c r="AI29" s="3">
        <v>20000</v>
      </c>
      <c r="AJ29" s="3">
        <v>20000</v>
      </c>
      <c r="AK29" s="3">
        <v>20000</v>
      </c>
      <c r="AL29" s="3">
        <v>20000</v>
      </c>
      <c r="AM29" s="3">
        <v>20000</v>
      </c>
      <c r="AN29" s="3">
        <v>20000</v>
      </c>
      <c r="AO29" s="3">
        <v>20000</v>
      </c>
      <c r="AP29" s="3">
        <v>20000</v>
      </c>
      <c r="AQ29" s="3">
        <v>20000</v>
      </c>
      <c r="AR29" s="3">
        <v>20000</v>
      </c>
      <c r="AS29" s="3">
        <v>20000</v>
      </c>
      <c r="AT29" s="3">
        <v>20000</v>
      </c>
      <c r="AU29" s="3">
        <v>20000</v>
      </c>
      <c r="AV29" s="3">
        <v>20000</v>
      </c>
      <c r="AW29" s="3">
        <v>20000</v>
      </c>
      <c r="AX29" s="3">
        <v>20000</v>
      </c>
      <c r="AY29" s="3">
        <v>20000</v>
      </c>
      <c r="AZ29" s="3">
        <v>20000</v>
      </c>
      <c r="BA29" s="3">
        <v>20000</v>
      </c>
      <c r="BB29" s="3">
        <v>20000</v>
      </c>
      <c r="BC29" s="3">
        <v>20000</v>
      </c>
      <c r="BD29" s="3">
        <v>20000</v>
      </c>
      <c r="BE29" s="3">
        <v>20000</v>
      </c>
      <c r="BF29" s="3">
        <v>20000</v>
      </c>
      <c r="BG29" s="3">
        <v>20000</v>
      </c>
      <c r="BH29" s="3">
        <v>20000</v>
      </c>
      <c r="BI29" s="3">
        <v>20000</v>
      </c>
      <c r="BJ29" s="3">
        <v>20000</v>
      </c>
      <c r="BK29" s="3">
        <v>20000</v>
      </c>
      <c r="BL29" s="3">
        <v>20000</v>
      </c>
      <c r="BM29" s="3">
        <v>20000</v>
      </c>
      <c r="BN29" s="3">
        <v>20000</v>
      </c>
      <c r="BO29" s="3">
        <v>20000</v>
      </c>
      <c r="BP29" s="3">
        <v>20000</v>
      </c>
      <c r="BQ29" s="3">
        <v>20000</v>
      </c>
      <c r="BR29" s="3">
        <v>20000</v>
      </c>
      <c r="BS29" s="3">
        <v>20000</v>
      </c>
      <c r="BT29" s="3">
        <v>20000</v>
      </c>
      <c r="BU29" s="3">
        <v>20000</v>
      </c>
      <c r="BV29" s="3">
        <v>20000</v>
      </c>
      <c r="BW29" s="3">
        <v>20000</v>
      </c>
      <c r="BX29" s="3">
        <v>20000</v>
      </c>
      <c r="BY29" s="3">
        <v>20000</v>
      </c>
      <c r="BZ29" s="3">
        <v>20000</v>
      </c>
      <c r="CA29" s="3">
        <v>20000</v>
      </c>
      <c r="CB29" s="3">
        <v>20000</v>
      </c>
      <c r="CC29" s="3">
        <v>20000</v>
      </c>
      <c r="CD29" s="3">
        <v>20000</v>
      </c>
      <c r="CE29" s="3">
        <v>20000</v>
      </c>
      <c r="CF29" s="3">
        <v>20000</v>
      </c>
      <c r="CG29" s="3">
        <v>20000</v>
      </c>
      <c r="CH29" s="3">
        <v>20000</v>
      </c>
      <c r="CI29" s="3">
        <v>20000</v>
      </c>
      <c r="CJ29" s="3">
        <v>20000</v>
      </c>
      <c r="CK29" s="3">
        <v>20000</v>
      </c>
      <c r="CL29" s="3">
        <v>20000</v>
      </c>
      <c r="CM29" s="3">
        <v>20000</v>
      </c>
      <c r="CN29" s="3">
        <v>20000</v>
      </c>
      <c r="CO29" s="3">
        <v>20000</v>
      </c>
      <c r="CP29" s="3">
        <v>20000</v>
      </c>
      <c r="CQ29" s="3">
        <v>20000</v>
      </c>
      <c r="CR29" s="3">
        <v>20000</v>
      </c>
      <c r="CS29" s="3">
        <v>20000</v>
      </c>
      <c r="CT29" s="3">
        <v>20000</v>
      </c>
      <c r="CU29" s="3">
        <v>20000</v>
      </c>
      <c r="CV29" s="3">
        <v>20000</v>
      </c>
      <c r="CW29" s="3">
        <v>20000</v>
      </c>
      <c r="CX29" s="3">
        <v>20000</v>
      </c>
      <c r="CY29" s="3">
        <v>20000</v>
      </c>
      <c r="CZ29" s="3">
        <v>20000</v>
      </c>
      <c r="DA29" s="3">
        <v>20000</v>
      </c>
      <c r="DB29" s="3">
        <v>20000</v>
      </c>
      <c r="DC29" s="3">
        <v>20000</v>
      </c>
      <c r="DD29" s="3">
        <v>20000</v>
      </c>
      <c r="DE29" s="3">
        <v>20000</v>
      </c>
      <c r="DF29" s="3">
        <v>20000</v>
      </c>
      <c r="DG29" s="3">
        <v>20000</v>
      </c>
      <c r="DH29" s="3">
        <v>20000</v>
      </c>
      <c r="DI29" s="3">
        <v>20000</v>
      </c>
      <c r="DJ29" s="3">
        <v>20000</v>
      </c>
      <c r="DK29" s="3">
        <v>20000</v>
      </c>
      <c r="DL29" s="3">
        <v>20000</v>
      </c>
      <c r="DM29" s="3">
        <v>20000</v>
      </c>
      <c r="DN29" s="3">
        <v>20000</v>
      </c>
      <c r="DO29" s="3">
        <v>20000</v>
      </c>
      <c r="DP29" s="3">
        <v>20000</v>
      </c>
      <c r="DQ29" s="3">
        <v>20000</v>
      </c>
      <c r="DR29" s="3">
        <v>20000</v>
      </c>
      <c r="DS29" s="3">
        <v>20000</v>
      </c>
      <c r="DT29" s="3">
        <v>20000</v>
      </c>
      <c r="DU29" s="3">
        <v>20000</v>
      </c>
      <c r="DV29" s="3">
        <v>20000</v>
      </c>
      <c r="DW29" s="3">
        <v>20000</v>
      </c>
      <c r="DX29" s="3">
        <v>20000</v>
      </c>
      <c r="DY29" s="3">
        <v>20000</v>
      </c>
      <c r="DZ29" s="3">
        <v>20000</v>
      </c>
      <c r="EA29" s="3">
        <v>20000</v>
      </c>
      <c r="EB29" s="3">
        <v>20000</v>
      </c>
      <c r="EC29" s="3">
        <v>20000</v>
      </c>
      <c r="ED29" s="3">
        <v>20000</v>
      </c>
      <c r="EE29" s="3">
        <v>20000</v>
      </c>
      <c r="EF29" s="3">
        <v>20000</v>
      </c>
      <c r="EG29" s="3">
        <v>20000</v>
      </c>
      <c r="EH29" s="3">
        <v>20000</v>
      </c>
      <c r="EI29" s="3">
        <v>20000</v>
      </c>
      <c r="EJ29" s="3">
        <v>20000</v>
      </c>
      <c r="EK29" s="3">
        <v>20000</v>
      </c>
      <c r="EL29" s="3">
        <v>20000</v>
      </c>
      <c r="EM29" s="3">
        <v>20000</v>
      </c>
      <c r="EN29" s="3">
        <v>20000</v>
      </c>
      <c r="EO29" s="3">
        <v>20000</v>
      </c>
      <c r="EP29" s="3">
        <v>20000</v>
      </c>
      <c r="EQ29" s="3">
        <v>20000</v>
      </c>
      <c r="ER29" s="3">
        <v>20000</v>
      </c>
      <c r="ES29" s="3">
        <v>20000</v>
      </c>
      <c r="ET29" s="3">
        <v>20000</v>
      </c>
      <c r="EU29" s="3">
        <v>20000</v>
      </c>
      <c r="EV29" s="3">
        <v>20000</v>
      </c>
      <c r="EW29" s="3">
        <v>20000</v>
      </c>
      <c r="EX29" s="3">
        <v>20000</v>
      </c>
      <c r="EY29" s="3">
        <v>20000</v>
      </c>
      <c r="EZ29" s="3">
        <v>20000</v>
      </c>
      <c r="FA29" s="3">
        <v>20000</v>
      </c>
      <c r="FB29" s="3">
        <v>20000</v>
      </c>
      <c r="FC29" s="3">
        <v>20000</v>
      </c>
      <c r="FD29" s="3">
        <v>20000</v>
      </c>
      <c r="FE29" s="3">
        <v>20000</v>
      </c>
      <c r="FF29" s="3">
        <v>20000</v>
      </c>
      <c r="FG29" s="3">
        <v>20000</v>
      </c>
      <c r="FH29" s="3">
        <v>20000</v>
      </c>
      <c r="FI29" s="3">
        <v>20000</v>
      </c>
    </row>
    <row r="30" spans="1:165" x14ac:dyDescent="0.3">
      <c r="A30" s="4" t="s">
        <v>3025</v>
      </c>
      <c r="B30" s="3">
        <v>20000</v>
      </c>
      <c r="C30" s="3">
        <v>20000</v>
      </c>
      <c r="D30" s="3">
        <v>20000</v>
      </c>
      <c r="E30" s="3">
        <v>20000</v>
      </c>
      <c r="F30" s="3">
        <v>20000</v>
      </c>
      <c r="G30" s="3">
        <v>20000</v>
      </c>
      <c r="H30" s="3">
        <v>20000</v>
      </c>
      <c r="I30" s="3">
        <v>20000</v>
      </c>
      <c r="J30" s="3">
        <v>20000</v>
      </c>
      <c r="K30" s="3">
        <v>20000</v>
      </c>
      <c r="L30" s="3">
        <v>20000</v>
      </c>
      <c r="M30" s="3">
        <v>20000</v>
      </c>
      <c r="N30" s="3">
        <v>20000</v>
      </c>
      <c r="O30" s="3">
        <v>20000</v>
      </c>
      <c r="P30" s="3">
        <v>20000</v>
      </c>
      <c r="Q30" s="3">
        <v>20000</v>
      </c>
      <c r="R30" s="3">
        <v>20000</v>
      </c>
      <c r="S30" s="3">
        <v>20000</v>
      </c>
      <c r="T30" s="3">
        <v>20000</v>
      </c>
      <c r="U30" s="3">
        <v>20000</v>
      </c>
      <c r="V30" s="3">
        <v>20000</v>
      </c>
      <c r="W30" s="3">
        <v>20000</v>
      </c>
      <c r="X30" s="3">
        <v>20000</v>
      </c>
      <c r="Y30" s="3">
        <v>20000</v>
      </c>
      <c r="Z30" s="3">
        <v>20000</v>
      </c>
      <c r="AA30" s="3">
        <v>20000</v>
      </c>
      <c r="AB30" s="3">
        <v>20000</v>
      </c>
      <c r="AC30" s="3">
        <v>20000</v>
      </c>
      <c r="AD30" s="3">
        <v>20000</v>
      </c>
      <c r="AE30" s="3">
        <v>20000</v>
      </c>
      <c r="AF30" s="3">
        <v>20000</v>
      </c>
      <c r="AG30" s="3">
        <v>20000</v>
      </c>
      <c r="AH30" s="3">
        <v>20000</v>
      </c>
      <c r="AI30" s="3">
        <v>20000</v>
      </c>
      <c r="AJ30" s="3">
        <v>20000</v>
      </c>
      <c r="AK30" s="3">
        <v>20000</v>
      </c>
      <c r="AL30" s="3">
        <v>20000</v>
      </c>
      <c r="AM30" s="3">
        <v>20000</v>
      </c>
      <c r="AN30" s="3">
        <v>20000</v>
      </c>
      <c r="AO30" s="3">
        <v>20000</v>
      </c>
      <c r="AP30" s="3">
        <v>20000</v>
      </c>
      <c r="AQ30" s="3">
        <v>20000</v>
      </c>
      <c r="AR30" s="3">
        <v>20000</v>
      </c>
      <c r="AS30" s="3">
        <v>20000</v>
      </c>
      <c r="AT30" s="3">
        <v>20000</v>
      </c>
      <c r="AU30" s="3">
        <v>20000</v>
      </c>
      <c r="AV30" s="3">
        <v>20000</v>
      </c>
      <c r="AW30" s="3">
        <v>20000</v>
      </c>
      <c r="AX30" s="3">
        <v>20000</v>
      </c>
      <c r="AY30" s="3">
        <v>20000</v>
      </c>
      <c r="AZ30" s="3">
        <v>20000</v>
      </c>
      <c r="BA30" s="3">
        <v>20000</v>
      </c>
      <c r="BB30" s="3">
        <v>20000</v>
      </c>
      <c r="BC30" s="3">
        <v>20000</v>
      </c>
      <c r="BD30" s="3">
        <v>20000</v>
      </c>
      <c r="BE30" s="3">
        <v>20000</v>
      </c>
      <c r="BF30" s="3">
        <v>20000</v>
      </c>
      <c r="BG30" s="3">
        <v>20000</v>
      </c>
      <c r="BH30" s="3">
        <v>20000</v>
      </c>
      <c r="BI30" s="3">
        <v>20000</v>
      </c>
      <c r="BJ30" s="3">
        <v>20000</v>
      </c>
      <c r="BK30" s="3">
        <v>20000</v>
      </c>
      <c r="BL30" s="3">
        <v>20000</v>
      </c>
      <c r="BM30" s="3">
        <v>20000</v>
      </c>
      <c r="BN30" s="3">
        <v>20000</v>
      </c>
      <c r="BO30" s="3">
        <v>20000</v>
      </c>
      <c r="BP30" s="3">
        <v>20000</v>
      </c>
      <c r="BQ30" s="3">
        <v>20000</v>
      </c>
      <c r="BR30" s="3">
        <v>20000</v>
      </c>
      <c r="BS30" s="3">
        <v>20000</v>
      </c>
      <c r="BT30" s="3">
        <v>20000</v>
      </c>
      <c r="BU30" s="3">
        <v>20000</v>
      </c>
      <c r="BV30" s="3">
        <v>20000</v>
      </c>
      <c r="BW30" s="3">
        <v>20000</v>
      </c>
      <c r="BX30" s="3">
        <v>20000</v>
      </c>
      <c r="BY30" s="3">
        <v>20000</v>
      </c>
      <c r="BZ30" s="3">
        <v>20000</v>
      </c>
      <c r="CA30" s="3">
        <v>20000</v>
      </c>
      <c r="CB30" s="3">
        <v>20000</v>
      </c>
      <c r="CC30" s="3">
        <v>20000</v>
      </c>
      <c r="CD30" s="3">
        <v>20000</v>
      </c>
      <c r="CE30" s="3">
        <v>20000</v>
      </c>
      <c r="CF30" s="3">
        <v>20000</v>
      </c>
      <c r="CG30" s="3">
        <v>20000</v>
      </c>
      <c r="CH30" s="3">
        <v>20000</v>
      </c>
      <c r="CI30" s="3">
        <v>20000</v>
      </c>
      <c r="CJ30" s="3">
        <v>20000</v>
      </c>
      <c r="CK30" s="3">
        <v>20000</v>
      </c>
      <c r="CL30" s="3">
        <v>20000</v>
      </c>
      <c r="CM30" s="3">
        <v>20000</v>
      </c>
      <c r="CN30" s="3">
        <v>20000</v>
      </c>
      <c r="CO30" s="3">
        <v>20000</v>
      </c>
      <c r="CP30" s="3">
        <v>20000</v>
      </c>
      <c r="CQ30" s="3">
        <v>20000</v>
      </c>
      <c r="CR30" s="3">
        <v>20000</v>
      </c>
      <c r="CS30" s="3">
        <v>20000</v>
      </c>
      <c r="CT30" s="3">
        <v>20000</v>
      </c>
      <c r="CU30" s="3">
        <v>20000</v>
      </c>
      <c r="CV30" s="3">
        <v>20000</v>
      </c>
      <c r="CW30" s="3">
        <v>20000</v>
      </c>
      <c r="CX30" s="3">
        <v>20000</v>
      </c>
      <c r="CY30" s="3">
        <v>20000</v>
      </c>
      <c r="CZ30" s="3">
        <v>20000</v>
      </c>
      <c r="DA30" s="3">
        <v>20000</v>
      </c>
      <c r="DB30" s="3">
        <v>20000</v>
      </c>
      <c r="DC30" s="3">
        <v>20000</v>
      </c>
      <c r="DD30" s="3">
        <v>20000</v>
      </c>
      <c r="DE30" s="3">
        <v>20000</v>
      </c>
      <c r="DF30" s="3">
        <v>20000</v>
      </c>
      <c r="DG30" s="3">
        <v>20000</v>
      </c>
      <c r="DH30" s="3">
        <v>20000</v>
      </c>
      <c r="DI30" s="3">
        <v>20000</v>
      </c>
      <c r="DJ30" s="3">
        <v>20000</v>
      </c>
      <c r="DK30" s="3">
        <v>20000</v>
      </c>
      <c r="DL30" s="3">
        <v>20000</v>
      </c>
      <c r="DM30" s="3">
        <v>20000</v>
      </c>
      <c r="DN30" s="3">
        <v>20000</v>
      </c>
      <c r="DO30" s="3">
        <v>20000</v>
      </c>
      <c r="DP30" s="3">
        <v>20000</v>
      </c>
      <c r="DQ30" s="3">
        <v>20000</v>
      </c>
      <c r="DR30" s="3">
        <v>20000</v>
      </c>
      <c r="DS30" s="3">
        <v>20000</v>
      </c>
      <c r="DT30" s="3">
        <v>20000</v>
      </c>
      <c r="DU30" s="3">
        <v>20000</v>
      </c>
      <c r="DV30" s="3">
        <v>20000</v>
      </c>
      <c r="DW30" s="3">
        <v>20000</v>
      </c>
      <c r="DX30" s="3">
        <v>20000</v>
      </c>
      <c r="DY30" s="3">
        <v>20000</v>
      </c>
      <c r="DZ30" s="3">
        <v>20000</v>
      </c>
      <c r="EA30" s="3">
        <v>20000</v>
      </c>
      <c r="EB30" s="3">
        <v>20000</v>
      </c>
      <c r="EC30" s="3">
        <v>20000</v>
      </c>
      <c r="ED30" s="3">
        <v>20000</v>
      </c>
      <c r="EE30" s="3">
        <v>20000</v>
      </c>
      <c r="EF30" s="3">
        <v>20000</v>
      </c>
      <c r="EG30" s="3">
        <v>20000</v>
      </c>
      <c r="EH30" s="3">
        <v>20000</v>
      </c>
      <c r="EI30" s="3">
        <v>20000</v>
      </c>
      <c r="EJ30" s="3">
        <v>20000</v>
      </c>
      <c r="EK30" s="3">
        <v>20000</v>
      </c>
      <c r="EL30" s="3">
        <v>20000</v>
      </c>
      <c r="EM30" s="3">
        <v>20000</v>
      </c>
      <c r="EN30" s="3">
        <v>20000</v>
      </c>
      <c r="EO30" s="3">
        <v>20000</v>
      </c>
      <c r="EP30" s="3">
        <v>20000</v>
      </c>
      <c r="EQ30" s="3">
        <v>20000</v>
      </c>
      <c r="ER30" s="3">
        <v>20000</v>
      </c>
      <c r="ES30" s="3">
        <v>20000</v>
      </c>
      <c r="ET30" s="3">
        <v>20000</v>
      </c>
      <c r="EU30" s="3">
        <v>20000</v>
      </c>
      <c r="EV30" s="3">
        <v>20000</v>
      </c>
      <c r="EW30" s="3">
        <v>20000</v>
      </c>
      <c r="EX30" s="3">
        <v>20000</v>
      </c>
      <c r="EY30" s="3">
        <v>20000</v>
      </c>
      <c r="EZ30" s="3">
        <v>20000</v>
      </c>
      <c r="FA30" s="3">
        <v>20000</v>
      </c>
      <c r="FB30" s="3">
        <v>20000</v>
      </c>
      <c r="FC30" s="3">
        <v>20000</v>
      </c>
      <c r="FD30" s="3">
        <v>20000</v>
      </c>
      <c r="FE30" s="3">
        <v>20000</v>
      </c>
      <c r="FF30" s="3">
        <v>20000</v>
      </c>
      <c r="FG30" s="3">
        <v>20000</v>
      </c>
      <c r="FH30" s="3">
        <v>20000</v>
      </c>
      <c r="FI30" s="3">
        <v>20000</v>
      </c>
    </row>
    <row r="31" spans="1:165" x14ac:dyDescent="0.3">
      <c r="A31" s="4" t="s">
        <v>3026</v>
      </c>
      <c r="B31" s="3">
        <v>20000</v>
      </c>
      <c r="C31" s="3">
        <v>20000</v>
      </c>
      <c r="D31" s="3">
        <v>20000</v>
      </c>
      <c r="E31" s="3">
        <v>20000</v>
      </c>
      <c r="F31" s="3">
        <v>20000</v>
      </c>
      <c r="G31" s="3">
        <v>20000</v>
      </c>
      <c r="H31" s="3">
        <v>20000</v>
      </c>
      <c r="I31" s="3">
        <v>20000</v>
      </c>
      <c r="J31" s="3">
        <v>20000</v>
      </c>
      <c r="K31" s="3">
        <v>20000</v>
      </c>
      <c r="L31" s="3">
        <v>20000</v>
      </c>
      <c r="M31" s="3">
        <v>20000</v>
      </c>
      <c r="N31" s="3">
        <v>20000</v>
      </c>
      <c r="O31" s="3">
        <v>20000</v>
      </c>
      <c r="P31" s="3">
        <v>20000</v>
      </c>
      <c r="Q31" s="3">
        <v>20000</v>
      </c>
      <c r="R31" s="3">
        <v>20000</v>
      </c>
      <c r="S31" s="3">
        <v>20000</v>
      </c>
      <c r="T31" s="3">
        <v>20000</v>
      </c>
      <c r="U31" s="3">
        <v>20000</v>
      </c>
      <c r="V31" s="3">
        <v>20000</v>
      </c>
      <c r="W31" s="3">
        <v>20000</v>
      </c>
      <c r="X31" s="3">
        <v>20000</v>
      </c>
      <c r="Y31" s="3">
        <v>20000</v>
      </c>
      <c r="Z31" s="3">
        <v>20000</v>
      </c>
      <c r="AA31" s="3">
        <v>20000</v>
      </c>
      <c r="AB31" s="3">
        <v>20000</v>
      </c>
      <c r="AC31" s="3">
        <v>20000</v>
      </c>
      <c r="AD31" s="3">
        <v>20000</v>
      </c>
      <c r="AE31" s="3">
        <v>20000</v>
      </c>
      <c r="AF31" s="3">
        <v>20000</v>
      </c>
      <c r="AG31" s="3">
        <v>20000</v>
      </c>
      <c r="AH31" s="3">
        <v>20000</v>
      </c>
      <c r="AI31" s="3">
        <v>20000</v>
      </c>
      <c r="AJ31" s="3">
        <v>20000</v>
      </c>
      <c r="AK31" s="3">
        <v>20000</v>
      </c>
      <c r="AL31" s="3">
        <v>20000</v>
      </c>
      <c r="AM31" s="3">
        <v>20000</v>
      </c>
      <c r="AN31" s="3">
        <v>20000</v>
      </c>
      <c r="AO31" s="3">
        <v>20000</v>
      </c>
      <c r="AP31" s="3">
        <v>20000</v>
      </c>
      <c r="AQ31" s="3">
        <v>20000</v>
      </c>
      <c r="AR31" s="3">
        <v>20000</v>
      </c>
      <c r="AS31" s="3">
        <v>20000</v>
      </c>
      <c r="AT31" s="3">
        <v>20000</v>
      </c>
      <c r="AU31" s="3">
        <v>20000</v>
      </c>
      <c r="AV31" s="3">
        <v>20000</v>
      </c>
      <c r="AW31" s="3">
        <v>20000</v>
      </c>
      <c r="AX31" s="3">
        <v>20000</v>
      </c>
      <c r="AY31" s="3">
        <v>20000</v>
      </c>
      <c r="AZ31" s="3">
        <v>20000</v>
      </c>
      <c r="BA31" s="3">
        <v>20000</v>
      </c>
      <c r="BB31" s="3">
        <v>20000</v>
      </c>
      <c r="BC31" s="3">
        <v>20000</v>
      </c>
      <c r="BD31" s="3">
        <v>20000</v>
      </c>
      <c r="BE31" s="3">
        <v>20000</v>
      </c>
      <c r="BF31" s="3">
        <v>20000</v>
      </c>
      <c r="BG31" s="3">
        <v>20000</v>
      </c>
      <c r="BH31" s="3">
        <v>20000</v>
      </c>
      <c r="BI31" s="3">
        <v>20000</v>
      </c>
      <c r="BJ31" s="3">
        <v>20000</v>
      </c>
      <c r="BK31" s="3">
        <v>20000</v>
      </c>
      <c r="BL31" s="3">
        <v>20000</v>
      </c>
      <c r="BM31" s="3">
        <v>20000</v>
      </c>
      <c r="BN31" s="3">
        <v>20000</v>
      </c>
      <c r="BO31" s="3">
        <v>20000</v>
      </c>
      <c r="BP31" s="3">
        <v>20000</v>
      </c>
      <c r="BQ31" s="3">
        <v>20000</v>
      </c>
      <c r="BR31" s="3">
        <v>20000</v>
      </c>
      <c r="BS31" s="3">
        <v>20000</v>
      </c>
      <c r="BT31" s="3">
        <v>20000</v>
      </c>
      <c r="BU31" s="3">
        <v>20000</v>
      </c>
      <c r="BV31" s="3">
        <v>20000</v>
      </c>
      <c r="BW31" s="3">
        <v>20000</v>
      </c>
      <c r="BX31" s="3">
        <v>20000</v>
      </c>
      <c r="BY31" s="3">
        <v>20000</v>
      </c>
      <c r="BZ31" s="3">
        <v>20000</v>
      </c>
      <c r="CA31" s="3">
        <v>20000</v>
      </c>
      <c r="CB31" s="3">
        <v>20000</v>
      </c>
      <c r="CC31" s="3">
        <v>20000</v>
      </c>
      <c r="CD31" s="3">
        <v>20000</v>
      </c>
      <c r="CE31" s="3">
        <v>20000</v>
      </c>
      <c r="CF31" s="3">
        <v>20000</v>
      </c>
      <c r="CG31" s="3">
        <v>20000</v>
      </c>
      <c r="CH31" s="3">
        <v>20000</v>
      </c>
      <c r="CI31" s="3">
        <v>20000</v>
      </c>
      <c r="CJ31" s="3">
        <v>20000</v>
      </c>
      <c r="CK31" s="3">
        <v>20000</v>
      </c>
      <c r="CL31" s="3">
        <v>20000</v>
      </c>
      <c r="CM31" s="3">
        <v>20000</v>
      </c>
      <c r="CN31" s="3">
        <v>20000</v>
      </c>
      <c r="CO31" s="3">
        <v>20000</v>
      </c>
      <c r="CP31" s="3">
        <v>20000</v>
      </c>
      <c r="CQ31" s="3">
        <v>20000</v>
      </c>
      <c r="CR31" s="3">
        <v>20000</v>
      </c>
      <c r="CS31" s="3">
        <v>20000</v>
      </c>
      <c r="CT31" s="3">
        <v>20000</v>
      </c>
      <c r="CU31" s="3">
        <v>20000</v>
      </c>
      <c r="CV31" s="3">
        <v>20000</v>
      </c>
      <c r="CW31" s="3">
        <v>20000</v>
      </c>
      <c r="CX31" s="3">
        <v>20000</v>
      </c>
      <c r="CY31" s="3">
        <v>20000</v>
      </c>
      <c r="CZ31" s="3">
        <v>20000</v>
      </c>
      <c r="DA31" s="3">
        <v>20000</v>
      </c>
      <c r="DB31" s="3">
        <v>20000</v>
      </c>
      <c r="DC31" s="3">
        <v>20000</v>
      </c>
      <c r="DD31" s="3">
        <v>20000</v>
      </c>
      <c r="DE31" s="3">
        <v>20000</v>
      </c>
      <c r="DF31" s="3">
        <v>20000</v>
      </c>
      <c r="DG31" s="3">
        <v>20000</v>
      </c>
      <c r="DH31" s="3">
        <v>20000</v>
      </c>
      <c r="DI31" s="3">
        <v>20000</v>
      </c>
      <c r="DJ31" s="3">
        <v>20000</v>
      </c>
      <c r="DK31" s="3">
        <v>20000</v>
      </c>
      <c r="DL31" s="3">
        <v>20000</v>
      </c>
      <c r="DM31" s="3">
        <v>20000</v>
      </c>
      <c r="DN31" s="3">
        <v>20000</v>
      </c>
      <c r="DO31" s="3">
        <v>20000</v>
      </c>
      <c r="DP31" s="3">
        <v>20000</v>
      </c>
      <c r="DQ31" s="3">
        <v>20000</v>
      </c>
      <c r="DR31" s="3">
        <v>20000</v>
      </c>
      <c r="DS31" s="3">
        <v>20000</v>
      </c>
      <c r="DT31" s="3">
        <v>20000</v>
      </c>
      <c r="DU31" s="3">
        <v>20000</v>
      </c>
      <c r="DV31" s="3">
        <v>20000</v>
      </c>
      <c r="DW31" s="3">
        <v>20000</v>
      </c>
      <c r="DX31" s="3">
        <v>20000</v>
      </c>
      <c r="DY31" s="3">
        <v>20000</v>
      </c>
      <c r="DZ31" s="3">
        <v>20000</v>
      </c>
      <c r="EA31" s="3">
        <v>20000</v>
      </c>
      <c r="EB31" s="3">
        <v>20000</v>
      </c>
      <c r="EC31" s="3">
        <v>20000</v>
      </c>
      <c r="ED31" s="3">
        <v>20000</v>
      </c>
      <c r="EE31" s="3">
        <v>20000</v>
      </c>
      <c r="EF31" s="3">
        <v>20000</v>
      </c>
      <c r="EG31" s="3">
        <v>20000</v>
      </c>
      <c r="EH31" s="3">
        <v>20000</v>
      </c>
      <c r="EI31" s="3">
        <v>20000</v>
      </c>
      <c r="EJ31" s="3">
        <v>20000</v>
      </c>
      <c r="EK31" s="3">
        <v>20000</v>
      </c>
      <c r="EL31" s="3">
        <v>20000</v>
      </c>
      <c r="EM31" s="3">
        <v>20000</v>
      </c>
      <c r="EN31" s="3">
        <v>20000</v>
      </c>
      <c r="EO31" s="3">
        <v>20000</v>
      </c>
      <c r="EP31" s="3">
        <v>20000</v>
      </c>
      <c r="EQ31" s="3">
        <v>20000</v>
      </c>
      <c r="ER31" s="3">
        <v>20000</v>
      </c>
      <c r="ES31" s="3">
        <v>20000</v>
      </c>
      <c r="ET31" s="3">
        <v>20000</v>
      </c>
      <c r="EU31" s="3">
        <v>20000</v>
      </c>
      <c r="EV31" s="3">
        <v>20000</v>
      </c>
      <c r="EW31" s="3">
        <v>20000</v>
      </c>
      <c r="EX31" s="3">
        <v>20000</v>
      </c>
      <c r="EY31" s="3">
        <v>20000</v>
      </c>
      <c r="EZ31" s="3">
        <v>20000</v>
      </c>
      <c r="FA31" s="3">
        <v>20000</v>
      </c>
      <c r="FB31" s="3">
        <v>20000</v>
      </c>
      <c r="FC31" s="3">
        <v>20000</v>
      </c>
      <c r="FD31" s="3">
        <v>20000</v>
      </c>
      <c r="FE31" s="3">
        <v>20000</v>
      </c>
      <c r="FF31" s="3">
        <v>20000</v>
      </c>
      <c r="FG31" s="3">
        <v>20000</v>
      </c>
      <c r="FH31" s="3">
        <v>20000</v>
      </c>
      <c r="FI31" s="3">
        <v>20000</v>
      </c>
    </row>
    <row r="32" spans="1:165" x14ac:dyDescent="0.3">
      <c r="A32" s="4" t="s">
        <v>3027</v>
      </c>
      <c r="B32" s="3">
        <v>20000</v>
      </c>
      <c r="C32" s="3">
        <v>20000</v>
      </c>
      <c r="D32" s="3">
        <v>20000</v>
      </c>
      <c r="E32" s="3">
        <v>20000</v>
      </c>
      <c r="F32" s="3">
        <v>20000</v>
      </c>
      <c r="G32" s="3">
        <v>20000</v>
      </c>
      <c r="H32" s="3">
        <v>20000</v>
      </c>
      <c r="I32" s="3">
        <v>20000</v>
      </c>
      <c r="J32" s="3">
        <v>20000</v>
      </c>
      <c r="K32" s="3">
        <v>20000</v>
      </c>
      <c r="L32" s="3">
        <v>20000</v>
      </c>
      <c r="M32" s="3">
        <v>20000</v>
      </c>
      <c r="N32" s="3">
        <v>20000</v>
      </c>
      <c r="O32" s="3">
        <v>20000</v>
      </c>
      <c r="P32" s="3">
        <v>20000</v>
      </c>
      <c r="Q32" s="3">
        <v>20000</v>
      </c>
      <c r="R32" s="3">
        <v>20000</v>
      </c>
      <c r="S32" s="3">
        <v>20000</v>
      </c>
      <c r="T32" s="3">
        <v>20000</v>
      </c>
      <c r="U32" s="3">
        <v>20000</v>
      </c>
      <c r="V32" s="3">
        <v>20000</v>
      </c>
      <c r="W32" s="3">
        <v>20000</v>
      </c>
      <c r="X32" s="3">
        <v>20000</v>
      </c>
      <c r="Y32" s="3">
        <v>20000</v>
      </c>
      <c r="Z32" s="3">
        <v>20000</v>
      </c>
      <c r="AA32" s="3">
        <v>20000</v>
      </c>
      <c r="AB32" s="3">
        <v>20000</v>
      </c>
      <c r="AC32" s="3">
        <v>20000</v>
      </c>
      <c r="AD32" s="3">
        <v>20000</v>
      </c>
      <c r="AE32" s="3">
        <v>20000</v>
      </c>
      <c r="AF32" s="3">
        <v>20000</v>
      </c>
      <c r="AG32" s="3">
        <v>20000</v>
      </c>
      <c r="AH32" s="3">
        <v>20000</v>
      </c>
      <c r="AI32" s="3">
        <v>20000</v>
      </c>
      <c r="AJ32" s="3">
        <v>20000</v>
      </c>
      <c r="AK32" s="3">
        <v>20000</v>
      </c>
      <c r="AL32" s="3">
        <v>20000</v>
      </c>
      <c r="AM32" s="3">
        <v>20000</v>
      </c>
      <c r="AN32" s="3">
        <v>20000</v>
      </c>
      <c r="AO32" s="3">
        <v>20000</v>
      </c>
      <c r="AP32" s="3">
        <v>20000</v>
      </c>
      <c r="AQ32" s="3">
        <v>20000</v>
      </c>
      <c r="AR32" s="3">
        <v>20000</v>
      </c>
      <c r="AS32" s="3">
        <v>20000</v>
      </c>
      <c r="AT32" s="3">
        <v>20000</v>
      </c>
      <c r="AU32" s="3">
        <v>20000</v>
      </c>
      <c r="AV32" s="3">
        <v>20000</v>
      </c>
      <c r="AW32" s="3">
        <v>20000</v>
      </c>
      <c r="AX32" s="3">
        <v>20000</v>
      </c>
      <c r="AY32" s="3">
        <v>20000</v>
      </c>
      <c r="AZ32" s="3">
        <v>20000</v>
      </c>
      <c r="BA32" s="3">
        <v>20000</v>
      </c>
      <c r="BB32" s="3">
        <v>20000</v>
      </c>
      <c r="BC32" s="3">
        <v>20000</v>
      </c>
      <c r="BD32" s="3">
        <v>20000</v>
      </c>
      <c r="BE32" s="3">
        <v>20000</v>
      </c>
      <c r="BF32" s="3">
        <v>20000</v>
      </c>
      <c r="BG32" s="3">
        <v>20000</v>
      </c>
      <c r="BH32" s="3">
        <v>20000</v>
      </c>
      <c r="BI32" s="3">
        <v>20000</v>
      </c>
      <c r="BJ32" s="3">
        <v>20000</v>
      </c>
      <c r="BK32" s="3">
        <v>20000</v>
      </c>
      <c r="BL32" s="3">
        <v>20000</v>
      </c>
      <c r="BM32" s="3">
        <v>20000</v>
      </c>
      <c r="BN32" s="3">
        <v>20000</v>
      </c>
      <c r="BO32" s="3">
        <v>20000</v>
      </c>
      <c r="BP32" s="3">
        <v>20000</v>
      </c>
      <c r="BQ32" s="3">
        <v>20000</v>
      </c>
      <c r="BR32" s="3">
        <v>20000</v>
      </c>
      <c r="BS32" s="3">
        <v>20000</v>
      </c>
      <c r="BT32" s="3">
        <v>20000</v>
      </c>
      <c r="BU32" s="3">
        <v>20000</v>
      </c>
      <c r="BV32" s="3">
        <v>20000</v>
      </c>
      <c r="BW32" s="3">
        <v>20000</v>
      </c>
      <c r="BX32" s="3">
        <v>20000</v>
      </c>
      <c r="BY32" s="3">
        <v>20000</v>
      </c>
      <c r="BZ32" s="3">
        <v>20000</v>
      </c>
      <c r="CA32" s="3">
        <v>20000</v>
      </c>
      <c r="CB32" s="3">
        <v>20000</v>
      </c>
      <c r="CC32" s="3">
        <v>20000</v>
      </c>
      <c r="CD32" s="3">
        <v>20000</v>
      </c>
      <c r="CE32" s="3">
        <v>20000</v>
      </c>
      <c r="CF32" s="3">
        <v>20000</v>
      </c>
      <c r="CG32" s="3">
        <v>20000</v>
      </c>
      <c r="CH32" s="3">
        <v>20000</v>
      </c>
      <c r="CI32" s="3">
        <v>20000</v>
      </c>
      <c r="CJ32" s="3">
        <v>20000</v>
      </c>
      <c r="CK32" s="3">
        <v>20000</v>
      </c>
      <c r="CL32" s="3">
        <v>20000</v>
      </c>
      <c r="CM32" s="3">
        <v>20000</v>
      </c>
      <c r="CN32" s="3">
        <v>20000</v>
      </c>
      <c r="CO32" s="3">
        <v>20000</v>
      </c>
      <c r="CP32" s="3">
        <v>20000</v>
      </c>
      <c r="CQ32" s="3">
        <v>20000</v>
      </c>
      <c r="CR32" s="3">
        <v>20000</v>
      </c>
      <c r="CS32" s="3">
        <v>20000</v>
      </c>
      <c r="CT32" s="3">
        <v>20000</v>
      </c>
      <c r="CU32" s="3">
        <v>20000</v>
      </c>
      <c r="CV32" s="3">
        <v>20000</v>
      </c>
      <c r="CW32" s="3">
        <v>20000</v>
      </c>
      <c r="CX32" s="3">
        <v>20000</v>
      </c>
      <c r="CY32" s="3">
        <v>20000</v>
      </c>
      <c r="CZ32" s="3">
        <v>20000</v>
      </c>
      <c r="DA32" s="3">
        <v>20000</v>
      </c>
      <c r="DB32" s="3">
        <v>20000</v>
      </c>
      <c r="DC32" s="3">
        <v>20000</v>
      </c>
      <c r="DD32" s="3">
        <v>20000</v>
      </c>
      <c r="DE32" s="3">
        <v>20000</v>
      </c>
      <c r="DF32" s="3">
        <v>20000</v>
      </c>
      <c r="DG32" s="3">
        <v>20000</v>
      </c>
      <c r="DH32" s="3">
        <v>20000</v>
      </c>
      <c r="DI32" s="3">
        <v>20000</v>
      </c>
      <c r="DJ32" s="3">
        <v>20000</v>
      </c>
      <c r="DK32" s="3">
        <v>20000</v>
      </c>
      <c r="DL32" s="3">
        <v>20000</v>
      </c>
      <c r="DM32" s="3">
        <v>20000</v>
      </c>
      <c r="DN32" s="3">
        <v>20000</v>
      </c>
      <c r="DO32" s="3">
        <v>20000</v>
      </c>
      <c r="DP32" s="3">
        <v>20000</v>
      </c>
      <c r="DQ32" s="3">
        <v>20000</v>
      </c>
      <c r="DR32" s="3">
        <v>20000</v>
      </c>
      <c r="DS32" s="3">
        <v>20000</v>
      </c>
      <c r="DT32" s="3">
        <v>20000</v>
      </c>
      <c r="DU32" s="3">
        <v>20000</v>
      </c>
      <c r="DV32" s="3">
        <v>20000</v>
      </c>
      <c r="DW32" s="3">
        <v>20000</v>
      </c>
      <c r="DX32" s="3">
        <v>20000</v>
      </c>
      <c r="DY32" s="3">
        <v>20000</v>
      </c>
      <c r="DZ32" s="3">
        <v>20000</v>
      </c>
      <c r="EA32" s="3">
        <v>20000</v>
      </c>
      <c r="EB32" s="3">
        <v>20000</v>
      </c>
      <c r="EC32" s="3">
        <v>20000</v>
      </c>
      <c r="ED32" s="3">
        <v>20000</v>
      </c>
      <c r="EE32" s="3">
        <v>20000</v>
      </c>
      <c r="EF32" s="3">
        <v>20000</v>
      </c>
      <c r="EG32" s="3">
        <v>20000</v>
      </c>
      <c r="EH32" s="3">
        <v>20000</v>
      </c>
      <c r="EI32" s="3">
        <v>20000</v>
      </c>
      <c r="EJ32" s="3">
        <v>20000</v>
      </c>
      <c r="EK32" s="3">
        <v>20000</v>
      </c>
      <c r="EL32" s="3">
        <v>20000</v>
      </c>
      <c r="EM32" s="3">
        <v>20000</v>
      </c>
      <c r="EN32" s="3">
        <v>20000</v>
      </c>
      <c r="EO32" s="3">
        <v>20000</v>
      </c>
      <c r="EP32" s="3">
        <v>20000</v>
      </c>
      <c r="EQ32" s="3">
        <v>20000</v>
      </c>
      <c r="ER32" s="3">
        <v>20000</v>
      </c>
      <c r="ES32" s="3">
        <v>20000</v>
      </c>
      <c r="ET32" s="3">
        <v>20000</v>
      </c>
      <c r="EU32" s="3">
        <v>20000</v>
      </c>
      <c r="EV32" s="3">
        <v>20000</v>
      </c>
      <c r="EW32" s="3">
        <v>20000</v>
      </c>
      <c r="EX32" s="3">
        <v>20000</v>
      </c>
      <c r="EY32" s="3">
        <v>20000</v>
      </c>
      <c r="EZ32" s="3">
        <v>20000</v>
      </c>
      <c r="FA32" s="3">
        <v>20000</v>
      </c>
      <c r="FB32" s="3">
        <v>20000</v>
      </c>
      <c r="FC32" s="3">
        <v>20000</v>
      </c>
      <c r="FD32" s="3">
        <v>20000</v>
      </c>
      <c r="FE32" s="3">
        <v>20000</v>
      </c>
      <c r="FF32" s="3">
        <v>20000</v>
      </c>
      <c r="FG32" s="3">
        <v>20000</v>
      </c>
      <c r="FH32" s="3">
        <v>20000</v>
      </c>
      <c r="FI32" s="3">
        <v>20000</v>
      </c>
    </row>
    <row r="33" spans="1:165" x14ac:dyDescent="0.3">
      <c r="A33" s="4" t="s">
        <v>3028</v>
      </c>
      <c r="B33" s="3">
        <v>20000</v>
      </c>
      <c r="C33" s="3">
        <v>20000</v>
      </c>
      <c r="D33" s="3">
        <v>20000</v>
      </c>
      <c r="E33" s="3">
        <v>20000</v>
      </c>
      <c r="F33" s="3">
        <v>20000</v>
      </c>
      <c r="G33" s="3">
        <v>20000</v>
      </c>
      <c r="H33" s="3">
        <v>20000</v>
      </c>
      <c r="I33" s="3">
        <v>20000</v>
      </c>
      <c r="J33" s="3">
        <v>20000</v>
      </c>
      <c r="K33" s="3">
        <v>20000</v>
      </c>
      <c r="L33" s="3">
        <v>20000</v>
      </c>
      <c r="M33" s="3">
        <v>20000</v>
      </c>
      <c r="N33" s="3">
        <v>20000</v>
      </c>
      <c r="O33" s="3">
        <v>20000</v>
      </c>
      <c r="P33" s="3">
        <v>20000</v>
      </c>
      <c r="Q33" s="3">
        <v>20000</v>
      </c>
      <c r="R33" s="3">
        <v>20000</v>
      </c>
      <c r="S33" s="3">
        <v>20000</v>
      </c>
      <c r="T33" s="3">
        <v>20000</v>
      </c>
      <c r="U33" s="3">
        <v>20000</v>
      </c>
      <c r="V33" s="3">
        <v>20000</v>
      </c>
      <c r="W33" s="3">
        <v>20000</v>
      </c>
      <c r="X33" s="3">
        <v>20000</v>
      </c>
      <c r="Y33" s="3">
        <v>20000</v>
      </c>
      <c r="Z33" s="3">
        <v>20000</v>
      </c>
      <c r="AA33" s="3">
        <v>20000</v>
      </c>
      <c r="AB33" s="3">
        <v>20000</v>
      </c>
      <c r="AC33" s="3">
        <v>20000</v>
      </c>
      <c r="AD33" s="3">
        <v>20000</v>
      </c>
      <c r="AE33" s="3">
        <v>20000</v>
      </c>
      <c r="AF33" s="3">
        <v>20000</v>
      </c>
      <c r="AG33" s="3">
        <v>20000</v>
      </c>
      <c r="AH33" s="3">
        <v>20000</v>
      </c>
      <c r="AI33" s="3">
        <v>20000</v>
      </c>
      <c r="AJ33" s="3">
        <v>20000</v>
      </c>
      <c r="AK33" s="3">
        <v>20000</v>
      </c>
      <c r="AL33" s="3">
        <v>20000</v>
      </c>
      <c r="AM33" s="3">
        <v>20000</v>
      </c>
      <c r="AN33" s="3">
        <v>20000</v>
      </c>
      <c r="AO33" s="3">
        <v>20000</v>
      </c>
      <c r="AP33" s="3">
        <v>20000</v>
      </c>
      <c r="AQ33" s="3">
        <v>20000</v>
      </c>
      <c r="AR33" s="3">
        <v>20000</v>
      </c>
      <c r="AS33" s="3">
        <v>20000</v>
      </c>
      <c r="AT33" s="3">
        <v>20000</v>
      </c>
      <c r="AU33" s="3">
        <v>20000</v>
      </c>
      <c r="AV33" s="3">
        <v>20000</v>
      </c>
      <c r="AW33" s="3">
        <v>20000</v>
      </c>
      <c r="AX33" s="3">
        <v>20000</v>
      </c>
      <c r="AY33" s="3">
        <v>20000</v>
      </c>
      <c r="AZ33" s="3">
        <v>20000</v>
      </c>
      <c r="BA33" s="3">
        <v>20000</v>
      </c>
      <c r="BB33" s="3">
        <v>20000</v>
      </c>
      <c r="BC33" s="3">
        <v>20000</v>
      </c>
      <c r="BD33" s="3">
        <v>20000</v>
      </c>
      <c r="BE33" s="3">
        <v>20000</v>
      </c>
      <c r="BF33" s="3">
        <v>20000</v>
      </c>
      <c r="BG33" s="3">
        <v>20000</v>
      </c>
      <c r="BH33" s="3">
        <v>20000</v>
      </c>
      <c r="BI33" s="3">
        <v>20000</v>
      </c>
      <c r="BJ33" s="3">
        <v>20000</v>
      </c>
      <c r="BK33" s="3">
        <v>20000</v>
      </c>
      <c r="BL33" s="3">
        <v>20000</v>
      </c>
      <c r="BM33" s="3">
        <v>20000</v>
      </c>
      <c r="BN33" s="3">
        <v>20000</v>
      </c>
      <c r="BO33" s="3">
        <v>20000</v>
      </c>
      <c r="BP33" s="3">
        <v>20000</v>
      </c>
      <c r="BQ33" s="3">
        <v>20000</v>
      </c>
      <c r="BR33" s="3">
        <v>20000</v>
      </c>
      <c r="BS33" s="3">
        <v>20000</v>
      </c>
      <c r="BT33" s="3">
        <v>20000</v>
      </c>
      <c r="BU33" s="3">
        <v>20000</v>
      </c>
      <c r="BV33" s="3">
        <v>20000</v>
      </c>
      <c r="BW33" s="3">
        <v>20000</v>
      </c>
      <c r="BX33" s="3">
        <v>20000</v>
      </c>
      <c r="BY33" s="3">
        <v>20000</v>
      </c>
      <c r="BZ33" s="3">
        <v>20000</v>
      </c>
      <c r="CA33" s="3">
        <v>20000</v>
      </c>
      <c r="CB33" s="3">
        <v>20000</v>
      </c>
      <c r="CC33" s="3">
        <v>20000</v>
      </c>
      <c r="CD33" s="3">
        <v>20000</v>
      </c>
      <c r="CE33" s="3">
        <v>20000</v>
      </c>
      <c r="CF33" s="3">
        <v>20000</v>
      </c>
      <c r="CG33" s="3">
        <v>20000</v>
      </c>
      <c r="CH33" s="3">
        <v>20000</v>
      </c>
      <c r="CI33" s="3">
        <v>20000</v>
      </c>
      <c r="CJ33" s="3">
        <v>20000</v>
      </c>
      <c r="CK33" s="3">
        <v>20000</v>
      </c>
      <c r="CL33" s="3">
        <v>20000</v>
      </c>
      <c r="CM33" s="3">
        <v>20000</v>
      </c>
      <c r="CN33" s="3">
        <v>20000</v>
      </c>
      <c r="CO33" s="3">
        <v>20000</v>
      </c>
      <c r="CP33" s="3">
        <v>20000</v>
      </c>
      <c r="CQ33" s="3">
        <v>20000</v>
      </c>
      <c r="CR33" s="3">
        <v>20000</v>
      </c>
      <c r="CS33" s="3">
        <v>20000</v>
      </c>
      <c r="CT33" s="3">
        <v>20000</v>
      </c>
      <c r="CU33" s="3">
        <v>20000</v>
      </c>
      <c r="CV33" s="3">
        <v>20000</v>
      </c>
      <c r="CW33" s="3">
        <v>20000</v>
      </c>
      <c r="CX33" s="3">
        <v>20000</v>
      </c>
      <c r="CY33" s="3">
        <v>20000</v>
      </c>
      <c r="CZ33" s="3">
        <v>20000</v>
      </c>
      <c r="DA33" s="3">
        <v>20000</v>
      </c>
      <c r="DB33" s="3">
        <v>20000</v>
      </c>
      <c r="DC33" s="3">
        <v>20000</v>
      </c>
      <c r="DD33" s="3">
        <v>20000</v>
      </c>
      <c r="DE33" s="3">
        <v>20000</v>
      </c>
      <c r="DF33" s="3">
        <v>20000</v>
      </c>
      <c r="DG33" s="3">
        <v>20000</v>
      </c>
      <c r="DH33" s="3">
        <v>20000</v>
      </c>
      <c r="DI33" s="3">
        <v>20000</v>
      </c>
      <c r="DJ33" s="3">
        <v>20000</v>
      </c>
      <c r="DK33" s="3">
        <v>20000</v>
      </c>
      <c r="DL33" s="3">
        <v>20000</v>
      </c>
      <c r="DM33" s="3">
        <v>20000</v>
      </c>
      <c r="DN33" s="3">
        <v>20000</v>
      </c>
      <c r="DO33" s="3">
        <v>20000</v>
      </c>
      <c r="DP33" s="3">
        <v>20000</v>
      </c>
      <c r="DQ33" s="3">
        <v>20000</v>
      </c>
      <c r="DR33" s="3">
        <v>20000</v>
      </c>
      <c r="DS33" s="3">
        <v>20000</v>
      </c>
      <c r="DT33" s="3">
        <v>20000</v>
      </c>
      <c r="DU33" s="3">
        <v>20000</v>
      </c>
      <c r="DV33" s="3">
        <v>20000</v>
      </c>
      <c r="DW33" s="3">
        <v>20000</v>
      </c>
      <c r="DX33" s="3">
        <v>20000</v>
      </c>
      <c r="DY33" s="3">
        <v>20000</v>
      </c>
      <c r="DZ33" s="3">
        <v>20000</v>
      </c>
      <c r="EA33" s="3">
        <v>20000</v>
      </c>
      <c r="EB33" s="3">
        <v>20000</v>
      </c>
      <c r="EC33" s="3">
        <v>20000</v>
      </c>
      <c r="ED33" s="3">
        <v>20000</v>
      </c>
      <c r="EE33" s="3">
        <v>20000</v>
      </c>
      <c r="EF33" s="3">
        <v>20000</v>
      </c>
      <c r="EG33" s="3">
        <v>20000</v>
      </c>
      <c r="EH33" s="3">
        <v>20000</v>
      </c>
      <c r="EI33" s="3">
        <v>20000</v>
      </c>
      <c r="EJ33" s="3">
        <v>20000</v>
      </c>
      <c r="EK33" s="3">
        <v>20000</v>
      </c>
      <c r="EL33" s="3">
        <v>20000</v>
      </c>
      <c r="EM33" s="3">
        <v>20000</v>
      </c>
      <c r="EN33" s="3">
        <v>20000</v>
      </c>
      <c r="EO33" s="3">
        <v>20000</v>
      </c>
      <c r="EP33" s="3">
        <v>20000</v>
      </c>
      <c r="EQ33" s="3">
        <v>20000</v>
      </c>
      <c r="ER33" s="3">
        <v>20000</v>
      </c>
      <c r="ES33" s="3">
        <v>20000</v>
      </c>
      <c r="ET33" s="3">
        <v>20000</v>
      </c>
      <c r="EU33" s="3">
        <v>20000</v>
      </c>
      <c r="EV33" s="3">
        <v>20000</v>
      </c>
      <c r="EW33" s="3">
        <v>20000</v>
      </c>
      <c r="EX33" s="3">
        <v>20000</v>
      </c>
      <c r="EY33" s="3">
        <v>20000</v>
      </c>
      <c r="EZ33" s="3">
        <v>20000</v>
      </c>
      <c r="FA33" s="3">
        <v>20000</v>
      </c>
      <c r="FB33" s="3">
        <v>20000</v>
      </c>
      <c r="FC33" s="3">
        <v>20000</v>
      </c>
      <c r="FD33" s="3">
        <v>20000</v>
      </c>
      <c r="FE33" s="3">
        <v>20000</v>
      </c>
      <c r="FF33" s="3">
        <v>20000</v>
      </c>
      <c r="FG33" s="3">
        <v>20000</v>
      </c>
      <c r="FH33" s="3">
        <v>20000</v>
      </c>
      <c r="FI33" s="3">
        <v>20000</v>
      </c>
    </row>
    <row r="34" spans="1:165" x14ac:dyDescent="0.3">
      <c r="A34" s="4" t="s">
        <v>3029</v>
      </c>
      <c r="B34" s="3">
        <v>20000</v>
      </c>
      <c r="C34" s="3">
        <v>20000</v>
      </c>
      <c r="D34" s="3">
        <v>20000</v>
      </c>
      <c r="E34" s="3">
        <v>20000</v>
      </c>
      <c r="F34" s="3">
        <v>20000</v>
      </c>
      <c r="G34" s="3">
        <v>20000</v>
      </c>
      <c r="H34" s="3">
        <v>20000</v>
      </c>
      <c r="I34" s="3">
        <v>20000</v>
      </c>
      <c r="J34" s="3">
        <v>20000</v>
      </c>
      <c r="K34" s="3">
        <v>20000</v>
      </c>
      <c r="L34" s="3">
        <v>20000</v>
      </c>
      <c r="M34" s="3">
        <v>20000</v>
      </c>
      <c r="N34" s="3">
        <v>20000</v>
      </c>
      <c r="O34" s="3">
        <v>20000</v>
      </c>
      <c r="P34" s="3">
        <v>20000</v>
      </c>
      <c r="Q34" s="3">
        <v>20000</v>
      </c>
      <c r="R34" s="3">
        <v>20000</v>
      </c>
      <c r="S34" s="3">
        <v>20000</v>
      </c>
      <c r="T34" s="3">
        <v>20000</v>
      </c>
      <c r="U34" s="3">
        <v>20000</v>
      </c>
      <c r="V34" s="3">
        <v>20000</v>
      </c>
      <c r="W34" s="3">
        <v>20000</v>
      </c>
      <c r="X34" s="3">
        <v>20000</v>
      </c>
      <c r="Y34" s="3">
        <v>20000</v>
      </c>
      <c r="Z34" s="3">
        <v>20000</v>
      </c>
      <c r="AA34" s="3">
        <v>20000</v>
      </c>
      <c r="AB34" s="3">
        <v>20000</v>
      </c>
      <c r="AC34" s="3">
        <v>20000</v>
      </c>
      <c r="AD34" s="3">
        <v>20000</v>
      </c>
      <c r="AE34" s="3">
        <v>20000</v>
      </c>
      <c r="AF34" s="3">
        <v>20000</v>
      </c>
      <c r="AG34" s="3">
        <v>20000</v>
      </c>
      <c r="AH34" s="3">
        <v>20000</v>
      </c>
      <c r="AI34" s="3">
        <v>20000</v>
      </c>
      <c r="AJ34" s="3">
        <v>20000</v>
      </c>
      <c r="AK34" s="3">
        <v>20000</v>
      </c>
      <c r="AL34" s="3">
        <v>20000</v>
      </c>
      <c r="AM34" s="3">
        <v>20000</v>
      </c>
      <c r="AN34" s="3">
        <v>20000</v>
      </c>
      <c r="AO34" s="3">
        <v>20000</v>
      </c>
      <c r="AP34" s="3">
        <v>20000</v>
      </c>
      <c r="AQ34" s="3">
        <v>20000</v>
      </c>
      <c r="AR34" s="3">
        <v>20000</v>
      </c>
      <c r="AS34" s="3">
        <v>20000</v>
      </c>
      <c r="AT34" s="3">
        <v>20000</v>
      </c>
      <c r="AU34" s="3">
        <v>20000</v>
      </c>
      <c r="AV34" s="3">
        <v>20000</v>
      </c>
      <c r="AW34" s="3">
        <v>20000</v>
      </c>
      <c r="AX34" s="3">
        <v>20000</v>
      </c>
      <c r="AY34" s="3">
        <v>20000</v>
      </c>
      <c r="AZ34" s="3">
        <v>20000</v>
      </c>
      <c r="BA34" s="3">
        <v>20000</v>
      </c>
      <c r="BB34" s="3">
        <v>20000</v>
      </c>
      <c r="BC34" s="3">
        <v>20000</v>
      </c>
      <c r="BD34" s="3">
        <v>20000</v>
      </c>
      <c r="BE34" s="3">
        <v>20000</v>
      </c>
      <c r="BF34" s="3">
        <v>20000</v>
      </c>
      <c r="BG34" s="3">
        <v>20000</v>
      </c>
      <c r="BH34" s="3">
        <v>20000</v>
      </c>
      <c r="BI34" s="3">
        <v>20000</v>
      </c>
      <c r="BJ34" s="3">
        <v>20000</v>
      </c>
      <c r="BK34" s="3">
        <v>20000</v>
      </c>
      <c r="BL34" s="3">
        <v>20000</v>
      </c>
      <c r="BM34" s="3">
        <v>20000</v>
      </c>
      <c r="BN34" s="3">
        <v>20000</v>
      </c>
      <c r="BO34" s="3">
        <v>20000</v>
      </c>
      <c r="BP34" s="3">
        <v>20000</v>
      </c>
      <c r="BQ34" s="3">
        <v>20000</v>
      </c>
      <c r="BR34" s="3">
        <v>20000</v>
      </c>
      <c r="BS34" s="3">
        <v>20000</v>
      </c>
      <c r="BT34" s="3">
        <v>20000</v>
      </c>
      <c r="BU34" s="3">
        <v>20000</v>
      </c>
      <c r="BV34" s="3">
        <v>20000</v>
      </c>
      <c r="BW34" s="3">
        <v>20000</v>
      </c>
      <c r="BX34" s="3">
        <v>20000</v>
      </c>
      <c r="BY34" s="3">
        <v>20000</v>
      </c>
      <c r="BZ34" s="3">
        <v>20000</v>
      </c>
      <c r="CA34" s="3">
        <v>20000</v>
      </c>
      <c r="CB34" s="3">
        <v>20000</v>
      </c>
      <c r="CC34" s="3">
        <v>20000</v>
      </c>
      <c r="CD34" s="3">
        <v>20000</v>
      </c>
      <c r="CE34" s="3">
        <v>20000</v>
      </c>
      <c r="CF34" s="3">
        <v>20000</v>
      </c>
      <c r="CG34" s="3">
        <v>20000</v>
      </c>
      <c r="CH34" s="3">
        <v>20000</v>
      </c>
      <c r="CI34" s="3">
        <v>20000</v>
      </c>
      <c r="CJ34" s="3">
        <v>20000</v>
      </c>
      <c r="CK34" s="3">
        <v>20000</v>
      </c>
      <c r="CL34" s="3">
        <v>20000</v>
      </c>
      <c r="CM34" s="3">
        <v>20000</v>
      </c>
      <c r="CN34" s="3">
        <v>20000</v>
      </c>
      <c r="CO34" s="3">
        <v>20000</v>
      </c>
      <c r="CP34" s="3">
        <v>20000</v>
      </c>
      <c r="CQ34" s="3">
        <v>20000</v>
      </c>
      <c r="CR34" s="3">
        <v>20000</v>
      </c>
      <c r="CS34" s="3">
        <v>20000</v>
      </c>
      <c r="CT34" s="3">
        <v>20000</v>
      </c>
      <c r="CU34" s="3">
        <v>20000</v>
      </c>
      <c r="CV34" s="3">
        <v>20000</v>
      </c>
      <c r="CW34" s="3">
        <v>20000</v>
      </c>
      <c r="CX34" s="3">
        <v>20000</v>
      </c>
      <c r="CY34" s="3">
        <v>20000</v>
      </c>
      <c r="CZ34" s="3">
        <v>20000</v>
      </c>
      <c r="DA34" s="3">
        <v>20000</v>
      </c>
      <c r="DB34" s="3">
        <v>20000</v>
      </c>
      <c r="DC34" s="3">
        <v>20000</v>
      </c>
      <c r="DD34" s="3">
        <v>20000</v>
      </c>
      <c r="DE34" s="3">
        <v>20000</v>
      </c>
      <c r="DF34" s="3">
        <v>20000</v>
      </c>
      <c r="DG34" s="3">
        <v>20000</v>
      </c>
      <c r="DH34" s="3">
        <v>20000</v>
      </c>
      <c r="DI34" s="3">
        <v>20000</v>
      </c>
      <c r="DJ34" s="3">
        <v>20000</v>
      </c>
      <c r="DK34" s="3">
        <v>20000</v>
      </c>
      <c r="DL34" s="3">
        <v>20000</v>
      </c>
      <c r="DM34" s="3">
        <v>20000</v>
      </c>
      <c r="DN34" s="3">
        <v>20000</v>
      </c>
      <c r="DO34" s="3">
        <v>20000</v>
      </c>
      <c r="DP34" s="3">
        <v>20000</v>
      </c>
      <c r="DQ34" s="3">
        <v>20000</v>
      </c>
      <c r="DR34" s="3">
        <v>20000</v>
      </c>
      <c r="DS34" s="3">
        <v>20000</v>
      </c>
      <c r="DT34" s="3">
        <v>20000</v>
      </c>
      <c r="DU34" s="3">
        <v>20000</v>
      </c>
      <c r="DV34" s="3">
        <v>20000</v>
      </c>
      <c r="DW34" s="3">
        <v>20000</v>
      </c>
      <c r="DX34" s="3">
        <v>20000</v>
      </c>
      <c r="DY34" s="3">
        <v>20000</v>
      </c>
      <c r="DZ34" s="3">
        <v>20000</v>
      </c>
      <c r="EA34" s="3">
        <v>20000</v>
      </c>
      <c r="EB34" s="3">
        <v>20000</v>
      </c>
      <c r="EC34" s="3">
        <v>20000</v>
      </c>
      <c r="ED34" s="3">
        <v>20000</v>
      </c>
      <c r="EE34" s="3">
        <v>20000</v>
      </c>
      <c r="EF34" s="3">
        <v>20000</v>
      </c>
      <c r="EG34" s="3">
        <v>20000</v>
      </c>
      <c r="EH34" s="3">
        <v>20000</v>
      </c>
      <c r="EI34" s="3">
        <v>20000</v>
      </c>
      <c r="EJ34" s="3">
        <v>20000</v>
      </c>
      <c r="EK34" s="3">
        <v>20000</v>
      </c>
      <c r="EL34" s="3">
        <v>20000</v>
      </c>
      <c r="EM34" s="3">
        <v>20000</v>
      </c>
      <c r="EN34" s="3">
        <v>20000</v>
      </c>
      <c r="EO34" s="3">
        <v>20000</v>
      </c>
      <c r="EP34" s="3">
        <v>20000</v>
      </c>
      <c r="EQ34" s="3">
        <v>20000</v>
      </c>
      <c r="ER34" s="3">
        <v>20000</v>
      </c>
      <c r="ES34" s="3">
        <v>20000</v>
      </c>
      <c r="ET34" s="3">
        <v>20000</v>
      </c>
      <c r="EU34" s="3">
        <v>20000</v>
      </c>
      <c r="EV34" s="3">
        <v>20000</v>
      </c>
      <c r="EW34" s="3">
        <v>20000</v>
      </c>
      <c r="EX34" s="3">
        <v>20000</v>
      </c>
      <c r="EY34" s="3">
        <v>20000</v>
      </c>
      <c r="EZ34" s="3">
        <v>20000</v>
      </c>
      <c r="FA34" s="3">
        <v>20000</v>
      </c>
      <c r="FB34" s="3">
        <v>20000</v>
      </c>
      <c r="FC34" s="3">
        <v>20000</v>
      </c>
      <c r="FD34" s="3">
        <v>20000</v>
      </c>
      <c r="FE34" s="3">
        <v>20000</v>
      </c>
      <c r="FF34" s="3">
        <v>20000</v>
      </c>
      <c r="FG34" s="3">
        <v>20000</v>
      </c>
      <c r="FH34" s="3">
        <v>20000</v>
      </c>
      <c r="FI34" s="3">
        <v>20000</v>
      </c>
    </row>
    <row r="35" spans="1:165" x14ac:dyDescent="0.3">
      <c r="A35" s="4" t="s">
        <v>3030</v>
      </c>
      <c r="B35" s="3">
        <v>20000</v>
      </c>
      <c r="C35" s="3">
        <v>20000</v>
      </c>
      <c r="D35" s="3">
        <v>20000</v>
      </c>
      <c r="E35" s="3">
        <v>20000</v>
      </c>
      <c r="F35" s="3">
        <v>20000</v>
      </c>
      <c r="G35" s="3">
        <v>20000</v>
      </c>
      <c r="H35" s="3">
        <v>20000</v>
      </c>
      <c r="I35" s="3">
        <v>20000</v>
      </c>
      <c r="J35" s="3">
        <v>20000</v>
      </c>
      <c r="K35" s="3">
        <v>20000</v>
      </c>
      <c r="L35" s="3">
        <v>20000</v>
      </c>
      <c r="M35" s="3">
        <v>20000</v>
      </c>
      <c r="N35" s="3">
        <v>20000</v>
      </c>
      <c r="O35" s="3">
        <v>20000</v>
      </c>
      <c r="P35" s="3">
        <v>20000</v>
      </c>
      <c r="Q35" s="3">
        <v>20000</v>
      </c>
      <c r="R35" s="3">
        <v>20000</v>
      </c>
      <c r="S35" s="3">
        <v>20000</v>
      </c>
      <c r="T35" s="3">
        <v>20000</v>
      </c>
      <c r="U35" s="3">
        <v>20000</v>
      </c>
      <c r="V35" s="3">
        <v>20000</v>
      </c>
      <c r="W35" s="3">
        <v>20000</v>
      </c>
      <c r="X35" s="3">
        <v>20000</v>
      </c>
      <c r="Y35" s="3">
        <v>20000</v>
      </c>
      <c r="Z35" s="3">
        <v>20000</v>
      </c>
      <c r="AA35" s="3">
        <v>20000</v>
      </c>
      <c r="AB35" s="3">
        <v>20000</v>
      </c>
      <c r="AC35" s="3">
        <v>20000</v>
      </c>
      <c r="AD35" s="3">
        <v>20000</v>
      </c>
      <c r="AE35" s="3">
        <v>20000</v>
      </c>
      <c r="AF35" s="3">
        <v>20000</v>
      </c>
      <c r="AG35" s="3">
        <v>20000</v>
      </c>
      <c r="AH35" s="3">
        <v>20000</v>
      </c>
      <c r="AI35" s="3">
        <v>20000</v>
      </c>
      <c r="AJ35" s="3">
        <v>20000</v>
      </c>
      <c r="AK35" s="3">
        <v>20000</v>
      </c>
      <c r="AL35" s="3">
        <v>20000</v>
      </c>
      <c r="AM35" s="3">
        <v>20000</v>
      </c>
      <c r="AN35" s="3">
        <v>20000</v>
      </c>
      <c r="AO35" s="3">
        <v>20000</v>
      </c>
      <c r="AP35" s="3">
        <v>20000</v>
      </c>
      <c r="AQ35" s="3">
        <v>20000</v>
      </c>
      <c r="AR35" s="3">
        <v>20000</v>
      </c>
      <c r="AS35" s="3">
        <v>20000</v>
      </c>
      <c r="AT35" s="3">
        <v>20000</v>
      </c>
      <c r="AU35" s="3">
        <v>20000</v>
      </c>
      <c r="AV35" s="3">
        <v>20000</v>
      </c>
      <c r="AW35" s="3">
        <v>20000</v>
      </c>
      <c r="AX35" s="3">
        <v>20000</v>
      </c>
      <c r="AY35" s="3">
        <v>20000</v>
      </c>
      <c r="AZ35" s="3">
        <v>20000</v>
      </c>
      <c r="BA35" s="3">
        <v>20000</v>
      </c>
      <c r="BB35" s="3">
        <v>20000</v>
      </c>
      <c r="BC35" s="3">
        <v>20000</v>
      </c>
      <c r="BD35" s="3">
        <v>20000</v>
      </c>
      <c r="BE35" s="3">
        <v>20000</v>
      </c>
      <c r="BF35" s="3">
        <v>20000</v>
      </c>
      <c r="BG35" s="3">
        <v>20000</v>
      </c>
      <c r="BH35" s="3">
        <v>20000</v>
      </c>
      <c r="BI35" s="3">
        <v>20000</v>
      </c>
      <c r="BJ35" s="3">
        <v>20000</v>
      </c>
      <c r="BK35" s="3">
        <v>20000</v>
      </c>
      <c r="BL35" s="3">
        <v>20000</v>
      </c>
      <c r="BM35" s="3">
        <v>20000</v>
      </c>
      <c r="BN35" s="3">
        <v>20000</v>
      </c>
      <c r="BO35" s="3">
        <v>20000</v>
      </c>
      <c r="BP35" s="3">
        <v>20000</v>
      </c>
      <c r="BQ35" s="3">
        <v>20000</v>
      </c>
      <c r="BR35" s="3">
        <v>20000</v>
      </c>
      <c r="BS35" s="3">
        <v>20000</v>
      </c>
      <c r="BT35" s="3">
        <v>20000</v>
      </c>
      <c r="BU35" s="3">
        <v>20000</v>
      </c>
      <c r="BV35" s="3">
        <v>20000</v>
      </c>
      <c r="BW35" s="3">
        <v>20000</v>
      </c>
      <c r="BX35" s="3">
        <v>20000</v>
      </c>
      <c r="BY35" s="3">
        <v>20000</v>
      </c>
      <c r="BZ35" s="3">
        <v>20000</v>
      </c>
      <c r="CA35" s="3">
        <v>20000</v>
      </c>
      <c r="CB35" s="3">
        <v>20000</v>
      </c>
      <c r="CC35" s="3">
        <v>20000</v>
      </c>
      <c r="CD35" s="3">
        <v>20000</v>
      </c>
      <c r="CE35" s="3">
        <v>20000</v>
      </c>
      <c r="CF35" s="3">
        <v>20000</v>
      </c>
      <c r="CG35" s="3">
        <v>20000</v>
      </c>
      <c r="CH35" s="3">
        <v>20000</v>
      </c>
      <c r="CI35" s="3">
        <v>20000</v>
      </c>
      <c r="CJ35" s="3">
        <v>20000</v>
      </c>
      <c r="CK35" s="3">
        <v>20000</v>
      </c>
      <c r="CL35" s="3">
        <v>20000</v>
      </c>
      <c r="CM35" s="3">
        <v>20000</v>
      </c>
      <c r="CN35" s="3">
        <v>20000</v>
      </c>
      <c r="CO35" s="3">
        <v>20000</v>
      </c>
      <c r="CP35" s="3">
        <v>20000</v>
      </c>
      <c r="CQ35" s="3">
        <v>20000</v>
      </c>
      <c r="CR35" s="3">
        <v>20000</v>
      </c>
      <c r="CS35" s="3">
        <v>20000</v>
      </c>
      <c r="CT35" s="3">
        <v>20000</v>
      </c>
      <c r="CU35" s="3">
        <v>20000</v>
      </c>
      <c r="CV35" s="3">
        <v>20000</v>
      </c>
      <c r="CW35" s="3">
        <v>20000</v>
      </c>
      <c r="CX35" s="3">
        <v>20000</v>
      </c>
      <c r="CY35" s="3">
        <v>20000</v>
      </c>
      <c r="CZ35" s="3">
        <v>20000</v>
      </c>
      <c r="DA35" s="3">
        <v>20000</v>
      </c>
      <c r="DB35" s="3">
        <v>20000</v>
      </c>
      <c r="DC35" s="3">
        <v>20000</v>
      </c>
      <c r="DD35" s="3">
        <v>20000</v>
      </c>
      <c r="DE35" s="3">
        <v>20000</v>
      </c>
      <c r="DF35" s="3">
        <v>20000</v>
      </c>
      <c r="DG35" s="3">
        <v>20000</v>
      </c>
      <c r="DH35" s="3">
        <v>20000</v>
      </c>
      <c r="DI35" s="3">
        <v>20000</v>
      </c>
      <c r="DJ35" s="3">
        <v>20000</v>
      </c>
      <c r="DK35" s="3">
        <v>20000</v>
      </c>
      <c r="DL35" s="3">
        <v>20000</v>
      </c>
      <c r="DM35" s="3">
        <v>20000</v>
      </c>
      <c r="DN35" s="3">
        <v>20000</v>
      </c>
      <c r="DO35" s="3">
        <v>20000</v>
      </c>
      <c r="DP35" s="3">
        <v>20000</v>
      </c>
      <c r="DQ35" s="3">
        <v>20000</v>
      </c>
      <c r="DR35" s="3">
        <v>20000</v>
      </c>
      <c r="DS35" s="3">
        <v>20000</v>
      </c>
      <c r="DT35" s="3">
        <v>20000</v>
      </c>
      <c r="DU35" s="3">
        <v>20000</v>
      </c>
      <c r="DV35" s="3">
        <v>20000</v>
      </c>
      <c r="DW35" s="3">
        <v>20000</v>
      </c>
      <c r="DX35" s="3">
        <v>20000</v>
      </c>
      <c r="DY35" s="3">
        <v>20000</v>
      </c>
      <c r="DZ35" s="3">
        <v>20000</v>
      </c>
      <c r="EA35" s="3">
        <v>20000</v>
      </c>
      <c r="EB35" s="3">
        <v>20000</v>
      </c>
      <c r="EC35" s="3">
        <v>20000</v>
      </c>
      <c r="ED35" s="3">
        <v>20000</v>
      </c>
      <c r="EE35" s="3">
        <v>20000</v>
      </c>
      <c r="EF35" s="3">
        <v>20000</v>
      </c>
      <c r="EG35" s="3">
        <v>20000</v>
      </c>
      <c r="EH35" s="3">
        <v>20000</v>
      </c>
      <c r="EI35" s="3">
        <v>20000</v>
      </c>
      <c r="EJ35" s="3">
        <v>20000</v>
      </c>
      <c r="EK35" s="3">
        <v>20000</v>
      </c>
      <c r="EL35" s="3">
        <v>20000</v>
      </c>
      <c r="EM35" s="3">
        <v>20000</v>
      </c>
      <c r="EN35" s="3">
        <v>20000</v>
      </c>
      <c r="EO35" s="3">
        <v>20000</v>
      </c>
      <c r="EP35" s="3">
        <v>20000</v>
      </c>
      <c r="EQ35" s="3">
        <v>20000</v>
      </c>
      <c r="ER35" s="3">
        <v>20000</v>
      </c>
      <c r="ES35" s="3">
        <v>20000</v>
      </c>
      <c r="ET35" s="3">
        <v>20000</v>
      </c>
      <c r="EU35" s="3">
        <v>20000</v>
      </c>
      <c r="EV35" s="3">
        <v>20000</v>
      </c>
      <c r="EW35" s="3">
        <v>20000</v>
      </c>
      <c r="EX35" s="3">
        <v>20000</v>
      </c>
      <c r="EY35" s="3">
        <v>20000</v>
      </c>
      <c r="EZ35" s="3">
        <v>20000</v>
      </c>
      <c r="FA35" s="3">
        <v>20000</v>
      </c>
      <c r="FB35" s="3">
        <v>20000</v>
      </c>
      <c r="FC35" s="3">
        <v>20000</v>
      </c>
      <c r="FD35" s="3">
        <v>20000</v>
      </c>
      <c r="FE35" s="3">
        <v>20000</v>
      </c>
      <c r="FF35" s="3">
        <v>20000</v>
      </c>
      <c r="FG35" s="3">
        <v>20000</v>
      </c>
      <c r="FH35" s="3">
        <v>20000</v>
      </c>
      <c r="FI35" s="3">
        <v>20000</v>
      </c>
    </row>
    <row r="36" spans="1:165" x14ac:dyDescent="0.3">
      <c r="A36" s="4" t="s">
        <v>3031</v>
      </c>
      <c r="B36" s="3">
        <v>20000</v>
      </c>
      <c r="C36" s="3">
        <v>20000</v>
      </c>
      <c r="D36" s="3">
        <v>20000</v>
      </c>
      <c r="E36" s="3">
        <v>20000</v>
      </c>
      <c r="F36" s="3">
        <v>20000</v>
      </c>
      <c r="G36" s="3">
        <v>20000</v>
      </c>
      <c r="H36" s="3">
        <v>20000</v>
      </c>
      <c r="I36" s="3">
        <v>20000</v>
      </c>
      <c r="J36" s="3">
        <v>20000</v>
      </c>
      <c r="K36" s="3">
        <v>20000</v>
      </c>
      <c r="L36" s="3">
        <v>20000</v>
      </c>
      <c r="M36" s="3">
        <v>20000</v>
      </c>
      <c r="N36" s="3">
        <v>20000</v>
      </c>
      <c r="O36" s="3">
        <v>20000</v>
      </c>
      <c r="P36" s="3">
        <v>20000</v>
      </c>
      <c r="Q36" s="3">
        <v>20000</v>
      </c>
      <c r="R36" s="3">
        <v>20000</v>
      </c>
      <c r="S36" s="3">
        <v>20000</v>
      </c>
      <c r="T36" s="3">
        <v>20000</v>
      </c>
      <c r="U36" s="3">
        <v>20000</v>
      </c>
      <c r="V36" s="3">
        <v>20000</v>
      </c>
      <c r="W36" s="3">
        <v>20000</v>
      </c>
      <c r="X36" s="3">
        <v>20000</v>
      </c>
      <c r="Y36" s="3">
        <v>20000</v>
      </c>
      <c r="Z36" s="3">
        <v>20000</v>
      </c>
      <c r="AA36" s="3">
        <v>20000</v>
      </c>
      <c r="AB36" s="3">
        <v>20000</v>
      </c>
      <c r="AC36" s="3">
        <v>20000</v>
      </c>
      <c r="AD36" s="3">
        <v>20000</v>
      </c>
      <c r="AE36" s="3">
        <v>20000</v>
      </c>
      <c r="AF36" s="3">
        <v>20000</v>
      </c>
      <c r="AG36" s="3">
        <v>20000</v>
      </c>
      <c r="AH36" s="3">
        <v>20000</v>
      </c>
      <c r="AI36" s="3">
        <v>20000</v>
      </c>
      <c r="AJ36" s="3">
        <v>20000</v>
      </c>
      <c r="AK36" s="3">
        <v>20000</v>
      </c>
      <c r="AL36" s="3">
        <v>20000</v>
      </c>
      <c r="AM36" s="3">
        <v>20000</v>
      </c>
      <c r="AN36" s="3">
        <v>20000</v>
      </c>
      <c r="AO36" s="3">
        <v>20000</v>
      </c>
      <c r="AP36" s="3">
        <v>20000</v>
      </c>
      <c r="AQ36" s="3">
        <v>20000</v>
      </c>
      <c r="AR36" s="3">
        <v>20000</v>
      </c>
      <c r="AS36" s="3">
        <v>20000</v>
      </c>
      <c r="AT36" s="3">
        <v>20000</v>
      </c>
      <c r="AU36" s="3">
        <v>20000</v>
      </c>
      <c r="AV36" s="3">
        <v>20000</v>
      </c>
      <c r="AW36" s="3">
        <v>20000</v>
      </c>
      <c r="AX36" s="3">
        <v>20000</v>
      </c>
      <c r="AY36" s="3">
        <v>20000</v>
      </c>
      <c r="AZ36" s="3">
        <v>20000</v>
      </c>
      <c r="BA36" s="3">
        <v>20000</v>
      </c>
      <c r="BB36" s="3">
        <v>20000</v>
      </c>
      <c r="BC36" s="3">
        <v>20000</v>
      </c>
      <c r="BD36" s="3">
        <v>20000</v>
      </c>
      <c r="BE36" s="3">
        <v>20000</v>
      </c>
      <c r="BF36" s="3">
        <v>20000</v>
      </c>
      <c r="BG36" s="3">
        <v>20000</v>
      </c>
      <c r="BH36" s="3">
        <v>20000</v>
      </c>
      <c r="BI36" s="3">
        <v>20000</v>
      </c>
      <c r="BJ36" s="3">
        <v>20000</v>
      </c>
      <c r="BK36" s="3">
        <v>20000</v>
      </c>
      <c r="BL36" s="3">
        <v>20000</v>
      </c>
      <c r="BM36" s="3">
        <v>20000</v>
      </c>
      <c r="BN36" s="3">
        <v>20000</v>
      </c>
      <c r="BO36" s="3">
        <v>20000</v>
      </c>
      <c r="BP36" s="3">
        <v>20000</v>
      </c>
      <c r="BQ36" s="3">
        <v>20000</v>
      </c>
      <c r="BR36" s="3">
        <v>20000</v>
      </c>
      <c r="BS36" s="3">
        <v>20000</v>
      </c>
      <c r="BT36" s="3">
        <v>20000</v>
      </c>
      <c r="BU36" s="3">
        <v>20000</v>
      </c>
      <c r="BV36" s="3">
        <v>20000</v>
      </c>
      <c r="BW36" s="3">
        <v>20000</v>
      </c>
      <c r="BX36" s="3">
        <v>20000</v>
      </c>
      <c r="BY36" s="3">
        <v>20000</v>
      </c>
      <c r="BZ36" s="3">
        <v>20000</v>
      </c>
      <c r="CA36" s="3">
        <v>20000</v>
      </c>
      <c r="CB36" s="3">
        <v>20000</v>
      </c>
      <c r="CC36" s="3">
        <v>20000</v>
      </c>
      <c r="CD36" s="3">
        <v>20000</v>
      </c>
      <c r="CE36" s="3">
        <v>20000</v>
      </c>
      <c r="CF36" s="3">
        <v>20000</v>
      </c>
      <c r="CG36" s="3">
        <v>20000</v>
      </c>
      <c r="CH36" s="3">
        <v>20000</v>
      </c>
      <c r="CI36" s="3">
        <v>20000</v>
      </c>
      <c r="CJ36" s="3">
        <v>20000</v>
      </c>
      <c r="CK36" s="3">
        <v>20000</v>
      </c>
      <c r="CL36" s="3">
        <v>20000</v>
      </c>
      <c r="CM36" s="3">
        <v>20000</v>
      </c>
      <c r="CN36" s="3">
        <v>20000</v>
      </c>
      <c r="CO36" s="3">
        <v>20000</v>
      </c>
      <c r="CP36" s="3">
        <v>20000</v>
      </c>
      <c r="CQ36" s="3">
        <v>20000</v>
      </c>
      <c r="CR36" s="3">
        <v>20000</v>
      </c>
      <c r="CS36" s="3">
        <v>20000</v>
      </c>
      <c r="CT36" s="3">
        <v>20000</v>
      </c>
      <c r="CU36" s="3">
        <v>20000</v>
      </c>
      <c r="CV36" s="3">
        <v>20000</v>
      </c>
      <c r="CW36" s="3">
        <v>20000</v>
      </c>
      <c r="CX36" s="3">
        <v>20000</v>
      </c>
      <c r="CY36" s="3">
        <v>20000</v>
      </c>
      <c r="CZ36" s="3">
        <v>20000</v>
      </c>
      <c r="DA36" s="3">
        <v>20000</v>
      </c>
      <c r="DB36" s="3">
        <v>20000</v>
      </c>
      <c r="DC36" s="3">
        <v>20000</v>
      </c>
      <c r="DD36" s="3">
        <v>20000</v>
      </c>
      <c r="DE36" s="3">
        <v>20000</v>
      </c>
      <c r="DF36" s="3">
        <v>20000</v>
      </c>
      <c r="DG36" s="3">
        <v>20000</v>
      </c>
      <c r="DH36" s="3">
        <v>20000</v>
      </c>
      <c r="DI36" s="3">
        <v>20000</v>
      </c>
      <c r="DJ36" s="3">
        <v>20000</v>
      </c>
      <c r="DK36" s="3">
        <v>20000</v>
      </c>
      <c r="DL36" s="3">
        <v>20000</v>
      </c>
      <c r="DM36" s="3">
        <v>20000</v>
      </c>
      <c r="DN36" s="3">
        <v>20000</v>
      </c>
      <c r="DO36" s="3">
        <v>20000</v>
      </c>
      <c r="DP36" s="3">
        <v>20000</v>
      </c>
      <c r="DQ36" s="3">
        <v>20000</v>
      </c>
      <c r="DR36" s="3">
        <v>20000</v>
      </c>
      <c r="DS36" s="3">
        <v>20000</v>
      </c>
      <c r="DT36" s="3">
        <v>20000</v>
      </c>
      <c r="DU36" s="3">
        <v>20000</v>
      </c>
      <c r="DV36" s="3">
        <v>20000</v>
      </c>
      <c r="DW36" s="3">
        <v>20000</v>
      </c>
      <c r="DX36" s="3">
        <v>20000</v>
      </c>
      <c r="DY36" s="3">
        <v>20000</v>
      </c>
      <c r="DZ36" s="3">
        <v>20000</v>
      </c>
      <c r="EA36" s="3">
        <v>20000</v>
      </c>
      <c r="EB36" s="3">
        <v>20000</v>
      </c>
      <c r="EC36" s="3">
        <v>20000</v>
      </c>
      <c r="ED36" s="3">
        <v>20000</v>
      </c>
      <c r="EE36" s="3">
        <v>20000</v>
      </c>
      <c r="EF36" s="3">
        <v>20000</v>
      </c>
      <c r="EG36" s="3">
        <v>20000</v>
      </c>
      <c r="EH36" s="3">
        <v>20000</v>
      </c>
      <c r="EI36" s="3">
        <v>20000</v>
      </c>
      <c r="EJ36" s="3">
        <v>20000</v>
      </c>
      <c r="EK36" s="3">
        <v>20000</v>
      </c>
      <c r="EL36" s="3">
        <v>20000</v>
      </c>
      <c r="EM36" s="3">
        <v>20000</v>
      </c>
      <c r="EN36" s="3">
        <v>20000</v>
      </c>
      <c r="EO36" s="3">
        <v>20000</v>
      </c>
      <c r="EP36" s="3">
        <v>20000</v>
      </c>
      <c r="EQ36" s="3">
        <v>20000</v>
      </c>
      <c r="ER36" s="3">
        <v>20000</v>
      </c>
      <c r="ES36" s="3">
        <v>20000</v>
      </c>
      <c r="ET36" s="3">
        <v>20000</v>
      </c>
      <c r="EU36" s="3">
        <v>20000</v>
      </c>
      <c r="EV36" s="3">
        <v>20000</v>
      </c>
      <c r="EW36" s="3">
        <v>20000</v>
      </c>
      <c r="EX36" s="3">
        <v>20000</v>
      </c>
      <c r="EY36" s="3">
        <v>20000</v>
      </c>
      <c r="EZ36" s="3">
        <v>20000</v>
      </c>
      <c r="FA36" s="3">
        <v>20000</v>
      </c>
      <c r="FB36" s="3">
        <v>20000</v>
      </c>
      <c r="FC36" s="3">
        <v>20000</v>
      </c>
      <c r="FD36" s="3">
        <v>20000</v>
      </c>
      <c r="FE36" s="3">
        <v>20000</v>
      </c>
      <c r="FF36" s="3">
        <v>20000</v>
      </c>
      <c r="FG36" s="3">
        <v>20000</v>
      </c>
      <c r="FH36" s="3">
        <v>20000</v>
      </c>
      <c r="FI36" s="3">
        <v>20000</v>
      </c>
    </row>
    <row r="37" spans="1:165" x14ac:dyDescent="0.3">
      <c r="A37" s="4" t="s">
        <v>3032</v>
      </c>
      <c r="B37" s="3">
        <v>20000</v>
      </c>
      <c r="C37" s="3">
        <v>20000</v>
      </c>
      <c r="D37" s="3">
        <v>20000</v>
      </c>
      <c r="E37" s="3">
        <v>20000</v>
      </c>
      <c r="F37" s="3">
        <v>20000</v>
      </c>
      <c r="G37" s="3">
        <v>20000</v>
      </c>
      <c r="H37" s="3">
        <v>20000</v>
      </c>
      <c r="I37" s="3">
        <v>20000</v>
      </c>
      <c r="J37" s="3">
        <v>20000</v>
      </c>
      <c r="K37" s="3">
        <v>20000</v>
      </c>
      <c r="L37" s="3">
        <v>20000</v>
      </c>
      <c r="M37" s="3">
        <v>20000</v>
      </c>
      <c r="N37" s="3">
        <v>20000</v>
      </c>
      <c r="O37" s="3">
        <v>20000</v>
      </c>
      <c r="P37" s="3">
        <v>20000</v>
      </c>
      <c r="Q37" s="3">
        <v>20000</v>
      </c>
      <c r="R37" s="3">
        <v>20000</v>
      </c>
      <c r="S37" s="3">
        <v>20000</v>
      </c>
      <c r="T37" s="3">
        <v>20000</v>
      </c>
      <c r="U37" s="3">
        <v>20000</v>
      </c>
      <c r="V37" s="3">
        <v>20000</v>
      </c>
      <c r="W37" s="3">
        <v>20000</v>
      </c>
      <c r="X37" s="3">
        <v>20000</v>
      </c>
      <c r="Y37" s="3">
        <v>20000</v>
      </c>
      <c r="Z37" s="3">
        <v>20000</v>
      </c>
      <c r="AA37" s="3">
        <v>20000</v>
      </c>
      <c r="AB37" s="3">
        <v>20000</v>
      </c>
      <c r="AC37" s="3">
        <v>20000</v>
      </c>
      <c r="AD37" s="3">
        <v>20000</v>
      </c>
      <c r="AE37" s="3">
        <v>20000</v>
      </c>
      <c r="AF37" s="3">
        <v>20000</v>
      </c>
      <c r="AG37" s="3">
        <v>20000</v>
      </c>
      <c r="AH37" s="3">
        <v>20000</v>
      </c>
      <c r="AI37" s="3">
        <v>20000</v>
      </c>
      <c r="AJ37" s="3">
        <v>20000</v>
      </c>
      <c r="AK37" s="3">
        <v>20000</v>
      </c>
      <c r="AL37" s="3">
        <v>20000</v>
      </c>
      <c r="AM37" s="3">
        <v>20000</v>
      </c>
      <c r="AN37" s="3">
        <v>20000</v>
      </c>
      <c r="AO37" s="3">
        <v>20000</v>
      </c>
      <c r="AP37" s="3">
        <v>20000</v>
      </c>
      <c r="AQ37" s="3">
        <v>20000</v>
      </c>
      <c r="AR37" s="3">
        <v>20000</v>
      </c>
      <c r="AS37" s="3">
        <v>20000</v>
      </c>
      <c r="AT37" s="3">
        <v>20000</v>
      </c>
      <c r="AU37" s="3">
        <v>20000</v>
      </c>
      <c r="AV37" s="3">
        <v>20000</v>
      </c>
      <c r="AW37" s="3">
        <v>20000</v>
      </c>
      <c r="AX37" s="3">
        <v>20000</v>
      </c>
      <c r="AY37" s="3">
        <v>20000</v>
      </c>
      <c r="AZ37" s="3">
        <v>20000</v>
      </c>
      <c r="BA37" s="3">
        <v>20000</v>
      </c>
      <c r="BB37" s="3">
        <v>20000</v>
      </c>
      <c r="BC37" s="3">
        <v>20000</v>
      </c>
      <c r="BD37" s="3">
        <v>20000</v>
      </c>
      <c r="BE37" s="3">
        <v>20000</v>
      </c>
      <c r="BF37" s="3">
        <v>20000</v>
      </c>
      <c r="BG37" s="3">
        <v>20000</v>
      </c>
      <c r="BH37" s="3">
        <v>20000</v>
      </c>
      <c r="BI37" s="3">
        <v>20000</v>
      </c>
      <c r="BJ37" s="3">
        <v>20000</v>
      </c>
      <c r="BK37" s="3">
        <v>20000</v>
      </c>
      <c r="BL37" s="3">
        <v>20000</v>
      </c>
      <c r="BM37" s="3">
        <v>20000</v>
      </c>
      <c r="BN37" s="3">
        <v>20000</v>
      </c>
      <c r="BO37" s="3">
        <v>20000</v>
      </c>
      <c r="BP37" s="3">
        <v>20000</v>
      </c>
      <c r="BQ37" s="3">
        <v>20000</v>
      </c>
      <c r="BR37" s="3">
        <v>20000</v>
      </c>
      <c r="BS37" s="3">
        <v>20000</v>
      </c>
      <c r="BT37" s="3">
        <v>20000</v>
      </c>
      <c r="BU37" s="3">
        <v>20000</v>
      </c>
      <c r="BV37" s="3">
        <v>20000</v>
      </c>
      <c r="BW37" s="3">
        <v>20000</v>
      </c>
      <c r="BX37" s="3">
        <v>20000</v>
      </c>
      <c r="BY37" s="3">
        <v>20000</v>
      </c>
      <c r="BZ37" s="3">
        <v>20000</v>
      </c>
      <c r="CA37" s="3">
        <v>20000</v>
      </c>
      <c r="CB37" s="3">
        <v>20000</v>
      </c>
      <c r="CC37" s="3">
        <v>20000</v>
      </c>
      <c r="CD37" s="3">
        <v>20000</v>
      </c>
      <c r="CE37" s="3">
        <v>20000</v>
      </c>
      <c r="CF37" s="3">
        <v>20000</v>
      </c>
      <c r="CG37" s="3">
        <v>20000</v>
      </c>
      <c r="CH37" s="3">
        <v>20000</v>
      </c>
      <c r="CI37" s="3">
        <v>20000</v>
      </c>
      <c r="CJ37" s="3">
        <v>20000</v>
      </c>
      <c r="CK37" s="3">
        <v>20000</v>
      </c>
      <c r="CL37" s="3">
        <v>20000</v>
      </c>
      <c r="CM37" s="3">
        <v>20000</v>
      </c>
      <c r="CN37" s="3">
        <v>20000</v>
      </c>
      <c r="CO37" s="3">
        <v>20000</v>
      </c>
      <c r="CP37" s="3">
        <v>20000</v>
      </c>
      <c r="CQ37" s="3">
        <v>20000</v>
      </c>
      <c r="CR37" s="3">
        <v>20000</v>
      </c>
      <c r="CS37" s="3">
        <v>20000</v>
      </c>
      <c r="CT37" s="3">
        <v>20000</v>
      </c>
      <c r="CU37" s="3">
        <v>20000</v>
      </c>
      <c r="CV37" s="3">
        <v>20000</v>
      </c>
      <c r="CW37" s="3">
        <v>20000</v>
      </c>
      <c r="CX37" s="3">
        <v>20000</v>
      </c>
      <c r="CY37" s="3">
        <v>20000</v>
      </c>
      <c r="CZ37" s="3">
        <v>20000</v>
      </c>
      <c r="DA37" s="3">
        <v>20000</v>
      </c>
      <c r="DB37" s="3">
        <v>20000</v>
      </c>
      <c r="DC37" s="3">
        <v>20000</v>
      </c>
      <c r="DD37" s="3">
        <v>20000</v>
      </c>
      <c r="DE37" s="3">
        <v>20000</v>
      </c>
      <c r="DF37" s="3">
        <v>20000</v>
      </c>
      <c r="DG37" s="3">
        <v>20000</v>
      </c>
      <c r="DH37" s="3">
        <v>20000</v>
      </c>
      <c r="DI37" s="3">
        <v>20000</v>
      </c>
      <c r="DJ37" s="3">
        <v>20000</v>
      </c>
      <c r="DK37" s="3">
        <v>20000</v>
      </c>
      <c r="DL37" s="3">
        <v>20000</v>
      </c>
      <c r="DM37" s="3">
        <v>20000</v>
      </c>
      <c r="DN37" s="3">
        <v>20000</v>
      </c>
      <c r="DO37" s="3">
        <v>20000</v>
      </c>
      <c r="DP37" s="3">
        <v>20000</v>
      </c>
      <c r="DQ37" s="3">
        <v>20000</v>
      </c>
      <c r="DR37" s="3">
        <v>20000</v>
      </c>
      <c r="DS37" s="3">
        <v>20000</v>
      </c>
      <c r="DT37" s="3">
        <v>20000</v>
      </c>
      <c r="DU37" s="3">
        <v>20000</v>
      </c>
      <c r="DV37" s="3">
        <v>20000</v>
      </c>
      <c r="DW37" s="3">
        <v>20000</v>
      </c>
      <c r="DX37" s="3">
        <v>20000</v>
      </c>
      <c r="DY37" s="3">
        <v>20000</v>
      </c>
      <c r="DZ37" s="3">
        <v>20000</v>
      </c>
      <c r="EA37" s="3">
        <v>20000</v>
      </c>
      <c r="EB37" s="3">
        <v>20000</v>
      </c>
      <c r="EC37" s="3">
        <v>20000</v>
      </c>
      <c r="ED37" s="3">
        <v>20000</v>
      </c>
      <c r="EE37" s="3">
        <v>20000</v>
      </c>
      <c r="EF37" s="3">
        <v>20000</v>
      </c>
      <c r="EG37" s="3">
        <v>20000</v>
      </c>
      <c r="EH37" s="3">
        <v>20000</v>
      </c>
      <c r="EI37" s="3">
        <v>20000</v>
      </c>
      <c r="EJ37" s="3">
        <v>20000</v>
      </c>
      <c r="EK37" s="3">
        <v>20000</v>
      </c>
      <c r="EL37" s="3">
        <v>20000</v>
      </c>
      <c r="EM37" s="3">
        <v>20000</v>
      </c>
      <c r="EN37" s="3">
        <v>20000</v>
      </c>
      <c r="EO37" s="3">
        <v>20000</v>
      </c>
      <c r="EP37" s="3">
        <v>20000</v>
      </c>
      <c r="EQ37" s="3">
        <v>20000</v>
      </c>
      <c r="ER37" s="3">
        <v>20000</v>
      </c>
      <c r="ES37" s="3">
        <v>20000</v>
      </c>
      <c r="ET37" s="3">
        <v>20000</v>
      </c>
      <c r="EU37" s="3">
        <v>20000</v>
      </c>
      <c r="EV37" s="3">
        <v>20000</v>
      </c>
      <c r="EW37" s="3">
        <v>20000</v>
      </c>
      <c r="EX37" s="3">
        <v>20000</v>
      </c>
      <c r="EY37" s="3">
        <v>20000</v>
      </c>
      <c r="EZ37" s="3">
        <v>20000</v>
      </c>
      <c r="FA37" s="3">
        <v>20000</v>
      </c>
      <c r="FB37" s="3">
        <v>20000</v>
      </c>
      <c r="FC37" s="3">
        <v>20000</v>
      </c>
      <c r="FD37" s="3">
        <v>20000</v>
      </c>
      <c r="FE37" s="3">
        <v>20000</v>
      </c>
      <c r="FF37" s="3">
        <v>20000</v>
      </c>
      <c r="FG37" s="3">
        <v>20000</v>
      </c>
      <c r="FH37" s="3">
        <v>20000</v>
      </c>
      <c r="FI37" s="3">
        <v>20000</v>
      </c>
    </row>
    <row r="38" spans="1:165" x14ac:dyDescent="0.3">
      <c r="A38" s="4" t="s">
        <v>3033</v>
      </c>
      <c r="B38" s="3">
        <v>20000</v>
      </c>
      <c r="C38" s="3">
        <v>20000</v>
      </c>
      <c r="D38" s="3">
        <v>20000</v>
      </c>
      <c r="E38" s="3">
        <v>20000</v>
      </c>
      <c r="F38" s="3">
        <v>20000</v>
      </c>
      <c r="G38" s="3">
        <v>20000</v>
      </c>
      <c r="H38" s="3">
        <v>20000</v>
      </c>
      <c r="I38" s="3">
        <v>20000</v>
      </c>
      <c r="J38" s="3">
        <v>20000</v>
      </c>
      <c r="K38" s="3">
        <v>20000</v>
      </c>
      <c r="L38" s="3">
        <v>20000</v>
      </c>
      <c r="M38" s="3">
        <v>20000</v>
      </c>
      <c r="N38" s="3">
        <v>20000</v>
      </c>
      <c r="O38" s="3">
        <v>20000</v>
      </c>
      <c r="P38" s="3">
        <v>20000</v>
      </c>
      <c r="Q38" s="3">
        <v>20000</v>
      </c>
      <c r="R38" s="3">
        <v>20000</v>
      </c>
      <c r="S38" s="3">
        <v>20000</v>
      </c>
      <c r="T38" s="3">
        <v>20000</v>
      </c>
      <c r="U38" s="3">
        <v>20000</v>
      </c>
      <c r="V38" s="3">
        <v>20000</v>
      </c>
      <c r="W38" s="3">
        <v>20000</v>
      </c>
      <c r="X38" s="3">
        <v>20000</v>
      </c>
      <c r="Y38" s="3">
        <v>20000</v>
      </c>
      <c r="Z38" s="3">
        <v>20000</v>
      </c>
      <c r="AA38" s="3">
        <v>20000</v>
      </c>
      <c r="AB38" s="3">
        <v>20000</v>
      </c>
      <c r="AC38" s="3">
        <v>20000</v>
      </c>
      <c r="AD38" s="3">
        <v>20000</v>
      </c>
      <c r="AE38" s="3">
        <v>20000</v>
      </c>
      <c r="AF38" s="3">
        <v>20000</v>
      </c>
      <c r="AG38" s="3">
        <v>20000</v>
      </c>
      <c r="AH38" s="3">
        <v>20000</v>
      </c>
      <c r="AI38" s="3">
        <v>20000</v>
      </c>
      <c r="AJ38" s="3">
        <v>20000</v>
      </c>
      <c r="AK38" s="3">
        <v>20000</v>
      </c>
      <c r="AL38" s="3">
        <v>20000</v>
      </c>
      <c r="AM38" s="3">
        <v>20000</v>
      </c>
      <c r="AN38" s="3">
        <v>20000</v>
      </c>
      <c r="AO38" s="3">
        <v>20000</v>
      </c>
      <c r="AP38" s="3">
        <v>20000</v>
      </c>
      <c r="AQ38" s="3">
        <v>20000</v>
      </c>
      <c r="AR38" s="3">
        <v>20000</v>
      </c>
      <c r="AS38" s="3">
        <v>20000</v>
      </c>
      <c r="AT38" s="3">
        <v>20000</v>
      </c>
      <c r="AU38" s="3">
        <v>20000</v>
      </c>
      <c r="AV38" s="3">
        <v>20000</v>
      </c>
      <c r="AW38" s="3">
        <v>20000</v>
      </c>
      <c r="AX38" s="3">
        <v>20000</v>
      </c>
      <c r="AY38" s="3">
        <v>20000</v>
      </c>
      <c r="AZ38" s="3">
        <v>20000</v>
      </c>
      <c r="BA38" s="3">
        <v>20000</v>
      </c>
      <c r="BB38" s="3">
        <v>20000</v>
      </c>
      <c r="BC38" s="3">
        <v>20000</v>
      </c>
      <c r="BD38" s="3">
        <v>20000</v>
      </c>
      <c r="BE38" s="3">
        <v>20000</v>
      </c>
      <c r="BF38" s="3">
        <v>20000</v>
      </c>
      <c r="BG38" s="3">
        <v>20000</v>
      </c>
      <c r="BH38" s="3">
        <v>20000</v>
      </c>
      <c r="BI38" s="3">
        <v>20000</v>
      </c>
      <c r="BJ38" s="3">
        <v>20000</v>
      </c>
      <c r="BK38" s="3">
        <v>20000</v>
      </c>
      <c r="BL38" s="3">
        <v>20000</v>
      </c>
      <c r="BM38" s="3">
        <v>20000</v>
      </c>
      <c r="BN38" s="3">
        <v>20000</v>
      </c>
      <c r="BO38" s="3">
        <v>20000</v>
      </c>
      <c r="BP38" s="3">
        <v>20000</v>
      </c>
      <c r="BQ38" s="3">
        <v>20000</v>
      </c>
      <c r="BR38" s="3">
        <v>20000</v>
      </c>
      <c r="BS38" s="3">
        <v>20000</v>
      </c>
      <c r="BT38" s="3">
        <v>20000</v>
      </c>
      <c r="BU38" s="3">
        <v>20000</v>
      </c>
      <c r="BV38" s="3">
        <v>20000</v>
      </c>
      <c r="BW38" s="3">
        <v>20000</v>
      </c>
      <c r="BX38" s="3">
        <v>20000</v>
      </c>
      <c r="BY38" s="3">
        <v>20000</v>
      </c>
      <c r="BZ38" s="3">
        <v>20000</v>
      </c>
      <c r="CA38" s="3">
        <v>20000</v>
      </c>
      <c r="CB38" s="3">
        <v>20000</v>
      </c>
      <c r="CC38" s="3">
        <v>20000</v>
      </c>
      <c r="CD38" s="3">
        <v>20000</v>
      </c>
      <c r="CE38" s="3">
        <v>20000</v>
      </c>
      <c r="CF38" s="3">
        <v>20000</v>
      </c>
      <c r="CG38" s="3">
        <v>20000</v>
      </c>
      <c r="CH38" s="3">
        <v>20000</v>
      </c>
      <c r="CI38" s="3">
        <v>20000</v>
      </c>
      <c r="CJ38" s="3">
        <v>20000</v>
      </c>
      <c r="CK38" s="3">
        <v>20000</v>
      </c>
      <c r="CL38" s="3">
        <v>20000</v>
      </c>
      <c r="CM38" s="3">
        <v>20000</v>
      </c>
      <c r="CN38" s="3">
        <v>20000</v>
      </c>
      <c r="CO38" s="3">
        <v>20000</v>
      </c>
      <c r="CP38" s="3">
        <v>20000</v>
      </c>
      <c r="CQ38" s="3">
        <v>20000</v>
      </c>
      <c r="CR38" s="3">
        <v>20000</v>
      </c>
      <c r="CS38" s="3">
        <v>20000</v>
      </c>
      <c r="CT38" s="3">
        <v>20000</v>
      </c>
      <c r="CU38" s="3">
        <v>20000</v>
      </c>
      <c r="CV38" s="3">
        <v>20000</v>
      </c>
      <c r="CW38" s="3">
        <v>20000</v>
      </c>
      <c r="CX38" s="3">
        <v>20000</v>
      </c>
      <c r="CY38" s="3">
        <v>20000</v>
      </c>
      <c r="CZ38" s="3">
        <v>20000</v>
      </c>
      <c r="DA38" s="3">
        <v>20000</v>
      </c>
      <c r="DB38" s="3">
        <v>20000</v>
      </c>
      <c r="DC38" s="3">
        <v>20000</v>
      </c>
      <c r="DD38" s="3">
        <v>20000</v>
      </c>
      <c r="DE38" s="3">
        <v>20000</v>
      </c>
      <c r="DF38" s="3">
        <v>20000</v>
      </c>
      <c r="DG38" s="3">
        <v>20000</v>
      </c>
      <c r="DH38" s="3">
        <v>20000</v>
      </c>
      <c r="DI38" s="3">
        <v>20000</v>
      </c>
      <c r="DJ38" s="3">
        <v>20000</v>
      </c>
      <c r="DK38" s="3">
        <v>20000</v>
      </c>
      <c r="DL38" s="3">
        <v>20000</v>
      </c>
      <c r="DM38" s="3">
        <v>20000</v>
      </c>
      <c r="DN38" s="3">
        <v>20000</v>
      </c>
      <c r="DO38" s="3">
        <v>20000</v>
      </c>
      <c r="DP38" s="3">
        <v>20000</v>
      </c>
      <c r="DQ38" s="3">
        <v>20000</v>
      </c>
      <c r="DR38" s="3">
        <v>20000</v>
      </c>
      <c r="DS38" s="3">
        <v>20000</v>
      </c>
      <c r="DT38" s="3">
        <v>20000</v>
      </c>
      <c r="DU38" s="3">
        <v>20000</v>
      </c>
      <c r="DV38" s="3">
        <v>20000</v>
      </c>
      <c r="DW38" s="3">
        <v>20000</v>
      </c>
      <c r="DX38" s="3">
        <v>20000</v>
      </c>
      <c r="DY38" s="3">
        <v>20000</v>
      </c>
      <c r="DZ38" s="3">
        <v>20000</v>
      </c>
      <c r="EA38" s="3">
        <v>20000</v>
      </c>
      <c r="EB38" s="3">
        <v>20000</v>
      </c>
      <c r="EC38" s="3">
        <v>20000</v>
      </c>
      <c r="ED38" s="3">
        <v>20000</v>
      </c>
      <c r="EE38" s="3">
        <v>20000</v>
      </c>
      <c r="EF38" s="3">
        <v>20000</v>
      </c>
      <c r="EG38" s="3">
        <v>20000</v>
      </c>
      <c r="EH38" s="3">
        <v>20000</v>
      </c>
      <c r="EI38" s="3">
        <v>20000</v>
      </c>
      <c r="EJ38" s="3">
        <v>20000</v>
      </c>
      <c r="EK38" s="3">
        <v>20000</v>
      </c>
      <c r="EL38" s="3">
        <v>20000</v>
      </c>
      <c r="EM38" s="3">
        <v>20000</v>
      </c>
      <c r="EN38" s="3">
        <v>20000</v>
      </c>
      <c r="EO38" s="3">
        <v>20000</v>
      </c>
      <c r="EP38" s="3">
        <v>20000</v>
      </c>
      <c r="EQ38" s="3">
        <v>20000</v>
      </c>
      <c r="ER38" s="3">
        <v>20000</v>
      </c>
      <c r="ES38" s="3">
        <v>20000</v>
      </c>
      <c r="ET38" s="3">
        <v>20000</v>
      </c>
      <c r="EU38" s="3">
        <v>20000</v>
      </c>
      <c r="EV38" s="3">
        <v>20000</v>
      </c>
      <c r="EW38" s="3">
        <v>20000</v>
      </c>
      <c r="EX38" s="3">
        <v>20000</v>
      </c>
      <c r="EY38" s="3">
        <v>20000</v>
      </c>
      <c r="EZ38" s="3">
        <v>20000</v>
      </c>
      <c r="FA38" s="3">
        <v>20000</v>
      </c>
      <c r="FB38" s="3">
        <v>20000</v>
      </c>
      <c r="FC38" s="3">
        <v>20000</v>
      </c>
      <c r="FD38" s="3">
        <v>20000</v>
      </c>
      <c r="FE38" s="3">
        <v>20000</v>
      </c>
      <c r="FF38" s="3">
        <v>20000</v>
      </c>
      <c r="FG38" s="3">
        <v>20000</v>
      </c>
      <c r="FH38" s="3">
        <v>20000</v>
      </c>
      <c r="FI38" s="3">
        <v>20000</v>
      </c>
    </row>
    <row r="39" spans="1:165" x14ac:dyDescent="0.3">
      <c r="A39" s="4" t="s">
        <v>3034</v>
      </c>
      <c r="B39" s="3">
        <v>20000</v>
      </c>
      <c r="C39" s="3">
        <v>20000</v>
      </c>
      <c r="D39" s="3">
        <v>20000</v>
      </c>
      <c r="E39" s="3">
        <v>20000</v>
      </c>
      <c r="F39" s="3">
        <v>20000</v>
      </c>
      <c r="G39" s="3">
        <v>20000</v>
      </c>
      <c r="H39" s="3">
        <v>20000</v>
      </c>
      <c r="I39" s="3">
        <v>20000</v>
      </c>
      <c r="J39" s="3">
        <v>20000</v>
      </c>
      <c r="K39" s="3">
        <v>20000</v>
      </c>
      <c r="L39" s="3">
        <v>20000</v>
      </c>
      <c r="M39" s="3">
        <v>20000</v>
      </c>
      <c r="N39" s="3">
        <v>20000</v>
      </c>
      <c r="O39" s="3">
        <v>20000</v>
      </c>
      <c r="P39" s="3">
        <v>20000</v>
      </c>
      <c r="Q39" s="3">
        <v>20000</v>
      </c>
      <c r="R39" s="3">
        <v>20000</v>
      </c>
      <c r="S39" s="3">
        <v>20000</v>
      </c>
      <c r="T39" s="3">
        <v>20000</v>
      </c>
      <c r="U39" s="3">
        <v>20000</v>
      </c>
      <c r="V39" s="3">
        <v>20000</v>
      </c>
      <c r="W39" s="3">
        <v>20000</v>
      </c>
      <c r="X39" s="3">
        <v>20000</v>
      </c>
      <c r="Y39" s="3">
        <v>20000</v>
      </c>
      <c r="Z39" s="3">
        <v>20000</v>
      </c>
      <c r="AA39" s="3">
        <v>20000</v>
      </c>
      <c r="AB39" s="3">
        <v>20000</v>
      </c>
      <c r="AC39" s="3">
        <v>20000</v>
      </c>
      <c r="AD39" s="3">
        <v>20000</v>
      </c>
      <c r="AE39" s="3">
        <v>20000</v>
      </c>
      <c r="AF39" s="3">
        <v>20000</v>
      </c>
      <c r="AG39" s="3">
        <v>20000</v>
      </c>
      <c r="AH39" s="3">
        <v>20000</v>
      </c>
      <c r="AI39" s="3">
        <v>20000</v>
      </c>
      <c r="AJ39" s="3">
        <v>20000</v>
      </c>
      <c r="AK39" s="3">
        <v>20000</v>
      </c>
      <c r="AL39" s="3">
        <v>20000</v>
      </c>
      <c r="AM39" s="3">
        <v>20000</v>
      </c>
      <c r="AN39" s="3">
        <v>20000</v>
      </c>
      <c r="AO39" s="3">
        <v>20000</v>
      </c>
      <c r="AP39" s="3">
        <v>20000</v>
      </c>
      <c r="AQ39" s="3">
        <v>20000</v>
      </c>
      <c r="AR39" s="3">
        <v>20000</v>
      </c>
      <c r="AS39" s="3">
        <v>20000</v>
      </c>
      <c r="AT39" s="3">
        <v>20000</v>
      </c>
      <c r="AU39" s="3">
        <v>20000</v>
      </c>
      <c r="AV39" s="3">
        <v>20000</v>
      </c>
      <c r="AW39" s="3">
        <v>20000</v>
      </c>
      <c r="AX39" s="3">
        <v>20000</v>
      </c>
      <c r="AY39" s="3">
        <v>20000</v>
      </c>
      <c r="AZ39" s="3">
        <v>20000</v>
      </c>
      <c r="BA39" s="3">
        <v>20000</v>
      </c>
      <c r="BB39" s="3">
        <v>20000</v>
      </c>
      <c r="BC39" s="3">
        <v>20000</v>
      </c>
      <c r="BD39" s="3">
        <v>20000</v>
      </c>
      <c r="BE39" s="3">
        <v>20000</v>
      </c>
      <c r="BF39" s="3">
        <v>20000</v>
      </c>
      <c r="BG39" s="3">
        <v>20000</v>
      </c>
      <c r="BH39" s="3">
        <v>20000</v>
      </c>
      <c r="BI39" s="3">
        <v>20000</v>
      </c>
      <c r="BJ39" s="3">
        <v>20000</v>
      </c>
      <c r="BK39" s="3">
        <v>20000</v>
      </c>
      <c r="BL39" s="3">
        <v>20000</v>
      </c>
      <c r="BM39" s="3">
        <v>20000</v>
      </c>
      <c r="BN39" s="3">
        <v>20000</v>
      </c>
      <c r="BO39" s="3">
        <v>20000</v>
      </c>
      <c r="BP39" s="3">
        <v>20000</v>
      </c>
      <c r="BQ39" s="3">
        <v>20000</v>
      </c>
      <c r="BR39" s="3">
        <v>20000</v>
      </c>
      <c r="BS39" s="3">
        <v>20000</v>
      </c>
      <c r="BT39" s="3">
        <v>20000</v>
      </c>
      <c r="BU39" s="3">
        <v>20000</v>
      </c>
      <c r="BV39" s="3">
        <v>20000</v>
      </c>
      <c r="BW39" s="3">
        <v>20000</v>
      </c>
      <c r="BX39" s="3">
        <v>20000</v>
      </c>
      <c r="BY39" s="3">
        <v>20000</v>
      </c>
      <c r="BZ39" s="3">
        <v>20000</v>
      </c>
      <c r="CA39" s="3">
        <v>20000</v>
      </c>
      <c r="CB39" s="3">
        <v>20000</v>
      </c>
      <c r="CC39" s="3">
        <v>20000</v>
      </c>
      <c r="CD39" s="3">
        <v>20000</v>
      </c>
      <c r="CE39" s="3">
        <v>20000</v>
      </c>
      <c r="CF39" s="3">
        <v>20000</v>
      </c>
      <c r="CG39" s="3">
        <v>20000</v>
      </c>
      <c r="CH39" s="3">
        <v>20000</v>
      </c>
      <c r="CI39" s="3">
        <v>20000</v>
      </c>
      <c r="CJ39" s="3">
        <v>20000</v>
      </c>
      <c r="CK39" s="3">
        <v>20000</v>
      </c>
      <c r="CL39" s="3">
        <v>20000</v>
      </c>
      <c r="CM39" s="3">
        <v>20000</v>
      </c>
      <c r="CN39" s="3">
        <v>20000</v>
      </c>
      <c r="CO39" s="3">
        <v>20000</v>
      </c>
      <c r="CP39" s="3">
        <v>20000</v>
      </c>
      <c r="CQ39" s="3">
        <v>20000</v>
      </c>
      <c r="CR39" s="3">
        <v>20000</v>
      </c>
      <c r="CS39" s="3">
        <v>20000</v>
      </c>
      <c r="CT39" s="3">
        <v>20000</v>
      </c>
      <c r="CU39" s="3">
        <v>20000</v>
      </c>
      <c r="CV39" s="3">
        <v>20000</v>
      </c>
      <c r="CW39" s="3">
        <v>20000</v>
      </c>
      <c r="CX39" s="3">
        <v>20000</v>
      </c>
      <c r="CY39" s="3">
        <v>20000</v>
      </c>
      <c r="CZ39" s="3">
        <v>20000</v>
      </c>
      <c r="DA39" s="3">
        <v>20000</v>
      </c>
      <c r="DB39" s="3">
        <v>20000</v>
      </c>
      <c r="DC39" s="3">
        <v>20000</v>
      </c>
      <c r="DD39" s="3">
        <v>20000</v>
      </c>
      <c r="DE39" s="3">
        <v>20000</v>
      </c>
      <c r="DF39" s="3">
        <v>20000</v>
      </c>
      <c r="DG39" s="3">
        <v>20000</v>
      </c>
      <c r="DH39" s="3">
        <v>20000</v>
      </c>
      <c r="DI39" s="3">
        <v>20000</v>
      </c>
      <c r="DJ39" s="3">
        <v>20000</v>
      </c>
      <c r="DK39" s="3">
        <v>20000</v>
      </c>
      <c r="DL39" s="3">
        <v>20000</v>
      </c>
      <c r="DM39" s="3">
        <v>20000</v>
      </c>
      <c r="DN39" s="3">
        <v>20000</v>
      </c>
      <c r="DO39" s="3">
        <v>20000</v>
      </c>
      <c r="DP39" s="3">
        <v>20000</v>
      </c>
      <c r="DQ39" s="3">
        <v>20000</v>
      </c>
      <c r="DR39" s="3">
        <v>20000</v>
      </c>
      <c r="DS39" s="3">
        <v>20000</v>
      </c>
      <c r="DT39" s="3">
        <v>20000</v>
      </c>
      <c r="DU39" s="3">
        <v>20000</v>
      </c>
      <c r="DV39" s="3">
        <v>20000</v>
      </c>
      <c r="DW39" s="3">
        <v>20000</v>
      </c>
      <c r="DX39" s="3">
        <v>20000</v>
      </c>
      <c r="DY39" s="3">
        <v>20000</v>
      </c>
      <c r="DZ39" s="3">
        <v>20000</v>
      </c>
      <c r="EA39" s="3">
        <v>20000</v>
      </c>
      <c r="EB39" s="3">
        <v>20000</v>
      </c>
      <c r="EC39" s="3">
        <v>20000</v>
      </c>
      <c r="ED39" s="3">
        <v>20000</v>
      </c>
      <c r="EE39" s="3">
        <v>20000</v>
      </c>
      <c r="EF39" s="3">
        <v>20000</v>
      </c>
      <c r="EG39" s="3">
        <v>20000</v>
      </c>
      <c r="EH39" s="3">
        <v>20000</v>
      </c>
      <c r="EI39" s="3">
        <v>20000</v>
      </c>
      <c r="EJ39" s="3">
        <v>20000</v>
      </c>
      <c r="EK39" s="3">
        <v>20000</v>
      </c>
      <c r="EL39" s="3">
        <v>20000</v>
      </c>
      <c r="EM39" s="3">
        <v>20000</v>
      </c>
      <c r="EN39" s="3">
        <v>20000</v>
      </c>
      <c r="EO39" s="3">
        <v>20000</v>
      </c>
      <c r="EP39" s="3">
        <v>20000</v>
      </c>
      <c r="EQ39" s="3">
        <v>20000</v>
      </c>
      <c r="ER39" s="3">
        <v>20000</v>
      </c>
      <c r="ES39" s="3">
        <v>20000</v>
      </c>
      <c r="ET39" s="3">
        <v>20000</v>
      </c>
      <c r="EU39" s="3">
        <v>20000</v>
      </c>
      <c r="EV39" s="3">
        <v>20000</v>
      </c>
      <c r="EW39" s="3">
        <v>20000</v>
      </c>
      <c r="EX39" s="3">
        <v>20000</v>
      </c>
      <c r="EY39" s="3">
        <v>20000</v>
      </c>
      <c r="EZ39" s="3">
        <v>20000</v>
      </c>
      <c r="FA39" s="3">
        <v>20000</v>
      </c>
      <c r="FB39" s="3">
        <v>20000</v>
      </c>
      <c r="FC39" s="3">
        <v>20000</v>
      </c>
      <c r="FD39" s="3">
        <v>20000</v>
      </c>
      <c r="FE39" s="3">
        <v>20000</v>
      </c>
      <c r="FF39" s="3">
        <v>20000</v>
      </c>
      <c r="FG39" s="3">
        <v>20000</v>
      </c>
      <c r="FH39" s="3">
        <v>20000</v>
      </c>
      <c r="FI39" s="3">
        <v>20000</v>
      </c>
    </row>
    <row r="40" spans="1:165" x14ac:dyDescent="0.3">
      <c r="A40" s="4" t="s">
        <v>3035</v>
      </c>
      <c r="B40" s="3">
        <v>20000</v>
      </c>
      <c r="C40" s="3">
        <v>20000</v>
      </c>
      <c r="D40" s="3">
        <v>20000</v>
      </c>
      <c r="E40" s="3">
        <v>20000</v>
      </c>
      <c r="F40" s="3">
        <v>20000</v>
      </c>
      <c r="G40" s="3">
        <v>20000</v>
      </c>
      <c r="H40" s="3">
        <v>20000</v>
      </c>
      <c r="I40" s="3">
        <v>20000</v>
      </c>
      <c r="J40" s="3">
        <v>20000</v>
      </c>
      <c r="K40" s="3">
        <v>20000</v>
      </c>
      <c r="L40" s="3">
        <v>20000</v>
      </c>
      <c r="M40" s="3">
        <v>20000</v>
      </c>
      <c r="N40" s="3">
        <v>20000</v>
      </c>
      <c r="O40" s="3">
        <v>20000</v>
      </c>
      <c r="P40" s="3">
        <v>20000</v>
      </c>
      <c r="Q40" s="3">
        <v>20000</v>
      </c>
      <c r="R40" s="3">
        <v>20000</v>
      </c>
      <c r="S40" s="3">
        <v>20000</v>
      </c>
      <c r="T40" s="3">
        <v>20000</v>
      </c>
      <c r="U40" s="3">
        <v>20000</v>
      </c>
      <c r="V40" s="3">
        <v>20000</v>
      </c>
      <c r="W40" s="3">
        <v>20000</v>
      </c>
      <c r="X40" s="3">
        <v>20000</v>
      </c>
      <c r="Y40" s="3">
        <v>20000</v>
      </c>
      <c r="Z40" s="3">
        <v>20000</v>
      </c>
      <c r="AA40" s="3">
        <v>20000</v>
      </c>
      <c r="AB40" s="3">
        <v>20000</v>
      </c>
      <c r="AC40" s="3">
        <v>20000</v>
      </c>
      <c r="AD40" s="3">
        <v>20000</v>
      </c>
      <c r="AE40" s="3">
        <v>20000</v>
      </c>
      <c r="AF40" s="3">
        <v>20000</v>
      </c>
      <c r="AG40" s="3">
        <v>20000</v>
      </c>
      <c r="AH40" s="3">
        <v>20000</v>
      </c>
      <c r="AI40" s="3">
        <v>20000</v>
      </c>
      <c r="AJ40" s="3">
        <v>20000</v>
      </c>
      <c r="AK40" s="3">
        <v>20000</v>
      </c>
      <c r="AL40" s="3">
        <v>20000</v>
      </c>
      <c r="AM40" s="3">
        <v>20000</v>
      </c>
      <c r="AN40" s="3">
        <v>20000</v>
      </c>
      <c r="AO40" s="3">
        <v>20000</v>
      </c>
      <c r="AP40" s="3">
        <v>20000</v>
      </c>
      <c r="AQ40" s="3">
        <v>20000</v>
      </c>
      <c r="AR40" s="3">
        <v>20000</v>
      </c>
      <c r="AS40" s="3">
        <v>20000</v>
      </c>
      <c r="AT40" s="3">
        <v>20000</v>
      </c>
      <c r="AU40" s="3">
        <v>20000</v>
      </c>
      <c r="AV40" s="3">
        <v>20000</v>
      </c>
      <c r="AW40" s="3">
        <v>20000</v>
      </c>
      <c r="AX40" s="3">
        <v>20000</v>
      </c>
      <c r="AY40" s="3">
        <v>20000</v>
      </c>
      <c r="AZ40" s="3">
        <v>20000</v>
      </c>
      <c r="BA40" s="3">
        <v>20000</v>
      </c>
      <c r="BB40" s="3">
        <v>20000</v>
      </c>
      <c r="BC40" s="3">
        <v>20000</v>
      </c>
      <c r="BD40" s="3">
        <v>20000</v>
      </c>
      <c r="BE40" s="3">
        <v>20000</v>
      </c>
      <c r="BF40" s="3">
        <v>20000</v>
      </c>
      <c r="BG40" s="3">
        <v>20000</v>
      </c>
      <c r="BH40" s="3">
        <v>20000</v>
      </c>
      <c r="BI40" s="3">
        <v>20000</v>
      </c>
      <c r="BJ40" s="3">
        <v>20000</v>
      </c>
      <c r="BK40" s="3">
        <v>20000</v>
      </c>
      <c r="BL40" s="3">
        <v>20000</v>
      </c>
      <c r="BM40" s="3">
        <v>20000</v>
      </c>
      <c r="BN40" s="3">
        <v>20000</v>
      </c>
      <c r="BO40" s="3">
        <v>20000</v>
      </c>
      <c r="BP40" s="3">
        <v>20000</v>
      </c>
      <c r="BQ40" s="3">
        <v>20000</v>
      </c>
      <c r="BR40" s="3">
        <v>20000</v>
      </c>
      <c r="BS40" s="3">
        <v>20000</v>
      </c>
      <c r="BT40" s="3">
        <v>20000</v>
      </c>
      <c r="BU40" s="3">
        <v>20000</v>
      </c>
      <c r="BV40" s="3">
        <v>20000</v>
      </c>
      <c r="BW40" s="3">
        <v>20000</v>
      </c>
      <c r="BX40" s="3">
        <v>20000</v>
      </c>
      <c r="BY40" s="3">
        <v>20000</v>
      </c>
      <c r="BZ40" s="3">
        <v>20000</v>
      </c>
      <c r="CA40" s="3">
        <v>20000</v>
      </c>
      <c r="CB40" s="3">
        <v>20000</v>
      </c>
      <c r="CC40" s="3">
        <v>20000</v>
      </c>
      <c r="CD40" s="3">
        <v>20000</v>
      </c>
      <c r="CE40" s="3">
        <v>20000</v>
      </c>
      <c r="CF40" s="3">
        <v>20000</v>
      </c>
      <c r="CG40" s="3">
        <v>20000</v>
      </c>
      <c r="CH40" s="3">
        <v>20000</v>
      </c>
      <c r="CI40" s="3">
        <v>20000</v>
      </c>
      <c r="CJ40" s="3">
        <v>20000</v>
      </c>
      <c r="CK40" s="3">
        <v>20000</v>
      </c>
      <c r="CL40" s="3">
        <v>20000</v>
      </c>
      <c r="CM40" s="3">
        <v>20000</v>
      </c>
      <c r="CN40" s="3">
        <v>20000</v>
      </c>
      <c r="CO40" s="3">
        <v>20000</v>
      </c>
      <c r="CP40" s="3">
        <v>20000</v>
      </c>
      <c r="CQ40" s="3">
        <v>20000</v>
      </c>
      <c r="CR40" s="3">
        <v>20000</v>
      </c>
      <c r="CS40" s="3">
        <v>20000</v>
      </c>
      <c r="CT40" s="3">
        <v>20000</v>
      </c>
      <c r="CU40" s="3">
        <v>20000</v>
      </c>
      <c r="CV40" s="3">
        <v>20000</v>
      </c>
      <c r="CW40" s="3">
        <v>20000</v>
      </c>
      <c r="CX40" s="3">
        <v>20000</v>
      </c>
      <c r="CY40" s="3">
        <v>20000</v>
      </c>
      <c r="CZ40" s="3">
        <v>20000</v>
      </c>
      <c r="DA40" s="3">
        <v>20000</v>
      </c>
      <c r="DB40" s="3">
        <v>20000</v>
      </c>
      <c r="DC40" s="3">
        <v>20000</v>
      </c>
      <c r="DD40" s="3">
        <v>20000</v>
      </c>
      <c r="DE40" s="3">
        <v>20000</v>
      </c>
      <c r="DF40" s="3">
        <v>20000</v>
      </c>
      <c r="DG40" s="3">
        <v>20000</v>
      </c>
      <c r="DH40" s="3">
        <v>20000</v>
      </c>
      <c r="DI40" s="3">
        <v>20000</v>
      </c>
      <c r="DJ40" s="3">
        <v>20000</v>
      </c>
      <c r="DK40" s="3">
        <v>20000</v>
      </c>
      <c r="DL40" s="3">
        <v>20000</v>
      </c>
      <c r="DM40" s="3">
        <v>20000</v>
      </c>
      <c r="DN40" s="3">
        <v>20000</v>
      </c>
      <c r="DO40" s="3">
        <v>20000</v>
      </c>
      <c r="DP40" s="3">
        <v>20000</v>
      </c>
      <c r="DQ40" s="3">
        <v>20000</v>
      </c>
      <c r="DR40" s="3">
        <v>20000</v>
      </c>
      <c r="DS40" s="3">
        <v>20000</v>
      </c>
      <c r="DT40" s="3">
        <v>20000</v>
      </c>
      <c r="DU40" s="3">
        <v>20000</v>
      </c>
      <c r="DV40" s="3">
        <v>20000</v>
      </c>
      <c r="DW40" s="3">
        <v>20000</v>
      </c>
      <c r="DX40" s="3">
        <v>20000</v>
      </c>
      <c r="DY40" s="3">
        <v>20000</v>
      </c>
      <c r="DZ40" s="3">
        <v>20000</v>
      </c>
      <c r="EA40" s="3">
        <v>20000</v>
      </c>
      <c r="EB40" s="3">
        <v>20000</v>
      </c>
      <c r="EC40" s="3">
        <v>20000</v>
      </c>
      <c r="ED40" s="3">
        <v>20000</v>
      </c>
      <c r="EE40" s="3">
        <v>20000</v>
      </c>
      <c r="EF40" s="3">
        <v>20000</v>
      </c>
      <c r="EG40" s="3">
        <v>20000</v>
      </c>
      <c r="EH40" s="3">
        <v>20000</v>
      </c>
      <c r="EI40" s="3">
        <v>20000</v>
      </c>
      <c r="EJ40" s="3">
        <v>20000</v>
      </c>
      <c r="EK40" s="3">
        <v>20000</v>
      </c>
      <c r="EL40" s="3">
        <v>20000</v>
      </c>
      <c r="EM40" s="3">
        <v>20000</v>
      </c>
      <c r="EN40" s="3">
        <v>20000</v>
      </c>
      <c r="EO40" s="3">
        <v>20000</v>
      </c>
      <c r="EP40" s="3">
        <v>20000</v>
      </c>
      <c r="EQ40" s="3">
        <v>20000</v>
      </c>
      <c r="ER40" s="3">
        <v>20000</v>
      </c>
      <c r="ES40" s="3">
        <v>20000</v>
      </c>
      <c r="ET40" s="3">
        <v>20000</v>
      </c>
      <c r="EU40" s="3">
        <v>20000</v>
      </c>
      <c r="EV40" s="3">
        <v>20000</v>
      </c>
      <c r="EW40" s="3">
        <v>20000</v>
      </c>
      <c r="EX40" s="3">
        <v>20000</v>
      </c>
      <c r="EY40" s="3">
        <v>20000</v>
      </c>
      <c r="EZ40" s="3">
        <v>20000</v>
      </c>
      <c r="FA40" s="3">
        <v>20000</v>
      </c>
      <c r="FB40" s="3">
        <v>20000</v>
      </c>
      <c r="FC40" s="3">
        <v>20000</v>
      </c>
      <c r="FD40" s="3">
        <v>20000</v>
      </c>
      <c r="FE40" s="3">
        <v>20000</v>
      </c>
      <c r="FF40" s="3">
        <v>20000</v>
      </c>
      <c r="FG40" s="3">
        <v>20000</v>
      </c>
      <c r="FH40" s="3">
        <v>20000</v>
      </c>
      <c r="FI40" s="3">
        <v>20000</v>
      </c>
    </row>
    <row r="41" spans="1:165" x14ac:dyDescent="0.3">
      <c r="A41" s="4" t="s">
        <v>3036</v>
      </c>
      <c r="B41" s="3">
        <v>20000</v>
      </c>
      <c r="C41" s="3">
        <v>20000</v>
      </c>
      <c r="D41" s="3">
        <v>20000</v>
      </c>
      <c r="E41" s="3">
        <v>20000</v>
      </c>
      <c r="F41" s="3">
        <v>20000</v>
      </c>
      <c r="G41" s="3">
        <v>20000</v>
      </c>
      <c r="H41" s="3">
        <v>20000</v>
      </c>
      <c r="I41" s="3">
        <v>20000</v>
      </c>
      <c r="J41" s="3">
        <v>20000</v>
      </c>
      <c r="K41" s="3">
        <v>20000</v>
      </c>
      <c r="L41" s="3">
        <v>20000</v>
      </c>
      <c r="M41" s="3">
        <v>20000</v>
      </c>
      <c r="N41" s="3">
        <v>20000</v>
      </c>
      <c r="O41" s="3">
        <v>20000</v>
      </c>
      <c r="P41" s="3">
        <v>20000</v>
      </c>
      <c r="Q41" s="3">
        <v>20000</v>
      </c>
      <c r="R41" s="3">
        <v>20000</v>
      </c>
      <c r="S41" s="3">
        <v>20000</v>
      </c>
      <c r="T41" s="3">
        <v>20000</v>
      </c>
      <c r="U41" s="3">
        <v>20000</v>
      </c>
      <c r="V41" s="3">
        <v>20000</v>
      </c>
      <c r="W41" s="3">
        <v>20000</v>
      </c>
      <c r="X41" s="3">
        <v>20000</v>
      </c>
      <c r="Y41" s="3">
        <v>20000</v>
      </c>
      <c r="Z41" s="3">
        <v>20000</v>
      </c>
      <c r="AA41" s="3">
        <v>20000</v>
      </c>
      <c r="AB41" s="3">
        <v>20000</v>
      </c>
      <c r="AC41" s="3">
        <v>20000</v>
      </c>
      <c r="AD41" s="3">
        <v>20000</v>
      </c>
      <c r="AE41" s="3">
        <v>20000</v>
      </c>
      <c r="AF41" s="3">
        <v>20000</v>
      </c>
      <c r="AG41" s="3">
        <v>20000</v>
      </c>
      <c r="AH41" s="3">
        <v>20000</v>
      </c>
      <c r="AI41" s="3">
        <v>20000</v>
      </c>
      <c r="AJ41" s="3">
        <v>20000</v>
      </c>
      <c r="AK41" s="3">
        <v>20000</v>
      </c>
      <c r="AL41" s="3">
        <v>20000</v>
      </c>
      <c r="AM41" s="3">
        <v>20000</v>
      </c>
      <c r="AN41" s="3">
        <v>20000</v>
      </c>
      <c r="AO41" s="3">
        <v>20000</v>
      </c>
      <c r="AP41" s="3">
        <v>20000</v>
      </c>
      <c r="AQ41" s="3">
        <v>20000</v>
      </c>
      <c r="AR41" s="3">
        <v>20000</v>
      </c>
      <c r="AS41" s="3">
        <v>20000</v>
      </c>
      <c r="AT41" s="3">
        <v>20000</v>
      </c>
      <c r="AU41" s="3">
        <v>20000</v>
      </c>
      <c r="AV41" s="3">
        <v>20000</v>
      </c>
      <c r="AW41" s="3">
        <v>20000</v>
      </c>
      <c r="AX41" s="3">
        <v>20000</v>
      </c>
      <c r="AY41" s="3">
        <v>20000</v>
      </c>
      <c r="AZ41" s="3">
        <v>20000</v>
      </c>
      <c r="BA41" s="3">
        <v>20000</v>
      </c>
      <c r="BB41" s="3">
        <v>20000</v>
      </c>
      <c r="BC41" s="3">
        <v>20000</v>
      </c>
      <c r="BD41" s="3">
        <v>20000</v>
      </c>
      <c r="BE41" s="3">
        <v>20000</v>
      </c>
      <c r="BF41" s="3">
        <v>20000</v>
      </c>
      <c r="BG41" s="3">
        <v>20000</v>
      </c>
      <c r="BH41" s="3">
        <v>20000</v>
      </c>
      <c r="BI41" s="3">
        <v>20000</v>
      </c>
      <c r="BJ41" s="3">
        <v>20000</v>
      </c>
      <c r="BK41" s="3">
        <v>20000</v>
      </c>
      <c r="BL41" s="3">
        <v>20000</v>
      </c>
      <c r="BM41" s="3">
        <v>20000</v>
      </c>
      <c r="BN41" s="3">
        <v>20000</v>
      </c>
      <c r="BO41" s="3">
        <v>20000</v>
      </c>
      <c r="BP41" s="3">
        <v>20000</v>
      </c>
      <c r="BQ41" s="3">
        <v>20000</v>
      </c>
      <c r="BR41" s="3">
        <v>20000</v>
      </c>
      <c r="BS41" s="3">
        <v>20000</v>
      </c>
      <c r="BT41" s="3">
        <v>20000</v>
      </c>
      <c r="BU41" s="3">
        <v>20000</v>
      </c>
      <c r="BV41" s="3">
        <v>20000</v>
      </c>
      <c r="BW41" s="3">
        <v>20000</v>
      </c>
      <c r="BX41" s="3">
        <v>20000</v>
      </c>
      <c r="BY41" s="3">
        <v>20000</v>
      </c>
      <c r="BZ41" s="3">
        <v>20000</v>
      </c>
      <c r="CA41" s="3">
        <v>20000</v>
      </c>
      <c r="CB41" s="3">
        <v>20000</v>
      </c>
      <c r="CC41" s="3">
        <v>20000</v>
      </c>
      <c r="CD41" s="3">
        <v>20000</v>
      </c>
      <c r="CE41" s="3">
        <v>20000</v>
      </c>
      <c r="CF41" s="3">
        <v>20000</v>
      </c>
      <c r="CG41" s="3">
        <v>20000</v>
      </c>
      <c r="CH41" s="3">
        <v>20000</v>
      </c>
      <c r="CI41" s="3">
        <v>20000</v>
      </c>
      <c r="CJ41" s="3">
        <v>20000</v>
      </c>
      <c r="CK41" s="3">
        <v>20000</v>
      </c>
      <c r="CL41" s="3">
        <v>20000</v>
      </c>
      <c r="CM41" s="3">
        <v>20000</v>
      </c>
      <c r="CN41" s="3">
        <v>20000</v>
      </c>
      <c r="CO41" s="3">
        <v>20000</v>
      </c>
      <c r="CP41" s="3">
        <v>20000</v>
      </c>
      <c r="CQ41" s="3">
        <v>20000</v>
      </c>
      <c r="CR41" s="3">
        <v>20000</v>
      </c>
      <c r="CS41" s="3">
        <v>20000</v>
      </c>
      <c r="CT41" s="3">
        <v>20000</v>
      </c>
      <c r="CU41" s="3">
        <v>20000</v>
      </c>
      <c r="CV41" s="3">
        <v>20000</v>
      </c>
      <c r="CW41" s="3">
        <v>20000</v>
      </c>
      <c r="CX41" s="3">
        <v>20000</v>
      </c>
      <c r="CY41" s="3">
        <v>20000</v>
      </c>
      <c r="CZ41" s="3">
        <v>20000</v>
      </c>
      <c r="DA41" s="3">
        <v>20000</v>
      </c>
      <c r="DB41" s="3">
        <v>20000</v>
      </c>
      <c r="DC41" s="3">
        <v>20000</v>
      </c>
      <c r="DD41" s="3">
        <v>20000</v>
      </c>
      <c r="DE41" s="3">
        <v>20000</v>
      </c>
      <c r="DF41" s="3">
        <v>20000</v>
      </c>
      <c r="DG41" s="3">
        <v>20000</v>
      </c>
      <c r="DH41" s="3">
        <v>20000</v>
      </c>
      <c r="DI41" s="3">
        <v>20000</v>
      </c>
      <c r="DJ41" s="3">
        <v>20000</v>
      </c>
      <c r="DK41" s="3">
        <v>20000</v>
      </c>
      <c r="DL41" s="3">
        <v>20000</v>
      </c>
      <c r="DM41" s="3">
        <v>20000</v>
      </c>
      <c r="DN41" s="3">
        <v>20000</v>
      </c>
      <c r="DO41" s="3">
        <v>20000</v>
      </c>
      <c r="DP41" s="3">
        <v>20000</v>
      </c>
      <c r="DQ41" s="3">
        <v>20000</v>
      </c>
      <c r="DR41" s="3">
        <v>20000</v>
      </c>
      <c r="DS41" s="3">
        <v>20000</v>
      </c>
      <c r="DT41" s="3">
        <v>20000</v>
      </c>
      <c r="DU41" s="3">
        <v>20000</v>
      </c>
      <c r="DV41" s="3">
        <v>20000</v>
      </c>
      <c r="DW41" s="3">
        <v>20000</v>
      </c>
      <c r="DX41" s="3">
        <v>20000</v>
      </c>
      <c r="DY41" s="3">
        <v>20000</v>
      </c>
      <c r="DZ41" s="3">
        <v>20000</v>
      </c>
      <c r="EA41" s="3">
        <v>20000</v>
      </c>
      <c r="EB41" s="3">
        <v>20000</v>
      </c>
      <c r="EC41" s="3">
        <v>20000</v>
      </c>
      <c r="ED41" s="3">
        <v>20000</v>
      </c>
      <c r="EE41" s="3">
        <v>20000</v>
      </c>
      <c r="EF41" s="3">
        <v>20000</v>
      </c>
      <c r="EG41" s="3">
        <v>20000</v>
      </c>
      <c r="EH41" s="3">
        <v>20000</v>
      </c>
      <c r="EI41" s="3">
        <v>20000</v>
      </c>
      <c r="EJ41" s="3">
        <v>20000</v>
      </c>
      <c r="EK41" s="3">
        <v>20000</v>
      </c>
      <c r="EL41" s="3">
        <v>20000</v>
      </c>
      <c r="EM41" s="3">
        <v>20000</v>
      </c>
      <c r="EN41" s="3">
        <v>20000</v>
      </c>
      <c r="EO41" s="3">
        <v>20000</v>
      </c>
      <c r="EP41" s="3">
        <v>20000</v>
      </c>
      <c r="EQ41" s="3">
        <v>20000</v>
      </c>
      <c r="ER41" s="3">
        <v>20000</v>
      </c>
      <c r="ES41" s="3">
        <v>20000</v>
      </c>
      <c r="ET41" s="3">
        <v>20000</v>
      </c>
      <c r="EU41" s="3">
        <v>20000</v>
      </c>
      <c r="EV41" s="3">
        <v>20000</v>
      </c>
      <c r="EW41" s="3">
        <v>20000</v>
      </c>
      <c r="EX41" s="3">
        <v>20000</v>
      </c>
      <c r="EY41" s="3">
        <v>20000</v>
      </c>
      <c r="EZ41" s="3">
        <v>20000</v>
      </c>
      <c r="FA41" s="3">
        <v>20000</v>
      </c>
      <c r="FB41" s="3">
        <v>20000</v>
      </c>
      <c r="FC41" s="3">
        <v>20000</v>
      </c>
      <c r="FD41" s="3">
        <v>20000</v>
      </c>
      <c r="FE41" s="3">
        <v>20000</v>
      </c>
      <c r="FF41" s="3">
        <v>20000</v>
      </c>
      <c r="FG41" s="3">
        <v>20000</v>
      </c>
      <c r="FH41" s="3">
        <v>20000</v>
      </c>
      <c r="FI41" s="3">
        <v>20000</v>
      </c>
    </row>
    <row r="42" spans="1:165" x14ac:dyDescent="0.3">
      <c r="A42" s="4" t="s">
        <v>3037</v>
      </c>
      <c r="B42" s="3">
        <v>20000</v>
      </c>
      <c r="C42" s="3">
        <v>20000</v>
      </c>
      <c r="D42" s="3">
        <v>20000</v>
      </c>
      <c r="E42" s="3">
        <v>20000</v>
      </c>
      <c r="F42" s="3">
        <v>20000</v>
      </c>
      <c r="G42" s="3">
        <v>20000</v>
      </c>
      <c r="H42" s="3">
        <v>20000</v>
      </c>
      <c r="I42" s="3">
        <v>20000</v>
      </c>
      <c r="J42" s="3">
        <v>20000</v>
      </c>
      <c r="K42" s="3">
        <v>20000</v>
      </c>
      <c r="L42" s="3">
        <v>20000</v>
      </c>
      <c r="M42" s="3">
        <v>20000</v>
      </c>
      <c r="N42" s="3">
        <v>20000</v>
      </c>
      <c r="O42" s="3">
        <v>20000</v>
      </c>
      <c r="P42" s="3">
        <v>20000</v>
      </c>
      <c r="Q42" s="3">
        <v>20000</v>
      </c>
      <c r="R42" s="3">
        <v>20000</v>
      </c>
      <c r="S42" s="3">
        <v>20000</v>
      </c>
      <c r="T42" s="3">
        <v>20000</v>
      </c>
      <c r="U42" s="3">
        <v>20000</v>
      </c>
      <c r="V42" s="3">
        <v>20000</v>
      </c>
      <c r="W42" s="3">
        <v>20000</v>
      </c>
      <c r="X42" s="3">
        <v>20000</v>
      </c>
      <c r="Y42" s="3">
        <v>20000</v>
      </c>
      <c r="Z42" s="3">
        <v>20000</v>
      </c>
      <c r="AA42" s="3">
        <v>20000</v>
      </c>
      <c r="AB42" s="3">
        <v>20000</v>
      </c>
      <c r="AC42" s="3">
        <v>20000</v>
      </c>
      <c r="AD42" s="3">
        <v>20000</v>
      </c>
      <c r="AE42" s="3">
        <v>20000</v>
      </c>
      <c r="AF42" s="3">
        <v>20000</v>
      </c>
      <c r="AG42" s="3">
        <v>20000</v>
      </c>
      <c r="AH42" s="3">
        <v>20000</v>
      </c>
      <c r="AI42" s="3">
        <v>20000</v>
      </c>
      <c r="AJ42" s="3">
        <v>20000</v>
      </c>
      <c r="AK42" s="3">
        <v>20000</v>
      </c>
      <c r="AL42" s="3">
        <v>20000</v>
      </c>
      <c r="AM42" s="3">
        <v>20000</v>
      </c>
      <c r="AN42" s="3">
        <v>20000</v>
      </c>
      <c r="AO42" s="3">
        <v>20000</v>
      </c>
      <c r="AP42" s="3">
        <v>20000</v>
      </c>
      <c r="AQ42" s="3">
        <v>20000</v>
      </c>
      <c r="AR42" s="3">
        <v>20000</v>
      </c>
      <c r="AS42" s="3">
        <v>20000</v>
      </c>
      <c r="AT42" s="3">
        <v>20000</v>
      </c>
      <c r="AU42" s="3">
        <v>20000</v>
      </c>
      <c r="AV42" s="3">
        <v>20000</v>
      </c>
      <c r="AW42" s="3">
        <v>20000</v>
      </c>
      <c r="AX42" s="3">
        <v>20000</v>
      </c>
      <c r="AY42" s="3">
        <v>20000</v>
      </c>
      <c r="AZ42" s="3">
        <v>20000</v>
      </c>
      <c r="BA42" s="3">
        <v>20000</v>
      </c>
      <c r="BB42" s="3">
        <v>20000</v>
      </c>
      <c r="BC42" s="3">
        <v>20000</v>
      </c>
      <c r="BD42" s="3">
        <v>20000</v>
      </c>
      <c r="BE42" s="3">
        <v>20000</v>
      </c>
      <c r="BF42" s="3">
        <v>20000</v>
      </c>
      <c r="BG42" s="3">
        <v>20000</v>
      </c>
      <c r="BH42" s="3">
        <v>20000</v>
      </c>
      <c r="BI42" s="3">
        <v>20000</v>
      </c>
      <c r="BJ42" s="3">
        <v>20000</v>
      </c>
      <c r="BK42" s="3">
        <v>20000</v>
      </c>
      <c r="BL42" s="3">
        <v>20000</v>
      </c>
      <c r="BM42" s="3">
        <v>20000</v>
      </c>
      <c r="BN42" s="3">
        <v>20000</v>
      </c>
      <c r="BO42" s="3">
        <v>20000</v>
      </c>
      <c r="BP42" s="3">
        <v>20000</v>
      </c>
      <c r="BQ42" s="3">
        <v>20000</v>
      </c>
      <c r="BR42" s="3">
        <v>20000</v>
      </c>
      <c r="BS42" s="3">
        <v>20000</v>
      </c>
      <c r="BT42" s="3">
        <v>20000</v>
      </c>
      <c r="BU42" s="3">
        <v>20000</v>
      </c>
      <c r="BV42" s="3">
        <v>20000</v>
      </c>
      <c r="BW42" s="3">
        <v>20000</v>
      </c>
      <c r="BX42" s="3">
        <v>20000</v>
      </c>
      <c r="BY42" s="3">
        <v>20000</v>
      </c>
      <c r="BZ42" s="3">
        <v>20000</v>
      </c>
      <c r="CA42" s="3">
        <v>20000</v>
      </c>
      <c r="CB42" s="3">
        <v>20000</v>
      </c>
      <c r="CC42" s="3">
        <v>20000</v>
      </c>
      <c r="CD42" s="3">
        <v>20000</v>
      </c>
      <c r="CE42" s="3">
        <v>20000</v>
      </c>
      <c r="CF42" s="3">
        <v>20000</v>
      </c>
      <c r="CG42" s="3">
        <v>20000</v>
      </c>
      <c r="CH42" s="3">
        <v>20000</v>
      </c>
      <c r="CI42" s="3">
        <v>20000</v>
      </c>
      <c r="CJ42" s="3">
        <v>20000</v>
      </c>
      <c r="CK42" s="3">
        <v>20000</v>
      </c>
      <c r="CL42" s="3">
        <v>20000</v>
      </c>
      <c r="CM42" s="3">
        <v>20000</v>
      </c>
      <c r="CN42" s="3">
        <v>20000</v>
      </c>
      <c r="CO42" s="3">
        <v>20000</v>
      </c>
      <c r="CP42" s="3">
        <v>20000</v>
      </c>
      <c r="CQ42" s="3">
        <v>20000</v>
      </c>
      <c r="CR42" s="3">
        <v>20000</v>
      </c>
      <c r="CS42" s="3">
        <v>20000</v>
      </c>
      <c r="CT42" s="3">
        <v>20000</v>
      </c>
      <c r="CU42" s="3">
        <v>20000</v>
      </c>
      <c r="CV42" s="3">
        <v>20000</v>
      </c>
      <c r="CW42" s="3">
        <v>20000</v>
      </c>
      <c r="CX42" s="3">
        <v>20000</v>
      </c>
      <c r="CY42" s="3">
        <v>20000</v>
      </c>
      <c r="CZ42" s="3">
        <v>20000</v>
      </c>
      <c r="DA42" s="3">
        <v>20000</v>
      </c>
      <c r="DB42" s="3">
        <v>20000</v>
      </c>
      <c r="DC42" s="3">
        <v>20000</v>
      </c>
      <c r="DD42" s="3">
        <v>20000</v>
      </c>
      <c r="DE42" s="3">
        <v>20000</v>
      </c>
      <c r="DF42" s="3">
        <v>20000</v>
      </c>
      <c r="DG42" s="3">
        <v>20000</v>
      </c>
      <c r="DH42" s="3">
        <v>20000</v>
      </c>
      <c r="DI42" s="3">
        <v>20000</v>
      </c>
      <c r="DJ42" s="3">
        <v>20000</v>
      </c>
      <c r="DK42" s="3">
        <v>20000</v>
      </c>
      <c r="DL42" s="3">
        <v>20000</v>
      </c>
      <c r="DM42" s="3">
        <v>20000</v>
      </c>
      <c r="DN42" s="3">
        <v>20000</v>
      </c>
      <c r="DO42" s="3">
        <v>20000</v>
      </c>
      <c r="DP42" s="3">
        <v>20000</v>
      </c>
      <c r="DQ42" s="3">
        <v>20000</v>
      </c>
      <c r="DR42" s="3">
        <v>20000</v>
      </c>
      <c r="DS42" s="3">
        <v>20000</v>
      </c>
      <c r="DT42" s="3">
        <v>20000</v>
      </c>
      <c r="DU42" s="3">
        <v>20000</v>
      </c>
      <c r="DV42" s="3">
        <v>20000</v>
      </c>
      <c r="DW42" s="3">
        <v>20000</v>
      </c>
      <c r="DX42" s="3">
        <v>20000</v>
      </c>
      <c r="DY42" s="3">
        <v>20000</v>
      </c>
      <c r="DZ42" s="3">
        <v>20000</v>
      </c>
      <c r="EA42" s="3">
        <v>20000</v>
      </c>
      <c r="EB42" s="3">
        <v>20000</v>
      </c>
      <c r="EC42" s="3">
        <v>20000</v>
      </c>
      <c r="ED42" s="3">
        <v>20000</v>
      </c>
      <c r="EE42" s="3">
        <v>20000</v>
      </c>
      <c r="EF42" s="3">
        <v>20000</v>
      </c>
      <c r="EG42" s="3">
        <v>20000</v>
      </c>
      <c r="EH42" s="3">
        <v>20000</v>
      </c>
      <c r="EI42" s="3">
        <v>20000</v>
      </c>
      <c r="EJ42" s="3">
        <v>20000</v>
      </c>
      <c r="EK42" s="3">
        <v>20000</v>
      </c>
      <c r="EL42" s="3">
        <v>20000</v>
      </c>
      <c r="EM42" s="3">
        <v>20000</v>
      </c>
      <c r="EN42" s="3">
        <v>20000</v>
      </c>
      <c r="EO42" s="3">
        <v>20000</v>
      </c>
      <c r="EP42" s="3">
        <v>20000</v>
      </c>
      <c r="EQ42" s="3">
        <v>20000</v>
      </c>
      <c r="ER42" s="3">
        <v>20000</v>
      </c>
      <c r="ES42" s="3">
        <v>20000</v>
      </c>
      <c r="ET42" s="3">
        <v>20000</v>
      </c>
      <c r="EU42" s="3">
        <v>20000</v>
      </c>
      <c r="EV42" s="3">
        <v>20000</v>
      </c>
      <c r="EW42" s="3">
        <v>20000</v>
      </c>
      <c r="EX42" s="3">
        <v>20000</v>
      </c>
      <c r="EY42" s="3">
        <v>20000</v>
      </c>
      <c r="EZ42" s="3">
        <v>20000</v>
      </c>
      <c r="FA42" s="3">
        <v>20000</v>
      </c>
      <c r="FB42" s="3">
        <v>20000</v>
      </c>
      <c r="FC42" s="3">
        <v>20000</v>
      </c>
      <c r="FD42" s="3">
        <v>20000</v>
      </c>
      <c r="FE42" s="3">
        <v>20000</v>
      </c>
      <c r="FF42" s="3">
        <v>20000</v>
      </c>
      <c r="FG42" s="3">
        <v>20000</v>
      </c>
      <c r="FH42" s="3">
        <v>20000</v>
      </c>
      <c r="FI42" s="3">
        <v>20000</v>
      </c>
    </row>
    <row r="43" spans="1:165" x14ac:dyDescent="0.3">
      <c r="A43" s="4" t="s">
        <v>3038</v>
      </c>
      <c r="B43" s="3">
        <v>20000</v>
      </c>
      <c r="C43" s="3">
        <v>20000</v>
      </c>
      <c r="D43" s="3">
        <v>20000</v>
      </c>
      <c r="E43" s="3">
        <v>20000</v>
      </c>
      <c r="F43" s="3">
        <v>20000</v>
      </c>
      <c r="G43" s="3">
        <v>20000</v>
      </c>
      <c r="H43" s="3">
        <v>20000</v>
      </c>
      <c r="I43" s="3">
        <v>20000</v>
      </c>
      <c r="J43" s="3">
        <v>20000</v>
      </c>
      <c r="K43" s="3">
        <v>20000</v>
      </c>
      <c r="L43" s="3">
        <v>20000</v>
      </c>
      <c r="M43" s="3">
        <v>20000</v>
      </c>
      <c r="N43" s="3">
        <v>20000</v>
      </c>
      <c r="O43" s="3">
        <v>20000</v>
      </c>
      <c r="P43" s="3">
        <v>20000</v>
      </c>
      <c r="Q43" s="3">
        <v>20000</v>
      </c>
      <c r="R43" s="3">
        <v>20000</v>
      </c>
      <c r="S43" s="3">
        <v>20000</v>
      </c>
      <c r="T43" s="3">
        <v>20000</v>
      </c>
      <c r="U43" s="3">
        <v>20000</v>
      </c>
      <c r="V43" s="3">
        <v>20000</v>
      </c>
      <c r="W43" s="3">
        <v>20000</v>
      </c>
      <c r="X43" s="3">
        <v>20000</v>
      </c>
      <c r="Y43" s="3">
        <v>20000</v>
      </c>
      <c r="Z43" s="3">
        <v>20000</v>
      </c>
      <c r="AA43" s="3">
        <v>20000</v>
      </c>
      <c r="AB43" s="3">
        <v>20000</v>
      </c>
      <c r="AC43" s="3">
        <v>20000</v>
      </c>
      <c r="AD43" s="3">
        <v>20000</v>
      </c>
      <c r="AE43" s="3">
        <v>20000</v>
      </c>
      <c r="AF43" s="3">
        <v>20000</v>
      </c>
      <c r="AG43" s="3">
        <v>20000</v>
      </c>
      <c r="AH43" s="3">
        <v>20000</v>
      </c>
      <c r="AI43" s="3">
        <v>20000</v>
      </c>
      <c r="AJ43" s="3">
        <v>20000</v>
      </c>
      <c r="AK43" s="3">
        <v>20000</v>
      </c>
      <c r="AL43" s="3">
        <v>20000</v>
      </c>
      <c r="AM43" s="3">
        <v>20000</v>
      </c>
      <c r="AN43" s="3">
        <v>20000</v>
      </c>
      <c r="AO43" s="3">
        <v>20000</v>
      </c>
      <c r="AP43" s="3">
        <v>20000</v>
      </c>
      <c r="AQ43" s="3">
        <v>20000</v>
      </c>
      <c r="AR43" s="3">
        <v>20000</v>
      </c>
      <c r="AS43" s="3">
        <v>20000</v>
      </c>
      <c r="AT43" s="3">
        <v>20000</v>
      </c>
      <c r="AU43" s="3">
        <v>20000</v>
      </c>
      <c r="AV43" s="3">
        <v>20000</v>
      </c>
      <c r="AW43" s="3">
        <v>20000</v>
      </c>
      <c r="AX43" s="3">
        <v>20000</v>
      </c>
      <c r="AY43" s="3">
        <v>20000</v>
      </c>
      <c r="AZ43" s="3">
        <v>20000</v>
      </c>
      <c r="BA43" s="3">
        <v>20000</v>
      </c>
      <c r="BB43" s="3">
        <v>20000</v>
      </c>
      <c r="BC43" s="3">
        <v>20000</v>
      </c>
      <c r="BD43" s="3">
        <v>20000</v>
      </c>
      <c r="BE43" s="3">
        <v>20000</v>
      </c>
      <c r="BF43" s="3">
        <v>20000</v>
      </c>
      <c r="BG43" s="3">
        <v>20000</v>
      </c>
      <c r="BH43" s="3">
        <v>20000</v>
      </c>
      <c r="BI43" s="3">
        <v>20000</v>
      </c>
      <c r="BJ43" s="3">
        <v>20000</v>
      </c>
      <c r="BK43" s="3">
        <v>20000</v>
      </c>
      <c r="BL43" s="3">
        <v>20000</v>
      </c>
      <c r="BM43" s="3">
        <v>20000</v>
      </c>
      <c r="BN43" s="3">
        <v>20000</v>
      </c>
      <c r="BO43" s="3">
        <v>20000</v>
      </c>
      <c r="BP43" s="3">
        <v>20000</v>
      </c>
      <c r="BQ43" s="3">
        <v>20000</v>
      </c>
      <c r="BR43" s="3">
        <v>20000</v>
      </c>
      <c r="BS43" s="3">
        <v>20000</v>
      </c>
      <c r="BT43" s="3">
        <v>20000</v>
      </c>
      <c r="BU43" s="3">
        <v>20000</v>
      </c>
      <c r="BV43" s="3">
        <v>20000</v>
      </c>
      <c r="BW43" s="3">
        <v>20000</v>
      </c>
      <c r="BX43" s="3">
        <v>20000</v>
      </c>
      <c r="BY43" s="3">
        <v>20000</v>
      </c>
      <c r="BZ43" s="3">
        <v>20000</v>
      </c>
      <c r="CA43" s="3">
        <v>20000</v>
      </c>
      <c r="CB43" s="3">
        <v>20000</v>
      </c>
      <c r="CC43" s="3">
        <v>20000</v>
      </c>
      <c r="CD43" s="3">
        <v>20000</v>
      </c>
      <c r="CE43" s="3">
        <v>20000</v>
      </c>
      <c r="CF43" s="3">
        <v>20000</v>
      </c>
      <c r="CG43" s="3">
        <v>20000</v>
      </c>
      <c r="CH43" s="3">
        <v>20000</v>
      </c>
      <c r="CI43" s="3">
        <v>20000</v>
      </c>
      <c r="CJ43" s="3">
        <v>20000</v>
      </c>
      <c r="CK43" s="3">
        <v>20000</v>
      </c>
      <c r="CL43" s="3">
        <v>20000</v>
      </c>
      <c r="CM43" s="3">
        <v>20000</v>
      </c>
      <c r="CN43" s="3">
        <v>20000</v>
      </c>
      <c r="CO43" s="3">
        <v>20000</v>
      </c>
      <c r="CP43" s="3">
        <v>20000</v>
      </c>
      <c r="CQ43" s="3">
        <v>20000</v>
      </c>
      <c r="CR43" s="3">
        <v>20000</v>
      </c>
      <c r="CS43" s="3">
        <v>20000</v>
      </c>
      <c r="CT43" s="3">
        <v>20000</v>
      </c>
      <c r="CU43" s="3">
        <v>20000</v>
      </c>
      <c r="CV43" s="3">
        <v>20000</v>
      </c>
      <c r="CW43" s="3">
        <v>20000</v>
      </c>
      <c r="CX43" s="3">
        <v>20000</v>
      </c>
      <c r="CY43" s="3">
        <v>20000</v>
      </c>
      <c r="CZ43" s="3">
        <v>20000</v>
      </c>
      <c r="DA43" s="3">
        <v>20000</v>
      </c>
      <c r="DB43" s="3">
        <v>20000</v>
      </c>
      <c r="DC43" s="3">
        <v>20000</v>
      </c>
      <c r="DD43" s="3">
        <v>20000</v>
      </c>
      <c r="DE43" s="3">
        <v>20000</v>
      </c>
      <c r="DF43" s="3">
        <v>20000</v>
      </c>
      <c r="DG43" s="3">
        <v>20000</v>
      </c>
      <c r="DH43" s="3">
        <v>20000</v>
      </c>
      <c r="DI43" s="3">
        <v>20000</v>
      </c>
      <c r="DJ43" s="3">
        <v>20000</v>
      </c>
      <c r="DK43" s="3">
        <v>20000</v>
      </c>
      <c r="DL43" s="3">
        <v>20000</v>
      </c>
      <c r="DM43" s="3">
        <v>20000</v>
      </c>
      <c r="DN43" s="3">
        <v>20000</v>
      </c>
      <c r="DO43" s="3">
        <v>20000</v>
      </c>
      <c r="DP43" s="3">
        <v>20000</v>
      </c>
      <c r="DQ43" s="3">
        <v>20000</v>
      </c>
      <c r="DR43" s="3">
        <v>20000</v>
      </c>
      <c r="DS43" s="3">
        <v>20000</v>
      </c>
      <c r="DT43" s="3">
        <v>20000</v>
      </c>
      <c r="DU43" s="3">
        <v>20000</v>
      </c>
      <c r="DV43" s="3">
        <v>20000</v>
      </c>
      <c r="DW43" s="3">
        <v>20000</v>
      </c>
      <c r="DX43" s="3">
        <v>20000</v>
      </c>
      <c r="DY43" s="3">
        <v>20000</v>
      </c>
      <c r="DZ43" s="3">
        <v>20000</v>
      </c>
      <c r="EA43" s="3">
        <v>20000</v>
      </c>
      <c r="EB43" s="3">
        <v>20000</v>
      </c>
      <c r="EC43" s="3">
        <v>20000</v>
      </c>
      <c r="ED43" s="3">
        <v>20000</v>
      </c>
      <c r="EE43" s="3">
        <v>20000</v>
      </c>
      <c r="EF43" s="3">
        <v>20000</v>
      </c>
      <c r="EG43" s="3">
        <v>20000</v>
      </c>
      <c r="EH43" s="3">
        <v>20000</v>
      </c>
      <c r="EI43" s="3">
        <v>20000</v>
      </c>
      <c r="EJ43" s="3">
        <v>20000</v>
      </c>
      <c r="EK43" s="3">
        <v>20000</v>
      </c>
      <c r="EL43" s="3">
        <v>20000</v>
      </c>
      <c r="EM43" s="3">
        <v>20000</v>
      </c>
      <c r="EN43" s="3">
        <v>20000</v>
      </c>
      <c r="EO43" s="3">
        <v>20000</v>
      </c>
      <c r="EP43" s="3">
        <v>20000</v>
      </c>
      <c r="EQ43" s="3">
        <v>20000</v>
      </c>
      <c r="ER43" s="3">
        <v>20000</v>
      </c>
      <c r="ES43" s="3">
        <v>20000</v>
      </c>
      <c r="ET43" s="3">
        <v>20000</v>
      </c>
      <c r="EU43" s="3">
        <v>20000</v>
      </c>
      <c r="EV43" s="3">
        <v>20000</v>
      </c>
      <c r="EW43" s="3">
        <v>20000</v>
      </c>
      <c r="EX43" s="3">
        <v>20000</v>
      </c>
      <c r="EY43" s="3">
        <v>20000</v>
      </c>
      <c r="EZ43" s="3">
        <v>20000</v>
      </c>
      <c r="FA43" s="3">
        <v>20000</v>
      </c>
      <c r="FB43" s="3">
        <v>20000</v>
      </c>
      <c r="FC43" s="3">
        <v>20000</v>
      </c>
      <c r="FD43" s="3">
        <v>20000</v>
      </c>
      <c r="FE43" s="3">
        <v>20000</v>
      </c>
      <c r="FF43" s="3">
        <v>20000</v>
      </c>
      <c r="FG43" s="3">
        <v>20000</v>
      </c>
      <c r="FH43" s="3">
        <v>20000</v>
      </c>
      <c r="FI43" s="3">
        <v>20000</v>
      </c>
    </row>
    <row r="44" spans="1:165" x14ac:dyDescent="0.3">
      <c r="A44" s="4" t="s">
        <v>3039</v>
      </c>
      <c r="B44" s="3">
        <v>20000</v>
      </c>
      <c r="C44" s="3">
        <v>20000</v>
      </c>
      <c r="D44" s="3">
        <v>20000</v>
      </c>
      <c r="E44" s="3">
        <v>20000</v>
      </c>
      <c r="F44" s="3">
        <v>20000</v>
      </c>
      <c r="G44" s="3">
        <v>20000</v>
      </c>
      <c r="H44" s="3">
        <v>20000</v>
      </c>
      <c r="I44" s="3">
        <v>20000</v>
      </c>
      <c r="J44" s="3">
        <v>20000</v>
      </c>
      <c r="K44" s="3">
        <v>20000</v>
      </c>
      <c r="L44" s="3">
        <v>20000</v>
      </c>
      <c r="M44" s="3">
        <v>20000</v>
      </c>
      <c r="N44" s="3">
        <v>20000</v>
      </c>
      <c r="O44" s="3">
        <v>20000</v>
      </c>
      <c r="P44" s="3">
        <v>20000</v>
      </c>
      <c r="Q44" s="3">
        <v>20000</v>
      </c>
      <c r="R44" s="3">
        <v>20000</v>
      </c>
      <c r="S44" s="3">
        <v>20000</v>
      </c>
      <c r="T44" s="3">
        <v>20000</v>
      </c>
      <c r="U44" s="3">
        <v>20000</v>
      </c>
      <c r="V44" s="3">
        <v>20000</v>
      </c>
      <c r="W44" s="3">
        <v>20000</v>
      </c>
      <c r="X44" s="3">
        <v>20000</v>
      </c>
      <c r="Y44" s="3">
        <v>20000</v>
      </c>
      <c r="Z44" s="3">
        <v>20000</v>
      </c>
      <c r="AA44" s="3">
        <v>20000</v>
      </c>
      <c r="AB44" s="3">
        <v>20000</v>
      </c>
      <c r="AC44" s="3">
        <v>20000</v>
      </c>
      <c r="AD44" s="3">
        <v>20000</v>
      </c>
      <c r="AE44" s="3">
        <v>20000</v>
      </c>
      <c r="AF44" s="3">
        <v>20000</v>
      </c>
      <c r="AG44" s="3">
        <v>20000</v>
      </c>
      <c r="AH44" s="3">
        <v>20000</v>
      </c>
      <c r="AI44" s="3">
        <v>20000</v>
      </c>
      <c r="AJ44" s="3">
        <v>20000</v>
      </c>
      <c r="AK44" s="3">
        <v>20000</v>
      </c>
      <c r="AL44" s="3">
        <v>20000</v>
      </c>
      <c r="AM44" s="3">
        <v>20000</v>
      </c>
      <c r="AN44" s="3">
        <v>20000</v>
      </c>
      <c r="AO44" s="3">
        <v>20000</v>
      </c>
      <c r="AP44" s="3">
        <v>20000</v>
      </c>
      <c r="AQ44" s="3">
        <v>20000</v>
      </c>
      <c r="AR44" s="3">
        <v>20000</v>
      </c>
      <c r="AS44" s="3">
        <v>20000</v>
      </c>
      <c r="AT44" s="3">
        <v>20000</v>
      </c>
      <c r="AU44" s="3">
        <v>20000</v>
      </c>
      <c r="AV44" s="3">
        <v>20000</v>
      </c>
      <c r="AW44" s="3">
        <v>20000</v>
      </c>
      <c r="AX44" s="3">
        <v>20000</v>
      </c>
      <c r="AY44" s="3">
        <v>20000</v>
      </c>
      <c r="AZ44" s="3">
        <v>20000</v>
      </c>
      <c r="BA44" s="3">
        <v>20000</v>
      </c>
      <c r="BB44" s="3">
        <v>20000</v>
      </c>
      <c r="BC44" s="3">
        <v>20000</v>
      </c>
      <c r="BD44" s="3">
        <v>20000</v>
      </c>
      <c r="BE44" s="3">
        <v>20000</v>
      </c>
      <c r="BF44" s="3">
        <v>20000</v>
      </c>
      <c r="BG44" s="3">
        <v>20000</v>
      </c>
      <c r="BH44" s="3">
        <v>20000</v>
      </c>
      <c r="BI44" s="3">
        <v>20000</v>
      </c>
      <c r="BJ44" s="3">
        <v>20000</v>
      </c>
      <c r="BK44" s="3">
        <v>20000</v>
      </c>
      <c r="BL44" s="3">
        <v>20000</v>
      </c>
      <c r="BM44" s="3">
        <v>20000</v>
      </c>
      <c r="BN44" s="3">
        <v>20000</v>
      </c>
      <c r="BO44" s="3">
        <v>20000</v>
      </c>
      <c r="BP44" s="3">
        <v>20000</v>
      </c>
      <c r="BQ44" s="3">
        <v>20000</v>
      </c>
      <c r="BR44" s="3">
        <v>20000</v>
      </c>
      <c r="BS44" s="3">
        <v>20000</v>
      </c>
      <c r="BT44" s="3">
        <v>20000</v>
      </c>
      <c r="BU44" s="3">
        <v>20000</v>
      </c>
      <c r="BV44" s="3">
        <v>20000</v>
      </c>
      <c r="BW44" s="3">
        <v>20000</v>
      </c>
      <c r="BX44" s="3">
        <v>20000</v>
      </c>
      <c r="BY44" s="3">
        <v>20000</v>
      </c>
      <c r="BZ44" s="3">
        <v>20000</v>
      </c>
      <c r="CA44" s="3">
        <v>20000</v>
      </c>
      <c r="CB44" s="3">
        <v>20000</v>
      </c>
      <c r="CC44" s="3">
        <v>20000</v>
      </c>
      <c r="CD44" s="3">
        <v>20000</v>
      </c>
      <c r="CE44" s="3">
        <v>20000</v>
      </c>
      <c r="CF44" s="3">
        <v>20000</v>
      </c>
      <c r="CG44" s="3">
        <v>20000</v>
      </c>
      <c r="CH44" s="3">
        <v>20000</v>
      </c>
      <c r="CI44" s="3">
        <v>20000</v>
      </c>
      <c r="CJ44" s="3">
        <v>20000</v>
      </c>
      <c r="CK44" s="3">
        <v>20000</v>
      </c>
      <c r="CL44" s="3">
        <v>20000</v>
      </c>
      <c r="CM44" s="3">
        <v>20000</v>
      </c>
      <c r="CN44" s="3">
        <v>20000</v>
      </c>
      <c r="CO44" s="3">
        <v>20000</v>
      </c>
      <c r="CP44" s="3">
        <v>20000</v>
      </c>
      <c r="CQ44" s="3">
        <v>20000</v>
      </c>
      <c r="CR44" s="3">
        <v>20000</v>
      </c>
      <c r="CS44" s="3">
        <v>20000</v>
      </c>
      <c r="CT44" s="3">
        <v>20000</v>
      </c>
      <c r="CU44" s="3">
        <v>20000</v>
      </c>
      <c r="CV44" s="3">
        <v>20000</v>
      </c>
      <c r="CW44" s="3">
        <v>20000</v>
      </c>
      <c r="CX44" s="3">
        <v>20000</v>
      </c>
      <c r="CY44" s="3">
        <v>20000</v>
      </c>
      <c r="CZ44" s="3">
        <v>20000</v>
      </c>
      <c r="DA44" s="3">
        <v>20000</v>
      </c>
      <c r="DB44" s="3">
        <v>20000</v>
      </c>
      <c r="DC44" s="3">
        <v>20000</v>
      </c>
      <c r="DD44" s="3">
        <v>20000</v>
      </c>
      <c r="DE44" s="3">
        <v>20000</v>
      </c>
      <c r="DF44" s="3">
        <v>20000</v>
      </c>
      <c r="DG44" s="3">
        <v>20000</v>
      </c>
      <c r="DH44" s="3">
        <v>20000</v>
      </c>
      <c r="DI44" s="3">
        <v>20000</v>
      </c>
      <c r="DJ44" s="3">
        <v>20000</v>
      </c>
      <c r="DK44" s="3">
        <v>20000</v>
      </c>
      <c r="DL44" s="3">
        <v>20000</v>
      </c>
      <c r="DM44" s="3">
        <v>20000</v>
      </c>
      <c r="DN44" s="3">
        <v>20000</v>
      </c>
      <c r="DO44" s="3">
        <v>20000</v>
      </c>
      <c r="DP44" s="3">
        <v>20000</v>
      </c>
      <c r="DQ44" s="3">
        <v>20000</v>
      </c>
      <c r="DR44" s="3">
        <v>20000</v>
      </c>
      <c r="DS44" s="3">
        <v>20000</v>
      </c>
      <c r="DT44" s="3">
        <v>20000</v>
      </c>
      <c r="DU44" s="3">
        <v>20000</v>
      </c>
      <c r="DV44" s="3">
        <v>20000</v>
      </c>
      <c r="DW44" s="3">
        <v>20000</v>
      </c>
      <c r="DX44" s="3">
        <v>20000</v>
      </c>
      <c r="DY44" s="3">
        <v>20000</v>
      </c>
      <c r="DZ44" s="3">
        <v>20000</v>
      </c>
      <c r="EA44" s="3">
        <v>20000</v>
      </c>
      <c r="EB44" s="3">
        <v>20000</v>
      </c>
      <c r="EC44" s="3">
        <v>20000</v>
      </c>
      <c r="ED44" s="3">
        <v>20000</v>
      </c>
      <c r="EE44" s="3">
        <v>20000</v>
      </c>
      <c r="EF44" s="3">
        <v>20000</v>
      </c>
      <c r="EG44" s="3">
        <v>20000</v>
      </c>
      <c r="EH44" s="3">
        <v>20000</v>
      </c>
      <c r="EI44" s="3">
        <v>20000</v>
      </c>
      <c r="EJ44" s="3">
        <v>20000</v>
      </c>
      <c r="EK44" s="3">
        <v>20000</v>
      </c>
      <c r="EL44" s="3">
        <v>20000</v>
      </c>
      <c r="EM44" s="3">
        <v>20000</v>
      </c>
      <c r="EN44" s="3">
        <v>20000</v>
      </c>
      <c r="EO44" s="3">
        <v>20000</v>
      </c>
      <c r="EP44" s="3">
        <v>20000</v>
      </c>
      <c r="EQ44" s="3">
        <v>20000</v>
      </c>
      <c r="ER44" s="3">
        <v>20000</v>
      </c>
      <c r="ES44" s="3">
        <v>20000</v>
      </c>
      <c r="ET44" s="3">
        <v>20000</v>
      </c>
      <c r="EU44" s="3">
        <v>20000</v>
      </c>
      <c r="EV44" s="3">
        <v>20000</v>
      </c>
      <c r="EW44" s="3">
        <v>20000</v>
      </c>
      <c r="EX44" s="3">
        <v>20000</v>
      </c>
      <c r="EY44" s="3">
        <v>20000</v>
      </c>
      <c r="EZ44" s="3">
        <v>20000</v>
      </c>
      <c r="FA44" s="3">
        <v>20000</v>
      </c>
      <c r="FB44" s="3">
        <v>20000</v>
      </c>
      <c r="FC44" s="3">
        <v>20000</v>
      </c>
      <c r="FD44" s="3">
        <v>20000</v>
      </c>
      <c r="FE44" s="3">
        <v>20000</v>
      </c>
      <c r="FF44" s="3">
        <v>20000</v>
      </c>
      <c r="FG44" s="3">
        <v>20000</v>
      </c>
      <c r="FH44" s="3">
        <v>20000</v>
      </c>
      <c r="FI44" s="3">
        <v>20000</v>
      </c>
    </row>
    <row r="45" spans="1:165" x14ac:dyDescent="0.3">
      <c r="A45" s="4" t="s">
        <v>3040</v>
      </c>
      <c r="B45" s="3">
        <v>20000</v>
      </c>
      <c r="C45" s="3">
        <v>20000</v>
      </c>
      <c r="D45" s="3">
        <v>20000</v>
      </c>
      <c r="E45" s="3">
        <v>20000</v>
      </c>
      <c r="F45" s="3">
        <v>20000</v>
      </c>
      <c r="G45" s="3">
        <v>20000</v>
      </c>
      <c r="H45" s="3">
        <v>20000</v>
      </c>
      <c r="I45" s="3">
        <v>20000</v>
      </c>
      <c r="J45" s="3">
        <v>20000</v>
      </c>
      <c r="K45" s="3">
        <v>20000</v>
      </c>
      <c r="L45" s="3">
        <v>20000</v>
      </c>
      <c r="M45" s="3">
        <v>20000</v>
      </c>
      <c r="N45" s="3">
        <v>20000</v>
      </c>
      <c r="O45" s="3">
        <v>20000</v>
      </c>
      <c r="P45" s="3">
        <v>20000</v>
      </c>
      <c r="Q45" s="3">
        <v>20000</v>
      </c>
      <c r="R45" s="3">
        <v>20000</v>
      </c>
      <c r="S45" s="3">
        <v>20000</v>
      </c>
      <c r="T45" s="3">
        <v>20000</v>
      </c>
      <c r="U45" s="3">
        <v>20000</v>
      </c>
      <c r="V45" s="3">
        <v>20000</v>
      </c>
      <c r="W45" s="3">
        <v>20000</v>
      </c>
      <c r="X45" s="3">
        <v>20000</v>
      </c>
      <c r="Y45" s="3">
        <v>20000</v>
      </c>
      <c r="Z45" s="3">
        <v>20000</v>
      </c>
      <c r="AA45" s="3">
        <v>20000</v>
      </c>
      <c r="AB45" s="3">
        <v>20000</v>
      </c>
      <c r="AC45" s="3">
        <v>20000</v>
      </c>
      <c r="AD45" s="3">
        <v>20000</v>
      </c>
      <c r="AE45" s="3">
        <v>20000</v>
      </c>
      <c r="AF45" s="3">
        <v>20000</v>
      </c>
      <c r="AG45" s="3">
        <v>20000</v>
      </c>
      <c r="AH45" s="3">
        <v>20000</v>
      </c>
      <c r="AI45" s="3">
        <v>20000</v>
      </c>
      <c r="AJ45" s="3">
        <v>20000</v>
      </c>
      <c r="AK45" s="3">
        <v>20000</v>
      </c>
      <c r="AL45" s="3">
        <v>20000</v>
      </c>
      <c r="AM45" s="3">
        <v>20000</v>
      </c>
      <c r="AN45" s="3">
        <v>20000</v>
      </c>
      <c r="AO45" s="3">
        <v>20000</v>
      </c>
      <c r="AP45" s="3">
        <v>20000</v>
      </c>
      <c r="AQ45" s="3">
        <v>20000</v>
      </c>
      <c r="AR45" s="3">
        <v>20000</v>
      </c>
      <c r="AS45" s="3">
        <v>20000</v>
      </c>
      <c r="AT45" s="3">
        <v>20000</v>
      </c>
      <c r="AU45" s="3">
        <v>20000</v>
      </c>
      <c r="AV45" s="3">
        <v>20000</v>
      </c>
      <c r="AW45" s="3">
        <v>20000</v>
      </c>
      <c r="AX45" s="3">
        <v>20000</v>
      </c>
      <c r="AY45" s="3">
        <v>20000</v>
      </c>
      <c r="AZ45" s="3">
        <v>20000</v>
      </c>
      <c r="BA45" s="3">
        <v>20000</v>
      </c>
      <c r="BB45" s="3">
        <v>20000</v>
      </c>
      <c r="BC45" s="3">
        <v>20000</v>
      </c>
      <c r="BD45" s="3">
        <v>20000</v>
      </c>
      <c r="BE45" s="3">
        <v>20000</v>
      </c>
      <c r="BF45" s="3">
        <v>20000</v>
      </c>
      <c r="BG45" s="3">
        <v>20000</v>
      </c>
      <c r="BH45" s="3">
        <v>20000</v>
      </c>
      <c r="BI45" s="3">
        <v>20000</v>
      </c>
      <c r="BJ45" s="3">
        <v>20000</v>
      </c>
      <c r="BK45" s="3">
        <v>20000</v>
      </c>
      <c r="BL45" s="3">
        <v>20000</v>
      </c>
      <c r="BM45" s="3">
        <v>20000</v>
      </c>
      <c r="BN45" s="3">
        <v>20000</v>
      </c>
      <c r="BO45" s="3">
        <v>20000</v>
      </c>
      <c r="BP45" s="3">
        <v>20000</v>
      </c>
      <c r="BQ45" s="3">
        <v>20000</v>
      </c>
      <c r="BR45" s="3">
        <v>20000</v>
      </c>
      <c r="BS45" s="3">
        <v>20000</v>
      </c>
      <c r="BT45" s="3">
        <v>20000</v>
      </c>
      <c r="BU45" s="3">
        <v>20000</v>
      </c>
      <c r="BV45" s="3">
        <v>20000</v>
      </c>
      <c r="BW45" s="3">
        <v>20000</v>
      </c>
      <c r="BX45" s="3">
        <v>20000</v>
      </c>
      <c r="BY45" s="3">
        <v>20000</v>
      </c>
      <c r="BZ45" s="3">
        <v>20000</v>
      </c>
      <c r="CA45" s="3">
        <v>20000</v>
      </c>
      <c r="CB45" s="3">
        <v>20000</v>
      </c>
      <c r="CC45" s="3">
        <v>20000</v>
      </c>
      <c r="CD45" s="3">
        <v>20000</v>
      </c>
      <c r="CE45" s="3">
        <v>20000</v>
      </c>
      <c r="CF45" s="3">
        <v>20000</v>
      </c>
      <c r="CG45" s="3">
        <v>20000</v>
      </c>
      <c r="CH45" s="3">
        <v>20000</v>
      </c>
      <c r="CI45" s="3">
        <v>20000</v>
      </c>
      <c r="CJ45" s="3">
        <v>20000</v>
      </c>
      <c r="CK45" s="3">
        <v>20000</v>
      </c>
      <c r="CL45" s="3">
        <v>20000</v>
      </c>
      <c r="CM45" s="3">
        <v>20000</v>
      </c>
      <c r="CN45" s="3">
        <v>20000</v>
      </c>
      <c r="CO45" s="3">
        <v>20000</v>
      </c>
      <c r="CP45" s="3">
        <v>20000</v>
      </c>
      <c r="CQ45" s="3">
        <v>20000</v>
      </c>
      <c r="CR45" s="3">
        <v>20000</v>
      </c>
      <c r="CS45" s="3">
        <v>20000</v>
      </c>
      <c r="CT45" s="3">
        <v>20000</v>
      </c>
      <c r="CU45" s="3">
        <v>20000</v>
      </c>
      <c r="CV45" s="3">
        <v>20000</v>
      </c>
      <c r="CW45" s="3">
        <v>20000</v>
      </c>
      <c r="CX45" s="3">
        <v>20000</v>
      </c>
      <c r="CY45" s="3">
        <v>20000</v>
      </c>
      <c r="CZ45" s="3">
        <v>20000</v>
      </c>
      <c r="DA45" s="3">
        <v>20000</v>
      </c>
      <c r="DB45" s="3">
        <v>20000</v>
      </c>
      <c r="DC45" s="3">
        <v>20000</v>
      </c>
      <c r="DD45" s="3">
        <v>20000</v>
      </c>
      <c r="DE45" s="3">
        <v>20000</v>
      </c>
      <c r="DF45" s="3">
        <v>20000</v>
      </c>
      <c r="DG45" s="3">
        <v>20000</v>
      </c>
      <c r="DH45" s="3">
        <v>20000</v>
      </c>
      <c r="DI45" s="3">
        <v>20000</v>
      </c>
      <c r="DJ45" s="3">
        <v>20000</v>
      </c>
      <c r="DK45" s="3">
        <v>20000</v>
      </c>
      <c r="DL45" s="3">
        <v>20000</v>
      </c>
      <c r="DM45" s="3">
        <v>20000</v>
      </c>
      <c r="DN45" s="3">
        <v>20000</v>
      </c>
      <c r="DO45" s="3">
        <v>20000</v>
      </c>
      <c r="DP45" s="3">
        <v>20000</v>
      </c>
      <c r="DQ45" s="3">
        <v>20000</v>
      </c>
      <c r="DR45" s="3">
        <v>20000</v>
      </c>
      <c r="DS45" s="3">
        <v>20000</v>
      </c>
      <c r="DT45" s="3">
        <v>20000</v>
      </c>
      <c r="DU45" s="3">
        <v>20000</v>
      </c>
      <c r="DV45" s="3">
        <v>20000</v>
      </c>
      <c r="DW45" s="3">
        <v>20000</v>
      </c>
      <c r="DX45" s="3">
        <v>20000</v>
      </c>
      <c r="DY45" s="3">
        <v>20000</v>
      </c>
      <c r="DZ45" s="3">
        <v>20000</v>
      </c>
      <c r="EA45" s="3">
        <v>20000</v>
      </c>
      <c r="EB45" s="3">
        <v>20000</v>
      </c>
      <c r="EC45" s="3">
        <v>20000</v>
      </c>
      <c r="ED45" s="3">
        <v>20000</v>
      </c>
      <c r="EE45" s="3">
        <v>20000</v>
      </c>
      <c r="EF45" s="3">
        <v>20000</v>
      </c>
      <c r="EG45" s="3">
        <v>20000</v>
      </c>
      <c r="EH45" s="3">
        <v>20000</v>
      </c>
      <c r="EI45" s="3">
        <v>20000</v>
      </c>
      <c r="EJ45" s="3">
        <v>20000</v>
      </c>
      <c r="EK45" s="3">
        <v>20000</v>
      </c>
      <c r="EL45" s="3">
        <v>20000</v>
      </c>
      <c r="EM45" s="3">
        <v>20000</v>
      </c>
      <c r="EN45" s="3">
        <v>20000</v>
      </c>
      <c r="EO45" s="3">
        <v>20000</v>
      </c>
      <c r="EP45" s="3">
        <v>20000</v>
      </c>
      <c r="EQ45" s="3">
        <v>20000</v>
      </c>
      <c r="ER45" s="3">
        <v>20000</v>
      </c>
      <c r="ES45" s="3">
        <v>20000</v>
      </c>
      <c r="ET45" s="3">
        <v>20000</v>
      </c>
      <c r="EU45" s="3">
        <v>20000</v>
      </c>
      <c r="EV45" s="3">
        <v>20000</v>
      </c>
      <c r="EW45" s="3">
        <v>20000</v>
      </c>
      <c r="EX45" s="3">
        <v>20000</v>
      </c>
      <c r="EY45" s="3">
        <v>20000</v>
      </c>
      <c r="EZ45" s="3">
        <v>20000</v>
      </c>
      <c r="FA45" s="3">
        <v>20000</v>
      </c>
      <c r="FB45" s="3">
        <v>20000</v>
      </c>
      <c r="FC45" s="3">
        <v>20000</v>
      </c>
      <c r="FD45" s="3">
        <v>20000</v>
      </c>
      <c r="FE45" s="3">
        <v>20000</v>
      </c>
      <c r="FF45" s="3">
        <v>20000</v>
      </c>
      <c r="FG45" s="3">
        <v>20000</v>
      </c>
      <c r="FH45" s="3">
        <v>20000</v>
      </c>
      <c r="FI45" s="3">
        <v>20000</v>
      </c>
    </row>
    <row r="46" spans="1:165" x14ac:dyDescent="0.3">
      <c r="A46" s="4" t="s">
        <v>3041</v>
      </c>
      <c r="B46" s="3">
        <v>20000</v>
      </c>
      <c r="C46" s="3">
        <v>20000</v>
      </c>
      <c r="D46" s="3">
        <v>20000</v>
      </c>
      <c r="E46" s="3">
        <v>20000</v>
      </c>
      <c r="F46" s="3">
        <v>20000</v>
      </c>
      <c r="G46" s="3">
        <v>20000</v>
      </c>
      <c r="H46" s="3">
        <v>20000</v>
      </c>
      <c r="I46" s="3">
        <v>20000</v>
      </c>
      <c r="J46" s="3">
        <v>20000</v>
      </c>
      <c r="K46" s="3">
        <v>20000</v>
      </c>
      <c r="L46" s="3">
        <v>20000</v>
      </c>
      <c r="M46" s="3">
        <v>20000</v>
      </c>
      <c r="N46" s="3">
        <v>20000</v>
      </c>
      <c r="O46" s="3">
        <v>20000</v>
      </c>
      <c r="P46" s="3">
        <v>20000</v>
      </c>
      <c r="Q46" s="3">
        <v>20000</v>
      </c>
      <c r="R46" s="3">
        <v>20000</v>
      </c>
      <c r="S46" s="3">
        <v>20000</v>
      </c>
      <c r="T46" s="3">
        <v>20000</v>
      </c>
      <c r="U46" s="3">
        <v>20000</v>
      </c>
      <c r="V46" s="3">
        <v>20000</v>
      </c>
      <c r="W46" s="3">
        <v>20000</v>
      </c>
      <c r="X46" s="3">
        <v>20000</v>
      </c>
      <c r="Y46" s="3">
        <v>20000</v>
      </c>
      <c r="Z46" s="3">
        <v>20000</v>
      </c>
      <c r="AA46" s="3">
        <v>20000</v>
      </c>
      <c r="AB46" s="3">
        <v>20000</v>
      </c>
      <c r="AC46" s="3">
        <v>20000</v>
      </c>
      <c r="AD46" s="3">
        <v>20000</v>
      </c>
      <c r="AE46" s="3">
        <v>20000</v>
      </c>
      <c r="AF46" s="3">
        <v>20000</v>
      </c>
      <c r="AG46" s="3">
        <v>20000</v>
      </c>
      <c r="AH46" s="3">
        <v>20000</v>
      </c>
      <c r="AI46" s="3">
        <v>20000</v>
      </c>
      <c r="AJ46" s="3">
        <v>20000</v>
      </c>
      <c r="AK46" s="3">
        <v>20000</v>
      </c>
      <c r="AL46" s="3">
        <v>20000</v>
      </c>
      <c r="AM46" s="3">
        <v>20000</v>
      </c>
      <c r="AN46" s="3">
        <v>20000</v>
      </c>
      <c r="AO46" s="3">
        <v>20000</v>
      </c>
      <c r="AP46" s="3">
        <v>20000</v>
      </c>
      <c r="AQ46" s="3">
        <v>20000</v>
      </c>
      <c r="AR46" s="3">
        <v>20000</v>
      </c>
      <c r="AS46" s="3">
        <v>20000</v>
      </c>
      <c r="AT46" s="3">
        <v>20000</v>
      </c>
      <c r="AU46" s="3">
        <v>20000</v>
      </c>
      <c r="AV46" s="3">
        <v>20000</v>
      </c>
      <c r="AW46" s="3">
        <v>20000</v>
      </c>
      <c r="AX46" s="3">
        <v>20000</v>
      </c>
      <c r="AY46" s="3">
        <v>20000</v>
      </c>
      <c r="AZ46" s="3">
        <v>20000</v>
      </c>
      <c r="BA46" s="3">
        <v>20000</v>
      </c>
      <c r="BB46" s="3">
        <v>20000</v>
      </c>
      <c r="BC46" s="3">
        <v>20000</v>
      </c>
      <c r="BD46" s="3">
        <v>20000</v>
      </c>
      <c r="BE46" s="3">
        <v>20000</v>
      </c>
      <c r="BF46" s="3">
        <v>20000</v>
      </c>
      <c r="BG46" s="3">
        <v>20000</v>
      </c>
      <c r="BH46" s="3">
        <v>20000</v>
      </c>
      <c r="BI46" s="3">
        <v>20000</v>
      </c>
      <c r="BJ46" s="3">
        <v>20000</v>
      </c>
      <c r="BK46" s="3">
        <v>20000</v>
      </c>
      <c r="BL46" s="3">
        <v>20000</v>
      </c>
      <c r="BM46" s="3">
        <v>20000</v>
      </c>
      <c r="BN46" s="3">
        <v>20000</v>
      </c>
      <c r="BO46" s="3">
        <v>20000</v>
      </c>
      <c r="BP46" s="3">
        <v>20000</v>
      </c>
      <c r="BQ46" s="3">
        <v>20000</v>
      </c>
      <c r="BR46" s="3">
        <v>20000</v>
      </c>
      <c r="BS46" s="3">
        <v>20000</v>
      </c>
      <c r="BT46" s="3">
        <v>20000</v>
      </c>
      <c r="BU46" s="3">
        <v>20000</v>
      </c>
      <c r="BV46" s="3">
        <v>20000</v>
      </c>
      <c r="BW46" s="3">
        <v>20000</v>
      </c>
      <c r="BX46" s="3">
        <v>20000</v>
      </c>
      <c r="BY46" s="3">
        <v>20000</v>
      </c>
      <c r="BZ46" s="3">
        <v>20000</v>
      </c>
      <c r="CA46" s="3">
        <v>20000</v>
      </c>
      <c r="CB46" s="3">
        <v>20000</v>
      </c>
      <c r="CC46" s="3">
        <v>20000</v>
      </c>
      <c r="CD46" s="3">
        <v>20000</v>
      </c>
      <c r="CE46" s="3">
        <v>20000</v>
      </c>
      <c r="CF46" s="3">
        <v>20000</v>
      </c>
      <c r="CG46" s="3">
        <v>20000</v>
      </c>
      <c r="CH46" s="3">
        <v>20000</v>
      </c>
      <c r="CI46" s="3">
        <v>20000</v>
      </c>
      <c r="CJ46" s="3">
        <v>20000</v>
      </c>
      <c r="CK46" s="3">
        <v>20000</v>
      </c>
      <c r="CL46" s="3">
        <v>20000</v>
      </c>
      <c r="CM46" s="3">
        <v>20000</v>
      </c>
      <c r="CN46" s="3">
        <v>20000</v>
      </c>
      <c r="CO46" s="3">
        <v>20000</v>
      </c>
      <c r="CP46" s="3">
        <v>20000</v>
      </c>
      <c r="CQ46" s="3">
        <v>20000</v>
      </c>
      <c r="CR46" s="3">
        <v>20000</v>
      </c>
      <c r="CS46" s="3">
        <v>20000</v>
      </c>
      <c r="CT46" s="3">
        <v>20000</v>
      </c>
      <c r="CU46" s="3">
        <v>20000</v>
      </c>
      <c r="CV46" s="3">
        <v>20000</v>
      </c>
      <c r="CW46" s="3">
        <v>20000</v>
      </c>
      <c r="CX46" s="3">
        <v>20000</v>
      </c>
      <c r="CY46" s="3">
        <v>20000</v>
      </c>
      <c r="CZ46" s="3">
        <v>20000</v>
      </c>
      <c r="DA46" s="3">
        <v>20000</v>
      </c>
      <c r="DB46" s="3">
        <v>20000</v>
      </c>
      <c r="DC46" s="3">
        <v>20000</v>
      </c>
      <c r="DD46" s="3">
        <v>20000</v>
      </c>
      <c r="DE46" s="3">
        <v>20000</v>
      </c>
      <c r="DF46" s="3">
        <v>20000</v>
      </c>
      <c r="DG46" s="3">
        <v>20000</v>
      </c>
      <c r="DH46" s="3">
        <v>20000</v>
      </c>
      <c r="DI46" s="3">
        <v>20000</v>
      </c>
      <c r="DJ46" s="3">
        <v>20000</v>
      </c>
      <c r="DK46" s="3">
        <v>20000</v>
      </c>
      <c r="DL46" s="3">
        <v>20000</v>
      </c>
      <c r="DM46" s="3">
        <v>20000</v>
      </c>
      <c r="DN46" s="3">
        <v>20000</v>
      </c>
      <c r="DO46" s="3">
        <v>20000</v>
      </c>
      <c r="DP46" s="3">
        <v>20000</v>
      </c>
      <c r="DQ46" s="3">
        <v>20000</v>
      </c>
      <c r="DR46" s="3">
        <v>20000</v>
      </c>
      <c r="DS46" s="3">
        <v>20000</v>
      </c>
      <c r="DT46" s="3">
        <v>20000</v>
      </c>
      <c r="DU46" s="3">
        <v>20000</v>
      </c>
      <c r="DV46" s="3">
        <v>20000</v>
      </c>
      <c r="DW46" s="3">
        <v>20000</v>
      </c>
      <c r="DX46" s="3">
        <v>20000</v>
      </c>
      <c r="DY46" s="3">
        <v>20000</v>
      </c>
      <c r="DZ46" s="3">
        <v>20000</v>
      </c>
      <c r="EA46" s="3">
        <v>20000</v>
      </c>
      <c r="EB46" s="3">
        <v>20000</v>
      </c>
      <c r="EC46" s="3">
        <v>20000</v>
      </c>
      <c r="ED46" s="3">
        <v>20000</v>
      </c>
      <c r="EE46" s="3">
        <v>20000</v>
      </c>
      <c r="EF46" s="3">
        <v>20000</v>
      </c>
      <c r="EG46" s="3">
        <v>20000</v>
      </c>
      <c r="EH46" s="3">
        <v>20000</v>
      </c>
      <c r="EI46" s="3">
        <v>20000</v>
      </c>
      <c r="EJ46" s="3">
        <v>20000</v>
      </c>
      <c r="EK46" s="3">
        <v>20000</v>
      </c>
      <c r="EL46" s="3">
        <v>20000</v>
      </c>
      <c r="EM46" s="3">
        <v>20000</v>
      </c>
      <c r="EN46" s="3">
        <v>20000</v>
      </c>
      <c r="EO46" s="3">
        <v>20000</v>
      </c>
      <c r="EP46" s="3">
        <v>20000</v>
      </c>
      <c r="EQ46" s="3">
        <v>20000</v>
      </c>
      <c r="ER46" s="3">
        <v>20000</v>
      </c>
      <c r="ES46" s="3">
        <v>20000</v>
      </c>
      <c r="ET46" s="3">
        <v>20000</v>
      </c>
      <c r="EU46" s="3">
        <v>20000</v>
      </c>
      <c r="EV46" s="3">
        <v>20000</v>
      </c>
      <c r="EW46" s="3">
        <v>20000</v>
      </c>
      <c r="EX46" s="3">
        <v>20000</v>
      </c>
      <c r="EY46" s="3">
        <v>20000</v>
      </c>
      <c r="EZ46" s="3">
        <v>20000</v>
      </c>
      <c r="FA46" s="3">
        <v>20000</v>
      </c>
      <c r="FB46" s="3">
        <v>20000</v>
      </c>
      <c r="FC46" s="3">
        <v>20000</v>
      </c>
      <c r="FD46" s="3">
        <v>20000</v>
      </c>
      <c r="FE46" s="3">
        <v>20000</v>
      </c>
      <c r="FF46" s="3">
        <v>20000</v>
      </c>
      <c r="FG46" s="3">
        <v>20000</v>
      </c>
      <c r="FH46" s="3">
        <v>20000</v>
      </c>
      <c r="FI46" s="3">
        <v>20000</v>
      </c>
    </row>
    <row r="47" spans="1:165" x14ac:dyDescent="0.3">
      <c r="A47" s="4" t="s">
        <v>3042</v>
      </c>
      <c r="B47" s="3">
        <v>20000</v>
      </c>
      <c r="C47" s="3">
        <v>20000</v>
      </c>
      <c r="D47" s="3">
        <v>20000</v>
      </c>
      <c r="E47" s="3">
        <v>20000</v>
      </c>
      <c r="F47" s="3">
        <v>20000</v>
      </c>
      <c r="G47" s="3">
        <v>20000</v>
      </c>
      <c r="H47" s="3">
        <v>20000</v>
      </c>
      <c r="I47" s="3">
        <v>20000</v>
      </c>
      <c r="J47" s="3">
        <v>20000</v>
      </c>
      <c r="K47" s="3">
        <v>20000</v>
      </c>
      <c r="L47" s="3">
        <v>20000</v>
      </c>
      <c r="M47" s="3">
        <v>20000</v>
      </c>
      <c r="N47" s="3">
        <v>20000</v>
      </c>
      <c r="O47" s="3">
        <v>20000</v>
      </c>
      <c r="P47" s="3">
        <v>20000</v>
      </c>
      <c r="Q47" s="3">
        <v>20000</v>
      </c>
      <c r="R47" s="3">
        <v>20000</v>
      </c>
      <c r="S47" s="3">
        <v>20000</v>
      </c>
      <c r="T47" s="3">
        <v>20000</v>
      </c>
      <c r="U47" s="3">
        <v>20000</v>
      </c>
      <c r="V47" s="3">
        <v>20000</v>
      </c>
      <c r="W47" s="3">
        <v>20000</v>
      </c>
      <c r="X47" s="3">
        <v>20000</v>
      </c>
      <c r="Y47" s="3">
        <v>20000</v>
      </c>
      <c r="Z47" s="3">
        <v>20000</v>
      </c>
      <c r="AA47" s="3">
        <v>20000</v>
      </c>
      <c r="AB47" s="3">
        <v>20000</v>
      </c>
      <c r="AC47" s="3">
        <v>20000</v>
      </c>
      <c r="AD47" s="3">
        <v>20000</v>
      </c>
      <c r="AE47" s="3">
        <v>20000</v>
      </c>
      <c r="AF47" s="3">
        <v>20000</v>
      </c>
      <c r="AG47" s="3">
        <v>20000</v>
      </c>
      <c r="AH47" s="3">
        <v>20000</v>
      </c>
      <c r="AI47" s="3">
        <v>20000</v>
      </c>
      <c r="AJ47" s="3">
        <v>20000</v>
      </c>
      <c r="AK47" s="3">
        <v>20000</v>
      </c>
      <c r="AL47" s="3">
        <v>20000</v>
      </c>
      <c r="AM47" s="3">
        <v>20000</v>
      </c>
      <c r="AN47" s="3">
        <v>20000</v>
      </c>
      <c r="AO47" s="3">
        <v>20000</v>
      </c>
      <c r="AP47" s="3">
        <v>20000</v>
      </c>
      <c r="AQ47" s="3">
        <v>20000</v>
      </c>
      <c r="AR47" s="3">
        <v>20000</v>
      </c>
      <c r="AS47" s="3">
        <v>20000</v>
      </c>
      <c r="AT47" s="3">
        <v>20000</v>
      </c>
      <c r="AU47" s="3">
        <v>20000</v>
      </c>
      <c r="AV47" s="3">
        <v>20000</v>
      </c>
      <c r="AW47" s="3">
        <v>20000</v>
      </c>
      <c r="AX47" s="3">
        <v>20000</v>
      </c>
      <c r="AY47" s="3">
        <v>20000</v>
      </c>
      <c r="AZ47" s="3">
        <v>20000</v>
      </c>
      <c r="BA47" s="3">
        <v>20000</v>
      </c>
      <c r="BB47" s="3">
        <v>20000</v>
      </c>
      <c r="BC47" s="3">
        <v>20000</v>
      </c>
      <c r="BD47" s="3">
        <v>20000</v>
      </c>
      <c r="BE47" s="3">
        <v>20000</v>
      </c>
      <c r="BF47" s="3">
        <v>20000</v>
      </c>
      <c r="BG47" s="3">
        <v>20000</v>
      </c>
      <c r="BH47" s="3">
        <v>20000</v>
      </c>
      <c r="BI47" s="3">
        <v>20000</v>
      </c>
      <c r="BJ47" s="3">
        <v>20000</v>
      </c>
      <c r="BK47" s="3">
        <v>20000</v>
      </c>
      <c r="BL47" s="3">
        <v>20000</v>
      </c>
      <c r="BM47" s="3">
        <v>20000</v>
      </c>
      <c r="BN47" s="3">
        <v>20000</v>
      </c>
      <c r="BO47" s="3">
        <v>20000</v>
      </c>
      <c r="BP47" s="3">
        <v>20000</v>
      </c>
      <c r="BQ47" s="3">
        <v>20000</v>
      </c>
      <c r="BR47" s="3">
        <v>20000</v>
      </c>
      <c r="BS47" s="3">
        <v>20000</v>
      </c>
      <c r="BT47" s="3">
        <v>20000</v>
      </c>
      <c r="BU47" s="3">
        <v>20000</v>
      </c>
      <c r="BV47" s="3">
        <v>20000</v>
      </c>
      <c r="BW47" s="3">
        <v>20000</v>
      </c>
      <c r="BX47" s="3">
        <v>20000</v>
      </c>
      <c r="BY47" s="3">
        <v>20000</v>
      </c>
      <c r="BZ47" s="3">
        <v>20000</v>
      </c>
      <c r="CA47" s="3">
        <v>20000</v>
      </c>
      <c r="CB47" s="3">
        <v>20000</v>
      </c>
      <c r="CC47" s="3">
        <v>20000</v>
      </c>
      <c r="CD47" s="3">
        <v>20000</v>
      </c>
      <c r="CE47" s="3">
        <v>20000</v>
      </c>
      <c r="CF47" s="3">
        <v>20000</v>
      </c>
      <c r="CG47" s="3">
        <v>20000</v>
      </c>
      <c r="CH47" s="3">
        <v>20000</v>
      </c>
      <c r="CI47" s="3">
        <v>20000</v>
      </c>
      <c r="CJ47" s="3">
        <v>20000</v>
      </c>
      <c r="CK47" s="3">
        <v>20000</v>
      </c>
      <c r="CL47" s="3">
        <v>20000</v>
      </c>
      <c r="CM47" s="3">
        <v>20000</v>
      </c>
      <c r="CN47" s="3">
        <v>20000</v>
      </c>
      <c r="CO47" s="3">
        <v>20000</v>
      </c>
      <c r="CP47" s="3">
        <v>20000</v>
      </c>
      <c r="CQ47" s="3">
        <v>20000</v>
      </c>
      <c r="CR47" s="3">
        <v>20000</v>
      </c>
      <c r="CS47" s="3">
        <v>20000</v>
      </c>
      <c r="CT47" s="3">
        <v>20000</v>
      </c>
      <c r="CU47" s="3">
        <v>20000</v>
      </c>
      <c r="CV47" s="3">
        <v>20000</v>
      </c>
      <c r="CW47" s="3">
        <v>20000</v>
      </c>
      <c r="CX47" s="3">
        <v>20000</v>
      </c>
      <c r="CY47" s="3">
        <v>20000</v>
      </c>
      <c r="CZ47" s="3">
        <v>20000</v>
      </c>
      <c r="DA47" s="3">
        <v>20000</v>
      </c>
      <c r="DB47" s="3">
        <v>20000</v>
      </c>
      <c r="DC47" s="3">
        <v>20000</v>
      </c>
      <c r="DD47" s="3">
        <v>20000</v>
      </c>
      <c r="DE47" s="3">
        <v>20000</v>
      </c>
      <c r="DF47" s="3">
        <v>20000</v>
      </c>
      <c r="DG47" s="3">
        <v>20000</v>
      </c>
      <c r="DH47" s="3">
        <v>20000</v>
      </c>
      <c r="DI47" s="3">
        <v>20000</v>
      </c>
      <c r="DJ47" s="3">
        <v>20000</v>
      </c>
      <c r="DK47" s="3">
        <v>20000</v>
      </c>
      <c r="DL47" s="3">
        <v>20000</v>
      </c>
      <c r="DM47" s="3">
        <v>20000</v>
      </c>
      <c r="DN47" s="3">
        <v>20000</v>
      </c>
      <c r="DO47" s="3">
        <v>20000</v>
      </c>
      <c r="DP47" s="3">
        <v>20000</v>
      </c>
      <c r="DQ47" s="3">
        <v>20000</v>
      </c>
      <c r="DR47" s="3">
        <v>20000</v>
      </c>
      <c r="DS47" s="3">
        <v>20000</v>
      </c>
      <c r="DT47" s="3">
        <v>20000</v>
      </c>
      <c r="DU47" s="3">
        <v>20000</v>
      </c>
      <c r="DV47" s="3">
        <v>20000</v>
      </c>
      <c r="DW47" s="3">
        <v>20000</v>
      </c>
      <c r="DX47" s="3">
        <v>20000</v>
      </c>
      <c r="DY47" s="3">
        <v>20000</v>
      </c>
      <c r="DZ47" s="3">
        <v>20000</v>
      </c>
      <c r="EA47" s="3">
        <v>20000</v>
      </c>
      <c r="EB47" s="3">
        <v>20000</v>
      </c>
      <c r="EC47" s="3">
        <v>20000</v>
      </c>
      <c r="ED47" s="3">
        <v>20000</v>
      </c>
      <c r="EE47" s="3">
        <v>20000</v>
      </c>
      <c r="EF47" s="3">
        <v>20000</v>
      </c>
      <c r="EG47" s="3">
        <v>20000</v>
      </c>
      <c r="EH47" s="3">
        <v>20000</v>
      </c>
      <c r="EI47" s="3">
        <v>20000</v>
      </c>
      <c r="EJ47" s="3">
        <v>20000</v>
      </c>
      <c r="EK47" s="3">
        <v>20000</v>
      </c>
      <c r="EL47" s="3">
        <v>20000</v>
      </c>
      <c r="EM47" s="3">
        <v>20000</v>
      </c>
      <c r="EN47" s="3">
        <v>20000</v>
      </c>
      <c r="EO47" s="3">
        <v>20000</v>
      </c>
      <c r="EP47" s="3">
        <v>20000</v>
      </c>
      <c r="EQ47" s="3">
        <v>20000</v>
      </c>
      <c r="ER47" s="3">
        <v>20000</v>
      </c>
      <c r="ES47" s="3">
        <v>20000</v>
      </c>
      <c r="ET47" s="3">
        <v>20000</v>
      </c>
      <c r="EU47" s="3">
        <v>20000</v>
      </c>
      <c r="EV47" s="3">
        <v>20000</v>
      </c>
      <c r="EW47" s="3">
        <v>20000</v>
      </c>
      <c r="EX47" s="3">
        <v>20000</v>
      </c>
      <c r="EY47" s="3">
        <v>20000</v>
      </c>
      <c r="EZ47" s="3">
        <v>20000</v>
      </c>
      <c r="FA47" s="3">
        <v>20000</v>
      </c>
      <c r="FB47" s="3">
        <v>20000</v>
      </c>
      <c r="FC47" s="3">
        <v>20000</v>
      </c>
      <c r="FD47" s="3">
        <v>20000</v>
      </c>
      <c r="FE47" s="3">
        <v>20000</v>
      </c>
      <c r="FF47" s="3">
        <v>20000</v>
      </c>
      <c r="FG47" s="3">
        <v>20000</v>
      </c>
      <c r="FH47" s="3">
        <v>20000</v>
      </c>
      <c r="FI47" s="3">
        <v>20000</v>
      </c>
    </row>
    <row r="48" spans="1:165" x14ac:dyDescent="0.3">
      <c r="A48" s="4" t="s">
        <v>3043</v>
      </c>
      <c r="B48" s="3">
        <v>20000</v>
      </c>
      <c r="C48" s="3">
        <v>20000</v>
      </c>
      <c r="D48" s="3">
        <v>20000</v>
      </c>
      <c r="E48" s="3">
        <v>20000</v>
      </c>
      <c r="F48" s="3">
        <v>20000</v>
      </c>
      <c r="G48" s="3">
        <v>20000</v>
      </c>
      <c r="H48" s="3">
        <v>20000</v>
      </c>
      <c r="I48" s="3">
        <v>20000</v>
      </c>
      <c r="J48" s="3">
        <v>20000</v>
      </c>
      <c r="K48" s="3">
        <v>20000</v>
      </c>
      <c r="L48" s="3">
        <v>20000</v>
      </c>
      <c r="M48" s="3">
        <v>20000</v>
      </c>
      <c r="N48" s="3">
        <v>20000</v>
      </c>
      <c r="O48" s="3">
        <v>20000</v>
      </c>
      <c r="P48" s="3">
        <v>20000</v>
      </c>
      <c r="Q48" s="3">
        <v>20000</v>
      </c>
      <c r="R48" s="3">
        <v>20000</v>
      </c>
      <c r="S48" s="3">
        <v>20000</v>
      </c>
      <c r="T48" s="3">
        <v>20000</v>
      </c>
      <c r="U48" s="3">
        <v>20000</v>
      </c>
      <c r="V48" s="3">
        <v>20000</v>
      </c>
      <c r="W48" s="3">
        <v>20000</v>
      </c>
      <c r="X48" s="3">
        <v>20000</v>
      </c>
      <c r="Y48" s="3">
        <v>20000</v>
      </c>
      <c r="Z48" s="3">
        <v>20000</v>
      </c>
      <c r="AA48" s="3">
        <v>20000</v>
      </c>
      <c r="AB48" s="3">
        <v>20000</v>
      </c>
      <c r="AC48" s="3">
        <v>20000</v>
      </c>
      <c r="AD48" s="3">
        <v>20000</v>
      </c>
      <c r="AE48" s="3">
        <v>20000</v>
      </c>
      <c r="AF48" s="3">
        <v>20000</v>
      </c>
      <c r="AG48" s="3">
        <v>20000</v>
      </c>
      <c r="AH48" s="3">
        <v>20000</v>
      </c>
      <c r="AI48" s="3">
        <v>20000</v>
      </c>
      <c r="AJ48" s="3">
        <v>20000</v>
      </c>
      <c r="AK48" s="3">
        <v>20000</v>
      </c>
      <c r="AL48" s="3">
        <v>20000</v>
      </c>
      <c r="AM48" s="3">
        <v>20000</v>
      </c>
      <c r="AN48" s="3">
        <v>20000</v>
      </c>
      <c r="AO48" s="3">
        <v>20000</v>
      </c>
      <c r="AP48" s="3">
        <v>20000</v>
      </c>
      <c r="AQ48" s="3">
        <v>20000</v>
      </c>
      <c r="AR48" s="3">
        <v>20000</v>
      </c>
      <c r="AS48" s="3">
        <v>20000</v>
      </c>
      <c r="AT48" s="3">
        <v>20000</v>
      </c>
      <c r="AU48" s="3">
        <v>20000</v>
      </c>
      <c r="AV48" s="3">
        <v>20000</v>
      </c>
      <c r="AW48" s="3">
        <v>20000</v>
      </c>
      <c r="AX48" s="3">
        <v>20000</v>
      </c>
      <c r="AY48" s="3">
        <v>20000</v>
      </c>
      <c r="AZ48" s="3">
        <v>20000</v>
      </c>
      <c r="BA48" s="3">
        <v>20000</v>
      </c>
      <c r="BB48" s="3">
        <v>20000</v>
      </c>
      <c r="BC48" s="3">
        <v>20000</v>
      </c>
      <c r="BD48" s="3">
        <v>20000</v>
      </c>
      <c r="BE48" s="3">
        <v>20000</v>
      </c>
      <c r="BF48" s="3">
        <v>20000</v>
      </c>
      <c r="BG48" s="3">
        <v>20000</v>
      </c>
      <c r="BH48" s="3">
        <v>20000</v>
      </c>
      <c r="BI48" s="3">
        <v>20000</v>
      </c>
      <c r="BJ48" s="3">
        <v>20000</v>
      </c>
      <c r="BK48" s="3">
        <v>20000</v>
      </c>
      <c r="BL48" s="3">
        <v>20000</v>
      </c>
      <c r="BM48" s="3">
        <v>20000</v>
      </c>
      <c r="BN48" s="3">
        <v>20000</v>
      </c>
      <c r="BO48" s="3">
        <v>20000</v>
      </c>
      <c r="BP48" s="3">
        <v>20000</v>
      </c>
      <c r="BQ48" s="3">
        <v>20000</v>
      </c>
      <c r="BR48" s="3">
        <v>20000</v>
      </c>
      <c r="BS48" s="3">
        <v>20000</v>
      </c>
      <c r="BT48" s="3">
        <v>20000</v>
      </c>
      <c r="BU48" s="3">
        <v>20000</v>
      </c>
      <c r="BV48" s="3">
        <v>20000</v>
      </c>
      <c r="BW48" s="3">
        <v>20000</v>
      </c>
      <c r="BX48" s="3">
        <v>20000</v>
      </c>
      <c r="BY48" s="3">
        <v>20000</v>
      </c>
      <c r="BZ48" s="3">
        <v>20000</v>
      </c>
      <c r="CA48" s="3">
        <v>20000</v>
      </c>
      <c r="CB48" s="3">
        <v>20000</v>
      </c>
      <c r="CC48" s="3">
        <v>20000</v>
      </c>
      <c r="CD48" s="3">
        <v>20000</v>
      </c>
      <c r="CE48" s="3">
        <v>20000</v>
      </c>
      <c r="CF48" s="3">
        <v>20000</v>
      </c>
      <c r="CG48" s="3">
        <v>20000</v>
      </c>
      <c r="CH48" s="3">
        <v>20000</v>
      </c>
      <c r="CI48" s="3">
        <v>20000</v>
      </c>
      <c r="CJ48" s="3">
        <v>20000</v>
      </c>
      <c r="CK48" s="3">
        <v>20000</v>
      </c>
      <c r="CL48" s="3">
        <v>20000</v>
      </c>
      <c r="CM48" s="3">
        <v>20000</v>
      </c>
      <c r="CN48" s="3">
        <v>20000</v>
      </c>
      <c r="CO48" s="3">
        <v>20000</v>
      </c>
      <c r="CP48" s="3">
        <v>20000</v>
      </c>
      <c r="CQ48" s="3">
        <v>20000</v>
      </c>
      <c r="CR48" s="3">
        <v>20000</v>
      </c>
      <c r="CS48" s="3">
        <v>20000</v>
      </c>
      <c r="CT48" s="3">
        <v>20000</v>
      </c>
      <c r="CU48" s="3">
        <v>20000</v>
      </c>
      <c r="CV48" s="3">
        <v>20000</v>
      </c>
      <c r="CW48" s="3">
        <v>20000</v>
      </c>
      <c r="CX48" s="3">
        <v>20000</v>
      </c>
      <c r="CY48" s="3">
        <v>20000</v>
      </c>
      <c r="CZ48" s="3">
        <v>20000</v>
      </c>
      <c r="DA48" s="3">
        <v>20000</v>
      </c>
      <c r="DB48" s="3">
        <v>20000</v>
      </c>
      <c r="DC48" s="3">
        <v>20000</v>
      </c>
      <c r="DD48" s="3">
        <v>20000</v>
      </c>
      <c r="DE48" s="3">
        <v>20000</v>
      </c>
      <c r="DF48" s="3">
        <v>20000</v>
      </c>
      <c r="DG48" s="3">
        <v>20000</v>
      </c>
      <c r="DH48" s="3">
        <v>20000</v>
      </c>
      <c r="DI48" s="3">
        <v>20000</v>
      </c>
      <c r="DJ48" s="3">
        <v>20000</v>
      </c>
      <c r="DK48" s="3">
        <v>20000</v>
      </c>
      <c r="DL48" s="3">
        <v>20000</v>
      </c>
      <c r="DM48" s="3">
        <v>20000</v>
      </c>
      <c r="DN48" s="3">
        <v>20000</v>
      </c>
      <c r="DO48" s="3">
        <v>20000</v>
      </c>
      <c r="DP48" s="3">
        <v>20000</v>
      </c>
      <c r="DQ48" s="3">
        <v>20000</v>
      </c>
      <c r="DR48" s="3">
        <v>20000</v>
      </c>
      <c r="DS48" s="3">
        <v>20000</v>
      </c>
      <c r="DT48" s="3">
        <v>20000</v>
      </c>
      <c r="DU48" s="3">
        <v>20000</v>
      </c>
      <c r="DV48" s="3">
        <v>20000</v>
      </c>
      <c r="DW48" s="3">
        <v>20000</v>
      </c>
      <c r="DX48" s="3">
        <v>20000</v>
      </c>
      <c r="DY48" s="3">
        <v>20000</v>
      </c>
      <c r="DZ48" s="3">
        <v>20000</v>
      </c>
      <c r="EA48" s="3">
        <v>20000</v>
      </c>
      <c r="EB48" s="3">
        <v>20000</v>
      </c>
      <c r="EC48" s="3">
        <v>20000</v>
      </c>
      <c r="ED48" s="3">
        <v>20000</v>
      </c>
      <c r="EE48" s="3">
        <v>20000</v>
      </c>
      <c r="EF48" s="3">
        <v>20000</v>
      </c>
      <c r="EG48" s="3">
        <v>20000</v>
      </c>
      <c r="EH48" s="3">
        <v>20000</v>
      </c>
      <c r="EI48" s="3">
        <v>20000</v>
      </c>
      <c r="EJ48" s="3">
        <v>20000</v>
      </c>
      <c r="EK48" s="3">
        <v>20000</v>
      </c>
      <c r="EL48" s="3">
        <v>20000</v>
      </c>
      <c r="EM48" s="3">
        <v>20000</v>
      </c>
      <c r="EN48" s="3">
        <v>20000</v>
      </c>
      <c r="EO48" s="3">
        <v>20000</v>
      </c>
      <c r="EP48" s="3">
        <v>20000</v>
      </c>
      <c r="EQ48" s="3">
        <v>20000</v>
      </c>
      <c r="ER48" s="3">
        <v>20000</v>
      </c>
      <c r="ES48" s="3">
        <v>20000</v>
      </c>
      <c r="ET48" s="3">
        <v>20000</v>
      </c>
      <c r="EU48" s="3">
        <v>20000</v>
      </c>
      <c r="EV48" s="3">
        <v>20000</v>
      </c>
      <c r="EW48" s="3">
        <v>20000</v>
      </c>
      <c r="EX48" s="3">
        <v>20000</v>
      </c>
      <c r="EY48" s="3">
        <v>20000</v>
      </c>
      <c r="EZ48" s="3">
        <v>20000</v>
      </c>
      <c r="FA48" s="3">
        <v>20000</v>
      </c>
      <c r="FB48" s="3">
        <v>20000</v>
      </c>
      <c r="FC48" s="3">
        <v>20000</v>
      </c>
      <c r="FD48" s="3">
        <v>20000</v>
      </c>
      <c r="FE48" s="3">
        <v>20000</v>
      </c>
      <c r="FF48" s="3">
        <v>20000</v>
      </c>
      <c r="FG48" s="3">
        <v>20000</v>
      </c>
      <c r="FH48" s="3">
        <v>20000</v>
      </c>
      <c r="FI48" s="3">
        <v>20000</v>
      </c>
    </row>
    <row r="49" spans="1:165" x14ac:dyDescent="0.3">
      <c r="A49" s="4" t="s">
        <v>3044</v>
      </c>
      <c r="B49" s="3">
        <v>20000</v>
      </c>
      <c r="C49" s="3">
        <v>20000</v>
      </c>
      <c r="D49" s="3">
        <v>20000</v>
      </c>
      <c r="E49" s="3">
        <v>20000</v>
      </c>
      <c r="F49" s="3">
        <v>20000</v>
      </c>
      <c r="G49" s="3">
        <v>20000</v>
      </c>
      <c r="H49" s="3">
        <v>20000</v>
      </c>
      <c r="I49" s="3">
        <v>20000</v>
      </c>
      <c r="J49" s="3">
        <v>20000</v>
      </c>
      <c r="K49" s="3">
        <v>20000</v>
      </c>
      <c r="L49" s="3">
        <v>20000</v>
      </c>
      <c r="M49" s="3">
        <v>20000</v>
      </c>
      <c r="N49" s="3">
        <v>20000</v>
      </c>
      <c r="O49" s="3">
        <v>20000</v>
      </c>
      <c r="P49" s="3">
        <v>20000</v>
      </c>
      <c r="Q49" s="3">
        <v>20000</v>
      </c>
      <c r="R49" s="3">
        <v>20000</v>
      </c>
      <c r="S49" s="3">
        <v>20000</v>
      </c>
      <c r="T49" s="3">
        <v>20000</v>
      </c>
      <c r="U49" s="3">
        <v>20000</v>
      </c>
      <c r="V49" s="3">
        <v>20000</v>
      </c>
      <c r="W49" s="3">
        <v>20000</v>
      </c>
      <c r="X49" s="3">
        <v>20000</v>
      </c>
      <c r="Y49" s="3">
        <v>20000</v>
      </c>
      <c r="Z49" s="3">
        <v>20000</v>
      </c>
      <c r="AA49" s="3">
        <v>20000</v>
      </c>
      <c r="AB49" s="3">
        <v>20000</v>
      </c>
      <c r="AC49" s="3">
        <v>20000</v>
      </c>
      <c r="AD49" s="3">
        <v>20000</v>
      </c>
      <c r="AE49" s="3">
        <v>20000</v>
      </c>
      <c r="AF49" s="3">
        <v>20000</v>
      </c>
      <c r="AG49" s="3">
        <v>20000</v>
      </c>
      <c r="AH49" s="3">
        <v>20000</v>
      </c>
      <c r="AI49" s="3">
        <v>20000</v>
      </c>
      <c r="AJ49" s="3">
        <v>20000</v>
      </c>
      <c r="AK49" s="3">
        <v>20000</v>
      </c>
      <c r="AL49" s="3">
        <v>20000</v>
      </c>
      <c r="AM49" s="3">
        <v>20000</v>
      </c>
      <c r="AN49" s="3">
        <v>20000</v>
      </c>
      <c r="AO49" s="3">
        <v>20000</v>
      </c>
      <c r="AP49" s="3">
        <v>20000</v>
      </c>
      <c r="AQ49" s="3">
        <v>20000</v>
      </c>
      <c r="AR49" s="3">
        <v>20000</v>
      </c>
      <c r="AS49" s="3">
        <v>20000</v>
      </c>
      <c r="AT49" s="3">
        <v>20000</v>
      </c>
      <c r="AU49" s="3">
        <v>20000</v>
      </c>
      <c r="AV49" s="3">
        <v>20000</v>
      </c>
      <c r="AW49" s="3">
        <v>20000</v>
      </c>
      <c r="AX49" s="3">
        <v>20000</v>
      </c>
      <c r="AY49" s="3">
        <v>20000</v>
      </c>
      <c r="AZ49" s="3">
        <v>20000</v>
      </c>
      <c r="BA49" s="3">
        <v>20000</v>
      </c>
      <c r="BB49" s="3">
        <v>20000</v>
      </c>
      <c r="BC49" s="3">
        <v>20000</v>
      </c>
      <c r="BD49" s="3">
        <v>20000</v>
      </c>
      <c r="BE49" s="3">
        <v>20000</v>
      </c>
      <c r="BF49" s="3">
        <v>20000</v>
      </c>
      <c r="BG49" s="3">
        <v>20000</v>
      </c>
      <c r="BH49" s="3">
        <v>20000</v>
      </c>
      <c r="BI49" s="3">
        <v>20000</v>
      </c>
      <c r="BJ49" s="3">
        <v>20000</v>
      </c>
      <c r="BK49" s="3">
        <v>20000</v>
      </c>
      <c r="BL49" s="3">
        <v>20000</v>
      </c>
      <c r="BM49" s="3">
        <v>20000</v>
      </c>
      <c r="BN49" s="3">
        <v>20000</v>
      </c>
      <c r="BO49" s="3">
        <v>20000</v>
      </c>
      <c r="BP49" s="3">
        <v>20000</v>
      </c>
      <c r="BQ49" s="3">
        <v>20000</v>
      </c>
      <c r="BR49" s="3">
        <v>20000</v>
      </c>
      <c r="BS49" s="3">
        <v>20000</v>
      </c>
      <c r="BT49" s="3">
        <v>20000</v>
      </c>
      <c r="BU49" s="3">
        <v>20000</v>
      </c>
      <c r="BV49" s="3">
        <v>20000</v>
      </c>
      <c r="BW49" s="3">
        <v>20000</v>
      </c>
      <c r="BX49" s="3">
        <v>20000</v>
      </c>
      <c r="BY49" s="3">
        <v>20000</v>
      </c>
      <c r="BZ49" s="3">
        <v>20000</v>
      </c>
      <c r="CA49" s="3">
        <v>20000</v>
      </c>
      <c r="CB49" s="3">
        <v>20000</v>
      </c>
      <c r="CC49" s="3">
        <v>20000</v>
      </c>
      <c r="CD49" s="3">
        <v>20000</v>
      </c>
      <c r="CE49" s="3">
        <v>20000</v>
      </c>
      <c r="CF49" s="3">
        <v>20000</v>
      </c>
      <c r="CG49" s="3">
        <v>20000</v>
      </c>
      <c r="CH49" s="3">
        <v>20000</v>
      </c>
      <c r="CI49" s="3">
        <v>20000</v>
      </c>
      <c r="CJ49" s="3">
        <v>20000</v>
      </c>
      <c r="CK49" s="3">
        <v>20000</v>
      </c>
      <c r="CL49" s="3">
        <v>20000</v>
      </c>
      <c r="CM49" s="3">
        <v>20000</v>
      </c>
      <c r="CN49" s="3">
        <v>20000</v>
      </c>
      <c r="CO49" s="3">
        <v>20000</v>
      </c>
      <c r="CP49" s="3">
        <v>20000</v>
      </c>
      <c r="CQ49" s="3">
        <v>20000</v>
      </c>
      <c r="CR49" s="3">
        <v>20000</v>
      </c>
      <c r="CS49" s="3">
        <v>20000</v>
      </c>
      <c r="CT49" s="3">
        <v>20000</v>
      </c>
      <c r="CU49" s="3">
        <v>20000</v>
      </c>
      <c r="CV49" s="3">
        <v>20000</v>
      </c>
      <c r="CW49" s="3">
        <v>20000</v>
      </c>
      <c r="CX49" s="3">
        <v>20000</v>
      </c>
      <c r="CY49" s="3">
        <v>20000</v>
      </c>
      <c r="CZ49" s="3">
        <v>20000</v>
      </c>
      <c r="DA49" s="3">
        <v>20000</v>
      </c>
      <c r="DB49" s="3">
        <v>20000</v>
      </c>
      <c r="DC49" s="3">
        <v>20000</v>
      </c>
      <c r="DD49" s="3">
        <v>20000</v>
      </c>
      <c r="DE49" s="3">
        <v>20000</v>
      </c>
      <c r="DF49" s="3">
        <v>20000</v>
      </c>
      <c r="DG49" s="3">
        <v>20000</v>
      </c>
      <c r="DH49" s="3">
        <v>20000</v>
      </c>
      <c r="DI49" s="3">
        <v>20000</v>
      </c>
      <c r="DJ49" s="3">
        <v>20000</v>
      </c>
      <c r="DK49" s="3">
        <v>20000</v>
      </c>
      <c r="DL49" s="3">
        <v>20000</v>
      </c>
      <c r="DM49" s="3">
        <v>20000</v>
      </c>
      <c r="DN49" s="3">
        <v>20000</v>
      </c>
      <c r="DO49" s="3">
        <v>20000</v>
      </c>
      <c r="DP49" s="3">
        <v>20000</v>
      </c>
      <c r="DQ49" s="3">
        <v>20000</v>
      </c>
      <c r="DR49" s="3">
        <v>20000</v>
      </c>
      <c r="DS49" s="3">
        <v>20000</v>
      </c>
      <c r="DT49" s="3">
        <v>20000</v>
      </c>
      <c r="DU49" s="3">
        <v>20000</v>
      </c>
      <c r="DV49" s="3">
        <v>20000</v>
      </c>
      <c r="DW49" s="3">
        <v>20000</v>
      </c>
      <c r="DX49" s="3">
        <v>20000</v>
      </c>
      <c r="DY49" s="3">
        <v>20000</v>
      </c>
      <c r="DZ49" s="3">
        <v>20000</v>
      </c>
      <c r="EA49" s="3">
        <v>20000</v>
      </c>
      <c r="EB49" s="3">
        <v>20000</v>
      </c>
      <c r="EC49" s="3">
        <v>20000</v>
      </c>
      <c r="ED49" s="3">
        <v>20000</v>
      </c>
      <c r="EE49" s="3">
        <v>20000</v>
      </c>
      <c r="EF49" s="3">
        <v>20000</v>
      </c>
      <c r="EG49" s="3">
        <v>20000</v>
      </c>
      <c r="EH49" s="3">
        <v>20000</v>
      </c>
      <c r="EI49" s="3">
        <v>20000</v>
      </c>
      <c r="EJ49" s="3">
        <v>20000</v>
      </c>
      <c r="EK49" s="3">
        <v>20000</v>
      </c>
      <c r="EL49" s="3">
        <v>20000</v>
      </c>
      <c r="EM49" s="3">
        <v>20000</v>
      </c>
      <c r="EN49" s="3">
        <v>20000</v>
      </c>
      <c r="EO49" s="3">
        <v>20000</v>
      </c>
      <c r="EP49" s="3">
        <v>20000</v>
      </c>
      <c r="EQ49" s="3">
        <v>20000</v>
      </c>
      <c r="ER49" s="3">
        <v>20000</v>
      </c>
      <c r="ES49" s="3">
        <v>20000</v>
      </c>
      <c r="ET49" s="3">
        <v>20000</v>
      </c>
      <c r="EU49" s="3">
        <v>20000</v>
      </c>
      <c r="EV49" s="3">
        <v>20000</v>
      </c>
      <c r="EW49" s="3">
        <v>20000</v>
      </c>
      <c r="EX49" s="3">
        <v>20000</v>
      </c>
      <c r="EY49" s="3">
        <v>20000</v>
      </c>
      <c r="EZ49" s="3">
        <v>20000</v>
      </c>
      <c r="FA49" s="3">
        <v>20000</v>
      </c>
      <c r="FB49" s="3">
        <v>20000</v>
      </c>
      <c r="FC49" s="3">
        <v>20000</v>
      </c>
      <c r="FD49" s="3">
        <v>20000</v>
      </c>
      <c r="FE49" s="3">
        <v>20000</v>
      </c>
      <c r="FF49" s="3">
        <v>20000</v>
      </c>
      <c r="FG49" s="3">
        <v>20000</v>
      </c>
      <c r="FH49" s="3">
        <v>20000</v>
      </c>
      <c r="FI49" s="3">
        <v>20000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I591"/>
  <sheetViews>
    <sheetView zoomScale="85" zoomScaleNormal="85" workbookViewId="0">
      <selection activeCell="E36" sqref="E36"/>
    </sheetView>
  </sheetViews>
  <sheetFormatPr defaultColWidth="8.77734375" defaultRowHeight="14.4" x14ac:dyDescent="0.3"/>
  <cols>
    <col min="1" max="1" width="25.109375" bestFit="1" customWidth="1"/>
    <col min="2" max="2" width="18.5546875" bestFit="1" customWidth="1"/>
    <col min="3" max="3" width="16.109375" bestFit="1" customWidth="1"/>
    <col min="4" max="4" width="8.5546875" bestFit="1" customWidth="1"/>
    <col min="5" max="7" width="9.5546875" customWidth="1"/>
    <col min="8" max="8" width="20" bestFit="1" customWidth="1"/>
    <col min="9" max="9" width="19.6640625" bestFit="1" customWidth="1"/>
    <col min="10" max="1021" width="8.44140625" customWidth="1"/>
  </cols>
  <sheetData>
    <row r="1" spans="1:9" x14ac:dyDescent="0.3">
      <c r="A1" s="1" t="s">
        <v>0</v>
      </c>
      <c r="B1" s="1" t="s">
        <v>8</v>
      </c>
      <c r="C1" s="1" t="s">
        <v>9</v>
      </c>
      <c r="D1" s="1" t="s">
        <v>6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 x14ac:dyDescent="0.3">
      <c r="A2" s="6" t="s">
        <v>808</v>
      </c>
      <c r="B2" s="6" t="s">
        <v>35</v>
      </c>
      <c r="C2" s="6" t="s">
        <v>350</v>
      </c>
      <c r="D2" s="6">
        <v>1</v>
      </c>
      <c r="E2" s="6" t="s">
        <v>809</v>
      </c>
      <c r="F2" s="6" t="s">
        <v>810</v>
      </c>
      <c r="G2" s="6" t="s">
        <v>811</v>
      </c>
      <c r="H2" s="10">
        <f>I2*1.25</f>
        <v>123.75</v>
      </c>
      <c r="I2" s="6" t="s">
        <v>812</v>
      </c>
    </row>
    <row r="3" spans="1:9" x14ac:dyDescent="0.3">
      <c r="A3" s="6" t="s">
        <v>813</v>
      </c>
      <c r="B3" s="6" t="s">
        <v>35</v>
      </c>
      <c r="C3" s="6" t="s">
        <v>370</v>
      </c>
      <c r="D3" s="6">
        <v>1</v>
      </c>
      <c r="E3" s="6" t="s">
        <v>814</v>
      </c>
      <c r="F3" s="6" t="s">
        <v>815</v>
      </c>
      <c r="G3" s="6" t="s">
        <v>816</v>
      </c>
      <c r="H3" s="10">
        <f t="shared" ref="H3:H66" si="0">I3*1.25</f>
        <v>123.75</v>
      </c>
      <c r="I3" s="6" t="s">
        <v>812</v>
      </c>
    </row>
    <row r="4" spans="1:9" x14ac:dyDescent="0.3">
      <c r="A4" s="6" t="s">
        <v>817</v>
      </c>
      <c r="B4" s="6" t="s">
        <v>35</v>
      </c>
      <c r="C4" s="6" t="s">
        <v>532</v>
      </c>
      <c r="D4" s="6">
        <v>1</v>
      </c>
      <c r="E4" s="6" t="s">
        <v>818</v>
      </c>
      <c r="F4" s="6" t="s">
        <v>819</v>
      </c>
      <c r="G4" s="6" t="s">
        <v>816</v>
      </c>
      <c r="H4" s="10">
        <f t="shared" si="0"/>
        <v>222.5</v>
      </c>
      <c r="I4" s="6" t="s">
        <v>820</v>
      </c>
    </row>
    <row r="5" spans="1:9" x14ac:dyDescent="0.3">
      <c r="A5" s="6" t="s">
        <v>821</v>
      </c>
      <c r="B5" s="6" t="s">
        <v>38</v>
      </c>
      <c r="C5" s="6" t="s">
        <v>718</v>
      </c>
      <c r="D5" s="6">
        <v>1</v>
      </c>
      <c r="E5" s="6" t="s">
        <v>822</v>
      </c>
      <c r="F5" s="6" t="s">
        <v>823</v>
      </c>
      <c r="G5" s="6" t="s">
        <v>818</v>
      </c>
      <c r="H5" s="10">
        <f t="shared" si="0"/>
        <v>181.25</v>
      </c>
      <c r="I5" s="6" t="s">
        <v>824</v>
      </c>
    </row>
    <row r="6" spans="1:9" x14ac:dyDescent="0.3">
      <c r="A6" s="6" t="s">
        <v>825</v>
      </c>
      <c r="B6" s="6" t="s">
        <v>41</v>
      </c>
      <c r="C6" s="6" t="s">
        <v>41</v>
      </c>
      <c r="D6" s="10">
        <v>0</v>
      </c>
      <c r="E6" s="6" t="s">
        <v>826</v>
      </c>
      <c r="F6" s="6" t="s">
        <v>827</v>
      </c>
      <c r="G6" s="6" t="s">
        <v>828</v>
      </c>
      <c r="H6" s="10">
        <f t="shared" si="0"/>
        <v>741.25</v>
      </c>
      <c r="I6" s="6" t="s">
        <v>829</v>
      </c>
    </row>
    <row r="7" spans="1:9" x14ac:dyDescent="0.3">
      <c r="A7" s="6" t="s">
        <v>830</v>
      </c>
      <c r="B7" s="6" t="s">
        <v>41</v>
      </c>
      <c r="C7" s="6" t="s">
        <v>398</v>
      </c>
      <c r="D7" s="6">
        <v>1</v>
      </c>
      <c r="E7" s="6" t="s">
        <v>826</v>
      </c>
      <c r="F7" s="6" t="s">
        <v>831</v>
      </c>
      <c r="G7" s="6" t="s">
        <v>832</v>
      </c>
      <c r="H7" s="10">
        <f t="shared" si="0"/>
        <v>670</v>
      </c>
      <c r="I7" s="6" t="s">
        <v>833</v>
      </c>
    </row>
    <row r="8" spans="1:9" x14ac:dyDescent="0.3">
      <c r="A8" s="6" t="s">
        <v>834</v>
      </c>
      <c r="B8" s="6" t="s">
        <v>41</v>
      </c>
      <c r="C8" s="6" t="s">
        <v>511</v>
      </c>
      <c r="D8" s="6">
        <v>1</v>
      </c>
      <c r="E8" s="6" t="s">
        <v>822</v>
      </c>
      <c r="F8" s="6" t="s">
        <v>835</v>
      </c>
      <c r="G8" s="6" t="s">
        <v>836</v>
      </c>
      <c r="H8" s="10">
        <f t="shared" si="0"/>
        <v>491.25</v>
      </c>
      <c r="I8" s="6" t="s">
        <v>837</v>
      </c>
    </row>
    <row r="9" spans="1:9" x14ac:dyDescent="0.3">
      <c r="A9" s="6" t="s">
        <v>838</v>
      </c>
      <c r="B9" s="6" t="s">
        <v>41</v>
      </c>
      <c r="C9" s="6" t="s">
        <v>511</v>
      </c>
      <c r="D9" s="6">
        <v>1</v>
      </c>
      <c r="E9" s="6" t="s">
        <v>822</v>
      </c>
      <c r="F9" s="6" t="s">
        <v>835</v>
      </c>
      <c r="G9" s="6" t="s">
        <v>836</v>
      </c>
      <c r="H9" s="10">
        <f t="shared" si="0"/>
        <v>491.25</v>
      </c>
      <c r="I9" s="6" t="s">
        <v>837</v>
      </c>
    </row>
    <row r="10" spans="1:9" x14ac:dyDescent="0.3">
      <c r="A10" s="6" t="s">
        <v>839</v>
      </c>
      <c r="B10" s="6" t="s">
        <v>41</v>
      </c>
      <c r="C10" s="6" t="s">
        <v>552</v>
      </c>
      <c r="D10" s="6">
        <v>1</v>
      </c>
      <c r="E10" s="6" t="s">
        <v>826</v>
      </c>
      <c r="F10" s="10">
        <v>1E-3</v>
      </c>
      <c r="G10" s="6" t="s">
        <v>840</v>
      </c>
      <c r="H10" s="10">
        <f t="shared" si="0"/>
        <v>741.25</v>
      </c>
      <c r="I10" s="6" t="s">
        <v>829</v>
      </c>
    </row>
    <row r="11" spans="1:9" x14ac:dyDescent="0.3">
      <c r="A11" s="6" t="s">
        <v>841</v>
      </c>
      <c r="B11" s="6" t="s">
        <v>41</v>
      </c>
      <c r="C11" s="6" t="s">
        <v>666</v>
      </c>
      <c r="D11" s="6">
        <v>1</v>
      </c>
      <c r="E11" s="6" t="s">
        <v>827</v>
      </c>
      <c r="F11" s="6" t="s">
        <v>842</v>
      </c>
      <c r="G11" s="6" t="s">
        <v>843</v>
      </c>
      <c r="H11" s="10">
        <f t="shared" si="0"/>
        <v>542.5</v>
      </c>
      <c r="I11" s="6" t="s">
        <v>844</v>
      </c>
    </row>
    <row r="12" spans="1:9" x14ac:dyDescent="0.3">
      <c r="A12" s="6" t="s">
        <v>845</v>
      </c>
      <c r="B12" s="6" t="s">
        <v>39</v>
      </c>
      <c r="C12" s="6" t="s">
        <v>796</v>
      </c>
      <c r="D12" s="6">
        <v>1</v>
      </c>
      <c r="E12" s="6" t="s">
        <v>846</v>
      </c>
      <c r="F12" s="6" t="s">
        <v>847</v>
      </c>
      <c r="G12" s="6" t="s">
        <v>827</v>
      </c>
      <c r="H12" s="10">
        <f t="shared" si="0"/>
        <v>123.75</v>
      </c>
      <c r="I12" s="6" t="s">
        <v>812</v>
      </c>
    </row>
    <row r="13" spans="1:9" x14ac:dyDescent="0.3">
      <c r="A13" s="6" t="s">
        <v>848</v>
      </c>
      <c r="B13" s="6" t="s">
        <v>44</v>
      </c>
      <c r="C13" s="6" t="s">
        <v>396</v>
      </c>
      <c r="D13" s="6">
        <v>1</v>
      </c>
      <c r="E13" s="6" t="s">
        <v>831</v>
      </c>
      <c r="F13" s="6" t="s">
        <v>849</v>
      </c>
      <c r="G13" s="6" t="s">
        <v>850</v>
      </c>
      <c r="H13" s="10">
        <f t="shared" si="0"/>
        <v>175</v>
      </c>
      <c r="I13" s="6" t="s">
        <v>851</v>
      </c>
    </row>
    <row r="14" spans="1:9" x14ac:dyDescent="0.3">
      <c r="A14" s="6" t="s">
        <v>852</v>
      </c>
      <c r="B14" s="6" t="s">
        <v>44</v>
      </c>
      <c r="C14" s="6" t="s">
        <v>456</v>
      </c>
      <c r="D14" s="6">
        <v>1</v>
      </c>
      <c r="E14" s="6" t="s">
        <v>842</v>
      </c>
      <c r="F14" s="6" t="s">
        <v>809</v>
      </c>
      <c r="G14" s="6" t="s">
        <v>853</v>
      </c>
      <c r="H14" s="10">
        <f t="shared" si="0"/>
        <v>128.75</v>
      </c>
      <c r="I14" s="6" t="s">
        <v>854</v>
      </c>
    </row>
    <row r="15" spans="1:9" x14ac:dyDescent="0.3">
      <c r="A15" s="6" t="s">
        <v>855</v>
      </c>
      <c r="B15" s="6" t="s">
        <v>46</v>
      </c>
      <c r="C15" s="6" t="s">
        <v>372</v>
      </c>
      <c r="D15" s="6">
        <v>1</v>
      </c>
      <c r="E15" s="6" t="s">
        <v>856</v>
      </c>
      <c r="F15" s="6" t="s">
        <v>857</v>
      </c>
      <c r="G15" s="6" t="s">
        <v>858</v>
      </c>
      <c r="H15" s="10">
        <f t="shared" si="0"/>
        <v>136.25</v>
      </c>
      <c r="I15" s="6" t="s">
        <v>859</v>
      </c>
    </row>
    <row r="16" spans="1:9" x14ac:dyDescent="0.3">
      <c r="A16" s="6" t="s">
        <v>860</v>
      </c>
      <c r="B16" s="6" t="s">
        <v>51</v>
      </c>
      <c r="C16" s="6" t="s">
        <v>367</v>
      </c>
      <c r="D16" s="6">
        <v>1</v>
      </c>
      <c r="E16" s="6" t="s">
        <v>816</v>
      </c>
      <c r="F16" s="6" t="s">
        <v>861</v>
      </c>
      <c r="G16" s="6" t="s">
        <v>822</v>
      </c>
      <c r="H16" s="10">
        <f t="shared" si="0"/>
        <v>131.25</v>
      </c>
      <c r="I16" s="6" t="s">
        <v>862</v>
      </c>
    </row>
    <row r="17" spans="1:9" x14ac:dyDescent="0.3">
      <c r="A17" s="6" t="s">
        <v>863</v>
      </c>
      <c r="B17" s="6" t="s">
        <v>51</v>
      </c>
      <c r="C17" s="6" t="s">
        <v>370</v>
      </c>
      <c r="D17" s="6">
        <v>1</v>
      </c>
      <c r="E17" s="6" t="s">
        <v>864</v>
      </c>
      <c r="F17" s="6" t="s">
        <v>865</v>
      </c>
      <c r="G17" s="6" t="s">
        <v>816</v>
      </c>
      <c r="H17" s="10">
        <f t="shared" si="0"/>
        <v>123.75</v>
      </c>
      <c r="I17" s="6" t="s">
        <v>812</v>
      </c>
    </row>
    <row r="18" spans="1:9" x14ac:dyDescent="0.3">
      <c r="A18" s="10" t="s">
        <v>2912</v>
      </c>
      <c r="B18" s="8" t="s">
        <v>53</v>
      </c>
      <c r="C18" s="10" t="s">
        <v>201</v>
      </c>
      <c r="D18" s="10">
        <v>1</v>
      </c>
      <c r="E18" s="10">
        <v>1.0000000000000001E-5</v>
      </c>
      <c r="F18" s="10">
        <v>1.0000000000000001E-5</v>
      </c>
      <c r="G18" s="10">
        <v>2E-3</v>
      </c>
      <c r="H18" s="10">
        <f t="shared" si="0"/>
        <v>233.75</v>
      </c>
      <c r="I18" s="10">
        <v>187</v>
      </c>
    </row>
    <row r="19" spans="1:9" x14ac:dyDescent="0.3">
      <c r="A19" s="10" t="s">
        <v>2913</v>
      </c>
      <c r="B19" s="8" t="s">
        <v>53</v>
      </c>
      <c r="C19" s="10" t="s">
        <v>201</v>
      </c>
      <c r="D19" s="10">
        <v>1</v>
      </c>
      <c r="E19" s="10">
        <v>1.0000000000000001E-5</v>
      </c>
      <c r="F19" s="10">
        <v>1.0000000000000001E-5</v>
      </c>
      <c r="G19" s="10">
        <v>2E-3</v>
      </c>
      <c r="H19" s="10">
        <f t="shared" si="0"/>
        <v>233.75</v>
      </c>
      <c r="I19" s="10">
        <v>187</v>
      </c>
    </row>
    <row r="20" spans="1:9" x14ac:dyDescent="0.3">
      <c r="A20" s="10" t="s">
        <v>2963</v>
      </c>
      <c r="B20" s="8" t="s">
        <v>53</v>
      </c>
      <c r="C20" s="10" t="s">
        <v>513</v>
      </c>
      <c r="D20" s="10">
        <v>1</v>
      </c>
      <c r="E20" s="10">
        <v>1.0000000000000001E-5</v>
      </c>
      <c r="F20" s="10">
        <v>2E-3</v>
      </c>
      <c r="G20" s="10">
        <v>1.9E-2</v>
      </c>
      <c r="H20" s="10">
        <f t="shared" si="0"/>
        <v>233.75</v>
      </c>
      <c r="I20" s="10">
        <v>187</v>
      </c>
    </row>
    <row r="21" spans="1:9" x14ac:dyDescent="0.3">
      <c r="A21" s="6" t="s">
        <v>866</v>
      </c>
      <c r="B21" s="6" t="s">
        <v>51</v>
      </c>
      <c r="C21" s="6" t="s">
        <v>700</v>
      </c>
      <c r="D21" s="6">
        <v>1</v>
      </c>
      <c r="E21" s="6" t="s">
        <v>867</v>
      </c>
      <c r="F21" s="6" t="s">
        <v>868</v>
      </c>
      <c r="G21" s="6" t="s">
        <v>823</v>
      </c>
      <c r="H21" s="10">
        <f t="shared" si="0"/>
        <v>130</v>
      </c>
      <c r="I21" s="6" t="s">
        <v>869</v>
      </c>
    </row>
    <row r="22" spans="1:9" x14ac:dyDescent="0.3">
      <c r="A22" s="6" t="s">
        <v>870</v>
      </c>
      <c r="B22" s="6" t="s">
        <v>54</v>
      </c>
      <c r="C22" s="6" t="s">
        <v>482</v>
      </c>
      <c r="D22" s="6">
        <v>1</v>
      </c>
      <c r="E22" s="6" t="s">
        <v>849</v>
      </c>
      <c r="F22" s="6" t="s">
        <v>816</v>
      </c>
      <c r="G22" s="6" t="s">
        <v>849</v>
      </c>
      <c r="H22" s="10">
        <f t="shared" si="0"/>
        <v>140</v>
      </c>
      <c r="I22" s="6" t="s">
        <v>871</v>
      </c>
    </row>
    <row r="23" spans="1:9" x14ac:dyDescent="0.3">
      <c r="A23" s="6" t="s">
        <v>872</v>
      </c>
      <c r="B23" s="6" t="s">
        <v>57</v>
      </c>
      <c r="C23" s="6" t="s">
        <v>342</v>
      </c>
      <c r="D23" s="6">
        <v>1</v>
      </c>
      <c r="E23" s="6" t="s">
        <v>822</v>
      </c>
      <c r="F23" s="6" t="s">
        <v>818</v>
      </c>
      <c r="G23" s="6" t="s">
        <v>827</v>
      </c>
      <c r="H23" s="10">
        <f t="shared" si="0"/>
        <v>131.25</v>
      </c>
      <c r="I23" s="6" t="s">
        <v>862</v>
      </c>
    </row>
    <row r="24" spans="1:9" x14ac:dyDescent="0.3">
      <c r="A24" s="6" t="s">
        <v>873</v>
      </c>
      <c r="B24" s="6" t="s">
        <v>59</v>
      </c>
      <c r="C24" s="6" t="s">
        <v>467</v>
      </c>
      <c r="D24" s="6">
        <v>1</v>
      </c>
      <c r="E24" s="6" t="s">
        <v>816</v>
      </c>
      <c r="F24" s="6" t="s">
        <v>874</v>
      </c>
      <c r="G24" s="6" t="s">
        <v>822</v>
      </c>
      <c r="H24" s="10">
        <f t="shared" si="0"/>
        <v>102.5</v>
      </c>
      <c r="I24" s="6" t="s">
        <v>875</v>
      </c>
    </row>
    <row r="25" spans="1:9" x14ac:dyDescent="0.3">
      <c r="A25" s="6" t="s">
        <v>876</v>
      </c>
      <c r="B25" s="6" t="s">
        <v>59</v>
      </c>
      <c r="C25" s="6" t="s">
        <v>467</v>
      </c>
      <c r="D25" s="6">
        <v>1</v>
      </c>
      <c r="E25" s="6" t="s">
        <v>816</v>
      </c>
      <c r="F25" s="6" t="s">
        <v>874</v>
      </c>
      <c r="G25" s="6" t="s">
        <v>822</v>
      </c>
      <c r="H25" s="10">
        <f t="shared" si="0"/>
        <v>102.5</v>
      </c>
      <c r="I25" s="6" t="s">
        <v>875</v>
      </c>
    </row>
    <row r="26" spans="1:9" x14ac:dyDescent="0.3">
      <c r="A26" s="6" t="s">
        <v>877</v>
      </c>
      <c r="B26" s="6" t="s">
        <v>63</v>
      </c>
      <c r="C26" s="6" t="s">
        <v>761</v>
      </c>
      <c r="D26" s="6">
        <v>1</v>
      </c>
      <c r="E26" s="6" t="s">
        <v>878</v>
      </c>
      <c r="F26" s="6" t="s">
        <v>879</v>
      </c>
      <c r="G26" s="6" t="s">
        <v>847</v>
      </c>
      <c r="H26" s="10">
        <f t="shared" si="0"/>
        <v>131.25</v>
      </c>
      <c r="I26" s="6" t="s">
        <v>862</v>
      </c>
    </row>
    <row r="27" spans="1:9" x14ac:dyDescent="0.3">
      <c r="A27" s="6" t="s">
        <v>880</v>
      </c>
      <c r="B27" s="6" t="s">
        <v>67</v>
      </c>
      <c r="C27" s="6" t="s">
        <v>65</v>
      </c>
      <c r="D27" s="6">
        <v>1</v>
      </c>
      <c r="E27" s="6" t="s">
        <v>826</v>
      </c>
      <c r="F27" s="6" t="s">
        <v>827</v>
      </c>
      <c r="G27" s="6" t="s">
        <v>826</v>
      </c>
      <c r="H27" s="10">
        <f t="shared" si="0"/>
        <v>131.25</v>
      </c>
      <c r="I27" s="6" t="s">
        <v>862</v>
      </c>
    </row>
    <row r="28" spans="1:9" x14ac:dyDescent="0.3">
      <c r="A28" s="6" t="s">
        <v>881</v>
      </c>
      <c r="B28" s="6" t="s">
        <v>69</v>
      </c>
      <c r="C28" s="6" t="s">
        <v>105</v>
      </c>
      <c r="D28" s="6">
        <v>1</v>
      </c>
      <c r="E28" s="6" t="s">
        <v>882</v>
      </c>
      <c r="F28" s="6" t="s">
        <v>883</v>
      </c>
      <c r="G28" s="6" t="s">
        <v>818</v>
      </c>
      <c r="H28" s="10">
        <f t="shared" si="0"/>
        <v>123.75</v>
      </c>
      <c r="I28" s="6" t="s">
        <v>812</v>
      </c>
    </row>
    <row r="29" spans="1:9" x14ac:dyDescent="0.3">
      <c r="A29" s="6" t="s">
        <v>884</v>
      </c>
      <c r="B29" s="6" t="s">
        <v>69</v>
      </c>
      <c r="C29" s="6" t="s">
        <v>144</v>
      </c>
      <c r="D29" s="6">
        <v>1</v>
      </c>
      <c r="E29" s="6" t="s">
        <v>885</v>
      </c>
      <c r="F29" s="6" t="s">
        <v>857</v>
      </c>
      <c r="G29" s="6" t="s">
        <v>882</v>
      </c>
      <c r="H29" s="10">
        <f t="shared" si="0"/>
        <v>222.5</v>
      </c>
      <c r="I29" s="6" t="s">
        <v>820</v>
      </c>
    </row>
    <row r="30" spans="1:9" x14ac:dyDescent="0.3">
      <c r="A30" s="6" t="s">
        <v>886</v>
      </c>
      <c r="B30" s="6" t="s">
        <v>71</v>
      </c>
      <c r="C30" s="6" t="s">
        <v>238</v>
      </c>
      <c r="D30" s="6">
        <v>1</v>
      </c>
      <c r="E30" s="6" t="s">
        <v>811</v>
      </c>
      <c r="F30" s="6" t="s">
        <v>887</v>
      </c>
      <c r="G30" s="6" t="s">
        <v>888</v>
      </c>
      <c r="H30" s="10">
        <f t="shared" si="0"/>
        <v>542.5</v>
      </c>
      <c r="I30" s="6" t="s">
        <v>844</v>
      </c>
    </row>
    <row r="31" spans="1:9" x14ac:dyDescent="0.3">
      <c r="A31" s="6" t="s">
        <v>889</v>
      </c>
      <c r="B31" s="6" t="s">
        <v>71</v>
      </c>
      <c r="C31" s="10" t="s">
        <v>559</v>
      </c>
      <c r="D31" s="6">
        <v>1</v>
      </c>
      <c r="E31" s="6" t="s">
        <v>846</v>
      </c>
      <c r="F31" s="6" t="s">
        <v>836</v>
      </c>
      <c r="G31" s="6" t="s">
        <v>890</v>
      </c>
      <c r="H31" s="10">
        <f t="shared" si="0"/>
        <v>542.5</v>
      </c>
      <c r="I31" s="6" t="s">
        <v>844</v>
      </c>
    </row>
    <row r="32" spans="1:9" x14ac:dyDescent="0.3">
      <c r="A32" s="6" t="s">
        <v>891</v>
      </c>
      <c r="B32" s="6" t="s">
        <v>69</v>
      </c>
      <c r="C32" s="6" t="s">
        <v>704</v>
      </c>
      <c r="D32" s="6">
        <v>1</v>
      </c>
      <c r="E32" s="6" t="s">
        <v>849</v>
      </c>
      <c r="F32" s="6" t="s">
        <v>892</v>
      </c>
      <c r="G32" s="6" t="s">
        <v>827</v>
      </c>
      <c r="H32" s="10">
        <f t="shared" si="0"/>
        <v>42.5</v>
      </c>
      <c r="I32" s="6" t="s">
        <v>893</v>
      </c>
    </row>
    <row r="33" spans="1:9" x14ac:dyDescent="0.3">
      <c r="A33" s="6" t="s">
        <v>894</v>
      </c>
      <c r="B33" s="6" t="s">
        <v>73</v>
      </c>
      <c r="C33" s="6" t="s">
        <v>377</v>
      </c>
      <c r="D33" s="6">
        <v>1</v>
      </c>
      <c r="E33" s="6" t="s">
        <v>846</v>
      </c>
      <c r="F33" s="6" t="s">
        <v>882</v>
      </c>
      <c r="G33" s="6" t="s">
        <v>895</v>
      </c>
      <c r="H33" s="10">
        <f t="shared" si="0"/>
        <v>150</v>
      </c>
      <c r="I33" s="6" t="s">
        <v>896</v>
      </c>
    </row>
    <row r="34" spans="1:9" x14ac:dyDescent="0.3">
      <c r="A34" s="6" t="s">
        <v>897</v>
      </c>
      <c r="B34" s="6" t="s">
        <v>73</v>
      </c>
      <c r="C34" s="6" t="s">
        <v>571</v>
      </c>
      <c r="D34" s="6">
        <v>1</v>
      </c>
      <c r="E34" s="6" t="s">
        <v>822</v>
      </c>
      <c r="F34" s="6" t="s">
        <v>811</v>
      </c>
      <c r="G34" s="6" t="s">
        <v>874</v>
      </c>
      <c r="H34" s="10">
        <f t="shared" si="0"/>
        <v>150</v>
      </c>
      <c r="I34" s="6" t="s">
        <v>896</v>
      </c>
    </row>
    <row r="35" spans="1:9" x14ac:dyDescent="0.3">
      <c r="A35" s="6" t="s">
        <v>898</v>
      </c>
      <c r="B35" s="6" t="s">
        <v>75</v>
      </c>
      <c r="C35" s="6" t="s">
        <v>272</v>
      </c>
      <c r="D35" s="6">
        <v>1</v>
      </c>
      <c r="E35" s="6" t="s">
        <v>899</v>
      </c>
      <c r="F35" s="6" t="s">
        <v>900</v>
      </c>
      <c r="G35" s="6" t="s">
        <v>901</v>
      </c>
      <c r="H35" s="10">
        <f t="shared" si="0"/>
        <v>130</v>
      </c>
      <c r="I35" s="6" t="s">
        <v>869</v>
      </c>
    </row>
    <row r="36" spans="1:9" x14ac:dyDescent="0.3">
      <c r="A36" s="6" t="s">
        <v>902</v>
      </c>
      <c r="B36" s="6" t="s">
        <v>75</v>
      </c>
      <c r="C36" s="6" t="s">
        <v>438</v>
      </c>
      <c r="D36" s="6">
        <v>1</v>
      </c>
      <c r="E36" s="6" t="s">
        <v>858</v>
      </c>
      <c r="F36" s="6" t="s">
        <v>903</v>
      </c>
      <c r="G36" s="6" t="s">
        <v>847</v>
      </c>
      <c r="H36" s="10">
        <f t="shared" si="0"/>
        <v>222.5</v>
      </c>
      <c r="I36" s="6" t="s">
        <v>820</v>
      </c>
    </row>
    <row r="37" spans="1:9" x14ac:dyDescent="0.3">
      <c r="A37" s="6" t="s">
        <v>904</v>
      </c>
      <c r="B37" s="6" t="s">
        <v>75</v>
      </c>
      <c r="C37" s="6" t="s">
        <v>618</v>
      </c>
      <c r="D37" s="6">
        <v>1</v>
      </c>
      <c r="E37" s="6" t="s">
        <v>905</v>
      </c>
      <c r="F37" s="6" t="s">
        <v>906</v>
      </c>
      <c r="G37" s="6" t="s">
        <v>907</v>
      </c>
      <c r="H37" s="10">
        <f t="shared" si="0"/>
        <v>222.5</v>
      </c>
      <c r="I37" s="6" t="s">
        <v>820</v>
      </c>
    </row>
    <row r="38" spans="1:9" x14ac:dyDescent="0.3">
      <c r="A38" s="6" t="s">
        <v>908</v>
      </c>
      <c r="B38" s="6" t="s">
        <v>75</v>
      </c>
      <c r="C38" s="6" t="s">
        <v>708</v>
      </c>
      <c r="D38" s="6">
        <v>1</v>
      </c>
      <c r="E38" s="6" t="s">
        <v>816</v>
      </c>
      <c r="F38" s="6" t="s">
        <v>909</v>
      </c>
      <c r="G38" s="6" t="s">
        <v>818</v>
      </c>
      <c r="H38" s="10">
        <f t="shared" si="0"/>
        <v>222.5</v>
      </c>
      <c r="I38" s="6" t="s">
        <v>820</v>
      </c>
    </row>
    <row r="39" spans="1:9" x14ac:dyDescent="0.3">
      <c r="A39" s="6" t="s">
        <v>910</v>
      </c>
      <c r="B39" s="6" t="s">
        <v>75</v>
      </c>
      <c r="C39" s="6" t="s">
        <v>708</v>
      </c>
      <c r="D39" s="6">
        <v>1</v>
      </c>
      <c r="E39" s="6" t="s">
        <v>911</v>
      </c>
      <c r="F39" s="6" t="s">
        <v>912</v>
      </c>
      <c r="G39" s="6" t="s">
        <v>882</v>
      </c>
      <c r="H39" s="10">
        <f t="shared" si="0"/>
        <v>222.5</v>
      </c>
      <c r="I39" s="6" t="s">
        <v>820</v>
      </c>
    </row>
    <row r="40" spans="1:9" x14ac:dyDescent="0.3">
      <c r="A40" s="6" t="s">
        <v>913</v>
      </c>
      <c r="B40" s="6" t="s">
        <v>77</v>
      </c>
      <c r="C40" s="6" t="s">
        <v>345</v>
      </c>
      <c r="D40" s="6">
        <v>1</v>
      </c>
      <c r="E40" s="6" t="s">
        <v>827</v>
      </c>
      <c r="F40" s="6" t="s">
        <v>811</v>
      </c>
      <c r="G40" s="6" t="s">
        <v>909</v>
      </c>
      <c r="H40" s="10">
        <f t="shared" si="0"/>
        <v>150</v>
      </c>
      <c r="I40" s="6" t="s">
        <v>896</v>
      </c>
    </row>
    <row r="41" spans="1:9" x14ac:dyDescent="0.3">
      <c r="A41" s="6" t="s">
        <v>914</v>
      </c>
      <c r="B41" s="6" t="s">
        <v>77</v>
      </c>
      <c r="C41" s="6" t="s">
        <v>498</v>
      </c>
      <c r="D41" s="6">
        <v>1</v>
      </c>
      <c r="E41" s="6" t="s">
        <v>849</v>
      </c>
      <c r="F41" s="6" t="s">
        <v>885</v>
      </c>
      <c r="G41" s="6" t="s">
        <v>818</v>
      </c>
      <c r="H41" s="10">
        <f t="shared" si="0"/>
        <v>222.5</v>
      </c>
      <c r="I41" s="6" t="s">
        <v>820</v>
      </c>
    </row>
    <row r="42" spans="1:9" x14ac:dyDescent="0.3">
      <c r="A42" s="6" t="s">
        <v>915</v>
      </c>
      <c r="B42" s="6" t="s">
        <v>79</v>
      </c>
      <c r="C42" s="6" t="s">
        <v>523</v>
      </c>
      <c r="D42" s="6">
        <v>1</v>
      </c>
      <c r="E42" s="6" t="s">
        <v>878</v>
      </c>
      <c r="F42" s="6" t="s">
        <v>916</v>
      </c>
      <c r="G42" s="6" t="s">
        <v>816</v>
      </c>
      <c r="H42" s="10">
        <f t="shared" si="0"/>
        <v>123.75</v>
      </c>
      <c r="I42" s="6" t="s">
        <v>812</v>
      </c>
    </row>
    <row r="43" spans="1:9" x14ac:dyDescent="0.3">
      <c r="A43" s="6" t="s">
        <v>917</v>
      </c>
      <c r="B43" s="6" t="s">
        <v>79</v>
      </c>
      <c r="C43" s="6" t="s">
        <v>700</v>
      </c>
      <c r="D43" s="6">
        <v>1</v>
      </c>
      <c r="E43" s="6" t="s">
        <v>901</v>
      </c>
      <c r="F43" s="6" t="s">
        <v>918</v>
      </c>
      <c r="G43" s="6" t="s">
        <v>847</v>
      </c>
      <c r="H43" s="10">
        <f t="shared" si="0"/>
        <v>222.5</v>
      </c>
      <c r="I43" s="6" t="s">
        <v>820</v>
      </c>
    </row>
    <row r="44" spans="1:9" x14ac:dyDescent="0.3">
      <c r="A44" s="6" t="s">
        <v>919</v>
      </c>
      <c r="B44" s="6" t="s">
        <v>81</v>
      </c>
      <c r="C44" s="6" t="s">
        <v>456</v>
      </c>
      <c r="D44" s="6">
        <v>1</v>
      </c>
      <c r="E44" s="6" t="s">
        <v>846</v>
      </c>
      <c r="F44" s="6" t="s">
        <v>882</v>
      </c>
      <c r="G44" s="6" t="s">
        <v>920</v>
      </c>
      <c r="H44" s="10">
        <f t="shared" si="0"/>
        <v>175</v>
      </c>
      <c r="I44" s="6" t="s">
        <v>851</v>
      </c>
    </row>
    <row r="45" spans="1:9" x14ac:dyDescent="0.3">
      <c r="A45" s="6" t="s">
        <v>921</v>
      </c>
      <c r="B45" s="6" t="s">
        <v>81</v>
      </c>
      <c r="C45" s="6" t="s">
        <v>456</v>
      </c>
      <c r="D45" s="6">
        <v>1</v>
      </c>
      <c r="E45" s="6" t="s">
        <v>846</v>
      </c>
      <c r="F45" s="6" t="s">
        <v>882</v>
      </c>
      <c r="G45" s="6" t="s">
        <v>920</v>
      </c>
      <c r="H45" s="10">
        <f t="shared" si="0"/>
        <v>175</v>
      </c>
      <c r="I45" s="6" t="s">
        <v>851</v>
      </c>
    </row>
    <row r="46" spans="1:9" x14ac:dyDescent="0.3">
      <c r="A46" s="6" t="s">
        <v>922</v>
      </c>
      <c r="B46" s="6" t="s">
        <v>83</v>
      </c>
      <c r="C46" s="6" t="s">
        <v>259</v>
      </c>
      <c r="D46" s="6">
        <v>1</v>
      </c>
      <c r="E46" s="6" t="s">
        <v>923</v>
      </c>
      <c r="F46" s="6" t="s">
        <v>924</v>
      </c>
      <c r="G46" s="6" t="s">
        <v>892</v>
      </c>
      <c r="H46" s="10">
        <f t="shared" si="0"/>
        <v>123.75</v>
      </c>
      <c r="I46" s="6" t="s">
        <v>812</v>
      </c>
    </row>
    <row r="47" spans="1:9" x14ac:dyDescent="0.3">
      <c r="A47" s="6" t="s">
        <v>2914</v>
      </c>
      <c r="B47" s="6" t="s">
        <v>83</v>
      </c>
      <c r="C47" s="6" t="s">
        <v>2811</v>
      </c>
      <c r="D47" s="6">
        <v>1</v>
      </c>
      <c r="E47" s="6">
        <v>3.4000000000000002E-2</v>
      </c>
      <c r="F47" s="6">
        <v>7.5999999999999998E-2</v>
      </c>
      <c r="G47" s="6">
        <v>7.0000000000000001E-3</v>
      </c>
      <c r="H47" s="10">
        <f t="shared" si="0"/>
        <v>131.25</v>
      </c>
      <c r="I47" s="6">
        <v>105</v>
      </c>
    </row>
    <row r="48" spans="1:9" x14ac:dyDescent="0.3">
      <c r="A48" s="6" t="s">
        <v>925</v>
      </c>
      <c r="B48" s="6" t="s">
        <v>83</v>
      </c>
      <c r="C48" s="6" t="s">
        <v>654</v>
      </c>
      <c r="D48" s="6">
        <v>1</v>
      </c>
      <c r="E48" s="6" t="s">
        <v>828</v>
      </c>
      <c r="F48" s="6" t="s">
        <v>926</v>
      </c>
      <c r="G48" s="6" t="s">
        <v>892</v>
      </c>
      <c r="H48" s="10">
        <f t="shared" si="0"/>
        <v>123.75</v>
      </c>
      <c r="I48" s="6" t="s">
        <v>812</v>
      </c>
    </row>
    <row r="49" spans="1:9" x14ac:dyDescent="0.3">
      <c r="A49" s="6" t="s">
        <v>927</v>
      </c>
      <c r="B49" s="6" t="s">
        <v>85</v>
      </c>
      <c r="C49" s="6" t="s">
        <v>225</v>
      </c>
      <c r="D49" s="6">
        <v>1</v>
      </c>
      <c r="E49" s="6" t="s">
        <v>827</v>
      </c>
      <c r="F49" s="6" t="s">
        <v>831</v>
      </c>
      <c r="G49" s="6" t="s">
        <v>827</v>
      </c>
      <c r="H49" s="10">
        <f t="shared" si="0"/>
        <v>120</v>
      </c>
      <c r="I49" s="6" t="s">
        <v>928</v>
      </c>
    </row>
    <row r="50" spans="1:9" x14ac:dyDescent="0.3">
      <c r="A50" s="6" t="s">
        <v>929</v>
      </c>
      <c r="B50" s="6" t="s">
        <v>85</v>
      </c>
      <c r="C50" s="6" t="s">
        <v>225</v>
      </c>
      <c r="D50" s="6">
        <v>1</v>
      </c>
      <c r="E50" s="6" t="s">
        <v>827</v>
      </c>
      <c r="F50" s="6" t="s">
        <v>831</v>
      </c>
      <c r="G50" s="6" t="s">
        <v>827</v>
      </c>
      <c r="H50" s="10">
        <f t="shared" si="0"/>
        <v>120</v>
      </c>
      <c r="I50" s="6" t="s">
        <v>928</v>
      </c>
    </row>
    <row r="51" spans="1:9" x14ac:dyDescent="0.3">
      <c r="A51" s="6" t="s">
        <v>930</v>
      </c>
      <c r="B51" s="6" t="s">
        <v>85</v>
      </c>
      <c r="C51" s="6" t="s">
        <v>504</v>
      </c>
      <c r="D51" s="6">
        <v>1</v>
      </c>
      <c r="E51" s="6" t="s">
        <v>885</v>
      </c>
      <c r="F51" s="6" t="s">
        <v>931</v>
      </c>
      <c r="G51" s="6" t="s">
        <v>816</v>
      </c>
      <c r="H51" s="10">
        <f t="shared" si="0"/>
        <v>222.5</v>
      </c>
      <c r="I51" s="6" t="s">
        <v>820</v>
      </c>
    </row>
    <row r="52" spans="1:9" x14ac:dyDescent="0.3">
      <c r="A52" s="6" t="s">
        <v>932</v>
      </c>
      <c r="B52" s="6" t="s">
        <v>85</v>
      </c>
      <c r="C52" s="6" t="s">
        <v>608</v>
      </c>
      <c r="D52" s="6">
        <v>1</v>
      </c>
      <c r="E52" s="6" t="s">
        <v>823</v>
      </c>
      <c r="F52" s="6" t="s">
        <v>933</v>
      </c>
      <c r="G52" s="6" t="s">
        <v>882</v>
      </c>
      <c r="H52" s="10">
        <f t="shared" si="0"/>
        <v>222.5</v>
      </c>
      <c r="I52" s="6" t="s">
        <v>820</v>
      </c>
    </row>
    <row r="53" spans="1:9" x14ac:dyDescent="0.3">
      <c r="A53" s="6" t="s">
        <v>934</v>
      </c>
      <c r="B53" s="6" t="s">
        <v>85</v>
      </c>
      <c r="C53" s="6" t="s">
        <v>707</v>
      </c>
      <c r="D53" s="6">
        <v>1</v>
      </c>
      <c r="E53" s="6" t="s">
        <v>827</v>
      </c>
      <c r="F53" s="6" t="s">
        <v>827</v>
      </c>
      <c r="G53" s="6" t="s">
        <v>811</v>
      </c>
      <c r="H53" s="10">
        <f t="shared" si="0"/>
        <v>150</v>
      </c>
      <c r="I53" s="6" t="s">
        <v>896</v>
      </c>
    </row>
    <row r="54" spans="1:9" x14ac:dyDescent="0.3">
      <c r="A54" s="6" t="s">
        <v>935</v>
      </c>
      <c r="B54" s="6" t="s">
        <v>85</v>
      </c>
      <c r="C54" s="6" t="s">
        <v>707</v>
      </c>
      <c r="D54" s="6">
        <v>1</v>
      </c>
      <c r="E54" s="6" t="s">
        <v>827</v>
      </c>
      <c r="F54" s="6" t="s">
        <v>827</v>
      </c>
      <c r="G54" s="6" t="s">
        <v>811</v>
      </c>
      <c r="H54" s="10">
        <f t="shared" si="0"/>
        <v>150</v>
      </c>
      <c r="I54" s="6" t="s">
        <v>896</v>
      </c>
    </row>
    <row r="55" spans="1:9" x14ac:dyDescent="0.3">
      <c r="A55" s="6" t="s">
        <v>936</v>
      </c>
      <c r="B55" s="6" t="s">
        <v>87</v>
      </c>
      <c r="C55" s="6" t="s">
        <v>213</v>
      </c>
      <c r="D55" s="6">
        <v>1</v>
      </c>
      <c r="E55" s="6" t="s">
        <v>847</v>
      </c>
      <c r="F55" s="6" t="s">
        <v>895</v>
      </c>
      <c r="G55" s="6" t="s">
        <v>811</v>
      </c>
      <c r="H55" s="10">
        <f t="shared" si="0"/>
        <v>222.5</v>
      </c>
      <c r="I55" s="6" t="s">
        <v>820</v>
      </c>
    </row>
    <row r="56" spans="1:9" x14ac:dyDescent="0.3">
      <c r="A56" s="6" t="s">
        <v>937</v>
      </c>
      <c r="B56" s="6" t="s">
        <v>87</v>
      </c>
      <c r="C56" s="6" t="s">
        <v>355</v>
      </c>
      <c r="D56" s="6">
        <v>1</v>
      </c>
      <c r="E56" s="6" t="s">
        <v>938</v>
      </c>
      <c r="F56" s="6" t="s">
        <v>920</v>
      </c>
      <c r="G56" s="6" t="s">
        <v>818</v>
      </c>
      <c r="H56" s="10">
        <f t="shared" si="0"/>
        <v>222.5</v>
      </c>
      <c r="I56" s="6" t="s">
        <v>820</v>
      </c>
    </row>
    <row r="57" spans="1:9" x14ac:dyDescent="0.3">
      <c r="A57" s="6" t="s">
        <v>939</v>
      </c>
      <c r="B57" s="6" t="s">
        <v>87</v>
      </c>
      <c r="C57" s="6" t="s">
        <v>324</v>
      </c>
      <c r="D57" s="6">
        <v>1</v>
      </c>
      <c r="E57" s="6">
        <v>7.0000000000000001E-3</v>
      </c>
      <c r="F57" s="6">
        <v>3.5000000000000003E-2</v>
      </c>
      <c r="G57" s="6">
        <v>4.0000000000000001E-3</v>
      </c>
      <c r="H57" s="10">
        <f t="shared" si="0"/>
        <v>222.5</v>
      </c>
      <c r="I57" s="6">
        <v>178</v>
      </c>
    </row>
    <row r="58" spans="1:9" x14ac:dyDescent="0.3">
      <c r="A58" s="6" t="s">
        <v>940</v>
      </c>
      <c r="B58" s="6" t="s">
        <v>89</v>
      </c>
      <c r="C58" s="6" t="s">
        <v>153</v>
      </c>
      <c r="D58" s="6">
        <v>1</v>
      </c>
      <c r="E58" s="6" t="s">
        <v>849</v>
      </c>
      <c r="F58" s="6" t="s">
        <v>842</v>
      </c>
      <c r="G58" s="6" t="s">
        <v>827</v>
      </c>
      <c r="H58" s="10">
        <f t="shared" si="0"/>
        <v>131.25</v>
      </c>
      <c r="I58" s="6" t="s">
        <v>862</v>
      </c>
    </row>
    <row r="59" spans="1:9" x14ac:dyDescent="0.3">
      <c r="A59" s="6" t="s">
        <v>941</v>
      </c>
      <c r="B59" s="6" t="s">
        <v>89</v>
      </c>
      <c r="C59" s="6" t="s">
        <v>153</v>
      </c>
      <c r="D59" s="6">
        <v>1</v>
      </c>
      <c r="E59" s="6" t="s">
        <v>849</v>
      </c>
      <c r="F59" s="6" t="s">
        <v>842</v>
      </c>
      <c r="G59" s="6" t="s">
        <v>827</v>
      </c>
      <c r="H59" s="10">
        <f t="shared" si="0"/>
        <v>123.75</v>
      </c>
      <c r="I59" s="6" t="s">
        <v>812</v>
      </c>
    </row>
    <row r="60" spans="1:9" x14ac:dyDescent="0.3">
      <c r="A60" s="6" t="s">
        <v>942</v>
      </c>
      <c r="B60" s="6" t="s">
        <v>89</v>
      </c>
      <c r="C60" s="6" t="s">
        <v>337</v>
      </c>
      <c r="D60" s="6">
        <v>1</v>
      </c>
      <c r="E60" s="6" t="s">
        <v>943</v>
      </c>
      <c r="F60" s="6" t="s">
        <v>933</v>
      </c>
      <c r="G60" s="6" t="s">
        <v>892</v>
      </c>
      <c r="H60" s="10">
        <f t="shared" si="0"/>
        <v>123.75</v>
      </c>
      <c r="I60" s="6" t="s">
        <v>812</v>
      </c>
    </row>
    <row r="61" spans="1:9" x14ac:dyDescent="0.3">
      <c r="A61" s="6" t="s">
        <v>944</v>
      </c>
      <c r="B61" s="6" t="s">
        <v>89</v>
      </c>
      <c r="C61" s="6" t="s">
        <v>664</v>
      </c>
      <c r="D61" s="6">
        <v>1</v>
      </c>
      <c r="E61" s="6" t="s">
        <v>905</v>
      </c>
      <c r="F61" s="6" t="s">
        <v>945</v>
      </c>
      <c r="G61" s="6" t="s">
        <v>816</v>
      </c>
      <c r="H61" s="10">
        <f t="shared" si="0"/>
        <v>123.75</v>
      </c>
      <c r="I61" s="6" t="s">
        <v>812</v>
      </c>
    </row>
    <row r="62" spans="1:9" x14ac:dyDescent="0.3">
      <c r="A62" s="6" t="s">
        <v>946</v>
      </c>
      <c r="B62" s="6" t="s">
        <v>91</v>
      </c>
      <c r="C62" s="6" t="s">
        <v>739</v>
      </c>
      <c r="D62" s="6">
        <v>1</v>
      </c>
      <c r="E62" s="6" t="s">
        <v>853</v>
      </c>
      <c r="F62" s="6" t="s">
        <v>947</v>
      </c>
      <c r="G62" s="6" t="s">
        <v>811</v>
      </c>
      <c r="H62" s="10">
        <f t="shared" si="0"/>
        <v>102.5</v>
      </c>
      <c r="I62" s="6" t="s">
        <v>875</v>
      </c>
    </row>
    <row r="63" spans="1:9" x14ac:dyDescent="0.3">
      <c r="A63" s="6" t="s">
        <v>948</v>
      </c>
      <c r="B63" s="6" t="s">
        <v>91</v>
      </c>
      <c r="C63" s="6" t="s">
        <v>739</v>
      </c>
      <c r="D63" s="6">
        <v>1</v>
      </c>
      <c r="E63" s="6" t="s">
        <v>858</v>
      </c>
      <c r="F63" s="6" t="s">
        <v>949</v>
      </c>
      <c r="G63" s="6" t="s">
        <v>846</v>
      </c>
      <c r="H63" s="10">
        <f t="shared" si="0"/>
        <v>102.5</v>
      </c>
      <c r="I63" s="6" t="s">
        <v>875</v>
      </c>
    </row>
    <row r="64" spans="1:9" x14ac:dyDescent="0.3">
      <c r="A64" s="6" t="s">
        <v>950</v>
      </c>
      <c r="B64" s="6" t="s">
        <v>97</v>
      </c>
      <c r="C64" s="6" t="s">
        <v>95</v>
      </c>
      <c r="D64" s="6">
        <v>1</v>
      </c>
      <c r="E64" s="6" t="s">
        <v>826</v>
      </c>
      <c r="F64" s="6" t="s">
        <v>827</v>
      </c>
      <c r="G64" s="6" t="s">
        <v>826</v>
      </c>
      <c r="H64" s="10">
        <f t="shared" si="0"/>
        <v>170</v>
      </c>
      <c r="I64" s="6" t="s">
        <v>951</v>
      </c>
    </row>
    <row r="65" spans="1:9" x14ac:dyDescent="0.3">
      <c r="A65" s="6" t="s">
        <v>952</v>
      </c>
      <c r="B65" s="6" t="s">
        <v>99</v>
      </c>
      <c r="C65" s="6" t="s">
        <v>236</v>
      </c>
      <c r="D65" s="6">
        <v>1</v>
      </c>
      <c r="E65" s="6" t="s">
        <v>831</v>
      </c>
      <c r="F65" s="6" t="s">
        <v>846</v>
      </c>
      <c r="G65" s="6" t="s">
        <v>953</v>
      </c>
      <c r="H65" s="10">
        <f t="shared" si="0"/>
        <v>175</v>
      </c>
      <c r="I65" s="6" t="s">
        <v>851</v>
      </c>
    </row>
    <row r="66" spans="1:9" x14ac:dyDescent="0.3">
      <c r="A66" s="6" t="s">
        <v>954</v>
      </c>
      <c r="B66" s="6" t="s">
        <v>99</v>
      </c>
      <c r="C66" s="6" t="s">
        <v>268</v>
      </c>
      <c r="D66" s="6">
        <v>1</v>
      </c>
      <c r="E66" s="6" t="s">
        <v>901</v>
      </c>
      <c r="F66" s="6" t="s">
        <v>955</v>
      </c>
      <c r="G66" s="6" t="s">
        <v>809</v>
      </c>
      <c r="H66" s="10">
        <f t="shared" si="0"/>
        <v>162.5</v>
      </c>
      <c r="I66" s="6" t="s">
        <v>956</v>
      </c>
    </row>
    <row r="67" spans="1:9" x14ac:dyDescent="0.3">
      <c r="A67" s="6" t="s">
        <v>957</v>
      </c>
      <c r="B67" s="6" t="s">
        <v>101</v>
      </c>
      <c r="C67" s="6" t="s">
        <v>592</v>
      </c>
      <c r="D67" s="6">
        <v>1</v>
      </c>
      <c r="E67" s="6" t="s">
        <v>882</v>
      </c>
      <c r="F67" s="6" t="s">
        <v>874</v>
      </c>
      <c r="G67" s="6" t="s">
        <v>958</v>
      </c>
      <c r="H67" s="10">
        <f t="shared" ref="H67:H130" si="1">I67*1.25</f>
        <v>123.75</v>
      </c>
      <c r="I67" s="6" t="s">
        <v>812</v>
      </c>
    </row>
    <row r="68" spans="1:9" x14ac:dyDescent="0.3">
      <c r="A68" s="6" t="s">
        <v>959</v>
      </c>
      <c r="B68" s="6" t="s">
        <v>101</v>
      </c>
      <c r="C68" s="6" t="s">
        <v>623</v>
      </c>
      <c r="D68" s="6">
        <v>1</v>
      </c>
      <c r="E68" s="6" t="s">
        <v>811</v>
      </c>
      <c r="F68" s="6" t="s">
        <v>823</v>
      </c>
      <c r="G68" s="6" t="s">
        <v>861</v>
      </c>
      <c r="H68" s="10">
        <f t="shared" si="1"/>
        <v>152.5</v>
      </c>
      <c r="I68" s="6" t="s">
        <v>960</v>
      </c>
    </row>
    <row r="69" spans="1:9" x14ac:dyDescent="0.3">
      <c r="A69" s="6" t="s">
        <v>961</v>
      </c>
      <c r="B69" s="6" t="s">
        <v>103</v>
      </c>
      <c r="C69" s="6" t="s">
        <v>306</v>
      </c>
      <c r="D69" s="6">
        <v>1</v>
      </c>
      <c r="E69" s="6" t="s">
        <v>953</v>
      </c>
      <c r="F69" s="6" t="s">
        <v>962</v>
      </c>
      <c r="G69" s="6" t="s">
        <v>818</v>
      </c>
      <c r="H69" s="10">
        <f t="shared" si="1"/>
        <v>245</v>
      </c>
      <c r="I69" s="6" t="s">
        <v>963</v>
      </c>
    </row>
    <row r="70" spans="1:9" x14ac:dyDescent="0.3">
      <c r="A70" s="6" t="s">
        <v>964</v>
      </c>
      <c r="B70" s="6" t="s">
        <v>103</v>
      </c>
      <c r="C70" s="6" t="s">
        <v>342</v>
      </c>
      <c r="D70" s="6">
        <v>1</v>
      </c>
      <c r="E70" s="6" t="s">
        <v>818</v>
      </c>
      <c r="F70" s="6" t="s">
        <v>819</v>
      </c>
      <c r="G70" s="6" t="s">
        <v>849</v>
      </c>
      <c r="H70" s="10">
        <f t="shared" si="1"/>
        <v>222.5</v>
      </c>
      <c r="I70" s="6" t="s">
        <v>820</v>
      </c>
    </row>
    <row r="71" spans="1:9" x14ac:dyDescent="0.3">
      <c r="A71" s="6" t="s">
        <v>965</v>
      </c>
      <c r="B71" s="6" t="s">
        <v>105</v>
      </c>
      <c r="C71" s="6" t="s">
        <v>236</v>
      </c>
      <c r="D71" s="6">
        <v>1</v>
      </c>
      <c r="E71" s="6" t="s">
        <v>911</v>
      </c>
      <c r="F71" s="6" t="s">
        <v>966</v>
      </c>
      <c r="G71" s="6" t="s">
        <v>882</v>
      </c>
      <c r="H71" s="10">
        <f t="shared" si="1"/>
        <v>170</v>
      </c>
      <c r="I71" s="6" t="s">
        <v>951</v>
      </c>
    </row>
    <row r="72" spans="1:9" x14ac:dyDescent="0.3">
      <c r="A72" s="6" t="s">
        <v>967</v>
      </c>
      <c r="B72" s="6" t="s">
        <v>107</v>
      </c>
      <c r="C72" s="6" t="s">
        <v>244</v>
      </c>
      <c r="D72" s="6">
        <v>1</v>
      </c>
      <c r="E72" s="6" t="s">
        <v>892</v>
      </c>
      <c r="F72" s="6" t="s">
        <v>943</v>
      </c>
      <c r="G72" s="6" t="s">
        <v>809</v>
      </c>
      <c r="H72" s="10">
        <f t="shared" si="1"/>
        <v>222.5</v>
      </c>
      <c r="I72" s="6" t="s">
        <v>820</v>
      </c>
    </row>
    <row r="73" spans="1:9" x14ac:dyDescent="0.3">
      <c r="A73" s="10" t="s">
        <v>968</v>
      </c>
      <c r="B73" s="10" t="s">
        <v>109</v>
      </c>
      <c r="C73" s="10" t="s">
        <v>587</v>
      </c>
      <c r="D73" s="10">
        <v>1</v>
      </c>
      <c r="E73" s="10">
        <v>7.0000000000000001E-3</v>
      </c>
      <c r="F73" s="10">
        <v>1.4999999999999999E-2</v>
      </c>
      <c r="G73" s="12">
        <v>0.1</v>
      </c>
      <c r="H73" s="10">
        <f t="shared" si="1"/>
        <v>155</v>
      </c>
      <c r="I73" s="10">
        <v>124</v>
      </c>
    </row>
    <row r="74" spans="1:9" x14ac:dyDescent="0.3">
      <c r="A74" s="6" t="s">
        <v>2915</v>
      </c>
      <c r="B74" s="6" t="s">
        <v>2916</v>
      </c>
      <c r="C74" s="6" t="s">
        <v>2811</v>
      </c>
      <c r="D74" s="6">
        <v>1</v>
      </c>
      <c r="E74" s="6">
        <v>1.7999999999999999E-2</v>
      </c>
      <c r="F74" s="6">
        <v>9.0999999999999998E-2</v>
      </c>
      <c r="G74" s="6">
        <v>0.01</v>
      </c>
      <c r="H74" s="10">
        <f t="shared" si="1"/>
        <v>222.5</v>
      </c>
      <c r="I74" s="6" t="s">
        <v>820</v>
      </c>
    </row>
    <row r="75" spans="1:9" x14ac:dyDescent="0.3">
      <c r="A75" s="6" t="s">
        <v>2917</v>
      </c>
      <c r="B75" s="6" t="s">
        <v>2916</v>
      </c>
      <c r="C75" s="6" t="s">
        <v>2835</v>
      </c>
      <c r="D75" s="6">
        <v>1</v>
      </c>
      <c r="E75" s="6">
        <v>8.9999999999999993E-3</v>
      </c>
      <c r="F75" s="6">
        <v>4.3999999999999997E-2</v>
      </c>
      <c r="G75" s="6">
        <v>5.0000000000000001E-3</v>
      </c>
      <c r="H75" s="10">
        <f t="shared" si="1"/>
        <v>222.5</v>
      </c>
      <c r="I75" s="6" t="s">
        <v>820</v>
      </c>
    </row>
    <row r="76" spans="1:9" x14ac:dyDescent="0.3">
      <c r="A76" s="6" t="s">
        <v>2918</v>
      </c>
      <c r="B76" s="6" t="s">
        <v>2916</v>
      </c>
      <c r="C76" s="6" t="s">
        <v>476</v>
      </c>
      <c r="D76" s="6">
        <v>1</v>
      </c>
      <c r="E76" s="6">
        <v>1.4E-2</v>
      </c>
      <c r="F76" s="6">
        <v>7.1999999999999995E-2</v>
      </c>
      <c r="G76" s="6">
        <v>8.0000000000000002E-3</v>
      </c>
      <c r="H76" s="10">
        <f t="shared" si="1"/>
        <v>222.5</v>
      </c>
      <c r="I76" s="6" t="s">
        <v>820</v>
      </c>
    </row>
    <row r="77" spans="1:9" x14ac:dyDescent="0.3">
      <c r="A77" s="6" t="s">
        <v>969</v>
      </c>
      <c r="B77" s="6" t="s">
        <v>111</v>
      </c>
      <c r="C77" s="6" t="s">
        <v>223</v>
      </c>
      <c r="D77" s="6">
        <v>1</v>
      </c>
      <c r="E77" s="6" t="s">
        <v>970</v>
      </c>
      <c r="F77" s="6" t="s">
        <v>971</v>
      </c>
      <c r="G77" s="6" t="s">
        <v>847</v>
      </c>
      <c r="H77" s="10">
        <f t="shared" si="1"/>
        <v>123.75</v>
      </c>
      <c r="I77" s="6" t="s">
        <v>812</v>
      </c>
    </row>
    <row r="78" spans="1:9" x14ac:dyDescent="0.3">
      <c r="A78" s="6" t="s">
        <v>972</v>
      </c>
      <c r="B78" s="6" t="s">
        <v>111</v>
      </c>
      <c r="C78" s="6" t="s">
        <v>761</v>
      </c>
      <c r="D78" s="6">
        <v>1</v>
      </c>
      <c r="E78" s="6" t="s">
        <v>853</v>
      </c>
      <c r="F78" s="6" t="s">
        <v>973</v>
      </c>
      <c r="G78" s="6" t="s">
        <v>892</v>
      </c>
      <c r="H78" s="10">
        <f t="shared" si="1"/>
        <v>170</v>
      </c>
      <c r="I78" s="6" t="s">
        <v>951</v>
      </c>
    </row>
    <row r="79" spans="1:9" x14ac:dyDescent="0.3">
      <c r="A79" s="6" t="s">
        <v>974</v>
      </c>
      <c r="B79" s="6" t="s">
        <v>113</v>
      </c>
      <c r="C79" s="6" t="s">
        <v>199</v>
      </c>
      <c r="D79" s="6">
        <v>1</v>
      </c>
      <c r="E79" s="6" t="s">
        <v>970</v>
      </c>
      <c r="F79" s="6" t="s">
        <v>975</v>
      </c>
      <c r="G79" s="6" t="s">
        <v>901</v>
      </c>
      <c r="H79" s="10">
        <f t="shared" si="1"/>
        <v>243.75</v>
      </c>
      <c r="I79" s="6" t="s">
        <v>976</v>
      </c>
    </row>
    <row r="80" spans="1:9" x14ac:dyDescent="0.3">
      <c r="A80" s="6" t="s">
        <v>977</v>
      </c>
      <c r="B80" s="6" t="s">
        <v>113</v>
      </c>
      <c r="C80" s="6" t="s">
        <v>228</v>
      </c>
      <c r="D80" s="6">
        <v>1</v>
      </c>
      <c r="E80" s="6" t="s">
        <v>831</v>
      </c>
      <c r="F80" s="6" t="s">
        <v>847</v>
      </c>
      <c r="G80" s="6" t="s">
        <v>827</v>
      </c>
      <c r="H80" s="10">
        <f t="shared" si="1"/>
        <v>222.5</v>
      </c>
      <c r="I80" s="6" t="s">
        <v>820</v>
      </c>
    </row>
    <row r="81" spans="1:9" x14ac:dyDescent="0.3">
      <c r="A81" s="6" t="s">
        <v>978</v>
      </c>
      <c r="B81" s="6" t="s">
        <v>113</v>
      </c>
      <c r="C81" s="6" t="s">
        <v>594</v>
      </c>
      <c r="D81" s="6">
        <v>1</v>
      </c>
      <c r="E81" s="6" t="s">
        <v>823</v>
      </c>
      <c r="F81" s="6" t="s">
        <v>926</v>
      </c>
      <c r="G81" s="6" t="s">
        <v>882</v>
      </c>
      <c r="H81" s="10">
        <f t="shared" si="1"/>
        <v>222.5</v>
      </c>
      <c r="I81" s="6" t="s">
        <v>820</v>
      </c>
    </row>
    <row r="82" spans="1:9" x14ac:dyDescent="0.3">
      <c r="A82" s="6" t="s">
        <v>979</v>
      </c>
      <c r="B82" s="6" t="s">
        <v>113</v>
      </c>
      <c r="C82" s="6" t="s">
        <v>710</v>
      </c>
      <c r="D82" s="6">
        <v>1</v>
      </c>
      <c r="E82" s="6" t="s">
        <v>827</v>
      </c>
      <c r="F82" s="6" t="s">
        <v>849</v>
      </c>
      <c r="G82" s="6" t="s">
        <v>980</v>
      </c>
      <c r="H82" s="10">
        <f t="shared" si="1"/>
        <v>240</v>
      </c>
      <c r="I82" s="6" t="s">
        <v>981</v>
      </c>
    </row>
    <row r="83" spans="1:9" x14ac:dyDescent="0.3">
      <c r="A83" s="6" t="s">
        <v>982</v>
      </c>
      <c r="B83" s="6" t="s">
        <v>113</v>
      </c>
      <c r="C83" s="6" t="s">
        <v>710</v>
      </c>
      <c r="D83" s="6">
        <v>1</v>
      </c>
      <c r="E83" s="6" t="s">
        <v>827</v>
      </c>
      <c r="F83" s="6" t="s">
        <v>849</v>
      </c>
      <c r="G83" s="6" t="s">
        <v>980</v>
      </c>
      <c r="H83" s="10">
        <f t="shared" si="1"/>
        <v>233.75</v>
      </c>
      <c r="I83" s="6" t="s">
        <v>983</v>
      </c>
    </row>
    <row r="84" spans="1:9" x14ac:dyDescent="0.3">
      <c r="A84" s="6" t="s">
        <v>984</v>
      </c>
      <c r="B84" s="6" t="s">
        <v>117</v>
      </c>
      <c r="C84" s="6" t="s">
        <v>312</v>
      </c>
      <c r="D84" s="6">
        <v>1</v>
      </c>
      <c r="E84" s="6" t="s">
        <v>849</v>
      </c>
      <c r="F84" s="6" t="s">
        <v>818</v>
      </c>
      <c r="G84" s="6" t="s">
        <v>985</v>
      </c>
      <c r="H84" s="10">
        <f t="shared" si="1"/>
        <v>150</v>
      </c>
      <c r="I84" s="6" t="s">
        <v>896</v>
      </c>
    </row>
    <row r="85" spans="1:9" x14ac:dyDescent="0.3">
      <c r="A85" s="6" t="s">
        <v>986</v>
      </c>
      <c r="B85" s="6" t="s">
        <v>118</v>
      </c>
      <c r="C85" s="6" t="s">
        <v>201</v>
      </c>
      <c r="D85" s="6">
        <v>1</v>
      </c>
      <c r="E85" s="6" t="s">
        <v>826</v>
      </c>
      <c r="F85" s="6" t="s">
        <v>827</v>
      </c>
      <c r="G85" s="6" t="s">
        <v>847</v>
      </c>
      <c r="H85" s="10">
        <f t="shared" si="1"/>
        <v>233.75</v>
      </c>
      <c r="I85" s="6" t="s">
        <v>983</v>
      </c>
    </row>
    <row r="86" spans="1:9" x14ac:dyDescent="0.3">
      <c r="A86" s="6" t="s">
        <v>987</v>
      </c>
      <c r="B86" s="6" t="s">
        <v>118</v>
      </c>
      <c r="C86" s="6" t="s">
        <v>201</v>
      </c>
      <c r="D86" s="6">
        <v>1</v>
      </c>
      <c r="E86" s="6" t="s">
        <v>826</v>
      </c>
      <c r="F86" s="6" t="s">
        <v>827</v>
      </c>
      <c r="G86" s="6" t="s">
        <v>847</v>
      </c>
      <c r="H86" s="10">
        <f t="shared" si="1"/>
        <v>233.75</v>
      </c>
      <c r="I86" s="6" t="s">
        <v>983</v>
      </c>
    </row>
    <row r="87" spans="1:9" x14ac:dyDescent="0.3">
      <c r="A87" s="6" t="s">
        <v>2919</v>
      </c>
      <c r="B87" s="6" t="s">
        <v>118</v>
      </c>
      <c r="C87" s="6" t="s">
        <v>466</v>
      </c>
      <c r="D87" s="6">
        <v>1</v>
      </c>
      <c r="E87" s="6" t="s">
        <v>826</v>
      </c>
      <c r="F87" s="6" t="s">
        <v>827</v>
      </c>
      <c r="G87" s="6">
        <v>8.0000000000000002E-3</v>
      </c>
      <c r="H87" s="10">
        <f t="shared" si="1"/>
        <v>233.75</v>
      </c>
      <c r="I87" s="6" t="s">
        <v>983</v>
      </c>
    </row>
    <row r="88" spans="1:9" x14ac:dyDescent="0.3">
      <c r="A88" s="6" t="s">
        <v>988</v>
      </c>
      <c r="B88" s="6" t="s">
        <v>120</v>
      </c>
      <c r="C88" s="6" t="s">
        <v>658</v>
      </c>
      <c r="D88" s="6">
        <v>1</v>
      </c>
      <c r="E88" s="6" t="s">
        <v>831</v>
      </c>
      <c r="F88" s="6" t="s">
        <v>849</v>
      </c>
      <c r="G88" s="6" t="s">
        <v>989</v>
      </c>
      <c r="H88" s="10">
        <f t="shared" si="1"/>
        <v>148.75</v>
      </c>
      <c r="I88" s="6" t="s">
        <v>990</v>
      </c>
    </row>
    <row r="89" spans="1:9" x14ac:dyDescent="0.3">
      <c r="A89" s="6" t="s">
        <v>991</v>
      </c>
      <c r="B89" s="6" t="s">
        <v>120</v>
      </c>
      <c r="C89" s="6" t="s">
        <v>672</v>
      </c>
      <c r="D89" s="6">
        <v>1</v>
      </c>
      <c r="E89" s="6" t="s">
        <v>822</v>
      </c>
      <c r="F89" s="6" t="s">
        <v>811</v>
      </c>
      <c r="G89" s="6" t="s">
        <v>992</v>
      </c>
      <c r="H89" s="10">
        <f t="shared" si="1"/>
        <v>148.75</v>
      </c>
      <c r="I89" s="6" t="s">
        <v>990</v>
      </c>
    </row>
    <row r="90" spans="1:9" x14ac:dyDescent="0.3">
      <c r="A90" s="6" t="s">
        <v>993</v>
      </c>
      <c r="B90" s="6" t="s">
        <v>124</v>
      </c>
      <c r="C90" s="6" t="s">
        <v>379</v>
      </c>
      <c r="D90" s="6">
        <v>1</v>
      </c>
      <c r="E90" s="6" t="s">
        <v>826</v>
      </c>
      <c r="F90" s="6" t="s">
        <v>831</v>
      </c>
      <c r="G90" s="6" t="s">
        <v>994</v>
      </c>
      <c r="H90" s="10">
        <f t="shared" si="1"/>
        <v>712.5</v>
      </c>
      <c r="I90" s="6" t="s">
        <v>995</v>
      </c>
    </row>
    <row r="91" spans="1:9" x14ac:dyDescent="0.3">
      <c r="A91" s="6" t="s">
        <v>2959</v>
      </c>
      <c r="B91" s="6" t="s">
        <v>124</v>
      </c>
      <c r="C91" s="6" t="s">
        <v>705</v>
      </c>
      <c r="D91" s="6">
        <v>1</v>
      </c>
      <c r="E91" s="6">
        <v>1E-3</v>
      </c>
      <c r="F91" s="6">
        <v>3.0000000000000001E-3</v>
      </c>
      <c r="G91" s="6">
        <v>0.77700000000000002</v>
      </c>
      <c r="H91" s="10">
        <f t="shared" si="1"/>
        <v>712.5</v>
      </c>
      <c r="I91" s="6">
        <v>570</v>
      </c>
    </row>
    <row r="92" spans="1:9" x14ac:dyDescent="0.3">
      <c r="A92" s="6" t="s">
        <v>996</v>
      </c>
      <c r="B92" s="6" t="s">
        <v>122</v>
      </c>
      <c r="C92" s="6" t="s">
        <v>427</v>
      </c>
      <c r="D92" s="6">
        <v>1</v>
      </c>
      <c r="E92" s="6" t="s">
        <v>997</v>
      </c>
      <c r="F92" s="6" t="s">
        <v>846</v>
      </c>
      <c r="G92" s="6" t="s">
        <v>953</v>
      </c>
      <c r="H92" s="10">
        <f t="shared" si="1"/>
        <v>175</v>
      </c>
      <c r="I92" s="6" t="s">
        <v>851</v>
      </c>
    </row>
    <row r="93" spans="1:9" x14ac:dyDescent="0.3">
      <c r="A93" s="6" t="s">
        <v>998</v>
      </c>
      <c r="B93" s="6" t="s">
        <v>122</v>
      </c>
      <c r="C93" s="6" t="s">
        <v>480</v>
      </c>
      <c r="D93" s="6">
        <v>1</v>
      </c>
      <c r="E93" s="6" t="s">
        <v>831</v>
      </c>
      <c r="F93" s="6" t="s">
        <v>846</v>
      </c>
      <c r="G93" s="6" t="s">
        <v>958</v>
      </c>
      <c r="H93" s="10">
        <f t="shared" si="1"/>
        <v>175</v>
      </c>
      <c r="I93" s="6" t="s">
        <v>851</v>
      </c>
    </row>
    <row r="94" spans="1:9" x14ac:dyDescent="0.3">
      <c r="A94" s="6" t="s">
        <v>2920</v>
      </c>
      <c r="B94" s="6" t="s">
        <v>122</v>
      </c>
      <c r="C94" s="6" t="s">
        <v>591</v>
      </c>
      <c r="D94" s="6">
        <v>1</v>
      </c>
      <c r="E94" s="6">
        <v>3.0000000000000001E-3</v>
      </c>
      <c r="F94" s="6">
        <v>2E-3</v>
      </c>
      <c r="G94" s="6">
        <v>0.19500000000000001</v>
      </c>
      <c r="H94" s="10">
        <f t="shared" si="1"/>
        <v>1052.5</v>
      </c>
      <c r="I94" s="6">
        <v>842</v>
      </c>
    </row>
    <row r="95" spans="1:9" x14ac:dyDescent="0.3">
      <c r="A95" s="6" t="s">
        <v>999</v>
      </c>
      <c r="B95" s="6" t="s">
        <v>126</v>
      </c>
      <c r="C95" s="6" t="s">
        <v>337</v>
      </c>
      <c r="D95" s="6">
        <v>1</v>
      </c>
      <c r="E95" s="6" t="s">
        <v>1000</v>
      </c>
      <c r="F95" s="6" t="s">
        <v>1001</v>
      </c>
      <c r="G95" s="6" t="s">
        <v>882</v>
      </c>
      <c r="H95" s="10">
        <f t="shared" si="1"/>
        <v>131.25</v>
      </c>
      <c r="I95" s="6" t="s">
        <v>862</v>
      </c>
    </row>
    <row r="96" spans="1:9" x14ac:dyDescent="0.3">
      <c r="A96" s="6" t="s">
        <v>1002</v>
      </c>
      <c r="B96" s="6" t="s">
        <v>128</v>
      </c>
      <c r="C96" s="6" t="s">
        <v>128</v>
      </c>
      <c r="D96" s="10">
        <v>0</v>
      </c>
      <c r="E96" s="6" t="s">
        <v>827</v>
      </c>
      <c r="F96" s="6" t="s">
        <v>831</v>
      </c>
      <c r="G96" s="6" t="s">
        <v>826</v>
      </c>
      <c r="H96" s="10">
        <f t="shared" si="1"/>
        <v>170</v>
      </c>
      <c r="I96" s="6" t="s">
        <v>951</v>
      </c>
    </row>
    <row r="97" spans="1:9" x14ac:dyDescent="0.3">
      <c r="A97" s="6" t="s">
        <v>1003</v>
      </c>
      <c r="B97" s="6" t="s">
        <v>132</v>
      </c>
      <c r="C97" s="6" t="s">
        <v>467</v>
      </c>
      <c r="D97" s="6">
        <v>1</v>
      </c>
      <c r="E97" s="6" t="s">
        <v>938</v>
      </c>
      <c r="F97" s="6" t="s">
        <v>1004</v>
      </c>
      <c r="G97" s="6" t="s">
        <v>822</v>
      </c>
      <c r="H97" s="10">
        <f t="shared" si="1"/>
        <v>136.25</v>
      </c>
      <c r="I97" s="6" t="s">
        <v>859</v>
      </c>
    </row>
    <row r="98" spans="1:9" x14ac:dyDescent="0.3">
      <c r="A98" s="6" t="s">
        <v>1005</v>
      </c>
      <c r="B98" s="6" t="s">
        <v>132</v>
      </c>
      <c r="C98" s="6" t="s">
        <v>467</v>
      </c>
      <c r="D98" s="6">
        <v>1</v>
      </c>
      <c r="E98" s="6" t="s">
        <v>911</v>
      </c>
      <c r="F98" s="6" t="s">
        <v>943</v>
      </c>
      <c r="G98" s="6" t="s">
        <v>849</v>
      </c>
      <c r="H98" s="10">
        <f t="shared" si="1"/>
        <v>136.25</v>
      </c>
      <c r="I98" s="6" t="s">
        <v>859</v>
      </c>
    </row>
    <row r="99" spans="1:9" x14ac:dyDescent="0.3">
      <c r="A99" s="6" t="s">
        <v>1006</v>
      </c>
      <c r="B99" s="6" t="s">
        <v>136</v>
      </c>
      <c r="C99" s="6" t="s">
        <v>191</v>
      </c>
      <c r="D99" s="6">
        <v>1</v>
      </c>
      <c r="E99" s="6" t="s">
        <v>861</v>
      </c>
      <c r="F99" s="6" t="s">
        <v>1007</v>
      </c>
      <c r="G99" s="6" t="s">
        <v>818</v>
      </c>
      <c r="H99" s="10">
        <f t="shared" si="1"/>
        <v>102.5</v>
      </c>
      <c r="I99" s="6" t="s">
        <v>875</v>
      </c>
    </row>
    <row r="100" spans="1:9" x14ac:dyDescent="0.3">
      <c r="A100" s="6" t="s">
        <v>1008</v>
      </c>
      <c r="B100" s="6" t="s">
        <v>136</v>
      </c>
      <c r="C100" s="6" t="s">
        <v>191</v>
      </c>
      <c r="D100" s="6">
        <v>1</v>
      </c>
      <c r="E100" s="6" t="s">
        <v>861</v>
      </c>
      <c r="F100" s="6" t="s">
        <v>1007</v>
      </c>
      <c r="G100" s="6" t="s">
        <v>818</v>
      </c>
      <c r="H100" s="10">
        <f t="shared" si="1"/>
        <v>102.5</v>
      </c>
      <c r="I100" s="6" t="s">
        <v>875</v>
      </c>
    </row>
    <row r="101" spans="1:9" x14ac:dyDescent="0.3">
      <c r="A101" s="6" t="s">
        <v>1009</v>
      </c>
      <c r="B101" s="6" t="s">
        <v>140</v>
      </c>
      <c r="C101" s="6" t="s">
        <v>339</v>
      </c>
      <c r="D101" s="6">
        <v>1</v>
      </c>
      <c r="E101" s="6" t="s">
        <v>846</v>
      </c>
      <c r="F101" s="6" t="s">
        <v>846</v>
      </c>
      <c r="G101" s="6" t="s">
        <v>970</v>
      </c>
      <c r="H101" s="10">
        <f t="shared" si="1"/>
        <v>93.75</v>
      </c>
      <c r="I101" s="6" t="s">
        <v>1010</v>
      </c>
    </row>
    <row r="102" spans="1:9" x14ac:dyDescent="0.3">
      <c r="A102" s="6" t="s">
        <v>1011</v>
      </c>
      <c r="B102" s="6" t="s">
        <v>140</v>
      </c>
      <c r="C102" s="6" t="s">
        <v>339</v>
      </c>
      <c r="D102" s="6">
        <v>1</v>
      </c>
      <c r="E102" s="6" t="s">
        <v>846</v>
      </c>
      <c r="F102" s="6" t="s">
        <v>846</v>
      </c>
      <c r="G102" s="6" t="s">
        <v>970</v>
      </c>
      <c r="H102" s="10">
        <f t="shared" si="1"/>
        <v>93.75</v>
      </c>
      <c r="I102" s="6" t="s">
        <v>1010</v>
      </c>
    </row>
    <row r="103" spans="1:9" x14ac:dyDescent="0.3">
      <c r="A103" s="10" t="s">
        <v>1012</v>
      </c>
      <c r="B103" s="10" t="s">
        <v>144</v>
      </c>
      <c r="C103" s="8" t="s">
        <v>783</v>
      </c>
      <c r="D103" s="10">
        <v>1</v>
      </c>
      <c r="E103" s="10">
        <f>0.018/2</f>
        <v>8.9999999999999993E-3</v>
      </c>
      <c r="F103" s="10">
        <f>0.081/2</f>
        <v>4.0500000000000001E-2</v>
      </c>
      <c r="G103" s="10">
        <f>0.009/2</f>
        <v>4.4999999999999997E-3</v>
      </c>
      <c r="H103" s="10">
        <f t="shared" si="1"/>
        <v>222.5</v>
      </c>
      <c r="I103" s="10" t="s">
        <v>820</v>
      </c>
    </row>
    <row r="104" spans="1:9" x14ac:dyDescent="0.3">
      <c r="A104" s="10" t="s">
        <v>1013</v>
      </c>
      <c r="B104" s="8" t="s">
        <v>783</v>
      </c>
      <c r="C104" s="10" t="s">
        <v>283</v>
      </c>
      <c r="D104" s="10">
        <v>1</v>
      </c>
      <c r="E104" s="10">
        <f>0.018/2</f>
        <v>8.9999999999999993E-3</v>
      </c>
      <c r="F104" s="10">
        <f>0.081/2</f>
        <v>4.0500000000000001E-2</v>
      </c>
      <c r="G104" s="10">
        <f>0.009/2</f>
        <v>4.4999999999999997E-3</v>
      </c>
      <c r="H104" s="10">
        <f t="shared" si="1"/>
        <v>222.5</v>
      </c>
      <c r="I104" s="10" t="s">
        <v>820</v>
      </c>
    </row>
    <row r="105" spans="1:9" x14ac:dyDescent="0.3">
      <c r="A105" s="6" t="s">
        <v>1014</v>
      </c>
      <c r="B105" s="6" t="s">
        <v>146</v>
      </c>
      <c r="C105" s="6" t="s">
        <v>370</v>
      </c>
      <c r="D105" s="6">
        <v>1</v>
      </c>
      <c r="E105" s="6" t="s">
        <v>1015</v>
      </c>
      <c r="F105" s="6" t="s">
        <v>1016</v>
      </c>
      <c r="G105" s="6" t="s">
        <v>842</v>
      </c>
      <c r="H105" s="10">
        <f t="shared" si="1"/>
        <v>222.5</v>
      </c>
      <c r="I105" s="6" t="s">
        <v>820</v>
      </c>
    </row>
    <row r="106" spans="1:9" x14ac:dyDescent="0.3">
      <c r="A106" s="6" t="s">
        <v>1017</v>
      </c>
      <c r="B106" s="6" t="s">
        <v>146</v>
      </c>
      <c r="C106" s="6" t="s">
        <v>751</v>
      </c>
      <c r="D106" s="6">
        <v>1</v>
      </c>
      <c r="E106" s="6" t="s">
        <v>816</v>
      </c>
      <c r="F106" s="6" t="s">
        <v>864</v>
      </c>
      <c r="G106" s="6" t="s">
        <v>811</v>
      </c>
      <c r="H106" s="10">
        <f t="shared" si="1"/>
        <v>222.5</v>
      </c>
      <c r="I106" s="6" t="s">
        <v>820</v>
      </c>
    </row>
    <row r="107" spans="1:9" x14ac:dyDescent="0.3">
      <c r="A107" s="6" t="s">
        <v>1018</v>
      </c>
      <c r="B107" s="6" t="s">
        <v>148</v>
      </c>
      <c r="C107" s="6" t="s">
        <v>166</v>
      </c>
      <c r="D107" s="6">
        <v>1</v>
      </c>
      <c r="E107" s="6" t="s">
        <v>907</v>
      </c>
      <c r="F107" s="6" t="s">
        <v>1019</v>
      </c>
      <c r="G107" s="6" t="s">
        <v>811</v>
      </c>
      <c r="H107" s="10">
        <f t="shared" si="1"/>
        <v>102.5</v>
      </c>
      <c r="I107" s="6" t="s">
        <v>875</v>
      </c>
    </row>
    <row r="108" spans="1:9" x14ac:dyDescent="0.3">
      <c r="A108" s="6" t="s">
        <v>1020</v>
      </c>
      <c r="B108" s="6" t="s">
        <v>148</v>
      </c>
      <c r="C108" s="6" t="s">
        <v>166</v>
      </c>
      <c r="D108" s="6">
        <v>1</v>
      </c>
      <c r="E108" s="6" t="s">
        <v>907</v>
      </c>
      <c r="F108" s="6" t="s">
        <v>1019</v>
      </c>
      <c r="G108" s="6" t="s">
        <v>811</v>
      </c>
      <c r="H108" s="10">
        <f t="shared" si="1"/>
        <v>102.5</v>
      </c>
      <c r="I108" s="6" t="s">
        <v>875</v>
      </c>
    </row>
    <row r="109" spans="1:9" x14ac:dyDescent="0.3">
      <c r="A109" s="6" t="s">
        <v>1021</v>
      </c>
      <c r="B109" s="6" t="s">
        <v>150</v>
      </c>
      <c r="C109" s="6" t="s">
        <v>174</v>
      </c>
      <c r="D109" s="6">
        <v>1</v>
      </c>
      <c r="E109" s="6" t="s">
        <v>826</v>
      </c>
      <c r="F109" s="10">
        <v>1E-3</v>
      </c>
      <c r="G109" s="6" t="s">
        <v>831</v>
      </c>
      <c r="H109" s="10">
        <f t="shared" si="1"/>
        <v>887.5</v>
      </c>
      <c r="I109" s="6" t="s">
        <v>1022</v>
      </c>
    </row>
    <row r="110" spans="1:9" x14ac:dyDescent="0.3">
      <c r="A110" s="6" t="s">
        <v>1023</v>
      </c>
      <c r="B110" s="6" t="s">
        <v>148</v>
      </c>
      <c r="C110" s="6" t="s">
        <v>368</v>
      </c>
      <c r="D110" s="6">
        <v>1</v>
      </c>
      <c r="E110" s="6" t="s">
        <v>907</v>
      </c>
      <c r="F110" s="10" t="s">
        <v>878</v>
      </c>
      <c r="G110" s="6" t="s">
        <v>846</v>
      </c>
      <c r="H110" s="10">
        <f t="shared" si="1"/>
        <v>86.25</v>
      </c>
      <c r="I110" s="6" t="s">
        <v>1024</v>
      </c>
    </row>
    <row r="111" spans="1:9" x14ac:dyDescent="0.3">
      <c r="A111" s="6" t="s">
        <v>1025</v>
      </c>
      <c r="B111" s="6" t="s">
        <v>148</v>
      </c>
      <c r="C111" s="6" t="s">
        <v>368</v>
      </c>
      <c r="D111" s="6">
        <v>1</v>
      </c>
      <c r="E111" s="6" t="s">
        <v>907</v>
      </c>
      <c r="F111" s="6" t="s">
        <v>970</v>
      </c>
      <c r="G111" s="6" t="s">
        <v>846</v>
      </c>
      <c r="H111" s="10">
        <f t="shared" si="1"/>
        <v>87.5</v>
      </c>
      <c r="I111" s="6" t="s">
        <v>1026</v>
      </c>
    </row>
    <row r="112" spans="1:9" x14ac:dyDescent="0.3">
      <c r="A112" s="6" t="s">
        <v>1027</v>
      </c>
      <c r="B112" s="6" t="s">
        <v>150</v>
      </c>
      <c r="C112" s="6" t="s">
        <v>442</v>
      </c>
      <c r="D112" s="6">
        <v>1</v>
      </c>
      <c r="E112" s="6" t="s">
        <v>831</v>
      </c>
      <c r="F112" s="6" t="s">
        <v>858</v>
      </c>
      <c r="G112" s="6" t="s">
        <v>1028</v>
      </c>
      <c r="H112" s="10">
        <f t="shared" si="1"/>
        <v>887.5</v>
      </c>
      <c r="I112" s="6" t="s">
        <v>1022</v>
      </c>
    </row>
    <row r="113" spans="1:9" x14ac:dyDescent="0.3">
      <c r="A113" s="6" t="s">
        <v>1029</v>
      </c>
      <c r="B113" s="6" t="s">
        <v>150</v>
      </c>
      <c r="C113" s="6" t="s">
        <v>469</v>
      </c>
      <c r="D113" s="6">
        <v>1</v>
      </c>
      <c r="E113" s="6" t="s">
        <v>831</v>
      </c>
      <c r="F113" s="6" t="s">
        <v>901</v>
      </c>
      <c r="G113" s="6" t="s">
        <v>933</v>
      </c>
      <c r="H113" s="10">
        <f t="shared" si="1"/>
        <v>887.5</v>
      </c>
      <c r="I113" s="6" t="s">
        <v>1022</v>
      </c>
    </row>
    <row r="114" spans="1:9" x14ac:dyDescent="0.3">
      <c r="A114" s="6" t="s">
        <v>1030</v>
      </c>
      <c r="B114" s="6" t="s">
        <v>150</v>
      </c>
      <c r="C114" s="6" t="s">
        <v>563</v>
      </c>
      <c r="D114" s="6">
        <v>1</v>
      </c>
      <c r="E114" s="6" t="s">
        <v>822</v>
      </c>
      <c r="F114" s="6" t="s">
        <v>809</v>
      </c>
      <c r="G114" s="6" t="s">
        <v>1031</v>
      </c>
      <c r="H114" s="10">
        <f t="shared" si="1"/>
        <v>887.5</v>
      </c>
      <c r="I114" s="6" t="s">
        <v>1022</v>
      </c>
    </row>
    <row r="115" spans="1:9" x14ac:dyDescent="0.3">
      <c r="A115" s="6" t="s">
        <v>1032</v>
      </c>
      <c r="B115" s="6" t="s">
        <v>154</v>
      </c>
      <c r="C115" s="6" t="s">
        <v>685</v>
      </c>
      <c r="D115" s="6">
        <v>1</v>
      </c>
      <c r="E115" s="6" t="s">
        <v>882</v>
      </c>
      <c r="F115" s="6" t="s">
        <v>947</v>
      </c>
      <c r="G115" s="6" t="s">
        <v>1033</v>
      </c>
      <c r="H115" s="10">
        <f t="shared" si="1"/>
        <v>180</v>
      </c>
      <c r="I115" s="6" t="s">
        <v>1034</v>
      </c>
    </row>
    <row r="116" spans="1:9" x14ac:dyDescent="0.3">
      <c r="A116" s="6" t="s">
        <v>1035</v>
      </c>
      <c r="B116" s="6" t="s">
        <v>158</v>
      </c>
      <c r="C116" s="6" t="s">
        <v>664</v>
      </c>
      <c r="D116" s="6">
        <v>1</v>
      </c>
      <c r="E116" s="6" t="s">
        <v>822</v>
      </c>
      <c r="F116" s="6" t="s">
        <v>811</v>
      </c>
      <c r="G116" s="6" t="s">
        <v>827</v>
      </c>
      <c r="H116" s="10">
        <f t="shared" si="1"/>
        <v>78.75</v>
      </c>
      <c r="I116" s="6" t="s">
        <v>1036</v>
      </c>
    </row>
    <row r="117" spans="1:9" x14ac:dyDescent="0.3">
      <c r="A117" s="6" t="s">
        <v>1037</v>
      </c>
      <c r="B117" s="6" t="s">
        <v>158</v>
      </c>
      <c r="C117" s="6" t="s">
        <v>664</v>
      </c>
      <c r="D117" s="6">
        <v>1</v>
      </c>
      <c r="E117" s="6" t="s">
        <v>831</v>
      </c>
      <c r="F117" s="6" t="s">
        <v>811</v>
      </c>
      <c r="G117" s="6" t="s">
        <v>827</v>
      </c>
      <c r="H117" s="10">
        <f t="shared" si="1"/>
        <v>123.75</v>
      </c>
      <c r="I117" s="6" t="s">
        <v>812</v>
      </c>
    </row>
    <row r="118" spans="1:9" x14ac:dyDescent="0.3">
      <c r="A118" s="6" t="s">
        <v>1038</v>
      </c>
      <c r="B118" s="6" t="s">
        <v>160</v>
      </c>
      <c r="C118" s="6" t="s">
        <v>248</v>
      </c>
      <c r="D118" s="6">
        <v>1</v>
      </c>
      <c r="E118" s="6" t="s">
        <v>1039</v>
      </c>
      <c r="F118" s="6" t="s">
        <v>1040</v>
      </c>
      <c r="G118" s="6" t="s">
        <v>924</v>
      </c>
      <c r="H118" s="10">
        <f t="shared" si="1"/>
        <v>712.5</v>
      </c>
      <c r="I118" s="6" t="s">
        <v>995</v>
      </c>
    </row>
    <row r="119" spans="1:9" x14ac:dyDescent="0.3">
      <c r="A119" s="6" t="s">
        <v>1041</v>
      </c>
      <c r="B119" s="6" t="s">
        <v>160</v>
      </c>
      <c r="C119" s="6" t="s">
        <v>248</v>
      </c>
      <c r="D119" s="6">
        <v>1</v>
      </c>
      <c r="E119" s="6" t="s">
        <v>1039</v>
      </c>
      <c r="F119" s="6" t="s">
        <v>1040</v>
      </c>
      <c r="G119" s="6" t="s">
        <v>924</v>
      </c>
      <c r="H119" s="10">
        <f t="shared" si="1"/>
        <v>712.5</v>
      </c>
      <c r="I119" s="6" t="s">
        <v>995</v>
      </c>
    </row>
    <row r="120" spans="1:9" x14ac:dyDescent="0.3">
      <c r="A120" s="6" t="s">
        <v>1042</v>
      </c>
      <c r="B120" s="6" t="s">
        <v>164</v>
      </c>
      <c r="C120" s="6" t="s">
        <v>306</v>
      </c>
      <c r="D120" s="6">
        <v>1</v>
      </c>
      <c r="E120" s="6" t="s">
        <v>892</v>
      </c>
      <c r="F120" s="6" t="s">
        <v>828</v>
      </c>
      <c r="G120" s="6" t="s">
        <v>938</v>
      </c>
      <c r="H120" s="10">
        <f t="shared" si="1"/>
        <v>222.5</v>
      </c>
      <c r="I120" s="6" t="s">
        <v>820</v>
      </c>
    </row>
    <row r="121" spans="1:9" x14ac:dyDescent="0.3">
      <c r="A121" s="6" t="s">
        <v>1043</v>
      </c>
      <c r="B121" s="6" t="s">
        <v>164</v>
      </c>
      <c r="C121" s="6" t="s">
        <v>516</v>
      </c>
      <c r="D121" s="6">
        <v>1</v>
      </c>
      <c r="E121" s="6" t="s">
        <v>849</v>
      </c>
      <c r="F121" s="6" t="s">
        <v>882</v>
      </c>
      <c r="G121" s="6" t="s">
        <v>827</v>
      </c>
      <c r="H121" s="10">
        <f t="shared" si="1"/>
        <v>250</v>
      </c>
      <c r="I121" s="6" t="s">
        <v>29</v>
      </c>
    </row>
    <row r="122" spans="1:9" x14ac:dyDescent="0.3">
      <c r="A122" s="6" t="s">
        <v>1044</v>
      </c>
      <c r="B122" s="6" t="s">
        <v>166</v>
      </c>
      <c r="C122" s="6" t="s">
        <v>467</v>
      </c>
      <c r="D122" s="6">
        <v>1</v>
      </c>
      <c r="E122" s="6" t="s">
        <v>861</v>
      </c>
      <c r="F122" s="6" t="s">
        <v>1045</v>
      </c>
      <c r="G122" s="6" t="s">
        <v>818</v>
      </c>
      <c r="H122" s="10">
        <f t="shared" si="1"/>
        <v>136.25</v>
      </c>
      <c r="I122" s="6" t="s">
        <v>859</v>
      </c>
    </row>
    <row r="123" spans="1:9" x14ac:dyDescent="0.3">
      <c r="A123" s="6" t="s">
        <v>1046</v>
      </c>
      <c r="B123" s="6" t="s">
        <v>166</v>
      </c>
      <c r="C123" s="6" t="s">
        <v>467</v>
      </c>
      <c r="D123" s="6">
        <v>1</v>
      </c>
      <c r="E123" s="6" t="s">
        <v>809</v>
      </c>
      <c r="F123" s="6" t="s">
        <v>918</v>
      </c>
      <c r="G123" s="6" t="s">
        <v>818</v>
      </c>
      <c r="H123" s="10">
        <f t="shared" si="1"/>
        <v>136.25</v>
      </c>
      <c r="I123" s="6" t="s">
        <v>859</v>
      </c>
    </row>
    <row r="124" spans="1:9" x14ac:dyDescent="0.3">
      <c r="A124" s="6" t="s">
        <v>1047</v>
      </c>
      <c r="B124" s="6" t="s">
        <v>166</v>
      </c>
      <c r="C124" s="6" t="s">
        <v>525</v>
      </c>
      <c r="D124" s="6">
        <v>1</v>
      </c>
      <c r="E124" s="6" t="s">
        <v>818</v>
      </c>
      <c r="F124" s="6" t="s">
        <v>907</v>
      </c>
      <c r="G124" s="6" t="s">
        <v>831</v>
      </c>
      <c r="H124" s="10">
        <f t="shared" si="1"/>
        <v>98.75</v>
      </c>
      <c r="I124" s="6" t="s">
        <v>1048</v>
      </c>
    </row>
    <row r="125" spans="1:9" x14ac:dyDescent="0.3">
      <c r="A125" s="6" t="s">
        <v>1049</v>
      </c>
      <c r="B125" s="6" t="s">
        <v>166</v>
      </c>
      <c r="C125" s="6" t="s">
        <v>525</v>
      </c>
      <c r="D125" s="6">
        <v>1</v>
      </c>
      <c r="E125" s="6" t="s">
        <v>818</v>
      </c>
      <c r="F125" s="6" t="s">
        <v>907</v>
      </c>
      <c r="G125" s="6" t="s">
        <v>831</v>
      </c>
      <c r="H125" s="10">
        <f t="shared" si="1"/>
        <v>98.75</v>
      </c>
      <c r="I125" s="6" t="s">
        <v>1048</v>
      </c>
    </row>
    <row r="126" spans="1:9" x14ac:dyDescent="0.3">
      <c r="A126" s="6" t="s">
        <v>1050</v>
      </c>
      <c r="B126" s="6" t="s">
        <v>170</v>
      </c>
      <c r="C126" s="6" t="s">
        <v>178</v>
      </c>
      <c r="D126" s="6">
        <v>1</v>
      </c>
      <c r="E126" s="6" t="s">
        <v>822</v>
      </c>
      <c r="F126" s="6" t="s">
        <v>1051</v>
      </c>
      <c r="G126" s="6" t="s">
        <v>1052</v>
      </c>
      <c r="H126" s="10">
        <f t="shared" si="1"/>
        <v>542.5</v>
      </c>
      <c r="I126" s="6" t="s">
        <v>844</v>
      </c>
    </row>
    <row r="127" spans="1:9" x14ac:dyDescent="0.3">
      <c r="A127" s="6" t="s">
        <v>1053</v>
      </c>
      <c r="B127" s="6" t="s">
        <v>170</v>
      </c>
      <c r="C127" s="6" t="s">
        <v>246</v>
      </c>
      <c r="D127" s="6">
        <v>1</v>
      </c>
      <c r="E127" s="6" t="s">
        <v>831</v>
      </c>
      <c r="F127" s="6" t="s">
        <v>901</v>
      </c>
      <c r="G127" s="6" t="s">
        <v>850</v>
      </c>
      <c r="H127" s="10">
        <f t="shared" si="1"/>
        <v>925</v>
      </c>
      <c r="I127" s="6" t="s">
        <v>1054</v>
      </c>
    </row>
    <row r="128" spans="1:9" x14ac:dyDescent="0.3">
      <c r="A128" s="6" t="s">
        <v>1055</v>
      </c>
      <c r="B128" s="6" t="s">
        <v>168</v>
      </c>
      <c r="C128" s="6" t="s">
        <v>301</v>
      </c>
      <c r="D128" s="6">
        <v>1</v>
      </c>
      <c r="E128" s="6" t="s">
        <v>811</v>
      </c>
      <c r="F128" s="6" t="s">
        <v>923</v>
      </c>
      <c r="G128" s="6" t="s">
        <v>1056</v>
      </c>
      <c r="H128" s="10">
        <f t="shared" si="1"/>
        <v>285</v>
      </c>
      <c r="I128" s="6" t="s">
        <v>1057</v>
      </c>
    </row>
    <row r="129" spans="1:9" x14ac:dyDescent="0.3">
      <c r="A129" s="6" t="s">
        <v>1058</v>
      </c>
      <c r="B129" s="6" t="s">
        <v>172</v>
      </c>
      <c r="C129" s="6" t="s">
        <v>283</v>
      </c>
      <c r="D129" s="6">
        <v>1</v>
      </c>
      <c r="E129" s="6" t="s">
        <v>892</v>
      </c>
      <c r="F129" s="6" t="s">
        <v>907</v>
      </c>
      <c r="G129" s="6" t="s">
        <v>1059</v>
      </c>
      <c r="H129" s="10">
        <f t="shared" si="1"/>
        <v>143.75</v>
      </c>
      <c r="I129" s="6" t="s">
        <v>1060</v>
      </c>
    </row>
    <row r="130" spans="1:9" x14ac:dyDescent="0.3">
      <c r="A130" s="6" t="s">
        <v>1061</v>
      </c>
      <c r="B130" s="6" t="s">
        <v>176</v>
      </c>
      <c r="C130" s="6" t="s">
        <v>209</v>
      </c>
      <c r="D130" s="6">
        <v>1</v>
      </c>
      <c r="E130" s="6" t="s">
        <v>831</v>
      </c>
      <c r="F130" s="6" t="s">
        <v>847</v>
      </c>
      <c r="G130" s="6" t="s">
        <v>1062</v>
      </c>
      <c r="H130" s="10">
        <f t="shared" si="1"/>
        <v>243.75</v>
      </c>
      <c r="I130" s="6" t="s">
        <v>976</v>
      </c>
    </row>
    <row r="131" spans="1:9" x14ac:dyDescent="0.3">
      <c r="A131" s="6" t="s">
        <v>1063</v>
      </c>
      <c r="B131" s="6" t="s">
        <v>176</v>
      </c>
      <c r="C131" s="6" t="s">
        <v>408</v>
      </c>
      <c r="D131" s="6">
        <v>1</v>
      </c>
      <c r="E131" s="6" t="s">
        <v>811</v>
      </c>
      <c r="F131" s="6" t="s">
        <v>835</v>
      </c>
      <c r="G131" s="6" t="s">
        <v>1064</v>
      </c>
      <c r="H131" s="10">
        <f t="shared" ref="H131:H194" si="2">I131*1.25</f>
        <v>155</v>
      </c>
      <c r="I131" s="6" t="s">
        <v>1065</v>
      </c>
    </row>
    <row r="132" spans="1:9" x14ac:dyDescent="0.3">
      <c r="A132" s="6" t="s">
        <v>1066</v>
      </c>
      <c r="B132" s="6" t="s">
        <v>180</v>
      </c>
      <c r="C132" s="6" t="s">
        <v>663</v>
      </c>
      <c r="D132" s="6">
        <v>1</v>
      </c>
      <c r="E132" s="6" t="s">
        <v>831</v>
      </c>
      <c r="F132" s="6" t="s">
        <v>818</v>
      </c>
      <c r="G132" s="6" t="s">
        <v>846</v>
      </c>
      <c r="H132" s="10">
        <f t="shared" si="2"/>
        <v>100</v>
      </c>
      <c r="I132" s="6" t="s">
        <v>1067</v>
      </c>
    </row>
    <row r="133" spans="1:9" x14ac:dyDescent="0.3">
      <c r="A133" s="6" t="s">
        <v>1068</v>
      </c>
      <c r="B133" s="6" t="s">
        <v>180</v>
      </c>
      <c r="C133" s="6" t="s">
        <v>800</v>
      </c>
      <c r="D133" s="6">
        <v>1</v>
      </c>
      <c r="E133" s="6" t="s">
        <v>822</v>
      </c>
      <c r="F133" s="6" t="s">
        <v>846</v>
      </c>
      <c r="G133" s="6" t="s">
        <v>958</v>
      </c>
      <c r="H133" s="10">
        <f t="shared" si="2"/>
        <v>150</v>
      </c>
      <c r="I133" s="6" t="s">
        <v>896</v>
      </c>
    </row>
    <row r="134" spans="1:9" x14ac:dyDescent="0.3">
      <c r="A134" s="6" t="s">
        <v>1069</v>
      </c>
      <c r="B134" s="6" t="s">
        <v>185</v>
      </c>
      <c r="C134" s="6" t="s">
        <v>95</v>
      </c>
      <c r="D134" s="6">
        <v>1</v>
      </c>
      <c r="E134" s="6" t="s">
        <v>920</v>
      </c>
      <c r="F134" s="6" t="s">
        <v>1070</v>
      </c>
      <c r="G134" s="6" t="s">
        <v>901</v>
      </c>
      <c r="H134" s="10">
        <f t="shared" si="2"/>
        <v>131.25</v>
      </c>
      <c r="I134" s="6" t="s">
        <v>862</v>
      </c>
    </row>
    <row r="135" spans="1:9" x14ac:dyDescent="0.3">
      <c r="A135" s="6" t="s">
        <v>1071</v>
      </c>
      <c r="B135" s="6" t="s">
        <v>185</v>
      </c>
      <c r="C135" s="6" t="s">
        <v>342</v>
      </c>
      <c r="D135" s="6">
        <v>1</v>
      </c>
      <c r="E135" s="6" t="s">
        <v>882</v>
      </c>
      <c r="F135" s="6" t="s">
        <v>890</v>
      </c>
      <c r="G135" s="6" t="s">
        <v>811</v>
      </c>
      <c r="H135" s="10">
        <f t="shared" si="2"/>
        <v>222.5</v>
      </c>
      <c r="I135" s="6" t="s">
        <v>820</v>
      </c>
    </row>
    <row r="136" spans="1:9" x14ac:dyDescent="0.3">
      <c r="A136" s="6" t="s">
        <v>1072</v>
      </c>
      <c r="B136" s="6" t="s">
        <v>185</v>
      </c>
      <c r="C136" s="6" t="s">
        <v>473</v>
      </c>
      <c r="D136" s="6">
        <v>1</v>
      </c>
      <c r="E136" s="6" t="s">
        <v>847</v>
      </c>
      <c r="F136" s="6" t="s">
        <v>1019</v>
      </c>
      <c r="G136" s="6" t="s">
        <v>811</v>
      </c>
      <c r="H136" s="10">
        <f t="shared" si="2"/>
        <v>222.5</v>
      </c>
      <c r="I136" s="6" t="s">
        <v>820</v>
      </c>
    </row>
    <row r="137" spans="1:9" x14ac:dyDescent="0.3">
      <c r="A137" s="6" t="s">
        <v>1073</v>
      </c>
      <c r="B137" s="6" t="s">
        <v>185</v>
      </c>
      <c r="C137" s="6" t="s">
        <v>760</v>
      </c>
      <c r="D137" s="6">
        <v>1</v>
      </c>
      <c r="E137" s="6" t="s">
        <v>847</v>
      </c>
      <c r="F137" s="6" t="s">
        <v>864</v>
      </c>
      <c r="G137" s="6" t="s">
        <v>811</v>
      </c>
      <c r="H137" s="10">
        <f t="shared" si="2"/>
        <v>222.5</v>
      </c>
      <c r="I137" s="6" t="s">
        <v>820</v>
      </c>
    </row>
    <row r="138" spans="1:9" x14ac:dyDescent="0.3">
      <c r="A138" s="6" t="s">
        <v>1074</v>
      </c>
      <c r="B138" s="6" t="s">
        <v>187</v>
      </c>
      <c r="C138" s="6" t="s">
        <v>191</v>
      </c>
      <c r="D138" s="6">
        <v>1</v>
      </c>
      <c r="E138" s="6" t="s">
        <v>819</v>
      </c>
      <c r="F138" s="6" t="s">
        <v>926</v>
      </c>
      <c r="G138" s="6" t="s">
        <v>892</v>
      </c>
      <c r="H138" s="10">
        <f t="shared" si="2"/>
        <v>86.25</v>
      </c>
      <c r="I138" s="6" t="s">
        <v>1024</v>
      </c>
    </row>
    <row r="139" spans="1:9" x14ac:dyDescent="0.3">
      <c r="A139" s="6" t="s">
        <v>1075</v>
      </c>
      <c r="B139" s="6" t="s">
        <v>187</v>
      </c>
      <c r="C139" s="6" t="s">
        <v>191</v>
      </c>
      <c r="D139" s="6">
        <v>1</v>
      </c>
      <c r="E139" s="6" t="s">
        <v>819</v>
      </c>
      <c r="F139" s="6" t="s">
        <v>1076</v>
      </c>
      <c r="G139" s="6" t="s">
        <v>892</v>
      </c>
      <c r="H139" s="10">
        <f t="shared" si="2"/>
        <v>87.5</v>
      </c>
      <c r="I139" s="6" t="s">
        <v>1026</v>
      </c>
    </row>
    <row r="140" spans="1:9" x14ac:dyDescent="0.3">
      <c r="A140" s="6" t="s">
        <v>1077</v>
      </c>
      <c r="B140" s="6" t="s">
        <v>187</v>
      </c>
      <c r="C140" s="6" t="s">
        <v>368</v>
      </c>
      <c r="D140" s="6">
        <v>1</v>
      </c>
      <c r="E140" s="6" t="s">
        <v>858</v>
      </c>
      <c r="F140" s="6" t="s">
        <v>1000</v>
      </c>
      <c r="G140" s="6" t="s">
        <v>849</v>
      </c>
      <c r="H140" s="10">
        <f t="shared" si="2"/>
        <v>86.25</v>
      </c>
      <c r="I140" s="6" t="s">
        <v>1024</v>
      </c>
    </row>
    <row r="141" spans="1:9" x14ac:dyDescent="0.3">
      <c r="A141" s="6" t="s">
        <v>1078</v>
      </c>
      <c r="B141" s="6" t="s">
        <v>187</v>
      </c>
      <c r="C141" s="6" t="s">
        <v>368</v>
      </c>
      <c r="D141" s="6">
        <v>1</v>
      </c>
      <c r="E141" s="6" t="s">
        <v>858</v>
      </c>
      <c r="F141" s="6" t="s">
        <v>980</v>
      </c>
      <c r="G141" s="6" t="s">
        <v>849</v>
      </c>
      <c r="H141" s="10">
        <f t="shared" si="2"/>
        <v>86.25</v>
      </c>
      <c r="I141" s="6" t="s">
        <v>1024</v>
      </c>
    </row>
    <row r="142" spans="1:9" x14ac:dyDescent="0.3">
      <c r="A142" s="6" t="s">
        <v>1079</v>
      </c>
      <c r="B142" s="6" t="s">
        <v>191</v>
      </c>
      <c r="C142" s="6" t="s">
        <v>285</v>
      </c>
      <c r="D142" s="6">
        <v>1</v>
      </c>
      <c r="E142" s="6" t="s">
        <v>827</v>
      </c>
      <c r="F142" s="6" t="s">
        <v>849</v>
      </c>
      <c r="G142" s="6" t="s">
        <v>1080</v>
      </c>
      <c r="H142" s="10">
        <f t="shared" si="2"/>
        <v>165</v>
      </c>
      <c r="I142" s="6" t="s">
        <v>1081</v>
      </c>
    </row>
    <row r="143" spans="1:9" x14ac:dyDescent="0.3">
      <c r="A143" s="6" t="s">
        <v>1082</v>
      </c>
      <c r="B143" s="6" t="s">
        <v>191</v>
      </c>
      <c r="C143" s="6" t="s">
        <v>285</v>
      </c>
      <c r="D143" s="6">
        <v>1</v>
      </c>
      <c r="E143" s="6" t="s">
        <v>827</v>
      </c>
      <c r="F143" s="6" t="s">
        <v>849</v>
      </c>
      <c r="G143" s="6" t="s">
        <v>1080</v>
      </c>
      <c r="H143" s="10">
        <f t="shared" si="2"/>
        <v>165</v>
      </c>
      <c r="I143" s="6" t="s">
        <v>1081</v>
      </c>
    </row>
    <row r="144" spans="1:9" x14ac:dyDescent="0.3">
      <c r="A144" s="6" t="s">
        <v>1083</v>
      </c>
      <c r="B144" s="6" t="s">
        <v>193</v>
      </c>
      <c r="C144" s="6" t="s">
        <v>442</v>
      </c>
      <c r="D144" s="6">
        <v>1</v>
      </c>
      <c r="E144" s="6" t="s">
        <v>827</v>
      </c>
      <c r="F144" s="6" t="s">
        <v>892</v>
      </c>
      <c r="G144" s="6" t="s">
        <v>887</v>
      </c>
      <c r="H144" s="10">
        <f t="shared" si="2"/>
        <v>887.5</v>
      </c>
      <c r="I144" s="6" t="s">
        <v>1022</v>
      </c>
    </row>
    <row r="145" spans="1:9" x14ac:dyDescent="0.3">
      <c r="A145" s="6" t="s">
        <v>1084</v>
      </c>
      <c r="B145" s="6" t="s">
        <v>193</v>
      </c>
      <c r="C145" s="6" t="s">
        <v>442</v>
      </c>
      <c r="D145" s="6">
        <v>1</v>
      </c>
      <c r="E145" s="6" t="s">
        <v>827</v>
      </c>
      <c r="F145" s="6" t="s">
        <v>892</v>
      </c>
      <c r="G145" s="6" t="s">
        <v>887</v>
      </c>
      <c r="H145" s="10">
        <f t="shared" si="2"/>
        <v>887.5</v>
      </c>
      <c r="I145" s="6" t="s">
        <v>1022</v>
      </c>
    </row>
    <row r="146" spans="1:9" x14ac:dyDescent="0.3">
      <c r="A146" s="6" t="s">
        <v>1085</v>
      </c>
      <c r="B146" s="6" t="s">
        <v>191</v>
      </c>
      <c r="C146" s="6" t="s">
        <v>496</v>
      </c>
      <c r="D146" s="6">
        <v>1</v>
      </c>
      <c r="E146" s="6" t="s">
        <v>846</v>
      </c>
      <c r="F146" s="6" t="s">
        <v>849</v>
      </c>
      <c r="G146" s="6" t="s">
        <v>980</v>
      </c>
      <c r="H146" s="10">
        <f t="shared" si="2"/>
        <v>82.5</v>
      </c>
      <c r="I146" s="6" t="s">
        <v>1086</v>
      </c>
    </row>
    <row r="147" spans="1:9" x14ac:dyDescent="0.3">
      <c r="A147" s="6" t="s">
        <v>1087</v>
      </c>
      <c r="B147" s="6" t="s">
        <v>191</v>
      </c>
      <c r="C147" s="6" t="s">
        <v>496</v>
      </c>
      <c r="D147" s="6">
        <v>1</v>
      </c>
      <c r="E147" s="6" t="s">
        <v>846</v>
      </c>
      <c r="F147" s="6" t="s">
        <v>849</v>
      </c>
      <c r="G147" s="6" t="s">
        <v>980</v>
      </c>
      <c r="H147" s="10">
        <f t="shared" si="2"/>
        <v>82.5</v>
      </c>
      <c r="I147" s="6" t="s">
        <v>1086</v>
      </c>
    </row>
    <row r="148" spans="1:9" x14ac:dyDescent="0.3">
      <c r="A148" s="6" t="s">
        <v>1088</v>
      </c>
      <c r="B148" s="6" t="s">
        <v>193</v>
      </c>
      <c r="C148" s="6" t="s">
        <v>507</v>
      </c>
      <c r="D148" s="6">
        <v>1</v>
      </c>
      <c r="E148" s="6" t="s">
        <v>822</v>
      </c>
      <c r="F148" s="6" t="s">
        <v>861</v>
      </c>
      <c r="G148" s="6" t="s">
        <v>1089</v>
      </c>
      <c r="H148" s="10">
        <f t="shared" si="2"/>
        <v>887.5</v>
      </c>
      <c r="I148" s="6" t="s">
        <v>1022</v>
      </c>
    </row>
    <row r="149" spans="1:9" x14ac:dyDescent="0.3">
      <c r="A149" s="6" t="s">
        <v>1090</v>
      </c>
      <c r="B149" s="6" t="s">
        <v>191</v>
      </c>
      <c r="C149" s="6" t="s">
        <v>616</v>
      </c>
      <c r="D149" s="6">
        <v>1</v>
      </c>
      <c r="E149" s="6" t="s">
        <v>911</v>
      </c>
      <c r="F149" s="6" t="s">
        <v>943</v>
      </c>
      <c r="G149" s="6" t="s">
        <v>1007</v>
      </c>
      <c r="H149" s="10">
        <f t="shared" si="2"/>
        <v>136.25</v>
      </c>
      <c r="I149" s="6" t="s">
        <v>859</v>
      </c>
    </row>
    <row r="150" spans="1:9" x14ac:dyDescent="0.3">
      <c r="A150" s="6" t="s">
        <v>1091</v>
      </c>
      <c r="B150" s="6" t="s">
        <v>191</v>
      </c>
      <c r="C150" s="6" t="s">
        <v>616</v>
      </c>
      <c r="D150" s="6">
        <v>1</v>
      </c>
      <c r="E150" s="6" t="s">
        <v>1092</v>
      </c>
      <c r="F150" s="6" t="s">
        <v>887</v>
      </c>
      <c r="G150" s="6" t="s">
        <v>918</v>
      </c>
      <c r="H150" s="10">
        <f t="shared" si="2"/>
        <v>136.25</v>
      </c>
      <c r="I150" s="6" t="s">
        <v>859</v>
      </c>
    </row>
    <row r="151" spans="1:9" x14ac:dyDescent="0.3">
      <c r="A151" s="6" t="s">
        <v>1093</v>
      </c>
      <c r="B151" s="6" t="s">
        <v>191</v>
      </c>
      <c r="C151" s="6" t="s">
        <v>670</v>
      </c>
      <c r="D151" s="6">
        <v>1</v>
      </c>
      <c r="E151" s="6" t="s">
        <v>850</v>
      </c>
      <c r="F151" s="6" t="s">
        <v>1094</v>
      </c>
      <c r="G151" s="6" t="s">
        <v>811</v>
      </c>
      <c r="H151" s="10">
        <f t="shared" si="2"/>
        <v>102.5</v>
      </c>
      <c r="I151" s="6" t="s">
        <v>875</v>
      </c>
    </row>
    <row r="152" spans="1:9" x14ac:dyDescent="0.3">
      <c r="A152" s="6" t="s">
        <v>1095</v>
      </c>
      <c r="B152" s="6" t="s">
        <v>191</v>
      </c>
      <c r="C152" s="6" t="s">
        <v>670</v>
      </c>
      <c r="D152" s="6">
        <v>1</v>
      </c>
      <c r="E152" s="6" t="s">
        <v>850</v>
      </c>
      <c r="F152" s="6" t="s">
        <v>1094</v>
      </c>
      <c r="G152" s="6" t="s">
        <v>811</v>
      </c>
      <c r="H152" s="10">
        <f t="shared" si="2"/>
        <v>102.5</v>
      </c>
      <c r="I152" s="6" t="s">
        <v>875</v>
      </c>
    </row>
    <row r="153" spans="1:9" x14ac:dyDescent="0.3">
      <c r="A153" s="6" t="s">
        <v>1096</v>
      </c>
      <c r="B153" s="6" t="s">
        <v>191</v>
      </c>
      <c r="C153" s="6" t="s">
        <v>681</v>
      </c>
      <c r="D153" s="6">
        <v>1</v>
      </c>
      <c r="E153" s="6" t="s">
        <v>827</v>
      </c>
      <c r="F153" s="6" t="s">
        <v>822</v>
      </c>
      <c r="G153" s="6" t="s">
        <v>911</v>
      </c>
      <c r="H153" s="10">
        <f t="shared" si="2"/>
        <v>180</v>
      </c>
      <c r="I153" s="6" t="s">
        <v>1034</v>
      </c>
    </row>
    <row r="154" spans="1:9" x14ac:dyDescent="0.3">
      <c r="A154" s="6" t="s">
        <v>1097</v>
      </c>
      <c r="B154" s="6" t="s">
        <v>191</v>
      </c>
      <c r="C154" s="6" t="s">
        <v>681</v>
      </c>
      <c r="D154" s="6">
        <v>1</v>
      </c>
      <c r="E154" s="6" t="s">
        <v>827</v>
      </c>
      <c r="F154" s="6" t="s">
        <v>822</v>
      </c>
      <c r="G154" s="6" t="s">
        <v>911</v>
      </c>
      <c r="H154" s="10">
        <f t="shared" si="2"/>
        <v>180</v>
      </c>
      <c r="I154" s="6" t="s">
        <v>1034</v>
      </c>
    </row>
    <row r="155" spans="1:9" x14ac:dyDescent="0.3">
      <c r="A155" s="6" t="s">
        <v>1098</v>
      </c>
      <c r="B155" s="6" t="s">
        <v>193</v>
      </c>
      <c r="C155" s="6" t="s">
        <v>741</v>
      </c>
      <c r="D155" s="6">
        <v>1</v>
      </c>
      <c r="E155" s="6" t="s">
        <v>831</v>
      </c>
      <c r="F155" s="6" t="s">
        <v>858</v>
      </c>
      <c r="G155" s="6" t="s">
        <v>1028</v>
      </c>
      <c r="H155" s="10">
        <f t="shared" si="2"/>
        <v>887.5</v>
      </c>
      <c r="I155" s="6" t="s">
        <v>1022</v>
      </c>
    </row>
    <row r="156" spans="1:9" x14ac:dyDescent="0.3">
      <c r="A156" s="10" t="s">
        <v>1099</v>
      </c>
      <c r="B156" s="10" t="s">
        <v>302</v>
      </c>
      <c r="C156" s="10" t="s">
        <v>482</v>
      </c>
      <c r="D156" s="10">
        <v>1</v>
      </c>
      <c r="E156" s="10" t="s">
        <v>1092</v>
      </c>
      <c r="F156" s="10" t="s">
        <v>857</v>
      </c>
      <c r="G156" s="10" t="s">
        <v>882</v>
      </c>
      <c r="H156" s="10">
        <f t="shared" si="2"/>
        <v>222.5</v>
      </c>
      <c r="I156" s="10" t="s">
        <v>820</v>
      </c>
    </row>
    <row r="157" spans="1:9" x14ac:dyDescent="0.3">
      <c r="A157" s="6" t="s">
        <v>1100</v>
      </c>
      <c r="B157" s="6" t="s">
        <v>197</v>
      </c>
      <c r="C157" s="6" t="s">
        <v>775</v>
      </c>
      <c r="D157" s="6">
        <v>1</v>
      </c>
      <c r="E157" s="6" t="s">
        <v>818</v>
      </c>
      <c r="F157" s="6" t="s">
        <v>858</v>
      </c>
      <c r="G157" s="6" t="s">
        <v>903</v>
      </c>
      <c r="H157" s="10">
        <f t="shared" si="2"/>
        <v>155</v>
      </c>
      <c r="I157" s="6" t="s">
        <v>1065</v>
      </c>
    </row>
    <row r="158" spans="1:9" x14ac:dyDescent="0.3">
      <c r="A158" s="6" t="s">
        <v>1101</v>
      </c>
      <c r="B158" s="6" t="s">
        <v>195</v>
      </c>
      <c r="C158" s="6" t="s">
        <v>199</v>
      </c>
      <c r="D158" s="6">
        <v>1</v>
      </c>
      <c r="E158" s="6" t="s">
        <v>1004</v>
      </c>
      <c r="F158" s="6" t="s">
        <v>1102</v>
      </c>
      <c r="G158" s="6" t="s">
        <v>864</v>
      </c>
      <c r="H158" s="10">
        <f t="shared" si="2"/>
        <v>123.75</v>
      </c>
      <c r="I158" s="6" t="s">
        <v>812</v>
      </c>
    </row>
    <row r="159" spans="1:9" x14ac:dyDescent="0.3">
      <c r="A159" s="6" t="s">
        <v>1103</v>
      </c>
      <c r="B159" s="6" t="s">
        <v>199</v>
      </c>
      <c r="C159" s="6" t="s">
        <v>254</v>
      </c>
      <c r="D159" s="6">
        <v>1</v>
      </c>
      <c r="E159" s="6" t="s">
        <v>933</v>
      </c>
      <c r="F159" s="6" t="s">
        <v>1104</v>
      </c>
      <c r="G159" s="6" t="s">
        <v>1033</v>
      </c>
      <c r="H159" s="10">
        <f t="shared" si="2"/>
        <v>123.75</v>
      </c>
      <c r="I159" s="6" t="s">
        <v>812</v>
      </c>
    </row>
    <row r="160" spans="1:9" x14ac:dyDescent="0.3">
      <c r="A160" s="6" t="s">
        <v>1105</v>
      </c>
      <c r="B160" s="6" t="s">
        <v>199</v>
      </c>
      <c r="C160" s="6" t="s">
        <v>335</v>
      </c>
      <c r="D160" s="6">
        <v>1</v>
      </c>
      <c r="E160" s="6" t="s">
        <v>1000</v>
      </c>
      <c r="F160" s="6" t="s">
        <v>1106</v>
      </c>
      <c r="G160" s="6" t="s">
        <v>842</v>
      </c>
      <c r="H160" s="10">
        <f t="shared" si="2"/>
        <v>123.75</v>
      </c>
      <c r="I160" s="6" t="s">
        <v>812</v>
      </c>
    </row>
    <row r="161" spans="1:9" x14ac:dyDescent="0.3">
      <c r="A161" s="6" t="s">
        <v>1107</v>
      </c>
      <c r="B161" s="6" t="s">
        <v>203</v>
      </c>
      <c r="C161" s="6" t="s">
        <v>458</v>
      </c>
      <c r="D161" s="6">
        <v>1</v>
      </c>
      <c r="E161" s="6" t="s">
        <v>831</v>
      </c>
      <c r="F161" s="6" t="s">
        <v>842</v>
      </c>
      <c r="G161" s="6" t="s">
        <v>901</v>
      </c>
      <c r="H161" s="10">
        <f t="shared" si="2"/>
        <v>951.25</v>
      </c>
      <c r="I161" s="6" t="s">
        <v>1108</v>
      </c>
    </row>
    <row r="162" spans="1:9" x14ac:dyDescent="0.3">
      <c r="A162" s="6" t="s">
        <v>2921</v>
      </c>
      <c r="B162" s="6" t="s">
        <v>201</v>
      </c>
      <c r="C162" s="6" t="s">
        <v>466</v>
      </c>
      <c r="D162" s="6">
        <v>1</v>
      </c>
      <c r="E162" s="10">
        <v>1.0000000000000001E-5</v>
      </c>
      <c r="F162" s="6">
        <v>1E-3</v>
      </c>
      <c r="G162" s="6">
        <v>8.0000000000000002E-3</v>
      </c>
      <c r="H162" s="10">
        <f t="shared" si="2"/>
        <v>233.75</v>
      </c>
      <c r="I162" s="6">
        <v>187</v>
      </c>
    </row>
    <row r="163" spans="1:9" x14ac:dyDescent="0.3">
      <c r="A163" s="6" t="s">
        <v>1109</v>
      </c>
      <c r="B163" s="6" t="s">
        <v>203</v>
      </c>
      <c r="C163" s="6" t="s">
        <v>458</v>
      </c>
      <c r="D163" s="6">
        <v>1</v>
      </c>
      <c r="E163" s="6" t="s">
        <v>831</v>
      </c>
      <c r="F163" s="6" t="s">
        <v>816</v>
      </c>
      <c r="G163" s="6" t="s">
        <v>1033</v>
      </c>
      <c r="H163" s="10">
        <f t="shared" si="2"/>
        <v>951.25</v>
      </c>
      <c r="I163" s="6" t="s">
        <v>1108</v>
      </c>
    </row>
    <row r="164" spans="1:9" x14ac:dyDescent="0.3">
      <c r="A164" s="6" t="s">
        <v>1110</v>
      </c>
      <c r="B164" s="6" t="s">
        <v>203</v>
      </c>
      <c r="C164" s="6" t="s">
        <v>569</v>
      </c>
      <c r="D164" s="6">
        <v>1</v>
      </c>
      <c r="E164" s="6" t="s">
        <v>831</v>
      </c>
      <c r="F164" s="6" t="s">
        <v>816</v>
      </c>
      <c r="G164" s="6" t="s">
        <v>1092</v>
      </c>
      <c r="H164" s="10">
        <f t="shared" si="2"/>
        <v>951.25</v>
      </c>
      <c r="I164" s="6" t="s">
        <v>1108</v>
      </c>
    </row>
    <row r="165" spans="1:9" x14ac:dyDescent="0.3">
      <c r="A165" s="6" t="s">
        <v>1111</v>
      </c>
      <c r="B165" s="6" t="s">
        <v>203</v>
      </c>
      <c r="C165" s="6" t="s">
        <v>569</v>
      </c>
      <c r="D165" s="6">
        <v>1</v>
      </c>
      <c r="E165" s="6" t="s">
        <v>831</v>
      </c>
      <c r="F165" s="6" t="s">
        <v>882</v>
      </c>
      <c r="G165" s="6" t="s">
        <v>1015</v>
      </c>
      <c r="H165" s="10">
        <f t="shared" si="2"/>
        <v>951.25</v>
      </c>
      <c r="I165" s="6" t="s">
        <v>1108</v>
      </c>
    </row>
    <row r="166" spans="1:9" x14ac:dyDescent="0.3">
      <c r="A166" s="6" t="s">
        <v>1112</v>
      </c>
      <c r="B166" s="6" t="s">
        <v>205</v>
      </c>
      <c r="C166" s="6" t="s">
        <v>462</v>
      </c>
      <c r="D166" s="6">
        <v>1</v>
      </c>
      <c r="E166" s="6" t="s">
        <v>1033</v>
      </c>
      <c r="F166" s="6" t="s">
        <v>832</v>
      </c>
      <c r="G166" s="6" t="s">
        <v>850</v>
      </c>
      <c r="H166" s="10">
        <f t="shared" si="2"/>
        <v>222.5</v>
      </c>
      <c r="I166" s="6" t="s">
        <v>820</v>
      </c>
    </row>
    <row r="167" spans="1:9" x14ac:dyDescent="0.3">
      <c r="A167" s="6" t="s">
        <v>1113</v>
      </c>
      <c r="B167" s="6" t="s">
        <v>205</v>
      </c>
      <c r="C167" s="6" t="s">
        <v>561</v>
      </c>
      <c r="D167" s="6">
        <v>1</v>
      </c>
      <c r="E167" s="6" t="s">
        <v>831</v>
      </c>
      <c r="F167" s="6" t="s">
        <v>892</v>
      </c>
      <c r="G167" s="6" t="s">
        <v>827</v>
      </c>
      <c r="H167" s="10">
        <f t="shared" si="2"/>
        <v>222.5</v>
      </c>
      <c r="I167" s="6" t="s">
        <v>820</v>
      </c>
    </row>
    <row r="168" spans="1:9" x14ac:dyDescent="0.3">
      <c r="A168" s="6" t="s">
        <v>1114</v>
      </c>
      <c r="B168" s="6" t="s">
        <v>207</v>
      </c>
      <c r="C168" s="6" t="s">
        <v>558</v>
      </c>
      <c r="D168" s="6">
        <v>1</v>
      </c>
      <c r="E168" s="6" t="s">
        <v>822</v>
      </c>
      <c r="F168" s="6" t="s">
        <v>842</v>
      </c>
      <c r="G168" s="6" t="s">
        <v>890</v>
      </c>
      <c r="H168" s="10">
        <f t="shared" si="2"/>
        <v>143.75</v>
      </c>
      <c r="I168" s="6" t="s">
        <v>1060</v>
      </c>
    </row>
    <row r="169" spans="1:9" x14ac:dyDescent="0.3">
      <c r="A169" s="6" t="s">
        <v>1115</v>
      </c>
      <c r="B169" s="6" t="s">
        <v>215</v>
      </c>
      <c r="C169" s="6" t="s">
        <v>379</v>
      </c>
      <c r="D169" s="6">
        <v>1</v>
      </c>
      <c r="E169" s="6" t="s">
        <v>826</v>
      </c>
      <c r="F169" s="6" t="s">
        <v>822</v>
      </c>
      <c r="G169" s="6" t="s">
        <v>846</v>
      </c>
      <c r="H169" s="10">
        <f t="shared" si="2"/>
        <v>542.5</v>
      </c>
      <c r="I169" s="6" t="s">
        <v>844</v>
      </c>
    </row>
    <row r="170" spans="1:9" x14ac:dyDescent="0.3">
      <c r="A170" s="6" t="s">
        <v>1116</v>
      </c>
      <c r="B170" s="6" t="s">
        <v>215</v>
      </c>
      <c r="C170" s="6" t="s">
        <v>379</v>
      </c>
      <c r="D170" s="6">
        <v>1</v>
      </c>
      <c r="E170" s="6" t="s">
        <v>826</v>
      </c>
      <c r="F170" s="6" t="s">
        <v>822</v>
      </c>
      <c r="G170" s="6" t="s">
        <v>846</v>
      </c>
      <c r="H170" s="10">
        <f t="shared" si="2"/>
        <v>542.5</v>
      </c>
      <c r="I170" s="6" t="s">
        <v>844</v>
      </c>
    </row>
    <row r="171" spans="1:9" x14ac:dyDescent="0.3">
      <c r="A171" s="6" t="s">
        <v>1117</v>
      </c>
      <c r="B171" s="6" t="s">
        <v>215</v>
      </c>
      <c r="C171" s="6" t="s">
        <v>448</v>
      </c>
      <c r="D171" s="6">
        <v>1</v>
      </c>
      <c r="E171" s="6" t="s">
        <v>826</v>
      </c>
      <c r="F171" s="6" t="s">
        <v>827</v>
      </c>
      <c r="G171" s="6" t="s">
        <v>1118</v>
      </c>
      <c r="H171" s="10">
        <f t="shared" si="2"/>
        <v>693.75</v>
      </c>
      <c r="I171" s="6" t="s">
        <v>1119</v>
      </c>
    </row>
    <row r="172" spans="1:9" x14ac:dyDescent="0.3">
      <c r="A172" s="10" t="s">
        <v>1120</v>
      </c>
      <c r="B172" s="10" t="s">
        <v>213</v>
      </c>
      <c r="C172" s="10" t="s">
        <v>130</v>
      </c>
      <c r="D172" s="10">
        <v>1</v>
      </c>
      <c r="E172" s="10">
        <v>7.9000000000000001E-2</v>
      </c>
      <c r="F172" s="10">
        <v>0.191</v>
      </c>
      <c r="G172" s="10">
        <v>2.5000000000000001E-2</v>
      </c>
      <c r="H172" s="10">
        <f t="shared" si="2"/>
        <v>153.75</v>
      </c>
      <c r="I172" s="10">
        <v>123</v>
      </c>
    </row>
    <row r="173" spans="1:9" x14ac:dyDescent="0.3">
      <c r="A173" s="6" t="s">
        <v>2922</v>
      </c>
      <c r="B173" s="6" t="s">
        <v>215</v>
      </c>
      <c r="C173" s="6" t="s">
        <v>2838</v>
      </c>
      <c r="D173" s="6">
        <v>1</v>
      </c>
      <c r="E173" s="6">
        <v>7.0000000000000001E-3</v>
      </c>
      <c r="F173" s="6">
        <v>3.5999999999999997E-2</v>
      </c>
      <c r="G173" s="6">
        <v>4.0000000000000001E-3</v>
      </c>
      <c r="H173" s="10">
        <f t="shared" si="2"/>
        <v>222.5</v>
      </c>
      <c r="I173" s="6">
        <v>178</v>
      </c>
    </row>
    <row r="174" spans="1:9" x14ac:dyDescent="0.3">
      <c r="A174" s="10" t="s">
        <v>1121</v>
      </c>
      <c r="B174" s="10" t="s">
        <v>130</v>
      </c>
      <c r="C174" s="10" t="s">
        <v>610</v>
      </c>
      <c r="D174" s="10">
        <v>1</v>
      </c>
      <c r="E174" s="10">
        <v>1.7000000000000001E-2</v>
      </c>
      <c r="F174" s="10">
        <v>5.6000000000000001E-2</v>
      </c>
      <c r="G174" s="10">
        <v>3.1E-2</v>
      </c>
      <c r="H174" s="10">
        <f t="shared" si="2"/>
        <v>162.5</v>
      </c>
      <c r="I174" s="10">
        <v>130</v>
      </c>
    </row>
    <row r="175" spans="1:9" x14ac:dyDescent="0.3">
      <c r="A175" s="6" t="s">
        <v>1122</v>
      </c>
      <c r="B175" s="6" t="s">
        <v>213</v>
      </c>
      <c r="C175" s="6" t="s">
        <v>652</v>
      </c>
      <c r="D175" s="6">
        <v>1</v>
      </c>
      <c r="E175" s="6" t="s">
        <v>907</v>
      </c>
      <c r="F175" s="6" t="s">
        <v>879</v>
      </c>
      <c r="G175" s="6" t="s">
        <v>938</v>
      </c>
      <c r="H175" s="10">
        <f t="shared" si="2"/>
        <v>222.5</v>
      </c>
      <c r="I175" s="6" t="s">
        <v>820</v>
      </c>
    </row>
    <row r="176" spans="1:9" x14ac:dyDescent="0.3">
      <c r="A176" s="6" t="s">
        <v>1123</v>
      </c>
      <c r="B176" s="6" t="s">
        <v>213</v>
      </c>
      <c r="C176" s="6" t="s">
        <v>691</v>
      </c>
      <c r="D176" s="6">
        <v>1</v>
      </c>
      <c r="E176" s="6" t="s">
        <v>901</v>
      </c>
      <c r="F176" s="6" t="s">
        <v>1000</v>
      </c>
      <c r="G176" s="6" t="s">
        <v>846</v>
      </c>
      <c r="H176" s="10">
        <f t="shared" si="2"/>
        <v>128.75</v>
      </c>
      <c r="I176" s="6" t="s">
        <v>854</v>
      </c>
    </row>
    <row r="177" spans="1:9" x14ac:dyDescent="0.3">
      <c r="A177" s="6" t="s">
        <v>1124</v>
      </c>
      <c r="B177" s="6" t="s">
        <v>213</v>
      </c>
      <c r="C177" s="6" t="s">
        <v>695</v>
      </c>
      <c r="D177" s="6">
        <v>1</v>
      </c>
      <c r="E177" s="6" t="s">
        <v>826</v>
      </c>
      <c r="F177" s="6" t="s">
        <v>822</v>
      </c>
      <c r="G177" s="6" t="s">
        <v>911</v>
      </c>
      <c r="H177" s="10">
        <f t="shared" si="2"/>
        <v>297.5</v>
      </c>
      <c r="I177" s="6" t="s">
        <v>1125</v>
      </c>
    </row>
    <row r="178" spans="1:9" x14ac:dyDescent="0.3">
      <c r="A178" s="6" t="s">
        <v>1126</v>
      </c>
      <c r="B178" s="6" t="s">
        <v>215</v>
      </c>
      <c r="C178" s="6" t="s">
        <v>802</v>
      </c>
      <c r="D178" s="6">
        <v>1</v>
      </c>
      <c r="E178" s="6" t="s">
        <v>831</v>
      </c>
      <c r="F178" s="6" t="s">
        <v>1015</v>
      </c>
      <c r="G178" s="6" t="s">
        <v>907</v>
      </c>
      <c r="H178" s="10">
        <f t="shared" si="2"/>
        <v>542.5</v>
      </c>
      <c r="I178" s="6" t="s">
        <v>844</v>
      </c>
    </row>
    <row r="179" spans="1:9" x14ac:dyDescent="0.3">
      <c r="A179" s="6" t="s">
        <v>1127</v>
      </c>
      <c r="B179" s="6" t="s">
        <v>217</v>
      </c>
      <c r="C179" s="6" t="s">
        <v>65</v>
      </c>
      <c r="D179" s="6">
        <v>1</v>
      </c>
      <c r="E179" s="6" t="s">
        <v>842</v>
      </c>
      <c r="F179" s="6" t="s">
        <v>955</v>
      </c>
      <c r="G179" s="6" t="s">
        <v>846</v>
      </c>
      <c r="H179" s="10">
        <f t="shared" si="2"/>
        <v>222.5</v>
      </c>
      <c r="I179" s="6" t="s">
        <v>820</v>
      </c>
    </row>
    <row r="180" spans="1:9" x14ac:dyDescent="0.3">
      <c r="A180" s="6" t="s">
        <v>1128</v>
      </c>
      <c r="B180" s="6" t="s">
        <v>217</v>
      </c>
      <c r="C180" s="6" t="s">
        <v>437</v>
      </c>
      <c r="D180" s="6">
        <v>1</v>
      </c>
      <c r="E180" s="6" t="s">
        <v>849</v>
      </c>
      <c r="F180" s="6" t="s">
        <v>858</v>
      </c>
      <c r="G180" s="6" t="s">
        <v>822</v>
      </c>
      <c r="H180" s="10">
        <f t="shared" si="2"/>
        <v>165</v>
      </c>
      <c r="I180" s="6" t="s">
        <v>1081</v>
      </c>
    </row>
    <row r="181" spans="1:9" x14ac:dyDescent="0.3">
      <c r="A181" s="6" t="s">
        <v>1129</v>
      </c>
      <c r="B181" s="6" t="s">
        <v>217</v>
      </c>
      <c r="C181" s="6" t="s">
        <v>728</v>
      </c>
      <c r="D181" s="6">
        <v>1</v>
      </c>
      <c r="E181" s="6" t="s">
        <v>1033</v>
      </c>
      <c r="F181" s="6" t="s">
        <v>980</v>
      </c>
      <c r="G181" s="6" t="s">
        <v>849</v>
      </c>
      <c r="H181" s="10">
        <f t="shared" si="2"/>
        <v>222.5</v>
      </c>
      <c r="I181" s="6" t="s">
        <v>820</v>
      </c>
    </row>
    <row r="182" spans="1:9" x14ac:dyDescent="0.3">
      <c r="A182" s="6" t="s">
        <v>1130</v>
      </c>
      <c r="B182" s="6" t="s">
        <v>219</v>
      </c>
      <c r="C182" s="6" t="s">
        <v>285</v>
      </c>
      <c r="D182" s="6">
        <v>1</v>
      </c>
      <c r="E182" s="6" t="s">
        <v>827</v>
      </c>
      <c r="F182" s="6" t="s">
        <v>849</v>
      </c>
      <c r="G182" s="6" t="s">
        <v>874</v>
      </c>
      <c r="H182" s="10">
        <f t="shared" si="2"/>
        <v>180</v>
      </c>
      <c r="I182" s="6" t="s">
        <v>1034</v>
      </c>
    </row>
    <row r="183" spans="1:9" x14ac:dyDescent="0.3">
      <c r="A183" s="6" t="s">
        <v>1131</v>
      </c>
      <c r="B183" s="6" t="s">
        <v>219</v>
      </c>
      <c r="C183" s="6" t="s">
        <v>285</v>
      </c>
      <c r="D183" s="6">
        <v>1</v>
      </c>
      <c r="E183" s="6" t="s">
        <v>827</v>
      </c>
      <c r="F183" s="6" t="s">
        <v>849</v>
      </c>
      <c r="G183" s="6" t="s">
        <v>874</v>
      </c>
      <c r="H183" s="10">
        <f t="shared" si="2"/>
        <v>180</v>
      </c>
      <c r="I183" s="6" t="s">
        <v>1034</v>
      </c>
    </row>
    <row r="184" spans="1:9" x14ac:dyDescent="0.3">
      <c r="A184" s="6" t="s">
        <v>1132</v>
      </c>
      <c r="B184" s="6" t="s">
        <v>223</v>
      </c>
      <c r="C184" s="6" t="s">
        <v>182</v>
      </c>
      <c r="D184" s="6">
        <v>1</v>
      </c>
      <c r="E184" s="6" t="s">
        <v>827</v>
      </c>
      <c r="F184" s="6" t="s">
        <v>818</v>
      </c>
      <c r="G184" s="6" t="s">
        <v>1080</v>
      </c>
      <c r="H184" s="10">
        <f t="shared" si="2"/>
        <v>175</v>
      </c>
      <c r="I184" s="6" t="s">
        <v>851</v>
      </c>
    </row>
    <row r="185" spans="1:9" x14ac:dyDescent="0.3">
      <c r="A185" s="6" t="s">
        <v>1133</v>
      </c>
      <c r="B185" s="6" t="s">
        <v>223</v>
      </c>
      <c r="C185" s="6" t="s">
        <v>235</v>
      </c>
      <c r="D185" s="6">
        <v>1</v>
      </c>
      <c r="E185" s="6" t="s">
        <v>831</v>
      </c>
      <c r="F185" s="6" t="s">
        <v>842</v>
      </c>
      <c r="G185" s="6" t="s">
        <v>973</v>
      </c>
      <c r="H185" s="10">
        <f t="shared" si="2"/>
        <v>175</v>
      </c>
      <c r="I185" s="6" t="s">
        <v>851</v>
      </c>
    </row>
    <row r="186" spans="1:9" x14ac:dyDescent="0.3">
      <c r="A186" s="6" t="s">
        <v>1134</v>
      </c>
      <c r="B186" s="6" t="s">
        <v>223</v>
      </c>
      <c r="C186" s="6" t="s">
        <v>242</v>
      </c>
      <c r="D186" s="6">
        <v>1</v>
      </c>
      <c r="E186" s="6" t="s">
        <v>811</v>
      </c>
      <c r="F186" s="6" t="s">
        <v>1092</v>
      </c>
      <c r="G186" s="6" t="s">
        <v>831</v>
      </c>
      <c r="H186" s="10">
        <f t="shared" si="2"/>
        <v>170</v>
      </c>
      <c r="I186" s="6" t="s">
        <v>951</v>
      </c>
    </row>
    <row r="187" spans="1:9" x14ac:dyDescent="0.3">
      <c r="A187" s="6" t="s">
        <v>1135</v>
      </c>
      <c r="B187" s="6" t="s">
        <v>223</v>
      </c>
      <c r="C187" s="6" t="s">
        <v>256</v>
      </c>
      <c r="D187" s="6">
        <v>1</v>
      </c>
      <c r="E187" s="6" t="s">
        <v>856</v>
      </c>
      <c r="F187" s="6" t="s">
        <v>926</v>
      </c>
      <c r="G187" s="6" t="s">
        <v>842</v>
      </c>
      <c r="H187" s="10">
        <f t="shared" si="2"/>
        <v>222.5</v>
      </c>
      <c r="I187" s="6" t="s">
        <v>820</v>
      </c>
    </row>
    <row r="188" spans="1:9" x14ac:dyDescent="0.3">
      <c r="A188" s="6" t="s">
        <v>1136</v>
      </c>
      <c r="B188" s="6" t="s">
        <v>223</v>
      </c>
      <c r="C188" s="6" t="s">
        <v>256</v>
      </c>
      <c r="D188" s="6">
        <v>1</v>
      </c>
      <c r="E188" s="6" t="s">
        <v>1015</v>
      </c>
      <c r="F188" s="6" t="s">
        <v>926</v>
      </c>
      <c r="G188" s="6" t="s">
        <v>1015</v>
      </c>
      <c r="H188" s="10">
        <f t="shared" si="2"/>
        <v>222.5</v>
      </c>
      <c r="I188" s="6" t="s">
        <v>820</v>
      </c>
    </row>
    <row r="189" spans="1:9" x14ac:dyDescent="0.3">
      <c r="A189" s="6" t="s">
        <v>1137</v>
      </c>
      <c r="B189" s="6" t="s">
        <v>223</v>
      </c>
      <c r="C189" s="6" t="s">
        <v>270</v>
      </c>
      <c r="D189" s="6">
        <v>1</v>
      </c>
      <c r="E189" s="6" t="s">
        <v>856</v>
      </c>
      <c r="F189" s="6" t="s">
        <v>1138</v>
      </c>
      <c r="G189" s="6" t="s">
        <v>835</v>
      </c>
      <c r="H189" s="10">
        <f t="shared" si="2"/>
        <v>222.5</v>
      </c>
      <c r="I189" s="6" t="s">
        <v>820</v>
      </c>
    </row>
    <row r="190" spans="1:9" x14ac:dyDescent="0.3">
      <c r="A190" s="6" t="s">
        <v>1139</v>
      </c>
      <c r="B190" s="6" t="s">
        <v>223</v>
      </c>
      <c r="C190" s="6" t="s">
        <v>728</v>
      </c>
      <c r="D190" s="6">
        <v>1</v>
      </c>
      <c r="E190" s="6" t="s">
        <v>920</v>
      </c>
      <c r="F190" s="6" t="s">
        <v>1140</v>
      </c>
      <c r="G190" s="6" t="s">
        <v>885</v>
      </c>
      <c r="H190" s="10">
        <f t="shared" si="2"/>
        <v>245</v>
      </c>
      <c r="I190" s="6" t="s">
        <v>963</v>
      </c>
    </row>
    <row r="191" spans="1:9" x14ac:dyDescent="0.3">
      <c r="A191" s="6" t="s">
        <v>1141</v>
      </c>
      <c r="B191" s="6" t="s">
        <v>223</v>
      </c>
      <c r="C191" s="6" t="s">
        <v>728</v>
      </c>
      <c r="D191" s="6">
        <v>1</v>
      </c>
      <c r="E191" s="6" t="s">
        <v>953</v>
      </c>
      <c r="F191" s="6" t="s">
        <v>1142</v>
      </c>
      <c r="G191" s="6" t="s">
        <v>823</v>
      </c>
      <c r="H191" s="10">
        <f t="shared" si="2"/>
        <v>222.5</v>
      </c>
      <c r="I191" s="6" t="s">
        <v>820</v>
      </c>
    </row>
    <row r="192" spans="1:9" x14ac:dyDescent="0.3">
      <c r="A192" s="6" t="s">
        <v>2923</v>
      </c>
      <c r="B192" s="19" t="s">
        <v>2806</v>
      </c>
      <c r="C192" s="6" t="s">
        <v>610</v>
      </c>
      <c r="D192" s="6">
        <v>1</v>
      </c>
      <c r="E192" s="6">
        <v>1.2E-2</v>
      </c>
      <c r="F192" s="6">
        <v>6.2E-2</v>
      </c>
      <c r="G192" s="6">
        <v>7.0000000000000001E-3</v>
      </c>
      <c r="H192" s="10">
        <f t="shared" si="2"/>
        <v>222.5</v>
      </c>
      <c r="I192" s="6">
        <v>178</v>
      </c>
    </row>
    <row r="193" spans="1:9" x14ac:dyDescent="0.3">
      <c r="A193" s="6" t="s">
        <v>2924</v>
      </c>
      <c r="B193" s="19" t="s">
        <v>2806</v>
      </c>
      <c r="C193" s="6" t="s">
        <v>474</v>
      </c>
      <c r="D193" s="6">
        <v>1</v>
      </c>
      <c r="E193" s="6">
        <v>4.0000000000000001E-3</v>
      </c>
      <c r="F193" s="6">
        <v>2.1999999999999999E-2</v>
      </c>
      <c r="G193" s="6">
        <v>2E-3</v>
      </c>
      <c r="H193" s="10">
        <f t="shared" si="2"/>
        <v>222.5</v>
      </c>
      <c r="I193" s="6">
        <v>178</v>
      </c>
    </row>
    <row r="194" spans="1:9" x14ac:dyDescent="0.3">
      <c r="A194" s="6" t="s">
        <v>1143</v>
      </c>
      <c r="B194" s="6" t="s">
        <v>226</v>
      </c>
      <c r="C194" s="6" t="s">
        <v>391</v>
      </c>
      <c r="D194" s="6">
        <v>1</v>
      </c>
      <c r="E194" s="6" t="s">
        <v>827</v>
      </c>
      <c r="F194" s="6" t="s">
        <v>827</v>
      </c>
      <c r="G194" s="6" t="s">
        <v>847</v>
      </c>
      <c r="H194" s="10">
        <f t="shared" si="2"/>
        <v>162.5</v>
      </c>
      <c r="I194" s="6" t="s">
        <v>956</v>
      </c>
    </row>
    <row r="195" spans="1:9" x14ac:dyDescent="0.3">
      <c r="A195" s="6" t="s">
        <v>1144</v>
      </c>
      <c r="B195" s="6" t="s">
        <v>229</v>
      </c>
      <c r="C195" s="6" t="s">
        <v>408</v>
      </c>
      <c r="D195" s="6">
        <v>1</v>
      </c>
      <c r="E195" s="6" t="s">
        <v>1145</v>
      </c>
      <c r="F195" s="6" t="s">
        <v>1106</v>
      </c>
      <c r="G195" s="6" t="s">
        <v>842</v>
      </c>
      <c r="H195" s="10">
        <f t="shared" ref="H195:H258" si="3">I195*1.25</f>
        <v>123.75</v>
      </c>
      <c r="I195" s="6" t="s">
        <v>812</v>
      </c>
    </row>
    <row r="196" spans="1:9" x14ac:dyDescent="0.3">
      <c r="A196" s="6" t="s">
        <v>1146</v>
      </c>
      <c r="B196" s="6" t="s">
        <v>229</v>
      </c>
      <c r="C196" s="6" t="s">
        <v>482</v>
      </c>
      <c r="D196" s="6">
        <v>1</v>
      </c>
      <c r="E196" s="6" t="s">
        <v>856</v>
      </c>
      <c r="F196" s="6" t="s">
        <v>916</v>
      </c>
      <c r="G196" s="6" t="s">
        <v>938</v>
      </c>
      <c r="H196" s="10">
        <f t="shared" si="3"/>
        <v>170</v>
      </c>
      <c r="I196" s="6" t="s">
        <v>951</v>
      </c>
    </row>
    <row r="197" spans="1:9" x14ac:dyDescent="0.3">
      <c r="A197" s="6" t="s">
        <v>1147</v>
      </c>
      <c r="B197" s="6" t="s">
        <v>229</v>
      </c>
      <c r="C197" s="6" t="s">
        <v>565</v>
      </c>
      <c r="D197" s="6">
        <v>1</v>
      </c>
      <c r="E197" s="6" t="s">
        <v>901</v>
      </c>
      <c r="F197" s="6" t="s">
        <v>1045</v>
      </c>
      <c r="G197" s="6" t="s">
        <v>892</v>
      </c>
      <c r="H197" s="10">
        <f t="shared" si="3"/>
        <v>222.5</v>
      </c>
      <c r="I197" s="6" t="s">
        <v>820</v>
      </c>
    </row>
    <row r="198" spans="1:9" x14ac:dyDescent="0.3">
      <c r="A198" s="6" t="s">
        <v>1148</v>
      </c>
      <c r="B198" s="6" t="s">
        <v>231</v>
      </c>
      <c r="C198" s="6" t="s">
        <v>375</v>
      </c>
      <c r="D198" s="6">
        <v>1</v>
      </c>
      <c r="E198" s="6" t="s">
        <v>849</v>
      </c>
      <c r="F198" s="6" t="s">
        <v>892</v>
      </c>
      <c r="G198" s="6" t="s">
        <v>827</v>
      </c>
      <c r="H198" s="10">
        <f t="shared" si="3"/>
        <v>131.25</v>
      </c>
      <c r="I198" s="6" t="s">
        <v>862</v>
      </c>
    </row>
    <row r="199" spans="1:9" x14ac:dyDescent="0.3">
      <c r="A199" s="6" t="s">
        <v>1149</v>
      </c>
      <c r="B199" s="6" t="s">
        <v>233</v>
      </c>
      <c r="C199" s="6" t="s">
        <v>201</v>
      </c>
      <c r="D199" s="6">
        <v>1</v>
      </c>
      <c r="E199" s="6" t="s">
        <v>826</v>
      </c>
      <c r="F199" s="6" t="s">
        <v>827</v>
      </c>
      <c r="G199" s="6" t="s">
        <v>892</v>
      </c>
      <c r="H199" s="10">
        <f t="shared" si="3"/>
        <v>233.75</v>
      </c>
      <c r="I199" s="6" t="s">
        <v>983</v>
      </c>
    </row>
    <row r="200" spans="1:9" x14ac:dyDescent="0.3">
      <c r="A200" s="6" t="s">
        <v>1150</v>
      </c>
      <c r="B200" s="6" t="s">
        <v>233</v>
      </c>
      <c r="C200" s="6" t="s">
        <v>201</v>
      </c>
      <c r="D200" s="6">
        <v>1</v>
      </c>
      <c r="E200" s="6" t="s">
        <v>826</v>
      </c>
      <c r="F200" s="6" t="s">
        <v>827</v>
      </c>
      <c r="G200" s="6" t="s">
        <v>892</v>
      </c>
      <c r="H200" s="10">
        <f t="shared" si="3"/>
        <v>233.75</v>
      </c>
      <c r="I200" s="6" t="s">
        <v>983</v>
      </c>
    </row>
    <row r="201" spans="1:9" x14ac:dyDescent="0.3">
      <c r="A201" s="6" t="s">
        <v>1151</v>
      </c>
      <c r="B201" s="6" t="s">
        <v>233</v>
      </c>
      <c r="C201" s="6" t="s">
        <v>518</v>
      </c>
      <c r="D201" s="6">
        <v>1</v>
      </c>
      <c r="E201" s="6" t="s">
        <v>826</v>
      </c>
      <c r="F201" s="6" t="s">
        <v>827</v>
      </c>
      <c r="G201" s="6" t="s">
        <v>892</v>
      </c>
      <c r="H201" s="10">
        <f t="shared" si="3"/>
        <v>233.75</v>
      </c>
      <c r="I201" s="6" t="s">
        <v>983</v>
      </c>
    </row>
    <row r="202" spans="1:9" x14ac:dyDescent="0.3">
      <c r="A202" s="6" t="s">
        <v>1152</v>
      </c>
      <c r="B202" s="6" t="s">
        <v>236</v>
      </c>
      <c r="C202" s="6" t="s">
        <v>231</v>
      </c>
      <c r="D202" s="6">
        <v>1</v>
      </c>
      <c r="E202" s="6" t="s">
        <v>849</v>
      </c>
      <c r="F202" s="6" t="s">
        <v>892</v>
      </c>
      <c r="G202" s="6" t="s">
        <v>874</v>
      </c>
      <c r="H202" s="10">
        <f t="shared" si="3"/>
        <v>131.25</v>
      </c>
      <c r="I202" s="6" t="s">
        <v>862</v>
      </c>
    </row>
    <row r="203" spans="1:9" x14ac:dyDescent="0.3">
      <c r="A203" s="6" t="s">
        <v>1153</v>
      </c>
      <c r="B203" s="6" t="s">
        <v>236</v>
      </c>
      <c r="C203" s="6" t="s">
        <v>268</v>
      </c>
      <c r="D203" s="6">
        <v>1</v>
      </c>
      <c r="E203" s="6" t="s">
        <v>938</v>
      </c>
      <c r="F203" s="6" t="s">
        <v>1145</v>
      </c>
      <c r="G203" s="6" t="s">
        <v>909</v>
      </c>
      <c r="H203" s="10">
        <f t="shared" si="3"/>
        <v>162.5</v>
      </c>
      <c r="I203" s="6" t="s">
        <v>956</v>
      </c>
    </row>
    <row r="204" spans="1:9" x14ac:dyDescent="0.3">
      <c r="A204" s="6" t="s">
        <v>1154</v>
      </c>
      <c r="B204" s="6" t="s">
        <v>238</v>
      </c>
      <c r="C204" s="6" t="s">
        <v>357</v>
      </c>
      <c r="D204" s="6">
        <v>1</v>
      </c>
      <c r="E204" s="6" t="s">
        <v>846</v>
      </c>
      <c r="F204" s="6" t="s">
        <v>923</v>
      </c>
      <c r="G204" s="6" t="s">
        <v>1155</v>
      </c>
      <c r="H204" s="10">
        <f t="shared" si="3"/>
        <v>542.5</v>
      </c>
      <c r="I204" s="6" t="s">
        <v>844</v>
      </c>
    </row>
    <row r="205" spans="1:9" x14ac:dyDescent="0.3">
      <c r="A205" s="6" t="s">
        <v>1156</v>
      </c>
      <c r="B205" s="6" t="s">
        <v>236</v>
      </c>
      <c r="C205" s="6" t="s">
        <v>375</v>
      </c>
      <c r="D205" s="6">
        <v>1</v>
      </c>
      <c r="E205" s="6" t="s">
        <v>846</v>
      </c>
      <c r="F205" s="6" t="s">
        <v>882</v>
      </c>
      <c r="G205" s="6" t="s">
        <v>827</v>
      </c>
      <c r="H205" s="10">
        <f t="shared" si="3"/>
        <v>131.25</v>
      </c>
      <c r="I205" s="6" t="s">
        <v>862</v>
      </c>
    </row>
    <row r="206" spans="1:9" x14ac:dyDescent="0.3">
      <c r="A206" s="6" t="s">
        <v>1157</v>
      </c>
      <c r="B206" s="6" t="s">
        <v>236</v>
      </c>
      <c r="C206" s="6" t="s">
        <v>375</v>
      </c>
      <c r="D206" s="6">
        <v>1</v>
      </c>
      <c r="E206" s="6" t="s">
        <v>816</v>
      </c>
      <c r="F206" s="6" t="s">
        <v>1158</v>
      </c>
      <c r="G206" s="6" t="s">
        <v>831</v>
      </c>
      <c r="H206" s="10">
        <f t="shared" si="3"/>
        <v>131.25</v>
      </c>
      <c r="I206" s="6" t="s">
        <v>862</v>
      </c>
    </row>
    <row r="207" spans="1:9" x14ac:dyDescent="0.3">
      <c r="A207" s="6" t="s">
        <v>1159</v>
      </c>
      <c r="B207" s="6" t="s">
        <v>238</v>
      </c>
      <c r="C207" s="6" t="s">
        <v>460</v>
      </c>
      <c r="D207" s="6">
        <v>1</v>
      </c>
      <c r="E207" s="6" t="s">
        <v>826</v>
      </c>
      <c r="F207" s="6" t="s">
        <v>846</v>
      </c>
      <c r="G207" s="6" t="s">
        <v>1160</v>
      </c>
      <c r="H207" s="10">
        <f t="shared" si="3"/>
        <v>741.25</v>
      </c>
      <c r="I207" s="6" t="s">
        <v>829</v>
      </c>
    </row>
    <row r="208" spans="1:9" x14ac:dyDescent="0.3">
      <c r="A208" s="6" t="s">
        <v>1161</v>
      </c>
      <c r="B208" s="6" t="s">
        <v>236</v>
      </c>
      <c r="C208" s="6" t="s">
        <v>658</v>
      </c>
      <c r="D208" s="6">
        <v>1</v>
      </c>
      <c r="E208" s="6" t="s">
        <v>827</v>
      </c>
      <c r="F208" s="6" t="s">
        <v>822</v>
      </c>
      <c r="G208" s="6" t="s">
        <v>1162</v>
      </c>
      <c r="H208" s="10">
        <f t="shared" si="3"/>
        <v>148.75</v>
      </c>
      <c r="I208" s="6" t="s">
        <v>990</v>
      </c>
    </row>
    <row r="209" spans="1:9" x14ac:dyDescent="0.3">
      <c r="A209" s="6" t="s">
        <v>1163</v>
      </c>
      <c r="B209" s="6" t="s">
        <v>240</v>
      </c>
      <c r="C209" s="6" t="s">
        <v>226</v>
      </c>
      <c r="D209" s="6">
        <v>1</v>
      </c>
      <c r="E209" s="6" t="s">
        <v>849</v>
      </c>
      <c r="F209" s="6" t="s">
        <v>1033</v>
      </c>
      <c r="G209" s="6" t="s">
        <v>822</v>
      </c>
      <c r="H209" s="10">
        <f t="shared" si="3"/>
        <v>222.5</v>
      </c>
      <c r="I209" s="6" t="s">
        <v>820</v>
      </c>
    </row>
    <row r="210" spans="1:9" x14ac:dyDescent="0.3">
      <c r="A210" s="6" t="s">
        <v>1164</v>
      </c>
      <c r="B210" s="6" t="s">
        <v>240</v>
      </c>
      <c r="C210" s="6" t="s">
        <v>435</v>
      </c>
      <c r="D210" s="6">
        <v>1</v>
      </c>
      <c r="E210" s="6" t="s">
        <v>842</v>
      </c>
      <c r="F210" s="6" t="s">
        <v>892</v>
      </c>
      <c r="G210" s="6" t="s">
        <v>1059</v>
      </c>
      <c r="H210" s="10">
        <f t="shared" si="3"/>
        <v>150</v>
      </c>
      <c r="I210" s="6" t="s">
        <v>896</v>
      </c>
    </row>
    <row r="211" spans="1:9" x14ac:dyDescent="0.3">
      <c r="A211" s="6" t="s">
        <v>1165</v>
      </c>
      <c r="B211" s="6" t="s">
        <v>240</v>
      </c>
      <c r="C211" s="6" t="s">
        <v>471</v>
      </c>
      <c r="D211" s="6">
        <v>1</v>
      </c>
      <c r="E211" s="6" t="s">
        <v>938</v>
      </c>
      <c r="F211" s="6" t="s">
        <v>1166</v>
      </c>
      <c r="G211" s="6" t="s">
        <v>818</v>
      </c>
      <c r="H211" s="10">
        <f t="shared" si="3"/>
        <v>222.5</v>
      </c>
      <c r="I211" s="6" t="s">
        <v>820</v>
      </c>
    </row>
    <row r="212" spans="1:9" x14ac:dyDescent="0.3">
      <c r="A212" s="6" t="s">
        <v>1167</v>
      </c>
      <c r="B212" s="6" t="s">
        <v>244</v>
      </c>
      <c r="C212" s="6" t="s">
        <v>240</v>
      </c>
      <c r="D212" s="6">
        <v>1</v>
      </c>
      <c r="E212" s="6" t="s">
        <v>858</v>
      </c>
      <c r="F212" s="6" t="s">
        <v>1106</v>
      </c>
      <c r="G212" s="6" t="s">
        <v>911</v>
      </c>
      <c r="H212" s="10">
        <f t="shared" si="3"/>
        <v>222.5</v>
      </c>
      <c r="I212" s="6" t="s">
        <v>820</v>
      </c>
    </row>
    <row r="213" spans="1:9" x14ac:dyDescent="0.3">
      <c r="A213" s="6" t="s">
        <v>1168</v>
      </c>
      <c r="B213" s="6" t="s">
        <v>244</v>
      </c>
      <c r="C213" s="6" t="s">
        <v>337</v>
      </c>
      <c r="D213" s="6">
        <v>1</v>
      </c>
      <c r="E213" s="6" t="s">
        <v>853</v>
      </c>
      <c r="F213" s="6" t="s">
        <v>1169</v>
      </c>
      <c r="G213" s="6" t="s">
        <v>911</v>
      </c>
      <c r="H213" s="10">
        <f t="shared" si="3"/>
        <v>222.5</v>
      </c>
      <c r="I213" s="6" t="s">
        <v>820</v>
      </c>
    </row>
    <row r="214" spans="1:9" x14ac:dyDescent="0.3">
      <c r="A214" s="6" t="s">
        <v>1170</v>
      </c>
      <c r="B214" s="6" t="s">
        <v>246</v>
      </c>
      <c r="C214" s="6" t="s">
        <v>511</v>
      </c>
      <c r="D214" s="6">
        <v>1</v>
      </c>
      <c r="E214" s="6" t="s">
        <v>846</v>
      </c>
      <c r="F214" s="6" t="s">
        <v>819</v>
      </c>
      <c r="G214" s="6" t="s">
        <v>1162</v>
      </c>
      <c r="H214" s="10">
        <f t="shared" si="3"/>
        <v>807.5</v>
      </c>
      <c r="I214" s="6" t="s">
        <v>1171</v>
      </c>
    </row>
    <row r="215" spans="1:9" x14ac:dyDescent="0.3">
      <c r="A215" s="6" t="s">
        <v>1172</v>
      </c>
      <c r="B215" s="6" t="s">
        <v>244</v>
      </c>
      <c r="C215" s="6" t="s">
        <v>561</v>
      </c>
      <c r="D215" s="6">
        <v>1</v>
      </c>
      <c r="E215" s="6" t="s">
        <v>849</v>
      </c>
      <c r="F215" s="6" t="s">
        <v>1092</v>
      </c>
      <c r="G215" s="6" t="s">
        <v>831</v>
      </c>
      <c r="H215" s="10">
        <f t="shared" si="3"/>
        <v>201.25</v>
      </c>
      <c r="I215" s="6" t="s">
        <v>1173</v>
      </c>
    </row>
    <row r="216" spans="1:9" x14ac:dyDescent="0.3">
      <c r="A216" s="6" t="s">
        <v>1174</v>
      </c>
      <c r="B216" s="6" t="s">
        <v>244</v>
      </c>
      <c r="C216" s="6" t="s">
        <v>561</v>
      </c>
      <c r="D216" s="6">
        <v>1</v>
      </c>
      <c r="E216" s="6" t="s">
        <v>831</v>
      </c>
      <c r="F216" s="6" t="s">
        <v>882</v>
      </c>
      <c r="G216" s="6" t="s">
        <v>903</v>
      </c>
      <c r="H216" s="10">
        <f t="shared" si="3"/>
        <v>201.25</v>
      </c>
      <c r="I216" s="6" t="s">
        <v>1173</v>
      </c>
    </row>
    <row r="217" spans="1:9" x14ac:dyDescent="0.3">
      <c r="A217" s="6" t="s">
        <v>1175</v>
      </c>
      <c r="B217" s="6" t="s">
        <v>248</v>
      </c>
      <c r="C217" s="6" t="s">
        <v>215</v>
      </c>
      <c r="D217" s="6">
        <v>1</v>
      </c>
      <c r="E217" s="6" t="s">
        <v>827</v>
      </c>
      <c r="F217" s="6" t="s">
        <v>849</v>
      </c>
      <c r="G217" s="6" t="s">
        <v>818</v>
      </c>
      <c r="H217" s="10">
        <f t="shared" si="3"/>
        <v>542.5</v>
      </c>
      <c r="I217" s="6" t="s">
        <v>844</v>
      </c>
    </row>
    <row r="218" spans="1:9" x14ac:dyDescent="0.3">
      <c r="A218" s="6" t="s">
        <v>1176</v>
      </c>
      <c r="B218" s="6" t="s">
        <v>248</v>
      </c>
      <c r="C218" s="6" t="s">
        <v>802</v>
      </c>
      <c r="D218" s="6">
        <v>1</v>
      </c>
      <c r="E218" s="6" t="s">
        <v>831</v>
      </c>
      <c r="F218" s="6" t="s">
        <v>816</v>
      </c>
      <c r="G218" s="6" t="s">
        <v>1092</v>
      </c>
      <c r="H218" s="10">
        <f t="shared" si="3"/>
        <v>542.5</v>
      </c>
      <c r="I218" s="6" t="s">
        <v>844</v>
      </c>
    </row>
    <row r="219" spans="1:9" x14ac:dyDescent="0.3">
      <c r="A219" s="6" t="s">
        <v>1177</v>
      </c>
      <c r="B219" s="6" t="s">
        <v>250</v>
      </c>
      <c r="C219" s="6" t="s">
        <v>213</v>
      </c>
      <c r="D219" s="6">
        <v>1</v>
      </c>
      <c r="E219" s="6" t="s">
        <v>827</v>
      </c>
      <c r="F219" s="6" t="s">
        <v>822</v>
      </c>
      <c r="G219" s="6" t="s">
        <v>861</v>
      </c>
      <c r="H219" s="10">
        <f t="shared" si="3"/>
        <v>233.75</v>
      </c>
      <c r="I219" s="6" t="s">
        <v>983</v>
      </c>
    </row>
    <row r="220" spans="1:9" x14ac:dyDescent="0.3">
      <c r="A220" s="6" t="s">
        <v>1178</v>
      </c>
      <c r="B220" s="6" t="s">
        <v>250</v>
      </c>
      <c r="C220" s="6" t="s">
        <v>377</v>
      </c>
      <c r="D220" s="6">
        <v>1</v>
      </c>
      <c r="E220" s="6" t="s">
        <v>849</v>
      </c>
      <c r="F220" s="6" t="s">
        <v>847</v>
      </c>
      <c r="G220" s="6" t="s">
        <v>818</v>
      </c>
      <c r="H220" s="10">
        <f t="shared" si="3"/>
        <v>155</v>
      </c>
      <c r="I220" s="6" t="s">
        <v>1065</v>
      </c>
    </row>
    <row r="221" spans="1:9" x14ac:dyDescent="0.3">
      <c r="A221" s="6" t="s">
        <v>1179</v>
      </c>
      <c r="B221" s="6" t="s">
        <v>252</v>
      </c>
      <c r="C221" s="6" t="s">
        <v>775</v>
      </c>
      <c r="D221" s="6">
        <v>1</v>
      </c>
      <c r="E221" s="6" t="s">
        <v>901</v>
      </c>
      <c r="F221" s="6" t="s">
        <v>953</v>
      </c>
      <c r="G221" s="6" t="s">
        <v>822</v>
      </c>
      <c r="H221" s="10">
        <f t="shared" si="3"/>
        <v>123.75</v>
      </c>
      <c r="I221" s="6" t="s">
        <v>812</v>
      </c>
    </row>
    <row r="222" spans="1:9" x14ac:dyDescent="0.3">
      <c r="A222" s="6" t="s">
        <v>1180</v>
      </c>
      <c r="B222" s="6" t="s">
        <v>252</v>
      </c>
      <c r="C222" s="6" t="s">
        <v>777</v>
      </c>
      <c r="D222" s="6">
        <v>1</v>
      </c>
      <c r="E222" s="6" t="s">
        <v>1033</v>
      </c>
      <c r="F222" s="6" t="s">
        <v>955</v>
      </c>
      <c r="G222" s="6" t="s">
        <v>938</v>
      </c>
      <c r="H222" s="10">
        <f t="shared" si="3"/>
        <v>131.25</v>
      </c>
      <c r="I222" s="6" t="s">
        <v>862</v>
      </c>
    </row>
    <row r="223" spans="1:9" x14ac:dyDescent="0.3">
      <c r="A223" s="6" t="s">
        <v>1181</v>
      </c>
      <c r="B223" s="6" t="s">
        <v>254</v>
      </c>
      <c r="C223" s="6" t="s">
        <v>523</v>
      </c>
      <c r="D223" s="6">
        <v>1</v>
      </c>
      <c r="E223" s="6" t="s">
        <v>857</v>
      </c>
      <c r="F223" s="6" t="s">
        <v>1182</v>
      </c>
      <c r="G223" s="6" t="s">
        <v>885</v>
      </c>
      <c r="H223" s="10">
        <f t="shared" si="3"/>
        <v>78.75</v>
      </c>
      <c r="I223" s="6" t="s">
        <v>1036</v>
      </c>
    </row>
    <row r="224" spans="1:9" x14ac:dyDescent="0.3">
      <c r="A224" s="6" t="s">
        <v>1183</v>
      </c>
      <c r="B224" s="6" t="s">
        <v>256</v>
      </c>
      <c r="C224" s="6" t="s">
        <v>223</v>
      </c>
      <c r="D224" s="6">
        <v>1</v>
      </c>
      <c r="E224" s="6" t="s">
        <v>847</v>
      </c>
      <c r="F224" s="6" t="s">
        <v>864</v>
      </c>
      <c r="G224" s="6" t="s">
        <v>811</v>
      </c>
      <c r="H224" s="10">
        <f t="shared" si="3"/>
        <v>222.5</v>
      </c>
      <c r="I224" s="6" t="s">
        <v>820</v>
      </c>
    </row>
    <row r="225" spans="1:9" x14ac:dyDescent="0.3">
      <c r="A225" s="6" t="s">
        <v>1184</v>
      </c>
      <c r="B225" s="6" t="s">
        <v>256</v>
      </c>
      <c r="C225" s="6" t="s">
        <v>417</v>
      </c>
      <c r="D225" s="6">
        <v>1</v>
      </c>
      <c r="E225" s="6" t="s">
        <v>826</v>
      </c>
      <c r="F225" s="6" t="s">
        <v>827</v>
      </c>
      <c r="G225" s="6" t="s">
        <v>827</v>
      </c>
      <c r="H225" s="10">
        <f t="shared" si="3"/>
        <v>233.75</v>
      </c>
      <c r="I225" s="6" t="s">
        <v>983</v>
      </c>
    </row>
    <row r="226" spans="1:9" x14ac:dyDescent="0.3">
      <c r="A226" s="6" t="s">
        <v>1185</v>
      </c>
      <c r="B226" s="6" t="s">
        <v>256</v>
      </c>
      <c r="C226" s="6" t="s">
        <v>604</v>
      </c>
      <c r="D226" s="6">
        <v>1</v>
      </c>
      <c r="E226" s="6" t="s">
        <v>831</v>
      </c>
      <c r="F226" s="6" t="s">
        <v>842</v>
      </c>
      <c r="G226" s="6" t="s">
        <v>1186</v>
      </c>
      <c r="H226" s="10">
        <f t="shared" si="3"/>
        <v>170</v>
      </c>
      <c r="I226" s="6" t="s">
        <v>951</v>
      </c>
    </row>
    <row r="227" spans="1:9" x14ac:dyDescent="0.3">
      <c r="A227" s="6" t="s">
        <v>2925</v>
      </c>
      <c r="B227" s="6" t="s">
        <v>258</v>
      </c>
      <c r="C227" s="6" t="s">
        <v>201</v>
      </c>
      <c r="D227" s="6">
        <v>1</v>
      </c>
      <c r="E227" s="10">
        <v>1.0000000000000001E-5</v>
      </c>
      <c r="F227" s="10">
        <v>1.0000000000000001E-5</v>
      </c>
      <c r="G227" s="6">
        <v>1E-3</v>
      </c>
      <c r="H227" s="10">
        <f t="shared" si="3"/>
        <v>233.75</v>
      </c>
      <c r="I227" s="6">
        <v>187</v>
      </c>
    </row>
    <row r="228" spans="1:9" x14ac:dyDescent="0.3">
      <c r="A228" s="6" t="s">
        <v>2926</v>
      </c>
      <c r="B228" s="6" t="s">
        <v>258</v>
      </c>
      <c r="C228" s="6" t="s">
        <v>518</v>
      </c>
      <c r="D228" s="6">
        <v>1</v>
      </c>
      <c r="E228" s="10">
        <v>1.0000000000000001E-5</v>
      </c>
      <c r="F228" s="6">
        <v>1E-3</v>
      </c>
      <c r="G228" s="6">
        <v>0.01</v>
      </c>
      <c r="H228" s="10">
        <f t="shared" si="3"/>
        <v>233.75</v>
      </c>
      <c r="I228" s="6">
        <v>187</v>
      </c>
    </row>
    <row r="229" spans="1:9" x14ac:dyDescent="0.3">
      <c r="A229" s="6" t="s">
        <v>1187</v>
      </c>
      <c r="B229" s="6" t="s">
        <v>259</v>
      </c>
      <c r="C229" s="6" t="s">
        <v>489</v>
      </c>
      <c r="D229" s="6">
        <v>1</v>
      </c>
      <c r="E229" s="6" t="s">
        <v>892</v>
      </c>
      <c r="F229" s="6" t="s">
        <v>858</v>
      </c>
      <c r="G229" s="6" t="s">
        <v>831</v>
      </c>
      <c r="H229" s="10">
        <f t="shared" si="3"/>
        <v>123.75</v>
      </c>
      <c r="I229" s="6" t="s">
        <v>812</v>
      </c>
    </row>
    <row r="230" spans="1:9" x14ac:dyDescent="0.3">
      <c r="A230" s="6" t="s">
        <v>1188</v>
      </c>
      <c r="B230" s="6" t="s">
        <v>259</v>
      </c>
      <c r="C230" s="6" t="s">
        <v>489</v>
      </c>
      <c r="D230" s="6">
        <v>1</v>
      </c>
      <c r="E230" s="6" t="s">
        <v>892</v>
      </c>
      <c r="F230" s="6" t="s">
        <v>858</v>
      </c>
      <c r="G230" s="6" t="s">
        <v>831</v>
      </c>
      <c r="H230" s="10">
        <f t="shared" si="3"/>
        <v>123.75</v>
      </c>
      <c r="I230" s="6" t="s">
        <v>812</v>
      </c>
    </row>
    <row r="231" spans="1:9" x14ac:dyDescent="0.3">
      <c r="A231" s="6" t="s">
        <v>1189</v>
      </c>
      <c r="B231" s="6" t="s">
        <v>259</v>
      </c>
      <c r="C231" s="6" t="s">
        <v>731</v>
      </c>
      <c r="D231" s="6">
        <v>1</v>
      </c>
      <c r="E231" s="6" t="s">
        <v>809</v>
      </c>
      <c r="F231" s="6" t="s">
        <v>1080</v>
      </c>
      <c r="G231" s="6" t="s">
        <v>811</v>
      </c>
      <c r="H231" s="10">
        <f t="shared" si="3"/>
        <v>131.25</v>
      </c>
      <c r="I231" s="6" t="s">
        <v>862</v>
      </c>
    </row>
    <row r="232" spans="1:9" x14ac:dyDescent="0.3">
      <c r="A232" s="6" t="s">
        <v>2927</v>
      </c>
      <c r="B232" s="6" t="s">
        <v>2811</v>
      </c>
      <c r="C232" s="10" t="s">
        <v>2835</v>
      </c>
      <c r="D232" s="6">
        <v>1</v>
      </c>
      <c r="E232" s="6">
        <v>8.9999999999999993E-3</v>
      </c>
      <c r="F232" s="6">
        <v>4.4999999999999998E-2</v>
      </c>
      <c r="G232" s="6">
        <v>5.0000000000000001E-3</v>
      </c>
      <c r="H232" s="10">
        <f t="shared" si="3"/>
        <v>222.5</v>
      </c>
      <c r="I232" s="6">
        <v>178</v>
      </c>
    </row>
    <row r="233" spans="1:9" x14ac:dyDescent="0.3">
      <c r="A233" s="6" t="s">
        <v>2928</v>
      </c>
      <c r="B233" s="6" t="s">
        <v>2811</v>
      </c>
      <c r="C233" s="10" t="s">
        <v>654</v>
      </c>
      <c r="D233" s="6">
        <v>1</v>
      </c>
      <c r="E233" s="6">
        <v>5.0000000000000001E-3</v>
      </c>
      <c r="F233" s="6">
        <v>2.5999999999999999E-2</v>
      </c>
      <c r="G233" s="6">
        <v>8.0000000000000002E-3</v>
      </c>
      <c r="H233" s="10">
        <f t="shared" si="3"/>
        <v>222.5</v>
      </c>
      <c r="I233" s="6">
        <v>178</v>
      </c>
    </row>
    <row r="234" spans="1:9" x14ac:dyDescent="0.3">
      <c r="A234" s="6" t="s">
        <v>2929</v>
      </c>
      <c r="B234" s="6" t="s">
        <v>2811</v>
      </c>
      <c r="C234" s="10" t="s">
        <v>600</v>
      </c>
      <c r="D234" s="6">
        <v>1</v>
      </c>
      <c r="E234" s="6">
        <v>3.0000000000000001E-3</v>
      </c>
      <c r="F234" s="6">
        <v>1.0999999999999999E-2</v>
      </c>
      <c r="G234" s="6">
        <v>0.85799999999999998</v>
      </c>
      <c r="H234" s="10">
        <f t="shared" si="3"/>
        <v>1971.25</v>
      </c>
      <c r="I234" s="6">
        <v>1577</v>
      </c>
    </row>
    <row r="235" spans="1:9" x14ac:dyDescent="0.3">
      <c r="A235" s="6" t="s">
        <v>2930</v>
      </c>
      <c r="B235" s="6" t="s">
        <v>2811</v>
      </c>
      <c r="C235" s="10" t="s">
        <v>359</v>
      </c>
      <c r="D235" s="6">
        <v>1</v>
      </c>
      <c r="E235" s="6">
        <v>1E-3</v>
      </c>
      <c r="F235" s="6">
        <v>3.0000000000000001E-3</v>
      </c>
      <c r="G235" s="6">
        <v>0.22600000000000001</v>
      </c>
      <c r="H235" s="10">
        <f t="shared" si="3"/>
        <v>1971.25</v>
      </c>
      <c r="I235" s="6">
        <v>1577</v>
      </c>
    </row>
    <row r="236" spans="1:9" x14ac:dyDescent="0.3">
      <c r="A236" s="6" t="s">
        <v>1190</v>
      </c>
      <c r="B236" s="6" t="s">
        <v>263</v>
      </c>
      <c r="C236" s="6" t="s">
        <v>213</v>
      </c>
      <c r="D236" s="6">
        <v>1</v>
      </c>
      <c r="E236" s="6" t="s">
        <v>827</v>
      </c>
      <c r="F236" s="6" t="s">
        <v>849</v>
      </c>
      <c r="G236" s="6" t="s">
        <v>1033</v>
      </c>
      <c r="H236" s="10">
        <f t="shared" si="3"/>
        <v>178.75</v>
      </c>
      <c r="I236" s="6" t="s">
        <v>1191</v>
      </c>
    </row>
    <row r="237" spans="1:9" x14ac:dyDescent="0.3">
      <c r="A237" s="6" t="s">
        <v>1192</v>
      </c>
      <c r="B237" s="6" t="s">
        <v>263</v>
      </c>
      <c r="C237" s="6" t="s">
        <v>377</v>
      </c>
      <c r="D237" s="6">
        <v>1</v>
      </c>
      <c r="E237" s="6" t="s">
        <v>822</v>
      </c>
      <c r="F237" s="6" t="s">
        <v>938</v>
      </c>
      <c r="G237" s="6" t="s">
        <v>819</v>
      </c>
      <c r="H237" s="10">
        <f t="shared" si="3"/>
        <v>130</v>
      </c>
      <c r="I237" s="6" t="s">
        <v>869</v>
      </c>
    </row>
    <row r="238" spans="1:9" x14ac:dyDescent="0.3">
      <c r="A238" s="6" t="s">
        <v>1193</v>
      </c>
      <c r="B238" s="6" t="s">
        <v>265</v>
      </c>
      <c r="C238" s="6" t="s">
        <v>278</v>
      </c>
      <c r="D238" s="6">
        <v>1</v>
      </c>
      <c r="E238" s="6" t="s">
        <v>1080</v>
      </c>
      <c r="F238" s="6" t="s">
        <v>1194</v>
      </c>
      <c r="G238" s="6" t="s">
        <v>911</v>
      </c>
      <c r="H238" s="10">
        <f t="shared" si="3"/>
        <v>102.5</v>
      </c>
      <c r="I238" s="6" t="s">
        <v>875</v>
      </c>
    </row>
    <row r="239" spans="1:9" x14ac:dyDescent="0.3">
      <c r="A239" s="6" t="s">
        <v>1195</v>
      </c>
      <c r="B239" s="6" t="s">
        <v>265</v>
      </c>
      <c r="C239" s="6" t="s">
        <v>534</v>
      </c>
      <c r="D239" s="6">
        <v>1</v>
      </c>
      <c r="E239" s="6" t="s">
        <v>853</v>
      </c>
      <c r="F239" s="6" t="s">
        <v>1094</v>
      </c>
      <c r="G239" s="6" t="s">
        <v>811</v>
      </c>
      <c r="H239" s="10">
        <f t="shared" si="3"/>
        <v>102.5</v>
      </c>
      <c r="I239" s="6" t="s">
        <v>875</v>
      </c>
    </row>
    <row r="240" spans="1:9" x14ac:dyDescent="0.3">
      <c r="A240" s="6" t="s">
        <v>1196</v>
      </c>
      <c r="B240" s="6" t="s">
        <v>265</v>
      </c>
      <c r="C240" s="6" t="s">
        <v>544</v>
      </c>
      <c r="D240" s="6">
        <v>1</v>
      </c>
      <c r="E240" s="6" t="s">
        <v>847</v>
      </c>
      <c r="F240" s="6" t="s">
        <v>809</v>
      </c>
      <c r="G240" s="6" t="s">
        <v>822</v>
      </c>
      <c r="H240" s="10">
        <f t="shared" si="3"/>
        <v>102.5</v>
      </c>
      <c r="I240" s="6" t="s">
        <v>875</v>
      </c>
    </row>
    <row r="241" spans="1:9" x14ac:dyDescent="0.3">
      <c r="A241" s="6" t="s">
        <v>1197</v>
      </c>
      <c r="B241" s="6" t="s">
        <v>265</v>
      </c>
      <c r="C241" s="6" t="s">
        <v>544</v>
      </c>
      <c r="D241" s="6">
        <v>1</v>
      </c>
      <c r="E241" s="6" t="s">
        <v>847</v>
      </c>
      <c r="F241" s="6" t="s">
        <v>809</v>
      </c>
      <c r="G241" s="6" t="s">
        <v>822</v>
      </c>
      <c r="H241" s="10">
        <f t="shared" si="3"/>
        <v>102.5</v>
      </c>
      <c r="I241" s="6" t="s">
        <v>875</v>
      </c>
    </row>
    <row r="242" spans="1:9" x14ac:dyDescent="0.3">
      <c r="A242" s="6" t="s">
        <v>1198</v>
      </c>
      <c r="B242" s="6" t="s">
        <v>265</v>
      </c>
      <c r="C242" s="6" t="s">
        <v>685</v>
      </c>
      <c r="D242" s="6">
        <v>1</v>
      </c>
      <c r="E242" s="6" t="s">
        <v>853</v>
      </c>
      <c r="F242" s="6" t="s">
        <v>1199</v>
      </c>
      <c r="G242" s="6" t="s">
        <v>818</v>
      </c>
      <c r="H242" s="10">
        <f t="shared" si="3"/>
        <v>232.5</v>
      </c>
      <c r="I242" s="6" t="s">
        <v>1200</v>
      </c>
    </row>
    <row r="243" spans="1:9" x14ac:dyDescent="0.3">
      <c r="A243" s="6" t="s">
        <v>1201</v>
      </c>
      <c r="B243" s="6" t="s">
        <v>268</v>
      </c>
      <c r="C243" s="6" t="s">
        <v>389</v>
      </c>
      <c r="D243" s="6">
        <v>1</v>
      </c>
      <c r="E243" s="6" t="s">
        <v>849</v>
      </c>
      <c r="F243" s="6" t="s">
        <v>847</v>
      </c>
      <c r="G243" s="6" t="s">
        <v>858</v>
      </c>
      <c r="H243" s="10">
        <f t="shared" si="3"/>
        <v>155</v>
      </c>
      <c r="I243" s="6" t="s">
        <v>1065</v>
      </c>
    </row>
    <row r="244" spans="1:9" x14ac:dyDescent="0.3">
      <c r="A244" s="6" t="s">
        <v>1202</v>
      </c>
      <c r="B244" s="6" t="s">
        <v>268</v>
      </c>
      <c r="C244" s="6" t="s">
        <v>456</v>
      </c>
      <c r="D244" s="6">
        <v>1</v>
      </c>
      <c r="E244" s="6" t="s">
        <v>811</v>
      </c>
      <c r="F244" s="6" t="s">
        <v>1015</v>
      </c>
      <c r="G244" s="6" t="s">
        <v>958</v>
      </c>
      <c r="H244" s="10">
        <f t="shared" si="3"/>
        <v>170</v>
      </c>
      <c r="I244" s="6" t="s">
        <v>951</v>
      </c>
    </row>
    <row r="245" spans="1:9" x14ac:dyDescent="0.3">
      <c r="A245" s="6" t="s">
        <v>1203</v>
      </c>
      <c r="B245" s="6" t="s">
        <v>270</v>
      </c>
      <c r="C245" s="6" t="s">
        <v>372</v>
      </c>
      <c r="D245" s="6">
        <v>1</v>
      </c>
      <c r="E245" s="6" t="s">
        <v>905</v>
      </c>
      <c r="F245" s="6" t="s">
        <v>857</v>
      </c>
      <c r="G245" s="6" t="s">
        <v>842</v>
      </c>
      <c r="H245" s="10">
        <f t="shared" si="3"/>
        <v>123.75</v>
      </c>
      <c r="I245" s="6" t="s">
        <v>812</v>
      </c>
    </row>
    <row r="246" spans="1:9" x14ac:dyDescent="0.3">
      <c r="A246" s="6" t="s">
        <v>1204</v>
      </c>
      <c r="B246" s="6" t="s">
        <v>270</v>
      </c>
      <c r="C246" s="6" t="s">
        <v>438</v>
      </c>
      <c r="D246" s="6">
        <v>1</v>
      </c>
      <c r="E246" s="6" t="s">
        <v>818</v>
      </c>
      <c r="F246" s="6" t="s">
        <v>923</v>
      </c>
      <c r="G246" s="6" t="s">
        <v>849</v>
      </c>
      <c r="H246" s="10">
        <f t="shared" si="3"/>
        <v>222.5</v>
      </c>
      <c r="I246" s="6" t="s">
        <v>820</v>
      </c>
    </row>
    <row r="247" spans="1:9" x14ac:dyDescent="0.3">
      <c r="A247" s="6" t="s">
        <v>1205</v>
      </c>
      <c r="B247" s="6" t="s">
        <v>272</v>
      </c>
      <c r="C247" s="6" t="s">
        <v>65</v>
      </c>
      <c r="D247" s="6">
        <v>1</v>
      </c>
      <c r="E247" s="6" t="s">
        <v>938</v>
      </c>
      <c r="F247" s="6" t="s">
        <v>920</v>
      </c>
      <c r="G247" s="6" t="s">
        <v>818</v>
      </c>
      <c r="H247" s="10">
        <f t="shared" si="3"/>
        <v>222.5</v>
      </c>
      <c r="I247" s="6" t="s">
        <v>820</v>
      </c>
    </row>
    <row r="248" spans="1:9" x14ac:dyDescent="0.3">
      <c r="A248" s="6" t="s">
        <v>1206</v>
      </c>
      <c r="B248" s="6" t="s">
        <v>272</v>
      </c>
      <c r="C248" s="6" t="s">
        <v>384</v>
      </c>
      <c r="D248" s="6">
        <v>1</v>
      </c>
      <c r="E248" s="6" t="s">
        <v>846</v>
      </c>
      <c r="F248" s="6" t="s">
        <v>816</v>
      </c>
      <c r="G248" s="6" t="s">
        <v>827</v>
      </c>
      <c r="H248" s="10">
        <f t="shared" si="3"/>
        <v>123.75</v>
      </c>
      <c r="I248" s="6" t="s">
        <v>812</v>
      </c>
    </row>
    <row r="249" spans="1:9" x14ac:dyDescent="0.3">
      <c r="A249" s="6" t="s">
        <v>1207</v>
      </c>
      <c r="B249" s="6" t="s">
        <v>272</v>
      </c>
      <c r="C249" s="6" t="s">
        <v>384</v>
      </c>
      <c r="D249" s="6">
        <v>1</v>
      </c>
      <c r="E249" s="6" t="s">
        <v>846</v>
      </c>
      <c r="F249" s="6" t="s">
        <v>847</v>
      </c>
      <c r="G249" s="6" t="s">
        <v>827</v>
      </c>
      <c r="H249" s="10">
        <f t="shared" si="3"/>
        <v>123.75</v>
      </c>
      <c r="I249" s="6" t="s">
        <v>812</v>
      </c>
    </row>
    <row r="250" spans="1:9" x14ac:dyDescent="0.3">
      <c r="A250" s="6" t="s">
        <v>1208</v>
      </c>
      <c r="B250" s="6" t="s">
        <v>274</v>
      </c>
      <c r="C250" s="6" t="s">
        <v>633</v>
      </c>
      <c r="D250" s="6">
        <v>1</v>
      </c>
      <c r="E250" s="6" t="s">
        <v>849</v>
      </c>
      <c r="F250" s="6" t="s">
        <v>892</v>
      </c>
      <c r="G250" s="6" t="s">
        <v>827</v>
      </c>
      <c r="H250" s="10">
        <f t="shared" si="3"/>
        <v>131.25</v>
      </c>
      <c r="I250" s="6" t="s">
        <v>862</v>
      </c>
    </row>
    <row r="251" spans="1:9" x14ac:dyDescent="0.3">
      <c r="A251" s="6" t="s">
        <v>1209</v>
      </c>
      <c r="B251" s="6" t="s">
        <v>274</v>
      </c>
      <c r="C251" s="6" t="s">
        <v>633</v>
      </c>
      <c r="D251" s="6">
        <v>1</v>
      </c>
      <c r="E251" s="6" t="s">
        <v>822</v>
      </c>
      <c r="F251" s="6" t="s">
        <v>892</v>
      </c>
      <c r="G251" s="6" t="s">
        <v>827</v>
      </c>
      <c r="H251" s="10">
        <f t="shared" si="3"/>
        <v>131.25</v>
      </c>
      <c r="I251" s="6" t="s">
        <v>862</v>
      </c>
    </row>
    <row r="252" spans="1:9" x14ac:dyDescent="0.3">
      <c r="A252" s="6" t="s">
        <v>1210</v>
      </c>
      <c r="B252" s="6" t="s">
        <v>274</v>
      </c>
      <c r="C252" s="6" t="s">
        <v>664</v>
      </c>
      <c r="D252" s="6">
        <v>1</v>
      </c>
      <c r="E252" s="6" t="s">
        <v>882</v>
      </c>
      <c r="F252" s="6" t="s">
        <v>853</v>
      </c>
      <c r="G252" s="6" t="s">
        <v>822</v>
      </c>
      <c r="H252" s="10">
        <f t="shared" si="3"/>
        <v>123.75</v>
      </c>
      <c r="I252" s="6" t="s">
        <v>812</v>
      </c>
    </row>
    <row r="253" spans="1:9" x14ac:dyDescent="0.3">
      <c r="A253" s="6" t="s">
        <v>1211</v>
      </c>
      <c r="B253" s="6" t="s">
        <v>274</v>
      </c>
      <c r="C253" s="6" t="s">
        <v>796</v>
      </c>
      <c r="D253" s="6">
        <v>1</v>
      </c>
      <c r="E253" s="6" t="s">
        <v>809</v>
      </c>
      <c r="F253" s="6" t="s">
        <v>947</v>
      </c>
      <c r="G253" s="6" t="s">
        <v>811</v>
      </c>
      <c r="H253" s="10">
        <f t="shared" si="3"/>
        <v>123.75</v>
      </c>
      <c r="I253" s="6" t="s">
        <v>812</v>
      </c>
    </row>
    <row r="254" spans="1:9" x14ac:dyDescent="0.3">
      <c r="A254" s="6" t="s">
        <v>1212</v>
      </c>
      <c r="B254" s="6" t="s">
        <v>276</v>
      </c>
      <c r="C254" s="6" t="s">
        <v>236</v>
      </c>
      <c r="D254" s="6">
        <v>1</v>
      </c>
      <c r="E254" s="6" t="s">
        <v>831</v>
      </c>
      <c r="F254" s="6" t="s">
        <v>849</v>
      </c>
      <c r="G254" s="6" t="s">
        <v>850</v>
      </c>
      <c r="H254" s="10">
        <f t="shared" si="3"/>
        <v>125</v>
      </c>
      <c r="I254" s="6" t="s">
        <v>1213</v>
      </c>
    </row>
    <row r="255" spans="1:9" x14ac:dyDescent="0.3">
      <c r="A255" s="6" t="s">
        <v>1214</v>
      </c>
      <c r="B255" s="6" t="s">
        <v>276</v>
      </c>
      <c r="C255" s="6" t="s">
        <v>770</v>
      </c>
      <c r="D255" s="6">
        <v>1</v>
      </c>
      <c r="E255" s="6" t="s">
        <v>822</v>
      </c>
      <c r="F255" s="6" t="s">
        <v>811</v>
      </c>
      <c r="G255" s="6" t="s">
        <v>985</v>
      </c>
      <c r="H255" s="10">
        <f t="shared" si="3"/>
        <v>125</v>
      </c>
      <c r="I255" s="6" t="s">
        <v>1213</v>
      </c>
    </row>
    <row r="256" spans="1:9" x14ac:dyDescent="0.3">
      <c r="A256" s="6" t="s">
        <v>2931</v>
      </c>
      <c r="B256" s="6" t="s">
        <v>278</v>
      </c>
      <c r="C256" s="6" t="s">
        <v>2815</v>
      </c>
      <c r="D256" s="6">
        <v>1</v>
      </c>
      <c r="E256" s="6">
        <v>1E-3</v>
      </c>
      <c r="F256" s="6">
        <v>3.0000000000000001E-3</v>
      </c>
      <c r="G256" s="6">
        <v>8.6999999999999994E-2</v>
      </c>
      <c r="H256" s="10">
        <f t="shared" si="3"/>
        <v>250</v>
      </c>
      <c r="I256" s="6">
        <v>200</v>
      </c>
    </row>
    <row r="257" spans="1:9" x14ac:dyDescent="0.3">
      <c r="A257" s="6" t="s">
        <v>1215</v>
      </c>
      <c r="B257" s="6" t="s">
        <v>278</v>
      </c>
      <c r="C257" s="6" t="s">
        <v>493</v>
      </c>
      <c r="D257" s="6">
        <v>1</v>
      </c>
      <c r="E257" s="6" t="s">
        <v>847</v>
      </c>
      <c r="F257" s="6" t="s">
        <v>814</v>
      </c>
      <c r="G257" s="6" t="s">
        <v>846</v>
      </c>
      <c r="H257" s="10">
        <f t="shared" si="3"/>
        <v>178.75</v>
      </c>
      <c r="I257" s="6" t="s">
        <v>1191</v>
      </c>
    </row>
    <row r="258" spans="1:9" x14ac:dyDescent="0.3">
      <c r="A258" s="6" t="s">
        <v>1216</v>
      </c>
      <c r="B258" s="6" t="s">
        <v>278</v>
      </c>
      <c r="C258" s="6" t="s">
        <v>534</v>
      </c>
      <c r="D258" s="6">
        <v>1</v>
      </c>
      <c r="E258" s="6" t="s">
        <v>856</v>
      </c>
      <c r="F258" s="6" t="s">
        <v>1217</v>
      </c>
      <c r="G258" s="6" t="s">
        <v>882</v>
      </c>
      <c r="H258" s="10">
        <f t="shared" si="3"/>
        <v>102.5</v>
      </c>
      <c r="I258" s="6" t="s">
        <v>875</v>
      </c>
    </row>
    <row r="259" spans="1:9" x14ac:dyDescent="0.3">
      <c r="A259" s="6" t="s">
        <v>1218</v>
      </c>
      <c r="B259" s="6" t="s">
        <v>278</v>
      </c>
      <c r="C259" s="6" t="s">
        <v>541</v>
      </c>
      <c r="D259" s="6">
        <v>1</v>
      </c>
      <c r="E259" s="6" t="s">
        <v>816</v>
      </c>
      <c r="F259" s="6" t="s">
        <v>874</v>
      </c>
      <c r="G259" s="6" t="s">
        <v>822</v>
      </c>
      <c r="H259" s="10">
        <f t="shared" ref="H259:H322" si="4">I259*1.25</f>
        <v>102.5</v>
      </c>
      <c r="I259" s="6" t="s">
        <v>875</v>
      </c>
    </row>
    <row r="260" spans="1:9" x14ac:dyDescent="0.3">
      <c r="A260" s="6" t="s">
        <v>1219</v>
      </c>
      <c r="B260" s="6" t="s">
        <v>278</v>
      </c>
      <c r="C260" s="6" t="s">
        <v>541</v>
      </c>
      <c r="D260" s="6">
        <v>1</v>
      </c>
      <c r="E260" s="6" t="s">
        <v>816</v>
      </c>
      <c r="F260" s="6" t="s">
        <v>874</v>
      </c>
      <c r="G260" s="6" t="s">
        <v>822</v>
      </c>
      <c r="H260" s="10">
        <f t="shared" si="4"/>
        <v>102.5</v>
      </c>
      <c r="I260" s="6" t="s">
        <v>875</v>
      </c>
    </row>
    <row r="261" spans="1:9" x14ac:dyDescent="0.3">
      <c r="A261" s="6" t="s">
        <v>1220</v>
      </c>
      <c r="B261" s="6" t="s">
        <v>280</v>
      </c>
      <c r="C261" s="6" t="s">
        <v>563</v>
      </c>
      <c r="D261" s="6">
        <v>1</v>
      </c>
      <c r="E261" s="6" t="s">
        <v>811</v>
      </c>
      <c r="F261" s="6" t="s">
        <v>850</v>
      </c>
      <c r="G261" s="6" t="s">
        <v>1221</v>
      </c>
      <c r="H261" s="10">
        <f t="shared" si="4"/>
        <v>515</v>
      </c>
      <c r="I261" s="6" t="s">
        <v>1222</v>
      </c>
    </row>
    <row r="262" spans="1:9" x14ac:dyDescent="0.3">
      <c r="A262" s="6" t="s">
        <v>1223</v>
      </c>
      <c r="B262" s="6" t="s">
        <v>280</v>
      </c>
      <c r="C262" s="6" t="s">
        <v>563</v>
      </c>
      <c r="D262" s="6">
        <v>1</v>
      </c>
      <c r="E262" s="6" t="s">
        <v>811</v>
      </c>
      <c r="F262" s="6" t="s">
        <v>850</v>
      </c>
      <c r="G262" s="6" t="s">
        <v>1221</v>
      </c>
      <c r="H262" s="10">
        <f t="shared" si="4"/>
        <v>515</v>
      </c>
      <c r="I262" s="6" t="s">
        <v>1222</v>
      </c>
    </row>
    <row r="263" spans="1:9" x14ac:dyDescent="0.3">
      <c r="A263" s="6" t="s">
        <v>1224</v>
      </c>
      <c r="B263" s="6" t="s">
        <v>278</v>
      </c>
      <c r="C263" s="6" t="s">
        <v>726</v>
      </c>
      <c r="D263" s="6">
        <v>1</v>
      </c>
      <c r="E263" s="6" t="s">
        <v>847</v>
      </c>
      <c r="F263" s="6" t="s">
        <v>958</v>
      </c>
      <c r="G263" s="6" t="s">
        <v>816</v>
      </c>
      <c r="H263" s="10">
        <f t="shared" si="4"/>
        <v>102.5</v>
      </c>
      <c r="I263" s="6" t="s">
        <v>875</v>
      </c>
    </row>
    <row r="264" spans="1:9" x14ac:dyDescent="0.3">
      <c r="A264" s="6" t="s">
        <v>1225</v>
      </c>
      <c r="B264" s="6" t="s">
        <v>278</v>
      </c>
      <c r="C264" s="6" t="s">
        <v>726</v>
      </c>
      <c r="D264" s="6">
        <v>1</v>
      </c>
      <c r="E264" s="6" t="s">
        <v>847</v>
      </c>
      <c r="F264" s="6" t="s">
        <v>958</v>
      </c>
      <c r="G264" s="6" t="s">
        <v>938</v>
      </c>
      <c r="H264" s="10">
        <f t="shared" si="4"/>
        <v>102.5</v>
      </c>
      <c r="I264" s="6" t="s">
        <v>875</v>
      </c>
    </row>
    <row r="265" spans="1:9" x14ac:dyDescent="0.3">
      <c r="A265" s="6" t="s">
        <v>1226</v>
      </c>
      <c r="B265" s="6" t="s">
        <v>278</v>
      </c>
      <c r="C265" s="6" t="s">
        <v>735</v>
      </c>
      <c r="D265" s="6">
        <v>1</v>
      </c>
      <c r="E265" s="6" t="s">
        <v>1092</v>
      </c>
      <c r="F265" s="6" t="s">
        <v>970</v>
      </c>
      <c r="G265" s="6" t="s">
        <v>823</v>
      </c>
      <c r="H265" s="10">
        <f t="shared" si="4"/>
        <v>136.25</v>
      </c>
      <c r="I265" s="6" t="s">
        <v>859</v>
      </c>
    </row>
    <row r="266" spans="1:9" x14ac:dyDescent="0.3">
      <c r="A266" s="6" t="s">
        <v>1227</v>
      </c>
      <c r="B266" s="6" t="s">
        <v>283</v>
      </c>
      <c r="C266" s="6" t="s">
        <v>558</v>
      </c>
      <c r="D266" s="6">
        <v>1</v>
      </c>
      <c r="E266" s="6" t="s">
        <v>849</v>
      </c>
      <c r="F266" s="6" t="s">
        <v>835</v>
      </c>
      <c r="G266" s="6" t="s">
        <v>849</v>
      </c>
      <c r="H266" s="10">
        <f t="shared" si="4"/>
        <v>222.5</v>
      </c>
      <c r="I266" s="6" t="s">
        <v>820</v>
      </c>
    </row>
    <row r="267" spans="1:9" x14ac:dyDescent="0.3">
      <c r="A267" s="6" t="s">
        <v>1228</v>
      </c>
      <c r="B267" s="6" t="s">
        <v>283</v>
      </c>
      <c r="C267" s="6" t="s">
        <v>794</v>
      </c>
      <c r="D267" s="6">
        <v>1</v>
      </c>
      <c r="E267" s="6" t="s">
        <v>853</v>
      </c>
      <c r="F267" s="6" t="s">
        <v>912</v>
      </c>
      <c r="G267" s="6" t="s">
        <v>892</v>
      </c>
      <c r="H267" s="10">
        <f t="shared" si="4"/>
        <v>123.75</v>
      </c>
      <c r="I267" s="6" t="s">
        <v>812</v>
      </c>
    </row>
    <row r="268" spans="1:9" x14ac:dyDescent="0.3">
      <c r="A268" s="6" t="s">
        <v>1229</v>
      </c>
      <c r="B268" s="6" t="s">
        <v>288</v>
      </c>
      <c r="C268" s="6" t="s">
        <v>467</v>
      </c>
      <c r="D268" s="6">
        <v>1</v>
      </c>
      <c r="E268" s="6" t="s">
        <v>958</v>
      </c>
      <c r="F268" s="6" t="s">
        <v>973</v>
      </c>
      <c r="G268" s="6" t="s">
        <v>938</v>
      </c>
      <c r="H268" s="10">
        <f t="shared" si="4"/>
        <v>102.5</v>
      </c>
      <c r="I268" s="6" t="s">
        <v>875</v>
      </c>
    </row>
    <row r="269" spans="1:9" x14ac:dyDescent="0.3">
      <c r="A269" s="6" t="s">
        <v>1230</v>
      </c>
      <c r="B269" s="6" t="s">
        <v>288</v>
      </c>
      <c r="C269" s="6" t="s">
        <v>765</v>
      </c>
      <c r="D269" s="6">
        <v>1</v>
      </c>
      <c r="E269" s="6" t="s">
        <v>955</v>
      </c>
      <c r="F269" s="6" t="s">
        <v>1231</v>
      </c>
      <c r="G269" s="6" t="s">
        <v>835</v>
      </c>
      <c r="H269" s="10">
        <f t="shared" si="4"/>
        <v>136.25</v>
      </c>
      <c r="I269" s="6" t="s">
        <v>859</v>
      </c>
    </row>
    <row r="270" spans="1:9" x14ac:dyDescent="0.3">
      <c r="A270" s="6" t="s">
        <v>1232</v>
      </c>
      <c r="B270" s="6" t="s">
        <v>291</v>
      </c>
      <c r="C270" s="6" t="s">
        <v>480</v>
      </c>
      <c r="D270" s="6">
        <v>1</v>
      </c>
      <c r="E270" s="6" t="s">
        <v>827</v>
      </c>
      <c r="F270" s="6" t="s">
        <v>831</v>
      </c>
      <c r="G270" s="6" t="s">
        <v>901</v>
      </c>
      <c r="H270" s="10">
        <f t="shared" si="4"/>
        <v>175</v>
      </c>
      <c r="I270" s="6" t="s">
        <v>851</v>
      </c>
    </row>
    <row r="271" spans="1:9" x14ac:dyDescent="0.3">
      <c r="A271" s="6" t="s">
        <v>1233</v>
      </c>
      <c r="B271" s="6" t="s">
        <v>291</v>
      </c>
      <c r="C271" s="6" t="s">
        <v>480</v>
      </c>
      <c r="D271" s="6">
        <v>1</v>
      </c>
      <c r="E271" s="6" t="s">
        <v>827</v>
      </c>
      <c r="F271" s="6" t="s">
        <v>831</v>
      </c>
      <c r="G271" s="6" t="s">
        <v>901</v>
      </c>
      <c r="H271" s="10">
        <f t="shared" si="4"/>
        <v>175</v>
      </c>
      <c r="I271" s="6" t="s">
        <v>851</v>
      </c>
    </row>
    <row r="272" spans="1:9" x14ac:dyDescent="0.3">
      <c r="A272" s="6" t="s">
        <v>1234</v>
      </c>
      <c r="B272" s="6" t="s">
        <v>293</v>
      </c>
      <c r="C272" s="6" t="s">
        <v>450</v>
      </c>
      <c r="D272" s="6">
        <v>1</v>
      </c>
      <c r="E272" s="6" t="s">
        <v>849</v>
      </c>
      <c r="F272" s="6" t="s">
        <v>882</v>
      </c>
      <c r="G272" s="6" t="s">
        <v>827</v>
      </c>
      <c r="H272" s="10">
        <f t="shared" si="4"/>
        <v>245</v>
      </c>
      <c r="I272" s="6" t="s">
        <v>963</v>
      </c>
    </row>
    <row r="273" spans="1:9" x14ac:dyDescent="0.3">
      <c r="A273" s="6" t="s">
        <v>1235</v>
      </c>
      <c r="B273" s="6" t="s">
        <v>293</v>
      </c>
      <c r="C273" s="6" t="s">
        <v>462</v>
      </c>
      <c r="D273" s="6">
        <v>1</v>
      </c>
      <c r="E273" s="6" t="s">
        <v>1033</v>
      </c>
      <c r="F273" s="6" t="s">
        <v>949</v>
      </c>
      <c r="G273" s="6" t="s">
        <v>1015</v>
      </c>
      <c r="H273" s="10">
        <f t="shared" si="4"/>
        <v>222.5</v>
      </c>
      <c r="I273" s="6" t="s">
        <v>820</v>
      </c>
    </row>
    <row r="274" spans="1:9" x14ac:dyDescent="0.3">
      <c r="A274" s="6" t="s">
        <v>1236</v>
      </c>
      <c r="B274" s="6" t="s">
        <v>297</v>
      </c>
      <c r="C274" s="6" t="s">
        <v>254</v>
      </c>
      <c r="D274" s="6">
        <v>1</v>
      </c>
      <c r="E274" s="6" t="s">
        <v>901</v>
      </c>
      <c r="F274" s="6" t="s">
        <v>1237</v>
      </c>
      <c r="G274" s="6" t="s">
        <v>892</v>
      </c>
      <c r="H274" s="10">
        <f t="shared" si="4"/>
        <v>222.5</v>
      </c>
      <c r="I274" s="6" t="s">
        <v>820</v>
      </c>
    </row>
    <row r="275" spans="1:9" x14ac:dyDescent="0.3">
      <c r="A275" s="6" t="s">
        <v>1238</v>
      </c>
      <c r="B275" s="6" t="s">
        <v>297</v>
      </c>
      <c r="C275" s="6" t="s">
        <v>335</v>
      </c>
      <c r="D275" s="6">
        <v>1</v>
      </c>
      <c r="E275" s="6" t="s">
        <v>962</v>
      </c>
      <c r="F275" s="6" t="s">
        <v>1239</v>
      </c>
      <c r="G275" s="6" t="s">
        <v>1033</v>
      </c>
      <c r="H275" s="10">
        <f t="shared" si="4"/>
        <v>123.75</v>
      </c>
      <c r="I275" s="6" t="s">
        <v>812</v>
      </c>
    </row>
    <row r="276" spans="1:9" x14ac:dyDescent="0.3">
      <c r="A276" s="6" t="s">
        <v>1240</v>
      </c>
      <c r="B276" s="6" t="s">
        <v>297</v>
      </c>
      <c r="C276" s="6" t="s">
        <v>370</v>
      </c>
      <c r="D276" s="6">
        <v>1</v>
      </c>
      <c r="E276" s="6" t="s">
        <v>836</v>
      </c>
      <c r="F276" s="6" t="s">
        <v>1241</v>
      </c>
      <c r="G276" s="6" t="s">
        <v>858</v>
      </c>
      <c r="H276" s="10">
        <f t="shared" si="4"/>
        <v>222.5</v>
      </c>
      <c r="I276" s="6" t="s">
        <v>820</v>
      </c>
    </row>
    <row r="277" spans="1:9" x14ac:dyDescent="0.3">
      <c r="A277" s="6" t="s">
        <v>1242</v>
      </c>
      <c r="B277" s="6" t="s">
        <v>299</v>
      </c>
      <c r="C277" s="6" t="s">
        <v>386</v>
      </c>
      <c r="D277" s="6">
        <v>1</v>
      </c>
      <c r="E277" s="6" t="s">
        <v>882</v>
      </c>
      <c r="F277" s="6" t="s">
        <v>912</v>
      </c>
      <c r="G277" s="6" t="s">
        <v>1243</v>
      </c>
      <c r="H277" s="10">
        <f t="shared" si="4"/>
        <v>437.5</v>
      </c>
      <c r="I277" s="6" t="s">
        <v>1244</v>
      </c>
    </row>
    <row r="278" spans="1:9" x14ac:dyDescent="0.3">
      <c r="A278" s="6" t="s">
        <v>1245</v>
      </c>
      <c r="B278" s="6" t="s">
        <v>297</v>
      </c>
      <c r="C278" s="6" t="s">
        <v>392</v>
      </c>
      <c r="D278" s="6">
        <v>1</v>
      </c>
      <c r="E278" s="6" t="s">
        <v>835</v>
      </c>
      <c r="F278" s="6" t="s">
        <v>814</v>
      </c>
      <c r="G278" s="6" t="s">
        <v>849</v>
      </c>
      <c r="H278" s="10">
        <f t="shared" si="4"/>
        <v>123.75</v>
      </c>
      <c r="I278" s="6" t="s">
        <v>812</v>
      </c>
    </row>
    <row r="279" spans="1:9" x14ac:dyDescent="0.3">
      <c r="A279" s="6" t="s">
        <v>1246</v>
      </c>
      <c r="B279" s="6" t="s">
        <v>297</v>
      </c>
      <c r="C279" s="6" t="s">
        <v>392</v>
      </c>
      <c r="D279" s="6">
        <v>1</v>
      </c>
      <c r="E279" s="6" t="s">
        <v>1092</v>
      </c>
      <c r="F279" s="6" t="s">
        <v>856</v>
      </c>
      <c r="G279" s="6" t="s">
        <v>849</v>
      </c>
      <c r="H279" s="10">
        <f t="shared" si="4"/>
        <v>123.75</v>
      </c>
      <c r="I279" s="6" t="s">
        <v>812</v>
      </c>
    </row>
    <row r="280" spans="1:9" x14ac:dyDescent="0.3">
      <c r="A280" s="6" t="s">
        <v>1247</v>
      </c>
      <c r="B280" s="6" t="s">
        <v>297</v>
      </c>
      <c r="C280" s="6" t="s">
        <v>392</v>
      </c>
      <c r="D280" s="6">
        <v>1</v>
      </c>
      <c r="E280" s="6" t="s">
        <v>1092</v>
      </c>
      <c r="F280" s="6" t="s">
        <v>856</v>
      </c>
      <c r="G280" s="6" t="s">
        <v>849</v>
      </c>
      <c r="H280" s="10">
        <f t="shared" si="4"/>
        <v>123.75</v>
      </c>
      <c r="I280" s="6" t="s">
        <v>812</v>
      </c>
    </row>
    <row r="281" spans="1:9" x14ac:dyDescent="0.3">
      <c r="A281" s="6" t="s">
        <v>1248</v>
      </c>
      <c r="B281" s="6" t="s">
        <v>299</v>
      </c>
      <c r="C281" s="6" t="s">
        <v>659</v>
      </c>
      <c r="D281" s="6">
        <v>1</v>
      </c>
      <c r="E281" s="6" t="s">
        <v>882</v>
      </c>
      <c r="F281" s="6" t="s">
        <v>973</v>
      </c>
      <c r="G281" s="6" t="s">
        <v>966</v>
      </c>
      <c r="H281" s="10">
        <f t="shared" si="4"/>
        <v>490</v>
      </c>
      <c r="I281" s="6" t="s">
        <v>1249</v>
      </c>
    </row>
    <row r="282" spans="1:9" x14ac:dyDescent="0.3">
      <c r="A282" s="6" t="s">
        <v>1250</v>
      </c>
      <c r="B282" s="6" t="s">
        <v>297</v>
      </c>
      <c r="C282" s="6" t="s">
        <v>693</v>
      </c>
      <c r="D282" s="6">
        <v>1</v>
      </c>
      <c r="E282" s="6" t="s">
        <v>853</v>
      </c>
      <c r="F282" s="6" t="s">
        <v>1237</v>
      </c>
      <c r="G282" s="6" t="s">
        <v>867</v>
      </c>
      <c r="H282" s="10">
        <f t="shared" si="4"/>
        <v>121.25</v>
      </c>
      <c r="I282" s="6" t="s">
        <v>1251</v>
      </c>
    </row>
    <row r="283" spans="1:9" x14ac:dyDescent="0.3">
      <c r="A283" s="6" t="s">
        <v>1252</v>
      </c>
      <c r="B283" s="6" t="s">
        <v>297</v>
      </c>
      <c r="C283" s="6" t="s">
        <v>720</v>
      </c>
      <c r="D283" s="6">
        <v>1</v>
      </c>
      <c r="E283" s="6" t="s">
        <v>1102</v>
      </c>
      <c r="F283" s="6" t="s">
        <v>1253</v>
      </c>
      <c r="G283" s="6" t="s">
        <v>1015</v>
      </c>
      <c r="H283" s="10">
        <f t="shared" si="4"/>
        <v>123.75</v>
      </c>
      <c r="I283" s="6" t="s">
        <v>812</v>
      </c>
    </row>
    <row r="284" spans="1:9" x14ac:dyDescent="0.3">
      <c r="A284" s="6" t="s">
        <v>1254</v>
      </c>
      <c r="B284" s="6" t="s">
        <v>299</v>
      </c>
      <c r="C284" s="6" t="s">
        <v>784</v>
      </c>
      <c r="D284" s="6">
        <v>1</v>
      </c>
      <c r="E284" s="6" t="s">
        <v>846</v>
      </c>
      <c r="F284" s="6" t="s">
        <v>836</v>
      </c>
      <c r="G284" s="6" t="s">
        <v>1019</v>
      </c>
      <c r="H284" s="10">
        <f t="shared" si="4"/>
        <v>951.25</v>
      </c>
      <c r="I284" s="6" t="s">
        <v>1108</v>
      </c>
    </row>
    <row r="285" spans="1:9" x14ac:dyDescent="0.3">
      <c r="A285" s="6" t="s">
        <v>1255</v>
      </c>
      <c r="B285" s="6" t="s">
        <v>302</v>
      </c>
      <c r="C285" s="6" t="s">
        <v>760</v>
      </c>
      <c r="D285" s="6">
        <v>1</v>
      </c>
      <c r="E285" s="6" t="s">
        <v>892</v>
      </c>
      <c r="F285" s="6" t="s">
        <v>1000</v>
      </c>
      <c r="G285" s="6" t="s">
        <v>846</v>
      </c>
      <c r="H285" s="10">
        <f t="shared" si="4"/>
        <v>222.5</v>
      </c>
      <c r="I285" s="6" t="s">
        <v>820</v>
      </c>
    </row>
    <row r="286" spans="1:9" x14ac:dyDescent="0.3">
      <c r="A286" s="6" t="s">
        <v>1256</v>
      </c>
      <c r="B286" s="6" t="s">
        <v>304</v>
      </c>
      <c r="C286" s="6" t="s">
        <v>389</v>
      </c>
      <c r="D286" s="6">
        <v>1</v>
      </c>
      <c r="E286" s="6" t="s">
        <v>827</v>
      </c>
      <c r="F286" s="6" t="s">
        <v>827</v>
      </c>
      <c r="G286" s="6" t="s">
        <v>1092</v>
      </c>
      <c r="H286" s="10">
        <f t="shared" si="4"/>
        <v>155</v>
      </c>
      <c r="I286" s="6" t="s">
        <v>1065</v>
      </c>
    </row>
    <row r="287" spans="1:9" x14ac:dyDescent="0.3">
      <c r="A287" s="6" t="s">
        <v>1257</v>
      </c>
      <c r="B287" s="6" t="s">
        <v>304</v>
      </c>
      <c r="C287" s="6" t="s">
        <v>456</v>
      </c>
      <c r="D287" s="6">
        <v>1</v>
      </c>
      <c r="E287" s="6" t="s">
        <v>847</v>
      </c>
      <c r="F287" s="6" t="s">
        <v>874</v>
      </c>
      <c r="G287" s="6" t="s">
        <v>822</v>
      </c>
      <c r="H287" s="10">
        <f t="shared" si="4"/>
        <v>128.75</v>
      </c>
      <c r="I287" s="6" t="s">
        <v>854</v>
      </c>
    </row>
    <row r="288" spans="1:9" x14ac:dyDescent="0.3">
      <c r="A288" s="6" t="s">
        <v>1258</v>
      </c>
      <c r="B288" s="6" t="s">
        <v>306</v>
      </c>
      <c r="C288" s="6" t="s">
        <v>332</v>
      </c>
      <c r="D288" s="6">
        <v>1</v>
      </c>
      <c r="E288" s="6" t="s">
        <v>835</v>
      </c>
      <c r="F288" s="6" t="s">
        <v>1155</v>
      </c>
      <c r="G288" s="6" t="s">
        <v>1033</v>
      </c>
      <c r="H288" s="10">
        <f t="shared" si="4"/>
        <v>222.5</v>
      </c>
      <c r="I288" s="6" t="s">
        <v>820</v>
      </c>
    </row>
    <row r="289" spans="1:9" x14ac:dyDescent="0.3">
      <c r="A289" s="6" t="s">
        <v>1259</v>
      </c>
      <c r="B289" s="6" t="s">
        <v>308</v>
      </c>
      <c r="C289" s="6" t="s">
        <v>402</v>
      </c>
      <c r="D289" s="6">
        <v>1</v>
      </c>
      <c r="E289" s="6" t="s">
        <v>822</v>
      </c>
      <c r="F289" s="6" t="s">
        <v>1033</v>
      </c>
      <c r="G289" s="6" t="s">
        <v>980</v>
      </c>
      <c r="H289" s="10">
        <f t="shared" si="4"/>
        <v>932.5</v>
      </c>
      <c r="I289" s="6" t="s">
        <v>1260</v>
      </c>
    </row>
    <row r="290" spans="1:9" x14ac:dyDescent="0.3">
      <c r="A290" s="6" t="s">
        <v>1261</v>
      </c>
      <c r="B290" s="6" t="s">
        <v>308</v>
      </c>
      <c r="C290" s="6" t="s">
        <v>511</v>
      </c>
      <c r="D290" s="6">
        <v>1</v>
      </c>
      <c r="E290" s="6" t="s">
        <v>816</v>
      </c>
      <c r="F290" s="6" t="s">
        <v>1237</v>
      </c>
      <c r="G290" s="6" t="s">
        <v>1262</v>
      </c>
      <c r="H290" s="10">
        <f t="shared" si="4"/>
        <v>807.5</v>
      </c>
      <c r="I290" s="6" t="s">
        <v>1171</v>
      </c>
    </row>
    <row r="291" spans="1:9" x14ac:dyDescent="0.3">
      <c r="A291" s="6" t="s">
        <v>1263</v>
      </c>
      <c r="B291" s="6" t="s">
        <v>306</v>
      </c>
      <c r="C291" s="6" t="s">
        <v>791</v>
      </c>
      <c r="D291" s="6">
        <v>1</v>
      </c>
      <c r="E291" s="6" t="s">
        <v>818</v>
      </c>
      <c r="F291" s="6" t="s">
        <v>874</v>
      </c>
      <c r="G291" s="6" t="s">
        <v>895</v>
      </c>
      <c r="H291" s="10">
        <f t="shared" si="4"/>
        <v>222.5</v>
      </c>
      <c r="I291" s="6" t="s">
        <v>820</v>
      </c>
    </row>
    <row r="292" spans="1:9" x14ac:dyDescent="0.3">
      <c r="A292" s="6" t="s">
        <v>2932</v>
      </c>
      <c r="B292" s="6" t="s">
        <v>306</v>
      </c>
      <c r="C292" s="6" t="s">
        <v>690</v>
      </c>
      <c r="D292" s="6">
        <v>1</v>
      </c>
      <c r="E292" s="6">
        <v>1.2E-2</v>
      </c>
      <c r="F292" s="6">
        <v>6.2E-2</v>
      </c>
      <c r="G292" s="6">
        <v>7.0000000000000001E-3</v>
      </c>
      <c r="H292" s="10">
        <f t="shared" si="4"/>
        <v>222.5</v>
      </c>
      <c r="I292" s="6">
        <v>178</v>
      </c>
    </row>
    <row r="293" spans="1:9" x14ac:dyDescent="0.3">
      <c r="A293" s="6" t="s">
        <v>1264</v>
      </c>
      <c r="B293" s="6" t="s">
        <v>310</v>
      </c>
      <c r="C293" s="6" t="s">
        <v>413</v>
      </c>
      <c r="D293" s="6">
        <v>1</v>
      </c>
      <c r="E293" s="6" t="s">
        <v>856</v>
      </c>
      <c r="F293" s="6" t="s">
        <v>1186</v>
      </c>
      <c r="G293" s="6" t="s">
        <v>842</v>
      </c>
      <c r="H293" s="10">
        <f t="shared" si="4"/>
        <v>222.5</v>
      </c>
      <c r="I293" s="6" t="s">
        <v>820</v>
      </c>
    </row>
    <row r="294" spans="1:9" x14ac:dyDescent="0.3">
      <c r="A294" s="6" t="s">
        <v>1265</v>
      </c>
      <c r="B294" s="6" t="s">
        <v>310</v>
      </c>
      <c r="C294" s="6" t="s">
        <v>714</v>
      </c>
      <c r="D294" s="6">
        <v>1</v>
      </c>
      <c r="E294" s="6" t="s">
        <v>874</v>
      </c>
      <c r="F294" s="6" t="s">
        <v>1045</v>
      </c>
      <c r="G294" s="6" t="s">
        <v>818</v>
      </c>
      <c r="H294" s="10">
        <f t="shared" si="4"/>
        <v>222.5</v>
      </c>
      <c r="I294" s="6" t="s">
        <v>820</v>
      </c>
    </row>
    <row r="295" spans="1:9" x14ac:dyDescent="0.3">
      <c r="A295" s="6" t="s">
        <v>1266</v>
      </c>
      <c r="B295" s="6" t="s">
        <v>312</v>
      </c>
      <c r="C295" s="6" t="s">
        <v>115</v>
      </c>
      <c r="D295" s="6">
        <v>1</v>
      </c>
      <c r="E295" s="6" t="s">
        <v>849</v>
      </c>
      <c r="F295" s="6" t="s">
        <v>858</v>
      </c>
      <c r="G295" s="6" t="s">
        <v>1267</v>
      </c>
      <c r="H295" s="10">
        <f t="shared" si="4"/>
        <v>237.5</v>
      </c>
      <c r="I295" s="6" t="s">
        <v>1268</v>
      </c>
    </row>
    <row r="296" spans="1:9" x14ac:dyDescent="0.3">
      <c r="A296" s="6" t="s">
        <v>1269</v>
      </c>
      <c r="B296" s="6" t="s">
        <v>312</v>
      </c>
      <c r="C296" s="6" t="s">
        <v>622</v>
      </c>
      <c r="D296" s="6">
        <v>1</v>
      </c>
      <c r="E296" s="6" t="s">
        <v>958</v>
      </c>
      <c r="F296" s="6" t="s">
        <v>920</v>
      </c>
      <c r="G296" s="6" t="s">
        <v>811</v>
      </c>
      <c r="H296" s="10">
        <f t="shared" si="4"/>
        <v>131.25</v>
      </c>
      <c r="I296" s="6" t="s">
        <v>862</v>
      </c>
    </row>
    <row r="297" spans="1:9" x14ac:dyDescent="0.3">
      <c r="A297" s="6" t="s">
        <v>1270</v>
      </c>
      <c r="B297" s="6" t="s">
        <v>314</v>
      </c>
      <c r="C297" s="6" t="s">
        <v>587</v>
      </c>
      <c r="D297" s="6">
        <v>1</v>
      </c>
      <c r="E297" s="6" t="s">
        <v>911</v>
      </c>
      <c r="F297" s="6" t="s">
        <v>814</v>
      </c>
      <c r="G297" s="6" t="s">
        <v>846</v>
      </c>
      <c r="H297" s="10">
        <f t="shared" si="4"/>
        <v>170</v>
      </c>
      <c r="I297" s="6" t="s">
        <v>951</v>
      </c>
    </row>
    <row r="298" spans="1:9" x14ac:dyDescent="0.3">
      <c r="A298" s="6" t="s">
        <v>1271</v>
      </c>
      <c r="B298" s="6" t="s">
        <v>314</v>
      </c>
      <c r="C298" s="6" t="s">
        <v>623</v>
      </c>
      <c r="D298" s="6">
        <v>1</v>
      </c>
      <c r="E298" s="6" t="s">
        <v>1158</v>
      </c>
      <c r="F298" s="6" t="s">
        <v>1272</v>
      </c>
      <c r="G298" s="6" t="s">
        <v>892</v>
      </c>
      <c r="H298" s="10">
        <f t="shared" si="4"/>
        <v>167.5</v>
      </c>
      <c r="I298" s="6" t="s">
        <v>1273</v>
      </c>
    </row>
    <row r="299" spans="1:9" x14ac:dyDescent="0.3">
      <c r="A299" s="6" t="s">
        <v>1274</v>
      </c>
      <c r="B299" s="6" t="s">
        <v>314</v>
      </c>
      <c r="C299" s="6" t="s">
        <v>654</v>
      </c>
      <c r="D299" s="6">
        <v>1</v>
      </c>
      <c r="E299" s="6" t="s">
        <v>980</v>
      </c>
      <c r="F299" s="6" t="s">
        <v>1275</v>
      </c>
      <c r="G299" s="6" t="s">
        <v>901</v>
      </c>
      <c r="H299" s="10">
        <f t="shared" si="4"/>
        <v>170</v>
      </c>
      <c r="I299" s="6" t="s">
        <v>951</v>
      </c>
    </row>
    <row r="300" spans="1:9" x14ac:dyDescent="0.3">
      <c r="A300" s="6" t="s">
        <v>2933</v>
      </c>
      <c r="B300" s="6" t="s">
        <v>314</v>
      </c>
      <c r="C300" s="6" t="s">
        <v>2883</v>
      </c>
      <c r="D300" s="6">
        <v>1</v>
      </c>
      <c r="E300" s="6">
        <v>1E-3</v>
      </c>
      <c r="F300" s="6">
        <v>5.0000000000000001E-3</v>
      </c>
      <c r="G300" s="6">
        <v>1.0999999999999999E-2</v>
      </c>
      <c r="H300" s="10">
        <f t="shared" si="4"/>
        <v>170</v>
      </c>
      <c r="I300" s="6">
        <v>136</v>
      </c>
    </row>
    <row r="301" spans="1:9" x14ac:dyDescent="0.3">
      <c r="A301" s="6" t="s">
        <v>1276</v>
      </c>
      <c r="B301" s="6" t="s">
        <v>316</v>
      </c>
      <c r="C301" s="6" t="s">
        <v>274</v>
      </c>
      <c r="D301" s="6">
        <v>1</v>
      </c>
      <c r="E301" s="6" t="s">
        <v>850</v>
      </c>
      <c r="F301" s="6" t="s">
        <v>878</v>
      </c>
      <c r="G301" s="6" t="s">
        <v>1092</v>
      </c>
      <c r="H301" s="10">
        <f t="shared" si="4"/>
        <v>123.75</v>
      </c>
      <c r="I301" s="6" t="s">
        <v>812</v>
      </c>
    </row>
    <row r="302" spans="1:9" x14ac:dyDescent="0.3">
      <c r="A302" s="6" t="s">
        <v>1277</v>
      </c>
      <c r="B302" s="6" t="s">
        <v>316</v>
      </c>
      <c r="C302" s="6" t="s">
        <v>334</v>
      </c>
      <c r="D302" s="6">
        <v>1</v>
      </c>
      <c r="E302" s="6" t="s">
        <v>827</v>
      </c>
      <c r="F302" s="6" t="s">
        <v>827</v>
      </c>
      <c r="G302" s="6" t="s">
        <v>826</v>
      </c>
      <c r="H302" s="10">
        <f t="shared" si="4"/>
        <v>131.25</v>
      </c>
      <c r="I302" s="6" t="s">
        <v>862</v>
      </c>
    </row>
    <row r="303" spans="1:9" x14ac:dyDescent="0.3">
      <c r="A303" s="6" t="s">
        <v>1278</v>
      </c>
      <c r="B303" s="6" t="s">
        <v>316</v>
      </c>
      <c r="C303" s="6" t="s">
        <v>509</v>
      </c>
      <c r="D303" s="6">
        <v>1</v>
      </c>
      <c r="E303" s="6" t="s">
        <v>816</v>
      </c>
      <c r="F303" s="6" t="s">
        <v>1158</v>
      </c>
      <c r="G303" s="6" t="s">
        <v>849</v>
      </c>
      <c r="H303" s="10">
        <f t="shared" si="4"/>
        <v>123.75</v>
      </c>
      <c r="I303" s="6" t="s">
        <v>812</v>
      </c>
    </row>
    <row r="304" spans="1:9" x14ac:dyDescent="0.3">
      <c r="A304" s="6" t="s">
        <v>1279</v>
      </c>
      <c r="B304" s="6" t="s">
        <v>320</v>
      </c>
      <c r="C304" s="6" t="s">
        <v>318</v>
      </c>
      <c r="D304" s="6">
        <v>1</v>
      </c>
      <c r="E304" s="6" t="s">
        <v>858</v>
      </c>
      <c r="F304" s="6" t="s">
        <v>1145</v>
      </c>
      <c r="G304" s="6" t="s">
        <v>849</v>
      </c>
      <c r="H304" s="10">
        <f t="shared" si="4"/>
        <v>131.25</v>
      </c>
      <c r="I304" s="6" t="s">
        <v>862</v>
      </c>
    </row>
    <row r="305" spans="1:9" x14ac:dyDescent="0.3">
      <c r="A305" s="6" t="s">
        <v>1280</v>
      </c>
      <c r="B305" s="6" t="s">
        <v>322</v>
      </c>
      <c r="C305" s="6" t="s">
        <v>546</v>
      </c>
      <c r="D305" s="6">
        <v>1</v>
      </c>
      <c r="E305" s="6" t="s">
        <v>1158</v>
      </c>
      <c r="F305" s="6" t="s">
        <v>1019</v>
      </c>
      <c r="G305" s="6" t="s">
        <v>846</v>
      </c>
      <c r="H305" s="10">
        <f t="shared" si="4"/>
        <v>123.75</v>
      </c>
      <c r="I305" s="6" t="s">
        <v>812</v>
      </c>
    </row>
    <row r="306" spans="1:9" x14ac:dyDescent="0.3">
      <c r="A306" s="6" t="s">
        <v>1281</v>
      </c>
      <c r="B306" s="6" t="s">
        <v>322</v>
      </c>
      <c r="C306" s="6" t="s">
        <v>589</v>
      </c>
      <c r="D306" s="6">
        <v>1</v>
      </c>
      <c r="E306" s="6" t="s">
        <v>816</v>
      </c>
      <c r="F306" s="6" t="s">
        <v>1158</v>
      </c>
      <c r="G306" s="6" t="s">
        <v>831</v>
      </c>
      <c r="H306" s="10">
        <f t="shared" si="4"/>
        <v>123.75</v>
      </c>
      <c r="I306" s="6" t="s">
        <v>812</v>
      </c>
    </row>
    <row r="307" spans="1:9" x14ac:dyDescent="0.3">
      <c r="A307" s="6" t="s">
        <v>1282</v>
      </c>
      <c r="B307" s="6" t="s">
        <v>325</v>
      </c>
      <c r="C307" s="6" t="s">
        <v>474</v>
      </c>
      <c r="D307" s="6">
        <v>1</v>
      </c>
      <c r="E307" s="6" t="s">
        <v>816</v>
      </c>
      <c r="F307" s="6" t="s">
        <v>1052</v>
      </c>
      <c r="G307" s="6" t="s">
        <v>846</v>
      </c>
      <c r="H307" s="10">
        <f t="shared" si="4"/>
        <v>123.75</v>
      </c>
      <c r="I307" s="6" t="s">
        <v>812</v>
      </c>
    </row>
    <row r="308" spans="1:9" x14ac:dyDescent="0.3">
      <c r="A308" s="10" t="s">
        <v>1283</v>
      </c>
      <c r="B308" s="10" t="s">
        <v>325</v>
      </c>
      <c r="C308" s="10" t="s">
        <v>755</v>
      </c>
      <c r="D308" s="10">
        <v>1</v>
      </c>
      <c r="E308" s="10">
        <f>0.028/2</f>
        <v>1.4E-2</v>
      </c>
      <c r="F308" s="10">
        <f>0.146/2</f>
        <v>7.2999999999999995E-2</v>
      </c>
      <c r="G308" s="10">
        <f>0.018/2</f>
        <v>8.9999999999999993E-3</v>
      </c>
      <c r="H308" s="10">
        <f t="shared" si="4"/>
        <v>92.5</v>
      </c>
      <c r="I308" s="10" t="s">
        <v>1284</v>
      </c>
    </row>
    <row r="309" spans="1:9" x14ac:dyDescent="0.3">
      <c r="A309" s="10" t="s">
        <v>1285</v>
      </c>
      <c r="B309" s="10" t="s">
        <v>755</v>
      </c>
      <c r="C309" s="10" t="s">
        <v>567</v>
      </c>
      <c r="D309" s="10">
        <v>1</v>
      </c>
      <c r="E309" s="10">
        <f>0.028/2</f>
        <v>1.4E-2</v>
      </c>
      <c r="F309" s="10">
        <f>0.146/2</f>
        <v>7.2999999999999995E-2</v>
      </c>
      <c r="G309" s="10">
        <f>0.018/2</f>
        <v>8.9999999999999993E-3</v>
      </c>
      <c r="H309" s="10">
        <f t="shared" si="4"/>
        <v>92.5</v>
      </c>
      <c r="I309" s="10" t="s">
        <v>1284</v>
      </c>
    </row>
    <row r="310" spans="1:9" x14ac:dyDescent="0.3">
      <c r="A310" s="6" t="s">
        <v>1286</v>
      </c>
      <c r="B310" s="6" t="s">
        <v>325</v>
      </c>
      <c r="C310" s="6" t="s">
        <v>781</v>
      </c>
      <c r="D310" s="6">
        <v>1</v>
      </c>
      <c r="E310" s="6" t="s">
        <v>953</v>
      </c>
      <c r="F310" s="6" t="s">
        <v>867</v>
      </c>
      <c r="G310" s="6" t="s">
        <v>811</v>
      </c>
      <c r="H310" s="10">
        <f t="shared" si="4"/>
        <v>123.75</v>
      </c>
      <c r="I310" s="6" t="s">
        <v>812</v>
      </c>
    </row>
    <row r="311" spans="1:9" x14ac:dyDescent="0.3">
      <c r="A311" s="6" t="s">
        <v>1287</v>
      </c>
      <c r="B311" s="6" t="s">
        <v>327</v>
      </c>
      <c r="C311" s="6" t="s">
        <v>318</v>
      </c>
      <c r="D311" s="6">
        <v>1</v>
      </c>
      <c r="E311" s="6" t="s">
        <v>849</v>
      </c>
      <c r="F311" s="6" t="s">
        <v>885</v>
      </c>
      <c r="G311" s="6" t="s">
        <v>831</v>
      </c>
      <c r="H311" s="10">
        <f t="shared" si="4"/>
        <v>222.5</v>
      </c>
      <c r="I311" s="6" t="s">
        <v>820</v>
      </c>
    </row>
    <row r="312" spans="1:9" x14ac:dyDescent="0.3">
      <c r="A312" s="6" t="s">
        <v>1288</v>
      </c>
      <c r="B312" s="6" t="s">
        <v>327</v>
      </c>
      <c r="C312" s="6" t="s">
        <v>654</v>
      </c>
      <c r="D312" s="6">
        <v>1</v>
      </c>
      <c r="E312" s="6" t="s">
        <v>953</v>
      </c>
      <c r="F312" s="6" t="s">
        <v>868</v>
      </c>
      <c r="G312" s="6" t="s">
        <v>823</v>
      </c>
      <c r="H312" s="10">
        <f t="shared" si="4"/>
        <v>222.5</v>
      </c>
      <c r="I312" s="6" t="s">
        <v>820</v>
      </c>
    </row>
    <row r="313" spans="1:9" x14ac:dyDescent="0.3">
      <c r="A313" s="6" t="s">
        <v>2934</v>
      </c>
      <c r="B313" s="6" t="s">
        <v>329</v>
      </c>
      <c r="C313" s="6" t="s">
        <v>330</v>
      </c>
      <c r="D313" s="6">
        <v>1</v>
      </c>
      <c r="E313" s="10">
        <v>1.0000000000000001E-5</v>
      </c>
      <c r="F313" s="10">
        <v>1.0000000000000001E-5</v>
      </c>
      <c r="G313" s="10">
        <v>1.0000000000000001E-5</v>
      </c>
      <c r="H313" s="10">
        <f t="shared" si="4"/>
        <v>123.75</v>
      </c>
      <c r="I313" s="10">
        <v>99</v>
      </c>
    </row>
    <row r="314" spans="1:9" x14ac:dyDescent="0.3">
      <c r="A314" s="6" t="s">
        <v>2935</v>
      </c>
      <c r="B314" s="6" t="s">
        <v>330</v>
      </c>
      <c r="C314" s="6" t="s">
        <v>2869</v>
      </c>
      <c r="D314" s="6">
        <v>1</v>
      </c>
      <c r="E314" s="10">
        <v>4.0000000000000001E-3</v>
      </c>
      <c r="F314" s="10">
        <v>1.9E-2</v>
      </c>
      <c r="G314" s="10">
        <v>1.0999999999999999E-2</v>
      </c>
      <c r="H314" s="10">
        <f t="shared" si="4"/>
        <v>130</v>
      </c>
      <c r="I314" s="10">
        <v>104</v>
      </c>
    </row>
    <row r="315" spans="1:9" x14ac:dyDescent="0.3">
      <c r="A315" s="6" t="s">
        <v>1289</v>
      </c>
      <c r="B315" s="6" t="s">
        <v>332</v>
      </c>
      <c r="C315" s="6" t="s">
        <v>795</v>
      </c>
      <c r="D315" s="6">
        <v>1</v>
      </c>
      <c r="E315" s="6" t="s">
        <v>811</v>
      </c>
      <c r="F315" s="6" t="s">
        <v>861</v>
      </c>
      <c r="G315" s="6" t="s">
        <v>822</v>
      </c>
      <c r="H315" s="10">
        <f t="shared" si="4"/>
        <v>222.5</v>
      </c>
      <c r="I315" s="6" t="s">
        <v>820</v>
      </c>
    </row>
    <row r="316" spans="1:9" x14ac:dyDescent="0.3">
      <c r="A316" s="6" t="s">
        <v>2936</v>
      </c>
      <c r="B316" s="6" t="s">
        <v>332</v>
      </c>
      <c r="C316" s="6" t="s">
        <v>690</v>
      </c>
      <c r="D316" s="6">
        <v>1</v>
      </c>
      <c r="E316" s="6">
        <v>0.01</v>
      </c>
      <c r="F316" s="6">
        <v>0.05</v>
      </c>
      <c r="G316" s="6">
        <v>6.0000000000000001E-3</v>
      </c>
      <c r="H316" s="10">
        <f t="shared" si="4"/>
        <v>222.5</v>
      </c>
      <c r="I316" s="6">
        <v>178</v>
      </c>
    </row>
    <row r="317" spans="1:9" x14ac:dyDescent="0.3">
      <c r="A317" s="6" t="s">
        <v>1290</v>
      </c>
      <c r="B317" s="6" t="s">
        <v>337</v>
      </c>
      <c r="C317" s="6" t="s">
        <v>211</v>
      </c>
      <c r="D317" s="6">
        <v>1</v>
      </c>
      <c r="E317" s="6" t="s">
        <v>1015</v>
      </c>
      <c r="F317" s="6" t="s">
        <v>943</v>
      </c>
      <c r="G317" s="6" t="s">
        <v>849</v>
      </c>
      <c r="H317" s="10">
        <f t="shared" si="4"/>
        <v>263.75</v>
      </c>
      <c r="I317" s="6" t="s">
        <v>1291</v>
      </c>
    </row>
    <row r="318" spans="1:9" x14ac:dyDescent="0.3">
      <c r="A318" s="6" t="s">
        <v>1292</v>
      </c>
      <c r="B318" s="6" t="s">
        <v>337</v>
      </c>
      <c r="C318" s="6" t="s">
        <v>561</v>
      </c>
      <c r="D318" s="6">
        <v>1</v>
      </c>
      <c r="E318" s="6" t="s">
        <v>856</v>
      </c>
      <c r="F318" s="6" t="s">
        <v>1186</v>
      </c>
      <c r="G318" s="6" t="s">
        <v>842</v>
      </c>
      <c r="H318" s="10">
        <f t="shared" si="4"/>
        <v>245</v>
      </c>
      <c r="I318" s="6" t="s">
        <v>963</v>
      </c>
    </row>
    <row r="319" spans="1:9" x14ac:dyDescent="0.3">
      <c r="A319" s="6" t="s">
        <v>1293</v>
      </c>
      <c r="B319" s="6" t="s">
        <v>339</v>
      </c>
      <c r="C319" s="6" t="s">
        <v>381</v>
      </c>
      <c r="D319" s="6">
        <v>1</v>
      </c>
      <c r="E319" s="6" t="s">
        <v>849</v>
      </c>
      <c r="F319" s="6" t="s">
        <v>847</v>
      </c>
      <c r="G319" s="6" t="s">
        <v>892</v>
      </c>
      <c r="H319" s="10">
        <f t="shared" si="4"/>
        <v>86.25</v>
      </c>
      <c r="I319" s="6" t="s">
        <v>1024</v>
      </c>
    </row>
    <row r="320" spans="1:9" x14ac:dyDescent="0.3">
      <c r="A320" s="6" t="s">
        <v>1294</v>
      </c>
      <c r="B320" s="6" t="s">
        <v>339</v>
      </c>
      <c r="C320" s="6" t="s">
        <v>381</v>
      </c>
      <c r="D320" s="6">
        <v>1</v>
      </c>
      <c r="E320" s="6" t="s">
        <v>849</v>
      </c>
      <c r="F320" s="6" t="s">
        <v>847</v>
      </c>
      <c r="G320" s="6" t="s">
        <v>818</v>
      </c>
      <c r="H320" s="10">
        <f t="shared" si="4"/>
        <v>86.25</v>
      </c>
      <c r="I320" s="6" t="s">
        <v>1024</v>
      </c>
    </row>
    <row r="321" spans="1:9" x14ac:dyDescent="0.3">
      <c r="A321" s="6" t="s">
        <v>1295</v>
      </c>
      <c r="B321" s="6" t="s">
        <v>339</v>
      </c>
      <c r="C321" s="6" t="s">
        <v>440</v>
      </c>
      <c r="D321" s="6">
        <v>1</v>
      </c>
      <c r="E321" s="6" t="s">
        <v>831</v>
      </c>
      <c r="F321" s="6" t="s">
        <v>846</v>
      </c>
      <c r="G321" s="6" t="s">
        <v>1275</v>
      </c>
      <c r="H321" s="10">
        <f t="shared" si="4"/>
        <v>180</v>
      </c>
      <c r="I321" s="6" t="s">
        <v>1034</v>
      </c>
    </row>
    <row r="322" spans="1:9" x14ac:dyDescent="0.3">
      <c r="A322" s="6" t="s">
        <v>1296</v>
      </c>
      <c r="B322" s="6" t="s">
        <v>339</v>
      </c>
      <c r="C322" s="6" t="s">
        <v>440</v>
      </c>
      <c r="D322" s="6">
        <v>1</v>
      </c>
      <c r="E322" s="6" t="s">
        <v>831</v>
      </c>
      <c r="F322" s="6" t="s">
        <v>846</v>
      </c>
      <c r="G322" s="6" t="s">
        <v>1275</v>
      </c>
      <c r="H322" s="10">
        <f t="shared" si="4"/>
        <v>180</v>
      </c>
      <c r="I322" s="6" t="s">
        <v>1034</v>
      </c>
    </row>
    <row r="323" spans="1:9" x14ac:dyDescent="0.3">
      <c r="A323" s="6" t="s">
        <v>1297</v>
      </c>
      <c r="B323" s="6" t="s">
        <v>343</v>
      </c>
      <c r="C323" s="6" t="s">
        <v>256</v>
      </c>
      <c r="D323" s="6">
        <v>1</v>
      </c>
      <c r="E323" s="6" t="s">
        <v>856</v>
      </c>
      <c r="F323" s="6" t="s">
        <v>945</v>
      </c>
      <c r="G323" s="6" t="s">
        <v>911</v>
      </c>
      <c r="H323" s="10">
        <f t="shared" ref="H323:H386" si="5">I323*1.25</f>
        <v>128.75</v>
      </c>
      <c r="I323" s="6" t="s">
        <v>854</v>
      </c>
    </row>
    <row r="324" spans="1:9" x14ac:dyDescent="0.3">
      <c r="A324" s="6" t="s">
        <v>1298</v>
      </c>
      <c r="B324" s="6" t="s">
        <v>343</v>
      </c>
      <c r="C324" s="6" t="s">
        <v>527</v>
      </c>
      <c r="D324" s="6">
        <v>1</v>
      </c>
      <c r="E324" s="6" t="s">
        <v>938</v>
      </c>
      <c r="F324" s="6" t="s">
        <v>861</v>
      </c>
      <c r="G324" s="6" t="s">
        <v>822</v>
      </c>
      <c r="H324" s="10">
        <f t="shared" si="5"/>
        <v>123.75</v>
      </c>
      <c r="I324" s="6" t="s">
        <v>812</v>
      </c>
    </row>
    <row r="325" spans="1:9" x14ac:dyDescent="0.3">
      <c r="A325" s="6" t="s">
        <v>1299</v>
      </c>
      <c r="B325" s="6" t="s">
        <v>343</v>
      </c>
      <c r="C325" s="6" t="s">
        <v>575</v>
      </c>
      <c r="D325" s="6">
        <v>1</v>
      </c>
      <c r="E325" s="6" t="s">
        <v>892</v>
      </c>
      <c r="F325" s="6" t="s">
        <v>823</v>
      </c>
      <c r="G325" s="6" t="s">
        <v>831</v>
      </c>
      <c r="H325" s="10">
        <f t="shared" si="5"/>
        <v>123.75</v>
      </c>
      <c r="I325" s="6" t="s">
        <v>812</v>
      </c>
    </row>
    <row r="326" spans="1:9" x14ac:dyDescent="0.3">
      <c r="A326" s="6" t="s">
        <v>1300</v>
      </c>
      <c r="B326" s="6" t="s">
        <v>346</v>
      </c>
      <c r="C326" s="6" t="s">
        <v>372</v>
      </c>
      <c r="D326" s="6">
        <v>1</v>
      </c>
      <c r="E326" s="6" t="s">
        <v>1301</v>
      </c>
      <c r="F326" s="6" t="s">
        <v>1272</v>
      </c>
      <c r="G326" s="6" t="s">
        <v>892</v>
      </c>
      <c r="H326" s="10">
        <f t="shared" si="5"/>
        <v>102.5</v>
      </c>
      <c r="I326" s="6" t="s">
        <v>875</v>
      </c>
    </row>
    <row r="327" spans="1:9" x14ac:dyDescent="0.3">
      <c r="A327" s="6" t="s">
        <v>1302</v>
      </c>
      <c r="B327" s="6" t="s">
        <v>346</v>
      </c>
      <c r="C327" s="6" t="s">
        <v>372</v>
      </c>
      <c r="D327" s="6">
        <v>1</v>
      </c>
      <c r="E327" s="6" t="s">
        <v>1301</v>
      </c>
      <c r="F327" s="6" t="s">
        <v>1272</v>
      </c>
      <c r="G327" s="6" t="s">
        <v>892</v>
      </c>
      <c r="H327" s="10">
        <f t="shared" si="5"/>
        <v>102.5</v>
      </c>
      <c r="I327" s="6" t="s">
        <v>875</v>
      </c>
    </row>
    <row r="328" spans="1:9" x14ac:dyDescent="0.3">
      <c r="A328" s="6" t="s">
        <v>1303</v>
      </c>
      <c r="B328" s="6" t="s">
        <v>346</v>
      </c>
      <c r="C328" s="6" t="s">
        <v>634</v>
      </c>
      <c r="D328" s="6">
        <v>1</v>
      </c>
      <c r="E328" s="6" t="s">
        <v>1092</v>
      </c>
      <c r="F328" s="6" t="s">
        <v>1304</v>
      </c>
      <c r="G328" s="6" t="s">
        <v>846</v>
      </c>
      <c r="H328" s="10">
        <f t="shared" si="5"/>
        <v>102.5</v>
      </c>
      <c r="I328" s="6" t="s">
        <v>875</v>
      </c>
    </row>
    <row r="329" spans="1:9" x14ac:dyDescent="0.3">
      <c r="A329" s="6" t="s">
        <v>1305</v>
      </c>
      <c r="B329" s="6" t="s">
        <v>346</v>
      </c>
      <c r="C329" s="6" t="s">
        <v>634</v>
      </c>
      <c r="D329" s="6">
        <v>1</v>
      </c>
      <c r="E329" s="6" t="s">
        <v>1092</v>
      </c>
      <c r="F329" s="6" t="s">
        <v>1304</v>
      </c>
      <c r="G329" s="6" t="s">
        <v>846</v>
      </c>
      <c r="H329" s="10">
        <f t="shared" si="5"/>
        <v>102.5</v>
      </c>
      <c r="I329" s="6" t="s">
        <v>875</v>
      </c>
    </row>
    <row r="330" spans="1:9" x14ac:dyDescent="0.3">
      <c r="A330" s="6" t="s">
        <v>1306</v>
      </c>
      <c r="B330" s="6" t="s">
        <v>346</v>
      </c>
      <c r="C330" s="8" t="s">
        <v>348</v>
      </c>
      <c r="D330" s="6">
        <v>1</v>
      </c>
      <c r="E330" s="6" t="s">
        <v>1092</v>
      </c>
      <c r="F330" s="6" t="s">
        <v>1304</v>
      </c>
      <c r="G330" s="6" t="s">
        <v>846</v>
      </c>
      <c r="H330" s="10">
        <f t="shared" si="5"/>
        <v>102.5</v>
      </c>
      <c r="I330" s="6" t="s">
        <v>875</v>
      </c>
    </row>
    <row r="331" spans="1:9" x14ac:dyDescent="0.3">
      <c r="A331" s="6" t="s">
        <v>1307</v>
      </c>
      <c r="B331" s="6" t="s">
        <v>350</v>
      </c>
      <c r="C331" s="6" t="s">
        <v>370</v>
      </c>
      <c r="D331" s="6">
        <v>1</v>
      </c>
      <c r="E331" s="6" t="s">
        <v>809</v>
      </c>
      <c r="F331" s="6" t="s">
        <v>909</v>
      </c>
      <c r="G331" s="6" t="s">
        <v>811</v>
      </c>
      <c r="H331" s="10">
        <f t="shared" si="5"/>
        <v>123.75</v>
      </c>
      <c r="I331" s="6" t="s">
        <v>812</v>
      </c>
    </row>
    <row r="332" spans="1:9" x14ac:dyDescent="0.3">
      <c r="A332" s="6" t="s">
        <v>1308</v>
      </c>
      <c r="B332" s="6" t="s">
        <v>352</v>
      </c>
      <c r="C332" s="6" t="s">
        <v>739</v>
      </c>
      <c r="D332" s="6">
        <v>1</v>
      </c>
      <c r="E332" s="6" t="s">
        <v>849</v>
      </c>
      <c r="F332" s="6" t="s">
        <v>901</v>
      </c>
      <c r="G332" s="6" t="s">
        <v>831</v>
      </c>
      <c r="H332" s="10">
        <f t="shared" si="5"/>
        <v>98.75</v>
      </c>
      <c r="I332" s="6" t="s">
        <v>1048</v>
      </c>
    </row>
    <row r="333" spans="1:9" x14ac:dyDescent="0.3">
      <c r="A333" s="6" t="s">
        <v>1309</v>
      </c>
      <c r="B333" s="6" t="s">
        <v>352</v>
      </c>
      <c r="C333" s="6" t="s">
        <v>739</v>
      </c>
      <c r="D333" s="6">
        <v>1</v>
      </c>
      <c r="E333" s="6" t="s">
        <v>849</v>
      </c>
      <c r="F333" s="6" t="s">
        <v>901</v>
      </c>
      <c r="G333" s="6" t="s">
        <v>831</v>
      </c>
      <c r="H333" s="10">
        <f t="shared" si="5"/>
        <v>98.75</v>
      </c>
      <c r="I333" s="6" t="s">
        <v>1048</v>
      </c>
    </row>
    <row r="334" spans="1:9" x14ac:dyDescent="0.3">
      <c r="A334" s="6" t="s">
        <v>1310</v>
      </c>
      <c r="B334" s="6" t="s">
        <v>352</v>
      </c>
      <c r="C334" s="6" t="s">
        <v>739</v>
      </c>
      <c r="D334" s="6">
        <v>1</v>
      </c>
      <c r="E334" s="6" t="s">
        <v>846</v>
      </c>
      <c r="F334" s="6" t="s">
        <v>901</v>
      </c>
      <c r="G334" s="6" t="s">
        <v>827</v>
      </c>
      <c r="H334" s="10">
        <f t="shared" si="5"/>
        <v>135</v>
      </c>
      <c r="I334" s="6" t="s">
        <v>1311</v>
      </c>
    </row>
    <row r="335" spans="1:9" x14ac:dyDescent="0.3">
      <c r="A335" s="6" t="s">
        <v>1312</v>
      </c>
      <c r="B335" s="6" t="s">
        <v>352</v>
      </c>
      <c r="C335" s="6" t="s">
        <v>765</v>
      </c>
      <c r="D335" s="6">
        <v>1</v>
      </c>
      <c r="E335" s="6" t="s">
        <v>958</v>
      </c>
      <c r="F335" s="6" t="s">
        <v>962</v>
      </c>
      <c r="G335" s="6" t="s">
        <v>892</v>
      </c>
      <c r="H335" s="10">
        <f t="shared" si="5"/>
        <v>136.25</v>
      </c>
      <c r="I335" s="6" t="s">
        <v>859</v>
      </c>
    </row>
    <row r="336" spans="1:9" x14ac:dyDescent="0.3">
      <c r="A336" s="6" t="s">
        <v>1313</v>
      </c>
      <c r="B336" s="6" t="s">
        <v>352</v>
      </c>
      <c r="C336" s="6" t="s">
        <v>765</v>
      </c>
      <c r="D336" s="6">
        <v>1</v>
      </c>
      <c r="E336" s="6" t="s">
        <v>861</v>
      </c>
      <c r="F336" s="6" t="s">
        <v>1045</v>
      </c>
      <c r="G336" s="6" t="s">
        <v>816</v>
      </c>
      <c r="H336" s="10">
        <f t="shared" si="5"/>
        <v>136.25</v>
      </c>
      <c r="I336" s="6" t="s">
        <v>859</v>
      </c>
    </row>
    <row r="337" spans="1:9" x14ac:dyDescent="0.3">
      <c r="A337" s="6" t="s">
        <v>1314</v>
      </c>
      <c r="B337" s="6" t="s">
        <v>355</v>
      </c>
      <c r="C337" s="6" t="s">
        <v>421</v>
      </c>
      <c r="D337" s="6">
        <v>1</v>
      </c>
      <c r="E337" s="6" t="s">
        <v>958</v>
      </c>
      <c r="F337" s="6" t="s">
        <v>899</v>
      </c>
      <c r="G337" s="6" t="s">
        <v>811</v>
      </c>
      <c r="H337" s="10">
        <f t="shared" si="5"/>
        <v>123.75</v>
      </c>
      <c r="I337" s="6" t="s">
        <v>812</v>
      </c>
    </row>
    <row r="338" spans="1:9" x14ac:dyDescent="0.3">
      <c r="A338" s="6" t="s">
        <v>1315</v>
      </c>
      <c r="B338" s="6" t="s">
        <v>355</v>
      </c>
      <c r="C338" s="6" t="s">
        <v>546</v>
      </c>
      <c r="D338" s="6">
        <v>1</v>
      </c>
      <c r="E338" s="6" t="s">
        <v>1033</v>
      </c>
      <c r="F338" s="6" t="s">
        <v>832</v>
      </c>
      <c r="G338" s="6" t="s">
        <v>847</v>
      </c>
      <c r="H338" s="10">
        <f t="shared" si="5"/>
        <v>123.75</v>
      </c>
      <c r="I338" s="6" t="s">
        <v>812</v>
      </c>
    </row>
    <row r="339" spans="1:9" x14ac:dyDescent="0.3">
      <c r="A339" s="6" t="s">
        <v>1316</v>
      </c>
      <c r="B339" s="6" t="s">
        <v>355</v>
      </c>
      <c r="C339" s="6" t="s">
        <v>652</v>
      </c>
      <c r="D339" s="6">
        <v>1</v>
      </c>
      <c r="E339" s="6" t="s">
        <v>892</v>
      </c>
      <c r="F339" s="6" t="s">
        <v>1092</v>
      </c>
      <c r="G339" s="6" t="s">
        <v>831</v>
      </c>
      <c r="H339" s="10">
        <f t="shared" si="5"/>
        <v>123.75</v>
      </c>
      <c r="I339" s="6" t="s">
        <v>812</v>
      </c>
    </row>
    <row r="340" spans="1:9" x14ac:dyDescent="0.3">
      <c r="A340" s="6" t="s">
        <v>2937</v>
      </c>
      <c r="B340" s="6" t="s">
        <v>355</v>
      </c>
      <c r="C340" s="6" t="s">
        <v>632</v>
      </c>
      <c r="D340" s="6">
        <v>1</v>
      </c>
      <c r="E340" s="6">
        <v>2E-3</v>
      </c>
      <c r="F340" s="6">
        <v>8.9999999999999993E-3</v>
      </c>
      <c r="G340" s="6">
        <v>4.0000000000000001E-3</v>
      </c>
      <c r="H340" s="10">
        <f t="shared" si="5"/>
        <v>222.5</v>
      </c>
      <c r="I340" s="6">
        <v>178</v>
      </c>
    </row>
    <row r="341" spans="1:9" x14ac:dyDescent="0.3">
      <c r="A341" s="6" t="s">
        <v>1317</v>
      </c>
      <c r="B341" s="6" t="s">
        <v>357</v>
      </c>
      <c r="C341" s="6" t="s">
        <v>491</v>
      </c>
      <c r="D341" s="6">
        <v>1</v>
      </c>
      <c r="E341" s="6" t="s">
        <v>818</v>
      </c>
      <c r="F341" s="6" t="s">
        <v>890</v>
      </c>
      <c r="G341" s="6" t="s">
        <v>1102</v>
      </c>
      <c r="H341" s="10">
        <f t="shared" si="5"/>
        <v>491.25</v>
      </c>
      <c r="I341" s="6" t="s">
        <v>837</v>
      </c>
    </row>
    <row r="342" spans="1:9" x14ac:dyDescent="0.3">
      <c r="A342" s="6" t="s">
        <v>1318</v>
      </c>
      <c r="B342" s="6" t="s">
        <v>357</v>
      </c>
      <c r="C342" s="6" t="s">
        <v>569</v>
      </c>
      <c r="D342" s="6">
        <v>1</v>
      </c>
      <c r="E342" s="6" t="s">
        <v>849</v>
      </c>
      <c r="F342" s="6" t="s">
        <v>1301</v>
      </c>
      <c r="G342" s="6" t="s">
        <v>814</v>
      </c>
      <c r="H342" s="10">
        <f t="shared" si="5"/>
        <v>437.5</v>
      </c>
      <c r="I342" s="6" t="s">
        <v>1244</v>
      </c>
    </row>
    <row r="343" spans="1:9" x14ac:dyDescent="0.3">
      <c r="A343" s="6" t="s">
        <v>1319</v>
      </c>
      <c r="B343" s="6" t="s">
        <v>357</v>
      </c>
      <c r="C343" s="6" t="s">
        <v>569</v>
      </c>
      <c r="D343" s="6">
        <v>1</v>
      </c>
      <c r="E343" s="6" t="s">
        <v>849</v>
      </c>
      <c r="F343" s="6" t="s">
        <v>1158</v>
      </c>
      <c r="G343" s="6" t="s">
        <v>943</v>
      </c>
      <c r="H343" s="10">
        <f t="shared" si="5"/>
        <v>437.5</v>
      </c>
      <c r="I343" s="6" t="s">
        <v>1244</v>
      </c>
    </row>
    <row r="344" spans="1:9" x14ac:dyDescent="0.3">
      <c r="A344" s="6" t="s">
        <v>1320</v>
      </c>
      <c r="B344" s="6" t="s">
        <v>357</v>
      </c>
      <c r="C344" s="6" t="s">
        <v>569</v>
      </c>
      <c r="D344" s="6">
        <v>1</v>
      </c>
      <c r="E344" s="6" t="s">
        <v>849</v>
      </c>
      <c r="F344" s="6" t="s">
        <v>809</v>
      </c>
      <c r="G344" s="6" t="s">
        <v>1321</v>
      </c>
      <c r="H344" s="10">
        <f t="shared" si="5"/>
        <v>542.5</v>
      </c>
      <c r="I344" s="6" t="s">
        <v>844</v>
      </c>
    </row>
    <row r="345" spans="1:9" x14ac:dyDescent="0.3">
      <c r="A345" s="6" t="s">
        <v>1322</v>
      </c>
      <c r="B345" s="6" t="s">
        <v>359</v>
      </c>
      <c r="C345" s="6" t="s">
        <v>600</v>
      </c>
      <c r="D345" s="6">
        <v>1</v>
      </c>
      <c r="E345" s="6" t="s">
        <v>849</v>
      </c>
      <c r="F345" s="6" t="s">
        <v>980</v>
      </c>
      <c r="G345" s="6" t="s">
        <v>1323</v>
      </c>
      <c r="H345" s="10">
        <f t="shared" si="5"/>
        <v>1603.75</v>
      </c>
      <c r="I345" s="6">
        <v>1283</v>
      </c>
    </row>
    <row r="346" spans="1:9" x14ac:dyDescent="0.3">
      <c r="A346" s="6" t="s">
        <v>1324</v>
      </c>
      <c r="B346" s="6" t="s">
        <v>357</v>
      </c>
      <c r="C346" s="6" t="s">
        <v>756</v>
      </c>
      <c r="D346" s="6">
        <v>1</v>
      </c>
      <c r="E346" s="6" t="s">
        <v>822</v>
      </c>
      <c r="F346" s="6" t="s">
        <v>835</v>
      </c>
      <c r="G346" s="6" t="s">
        <v>1325</v>
      </c>
      <c r="H346" s="10">
        <f t="shared" si="5"/>
        <v>438.75</v>
      </c>
      <c r="I346" s="6" t="s">
        <v>1326</v>
      </c>
    </row>
    <row r="347" spans="1:9" x14ac:dyDescent="0.3">
      <c r="A347" s="6" t="s">
        <v>1327</v>
      </c>
      <c r="B347" s="6" t="s">
        <v>362</v>
      </c>
      <c r="C347" s="6" t="s">
        <v>122</v>
      </c>
      <c r="D347" s="6">
        <v>1</v>
      </c>
      <c r="E347" s="6" t="s">
        <v>849</v>
      </c>
      <c r="F347" s="6" t="s">
        <v>842</v>
      </c>
      <c r="G347" s="6" t="s">
        <v>949</v>
      </c>
      <c r="H347" s="10">
        <f t="shared" si="5"/>
        <v>175</v>
      </c>
      <c r="I347" s="6" t="s">
        <v>851</v>
      </c>
    </row>
    <row r="348" spans="1:9" x14ac:dyDescent="0.3">
      <c r="A348" s="6" t="s">
        <v>1328</v>
      </c>
      <c r="B348" s="6" t="s">
        <v>362</v>
      </c>
      <c r="C348" s="6" t="s">
        <v>377</v>
      </c>
      <c r="D348" s="6">
        <v>1</v>
      </c>
      <c r="E348" s="6" t="s">
        <v>831</v>
      </c>
      <c r="F348" s="6" t="s">
        <v>901</v>
      </c>
      <c r="G348" s="6" t="s">
        <v>815</v>
      </c>
      <c r="H348" s="10">
        <f t="shared" si="5"/>
        <v>175</v>
      </c>
      <c r="I348" s="6" t="s">
        <v>851</v>
      </c>
    </row>
    <row r="349" spans="1:9" x14ac:dyDescent="0.3">
      <c r="A349" s="6" t="s">
        <v>1329</v>
      </c>
      <c r="B349" s="6" t="s">
        <v>362</v>
      </c>
      <c r="C349" s="6" t="s">
        <v>480</v>
      </c>
      <c r="D349" s="6">
        <v>1</v>
      </c>
      <c r="E349" s="6" t="s">
        <v>831</v>
      </c>
      <c r="F349" s="6" t="s">
        <v>846</v>
      </c>
      <c r="G349" s="6" t="s">
        <v>1301</v>
      </c>
      <c r="H349" s="10">
        <f t="shared" si="5"/>
        <v>175</v>
      </c>
      <c r="I349" s="6" t="s">
        <v>851</v>
      </c>
    </row>
    <row r="350" spans="1:9" x14ac:dyDescent="0.3">
      <c r="A350" s="6" t="s">
        <v>1330</v>
      </c>
      <c r="B350" s="6" t="s">
        <v>364</v>
      </c>
      <c r="C350" s="6" t="s">
        <v>634</v>
      </c>
      <c r="D350" s="6">
        <v>1</v>
      </c>
      <c r="E350" s="6" t="s">
        <v>1145</v>
      </c>
      <c r="F350" s="6" t="s">
        <v>1331</v>
      </c>
      <c r="G350" s="6" t="s">
        <v>816</v>
      </c>
      <c r="H350" s="10">
        <f t="shared" si="5"/>
        <v>232.5</v>
      </c>
      <c r="I350" s="6" t="s">
        <v>1200</v>
      </c>
    </row>
    <row r="351" spans="1:9" x14ac:dyDescent="0.3">
      <c r="A351" s="6" t="s">
        <v>1332</v>
      </c>
      <c r="B351" s="6" t="s">
        <v>364</v>
      </c>
      <c r="C351" s="6" t="s">
        <v>765</v>
      </c>
      <c r="D351" s="6">
        <v>1</v>
      </c>
      <c r="E351" s="6" t="s">
        <v>849</v>
      </c>
      <c r="F351" s="6" t="s">
        <v>823</v>
      </c>
      <c r="G351" s="6" t="s">
        <v>846</v>
      </c>
      <c r="H351" s="10">
        <f t="shared" si="5"/>
        <v>196.25</v>
      </c>
      <c r="I351" s="6" t="s">
        <v>1333</v>
      </c>
    </row>
    <row r="352" spans="1:9" x14ac:dyDescent="0.3">
      <c r="A352" s="6" t="s">
        <v>1334</v>
      </c>
      <c r="B352" s="6" t="s">
        <v>364</v>
      </c>
      <c r="C352" s="6" t="s">
        <v>765</v>
      </c>
      <c r="D352" s="6">
        <v>1</v>
      </c>
      <c r="E352" s="6" t="s">
        <v>842</v>
      </c>
      <c r="F352" s="6" t="s">
        <v>907</v>
      </c>
      <c r="G352" s="6" t="s">
        <v>831</v>
      </c>
      <c r="H352" s="10">
        <f t="shared" si="5"/>
        <v>180</v>
      </c>
      <c r="I352" s="6" t="s">
        <v>1034</v>
      </c>
    </row>
    <row r="353" spans="1:9" x14ac:dyDescent="0.3">
      <c r="A353" s="6" t="s">
        <v>1335</v>
      </c>
      <c r="B353" s="6" t="s">
        <v>364</v>
      </c>
      <c r="C353" s="6" t="s">
        <v>765</v>
      </c>
      <c r="D353" s="6">
        <v>1</v>
      </c>
      <c r="E353" s="6" t="s">
        <v>849</v>
      </c>
      <c r="F353" s="6" t="s">
        <v>1033</v>
      </c>
      <c r="G353" s="6" t="s">
        <v>858</v>
      </c>
      <c r="H353" s="10">
        <f t="shared" si="5"/>
        <v>232.5</v>
      </c>
      <c r="I353" s="6" t="s">
        <v>1200</v>
      </c>
    </row>
    <row r="354" spans="1:9" x14ac:dyDescent="0.3">
      <c r="A354" s="6" t="s">
        <v>1336</v>
      </c>
      <c r="B354" s="6" t="s">
        <v>370</v>
      </c>
      <c r="C354" s="6" t="s">
        <v>713</v>
      </c>
      <c r="D354" s="6">
        <v>1</v>
      </c>
      <c r="E354" s="6" t="s">
        <v>822</v>
      </c>
      <c r="F354" s="6" t="s">
        <v>814</v>
      </c>
      <c r="G354" s="6" t="s">
        <v>1337</v>
      </c>
      <c r="H354" s="10">
        <f t="shared" si="5"/>
        <v>243.75</v>
      </c>
      <c r="I354" s="6" t="s">
        <v>976</v>
      </c>
    </row>
    <row r="355" spans="1:9" x14ac:dyDescent="0.3">
      <c r="A355" s="6" t="s">
        <v>1338</v>
      </c>
      <c r="B355" s="6" t="s">
        <v>375</v>
      </c>
      <c r="C355" s="6" t="s">
        <v>375</v>
      </c>
      <c r="D355" s="10">
        <v>0</v>
      </c>
      <c r="E355" s="6" t="s">
        <v>892</v>
      </c>
      <c r="F355" s="6" t="s">
        <v>823</v>
      </c>
      <c r="G355" s="6" t="s">
        <v>831</v>
      </c>
      <c r="H355" s="10">
        <f t="shared" si="5"/>
        <v>131.25</v>
      </c>
      <c r="I355" s="6" t="s">
        <v>862</v>
      </c>
    </row>
    <row r="356" spans="1:9" x14ac:dyDescent="0.3">
      <c r="A356" s="6" t="s">
        <v>1339</v>
      </c>
      <c r="B356" s="6" t="s">
        <v>377</v>
      </c>
      <c r="C356" s="6" t="s">
        <v>406</v>
      </c>
      <c r="D356" s="6">
        <v>1</v>
      </c>
      <c r="E356" s="6" t="s">
        <v>835</v>
      </c>
      <c r="F356" s="6" t="s">
        <v>814</v>
      </c>
      <c r="G356" s="6" t="s">
        <v>846</v>
      </c>
      <c r="H356" s="10">
        <f t="shared" si="5"/>
        <v>131.25</v>
      </c>
      <c r="I356" s="6" t="s">
        <v>862</v>
      </c>
    </row>
    <row r="357" spans="1:9" x14ac:dyDescent="0.3">
      <c r="A357" s="6" t="s">
        <v>1340</v>
      </c>
      <c r="B357" s="6" t="s">
        <v>377</v>
      </c>
      <c r="C357" s="6" t="s">
        <v>427</v>
      </c>
      <c r="D357" s="6">
        <v>1</v>
      </c>
      <c r="E357" s="6" t="s">
        <v>846</v>
      </c>
      <c r="F357" s="6" t="s">
        <v>816</v>
      </c>
      <c r="G357" s="6" t="s">
        <v>1341</v>
      </c>
      <c r="H357" s="10">
        <f t="shared" si="5"/>
        <v>148.75</v>
      </c>
      <c r="I357" s="6" t="s">
        <v>990</v>
      </c>
    </row>
    <row r="358" spans="1:9" x14ac:dyDescent="0.3">
      <c r="A358" s="6" t="s">
        <v>1342</v>
      </c>
      <c r="B358" s="6" t="s">
        <v>379</v>
      </c>
      <c r="C358" s="6" t="s">
        <v>448</v>
      </c>
      <c r="D358" s="6">
        <v>1</v>
      </c>
      <c r="E358" s="6" t="s">
        <v>826</v>
      </c>
      <c r="F358" s="6" t="s">
        <v>827</v>
      </c>
      <c r="G358" s="6" t="s">
        <v>828</v>
      </c>
      <c r="H358" s="10">
        <f t="shared" si="5"/>
        <v>741.25</v>
      </c>
      <c r="I358" s="6" t="s">
        <v>829</v>
      </c>
    </row>
    <row r="359" spans="1:9" x14ac:dyDescent="0.3">
      <c r="A359" s="6" t="s">
        <v>1343</v>
      </c>
      <c r="B359" s="6" t="s">
        <v>377</v>
      </c>
      <c r="C359" s="6" t="s">
        <v>571</v>
      </c>
      <c r="D359" s="6">
        <v>1</v>
      </c>
      <c r="E359" s="6" t="s">
        <v>822</v>
      </c>
      <c r="F359" s="6" t="s">
        <v>818</v>
      </c>
      <c r="G359" s="6" t="s">
        <v>1344</v>
      </c>
      <c r="H359" s="10">
        <f t="shared" si="5"/>
        <v>148.75</v>
      </c>
      <c r="I359" s="6" t="s">
        <v>990</v>
      </c>
    </row>
    <row r="360" spans="1:9" x14ac:dyDescent="0.3">
      <c r="A360" s="6" t="s">
        <v>1345</v>
      </c>
      <c r="B360" s="6" t="s">
        <v>379</v>
      </c>
      <c r="C360" s="6" t="s">
        <v>630</v>
      </c>
      <c r="D360" s="6">
        <v>1</v>
      </c>
      <c r="E360" s="6" t="s">
        <v>827</v>
      </c>
      <c r="F360" s="6" t="s">
        <v>849</v>
      </c>
      <c r="G360" s="6" t="s">
        <v>1346</v>
      </c>
      <c r="H360" s="10">
        <f t="shared" si="5"/>
        <v>415</v>
      </c>
      <c r="I360" s="6" t="s">
        <v>1347</v>
      </c>
    </row>
    <row r="361" spans="1:9" x14ac:dyDescent="0.3">
      <c r="A361" s="6" t="s">
        <v>1348</v>
      </c>
      <c r="B361" s="6" t="s">
        <v>377</v>
      </c>
      <c r="C361" s="6" t="s">
        <v>656</v>
      </c>
      <c r="D361" s="6">
        <v>1</v>
      </c>
      <c r="E361" s="6" t="s">
        <v>831</v>
      </c>
      <c r="F361" s="6" t="s">
        <v>846</v>
      </c>
      <c r="G361" s="6" t="s">
        <v>1158</v>
      </c>
      <c r="H361" s="10">
        <f t="shared" si="5"/>
        <v>150</v>
      </c>
      <c r="I361" s="6" t="s">
        <v>896</v>
      </c>
    </row>
    <row r="362" spans="1:9" x14ac:dyDescent="0.3">
      <c r="A362" s="6" t="s">
        <v>1349</v>
      </c>
      <c r="B362" s="6" t="s">
        <v>377</v>
      </c>
      <c r="C362" s="6" t="s">
        <v>663</v>
      </c>
      <c r="D362" s="6">
        <v>1</v>
      </c>
      <c r="E362" s="6" t="s">
        <v>822</v>
      </c>
      <c r="F362" s="6" t="s">
        <v>882</v>
      </c>
      <c r="G362" s="6" t="s">
        <v>811</v>
      </c>
      <c r="H362" s="10">
        <f t="shared" si="5"/>
        <v>100</v>
      </c>
      <c r="I362" s="6" t="s">
        <v>1067</v>
      </c>
    </row>
    <row r="363" spans="1:9" x14ac:dyDescent="0.3">
      <c r="A363" s="6" t="s">
        <v>1350</v>
      </c>
      <c r="B363" s="6" t="s">
        <v>379</v>
      </c>
      <c r="C363" s="6" t="s">
        <v>705</v>
      </c>
      <c r="D363" s="6">
        <v>1</v>
      </c>
      <c r="E363" s="6" t="s">
        <v>826</v>
      </c>
      <c r="F363" s="6" t="s">
        <v>846</v>
      </c>
      <c r="G363" s="6" t="s">
        <v>1351</v>
      </c>
      <c r="H363" s="10">
        <f t="shared" si="5"/>
        <v>670</v>
      </c>
      <c r="I363" s="6" t="s">
        <v>833</v>
      </c>
    </row>
    <row r="364" spans="1:9" x14ac:dyDescent="0.3">
      <c r="A364" s="6" t="s">
        <v>1352</v>
      </c>
      <c r="B364" s="6" t="s">
        <v>377</v>
      </c>
      <c r="C364" s="6" t="s">
        <v>738</v>
      </c>
      <c r="D364" s="6">
        <v>1</v>
      </c>
      <c r="E364" s="6" t="s">
        <v>856</v>
      </c>
      <c r="F364" s="6" t="s">
        <v>832</v>
      </c>
      <c r="G364" s="6" t="s">
        <v>1353</v>
      </c>
      <c r="H364" s="10">
        <f t="shared" si="5"/>
        <v>131.25</v>
      </c>
      <c r="I364" s="6" t="s">
        <v>862</v>
      </c>
    </row>
    <row r="365" spans="1:9" x14ac:dyDescent="0.3">
      <c r="A365" s="6" t="s">
        <v>1354</v>
      </c>
      <c r="B365" s="6" t="s">
        <v>381</v>
      </c>
      <c r="C365" s="6" t="s">
        <v>440</v>
      </c>
      <c r="D365" s="6">
        <v>1</v>
      </c>
      <c r="E365" s="6" t="s">
        <v>827</v>
      </c>
      <c r="F365" s="6" t="s">
        <v>822</v>
      </c>
      <c r="G365" s="6" t="s">
        <v>835</v>
      </c>
      <c r="H365" s="10">
        <f t="shared" si="5"/>
        <v>180</v>
      </c>
      <c r="I365" s="6" t="s">
        <v>1034</v>
      </c>
    </row>
    <row r="366" spans="1:9" x14ac:dyDescent="0.3">
      <c r="A366" s="6" t="s">
        <v>1355</v>
      </c>
      <c r="B366" s="6" t="s">
        <v>381</v>
      </c>
      <c r="C366" s="6" t="s">
        <v>440</v>
      </c>
      <c r="D366" s="6">
        <v>1</v>
      </c>
      <c r="E366" s="6" t="s">
        <v>827</v>
      </c>
      <c r="F366" s="6" t="s">
        <v>822</v>
      </c>
      <c r="G366" s="6" t="s">
        <v>835</v>
      </c>
      <c r="H366" s="10">
        <f t="shared" si="5"/>
        <v>180</v>
      </c>
      <c r="I366" s="6" t="s">
        <v>1034</v>
      </c>
    </row>
    <row r="367" spans="1:9" x14ac:dyDescent="0.3">
      <c r="A367" s="6" t="s">
        <v>1356</v>
      </c>
      <c r="B367" s="6" t="s">
        <v>384</v>
      </c>
      <c r="C367" s="6" t="s">
        <v>404</v>
      </c>
      <c r="D367" s="6">
        <v>1</v>
      </c>
      <c r="E367" s="6" t="s">
        <v>823</v>
      </c>
      <c r="F367" s="6" t="s">
        <v>819</v>
      </c>
      <c r="G367" s="6" t="s">
        <v>822</v>
      </c>
      <c r="H367" s="10">
        <f t="shared" si="5"/>
        <v>131.25</v>
      </c>
      <c r="I367" s="6" t="s">
        <v>862</v>
      </c>
    </row>
    <row r="368" spans="1:9" x14ac:dyDescent="0.3">
      <c r="A368" s="6" t="s">
        <v>1357</v>
      </c>
      <c r="B368" s="6" t="s">
        <v>386</v>
      </c>
      <c r="C368" s="6" t="s">
        <v>548</v>
      </c>
      <c r="D368" s="6">
        <v>1</v>
      </c>
      <c r="E368" s="6" t="s">
        <v>938</v>
      </c>
      <c r="F368" s="6" t="s">
        <v>1358</v>
      </c>
      <c r="G368" s="6" t="s">
        <v>1359</v>
      </c>
      <c r="H368" s="10">
        <f t="shared" si="5"/>
        <v>480</v>
      </c>
      <c r="I368" s="6" t="s">
        <v>1360</v>
      </c>
    </row>
    <row r="369" spans="1:9" x14ac:dyDescent="0.3">
      <c r="A369" s="6" t="s">
        <v>1361</v>
      </c>
      <c r="B369" s="6" t="s">
        <v>384</v>
      </c>
      <c r="C369" s="6" t="s">
        <v>711</v>
      </c>
      <c r="D369" s="6">
        <v>1</v>
      </c>
      <c r="E369" s="6" t="s">
        <v>836</v>
      </c>
      <c r="F369" s="6" t="s">
        <v>962</v>
      </c>
      <c r="G369" s="6" t="s">
        <v>818</v>
      </c>
      <c r="H369" s="10">
        <f t="shared" si="5"/>
        <v>123.75</v>
      </c>
      <c r="I369" s="6" t="s">
        <v>812</v>
      </c>
    </row>
    <row r="370" spans="1:9" x14ac:dyDescent="0.3">
      <c r="A370" s="6" t="s">
        <v>1362</v>
      </c>
      <c r="B370" s="6" t="s">
        <v>384</v>
      </c>
      <c r="C370" s="6" t="s">
        <v>714</v>
      </c>
      <c r="D370" s="6">
        <v>1</v>
      </c>
      <c r="E370" s="6" t="s">
        <v>883</v>
      </c>
      <c r="F370" s="6" t="s">
        <v>1241</v>
      </c>
      <c r="G370" s="6" t="s">
        <v>1015</v>
      </c>
      <c r="H370" s="10">
        <f t="shared" si="5"/>
        <v>123.75</v>
      </c>
      <c r="I370" s="6" t="s">
        <v>812</v>
      </c>
    </row>
    <row r="371" spans="1:9" x14ac:dyDescent="0.3">
      <c r="A371" s="6" t="s">
        <v>1363</v>
      </c>
      <c r="B371" s="6" t="s">
        <v>386</v>
      </c>
      <c r="C371" s="6" t="s">
        <v>730</v>
      </c>
      <c r="D371" s="6">
        <v>1</v>
      </c>
      <c r="E371" s="6" t="s">
        <v>811</v>
      </c>
      <c r="F371" s="6" t="s">
        <v>1304</v>
      </c>
      <c r="G371" s="6" t="s">
        <v>973</v>
      </c>
      <c r="H371" s="10">
        <f t="shared" si="5"/>
        <v>542.5</v>
      </c>
      <c r="I371" s="6" t="s">
        <v>844</v>
      </c>
    </row>
    <row r="372" spans="1:9" x14ac:dyDescent="0.3">
      <c r="A372" s="6" t="s">
        <v>1364</v>
      </c>
      <c r="B372" s="6" t="s">
        <v>384</v>
      </c>
      <c r="C372" s="6" t="s">
        <v>771</v>
      </c>
      <c r="D372" s="6">
        <v>1</v>
      </c>
      <c r="E372" s="6" t="s">
        <v>1052</v>
      </c>
      <c r="F372" s="6" t="s">
        <v>815</v>
      </c>
      <c r="G372" s="6" t="s">
        <v>882</v>
      </c>
      <c r="H372" s="10">
        <f t="shared" si="5"/>
        <v>122.5</v>
      </c>
      <c r="I372" s="6" t="s">
        <v>1365</v>
      </c>
    </row>
    <row r="373" spans="1:9" x14ac:dyDescent="0.3">
      <c r="A373" s="6" t="s">
        <v>1366</v>
      </c>
      <c r="B373" s="6" t="s">
        <v>388</v>
      </c>
      <c r="C373" s="6" t="s">
        <v>444</v>
      </c>
      <c r="D373" s="6">
        <v>1</v>
      </c>
      <c r="E373" s="6" t="s">
        <v>831</v>
      </c>
      <c r="F373" s="6" t="s">
        <v>849</v>
      </c>
      <c r="G373" s="6" t="s">
        <v>874</v>
      </c>
      <c r="H373" s="10">
        <f t="shared" si="5"/>
        <v>133.75</v>
      </c>
      <c r="I373" s="6" t="s">
        <v>1367</v>
      </c>
    </row>
    <row r="374" spans="1:9" x14ac:dyDescent="0.3">
      <c r="A374" s="6" t="s">
        <v>1368</v>
      </c>
      <c r="B374" s="6" t="s">
        <v>388</v>
      </c>
      <c r="C374" s="6" t="s">
        <v>446</v>
      </c>
      <c r="D374" s="6">
        <v>1</v>
      </c>
      <c r="E374" s="6" t="s">
        <v>831</v>
      </c>
      <c r="F374" s="6" t="s">
        <v>849</v>
      </c>
      <c r="G374" s="6" t="s">
        <v>853</v>
      </c>
      <c r="H374" s="10">
        <f t="shared" si="5"/>
        <v>175</v>
      </c>
      <c r="I374" s="6" t="s">
        <v>851</v>
      </c>
    </row>
    <row r="375" spans="1:9" x14ac:dyDescent="0.3">
      <c r="A375" s="6" t="s">
        <v>1369</v>
      </c>
      <c r="B375" s="6" t="s">
        <v>388</v>
      </c>
      <c r="C375" s="6" t="s">
        <v>456</v>
      </c>
      <c r="D375" s="6">
        <v>1</v>
      </c>
      <c r="E375" s="6" t="s">
        <v>849</v>
      </c>
      <c r="F375" s="6" t="s">
        <v>882</v>
      </c>
      <c r="G375" s="6" t="s">
        <v>1045</v>
      </c>
      <c r="H375" s="10">
        <f t="shared" si="5"/>
        <v>133.75</v>
      </c>
      <c r="I375" s="6" t="s">
        <v>1367</v>
      </c>
    </row>
    <row r="376" spans="1:9" x14ac:dyDescent="0.3">
      <c r="A376" s="6" t="s">
        <v>1370</v>
      </c>
      <c r="B376" s="6" t="s">
        <v>388</v>
      </c>
      <c r="C376" s="6" t="s">
        <v>779</v>
      </c>
      <c r="D376" s="6">
        <v>1</v>
      </c>
      <c r="E376" s="6" t="s">
        <v>831</v>
      </c>
      <c r="F376" s="6" t="s">
        <v>849</v>
      </c>
      <c r="G376" s="6" t="s">
        <v>861</v>
      </c>
      <c r="H376" s="10">
        <f t="shared" si="5"/>
        <v>175</v>
      </c>
      <c r="I376" s="6" t="s">
        <v>851</v>
      </c>
    </row>
    <row r="377" spans="1:9" x14ac:dyDescent="0.3">
      <c r="A377" s="6" t="s">
        <v>1371</v>
      </c>
      <c r="B377" s="6" t="s">
        <v>392</v>
      </c>
      <c r="C377" s="6" t="s">
        <v>693</v>
      </c>
      <c r="D377" s="6">
        <v>1</v>
      </c>
      <c r="E377" s="6" t="s">
        <v>822</v>
      </c>
      <c r="F377" s="6" t="s">
        <v>822</v>
      </c>
      <c r="G377" s="6" t="s">
        <v>899</v>
      </c>
      <c r="H377" s="10">
        <f t="shared" si="5"/>
        <v>123.75</v>
      </c>
      <c r="I377" s="6" t="s">
        <v>812</v>
      </c>
    </row>
    <row r="378" spans="1:9" x14ac:dyDescent="0.3">
      <c r="A378" s="6" t="s">
        <v>1372</v>
      </c>
      <c r="B378" s="6" t="s">
        <v>392</v>
      </c>
      <c r="C378" s="6" t="s">
        <v>699</v>
      </c>
      <c r="D378" s="6">
        <v>1</v>
      </c>
      <c r="E378" s="6" t="s">
        <v>846</v>
      </c>
      <c r="F378" s="6" t="s">
        <v>953</v>
      </c>
      <c r="G378" s="6" t="s">
        <v>1373</v>
      </c>
      <c r="H378" s="10">
        <f t="shared" si="5"/>
        <v>123.75</v>
      </c>
      <c r="I378" s="6" t="s">
        <v>812</v>
      </c>
    </row>
    <row r="379" spans="1:9" x14ac:dyDescent="0.3">
      <c r="A379" s="6" t="s">
        <v>1374</v>
      </c>
      <c r="B379" s="6" t="s">
        <v>394</v>
      </c>
      <c r="C379" s="6" t="s">
        <v>213</v>
      </c>
      <c r="D379" s="6">
        <v>1</v>
      </c>
      <c r="E379" s="6">
        <v>7.0000000000000001E-3</v>
      </c>
      <c r="F379" s="6">
        <v>3.5999999999999997E-2</v>
      </c>
      <c r="G379" s="6">
        <v>4.0000000000000001E-3</v>
      </c>
      <c r="H379" s="10">
        <f t="shared" si="5"/>
        <v>222.5</v>
      </c>
      <c r="I379" s="6">
        <v>178</v>
      </c>
    </row>
    <row r="380" spans="1:9" x14ac:dyDescent="0.3">
      <c r="A380" s="6" t="s">
        <v>1375</v>
      </c>
      <c r="B380" s="6" t="s">
        <v>396</v>
      </c>
      <c r="C380" s="6" t="s">
        <v>431</v>
      </c>
      <c r="D380" s="6">
        <v>1</v>
      </c>
      <c r="E380" s="6" t="s">
        <v>842</v>
      </c>
      <c r="F380" s="6" t="s">
        <v>958</v>
      </c>
      <c r="G380" s="6" t="s">
        <v>811</v>
      </c>
      <c r="H380" s="10">
        <f t="shared" si="5"/>
        <v>128.75</v>
      </c>
      <c r="I380" s="6" t="s">
        <v>854</v>
      </c>
    </row>
    <row r="381" spans="1:9" x14ac:dyDescent="0.3">
      <c r="A381" s="6" t="s">
        <v>1376</v>
      </c>
      <c r="B381" s="6" t="s">
        <v>396</v>
      </c>
      <c r="C381" s="6" t="s">
        <v>456</v>
      </c>
      <c r="D381" s="6">
        <v>1</v>
      </c>
      <c r="E381" s="6" t="s">
        <v>892</v>
      </c>
      <c r="F381" s="6" t="s">
        <v>850</v>
      </c>
      <c r="G381" s="6" t="s">
        <v>842</v>
      </c>
      <c r="H381" s="10">
        <f t="shared" si="5"/>
        <v>128.75</v>
      </c>
      <c r="I381" s="6" t="s">
        <v>854</v>
      </c>
    </row>
    <row r="382" spans="1:9" x14ac:dyDescent="0.3">
      <c r="A382" s="6" t="s">
        <v>1377</v>
      </c>
      <c r="B382" s="6" t="s">
        <v>396</v>
      </c>
      <c r="C382" s="6" t="s">
        <v>456</v>
      </c>
      <c r="D382" s="6">
        <v>1</v>
      </c>
      <c r="E382" s="6" t="s">
        <v>892</v>
      </c>
      <c r="F382" s="6" t="s">
        <v>850</v>
      </c>
      <c r="G382" s="6" t="s">
        <v>842</v>
      </c>
      <c r="H382" s="10">
        <f t="shared" si="5"/>
        <v>128.75</v>
      </c>
      <c r="I382" s="6" t="s">
        <v>854</v>
      </c>
    </row>
    <row r="383" spans="1:9" x14ac:dyDescent="0.3">
      <c r="A383" s="6" t="s">
        <v>1378</v>
      </c>
      <c r="B383" s="6" t="s">
        <v>396</v>
      </c>
      <c r="C383" s="6" t="s">
        <v>614</v>
      </c>
      <c r="D383" s="6">
        <v>1</v>
      </c>
      <c r="E383" s="6" t="s">
        <v>827</v>
      </c>
      <c r="F383" s="6" t="s">
        <v>831</v>
      </c>
      <c r="G383" s="6" t="s">
        <v>847</v>
      </c>
      <c r="H383" s="10">
        <f t="shared" si="5"/>
        <v>150</v>
      </c>
      <c r="I383" s="6" t="s">
        <v>896</v>
      </c>
    </row>
    <row r="384" spans="1:9" x14ac:dyDescent="0.3">
      <c r="A384" s="6" t="s">
        <v>1379</v>
      </c>
      <c r="B384" s="6" t="s">
        <v>396</v>
      </c>
      <c r="C384" s="6" t="s">
        <v>614</v>
      </c>
      <c r="D384" s="6">
        <v>1</v>
      </c>
      <c r="E384" s="6" t="s">
        <v>827</v>
      </c>
      <c r="F384" s="6" t="s">
        <v>831</v>
      </c>
      <c r="G384" s="6" t="s">
        <v>847</v>
      </c>
      <c r="H384" s="10">
        <f t="shared" si="5"/>
        <v>150</v>
      </c>
      <c r="I384" s="6" t="s">
        <v>896</v>
      </c>
    </row>
    <row r="385" spans="1:9" x14ac:dyDescent="0.3">
      <c r="A385" s="6" t="s">
        <v>1380</v>
      </c>
      <c r="B385" s="6" t="s">
        <v>398</v>
      </c>
      <c r="C385" s="6" t="s">
        <v>666</v>
      </c>
      <c r="D385" s="6">
        <v>1</v>
      </c>
      <c r="E385" s="6" t="s">
        <v>826</v>
      </c>
      <c r="F385" s="6" t="s">
        <v>846</v>
      </c>
      <c r="G385" s="6" t="s">
        <v>1381</v>
      </c>
      <c r="H385" s="10">
        <f t="shared" si="5"/>
        <v>712.5</v>
      </c>
      <c r="I385" s="6" t="s">
        <v>995</v>
      </c>
    </row>
    <row r="386" spans="1:9" x14ac:dyDescent="0.3">
      <c r="A386" s="6" t="s">
        <v>1382</v>
      </c>
      <c r="B386" s="6" t="s">
        <v>400</v>
      </c>
      <c r="C386" s="6" t="s">
        <v>476</v>
      </c>
      <c r="D386" s="6">
        <v>1</v>
      </c>
      <c r="E386" s="6" t="s">
        <v>953</v>
      </c>
      <c r="F386" s="6" t="s">
        <v>1142</v>
      </c>
      <c r="G386" s="6" t="s">
        <v>823</v>
      </c>
      <c r="H386" s="10">
        <f t="shared" si="5"/>
        <v>123.75</v>
      </c>
      <c r="I386" s="6" t="s">
        <v>812</v>
      </c>
    </row>
    <row r="387" spans="1:9" x14ac:dyDescent="0.3">
      <c r="A387" s="6" t="s">
        <v>1383</v>
      </c>
      <c r="B387" s="6" t="s">
        <v>402</v>
      </c>
      <c r="C387" s="6" t="s">
        <v>491</v>
      </c>
      <c r="D387" s="6">
        <v>1</v>
      </c>
      <c r="E387" s="6" t="s">
        <v>892</v>
      </c>
      <c r="F387" s="6" t="s">
        <v>1080</v>
      </c>
      <c r="G387" s="6" t="s">
        <v>1217</v>
      </c>
      <c r="H387" s="10">
        <f t="shared" ref="H387:H450" si="6">I387*1.25</f>
        <v>491.25</v>
      </c>
      <c r="I387" s="6" t="s">
        <v>837</v>
      </c>
    </row>
    <row r="388" spans="1:9" x14ac:dyDescent="0.3">
      <c r="A388" s="6" t="s">
        <v>1384</v>
      </c>
      <c r="B388" s="6" t="s">
        <v>402</v>
      </c>
      <c r="C388" s="6" t="s">
        <v>559</v>
      </c>
      <c r="D388" s="6">
        <v>1</v>
      </c>
      <c r="E388" s="6" t="s">
        <v>811</v>
      </c>
      <c r="F388" s="6" t="s">
        <v>1145</v>
      </c>
      <c r="G388" s="6" t="s">
        <v>918</v>
      </c>
      <c r="H388" s="10">
        <f t="shared" si="6"/>
        <v>542.5</v>
      </c>
      <c r="I388" s="6" t="s">
        <v>844</v>
      </c>
    </row>
    <row r="389" spans="1:9" x14ac:dyDescent="0.3">
      <c r="A389" s="10" t="s">
        <v>1385</v>
      </c>
      <c r="B389" s="10" t="s">
        <v>402</v>
      </c>
      <c r="C389" s="10" t="s">
        <v>415</v>
      </c>
      <c r="D389" s="10">
        <v>1</v>
      </c>
      <c r="E389" s="10">
        <v>1.0000000000000001E-5</v>
      </c>
      <c r="F389" s="10">
        <v>1.0000000000000001E-5</v>
      </c>
      <c r="G389" s="10">
        <v>1.0999999999999999E-2</v>
      </c>
      <c r="H389" s="10">
        <f t="shared" si="6"/>
        <v>741.25</v>
      </c>
      <c r="I389" s="10">
        <v>593</v>
      </c>
    </row>
    <row r="390" spans="1:9" x14ac:dyDescent="0.3">
      <c r="A390" s="6" t="s">
        <v>1386</v>
      </c>
      <c r="B390" s="6" t="s">
        <v>400</v>
      </c>
      <c r="C390" s="6" t="s">
        <v>791</v>
      </c>
      <c r="D390" s="6">
        <v>1</v>
      </c>
      <c r="E390" s="6">
        <v>7.0000000000000001E-3</v>
      </c>
      <c r="F390" s="6" t="s">
        <v>828</v>
      </c>
      <c r="G390" s="6" t="s">
        <v>849</v>
      </c>
      <c r="H390" s="10">
        <f t="shared" si="6"/>
        <v>222.5</v>
      </c>
      <c r="I390" s="6" t="s">
        <v>820</v>
      </c>
    </row>
    <row r="391" spans="1:9" x14ac:dyDescent="0.3">
      <c r="A391" s="6" t="s">
        <v>1387</v>
      </c>
      <c r="B391" s="6" t="s">
        <v>400</v>
      </c>
      <c r="C391" s="6" t="s">
        <v>791</v>
      </c>
      <c r="D391" s="6">
        <v>1</v>
      </c>
      <c r="E391" s="6" t="s">
        <v>892</v>
      </c>
      <c r="F391" s="6" t="s">
        <v>1145</v>
      </c>
      <c r="G391" s="6" t="s">
        <v>846</v>
      </c>
      <c r="H391" s="10">
        <f t="shared" si="6"/>
        <v>222.5</v>
      </c>
      <c r="I391" s="6" t="s">
        <v>820</v>
      </c>
    </row>
    <row r="392" spans="1:9" x14ac:dyDescent="0.3">
      <c r="A392" s="10" t="s">
        <v>1388</v>
      </c>
      <c r="B392" s="10" t="s">
        <v>400</v>
      </c>
      <c r="C392" s="10" t="s">
        <v>680</v>
      </c>
      <c r="D392" s="10">
        <v>1</v>
      </c>
      <c r="E392" s="10">
        <f>0.022/2</f>
        <v>1.0999999999999999E-2</v>
      </c>
      <c r="F392" s="10">
        <f>0.112/2</f>
        <v>5.6000000000000001E-2</v>
      </c>
      <c r="G392" s="10">
        <f>0.012/2</f>
        <v>6.0000000000000001E-3</v>
      </c>
      <c r="H392" s="10">
        <f t="shared" si="6"/>
        <v>222.5</v>
      </c>
      <c r="I392" s="10" t="s">
        <v>820</v>
      </c>
    </row>
    <row r="393" spans="1:9" x14ac:dyDescent="0.3">
      <c r="A393" s="10" t="s">
        <v>1389</v>
      </c>
      <c r="B393" s="10" t="s">
        <v>680</v>
      </c>
      <c r="C393" s="10" t="s">
        <v>794</v>
      </c>
      <c r="D393" s="10">
        <v>1</v>
      </c>
      <c r="E393" s="10">
        <f>0.022/2</f>
        <v>1.0999999999999999E-2</v>
      </c>
      <c r="F393" s="10">
        <f>0.112/2</f>
        <v>5.6000000000000001E-2</v>
      </c>
      <c r="G393" s="10">
        <f>0.012/2</f>
        <v>6.0000000000000001E-3</v>
      </c>
      <c r="H393" s="10">
        <f t="shared" si="6"/>
        <v>222.5</v>
      </c>
      <c r="I393" s="10" t="s">
        <v>820</v>
      </c>
    </row>
    <row r="394" spans="1:9" x14ac:dyDescent="0.3">
      <c r="A394" s="6" t="s">
        <v>1390</v>
      </c>
      <c r="B394" s="6" t="s">
        <v>406</v>
      </c>
      <c r="C394" s="6" t="s">
        <v>738</v>
      </c>
      <c r="D394" s="6">
        <v>1</v>
      </c>
      <c r="E394" s="6" t="s">
        <v>823</v>
      </c>
      <c r="F394" s="6" t="s">
        <v>895</v>
      </c>
      <c r="G394" s="6" t="s">
        <v>1391</v>
      </c>
      <c r="H394" s="10">
        <f t="shared" si="6"/>
        <v>170</v>
      </c>
      <c r="I394" s="6" t="s">
        <v>951</v>
      </c>
    </row>
    <row r="395" spans="1:9" x14ac:dyDescent="0.3">
      <c r="A395" s="6" t="s">
        <v>1392</v>
      </c>
      <c r="B395" s="6" t="s">
        <v>408</v>
      </c>
      <c r="C395" s="6" t="s">
        <v>464</v>
      </c>
      <c r="D395" s="6">
        <v>1</v>
      </c>
      <c r="E395" s="6" t="s">
        <v>822</v>
      </c>
      <c r="F395" s="6" t="s">
        <v>938</v>
      </c>
      <c r="G395" s="6" t="s">
        <v>1331</v>
      </c>
      <c r="H395" s="10">
        <f t="shared" si="6"/>
        <v>152.5</v>
      </c>
      <c r="I395" s="6" t="s">
        <v>960</v>
      </c>
    </row>
    <row r="396" spans="1:9" x14ac:dyDescent="0.3">
      <c r="A396" s="6" t="s">
        <v>1393</v>
      </c>
      <c r="B396" s="6" t="s">
        <v>410</v>
      </c>
      <c r="C396" s="6" t="s">
        <v>467</v>
      </c>
      <c r="D396" s="6">
        <v>1</v>
      </c>
      <c r="E396" s="6" t="s">
        <v>809</v>
      </c>
      <c r="F396" s="6" t="s">
        <v>867</v>
      </c>
      <c r="G396" s="6" t="s">
        <v>809</v>
      </c>
      <c r="H396" s="10">
        <f t="shared" si="6"/>
        <v>102.5</v>
      </c>
      <c r="I396" s="6" t="s">
        <v>875</v>
      </c>
    </row>
    <row r="397" spans="1:9" x14ac:dyDescent="0.3">
      <c r="A397" s="6" t="s">
        <v>1394</v>
      </c>
      <c r="B397" s="6" t="s">
        <v>410</v>
      </c>
      <c r="C397" s="6" t="s">
        <v>467</v>
      </c>
      <c r="D397" s="6">
        <v>1</v>
      </c>
      <c r="E397" s="6" t="s">
        <v>809</v>
      </c>
      <c r="F397" s="6" t="s">
        <v>867</v>
      </c>
      <c r="G397" s="6" t="s">
        <v>809</v>
      </c>
      <c r="H397" s="10">
        <f t="shared" si="6"/>
        <v>102.5</v>
      </c>
      <c r="I397" s="6" t="s">
        <v>875</v>
      </c>
    </row>
    <row r="398" spans="1:9" x14ac:dyDescent="0.3">
      <c r="A398" s="6" t="s">
        <v>1395</v>
      </c>
      <c r="B398" s="6" t="s">
        <v>419</v>
      </c>
      <c r="C398" s="6" t="s">
        <v>417</v>
      </c>
      <c r="D398" s="6">
        <v>1</v>
      </c>
      <c r="E398" s="6" t="s">
        <v>811</v>
      </c>
      <c r="F398" s="6" t="s">
        <v>901</v>
      </c>
      <c r="G398" s="6" t="s">
        <v>827</v>
      </c>
      <c r="H398" s="10">
        <f t="shared" si="6"/>
        <v>131.25</v>
      </c>
      <c r="I398" s="6" t="s">
        <v>862</v>
      </c>
    </row>
    <row r="399" spans="1:9" x14ac:dyDescent="0.3">
      <c r="A399" s="6" t="s">
        <v>1396</v>
      </c>
      <c r="B399" s="6" t="s">
        <v>423</v>
      </c>
      <c r="C399" s="6" t="s">
        <v>548</v>
      </c>
      <c r="D399" s="6">
        <v>1</v>
      </c>
      <c r="E399" s="6" t="s">
        <v>849</v>
      </c>
      <c r="F399" s="6" t="s">
        <v>861</v>
      </c>
      <c r="G399" s="6" t="s">
        <v>1145</v>
      </c>
      <c r="H399" s="10">
        <f t="shared" si="6"/>
        <v>542.5</v>
      </c>
      <c r="I399" s="6" t="s">
        <v>844</v>
      </c>
    </row>
    <row r="400" spans="1:9" x14ac:dyDescent="0.3">
      <c r="A400" s="6" t="s">
        <v>1397</v>
      </c>
      <c r="B400" s="6" t="s">
        <v>423</v>
      </c>
      <c r="C400" s="6" t="s">
        <v>569</v>
      </c>
      <c r="D400" s="6">
        <v>1</v>
      </c>
      <c r="E400" s="6" t="s">
        <v>846</v>
      </c>
      <c r="F400" s="6" t="s">
        <v>819</v>
      </c>
      <c r="G400" s="6" t="s">
        <v>895</v>
      </c>
      <c r="H400" s="10">
        <f t="shared" si="6"/>
        <v>437.5</v>
      </c>
      <c r="I400" s="6" t="s">
        <v>1244</v>
      </c>
    </row>
    <row r="401" spans="1:9" x14ac:dyDescent="0.3">
      <c r="A401" s="6" t="s">
        <v>1398</v>
      </c>
      <c r="B401" s="6" t="s">
        <v>421</v>
      </c>
      <c r="C401" s="6" t="s">
        <v>606</v>
      </c>
      <c r="D401" s="6">
        <v>1</v>
      </c>
      <c r="E401" s="6" t="s">
        <v>1158</v>
      </c>
      <c r="F401" s="6" t="s">
        <v>1399</v>
      </c>
      <c r="G401" s="6" t="s">
        <v>816</v>
      </c>
      <c r="H401" s="10">
        <f t="shared" si="6"/>
        <v>123.75</v>
      </c>
      <c r="I401" s="6" t="s">
        <v>812</v>
      </c>
    </row>
    <row r="402" spans="1:9" x14ac:dyDescent="0.3">
      <c r="A402" s="6" t="s">
        <v>1400</v>
      </c>
      <c r="B402" s="6" t="s">
        <v>421</v>
      </c>
      <c r="C402" s="6" t="s">
        <v>618</v>
      </c>
      <c r="D402" s="6">
        <v>1</v>
      </c>
      <c r="E402" s="6" t="s">
        <v>892</v>
      </c>
      <c r="F402" s="6" t="s">
        <v>858</v>
      </c>
      <c r="G402" s="6" t="s">
        <v>831</v>
      </c>
      <c r="H402" s="10">
        <f t="shared" si="6"/>
        <v>123.75</v>
      </c>
      <c r="I402" s="6" t="s">
        <v>812</v>
      </c>
    </row>
    <row r="403" spans="1:9" x14ac:dyDescent="0.3">
      <c r="A403" s="6" t="s">
        <v>1401</v>
      </c>
      <c r="B403" s="6" t="s">
        <v>421</v>
      </c>
      <c r="C403" s="6" t="s">
        <v>618</v>
      </c>
      <c r="D403" s="6">
        <v>1</v>
      </c>
      <c r="E403" s="6" t="s">
        <v>842</v>
      </c>
      <c r="F403" s="6" t="s">
        <v>835</v>
      </c>
      <c r="G403" s="6" t="s">
        <v>831</v>
      </c>
      <c r="H403" s="10">
        <f t="shared" si="6"/>
        <v>123.75</v>
      </c>
      <c r="I403" s="6" t="s">
        <v>812</v>
      </c>
    </row>
    <row r="404" spans="1:9" x14ac:dyDescent="0.3">
      <c r="A404" s="6" t="s">
        <v>1402</v>
      </c>
      <c r="B404" s="6" t="s">
        <v>421</v>
      </c>
      <c r="C404" s="6" t="s">
        <v>618</v>
      </c>
      <c r="D404" s="6">
        <v>1</v>
      </c>
      <c r="E404" s="6" t="s">
        <v>846</v>
      </c>
      <c r="F404" s="6" t="s">
        <v>823</v>
      </c>
      <c r="G404" s="6" t="s">
        <v>818</v>
      </c>
      <c r="H404" s="10">
        <f t="shared" si="6"/>
        <v>123.75</v>
      </c>
      <c r="I404" s="6" t="s">
        <v>812</v>
      </c>
    </row>
    <row r="405" spans="1:9" x14ac:dyDescent="0.3">
      <c r="A405" s="10" t="s">
        <v>1403</v>
      </c>
      <c r="B405" s="10" t="s">
        <v>421</v>
      </c>
      <c r="C405" s="10" t="s">
        <v>429</v>
      </c>
      <c r="D405" s="10">
        <v>1</v>
      </c>
      <c r="E405" s="10">
        <f>0.03/1</f>
        <v>0.03</v>
      </c>
      <c r="F405" s="10">
        <f>0.068/2</f>
        <v>3.4000000000000002E-2</v>
      </c>
      <c r="G405" s="10">
        <f>0.006/2</f>
        <v>3.0000000000000001E-3</v>
      </c>
      <c r="H405" s="10">
        <f t="shared" si="6"/>
        <v>123.75</v>
      </c>
      <c r="I405" s="10" t="s">
        <v>812</v>
      </c>
    </row>
    <row r="406" spans="1:9" x14ac:dyDescent="0.3">
      <c r="A406" s="10" t="s">
        <v>1404</v>
      </c>
      <c r="B406" s="10" t="s">
        <v>429</v>
      </c>
      <c r="C406" s="10" t="s">
        <v>652</v>
      </c>
      <c r="D406" s="10">
        <v>1</v>
      </c>
      <c r="E406" s="10">
        <f>0.03/1</f>
        <v>0.03</v>
      </c>
      <c r="F406" s="10">
        <f>0.068/2</f>
        <v>3.4000000000000002E-2</v>
      </c>
      <c r="G406" s="10">
        <f>0.006/2</f>
        <v>3.0000000000000001E-3</v>
      </c>
      <c r="H406" s="10">
        <f t="shared" si="6"/>
        <v>123.75</v>
      </c>
      <c r="I406" s="10" t="s">
        <v>812</v>
      </c>
    </row>
    <row r="407" spans="1:9" x14ac:dyDescent="0.3">
      <c r="A407" s="6" t="s">
        <v>1405</v>
      </c>
      <c r="B407" s="6" t="s">
        <v>425</v>
      </c>
      <c r="C407" s="6" t="s">
        <v>634</v>
      </c>
      <c r="D407" s="6">
        <v>1</v>
      </c>
      <c r="E407" s="6" t="s">
        <v>842</v>
      </c>
      <c r="F407" s="6" t="s">
        <v>899</v>
      </c>
      <c r="G407" s="6" t="s">
        <v>1033</v>
      </c>
      <c r="H407" s="10">
        <f t="shared" si="6"/>
        <v>250</v>
      </c>
      <c r="I407" s="6" t="s">
        <v>29</v>
      </c>
    </row>
    <row r="408" spans="1:9" x14ac:dyDescent="0.3">
      <c r="A408" s="6" t="s">
        <v>1406</v>
      </c>
      <c r="B408" s="6" t="s">
        <v>425</v>
      </c>
      <c r="C408" s="6" t="s">
        <v>765</v>
      </c>
      <c r="D408" s="6">
        <v>1</v>
      </c>
      <c r="E408" s="6" t="s">
        <v>858</v>
      </c>
      <c r="F408" s="6" t="s">
        <v>1194</v>
      </c>
      <c r="G408" s="6" t="s">
        <v>958</v>
      </c>
      <c r="H408" s="10">
        <f t="shared" si="6"/>
        <v>250</v>
      </c>
      <c r="I408" s="6" t="s">
        <v>29</v>
      </c>
    </row>
    <row r="409" spans="1:9" x14ac:dyDescent="0.3">
      <c r="A409" s="6" t="s">
        <v>1407</v>
      </c>
      <c r="B409" s="6" t="s">
        <v>427</v>
      </c>
      <c r="C409" s="6" t="s">
        <v>620</v>
      </c>
      <c r="D409" s="6">
        <v>1</v>
      </c>
      <c r="E409" s="6" t="s">
        <v>831</v>
      </c>
      <c r="F409" s="6" t="s">
        <v>846</v>
      </c>
      <c r="G409" s="6" t="s">
        <v>933</v>
      </c>
      <c r="H409" s="10">
        <f t="shared" si="6"/>
        <v>148.75</v>
      </c>
      <c r="I409" s="6" t="s">
        <v>990</v>
      </c>
    </row>
    <row r="410" spans="1:9" x14ac:dyDescent="0.3">
      <c r="A410" s="6" t="s">
        <v>1408</v>
      </c>
      <c r="B410" s="6" t="s">
        <v>431</v>
      </c>
      <c r="C410" s="6" t="s">
        <v>567</v>
      </c>
      <c r="D410" s="6">
        <v>1</v>
      </c>
      <c r="E410" s="6" t="s">
        <v>822</v>
      </c>
      <c r="F410" s="6" t="s">
        <v>842</v>
      </c>
      <c r="G410" s="6" t="s">
        <v>827</v>
      </c>
      <c r="H410" s="10">
        <f t="shared" si="6"/>
        <v>131.25</v>
      </c>
      <c r="I410" s="6" t="s">
        <v>862</v>
      </c>
    </row>
    <row r="411" spans="1:9" x14ac:dyDescent="0.3">
      <c r="A411" s="6" t="s">
        <v>1409</v>
      </c>
      <c r="B411" s="6" t="s">
        <v>433</v>
      </c>
      <c r="C411" s="6" t="s">
        <v>431</v>
      </c>
      <c r="D411" s="6">
        <v>1</v>
      </c>
      <c r="E411" s="6" t="s">
        <v>831</v>
      </c>
      <c r="F411" s="6" t="s">
        <v>849</v>
      </c>
      <c r="G411" s="6" t="s">
        <v>826</v>
      </c>
      <c r="H411" s="10">
        <f t="shared" si="6"/>
        <v>131.25</v>
      </c>
      <c r="I411" s="6" t="s">
        <v>862</v>
      </c>
    </row>
    <row r="412" spans="1:9" x14ac:dyDescent="0.3">
      <c r="A412" s="6" t="s">
        <v>1410</v>
      </c>
      <c r="B412" s="6" t="s">
        <v>435</v>
      </c>
      <c r="C412" s="6" t="s">
        <v>168</v>
      </c>
      <c r="D412" s="6">
        <v>1</v>
      </c>
      <c r="E412" s="6" t="s">
        <v>831</v>
      </c>
      <c r="F412" s="6" t="s">
        <v>831</v>
      </c>
      <c r="G412" s="6" t="s">
        <v>878</v>
      </c>
      <c r="H412" s="10">
        <f t="shared" si="6"/>
        <v>243.75</v>
      </c>
      <c r="I412" s="6" t="s">
        <v>976</v>
      </c>
    </row>
    <row r="413" spans="1:9" x14ac:dyDescent="0.3">
      <c r="A413" s="6" t="s">
        <v>1411</v>
      </c>
      <c r="B413" s="6" t="s">
        <v>442</v>
      </c>
      <c r="C413" s="6" t="s">
        <v>174</v>
      </c>
      <c r="D413" s="6">
        <v>1</v>
      </c>
      <c r="E413" s="6" t="s">
        <v>831</v>
      </c>
      <c r="F413" s="6" t="s">
        <v>858</v>
      </c>
      <c r="G413" s="6" t="s">
        <v>1412</v>
      </c>
      <c r="H413" s="10">
        <f t="shared" si="6"/>
        <v>887.5</v>
      </c>
      <c r="I413" s="6" t="s">
        <v>1022</v>
      </c>
    </row>
    <row r="414" spans="1:9" x14ac:dyDescent="0.3">
      <c r="A414" s="6" t="s">
        <v>1413</v>
      </c>
      <c r="B414" s="6" t="s">
        <v>440</v>
      </c>
      <c r="C414" s="6" t="s">
        <v>538</v>
      </c>
      <c r="D414" s="6">
        <v>1</v>
      </c>
      <c r="E414" s="6" t="s">
        <v>882</v>
      </c>
      <c r="F414" s="6" t="s">
        <v>1158</v>
      </c>
      <c r="G414" s="6" t="s">
        <v>1092</v>
      </c>
      <c r="H414" s="10">
        <f t="shared" si="6"/>
        <v>102.5</v>
      </c>
      <c r="I414" s="6" t="s">
        <v>875</v>
      </c>
    </row>
    <row r="415" spans="1:9" x14ac:dyDescent="0.3">
      <c r="A415" s="6" t="s">
        <v>1414</v>
      </c>
      <c r="B415" s="6" t="s">
        <v>440</v>
      </c>
      <c r="C415" s="6" t="s">
        <v>538</v>
      </c>
      <c r="D415" s="6">
        <v>1</v>
      </c>
      <c r="E415" s="6" t="s">
        <v>842</v>
      </c>
      <c r="F415" s="6" t="s">
        <v>1158</v>
      </c>
      <c r="G415" s="6" t="s">
        <v>1092</v>
      </c>
      <c r="H415" s="10">
        <f t="shared" si="6"/>
        <v>100</v>
      </c>
      <c r="I415" s="6" t="s">
        <v>1067</v>
      </c>
    </row>
    <row r="416" spans="1:9" x14ac:dyDescent="0.3">
      <c r="A416" s="6" t="s">
        <v>1415</v>
      </c>
      <c r="B416" s="6" t="s">
        <v>444</v>
      </c>
      <c r="C416" s="6" t="s">
        <v>672</v>
      </c>
      <c r="D416" s="6">
        <v>1</v>
      </c>
      <c r="E416" s="6" t="s">
        <v>846</v>
      </c>
      <c r="F416" s="6" t="s">
        <v>882</v>
      </c>
      <c r="G416" s="6" t="s">
        <v>1045</v>
      </c>
      <c r="H416" s="10">
        <f t="shared" si="6"/>
        <v>133.75</v>
      </c>
      <c r="I416" s="6" t="s">
        <v>1367</v>
      </c>
    </row>
    <row r="417" spans="1:9" x14ac:dyDescent="0.3">
      <c r="A417" s="6" t="s">
        <v>1416</v>
      </c>
      <c r="B417" s="6" t="s">
        <v>446</v>
      </c>
      <c r="C417" s="6" t="s">
        <v>456</v>
      </c>
      <c r="D417" s="6">
        <v>1</v>
      </c>
      <c r="E417" s="6" t="s">
        <v>822</v>
      </c>
      <c r="F417" s="6" t="s">
        <v>846</v>
      </c>
      <c r="G417" s="6" t="s">
        <v>923</v>
      </c>
      <c r="H417" s="10">
        <f t="shared" si="6"/>
        <v>175</v>
      </c>
      <c r="I417" s="6" t="s">
        <v>851</v>
      </c>
    </row>
    <row r="418" spans="1:9" x14ac:dyDescent="0.3">
      <c r="A418" s="6" t="s">
        <v>2938</v>
      </c>
      <c r="B418" s="6" t="s">
        <v>2842</v>
      </c>
      <c r="C418" s="6" t="s">
        <v>2869</v>
      </c>
      <c r="D418" s="6">
        <v>1</v>
      </c>
      <c r="E418" s="6">
        <v>1.2999999999999999E-2</v>
      </c>
      <c r="F418" s="6">
        <v>5.8999999999999997E-2</v>
      </c>
      <c r="G418" s="6">
        <v>6.0000000000000001E-3</v>
      </c>
      <c r="H418" s="10">
        <f t="shared" si="6"/>
        <v>170</v>
      </c>
      <c r="I418" s="6">
        <v>136</v>
      </c>
    </row>
    <row r="419" spans="1:9" x14ac:dyDescent="0.3">
      <c r="A419" s="6" t="s">
        <v>2939</v>
      </c>
      <c r="B419" s="6" t="s">
        <v>2842</v>
      </c>
      <c r="C419" s="6" t="s">
        <v>474</v>
      </c>
      <c r="D419" s="6">
        <v>1</v>
      </c>
      <c r="E419" s="6">
        <v>6.0000000000000001E-3</v>
      </c>
      <c r="F419" s="6">
        <v>1.9E-2</v>
      </c>
      <c r="G419" s="6">
        <v>3.0000000000000001E-3</v>
      </c>
      <c r="H419" s="10">
        <f t="shared" si="6"/>
        <v>170</v>
      </c>
      <c r="I419" s="6">
        <v>136</v>
      </c>
    </row>
    <row r="420" spans="1:9" x14ac:dyDescent="0.3">
      <c r="A420" s="6" t="s">
        <v>2940</v>
      </c>
      <c r="B420" s="6" t="s">
        <v>2842</v>
      </c>
      <c r="C420" s="6" t="s">
        <v>329</v>
      </c>
      <c r="D420" s="6">
        <v>1</v>
      </c>
      <c r="E420" s="6">
        <v>1.6E-2</v>
      </c>
      <c r="F420" s="6">
        <v>0.08</v>
      </c>
      <c r="G420" s="6">
        <v>8.9999999999999993E-3</v>
      </c>
      <c r="H420" s="10">
        <f t="shared" si="6"/>
        <v>130</v>
      </c>
      <c r="I420" s="6">
        <v>104</v>
      </c>
    </row>
    <row r="421" spans="1:9" x14ac:dyDescent="0.3">
      <c r="A421" s="6" t="s">
        <v>1417</v>
      </c>
      <c r="B421" s="6" t="s">
        <v>450</v>
      </c>
      <c r="C421" s="6" t="s">
        <v>561</v>
      </c>
      <c r="D421" s="6">
        <v>1</v>
      </c>
      <c r="E421" s="6" t="s">
        <v>809</v>
      </c>
      <c r="F421" s="6" t="s">
        <v>947</v>
      </c>
      <c r="G421" s="6" t="s">
        <v>811</v>
      </c>
      <c r="H421" s="10">
        <f t="shared" si="6"/>
        <v>245</v>
      </c>
      <c r="I421" s="6" t="s">
        <v>963</v>
      </c>
    </row>
    <row r="422" spans="1:9" x14ac:dyDescent="0.3">
      <c r="A422" s="6" t="s">
        <v>1418</v>
      </c>
      <c r="B422" s="6" t="s">
        <v>454</v>
      </c>
      <c r="C422" s="6" t="s">
        <v>452</v>
      </c>
      <c r="D422" s="6">
        <v>1</v>
      </c>
      <c r="E422" s="6" t="s">
        <v>826</v>
      </c>
      <c r="F422" s="6" t="s">
        <v>827</v>
      </c>
      <c r="G422" s="6" t="s">
        <v>826</v>
      </c>
      <c r="H422" s="10">
        <f t="shared" si="6"/>
        <v>100</v>
      </c>
      <c r="I422" s="6" t="s">
        <v>1067</v>
      </c>
    </row>
    <row r="423" spans="1:9" x14ac:dyDescent="0.3">
      <c r="A423" s="6" t="s">
        <v>1419</v>
      </c>
      <c r="B423" s="6" t="s">
        <v>458</v>
      </c>
      <c r="C423" s="6" t="s">
        <v>460</v>
      </c>
      <c r="D423" s="6">
        <v>1</v>
      </c>
      <c r="E423" s="6" t="s">
        <v>826</v>
      </c>
      <c r="F423" s="6" t="s">
        <v>846</v>
      </c>
      <c r="G423" s="6" t="s">
        <v>1420</v>
      </c>
      <c r="H423" s="10">
        <f t="shared" si="6"/>
        <v>702.5</v>
      </c>
      <c r="I423" s="6" t="s">
        <v>1421</v>
      </c>
    </row>
    <row r="424" spans="1:9" x14ac:dyDescent="0.3">
      <c r="A424" s="6" t="s">
        <v>1422</v>
      </c>
      <c r="B424" s="6" t="s">
        <v>456</v>
      </c>
      <c r="C424" s="6" t="s">
        <v>582</v>
      </c>
      <c r="D424" s="6">
        <v>1</v>
      </c>
      <c r="E424" s="6" t="s">
        <v>849</v>
      </c>
      <c r="F424" s="6" t="s">
        <v>842</v>
      </c>
      <c r="G424" s="6" t="s">
        <v>890</v>
      </c>
      <c r="H424" s="10">
        <f t="shared" si="6"/>
        <v>150</v>
      </c>
      <c r="I424" s="6" t="s">
        <v>896</v>
      </c>
    </row>
    <row r="425" spans="1:9" x14ac:dyDescent="0.3">
      <c r="A425" s="6" t="s">
        <v>1423</v>
      </c>
      <c r="B425" s="6" t="s">
        <v>458</v>
      </c>
      <c r="C425" s="6" t="s">
        <v>650</v>
      </c>
      <c r="D425" s="6">
        <v>1</v>
      </c>
      <c r="E425" s="6" t="s">
        <v>827</v>
      </c>
      <c r="F425" s="6" t="s">
        <v>849</v>
      </c>
      <c r="G425" s="6" t="s">
        <v>1424</v>
      </c>
      <c r="H425" s="10">
        <f t="shared" si="6"/>
        <v>333.75</v>
      </c>
      <c r="I425" s="6" t="s">
        <v>1425</v>
      </c>
    </row>
    <row r="426" spans="1:9" x14ac:dyDescent="0.3">
      <c r="A426" s="6" t="s">
        <v>1426</v>
      </c>
      <c r="B426" s="6" t="s">
        <v>458</v>
      </c>
      <c r="C426" s="6" t="s">
        <v>650</v>
      </c>
      <c r="D426" s="6">
        <v>1</v>
      </c>
      <c r="E426" s="6" t="s">
        <v>826</v>
      </c>
      <c r="F426" s="6" t="s">
        <v>822</v>
      </c>
      <c r="G426" s="6" t="s">
        <v>1427</v>
      </c>
      <c r="H426" s="10">
        <f t="shared" si="6"/>
        <v>438.75</v>
      </c>
      <c r="I426" s="6" t="s">
        <v>1326</v>
      </c>
    </row>
    <row r="427" spans="1:9" x14ac:dyDescent="0.3">
      <c r="A427" s="6" t="s">
        <v>1428</v>
      </c>
      <c r="B427" s="6" t="s">
        <v>460</v>
      </c>
      <c r="C427" s="6" t="s">
        <v>705</v>
      </c>
      <c r="D427" s="6">
        <v>1</v>
      </c>
      <c r="E427" s="6" t="s">
        <v>826</v>
      </c>
      <c r="F427" s="6" t="s">
        <v>827</v>
      </c>
      <c r="G427" s="6" t="s">
        <v>923</v>
      </c>
      <c r="H427" s="10">
        <f t="shared" si="6"/>
        <v>741.25</v>
      </c>
      <c r="I427" s="6" t="s">
        <v>829</v>
      </c>
    </row>
    <row r="428" spans="1:9" x14ac:dyDescent="0.3">
      <c r="A428" s="6" t="s">
        <v>1429</v>
      </c>
      <c r="B428" s="6" t="s">
        <v>462</v>
      </c>
      <c r="C428" s="6" t="s">
        <v>509</v>
      </c>
      <c r="D428" s="6">
        <v>1</v>
      </c>
      <c r="E428" s="6" t="s">
        <v>892</v>
      </c>
      <c r="F428" s="6" t="s">
        <v>856</v>
      </c>
      <c r="G428" s="6" t="s">
        <v>849</v>
      </c>
      <c r="H428" s="10">
        <f t="shared" si="6"/>
        <v>222.5</v>
      </c>
      <c r="I428" s="6" t="s">
        <v>820</v>
      </c>
    </row>
    <row r="429" spans="1:9" x14ac:dyDescent="0.3">
      <c r="A429" s="6" t="s">
        <v>1430</v>
      </c>
      <c r="B429" s="6" t="s">
        <v>462</v>
      </c>
      <c r="C429" s="6" t="s">
        <v>509</v>
      </c>
      <c r="D429" s="6">
        <v>1</v>
      </c>
      <c r="E429" s="6" t="s">
        <v>1092</v>
      </c>
      <c r="F429" s="6" t="s">
        <v>1000</v>
      </c>
      <c r="G429" s="6" t="s">
        <v>849</v>
      </c>
      <c r="H429" s="10">
        <f t="shared" si="6"/>
        <v>123.75</v>
      </c>
      <c r="I429" s="6" t="s">
        <v>812</v>
      </c>
    </row>
    <row r="430" spans="1:9" x14ac:dyDescent="0.3">
      <c r="A430" s="6" t="s">
        <v>1431</v>
      </c>
      <c r="B430" s="6" t="s">
        <v>462</v>
      </c>
      <c r="C430" s="6" t="s">
        <v>565</v>
      </c>
      <c r="D430" s="6">
        <v>1</v>
      </c>
      <c r="E430" s="6" t="s">
        <v>1092</v>
      </c>
      <c r="F430" s="6" t="s">
        <v>857</v>
      </c>
      <c r="G430" s="6" t="s">
        <v>882</v>
      </c>
      <c r="H430" s="10">
        <f t="shared" si="6"/>
        <v>167.5</v>
      </c>
      <c r="I430" s="6" t="s">
        <v>1273</v>
      </c>
    </row>
    <row r="431" spans="1:9" x14ac:dyDescent="0.3">
      <c r="A431" s="6" t="s">
        <v>1432</v>
      </c>
      <c r="B431" s="6" t="s">
        <v>462</v>
      </c>
      <c r="C431" s="6" t="s">
        <v>602</v>
      </c>
      <c r="D431" s="6">
        <v>1</v>
      </c>
      <c r="E431" s="6" t="s">
        <v>849</v>
      </c>
      <c r="F431" s="6" t="s">
        <v>911</v>
      </c>
      <c r="G431" s="6" t="s">
        <v>849</v>
      </c>
      <c r="H431" s="10">
        <f t="shared" si="6"/>
        <v>128.75</v>
      </c>
      <c r="I431" s="6" t="s">
        <v>854</v>
      </c>
    </row>
    <row r="432" spans="1:9" x14ac:dyDescent="0.3">
      <c r="A432" s="6" t="s">
        <v>1433</v>
      </c>
      <c r="B432" s="6" t="s">
        <v>462</v>
      </c>
      <c r="C432" s="6" t="s">
        <v>602</v>
      </c>
      <c r="D432" s="6">
        <v>1</v>
      </c>
      <c r="E432" s="6" t="s">
        <v>846</v>
      </c>
      <c r="F432" s="6" t="s">
        <v>911</v>
      </c>
      <c r="G432" s="6" t="s">
        <v>849</v>
      </c>
      <c r="H432" s="10">
        <f t="shared" si="6"/>
        <v>128.75</v>
      </c>
      <c r="I432" s="6" t="s">
        <v>854</v>
      </c>
    </row>
    <row r="433" spans="1:9" x14ac:dyDescent="0.3">
      <c r="A433" s="6" t="s">
        <v>1434</v>
      </c>
      <c r="B433" s="6" t="s">
        <v>469</v>
      </c>
      <c r="C433" s="6" t="s">
        <v>507</v>
      </c>
      <c r="D433" s="6">
        <v>1</v>
      </c>
      <c r="E433" s="6" t="s">
        <v>827</v>
      </c>
      <c r="F433" s="6" t="s">
        <v>816</v>
      </c>
      <c r="G433" s="6" t="s">
        <v>962</v>
      </c>
      <c r="H433" s="10">
        <f t="shared" si="6"/>
        <v>887.5</v>
      </c>
      <c r="I433" s="6" t="s">
        <v>1022</v>
      </c>
    </row>
    <row r="434" spans="1:9" x14ac:dyDescent="0.3">
      <c r="A434" s="6" t="s">
        <v>1435</v>
      </c>
      <c r="B434" s="6" t="s">
        <v>469</v>
      </c>
      <c r="C434" s="6" t="s">
        <v>507</v>
      </c>
      <c r="D434" s="6">
        <v>1</v>
      </c>
      <c r="E434" s="6" t="s">
        <v>827</v>
      </c>
      <c r="F434" s="6" t="s">
        <v>816</v>
      </c>
      <c r="G434" s="6" t="s">
        <v>962</v>
      </c>
      <c r="H434" s="10">
        <f t="shared" si="6"/>
        <v>887.5</v>
      </c>
      <c r="I434" s="6" t="s">
        <v>1022</v>
      </c>
    </row>
    <row r="435" spans="1:9" x14ac:dyDescent="0.3">
      <c r="A435" s="6" t="s">
        <v>1436</v>
      </c>
      <c r="B435" s="6" t="s">
        <v>469</v>
      </c>
      <c r="C435" s="6" t="s">
        <v>563</v>
      </c>
      <c r="D435" s="6">
        <v>1</v>
      </c>
      <c r="E435" s="6" t="s">
        <v>827</v>
      </c>
      <c r="F435" s="6" t="s">
        <v>938</v>
      </c>
      <c r="G435" s="6" t="s">
        <v>1016</v>
      </c>
      <c r="H435" s="10">
        <f t="shared" si="6"/>
        <v>887.5</v>
      </c>
      <c r="I435" s="6" t="s">
        <v>1022</v>
      </c>
    </row>
    <row r="436" spans="1:9" x14ac:dyDescent="0.3">
      <c r="A436" s="6" t="s">
        <v>1437</v>
      </c>
      <c r="B436" s="6" t="s">
        <v>467</v>
      </c>
      <c r="C436" s="6" t="s">
        <v>685</v>
      </c>
      <c r="D436" s="6">
        <v>1</v>
      </c>
      <c r="E436" s="6" t="s">
        <v>856</v>
      </c>
      <c r="F436" s="6" t="s">
        <v>1438</v>
      </c>
      <c r="G436" s="6" t="s">
        <v>938</v>
      </c>
      <c r="H436" s="10">
        <f t="shared" si="6"/>
        <v>231.25</v>
      </c>
      <c r="I436" s="6" t="s">
        <v>1439</v>
      </c>
    </row>
    <row r="437" spans="1:9" x14ac:dyDescent="0.3">
      <c r="A437" s="6" t="s">
        <v>1440</v>
      </c>
      <c r="B437" s="6" t="s">
        <v>471</v>
      </c>
      <c r="C437" s="6" t="s">
        <v>642</v>
      </c>
      <c r="D437" s="6">
        <v>1</v>
      </c>
      <c r="E437" s="6" t="s">
        <v>901</v>
      </c>
      <c r="F437" s="6" t="s">
        <v>1237</v>
      </c>
      <c r="G437" s="6" t="s">
        <v>892</v>
      </c>
      <c r="H437" s="10">
        <f t="shared" si="6"/>
        <v>222.5</v>
      </c>
      <c r="I437" s="6" t="s">
        <v>820</v>
      </c>
    </row>
    <row r="438" spans="1:9" x14ac:dyDescent="0.3">
      <c r="A438" s="6" t="s">
        <v>2941</v>
      </c>
      <c r="B438" s="6" t="s">
        <v>474</v>
      </c>
      <c r="C438" s="6" t="s">
        <v>329</v>
      </c>
      <c r="D438" s="6">
        <v>1</v>
      </c>
      <c r="E438" s="6" t="s">
        <v>885</v>
      </c>
      <c r="F438" s="6" t="s">
        <v>1106</v>
      </c>
      <c r="G438" s="6" t="s">
        <v>882</v>
      </c>
      <c r="H438" s="10">
        <f t="shared" si="6"/>
        <v>123.75</v>
      </c>
      <c r="I438" s="6" t="s">
        <v>812</v>
      </c>
    </row>
    <row r="439" spans="1:9" x14ac:dyDescent="0.3">
      <c r="A439" s="6" t="s">
        <v>1441</v>
      </c>
      <c r="B439" s="6" t="s">
        <v>474</v>
      </c>
      <c r="C439" s="6" t="s">
        <v>610</v>
      </c>
      <c r="D439" s="6">
        <v>1</v>
      </c>
      <c r="E439" s="6" t="s">
        <v>1015</v>
      </c>
      <c r="F439" s="6" t="s">
        <v>973</v>
      </c>
      <c r="G439" s="6" t="s">
        <v>907</v>
      </c>
      <c r="H439" s="10">
        <f t="shared" si="6"/>
        <v>222.5</v>
      </c>
      <c r="I439" s="6" t="s">
        <v>820</v>
      </c>
    </row>
    <row r="440" spans="1:9" x14ac:dyDescent="0.3">
      <c r="A440" s="6" t="s">
        <v>1442</v>
      </c>
      <c r="B440" s="6" t="s">
        <v>478</v>
      </c>
      <c r="C440" s="6" t="s">
        <v>758</v>
      </c>
      <c r="D440" s="6">
        <v>1</v>
      </c>
      <c r="E440" s="6" t="s">
        <v>938</v>
      </c>
      <c r="F440" s="6" t="s">
        <v>1199</v>
      </c>
      <c r="G440" s="6" t="s">
        <v>892</v>
      </c>
      <c r="H440" s="10">
        <f t="shared" si="6"/>
        <v>222.5</v>
      </c>
      <c r="I440" s="6" t="s">
        <v>820</v>
      </c>
    </row>
    <row r="441" spans="1:9" x14ac:dyDescent="0.3">
      <c r="A441" s="6" t="s">
        <v>1443</v>
      </c>
      <c r="B441" s="6" t="s">
        <v>480</v>
      </c>
      <c r="C441" s="6" t="s">
        <v>620</v>
      </c>
      <c r="D441" s="6">
        <v>1</v>
      </c>
      <c r="E441" s="6" t="s">
        <v>827</v>
      </c>
      <c r="F441" s="6" t="s">
        <v>827</v>
      </c>
      <c r="G441" s="6" t="s">
        <v>1033</v>
      </c>
      <c r="H441" s="10">
        <f t="shared" si="6"/>
        <v>148.75</v>
      </c>
      <c r="I441" s="6" t="s">
        <v>990</v>
      </c>
    </row>
    <row r="442" spans="1:9" x14ac:dyDescent="0.3">
      <c r="A442" s="6" t="s">
        <v>1444</v>
      </c>
      <c r="B442" s="6" t="s">
        <v>480</v>
      </c>
      <c r="C442" s="6" t="s">
        <v>656</v>
      </c>
      <c r="D442" s="6">
        <v>1</v>
      </c>
      <c r="E442" s="6" t="s">
        <v>822</v>
      </c>
      <c r="F442" s="6" t="s">
        <v>818</v>
      </c>
      <c r="G442" s="6" t="s">
        <v>923</v>
      </c>
      <c r="H442" s="10">
        <f t="shared" si="6"/>
        <v>150</v>
      </c>
      <c r="I442" s="6" t="s">
        <v>896</v>
      </c>
    </row>
    <row r="443" spans="1:9" x14ac:dyDescent="0.3">
      <c r="A443" s="6" t="s">
        <v>1445</v>
      </c>
      <c r="B443" s="6" t="s">
        <v>482</v>
      </c>
      <c r="C443" s="6" t="s">
        <v>312</v>
      </c>
      <c r="D443" s="6">
        <v>1</v>
      </c>
      <c r="E443" s="6" t="s">
        <v>847</v>
      </c>
      <c r="F443" s="6" t="s">
        <v>814</v>
      </c>
      <c r="G443" s="6" t="s">
        <v>846</v>
      </c>
      <c r="H443" s="10">
        <f t="shared" si="6"/>
        <v>170</v>
      </c>
      <c r="I443" s="6" t="s">
        <v>951</v>
      </c>
    </row>
    <row r="444" spans="1:9" x14ac:dyDescent="0.3">
      <c r="A444" s="6" t="s">
        <v>1446</v>
      </c>
      <c r="B444" s="6" t="s">
        <v>484</v>
      </c>
      <c r="C444" s="6" t="s">
        <v>505</v>
      </c>
      <c r="D444" s="6">
        <v>1</v>
      </c>
      <c r="E444" s="6" t="s">
        <v>892</v>
      </c>
      <c r="F444" s="6" t="s">
        <v>1080</v>
      </c>
      <c r="G444" s="6" t="s">
        <v>1028</v>
      </c>
      <c r="H444" s="10">
        <f t="shared" si="6"/>
        <v>542.5</v>
      </c>
      <c r="I444" s="6" t="s">
        <v>844</v>
      </c>
    </row>
    <row r="445" spans="1:9" x14ac:dyDescent="0.3">
      <c r="A445" s="6" t="s">
        <v>1447</v>
      </c>
      <c r="B445" s="6" t="s">
        <v>484</v>
      </c>
      <c r="C445" s="6" t="s">
        <v>511</v>
      </c>
      <c r="D445" s="6">
        <v>1</v>
      </c>
      <c r="E445" s="6" t="s">
        <v>938</v>
      </c>
      <c r="F445" s="6" t="s">
        <v>1199</v>
      </c>
      <c r="G445" s="6" t="s">
        <v>931</v>
      </c>
      <c r="H445" s="10">
        <f t="shared" si="6"/>
        <v>640</v>
      </c>
      <c r="I445" s="6" t="s">
        <v>1448</v>
      </c>
    </row>
    <row r="446" spans="1:9" x14ac:dyDescent="0.3">
      <c r="A446" s="6" t="s">
        <v>1449</v>
      </c>
      <c r="B446" s="6" t="s">
        <v>482</v>
      </c>
      <c r="C446" s="6" t="s">
        <v>532</v>
      </c>
      <c r="D446" s="6">
        <v>1</v>
      </c>
      <c r="E446" s="6" t="s">
        <v>901</v>
      </c>
      <c r="F446" s="6" t="s">
        <v>953</v>
      </c>
      <c r="G446" s="6" t="s">
        <v>822</v>
      </c>
      <c r="H446" s="10">
        <f t="shared" si="6"/>
        <v>123.75</v>
      </c>
      <c r="I446" s="6" t="s">
        <v>812</v>
      </c>
    </row>
    <row r="447" spans="1:9" x14ac:dyDescent="0.3">
      <c r="A447" s="6" t="s">
        <v>1450</v>
      </c>
      <c r="B447" s="6" t="s">
        <v>482</v>
      </c>
      <c r="C447" s="6" t="s">
        <v>532</v>
      </c>
      <c r="D447" s="6">
        <v>1</v>
      </c>
      <c r="E447" s="6" t="s">
        <v>1092</v>
      </c>
      <c r="F447" s="6" t="s">
        <v>943</v>
      </c>
      <c r="G447" s="6" t="s">
        <v>842</v>
      </c>
      <c r="H447" s="10">
        <f t="shared" si="6"/>
        <v>100</v>
      </c>
      <c r="I447" s="6" t="s">
        <v>1067</v>
      </c>
    </row>
    <row r="448" spans="1:9" x14ac:dyDescent="0.3">
      <c r="A448" s="6" t="s">
        <v>1451</v>
      </c>
      <c r="B448" s="6" t="s">
        <v>484</v>
      </c>
      <c r="C448" s="6" t="s">
        <v>702</v>
      </c>
      <c r="D448" s="6">
        <v>1</v>
      </c>
      <c r="E448" s="6" t="s">
        <v>901</v>
      </c>
      <c r="F448" s="6" t="s">
        <v>1016</v>
      </c>
      <c r="G448" s="6" t="s">
        <v>879</v>
      </c>
      <c r="H448" s="10">
        <f t="shared" si="6"/>
        <v>336.25</v>
      </c>
      <c r="I448" s="6" t="s">
        <v>1452</v>
      </c>
    </row>
    <row r="449" spans="1:9" x14ac:dyDescent="0.3">
      <c r="A449" s="6" t="s">
        <v>1453</v>
      </c>
      <c r="B449" s="6" t="s">
        <v>482</v>
      </c>
      <c r="C449" s="6" t="s">
        <v>718</v>
      </c>
      <c r="D449" s="6">
        <v>1</v>
      </c>
      <c r="E449" s="6" t="s">
        <v>822</v>
      </c>
      <c r="F449" s="6" t="s">
        <v>938</v>
      </c>
      <c r="G449" s="6" t="s">
        <v>822</v>
      </c>
      <c r="H449" s="10">
        <f t="shared" si="6"/>
        <v>222.5</v>
      </c>
      <c r="I449" s="6" t="s">
        <v>820</v>
      </c>
    </row>
    <row r="450" spans="1:9" x14ac:dyDescent="0.3">
      <c r="A450" s="6" t="s">
        <v>1454</v>
      </c>
      <c r="B450" s="6" t="s">
        <v>486</v>
      </c>
      <c r="C450" s="6" t="s">
        <v>261</v>
      </c>
      <c r="D450" s="6">
        <v>1</v>
      </c>
      <c r="E450" s="6" t="s">
        <v>826</v>
      </c>
      <c r="F450" s="10">
        <v>1E-3</v>
      </c>
      <c r="G450" s="6" t="s">
        <v>822</v>
      </c>
      <c r="H450" s="10">
        <f t="shared" si="6"/>
        <v>175</v>
      </c>
      <c r="I450" s="6" t="s">
        <v>851</v>
      </c>
    </row>
    <row r="451" spans="1:9" x14ac:dyDescent="0.3">
      <c r="A451" s="6" t="s">
        <v>1455</v>
      </c>
      <c r="B451" s="6" t="s">
        <v>486</v>
      </c>
      <c r="C451" s="6" t="s">
        <v>498</v>
      </c>
      <c r="D451" s="6">
        <v>1</v>
      </c>
      <c r="E451" s="6" t="s">
        <v>911</v>
      </c>
      <c r="F451" s="6" t="s">
        <v>1052</v>
      </c>
      <c r="G451" s="6" t="s">
        <v>846</v>
      </c>
      <c r="H451" s="10">
        <f t="shared" ref="H451:H514" si="7">I451*1.25</f>
        <v>170</v>
      </c>
      <c r="I451" s="6" t="s">
        <v>951</v>
      </c>
    </row>
    <row r="452" spans="1:9" x14ac:dyDescent="0.3">
      <c r="A452" s="6" t="s">
        <v>1456</v>
      </c>
      <c r="B452" s="6" t="s">
        <v>487</v>
      </c>
      <c r="C452" s="6" t="s">
        <v>500</v>
      </c>
      <c r="D452" s="6">
        <v>1</v>
      </c>
      <c r="E452" s="6" t="s">
        <v>822</v>
      </c>
      <c r="F452" s="6" t="s">
        <v>911</v>
      </c>
      <c r="G452" s="6" t="s">
        <v>878</v>
      </c>
      <c r="H452" s="10">
        <f t="shared" si="7"/>
        <v>913.75</v>
      </c>
      <c r="I452" s="6" t="s">
        <v>1457</v>
      </c>
    </row>
    <row r="453" spans="1:9" x14ac:dyDescent="0.3">
      <c r="A453" s="6" t="s">
        <v>1458</v>
      </c>
      <c r="B453" s="6" t="s">
        <v>487</v>
      </c>
      <c r="C453" s="6" t="s">
        <v>500</v>
      </c>
      <c r="D453" s="6">
        <v>1</v>
      </c>
      <c r="E453" s="6" t="s">
        <v>826</v>
      </c>
      <c r="F453" s="6" t="s">
        <v>882</v>
      </c>
      <c r="G453" s="6" t="s">
        <v>1459</v>
      </c>
      <c r="H453" s="10">
        <f t="shared" si="7"/>
        <v>913.75</v>
      </c>
      <c r="I453" s="6" t="s">
        <v>1457</v>
      </c>
    </row>
    <row r="454" spans="1:9" x14ac:dyDescent="0.3">
      <c r="A454" s="6" t="s">
        <v>1460</v>
      </c>
      <c r="B454" s="6" t="s">
        <v>487</v>
      </c>
      <c r="C454" s="6" t="s">
        <v>598</v>
      </c>
      <c r="D454" s="6">
        <v>1</v>
      </c>
      <c r="E454" s="6" t="s">
        <v>826</v>
      </c>
      <c r="F454" s="6" t="s">
        <v>831</v>
      </c>
      <c r="G454" s="6" t="s">
        <v>1341</v>
      </c>
      <c r="H454" s="10">
        <f t="shared" si="7"/>
        <v>825</v>
      </c>
      <c r="I454" s="6" t="s">
        <v>1461</v>
      </c>
    </row>
    <row r="455" spans="1:9" x14ac:dyDescent="0.3">
      <c r="A455" s="6" t="s">
        <v>1462</v>
      </c>
      <c r="B455" s="6" t="s">
        <v>487</v>
      </c>
      <c r="C455" s="6" t="s">
        <v>598</v>
      </c>
      <c r="D455" s="6">
        <v>1</v>
      </c>
      <c r="E455" s="6" t="s">
        <v>826</v>
      </c>
      <c r="F455" s="6" t="s">
        <v>831</v>
      </c>
      <c r="G455" s="6" t="s">
        <v>1341</v>
      </c>
      <c r="H455" s="10">
        <f t="shared" si="7"/>
        <v>825</v>
      </c>
      <c r="I455" s="6" t="s">
        <v>1461</v>
      </c>
    </row>
    <row r="456" spans="1:9" x14ac:dyDescent="0.3">
      <c r="A456" s="6" t="s">
        <v>1463</v>
      </c>
      <c r="B456" s="6" t="s">
        <v>486</v>
      </c>
      <c r="C456" s="6" t="s">
        <v>668</v>
      </c>
      <c r="D456" s="6">
        <v>1</v>
      </c>
      <c r="E456" s="6" t="s">
        <v>1464</v>
      </c>
      <c r="F456" s="10" t="s">
        <v>931</v>
      </c>
      <c r="G456" s="6" t="s">
        <v>1092</v>
      </c>
      <c r="H456" s="10">
        <f t="shared" si="7"/>
        <v>170</v>
      </c>
      <c r="I456" s="6" t="s">
        <v>951</v>
      </c>
    </row>
    <row r="457" spans="1:9" x14ac:dyDescent="0.3">
      <c r="A457" s="6" t="s">
        <v>1465</v>
      </c>
      <c r="B457" s="6" t="s">
        <v>486</v>
      </c>
      <c r="C457" s="6" t="s">
        <v>745</v>
      </c>
      <c r="D457" s="6">
        <v>1</v>
      </c>
      <c r="E457" s="6" t="s">
        <v>831</v>
      </c>
      <c r="F457" s="6" t="s">
        <v>811</v>
      </c>
      <c r="G457" s="6" t="s">
        <v>827</v>
      </c>
      <c r="H457" s="10">
        <f t="shared" si="7"/>
        <v>123.75</v>
      </c>
      <c r="I457" s="6" t="s">
        <v>812</v>
      </c>
    </row>
    <row r="458" spans="1:9" x14ac:dyDescent="0.3">
      <c r="A458" s="6" t="s">
        <v>1466</v>
      </c>
      <c r="B458" s="6" t="s">
        <v>486</v>
      </c>
      <c r="C458" s="6" t="s">
        <v>745</v>
      </c>
      <c r="D458" s="6">
        <v>1</v>
      </c>
      <c r="E458" s="6" t="s">
        <v>831</v>
      </c>
      <c r="F458" s="6" t="s">
        <v>811</v>
      </c>
      <c r="G458" s="6" t="s">
        <v>827</v>
      </c>
      <c r="H458" s="10">
        <f t="shared" si="7"/>
        <v>123.75</v>
      </c>
      <c r="I458" s="6" t="s">
        <v>812</v>
      </c>
    </row>
    <row r="459" spans="1:9" x14ac:dyDescent="0.3">
      <c r="A459" s="6" t="s">
        <v>1467</v>
      </c>
      <c r="B459" s="6" t="s">
        <v>487</v>
      </c>
      <c r="C459" s="6" t="s">
        <v>747</v>
      </c>
      <c r="D459" s="6">
        <v>1</v>
      </c>
      <c r="E459" s="6" t="s">
        <v>826</v>
      </c>
      <c r="F459" s="6" t="s">
        <v>831</v>
      </c>
      <c r="G459" s="6" t="s">
        <v>1158</v>
      </c>
      <c r="H459" s="10">
        <f t="shared" si="7"/>
        <v>437.5</v>
      </c>
      <c r="I459" s="6" t="s">
        <v>1244</v>
      </c>
    </row>
    <row r="460" spans="1:9" x14ac:dyDescent="0.3">
      <c r="A460" s="6" t="s">
        <v>1468</v>
      </c>
      <c r="B460" s="6" t="s">
        <v>487</v>
      </c>
      <c r="C460" s="6" t="s">
        <v>747</v>
      </c>
      <c r="D460" s="6">
        <v>1</v>
      </c>
      <c r="E460" s="6" t="s">
        <v>826</v>
      </c>
      <c r="F460" s="6" t="s">
        <v>831</v>
      </c>
      <c r="G460" s="6" t="s">
        <v>861</v>
      </c>
      <c r="H460" s="10">
        <f t="shared" si="7"/>
        <v>437.5</v>
      </c>
      <c r="I460" s="6" t="s">
        <v>1244</v>
      </c>
    </row>
    <row r="461" spans="1:9" x14ac:dyDescent="0.3">
      <c r="A461" s="6" t="s">
        <v>1469</v>
      </c>
      <c r="B461" s="6" t="s">
        <v>486</v>
      </c>
      <c r="C461" s="6" t="s">
        <v>777</v>
      </c>
      <c r="D461" s="6">
        <v>1</v>
      </c>
      <c r="E461" s="6" t="s">
        <v>909</v>
      </c>
      <c r="F461" s="6" t="s">
        <v>1470</v>
      </c>
      <c r="G461" s="6" t="s">
        <v>938</v>
      </c>
      <c r="H461" s="10">
        <f t="shared" si="7"/>
        <v>123.75</v>
      </c>
      <c r="I461" s="6" t="s">
        <v>812</v>
      </c>
    </row>
    <row r="462" spans="1:9" x14ac:dyDescent="0.3">
      <c r="A462" s="6" t="s">
        <v>1471</v>
      </c>
      <c r="B462" s="6" t="s">
        <v>486</v>
      </c>
      <c r="C462" s="6" t="s">
        <v>777</v>
      </c>
      <c r="D462" s="6">
        <v>1</v>
      </c>
      <c r="E462" s="6" t="s">
        <v>809</v>
      </c>
      <c r="F462" s="6" t="s">
        <v>1275</v>
      </c>
      <c r="G462" s="6" t="s">
        <v>907</v>
      </c>
      <c r="H462" s="10">
        <f t="shared" si="7"/>
        <v>222.5</v>
      </c>
      <c r="I462" s="6" t="s">
        <v>820</v>
      </c>
    </row>
    <row r="463" spans="1:9" x14ac:dyDescent="0.3">
      <c r="A463" s="6" t="s">
        <v>1472</v>
      </c>
      <c r="B463" s="6" t="s">
        <v>489</v>
      </c>
      <c r="C463" s="6" t="s">
        <v>476</v>
      </c>
      <c r="D463" s="6">
        <v>1</v>
      </c>
      <c r="E463" s="6" t="s">
        <v>970</v>
      </c>
      <c r="F463" s="6" t="s">
        <v>971</v>
      </c>
      <c r="G463" s="6" t="s">
        <v>847</v>
      </c>
      <c r="H463" s="10">
        <f t="shared" si="7"/>
        <v>123.75</v>
      </c>
      <c r="I463" s="6" t="s">
        <v>812</v>
      </c>
    </row>
    <row r="464" spans="1:9" x14ac:dyDescent="0.3">
      <c r="A464" s="6" t="s">
        <v>1473</v>
      </c>
      <c r="B464" s="6" t="s">
        <v>493</v>
      </c>
      <c r="C464" s="6" t="s">
        <v>716</v>
      </c>
      <c r="D464" s="6">
        <v>1</v>
      </c>
      <c r="E464" s="6" t="s">
        <v>818</v>
      </c>
      <c r="F464" s="6" t="s">
        <v>1092</v>
      </c>
      <c r="G464" s="6" t="s">
        <v>811</v>
      </c>
      <c r="H464" s="10">
        <f t="shared" si="7"/>
        <v>136.25</v>
      </c>
      <c r="I464" s="6" t="s">
        <v>859</v>
      </c>
    </row>
    <row r="465" spans="1:9" x14ac:dyDescent="0.3">
      <c r="A465" s="6" t="s">
        <v>1474</v>
      </c>
      <c r="B465" s="6" t="s">
        <v>493</v>
      </c>
      <c r="C465" s="6" t="s">
        <v>735</v>
      </c>
      <c r="D465" s="6">
        <v>1</v>
      </c>
      <c r="E465" s="6" t="s">
        <v>892</v>
      </c>
      <c r="F465" s="6" t="s">
        <v>819</v>
      </c>
      <c r="G465" s="6" t="s">
        <v>849</v>
      </c>
      <c r="H465" s="10">
        <f t="shared" si="7"/>
        <v>178.75</v>
      </c>
      <c r="I465" s="6" t="s">
        <v>1191</v>
      </c>
    </row>
    <row r="466" spans="1:9" x14ac:dyDescent="0.3">
      <c r="A466" s="6" t="s">
        <v>1475</v>
      </c>
      <c r="B466" s="6" t="s">
        <v>500</v>
      </c>
      <c r="C466" s="6" t="s">
        <v>178</v>
      </c>
      <c r="D466" s="6">
        <v>1</v>
      </c>
      <c r="E466" s="6" t="s">
        <v>846</v>
      </c>
      <c r="F466" s="6" t="s">
        <v>1464</v>
      </c>
      <c r="G466" s="6" t="s">
        <v>1080</v>
      </c>
      <c r="H466" s="10">
        <f t="shared" si="7"/>
        <v>542.5</v>
      </c>
      <c r="I466" s="6" t="s">
        <v>844</v>
      </c>
    </row>
    <row r="467" spans="1:9" x14ac:dyDescent="0.3">
      <c r="A467" s="6" t="s">
        <v>1476</v>
      </c>
      <c r="B467" s="6" t="s">
        <v>498</v>
      </c>
      <c r="C467" s="6" t="s">
        <v>775</v>
      </c>
      <c r="D467" s="6">
        <v>1</v>
      </c>
      <c r="E467" s="6" t="s">
        <v>822</v>
      </c>
      <c r="F467" s="6" t="s">
        <v>938</v>
      </c>
      <c r="G467" s="6" t="s">
        <v>846</v>
      </c>
      <c r="H467" s="10">
        <f t="shared" si="7"/>
        <v>222.5</v>
      </c>
      <c r="I467" s="6" t="s">
        <v>820</v>
      </c>
    </row>
    <row r="468" spans="1:9" x14ac:dyDescent="0.3">
      <c r="A468" s="6" t="s">
        <v>1477</v>
      </c>
      <c r="B468" s="6" t="s">
        <v>498</v>
      </c>
      <c r="C468" s="6" t="s">
        <v>775</v>
      </c>
      <c r="D468" s="6">
        <v>1</v>
      </c>
      <c r="E468" s="6" t="s">
        <v>849</v>
      </c>
      <c r="F468" s="6" t="s">
        <v>938</v>
      </c>
      <c r="G468" s="6" t="s">
        <v>849</v>
      </c>
      <c r="H468" s="10">
        <f t="shared" si="7"/>
        <v>123.75</v>
      </c>
      <c r="I468" s="6" t="s">
        <v>812</v>
      </c>
    </row>
    <row r="469" spans="1:9" x14ac:dyDescent="0.3">
      <c r="A469" s="6" t="s">
        <v>1478</v>
      </c>
      <c r="B469" s="6" t="s">
        <v>502</v>
      </c>
      <c r="C469" s="6" t="s">
        <v>162</v>
      </c>
      <c r="D469" s="6">
        <v>1</v>
      </c>
      <c r="E469" s="6" t="s">
        <v>826</v>
      </c>
      <c r="F469" s="6" t="s">
        <v>827</v>
      </c>
      <c r="G469" s="6" t="s">
        <v>811</v>
      </c>
      <c r="H469" s="10">
        <f t="shared" si="7"/>
        <v>175</v>
      </c>
      <c r="I469" s="6" t="s">
        <v>851</v>
      </c>
    </row>
    <row r="470" spans="1:9" x14ac:dyDescent="0.3">
      <c r="A470" s="6" t="s">
        <v>1479</v>
      </c>
      <c r="B470" s="6" t="s">
        <v>502</v>
      </c>
      <c r="C470" s="6" t="s">
        <v>478</v>
      </c>
      <c r="D470" s="6">
        <v>1</v>
      </c>
      <c r="E470" s="6" t="s">
        <v>822</v>
      </c>
      <c r="F470" s="6" t="s">
        <v>911</v>
      </c>
      <c r="G470" s="6" t="s">
        <v>931</v>
      </c>
      <c r="H470" s="10">
        <f t="shared" si="7"/>
        <v>237.5</v>
      </c>
      <c r="I470" s="6" t="s">
        <v>1268</v>
      </c>
    </row>
    <row r="471" spans="1:9" x14ac:dyDescent="0.3">
      <c r="A471" s="6" t="s">
        <v>1480</v>
      </c>
      <c r="B471" s="6" t="s">
        <v>502</v>
      </c>
      <c r="C471" s="6" t="s">
        <v>693</v>
      </c>
      <c r="D471" s="6">
        <v>1</v>
      </c>
      <c r="E471" s="6" t="s">
        <v>858</v>
      </c>
      <c r="F471" s="6" t="s">
        <v>810</v>
      </c>
      <c r="G471" s="6" t="s">
        <v>888</v>
      </c>
      <c r="H471" s="10">
        <f t="shared" si="7"/>
        <v>243.75</v>
      </c>
      <c r="I471" s="6" t="s">
        <v>976</v>
      </c>
    </row>
    <row r="472" spans="1:9" x14ac:dyDescent="0.3">
      <c r="A472" s="6" t="s">
        <v>1481</v>
      </c>
      <c r="B472" s="6" t="s">
        <v>502</v>
      </c>
      <c r="C472" s="6" t="s">
        <v>697</v>
      </c>
      <c r="D472" s="6">
        <v>1</v>
      </c>
      <c r="E472" s="6" t="s">
        <v>953</v>
      </c>
      <c r="F472" s="6" t="s">
        <v>1482</v>
      </c>
      <c r="G472" s="6" t="s">
        <v>943</v>
      </c>
      <c r="H472" s="10">
        <f t="shared" si="7"/>
        <v>168.75</v>
      </c>
      <c r="I472" s="6" t="s">
        <v>1483</v>
      </c>
    </row>
    <row r="473" spans="1:9" x14ac:dyDescent="0.3">
      <c r="A473" s="6" t="s">
        <v>1484</v>
      </c>
      <c r="B473" s="6" t="s">
        <v>502</v>
      </c>
      <c r="C473" s="6" t="s">
        <v>786</v>
      </c>
      <c r="D473" s="6">
        <v>1</v>
      </c>
      <c r="E473" s="6" t="s">
        <v>827</v>
      </c>
      <c r="F473" s="6" t="s">
        <v>849</v>
      </c>
      <c r="G473" s="6" t="s">
        <v>943</v>
      </c>
      <c r="H473" s="10">
        <f t="shared" si="7"/>
        <v>243.75</v>
      </c>
      <c r="I473" s="6" t="s">
        <v>976</v>
      </c>
    </row>
    <row r="474" spans="1:9" x14ac:dyDescent="0.3">
      <c r="A474" s="6" t="s">
        <v>1485</v>
      </c>
      <c r="B474" s="6" t="s">
        <v>507</v>
      </c>
      <c r="C474" s="6" t="s">
        <v>741</v>
      </c>
      <c r="D474" s="6">
        <v>1</v>
      </c>
      <c r="E474" s="6" t="s">
        <v>849</v>
      </c>
      <c r="F474" s="6" t="s">
        <v>836</v>
      </c>
      <c r="G474" s="6" t="s">
        <v>1486</v>
      </c>
      <c r="H474" s="10">
        <f t="shared" si="7"/>
        <v>887.5</v>
      </c>
      <c r="I474" s="6" t="s">
        <v>1022</v>
      </c>
    </row>
    <row r="475" spans="1:9" x14ac:dyDescent="0.3">
      <c r="A475" s="6" t="s">
        <v>1487</v>
      </c>
      <c r="B475" s="6" t="s">
        <v>509</v>
      </c>
      <c r="C475" s="6" t="s">
        <v>95</v>
      </c>
      <c r="D475" s="6">
        <v>1</v>
      </c>
      <c r="E475" s="6" t="s">
        <v>1033</v>
      </c>
      <c r="F475" s="6" t="s">
        <v>920</v>
      </c>
      <c r="G475" s="6" t="s">
        <v>818</v>
      </c>
      <c r="H475" s="10">
        <f t="shared" si="7"/>
        <v>170</v>
      </c>
      <c r="I475" s="6" t="s">
        <v>951</v>
      </c>
    </row>
    <row r="476" spans="1:9" x14ac:dyDescent="0.3">
      <c r="A476" s="6" t="s">
        <v>2942</v>
      </c>
      <c r="B476" s="6" t="s">
        <v>509</v>
      </c>
      <c r="C476" s="6" t="s">
        <v>529</v>
      </c>
      <c r="D476" s="6">
        <v>1</v>
      </c>
      <c r="E476" s="6">
        <v>1.2E-2</v>
      </c>
      <c r="F476" s="6">
        <v>2.7E-2</v>
      </c>
      <c r="G476" s="6">
        <v>4.0000000000000001E-3</v>
      </c>
      <c r="H476" s="10">
        <f t="shared" si="7"/>
        <v>131.25</v>
      </c>
      <c r="I476" s="6">
        <v>105</v>
      </c>
    </row>
    <row r="477" spans="1:9" x14ac:dyDescent="0.3">
      <c r="A477" s="6" t="s">
        <v>1488</v>
      </c>
      <c r="B477" s="6" t="s">
        <v>509</v>
      </c>
      <c r="C477" s="6" t="s">
        <v>576</v>
      </c>
      <c r="D477" s="6">
        <v>1</v>
      </c>
      <c r="E477" s="6" t="s">
        <v>831</v>
      </c>
      <c r="F477" s="6" t="s">
        <v>831</v>
      </c>
      <c r="G477" s="6" t="s">
        <v>836</v>
      </c>
      <c r="H477" s="10">
        <f t="shared" si="7"/>
        <v>155</v>
      </c>
      <c r="I477" s="6" t="s">
        <v>1065</v>
      </c>
    </row>
    <row r="478" spans="1:9" x14ac:dyDescent="0.3">
      <c r="A478" s="6" t="s">
        <v>1489</v>
      </c>
      <c r="B478" s="6" t="s">
        <v>509</v>
      </c>
      <c r="C478" s="6" t="s">
        <v>580</v>
      </c>
      <c r="D478" s="6">
        <v>1</v>
      </c>
      <c r="E478" s="6" t="s">
        <v>823</v>
      </c>
      <c r="F478" s="6" t="s">
        <v>819</v>
      </c>
      <c r="G478" s="6" t="s">
        <v>849</v>
      </c>
      <c r="H478" s="10">
        <f t="shared" si="7"/>
        <v>123.75</v>
      </c>
      <c r="I478" s="6" t="s">
        <v>812</v>
      </c>
    </row>
    <row r="479" spans="1:9" x14ac:dyDescent="0.3">
      <c r="A479" s="6" t="s">
        <v>1490</v>
      </c>
      <c r="B479" s="6" t="s">
        <v>511</v>
      </c>
      <c r="C479" s="6" t="s">
        <v>666</v>
      </c>
      <c r="D479" s="6">
        <v>1</v>
      </c>
      <c r="E479" s="6" t="s">
        <v>831</v>
      </c>
      <c r="F479" s="6" t="s">
        <v>823</v>
      </c>
      <c r="G479" s="6" t="s">
        <v>1158</v>
      </c>
      <c r="H479" s="10">
        <f t="shared" si="7"/>
        <v>441.25</v>
      </c>
      <c r="I479" s="6" t="s">
        <v>1491</v>
      </c>
    </row>
    <row r="480" spans="1:9" x14ac:dyDescent="0.3">
      <c r="A480" s="6" t="s">
        <v>1492</v>
      </c>
      <c r="B480" s="6" t="s">
        <v>509</v>
      </c>
      <c r="C480" s="6" t="s">
        <v>798</v>
      </c>
      <c r="D480" s="6">
        <v>1</v>
      </c>
      <c r="E480" s="6" t="s">
        <v>1158</v>
      </c>
      <c r="F480" s="6" t="s">
        <v>1470</v>
      </c>
      <c r="G480" s="6" t="s">
        <v>911</v>
      </c>
      <c r="H480" s="10">
        <f t="shared" si="7"/>
        <v>222.5</v>
      </c>
      <c r="I480" s="6" t="s">
        <v>820</v>
      </c>
    </row>
    <row r="481" spans="1:9" x14ac:dyDescent="0.3">
      <c r="A481" s="6" t="s">
        <v>1493</v>
      </c>
      <c r="B481" s="6" t="s">
        <v>514</v>
      </c>
      <c r="C481" s="6" t="s">
        <v>567</v>
      </c>
      <c r="D481" s="6">
        <v>1</v>
      </c>
      <c r="E481" s="6" t="s">
        <v>835</v>
      </c>
      <c r="F481" s="6" t="s">
        <v>985</v>
      </c>
      <c r="G481" s="6" t="s">
        <v>818</v>
      </c>
      <c r="H481" s="10">
        <f t="shared" si="7"/>
        <v>123.75</v>
      </c>
      <c r="I481" s="6" t="s">
        <v>812</v>
      </c>
    </row>
    <row r="482" spans="1:9" x14ac:dyDescent="0.3">
      <c r="A482" s="6" t="s">
        <v>1494</v>
      </c>
      <c r="B482" s="6" t="s">
        <v>514</v>
      </c>
      <c r="C482" s="6" t="s">
        <v>592</v>
      </c>
      <c r="D482" s="6">
        <v>1</v>
      </c>
      <c r="E482" s="6" t="s">
        <v>842</v>
      </c>
      <c r="F482" s="6" t="s">
        <v>874</v>
      </c>
      <c r="G482" s="6" t="s">
        <v>822</v>
      </c>
      <c r="H482" s="10">
        <f t="shared" si="7"/>
        <v>170</v>
      </c>
      <c r="I482" s="6" t="s">
        <v>951</v>
      </c>
    </row>
    <row r="483" spans="1:9" x14ac:dyDescent="0.3">
      <c r="A483" s="6" t="s">
        <v>1495</v>
      </c>
      <c r="B483" s="6" t="s">
        <v>516</v>
      </c>
      <c r="C483" s="6" t="s">
        <v>791</v>
      </c>
      <c r="D483" s="6">
        <v>1</v>
      </c>
      <c r="E483" s="6" t="s">
        <v>827</v>
      </c>
      <c r="F483" s="6" t="s">
        <v>822</v>
      </c>
      <c r="G483" s="6" t="s">
        <v>856</v>
      </c>
      <c r="H483" s="10">
        <f t="shared" si="7"/>
        <v>123.75</v>
      </c>
      <c r="I483" s="6" t="s">
        <v>812</v>
      </c>
    </row>
    <row r="484" spans="1:9" x14ac:dyDescent="0.3">
      <c r="A484" s="6" t="s">
        <v>1496</v>
      </c>
      <c r="B484" s="6" t="s">
        <v>518</v>
      </c>
      <c r="C484" s="6" t="s">
        <v>201</v>
      </c>
      <c r="D484" s="6">
        <v>1</v>
      </c>
      <c r="E484" s="6" t="s">
        <v>826</v>
      </c>
      <c r="F484" s="6" t="s">
        <v>827</v>
      </c>
      <c r="G484" s="6" t="s">
        <v>892</v>
      </c>
      <c r="H484" s="10">
        <f t="shared" si="7"/>
        <v>233.75</v>
      </c>
      <c r="I484" s="6" t="s">
        <v>983</v>
      </c>
    </row>
    <row r="485" spans="1:9" x14ac:dyDescent="0.3">
      <c r="A485" s="6" t="s">
        <v>1497</v>
      </c>
      <c r="B485" s="6" t="s">
        <v>520</v>
      </c>
      <c r="C485" s="6" t="s">
        <v>618</v>
      </c>
      <c r="D485" s="6">
        <v>1</v>
      </c>
      <c r="E485" s="6" t="s">
        <v>882</v>
      </c>
      <c r="F485" s="6" t="s">
        <v>885</v>
      </c>
      <c r="G485" s="6" t="s">
        <v>831</v>
      </c>
      <c r="H485" s="10">
        <f t="shared" si="7"/>
        <v>123.75</v>
      </c>
      <c r="I485" s="6" t="s">
        <v>812</v>
      </c>
    </row>
    <row r="486" spans="1:9" x14ac:dyDescent="0.3">
      <c r="A486" s="6" t="s">
        <v>2943</v>
      </c>
      <c r="B486" s="6" t="s">
        <v>522</v>
      </c>
      <c r="C486" s="6" t="s">
        <v>569</v>
      </c>
      <c r="D486" s="6">
        <v>1</v>
      </c>
      <c r="E486" s="6">
        <v>3.0000000000000001E-3</v>
      </c>
      <c r="F486" s="6">
        <v>1.0999999999999999E-2</v>
      </c>
      <c r="G486" s="6">
        <v>0.112</v>
      </c>
      <c r="H486" s="10">
        <f t="shared" si="7"/>
        <v>951.25</v>
      </c>
      <c r="I486" s="6">
        <v>761</v>
      </c>
    </row>
    <row r="487" spans="1:9" x14ac:dyDescent="0.3">
      <c r="A487" s="6" t="s">
        <v>2944</v>
      </c>
      <c r="B487" s="6" t="s">
        <v>522</v>
      </c>
      <c r="C487" s="6" t="s">
        <v>802</v>
      </c>
      <c r="D487" s="6">
        <v>1</v>
      </c>
      <c r="E487" s="6">
        <v>3.0000000000000001E-3</v>
      </c>
      <c r="F487" s="6">
        <v>1.0999999999999999E-2</v>
      </c>
      <c r="G487" s="6">
        <v>0.112</v>
      </c>
      <c r="H487" s="10">
        <f t="shared" si="7"/>
        <v>951.25</v>
      </c>
      <c r="I487" s="6">
        <v>761</v>
      </c>
    </row>
    <row r="488" spans="1:9" x14ac:dyDescent="0.3">
      <c r="A488" s="6" t="s">
        <v>1498</v>
      </c>
      <c r="B488" s="6" t="s">
        <v>523</v>
      </c>
      <c r="C488" s="6" t="s">
        <v>610</v>
      </c>
      <c r="D488" s="6">
        <v>1</v>
      </c>
      <c r="E488" s="6" t="s">
        <v>882</v>
      </c>
      <c r="F488" s="6" t="s">
        <v>1142</v>
      </c>
      <c r="G488" s="6" t="s">
        <v>911</v>
      </c>
      <c r="H488" s="10">
        <f t="shared" si="7"/>
        <v>123.75</v>
      </c>
      <c r="I488" s="6" t="s">
        <v>812</v>
      </c>
    </row>
    <row r="489" spans="1:9" x14ac:dyDescent="0.3">
      <c r="A489" s="6" t="s">
        <v>1499</v>
      </c>
      <c r="B489" s="6" t="s">
        <v>523</v>
      </c>
      <c r="C489" s="6" t="s">
        <v>676</v>
      </c>
      <c r="D489" s="6">
        <v>1</v>
      </c>
      <c r="E489" s="6" t="s">
        <v>853</v>
      </c>
      <c r="F489" s="6" t="s">
        <v>878</v>
      </c>
      <c r="G489" s="6" t="s">
        <v>818</v>
      </c>
      <c r="H489" s="10">
        <f t="shared" si="7"/>
        <v>123.75</v>
      </c>
      <c r="I489" s="6" t="s">
        <v>812</v>
      </c>
    </row>
    <row r="490" spans="1:9" x14ac:dyDescent="0.3">
      <c r="A490" s="6" t="s">
        <v>1500</v>
      </c>
      <c r="B490" s="6" t="s">
        <v>523</v>
      </c>
      <c r="C490" s="6" t="s">
        <v>676</v>
      </c>
      <c r="D490" s="6">
        <v>1</v>
      </c>
      <c r="E490" s="6" t="s">
        <v>1033</v>
      </c>
      <c r="F490" s="6" t="s">
        <v>1000</v>
      </c>
      <c r="G490" s="6" t="s">
        <v>846</v>
      </c>
      <c r="H490" s="10">
        <f t="shared" si="7"/>
        <v>123.75</v>
      </c>
      <c r="I490" s="6" t="s">
        <v>812</v>
      </c>
    </row>
    <row r="491" spans="1:9" x14ac:dyDescent="0.3">
      <c r="A491" s="6" t="s">
        <v>1501</v>
      </c>
      <c r="B491" s="6" t="s">
        <v>523</v>
      </c>
      <c r="C491" s="6" t="s">
        <v>711</v>
      </c>
      <c r="D491" s="6">
        <v>1</v>
      </c>
      <c r="E491" s="6" t="s">
        <v>901</v>
      </c>
      <c r="F491" s="6" t="s">
        <v>953</v>
      </c>
      <c r="G491" s="6" t="s">
        <v>822</v>
      </c>
      <c r="H491" s="10">
        <f t="shared" si="7"/>
        <v>123.75</v>
      </c>
      <c r="I491" s="6" t="s">
        <v>812</v>
      </c>
    </row>
    <row r="492" spans="1:9" x14ac:dyDescent="0.3">
      <c r="A492" s="6" t="s">
        <v>2945</v>
      </c>
      <c r="B492" s="6" t="s">
        <v>543</v>
      </c>
      <c r="C492" s="6" t="s">
        <v>761</v>
      </c>
      <c r="D492" s="6">
        <v>1</v>
      </c>
      <c r="E492" s="6">
        <v>3.5000000000000003E-2</v>
      </c>
      <c r="F492" s="6">
        <v>0.111</v>
      </c>
      <c r="G492" s="6">
        <v>1.0999999999999999E-2</v>
      </c>
      <c r="H492" s="10">
        <f t="shared" si="7"/>
        <v>170</v>
      </c>
      <c r="I492" s="6">
        <v>136</v>
      </c>
    </row>
    <row r="493" spans="1:9" x14ac:dyDescent="0.3">
      <c r="A493" s="6" t="s">
        <v>2946</v>
      </c>
      <c r="B493" s="6" t="s">
        <v>2854</v>
      </c>
      <c r="C493" s="6" t="s">
        <v>610</v>
      </c>
      <c r="D493" s="6">
        <v>1</v>
      </c>
      <c r="E493" s="6">
        <v>1.9E-2</v>
      </c>
      <c r="F493" s="6">
        <v>3.9E-2</v>
      </c>
      <c r="G493" s="6">
        <v>0.26100000000000001</v>
      </c>
      <c r="H493" s="10">
        <f t="shared" si="7"/>
        <v>155</v>
      </c>
      <c r="I493" s="6">
        <v>124</v>
      </c>
    </row>
    <row r="494" spans="1:9" x14ac:dyDescent="0.3">
      <c r="A494" s="6" t="s">
        <v>1502</v>
      </c>
      <c r="B494" s="6" t="s">
        <v>527</v>
      </c>
      <c r="C494" s="6" t="s">
        <v>417</v>
      </c>
      <c r="D494" s="6">
        <v>1</v>
      </c>
      <c r="E494" s="6" t="s">
        <v>1019</v>
      </c>
      <c r="F494" s="6" t="s">
        <v>1503</v>
      </c>
      <c r="G494" s="6" t="s">
        <v>901</v>
      </c>
      <c r="H494" s="10">
        <f t="shared" si="7"/>
        <v>123.75</v>
      </c>
      <c r="I494" s="6" t="s">
        <v>812</v>
      </c>
    </row>
    <row r="495" spans="1:9" x14ac:dyDescent="0.3">
      <c r="A495" s="6" t="s">
        <v>1504</v>
      </c>
      <c r="B495" s="6" t="s">
        <v>527</v>
      </c>
      <c r="C495" s="6" t="s">
        <v>735</v>
      </c>
      <c r="D495" s="6">
        <v>1</v>
      </c>
      <c r="E495" s="6" t="s">
        <v>1004</v>
      </c>
      <c r="F495" s="6" t="s">
        <v>912</v>
      </c>
      <c r="G495" s="6" t="s">
        <v>818</v>
      </c>
      <c r="H495" s="10">
        <f t="shared" si="7"/>
        <v>123.75</v>
      </c>
      <c r="I495" s="6" t="s">
        <v>812</v>
      </c>
    </row>
    <row r="496" spans="1:9" x14ac:dyDescent="0.3">
      <c r="A496" s="6" t="s">
        <v>1505</v>
      </c>
      <c r="B496" s="6" t="s">
        <v>527</v>
      </c>
      <c r="C496" s="6" t="s">
        <v>761</v>
      </c>
      <c r="D496" s="6">
        <v>1</v>
      </c>
      <c r="E496" s="6" t="s">
        <v>1304</v>
      </c>
      <c r="F496" s="6" t="s">
        <v>1221</v>
      </c>
      <c r="G496" s="6" t="s">
        <v>911</v>
      </c>
      <c r="H496" s="10">
        <f t="shared" si="7"/>
        <v>170</v>
      </c>
      <c r="I496" s="6" t="s">
        <v>951</v>
      </c>
    </row>
    <row r="497" spans="1:9" x14ac:dyDescent="0.3">
      <c r="A497" s="6" t="s">
        <v>1506</v>
      </c>
      <c r="B497" s="6" t="s">
        <v>527</v>
      </c>
      <c r="C497" s="6" t="s">
        <v>763</v>
      </c>
      <c r="D497" s="6">
        <v>1</v>
      </c>
      <c r="E497" s="6" t="s">
        <v>890</v>
      </c>
      <c r="F497" s="6" t="s">
        <v>1262</v>
      </c>
      <c r="G497" s="6" t="s">
        <v>816</v>
      </c>
      <c r="H497" s="10">
        <f t="shared" si="7"/>
        <v>131.25</v>
      </c>
      <c r="I497" s="6" t="s">
        <v>862</v>
      </c>
    </row>
    <row r="498" spans="1:9" x14ac:dyDescent="0.3">
      <c r="A498" s="6" t="s">
        <v>2947</v>
      </c>
      <c r="B498" s="6" t="s">
        <v>527</v>
      </c>
      <c r="C498" s="6" t="s">
        <v>543</v>
      </c>
      <c r="D498" s="6">
        <v>1</v>
      </c>
      <c r="E498" s="6">
        <v>1.2999999999999999E-2</v>
      </c>
      <c r="F498" s="6">
        <v>4.1000000000000002E-2</v>
      </c>
      <c r="G498" s="6">
        <v>4.0000000000000001E-3</v>
      </c>
      <c r="H498" s="10">
        <f t="shared" si="7"/>
        <v>170</v>
      </c>
      <c r="I498" s="6">
        <v>136</v>
      </c>
    </row>
    <row r="499" spans="1:9" x14ac:dyDescent="0.3">
      <c r="A499" s="6" t="s">
        <v>1507</v>
      </c>
      <c r="B499" s="6" t="s">
        <v>530</v>
      </c>
      <c r="C499" s="6" t="s">
        <v>602</v>
      </c>
      <c r="D499" s="6">
        <v>1</v>
      </c>
      <c r="E499" s="6" t="s">
        <v>827</v>
      </c>
      <c r="F499" s="6" t="s">
        <v>822</v>
      </c>
      <c r="G499" s="6" t="s">
        <v>823</v>
      </c>
      <c r="H499" s="10">
        <f t="shared" si="7"/>
        <v>125</v>
      </c>
      <c r="I499" s="6" t="s">
        <v>1213</v>
      </c>
    </row>
    <row r="500" spans="1:9" x14ac:dyDescent="0.3">
      <c r="A500" s="6" t="s">
        <v>1508</v>
      </c>
      <c r="B500" s="6" t="s">
        <v>530</v>
      </c>
      <c r="C500" s="6" t="s">
        <v>602</v>
      </c>
      <c r="D500" s="6">
        <v>1</v>
      </c>
      <c r="E500" s="6" t="s">
        <v>831</v>
      </c>
      <c r="F500" s="6" t="s">
        <v>822</v>
      </c>
      <c r="G500" s="6" t="s">
        <v>823</v>
      </c>
      <c r="H500" s="10">
        <f t="shared" si="7"/>
        <v>123.75</v>
      </c>
      <c r="I500" s="6" t="s">
        <v>812</v>
      </c>
    </row>
    <row r="501" spans="1:9" x14ac:dyDescent="0.3">
      <c r="A501" s="6" t="s">
        <v>1509</v>
      </c>
      <c r="B501" s="6" t="s">
        <v>532</v>
      </c>
      <c r="C501" s="6" t="s">
        <v>608</v>
      </c>
      <c r="D501" s="6">
        <v>1</v>
      </c>
      <c r="E501" s="6" t="s">
        <v>846</v>
      </c>
      <c r="F501" s="6" t="s">
        <v>850</v>
      </c>
      <c r="G501" s="6" t="s">
        <v>822</v>
      </c>
      <c r="H501" s="10">
        <f t="shared" si="7"/>
        <v>222.5</v>
      </c>
      <c r="I501" s="6" t="s">
        <v>820</v>
      </c>
    </row>
    <row r="502" spans="1:9" x14ac:dyDescent="0.3">
      <c r="A502" s="6" t="s">
        <v>1510</v>
      </c>
      <c r="B502" s="6" t="s">
        <v>532</v>
      </c>
      <c r="C502" s="6" t="s">
        <v>668</v>
      </c>
      <c r="D502" s="6">
        <v>1</v>
      </c>
      <c r="E502" s="6" t="s">
        <v>905</v>
      </c>
      <c r="F502" s="6" t="s">
        <v>1106</v>
      </c>
      <c r="G502" s="6" t="s">
        <v>816</v>
      </c>
      <c r="H502" s="10">
        <f t="shared" si="7"/>
        <v>123.75</v>
      </c>
      <c r="I502" s="6" t="s">
        <v>812</v>
      </c>
    </row>
    <row r="503" spans="1:9" x14ac:dyDescent="0.3">
      <c r="A503" s="6" t="s">
        <v>1511</v>
      </c>
      <c r="B503" s="6" t="s">
        <v>536</v>
      </c>
      <c r="C503" s="6" t="s">
        <v>546</v>
      </c>
      <c r="D503" s="6">
        <v>1</v>
      </c>
      <c r="E503" s="6" t="s">
        <v>810</v>
      </c>
      <c r="F503" s="6" t="s">
        <v>1512</v>
      </c>
      <c r="G503" s="6" t="s">
        <v>938</v>
      </c>
      <c r="H503" s="10">
        <f t="shared" si="7"/>
        <v>123.75</v>
      </c>
      <c r="I503" s="6" t="s">
        <v>812</v>
      </c>
    </row>
    <row r="504" spans="1:9" x14ac:dyDescent="0.3">
      <c r="A504" s="10" t="s">
        <v>1513</v>
      </c>
      <c r="B504" s="10" t="s">
        <v>536</v>
      </c>
      <c r="C504" s="10" t="s">
        <v>554</v>
      </c>
      <c r="D504" s="10">
        <v>1</v>
      </c>
      <c r="E504" s="10">
        <f>0.061/2</f>
        <v>3.0499999999999999E-2</v>
      </c>
      <c r="F504" s="10">
        <f>0.135/2</f>
        <v>6.7500000000000004E-2</v>
      </c>
      <c r="G504" s="10">
        <f>0.013/2</f>
        <v>6.4999999999999997E-3</v>
      </c>
      <c r="H504" s="10">
        <f t="shared" si="7"/>
        <v>123.75</v>
      </c>
      <c r="I504" s="10" t="s">
        <v>812</v>
      </c>
    </row>
    <row r="505" spans="1:9" x14ac:dyDescent="0.3">
      <c r="A505" s="10" t="s">
        <v>1514</v>
      </c>
      <c r="B505" s="10" t="s">
        <v>554</v>
      </c>
      <c r="C505" s="10" t="s">
        <v>708</v>
      </c>
      <c r="D505" s="10">
        <v>1</v>
      </c>
      <c r="E505" s="10">
        <f>0.061/2</f>
        <v>3.0499999999999999E-2</v>
      </c>
      <c r="F505" s="10">
        <f>0.135/2</f>
        <v>6.7500000000000004E-2</v>
      </c>
      <c r="G505" s="10">
        <f>0.013/2</f>
        <v>6.4999999999999997E-3</v>
      </c>
      <c r="H505" s="10">
        <f t="shared" si="7"/>
        <v>123.75</v>
      </c>
      <c r="I505" s="10" t="s">
        <v>812</v>
      </c>
    </row>
    <row r="506" spans="1:9" x14ac:dyDescent="0.3">
      <c r="A506" s="6" t="s">
        <v>1515</v>
      </c>
      <c r="B506" s="6" t="s">
        <v>538</v>
      </c>
      <c r="C506" s="6" t="s">
        <v>739</v>
      </c>
      <c r="D506" s="6">
        <v>1</v>
      </c>
      <c r="E506" s="6" t="s">
        <v>943</v>
      </c>
      <c r="F506" s="6" t="s">
        <v>1516</v>
      </c>
      <c r="G506" s="6" t="s">
        <v>882</v>
      </c>
      <c r="H506" s="10">
        <f t="shared" si="7"/>
        <v>102.5</v>
      </c>
      <c r="I506" s="6" t="s">
        <v>875</v>
      </c>
    </row>
    <row r="507" spans="1:9" x14ac:dyDescent="0.3">
      <c r="A507" s="6" t="s">
        <v>1517</v>
      </c>
      <c r="B507" s="6" t="s">
        <v>538</v>
      </c>
      <c r="C507" s="6" t="s">
        <v>739</v>
      </c>
      <c r="D507" s="6">
        <v>1</v>
      </c>
      <c r="E507" s="6" t="s">
        <v>836</v>
      </c>
      <c r="F507" s="6" t="s">
        <v>1518</v>
      </c>
      <c r="G507" s="6" t="s">
        <v>842</v>
      </c>
      <c r="H507" s="10">
        <f t="shared" si="7"/>
        <v>100</v>
      </c>
      <c r="I507" s="6" t="s">
        <v>1067</v>
      </c>
    </row>
    <row r="508" spans="1:9" x14ac:dyDescent="0.3">
      <c r="A508" s="6" t="s">
        <v>1519</v>
      </c>
      <c r="B508" s="6" t="s">
        <v>546</v>
      </c>
      <c r="C508" s="6" t="s">
        <v>589</v>
      </c>
      <c r="D508" s="6">
        <v>1</v>
      </c>
      <c r="E508" s="6" t="s">
        <v>1033</v>
      </c>
      <c r="F508" s="6" t="s">
        <v>955</v>
      </c>
      <c r="G508" s="6" t="s">
        <v>849</v>
      </c>
      <c r="H508" s="10">
        <f t="shared" si="7"/>
        <v>123.75</v>
      </c>
      <c r="I508" s="6" t="s">
        <v>812</v>
      </c>
    </row>
    <row r="509" spans="1:9" x14ac:dyDescent="0.3">
      <c r="A509" s="6" t="s">
        <v>1520</v>
      </c>
      <c r="B509" s="6" t="s">
        <v>546</v>
      </c>
      <c r="C509" s="6" t="s">
        <v>606</v>
      </c>
      <c r="D509" s="6">
        <v>1</v>
      </c>
      <c r="E509" s="6" t="s">
        <v>853</v>
      </c>
      <c r="F509" s="6" t="s">
        <v>1391</v>
      </c>
      <c r="G509" s="6" t="s">
        <v>846</v>
      </c>
      <c r="H509" s="10">
        <f t="shared" si="7"/>
        <v>123.75</v>
      </c>
      <c r="I509" s="6" t="s">
        <v>812</v>
      </c>
    </row>
    <row r="510" spans="1:9" x14ac:dyDescent="0.3">
      <c r="A510" s="6" t="s">
        <v>1521</v>
      </c>
      <c r="B510" s="6" t="s">
        <v>546</v>
      </c>
      <c r="C510" s="6" t="s">
        <v>683</v>
      </c>
      <c r="D510" s="6">
        <v>1</v>
      </c>
      <c r="E510" s="6" t="s">
        <v>1019</v>
      </c>
      <c r="F510" s="6" t="s">
        <v>1438</v>
      </c>
      <c r="G510" s="6" t="s">
        <v>901</v>
      </c>
      <c r="H510" s="10">
        <f t="shared" si="7"/>
        <v>118.75</v>
      </c>
      <c r="I510" s="6" t="s">
        <v>1522</v>
      </c>
    </row>
    <row r="511" spans="1:9" x14ac:dyDescent="0.3">
      <c r="A511" s="6" t="s">
        <v>1523</v>
      </c>
      <c r="B511" s="6" t="s">
        <v>550</v>
      </c>
      <c r="C511" s="6" t="s">
        <v>741</v>
      </c>
      <c r="D511" s="6">
        <v>1</v>
      </c>
      <c r="E511" s="6" t="s">
        <v>822</v>
      </c>
      <c r="F511" s="6" t="s">
        <v>885</v>
      </c>
      <c r="G511" s="6" t="s">
        <v>1524</v>
      </c>
      <c r="H511" s="10">
        <f t="shared" si="7"/>
        <v>887.5</v>
      </c>
      <c r="I511" s="6" t="s">
        <v>1022</v>
      </c>
    </row>
    <row r="512" spans="1:9" x14ac:dyDescent="0.3">
      <c r="A512" s="6" t="s">
        <v>1525</v>
      </c>
      <c r="B512" s="6" t="s">
        <v>550</v>
      </c>
      <c r="C512" s="6" t="s">
        <v>741</v>
      </c>
      <c r="D512" s="6">
        <v>1</v>
      </c>
      <c r="E512" s="6" t="s">
        <v>822</v>
      </c>
      <c r="F512" s="6" t="s">
        <v>885</v>
      </c>
      <c r="G512" s="6" t="s">
        <v>1524</v>
      </c>
      <c r="H512" s="10">
        <f t="shared" si="7"/>
        <v>887.5</v>
      </c>
      <c r="I512" s="6" t="s">
        <v>1022</v>
      </c>
    </row>
    <row r="513" spans="1:9" x14ac:dyDescent="0.3">
      <c r="A513" s="6" t="s">
        <v>1526</v>
      </c>
      <c r="B513" s="6" t="s">
        <v>548</v>
      </c>
      <c r="C513" s="6" t="s">
        <v>802</v>
      </c>
      <c r="D513" s="6">
        <v>1</v>
      </c>
      <c r="E513" s="6" t="s">
        <v>818</v>
      </c>
      <c r="F513" s="6" t="s">
        <v>970</v>
      </c>
      <c r="G513" s="6" t="s">
        <v>1016</v>
      </c>
      <c r="H513" s="10">
        <f t="shared" si="7"/>
        <v>437.5</v>
      </c>
      <c r="I513" s="6" t="s">
        <v>1244</v>
      </c>
    </row>
    <row r="514" spans="1:9" x14ac:dyDescent="0.3">
      <c r="A514" s="10" t="s">
        <v>1527</v>
      </c>
      <c r="B514" s="10" t="s">
        <v>553</v>
      </c>
      <c r="C514" s="10" t="s">
        <v>554</v>
      </c>
      <c r="D514" s="10">
        <v>1</v>
      </c>
      <c r="E514" s="10">
        <v>1E-4</v>
      </c>
      <c r="F514" s="10">
        <v>1E-4</v>
      </c>
      <c r="G514" s="10">
        <v>6.0000000000000001E-3</v>
      </c>
      <c r="H514" s="10">
        <f t="shared" si="7"/>
        <v>150</v>
      </c>
      <c r="I514" s="10">
        <v>120</v>
      </c>
    </row>
    <row r="515" spans="1:9" x14ac:dyDescent="0.3">
      <c r="A515" s="6" t="s">
        <v>1528</v>
      </c>
      <c r="B515" s="6" t="s">
        <v>556</v>
      </c>
      <c r="C515" s="6" t="s">
        <v>758</v>
      </c>
      <c r="D515" s="6">
        <v>1</v>
      </c>
      <c r="E515" s="6" t="s">
        <v>1015</v>
      </c>
      <c r="F515" s="6" t="s">
        <v>923</v>
      </c>
      <c r="G515" s="6" t="s">
        <v>822</v>
      </c>
      <c r="H515" s="10">
        <f t="shared" ref="H515:H578" si="8">I515*1.25</f>
        <v>130</v>
      </c>
      <c r="I515" s="6" t="s">
        <v>869</v>
      </c>
    </row>
    <row r="516" spans="1:9" x14ac:dyDescent="0.3">
      <c r="A516" s="6" t="s">
        <v>1529</v>
      </c>
      <c r="B516" s="6" t="s">
        <v>563</v>
      </c>
      <c r="C516" s="6" t="s">
        <v>767</v>
      </c>
      <c r="D516" s="6">
        <v>1</v>
      </c>
      <c r="E516" s="6" t="s">
        <v>827</v>
      </c>
      <c r="F516" s="6" t="s">
        <v>847</v>
      </c>
      <c r="G516" s="6" t="s">
        <v>920</v>
      </c>
      <c r="H516" s="10">
        <f t="shared" si="8"/>
        <v>887.5</v>
      </c>
      <c r="I516" s="6" t="s">
        <v>1022</v>
      </c>
    </row>
    <row r="517" spans="1:9" x14ac:dyDescent="0.3">
      <c r="A517" s="6" t="s">
        <v>1530</v>
      </c>
      <c r="B517" s="6" t="s">
        <v>563</v>
      </c>
      <c r="C517" s="6" t="s">
        <v>767</v>
      </c>
      <c r="D517" s="6">
        <v>1</v>
      </c>
      <c r="E517" s="6" t="s">
        <v>827</v>
      </c>
      <c r="F517" s="6" t="s">
        <v>847</v>
      </c>
      <c r="G517" s="6" t="s">
        <v>920</v>
      </c>
      <c r="H517" s="10">
        <f t="shared" si="8"/>
        <v>887.5</v>
      </c>
      <c r="I517" s="6" t="s">
        <v>1022</v>
      </c>
    </row>
    <row r="518" spans="1:9" x14ac:dyDescent="0.3">
      <c r="A518" s="6" t="s">
        <v>1531</v>
      </c>
      <c r="B518" s="6" t="s">
        <v>567</v>
      </c>
      <c r="C518" s="6" t="s">
        <v>128</v>
      </c>
      <c r="D518" s="6">
        <v>1</v>
      </c>
      <c r="E518" s="6" t="s">
        <v>1301</v>
      </c>
      <c r="F518" s="6" t="s">
        <v>1532</v>
      </c>
      <c r="G518" s="6" t="s">
        <v>847</v>
      </c>
      <c r="H518" s="10">
        <f t="shared" si="8"/>
        <v>123.75</v>
      </c>
      <c r="I518" s="6" t="s">
        <v>812</v>
      </c>
    </row>
    <row r="519" spans="1:9" x14ac:dyDescent="0.3">
      <c r="A519" s="6" t="s">
        <v>1533</v>
      </c>
      <c r="B519" s="6" t="s">
        <v>567</v>
      </c>
      <c r="C519" s="6" t="s">
        <v>433</v>
      </c>
      <c r="D519" s="6">
        <v>1</v>
      </c>
      <c r="E519" s="6" t="s">
        <v>831</v>
      </c>
      <c r="F519" s="6" t="s">
        <v>818</v>
      </c>
      <c r="G519" s="6" t="s">
        <v>831</v>
      </c>
      <c r="H519" s="10">
        <f t="shared" si="8"/>
        <v>123.75</v>
      </c>
      <c r="I519" s="6" t="s">
        <v>812</v>
      </c>
    </row>
    <row r="520" spans="1:9" x14ac:dyDescent="0.3">
      <c r="A520" s="6" t="s">
        <v>1534</v>
      </c>
      <c r="B520" s="6" t="s">
        <v>567</v>
      </c>
      <c r="C520" s="6" t="s">
        <v>678</v>
      </c>
      <c r="D520" s="6">
        <v>1</v>
      </c>
      <c r="E520" s="6" t="s">
        <v>892</v>
      </c>
      <c r="F520" s="6" t="s">
        <v>853</v>
      </c>
      <c r="G520" s="6" t="s">
        <v>831</v>
      </c>
      <c r="H520" s="10">
        <f t="shared" si="8"/>
        <v>100</v>
      </c>
      <c r="I520" s="6" t="s">
        <v>1067</v>
      </c>
    </row>
    <row r="521" spans="1:9" x14ac:dyDescent="0.3">
      <c r="A521" s="6" t="s">
        <v>1535</v>
      </c>
      <c r="B521" s="6" t="s">
        <v>567</v>
      </c>
      <c r="C521" s="6" t="s">
        <v>691</v>
      </c>
      <c r="D521" s="6">
        <v>1</v>
      </c>
      <c r="E521" s="6" t="s">
        <v>842</v>
      </c>
      <c r="F521" s="6" t="s">
        <v>874</v>
      </c>
      <c r="G521" s="6" t="s">
        <v>846</v>
      </c>
      <c r="H521" s="10">
        <f t="shared" si="8"/>
        <v>222.5</v>
      </c>
      <c r="I521" s="6" t="s">
        <v>820</v>
      </c>
    </row>
    <row r="522" spans="1:9" x14ac:dyDescent="0.3">
      <c r="A522" s="6" t="s">
        <v>1536</v>
      </c>
      <c r="B522" s="6" t="s">
        <v>569</v>
      </c>
      <c r="C522" s="6" t="s">
        <v>702</v>
      </c>
      <c r="D522" s="6">
        <v>1</v>
      </c>
      <c r="E522" s="6" t="s">
        <v>823</v>
      </c>
      <c r="F522" s="6" t="s">
        <v>1001</v>
      </c>
      <c r="G522" s="6" t="s">
        <v>1537</v>
      </c>
      <c r="H522" s="10">
        <f t="shared" si="8"/>
        <v>336.25</v>
      </c>
      <c r="I522" s="6" t="s">
        <v>1452</v>
      </c>
    </row>
    <row r="523" spans="1:9" x14ac:dyDescent="0.3">
      <c r="A523" s="6" t="s">
        <v>1538</v>
      </c>
      <c r="B523" s="6" t="s">
        <v>569</v>
      </c>
      <c r="C523" s="6" t="s">
        <v>756</v>
      </c>
      <c r="D523" s="6">
        <v>1</v>
      </c>
      <c r="E523" s="6" t="s">
        <v>811</v>
      </c>
      <c r="F523" s="6" t="s">
        <v>980</v>
      </c>
      <c r="G523" s="6" t="s">
        <v>1539</v>
      </c>
      <c r="H523" s="10">
        <f t="shared" si="8"/>
        <v>406.25</v>
      </c>
      <c r="I523" s="6" t="s">
        <v>1540</v>
      </c>
    </row>
    <row r="524" spans="1:9" x14ac:dyDescent="0.3">
      <c r="A524" s="6" t="s">
        <v>1541</v>
      </c>
      <c r="B524" s="6" t="s">
        <v>569</v>
      </c>
      <c r="C524" s="6" t="s">
        <v>802</v>
      </c>
      <c r="D524" s="6">
        <v>1</v>
      </c>
      <c r="E524" s="6" t="s">
        <v>822</v>
      </c>
      <c r="F524" s="6" t="s">
        <v>1033</v>
      </c>
      <c r="G524" s="6" t="s">
        <v>874</v>
      </c>
      <c r="H524" s="10">
        <f t="shared" si="8"/>
        <v>437.5</v>
      </c>
      <c r="I524" s="6" t="s">
        <v>1244</v>
      </c>
    </row>
    <row r="525" spans="1:9" x14ac:dyDescent="0.3">
      <c r="A525" s="6" t="s">
        <v>1542</v>
      </c>
      <c r="B525" s="6" t="s">
        <v>571</v>
      </c>
      <c r="C525" s="6" t="s">
        <v>628</v>
      </c>
      <c r="D525" s="6">
        <v>1</v>
      </c>
      <c r="E525" s="6" t="s">
        <v>827</v>
      </c>
      <c r="F525" s="6" t="s">
        <v>831</v>
      </c>
      <c r="G525" s="6" t="s">
        <v>923</v>
      </c>
      <c r="H525" s="10">
        <f t="shared" si="8"/>
        <v>148.75</v>
      </c>
      <c r="I525" s="6" t="s">
        <v>990</v>
      </c>
    </row>
    <row r="526" spans="1:9" x14ac:dyDescent="0.3">
      <c r="A526" s="6" t="s">
        <v>1543</v>
      </c>
      <c r="B526" s="6" t="s">
        <v>571</v>
      </c>
      <c r="C526" s="6" t="s">
        <v>800</v>
      </c>
      <c r="D526" s="6">
        <v>1</v>
      </c>
      <c r="E526" s="6" t="s">
        <v>827</v>
      </c>
      <c r="F526" s="6" t="s">
        <v>831</v>
      </c>
      <c r="G526" s="6" t="s">
        <v>842</v>
      </c>
      <c r="H526" s="10">
        <f t="shared" si="8"/>
        <v>150</v>
      </c>
      <c r="I526" s="6" t="s">
        <v>896</v>
      </c>
    </row>
    <row r="527" spans="1:9" x14ac:dyDescent="0.3">
      <c r="A527" s="6" t="s">
        <v>1544</v>
      </c>
      <c r="B527" s="6" t="s">
        <v>578</v>
      </c>
      <c r="C527" s="6" t="s">
        <v>672</v>
      </c>
      <c r="D527" s="6">
        <v>1</v>
      </c>
      <c r="E527" s="6" t="s">
        <v>831</v>
      </c>
      <c r="F527" s="6" t="s">
        <v>849</v>
      </c>
      <c r="G527" s="6" t="s">
        <v>874</v>
      </c>
      <c r="H527" s="10">
        <f t="shared" si="8"/>
        <v>175</v>
      </c>
      <c r="I527" s="6" t="s">
        <v>851</v>
      </c>
    </row>
    <row r="528" spans="1:9" x14ac:dyDescent="0.3">
      <c r="A528" s="6" t="s">
        <v>1545</v>
      </c>
      <c r="B528" s="6" t="s">
        <v>578</v>
      </c>
      <c r="C528" s="6" t="s">
        <v>779</v>
      </c>
      <c r="D528" s="6">
        <v>1</v>
      </c>
      <c r="E528" s="6" t="s">
        <v>827</v>
      </c>
      <c r="F528" s="6" t="s">
        <v>831</v>
      </c>
      <c r="G528" s="6" t="s">
        <v>901</v>
      </c>
      <c r="H528" s="10">
        <f t="shared" si="8"/>
        <v>175</v>
      </c>
      <c r="I528" s="6" t="s">
        <v>851</v>
      </c>
    </row>
    <row r="529" spans="1:9" x14ac:dyDescent="0.3">
      <c r="A529" s="6" t="s">
        <v>1546</v>
      </c>
      <c r="B529" s="6" t="s">
        <v>580</v>
      </c>
      <c r="C529" s="6" t="s">
        <v>796</v>
      </c>
      <c r="D529" s="6">
        <v>1</v>
      </c>
      <c r="E529" s="6" t="s">
        <v>874</v>
      </c>
      <c r="F529" s="6" t="s">
        <v>1199</v>
      </c>
      <c r="G529" s="6" t="s">
        <v>818</v>
      </c>
      <c r="H529" s="10">
        <f t="shared" si="8"/>
        <v>123.75</v>
      </c>
      <c r="I529" s="6" t="s">
        <v>812</v>
      </c>
    </row>
    <row r="530" spans="1:9" x14ac:dyDescent="0.3">
      <c r="A530" s="10" t="s">
        <v>2948</v>
      </c>
      <c r="B530" s="10" t="s">
        <v>580</v>
      </c>
      <c r="C530" s="10" t="s">
        <v>529</v>
      </c>
      <c r="D530" s="10">
        <v>1</v>
      </c>
      <c r="E530" s="10">
        <v>5.0000000000000001E-3</v>
      </c>
      <c r="F530" s="10">
        <v>1.0999999999999999E-2</v>
      </c>
      <c r="G530" s="10">
        <v>3.0000000000000001E-3</v>
      </c>
      <c r="H530" s="10">
        <f t="shared" si="8"/>
        <v>131.25</v>
      </c>
      <c r="I530" s="10">
        <v>105</v>
      </c>
    </row>
    <row r="531" spans="1:9" x14ac:dyDescent="0.3">
      <c r="A531" s="6" t="s">
        <v>1547</v>
      </c>
      <c r="B531" s="6" t="s">
        <v>582</v>
      </c>
      <c r="C531" s="6" t="s">
        <v>672</v>
      </c>
      <c r="D531" s="6">
        <v>1</v>
      </c>
      <c r="E531" s="6" t="s">
        <v>822</v>
      </c>
      <c r="F531" s="6" t="s">
        <v>846</v>
      </c>
      <c r="G531" s="6" t="s">
        <v>962</v>
      </c>
      <c r="H531" s="10">
        <f t="shared" si="8"/>
        <v>125</v>
      </c>
      <c r="I531" s="6" t="s">
        <v>1213</v>
      </c>
    </row>
    <row r="532" spans="1:9" x14ac:dyDescent="0.3">
      <c r="A532" s="6" t="s">
        <v>1548</v>
      </c>
      <c r="B532" s="6" t="s">
        <v>582</v>
      </c>
      <c r="C532" s="6" t="s">
        <v>672</v>
      </c>
      <c r="D532" s="6">
        <v>1</v>
      </c>
      <c r="E532" s="6" t="s">
        <v>822</v>
      </c>
      <c r="F532" s="6" t="s">
        <v>811</v>
      </c>
      <c r="G532" s="6" t="s">
        <v>836</v>
      </c>
      <c r="H532" s="10">
        <f t="shared" si="8"/>
        <v>150</v>
      </c>
      <c r="I532" s="6" t="s">
        <v>896</v>
      </c>
    </row>
    <row r="533" spans="1:9" x14ac:dyDescent="0.3">
      <c r="A533" s="6" t="s">
        <v>1549</v>
      </c>
      <c r="B533" s="6" t="s">
        <v>584</v>
      </c>
      <c r="C533" s="6" t="s">
        <v>634</v>
      </c>
      <c r="D533" s="6">
        <v>1</v>
      </c>
      <c r="E533" s="6" t="s">
        <v>861</v>
      </c>
      <c r="F533" s="6" t="s">
        <v>1550</v>
      </c>
      <c r="G533" s="6" t="s">
        <v>911</v>
      </c>
      <c r="H533" s="10">
        <f t="shared" si="8"/>
        <v>173.75</v>
      </c>
      <c r="I533" s="6" t="s">
        <v>1551</v>
      </c>
    </row>
    <row r="534" spans="1:9" x14ac:dyDescent="0.3">
      <c r="A534" s="6" t="s">
        <v>1552</v>
      </c>
      <c r="B534" s="6" t="s">
        <v>587</v>
      </c>
      <c r="C534" s="6" t="s">
        <v>781</v>
      </c>
      <c r="D534" s="6">
        <v>1</v>
      </c>
      <c r="E534" s="6" t="s">
        <v>1015</v>
      </c>
      <c r="F534" s="6" t="s">
        <v>1353</v>
      </c>
      <c r="G534" s="6" t="s">
        <v>861</v>
      </c>
      <c r="H534" s="10">
        <f t="shared" si="8"/>
        <v>168.75</v>
      </c>
      <c r="I534" s="6" t="s">
        <v>1483</v>
      </c>
    </row>
    <row r="535" spans="1:9" x14ac:dyDescent="0.3">
      <c r="A535" s="6" t="s">
        <v>2949</v>
      </c>
      <c r="B535" s="6" t="s">
        <v>591</v>
      </c>
      <c r="C535" s="6" t="s">
        <v>605</v>
      </c>
      <c r="D535" s="6">
        <v>1</v>
      </c>
      <c r="E535" s="6">
        <v>1E-3</v>
      </c>
      <c r="F535" s="6">
        <v>3.0000000000000001E-3</v>
      </c>
      <c r="G535" s="6">
        <v>3.3000000000000002E-2</v>
      </c>
      <c r="H535" s="10">
        <f t="shared" si="8"/>
        <v>237.5</v>
      </c>
      <c r="I535" s="6">
        <v>190</v>
      </c>
    </row>
    <row r="536" spans="1:9" x14ac:dyDescent="0.3">
      <c r="A536" s="6" t="s">
        <v>1553</v>
      </c>
      <c r="B536" s="6" t="s">
        <v>594</v>
      </c>
      <c r="C536" s="6" t="s">
        <v>743</v>
      </c>
      <c r="D536" s="6">
        <v>1</v>
      </c>
      <c r="E536" s="6" t="s">
        <v>938</v>
      </c>
      <c r="F536" s="6" t="s">
        <v>861</v>
      </c>
      <c r="G536" s="6" t="s">
        <v>849</v>
      </c>
      <c r="H536" s="10">
        <f t="shared" si="8"/>
        <v>123.75</v>
      </c>
      <c r="I536" s="6" t="s">
        <v>812</v>
      </c>
    </row>
    <row r="537" spans="1:9" x14ac:dyDescent="0.3">
      <c r="A537" s="6" t="s">
        <v>1554</v>
      </c>
      <c r="B537" s="6" t="s">
        <v>594</v>
      </c>
      <c r="C537" s="6" t="s">
        <v>743</v>
      </c>
      <c r="D537" s="6">
        <v>1</v>
      </c>
      <c r="E537" s="6" t="s">
        <v>816</v>
      </c>
      <c r="F537" s="6" t="s">
        <v>958</v>
      </c>
      <c r="G537" s="6" t="s">
        <v>849</v>
      </c>
      <c r="H537" s="10">
        <f t="shared" si="8"/>
        <v>123.75</v>
      </c>
      <c r="I537" s="6" t="s">
        <v>812</v>
      </c>
    </row>
    <row r="538" spans="1:9" x14ac:dyDescent="0.3">
      <c r="A538" s="6" t="s">
        <v>1555</v>
      </c>
      <c r="B538" s="6" t="s">
        <v>600</v>
      </c>
      <c r="C538" s="6" t="s">
        <v>640</v>
      </c>
      <c r="D538" s="6">
        <v>1</v>
      </c>
      <c r="E538" s="6" t="s">
        <v>849</v>
      </c>
      <c r="F538" s="6" t="s">
        <v>809</v>
      </c>
      <c r="G538" s="6" t="s">
        <v>1556</v>
      </c>
      <c r="H538" s="10">
        <f t="shared" si="8"/>
        <v>1603.75</v>
      </c>
      <c r="I538" s="6">
        <v>1283</v>
      </c>
    </row>
    <row r="539" spans="1:9" x14ac:dyDescent="0.3">
      <c r="A539" s="6" t="s">
        <v>1557</v>
      </c>
      <c r="B539" s="6" t="s">
        <v>598</v>
      </c>
      <c r="C539" s="6" t="s">
        <v>659</v>
      </c>
      <c r="D539" s="6">
        <v>1</v>
      </c>
      <c r="E539" s="6" t="s">
        <v>827</v>
      </c>
      <c r="F539" s="6" t="s">
        <v>847</v>
      </c>
      <c r="G539" s="6" t="s">
        <v>823</v>
      </c>
      <c r="H539" s="10">
        <f t="shared" si="8"/>
        <v>671.25</v>
      </c>
      <c r="I539" s="6" t="s">
        <v>1558</v>
      </c>
    </row>
    <row r="540" spans="1:9" x14ac:dyDescent="0.3">
      <c r="A540" s="6" t="s">
        <v>1559</v>
      </c>
      <c r="B540" s="6" t="s">
        <v>596</v>
      </c>
      <c r="C540" s="6" t="s">
        <v>751</v>
      </c>
      <c r="D540" s="6">
        <v>1</v>
      </c>
      <c r="E540" s="6" t="s">
        <v>846</v>
      </c>
      <c r="F540" s="6" t="s">
        <v>853</v>
      </c>
      <c r="G540" s="6" t="s">
        <v>822</v>
      </c>
      <c r="H540" s="10">
        <f t="shared" si="8"/>
        <v>222.5</v>
      </c>
      <c r="I540" s="6" t="s">
        <v>820</v>
      </c>
    </row>
    <row r="541" spans="1:9" x14ac:dyDescent="0.3">
      <c r="A541" s="6" t="s">
        <v>1560</v>
      </c>
      <c r="B541" s="6" t="s">
        <v>602</v>
      </c>
      <c r="C541" s="6" t="s">
        <v>749</v>
      </c>
      <c r="D541" s="6">
        <v>1</v>
      </c>
      <c r="E541" s="6" t="s">
        <v>827</v>
      </c>
      <c r="F541" s="6" t="s">
        <v>831</v>
      </c>
      <c r="G541" s="6" t="s">
        <v>923</v>
      </c>
      <c r="H541" s="10">
        <f t="shared" si="8"/>
        <v>222.5</v>
      </c>
      <c r="I541" s="6" t="s">
        <v>820</v>
      </c>
    </row>
    <row r="542" spans="1:9" x14ac:dyDescent="0.3">
      <c r="A542" s="6" t="s">
        <v>1561</v>
      </c>
      <c r="B542" s="6" t="s">
        <v>602</v>
      </c>
      <c r="C542" s="6" t="s">
        <v>749</v>
      </c>
      <c r="D542" s="6">
        <v>1</v>
      </c>
      <c r="E542" s="6" t="s">
        <v>827</v>
      </c>
      <c r="F542" s="6" t="s">
        <v>827</v>
      </c>
      <c r="G542" s="6" t="s">
        <v>953</v>
      </c>
      <c r="H542" s="10">
        <f t="shared" si="8"/>
        <v>222.5</v>
      </c>
      <c r="I542" s="6" t="s">
        <v>820</v>
      </c>
    </row>
    <row r="543" spans="1:9" x14ac:dyDescent="0.3">
      <c r="A543" s="6" t="s">
        <v>1562</v>
      </c>
      <c r="B543" s="6" t="s">
        <v>608</v>
      </c>
      <c r="C543" s="6" t="s">
        <v>612</v>
      </c>
      <c r="D543" s="6">
        <v>1</v>
      </c>
      <c r="E543" s="6" t="s">
        <v>827</v>
      </c>
      <c r="F543" s="6" t="s">
        <v>831</v>
      </c>
      <c r="G543" s="6" t="s">
        <v>826</v>
      </c>
      <c r="H543" s="10">
        <f t="shared" si="8"/>
        <v>131.25</v>
      </c>
      <c r="I543" s="6" t="s">
        <v>862</v>
      </c>
    </row>
    <row r="544" spans="1:9" x14ac:dyDescent="0.3">
      <c r="A544" s="6" t="s">
        <v>1563</v>
      </c>
      <c r="B544" s="6" t="s">
        <v>608</v>
      </c>
      <c r="C544" s="6" t="s">
        <v>612</v>
      </c>
      <c r="D544" s="6">
        <v>1</v>
      </c>
      <c r="E544" s="6" t="s">
        <v>827</v>
      </c>
      <c r="F544" s="6" t="s">
        <v>831</v>
      </c>
      <c r="G544" s="6" t="s">
        <v>826</v>
      </c>
      <c r="H544" s="10">
        <f t="shared" si="8"/>
        <v>131.25</v>
      </c>
      <c r="I544" s="6" t="s">
        <v>862</v>
      </c>
    </row>
    <row r="545" spans="1:9" x14ac:dyDescent="0.3">
      <c r="A545" s="6" t="s">
        <v>1564</v>
      </c>
      <c r="B545" s="6" t="s">
        <v>623</v>
      </c>
      <c r="C545" s="6" t="s">
        <v>128</v>
      </c>
      <c r="D545" s="6">
        <v>1</v>
      </c>
      <c r="E545" s="6" t="s">
        <v>938</v>
      </c>
      <c r="F545" s="6" t="s">
        <v>905</v>
      </c>
      <c r="G545" s="6" t="s">
        <v>849</v>
      </c>
      <c r="H545" s="10">
        <f t="shared" si="8"/>
        <v>170</v>
      </c>
      <c r="I545" s="6" t="s">
        <v>951</v>
      </c>
    </row>
    <row r="546" spans="1:9" x14ac:dyDescent="0.3">
      <c r="A546" s="6" t="s">
        <v>1565</v>
      </c>
      <c r="B546" s="6" t="s">
        <v>623</v>
      </c>
      <c r="C546" s="6" t="s">
        <v>654</v>
      </c>
      <c r="D546" s="6">
        <v>1</v>
      </c>
      <c r="E546" s="6" t="s">
        <v>895</v>
      </c>
      <c r="F546" s="6" t="s">
        <v>1566</v>
      </c>
      <c r="G546" s="6" t="s">
        <v>901</v>
      </c>
      <c r="H546" s="10">
        <f t="shared" si="8"/>
        <v>131.25</v>
      </c>
      <c r="I546" s="6" t="s">
        <v>862</v>
      </c>
    </row>
    <row r="547" spans="1:9" x14ac:dyDescent="0.3">
      <c r="A547" s="6" t="s">
        <v>1567</v>
      </c>
      <c r="B547" s="6" t="s">
        <v>625</v>
      </c>
      <c r="C547" s="6" t="s">
        <v>739</v>
      </c>
      <c r="D547" s="6">
        <v>1</v>
      </c>
      <c r="E547" s="6" t="s">
        <v>953</v>
      </c>
      <c r="F547" s="6" t="s">
        <v>1016</v>
      </c>
      <c r="G547" s="6" t="s">
        <v>892</v>
      </c>
      <c r="H547" s="10">
        <f t="shared" si="8"/>
        <v>102.5</v>
      </c>
      <c r="I547" s="6" t="s">
        <v>875</v>
      </c>
    </row>
    <row r="548" spans="1:9" x14ac:dyDescent="0.3">
      <c r="A548" s="6" t="s">
        <v>1568</v>
      </c>
      <c r="B548" s="6" t="s">
        <v>625</v>
      </c>
      <c r="C548" s="6" t="s">
        <v>739</v>
      </c>
      <c r="D548" s="6">
        <v>1</v>
      </c>
      <c r="E548" s="6" t="s">
        <v>953</v>
      </c>
      <c r="F548" s="6" t="s">
        <v>1016</v>
      </c>
      <c r="G548" s="6" t="s">
        <v>892</v>
      </c>
      <c r="H548" s="10">
        <f t="shared" si="8"/>
        <v>102.5</v>
      </c>
      <c r="I548" s="6" t="s">
        <v>875</v>
      </c>
    </row>
    <row r="549" spans="1:9" x14ac:dyDescent="0.3">
      <c r="A549" s="6" t="s">
        <v>1569</v>
      </c>
      <c r="B549" s="6" t="s">
        <v>628</v>
      </c>
      <c r="C549" s="6" t="s">
        <v>672</v>
      </c>
      <c r="D549" s="6">
        <v>1</v>
      </c>
      <c r="E549" s="6" t="s">
        <v>827</v>
      </c>
      <c r="F549" s="6" t="s">
        <v>831</v>
      </c>
      <c r="G549" s="6" t="s">
        <v>828</v>
      </c>
      <c r="H549" s="10">
        <f t="shared" si="8"/>
        <v>148.75</v>
      </c>
      <c r="I549" s="6" t="s">
        <v>990</v>
      </c>
    </row>
    <row r="550" spans="1:9" x14ac:dyDescent="0.3">
      <c r="A550" s="6" t="s">
        <v>1570</v>
      </c>
      <c r="B550" s="6" t="s">
        <v>630</v>
      </c>
      <c r="C550" s="6" t="s">
        <v>650</v>
      </c>
      <c r="D550" s="6">
        <v>1</v>
      </c>
      <c r="E550" s="6" t="s">
        <v>826</v>
      </c>
      <c r="F550" s="6" t="s">
        <v>827</v>
      </c>
      <c r="G550" s="6" t="s">
        <v>1571</v>
      </c>
      <c r="H550" s="10">
        <f t="shared" si="8"/>
        <v>415</v>
      </c>
      <c r="I550" s="6" t="s">
        <v>1347</v>
      </c>
    </row>
    <row r="551" spans="1:9" x14ac:dyDescent="0.3">
      <c r="A551" s="6" t="s">
        <v>1572</v>
      </c>
      <c r="B551" s="6" t="s">
        <v>634</v>
      </c>
      <c r="C551" s="6" t="s">
        <v>735</v>
      </c>
      <c r="D551" s="6">
        <v>1</v>
      </c>
      <c r="E551" s="6" t="s">
        <v>887</v>
      </c>
      <c r="F551" s="6" t="s">
        <v>916</v>
      </c>
      <c r="G551" s="6" t="s">
        <v>816</v>
      </c>
      <c r="H551" s="10">
        <f t="shared" si="8"/>
        <v>136.25</v>
      </c>
      <c r="I551" s="6" t="s">
        <v>859</v>
      </c>
    </row>
    <row r="552" spans="1:9" x14ac:dyDescent="0.3">
      <c r="A552" s="6" t="s">
        <v>1573</v>
      </c>
      <c r="B552" s="6" t="s">
        <v>634</v>
      </c>
      <c r="C552" s="6" t="s">
        <v>735</v>
      </c>
      <c r="D552" s="6">
        <v>1</v>
      </c>
      <c r="E552" s="6" t="s">
        <v>1304</v>
      </c>
      <c r="F552" s="6" t="s">
        <v>1574</v>
      </c>
      <c r="G552" s="6" t="s">
        <v>816</v>
      </c>
      <c r="H552" s="10">
        <f t="shared" si="8"/>
        <v>102.5</v>
      </c>
      <c r="I552" s="6" t="s">
        <v>875</v>
      </c>
    </row>
    <row r="553" spans="1:9" x14ac:dyDescent="0.3">
      <c r="A553" s="6" t="s">
        <v>1575</v>
      </c>
      <c r="B553" s="6" t="s">
        <v>634</v>
      </c>
      <c r="C553" s="6" t="s">
        <v>772</v>
      </c>
      <c r="D553" s="6">
        <v>1</v>
      </c>
      <c r="E553" s="6" t="s">
        <v>850</v>
      </c>
      <c r="F553" s="6" t="s">
        <v>1045</v>
      </c>
      <c r="G553" s="6" t="s">
        <v>818</v>
      </c>
      <c r="H553" s="10">
        <f t="shared" si="8"/>
        <v>232.5</v>
      </c>
      <c r="I553" s="6" t="s">
        <v>1200</v>
      </c>
    </row>
    <row r="554" spans="1:9" x14ac:dyDescent="0.3">
      <c r="A554" s="6" t="s">
        <v>1576</v>
      </c>
      <c r="B554" s="6" t="s">
        <v>637</v>
      </c>
      <c r="C554" s="6" t="s">
        <v>594</v>
      </c>
      <c r="D554" s="6">
        <v>1</v>
      </c>
      <c r="E554" s="6" t="s">
        <v>835</v>
      </c>
      <c r="F554" s="6" t="s">
        <v>814</v>
      </c>
      <c r="G554" s="6" t="s">
        <v>846</v>
      </c>
      <c r="H554" s="10">
        <f t="shared" si="8"/>
        <v>131.25</v>
      </c>
      <c r="I554" s="6" t="s">
        <v>862</v>
      </c>
    </row>
    <row r="555" spans="1:9" x14ac:dyDescent="0.3">
      <c r="A555" s="6" t="s">
        <v>1577</v>
      </c>
      <c r="B555" s="6" t="s">
        <v>638</v>
      </c>
      <c r="C555" s="6" t="s">
        <v>784</v>
      </c>
      <c r="D555" s="6">
        <v>1</v>
      </c>
      <c r="E555" s="6" t="s">
        <v>827</v>
      </c>
      <c r="F555" s="6" t="s">
        <v>892</v>
      </c>
      <c r="G555" s="6" t="s">
        <v>901</v>
      </c>
      <c r="H555" s="10">
        <f t="shared" si="8"/>
        <v>542.5</v>
      </c>
      <c r="I555" s="6" t="s">
        <v>844</v>
      </c>
    </row>
    <row r="556" spans="1:9" x14ac:dyDescent="0.3">
      <c r="A556" s="6" t="s">
        <v>1578</v>
      </c>
      <c r="B556" s="6" t="s">
        <v>640</v>
      </c>
      <c r="C556" s="6" t="s">
        <v>805</v>
      </c>
      <c r="D556" s="6">
        <v>1</v>
      </c>
      <c r="E556" s="6" t="s">
        <v>849</v>
      </c>
      <c r="F556" s="6" t="s">
        <v>1301</v>
      </c>
      <c r="G556" s="6" t="s">
        <v>1579</v>
      </c>
      <c r="H556" s="10">
        <f t="shared" si="8"/>
        <v>1971.25</v>
      </c>
      <c r="I556" s="6">
        <v>1577</v>
      </c>
    </row>
    <row r="557" spans="1:9" x14ac:dyDescent="0.3">
      <c r="A557" s="6" t="s">
        <v>1580</v>
      </c>
      <c r="B557" s="6" t="s">
        <v>644</v>
      </c>
      <c r="C557" s="6" t="s">
        <v>642</v>
      </c>
      <c r="D557" s="6">
        <v>1</v>
      </c>
      <c r="E557" s="6" t="s">
        <v>823</v>
      </c>
      <c r="F557" s="6" t="s">
        <v>828</v>
      </c>
      <c r="G557" s="6" t="s">
        <v>849</v>
      </c>
      <c r="H557" s="10">
        <f t="shared" si="8"/>
        <v>131.25</v>
      </c>
      <c r="I557" s="6" t="s">
        <v>862</v>
      </c>
    </row>
    <row r="558" spans="1:9" x14ac:dyDescent="0.3">
      <c r="A558" s="6" t="s">
        <v>1581</v>
      </c>
      <c r="B558" s="6" t="s">
        <v>646</v>
      </c>
      <c r="C558" s="6" t="s">
        <v>731</v>
      </c>
      <c r="D558" s="6">
        <v>1</v>
      </c>
      <c r="E558" s="6" t="s">
        <v>1004</v>
      </c>
      <c r="F558" s="6" t="s">
        <v>973</v>
      </c>
      <c r="G558" s="6" t="s">
        <v>818</v>
      </c>
      <c r="H558" s="10">
        <f t="shared" si="8"/>
        <v>131.25</v>
      </c>
      <c r="I558" s="6" t="s">
        <v>862</v>
      </c>
    </row>
    <row r="559" spans="1:9" x14ac:dyDescent="0.3">
      <c r="A559" s="6" t="s">
        <v>1582</v>
      </c>
      <c r="B559" s="6" t="s">
        <v>650</v>
      </c>
      <c r="C559" s="6" t="s">
        <v>238</v>
      </c>
      <c r="D559" s="6">
        <v>1</v>
      </c>
      <c r="E559" s="6" t="s">
        <v>827</v>
      </c>
      <c r="F559" s="6" t="s">
        <v>846</v>
      </c>
      <c r="G559" s="6" t="s">
        <v>1583</v>
      </c>
      <c r="H559" s="10">
        <f t="shared" si="8"/>
        <v>333.75</v>
      </c>
      <c r="I559" s="6" t="s">
        <v>1425</v>
      </c>
    </row>
    <row r="560" spans="1:9" x14ac:dyDescent="0.3">
      <c r="A560" s="6" t="s">
        <v>1584</v>
      </c>
      <c r="B560" s="6" t="s">
        <v>650</v>
      </c>
      <c r="C560" s="6" t="s">
        <v>650</v>
      </c>
      <c r="D560" s="10">
        <v>0</v>
      </c>
      <c r="E560" s="6" t="s">
        <v>826</v>
      </c>
      <c r="F560" s="6" t="s">
        <v>819</v>
      </c>
      <c r="G560" s="6" t="s">
        <v>826</v>
      </c>
      <c r="H560" s="10">
        <f t="shared" si="8"/>
        <v>562.5</v>
      </c>
      <c r="I560" s="6" t="s">
        <v>1585</v>
      </c>
    </row>
    <row r="561" spans="1:9" x14ac:dyDescent="0.3">
      <c r="A561" s="6" t="s">
        <v>1586</v>
      </c>
      <c r="B561" s="6" t="s">
        <v>648</v>
      </c>
      <c r="C561" s="6" t="s">
        <v>672</v>
      </c>
      <c r="D561" s="6">
        <v>1</v>
      </c>
      <c r="E561" s="6" t="s">
        <v>826</v>
      </c>
      <c r="F561" s="10" t="s">
        <v>831</v>
      </c>
      <c r="G561" s="6" t="s">
        <v>887</v>
      </c>
      <c r="H561" s="10">
        <f t="shared" si="8"/>
        <v>336.25</v>
      </c>
      <c r="I561" s="6" t="s">
        <v>1452</v>
      </c>
    </row>
    <row r="562" spans="1:9" x14ac:dyDescent="0.3">
      <c r="A562" s="6" t="s">
        <v>1587</v>
      </c>
      <c r="B562" s="6" t="s">
        <v>648</v>
      </c>
      <c r="C562" s="6" t="s">
        <v>672</v>
      </c>
      <c r="D562" s="6">
        <v>1</v>
      </c>
      <c r="E562" s="6" t="s">
        <v>826</v>
      </c>
      <c r="F562" s="6" t="s">
        <v>831</v>
      </c>
      <c r="G562" s="6" t="s">
        <v>887</v>
      </c>
      <c r="H562" s="10">
        <f t="shared" si="8"/>
        <v>336.25</v>
      </c>
      <c r="I562" s="6" t="s">
        <v>1452</v>
      </c>
    </row>
    <row r="563" spans="1:9" x14ac:dyDescent="0.3">
      <c r="A563" s="6" t="s">
        <v>1588</v>
      </c>
      <c r="B563" s="6" t="s">
        <v>650</v>
      </c>
      <c r="C563" s="6" t="s">
        <v>705</v>
      </c>
      <c r="D563" s="6">
        <v>1</v>
      </c>
      <c r="E563" s="6" t="s">
        <v>826</v>
      </c>
      <c r="F563" s="10">
        <v>1E-3</v>
      </c>
      <c r="G563" s="6" t="s">
        <v>822</v>
      </c>
      <c r="H563" s="10">
        <f t="shared" si="8"/>
        <v>741.25</v>
      </c>
      <c r="I563" s="6" t="s">
        <v>829</v>
      </c>
    </row>
    <row r="564" spans="1:9" x14ac:dyDescent="0.3">
      <c r="A564" s="6" t="s">
        <v>2950</v>
      </c>
      <c r="B564" s="6" t="s">
        <v>652</v>
      </c>
      <c r="C564" s="6" t="s">
        <v>632</v>
      </c>
      <c r="D564" s="6">
        <v>1</v>
      </c>
      <c r="E564" s="6">
        <v>2E-3</v>
      </c>
      <c r="F564" s="6">
        <v>8.9999999999999993E-3</v>
      </c>
      <c r="G564" s="6">
        <v>4.0000000000000001E-3</v>
      </c>
      <c r="H564" s="10">
        <f t="shared" si="8"/>
        <v>222.5</v>
      </c>
      <c r="I564" s="6">
        <v>178</v>
      </c>
    </row>
    <row r="565" spans="1:9" x14ac:dyDescent="0.3">
      <c r="A565" s="6" t="s">
        <v>2951</v>
      </c>
      <c r="B565" s="6" t="s">
        <v>2883</v>
      </c>
      <c r="C565" s="6" t="s">
        <v>654</v>
      </c>
      <c r="D565" s="6">
        <v>1</v>
      </c>
      <c r="E565" s="6">
        <v>4.2999999999999997E-2</v>
      </c>
      <c r="F565" s="6">
        <v>0.13800000000000001</v>
      </c>
      <c r="G565" s="6">
        <v>2.8000000000000001E-2</v>
      </c>
      <c r="H565" s="10">
        <f t="shared" si="8"/>
        <v>170</v>
      </c>
      <c r="I565" s="6">
        <v>136</v>
      </c>
    </row>
    <row r="566" spans="1:9" x14ac:dyDescent="0.3">
      <c r="A566" s="6" t="s">
        <v>1589</v>
      </c>
      <c r="B566" s="6" t="s">
        <v>659</v>
      </c>
      <c r="C566" s="6" t="s">
        <v>747</v>
      </c>
      <c r="D566" s="6">
        <v>1</v>
      </c>
      <c r="E566" s="6" t="s">
        <v>827</v>
      </c>
      <c r="F566" s="6" t="s">
        <v>818</v>
      </c>
      <c r="G566" s="6" t="s">
        <v>1590</v>
      </c>
      <c r="H566" s="10">
        <f t="shared" si="8"/>
        <v>583.75</v>
      </c>
      <c r="I566" s="6" t="s">
        <v>1591</v>
      </c>
    </row>
    <row r="567" spans="1:9" x14ac:dyDescent="0.3">
      <c r="A567" s="6" t="s">
        <v>1592</v>
      </c>
      <c r="B567" s="6" t="s">
        <v>664</v>
      </c>
      <c r="C567" s="6" t="s">
        <v>688</v>
      </c>
      <c r="D567" s="6">
        <v>1</v>
      </c>
      <c r="E567" s="6" t="s">
        <v>822</v>
      </c>
      <c r="F567" s="6" t="s">
        <v>818</v>
      </c>
      <c r="G567" s="6" t="s">
        <v>827</v>
      </c>
      <c r="H567" s="10">
        <f t="shared" si="8"/>
        <v>78.75</v>
      </c>
      <c r="I567" s="6" t="s">
        <v>1036</v>
      </c>
    </row>
    <row r="568" spans="1:9" x14ac:dyDescent="0.3">
      <c r="A568" s="6" t="s">
        <v>1593</v>
      </c>
      <c r="B568" s="6" t="s">
        <v>664</v>
      </c>
      <c r="C568" s="6" t="s">
        <v>749</v>
      </c>
      <c r="D568" s="6">
        <v>1</v>
      </c>
      <c r="E568" s="6" t="s">
        <v>1015</v>
      </c>
      <c r="F568" s="6" t="s">
        <v>819</v>
      </c>
      <c r="G568" s="6" t="s">
        <v>846</v>
      </c>
      <c r="H568" s="10">
        <f t="shared" si="8"/>
        <v>243.75</v>
      </c>
      <c r="I568" s="6" t="s">
        <v>976</v>
      </c>
    </row>
    <row r="569" spans="1:9" x14ac:dyDescent="0.3">
      <c r="A569" s="6" t="s">
        <v>1594</v>
      </c>
      <c r="B569" s="6" t="s">
        <v>664</v>
      </c>
      <c r="C569" s="6" t="s">
        <v>749</v>
      </c>
      <c r="D569" s="6">
        <v>1</v>
      </c>
      <c r="E569" s="6" t="s">
        <v>811</v>
      </c>
      <c r="F569" s="6" t="s">
        <v>953</v>
      </c>
      <c r="G569" s="6" t="s">
        <v>846</v>
      </c>
      <c r="H569" s="10">
        <f t="shared" si="8"/>
        <v>222.5</v>
      </c>
      <c r="I569" s="6" t="s">
        <v>820</v>
      </c>
    </row>
    <row r="570" spans="1:9" x14ac:dyDescent="0.3">
      <c r="A570" s="6" t="s">
        <v>1595</v>
      </c>
      <c r="B570" s="6" t="s">
        <v>672</v>
      </c>
      <c r="C570" s="6" t="s">
        <v>793</v>
      </c>
      <c r="D570" s="6">
        <v>1</v>
      </c>
      <c r="E570" s="6" t="s">
        <v>826</v>
      </c>
      <c r="F570" s="10">
        <v>1E-3</v>
      </c>
      <c r="G570" s="6" t="s">
        <v>885</v>
      </c>
      <c r="H570" s="10">
        <f t="shared" si="8"/>
        <v>156.25</v>
      </c>
      <c r="I570" s="6" t="s">
        <v>1596</v>
      </c>
    </row>
    <row r="571" spans="1:9" x14ac:dyDescent="0.3">
      <c r="A571" s="6" t="s">
        <v>1597</v>
      </c>
      <c r="B571" s="6" t="s">
        <v>674</v>
      </c>
      <c r="C571" s="6" t="s">
        <v>777</v>
      </c>
      <c r="D571" s="6">
        <v>1</v>
      </c>
      <c r="E571" s="6" t="s">
        <v>846</v>
      </c>
      <c r="F571" s="6" t="s">
        <v>822</v>
      </c>
      <c r="G571" s="6" t="s">
        <v>1598</v>
      </c>
      <c r="H571" s="10">
        <f t="shared" si="8"/>
        <v>156.25</v>
      </c>
      <c r="I571" s="6" t="s">
        <v>1596</v>
      </c>
    </row>
    <row r="572" spans="1:9" x14ac:dyDescent="0.3">
      <c r="A572" s="6" t="s">
        <v>2952</v>
      </c>
      <c r="B572" s="6" t="s">
        <v>678</v>
      </c>
      <c r="C572" s="6" t="s">
        <v>329</v>
      </c>
      <c r="D572" s="6">
        <v>1</v>
      </c>
      <c r="E572" s="6" t="s">
        <v>1033</v>
      </c>
      <c r="F572" s="6" t="s">
        <v>1599</v>
      </c>
      <c r="G572" s="6" t="s">
        <v>842</v>
      </c>
      <c r="H572" s="10">
        <f t="shared" si="8"/>
        <v>123.75</v>
      </c>
      <c r="I572" s="6" t="s">
        <v>812</v>
      </c>
    </row>
    <row r="573" spans="1:9" x14ac:dyDescent="0.3">
      <c r="A573" s="6" t="s">
        <v>1600</v>
      </c>
      <c r="B573" s="6" t="s">
        <v>683</v>
      </c>
      <c r="C573" s="6" t="s">
        <v>708</v>
      </c>
      <c r="D573" s="6">
        <v>1</v>
      </c>
      <c r="E573" s="6" t="s">
        <v>1033</v>
      </c>
      <c r="F573" s="6" t="s">
        <v>980</v>
      </c>
      <c r="G573" s="6" t="s">
        <v>849</v>
      </c>
      <c r="H573" s="10">
        <f t="shared" si="8"/>
        <v>118.75</v>
      </c>
      <c r="I573" s="6" t="s">
        <v>1522</v>
      </c>
    </row>
    <row r="574" spans="1:9" x14ac:dyDescent="0.3">
      <c r="A574" s="6" t="s">
        <v>1601</v>
      </c>
      <c r="B574" s="6" t="s">
        <v>695</v>
      </c>
      <c r="C574" s="6" t="s">
        <v>573</v>
      </c>
      <c r="D574" s="6">
        <v>1</v>
      </c>
      <c r="E574" s="6" t="s">
        <v>846</v>
      </c>
      <c r="F574" s="6" t="s">
        <v>911</v>
      </c>
      <c r="G574" s="6" t="s">
        <v>846</v>
      </c>
      <c r="H574" s="10">
        <f t="shared" si="8"/>
        <v>123.75</v>
      </c>
      <c r="I574" s="6" t="s">
        <v>812</v>
      </c>
    </row>
    <row r="575" spans="1:9" x14ac:dyDescent="0.3">
      <c r="A575" s="6" t="s">
        <v>1602</v>
      </c>
      <c r="B575" s="6" t="s">
        <v>700</v>
      </c>
      <c r="C575" s="6" t="s">
        <v>318</v>
      </c>
      <c r="D575" s="6">
        <v>1</v>
      </c>
      <c r="E575" s="6" t="s">
        <v>892</v>
      </c>
      <c r="F575" s="6" t="s">
        <v>856</v>
      </c>
      <c r="G575" s="6" t="s">
        <v>818</v>
      </c>
      <c r="H575" s="10">
        <f t="shared" si="8"/>
        <v>222.5</v>
      </c>
      <c r="I575" s="6" t="s">
        <v>820</v>
      </c>
    </row>
    <row r="576" spans="1:9" x14ac:dyDescent="0.3">
      <c r="A576" s="6" t="s">
        <v>1603</v>
      </c>
      <c r="B576" s="6" t="s">
        <v>700</v>
      </c>
      <c r="C576" s="6" t="s">
        <v>452</v>
      </c>
      <c r="D576" s="6">
        <v>1</v>
      </c>
      <c r="E576" s="6" t="s">
        <v>836</v>
      </c>
      <c r="F576" s="6" t="s">
        <v>1604</v>
      </c>
      <c r="G576" s="6" t="s">
        <v>858</v>
      </c>
      <c r="H576" s="10">
        <f t="shared" si="8"/>
        <v>222.5</v>
      </c>
      <c r="I576" s="6" t="s">
        <v>820</v>
      </c>
    </row>
    <row r="577" spans="1:9" x14ac:dyDescent="0.3">
      <c r="A577" s="6" t="s">
        <v>1605</v>
      </c>
      <c r="B577" s="6" t="s">
        <v>700</v>
      </c>
      <c r="C577" s="6" t="s">
        <v>720</v>
      </c>
      <c r="D577" s="6">
        <v>1</v>
      </c>
      <c r="E577" s="6" t="s">
        <v>885</v>
      </c>
      <c r="F577" s="6" t="s">
        <v>1304</v>
      </c>
      <c r="G577" s="6" t="s">
        <v>811</v>
      </c>
      <c r="H577" s="10">
        <f t="shared" si="8"/>
        <v>131.25</v>
      </c>
      <c r="I577" s="6" t="s">
        <v>862</v>
      </c>
    </row>
    <row r="578" spans="1:9" x14ac:dyDescent="0.3">
      <c r="A578" s="6" t="s">
        <v>1606</v>
      </c>
      <c r="B578" s="6" t="s">
        <v>714</v>
      </c>
      <c r="C578" s="6" t="s">
        <v>728</v>
      </c>
      <c r="D578" s="6">
        <v>1</v>
      </c>
      <c r="E578" s="6" t="s">
        <v>823</v>
      </c>
      <c r="F578" s="6" t="s">
        <v>828</v>
      </c>
      <c r="G578" s="6" t="s">
        <v>849</v>
      </c>
      <c r="H578" s="10">
        <f t="shared" si="8"/>
        <v>123.75</v>
      </c>
      <c r="I578" s="6" t="s">
        <v>812</v>
      </c>
    </row>
    <row r="579" spans="1:9" x14ac:dyDescent="0.3">
      <c r="A579" s="6" t="s">
        <v>1607</v>
      </c>
      <c r="B579" s="6" t="s">
        <v>714</v>
      </c>
      <c r="C579" s="6" t="s">
        <v>728</v>
      </c>
      <c r="D579" s="6">
        <v>1</v>
      </c>
      <c r="E579" s="6" t="s">
        <v>858</v>
      </c>
      <c r="F579" s="6" t="s">
        <v>905</v>
      </c>
      <c r="G579" s="6" t="s">
        <v>849</v>
      </c>
      <c r="H579" s="10">
        <f t="shared" ref="H579:H591" si="9">I579*1.25</f>
        <v>123.75</v>
      </c>
      <c r="I579" s="6" t="s">
        <v>812</v>
      </c>
    </row>
    <row r="580" spans="1:9" x14ac:dyDescent="0.3">
      <c r="A580" s="6" t="s">
        <v>1608</v>
      </c>
      <c r="B580" s="6" t="s">
        <v>722</v>
      </c>
      <c r="C580" s="6" t="s">
        <v>720</v>
      </c>
      <c r="D580" s="6">
        <v>1</v>
      </c>
      <c r="E580" s="6" t="s">
        <v>822</v>
      </c>
      <c r="F580" s="6" t="s">
        <v>818</v>
      </c>
      <c r="G580" s="6" t="s">
        <v>827</v>
      </c>
      <c r="H580" s="10">
        <f t="shared" si="9"/>
        <v>131.25</v>
      </c>
      <c r="I580" s="6" t="s">
        <v>862</v>
      </c>
    </row>
    <row r="581" spans="1:9" x14ac:dyDescent="0.3">
      <c r="A581" s="6" t="s">
        <v>1609</v>
      </c>
      <c r="B581" s="6" t="s">
        <v>724</v>
      </c>
      <c r="C581" s="6" t="s">
        <v>763</v>
      </c>
      <c r="D581" s="6">
        <v>1</v>
      </c>
      <c r="E581" s="6" t="s">
        <v>818</v>
      </c>
      <c r="F581" s="6" t="s">
        <v>911</v>
      </c>
      <c r="G581" s="6" t="s">
        <v>831</v>
      </c>
      <c r="H581" s="10">
        <f t="shared" si="9"/>
        <v>131.25</v>
      </c>
      <c r="I581" s="6" t="s">
        <v>862</v>
      </c>
    </row>
    <row r="582" spans="1:9" x14ac:dyDescent="0.3">
      <c r="A582" s="6" t="s">
        <v>1610</v>
      </c>
      <c r="B582" s="6" t="s">
        <v>733</v>
      </c>
      <c r="C582" s="6" t="s">
        <v>731</v>
      </c>
      <c r="D582" s="6">
        <v>1</v>
      </c>
      <c r="E582" s="6" t="s">
        <v>822</v>
      </c>
      <c r="F582" s="6" t="s">
        <v>818</v>
      </c>
      <c r="G582" s="6" t="s">
        <v>827</v>
      </c>
      <c r="H582" s="10">
        <f t="shared" si="9"/>
        <v>131.25</v>
      </c>
      <c r="I582" s="6" t="s">
        <v>862</v>
      </c>
    </row>
    <row r="583" spans="1:9" x14ac:dyDescent="0.3">
      <c r="A583" s="6" t="s">
        <v>1611</v>
      </c>
      <c r="B583" s="6" t="s">
        <v>741</v>
      </c>
      <c r="C583" s="6" t="s">
        <v>767</v>
      </c>
      <c r="D583" s="6">
        <v>1</v>
      </c>
      <c r="E583" s="6" t="s">
        <v>827</v>
      </c>
      <c r="F583" s="6" t="s">
        <v>847</v>
      </c>
      <c r="G583" s="6" t="s">
        <v>920</v>
      </c>
      <c r="H583" s="10">
        <f t="shared" si="9"/>
        <v>887.5</v>
      </c>
      <c r="I583" s="6" t="s">
        <v>1022</v>
      </c>
    </row>
    <row r="584" spans="1:9" x14ac:dyDescent="0.3">
      <c r="A584" s="6" t="s">
        <v>1612</v>
      </c>
      <c r="B584" s="6" t="s">
        <v>741</v>
      </c>
      <c r="C584" s="6" t="s">
        <v>767</v>
      </c>
      <c r="D584" s="6">
        <v>1</v>
      </c>
      <c r="E584" s="6" t="s">
        <v>827</v>
      </c>
      <c r="F584" s="6" t="s">
        <v>847</v>
      </c>
      <c r="G584" s="6" t="s">
        <v>920</v>
      </c>
      <c r="H584" s="10">
        <f t="shared" si="9"/>
        <v>887.5</v>
      </c>
      <c r="I584" s="6" t="s">
        <v>1022</v>
      </c>
    </row>
    <row r="585" spans="1:9" x14ac:dyDescent="0.3">
      <c r="A585" s="6" t="s">
        <v>1613</v>
      </c>
      <c r="B585" s="6" t="s">
        <v>739</v>
      </c>
      <c r="C585" s="6" t="s">
        <v>788</v>
      </c>
      <c r="D585" s="6">
        <v>1</v>
      </c>
      <c r="E585" s="6" t="s">
        <v>938</v>
      </c>
      <c r="F585" s="6" t="s">
        <v>1145</v>
      </c>
      <c r="G585" s="6" t="s">
        <v>846</v>
      </c>
      <c r="H585" s="10">
        <f t="shared" si="9"/>
        <v>98.75</v>
      </c>
      <c r="I585" s="6" t="s">
        <v>1048</v>
      </c>
    </row>
    <row r="586" spans="1:9" x14ac:dyDescent="0.3">
      <c r="A586" s="6" t="s">
        <v>1614</v>
      </c>
      <c r="B586" s="6" t="s">
        <v>739</v>
      </c>
      <c r="C586" s="6" t="s">
        <v>788</v>
      </c>
      <c r="D586" s="6">
        <v>1</v>
      </c>
      <c r="E586" s="6" t="s">
        <v>938</v>
      </c>
      <c r="F586" s="6" t="s">
        <v>1145</v>
      </c>
      <c r="G586" s="6" t="s">
        <v>846</v>
      </c>
      <c r="H586" s="10">
        <f t="shared" si="9"/>
        <v>98.75</v>
      </c>
      <c r="I586" s="6" t="s">
        <v>1048</v>
      </c>
    </row>
    <row r="587" spans="1:9" x14ac:dyDescent="0.3">
      <c r="A587" s="6" t="s">
        <v>1615</v>
      </c>
      <c r="B587" s="6" t="s">
        <v>753</v>
      </c>
      <c r="C587" s="6" t="s">
        <v>751</v>
      </c>
      <c r="D587" s="6">
        <v>1</v>
      </c>
      <c r="E587" s="6" t="s">
        <v>846</v>
      </c>
      <c r="F587" s="6" t="s">
        <v>882</v>
      </c>
      <c r="G587" s="6" t="s">
        <v>827</v>
      </c>
      <c r="H587" s="10">
        <f t="shared" si="9"/>
        <v>131.25</v>
      </c>
      <c r="I587" s="6" t="s">
        <v>862</v>
      </c>
    </row>
    <row r="588" spans="1:9" x14ac:dyDescent="0.3">
      <c r="A588" s="6" t="s">
        <v>1616</v>
      </c>
      <c r="B588" s="6" t="s">
        <v>758</v>
      </c>
      <c r="C588" s="6" t="s">
        <v>452</v>
      </c>
      <c r="D588" s="6">
        <v>1</v>
      </c>
      <c r="E588" s="6" t="s">
        <v>1015</v>
      </c>
      <c r="F588" s="6" t="s">
        <v>924</v>
      </c>
      <c r="G588" s="6" t="s">
        <v>842</v>
      </c>
      <c r="H588" s="10">
        <f t="shared" si="9"/>
        <v>222.5</v>
      </c>
      <c r="I588" s="6" t="s">
        <v>820</v>
      </c>
    </row>
    <row r="589" spans="1:9" x14ac:dyDescent="0.3">
      <c r="A589" s="6" t="s">
        <v>1617</v>
      </c>
      <c r="B589" s="6" t="s">
        <v>772</v>
      </c>
      <c r="C589" s="6" t="s">
        <v>765</v>
      </c>
      <c r="D589" s="6">
        <v>1</v>
      </c>
      <c r="E589" s="6" t="s">
        <v>850</v>
      </c>
      <c r="F589" s="6" t="s">
        <v>1272</v>
      </c>
      <c r="G589" s="6" t="s">
        <v>850</v>
      </c>
      <c r="H589" s="10">
        <f t="shared" si="9"/>
        <v>232.5</v>
      </c>
      <c r="I589" s="6" t="s">
        <v>1200</v>
      </c>
    </row>
    <row r="590" spans="1:9" x14ac:dyDescent="0.3">
      <c r="A590" s="6" t="s">
        <v>1618</v>
      </c>
      <c r="B590" s="6" t="s">
        <v>777</v>
      </c>
      <c r="C590" s="6" t="s">
        <v>642</v>
      </c>
      <c r="D590" s="6">
        <v>1</v>
      </c>
      <c r="E590" s="6" t="s">
        <v>818</v>
      </c>
      <c r="F590" s="6" t="s">
        <v>819</v>
      </c>
      <c r="G590" s="6" t="s">
        <v>849</v>
      </c>
      <c r="H590" s="10">
        <f t="shared" si="9"/>
        <v>222.5</v>
      </c>
      <c r="I590" s="6" t="s">
        <v>820</v>
      </c>
    </row>
    <row r="591" spans="1:9" x14ac:dyDescent="0.3">
      <c r="A591" s="6" t="s">
        <v>1619</v>
      </c>
      <c r="B591" s="6" t="s">
        <v>805</v>
      </c>
      <c r="C591" s="6" t="s">
        <v>661</v>
      </c>
      <c r="D591" s="6">
        <v>1</v>
      </c>
      <c r="E591" s="6" t="s">
        <v>826</v>
      </c>
      <c r="F591" s="10">
        <v>1E-3</v>
      </c>
      <c r="G591" s="6" t="s">
        <v>1000</v>
      </c>
      <c r="H591" s="10">
        <f t="shared" si="9"/>
        <v>856.25</v>
      </c>
      <c r="I591" s="6" t="s">
        <v>1620</v>
      </c>
    </row>
  </sheetData>
  <autoFilter ref="A1:I551" xr:uid="{00000000-0001-0000-0200-000000000000}"/>
  <pageMargins left="0.7" right="0.7" top="0.75" bottom="0.75" header="0.51180555555555496" footer="0.51180555555555496"/>
  <pageSetup paperSize="9" firstPageNumber="0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6F33-5B9B-43B3-9E39-47ED1E709933}">
  <sheetPr>
    <tabColor theme="4" tint="0.79998168889431442"/>
  </sheetPr>
  <dimension ref="A1:VO49"/>
  <sheetViews>
    <sheetView tabSelected="1" zoomScale="85" zoomScaleNormal="85" workbookViewId="0">
      <selection activeCell="D22" sqref="D22"/>
    </sheetView>
  </sheetViews>
  <sheetFormatPr defaultColWidth="8.77734375" defaultRowHeight="14.4" x14ac:dyDescent="0.3"/>
  <cols>
    <col min="1" max="1" width="13.77734375" bestFit="1" customWidth="1"/>
    <col min="2" max="3" width="21.77734375" bestFit="1" customWidth="1"/>
    <col min="4" max="4" width="21.109375" bestFit="1" customWidth="1"/>
    <col min="5" max="5" width="22.77734375" bestFit="1" customWidth="1"/>
    <col min="6" max="6" width="20.5546875" bestFit="1" customWidth="1"/>
    <col min="7" max="7" width="22.109375" bestFit="1" customWidth="1"/>
    <col min="8" max="9" width="21.5546875" bestFit="1" customWidth="1"/>
    <col min="10" max="10" width="20.88671875" bestFit="1" customWidth="1"/>
    <col min="11" max="11" width="21.44140625" bestFit="1" customWidth="1"/>
    <col min="12" max="12" width="21.77734375" bestFit="1" customWidth="1"/>
    <col min="13" max="13" width="23.5546875" bestFit="1" customWidth="1"/>
    <col min="14" max="14" width="22.88671875" bestFit="1" customWidth="1"/>
    <col min="15" max="15" width="24.77734375" bestFit="1" customWidth="1"/>
    <col min="16" max="16" width="22.6640625" bestFit="1" customWidth="1"/>
    <col min="17" max="17" width="22.77734375" bestFit="1" customWidth="1"/>
    <col min="18" max="18" width="21.109375" bestFit="1" customWidth="1"/>
    <col min="19" max="19" width="22.5546875" bestFit="1" customWidth="1"/>
    <col min="20" max="20" width="23.21875" bestFit="1" customWidth="1"/>
    <col min="21" max="22" width="23.77734375" bestFit="1" customWidth="1"/>
    <col min="23" max="23" width="21.88671875" bestFit="1" customWidth="1"/>
    <col min="24" max="24" width="21.5546875" bestFit="1" customWidth="1"/>
    <col min="25" max="25" width="22.5546875" bestFit="1" customWidth="1"/>
    <col min="26" max="27" width="22.88671875" bestFit="1" customWidth="1"/>
    <col min="28" max="28" width="22.44140625" bestFit="1" customWidth="1"/>
    <col min="29" max="29" width="22.21875" bestFit="1" customWidth="1"/>
    <col min="30" max="30" width="21.77734375" bestFit="1" customWidth="1"/>
    <col min="31" max="31" width="23.109375" bestFit="1" customWidth="1"/>
    <col min="32" max="32" width="22.5546875" bestFit="1" customWidth="1"/>
    <col min="33" max="33" width="23.33203125" bestFit="1" customWidth="1"/>
    <col min="34" max="34" width="22.88671875" bestFit="1" customWidth="1"/>
    <col min="35" max="36" width="21.88671875" bestFit="1" customWidth="1"/>
    <col min="37" max="37" width="22.6640625" bestFit="1" customWidth="1"/>
    <col min="38" max="38" width="22.44140625" bestFit="1" customWidth="1"/>
    <col min="39" max="39" width="21.109375" bestFit="1" customWidth="1"/>
    <col min="40" max="40" width="21.21875" bestFit="1" customWidth="1"/>
    <col min="41" max="42" width="22.21875" bestFit="1" customWidth="1"/>
    <col min="43" max="43" width="22.77734375" bestFit="1" customWidth="1"/>
    <col min="44" max="44" width="21.77734375" bestFit="1" customWidth="1"/>
    <col min="45" max="46" width="23.33203125" bestFit="1" customWidth="1"/>
    <col min="47" max="47" width="22.88671875" bestFit="1" customWidth="1"/>
    <col min="48" max="48" width="23.6640625" bestFit="1" customWidth="1"/>
    <col min="49" max="50" width="21.5546875" bestFit="1" customWidth="1"/>
    <col min="51" max="51" width="22.5546875" bestFit="1" customWidth="1"/>
    <col min="52" max="52" width="22.21875" bestFit="1" customWidth="1"/>
    <col min="53" max="55" width="22.109375" bestFit="1" customWidth="1"/>
    <col min="56" max="56" width="23.33203125" bestFit="1" customWidth="1"/>
    <col min="57" max="57" width="22.6640625" bestFit="1" customWidth="1"/>
    <col min="58" max="59" width="24.5546875" bestFit="1" customWidth="1"/>
    <col min="60" max="60" width="22.77734375" bestFit="1" customWidth="1"/>
    <col min="61" max="61" width="22.88671875" bestFit="1" customWidth="1"/>
    <col min="62" max="62" width="22.77734375" bestFit="1" customWidth="1"/>
    <col min="63" max="63" width="23.6640625" bestFit="1" customWidth="1"/>
    <col min="64" max="64" width="23.44140625" bestFit="1" customWidth="1"/>
    <col min="65" max="65" width="22.6640625" bestFit="1" customWidth="1"/>
    <col min="66" max="66" width="23.21875" bestFit="1" customWidth="1"/>
    <col min="67" max="67" width="23" bestFit="1" customWidth="1"/>
    <col min="68" max="68" width="22.5546875" bestFit="1" customWidth="1"/>
    <col min="69" max="69" width="23.109375" bestFit="1" customWidth="1"/>
    <col min="70" max="70" width="20.6640625" bestFit="1" customWidth="1"/>
    <col min="71" max="71" width="21.21875" bestFit="1" customWidth="1"/>
    <col min="72" max="72" width="21.109375" bestFit="1" customWidth="1"/>
    <col min="73" max="73" width="22.109375" bestFit="1" customWidth="1"/>
    <col min="74" max="74" width="21.88671875" bestFit="1" customWidth="1"/>
    <col min="75" max="76" width="20.6640625" bestFit="1" customWidth="1"/>
    <col min="77" max="77" width="22.44140625" bestFit="1" customWidth="1"/>
    <col min="78" max="79" width="22.109375" bestFit="1" customWidth="1"/>
    <col min="80" max="80" width="22.21875" bestFit="1" customWidth="1"/>
    <col min="81" max="81" width="20.88671875" bestFit="1" customWidth="1"/>
    <col min="82" max="82" width="21.5546875" bestFit="1" customWidth="1"/>
    <col min="83" max="83" width="22.44140625" bestFit="1" customWidth="1"/>
    <col min="84" max="84" width="22.33203125" bestFit="1" customWidth="1"/>
    <col min="85" max="85" width="22.109375" bestFit="1" customWidth="1"/>
    <col min="86" max="86" width="21.6640625" bestFit="1" customWidth="1"/>
    <col min="87" max="90" width="24.21875" bestFit="1" customWidth="1"/>
    <col min="91" max="92" width="25.33203125" bestFit="1" customWidth="1"/>
    <col min="93" max="93" width="22.88671875" bestFit="1" customWidth="1"/>
    <col min="94" max="94" width="22.5546875" bestFit="1" customWidth="1"/>
    <col min="95" max="95" width="22.6640625" bestFit="1" customWidth="1"/>
    <col min="96" max="96" width="22.21875" bestFit="1" customWidth="1"/>
    <col min="97" max="98" width="24" bestFit="1" customWidth="1"/>
    <col min="99" max="101" width="23.6640625" bestFit="1" customWidth="1"/>
    <col min="102" max="102" width="24.109375" bestFit="1" customWidth="1"/>
    <col min="103" max="103" width="23.21875" bestFit="1" customWidth="1"/>
    <col min="104" max="104" width="24.6640625" bestFit="1" customWidth="1"/>
    <col min="105" max="105" width="24" bestFit="1" customWidth="1"/>
    <col min="106" max="107" width="22.21875" bestFit="1" customWidth="1"/>
    <col min="108" max="109" width="22.109375" bestFit="1" customWidth="1"/>
    <col min="110" max="110" width="22.44140625" bestFit="1" customWidth="1"/>
    <col min="111" max="111" width="22.5546875" bestFit="1" customWidth="1"/>
    <col min="112" max="113" width="23.77734375" bestFit="1" customWidth="1"/>
    <col min="114" max="115" width="24" bestFit="1" customWidth="1"/>
    <col min="116" max="116" width="22.33203125" bestFit="1" customWidth="1"/>
    <col min="117" max="117" width="22.109375" bestFit="1" customWidth="1"/>
    <col min="118" max="118" width="22.44140625" bestFit="1" customWidth="1"/>
    <col min="119" max="119" width="23.21875" bestFit="1" customWidth="1"/>
    <col min="120" max="121" width="22.21875" bestFit="1" customWidth="1"/>
    <col min="122" max="122" width="22.5546875" bestFit="1" customWidth="1"/>
    <col min="123" max="123" width="23.109375" bestFit="1" customWidth="1"/>
    <col min="124" max="124" width="22.88671875" bestFit="1" customWidth="1"/>
    <col min="125" max="125" width="23.109375" bestFit="1" customWidth="1"/>
    <col min="126" max="126" width="22.33203125" bestFit="1" customWidth="1"/>
    <col min="127" max="127" width="21.77734375" bestFit="1" customWidth="1"/>
    <col min="128" max="131" width="24" bestFit="1" customWidth="1"/>
    <col min="132" max="133" width="23.88671875" bestFit="1" customWidth="1"/>
    <col min="134" max="135" width="24.33203125" bestFit="1" customWidth="1"/>
    <col min="136" max="137" width="24.21875" bestFit="1" customWidth="1"/>
    <col min="138" max="138" width="23.5546875" bestFit="1" customWidth="1"/>
    <col min="139" max="140" width="24.21875" bestFit="1" customWidth="1"/>
    <col min="141" max="144" width="24" bestFit="1" customWidth="1"/>
    <col min="145" max="145" width="24.109375" bestFit="1" customWidth="1"/>
    <col min="146" max="146" width="22.33203125" bestFit="1" customWidth="1"/>
    <col min="147" max="147" width="21.44140625" bestFit="1" customWidth="1"/>
    <col min="148" max="148" width="22.6640625" bestFit="1" customWidth="1"/>
    <col min="149" max="149" width="22.33203125" bestFit="1" customWidth="1"/>
    <col min="150" max="150" width="22.109375" bestFit="1" customWidth="1"/>
    <col min="151" max="152" width="21.88671875" bestFit="1" customWidth="1"/>
    <col min="153" max="154" width="22.88671875" bestFit="1" customWidth="1"/>
    <col min="155" max="155" width="21.109375" bestFit="1" customWidth="1"/>
    <col min="156" max="156" width="22.109375" bestFit="1" customWidth="1"/>
    <col min="157" max="157" width="22.88671875" bestFit="1" customWidth="1"/>
    <col min="158" max="159" width="22.109375" bestFit="1" customWidth="1"/>
    <col min="160" max="160" width="21.88671875" bestFit="1" customWidth="1"/>
    <col min="161" max="161" width="22.6640625" bestFit="1" customWidth="1"/>
    <col min="162" max="162" width="22.88671875" bestFit="1" customWidth="1"/>
    <col min="163" max="163" width="22.44140625" bestFit="1" customWidth="1"/>
    <col min="164" max="165" width="22.6640625" bestFit="1" customWidth="1"/>
    <col min="166" max="166" width="23.88671875" bestFit="1" customWidth="1"/>
    <col min="167" max="167" width="22" bestFit="1" customWidth="1"/>
    <col min="168" max="168" width="22.6640625" bestFit="1" customWidth="1"/>
    <col min="169" max="169" width="22.33203125" bestFit="1" customWidth="1"/>
    <col min="170" max="171" width="24" bestFit="1" customWidth="1"/>
    <col min="172" max="172" width="21.77734375" bestFit="1" customWidth="1"/>
    <col min="173" max="173" width="21.109375" bestFit="1" customWidth="1"/>
    <col min="174" max="174" width="19.5546875" bestFit="1" customWidth="1"/>
    <col min="175" max="176" width="20.88671875" bestFit="1" customWidth="1"/>
    <col min="177" max="177" width="21.21875" bestFit="1" customWidth="1"/>
    <col min="178" max="179" width="20.88671875" bestFit="1" customWidth="1"/>
    <col min="180" max="180" width="22.5546875" bestFit="1" customWidth="1"/>
    <col min="181" max="182" width="22.44140625" bestFit="1" customWidth="1"/>
    <col min="183" max="183" width="23" bestFit="1" customWidth="1"/>
    <col min="184" max="184" width="22.109375" bestFit="1" customWidth="1"/>
    <col min="185" max="186" width="22.44140625" bestFit="1" customWidth="1"/>
    <col min="187" max="187" width="22.77734375" bestFit="1" customWidth="1"/>
    <col min="188" max="188" width="22.88671875" bestFit="1" customWidth="1"/>
    <col min="189" max="189" width="23.33203125" bestFit="1" customWidth="1"/>
    <col min="190" max="190" width="23" bestFit="1" customWidth="1"/>
    <col min="191" max="192" width="22.6640625" bestFit="1" customWidth="1"/>
    <col min="193" max="193" width="22.21875" bestFit="1" customWidth="1"/>
    <col min="194" max="194" width="22.88671875" bestFit="1" customWidth="1"/>
    <col min="195" max="195" width="22.44140625" bestFit="1" customWidth="1"/>
    <col min="196" max="196" width="22.88671875" bestFit="1" customWidth="1"/>
    <col min="197" max="198" width="22.33203125" bestFit="1" customWidth="1"/>
    <col min="199" max="199" width="22.88671875" bestFit="1" customWidth="1"/>
    <col min="200" max="200" width="22.21875" bestFit="1" customWidth="1"/>
    <col min="201" max="202" width="22.88671875" bestFit="1" customWidth="1"/>
    <col min="203" max="203" width="22.33203125" bestFit="1" customWidth="1"/>
    <col min="204" max="204" width="23.109375" bestFit="1" customWidth="1"/>
    <col min="205" max="205" width="22.6640625" bestFit="1" customWidth="1"/>
    <col min="206" max="206" width="21.77734375" bestFit="1" customWidth="1"/>
    <col min="207" max="207" width="21.5546875" bestFit="1" customWidth="1"/>
    <col min="208" max="208" width="21.77734375" bestFit="1" customWidth="1"/>
    <col min="209" max="210" width="20.88671875" bestFit="1" customWidth="1"/>
    <col min="211" max="211" width="22.5546875" bestFit="1" customWidth="1"/>
    <col min="212" max="212" width="22.88671875" bestFit="1" customWidth="1"/>
    <col min="213" max="214" width="22.21875" bestFit="1" customWidth="1"/>
    <col min="215" max="216" width="22.6640625" bestFit="1" customWidth="1"/>
    <col min="217" max="217" width="21.77734375" bestFit="1" customWidth="1"/>
    <col min="218" max="219" width="23.6640625" bestFit="1" customWidth="1"/>
    <col min="220" max="221" width="24" bestFit="1" customWidth="1"/>
    <col min="222" max="222" width="23.6640625" bestFit="1" customWidth="1"/>
    <col min="223" max="224" width="22.44140625" bestFit="1" customWidth="1"/>
    <col min="225" max="225" width="23.77734375" bestFit="1" customWidth="1"/>
    <col min="226" max="226" width="23.44140625" bestFit="1" customWidth="1"/>
    <col min="227" max="229" width="22" bestFit="1" customWidth="1"/>
    <col min="230" max="231" width="23.33203125" bestFit="1" customWidth="1"/>
    <col min="232" max="232" width="23.21875" bestFit="1" customWidth="1"/>
    <col min="233" max="233" width="23.5546875" bestFit="1" customWidth="1"/>
    <col min="234" max="234" width="22.77734375" bestFit="1" customWidth="1"/>
    <col min="235" max="235" width="22.21875" bestFit="1" customWidth="1"/>
    <col min="236" max="236" width="24.109375" bestFit="1" customWidth="1"/>
    <col min="237" max="237" width="23.44140625" bestFit="1" customWidth="1"/>
    <col min="238" max="239" width="24" bestFit="1" customWidth="1"/>
    <col min="240" max="241" width="24.6640625" bestFit="1" customWidth="1"/>
    <col min="242" max="244" width="23.44140625" bestFit="1" customWidth="1"/>
    <col min="245" max="246" width="23" bestFit="1" customWidth="1"/>
    <col min="247" max="247" width="23.77734375" bestFit="1" customWidth="1"/>
    <col min="248" max="248" width="25" bestFit="1" customWidth="1"/>
    <col min="249" max="250" width="23.21875" bestFit="1" customWidth="1"/>
    <col min="251" max="251" width="20.88671875" bestFit="1" customWidth="1"/>
    <col min="252" max="252" width="22.44140625" bestFit="1" customWidth="1"/>
    <col min="253" max="253" width="22.21875" bestFit="1" customWidth="1"/>
    <col min="254" max="254" width="22" bestFit="1" customWidth="1"/>
    <col min="255" max="255" width="22.6640625" bestFit="1" customWidth="1"/>
    <col min="256" max="256" width="21.88671875" bestFit="1" customWidth="1"/>
    <col min="257" max="259" width="22.33203125" bestFit="1" customWidth="1"/>
    <col min="260" max="260" width="22.44140625" bestFit="1" customWidth="1"/>
    <col min="261" max="261" width="21.88671875" bestFit="1" customWidth="1"/>
    <col min="262" max="262" width="23" bestFit="1" customWidth="1"/>
    <col min="263" max="263" width="22.33203125" bestFit="1" customWidth="1"/>
    <col min="264" max="266" width="21.77734375" bestFit="1" customWidth="1"/>
    <col min="267" max="267" width="22.88671875" bestFit="1" customWidth="1"/>
    <col min="268" max="268" width="20.6640625" bestFit="1" customWidth="1"/>
    <col min="269" max="269" width="22.33203125" bestFit="1" customWidth="1"/>
    <col min="270" max="270" width="23" bestFit="1" customWidth="1"/>
    <col min="271" max="271" width="22.77734375" bestFit="1" customWidth="1"/>
    <col min="272" max="272" width="21.77734375" bestFit="1" customWidth="1"/>
    <col min="273" max="273" width="23.109375" bestFit="1" customWidth="1"/>
    <col min="274" max="274" width="22.88671875" bestFit="1" customWidth="1"/>
    <col min="275" max="275" width="22.77734375" bestFit="1" customWidth="1"/>
    <col min="276" max="276" width="23.21875" bestFit="1" customWidth="1"/>
    <col min="277" max="277" width="21.77734375" bestFit="1" customWidth="1"/>
    <col min="278" max="278" width="24" bestFit="1" customWidth="1"/>
    <col min="279" max="279" width="22.88671875" bestFit="1" customWidth="1"/>
    <col min="280" max="280" width="23.109375" bestFit="1" customWidth="1"/>
    <col min="281" max="281" width="22.33203125" bestFit="1" customWidth="1"/>
    <col min="282" max="282" width="22.6640625" bestFit="1" customWidth="1"/>
    <col min="283" max="283" width="23" bestFit="1" customWidth="1"/>
    <col min="284" max="284" width="21.88671875" bestFit="1" customWidth="1"/>
    <col min="285" max="285" width="22.44140625" bestFit="1" customWidth="1"/>
    <col min="286" max="286" width="23" bestFit="1" customWidth="1"/>
    <col min="287" max="287" width="22.109375" bestFit="1" customWidth="1"/>
    <col min="288" max="288" width="22.33203125" bestFit="1" customWidth="1"/>
    <col min="289" max="289" width="21.77734375" bestFit="1" customWidth="1"/>
    <col min="290" max="290" width="23.6640625" bestFit="1" customWidth="1"/>
    <col min="291" max="291" width="23.33203125" bestFit="1" customWidth="1"/>
    <col min="292" max="292" width="23.77734375" bestFit="1" customWidth="1"/>
    <col min="293" max="294" width="24" bestFit="1" customWidth="1"/>
    <col min="295" max="296" width="25" bestFit="1" customWidth="1"/>
    <col min="297" max="297" width="23" bestFit="1" customWidth="1"/>
    <col min="298" max="298" width="22.6640625" bestFit="1" customWidth="1"/>
    <col min="299" max="299" width="23.5546875" bestFit="1" customWidth="1"/>
    <col min="300" max="301" width="24.6640625" bestFit="1" customWidth="1"/>
    <col min="302" max="303" width="25.21875" bestFit="1" customWidth="1"/>
    <col min="304" max="304" width="24.6640625" bestFit="1" customWidth="1"/>
    <col min="305" max="305" width="23" bestFit="1" customWidth="1"/>
    <col min="306" max="308" width="24.5546875" bestFit="1" customWidth="1"/>
    <col min="309" max="310" width="25.109375" bestFit="1" customWidth="1"/>
    <col min="311" max="311" width="22.88671875" bestFit="1" customWidth="1"/>
    <col min="312" max="312" width="22.5546875" bestFit="1" customWidth="1"/>
    <col min="313" max="313" width="22.109375" bestFit="1" customWidth="1"/>
    <col min="314" max="314" width="21.88671875" bestFit="1" customWidth="1"/>
    <col min="315" max="317" width="23.109375" bestFit="1" customWidth="1"/>
    <col min="318" max="318" width="21.88671875" bestFit="1" customWidth="1"/>
    <col min="319" max="319" width="21.44140625" bestFit="1" customWidth="1"/>
    <col min="320" max="320" width="22.33203125" bestFit="1" customWidth="1"/>
    <col min="321" max="321" width="22" bestFit="1" customWidth="1"/>
    <col min="322" max="322" width="22.88671875" bestFit="1" customWidth="1"/>
    <col min="323" max="323" width="25.5546875" bestFit="1" customWidth="1"/>
    <col min="324" max="326" width="25.21875" bestFit="1" customWidth="1"/>
    <col min="327" max="327" width="22.21875" bestFit="1" customWidth="1"/>
    <col min="328" max="329" width="21.77734375" bestFit="1" customWidth="1"/>
    <col min="330" max="330" width="22.109375" bestFit="1" customWidth="1"/>
    <col min="331" max="331" width="20.88671875" bestFit="1" customWidth="1"/>
    <col min="332" max="332" width="22.5546875" bestFit="1" customWidth="1"/>
    <col min="333" max="333" width="21.6640625" bestFit="1" customWidth="1"/>
    <col min="334" max="335" width="21.77734375" bestFit="1" customWidth="1"/>
    <col min="336" max="336" width="21.44140625" bestFit="1" customWidth="1"/>
    <col min="337" max="337" width="21.77734375" bestFit="1" customWidth="1"/>
    <col min="338" max="339" width="23.88671875" bestFit="1" customWidth="1"/>
    <col min="340" max="340" width="21.21875" bestFit="1" customWidth="1"/>
    <col min="341" max="341" width="22.109375" bestFit="1" customWidth="1"/>
    <col min="342" max="342" width="21.5546875" bestFit="1" customWidth="1"/>
    <col min="343" max="343" width="20.77734375" bestFit="1" customWidth="1"/>
    <col min="344" max="344" width="21.88671875" bestFit="1" customWidth="1"/>
    <col min="345" max="345" width="22.33203125" bestFit="1" customWidth="1"/>
    <col min="346" max="347" width="22.21875" bestFit="1" customWidth="1"/>
    <col min="348" max="348" width="21.6640625" bestFit="1" customWidth="1"/>
    <col min="349" max="349" width="22.109375" bestFit="1" customWidth="1"/>
    <col min="350" max="351" width="22" bestFit="1" customWidth="1"/>
    <col min="352" max="352" width="23.21875" bestFit="1" customWidth="1"/>
    <col min="353" max="353" width="22.44140625" bestFit="1" customWidth="1"/>
    <col min="354" max="355" width="22.33203125" bestFit="1" customWidth="1"/>
    <col min="356" max="357" width="23.21875" bestFit="1" customWidth="1"/>
    <col min="358" max="358" width="22.88671875" bestFit="1" customWidth="1"/>
    <col min="359" max="359" width="20.5546875" bestFit="1" customWidth="1"/>
    <col min="360" max="360" width="20.21875" bestFit="1" customWidth="1"/>
    <col min="361" max="361" width="21.44140625" bestFit="1" customWidth="1"/>
    <col min="362" max="362" width="21.5546875" bestFit="1" customWidth="1"/>
    <col min="363" max="364" width="21.6640625" bestFit="1" customWidth="1"/>
    <col min="365" max="365" width="20.88671875" bestFit="1" customWidth="1"/>
    <col min="366" max="366" width="23" bestFit="1" customWidth="1"/>
    <col min="367" max="367" width="22.44140625" bestFit="1" customWidth="1"/>
    <col min="368" max="368" width="22.109375" bestFit="1" customWidth="1"/>
    <col min="369" max="370" width="23.33203125" bestFit="1" customWidth="1"/>
    <col min="371" max="371" width="22.77734375" bestFit="1" customWidth="1"/>
    <col min="372" max="372" width="22.88671875" bestFit="1" customWidth="1"/>
    <col min="373" max="374" width="23.44140625" bestFit="1" customWidth="1"/>
    <col min="375" max="378" width="23.109375" bestFit="1" customWidth="1"/>
    <col min="379" max="379" width="22.44140625" bestFit="1" customWidth="1"/>
    <col min="380" max="380" width="25.33203125" bestFit="1" customWidth="1"/>
    <col min="381" max="381" width="25.109375" bestFit="1" customWidth="1"/>
    <col min="382" max="382" width="22.88671875" bestFit="1" customWidth="1"/>
    <col min="383" max="383" width="22.77734375" bestFit="1" customWidth="1"/>
    <col min="384" max="384" width="21.77734375" bestFit="1" customWidth="1"/>
    <col min="385" max="385" width="22.77734375" bestFit="1" customWidth="1"/>
    <col min="386" max="386" width="24.33203125" bestFit="1" customWidth="1"/>
    <col min="387" max="388" width="23.33203125" bestFit="1" customWidth="1"/>
    <col min="389" max="389" width="21.44140625" bestFit="1" customWidth="1"/>
    <col min="390" max="390" width="22.21875" bestFit="1" customWidth="1"/>
    <col min="391" max="391" width="21.5546875" bestFit="1" customWidth="1"/>
    <col min="392" max="392" width="20.77734375" bestFit="1" customWidth="1"/>
    <col min="393" max="393" width="21.21875" bestFit="1" customWidth="1"/>
    <col min="394" max="394" width="21.77734375" bestFit="1" customWidth="1"/>
    <col min="395" max="396" width="20.6640625" bestFit="1" customWidth="1"/>
    <col min="397" max="397" width="21.21875" bestFit="1" customWidth="1"/>
    <col min="398" max="399" width="22.21875" bestFit="1" customWidth="1"/>
    <col min="400" max="400" width="22.6640625" bestFit="1" customWidth="1"/>
    <col min="401" max="402" width="21.77734375" bestFit="1" customWidth="1"/>
    <col min="403" max="404" width="23.109375" bestFit="1" customWidth="1"/>
    <col min="405" max="405" width="24.44140625" bestFit="1" customWidth="1"/>
    <col min="406" max="406" width="23.21875" bestFit="1" customWidth="1"/>
    <col min="407" max="407" width="22.88671875" bestFit="1" customWidth="1"/>
    <col min="408" max="408" width="21.77734375" bestFit="1" customWidth="1"/>
    <col min="409" max="409" width="22.44140625" bestFit="1" customWidth="1"/>
    <col min="410" max="410" width="22.33203125" bestFit="1" customWidth="1"/>
    <col min="411" max="411" width="22.77734375" bestFit="1" customWidth="1"/>
    <col min="412" max="412" width="22.6640625" bestFit="1" customWidth="1"/>
    <col min="413" max="413" width="22.44140625" bestFit="1" customWidth="1"/>
    <col min="414" max="415" width="22.21875" bestFit="1" customWidth="1"/>
    <col min="416" max="417" width="21.88671875" bestFit="1" customWidth="1"/>
    <col min="418" max="418" width="20.88671875" bestFit="1" customWidth="1"/>
    <col min="419" max="419" width="22.44140625" bestFit="1" customWidth="1"/>
    <col min="420" max="420" width="22.33203125" bestFit="1" customWidth="1"/>
    <col min="421" max="423" width="22" bestFit="1" customWidth="1"/>
    <col min="424" max="425" width="21.21875" bestFit="1" customWidth="1"/>
    <col min="426" max="426" width="21.88671875" bestFit="1" customWidth="1"/>
    <col min="427" max="430" width="20.6640625" bestFit="1" customWidth="1"/>
    <col min="431" max="433" width="21.5546875" bestFit="1" customWidth="1"/>
    <col min="434" max="434" width="23.88671875" bestFit="1" customWidth="1"/>
    <col min="435" max="435" width="24.109375" bestFit="1" customWidth="1"/>
    <col min="436" max="436" width="22.5546875" bestFit="1" customWidth="1"/>
    <col min="437" max="438" width="21.77734375" bestFit="1" customWidth="1"/>
    <col min="439" max="439" width="22.44140625" bestFit="1" customWidth="1"/>
    <col min="440" max="440" width="22.109375" bestFit="1" customWidth="1"/>
    <col min="441" max="441" width="22" bestFit="1" customWidth="1"/>
    <col min="442" max="442" width="22.21875" bestFit="1" customWidth="1"/>
    <col min="443" max="443" width="22.5546875" bestFit="1" customWidth="1"/>
    <col min="444" max="444" width="23.88671875" bestFit="1" customWidth="1"/>
    <col min="445" max="445" width="22.6640625" bestFit="1" customWidth="1"/>
    <col min="446" max="446" width="23.109375" bestFit="1" customWidth="1"/>
    <col min="447" max="447" width="22.5546875" bestFit="1" customWidth="1"/>
    <col min="448" max="448" width="22.33203125" bestFit="1" customWidth="1"/>
    <col min="449" max="449" width="23.44140625" bestFit="1" customWidth="1"/>
    <col min="450" max="450" width="22.5546875" bestFit="1" customWidth="1"/>
    <col min="451" max="451" width="22.88671875" bestFit="1" customWidth="1"/>
    <col min="452" max="452" width="23.109375" bestFit="1" customWidth="1"/>
    <col min="453" max="453" width="22.5546875" bestFit="1" customWidth="1"/>
    <col min="454" max="454" width="22.88671875" bestFit="1" customWidth="1"/>
    <col min="455" max="455" width="21.6640625" bestFit="1" customWidth="1"/>
    <col min="456" max="457" width="20.44140625" bestFit="1" customWidth="1"/>
    <col min="458" max="458" width="20.5546875" bestFit="1" customWidth="1"/>
    <col min="459" max="459" width="22.109375" bestFit="1" customWidth="1"/>
    <col min="460" max="460" width="22.44140625" bestFit="1" customWidth="1"/>
    <col min="461" max="461" width="21.109375" bestFit="1" customWidth="1"/>
    <col min="462" max="462" width="21.44140625" bestFit="1" customWidth="1"/>
    <col min="463" max="464" width="20.88671875" bestFit="1" customWidth="1"/>
    <col min="465" max="465" width="22.88671875" bestFit="1" customWidth="1"/>
    <col min="466" max="466" width="22.109375" bestFit="1" customWidth="1"/>
    <col min="467" max="467" width="21.44140625" bestFit="1" customWidth="1"/>
    <col min="468" max="468" width="20.88671875" bestFit="1" customWidth="1"/>
    <col min="469" max="469" width="21.5546875" bestFit="1" customWidth="1"/>
    <col min="470" max="471" width="23.109375" bestFit="1" customWidth="1"/>
    <col min="472" max="472" width="23" bestFit="1" customWidth="1"/>
    <col min="473" max="473" width="23.109375" bestFit="1" customWidth="1"/>
    <col min="474" max="474" width="22.77734375" bestFit="1" customWidth="1"/>
    <col min="475" max="476" width="23.5546875" bestFit="1" customWidth="1"/>
    <col min="477" max="477" width="23.6640625" bestFit="1" customWidth="1"/>
    <col min="478" max="478" width="21.77734375" bestFit="1" customWidth="1"/>
    <col min="479" max="479" width="22.33203125" bestFit="1" customWidth="1"/>
    <col min="480" max="481" width="25.77734375" bestFit="1" customWidth="1"/>
    <col min="482" max="483" width="22.6640625" bestFit="1" customWidth="1"/>
    <col min="484" max="484" width="24" bestFit="1" customWidth="1"/>
    <col min="485" max="485" width="22.88671875" bestFit="1" customWidth="1"/>
    <col min="486" max="486" width="21.77734375" bestFit="1" customWidth="1"/>
    <col min="487" max="487" width="21.88671875" bestFit="1" customWidth="1"/>
    <col min="488" max="488" width="24.109375" bestFit="1" customWidth="1"/>
    <col min="489" max="489" width="23.33203125" bestFit="1" customWidth="1"/>
    <col min="490" max="490" width="23.77734375" bestFit="1" customWidth="1"/>
    <col min="491" max="491" width="21.6640625" bestFit="1" customWidth="1"/>
    <col min="492" max="492" width="22.88671875" bestFit="1" customWidth="1"/>
    <col min="493" max="493" width="22.77734375" bestFit="1" customWidth="1"/>
    <col min="494" max="495" width="20.77734375" bestFit="1" customWidth="1"/>
    <col min="496" max="496" width="25.109375" bestFit="1" customWidth="1"/>
    <col min="497" max="497" width="22.44140625" bestFit="1" customWidth="1"/>
    <col min="498" max="499" width="23.88671875" bestFit="1" customWidth="1"/>
    <col min="500" max="500" width="21.77734375" bestFit="1" customWidth="1"/>
    <col min="501" max="501" width="21.88671875" bestFit="1" customWidth="1"/>
    <col min="502" max="502" width="21.77734375" bestFit="1" customWidth="1"/>
    <col min="503" max="504" width="22" bestFit="1" customWidth="1"/>
    <col min="505" max="506" width="24.109375" bestFit="1" customWidth="1"/>
    <col min="507" max="507" width="22.88671875" bestFit="1" customWidth="1"/>
    <col min="508" max="508" width="22.6640625" bestFit="1" customWidth="1"/>
    <col min="509" max="510" width="25.109375" bestFit="1" customWidth="1"/>
    <col min="511" max="511" width="21.44140625" bestFit="1" customWidth="1"/>
    <col min="512" max="512" width="20.88671875" bestFit="1" customWidth="1"/>
    <col min="513" max="514" width="24.6640625" bestFit="1" customWidth="1"/>
    <col min="515" max="515" width="24.77734375" bestFit="1" customWidth="1"/>
    <col min="516" max="516" width="23.6640625" bestFit="1" customWidth="1"/>
    <col min="517" max="517" width="22.33203125" bestFit="1" customWidth="1"/>
    <col min="518" max="518" width="23.44140625" bestFit="1" customWidth="1"/>
    <col min="519" max="519" width="23.77734375" bestFit="1" customWidth="1"/>
    <col min="520" max="520" width="21" bestFit="1" customWidth="1"/>
    <col min="521" max="521" width="21.77734375" bestFit="1" customWidth="1"/>
    <col min="522" max="524" width="19.88671875" bestFit="1" customWidth="1"/>
    <col min="525" max="525" width="20.6640625" bestFit="1" customWidth="1"/>
    <col min="526" max="526" width="21.21875" bestFit="1" customWidth="1"/>
    <col min="527" max="527" width="22" bestFit="1" customWidth="1"/>
    <col min="528" max="529" width="22.44140625" bestFit="1" customWidth="1"/>
    <col min="530" max="530" width="21.77734375" bestFit="1" customWidth="1"/>
    <col min="531" max="531" width="22.5546875" bestFit="1" customWidth="1"/>
    <col min="532" max="532" width="23.21875" bestFit="1" customWidth="1"/>
    <col min="533" max="533" width="22" bestFit="1" customWidth="1"/>
    <col min="534" max="534" width="22.88671875" bestFit="1" customWidth="1"/>
    <col min="535" max="535" width="21.109375" bestFit="1" customWidth="1"/>
    <col min="536" max="536" width="20.44140625" bestFit="1" customWidth="1"/>
    <col min="537" max="537" width="21.88671875" bestFit="1" customWidth="1"/>
    <col min="538" max="539" width="21.109375" bestFit="1" customWidth="1"/>
    <col min="540" max="540" width="23.77734375" bestFit="1" customWidth="1"/>
    <col min="541" max="542" width="21.88671875" bestFit="1" customWidth="1"/>
    <col min="543" max="544" width="25" bestFit="1" customWidth="1"/>
    <col min="545" max="546" width="25.109375" bestFit="1" customWidth="1"/>
    <col min="547" max="547" width="22.109375" bestFit="1" customWidth="1"/>
    <col min="548" max="548" width="21.88671875" bestFit="1" customWidth="1"/>
    <col min="549" max="549" width="24.5546875" bestFit="1" customWidth="1"/>
    <col min="550" max="550" width="22.77734375" bestFit="1" customWidth="1"/>
    <col min="551" max="551" width="23.33203125" bestFit="1" customWidth="1"/>
    <col min="552" max="1020" width="8.44140625" customWidth="1"/>
  </cols>
  <sheetData>
    <row r="1" spans="1:587" x14ac:dyDescent="0.3">
      <c r="A1" t="s">
        <v>31</v>
      </c>
      <c r="B1" t="str" cm="1">
        <f t="array" ref="B1:VO1">TRANSPOSE(_xlfn._xlws.FILTER(branch!$A$2:$A$591,branch!$D$2:$D$591&lt;&gt;0))</f>
        <v>AA(I)(Z)&gt;DRU(I)(Z)_110L1</v>
      </c>
      <c r="C1" t="str">
        <v>AA(I)(Z)&gt;ENN(I)(Z)_110L1</v>
      </c>
      <c r="D1" t="str">
        <v>AA(I)(Z)&gt;LIM(I)(Z)_110L1</v>
      </c>
      <c r="E1" t="str">
        <v>AA1(I)(Z)&gt;SNG(I)(Z)_110L1</v>
      </c>
      <c r="F1" t="str">
        <v>AD(I)(Z)&gt;GGO(I)(Z)_220L1</v>
      </c>
      <c r="G1" t="str">
        <v>AD(I)(Z)&gt;KRA(I)(Z)_220L1</v>
      </c>
      <c r="H1" t="str">
        <v>AD(I)(Z)&gt;KRA(I)(Z)_220L2</v>
      </c>
      <c r="I1" t="str">
        <v>AD(I)(Z)&gt;LPT(I)(Z)_220L1</v>
      </c>
      <c r="J1" t="str">
        <v>AD(I)(Z)&gt;RAF(I)(Z)_220L1</v>
      </c>
      <c r="K1" t="str">
        <v>AD(I)(Z)&gt;WHI(I)(Z)_110L1</v>
      </c>
      <c r="L1" t="str">
        <v>ADM(I)(Z)&gt;GCA(I)(Z)_110L1</v>
      </c>
      <c r="M1" t="str">
        <v>ADM(I)(Z)&gt;INC(I)(Z)_110L1</v>
      </c>
      <c r="N1" t="str">
        <v>AGH(N)(Z)&gt;ENN(N)(Z)_110L1</v>
      </c>
      <c r="O1" t="str">
        <v>AGL(I)(Z)&gt;DYN(I)(Z)_110L1</v>
      </c>
      <c r="P1" t="str">
        <v>AGL(I)(Z)&gt;ENN(I)(Z)_110L1</v>
      </c>
      <c r="Q1" t="str">
        <v>AGN(I)(Z)&gt;CBT(I)(Z)_110L1</v>
      </c>
      <c r="R1" t="str">
        <v>AGN(I)(Z)&gt;CBT(I)(Z)_110L2</v>
      </c>
      <c r="S1" t="str">
        <v>AGN(I)(Z)&gt;KSE(I)(Z)_110L1</v>
      </c>
      <c r="T1" t="str">
        <v>AGL(I)(Z)&gt;SH(I)(Z)_110L1</v>
      </c>
      <c r="U1" t="str">
        <v>AHA(I)(Z)&gt;KLN(I)(Z)_110L1</v>
      </c>
      <c r="V1" t="str">
        <v>ANR(I)(Z)&gt;DOO(I)(Z)_110L1</v>
      </c>
      <c r="W1" t="str">
        <v>ANT(N)(Z)&gt;KEL(N)(Z)_110L1</v>
      </c>
      <c r="X1" t="str">
        <v>ANT(N)(Z)&gt;KEL(N)(Z)_110L2</v>
      </c>
      <c r="Y1" t="str">
        <v>ARD(I)(Z)&gt;TIV(I)(Z)_110L1</v>
      </c>
      <c r="Z1" t="str">
        <v>ARI(I)(Z)&gt;ARI(I)(T)_110L1</v>
      </c>
      <c r="AA1" t="str">
        <v>ARK(I)(Z)&gt;BEG(I)(Z)_110L1</v>
      </c>
      <c r="AB1" t="str">
        <v>ARK(I)(Z)&gt;BOG(I)(Z)_110L1</v>
      </c>
      <c r="AC1" t="str">
        <v>ARK(I)(Z)&gt;CKM(I)(Z)_220L1</v>
      </c>
      <c r="AD1" t="str">
        <v>ARK(I)(Z)&gt;LOD(I)(Z)_220L1</v>
      </c>
      <c r="AE1" t="str">
        <v>ARK(I)(Z)&gt;SHE(I)(Z)_110L1</v>
      </c>
      <c r="AF1" t="str">
        <v>ART(I)(Z)&gt;FIN(I)(Z)_110L1</v>
      </c>
      <c r="AG1" t="str">
        <v>ART(I)(Z)&gt;MCD(I)(Z)_110L1</v>
      </c>
      <c r="AH1" t="str">
        <v>ARV(I)(Z)&gt;COS(I)(Z)_110L1</v>
      </c>
      <c r="AI1" t="str">
        <v>ARV(I)(Z)&gt;GWE(I)(Z)_110L1</v>
      </c>
      <c r="AJ1" t="str">
        <v>ARV(I)(Z)&gt;NAV(I)(Z)_110L1</v>
      </c>
      <c r="AK1" t="str">
        <v>ARV(I)(Z)&gt;SKL(I)(Z)_110L1</v>
      </c>
      <c r="AL1" t="str">
        <v>ARV(I)(Z)&gt;SKL(I)(Z)_110L2</v>
      </c>
      <c r="AM1" t="str">
        <v>ATE(I)(Z)&gt;DRO(I)(Z)_110L1</v>
      </c>
      <c r="AN1" t="str">
        <v>ATE(I)(Z)&gt;KNR(I)(Z)_110L1</v>
      </c>
      <c r="AO1" t="str">
        <v>ATH(I)(Z)&gt;LA(I)(Z)_110L1</v>
      </c>
      <c r="AP1" t="str">
        <v>ATH(I)(Z)&gt;SH(I)(Z)_110L1</v>
      </c>
      <c r="AQ1" t="str">
        <v>ATN(I)(Z)&gt;INC(I)(Z)_110L1</v>
      </c>
      <c r="AR1" t="str">
        <v>ATN(I)(Z)&gt;INC(I)(Z)_110L2</v>
      </c>
      <c r="AS1" t="str">
        <v>ATY(I)(Z)&gt;CLW(I)(Z)_110L1</v>
      </c>
      <c r="AT1" t="str">
        <v>ATY(I)(Z)&gt;CNB(I)(Z)_110L1</v>
      </c>
      <c r="AU1" t="str">
        <v>ATY(I)(Z)&gt;PLS(I)(Z)_110L1</v>
      </c>
      <c r="AV1" t="str">
        <v>AUG(I)(Z)&gt;CFM(I)(Z)_110L1</v>
      </c>
      <c r="AW1" t="str">
        <v>AUG(I)(Z)&gt;CFM(I)(Z)_110L2</v>
      </c>
      <c r="AX1" t="str">
        <v>AUG(I)(Z)&gt;KPG(I)(Z)_110L1</v>
      </c>
      <c r="AY1" t="str">
        <v>AUG(I)(Z)&gt;MTN(I)(Z)_110L1</v>
      </c>
      <c r="AZ1" t="str">
        <v>AUG(I)(Z)&gt;SK(I)(Z)_110L1</v>
      </c>
      <c r="BA1" t="str">
        <v>AUG(I)(Z)&gt;SK(I)(Z)_110L2</v>
      </c>
      <c r="BB1" t="str">
        <v>BAL(I)(Z)&gt;CDU(I)(Z)_110L1</v>
      </c>
      <c r="BC1" t="str">
        <v>BAL(I)(Z)&gt;DRY(I)(Z)_110L1</v>
      </c>
      <c r="BD1" t="str">
        <v>BAL(I)(Z)&gt;DEE(I)(Z)_110L1</v>
      </c>
      <c r="BE1" t="str">
        <v>BAN(I)(Z)&gt;BRI(I)(Z)_110L1</v>
      </c>
      <c r="BF1" t="str">
        <v>BAN(I)(Z)&gt;BRI(I)(Z)_110L2</v>
      </c>
      <c r="BG1" t="str">
        <v>BAN(I)(Z)&gt;DMY(I)(Z)_110L1</v>
      </c>
      <c r="BH1" t="str">
        <v>BAN(I)(Z)&gt;RAF(I)(Z)_110L1</v>
      </c>
      <c r="BI1" t="str">
        <v>BAN(N)(Z)&gt;TAN(N)(Z)_110L1</v>
      </c>
      <c r="BJ1" t="str">
        <v>BAN(N)(Z)&gt;TAN(N)(Z)_110L2</v>
      </c>
      <c r="BK1" t="str">
        <v>BAR(I)(Z)&gt;BAR(I)(T)_110L1</v>
      </c>
      <c r="BL1" t="str">
        <v>BCT(I)(Z)&gt;CKM(I)(Z)_110L1</v>
      </c>
      <c r="BM1" t="str">
        <v>BCT(I)(Z)&gt;COO(I)(Z)_110L1</v>
      </c>
      <c r="BN1" t="str">
        <v>BDA(I)(Z)&gt;MON(I)(Z)_110L1</v>
      </c>
      <c r="BO1" t="str">
        <v>BDA(I)(Z)&gt;NEW(I)(Z)_110L1</v>
      </c>
      <c r="BP1" t="str">
        <v>BDN(I)(Z)&gt;CUL(I)(Z)_110L1</v>
      </c>
      <c r="BQ1" t="str">
        <v>BDN(I)(Z)&gt;DOO(I)(Z)_110L1</v>
      </c>
      <c r="BR1" t="str">
        <v>BEG(I)(Z)&gt;CKM(I)(Z)_110L1</v>
      </c>
      <c r="BS1" t="str">
        <v>BGH(I)(Z)&gt;CLA(I)(Z)_110L1</v>
      </c>
      <c r="BT1" t="str">
        <v>BGN(I)(Z)&gt;MLC(I)(Z)_110L1</v>
      </c>
      <c r="BU1" t="str">
        <v>BGT(I)(Z)&gt;CNB(I)(Z)_110L1</v>
      </c>
      <c r="BV1" t="str">
        <v>BGT(I)(Z)&gt;GGT(I)(Z)_110L1</v>
      </c>
      <c r="BW1" t="str">
        <v>BGT(I)(Z)&gt;KKY(I)(Z)_110L1</v>
      </c>
      <c r="BX1" t="str">
        <v>BIN(I)(Z)&gt;CF(I)(Z)_110L1</v>
      </c>
      <c r="BY1" t="str">
        <v>BIN(I)(Z)&gt;TIV(I)(Z)_110L1</v>
      </c>
      <c r="BZ1" t="str">
        <v>BK(I)(Z)&gt;CBR(I)(Z)_110L1</v>
      </c>
      <c r="CA1" t="str">
        <v>BK(I)(Z)&gt;CGW(I)(Z)_110L1</v>
      </c>
      <c r="CB1" t="str">
        <v>BK(I)(Z)&gt;MOY(I)(Z)_110L1</v>
      </c>
      <c r="CC1" t="str">
        <v>BK(I)(Z)&gt;SKY(I)(Z)_110L1</v>
      </c>
      <c r="CD1" t="str">
        <v>BK(I)(Z)&gt;SKY(I)(Z)_110L2</v>
      </c>
      <c r="CE1" t="str">
        <v>BKT(I)(Z)&gt;CUR(I)(Z)_110L1</v>
      </c>
      <c r="CF1" t="str">
        <v>BKY(I)(Z)&gt;CBT(I)(Z)_110L1</v>
      </c>
      <c r="CG1" t="str">
        <v>BKY(I)(Z)&gt;CBT(I)(Z)_110L2</v>
      </c>
      <c r="CH1" t="str">
        <v>BKY(I)(Z)&gt;KCY(I)(Z)_110</v>
      </c>
      <c r="CI1" t="str">
        <v>BLA(I)(Z)&gt;POT(I)(Z)_110L1</v>
      </c>
      <c r="CJ1" t="str">
        <v>BLA(I)(Z)&gt;RE(I)(Z)_110L1</v>
      </c>
      <c r="CK1" t="str">
        <v>BLC(I)(Z)&gt;FIN(I)(Z)_220L1</v>
      </c>
      <c r="CL1" t="str">
        <v>BLC(I)(Z)&gt;SHL(I)(Z)_220L1</v>
      </c>
      <c r="CM1" t="str">
        <v>BLC(I)(Z)&gt;GRA(I)(Z)_110L1</v>
      </c>
      <c r="CN1" t="str">
        <v>BLC(I)(Z)&gt;KLM(I)(Z)_110L1</v>
      </c>
      <c r="CO1" t="str">
        <v>BLC(I)(Z)&gt;MNH(I)(Z)_110L1</v>
      </c>
      <c r="CP1" t="str">
        <v>BLI(I)(Z)&gt;DMY(I)(Z)_110L1</v>
      </c>
      <c r="CQ1" t="str">
        <v>BMA(N)(Z)&gt;KEL(N)(Z)_110L1</v>
      </c>
      <c r="CR1" t="str">
        <v>BMA(N)(Z)&gt;KEL(N)(Z)_110L2</v>
      </c>
      <c r="CS1" t="str">
        <v>BNH(N)(Z)&gt;CAS(N)(Z)_110L1</v>
      </c>
      <c r="CT1" t="str">
        <v>BNH(N)(Z)&gt;CAS(N)(Z)_110L2</v>
      </c>
      <c r="CU1" t="str">
        <v>BNM(N)(Z)&gt;DON(N)(Z)_110L1</v>
      </c>
      <c r="CV1" t="str">
        <v>BNM(N)(Z)&gt;DON(N)(Z)_110L2</v>
      </c>
      <c r="CW1" t="str">
        <v>BOG(I)(Z)&gt;TTU(I)(Z)_110L1</v>
      </c>
      <c r="CX1" t="str">
        <v>TTU(I)(Z)&gt;CRA(I)(Z)_110L1</v>
      </c>
      <c r="CY1" t="str">
        <v>BOL(I)(Z)&gt;ENN(I)(Z)_110L1</v>
      </c>
      <c r="CZ1" t="str">
        <v>BOL(I)(Z)&gt;TBK(I)(T)_110L1</v>
      </c>
      <c r="DA1" t="str">
        <v>BPS(N)(Z)&gt;BVG(N)(Z)_110L1</v>
      </c>
      <c r="DB1" t="str">
        <v>BPS(N)(Z)&gt;BVG(N)(Z)_110L2</v>
      </c>
      <c r="DC1" t="str">
        <v>BPS(N)(Z)&gt;BYC(N)(Z)_275L1</v>
      </c>
      <c r="DD1" t="str">
        <v>BPS(N)(Z)&gt;EDE(N)(Z)_110L1</v>
      </c>
      <c r="DE1" t="str">
        <v>BPS(N)(Z)&gt;EDE(N)(Z)_110L2</v>
      </c>
      <c r="DF1" t="str">
        <v>BPS(N)(Z)&gt;HAN(N)(Z)_275L1</v>
      </c>
      <c r="DG1" t="str">
        <v>BPS(N)(Z)&gt;KEL(N)(Z)_275L1</v>
      </c>
      <c r="DH1" t="str">
        <v>BPS(N)(Z)&gt;MAG(N)(Z)_275L1</v>
      </c>
      <c r="DI1" t="str">
        <v>BRO(N)(Z)&gt;RSK(N)(Z)_110L1</v>
      </c>
      <c r="DJ1" t="str">
        <v>BRY(I)(Z)&gt;RAF(I)(Z)_110L1</v>
      </c>
      <c r="DK1" t="str">
        <v>BRY(I)(Z)&gt;RAF(I)(Z)_110L2</v>
      </c>
      <c r="DL1" t="str">
        <v>BTN(I)(Z)&gt;CLE(I)(Z)_220L1</v>
      </c>
      <c r="DM1" t="str">
        <v>BTN(I)(Z)&gt;CLE(I)(Z)_220L2</v>
      </c>
      <c r="DN1" t="str">
        <v>BUT(I)(Z)&gt;CUL(I)(Z)_110L1</v>
      </c>
      <c r="DO1" t="str">
        <v>BUT(I)(Z)&gt;KTN(I)(Z)_110L1</v>
      </c>
      <c r="DP1" t="str">
        <v>BVG(N)(Z)&gt;KEL(N)(Z)_110L1</v>
      </c>
      <c r="DQ1" t="str">
        <v>BVG(N)(Z)&gt;KEL(N)(Z)_110L2</v>
      </c>
      <c r="DR1" t="str">
        <v>BVG(N)(Z)&gt;LAR(N)(Z)_110L1</v>
      </c>
      <c r="DS1" t="str">
        <v>BVG(N)(Z)&gt;LAR(N)(Z)_110L2</v>
      </c>
      <c r="DT1" t="str">
        <v>BVK(I)(Z)&gt;BYH(I)(Z)_220L1</v>
      </c>
      <c r="DU1" t="str">
        <v>BVK(I)(Z)&gt;CLA(I)(Z)_220L1</v>
      </c>
      <c r="DV1" t="str">
        <v>BVK(I)(Z)&gt;CTG(I)(Z)_110L1</v>
      </c>
      <c r="DW1" t="str">
        <v>BWR(I)(Z)&gt;CRA(I)(Z)_110L1</v>
      </c>
      <c r="DX1" t="str">
        <v>BYH(I)(Z)&gt;CDL(I)(Z)_110L1</v>
      </c>
      <c r="DY1" t="str">
        <v>BYH(I)(Z)&gt;GLE(I)(Z)_110L1</v>
      </c>
      <c r="DZ1" t="str">
        <v>CAB(I)(Z)&gt;PTN(I)(Z)_110L1</v>
      </c>
      <c r="EA1" t="str">
        <v>CAB(I)(Z)&gt;WOL(I)(Z)_110L1</v>
      </c>
      <c r="EB1" t="str">
        <v>CAH(I)(Z)&gt;BAR(I)(T)_110L1</v>
      </c>
      <c r="EC1" t="str">
        <v>CAH(I)(Z)&gt;DOO(I)(Z)_110L1</v>
      </c>
      <c r="ED1" t="str">
        <v>CAH(I)(Z)&gt;KHL(I)(Z)_110L1</v>
      </c>
      <c r="EE1" t="str">
        <v>CAH(I)(Z)&gt;TIP(I)(Z)_110L1</v>
      </c>
      <c r="EF1" t="str">
        <v>CAR(N)(Z)&gt;CAS(N)(Z)_110L1</v>
      </c>
      <c r="EG1" t="str">
        <v>CAR(N)(Z)&gt;CAS(N)(Z)_110L2</v>
      </c>
      <c r="EH1" t="str">
        <v>CAR(N)(Z)&gt;EDE(N)(Z)_110L1</v>
      </c>
      <c r="EI1" t="str">
        <v>CAR(N)(Z)&gt;EDE(N)(Z)_110L2</v>
      </c>
      <c r="EJ1" t="str">
        <v>CAS(N)(Z)&gt;CRE(N)(Z)_110L1</v>
      </c>
      <c r="EK1" t="str">
        <v>CAS(N)(Z)&gt;CRE(N)(Z)_110L2</v>
      </c>
      <c r="EL1" t="str">
        <v>CAS(N)(Z)&gt;HAN(N)(Z)_275L1</v>
      </c>
      <c r="EM1" t="str">
        <v>CAS(N)(Z)&gt;HAN(N)(Z)_275L2</v>
      </c>
      <c r="EN1" t="str">
        <v>CAS(N)(Z)&gt;KNO(N)(Z)_110L1</v>
      </c>
      <c r="EO1" t="str">
        <v>CAS(N)(Z)&gt;KNO(N)(Z)_110L2</v>
      </c>
      <c r="EP1" t="str">
        <v>CAS(N)(Z)&gt;KPS(N)(Z)_275L1</v>
      </c>
      <c r="EQ1" t="str">
        <v>CAS(N)(Z)&gt;NAR(N)(Z)_110L1</v>
      </c>
      <c r="ER1" t="str">
        <v>CAS(N)(Z)&gt;NAR(N)(Z)_110L2</v>
      </c>
      <c r="ES1" t="str">
        <v>CAS(N)(Z)&gt;RAT(N)(Z)_110L1</v>
      </c>
      <c r="ET1" t="str">
        <v>CAS(N)(Z)&gt;RAT(N)(Z)_110L2</v>
      </c>
      <c r="EU1" t="str">
        <v>CAS(N)(Z)&gt;ROS(N)(Z)_110L1</v>
      </c>
      <c r="EV1" t="str">
        <v>CAS(N)(Z)&gt;ROS(N)(Z)_110L2</v>
      </c>
      <c r="EW1" t="str">
        <v>CAS(N)(Z)&gt;TAN(N)(Z)_275L1</v>
      </c>
      <c r="EX1" t="str">
        <v>CTN(I)(Z)&gt;KLN(I)(Z)_110L1</v>
      </c>
      <c r="EY1" t="str">
        <v>CBL(I)(Z)&gt;TRI(I)(Z)_110L1</v>
      </c>
      <c r="EZ1" t="str">
        <v>CBG(I)(Z)&gt;CBR(I)(Z)_110L1</v>
      </c>
      <c r="FA1" t="str">
        <v>CBR(I)(Z)&gt;CLN(I)(Z)_110L1</v>
      </c>
      <c r="FB1" t="str">
        <v>CBR(I)(Z)&gt;DLT(I)(Z)_110L1</v>
      </c>
      <c r="FC1" t="str">
        <v>CBT(I)(Z)&gt;INC(I)(Z)_220L1</v>
      </c>
      <c r="FD1" t="str">
        <v>CBT(I)(Z)&gt;KCY(I)(Z)_110L1</v>
      </c>
      <c r="FE1" t="str">
        <v>CBT(I)(Z)&gt;INC(I)(Z)_220L2</v>
      </c>
      <c r="FF1" t="str">
        <v>CBT(I)(Z)&gt;MAY(I)(Z)_220L1</v>
      </c>
      <c r="FG1" t="str">
        <v>CBT(I)(Z)&gt;MAY(I)(Z)_220L2</v>
      </c>
      <c r="FH1" t="str">
        <v>CD(I)(Z)&gt;KBY(I)(Z)_110L1</v>
      </c>
      <c r="FI1" t="str">
        <v>CD(I)(Z)&gt;MAC(I)(Z)_110L1</v>
      </c>
      <c r="FJ1" t="str">
        <v>CDK(I)(Z)&gt;LWD(I)(Z)_110L1</v>
      </c>
      <c r="FK1" t="str">
        <v>CDU(I)(Z)&gt;FIN(I)(Z)_220L1</v>
      </c>
      <c r="FL1" t="str">
        <v>CDU(I)(Z)&gt;FIN(I)(Z)_220L2</v>
      </c>
      <c r="FM1" t="str">
        <v>CDU(I)(Z)&gt;HN(I)(Z)_220L1</v>
      </c>
      <c r="FN1" t="str">
        <v>CDU(I)(Z)&gt;BLU(I)(Z)_110L1</v>
      </c>
      <c r="FO1" t="str">
        <v>CDU(I)(Z)&gt;GLN(I)(Z)_110L1</v>
      </c>
      <c r="FP1" t="str">
        <v>BLU(I)(Z)&gt;MUL(I)(Z)_110L1</v>
      </c>
      <c r="FQ1" t="str">
        <v>CDU(I)(Z)&gt;PLA(I)(Z)_110L1</v>
      </c>
      <c r="FR1" t="str">
        <v>CDU(I)(Z)&gt;RYB(I)(Z)_110L1</v>
      </c>
      <c r="FS1" t="str">
        <v>CDU(I)(Z)&gt;SBH(I)(Z)_110L1</v>
      </c>
      <c r="FT1" t="str">
        <v>CDU(I)(Z)&gt;WOO(I)(Z)_220L1</v>
      </c>
      <c r="FU1" t="str">
        <v>CDY(I)(Z)&gt;ARI(I)(T)_110L1</v>
      </c>
      <c r="FV1" t="str">
        <v>CDY(I)(Z)&gt;GRV(I)(Z)_110L1</v>
      </c>
      <c r="FW1" t="str">
        <v>CDY(I)(Z)&gt;SRA(I)(Z)_110L1</v>
      </c>
      <c r="FX1" t="str">
        <v>CEN(N)(Z)&gt;CRE(N)(Z)_110L1</v>
      </c>
      <c r="FY1" t="str">
        <v>CEN(N)(Z)&gt;CRE(N)(Z)_110L2</v>
      </c>
      <c r="FZ1" t="str">
        <v>CF(I)(Z)&gt;CAD(Y)(Z)_110L1</v>
      </c>
      <c r="GA1" t="str">
        <v>CF(I)(Z)&gt;CKL(Y)(Z)_110L1</v>
      </c>
      <c r="GB1" t="str">
        <v>CF(I)(Z)&gt;CL(I)(Z)_110L1</v>
      </c>
      <c r="GC1" t="str">
        <v>CF(I)(Z)&gt;CLO(I)(Z)_110L1</v>
      </c>
      <c r="GD1" t="str">
        <v>CF(I)(Z)&gt;CLO(I)(Z)_110L2</v>
      </c>
      <c r="GE1" t="str">
        <v>CF(I)(Z)&gt;COR(I)(Z)_110L1</v>
      </c>
      <c r="GF1" t="str">
        <v>CF(I)(Z)&gt;SRA(I)(Z)_110L1</v>
      </c>
      <c r="GG1" t="str">
        <v>CF(I)(Z)&gt;SRA(I)(Z)_110L2</v>
      </c>
      <c r="GH1" t="str">
        <v>CFD(I)(Z)&gt;MUL(I)(Z)_110L1</v>
      </c>
      <c r="GI1" t="str">
        <v>CFD(I)(Z)&gt;KIN(I)(Z)_110L1</v>
      </c>
      <c r="GJ1" t="str">
        <v>CGL(I)(Z)&gt;GAE(I)(Z)_110L1</v>
      </c>
      <c r="GK1" t="str">
        <v>CHA(I)(Z)&gt;GLE(I)(Z)_110L1</v>
      </c>
      <c r="GL1" t="str">
        <v>CHA(I)(Z)&gt;KLN(I)(Z)_110L1</v>
      </c>
      <c r="GM1" t="str">
        <v>CHA(I)(Z)&gt;MAL(I)(Z)_110L1</v>
      </c>
      <c r="GN1" t="str">
        <v>CHE(I)(Z)&gt;FAS(I)(Z)_110L1</v>
      </c>
      <c r="GO1" t="str">
        <v>CKG(I)(Z)&gt;CBT(I)(Z)_110L1</v>
      </c>
      <c r="GP1" t="str">
        <v>CKG(I)(Z)&gt;CBT(I)(Z)_110L2</v>
      </c>
      <c r="GQ1" t="str">
        <v>CKG(I)(Z)&gt;KUD(I)(Z)_110L1</v>
      </c>
      <c r="GR1" t="str">
        <v>CKM(I)(Z)&gt;CHE(I)(Z)_110L1</v>
      </c>
      <c r="GS1" t="str">
        <v>CKM(I)(Z)&gt;COO(I)(Z)_110L1</v>
      </c>
      <c r="GT1" t="str">
        <v>CKM(I)(Z)&gt;DSN(I)(Z)_220L1</v>
      </c>
      <c r="GU1" t="str">
        <v>CKM(I)(Z)&gt;FAS(I)(Z)_110L1</v>
      </c>
      <c r="GV1" t="str">
        <v>CKM(I)(Z)&gt;FAS(I)(Z)_110L2</v>
      </c>
      <c r="GW1" t="str">
        <v>CKM(I)(Z)&gt;ISH(I)(Z)_220L1</v>
      </c>
      <c r="GX1" t="str">
        <v>CKM(I)(Z)&gt;POT(I)(Z)_110L1</v>
      </c>
      <c r="GY1" t="str">
        <v>CKN(I)(Z)&gt;CGL(I)(Z)_110L1</v>
      </c>
      <c r="GZ1" t="str">
        <v>CKN(I)(Z)&gt;GRO(I)(Z)_110L1</v>
      </c>
      <c r="HA1" t="str">
        <v>CKN(I)(Z)&gt;KER(I)(Z)_110L1</v>
      </c>
      <c r="HB1" t="str">
        <v>CLA(I)(Z)&gt;CKN(I)(Z)_110L1</v>
      </c>
      <c r="HC1" t="str">
        <v>CLA(I)(Z)&gt;DMY(I)(Z)_110L1</v>
      </c>
      <c r="HD1" t="str">
        <v>CLA(I)(Z)&gt;KRA(I)(Z)_220L1</v>
      </c>
      <c r="HE1" t="str">
        <v>CLA(I)(Z)&gt;MAC(I)(Z)_110L1</v>
      </c>
      <c r="HF1" t="str">
        <v>CLA(I)(Z)&gt;MAC(I)(Z)_110L2</v>
      </c>
      <c r="HG1" t="str">
        <v>CLE(I)(Z)&gt;CDU(I)(Z)_220L1</v>
      </c>
      <c r="HH1" t="str">
        <v>CLE(I)(Z)&gt;WOO(I)(Z)_220L1</v>
      </c>
      <c r="HI1" t="str">
        <v>CLG(I)(Z)&gt;CDU(I)(Z)_110L1</v>
      </c>
      <c r="HJ1" t="str">
        <v>CLG(I)(Z)&gt;FIN(I)(Z)_110L1</v>
      </c>
      <c r="HK1" t="str">
        <v>CLH(I)(Z)&gt;TRI(I)(Z)_110L1</v>
      </c>
      <c r="HL1" t="str">
        <v>CLH(I)(Z)&gt;TRL(I)(Z)_110L1</v>
      </c>
      <c r="HM1" t="str">
        <v>CLN(I)(Z)&gt;LA(I)(Z)_110L1</v>
      </c>
      <c r="HN1" t="str">
        <v>CLO(I)(Z)&gt;CF(I)(Z)_110L1</v>
      </c>
      <c r="HO1" t="str">
        <v>CLO(I)(Z)&gt;GOL(I)(T)_110L1</v>
      </c>
      <c r="HP1" t="str">
        <v>CLO(I)(Z)&gt;MRY(I)(Z)_110L1</v>
      </c>
      <c r="HQ1" t="str">
        <v>CLU(I)(Z)&gt;CBT(I)(Z)_110L1</v>
      </c>
      <c r="HR1" t="str">
        <v>CLU(I)(Z)&gt;KUD(I)(Z)_110L1</v>
      </c>
      <c r="HS1" t="str">
        <v>CLW(I)(Z)&gt;KLS(I)(Z)_110L1</v>
      </c>
      <c r="HT1" t="str">
        <v>CLW(I)(Z)&gt;KLS(I)(Z)_110L2</v>
      </c>
      <c r="HU1" t="str">
        <v>CLW(I)(Z)&gt;STR(I)(T)_110L1</v>
      </c>
      <c r="HV1" t="str">
        <v>CNB(I)(Z)&gt;GGT(I)(T)_110L1</v>
      </c>
      <c r="HW1" t="str">
        <v>CNB(I)(Z)&gt;PLS(I)(T)_110L1</v>
      </c>
      <c r="HX1" t="str">
        <v>CNB(I)(Z)&gt;MP(I)(T)_380L1</v>
      </c>
      <c r="HY1" t="str">
        <v>CNB(I)(Z)&gt;DSN(I)(T)_380L1</v>
      </c>
      <c r="HZ1" t="str">
        <v>COL(I)(Z)&gt;CDU(I)(Z)_110L1</v>
      </c>
      <c r="IA1" t="str">
        <v>COL(I)(Z)&gt;FIN(I)(Z)_110L1</v>
      </c>
      <c r="IB1" t="str">
        <v>COL(N)(Z)&gt;CPS(N)(Z)_110L1</v>
      </c>
      <c r="IC1" t="str">
        <v>COL(N)(Z)&gt;LIM(N)(Z)_110L1</v>
      </c>
      <c r="ID1" t="str">
        <v>COL(N)(Z)&gt;LOG(N)(Z)_110L1</v>
      </c>
      <c r="IE1" t="str">
        <v>COL(N)(Z)&gt;LOG(N)(Z)_110L2</v>
      </c>
      <c r="IF1" t="str">
        <v>COL(N)(Z)&gt;RSK(N)(Z)_110L1</v>
      </c>
      <c r="IG1" t="str">
        <v>COO(I)(Z)&gt;FTT(I)(Z)_110L1</v>
      </c>
      <c r="IH1" t="str">
        <v>COO(I)(Z)&gt;INC(I)(Z)_110L1</v>
      </c>
      <c r="II1" t="str">
        <v>COR(I)(Z)&gt;ENN(N)(Z)_110L1</v>
      </c>
      <c r="IJ1" t="str">
        <v>COR(I)(Z)&gt;GWE(I)(Z)_110L1</v>
      </c>
      <c r="IK1" t="str">
        <v>COS(I)(Z)&gt;ARI(I)(T)_110L1</v>
      </c>
      <c r="IL1" t="str">
        <v>COS(I)(Z)&gt;FLA(I)(Z)_110L1</v>
      </c>
      <c r="IM1" t="str">
        <v>COS(I)(Z)&gt;FLA(I)(Z)_110L2</v>
      </c>
      <c r="IN1" t="str">
        <v>COW(I)(Z)&gt;OLD(I)(Z)_110L1</v>
      </c>
      <c r="IO1" t="str">
        <v>COW(I)(Z)&gt;OLD(I)(Z)_110L2</v>
      </c>
      <c r="IP1" t="str">
        <v>COW(I)(Z)&gt;RAF(I)(Z)_110L1</v>
      </c>
      <c r="IQ1" t="str">
        <v>COW(I)(Z)&gt;WHI(I)(Z)_110L1</v>
      </c>
      <c r="IR1" t="str">
        <v>CPK(I)(Z)&gt;CKM(I)(Z)_110L1</v>
      </c>
      <c r="IS1" t="str">
        <v>CPK(I)(Z)&gt;TNY(I)(Z)_110L1</v>
      </c>
      <c r="IT1" t="str">
        <v>CPS(N)(Z)&gt;CRD(N)(Z)_110L1</v>
      </c>
      <c r="IU1" t="str">
        <v>CPS(N)(Z)&gt;KMT(N)(Z)_110L1</v>
      </c>
      <c r="IV1" t="str">
        <v>CPS(N)(Z)&gt;LIM(N)(Z)_110L1</v>
      </c>
      <c r="IW1" t="str">
        <v>CPS(N)(Z)&gt;LMR(N)(Z)_110L1</v>
      </c>
      <c r="IX1" t="str">
        <v>CPS(N)(Z)&gt;LMR(N)(Z)_110L2</v>
      </c>
      <c r="IY1" t="str">
        <v>CPS(N)(Z)&gt;MAG(N)(Z)_275L1</v>
      </c>
      <c r="IZ1" t="str">
        <v>CPS(N)(Z)&gt;MAG(N)(Z)_275L2</v>
      </c>
      <c r="JA1" t="str">
        <v>CPS(N)(Z)&gt;SPR(N)(Z)_110L1</v>
      </c>
      <c r="JB1" t="str">
        <v>CPS(N)(Z)&gt;SPR(N)(Z)_110L2</v>
      </c>
      <c r="JC1" t="str">
        <v>CPS(N)(Z)&gt;STR(N)(Z)_110L1</v>
      </c>
      <c r="JD1" t="str">
        <v>CRA(I)(Z)&gt;LWD(I)(Z)_110L1</v>
      </c>
      <c r="JE1" t="str">
        <v>CRA(I)(Z)&gt;WEX(I)(Z)_110L1</v>
      </c>
      <c r="JF1" t="str">
        <v>CRG(N)(Z)&gt;KEL(N)(Z)_110L1</v>
      </c>
      <c r="JG1" t="str">
        <v>CRG(N)(Z)&gt;TMN(N)(Z)_110L1</v>
      </c>
      <c r="JH1" t="str">
        <v>CRM(I)(Z)&gt;KLM(I)(Z)_110L1</v>
      </c>
      <c r="JI1" t="str">
        <v>CRM(I)(Z)&gt;KLM(I)(Z)_110L2</v>
      </c>
      <c r="JJ1" t="str">
        <v>CRO(I)(Z)&gt;IA(I)(Z)_110L1</v>
      </c>
      <c r="JK1" t="str">
        <v>CRO(I)(Z)&gt;KBY(I)(Z)_110L1</v>
      </c>
      <c r="JL1" t="str">
        <v>CSH(I)(Z)&gt;CLN(I)(Z)_110L1</v>
      </c>
      <c r="JM1" t="str">
        <v>CSH(I)(Z)&gt;DLT(I)(Z)_110L1</v>
      </c>
      <c r="JN1" t="str">
        <v>CSH(I)(Z)&gt;ENN(I)(Z)_110L1</v>
      </c>
      <c r="JO1" t="str">
        <v>CSH(I)(Z)&gt;FLA(I)(Z)_220L1</v>
      </c>
      <c r="JP1" t="str">
        <v>CSH(I)(Z)&gt;GAL(I)(Z)_110L1</v>
      </c>
      <c r="JQ1" t="str">
        <v>CSH(I)(Z)&gt;GAL(I)(Z)_110L2</v>
      </c>
      <c r="JR1" t="str">
        <v>CSH(I)(Z)&gt;GAL(I)(Z)_110L3</v>
      </c>
      <c r="JS1" t="str">
        <v>CSH(I)(Z)&gt;PRO(I)(Z)_220L1</v>
      </c>
      <c r="JT1" t="str">
        <v>CSH(I)(Z)&gt;SAL(I)(Z)_110L1</v>
      </c>
      <c r="JU1" t="str">
        <v>CSH(I)(Z)&gt;SOM(I)(T)_110L1</v>
      </c>
      <c r="JV1" t="str">
        <v>CSH(I)(Z)&gt;TYN(I)(Z)_220L1</v>
      </c>
      <c r="JW1" t="str">
        <v>CTN(I)(Z)&gt;TIP(I)(Z)_110L1</v>
      </c>
      <c r="JX1" t="str">
        <v>CTY(I)(Z)&gt;FTT(I)(Z)_110L1</v>
      </c>
      <c r="JY1" t="str">
        <v>CTY(I)(Z)&gt;INC(I)(Z)_110L1</v>
      </c>
      <c r="JZ1" t="str">
        <v>CUL(I)(Z)&gt;DGN(I)(Z)_110L1</v>
      </c>
      <c r="KA1" t="str">
        <v>CUL(I)(Z)&gt;GI(I)(Z)_220L1</v>
      </c>
      <c r="KB1" t="str">
        <v>CUL(I)(Z)&gt;KRA(I)(Z)_220L1</v>
      </c>
      <c r="KC1" t="str">
        <v>CUL(I)(Z)&gt;WAT(I)(Z)_110L1</v>
      </c>
      <c r="KD1" t="str">
        <v>CUL(I)(Z)&gt;RTO(I)(Z)_110L1</v>
      </c>
      <c r="KE1" t="str">
        <v>CUN(I)(Z)&gt;GLR(I)(Z)_110L1</v>
      </c>
      <c r="KF1" t="str">
        <v>CUN(I)(Z)&gt;SLI(I)(Z)_110L1</v>
      </c>
      <c r="KG1" t="str">
        <v>CUR(I)(Z)&gt;BKM(I)(Z)_110L1</v>
      </c>
      <c r="KH1" t="str">
        <v>CUR(I)(Z)&gt;NEN(I)(Z)_110L1</v>
      </c>
      <c r="KI1" t="str">
        <v>CUS(I)(Z)&gt;MLC(I)(Z)_110L1</v>
      </c>
      <c r="KJ1" t="str">
        <v>CUS(I)(Z)&gt;NEW(I)(Z)_110L1</v>
      </c>
      <c r="KK1" t="str">
        <v>CUS(I)(Z)&gt;PLS(I)(Z)_110L1</v>
      </c>
      <c r="KL1" t="str">
        <v>CUS(I)(Z)&gt;PPT(I)(Z)_110L1</v>
      </c>
      <c r="KM1" t="str">
        <v>CVW(I)(Z)&gt;COW(I)(Z)_110L1</v>
      </c>
      <c r="KN1" t="str">
        <v>CVW(I)(Z)&gt;DKL(I)(Z)_110L1</v>
      </c>
      <c r="KO1" t="str">
        <v>CVW(I)(Z)&gt;KRA(I)(Z)_110L1</v>
      </c>
      <c r="KP1" t="str">
        <v>DAL(I)(Z)&gt;DAL(I)(T)_110L1</v>
      </c>
      <c r="KQ1" t="str">
        <v>DDK(I)(Z)&gt;LOU(I)(Z)_110L1</v>
      </c>
      <c r="KR1" t="str">
        <v>DDK(I)(Z)&gt;MLN(I)(Z)_110L1</v>
      </c>
      <c r="KS1" t="str">
        <v>DER(I)(Z)&gt;KIN(I)(Z)_110L1</v>
      </c>
      <c r="KT1" t="str">
        <v>DER(I)(Z)&gt;TEN(I)(Z)_110L1</v>
      </c>
      <c r="KU1" t="str">
        <v>TEN(I)(Z)&gt;MAY(I)(Z)_110L1</v>
      </c>
      <c r="KV1" t="str">
        <v>DER(I)(Z)&gt;TSB(I)(Z)_110L1</v>
      </c>
      <c r="KW1" t="str">
        <v>DEY(I)(Z)&gt;DAL(I)(T)_110L1</v>
      </c>
      <c r="KX1" t="str">
        <v>DEY(I)(Z)&gt;PLS(I)(Z)_110L1</v>
      </c>
      <c r="KY1" t="str">
        <v>DFR(I)(T)&gt;DFR(I)(Z)_110L1</v>
      </c>
      <c r="KZ1" t="str">
        <v>DFR(I)(Z)&gt;MGT(I)(Z)_110L1</v>
      </c>
      <c r="LA1" t="str">
        <v>DGN(I)(Z)&gt;WHE(I)(Z)_110L1</v>
      </c>
      <c r="LB1" t="str">
        <v>DGN(I)(Z)&gt;RTO(I)(Z)_110L1</v>
      </c>
      <c r="LC1" t="str">
        <v>DMY(I)(Z)&gt;CDN(I)(Z)_110L1</v>
      </c>
      <c r="LD1" t="str">
        <v>DMY(I)(Z)&gt;MAC(I)(Z)_110L1</v>
      </c>
      <c r="LE1" t="str">
        <v>DON(N)(Z)&gt;FIN(N)(Z)_110L1</v>
      </c>
      <c r="LF1" t="str">
        <v>DON(N)(Z)&gt;FIN(N)(Z)_110L2</v>
      </c>
      <c r="LG1" t="str">
        <v>DON(N)(Z)&gt;HAN(N)(Z)_110L1</v>
      </c>
      <c r="LH1" t="str">
        <v>DON(N)(Z)&gt;HAN(N)(Z)_110L2</v>
      </c>
      <c r="LI1" t="str">
        <v>DRM(I)(Z)&gt;CLO(I)(Z)_110L1</v>
      </c>
      <c r="LJ1" t="str">
        <v>DRM(I)(Z)&gt;LET(I)(Z)_110L1</v>
      </c>
      <c r="LK1" t="str">
        <v>DRM(I)(Z)&gt;MEE(I)(Z)_110L1</v>
      </c>
      <c r="LL1" t="str">
        <v>DRO(N)(Z)&gt;ENN(N)(Z)_110L1</v>
      </c>
      <c r="LM1" t="str">
        <v>DRO(N)(Z)&gt;ENN(N)(Z)_110L2</v>
      </c>
      <c r="LN1" t="str">
        <v>DRO(N)(Z)&gt;OMA(N)(Z)_110L1</v>
      </c>
      <c r="LO1" t="str">
        <v>DRO(N)(Z)&gt;OMA(N)(Z)_110L2</v>
      </c>
      <c r="LP1" t="str">
        <v>DRQ(N)(Z)&gt;DRO(N)(Z)_110L1</v>
      </c>
      <c r="LQ1" t="str">
        <v>DRU(I)(Z)&gt;ENN(I)(Z)_110L1</v>
      </c>
      <c r="LR1" t="str">
        <v>DRU(N)(Z)&gt;TAN(N)(Z)_110L1</v>
      </c>
      <c r="LS1" t="str">
        <v>DRU(N)(Z)&gt;TAN(N)(Z)_110L2</v>
      </c>
      <c r="LT1" t="str">
        <v>DRU(N)(Z)&gt;TAN(N)(Z)_110L3</v>
      </c>
      <c r="LU1" t="str">
        <v>DRU(N)(Z)&gt;TMN(N)(Z)_110L1</v>
      </c>
      <c r="LV1" t="str">
        <v>DRU(N)(Z)&gt;TMN(N)(Z)_110L2</v>
      </c>
      <c r="LW1" t="str">
        <v>DRY(I)(Z)&gt;GOR(I)(Z)_110L1</v>
      </c>
      <c r="LX1" t="str">
        <v>DRY(I)(Z)&gt;LOU(I)(Z)_110L1</v>
      </c>
      <c r="LY1" t="str">
        <v>DRY(I)(Z)&gt;PLA(I)(Z)_110L1</v>
      </c>
      <c r="LZ1" t="str">
        <v>DRY(I)(Z)&gt;OBE(I)(Z)_110L1</v>
      </c>
      <c r="MA1" t="str">
        <v>DSN(I)(Z)&gt;KLS(I)(Z)_220L1</v>
      </c>
      <c r="MB1" t="str">
        <v>DSN(I)(Z)&gt;MAY(I)(Z)_220L1</v>
      </c>
      <c r="MC1" t="str">
        <v>DSN(I)(Z)&gt;MAY(I)(Z)_220L2</v>
      </c>
      <c r="MD1" t="str">
        <v>DSN(I)(Z)&gt;MAY(I)(Z)_220L3</v>
      </c>
      <c r="ME1" t="str">
        <v>DSN(I)(Z)&gt;MP(I)(Z)_380L1</v>
      </c>
      <c r="MF1" t="str">
        <v>DSN(I)(Z)&gt;TH(I)(Z)_220L1</v>
      </c>
      <c r="MG1" t="str">
        <v>DTN(I)(Z)&gt;BLC(I)(Z)_110L1</v>
      </c>
      <c r="MH1" t="str">
        <v>DTN(I)(Z)&gt;FIN(I)(Z)_110L1</v>
      </c>
      <c r="MI1" t="str">
        <v>DTN(I)(Z)&gt;KLM(I)(Z)_110L1</v>
      </c>
      <c r="MJ1" t="str">
        <v>DUN(N)(Z)&gt;OMA(N)(Z)_110L1</v>
      </c>
      <c r="MK1" t="str">
        <v>DUN(N)(Z)&gt;TMN(N)(Z)_110L1</v>
      </c>
      <c r="ML1" t="str">
        <v>DUN(N)(Z)&gt;TMN(N)(Z)_110L2</v>
      </c>
      <c r="MM1" t="str">
        <v>DUN(N)(Z)&gt;TMN(N)(Z)_110L3</v>
      </c>
      <c r="MN1" t="str">
        <v>ENN(I)(Z)&gt;SLC(I)(Z)_110L1</v>
      </c>
      <c r="MO1" t="str">
        <v>FIN(I)(Z)&gt;GLA(I)(Z)_110L1</v>
      </c>
      <c r="MP1" t="str">
        <v>FIN(I)(Z)&gt;GRA(I)(Z)_110L1</v>
      </c>
      <c r="MQ1" t="str">
        <v>FIN(I)(Z)&gt;HN(I)(Z)_220L1</v>
      </c>
      <c r="MR1" t="str">
        <v>FIN(I)(Z)&gt;MCD(I)(Z)_110L1</v>
      </c>
      <c r="MS1" t="str">
        <v>FIN(I)(Z)&gt;NW(I)(Z)_220L1</v>
      </c>
      <c r="MT1" t="str">
        <v>FIN(I)(Z)&gt;POP(I)(Z)_110L1</v>
      </c>
      <c r="MU1" t="str">
        <v>FIN(I)(Z)&gt;PTN(I)(Z)_110L1</v>
      </c>
      <c r="MV1" t="str">
        <v>FIN(I)(Z)&gt;SHL(I)(Z)_220L1</v>
      </c>
      <c r="MW1" t="str">
        <v>FIN(I)(Z)&gt;SVN(I)(Z)_110L1</v>
      </c>
      <c r="MX1" t="str">
        <v>FIN(N)(Z)&gt;HAN(N)(Z)_110L1</v>
      </c>
      <c r="MY1" t="str">
        <v>FIN(N)(Z)&gt;HAN(N)(Z)_110L2</v>
      </c>
      <c r="MZ1" t="str">
        <v>FLA(I)(Z)&gt;GIL(I)(Z)_110L1</v>
      </c>
      <c r="NA1" t="str">
        <v>FLA(I)(Z)&gt;LOU(I)(Z)_220L1</v>
      </c>
      <c r="NB1" t="str">
        <v>FLA(I)(Z)&gt;SLB(I)(Z)_110L1</v>
      </c>
      <c r="NC1" t="str">
        <v>FLA(I)(Z)&gt;SLI(I)(Z)_110L1</v>
      </c>
      <c r="ND1" t="str">
        <v>FLA(I)(Z)&gt;SRA(I)(Z)_220L1</v>
      </c>
      <c r="NE1" t="str">
        <v>FLA(I)(Z)&gt;TON(I)(Z)_110L1</v>
      </c>
      <c r="NF1" t="str">
        <v>FRS(I)(Z)&gt;HAR(I)(Z)_110L1</v>
      </c>
      <c r="NG1" t="str">
        <v>FRS(I)(Z)&gt;HEU(I)(Z)_110L1</v>
      </c>
      <c r="NH1" t="str">
        <v>FRS(I)(Z)&gt;INC(I)(Z)_110L1</v>
      </c>
      <c r="NI1" t="str">
        <v>FRS(I)(Z)&gt;TRN(I)(Z)_110L1</v>
      </c>
      <c r="NJ1" t="str">
        <v>GAL(I)(Z)&gt;SAL(I)(Z)_110L1</v>
      </c>
      <c r="NK1" t="str">
        <v>GAL(I)(Z)&gt;SEE(I)(Z)_110L1</v>
      </c>
      <c r="NL1" t="str">
        <v>CDU(I)(Z)&gt;GAN(I)(Z)_110L1</v>
      </c>
      <c r="NM1" t="str">
        <v>GCA(I)(Z)&gt;GRI(I)(T)_110L1</v>
      </c>
      <c r="NN1" t="str">
        <v>GCA(I)(Z)&gt;INC(I)(Z)_110L1</v>
      </c>
      <c r="NO1" t="str">
        <v>GCA(I)(Z)&gt;INC(I)(Z)_110L2</v>
      </c>
      <c r="NP1" t="str">
        <v>GCA(I)(Z)&gt;NAN(I)(Z)_110L1</v>
      </c>
      <c r="NQ1" t="str">
        <v>GCA(I)(Z)&gt;NAN(I)(Z)_110L2</v>
      </c>
      <c r="NR1" t="str">
        <v>GGO(I)(Z)&gt;RAF(I)(Z)_220L1</v>
      </c>
      <c r="NS1" t="str">
        <v>GI(I)(Z)&gt;KKY(I)(Z)_110L1</v>
      </c>
      <c r="NT1" t="str">
        <v>GI(I)(Z)&gt;KLS(I)(Z)_220L1</v>
      </c>
      <c r="NU1" t="str">
        <v>GI(I)(Z)&gt;LWD(I)(Z)_220L1</v>
      </c>
      <c r="NV1" t="str">
        <v>GI(I)(Z)&gt;LWN(I)(Z)_220L1</v>
      </c>
      <c r="NW1" t="str">
        <v>GI(I)(Z)&gt;WAT(I)(Z)_110L1</v>
      </c>
      <c r="NX1" t="str">
        <v>GI(I)(Z)&gt;WAT(I)(Z)_110L2</v>
      </c>
      <c r="NY1" t="str">
        <v>GI(I)(Z)&gt;ROP(I)(Z)_110L1</v>
      </c>
      <c r="NZ1" t="str">
        <v>ROP(I)(Z)&gt;WEX(I)(Z)_110L1</v>
      </c>
      <c r="OA1" t="str">
        <v>GLA(I)(Z)&gt;SVN(I)(Z)_110L1</v>
      </c>
      <c r="OB1" t="str">
        <v>GLE(I)(Z)&gt;KCR(I)(Z)_110L1</v>
      </c>
      <c r="OC1" t="str">
        <v>GLE(N)(Z)&gt;KEL(N)(Z)_110L1</v>
      </c>
      <c r="OD1" t="str">
        <v>GLE(N)(Z)&gt;KEL(N)(Z)_110L2</v>
      </c>
      <c r="OE1" t="str">
        <v>GOL(I)(Z)&gt;GOL(I)(T)_110L1</v>
      </c>
      <c r="OF1" t="str">
        <v>GOR(I)(Z)&gt;LOU(I)(Z)_220L1</v>
      </c>
      <c r="OG1" t="str">
        <v>GOR(I)(Z)&gt;MAY(I)(Z)_220L1</v>
      </c>
      <c r="OH1" t="str">
        <v>GOR(I)(Z)&gt;MTH(I)(Z)_110L1</v>
      </c>
      <c r="OI1" t="str">
        <v>GOR(I)(Z)&gt;NAV(I)(Z)_110L1</v>
      </c>
      <c r="OJ1" t="str">
        <v>GOR(I)(Z)&gt;NAV(I)(Z)_110L2</v>
      </c>
      <c r="OK1" t="str">
        <v>GOR(I)(Z)&gt;NAV(I)(Z)_110L3</v>
      </c>
      <c r="OL1" t="str">
        <v>GOR(I)(Z)&gt;GRH(I)(Z)_110L1</v>
      </c>
      <c r="OM1" t="str">
        <v>GRH(I)(Z)&gt;PLA(I)(Z)_110L1</v>
      </c>
      <c r="ON1" t="str">
        <v>GOR(N)(Z)&gt;OMA(N)(Z)_110L1</v>
      </c>
      <c r="OO1" t="str">
        <v>GOR(N)(Z)&gt;TMN(N)(Z)_110L1</v>
      </c>
      <c r="OP1" t="str">
        <v>GRA(I)(Z)&gt;NBY(I)(Z)_110L1</v>
      </c>
      <c r="OQ1" t="str">
        <v>GRI(I)(T)&gt;MAY(I)(Z)_110L1</v>
      </c>
      <c r="OR1" t="str">
        <v>GRI(I)(Z)&gt;GRI(I)(T)_110L1</v>
      </c>
      <c r="OS1" t="str">
        <v>GRO(I)(Z)&gt;BVK(I)(Z)_110L1</v>
      </c>
      <c r="OT1" t="str">
        <v>HAN(N)(Z)&gt;BYC(N)(Z)_275L1</v>
      </c>
      <c r="OU1" t="str">
        <v>HAN(N)(Z)&gt;LIS(N)(Z)_110L1</v>
      </c>
      <c r="OV1" t="str">
        <v>HAN(N)(Z)&gt;LIS(N)(Z)_110L2</v>
      </c>
      <c r="OW1" t="str">
        <v>HAR(I)(Z)&gt;RE(I)(Z)_110L1</v>
      </c>
      <c r="OX1" t="str">
        <v>HEU(I)(Z)&gt;INC(I)(Z)_110L1</v>
      </c>
      <c r="OY1" t="str">
        <v>HWN(I)(Z)&gt;MGT(I)(Z)_110L1</v>
      </c>
      <c r="OZ1" t="str">
        <v>HWN(I)(Z)&gt;KIN(I)(Z)_110L1</v>
      </c>
      <c r="PA1" t="str">
        <v>HWN(I)(Z)&gt;DFR(I)(T)_110L1</v>
      </c>
      <c r="PB1" t="str">
        <v>IA(I)(Z)&gt;MAC(I)(Z)_110L1</v>
      </c>
      <c r="PC1" t="str">
        <v>IKE(I)(Z)&gt;IKE(I)(T)_110L1</v>
      </c>
      <c r="PD1" t="str">
        <v>INC(I)(Z)&gt;ISH(I)(Z)_220L1</v>
      </c>
      <c r="PE1" t="str">
        <v>INC(I)(Z)&gt;MIL(I)(Z)_110L1</v>
      </c>
      <c r="PF1" t="str">
        <v>INC(I)(Z)&gt;PB(I)(Z)_220L1</v>
      </c>
      <c r="PG1" t="str">
        <v>INC(I)(Z)&gt;PB(I)(Z)_220L2</v>
      </c>
      <c r="PH1" t="str">
        <v>ISH(I)(Z)&gt;SHL(I)(Z)_220L1</v>
      </c>
      <c r="PI1" t="str">
        <v>KBY(I)(Z)&gt;KRA(I)(Z)_110L1</v>
      </c>
      <c r="PJ1" t="str">
        <v>KBY(I)(Z)&gt;KRA(I)(Z)_110L2</v>
      </c>
      <c r="PK1" t="str">
        <v>KBY(I)(Z)&gt;MAL(I)(Z)_110L1</v>
      </c>
      <c r="PL1" t="str">
        <v>KBY(I)(Z)&gt;MR(I)(Z)_110L1</v>
      </c>
      <c r="PM1" t="str">
        <v>KBY(I)(Z)&gt;MR(I)(Z)_110L2</v>
      </c>
      <c r="PN1" t="str">
        <v>KEL(N)(Z)&gt;KPS(N)(Z)_275L1</v>
      </c>
      <c r="PO1" t="str">
        <v>KEL(N)(Z)&gt;KPS(N)(Z)_275L2</v>
      </c>
      <c r="PP1" t="str">
        <v>KEL(N)(Z)&gt;MAG(N)(Z)_275L1</v>
      </c>
      <c r="PQ1" t="str">
        <v>KEL(N)(Z)&gt;RSK(N)(Z)_110L1</v>
      </c>
      <c r="PR1" t="str">
        <v>KER(I)(Z)&gt;OUG(I)(T)_110L1</v>
      </c>
      <c r="PS1" t="str">
        <v>KIN(I)(Z)&gt;DFR(I)(T)_110L1</v>
      </c>
      <c r="PT1" t="str">
        <v>KIN(I)(Z)&gt;MUL(I)(Z)_110L1</v>
      </c>
      <c r="PU1" t="str">
        <v>KLH(I)(Z)&gt;THU(I)(Z)_110L1</v>
      </c>
      <c r="PV1" t="str">
        <v>KLM(I)(Z)&gt;NBY(I)(Z)_110L1</v>
      </c>
      <c r="PW1" t="str">
        <v>KLM(I)(Z)&gt;POP(I)(Z)_110L1</v>
      </c>
      <c r="PX1" t="str">
        <v>KLN(I)(Z)&gt;CUR(I)(Z)_110L1</v>
      </c>
      <c r="PY1" t="str">
        <v>KLN(I)(Z)&gt;KPG(I)(Z)_220L1</v>
      </c>
      <c r="PZ1" t="str">
        <v>KLN(I)(Z)&gt;KRA(I)(Z)_220L1</v>
      </c>
      <c r="QA1" t="str">
        <v>KLN(I)(Z)&gt;LIM(I)(Z)_110L1</v>
      </c>
      <c r="QB1" t="str">
        <v>KLN(I)(Z)&gt;LIM(I)(Z)_110L2</v>
      </c>
      <c r="QC1" t="str">
        <v>KLN(I)(Z)&gt;SH(I)(Z)_220L1</v>
      </c>
      <c r="QD1" t="str">
        <v>KLN(I)(Z)&gt;SNG(I)(Z)_110L1</v>
      </c>
      <c r="QE1" t="str">
        <v>KLP(I)(Z)&gt;CNG(I)(Z)_110L1</v>
      </c>
      <c r="QF1" t="str">
        <v>KLP(I)(Z)&gt;KNR(I)(Z)_110L1</v>
      </c>
      <c r="QG1" t="str">
        <v>KLP(I)(Z)&gt;KNR(I)(Z)_220L1</v>
      </c>
      <c r="QH1" t="str">
        <v>KLP(I)(Z)&gt;KNR(I)(Z)_220L2</v>
      </c>
      <c r="QI1" t="str">
        <v>KLP(I)(Z)&gt;MP(I)(Z)_220L1</v>
      </c>
      <c r="QJ1" t="str">
        <v>KLP(I)(Z)&gt;MP(I)(Z)_220L2</v>
      </c>
      <c r="QK1" t="str">
        <v>KLP(I)(Z)&gt;RAT(I)(Z)_110L1</v>
      </c>
      <c r="QL1" t="str">
        <v>KLP(I)(Z)&gt;TB(I)(Z)_110L1</v>
      </c>
      <c r="QM1" t="str">
        <v>KLP(I)(Z)&gt;TB(I)(Z)_110L2</v>
      </c>
      <c r="QN1" t="str">
        <v>KLP(I)(Z)&gt;TB(I)(Z)_220L1</v>
      </c>
      <c r="QO1" t="str">
        <v>KLP(I)(Z)&gt;TB(I)(Z)_220L2</v>
      </c>
      <c r="QP1" t="str">
        <v>KLP(I)(Z)&gt;TRL(I)(Z)_110L1</v>
      </c>
      <c r="QQ1" t="str">
        <v>KLP(I)(Z)&gt;TRL(I)(Z)_110L2</v>
      </c>
      <c r="QR1" t="str">
        <v>KLS(I)(Z)&gt;KKY(I)(Z)_110L1</v>
      </c>
      <c r="QS1" t="str">
        <v>KMT(N)(Z)&gt;SLK(N)(Z)_110L1</v>
      </c>
      <c r="QT1" t="str">
        <v>KMT(N)(Z)&gt;STR(N)(Z)_110L1</v>
      </c>
      <c r="QU1" t="str">
        <v>KNR(I)(Z)&gt;BYH(I)(Z)_220L1</v>
      </c>
      <c r="QV1" t="str">
        <v>KNR(I)(Z)&gt;TRI(I)(Z)_110L1</v>
      </c>
      <c r="QW1" t="str">
        <v>KNR(I)(Z)&gt;TRI(I)(Z)_110L2</v>
      </c>
      <c r="QX1" t="str">
        <v>KNY(I)(Z)&gt;BUF(I)(Z)_110L1</v>
      </c>
      <c r="QY1" t="str">
        <v>KNY(I)(Z)&gt;KLH(I)(Z)_110L1</v>
      </c>
      <c r="QZ1" t="str">
        <v>KNY(I)(Z)&gt;SAL(I)(Z)_110L1</v>
      </c>
      <c r="RA1" t="str">
        <v>KNY(I)(Z)&gt;SCR(I)(Z)_110L1</v>
      </c>
      <c r="RB1" t="str">
        <v>KNY(I)(Z)&gt;UGL(I)(Z)_110L1</v>
      </c>
      <c r="RC1" t="str">
        <v>KPS(N)(Z)&gt;TAN(N)(Z)_275L1</v>
      </c>
      <c r="RD1" t="str">
        <v>KRA(I)(Z)&gt;BAR(I)(T)_110L1</v>
      </c>
      <c r="RE1" t="str">
        <v>KRA(I)(Z)&gt;LGT(I)(T)_110L1</v>
      </c>
      <c r="RF1" t="str">
        <v>KRA(I)(Z)&gt;MEN(I)(Z)_110L1</v>
      </c>
      <c r="RG1" t="str">
        <v>KRA(I)(Z)&gt;MID(I)(Z)_110L1</v>
      </c>
      <c r="RH1" t="str">
        <v>KRA(I)(Z)&gt;RAF(I)(Z)_220L1</v>
      </c>
      <c r="RI1" t="str">
        <v>KRA(I)(Z)&gt;WHO(I)(Z)_110L1</v>
      </c>
      <c r="RJ1" t="str">
        <v>KTL(I)(Z)&gt;MAY(I)(Z)_110L1</v>
      </c>
      <c r="RK1" t="str">
        <v>KTL(I)(Z)&gt;MON(I)(Z)_110L1</v>
      </c>
      <c r="RL1" t="str">
        <v>KTN(I)(Z)&gt;WAT(I)(Z)_110L1</v>
      </c>
      <c r="RM1" t="str">
        <v>KUD(I)(Z)&gt;CBT(I)(Z)_110L1</v>
      </c>
      <c r="RN1" t="str">
        <v>KUR(I)(Z)&gt;NAV(I)(Z)_110L1</v>
      </c>
      <c r="RO1" t="str">
        <v>KYT(I)(Z)&gt;MAY(I)(Z)_220L1</v>
      </c>
      <c r="RP1" t="str">
        <v>KYT(I)(Z)&gt;WOO(I)(Z)_220L1</v>
      </c>
      <c r="RQ1" t="str">
        <v>LA(I)(Z)&gt;MUL(I)(Z)_110L1</v>
      </c>
      <c r="RR1" t="str">
        <v>LA(I)(Z)&gt;RIC(I)(Z)_110L1</v>
      </c>
      <c r="RS1" t="str">
        <v>LA(I)(Z)&gt;RIC(I)(Z)_110L2</v>
      </c>
      <c r="RT1" t="str">
        <v>LA(I)(Z)&gt;SLB(I)(Z)_110L1</v>
      </c>
      <c r="RU1" t="str">
        <v>LNA(I)(Z)&gt;TIV(I)(Z)_110L1</v>
      </c>
      <c r="RV1" t="str">
        <v>LCK(I)(Z)&gt;MUL(I)(Z)_110L1</v>
      </c>
      <c r="RW1" t="str">
        <v>LET(I)(Z)&gt;GOL(I)(T)_110L1</v>
      </c>
      <c r="RX1" t="str">
        <v>LET(I)(Z)&gt;STR(N)(Z)_110L1</v>
      </c>
      <c r="RY1" t="str">
        <v>LET(I)(Z)&gt;TIV(I)(Z)_110L1</v>
      </c>
      <c r="RZ1" t="str">
        <v>LET(I)(Z)&gt;TLK(I)(Z)_110L1</v>
      </c>
      <c r="SA1" t="str">
        <v>LET(I)(Z)&gt;LNA(I)(Z)_110L1</v>
      </c>
      <c r="SB1" t="str">
        <v>LIB(I)(Z)&gt;MR(I)(Z)_110L1</v>
      </c>
      <c r="SC1" t="str">
        <v>LIB(I)(Z)&gt;MR(I)(Z)_110L2</v>
      </c>
      <c r="SD1" t="str">
        <v>LIM(I)(Z)&gt;MTN(I)(Z)_110L1</v>
      </c>
      <c r="SE1" t="str">
        <v>LIM(I)(Z)&gt;RAT(I)(Z)_110L1</v>
      </c>
      <c r="SF1" t="str">
        <v>LIS(I)(Z)&gt;LOU(I)(Z)_110L1</v>
      </c>
      <c r="SG1" t="str">
        <v>LIS(I)(Z)&gt;LSA(I)(T)_110L1</v>
      </c>
      <c r="SH1" t="str">
        <v>LSA(I)(T)&gt;SKL(I)(Z)_110L1</v>
      </c>
      <c r="SI1" t="str">
        <v>LIS(N)(Z)&gt;TAN(N)(Z)_110L1</v>
      </c>
      <c r="SJ1" t="str">
        <v>LIS(N)(Z)&gt;TAN(N)(Z)_110L2</v>
      </c>
      <c r="SK1" t="str">
        <v>LOU(I)(Z)&gt;MLN(I)(Z)_110L1</v>
      </c>
      <c r="SL1" t="str">
        <v>LOU(I)(Z)&gt;MTH(I)(Z)_110L1</v>
      </c>
      <c r="SM1" t="str">
        <v>LOU(I)(Z)&gt;RRU(I)(Z)_110L1</v>
      </c>
      <c r="SN1" t="str">
        <v>LOU(I)(Z)&gt;TAN(N)(Z)_275L1</v>
      </c>
      <c r="SO1" t="str">
        <v>LOU(I)(Z)&gt;TAN(N)(Z)_275L2</v>
      </c>
      <c r="SP1" t="str">
        <v>LOU(I)(Z)&gt;WOO(I)(Z)_220L1</v>
      </c>
      <c r="SQ1" t="str">
        <v>LSA(I)(Z)&gt;LSA(I)(T)_110L1</v>
      </c>
      <c r="SR1" t="str">
        <v>LSN(I)(Z)&gt;THU(I)(Z)_110L1</v>
      </c>
      <c r="SS1" t="str">
        <v>MAG(N)(Z)&gt;TMN(N)(Z)_275L1</v>
      </c>
      <c r="ST1" t="str">
        <v>MAG(N)(Z)&gt;TMN(N)(Z)_275L2</v>
      </c>
      <c r="SU1" t="str">
        <v>MAY(I)(Z)&gt;BLK(I)(Z)_110L1</v>
      </c>
      <c r="SV1" t="str">
        <v>MAY(I)(Z)&gt;GRI(I)(Z)_110L1</v>
      </c>
      <c r="SW1" t="str">
        <v>MAY(I)(Z)&gt;RNW(I)(Z)_110L1</v>
      </c>
      <c r="SX1" t="str">
        <v>MAY(I)(Z)&gt;RYB(I)(Z)_110L1</v>
      </c>
      <c r="SY1" t="str">
        <v>MAY(I)(Z)&gt;SH(I)(Z)_220L1</v>
      </c>
      <c r="SZ1" t="str">
        <v>MAY(I)(Z)&gt;TH(I)(Z)_220L1</v>
      </c>
      <c r="TA1" t="str">
        <v>MAY(I)(Z)&gt;WOO(I)(Z)_220L1</v>
      </c>
      <c r="TB1" t="str">
        <v>MCD(I)(Z)&gt;NQS(I)(Z)_110L1</v>
      </c>
      <c r="TC1" t="str">
        <v>MCD(I)(Z)&gt;WOL(I)(Z)_110L1</v>
      </c>
      <c r="TD1" t="str">
        <v>MHL(I)(Z)&gt;RE(I)(Z)_110L1</v>
      </c>
      <c r="TE1" t="str">
        <v>MHL(I)(Z)&gt;TRN(I)(Z)_110L1</v>
      </c>
      <c r="TF1" t="str">
        <v>MID(I)(Z)&gt;WHI(I)(Z)_110L1</v>
      </c>
      <c r="TG1" t="str">
        <v>MID(I)(Z)&gt;LGT(I)(Z)_110L1</v>
      </c>
      <c r="TH1" t="str">
        <v>MIL(I)(Z)&gt;RE(I)(Z)_110L1</v>
      </c>
      <c r="TI1" t="str">
        <v>MIL(I)(Z)&gt;RE(I)(Z)_110L2</v>
      </c>
      <c r="TJ1" t="str">
        <v>MKL(N)(Z)&gt;OMA(N)(Z)_110L1</v>
      </c>
      <c r="TK1" t="str">
        <v>MLC(I)(Z)&gt;TSB(I)(Z)_110L1</v>
      </c>
      <c r="TL1" t="str">
        <v>MNH(I)(Z)&gt;MTA(I)(Z)_110L1</v>
      </c>
      <c r="TM1" t="str">
        <v>MOY(I)(Z)&gt;TAW(I)(Z)_110L1</v>
      </c>
      <c r="TN1" t="str">
        <v>MOY(I)(Z)&gt;TAW(I)(Z)_110L2</v>
      </c>
      <c r="TO1" t="str">
        <v>MP(I)(Z)&gt;OST(I)(Z)_380L1</v>
      </c>
      <c r="TP1" t="str">
        <v>MP(I)(Z)&gt;PRO(I)(Z)_220L1</v>
      </c>
      <c r="TQ1" t="str">
        <v>MP(I)(Z)&gt;TBK(I)(T)_110L1</v>
      </c>
      <c r="TR1" t="str">
        <v>MR(I)(Z)&gt;TBG(I)(Z)_110L1</v>
      </c>
      <c r="TS1" t="str">
        <v>MR(I)(Z)&gt;TBG(I)(Z)_110L2</v>
      </c>
      <c r="TT1" t="str">
        <v>MTN(I)(Z)&gt;MUN(I)(Z)_110L1</v>
      </c>
      <c r="TU1" t="str">
        <v>MTN(I)(Z)&gt;MUN(I)(Z)_110L2</v>
      </c>
      <c r="TV1" t="str">
        <v>NEW(I)(Z)&gt;BLK(I)(Z)_110L1</v>
      </c>
      <c r="TW1" t="str">
        <v>NEW(I)(Z)&gt;PLS(I)(Z)_110L1</v>
      </c>
      <c r="TX1" t="str">
        <v>NEW(N)(Z)&gt;TAN(N)(Z)_110L1</v>
      </c>
      <c r="TY1" t="str">
        <v>NEW(N)(Z)&gt;TAN(N)(Z)_110L2</v>
      </c>
      <c r="TZ1" t="str">
        <v>NQS(I)(Z)&gt;RE(I)(Z)_110L1</v>
      </c>
      <c r="UA1" t="str">
        <v>NW(I)(Z)&gt;PB(I)(Z)_220L1</v>
      </c>
      <c r="UB1" t="str">
        <v>OMA(N)(Z)&gt;STR(N)(Z)_110L1</v>
      </c>
      <c r="UC1" t="str">
        <v>OMA(N)(Z)&gt;STR(N)(Z)_110L2</v>
      </c>
      <c r="UD1" t="str">
        <v>OMA(N)(Z)&gt;TRE(N)(Z)_110L1</v>
      </c>
      <c r="UE1" t="str">
        <v>ONH(I)(Z)&gt;MOY(I)(Z)_110L1</v>
      </c>
      <c r="UF1" t="str">
        <v>OST(I)(Z)&gt;TYN(I)(Z)_220L1</v>
      </c>
      <c r="UG1" t="str">
        <v>OST(I)(Z)&gt;WOO(I)(Z)_380L1</v>
      </c>
      <c r="UH1" t="str">
        <v>OUG(I)(Z)&gt;OUG(I)(T)_110L1</v>
      </c>
      <c r="UI1" t="str">
        <v>PA(I)(Z)&gt;STR(I)(T)_110L1</v>
      </c>
      <c r="UJ1" t="str">
        <v>PB(I)(Z)&gt;CKM(I)(Z)_220L1</v>
      </c>
      <c r="UK1" t="str">
        <v>PB(I)(Z)&gt;RE(I)(Z)_110L1</v>
      </c>
      <c r="UL1" t="str">
        <v>PB(I)(Z)&gt;RE(I)(Z)_110L2</v>
      </c>
      <c r="UM1" t="str">
        <v>PB(I)(Z)&gt;SHL(I)(Z)_220L1</v>
      </c>
      <c r="UN1" t="str">
        <v>PLA(I)(Z)&gt;OBE(I)(Z)_220L1</v>
      </c>
      <c r="UO1" t="str">
        <v>PPT(I)(Z)&gt;PLS(I)(Z)_110L1</v>
      </c>
      <c r="UP1" t="str">
        <v>PRO(I)(Z)&gt;TB(I)(Z)_220L1</v>
      </c>
      <c r="UQ1" t="str">
        <v>RAF(I)(Z)&gt;RSY(I)(Z)_110L1</v>
      </c>
      <c r="UR1" t="str">
        <v>RAF(I)(Z)&gt;TBG(I)(Z)_110L1</v>
      </c>
      <c r="US1" t="str">
        <v>RAF(I)(Z)&gt;TBG(I)(Z)_110L2</v>
      </c>
      <c r="UT1" t="str">
        <v>RE(I)(Z)&gt;WBK(I)(Z)_110L1</v>
      </c>
      <c r="UU1" t="str">
        <v>REM(I)(Z)&gt;TRL(I)(Z)_110L1</v>
      </c>
      <c r="UV1" t="str">
        <v>RNW(I)(Z)&gt;DFR(I)(T)_110L1</v>
      </c>
      <c r="UW1" t="str">
        <v>RRU(I)(Z)&gt;SKL(I)(Z)_110L1</v>
      </c>
      <c r="UX1" t="str">
        <v>SBH(I)(Z)&gt;MCE(I)(Z)_110L1</v>
      </c>
      <c r="UY1" t="str">
        <v>SH(I)(Z)&gt;DAL(I)(T)_110L1</v>
      </c>
      <c r="UZ1" t="str">
        <v>SH(I)(Z)&gt;IKE(I)(T)_110L1</v>
      </c>
      <c r="VA1" t="str">
        <v>SH(I)(Z)&gt;SOM(I)(T)_110L1</v>
      </c>
      <c r="VB1" t="str">
        <v>SLI(I)(Z)&gt;SRA(I)(Z)_110L1</v>
      </c>
      <c r="VC1" t="str">
        <v>SLI(I)(Z)&gt;SRA(I)(Z)_110L2</v>
      </c>
      <c r="VD1" t="str">
        <v>SOM(I)(Z)&gt;SOM(I)(T)_110L1</v>
      </c>
      <c r="VE1" t="str">
        <v>SOR(I)(Z)&gt;TLK(I)(Z)_110L1</v>
      </c>
      <c r="VF1" t="str">
        <v>STR(I)(Z)&gt;STR(I)(T)_110L1</v>
      </c>
      <c r="VG1" t="str">
        <v>TAN(N)(Z)&gt;TMN(N)(Z)_275L1</v>
      </c>
      <c r="VH1" t="str">
        <v>TAN(N)(Z)&gt;TMN(N)(Z)_275L2</v>
      </c>
      <c r="VI1" t="str">
        <v>TAN(N)(Z)&gt;WAR(N)(Z)_110L1</v>
      </c>
      <c r="VJ1" t="str">
        <v>TAN(N)(Z)&gt;WAR(N)(Z)_110L2</v>
      </c>
      <c r="VK1" t="str">
        <v>TBK(I)(Z)&gt;TBK(I)(T)_110L1</v>
      </c>
      <c r="VL1" t="str">
        <v>THU(I)(Z)&gt;IKE(I)(T)_110L1</v>
      </c>
      <c r="VM1" t="str">
        <v>TRE(N)(Z)&gt;TMN(N)(Z)_110L1</v>
      </c>
      <c r="VN1" t="str">
        <v>TRL(I)(Z)&gt;OUG(I)(T)_110L1</v>
      </c>
      <c r="VO1" t="str">
        <v>WOO(I)(Z)&gt;PRT(I)(Z)_380L1</v>
      </c>
    </row>
    <row r="2" spans="1:587" x14ac:dyDescent="0.3">
      <c r="A2" t="s">
        <v>2997</v>
      </c>
      <c r="B2" cm="1">
        <f t="array" ref="B2:VO2">1*TRANSPOSE(_xlfn._xlws.FILTER(branch!$I$2:$I$591,branch!$D$2:$D$591&lt;&gt;0))</f>
        <v>99</v>
      </c>
      <c r="C2">
        <v>99</v>
      </c>
      <c r="D2">
        <v>178</v>
      </c>
      <c r="E2">
        <v>145</v>
      </c>
      <c r="F2">
        <v>536</v>
      </c>
      <c r="G2">
        <v>393</v>
      </c>
      <c r="H2">
        <v>393</v>
      </c>
      <c r="I2">
        <v>593</v>
      </c>
      <c r="J2">
        <v>434</v>
      </c>
      <c r="K2">
        <v>99</v>
      </c>
      <c r="L2">
        <v>140</v>
      </c>
      <c r="M2">
        <v>103</v>
      </c>
      <c r="N2">
        <v>109</v>
      </c>
      <c r="O2">
        <v>105</v>
      </c>
      <c r="P2">
        <v>99</v>
      </c>
      <c r="Q2">
        <v>187</v>
      </c>
      <c r="R2">
        <v>187</v>
      </c>
      <c r="S2">
        <v>187</v>
      </c>
      <c r="T2">
        <v>104</v>
      </c>
      <c r="U2">
        <v>112</v>
      </c>
      <c r="V2">
        <v>105</v>
      </c>
      <c r="W2">
        <v>82</v>
      </c>
      <c r="X2">
        <v>82</v>
      </c>
      <c r="Y2">
        <v>105</v>
      </c>
      <c r="Z2">
        <v>105</v>
      </c>
      <c r="AA2">
        <v>99</v>
      </c>
      <c r="AB2">
        <v>178</v>
      </c>
      <c r="AC2">
        <v>434</v>
      </c>
      <c r="AD2">
        <v>434</v>
      </c>
      <c r="AE2">
        <v>34</v>
      </c>
      <c r="AF2">
        <v>120</v>
      </c>
      <c r="AG2">
        <v>120</v>
      </c>
      <c r="AH2">
        <v>104</v>
      </c>
      <c r="AI2">
        <v>178</v>
      </c>
      <c r="AJ2">
        <v>178</v>
      </c>
      <c r="AK2">
        <v>178</v>
      </c>
      <c r="AL2">
        <v>178</v>
      </c>
      <c r="AM2">
        <v>120</v>
      </c>
      <c r="AN2">
        <v>178</v>
      </c>
      <c r="AO2">
        <v>99</v>
      </c>
      <c r="AP2">
        <v>178</v>
      </c>
      <c r="AQ2">
        <v>140</v>
      </c>
      <c r="AR2">
        <v>140</v>
      </c>
      <c r="AS2">
        <v>99</v>
      </c>
      <c r="AT2">
        <v>105</v>
      </c>
      <c r="AU2">
        <v>99</v>
      </c>
      <c r="AV2">
        <v>96</v>
      </c>
      <c r="AW2">
        <v>96</v>
      </c>
      <c r="AX2">
        <v>178</v>
      </c>
      <c r="AY2">
        <v>178</v>
      </c>
      <c r="AZ2">
        <v>120</v>
      </c>
      <c r="BA2">
        <v>120</v>
      </c>
      <c r="BB2">
        <v>178</v>
      </c>
      <c r="BC2">
        <v>178</v>
      </c>
      <c r="BD2">
        <v>178</v>
      </c>
      <c r="BE2">
        <v>105</v>
      </c>
      <c r="BF2">
        <v>99</v>
      </c>
      <c r="BG2">
        <v>99</v>
      </c>
      <c r="BH2">
        <v>99</v>
      </c>
      <c r="BI2">
        <v>82</v>
      </c>
      <c r="BJ2">
        <v>82</v>
      </c>
      <c r="BK2">
        <v>136</v>
      </c>
      <c r="BL2">
        <v>140</v>
      </c>
      <c r="BM2">
        <v>130</v>
      </c>
      <c r="BN2">
        <v>99</v>
      </c>
      <c r="BO2">
        <v>122</v>
      </c>
      <c r="BP2">
        <v>196</v>
      </c>
      <c r="BQ2">
        <v>178</v>
      </c>
      <c r="BR2">
        <v>136</v>
      </c>
      <c r="BS2">
        <v>178</v>
      </c>
      <c r="BT2">
        <v>124</v>
      </c>
      <c r="BU2">
        <v>178</v>
      </c>
      <c r="BV2">
        <v>178</v>
      </c>
      <c r="BW2">
        <v>178</v>
      </c>
      <c r="BX2">
        <v>99</v>
      </c>
      <c r="BY2">
        <v>136</v>
      </c>
      <c r="BZ2">
        <v>195</v>
      </c>
      <c r="CA2">
        <v>178</v>
      </c>
      <c r="CB2">
        <v>178</v>
      </c>
      <c r="CC2">
        <v>192</v>
      </c>
      <c r="CD2">
        <v>187</v>
      </c>
      <c r="CE2">
        <v>120</v>
      </c>
      <c r="CF2">
        <v>187</v>
      </c>
      <c r="CG2">
        <v>187</v>
      </c>
      <c r="CH2">
        <v>187</v>
      </c>
      <c r="CI2">
        <v>119</v>
      </c>
      <c r="CJ2">
        <v>119</v>
      </c>
      <c r="CK2">
        <v>570</v>
      </c>
      <c r="CL2">
        <v>570</v>
      </c>
      <c r="CM2">
        <v>140</v>
      </c>
      <c r="CN2">
        <v>140</v>
      </c>
      <c r="CO2">
        <v>842</v>
      </c>
      <c r="CP2">
        <v>105</v>
      </c>
      <c r="CQ2">
        <v>109</v>
      </c>
      <c r="CR2">
        <v>109</v>
      </c>
      <c r="CS2">
        <v>82</v>
      </c>
      <c r="CT2">
        <v>82</v>
      </c>
      <c r="CU2">
        <v>75</v>
      </c>
      <c r="CV2">
        <v>75</v>
      </c>
      <c r="CW2">
        <v>178</v>
      </c>
      <c r="CX2">
        <v>178</v>
      </c>
      <c r="CY2">
        <v>178</v>
      </c>
      <c r="CZ2">
        <v>178</v>
      </c>
      <c r="DA2">
        <v>82</v>
      </c>
      <c r="DB2">
        <v>82</v>
      </c>
      <c r="DC2">
        <v>710</v>
      </c>
      <c r="DD2">
        <v>69</v>
      </c>
      <c r="DE2">
        <v>70</v>
      </c>
      <c r="DF2">
        <v>710</v>
      </c>
      <c r="DG2">
        <v>710</v>
      </c>
      <c r="DH2">
        <v>710</v>
      </c>
      <c r="DI2">
        <v>144</v>
      </c>
      <c r="DJ2">
        <v>63</v>
      </c>
      <c r="DK2">
        <v>99</v>
      </c>
      <c r="DL2">
        <v>570</v>
      </c>
      <c r="DM2">
        <v>570</v>
      </c>
      <c r="DN2">
        <v>178</v>
      </c>
      <c r="DO2">
        <v>200</v>
      </c>
      <c r="DP2">
        <v>109</v>
      </c>
      <c r="DQ2">
        <v>109</v>
      </c>
      <c r="DR2">
        <v>79</v>
      </c>
      <c r="DS2">
        <v>79</v>
      </c>
      <c r="DT2">
        <v>434</v>
      </c>
      <c r="DU2">
        <v>740</v>
      </c>
      <c r="DV2">
        <v>228</v>
      </c>
      <c r="DW2">
        <v>115</v>
      </c>
      <c r="DX2">
        <v>195</v>
      </c>
      <c r="DY2">
        <v>124</v>
      </c>
      <c r="DZ2">
        <v>80</v>
      </c>
      <c r="EA2">
        <v>120</v>
      </c>
      <c r="EB2">
        <v>105</v>
      </c>
      <c r="EC2">
        <v>178</v>
      </c>
      <c r="ED2">
        <v>178</v>
      </c>
      <c r="EE2">
        <v>178</v>
      </c>
      <c r="EF2">
        <v>69</v>
      </c>
      <c r="EG2">
        <v>70</v>
      </c>
      <c r="EH2">
        <v>69</v>
      </c>
      <c r="EI2">
        <v>69</v>
      </c>
      <c r="EJ2">
        <v>132</v>
      </c>
      <c r="EK2">
        <v>132</v>
      </c>
      <c r="EL2">
        <v>710</v>
      </c>
      <c r="EM2">
        <v>710</v>
      </c>
      <c r="EN2">
        <v>66</v>
      </c>
      <c r="EO2">
        <v>66</v>
      </c>
      <c r="EP2">
        <v>710</v>
      </c>
      <c r="EQ2">
        <v>109</v>
      </c>
      <c r="ER2">
        <v>109</v>
      </c>
      <c r="ES2">
        <v>82</v>
      </c>
      <c r="ET2">
        <v>82</v>
      </c>
      <c r="EU2">
        <v>144</v>
      </c>
      <c r="EV2">
        <v>144</v>
      </c>
      <c r="EW2">
        <v>710</v>
      </c>
      <c r="EX2">
        <v>178</v>
      </c>
      <c r="EY2">
        <v>124</v>
      </c>
      <c r="EZ2">
        <v>99</v>
      </c>
      <c r="FA2">
        <v>99</v>
      </c>
      <c r="FB2">
        <v>99</v>
      </c>
      <c r="FC2">
        <v>761</v>
      </c>
      <c r="FD2">
        <v>187</v>
      </c>
      <c r="FE2">
        <v>761</v>
      </c>
      <c r="FF2">
        <v>761</v>
      </c>
      <c r="FG2">
        <v>761</v>
      </c>
      <c r="FH2">
        <v>178</v>
      </c>
      <c r="FI2">
        <v>178</v>
      </c>
      <c r="FJ2">
        <v>115</v>
      </c>
      <c r="FK2">
        <v>434</v>
      </c>
      <c r="FL2">
        <v>434</v>
      </c>
      <c r="FM2">
        <v>555</v>
      </c>
      <c r="FN2">
        <v>123</v>
      </c>
      <c r="FO2">
        <v>178</v>
      </c>
      <c r="FP2">
        <v>130</v>
      </c>
      <c r="FQ2">
        <v>178</v>
      </c>
      <c r="FR2">
        <v>103</v>
      </c>
      <c r="FS2">
        <v>238</v>
      </c>
      <c r="FT2">
        <v>434</v>
      </c>
      <c r="FU2">
        <v>178</v>
      </c>
      <c r="FV2">
        <v>132</v>
      </c>
      <c r="FW2">
        <v>178</v>
      </c>
      <c r="FX2">
        <v>144</v>
      </c>
      <c r="FY2">
        <v>144</v>
      </c>
      <c r="FZ2">
        <v>140</v>
      </c>
      <c r="GA2">
        <v>140</v>
      </c>
      <c r="GB2">
        <v>136</v>
      </c>
      <c r="GC2">
        <v>178</v>
      </c>
      <c r="GD2">
        <v>178</v>
      </c>
      <c r="GE2">
        <v>178</v>
      </c>
      <c r="GF2">
        <v>196</v>
      </c>
      <c r="GG2">
        <v>178</v>
      </c>
      <c r="GH2">
        <v>178</v>
      </c>
      <c r="GI2">
        <v>178</v>
      </c>
      <c r="GJ2">
        <v>130</v>
      </c>
      <c r="GK2">
        <v>99</v>
      </c>
      <c r="GL2">
        <v>136</v>
      </c>
      <c r="GM2">
        <v>178</v>
      </c>
      <c r="GN2">
        <v>105</v>
      </c>
      <c r="GO2">
        <v>187</v>
      </c>
      <c r="GP2">
        <v>187</v>
      </c>
      <c r="GQ2">
        <v>187</v>
      </c>
      <c r="GR2">
        <v>105</v>
      </c>
      <c r="GS2">
        <v>130</v>
      </c>
      <c r="GT2">
        <v>434</v>
      </c>
      <c r="GU2">
        <v>105</v>
      </c>
      <c r="GV2">
        <v>105</v>
      </c>
      <c r="GW2">
        <v>593</v>
      </c>
      <c r="GX2">
        <v>119</v>
      </c>
      <c r="GY2">
        <v>178</v>
      </c>
      <c r="GZ2">
        <v>120</v>
      </c>
      <c r="HA2">
        <v>178</v>
      </c>
      <c r="HB2">
        <v>178</v>
      </c>
      <c r="HC2">
        <v>178</v>
      </c>
      <c r="HD2">
        <v>646</v>
      </c>
      <c r="HE2">
        <v>161</v>
      </c>
      <c r="HF2">
        <v>161</v>
      </c>
      <c r="HG2">
        <v>434</v>
      </c>
      <c r="HH2">
        <v>434</v>
      </c>
      <c r="HI2">
        <v>187</v>
      </c>
      <c r="HJ2">
        <v>124</v>
      </c>
      <c r="HK2">
        <v>99</v>
      </c>
      <c r="HL2">
        <v>105</v>
      </c>
      <c r="HM2">
        <v>63</v>
      </c>
      <c r="HN2">
        <v>178</v>
      </c>
      <c r="HO2">
        <v>187</v>
      </c>
      <c r="HP2">
        <v>136</v>
      </c>
      <c r="HQ2">
        <v>187</v>
      </c>
      <c r="HR2">
        <v>187</v>
      </c>
      <c r="HS2">
        <v>99</v>
      </c>
      <c r="HT2">
        <v>99</v>
      </c>
      <c r="HU2">
        <v>105</v>
      </c>
      <c r="HV2">
        <v>178</v>
      </c>
      <c r="HW2">
        <v>178</v>
      </c>
      <c r="HX2">
        <v>1577</v>
      </c>
      <c r="HY2">
        <v>1577</v>
      </c>
      <c r="HZ2">
        <v>143</v>
      </c>
      <c r="IA2">
        <v>104</v>
      </c>
      <c r="IB2">
        <v>82</v>
      </c>
      <c r="IC2">
        <v>82</v>
      </c>
      <c r="ID2">
        <v>82</v>
      </c>
      <c r="IE2">
        <v>82</v>
      </c>
      <c r="IF2">
        <v>186</v>
      </c>
      <c r="IG2">
        <v>124</v>
      </c>
      <c r="IH2">
        <v>136</v>
      </c>
      <c r="II2">
        <v>99</v>
      </c>
      <c r="IJ2">
        <v>178</v>
      </c>
      <c r="IK2">
        <v>178</v>
      </c>
      <c r="IL2">
        <v>99</v>
      </c>
      <c r="IM2">
        <v>99</v>
      </c>
      <c r="IN2">
        <v>105</v>
      </c>
      <c r="IO2">
        <v>105</v>
      </c>
      <c r="IP2">
        <v>99</v>
      </c>
      <c r="IQ2">
        <v>99</v>
      </c>
      <c r="IR2">
        <v>100</v>
      </c>
      <c r="IS2">
        <v>100</v>
      </c>
      <c r="IT2">
        <v>200</v>
      </c>
      <c r="IU2">
        <v>143</v>
      </c>
      <c r="IV2">
        <v>82</v>
      </c>
      <c r="IW2">
        <v>82</v>
      </c>
      <c r="IX2">
        <v>82</v>
      </c>
      <c r="IY2">
        <v>412</v>
      </c>
      <c r="IZ2">
        <v>412</v>
      </c>
      <c r="JA2">
        <v>82</v>
      </c>
      <c r="JB2">
        <v>82</v>
      </c>
      <c r="JC2">
        <v>109</v>
      </c>
      <c r="JD2">
        <v>178</v>
      </c>
      <c r="JE2">
        <v>99</v>
      </c>
      <c r="JF2">
        <v>82</v>
      </c>
      <c r="JG2">
        <v>109</v>
      </c>
      <c r="JH2">
        <v>140</v>
      </c>
      <c r="JI2">
        <v>140</v>
      </c>
      <c r="JJ2">
        <v>196</v>
      </c>
      <c r="JK2">
        <v>178</v>
      </c>
      <c r="JL2">
        <v>178</v>
      </c>
      <c r="JM2">
        <v>99</v>
      </c>
      <c r="JN2">
        <v>178</v>
      </c>
      <c r="JO2">
        <v>350</v>
      </c>
      <c r="JP2">
        <v>99</v>
      </c>
      <c r="JQ2">
        <v>99</v>
      </c>
      <c r="JR2">
        <v>99</v>
      </c>
      <c r="JS2">
        <v>392</v>
      </c>
      <c r="JT2">
        <v>97</v>
      </c>
      <c r="JU2">
        <v>99</v>
      </c>
      <c r="JV2">
        <v>761</v>
      </c>
      <c r="JW2">
        <v>178</v>
      </c>
      <c r="JX2">
        <v>124</v>
      </c>
      <c r="JY2">
        <v>103</v>
      </c>
      <c r="JZ2">
        <v>178</v>
      </c>
      <c r="KA2">
        <v>746</v>
      </c>
      <c r="KB2">
        <v>646</v>
      </c>
      <c r="KC2">
        <v>178</v>
      </c>
      <c r="KD2">
        <v>178</v>
      </c>
      <c r="KE2">
        <v>178</v>
      </c>
      <c r="KF2">
        <v>178</v>
      </c>
      <c r="KG2">
        <v>190</v>
      </c>
      <c r="KH2">
        <v>105</v>
      </c>
      <c r="KI2">
        <v>136</v>
      </c>
      <c r="KJ2">
        <v>134</v>
      </c>
      <c r="KK2">
        <v>136</v>
      </c>
      <c r="KL2">
        <v>136</v>
      </c>
      <c r="KM2">
        <v>99</v>
      </c>
      <c r="KN2">
        <v>105</v>
      </c>
      <c r="KO2">
        <v>99</v>
      </c>
      <c r="KP2">
        <v>105</v>
      </c>
      <c r="KQ2">
        <v>99</v>
      </c>
      <c r="KR2">
        <v>99</v>
      </c>
      <c r="KS2">
        <v>99</v>
      </c>
      <c r="KT2">
        <v>74</v>
      </c>
      <c r="KU2">
        <v>74</v>
      </c>
      <c r="KV2">
        <v>99</v>
      </c>
      <c r="KW2">
        <v>178</v>
      </c>
      <c r="KX2">
        <v>178</v>
      </c>
      <c r="KY2">
        <v>99</v>
      </c>
      <c r="KZ2">
        <v>104</v>
      </c>
      <c r="LA2">
        <v>178</v>
      </c>
      <c r="LB2">
        <v>178</v>
      </c>
      <c r="LC2">
        <v>211</v>
      </c>
      <c r="LD2">
        <v>196</v>
      </c>
      <c r="LE2">
        <v>69</v>
      </c>
      <c r="LF2">
        <v>69</v>
      </c>
      <c r="LG2">
        <v>144</v>
      </c>
      <c r="LH2">
        <v>144</v>
      </c>
      <c r="LI2">
        <v>103</v>
      </c>
      <c r="LJ2">
        <v>99</v>
      </c>
      <c r="LK2">
        <v>99</v>
      </c>
      <c r="LL2">
        <v>82</v>
      </c>
      <c r="LM2">
        <v>82</v>
      </c>
      <c r="LN2">
        <v>82</v>
      </c>
      <c r="LO2">
        <v>82</v>
      </c>
      <c r="LP2">
        <v>82</v>
      </c>
      <c r="LQ2">
        <v>99</v>
      </c>
      <c r="LR2">
        <v>79</v>
      </c>
      <c r="LS2">
        <v>79</v>
      </c>
      <c r="LT2">
        <v>108</v>
      </c>
      <c r="LU2">
        <v>109</v>
      </c>
      <c r="LV2">
        <v>109</v>
      </c>
      <c r="LW2">
        <v>99</v>
      </c>
      <c r="LX2">
        <v>99</v>
      </c>
      <c r="LY2">
        <v>99</v>
      </c>
      <c r="LZ2">
        <v>178</v>
      </c>
      <c r="MA2">
        <v>393</v>
      </c>
      <c r="MB2">
        <v>350</v>
      </c>
      <c r="MC2">
        <v>350</v>
      </c>
      <c r="MD2">
        <v>434</v>
      </c>
      <c r="ME2">
        <v>1283</v>
      </c>
      <c r="MF2">
        <v>351</v>
      </c>
      <c r="MG2">
        <v>140</v>
      </c>
      <c r="MH2">
        <v>140</v>
      </c>
      <c r="MI2">
        <v>140</v>
      </c>
      <c r="MJ2">
        <v>186</v>
      </c>
      <c r="MK2">
        <v>157</v>
      </c>
      <c r="ML2">
        <v>144</v>
      </c>
      <c r="MM2">
        <v>186</v>
      </c>
      <c r="MN2">
        <v>195</v>
      </c>
      <c r="MO2">
        <v>105</v>
      </c>
      <c r="MP2">
        <v>119</v>
      </c>
      <c r="MQ2">
        <v>593</v>
      </c>
      <c r="MR2">
        <v>119</v>
      </c>
      <c r="MS2">
        <v>332</v>
      </c>
      <c r="MT2">
        <v>120</v>
      </c>
      <c r="MU2">
        <v>80</v>
      </c>
      <c r="MV2">
        <v>536</v>
      </c>
      <c r="MW2">
        <v>105</v>
      </c>
      <c r="MX2">
        <v>144</v>
      </c>
      <c r="MY2">
        <v>144</v>
      </c>
      <c r="MZ2">
        <v>105</v>
      </c>
      <c r="NA2">
        <v>384</v>
      </c>
      <c r="NB2">
        <v>99</v>
      </c>
      <c r="NC2">
        <v>99</v>
      </c>
      <c r="ND2">
        <v>434</v>
      </c>
      <c r="NE2">
        <v>98</v>
      </c>
      <c r="NF2">
        <v>107</v>
      </c>
      <c r="NG2">
        <v>140</v>
      </c>
      <c r="NH2">
        <v>107</v>
      </c>
      <c r="NI2">
        <v>140</v>
      </c>
      <c r="NJ2">
        <v>99</v>
      </c>
      <c r="NK2">
        <v>99</v>
      </c>
      <c r="NL2">
        <v>178</v>
      </c>
      <c r="NM2">
        <v>103</v>
      </c>
      <c r="NN2">
        <v>103</v>
      </c>
      <c r="NO2">
        <v>103</v>
      </c>
      <c r="NP2">
        <v>120</v>
      </c>
      <c r="NQ2">
        <v>120</v>
      </c>
      <c r="NR2">
        <v>570</v>
      </c>
      <c r="NS2">
        <v>99</v>
      </c>
      <c r="NT2">
        <v>393</v>
      </c>
      <c r="NU2">
        <v>434</v>
      </c>
      <c r="NV2">
        <v>593</v>
      </c>
      <c r="NW2">
        <v>178</v>
      </c>
      <c r="NX2">
        <v>178</v>
      </c>
      <c r="NY2">
        <v>178</v>
      </c>
      <c r="NZ2">
        <v>178</v>
      </c>
      <c r="OA2">
        <v>136</v>
      </c>
      <c r="OB2">
        <v>122</v>
      </c>
      <c r="OC2">
        <v>82</v>
      </c>
      <c r="OD2">
        <v>82</v>
      </c>
      <c r="OE2">
        <v>105</v>
      </c>
      <c r="OF2">
        <v>434</v>
      </c>
      <c r="OG2">
        <v>350</v>
      </c>
      <c r="OH2">
        <v>99</v>
      </c>
      <c r="OI2">
        <v>99</v>
      </c>
      <c r="OJ2">
        <v>99</v>
      </c>
      <c r="OK2">
        <v>99</v>
      </c>
      <c r="OL2">
        <v>99</v>
      </c>
      <c r="OM2">
        <v>99</v>
      </c>
      <c r="ON2">
        <v>200</v>
      </c>
      <c r="OO2">
        <v>200</v>
      </c>
      <c r="OP2">
        <v>119</v>
      </c>
      <c r="OQ2">
        <v>105</v>
      </c>
      <c r="OR2">
        <v>105</v>
      </c>
      <c r="OS2">
        <v>195</v>
      </c>
      <c r="OT2">
        <v>710</v>
      </c>
      <c r="OU2">
        <v>82</v>
      </c>
      <c r="OV2">
        <v>80</v>
      </c>
      <c r="OW2">
        <v>107</v>
      </c>
      <c r="OX2">
        <v>140</v>
      </c>
      <c r="OY2">
        <v>136</v>
      </c>
      <c r="OZ2">
        <v>136</v>
      </c>
      <c r="PA2">
        <v>104</v>
      </c>
      <c r="PB2">
        <v>196</v>
      </c>
      <c r="PC2">
        <v>80</v>
      </c>
      <c r="PD2">
        <v>562</v>
      </c>
      <c r="PE2">
        <v>120</v>
      </c>
      <c r="PF2">
        <v>267</v>
      </c>
      <c r="PG2">
        <v>351</v>
      </c>
      <c r="PH2">
        <v>593</v>
      </c>
      <c r="PI2">
        <v>178</v>
      </c>
      <c r="PJ2">
        <v>99</v>
      </c>
      <c r="PK2">
        <v>134</v>
      </c>
      <c r="PL2">
        <v>103</v>
      </c>
      <c r="PM2">
        <v>103</v>
      </c>
      <c r="PN2">
        <v>710</v>
      </c>
      <c r="PO2">
        <v>710</v>
      </c>
      <c r="PP2">
        <v>710</v>
      </c>
      <c r="PQ2">
        <v>185</v>
      </c>
      <c r="PR2">
        <v>178</v>
      </c>
      <c r="PS2">
        <v>99</v>
      </c>
      <c r="PT2">
        <v>178</v>
      </c>
      <c r="PU2">
        <v>178</v>
      </c>
      <c r="PV2">
        <v>119</v>
      </c>
      <c r="PW2">
        <v>120</v>
      </c>
      <c r="PX2">
        <v>136</v>
      </c>
      <c r="PY2">
        <v>434</v>
      </c>
      <c r="PZ2">
        <v>512</v>
      </c>
      <c r="QA2">
        <v>99</v>
      </c>
      <c r="QB2">
        <v>80</v>
      </c>
      <c r="QC2">
        <v>269</v>
      </c>
      <c r="QD2">
        <v>178</v>
      </c>
      <c r="QE2">
        <v>140</v>
      </c>
      <c r="QF2">
        <v>136</v>
      </c>
      <c r="QG2">
        <v>731</v>
      </c>
      <c r="QH2">
        <v>731</v>
      </c>
      <c r="QI2">
        <v>660</v>
      </c>
      <c r="QJ2">
        <v>660</v>
      </c>
      <c r="QK2">
        <v>136</v>
      </c>
      <c r="QL2">
        <v>99</v>
      </c>
      <c r="QM2">
        <v>99</v>
      </c>
      <c r="QN2">
        <v>350</v>
      </c>
      <c r="QO2">
        <v>350</v>
      </c>
      <c r="QP2">
        <v>99</v>
      </c>
      <c r="QQ2">
        <v>178</v>
      </c>
      <c r="QR2">
        <v>99</v>
      </c>
      <c r="QS2">
        <v>109</v>
      </c>
      <c r="QT2">
        <v>143</v>
      </c>
      <c r="QU2">
        <v>434</v>
      </c>
      <c r="QV2">
        <v>178</v>
      </c>
      <c r="QW2">
        <v>99</v>
      </c>
      <c r="QX2">
        <v>140</v>
      </c>
      <c r="QY2">
        <v>190</v>
      </c>
      <c r="QZ2">
        <v>195</v>
      </c>
      <c r="RA2">
        <v>135</v>
      </c>
      <c r="RB2">
        <v>195</v>
      </c>
      <c r="RC2">
        <v>710</v>
      </c>
      <c r="RD2">
        <v>136</v>
      </c>
      <c r="RE2">
        <v>105</v>
      </c>
      <c r="RF2">
        <v>124</v>
      </c>
      <c r="RG2">
        <v>99</v>
      </c>
      <c r="RH2">
        <v>353</v>
      </c>
      <c r="RI2">
        <v>178</v>
      </c>
      <c r="RJ2">
        <v>99</v>
      </c>
      <c r="RK2">
        <v>136</v>
      </c>
      <c r="RL2">
        <v>99</v>
      </c>
      <c r="RM2">
        <v>187</v>
      </c>
      <c r="RN2">
        <v>99</v>
      </c>
      <c r="RO2">
        <v>761</v>
      </c>
      <c r="RP2">
        <v>761</v>
      </c>
      <c r="RQ2">
        <v>99</v>
      </c>
      <c r="RR2">
        <v>99</v>
      </c>
      <c r="RS2">
        <v>99</v>
      </c>
      <c r="RT2">
        <v>99</v>
      </c>
      <c r="RU2">
        <v>136</v>
      </c>
      <c r="RV2">
        <v>124</v>
      </c>
      <c r="RW2">
        <v>99</v>
      </c>
      <c r="RX2">
        <v>99</v>
      </c>
      <c r="RY2">
        <v>136</v>
      </c>
      <c r="RZ2">
        <v>105</v>
      </c>
      <c r="SA2">
        <v>136</v>
      </c>
      <c r="SB2">
        <v>100</v>
      </c>
      <c r="SC2">
        <v>99</v>
      </c>
      <c r="SD2">
        <v>178</v>
      </c>
      <c r="SE2">
        <v>99</v>
      </c>
      <c r="SF2">
        <v>99</v>
      </c>
      <c r="SG2">
        <v>99</v>
      </c>
      <c r="SH2">
        <v>99</v>
      </c>
      <c r="SI2">
        <v>82</v>
      </c>
      <c r="SJ2">
        <v>80</v>
      </c>
      <c r="SK2">
        <v>99</v>
      </c>
      <c r="SL2">
        <v>99</v>
      </c>
      <c r="SM2">
        <v>95</v>
      </c>
      <c r="SN2">
        <v>710</v>
      </c>
      <c r="SO2">
        <v>710</v>
      </c>
      <c r="SP2">
        <v>350</v>
      </c>
      <c r="SQ2">
        <v>120</v>
      </c>
      <c r="SR2">
        <v>104</v>
      </c>
      <c r="SS2">
        <v>710</v>
      </c>
      <c r="ST2">
        <v>710</v>
      </c>
      <c r="SU2">
        <v>99</v>
      </c>
      <c r="SV2">
        <v>99</v>
      </c>
      <c r="SW2">
        <v>80</v>
      </c>
      <c r="SX2">
        <v>178</v>
      </c>
      <c r="SY2">
        <v>269</v>
      </c>
      <c r="SZ2">
        <v>325</v>
      </c>
      <c r="TA2">
        <v>350</v>
      </c>
      <c r="TB2">
        <v>119</v>
      </c>
      <c r="TC2">
        <v>120</v>
      </c>
      <c r="TD2">
        <v>140</v>
      </c>
      <c r="TE2">
        <v>140</v>
      </c>
      <c r="TF2">
        <v>99</v>
      </c>
      <c r="TG2">
        <v>105</v>
      </c>
      <c r="TH2">
        <v>100</v>
      </c>
      <c r="TI2">
        <v>120</v>
      </c>
      <c r="TJ2">
        <v>139</v>
      </c>
      <c r="TK2">
        <v>135</v>
      </c>
      <c r="TL2">
        <v>190</v>
      </c>
      <c r="TM2">
        <v>99</v>
      </c>
      <c r="TN2">
        <v>99</v>
      </c>
      <c r="TO2">
        <v>1283</v>
      </c>
      <c r="TP2">
        <v>537</v>
      </c>
      <c r="TQ2">
        <v>178</v>
      </c>
      <c r="TR2">
        <v>178</v>
      </c>
      <c r="TS2">
        <v>178</v>
      </c>
      <c r="TT2">
        <v>105</v>
      </c>
      <c r="TU2">
        <v>105</v>
      </c>
      <c r="TV2">
        <v>136</v>
      </c>
      <c r="TW2">
        <v>105</v>
      </c>
      <c r="TX2">
        <v>82</v>
      </c>
      <c r="TY2">
        <v>82</v>
      </c>
      <c r="TZ2">
        <v>119</v>
      </c>
      <c r="UA2">
        <v>332</v>
      </c>
      <c r="UB2">
        <v>109</v>
      </c>
      <c r="UC2">
        <v>82</v>
      </c>
      <c r="UD2">
        <v>186</v>
      </c>
      <c r="UE2">
        <v>105</v>
      </c>
      <c r="UF2">
        <v>434</v>
      </c>
      <c r="UG2">
        <v>1577</v>
      </c>
      <c r="UH2">
        <v>105</v>
      </c>
      <c r="UI2">
        <v>105</v>
      </c>
      <c r="UJ2">
        <v>267</v>
      </c>
      <c r="UK2">
        <v>269</v>
      </c>
      <c r="UL2">
        <v>269</v>
      </c>
      <c r="UM2">
        <v>593</v>
      </c>
      <c r="UN2">
        <v>178</v>
      </c>
      <c r="UO2">
        <v>136</v>
      </c>
      <c r="UP2">
        <v>467</v>
      </c>
      <c r="UQ2">
        <v>63</v>
      </c>
      <c r="UR2">
        <v>195</v>
      </c>
      <c r="US2">
        <v>178</v>
      </c>
      <c r="UT2">
        <v>125</v>
      </c>
      <c r="UU2">
        <v>125</v>
      </c>
      <c r="UV2">
        <v>99</v>
      </c>
      <c r="UW2">
        <v>95</v>
      </c>
      <c r="UX2">
        <v>99</v>
      </c>
      <c r="UY2">
        <v>178</v>
      </c>
      <c r="UZ2">
        <v>178</v>
      </c>
      <c r="VA2">
        <v>105</v>
      </c>
      <c r="VB2">
        <v>99</v>
      </c>
      <c r="VC2">
        <v>99</v>
      </c>
      <c r="VD2">
        <v>105</v>
      </c>
      <c r="VE2">
        <v>105</v>
      </c>
      <c r="VF2">
        <v>105</v>
      </c>
      <c r="VG2">
        <v>710</v>
      </c>
      <c r="VH2">
        <v>710</v>
      </c>
      <c r="VI2">
        <v>79</v>
      </c>
      <c r="VJ2">
        <v>79</v>
      </c>
      <c r="VK2">
        <v>105</v>
      </c>
      <c r="VL2">
        <v>178</v>
      </c>
      <c r="VM2">
        <v>186</v>
      </c>
      <c r="VN2">
        <v>178</v>
      </c>
      <c r="VO2">
        <v>685</v>
      </c>
    </row>
    <row r="3" spans="1:587" x14ac:dyDescent="0.3">
      <c r="A3" t="s">
        <v>2998</v>
      </c>
      <c r="B3" cm="1">
        <f t="array" ref="B3:VO3">1*TRANSPOSE(_xlfn._xlws.FILTER(branch!$I$2:$I$591,branch!$D$2:$D$591&lt;&gt;0))</f>
        <v>99</v>
      </c>
      <c r="C3">
        <v>99</v>
      </c>
      <c r="D3">
        <v>178</v>
      </c>
      <c r="E3">
        <v>145</v>
      </c>
      <c r="F3">
        <v>536</v>
      </c>
      <c r="G3">
        <v>393</v>
      </c>
      <c r="H3">
        <v>393</v>
      </c>
      <c r="I3">
        <v>593</v>
      </c>
      <c r="J3">
        <v>434</v>
      </c>
      <c r="K3">
        <v>99</v>
      </c>
      <c r="L3">
        <v>140</v>
      </c>
      <c r="M3">
        <v>103</v>
      </c>
      <c r="N3">
        <v>109</v>
      </c>
      <c r="O3">
        <v>105</v>
      </c>
      <c r="P3">
        <v>99</v>
      </c>
      <c r="Q3">
        <v>187</v>
      </c>
      <c r="R3">
        <v>187</v>
      </c>
      <c r="S3">
        <v>187</v>
      </c>
      <c r="T3">
        <v>104</v>
      </c>
      <c r="U3">
        <v>112</v>
      </c>
      <c r="V3">
        <v>105</v>
      </c>
      <c r="W3">
        <v>82</v>
      </c>
      <c r="X3">
        <v>82</v>
      </c>
      <c r="Y3">
        <v>105</v>
      </c>
      <c r="Z3">
        <v>105</v>
      </c>
      <c r="AA3">
        <v>99</v>
      </c>
      <c r="AB3">
        <v>178</v>
      </c>
      <c r="AC3">
        <v>434</v>
      </c>
      <c r="AD3">
        <v>434</v>
      </c>
      <c r="AE3">
        <v>34</v>
      </c>
      <c r="AF3">
        <v>120</v>
      </c>
      <c r="AG3">
        <v>120</v>
      </c>
      <c r="AH3">
        <v>104</v>
      </c>
      <c r="AI3">
        <v>178</v>
      </c>
      <c r="AJ3">
        <v>178</v>
      </c>
      <c r="AK3">
        <v>178</v>
      </c>
      <c r="AL3">
        <v>178</v>
      </c>
      <c r="AM3">
        <v>120</v>
      </c>
      <c r="AN3">
        <v>178</v>
      </c>
      <c r="AO3">
        <v>99</v>
      </c>
      <c r="AP3">
        <v>178</v>
      </c>
      <c r="AQ3">
        <v>140</v>
      </c>
      <c r="AR3">
        <v>140</v>
      </c>
      <c r="AS3">
        <v>99</v>
      </c>
      <c r="AT3">
        <v>105</v>
      </c>
      <c r="AU3">
        <v>99</v>
      </c>
      <c r="AV3">
        <v>96</v>
      </c>
      <c r="AW3">
        <v>96</v>
      </c>
      <c r="AX3">
        <v>178</v>
      </c>
      <c r="AY3">
        <v>178</v>
      </c>
      <c r="AZ3">
        <v>120</v>
      </c>
      <c r="BA3">
        <v>120</v>
      </c>
      <c r="BB3">
        <v>178</v>
      </c>
      <c r="BC3">
        <v>178</v>
      </c>
      <c r="BD3">
        <v>178</v>
      </c>
      <c r="BE3">
        <v>105</v>
      </c>
      <c r="BF3">
        <v>99</v>
      </c>
      <c r="BG3">
        <v>99</v>
      </c>
      <c r="BH3">
        <v>99</v>
      </c>
      <c r="BI3">
        <v>82</v>
      </c>
      <c r="BJ3">
        <v>82</v>
      </c>
      <c r="BK3">
        <v>136</v>
      </c>
      <c r="BL3">
        <v>140</v>
      </c>
      <c r="BM3">
        <v>130</v>
      </c>
      <c r="BN3">
        <v>99</v>
      </c>
      <c r="BO3">
        <v>122</v>
      </c>
      <c r="BP3">
        <v>196</v>
      </c>
      <c r="BQ3">
        <v>178</v>
      </c>
      <c r="BR3">
        <v>136</v>
      </c>
      <c r="BS3">
        <v>178</v>
      </c>
      <c r="BT3">
        <v>124</v>
      </c>
      <c r="BU3">
        <v>178</v>
      </c>
      <c r="BV3">
        <v>178</v>
      </c>
      <c r="BW3">
        <v>178</v>
      </c>
      <c r="BX3">
        <v>99</v>
      </c>
      <c r="BY3">
        <v>136</v>
      </c>
      <c r="BZ3">
        <v>195</v>
      </c>
      <c r="CA3">
        <v>178</v>
      </c>
      <c r="CB3">
        <v>178</v>
      </c>
      <c r="CC3">
        <v>192</v>
      </c>
      <c r="CD3">
        <v>187</v>
      </c>
      <c r="CE3">
        <v>120</v>
      </c>
      <c r="CF3">
        <v>187</v>
      </c>
      <c r="CG3">
        <v>187</v>
      </c>
      <c r="CH3">
        <v>187</v>
      </c>
      <c r="CI3">
        <v>119</v>
      </c>
      <c r="CJ3">
        <v>119</v>
      </c>
      <c r="CK3">
        <v>570</v>
      </c>
      <c r="CL3">
        <v>570</v>
      </c>
      <c r="CM3">
        <v>140</v>
      </c>
      <c r="CN3">
        <v>140</v>
      </c>
      <c r="CO3">
        <v>842</v>
      </c>
      <c r="CP3">
        <v>105</v>
      </c>
      <c r="CQ3">
        <v>109</v>
      </c>
      <c r="CR3">
        <v>109</v>
      </c>
      <c r="CS3">
        <v>82</v>
      </c>
      <c r="CT3">
        <v>82</v>
      </c>
      <c r="CU3">
        <v>75</v>
      </c>
      <c r="CV3">
        <v>75</v>
      </c>
      <c r="CW3">
        <v>178</v>
      </c>
      <c r="CX3">
        <v>178</v>
      </c>
      <c r="CY3">
        <v>178</v>
      </c>
      <c r="CZ3">
        <v>178</v>
      </c>
      <c r="DA3">
        <v>82</v>
      </c>
      <c r="DB3">
        <v>82</v>
      </c>
      <c r="DC3">
        <v>710</v>
      </c>
      <c r="DD3">
        <v>69</v>
      </c>
      <c r="DE3">
        <v>70</v>
      </c>
      <c r="DF3">
        <v>710</v>
      </c>
      <c r="DG3">
        <v>710</v>
      </c>
      <c r="DH3">
        <v>710</v>
      </c>
      <c r="DI3">
        <v>144</v>
      </c>
      <c r="DJ3">
        <v>63</v>
      </c>
      <c r="DK3">
        <v>99</v>
      </c>
      <c r="DL3">
        <v>570</v>
      </c>
      <c r="DM3">
        <v>570</v>
      </c>
      <c r="DN3">
        <v>178</v>
      </c>
      <c r="DO3">
        <v>200</v>
      </c>
      <c r="DP3">
        <v>109</v>
      </c>
      <c r="DQ3">
        <v>109</v>
      </c>
      <c r="DR3">
        <v>79</v>
      </c>
      <c r="DS3">
        <v>79</v>
      </c>
      <c r="DT3">
        <v>434</v>
      </c>
      <c r="DU3">
        <v>740</v>
      </c>
      <c r="DV3">
        <v>228</v>
      </c>
      <c r="DW3">
        <v>115</v>
      </c>
      <c r="DX3">
        <v>195</v>
      </c>
      <c r="DY3">
        <v>124</v>
      </c>
      <c r="DZ3">
        <v>80</v>
      </c>
      <c r="EA3">
        <v>120</v>
      </c>
      <c r="EB3">
        <v>105</v>
      </c>
      <c r="EC3">
        <v>178</v>
      </c>
      <c r="ED3">
        <v>178</v>
      </c>
      <c r="EE3">
        <v>178</v>
      </c>
      <c r="EF3">
        <v>69</v>
      </c>
      <c r="EG3">
        <v>70</v>
      </c>
      <c r="EH3">
        <v>69</v>
      </c>
      <c r="EI3">
        <v>69</v>
      </c>
      <c r="EJ3">
        <v>132</v>
      </c>
      <c r="EK3">
        <v>132</v>
      </c>
      <c r="EL3">
        <v>710</v>
      </c>
      <c r="EM3">
        <v>710</v>
      </c>
      <c r="EN3">
        <v>66</v>
      </c>
      <c r="EO3">
        <v>66</v>
      </c>
      <c r="EP3">
        <v>710</v>
      </c>
      <c r="EQ3">
        <v>109</v>
      </c>
      <c r="ER3">
        <v>109</v>
      </c>
      <c r="ES3">
        <v>82</v>
      </c>
      <c r="ET3">
        <v>82</v>
      </c>
      <c r="EU3">
        <v>144</v>
      </c>
      <c r="EV3">
        <v>144</v>
      </c>
      <c r="EW3">
        <v>710</v>
      </c>
      <c r="EX3">
        <v>178</v>
      </c>
      <c r="EY3">
        <v>124</v>
      </c>
      <c r="EZ3">
        <v>99</v>
      </c>
      <c r="FA3">
        <v>99</v>
      </c>
      <c r="FB3">
        <v>99</v>
      </c>
      <c r="FC3">
        <v>761</v>
      </c>
      <c r="FD3">
        <v>187</v>
      </c>
      <c r="FE3">
        <v>761</v>
      </c>
      <c r="FF3">
        <v>761</v>
      </c>
      <c r="FG3">
        <v>761</v>
      </c>
      <c r="FH3">
        <v>178</v>
      </c>
      <c r="FI3">
        <v>178</v>
      </c>
      <c r="FJ3">
        <v>115</v>
      </c>
      <c r="FK3">
        <v>434</v>
      </c>
      <c r="FL3">
        <v>434</v>
      </c>
      <c r="FM3">
        <v>555</v>
      </c>
      <c r="FN3">
        <v>123</v>
      </c>
      <c r="FO3">
        <v>178</v>
      </c>
      <c r="FP3">
        <v>130</v>
      </c>
      <c r="FQ3">
        <v>178</v>
      </c>
      <c r="FR3">
        <v>103</v>
      </c>
      <c r="FS3">
        <v>238</v>
      </c>
      <c r="FT3">
        <v>434</v>
      </c>
      <c r="FU3">
        <v>178</v>
      </c>
      <c r="FV3">
        <v>132</v>
      </c>
      <c r="FW3">
        <v>178</v>
      </c>
      <c r="FX3">
        <v>144</v>
      </c>
      <c r="FY3">
        <v>144</v>
      </c>
      <c r="FZ3">
        <v>140</v>
      </c>
      <c r="GA3">
        <v>140</v>
      </c>
      <c r="GB3">
        <v>136</v>
      </c>
      <c r="GC3">
        <v>178</v>
      </c>
      <c r="GD3">
        <v>178</v>
      </c>
      <c r="GE3">
        <v>178</v>
      </c>
      <c r="GF3">
        <v>196</v>
      </c>
      <c r="GG3">
        <v>178</v>
      </c>
      <c r="GH3">
        <v>178</v>
      </c>
      <c r="GI3">
        <v>178</v>
      </c>
      <c r="GJ3">
        <v>130</v>
      </c>
      <c r="GK3">
        <v>99</v>
      </c>
      <c r="GL3">
        <v>136</v>
      </c>
      <c r="GM3">
        <v>178</v>
      </c>
      <c r="GN3">
        <v>105</v>
      </c>
      <c r="GO3">
        <v>187</v>
      </c>
      <c r="GP3">
        <v>187</v>
      </c>
      <c r="GQ3">
        <v>187</v>
      </c>
      <c r="GR3">
        <v>105</v>
      </c>
      <c r="GS3">
        <v>130</v>
      </c>
      <c r="GT3">
        <v>434</v>
      </c>
      <c r="GU3">
        <v>105</v>
      </c>
      <c r="GV3">
        <v>105</v>
      </c>
      <c r="GW3">
        <v>593</v>
      </c>
      <c r="GX3">
        <v>119</v>
      </c>
      <c r="GY3">
        <v>178</v>
      </c>
      <c r="GZ3">
        <v>120</v>
      </c>
      <c r="HA3">
        <v>178</v>
      </c>
      <c r="HB3">
        <v>178</v>
      </c>
      <c r="HC3">
        <v>178</v>
      </c>
      <c r="HD3">
        <v>646</v>
      </c>
      <c r="HE3">
        <v>161</v>
      </c>
      <c r="HF3">
        <v>161</v>
      </c>
      <c r="HG3">
        <v>434</v>
      </c>
      <c r="HH3">
        <v>434</v>
      </c>
      <c r="HI3">
        <v>187</v>
      </c>
      <c r="HJ3">
        <v>124</v>
      </c>
      <c r="HK3">
        <v>99</v>
      </c>
      <c r="HL3">
        <v>105</v>
      </c>
      <c r="HM3">
        <v>63</v>
      </c>
      <c r="HN3">
        <v>178</v>
      </c>
      <c r="HO3">
        <v>187</v>
      </c>
      <c r="HP3">
        <v>136</v>
      </c>
      <c r="HQ3">
        <v>187</v>
      </c>
      <c r="HR3">
        <v>187</v>
      </c>
      <c r="HS3">
        <v>99</v>
      </c>
      <c r="HT3">
        <v>99</v>
      </c>
      <c r="HU3">
        <v>105</v>
      </c>
      <c r="HV3">
        <v>178</v>
      </c>
      <c r="HW3">
        <v>178</v>
      </c>
      <c r="HX3">
        <v>1577</v>
      </c>
      <c r="HY3">
        <v>1577</v>
      </c>
      <c r="HZ3">
        <v>143</v>
      </c>
      <c r="IA3">
        <v>104</v>
      </c>
      <c r="IB3">
        <v>82</v>
      </c>
      <c r="IC3">
        <v>82</v>
      </c>
      <c r="ID3">
        <v>82</v>
      </c>
      <c r="IE3">
        <v>82</v>
      </c>
      <c r="IF3">
        <v>186</v>
      </c>
      <c r="IG3">
        <v>124</v>
      </c>
      <c r="IH3">
        <v>136</v>
      </c>
      <c r="II3">
        <v>99</v>
      </c>
      <c r="IJ3">
        <v>178</v>
      </c>
      <c r="IK3">
        <v>178</v>
      </c>
      <c r="IL3">
        <v>99</v>
      </c>
      <c r="IM3">
        <v>99</v>
      </c>
      <c r="IN3">
        <v>105</v>
      </c>
      <c r="IO3">
        <v>105</v>
      </c>
      <c r="IP3">
        <v>99</v>
      </c>
      <c r="IQ3">
        <v>99</v>
      </c>
      <c r="IR3">
        <v>100</v>
      </c>
      <c r="IS3">
        <v>100</v>
      </c>
      <c r="IT3">
        <v>200</v>
      </c>
      <c r="IU3">
        <v>143</v>
      </c>
      <c r="IV3">
        <v>82</v>
      </c>
      <c r="IW3">
        <v>82</v>
      </c>
      <c r="IX3">
        <v>82</v>
      </c>
      <c r="IY3">
        <v>412</v>
      </c>
      <c r="IZ3">
        <v>412</v>
      </c>
      <c r="JA3">
        <v>82</v>
      </c>
      <c r="JB3">
        <v>82</v>
      </c>
      <c r="JC3">
        <v>109</v>
      </c>
      <c r="JD3">
        <v>178</v>
      </c>
      <c r="JE3">
        <v>99</v>
      </c>
      <c r="JF3">
        <v>82</v>
      </c>
      <c r="JG3">
        <v>109</v>
      </c>
      <c r="JH3">
        <v>140</v>
      </c>
      <c r="JI3">
        <v>140</v>
      </c>
      <c r="JJ3">
        <v>196</v>
      </c>
      <c r="JK3">
        <v>178</v>
      </c>
      <c r="JL3">
        <v>178</v>
      </c>
      <c r="JM3">
        <v>99</v>
      </c>
      <c r="JN3">
        <v>178</v>
      </c>
      <c r="JO3">
        <v>350</v>
      </c>
      <c r="JP3">
        <v>99</v>
      </c>
      <c r="JQ3">
        <v>99</v>
      </c>
      <c r="JR3">
        <v>99</v>
      </c>
      <c r="JS3">
        <v>392</v>
      </c>
      <c r="JT3">
        <v>97</v>
      </c>
      <c r="JU3">
        <v>99</v>
      </c>
      <c r="JV3">
        <v>761</v>
      </c>
      <c r="JW3">
        <v>178</v>
      </c>
      <c r="JX3">
        <v>124</v>
      </c>
      <c r="JY3">
        <v>103</v>
      </c>
      <c r="JZ3">
        <v>178</v>
      </c>
      <c r="KA3">
        <v>746</v>
      </c>
      <c r="KB3">
        <v>646</v>
      </c>
      <c r="KC3">
        <v>178</v>
      </c>
      <c r="KD3">
        <v>178</v>
      </c>
      <c r="KE3">
        <v>178</v>
      </c>
      <c r="KF3">
        <v>178</v>
      </c>
      <c r="KG3">
        <v>190</v>
      </c>
      <c r="KH3">
        <v>105</v>
      </c>
      <c r="KI3">
        <v>136</v>
      </c>
      <c r="KJ3">
        <v>134</v>
      </c>
      <c r="KK3">
        <v>136</v>
      </c>
      <c r="KL3">
        <v>136</v>
      </c>
      <c r="KM3">
        <v>99</v>
      </c>
      <c r="KN3">
        <v>105</v>
      </c>
      <c r="KO3">
        <v>99</v>
      </c>
      <c r="KP3">
        <v>105</v>
      </c>
      <c r="KQ3">
        <v>99</v>
      </c>
      <c r="KR3">
        <v>99</v>
      </c>
      <c r="KS3">
        <v>99</v>
      </c>
      <c r="KT3">
        <v>74</v>
      </c>
      <c r="KU3">
        <v>74</v>
      </c>
      <c r="KV3">
        <v>99</v>
      </c>
      <c r="KW3">
        <v>178</v>
      </c>
      <c r="KX3">
        <v>178</v>
      </c>
      <c r="KY3">
        <v>99</v>
      </c>
      <c r="KZ3">
        <v>104</v>
      </c>
      <c r="LA3">
        <v>178</v>
      </c>
      <c r="LB3">
        <v>178</v>
      </c>
      <c r="LC3">
        <v>211</v>
      </c>
      <c r="LD3">
        <v>196</v>
      </c>
      <c r="LE3">
        <v>69</v>
      </c>
      <c r="LF3">
        <v>69</v>
      </c>
      <c r="LG3">
        <v>144</v>
      </c>
      <c r="LH3">
        <v>144</v>
      </c>
      <c r="LI3">
        <v>103</v>
      </c>
      <c r="LJ3">
        <v>99</v>
      </c>
      <c r="LK3">
        <v>99</v>
      </c>
      <c r="LL3">
        <v>82</v>
      </c>
      <c r="LM3">
        <v>82</v>
      </c>
      <c r="LN3">
        <v>82</v>
      </c>
      <c r="LO3">
        <v>82</v>
      </c>
      <c r="LP3">
        <v>82</v>
      </c>
      <c r="LQ3">
        <v>99</v>
      </c>
      <c r="LR3">
        <v>79</v>
      </c>
      <c r="LS3">
        <v>79</v>
      </c>
      <c r="LT3">
        <v>108</v>
      </c>
      <c r="LU3">
        <v>109</v>
      </c>
      <c r="LV3">
        <v>109</v>
      </c>
      <c r="LW3">
        <v>99</v>
      </c>
      <c r="LX3">
        <v>99</v>
      </c>
      <c r="LY3">
        <v>99</v>
      </c>
      <c r="LZ3">
        <v>178</v>
      </c>
      <c r="MA3">
        <v>393</v>
      </c>
      <c r="MB3">
        <v>350</v>
      </c>
      <c r="MC3">
        <v>350</v>
      </c>
      <c r="MD3">
        <v>434</v>
      </c>
      <c r="ME3">
        <v>1283</v>
      </c>
      <c r="MF3">
        <v>351</v>
      </c>
      <c r="MG3">
        <v>140</v>
      </c>
      <c r="MH3">
        <v>140</v>
      </c>
      <c r="MI3">
        <v>140</v>
      </c>
      <c r="MJ3">
        <v>186</v>
      </c>
      <c r="MK3">
        <v>157</v>
      </c>
      <c r="ML3">
        <v>144</v>
      </c>
      <c r="MM3">
        <v>186</v>
      </c>
      <c r="MN3">
        <v>195</v>
      </c>
      <c r="MO3">
        <v>105</v>
      </c>
      <c r="MP3">
        <v>119</v>
      </c>
      <c r="MQ3">
        <v>593</v>
      </c>
      <c r="MR3">
        <v>119</v>
      </c>
      <c r="MS3">
        <v>332</v>
      </c>
      <c r="MT3">
        <v>120</v>
      </c>
      <c r="MU3">
        <v>80</v>
      </c>
      <c r="MV3">
        <v>536</v>
      </c>
      <c r="MW3">
        <v>105</v>
      </c>
      <c r="MX3">
        <v>144</v>
      </c>
      <c r="MY3">
        <v>144</v>
      </c>
      <c r="MZ3">
        <v>105</v>
      </c>
      <c r="NA3">
        <v>384</v>
      </c>
      <c r="NB3">
        <v>99</v>
      </c>
      <c r="NC3">
        <v>99</v>
      </c>
      <c r="ND3">
        <v>434</v>
      </c>
      <c r="NE3">
        <v>98</v>
      </c>
      <c r="NF3">
        <v>107</v>
      </c>
      <c r="NG3">
        <v>140</v>
      </c>
      <c r="NH3">
        <v>107</v>
      </c>
      <c r="NI3">
        <v>140</v>
      </c>
      <c r="NJ3">
        <v>99</v>
      </c>
      <c r="NK3">
        <v>99</v>
      </c>
      <c r="NL3">
        <v>178</v>
      </c>
      <c r="NM3">
        <v>103</v>
      </c>
      <c r="NN3">
        <v>103</v>
      </c>
      <c r="NO3">
        <v>103</v>
      </c>
      <c r="NP3">
        <v>120</v>
      </c>
      <c r="NQ3">
        <v>120</v>
      </c>
      <c r="NR3">
        <v>570</v>
      </c>
      <c r="NS3">
        <v>99</v>
      </c>
      <c r="NT3">
        <v>393</v>
      </c>
      <c r="NU3">
        <v>434</v>
      </c>
      <c r="NV3">
        <v>593</v>
      </c>
      <c r="NW3">
        <v>178</v>
      </c>
      <c r="NX3">
        <v>178</v>
      </c>
      <c r="NY3">
        <v>178</v>
      </c>
      <c r="NZ3">
        <v>178</v>
      </c>
      <c r="OA3">
        <v>136</v>
      </c>
      <c r="OB3">
        <v>122</v>
      </c>
      <c r="OC3">
        <v>82</v>
      </c>
      <c r="OD3">
        <v>82</v>
      </c>
      <c r="OE3">
        <v>105</v>
      </c>
      <c r="OF3">
        <v>434</v>
      </c>
      <c r="OG3">
        <v>350</v>
      </c>
      <c r="OH3">
        <v>99</v>
      </c>
      <c r="OI3">
        <v>99</v>
      </c>
      <c r="OJ3">
        <v>99</v>
      </c>
      <c r="OK3">
        <v>99</v>
      </c>
      <c r="OL3">
        <v>99</v>
      </c>
      <c r="OM3">
        <v>99</v>
      </c>
      <c r="ON3">
        <v>200</v>
      </c>
      <c r="OO3">
        <v>200</v>
      </c>
      <c r="OP3">
        <v>119</v>
      </c>
      <c r="OQ3">
        <v>105</v>
      </c>
      <c r="OR3">
        <v>105</v>
      </c>
      <c r="OS3">
        <v>195</v>
      </c>
      <c r="OT3">
        <v>710</v>
      </c>
      <c r="OU3">
        <v>82</v>
      </c>
      <c r="OV3">
        <v>80</v>
      </c>
      <c r="OW3">
        <v>107</v>
      </c>
      <c r="OX3">
        <v>140</v>
      </c>
      <c r="OY3">
        <v>136</v>
      </c>
      <c r="OZ3">
        <v>136</v>
      </c>
      <c r="PA3">
        <v>104</v>
      </c>
      <c r="PB3">
        <v>196</v>
      </c>
      <c r="PC3">
        <v>80</v>
      </c>
      <c r="PD3">
        <v>562</v>
      </c>
      <c r="PE3">
        <v>120</v>
      </c>
      <c r="PF3">
        <v>267</v>
      </c>
      <c r="PG3">
        <v>351</v>
      </c>
      <c r="PH3">
        <v>593</v>
      </c>
      <c r="PI3">
        <v>178</v>
      </c>
      <c r="PJ3">
        <v>99</v>
      </c>
      <c r="PK3">
        <v>134</v>
      </c>
      <c r="PL3">
        <v>103</v>
      </c>
      <c r="PM3">
        <v>103</v>
      </c>
      <c r="PN3">
        <v>710</v>
      </c>
      <c r="PO3">
        <v>710</v>
      </c>
      <c r="PP3">
        <v>710</v>
      </c>
      <c r="PQ3">
        <v>185</v>
      </c>
      <c r="PR3">
        <v>178</v>
      </c>
      <c r="PS3">
        <v>99</v>
      </c>
      <c r="PT3">
        <v>178</v>
      </c>
      <c r="PU3">
        <v>178</v>
      </c>
      <c r="PV3">
        <v>119</v>
      </c>
      <c r="PW3">
        <v>120</v>
      </c>
      <c r="PX3">
        <v>136</v>
      </c>
      <c r="PY3">
        <v>434</v>
      </c>
      <c r="PZ3">
        <v>512</v>
      </c>
      <c r="QA3">
        <v>99</v>
      </c>
      <c r="QB3">
        <v>80</v>
      </c>
      <c r="QC3">
        <v>269</v>
      </c>
      <c r="QD3">
        <v>178</v>
      </c>
      <c r="QE3">
        <v>140</v>
      </c>
      <c r="QF3">
        <v>136</v>
      </c>
      <c r="QG3">
        <v>731</v>
      </c>
      <c r="QH3">
        <v>731</v>
      </c>
      <c r="QI3">
        <v>660</v>
      </c>
      <c r="QJ3">
        <v>660</v>
      </c>
      <c r="QK3">
        <v>136</v>
      </c>
      <c r="QL3">
        <v>99</v>
      </c>
      <c r="QM3">
        <v>99</v>
      </c>
      <c r="QN3">
        <v>350</v>
      </c>
      <c r="QO3">
        <v>350</v>
      </c>
      <c r="QP3">
        <v>99</v>
      </c>
      <c r="QQ3">
        <v>178</v>
      </c>
      <c r="QR3">
        <v>99</v>
      </c>
      <c r="QS3">
        <v>109</v>
      </c>
      <c r="QT3">
        <v>143</v>
      </c>
      <c r="QU3">
        <v>434</v>
      </c>
      <c r="QV3">
        <v>178</v>
      </c>
      <c r="QW3">
        <v>99</v>
      </c>
      <c r="QX3">
        <v>140</v>
      </c>
      <c r="QY3">
        <v>190</v>
      </c>
      <c r="QZ3">
        <v>195</v>
      </c>
      <c r="RA3">
        <v>135</v>
      </c>
      <c r="RB3">
        <v>195</v>
      </c>
      <c r="RC3">
        <v>710</v>
      </c>
      <c r="RD3">
        <v>136</v>
      </c>
      <c r="RE3">
        <v>105</v>
      </c>
      <c r="RF3">
        <v>124</v>
      </c>
      <c r="RG3">
        <v>99</v>
      </c>
      <c r="RH3">
        <v>353</v>
      </c>
      <c r="RI3">
        <v>178</v>
      </c>
      <c r="RJ3">
        <v>99</v>
      </c>
      <c r="RK3">
        <v>136</v>
      </c>
      <c r="RL3">
        <v>99</v>
      </c>
      <c r="RM3">
        <v>187</v>
      </c>
      <c r="RN3">
        <v>99</v>
      </c>
      <c r="RO3">
        <v>761</v>
      </c>
      <c r="RP3">
        <v>761</v>
      </c>
      <c r="RQ3">
        <v>99</v>
      </c>
      <c r="RR3">
        <v>99</v>
      </c>
      <c r="RS3">
        <v>99</v>
      </c>
      <c r="RT3">
        <v>99</v>
      </c>
      <c r="RU3">
        <v>136</v>
      </c>
      <c r="RV3">
        <v>124</v>
      </c>
      <c r="RW3">
        <v>99</v>
      </c>
      <c r="RX3">
        <v>99</v>
      </c>
      <c r="RY3">
        <v>136</v>
      </c>
      <c r="RZ3">
        <v>105</v>
      </c>
      <c r="SA3">
        <v>136</v>
      </c>
      <c r="SB3">
        <v>100</v>
      </c>
      <c r="SC3">
        <v>99</v>
      </c>
      <c r="SD3">
        <v>178</v>
      </c>
      <c r="SE3">
        <v>99</v>
      </c>
      <c r="SF3">
        <v>99</v>
      </c>
      <c r="SG3">
        <v>99</v>
      </c>
      <c r="SH3">
        <v>99</v>
      </c>
      <c r="SI3">
        <v>82</v>
      </c>
      <c r="SJ3">
        <v>80</v>
      </c>
      <c r="SK3">
        <v>99</v>
      </c>
      <c r="SL3">
        <v>99</v>
      </c>
      <c r="SM3">
        <v>95</v>
      </c>
      <c r="SN3">
        <v>710</v>
      </c>
      <c r="SO3">
        <v>710</v>
      </c>
      <c r="SP3">
        <v>350</v>
      </c>
      <c r="SQ3">
        <v>120</v>
      </c>
      <c r="SR3">
        <v>104</v>
      </c>
      <c r="SS3">
        <v>710</v>
      </c>
      <c r="ST3">
        <v>710</v>
      </c>
      <c r="SU3">
        <v>99</v>
      </c>
      <c r="SV3">
        <v>99</v>
      </c>
      <c r="SW3">
        <v>80</v>
      </c>
      <c r="SX3">
        <v>178</v>
      </c>
      <c r="SY3">
        <v>269</v>
      </c>
      <c r="SZ3">
        <v>325</v>
      </c>
      <c r="TA3">
        <v>350</v>
      </c>
      <c r="TB3">
        <v>119</v>
      </c>
      <c r="TC3">
        <v>120</v>
      </c>
      <c r="TD3">
        <v>140</v>
      </c>
      <c r="TE3">
        <v>140</v>
      </c>
      <c r="TF3">
        <v>99</v>
      </c>
      <c r="TG3">
        <v>105</v>
      </c>
      <c r="TH3">
        <v>100</v>
      </c>
      <c r="TI3">
        <v>120</v>
      </c>
      <c r="TJ3">
        <v>139</v>
      </c>
      <c r="TK3">
        <v>135</v>
      </c>
      <c r="TL3">
        <v>190</v>
      </c>
      <c r="TM3">
        <v>99</v>
      </c>
      <c r="TN3">
        <v>99</v>
      </c>
      <c r="TO3">
        <v>1283</v>
      </c>
      <c r="TP3">
        <v>537</v>
      </c>
      <c r="TQ3">
        <v>178</v>
      </c>
      <c r="TR3">
        <v>178</v>
      </c>
      <c r="TS3">
        <v>178</v>
      </c>
      <c r="TT3">
        <v>105</v>
      </c>
      <c r="TU3">
        <v>105</v>
      </c>
      <c r="TV3">
        <v>136</v>
      </c>
      <c r="TW3">
        <v>105</v>
      </c>
      <c r="TX3">
        <v>82</v>
      </c>
      <c r="TY3">
        <v>82</v>
      </c>
      <c r="TZ3">
        <v>119</v>
      </c>
      <c r="UA3">
        <v>332</v>
      </c>
      <c r="UB3">
        <v>109</v>
      </c>
      <c r="UC3">
        <v>82</v>
      </c>
      <c r="UD3">
        <v>186</v>
      </c>
      <c r="UE3">
        <v>105</v>
      </c>
      <c r="UF3">
        <v>434</v>
      </c>
      <c r="UG3">
        <v>1577</v>
      </c>
      <c r="UH3">
        <v>105</v>
      </c>
      <c r="UI3">
        <v>105</v>
      </c>
      <c r="UJ3">
        <v>267</v>
      </c>
      <c r="UK3">
        <v>269</v>
      </c>
      <c r="UL3">
        <v>269</v>
      </c>
      <c r="UM3">
        <v>593</v>
      </c>
      <c r="UN3">
        <v>178</v>
      </c>
      <c r="UO3">
        <v>136</v>
      </c>
      <c r="UP3">
        <v>467</v>
      </c>
      <c r="UQ3">
        <v>63</v>
      </c>
      <c r="UR3">
        <v>195</v>
      </c>
      <c r="US3">
        <v>178</v>
      </c>
      <c r="UT3">
        <v>125</v>
      </c>
      <c r="UU3">
        <v>125</v>
      </c>
      <c r="UV3">
        <v>99</v>
      </c>
      <c r="UW3">
        <v>95</v>
      </c>
      <c r="UX3">
        <v>99</v>
      </c>
      <c r="UY3">
        <v>178</v>
      </c>
      <c r="UZ3">
        <v>178</v>
      </c>
      <c r="VA3">
        <v>105</v>
      </c>
      <c r="VB3">
        <v>99</v>
      </c>
      <c r="VC3">
        <v>99</v>
      </c>
      <c r="VD3">
        <v>105</v>
      </c>
      <c r="VE3">
        <v>105</v>
      </c>
      <c r="VF3">
        <v>105</v>
      </c>
      <c r="VG3">
        <v>710</v>
      </c>
      <c r="VH3">
        <v>710</v>
      </c>
      <c r="VI3">
        <v>79</v>
      </c>
      <c r="VJ3">
        <v>79</v>
      </c>
      <c r="VK3">
        <v>105</v>
      </c>
      <c r="VL3">
        <v>178</v>
      </c>
      <c r="VM3">
        <v>186</v>
      </c>
      <c r="VN3">
        <v>178</v>
      </c>
      <c r="VO3">
        <v>685</v>
      </c>
    </row>
    <row r="4" spans="1:587" x14ac:dyDescent="0.3">
      <c r="A4" t="s">
        <v>2999</v>
      </c>
      <c r="B4" cm="1">
        <f t="array" ref="B4:VO4">1*TRANSPOSE(_xlfn._xlws.FILTER(branch!$I$2:$I$591,branch!$D$2:$D$591&lt;&gt;0))</f>
        <v>99</v>
      </c>
      <c r="C4">
        <v>99</v>
      </c>
      <c r="D4">
        <v>178</v>
      </c>
      <c r="E4">
        <v>145</v>
      </c>
      <c r="F4">
        <v>536</v>
      </c>
      <c r="G4">
        <v>393</v>
      </c>
      <c r="H4">
        <v>393</v>
      </c>
      <c r="I4">
        <v>593</v>
      </c>
      <c r="J4">
        <v>434</v>
      </c>
      <c r="K4">
        <v>99</v>
      </c>
      <c r="L4">
        <v>140</v>
      </c>
      <c r="M4">
        <v>103</v>
      </c>
      <c r="N4">
        <v>109</v>
      </c>
      <c r="O4">
        <v>105</v>
      </c>
      <c r="P4">
        <v>99</v>
      </c>
      <c r="Q4">
        <v>187</v>
      </c>
      <c r="R4">
        <v>187</v>
      </c>
      <c r="S4">
        <v>187</v>
      </c>
      <c r="T4">
        <v>104</v>
      </c>
      <c r="U4">
        <v>112</v>
      </c>
      <c r="V4">
        <v>105</v>
      </c>
      <c r="W4">
        <v>82</v>
      </c>
      <c r="X4">
        <v>82</v>
      </c>
      <c r="Y4">
        <v>105</v>
      </c>
      <c r="Z4">
        <v>105</v>
      </c>
      <c r="AA4">
        <v>99</v>
      </c>
      <c r="AB4">
        <v>178</v>
      </c>
      <c r="AC4">
        <v>434</v>
      </c>
      <c r="AD4">
        <v>434</v>
      </c>
      <c r="AE4">
        <v>34</v>
      </c>
      <c r="AF4">
        <v>120</v>
      </c>
      <c r="AG4">
        <v>120</v>
      </c>
      <c r="AH4">
        <v>104</v>
      </c>
      <c r="AI4">
        <v>178</v>
      </c>
      <c r="AJ4">
        <v>178</v>
      </c>
      <c r="AK4">
        <v>178</v>
      </c>
      <c r="AL4">
        <v>178</v>
      </c>
      <c r="AM4">
        <v>120</v>
      </c>
      <c r="AN4">
        <v>178</v>
      </c>
      <c r="AO4">
        <v>99</v>
      </c>
      <c r="AP4">
        <v>178</v>
      </c>
      <c r="AQ4">
        <v>140</v>
      </c>
      <c r="AR4">
        <v>140</v>
      </c>
      <c r="AS4">
        <v>99</v>
      </c>
      <c r="AT4">
        <v>105</v>
      </c>
      <c r="AU4">
        <v>99</v>
      </c>
      <c r="AV4">
        <v>96</v>
      </c>
      <c r="AW4">
        <v>96</v>
      </c>
      <c r="AX4">
        <v>178</v>
      </c>
      <c r="AY4">
        <v>178</v>
      </c>
      <c r="AZ4">
        <v>120</v>
      </c>
      <c r="BA4">
        <v>120</v>
      </c>
      <c r="BB4">
        <v>178</v>
      </c>
      <c r="BC4">
        <v>178</v>
      </c>
      <c r="BD4">
        <v>178</v>
      </c>
      <c r="BE4">
        <v>105</v>
      </c>
      <c r="BF4">
        <v>99</v>
      </c>
      <c r="BG4">
        <v>99</v>
      </c>
      <c r="BH4">
        <v>99</v>
      </c>
      <c r="BI4">
        <v>82</v>
      </c>
      <c r="BJ4">
        <v>82</v>
      </c>
      <c r="BK4">
        <v>136</v>
      </c>
      <c r="BL4">
        <v>140</v>
      </c>
      <c r="BM4">
        <v>130</v>
      </c>
      <c r="BN4">
        <v>99</v>
      </c>
      <c r="BO4">
        <v>122</v>
      </c>
      <c r="BP4">
        <v>196</v>
      </c>
      <c r="BQ4">
        <v>178</v>
      </c>
      <c r="BR4">
        <v>136</v>
      </c>
      <c r="BS4">
        <v>178</v>
      </c>
      <c r="BT4">
        <v>124</v>
      </c>
      <c r="BU4">
        <v>178</v>
      </c>
      <c r="BV4">
        <v>178</v>
      </c>
      <c r="BW4">
        <v>178</v>
      </c>
      <c r="BX4">
        <v>99</v>
      </c>
      <c r="BY4">
        <v>136</v>
      </c>
      <c r="BZ4">
        <v>195</v>
      </c>
      <c r="CA4">
        <v>178</v>
      </c>
      <c r="CB4">
        <v>178</v>
      </c>
      <c r="CC4">
        <v>192</v>
      </c>
      <c r="CD4">
        <v>187</v>
      </c>
      <c r="CE4">
        <v>120</v>
      </c>
      <c r="CF4">
        <v>187</v>
      </c>
      <c r="CG4">
        <v>187</v>
      </c>
      <c r="CH4">
        <v>187</v>
      </c>
      <c r="CI4">
        <v>119</v>
      </c>
      <c r="CJ4">
        <v>119</v>
      </c>
      <c r="CK4">
        <v>570</v>
      </c>
      <c r="CL4">
        <v>570</v>
      </c>
      <c r="CM4">
        <v>140</v>
      </c>
      <c r="CN4">
        <v>140</v>
      </c>
      <c r="CO4">
        <v>842</v>
      </c>
      <c r="CP4">
        <v>105</v>
      </c>
      <c r="CQ4">
        <v>109</v>
      </c>
      <c r="CR4">
        <v>109</v>
      </c>
      <c r="CS4">
        <v>82</v>
      </c>
      <c r="CT4">
        <v>82</v>
      </c>
      <c r="CU4">
        <v>75</v>
      </c>
      <c r="CV4">
        <v>75</v>
      </c>
      <c r="CW4">
        <v>178</v>
      </c>
      <c r="CX4">
        <v>178</v>
      </c>
      <c r="CY4">
        <v>178</v>
      </c>
      <c r="CZ4">
        <v>178</v>
      </c>
      <c r="DA4">
        <v>82</v>
      </c>
      <c r="DB4">
        <v>82</v>
      </c>
      <c r="DC4">
        <v>710</v>
      </c>
      <c r="DD4">
        <v>69</v>
      </c>
      <c r="DE4">
        <v>70</v>
      </c>
      <c r="DF4">
        <v>710</v>
      </c>
      <c r="DG4">
        <v>710</v>
      </c>
      <c r="DH4">
        <v>710</v>
      </c>
      <c r="DI4">
        <v>144</v>
      </c>
      <c r="DJ4">
        <v>63</v>
      </c>
      <c r="DK4">
        <v>99</v>
      </c>
      <c r="DL4">
        <v>570</v>
      </c>
      <c r="DM4">
        <v>570</v>
      </c>
      <c r="DN4">
        <v>178</v>
      </c>
      <c r="DO4">
        <v>200</v>
      </c>
      <c r="DP4">
        <v>109</v>
      </c>
      <c r="DQ4">
        <v>109</v>
      </c>
      <c r="DR4">
        <v>79</v>
      </c>
      <c r="DS4">
        <v>79</v>
      </c>
      <c r="DT4">
        <v>434</v>
      </c>
      <c r="DU4">
        <v>740</v>
      </c>
      <c r="DV4">
        <v>228</v>
      </c>
      <c r="DW4">
        <v>115</v>
      </c>
      <c r="DX4">
        <v>195</v>
      </c>
      <c r="DY4">
        <v>124</v>
      </c>
      <c r="DZ4">
        <v>80</v>
      </c>
      <c r="EA4">
        <v>120</v>
      </c>
      <c r="EB4">
        <v>105</v>
      </c>
      <c r="EC4">
        <v>178</v>
      </c>
      <c r="ED4">
        <v>178</v>
      </c>
      <c r="EE4">
        <v>178</v>
      </c>
      <c r="EF4">
        <v>69</v>
      </c>
      <c r="EG4">
        <v>70</v>
      </c>
      <c r="EH4">
        <v>69</v>
      </c>
      <c r="EI4">
        <v>69</v>
      </c>
      <c r="EJ4">
        <v>132</v>
      </c>
      <c r="EK4">
        <v>132</v>
      </c>
      <c r="EL4">
        <v>710</v>
      </c>
      <c r="EM4">
        <v>710</v>
      </c>
      <c r="EN4">
        <v>66</v>
      </c>
      <c r="EO4">
        <v>66</v>
      </c>
      <c r="EP4">
        <v>710</v>
      </c>
      <c r="EQ4">
        <v>109</v>
      </c>
      <c r="ER4">
        <v>109</v>
      </c>
      <c r="ES4">
        <v>82</v>
      </c>
      <c r="ET4">
        <v>82</v>
      </c>
      <c r="EU4">
        <v>144</v>
      </c>
      <c r="EV4">
        <v>144</v>
      </c>
      <c r="EW4">
        <v>710</v>
      </c>
      <c r="EX4">
        <v>178</v>
      </c>
      <c r="EY4">
        <v>124</v>
      </c>
      <c r="EZ4">
        <v>99</v>
      </c>
      <c r="FA4">
        <v>99</v>
      </c>
      <c r="FB4">
        <v>99</v>
      </c>
      <c r="FC4">
        <v>761</v>
      </c>
      <c r="FD4">
        <v>187</v>
      </c>
      <c r="FE4">
        <v>761</v>
      </c>
      <c r="FF4">
        <v>761</v>
      </c>
      <c r="FG4">
        <v>761</v>
      </c>
      <c r="FH4">
        <v>178</v>
      </c>
      <c r="FI4">
        <v>178</v>
      </c>
      <c r="FJ4">
        <v>115</v>
      </c>
      <c r="FK4">
        <v>434</v>
      </c>
      <c r="FL4">
        <v>434</v>
      </c>
      <c r="FM4">
        <v>555</v>
      </c>
      <c r="FN4">
        <v>123</v>
      </c>
      <c r="FO4">
        <v>178</v>
      </c>
      <c r="FP4">
        <v>130</v>
      </c>
      <c r="FQ4">
        <v>178</v>
      </c>
      <c r="FR4">
        <v>103</v>
      </c>
      <c r="FS4">
        <v>238</v>
      </c>
      <c r="FT4">
        <v>434</v>
      </c>
      <c r="FU4">
        <v>178</v>
      </c>
      <c r="FV4">
        <v>132</v>
      </c>
      <c r="FW4">
        <v>178</v>
      </c>
      <c r="FX4">
        <v>144</v>
      </c>
      <c r="FY4">
        <v>144</v>
      </c>
      <c r="FZ4">
        <v>140</v>
      </c>
      <c r="GA4">
        <v>140</v>
      </c>
      <c r="GB4">
        <v>136</v>
      </c>
      <c r="GC4">
        <v>178</v>
      </c>
      <c r="GD4">
        <v>178</v>
      </c>
      <c r="GE4">
        <v>178</v>
      </c>
      <c r="GF4">
        <v>196</v>
      </c>
      <c r="GG4">
        <v>178</v>
      </c>
      <c r="GH4">
        <v>178</v>
      </c>
      <c r="GI4">
        <v>178</v>
      </c>
      <c r="GJ4">
        <v>130</v>
      </c>
      <c r="GK4">
        <v>99</v>
      </c>
      <c r="GL4">
        <v>136</v>
      </c>
      <c r="GM4">
        <v>178</v>
      </c>
      <c r="GN4">
        <v>105</v>
      </c>
      <c r="GO4">
        <v>187</v>
      </c>
      <c r="GP4">
        <v>187</v>
      </c>
      <c r="GQ4">
        <v>187</v>
      </c>
      <c r="GR4">
        <v>105</v>
      </c>
      <c r="GS4">
        <v>130</v>
      </c>
      <c r="GT4">
        <v>434</v>
      </c>
      <c r="GU4">
        <v>105</v>
      </c>
      <c r="GV4">
        <v>105</v>
      </c>
      <c r="GW4">
        <v>593</v>
      </c>
      <c r="GX4">
        <v>119</v>
      </c>
      <c r="GY4">
        <v>178</v>
      </c>
      <c r="GZ4">
        <v>120</v>
      </c>
      <c r="HA4">
        <v>178</v>
      </c>
      <c r="HB4">
        <v>178</v>
      </c>
      <c r="HC4">
        <v>178</v>
      </c>
      <c r="HD4">
        <v>646</v>
      </c>
      <c r="HE4">
        <v>161</v>
      </c>
      <c r="HF4">
        <v>161</v>
      </c>
      <c r="HG4">
        <v>434</v>
      </c>
      <c r="HH4">
        <v>434</v>
      </c>
      <c r="HI4">
        <v>187</v>
      </c>
      <c r="HJ4">
        <v>124</v>
      </c>
      <c r="HK4">
        <v>99</v>
      </c>
      <c r="HL4">
        <v>105</v>
      </c>
      <c r="HM4">
        <v>63</v>
      </c>
      <c r="HN4">
        <v>178</v>
      </c>
      <c r="HO4">
        <v>187</v>
      </c>
      <c r="HP4">
        <v>136</v>
      </c>
      <c r="HQ4">
        <v>187</v>
      </c>
      <c r="HR4">
        <v>187</v>
      </c>
      <c r="HS4">
        <v>99</v>
      </c>
      <c r="HT4">
        <v>99</v>
      </c>
      <c r="HU4">
        <v>105</v>
      </c>
      <c r="HV4">
        <v>178</v>
      </c>
      <c r="HW4">
        <v>178</v>
      </c>
      <c r="HX4">
        <v>1577</v>
      </c>
      <c r="HY4">
        <v>1577</v>
      </c>
      <c r="HZ4">
        <v>143</v>
      </c>
      <c r="IA4">
        <v>104</v>
      </c>
      <c r="IB4">
        <v>82</v>
      </c>
      <c r="IC4">
        <v>82</v>
      </c>
      <c r="ID4">
        <v>82</v>
      </c>
      <c r="IE4">
        <v>82</v>
      </c>
      <c r="IF4">
        <v>186</v>
      </c>
      <c r="IG4">
        <v>124</v>
      </c>
      <c r="IH4">
        <v>136</v>
      </c>
      <c r="II4">
        <v>99</v>
      </c>
      <c r="IJ4">
        <v>178</v>
      </c>
      <c r="IK4">
        <v>178</v>
      </c>
      <c r="IL4">
        <v>99</v>
      </c>
      <c r="IM4">
        <v>99</v>
      </c>
      <c r="IN4">
        <v>105</v>
      </c>
      <c r="IO4">
        <v>105</v>
      </c>
      <c r="IP4">
        <v>99</v>
      </c>
      <c r="IQ4">
        <v>99</v>
      </c>
      <c r="IR4">
        <v>100</v>
      </c>
      <c r="IS4">
        <v>100</v>
      </c>
      <c r="IT4">
        <v>200</v>
      </c>
      <c r="IU4">
        <v>143</v>
      </c>
      <c r="IV4">
        <v>82</v>
      </c>
      <c r="IW4">
        <v>82</v>
      </c>
      <c r="IX4">
        <v>82</v>
      </c>
      <c r="IY4">
        <v>412</v>
      </c>
      <c r="IZ4">
        <v>412</v>
      </c>
      <c r="JA4">
        <v>82</v>
      </c>
      <c r="JB4">
        <v>82</v>
      </c>
      <c r="JC4">
        <v>109</v>
      </c>
      <c r="JD4">
        <v>178</v>
      </c>
      <c r="JE4">
        <v>99</v>
      </c>
      <c r="JF4">
        <v>82</v>
      </c>
      <c r="JG4">
        <v>109</v>
      </c>
      <c r="JH4">
        <v>140</v>
      </c>
      <c r="JI4">
        <v>140</v>
      </c>
      <c r="JJ4">
        <v>196</v>
      </c>
      <c r="JK4">
        <v>178</v>
      </c>
      <c r="JL4">
        <v>178</v>
      </c>
      <c r="JM4">
        <v>99</v>
      </c>
      <c r="JN4">
        <v>178</v>
      </c>
      <c r="JO4">
        <v>350</v>
      </c>
      <c r="JP4">
        <v>99</v>
      </c>
      <c r="JQ4">
        <v>99</v>
      </c>
      <c r="JR4">
        <v>99</v>
      </c>
      <c r="JS4">
        <v>392</v>
      </c>
      <c r="JT4">
        <v>97</v>
      </c>
      <c r="JU4">
        <v>99</v>
      </c>
      <c r="JV4">
        <v>761</v>
      </c>
      <c r="JW4">
        <v>178</v>
      </c>
      <c r="JX4">
        <v>124</v>
      </c>
      <c r="JY4">
        <v>103</v>
      </c>
      <c r="JZ4">
        <v>178</v>
      </c>
      <c r="KA4">
        <v>746</v>
      </c>
      <c r="KB4">
        <v>646</v>
      </c>
      <c r="KC4">
        <v>178</v>
      </c>
      <c r="KD4">
        <v>178</v>
      </c>
      <c r="KE4">
        <v>178</v>
      </c>
      <c r="KF4">
        <v>178</v>
      </c>
      <c r="KG4">
        <v>190</v>
      </c>
      <c r="KH4">
        <v>105</v>
      </c>
      <c r="KI4">
        <v>136</v>
      </c>
      <c r="KJ4">
        <v>134</v>
      </c>
      <c r="KK4">
        <v>136</v>
      </c>
      <c r="KL4">
        <v>136</v>
      </c>
      <c r="KM4">
        <v>99</v>
      </c>
      <c r="KN4">
        <v>105</v>
      </c>
      <c r="KO4">
        <v>99</v>
      </c>
      <c r="KP4">
        <v>105</v>
      </c>
      <c r="KQ4">
        <v>99</v>
      </c>
      <c r="KR4">
        <v>99</v>
      </c>
      <c r="KS4">
        <v>99</v>
      </c>
      <c r="KT4">
        <v>74</v>
      </c>
      <c r="KU4">
        <v>74</v>
      </c>
      <c r="KV4">
        <v>99</v>
      </c>
      <c r="KW4">
        <v>178</v>
      </c>
      <c r="KX4">
        <v>178</v>
      </c>
      <c r="KY4">
        <v>99</v>
      </c>
      <c r="KZ4">
        <v>104</v>
      </c>
      <c r="LA4">
        <v>178</v>
      </c>
      <c r="LB4">
        <v>178</v>
      </c>
      <c r="LC4">
        <v>211</v>
      </c>
      <c r="LD4">
        <v>196</v>
      </c>
      <c r="LE4">
        <v>69</v>
      </c>
      <c r="LF4">
        <v>69</v>
      </c>
      <c r="LG4">
        <v>144</v>
      </c>
      <c r="LH4">
        <v>144</v>
      </c>
      <c r="LI4">
        <v>103</v>
      </c>
      <c r="LJ4">
        <v>99</v>
      </c>
      <c r="LK4">
        <v>99</v>
      </c>
      <c r="LL4">
        <v>82</v>
      </c>
      <c r="LM4">
        <v>82</v>
      </c>
      <c r="LN4">
        <v>82</v>
      </c>
      <c r="LO4">
        <v>82</v>
      </c>
      <c r="LP4">
        <v>82</v>
      </c>
      <c r="LQ4">
        <v>99</v>
      </c>
      <c r="LR4">
        <v>79</v>
      </c>
      <c r="LS4">
        <v>79</v>
      </c>
      <c r="LT4">
        <v>108</v>
      </c>
      <c r="LU4">
        <v>109</v>
      </c>
      <c r="LV4">
        <v>109</v>
      </c>
      <c r="LW4">
        <v>99</v>
      </c>
      <c r="LX4">
        <v>99</v>
      </c>
      <c r="LY4">
        <v>99</v>
      </c>
      <c r="LZ4">
        <v>178</v>
      </c>
      <c r="MA4">
        <v>393</v>
      </c>
      <c r="MB4">
        <v>350</v>
      </c>
      <c r="MC4">
        <v>350</v>
      </c>
      <c r="MD4">
        <v>434</v>
      </c>
      <c r="ME4">
        <v>1283</v>
      </c>
      <c r="MF4">
        <v>351</v>
      </c>
      <c r="MG4">
        <v>140</v>
      </c>
      <c r="MH4">
        <v>140</v>
      </c>
      <c r="MI4">
        <v>140</v>
      </c>
      <c r="MJ4">
        <v>186</v>
      </c>
      <c r="MK4">
        <v>157</v>
      </c>
      <c r="ML4">
        <v>144</v>
      </c>
      <c r="MM4">
        <v>186</v>
      </c>
      <c r="MN4">
        <v>195</v>
      </c>
      <c r="MO4">
        <v>105</v>
      </c>
      <c r="MP4">
        <v>119</v>
      </c>
      <c r="MQ4">
        <v>593</v>
      </c>
      <c r="MR4">
        <v>119</v>
      </c>
      <c r="MS4">
        <v>332</v>
      </c>
      <c r="MT4">
        <v>120</v>
      </c>
      <c r="MU4">
        <v>80</v>
      </c>
      <c r="MV4">
        <v>536</v>
      </c>
      <c r="MW4">
        <v>105</v>
      </c>
      <c r="MX4">
        <v>144</v>
      </c>
      <c r="MY4">
        <v>144</v>
      </c>
      <c r="MZ4">
        <v>105</v>
      </c>
      <c r="NA4">
        <v>384</v>
      </c>
      <c r="NB4">
        <v>99</v>
      </c>
      <c r="NC4">
        <v>99</v>
      </c>
      <c r="ND4">
        <v>434</v>
      </c>
      <c r="NE4">
        <v>98</v>
      </c>
      <c r="NF4">
        <v>107</v>
      </c>
      <c r="NG4">
        <v>140</v>
      </c>
      <c r="NH4">
        <v>107</v>
      </c>
      <c r="NI4">
        <v>140</v>
      </c>
      <c r="NJ4">
        <v>99</v>
      </c>
      <c r="NK4">
        <v>99</v>
      </c>
      <c r="NL4">
        <v>178</v>
      </c>
      <c r="NM4">
        <v>103</v>
      </c>
      <c r="NN4">
        <v>103</v>
      </c>
      <c r="NO4">
        <v>103</v>
      </c>
      <c r="NP4">
        <v>120</v>
      </c>
      <c r="NQ4">
        <v>120</v>
      </c>
      <c r="NR4">
        <v>570</v>
      </c>
      <c r="NS4">
        <v>99</v>
      </c>
      <c r="NT4">
        <v>393</v>
      </c>
      <c r="NU4">
        <v>434</v>
      </c>
      <c r="NV4">
        <v>593</v>
      </c>
      <c r="NW4">
        <v>178</v>
      </c>
      <c r="NX4">
        <v>178</v>
      </c>
      <c r="NY4">
        <v>178</v>
      </c>
      <c r="NZ4">
        <v>178</v>
      </c>
      <c r="OA4">
        <v>136</v>
      </c>
      <c r="OB4">
        <v>122</v>
      </c>
      <c r="OC4">
        <v>82</v>
      </c>
      <c r="OD4">
        <v>82</v>
      </c>
      <c r="OE4">
        <v>105</v>
      </c>
      <c r="OF4">
        <v>434</v>
      </c>
      <c r="OG4">
        <v>350</v>
      </c>
      <c r="OH4">
        <v>99</v>
      </c>
      <c r="OI4">
        <v>99</v>
      </c>
      <c r="OJ4">
        <v>99</v>
      </c>
      <c r="OK4">
        <v>99</v>
      </c>
      <c r="OL4">
        <v>99</v>
      </c>
      <c r="OM4">
        <v>99</v>
      </c>
      <c r="ON4">
        <v>200</v>
      </c>
      <c r="OO4">
        <v>200</v>
      </c>
      <c r="OP4">
        <v>119</v>
      </c>
      <c r="OQ4">
        <v>105</v>
      </c>
      <c r="OR4">
        <v>105</v>
      </c>
      <c r="OS4">
        <v>195</v>
      </c>
      <c r="OT4">
        <v>710</v>
      </c>
      <c r="OU4">
        <v>82</v>
      </c>
      <c r="OV4">
        <v>80</v>
      </c>
      <c r="OW4">
        <v>107</v>
      </c>
      <c r="OX4">
        <v>140</v>
      </c>
      <c r="OY4">
        <v>136</v>
      </c>
      <c r="OZ4">
        <v>136</v>
      </c>
      <c r="PA4">
        <v>104</v>
      </c>
      <c r="PB4">
        <v>196</v>
      </c>
      <c r="PC4">
        <v>80</v>
      </c>
      <c r="PD4">
        <v>562</v>
      </c>
      <c r="PE4">
        <v>120</v>
      </c>
      <c r="PF4">
        <v>267</v>
      </c>
      <c r="PG4">
        <v>351</v>
      </c>
      <c r="PH4">
        <v>593</v>
      </c>
      <c r="PI4">
        <v>178</v>
      </c>
      <c r="PJ4">
        <v>99</v>
      </c>
      <c r="PK4">
        <v>134</v>
      </c>
      <c r="PL4">
        <v>103</v>
      </c>
      <c r="PM4">
        <v>103</v>
      </c>
      <c r="PN4">
        <v>710</v>
      </c>
      <c r="PO4">
        <v>710</v>
      </c>
      <c r="PP4">
        <v>710</v>
      </c>
      <c r="PQ4">
        <v>185</v>
      </c>
      <c r="PR4">
        <v>178</v>
      </c>
      <c r="PS4">
        <v>99</v>
      </c>
      <c r="PT4">
        <v>178</v>
      </c>
      <c r="PU4">
        <v>178</v>
      </c>
      <c r="PV4">
        <v>119</v>
      </c>
      <c r="PW4">
        <v>120</v>
      </c>
      <c r="PX4">
        <v>136</v>
      </c>
      <c r="PY4">
        <v>434</v>
      </c>
      <c r="PZ4">
        <v>512</v>
      </c>
      <c r="QA4">
        <v>99</v>
      </c>
      <c r="QB4">
        <v>80</v>
      </c>
      <c r="QC4">
        <v>269</v>
      </c>
      <c r="QD4">
        <v>178</v>
      </c>
      <c r="QE4">
        <v>140</v>
      </c>
      <c r="QF4">
        <v>136</v>
      </c>
      <c r="QG4">
        <v>731</v>
      </c>
      <c r="QH4">
        <v>731</v>
      </c>
      <c r="QI4">
        <v>660</v>
      </c>
      <c r="QJ4">
        <v>660</v>
      </c>
      <c r="QK4">
        <v>136</v>
      </c>
      <c r="QL4">
        <v>99</v>
      </c>
      <c r="QM4">
        <v>99</v>
      </c>
      <c r="QN4">
        <v>350</v>
      </c>
      <c r="QO4">
        <v>350</v>
      </c>
      <c r="QP4">
        <v>99</v>
      </c>
      <c r="QQ4">
        <v>178</v>
      </c>
      <c r="QR4">
        <v>99</v>
      </c>
      <c r="QS4">
        <v>109</v>
      </c>
      <c r="QT4">
        <v>143</v>
      </c>
      <c r="QU4">
        <v>434</v>
      </c>
      <c r="QV4">
        <v>178</v>
      </c>
      <c r="QW4">
        <v>99</v>
      </c>
      <c r="QX4">
        <v>140</v>
      </c>
      <c r="QY4">
        <v>190</v>
      </c>
      <c r="QZ4">
        <v>195</v>
      </c>
      <c r="RA4">
        <v>135</v>
      </c>
      <c r="RB4">
        <v>195</v>
      </c>
      <c r="RC4">
        <v>710</v>
      </c>
      <c r="RD4">
        <v>136</v>
      </c>
      <c r="RE4">
        <v>105</v>
      </c>
      <c r="RF4">
        <v>124</v>
      </c>
      <c r="RG4">
        <v>99</v>
      </c>
      <c r="RH4">
        <v>353</v>
      </c>
      <c r="RI4">
        <v>178</v>
      </c>
      <c r="RJ4">
        <v>99</v>
      </c>
      <c r="RK4">
        <v>136</v>
      </c>
      <c r="RL4">
        <v>99</v>
      </c>
      <c r="RM4">
        <v>187</v>
      </c>
      <c r="RN4">
        <v>99</v>
      </c>
      <c r="RO4">
        <v>761</v>
      </c>
      <c r="RP4">
        <v>761</v>
      </c>
      <c r="RQ4">
        <v>99</v>
      </c>
      <c r="RR4">
        <v>99</v>
      </c>
      <c r="RS4">
        <v>99</v>
      </c>
      <c r="RT4">
        <v>99</v>
      </c>
      <c r="RU4">
        <v>136</v>
      </c>
      <c r="RV4">
        <v>124</v>
      </c>
      <c r="RW4">
        <v>99</v>
      </c>
      <c r="RX4">
        <v>99</v>
      </c>
      <c r="RY4">
        <v>136</v>
      </c>
      <c r="RZ4">
        <v>105</v>
      </c>
      <c r="SA4">
        <v>136</v>
      </c>
      <c r="SB4">
        <v>100</v>
      </c>
      <c r="SC4">
        <v>99</v>
      </c>
      <c r="SD4">
        <v>178</v>
      </c>
      <c r="SE4">
        <v>99</v>
      </c>
      <c r="SF4">
        <v>99</v>
      </c>
      <c r="SG4">
        <v>99</v>
      </c>
      <c r="SH4">
        <v>99</v>
      </c>
      <c r="SI4">
        <v>82</v>
      </c>
      <c r="SJ4">
        <v>80</v>
      </c>
      <c r="SK4">
        <v>99</v>
      </c>
      <c r="SL4">
        <v>99</v>
      </c>
      <c r="SM4">
        <v>95</v>
      </c>
      <c r="SN4">
        <v>710</v>
      </c>
      <c r="SO4">
        <v>710</v>
      </c>
      <c r="SP4">
        <v>350</v>
      </c>
      <c r="SQ4">
        <v>120</v>
      </c>
      <c r="SR4">
        <v>104</v>
      </c>
      <c r="SS4">
        <v>710</v>
      </c>
      <c r="ST4">
        <v>710</v>
      </c>
      <c r="SU4">
        <v>99</v>
      </c>
      <c r="SV4">
        <v>99</v>
      </c>
      <c r="SW4">
        <v>80</v>
      </c>
      <c r="SX4">
        <v>178</v>
      </c>
      <c r="SY4">
        <v>269</v>
      </c>
      <c r="SZ4">
        <v>325</v>
      </c>
      <c r="TA4">
        <v>350</v>
      </c>
      <c r="TB4">
        <v>119</v>
      </c>
      <c r="TC4">
        <v>120</v>
      </c>
      <c r="TD4">
        <v>140</v>
      </c>
      <c r="TE4">
        <v>140</v>
      </c>
      <c r="TF4">
        <v>99</v>
      </c>
      <c r="TG4">
        <v>105</v>
      </c>
      <c r="TH4">
        <v>100</v>
      </c>
      <c r="TI4">
        <v>120</v>
      </c>
      <c r="TJ4">
        <v>139</v>
      </c>
      <c r="TK4">
        <v>135</v>
      </c>
      <c r="TL4">
        <v>190</v>
      </c>
      <c r="TM4">
        <v>99</v>
      </c>
      <c r="TN4">
        <v>99</v>
      </c>
      <c r="TO4">
        <v>1283</v>
      </c>
      <c r="TP4">
        <v>537</v>
      </c>
      <c r="TQ4">
        <v>178</v>
      </c>
      <c r="TR4">
        <v>178</v>
      </c>
      <c r="TS4">
        <v>178</v>
      </c>
      <c r="TT4">
        <v>105</v>
      </c>
      <c r="TU4">
        <v>105</v>
      </c>
      <c r="TV4">
        <v>136</v>
      </c>
      <c r="TW4">
        <v>105</v>
      </c>
      <c r="TX4">
        <v>82</v>
      </c>
      <c r="TY4">
        <v>82</v>
      </c>
      <c r="TZ4">
        <v>119</v>
      </c>
      <c r="UA4">
        <v>332</v>
      </c>
      <c r="UB4">
        <v>109</v>
      </c>
      <c r="UC4">
        <v>82</v>
      </c>
      <c r="UD4">
        <v>186</v>
      </c>
      <c r="UE4">
        <v>105</v>
      </c>
      <c r="UF4">
        <v>434</v>
      </c>
      <c r="UG4">
        <v>1577</v>
      </c>
      <c r="UH4">
        <v>105</v>
      </c>
      <c r="UI4">
        <v>105</v>
      </c>
      <c r="UJ4">
        <v>267</v>
      </c>
      <c r="UK4">
        <v>269</v>
      </c>
      <c r="UL4">
        <v>269</v>
      </c>
      <c r="UM4">
        <v>593</v>
      </c>
      <c r="UN4">
        <v>178</v>
      </c>
      <c r="UO4">
        <v>136</v>
      </c>
      <c r="UP4">
        <v>467</v>
      </c>
      <c r="UQ4">
        <v>63</v>
      </c>
      <c r="UR4">
        <v>195</v>
      </c>
      <c r="US4">
        <v>178</v>
      </c>
      <c r="UT4">
        <v>125</v>
      </c>
      <c r="UU4">
        <v>125</v>
      </c>
      <c r="UV4">
        <v>99</v>
      </c>
      <c r="UW4">
        <v>95</v>
      </c>
      <c r="UX4">
        <v>99</v>
      </c>
      <c r="UY4">
        <v>178</v>
      </c>
      <c r="UZ4">
        <v>178</v>
      </c>
      <c r="VA4">
        <v>105</v>
      </c>
      <c r="VB4">
        <v>99</v>
      </c>
      <c r="VC4">
        <v>99</v>
      </c>
      <c r="VD4">
        <v>105</v>
      </c>
      <c r="VE4">
        <v>105</v>
      </c>
      <c r="VF4">
        <v>105</v>
      </c>
      <c r="VG4">
        <v>710</v>
      </c>
      <c r="VH4">
        <v>710</v>
      </c>
      <c r="VI4">
        <v>79</v>
      </c>
      <c r="VJ4">
        <v>79</v>
      </c>
      <c r="VK4">
        <v>105</v>
      </c>
      <c r="VL4">
        <v>178</v>
      </c>
      <c r="VM4">
        <v>186</v>
      </c>
      <c r="VN4">
        <v>178</v>
      </c>
      <c r="VO4">
        <v>685</v>
      </c>
    </row>
    <row r="5" spans="1:587" x14ac:dyDescent="0.3">
      <c r="A5" t="s">
        <v>3000</v>
      </c>
      <c r="B5" cm="1">
        <f t="array" ref="B5:VO5">1*TRANSPOSE(_xlfn._xlws.FILTER(branch!$I$2:$I$591,branch!$D$2:$D$591&lt;&gt;0))</f>
        <v>99</v>
      </c>
      <c r="C5">
        <v>99</v>
      </c>
      <c r="D5">
        <v>178</v>
      </c>
      <c r="E5">
        <v>145</v>
      </c>
      <c r="F5">
        <v>536</v>
      </c>
      <c r="G5">
        <v>393</v>
      </c>
      <c r="H5">
        <v>393</v>
      </c>
      <c r="I5">
        <v>593</v>
      </c>
      <c r="J5">
        <v>434</v>
      </c>
      <c r="K5">
        <v>99</v>
      </c>
      <c r="L5">
        <v>140</v>
      </c>
      <c r="M5">
        <v>103</v>
      </c>
      <c r="N5">
        <v>109</v>
      </c>
      <c r="O5">
        <v>105</v>
      </c>
      <c r="P5">
        <v>99</v>
      </c>
      <c r="Q5">
        <v>187</v>
      </c>
      <c r="R5">
        <v>187</v>
      </c>
      <c r="S5">
        <v>187</v>
      </c>
      <c r="T5">
        <v>104</v>
      </c>
      <c r="U5">
        <v>112</v>
      </c>
      <c r="V5">
        <v>105</v>
      </c>
      <c r="W5">
        <v>82</v>
      </c>
      <c r="X5">
        <v>82</v>
      </c>
      <c r="Y5">
        <v>105</v>
      </c>
      <c r="Z5">
        <v>105</v>
      </c>
      <c r="AA5">
        <v>99</v>
      </c>
      <c r="AB5">
        <v>178</v>
      </c>
      <c r="AC5">
        <v>434</v>
      </c>
      <c r="AD5">
        <v>434</v>
      </c>
      <c r="AE5">
        <v>34</v>
      </c>
      <c r="AF5">
        <v>120</v>
      </c>
      <c r="AG5">
        <v>120</v>
      </c>
      <c r="AH5">
        <v>104</v>
      </c>
      <c r="AI5">
        <v>178</v>
      </c>
      <c r="AJ5">
        <v>178</v>
      </c>
      <c r="AK5">
        <v>178</v>
      </c>
      <c r="AL5">
        <v>178</v>
      </c>
      <c r="AM5">
        <v>120</v>
      </c>
      <c r="AN5">
        <v>178</v>
      </c>
      <c r="AO5">
        <v>99</v>
      </c>
      <c r="AP5">
        <v>178</v>
      </c>
      <c r="AQ5">
        <v>140</v>
      </c>
      <c r="AR5">
        <v>140</v>
      </c>
      <c r="AS5">
        <v>99</v>
      </c>
      <c r="AT5">
        <v>105</v>
      </c>
      <c r="AU5">
        <v>99</v>
      </c>
      <c r="AV5">
        <v>96</v>
      </c>
      <c r="AW5">
        <v>96</v>
      </c>
      <c r="AX5">
        <v>178</v>
      </c>
      <c r="AY5">
        <v>178</v>
      </c>
      <c r="AZ5">
        <v>120</v>
      </c>
      <c r="BA5">
        <v>120</v>
      </c>
      <c r="BB5">
        <v>178</v>
      </c>
      <c r="BC5">
        <v>178</v>
      </c>
      <c r="BD5">
        <v>178</v>
      </c>
      <c r="BE5">
        <v>105</v>
      </c>
      <c r="BF5">
        <v>99</v>
      </c>
      <c r="BG5">
        <v>99</v>
      </c>
      <c r="BH5">
        <v>99</v>
      </c>
      <c r="BI5">
        <v>82</v>
      </c>
      <c r="BJ5">
        <v>82</v>
      </c>
      <c r="BK5">
        <v>136</v>
      </c>
      <c r="BL5">
        <v>140</v>
      </c>
      <c r="BM5">
        <v>130</v>
      </c>
      <c r="BN5">
        <v>99</v>
      </c>
      <c r="BO5">
        <v>122</v>
      </c>
      <c r="BP5">
        <v>196</v>
      </c>
      <c r="BQ5">
        <v>178</v>
      </c>
      <c r="BR5">
        <v>136</v>
      </c>
      <c r="BS5">
        <v>178</v>
      </c>
      <c r="BT5">
        <v>124</v>
      </c>
      <c r="BU5">
        <v>178</v>
      </c>
      <c r="BV5">
        <v>178</v>
      </c>
      <c r="BW5">
        <v>178</v>
      </c>
      <c r="BX5">
        <v>99</v>
      </c>
      <c r="BY5">
        <v>136</v>
      </c>
      <c r="BZ5">
        <v>195</v>
      </c>
      <c r="CA5">
        <v>178</v>
      </c>
      <c r="CB5">
        <v>178</v>
      </c>
      <c r="CC5">
        <v>192</v>
      </c>
      <c r="CD5">
        <v>187</v>
      </c>
      <c r="CE5">
        <v>120</v>
      </c>
      <c r="CF5">
        <v>187</v>
      </c>
      <c r="CG5">
        <v>187</v>
      </c>
      <c r="CH5">
        <v>187</v>
      </c>
      <c r="CI5">
        <v>119</v>
      </c>
      <c r="CJ5">
        <v>119</v>
      </c>
      <c r="CK5">
        <v>570</v>
      </c>
      <c r="CL5">
        <v>570</v>
      </c>
      <c r="CM5">
        <v>140</v>
      </c>
      <c r="CN5">
        <v>140</v>
      </c>
      <c r="CO5">
        <v>842</v>
      </c>
      <c r="CP5">
        <v>105</v>
      </c>
      <c r="CQ5">
        <v>109</v>
      </c>
      <c r="CR5">
        <v>109</v>
      </c>
      <c r="CS5">
        <v>82</v>
      </c>
      <c r="CT5">
        <v>82</v>
      </c>
      <c r="CU5">
        <v>75</v>
      </c>
      <c r="CV5">
        <v>75</v>
      </c>
      <c r="CW5">
        <v>178</v>
      </c>
      <c r="CX5">
        <v>178</v>
      </c>
      <c r="CY5">
        <v>178</v>
      </c>
      <c r="CZ5">
        <v>178</v>
      </c>
      <c r="DA5">
        <v>82</v>
      </c>
      <c r="DB5">
        <v>82</v>
      </c>
      <c r="DC5">
        <v>710</v>
      </c>
      <c r="DD5">
        <v>69</v>
      </c>
      <c r="DE5">
        <v>70</v>
      </c>
      <c r="DF5">
        <v>710</v>
      </c>
      <c r="DG5">
        <v>710</v>
      </c>
      <c r="DH5">
        <v>710</v>
      </c>
      <c r="DI5">
        <v>144</v>
      </c>
      <c r="DJ5">
        <v>63</v>
      </c>
      <c r="DK5">
        <v>99</v>
      </c>
      <c r="DL5">
        <v>570</v>
      </c>
      <c r="DM5">
        <v>570</v>
      </c>
      <c r="DN5">
        <v>178</v>
      </c>
      <c r="DO5">
        <v>200</v>
      </c>
      <c r="DP5">
        <v>109</v>
      </c>
      <c r="DQ5">
        <v>109</v>
      </c>
      <c r="DR5">
        <v>79</v>
      </c>
      <c r="DS5">
        <v>79</v>
      </c>
      <c r="DT5">
        <v>434</v>
      </c>
      <c r="DU5">
        <v>740</v>
      </c>
      <c r="DV5">
        <v>228</v>
      </c>
      <c r="DW5">
        <v>115</v>
      </c>
      <c r="DX5">
        <v>195</v>
      </c>
      <c r="DY5">
        <v>124</v>
      </c>
      <c r="DZ5">
        <v>80</v>
      </c>
      <c r="EA5">
        <v>120</v>
      </c>
      <c r="EB5">
        <v>105</v>
      </c>
      <c r="EC5">
        <v>178</v>
      </c>
      <c r="ED5">
        <v>178</v>
      </c>
      <c r="EE5">
        <v>178</v>
      </c>
      <c r="EF5">
        <v>69</v>
      </c>
      <c r="EG5">
        <v>70</v>
      </c>
      <c r="EH5">
        <v>69</v>
      </c>
      <c r="EI5">
        <v>69</v>
      </c>
      <c r="EJ5">
        <v>132</v>
      </c>
      <c r="EK5">
        <v>132</v>
      </c>
      <c r="EL5">
        <v>710</v>
      </c>
      <c r="EM5">
        <v>710</v>
      </c>
      <c r="EN5">
        <v>66</v>
      </c>
      <c r="EO5">
        <v>66</v>
      </c>
      <c r="EP5">
        <v>710</v>
      </c>
      <c r="EQ5">
        <v>109</v>
      </c>
      <c r="ER5">
        <v>109</v>
      </c>
      <c r="ES5">
        <v>82</v>
      </c>
      <c r="ET5">
        <v>82</v>
      </c>
      <c r="EU5">
        <v>144</v>
      </c>
      <c r="EV5">
        <v>144</v>
      </c>
      <c r="EW5">
        <v>710</v>
      </c>
      <c r="EX5">
        <v>178</v>
      </c>
      <c r="EY5">
        <v>124</v>
      </c>
      <c r="EZ5">
        <v>99</v>
      </c>
      <c r="FA5">
        <v>99</v>
      </c>
      <c r="FB5">
        <v>99</v>
      </c>
      <c r="FC5">
        <v>761</v>
      </c>
      <c r="FD5">
        <v>187</v>
      </c>
      <c r="FE5">
        <v>761</v>
      </c>
      <c r="FF5">
        <v>761</v>
      </c>
      <c r="FG5">
        <v>761</v>
      </c>
      <c r="FH5">
        <v>178</v>
      </c>
      <c r="FI5">
        <v>178</v>
      </c>
      <c r="FJ5">
        <v>115</v>
      </c>
      <c r="FK5">
        <v>434</v>
      </c>
      <c r="FL5">
        <v>434</v>
      </c>
      <c r="FM5">
        <v>555</v>
      </c>
      <c r="FN5">
        <v>123</v>
      </c>
      <c r="FO5">
        <v>178</v>
      </c>
      <c r="FP5">
        <v>130</v>
      </c>
      <c r="FQ5">
        <v>178</v>
      </c>
      <c r="FR5">
        <v>103</v>
      </c>
      <c r="FS5">
        <v>238</v>
      </c>
      <c r="FT5">
        <v>434</v>
      </c>
      <c r="FU5">
        <v>178</v>
      </c>
      <c r="FV5">
        <v>132</v>
      </c>
      <c r="FW5">
        <v>178</v>
      </c>
      <c r="FX5">
        <v>144</v>
      </c>
      <c r="FY5">
        <v>144</v>
      </c>
      <c r="FZ5">
        <v>140</v>
      </c>
      <c r="GA5">
        <v>140</v>
      </c>
      <c r="GB5">
        <v>136</v>
      </c>
      <c r="GC5">
        <v>178</v>
      </c>
      <c r="GD5">
        <v>178</v>
      </c>
      <c r="GE5">
        <v>178</v>
      </c>
      <c r="GF5">
        <v>196</v>
      </c>
      <c r="GG5">
        <v>178</v>
      </c>
      <c r="GH5">
        <v>178</v>
      </c>
      <c r="GI5">
        <v>178</v>
      </c>
      <c r="GJ5">
        <v>130</v>
      </c>
      <c r="GK5">
        <v>99</v>
      </c>
      <c r="GL5">
        <v>136</v>
      </c>
      <c r="GM5">
        <v>178</v>
      </c>
      <c r="GN5">
        <v>105</v>
      </c>
      <c r="GO5">
        <v>187</v>
      </c>
      <c r="GP5">
        <v>187</v>
      </c>
      <c r="GQ5">
        <v>187</v>
      </c>
      <c r="GR5">
        <v>105</v>
      </c>
      <c r="GS5">
        <v>130</v>
      </c>
      <c r="GT5">
        <v>434</v>
      </c>
      <c r="GU5">
        <v>105</v>
      </c>
      <c r="GV5">
        <v>105</v>
      </c>
      <c r="GW5">
        <v>593</v>
      </c>
      <c r="GX5">
        <v>119</v>
      </c>
      <c r="GY5">
        <v>178</v>
      </c>
      <c r="GZ5">
        <v>120</v>
      </c>
      <c r="HA5">
        <v>178</v>
      </c>
      <c r="HB5">
        <v>178</v>
      </c>
      <c r="HC5">
        <v>178</v>
      </c>
      <c r="HD5">
        <v>646</v>
      </c>
      <c r="HE5">
        <v>161</v>
      </c>
      <c r="HF5">
        <v>161</v>
      </c>
      <c r="HG5">
        <v>434</v>
      </c>
      <c r="HH5">
        <v>434</v>
      </c>
      <c r="HI5">
        <v>187</v>
      </c>
      <c r="HJ5">
        <v>124</v>
      </c>
      <c r="HK5">
        <v>99</v>
      </c>
      <c r="HL5">
        <v>105</v>
      </c>
      <c r="HM5">
        <v>63</v>
      </c>
      <c r="HN5">
        <v>178</v>
      </c>
      <c r="HO5">
        <v>187</v>
      </c>
      <c r="HP5">
        <v>136</v>
      </c>
      <c r="HQ5">
        <v>187</v>
      </c>
      <c r="HR5">
        <v>187</v>
      </c>
      <c r="HS5">
        <v>99</v>
      </c>
      <c r="HT5">
        <v>99</v>
      </c>
      <c r="HU5">
        <v>105</v>
      </c>
      <c r="HV5">
        <v>178</v>
      </c>
      <c r="HW5">
        <v>178</v>
      </c>
      <c r="HX5">
        <v>1577</v>
      </c>
      <c r="HY5">
        <v>1577</v>
      </c>
      <c r="HZ5">
        <v>143</v>
      </c>
      <c r="IA5">
        <v>104</v>
      </c>
      <c r="IB5">
        <v>82</v>
      </c>
      <c r="IC5">
        <v>82</v>
      </c>
      <c r="ID5">
        <v>82</v>
      </c>
      <c r="IE5">
        <v>82</v>
      </c>
      <c r="IF5">
        <v>186</v>
      </c>
      <c r="IG5">
        <v>124</v>
      </c>
      <c r="IH5">
        <v>136</v>
      </c>
      <c r="II5">
        <v>99</v>
      </c>
      <c r="IJ5">
        <v>178</v>
      </c>
      <c r="IK5">
        <v>178</v>
      </c>
      <c r="IL5">
        <v>99</v>
      </c>
      <c r="IM5">
        <v>99</v>
      </c>
      <c r="IN5">
        <v>105</v>
      </c>
      <c r="IO5">
        <v>105</v>
      </c>
      <c r="IP5">
        <v>99</v>
      </c>
      <c r="IQ5">
        <v>99</v>
      </c>
      <c r="IR5">
        <v>100</v>
      </c>
      <c r="IS5">
        <v>100</v>
      </c>
      <c r="IT5">
        <v>200</v>
      </c>
      <c r="IU5">
        <v>143</v>
      </c>
      <c r="IV5">
        <v>82</v>
      </c>
      <c r="IW5">
        <v>82</v>
      </c>
      <c r="IX5">
        <v>82</v>
      </c>
      <c r="IY5">
        <v>412</v>
      </c>
      <c r="IZ5">
        <v>412</v>
      </c>
      <c r="JA5">
        <v>82</v>
      </c>
      <c r="JB5">
        <v>82</v>
      </c>
      <c r="JC5">
        <v>109</v>
      </c>
      <c r="JD5">
        <v>178</v>
      </c>
      <c r="JE5">
        <v>99</v>
      </c>
      <c r="JF5">
        <v>82</v>
      </c>
      <c r="JG5">
        <v>109</v>
      </c>
      <c r="JH5">
        <v>140</v>
      </c>
      <c r="JI5">
        <v>140</v>
      </c>
      <c r="JJ5">
        <v>196</v>
      </c>
      <c r="JK5">
        <v>178</v>
      </c>
      <c r="JL5">
        <v>178</v>
      </c>
      <c r="JM5">
        <v>99</v>
      </c>
      <c r="JN5">
        <v>178</v>
      </c>
      <c r="JO5">
        <v>350</v>
      </c>
      <c r="JP5">
        <v>99</v>
      </c>
      <c r="JQ5">
        <v>99</v>
      </c>
      <c r="JR5">
        <v>99</v>
      </c>
      <c r="JS5">
        <v>392</v>
      </c>
      <c r="JT5">
        <v>97</v>
      </c>
      <c r="JU5">
        <v>99</v>
      </c>
      <c r="JV5">
        <v>761</v>
      </c>
      <c r="JW5">
        <v>178</v>
      </c>
      <c r="JX5">
        <v>124</v>
      </c>
      <c r="JY5">
        <v>103</v>
      </c>
      <c r="JZ5">
        <v>178</v>
      </c>
      <c r="KA5">
        <v>746</v>
      </c>
      <c r="KB5">
        <v>646</v>
      </c>
      <c r="KC5">
        <v>178</v>
      </c>
      <c r="KD5">
        <v>178</v>
      </c>
      <c r="KE5">
        <v>178</v>
      </c>
      <c r="KF5">
        <v>178</v>
      </c>
      <c r="KG5">
        <v>190</v>
      </c>
      <c r="KH5">
        <v>105</v>
      </c>
      <c r="KI5">
        <v>136</v>
      </c>
      <c r="KJ5">
        <v>134</v>
      </c>
      <c r="KK5">
        <v>136</v>
      </c>
      <c r="KL5">
        <v>136</v>
      </c>
      <c r="KM5">
        <v>99</v>
      </c>
      <c r="KN5">
        <v>105</v>
      </c>
      <c r="KO5">
        <v>99</v>
      </c>
      <c r="KP5">
        <v>105</v>
      </c>
      <c r="KQ5">
        <v>99</v>
      </c>
      <c r="KR5">
        <v>99</v>
      </c>
      <c r="KS5">
        <v>99</v>
      </c>
      <c r="KT5">
        <v>74</v>
      </c>
      <c r="KU5">
        <v>74</v>
      </c>
      <c r="KV5">
        <v>99</v>
      </c>
      <c r="KW5">
        <v>178</v>
      </c>
      <c r="KX5">
        <v>178</v>
      </c>
      <c r="KY5">
        <v>99</v>
      </c>
      <c r="KZ5">
        <v>104</v>
      </c>
      <c r="LA5">
        <v>178</v>
      </c>
      <c r="LB5">
        <v>178</v>
      </c>
      <c r="LC5">
        <v>211</v>
      </c>
      <c r="LD5">
        <v>196</v>
      </c>
      <c r="LE5">
        <v>69</v>
      </c>
      <c r="LF5">
        <v>69</v>
      </c>
      <c r="LG5">
        <v>144</v>
      </c>
      <c r="LH5">
        <v>144</v>
      </c>
      <c r="LI5">
        <v>103</v>
      </c>
      <c r="LJ5">
        <v>99</v>
      </c>
      <c r="LK5">
        <v>99</v>
      </c>
      <c r="LL5">
        <v>82</v>
      </c>
      <c r="LM5">
        <v>82</v>
      </c>
      <c r="LN5">
        <v>82</v>
      </c>
      <c r="LO5">
        <v>82</v>
      </c>
      <c r="LP5">
        <v>82</v>
      </c>
      <c r="LQ5">
        <v>99</v>
      </c>
      <c r="LR5">
        <v>79</v>
      </c>
      <c r="LS5">
        <v>79</v>
      </c>
      <c r="LT5">
        <v>108</v>
      </c>
      <c r="LU5">
        <v>109</v>
      </c>
      <c r="LV5">
        <v>109</v>
      </c>
      <c r="LW5">
        <v>99</v>
      </c>
      <c r="LX5">
        <v>99</v>
      </c>
      <c r="LY5">
        <v>99</v>
      </c>
      <c r="LZ5">
        <v>178</v>
      </c>
      <c r="MA5">
        <v>393</v>
      </c>
      <c r="MB5">
        <v>350</v>
      </c>
      <c r="MC5">
        <v>350</v>
      </c>
      <c r="MD5">
        <v>434</v>
      </c>
      <c r="ME5">
        <v>1283</v>
      </c>
      <c r="MF5">
        <v>351</v>
      </c>
      <c r="MG5">
        <v>140</v>
      </c>
      <c r="MH5">
        <v>140</v>
      </c>
      <c r="MI5">
        <v>140</v>
      </c>
      <c r="MJ5">
        <v>186</v>
      </c>
      <c r="MK5">
        <v>157</v>
      </c>
      <c r="ML5">
        <v>144</v>
      </c>
      <c r="MM5">
        <v>186</v>
      </c>
      <c r="MN5">
        <v>195</v>
      </c>
      <c r="MO5">
        <v>105</v>
      </c>
      <c r="MP5">
        <v>119</v>
      </c>
      <c r="MQ5">
        <v>593</v>
      </c>
      <c r="MR5">
        <v>119</v>
      </c>
      <c r="MS5">
        <v>332</v>
      </c>
      <c r="MT5">
        <v>120</v>
      </c>
      <c r="MU5">
        <v>80</v>
      </c>
      <c r="MV5">
        <v>536</v>
      </c>
      <c r="MW5">
        <v>105</v>
      </c>
      <c r="MX5">
        <v>144</v>
      </c>
      <c r="MY5">
        <v>144</v>
      </c>
      <c r="MZ5">
        <v>105</v>
      </c>
      <c r="NA5">
        <v>384</v>
      </c>
      <c r="NB5">
        <v>99</v>
      </c>
      <c r="NC5">
        <v>99</v>
      </c>
      <c r="ND5">
        <v>434</v>
      </c>
      <c r="NE5">
        <v>98</v>
      </c>
      <c r="NF5">
        <v>107</v>
      </c>
      <c r="NG5">
        <v>140</v>
      </c>
      <c r="NH5">
        <v>107</v>
      </c>
      <c r="NI5">
        <v>140</v>
      </c>
      <c r="NJ5">
        <v>99</v>
      </c>
      <c r="NK5">
        <v>99</v>
      </c>
      <c r="NL5">
        <v>178</v>
      </c>
      <c r="NM5">
        <v>103</v>
      </c>
      <c r="NN5">
        <v>103</v>
      </c>
      <c r="NO5">
        <v>103</v>
      </c>
      <c r="NP5">
        <v>120</v>
      </c>
      <c r="NQ5">
        <v>120</v>
      </c>
      <c r="NR5">
        <v>570</v>
      </c>
      <c r="NS5">
        <v>99</v>
      </c>
      <c r="NT5">
        <v>393</v>
      </c>
      <c r="NU5">
        <v>434</v>
      </c>
      <c r="NV5">
        <v>593</v>
      </c>
      <c r="NW5">
        <v>178</v>
      </c>
      <c r="NX5">
        <v>178</v>
      </c>
      <c r="NY5">
        <v>178</v>
      </c>
      <c r="NZ5">
        <v>178</v>
      </c>
      <c r="OA5">
        <v>136</v>
      </c>
      <c r="OB5">
        <v>122</v>
      </c>
      <c r="OC5">
        <v>82</v>
      </c>
      <c r="OD5">
        <v>82</v>
      </c>
      <c r="OE5">
        <v>105</v>
      </c>
      <c r="OF5">
        <v>434</v>
      </c>
      <c r="OG5">
        <v>350</v>
      </c>
      <c r="OH5">
        <v>99</v>
      </c>
      <c r="OI5">
        <v>99</v>
      </c>
      <c r="OJ5">
        <v>99</v>
      </c>
      <c r="OK5">
        <v>99</v>
      </c>
      <c r="OL5">
        <v>99</v>
      </c>
      <c r="OM5">
        <v>99</v>
      </c>
      <c r="ON5">
        <v>200</v>
      </c>
      <c r="OO5">
        <v>200</v>
      </c>
      <c r="OP5">
        <v>119</v>
      </c>
      <c r="OQ5">
        <v>105</v>
      </c>
      <c r="OR5">
        <v>105</v>
      </c>
      <c r="OS5">
        <v>195</v>
      </c>
      <c r="OT5">
        <v>710</v>
      </c>
      <c r="OU5">
        <v>82</v>
      </c>
      <c r="OV5">
        <v>80</v>
      </c>
      <c r="OW5">
        <v>107</v>
      </c>
      <c r="OX5">
        <v>140</v>
      </c>
      <c r="OY5">
        <v>136</v>
      </c>
      <c r="OZ5">
        <v>136</v>
      </c>
      <c r="PA5">
        <v>104</v>
      </c>
      <c r="PB5">
        <v>196</v>
      </c>
      <c r="PC5">
        <v>80</v>
      </c>
      <c r="PD5">
        <v>562</v>
      </c>
      <c r="PE5">
        <v>120</v>
      </c>
      <c r="PF5">
        <v>267</v>
      </c>
      <c r="PG5">
        <v>351</v>
      </c>
      <c r="PH5">
        <v>593</v>
      </c>
      <c r="PI5">
        <v>178</v>
      </c>
      <c r="PJ5">
        <v>99</v>
      </c>
      <c r="PK5">
        <v>134</v>
      </c>
      <c r="PL5">
        <v>103</v>
      </c>
      <c r="PM5">
        <v>103</v>
      </c>
      <c r="PN5">
        <v>710</v>
      </c>
      <c r="PO5">
        <v>710</v>
      </c>
      <c r="PP5">
        <v>710</v>
      </c>
      <c r="PQ5">
        <v>185</v>
      </c>
      <c r="PR5">
        <v>178</v>
      </c>
      <c r="PS5">
        <v>99</v>
      </c>
      <c r="PT5">
        <v>178</v>
      </c>
      <c r="PU5">
        <v>178</v>
      </c>
      <c r="PV5">
        <v>119</v>
      </c>
      <c r="PW5">
        <v>120</v>
      </c>
      <c r="PX5">
        <v>136</v>
      </c>
      <c r="PY5">
        <v>434</v>
      </c>
      <c r="PZ5">
        <v>512</v>
      </c>
      <c r="QA5">
        <v>99</v>
      </c>
      <c r="QB5">
        <v>80</v>
      </c>
      <c r="QC5">
        <v>269</v>
      </c>
      <c r="QD5">
        <v>178</v>
      </c>
      <c r="QE5">
        <v>140</v>
      </c>
      <c r="QF5">
        <v>136</v>
      </c>
      <c r="QG5">
        <v>731</v>
      </c>
      <c r="QH5">
        <v>731</v>
      </c>
      <c r="QI5">
        <v>660</v>
      </c>
      <c r="QJ5">
        <v>660</v>
      </c>
      <c r="QK5">
        <v>136</v>
      </c>
      <c r="QL5">
        <v>99</v>
      </c>
      <c r="QM5">
        <v>99</v>
      </c>
      <c r="QN5">
        <v>350</v>
      </c>
      <c r="QO5">
        <v>350</v>
      </c>
      <c r="QP5">
        <v>99</v>
      </c>
      <c r="QQ5">
        <v>178</v>
      </c>
      <c r="QR5">
        <v>99</v>
      </c>
      <c r="QS5">
        <v>109</v>
      </c>
      <c r="QT5">
        <v>143</v>
      </c>
      <c r="QU5">
        <v>434</v>
      </c>
      <c r="QV5">
        <v>178</v>
      </c>
      <c r="QW5">
        <v>99</v>
      </c>
      <c r="QX5">
        <v>140</v>
      </c>
      <c r="QY5">
        <v>190</v>
      </c>
      <c r="QZ5">
        <v>195</v>
      </c>
      <c r="RA5">
        <v>135</v>
      </c>
      <c r="RB5">
        <v>195</v>
      </c>
      <c r="RC5">
        <v>710</v>
      </c>
      <c r="RD5">
        <v>136</v>
      </c>
      <c r="RE5">
        <v>105</v>
      </c>
      <c r="RF5">
        <v>124</v>
      </c>
      <c r="RG5">
        <v>99</v>
      </c>
      <c r="RH5">
        <v>353</v>
      </c>
      <c r="RI5">
        <v>178</v>
      </c>
      <c r="RJ5">
        <v>99</v>
      </c>
      <c r="RK5">
        <v>136</v>
      </c>
      <c r="RL5">
        <v>99</v>
      </c>
      <c r="RM5">
        <v>187</v>
      </c>
      <c r="RN5">
        <v>99</v>
      </c>
      <c r="RO5">
        <v>761</v>
      </c>
      <c r="RP5">
        <v>761</v>
      </c>
      <c r="RQ5">
        <v>99</v>
      </c>
      <c r="RR5">
        <v>99</v>
      </c>
      <c r="RS5">
        <v>99</v>
      </c>
      <c r="RT5">
        <v>99</v>
      </c>
      <c r="RU5">
        <v>136</v>
      </c>
      <c r="RV5">
        <v>124</v>
      </c>
      <c r="RW5">
        <v>99</v>
      </c>
      <c r="RX5">
        <v>99</v>
      </c>
      <c r="RY5">
        <v>136</v>
      </c>
      <c r="RZ5">
        <v>105</v>
      </c>
      <c r="SA5">
        <v>136</v>
      </c>
      <c r="SB5">
        <v>100</v>
      </c>
      <c r="SC5">
        <v>99</v>
      </c>
      <c r="SD5">
        <v>178</v>
      </c>
      <c r="SE5">
        <v>99</v>
      </c>
      <c r="SF5">
        <v>99</v>
      </c>
      <c r="SG5">
        <v>99</v>
      </c>
      <c r="SH5">
        <v>99</v>
      </c>
      <c r="SI5">
        <v>82</v>
      </c>
      <c r="SJ5">
        <v>80</v>
      </c>
      <c r="SK5">
        <v>99</v>
      </c>
      <c r="SL5">
        <v>99</v>
      </c>
      <c r="SM5">
        <v>95</v>
      </c>
      <c r="SN5">
        <v>710</v>
      </c>
      <c r="SO5">
        <v>710</v>
      </c>
      <c r="SP5">
        <v>350</v>
      </c>
      <c r="SQ5">
        <v>120</v>
      </c>
      <c r="SR5">
        <v>104</v>
      </c>
      <c r="SS5">
        <v>710</v>
      </c>
      <c r="ST5">
        <v>710</v>
      </c>
      <c r="SU5">
        <v>99</v>
      </c>
      <c r="SV5">
        <v>99</v>
      </c>
      <c r="SW5">
        <v>80</v>
      </c>
      <c r="SX5">
        <v>178</v>
      </c>
      <c r="SY5">
        <v>269</v>
      </c>
      <c r="SZ5">
        <v>325</v>
      </c>
      <c r="TA5">
        <v>350</v>
      </c>
      <c r="TB5">
        <v>119</v>
      </c>
      <c r="TC5">
        <v>120</v>
      </c>
      <c r="TD5">
        <v>140</v>
      </c>
      <c r="TE5">
        <v>140</v>
      </c>
      <c r="TF5">
        <v>99</v>
      </c>
      <c r="TG5">
        <v>105</v>
      </c>
      <c r="TH5">
        <v>100</v>
      </c>
      <c r="TI5">
        <v>120</v>
      </c>
      <c r="TJ5">
        <v>139</v>
      </c>
      <c r="TK5">
        <v>135</v>
      </c>
      <c r="TL5">
        <v>190</v>
      </c>
      <c r="TM5">
        <v>99</v>
      </c>
      <c r="TN5">
        <v>99</v>
      </c>
      <c r="TO5">
        <v>1283</v>
      </c>
      <c r="TP5">
        <v>537</v>
      </c>
      <c r="TQ5">
        <v>178</v>
      </c>
      <c r="TR5">
        <v>178</v>
      </c>
      <c r="TS5">
        <v>178</v>
      </c>
      <c r="TT5">
        <v>105</v>
      </c>
      <c r="TU5">
        <v>105</v>
      </c>
      <c r="TV5">
        <v>136</v>
      </c>
      <c r="TW5">
        <v>105</v>
      </c>
      <c r="TX5">
        <v>82</v>
      </c>
      <c r="TY5">
        <v>82</v>
      </c>
      <c r="TZ5">
        <v>119</v>
      </c>
      <c r="UA5">
        <v>332</v>
      </c>
      <c r="UB5">
        <v>109</v>
      </c>
      <c r="UC5">
        <v>82</v>
      </c>
      <c r="UD5">
        <v>186</v>
      </c>
      <c r="UE5">
        <v>105</v>
      </c>
      <c r="UF5">
        <v>434</v>
      </c>
      <c r="UG5">
        <v>1577</v>
      </c>
      <c r="UH5">
        <v>105</v>
      </c>
      <c r="UI5">
        <v>105</v>
      </c>
      <c r="UJ5">
        <v>267</v>
      </c>
      <c r="UK5">
        <v>269</v>
      </c>
      <c r="UL5">
        <v>269</v>
      </c>
      <c r="UM5">
        <v>593</v>
      </c>
      <c r="UN5">
        <v>178</v>
      </c>
      <c r="UO5">
        <v>136</v>
      </c>
      <c r="UP5">
        <v>467</v>
      </c>
      <c r="UQ5">
        <v>63</v>
      </c>
      <c r="UR5">
        <v>195</v>
      </c>
      <c r="US5">
        <v>178</v>
      </c>
      <c r="UT5">
        <v>125</v>
      </c>
      <c r="UU5">
        <v>125</v>
      </c>
      <c r="UV5">
        <v>99</v>
      </c>
      <c r="UW5">
        <v>95</v>
      </c>
      <c r="UX5">
        <v>99</v>
      </c>
      <c r="UY5">
        <v>178</v>
      </c>
      <c r="UZ5">
        <v>178</v>
      </c>
      <c r="VA5">
        <v>105</v>
      </c>
      <c r="VB5">
        <v>99</v>
      </c>
      <c r="VC5">
        <v>99</v>
      </c>
      <c r="VD5">
        <v>105</v>
      </c>
      <c r="VE5">
        <v>105</v>
      </c>
      <c r="VF5">
        <v>105</v>
      </c>
      <c r="VG5">
        <v>710</v>
      </c>
      <c r="VH5">
        <v>710</v>
      </c>
      <c r="VI5">
        <v>79</v>
      </c>
      <c r="VJ5">
        <v>79</v>
      </c>
      <c r="VK5">
        <v>105</v>
      </c>
      <c r="VL5">
        <v>178</v>
      </c>
      <c r="VM5">
        <v>186</v>
      </c>
      <c r="VN5">
        <v>178</v>
      </c>
      <c r="VO5">
        <v>685</v>
      </c>
    </row>
    <row r="6" spans="1:587" x14ac:dyDescent="0.3">
      <c r="A6" t="s">
        <v>3001</v>
      </c>
      <c r="B6" cm="1">
        <f t="array" ref="B6:VO6">1*TRANSPOSE(_xlfn._xlws.FILTER(branch!$I$2:$I$591,branch!$D$2:$D$591&lt;&gt;0))</f>
        <v>99</v>
      </c>
      <c r="C6">
        <v>99</v>
      </c>
      <c r="D6">
        <v>178</v>
      </c>
      <c r="E6">
        <v>145</v>
      </c>
      <c r="F6">
        <v>536</v>
      </c>
      <c r="G6">
        <v>393</v>
      </c>
      <c r="H6">
        <v>393</v>
      </c>
      <c r="I6">
        <v>593</v>
      </c>
      <c r="J6">
        <v>434</v>
      </c>
      <c r="K6">
        <v>99</v>
      </c>
      <c r="L6">
        <v>140</v>
      </c>
      <c r="M6">
        <v>103</v>
      </c>
      <c r="N6">
        <v>109</v>
      </c>
      <c r="O6">
        <v>105</v>
      </c>
      <c r="P6">
        <v>99</v>
      </c>
      <c r="Q6">
        <v>187</v>
      </c>
      <c r="R6">
        <v>187</v>
      </c>
      <c r="S6">
        <v>187</v>
      </c>
      <c r="T6">
        <v>104</v>
      </c>
      <c r="U6">
        <v>112</v>
      </c>
      <c r="V6">
        <v>105</v>
      </c>
      <c r="W6">
        <v>82</v>
      </c>
      <c r="X6">
        <v>82</v>
      </c>
      <c r="Y6">
        <v>105</v>
      </c>
      <c r="Z6">
        <v>105</v>
      </c>
      <c r="AA6">
        <v>99</v>
      </c>
      <c r="AB6">
        <v>178</v>
      </c>
      <c r="AC6">
        <v>434</v>
      </c>
      <c r="AD6">
        <v>434</v>
      </c>
      <c r="AE6">
        <v>34</v>
      </c>
      <c r="AF6">
        <v>120</v>
      </c>
      <c r="AG6">
        <v>120</v>
      </c>
      <c r="AH6">
        <v>104</v>
      </c>
      <c r="AI6">
        <v>178</v>
      </c>
      <c r="AJ6">
        <v>178</v>
      </c>
      <c r="AK6">
        <v>178</v>
      </c>
      <c r="AL6">
        <v>178</v>
      </c>
      <c r="AM6">
        <v>120</v>
      </c>
      <c r="AN6">
        <v>178</v>
      </c>
      <c r="AO6">
        <v>99</v>
      </c>
      <c r="AP6">
        <v>178</v>
      </c>
      <c r="AQ6">
        <v>140</v>
      </c>
      <c r="AR6">
        <v>140</v>
      </c>
      <c r="AS6">
        <v>99</v>
      </c>
      <c r="AT6">
        <v>105</v>
      </c>
      <c r="AU6">
        <v>99</v>
      </c>
      <c r="AV6">
        <v>96</v>
      </c>
      <c r="AW6">
        <v>96</v>
      </c>
      <c r="AX6">
        <v>178</v>
      </c>
      <c r="AY6">
        <v>178</v>
      </c>
      <c r="AZ6">
        <v>120</v>
      </c>
      <c r="BA6">
        <v>120</v>
      </c>
      <c r="BB6">
        <v>178</v>
      </c>
      <c r="BC6">
        <v>178</v>
      </c>
      <c r="BD6">
        <v>178</v>
      </c>
      <c r="BE6">
        <v>105</v>
      </c>
      <c r="BF6">
        <v>99</v>
      </c>
      <c r="BG6">
        <v>99</v>
      </c>
      <c r="BH6">
        <v>99</v>
      </c>
      <c r="BI6">
        <v>82</v>
      </c>
      <c r="BJ6">
        <v>82</v>
      </c>
      <c r="BK6">
        <v>136</v>
      </c>
      <c r="BL6">
        <v>140</v>
      </c>
      <c r="BM6">
        <v>130</v>
      </c>
      <c r="BN6">
        <v>99</v>
      </c>
      <c r="BO6">
        <v>122</v>
      </c>
      <c r="BP6">
        <v>196</v>
      </c>
      <c r="BQ6">
        <v>178</v>
      </c>
      <c r="BR6">
        <v>136</v>
      </c>
      <c r="BS6">
        <v>178</v>
      </c>
      <c r="BT6">
        <v>124</v>
      </c>
      <c r="BU6">
        <v>178</v>
      </c>
      <c r="BV6">
        <v>178</v>
      </c>
      <c r="BW6">
        <v>178</v>
      </c>
      <c r="BX6">
        <v>99</v>
      </c>
      <c r="BY6">
        <v>136</v>
      </c>
      <c r="BZ6">
        <v>195</v>
      </c>
      <c r="CA6">
        <v>178</v>
      </c>
      <c r="CB6">
        <v>178</v>
      </c>
      <c r="CC6">
        <v>192</v>
      </c>
      <c r="CD6">
        <v>187</v>
      </c>
      <c r="CE6">
        <v>120</v>
      </c>
      <c r="CF6">
        <v>187</v>
      </c>
      <c r="CG6">
        <v>187</v>
      </c>
      <c r="CH6">
        <v>187</v>
      </c>
      <c r="CI6">
        <v>119</v>
      </c>
      <c r="CJ6">
        <v>119</v>
      </c>
      <c r="CK6">
        <v>570</v>
      </c>
      <c r="CL6">
        <v>570</v>
      </c>
      <c r="CM6">
        <v>140</v>
      </c>
      <c r="CN6">
        <v>140</v>
      </c>
      <c r="CO6">
        <v>842</v>
      </c>
      <c r="CP6">
        <v>105</v>
      </c>
      <c r="CQ6">
        <v>109</v>
      </c>
      <c r="CR6">
        <v>109</v>
      </c>
      <c r="CS6">
        <v>82</v>
      </c>
      <c r="CT6">
        <v>82</v>
      </c>
      <c r="CU6">
        <v>75</v>
      </c>
      <c r="CV6">
        <v>75</v>
      </c>
      <c r="CW6">
        <v>178</v>
      </c>
      <c r="CX6">
        <v>178</v>
      </c>
      <c r="CY6">
        <v>178</v>
      </c>
      <c r="CZ6">
        <v>178</v>
      </c>
      <c r="DA6">
        <v>82</v>
      </c>
      <c r="DB6">
        <v>82</v>
      </c>
      <c r="DC6">
        <v>710</v>
      </c>
      <c r="DD6">
        <v>69</v>
      </c>
      <c r="DE6">
        <v>70</v>
      </c>
      <c r="DF6">
        <v>710</v>
      </c>
      <c r="DG6">
        <v>710</v>
      </c>
      <c r="DH6">
        <v>710</v>
      </c>
      <c r="DI6">
        <v>144</v>
      </c>
      <c r="DJ6">
        <v>63</v>
      </c>
      <c r="DK6">
        <v>99</v>
      </c>
      <c r="DL6">
        <v>570</v>
      </c>
      <c r="DM6">
        <v>570</v>
      </c>
      <c r="DN6">
        <v>178</v>
      </c>
      <c r="DO6">
        <v>200</v>
      </c>
      <c r="DP6">
        <v>109</v>
      </c>
      <c r="DQ6">
        <v>109</v>
      </c>
      <c r="DR6">
        <v>79</v>
      </c>
      <c r="DS6">
        <v>79</v>
      </c>
      <c r="DT6">
        <v>434</v>
      </c>
      <c r="DU6">
        <v>740</v>
      </c>
      <c r="DV6">
        <v>228</v>
      </c>
      <c r="DW6">
        <v>115</v>
      </c>
      <c r="DX6">
        <v>195</v>
      </c>
      <c r="DY6">
        <v>124</v>
      </c>
      <c r="DZ6">
        <v>80</v>
      </c>
      <c r="EA6">
        <v>120</v>
      </c>
      <c r="EB6">
        <v>105</v>
      </c>
      <c r="EC6">
        <v>178</v>
      </c>
      <c r="ED6">
        <v>178</v>
      </c>
      <c r="EE6">
        <v>178</v>
      </c>
      <c r="EF6">
        <v>69</v>
      </c>
      <c r="EG6">
        <v>70</v>
      </c>
      <c r="EH6">
        <v>69</v>
      </c>
      <c r="EI6">
        <v>69</v>
      </c>
      <c r="EJ6">
        <v>132</v>
      </c>
      <c r="EK6">
        <v>132</v>
      </c>
      <c r="EL6">
        <v>710</v>
      </c>
      <c r="EM6">
        <v>710</v>
      </c>
      <c r="EN6">
        <v>66</v>
      </c>
      <c r="EO6">
        <v>66</v>
      </c>
      <c r="EP6">
        <v>710</v>
      </c>
      <c r="EQ6">
        <v>109</v>
      </c>
      <c r="ER6">
        <v>109</v>
      </c>
      <c r="ES6">
        <v>82</v>
      </c>
      <c r="ET6">
        <v>82</v>
      </c>
      <c r="EU6">
        <v>144</v>
      </c>
      <c r="EV6">
        <v>144</v>
      </c>
      <c r="EW6">
        <v>710</v>
      </c>
      <c r="EX6">
        <v>178</v>
      </c>
      <c r="EY6">
        <v>124</v>
      </c>
      <c r="EZ6">
        <v>99</v>
      </c>
      <c r="FA6">
        <v>99</v>
      </c>
      <c r="FB6">
        <v>99</v>
      </c>
      <c r="FC6">
        <v>761</v>
      </c>
      <c r="FD6">
        <v>187</v>
      </c>
      <c r="FE6">
        <v>761</v>
      </c>
      <c r="FF6">
        <v>761</v>
      </c>
      <c r="FG6">
        <v>761</v>
      </c>
      <c r="FH6">
        <v>178</v>
      </c>
      <c r="FI6">
        <v>178</v>
      </c>
      <c r="FJ6">
        <v>115</v>
      </c>
      <c r="FK6">
        <v>434</v>
      </c>
      <c r="FL6">
        <v>434</v>
      </c>
      <c r="FM6">
        <v>555</v>
      </c>
      <c r="FN6">
        <v>123</v>
      </c>
      <c r="FO6">
        <v>178</v>
      </c>
      <c r="FP6">
        <v>130</v>
      </c>
      <c r="FQ6">
        <v>178</v>
      </c>
      <c r="FR6">
        <v>103</v>
      </c>
      <c r="FS6">
        <v>238</v>
      </c>
      <c r="FT6">
        <v>434</v>
      </c>
      <c r="FU6">
        <v>178</v>
      </c>
      <c r="FV6">
        <v>132</v>
      </c>
      <c r="FW6">
        <v>178</v>
      </c>
      <c r="FX6">
        <v>144</v>
      </c>
      <c r="FY6">
        <v>144</v>
      </c>
      <c r="FZ6">
        <v>140</v>
      </c>
      <c r="GA6">
        <v>140</v>
      </c>
      <c r="GB6">
        <v>136</v>
      </c>
      <c r="GC6">
        <v>178</v>
      </c>
      <c r="GD6">
        <v>178</v>
      </c>
      <c r="GE6">
        <v>178</v>
      </c>
      <c r="GF6">
        <v>196</v>
      </c>
      <c r="GG6">
        <v>178</v>
      </c>
      <c r="GH6">
        <v>178</v>
      </c>
      <c r="GI6">
        <v>178</v>
      </c>
      <c r="GJ6">
        <v>130</v>
      </c>
      <c r="GK6">
        <v>99</v>
      </c>
      <c r="GL6">
        <v>136</v>
      </c>
      <c r="GM6">
        <v>178</v>
      </c>
      <c r="GN6">
        <v>105</v>
      </c>
      <c r="GO6">
        <v>187</v>
      </c>
      <c r="GP6">
        <v>187</v>
      </c>
      <c r="GQ6">
        <v>187</v>
      </c>
      <c r="GR6">
        <v>105</v>
      </c>
      <c r="GS6">
        <v>130</v>
      </c>
      <c r="GT6">
        <v>434</v>
      </c>
      <c r="GU6">
        <v>105</v>
      </c>
      <c r="GV6">
        <v>105</v>
      </c>
      <c r="GW6">
        <v>593</v>
      </c>
      <c r="GX6">
        <v>119</v>
      </c>
      <c r="GY6">
        <v>178</v>
      </c>
      <c r="GZ6">
        <v>120</v>
      </c>
      <c r="HA6">
        <v>178</v>
      </c>
      <c r="HB6">
        <v>178</v>
      </c>
      <c r="HC6">
        <v>178</v>
      </c>
      <c r="HD6">
        <v>646</v>
      </c>
      <c r="HE6">
        <v>161</v>
      </c>
      <c r="HF6">
        <v>161</v>
      </c>
      <c r="HG6">
        <v>434</v>
      </c>
      <c r="HH6">
        <v>434</v>
      </c>
      <c r="HI6">
        <v>187</v>
      </c>
      <c r="HJ6">
        <v>124</v>
      </c>
      <c r="HK6">
        <v>99</v>
      </c>
      <c r="HL6">
        <v>105</v>
      </c>
      <c r="HM6">
        <v>63</v>
      </c>
      <c r="HN6">
        <v>178</v>
      </c>
      <c r="HO6">
        <v>187</v>
      </c>
      <c r="HP6">
        <v>136</v>
      </c>
      <c r="HQ6">
        <v>187</v>
      </c>
      <c r="HR6">
        <v>187</v>
      </c>
      <c r="HS6">
        <v>99</v>
      </c>
      <c r="HT6">
        <v>99</v>
      </c>
      <c r="HU6">
        <v>105</v>
      </c>
      <c r="HV6">
        <v>178</v>
      </c>
      <c r="HW6">
        <v>178</v>
      </c>
      <c r="HX6">
        <v>1577</v>
      </c>
      <c r="HY6">
        <v>1577</v>
      </c>
      <c r="HZ6">
        <v>143</v>
      </c>
      <c r="IA6">
        <v>104</v>
      </c>
      <c r="IB6">
        <v>82</v>
      </c>
      <c r="IC6">
        <v>82</v>
      </c>
      <c r="ID6">
        <v>82</v>
      </c>
      <c r="IE6">
        <v>82</v>
      </c>
      <c r="IF6">
        <v>186</v>
      </c>
      <c r="IG6">
        <v>124</v>
      </c>
      <c r="IH6">
        <v>136</v>
      </c>
      <c r="II6">
        <v>99</v>
      </c>
      <c r="IJ6">
        <v>178</v>
      </c>
      <c r="IK6">
        <v>178</v>
      </c>
      <c r="IL6">
        <v>99</v>
      </c>
      <c r="IM6">
        <v>99</v>
      </c>
      <c r="IN6">
        <v>105</v>
      </c>
      <c r="IO6">
        <v>105</v>
      </c>
      <c r="IP6">
        <v>99</v>
      </c>
      <c r="IQ6">
        <v>99</v>
      </c>
      <c r="IR6">
        <v>100</v>
      </c>
      <c r="IS6">
        <v>100</v>
      </c>
      <c r="IT6">
        <v>200</v>
      </c>
      <c r="IU6">
        <v>143</v>
      </c>
      <c r="IV6">
        <v>82</v>
      </c>
      <c r="IW6">
        <v>82</v>
      </c>
      <c r="IX6">
        <v>82</v>
      </c>
      <c r="IY6">
        <v>412</v>
      </c>
      <c r="IZ6">
        <v>412</v>
      </c>
      <c r="JA6">
        <v>82</v>
      </c>
      <c r="JB6">
        <v>82</v>
      </c>
      <c r="JC6">
        <v>109</v>
      </c>
      <c r="JD6">
        <v>178</v>
      </c>
      <c r="JE6">
        <v>99</v>
      </c>
      <c r="JF6">
        <v>82</v>
      </c>
      <c r="JG6">
        <v>109</v>
      </c>
      <c r="JH6">
        <v>140</v>
      </c>
      <c r="JI6">
        <v>140</v>
      </c>
      <c r="JJ6">
        <v>196</v>
      </c>
      <c r="JK6">
        <v>178</v>
      </c>
      <c r="JL6">
        <v>178</v>
      </c>
      <c r="JM6">
        <v>99</v>
      </c>
      <c r="JN6">
        <v>178</v>
      </c>
      <c r="JO6">
        <v>350</v>
      </c>
      <c r="JP6">
        <v>99</v>
      </c>
      <c r="JQ6">
        <v>99</v>
      </c>
      <c r="JR6">
        <v>99</v>
      </c>
      <c r="JS6">
        <v>392</v>
      </c>
      <c r="JT6">
        <v>97</v>
      </c>
      <c r="JU6">
        <v>99</v>
      </c>
      <c r="JV6">
        <v>761</v>
      </c>
      <c r="JW6">
        <v>178</v>
      </c>
      <c r="JX6">
        <v>124</v>
      </c>
      <c r="JY6">
        <v>103</v>
      </c>
      <c r="JZ6">
        <v>178</v>
      </c>
      <c r="KA6">
        <v>746</v>
      </c>
      <c r="KB6">
        <v>646</v>
      </c>
      <c r="KC6">
        <v>178</v>
      </c>
      <c r="KD6">
        <v>178</v>
      </c>
      <c r="KE6">
        <v>178</v>
      </c>
      <c r="KF6">
        <v>178</v>
      </c>
      <c r="KG6">
        <v>190</v>
      </c>
      <c r="KH6">
        <v>105</v>
      </c>
      <c r="KI6">
        <v>136</v>
      </c>
      <c r="KJ6">
        <v>134</v>
      </c>
      <c r="KK6">
        <v>136</v>
      </c>
      <c r="KL6">
        <v>136</v>
      </c>
      <c r="KM6">
        <v>99</v>
      </c>
      <c r="KN6">
        <v>105</v>
      </c>
      <c r="KO6">
        <v>99</v>
      </c>
      <c r="KP6">
        <v>105</v>
      </c>
      <c r="KQ6">
        <v>99</v>
      </c>
      <c r="KR6">
        <v>99</v>
      </c>
      <c r="KS6">
        <v>99</v>
      </c>
      <c r="KT6">
        <v>74</v>
      </c>
      <c r="KU6">
        <v>74</v>
      </c>
      <c r="KV6">
        <v>99</v>
      </c>
      <c r="KW6">
        <v>178</v>
      </c>
      <c r="KX6">
        <v>178</v>
      </c>
      <c r="KY6">
        <v>99</v>
      </c>
      <c r="KZ6">
        <v>104</v>
      </c>
      <c r="LA6">
        <v>178</v>
      </c>
      <c r="LB6">
        <v>178</v>
      </c>
      <c r="LC6">
        <v>211</v>
      </c>
      <c r="LD6">
        <v>196</v>
      </c>
      <c r="LE6">
        <v>69</v>
      </c>
      <c r="LF6">
        <v>69</v>
      </c>
      <c r="LG6">
        <v>144</v>
      </c>
      <c r="LH6">
        <v>144</v>
      </c>
      <c r="LI6">
        <v>103</v>
      </c>
      <c r="LJ6">
        <v>99</v>
      </c>
      <c r="LK6">
        <v>99</v>
      </c>
      <c r="LL6">
        <v>82</v>
      </c>
      <c r="LM6">
        <v>82</v>
      </c>
      <c r="LN6">
        <v>82</v>
      </c>
      <c r="LO6">
        <v>82</v>
      </c>
      <c r="LP6">
        <v>82</v>
      </c>
      <c r="LQ6">
        <v>99</v>
      </c>
      <c r="LR6">
        <v>79</v>
      </c>
      <c r="LS6">
        <v>79</v>
      </c>
      <c r="LT6">
        <v>108</v>
      </c>
      <c r="LU6">
        <v>109</v>
      </c>
      <c r="LV6">
        <v>109</v>
      </c>
      <c r="LW6">
        <v>99</v>
      </c>
      <c r="LX6">
        <v>99</v>
      </c>
      <c r="LY6">
        <v>99</v>
      </c>
      <c r="LZ6">
        <v>178</v>
      </c>
      <c r="MA6">
        <v>393</v>
      </c>
      <c r="MB6">
        <v>350</v>
      </c>
      <c r="MC6">
        <v>350</v>
      </c>
      <c r="MD6">
        <v>434</v>
      </c>
      <c r="ME6">
        <v>1283</v>
      </c>
      <c r="MF6">
        <v>351</v>
      </c>
      <c r="MG6">
        <v>140</v>
      </c>
      <c r="MH6">
        <v>140</v>
      </c>
      <c r="MI6">
        <v>140</v>
      </c>
      <c r="MJ6">
        <v>186</v>
      </c>
      <c r="MK6">
        <v>157</v>
      </c>
      <c r="ML6">
        <v>144</v>
      </c>
      <c r="MM6">
        <v>186</v>
      </c>
      <c r="MN6">
        <v>195</v>
      </c>
      <c r="MO6">
        <v>105</v>
      </c>
      <c r="MP6">
        <v>119</v>
      </c>
      <c r="MQ6">
        <v>593</v>
      </c>
      <c r="MR6">
        <v>119</v>
      </c>
      <c r="MS6">
        <v>332</v>
      </c>
      <c r="MT6">
        <v>120</v>
      </c>
      <c r="MU6">
        <v>80</v>
      </c>
      <c r="MV6">
        <v>536</v>
      </c>
      <c r="MW6">
        <v>105</v>
      </c>
      <c r="MX6">
        <v>144</v>
      </c>
      <c r="MY6">
        <v>144</v>
      </c>
      <c r="MZ6">
        <v>105</v>
      </c>
      <c r="NA6">
        <v>384</v>
      </c>
      <c r="NB6">
        <v>99</v>
      </c>
      <c r="NC6">
        <v>99</v>
      </c>
      <c r="ND6">
        <v>434</v>
      </c>
      <c r="NE6">
        <v>98</v>
      </c>
      <c r="NF6">
        <v>107</v>
      </c>
      <c r="NG6">
        <v>140</v>
      </c>
      <c r="NH6">
        <v>107</v>
      </c>
      <c r="NI6">
        <v>140</v>
      </c>
      <c r="NJ6">
        <v>99</v>
      </c>
      <c r="NK6">
        <v>99</v>
      </c>
      <c r="NL6">
        <v>178</v>
      </c>
      <c r="NM6">
        <v>103</v>
      </c>
      <c r="NN6">
        <v>103</v>
      </c>
      <c r="NO6">
        <v>103</v>
      </c>
      <c r="NP6">
        <v>120</v>
      </c>
      <c r="NQ6">
        <v>120</v>
      </c>
      <c r="NR6">
        <v>570</v>
      </c>
      <c r="NS6">
        <v>99</v>
      </c>
      <c r="NT6">
        <v>393</v>
      </c>
      <c r="NU6">
        <v>434</v>
      </c>
      <c r="NV6">
        <v>593</v>
      </c>
      <c r="NW6">
        <v>178</v>
      </c>
      <c r="NX6">
        <v>178</v>
      </c>
      <c r="NY6">
        <v>178</v>
      </c>
      <c r="NZ6">
        <v>178</v>
      </c>
      <c r="OA6">
        <v>136</v>
      </c>
      <c r="OB6">
        <v>122</v>
      </c>
      <c r="OC6">
        <v>82</v>
      </c>
      <c r="OD6">
        <v>82</v>
      </c>
      <c r="OE6">
        <v>105</v>
      </c>
      <c r="OF6">
        <v>434</v>
      </c>
      <c r="OG6">
        <v>350</v>
      </c>
      <c r="OH6">
        <v>99</v>
      </c>
      <c r="OI6">
        <v>99</v>
      </c>
      <c r="OJ6">
        <v>99</v>
      </c>
      <c r="OK6">
        <v>99</v>
      </c>
      <c r="OL6">
        <v>99</v>
      </c>
      <c r="OM6">
        <v>99</v>
      </c>
      <c r="ON6">
        <v>200</v>
      </c>
      <c r="OO6">
        <v>200</v>
      </c>
      <c r="OP6">
        <v>119</v>
      </c>
      <c r="OQ6">
        <v>105</v>
      </c>
      <c r="OR6">
        <v>105</v>
      </c>
      <c r="OS6">
        <v>195</v>
      </c>
      <c r="OT6">
        <v>710</v>
      </c>
      <c r="OU6">
        <v>82</v>
      </c>
      <c r="OV6">
        <v>80</v>
      </c>
      <c r="OW6">
        <v>107</v>
      </c>
      <c r="OX6">
        <v>140</v>
      </c>
      <c r="OY6">
        <v>136</v>
      </c>
      <c r="OZ6">
        <v>136</v>
      </c>
      <c r="PA6">
        <v>104</v>
      </c>
      <c r="PB6">
        <v>196</v>
      </c>
      <c r="PC6">
        <v>80</v>
      </c>
      <c r="PD6">
        <v>562</v>
      </c>
      <c r="PE6">
        <v>120</v>
      </c>
      <c r="PF6">
        <v>267</v>
      </c>
      <c r="PG6">
        <v>351</v>
      </c>
      <c r="PH6">
        <v>593</v>
      </c>
      <c r="PI6">
        <v>178</v>
      </c>
      <c r="PJ6">
        <v>99</v>
      </c>
      <c r="PK6">
        <v>134</v>
      </c>
      <c r="PL6">
        <v>103</v>
      </c>
      <c r="PM6">
        <v>103</v>
      </c>
      <c r="PN6">
        <v>710</v>
      </c>
      <c r="PO6">
        <v>710</v>
      </c>
      <c r="PP6">
        <v>710</v>
      </c>
      <c r="PQ6">
        <v>185</v>
      </c>
      <c r="PR6">
        <v>178</v>
      </c>
      <c r="PS6">
        <v>99</v>
      </c>
      <c r="PT6">
        <v>178</v>
      </c>
      <c r="PU6">
        <v>178</v>
      </c>
      <c r="PV6">
        <v>119</v>
      </c>
      <c r="PW6">
        <v>120</v>
      </c>
      <c r="PX6">
        <v>136</v>
      </c>
      <c r="PY6">
        <v>434</v>
      </c>
      <c r="PZ6">
        <v>512</v>
      </c>
      <c r="QA6">
        <v>99</v>
      </c>
      <c r="QB6">
        <v>80</v>
      </c>
      <c r="QC6">
        <v>269</v>
      </c>
      <c r="QD6">
        <v>178</v>
      </c>
      <c r="QE6">
        <v>140</v>
      </c>
      <c r="QF6">
        <v>136</v>
      </c>
      <c r="QG6">
        <v>731</v>
      </c>
      <c r="QH6">
        <v>731</v>
      </c>
      <c r="QI6">
        <v>660</v>
      </c>
      <c r="QJ6">
        <v>660</v>
      </c>
      <c r="QK6">
        <v>136</v>
      </c>
      <c r="QL6">
        <v>99</v>
      </c>
      <c r="QM6">
        <v>99</v>
      </c>
      <c r="QN6">
        <v>350</v>
      </c>
      <c r="QO6">
        <v>350</v>
      </c>
      <c r="QP6">
        <v>99</v>
      </c>
      <c r="QQ6">
        <v>178</v>
      </c>
      <c r="QR6">
        <v>99</v>
      </c>
      <c r="QS6">
        <v>109</v>
      </c>
      <c r="QT6">
        <v>143</v>
      </c>
      <c r="QU6">
        <v>434</v>
      </c>
      <c r="QV6">
        <v>178</v>
      </c>
      <c r="QW6">
        <v>99</v>
      </c>
      <c r="QX6">
        <v>140</v>
      </c>
      <c r="QY6">
        <v>190</v>
      </c>
      <c r="QZ6">
        <v>195</v>
      </c>
      <c r="RA6">
        <v>135</v>
      </c>
      <c r="RB6">
        <v>195</v>
      </c>
      <c r="RC6">
        <v>710</v>
      </c>
      <c r="RD6">
        <v>136</v>
      </c>
      <c r="RE6">
        <v>105</v>
      </c>
      <c r="RF6">
        <v>124</v>
      </c>
      <c r="RG6">
        <v>99</v>
      </c>
      <c r="RH6">
        <v>353</v>
      </c>
      <c r="RI6">
        <v>178</v>
      </c>
      <c r="RJ6">
        <v>99</v>
      </c>
      <c r="RK6">
        <v>136</v>
      </c>
      <c r="RL6">
        <v>99</v>
      </c>
      <c r="RM6">
        <v>187</v>
      </c>
      <c r="RN6">
        <v>99</v>
      </c>
      <c r="RO6">
        <v>761</v>
      </c>
      <c r="RP6">
        <v>761</v>
      </c>
      <c r="RQ6">
        <v>99</v>
      </c>
      <c r="RR6">
        <v>99</v>
      </c>
      <c r="RS6">
        <v>99</v>
      </c>
      <c r="RT6">
        <v>99</v>
      </c>
      <c r="RU6">
        <v>136</v>
      </c>
      <c r="RV6">
        <v>124</v>
      </c>
      <c r="RW6">
        <v>99</v>
      </c>
      <c r="RX6">
        <v>99</v>
      </c>
      <c r="RY6">
        <v>136</v>
      </c>
      <c r="RZ6">
        <v>105</v>
      </c>
      <c r="SA6">
        <v>136</v>
      </c>
      <c r="SB6">
        <v>100</v>
      </c>
      <c r="SC6">
        <v>99</v>
      </c>
      <c r="SD6">
        <v>178</v>
      </c>
      <c r="SE6">
        <v>99</v>
      </c>
      <c r="SF6">
        <v>99</v>
      </c>
      <c r="SG6">
        <v>99</v>
      </c>
      <c r="SH6">
        <v>99</v>
      </c>
      <c r="SI6">
        <v>82</v>
      </c>
      <c r="SJ6">
        <v>80</v>
      </c>
      <c r="SK6">
        <v>99</v>
      </c>
      <c r="SL6">
        <v>99</v>
      </c>
      <c r="SM6">
        <v>95</v>
      </c>
      <c r="SN6">
        <v>710</v>
      </c>
      <c r="SO6">
        <v>710</v>
      </c>
      <c r="SP6">
        <v>350</v>
      </c>
      <c r="SQ6">
        <v>120</v>
      </c>
      <c r="SR6">
        <v>104</v>
      </c>
      <c r="SS6">
        <v>710</v>
      </c>
      <c r="ST6">
        <v>710</v>
      </c>
      <c r="SU6">
        <v>99</v>
      </c>
      <c r="SV6">
        <v>99</v>
      </c>
      <c r="SW6">
        <v>80</v>
      </c>
      <c r="SX6">
        <v>178</v>
      </c>
      <c r="SY6">
        <v>269</v>
      </c>
      <c r="SZ6">
        <v>325</v>
      </c>
      <c r="TA6">
        <v>350</v>
      </c>
      <c r="TB6">
        <v>119</v>
      </c>
      <c r="TC6">
        <v>120</v>
      </c>
      <c r="TD6">
        <v>140</v>
      </c>
      <c r="TE6">
        <v>140</v>
      </c>
      <c r="TF6">
        <v>99</v>
      </c>
      <c r="TG6">
        <v>105</v>
      </c>
      <c r="TH6">
        <v>100</v>
      </c>
      <c r="TI6">
        <v>120</v>
      </c>
      <c r="TJ6">
        <v>139</v>
      </c>
      <c r="TK6">
        <v>135</v>
      </c>
      <c r="TL6">
        <v>190</v>
      </c>
      <c r="TM6">
        <v>99</v>
      </c>
      <c r="TN6">
        <v>99</v>
      </c>
      <c r="TO6">
        <v>1283</v>
      </c>
      <c r="TP6">
        <v>537</v>
      </c>
      <c r="TQ6">
        <v>178</v>
      </c>
      <c r="TR6">
        <v>178</v>
      </c>
      <c r="TS6">
        <v>178</v>
      </c>
      <c r="TT6">
        <v>105</v>
      </c>
      <c r="TU6">
        <v>105</v>
      </c>
      <c r="TV6">
        <v>136</v>
      </c>
      <c r="TW6">
        <v>105</v>
      </c>
      <c r="TX6">
        <v>82</v>
      </c>
      <c r="TY6">
        <v>82</v>
      </c>
      <c r="TZ6">
        <v>119</v>
      </c>
      <c r="UA6">
        <v>332</v>
      </c>
      <c r="UB6">
        <v>109</v>
      </c>
      <c r="UC6">
        <v>82</v>
      </c>
      <c r="UD6">
        <v>186</v>
      </c>
      <c r="UE6">
        <v>105</v>
      </c>
      <c r="UF6">
        <v>434</v>
      </c>
      <c r="UG6">
        <v>1577</v>
      </c>
      <c r="UH6">
        <v>105</v>
      </c>
      <c r="UI6">
        <v>105</v>
      </c>
      <c r="UJ6">
        <v>267</v>
      </c>
      <c r="UK6">
        <v>269</v>
      </c>
      <c r="UL6">
        <v>269</v>
      </c>
      <c r="UM6">
        <v>593</v>
      </c>
      <c r="UN6">
        <v>178</v>
      </c>
      <c r="UO6">
        <v>136</v>
      </c>
      <c r="UP6">
        <v>467</v>
      </c>
      <c r="UQ6">
        <v>63</v>
      </c>
      <c r="UR6">
        <v>195</v>
      </c>
      <c r="US6">
        <v>178</v>
      </c>
      <c r="UT6">
        <v>125</v>
      </c>
      <c r="UU6">
        <v>125</v>
      </c>
      <c r="UV6">
        <v>99</v>
      </c>
      <c r="UW6">
        <v>95</v>
      </c>
      <c r="UX6">
        <v>99</v>
      </c>
      <c r="UY6">
        <v>178</v>
      </c>
      <c r="UZ6">
        <v>178</v>
      </c>
      <c r="VA6">
        <v>105</v>
      </c>
      <c r="VB6">
        <v>99</v>
      </c>
      <c r="VC6">
        <v>99</v>
      </c>
      <c r="VD6">
        <v>105</v>
      </c>
      <c r="VE6">
        <v>105</v>
      </c>
      <c r="VF6">
        <v>105</v>
      </c>
      <c r="VG6">
        <v>710</v>
      </c>
      <c r="VH6">
        <v>710</v>
      </c>
      <c r="VI6">
        <v>79</v>
      </c>
      <c r="VJ6">
        <v>79</v>
      </c>
      <c r="VK6">
        <v>105</v>
      </c>
      <c r="VL6">
        <v>178</v>
      </c>
      <c r="VM6">
        <v>186</v>
      </c>
      <c r="VN6">
        <v>178</v>
      </c>
      <c r="VO6">
        <v>685</v>
      </c>
    </row>
    <row r="7" spans="1:587" x14ac:dyDescent="0.3">
      <c r="A7" t="s">
        <v>3002</v>
      </c>
      <c r="B7" cm="1">
        <f t="array" ref="B7:VO7">1*TRANSPOSE(_xlfn._xlws.FILTER(branch!$I$2:$I$591,branch!$D$2:$D$591&lt;&gt;0))</f>
        <v>99</v>
      </c>
      <c r="C7">
        <v>99</v>
      </c>
      <c r="D7">
        <v>178</v>
      </c>
      <c r="E7">
        <v>145</v>
      </c>
      <c r="F7">
        <v>536</v>
      </c>
      <c r="G7">
        <v>393</v>
      </c>
      <c r="H7">
        <v>393</v>
      </c>
      <c r="I7">
        <v>593</v>
      </c>
      <c r="J7">
        <v>434</v>
      </c>
      <c r="K7">
        <v>99</v>
      </c>
      <c r="L7">
        <v>140</v>
      </c>
      <c r="M7">
        <v>103</v>
      </c>
      <c r="N7">
        <v>109</v>
      </c>
      <c r="O7">
        <v>105</v>
      </c>
      <c r="P7">
        <v>99</v>
      </c>
      <c r="Q7">
        <v>187</v>
      </c>
      <c r="R7">
        <v>187</v>
      </c>
      <c r="S7">
        <v>187</v>
      </c>
      <c r="T7">
        <v>104</v>
      </c>
      <c r="U7">
        <v>112</v>
      </c>
      <c r="V7">
        <v>105</v>
      </c>
      <c r="W7">
        <v>82</v>
      </c>
      <c r="X7">
        <v>82</v>
      </c>
      <c r="Y7">
        <v>105</v>
      </c>
      <c r="Z7">
        <v>105</v>
      </c>
      <c r="AA7">
        <v>99</v>
      </c>
      <c r="AB7">
        <v>178</v>
      </c>
      <c r="AC7">
        <v>434</v>
      </c>
      <c r="AD7">
        <v>434</v>
      </c>
      <c r="AE7">
        <v>34</v>
      </c>
      <c r="AF7">
        <v>120</v>
      </c>
      <c r="AG7">
        <v>120</v>
      </c>
      <c r="AH7">
        <v>104</v>
      </c>
      <c r="AI7">
        <v>178</v>
      </c>
      <c r="AJ7">
        <v>178</v>
      </c>
      <c r="AK7">
        <v>178</v>
      </c>
      <c r="AL7">
        <v>178</v>
      </c>
      <c r="AM7">
        <v>120</v>
      </c>
      <c r="AN7">
        <v>178</v>
      </c>
      <c r="AO7">
        <v>99</v>
      </c>
      <c r="AP7">
        <v>178</v>
      </c>
      <c r="AQ7">
        <v>140</v>
      </c>
      <c r="AR7">
        <v>140</v>
      </c>
      <c r="AS7">
        <v>99</v>
      </c>
      <c r="AT7">
        <v>105</v>
      </c>
      <c r="AU7">
        <v>99</v>
      </c>
      <c r="AV7">
        <v>96</v>
      </c>
      <c r="AW7">
        <v>96</v>
      </c>
      <c r="AX7">
        <v>178</v>
      </c>
      <c r="AY7">
        <v>178</v>
      </c>
      <c r="AZ7">
        <v>120</v>
      </c>
      <c r="BA7">
        <v>120</v>
      </c>
      <c r="BB7">
        <v>178</v>
      </c>
      <c r="BC7">
        <v>178</v>
      </c>
      <c r="BD7">
        <v>178</v>
      </c>
      <c r="BE7">
        <v>105</v>
      </c>
      <c r="BF7">
        <v>99</v>
      </c>
      <c r="BG7">
        <v>99</v>
      </c>
      <c r="BH7">
        <v>99</v>
      </c>
      <c r="BI7">
        <v>82</v>
      </c>
      <c r="BJ7">
        <v>82</v>
      </c>
      <c r="BK7">
        <v>136</v>
      </c>
      <c r="BL7">
        <v>140</v>
      </c>
      <c r="BM7">
        <v>130</v>
      </c>
      <c r="BN7">
        <v>99</v>
      </c>
      <c r="BO7">
        <v>122</v>
      </c>
      <c r="BP7">
        <v>196</v>
      </c>
      <c r="BQ7">
        <v>178</v>
      </c>
      <c r="BR7">
        <v>136</v>
      </c>
      <c r="BS7">
        <v>178</v>
      </c>
      <c r="BT7">
        <v>124</v>
      </c>
      <c r="BU7">
        <v>178</v>
      </c>
      <c r="BV7">
        <v>178</v>
      </c>
      <c r="BW7">
        <v>178</v>
      </c>
      <c r="BX7">
        <v>99</v>
      </c>
      <c r="BY7">
        <v>136</v>
      </c>
      <c r="BZ7">
        <v>195</v>
      </c>
      <c r="CA7">
        <v>178</v>
      </c>
      <c r="CB7">
        <v>178</v>
      </c>
      <c r="CC7">
        <v>192</v>
      </c>
      <c r="CD7">
        <v>187</v>
      </c>
      <c r="CE7">
        <v>120</v>
      </c>
      <c r="CF7">
        <v>187</v>
      </c>
      <c r="CG7">
        <v>187</v>
      </c>
      <c r="CH7">
        <v>187</v>
      </c>
      <c r="CI7">
        <v>119</v>
      </c>
      <c r="CJ7">
        <v>119</v>
      </c>
      <c r="CK7">
        <v>570</v>
      </c>
      <c r="CL7">
        <v>570</v>
      </c>
      <c r="CM7">
        <v>140</v>
      </c>
      <c r="CN7">
        <v>140</v>
      </c>
      <c r="CO7">
        <v>842</v>
      </c>
      <c r="CP7">
        <v>105</v>
      </c>
      <c r="CQ7">
        <v>109</v>
      </c>
      <c r="CR7">
        <v>109</v>
      </c>
      <c r="CS7">
        <v>82</v>
      </c>
      <c r="CT7">
        <v>82</v>
      </c>
      <c r="CU7">
        <v>75</v>
      </c>
      <c r="CV7">
        <v>75</v>
      </c>
      <c r="CW7">
        <v>178</v>
      </c>
      <c r="CX7">
        <v>178</v>
      </c>
      <c r="CY7">
        <v>178</v>
      </c>
      <c r="CZ7">
        <v>178</v>
      </c>
      <c r="DA7">
        <v>82</v>
      </c>
      <c r="DB7">
        <v>82</v>
      </c>
      <c r="DC7">
        <v>710</v>
      </c>
      <c r="DD7">
        <v>69</v>
      </c>
      <c r="DE7">
        <v>70</v>
      </c>
      <c r="DF7">
        <v>710</v>
      </c>
      <c r="DG7">
        <v>710</v>
      </c>
      <c r="DH7">
        <v>710</v>
      </c>
      <c r="DI7">
        <v>144</v>
      </c>
      <c r="DJ7">
        <v>63</v>
      </c>
      <c r="DK7">
        <v>99</v>
      </c>
      <c r="DL7">
        <v>570</v>
      </c>
      <c r="DM7">
        <v>570</v>
      </c>
      <c r="DN7">
        <v>178</v>
      </c>
      <c r="DO7">
        <v>200</v>
      </c>
      <c r="DP7">
        <v>109</v>
      </c>
      <c r="DQ7">
        <v>109</v>
      </c>
      <c r="DR7">
        <v>79</v>
      </c>
      <c r="DS7">
        <v>79</v>
      </c>
      <c r="DT7">
        <v>434</v>
      </c>
      <c r="DU7">
        <v>740</v>
      </c>
      <c r="DV7">
        <v>228</v>
      </c>
      <c r="DW7">
        <v>115</v>
      </c>
      <c r="DX7">
        <v>195</v>
      </c>
      <c r="DY7">
        <v>124</v>
      </c>
      <c r="DZ7">
        <v>80</v>
      </c>
      <c r="EA7">
        <v>120</v>
      </c>
      <c r="EB7">
        <v>105</v>
      </c>
      <c r="EC7">
        <v>178</v>
      </c>
      <c r="ED7">
        <v>178</v>
      </c>
      <c r="EE7">
        <v>178</v>
      </c>
      <c r="EF7">
        <v>69</v>
      </c>
      <c r="EG7">
        <v>70</v>
      </c>
      <c r="EH7">
        <v>69</v>
      </c>
      <c r="EI7">
        <v>69</v>
      </c>
      <c r="EJ7">
        <v>132</v>
      </c>
      <c r="EK7">
        <v>132</v>
      </c>
      <c r="EL7">
        <v>710</v>
      </c>
      <c r="EM7">
        <v>710</v>
      </c>
      <c r="EN7">
        <v>66</v>
      </c>
      <c r="EO7">
        <v>66</v>
      </c>
      <c r="EP7">
        <v>710</v>
      </c>
      <c r="EQ7">
        <v>109</v>
      </c>
      <c r="ER7">
        <v>109</v>
      </c>
      <c r="ES7">
        <v>82</v>
      </c>
      <c r="ET7">
        <v>82</v>
      </c>
      <c r="EU7">
        <v>144</v>
      </c>
      <c r="EV7">
        <v>144</v>
      </c>
      <c r="EW7">
        <v>710</v>
      </c>
      <c r="EX7">
        <v>178</v>
      </c>
      <c r="EY7">
        <v>124</v>
      </c>
      <c r="EZ7">
        <v>99</v>
      </c>
      <c r="FA7">
        <v>99</v>
      </c>
      <c r="FB7">
        <v>99</v>
      </c>
      <c r="FC7">
        <v>761</v>
      </c>
      <c r="FD7">
        <v>187</v>
      </c>
      <c r="FE7">
        <v>761</v>
      </c>
      <c r="FF7">
        <v>761</v>
      </c>
      <c r="FG7">
        <v>761</v>
      </c>
      <c r="FH7">
        <v>178</v>
      </c>
      <c r="FI7">
        <v>178</v>
      </c>
      <c r="FJ7">
        <v>115</v>
      </c>
      <c r="FK7">
        <v>434</v>
      </c>
      <c r="FL7">
        <v>434</v>
      </c>
      <c r="FM7">
        <v>555</v>
      </c>
      <c r="FN7">
        <v>123</v>
      </c>
      <c r="FO7">
        <v>178</v>
      </c>
      <c r="FP7">
        <v>130</v>
      </c>
      <c r="FQ7">
        <v>178</v>
      </c>
      <c r="FR7">
        <v>103</v>
      </c>
      <c r="FS7">
        <v>238</v>
      </c>
      <c r="FT7">
        <v>434</v>
      </c>
      <c r="FU7">
        <v>178</v>
      </c>
      <c r="FV7">
        <v>132</v>
      </c>
      <c r="FW7">
        <v>178</v>
      </c>
      <c r="FX7">
        <v>144</v>
      </c>
      <c r="FY7">
        <v>144</v>
      </c>
      <c r="FZ7">
        <v>140</v>
      </c>
      <c r="GA7">
        <v>140</v>
      </c>
      <c r="GB7">
        <v>136</v>
      </c>
      <c r="GC7">
        <v>178</v>
      </c>
      <c r="GD7">
        <v>178</v>
      </c>
      <c r="GE7">
        <v>178</v>
      </c>
      <c r="GF7">
        <v>196</v>
      </c>
      <c r="GG7">
        <v>178</v>
      </c>
      <c r="GH7">
        <v>178</v>
      </c>
      <c r="GI7">
        <v>178</v>
      </c>
      <c r="GJ7">
        <v>130</v>
      </c>
      <c r="GK7">
        <v>99</v>
      </c>
      <c r="GL7">
        <v>136</v>
      </c>
      <c r="GM7">
        <v>178</v>
      </c>
      <c r="GN7">
        <v>105</v>
      </c>
      <c r="GO7">
        <v>187</v>
      </c>
      <c r="GP7">
        <v>187</v>
      </c>
      <c r="GQ7">
        <v>187</v>
      </c>
      <c r="GR7">
        <v>105</v>
      </c>
      <c r="GS7">
        <v>130</v>
      </c>
      <c r="GT7">
        <v>434</v>
      </c>
      <c r="GU7">
        <v>105</v>
      </c>
      <c r="GV7">
        <v>105</v>
      </c>
      <c r="GW7">
        <v>593</v>
      </c>
      <c r="GX7">
        <v>119</v>
      </c>
      <c r="GY7">
        <v>178</v>
      </c>
      <c r="GZ7">
        <v>120</v>
      </c>
      <c r="HA7">
        <v>178</v>
      </c>
      <c r="HB7">
        <v>178</v>
      </c>
      <c r="HC7">
        <v>178</v>
      </c>
      <c r="HD7">
        <v>646</v>
      </c>
      <c r="HE7">
        <v>161</v>
      </c>
      <c r="HF7">
        <v>161</v>
      </c>
      <c r="HG7">
        <v>434</v>
      </c>
      <c r="HH7">
        <v>434</v>
      </c>
      <c r="HI7">
        <v>187</v>
      </c>
      <c r="HJ7">
        <v>124</v>
      </c>
      <c r="HK7">
        <v>99</v>
      </c>
      <c r="HL7">
        <v>105</v>
      </c>
      <c r="HM7">
        <v>63</v>
      </c>
      <c r="HN7">
        <v>178</v>
      </c>
      <c r="HO7">
        <v>187</v>
      </c>
      <c r="HP7">
        <v>136</v>
      </c>
      <c r="HQ7">
        <v>187</v>
      </c>
      <c r="HR7">
        <v>187</v>
      </c>
      <c r="HS7">
        <v>99</v>
      </c>
      <c r="HT7">
        <v>99</v>
      </c>
      <c r="HU7">
        <v>105</v>
      </c>
      <c r="HV7">
        <v>178</v>
      </c>
      <c r="HW7">
        <v>178</v>
      </c>
      <c r="HX7">
        <v>1577</v>
      </c>
      <c r="HY7">
        <v>1577</v>
      </c>
      <c r="HZ7">
        <v>143</v>
      </c>
      <c r="IA7">
        <v>104</v>
      </c>
      <c r="IB7">
        <v>82</v>
      </c>
      <c r="IC7">
        <v>82</v>
      </c>
      <c r="ID7">
        <v>82</v>
      </c>
      <c r="IE7">
        <v>82</v>
      </c>
      <c r="IF7">
        <v>186</v>
      </c>
      <c r="IG7">
        <v>124</v>
      </c>
      <c r="IH7">
        <v>136</v>
      </c>
      <c r="II7">
        <v>99</v>
      </c>
      <c r="IJ7">
        <v>178</v>
      </c>
      <c r="IK7">
        <v>178</v>
      </c>
      <c r="IL7">
        <v>99</v>
      </c>
      <c r="IM7">
        <v>99</v>
      </c>
      <c r="IN7">
        <v>105</v>
      </c>
      <c r="IO7">
        <v>105</v>
      </c>
      <c r="IP7">
        <v>99</v>
      </c>
      <c r="IQ7">
        <v>99</v>
      </c>
      <c r="IR7">
        <v>100</v>
      </c>
      <c r="IS7">
        <v>100</v>
      </c>
      <c r="IT7">
        <v>200</v>
      </c>
      <c r="IU7">
        <v>143</v>
      </c>
      <c r="IV7">
        <v>82</v>
      </c>
      <c r="IW7">
        <v>82</v>
      </c>
      <c r="IX7">
        <v>82</v>
      </c>
      <c r="IY7">
        <v>412</v>
      </c>
      <c r="IZ7">
        <v>412</v>
      </c>
      <c r="JA7">
        <v>82</v>
      </c>
      <c r="JB7">
        <v>82</v>
      </c>
      <c r="JC7">
        <v>109</v>
      </c>
      <c r="JD7">
        <v>178</v>
      </c>
      <c r="JE7">
        <v>99</v>
      </c>
      <c r="JF7">
        <v>82</v>
      </c>
      <c r="JG7">
        <v>109</v>
      </c>
      <c r="JH7">
        <v>140</v>
      </c>
      <c r="JI7">
        <v>140</v>
      </c>
      <c r="JJ7">
        <v>196</v>
      </c>
      <c r="JK7">
        <v>178</v>
      </c>
      <c r="JL7">
        <v>178</v>
      </c>
      <c r="JM7">
        <v>99</v>
      </c>
      <c r="JN7">
        <v>178</v>
      </c>
      <c r="JO7">
        <v>350</v>
      </c>
      <c r="JP7">
        <v>99</v>
      </c>
      <c r="JQ7">
        <v>99</v>
      </c>
      <c r="JR7">
        <v>99</v>
      </c>
      <c r="JS7">
        <v>392</v>
      </c>
      <c r="JT7">
        <v>97</v>
      </c>
      <c r="JU7">
        <v>99</v>
      </c>
      <c r="JV7">
        <v>761</v>
      </c>
      <c r="JW7">
        <v>178</v>
      </c>
      <c r="JX7">
        <v>124</v>
      </c>
      <c r="JY7">
        <v>103</v>
      </c>
      <c r="JZ7">
        <v>178</v>
      </c>
      <c r="KA7">
        <v>746</v>
      </c>
      <c r="KB7">
        <v>646</v>
      </c>
      <c r="KC7">
        <v>178</v>
      </c>
      <c r="KD7">
        <v>178</v>
      </c>
      <c r="KE7">
        <v>178</v>
      </c>
      <c r="KF7">
        <v>178</v>
      </c>
      <c r="KG7">
        <v>190</v>
      </c>
      <c r="KH7">
        <v>105</v>
      </c>
      <c r="KI7">
        <v>136</v>
      </c>
      <c r="KJ7">
        <v>134</v>
      </c>
      <c r="KK7">
        <v>136</v>
      </c>
      <c r="KL7">
        <v>136</v>
      </c>
      <c r="KM7">
        <v>99</v>
      </c>
      <c r="KN7">
        <v>105</v>
      </c>
      <c r="KO7">
        <v>99</v>
      </c>
      <c r="KP7">
        <v>105</v>
      </c>
      <c r="KQ7">
        <v>99</v>
      </c>
      <c r="KR7">
        <v>99</v>
      </c>
      <c r="KS7">
        <v>99</v>
      </c>
      <c r="KT7">
        <v>74</v>
      </c>
      <c r="KU7">
        <v>74</v>
      </c>
      <c r="KV7">
        <v>99</v>
      </c>
      <c r="KW7">
        <v>178</v>
      </c>
      <c r="KX7">
        <v>178</v>
      </c>
      <c r="KY7">
        <v>99</v>
      </c>
      <c r="KZ7">
        <v>104</v>
      </c>
      <c r="LA7">
        <v>178</v>
      </c>
      <c r="LB7">
        <v>178</v>
      </c>
      <c r="LC7">
        <v>211</v>
      </c>
      <c r="LD7">
        <v>196</v>
      </c>
      <c r="LE7">
        <v>69</v>
      </c>
      <c r="LF7">
        <v>69</v>
      </c>
      <c r="LG7">
        <v>144</v>
      </c>
      <c r="LH7">
        <v>144</v>
      </c>
      <c r="LI7">
        <v>103</v>
      </c>
      <c r="LJ7">
        <v>99</v>
      </c>
      <c r="LK7">
        <v>99</v>
      </c>
      <c r="LL7">
        <v>82</v>
      </c>
      <c r="LM7">
        <v>82</v>
      </c>
      <c r="LN7">
        <v>82</v>
      </c>
      <c r="LO7">
        <v>82</v>
      </c>
      <c r="LP7">
        <v>82</v>
      </c>
      <c r="LQ7">
        <v>99</v>
      </c>
      <c r="LR7">
        <v>79</v>
      </c>
      <c r="LS7">
        <v>79</v>
      </c>
      <c r="LT7">
        <v>108</v>
      </c>
      <c r="LU7">
        <v>109</v>
      </c>
      <c r="LV7">
        <v>109</v>
      </c>
      <c r="LW7">
        <v>99</v>
      </c>
      <c r="LX7">
        <v>99</v>
      </c>
      <c r="LY7">
        <v>99</v>
      </c>
      <c r="LZ7">
        <v>178</v>
      </c>
      <c r="MA7">
        <v>393</v>
      </c>
      <c r="MB7">
        <v>350</v>
      </c>
      <c r="MC7">
        <v>350</v>
      </c>
      <c r="MD7">
        <v>434</v>
      </c>
      <c r="ME7">
        <v>1283</v>
      </c>
      <c r="MF7">
        <v>351</v>
      </c>
      <c r="MG7">
        <v>140</v>
      </c>
      <c r="MH7">
        <v>140</v>
      </c>
      <c r="MI7">
        <v>140</v>
      </c>
      <c r="MJ7">
        <v>186</v>
      </c>
      <c r="MK7">
        <v>157</v>
      </c>
      <c r="ML7">
        <v>144</v>
      </c>
      <c r="MM7">
        <v>186</v>
      </c>
      <c r="MN7">
        <v>195</v>
      </c>
      <c r="MO7">
        <v>105</v>
      </c>
      <c r="MP7">
        <v>119</v>
      </c>
      <c r="MQ7">
        <v>593</v>
      </c>
      <c r="MR7">
        <v>119</v>
      </c>
      <c r="MS7">
        <v>332</v>
      </c>
      <c r="MT7">
        <v>120</v>
      </c>
      <c r="MU7">
        <v>80</v>
      </c>
      <c r="MV7">
        <v>536</v>
      </c>
      <c r="MW7">
        <v>105</v>
      </c>
      <c r="MX7">
        <v>144</v>
      </c>
      <c r="MY7">
        <v>144</v>
      </c>
      <c r="MZ7">
        <v>105</v>
      </c>
      <c r="NA7">
        <v>384</v>
      </c>
      <c r="NB7">
        <v>99</v>
      </c>
      <c r="NC7">
        <v>99</v>
      </c>
      <c r="ND7">
        <v>434</v>
      </c>
      <c r="NE7">
        <v>98</v>
      </c>
      <c r="NF7">
        <v>107</v>
      </c>
      <c r="NG7">
        <v>140</v>
      </c>
      <c r="NH7">
        <v>107</v>
      </c>
      <c r="NI7">
        <v>140</v>
      </c>
      <c r="NJ7">
        <v>99</v>
      </c>
      <c r="NK7">
        <v>99</v>
      </c>
      <c r="NL7">
        <v>178</v>
      </c>
      <c r="NM7">
        <v>103</v>
      </c>
      <c r="NN7">
        <v>103</v>
      </c>
      <c r="NO7">
        <v>103</v>
      </c>
      <c r="NP7">
        <v>120</v>
      </c>
      <c r="NQ7">
        <v>120</v>
      </c>
      <c r="NR7">
        <v>570</v>
      </c>
      <c r="NS7">
        <v>99</v>
      </c>
      <c r="NT7">
        <v>393</v>
      </c>
      <c r="NU7">
        <v>434</v>
      </c>
      <c r="NV7">
        <v>593</v>
      </c>
      <c r="NW7">
        <v>178</v>
      </c>
      <c r="NX7">
        <v>178</v>
      </c>
      <c r="NY7">
        <v>178</v>
      </c>
      <c r="NZ7">
        <v>178</v>
      </c>
      <c r="OA7">
        <v>136</v>
      </c>
      <c r="OB7">
        <v>122</v>
      </c>
      <c r="OC7">
        <v>82</v>
      </c>
      <c r="OD7">
        <v>82</v>
      </c>
      <c r="OE7">
        <v>105</v>
      </c>
      <c r="OF7">
        <v>434</v>
      </c>
      <c r="OG7">
        <v>350</v>
      </c>
      <c r="OH7">
        <v>99</v>
      </c>
      <c r="OI7">
        <v>99</v>
      </c>
      <c r="OJ7">
        <v>99</v>
      </c>
      <c r="OK7">
        <v>99</v>
      </c>
      <c r="OL7">
        <v>99</v>
      </c>
      <c r="OM7">
        <v>99</v>
      </c>
      <c r="ON7">
        <v>200</v>
      </c>
      <c r="OO7">
        <v>200</v>
      </c>
      <c r="OP7">
        <v>119</v>
      </c>
      <c r="OQ7">
        <v>105</v>
      </c>
      <c r="OR7">
        <v>105</v>
      </c>
      <c r="OS7">
        <v>195</v>
      </c>
      <c r="OT7">
        <v>710</v>
      </c>
      <c r="OU7">
        <v>82</v>
      </c>
      <c r="OV7">
        <v>80</v>
      </c>
      <c r="OW7">
        <v>107</v>
      </c>
      <c r="OX7">
        <v>140</v>
      </c>
      <c r="OY7">
        <v>136</v>
      </c>
      <c r="OZ7">
        <v>136</v>
      </c>
      <c r="PA7">
        <v>104</v>
      </c>
      <c r="PB7">
        <v>196</v>
      </c>
      <c r="PC7">
        <v>80</v>
      </c>
      <c r="PD7">
        <v>562</v>
      </c>
      <c r="PE7">
        <v>120</v>
      </c>
      <c r="PF7">
        <v>267</v>
      </c>
      <c r="PG7">
        <v>351</v>
      </c>
      <c r="PH7">
        <v>593</v>
      </c>
      <c r="PI7">
        <v>178</v>
      </c>
      <c r="PJ7">
        <v>99</v>
      </c>
      <c r="PK7">
        <v>134</v>
      </c>
      <c r="PL7">
        <v>103</v>
      </c>
      <c r="PM7">
        <v>103</v>
      </c>
      <c r="PN7">
        <v>710</v>
      </c>
      <c r="PO7">
        <v>710</v>
      </c>
      <c r="PP7">
        <v>710</v>
      </c>
      <c r="PQ7">
        <v>185</v>
      </c>
      <c r="PR7">
        <v>178</v>
      </c>
      <c r="PS7">
        <v>99</v>
      </c>
      <c r="PT7">
        <v>178</v>
      </c>
      <c r="PU7">
        <v>178</v>
      </c>
      <c r="PV7">
        <v>119</v>
      </c>
      <c r="PW7">
        <v>120</v>
      </c>
      <c r="PX7">
        <v>136</v>
      </c>
      <c r="PY7">
        <v>434</v>
      </c>
      <c r="PZ7">
        <v>512</v>
      </c>
      <c r="QA7">
        <v>99</v>
      </c>
      <c r="QB7">
        <v>80</v>
      </c>
      <c r="QC7">
        <v>269</v>
      </c>
      <c r="QD7">
        <v>178</v>
      </c>
      <c r="QE7">
        <v>140</v>
      </c>
      <c r="QF7">
        <v>136</v>
      </c>
      <c r="QG7">
        <v>731</v>
      </c>
      <c r="QH7">
        <v>731</v>
      </c>
      <c r="QI7">
        <v>660</v>
      </c>
      <c r="QJ7">
        <v>660</v>
      </c>
      <c r="QK7">
        <v>136</v>
      </c>
      <c r="QL7">
        <v>99</v>
      </c>
      <c r="QM7">
        <v>99</v>
      </c>
      <c r="QN7">
        <v>350</v>
      </c>
      <c r="QO7">
        <v>350</v>
      </c>
      <c r="QP7">
        <v>99</v>
      </c>
      <c r="QQ7">
        <v>178</v>
      </c>
      <c r="QR7">
        <v>99</v>
      </c>
      <c r="QS7">
        <v>109</v>
      </c>
      <c r="QT7">
        <v>143</v>
      </c>
      <c r="QU7">
        <v>434</v>
      </c>
      <c r="QV7">
        <v>178</v>
      </c>
      <c r="QW7">
        <v>99</v>
      </c>
      <c r="QX7">
        <v>140</v>
      </c>
      <c r="QY7">
        <v>190</v>
      </c>
      <c r="QZ7">
        <v>195</v>
      </c>
      <c r="RA7">
        <v>135</v>
      </c>
      <c r="RB7">
        <v>195</v>
      </c>
      <c r="RC7">
        <v>710</v>
      </c>
      <c r="RD7">
        <v>136</v>
      </c>
      <c r="RE7">
        <v>105</v>
      </c>
      <c r="RF7">
        <v>124</v>
      </c>
      <c r="RG7">
        <v>99</v>
      </c>
      <c r="RH7">
        <v>353</v>
      </c>
      <c r="RI7">
        <v>178</v>
      </c>
      <c r="RJ7">
        <v>99</v>
      </c>
      <c r="RK7">
        <v>136</v>
      </c>
      <c r="RL7">
        <v>99</v>
      </c>
      <c r="RM7">
        <v>187</v>
      </c>
      <c r="RN7">
        <v>99</v>
      </c>
      <c r="RO7">
        <v>761</v>
      </c>
      <c r="RP7">
        <v>761</v>
      </c>
      <c r="RQ7">
        <v>99</v>
      </c>
      <c r="RR7">
        <v>99</v>
      </c>
      <c r="RS7">
        <v>99</v>
      </c>
      <c r="RT7">
        <v>99</v>
      </c>
      <c r="RU7">
        <v>136</v>
      </c>
      <c r="RV7">
        <v>124</v>
      </c>
      <c r="RW7">
        <v>99</v>
      </c>
      <c r="RX7">
        <v>99</v>
      </c>
      <c r="RY7">
        <v>136</v>
      </c>
      <c r="RZ7">
        <v>105</v>
      </c>
      <c r="SA7">
        <v>136</v>
      </c>
      <c r="SB7">
        <v>100</v>
      </c>
      <c r="SC7">
        <v>99</v>
      </c>
      <c r="SD7">
        <v>178</v>
      </c>
      <c r="SE7">
        <v>99</v>
      </c>
      <c r="SF7">
        <v>99</v>
      </c>
      <c r="SG7">
        <v>99</v>
      </c>
      <c r="SH7">
        <v>99</v>
      </c>
      <c r="SI7">
        <v>82</v>
      </c>
      <c r="SJ7">
        <v>80</v>
      </c>
      <c r="SK7">
        <v>99</v>
      </c>
      <c r="SL7">
        <v>99</v>
      </c>
      <c r="SM7">
        <v>95</v>
      </c>
      <c r="SN7">
        <v>710</v>
      </c>
      <c r="SO7">
        <v>710</v>
      </c>
      <c r="SP7">
        <v>350</v>
      </c>
      <c r="SQ7">
        <v>120</v>
      </c>
      <c r="SR7">
        <v>104</v>
      </c>
      <c r="SS7">
        <v>710</v>
      </c>
      <c r="ST7">
        <v>710</v>
      </c>
      <c r="SU7">
        <v>99</v>
      </c>
      <c r="SV7">
        <v>99</v>
      </c>
      <c r="SW7">
        <v>80</v>
      </c>
      <c r="SX7">
        <v>178</v>
      </c>
      <c r="SY7">
        <v>269</v>
      </c>
      <c r="SZ7">
        <v>325</v>
      </c>
      <c r="TA7">
        <v>350</v>
      </c>
      <c r="TB7">
        <v>119</v>
      </c>
      <c r="TC7">
        <v>120</v>
      </c>
      <c r="TD7">
        <v>140</v>
      </c>
      <c r="TE7">
        <v>140</v>
      </c>
      <c r="TF7">
        <v>99</v>
      </c>
      <c r="TG7">
        <v>105</v>
      </c>
      <c r="TH7">
        <v>100</v>
      </c>
      <c r="TI7">
        <v>120</v>
      </c>
      <c r="TJ7">
        <v>139</v>
      </c>
      <c r="TK7">
        <v>135</v>
      </c>
      <c r="TL7">
        <v>190</v>
      </c>
      <c r="TM7">
        <v>99</v>
      </c>
      <c r="TN7">
        <v>99</v>
      </c>
      <c r="TO7">
        <v>1283</v>
      </c>
      <c r="TP7">
        <v>537</v>
      </c>
      <c r="TQ7">
        <v>178</v>
      </c>
      <c r="TR7">
        <v>178</v>
      </c>
      <c r="TS7">
        <v>178</v>
      </c>
      <c r="TT7">
        <v>105</v>
      </c>
      <c r="TU7">
        <v>105</v>
      </c>
      <c r="TV7">
        <v>136</v>
      </c>
      <c r="TW7">
        <v>105</v>
      </c>
      <c r="TX7">
        <v>82</v>
      </c>
      <c r="TY7">
        <v>82</v>
      </c>
      <c r="TZ7">
        <v>119</v>
      </c>
      <c r="UA7">
        <v>332</v>
      </c>
      <c r="UB7">
        <v>109</v>
      </c>
      <c r="UC7">
        <v>82</v>
      </c>
      <c r="UD7">
        <v>186</v>
      </c>
      <c r="UE7">
        <v>105</v>
      </c>
      <c r="UF7">
        <v>434</v>
      </c>
      <c r="UG7">
        <v>1577</v>
      </c>
      <c r="UH7">
        <v>105</v>
      </c>
      <c r="UI7">
        <v>105</v>
      </c>
      <c r="UJ7">
        <v>267</v>
      </c>
      <c r="UK7">
        <v>269</v>
      </c>
      <c r="UL7">
        <v>269</v>
      </c>
      <c r="UM7">
        <v>593</v>
      </c>
      <c r="UN7">
        <v>178</v>
      </c>
      <c r="UO7">
        <v>136</v>
      </c>
      <c r="UP7">
        <v>467</v>
      </c>
      <c r="UQ7">
        <v>63</v>
      </c>
      <c r="UR7">
        <v>195</v>
      </c>
      <c r="US7">
        <v>178</v>
      </c>
      <c r="UT7">
        <v>125</v>
      </c>
      <c r="UU7">
        <v>125</v>
      </c>
      <c r="UV7">
        <v>99</v>
      </c>
      <c r="UW7">
        <v>95</v>
      </c>
      <c r="UX7">
        <v>99</v>
      </c>
      <c r="UY7">
        <v>178</v>
      </c>
      <c r="UZ7">
        <v>178</v>
      </c>
      <c r="VA7">
        <v>105</v>
      </c>
      <c r="VB7">
        <v>99</v>
      </c>
      <c r="VC7">
        <v>99</v>
      </c>
      <c r="VD7">
        <v>105</v>
      </c>
      <c r="VE7">
        <v>105</v>
      </c>
      <c r="VF7">
        <v>105</v>
      </c>
      <c r="VG7">
        <v>710</v>
      </c>
      <c r="VH7">
        <v>710</v>
      </c>
      <c r="VI7">
        <v>79</v>
      </c>
      <c r="VJ7">
        <v>79</v>
      </c>
      <c r="VK7">
        <v>105</v>
      </c>
      <c r="VL7">
        <v>178</v>
      </c>
      <c r="VM7">
        <v>186</v>
      </c>
      <c r="VN7">
        <v>178</v>
      </c>
      <c r="VO7">
        <v>685</v>
      </c>
    </row>
    <row r="8" spans="1:587" x14ac:dyDescent="0.3">
      <c r="A8" t="s">
        <v>3003</v>
      </c>
      <c r="B8" cm="1">
        <f t="array" ref="B8:VO8">1*TRANSPOSE(_xlfn._xlws.FILTER(branch!$I$2:$I$591,branch!$D$2:$D$591&lt;&gt;0))</f>
        <v>99</v>
      </c>
      <c r="C8">
        <v>99</v>
      </c>
      <c r="D8">
        <v>178</v>
      </c>
      <c r="E8">
        <v>145</v>
      </c>
      <c r="F8">
        <v>536</v>
      </c>
      <c r="G8">
        <v>393</v>
      </c>
      <c r="H8">
        <v>393</v>
      </c>
      <c r="I8">
        <v>593</v>
      </c>
      <c r="J8">
        <v>434</v>
      </c>
      <c r="K8">
        <v>99</v>
      </c>
      <c r="L8">
        <v>140</v>
      </c>
      <c r="M8">
        <v>103</v>
      </c>
      <c r="N8">
        <v>109</v>
      </c>
      <c r="O8">
        <v>105</v>
      </c>
      <c r="P8">
        <v>99</v>
      </c>
      <c r="Q8">
        <v>187</v>
      </c>
      <c r="R8">
        <v>187</v>
      </c>
      <c r="S8">
        <v>187</v>
      </c>
      <c r="T8">
        <v>104</v>
      </c>
      <c r="U8">
        <v>112</v>
      </c>
      <c r="V8">
        <v>105</v>
      </c>
      <c r="W8">
        <v>82</v>
      </c>
      <c r="X8">
        <v>82</v>
      </c>
      <c r="Y8">
        <v>105</v>
      </c>
      <c r="Z8">
        <v>105</v>
      </c>
      <c r="AA8">
        <v>99</v>
      </c>
      <c r="AB8">
        <v>178</v>
      </c>
      <c r="AC8">
        <v>434</v>
      </c>
      <c r="AD8">
        <v>434</v>
      </c>
      <c r="AE8">
        <v>34</v>
      </c>
      <c r="AF8">
        <v>120</v>
      </c>
      <c r="AG8">
        <v>120</v>
      </c>
      <c r="AH8">
        <v>104</v>
      </c>
      <c r="AI8">
        <v>178</v>
      </c>
      <c r="AJ8">
        <v>178</v>
      </c>
      <c r="AK8">
        <v>178</v>
      </c>
      <c r="AL8">
        <v>178</v>
      </c>
      <c r="AM8">
        <v>120</v>
      </c>
      <c r="AN8">
        <v>178</v>
      </c>
      <c r="AO8">
        <v>99</v>
      </c>
      <c r="AP8">
        <v>178</v>
      </c>
      <c r="AQ8">
        <v>140</v>
      </c>
      <c r="AR8">
        <v>140</v>
      </c>
      <c r="AS8">
        <v>99</v>
      </c>
      <c r="AT8">
        <v>105</v>
      </c>
      <c r="AU8">
        <v>99</v>
      </c>
      <c r="AV8">
        <v>96</v>
      </c>
      <c r="AW8">
        <v>96</v>
      </c>
      <c r="AX8">
        <v>178</v>
      </c>
      <c r="AY8">
        <v>178</v>
      </c>
      <c r="AZ8">
        <v>120</v>
      </c>
      <c r="BA8">
        <v>120</v>
      </c>
      <c r="BB8">
        <v>178</v>
      </c>
      <c r="BC8">
        <v>178</v>
      </c>
      <c r="BD8">
        <v>178</v>
      </c>
      <c r="BE8">
        <v>105</v>
      </c>
      <c r="BF8">
        <v>99</v>
      </c>
      <c r="BG8">
        <v>99</v>
      </c>
      <c r="BH8">
        <v>99</v>
      </c>
      <c r="BI8">
        <v>82</v>
      </c>
      <c r="BJ8">
        <v>82</v>
      </c>
      <c r="BK8">
        <v>136</v>
      </c>
      <c r="BL8">
        <v>140</v>
      </c>
      <c r="BM8">
        <v>130</v>
      </c>
      <c r="BN8">
        <v>99</v>
      </c>
      <c r="BO8">
        <v>122</v>
      </c>
      <c r="BP8">
        <v>196</v>
      </c>
      <c r="BQ8">
        <v>178</v>
      </c>
      <c r="BR8">
        <v>136</v>
      </c>
      <c r="BS8">
        <v>178</v>
      </c>
      <c r="BT8">
        <v>124</v>
      </c>
      <c r="BU8">
        <v>178</v>
      </c>
      <c r="BV8">
        <v>178</v>
      </c>
      <c r="BW8">
        <v>178</v>
      </c>
      <c r="BX8">
        <v>99</v>
      </c>
      <c r="BY8">
        <v>136</v>
      </c>
      <c r="BZ8">
        <v>195</v>
      </c>
      <c r="CA8">
        <v>178</v>
      </c>
      <c r="CB8">
        <v>178</v>
      </c>
      <c r="CC8">
        <v>192</v>
      </c>
      <c r="CD8">
        <v>187</v>
      </c>
      <c r="CE8">
        <v>120</v>
      </c>
      <c r="CF8">
        <v>187</v>
      </c>
      <c r="CG8">
        <v>187</v>
      </c>
      <c r="CH8">
        <v>187</v>
      </c>
      <c r="CI8">
        <v>119</v>
      </c>
      <c r="CJ8">
        <v>119</v>
      </c>
      <c r="CK8">
        <v>570</v>
      </c>
      <c r="CL8">
        <v>570</v>
      </c>
      <c r="CM8">
        <v>140</v>
      </c>
      <c r="CN8">
        <v>140</v>
      </c>
      <c r="CO8">
        <v>842</v>
      </c>
      <c r="CP8">
        <v>105</v>
      </c>
      <c r="CQ8">
        <v>109</v>
      </c>
      <c r="CR8">
        <v>109</v>
      </c>
      <c r="CS8">
        <v>82</v>
      </c>
      <c r="CT8">
        <v>82</v>
      </c>
      <c r="CU8">
        <v>75</v>
      </c>
      <c r="CV8">
        <v>75</v>
      </c>
      <c r="CW8">
        <v>178</v>
      </c>
      <c r="CX8">
        <v>178</v>
      </c>
      <c r="CY8">
        <v>178</v>
      </c>
      <c r="CZ8">
        <v>178</v>
      </c>
      <c r="DA8">
        <v>82</v>
      </c>
      <c r="DB8">
        <v>82</v>
      </c>
      <c r="DC8">
        <v>710</v>
      </c>
      <c r="DD8">
        <v>69</v>
      </c>
      <c r="DE8">
        <v>70</v>
      </c>
      <c r="DF8">
        <v>710</v>
      </c>
      <c r="DG8">
        <v>710</v>
      </c>
      <c r="DH8">
        <v>710</v>
      </c>
      <c r="DI8">
        <v>144</v>
      </c>
      <c r="DJ8">
        <v>63</v>
      </c>
      <c r="DK8">
        <v>99</v>
      </c>
      <c r="DL8">
        <v>570</v>
      </c>
      <c r="DM8">
        <v>570</v>
      </c>
      <c r="DN8">
        <v>178</v>
      </c>
      <c r="DO8">
        <v>200</v>
      </c>
      <c r="DP8">
        <v>109</v>
      </c>
      <c r="DQ8">
        <v>109</v>
      </c>
      <c r="DR8">
        <v>79</v>
      </c>
      <c r="DS8">
        <v>79</v>
      </c>
      <c r="DT8">
        <v>434</v>
      </c>
      <c r="DU8">
        <v>740</v>
      </c>
      <c r="DV8">
        <v>228</v>
      </c>
      <c r="DW8">
        <v>115</v>
      </c>
      <c r="DX8">
        <v>195</v>
      </c>
      <c r="DY8">
        <v>124</v>
      </c>
      <c r="DZ8">
        <v>80</v>
      </c>
      <c r="EA8">
        <v>120</v>
      </c>
      <c r="EB8">
        <v>105</v>
      </c>
      <c r="EC8">
        <v>178</v>
      </c>
      <c r="ED8">
        <v>178</v>
      </c>
      <c r="EE8">
        <v>178</v>
      </c>
      <c r="EF8">
        <v>69</v>
      </c>
      <c r="EG8">
        <v>70</v>
      </c>
      <c r="EH8">
        <v>69</v>
      </c>
      <c r="EI8">
        <v>69</v>
      </c>
      <c r="EJ8">
        <v>132</v>
      </c>
      <c r="EK8">
        <v>132</v>
      </c>
      <c r="EL8">
        <v>710</v>
      </c>
      <c r="EM8">
        <v>710</v>
      </c>
      <c r="EN8">
        <v>66</v>
      </c>
      <c r="EO8">
        <v>66</v>
      </c>
      <c r="EP8">
        <v>710</v>
      </c>
      <c r="EQ8">
        <v>109</v>
      </c>
      <c r="ER8">
        <v>109</v>
      </c>
      <c r="ES8">
        <v>82</v>
      </c>
      <c r="ET8">
        <v>82</v>
      </c>
      <c r="EU8">
        <v>144</v>
      </c>
      <c r="EV8">
        <v>144</v>
      </c>
      <c r="EW8">
        <v>710</v>
      </c>
      <c r="EX8">
        <v>178</v>
      </c>
      <c r="EY8">
        <v>124</v>
      </c>
      <c r="EZ8">
        <v>99</v>
      </c>
      <c r="FA8">
        <v>99</v>
      </c>
      <c r="FB8">
        <v>99</v>
      </c>
      <c r="FC8">
        <v>761</v>
      </c>
      <c r="FD8">
        <v>187</v>
      </c>
      <c r="FE8">
        <v>761</v>
      </c>
      <c r="FF8">
        <v>761</v>
      </c>
      <c r="FG8">
        <v>761</v>
      </c>
      <c r="FH8">
        <v>178</v>
      </c>
      <c r="FI8">
        <v>178</v>
      </c>
      <c r="FJ8">
        <v>115</v>
      </c>
      <c r="FK8">
        <v>434</v>
      </c>
      <c r="FL8">
        <v>434</v>
      </c>
      <c r="FM8">
        <v>555</v>
      </c>
      <c r="FN8">
        <v>123</v>
      </c>
      <c r="FO8">
        <v>178</v>
      </c>
      <c r="FP8">
        <v>130</v>
      </c>
      <c r="FQ8">
        <v>178</v>
      </c>
      <c r="FR8">
        <v>103</v>
      </c>
      <c r="FS8">
        <v>238</v>
      </c>
      <c r="FT8">
        <v>434</v>
      </c>
      <c r="FU8">
        <v>178</v>
      </c>
      <c r="FV8">
        <v>132</v>
      </c>
      <c r="FW8">
        <v>178</v>
      </c>
      <c r="FX8">
        <v>144</v>
      </c>
      <c r="FY8">
        <v>144</v>
      </c>
      <c r="FZ8">
        <v>140</v>
      </c>
      <c r="GA8">
        <v>140</v>
      </c>
      <c r="GB8">
        <v>136</v>
      </c>
      <c r="GC8">
        <v>178</v>
      </c>
      <c r="GD8">
        <v>178</v>
      </c>
      <c r="GE8">
        <v>178</v>
      </c>
      <c r="GF8">
        <v>196</v>
      </c>
      <c r="GG8">
        <v>178</v>
      </c>
      <c r="GH8">
        <v>178</v>
      </c>
      <c r="GI8">
        <v>178</v>
      </c>
      <c r="GJ8">
        <v>130</v>
      </c>
      <c r="GK8">
        <v>99</v>
      </c>
      <c r="GL8">
        <v>136</v>
      </c>
      <c r="GM8">
        <v>178</v>
      </c>
      <c r="GN8">
        <v>105</v>
      </c>
      <c r="GO8">
        <v>187</v>
      </c>
      <c r="GP8">
        <v>187</v>
      </c>
      <c r="GQ8">
        <v>187</v>
      </c>
      <c r="GR8">
        <v>105</v>
      </c>
      <c r="GS8">
        <v>130</v>
      </c>
      <c r="GT8">
        <v>434</v>
      </c>
      <c r="GU8">
        <v>105</v>
      </c>
      <c r="GV8">
        <v>105</v>
      </c>
      <c r="GW8">
        <v>593</v>
      </c>
      <c r="GX8">
        <v>119</v>
      </c>
      <c r="GY8">
        <v>178</v>
      </c>
      <c r="GZ8">
        <v>120</v>
      </c>
      <c r="HA8">
        <v>178</v>
      </c>
      <c r="HB8">
        <v>178</v>
      </c>
      <c r="HC8">
        <v>178</v>
      </c>
      <c r="HD8">
        <v>646</v>
      </c>
      <c r="HE8">
        <v>161</v>
      </c>
      <c r="HF8">
        <v>161</v>
      </c>
      <c r="HG8">
        <v>434</v>
      </c>
      <c r="HH8">
        <v>434</v>
      </c>
      <c r="HI8">
        <v>187</v>
      </c>
      <c r="HJ8">
        <v>124</v>
      </c>
      <c r="HK8">
        <v>99</v>
      </c>
      <c r="HL8">
        <v>105</v>
      </c>
      <c r="HM8">
        <v>63</v>
      </c>
      <c r="HN8">
        <v>178</v>
      </c>
      <c r="HO8">
        <v>187</v>
      </c>
      <c r="HP8">
        <v>136</v>
      </c>
      <c r="HQ8">
        <v>187</v>
      </c>
      <c r="HR8">
        <v>187</v>
      </c>
      <c r="HS8">
        <v>99</v>
      </c>
      <c r="HT8">
        <v>99</v>
      </c>
      <c r="HU8">
        <v>105</v>
      </c>
      <c r="HV8">
        <v>178</v>
      </c>
      <c r="HW8">
        <v>178</v>
      </c>
      <c r="HX8">
        <v>1577</v>
      </c>
      <c r="HY8">
        <v>1577</v>
      </c>
      <c r="HZ8">
        <v>143</v>
      </c>
      <c r="IA8">
        <v>104</v>
      </c>
      <c r="IB8">
        <v>82</v>
      </c>
      <c r="IC8">
        <v>82</v>
      </c>
      <c r="ID8">
        <v>82</v>
      </c>
      <c r="IE8">
        <v>82</v>
      </c>
      <c r="IF8">
        <v>186</v>
      </c>
      <c r="IG8">
        <v>124</v>
      </c>
      <c r="IH8">
        <v>136</v>
      </c>
      <c r="II8">
        <v>99</v>
      </c>
      <c r="IJ8">
        <v>178</v>
      </c>
      <c r="IK8">
        <v>178</v>
      </c>
      <c r="IL8">
        <v>99</v>
      </c>
      <c r="IM8">
        <v>99</v>
      </c>
      <c r="IN8">
        <v>105</v>
      </c>
      <c r="IO8">
        <v>105</v>
      </c>
      <c r="IP8">
        <v>99</v>
      </c>
      <c r="IQ8">
        <v>99</v>
      </c>
      <c r="IR8">
        <v>100</v>
      </c>
      <c r="IS8">
        <v>100</v>
      </c>
      <c r="IT8">
        <v>200</v>
      </c>
      <c r="IU8">
        <v>143</v>
      </c>
      <c r="IV8">
        <v>82</v>
      </c>
      <c r="IW8">
        <v>82</v>
      </c>
      <c r="IX8">
        <v>82</v>
      </c>
      <c r="IY8">
        <v>412</v>
      </c>
      <c r="IZ8">
        <v>412</v>
      </c>
      <c r="JA8">
        <v>82</v>
      </c>
      <c r="JB8">
        <v>82</v>
      </c>
      <c r="JC8">
        <v>109</v>
      </c>
      <c r="JD8">
        <v>178</v>
      </c>
      <c r="JE8">
        <v>99</v>
      </c>
      <c r="JF8">
        <v>82</v>
      </c>
      <c r="JG8">
        <v>109</v>
      </c>
      <c r="JH8">
        <v>140</v>
      </c>
      <c r="JI8">
        <v>140</v>
      </c>
      <c r="JJ8">
        <v>196</v>
      </c>
      <c r="JK8">
        <v>178</v>
      </c>
      <c r="JL8">
        <v>178</v>
      </c>
      <c r="JM8">
        <v>99</v>
      </c>
      <c r="JN8">
        <v>178</v>
      </c>
      <c r="JO8">
        <v>350</v>
      </c>
      <c r="JP8">
        <v>99</v>
      </c>
      <c r="JQ8">
        <v>99</v>
      </c>
      <c r="JR8">
        <v>99</v>
      </c>
      <c r="JS8">
        <v>392</v>
      </c>
      <c r="JT8">
        <v>97</v>
      </c>
      <c r="JU8">
        <v>99</v>
      </c>
      <c r="JV8">
        <v>761</v>
      </c>
      <c r="JW8">
        <v>178</v>
      </c>
      <c r="JX8">
        <v>124</v>
      </c>
      <c r="JY8">
        <v>103</v>
      </c>
      <c r="JZ8">
        <v>178</v>
      </c>
      <c r="KA8">
        <v>746</v>
      </c>
      <c r="KB8">
        <v>646</v>
      </c>
      <c r="KC8">
        <v>178</v>
      </c>
      <c r="KD8">
        <v>178</v>
      </c>
      <c r="KE8">
        <v>178</v>
      </c>
      <c r="KF8">
        <v>178</v>
      </c>
      <c r="KG8">
        <v>190</v>
      </c>
      <c r="KH8">
        <v>105</v>
      </c>
      <c r="KI8">
        <v>136</v>
      </c>
      <c r="KJ8">
        <v>134</v>
      </c>
      <c r="KK8">
        <v>136</v>
      </c>
      <c r="KL8">
        <v>136</v>
      </c>
      <c r="KM8">
        <v>99</v>
      </c>
      <c r="KN8">
        <v>105</v>
      </c>
      <c r="KO8">
        <v>99</v>
      </c>
      <c r="KP8">
        <v>105</v>
      </c>
      <c r="KQ8">
        <v>99</v>
      </c>
      <c r="KR8">
        <v>99</v>
      </c>
      <c r="KS8">
        <v>99</v>
      </c>
      <c r="KT8">
        <v>74</v>
      </c>
      <c r="KU8">
        <v>74</v>
      </c>
      <c r="KV8">
        <v>99</v>
      </c>
      <c r="KW8">
        <v>178</v>
      </c>
      <c r="KX8">
        <v>178</v>
      </c>
      <c r="KY8">
        <v>99</v>
      </c>
      <c r="KZ8">
        <v>104</v>
      </c>
      <c r="LA8">
        <v>178</v>
      </c>
      <c r="LB8">
        <v>178</v>
      </c>
      <c r="LC8">
        <v>211</v>
      </c>
      <c r="LD8">
        <v>196</v>
      </c>
      <c r="LE8">
        <v>69</v>
      </c>
      <c r="LF8">
        <v>69</v>
      </c>
      <c r="LG8">
        <v>144</v>
      </c>
      <c r="LH8">
        <v>144</v>
      </c>
      <c r="LI8">
        <v>103</v>
      </c>
      <c r="LJ8">
        <v>99</v>
      </c>
      <c r="LK8">
        <v>99</v>
      </c>
      <c r="LL8">
        <v>82</v>
      </c>
      <c r="LM8">
        <v>82</v>
      </c>
      <c r="LN8">
        <v>82</v>
      </c>
      <c r="LO8">
        <v>82</v>
      </c>
      <c r="LP8">
        <v>82</v>
      </c>
      <c r="LQ8">
        <v>99</v>
      </c>
      <c r="LR8">
        <v>79</v>
      </c>
      <c r="LS8">
        <v>79</v>
      </c>
      <c r="LT8">
        <v>108</v>
      </c>
      <c r="LU8">
        <v>109</v>
      </c>
      <c r="LV8">
        <v>109</v>
      </c>
      <c r="LW8">
        <v>99</v>
      </c>
      <c r="LX8">
        <v>99</v>
      </c>
      <c r="LY8">
        <v>99</v>
      </c>
      <c r="LZ8">
        <v>178</v>
      </c>
      <c r="MA8">
        <v>393</v>
      </c>
      <c r="MB8">
        <v>350</v>
      </c>
      <c r="MC8">
        <v>350</v>
      </c>
      <c r="MD8">
        <v>434</v>
      </c>
      <c r="ME8">
        <v>1283</v>
      </c>
      <c r="MF8">
        <v>351</v>
      </c>
      <c r="MG8">
        <v>140</v>
      </c>
      <c r="MH8">
        <v>140</v>
      </c>
      <c r="MI8">
        <v>140</v>
      </c>
      <c r="MJ8">
        <v>186</v>
      </c>
      <c r="MK8">
        <v>157</v>
      </c>
      <c r="ML8">
        <v>144</v>
      </c>
      <c r="MM8">
        <v>186</v>
      </c>
      <c r="MN8">
        <v>195</v>
      </c>
      <c r="MO8">
        <v>105</v>
      </c>
      <c r="MP8">
        <v>119</v>
      </c>
      <c r="MQ8">
        <v>593</v>
      </c>
      <c r="MR8">
        <v>119</v>
      </c>
      <c r="MS8">
        <v>332</v>
      </c>
      <c r="MT8">
        <v>120</v>
      </c>
      <c r="MU8">
        <v>80</v>
      </c>
      <c r="MV8">
        <v>536</v>
      </c>
      <c r="MW8">
        <v>105</v>
      </c>
      <c r="MX8">
        <v>144</v>
      </c>
      <c r="MY8">
        <v>144</v>
      </c>
      <c r="MZ8">
        <v>105</v>
      </c>
      <c r="NA8">
        <v>384</v>
      </c>
      <c r="NB8">
        <v>99</v>
      </c>
      <c r="NC8">
        <v>99</v>
      </c>
      <c r="ND8">
        <v>434</v>
      </c>
      <c r="NE8">
        <v>98</v>
      </c>
      <c r="NF8">
        <v>107</v>
      </c>
      <c r="NG8">
        <v>140</v>
      </c>
      <c r="NH8">
        <v>107</v>
      </c>
      <c r="NI8">
        <v>140</v>
      </c>
      <c r="NJ8">
        <v>99</v>
      </c>
      <c r="NK8">
        <v>99</v>
      </c>
      <c r="NL8">
        <v>178</v>
      </c>
      <c r="NM8">
        <v>103</v>
      </c>
      <c r="NN8">
        <v>103</v>
      </c>
      <c r="NO8">
        <v>103</v>
      </c>
      <c r="NP8">
        <v>120</v>
      </c>
      <c r="NQ8">
        <v>120</v>
      </c>
      <c r="NR8">
        <v>570</v>
      </c>
      <c r="NS8">
        <v>99</v>
      </c>
      <c r="NT8">
        <v>393</v>
      </c>
      <c r="NU8">
        <v>434</v>
      </c>
      <c r="NV8">
        <v>593</v>
      </c>
      <c r="NW8">
        <v>178</v>
      </c>
      <c r="NX8">
        <v>178</v>
      </c>
      <c r="NY8">
        <v>178</v>
      </c>
      <c r="NZ8">
        <v>178</v>
      </c>
      <c r="OA8">
        <v>136</v>
      </c>
      <c r="OB8">
        <v>122</v>
      </c>
      <c r="OC8">
        <v>82</v>
      </c>
      <c r="OD8">
        <v>82</v>
      </c>
      <c r="OE8">
        <v>105</v>
      </c>
      <c r="OF8">
        <v>434</v>
      </c>
      <c r="OG8">
        <v>350</v>
      </c>
      <c r="OH8">
        <v>99</v>
      </c>
      <c r="OI8">
        <v>99</v>
      </c>
      <c r="OJ8">
        <v>99</v>
      </c>
      <c r="OK8">
        <v>99</v>
      </c>
      <c r="OL8">
        <v>99</v>
      </c>
      <c r="OM8">
        <v>99</v>
      </c>
      <c r="ON8">
        <v>200</v>
      </c>
      <c r="OO8">
        <v>200</v>
      </c>
      <c r="OP8">
        <v>119</v>
      </c>
      <c r="OQ8">
        <v>105</v>
      </c>
      <c r="OR8">
        <v>105</v>
      </c>
      <c r="OS8">
        <v>195</v>
      </c>
      <c r="OT8">
        <v>710</v>
      </c>
      <c r="OU8">
        <v>82</v>
      </c>
      <c r="OV8">
        <v>80</v>
      </c>
      <c r="OW8">
        <v>107</v>
      </c>
      <c r="OX8">
        <v>140</v>
      </c>
      <c r="OY8">
        <v>136</v>
      </c>
      <c r="OZ8">
        <v>136</v>
      </c>
      <c r="PA8">
        <v>104</v>
      </c>
      <c r="PB8">
        <v>196</v>
      </c>
      <c r="PC8">
        <v>80</v>
      </c>
      <c r="PD8">
        <v>562</v>
      </c>
      <c r="PE8">
        <v>120</v>
      </c>
      <c r="PF8">
        <v>267</v>
      </c>
      <c r="PG8">
        <v>351</v>
      </c>
      <c r="PH8">
        <v>593</v>
      </c>
      <c r="PI8">
        <v>178</v>
      </c>
      <c r="PJ8">
        <v>99</v>
      </c>
      <c r="PK8">
        <v>134</v>
      </c>
      <c r="PL8">
        <v>103</v>
      </c>
      <c r="PM8">
        <v>103</v>
      </c>
      <c r="PN8">
        <v>710</v>
      </c>
      <c r="PO8">
        <v>710</v>
      </c>
      <c r="PP8">
        <v>710</v>
      </c>
      <c r="PQ8">
        <v>185</v>
      </c>
      <c r="PR8">
        <v>178</v>
      </c>
      <c r="PS8">
        <v>99</v>
      </c>
      <c r="PT8">
        <v>178</v>
      </c>
      <c r="PU8">
        <v>178</v>
      </c>
      <c r="PV8">
        <v>119</v>
      </c>
      <c r="PW8">
        <v>120</v>
      </c>
      <c r="PX8">
        <v>136</v>
      </c>
      <c r="PY8">
        <v>434</v>
      </c>
      <c r="PZ8">
        <v>512</v>
      </c>
      <c r="QA8">
        <v>99</v>
      </c>
      <c r="QB8">
        <v>80</v>
      </c>
      <c r="QC8">
        <v>269</v>
      </c>
      <c r="QD8">
        <v>178</v>
      </c>
      <c r="QE8">
        <v>140</v>
      </c>
      <c r="QF8">
        <v>136</v>
      </c>
      <c r="QG8">
        <v>731</v>
      </c>
      <c r="QH8">
        <v>731</v>
      </c>
      <c r="QI8">
        <v>660</v>
      </c>
      <c r="QJ8">
        <v>660</v>
      </c>
      <c r="QK8">
        <v>136</v>
      </c>
      <c r="QL8">
        <v>99</v>
      </c>
      <c r="QM8">
        <v>99</v>
      </c>
      <c r="QN8">
        <v>350</v>
      </c>
      <c r="QO8">
        <v>350</v>
      </c>
      <c r="QP8">
        <v>99</v>
      </c>
      <c r="QQ8">
        <v>178</v>
      </c>
      <c r="QR8">
        <v>99</v>
      </c>
      <c r="QS8">
        <v>109</v>
      </c>
      <c r="QT8">
        <v>143</v>
      </c>
      <c r="QU8">
        <v>434</v>
      </c>
      <c r="QV8">
        <v>178</v>
      </c>
      <c r="QW8">
        <v>99</v>
      </c>
      <c r="QX8">
        <v>140</v>
      </c>
      <c r="QY8">
        <v>190</v>
      </c>
      <c r="QZ8">
        <v>195</v>
      </c>
      <c r="RA8">
        <v>135</v>
      </c>
      <c r="RB8">
        <v>195</v>
      </c>
      <c r="RC8">
        <v>710</v>
      </c>
      <c r="RD8">
        <v>136</v>
      </c>
      <c r="RE8">
        <v>105</v>
      </c>
      <c r="RF8">
        <v>124</v>
      </c>
      <c r="RG8">
        <v>99</v>
      </c>
      <c r="RH8">
        <v>353</v>
      </c>
      <c r="RI8">
        <v>178</v>
      </c>
      <c r="RJ8">
        <v>99</v>
      </c>
      <c r="RK8">
        <v>136</v>
      </c>
      <c r="RL8">
        <v>99</v>
      </c>
      <c r="RM8">
        <v>187</v>
      </c>
      <c r="RN8">
        <v>99</v>
      </c>
      <c r="RO8">
        <v>761</v>
      </c>
      <c r="RP8">
        <v>761</v>
      </c>
      <c r="RQ8">
        <v>99</v>
      </c>
      <c r="RR8">
        <v>99</v>
      </c>
      <c r="RS8">
        <v>99</v>
      </c>
      <c r="RT8">
        <v>99</v>
      </c>
      <c r="RU8">
        <v>136</v>
      </c>
      <c r="RV8">
        <v>124</v>
      </c>
      <c r="RW8">
        <v>99</v>
      </c>
      <c r="RX8">
        <v>99</v>
      </c>
      <c r="RY8">
        <v>136</v>
      </c>
      <c r="RZ8">
        <v>105</v>
      </c>
      <c r="SA8">
        <v>136</v>
      </c>
      <c r="SB8">
        <v>100</v>
      </c>
      <c r="SC8">
        <v>99</v>
      </c>
      <c r="SD8">
        <v>178</v>
      </c>
      <c r="SE8">
        <v>99</v>
      </c>
      <c r="SF8">
        <v>99</v>
      </c>
      <c r="SG8">
        <v>99</v>
      </c>
      <c r="SH8">
        <v>99</v>
      </c>
      <c r="SI8">
        <v>82</v>
      </c>
      <c r="SJ8">
        <v>80</v>
      </c>
      <c r="SK8">
        <v>99</v>
      </c>
      <c r="SL8">
        <v>99</v>
      </c>
      <c r="SM8">
        <v>95</v>
      </c>
      <c r="SN8">
        <v>710</v>
      </c>
      <c r="SO8">
        <v>710</v>
      </c>
      <c r="SP8">
        <v>350</v>
      </c>
      <c r="SQ8">
        <v>120</v>
      </c>
      <c r="SR8">
        <v>104</v>
      </c>
      <c r="SS8">
        <v>710</v>
      </c>
      <c r="ST8">
        <v>710</v>
      </c>
      <c r="SU8">
        <v>99</v>
      </c>
      <c r="SV8">
        <v>99</v>
      </c>
      <c r="SW8">
        <v>80</v>
      </c>
      <c r="SX8">
        <v>178</v>
      </c>
      <c r="SY8">
        <v>269</v>
      </c>
      <c r="SZ8">
        <v>325</v>
      </c>
      <c r="TA8">
        <v>350</v>
      </c>
      <c r="TB8">
        <v>119</v>
      </c>
      <c r="TC8">
        <v>120</v>
      </c>
      <c r="TD8">
        <v>140</v>
      </c>
      <c r="TE8">
        <v>140</v>
      </c>
      <c r="TF8">
        <v>99</v>
      </c>
      <c r="TG8">
        <v>105</v>
      </c>
      <c r="TH8">
        <v>100</v>
      </c>
      <c r="TI8">
        <v>120</v>
      </c>
      <c r="TJ8">
        <v>139</v>
      </c>
      <c r="TK8">
        <v>135</v>
      </c>
      <c r="TL8">
        <v>190</v>
      </c>
      <c r="TM8">
        <v>99</v>
      </c>
      <c r="TN8">
        <v>99</v>
      </c>
      <c r="TO8">
        <v>1283</v>
      </c>
      <c r="TP8">
        <v>537</v>
      </c>
      <c r="TQ8">
        <v>178</v>
      </c>
      <c r="TR8">
        <v>178</v>
      </c>
      <c r="TS8">
        <v>178</v>
      </c>
      <c r="TT8">
        <v>105</v>
      </c>
      <c r="TU8">
        <v>105</v>
      </c>
      <c r="TV8">
        <v>136</v>
      </c>
      <c r="TW8">
        <v>105</v>
      </c>
      <c r="TX8">
        <v>82</v>
      </c>
      <c r="TY8">
        <v>82</v>
      </c>
      <c r="TZ8">
        <v>119</v>
      </c>
      <c r="UA8">
        <v>332</v>
      </c>
      <c r="UB8">
        <v>109</v>
      </c>
      <c r="UC8">
        <v>82</v>
      </c>
      <c r="UD8">
        <v>186</v>
      </c>
      <c r="UE8">
        <v>105</v>
      </c>
      <c r="UF8">
        <v>434</v>
      </c>
      <c r="UG8">
        <v>1577</v>
      </c>
      <c r="UH8">
        <v>105</v>
      </c>
      <c r="UI8">
        <v>105</v>
      </c>
      <c r="UJ8">
        <v>267</v>
      </c>
      <c r="UK8">
        <v>269</v>
      </c>
      <c r="UL8">
        <v>269</v>
      </c>
      <c r="UM8">
        <v>593</v>
      </c>
      <c r="UN8">
        <v>178</v>
      </c>
      <c r="UO8">
        <v>136</v>
      </c>
      <c r="UP8">
        <v>467</v>
      </c>
      <c r="UQ8">
        <v>63</v>
      </c>
      <c r="UR8">
        <v>195</v>
      </c>
      <c r="US8">
        <v>178</v>
      </c>
      <c r="UT8">
        <v>125</v>
      </c>
      <c r="UU8">
        <v>125</v>
      </c>
      <c r="UV8">
        <v>99</v>
      </c>
      <c r="UW8">
        <v>95</v>
      </c>
      <c r="UX8">
        <v>99</v>
      </c>
      <c r="UY8">
        <v>178</v>
      </c>
      <c r="UZ8">
        <v>178</v>
      </c>
      <c r="VA8">
        <v>105</v>
      </c>
      <c r="VB8">
        <v>99</v>
      </c>
      <c r="VC8">
        <v>99</v>
      </c>
      <c r="VD8">
        <v>105</v>
      </c>
      <c r="VE8">
        <v>105</v>
      </c>
      <c r="VF8">
        <v>105</v>
      </c>
      <c r="VG8">
        <v>710</v>
      </c>
      <c r="VH8">
        <v>710</v>
      </c>
      <c r="VI8">
        <v>79</v>
      </c>
      <c r="VJ8">
        <v>79</v>
      </c>
      <c r="VK8">
        <v>105</v>
      </c>
      <c r="VL8">
        <v>178</v>
      </c>
      <c r="VM8">
        <v>186</v>
      </c>
      <c r="VN8">
        <v>178</v>
      </c>
      <c r="VO8">
        <v>685</v>
      </c>
    </row>
    <row r="9" spans="1:587" x14ac:dyDescent="0.3">
      <c r="A9" t="s">
        <v>3004</v>
      </c>
      <c r="B9" cm="1">
        <f t="array" ref="B9:VO9">1*TRANSPOSE(_xlfn._xlws.FILTER(branch!$I$2:$I$591,branch!$D$2:$D$591&lt;&gt;0))</f>
        <v>99</v>
      </c>
      <c r="C9">
        <v>99</v>
      </c>
      <c r="D9">
        <v>178</v>
      </c>
      <c r="E9">
        <v>145</v>
      </c>
      <c r="F9">
        <v>536</v>
      </c>
      <c r="G9">
        <v>393</v>
      </c>
      <c r="H9">
        <v>393</v>
      </c>
      <c r="I9">
        <v>593</v>
      </c>
      <c r="J9">
        <v>434</v>
      </c>
      <c r="K9">
        <v>99</v>
      </c>
      <c r="L9">
        <v>140</v>
      </c>
      <c r="M9">
        <v>103</v>
      </c>
      <c r="N9">
        <v>109</v>
      </c>
      <c r="O9">
        <v>105</v>
      </c>
      <c r="P9">
        <v>99</v>
      </c>
      <c r="Q9">
        <v>187</v>
      </c>
      <c r="R9">
        <v>187</v>
      </c>
      <c r="S9">
        <v>187</v>
      </c>
      <c r="T9">
        <v>104</v>
      </c>
      <c r="U9">
        <v>112</v>
      </c>
      <c r="V9">
        <v>105</v>
      </c>
      <c r="W9">
        <v>82</v>
      </c>
      <c r="X9">
        <v>82</v>
      </c>
      <c r="Y9">
        <v>105</v>
      </c>
      <c r="Z9">
        <v>105</v>
      </c>
      <c r="AA9">
        <v>99</v>
      </c>
      <c r="AB9">
        <v>178</v>
      </c>
      <c r="AC9">
        <v>434</v>
      </c>
      <c r="AD9">
        <v>434</v>
      </c>
      <c r="AE9">
        <v>34</v>
      </c>
      <c r="AF9">
        <v>120</v>
      </c>
      <c r="AG9">
        <v>120</v>
      </c>
      <c r="AH9">
        <v>104</v>
      </c>
      <c r="AI9">
        <v>178</v>
      </c>
      <c r="AJ9">
        <v>178</v>
      </c>
      <c r="AK9">
        <v>178</v>
      </c>
      <c r="AL9">
        <v>178</v>
      </c>
      <c r="AM9">
        <v>120</v>
      </c>
      <c r="AN9">
        <v>178</v>
      </c>
      <c r="AO9">
        <v>99</v>
      </c>
      <c r="AP9">
        <v>178</v>
      </c>
      <c r="AQ9">
        <v>140</v>
      </c>
      <c r="AR9">
        <v>140</v>
      </c>
      <c r="AS9">
        <v>99</v>
      </c>
      <c r="AT9">
        <v>105</v>
      </c>
      <c r="AU9">
        <v>99</v>
      </c>
      <c r="AV9">
        <v>96</v>
      </c>
      <c r="AW9">
        <v>96</v>
      </c>
      <c r="AX9">
        <v>178</v>
      </c>
      <c r="AY9">
        <v>178</v>
      </c>
      <c r="AZ9">
        <v>120</v>
      </c>
      <c r="BA9">
        <v>120</v>
      </c>
      <c r="BB9">
        <v>178</v>
      </c>
      <c r="BC9">
        <v>178</v>
      </c>
      <c r="BD9">
        <v>178</v>
      </c>
      <c r="BE9">
        <v>105</v>
      </c>
      <c r="BF9">
        <v>99</v>
      </c>
      <c r="BG9">
        <v>99</v>
      </c>
      <c r="BH9">
        <v>99</v>
      </c>
      <c r="BI9">
        <v>82</v>
      </c>
      <c r="BJ9">
        <v>82</v>
      </c>
      <c r="BK9">
        <v>136</v>
      </c>
      <c r="BL9">
        <v>140</v>
      </c>
      <c r="BM9">
        <v>130</v>
      </c>
      <c r="BN9">
        <v>99</v>
      </c>
      <c r="BO9">
        <v>122</v>
      </c>
      <c r="BP9">
        <v>196</v>
      </c>
      <c r="BQ9">
        <v>178</v>
      </c>
      <c r="BR9">
        <v>136</v>
      </c>
      <c r="BS9">
        <v>178</v>
      </c>
      <c r="BT9">
        <v>124</v>
      </c>
      <c r="BU9">
        <v>178</v>
      </c>
      <c r="BV9">
        <v>178</v>
      </c>
      <c r="BW9">
        <v>178</v>
      </c>
      <c r="BX9">
        <v>99</v>
      </c>
      <c r="BY9">
        <v>136</v>
      </c>
      <c r="BZ9">
        <v>195</v>
      </c>
      <c r="CA9">
        <v>178</v>
      </c>
      <c r="CB9">
        <v>178</v>
      </c>
      <c r="CC9">
        <v>192</v>
      </c>
      <c r="CD9">
        <v>187</v>
      </c>
      <c r="CE9">
        <v>120</v>
      </c>
      <c r="CF9">
        <v>187</v>
      </c>
      <c r="CG9">
        <v>187</v>
      </c>
      <c r="CH9">
        <v>187</v>
      </c>
      <c r="CI9">
        <v>119</v>
      </c>
      <c r="CJ9">
        <v>119</v>
      </c>
      <c r="CK9">
        <v>570</v>
      </c>
      <c r="CL9">
        <v>570</v>
      </c>
      <c r="CM9">
        <v>140</v>
      </c>
      <c r="CN9">
        <v>140</v>
      </c>
      <c r="CO9">
        <v>842</v>
      </c>
      <c r="CP9">
        <v>105</v>
      </c>
      <c r="CQ9">
        <v>109</v>
      </c>
      <c r="CR9">
        <v>109</v>
      </c>
      <c r="CS9">
        <v>82</v>
      </c>
      <c r="CT9">
        <v>82</v>
      </c>
      <c r="CU9">
        <v>75</v>
      </c>
      <c r="CV9">
        <v>75</v>
      </c>
      <c r="CW9">
        <v>178</v>
      </c>
      <c r="CX9">
        <v>178</v>
      </c>
      <c r="CY9">
        <v>178</v>
      </c>
      <c r="CZ9">
        <v>178</v>
      </c>
      <c r="DA9">
        <v>82</v>
      </c>
      <c r="DB9">
        <v>82</v>
      </c>
      <c r="DC9">
        <v>710</v>
      </c>
      <c r="DD9">
        <v>69</v>
      </c>
      <c r="DE9">
        <v>70</v>
      </c>
      <c r="DF9">
        <v>710</v>
      </c>
      <c r="DG9">
        <v>710</v>
      </c>
      <c r="DH9">
        <v>710</v>
      </c>
      <c r="DI9">
        <v>144</v>
      </c>
      <c r="DJ9">
        <v>63</v>
      </c>
      <c r="DK9">
        <v>99</v>
      </c>
      <c r="DL9">
        <v>570</v>
      </c>
      <c r="DM9">
        <v>570</v>
      </c>
      <c r="DN9">
        <v>178</v>
      </c>
      <c r="DO9">
        <v>200</v>
      </c>
      <c r="DP9">
        <v>109</v>
      </c>
      <c r="DQ9">
        <v>109</v>
      </c>
      <c r="DR9">
        <v>79</v>
      </c>
      <c r="DS9">
        <v>79</v>
      </c>
      <c r="DT9">
        <v>434</v>
      </c>
      <c r="DU9">
        <v>740</v>
      </c>
      <c r="DV9">
        <v>228</v>
      </c>
      <c r="DW9">
        <v>115</v>
      </c>
      <c r="DX9">
        <v>195</v>
      </c>
      <c r="DY9">
        <v>124</v>
      </c>
      <c r="DZ9">
        <v>80</v>
      </c>
      <c r="EA9">
        <v>120</v>
      </c>
      <c r="EB9">
        <v>105</v>
      </c>
      <c r="EC9">
        <v>178</v>
      </c>
      <c r="ED9">
        <v>178</v>
      </c>
      <c r="EE9">
        <v>178</v>
      </c>
      <c r="EF9">
        <v>69</v>
      </c>
      <c r="EG9">
        <v>70</v>
      </c>
      <c r="EH9">
        <v>69</v>
      </c>
      <c r="EI9">
        <v>69</v>
      </c>
      <c r="EJ9">
        <v>132</v>
      </c>
      <c r="EK9">
        <v>132</v>
      </c>
      <c r="EL9">
        <v>710</v>
      </c>
      <c r="EM9">
        <v>710</v>
      </c>
      <c r="EN9">
        <v>66</v>
      </c>
      <c r="EO9">
        <v>66</v>
      </c>
      <c r="EP9">
        <v>710</v>
      </c>
      <c r="EQ9">
        <v>109</v>
      </c>
      <c r="ER9">
        <v>109</v>
      </c>
      <c r="ES9">
        <v>82</v>
      </c>
      <c r="ET9">
        <v>82</v>
      </c>
      <c r="EU9">
        <v>144</v>
      </c>
      <c r="EV9">
        <v>144</v>
      </c>
      <c r="EW9">
        <v>710</v>
      </c>
      <c r="EX9">
        <v>178</v>
      </c>
      <c r="EY9">
        <v>124</v>
      </c>
      <c r="EZ9">
        <v>99</v>
      </c>
      <c r="FA9">
        <v>99</v>
      </c>
      <c r="FB9">
        <v>99</v>
      </c>
      <c r="FC9">
        <v>761</v>
      </c>
      <c r="FD9">
        <v>187</v>
      </c>
      <c r="FE9">
        <v>761</v>
      </c>
      <c r="FF9">
        <v>761</v>
      </c>
      <c r="FG9">
        <v>761</v>
      </c>
      <c r="FH9">
        <v>178</v>
      </c>
      <c r="FI9">
        <v>178</v>
      </c>
      <c r="FJ9">
        <v>115</v>
      </c>
      <c r="FK9">
        <v>434</v>
      </c>
      <c r="FL9">
        <v>434</v>
      </c>
      <c r="FM9">
        <v>555</v>
      </c>
      <c r="FN9">
        <v>123</v>
      </c>
      <c r="FO9">
        <v>178</v>
      </c>
      <c r="FP9">
        <v>130</v>
      </c>
      <c r="FQ9">
        <v>178</v>
      </c>
      <c r="FR9">
        <v>103</v>
      </c>
      <c r="FS9">
        <v>238</v>
      </c>
      <c r="FT9">
        <v>434</v>
      </c>
      <c r="FU9">
        <v>178</v>
      </c>
      <c r="FV9">
        <v>132</v>
      </c>
      <c r="FW9">
        <v>178</v>
      </c>
      <c r="FX9">
        <v>144</v>
      </c>
      <c r="FY9">
        <v>144</v>
      </c>
      <c r="FZ9">
        <v>140</v>
      </c>
      <c r="GA9">
        <v>140</v>
      </c>
      <c r="GB9">
        <v>136</v>
      </c>
      <c r="GC9">
        <v>178</v>
      </c>
      <c r="GD9">
        <v>178</v>
      </c>
      <c r="GE9">
        <v>178</v>
      </c>
      <c r="GF9">
        <v>196</v>
      </c>
      <c r="GG9">
        <v>178</v>
      </c>
      <c r="GH9">
        <v>178</v>
      </c>
      <c r="GI9">
        <v>178</v>
      </c>
      <c r="GJ9">
        <v>130</v>
      </c>
      <c r="GK9">
        <v>99</v>
      </c>
      <c r="GL9">
        <v>136</v>
      </c>
      <c r="GM9">
        <v>178</v>
      </c>
      <c r="GN9">
        <v>105</v>
      </c>
      <c r="GO9">
        <v>187</v>
      </c>
      <c r="GP9">
        <v>187</v>
      </c>
      <c r="GQ9">
        <v>187</v>
      </c>
      <c r="GR9">
        <v>105</v>
      </c>
      <c r="GS9">
        <v>130</v>
      </c>
      <c r="GT9">
        <v>434</v>
      </c>
      <c r="GU9">
        <v>105</v>
      </c>
      <c r="GV9">
        <v>105</v>
      </c>
      <c r="GW9">
        <v>593</v>
      </c>
      <c r="GX9">
        <v>119</v>
      </c>
      <c r="GY9">
        <v>178</v>
      </c>
      <c r="GZ9">
        <v>120</v>
      </c>
      <c r="HA9">
        <v>178</v>
      </c>
      <c r="HB9">
        <v>178</v>
      </c>
      <c r="HC9">
        <v>178</v>
      </c>
      <c r="HD9">
        <v>646</v>
      </c>
      <c r="HE9">
        <v>161</v>
      </c>
      <c r="HF9">
        <v>161</v>
      </c>
      <c r="HG9">
        <v>434</v>
      </c>
      <c r="HH9">
        <v>434</v>
      </c>
      <c r="HI9">
        <v>187</v>
      </c>
      <c r="HJ9">
        <v>124</v>
      </c>
      <c r="HK9">
        <v>99</v>
      </c>
      <c r="HL9">
        <v>105</v>
      </c>
      <c r="HM9">
        <v>63</v>
      </c>
      <c r="HN9">
        <v>178</v>
      </c>
      <c r="HO9">
        <v>187</v>
      </c>
      <c r="HP9">
        <v>136</v>
      </c>
      <c r="HQ9">
        <v>187</v>
      </c>
      <c r="HR9">
        <v>187</v>
      </c>
      <c r="HS9">
        <v>99</v>
      </c>
      <c r="HT9">
        <v>99</v>
      </c>
      <c r="HU9">
        <v>105</v>
      </c>
      <c r="HV9">
        <v>178</v>
      </c>
      <c r="HW9">
        <v>178</v>
      </c>
      <c r="HX9">
        <v>1577</v>
      </c>
      <c r="HY9">
        <v>1577</v>
      </c>
      <c r="HZ9">
        <v>143</v>
      </c>
      <c r="IA9">
        <v>104</v>
      </c>
      <c r="IB9">
        <v>82</v>
      </c>
      <c r="IC9">
        <v>82</v>
      </c>
      <c r="ID9">
        <v>82</v>
      </c>
      <c r="IE9">
        <v>82</v>
      </c>
      <c r="IF9">
        <v>186</v>
      </c>
      <c r="IG9">
        <v>124</v>
      </c>
      <c r="IH9">
        <v>136</v>
      </c>
      <c r="II9">
        <v>99</v>
      </c>
      <c r="IJ9">
        <v>178</v>
      </c>
      <c r="IK9">
        <v>178</v>
      </c>
      <c r="IL9">
        <v>99</v>
      </c>
      <c r="IM9">
        <v>99</v>
      </c>
      <c r="IN9">
        <v>105</v>
      </c>
      <c r="IO9">
        <v>105</v>
      </c>
      <c r="IP9">
        <v>99</v>
      </c>
      <c r="IQ9">
        <v>99</v>
      </c>
      <c r="IR9">
        <v>100</v>
      </c>
      <c r="IS9">
        <v>100</v>
      </c>
      <c r="IT9">
        <v>200</v>
      </c>
      <c r="IU9">
        <v>143</v>
      </c>
      <c r="IV9">
        <v>82</v>
      </c>
      <c r="IW9">
        <v>82</v>
      </c>
      <c r="IX9">
        <v>82</v>
      </c>
      <c r="IY9">
        <v>412</v>
      </c>
      <c r="IZ9">
        <v>412</v>
      </c>
      <c r="JA9">
        <v>82</v>
      </c>
      <c r="JB9">
        <v>82</v>
      </c>
      <c r="JC9">
        <v>109</v>
      </c>
      <c r="JD9">
        <v>178</v>
      </c>
      <c r="JE9">
        <v>99</v>
      </c>
      <c r="JF9">
        <v>82</v>
      </c>
      <c r="JG9">
        <v>109</v>
      </c>
      <c r="JH9">
        <v>140</v>
      </c>
      <c r="JI9">
        <v>140</v>
      </c>
      <c r="JJ9">
        <v>196</v>
      </c>
      <c r="JK9">
        <v>178</v>
      </c>
      <c r="JL9">
        <v>178</v>
      </c>
      <c r="JM9">
        <v>99</v>
      </c>
      <c r="JN9">
        <v>178</v>
      </c>
      <c r="JO9">
        <v>350</v>
      </c>
      <c r="JP9">
        <v>99</v>
      </c>
      <c r="JQ9">
        <v>99</v>
      </c>
      <c r="JR9">
        <v>99</v>
      </c>
      <c r="JS9">
        <v>392</v>
      </c>
      <c r="JT9">
        <v>97</v>
      </c>
      <c r="JU9">
        <v>99</v>
      </c>
      <c r="JV9">
        <v>761</v>
      </c>
      <c r="JW9">
        <v>178</v>
      </c>
      <c r="JX9">
        <v>124</v>
      </c>
      <c r="JY9">
        <v>103</v>
      </c>
      <c r="JZ9">
        <v>178</v>
      </c>
      <c r="KA9">
        <v>746</v>
      </c>
      <c r="KB9">
        <v>646</v>
      </c>
      <c r="KC9">
        <v>178</v>
      </c>
      <c r="KD9">
        <v>178</v>
      </c>
      <c r="KE9">
        <v>178</v>
      </c>
      <c r="KF9">
        <v>178</v>
      </c>
      <c r="KG9">
        <v>190</v>
      </c>
      <c r="KH9">
        <v>105</v>
      </c>
      <c r="KI9">
        <v>136</v>
      </c>
      <c r="KJ9">
        <v>134</v>
      </c>
      <c r="KK9">
        <v>136</v>
      </c>
      <c r="KL9">
        <v>136</v>
      </c>
      <c r="KM9">
        <v>99</v>
      </c>
      <c r="KN9">
        <v>105</v>
      </c>
      <c r="KO9">
        <v>99</v>
      </c>
      <c r="KP9">
        <v>105</v>
      </c>
      <c r="KQ9">
        <v>99</v>
      </c>
      <c r="KR9">
        <v>99</v>
      </c>
      <c r="KS9">
        <v>99</v>
      </c>
      <c r="KT9">
        <v>74</v>
      </c>
      <c r="KU9">
        <v>74</v>
      </c>
      <c r="KV9">
        <v>99</v>
      </c>
      <c r="KW9">
        <v>178</v>
      </c>
      <c r="KX9">
        <v>178</v>
      </c>
      <c r="KY9">
        <v>99</v>
      </c>
      <c r="KZ9">
        <v>104</v>
      </c>
      <c r="LA9">
        <v>178</v>
      </c>
      <c r="LB9">
        <v>178</v>
      </c>
      <c r="LC9">
        <v>211</v>
      </c>
      <c r="LD9">
        <v>196</v>
      </c>
      <c r="LE9">
        <v>69</v>
      </c>
      <c r="LF9">
        <v>69</v>
      </c>
      <c r="LG9">
        <v>144</v>
      </c>
      <c r="LH9">
        <v>144</v>
      </c>
      <c r="LI9">
        <v>103</v>
      </c>
      <c r="LJ9">
        <v>99</v>
      </c>
      <c r="LK9">
        <v>99</v>
      </c>
      <c r="LL9">
        <v>82</v>
      </c>
      <c r="LM9">
        <v>82</v>
      </c>
      <c r="LN9">
        <v>82</v>
      </c>
      <c r="LO9">
        <v>82</v>
      </c>
      <c r="LP9">
        <v>82</v>
      </c>
      <c r="LQ9">
        <v>99</v>
      </c>
      <c r="LR9">
        <v>79</v>
      </c>
      <c r="LS9">
        <v>79</v>
      </c>
      <c r="LT9">
        <v>108</v>
      </c>
      <c r="LU9">
        <v>109</v>
      </c>
      <c r="LV9">
        <v>109</v>
      </c>
      <c r="LW9">
        <v>99</v>
      </c>
      <c r="LX9">
        <v>99</v>
      </c>
      <c r="LY9">
        <v>99</v>
      </c>
      <c r="LZ9">
        <v>178</v>
      </c>
      <c r="MA9">
        <v>393</v>
      </c>
      <c r="MB9">
        <v>350</v>
      </c>
      <c r="MC9">
        <v>350</v>
      </c>
      <c r="MD9">
        <v>434</v>
      </c>
      <c r="ME9">
        <v>1283</v>
      </c>
      <c r="MF9">
        <v>351</v>
      </c>
      <c r="MG9">
        <v>140</v>
      </c>
      <c r="MH9">
        <v>140</v>
      </c>
      <c r="MI9">
        <v>140</v>
      </c>
      <c r="MJ9">
        <v>186</v>
      </c>
      <c r="MK9">
        <v>157</v>
      </c>
      <c r="ML9">
        <v>144</v>
      </c>
      <c r="MM9">
        <v>186</v>
      </c>
      <c r="MN9">
        <v>195</v>
      </c>
      <c r="MO9">
        <v>105</v>
      </c>
      <c r="MP9">
        <v>119</v>
      </c>
      <c r="MQ9">
        <v>593</v>
      </c>
      <c r="MR9">
        <v>119</v>
      </c>
      <c r="MS9">
        <v>332</v>
      </c>
      <c r="MT9">
        <v>120</v>
      </c>
      <c r="MU9">
        <v>80</v>
      </c>
      <c r="MV9">
        <v>536</v>
      </c>
      <c r="MW9">
        <v>105</v>
      </c>
      <c r="MX9">
        <v>144</v>
      </c>
      <c r="MY9">
        <v>144</v>
      </c>
      <c r="MZ9">
        <v>105</v>
      </c>
      <c r="NA9">
        <v>384</v>
      </c>
      <c r="NB9">
        <v>99</v>
      </c>
      <c r="NC9">
        <v>99</v>
      </c>
      <c r="ND9">
        <v>434</v>
      </c>
      <c r="NE9">
        <v>98</v>
      </c>
      <c r="NF9">
        <v>107</v>
      </c>
      <c r="NG9">
        <v>140</v>
      </c>
      <c r="NH9">
        <v>107</v>
      </c>
      <c r="NI9">
        <v>140</v>
      </c>
      <c r="NJ9">
        <v>99</v>
      </c>
      <c r="NK9">
        <v>99</v>
      </c>
      <c r="NL9">
        <v>178</v>
      </c>
      <c r="NM9">
        <v>103</v>
      </c>
      <c r="NN9">
        <v>103</v>
      </c>
      <c r="NO9">
        <v>103</v>
      </c>
      <c r="NP9">
        <v>120</v>
      </c>
      <c r="NQ9">
        <v>120</v>
      </c>
      <c r="NR9">
        <v>570</v>
      </c>
      <c r="NS9">
        <v>99</v>
      </c>
      <c r="NT9">
        <v>393</v>
      </c>
      <c r="NU9">
        <v>434</v>
      </c>
      <c r="NV9">
        <v>593</v>
      </c>
      <c r="NW9">
        <v>178</v>
      </c>
      <c r="NX9">
        <v>178</v>
      </c>
      <c r="NY9">
        <v>178</v>
      </c>
      <c r="NZ9">
        <v>178</v>
      </c>
      <c r="OA9">
        <v>136</v>
      </c>
      <c r="OB9">
        <v>122</v>
      </c>
      <c r="OC9">
        <v>82</v>
      </c>
      <c r="OD9">
        <v>82</v>
      </c>
      <c r="OE9">
        <v>105</v>
      </c>
      <c r="OF9">
        <v>434</v>
      </c>
      <c r="OG9">
        <v>350</v>
      </c>
      <c r="OH9">
        <v>99</v>
      </c>
      <c r="OI9">
        <v>99</v>
      </c>
      <c r="OJ9">
        <v>99</v>
      </c>
      <c r="OK9">
        <v>99</v>
      </c>
      <c r="OL9">
        <v>99</v>
      </c>
      <c r="OM9">
        <v>99</v>
      </c>
      <c r="ON9">
        <v>200</v>
      </c>
      <c r="OO9">
        <v>200</v>
      </c>
      <c r="OP9">
        <v>119</v>
      </c>
      <c r="OQ9">
        <v>105</v>
      </c>
      <c r="OR9">
        <v>105</v>
      </c>
      <c r="OS9">
        <v>195</v>
      </c>
      <c r="OT9">
        <v>710</v>
      </c>
      <c r="OU9">
        <v>82</v>
      </c>
      <c r="OV9">
        <v>80</v>
      </c>
      <c r="OW9">
        <v>107</v>
      </c>
      <c r="OX9">
        <v>140</v>
      </c>
      <c r="OY9">
        <v>136</v>
      </c>
      <c r="OZ9">
        <v>136</v>
      </c>
      <c r="PA9">
        <v>104</v>
      </c>
      <c r="PB9">
        <v>196</v>
      </c>
      <c r="PC9">
        <v>80</v>
      </c>
      <c r="PD9">
        <v>562</v>
      </c>
      <c r="PE9">
        <v>120</v>
      </c>
      <c r="PF9">
        <v>267</v>
      </c>
      <c r="PG9">
        <v>351</v>
      </c>
      <c r="PH9">
        <v>593</v>
      </c>
      <c r="PI9">
        <v>178</v>
      </c>
      <c r="PJ9">
        <v>99</v>
      </c>
      <c r="PK9">
        <v>134</v>
      </c>
      <c r="PL9">
        <v>103</v>
      </c>
      <c r="PM9">
        <v>103</v>
      </c>
      <c r="PN9">
        <v>710</v>
      </c>
      <c r="PO9">
        <v>710</v>
      </c>
      <c r="PP9">
        <v>710</v>
      </c>
      <c r="PQ9">
        <v>185</v>
      </c>
      <c r="PR9">
        <v>178</v>
      </c>
      <c r="PS9">
        <v>99</v>
      </c>
      <c r="PT9">
        <v>178</v>
      </c>
      <c r="PU9">
        <v>178</v>
      </c>
      <c r="PV9">
        <v>119</v>
      </c>
      <c r="PW9">
        <v>120</v>
      </c>
      <c r="PX9">
        <v>136</v>
      </c>
      <c r="PY9">
        <v>434</v>
      </c>
      <c r="PZ9">
        <v>512</v>
      </c>
      <c r="QA9">
        <v>99</v>
      </c>
      <c r="QB9">
        <v>80</v>
      </c>
      <c r="QC9">
        <v>269</v>
      </c>
      <c r="QD9">
        <v>178</v>
      </c>
      <c r="QE9">
        <v>140</v>
      </c>
      <c r="QF9">
        <v>136</v>
      </c>
      <c r="QG9">
        <v>731</v>
      </c>
      <c r="QH9">
        <v>731</v>
      </c>
      <c r="QI9">
        <v>660</v>
      </c>
      <c r="QJ9">
        <v>660</v>
      </c>
      <c r="QK9">
        <v>136</v>
      </c>
      <c r="QL9">
        <v>99</v>
      </c>
      <c r="QM9">
        <v>99</v>
      </c>
      <c r="QN9">
        <v>350</v>
      </c>
      <c r="QO9">
        <v>350</v>
      </c>
      <c r="QP9">
        <v>99</v>
      </c>
      <c r="QQ9">
        <v>178</v>
      </c>
      <c r="QR9">
        <v>99</v>
      </c>
      <c r="QS9">
        <v>109</v>
      </c>
      <c r="QT9">
        <v>143</v>
      </c>
      <c r="QU9">
        <v>434</v>
      </c>
      <c r="QV9">
        <v>178</v>
      </c>
      <c r="QW9">
        <v>99</v>
      </c>
      <c r="QX9">
        <v>140</v>
      </c>
      <c r="QY9">
        <v>190</v>
      </c>
      <c r="QZ9">
        <v>195</v>
      </c>
      <c r="RA9">
        <v>135</v>
      </c>
      <c r="RB9">
        <v>195</v>
      </c>
      <c r="RC9">
        <v>710</v>
      </c>
      <c r="RD9">
        <v>136</v>
      </c>
      <c r="RE9">
        <v>105</v>
      </c>
      <c r="RF9">
        <v>124</v>
      </c>
      <c r="RG9">
        <v>99</v>
      </c>
      <c r="RH9">
        <v>353</v>
      </c>
      <c r="RI9">
        <v>178</v>
      </c>
      <c r="RJ9">
        <v>99</v>
      </c>
      <c r="RK9">
        <v>136</v>
      </c>
      <c r="RL9">
        <v>99</v>
      </c>
      <c r="RM9">
        <v>187</v>
      </c>
      <c r="RN9">
        <v>99</v>
      </c>
      <c r="RO9">
        <v>761</v>
      </c>
      <c r="RP9">
        <v>761</v>
      </c>
      <c r="RQ9">
        <v>99</v>
      </c>
      <c r="RR9">
        <v>99</v>
      </c>
      <c r="RS9">
        <v>99</v>
      </c>
      <c r="RT9">
        <v>99</v>
      </c>
      <c r="RU9">
        <v>136</v>
      </c>
      <c r="RV9">
        <v>124</v>
      </c>
      <c r="RW9">
        <v>99</v>
      </c>
      <c r="RX9">
        <v>99</v>
      </c>
      <c r="RY9">
        <v>136</v>
      </c>
      <c r="RZ9">
        <v>105</v>
      </c>
      <c r="SA9">
        <v>136</v>
      </c>
      <c r="SB9">
        <v>100</v>
      </c>
      <c r="SC9">
        <v>99</v>
      </c>
      <c r="SD9">
        <v>178</v>
      </c>
      <c r="SE9">
        <v>99</v>
      </c>
      <c r="SF9">
        <v>99</v>
      </c>
      <c r="SG9">
        <v>99</v>
      </c>
      <c r="SH9">
        <v>99</v>
      </c>
      <c r="SI9">
        <v>82</v>
      </c>
      <c r="SJ9">
        <v>80</v>
      </c>
      <c r="SK9">
        <v>99</v>
      </c>
      <c r="SL9">
        <v>99</v>
      </c>
      <c r="SM9">
        <v>95</v>
      </c>
      <c r="SN9">
        <v>710</v>
      </c>
      <c r="SO9">
        <v>710</v>
      </c>
      <c r="SP9">
        <v>350</v>
      </c>
      <c r="SQ9">
        <v>120</v>
      </c>
      <c r="SR9">
        <v>104</v>
      </c>
      <c r="SS9">
        <v>710</v>
      </c>
      <c r="ST9">
        <v>710</v>
      </c>
      <c r="SU9">
        <v>99</v>
      </c>
      <c r="SV9">
        <v>99</v>
      </c>
      <c r="SW9">
        <v>80</v>
      </c>
      <c r="SX9">
        <v>178</v>
      </c>
      <c r="SY9">
        <v>269</v>
      </c>
      <c r="SZ9">
        <v>325</v>
      </c>
      <c r="TA9">
        <v>350</v>
      </c>
      <c r="TB9">
        <v>119</v>
      </c>
      <c r="TC9">
        <v>120</v>
      </c>
      <c r="TD9">
        <v>140</v>
      </c>
      <c r="TE9">
        <v>140</v>
      </c>
      <c r="TF9">
        <v>99</v>
      </c>
      <c r="TG9">
        <v>105</v>
      </c>
      <c r="TH9">
        <v>100</v>
      </c>
      <c r="TI9">
        <v>120</v>
      </c>
      <c r="TJ9">
        <v>139</v>
      </c>
      <c r="TK9">
        <v>135</v>
      </c>
      <c r="TL9">
        <v>190</v>
      </c>
      <c r="TM9">
        <v>99</v>
      </c>
      <c r="TN9">
        <v>99</v>
      </c>
      <c r="TO9">
        <v>1283</v>
      </c>
      <c r="TP9">
        <v>537</v>
      </c>
      <c r="TQ9">
        <v>178</v>
      </c>
      <c r="TR9">
        <v>178</v>
      </c>
      <c r="TS9">
        <v>178</v>
      </c>
      <c r="TT9">
        <v>105</v>
      </c>
      <c r="TU9">
        <v>105</v>
      </c>
      <c r="TV9">
        <v>136</v>
      </c>
      <c r="TW9">
        <v>105</v>
      </c>
      <c r="TX9">
        <v>82</v>
      </c>
      <c r="TY9">
        <v>82</v>
      </c>
      <c r="TZ9">
        <v>119</v>
      </c>
      <c r="UA9">
        <v>332</v>
      </c>
      <c r="UB9">
        <v>109</v>
      </c>
      <c r="UC9">
        <v>82</v>
      </c>
      <c r="UD9">
        <v>186</v>
      </c>
      <c r="UE9">
        <v>105</v>
      </c>
      <c r="UF9">
        <v>434</v>
      </c>
      <c r="UG9">
        <v>1577</v>
      </c>
      <c r="UH9">
        <v>105</v>
      </c>
      <c r="UI9">
        <v>105</v>
      </c>
      <c r="UJ9">
        <v>267</v>
      </c>
      <c r="UK9">
        <v>269</v>
      </c>
      <c r="UL9">
        <v>269</v>
      </c>
      <c r="UM9">
        <v>593</v>
      </c>
      <c r="UN9">
        <v>178</v>
      </c>
      <c r="UO9">
        <v>136</v>
      </c>
      <c r="UP9">
        <v>467</v>
      </c>
      <c r="UQ9">
        <v>63</v>
      </c>
      <c r="UR9">
        <v>195</v>
      </c>
      <c r="US9">
        <v>178</v>
      </c>
      <c r="UT9">
        <v>125</v>
      </c>
      <c r="UU9">
        <v>125</v>
      </c>
      <c r="UV9">
        <v>99</v>
      </c>
      <c r="UW9">
        <v>95</v>
      </c>
      <c r="UX9">
        <v>99</v>
      </c>
      <c r="UY9">
        <v>178</v>
      </c>
      <c r="UZ9">
        <v>178</v>
      </c>
      <c r="VA9">
        <v>105</v>
      </c>
      <c r="VB9">
        <v>99</v>
      </c>
      <c r="VC9">
        <v>99</v>
      </c>
      <c r="VD9">
        <v>105</v>
      </c>
      <c r="VE9">
        <v>105</v>
      </c>
      <c r="VF9">
        <v>105</v>
      </c>
      <c r="VG9">
        <v>710</v>
      </c>
      <c r="VH9">
        <v>710</v>
      </c>
      <c r="VI9">
        <v>79</v>
      </c>
      <c r="VJ9">
        <v>79</v>
      </c>
      <c r="VK9">
        <v>105</v>
      </c>
      <c r="VL9">
        <v>178</v>
      </c>
      <c r="VM9">
        <v>186</v>
      </c>
      <c r="VN9">
        <v>178</v>
      </c>
      <c r="VO9">
        <v>685</v>
      </c>
    </row>
    <row r="10" spans="1:587" x14ac:dyDescent="0.3">
      <c r="A10" t="s">
        <v>3005</v>
      </c>
      <c r="B10" cm="1">
        <f t="array" ref="B10:VO10">1*TRANSPOSE(_xlfn._xlws.FILTER(branch!$I$2:$I$591,branch!$D$2:$D$591&lt;&gt;0))</f>
        <v>99</v>
      </c>
      <c r="C10">
        <v>99</v>
      </c>
      <c r="D10">
        <v>178</v>
      </c>
      <c r="E10">
        <v>145</v>
      </c>
      <c r="F10">
        <v>536</v>
      </c>
      <c r="G10">
        <v>393</v>
      </c>
      <c r="H10">
        <v>393</v>
      </c>
      <c r="I10">
        <v>593</v>
      </c>
      <c r="J10">
        <v>434</v>
      </c>
      <c r="K10">
        <v>99</v>
      </c>
      <c r="L10">
        <v>140</v>
      </c>
      <c r="M10">
        <v>103</v>
      </c>
      <c r="N10">
        <v>109</v>
      </c>
      <c r="O10">
        <v>105</v>
      </c>
      <c r="P10">
        <v>99</v>
      </c>
      <c r="Q10">
        <v>187</v>
      </c>
      <c r="R10">
        <v>187</v>
      </c>
      <c r="S10">
        <v>187</v>
      </c>
      <c r="T10">
        <v>104</v>
      </c>
      <c r="U10">
        <v>112</v>
      </c>
      <c r="V10">
        <v>105</v>
      </c>
      <c r="W10">
        <v>82</v>
      </c>
      <c r="X10">
        <v>82</v>
      </c>
      <c r="Y10">
        <v>105</v>
      </c>
      <c r="Z10">
        <v>105</v>
      </c>
      <c r="AA10">
        <v>99</v>
      </c>
      <c r="AB10">
        <v>178</v>
      </c>
      <c r="AC10">
        <v>434</v>
      </c>
      <c r="AD10">
        <v>434</v>
      </c>
      <c r="AE10">
        <v>34</v>
      </c>
      <c r="AF10">
        <v>120</v>
      </c>
      <c r="AG10">
        <v>120</v>
      </c>
      <c r="AH10">
        <v>104</v>
      </c>
      <c r="AI10">
        <v>178</v>
      </c>
      <c r="AJ10">
        <v>178</v>
      </c>
      <c r="AK10">
        <v>178</v>
      </c>
      <c r="AL10">
        <v>178</v>
      </c>
      <c r="AM10">
        <v>120</v>
      </c>
      <c r="AN10">
        <v>178</v>
      </c>
      <c r="AO10">
        <v>99</v>
      </c>
      <c r="AP10">
        <v>178</v>
      </c>
      <c r="AQ10">
        <v>140</v>
      </c>
      <c r="AR10">
        <v>140</v>
      </c>
      <c r="AS10">
        <v>99</v>
      </c>
      <c r="AT10">
        <v>105</v>
      </c>
      <c r="AU10">
        <v>99</v>
      </c>
      <c r="AV10">
        <v>96</v>
      </c>
      <c r="AW10">
        <v>96</v>
      </c>
      <c r="AX10">
        <v>178</v>
      </c>
      <c r="AY10">
        <v>178</v>
      </c>
      <c r="AZ10">
        <v>120</v>
      </c>
      <c r="BA10">
        <v>120</v>
      </c>
      <c r="BB10">
        <v>178</v>
      </c>
      <c r="BC10">
        <v>178</v>
      </c>
      <c r="BD10">
        <v>178</v>
      </c>
      <c r="BE10">
        <v>105</v>
      </c>
      <c r="BF10">
        <v>99</v>
      </c>
      <c r="BG10">
        <v>99</v>
      </c>
      <c r="BH10">
        <v>99</v>
      </c>
      <c r="BI10">
        <v>82</v>
      </c>
      <c r="BJ10">
        <v>82</v>
      </c>
      <c r="BK10">
        <v>136</v>
      </c>
      <c r="BL10">
        <v>140</v>
      </c>
      <c r="BM10">
        <v>130</v>
      </c>
      <c r="BN10">
        <v>99</v>
      </c>
      <c r="BO10">
        <v>122</v>
      </c>
      <c r="BP10">
        <v>196</v>
      </c>
      <c r="BQ10">
        <v>178</v>
      </c>
      <c r="BR10">
        <v>136</v>
      </c>
      <c r="BS10">
        <v>178</v>
      </c>
      <c r="BT10">
        <v>124</v>
      </c>
      <c r="BU10">
        <v>178</v>
      </c>
      <c r="BV10">
        <v>178</v>
      </c>
      <c r="BW10">
        <v>178</v>
      </c>
      <c r="BX10">
        <v>99</v>
      </c>
      <c r="BY10">
        <v>136</v>
      </c>
      <c r="BZ10">
        <v>195</v>
      </c>
      <c r="CA10">
        <v>178</v>
      </c>
      <c r="CB10">
        <v>178</v>
      </c>
      <c r="CC10">
        <v>192</v>
      </c>
      <c r="CD10">
        <v>187</v>
      </c>
      <c r="CE10">
        <v>120</v>
      </c>
      <c r="CF10">
        <v>187</v>
      </c>
      <c r="CG10">
        <v>187</v>
      </c>
      <c r="CH10">
        <v>187</v>
      </c>
      <c r="CI10">
        <v>119</v>
      </c>
      <c r="CJ10">
        <v>119</v>
      </c>
      <c r="CK10">
        <v>570</v>
      </c>
      <c r="CL10">
        <v>570</v>
      </c>
      <c r="CM10">
        <v>140</v>
      </c>
      <c r="CN10">
        <v>140</v>
      </c>
      <c r="CO10">
        <v>842</v>
      </c>
      <c r="CP10">
        <v>105</v>
      </c>
      <c r="CQ10">
        <v>109</v>
      </c>
      <c r="CR10">
        <v>109</v>
      </c>
      <c r="CS10">
        <v>82</v>
      </c>
      <c r="CT10">
        <v>82</v>
      </c>
      <c r="CU10">
        <v>75</v>
      </c>
      <c r="CV10">
        <v>75</v>
      </c>
      <c r="CW10">
        <v>178</v>
      </c>
      <c r="CX10">
        <v>178</v>
      </c>
      <c r="CY10">
        <v>178</v>
      </c>
      <c r="CZ10">
        <v>178</v>
      </c>
      <c r="DA10">
        <v>82</v>
      </c>
      <c r="DB10">
        <v>82</v>
      </c>
      <c r="DC10">
        <v>710</v>
      </c>
      <c r="DD10">
        <v>69</v>
      </c>
      <c r="DE10">
        <v>70</v>
      </c>
      <c r="DF10">
        <v>710</v>
      </c>
      <c r="DG10">
        <v>710</v>
      </c>
      <c r="DH10">
        <v>710</v>
      </c>
      <c r="DI10">
        <v>144</v>
      </c>
      <c r="DJ10">
        <v>63</v>
      </c>
      <c r="DK10">
        <v>99</v>
      </c>
      <c r="DL10">
        <v>570</v>
      </c>
      <c r="DM10">
        <v>570</v>
      </c>
      <c r="DN10">
        <v>178</v>
      </c>
      <c r="DO10">
        <v>200</v>
      </c>
      <c r="DP10">
        <v>109</v>
      </c>
      <c r="DQ10">
        <v>109</v>
      </c>
      <c r="DR10">
        <v>79</v>
      </c>
      <c r="DS10">
        <v>79</v>
      </c>
      <c r="DT10">
        <v>434</v>
      </c>
      <c r="DU10">
        <v>740</v>
      </c>
      <c r="DV10">
        <v>228</v>
      </c>
      <c r="DW10">
        <v>115</v>
      </c>
      <c r="DX10">
        <v>195</v>
      </c>
      <c r="DY10">
        <v>124</v>
      </c>
      <c r="DZ10">
        <v>80</v>
      </c>
      <c r="EA10">
        <v>120</v>
      </c>
      <c r="EB10">
        <v>105</v>
      </c>
      <c r="EC10">
        <v>178</v>
      </c>
      <c r="ED10">
        <v>178</v>
      </c>
      <c r="EE10">
        <v>178</v>
      </c>
      <c r="EF10">
        <v>69</v>
      </c>
      <c r="EG10">
        <v>70</v>
      </c>
      <c r="EH10">
        <v>69</v>
      </c>
      <c r="EI10">
        <v>69</v>
      </c>
      <c r="EJ10">
        <v>132</v>
      </c>
      <c r="EK10">
        <v>132</v>
      </c>
      <c r="EL10">
        <v>710</v>
      </c>
      <c r="EM10">
        <v>710</v>
      </c>
      <c r="EN10">
        <v>66</v>
      </c>
      <c r="EO10">
        <v>66</v>
      </c>
      <c r="EP10">
        <v>710</v>
      </c>
      <c r="EQ10">
        <v>109</v>
      </c>
      <c r="ER10">
        <v>109</v>
      </c>
      <c r="ES10">
        <v>82</v>
      </c>
      <c r="ET10">
        <v>82</v>
      </c>
      <c r="EU10">
        <v>144</v>
      </c>
      <c r="EV10">
        <v>144</v>
      </c>
      <c r="EW10">
        <v>710</v>
      </c>
      <c r="EX10">
        <v>178</v>
      </c>
      <c r="EY10">
        <v>124</v>
      </c>
      <c r="EZ10">
        <v>99</v>
      </c>
      <c r="FA10">
        <v>99</v>
      </c>
      <c r="FB10">
        <v>99</v>
      </c>
      <c r="FC10">
        <v>761</v>
      </c>
      <c r="FD10">
        <v>187</v>
      </c>
      <c r="FE10">
        <v>761</v>
      </c>
      <c r="FF10">
        <v>761</v>
      </c>
      <c r="FG10">
        <v>761</v>
      </c>
      <c r="FH10">
        <v>178</v>
      </c>
      <c r="FI10">
        <v>178</v>
      </c>
      <c r="FJ10">
        <v>115</v>
      </c>
      <c r="FK10">
        <v>434</v>
      </c>
      <c r="FL10">
        <v>434</v>
      </c>
      <c r="FM10">
        <v>555</v>
      </c>
      <c r="FN10">
        <v>123</v>
      </c>
      <c r="FO10">
        <v>178</v>
      </c>
      <c r="FP10">
        <v>130</v>
      </c>
      <c r="FQ10">
        <v>178</v>
      </c>
      <c r="FR10">
        <v>103</v>
      </c>
      <c r="FS10">
        <v>238</v>
      </c>
      <c r="FT10">
        <v>434</v>
      </c>
      <c r="FU10">
        <v>178</v>
      </c>
      <c r="FV10">
        <v>132</v>
      </c>
      <c r="FW10">
        <v>178</v>
      </c>
      <c r="FX10">
        <v>144</v>
      </c>
      <c r="FY10">
        <v>144</v>
      </c>
      <c r="FZ10">
        <v>140</v>
      </c>
      <c r="GA10">
        <v>140</v>
      </c>
      <c r="GB10">
        <v>136</v>
      </c>
      <c r="GC10">
        <v>178</v>
      </c>
      <c r="GD10">
        <v>178</v>
      </c>
      <c r="GE10">
        <v>178</v>
      </c>
      <c r="GF10">
        <v>196</v>
      </c>
      <c r="GG10">
        <v>178</v>
      </c>
      <c r="GH10">
        <v>178</v>
      </c>
      <c r="GI10">
        <v>178</v>
      </c>
      <c r="GJ10">
        <v>130</v>
      </c>
      <c r="GK10">
        <v>99</v>
      </c>
      <c r="GL10">
        <v>136</v>
      </c>
      <c r="GM10">
        <v>178</v>
      </c>
      <c r="GN10">
        <v>105</v>
      </c>
      <c r="GO10">
        <v>187</v>
      </c>
      <c r="GP10">
        <v>187</v>
      </c>
      <c r="GQ10">
        <v>187</v>
      </c>
      <c r="GR10">
        <v>105</v>
      </c>
      <c r="GS10">
        <v>130</v>
      </c>
      <c r="GT10">
        <v>434</v>
      </c>
      <c r="GU10">
        <v>105</v>
      </c>
      <c r="GV10">
        <v>105</v>
      </c>
      <c r="GW10">
        <v>593</v>
      </c>
      <c r="GX10">
        <v>119</v>
      </c>
      <c r="GY10">
        <v>178</v>
      </c>
      <c r="GZ10">
        <v>120</v>
      </c>
      <c r="HA10">
        <v>178</v>
      </c>
      <c r="HB10">
        <v>178</v>
      </c>
      <c r="HC10">
        <v>178</v>
      </c>
      <c r="HD10">
        <v>646</v>
      </c>
      <c r="HE10">
        <v>161</v>
      </c>
      <c r="HF10">
        <v>161</v>
      </c>
      <c r="HG10">
        <v>434</v>
      </c>
      <c r="HH10">
        <v>434</v>
      </c>
      <c r="HI10">
        <v>187</v>
      </c>
      <c r="HJ10">
        <v>124</v>
      </c>
      <c r="HK10">
        <v>99</v>
      </c>
      <c r="HL10">
        <v>105</v>
      </c>
      <c r="HM10">
        <v>63</v>
      </c>
      <c r="HN10">
        <v>178</v>
      </c>
      <c r="HO10">
        <v>187</v>
      </c>
      <c r="HP10">
        <v>136</v>
      </c>
      <c r="HQ10">
        <v>187</v>
      </c>
      <c r="HR10">
        <v>187</v>
      </c>
      <c r="HS10">
        <v>99</v>
      </c>
      <c r="HT10">
        <v>99</v>
      </c>
      <c r="HU10">
        <v>105</v>
      </c>
      <c r="HV10">
        <v>178</v>
      </c>
      <c r="HW10">
        <v>178</v>
      </c>
      <c r="HX10">
        <v>1577</v>
      </c>
      <c r="HY10">
        <v>1577</v>
      </c>
      <c r="HZ10">
        <v>143</v>
      </c>
      <c r="IA10">
        <v>104</v>
      </c>
      <c r="IB10">
        <v>82</v>
      </c>
      <c r="IC10">
        <v>82</v>
      </c>
      <c r="ID10">
        <v>82</v>
      </c>
      <c r="IE10">
        <v>82</v>
      </c>
      <c r="IF10">
        <v>186</v>
      </c>
      <c r="IG10">
        <v>124</v>
      </c>
      <c r="IH10">
        <v>136</v>
      </c>
      <c r="II10">
        <v>99</v>
      </c>
      <c r="IJ10">
        <v>178</v>
      </c>
      <c r="IK10">
        <v>178</v>
      </c>
      <c r="IL10">
        <v>99</v>
      </c>
      <c r="IM10">
        <v>99</v>
      </c>
      <c r="IN10">
        <v>105</v>
      </c>
      <c r="IO10">
        <v>105</v>
      </c>
      <c r="IP10">
        <v>99</v>
      </c>
      <c r="IQ10">
        <v>99</v>
      </c>
      <c r="IR10">
        <v>100</v>
      </c>
      <c r="IS10">
        <v>100</v>
      </c>
      <c r="IT10">
        <v>200</v>
      </c>
      <c r="IU10">
        <v>143</v>
      </c>
      <c r="IV10">
        <v>82</v>
      </c>
      <c r="IW10">
        <v>82</v>
      </c>
      <c r="IX10">
        <v>82</v>
      </c>
      <c r="IY10">
        <v>412</v>
      </c>
      <c r="IZ10">
        <v>412</v>
      </c>
      <c r="JA10">
        <v>82</v>
      </c>
      <c r="JB10">
        <v>82</v>
      </c>
      <c r="JC10">
        <v>109</v>
      </c>
      <c r="JD10">
        <v>178</v>
      </c>
      <c r="JE10">
        <v>99</v>
      </c>
      <c r="JF10">
        <v>82</v>
      </c>
      <c r="JG10">
        <v>109</v>
      </c>
      <c r="JH10">
        <v>140</v>
      </c>
      <c r="JI10">
        <v>140</v>
      </c>
      <c r="JJ10">
        <v>196</v>
      </c>
      <c r="JK10">
        <v>178</v>
      </c>
      <c r="JL10">
        <v>178</v>
      </c>
      <c r="JM10">
        <v>99</v>
      </c>
      <c r="JN10">
        <v>178</v>
      </c>
      <c r="JO10">
        <v>350</v>
      </c>
      <c r="JP10">
        <v>99</v>
      </c>
      <c r="JQ10">
        <v>99</v>
      </c>
      <c r="JR10">
        <v>99</v>
      </c>
      <c r="JS10">
        <v>392</v>
      </c>
      <c r="JT10">
        <v>97</v>
      </c>
      <c r="JU10">
        <v>99</v>
      </c>
      <c r="JV10">
        <v>761</v>
      </c>
      <c r="JW10">
        <v>178</v>
      </c>
      <c r="JX10">
        <v>124</v>
      </c>
      <c r="JY10">
        <v>103</v>
      </c>
      <c r="JZ10">
        <v>178</v>
      </c>
      <c r="KA10">
        <v>746</v>
      </c>
      <c r="KB10">
        <v>646</v>
      </c>
      <c r="KC10">
        <v>178</v>
      </c>
      <c r="KD10">
        <v>178</v>
      </c>
      <c r="KE10">
        <v>178</v>
      </c>
      <c r="KF10">
        <v>178</v>
      </c>
      <c r="KG10">
        <v>190</v>
      </c>
      <c r="KH10">
        <v>105</v>
      </c>
      <c r="KI10">
        <v>136</v>
      </c>
      <c r="KJ10">
        <v>134</v>
      </c>
      <c r="KK10">
        <v>136</v>
      </c>
      <c r="KL10">
        <v>136</v>
      </c>
      <c r="KM10">
        <v>99</v>
      </c>
      <c r="KN10">
        <v>105</v>
      </c>
      <c r="KO10">
        <v>99</v>
      </c>
      <c r="KP10">
        <v>105</v>
      </c>
      <c r="KQ10">
        <v>99</v>
      </c>
      <c r="KR10">
        <v>99</v>
      </c>
      <c r="KS10">
        <v>99</v>
      </c>
      <c r="KT10">
        <v>74</v>
      </c>
      <c r="KU10">
        <v>74</v>
      </c>
      <c r="KV10">
        <v>99</v>
      </c>
      <c r="KW10">
        <v>178</v>
      </c>
      <c r="KX10">
        <v>178</v>
      </c>
      <c r="KY10">
        <v>99</v>
      </c>
      <c r="KZ10">
        <v>104</v>
      </c>
      <c r="LA10">
        <v>178</v>
      </c>
      <c r="LB10">
        <v>178</v>
      </c>
      <c r="LC10">
        <v>211</v>
      </c>
      <c r="LD10">
        <v>196</v>
      </c>
      <c r="LE10">
        <v>69</v>
      </c>
      <c r="LF10">
        <v>69</v>
      </c>
      <c r="LG10">
        <v>144</v>
      </c>
      <c r="LH10">
        <v>144</v>
      </c>
      <c r="LI10">
        <v>103</v>
      </c>
      <c r="LJ10">
        <v>99</v>
      </c>
      <c r="LK10">
        <v>99</v>
      </c>
      <c r="LL10">
        <v>82</v>
      </c>
      <c r="LM10">
        <v>82</v>
      </c>
      <c r="LN10">
        <v>82</v>
      </c>
      <c r="LO10">
        <v>82</v>
      </c>
      <c r="LP10">
        <v>82</v>
      </c>
      <c r="LQ10">
        <v>99</v>
      </c>
      <c r="LR10">
        <v>79</v>
      </c>
      <c r="LS10">
        <v>79</v>
      </c>
      <c r="LT10">
        <v>108</v>
      </c>
      <c r="LU10">
        <v>109</v>
      </c>
      <c r="LV10">
        <v>109</v>
      </c>
      <c r="LW10">
        <v>99</v>
      </c>
      <c r="LX10">
        <v>99</v>
      </c>
      <c r="LY10">
        <v>99</v>
      </c>
      <c r="LZ10">
        <v>178</v>
      </c>
      <c r="MA10">
        <v>393</v>
      </c>
      <c r="MB10">
        <v>350</v>
      </c>
      <c r="MC10">
        <v>350</v>
      </c>
      <c r="MD10">
        <v>434</v>
      </c>
      <c r="ME10">
        <v>1283</v>
      </c>
      <c r="MF10">
        <v>351</v>
      </c>
      <c r="MG10">
        <v>140</v>
      </c>
      <c r="MH10">
        <v>140</v>
      </c>
      <c r="MI10">
        <v>140</v>
      </c>
      <c r="MJ10">
        <v>186</v>
      </c>
      <c r="MK10">
        <v>157</v>
      </c>
      <c r="ML10">
        <v>144</v>
      </c>
      <c r="MM10">
        <v>186</v>
      </c>
      <c r="MN10">
        <v>195</v>
      </c>
      <c r="MO10">
        <v>105</v>
      </c>
      <c r="MP10">
        <v>119</v>
      </c>
      <c r="MQ10">
        <v>593</v>
      </c>
      <c r="MR10">
        <v>119</v>
      </c>
      <c r="MS10">
        <v>332</v>
      </c>
      <c r="MT10">
        <v>120</v>
      </c>
      <c r="MU10">
        <v>80</v>
      </c>
      <c r="MV10">
        <v>536</v>
      </c>
      <c r="MW10">
        <v>105</v>
      </c>
      <c r="MX10">
        <v>144</v>
      </c>
      <c r="MY10">
        <v>144</v>
      </c>
      <c r="MZ10">
        <v>105</v>
      </c>
      <c r="NA10">
        <v>384</v>
      </c>
      <c r="NB10">
        <v>99</v>
      </c>
      <c r="NC10">
        <v>99</v>
      </c>
      <c r="ND10">
        <v>434</v>
      </c>
      <c r="NE10">
        <v>98</v>
      </c>
      <c r="NF10">
        <v>107</v>
      </c>
      <c r="NG10">
        <v>140</v>
      </c>
      <c r="NH10">
        <v>107</v>
      </c>
      <c r="NI10">
        <v>140</v>
      </c>
      <c r="NJ10">
        <v>99</v>
      </c>
      <c r="NK10">
        <v>99</v>
      </c>
      <c r="NL10">
        <v>178</v>
      </c>
      <c r="NM10">
        <v>103</v>
      </c>
      <c r="NN10">
        <v>103</v>
      </c>
      <c r="NO10">
        <v>103</v>
      </c>
      <c r="NP10">
        <v>120</v>
      </c>
      <c r="NQ10">
        <v>120</v>
      </c>
      <c r="NR10">
        <v>570</v>
      </c>
      <c r="NS10">
        <v>99</v>
      </c>
      <c r="NT10">
        <v>393</v>
      </c>
      <c r="NU10">
        <v>434</v>
      </c>
      <c r="NV10">
        <v>593</v>
      </c>
      <c r="NW10">
        <v>178</v>
      </c>
      <c r="NX10">
        <v>178</v>
      </c>
      <c r="NY10">
        <v>178</v>
      </c>
      <c r="NZ10">
        <v>178</v>
      </c>
      <c r="OA10">
        <v>136</v>
      </c>
      <c r="OB10">
        <v>122</v>
      </c>
      <c r="OC10">
        <v>82</v>
      </c>
      <c r="OD10">
        <v>82</v>
      </c>
      <c r="OE10">
        <v>105</v>
      </c>
      <c r="OF10">
        <v>434</v>
      </c>
      <c r="OG10">
        <v>350</v>
      </c>
      <c r="OH10">
        <v>99</v>
      </c>
      <c r="OI10">
        <v>99</v>
      </c>
      <c r="OJ10">
        <v>99</v>
      </c>
      <c r="OK10">
        <v>99</v>
      </c>
      <c r="OL10">
        <v>99</v>
      </c>
      <c r="OM10">
        <v>99</v>
      </c>
      <c r="ON10">
        <v>200</v>
      </c>
      <c r="OO10">
        <v>200</v>
      </c>
      <c r="OP10">
        <v>119</v>
      </c>
      <c r="OQ10">
        <v>105</v>
      </c>
      <c r="OR10">
        <v>105</v>
      </c>
      <c r="OS10">
        <v>195</v>
      </c>
      <c r="OT10">
        <v>710</v>
      </c>
      <c r="OU10">
        <v>82</v>
      </c>
      <c r="OV10">
        <v>80</v>
      </c>
      <c r="OW10">
        <v>107</v>
      </c>
      <c r="OX10">
        <v>140</v>
      </c>
      <c r="OY10">
        <v>136</v>
      </c>
      <c r="OZ10">
        <v>136</v>
      </c>
      <c r="PA10">
        <v>104</v>
      </c>
      <c r="PB10">
        <v>196</v>
      </c>
      <c r="PC10">
        <v>80</v>
      </c>
      <c r="PD10">
        <v>562</v>
      </c>
      <c r="PE10">
        <v>120</v>
      </c>
      <c r="PF10">
        <v>267</v>
      </c>
      <c r="PG10">
        <v>351</v>
      </c>
      <c r="PH10">
        <v>593</v>
      </c>
      <c r="PI10">
        <v>178</v>
      </c>
      <c r="PJ10">
        <v>99</v>
      </c>
      <c r="PK10">
        <v>134</v>
      </c>
      <c r="PL10">
        <v>103</v>
      </c>
      <c r="PM10">
        <v>103</v>
      </c>
      <c r="PN10">
        <v>710</v>
      </c>
      <c r="PO10">
        <v>710</v>
      </c>
      <c r="PP10">
        <v>710</v>
      </c>
      <c r="PQ10">
        <v>185</v>
      </c>
      <c r="PR10">
        <v>178</v>
      </c>
      <c r="PS10">
        <v>99</v>
      </c>
      <c r="PT10">
        <v>178</v>
      </c>
      <c r="PU10">
        <v>178</v>
      </c>
      <c r="PV10">
        <v>119</v>
      </c>
      <c r="PW10">
        <v>120</v>
      </c>
      <c r="PX10">
        <v>136</v>
      </c>
      <c r="PY10">
        <v>434</v>
      </c>
      <c r="PZ10">
        <v>512</v>
      </c>
      <c r="QA10">
        <v>99</v>
      </c>
      <c r="QB10">
        <v>80</v>
      </c>
      <c r="QC10">
        <v>269</v>
      </c>
      <c r="QD10">
        <v>178</v>
      </c>
      <c r="QE10">
        <v>140</v>
      </c>
      <c r="QF10">
        <v>136</v>
      </c>
      <c r="QG10">
        <v>731</v>
      </c>
      <c r="QH10">
        <v>731</v>
      </c>
      <c r="QI10">
        <v>660</v>
      </c>
      <c r="QJ10">
        <v>660</v>
      </c>
      <c r="QK10">
        <v>136</v>
      </c>
      <c r="QL10">
        <v>99</v>
      </c>
      <c r="QM10">
        <v>99</v>
      </c>
      <c r="QN10">
        <v>350</v>
      </c>
      <c r="QO10">
        <v>350</v>
      </c>
      <c r="QP10">
        <v>99</v>
      </c>
      <c r="QQ10">
        <v>178</v>
      </c>
      <c r="QR10">
        <v>99</v>
      </c>
      <c r="QS10">
        <v>109</v>
      </c>
      <c r="QT10">
        <v>143</v>
      </c>
      <c r="QU10">
        <v>434</v>
      </c>
      <c r="QV10">
        <v>178</v>
      </c>
      <c r="QW10">
        <v>99</v>
      </c>
      <c r="QX10">
        <v>140</v>
      </c>
      <c r="QY10">
        <v>190</v>
      </c>
      <c r="QZ10">
        <v>195</v>
      </c>
      <c r="RA10">
        <v>135</v>
      </c>
      <c r="RB10">
        <v>195</v>
      </c>
      <c r="RC10">
        <v>710</v>
      </c>
      <c r="RD10">
        <v>136</v>
      </c>
      <c r="RE10">
        <v>105</v>
      </c>
      <c r="RF10">
        <v>124</v>
      </c>
      <c r="RG10">
        <v>99</v>
      </c>
      <c r="RH10">
        <v>353</v>
      </c>
      <c r="RI10">
        <v>178</v>
      </c>
      <c r="RJ10">
        <v>99</v>
      </c>
      <c r="RK10">
        <v>136</v>
      </c>
      <c r="RL10">
        <v>99</v>
      </c>
      <c r="RM10">
        <v>187</v>
      </c>
      <c r="RN10">
        <v>99</v>
      </c>
      <c r="RO10">
        <v>761</v>
      </c>
      <c r="RP10">
        <v>761</v>
      </c>
      <c r="RQ10">
        <v>99</v>
      </c>
      <c r="RR10">
        <v>99</v>
      </c>
      <c r="RS10">
        <v>99</v>
      </c>
      <c r="RT10">
        <v>99</v>
      </c>
      <c r="RU10">
        <v>136</v>
      </c>
      <c r="RV10">
        <v>124</v>
      </c>
      <c r="RW10">
        <v>99</v>
      </c>
      <c r="RX10">
        <v>99</v>
      </c>
      <c r="RY10">
        <v>136</v>
      </c>
      <c r="RZ10">
        <v>105</v>
      </c>
      <c r="SA10">
        <v>136</v>
      </c>
      <c r="SB10">
        <v>100</v>
      </c>
      <c r="SC10">
        <v>99</v>
      </c>
      <c r="SD10">
        <v>178</v>
      </c>
      <c r="SE10">
        <v>99</v>
      </c>
      <c r="SF10">
        <v>99</v>
      </c>
      <c r="SG10">
        <v>99</v>
      </c>
      <c r="SH10">
        <v>99</v>
      </c>
      <c r="SI10">
        <v>82</v>
      </c>
      <c r="SJ10">
        <v>80</v>
      </c>
      <c r="SK10">
        <v>99</v>
      </c>
      <c r="SL10">
        <v>99</v>
      </c>
      <c r="SM10">
        <v>95</v>
      </c>
      <c r="SN10">
        <v>710</v>
      </c>
      <c r="SO10">
        <v>710</v>
      </c>
      <c r="SP10">
        <v>350</v>
      </c>
      <c r="SQ10">
        <v>120</v>
      </c>
      <c r="SR10">
        <v>104</v>
      </c>
      <c r="SS10">
        <v>710</v>
      </c>
      <c r="ST10">
        <v>710</v>
      </c>
      <c r="SU10">
        <v>99</v>
      </c>
      <c r="SV10">
        <v>99</v>
      </c>
      <c r="SW10">
        <v>80</v>
      </c>
      <c r="SX10">
        <v>178</v>
      </c>
      <c r="SY10">
        <v>269</v>
      </c>
      <c r="SZ10">
        <v>325</v>
      </c>
      <c r="TA10">
        <v>350</v>
      </c>
      <c r="TB10">
        <v>119</v>
      </c>
      <c r="TC10">
        <v>120</v>
      </c>
      <c r="TD10">
        <v>140</v>
      </c>
      <c r="TE10">
        <v>140</v>
      </c>
      <c r="TF10">
        <v>99</v>
      </c>
      <c r="TG10">
        <v>105</v>
      </c>
      <c r="TH10">
        <v>100</v>
      </c>
      <c r="TI10">
        <v>120</v>
      </c>
      <c r="TJ10">
        <v>139</v>
      </c>
      <c r="TK10">
        <v>135</v>
      </c>
      <c r="TL10">
        <v>190</v>
      </c>
      <c r="TM10">
        <v>99</v>
      </c>
      <c r="TN10">
        <v>99</v>
      </c>
      <c r="TO10">
        <v>1283</v>
      </c>
      <c r="TP10">
        <v>537</v>
      </c>
      <c r="TQ10">
        <v>178</v>
      </c>
      <c r="TR10">
        <v>178</v>
      </c>
      <c r="TS10">
        <v>178</v>
      </c>
      <c r="TT10">
        <v>105</v>
      </c>
      <c r="TU10">
        <v>105</v>
      </c>
      <c r="TV10">
        <v>136</v>
      </c>
      <c r="TW10">
        <v>105</v>
      </c>
      <c r="TX10">
        <v>82</v>
      </c>
      <c r="TY10">
        <v>82</v>
      </c>
      <c r="TZ10">
        <v>119</v>
      </c>
      <c r="UA10">
        <v>332</v>
      </c>
      <c r="UB10">
        <v>109</v>
      </c>
      <c r="UC10">
        <v>82</v>
      </c>
      <c r="UD10">
        <v>186</v>
      </c>
      <c r="UE10">
        <v>105</v>
      </c>
      <c r="UF10">
        <v>434</v>
      </c>
      <c r="UG10">
        <v>1577</v>
      </c>
      <c r="UH10">
        <v>105</v>
      </c>
      <c r="UI10">
        <v>105</v>
      </c>
      <c r="UJ10">
        <v>267</v>
      </c>
      <c r="UK10">
        <v>269</v>
      </c>
      <c r="UL10">
        <v>269</v>
      </c>
      <c r="UM10">
        <v>593</v>
      </c>
      <c r="UN10">
        <v>178</v>
      </c>
      <c r="UO10">
        <v>136</v>
      </c>
      <c r="UP10">
        <v>467</v>
      </c>
      <c r="UQ10">
        <v>63</v>
      </c>
      <c r="UR10">
        <v>195</v>
      </c>
      <c r="US10">
        <v>178</v>
      </c>
      <c r="UT10">
        <v>125</v>
      </c>
      <c r="UU10">
        <v>125</v>
      </c>
      <c r="UV10">
        <v>99</v>
      </c>
      <c r="UW10">
        <v>95</v>
      </c>
      <c r="UX10">
        <v>99</v>
      </c>
      <c r="UY10">
        <v>178</v>
      </c>
      <c r="UZ10">
        <v>178</v>
      </c>
      <c r="VA10">
        <v>105</v>
      </c>
      <c r="VB10">
        <v>99</v>
      </c>
      <c r="VC10">
        <v>99</v>
      </c>
      <c r="VD10">
        <v>105</v>
      </c>
      <c r="VE10">
        <v>105</v>
      </c>
      <c r="VF10">
        <v>105</v>
      </c>
      <c r="VG10">
        <v>710</v>
      </c>
      <c r="VH10">
        <v>710</v>
      </c>
      <c r="VI10">
        <v>79</v>
      </c>
      <c r="VJ10">
        <v>79</v>
      </c>
      <c r="VK10">
        <v>105</v>
      </c>
      <c r="VL10">
        <v>178</v>
      </c>
      <c r="VM10">
        <v>186</v>
      </c>
      <c r="VN10">
        <v>178</v>
      </c>
      <c r="VO10">
        <v>685</v>
      </c>
    </row>
    <row r="11" spans="1:587" x14ac:dyDescent="0.3">
      <c r="A11" t="s">
        <v>3006</v>
      </c>
      <c r="B11" cm="1">
        <f t="array" ref="B11:VO11">1*TRANSPOSE(_xlfn._xlws.FILTER(branch!$I$2:$I$591,branch!$D$2:$D$591&lt;&gt;0))</f>
        <v>99</v>
      </c>
      <c r="C11">
        <v>99</v>
      </c>
      <c r="D11">
        <v>178</v>
      </c>
      <c r="E11">
        <v>145</v>
      </c>
      <c r="F11">
        <v>536</v>
      </c>
      <c r="G11">
        <v>393</v>
      </c>
      <c r="H11">
        <v>393</v>
      </c>
      <c r="I11">
        <v>593</v>
      </c>
      <c r="J11">
        <v>434</v>
      </c>
      <c r="K11">
        <v>99</v>
      </c>
      <c r="L11">
        <v>140</v>
      </c>
      <c r="M11">
        <v>103</v>
      </c>
      <c r="N11">
        <v>109</v>
      </c>
      <c r="O11">
        <v>105</v>
      </c>
      <c r="P11">
        <v>99</v>
      </c>
      <c r="Q11">
        <v>187</v>
      </c>
      <c r="R11">
        <v>187</v>
      </c>
      <c r="S11">
        <v>187</v>
      </c>
      <c r="T11">
        <v>104</v>
      </c>
      <c r="U11">
        <v>112</v>
      </c>
      <c r="V11">
        <v>105</v>
      </c>
      <c r="W11">
        <v>82</v>
      </c>
      <c r="X11">
        <v>82</v>
      </c>
      <c r="Y11">
        <v>105</v>
      </c>
      <c r="Z11">
        <v>105</v>
      </c>
      <c r="AA11">
        <v>99</v>
      </c>
      <c r="AB11">
        <v>178</v>
      </c>
      <c r="AC11">
        <v>434</v>
      </c>
      <c r="AD11">
        <v>434</v>
      </c>
      <c r="AE11">
        <v>34</v>
      </c>
      <c r="AF11">
        <v>120</v>
      </c>
      <c r="AG11">
        <v>120</v>
      </c>
      <c r="AH11">
        <v>104</v>
      </c>
      <c r="AI11">
        <v>178</v>
      </c>
      <c r="AJ11">
        <v>178</v>
      </c>
      <c r="AK11">
        <v>178</v>
      </c>
      <c r="AL11">
        <v>178</v>
      </c>
      <c r="AM11">
        <v>120</v>
      </c>
      <c r="AN11">
        <v>178</v>
      </c>
      <c r="AO11">
        <v>99</v>
      </c>
      <c r="AP11">
        <v>178</v>
      </c>
      <c r="AQ11">
        <v>140</v>
      </c>
      <c r="AR11">
        <v>140</v>
      </c>
      <c r="AS11">
        <v>99</v>
      </c>
      <c r="AT11">
        <v>105</v>
      </c>
      <c r="AU11">
        <v>99</v>
      </c>
      <c r="AV11">
        <v>96</v>
      </c>
      <c r="AW11">
        <v>96</v>
      </c>
      <c r="AX11">
        <v>178</v>
      </c>
      <c r="AY11">
        <v>178</v>
      </c>
      <c r="AZ11">
        <v>120</v>
      </c>
      <c r="BA11">
        <v>120</v>
      </c>
      <c r="BB11">
        <v>178</v>
      </c>
      <c r="BC11">
        <v>178</v>
      </c>
      <c r="BD11">
        <v>178</v>
      </c>
      <c r="BE11">
        <v>105</v>
      </c>
      <c r="BF11">
        <v>99</v>
      </c>
      <c r="BG11">
        <v>99</v>
      </c>
      <c r="BH11">
        <v>99</v>
      </c>
      <c r="BI11">
        <v>82</v>
      </c>
      <c r="BJ11">
        <v>82</v>
      </c>
      <c r="BK11">
        <v>136</v>
      </c>
      <c r="BL11">
        <v>140</v>
      </c>
      <c r="BM11">
        <v>130</v>
      </c>
      <c r="BN11">
        <v>99</v>
      </c>
      <c r="BO11">
        <v>122</v>
      </c>
      <c r="BP11">
        <v>196</v>
      </c>
      <c r="BQ11">
        <v>178</v>
      </c>
      <c r="BR11">
        <v>136</v>
      </c>
      <c r="BS11">
        <v>178</v>
      </c>
      <c r="BT11">
        <v>124</v>
      </c>
      <c r="BU11">
        <v>178</v>
      </c>
      <c r="BV11">
        <v>178</v>
      </c>
      <c r="BW11">
        <v>178</v>
      </c>
      <c r="BX11">
        <v>99</v>
      </c>
      <c r="BY11">
        <v>136</v>
      </c>
      <c r="BZ11">
        <v>195</v>
      </c>
      <c r="CA11">
        <v>178</v>
      </c>
      <c r="CB11">
        <v>178</v>
      </c>
      <c r="CC11">
        <v>192</v>
      </c>
      <c r="CD11">
        <v>187</v>
      </c>
      <c r="CE11">
        <v>120</v>
      </c>
      <c r="CF11">
        <v>187</v>
      </c>
      <c r="CG11">
        <v>187</v>
      </c>
      <c r="CH11">
        <v>187</v>
      </c>
      <c r="CI11">
        <v>119</v>
      </c>
      <c r="CJ11">
        <v>119</v>
      </c>
      <c r="CK11">
        <v>570</v>
      </c>
      <c r="CL11">
        <v>570</v>
      </c>
      <c r="CM11">
        <v>140</v>
      </c>
      <c r="CN11">
        <v>140</v>
      </c>
      <c r="CO11">
        <v>842</v>
      </c>
      <c r="CP11">
        <v>105</v>
      </c>
      <c r="CQ11">
        <v>109</v>
      </c>
      <c r="CR11">
        <v>109</v>
      </c>
      <c r="CS11">
        <v>82</v>
      </c>
      <c r="CT11">
        <v>82</v>
      </c>
      <c r="CU11">
        <v>75</v>
      </c>
      <c r="CV11">
        <v>75</v>
      </c>
      <c r="CW11">
        <v>178</v>
      </c>
      <c r="CX11">
        <v>178</v>
      </c>
      <c r="CY11">
        <v>178</v>
      </c>
      <c r="CZ11">
        <v>178</v>
      </c>
      <c r="DA11">
        <v>82</v>
      </c>
      <c r="DB11">
        <v>82</v>
      </c>
      <c r="DC11">
        <v>710</v>
      </c>
      <c r="DD11">
        <v>69</v>
      </c>
      <c r="DE11">
        <v>70</v>
      </c>
      <c r="DF11">
        <v>710</v>
      </c>
      <c r="DG11">
        <v>710</v>
      </c>
      <c r="DH11">
        <v>710</v>
      </c>
      <c r="DI11">
        <v>144</v>
      </c>
      <c r="DJ11">
        <v>63</v>
      </c>
      <c r="DK11">
        <v>99</v>
      </c>
      <c r="DL11">
        <v>570</v>
      </c>
      <c r="DM11">
        <v>570</v>
      </c>
      <c r="DN11">
        <v>178</v>
      </c>
      <c r="DO11">
        <v>200</v>
      </c>
      <c r="DP11">
        <v>109</v>
      </c>
      <c r="DQ11">
        <v>109</v>
      </c>
      <c r="DR11">
        <v>79</v>
      </c>
      <c r="DS11">
        <v>79</v>
      </c>
      <c r="DT11">
        <v>434</v>
      </c>
      <c r="DU11">
        <v>740</v>
      </c>
      <c r="DV11">
        <v>228</v>
      </c>
      <c r="DW11">
        <v>115</v>
      </c>
      <c r="DX11">
        <v>195</v>
      </c>
      <c r="DY11">
        <v>124</v>
      </c>
      <c r="DZ11">
        <v>80</v>
      </c>
      <c r="EA11">
        <v>120</v>
      </c>
      <c r="EB11">
        <v>105</v>
      </c>
      <c r="EC11">
        <v>178</v>
      </c>
      <c r="ED11">
        <v>178</v>
      </c>
      <c r="EE11">
        <v>178</v>
      </c>
      <c r="EF11">
        <v>69</v>
      </c>
      <c r="EG11">
        <v>70</v>
      </c>
      <c r="EH11">
        <v>69</v>
      </c>
      <c r="EI11">
        <v>69</v>
      </c>
      <c r="EJ11">
        <v>132</v>
      </c>
      <c r="EK11">
        <v>132</v>
      </c>
      <c r="EL11">
        <v>710</v>
      </c>
      <c r="EM11">
        <v>710</v>
      </c>
      <c r="EN11">
        <v>66</v>
      </c>
      <c r="EO11">
        <v>66</v>
      </c>
      <c r="EP11">
        <v>710</v>
      </c>
      <c r="EQ11">
        <v>109</v>
      </c>
      <c r="ER11">
        <v>109</v>
      </c>
      <c r="ES11">
        <v>82</v>
      </c>
      <c r="ET11">
        <v>82</v>
      </c>
      <c r="EU11">
        <v>144</v>
      </c>
      <c r="EV11">
        <v>144</v>
      </c>
      <c r="EW11">
        <v>710</v>
      </c>
      <c r="EX11">
        <v>178</v>
      </c>
      <c r="EY11">
        <v>124</v>
      </c>
      <c r="EZ11">
        <v>99</v>
      </c>
      <c r="FA11">
        <v>99</v>
      </c>
      <c r="FB11">
        <v>99</v>
      </c>
      <c r="FC11">
        <v>761</v>
      </c>
      <c r="FD11">
        <v>187</v>
      </c>
      <c r="FE11">
        <v>761</v>
      </c>
      <c r="FF11">
        <v>761</v>
      </c>
      <c r="FG11">
        <v>761</v>
      </c>
      <c r="FH11">
        <v>178</v>
      </c>
      <c r="FI11">
        <v>178</v>
      </c>
      <c r="FJ11">
        <v>115</v>
      </c>
      <c r="FK11">
        <v>434</v>
      </c>
      <c r="FL11">
        <v>434</v>
      </c>
      <c r="FM11">
        <v>555</v>
      </c>
      <c r="FN11">
        <v>123</v>
      </c>
      <c r="FO11">
        <v>178</v>
      </c>
      <c r="FP11">
        <v>130</v>
      </c>
      <c r="FQ11">
        <v>178</v>
      </c>
      <c r="FR11">
        <v>103</v>
      </c>
      <c r="FS11">
        <v>238</v>
      </c>
      <c r="FT11">
        <v>434</v>
      </c>
      <c r="FU11">
        <v>178</v>
      </c>
      <c r="FV11">
        <v>132</v>
      </c>
      <c r="FW11">
        <v>178</v>
      </c>
      <c r="FX11">
        <v>144</v>
      </c>
      <c r="FY11">
        <v>144</v>
      </c>
      <c r="FZ11">
        <v>140</v>
      </c>
      <c r="GA11">
        <v>140</v>
      </c>
      <c r="GB11">
        <v>136</v>
      </c>
      <c r="GC11">
        <v>178</v>
      </c>
      <c r="GD11">
        <v>178</v>
      </c>
      <c r="GE11">
        <v>178</v>
      </c>
      <c r="GF11">
        <v>196</v>
      </c>
      <c r="GG11">
        <v>178</v>
      </c>
      <c r="GH11">
        <v>178</v>
      </c>
      <c r="GI11">
        <v>178</v>
      </c>
      <c r="GJ11">
        <v>130</v>
      </c>
      <c r="GK11">
        <v>99</v>
      </c>
      <c r="GL11">
        <v>136</v>
      </c>
      <c r="GM11">
        <v>178</v>
      </c>
      <c r="GN11">
        <v>105</v>
      </c>
      <c r="GO11">
        <v>187</v>
      </c>
      <c r="GP11">
        <v>187</v>
      </c>
      <c r="GQ11">
        <v>187</v>
      </c>
      <c r="GR11">
        <v>105</v>
      </c>
      <c r="GS11">
        <v>130</v>
      </c>
      <c r="GT11">
        <v>434</v>
      </c>
      <c r="GU11">
        <v>105</v>
      </c>
      <c r="GV11">
        <v>105</v>
      </c>
      <c r="GW11">
        <v>593</v>
      </c>
      <c r="GX11">
        <v>119</v>
      </c>
      <c r="GY11">
        <v>178</v>
      </c>
      <c r="GZ11">
        <v>120</v>
      </c>
      <c r="HA11">
        <v>178</v>
      </c>
      <c r="HB11">
        <v>178</v>
      </c>
      <c r="HC11">
        <v>178</v>
      </c>
      <c r="HD11">
        <v>646</v>
      </c>
      <c r="HE11">
        <v>161</v>
      </c>
      <c r="HF11">
        <v>161</v>
      </c>
      <c r="HG11">
        <v>434</v>
      </c>
      <c r="HH11">
        <v>434</v>
      </c>
      <c r="HI11">
        <v>187</v>
      </c>
      <c r="HJ11">
        <v>124</v>
      </c>
      <c r="HK11">
        <v>99</v>
      </c>
      <c r="HL11">
        <v>105</v>
      </c>
      <c r="HM11">
        <v>63</v>
      </c>
      <c r="HN11">
        <v>178</v>
      </c>
      <c r="HO11">
        <v>187</v>
      </c>
      <c r="HP11">
        <v>136</v>
      </c>
      <c r="HQ11">
        <v>187</v>
      </c>
      <c r="HR11">
        <v>187</v>
      </c>
      <c r="HS11">
        <v>99</v>
      </c>
      <c r="HT11">
        <v>99</v>
      </c>
      <c r="HU11">
        <v>105</v>
      </c>
      <c r="HV11">
        <v>178</v>
      </c>
      <c r="HW11">
        <v>178</v>
      </c>
      <c r="HX11">
        <v>1577</v>
      </c>
      <c r="HY11">
        <v>1577</v>
      </c>
      <c r="HZ11">
        <v>143</v>
      </c>
      <c r="IA11">
        <v>104</v>
      </c>
      <c r="IB11">
        <v>82</v>
      </c>
      <c r="IC11">
        <v>82</v>
      </c>
      <c r="ID11">
        <v>82</v>
      </c>
      <c r="IE11">
        <v>82</v>
      </c>
      <c r="IF11">
        <v>186</v>
      </c>
      <c r="IG11">
        <v>124</v>
      </c>
      <c r="IH11">
        <v>136</v>
      </c>
      <c r="II11">
        <v>99</v>
      </c>
      <c r="IJ11">
        <v>178</v>
      </c>
      <c r="IK11">
        <v>178</v>
      </c>
      <c r="IL11">
        <v>99</v>
      </c>
      <c r="IM11">
        <v>99</v>
      </c>
      <c r="IN11">
        <v>105</v>
      </c>
      <c r="IO11">
        <v>105</v>
      </c>
      <c r="IP11">
        <v>99</v>
      </c>
      <c r="IQ11">
        <v>99</v>
      </c>
      <c r="IR11">
        <v>100</v>
      </c>
      <c r="IS11">
        <v>100</v>
      </c>
      <c r="IT11">
        <v>200</v>
      </c>
      <c r="IU11">
        <v>143</v>
      </c>
      <c r="IV11">
        <v>82</v>
      </c>
      <c r="IW11">
        <v>82</v>
      </c>
      <c r="IX11">
        <v>82</v>
      </c>
      <c r="IY11">
        <v>412</v>
      </c>
      <c r="IZ11">
        <v>412</v>
      </c>
      <c r="JA11">
        <v>82</v>
      </c>
      <c r="JB11">
        <v>82</v>
      </c>
      <c r="JC11">
        <v>109</v>
      </c>
      <c r="JD11">
        <v>178</v>
      </c>
      <c r="JE11">
        <v>99</v>
      </c>
      <c r="JF11">
        <v>82</v>
      </c>
      <c r="JG11">
        <v>109</v>
      </c>
      <c r="JH11">
        <v>140</v>
      </c>
      <c r="JI11">
        <v>140</v>
      </c>
      <c r="JJ11">
        <v>196</v>
      </c>
      <c r="JK11">
        <v>178</v>
      </c>
      <c r="JL11">
        <v>178</v>
      </c>
      <c r="JM11">
        <v>99</v>
      </c>
      <c r="JN11">
        <v>178</v>
      </c>
      <c r="JO11">
        <v>350</v>
      </c>
      <c r="JP11">
        <v>99</v>
      </c>
      <c r="JQ11">
        <v>99</v>
      </c>
      <c r="JR11">
        <v>99</v>
      </c>
      <c r="JS11">
        <v>392</v>
      </c>
      <c r="JT11">
        <v>97</v>
      </c>
      <c r="JU11">
        <v>99</v>
      </c>
      <c r="JV11">
        <v>761</v>
      </c>
      <c r="JW11">
        <v>178</v>
      </c>
      <c r="JX11">
        <v>124</v>
      </c>
      <c r="JY11">
        <v>103</v>
      </c>
      <c r="JZ11">
        <v>178</v>
      </c>
      <c r="KA11">
        <v>746</v>
      </c>
      <c r="KB11">
        <v>646</v>
      </c>
      <c r="KC11">
        <v>178</v>
      </c>
      <c r="KD11">
        <v>178</v>
      </c>
      <c r="KE11">
        <v>178</v>
      </c>
      <c r="KF11">
        <v>178</v>
      </c>
      <c r="KG11">
        <v>190</v>
      </c>
      <c r="KH11">
        <v>105</v>
      </c>
      <c r="KI11">
        <v>136</v>
      </c>
      <c r="KJ11">
        <v>134</v>
      </c>
      <c r="KK11">
        <v>136</v>
      </c>
      <c r="KL11">
        <v>136</v>
      </c>
      <c r="KM11">
        <v>99</v>
      </c>
      <c r="KN11">
        <v>105</v>
      </c>
      <c r="KO11">
        <v>99</v>
      </c>
      <c r="KP11">
        <v>105</v>
      </c>
      <c r="KQ11">
        <v>99</v>
      </c>
      <c r="KR11">
        <v>99</v>
      </c>
      <c r="KS11">
        <v>99</v>
      </c>
      <c r="KT11">
        <v>74</v>
      </c>
      <c r="KU11">
        <v>74</v>
      </c>
      <c r="KV11">
        <v>99</v>
      </c>
      <c r="KW11">
        <v>178</v>
      </c>
      <c r="KX11">
        <v>178</v>
      </c>
      <c r="KY11">
        <v>99</v>
      </c>
      <c r="KZ11">
        <v>104</v>
      </c>
      <c r="LA11">
        <v>178</v>
      </c>
      <c r="LB11">
        <v>178</v>
      </c>
      <c r="LC11">
        <v>211</v>
      </c>
      <c r="LD11">
        <v>196</v>
      </c>
      <c r="LE11">
        <v>69</v>
      </c>
      <c r="LF11">
        <v>69</v>
      </c>
      <c r="LG11">
        <v>144</v>
      </c>
      <c r="LH11">
        <v>144</v>
      </c>
      <c r="LI11">
        <v>103</v>
      </c>
      <c r="LJ11">
        <v>99</v>
      </c>
      <c r="LK11">
        <v>99</v>
      </c>
      <c r="LL11">
        <v>82</v>
      </c>
      <c r="LM11">
        <v>82</v>
      </c>
      <c r="LN11">
        <v>82</v>
      </c>
      <c r="LO11">
        <v>82</v>
      </c>
      <c r="LP11">
        <v>82</v>
      </c>
      <c r="LQ11">
        <v>99</v>
      </c>
      <c r="LR11">
        <v>79</v>
      </c>
      <c r="LS11">
        <v>79</v>
      </c>
      <c r="LT11">
        <v>108</v>
      </c>
      <c r="LU11">
        <v>109</v>
      </c>
      <c r="LV11">
        <v>109</v>
      </c>
      <c r="LW11">
        <v>99</v>
      </c>
      <c r="LX11">
        <v>99</v>
      </c>
      <c r="LY11">
        <v>99</v>
      </c>
      <c r="LZ11">
        <v>178</v>
      </c>
      <c r="MA11">
        <v>393</v>
      </c>
      <c r="MB11">
        <v>350</v>
      </c>
      <c r="MC11">
        <v>350</v>
      </c>
      <c r="MD11">
        <v>434</v>
      </c>
      <c r="ME11">
        <v>1283</v>
      </c>
      <c r="MF11">
        <v>351</v>
      </c>
      <c r="MG11">
        <v>140</v>
      </c>
      <c r="MH11">
        <v>140</v>
      </c>
      <c r="MI11">
        <v>140</v>
      </c>
      <c r="MJ11">
        <v>186</v>
      </c>
      <c r="MK11">
        <v>157</v>
      </c>
      <c r="ML11">
        <v>144</v>
      </c>
      <c r="MM11">
        <v>186</v>
      </c>
      <c r="MN11">
        <v>195</v>
      </c>
      <c r="MO11">
        <v>105</v>
      </c>
      <c r="MP11">
        <v>119</v>
      </c>
      <c r="MQ11">
        <v>593</v>
      </c>
      <c r="MR11">
        <v>119</v>
      </c>
      <c r="MS11">
        <v>332</v>
      </c>
      <c r="MT11">
        <v>120</v>
      </c>
      <c r="MU11">
        <v>80</v>
      </c>
      <c r="MV11">
        <v>536</v>
      </c>
      <c r="MW11">
        <v>105</v>
      </c>
      <c r="MX11">
        <v>144</v>
      </c>
      <c r="MY11">
        <v>144</v>
      </c>
      <c r="MZ11">
        <v>105</v>
      </c>
      <c r="NA11">
        <v>384</v>
      </c>
      <c r="NB11">
        <v>99</v>
      </c>
      <c r="NC11">
        <v>99</v>
      </c>
      <c r="ND11">
        <v>434</v>
      </c>
      <c r="NE11">
        <v>98</v>
      </c>
      <c r="NF11">
        <v>107</v>
      </c>
      <c r="NG11">
        <v>140</v>
      </c>
      <c r="NH11">
        <v>107</v>
      </c>
      <c r="NI11">
        <v>140</v>
      </c>
      <c r="NJ11">
        <v>99</v>
      </c>
      <c r="NK11">
        <v>99</v>
      </c>
      <c r="NL11">
        <v>178</v>
      </c>
      <c r="NM11">
        <v>103</v>
      </c>
      <c r="NN11">
        <v>103</v>
      </c>
      <c r="NO11">
        <v>103</v>
      </c>
      <c r="NP11">
        <v>120</v>
      </c>
      <c r="NQ11">
        <v>120</v>
      </c>
      <c r="NR11">
        <v>570</v>
      </c>
      <c r="NS11">
        <v>99</v>
      </c>
      <c r="NT11">
        <v>393</v>
      </c>
      <c r="NU11">
        <v>434</v>
      </c>
      <c r="NV11">
        <v>593</v>
      </c>
      <c r="NW11">
        <v>178</v>
      </c>
      <c r="NX11">
        <v>178</v>
      </c>
      <c r="NY11">
        <v>178</v>
      </c>
      <c r="NZ11">
        <v>178</v>
      </c>
      <c r="OA11">
        <v>136</v>
      </c>
      <c r="OB11">
        <v>122</v>
      </c>
      <c r="OC11">
        <v>82</v>
      </c>
      <c r="OD11">
        <v>82</v>
      </c>
      <c r="OE11">
        <v>105</v>
      </c>
      <c r="OF11">
        <v>434</v>
      </c>
      <c r="OG11">
        <v>350</v>
      </c>
      <c r="OH11">
        <v>99</v>
      </c>
      <c r="OI11">
        <v>99</v>
      </c>
      <c r="OJ11">
        <v>99</v>
      </c>
      <c r="OK11">
        <v>99</v>
      </c>
      <c r="OL11">
        <v>99</v>
      </c>
      <c r="OM11">
        <v>99</v>
      </c>
      <c r="ON11">
        <v>200</v>
      </c>
      <c r="OO11">
        <v>200</v>
      </c>
      <c r="OP11">
        <v>119</v>
      </c>
      <c r="OQ11">
        <v>105</v>
      </c>
      <c r="OR11">
        <v>105</v>
      </c>
      <c r="OS11">
        <v>195</v>
      </c>
      <c r="OT11">
        <v>710</v>
      </c>
      <c r="OU11">
        <v>82</v>
      </c>
      <c r="OV11">
        <v>80</v>
      </c>
      <c r="OW11">
        <v>107</v>
      </c>
      <c r="OX11">
        <v>140</v>
      </c>
      <c r="OY11">
        <v>136</v>
      </c>
      <c r="OZ11">
        <v>136</v>
      </c>
      <c r="PA11">
        <v>104</v>
      </c>
      <c r="PB11">
        <v>196</v>
      </c>
      <c r="PC11">
        <v>80</v>
      </c>
      <c r="PD11">
        <v>562</v>
      </c>
      <c r="PE11">
        <v>120</v>
      </c>
      <c r="PF11">
        <v>267</v>
      </c>
      <c r="PG11">
        <v>351</v>
      </c>
      <c r="PH11">
        <v>593</v>
      </c>
      <c r="PI11">
        <v>178</v>
      </c>
      <c r="PJ11">
        <v>99</v>
      </c>
      <c r="PK11">
        <v>134</v>
      </c>
      <c r="PL11">
        <v>103</v>
      </c>
      <c r="PM11">
        <v>103</v>
      </c>
      <c r="PN11">
        <v>710</v>
      </c>
      <c r="PO11">
        <v>710</v>
      </c>
      <c r="PP11">
        <v>710</v>
      </c>
      <c r="PQ11">
        <v>185</v>
      </c>
      <c r="PR11">
        <v>178</v>
      </c>
      <c r="PS11">
        <v>99</v>
      </c>
      <c r="PT11">
        <v>178</v>
      </c>
      <c r="PU11">
        <v>178</v>
      </c>
      <c r="PV11">
        <v>119</v>
      </c>
      <c r="PW11">
        <v>120</v>
      </c>
      <c r="PX11">
        <v>136</v>
      </c>
      <c r="PY11">
        <v>434</v>
      </c>
      <c r="PZ11">
        <v>512</v>
      </c>
      <c r="QA11">
        <v>99</v>
      </c>
      <c r="QB11">
        <v>80</v>
      </c>
      <c r="QC11">
        <v>269</v>
      </c>
      <c r="QD11">
        <v>178</v>
      </c>
      <c r="QE11">
        <v>140</v>
      </c>
      <c r="QF11">
        <v>136</v>
      </c>
      <c r="QG11">
        <v>731</v>
      </c>
      <c r="QH11">
        <v>731</v>
      </c>
      <c r="QI11">
        <v>660</v>
      </c>
      <c r="QJ11">
        <v>660</v>
      </c>
      <c r="QK11">
        <v>136</v>
      </c>
      <c r="QL11">
        <v>99</v>
      </c>
      <c r="QM11">
        <v>99</v>
      </c>
      <c r="QN11">
        <v>350</v>
      </c>
      <c r="QO11">
        <v>350</v>
      </c>
      <c r="QP11">
        <v>99</v>
      </c>
      <c r="QQ11">
        <v>178</v>
      </c>
      <c r="QR11">
        <v>99</v>
      </c>
      <c r="QS11">
        <v>109</v>
      </c>
      <c r="QT11">
        <v>143</v>
      </c>
      <c r="QU11">
        <v>434</v>
      </c>
      <c r="QV11">
        <v>178</v>
      </c>
      <c r="QW11">
        <v>99</v>
      </c>
      <c r="QX11">
        <v>140</v>
      </c>
      <c r="QY11">
        <v>190</v>
      </c>
      <c r="QZ11">
        <v>195</v>
      </c>
      <c r="RA11">
        <v>135</v>
      </c>
      <c r="RB11">
        <v>195</v>
      </c>
      <c r="RC11">
        <v>710</v>
      </c>
      <c r="RD11">
        <v>136</v>
      </c>
      <c r="RE11">
        <v>105</v>
      </c>
      <c r="RF11">
        <v>124</v>
      </c>
      <c r="RG11">
        <v>99</v>
      </c>
      <c r="RH11">
        <v>353</v>
      </c>
      <c r="RI11">
        <v>178</v>
      </c>
      <c r="RJ11">
        <v>99</v>
      </c>
      <c r="RK11">
        <v>136</v>
      </c>
      <c r="RL11">
        <v>99</v>
      </c>
      <c r="RM11">
        <v>187</v>
      </c>
      <c r="RN11">
        <v>99</v>
      </c>
      <c r="RO11">
        <v>761</v>
      </c>
      <c r="RP11">
        <v>761</v>
      </c>
      <c r="RQ11">
        <v>99</v>
      </c>
      <c r="RR11">
        <v>99</v>
      </c>
      <c r="RS11">
        <v>99</v>
      </c>
      <c r="RT11">
        <v>99</v>
      </c>
      <c r="RU11">
        <v>136</v>
      </c>
      <c r="RV11">
        <v>124</v>
      </c>
      <c r="RW11">
        <v>99</v>
      </c>
      <c r="RX11">
        <v>99</v>
      </c>
      <c r="RY11">
        <v>136</v>
      </c>
      <c r="RZ11">
        <v>105</v>
      </c>
      <c r="SA11">
        <v>136</v>
      </c>
      <c r="SB11">
        <v>100</v>
      </c>
      <c r="SC11">
        <v>99</v>
      </c>
      <c r="SD11">
        <v>178</v>
      </c>
      <c r="SE11">
        <v>99</v>
      </c>
      <c r="SF11">
        <v>99</v>
      </c>
      <c r="SG11">
        <v>99</v>
      </c>
      <c r="SH11">
        <v>99</v>
      </c>
      <c r="SI11">
        <v>82</v>
      </c>
      <c r="SJ11">
        <v>80</v>
      </c>
      <c r="SK11">
        <v>99</v>
      </c>
      <c r="SL11">
        <v>99</v>
      </c>
      <c r="SM11">
        <v>95</v>
      </c>
      <c r="SN11">
        <v>710</v>
      </c>
      <c r="SO11">
        <v>710</v>
      </c>
      <c r="SP11">
        <v>350</v>
      </c>
      <c r="SQ11">
        <v>120</v>
      </c>
      <c r="SR11">
        <v>104</v>
      </c>
      <c r="SS11">
        <v>710</v>
      </c>
      <c r="ST11">
        <v>710</v>
      </c>
      <c r="SU11">
        <v>99</v>
      </c>
      <c r="SV11">
        <v>99</v>
      </c>
      <c r="SW11">
        <v>80</v>
      </c>
      <c r="SX11">
        <v>178</v>
      </c>
      <c r="SY11">
        <v>269</v>
      </c>
      <c r="SZ11">
        <v>325</v>
      </c>
      <c r="TA11">
        <v>350</v>
      </c>
      <c r="TB11">
        <v>119</v>
      </c>
      <c r="TC11">
        <v>120</v>
      </c>
      <c r="TD11">
        <v>140</v>
      </c>
      <c r="TE11">
        <v>140</v>
      </c>
      <c r="TF11">
        <v>99</v>
      </c>
      <c r="TG11">
        <v>105</v>
      </c>
      <c r="TH11">
        <v>100</v>
      </c>
      <c r="TI11">
        <v>120</v>
      </c>
      <c r="TJ11">
        <v>139</v>
      </c>
      <c r="TK11">
        <v>135</v>
      </c>
      <c r="TL11">
        <v>190</v>
      </c>
      <c r="TM11">
        <v>99</v>
      </c>
      <c r="TN11">
        <v>99</v>
      </c>
      <c r="TO11">
        <v>1283</v>
      </c>
      <c r="TP11">
        <v>537</v>
      </c>
      <c r="TQ11">
        <v>178</v>
      </c>
      <c r="TR11">
        <v>178</v>
      </c>
      <c r="TS11">
        <v>178</v>
      </c>
      <c r="TT11">
        <v>105</v>
      </c>
      <c r="TU11">
        <v>105</v>
      </c>
      <c r="TV11">
        <v>136</v>
      </c>
      <c r="TW11">
        <v>105</v>
      </c>
      <c r="TX11">
        <v>82</v>
      </c>
      <c r="TY11">
        <v>82</v>
      </c>
      <c r="TZ11">
        <v>119</v>
      </c>
      <c r="UA11">
        <v>332</v>
      </c>
      <c r="UB11">
        <v>109</v>
      </c>
      <c r="UC11">
        <v>82</v>
      </c>
      <c r="UD11">
        <v>186</v>
      </c>
      <c r="UE11">
        <v>105</v>
      </c>
      <c r="UF11">
        <v>434</v>
      </c>
      <c r="UG11">
        <v>1577</v>
      </c>
      <c r="UH11">
        <v>105</v>
      </c>
      <c r="UI11">
        <v>105</v>
      </c>
      <c r="UJ11">
        <v>267</v>
      </c>
      <c r="UK11">
        <v>269</v>
      </c>
      <c r="UL11">
        <v>269</v>
      </c>
      <c r="UM11">
        <v>593</v>
      </c>
      <c r="UN11">
        <v>178</v>
      </c>
      <c r="UO11">
        <v>136</v>
      </c>
      <c r="UP11">
        <v>467</v>
      </c>
      <c r="UQ11">
        <v>63</v>
      </c>
      <c r="UR11">
        <v>195</v>
      </c>
      <c r="US11">
        <v>178</v>
      </c>
      <c r="UT11">
        <v>125</v>
      </c>
      <c r="UU11">
        <v>125</v>
      </c>
      <c r="UV11">
        <v>99</v>
      </c>
      <c r="UW11">
        <v>95</v>
      </c>
      <c r="UX11">
        <v>99</v>
      </c>
      <c r="UY11">
        <v>178</v>
      </c>
      <c r="UZ11">
        <v>178</v>
      </c>
      <c r="VA11">
        <v>105</v>
      </c>
      <c r="VB11">
        <v>99</v>
      </c>
      <c r="VC11">
        <v>99</v>
      </c>
      <c r="VD11">
        <v>105</v>
      </c>
      <c r="VE11">
        <v>105</v>
      </c>
      <c r="VF11">
        <v>105</v>
      </c>
      <c r="VG11">
        <v>710</v>
      </c>
      <c r="VH11">
        <v>710</v>
      </c>
      <c r="VI11">
        <v>79</v>
      </c>
      <c r="VJ11">
        <v>79</v>
      </c>
      <c r="VK11">
        <v>105</v>
      </c>
      <c r="VL11">
        <v>178</v>
      </c>
      <c r="VM11">
        <v>186</v>
      </c>
      <c r="VN11">
        <v>178</v>
      </c>
      <c r="VO11">
        <v>685</v>
      </c>
    </row>
    <row r="12" spans="1:587" x14ac:dyDescent="0.3">
      <c r="A12" t="s">
        <v>3007</v>
      </c>
      <c r="B12" cm="1">
        <f t="array" ref="B12:VO12">1*TRANSPOSE(_xlfn._xlws.FILTER(branch!$I$2:$I$591,branch!$D$2:$D$591&lt;&gt;0))</f>
        <v>99</v>
      </c>
      <c r="C12">
        <v>99</v>
      </c>
      <c r="D12">
        <v>178</v>
      </c>
      <c r="E12">
        <v>145</v>
      </c>
      <c r="F12">
        <v>536</v>
      </c>
      <c r="G12">
        <v>393</v>
      </c>
      <c r="H12">
        <v>393</v>
      </c>
      <c r="I12">
        <v>593</v>
      </c>
      <c r="J12">
        <v>434</v>
      </c>
      <c r="K12">
        <v>99</v>
      </c>
      <c r="L12">
        <v>140</v>
      </c>
      <c r="M12">
        <v>103</v>
      </c>
      <c r="N12">
        <v>109</v>
      </c>
      <c r="O12">
        <v>105</v>
      </c>
      <c r="P12">
        <v>99</v>
      </c>
      <c r="Q12">
        <v>187</v>
      </c>
      <c r="R12">
        <v>187</v>
      </c>
      <c r="S12">
        <v>187</v>
      </c>
      <c r="T12">
        <v>104</v>
      </c>
      <c r="U12">
        <v>112</v>
      </c>
      <c r="V12">
        <v>105</v>
      </c>
      <c r="W12">
        <v>82</v>
      </c>
      <c r="X12">
        <v>82</v>
      </c>
      <c r="Y12">
        <v>105</v>
      </c>
      <c r="Z12">
        <v>105</v>
      </c>
      <c r="AA12">
        <v>99</v>
      </c>
      <c r="AB12">
        <v>178</v>
      </c>
      <c r="AC12">
        <v>434</v>
      </c>
      <c r="AD12">
        <v>434</v>
      </c>
      <c r="AE12">
        <v>34</v>
      </c>
      <c r="AF12">
        <v>120</v>
      </c>
      <c r="AG12">
        <v>120</v>
      </c>
      <c r="AH12">
        <v>104</v>
      </c>
      <c r="AI12">
        <v>178</v>
      </c>
      <c r="AJ12">
        <v>178</v>
      </c>
      <c r="AK12">
        <v>178</v>
      </c>
      <c r="AL12">
        <v>178</v>
      </c>
      <c r="AM12">
        <v>120</v>
      </c>
      <c r="AN12">
        <v>178</v>
      </c>
      <c r="AO12">
        <v>99</v>
      </c>
      <c r="AP12">
        <v>178</v>
      </c>
      <c r="AQ12">
        <v>140</v>
      </c>
      <c r="AR12">
        <v>140</v>
      </c>
      <c r="AS12">
        <v>99</v>
      </c>
      <c r="AT12">
        <v>105</v>
      </c>
      <c r="AU12">
        <v>99</v>
      </c>
      <c r="AV12">
        <v>96</v>
      </c>
      <c r="AW12">
        <v>96</v>
      </c>
      <c r="AX12">
        <v>178</v>
      </c>
      <c r="AY12">
        <v>178</v>
      </c>
      <c r="AZ12">
        <v>120</v>
      </c>
      <c r="BA12">
        <v>120</v>
      </c>
      <c r="BB12">
        <v>178</v>
      </c>
      <c r="BC12">
        <v>178</v>
      </c>
      <c r="BD12">
        <v>178</v>
      </c>
      <c r="BE12">
        <v>105</v>
      </c>
      <c r="BF12">
        <v>99</v>
      </c>
      <c r="BG12">
        <v>99</v>
      </c>
      <c r="BH12">
        <v>99</v>
      </c>
      <c r="BI12">
        <v>82</v>
      </c>
      <c r="BJ12">
        <v>82</v>
      </c>
      <c r="BK12">
        <v>136</v>
      </c>
      <c r="BL12">
        <v>140</v>
      </c>
      <c r="BM12">
        <v>130</v>
      </c>
      <c r="BN12">
        <v>99</v>
      </c>
      <c r="BO12">
        <v>122</v>
      </c>
      <c r="BP12">
        <v>196</v>
      </c>
      <c r="BQ12">
        <v>178</v>
      </c>
      <c r="BR12">
        <v>136</v>
      </c>
      <c r="BS12">
        <v>178</v>
      </c>
      <c r="BT12">
        <v>124</v>
      </c>
      <c r="BU12">
        <v>178</v>
      </c>
      <c r="BV12">
        <v>178</v>
      </c>
      <c r="BW12">
        <v>178</v>
      </c>
      <c r="BX12">
        <v>99</v>
      </c>
      <c r="BY12">
        <v>136</v>
      </c>
      <c r="BZ12">
        <v>195</v>
      </c>
      <c r="CA12">
        <v>178</v>
      </c>
      <c r="CB12">
        <v>178</v>
      </c>
      <c r="CC12">
        <v>192</v>
      </c>
      <c r="CD12">
        <v>187</v>
      </c>
      <c r="CE12">
        <v>120</v>
      </c>
      <c r="CF12">
        <v>187</v>
      </c>
      <c r="CG12">
        <v>187</v>
      </c>
      <c r="CH12">
        <v>187</v>
      </c>
      <c r="CI12">
        <v>119</v>
      </c>
      <c r="CJ12">
        <v>119</v>
      </c>
      <c r="CK12">
        <v>570</v>
      </c>
      <c r="CL12">
        <v>570</v>
      </c>
      <c r="CM12">
        <v>140</v>
      </c>
      <c r="CN12">
        <v>140</v>
      </c>
      <c r="CO12">
        <v>842</v>
      </c>
      <c r="CP12">
        <v>105</v>
      </c>
      <c r="CQ12">
        <v>109</v>
      </c>
      <c r="CR12">
        <v>109</v>
      </c>
      <c r="CS12">
        <v>82</v>
      </c>
      <c r="CT12">
        <v>82</v>
      </c>
      <c r="CU12">
        <v>75</v>
      </c>
      <c r="CV12">
        <v>75</v>
      </c>
      <c r="CW12">
        <v>178</v>
      </c>
      <c r="CX12">
        <v>178</v>
      </c>
      <c r="CY12">
        <v>178</v>
      </c>
      <c r="CZ12">
        <v>178</v>
      </c>
      <c r="DA12">
        <v>82</v>
      </c>
      <c r="DB12">
        <v>82</v>
      </c>
      <c r="DC12">
        <v>710</v>
      </c>
      <c r="DD12">
        <v>69</v>
      </c>
      <c r="DE12">
        <v>70</v>
      </c>
      <c r="DF12">
        <v>710</v>
      </c>
      <c r="DG12">
        <v>710</v>
      </c>
      <c r="DH12">
        <v>710</v>
      </c>
      <c r="DI12">
        <v>144</v>
      </c>
      <c r="DJ12">
        <v>63</v>
      </c>
      <c r="DK12">
        <v>99</v>
      </c>
      <c r="DL12">
        <v>570</v>
      </c>
      <c r="DM12">
        <v>570</v>
      </c>
      <c r="DN12">
        <v>178</v>
      </c>
      <c r="DO12">
        <v>200</v>
      </c>
      <c r="DP12">
        <v>109</v>
      </c>
      <c r="DQ12">
        <v>109</v>
      </c>
      <c r="DR12">
        <v>79</v>
      </c>
      <c r="DS12">
        <v>79</v>
      </c>
      <c r="DT12">
        <v>434</v>
      </c>
      <c r="DU12">
        <v>740</v>
      </c>
      <c r="DV12">
        <v>228</v>
      </c>
      <c r="DW12">
        <v>115</v>
      </c>
      <c r="DX12">
        <v>195</v>
      </c>
      <c r="DY12">
        <v>124</v>
      </c>
      <c r="DZ12">
        <v>80</v>
      </c>
      <c r="EA12">
        <v>120</v>
      </c>
      <c r="EB12">
        <v>105</v>
      </c>
      <c r="EC12">
        <v>178</v>
      </c>
      <c r="ED12">
        <v>178</v>
      </c>
      <c r="EE12">
        <v>178</v>
      </c>
      <c r="EF12">
        <v>69</v>
      </c>
      <c r="EG12">
        <v>70</v>
      </c>
      <c r="EH12">
        <v>69</v>
      </c>
      <c r="EI12">
        <v>69</v>
      </c>
      <c r="EJ12">
        <v>132</v>
      </c>
      <c r="EK12">
        <v>132</v>
      </c>
      <c r="EL12">
        <v>710</v>
      </c>
      <c r="EM12">
        <v>710</v>
      </c>
      <c r="EN12">
        <v>66</v>
      </c>
      <c r="EO12">
        <v>66</v>
      </c>
      <c r="EP12">
        <v>710</v>
      </c>
      <c r="EQ12">
        <v>109</v>
      </c>
      <c r="ER12">
        <v>109</v>
      </c>
      <c r="ES12">
        <v>82</v>
      </c>
      <c r="ET12">
        <v>82</v>
      </c>
      <c r="EU12">
        <v>144</v>
      </c>
      <c r="EV12">
        <v>144</v>
      </c>
      <c r="EW12">
        <v>710</v>
      </c>
      <c r="EX12">
        <v>178</v>
      </c>
      <c r="EY12">
        <v>124</v>
      </c>
      <c r="EZ12">
        <v>99</v>
      </c>
      <c r="FA12">
        <v>99</v>
      </c>
      <c r="FB12">
        <v>99</v>
      </c>
      <c r="FC12">
        <v>761</v>
      </c>
      <c r="FD12">
        <v>187</v>
      </c>
      <c r="FE12">
        <v>761</v>
      </c>
      <c r="FF12">
        <v>761</v>
      </c>
      <c r="FG12">
        <v>761</v>
      </c>
      <c r="FH12">
        <v>178</v>
      </c>
      <c r="FI12">
        <v>178</v>
      </c>
      <c r="FJ12">
        <v>115</v>
      </c>
      <c r="FK12">
        <v>434</v>
      </c>
      <c r="FL12">
        <v>434</v>
      </c>
      <c r="FM12">
        <v>555</v>
      </c>
      <c r="FN12">
        <v>123</v>
      </c>
      <c r="FO12">
        <v>178</v>
      </c>
      <c r="FP12">
        <v>130</v>
      </c>
      <c r="FQ12">
        <v>178</v>
      </c>
      <c r="FR12">
        <v>103</v>
      </c>
      <c r="FS12">
        <v>238</v>
      </c>
      <c r="FT12">
        <v>434</v>
      </c>
      <c r="FU12">
        <v>178</v>
      </c>
      <c r="FV12">
        <v>132</v>
      </c>
      <c r="FW12">
        <v>178</v>
      </c>
      <c r="FX12">
        <v>144</v>
      </c>
      <c r="FY12">
        <v>144</v>
      </c>
      <c r="FZ12">
        <v>140</v>
      </c>
      <c r="GA12">
        <v>140</v>
      </c>
      <c r="GB12">
        <v>136</v>
      </c>
      <c r="GC12">
        <v>178</v>
      </c>
      <c r="GD12">
        <v>178</v>
      </c>
      <c r="GE12">
        <v>178</v>
      </c>
      <c r="GF12">
        <v>196</v>
      </c>
      <c r="GG12">
        <v>178</v>
      </c>
      <c r="GH12">
        <v>178</v>
      </c>
      <c r="GI12">
        <v>178</v>
      </c>
      <c r="GJ12">
        <v>130</v>
      </c>
      <c r="GK12">
        <v>99</v>
      </c>
      <c r="GL12">
        <v>136</v>
      </c>
      <c r="GM12">
        <v>178</v>
      </c>
      <c r="GN12">
        <v>105</v>
      </c>
      <c r="GO12">
        <v>187</v>
      </c>
      <c r="GP12">
        <v>187</v>
      </c>
      <c r="GQ12">
        <v>187</v>
      </c>
      <c r="GR12">
        <v>105</v>
      </c>
      <c r="GS12">
        <v>130</v>
      </c>
      <c r="GT12">
        <v>434</v>
      </c>
      <c r="GU12">
        <v>105</v>
      </c>
      <c r="GV12">
        <v>105</v>
      </c>
      <c r="GW12">
        <v>593</v>
      </c>
      <c r="GX12">
        <v>119</v>
      </c>
      <c r="GY12">
        <v>178</v>
      </c>
      <c r="GZ12">
        <v>120</v>
      </c>
      <c r="HA12">
        <v>178</v>
      </c>
      <c r="HB12">
        <v>178</v>
      </c>
      <c r="HC12">
        <v>178</v>
      </c>
      <c r="HD12">
        <v>646</v>
      </c>
      <c r="HE12">
        <v>161</v>
      </c>
      <c r="HF12">
        <v>161</v>
      </c>
      <c r="HG12">
        <v>434</v>
      </c>
      <c r="HH12">
        <v>434</v>
      </c>
      <c r="HI12">
        <v>187</v>
      </c>
      <c r="HJ12">
        <v>124</v>
      </c>
      <c r="HK12">
        <v>99</v>
      </c>
      <c r="HL12">
        <v>105</v>
      </c>
      <c r="HM12">
        <v>63</v>
      </c>
      <c r="HN12">
        <v>178</v>
      </c>
      <c r="HO12">
        <v>187</v>
      </c>
      <c r="HP12">
        <v>136</v>
      </c>
      <c r="HQ12">
        <v>187</v>
      </c>
      <c r="HR12">
        <v>187</v>
      </c>
      <c r="HS12">
        <v>99</v>
      </c>
      <c r="HT12">
        <v>99</v>
      </c>
      <c r="HU12">
        <v>105</v>
      </c>
      <c r="HV12">
        <v>178</v>
      </c>
      <c r="HW12">
        <v>178</v>
      </c>
      <c r="HX12">
        <v>1577</v>
      </c>
      <c r="HY12">
        <v>1577</v>
      </c>
      <c r="HZ12">
        <v>143</v>
      </c>
      <c r="IA12">
        <v>104</v>
      </c>
      <c r="IB12">
        <v>82</v>
      </c>
      <c r="IC12">
        <v>82</v>
      </c>
      <c r="ID12">
        <v>82</v>
      </c>
      <c r="IE12">
        <v>82</v>
      </c>
      <c r="IF12">
        <v>186</v>
      </c>
      <c r="IG12">
        <v>124</v>
      </c>
      <c r="IH12">
        <v>136</v>
      </c>
      <c r="II12">
        <v>99</v>
      </c>
      <c r="IJ12">
        <v>178</v>
      </c>
      <c r="IK12">
        <v>178</v>
      </c>
      <c r="IL12">
        <v>99</v>
      </c>
      <c r="IM12">
        <v>99</v>
      </c>
      <c r="IN12">
        <v>105</v>
      </c>
      <c r="IO12">
        <v>105</v>
      </c>
      <c r="IP12">
        <v>99</v>
      </c>
      <c r="IQ12">
        <v>99</v>
      </c>
      <c r="IR12">
        <v>100</v>
      </c>
      <c r="IS12">
        <v>100</v>
      </c>
      <c r="IT12">
        <v>200</v>
      </c>
      <c r="IU12">
        <v>143</v>
      </c>
      <c r="IV12">
        <v>82</v>
      </c>
      <c r="IW12">
        <v>82</v>
      </c>
      <c r="IX12">
        <v>82</v>
      </c>
      <c r="IY12">
        <v>412</v>
      </c>
      <c r="IZ12">
        <v>412</v>
      </c>
      <c r="JA12">
        <v>82</v>
      </c>
      <c r="JB12">
        <v>82</v>
      </c>
      <c r="JC12">
        <v>109</v>
      </c>
      <c r="JD12">
        <v>178</v>
      </c>
      <c r="JE12">
        <v>99</v>
      </c>
      <c r="JF12">
        <v>82</v>
      </c>
      <c r="JG12">
        <v>109</v>
      </c>
      <c r="JH12">
        <v>140</v>
      </c>
      <c r="JI12">
        <v>140</v>
      </c>
      <c r="JJ12">
        <v>196</v>
      </c>
      <c r="JK12">
        <v>178</v>
      </c>
      <c r="JL12">
        <v>178</v>
      </c>
      <c r="JM12">
        <v>99</v>
      </c>
      <c r="JN12">
        <v>178</v>
      </c>
      <c r="JO12">
        <v>350</v>
      </c>
      <c r="JP12">
        <v>99</v>
      </c>
      <c r="JQ12">
        <v>99</v>
      </c>
      <c r="JR12">
        <v>99</v>
      </c>
      <c r="JS12">
        <v>392</v>
      </c>
      <c r="JT12">
        <v>97</v>
      </c>
      <c r="JU12">
        <v>99</v>
      </c>
      <c r="JV12">
        <v>761</v>
      </c>
      <c r="JW12">
        <v>178</v>
      </c>
      <c r="JX12">
        <v>124</v>
      </c>
      <c r="JY12">
        <v>103</v>
      </c>
      <c r="JZ12">
        <v>178</v>
      </c>
      <c r="KA12">
        <v>746</v>
      </c>
      <c r="KB12">
        <v>646</v>
      </c>
      <c r="KC12">
        <v>178</v>
      </c>
      <c r="KD12">
        <v>178</v>
      </c>
      <c r="KE12">
        <v>178</v>
      </c>
      <c r="KF12">
        <v>178</v>
      </c>
      <c r="KG12">
        <v>190</v>
      </c>
      <c r="KH12">
        <v>105</v>
      </c>
      <c r="KI12">
        <v>136</v>
      </c>
      <c r="KJ12">
        <v>134</v>
      </c>
      <c r="KK12">
        <v>136</v>
      </c>
      <c r="KL12">
        <v>136</v>
      </c>
      <c r="KM12">
        <v>99</v>
      </c>
      <c r="KN12">
        <v>105</v>
      </c>
      <c r="KO12">
        <v>99</v>
      </c>
      <c r="KP12">
        <v>105</v>
      </c>
      <c r="KQ12">
        <v>99</v>
      </c>
      <c r="KR12">
        <v>99</v>
      </c>
      <c r="KS12">
        <v>99</v>
      </c>
      <c r="KT12">
        <v>74</v>
      </c>
      <c r="KU12">
        <v>74</v>
      </c>
      <c r="KV12">
        <v>99</v>
      </c>
      <c r="KW12">
        <v>178</v>
      </c>
      <c r="KX12">
        <v>178</v>
      </c>
      <c r="KY12">
        <v>99</v>
      </c>
      <c r="KZ12">
        <v>104</v>
      </c>
      <c r="LA12">
        <v>178</v>
      </c>
      <c r="LB12">
        <v>178</v>
      </c>
      <c r="LC12">
        <v>211</v>
      </c>
      <c r="LD12">
        <v>196</v>
      </c>
      <c r="LE12">
        <v>69</v>
      </c>
      <c r="LF12">
        <v>69</v>
      </c>
      <c r="LG12">
        <v>144</v>
      </c>
      <c r="LH12">
        <v>144</v>
      </c>
      <c r="LI12">
        <v>103</v>
      </c>
      <c r="LJ12">
        <v>99</v>
      </c>
      <c r="LK12">
        <v>99</v>
      </c>
      <c r="LL12">
        <v>82</v>
      </c>
      <c r="LM12">
        <v>82</v>
      </c>
      <c r="LN12">
        <v>82</v>
      </c>
      <c r="LO12">
        <v>82</v>
      </c>
      <c r="LP12">
        <v>82</v>
      </c>
      <c r="LQ12">
        <v>99</v>
      </c>
      <c r="LR12">
        <v>79</v>
      </c>
      <c r="LS12">
        <v>79</v>
      </c>
      <c r="LT12">
        <v>108</v>
      </c>
      <c r="LU12">
        <v>109</v>
      </c>
      <c r="LV12">
        <v>109</v>
      </c>
      <c r="LW12">
        <v>99</v>
      </c>
      <c r="LX12">
        <v>99</v>
      </c>
      <c r="LY12">
        <v>99</v>
      </c>
      <c r="LZ12">
        <v>178</v>
      </c>
      <c r="MA12">
        <v>393</v>
      </c>
      <c r="MB12">
        <v>350</v>
      </c>
      <c r="MC12">
        <v>350</v>
      </c>
      <c r="MD12">
        <v>434</v>
      </c>
      <c r="ME12">
        <v>1283</v>
      </c>
      <c r="MF12">
        <v>351</v>
      </c>
      <c r="MG12">
        <v>140</v>
      </c>
      <c r="MH12">
        <v>140</v>
      </c>
      <c r="MI12">
        <v>140</v>
      </c>
      <c r="MJ12">
        <v>186</v>
      </c>
      <c r="MK12">
        <v>157</v>
      </c>
      <c r="ML12">
        <v>144</v>
      </c>
      <c r="MM12">
        <v>186</v>
      </c>
      <c r="MN12">
        <v>195</v>
      </c>
      <c r="MO12">
        <v>105</v>
      </c>
      <c r="MP12">
        <v>119</v>
      </c>
      <c r="MQ12">
        <v>593</v>
      </c>
      <c r="MR12">
        <v>119</v>
      </c>
      <c r="MS12">
        <v>332</v>
      </c>
      <c r="MT12">
        <v>120</v>
      </c>
      <c r="MU12">
        <v>80</v>
      </c>
      <c r="MV12">
        <v>536</v>
      </c>
      <c r="MW12">
        <v>105</v>
      </c>
      <c r="MX12">
        <v>144</v>
      </c>
      <c r="MY12">
        <v>144</v>
      </c>
      <c r="MZ12">
        <v>105</v>
      </c>
      <c r="NA12">
        <v>384</v>
      </c>
      <c r="NB12">
        <v>99</v>
      </c>
      <c r="NC12">
        <v>99</v>
      </c>
      <c r="ND12">
        <v>434</v>
      </c>
      <c r="NE12">
        <v>98</v>
      </c>
      <c r="NF12">
        <v>107</v>
      </c>
      <c r="NG12">
        <v>140</v>
      </c>
      <c r="NH12">
        <v>107</v>
      </c>
      <c r="NI12">
        <v>140</v>
      </c>
      <c r="NJ12">
        <v>99</v>
      </c>
      <c r="NK12">
        <v>99</v>
      </c>
      <c r="NL12">
        <v>178</v>
      </c>
      <c r="NM12">
        <v>103</v>
      </c>
      <c r="NN12">
        <v>103</v>
      </c>
      <c r="NO12">
        <v>103</v>
      </c>
      <c r="NP12">
        <v>120</v>
      </c>
      <c r="NQ12">
        <v>120</v>
      </c>
      <c r="NR12">
        <v>570</v>
      </c>
      <c r="NS12">
        <v>99</v>
      </c>
      <c r="NT12">
        <v>393</v>
      </c>
      <c r="NU12">
        <v>434</v>
      </c>
      <c r="NV12">
        <v>593</v>
      </c>
      <c r="NW12">
        <v>178</v>
      </c>
      <c r="NX12">
        <v>178</v>
      </c>
      <c r="NY12">
        <v>178</v>
      </c>
      <c r="NZ12">
        <v>178</v>
      </c>
      <c r="OA12">
        <v>136</v>
      </c>
      <c r="OB12">
        <v>122</v>
      </c>
      <c r="OC12">
        <v>82</v>
      </c>
      <c r="OD12">
        <v>82</v>
      </c>
      <c r="OE12">
        <v>105</v>
      </c>
      <c r="OF12">
        <v>434</v>
      </c>
      <c r="OG12">
        <v>350</v>
      </c>
      <c r="OH12">
        <v>99</v>
      </c>
      <c r="OI12">
        <v>99</v>
      </c>
      <c r="OJ12">
        <v>99</v>
      </c>
      <c r="OK12">
        <v>99</v>
      </c>
      <c r="OL12">
        <v>99</v>
      </c>
      <c r="OM12">
        <v>99</v>
      </c>
      <c r="ON12">
        <v>200</v>
      </c>
      <c r="OO12">
        <v>200</v>
      </c>
      <c r="OP12">
        <v>119</v>
      </c>
      <c r="OQ12">
        <v>105</v>
      </c>
      <c r="OR12">
        <v>105</v>
      </c>
      <c r="OS12">
        <v>195</v>
      </c>
      <c r="OT12">
        <v>710</v>
      </c>
      <c r="OU12">
        <v>82</v>
      </c>
      <c r="OV12">
        <v>80</v>
      </c>
      <c r="OW12">
        <v>107</v>
      </c>
      <c r="OX12">
        <v>140</v>
      </c>
      <c r="OY12">
        <v>136</v>
      </c>
      <c r="OZ12">
        <v>136</v>
      </c>
      <c r="PA12">
        <v>104</v>
      </c>
      <c r="PB12">
        <v>196</v>
      </c>
      <c r="PC12">
        <v>80</v>
      </c>
      <c r="PD12">
        <v>562</v>
      </c>
      <c r="PE12">
        <v>120</v>
      </c>
      <c r="PF12">
        <v>267</v>
      </c>
      <c r="PG12">
        <v>351</v>
      </c>
      <c r="PH12">
        <v>593</v>
      </c>
      <c r="PI12">
        <v>178</v>
      </c>
      <c r="PJ12">
        <v>99</v>
      </c>
      <c r="PK12">
        <v>134</v>
      </c>
      <c r="PL12">
        <v>103</v>
      </c>
      <c r="PM12">
        <v>103</v>
      </c>
      <c r="PN12">
        <v>710</v>
      </c>
      <c r="PO12">
        <v>710</v>
      </c>
      <c r="PP12">
        <v>710</v>
      </c>
      <c r="PQ12">
        <v>185</v>
      </c>
      <c r="PR12">
        <v>178</v>
      </c>
      <c r="PS12">
        <v>99</v>
      </c>
      <c r="PT12">
        <v>178</v>
      </c>
      <c r="PU12">
        <v>178</v>
      </c>
      <c r="PV12">
        <v>119</v>
      </c>
      <c r="PW12">
        <v>120</v>
      </c>
      <c r="PX12">
        <v>136</v>
      </c>
      <c r="PY12">
        <v>434</v>
      </c>
      <c r="PZ12">
        <v>512</v>
      </c>
      <c r="QA12">
        <v>99</v>
      </c>
      <c r="QB12">
        <v>80</v>
      </c>
      <c r="QC12">
        <v>269</v>
      </c>
      <c r="QD12">
        <v>178</v>
      </c>
      <c r="QE12">
        <v>140</v>
      </c>
      <c r="QF12">
        <v>136</v>
      </c>
      <c r="QG12">
        <v>731</v>
      </c>
      <c r="QH12">
        <v>731</v>
      </c>
      <c r="QI12">
        <v>660</v>
      </c>
      <c r="QJ12">
        <v>660</v>
      </c>
      <c r="QK12">
        <v>136</v>
      </c>
      <c r="QL12">
        <v>99</v>
      </c>
      <c r="QM12">
        <v>99</v>
      </c>
      <c r="QN12">
        <v>350</v>
      </c>
      <c r="QO12">
        <v>350</v>
      </c>
      <c r="QP12">
        <v>99</v>
      </c>
      <c r="QQ12">
        <v>178</v>
      </c>
      <c r="QR12">
        <v>99</v>
      </c>
      <c r="QS12">
        <v>109</v>
      </c>
      <c r="QT12">
        <v>143</v>
      </c>
      <c r="QU12">
        <v>434</v>
      </c>
      <c r="QV12">
        <v>178</v>
      </c>
      <c r="QW12">
        <v>99</v>
      </c>
      <c r="QX12">
        <v>140</v>
      </c>
      <c r="QY12">
        <v>190</v>
      </c>
      <c r="QZ12">
        <v>195</v>
      </c>
      <c r="RA12">
        <v>135</v>
      </c>
      <c r="RB12">
        <v>195</v>
      </c>
      <c r="RC12">
        <v>710</v>
      </c>
      <c r="RD12">
        <v>136</v>
      </c>
      <c r="RE12">
        <v>105</v>
      </c>
      <c r="RF12">
        <v>124</v>
      </c>
      <c r="RG12">
        <v>99</v>
      </c>
      <c r="RH12">
        <v>353</v>
      </c>
      <c r="RI12">
        <v>178</v>
      </c>
      <c r="RJ12">
        <v>99</v>
      </c>
      <c r="RK12">
        <v>136</v>
      </c>
      <c r="RL12">
        <v>99</v>
      </c>
      <c r="RM12">
        <v>187</v>
      </c>
      <c r="RN12">
        <v>99</v>
      </c>
      <c r="RO12">
        <v>761</v>
      </c>
      <c r="RP12">
        <v>761</v>
      </c>
      <c r="RQ12">
        <v>99</v>
      </c>
      <c r="RR12">
        <v>99</v>
      </c>
      <c r="RS12">
        <v>99</v>
      </c>
      <c r="RT12">
        <v>99</v>
      </c>
      <c r="RU12">
        <v>136</v>
      </c>
      <c r="RV12">
        <v>124</v>
      </c>
      <c r="RW12">
        <v>99</v>
      </c>
      <c r="RX12">
        <v>99</v>
      </c>
      <c r="RY12">
        <v>136</v>
      </c>
      <c r="RZ12">
        <v>105</v>
      </c>
      <c r="SA12">
        <v>136</v>
      </c>
      <c r="SB12">
        <v>100</v>
      </c>
      <c r="SC12">
        <v>99</v>
      </c>
      <c r="SD12">
        <v>178</v>
      </c>
      <c r="SE12">
        <v>99</v>
      </c>
      <c r="SF12">
        <v>99</v>
      </c>
      <c r="SG12">
        <v>99</v>
      </c>
      <c r="SH12">
        <v>99</v>
      </c>
      <c r="SI12">
        <v>82</v>
      </c>
      <c r="SJ12">
        <v>80</v>
      </c>
      <c r="SK12">
        <v>99</v>
      </c>
      <c r="SL12">
        <v>99</v>
      </c>
      <c r="SM12">
        <v>95</v>
      </c>
      <c r="SN12">
        <v>710</v>
      </c>
      <c r="SO12">
        <v>710</v>
      </c>
      <c r="SP12">
        <v>350</v>
      </c>
      <c r="SQ12">
        <v>120</v>
      </c>
      <c r="SR12">
        <v>104</v>
      </c>
      <c r="SS12">
        <v>710</v>
      </c>
      <c r="ST12">
        <v>710</v>
      </c>
      <c r="SU12">
        <v>99</v>
      </c>
      <c r="SV12">
        <v>99</v>
      </c>
      <c r="SW12">
        <v>80</v>
      </c>
      <c r="SX12">
        <v>178</v>
      </c>
      <c r="SY12">
        <v>269</v>
      </c>
      <c r="SZ12">
        <v>325</v>
      </c>
      <c r="TA12">
        <v>350</v>
      </c>
      <c r="TB12">
        <v>119</v>
      </c>
      <c r="TC12">
        <v>120</v>
      </c>
      <c r="TD12">
        <v>140</v>
      </c>
      <c r="TE12">
        <v>140</v>
      </c>
      <c r="TF12">
        <v>99</v>
      </c>
      <c r="TG12">
        <v>105</v>
      </c>
      <c r="TH12">
        <v>100</v>
      </c>
      <c r="TI12">
        <v>120</v>
      </c>
      <c r="TJ12">
        <v>139</v>
      </c>
      <c r="TK12">
        <v>135</v>
      </c>
      <c r="TL12">
        <v>190</v>
      </c>
      <c r="TM12">
        <v>99</v>
      </c>
      <c r="TN12">
        <v>99</v>
      </c>
      <c r="TO12">
        <v>1283</v>
      </c>
      <c r="TP12">
        <v>537</v>
      </c>
      <c r="TQ12">
        <v>178</v>
      </c>
      <c r="TR12">
        <v>178</v>
      </c>
      <c r="TS12">
        <v>178</v>
      </c>
      <c r="TT12">
        <v>105</v>
      </c>
      <c r="TU12">
        <v>105</v>
      </c>
      <c r="TV12">
        <v>136</v>
      </c>
      <c r="TW12">
        <v>105</v>
      </c>
      <c r="TX12">
        <v>82</v>
      </c>
      <c r="TY12">
        <v>82</v>
      </c>
      <c r="TZ12">
        <v>119</v>
      </c>
      <c r="UA12">
        <v>332</v>
      </c>
      <c r="UB12">
        <v>109</v>
      </c>
      <c r="UC12">
        <v>82</v>
      </c>
      <c r="UD12">
        <v>186</v>
      </c>
      <c r="UE12">
        <v>105</v>
      </c>
      <c r="UF12">
        <v>434</v>
      </c>
      <c r="UG12">
        <v>1577</v>
      </c>
      <c r="UH12">
        <v>105</v>
      </c>
      <c r="UI12">
        <v>105</v>
      </c>
      <c r="UJ12">
        <v>267</v>
      </c>
      <c r="UK12">
        <v>269</v>
      </c>
      <c r="UL12">
        <v>269</v>
      </c>
      <c r="UM12">
        <v>593</v>
      </c>
      <c r="UN12">
        <v>178</v>
      </c>
      <c r="UO12">
        <v>136</v>
      </c>
      <c r="UP12">
        <v>467</v>
      </c>
      <c r="UQ12">
        <v>63</v>
      </c>
      <c r="UR12">
        <v>195</v>
      </c>
      <c r="US12">
        <v>178</v>
      </c>
      <c r="UT12">
        <v>125</v>
      </c>
      <c r="UU12">
        <v>125</v>
      </c>
      <c r="UV12">
        <v>99</v>
      </c>
      <c r="UW12">
        <v>95</v>
      </c>
      <c r="UX12">
        <v>99</v>
      </c>
      <c r="UY12">
        <v>178</v>
      </c>
      <c r="UZ12">
        <v>178</v>
      </c>
      <c r="VA12">
        <v>105</v>
      </c>
      <c r="VB12">
        <v>99</v>
      </c>
      <c r="VC12">
        <v>99</v>
      </c>
      <c r="VD12">
        <v>105</v>
      </c>
      <c r="VE12">
        <v>105</v>
      </c>
      <c r="VF12">
        <v>105</v>
      </c>
      <c r="VG12">
        <v>710</v>
      </c>
      <c r="VH12">
        <v>710</v>
      </c>
      <c r="VI12">
        <v>79</v>
      </c>
      <c r="VJ12">
        <v>79</v>
      </c>
      <c r="VK12">
        <v>105</v>
      </c>
      <c r="VL12">
        <v>178</v>
      </c>
      <c r="VM12">
        <v>186</v>
      </c>
      <c r="VN12">
        <v>178</v>
      </c>
      <c r="VO12">
        <v>685</v>
      </c>
    </row>
    <row r="13" spans="1:587" x14ac:dyDescent="0.3">
      <c r="A13" t="s">
        <v>3008</v>
      </c>
      <c r="B13" cm="1">
        <f t="array" ref="B13:VO13">1*TRANSPOSE(_xlfn._xlws.FILTER(branch!$I$2:$I$591,branch!$D$2:$D$591&lt;&gt;0))</f>
        <v>99</v>
      </c>
      <c r="C13">
        <v>99</v>
      </c>
      <c r="D13">
        <v>178</v>
      </c>
      <c r="E13">
        <v>145</v>
      </c>
      <c r="F13">
        <v>536</v>
      </c>
      <c r="G13">
        <v>393</v>
      </c>
      <c r="H13">
        <v>393</v>
      </c>
      <c r="I13">
        <v>593</v>
      </c>
      <c r="J13">
        <v>434</v>
      </c>
      <c r="K13">
        <v>99</v>
      </c>
      <c r="L13">
        <v>140</v>
      </c>
      <c r="M13">
        <v>103</v>
      </c>
      <c r="N13">
        <v>109</v>
      </c>
      <c r="O13">
        <v>105</v>
      </c>
      <c r="P13">
        <v>99</v>
      </c>
      <c r="Q13">
        <v>187</v>
      </c>
      <c r="R13">
        <v>187</v>
      </c>
      <c r="S13">
        <v>187</v>
      </c>
      <c r="T13">
        <v>104</v>
      </c>
      <c r="U13">
        <v>112</v>
      </c>
      <c r="V13">
        <v>105</v>
      </c>
      <c r="W13">
        <v>82</v>
      </c>
      <c r="X13">
        <v>82</v>
      </c>
      <c r="Y13">
        <v>105</v>
      </c>
      <c r="Z13">
        <v>105</v>
      </c>
      <c r="AA13">
        <v>99</v>
      </c>
      <c r="AB13">
        <v>178</v>
      </c>
      <c r="AC13">
        <v>434</v>
      </c>
      <c r="AD13">
        <v>434</v>
      </c>
      <c r="AE13">
        <v>34</v>
      </c>
      <c r="AF13">
        <v>120</v>
      </c>
      <c r="AG13">
        <v>120</v>
      </c>
      <c r="AH13">
        <v>104</v>
      </c>
      <c r="AI13">
        <v>178</v>
      </c>
      <c r="AJ13">
        <v>178</v>
      </c>
      <c r="AK13">
        <v>178</v>
      </c>
      <c r="AL13">
        <v>178</v>
      </c>
      <c r="AM13">
        <v>120</v>
      </c>
      <c r="AN13">
        <v>178</v>
      </c>
      <c r="AO13">
        <v>99</v>
      </c>
      <c r="AP13">
        <v>178</v>
      </c>
      <c r="AQ13">
        <v>140</v>
      </c>
      <c r="AR13">
        <v>140</v>
      </c>
      <c r="AS13">
        <v>99</v>
      </c>
      <c r="AT13">
        <v>105</v>
      </c>
      <c r="AU13">
        <v>99</v>
      </c>
      <c r="AV13">
        <v>96</v>
      </c>
      <c r="AW13">
        <v>96</v>
      </c>
      <c r="AX13">
        <v>178</v>
      </c>
      <c r="AY13">
        <v>178</v>
      </c>
      <c r="AZ13">
        <v>120</v>
      </c>
      <c r="BA13">
        <v>120</v>
      </c>
      <c r="BB13">
        <v>178</v>
      </c>
      <c r="BC13">
        <v>178</v>
      </c>
      <c r="BD13">
        <v>178</v>
      </c>
      <c r="BE13">
        <v>105</v>
      </c>
      <c r="BF13">
        <v>99</v>
      </c>
      <c r="BG13">
        <v>99</v>
      </c>
      <c r="BH13">
        <v>99</v>
      </c>
      <c r="BI13">
        <v>82</v>
      </c>
      <c r="BJ13">
        <v>82</v>
      </c>
      <c r="BK13">
        <v>136</v>
      </c>
      <c r="BL13">
        <v>140</v>
      </c>
      <c r="BM13">
        <v>130</v>
      </c>
      <c r="BN13">
        <v>99</v>
      </c>
      <c r="BO13">
        <v>122</v>
      </c>
      <c r="BP13">
        <v>196</v>
      </c>
      <c r="BQ13">
        <v>178</v>
      </c>
      <c r="BR13">
        <v>136</v>
      </c>
      <c r="BS13">
        <v>178</v>
      </c>
      <c r="BT13">
        <v>124</v>
      </c>
      <c r="BU13">
        <v>178</v>
      </c>
      <c r="BV13">
        <v>178</v>
      </c>
      <c r="BW13">
        <v>178</v>
      </c>
      <c r="BX13">
        <v>99</v>
      </c>
      <c r="BY13">
        <v>136</v>
      </c>
      <c r="BZ13">
        <v>195</v>
      </c>
      <c r="CA13">
        <v>178</v>
      </c>
      <c r="CB13">
        <v>178</v>
      </c>
      <c r="CC13">
        <v>192</v>
      </c>
      <c r="CD13">
        <v>187</v>
      </c>
      <c r="CE13">
        <v>120</v>
      </c>
      <c r="CF13">
        <v>187</v>
      </c>
      <c r="CG13">
        <v>187</v>
      </c>
      <c r="CH13">
        <v>187</v>
      </c>
      <c r="CI13">
        <v>119</v>
      </c>
      <c r="CJ13">
        <v>119</v>
      </c>
      <c r="CK13">
        <v>570</v>
      </c>
      <c r="CL13">
        <v>570</v>
      </c>
      <c r="CM13">
        <v>140</v>
      </c>
      <c r="CN13">
        <v>140</v>
      </c>
      <c r="CO13">
        <v>842</v>
      </c>
      <c r="CP13">
        <v>105</v>
      </c>
      <c r="CQ13">
        <v>109</v>
      </c>
      <c r="CR13">
        <v>109</v>
      </c>
      <c r="CS13">
        <v>82</v>
      </c>
      <c r="CT13">
        <v>82</v>
      </c>
      <c r="CU13">
        <v>75</v>
      </c>
      <c r="CV13">
        <v>75</v>
      </c>
      <c r="CW13">
        <v>178</v>
      </c>
      <c r="CX13">
        <v>178</v>
      </c>
      <c r="CY13">
        <v>178</v>
      </c>
      <c r="CZ13">
        <v>178</v>
      </c>
      <c r="DA13">
        <v>82</v>
      </c>
      <c r="DB13">
        <v>82</v>
      </c>
      <c r="DC13">
        <v>710</v>
      </c>
      <c r="DD13">
        <v>69</v>
      </c>
      <c r="DE13">
        <v>70</v>
      </c>
      <c r="DF13">
        <v>710</v>
      </c>
      <c r="DG13">
        <v>710</v>
      </c>
      <c r="DH13">
        <v>710</v>
      </c>
      <c r="DI13">
        <v>144</v>
      </c>
      <c r="DJ13">
        <v>63</v>
      </c>
      <c r="DK13">
        <v>99</v>
      </c>
      <c r="DL13">
        <v>570</v>
      </c>
      <c r="DM13">
        <v>570</v>
      </c>
      <c r="DN13">
        <v>178</v>
      </c>
      <c r="DO13">
        <v>200</v>
      </c>
      <c r="DP13">
        <v>109</v>
      </c>
      <c r="DQ13">
        <v>109</v>
      </c>
      <c r="DR13">
        <v>79</v>
      </c>
      <c r="DS13">
        <v>79</v>
      </c>
      <c r="DT13">
        <v>434</v>
      </c>
      <c r="DU13">
        <v>740</v>
      </c>
      <c r="DV13">
        <v>228</v>
      </c>
      <c r="DW13">
        <v>115</v>
      </c>
      <c r="DX13">
        <v>195</v>
      </c>
      <c r="DY13">
        <v>124</v>
      </c>
      <c r="DZ13">
        <v>80</v>
      </c>
      <c r="EA13">
        <v>120</v>
      </c>
      <c r="EB13">
        <v>105</v>
      </c>
      <c r="EC13">
        <v>178</v>
      </c>
      <c r="ED13">
        <v>178</v>
      </c>
      <c r="EE13">
        <v>178</v>
      </c>
      <c r="EF13">
        <v>69</v>
      </c>
      <c r="EG13">
        <v>70</v>
      </c>
      <c r="EH13">
        <v>69</v>
      </c>
      <c r="EI13">
        <v>69</v>
      </c>
      <c r="EJ13">
        <v>132</v>
      </c>
      <c r="EK13">
        <v>132</v>
      </c>
      <c r="EL13">
        <v>710</v>
      </c>
      <c r="EM13">
        <v>710</v>
      </c>
      <c r="EN13">
        <v>66</v>
      </c>
      <c r="EO13">
        <v>66</v>
      </c>
      <c r="EP13">
        <v>710</v>
      </c>
      <c r="EQ13">
        <v>109</v>
      </c>
      <c r="ER13">
        <v>109</v>
      </c>
      <c r="ES13">
        <v>82</v>
      </c>
      <c r="ET13">
        <v>82</v>
      </c>
      <c r="EU13">
        <v>144</v>
      </c>
      <c r="EV13">
        <v>144</v>
      </c>
      <c r="EW13">
        <v>710</v>
      </c>
      <c r="EX13">
        <v>178</v>
      </c>
      <c r="EY13">
        <v>124</v>
      </c>
      <c r="EZ13">
        <v>99</v>
      </c>
      <c r="FA13">
        <v>99</v>
      </c>
      <c r="FB13">
        <v>99</v>
      </c>
      <c r="FC13">
        <v>761</v>
      </c>
      <c r="FD13">
        <v>187</v>
      </c>
      <c r="FE13">
        <v>761</v>
      </c>
      <c r="FF13">
        <v>761</v>
      </c>
      <c r="FG13">
        <v>761</v>
      </c>
      <c r="FH13">
        <v>178</v>
      </c>
      <c r="FI13">
        <v>178</v>
      </c>
      <c r="FJ13">
        <v>115</v>
      </c>
      <c r="FK13">
        <v>434</v>
      </c>
      <c r="FL13">
        <v>434</v>
      </c>
      <c r="FM13">
        <v>555</v>
      </c>
      <c r="FN13">
        <v>123</v>
      </c>
      <c r="FO13">
        <v>178</v>
      </c>
      <c r="FP13">
        <v>130</v>
      </c>
      <c r="FQ13">
        <v>178</v>
      </c>
      <c r="FR13">
        <v>103</v>
      </c>
      <c r="FS13">
        <v>238</v>
      </c>
      <c r="FT13">
        <v>434</v>
      </c>
      <c r="FU13">
        <v>178</v>
      </c>
      <c r="FV13">
        <v>132</v>
      </c>
      <c r="FW13">
        <v>178</v>
      </c>
      <c r="FX13">
        <v>144</v>
      </c>
      <c r="FY13">
        <v>144</v>
      </c>
      <c r="FZ13">
        <v>140</v>
      </c>
      <c r="GA13">
        <v>140</v>
      </c>
      <c r="GB13">
        <v>136</v>
      </c>
      <c r="GC13">
        <v>178</v>
      </c>
      <c r="GD13">
        <v>178</v>
      </c>
      <c r="GE13">
        <v>178</v>
      </c>
      <c r="GF13">
        <v>196</v>
      </c>
      <c r="GG13">
        <v>178</v>
      </c>
      <c r="GH13">
        <v>178</v>
      </c>
      <c r="GI13">
        <v>178</v>
      </c>
      <c r="GJ13">
        <v>130</v>
      </c>
      <c r="GK13">
        <v>99</v>
      </c>
      <c r="GL13">
        <v>136</v>
      </c>
      <c r="GM13">
        <v>178</v>
      </c>
      <c r="GN13">
        <v>105</v>
      </c>
      <c r="GO13">
        <v>187</v>
      </c>
      <c r="GP13">
        <v>187</v>
      </c>
      <c r="GQ13">
        <v>187</v>
      </c>
      <c r="GR13">
        <v>105</v>
      </c>
      <c r="GS13">
        <v>130</v>
      </c>
      <c r="GT13">
        <v>434</v>
      </c>
      <c r="GU13">
        <v>105</v>
      </c>
      <c r="GV13">
        <v>105</v>
      </c>
      <c r="GW13">
        <v>593</v>
      </c>
      <c r="GX13">
        <v>119</v>
      </c>
      <c r="GY13">
        <v>178</v>
      </c>
      <c r="GZ13">
        <v>120</v>
      </c>
      <c r="HA13">
        <v>178</v>
      </c>
      <c r="HB13">
        <v>178</v>
      </c>
      <c r="HC13">
        <v>178</v>
      </c>
      <c r="HD13">
        <v>646</v>
      </c>
      <c r="HE13">
        <v>161</v>
      </c>
      <c r="HF13">
        <v>161</v>
      </c>
      <c r="HG13">
        <v>434</v>
      </c>
      <c r="HH13">
        <v>434</v>
      </c>
      <c r="HI13">
        <v>187</v>
      </c>
      <c r="HJ13">
        <v>124</v>
      </c>
      <c r="HK13">
        <v>99</v>
      </c>
      <c r="HL13">
        <v>105</v>
      </c>
      <c r="HM13">
        <v>63</v>
      </c>
      <c r="HN13">
        <v>178</v>
      </c>
      <c r="HO13">
        <v>187</v>
      </c>
      <c r="HP13">
        <v>136</v>
      </c>
      <c r="HQ13">
        <v>187</v>
      </c>
      <c r="HR13">
        <v>187</v>
      </c>
      <c r="HS13">
        <v>99</v>
      </c>
      <c r="HT13">
        <v>99</v>
      </c>
      <c r="HU13">
        <v>105</v>
      </c>
      <c r="HV13">
        <v>178</v>
      </c>
      <c r="HW13">
        <v>178</v>
      </c>
      <c r="HX13">
        <v>1577</v>
      </c>
      <c r="HY13">
        <v>1577</v>
      </c>
      <c r="HZ13">
        <v>143</v>
      </c>
      <c r="IA13">
        <v>104</v>
      </c>
      <c r="IB13">
        <v>82</v>
      </c>
      <c r="IC13">
        <v>82</v>
      </c>
      <c r="ID13">
        <v>82</v>
      </c>
      <c r="IE13">
        <v>82</v>
      </c>
      <c r="IF13">
        <v>186</v>
      </c>
      <c r="IG13">
        <v>124</v>
      </c>
      <c r="IH13">
        <v>136</v>
      </c>
      <c r="II13">
        <v>99</v>
      </c>
      <c r="IJ13">
        <v>178</v>
      </c>
      <c r="IK13">
        <v>178</v>
      </c>
      <c r="IL13">
        <v>99</v>
      </c>
      <c r="IM13">
        <v>99</v>
      </c>
      <c r="IN13">
        <v>105</v>
      </c>
      <c r="IO13">
        <v>105</v>
      </c>
      <c r="IP13">
        <v>99</v>
      </c>
      <c r="IQ13">
        <v>99</v>
      </c>
      <c r="IR13">
        <v>100</v>
      </c>
      <c r="IS13">
        <v>100</v>
      </c>
      <c r="IT13">
        <v>200</v>
      </c>
      <c r="IU13">
        <v>143</v>
      </c>
      <c r="IV13">
        <v>82</v>
      </c>
      <c r="IW13">
        <v>82</v>
      </c>
      <c r="IX13">
        <v>82</v>
      </c>
      <c r="IY13">
        <v>412</v>
      </c>
      <c r="IZ13">
        <v>412</v>
      </c>
      <c r="JA13">
        <v>82</v>
      </c>
      <c r="JB13">
        <v>82</v>
      </c>
      <c r="JC13">
        <v>109</v>
      </c>
      <c r="JD13">
        <v>178</v>
      </c>
      <c r="JE13">
        <v>99</v>
      </c>
      <c r="JF13">
        <v>82</v>
      </c>
      <c r="JG13">
        <v>109</v>
      </c>
      <c r="JH13">
        <v>140</v>
      </c>
      <c r="JI13">
        <v>140</v>
      </c>
      <c r="JJ13">
        <v>196</v>
      </c>
      <c r="JK13">
        <v>178</v>
      </c>
      <c r="JL13">
        <v>178</v>
      </c>
      <c r="JM13">
        <v>99</v>
      </c>
      <c r="JN13">
        <v>178</v>
      </c>
      <c r="JO13">
        <v>350</v>
      </c>
      <c r="JP13">
        <v>99</v>
      </c>
      <c r="JQ13">
        <v>99</v>
      </c>
      <c r="JR13">
        <v>99</v>
      </c>
      <c r="JS13">
        <v>392</v>
      </c>
      <c r="JT13">
        <v>97</v>
      </c>
      <c r="JU13">
        <v>99</v>
      </c>
      <c r="JV13">
        <v>761</v>
      </c>
      <c r="JW13">
        <v>178</v>
      </c>
      <c r="JX13">
        <v>124</v>
      </c>
      <c r="JY13">
        <v>103</v>
      </c>
      <c r="JZ13">
        <v>178</v>
      </c>
      <c r="KA13">
        <v>746</v>
      </c>
      <c r="KB13">
        <v>646</v>
      </c>
      <c r="KC13">
        <v>178</v>
      </c>
      <c r="KD13">
        <v>178</v>
      </c>
      <c r="KE13">
        <v>178</v>
      </c>
      <c r="KF13">
        <v>178</v>
      </c>
      <c r="KG13">
        <v>190</v>
      </c>
      <c r="KH13">
        <v>105</v>
      </c>
      <c r="KI13">
        <v>136</v>
      </c>
      <c r="KJ13">
        <v>134</v>
      </c>
      <c r="KK13">
        <v>136</v>
      </c>
      <c r="KL13">
        <v>136</v>
      </c>
      <c r="KM13">
        <v>99</v>
      </c>
      <c r="KN13">
        <v>105</v>
      </c>
      <c r="KO13">
        <v>99</v>
      </c>
      <c r="KP13">
        <v>105</v>
      </c>
      <c r="KQ13">
        <v>99</v>
      </c>
      <c r="KR13">
        <v>99</v>
      </c>
      <c r="KS13">
        <v>99</v>
      </c>
      <c r="KT13">
        <v>74</v>
      </c>
      <c r="KU13">
        <v>74</v>
      </c>
      <c r="KV13">
        <v>99</v>
      </c>
      <c r="KW13">
        <v>178</v>
      </c>
      <c r="KX13">
        <v>178</v>
      </c>
      <c r="KY13">
        <v>99</v>
      </c>
      <c r="KZ13">
        <v>104</v>
      </c>
      <c r="LA13">
        <v>178</v>
      </c>
      <c r="LB13">
        <v>178</v>
      </c>
      <c r="LC13">
        <v>211</v>
      </c>
      <c r="LD13">
        <v>196</v>
      </c>
      <c r="LE13">
        <v>69</v>
      </c>
      <c r="LF13">
        <v>69</v>
      </c>
      <c r="LG13">
        <v>144</v>
      </c>
      <c r="LH13">
        <v>144</v>
      </c>
      <c r="LI13">
        <v>103</v>
      </c>
      <c r="LJ13">
        <v>99</v>
      </c>
      <c r="LK13">
        <v>99</v>
      </c>
      <c r="LL13">
        <v>82</v>
      </c>
      <c r="LM13">
        <v>82</v>
      </c>
      <c r="LN13">
        <v>82</v>
      </c>
      <c r="LO13">
        <v>82</v>
      </c>
      <c r="LP13">
        <v>82</v>
      </c>
      <c r="LQ13">
        <v>99</v>
      </c>
      <c r="LR13">
        <v>79</v>
      </c>
      <c r="LS13">
        <v>79</v>
      </c>
      <c r="LT13">
        <v>108</v>
      </c>
      <c r="LU13">
        <v>109</v>
      </c>
      <c r="LV13">
        <v>109</v>
      </c>
      <c r="LW13">
        <v>99</v>
      </c>
      <c r="LX13">
        <v>99</v>
      </c>
      <c r="LY13">
        <v>99</v>
      </c>
      <c r="LZ13">
        <v>178</v>
      </c>
      <c r="MA13">
        <v>393</v>
      </c>
      <c r="MB13">
        <v>350</v>
      </c>
      <c r="MC13">
        <v>350</v>
      </c>
      <c r="MD13">
        <v>434</v>
      </c>
      <c r="ME13">
        <v>1283</v>
      </c>
      <c r="MF13">
        <v>351</v>
      </c>
      <c r="MG13">
        <v>140</v>
      </c>
      <c r="MH13">
        <v>140</v>
      </c>
      <c r="MI13">
        <v>140</v>
      </c>
      <c r="MJ13">
        <v>186</v>
      </c>
      <c r="MK13">
        <v>157</v>
      </c>
      <c r="ML13">
        <v>144</v>
      </c>
      <c r="MM13">
        <v>186</v>
      </c>
      <c r="MN13">
        <v>195</v>
      </c>
      <c r="MO13">
        <v>105</v>
      </c>
      <c r="MP13">
        <v>119</v>
      </c>
      <c r="MQ13">
        <v>593</v>
      </c>
      <c r="MR13">
        <v>119</v>
      </c>
      <c r="MS13">
        <v>332</v>
      </c>
      <c r="MT13">
        <v>120</v>
      </c>
      <c r="MU13">
        <v>80</v>
      </c>
      <c r="MV13">
        <v>536</v>
      </c>
      <c r="MW13">
        <v>105</v>
      </c>
      <c r="MX13">
        <v>144</v>
      </c>
      <c r="MY13">
        <v>144</v>
      </c>
      <c r="MZ13">
        <v>105</v>
      </c>
      <c r="NA13">
        <v>384</v>
      </c>
      <c r="NB13">
        <v>99</v>
      </c>
      <c r="NC13">
        <v>99</v>
      </c>
      <c r="ND13">
        <v>434</v>
      </c>
      <c r="NE13">
        <v>98</v>
      </c>
      <c r="NF13">
        <v>107</v>
      </c>
      <c r="NG13">
        <v>140</v>
      </c>
      <c r="NH13">
        <v>107</v>
      </c>
      <c r="NI13">
        <v>140</v>
      </c>
      <c r="NJ13">
        <v>99</v>
      </c>
      <c r="NK13">
        <v>99</v>
      </c>
      <c r="NL13">
        <v>178</v>
      </c>
      <c r="NM13">
        <v>103</v>
      </c>
      <c r="NN13">
        <v>103</v>
      </c>
      <c r="NO13">
        <v>103</v>
      </c>
      <c r="NP13">
        <v>120</v>
      </c>
      <c r="NQ13">
        <v>120</v>
      </c>
      <c r="NR13">
        <v>570</v>
      </c>
      <c r="NS13">
        <v>99</v>
      </c>
      <c r="NT13">
        <v>393</v>
      </c>
      <c r="NU13">
        <v>434</v>
      </c>
      <c r="NV13">
        <v>593</v>
      </c>
      <c r="NW13">
        <v>178</v>
      </c>
      <c r="NX13">
        <v>178</v>
      </c>
      <c r="NY13">
        <v>178</v>
      </c>
      <c r="NZ13">
        <v>178</v>
      </c>
      <c r="OA13">
        <v>136</v>
      </c>
      <c r="OB13">
        <v>122</v>
      </c>
      <c r="OC13">
        <v>82</v>
      </c>
      <c r="OD13">
        <v>82</v>
      </c>
      <c r="OE13">
        <v>105</v>
      </c>
      <c r="OF13">
        <v>434</v>
      </c>
      <c r="OG13">
        <v>350</v>
      </c>
      <c r="OH13">
        <v>99</v>
      </c>
      <c r="OI13">
        <v>99</v>
      </c>
      <c r="OJ13">
        <v>99</v>
      </c>
      <c r="OK13">
        <v>99</v>
      </c>
      <c r="OL13">
        <v>99</v>
      </c>
      <c r="OM13">
        <v>99</v>
      </c>
      <c r="ON13">
        <v>200</v>
      </c>
      <c r="OO13">
        <v>200</v>
      </c>
      <c r="OP13">
        <v>119</v>
      </c>
      <c r="OQ13">
        <v>105</v>
      </c>
      <c r="OR13">
        <v>105</v>
      </c>
      <c r="OS13">
        <v>195</v>
      </c>
      <c r="OT13">
        <v>710</v>
      </c>
      <c r="OU13">
        <v>82</v>
      </c>
      <c r="OV13">
        <v>80</v>
      </c>
      <c r="OW13">
        <v>107</v>
      </c>
      <c r="OX13">
        <v>140</v>
      </c>
      <c r="OY13">
        <v>136</v>
      </c>
      <c r="OZ13">
        <v>136</v>
      </c>
      <c r="PA13">
        <v>104</v>
      </c>
      <c r="PB13">
        <v>196</v>
      </c>
      <c r="PC13">
        <v>80</v>
      </c>
      <c r="PD13">
        <v>562</v>
      </c>
      <c r="PE13">
        <v>120</v>
      </c>
      <c r="PF13">
        <v>267</v>
      </c>
      <c r="PG13">
        <v>351</v>
      </c>
      <c r="PH13">
        <v>593</v>
      </c>
      <c r="PI13">
        <v>178</v>
      </c>
      <c r="PJ13">
        <v>99</v>
      </c>
      <c r="PK13">
        <v>134</v>
      </c>
      <c r="PL13">
        <v>103</v>
      </c>
      <c r="PM13">
        <v>103</v>
      </c>
      <c r="PN13">
        <v>710</v>
      </c>
      <c r="PO13">
        <v>710</v>
      </c>
      <c r="PP13">
        <v>710</v>
      </c>
      <c r="PQ13">
        <v>185</v>
      </c>
      <c r="PR13">
        <v>178</v>
      </c>
      <c r="PS13">
        <v>99</v>
      </c>
      <c r="PT13">
        <v>178</v>
      </c>
      <c r="PU13">
        <v>178</v>
      </c>
      <c r="PV13">
        <v>119</v>
      </c>
      <c r="PW13">
        <v>120</v>
      </c>
      <c r="PX13">
        <v>136</v>
      </c>
      <c r="PY13">
        <v>434</v>
      </c>
      <c r="PZ13">
        <v>512</v>
      </c>
      <c r="QA13">
        <v>99</v>
      </c>
      <c r="QB13">
        <v>80</v>
      </c>
      <c r="QC13">
        <v>269</v>
      </c>
      <c r="QD13">
        <v>178</v>
      </c>
      <c r="QE13">
        <v>140</v>
      </c>
      <c r="QF13">
        <v>136</v>
      </c>
      <c r="QG13">
        <v>731</v>
      </c>
      <c r="QH13">
        <v>731</v>
      </c>
      <c r="QI13">
        <v>660</v>
      </c>
      <c r="QJ13">
        <v>660</v>
      </c>
      <c r="QK13">
        <v>136</v>
      </c>
      <c r="QL13">
        <v>99</v>
      </c>
      <c r="QM13">
        <v>99</v>
      </c>
      <c r="QN13">
        <v>350</v>
      </c>
      <c r="QO13">
        <v>350</v>
      </c>
      <c r="QP13">
        <v>99</v>
      </c>
      <c r="QQ13">
        <v>178</v>
      </c>
      <c r="QR13">
        <v>99</v>
      </c>
      <c r="QS13">
        <v>109</v>
      </c>
      <c r="QT13">
        <v>143</v>
      </c>
      <c r="QU13">
        <v>434</v>
      </c>
      <c r="QV13">
        <v>178</v>
      </c>
      <c r="QW13">
        <v>99</v>
      </c>
      <c r="QX13">
        <v>140</v>
      </c>
      <c r="QY13">
        <v>190</v>
      </c>
      <c r="QZ13">
        <v>195</v>
      </c>
      <c r="RA13">
        <v>135</v>
      </c>
      <c r="RB13">
        <v>195</v>
      </c>
      <c r="RC13">
        <v>710</v>
      </c>
      <c r="RD13">
        <v>136</v>
      </c>
      <c r="RE13">
        <v>105</v>
      </c>
      <c r="RF13">
        <v>124</v>
      </c>
      <c r="RG13">
        <v>99</v>
      </c>
      <c r="RH13">
        <v>353</v>
      </c>
      <c r="RI13">
        <v>178</v>
      </c>
      <c r="RJ13">
        <v>99</v>
      </c>
      <c r="RK13">
        <v>136</v>
      </c>
      <c r="RL13">
        <v>99</v>
      </c>
      <c r="RM13">
        <v>187</v>
      </c>
      <c r="RN13">
        <v>99</v>
      </c>
      <c r="RO13">
        <v>761</v>
      </c>
      <c r="RP13">
        <v>761</v>
      </c>
      <c r="RQ13">
        <v>99</v>
      </c>
      <c r="RR13">
        <v>99</v>
      </c>
      <c r="RS13">
        <v>99</v>
      </c>
      <c r="RT13">
        <v>99</v>
      </c>
      <c r="RU13">
        <v>136</v>
      </c>
      <c r="RV13">
        <v>124</v>
      </c>
      <c r="RW13">
        <v>99</v>
      </c>
      <c r="RX13">
        <v>99</v>
      </c>
      <c r="RY13">
        <v>136</v>
      </c>
      <c r="RZ13">
        <v>105</v>
      </c>
      <c r="SA13">
        <v>136</v>
      </c>
      <c r="SB13">
        <v>100</v>
      </c>
      <c r="SC13">
        <v>99</v>
      </c>
      <c r="SD13">
        <v>178</v>
      </c>
      <c r="SE13">
        <v>99</v>
      </c>
      <c r="SF13">
        <v>99</v>
      </c>
      <c r="SG13">
        <v>99</v>
      </c>
      <c r="SH13">
        <v>99</v>
      </c>
      <c r="SI13">
        <v>82</v>
      </c>
      <c r="SJ13">
        <v>80</v>
      </c>
      <c r="SK13">
        <v>99</v>
      </c>
      <c r="SL13">
        <v>99</v>
      </c>
      <c r="SM13">
        <v>95</v>
      </c>
      <c r="SN13">
        <v>710</v>
      </c>
      <c r="SO13">
        <v>710</v>
      </c>
      <c r="SP13">
        <v>350</v>
      </c>
      <c r="SQ13">
        <v>120</v>
      </c>
      <c r="SR13">
        <v>104</v>
      </c>
      <c r="SS13">
        <v>710</v>
      </c>
      <c r="ST13">
        <v>710</v>
      </c>
      <c r="SU13">
        <v>99</v>
      </c>
      <c r="SV13">
        <v>99</v>
      </c>
      <c r="SW13">
        <v>80</v>
      </c>
      <c r="SX13">
        <v>178</v>
      </c>
      <c r="SY13">
        <v>269</v>
      </c>
      <c r="SZ13">
        <v>325</v>
      </c>
      <c r="TA13">
        <v>350</v>
      </c>
      <c r="TB13">
        <v>119</v>
      </c>
      <c r="TC13">
        <v>120</v>
      </c>
      <c r="TD13">
        <v>140</v>
      </c>
      <c r="TE13">
        <v>140</v>
      </c>
      <c r="TF13">
        <v>99</v>
      </c>
      <c r="TG13">
        <v>105</v>
      </c>
      <c r="TH13">
        <v>100</v>
      </c>
      <c r="TI13">
        <v>120</v>
      </c>
      <c r="TJ13">
        <v>139</v>
      </c>
      <c r="TK13">
        <v>135</v>
      </c>
      <c r="TL13">
        <v>190</v>
      </c>
      <c r="TM13">
        <v>99</v>
      </c>
      <c r="TN13">
        <v>99</v>
      </c>
      <c r="TO13">
        <v>1283</v>
      </c>
      <c r="TP13">
        <v>537</v>
      </c>
      <c r="TQ13">
        <v>178</v>
      </c>
      <c r="TR13">
        <v>178</v>
      </c>
      <c r="TS13">
        <v>178</v>
      </c>
      <c r="TT13">
        <v>105</v>
      </c>
      <c r="TU13">
        <v>105</v>
      </c>
      <c r="TV13">
        <v>136</v>
      </c>
      <c r="TW13">
        <v>105</v>
      </c>
      <c r="TX13">
        <v>82</v>
      </c>
      <c r="TY13">
        <v>82</v>
      </c>
      <c r="TZ13">
        <v>119</v>
      </c>
      <c r="UA13">
        <v>332</v>
      </c>
      <c r="UB13">
        <v>109</v>
      </c>
      <c r="UC13">
        <v>82</v>
      </c>
      <c r="UD13">
        <v>186</v>
      </c>
      <c r="UE13">
        <v>105</v>
      </c>
      <c r="UF13">
        <v>434</v>
      </c>
      <c r="UG13">
        <v>1577</v>
      </c>
      <c r="UH13">
        <v>105</v>
      </c>
      <c r="UI13">
        <v>105</v>
      </c>
      <c r="UJ13">
        <v>267</v>
      </c>
      <c r="UK13">
        <v>269</v>
      </c>
      <c r="UL13">
        <v>269</v>
      </c>
      <c r="UM13">
        <v>593</v>
      </c>
      <c r="UN13">
        <v>178</v>
      </c>
      <c r="UO13">
        <v>136</v>
      </c>
      <c r="UP13">
        <v>467</v>
      </c>
      <c r="UQ13">
        <v>63</v>
      </c>
      <c r="UR13">
        <v>195</v>
      </c>
      <c r="US13">
        <v>178</v>
      </c>
      <c r="UT13">
        <v>125</v>
      </c>
      <c r="UU13">
        <v>125</v>
      </c>
      <c r="UV13">
        <v>99</v>
      </c>
      <c r="UW13">
        <v>95</v>
      </c>
      <c r="UX13">
        <v>99</v>
      </c>
      <c r="UY13">
        <v>178</v>
      </c>
      <c r="UZ13">
        <v>178</v>
      </c>
      <c r="VA13">
        <v>105</v>
      </c>
      <c r="VB13">
        <v>99</v>
      </c>
      <c r="VC13">
        <v>99</v>
      </c>
      <c r="VD13">
        <v>105</v>
      </c>
      <c r="VE13">
        <v>105</v>
      </c>
      <c r="VF13">
        <v>105</v>
      </c>
      <c r="VG13">
        <v>710</v>
      </c>
      <c r="VH13">
        <v>710</v>
      </c>
      <c r="VI13">
        <v>79</v>
      </c>
      <c r="VJ13">
        <v>79</v>
      </c>
      <c r="VK13">
        <v>105</v>
      </c>
      <c r="VL13">
        <v>178</v>
      </c>
      <c r="VM13">
        <v>186</v>
      </c>
      <c r="VN13">
        <v>178</v>
      </c>
      <c r="VO13">
        <v>685</v>
      </c>
    </row>
    <row r="14" spans="1:587" x14ac:dyDescent="0.3">
      <c r="A14" t="s">
        <v>3009</v>
      </c>
      <c r="B14" cm="1">
        <f t="array" ref="B14:VO14">1*TRANSPOSE(_xlfn._xlws.FILTER(branch!$I$2:$I$591,branch!$D$2:$D$591&lt;&gt;0))</f>
        <v>99</v>
      </c>
      <c r="C14">
        <v>99</v>
      </c>
      <c r="D14">
        <v>178</v>
      </c>
      <c r="E14">
        <v>145</v>
      </c>
      <c r="F14">
        <v>536</v>
      </c>
      <c r="G14">
        <v>393</v>
      </c>
      <c r="H14">
        <v>393</v>
      </c>
      <c r="I14">
        <v>593</v>
      </c>
      <c r="J14">
        <v>434</v>
      </c>
      <c r="K14">
        <v>99</v>
      </c>
      <c r="L14">
        <v>140</v>
      </c>
      <c r="M14">
        <v>103</v>
      </c>
      <c r="N14">
        <v>109</v>
      </c>
      <c r="O14">
        <v>105</v>
      </c>
      <c r="P14">
        <v>99</v>
      </c>
      <c r="Q14">
        <v>187</v>
      </c>
      <c r="R14">
        <v>187</v>
      </c>
      <c r="S14">
        <v>187</v>
      </c>
      <c r="T14">
        <v>104</v>
      </c>
      <c r="U14">
        <v>112</v>
      </c>
      <c r="V14">
        <v>105</v>
      </c>
      <c r="W14">
        <v>82</v>
      </c>
      <c r="X14">
        <v>82</v>
      </c>
      <c r="Y14">
        <v>105</v>
      </c>
      <c r="Z14">
        <v>105</v>
      </c>
      <c r="AA14">
        <v>99</v>
      </c>
      <c r="AB14">
        <v>178</v>
      </c>
      <c r="AC14">
        <v>434</v>
      </c>
      <c r="AD14">
        <v>434</v>
      </c>
      <c r="AE14">
        <v>34</v>
      </c>
      <c r="AF14">
        <v>120</v>
      </c>
      <c r="AG14">
        <v>120</v>
      </c>
      <c r="AH14">
        <v>104</v>
      </c>
      <c r="AI14">
        <v>178</v>
      </c>
      <c r="AJ14">
        <v>178</v>
      </c>
      <c r="AK14">
        <v>178</v>
      </c>
      <c r="AL14">
        <v>178</v>
      </c>
      <c r="AM14">
        <v>120</v>
      </c>
      <c r="AN14">
        <v>178</v>
      </c>
      <c r="AO14">
        <v>99</v>
      </c>
      <c r="AP14">
        <v>178</v>
      </c>
      <c r="AQ14">
        <v>140</v>
      </c>
      <c r="AR14">
        <v>140</v>
      </c>
      <c r="AS14">
        <v>99</v>
      </c>
      <c r="AT14">
        <v>105</v>
      </c>
      <c r="AU14">
        <v>99</v>
      </c>
      <c r="AV14">
        <v>96</v>
      </c>
      <c r="AW14">
        <v>96</v>
      </c>
      <c r="AX14">
        <v>178</v>
      </c>
      <c r="AY14">
        <v>178</v>
      </c>
      <c r="AZ14">
        <v>120</v>
      </c>
      <c r="BA14">
        <v>120</v>
      </c>
      <c r="BB14">
        <v>178</v>
      </c>
      <c r="BC14">
        <v>178</v>
      </c>
      <c r="BD14">
        <v>178</v>
      </c>
      <c r="BE14">
        <v>105</v>
      </c>
      <c r="BF14">
        <v>99</v>
      </c>
      <c r="BG14">
        <v>99</v>
      </c>
      <c r="BH14">
        <v>99</v>
      </c>
      <c r="BI14">
        <v>82</v>
      </c>
      <c r="BJ14">
        <v>82</v>
      </c>
      <c r="BK14">
        <v>136</v>
      </c>
      <c r="BL14">
        <v>140</v>
      </c>
      <c r="BM14">
        <v>130</v>
      </c>
      <c r="BN14">
        <v>99</v>
      </c>
      <c r="BO14">
        <v>122</v>
      </c>
      <c r="BP14">
        <v>196</v>
      </c>
      <c r="BQ14">
        <v>178</v>
      </c>
      <c r="BR14">
        <v>136</v>
      </c>
      <c r="BS14">
        <v>178</v>
      </c>
      <c r="BT14">
        <v>124</v>
      </c>
      <c r="BU14">
        <v>178</v>
      </c>
      <c r="BV14">
        <v>178</v>
      </c>
      <c r="BW14">
        <v>178</v>
      </c>
      <c r="BX14">
        <v>99</v>
      </c>
      <c r="BY14">
        <v>136</v>
      </c>
      <c r="BZ14">
        <v>195</v>
      </c>
      <c r="CA14">
        <v>178</v>
      </c>
      <c r="CB14">
        <v>178</v>
      </c>
      <c r="CC14">
        <v>192</v>
      </c>
      <c r="CD14">
        <v>187</v>
      </c>
      <c r="CE14">
        <v>120</v>
      </c>
      <c r="CF14">
        <v>187</v>
      </c>
      <c r="CG14">
        <v>187</v>
      </c>
      <c r="CH14">
        <v>187</v>
      </c>
      <c r="CI14">
        <v>119</v>
      </c>
      <c r="CJ14">
        <v>119</v>
      </c>
      <c r="CK14">
        <v>570</v>
      </c>
      <c r="CL14">
        <v>570</v>
      </c>
      <c r="CM14">
        <v>140</v>
      </c>
      <c r="CN14">
        <v>140</v>
      </c>
      <c r="CO14">
        <v>842</v>
      </c>
      <c r="CP14">
        <v>105</v>
      </c>
      <c r="CQ14">
        <v>109</v>
      </c>
      <c r="CR14">
        <v>109</v>
      </c>
      <c r="CS14">
        <v>82</v>
      </c>
      <c r="CT14">
        <v>82</v>
      </c>
      <c r="CU14">
        <v>75</v>
      </c>
      <c r="CV14">
        <v>75</v>
      </c>
      <c r="CW14">
        <v>178</v>
      </c>
      <c r="CX14">
        <v>178</v>
      </c>
      <c r="CY14">
        <v>178</v>
      </c>
      <c r="CZ14">
        <v>178</v>
      </c>
      <c r="DA14">
        <v>82</v>
      </c>
      <c r="DB14">
        <v>82</v>
      </c>
      <c r="DC14">
        <v>710</v>
      </c>
      <c r="DD14">
        <v>69</v>
      </c>
      <c r="DE14">
        <v>70</v>
      </c>
      <c r="DF14">
        <v>710</v>
      </c>
      <c r="DG14">
        <v>710</v>
      </c>
      <c r="DH14">
        <v>710</v>
      </c>
      <c r="DI14">
        <v>144</v>
      </c>
      <c r="DJ14">
        <v>63</v>
      </c>
      <c r="DK14">
        <v>99</v>
      </c>
      <c r="DL14">
        <v>570</v>
      </c>
      <c r="DM14">
        <v>570</v>
      </c>
      <c r="DN14">
        <v>178</v>
      </c>
      <c r="DO14">
        <v>200</v>
      </c>
      <c r="DP14">
        <v>109</v>
      </c>
      <c r="DQ14">
        <v>109</v>
      </c>
      <c r="DR14">
        <v>79</v>
      </c>
      <c r="DS14">
        <v>79</v>
      </c>
      <c r="DT14">
        <v>434</v>
      </c>
      <c r="DU14">
        <v>740</v>
      </c>
      <c r="DV14">
        <v>228</v>
      </c>
      <c r="DW14">
        <v>115</v>
      </c>
      <c r="DX14">
        <v>195</v>
      </c>
      <c r="DY14">
        <v>124</v>
      </c>
      <c r="DZ14">
        <v>80</v>
      </c>
      <c r="EA14">
        <v>120</v>
      </c>
      <c r="EB14">
        <v>105</v>
      </c>
      <c r="EC14">
        <v>178</v>
      </c>
      <c r="ED14">
        <v>178</v>
      </c>
      <c r="EE14">
        <v>178</v>
      </c>
      <c r="EF14">
        <v>69</v>
      </c>
      <c r="EG14">
        <v>70</v>
      </c>
      <c r="EH14">
        <v>69</v>
      </c>
      <c r="EI14">
        <v>69</v>
      </c>
      <c r="EJ14">
        <v>132</v>
      </c>
      <c r="EK14">
        <v>132</v>
      </c>
      <c r="EL14">
        <v>710</v>
      </c>
      <c r="EM14">
        <v>710</v>
      </c>
      <c r="EN14">
        <v>66</v>
      </c>
      <c r="EO14">
        <v>66</v>
      </c>
      <c r="EP14">
        <v>710</v>
      </c>
      <c r="EQ14">
        <v>109</v>
      </c>
      <c r="ER14">
        <v>109</v>
      </c>
      <c r="ES14">
        <v>82</v>
      </c>
      <c r="ET14">
        <v>82</v>
      </c>
      <c r="EU14">
        <v>144</v>
      </c>
      <c r="EV14">
        <v>144</v>
      </c>
      <c r="EW14">
        <v>710</v>
      </c>
      <c r="EX14">
        <v>178</v>
      </c>
      <c r="EY14">
        <v>124</v>
      </c>
      <c r="EZ14">
        <v>99</v>
      </c>
      <c r="FA14">
        <v>99</v>
      </c>
      <c r="FB14">
        <v>99</v>
      </c>
      <c r="FC14">
        <v>761</v>
      </c>
      <c r="FD14">
        <v>187</v>
      </c>
      <c r="FE14">
        <v>761</v>
      </c>
      <c r="FF14">
        <v>761</v>
      </c>
      <c r="FG14">
        <v>761</v>
      </c>
      <c r="FH14">
        <v>178</v>
      </c>
      <c r="FI14">
        <v>178</v>
      </c>
      <c r="FJ14">
        <v>115</v>
      </c>
      <c r="FK14">
        <v>434</v>
      </c>
      <c r="FL14">
        <v>434</v>
      </c>
      <c r="FM14">
        <v>555</v>
      </c>
      <c r="FN14">
        <v>123</v>
      </c>
      <c r="FO14">
        <v>178</v>
      </c>
      <c r="FP14">
        <v>130</v>
      </c>
      <c r="FQ14">
        <v>178</v>
      </c>
      <c r="FR14">
        <v>103</v>
      </c>
      <c r="FS14">
        <v>238</v>
      </c>
      <c r="FT14">
        <v>434</v>
      </c>
      <c r="FU14">
        <v>178</v>
      </c>
      <c r="FV14">
        <v>132</v>
      </c>
      <c r="FW14">
        <v>178</v>
      </c>
      <c r="FX14">
        <v>144</v>
      </c>
      <c r="FY14">
        <v>144</v>
      </c>
      <c r="FZ14">
        <v>140</v>
      </c>
      <c r="GA14">
        <v>140</v>
      </c>
      <c r="GB14">
        <v>136</v>
      </c>
      <c r="GC14">
        <v>178</v>
      </c>
      <c r="GD14">
        <v>178</v>
      </c>
      <c r="GE14">
        <v>178</v>
      </c>
      <c r="GF14">
        <v>196</v>
      </c>
      <c r="GG14">
        <v>178</v>
      </c>
      <c r="GH14">
        <v>178</v>
      </c>
      <c r="GI14">
        <v>178</v>
      </c>
      <c r="GJ14">
        <v>130</v>
      </c>
      <c r="GK14">
        <v>99</v>
      </c>
      <c r="GL14">
        <v>136</v>
      </c>
      <c r="GM14">
        <v>178</v>
      </c>
      <c r="GN14">
        <v>105</v>
      </c>
      <c r="GO14">
        <v>187</v>
      </c>
      <c r="GP14">
        <v>187</v>
      </c>
      <c r="GQ14">
        <v>187</v>
      </c>
      <c r="GR14">
        <v>105</v>
      </c>
      <c r="GS14">
        <v>130</v>
      </c>
      <c r="GT14">
        <v>434</v>
      </c>
      <c r="GU14">
        <v>105</v>
      </c>
      <c r="GV14">
        <v>105</v>
      </c>
      <c r="GW14">
        <v>593</v>
      </c>
      <c r="GX14">
        <v>119</v>
      </c>
      <c r="GY14">
        <v>178</v>
      </c>
      <c r="GZ14">
        <v>120</v>
      </c>
      <c r="HA14">
        <v>178</v>
      </c>
      <c r="HB14">
        <v>178</v>
      </c>
      <c r="HC14">
        <v>178</v>
      </c>
      <c r="HD14">
        <v>646</v>
      </c>
      <c r="HE14">
        <v>161</v>
      </c>
      <c r="HF14">
        <v>161</v>
      </c>
      <c r="HG14">
        <v>434</v>
      </c>
      <c r="HH14">
        <v>434</v>
      </c>
      <c r="HI14">
        <v>187</v>
      </c>
      <c r="HJ14">
        <v>124</v>
      </c>
      <c r="HK14">
        <v>99</v>
      </c>
      <c r="HL14">
        <v>105</v>
      </c>
      <c r="HM14">
        <v>63</v>
      </c>
      <c r="HN14">
        <v>178</v>
      </c>
      <c r="HO14">
        <v>187</v>
      </c>
      <c r="HP14">
        <v>136</v>
      </c>
      <c r="HQ14">
        <v>187</v>
      </c>
      <c r="HR14">
        <v>187</v>
      </c>
      <c r="HS14">
        <v>99</v>
      </c>
      <c r="HT14">
        <v>99</v>
      </c>
      <c r="HU14">
        <v>105</v>
      </c>
      <c r="HV14">
        <v>178</v>
      </c>
      <c r="HW14">
        <v>178</v>
      </c>
      <c r="HX14">
        <v>1577</v>
      </c>
      <c r="HY14">
        <v>1577</v>
      </c>
      <c r="HZ14">
        <v>143</v>
      </c>
      <c r="IA14">
        <v>104</v>
      </c>
      <c r="IB14">
        <v>82</v>
      </c>
      <c r="IC14">
        <v>82</v>
      </c>
      <c r="ID14">
        <v>82</v>
      </c>
      <c r="IE14">
        <v>82</v>
      </c>
      <c r="IF14">
        <v>186</v>
      </c>
      <c r="IG14">
        <v>124</v>
      </c>
      <c r="IH14">
        <v>136</v>
      </c>
      <c r="II14">
        <v>99</v>
      </c>
      <c r="IJ14">
        <v>178</v>
      </c>
      <c r="IK14">
        <v>178</v>
      </c>
      <c r="IL14">
        <v>99</v>
      </c>
      <c r="IM14">
        <v>99</v>
      </c>
      <c r="IN14">
        <v>105</v>
      </c>
      <c r="IO14">
        <v>105</v>
      </c>
      <c r="IP14">
        <v>99</v>
      </c>
      <c r="IQ14">
        <v>99</v>
      </c>
      <c r="IR14">
        <v>100</v>
      </c>
      <c r="IS14">
        <v>100</v>
      </c>
      <c r="IT14">
        <v>200</v>
      </c>
      <c r="IU14">
        <v>143</v>
      </c>
      <c r="IV14">
        <v>82</v>
      </c>
      <c r="IW14">
        <v>82</v>
      </c>
      <c r="IX14">
        <v>82</v>
      </c>
      <c r="IY14">
        <v>412</v>
      </c>
      <c r="IZ14">
        <v>412</v>
      </c>
      <c r="JA14">
        <v>82</v>
      </c>
      <c r="JB14">
        <v>82</v>
      </c>
      <c r="JC14">
        <v>109</v>
      </c>
      <c r="JD14">
        <v>178</v>
      </c>
      <c r="JE14">
        <v>99</v>
      </c>
      <c r="JF14">
        <v>82</v>
      </c>
      <c r="JG14">
        <v>109</v>
      </c>
      <c r="JH14">
        <v>140</v>
      </c>
      <c r="JI14">
        <v>140</v>
      </c>
      <c r="JJ14">
        <v>196</v>
      </c>
      <c r="JK14">
        <v>178</v>
      </c>
      <c r="JL14">
        <v>178</v>
      </c>
      <c r="JM14">
        <v>99</v>
      </c>
      <c r="JN14">
        <v>178</v>
      </c>
      <c r="JO14">
        <v>350</v>
      </c>
      <c r="JP14">
        <v>99</v>
      </c>
      <c r="JQ14">
        <v>99</v>
      </c>
      <c r="JR14">
        <v>99</v>
      </c>
      <c r="JS14">
        <v>392</v>
      </c>
      <c r="JT14">
        <v>97</v>
      </c>
      <c r="JU14">
        <v>99</v>
      </c>
      <c r="JV14">
        <v>761</v>
      </c>
      <c r="JW14">
        <v>178</v>
      </c>
      <c r="JX14">
        <v>124</v>
      </c>
      <c r="JY14">
        <v>103</v>
      </c>
      <c r="JZ14">
        <v>178</v>
      </c>
      <c r="KA14">
        <v>746</v>
      </c>
      <c r="KB14">
        <v>646</v>
      </c>
      <c r="KC14">
        <v>178</v>
      </c>
      <c r="KD14">
        <v>178</v>
      </c>
      <c r="KE14">
        <v>178</v>
      </c>
      <c r="KF14">
        <v>178</v>
      </c>
      <c r="KG14">
        <v>190</v>
      </c>
      <c r="KH14">
        <v>105</v>
      </c>
      <c r="KI14">
        <v>136</v>
      </c>
      <c r="KJ14">
        <v>134</v>
      </c>
      <c r="KK14">
        <v>136</v>
      </c>
      <c r="KL14">
        <v>136</v>
      </c>
      <c r="KM14">
        <v>99</v>
      </c>
      <c r="KN14">
        <v>105</v>
      </c>
      <c r="KO14">
        <v>99</v>
      </c>
      <c r="KP14">
        <v>105</v>
      </c>
      <c r="KQ14">
        <v>99</v>
      </c>
      <c r="KR14">
        <v>99</v>
      </c>
      <c r="KS14">
        <v>99</v>
      </c>
      <c r="KT14">
        <v>74</v>
      </c>
      <c r="KU14">
        <v>74</v>
      </c>
      <c r="KV14">
        <v>99</v>
      </c>
      <c r="KW14">
        <v>178</v>
      </c>
      <c r="KX14">
        <v>178</v>
      </c>
      <c r="KY14">
        <v>99</v>
      </c>
      <c r="KZ14">
        <v>104</v>
      </c>
      <c r="LA14">
        <v>178</v>
      </c>
      <c r="LB14">
        <v>178</v>
      </c>
      <c r="LC14">
        <v>211</v>
      </c>
      <c r="LD14">
        <v>196</v>
      </c>
      <c r="LE14">
        <v>69</v>
      </c>
      <c r="LF14">
        <v>69</v>
      </c>
      <c r="LG14">
        <v>144</v>
      </c>
      <c r="LH14">
        <v>144</v>
      </c>
      <c r="LI14">
        <v>103</v>
      </c>
      <c r="LJ14">
        <v>99</v>
      </c>
      <c r="LK14">
        <v>99</v>
      </c>
      <c r="LL14">
        <v>82</v>
      </c>
      <c r="LM14">
        <v>82</v>
      </c>
      <c r="LN14">
        <v>82</v>
      </c>
      <c r="LO14">
        <v>82</v>
      </c>
      <c r="LP14">
        <v>82</v>
      </c>
      <c r="LQ14">
        <v>99</v>
      </c>
      <c r="LR14">
        <v>79</v>
      </c>
      <c r="LS14">
        <v>79</v>
      </c>
      <c r="LT14">
        <v>108</v>
      </c>
      <c r="LU14">
        <v>109</v>
      </c>
      <c r="LV14">
        <v>109</v>
      </c>
      <c r="LW14">
        <v>99</v>
      </c>
      <c r="LX14">
        <v>99</v>
      </c>
      <c r="LY14">
        <v>99</v>
      </c>
      <c r="LZ14">
        <v>178</v>
      </c>
      <c r="MA14">
        <v>393</v>
      </c>
      <c r="MB14">
        <v>350</v>
      </c>
      <c r="MC14">
        <v>350</v>
      </c>
      <c r="MD14">
        <v>434</v>
      </c>
      <c r="ME14">
        <v>1283</v>
      </c>
      <c r="MF14">
        <v>351</v>
      </c>
      <c r="MG14">
        <v>140</v>
      </c>
      <c r="MH14">
        <v>140</v>
      </c>
      <c r="MI14">
        <v>140</v>
      </c>
      <c r="MJ14">
        <v>186</v>
      </c>
      <c r="MK14">
        <v>157</v>
      </c>
      <c r="ML14">
        <v>144</v>
      </c>
      <c r="MM14">
        <v>186</v>
      </c>
      <c r="MN14">
        <v>195</v>
      </c>
      <c r="MO14">
        <v>105</v>
      </c>
      <c r="MP14">
        <v>119</v>
      </c>
      <c r="MQ14">
        <v>593</v>
      </c>
      <c r="MR14">
        <v>119</v>
      </c>
      <c r="MS14">
        <v>332</v>
      </c>
      <c r="MT14">
        <v>120</v>
      </c>
      <c r="MU14">
        <v>80</v>
      </c>
      <c r="MV14">
        <v>536</v>
      </c>
      <c r="MW14">
        <v>105</v>
      </c>
      <c r="MX14">
        <v>144</v>
      </c>
      <c r="MY14">
        <v>144</v>
      </c>
      <c r="MZ14">
        <v>105</v>
      </c>
      <c r="NA14">
        <v>384</v>
      </c>
      <c r="NB14">
        <v>99</v>
      </c>
      <c r="NC14">
        <v>99</v>
      </c>
      <c r="ND14">
        <v>434</v>
      </c>
      <c r="NE14">
        <v>98</v>
      </c>
      <c r="NF14">
        <v>107</v>
      </c>
      <c r="NG14">
        <v>140</v>
      </c>
      <c r="NH14">
        <v>107</v>
      </c>
      <c r="NI14">
        <v>140</v>
      </c>
      <c r="NJ14">
        <v>99</v>
      </c>
      <c r="NK14">
        <v>99</v>
      </c>
      <c r="NL14">
        <v>178</v>
      </c>
      <c r="NM14">
        <v>103</v>
      </c>
      <c r="NN14">
        <v>103</v>
      </c>
      <c r="NO14">
        <v>103</v>
      </c>
      <c r="NP14">
        <v>120</v>
      </c>
      <c r="NQ14">
        <v>120</v>
      </c>
      <c r="NR14">
        <v>570</v>
      </c>
      <c r="NS14">
        <v>99</v>
      </c>
      <c r="NT14">
        <v>393</v>
      </c>
      <c r="NU14">
        <v>434</v>
      </c>
      <c r="NV14">
        <v>593</v>
      </c>
      <c r="NW14">
        <v>178</v>
      </c>
      <c r="NX14">
        <v>178</v>
      </c>
      <c r="NY14">
        <v>178</v>
      </c>
      <c r="NZ14">
        <v>178</v>
      </c>
      <c r="OA14">
        <v>136</v>
      </c>
      <c r="OB14">
        <v>122</v>
      </c>
      <c r="OC14">
        <v>82</v>
      </c>
      <c r="OD14">
        <v>82</v>
      </c>
      <c r="OE14">
        <v>105</v>
      </c>
      <c r="OF14">
        <v>434</v>
      </c>
      <c r="OG14">
        <v>350</v>
      </c>
      <c r="OH14">
        <v>99</v>
      </c>
      <c r="OI14">
        <v>99</v>
      </c>
      <c r="OJ14">
        <v>99</v>
      </c>
      <c r="OK14">
        <v>99</v>
      </c>
      <c r="OL14">
        <v>99</v>
      </c>
      <c r="OM14">
        <v>99</v>
      </c>
      <c r="ON14">
        <v>200</v>
      </c>
      <c r="OO14">
        <v>200</v>
      </c>
      <c r="OP14">
        <v>119</v>
      </c>
      <c r="OQ14">
        <v>105</v>
      </c>
      <c r="OR14">
        <v>105</v>
      </c>
      <c r="OS14">
        <v>195</v>
      </c>
      <c r="OT14">
        <v>710</v>
      </c>
      <c r="OU14">
        <v>82</v>
      </c>
      <c r="OV14">
        <v>80</v>
      </c>
      <c r="OW14">
        <v>107</v>
      </c>
      <c r="OX14">
        <v>140</v>
      </c>
      <c r="OY14">
        <v>136</v>
      </c>
      <c r="OZ14">
        <v>136</v>
      </c>
      <c r="PA14">
        <v>104</v>
      </c>
      <c r="PB14">
        <v>196</v>
      </c>
      <c r="PC14">
        <v>80</v>
      </c>
      <c r="PD14">
        <v>562</v>
      </c>
      <c r="PE14">
        <v>120</v>
      </c>
      <c r="PF14">
        <v>267</v>
      </c>
      <c r="PG14">
        <v>351</v>
      </c>
      <c r="PH14">
        <v>593</v>
      </c>
      <c r="PI14">
        <v>178</v>
      </c>
      <c r="PJ14">
        <v>99</v>
      </c>
      <c r="PK14">
        <v>134</v>
      </c>
      <c r="PL14">
        <v>103</v>
      </c>
      <c r="PM14">
        <v>103</v>
      </c>
      <c r="PN14">
        <v>710</v>
      </c>
      <c r="PO14">
        <v>710</v>
      </c>
      <c r="PP14">
        <v>710</v>
      </c>
      <c r="PQ14">
        <v>185</v>
      </c>
      <c r="PR14">
        <v>178</v>
      </c>
      <c r="PS14">
        <v>99</v>
      </c>
      <c r="PT14">
        <v>178</v>
      </c>
      <c r="PU14">
        <v>178</v>
      </c>
      <c r="PV14">
        <v>119</v>
      </c>
      <c r="PW14">
        <v>120</v>
      </c>
      <c r="PX14">
        <v>136</v>
      </c>
      <c r="PY14">
        <v>434</v>
      </c>
      <c r="PZ14">
        <v>512</v>
      </c>
      <c r="QA14">
        <v>99</v>
      </c>
      <c r="QB14">
        <v>80</v>
      </c>
      <c r="QC14">
        <v>269</v>
      </c>
      <c r="QD14">
        <v>178</v>
      </c>
      <c r="QE14">
        <v>140</v>
      </c>
      <c r="QF14">
        <v>136</v>
      </c>
      <c r="QG14">
        <v>731</v>
      </c>
      <c r="QH14">
        <v>731</v>
      </c>
      <c r="QI14">
        <v>660</v>
      </c>
      <c r="QJ14">
        <v>660</v>
      </c>
      <c r="QK14">
        <v>136</v>
      </c>
      <c r="QL14">
        <v>99</v>
      </c>
      <c r="QM14">
        <v>99</v>
      </c>
      <c r="QN14">
        <v>350</v>
      </c>
      <c r="QO14">
        <v>350</v>
      </c>
      <c r="QP14">
        <v>99</v>
      </c>
      <c r="QQ14">
        <v>178</v>
      </c>
      <c r="QR14">
        <v>99</v>
      </c>
      <c r="QS14">
        <v>109</v>
      </c>
      <c r="QT14">
        <v>143</v>
      </c>
      <c r="QU14">
        <v>434</v>
      </c>
      <c r="QV14">
        <v>178</v>
      </c>
      <c r="QW14">
        <v>99</v>
      </c>
      <c r="QX14">
        <v>140</v>
      </c>
      <c r="QY14">
        <v>190</v>
      </c>
      <c r="QZ14">
        <v>195</v>
      </c>
      <c r="RA14">
        <v>135</v>
      </c>
      <c r="RB14">
        <v>195</v>
      </c>
      <c r="RC14">
        <v>710</v>
      </c>
      <c r="RD14">
        <v>136</v>
      </c>
      <c r="RE14">
        <v>105</v>
      </c>
      <c r="RF14">
        <v>124</v>
      </c>
      <c r="RG14">
        <v>99</v>
      </c>
      <c r="RH14">
        <v>353</v>
      </c>
      <c r="RI14">
        <v>178</v>
      </c>
      <c r="RJ14">
        <v>99</v>
      </c>
      <c r="RK14">
        <v>136</v>
      </c>
      <c r="RL14">
        <v>99</v>
      </c>
      <c r="RM14">
        <v>187</v>
      </c>
      <c r="RN14">
        <v>99</v>
      </c>
      <c r="RO14">
        <v>761</v>
      </c>
      <c r="RP14">
        <v>761</v>
      </c>
      <c r="RQ14">
        <v>99</v>
      </c>
      <c r="RR14">
        <v>99</v>
      </c>
      <c r="RS14">
        <v>99</v>
      </c>
      <c r="RT14">
        <v>99</v>
      </c>
      <c r="RU14">
        <v>136</v>
      </c>
      <c r="RV14">
        <v>124</v>
      </c>
      <c r="RW14">
        <v>99</v>
      </c>
      <c r="RX14">
        <v>99</v>
      </c>
      <c r="RY14">
        <v>136</v>
      </c>
      <c r="RZ14">
        <v>105</v>
      </c>
      <c r="SA14">
        <v>136</v>
      </c>
      <c r="SB14">
        <v>100</v>
      </c>
      <c r="SC14">
        <v>99</v>
      </c>
      <c r="SD14">
        <v>178</v>
      </c>
      <c r="SE14">
        <v>99</v>
      </c>
      <c r="SF14">
        <v>99</v>
      </c>
      <c r="SG14">
        <v>99</v>
      </c>
      <c r="SH14">
        <v>99</v>
      </c>
      <c r="SI14">
        <v>82</v>
      </c>
      <c r="SJ14">
        <v>80</v>
      </c>
      <c r="SK14">
        <v>99</v>
      </c>
      <c r="SL14">
        <v>99</v>
      </c>
      <c r="SM14">
        <v>95</v>
      </c>
      <c r="SN14">
        <v>710</v>
      </c>
      <c r="SO14">
        <v>710</v>
      </c>
      <c r="SP14">
        <v>350</v>
      </c>
      <c r="SQ14">
        <v>120</v>
      </c>
      <c r="SR14">
        <v>104</v>
      </c>
      <c r="SS14">
        <v>710</v>
      </c>
      <c r="ST14">
        <v>710</v>
      </c>
      <c r="SU14">
        <v>99</v>
      </c>
      <c r="SV14">
        <v>99</v>
      </c>
      <c r="SW14">
        <v>80</v>
      </c>
      <c r="SX14">
        <v>178</v>
      </c>
      <c r="SY14">
        <v>269</v>
      </c>
      <c r="SZ14">
        <v>325</v>
      </c>
      <c r="TA14">
        <v>350</v>
      </c>
      <c r="TB14">
        <v>119</v>
      </c>
      <c r="TC14">
        <v>120</v>
      </c>
      <c r="TD14">
        <v>140</v>
      </c>
      <c r="TE14">
        <v>140</v>
      </c>
      <c r="TF14">
        <v>99</v>
      </c>
      <c r="TG14">
        <v>105</v>
      </c>
      <c r="TH14">
        <v>100</v>
      </c>
      <c r="TI14">
        <v>120</v>
      </c>
      <c r="TJ14">
        <v>139</v>
      </c>
      <c r="TK14">
        <v>135</v>
      </c>
      <c r="TL14">
        <v>190</v>
      </c>
      <c r="TM14">
        <v>99</v>
      </c>
      <c r="TN14">
        <v>99</v>
      </c>
      <c r="TO14">
        <v>1283</v>
      </c>
      <c r="TP14">
        <v>537</v>
      </c>
      <c r="TQ14">
        <v>178</v>
      </c>
      <c r="TR14">
        <v>178</v>
      </c>
      <c r="TS14">
        <v>178</v>
      </c>
      <c r="TT14">
        <v>105</v>
      </c>
      <c r="TU14">
        <v>105</v>
      </c>
      <c r="TV14">
        <v>136</v>
      </c>
      <c r="TW14">
        <v>105</v>
      </c>
      <c r="TX14">
        <v>82</v>
      </c>
      <c r="TY14">
        <v>82</v>
      </c>
      <c r="TZ14">
        <v>119</v>
      </c>
      <c r="UA14">
        <v>332</v>
      </c>
      <c r="UB14">
        <v>109</v>
      </c>
      <c r="UC14">
        <v>82</v>
      </c>
      <c r="UD14">
        <v>186</v>
      </c>
      <c r="UE14">
        <v>105</v>
      </c>
      <c r="UF14">
        <v>434</v>
      </c>
      <c r="UG14">
        <v>1577</v>
      </c>
      <c r="UH14">
        <v>105</v>
      </c>
      <c r="UI14">
        <v>105</v>
      </c>
      <c r="UJ14">
        <v>267</v>
      </c>
      <c r="UK14">
        <v>269</v>
      </c>
      <c r="UL14">
        <v>269</v>
      </c>
      <c r="UM14">
        <v>593</v>
      </c>
      <c r="UN14">
        <v>178</v>
      </c>
      <c r="UO14">
        <v>136</v>
      </c>
      <c r="UP14">
        <v>467</v>
      </c>
      <c r="UQ14">
        <v>63</v>
      </c>
      <c r="UR14">
        <v>195</v>
      </c>
      <c r="US14">
        <v>178</v>
      </c>
      <c r="UT14">
        <v>125</v>
      </c>
      <c r="UU14">
        <v>125</v>
      </c>
      <c r="UV14">
        <v>99</v>
      </c>
      <c r="UW14">
        <v>95</v>
      </c>
      <c r="UX14">
        <v>99</v>
      </c>
      <c r="UY14">
        <v>178</v>
      </c>
      <c r="UZ14">
        <v>178</v>
      </c>
      <c r="VA14">
        <v>105</v>
      </c>
      <c r="VB14">
        <v>99</v>
      </c>
      <c r="VC14">
        <v>99</v>
      </c>
      <c r="VD14">
        <v>105</v>
      </c>
      <c r="VE14">
        <v>105</v>
      </c>
      <c r="VF14">
        <v>105</v>
      </c>
      <c r="VG14">
        <v>710</v>
      </c>
      <c r="VH14">
        <v>710</v>
      </c>
      <c r="VI14">
        <v>79</v>
      </c>
      <c r="VJ14">
        <v>79</v>
      </c>
      <c r="VK14">
        <v>105</v>
      </c>
      <c r="VL14">
        <v>178</v>
      </c>
      <c r="VM14">
        <v>186</v>
      </c>
      <c r="VN14">
        <v>178</v>
      </c>
      <c r="VO14">
        <v>685</v>
      </c>
    </row>
    <row r="15" spans="1:587" x14ac:dyDescent="0.3">
      <c r="A15" t="s">
        <v>3010</v>
      </c>
      <c r="B15" cm="1">
        <f t="array" ref="B15:VO15">1*TRANSPOSE(_xlfn._xlws.FILTER(branch!$I$2:$I$591,branch!$D$2:$D$591&lt;&gt;0))</f>
        <v>99</v>
      </c>
      <c r="C15">
        <v>99</v>
      </c>
      <c r="D15">
        <v>178</v>
      </c>
      <c r="E15">
        <v>145</v>
      </c>
      <c r="F15">
        <v>536</v>
      </c>
      <c r="G15">
        <v>393</v>
      </c>
      <c r="H15">
        <v>393</v>
      </c>
      <c r="I15">
        <v>593</v>
      </c>
      <c r="J15">
        <v>434</v>
      </c>
      <c r="K15">
        <v>99</v>
      </c>
      <c r="L15">
        <v>140</v>
      </c>
      <c r="M15">
        <v>103</v>
      </c>
      <c r="N15">
        <v>109</v>
      </c>
      <c r="O15">
        <v>105</v>
      </c>
      <c r="P15">
        <v>99</v>
      </c>
      <c r="Q15">
        <v>187</v>
      </c>
      <c r="R15">
        <v>187</v>
      </c>
      <c r="S15">
        <v>187</v>
      </c>
      <c r="T15">
        <v>104</v>
      </c>
      <c r="U15">
        <v>112</v>
      </c>
      <c r="V15">
        <v>105</v>
      </c>
      <c r="W15">
        <v>82</v>
      </c>
      <c r="X15">
        <v>82</v>
      </c>
      <c r="Y15">
        <v>105</v>
      </c>
      <c r="Z15">
        <v>105</v>
      </c>
      <c r="AA15">
        <v>99</v>
      </c>
      <c r="AB15">
        <v>178</v>
      </c>
      <c r="AC15">
        <v>434</v>
      </c>
      <c r="AD15">
        <v>434</v>
      </c>
      <c r="AE15">
        <v>34</v>
      </c>
      <c r="AF15">
        <v>120</v>
      </c>
      <c r="AG15">
        <v>120</v>
      </c>
      <c r="AH15">
        <v>104</v>
      </c>
      <c r="AI15">
        <v>178</v>
      </c>
      <c r="AJ15">
        <v>178</v>
      </c>
      <c r="AK15">
        <v>178</v>
      </c>
      <c r="AL15">
        <v>178</v>
      </c>
      <c r="AM15">
        <v>120</v>
      </c>
      <c r="AN15">
        <v>178</v>
      </c>
      <c r="AO15">
        <v>99</v>
      </c>
      <c r="AP15">
        <v>178</v>
      </c>
      <c r="AQ15">
        <v>140</v>
      </c>
      <c r="AR15">
        <v>140</v>
      </c>
      <c r="AS15">
        <v>99</v>
      </c>
      <c r="AT15">
        <v>105</v>
      </c>
      <c r="AU15">
        <v>99</v>
      </c>
      <c r="AV15">
        <v>96</v>
      </c>
      <c r="AW15">
        <v>96</v>
      </c>
      <c r="AX15">
        <v>178</v>
      </c>
      <c r="AY15">
        <v>178</v>
      </c>
      <c r="AZ15">
        <v>120</v>
      </c>
      <c r="BA15">
        <v>120</v>
      </c>
      <c r="BB15">
        <v>178</v>
      </c>
      <c r="BC15">
        <v>178</v>
      </c>
      <c r="BD15">
        <v>178</v>
      </c>
      <c r="BE15">
        <v>105</v>
      </c>
      <c r="BF15">
        <v>99</v>
      </c>
      <c r="BG15">
        <v>99</v>
      </c>
      <c r="BH15">
        <v>99</v>
      </c>
      <c r="BI15">
        <v>82</v>
      </c>
      <c r="BJ15">
        <v>82</v>
      </c>
      <c r="BK15">
        <v>136</v>
      </c>
      <c r="BL15">
        <v>140</v>
      </c>
      <c r="BM15">
        <v>130</v>
      </c>
      <c r="BN15">
        <v>99</v>
      </c>
      <c r="BO15">
        <v>122</v>
      </c>
      <c r="BP15">
        <v>196</v>
      </c>
      <c r="BQ15">
        <v>178</v>
      </c>
      <c r="BR15">
        <v>136</v>
      </c>
      <c r="BS15">
        <v>178</v>
      </c>
      <c r="BT15">
        <v>124</v>
      </c>
      <c r="BU15">
        <v>178</v>
      </c>
      <c r="BV15">
        <v>178</v>
      </c>
      <c r="BW15">
        <v>178</v>
      </c>
      <c r="BX15">
        <v>99</v>
      </c>
      <c r="BY15">
        <v>136</v>
      </c>
      <c r="BZ15">
        <v>195</v>
      </c>
      <c r="CA15">
        <v>178</v>
      </c>
      <c r="CB15">
        <v>178</v>
      </c>
      <c r="CC15">
        <v>192</v>
      </c>
      <c r="CD15">
        <v>187</v>
      </c>
      <c r="CE15">
        <v>120</v>
      </c>
      <c r="CF15">
        <v>187</v>
      </c>
      <c r="CG15">
        <v>187</v>
      </c>
      <c r="CH15">
        <v>187</v>
      </c>
      <c r="CI15">
        <v>119</v>
      </c>
      <c r="CJ15">
        <v>119</v>
      </c>
      <c r="CK15">
        <v>570</v>
      </c>
      <c r="CL15">
        <v>570</v>
      </c>
      <c r="CM15">
        <v>140</v>
      </c>
      <c r="CN15">
        <v>140</v>
      </c>
      <c r="CO15">
        <v>842</v>
      </c>
      <c r="CP15">
        <v>105</v>
      </c>
      <c r="CQ15">
        <v>109</v>
      </c>
      <c r="CR15">
        <v>109</v>
      </c>
      <c r="CS15">
        <v>82</v>
      </c>
      <c r="CT15">
        <v>82</v>
      </c>
      <c r="CU15">
        <v>75</v>
      </c>
      <c r="CV15">
        <v>75</v>
      </c>
      <c r="CW15">
        <v>178</v>
      </c>
      <c r="CX15">
        <v>178</v>
      </c>
      <c r="CY15">
        <v>178</v>
      </c>
      <c r="CZ15">
        <v>178</v>
      </c>
      <c r="DA15">
        <v>82</v>
      </c>
      <c r="DB15">
        <v>82</v>
      </c>
      <c r="DC15">
        <v>710</v>
      </c>
      <c r="DD15">
        <v>69</v>
      </c>
      <c r="DE15">
        <v>70</v>
      </c>
      <c r="DF15">
        <v>710</v>
      </c>
      <c r="DG15">
        <v>710</v>
      </c>
      <c r="DH15">
        <v>710</v>
      </c>
      <c r="DI15">
        <v>144</v>
      </c>
      <c r="DJ15">
        <v>63</v>
      </c>
      <c r="DK15">
        <v>99</v>
      </c>
      <c r="DL15">
        <v>570</v>
      </c>
      <c r="DM15">
        <v>570</v>
      </c>
      <c r="DN15">
        <v>178</v>
      </c>
      <c r="DO15">
        <v>200</v>
      </c>
      <c r="DP15">
        <v>109</v>
      </c>
      <c r="DQ15">
        <v>109</v>
      </c>
      <c r="DR15">
        <v>79</v>
      </c>
      <c r="DS15">
        <v>79</v>
      </c>
      <c r="DT15">
        <v>434</v>
      </c>
      <c r="DU15">
        <v>740</v>
      </c>
      <c r="DV15">
        <v>228</v>
      </c>
      <c r="DW15">
        <v>115</v>
      </c>
      <c r="DX15">
        <v>195</v>
      </c>
      <c r="DY15">
        <v>124</v>
      </c>
      <c r="DZ15">
        <v>80</v>
      </c>
      <c r="EA15">
        <v>120</v>
      </c>
      <c r="EB15">
        <v>105</v>
      </c>
      <c r="EC15">
        <v>178</v>
      </c>
      <c r="ED15">
        <v>178</v>
      </c>
      <c r="EE15">
        <v>178</v>
      </c>
      <c r="EF15">
        <v>69</v>
      </c>
      <c r="EG15">
        <v>70</v>
      </c>
      <c r="EH15">
        <v>69</v>
      </c>
      <c r="EI15">
        <v>69</v>
      </c>
      <c r="EJ15">
        <v>132</v>
      </c>
      <c r="EK15">
        <v>132</v>
      </c>
      <c r="EL15">
        <v>710</v>
      </c>
      <c r="EM15">
        <v>710</v>
      </c>
      <c r="EN15">
        <v>66</v>
      </c>
      <c r="EO15">
        <v>66</v>
      </c>
      <c r="EP15">
        <v>710</v>
      </c>
      <c r="EQ15">
        <v>109</v>
      </c>
      <c r="ER15">
        <v>109</v>
      </c>
      <c r="ES15">
        <v>82</v>
      </c>
      <c r="ET15">
        <v>82</v>
      </c>
      <c r="EU15">
        <v>144</v>
      </c>
      <c r="EV15">
        <v>144</v>
      </c>
      <c r="EW15">
        <v>710</v>
      </c>
      <c r="EX15">
        <v>178</v>
      </c>
      <c r="EY15">
        <v>124</v>
      </c>
      <c r="EZ15">
        <v>99</v>
      </c>
      <c r="FA15">
        <v>99</v>
      </c>
      <c r="FB15">
        <v>99</v>
      </c>
      <c r="FC15">
        <v>761</v>
      </c>
      <c r="FD15">
        <v>187</v>
      </c>
      <c r="FE15">
        <v>761</v>
      </c>
      <c r="FF15">
        <v>761</v>
      </c>
      <c r="FG15">
        <v>761</v>
      </c>
      <c r="FH15">
        <v>178</v>
      </c>
      <c r="FI15">
        <v>178</v>
      </c>
      <c r="FJ15">
        <v>115</v>
      </c>
      <c r="FK15">
        <v>434</v>
      </c>
      <c r="FL15">
        <v>434</v>
      </c>
      <c r="FM15">
        <v>555</v>
      </c>
      <c r="FN15">
        <v>123</v>
      </c>
      <c r="FO15">
        <v>178</v>
      </c>
      <c r="FP15">
        <v>130</v>
      </c>
      <c r="FQ15">
        <v>178</v>
      </c>
      <c r="FR15">
        <v>103</v>
      </c>
      <c r="FS15">
        <v>238</v>
      </c>
      <c r="FT15">
        <v>434</v>
      </c>
      <c r="FU15">
        <v>178</v>
      </c>
      <c r="FV15">
        <v>132</v>
      </c>
      <c r="FW15">
        <v>178</v>
      </c>
      <c r="FX15">
        <v>144</v>
      </c>
      <c r="FY15">
        <v>144</v>
      </c>
      <c r="FZ15">
        <v>140</v>
      </c>
      <c r="GA15">
        <v>140</v>
      </c>
      <c r="GB15">
        <v>136</v>
      </c>
      <c r="GC15">
        <v>178</v>
      </c>
      <c r="GD15">
        <v>178</v>
      </c>
      <c r="GE15">
        <v>178</v>
      </c>
      <c r="GF15">
        <v>196</v>
      </c>
      <c r="GG15">
        <v>178</v>
      </c>
      <c r="GH15">
        <v>178</v>
      </c>
      <c r="GI15">
        <v>178</v>
      </c>
      <c r="GJ15">
        <v>130</v>
      </c>
      <c r="GK15">
        <v>99</v>
      </c>
      <c r="GL15">
        <v>136</v>
      </c>
      <c r="GM15">
        <v>178</v>
      </c>
      <c r="GN15">
        <v>105</v>
      </c>
      <c r="GO15">
        <v>187</v>
      </c>
      <c r="GP15">
        <v>187</v>
      </c>
      <c r="GQ15">
        <v>187</v>
      </c>
      <c r="GR15">
        <v>105</v>
      </c>
      <c r="GS15">
        <v>130</v>
      </c>
      <c r="GT15">
        <v>434</v>
      </c>
      <c r="GU15">
        <v>105</v>
      </c>
      <c r="GV15">
        <v>105</v>
      </c>
      <c r="GW15">
        <v>593</v>
      </c>
      <c r="GX15">
        <v>119</v>
      </c>
      <c r="GY15">
        <v>178</v>
      </c>
      <c r="GZ15">
        <v>120</v>
      </c>
      <c r="HA15">
        <v>178</v>
      </c>
      <c r="HB15">
        <v>178</v>
      </c>
      <c r="HC15">
        <v>178</v>
      </c>
      <c r="HD15">
        <v>646</v>
      </c>
      <c r="HE15">
        <v>161</v>
      </c>
      <c r="HF15">
        <v>161</v>
      </c>
      <c r="HG15">
        <v>434</v>
      </c>
      <c r="HH15">
        <v>434</v>
      </c>
      <c r="HI15">
        <v>187</v>
      </c>
      <c r="HJ15">
        <v>124</v>
      </c>
      <c r="HK15">
        <v>99</v>
      </c>
      <c r="HL15">
        <v>105</v>
      </c>
      <c r="HM15">
        <v>63</v>
      </c>
      <c r="HN15">
        <v>178</v>
      </c>
      <c r="HO15">
        <v>187</v>
      </c>
      <c r="HP15">
        <v>136</v>
      </c>
      <c r="HQ15">
        <v>187</v>
      </c>
      <c r="HR15">
        <v>187</v>
      </c>
      <c r="HS15">
        <v>99</v>
      </c>
      <c r="HT15">
        <v>99</v>
      </c>
      <c r="HU15">
        <v>105</v>
      </c>
      <c r="HV15">
        <v>178</v>
      </c>
      <c r="HW15">
        <v>178</v>
      </c>
      <c r="HX15">
        <v>1577</v>
      </c>
      <c r="HY15">
        <v>1577</v>
      </c>
      <c r="HZ15">
        <v>143</v>
      </c>
      <c r="IA15">
        <v>104</v>
      </c>
      <c r="IB15">
        <v>82</v>
      </c>
      <c r="IC15">
        <v>82</v>
      </c>
      <c r="ID15">
        <v>82</v>
      </c>
      <c r="IE15">
        <v>82</v>
      </c>
      <c r="IF15">
        <v>186</v>
      </c>
      <c r="IG15">
        <v>124</v>
      </c>
      <c r="IH15">
        <v>136</v>
      </c>
      <c r="II15">
        <v>99</v>
      </c>
      <c r="IJ15">
        <v>178</v>
      </c>
      <c r="IK15">
        <v>178</v>
      </c>
      <c r="IL15">
        <v>99</v>
      </c>
      <c r="IM15">
        <v>99</v>
      </c>
      <c r="IN15">
        <v>105</v>
      </c>
      <c r="IO15">
        <v>105</v>
      </c>
      <c r="IP15">
        <v>99</v>
      </c>
      <c r="IQ15">
        <v>99</v>
      </c>
      <c r="IR15">
        <v>100</v>
      </c>
      <c r="IS15">
        <v>100</v>
      </c>
      <c r="IT15">
        <v>200</v>
      </c>
      <c r="IU15">
        <v>143</v>
      </c>
      <c r="IV15">
        <v>82</v>
      </c>
      <c r="IW15">
        <v>82</v>
      </c>
      <c r="IX15">
        <v>82</v>
      </c>
      <c r="IY15">
        <v>412</v>
      </c>
      <c r="IZ15">
        <v>412</v>
      </c>
      <c r="JA15">
        <v>82</v>
      </c>
      <c r="JB15">
        <v>82</v>
      </c>
      <c r="JC15">
        <v>109</v>
      </c>
      <c r="JD15">
        <v>178</v>
      </c>
      <c r="JE15">
        <v>99</v>
      </c>
      <c r="JF15">
        <v>82</v>
      </c>
      <c r="JG15">
        <v>109</v>
      </c>
      <c r="JH15">
        <v>140</v>
      </c>
      <c r="JI15">
        <v>140</v>
      </c>
      <c r="JJ15">
        <v>196</v>
      </c>
      <c r="JK15">
        <v>178</v>
      </c>
      <c r="JL15">
        <v>178</v>
      </c>
      <c r="JM15">
        <v>99</v>
      </c>
      <c r="JN15">
        <v>178</v>
      </c>
      <c r="JO15">
        <v>350</v>
      </c>
      <c r="JP15">
        <v>99</v>
      </c>
      <c r="JQ15">
        <v>99</v>
      </c>
      <c r="JR15">
        <v>99</v>
      </c>
      <c r="JS15">
        <v>392</v>
      </c>
      <c r="JT15">
        <v>97</v>
      </c>
      <c r="JU15">
        <v>99</v>
      </c>
      <c r="JV15">
        <v>761</v>
      </c>
      <c r="JW15">
        <v>178</v>
      </c>
      <c r="JX15">
        <v>124</v>
      </c>
      <c r="JY15">
        <v>103</v>
      </c>
      <c r="JZ15">
        <v>178</v>
      </c>
      <c r="KA15">
        <v>746</v>
      </c>
      <c r="KB15">
        <v>646</v>
      </c>
      <c r="KC15">
        <v>178</v>
      </c>
      <c r="KD15">
        <v>178</v>
      </c>
      <c r="KE15">
        <v>178</v>
      </c>
      <c r="KF15">
        <v>178</v>
      </c>
      <c r="KG15">
        <v>190</v>
      </c>
      <c r="KH15">
        <v>105</v>
      </c>
      <c r="KI15">
        <v>136</v>
      </c>
      <c r="KJ15">
        <v>134</v>
      </c>
      <c r="KK15">
        <v>136</v>
      </c>
      <c r="KL15">
        <v>136</v>
      </c>
      <c r="KM15">
        <v>99</v>
      </c>
      <c r="KN15">
        <v>105</v>
      </c>
      <c r="KO15">
        <v>99</v>
      </c>
      <c r="KP15">
        <v>105</v>
      </c>
      <c r="KQ15">
        <v>99</v>
      </c>
      <c r="KR15">
        <v>99</v>
      </c>
      <c r="KS15">
        <v>99</v>
      </c>
      <c r="KT15">
        <v>74</v>
      </c>
      <c r="KU15">
        <v>74</v>
      </c>
      <c r="KV15">
        <v>99</v>
      </c>
      <c r="KW15">
        <v>178</v>
      </c>
      <c r="KX15">
        <v>178</v>
      </c>
      <c r="KY15">
        <v>99</v>
      </c>
      <c r="KZ15">
        <v>104</v>
      </c>
      <c r="LA15">
        <v>178</v>
      </c>
      <c r="LB15">
        <v>178</v>
      </c>
      <c r="LC15">
        <v>211</v>
      </c>
      <c r="LD15">
        <v>196</v>
      </c>
      <c r="LE15">
        <v>69</v>
      </c>
      <c r="LF15">
        <v>69</v>
      </c>
      <c r="LG15">
        <v>144</v>
      </c>
      <c r="LH15">
        <v>144</v>
      </c>
      <c r="LI15">
        <v>103</v>
      </c>
      <c r="LJ15">
        <v>99</v>
      </c>
      <c r="LK15">
        <v>99</v>
      </c>
      <c r="LL15">
        <v>82</v>
      </c>
      <c r="LM15">
        <v>82</v>
      </c>
      <c r="LN15">
        <v>82</v>
      </c>
      <c r="LO15">
        <v>82</v>
      </c>
      <c r="LP15">
        <v>82</v>
      </c>
      <c r="LQ15">
        <v>99</v>
      </c>
      <c r="LR15">
        <v>79</v>
      </c>
      <c r="LS15">
        <v>79</v>
      </c>
      <c r="LT15">
        <v>108</v>
      </c>
      <c r="LU15">
        <v>109</v>
      </c>
      <c r="LV15">
        <v>109</v>
      </c>
      <c r="LW15">
        <v>99</v>
      </c>
      <c r="LX15">
        <v>99</v>
      </c>
      <c r="LY15">
        <v>99</v>
      </c>
      <c r="LZ15">
        <v>178</v>
      </c>
      <c r="MA15">
        <v>393</v>
      </c>
      <c r="MB15">
        <v>350</v>
      </c>
      <c r="MC15">
        <v>350</v>
      </c>
      <c r="MD15">
        <v>434</v>
      </c>
      <c r="ME15">
        <v>1283</v>
      </c>
      <c r="MF15">
        <v>351</v>
      </c>
      <c r="MG15">
        <v>140</v>
      </c>
      <c r="MH15">
        <v>140</v>
      </c>
      <c r="MI15">
        <v>140</v>
      </c>
      <c r="MJ15">
        <v>186</v>
      </c>
      <c r="MK15">
        <v>157</v>
      </c>
      <c r="ML15">
        <v>144</v>
      </c>
      <c r="MM15">
        <v>186</v>
      </c>
      <c r="MN15">
        <v>195</v>
      </c>
      <c r="MO15">
        <v>105</v>
      </c>
      <c r="MP15">
        <v>119</v>
      </c>
      <c r="MQ15">
        <v>593</v>
      </c>
      <c r="MR15">
        <v>119</v>
      </c>
      <c r="MS15">
        <v>332</v>
      </c>
      <c r="MT15">
        <v>120</v>
      </c>
      <c r="MU15">
        <v>80</v>
      </c>
      <c r="MV15">
        <v>536</v>
      </c>
      <c r="MW15">
        <v>105</v>
      </c>
      <c r="MX15">
        <v>144</v>
      </c>
      <c r="MY15">
        <v>144</v>
      </c>
      <c r="MZ15">
        <v>105</v>
      </c>
      <c r="NA15">
        <v>384</v>
      </c>
      <c r="NB15">
        <v>99</v>
      </c>
      <c r="NC15">
        <v>99</v>
      </c>
      <c r="ND15">
        <v>434</v>
      </c>
      <c r="NE15">
        <v>98</v>
      </c>
      <c r="NF15">
        <v>107</v>
      </c>
      <c r="NG15">
        <v>140</v>
      </c>
      <c r="NH15">
        <v>107</v>
      </c>
      <c r="NI15">
        <v>140</v>
      </c>
      <c r="NJ15">
        <v>99</v>
      </c>
      <c r="NK15">
        <v>99</v>
      </c>
      <c r="NL15">
        <v>178</v>
      </c>
      <c r="NM15">
        <v>103</v>
      </c>
      <c r="NN15">
        <v>103</v>
      </c>
      <c r="NO15">
        <v>103</v>
      </c>
      <c r="NP15">
        <v>120</v>
      </c>
      <c r="NQ15">
        <v>120</v>
      </c>
      <c r="NR15">
        <v>570</v>
      </c>
      <c r="NS15">
        <v>99</v>
      </c>
      <c r="NT15">
        <v>393</v>
      </c>
      <c r="NU15">
        <v>434</v>
      </c>
      <c r="NV15">
        <v>593</v>
      </c>
      <c r="NW15">
        <v>178</v>
      </c>
      <c r="NX15">
        <v>178</v>
      </c>
      <c r="NY15">
        <v>178</v>
      </c>
      <c r="NZ15">
        <v>178</v>
      </c>
      <c r="OA15">
        <v>136</v>
      </c>
      <c r="OB15">
        <v>122</v>
      </c>
      <c r="OC15">
        <v>82</v>
      </c>
      <c r="OD15">
        <v>82</v>
      </c>
      <c r="OE15">
        <v>105</v>
      </c>
      <c r="OF15">
        <v>434</v>
      </c>
      <c r="OG15">
        <v>350</v>
      </c>
      <c r="OH15">
        <v>99</v>
      </c>
      <c r="OI15">
        <v>99</v>
      </c>
      <c r="OJ15">
        <v>99</v>
      </c>
      <c r="OK15">
        <v>99</v>
      </c>
      <c r="OL15">
        <v>99</v>
      </c>
      <c r="OM15">
        <v>99</v>
      </c>
      <c r="ON15">
        <v>200</v>
      </c>
      <c r="OO15">
        <v>200</v>
      </c>
      <c r="OP15">
        <v>119</v>
      </c>
      <c r="OQ15">
        <v>105</v>
      </c>
      <c r="OR15">
        <v>105</v>
      </c>
      <c r="OS15">
        <v>195</v>
      </c>
      <c r="OT15">
        <v>710</v>
      </c>
      <c r="OU15">
        <v>82</v>
      </c>
      <c r="OV15">
        <v>80</v>
      </c>
      <c r="OW15">
        <v>107</v>
      </c>
      <c r="OX15">
        <v>140</v>
      </c>
      <c r="OY15">
        <v>136</v>
      </c>
      <c r="OZ15">
        <v>136</v>
      </c>
      <c r="PA15">
        <v>104</v>
      </c>
      <c r="PB15">
        <v>196</v>
      </c>
      <c r="PC15">
        <v>80</v>
      </c>
      <c r="PD15">
        <v>562</v>
      </c>
      <c r="PE15">
        <v>120</v>
      </c>
      <c r="PF15">
        <v>267</v>
      </c>
      <c r="PG15">
        <v>351</v>
      </c>
      <c r="PH15">
        <v>593</v>
      </c>
      <c r="PI15">
        <v>178</v>
      </c>
      <c r="PJ15">
        <v>99</v>
      </c>
      <c r="PK15">
        <v>134</v>
      </c>
      <c r="PL15">
        <v>103</v>
      </c>
      <c r="PM15">
        <v>103</v>
      </c>
      <c r="PN15">
        <v>710</v>
      </c>
      <c r="PO15">
        <v>710</v>
      </c>
      <c r="PP15">
        <v>710</v>
      </c>
      <c r="PQ15">
        <v>185</v>
      </c>
      <c r="PR15">
        <v>178</v>
      </c>
      <c r="PS15">
        <v>99</v>
      </c>
      <c r="PT15">
        <v>178</v>
      </c>
      <c r="PU15">
        <v>178</v>
      </c>
      <c r="PV15">
        <v>119</v>
      </c>
      <c r="PW15">
        <v>120</v>
      </c>
      <c r="PX15">
        <v>136</v>
      </c>
      <c r="PY15">
        <v>434</v>
      </c>
      <c r="PZ15">
        <v>512</v>
      </c>
      <c r="QA15">
        <v>99</v>
      </c>
      <c r="QB15">
        <v>80</v>
      </c>
      <c r="QC15">
        <v>269</v>
      </c>
      <c r="QD15">
        <v>178</v>
      </c>
      <c r="QE15">
        <v>140</v>
      </c>
      <c r="QF15">
        <v>136</v>
      </c>
      <c r="QG15">
        <v>731</v>
      </c>
      <c r="QH15">
        <v>731</v>
      </c>
      <c r="QI15">
        <v>660</v>
      </c>
      <c r="QJ15">
        <v>660</v>
      </c>
      <c r="QK15">
        <v>136</v>
      </c>
      <c r="QL15">
        <v>99</v>
      </c>
      <c r="QM15">
        <v>99</v>
      </c>
      <c r="QN15">
        <v>350</v>
      </c>
      <c r="QO15">
        <v>350</v>
      </c>
      <c r="QP15">
        <v>99</v>
      </c>
      <c r="QQ15">
        <v>178</v>
      </c>
      <c r="QR15">
        <v>99</v>
      </c>
      <c r="QS15">
        <v>109</v>
      </c>
      <c r="QT15">
        <v>143</v>
      </c>
      <c r="QU15">
        <v>434</v>
      </c>
      <c r="QV15">
        <v>178</v>
      </c>
      <c r="QW15">
        <v>99</v>
      </c>
      <c r="QX15">
        <v>140</v>
      </c>
      <c r="QY15">
        <v>190</v>
      </c>
      <c r="QZ15">
        <v>195</v>
      </c>
      <c r="RA15">
        <v>135</v>
      </c>
      <c r="RB15">
        <v>195</v>
      </c>
      <c r="RC15">
        <v>710</v>
      </c>
      <c r="RD15">
        <v>136</v>
      </c>
      <c r="RE15">
        <v>105</v>
      </c>
      <c r="RF15">
        <v>124</v>
      </c>
      <c r="RG15">
        <v>99</v>
      </c>
      <c r="RH15">
        <v>353</v>
      </c>
      <c r="RI15">
        <v>178</v>
      </c>
      <c r="RJ15">
        <v>99</v>
      </c>
      <c r="RK15">
        <v>136</v>
      </c>
      <c r="RL15">
        <v>99</v>
      </c>
      <c r="RM15">
        <v>187</v>
      </c>
      <c r="RN15">
        <v>99</v>
      </c>
      <c r="RO15">
        <v>761</v>
      </c>
      <c r="RP15">
        <v>761</v>
      </c>
      <c r="RQ15">
        <v>99</v>
      </c>
      <c r="RR15">
        <v>99</v>
      </c>
      <c r="RS15">
        <v>99</v>
      </c>
      <c r="RT15">
        <v>99</v>
      </c>
      <c r="RU15">
        <v>136</v>
      </c>
      <c r="RV15">
        <v>124</v>
      </c>
      <c r="RW15">
        <v>99</v>
      </c>
      <c r="RX15">
        <v>99</v>
      </c>
      <c r="RY15">
        <v>136</v>
      </c>
      <c r="RZ15">
        <v>105</v>
      </c>
      <c r="SA15">
        <v>136</v>
      </c>
      <c r="SB15">
        <v>100</v>
      </c>
      <c r="SC15">
        <v>99</v>
      </c>
      <c r="SD15">
        <v>178</v>
      </c>
      <c r="SE15">
        <v>99</v>
      </c>
      <c r="SF15">
        <v>99</v>
      </c>
      <c r="SG15">
        <v>99</v>
      </c>
      <c r="SH15">
        <v>99</v>
      </c>
      <c r="SI15">
        <v>82</v>
      </c>
      <c r="SJ15">
        <v>80</v>
      </c>
      <c r="SK15">
        <v>99</v>
      </c>
      <c r="SL15">
        <v>99</v>
      </c>
      <c r="SM15">
        <v>95</v>
      </c>
      <c r="SN15">
        <v>710</v>
      </c>
      <c r="SO15">
        <v>710</v>
      </c>
      <c r="SP15">
        <v>350</v>
      </c>
      <c r="SQ15">
        <v>120</v>
      </c>
      <c r="SR15">
        <v>104</v>
      </c>
      <c r="SS15">
        <v>710</v>
      </c>
      <c r="ST15">
        <v>710</v>
      </c>
      <c r="SU15">
        <v>99</v>
      </c>
      <c r="SV15">
        <v>99</v>
      </c>
      <c r="SW15">
        <v>80</v>
      </c>
      <c r="SX15">
        <v>178</v>
      </c>
      <c r="SY15">
        <v>269</v>
      </c>
      <c r="SZ15">
        <v>325</v>
      </c>
      <c r="TA15">
        <v>350</v>
      </c>
      <c r="TB15">
        <v>119</v>
      </c>
      <c r="TC15">
        <v>120</v>
      </c>
      <c r="TD15">
        <v>140</v>
      </c>
      <c r="TE15">
        <v>140</v>
      </c>
      <c r="TF15">
        <v>99</v>
      </c>
      <c r="TG15">
        <v>105</v>
      </c>
      <c r="TH15">
        <v>100</v>
      </c>
      <c r="TI15">
        <v>120</v>
      </c>
      <c r="TJ15">
        <v>139</v>
      </c>
      <c r="TK15">
        <v>135</v>
      </c>
      <c r="TL15">
        <v>190</v>
      </c>
      <c r="TM15">
        <v>99</v>
      </c>
      <c r="TN15">
        <v>99</v>
      </c>
      <c r="TO15">
        <v>1283</v>
      </c>
      <c r="TP15">
        <v>537</v>
      </c>
      <c r="TQ15">
        <v>178</v>
      </c>
      <c r="TR15">
        <v>178</v>
      </c>
      <c r="TS15">
        <v>178</v>
      </c>
      <c r="TT15">
        <v>105</v>
      </c>
      <c r="TU15">
        <v>105</v>
      </c>
      <c r="TV15">
        <v>136</v>
      </c>
      <c r="TW15">
        <v>105</v>
      </c>
      <c r="TX15">
        <v>82</v>
      </c>
      <c r="TY15">
        <v>82</v>
      </c>
      <c r="TZ15">
        <v>119</v>
      </c>
      <c r="UA15">
        <v>332</v>
      </c>
      <c r="UB15">
        <v>109</v>
      </c>
      <c r="UC15">
        <v>82</v>
      </c>
      <c r="UD15">
        <v>186</v>
      </c>
      <c r="UE15">
        <v>105</v>
      </c>
      <c r="UF15">
        <v>434</v>
      </c>
      <c r="UG15">
        <v>1577</v>
      </c>
      <c r="UH15">
        <v>105</v>
      </c>
      <c r="UI15">
        <v>105</v>
      </c>
      <c r="UJ15">
        <v>267</v>
      </c>
      <c r="UK15">
        <v>269</v>
      </c>
      <c r="UL15">
        <v>269</v>
      </c>
      <c r="UM15">
        <v>593</v>
      </c>
      <c r="UN15">
        <v>178</v>
      </c>
      <c r="UO15">
        <v>136</v>
      </c>
      <c r="UP15">
        <v>467</v>
      </c>
      <c r="UQ15">
        <v>63</v>
      </c>
      <c r="UR15">
        <v>195</v>
      </c>
      <c r="US15">
        <v>178</v>
      </c>
      <c r="UT15">
        <v>125</v>
      </c>
      <c r="UU15">
        <v>125</v>
      </c>
      <c r="UV15">
        <v>99</v>
      </c>
      <c r="UW15">
        <v>95</v>
      </c>
      <c r="UX15">
        <v>99</v>
      </c>
      <c r="UY15">
        <v>178</v>
      </c>
      <c r="UZ15">
        <v>178</v>
      </c>
      <c r="VA15">
        <v>105</v>
      </c>
      <c r="VB15">
        <v>99</v>
      </c>
      <c r="VC15">
        <v>99</v>
      </c>
      <c r="VD15">
        <v>105</v>
      </c>
      <c r="VE15">
        <v>105</v>
      </c>
      <c r="VF15">
        <v>105</v>
      </c>
      <c r="VG15">
        <v>710</v>
      </c>
      <c r="VH15">
        <v>710</v>
      </c>
      <c r="VI15">
        <v>79</v>
      </c>
      <c r="VJ15">
        <v>79</v>
      </c>
      <c r="VK15">
        <v>105</v>
      </c>
      <c r="VL15">
        <v>178</v>
      </c>
      <c r="VM15">
        <v>186</v>
      </c>
      <c r="VN15">
        <v>178</v>
      </c>
      <c r="VO15">
        <v>685</v>
      </c>
    </row>
    <row r="16" spans="1:587" x14ac:dyDescent="0.3">
      <c r="A16" t="s">
        <v>3011</v>
      </c>
      <c r="B16" cm="1">
        <f t="array" ref="B16:VO16">1*TRANSPOSE(_xlfn._xlws.FILTER(branch!$I$2:$I$591,branch!$D$2:$D$591&lt;&gt;0))</f>
        <v>99</v>
      </c>
      <c r="C16">
        <v>99</v>
      </c>
      <c r="D16">
        <v>178</v>
      </c>
      <c r="E16">
        <v>145</v>
      </c>
      <c r="F16">
        <v>536</v>
      </c>
      <c r="G16">
        <v>393</v>
      </c>
      <c r="H16">
        <v>393</v>
      </c>
      <c r="I16">
        <v>593</v>
      </c>
      <c r="J16">
        <v>434</v>
      </c>
      <c r="K16">
        <v>99</v>
      </c>
      <c r="L16">
        <v>140</v>
      </c>
      <c r="M16">
        <v>103</v>
      </c>
      <c r="N16">
        <v>109</v>
      </c>
      <c r="O16">
        <v>105</v>
      </c>
      <c r="P16">
        <v>99</v>
      </c>
      <c r="Q16">
        <v>187</v>
      </c>
      <c r="R16">
        <v>187</v>
      </c>
      <c r="S16">
        <v>187</v>
      </c>
      <c r="T16">
        <v>104</v>
      </c>
      <c r="U16">
        <v>112</v>
      </c>
      <c r="V16">
        <v>105</v>
      </c>
      <c r="W16">
        <v>82</v>
      </c>
      <c r="X16">
        <v>82</v>
      </c>
      <c r="Y16">
        <v>105</v>
      </c>
      <c r="Z16">
        <v>105</v>
      </c>
      <c r="AA16">
        <v>99</v>
      </c>
      <c r="AB16">
        <v>178</v>
      </c>
      <c r="AC16">
        <v>434</v>
      </c>
      <c r="AD16">
        <v>434</v>
      </c>
      <c r="AE16">
        <v>34</v>
      </c>
      <c r="AF16">
        <v>120</v>
      </c>
      <c r="AG16">
        <v>120</v>
      </c>
      <c r="AH16">
        <v>104</v>
      </c>
      <c r="AI16">
        <v>178</v>
      </c>
      <c r="AJ16">
        <v>178</v>
      </c>
      <c r="AK16">
        <v>178</v>
      </c>
      <c r="AL16">
        <v>178</v>
      </c>
      <c r="AM16">
        <v>120</v>
      </c>
      <c r="AN16">
        <v>178</v>
      </c>
      <c r="AO16">
        <v>99</v>
      </c>
      <c r="AP16">
        <v>178</v>
      </c>
      <c r="AQ16">
        <v>140</v>
      </c>
      <c r="AR16">
        <v>140</v>
      </c>
      <c r="AS16">
        <v>99</v>
      </c>
      <c r="AT16">
        <v>105</v>
      </c>
      <c r="AU16">
        <v>99</v>
      </c>
      <c r="AV16">
        <v>96</v>
      </c>
      <c r="AW16">
        <v>96</v>
      </c>
      <c r="AX16">
        <v>178</v>
      </c>
      <c r="AY16">
        <v>178</v>
      </c>
      <c r="AZ16">
        <v>120</v>
      </c>
      <c r="BA16">
        <v>120</v>
      </c>
      <c r="BB16">
        <v>178</v>
      </c>
      <c r="BC16">
        <v>178</v>
      </c>
      <c r="BD16">
        <v>178</v>
      </c>
      <c r="BE16">
        <v>105</v>
      </c>
      <c r="BF16">
        <v>99</v>
      </c>
      <c r="BG16">
        <v>99</v>
      </c>
      <c r="BH16">
        <v>99</v>
      </c>
      <c r="BI16">
        <v>82</v>
      </c>
      <c r="BJ16">
        <v>82</v>
      </c>
      <c r="BK16">
        <v>136</v>
      </c>
      <c r="BL16">
        <v>140</v>
      </c>
      <c r="BM16">
        <v>130</v>
      </c>
      <c r="BN16">
        <v>99</v>
      </c>
      <c r="BO16">
        <v>122</v>
      </c>
      <c r="BP16">
        <v>196</v>
      </c>
      <c r="BQ16">
        <v>178</v>
      </c>
      <c r="BR16">
        <v>136</v>
      </c>
      <c r="BS16">
        <v>178</v>
      </c>
      <c r="BT16">
        <v>124</v>
      </c>
      <c r="BU16">
        <v>178</v>
      </c>
      <c r="BV16">
        <v>178</v>
      </c>
      <c r="BW16">
        <v>178</v>
      </c>
      <c r="BX16">
        <v>99</v>
      </c>
      <c r="BY16">
        <v>136</v>
      </c>
      <c r="BZ16">
        <v>195</v>
      </c>
      <c r="CA16">
        <v>178</v>
      </c>
      <c r="CB16">
        <v>178</v>
      </c>
      <c r="CC16">
        <v>192</v>
      </c>
      <c r="CD16">
        <v>187</v>
      </c>
      <c r="CE16">
        <v>120</v>
      </c>
      <c r="CF16">
        <v>187</v>
      </c>
      <c r="CG16">
        <v>187</v>
      </c>
      <c r="CH16">
        <v>187</v>
      </c>
      <c r="CI16">
        <v>119</v>
      </c>
      <c r="CJ16">
        <v>119</v>
      </c>
      <c r="CK16">
        <v>570</v>
      </c>
      <c r="CL16">
        <v>570</v>
      </c>
      <c r="CM16">
        <v>140</v>
      </c>
      <c r="CN16">
        <v>140</v>
      </c>
      <c r="CO16">
        <v>842</v>
      </c>
      <c r="CP16">
        <v>105</v>
      </c>
      <c r="CQ16">
        <v>109</v>
      </c>
      <c r="CR16">
        <v>109</v>
      </c>
      <c r="CS16">
        <v>82</v>
      </c>
      <c r="CT16">
        <v>82</v>
      </c>
      <c r="CU16">
        <v>75</v>
      </c>
      <c r="CV16">
        <v>75</v>
      </c>
      <c r="CW16">
        <v>178</v>
      </c>
      <c r="CX16">
        <v>178</v>
      </c>
      <c r="CY16">
        <v>178</v>
      </c>
      <c r="CZ16">
        <v>178</v>
      </c>
      <c r="DA16">
        <v>82</v>
      </c>
      <c r="DB16">
        <v>82</v>
      </c>
      <c r="DC16">
        <v>710</v>
      </c>
      <c r="DD16">
        <v>69</v>
      </c>
      <c r="DE16">
        <v>70</v>
      </c>
      <c r="DF16">
        <v>710</v>
      </c>
      <c r="DG16">
        <v>710</v>
      </c>
      <c r="DH16">
        <v>710</v>
      </c>
      <c r="DI16">
        <v>144</v>
      </c>
      <c r="DJ16">
        <v>63</v>
      </c>
      <c r="DK16">
        <v>99</v>
      </c>
      <c r="DL16">
        <v>570</v>
      </c>
      <c r="DM16">
        <v>570</v>
      </c>
      <c r="DN16">
        <v>178</v>
      </c>
      <c r="DO16">
        <v>200</v>
      </c>
      <c r="DP16">
        <v>109</v>
      </c>
      <c r="DQ16">
        <v>109</v>
      </c>
      <c r="DR16">
        <v>79</v>
      </c>
      <c r="DS16">
        <v>79</v>
      </c>
      <c r="DT16">
        <v>434</v>
      </c>
      <c r="DU16">
        <v>740</v>
      </c>
      <c r="DV16">
        <v>228</v>
      </c>
      <c r="DW16">
        <v>115</v>
      </c>
      <c r="DX16">
        <v>195</v>
      </c>
      <c r="DY16">
        <v>124</v>
      </c>
      <c r="DZ16">
        <v>80</v>
      </c>
      <c r="EA16">
        <v>120</v>
      </c>
      <c r="EB16">
        <v>105</v>
      </c>
      <c r="EC16">
        <v>178</v>
      </c>
      <c r="ED16">
        <v>178</v>
      </c>
      <c r="EE16">
        <v>178</v>
      </c>
      <c r="EF16">
        <v>69</v>
      </c>
      <c r="EG16">
        <v>70</v>
      </c>
      <c r="EH16">
        <v>69</v>
      </c>
      <c r="EI16">
        <v>69</v>
      </c>
      <c r="EJ16">
        <v>132</v>
      </c>
      <c r="EK16">
        <v>132</v>
      </c>
      <c r="EL16">
        <v>710</v>
      </c>
      <c r="EM16">
        <v>710</v>
      </c>
      <c r="EN16">
        <v>66</v>
      </c>
      <c r="EO16">
        <v>66</v>
      </c>
      <c r="EP16">
        <v>710</v>
      </c>
      <c r="EQ16">
        <v>109</v>
      </c>
      <c r="ER16">
        <v>109</v>
      </c>
      <c r="ES16">
        <v>82</v>
      </c>
      <c r="ET16">
        <v>82</v>
      </c>
      <c r="EU16">
        <v>144</v>
      </c>
      <c r="EV16">
        <v>144</v>
      </c>
      <c r="EW16">
        <v>710</v>
      </c>
      <c r="EX16">
        <v>178</v>
      </c>
      <c r="EY16">
        <v>124</v>
      </c>
      <c r="EZ16">
        <v>99</v>
      </c>
      <c r="FA16">
        <v>99</v>
      </c>
      <c r="FB16">
        <v>99</v>
      </c>
      <c r="FC16">
        <v>761</v>
      </c>
      <c r="FD16">
        <v>187</v>
      </c>
      <c r="FE16">
        <v>761</v>
      </c>
      <c r="FF16">
        <v>761</v>
      </c>
      <c r="FG16">
        <v>761</v>
      </c>
      <c r="FH16">
        <v>178</v>
      </c>
      <c r="FI16">
        <v>178</v>
      </c>
      <c r="FJ16">
        <v>115</v>
      </c>
      <c r="FK16">
        <v>434</v>
      </c>
      <c r="FL16">
        <v>434</v>
      </c>
      <c r="FM16">
        <v>555</v>
      </c>
      <c r="FN16">
        <v>123</v>
      </c>
      <c r="FO16">
        <v>178</v>
      </c>
      <c r="FP16">
        <v>130</v>
      </c>
      <c r="FQ16">
        <v>178</v>
      </c>
      <c r="FR16">
        <v>103</v>
      </c>
      <c r="FS16">
        <v>238</v>
      </c>
      <c r="FT16">
        <v>434</v>
      </c>
      <c r="FU16">
        <v>178</v>
      </c>
      <c r="FV16">
        <v>132</v>
      </c>
      <c r="FW16">
        <v>178</v>
      </c>
      <c r="FX16">
        <v>144</v>
      </c>
      <c r="FY16">
        <v>144</v>
      </c>
      <c r="FZ16">
        <v>140</v>
      </c>
      <c r="GA16">
        <v>140</v>
      </c>
      <c r="GB16">
        <v>136</v>
      </c>
      <c r="GC16">
        <v>178</v>
      </c>
      <c r="GD16">
        <v>178</v>
      </c>
      <c r="GE16">
        <v>178</v>
      </c>
      <c r="GF16">
        <v>196</v>
      </c>
      <c r="GG16">
        <v>178</v>
      </c>
      <c r="GH16">
        <v>178</v>
      </c>
      <c r="GI16">
        <v>178</v>
      </c>
      <c r="GJ16">
        <v>130</v>
      </c>
      <c r="GK16">
        <v>99</v>
      </c>
      <c r="GL16">
        <v>136</v>
      </c>
      <c r="GM16">
        <v>178</v>
      </c>
      <c r="GN16">
        <v>105</v>
      </c>
      <c r="GO16">
        <v>187</v>
      </c>
      <c r="GP16">
        <v>187</v>
      </c>
      <c r="GQ16">
        <v>187</v>
      </c>
      <c r="GR16">
        <v>105</v>
      </c>
      <c r="GS16">
        <v>130</v>
      </c>
      <c r="GT16">
        <v>434</v>
      </c>
      <c r="GU16">
        <v>105</v>
      </c>
      <c r="GV16">
        <v>105</v>
      </c>
      <c r="GW16">
        <v>593</v>
      </c>
      <c r="GX16">
        <v>119</v>
      </c>
      <c r="GY16">
        <v>178</v>
      </c>
      <c r="GZ16">
        <v>120</v>
      </c>
      <c r="HA16">
        <v>178</v>
      </c>
      <c r="HB16">
        <v>178</v>
      </c>
      <c r="HC16">
        <v>178</v>
      </c>
      <c r="HD16">
        <v>646</v>
      </c>
      <c r="HE16">
        <v>161</v>
      </c>
      <c r="HF16">
        <v>161</v>
      </c>
      <c r="HG16">
        <v>434</v>
      </c>
      <c r="HH16">
        <v>434</v>
      </c>
      <c r="HI16">
        <v>187</v>
      </c>
      <c r="HJ16">
        <v>124</v>
      </c>
      <c r="HK16">
        <v>99</v>
      </c>
      <c r="HL16">
        <v>105</v>
      </c>
      <c r="HM16">
        <v>63</v>
      </c>
      <c r="HN16">
        <v>178</v>
      </c>
      <c r="HO16">
        <v>187</v>
      </c>
      <c r="HP16">
        <v>136</v>
      </c>
      <c r="HQ16">
        <v>187</v>
      </c>
      <c r="HR16">
        <v>187</v>
      </c>
      <c r="HS16">
        <v>99</v>
      </c>
      <c r="HT16">
        <v>99</v>
      </c>
      <c r="HU16">
        <v>105</v>
      </c>
      <c r="HV16">
        <v>178</v>
      </c>
      <c r="HW16">
        <v>178</v>
      </c>
      <c r="HX16">
        <v>1577</v>
      </c>
      <c r="HY16">
        <v>1577</v>
      </c>
      <c r="HZ16">
        <v>143</v>
      </c>
      <c r="IA16">
        <v>104</v>
      </c>
      <c r="IB16">
        <v>82</v>
      </c>
      <c r="IC16">
        <v>82</v>
      </c>
      <c r="ID16">
        <v>82</v>
      </c>
      <c r="IE16">
        <v>82</v>
      </c>
      <c r="IF16">
        <v>186</v>
      </c>
      <c r="IG16">
        <v>124</v>
      </c>
      <c r="IH16">
        <v>136</v>
      </c>
      <c r="II16">
        <v>99</v>
      </c>
      <c r="IJ16">
        <v>178</v>
      </c>
      <c r="IK16">
        <v>178</v>
      </c>
      <c r="IL16">
        <v>99</v>
      </c>
      <c r="IM16">
        <v>99</v>
      </c>
      <c r="IN16">
        <v>105</v>
      </c>
      <c r="IO16">
        <v>105</v>
      </c>
      <c r="IP16">
        <v>99</v>
      </c>
      <c r="IQ16">
        <v>99</v>
      </c>
      <c r="IR16">
        <v>100</v>
      </c>
      <c r="IS16">
        <v>100</v>
      </c>
      <c r="IT16">
        <v>200</v>
      </c>
      <c r="IU16">
        <v>143</v>
      </c>
      <c r="IV16">
        <v>82</v>
      </c>
      <c r="IW16">
        <v>82</v>
      </c>
      <c r="IX16">
        <v>82</v>
      </c>
      <c r="IY16">
        <v>412</v>
      </c>
      <c r="IZ16">
        <v>412</v>
      </c>
      <c r="JA16">
        <v>82</v>
      </c>
      <c r="JB16">
        <v>82</v>
      </c>
      <c r="JC16">
        <v>109</v>
      </c>
      <c r="JD16">
        <v>178</v>
      </c>
      <c r="JE16">
        <v>99</v>
      </c>
      <c r="JF16">
        <v>82</v>
      </c>
      <c r="JG16">
        <v>109</v>
      </c>
      <c r="JH16">
        <v>140</v>
      </c>
      <c r="JI16">
        <v>140</v>
      </c>
      <c r="JJ16">
        <v>196</v>
      </c>
      <c r="JK16">
        <v>178</v>
      </c>
      <c r="JL16">
        <v>178</v>
      </c>
      <c r="JM16">
        <v>99</v>
      </c>
      <c r="JN16">
        <v>178</v>
      </c>
      <c r="JO16">
        <v>350</v>
      </c>
      <c r="JP16">
        <v>99</v>
      </c>
      <c r="JQ16">
        <v>99</v>
      </c>
      <c r="JR16">
        <v>99</v>
      </c>
      <c r="JS16">
        <v>392</v>
      </c>
      <c r="JT16">
        <v>97</v>
      </c>
      <c r="JU16">
        <v>99</v>
      </c>
      <c r="JV16">
        <v>761</v>
      </c>
      <c r="JW16">
        <v>178</v>
      </c>
      <c r="JX16">
        <v>124</v>
      </c>
      <c r="JY16">
        <v>103</v>
      </c>
      <c r="JZ16">
        <v>178</v>
      </c>
      <c r="KA16">
        <v>746</v>
      </c>
      <c r="KB16">
        <v>646</v>
      </c>
      <c r="KC16">
        <v>178</v>
      </c>
      <c r="KD16">
        <v>178</v>
      </c>
      <c r="KE16">
        <v>178</v>
      </c>
      <c r="KF16">
        <v>178</v>
      </c>
      <c r="KG16">
        <v>190</v>
      </c>
      <c r="KH16">
        <v>105</v>
      </c>
      <c r="KI16">
        <v>136</v>
      </c>
      <c r="KJ16">
        <v>134</v>
      </c>
      <c r="KK16">
        <v>136</v>
      </c>
      <c r="KL16">
        <v>136</v>
      </c>
      <c r="KM16">
        <v>99</v>
      </c>
      <c r="KN16">
        <v>105</v>
      </c>
      <c r="KO16">
        <v>99</v>
      </c>
      <c r="KP16">
        <v>105</v>
      </c>
      <c r="KQ16">
        <v>99</v>
      </c>
      <c r="KR16">
        <v>99</v>
      </c>
      <c r="KS16">
        <v>99</v>
      </c>
      <c r="KT16">
        <v>74</v>
      </c>
      <c r="KU16">
        <v>74</v>
      </c>
      <c r="KV16">
        <v>99</v>
      </c>
      <c r="KW16">
        <v>178</v>
      </c>
      <c r="KX16">
        <v>178</v>
      </c>
      <c r="KY16">
        <v>99</v>
      </c>
      <c r="KZ16">
        <v>104</v>
      </c>
      <c r="LA16">
        <v>178</v>
      </c>
      <c r="LB16">
        <v>178</v>
      </c>
      <c r="LC16">
        <v>211</v>
      </c>
      <c r="LD16">
        <v>196</v>
      </c>
      <c r="LE16">
        <v>69</v>
      </c>
      <c r="LF16">
        <v>69</v>
      </c>
      <c r="LG16">
        <v>144</v>
      </c>
      <c r="LH16">
        <v>144</v>
      </c>
      <c r="LI16">
        <v>103</v>
      </c>
      <c r="LJ16">
        <v>99</v>
      </c>
      <c r="LK16">
        <v>99</v>
      </c>
      <c r="LL16">
        <v>82</v>
      </c>
      <c r="LM16">
        <v>82</v>
      </c>
      <c r="LN16">
        <v>82</v>
      </c>
      <c r="LO16">
        <v>82</v>
      </c>
      <c r="LP16">
        <v>82</v>
      </c>
      <c r="LQ16">
        <v>99</v>
      </c>
      <c r="LR16">
        <v>79</v>
      </c>
      <c r="LS16">
        <v>79</v>
      </c>
      <c r="LT16">
        <v>108</v>
      </c>
      <c r="LU16">
        <v>109</v>
      </c>
      <c r="LV16">
        <v>109</v>
      </c>
      <c r="LW16">
        <v>99</v>
      </c>
      <c r="LX16">
        <v>99</v>
      </c>
      <c r="LY16">
        <v>99</v>
      </c>
      <c r="LZ16">
        <v>178</v>
      </c>
      <c r="MA16">
        <v>393</v>
      </c>
      <c r="MB16">
        <v>350</v>
      </c>
      <c r="MC16">
        <v>350</v>
      </c>
      <c r="MD16">
        <v>434</v>
      </c>
      <c r="ME16">
        <v>1283</v>
      </c>
      <c r="MF16">
        <v>351</v>
      </c>
      <c r="MG16">
        <v>140</v>
      </c>
      <c r="MH16">
        <v>140</v>
      </c>
      <c r="MI16">
        <v>140</v>
      </c>
      <c r="MJ16">
        <v>186</v>
      </c>
      <c r="MK16">
        <v>157</v>
      </c>
      <c r="ML16">
        <v>144</v>
      </c>
      <c r="MM16">
        <v>186</v>
      </c>
      <c r="MN16">
        <v>195</v>
      </c>
      <c r="MO16">
        <v>105</v>
      </c>
      <c r="MP16">
        <v>119</v>
      </c>
      <c r="MQ16">
        <v>593</v>
      </c>
      <c r="MR16">
        <v>119</v>
      </c>
      <c r="MS16">
        <v>332</v>
      </c>
      <c r="MT16">
        <v>120</v>
      </c>
      <c r="MU16">
        <v>80</v>
      </c>
      <c r="MV16">
        <v>536</v>
      </c>
      <c r="MW16">
        <v>105</v>
      </c>
      <c r="MX16">
        <v>144</v>
      </c>
      <c r="MY16">
        <v>144</v>
      </c>
      <c r="MZ16">
        <v>105</v>
      </c>
      <c r="NA16">
        <v>384</v>
      </c>
      <c r="NB16">
        <v>99</v>
      </c>
      <c r="NC16">
        <v>99</v>
      </c>
      <c r="ND16">
        <v>434</v>
      </c>
      <c r="NE16">
        <v>98</v>
      </c>
      <c r="NF16">
        <v>107</v>
      </c>
      <c r="NG16">
        <v>140</v>
      </c>
      <c r="NH16">
        <v>107</v>
      </c>
      <c r="NI16">
        <v>140</v>
      </c>
      <c r="NJ16">
        <v>99</v>
      </c>
      <c r="NK16">
        <v>99</v>
      </c>
      <c r="NL16">
        <v>178</v>
      </c>
      <c r="NM16">
        <v>103</v>
      </c>
      <c r="NN16">
        <v>103</v>
      </c>
      <c r="NO16">
        <v>103</v>
      </c>
      <c r="NP16">
        <v>120</v>
      </c>
      <c r="NQ16">
        <v>120</v>
      </c>
      <c r="NR16">
        <v>570</v>
      </c>
      <c r="NS16">
        <v>99</v>
      </c>
      <c r="NT16">
        <v>393</v>
      </c>
      <c r="NU16">
        <v>434</v>
      </c>
      <c r="NV16">
        <v>593</v>
      </c>
      <c r="NW16">
        <v>178</v>
      </c>
      <c r="NX16">
        <v>178</v>
      </c>
      <c r="NY16">
        <v>178</v>
      </c>
      <c r="NZ16">
        <v>178</v>
      </c>
      <c r="OA16">
        <v>136</v>
      </c>
      <c r="OB16">
        <v>122</v>
      </c>
      <c r="OC16">
        <v>82</v>
      </c>
      <c r="OD16">
        <v>82</v>
      </c>
      <c r="OE16">
        <v>105</v>
      </c>
      <c r="OF16">
        <v>434</v>
      </c>
      <c r="OG16">
        <v>350</v>
      </c>
      <c r="OH16">
        <v>99</v>
      </c>
      <c r="OI16">
        <v>99</v>
      </c>
      <c r="OJ16">
        <v>99</v>
      </c>
      <c r="OK16">
        <v>99</v>
      </c>
      <c r="OL16">
        <v>99</v>
      </c>
      <c r="OM16">
        <v>99</v>
      </c>
      <c r="ON16">
        <v>200</v>
      </c>
      <c r="OO16">
        <v>200</v>
      </c>
      <c r="OP16">
        <v>119</v>
      </c>
      <c r="OQ16">
        <v>105</v>
      </c>
      <c r="OR16">
        <v>105</v>
      </c>
      <c r="OS16">
        <v>195</v>
      </c>
      <c r="OT16">
        <v>710</v>
      </c>
      <c r="OU16">
        <v>82</v>
      </c>
      <c r="OV16">
        <v>80</v>
      </c>
      <c r="OW16">
        <v>107</v>
      </c>
      <c r="OX16">
        <v>140</v>
      </c>
      <c r="OY16">
        <v>136</v>
      </c>
      <c r="OZ16">
        <v>136</v>
      </c>
      <c r="PA16">
        <v>104</v>
      </c>
      <c r="PB16">
        <v>196</v>
      </c>
      <c r="PC16">
        <v>80</v>
      </c>
      <c r="PD16">
        <v>562</v>
      </c>
      <c r="PE16">
        <v>120</v>
      </c>
      <c r="PF16">
        <v>267</v>
      </c>
      <c r="PG16">
        <v>351</v>
      </c>
      <c r="PH16">
        <v>593</v>
      </c>
      <c r="PI16">
        <v>178</v>
      </c>
      <c r="PJ16">
        <v>99</v>
      </c>
      <c r="PK16">
        <v>134</v>
      </c>
      <c r="PL16">
        <v>103</v>
      </c>
      <c r="PM16">
        <v>103</v>
      </c>
      <c r="PN16">
        <v>710</v>
      </c>
      <c r="PO16">
        <v>710</v>
      </c>
      <c r="PP16">
        <v>710</v>
      </c>
      <c r="PQ16">
        <v>185</v>
      </c>
      <c r="PR16">
        <v>178</v>
      </c>
      <c r="PS16">
        <v>99</v>
      </c>
      <c r="PT16">
        <v>178</v>
      </c>
      <c r="PU16">
        <v>178</v>
      </c>
      <c r="PV16">
        <v>119</v>
      </c>
      <c r="PW16">
        <v>120</v>
      </c>
      <c r="PX16">
        <v>136</v>
      </c>
      <c r="PY16">
        <v>434</v>
      </c>
      <c r="PZ16">
        <v>512</v>
      </c>
      <c r="QA16">
        <v>99</v>
      </c>
      <c r="QB16">
        <v>80</v>
      </c>
      <c r="QC16">
        <v>269</v>
      </c>
      <c r="QD16">
        <v>178</v>
      </c>
      <c r="QE16">
        <v>140</v>
      </c>
      <c r="QF16">
        <v>136</v>
      </c>
      <c r="QG16">
        <v>731</v>
      </c>
      <c r="QH16">
        <v>731</v>
      </c>
      <c r="QI16">
        <v>660</v>
      </c>
      <c r="QJ16">
        <v>660</v>
      </c>
      <c r="QK16">
        <v>136</v>
      </c>
      <c r="QL16">
        <v>99</v>
      </c>
      <c r="QM16">
        <v>99</v>
      </c>
      <c r="QN16">
        <v>350</v>
      </c>
      <c r="QO16">
        <v>350</v>
      </c>
      <c r="QP16">
        <v>99</v>
      </c>
      <c r="QQ16">
        <v>178</v>
      </c>
      <c r="QR16">
        <v>99</v>
      </c>
      <c r="QS16">
        <v>109</v>
      </c>
      <c r="QT16">
        <v>143</v>
      </c>
      <c r="QU16">
        <v>434</v>
      </c>
      <c r="QV16">
        <v>178</v>
      </c>
      <c r="QW16">
        <v>99</v>
      </c>
      <c r="QX16">
        <v>140</v>
      </c>
      <c r="QY16">
        <v>190</v>
      </c>
      <c r="QZ16">
        <v>195</v>
      </c>
      <c r="RA16">
        <v>135</v>
      </c>
      <c r="RB16">
        <v>195</v>
      </c>
      <c r="RC16">
        <v>710</v>
      </c>
      <c r="RD16">
        <v>136</v>
      </c>
      <c r="RE16">
        <v>105</v>
      </c>
      <c r="RF16">
        <v>124</v>
      </c>
      <c r="RG16">
        <v>99</v>
      </c>
      <c r="RH16">
        <v>353</v>
      </c>
      <c r="RI16">
        <v>178</v>
      </c>
      <c r="RJ16">
        <v>99</v>
      </c>
      <c r="RK16">
        <v>136</v>
      </c>
      <c r="RL16">
        <v>99</v>
      </c>
      <c r="RM16">
        <v>187</v>
      </c>
      <c r="RN16">
        <v>99</v>
      </c>
      <c r="RO16">
        <v>761</v>
      </c>
      <c r="RP16">
        <v>761</v>
      </c>
      <c r="RQ16">
        <v>99</v>
      </c>
      <c r="RR16">
        <v>99</v>
      </c>
      <c r="RS16">
        <v>99</v>
      </c>
      <c r="RT16">
        <v>99</v>
      </c>
      <c r="RU16">
        <v>136</v>
      </c>
      <c r="RV16">
        <v>124</v>
      </c>
      <c r="RW16">
        <v>99</v>
      </c>
      <c r="RX16">
        <v>99</v>
      </c>
      <c r="RY16">
        <v>136</v>
      </c>
      <c r="RZ16">
        <v>105</v>
      </c>
      <c r="SA16">
        <v>136</v>
      </c>
      <c r="SB16">
        <v>100</v>
      </c>
      <c r="SC16">
        <v>99</v>
      </c>
      <c r="SD16">
        <v>178</v>
      </c>
      <c r="SE16">
        <v>99</v>
      </c>
      <c r="SF16">
        <v>99</v>
      </c>
      <c r="SG16">
        <v>99</v>
      </c>
      <c r="SH16">
        <v>99</v>
      </c>
      <c r="SI16">
        <v>82</v>
      </c>
      <c r="SJ16">
        <v>80</v>
      </c>
      <c r="SK16">
        <v>99</v>
      </c>
      <c r="SL16">
        <v>99</v>
      </c>
      <c r="SM16">
        <v>95</v>
      </c>
      <c r="SN16">
        <v>710</v>
      </c>
      <c r="SO16">
        <v>710</v>
      </c>
      <c r="SP16">
        <v>350</v>
      </c>
      <c r="SQ16">
        <v>120</v>
      </c>
      <c r="SR16">
        <v>104</v>
      </c>
      <c r="SS16">
        <v>710</v>
      </c>
      <c r="ST16">
        <v>710</v>
      </c>
      <c r="SU16">
        <v>99</v>
      </c>
      <c r="SV16">
        <v>99</v>
      </c>
      <c r="SW16">
        <v>80</v>
      </c>
      <c r="SX16">
        <v>178</v>
      </c>
      <c r="SY16">
        <v>269</v>
      </c>
      <c r="SZ16">
        <v>325</v>
      </c>
      <c r="TA16">
        <v>350</v>
      </c>
      <c r="TB16">
        <v>119</v>
      </c>
      <c r="TC16">
        <v>120</v>
      </c>
      <c r="TD16">
        <v>140</v>
      </c>
      <c r="TE16">
        <v>140</v>
      </c>
      <c r="TF16">
        <v>99</v>
      </c>
      <c r="TG16">
        <v>105</v>
      </c>
      <c r="TH16">
        <v>100</v>
      </c>
      <c r="TI16">
        <v>120</v>
      </c>
      <c r="TJ16">
        <v>139</v>
      </c>
      <c r="TK16">
        <v>135</v>
      </c>
      <c r="TL16">
        <v>190</v>
      </c>
      <c r="TM16">
        <v>99</v>
      </c>
      <c r="TN16">
        <v>99</v>
      </c>
      <c r="TO16">
        <v>1283</v>
      </c>
      <c r="TP16">
        <v>537</v>
      </c>
      <c r="TQ16">
        <v>178</v>
      </c>
      <c r="TR16">
        <v>178</v>
      </c>
      <c r="TS16">
        <v>178</v>
      </c>
      <c r="TT16">
        <v>105</v>
      </c>
      <c r="TU16">
        <v>105</v>
      </c>
      <c r="TV16">
        <v>136</v>
      </c>
      <c r="TW16">
        <v>105</v>
      </c>
      <c r="TX16">
        <v>82</v>
      </c>
      <c r="TY16">
        <v>82</v>
      </c>
      <c r="TZ16">
        <v>119</v>
      </c>
      <c r="UA16">
        <v>332</v>
      </c>
      <c r="UB16">
        <v>109</v>
      </c>
      <c r="UC16">
        <v>82</v>
      </c>
      <c r="UD16">
        <v>186</v>
      </c>
      <c r="UE16">
        <v>105</v>
      </c>
      <c r="UF16">
        <v>434</v>
      </c>
      <c r="UG16">
        <v>1577</v>
      </c>
      <c r="UH16">
        <v>105</v>
      </c>
      <c r="UI16">
        <v>105</v>
      </c>
      <c r="UJ16">
        <v>267</v>
      </c>
      <c r="UK16">
        <v>269</v>
      </c>
      <c r="UL16">
        <v>269</v>
      </c>
      <c r="UM16">
        <v>593</v>
      </c>
      <c r="UN16">
        <v>178</v>
      </c>
      <c r="UO16">
        <v>136</v>
      </c>
      <c r="UP16">
        <v>467</v>
      </c>
      <c r="UQ16">
        <v>63</v>
      </c>
      <c r="UR16">
        <v>195</v>
      </c>
      <c r="US16">
        <v>178</v>
      </c>
      <c r="UT16">
        <v>125</v>
      </c>
      <c r="UU16">
        <v>125</v>
      </c>
      <c r="UV16">
        <v>99</v>
      </c>
      <c r="UW16">
        <v>95</v>
      </c>
      <c r="UX16">
        <v>99</v>
      </c>
      <c r="UY16">
        <v>178</v>
      </c>
      <c r="UZ16">
        <v>178</v>
      </c>
      <c r="VA16">
        <v>105</v>
      </c>
      <c r="VB16">
        <v>99</v>
      </c>
      <c r="VC16">
        <v>99</v>
      </c>
      <c r="VD16">
        <v>105</v>
      </c>
      <c r="VE16">
        <v>105</v>
      </c>
      <c r="VF16">
        <v>105</v>
      </c>
      <c r="VG16">
        <v>710</v>
      </c>
      <c r="VH16">
        <v>710</v>
      </c>
      <c r="VI16">
        <v>79</v>
      </c>
      <c r="VJ16">
        <v>79</v>
      </c>
      <c r="VK16">
        <v>105</v>
      </c>
      <c r="VL16">
        <v>178</v>
      </c>
      <c r="VM16">
        <v>186</v>
      </c>
      <c r="VN16">
        <v>178</v>
      </c>
      <c r="VO16">
        <v>685</v>
      </c>
    </row>
    <row r="17" spans="1:587" x14ac:dyDescent="0.3">
      <c r="A17" t="s">
        <v>3012</v>
      </c>
      <c r="B17" cm="1">
        <f t="array" ref="B17:VO17">1*TRANSPOSE(_xlfn._xlws.FILTER(branch!$I$2:$I$591,branch!$D$2:$D$591&lt;&gt;0))</f>
        <v>99</v>
      </c>
      <c r="C17">
        <v>99</v>
      </c>
      <c r="D17">
        <v>178</v>
      </c>
      <c r="E17">
        <v>145</v>
      </c>
      <c r="F17">
        <v>536</v>
      </c>
      <c r="G17">
        <v>393</v>
      </c>
      <c r="H17">
        <v>393</v>
      </c>
      <c r="I17">
        <v>593</v>
      </c>
      <c r="J17">
        <v>434</v>
      </c>
      <c r="K17">
        <v>99</v>
      </c>
      <c r="L17">
        <v>140</v>
      </c>
      <c r="M17">
        <v>103</v>
      </c>
      <c r="N17">
        <v>109</v>
      </c>
      <c r="O17">
        <v>105</v>
      </c>
      <c r="P17">
        <v>99</v>
      </c>
      <c r="Q17">
        <v>187</v>
      </c>
      <c r="R17">
        <v>187</v>
      </c>
      <c r="S17">
        <v>187</v>
      </c>
      <c r="T17">
        <v>104</v>
      </c>
      <c r="U17">
        <v>112</v>
      </c>
      <c r="V17">
        <v>105</v>
      </c>
      <c r="W17">
        <v>82</v>
      </c>
      <c r="X17">
        <v>82</v>
      </c>
      <c r="Y17">
        <v>105</v>
      </c>
      <c r="Z17">
        <v>105</v>
      </c>
      <c r="AA17">
        <v>99</v>
      </c>
      <c r="AB17">
        <v>178</v>
      </c>
      <c r="AC17">
        <v>434</v>
      </c>
      <c r="AD17">
        <v>434</v>
      </c>
      <c r="AE17">
        <v>34</v>
      </c>
      <c r="AF17">
        <v>120</v>
      </c>
      <c r="AG17">
        <v>120</v>
      </c>
      <c r="AH17">
        <v>104</v>
      </c>
      <c r="AI17">
        <v>178</v>
      </c>
      <c r="AJ17">
        <v>178</v>
      </c>
      <c r="AK17">
        <v>178</v>
      </c>
      <c r="AL17">
        <v>178</v>
      </c>
      <c r="AM17">
        <v>120</v>
      </c>
      <c r="AN17">
        <v>178</v>
      </c>
      <c r="AO17">
        <v>99</v>
      </c>
      <c r="AP17">
        <v>178</v>
      </c>
      <c r="AQ17">
        <v>140</v>
      </c>
      <c r="AR17">
        <v>140</v>
      </c>
      <c r="AS17">
        <v>99</v>
      </c>
      <c r="AT17">
        <v>105</v>
      </c>
      <c r="AU17">
        <v>99</v>
      </c>
      <c r="AV17">
        <v>96</v>
      </c>
      <c r="AW17">
        <v>96</v>
      </c>
      <c r="AX17">
        <v>178</v>
      </c>
      <c r="AY17">
        <v>178</v>
      </c>
      <c r="AZ17">
        <v>120</v>
      </c>
      <c r="BA17">
        <v>120</v>
      </c>
      <c r="BB17">
        <v>178</v>
      </c>
      <c r="BC17">
        <v>178</v>
      </c>
      <c r="BD17">
        <v>178</v>
      </c>
      <c r="BE17">
        <v>105</v>
      </c>
      <c r="BF17">
        <v>99</v>
      </c>
      <c r="BG17">
        <v>99</v>
      </c>
      <c r="BH17">
        <v>99</v>
      </c>
      <c r="BI17">
        <v>82</v>
      </c>
      <c r="BJ17">
        <v>82</v>
      </c>
      <c r="BK17">
        <v>136</v>
      </c>
      <c r="BL17">
        <v>140</v>
      </c>
      <c r="BM17">
        <v>130</v>
      </c>
      <c r="BN17">
        <v>99</v>
      </c>
      <c r="BO17">
        <v>122</v>
      </c>
      <c r="BP17">
        <v>196</v>
      </c>
      <c r="BQ17">
        <v>178</v>
      </c>
      <c r="BR17">
        <v>136</v>
      </c>
      <c r="BS17">
        <v>178</v>
      </c>
      <c r="BT17">
        <v>124</v>
      </c>
      <c r="BU17">
        <v>178</v>
      </c>
      <c r="BV17">
        <v>178</v>
      </c>
      <c r="BW17">
        <v>178</v>
      </c>
      <c r="BX17">
        <v>99</v>
      </c>
      <c r="BY17">
        <v>136</v>
      </c>
      <c r="BZ17">
        <v>195</v>
      </c>
      <c r="CA17">
        <v>178</v>
      </c>
      <c r="CB17">
        <v>178</v>
      </c>
      <c r="CC17">
        <v>192</v>
      </c>
      <c r="CD17">
        <v>187</v>
      </c>
      <c r="CE17">
        <v>120</v>
      </c>
      <c r="CF17">
        <v>187</v>
      </c>
      <c r="CG17">
        <v>187</v>
      </c>
      <c r="CH17">
        <v>187</v>
      </c>
      <c r="CI17">
        <v>119</v>
      </c>
      <c r="CJ17">
        <v>119</v>
      </c>
      <c r="CK17">
        <v>570</v>
      </c>
      <c r="CL17">
        <v>570</v>
      </c>
      <c r="CM17">
        <v>140</v>
      </c>
      <c r="CN17">
        <v>140</v>
      </c>
      <c r="CO17">
        <v>842</v>
      </c>
      <c r="CP17">
        <v>105</v>
      </c>
      <c r="CQ17">
        <v>109</v>
      </c>
      <c r="CR17">
        <v>109</v>
      </c>
      <c r="CS17">
        <v>82</v>
      </c>
      <c r="CT17">
        <v>82</v>
      </c>
      <c r="CU17">
        <v>75</v>
      </c>
      <c r="CV17">
        <v>75</v>
      </c>
      <c r="CW17">
        <v>178</v>
      </c>
      <c r="CX17">
        <v>178</v>
      </c>
      <c r="CY17">
        <v>178</v>
      </c>
      <c r="CZ17">
        <v>178</v>
      </c>
      <c r="DA17">
        <v>82</v>
      </c>
      <c r="DB17">
        <v>82</v>
      </c>
      <c r="DC17">
        <v>710</v>
      </c>
      <c r="DD17">
        <v>69</v>
      </c>
      <c r="DE17">
        <v>70</v>
      </c>
      <c r="DF17">
        <v>710</v>
      </c>
      <c r="DG17">
        <v>710</v>
      </c>
      <c r="DH17">
        <v>710</v>
      </c>
      <c r="DI17">
        <v>144</v>
      </c>
      <c r="DJ17">
        <v>63</v>
      </c>
      <c r="DK17">
        <v>99</v>
      </c>
      <c r="DL17">
        <v>570</v>
      </c>
      <c r="DM17">
        <v>570</v>
      </c>
      <c r="DN17">
        <v>178</v>
      </c>
      <c r="DO17">
        <v>200</v>
      </c>
      <c r="DP17">
        <v>109</v>
      </c>
      <c r="DQ17">
        <v>109</v>
      </c>
      <c r="DR17">
        <v>79</v>
      </c>
      <c r="DS17">
        <v>79</v>
      </c>
      <c r="DT17">
        <v>434</v>
      </c>
      <c r="DU17">
        <v>740</v>
      </c>
      <c r="DV17">
        <v>228</v>
      </c>
      <c r="DW17">
        <v>115</v>
      </c>
      <c r="DX17">
        <v>195</v>
      </c>
      <c r="DY17">
        <v>124</v>
      </c>
      <c r="DZ17">
        <v>80</v>
      </c>
      <c r="EA17">
        <v>120</v>
      </c>
      <c r="EB17">
        <v>105</v>
      </c>
      <c r="EC17">
        <v>178</v>
      </c>
      <c r="ED17">
        <v>178</v>
      </c>
      <c r="EE17">
        <v>178</v>
      </c>
      <c r="EF17">
        <v>69</v>
      </c>
      <c r="EG17">
        <v>70</v>
      </c>
      <c r="EH17">
        <v>69</v>
      </c>
      <c r="EI17">
        <v>69</v>
      </c>
      <c r="EJ17">
        <v>132</v>
      </c>
      <c r="EK17">
        <v>132</v>
      </c>
      <c r="EL17">
        <v>710</v>
      </c>
      <c r="EM17">
        <v>710</v>
      </c>
      <c r="EN17">
        <v>66</v>
      </c>
      <c r="EO17">
        <v>66</v>
      </c>
      <c r="EP17">
        <v>710</v>
      </c>
      <c r="EQ17">
        <v>109</v>
      </c>
      <c r="ER17">
        <v>109</v>
      </c>
      <c r="ES17">
        <v>82</v>
      </c>
      <c r="ET17">
        <v>82</v>
      </c>
      <c r="EU17">
        <v>144</v>
      </c>
      <c r="EV17">
        <v>144</v>
      </c>
      <c r="EW17">
        <v>710</v>
      </c>
      <c r="EX17">
        <v>178</v>
      </c>
      <c r="EY17">
        <v>124</v>
      </c>
      <c r="EZ17">
        <v>99</v>
      </c>
      <c r="FA17">
        <v>99</v>
      </c>
      <c r="FB17">
        <v>99</v>
      </c>
      <c r="FC17">
        <v>761</v>
      </c>
      <c r="FD17">
        <v>187</v>
      </c>
      <c r="FE17">
        <v>761</v>
      </c>
      <c r="FF17">
        <v>761</v>
      </c>
      <c r="FG17">
        <v>761</v>
      </c>
      <c r="FH17">
        <v>178</v>
      </c>
      <c r="FI17">
        <v>178</v>
      </c>
      <c r="FJ17">
        <v>115</v>
      </c>
      <c r="FK17">
        <v>434</v>
      </c>
      <c r="FL17">
        <v>434</v>
      </c>
      <c r="FM17">
        <v>555</v>
      </c>
      <c r="FN17">
        <v>123</v>
      </c>
      <c r="FO17">
        <v>178</v>
      </c>
      <c r="FP17">
        <v>130</v>
      </c>
      <c r="FQ17">
        <v>178</v>
      </c>
      <c r="FR17">
        <v>103</v>
      </c>
      <c r="FS17">
        <v>238</v>
      </c>
      <c r="FT17">
        <v>434</v>
      </c>
      <c r="FU17">
        <v>178</v>
      </c>
      <c r="FV17">
        <v>132</v>
      </c>
      <c r="FW17">
        <v>178</v>
      </c>
      <c r="FX17">
        <v>144</v>
      </c>
      <c r="FY17">
        <v>144</v>
      </c>
      <c r="FZ17">
        <v>140</v>
      </c>
      <c r="GA17">
        <v>140</v>
      </c>
      <c r="GB17">
        <v>136</v>
      </c>
      <c r="GC17">
        <v>178</v>
      </c>
      <c r="GD17">
        <v>178</v>
      </c>
      <c r="GE17">
        <v>178</v>
      </c>
      <c r="GF17">
        <v>196</v>
      </c>
      <c r="GG17">
        <v>178</v>
      </c>
      <c r="GH17">
        <v>178</v>
      </c>
      <c r="GI17">
        <v>178</v>
      </c>
      <c r="GJ17">
        <v>130</v>
      </c>
      <c r="GK17">
        <v>99</v>
      </c>
      <c r="GL17">
        <v>136</v>
      </c>
      <c r="GM17">
        <v>178</v>
      </c>
      <c r="GN17">
        <v>105</v>
      </c>
      <c r="GO17">
        <v>187</v>
      </c>
      <c r="GP17">
        <v>187</v>
      </c>
      <c r="GQ17">
        <v>187</v>
      </c>
      <c r="GR17">
        <v>105</v>
      </c>
      <c r="GS17">
        <v>130</v>
      </c>
      <c r="GT17">
        <v>434</v>
      </c>
      <c r="GU17">
        <v>105</v>
      </c>
      <c r="GV17">
        <v>105</v>
      </c>
      <c r="GW17">
        <v>593</v>
      </c>
      <c r="GX17">
        <v>119</v>
      </c>
      <c r="GY17">
        <v>178</v>
      </c>
      <c r="GZ17">
        <v>120</v>
      </c>
      <c r="HA17">
        <v>178</v>
      </c>
      <c r="HB17">
        <v>178</v>
      </c>
      <c r="HC17">
        <v>178</v>
      </c>
      <c r="HD17">
        <v>646</v>
      </c>
      <c r="HE17">
        <v>161</v>
      </c>
      <c r="HF17">
        <v>161</v>
      </c>
      <c r="HG17">
        <v>434</v>
      </c>
      <c r="HH17">
        <v>434</v>
      </c>
      <c r="HI17">
        <v>187</v>
      </c>
      <c r="HJ17">
        <v>124</v>
      </c>
      <c r="HK17">
        <v>99</v>
      </c>
      <c r="HL17">
        <v>105</v>
      </c>
      <c r="HM17">
        <v>63</v>
      </c>
      <c r="HN17">
        <v>178</v>
      </c>
      <c r="HO17">
        <v>187</v>
      </c>
      <c r="HP17">
        <v>136</v>
      </c>
      <c r="HQ17">
        <v>187</v>
      </c>
      <c r="HR17">
        <v>187</v>
      </c>
      <c r="HS17">
        <v>99</v>
      </c>
      <c r="HT17">
        <v>99</v>
      </c>
      <c r="HU17">
        <v>105</v>
      </c>
      <c r="HV17">
        <v>178</v>
      </c>
      <c r="HW17">
        <v>178</v>
      </c>
      <c r="HX17">
        <v>1577</v>
      </c>
      <c r="HY17">
        <v>1577</v>
      </c>
      <c r="HZ17">
        <v>143</v>
      </c>
      <c r="IA17">
        <v>104</v>
      </c>
      <c r="IB17">
        <v>82</v>
      </c>
      <c r="IC17">
        <v>82</v>
      </c>
      <c r="ID17">
        <v>82</v>
      </c>
      <c r="IE17">
        <v>82</v>
      </c>
      <c r="IF17">
        <v>186</v>
      </c>
      <c r="IG17">
        <v>124</v>
      </c>
      <c r="IH17">
        <v>136</v>
      </c>
      <c r="II17">
        <v>99</v>
      </c>
      <c r="IJ17">
        <v>178</v>
      </c>
      <c r="IK17">
        <v>178</v>
      </c>
      <c r="IL17">
        <v>99</v>
      </c>
      <c r="IM17">
        <v>99</v>
      </c>
      <c r="IN17">
        <v>105</v>
      </c>
      <c r="IO17">
        <v>105</v>
      </c>
      <c r="IP17">
        <v>99</v>
      </c>
      <c r="IQ17">
        <v>99</v>
      </c>
      <c r="IR17">
        <v>100</v>
      </c>
      <c r="IS17">
        <v>100</v>
      </c>
      <c r="IT17">
        <v>200</v>
      </c>
      <c r="IU17">
        <v>143</v>
      </c>
      <c r="IV17">
        <v>82</v>
      </c>
      <c r="IW17">
        <v>82</v>
      </c>
      <c r="IX17">
        <v>82</v>
      </c>
      <c r="IY17">
        <v>412</v>
      </c>
      <c r="IZ17">
        <v>412</v>
      </c>
      <c r="JA17">
        <v>82</v>
      </c>
      <c r="JB17">
        <v>82</v>
      </c>
      <c r="JC17">
        <v>109</v>
      </c>
      <c r="JD17">
        <v>178</v>
      </c>
      <c r="JE17">
        <v>99</v>
      </c>
      <c r="JF17">
        <v>82</v>
      </c>
      <c r="JG17">
        <v>109</v>
      </c>
      <c r="JH17">
        <v>140</v>
      </c>
      <c r="JI17">
        <v>140</v>
      </c>
      <c r="JJ17">
        <v>196</v>
      </c>
      <c r="JK17">
        <v>178</v>
      </c>
      <c r="JL17">
        <v>178</v>
      </c>
      <c r="JM17">
        <v>99</v>
      </c>
      <c r="JN17">
        <v>178</v>
      </c>
      <c r="JO17">
        <v>350</v>
      </c>
      <c r="JP17">
        <v>99</v>
      </c>
      <c r="JQ17">
        <v>99</v>
      </c>
      <c r="JR17">
        <v>99</v>
      </c>
      <c r="JS17">
        <v>392</v>
      </c>
      <c r="JT17">
        <v>97</v>
      </c>
      <c r="JU17">
        <v>99</v>
      </c>
      <c r="JV17">
        <v>761</v>
      </c>
      <c r="JW17">
        <v>178</v>
      </c>
      <c r="JX17">
        <v>124</v>
      </c>
      <c r="JY17">
        <v>103</v>
      </c>
      <c r="JZ17">
        <v>178</v>
      </c>
      <c r="KA17">
        <v>746</v>
      </c>
      <c r="KB17">
        <v>646</v>
      </c>
      <c r="KC17">
        <v>178</v>
      </c>
      <c r="KD17">
        <v>178</v>
      </c>
      <c r="KE17">
        <v>178</v>
      </c>
      <c r="KF17">
        <v>178</v>
      </c>
      <c r="KG17">
        <v>190</v>
      </c>
      <c r="KH17">
        <v>105</v>
      </c>
      <c r="KI17">
        <v>136</v>
      </c>
      <c r="KJ17">
        <v>134</v>
      </c>
      <c r="KK17">
        <v>136</v>
      </c>
      <c r="KL17">
        <v>136</v>
      </c>
      <c r="KM17">
        <v>99</v>
      </c>
      <c r="KN17">
        <v>105</v>
      </c>
      <c r="KO17">
        <v>99</v>
      </c>
      <c r="KP17">
        <v>105</v>
      </c>
      <c r="KQ17">
        <v>99</v>
      </c>
      <c r="KR17">
        <v>99</v>
      </c>
      <c r="KS17">
        <v>99</v>
      </c>
      <c r="KT17">
        <v>74</v>
      </c>
      <c r="KU17">
        <v>74</v>
      </c>
      <c r="KV17">
        <v>99</v>
      </c>
      <c r="KW17">
        <v>178</v>
      </c>
      <c r="KX17">
        <v>178</v>
      </c>
      <c r="KY17">
        <v>99</v>
      </c>
      <c r="KZ17">
        <v>104</v>
      </c>
      <c r="LA17">
        <v>178</v>
      </c>
      <c r="LB17">
        <v>178</v>
      </c>
      <c r="LC17">
        <v>211</v>
      </c>
      <c r="LD17">
        <v>196</v>
      </c>
      <c r="LE17">
        <v>69</v>
      </c>
      <c r="LF17">
        <v>69</v>
      </c>
      <c r="LG17">
        <v>144</v>
      </c>
      <c r="LH17">
        <v>144</v>
      </c>
      <c r="LI17">
        <v>103</v>
      </c>
      <c r="LJ17">
        <v>99</v>
      </c>
      <c r="LK17">
        <v>99</v>
      </c>
      <c r="LL17">
        <v>82</v>
      </c>
      <c r="LM17">
        <v>82</v>
      </c>
      <c r="LN17">
        <v>82</v>
      </c>
      <c r="LO17">
        <v>82</v>
      </c>
      <c r="LP17">
        <v>82</v>
      </c>
      <c r="LQ17">
        <v>99</v>
      </c>
      <c r="LR17">
        <v>79</v>
      </c>
      <c r="LS17">
        <v>79</v>
      </c>
      <c r="LT17">
        <v>108</v>
      </c>
      <c r="LU17">
        <v>109</v>
      </c>
      <c r="LV17">
        <v>109</v>
      </c>
      <c r="LW17">
        <v>99</v>
      </c>
      <c r="LX17">
        <v>99</v>
      </c>
      <c r="LY17">
        <v>99</v>
      </c>
      <c r="LZ17">
        <v>178</v>
      </c>
      <c r="MA17">
        <v>393</v>
      </c>
      <c r="MB17">
        <v>350</v>
      </c>
      <c r="MC17">
        <v>350</v>
      </c>
      <c r="MD17">
        <v>434</v>
      </c>
      <c r="ME17">
        <v>1283</v>
      </c>
      <c r="MF17">
        <v>351</v>
      </c>
      <c r="MG17">
        <v>140</v>
      </c>
      <c r="MH17">
        <v>140</v>
      </c>
      <c r="MI17">
        <v>140</v>
      </c>
      <c r="MJ17">
        <v>186</v>
      </c>
      <c r="MK17">
        <v>157</v>
      </c>
      <c r="ML17">
        <v>144</v>
      </c>
      <c r="MM17">
        <v>186</v>
      </c>
      <c r="MN17">
        <v>195</v>
      </c>
      <c r="MO17">
        <v>105</v>
      </c>
      <c r="MP17">
        <v>119</v>
      </c>
      <c r="MQ17">
        <v>593</v>
      </c>
      <c r="MR17">
        <v>119</v>
      </c>
      <c r="MS17">
        <v>332</v>
      </c>
      <c r="MT17">
        <v>120</v>
      </c>
      <c r="MU17">
        <v>80</v>
      </c>
      <c r="MV17">
        <v>536</v>
      </c>
      <c r="MW17">
        <v>105</v>
      </c>
      <c r="MX17">
        <v>144</v>
      </c>
      <c r="MY17">
        <v>144</v>
      </c>
      <c r="MZ17">
        <v>105</v>
      </c>
      <c r="NA17">
        <v>384</v>
      </c>
      <c r="NB17">
        <v>99</v>
      </c>
      <c r="NC17">
        <v>99</v>
      </c>
      <c r="ND17">
        <v>434</v>
      </c>
      <c r="NE17">
        <v>98</v>
      </c>
      <c r="NF17">
        <v>107</v>
      </c>
      <c r="NG17">
        <v>140</v>
      </c>
      <c r="NH17">
        <v>107</v>
      </c>
      <c r="NI17">
        <v>140</v>
      </c>
      <c r="NJ17">
        <v>99</v>
      </c>
      <c r="NK17">
        <v>99</v>
      </c>
      <c r="NL17">
        <v>178</v>
      </c>
      <c r="NM17">
        <v>103</v>
      </c>
      <c r="NN17">
        <v>103</v>
      </c>
      <c r="NO17">
        <v>103</v>
      </c>
      <c r="NP17">
        <v>120</v>
      </c>
      <c r="NQ17">
        <v>120</v>
      </c>
      <c r="NR17">
        <v>570</v>
      </c>
      <c r="NS17">
        <v>99</v>
      </c>
      <c r="NT17">
        <v>393</v>
      </c>
      <c r="NU17">
        <v>434</v>
      </c>
      <c r="NV17">
        <v>593</v>
      </c>
      <c r="NW17">
        <v>178</v>
      </c>
      <c r="NX17">
        <v>178</v>
      </c>
      <c r="NY17">
        <v>178</v>
      </c>
      <c r="NZ17">
        <v>178</v>
      </c>
      <c r="OA17">
        <v>136</v>
      </c>
      <c r="OB17">
        <v>122</v>
      </c>
      <c r="OC17">
        <v>82</v>
      </c>
      <c r="OD17">
        <v>82</v>
      </c>
      <c r="OE17">
        <v>105</v>
      </c>
      <c r="OF17">
        <v>434</v>
      </c>
      <c r="OG17">
        <v>350</v>
      </c>
      <c r="OH17">
        <v>99</v>
      </c>
      <c r="OI17">
        <v>99</v>
      </c>
      <c r="OJ17">
        <v>99</v>
      </c>
      <c r="OK17">
        <v>99</v>
      </c>
      <c r="OL17">
        <v>99</v>
      </c>
      <c r="OM17">
        <v>99</v>
      </c>
      <c r="ON17">
        <v>200</v>
      </c>
      <c r="OO17">
        <v>200</v>
      </c>
      <c r="OP17">
        <v>119</v>
      </c>
      <c r="OQ17">
        <v>105</v>
      </c>
      <c r="OR17">
        <v>105</v>
      </c>
      <c r="OS17">
        <v>195</v>
      </c>
      <c r="OT17">
        <v>710</v>
      </c>
      <c r="OU17">
        <v>82</v>
      </c>
      <c r="OV17">
        <v>80</v>
      </c>
      <c r="OW17">
        <v>107</v>
      </c>
      <c r="OX17">
        <v>140</v>
      </c>
      <c r="OY17">
        <v>136</v>
      </c>
      <c r="OZ17">
        <v>136</v>
      </c>
      <c r="PA17">
        <v>104</v>
      </c>
      <c r="PB17">
        <v>196</v>
      </c>
      <c r="PC17">
        <v>80</v>
      </c>
      <c r="PD17">
        <v>562</v>
      </c>
      <c r="PE17">
        <v>120</v>
      </c>
      <c r="PF17">
        <v>267</v>
      </c>
      <c r="PG17">
        <v>351</v>
      </c>
      <c r="PH17">
        <v>593</v>
      </c>
      <c r="PI17">
        <v>178</v>
      </c>
      <c r="PJ17">
        <v>99</v>
      </c>
      <c r="PK17">
        <v>134</v>
      </c>
      <c r="PL17">
        <v>103</v>
      </c>
      <c r="PM17">
        <v>103</v>
      </c>
      <c r="PN17">
        <v>710</v>
      </c>
      <c r="PO17">
        <v>710</v>
      </c>
      <c r="PP17">
        <v>710</v>
      </c>
      <c r="PQ17">
        <v>185</v>
      </c>
      <c r="PR17">
        <v>178</v>
      </c>
      <c r="PS17">
        <v>99</v>
      </c>
      <c r="PT17">
        <v>178</v>
      </c>
      <c r="PU17">
        <v>178</v>
      </c>
      <c r="PV17">
        <v>119</v>
      </c>
      <c r="PW17">
        <v>120</v>
      </c>
      <c r="PX17">
        <v>136</v>
      </c>
      <c r="PY17">
        <v>434</v>
      </c>
      <c r="PZ17">
        <v>512</v>
      </c>
      <c r="QA17">
        <v>99</v>
      </c>
      <c r="QB17">
        <v>80</v>
      </c>
      <c r="QC17">
        <v>269</v>
      </c>
      <c r="QD17">
        <v>178</v>
      </c>
      <c r="QE17">
        <v>140</v>
      </c>
      <c r="QF17">
        <v>136</v>
      </c>
      <c r="QG17">
        <v>731</v>
      </c>
      <c r="QH17">
        <v>731</v>
      </c>
      <c r="QI17">
        <v>660</v>
      </c>
      <c r="QJ17">
        <v>660</v>
      </c>
      <c r="QK17">
        <v>136</v>
      </c>
      <c r="QL17">
        <v>99</v>
      </c>
      <c r="QM17">
        <v>99</v>
      </c>
      <c r="QN17">
        <v>350</v>
      </c>
      <c r="QO17">
        <v>350</v>
      </c>
      <c r="QP17">
        <v>99</v>
      </c>
      <c r="QQ17">
        <v>178</v>
      </c>
      <c r="QR17">
        <v>99</v>
      </c>
      <c r="QS17">
        <v>109</v>
      </c>
      <c r="QT17">
        <v>143</v>
      </c>
      <c r="QU17">
        <v>434</v>
      </c>
      <c r="QV17">
        <v>178</v>
      </c>
      <c r="QW17">
        <v>99</v>
      </c>
      <c r="QX17">
        <v>140</v>
      </c>
      <c r="QY17">
        <v>190</v>
      </c>
      <c r="QZ17">
        <v>195</v>
      </c>
      <c r="RA17">
        <v>135</v>
      </c>
      <c r="RB17">
        <v>195</v>
      </c>
      <c r="RC17">
        <v>710</v>
      </c>
      <c r="RD17">
        <v>136</v>
      </c>
      <c r="RE17">
        <v>105</v>
      </c>
      <c r="RF17">
        <v>124</v>
      </c>
      <c r="RG17">
        <v>99</v>
      </c>
      <c r="RH17">
        <v>353</v>
      </c>
      <c r="RI17">
        <v>178</v>
      </c>
      <c r="RJ17">
        <v>99</v>
      </c>
      <c r="RK17">
        <v>136</v>
      </c>
      <c r="RL17">
        <v>99</v>
      </c>
      <c r="RM17">
        <v>187</v>
      </c>
      <c r="RN17">
        <v>99</v>
      </c>
      <c r="RO17">
        <v>761</v>
      </c>
      <c r="RP17">
        <v>761</v>
      </c>
      <c r="RQ17">
        <v>99</v>
      </c>
      <c r="RR17">
        <v>99</v>
      </c>
      <c r="RS17">
        <v>99</v>
      </c>
      <c r="RT17">
        <v>99</v>
      </c>
      <c r="RU17">
        <v>136</v>
      </c>
      <c r="RV17">
        <v>124</v>
      </c>
      <c r="RW17">
        <v>99</v>
      </c>
      <c r="RX17">
        <v>99</v>
      </c>
      <c r="RY17">
        <v>136</v>
      </c>
      <c r="RZ17">
        <v>105</v>
      </c>
      <c r="SA17">
        <v>136</v>
      </c>
      <c r="SB17">
        <v>100</v>
      </c>
      <c r="SC17">
        <v>99</v>
      </c>
      <c r="SD17">
        <v>178</v>
      </c>
      <c r="SE17">
        <v>99</v>
      </c>
      <c r="SF17">
        <v>99</v>
      </c>
      <c r="SG17">
        <v>99</v>
      </c>
      <c r="SH17">
        <v>99</v>
      </c>
      <c r="SI17">
        <v>82</v>
      </c>
      <c r="SJ17">
        <v>80</v>
      </c>
      <c r="SK17">
        <v>99</v>
      </c>
      <c r="SL17">
        <v>99</v>
      </c>
      <c r="SM17">
        <v>95</v>
      </c>
      <c r="SN17">
        <v>710</v>
      </c>
      <c r="SO17">
        <v>710</v>
      </c>
      <c r="SP17">
        <v>350</v>
      </c>
      <c r="SQ17">
        <v>120</v>
      </c>
      <c r="SR17">
        <v>104</v>
      </c>
      <c r="SS17">
        <v>710</v>
      </c>
      <c r="ST17">
        <v>710</v>
      </c>
      <c r="SU17">
        <v>99</v>
      </c>
      <c r="SV17">
        <v>99</v>
      </c>
      <c r="SW17">
        <v>80</v>
      </c>
      <c r="SX17">
        <v>178</v>
      </c>
      <c r="SY17">
        <v>269</v>
      </c>
      <c r="SZ17">
        <v>325</v>
      </c>
      <c r="TA17">
        <v>350</v>
      </c>
      <c r="TB17">
        <v>119</v>
      </c>
      <c r="TC17">
        <v>120</v>
      </c>
      <c r="TD17">
        <v>140</v>
      </c>
      <c r="TE17">
        <v>140</v>
      </c>
      <c r="TF17">
        <v>99</v>
      </c>
      <c r="TG17">
        <v>105</v>
      </c>
      <c r="TH17">
        <v>100</v>
      </c>
      <c r="TI17">
        <v>120</v>
      </c>
      <c r="TJ17">
        <v>139</v>
      </c>
      <c r="TK17">
        <v>135</v>
      </c>
      <c r="TL17">
        <v>190</v>
      </c>
      <c r="TM17">
        <v>99</v>
      </c>
      <c r="TN17">
        <v>99</v>
      </c>
      <c r="TO17">
        <v>1283</v>
      </c>
      <c r="TP17">
        <v>537</v>
      </c>
      <c r="TQ17">
        <v>178</v>
      </c>
      <c r="TR17">
        <v>178</v>
      </c>
      <c r="TS17">
        <v>178</v>
      </c>
      <c r="TT17">
        <v>105</v>
      </c>
      <c r="TU17">
        <v>105</v>
      </c>
      <c r="TV17">
        <v>136</v>
      </c>
      <c r="TW17">
        <v>105</v>
      </c>
      <c r="TX17">
        <v>82</v>
      </c>
      <c r="TY17">
        <v>82</v>
      </c>
      <c r="TZ17">
        <v>119</v>
      </c>
      <c r="UA17">
        <v>332</v>
      </c>
      <c r="UB17">
        <v>109</v>
      </c>
      <c r="UC17">
        <v>82</v>
      </c>
      <c r="UD17">
        <v>186</v>
      </c>
      <c r="UE17">
        <v>105</v>
      </c>
      <c r="UF17">
        <v>434</v>
      </c>
      <c r="UG17">
        <v>1577</v>
      </c>
      <c r="UH17">
        <v>105</v>
      </c>
      <c r="UI17">
        <v>105</v>
      </c>
      <c r="UJ17">
        <v>267</v>
      </c>
      <c r="UK17">
        <v>269</v>
      </c>
      <c r="UL17">
        <v>269</v>
      </c>
      <c r="UM17">
        <v>593</v>
      </c>
      <c r="UN17">
        <v>178</v>
      </c>
      <c r="UO17">
        <v>136</v>
      </c>
      <c r="UP17">
        <v>467</v>
      </c>
      <c r="UQ17">
        <v>63</v>
      </c>
      <c r="UR17">
        <v>195</v>
      </c>
      <c r="US17">
        <v>178</v>
      </c>
      <c r="UT17">
        <v>125</v>
      </c>
      <c r="UU17">
        <v>125</v>
      </c>
      <c r="UV17">
        <v>99</v>
      </c>
      <c r="UW17">
        <v>95</v>
      </c>
      <c r="UX17">
        <v>99</v>
      </c>
      <c r="UY17">
        <v>178</v>
      </c>
      <c r="UZ17">
        <v>178</v>
      </c>
      <c r="VA17">
        <v>105</v>
      </c>
      <c r="VB17">
        <v>99</v>
      </c>
      <c r="VC17">
        <v>99</v>
      </c>
      <c r="VD17">
        <v>105</v>
      </c>
      <c r="VE17">
        <v>105</v>
      </c>
      <c r="VF17">
        <v>105</v>
      </c>
      <c r="VG17">
        <v>710</v>
      </c>
      <c r="VH17">
        <v>710</v>
      </c>
      <c r="VI17">
        <v>79</v>
      </c>
      <c r="VJ17">
        <v>79</v>
      </c>
      <c r="VK17">
        <v>105</v>
      </c>
      <c r="VL17">
        <v>178</v>
      </c>
      <c r="VM17">
        <v>186</v>
      </c>
      <c r="VN17">
        <v>178</v>
      </c>
      <c r="VO17">
        <v>685</v>
      </c>
    </row>
    <row r="18" spans="1:587" x14ac:dyDescent="0.3">
      <c r="A18" t="s">
        <v>3013</v>
      </c>
      <c r="B18" cm="1">
        <f t="array" ref="B18:VO18">1*TRANSPOSE(_xlfn._xlws.FILTER(branch!$I$2:$I$591,branch!$D$2:$D$591&lt;&gt;0))</f>
        <v>99</v>
      </c>
      <c r="C18">
        <v>99</v>
      </c>
      <c r="D18">
        <v>178</v>
      </c>
      <c r="E18">
        <v>145</v>
      </c>
      <c r="F18">
        <v>536</v>
      </c>
      <c r="G18">
        <v>393</v>
      </c>
      <c r="H18">
        <v>393</v>
      </c>
      <c r="I18">
        <v>593</v>
      </c>
      <c r="J18">
        <v>434</v>
      </c>
      <c r="K18">
        <v>99</v>
      </c>
      <c r="L18">
        <v>140</v>
      </c>
      <c r="M18">
        <v>103</v>
      </c>
      <c r="N18">
        <v>109</v>
      </c>
      <c r="O18">
        <v>105</v>
      </c>
      <c r="P18">
        <v>99</v>
      </c>
      <c r="Q18">
        <v>187</v>
      </c>
      <c r="R18">
        <v>187</v>
      </c>
      <c r="S18">
        <v>187</v>
      </c>
      <c r="T18">
        <v>104</v>
      </c>
      <c r="U18">
        <v>112</v>
      </c>
      <c r="V18">
        <v>105</v>
      </c>
      <c r="W18">
        <v>82</v>
      </c>
      <c r="X18">
        <v>82</v>
      </c>
      <c r="Y18">
        <v>105</v>
      </c>
      <c r="Z18">
        <v>105</v>
      </c>
      <c r="AA18">
        <v>99</v>
      </c>
      <c r="AB18">
        <v>178</v>
      </c>
      <c r="AC18">
        <v>434</v>
      </c>
      <c r="AD18">
        <v>434</v>
      </c>
      <c r="AE18">
        <v>34</v>
      </c>
      <c r="AF18">
        <v>120</v>
      </c>
      <c r="AG18">
        <v>120</v>
      </c>
      <c r="AH18">
        <v>104</v>
      </c>
      <c r="AI18">
        <v>178</v>
      </c>
      <c r="AJ18">
        <v>178</v>
      </c>
      <c r="AK18">
        <v>178</v>
      </c>
      <c r="AL18">
        <v>178</v>
      </c>
      <c r="AM18">
        <v>120</v>
      </c>
      <c r="AN18">
        <v>178</v>
      </c>
      <c r="AO18">
        <v>99</v>
      </c>
      <c r="AP18">
        <v>178</v>
      </c>
      <c r="AQ18">
        <v>140</v>
      </c>
      <c r="AR18">
        <v>140</v>
      </c>
      <c r="AS18">
        <v>99</v>
      </c>
      <c r="AT18">
        <v>105</v>
      </c>
      <c r="AU18">
        <v>99</v>
      </c>
      <c r="AV18">
        <v>96</v>
      </c>
      <c r="AW18">
        <v>96</v>
      </c>
      <c r="AX18">
        <v>178</v>
      </c>
      <c r="AY18">
        <v>178</v>
      </c>
      <c r="AZ18">
        <v>120</v>
      </c>
      <c r="BA18">
        <v>120</v>
      </c>
      <c r="BB18">
        <v>178</v>
      </c>
      <c r="BC18">
        <v>178</v>
      </c>
      <c r="BD18">
        <v>178</v>
      </c>
      <c r="BE18">
        <v>105</v>
      </c>
      <c r="BF18">
        <v>99</v>
      </c>
      <c r="BG18">
        <v>99</v>
      </c>
      <c r="BH18">
        <v>99</v>
      </c>
      <c r="BI18">
        <v>82</v>
      </c>
      <c r="BJ18">
        <v>82</v>
      </c>
      <c r="BK18">
        <v>136</v>
      </c>
      <c r="BL18">
        <v>140</v>
      </c>
      <c r="BM18">
        <v>130</v>
      </c>
      <c r="BN18">
        <v>99</v>
      </c>
      <c r="BO18">
        <v>122</v>
      </c>
      <c r="BP18">
        <v>196</v>
      </c>
      <c r="BQ18">
        <v>178</v>
      </c>
      <c r="BR18">
        <v>136</v>
      </c>
      <c r="BS18">
        <v>178</v>
      </c>
      <c r="BT18">
        <v>124</v>
      </c>
      <c r="BU18">
        <v>178</v>
      </c>
      <c r="BV18">
        <v>178</v>
      </c>
      <c r="BW18">
        <v>178</v>
      </c>
      <c r="BX18">
        <v>99</v>
      </c>
      <c r="BY18">
        <v>136</v>
      </c>
      <c r="BZ18">
        <v>195</v>
      </c>
      <c r="CA18">
        <v>178</v>
      </c>
      <c r="CB18">
        <v>178</v>
      </c>
      <c r="CC18">
        <v>192</v>
      </c>
      <c r="CD18">
        <v>187</v>
      </c>
      <c r="CE18">
        <v>120</v>
      </c>
      <c r="CF18">
        <v>187</v>
      </c>
      <c r="CG18">
        <v>187</v>
      </c>
      <c r="CH18">
        <v>187</v>
      </c>
      <c r="CI18">
        <v>119</v>
      </c>
      <c r="CJ18">
        <v>119</v>
      </c>
      <c r="CK18">
        <v>570</v>
      </c>
      <c r="CL18">
        <v>570</v>
      </c>
      <c r="CM18">
        <v>140</v>
      </c>
      <c r="CN18">
        <v>140</v>
      </c>
      <c r="CO18">
        <v>842</v>
      </c>
      <c r="CP18">
        <v>105</v>
      </c>
      <c r="CQ18">
        <v>109</v>
      </c>
      <c r="CR18">
        <v>109</v>
      </c>
      <c r="CS18">
        <v>82</v>
      </c>
      <c r="CT18">
        <v>82</v>
      </c>
      <c r="CU18">
        <v>75</v>
      </c>
      <c r="CV18">
        <v>75</v>
      </c>
      <c r="CW18">
        <v>178</v>
      </c>
      <c r="CX18">
        <v>178</v>
      </c>
      <c r="CY18">
        <v>178</v>
      </c>
      <c r="CZ18">
        <v>178</v>
      </c>
      <c r="DA18">
        <v>82</v>
      </c>
      <c r="DB18">
        <v>82</v>
      </c>
      <c r="DC18">
        <v>710</v>
      </c>
      <c r="DD18">
        <v>69</v>
      </c>
      <c r="DE18">
        <v>70</v>
      </c>
      <c r="DF18">
        <v>710</v>
      </c>
      <c r="DG18">
        <v>710</v>
      </c>
      <c r="DH18">
        <v>710</v>
      </c>
      <c r="DI18">
        <v>144</v>
      </c>
      <c r="DJ18">
        <v>63</v>
      </c>
      <c r="DK18">
        <v>99</v>
      </c>
      <c r="DL18">
        <v>570</v>
      </c>
      <c r="DM18">
        <v>570</v>
      </c>
      <c r="DN18">
        <v>178</v>
      </c>
      <c r="DO18">
        <v>200</v>
      </c>
      <c r="DP18">
        <v>109</v>
      </c>
      <c r="DQ18">
        <v>109</v>
      </c>
      <c r="DR18">
        <v>79</v>
      </c>
      <c r="DS18">
        <v>79</v>
      </c>
      <c r="DT18">
        <v>434</v>
      </c>
      <c r="DU18">
        <v>740</v>
      </c>
      <c r="DV18">
        <v>228</v>
      </c>
      <c r="DW18">
        <v>115</v>
      </c>
      <c r="DX18">
        <v>195</v>
      </c>
      <c r="DY18">
        <v>124</v>
      </c>
      <c r="DZ18">
        <v>80</v>
      </c>
      <c r="EA18">
        <v>120</v>
      </c>
      <c r="EB18">
        <v>105</v>
      </c>
      <c r="EC18">
        <v>178</v>
      </c>
      <c r="ED18">
        <v>178</v>
      </c>
      <c r="EE18">
        <v>178</v>
      </c>
      <c r="EF18">
        <v>69</v>
      </c>
      <c r="EG18">
        <v>70</v>
      </c>
      <c r="EH18">
        <v>69</v>
      </c>
      <c r="EI18">
        <v>69</v>
      </c>
      <c r="EJ18">
        <v>132</v>
      </c>
      <c r="EK18">
        <v>132</v>
      </c>
      <c r="EL18">
        <v>710</v>
      </c>
      <c r="EM18">
        <v>710</v>
      </c>
      <c r="EN18">
        <v>66</v>
      </c>
      <c r="EO18">
        <v>66</v>
      </c>
      <c r="EP18">
        <v>710</v>
      </c>
      <c r="EQ18">
        <v>109</v>
      </c>
      <c r="ER18">
        <v>109</v>
      </c>
      <c r="ES18">
        <v>82</v>
      </c>
      <c r="ET18">
        <v>82</v>
      </c>
      <c r="EU18">
        <v>144</v>
      </c>
      <c r="EV18">
        <v>144</v>
      </c>
      <c r="EW18">
        <v>710</v>
      </c>
      <c r="EX18">
        <v>178</v>
      </c>
      <c r="EY18">
        <v>124</v>
      </c>
      <c r="EZ18">
        <v>99</v>
      </c>
      <c r="FA18">
        <v>99</v>
      </c>
      <c r="FB18">
        <v>99</v>
      </c>
      <c r="FC18">
        <v>761</v>
      </c>
      <c r="FD18">
        <v>187</v>
      </c>
      <c r="FE18">
        <v>761</v>
      </c>
      <c r="FF18">
        <v>761</v>
      </c>
      <c r="FG18">
        <v>761</v>
      </c>
      <c r="FH18">
        <v>178</v>
      </c>
      <c r="FI18">
        <v>178</v>
      </c>
      <c r="FJ18">
        <v>115</v>
      </c>
      <c r="FK18">
        <v>434</v>
      </c>
      <c r="FL18">
        <v>434</v>
      </c>
      <c r="FM18">
        <v>555</v>
      </c>
      <c r="FN18">
        <v>123</v>
      </c>
      <c r="FO18">
        <v>178</v>
      </c>
      <c r="FP18">
        <v>130</v>
      </c>
      <c r="FQ18">
        <v>178</v>
      </c>
      <c r="FR18">
        <v>103</v>
      </c>
      <c r="FS18">
        <v>238</v>
      </c>
      <c r="FT18">
        <v>434</v>
      </c>
      <c r="FU18">
        <v>178</v>
      </c>
      <c r="FV18">
        <v>132</v>
      </c>
      <c r="FW18">
        <v>178</v>
      </c>
      <c r="FX18">
        <v>144</v>
      </c>
      <c r="FY18">
        <v>144</v>
      </c>
      <c r="FZ18">
        <v>140</v>
      </c>
      <c r="GA18">
        <v>140</v>
      </c>
      <c r="GB18">
        <v>136</v>
      </c>
      <c r="GC18">
        <v>178</v>
      </c>
      <c r="GD18">
        <v>178</v>
      </c>
      <c r="GE18">
        <v>178</v>
      </c>
      <c r="GF18">
        <v>196</v>
      </c>
      <c r="GG18">
        <v>178</v>
      </c>
      <c r="GH18">
        <v>178</v>
      </c>
      <c r="GI18">
        <v>178</v>
      </c>
      <c r="GJ18">
        <v>130</v>
      </c>
      <c r="GK18">
        <v>99</v>
      </c>
      <c r="GL18">
        <v>136</v>
      </c>
      <c r="GM18">
        <v>178</v>
      </c>
      <c r="GN18">
        <v>105</v>
      </c>
      <c r="GO18">
        <v>187</v>
      </c>
      <c r="GP18">
        <v>187</v>
      </c>
      <c r="GQ18">
        <v>187</v>
      </c>
      <c r="GR18">
        <v>105</v>
      </c>
      <c r="GS18">
        <v>130</v>
      </c>
      <c r="GT18">
        <v>434</v>
      </c>
      <c r="GU18">
        <v>105</v>
      </c>
      <c r="GV18">
        <v>105</v>
      </c>
      <c r="GW18">
        <v>593</v>
      </c>
      <c r="GX18">
        <v>119</v>
      </c>
      <c r="GY18">
        <v>178</v>
      </c>
      <c r="GZ18">
        <v>120</v>
      </c>
      <c r="HA18">
        <v>178</v>
      </c>
      <c r="HB18">
        <v>178</v>
      </c>
      <c r="HC18">
        <v>178</v>
      </c>
      <c r="HD18">
        <v>646</v>
      </c>
      <c r="HE18">
        <v>161</v>
      </c>
      <c r="HF18">
        <v>161</v>
      </c>
      <c r="HG18">
        <v>434</v>
      </c>
      <c r="HH18">
        <v>434</v>
      </c>
      <c r="HI18">
        <v>187</v>
      </c>
      <c r="HJ18">
        <v>124</v>
      </c>
      <c r="HK18">
        <v>99</v>
      </c>
      <c r="HL18">
        <v>105</v>
      </c>
      <c r="HM18">
        <v>63</v>
      </c>
      <c r="HN18">
        <v>178</v>
      </c>
      <c r="HO18">
        <v>187</v>
      </c>
      <c r="HP18">
        <v>136</v>
      </c>
      <c r="HQ18">
        <v>187</v>
      </c>
      <c r="HR18">
        <v>187</v>
      </c>
      <c r="HS18">
        <v>99</v>
      </c>
      <c r="HT18">
        <v>99</v>
      </c>
      <c r="HU18">
        <v>105</v>
      </c>
      <c r="HV18">
        <v>178</v>
      </c>
      <c r="HW18">
        <v>178</v>
      </c>
      <c r="HX18">
        <v>1577</v>
      </c>
      <c r="HY18">
        <v>1577</v>
      </c>
      <c r="HZ18">
        <v>143</v>
      </c>
      <c r="IA18">
        <v>104</v>
      </c>
      <c r="IB18">
        <v>82</v>
      </c>
      <c r="IC18">
        <v>82</v>
      </c>
      <c r="ID18">
        <v>82</v>
      </c>
      <c r="IE18">
        <v>82</v>
      </c>
      <c r="IF18">
        <v>186</v>
      </c>
      <c r="IG18">
        <v>124</v>
      </c>
      <c r="IH18">
        <v>136</v>
      </c>
      <c r="II18">
        <v>99</v>
      </c>
      <c r="IJ18">
        <v>178</v>
      </c>
      <c r="IK18">
        <v>178</v>
      </c>
      <c r="IL18">
        <v>99</v>
      </c>
      <c r="IM18">
        <v>99</v>
      </c>
      <c r="IN18">
        <v>105</v>
      </c>
      <c r="IO18">
        <v>105</v>
      </c>
      <c r="IP18">
        <v>99</v>
      </c>
      <c r="IQ18">
        <v>99</v>
      </c>
      <c r="IR18">
        <v>100</v>
      </c>
      <c r="IS18">
        <v>100</v>
      </c>
      <c r="IT18">
        <v>200</v>
      </c>
      <c r="IU18">
        <v>143</v>
      </c>
      <c r="IV18">
        <v>82</v>
      </c>
      <c r="IW18">
        <v>82</v>
      </c>
      <c r="IX18">
        <v>82</v>
      </c>
      <c r="IY18">
        <v>412</v>
      </c>
      <c r="IZ18">
        <v>412</v>
      </c>
      <c r="JA18">
        <v>82</v>
      </c>
      <c r="JB18">
        <v>82</v>
      </c>
      <c r="JC18">
        <v>109</v>
      </c>
      <c r="JD18">
        <v>178</v>
      </c>
      <c r="JE18">
        <v>99</v>
      </c>
      <c r="JF18">
        <v>82</v>
      </c>
      <c r="JG18">
        <v>109</v>
      </c>
      <c r="JH18">
        <v>140</v>
      </c>
      <c r="JI18">
        <v>140</v>
      </c>
      <c r="JJ18">
        <v>196</v>
      </c>
      <c r="JK18">
        <v>178</v>
      </c>
      <c r="JL18">
        <v>178</v>
      </c>
      <c r="JM18">
        <v>99</v>
      </c>
      <c r="JN18">
        <v>178</v>
      </c>
      <c r="JO18">
        <v>350</v>
      </c>
      <c r="JP18">
        <v>99</v>
      </c>
      <c r="JQ18">
        <v>99</v>
      </c>
      <c r="JR18">
        <v>99</v>
      </c>
      <c r="JS18">
        <v>392</v>
      </c>
      <c r="JT18">
        <v>97</v>
      </c>
      <c r="JU18">
        <v>99</v>
      </c>
      <c r="JV18">
        <v>761</v>
      </c>
      <c r="JW18">
        <v>178</v>
      </c>
      <c r="JX18">
        <v>124</v>
      </c>
      <c r="JY18">
        <v>103</v>
      </c>
      <c r="JZ18">
        <v>178</v>
      </c>
      <c r="KA18">
        <v>746</v>
      </c>
      <c r="KB18">
        <v>646</v>
      </c>
      <c r="KC18">
        <v>178</v>
      </c>
      <c r="KD18">
        <v>178</v>
      </c>
      <c r="KE18">
        <v>178</v>
      </c>
      <c r="KF18">
        <v>178</v>
      </c>
      <c r="KG18">
        <v>190</v>
      </c>
      <c r="KH18">
        <v>105</v>
      </c>
      <c r="KI18">
        <v>136</v>
      </c>
      <c r="KJ18">
        <v>134</v>
      </c>
      <c r="KK18">
        <v>136</v>
      </c>
      <c r="KL18">
        <v>136</v>
      </c>
      <c r="KM18">
        <v>99</v>
      </c>
      <c r="KN18">
        <v>105</v>
      </c>
      <c r="KO18">
        <v>99</v>
      </c>
      <c r="KP18">
        <v>105</v>
      </c>
      <c r="KQ18">
        <v>99</v>
      </c>
      <c r="KR18">
        <v>99</v>
      </c>
      <c r="KS18">
        <v>99</v>
      </c>
      <c r="KT18">
        <v>74</v>
      </c>
      <c r="KU18">
        <v>74</v>
      </c>
      <c r="KV18">
        <v>99</v>
      </c>
      <c r="KW18">
        <v>178</v>
      </c>
      <c r="KX18">
        <v>178</v>
      </c>
      <c r="KY18">
        <v>99</v>
      </c>
      <c r="KZ18">
        <v>104</v>
      </c>
      <c r="LA18">
        <v>178</v>
      </c>
      <c r="LB18">
        <v>178</v>
      </c>
      <c r="LC18">
        <v>211</v>
      </c>
      <c r="LD18">
        <v>196</v>
      </c>
      <c r="LE18">
        <v>69</v>
      </c>
      <c r="LF18">
        <v>69</v>
      </c>
      <c r="LG18">
        <v>144</v>
      </c>
      <c r="LH18">
        <v>144</v>
      </c>
      <c r="LI18">
        <v>103</v>
      </c>
      <c r="LJ18">
        <v>99</v>
      </c>
      <c r="LK18">
        <v>99</v>
      </c>
      <c r="LL18">
        <v>82</v>
      </c>
      <c r="LM18">
        <v>82</v>
      </c>
      <c r="LN18">
        <v>82</v>
      </c>
      <c r="LO18">
        <v>82</v>
      </c>
      <c r="LP18">
        <v>82</v>
      </c>
      <c r="LQ18">
        <v>99</v>
      </c>
      <c r="LR18">
        <v>79</v>
      </c>
      <c r="LS18">
        <v>79</v>
      </c>
      <c r="LT18">
        <v>108</v>
      </c>
      <c r="LU18">
        <v>109</v>
      </c>
      <c r="LV18">
        <v>109</v>
      </c>
      <c r="LW18">
        <v>99</v>
      </c>
      <c r="LX18">
        <v>99</v>
      </c>
      <c r="LY18">
        <v>99</v>
      </c>
      <c r="LZ18">
        <v>178</v>
      </c>
      <c r="MA18">
        <v>393</v>
      </c>
      <c r="MB18">
        <v>350</v>
      </c>
      <c r="MC18">
        <v>350</v>
      </c>
      <c r="MD18">
        <v>434</v>
      </c>
      <c r="ME18">
        <v>1283</v>
      </c>
      <c r="MF18">
        <v>351</v>
      </c>
      <c r="MG18">
        <v>140</v>
      </c>
      <c r="MH18">
        <v>140</v>
      </c>
      <c r="MI18">
        <v>140</v>
      </c>
      <c r="MJ18">
        <v>186</v>
      </c>
      <c r="MK18">
        <v>157</v>
      </c>
      <c r="ML18">
        <v>144</v>
      </c>
      <c r="MM18">
        <v>186</v>
      </c>
      <c r="MN18">
        <v>195</v>
      </c>
      <c r="MO18">
        <v>105</v>
      </c>
      <c r="MP18">
        <v>119</v>
      </c>
      <c r="MQ18">
        <v>593</v>
      </c>
      <c r="MR18">
        <v>119</v>
      </c>
      <c r="MS18">
        <v>332</v>
      </c>
      <c r="MT18">
        <v>120</v>
      </c>
      <c r="MU18">
        <v>80</v>
      </c>
      <c r="MV18">
        <v>536</v>
      </c>
      <c r="MW18">
        <v>105</v>
      </c>
      <c r="MX18">
        <v>144</v>
      </c>
      <c r="MY18">
        <v>144</v>
      </c>
      <c r="MZ18">
        <v>105</v>
      </c>
      <c r="NA18">
        <v>384</v>
      </c>
      <c r="NB18">
        <v>99</v>
      </c>
      <c r="NC18">
        <v>99</v>
      </c>
      <c r="ND18">
        <v>434</v>
      </c>
      <c r="NE18">
        <v>98</v>
      </c>
      <c r="NF18">
        <v>107</v>
      </c>
      <c r="NG18">
        <v>140</v>
      </c>
      <c r="NH18">
        <v>107</v>
      </c>
      <c r="NI18">
        <v>140</v>
      </c>
      <c r="NJ18">
        <v>99</v>
      </c>
      <c r="NK18">
        <v>99</v>
      </c>
      <c r="NL18">
        <v>178</v>
      </c>
      <c r="NM18">
        <v>103</v>
      </c>
      <c r="NN18">
        <v>103</v>
      </c>
      <c r="NO18">
        <v>103</v>
      </c>
      <c r="NP18">
        <v>120</v>
      </c>
      <c r="NQ18">
        <v>120</v>
      </c>
      <c r="NR18">
        <v>570</v>
      </c>
      <c r="NS18">
        <v>99</v>
      </c>
      <c r="NT18">
        <v>393</v>
      </c>
      <c r="NU18">
        <v>434</v>
      </c>
      <c r="NV18">
        <v>593</v>
      </c>
      <c r="NW18">
        <v>178</v>
      </c>
      <c r="NX18">
        <v>178</v>
      </c>
      <c r="NY18">
        <v>178</v>
      </c>
      <c r="NZ18">
        <v>178</v>
      </c>
      <c r="OA18">
        <v>136</v>
      </c>
      <c r="OB18">
        <v>122</v>
      </c>
      <c r="OC18">
        <v>82</v>
      </c>
      <c r="OD18">
        <v>82</v>
      </c>
      <c r="OE18">
        <v>105</v>
      </c>
      <c r="OF18">
        <v>434</v>
      </c>
      <c r="OG18">
        <v>350</v>
      </c>
      <c r="OH18">
        <v>99</v>
      </c>
      <c r="OI18">
        <v>99</v>
      </c>
      <c r="OJ18">
        <v>99</v>
      </c>
      <c r="OK18">
        <v>99</v>
      </c>
      <c r="OL18">
        <v>99</v>
      </c>
      <c r="OM18">
        <v>99</v>
      </c>
      <c r="ON18">
        <v>200</v>
      </c>
      <c r="OO18">
        <v>200</v>
      </c>
      <c r="OP18">
        <v>119</v>
      </c>
      <c r="OQ18">
        <v>105</v>
      </c>
      <c r="OR18">
        <v>105</v>
      </c>
      <c r="OS18">
        <v>195</v>
      </c>
      <c r="OT18">
        <v>710</v>
      </c>
      <c r="OU18">
        <v>82</v>
      </c>
      <c r="OV18">
        <v>80</v>
      </c>
      <c r="OW18">
        <v>107</v>
      </c>
      <c r="OX18">
        <v>140</v>
      </c>
      <c r="OY18">
        <v>136</v>
      </c>
      <c r="OZ18">
        <v>136</v>
      </c>
      <c r="PA18">
        <v>104</v>
      </c>
      <c r="PB18">
        <v>196</v>
      </c>
      <c r="PC18">
        <v>80</v>
      </c>
      <c r="PD18">
        <v>562</v>
      </c>
      <c r="PE18">
        <v>120</v>
      </c>
      <c r="PF18">
        <v>267</v>
      </c>
      <c r="PG18">
        <v>351</v>
      </c>
      <c r="PH18">
        <v>593</v>
      </c>
      <c r="PI18">
        <v>178</v>
      </c>
      <c r="PJ18">
        <v>99</v>
      </c>
      <c r="PK18">
        <v>134</v>
      </c>
      <c r="PL18">
        <v>103</v>
      </c>
      <c r="PM18">
        <v>103</v>
      </c>
      <c r="PN18">
        <v>710</v>
      </c>
      <c r="PO18">
        <v>710</v>
      </c>
      <c r="PP18">
        <v>710</v>
      </c>
      <c r="PQ18">
        <v>185</v>
      </c>
      <c r="PR18">
        <v>178</v>
      </c>
      <c r="PS18">
        <v>99</v>
      </c>
      <c r="PT18">
        <v>178</v>
      </c>
      <c r="PU18">
        <v>178</v>
      </c>
      <c r="PV18">
        <v>119</v>
      </c>
      <c r="PW18">
        <v>120</v>
      </c>
      <c r="PX18">
        <v>136</v>
      </c>
      <c r="PY18">
        <v>434</v>
      </c>
      <c r="PZ18">
        <v>512</v>
      </c>
      <c r="QA18">
        <v>99</v>
      </c>
      <c r="QB18">
        <v>80</v>
      </c>
      <c r="QC18">
        <v>269</v>
      </c>
      <c r="QD18">
        <v>178</v>
      </c>
      <c r="QE18">
        <v>140</v>
      </c>
      <c r="QF18">
        <v>136</v>
      </c>
      <c r="QG18">
        <v>731</v>
      </c>
      <c r="QH18">
        <v>731</v>
      </c>
      <c r="QI18">
        <v>660</v>
      </c>
      <c r="QJ18">
        <v>660</v>
      </c>
      <c r="QK18">
        <v>136</v>
      </c>
      <c r="QL18">
        <v>99</v>
      </c>
      <c r="QM18">
        <v>99</v>
      </c>
      <c r="QN18">
        <v>350</v>
      </c>
      <c r="QO18">
        <v>350</v>
      </c>
      <c r="QP18">
        <v>99</v>
      </c>
      <c r="QQ18">
        <v>178</v>
      </c>
      <c r="QR18">
        <v>99</v>
      </c>
      <c r="QS18">
        <v>109</v>
      </c>
      <c r="QT18">
        <v>143</v>
      </c>
      <c r="QU18">
        <v>434</v>
      </c>
      <c r="QV18">
        <v>178</v>
      </c>
      <c r="QW18">
        <v>99</v>
      </c>
      <c r="QX18">
        <v>140</v>
      </c>
      <c r="QY18">
        <v>190</v>
      </c>
      <c r="QZ18">
        <v>195</v>
      </c>
      <c r="RA18">
        <v>135</v>
      </c>
      <c r="RB18">
        <v>195</v>
      </c>
      <c r="RC18">
        <v>710</v>
      </c>
      <c r="RD18">
        <v>136</v>
      </c>
      <c r="RE18">
        <v>105</v>
      </c>
      <c r="RF18">
        <v>124</v>
      </c>
      <c r="RG18">
        <v>99</v>
      </c>
      <c r="RH18">
        <v>353</v>
      </c>
      <c r="RI18">
        <v>178</v>
      </c>
      <c r="RJ18">
        <v>99</v>
      </c>
      <c r="RK18">
        <v>136</v>
      </c>
      <c r="RL18">
        <v>99</v>
      </c>
      <c r="RM18">
        <v>187</v>
      </c>
      <c r="RN18">
        <v>99</v>
      </c>
      <c r="RO18">
        <v>761</v>
      </c>
      <c r="RP18">
        <v>761</v>
      </c>
      <c r="RQ18">
        <v>99</v>
      </c>
      <c r="RR18">
        <v>99</v>
      </c>
      <c r="RS18">
        <v>99</v>
      </c>
      <c r="RT18">
        <v>99</v>
      </c>
      <c r="RU18">
        <v>136</v>
      </c>
      <c r="RV18">
        <v>124</v>
      </c>
      <c r="RW18">
        <v>99</v>
      </c>
      <c r="RX18">
        <v>99</v>
      </c>
      <c r="RY18">
        <v>136</v>
      </c>
      <c r="RZ18">
        <v>105</v>
      </c>
      <c r="SA18">
        <v>136</v>
      </c>
      <c r="SB18">
        <v>100</v>
      </c>
      <c r="SC18">
        <v>99</v>
      </c>
      <c r="SD18">
        <v>178</v>
      </c>
      <c r="SE18">
        <v>99</v>
      </c>
      <c r="SF18">
        <v>99</v>
      </c>
      <c r="SG18">
        <v>99</v>
      </c>
      <c r="SH18">
        <v>99</v>
      </c>
      <c r="SI18">
        <v>82</v>
      </c>
      <c r="SJ18">
        <v>80</v>
      </c>
      <c r="SK18">
        <v>99</v>
      </c>
      <c r="SL18">
        <v>99</v>
      </c>
      <c r="SM18">
        <v>95</v>
      </c>
      <c r="SN18">
        <v>710</v>
      </c>
      <c r="SO18">
        <v>710</v>
      </c>
      <c r="SP18">
        <v>350</v>
      </c>
      <c r="SQ18">
        <v>120</v>
      </c>
      <c r="SR18">
        <v>104</v>
      </c>
      <c r="SS18">
        <v>710</v>
      </c>
      <c r="ST18">
        <v>710</v>
      </c>
      <c r="SU18">
        <v>99</v>
      </c>
      <c r="SV18">
        <v>99</v>
      </c>
      <c r="SW18">
        <v>80</v>
      </c>
      <c r="SX18">
        <v>178</v>
      </c>
      <c r="SY18">
        <v>269</v>
      </c>
      <c r="SZ18">
        <v>325</v>
      </c>
      <c r="TA18">
        <v>350</v>
      </c>
      <c r="TB18">
        <v>119</v>
      </c>
      <c r="TC18">
        <v>120</v>
      </c>
      <c r="TD18">
        <v>140</v>
      </c>
      <c r="TE18">
        <v>140</v>
      </c>
      <c r="TF18">
        <v>99</v>
      </c>
      <c r="TG18">
        <v>105</v>
      </c>
      <c r="TH18">
        <v>100</v>
      </c>
      <c r="TI18">
        <v>120</v>
      </c>
      <c r="TJ18">
        <v>139</v>
      </c>
      <c r="TK18">
        <v>135</v>
      </c>
      <c r="TL18">
        <v>190</v>
      </c>
      <c r="TM18">
        <v>99</v>
      </c>
      <c r="TN18">
        <v>99</v>
      </c>
      <c r="TO18">
        <v>1283</v>
      </c>
      <c r="TP18">
        <v>537</v>
      </c>
      <c r="TQ18">
        <v>178</v>
      </c>
      <c r="TR18">
        <v>178</v>
      </c>
      <c r="TS18">
        <v>178</v>
      </c>
      <c r="TT18">
        <v>105</v>
      </c>
      <c r="TU18">
        <v>105</v>
      </c>
      <c r="TV18">
        <v>136</v>
      </c>
      <c r="TW18">
        <v>105</v>
      </c>
      <c r="TX18">
        <v>82</v>
      </c>
      <c r="TY18">
        <v>82</v>
      </c>
      <c r="TZ18">
        <v>119</v>
      </c>
      <c r="UA18">
        <v>332</v>
      </c>
      <c r="UB18">
        <v>109</v>
      </c>
      <c r="UC18">
        <v>82</v>
      </c>
      <c r="UD18">
        <v>186</v>
      </c>
      <c r="UE18">
        <v>105</v>
      </c>
      <c r="UF18">
        <v>434</v>
      </c>
      <c r="UG18">
        <v>1577</v>
      </c>
      <c r="UH18">
        <v>105</v>
      </c>
      <c r="UI18">
        <v>105</v>
      </c>
      <c r="UJ18">
        <v>267</v>
      </c>
      <c r="UK18">
        <v>269</v>
      </c>
      <c r="UL18">
        <v>269</v>
      </c>
      <c r="UM18">
        <v>593</v>
      </c>
      <c r="UN18">
        <v>178</v>
      </c>
      <c r="UO18">
        <v>136</v>
      </c>
      <c r="UP18">
        <v>467</v>
      </c>
      <c r="UQ18">
        <v>63</v>
      </c>
      <c r="UR18">
        <v>195</v>
      </c>
      <c r="US18">
        <v>178</v>
      </c>
      <c r="UT18">
        <v>125</v>
      </c>
      <c r="UU18">
        <v>125</v>
      </c>
      <c r="UV18">
        <v>99</v>
      </c>
      <c r="UW18">
        <v>95</v>
      </c>
      <c r="UX18">
        <v>99</v>
      </c>
      <c r="UY18">
        <v>178</v>
      </c>
      <c r="UZ18">
        <v>178</v>
      </c>
      <c r="VA18">
        <v>105</v>
      </c>
      <c r="VB18">
        <v>99</v>
      </c>
      <c r="VC18">
        <v>99</v>
      </c>
      <c r="VD18">
        <v>105</v>
      </c>
      <c r="VE18">
        <v>105</v>
      </c>
      <c r="VF18">
        <v>105</v>
      </c>
      <c r="VG18">
        <v>710</v>
      </c>
      <c r="VH18">
        <v>710</v>
      </c>
      <c r="VI18">
        <v>79</v>
      </c>
      <c r="VJ18">
        <v>79</v>
      </c>
      <c r="VK18">
        <v>105</v>
      </c>
      <c r="VL18">
        <v>178</v>
      </c>
      <c r="VM18">
        <v>186</v>
      </c>
      <c r="VN18">
        <v>178</v>
      </c>
      <c r="VO18">
        <v>685</v>
      </c>
    </row>
    <row r="19" spans="1:587" x14ac:dyDescent="0.3">
      <c r="A19" t="s">
        <v>3014</v>
      </c>
      <c r="B19" cm="1">
        <f t="array" ref="B19:VO19">1*TRANSPOSE(_xlfn._xlws.FILTER(branch!$I$2:$I$591,branch!$D$2:$D$591&lt;&gt;0))</f>
        <v>99</v>
      </c>
      <c r="C19">
        <v>99</v>
      </c>
      <c r="D19">
        <v>178</v>
      </c>
      <c r="E19">
        <v>145</v>
      </c>
      <c r="F19">
        <v>536</v>
      </c>
      <c r="G19">
        <v>393</v>
      </c>
      <c r="H19">
        <v>393</v>
      </c>
      <c r="I19">
        <v>593</v>
      </c>
      <c r="J19">
        <v>434</v>
      </c>
      <c r="K19">
        <v>99</v>
      </c>
      <c r="L19">
        <v>140</v>
      </c>
      <c r="M19">
        <v>103</v>
      </c>
      <c r="N19">
        <v>109</v>
      </c>
      <c r="O19">
        <v>105</v>
      </c>
      <c r="P19">
        <v>99</v>
      </c>
      <c r="Q19">
        <v>187</v>
      </c>
      <c r="R19">
        <v>187</v>
      </c>
      <c r="S19">
        <v>187</v>
      </c>
      <c r="T19">
        <v>104</v>
      </c>
      <c r="U19">
        <v>112</v>
      </c>
      <c r="V19">
        <v>105</v>
      </c>
      <c r="W19">
        <v>82</v>
      </c>
      <c r="X19">
        <v>82</v>
      </c>
      <c r="Y19">
        <v>105</v>
      </c>
      <c r="Z19">
        <v>105</v>
      </c>
      <c r="AA19">
        <v>99</v>
      </c>
      <c r="AB19">
        <v>178</v>
      </c>
      <c r="AC19">
        <v>434</v>
      </c>
      <c r="AD19">
        <v>434</v>
      </c>
      <c r="AE19">
        <v>34</v>
      </c>
      <c r="AF19">
        <v>120</v>
      </c>
      <c r="AG19">
        <v>120</v>
      </c>
      <c r="AH19">
        <v>104</v>
      </c>
      <c r="AI19">
        <v>178</v>
      </c>
      <c r="AJ19">
        <v>178</v>
      </c>
      <c r="AK19">
        <v>178</v>
      </c>
      <c r="AL19">
        <v>178</v>
      </c>
      <c r="AM19">
        <v>120</v>
      </c>
      <c r="AN19">
        <v>178</v>
      </c>
      <c r="AO19">
        <v>99</v>
      </c>
      <c r="AP19">
        <v>178</v>
      </c>
      <c r="AQ19">
        <v>140</v>
      </c>
      <c r="AR19">
        <v>140</v>
      </c>
      <c r="AS19">
        <v>99</v>
      </c>
      <c r="AT19">
        <v>105</v>
      </c>
      <c r="AU19">
        <v>99</v>
      </c>
      <c r="AV19">
        <v>96</v>
      </c>
      <c r="AW19">
        <v>96</v>
      </c>
      <c r="AX19">
        <v>178</v>
      </c>
      <c r="AY19">
        <v>178</v>
      </c>
      <c r="AZ19">
        <v>120</v>
      </c>
      <c r="BA19">
        <v>120</v>
      </c>
      <c r="BB19">
        <v>178</v>
      </c>
      <c r="BC19">
        <v>178</v>
      </c>
      <c r="BD19">
        <v>178</v>
      </c>
      <c r="BE19">
        <v>105</v>
      </c>
      <c r="BF19">
        <v>99</v>
      </c>
      <c r="BG19">
        <v>99</v>
      </c>
      <c r="BH19">
        <v>99</v>
      </c>
      <c r="BI19">
        <v>82</v>
      </c>
      <c r="BJ19">
        <v>82</v>
      </c>
      <c r="BK19">
        <v>136</v>
      </c>
      <c r="BL19">
        <v>140</v>
      </c>
      <c r="BM19">
        <v>130</v>
      </c>
      <c r="BN19">
        <v>99</v>
      </c>
      <c r="BO19">
        <v>122</v>
      </c>
      <c r="BP19">
        <v>196</v>
      </c>
      <c r="BQ19">
        <v>178</v>
      </c>
      <c r="BR19">
        <v>136</v>
      </c>
      <c r="BS19">
        <v>178</v>
      </c>
      <c r="BT19">
        <v>124</v>
      </c>
      <c r="BU19">
        <v>178</v>
      </c>
      <c r="BV19">
        <v>178</v>
      </c>
      <c r="BW19">
        <v>178</v>
      </c>
      <c r="BX19">
        <v>99</v>
      </c>
      <c r="BY19">
        <v>136</v>
      </c>
      <c r="BZ19">
        <v>195</v>
      </c>
      <c r="CA19">
        <v>178</v>
      </c>
      <c r="CB19">
        <v>178</v>
      </c>
      <c r="CC19">
        <v>192</v>
      </c>
      <c r="CD19">
        <v>187</v>
      </c>
      <c r="CE19">
        <v>120</v>
      </c>
      <c r="CF19">
        <v>187</v>
      </c>
      <c r="CG19">
        <v>187</v>
      </c>
      <c r="CH19">
        <v>187</v>
      </c>
      <c r="CI19">
        <v>119</v>
      </c>
      <c r="CJ19">
        <v>119</v>
      </c>
      <c r="CK19">
        <v>570</v>
      </c>
      <c r="CL19">
        <v>570</v>
      </c>
      <c r="CM19">
        <v>140</v>
      </c>
      <c r="CN19">
        <v>140</v>
      </c>
      <c r="CO19">
        <v>842</v>
      </c>
      <c r="CP19">
        <v>105</v>
      </c>
      <c r="CQ19">
        <v>109</v>
      </c>
      <c r="CR19">
        <v>109</v>
      </c>
      <c r="CS19">
        <v>82</v>
      </c>
      <c r="CT19">
        <v>82</v>
      </c>
      <c r="CU19">
        <v>75</v>
      </c>
      <c r="CV19">
        <v>75</v>
      </c>
      <c r="CW19">
        <v>178</v>
      </c>
      <c r="CX19">
        <v>178</v>
      </c>
      <c r="CY19">
        <v>178</v>
      </c>
      <c r="CZ19">
        <v>178</v>
      </c>
      <c r="DA19">
        <v>82</v>
      </c>
      <c r="DB19">
        <v>82</v>
      </c>
      <c r="DC19">
        <v>710</v>
      </c>
      <c r="DD19">
        <v>69</v>
      </c>
      <c r="DE19">
        <v>70</v>
      </c>
      <c r="DF19">
        <v>710</v>
      </c>
      <c r="DG19">
        <v>710</v>
      </c>
      <c r="DH19">
        <v>710</v>
      </c>
      <c r="DI19">
        <v>144</v>
      </c>
      <c r="DJ19">
        <v>63</v>
      </c>
      <c r="DK19">
        <v>99</v>
      </c>
      <c r="DL19">
        <v>570</v>
      </c>
      <c r="DM19">
        <v>570</v>
      </c>
      <c r="DN19">
        <v>178</v>
      </c>
      <c r="DO19">
        <v>200</v>
      </c>
      <c r="DP19">
        <v>109</v>
      </c>
      <c r="DQ19">
        <v>109</v>
      </c>
      <c r="DR19">
        <v>79</v>
      </c>
      <c r="DS19">
        <v>79</v>
      </c>
      <c r="DT19">
        <v>434</v>
      </c>
      <c r="DU19">
        <v>740</v>
      </c>
      <c r="DV19">
        <v>228</v>
      </c>
      <c r="DW19">
        <v>115</v>
      </c>
      <c r="DX19">
        <v>195</v>
      </c>
      <c r="DY19">
        <v>124</v>
      </c>
      <c r="DZ19">
        <v>80</v>
      </c>
      <c r="EA19">
        <v>120</v>
      </c>
      <c r="EB19">
        <v>105</v>
      </c>
      <c r="EC19">
        <v>178</v>
      </c>
      <c r="ED19">
        <v>178</v>
      </c>
      <c r="EE19">
        <v>178</v>
      </c>
      <c r="EF19">
        <v>69</v>
      </c>
      <c r="EG19">
        <v>70</v>
      </c>
      <c r="EH19">
        <v>69</v>
      </c>
      <c r="EI19">
        <v>69</v>
      </c>
      <c r="EJ19">
        <v>132</v>
      </c>
      <c r="EK19">
        <v>132</v>
      </c>
      <c r="EL19">
        <v>710</v>
      </c>
      <c r="EM19">
        <v>710</v>
      </c>
      <c r="EN19">
        <v>66</v>
      </c>
      <c r="EO19">
        <v>66</v>
      </c>
      <c r="EP19">
        <v>710</v>
      </c>
      <c r="EQ19">
        <v>109</v>
      </c>
      <c r="ER19">
        <v>109</v>
      </c>
      <c r="ES19">
        <v>82</v>
      </c>
      <c r="ET19">
        <v>82</v>
      </c>
      <c r="EU19">
        <v>144</v>
      </c>
      <c r="EV19">
        <v>144</v>
      </c>
      <c r="EW19">
        <v>710</v>
      </c>
      <c r="EX19">
        <v>178</v>
      </c>
      <c r="EY19">
        <v>124</v>
      </c>
      <c r="EZ19">
        <v>99</v>
      </c>
      <c r="FA19">
        <v>99</v>
      </c>
      <c r="FB19">
        <v>99</v>
      </c>
      <c r="FC19">
        <v>761</v>
      </c>
      <c r="FD19">
        <v>187</v>
      </c>
      <c r="FE19">
        <v>761</v>
      </c>
      <c r="FF19">
        <v>761</v>
      </c>
      <c r="FG19">
        <v>761</v>
      </c>
      <c r="FH19">
        <v>178</v>
      </c>
      <c r="FI19">
        <v>178</v>
      </c>
      <c r="FJ19">
        <v>115</v>
      </c>
      <c r="FK19">
        <v>434</v>
      </c>
      <c r="FL19">
        <v>434</v>
      </c>
      <c r="FM19">
        <v>555</v>
      </c>
      <c r="FN19">
        <v>123</v>
      </c>
      <c r="FO19">
        <v>178</v>
      </c>
      <c r="FP19">
        <v>130</v>
      </c>
      <c r="FQ19">
        <v>178</v>
      </c>
      <c r="FR19">
        <v>103</v>
      </c>
      <c r="FS19">
        <v>238</v>
      </c>
      <c r="FT19">
        <v>434</v>
      </c>
      <c r="FU19">
        <v>178</v>
      </c>
      <c r="FV19">
        <v>132</v>
      </c>
      <c r="FW19">
        <v>178</v>
      </c>
      <c r="FX19">
        <v>144</v>
      </c>
      <c r="FY19">
        <v>144</v>
      </c>
      <c r="FZ19">
        <v>140</v>
      </c>
      <c r="GA19">
        <v>140</v>
      </c>
      <c r="GB19">
        <v>136</v>
      </c>
      <c r="GC19">
        <v>178</v>
      </c>
      <c r="GD19">
        <v>178</v>
      </c>
      <c r="GE19">
        <v>178</v>
      </c>
      <c r="GF19">
        <v>196</v>
      </c>
      <c r="GG19">
        <v>178</v>
      </c>
      <c r="GH19">
        <v>178</v>
      </c>
      <c r="GI19">
        <v>178</v>
      </c>
      <c r="GJ19">
        <v>130</v>
      </c>
      <c r="GK19">
        <v>99</v>
      </c>
      <c r="GL19">
        <v>136</v>
      </c>
      <c r="GM19">
        <v>178</v>
      </c>
      <c r="GN19">
        <v>105</v>
      </c>
      <c r="GO19">
        <v>187</v>
      </c>
      <c r="GP19">
        <v>187</v>
      </c>
      <c r="GQ19">
        <v>187</v>
      </c>
      <c r="GR19">
        <v>105</v>
      </c>
      <c r="GS19">
        <v>130</v>
      </c>
      <c r="GT19">
        <v>434</v>
      </c>
      <c r="GU19">
        <v>105</v>
      </c>
      <c r="GV19">
        <v>105</v>
      </c>
      <c r="GW19">
        <v>593</v>
      </c>
      <c r="GX19">
        <v>119</v>
      </c>
      <c r="GY19">
        <v>178</v>
      </c>
      <c r="GZ19">
        <v>120</v>
      </c>
      <c r="HA19">
        <v>178</v>
      </c>
      <c r="HB19">
        <v>178</v>
      </c>
      <c r="HC19">
        <v>178</v>
      </c>
      <c r="HD19">
        <v>646</v>
      </c>
      <c r="HE19">
        <v>161</v>
      </c>
      <c r="HF19">
        <v>161</v>
      </c>
      <c r="HG19">
        <v>434</v>
      </c>
      <c r="HH19">
        <v>434</v>
      </c>
      <c r="HI19">
        <v>187</v>
      </c>
      <c r="HJ19">
        <v>124</v>
      </c>
      <c r="HK19">
        <v>99</v>
      </c>
      <c r="HL19">
        <v>105</v>
      </c>
      <c r="HM19">
        <v>63</v>
      </c>
      <c r="HN19">
        <v>178</v>
      </c>
      <c r="HO19">
        <v>187</v>
      </c>
      <c r="HP19">
        <v>136</v>
      </c>
      <c r="HQ19">
        <v>187</v>
      </c>
      <c r="HR19">
        <v>187</v>
      </c>
      <c r="HS19">
        <v>99</v>
      </c>
      <c r="HT19">
        <v>99</v>
      </c>
      <c r="HU19">
        <v>105</v>
      </c>
      <c r="HV19">
        <v>178</v>
      </c>
      <c r="HW19">
        <v>178</v>
      </c>
      <c r="HX19">
        <v>1577</v>
      </c>
      <c r="HY19">
        <v>1577</v>
      </c>
      <c r="HZ19">
        <v>143</v>
      </c>
      <c r="IA19">
        <v>104</v>
      </c>
      <c r="IB19">
        <v>82</v>
      </c>
      <c r="IC19">
        <v>82</v>
      </c>
      <c r="ID19">
        <v>82</v>
      </c>
      <c r="IE19">
        <v>82</v>
      </c>
      <c r="IF19">
        <v>186</v>
      </c>
      <c r="IG19">
        <v>124</v>
      </c>
      <c r="IH19">
        <v>136</v>
      </c>
      <c r="II19">
        <v>99</v>
      </c>
      <c r="IJ19">
        <v>178</v>
      </c>
      <c r="IK19">
        <v>178</v>
      </c>
      <c r="IL19">
        <v>99</v>
      </c>
      <c r="IM19">
        <v>99</v>
      </c>
      <c r="IN19">
        <v>105</v>
      </c>
      <c r="IO19">
        <v>105</v>
      </c>
      <c r="IP19">
        <v>99</v>
      </c>
      <c r="IQ19">
        <v>99</v>
      </c>
      <c r="IR19">
        <v>100</v>
      </c>
      <c r="IS19">
        <v>100</v>
      </c>
      <c r="IT19">
        <v>200</v>
      </c>
      <c r="IU19">
        <v>143</v>
      </c>
      <c r="IV19">
        <v>82</v>
      </c>
      <c r="IW19">
        <v>82</v>
      </c>
      <c r="IX19">
        <v>82</v>
      </c>
      <c r="IY19">
        <v>412</v>
      </c>
      <c r="IZ19">
        <v>412</v>
      </c>
      <c r="JA19">
        <v>82</v>
      </c>
      <c r="JB19">
        <v>82</v>
      </c>
      <c r="JC19">
        <v>109</v>
      </c>
      <c r="JD19">
        <v>178</v>
      </c>
      <c r="JE19">
        <v>99</v>
      </c>
      <c r="JF19">
        <v>82</v>
      </c>
      <c r="JG19">
        <v>109</v>
      </c>
      <c r="JH19">
        <v>140</v>
      </c>
      <c r="JI19">
        <v>140</v>
      </c>
      <c r="JJ19">
        <v>196</v>
      </c>
      <c r="JK19">
        <v>178</v>
      </c>
      <c r="JL19">
        <v>178</v>
      </c>
      <c r="JM19">
        <v>99</v>
      </c>
      <c r="JN19">
        <v>178</v>
      </c>
      <c r="JO19">
        <v>350</v>
      </c>
      <c r="JP19">
        <v>99</v>
      </c>
      <c r="JQ19">
        <v>99</v>
      </c>
      <c r="JR19">
        <v>99</v>
      </c>
      <c r="JS19">
        <v>392</v>
      </c>
      <c r="JT19">
        <v>97</v>
      </c>
      <c r="JU19">
        <v>99</v>
      </c>
      <c r="JV19">
        <v>761</v>
      </c>
      <c r="JW19">
        <v>178</v>
      </c>
      <c r="JX19">
        <v>124</v>
      </c>
      <c r="JY19">
        <v>103</v>
      </c>
      <c r="JZ19">
        <v>178</v>
      </c>
      <c r="KA19">
        <v>746</v>
      </c>
      <c r="KB19">
        <v>646</v>
      </c>
      <c r="KC19">
        <v>178</v>
      </c>
      <c r="KD19">
        <v>178</v>
      </c>
      <c r="KE19">
        <v>178</v>
      </c>
      <c r="KF19">
        <v>178</v>
      </c>
      <c r="KG19">
        <v>190</v>
      </c>
      <c r="KH19">
        <v>105</v>
      </c>
      <c r="KI19">
        <v>136</v>
      </c>
      <c r="KJ19">
        <v>134</v>
      </c>
      <c r="KK19">
        <v>136</v>
      </c>
      <c r="KL19">
        <v>136</v>
      </c>
      <c r="KM19">
        <v>99</v>
      </c>
      <c r="KN19">
        <v>105</v>
      </c>
      <c r="KO19">
        <v>99</v>
      </c>
      <c r="KP19">
        <v>105</v>
      </c>
      <c r="KQ19">
        <v>99</v>
      </c>
      <c r="KR19">
        <v>99</v>
      </c>
      <c r="KS19">
        <v>99</v>
      </c>
      <c r="KT19">
        <v>74</v>
      </c>
      <c r="KU19">
        <v>74</v>
      </c>
      <c r="KV19">
        <v>99</v>
      </c>
      <c r="KW19">
        <v>178</v>
      </c>
      <c r="KX19">
        <v>178</v>
      </c>
      <c r="KY19">
        <v>99</v>
      </c>
      <c r="KZ19">
        <v>104</v>
      </c>
      <c r="LA19">
        <v>178</v>
      </c>
      <c r="LB19">
        <v>178</v>
      </c>
      <c r="LC19">
        <v>211</v>
      </c>
      <c r="LD19">
        <v>196</v>
      </c>
      <c r="LE19">
        <v>69</v>
      </c>
      <c r="LF19">
        <v>69</v>
      </c>
      <c r="LG19">
        <v>144</v>
      </c>
      <c r="LH19">
        <v>144</v>
      </c>
      <c r="LI19">
        <v>103</v>
      </c>
      <c r="LJ19">
        <v>99</v>
      </c>
      <c r="LK19">
        <v>99</v>
      </c>
      <c r="LL19">
        <v>82</v>
      </c>
      <c r="LM19">
        <v>82</v>
      </c>
      <c r="LN19">
        <v>82</v>
      </c>
      <c r="LO19">
        <v>82</v>
      </c>
      <c r="LP19">
        <v>82</v>
      </c>
      <c r="LQ19">
        <v>99</v>
      </c>
      <c r="LR19">
        <v>79</v>
      </c>
      <c r="LS19">
        <v>79</v>
      </c>
      <c r="LT19">
        <v>108</v>
      </c>
      <c r="LU19">
        <v>109</v>
      </c>
      <c r="LV19">
        <v>109</v>
      </c>
      <c r="LW19">
        <v>99</v>
      </c>
      <c r="LX19">
        <v>99</v>
      </c>
      <c r="LY19">
        <v>99</v>
      </c>
      <c r="LZ19">
        <v>178</v>
      </c>
      <c r="MA19">
        <v>393</v>
      </c>
      <c r="MB19">
        <v>350</v>
      </c>
      <c r="MC19">
        <v>350</v>
      </c>
      <c r="MD19">
        <v>434</v>
      </c>
      <c r="ME19">
        <v>1283</v>
      </c>
      <c r="MF19">
        <v>351</v>
      </c>
      <c r="MG19">
        <v>140</v>
      </c>
      <c r="MH19">
        <v>140</v>
      </c>
      <c r="MI19">
        <v>140</v>
      </c>
      <c r="MJ19">
        <v>186</v>
      </c>
      <c r="MK19">
        <v>157</v>
      </c>
      <c r="ML19">
        <v>144</v>
      </c>
      <c r="MM19">
        <v>186</v>
      </c>
      <c r="MN19">
        <v>195</v>
      </c>
      <c r="MO19">
        <v>105</v>
      </c>
      <c r="MP19">
        <v>119</v>
      </c>
      <c r="MQ19">
        <v>593</v>
      </c>
      <c r="MR19">
        <v>119</v>
      </c>
      <c r="MS19">
        <v>332</v>
      </c>
      <c r="MT19">
        <v>120</v>
      </c>
      <c r="MU19">
        <v>80</v>
      </c>
      <c r="MV19">
        <v>536</v>
      </c>
      <c r="MW19">
        <v>105</v>
      </c>
      <c r="MX19">
        <v>144</v>
      </c>
      <c r="MY19">
        <v>144</v>
      </c>
      <c r="MZ19">
        <v>105</v>
      </c>
      <c r="NA19">
        <v>384</v>
      </c>
      <c r="NB19">
        <v>99</v>
      </c>
      <c r="NC19">
        <v>99</v>
      </c>
      <c r="ND19">
        <v>434</v>
      </c>
      <c r="NE19">
        <v>98</v>
      </c>
      <c r="NF19">
        <v>107</v>
      </c>
      <c r="NG19">
        <v>140</v>
      </c>
      <c r="NH19">
        <v>107</v>
      </c>
      <c r="NI19">
        <v>140</v>
      </c>
      <c r="NJ19">
        <v>99</v>
      </c>
      <c r="NK19">
        <v>99</v>
      </c>
      <c r="NL19">
        <v>178</v>
      </c>
      <c r="NM19">
        <v>103</v>
      </c>
      <c r="NN19">
        <v>103</v>
      </c>
      <c r="NO19">
        <v>103</v>
      </c>
      <c r="NP19">
        <v>120</v>
      </c>
      <c r="NQ19">
        <v>120</v>
      </c>
      <c r="NR19">
        <v>570</v>
      </c>
      <c r="NS19">
        <v>99</v>
      </c>
      <c r="NT19">
        <v>393</v>
      </c>
      <c r="NU19">
        <v>434</v>
      </c>
      <c r="NV19">
        <v>593</v>
      </c>
      <c r="NW19">
        <v>178</v>
      </c>
      <c r="NX19">
        <v>178</v>
      </c>
      <c r="NY19">
        <v>178</v>
      </c>
      <c r="NZ19">
        <v>178</v>
      </c>
      <c r="OA19">
        <v>136</v>
      </c>
      <c r="OB19">
        <v>122</v>
      </c>
      <c r="OC19">
        <v>82</v>
      </c>
      <c r="OD19">
        <v>82</v>
      </c>
      <c r="OE19">
        <v>105</v>
      </c>
      <c r="OF19">
        <v>434</v>
      </c>
      <c r="OG19">
        <v>350</v>
      </c>
      <c r="OH19">
        <v>99</v>
      </c>
      <c r="OI19">
        <v>99</v>
      </c>
      <c r="OJ19">
        <v>99</v>
      </c>
      <c r="OK19">
        <v>99</v>
      </c>
      <c r="OL19">
        <v>99</v>
      </c>
      <c r="OM19">
        <v>99</v>
      </c>
      <c r="ON19">
        <v>200</v>
      </c>
      <c r="OO19">
        <v>200</v>
      </c>
      <c r="OP19">
        <v>119</v>
      </c>
      <c r="OQ19">
        <v>105</v>
      </c>
      <c r="OR19">
        <v>105</v>
      </c>
      <c r="OS19">
        <v>195</v>
      </c>
      <c r="OT19">
        <v>710</v>
      </c>
      <c r="OU19">
        <v>82</v>
      </c>
      <c r="OV19">
        <v>80</v>
      </c>
      <c r="OW19">
        <v>107</v>
      </c>
      <c r="OX19">
        <v>140</v>
      </c>
      <c r="OY19">
        <v>136</v>
      </c>
      <c r="OZ19">
        <v>136</v>
      </c>
      <c r="PA19">
        <v>104</v>
      </c>
      <c r="PB19">
        <v>196</v>
      </c>
      <c r="PC19">
        <v>80</v>
      </c>
      <c r="PD19">
        <v>562</v>
      </c>
      <c r="PE19">
        <v>120</v>
      </c>
      <c r="PF19">
        <v>267</v>
      </c>
      <c r="PG19">
        <v>351</v>
      </c>
      <c r="PH19">
        <v>593</v>
      </c>
      <c r="PI19">
        <v>178</v>
      </c>
      <c r="PJ19">
        <v>99</v>
      </c>
      <c r="PK19">
        <v>134</v>
      </c>
      <c r="PL19">
        <v>103</v>
      </c>
      <c r="PM19">
        <v>103</v>
      </c>
      <c r="PN19">
        <v>710</v>
      </c>
      <c r="PO19">
        <v>710</v>
      </c>
      <c r="PP19">
        <v>710</v>
      </c>
      <c r="PQ19">
        <v>185</v>
      </c>
      <c r="PR19">
        <v>178</v>
      </c>
      <c r="PS19">
        <v>99</v>
      </c>
      <c r="PT19">
        <v>178</v>
      </c>
      <c r="PU19">
        <v>178</v>
      </c>
      <c r="PV19">
        <v>119</v>
      </c>
      <c r="PW19">
        <v>120</v>
      </c>
      <c r="PX19">
        <v>136</v>
      </c>
      <c r="PY19">
        <v>434</v>
      </c>
      <c r="PZ19">
        <v>512</v>
      </c>
      <c r="QA19">
        <v>99</v>
      </c>
      <c r="QB19">
        <v>80</v>
      </c>
      <c r="QC19">
        <v>269</v>
      </c>
      <c r="QD19">
        <v>178</v>
      </c>
      <c r="QE19">
        <v>140</v>
      </c>
      <c r="QF19">
        <v>136</v>
      </c>
      <c r="QG19">
        <v>731</v>
      </c>
      <c r="QH19">
        <v>731</v>
      </c>
      <c r="QI19">
        <v>660</v>
      </c>
      <c r="QJ19">
        <v>660</v>
      </c>
      <c r="QK19">
        <v>136</v>
      </c>
      <c r="QL19">
        <v>99</v>
      </c>
      <c r="QM19">
        <v>99</v>
      </c>
      <c r="QN19">
        <v>350</v>
      </c>
      <c r="QO19">
        <v>350</v>
      </c>
      <c r="QP19">
        <v>99</v>
      </c>
      <c r="QQ19">
        <v>178</v>
      </c>
      <c r="QR19">
        <v>99</v>
      </c>
      <c r="QS19">
        <v>109</v>
      </c>
      <c r="QT19">
        <v>143</v>
      </c>
      <c r="QU19">
        <v>434</v>
      </c>
      <c r="QV19">
        <v>178</v>
      </c>
      <c r="QW19">
        <v>99</v>
      </c>
      <c r="QX19">
        <v>140</v>
      </c>
      <c r="QY19">
        <v>190</v>
      </c>
      <c r="QZ19">
        <v>195</v>
      </c>
      <c r="RA19">
        <v>135</v>
      </c>
      <c r="RB19">
        <v>195</v>
      </c>
      <c r="RC19">
        <v>710</v>
      </c>
      <c r="RD19">
        <v>136</v>
      </c>
      <c r="RE19">
        <v>105</v>
      </c>
      <c r="RF19">
        <v>124</v>
      </c>
      <c r="RG19">
        <v>99</v>
      </c>
      <c r="RH19">
        <v>353</v>
      </c>
      <c r="RI19">
        <v>178</v>
      </c>
      <c r="RJ19">
        <v>99</v>
      </c>
      <c r="RK19">
        <v>136</v>
      </c>
      <c r="RL19">
        <v>99</v>
      </c>
      <c r="RM19">
        <v>187</v>
      </c>
      <c r="RN19">
        <v>99</v>
      </c>
      <c r="RO19">
        <v>761</v>
      </c>
      <c r="RP19">
        <v>761</v>
      </c>
      <c r="RQ19">
        <v>99</v>
      </c>
      <c r="RR19">
        <v>99</v>
      </c>
      <c r="RS19">
        <v>99</v>
      </c>
      <c r="RT19">
        <v>99</v>
      </c>
      <c r="RU19">
        <v>136</v>
      </c>
      <c r="RV19">
        <v>124</v>
      </c>
      <c r="RW19">
        <v>99</v>
      </c>
      <c r="RX19">
        <v>99</v>
      </c>
      <c r="RY19">
        <v>136</v>
      </c>
      <c r="RZ19">
        <v>105</v>
      </c>
      <c r="SA19">
        <v>136</v>
      </c>
      <c r="SB19">
        <v>100</v>
      </c>
      <c r="SC19">
        <v>99</v>
      </c>
      <c r="SD19">
        <v>178</v>
      </c>
      <c r="SE19">
        <v>99</v>
      </c>
      <c r="SF19">
        <v>99</v>
      </c>
      <c r="SG19">
        <v>99</v>
      </c>
      <c r="SH19">
        <v>99</v>
      </c>
      <c r="SI19">
        <v>82</v>
      </c>
      <c r="SJ19">
        <v>80</v>
      </c>
      <c r="SK19">
        <v>99</v>
      </c>
      <c r="SL19">
        <v>99</v>
      </c>
      <c r="SM19">
        <v>95</v>
      </c>
      <c r="SN19">
        <v>710</v>
      </c>
      <c r="SO19">
        <v>710</v>
      </c>
      <c r="SP19">
        <v>350</v>
      </c>
      <c r="SQ19">
        <v>120</v>
      </c>
      <c r="SR19">
        <v>104</v>
      </c>
      <c r="SS19">
        <v>710</v>
      </c>
      <c r="ST19">
        <v>710</v>
      </c>
      <c r="SU19">
        <v>99</v>
      </c>
      <c r="SV19">
        <v>99</v>
      </c>
      <c r="SW19">
        <v>80</v>
      </c>
      <c r="SX19">
        <v>178</v>
      </c>
      <c r="SY19">
        <v>269</v>
      </c>
      <c r="SZ19">
        <v>325</v>
      </c>
      <c r="TA19">
        <v>350</v>
      </c>
      <c r="TB19">
        <v>119</v>
      </c>
      <c r="TC19">
        <v>120</v>
      </c>
      <c r="TD19">
        <v>140</v>
      </c>
      <c r="TE19">
        <v>140</v>
      </c>
      <c r="TF19">
        <v>99</v>
      </c>
      <c r="TG19">
        <v>105</v>
      </c>
      <c r="TH19">
        <v>100</v>
      </c>
      <c r="TI19">
        <v>120</v>
      </c>
      <c r="TJ19">
        <v>139</v>
      </c>
      <c r="TK19">
        <v>135</v>
      </c>
      <c r="TL19">
        <v>190</v>
      </c>
      <c r="TM19">
        <v>99</v>
      </c>
      <c r="TN19">
        <v>99</v>
      </c>
      <c r="TO19">
        <v>1283</v>
      </c>
      <c r="TP19">
        <v>537</v>
      </c>
      <c r="TQ19">
        <v>178</v>
      </c>
      <c r="TR19">
        <v>178</v>
      </c>
      <c r="TS19">
        <v>178</v>
      </c>
      <c r="TT19">
        <v>105</v>
      </c>
      <c r="TU19">
        <v>105</v>
      </c>
      <c r="TV19">
        <v>136</v>
      </c>
      <c r="TW19">
        <v>105</v>
      </c>
      <c r="TX19">
        <v>82</v>
      </c>
      <c r="TY19">
        <v>82</v>
      </c>
      <c r="TZ19">
        <v>119</v>
      </c>
      <c r="UA19">
        <v>332</v>
      </c>
      <c r="UB19">
        <v>109</v>
      </c>
      <c r="UC19">
        <v>82</v>
      </c>
      <c r="UD19">
        <v>186</v>
      </c>
      <c r="UE19">
        <v>105</v>
      </c>
      <c r="UF19">
        <v>434</v>
      </c>
      <c r="UG19">
        <v>1577</v>
      </c>
      <c r="UH19">
        <v>105</v>
      </c>
      <c r="UI19">
        <v>105</v>
      </c>
      <c r="UJ19">
        <v>267</v>
      </c>
      <c r="UK19">
        <v>269</v>
      </c>
      <c r="UL19">
        <v>269</v>
      </c>
      <c r="UM19">
        <v>593</v>
      </c>
      <c r="UN19">
        <v>178</v>
      </c>
      <c r="UO19">
        <v>136</v>
      </c>
      <c r="UP19">
        <v>467</v>
      </c>
      <c r="UQ19">
        <v>63</v>
      </c>
      <c r="UR19">
        <v>195</v>
      </c>
      <c r="US19">
        <v>178</v>
      </c>
      <c r="UT19">
        <v>125</v>
      </c>
      <c r="UU19">
        <v>125</v>
      </c>
      <c r="UV19">
        <v>99</v>
      </c>
      <c r="UW19">
        <v>95</v>
      </c>
      <c r="UX19">
        <v>99</v>
      </c>
      <c r="UY19">
        <v>178</v>
      </c>
      <c r="UZ19">
        <v>178</v>
      </c>
      <c r="VA19">
        <v>105</v>
      </c>
      <c r="VB19">
        <v>99</v>
      </c>
      <c r="VC19">
        <v>99</v>
      </c>
      <c r="VD19">
        <v>105</v>
      </c>
      <c r="VE19">
        <v>105</v>
      </c>
      <c r="VF19">
        <v>105</v>
      </c>
      <c r="VG19">
        <v>710</v>
      </c>
      <c r="VH19">
        <v>710</v>
      </c>
      <c r="VI19">
        <v>79</v>
      </c>
      <c r="VJ19">
        <v>79</v>
      </c>
      <c r="VK19">
        <v>105</v>
      </c>
      <c r="VL19">
        <v>178</v>
      </c>
      <c r="VM19">
        <v>186</v>
      </c>
      <c r="VN19">
        <v>178</v>
      </c>
      <c r="VO19">
        <v>685</v>
      </c>
    </row>
    <row r="20" spans="1:587" x14ac:dyDescent="0.3">
      <c r="A20" t="s">
        <v>3015</v>
      </c>
      <c r="B20" cm="1">
        <f t="array" ref="B20:VO20">1*TRANSPOSE(_xlfn._xlws.FILTER(branch!$I$2:$I$591,branch!$D$2:$D$591&lt;&gt;0))</f>
        <v>99</v>
      </c>
      <c r="C20">
        <v>99</v>
      </c>
      <c r="D20">
        <v>178</v>
      </c>
      <c r="E20">
        <v>145</v>
      </c>
      <c r="F20">
        <v>536</v>
      </c>
      <c r="G20">
        <v>393</v>
      </c>
      <c r="H20">
        <v>393</v>
      </c>
      <c r="I20">
        <v>593</v>
      </c>
      <c r="J20">
        <v>434</v>
      </c>
      <c r="K20">
        <v>99</v>
      </c>
      <c r="L20">
        <v>140</v>
      </c>
      <c r="M20">
        <v>103</v>
      </c>
      <c r="N20">
        <v>109</v>
      </c>
      <c r="O20">
        <v>105</v>
      </c>
      <c r="P20">
        <v>99</v>
      </c>
      <c r="Q20">
        <v>187</v>
      </c>
      <c r="R20">
        <v>187</v>
      </c>
      <c r="S20">
        <v>187</v>
      </c>
      <c r="T20">
        <v>104</v>
      </c>
      <c r="U20">
        <v>112</v>
      </c>
      <c r="V20">
        <v>105</v>
      </c>
      <c r="W20">
        <v>82</v>
      </c>
      <c r="X20">
        <v>82</v>
      </c>
      <c r="Y20">
        <v>105</v>
      </c>
      <c r="Z20">
        <v>105</v>
      </c>
      <c r="AA20">
        <v>99</v>
      </c>
      <c r="AB20">
        <v>178</v>
      </c>
      <c r="AC20">
        <v>434</v>
      </c>
      <c r="AD20">
        <v>434</v>
      </c>
      <c r="AE20">
        <v>34</v>
      </c>
      <c r="AF20">
        <v>120</v>
      </c>
      <c r="AG20">
        <v>120</v>
      </c>
      <c r="AH20">
        <v>104</v>
      </c>
      <c r="AI20">
        <v>178</v>
      </c>
      <c r="AJ20">
        <v>178</v>
      </c>
      <c r="AK20">
        <v>178</v>
      </c>
      <c r="AL20">
        <v>178</v>
      </c>
      <c r="AM20">
        <v>120</v>
      </c>
      <c r="AN20">
        <v>178</v>
      </c>
      <c r="AO20">
        <v>99</v>
      </c>
      <c r="AP20">
        <v>178</v>
      </c>
      <c r="AQ20">
        <v>140</v>
      </c>
      <c r="AR20">
        <v>140</v>
      </c>
      <c r="AS20">
        <v>99</v>
      </c>
      <c r="AT20">
        <v>105</v>
      </c>
      <c r="AU20">
        <v>99</v>
      </c>
      <c r="AV20">
        <v>96</v>
      </c>
      <c r="AW20">
        <v>96</v>
      </c>
      <c r="AX20">
        <v>178</v>
      </c>
      <c r="AY20">
        <v>178</v>
      </c>
      <c r="AZ20">
        <v>120</v>
      </c>
      <c r="BA20">
        <v>120</v>
      </c>
      <c r="BB20">
        <v>178</v>
      </c>
      <c r="BC20">
        <v>178</v>
      </c>
      <c r="BD20">
        <v>178</v>
      </c>
      <c r="BE20">
        <v>105</v>
      </c>
      <c r="BF20">
        <v>99</v>
      </c>
      <c r="BG20">
        <v>99</v>
      </c>
      <c r="BH20">
        <v>99</v>
      </c>
      <c r="BI20">
        <v>82</v>
      </c>
      <c r="BJ20">
        <v>82</v>
      </c>
      <c r="BK20">
        <v>136</v>
      </c>
      <c r="BL20">
        <v>140</v>
      </c>
      <c r="BM20">
        <v>130</v>
      </c>
      <c r="BN20">
        <v>99</v>
      </c>
      <c r="BO20">
        <v>122</v>
      </c>
      <c r="BP20">
        <v>196</v>
      </c>
      <c r="BQ20">
        <v>178</v>
      </c>
      <c r="BR20">
        <v>136</v>
      </c>
      <c r="BS20">
        <v>178</v>
      </c>
      <c r="BT20">
        <v>124</v>
      </c>
      <c r="BU20">
        <v>178</v>
      </c>
      <c r="BV20">
        <v>178</v>
      </c>
      <c r="BW20">
        <v>178</v>
      </c>
      <c r="BX20">
        <v>99</v>
      </c>
      <c r="BY20">
        <v>136</v>
      </c>
      <c r="BZ20">
        <v>195</v>
      </c>
      <c r="CA20">
        <v>178</v>
      </c>
      <c r="CB20">
        <v>178</v>
      </c>
      <c r="CC20">
        <v>192</v>
      </c>
      <c r="CD20">
        <v>187</v>
      </c>
      <c r="CE20">
        <v>120</v>
      </c>
      <c r="CF20">
        <v>187</v>
      </c>
      <c r="CG20">
        <v>187</v>
      </c>
      <c r="CH20">
        <v>187</v>
      </c>
      <c r="CI20">
        <v>119</v>
      </c>
      <c r="CJ20">
        <v>119</v>
      </c>
      <c r="CK20">
        <v>570</v>
      </c>
      <c r="CL20">
        <v>570</v>
      </c>
      <c r="CM20">
        <v>140</v>
      </c>
      <c r="CN20">
        <v>140</v>
      </c>
      <c r="CO20">
        <v>842</v>
      </c>
      <c r="CP20">
        <v>105</v>
      </c>
      <c r="CQ20">
        <v>109</v>
      </c>
      <c r="CR20">
        <v>109</v>
      </c>
      <c r="CS20">
        <v>82</v>
      </c>
      <c r="CT20">
        <v>82</v>
      </c>
      <c r="CU20">
        <v>75</v>
      </c>
      <c r="CV20">
        <v>75</v>
      </c>
      <c r="CW20">
        <v>178</v>
      </c>
      <c r="CX20">
        <v>178</v>
      </c>
      <c r="CY20">
        <v>178</v>
      </c>
      <c r="CZ20">
        <v>178</v>
      </c>
      <c r="DA20">
        <v>82</v>
      </c>
      <c r="DB20">
        <v>82</v>
      </c>
      <c r="DC20">
        <v>710</v>
      </c>
      <c r="DD20">
        <v>69</v>
      </c>
      <c r="DE20">
        <v>70</v>
      </c>
      <c r="DF20">
        <v>710</v>
      </c>
      <c r="DG20">
        <v>710</v>
      </c>
      <c r="DH20">
        <v>710</v>
      </c>
      <c r="DI20">
        <v>144</v>
      </c>
      <c r="DJ20">
        <v>63</v>
      </c>
      <c r="DK20">
        <v>99</v>
      </c>
      <c r="DL20">
        <v>570</v>
      </c>
      <c r="DM20">
        <v>570</v>
      </c>
      <c r="DN20">
        <v>178</v>
      </c>
      <c r="DO20">
        <v>200</v>
      </c>
      <c r="DP20">
        <v>109</v>
      </c>
      <c r="DQ20">
        <v>109</v>
      </c>
      <c r="DR20">
        <v>79</v>
      </c>
      <c r="DS20">
        <v>79</v>
      </c>
      <c r="DT20">
        <v>434</v>
      </c>
      <c r="DU20">
        <v>740</v>
      </c>
      <c r="DV20">
        <v>228</v>
      </c>
      <c r="DW20">
        <v>115</v>
      </c>
      <c r="DX20">
        <v>195</v>
      </c>
      <c r="DY20">
        <v>124</v>
      </c>
      <c r="DZ20">
        <v>80</v>
      </c>
      <c r="EA20">
        <v>120</v>
      </c>
      <c r="EB20">
        <v>105</v>
      </c>
      <c r="EC20">
        <v>178</v>
      </c>
      <c r="ED20">
        <v>178</v>
      </c>
      <c r="EE20">
        <v>178</v>
      </c>
      <c r="EF20">
        <v>69</v>
      </c>
      <c r="EG20">
        <v>70</v>
      </c>
      <c r="EH20">
        <v>69</v>
      </c>
      <c r="EI20">
        <v>69</v>
      </c>
      <c r="EJ20">
        <v>132</v>
      </c>
      <c r="EK20">
        <v>132</v>
      </c>
      <c r="EL20">
        <v>710</v>
      </c>
      <c r="EM20">
        <v>710</v>
      </c>
      <c r="EN20">
        <v>66</v>
      </c>
      <c r="EO20">
        <v>66</v>
      </c>
      <c r="EP20">
        <v>710</v>
      </c>
      <c r="EQ20">
        <v>109</v>
      </c>
      <c r="ER20">
        <v>109</v>
      </c>
      <c r="ES20">
        <v>82</v>
      </c>
      <c r="ET20">
        <v>82</v>
      </c>
      <c r="EU20">
        <v>144</v>
      </c>
      <c r="EV20">
        <v>144</v>
      </c>
      <c r="EW20">
        <v>710</v>
      </c>
      <c r="EX20">
        <v>178</v>
      </c>
      <c r="EY20">
        <v>124</v>
      </c>
      <c r="EZ20">
        <v>99</v>
      </c>
      <c r="FA20">
        <v>99</v>
      </c>
      <c r="FB20">
        <v>99</v>
      </c>
      <c r="FC20">
        <v>761</v>
      </c>
      <c r="FD20">
        <v>187</v>
      </c>
      <c r="FE20">
        <v>761</v>
      </c>
      <c r="FF20">
        <v>761</v>
      </c>
      <c r="FG20">
        <v>761</v>
      </c>
      <c r="FH20">
        <v>178</v>
      </c>
      <c r="FI20">
        <v>178</v>
      </c>
      <c r="FJ20">
        <v>115</v>
      </c>
      <c r="FK20">
        <v>434</v>
      </c>
      <c r="FL20">
        <v>434</v>
      </c>
      <c r="FM20">
        <v>555</v>
      </c>
      <c r="FN20">
        <v>123</v>
      </c>
      <c r="FO20">
        <v>178</v>
      </c>
      <c r="FP20">
        <v>130</v>
      </c>
      <c r="FQ20">
        <v>178</v>
      </c>
      <c r="FR20">
        <v>103</v>
      </c>
      <c r="FS20">
        <v>238</v>
      </c>
      <c r="FT20">
        <v>434</v>
      </c>
      <c r="FU20">
        <v>178</v>
      </c>
      <c r="FV20">
        <v>132</v>
      </c>
      <c r="FW20">
        <v>178</v>
      </c>
      <c r="FX20">
        <v>144</v>
      </c>
      <c r="FY20">
        <v>144</v>
      </c>
      <c r="FZ20">
        <v>140</v>
      </c>
      <c r="GA20">
        <v>140</v>
      </c>
      <c r="GB20">
        <v>136</v>
      </c>
      <c r="GC20">
        <v>178</v>
      </c>
      <c r="GD20">
        <v>178</v>
      </c>
      <c r="GE20">
        <v>178</v>
      </c>
      <c r="GF20">
        <v>196</v>
      </c>
      <c r="GG20">
        <v>178</v>
      </c>
      <c r="GH20">
        <v>178</v>
      </c>
      <c r="GI20">
        <v>178</v>
      </c>
      <c r="GJ20">
        <v>130</v>
      </c>
      <c r="GK20">
        <v>99</v>
      </c>
      <c r="GL20">
        <v>136</v>
      </c>
      <c r="GM20">
        <v>178</v>
      </c>
      <c r="GN20">
        <v>105</v>
      </c>
      <c r="GO20">
        <v>187</v>
      </c>
      <c r="GP20">
        <v>187</v>
      </c>
      <c r="GQ20">
        <v>187</v>
      </c>
      <c r="GR20">
        <v>105</v>
      </c>
      <c r="GS20">
        <v>130</v>
      </c>
      <c r="GT20">
        <v>434</v>
      </c>
      <c r="GU20">
        <v>105</v>
      </c>
      <c r="GV20">
        <v>105</v>
      </c>
      <c r="GW20">
        <v>593</v>
      </c>
      <c r="GX20">
        <v>119</v>
      </c>
      <c r="GY20">
        <v>178</v>
      </c>
      <c r="GZ20">
        <v>120</v>
      </c>
      <c r="HA20">
        <v>178</v>
      </c>
      <c r="HB20">
        <v>178</v>
      </c>
      <c r="HC20">
        <v>178</v>
      </c>
      <c r="HD20">
        <v>646</v>
      </c>
      <c r="HE20">
        <v>161</v>
      </c>
      <c r="HF20">
        <v>161</v>
      </c>
      <c r="HG20">
        <v>434</v>
      </c>
      <c r="HH20">
        <v>434</v>
      </c>
      <c r="HI20">
        <v>187</v>
      </c>
      <c r="HJ20">
        <v>124</v>
      </c>
      <c r="HK20">
        <v>99</v>
      </c>
      <c r="HL20">
        <v>105</v>
      </c>
      <c r="HM20">
        <v>63</v>
      </c>
      <c r="HN20">
        <v>178</v>
      </c>
      <c r="HO20">
        <v>187</v>
      </c>
      <c r="HP20">
        <v>136</v>
      </c>
      <c r="HQ20">
        <v>187</v>
      </c>
      <c r="HR20">
        <v>187</v>
      </c>
      <c r="HS20">
        <v>99</v>
      </c>
      <c r="HT20">
        <v>99</v>
      </c>
      <c r="HU20">
        <v>105</v>
      </c>
      <c r="HV20">
        <v>178</v>
      </c>
      <c r="HW20">
        <v>178</v>
      </c>
      <c r="HX20">
        <v>1577</v>
      </c>
      <c r="HY20">
        <v>1577</v>
      </c>
      <c r="HZ20">
        <v>143</v>
      </c>
      <c r="IA20">
        <v>104</v>
      </c>
      <c r="IB20">
        <v>82</v>
      </c>
      <c r="IC20">
        <v>82</v>
      </c>
      <c r="ID20">
        <v>82</v>
      </c>
      <c r="IE20">
        <v>82</v>
      </c>
      <c r="IF20">
        <v>186</v>
      </c>
      <c r="IG20">
        <v>124</v>
      </c>
      <c r="IH20">
        <v>136</v>
      </c>
      <c r="II20">
        <v>99</v>
      </c>
      <c r="IJ20">
        <v>178</v>
      </c>
      <c r="IK20">
        <v>178</v>
      </c>
      <c r="IL20">
        <v>99</v>
      </c>
      <c r="IM20">
        <v>99</v>
      </c>
      <c r="IN20">
        <v>105</v>
      </c>
      <c r="IO20">
        <v>105</v>
      </c>
      <c r="IP20">
        <v>99</v>
      </c>
      <c r="IQ20">
        <v>99</v>
      </c>
      <c r="IR20">
        <v>100</v>
      </c>
      <c r="IS20">
        <v>100</v>
      </c>
      <c r="IT20">
        <v>200</v>
      </c>
      <c r="IU20">
        <v>143</v>
      </c>
      <c r="IV20">
        <v>82</v>
      </c>
      <c r="IW20">
        <v>82</v>
      </c>
      <c r="IX20">
        <v>82</v>
      </c>
      <c r="IY20">
        <v>412</v>
      </c>
      <c r="IZ20">
        <v>412</v>
      </c>
      <c r="JA20">
        <v>82</v>
      </c>
      <c r="JB20">
        <v>82</v>
      </c>
      <c r="JC20">
        <v>109</v>
      </c>
      <c r="JD20">
        <v>178</v>
      </c>
      <c r="JE20">
        <v>99</v>
      </c>
      <c r="JF20">
        <v>82</v>
      </c>
      <c r="JG20">
        <v>109</v>
      </c>
      <c r="JH20">
        <v>140</v>
      </c>
      <c r="JI20">
        <v>140</v>
      </c>
      <c r="JJ20">
        <v>196</v>
      </c>
      <c r="JK20">
        <v>178</v>
      </c>
      <c r="JL20">
        <v>178</v>
      </c>
      <c r="JM20">
        <v>99</v>
      </c>
      <c r="JN20">
        <v>178</v>
      </c>
      <c r="JO20">
        <v>350</v>
      </c>
      <c r="JP20">
        <v>99</v>
      </c>
      <c r="JQ20">
        <v>99</v>
      </c>
      <c r="JR20">
        <v>99</v>
      </c>
      <c r="JS20">
        <v>392</v>
      </c>
      <c r="JT20">
        <v>97</v>
      </c>
      <c r="JU20">
        <v>99</v>
      </c>
      <c r="JV20">
        <v>761</v>
      </c>
      <c r="JW20">
        <v>178</v>
      </c>
      <c r="JX20">
        <v>124</v>
      </c>
      <c r="JY20">
        <v>103</v>
      </c>
      <c r="JZ20">
        <v>178</v>
      </c>
      <c r="KA20">
        <v>746</v>
      </c>
      <c r="KB20">
        <v>646</v>
      </c>
      <c r="KC20">
        <v>178</v>
      </c>
      <c r="KD20">
        <v>178</v>
      </c>
      <c r="KE20">
        <v>178</v>
      </c>
      <c r="KF20">
        <v>178</v>
      </c>
      <c r="KG20">
        <v>190</v>
      </c>
      <c r="KH20">
        <v>105</v>
      </c>
      <c r="KI20">
        <v>136</v>
      </c>
      <c r="KJ20">
        <v>134</v>
      </c>
      <c r="KK20">
        <v>136</v>
      </c>
      <c r="KL20">
        <v>136</v>
      </c>
      <c r="KM20">
        <v>99</v>
      </c>
      <c r="KN20">
        <v>105</v>
      </c>
      <c r="KO20">
        <v>99</v>
      </c>
      <c r="KP20">
        <v>105</v>
      </c>
      <c r="KQ20">
        <v>99</v>
      </c>
      <c r="KR20">
        <v>99</v>
      </c>
      <c r="KS20">
        <v>99</v>
      </c>
      <c r="KT20">
        <v>74</v>
      </c>
      <c r="KU20">
        <v>74</v>
      </c>
      <c r="KV20">
        <v>99</v>
      </c>
      <c r="KW20">
        <v>178</v>
      </c>
      <c r="KX20">
        <v>178</v>
      </c>
      <c r="KY20">
        <v>99</v>
      </c>
      <c r="KZ20">
        <v>104</v>
      </c>
      <c r="LA20">
        <v>178</v>
      </c>
      <c r="LB20">
        <v>178</v>
      </c>
      <c r="LC20">
        <v>211</v>
      </c>
      <c r="LD20">
        <v>196</v>
      </c>
      <c r="LE20">
        <v>69</v>
      </c>
      <c r="LF20">
        <v>69</v>
      </c>
      <c r="LG20">
        <v>144</v>
      </c>
      <c r="LH20">
        <v>144</v>
      </c>
      <c r="LI20">
        <v>103</v>
      </c>
      <c r="LJ20">
        <v>99</v>
      </c>
      <c r="LK20">
        <v>99</v>
      </c>
      <c r="LL20">
        <v>82</v>
      </c>
      <c r="LM20">
        <v>82</v>
      </c>
      <c r="LN20">
        <v>82</v>
      </c>
      <c r="LO20">
        <v>82</v>
      </c>
      <c r="LP20">
        <v>82</v>
      </c>
      <c r="LQ20">
        <v>99</v>
      </c>
      <c r="LR20">
        <v>79</v>
      </c>
      <c r="LS20">
        <v>79</v>
      </c>
      <c r="LT20">
        <v>108</v>
      </c>
      <c r="LU20">
        <v>109</v>
      </c>
      <c r="LV20">
        <v>109</v>
      </c>
      <c r="LW20">
        <v>99</v>
      </c>
      <c r="LX20">
        <v>99</v>
      </c>
      <c r="LY20">
        <v>99</v>
      </c>
      <c r="LZ20">
        <v>178</v>
      </c>
      <c r="MA20">
        <v>393</v>
      </c>
      <c r="MB20">
        <v>350</v>
      </c>
      <c r="MC20">
        <v>350</v>
      </c>
      <c r="MD20">
        <v>434</v>
      </c>
      <c r="ME20">
        <v>1283</v>
      </c>
      <c r="MF20">
        <v>351</v>
      </c>
      <c r="MG20">
        <v>140</v>
      </c>
      <c r="MH20">
        <v>140</v>
      </c>
      <c r="MI20">
        <v>140</v>
      </c>
      <c r="MJ20">
        <v>186</v>
      </c>
      <c r="MK20">
        <v>157</v>
      </c>
      <c r="ML20">
        <v>144</v>
      </c>
      <c r="MM20">
        <v>186</v>
      </c>
      <c r="MN20">
        <v>195</v>
      </c>
      <c r="MO20">
        <v>105</v>
      </c>
      <c r="MP20">
        <v>119</v>
      </c>
      <c r="MQ20">
        <v>593</v>
      </c>
      <c r="MR20">
        <v>119</v>
      </c>
      <c r="MS20">
        <v>332</v>
      </c>
      <c r="MT20">
        <v>120</v>
      </c>
      <c r="MU20">
        <v>80</v>
      </c>
      <c r="MV20">
        <v>536</v>
      </c>
      <c r="MW20">
        <v>105</v>
      </c>
      <c r="MX20">
        <v>144</v>
      </c>
      <c r="MY20">
        <v>144</v>
      </c>
      <c r="MZ20">
        <v>105</v>
      </c>
      <c r="NA20">
        <v>384</v>
      </c>
      <c r="NB20">
        <v>99</v>
      </c>
      <c r="NC20">
        <v>99</v>
      </c>
      <c r="ND20">
        <v>434</v>
      </c>
      <c r="NE20">
        <v>98</v>
      </c>
      <c r="NF20">
        <v>107</v>
      </c>
      <c r="NG20">
        <v>140</v>
      </c>
      <c r="NH20">
        <v>107</v>
      </c>
      <c r="NI20">
        <v>140</v>
      </c>
      <c r="NJ20">
        <v>99</v>
      </c>
      <c r="NK20">
        <v>99</v>
      </c>
      <c r="NL20">
        <v>178</v>
      </c>
      <c r="NM20">
        <v>103</v>
      </c>
      <c r="NN20">
        <v>103</v>
      </c>
      <c r="NO20">
        <v>103</v>
      </c>
      <c r="NP20">
        <v>120</v>
      </c>
      <c r="NQ20">
        <v>120</v>
      </c>
      <c r="NR20">
        <v>570</v>
      </c>
      <c r="NS20">
        <v>99</v>
      </c>
      <c r="NT20">
        <v>393</v>
      </c>
      <c r="NU20">
        <v>434</v>
      </c>
      <c r="NV20">
        <v>593</v>
      </c>
      <c r="NW20">
        <v>178</v>
      </c>
      <c r="NX20">
        <v>178</v>
      </c>
      <c r="NY20">
        <v>178</v>
      </c>
      <c r="NZ20">
        <v>178</v>
      </c>
      <c r="OA20">
        <v>136</v>
      </c>
      <c r="OB20">
        <v>122</v>
      </c>
      <c r="OC20">
        <v>82</v>
      </c>
      <c r="OD20">
        <v>82</v>
      </c>
      <c r="OE20">
        <v>105</v>
      </c>
      <c r="OF20">
        <v>434</v>
      </c>
      <c r="OG20">
        <v>350</v>
      </c>
      <c r="OH20">
        <v>99</v>
      </c>
      <c r="OI20">
        <v>99</v>
      </c>
      <c r="OJ20">
        <v>99</v>
      </c>
      <c r="OK20">
        <v>99</v>
      </c>
      <c r="OL20">
        <v>99</v>
      </c>
      <c r="OM20">
        <v>99</v>
      </c>
      <c r="ON20">
        <v>200</v>
      </c>
      <c r="OO20">
        <v>200</v>
      </c>
      <c r="OP20">
        <v>119</v>
      </c>
      <c r="OQ20">
        <v>105</v>
      </c>
      <c r="OR20">
        <v>105</v>
      </c>
      <c r="OS20">
        <v>195</v>
      </c>
      <c r="OT20">
        <v>710</v>
      </c>
      <c r="OU20">
        <v>82</v>
      </c>
      <c r="OV20">
        <v>80</v>
      </c>
      <c r="OW20">
        <v>107</v>
      </c>
      <c r="OX20">
        <v>140</v>
      </c>
      <c r="OY20">
        <v>136</v>
      </c>
      <c r="OZ20">
        <v>136</v>
      </c>
      <c r="PA20">
        <v>104</v>
      </c>
      <c r="PB20">
        <v>196</v>
      </c>
      <c r="PC20">
        <v>80</v>
      </c>
      <c r="PD20">
        <v>562</v>
      </c>
      <c r="PE20">
        <v>120</v>
      </c>
      <c r="PF20">
        <v>267</v>
      </c>
      <c r="PG20">
        <v>351</v>
      </c>
      <c r="PH20">
        <v>593</v>
      </c>
      <c r="PI20">
        <v>178</v>
      </c>
      <c r="PJ20">
        <v>99</v>
      </c>
      <c r="PK20">
        <v>134</v>
      </c>
      <c r="PL20">
        <v>103</v>
      </c>
      <c r="PM20">
        <v>103</v>
      </c>
      <c r="PN20">
        <v>710</v>
      </c>
      <c r="PO20">
        <v>710</v>
      </c>
      <c r="PP20">
        <v>710</v>
      </c>
      <c r="PQ20">
        <v>185</v>
      </c>
      <c r="PR20">
        <v>178</v>
      </c>
      <c r="PS20">
        <v>99</v>
      </c>
      <c r="PT20">
        <v>178</v>
      </c>
      <c r="PU20">
        <v>178</v>
      </c>
      <c r="PV20">
        <v>119</v>
      </c>
      <c r="PW20">
        <v>120</v>
      </c>
      <c r="PX20">
        <v>136</v>
      </c>
      <c r="PY20">
        <v>434</v>
      </c>
      <c r="PZ20">
        <v>512</v>
      </c>
      <c r="QA20">
        <v>99</v>
      </c>
      <c r="QB20">
        <v>80</v>
      </c>
      <c r="QC20">
        <v>269</v>
      </c>
      <c r="QD20">
        <v>178</v>
      </c>
      <c r="QE20">
        <v>140</v>
      </c>
      <c r="QF20">
        <v>136</v>
      </c>
      <c r="QG20">
        <v>731</v>
      </c>
      <c r="QH20">
        <v>731</v>
      </c>
      <c r="QI20">
        <v>660</v>
      </c>
      <c r="QJ20">
        <v>660</v>
      </c>
      <c r="QK20">
        <v>136</v>
      </c>
      <c r="QL20">
        <v>99</v>
      </c>
      <c r="QM20">
        <v>99</v>
      </c>
      <c r="QN20">
        <v>350</v>
      </c>
      <c r="QO20">
        <v>350</v>
      </c>
      <c r="QP20">
        <v>99</v>
      </c>
      <c r="QQ20">
        <v>178</v>
      </c>
      <c r="QR20">
        <v>99</v>
      </c>
      <c r="QS20">
        <v>109</v>
      </c>
      <c r="QT20">
        <v>143</v>
      </c>
      <c r="QU20">
        <v>434</v>
      </c>
      <c r="QV20">
        <v>178</v>
      </c>
      <c r="QW20">
        <v>99</v>
      </c>
      <c r="QX20">
        <v>140</v>
      </c>
      <c r="QY20">
        <v>190</v>
      </c>
      <c r="QZ20">
        <v>195</v>
      </c>
      <c r="RA20">
        <v>135</v>
      </c>
      <c r="RB20">
        <v>195</v>
      </c>
      <c r="RC20">
        <v>710</v>
      </c>
      <c r="RD20">
        <v>136</v>
      </c>
      <c r="RE20">
        <v>105</v>
      </c>
      <c r="RF20">
        <v>124</v>
      </c>
      <c r="RG20">
        <v>99</v>
      </c>
      <c r="RH20">
        <v>353</v>
      </c>
      <c r="RI20">
        <v>178</v>
      </c>
      <c r="RJ20">
        <v>99</v>
      </c>
      <c r="RK20">
        <v>136</v>
      </c>
      <c r="RL20">
        <v>99</v>
      </c>
      <c r="RM20">
        <v>187</v>
      </c>
      <c r="RN20">
        <v>99</v>
      </c>
      <c r="RO20">
        <v>761</v>
      </c>
      <c r="RP20">
        <v>761</v>
      </c>
      <c r="RQ20">
        <v>99</v>
      </c>
      <c r="RR20">
        <v>99</v>
      </c>
      <c r="RS20">
        <v>99</v>
      </c>
      <c r="RT20">
        <v>99</v>
      </c>
      <c r="RU20">
        <v>136</v>
      </c>
      <c r="RV20">
        <v>124</v>
      </c>
      <c r="RW20">
        <v>99</v>
      </c>
      <c r="RX20">
        <v>99</v>
      </c>
      <c r="RY20">
        <v>136</v>
      </c>
      <c r="RZ20">
        <v>105</v>
      </c>
      <c r="SA20">
        <v>136</v>
      </c>
      <c r="SB20">
        <v>100</v>
      </c>
      <c r="SC20">
        <v>99</v>
      </c>
      <c r="SD20">
        <v>178</v>
      </c>
      <c r="SE20">
        <v>99</v>
      </c>
      <c r="SF20">
        <v>99</v>
      </c>
      <c r="SG20">
        <v>99</v>
      </c>
      <c r="SH20">
        <v>99</v>
      </c>
      <c r="SI20">
        <v>82</v>
      </c>
      <c r="SJ20">
        <v>80</v>
      </c>
      <c r="SK20">
        <v>99</v>
      </c>
      <c r="SL20">
        <v>99</v>
      </c>
      <c r="SM20">
        <v>95</v>
      </c>
      <c r="SN20">
        <v>710</v>
      </c>
      <c r="SO20">
        <v>710</v>
      </c>
      <c r="SP20">
        <v>350</v>
      </c>
      <c r="SQ20">
        <v>120</v>
      </c>
      <c r="SR20">
        <v>104</v>
      </c>
      <c r="SS20">
        <v>710</v>
      </c>
      <c r="ST20">
        <v>710</v>
      </c>
      <c r="SU20">
        <v>99</v>
      </c>
      <c r="SV20">
        <v>99</v>
      </c>
      <c r="SW20">
        <v>80</v>
      </c>
      <c r="SX20">
        <v>178</v>
      </c>
      <c r="SY20">
        <v>269</v>
      </c>
      <c r="SZ20">
        <v>325</v>
      </c>
      <c r="TA20">
        <v>350</v>
      </c>
      <c r="TB20">
        <v>119</v>
      </c>
      <c r="TC20">
        <v>120</v>
      </c>
      <c r="TD20">
        <v>140</v>
      </c>
      <c r="TE20">
        <v>140</v>
      </c>
      <c r="TF20">
        <v>99</v>
      </c>
      <c r="TG20">
        <v>105</v>
      </c>
      <c r="TH20">
        <v>100</v>
      </c>
      <c r="TI20">
        <v>120</v>
      </c>
      <c r="TJ20">
        <v>139</v>
      </c>
      <c r="TK20">
        <v>135</v>
      </c>
      <c r="TL20">
        <v>190</v>
      </c>
      <c r="TM20">
        <v>99</v>
      </c>
      <c r="TN20">
        <v>99</v>
      </c>
      <c r="TO20">
        <v>1283</v>
      </c>
      <c r="TP20">
        <v>537</v>
      </c>
      <c r="TQ20">
        <v>178</v>
      </c>
      <c r="TR20">
        <v>178</v>
      </c>
      <c r="TS20">
        <v>178</v>
      </c>
      <c r="TT20">
        <v>105</v>
      </c>
      <c r="TU20">
        <v>105</v>
      </c>
      <c r="TV20">
        <v>136</v>
      </c>
      <c r="TW20">
        <v>105</v>
      </c>
      <c r="TX20">
        <v>82</v>
      </c>
      <c r="TY20">
        <v>82</v>
      </c>
      <c r="TZ20">
        <v>119</v>
      </c>
      <c r="UA20">
        <v>332</v>
      </c>
      <c r="UB20">
        <v>109</v>
      </c>
      <c r="UC20">
        <v>82</v>
      </c>
      <c r="UD20">
        <v>186</v>
      </c>
      <c r="UE20">
        <v>105</v>
      </c>
      <c r="UF20">
        <v>434</v>
      </c>
      <c r="UG20">
        <v>1577</v>
      </c>
      <c r="UH20">
        <v>105</v>
      </c>
      <c r="UI20">
        <v>105</v>
      </c>
      <c r="UJ20">
        <v>267</v>
      </c>
      <c r="UK20">
        <v>269</v>
      </c>
      <c r="UL20">
        <v>269</v>
      </c>
      <c r="UM20">
        <v>593</v>
      </c>
      <c r="UN20">
        <v>178</v>
      </c>
      <c r="UO20">
        <v>136</v>
      </c>
      <c r="UP20">
        <v>467</v>
      </c>
      <c r="UQ20">
        <v>63</v>
      </c>
      <c r="UR20">
        <v>195</v>
      </c>
      <c r="US20">
        <v>178</v>
      </c>
      <c r="UT20">
        <v>125</v>
      </c>
      <c r="UU20">
        <v>125</v>
      </c>
      <c r="UV20">
        <v>99</v>
      </c>
      <c r="UW20">
        <v>95</v>
      </c>
      <c r="UX20">
        <v>99</v>
      </c>
      <c r="UY20">
        <v>178</v>
      </c>
      <c r="UZ20">
        <v>178</v>
      </c>
      <c r="VA20">
        <v>105</v>
      </c>
      <c r="VB20">
        <v>99</v>
      </c>
      <c r="VC20">
        <v>99</v>
      </c>
      <c r="VD20">
        <v>105</v>
      </c>
      <c r="VE20">
        <v>105</v>
      </c>
      <c r="VF20">
        <v>105</v>
      </c>
      <c r="VG20">
        <v>710</v>
      </c>
      <c r="VH20">
        <v>710</v>
      </c>
      <c r="VI20">
        <v>79</v>
      </c>
      <c r="VJ20">
        <v>79</v>
      </c>
      <c r="VK20">
        <v>105</v>
      </c>
      <c r="VL20">
        <v>178</v>
      </c>
      <c r="VM20">
        <v>186</v>
      </c>
      <c r="VN20">
        <v>178</v>
      </c>
      <c r="VO20">
        <v>685</v>
      </c>
    </row>
    <row r="21" spans="1:587" x14ac:dyDescent="0.3">
      <c r="A21" t="s">
        <v>3016</v>
      </c>
      <c r="B21" cm="1">
        <f t="array" ref="B21:VO21">1*TRANSPOSE(_xlfn._xlws.FILTER(branch!$I$2:$I$591,branch!$D$2:$D$591&lt;&gt;0))</f>
        <v>99</v>
      </c>
      <c r="C21">
        <v>99</v>
      </c>
      <c r="D21">
        <v>178</v>
      </c>
      <c r="E21">
        <v>145</v>
      </c>
      <c r="F21">
        <v>536</v>
      </c>
      <c r="G21">
        <v>393</v>
      </c>
      <c r="H21">
        <v>393</v>
      </c>
      <c r="I21">
        <v>593</v>
      </c>
      <c r="J21">
        <v>434</v>
      </c>
      <c r="K21">
        <v>99</v>
      </c>
      <c r="L21">
        <v>140</v>
      </c>
      <c r="M21">
        <v>103</v>
      </c>
      <c r="N21">
        <v>109</v>
      </c>
      <c r="O21">
        <v>105</v>
      </c>
      <c r="P21">
        <v>99</v>
      </c>
      <c r="Q21">
        <v>187</v>
      </c>
      <c r="R21">
        <v>187</v>
      </c>
      <c r="S21">
        <v>187</v>
      </c>
      <c r="T21">
        <v>104</v>
      </c>
      <c r="U21">
        <v>112</v>
      </c>
      <c r="V21">
        <v>105</v>
      </c>
      <c r="W21">
        <v>82</v>
      </c>
      <c r="X21">
        <v>82</v>
      </c>
      <c r="Y21">
        <v>105</v>
      </c>
      <c r="Z21">
        <v>105</v>
      </c>
      <c r="AA21">
        <v>99</v>
      </c>
      <c r="AB21">
        <v>178</v>
      </c>
      <c r="AC21">
        <v>434</v>
      </c>
      <c r="AD21">
        <v>434</v>
      </c>
      <c r="AE21">
        <v>34</v>
      </c>
      <c r="AF21">
        <v>120</v>
      </c>
      <c r="AG21">
        <v>120</v>
      </c>
      <c r="AH21">
        <v>104</v>
      </c>
      <c r="AI21">
        <v>178</v>
      </c>
      <c r="AJ21">
        <v>178</v>
      </c>
      <c r="AK21">
        <v>178</v>
      </c>
      <c r="AL21">
        <v>178</v>
      </c>
      <c r="AM21">
        <v>120</v>
      </c>
      <c r="AN21">
        <v>178</v>
      </c>
      <c r="AO21">
        <v>99</v>
      </c>
      <c r="AP21">
        <v>178</v>
      </c>
      <c r="AQ21">
        <v>140</v>
      </c>
      <c r="AR21">
        <v>140</v>
      </c>
      <c r="AS21">
        <v>99</v>
      </c>
      <c r="AT21">
        <v>105</v>
      </c>
      <c r="AU21">
        <v>99</v>
      </c>
      <c r="AV21">
        <v>96</v>
      </c>
      <c r="AW21">
        <v>96</v>
      </c>
      <c r="AX21">
        <v>178</v>
      </c>
      <c r="AY21">
        <v>178</v>
      </c>
      <c r="AZ21">
        <v>120</v>
      </c>
      <c r="BA21">
        <v>120</v>
      </c>
      <c r="BB21">
        <v>178</v>
      </c>
      <c r="BC21">
        <v>178</v>
      </c>
      <c r="BD21">
        <v>178</v>
      </c>
      <c r="BE21">
        <v>105</v>
      </c>
      <c r="BF21">
        <v>99</v>
      </c>
      <c r="BG21">
        <v>99</v>
      </c>
      <c r="BH21">
        <v>99</v>
      </c>
      <c r="BI21">
        <v>82</v>
      </c>
      <c r="BJ21">
        <v>82</v>
      </c>
      <c r="BK21">
        <v>136</v>
      </c>
      <c r="BL21">
        <v>140</v>
      </c>
      <c r="BM21">
        <v>130</v>
      </c>
      <c r="BN21">
        <v>99</v>
      </c>
      <c r="BO21">
        <v>122</v>
      </c>
      <c r="BP21">
        <v>196</v>
      </c>
      <c r="BQ21">
        <v>178</v>
      </c>
      <c r="BR21">
        <v>136</v>
      </c>
      <c r="BS21">
        <v>178</v>
      </c>
      <c r="BT21">
        <v>124</v>
      </c>
      <c r="BU21">
        <v>178</v>
      </c>
      <c r="BV21">
        <v>178</v>
      </c>
      <c r="BW21">
        <v>178</v>
      </c>
      <c r="BX21">
        <v>99</v>
      </c>
      <c r="BY21">
        <v>136</v>
      </c>
      <c r="BZ21">
        <v>195</v>
      </c>
      <c r="CA21">
        <v>178</v>
      </c>
      <c r="CB21">
        <v>178</v>
      </c>
      <c r="CC21">
        <v>192</v>
      </c>
      <c r="CD21">
        <v>187</v>
      </c>
      <c r="CE21">
        <v>120</v>
      </c>
      <c r="CF21">
        <v>187</v>
      </c>
      <c r="CG21">
        <v>187</v>
      </c>
      <c r="CH21">
        <v>187</v>
      </c>
      <c r="CI21">
        <v>119</v>
      </c>
      <c r="CJ21">
        <v>119</v>
      </c>
      <c r="CK21">
        <v>570</v>
      </c>
      <c r="CL21">
        <v>570</v>
      </c>
      <c r="CM21">
        <v>140</v>
      </c>
      <c r="CN21">
        <v>140</v>
      </c>
      <c r="CO21">
        <v>842</v>
      </c>
      <c r="CP21">
        <v>105</v>
      </c>
      <c r="CQ21">
        <v>109</v>
      </c>
      <c r="CR21">
        <v>109</v>
      </c>
      <c r="CS21">
        <v>82</v>
      </c>
      <c r="CT21">
        <v>82</v>
      </c>
      <c r="CU21">
        <v>75</v>
      </c>
      <c r="CV21">
        <v>75</v>
      </c>
      <c r="CW21">
        <v>178</v>
      </c>
      <c r="CX21">
        <v>178</v>
      </c>
      <c r="CY21">
        <v>178</v>
      </c>
      <c r="CZ21">
        <v>178</v>
      </c>
      <c r="DA21">
        <v>82</v>
      </c>
      <c r="DB21">
        <v>82</v>
      </c>
      <c r="DC21">
        <v>710</v>
      </c>
      <c r="DD21">
        <v>69</v>
      </c>
      <c r="DE21">
        <v>70</v>
      </c>
      <c r="DF21">
        <v>710</v>
      </c>
      <c r="DG21">
        <v>710</v>
      </c>
      <c r="DH21">
        <v>710</v>
      </c>
      <c r="DI21">
        <v>144</v>
      </c>
      <c r="DJ21">
        <v>63</v>
      </c>
      <c r="DK21">
        <v>99</v>
      </c>
      <c r="DL21">
        <v>570</v>
      </c>
      <c r="DM21">
        <v>570</v>
      </c>
      <c r="DN21">
        <v>178</v>
      </c>
      <c r="DO21">
        <v>200</v>
      </c>
      <c r="DP21">
        <v>109</v>
      </c>
      <c r="DQ21">
        <v>109</v>
      </c>
      <c r="DR21">
        <v>79</v>
      </c>
      <c r="DS21">
        <v>79</v>
      </c>
      <c r="DT21">
        <v>434</v>
      </c>
      <c r="DU21">
        <v>740</v>
      </c>
      <c r="DV21">
        <v>228</v>
      </c>
      <c r="DW21">
        <v>115</v>
      </c>
      <c r="DX21">
        <v>195</v>
      </c>
      <c r="DY21">
        <v>124</v>
      </c>
      <c r="DZ21">
        <v>80</v>
      </c>
      <c r="EA21">
        <v>120</v>
      </c>
      <c r="EB21">
        <v>105</v>
      </c>
      <c r="EC21">
        <v>178</v>
      </c>
      <c r="ED21">
        <v>178</v>
      </c>
      <c r="EE21">
        <v>178</v>
      </c>
      <c r="EF21">
        <v>69</v>
      </c>
      <c r="EG21">
        <v>70</v>
      </c>
      <c r="EH21">
        <v>69</v>
      </c>
      <c r="EI21">
        <v>69</v>
      </c>
      <c r="EJ21">
        <v>132</v>
      </c>
      <c r="EK21">
        <v>132</v>
      </c>
      <c r="EL21">
        <v>710</v>
      </c>
      <c r="EM21">
        <v>710</v>
      </c>
      <c r="EN21">
        <v>66</v>
      </c>
      <c r="EO21">
        <v>66</v>
      </c>
      <c r="EP21">
        <v>710</v>
      </c>
      <c r="EQ21">
        <v>109</v>
      </c>
      <c r="ER21">
        <v>109</v>
      </c>
      <c r="ES21">
        <v>82</v>
      </c>
      <c r="ET21">
        <v>82</v>
      </c>
      <c r="EU21">
        <v>144</v>
      </c>
      <c r="EV21">
        <v>144</v>
      </c>
      <c r="EW21">
        <v>710</v>
      </c>
      <c r="EX21">
        <v>178</v>
      </c>
      <c r="EY21">
        <v>124</v>
      </c>
      <c r="EZ21">
        <v>99</v>
      </c>
      <c r="FA21">
        <v>99</v>
      </c>
      <c r="FB21">
        <v>99</v>
      </c>
      <c r="FC21">
        <v>761</v>
      </c>
      <c r="FD21">
        <v>187</v>
      </c>
      <c r="FE21">
        <v>761</v>
      </c>
      <c r="FF21">
        <v>761</v>
      </c>
      <c r="FG21">
        <v>761</v>
      </c>
      <c r="FH21">
        <v>178</v>
      </c>
      <c r="FI21">
        <v>178</v>
      </c>
      <c r="FJ21">
        <v>115</v>
      </c>
      <c r="FK21">
        <v>434</v>
      </c>
      <c r="FL21">
        <v>434</v>
      </c>
      <c r="FM21">
        <v>555</v>
      </c>
      <c r="FN21">
        <v>123</v>
      </c>
      <c r="FO21">
        <v>178</v>
      </c>
      <c r="FP21">
        <v>130</v>
      </c>
      <c r="FQ21">
        <v>178</v>
      </c>
      <c r="FR21">
        <v>103</v>
      </c>
      <c r="FS21">
        <v>238</v>
      </c>
      <c r="FT21">
        <v>434</v>
      </c>
      <c r="FU21">
        <v>178</v>
      </c>
      <c r="FV21">
        <v>132</v>
      </c>
      <c r="FW21">
        <v>178</v>
      </c>
      <c r="FX21">
        <v>144</v>
      </c>
      <c r="FY21">
        <v>144</v>
      </c>
      <c r="FZ21">
        <v>140</v>
      </c>
      <c r="GA21">
        <v>140</v>
      </c>
      <c r="GB21">
        <v>136</v>
      </c>
      <c r="GC21">
        <v>178</v>
      </c>
      <c r="GD21">
        <v>178</v>
      </c>
      <c r="GE21">
        <v>178</v>
      </c>
      <c r="GF21">
        <v>196</v>
      </c>
      <c r="GG21">
        <v>178</v>
      </c>
      <c r="GH21">
        <v>178</v>
      </c>
      <c r="GI21">
        <v>178</v>
      </c>
      <c r="GJ21">
        <v>130</v>
      </c>
      <c r="GK21">
        <v>99</v>
      </c>
      <c r="GL21">
        <v>136</v>
      </c>
      <c r="GM21">
        <v>178</v>
      </c>
      <c r="GN21">
        <v>105</v>
      </c>
      <c r="GO21">
        <v>187</v>
      </c>
      <c r="GP21">
        <v>187</v>
      </c>
      <c r="GQ21">
        <v>187</v>
      </c>
      <c r="GR21">
        <v>105</v>
      </c>
      <c r="GS21">
        <v>130</v>
      </c>
      <c r="GT21">
        <v>434</v>
      </c>
      <c r="GU21">
        <v>105</v>
      </c>
      <c r="GV21">
        <v>105</v>
      </c>
      <c r="GW21">
        <v>593</v>
      </c>
      <c r="GX21">
        <v>119</v>
      </c>
      <c r="GY21">
        <v>178</v>
      </c>
      <c r="GZ21">
        <v>120</v>
      </c>
      <c r="HA21">
        <v>178</v>
      </c>
      <c r="HB21">
        <v>178</v>
      </c>
      <c r="HC21">
        <v>178</v>
      </c>
      <c r="HD21">
        <v>646</v>
      </c>
      <c r="HE21">
        <v>161</v>
      </c>
      <c r="HF21">
        <v>161</v>
      </c>
      <c r="HG21">
        <v>434</v>
      </c>
      <c r="HH21">
        <v>434</v>
      </c>
      <c r="HI21">
        <v>187</v>
      </c>
      <c r="HJ21">
        <v>124</v>
      </c>
      <c r="HK21">
        <v>99</v>
      </c>
      <c r="HL21">
        <v>105</v>
      </c>
      <c r="HM21">
        <v>63</v>
      </c>
      <c r="HN21">
        <v>178</v>
      </c>
      <c r="HO21">
        <v>187</v>
      </c>
      <c r="HP21">
        <v>136</v>
      </c>
      <c r="HQ21">
        <v>187</v>
      </c>
      <c r="HR21">
        <v>187</v>
      </c>
      <c r="HS21">
        <v>99</v>
      </c>
      <c r="HT21">
        <v>99</v>
      </c>
      <c r="HU21">
        <v>105</v>
      </c>
      <c r="HV21">
        <v>178</v>
      </c>
      <c r="HW21">
        <v>178</v>
      </c>
      <c r="HX21">
        <v>1577</v>
      </c>
      <c r="HY21">
        <v>1577</v>
      </c>
      <c r="HZ21">
        <v>143</v>
      </c>
      <c r="IA21">
        <v>104</v>
      </c>
      <c r="IB21">
        <v>82</v>
      </c>
      <c r="IC21">
        <v>82</v>
      </c>
      <c r="ID21">
        <v>82</v>
      </c>
      <c r="IE21">
        <v>82</v>
      </c>
      <c r="IF21">
        <v>186</v>
      </c>
      <c r="IG21">
        <v>124</v>
      </c>
      <c r="IH21">
        <v>136</v>
      </c>
      <c r="II21">
        <v>99</v>
      </c>
      <c r="IJ21">
        <v>178</v>
      </c>
      <c r="IK21">
        <v>178</v>
      </c>
      <c r="IL21">
        <v>99</v>
      </c>
      <c r="IM21">
        <v>99</v>
      </c>
      <c r="IN21">
        <v>105</v>
      </c>
      <c r="IO21">
        <v>105</v>
      </c>
      <c r="IP21">
        <v>99</v>
      </c>
      <c r="IQ21">
        <v>99</v>
      </c>
      <c r="IR21">
        <v>100</v>
      </c>
      <c r="IS21">
        <v>100</v>
      </c>
      <c r="IT21">
        <v>200</v>
      </c>
      <c r="IU21">
        <v>143</v>
      </c>
      <c r="IV21">
        <v>82</v>
      </c>
      <c r="IW21">
        <v>82</v>
      </c>
      <c r="IX21">
        <v>82</v>
      </c>
      <c r="IY21">
        <v>412</v>
      </c>
      <c r="IZ21">
        <v>412</v>
      </c>
      <c r="JA21">
        <v>82</v>
      </c>
      <c r="JB21">
        <v>82</v>
      </c>
      <c r="JC21">
        <v>109</v>
      </c>
      <c r="JD21">
        <v>178</v>
      </c>
      <c r="JE21">
        <v>99</v>
      </c>
      <c r="JF21">
        <v>82</v>
      </c>
      <c r="JG21">
        <v>109</v>
      </c>
      <c r="JH21">
        <v>140</v>
      </c>
      <c r="JI21">
        <v>140</v>
      </c>
      <c r="JJ21">
        <v>196</v>
      </c>
      <c r="JK21">
        <v>178</v>
      </c>
      <c r="JL21">
        <v>178</v>
      </c>
      <c r="JM21">
        <v>99</v>
      </c>
      <c r="JN21">
        <v>178</v>
      </c>
      <c r="JO21">
        <v>350</v>
      </c>
      <c r="JP21">
        <v>99</v>
      </c>
      <c r="JQ21">
        <v>99</v>
      </c>
      <c r="JR21">
        <v>99</v>
      </c>
      <c r="JS21">
        <v>392</v>
      </c>
      <c r="JT21">
        <v>97</v>
      </c>
      <c r="JU21">
        <v>99</v>
      </c>
      <c r="JV21">
        <v>761</v>
      </c>
      <c r="JW21">
        <v>178</v>
      </c>
      <c r="JX21">
        <v>124</v>
      </c>
      <c r="JY21">
        <v>103</v>
      </c>
      <c r="JZ21">
        <v>178</v>
      </c>
      <c r="KA21">
        <v>746</v>
      </c>
      <c r="KB21">
        <v>646</v>
      </c>
      <c r="KC21">
        <v>178</v>
      </c>
      <c r="KD21">
        <v>178</v>
      </c>
      <c r="KE21">
        <v>178</v>
      </c>
      <c r="KF21">
        <v>178</v>
      </c>
      <c r="KG21">
        <v>190</v>
      </c>
      <c r="KH21">
        <v>105</v>
      </c>
      <c r="KI21">
        <v>136</v>
      </c>
      <c r="KJ21">
        <v>134</v>
      </c>
      <c r="KK21">
        <v>136</v>
      </c>
      <c r="KL21">
        <v>136</v>
      </c>
      <c r="KM21">
        <v>99</v>
      </c>
      <c r="KN21">
        <v>105</v>
      </c>
      <c r="KO21">
        <v>99</v>
      </c>
      <c r="KP21">
        <v>105</v>
      </c>
      <c r="KQ21">
        <v>99</v>
      </c>
      <c r="KR21">
        <v>99</v>
      </c>
      <c r="KS21">
        <v>99</v>
      </c>
      <c r="KT21">
        <v>74</v>
      </c>
      <c r="KU21">
        <v>74</v>
      </c>
      <c r="KV21">
        <v>99</v>
      </c>
      <c r="KW21">
        <v>178</v>
      </c>
      <c r="KX21">
        <v>178</v>
      </c>
      <c r="KY21">
        <v>99</v>
      </c>
      <c r="KZ21">
        <v>104</v>
      </c>
      <c r="LA21">
        <v>178</v>
      </c>
      <c r="LB21">
        <v>178</v>
      </c>
      <c r="LC21">
        <v>211</v>
      </c>
      <c r="LD21">
        <v>196</v>
      </c>
      <c r="LE21">
        <v>69</v>
      </c>
      <c r="LF21">
        <v>69</v>
      </c>
      <c r="LG21">
        <v>144</v>
      </c>
      <c r="LH21">
        <v>144</v>
      </c>
      <c r="LI21">
        <v>103</v>
      </c>
      <c r="LJ21">
        <v>99</v>
      </c>
      <c r="LK21">
        <v>99</v>
      </c>
      <c r="LL21">
        <v>82</v>
      </c>
      <c r="LM21">
        <v>82</v>
      </c>
      <c r="LN21">
        <v>82</v>
      </c>
      <c r="LO21">
        <v>82</v>
      </c>
      <c r="LP21">
        <v>82</v>
      </c>
      <c r="LQ21">
        <v>99</v>
      </c>
      <c r="LR21">
        <v>79</v>
      </c>
      <c r="LS21">
        <v>79</v>
      </c>
      <c r="LT21">
        <v>108</v>
      </c>
      <c r="LU21">
        <v>109</v>
      </c>
      <c r="LV21">
        <v>109</v>
      </c>
      <c r="LW21">
        <v>99</v>
      </c>
      <c r="LX21">
        <v>99</v>
      </c>
      <c r="LY21">
        <v>99</v>
      </c>
      <c r="LZ21">
        <v>178</v>
      </c>
      <c r="MA21">
        <v>393</v>
      </c>
      <c r="MB21">
        <v>350</v>
      </c>
      <c r="MC21">
        <v>350</v>
      </c>
      <c r="MD21">
        <v>434</v>
      </c>
      <c r="ME21">
        <v>1283</v>
      </c>
      <c r="MF21">
        <v>351</v>
      </c>
      <c r="MG21">
        <v>140</v>
      </c>
      <c r="MH21">
        <v>140</v>
      </c>
      <c r="MI21">
        <v>140</v>
      </c>
      <c r="MJ21">
        <v>186</v>
      </c>
      <c r="MK21">
        <v>157</v>
      </c>
      <c r="ML21">
        <v>144</v>
      </c>
      <c r="MM21">
        <v>186</v>
      </c>
      <c r="MN21">
        <v>195</v>
      </c>
      <c r="MO21">
        <v>105</v>
      </c>
      <c r="MP21">
        <v>119</v>
      </c>
      <c r="MQ21">
        <v>593</v>
      </c>
      <c r="MR21">
        <v>119</v>
      </c>
      <c r="MS21">
        <v>332</v>
      </c>
      <c r="MT21">
        <v>120</v>
      </c>
      <c r="MU21">
        <v>80</v>
      </c>
      <c r="MV21">
        <v>536</v>
      </c>
      <c r="MW21">
        <v>105</v>
      </c>
      <c r="MX21">
        <v>144</v>
      </c>
      <c r="MY21">
        <v>144</v>
      </c>
      <c r="MZ21">
        <v>105</v>
      </c>
      <c r="NA21">
        <v>384</v>
      </c>
      <c r="NB21">
        <v>99</v>
      </c>
      <c r="NC21">
        <v>99</v>
      </c>
      <c r="ND21">
        <v>434</v>
      </c>
      <c r="NE21">
        <v>98</v>
      </c>
      <c r="NF21">
        <v>107</v>
      </c>
      <c r="NG21">
        <v>140</v>
      </c>
      <c r="NH21">
        <v>107</v>
      </c>
      <c r="NI21">
        <v>140</v>
      </c>
      <c r="NJ21">
        <v>99</v>
      </c>
      <c r="NK21">
        <v>99</v>
      </c>
      <c r="NL21">
        <v>178</v>
      </c>
      <c r="NM21">
        <v>103</v>
      </c>
      <c r="NN21">
        <v>103</v>
      </c>
      <c r="NO21">
        <v>103</v>
      </c>
      <c r="NP21">
        <v>120</v>
      </c>
      <c r="NQ21">
        <v>120</v>
      </c>
      <c r="NR21">
        <v>570</v>
      </c>
      <c r="NS21">
        <v>99</v>
      </c>
      <c r="NT21">
        <v>393</v>
      </c>
      <c r="NU21">
        <v>434</v>
      </c>
      <c r="NV21">
        <v>593</v>
      </c>
      <c r="NW21">
        <v>178</v>
      </c>
      <c r="NX21">
        <v>178</v>
      </c>
      <c r="NY21">
        <v>178</v>
      </c>
      <c r="NZ21">
        <v>178</v>
      </c>
      <c r="OA21">
        <v>136</v>
      </c>
      <c r="OB21">
        <v>122</v>
      </c>
      <c r="OC21">
        <v>82</v>
      </c>
      <c r="OD21">
        <v>82</v>
      </c>
      <c r="OE21">
        <v>105</v>
      </c>
      <c r="OF21">
        <v>434</v>
      </c>
      <c r="OG21">
        <v>350</v>
      </c>
      <c r="OH21">
        <v>99</v>
      </c>
      <c r="OI21">
        <v>99</v>
      </c>
      <c r="OJ21">
        <v>99</v>
      </c>
      <c r="OK21">
        <v>99</v>
      </c>
      <c r="OL21">
        <v>99</v>
      </c>
      <c r="OM21">
        <v>99</v>
      </c>
      <c r="ON21">
        <v>200</v>
      </c>
      <c r="OO21">
        <v>200</v>
      </c>
      <c r="OP21">
        <v>119</v>
      </c>
      <c r="OQ21">
        <v>105</v>
      </c>
      <c r="OR21">
        <v>105</v>
      </c>
      <c r="OS21">
        <v>195</v>
      </c>
      <c r="OT21">
        <v>710</v>
      </c>
      <c r="OU21">
        <v>82</v>
      </c>
      <c r="OV21">
        <v>80</v>
      </c>
      <c r="OW21">
        <v>107</v>
      </c>
      <c r="OX21">
        <v>140</v>
      </c>
      <c r="OY21">
        <v>136</v>
      </c>
      <c r="OZ21">
        <v>136</v>
      </c>
      <c r="PA21">
        <v>104</v>
      </c>
      <c r="PB21">
        <v>196</v>
      </c>
      <c r="PC21">
        <v>80</v>
      </c>
      <c r="PD21">
        <v>562</v>
      </c>
      <c r="PE21">
        <v>120</v>
      </c>
      <c r="PF21">
        <v>267</v>
      </c>
      <c r="PG21">
        <v>351</v>
      </c>
      <c r="PH21">
        <v>593</v>
      </c>
      <c r="PI21">
        <v>178</v>
      </c>
      <c r="PJ21">
        <v>99</v>
      </c>
      <c r="PK21">
        <v>134</v>
      </c>
      <c r="PL21">
        <v>103</v>
      </c>
      <c r="PM21">
        <v>103</v>
      </c>
      <c r="PN21">
        <v>710</v>
      </c>
      <c r="PO21">
        <v>710</v>
      </c>
      <c r="PP21">
        <v>710</v>
      </c>
      <c r="PQ21">
        <v>185</v>
      </c>
      <c r="PR21">
        <v>178</v>
      </c>
      <c r="PS21">
        <v>99</v>
      </c>
      <c r="PT21">
        <v>178</v>
      </c>
      <c r="PU21">
        <v>178</v>
      </c>
      <c r="PV21">
        <v>119</v>
      </c>
      <c r="PW21">
        <v>120</v>
      </c>
      <c r="PX21">
        <v>136</v>
      </c>
      <c r="PY21">
        <v>434</v>
      </c>
      <c r="PZ21">
        <v>512</v>
      </c>
      <c r="QA21">
        <v>99</v>
      </c>
      <c r="QB21">
        <v>80</v>
      </c>
      <c r="QC21">
        <v>269</v>
      </c>
      <c r="QD21">
        <v>178</v>
      </c>
      <c r="QE21">
        <v>140</v>
      </c>
      <c r="QF21">
        <v>136</v>
      </c>
      <c r="QG21">
        <v>731</v>
      </c>
      <c r="QH21">
        <v>731</v>
      </c>
      <c r="QI21">
        <v>660</v>
      </c>
      <c r="QJ21">
        <v>660</v>
      </c>
      <c r="QK21">
        <v>136</v>
      </c>
      <c r="QL21">
        <v>99</v>
      </c>
      <c r="QM21">
        <v>99</v>
      </c>
      <c r="QN21">
        <v>350</v>
      </c>
      <c r="QO21">
        <v>350</v>
      </c>
      <c r="QP21">
        <v>99</v>
      </c>
      <c r="QQ21">
        <v>178</v>
      </c>
      <c r="QR21">
        <v>99</v>
      </c>
      <c r="QS21">
        <v>109</v>
      </c>
      <c r="QT21">
        <v>143</v>
      </c>
      <c r="QU21">
        <v>434</v>
      </c>
      <c r="QV21">
        <v>178</v>
      </c>
      <c r="QW21">
        <v>99</v>
      </c>
      <c r="QX21">
        <v>140</v>
      </c>
      <c r="QY21">
        <v>190</v>
      </c>
      <c r="QZ21">
        <v>195</v>
      </c>
      <c r="RA21">
        <v>135</v>
      </c>
      <c r="RB21">
        <v>195</v>
      </c>
      <c r="RC21">
        <v>710</v>
      </c>
      <c r="RD21">
        <v>136</v>
      </c>
      <c r="RE21">
        <v>105</v>
      </c>
      <c r="RF21">
        <v>124</v>
      </c>
      <c r="RG21">
        <v>99</v>
      </c>
      <c r="RH21">
        <v>353</v>
      </c>
      <c r="RI21">
        <v>178</v>
      </c>
      <c r="RJ21">
        <v>99</v>
      </c>
      <c r="RK21">
        <v>136</v>
      </c>
      <c r="RL21">
        <v>99</v>
      </c>
      <c r="RM21">
        <v>187</v>
      </c>
      <c r="RN21">
        <v>99</v>
      </c>
      <c r="RO21">
        <v>761</v>
      </c>
      <c r="RP21">
        <v>761</v>
      </c>
      <c r="RQ21">
        <v>99</v>
      </c>
      <c r="RR21">
        <v>99</v>
      </c>
      <c r="RS21">
        <v>99</v>
      </c>
      <c r="RT21">
        <v>99</v>
      </c>
      <c r="RU21">
        <v>136</v>
      </c>
      <c r="RV21">
        <v>124</v>
      </c>
      <c r="RW21">
        <v>99</v>
      </c>
      <c r="RX21">
        <v>99</v>
      </c>
      <c r="RY21">
        <v>136</v>
      </c>
      <c r="RZ21">
        <v>105</v>
      </c>
      <c r="SA21">
        <v>136</v>
      </c>
      <c r="SB21">
        <v>100</v>
      </c>
      <c r="SC21">
        <v>99</v>
      </c>
      <c r="SD21">
        <v>178</v>
      </c>
      <c r="SE21">
        <v>99</v>
      </c>
      <c r="SF21">
        <v>99</v>
      </c>
      <c r="SG21">
        <v>99</v>
      </c>
      <c r="SH21">
        <v>99</v>
      </c>
      <c r="SI21">
        <v>82</v>
      </c>
      <c r="SJ21">
        <v>80</v>
      </c>
      <c r="SK21">
        <v>99</v>
      </c>
      <c r="SL21">
        <v>99</v>
      </c>
      <c r="SM21">
        <v>95</v>
      </c>
      <c r="SN21">
        <v>710</v>
      </c>
      <c r="SO21">
        <v>710</v>
      </c>
      <c r="SP21">
        <v>350</v>
      </c>
      <c r="SQ21">
        <v>120</v>
      </c>
      <c r="SR21">
        <v>104</v>
      </c>
      <c r="SS21">
        <v>710</v>
      </c>
      <c r="ST21">
        <v>710</v>
      </c>
      <c r="SU21">
        <v>99</v>
      </c>
      <c r="SV21">
        <v>99</v>
      </c>
      <c r="SW21">
        <v>80</v>
      </c>
      <c r="SX21">
        <v>178</v>
      </c>
      <c r="SY21">
        <v>269</v>
      </c>
      <c r="SZ21">
        <v>325</v>
      </c>
      <c r="TA21">
        <v>350</v>
      </c>
      <c r="TB21">
        <v>119</v>
      </c>
      <c r="TC21">
        <v>120</v>
      </c>
      <c r="TD21">
        <v>140</v>
      </c>
      <c r="TE21">
        <v>140</v>
      </c>
      <c r="TF21">
        <v>99</v>
      </c>
      <c r="TG21">
        <v>105</v>
      </c>
      <c r="TH21">
        <v>100</v>
      </c>
      <c r="TI21">
        <v>120</v>
      </c>
      <c r="TJ21">
        <v>139</v>
      </c>
      <c r="TK21">
        <v>135</v>
      </c>
      <c r="TL21">
        <v>190</v>
      </c>
      <c r="TM21">
        <v>99</v>
      </c>
      <c r="TN21">
        <v>99</v>
      </c>
      <c r="TO21">
        <v>1283</v>
      </c>
      <c r="TP21">
        <v>537</v>
      </c>
      <c r="TQ21">
        <v>178</v>
      </c>
      <c r="TR21">
        <v>178</v>
      </c>
      <c r="TS21">
        <v>178</v>
      </c>
      <c r="TT21">
        <v>105</v>
      </c>
      <c r="TU21">
        <v>105</v>
      </c>
      <c r="TV21">
        <v>136</v>
      </c>
      <c r="TW21">
        <v>105</v>
      </c>
      <c r="TX21">
        <v>82</v>
      </c>
      <c r="TY21">
        <v>82</v>
      </c>
      <c r="TZ21">
        <v>119</v>
      </c>
      <c r="UA21">
        <v>332</v>
      </c>
      <c r="UB21">
        <v>109</v>
      </c>
      <c r="UC21">
        <v>82</v>
      </c>
      <c r="UD21">
        <v>186</v>
      </c>
      <c r="UE21">
        <v>105</v>
      </c>
      <c r="UF21">
        <v>434</v>
      </c>
      <c r="UG21">
        <v>1577</v>
      </c>
      <c r="UH21">
        <v>105</v>
      </c>
      <c r="UI21">
        <v>105</v>
      </c>
      <c r="UJ21">
        <v>267</v>
      </c>
      <c r="UK21">
        <v>269</v>
      </c>
      <c r="UL21">
        <v>269</v>
      </c>
      <c r="UM21">
        <v>593</v>
      </c>
      <c r="UN21">
        <v>178</v>
      </c>
      <c r="UO21">
        <v>136</v>
      </c>
      <c r="UP21">
        <v>467</v>
      </c>
      <c r="UQ21">
        <v>63</v>
      </c>
      <c r="UR21">
        <v>195</v>
      </c>
      <c r="US21">
        <v>178</v>
      </c>
      <c r="UT21">
        <v>125</v>
      </c>
      <c r="UU21">
        <v>125</v>
      </c>
      <c r="UV21">
        <v>99</v>
      </c>
      <c r="UW21">
        <v>95</v>
      </c>
      <c r="UX21">
        <v>99</v>
      </c>
      <c r="UY21">
        <v>178</v>
      </c>
      <c r="UZ21">
        <v>178</v>
      </c>
      <c r="VA21">
        <v>105</v>
      </c>
      <c r="VB21">
        <v>99</v>
      </c>
      <c r="VC21">
        <v>99</v>
      </c>
      <c r="VD21">
        <v>105</v>
      </c>
      <c r="VE21">
        <v>105</v>
      </c>
      <c r="VF21">
        <v>105</v>
      </c>
      <c r="VG21">
        <v>710</v>
      </c>
      <c r="VH21">
        <v>710</v>
      </c>
      <c r="VI21">
        <v>79</v>
      </c>
      <c r="VJ21">
        <v>79</v>
      </c>
      <c r="VK21">
        <v>105</v>
      </c>
      <c r="VL21">
        <v>178</v>
      </c>
      <c r="VM21">
        <v>186</v>
      </c>
      <c r="VN21">
        <v>178</v>
      </c>
      <c r="VO21">
        <v>685</v>
      </c>
    </row>
    <row r="22" spans="1:587" x14ac:dyDescent="0.3">
      <c r="A22" t="s">
        <v>3017</v>
      </c>
      <c r="B22" cm="1">
        <f t="array" ref="B22:VO22">1*TRANSPOSE(_xlfn._xlws.FILTER(branch!$I$2:$I$591,branch!$D$2:$D$591&lt;&gt;0))</f>
        <v>99</v>
      </c>
      <c r="C22">
        <v>99</v>
      </c>
      <c r="D22">
        <v>178</v>
      </c>
      <c r="E22">
        <v>145</v>
      </c>
      <c r="F22">
        <v>536</v>
      </c>
      <c r="G22">
        <v>393</v>
      </c>
      <c r="H22">
        <v>393</v>
      </c>
      <c r="I22">
        <v>593</v>
      </c>
      <c r="J22">
        <v>434</v>
      </c>
      <c r="K22">
        <v>99</v>
      </c>
      <c r="L22">
        <v>140</v>
      </c>
      <c r="M22">
        <v>103</v>
      </c>
      <c r="N22">
        <v>109</v>
      </c>
      <c r="O22">
        <v>105</v>
      </c>
      <c r="P22">
        <v>99</v>
      </c>
      <c r="Q22">
        <v>187</v>
      </c>
      <c r="R22">
        <v>187</v>
      </c>
      <c r="S22">
        <v>187</v>
      </c>
      <c r="T22">
        <v>104</v>
      </c>
      <c r="U22">
        <v>112</v>
      </c>
      <c r="V22">
        <v>105</v>
      </c>
      <c r="W22">
        <v>82</v>
      </c>
      <c r="X22">
        <v>82</v>
      </c>
      <c r="Y22">
        <v>105</v>
      </c>
      <c r="Z22">
        <v>105</v>
      </c>
      <c r="AA22">
        <v>99</v>
      </c>
      <c r="AB22">
        <v>178</v>
      </c>
      <c r="AC22">
        <v>434</v>
      </c>
      <c r="AD22">
        <v>434</v>
      </c>
      <c r="AE22">
        <v>34</v>
      </c>
      <c r="AF22">
        <v>120</v>
      </c>
      <c r="AG22">
        <v>120</v>
      </c>
      <c r="AH22">
        <v>104</v>
      </c>
      <c r="AI22">
        <v>178</v>
      </c>
      <c r="AJ22">
        <v>178</v>
      </c>
      <c r="AK22">
        <v>178</v>
      </c>
      <c r="AL22">
        <v>178</v>
      </c>
      <c r="AM22">
        <v>120</v>
      </c>
      <c r="AN22">
        <v>178</v>
      </c>
      <c r="AO22">
        <v>99</v>
      </c>
      <c r="AP22">
        <v>178</v>
      </c>
      <c r="AQ22">
        <v>140</v>
      </c>
      <c r="AR22">
        <v>140</v>
      </c>
      <c r="AS22">
        <v>99</v>
      </c>
      <c r="AT22">
        <v>105</v>
      </c>
      <c r="AU22">
        <v>99</v>
      </c>
      <c r="AV22">
        <v>96</v>
      </c>
      <c r="AW22">
        <v>96</v>
      </c>
      <c r="AX22">
        <v>178</v>
      </c>
      <c r="AY22">
        <v>178</v>
      </c>
      <c r="AZ22">
        <v>120</v>
      </c>
      <c r="BA22">
        <v>120</v>
      </c>
      <c r="BB22">
        <v>178</v>
      </c>
      <c r="BC22">
        <v>178</v>
      </c>
      <c r="BD22">
        <v>178</v>
      </c>
      <c r="BE22">
        <v>105</v>
      </c>
      <c r="BF22">
        <v>99</v>
      </c>
      <c r="BG22">
        <v>99</v>
      </c>
      <c r="BH22">
        <v>99</v>
      </c>
      <c r="BI22">
        <v>82</v>
      </c>
      <c r="BJ22">
        <v>82</v>
      </c>
      <c r="BK22">
        <v>136</v>
      </c>
      <c r="BL22">
        <v>140</v>
      </c>
      <c r="BM22">
        <v>130</v>
      </c>
      <c r="BN22">
        <v>99</v>
      </c>
      <c r="BO22">
        <v>122</v>
      </c>
      <c r="BP22">
        <v>196</v>
      </c>
      <c r="BQ22">
        <v>178</v>
      </c>
      <c r="BR22">
        <v>136</v>
      </c>
      <c r="BS22">
        <v>178</v>
      </c>
      <c r="BT22">
        <v>124</v>
      </c>
      <c r="BU22">
        <v>178</v>
      </c>
      <c r="BV22">
        <v>178</v>
      </c>
      <c r="BW22">
        <v>178</v>
      </c>
      <c r="BX22">
        <v>99</v>
      </c>
      <c r="BY22">
        <v>136</v>
      </c>
      <c r="BZ22">
        <v>195</v>
      </c>
      <c r="CA22">
        <v>178</v>
      </c>
      <c r="CB22">
        <v>178</v>
      </c>
      <c r="CC22">
        <v>192</v>
      </c>
      <c r="CD22">
        <v>187</v>
      </c>
      <c r="CE22">
        <v>120</v>
      </c>
      <c r="CF22">
        <v>187</v>
      </c>
      <c r="CG22">
        <v>187</v>
      </c>
      <c r="CH22">
        <v>187</v>
      </c>
      <c r="CI22">
        <v>119</v>
      </c>
      <c r="CJ22">
        <v>119</v>
      </c>
      <c r="CK22">
        <v>570</v>
      </c>
      <c r="CL22">
        <v>570</v>
      </c>
      <c r="CM22">
        <v>140</v>
      </c>
      <c r="CN22">
        <v>140</v>
      </c>
      <c r="CO22">
        <v>842</v>
      </c>
      <c r="CP22">
        <v>105</v>
      </c>
      <c r="CQ22">
        <v>109</v>
      </c>
      <c r="CR22">
        <v>109</v>
      </c>
      <c r="CS22">
        <v>82</v>
      </c>
      <c r="CT22">
        <v>82</v>
      </c>
      <c r="CU22">
        <v>75</v>
      </c>
      <c r="CV22">
        <v>75</v>
      </c>
      <c r="CW22">
        <v>178</v>
      </c>
      <c r="CX22">
        <v>178</v>
      </c>
      <c r="CY22">
        <v>178</v>
      </c>
      <c r="CZ22">
        <v>178</v>
      </c>
      <c r="DA22">
        <v>82</v>
      </c>
      <c r="DB22">
        <v>82</v>
      </c>
      <c r="DC22">
        <v>710</v>
      </c>
      <c r="DD22">
        <v>69</v>
      </c>
      <c r="DE22">
        <v>70</v>
      </c>
      <c r="DF22">
        <v>710</v>
      </c>
      <c r="DG22">
        <v>710</v>
      </c>
      <c r="DH22">
        <v>710</v>
      </c>
      <c r="DI22">
        <v>144</v>
      </c>
      <c r="DJ22">
        <v>63</v>
      </c>
      <c r="DK22">
        <v>99</v>
      </c>
      <c r="DL22">
        <v>570</v>
      </c>
      <c r="DM22">
        <v>570</v>
      </c>
      <c r="DN22">
        <v>178</v>
      </c>
      <c r="DO22">
        <v>200</v>
      </c>
      <c r="DP22">
        <v>109</v>
      </c>
      <c r="DQ22">
        <v>109</v>
      </c>
      <c r="DR22">
        <v>79</v>
      </c>
      <c r="DS22">
        <v>79</v>
      </c>
      <c r="DT22">
        <v>434</v>
      </c>
      <c r="DU22">
        <v>740</v>
      </c>
      <c r="DV22">
        <v>228</v>
      </c>
      <c r="DW22">
        <v>115</v>
      </c>
      <c r="DX22">
        <v>195</v>
      </c>
      <c r="DY22">
        <v>124</v>
      </c>
      <c r="DZ22">
        <v>80</v>
      </c>
      <c r="EA22">
        <v>120</v>
      </c>
      <c r="EB22">
        <v>105</v>
      </c>
      <c r="EC22">
        <v>178</v>
      </c>
      <c r="ED22">
        <v>178</v>
      </c>
      <c r="EE22">
        <v>178</v>
      </c>
      <c r="EF22">
        <v>69</v>
      </c>
      <c r="EG22">
        <v>70</v>
      </c>
      <c r="EH22">
        <v>69</v>
      </c>
      <c r="EI22">
        <v>69</v>
      </c>
      <c r="EJ22">
        <v>132</v>
      </c>
      <c r="EK22">
        <v>132</v>
      </c>
      <c r="EL22">
        <v>710</v>
      </c>
      <c r="EM22">
        <v>710</v>
      </c>
      <c r="EN22">
        <v>66</v>
      </c>
      <c r="EO22">
        <v>66</v>
      </c>
      <c r="EP22">
        <v>710</v>
      </c>
      <c r="EQ22">
        <v>109</v>
      </c>
      <c r="ER22">
        <v>109</v>
      </c>
      <c r="ES22">
        <v>82</v>
      </c>
      <c r="ET22">
        <v>82</v>
      </c>
      <c r="EU22">
        <v>144</v>
      </c>
      <c r="EV22">
        <v>144</v>
      </c>
      <c r="EW22">
        <v>710</v>
      </c>
      <c r="EX22">
        <v>178</v>
      </c>
      <c r="EY22">
        <v>124</v>
      </c>
      <c r="EZ22">
        <v>99</v>
      </c>
      <c r="FA22">
        <v>99</v>
      </c>
      <c r="FB22">
        <v>99</v>
      </c>
      <c r="FC22">
        <v>761</v>
      </c>
      <c r="FD22">
        <v>187</v>
      </c>
      <c r="FE22">
        <v>761</v>
      </c>
      <c r="FF22">
        <v>761</v>
      </c>
      <c r="FG22">
        <v>761</v>
      </c>
      <c r="FH22">
        <v>178</v>
      </c>
      <c r="FI22">
        <v>178</v>
      </c>
      <c r="FJ22">
        <v>115</v>
      </c>
      <c r="FK22">
        <v>434</v>
      </c>
      <c r="FL22">
        <v>434</v>
      </c>
      <c r="FM22">
        <v>555</v>
      </c>
      <c r="FN22">
        <v>123</v>
      </c>
      <c r="FO22">
        <v>178</v>
      </c>
      <c r="FP22">
        <v>130</v>
      </c>
      <c r="FQ22">
        <v>178</v>
      </c>
      <c r="FR22">
        <v>103</v>
      </c>
      <c r="FS22">
        <v>238</v>
      </c>
      <c r="FT22">
        <v>434</v>
      </c>
      <c r="FU22">
        <v>178</v>
      </c>
      <c r="FV22">
        <v>132</v>
      </c>
      <c r="FW22">
        <v>178</v>
      </c>
      <c r="FX22">
        <v>144</v>
      </c>
      <c r="FY22">
        <v>144</v>
      </c>
      <c r="FZ22">
        <v>140</v>
      </c>
      <c r="GA22">
        <v>140</v>
      </c>
      <c r="GB22">
        <v>136</v>
      </c>
      <c r="GC22">
        <v>178</v>
      </c>
      <c r="GD22">
        <v>178</v>
      </c>
      <c r="GE22">
        <v>178</v>
      </c>
      <c r="GF22">
        <v>196</v>
      </c>
      <c r="GG22">
        <v>178</v>
      </c>
      <c r="GH22">
        <v>178</v>
      </c>
      <c r="GI22">
        <v>178</v>
      </c>
      <c r="GJ22">
        <v>130</v>
      </c>
      <c r="GK22">
        <v>99</v>
      </c>
      <c r="GL22">
        <v>136</v>
      </c>
      <c r="GM22">
        <v>178</v>
      </c>
      <c r="GN22">
        <v>105</v>
      </c>
      <c r="GO22">
        <v>187</v>
      </c>
      <c r="GP22">
        <v>187</v>
      </c>
      <c r="GQ22">
        <v>187</v>
      </c>
      <c r="GR22">
        <v>105</v>
      </c>
      <c r="GS22">
        <v>130</v>
      </c>
      <c r="GT22">
        <v>434</v>
      </c>
      <c r="GU22">
        <v>105</v>
      </c>
      <c r="GV22">
        <v>105</v>
      </c>
      <c r="GW22">
        <v>593</v>
      </c>
      <c r="GX22">
        <v>119</v>
      </c>
      <c r="GY22">
        <v>178</v>
      </c>
      <c r="GZ22">
        <v>120</v>
      </c>
      <c r="HA22">
        <v>178</v>
      </c>
      <c r="HB22">
        <v>178</v>
      </c>
      <c r="HC22">
        <v>178</v>
      </c>
      <c r="HD22">
        <v>646</v>
      </c>
      <c r="HE22">
        <v>161</v>
      </c>
      <c r="HF22">
        <v>161</v>
      </c>
      <c r="HG22">
        <v>434</v>
      </c>
      <c r="HH22">
        <v>434</v>
      </c>
      <c r="HI22">
        <v>187</v>
      </c>
      <c r="HJ22">
        <v>124</v>
      </c>
      <c r="HK22">
        <v>99</v>
      </c>
      <c r="HL22">
        <v>105</v>
      </c>
      <c r="HM22">
        <v>63</v>
      </c>
      <c r="HN22">
        <v>178</v>
      </c>
      <c r="HO22">
        <v>187</v>
      </c>
      <c r="HP22">
        <v>136</v>
      </c>
      <c r="HQ22">
        <v>187</v>
      </c>
      <c r="HR22">
        <v>187</v>
      </c>
      <c r="HS22">
        <v>99</v>
      </c>
      <c r="HT22">
        <v>99</v>
      </c>
      <c r="HU22">
        <v>105</v>
      </c>
      <c r="HV22">
        <v>178</v>
      </c>
      <c r="HW22">
        <v>178</v>
      </c>
      <c r="HX22">
        <v>1577</v>
      </c>
      <c r="HY22">
        <v>1577</v>
      </c>
      <c r="HZ22">
        <v>143</v>
      </c>
      <c r="IA22">
        <v>104</v>
      </c>
      <c r="IB22">
        <v>82</v>
      </c>
      <c r="IC22">
        <v>82</v>
      </c>
      <c r="ID22">
        <v>82</v>
      </c>
      <c r="IE22">
        <v>82</v>
      </c>
      <c r="IF22">
        <v>186</v>
      </c>
      <c r="IG22">
        <v>124</v>
      </c>
      <c r="IH22">
        <v>136</v>
      </c>
      <c r="II22">
        <v>99</v>
      </c>
      <c r="IJ22">
        <v>178</v>
      </c>
      <c r="IK22">
        <v>178</v>
      </c>
      <c r="IL22">
        <v>99</v>
      </c>
      <c r="IM22">
        <v>99</v>
      </c>
      <c r="IN22">
        <v>105</v>
      </c>
      <c r="IO22">
        <v>105</v>
      </c>
      <c r="IP22">
        <v>99</v>
      </c>
      <c r="IQ22">
        <v>99</v>
      </c>
      <c r="IR22">
        <v>100</v>
      </c>
      <c r="IS22">
        <v>100</v>
      </c>
      <c r="IT22">
        <v>200</v>
      </c>
      <c r="IU22">
        <v>143</v>
      </c>
      <c r="IV22">
        <v>82</v>
      </c>
      <c r="IW22">
        <v>82</v>
      </c>
      <c r="IX22">
        <v>82</v>
      </c>
      <c r="IY22">
        <v>412</v>
      </c>
      <c r="IZ22">
        <v>412</v>
      </c>
      <c r="JA22">
        <v>82</v>
      </c>
      <c r="JB22">
        <v>82</v>
      </c>
      <c r="JC22">
        <v>109</v>
      </c>
      <c r="JD22">
        <v>178</v>
      </c>
      <c r="JE22">
        <v>99</v>
      </c>
      <c r="JF22">
        <v>82</v>
      </c>
      <c r="JG22">
        <v>109</v>
      </c>
      <c r="JH22">
        <v>140</v>
      </c>
      <c r="JI22">
        <v>140</v>
      </c>
      <c r="JJ22">
        <v>196</v>
      </c>
      <c r="JK22">
        <v>178</v>
      </c>
      <c r="JL22">
        <v>178</v>
      </c>
      <c r="JM22">
        <v>99</v>
      </c>
      <c r="JN22">
        <v>178</v>
      </c>
      <c r="JO22">
        <v>350</v>
      </c>
      <c r="JP22">
        <v>99</v>
      </c>
      <c r="JQ22">
        <v>99</v>
      </c>
      <c r="JR22">
        <v>99</v>
      </c>
      <c r="JS22">
        <v>392</v>
      </c>
      <c r="JT22">
        <v>97</v>
      </c>
      <c r="JU22">
        <v>99</v>
      </c>
      <c r="JV22">
        <v>761</v>
      </c>
      <c r="JW22">
        <v>178</v>
      </c>
      <c r="JX22">
        <v>124</v>
      </c>
      <c r="JY22">
        <v>103</v>
      </c>
      <c r="JZ22">
        <v>178</v>
      </c>
      <c r="KA22">
        <v>746</v>
      </c>
      <c r="KB22">
        <v>646</v>
      </c>
      <c r="KC22">
        <v>178</v>
      </c>
      <c r="KD22">
        <v>178</v>
      </c>
      <c r="KE22">
        <v>178</v>
      </c>
      <c r="KF22">
        <v>178</v>
      </c>
      <c r="KG22">
        <v>190</v>
      </c>
      <c r="KH22">
        <v>105</v>
      </c>
      <c r="KI22">
        <v>136</v>
      </c>
      <c r="KJ22">
        <v>134</v>
      </c>
      <c r="KK22">
        <v>136</v>
      </c>
      <c r="KL22">
        <v>136</v>
      </c>
      <c r="KM22">
        <v>99</v>
      </c>
      <c r="KN22">
        <v>105</v>
      </c>
      <c r="KO22">
        <v>99</v>
      </c>
      <c r="KP22">
        <v>105</v>
      </c>
      <c r="KQ22">
        <v>99</v>
      </c>
      <c r="KR22">
        <v>99</v>
      </c>
      <c r="KS22">
        <v>99</v>
      </c>
      <c r="KT22">
        <v>74</v>
      </c>
      <c r="KU22">
        <v>74</v>
      </c>
      <c r="KV22">
        <v>99</v>
      </c>
      <c r="KW22">
        <v>178</v>
      </c>
      <c r="KX22">
        <v>178</v>
      </c>
      <c r="KY22">
        <v>99</v>
      </c>
      <c r="KZ22">
        <v>104</v>
      </c>
      <c r="LA22">
        <v>178</v>
      </c>
      <c r="LB22">
        <v>178</v>
      </c>
      <c r="LC22">
        <v>211</v>
      </c>
      <c r="LD22">
        <v>196</v>
      </c>
      <c r="LE22">
        <v>69</v>
      </c>
      <c r="LF22">
        <v>69</v>
      </c>
      <c r="LG22">
        <v>144</v>
      </c>
      <c r="LH22">
        <v>144</v>
      </c>
      <c r="LI22">
        <v>103</v>
      </c>
      <c r="LJ22">
        <v>99</v>
      </c>
      <c r="LK22">
        <v>99</v>
      </c>
      <c r="LL22">
        <v>82</v>
      </c>
      <c r="LM22">
        <v>82</v>
      </c>
      <c r="LN22">
        <v>82</v>
      </c>
      <c r="LO22">
        <v>82</v>
      </c>
      <c r="LP22">
        <v>82</v>
      </c>
      <c r="LQ22">
        <v>99</v>
      </c>
      <c r="LR22">
        <v>79</v>
      </c>
      <c r="LS22">
        <v>79</v>
      </c>
      <c r="LT22">
        <v>108</v>
      </c>
      <c r="LU22">
        <v>109</v>
      </c>
      <c r="LV22">
        <v>109</v>
      </c>
      <c r="LW22">
        <v>99</v>
      </c>
      <c r="LX22">
        <v>99</v>
      </c>
      <c r="LY22">
        <v>99</v>
      </c>
      <c r="LZ22">
        <v>178</v>
      </c>
      <c r="MA22">
        <v>393</v>
      </c>
      <c r="MB22">
        <v>350</v>
      </c>
      <c r="MC22">
        <v>350</v>
      </c>
      <c r="MD22">
        <v>434</v>
      </c>
      <c r="ME22">
        <v>1283</v>
      </c>
      <c r="MF22">
        <v>351</v>
      </c>
      <c r="MG22">
        <v>140</v>
      </c>
      <c r="MH22">
        <v>140</v>
      </c>
      <c r="MI22">
        <v>140</v>
      </c>
      <c r="MJ22">
        <v>186</v>
      </c>
      <c r="MK22">
        <v>157</v>
      </c>
      <c r="ML22">
        <v>144</v>
      </c>
      <c r="MM22">
        <v>186</v>
      </c>
      <c r="MN22">
        <v>195</v>
      </c>
      <c r="MO22">
        <v>105</v>
      </c>
      <c r="MP22">
        <v>119</v>
      </c>
      <c r="MQ22">
        <v>593</v>
      </c>
      <c r="MR22">
        <v>119</v>
      </c>
      <c r="MS22">
        <v>332</v>
      </c>
      <c r="MT22">
        <v>120</v>
      </c>
      <c r="MU22">
        <v>80</v>
      </c>
      <c r="MV22">
        <v>536</v>
      </c>
      <c r="MW22">
        <v>105</v>
      </c>
      <c r="MX22">
        <v>144</v>
      </c>
      <c r="MY22">
        <v>144</v>
      </c>
      <c r="MZ22">
        <v>105</v>
      </c>
      <c r="NA22">
        <v>384</v>
      </c>
      <c r="NB22">
        <v>99</v>
      </c>
      <c r="NC22">
        <v>99</v>
      </c>
      <c r="ND22">
        <v>434</v>
      </c>
      <c r="NE22">
        <v>98</v>
      </c>
      <c r="NF22">
        <v>107</v>
      </c>
      <c r="NG22">
        <v>140</v>
      </c>
      <c r="NH22">
        <v>107</v>
      </c>
      <c r="NI22">
        <v>140</v>
      </c>
      <c r="NJ22">
        <v>99</v>
      </c>
      <c r="NK22">
        <v>99</v>
      </c>
      <c r="NL22">
        <v>178</v>
      </c>
      <c r="NM22">
        <v>103</v>
      </c>
      <c r="NN22">
        <v>103</v>
      </c>
      <c r="NO22">
        <v>103</v>
      </c>
      <c r="NP22">
        <v>120</v>
      </c>
      <c r="NQ22">
        <v>120</v>
      </c>
      <c r="NR22">
        <v>570</v>
      </c>
      <c r="NS22">
        <v>99</v>
      </c>
      <c r="NT22">
        <v>393</v>
      </c>
      <c r="NU22">
        <v>434</v>
      </c>
      <c r="NV22">
        <v>593</v>
      </c>
      <c r="NW22">
        <v>178</v>
      </c>
      <c r="NX22">
        <v>178</v>
      </c>
      <c r="NY22">
        <v>178</v>
      </c>
      <c r="NZ22">
        <v>178</v>
      </c>
      <c r="OA22">
        <v>136</v>
      </c>
      <c r="OB22">
        <v>122</v>
      </c>
      <c r="OC22">
        <v>82</v>
      </c>
      <c r="OD22">
        <v>82</v>
      </c>
      <c r="OE22">
        <v>105</v>
      </c>
      <c r="OF22">
        <v>434</v>
      </c>
      <c r="OG22">
        <v>350</v>
      </c>
      <c r="OH22">
        <v>99</v>
      </c>
      <c r="OI22">
        <v>99</v>
      </c>
      <c r="OJ22">
        <v>99</v>
      </c>
      <c r="OK22">
        <v>99</v>
      </c>
      <c r="OL22">
        <v>99</v>
      </c>
      <c r="OM22">
        <v>99</v>
      </c>
      <c r="ON22">
        <v>200</v>
      </c>
      <c r="OO22">
        <v>200</v>
      </c>
      <c r="OP22">
        <v>119</v>
      </c>
      <c r="OQ22">
        <v>105</v>
      </c>
      <c r="OR22">
        <v>105</v>
      </c>
      <c r="OS22">
        <v>195</v>
      </c>
      <c r="OT22">
        <v>710</v>
      </c>
      <c r="OU22">
        <v>82</v>
      </c>
      <c r="OV22">
        <v>80</v>
      </c>
      <c r="OW22">
        <v>107</v>
      </c>
      <c r="OX22">
        <v>140</v>
      </c>
      <c r="OY22">
        <v>136</v>
      </c>
      <c r="OZ22">
        <v>136</v>
      </c>
      <c r="PA22">
        <v>104</v>
      </c>
      <c r="PB22">
        <v>196</v>
      </c>
      <c r="PC22">
        <v>80</v>
      </c>
      <c r="PD22">
        <v>562</v>
      </c>
      <c r="PE22">
        <v>120</v>
      </c>
      <c r="PF22">
        <v>267</v>
      </c>
      <c r="PG22">
        <v>351</v>
      </c>
      <c r="PH22">
        <v>593</v>
      </c>
      <c r="PI22">
        <v>178</v>
      </c>
      <c r="PJ22">
        <v>99</v>
      </c>
      <c r="PK22">
        <v>134</v>
      </c>
      <c r="PL22">
        <v>103</v>
      </c>
      <c r="PM22">
        <v>103</v>
      </c>
      <c r="PN22">
        <v>710</v>
      </c>
      <c r="PO22">
        <v>710</v>
      </c>
      <c r="PP22">
        <v>710</v>
      </c>
      <c r="PQ22">
        <v>185</v>
      </c>
      <c r="PR22">
        <v>178</v>
      </c>
      <c r="PS22">
        <v>99</v>
      </c>
      <c r="PT22">
        <v>178</v>
      </c>
      <c r="PU22">
        <v>178</v>
      </c>
      <c r="PV22">
        <v>119</v>
      </c>
      <c r="PW22">
        <v>120</v>
      </c>
      <c r="PX22">
        <v>136</v>
      </c>
      <c r="PY22">
        <v>434</v>
      </c>
      <c r="PZ22">
        <v>512</v>
      </c>
      <c r="QA22">
        <v>99</v>
      </c>
      <c r="QB22">
        <v>80</v>
      </c>
      <c r="QC22">
        <v>269</v>
      </c>
      <c r="QD22">
        <v>178</v>
      </c>
      <c r="QE22">
        <v>140</v>
      </c>
      <c r="QF22">
        <v>136</v>
      </c>
      <c r="QG22">
        <v>731</v>
      </c>
      <c r="QH22">
        <v>731</v>
      </c>
      <c r="QI22">
        <v>660</v>
      </c>
      <c r="QJ22">
        <v>660</v>
      </c>
      <c r="QK22">
        <v>136</v>
      </c>
      <c r="QL22">
        <v>99</v>
      </c>
      <c r="QM22">
        <v>99</v>
      </c>
      <c r="QN22">
        <v>350</v>
      </c>
      <c r="QO22">
        <v>350</v>
      </c>
      <c r="QP22">
        <v>99</v>
      </c>
      <c r="QQ22">
        <v>178</v>
      </c>
      <c r="QR22">
        <v>99</v>
      </c>
      <c r="QS22">
        <v>109</v>
      </c>
      <c r="QT22">
        <v>143</v>
      </c>
      <c r="QU22">
        <v>434</v>
      </c>
      <c r="QV22">
        <v>178</v>
      </c>
      <c r="QW22">
        <v>99</v>
      </c>
      <c r="QX22">
        <v>140</v>
      </c>
      <c r="QY22">
        <v>190</v>
      </c>
      <c r="QZ22">
        <v>195</v>
      </c>
      <c r="RA22">
        <v>135</v>
      </c>
      <c r="RB22">
        <v>195</v>
      </c>
      <c r="RC22">
        <v>710</v>
      </c>
      <c r="RD22">
        <v>136</v>
      </c>
      <c r="RE22">
        <v>105</v>
      </c>
      <c r="RF22">
        <v>124</v>
      </c>
      <c r="RG22">
        <v>99</v>
      </c>
      <c r="RH22">
        <v>353</v>
      </c>
      <c r="RI22">
        <v>178</v>
      </c>
      <c r="RJ22">
        <v>99</v>
      </c>
      <c r="RK22">
        <v>136</v>
      </c>
      <c r="RL22">
        <v>99</v>
      </c>
      <c r="RM22">
        <v>187</v>
      </c>
      <c r="RN22">
        <v>99</v>
      </c>
      <c r="RO22">
        <v>761</v>
      </c>
      <c r="RP22">
        <v>761</v>
      </c>
      <c r="RQ22">
        <v>99</v>
      </c>
      <c r="RR22">
        <v>99</v>
      </c>
      <c r="RS22">
        <v>99</v>
      </c>
      <c r="RT22">
        <v>99</v>
      </c>
      <c r="RU22">
        <v>136</v>
      </c>
      <c r="RV22">
        <v>124</v>
      </c>
      <c r="RW22">
        <v>99</v>
      </c>
      <c r="RX22">
        <v>99</v>
      </c>
      <c r="RY22">
        <v>136</v>
      </c>
      <c r="RZ22">
        <v>105</v>
      </c>
      <c r="SA22">
        <v>136</v>
      </c>
      <c r="SB22">
        <v>100</v>
      </c>
      <c r="SC22">
        <v>99</v>
      </c>
      <c r="SD22">
        <v>178</v>
      </c>
      <c r="SE22">
        <v>99</v>
      </c>
      <c r="SF22">
        <v>99</v>
      </c>
      <c r="SG22">
        <v>99</v>
      </c>
      <c r="SH22">
        <v>99</v>
      </c>
      <c r="SI22">
        <v>82</v>
      </c>
      <c r="SJ22">
        <v>80</v>
      </c>
      <c r="SK22">
        <v>99</v>
      </c>
      <c r="SL22">
        <v>99</v>
      </c>
      <c r="SM22">
        <v>95</v>
      </c>
      <c r="SN22">
        <v>710</v>
      </c>
      <c r="SO22">
        <v>710</v>
      </c>
      <c r="SP22">
        <v>350</v>
      </c>
      <c r="SQ22">
        <v>120</v>
      </c>
      <c r="SR22">
        <v>104</v>
      </c>
      <c r="SS22">
        <v>710</v>
      </c>
      <c r="ST22">
        <v>710</v>
      </c>
      <c r="SU22">
        <v>99</v>
      </c>
      <c r="SV22">
        <v>99</v>
      </c>
      <c r="SW22">
        <v>80</v>
      </c>
      <c r="SX22">
        <v>178</v>
      </c>
      <c r="SY22">
        <v>269</v>
      </c>
      <c r="SZ22">
        <v>325</v>
      </c>
      <c r="TA22">
        <v>350</v>
      </c>
      <c r="TB22">
        <v>119</v>
      </c>
      <c r="TC22">
        <v>120</v>
      </c>
      <c r="TD22">
        <v>140</v>
      </c>
      <c r="TE22">
        <v>140</v>
      </c>
      <c r="TF22">
        <v>99</v>
      </c>
      <c r="TG22">
        <v>105</v>
      </c>
      <c r="TH22">
        <v>100</v>
      </c>
      <c r="TI22">
        <v>120</v>
      </c>
      <c r="TJ22">
        <v>139</v>
      </c>
      <c r="TK22">
        <v>135</v>
      </c>
      <c r="TL22">
        <v>190</v>
      </c>
      <c r="TM22">
        <v>99</v>
      </c>
      <c r="TN22">
        <v>99</v>
      </c>
      <c r="TO22">
        <v>1283</v>
      </c>
      <c r="TP22">
        <v>537</v>
      </c>
      <c r="TQ22">
        <v>178</v>
      </c>
      <c r="TR22">
        <v>178</v>
      </c>
      <c r="TS22">
        <v>178</v>
      </c>
      <c r="TT22">
        <v>105</v>
      </c>
      <c r="TU22">
        <v>105</v>
      </c>
      <c r="TV22">
        <v>136</v>
      </c>
      <c r="TW22">
        <v>105</v>
      </c>
      <c r="TX22">
        <v>82</v>
      </c>
      <c r="TY22">
        <v>82</v>
      </c>
      <c r="TZ22">
        <v>119</v>
      </c>
      <c r="UA22">
        <v>332</v>
      </c>
      <c r="UB22">
        <v>109</v>
      </c>
      <c r="UC22">
        <v>82</v>
      </c>
      <c r="UD22">
        <v>186</v>
      </c>
      <c r="UE22">
        <v>105</v>
      </c>
      <c r="UF22">
        <v>434</v>
      </c>
      <c r="UG22">
        <v>1577</v>
      </c>
      <c r="UH22">
        <v>105</v>
      </c>
      <c r="UI22">
        <v>105</v>
      </c>
      <c r="UJ22">
        <v>267</v>
      </c>
      <c r="UK22">
        <v>269</v>
      </c>
      <c r="UL22">
        <v>269</v>
      </c>
      <c r="UM22">
        <v>593</v>
      </c>
      <c r="UN22">
        <v>178</v>
      </c>
      <c r="UO22">
        <v>136</v>
      </c>
      <c r="UP22">
        <v>467</v>
      </c>
      <c r="UQ22">
        <v>63</v>
      </c>
      <c r="UR22">
        <v>195</v>
      </c>
      <c r="US22">
        <v>178</v>
      </c>
      <c r="UT22">
        <v>125</v>
      </c>
      <c r="UU22">
        <v>125</v>
      </c>
      <c r="UV22">
        <v>99</v>
      </c>
      <c r="UW22">
        <v>95</v>
      </c>
      <c r="UX22">
        <v>99</v>
      </c>
      <c r="UY22">
        <v>178</v>
      </c>
      <c r="UZ22">
        <v>178</v>
      </c>
      <c r="VA22">
        <v>105</v>
      </c>
      <c r="VB22">
        <v>99</v>
      </c>
      <c r="VC22">
        <v>99</v>
      </c>
      <c r="VD22">
        <v>105</v>
      </c>
      <c r="VE22">
        <v>105</v>
      </c>
      <c r="VF22">
        <v>105</v>
      </c>
      <c r="VG22">
        <v>710</v>
      </c>
      <c r="VH22">
        <v>710</v>
      </c>
      <c r="VI22">
        <v>79</v>
      </c>
      <c r="VJ22">
        <v>79</v>
      </c>
      <c r="VK22">
        <v>105</v>
      </c>
      <c r="VL22">
        <v>178</v>
      </c>
      <c r="VM22">
        <v>186</v>
      </c>
      <c r="VN22">
        <v>178</v>
      </c>
      <c r="VO22">
        <v>685</v>
      </c>
    </row>
    <row r="23" spans="1:587" x14ac:dyDescent="0.3">
      <c r="A23" t="s">
        <v>3018</v>
      </c>
      <c r="B23" cm="1">
        <f t="array" ref="B23:VO23">1*TRANSPOSE(_xlfn._xlws.FILTER(branch!$I$2:$I$591,branch!$D$2:$D$591&lt;&gt;0))</f>
        <v>99</v>
      </c>
      <c r="C23">
        <v>99</v>
      </c>
      <c r="D23">
        <v>178</v>
      </c>
      <c r="E23">
        <v>145</v>
      </c>
      <c r="F23">
        <v>536</v>
      </c>
      <c r="G23">
        <v>393</v>
      </c>
      <c r="H23">
        <v>393</v>
      </c>
      <c r="I23">
        <v>593</v>
      </c>
      <c r="J23">
        <v>434</v>
      </c>
      <c r="K23">
        <v>99</v>
      </c>
      <c r="L23">
        <v>140</v>
      </c>
      <c r="M23">
        <v>103</v>
      </c>
      <c r="N23">
        <v>109</v>
      </c>
      <c r="O23">
        <v>105</v>
      </c>
      <c r="P23">
        <v>99</v>
      </c>
      <c r="Q23">
        <v>187</v>
      </c>
      <c r="R23">
        <v>187</v>
      </c>
      <c r="S23">
        <v>187</v>
      </c>
      <c r="T23">
        <v>104</v>
      </c>
      <c r="U23">
        <v>112</v>
      </c>
      <c r="V23">
        <v>105</v>
      </c>
      <c r="W23">
        <v>82</v>
      </c>
      <c r="X23">
        <v>82</v>
      </c>
      <c r="Y23">
        <v>105</v>
      </c>
      <c r="Z23">
        <v>105</v>
      </c>
      <c r="AA23">
        <v>99</v>
      </c>
      <c r="AB23">
        <v>178</v>
      </c>
      <c r="AC23">
        <v>434</v>
      </c>
      <c r="AD23">
        <v>434</v>
      </c>
      <c r="AE23">
        <v>34</v>
      </c>
      <c r="AF23">
        <v>120</v>
      </c>
      <c r="AG23">
        <v>120</v>
      </c>
      <c r="AH23">
        <v>104</v>
      </c>
      <c r="AI23">
        <v>178</v>
      </c>
      <c r="AJ23">
        <v>178</v>
      </c>
      <c r="AK23">
        <v>178</v>
      </c>
      <c r="AL23">
        <v>178</v>
      </c>
      <c r="AM23">
        <v>120</v>
      </c>
      <c r="AN23">
        <v>178</v>
      </c>
      <c r="AO23">
        <v>99</v>
      </c>
      <c r="AP23">
        <v>178</v>
      </c>
      <c r="AQ23">
        <v>140</v>
      </c>
      <c r="AR23">
        <v>140</v>
      </c>
      <c r="AS23">
        <v>99</v>
      </c>
      <c r="AT23">
        <v>105</v>
      </c>
      <c r="AU23">
        <v>99</v>
      </c>
      <c r="AV23">
        <v>96</v>
      </c>
      <c r="AW23">
        <v>96</v>
      </c>
      <c r="AX23">
        <v>178</v>
      </c>
      <c r="AY23">
        <v>178</v>
      </c>
      <c r="AZ23">
        <v>120</v>
      </c>
      <c r="BA23">
        <v>120</v>
      </c>
      <c r="BB23">
        <v>178</v>
      </c>
      <c r="BC23">
        <v>178</v>
      </c>
      <c r="BD23">
        <v>178</v>
      </c>
      <c r="BE23">
        <v>105</v>
      </c>
      <c r="BF23">
        <v>99</v>
      </c>
      <c r="BG23">
        <v>99</v>
      </c>
      <c r="BH23">
        <v>99</v>
      </c>
      <c r="BI23">
        <v>82</v>
      </c>
      <c r="BJ23">
        <v>82</v>
      </c>
      <c r="BK23">
        <v>136</v>
      </c>
      <c r="BL23">
        <v>140</v>
      </c>
      <c r="BM23">
        <v>130</v>
      </c>
      <c r="BN23">
        <v>99</v>
      </c>
      <c r="BO23">
        <v>122</v>
      </c>
      <c r="BP23">
        <v>196</v>
      </c>
      <c r="BQ23">
        <v>178</v>
      </c>
      <c r="BR23">
        <v>136</v>
      </c>
      <c r="BS23">
        <v>178</v>
      </c>
      <c r="BT23">
        <v>124</v>
      </c>
      <c r="BU23">
        <v>178</v>
      </c>
      <c r="BV23">
        <v>178</v>
      </c>
      <c r="BW23">
        <v>178</v>
      </c>
      <c r="BX23">
        <v>99</v>
      </c>
      <c r="BY23">
        <v>136</v>
      </c>
      <c r="BZ23">
        <v>195</v>
      </c>
      <c r="CA23">
        <v>178</v>
      </c>
      <c r="CB23">
        <v>178</v>
      </c>
      <c r="CC23">
        <v>192</v>
      </c>
      <c r="CD23">
        <v>187</v>
      </c>
      <c r="CE23">
        <v>120</v>
      </c>
      <c r="CF23">
        <v>187</v>
      </c>
      <c r="CG23">
        <v>187</v>
      </c>
      <c r="CH23">
        <v>187</v>
      </c>
      <c r="CI23">
        <v>119</v>
      </c>
      <c r="CJ23">
        <v>119</v>
      </c>
      <c r="CK23">
        <v>570</v>
      </c>
      <c r="CL23">
        <v>570</v>
      </c>
      <c r="CM23">
        <v>140</v>
      </c>
      <c r="CN23">
        <v>140</v>
      </c>
      <c r="CO23">
        <v>842</v>
      </c>
      <c r="CP23">
        <v>105</v>
      </c>
      <c r="CQ23">
        <v>109</v>
      </c>
      <c r="CR23">
        <v>109</v>
      </c>
      <c r="CS23">
        <v>82</v>
      </c>
      <c r="CT23">
        <v>82</v>
      </c>
      <c r="CU23">
        <v>75</v>
      </c>
      <c r="CV23">
        <v>75</v>
      </c>
      <c r="CW23">
        <v>178</v>
      </c>
      <c r="CX23">
        <v>178</v>
      </c>
      <c r="CY23">
        <v>178</v>
      </c>
      <c r="CZ23">
        <v>178</v>
      </c>
      <c r="DA23">
        <v>82</v>
      </c>
      <c r="DB23">
        <v>82</v>
      </c>
      <c r="DC23">
        <v>710</v>
      </c>
      <c r="DD23">
        <v>69</v>
      </c>
      <c r="DE23">
        <v>70</v>
      </c>
      <c r="DF23">
        <v>710</v>
      </c>
      <c r="DG23">
        <v>710</v>
      </c>
      <c r="DH23">
        <v>710</v>
      </c>
      <c r="DI23">
        <v>144</v>
      </c>
      <c r="DJ23">
        <v>63</v>
      </c>
      <c r="DK23">
        <v>99</v>
      </c>
      <c r="DL23">
        <v>570</v>
      </c>
      <c r="DM23">
        <v>570</v>
      </c>
      <c r="DN23">
        <v>178</v>
      </c>
      <c r="DO23">
        <v>200</v>
      </c>
      <c r="DP23">
        <v>109</v>
      </c>
      <c r="DQ23">
        <v>109</v>
      </c>
      <c r="DR23">
        <v>79</v>
      </c>
      <c r="DS23">
        <v>79</v>
      </c>
      <c r="DT23">
        <v>434</v>
      </c>
      <c r="DU23">
        <v>740</v>
      </c>
      <c r="DV23">
        <v>228</v>
      </c>
      <c r="DW23">
        <v>115</v>
      </c>
      <c r="DX23">
        <v>195</v>
      </c>
      <c r="DY23">
        <v>124</v>
      </c>
      <c r="DZ23">
        <v>80</v>
      </c>
      <c r="EA23">
        <v>120</v>
      </c>
      <c r="EB23">
        <v>105</v>
      </c>
      <c r="EC23">
        <v>178</v>
      </c>
      <c r="ED23">
        <v>178</v>
      </c>
      <c r="EE23">
        <v>178</v>
      </c>
      <c r="EF23">
        <v>69</v>
      </c>
      <c r="EG23">
        <v>70</v>
      </c>
      <c r="EH23">
        <v>69</v>
      </c>
      <c r="EI23">
        <v>69</v>
      </c>
      <c r="EJ23">
        <v>132</v>
      </c>
      <c r="EK23">
        <v>132</v>
      </c>
      <c r="EL23">
        <v>710</v>
      </c>
      <c r="EM23">
        <v>710</v>
      </c>
      <c r="EN23">
        <v>66</v>
      </c>
      <c r="EO23">
        <v>66</v>
      </c>
      <c r="EP23">
        <v>710</v>
      </c>
      <c r="EQ23">
        <v>109</v>
      </c>
      <c r="ER23">
        <v>109</v>
      </c>
      <c r="ES23">
        <v>82</v>
      </c>
      <c r="ET23">
        <v>82</v>
      </c>
      <c r="EU23">
        <v>144</v>
      </c>
      <c r="EV23">
        <v>144</v>
      </c>
      <c r="EW23">
        <v>710</v>
      </c>
      <c r="EX23">
        <v>178</v>
      </c>
      <c r="EY23">
        <v>124</v>
      </c>
      <c r="EZ23">
        <v>99</v>
      </c>
      <c r="FA23">
        <v>99</v>
      </c>
      <c r="FB23">
        <v>99</v>
      </c>
      <c r="FC23">
        <v>761</v>
      </c>
      <c r="FD23">
        <v>187</v>
      </c>
      <c r="FE23">
        <v>761</v>
      </c>
      <c r="FF23">
        <v>761</v>
      </c>
      <c r="FG23">
        <v>761</v>
      </c>
      <c r="FH23">
        <v>178</v>
      </c>
      <c r="FI23">
        <v>178</v>
      </c>
      <c r="FJ23">
        <v>115</v>
      </c>
      <c r="FK23">
        <v>434</v>
      </c>
      <c r="FL23">
        <v>434</v>
      </c>
      <c r="FM23">
        <v>555</v>
      </c>
      <c r="FN23">
        <v>123</v>
      </c>
      <c r="FO23">
        <v>178</v>
      </c>
      <c r="FP23">
        <v>130</v>
      </c>
      <c r="FQ23">
        <v>178</v>
      </c>
      <c r="FR23">
        <v>103</v>
      </c>
      <c r="FS23">
        <v>238</v>
      </c>
      <c r="FT23">
        <v>434</v>
      </c>
      <c r="FU23">
        <v>178</v>
      </c>
      <c r="FV23">
        <v>132</v>
      </c>
      <c r="FW23">
        <v>178</v>
      </c>
      <c r="FX23">
        <v>144</v>
      </c>
      <c r="FY23">
        <v>144</v>
      </c>
      <c r="FZ23">
        <v>140</v>
      </c>
      <c r="GA23">
        <v>140</v>
      </c>
      <c r="GB23">
        <v>136</v>
      </c>
      <c r="GC23">
        <v>178</v>
      </c>
      <c r="GD23">
        <v>178</v>
      </c>
      <c r="GE23">
        <v>178</v>
      </c>
      <c r="GF23">
        <v>196</v>
      </c>
      <c r="GG23">
        <v>178</v>
      </c>
      <c r="GH23">
        <v>178</v>
      </c>
      <c r="GI23">
        <v>178</v>
      </c>
      <c r="GJ23">
        <v>130</v>
      </c>
      <c r="GK23">
        <v>99</v>
      </c>
      <c r="GL23">
        <v>136</v>
      </c>
      <c r="GM23">
        <v>178</v>
      </c>
      <c r="GN23">
        <v>105</v>
      </c>
      <c r="GO23">
        <v>187</v>
      </c>
      <c r="GP23">
        <v>187</v>
      </c>
      <c r="GQ23">
        <v>187</v>
      </c>
      <c r="GR23">
        <v>105</v>
      </c>
      <c r="GS23">
        <v>130</v>
      </c>
      <c r="GT23">
        <v>434</v>
      </c>
      <c r="GU23">
        <v>105</v>
      </c>
      <c r="GV23">
        <v>105</v>
      </c>
      <c r="GW23">
        <v>593</v>
      </c>
      <c r="GX23">
        <v>119</v>
      </c>
      <c r="GY23">
        <v>178</v>
      </c>
      <c r="GZ23">
        <v>120</v>
      </c>
      <c r="HA23">
        <v>178</v>
      </c>
      <c r="HB23">
        <v>178</v>
      </c>
      <c r="HC23">
        <v>178</v>
      </c>
      <c r="HD23">
        <v>646</v>
      </c>
      <c r="HE23">
        <v>161</v>
      </c>
      <c r="HF23">
        <v>161</v>
      </c>
      <c r="HG23">
        <v>434</v>
      </c>
      <c r="HH23">
        <v>434</v>
      </c>
      <c r="HI23">
        <v>187</v>
      </c>
      <c r="HJ23">
        <v>124</v>
      </c>
      <c r="HK23">
        <v>99</v>
      </c>
      <c r="HL23">
        <v>105</v>
      </c>
      <c r="HM23">
        <v>63</v>
      </c>
      <c r="HN23">
        <v>178</v>
      </c>
      <c r="HO23">
        <v>187</v>
      </c>
      <c r="HP23">
        <v>136</v>
      </c>
      <c r="HQ23">
        <v>187</v>
      </c>
      <c r="HR23">
        <v>187</v>
      </c>
      <c r="HS23">
        <v>99</v>
      </c>
      <c r="HT23">
        <v>99</v>
      </c>
      <c r="HU23">
        <v>105</v>
      </c>
      <c r="HV23">
        <v>178</v>
      </c>
      <c r="HW23">
        <v>178</v>
      </c>
      <c r="HX23">
        <v>1577</v>
      </c>
      <c r="HY23">
        <v>1577</v>
      </c>
      <c r="HZ23">
        <v>143</v>
      </c>
      <c r="IA23">
        <v>104</v>
      </c>
      <c r="IB23">
        <v>82</v>
      </c>
      <c r="IC23">
        <v>82</v>
      </c>
      <c r="ID23">
        <v>82</v>
      </c>
      <c r="IE23">
        <v>82</v>
      </c>
      <c r="IF23">
        <v>186</v>
      </c>
      <c r="IG23">
        <v>124</v>
      </c>
      <c r="IH23">
        <v>136</v>
      </c>
      <c r="II23">
        <v>99</v>
      </c>
      <c r="IJ23">
        <v>178</v>
      </c>
      <c r="IK23">
        <v>178</v>
      </c>
      <c r="IL23">
        <v>99</v>
      </c>
      <c r="IM23">
        <v>99</v>
      </c>
      <c r="IN23">
        <v>105</v>
      </c>
      <c r="IO23">
        <v>105</v>
      </c>
      <c r="IP23">
        <v>99</v>
      </c>
      <c r="IQ23">
        <v>99</v>
      </c>
      <c r="IR23">
        <v>100</v>
      </c>
      <c r="IS23">
        <v>100</v>
      </c>
      <c r="IT23">
        <v>200</v>
      </c>
      <c r="IU23">
        <v>143</v>
      </c>
      <c r="IV23">
        <v>82</v>
      </c>
      <c r="IW23">
        <v>82</v>
      </c>
      <c r="IX23">
        <v>82</v>
      </c>
      <c r="IY23">
        <v>412</v>
      </c>
      <c r="IZ23">
        <v>412</v>
      </c>
      <c r="JA23">
        <v>82</v>
      </c>
      <c r="JB23">
        <v>82</v>
      </c>
      <c r="JC23">
        <v>109</v>
      </c>
      <c r="JD23">
        <v>178</v>
      </c>
      <c r="JE23">
        <v>99</v>
      </c>
      <c r="JF23">
        <v>82</v>
      </c>
      <c r="JG23">
        <v>109</v>
      </c>
      <c r="JH23">
        <v>140</v>
      </c>
      <c r="JI23">
        <v>140</v>
      </c>
      <c r="JJ23">
        <v>196</v>
      </c>
      <c r="JK23">
        <v>178</v>
      </c>
      <c r="JL23">
        <v>178</v>
      </c>
      <c r="JM23">
        <v>99</v>
      </c>
      <c r="JN23">
        <v>178</v>
      </c>
      <c r="JO23">
        <v>350</v>
      </c>
      <c r="JP23">
        <v>99</v>
      </c>
      <c r="JQ23">
        <v>99</v>
      </c>
      <c r="JR23">
        <v>99</v>
      </c>
      <c r="JS23">
        <v>392</v>
      </c>
      <c r="JT23">
        <v>97</v>
      </c>
      <c r="JU23">
        <v>99</v>
      </c>
      <c r="JV23">
        <v>761</v>
      </c>
      <c r="JW23">
        <v>178</v>
      </c>
      <c r="JX23">
        <v>124</v>
      </c>
      <c r="JY23">
        <v>103</v>
      </c>
      <c r="JZ23">
        <v>178</v>
      </c>
      <c r="KA23">
        <v>746</v>
      </c>
      <c r="KB23">
        <v>646</v>
      </c>
      <c r="KC23">
        <v>178</v>
      </c>
      <c r="KD23">
        <v>178</v>
      </c>
      <c r="KE23">
        <v>178</v>
      </c>
      <c r="KF23">
        <v>178</v>
      </c>
      <c r="KG23">
        <v>190</v>
      </c>
      <c r="KH23">
        <v>105</v>
      </c>
      <c r="KI23">
        <v>136</v>
      </c>
      <c r="KJ23">
        <v>134</v>
      </c>
      <c r="KK23">
        <v>136</v>
      </c>
      <c r="KL23">
        <v>136</v>
      </c>
      <c r="KM23">
        <v>99</v>
      </c>
      <c r="KN23">
        <v>105</v>
      </c>
      <c r="KO23">
        <v>99</v>
      </c>
      <c r="KP23">
        <v>105</v>
      </c>
      <c r="KQ23">
        <v>99</v>
      </c>
      <c r="KR23">
        <v>99</v>
      </c>
      <c r="KS23">
        <v>99</v>
      </c>
      <c r="KT23">
        <v>74</v>
      </c>
      <c r="KU23">
        <v>74</v>
      </c>
      <c r="KV23">
        <v>99</v>
      </c>
      <c r="KW23">
        <v>178</v>
      </c>
      <c r="KX23">
        <v>178</v>
      </c>
      <c r="KY23">
        <v>99</v>
      </c>
      <c r="KZ23">
        <v>104</v>
      </c>
      <c r="LA23">
        <v>178</v>
      </c>
      <c r="LB23">
        <v>178</v>
      </c>
      <c r="LC23">
        <v>211</v>
      </c>
      <c r="LD23">
        <v>196</v>
      </c>
      <c r="LE23">
        <v>69</v>
      </c>
      <c r="LF23">
        <v>69</v>
      </c>
      <c r="LG23">
        <v>144</v>
      </c>
      <c r="LH23">
        <v>144</v>
      </c>
      <c r="LI23">
        <v>103</v>
      </c>
      <c r="LJ23">
        <v>99</v>
      </c>
      <c r="LK23">
        <v>99</v>
      </c>
      <c r="LL23">
        <v>82</v>
      </c>
      <c r="LM23">
        <v>82</v>
      </c>
      <c r="LN23">
        <v>82</v>
      </c>
      <c r="LO23">
        <v>82</v>
      </c>
      <c r="LP23">
        <v>82</v>
      </c>
      <c r="LQ23">
        <v>99</v>
      </c>
      <c r="LR23">
        <v>79</v>
      </c>
      <c r="LS23">
        <v>79</v>
      </c>
      <c r="LT23">
        <v>108</v>
      </c>
      <c r="LU23">
        <v>109</v>
      </c>
      <c r="LV23">
        <v>109</v>
      </c>
      <c r="LW23">
        <v>99</v>
      </c>
      <c r="LX23">
        <v>99</v>
      </c>
      <c r="LY23">
        <v>99</v>
      </c>
      <c r="LZ23">
        <v>178</v>
      </c>
      <c r="MA23">
        <v>393</v>
      </c>
      <c r="MB23">
        <v>350</v>
      </c>
      <c r="MC23">
        <v>350</v>
      </c>
      <c r="MD23">
        <v>434</v>
      </c>
      <c r="ME23">
        <v>1283</v>
      </c>
      <c r="MF23">
        <v>351</v>
      </c>
      <c r="MG23">
        <v>140</v>
      </c>
      <c r="MH23">
        <v>140</v>
      </c>
      <c r="MI23">
        <v>140</v>
      </c>
      <c r="MJ23">
        <v>186</v>
      </c>
      <c r="MK23">
        <v>157</v>
      </c>
      <c r="ML23">
        <v>144</v>
      </c>
      <c r="MM23">
        <v>186</v>
      </c>
      <c r="MN23">
        <v>195</v>
      </c>
      <c r="MO23">
        <v>105</v>
      </c>
      <c r="MP23">
        <v>119</v>
      </c>
      <c r="MQ23">
        <v>593</v>
      </c>
      <c r="MR23">
        <v>119</v>
      </c>
      <c r="MS23">
        <v>332</v>
      </c>
      <c r="MT23">
        <v>120</v>
      </c>
      <c r="MU23">
        <v>80</v>
      </c>
      <c r="MV23">
        <v>536</v>
      </c>
      <c r="MW23">
        <v>105</v>
      </c>
      <c r="MX23">
        <v>144</v>
      </c>
      <c r="MY23">
        <v>144</v>
      </c>
      <c r="MZ23">
        <v>105</v>
      </c>
      <c r="NA23">
        <v>384</v>
      </c>
      <c r="NB23">
        <v>99</v>
      </c>
      <c r="NC23">
        <v>99</v>
      </c>
      <c r="ND23">
        <v>434</v>
      </c>
      <c r="NE23">
        <v>98</v>
      </c>
      <c r="NF23">
        <v>107</v>
      </c>
      <c r="NG23">
        <v>140</v>
      </c>
      <c r="NH23">
        <v>107</v>
      </c>
      <c r="NI23">
        <v>140</v>
      </c>
      <c r="NJ23">
        <v>99</v>
      </c>
      <c r="NK23">
        <v>99</v>
      </c>
      <c r="NL23">
        <v>178</v>
      </c>
      <c r="NM23">
        <v>103</v>
      </c>
      <c r="NN23">
        <v>103</v>
      </c>
      <c r="NO23">
        <v>103</v>
      </c>
      <c r="NP23">
        <v>120</v>
      </c>
      <c r="NQ23">
        <v>120</v>
      </c>
      <c r="NR23">
        <v>570</v>
      </c>
      <c r="NS23">
        <v>99</v>
      </c>
      <c r="NT23">
        <v>393</v>
      </c>
      <c r="NU23">
        <v>434</v>
      </c>
      <c r="NV23">
        <v>593</v>
      </c>
      <c r="NW23">
        <v>178</v>
      </c>
      <c r="NX23">
        <v>178</v>
      </c>
      <c r="NY23">
        <v>178</v>
      </c>
      <c r="NZ23">
        <v>178</v>
      </c>
      <c r="OA23">
        <v>136</v>
      </c>
      <c r="OB23">
        <v>122</v>
      </c>
      <c r="OC23">
        <v>82</v>
      </c>
      <c r="OD23">
        <v>82</v>
      </c>
      <c r="OE23">
        <v>105</v>
      </c>
      <c r="OF23">
        <v>434</v>
      </c>
      <c r="OG23">
        <v>350</v>
      </c>
      <c r="OH23">
        <v>99</v>
      </c>
      <c r="OI23">
        <v>99</v>
      </c>
      <c r="OJ23">
        <v>99</v>
      </c>
      <c r="OK23">
        <v>99</v>
      </c>
      <c r="OL23">
        <v>99</v>
      </c>
      <c r="OM23">
        <v>99</v>
      </c>
      <c r="ON23">
        <v>200</v>
      </c>
      <c r="OO23">
        <v>200</v>
      </c>
      <c r="OP23">
        <v>119</v>
      </c>
      <c r="OQ23">
        <v>105</v>
      </c>
      <c r="OR23">
        <v>105</v>
      </c>
      <c r="OS23">
        <v>195</v>
      </c>
      <c r="OT23">
        <v>710</v>
      </c>
      <c r="OU23">
        <v>82</v>
      </c>
      <c r="OV23">
        <v>80</v>
      </c>
      <c r="OW23">
        <v>107</v>
      </c>
      <c r="OX23">
        <v>140</v>
      </c>
      <c r="OY23">
        <v>136</v>
      </c>
      <c r="OZ23">
        <v>136</v>
      </c>
      <c r="PA23">
        <v>104</v>
      </c>
      <c r="PB23">
        <v>196</v>
      </c>
      <c r="PC23">
        <v>80</v>
      </c>
      <c r="PD23">
        <v>562</v>
      </c>
      <c r="PE23">
        <v>120</v>
      </c>
      <c r="PF23">
        <v>267</v>
      </c>
      <c r="PG23">
        <v>351</v>
      </c>
      <c r="PH23">
        <v>593</v>
      </c>
      <c r="PI23">
        <v>178</v>
      </c>
      <c r="PJ23">
        <v>99</v>
      </c>
      <c r="PK23">
        <v>134</v>
      </c>
      <c r="PL23">
        <v>103</v>
      </c>
      <c r="PM23">
        <v>103</v>
      </c>
      <c r="PN23">
        <v>710</v>
      </c>
      <c r="PO23">
        <v>710</v>
      </c>
      <c r="PP23">
        <v>710</v>
      </c>
      <c r="PQ23">
        <v>185</v>
      </c>
      <c r="PR23">
        <v>178</v>
      </c>
      <c r="PS23">
        <v>99</v>
      </c>
      <c r="PT23">
        <v>178</v>
      </c>
      <c r="PU23">
        <v>178</v>
      </c>
      <c r="PV23">
        <v>119</v>
      </c>
      <c r="PW23">
        <v>120</v>
      </c>
      <c r="PX23">
        <v>136</v>
      </c>
      <c r="PY23">
        <v>434</v>
      </c>
      <c r="PZ23">
        <v>512</v>
      </c>
      <c r="QA23">
        <v>99</v>
      </c>
      <c r="QB23">
        <v>80</v>
      </c>
      <c r="QC23">
        <v>269</v>
      </c>
      <c r="QD23">
        <v>178</v>
      </c>
      <c r="QE23">
        <v>140</v>
      </c>
      <c r="QF23">
        <v>136</v>
      </c>
      <c r="QG23">
        <v>731</v>
      </c>
      <c r="QH23">
        <v>731</v>
      </c>
      <c r="QI23">
        <v>660</v>
      </c>
      <c r="QJ23">
        <v>660</v>
      </c>
      <c r="QK23">
        <v>136</v>
      </c>
      <c r="QL23">
        <v>99</v>
      </c>
      <c r="QM23">
        <v>99</v>
      </c>
      <c r="QN23">
        <v>350</v>
      </c>
      <c r="QO23">
        <v>350</v>
      </c>
      <c r="QP23">
        <v>99</v>
      </c>
      <c r="QQ23">
        <v>178</v>
      </c>
      <c r="QR23">
        <v>99</v>
      </c>
      <c r="QS23">
        <v>109</v>
      </c>
      <c r="QT23">
        <v>143</v>
      </c>
      <c r="QU23">
        <v>434</v>
      </c>
      <c r="QV23">
        <v>178</v>
      </c>
      <c r="QW23">
        <v>99</v>
      </c>
      <c r="QX23">
        <v>140</v>
      </c>
      <c r="QY23">
        <v>190</v>
      </c>
      <c r="QZ23">
        <v>195</v>
      </c>
      <c r="RA23">
        <v>135</v>
      </c>
      <c r="RB23">
        <v>195</v>
      </c>
      <c r="RC23">
        <v>710</v>
      </c>
      <c r="RD23">
        <v>136</v>
      </c>
      <c r="RE23">
        <v>105</v>
      </c>
      <c r="RF23">
        <v>124</v>
      </c>
      <c r="RG23">
        <v>99</v>
      </c>
      <c r="RH23">
        <v>353</v>
      </c>
      <c r="RI23">
        <v>178</v>
      </c>
      <c r="RJ23">
        <v>99</v>
      </c>
      <c r="RK23">
        <v>136</v>
      </c>
      <c r="RL23">
        <v>99</v>
      </c>
      <c r="RM23">
        <v>187</v>
      </c>
      <c r="RN23">
        <v>99</v>
      </c>
      <c r="RO23">
        <v>761</v>
      </c>
      <c r="RP23">
        <v>761</v>
      </c>
      <c r="RQ23">
        <v>99</v>
      </c>
      <c r="RR23">
        <v>99</v>
      </c>
      <c r="RS23">
        <v>99</v>
      </c>
      <c r="RT23">
        <v>99</v>
      </c>
      <c r="RU23">
        <v>136</v>
      </c>
      <c r="RV23">
        <v>124</v>
      </c>
      <c r="RW23">
        <v>99</v>
      </c>
      <c r="RX23">
        <v>99</v>
      </c>
      <c r="RY23">
        <v>136</v>
      </c>
      <c r="RZ23">
        <v>105</v>
      </c>
      <c r="SA23">
        <v>136</v>
      </c>
      <c r="SB23">
        <v>100</v>
      </c>
      <c r="SC23">
        <v>99</v>
      </c>
      <c r="SD23">
        <v>178</v>
      </c>
      <c r="SE23">
        <v>99</v>
      </c>
      <c r="SF23">
        <v>99</v>
      </c>
      <c r="SG23">
        <v>99</v>
      </c>
      <c r="SH23">
        <v>99</v>
      </c>
      <c r="SI23">
        <v>82</v>
      </c>
      <c r="SJ23">
        <v>80</v>
      </c>
      <c r="SK23">
        <v>99</v>
      </c>
      <c r="SL23">
        <v>99</v>
      </c>
      <c r="SM23">
        <v>95</v>
      </c>
      <c r="SN23">
        <v>710</v>
      </c>
      <c r="SO23">
        <v>710</v>
      </c>
      <c r="SP23">
        <v>350</v>
      </c>
      <c r="SQ23">
        <v>120</v>
      </c>
      <c r="SR23">
        <v>104</v>
      </c>
      <c r="SS23">
        <v>710</v>
      </c>
      <c r="ST23">
        <v>710</v>
      </c>
      <c r="SU23">
        <v>99</v>
      </c>
      <c r="SV23">
        <v>99</v>
      </c>
      <c r="SW23">
        <v>80</v>
      </c>
      <c r="SX23">
        <v>178</v>
      </c>
      <c r="SY23">
        <v>269</v>
      </c>
      <c r="SZ23">
        <v>325</v>
      </c>
      <c r="TA23">
        <v>350</v>
      </c>
      <c r="TB23">
        <v>119</v>
      </c>
      <c r="TC23">
        <v>120</v>
      </c>
      <c r="TD23">
        <v>140</v>
      </c>
      <c r="TE23">
        <v>140</v>
      </c>
      <c r="TF23">
        <v>99</v>
      </c>
      <c r="TG23">
        <v>105</v>
      </c>
      <c r="TH23">
        <v>100</v>
      </c>
      <c r="TI23">
        <v>120</v>
      </c>
      <c r="TJ23">
        <v>139</v>
      </c>
      <c r="TK23">
        <v>135</v>
      </c>
      <c r="TL23">
        <v>190</v>
      </c>
      <c r="TM23">
        <v>99</v>
      </c>
      <c r="TN23">
        <v>99</v>
      </c>
      <c r="TO23">
        <v>1283</v>
      </c>
      <c r="TP23">
        <v>537</v>
      </c>
      <c r="TQ23">
        <v>178</v>
      </c>
      <c r="TR23">
        <v>178</v>
      </c>
      <c r="TS23">
        <v>178</v>
      </c>
      <c r="TT23">
        <v>105</v>
      </c>
      <c r="TU23">
        <v>105</v>
      </c>
      <c r="TV23">
        <v>136</v>
      </c>
      <c r="TW23">
        <v>105</v>
      </c>
      <c r="TX23">
        <v>82</v>
      </c>
      <c r="TY23">
        <v>82</v>
      </c>
      <c r="TZ23">
        <v>119</v>
      </c>
      <c r="UA23">
        <v>332</v>
      </c>
      <c r="UB23">
        <v>109</v>
      </c>
      <c r="UC23">
        <v>82</v>
      </c>
      <c r="UD23">
        <v>186</v>
      </c>
      <c r="UE23">
        <v>105</v>
      </c>
      <c r="UF23">
        <v>434</v>
      </c>
      <c r="UG23">
        <v>1577</v>
      </c>
      <c r="UH23">
        <v>105</v>
      </c>
      <c r="UI23">
        <v>105</v>
      </c>
      <c r="UJ23">
        <v>267</v>
      </c>
      <c r="UK23">
        <v>269</v>
      </c>
      <c r="UL23">
        <v>269</v>
      </c>
      <c r="UM23">
        <v>593</v>
      </c>
      <c r="UN23">
        <v>178</v>
      </c>
      <c r="UO23">
        <v>136</v>
      </c>
      <c r="UP23">
        <v>467</v>
      </c>
      <c r="UQ23">
        <v>63</v>
      </c>
      <c r="UR23">
        <v>195</v>
      </c>
      <c r="US23">
        <v>178</v>
      </c>
      <c r="UT23">
        <v>125</v>
      </c>
      <c r="UU23">
        <v>125</v>
      </c>
      <c r="UV23">
        <v>99</v>
      </c>
      <c r="UW23">
        <v>95</v>
      </c>
      <c r="UX23">
        <v>99</v>
      </c>
      <c r="UY23">
        <v>178</v>
      </c>
      <c r="UZ23">
        <v>178</v>
      </c>
      <c r="VA23">
        <v>105</v>
      </c>
      <c r="VB23">
        <v>99</v>
      </c>
      <c r="VC23">
        <v>99</v>
      </c>
      <c r="VD23">
        <v>105</v>
      </c>
      <c r="VE23">
        <v>105</v>
      </c>
      <c r="VF23">
        <v>105</v>
      </c>
      <c r="VG23">
        <v>710</v>
      </c>
      <c r="VH23">
        <v>710</v>
      </c>
      <c r="VI23">
        <v>79</v>
      </c>
      <c r="VJ23">
        <v>79</v>
      </c>
      <c r="VK23">
        <v>105</v>
      </c>
      <c r="VL23">
        <v>178</v>
      </c>
      <c r="VM23">
        <v>186</v>
      </c>
      <c r="VN23">
        <v>178</v>
      </c>
      <c r="VO23">
        <v>685</v>
      </c>
    </row>
    <row r="24" spans="1:587" x14ac:dyDescent="0.3">
      <c r="A24" t="s">
        <v>3019</v>
      </c>
      <c r="B24" cm="1">
        <f t="array" ref="B24:VO24">1*TRANSPOSE(_xlfn._xlws.FILTER(branch!$I$2:$I$591,branch!$D$2:$D$591&lt;&gt;0))</f>
        <v>99</v>
      </c>
      <c r="C24">
        <v>99</v>
      </c>
      <c r="D24">
        <v>178</v>
      </c>
      <c r="E24">
        <v>145</v>
      </c>
      <c r="F24">
        <v>536</v>
      </c>
      <c r="G24">
        <v>393</v>
      </c>
      <c r="H24">
        <v>393</v>
      </c>
      <c r="I24">
        <v>593</v>
      </c>
      <c r="J24">
        <v>434</v>
      </c>
      <c r="K24">
        <v>99</v>
      </c>
      <c r="L24">
        <v>140</v>
      </c>
      <c r="M24">
        <v>103</v>
      </c>
      <c r="N24">
        <v>109</v>
      </c>
      <c r="O24">
        <v>105</v>
      </c>
      <c r="P24">
        <v>99</v>
      </c>
      <c r="Q24">
        <v>187</v>
      </c>
      <c r="R24">
        <v>187</v>
      </c>
      <c r="S24">
        <v>187</v>
      </c>
      <c r="T24">
        <v>104</v>
      </c>
      <c r="U24">
        <v>112</v>
      </c>
      <c r="V24">
        <v>105</v>
      </c>
      <c r="W24">
        <v>82</v>
      </c>
      <c r="X24">
        <v>82</v>
      </c>
      <c r="Y24">
        <v>105</v>
      </c>
      <c r="Z24">
        <v>105</v>
      </c>
      <c r="AA24">
        <v>99</v>
      </c>
      <c r="AB24">
        <v>178</v>
      </c>
      <c r="AC24">
        <v>434</v>
      </c>
      <c r="AD24">
        <v>434</v>
      </c>
      <c r="AE24">
        <v>34</v>
      </c>
      <c r="AF24">
        <v>120</v>
      </c>
      <c r="AG24">
        <v>120</v>
      </c>
      <c r="AH24">
        <v>104</v>
      </c>
      <c r="AI24">
        <v>178</v>
      </c>
      <c r="AJ24">
        <v>178</v>
      </c>
      <c r="AK24">
        <v>178</v>
      </c>
      <c r="AL24">
        <v>178</v>
      </c>
      <c r="AM24">
        <v>120</v>
      </c>
      <c r="AN24">
        <v>178</v>
      </c>
      <c r="AO24">
        <v>99</v>
      </c>
      <c r="AP24">
        <v>178</v>
      </c>
      <c r="AQ24">
        <v>140</v>
      </c>
      <c r="AR24">
        <v>140</v>
      </c>
      <c r="AS24">
        <v>99</v>
      </c>
      <c r="AT24">
        <v>105</v>
      </c>
      <c r="AU24">
        <v>99</v>
      </c>
      <c r="AV24">
        <v>96</v>
      </c>
      <c r="AW24">
        <v>96</v>
      </c>
      <c r="AX24">
        <v>178</v>
      </c>
      <c r="AY24">
        <v>178</v>
      </c>
      <c r="AZ24">
        <v>120</v>
      </c>
      <c r="BA24">
        <v>120</v>
      </c>
      <c r="BB24">
        <v>178</v>
      </c>
      <c r="BC24">
        <v>178</v>
      </c>
      <c r="BD24">
        <v>178</v>
      </c>
      <c r="BE24">
        <v>105</v>
      </c>
      <c r="BF24">
        <v>99</v>
      </c>
      <c r="BG24">
        <v>99</v>
      </c>
      <c r="BH24">
        <v>99</v>
      </c>
      <c r="BI24">
        <v>82</v>
      </c>
      <c r="BJ24">
        <v>82</v>
      </c>
      <c r="BK24">
        <v>136</v>
      </c>
      <c r="BL24">
        <v>140</v>
      </c>
      <c r="BM24">
        <v>130</v>
      </c>
      <c r="BN24">
        <v>99</v>
      </c>
      <c r="BO24">
        <v>122</v>
      </c>
      <c r="BP24">
        <v>196</v>
      </c>
      <c r="BQ24">
        <v>178</v>
      </c>
      <c r="BR24">
        <v>136</v>
      </c>
      <c r="BS24">
        <v>178</v>
      </c>
      <c r="BT24">
        <v>124</v>
      </c>
      <c r="BU24">
        <v>178</v>
      </c>
      <c r="BV24">
        <v>178</v>
      </c>
      <c r="BW24">
        <v>178</v>
      </c>
      <c r="BX24">
        <v>99</v>
      </c>
      <c r="BY24">
        <v>136</v>
      </c>
      <c r="BZ24">
        <v>195</v>
      </c>
      <c r="CA24">
        <v>178</v>
      </c>
      <c r="CB24">
        <v>178</v>
      </c>
      <c r="CC24">
        <v>192</v>
      </c>
      <c r="CD24">
        <v>187</v>
      </c>
      <c r="CE24">
        <v>120</v>
      </c>
      <c r="CF24">
        <v>187</v>
      </c>
      <c r="CG24">
        <v>187</v>
      </c>
      <c r="CH24">
        <v>187</v>
      </c>
      <c r="CI24">
        <v>119</v>
      </c>
      <c r="CJ24">
        <v>119</v>
      </c>
      <c r="CK24">
        <v>570</v>
      </c>
      <c r="CL24">
        <v>570</v>
      </c>
      <c r="CM24">
        <v>140</v>
      </c>
      <c r="CN24">
        <v>140</v>
      </c>
      <c r="CO24">
        <v>842</v>
      </c>
      <c r="CP24">
        <v>105</v>
      </c>
      <c r="CQ24">
        <v>109</v>
      </c>
      <c r="CR24">
        <v>109</v>
      </c>
      <c r="CS24">
        <v>82</v>
      </c>
      <c r="CT24">
        <v>82</v>
      </c>
      <c r="CU24">
        <v>75</v>
      </c>
      <c r="CV24">
        <v>75</v>
      </c>
      <c r="CW24">
        <v>178</v>
      </c>
      <c r="CX24">
        <v>178</v>
      </c>
      <c r="CY24">
        <v>178</v>
      </c>
      <c r="CZ24">
        <v>178</v>
      </c>
      <c r="DA24">
        <v>82</v>
      </c>
      <c r="DB24">
        <v>82</v>
      </c>
      <c r="DC24">
        <v>710</v>
      </c>
      <c r="DD24">
        <v>69</v>
      </c>
      <c r="DE24">
        <v>70</v>
      </c>
      <c r="DF24">
        <v>710</v>
      </c>
      <c r="DG24">
        <v>710</v>
      </c>
      <c r="DH24">
        <v>710</v>
      </c>
      <c r="DI24">
        <v>144</v>
      </c>
      <c r="DJ24">
        <v>63</v>
      </c>
      <c r="DK24">
        <v>99</v>
      </c>
      <c r="DL24">
        <v>570</v>
      </c>
      <c r="DM24">
        <v>570</v>
      </c>
      <c r="DN24">
        <v>178</v>
      </c>
      <c r="DO24">
        <v>200</v>
      </c>
      <c r="DP24">
        <v>109</v>
      </c>
      <c r="DQ24">
        <v>109</v>
      </c>
      <c r="DR24">
        <v>79</v>
      </c>
      <c r="DS24">
        <v>79</v>
      </c>
      <c r="DT24">
        <v>434</v>
      </c>
      <c r="DU24">
        <v>740</v>
      </c>
      <c r="DV24">
        <v>228</v>
      </c>
      <c r="DW24">
        <v>115</v>
      </c>
      <c r="DX24">
        <v>195</v>
      </c>
      <c r="DY24">
        <v>124</v>
      </c>
      <c r="DZ24">
        <v>80</v>
      </c>
      <c r="EA24">
        <v>120</v>
      </c>
      <c r="EB24">
        <v>105</v>
      </c>
      <c r="EC24">
        <v>178</v>
      </c>
      <c r="ED24">
        <v>178</v>
      </c>
      <c r="EE24">
        <v>178</v>
      </c>
      <c r="EF24">
        <v>69</v>
      </c>
      <c r="EG24">
        <v>70</v>
      </c>
      <c r="EH24">
        <v>69</v>
      </c>
      <c r="EI24">
        <v>69</v>
      </c>
      <c r="EJ24">
        <v>132</v>
      </c>
      <c r="EK24">
        <v>132</v>
      </c>
      <c r="EL24">
        <v>710</v>
      </c>
      <c r="EM24">
        <v>710</v>
      </c>
      <c r="EN24">
        <v>66</v>
      </c>
      <c r="EO24">
        <v>66</v>
      </c>
      <c r="EP24">
        <v>710</v>
      </c>
      <c r="EQ24">
        <v>109</v>
      </c>
      <c r="ER24">
        <v>109</v>
      </c>
      <c r="ES24">
        <v>82</v>
      </c>
      <c r="ET24">
        <v>82</v>
      </c>
      <c r="EU24">
        <v>144</v>
      </c>
      <c r="EV24">
        <v>144</v>
      </c>
      <c r="EW24">
        <v>710</v>
      </c>
      <c r="EX24">
        <v>178</v>
      </c>
      <c r="EY24">
        <v>124</v>
      </c>
      <c r="EZ24">
        <v>99</v>
      </c>
      <c r="FA24">
        <v>99</v>
      </c>
      <c r="FB24">
        <v>99</v>
      </c>
      <c r="FC24">
        <v>761</v>
      </c>
      <c r="FD24">
        <v>187</v>
      </c>
      <c r="FE24">
        <v>761</v>
      </c>
      <c r="FF24">
        <v>761</v>
      </c>
      <c r="FG24">
        <v>761</v>
      </c>
      <c r="FH24">
        <v>178</v>
      </c>
      <c r="FI24">
        <v>178</v>
      </c>
      <c r="FJ24">
        <v>115</v>
      </c>
      <c r="FK24">
        <v>434</v>
      </c>
      <c r="FL24">
        <v>434</v>
      </c>
      <c r="FM24">
        <v>555</v>
      </c>
      <c r="FN24">
        <v>123</v>
      </c>
      <c r="FO24">
        <v>178</v>
      </c>
      <c r="FP24">
        <v>130</v>
      </c>
      <c r="FQ24">
        <v>178</v>
      </c>
      <c r="FR24">
        <v>103</v>
      </c>
      <c r="FS24">
        <v>238</v>
      </c>
      <c r="FT24">
        <v>434</v>
      </c>
      <c r="FU24">
        <v>178</v>
      </c>
      <c r="FV24">
        <v>132</v>
      </c>
      <c r="FW24">
        <v>178</v>
      </c>
      <c r="FX24">
        <v>144</v>
      </c>
      <c r="FY24">
        <v>144</v>
      </c>
      <c r="FZ24">
        <v>140</v>
      </c>
      <c r="GA24">
        <v>140</v>
      </c>
      <c r="GB24">
        <v>136</v>
      </c>
      <c r="GC24">
        <v>178</v>
      </c>
      <c r="GD24">
        <v>178</v>
      </c>
      <c r="GE24">
        <v>178</v>
      </c>
      <c r="GF24">
        <v>196</v>
      </c>
      <c r="GG24">
        <v>178</v>
      </c>
      <c r="GH24">
        <v>178</v>
      </c>
      <c r="GI24">
        <v>178</v>
      </c>
      <c r="GJ24">
        <v>130</v>
      </c>
      <c r="GK24">
        <v>99</v>
      </c>
      <c r="GL24">
        <v>136</v>
      </c>
      <c r="GM24">
        <v>178</v>
      </c>
      <c r="GN24">
        <v>105</v>
      </c>
      <c r="GO24">
        <v>187</v>
      </c>
      <c r="GP24">
        <v>187</v>
      </c>
      <c r="GQ24">
        <v>187</v>
      </c>
      <c r="GR24">
        <v>105</v>
      </c>
      <c r="GS24">
        <v>130</v>
      </c>
      <c r="GT24">
        <v>434</v>
      </c>
      <c r="GU24">
        <v>105</v>
      </c>
      <c r="GV24">
        <v>105</v>
      </c>
      <c r="GW24">
        <v>593</v>
      </c>
      <c r="GX24">
        <v>119</v>
      </c>
      <c r="GY24">
        <v>178</v>
      </c>
      <c r="GZ24">
        <v>120</v>
      </c>
      <c r="HA24">
        <v>178</v>
      </c>
      <c r="HB24">
        <v>178</v>
      </c>
      <c r="HC24">
        <v>178</v>
      </c>
      <c r="HD24">
        <v>646</v>
      </c>
      <c r="HE24">
        <v>161</v>
      </c>
      <c r="HF24">
        <v>161</v>
      </c>
      <c r="HG24">
        <v>434</v>
      </c>
      <c r="HH24">
        <v>434</v>
      </c>
      <c r="HI24">
        <v>187</v>
      </c>
      <c r="HJ24">
        <v>124</v>
      </c>
      <c r="HK24">
        <v>99</v>
      </c>
      <c r="HL24">
        <v>105</v>
      </c>
      <c r="HM24">
        <v>63</v>
      </c>
      <c r="HN24">
        <v>178</v>
      </c>
      <c r="HO24">
        <v>187</v>
      </c>
      <c r="HP24">
        <v>136</v>
      </c>
      <c r="HQ24">
        <v>187</v>
      </c>
      <c r="HR24">
        <v>187</v>
      </c>
      <c r="HS24">
        <v>99</v>
      </c>
      <c r="HT24">
        <v>99</v>
      </c>
      <c r="HU24">
        <v>105</v>
      </c>
      <c r="HV24">
        <v>178</v>
      </c>
      <c r="HW24">
        <v>178</v>
      </c>
      <c r="HX24">
        <v>1577</v>
      </c>
      <c r="HY24">
        <v>1577</v>
      </c>
      <c r="HZ24">
        <v>143</v>
      </c>
      <c r="IA24">
        <v>104</v>
      </c>
      <c r="IB24">
        <v>82</v>
      </c>
      <c r="IC24">
        <v>82</v>
      </c>
      <c r="ID24">
        <v>82</v>
      </c>
      <c r="IE24">
        <v>82</v>
      </c>
      <c r="IF24">
        <v>186</v>
      </c>
      <c r="IG24">
        <v>124</v>
      </c>
      <c r="IH24">
        <v>136</v>
      </c>
      <c r="II24">
        <v>99</v>
      </c>
      <c r="IJ24">
        <v>178</v>
      </c>
      <c r="IK24">
        <v>178</v>
      </c>
      <c r="IL24">
        <v>99</v>
      </c>
      <c r="IM24">
        <v>99</v>
      </c>
      <c r="IN24">
        <v>105</v>
      </c>
      <c r="IO24">
        <v>105</v>
      </c>
      <c r="IP24">
        <v>99</v>
      </c>
      <c r="IQ24">
        <v>99</v>
      </c>
      <c r="IR24">
        <v>100</v>
      </c>
      <c r="IS24">
        <v>100</v>
      </c>
      <c r="IT24">
        <v>200</v>
      </c>
      <c r="IU24">
        <v>143</v>
      </c>
      <c r="IV24">
        <v>82</v>
      </c>
      <c r="IW24">
        <v>82</v>
      </c>
      <c r="IX24">
        <v>82</v>
      </c>
      <c r="IY24">
        <v>412</v>
      </c>
      <c r="IZ24">
        <v>412</v>
      </c>
      <c r="JA24">
        <v>82</v>
      </c>
      <c r="JB24">
        <v>82</v>
      </c>
      <c r="JC24">
        <v>109</v>
      </c>
      <c r="JD24">
        <v>178</v>
      </c>
      <c r="JE24">
        <v>99</v>
      </c>
      <c r="JF24">
        <v>82</v>
      </c>
      <c r="JG24">
        <v>109</v>
      </c>
      <c r="JH24">
        <v>140</v>
      </c>
      <c r="JI24">
        <v>140</v>
      </c>
      <c r="JJ24">
        <v>196</v>
      </c>
      <c r="JK24">
        <v>178</v>
      </c>
      <c r="JL24">
        <v>178</v>
      </c>
      <c r="JM24">
        <v>99</v>
      </c>
      <c r="JN24">
        <v>178</v>
      </c>
      <c r="JO24">
        <v>350</v>
      </c>
      <c r="JP24">
        <v>99</v>
      </c>
      <c r="JQ24">
        <v>99</v>
      </c>
      <c r="JR24">
        <v>99</v>
      </c>
      <c r="JS24">
        <v>392</v>
      </c>
      <c r="JT24">
        <v>97</v>
      </c>
      <c r="JU24">
        <v>99</v>
      </c>
      <c r="JV24">
        <v>761</v>
      </c>
      <c r="JW24">
        <v>178</v>
      </c>
      <c r="JX24">
        <v>124</v>
      </c>
      <c r="JY24">
        <v>103</v>
      </c>
      <c r="JZ24">
        <v>178</v>
      </c>
      <c r="KA24">
        <v>746</v>
      </c>
      <c r="KB24">
        <v>646</v>
      </c>
      <c r="KC24">
        <v>178</v>
      </c>
      <c r="KD24">
        <v>178</v>
      </c>
      <c r="KE24">
        <v>178</v>
      </c>
      <c r="KF24">
        <v>178</v>
      </c>
      <c r="KG24">
        <v>190</v>
      </c>
      <c r="KH24">
        <v>105</v>
      </c>
      <c r="KI24">
        <v>136</v>
      </c>
      <c r="KJ24">
        <v>134</v>
      </c>
      <c r="KK24">
        <v>136</v>
      </c>
      <c r="KL24">
        <v>136</v>
      </c>
      <c r="KM24">
        <v>99</v>
      </c>
      <c r="KN24">
        <v>105</v>
      </c>
      <c r="KO24">
        <v>99</v>
      </c>
      <c r="KP24">
        <v>105</v>
      </c>
      <c r="KQ24">
        <v>99</v>
      </c>
      <c r="KR24">
        <v>99</v>
      </c>
      <c r="KS24">
        <v>99</v>
      </c>
      <c r="KT24">
        <v>74</v>
      </c>
      <c r="KU24">
        <v>74</v>
      </c>
      <c r="KV24">
        <v>99</v>
      </c>
      <c r="KW24">
        <v>178</v>
      </c>
      <c r="KX24">
        <v>178</v>
      </c>
      <c r="KY24">
        <v>99</v>
      </c>
      <c r="KZ24">
        <v>104</v>
      </c>
      <c r="LA24">
        <v>178</v>
      </c>
      <c r="LB24">
        <v>178</v>
      </c>
      <c r="LC24">
        <v>211</v>
      </c>
      <c r="LD24">
        <v>196</v>
      </c>
      <c r="LE24">
        <v>69</v>
      </c>
      <c r="LF24">
        <v>69</v>
      </c>
      <c r="LG24">
        <v>144</v>
      </c>
      <c r="LH24">
        <v>144</v>
      </c>
      <c r="LI24">
        <v>103</v>
      </c>
      <c r="LJ24">
        <v>99</v>
      </c>
      <c r="LK24">
        <v>99</v>
      </c>
      <c r="LL24">
        <v>82</v>
      </c>
      <c r="LM24">
        <v>82</v>
      </c>
      <c r="LN24">
        <v>82</v>
      </c>
      <c r="LO24">
        <v>82</v>
      </c>
      <c r="LP24">
        <v>82</v>
      </c>
      <c r="LQ24">
        <v>99</v>
      </c>
      <c r="LR24">
        <v>79</v>
      </c>
      <c r="LS24">
        <v>79</v>
      </c>
      <c r="LT24">
        <v>108</v>
      </c>
      <c r="LU24">
        <v>109</v>
      </c>
      <c r="LV24">
        <v>109</v>
      </c>
      <c r="LW24">
        <v>99</v>
      </c>
      <c r="LX24">
        <v>99</v>
      </c>
      <c r="LY24">
        <v>99</v>
      </c>
      <c r="LZ24">
        <v>178</v>
      </c>
      <c r="MA24">
        <v>393</v>
      </c>
      <c r="MB24">
        <v>350</v>
      </c>
      <c r="MC24">
        <v>350</v>
      </c>
      <c r="MD24">
        <v>434</v>
      </c>
      <c r="ME24">
        <v>1283</v>
      </c>
      <c r="MF24">
        <v>351</v>
      </c>
      <c r="MG24">
        <v>140</v>
      </c>
      <c r="MH24">
        <v>140</v>
      </c>
      <c r="MI24">
        <v>140</v>
      </c>
      <c r="MJ24">
        <v>186</v>
      </c>
      <c r="MK24">
        <v>157</v>
      </c>
      <c r="ML24">
        <v>144</v>
      </c>
      <c r="MM24">
        <v>186</v>
      </c>
      <c r="MN24">
        <v>195</v>
      </c>
      <c r="MO24">
        <v>105</v>
      </c>
      <c r="MP24">
        <v>119</v>
      </c>
      <c r="MQ24">
        <v>593</v>
      </c>
      <c r="MR24">
        <v>119</v>
      </c>
      <c r="MS24">
        <v>332</v>
      </c>
      <c r="MT24">
        <v>120</v>
      </c>
      <c r="MU24">
        <v>80</v>
      </c>
      <c r="MV24">
        <v>536</v>
      </c>
      <c r="MW24">
        <v>105</v>
      </c>
      <c r="MX24">
        <v>144</v>
      </c>
      <c r="MY24">
        <v>144</v>
      </c>
      <c r="MZ24">
        <v>105</v>
      </c>
      <c r="NA24">
        <v>384</v>
      </c>
      <c r="NB24">
        <v>99</v>
      </c>
      <c r="NC24">
        <v>99</v>
      </c>
      <c r="ND24">
        <v>434</v>
      </c>
      <c r="NE24">
        <v>98</v>
      </c>
      <c r="NF24">
        <v>107</v>
      </c>
      <c r="NG24">
        <v>140</v>
      </c>
      <c r="NH24">
        <v>107</v>
      </c>
      <c r="NI24">
        <v>140</v>
      </c>
      <c r="NJ24">
        <v>99</v>
      </c>
      <c r="NK24">
        <v>99</v>
      </c>
      <c r="NL24">
        <v>178</v>
      </c>
      <c r="NM24">
        <v>103</v>
      </c>
      <c r="NN24">
        <v>103</v>
      </c>
      <c r="NO24">
        <v>103</v>
      </c>
      <c r="NP24">
        <v>120</v>
      </c>
      <c r="NQ24">
        <v>120</v>
      </c>
      <c r="NR24">
        <v>570</v>
      </c>
      <c r="NS24">
        <v>99</v>
      </c>
      <c r="NT24">
        <v>393</v>
      </c>
      <c r="NU24">
        <v>434</v>
      </c>
      <c r="NV24">
        <v>593</v>
      </c>
      <c r="NW24">
        <v>178</v>
      </c>
      <c r="NX24">
        <v>178</v>
      </c>
      <c r="NY24">
        <v>178</v>
      </c>
      <c r="NZ24">
        <v>178</v>
      </c>
      <c r="OA24">
        <v>136</v>
      </c>
      <c r="OB24">
        <v>122</v>
      </c>
      <c r="OC24">
        <v>82</v>
      </c>
      <c r="OD24">
        <v>82</v>
      </c>
      <c r="OE24">
        <v>105</v>
      </c>
      <c r="OF24">
        <v>434</v>
      </c>
      <c r="OG24">
        <v>350</v>
      </c>
      <c r="OH24">
        <v>99</v>
      </c>
      <c r="OI24">
        <v>99</v>
      </c>
      <c r="OJ24">
        <v>99</v>
      </c>
      <c r="OK24">
        <v>99</v>
      </c>
      <c r="OL24">
        <v>99</v>
      </c>
      <c r="OM24">
        <v>99</v>
      </c>
      <c r="ON24">
        <v>200</v>
      </c>
      <c r="OO24">
        <v>200</v>
      </c>
      <c r="OP24">
        <v>119</v>
      </c>
      <c r="OQ24">
        <v>105</v>
      </c>
      <c r="OR24">
        <v>105</v>
      </c>
      <c r="OS24">
        <v>195</v>
      </c>
      <c r="OT24">
        <v>710</v>
      </c>
      <c r="OU24">
        <v>82</v>
      </c>
      <c r="OV24">
        <v>80</v>
      </c>
      <c r="OW24">
        <v>107</v>
      </c>
      <c r="OX24">
        <v>140</v>
      </c>
      <c r="OY24">
        <v>136</v>
      </c>
      <c r="OZ24">
        <v>136</v>
      </c>
      <c r="PA24">
        <v>104</v>
      </c>
      <c r="PB24">
        <v>196</v>
      </c>
      <c r="PC24">
        <v>80</v>
      </c>
      <c r="PD24">
        <v>562</v>
      </c>
      <c r="PE24">
        <v>120</v>
      </c>
      <c r="PF24">
        <v>267</v>
      </c>
      <c r="PG24">
        <v>351</v>
      </c>
      <c r="PH24">
        <v>593</v>
      </c>
      <c r="PI24">
        <v>178</v>
      </c>
      <c r="PJ24">
        <v>99</v>
      </c>
      <c r="PK24">
        <v>134</v>
      </c>
      <c r="PL24">
        <v>103</v>
      </c>
      <c r="PM24">
        <v>103</v>
      </c>
      <c r="PN24">
        <v>710</v>
      </c>
      <c r="PO24">
        <v>710</v>
      </c>
      <c r="PP24">
        <v>710</v>
      </c>
      <c r="PQ24">
        <v>185</v>
      </c>
      <c r="PR24">
        <v>178</v>
      </c>
      <c r="PS24">
        <v>99</v>
      </c>
      <c r="PT24">
        <v>178</v>
      </c>
      <c r="PU24">
        <v>178</v>
      </c>
      <c r="PV24">
        <v>119</v>
      </c>
      <c r="PW24">
        <v>120</v>
      </c>
      <c r="PX24">
        <v>136</v>
      </c>
      <c r="PY24">
        <v>434</v>
      </c>
      <c r="PZ24">
        <v>512</v>
      </c>
      <c r="QA24">
        <v>99</v>
      </c>
      <c r="QB24">
        <v>80</v>
      </c>
      <c r="QC24">
        <v>269</v>
      </c>
      <c r="QD24">
        <v>178</v>
      </c>
      <c r="QE24">
        <v>140</v>
      </c>
      <c r="QF24">
        <v>136</v>
      </c>
      <c r="QG24">
        <v>731</v>
      </c>
      <c r="QH24">
        <v>731</v>
      </c>
      <c r="QI24">
        <v>660</v>
      </c>
      <c r="QJ24">
        <v>660</v>
      </c>
      <c r="QK24">
        <v>136</v>
      </c>
      <c r="QL24">
        <v>99</v>
      </c>
      <c r="QM24">
        <v>99</v>
      </c>
      <c r="QN24">
        <v>350</v>
      </c>
      <c r="QO24">
        <v>350</v>
      </c>
      <c r="QP24">
        <v>99</v>
      </c>
      <c r="QQ24">
        <v>178</v>
      </c>
      <c r="QR24">
        <v>99</v>
      </c>
      <c r="QS24">
        <v>109</v>
      </c>
      <c r="QT24">
        <v>143</v>
      </c>
      <c r="QU24">
        <v>434</v>
      </c>
      <c r="QV24">
        <v>178</v>
      </c>
      <c r="QW24">
        <v>99</v>
      </c>
      <c r="QX24">
        <v>140</v>
      </c>
      <c r="QY24">
        <v>190</v>
      </c>
      <c r="QZ24">
        <v>195</v>
      </c>
      <c r="RA24">
        <v>135</v>
      </c>
      <c r="RB24">
        <v>195</v>
      </c>
      <c r="RC24">
        <v>710</v>
      </c>
      <c r="RD24">
        <v>136</v>
      </c>
      <c r="RE24">
        <v>105</v>
      </c>
      <c r="RF24">
        <v>124</v>
      </c>
      <c r="RG24">
        <v>99</v>
      </c>
      <c r="RH24">
        <v>353</v>
      </c>
      <c r="RI24">
        <v>178</v>
      </c>
      <c r="RJ24">
        <v>99</v>
      </c>
      <c r="RK24">
        <v>136</v>
      </c>
      <c r="RL24">
        <v>99</v>
      </c>
      <c r="RM24">
        <v>187</v>
      </c>
      <c r="RN24">
        <v>99</v>
      </c>
      <c r="RO24">
        <v>761</v>
      </c>
      <c r="RP24">
        <v>761</v>
      </c>
      <c r="RQ24">
        <v>99</v>
      </c>
      <c r="RR24">
        <v>99</v>
      </c>
      <c r="RS24">
        <v>99</v>
      </c>
      <c r="RT24">
        <v>99</v>
      </c>
      <c r="RU24">
        <v>136</v>
      </c>
      <c r="RV24">
        <v>124</v>
      </c>
      <c r="RW24">
        <v>99</v>
      </c>
      <c r="RX24">
        <v>99</v>
      </c>
      <c r="RY24">
        <v>136</v>
      </c>
      <c r="RZ24">
        <v>105</v>
      </c>
      <c r="SA24">
        <v>136</v>
      </c>
      <c r="SB24">
        <v>100</v>
      </c>
      <c r="SC24">
        <v>99</v>
      </c>
      <c r="SD24">
        <v>178</v>
      </c>
      <c r="SE24">
        <v>99</v>
      </c>
      <c r="SF24">
        <v>99</v>
      </c>
      <c r="SG24">
        <v>99</v>
      </c>
      <c r="SH24">
        <v>99</v>
      </c>
      <c r="SI24">
        <v>82</v>
      </c>
      <c r="SJ24">
        <v>80</v>
      </c>
      <c r="SK24">
        <v>99</v>
      </c>
      <c r="SL24">
        <v>99</v>
      </c>
      <c r="SM24">
        <v>95</v>
      </c>
      <c r="SN24">
        <v>710</v>
      </c>
      <c r="SO24">
        <v>710</v>
      </c>
      <c r="SP24">
        <v>350</v>
      </c>
      <c r="SQ24">
        <v>120</v>
      </c>
      <c r="SR24">
        <v>104</v>
      </c>
      <c r="SS24">
        <v>710</v>
      </c>
      <c r="ST24">
        <v>710</v>
      </c>
      <c r="SU24">
        <v>99</v>
      </c>
      <c r="SV24">
        <v>99</v>
      </c>
      <c r="SW24">
        <v>80</v>
      </c>
      <c r="SX24">
        <v>178</v>
      </c>
      <c r="SY24">
        <v>269</v>
      </c>
      <c r="SZ24">
        <v>325</v>
      </c>
      <c r="TA24">
        <v>350</v>
      </c>
      <c r="TB24">
        <v>119</v>
      </c>
      <c r="TC24">
        <v>120</v>
      </c>
      <c r="TD24">
        <v>140</v>
      </c>
      <c r="TE24">
        <v>140</v>
      </c>
      <c r="TF24">
        <v>99</v>
      </c>
      <c r="TG24">
        <v>105</v>
      </c>
      <c r="TH24">
        <v>100</v>
      </c>
      <c r="TI24">
        <v>120</v>
      </c>
      <c r="TJ24">
        <v>139</v>
      </c>
      <c r="TK24">
        <v>135</v>
      </c>
      <c r="TL24">
        <v>190</v>
      </c>
      <c r="TM24">
        <v>99</v>
      </c>
      <c r="TN24">
        <v>99</v>
      </c>
      <c r="TO24">
        <v>1283</v>
      </c>
      <c r="TP24">
        <v>537</v>
      </c>
      <c r="TQ24">
        <v>178</v>
      </c>
      <c r="TR24">
        <v>178</v>
      </c>
      <c r="TS24">
        <v>178</v>
      </c>
      <c r="TT24">
        <v>105</v>
      </c>
      <c r="TU24">
        <v>105</v>
      </c>
      <c r="TV24">
        <v>136</v>
      </c>
      <c r="TW24">
        <v>105</v>
      </c>
      <c r="TX24">
        <v>82</v>
      </c>
      <c r="TY24">
        <v>82</v>
      </c>
      <c r="TZ24">
        <v>119</v>
      </c>
      <c r="UA24">
        <v>332</v>
      </c>
      <c r="UB24">
        <v>109</v>
      </c>
      <c r="UC24">
        <v>82</v>
      </c>
      <c r="UD24">
        <v>186</v>
      </c>
      <c r="UE24">
        <v>105</v>
      </c>
      <c r="UF24">
        <v>434</v>
      </c>
      <c r="UG24">
        <v>1577</v>
      </c>
      <c r="UH24">
        <v>105</v>
      </c>
      <c r="UI24">
        <v>105</v>
      </c>
      <c r="UJ24">
        <v>267</v>
      </c>
      <c r="UK24">
        <v>269</v>
      </c>
      <c r="UL24">
        <v>269</v>
      </c>
      <c r="UM24">
        <v>593</v>
      </c>
      <c r="UN24">
        <v>178</v>
      </c>
      <c r="UO24">
        <v>136</v>
      </c>
      <c r="UP24">
        <v>467</v>
      </c>
      <c r="UQ24">
        <v>63</v>
      </c>
      <c r="UR24">
        <v>195</v>
      </c>
      <c r="US24">
        <v>178</v>
      </c>
      <c r="UT24">
        <v>125</v>
      </c>
      <c r="UU24">
        <v>125</v>
      </c>
      <c r="UV24">
        <v>99</v>
      </c>
      <c r="UW24">
        <v>95</v>
      </c>
      <c r="UX24">
        <v>99</v>
      </c>
      <c r="UY24">
        <v>178</v>
      </c>
      <c r="UZ24">
        <v>178</v>
      </c>
      <c r="VA24">
        <v>105</v>
      </c>
      <c r="VB24">
        <v>99</v>
      </c>
      <c r="VC24">
        <v>99</v>
      </c>
      <c r="VD24">
        <v>105</v>
      </c>
      <c r="VE24">
        <v>105</v>
      </c>
      <c r="VF24">
        <v>105</v>
      </c>
      <c r="VG24">
        <v>710</v>
      </c>
      <c r="VH24">
        <v>710</v>
      </c>
      <c r="VI24">
        <v>79</v>
      </c>
      <c r="VJ24">
        <v>79</v>
      </c>
      <c r="VK24">
        <v>105</v>
      </c>
      <c r="VL24">
        <v>178</v>
      </c>
      <c r="VM24">
        <v>186</v>
      </c>
      <c r="VN24">
        <v>178</v>
      </c>
      <c r="VO24">
        <v>685</v>
      </c>
    </row>
    <row r="25" spans="1:587" x14ac:dyDescent="0.3">
      <c r="A25" t="s">
        <v>3020</v>
      </c>
      <c r="B25" cm="1">
        <f t="array" ref="B25:VO25">1*TRANSPOSE(_xlfn._xlws.FILTER(branch!$I$2:$I$591,branch!$D$2:$D$591&lt;&gt;0))</f>
        <v>99</v>
      </c>
      <c r="C25">
        <v>99</v>
      </c>
      <c r="D25">
        <v>178</v>
      </c>
      <c r="E25">
        <v>145</v>
      </c>
      <c r="F25">
        <v>536</v>
      </c>
      <c r="G25">
        <v>393</v>
      </c>
      <c r="H25">
        <v>393</v>
      </c>
      <c r="I25">
        <v>593</v>
      </c>
      <c r="J25">
        <v>434</v>
      </c>
      <c r="K25">
        <v>99</v>
      </c>
      <c r="L25">
        <v>140</v>
      </c>
      <c r="M25">
        <v>103</v>
      </c>
      <c r="N25">
        <v>109</v>
      </c>
      <c r="O25">
        <v>105</v>
      </c>
      <c r="P25">
        <v>99</v>
      </c>
      <c r="Q25">
        <v>187</v>
      </c>
      <c r="R25">
        <v>187</v>
      </c>
      <c r="S25">
        <v>187</v>
      </c>
      <c r="T25">
        <v>104</v>
      </c>
      <c r="U25">
        <v>112</v>
      </c>
      <c r="V25">
        <v>105</v>
      </c>
      <c r="W25">
        <v>82</v>
      </c>
      <c r="X25">
        <v>82</v>
      </c>
      <c r="Y25">
        <v>105</v>
      </c>
      <c r="Z25">
        <v>105</v>
      </c>
      <c r="AA25">
        <v>99</v>
      </c>
      <c r="AB25">
        <v>178</v>
      </c>
      <c r="AC25">
        <v>434</v>
      </c>
      <c r="AD25">
        <v>434</v>
      </c>
      <c r="AE25">
        <v>34</v>
      </c>
      <c r="AF25">
        <v>120</v>
      </c>
      <c r="AG25">
        <v>120</v>
      </c>
      <c r="AH25">
        <v>104</v>
      </c>
      <c r="AI25">
        <v>178</v>
      </c>
      <c r="AJ25">
        <v>178</v>
      </c>
      <c r="AK25">
        <v>178</v>
      </c>
      <c r="AL25">
        <v>178</v>
      </c>
      <c r="AM25">
        <v>120</v>
      </c>
      <c r="AN25">
        <v>178</v>
      </c>
      <c r="AO25">
        <v>99</v>
      </c>
      <c r="AP25">
        <v>178</v>
      </c>
      <c r="AQ25">
        <v>140</v>
      </c>
      <c r="AR25">
        <v>140</v>
      </c>
      <c r="AS25">
        <v>99</v>
      </c>
      <c r="AT25">
        <v>105</v>
      </c>
      <c r="AU25">
        <v>99</v>
      </c>
      <c r="AV25">
        <v>96</v>
      </c>
      <c r="AW25">
        <v>96</v>
      </c>
      <c r="AX25">
        <v>178</v>
      </c>
      <c r="AY25">
        <v>178</v>
      </c>
      <c r="AZ25">
        <v>120</v>
      </c>
      <c r="BA25">
        <v>120</v>
      </c>
      <c r="BB25">
        <v>178</v>
      </c>
      <c r="BC25">
        <v>178</v>
      </c>
      <c r="BD25">
        <v>178</v>
      </c>
      <c r="BE25">
        <v>105</v>
      </c>
      <c r="BF25">
        <v>99</v>
      </c>
      <c r="BG25">
        <v>99</v>
      </c>
      <c r="BH25">
        <v>99</v>
      </c>
      <c r="BI25">
        <v>82</v>
      </c>
      <c r="BJ25">
        <v>82</v>
      </c>
      <c r="BK25">
        <v>136</v>
      </c>
      <c r="BL25">
        <v>140</v>
      </c>
      <c r="BM25">
        <v>130</v>
      </c>
      <c r="BN25">
        <v>99</v>
      </c>
      <c r="BO25">
        <v>122</v>
      </c>
      <c r="BP25">
        <v>196</v>
      </c>
      <c r="BQ25">
        <v>178</v>
      </c>
      <c r="BR25">
        <v>136</v>
      </c>
      <c r="BS25">
        <v>178</v>
      </c>
      <c r="BT25">
        <v>124</v>
      </c>
      <c r="BU25">
        <v>178</v>
      </c>
      <c r="BV25">
        <v>178</v>
      </c>
      <c r="BW25">
        <v>178</v>
      </c>
      <c r="BX25">
        <v>99</v>
      </c>
      <c r="BY25">
        <v>136</v>
      </c>
      <c r="BZ25">
        <v>195</v>
      </c>
      <c r="CA25">
        <v>178</v>
      </c>
      <c r="CB25">
        <v>178</v>
      </c>
      <c r="CC25">
        <v>192</v>
      </c>
      <c r="CD25">
        <v>187</v>
      </c>
      <c r="CE25">
        <v>120</v>
      </c>
      <c r="CF25">
        <v>187</v>
      </c>
      <c r="CG25">
        <v>187</v>
      </c>
      <c r="CH25">
        <v>187</v>
      </c>
      <c r="CI25">
        <v>119</v>
      </c>
      <c r="CJ25">
        <v>119</v>
      </c>
      <c r="CK25">
        <v>570</v>
      </c>
      <c r="CL25">
        <v>570</v>
      </c>
      <c r="CM25">
        <v>140</v>
      </c>
      <c r="CN25">
        <v>140</v>
      </c>
      <c r="CO25">
        <v>842</v>
      </c>
      <c r="CP25">
        <v>105</v>
      </c>
      <c r="CQ25">
        <v>109</v>
      </c>
      <c r="CR25">
        <v>109</v>
      </c>
      <c r="CS25">
        <v>82</v>
      </c>
      <c r="CT25">
        <v>82</v>
      </c>
      <c r="CU25">
        <v>75</v>
      </c>
      <c r="CV25">
        <v>75</v>
      </c>
      <c r="CW25">
        <v>178</v>
      </c>
      <c r="CX25">
        <v>178</v>
      </c>
      <c r="CY25">
        <v>178</v>
      </c>
      <c r="CZ25">
        <v>178</v>
      </c>
      <c r="DA25">
        <v>82</v>
      </c>
      <c r="DB25">
        <v>82</v>
      </c>
      <c r="DC25">
        <v>710</v>
      </c>
      <c r="DD25">
        <v>69</v>
      </c>
      <c r="DE25">
        <v>70</v>
      </c>
      <c r="DF25">
        <v>710</v>
      </c>
      <c r="DG25">
        <v>710</v>
      </c>
      <c r="DH25">
        <v>710</v>
      </c>
      <c r="DI25">
        <v>144</v>
      </c>
      <c r="DJ25">
        <v>63</v>
      </c>
      <c r="DK25">
        <v>99</v>
      </c>
      <c r="DL25">
        <v>570</v>
      </c>
      <c r="DM25">
        <v>570</v>
      </c>
      <c r="DN25">
        <v>178</v>
      </c>
      <c r="DO25">
        <v>200</v>
      </c>
      <c r="DP25">
        <v>109</v>
      </c>
      <c r="DQ25">
        <v>109</v>
      </c>
      <c r="DR25">
        <v>79</v>
      </c>
      <c r="DS25">
        <v>79</v>
      </c>
      <c r="DT25">
        <v>434</v>
      </c>
      <c r="DU25">
        <v>740</v>
      </c>
      <c r="DV25">
        <v>228</v>
      </c>
      <c r="DW25">
        <v>115</v>
      </c>
      <c r="DX25">
        <v>195</v>
      </c>
      <c r="DY25">
        <v>124</v>
      </c>
      <c r="DZ25">
        <v>80</v>
      </c>
      <c r="EA25">
        <v>120</v>
      </c>
      <c r="EB25">
        <v>105</v>
      </c>
      <c r="EC25">
        <v>178</v>
      </c>
      <c r="ED25">
        <v>178</v>
      </c>
      <c r="EE25">
        <v>178</v>
      </c>
      <c r="EF25">
        <v>69</v>
      </c>
      <c r="EG25">
        <v>70</v>
      </c>
      <c r="EH25">
        <v>69</v>
      </c>
      <c r="EI25">
        <v>69</v>
      </c>
      <c r="EJ25">
        <v>132</v>
      </c>
      <c r="EK25">
        <v>132</v>
      </c>
      <c r="EL25">
        <v>710</v>
      </c>
      <c r="EM25">
        <v>710</v>
      </c>
      <c r="EN25">
        <v>66</v>
      </c>
      <c r="EO25">
        <v>66</v>
      </c>
      <c r="EP25">
        <v>710</v>
      </c>
      <c r="EQ25">
        <v>109</v>
      </c>
      <c r="ER25">
        <v>109</v>
      </c>
      <c r="ES25">
        <v>82</v>
      </c>
      <c r="ET25">
        <v>82</v>
      </c>
      <c r="EU25">
        <v>144</v>
      </c>
      <c r="EV25">
        <v>144</v>
      </c>
      <c r="EW25">
        <v>710</v>
      </c>
      <c r="EX25">
        <v>178</v>
      </c>
      <c r="EY25">
        <v>124</v>
      </c>
      <c r="EZ25">
        <v>99</v>
      </c>
      <c r="FA25">
        <v>99</v>
      </c>
      <c r="FB25">
        <v>99</v>
      </c>
      <c r="FC25">
        <v>761</v>
      </c>
      <c r="FD25">
        <v>187</v>
      </c>
      <c r="FE25">
        <v>761</v>
      </c>
      <c r="FF25">
        <v>761</v>
      </c>
      <c r="FG25">
        <v>761</v>
      </c>
      <c r="FH25">
        <v>178</v>
      </c>
      <c r="FI25">
        <v>178</v>
      </c>
      <c r="FJ25">
        <v>115</v>
      </c>
      <c r="FK25">
        <v>434</v>
      </c>
      <c r="FL25">
        <v>434</v>
      </c>
      <c r="FM25">
        <v>555</v>
      </c>
      <c r="FN25">
        <v>123</v>
      </c>
      <c r="FO25">
        <v>178</v>
      </c>
      <c r="FP25">
        <v>130</v>
      </c>
      <c r="FQ25">
        <v>178</v>
      </c>
      <c r="FR25">
        <v>103</v>
      </c>
      <c r="FS25">
        <v>238</v>
      </c>
      <c r="FT25">
        <v>434</v>
      </c>
      <c r="FU25">
        <v>178</v>
      </c>
      <c r="FV25">
        <v>132</v>
      </c>
      <c r="FW25">
        <v>178</v>
      </c>
      <c r="FX25">
        <v>144</v>
      </c>
      <c r="FY25">
        <v>144</v>
      </c>
      <c r="FZ25">
        <v>140</v>
      </c>
      <c r="GA25">
        <v>140</v>
      </c>
      <c r="GB25">
        <v>136</v>
      </c>
      <c r="GC25">
        <v>178</v>
      </c>
      <c r="GD25">
        <v>178</v>
      </c>
      <c r="GE25">
        <v>178</v>
      </c>
      <c r="GF25">
        <v>196</v>
      </c>
      <c r="GG25">
        <v>178</v>
      </c>
      <c r="GH25">
        <v>178</v>
      </c>
      <c r="GI25">
        <v>178</v>
      </c>
      <c r="GJ25">
        <v>130</v>
      </c>
      <c r="GK25">
        <v>99</v>
      </c>
      <c r="GL25">
        <v>136</v>
      </c>
      <c r="GM25">
        <v>178</v>
      </c>
      <c r="GN25">
        <v>105</v>
      </c>
      <c r="GO25">
        <v>187</v>
      </c>
      <c r="GP25">
        <v>187</v>
      </c>
      <c r="GQ25">
        <v>187</v>
      </c>
      <c r="GR25">
        <v>105</v>
      </c>
      <c r="GS25">
        <v>130</v>
      </c>
      <c r="GT25">
        <v>434</v>
      </c>
      <c r="GU25">
        <v>105</v>
      </c>
      <c r="GV25">
        <v>105</v>
      </c>
      <c r="GW25">
        <v>593</v>
      </c>
      <c r="GX25">
        <v>119</v>
      </c>
      <c r="GY25">
        <v>178</v>
      </c>
      <c r="GZ25">
        <v>120</v>
      </c>
      <c r="HA25">
        <v>178</v>
      </c>
      <c r="HB25">
        <v>178</v>
      </c>
      <c r="HC25">
        <v>178</v>
      </c>
      <c r="HD25">
        <v>646</v>
      </c>
      <c r="HE25">
        <v>161</v>
      </c>
      <c r="HF25">
        <v>161</v>
      </c>
      <c r="HG25">
        <v>434</v>
      </c>
      <c r="HH25">
        <v>434</v>
      </c>
      <c r="HI25">
        <v>187</v>
      </c>
      <c r="HJ25">
        <v>124</v>
      </c>
      <c r="HK25">
        <v>99</v>
      </c>
      <c r="HL25">
        <v>105</v>
      </c>
      <c r="HM25">
        <v>63</v>
      </c>
      <c r="HN25">
        <v>178</v>
      </c>
      <c r="HO25">
        <v>187</v>
      </c>
      <c r="HP25">
        <v>136</v>
      </c>
      <c r="HQ25">
        <v>187</v>
      </c>
      <c r="HR25">
        <v>187</v>
      </c>
      <c r="HS25">
        <v>99</v>
      </c>
      <c r="HT25">
        <v>99</v>
      </c>
      <c r="HU25">
        <v>105</v>
      </c>
      <c r="HV25">
        <v>178</v>
      </c>
      <c r="HW25">
        <v>178</v>
      </c>
      <c r="HX25">
        <v>1577</v>
      </c>
      <c r="HY25">
        <v>1577</v>
      </c>
      <c r="HZ25">
        <v>143</v>
      </c>
      <c r="IA25">
        <v>104</v>
      </c>
      <c r="IB25">
        <v>82</v>
      </c>
      <c r="IC25">
        <v>82</v>
      </c>
      <c r="ID25">
        <v>82</v>
      </c>
      <c r="IE25">
        <v>82</v>
      </c>
      <c r="IF25">
        <v>186</v>
      </c>
      <c r="IG25">
        <v>124</v>
      </c>
      <c r="IH25">
        <v>136</v>
      </c>
      <c r="II25">
        <v>99</v>
      </c>
      <c r="IJ25">
        <v>178</v>
      </c>
      <c r="IK25">
        <v>178</v>
      </c>
      <c r="IL25">
        <v>99</v>
      </c>
      <c r="IM25">
        <v>99</v>
      </c>
      <c r="IN25">
        <v>105</v>
      </c>
      <c r="IO25">
        <v>105</v>
      </c>
      <c r="IP25">
        <v>99</v>
      </c>
      <c r="IQ25">
        <v>99</v>
      </c>
      <c r="IR25">
        <v>100</v>
      </c>
      <c r="IS25">
        <v>100</v>
      </c>
      <c r="IT25">
        <v>200</v>
      </c>
      <c r="IU25">
        <v>143</v>
      </c>
      <c r="IV25">
        <v>82</v>
      </c>
      <c r="IW25">
        <v>82</v>
      </c>
      <c r="IX25">
        <v>82</v>
      </c>
      <c r="IY25">
        <v>412</v>
      </c>
      <c r="IZ25">
        <v>412</v>
      </c>
      <c r="JA25">
        <v>82</v>
      </c>
      <c r="JB25">
        <v>82</v>
      </c>
      <c r="JC25">
        <v>109</v>
      </c>
      <c r="JD25">
        <v>178</v>
      </c>
      <c r="JE25">
        <v>99</v>
      </c>
      <c r="JF25">
        <v>82</v>
      </c>
      <c r="JG25">
        <v>109</v>
      </c>
      <c r="JH25">
        <v>140</v>
      </c>
      <c r="JI25">
        <v>140</v>
      </c>
      <c r="JJ25">
        <v>196</v>
      </c>
      <c r="JK25">
        <v>178</v>
      </c>
      <c r="JL25">
        <v>178</v>
      </c>
      <c r="JM25">
        <v>99</v>
      </c>
      <c r="JN25">
        <v>178</v>
      </c>
      <c r="JO25">
        <v>350</v>
      </c>
      <c r="JP25">
        <v>99</v>
      </c>
      <c r="JQ25">
        <v>99</v>
      </c>
      <c r="JR25">
        <v>99</v>
      </c>
      <c r="JS25">
        <v>392</v>
      </c>
      <c r="JT25">
        <v>97</v>
      </c>
      <c r="JU25">
        <v>99</v>
      </c>
      <c r="JV25">
        <v>761</v>
      </c>
      <c r="JW25">
        <v>178</v>
      </c>
      <c r="JX25">
        <v>124</v>
      </c>
      <c r="JY25">
        <v>103</v>
      </c>
      <c r="JZ25">
        <v>178</v>
      </c>
      <c r="KA25">
        <v>746</v>
      </c>
      <c r="KB25">
        <v>646</v>
      </c>
      <c r="KC25">
        <v>178</v>
      </c>
      <c r="KD25">
        <v>178</v>
      </c>
      <c r="KE25">
        <v>178</v>
      </c>
      <c r="KF25">
        <v>178</v>
      </c>
      <c r="KG25">
        <v>190</v>
      </c>
      <c r="KH25">
        <v>105</v>
      </c>
      <c r="KI25">
        <v>136</v>
      </c>
      <c r="KJ25">
        <v>134</v>
      </c>
      <c r="KK25">
        <v>136</v>
      </c>
      <c r="KL25">
        <v>136</v>
      </c>
      <c r="KM25">
        <v>99</v>
      </c>
      <c r="KN25">
        <v>105</v>
      </c>
      <c r="KO25">
        <v>99</v>
      </c>
      <c r="KP25">
        <v>105</v>
      </c>
      <c r="KQ25">
        <v>99</v>
      </c>
      <c r="KR25">
        <v>99</v>
      </c>
      <c r="KS25">
        <v>99</v>
      </c>
      <c r="KT25">
        <v>74</v>
      </c>
      <c r="KU25">
        <v>74</v>
      </c>
      <c r="KV25">
        <v>99</v>
      </c>
      <c r="KW25">
        <v>178</v>
      </c>
      <c r="KX25">
        <v>178</v>
      </c>
      <c r="KY25">
        <v>99</v>
      </c>
      <c r="KZ25">
        <v>104</v>
      </c>
      <c r="LA25">
        <v>178</v>
      </c>
      <c r="LB25">
        <v>178</v>
      </c>
      <c r="LC25">
        <v>211</v>
      </c>
      <c r="LD25">
        <v>196</v>
      </c>
      <c r="LE25">
        <v>69</v>
      </c>
      <c r="LF25">
        <v>69</v>
      </c>
      <c r="LG25">
        <v>144</v>
      </c>
      <c r="LH25">
        <v>144</v>
      </c>
      <c r="LI25">
        <v>103</v>
      </c>
      <c r="LJ25">
        <v>99</v>
      </c>
      <c r="LK25">
        <v>99</v>
      </c>
      <c r="LL25">
        <v>82</v>
      </c>
      <c r="LM25">
        <v>82</v>
      </c>
      <c r="LN25">
        <v>82</v>
      </c>
      <c r="LO25">
        <v>82</v>
      </c>
      <c r="LP25">
        <v>82</v>
      </c>
      <c r="LQ25">
        <v>99</v>
      </c>
      <c r="LR25">
        <v>79</v>
      </c>
      <c r="LS25">
        <v>79</v>
      </c>
      <c r="LT25">
        <v>108</v>
      </c>
      <c r="LU25">
        <v>109</v>
      </c>
      <c r="LV25">
        <v>109</v>
      </c>
      <c r="LW25">
        <v>99</v>
      </c>
      <c r="LX25">
        <v>99</v>
      </c>
      <c r="LY25">
        <v>99</v>
      </c>
      <c r="LZ25">
        <v>178</v>
      </c>
      <c r="MA25">
        <v>393</v>
      </c>
      <c r="MB25">
        <v>350</v>
      </c>
      <c r="MC25">
        <v>350</v>
      </c>
      <c r="MD25">
        <v>434</v>
      </c>
      <c r="ME25">
        <v>1283</v>
      </c>
      <c r="MF25">
        <v>351</v>
      </c>
      <c r="MG25">
        <v>140</v>
      </c>
      <c r="MH25">
        <v>140</v>
      </c>
      <c r="MI25">
        <v>140</v>
      </c>
      <c r="MJ25">
        <v>186</v>
      </c>
      <c r="MK25">
        <v>157</v>
      </c>
      <c r="ML25">
        <v>144</v>
      </c>
      <c r="MM25">
        <v>186</v>
      </c>
      <c r="MN25">
        <v>195</v>
      </c>
      <c r="MO25">
        <v>105</v>
      </c>
      <c r="MP25">
        <v>119</v>
      </c>
      <c r="MQ25">
        <v>593</v>
      </c>
      <c r="MR25">
        <v>119</v>
      </c>
      <c r="MS25">
        <v>332</v>
      </c>
      <c r="MT25">
        <v>120</v>
      </c>
      <c r="MU25">
        <v>80</v>
      </c>
      <c r="MV25">
        <v>536</v>
      </c>
      <c r="MW25">
        <v>105</v>
      </c>
      <c r="MX25">
        <v>144</v>
      </c>
      <c r="MY25">
        <v>144</v>
      </c>
      <c r="MZ25">
        <v>105</v>
      </c>
      <c r="NA25">
        <v>384</v>
      </c>
      <c r="NB25">
        <v>99</v>
      </c>
      <c r="NC25">
        <v>99</v>
      </c>
      <c r="ND25">
        <v>434</v>
      </c>
      <c r="NE25">
        <v>98</v>
      </c>
      <c r="NF25">
        <v>107</v>
      </c>
      <c r="NG25">
        <v>140</v>
      </c>
      <c r="NH25">
        <v>107</v>
      </c>
      <c r="NI25">
        <v>140</v>
      </c>
      <c r="NJ25">
        <v>99</v>
      </c>
      <c r="NK25">
        <v>99</v>
      </c>
      <c r="NL25">
        <v>178</v>
      </c>
      <c r="NM25">
        <v>103</v>
      </c>
      <c r="NN25">
        <v>103</v>
      </c>
      <c r="NO25">
        <v>103</v>
      </c>
      <c r="NP25">
        <v>120</v>
      </c>
      <c r="NQ25">
        <v>120</v>
      </c>
      <c r="NR25">
        <v>570</v>
      </c>
      <c r="NS25">
        <v>99</v>
      </c>
      <c r="NT25">
        <v>393</v>
      </c>
      <c r="NU25">
        <v>434</v>
      </c>
      <c r="NV25">
        <v>593</v>
      </c>
      <c r="NW25">
        <v>178</v>
      </c>
      <c r="NX25">
        <v>178</v>
      </c>
      <c r="NY25">
        <v>178</v>
      </c>
      <c r="NZ25">
        <v>178</v>
      </c>
      <c r="OA25">
        <v>136</v>
      </c>
      <c r="OB25">
        <v>122</v>
      </c>
      <c r="OC25">
        <v>82</v>
      </c>
      <c r="OD25">
        <v>82</v>
      </c>
      <c r="OE25">
        <v>105</v>
      </c>
      <c r="OF25">
        <v>434</v>
      </c>
      <c r="OG25">
        <v>350</v>
      </c>
      <c r="OH25">
        <v>99</v>
      </c>
      <c r="OI25">
        <v>99</v>
      </c>
      <c r="OJ25">
        <v>99</v>
      </c>
      <c r="OK25">
        <v>99</v>
      </c>
      <c r="OL25">
        <v>99</v>
      </c>
      <c r="OM25">
        <v>99</v>
      </c>
      <c r="ON25">
        <v>200</v>
      </c>
      <c r="OO25">
        <v>200</v>
      </c>
      <c r="OP25">
        <v>119</v>
      </c>
      <c r="OQ25">
        <v>105</v>
      </c>
      <c r="OR25">
        <v>105</v>
      </c>
      <c r="OS25">
        <v>195</v>
      </c>
      <c r="OT25">
        <v>710</v>
      </c>
      <c r="OU25">
        <v>82</v>
      </c>
      <c r="OV25">
        <v>80</v>
      </c>
      <c r="OW25">
        <v>107</v>
      </c>
      <c r="OX25">
        <v>140</v>
      </c>
      <c r="OY25">
        <v>136</v>
      </c>
      <c r="OZ25">
        <v>136</v>
      </c>
      <c r="PA25">
        <v>104</v>
      </c>
      <c r="PB25">
        <v>196</v>
      </c>
      <c r="PC25">
        <v>80</v>
      </c>
      <c r="PD25">
        <v>562</v>
      </c>
      <c r="PE25">
        <v>120</v>
      </c>
      <c r="PF25">
        <v>267</v>
      </c>
      <c r="PG25">
        <v>351</v>
      </c>
      <c r="PH25">
        <v>593</v>
      </c>
      <c r="PI25">
        <v>178</v>
      </c>
      <c r="PJ25">
        <v>99</v>
      </c>
      <c r="PK25">
        <v>134</v>
      </c>
      <c r="PL25">
        <v>103</v>
      </c>
      <c r="PM25">
        <v>103</v>
      </c>
      <c r="PN25">
        <v>710</v>
      </c>
      <c r="PO25">
        <v>710</v>
      </c>
      <c r="PP25">
        <v>710</v>
      </c>
      <c r="PQ25">
        <v>185</v>
      </c>
      <c r="PR25">
        <v>178</v>
      </c>
      <c r="PS25">
        <v>99</v>
      </c>
      <c r="PT25">
        <v>178</v>
      </c>
      <c r="PU25">
        <v>178</v>
      </c>
      <c r="PV25">
        <v>119</v>
      </c>
      <c r="PW25">
        <v>120</v>
      </c>
      <c r="PX25">
        <v>136</v>
      </c>
      <c r="PY25">
        <v>434</v>
      </c>
      <c r="PZ25">
        <v>512</v>
      </c>
      <c r="QA25">
        <v>99</v>
      </c>
      <c r="QB25">
        <v>80</v>
      </c>
      <c r="QC25">
        <v>269</v>
      </c>
      <c r="QD25">
        <v>178</v>
      </c>
      <c r="QE25">
        <v>140</v>
      </c>
      <c r="QF25">
        <v>136</v>
      </c>
      <c r="QG25">
        <v>731</v>
      </c>
      <c r="QH25">
        <v>731</v>
      </c>
      <c r="QI25">
        <v>660</v>
      </c>
      <c r="QJ25">
        <v>660</v>
      </c>
      <c r="QK25">
        <v>136</v>
      </c>
      <c r="QL25">
        <v>99</v>
      </c>
      <c r="QM25">
        <v>99</v>
      </c>
      <c r="QN25">
        <v>350</v>
      </c>
      <c r="QO25">
        <v>350</v>
      </c>
      <c r="QP25">
        <v>99</v>
      </c>
      <c r="QQ25">
        <v>178</v>
      </c>
      <c r="QR25">
        <v>99</v>
      </c>
      <c r="QS25">
        <v>109</v>
      </c>
      <c r="QT25">
        <v>143</v>
      </c>
      <c r="QU25">
        <v>434</v>
      </c>
      <c r="QV25">
        <v>178</v>
      </c>
      <c r="QW25">
        <v>99</v>
      </c>
      <c r="QX25">
        <v>140</v>
      </c>
      <c r="QY25">
        <v>190</v>
      </c>
      <c r="QZ25">
        <v>195</v>
      </c>
      <c r="RA25">
        <v>135</v>
      </c>
      <c r="RB25">
        <v>195</v>
      </c>
      <c r="RC25">
        <v>710</v>
      </c>
      <c r="RD25">
        <v>136</v>
      </c>
      <c r="RE25">
        <v>105</v>
      </c>
      <c r="RF25">
        <v>124</v>
      </c>
      <c r="RG25">
        <v>99</v>
      </c>
      <c r="RH25">
        <v>353</v>
      </c>
      <c r="RI25">
        <v>178</v>
      </c>
      <c r="RJ25">
        <v>99</v>
      </c>
      <c r="RK25">
        <v>136</v>
      </c>
      <c r="RL25">
        <v>99</v>
      </c>
      <c r="RM25">
        <v>187</v>
      </c>
      <c r="RN25">
        <v>99</v>
      </c>
      <c r="RO25">
        <v>761</v>
      </c>
      <c r="RP25">
        <v>761</v>
      </c>
      <c r="RQ25">
        <v>99</v>
      </c>
      <c r="RR25">
        <v>99</v>
      </c>
      <c r="RS25">
        <v>99</v>
      </c>
      <c r="RT25">
        <v>99</v>
      </c>
      <c r="RU25">
        <v>136</v>
      </c>
      <c r="RV25">
        <v>124</v>
      </c>
      <c r="RW25">
        <v>99</v>
      </c>
      <c r="RX25">
        <v>99</v>
      </c>
      <c r="RY25">
        <v>136</v>
      </c>
      <c r="RZ25">
        <v>105</v>
      </c>
      <c r="SA25">
        <v>136</v>
      </c>
      <c r="SB25">
        <v>100</v>
      </c>
      <c r="SC25">
        <v>99</v>
      </c>
      <c r="SD25">
        <v>178</v>
      </c>
      <c r="SE25">
        <v>99</v>
      </c>
      <c r="SF25">
        <v>99</v>
      </c>
      <c r="SG25">
        <v>99</v>
      </c>
      <c r="SH25">
        <v>99</v>
      </c>
      <c r="SI25">
        <v>82</v>
      </c>
      <c r="SJ25">
        <v>80</v>
      </c>
      <c r="SK25">
        <v>99</v>
      </c>
      <c r="SL25">
        <v>99</v>
      </c>
      <c r="SM25">
        <v>95</v>
      </c>
      <c r="SN25">
        <v>710</v>
      </c>
      <c r="SO25">
        <v>710</v>
      </c>
      <c r="SP25">
        <v>350</v>
      </c>
      <c r="SQ25">
        <v>120</v>
      </c>
      <c r="SR25">
        <v>104</v>
      </c>
      <c r="SS25">
        <v>710</v>
      </c>
      <c r="ST25">
        <v>710</v>
      </c>
      <c r="SU25">
        <v>99</v>
      </c>
      <c r="SV25">
        <v>99</v>
      </c>
      <c r="SW25">
        <v>80</v>
      </c>
      <c r="SX25">
        <v>178</v>
      </c>
      <c r="SY25">
        <v>269</v>
      </c>
      <c r="SZ25">
        <v>325</v>
      </c>
      <c r="TA25">
        <v>350</v>
      </c>
      <c r="TB25">
        <v>119</v>
      </c>
      <c r="TC25">
        <v>120</v>
      </c>
      <c r="TD25">
        <v>140</v>
      </c>
      <c r="TE25">
        <v>140</v>
      </c>
      <c r="TF25">
        <v>99</v>
      </c>
      <c r="TG25">
        <v>105</v>
      </c>
      <c r="TH25">
        <v>100</v>
      </c>
      <c r="TI25">
        <v>120</v>
      </c>
      <c r="TJ25">
        <v>139</v>
      </c>
      <c r="TK25">
        <v>135</v>
      </c>
      <c r="TL25">
        <v>190</v>
      </c>
      <c r="TM25">
        <v>99</v>
      </c>
      <c r="TN25">
        <v>99</v>
      </c>
      <c r="TO25">
        <v>1283</v>
      </c>
      <c r="TP25">
        <v>537</v>
      </c>
      <c r="TQ25">
        <v>178</v>
      </c>
      <c r="TR25">
        <v>178</v>
      </c>
      <c r="TS25">
        <v>178</v>
      </c>
      <c r="TT25">
        <v>105</v>
      </c>
      <c r="TU25">
        <v>105</v>
      </c>
      <c r="TV25">
        <v>136</v>
      </c>
      <c r="TW25">
        <v>105</v>
      </c>
      <c r="TX25">
        <v>82</v>
      </c>
      <c r="TY25">
        <v>82</v>
      </c>
      <c r="TZ25">
        <v>119</v>
      </c>
      <c r="UA25">
        <v>332</v>
      </c>
      <c r="UB25">
        <v>109</v>
      </c>
      <c r="UC25">
        <v>82</v>
      </c>
      <c r="UD25">
        <v>186</v>
      </c>
      <c r="UE25">
        <v>105</v>
      </c>
      <c r="UF25">
        <v>434</v>
      </c>
      <c r="UG25">
        <v>1577</v>
      </c>
      <c r="UH25">
        <v>105</v>
      </c>
      <c r="UI25">
        <v>105</v>
      </c>
      <c r="UJ25">
        <v>267</v>
      </c>
      <c r="UK25">
        <v>269</v>
      </c>
      <c r="UL25">
        <v>269</v>
      </c>
      <c r="UM25">
        <v>593</v>
      </c>
      <c r="UN25">
        <v>178</v>
      </c>
      <c r="UO25">
        <v>136</v>
      </c>
      <c r="UP25">
        <v>467</v>
      </c>
      <c r="UQ25">
        <v>63</v>
      </c>
      <c r="UR25">
        <v>195</v>
      </c>
      <c r="US25">
        <v>178</v>
      </c>
      <c r="UT25">
        <v>125</v>
      </c>
      <c r="UU25">
        <v>125</v>
      </c>
      <c r="UV25">
        <v>99</v>
      </c>
      <c r="UW25">
        <v>95</v>
      </c>
      <c r="UX25">
        <v>99</v>
      </c>
      <c r="UY25">
        <v>178</v>
      </c>
      <c r="UZ25">
        <v>178</v>
      </c>
      <c r="VA25">
        <v>105</v>
      </c>
      <c r="VB25">
        <v>99</v>
      </c>
      <c r="VC25">
        <v>99</v>
      </c>
      <c r="VD25">
        <v>105</v>
      </c>
      <c r="VE25">
        <v>105</v>
      </c>
      <c r="VF25">
        <v>105</v>
      </c>
      <c r="VG25">
        <v>710</v>
      </c>
      <c r="VH25">
        <v>710</v>
      </c>
      <c r="VI25">
        <v>79</v>
      </c>
      <c r="VJ25">
        <v>79</v>
      </c>
      <c r="VK25">
        <v>105</v>
      </c>
      <c r="VL25">
        <v>178</v>
      </c>
      <c r="VM25">
        <v>186</v>
      </c>
      <c r="VN25">
        <v>178</v>
      </c>
      <c r="VO25">
        <v>685</v>
      </c>
    </row>
    <row r="26" spans="1:587" x14ac:dyDescent="0.3">
      <c r="A26" t="s">
        <v>3021</v>
      </c>
      <c r="B26" cm="1">
        <f t="array" ref="B26:VO26">1*TRANSPOSE(_xlfn._xlws.FILTER(branch!$I$2:$I$591,branch!$D$2:$D$591&lt;&gt;0))</f>
        <v>99</v>
      </c>
      <c r="C26">
        <v>99</v>
      </c>
      <c r="D26">
        <v>178</v>
      </c>
      <c r="E26">
        <v>145</v>
      </c>
      <c r="F26">
        <v>536</v>
      </c>
      <c r="G26">
        <v>393</v>
      </c>
      <c r="H26">
        <v>393</v>
      </c>
      <c r="I26">
        <v>593</v>
      </c>
      <c r="J26">
        <v>434</v>
      </c>
      <c r="K26">
        <v>99</v>
      </c>
      <c r="L26">
        <v>140</v>
      </c>
      <c r="M26">
        <v>103</v>
      </c>
      <c r="N26">
        <v>109</v>
      </c>
      <c r="O26">
        <v>105</v>
      </c>
      <c r="P26">
        <v>99</v>
      </c>
      <c r="Q26">
        <v>187</v>
      </c>
      <c r="R26">
        <v>187</v>
      </c>
      <c r="S26">
        <v>187</v>
      </c>
      <c r="T26">
        <v>104</v>
      </c>
      <c r="U26">
        <v>112</v>
      </c>
      <c r="V26">
        <v>105</v>
      </c>
      <c r="W26">
        <v>82</v>
      </c>
      <c r="X26">
        <v>82</v>
      </c>
      <c r="Y26">
        <v>105</v>
      </c>
      <c r="Z26">
        <v>105</v>
      </c>
      <c r="AA26">
        <v>99</v>
      </c>
      <c r="AB26">
        <v>178</v>
      </c>
      <c r="AC26">
        <v>434</v>
      </c>
      <c r="AD26">
        <v>434</v>
      </c>
      <c r="AE26">
        <v>34</v>
      </c>
      <c r="AF26">
        <v>120</v>
      </c>
      <c r="AG26">
        <v>120</v>
      </c>
      <c r="AH26">
        <v>104</v>
      </c>
      <c r="AI26">
        <v>178</v>
      </c>
      <c r="AJ26">
        <v>178</v>
      </c>
      <c r="AK26">
        <v>178</v>
      </c>
      <c r="AL26">
        <v>178</v>
      </c>
      <c r="AM26">
        <v>120</v>
      </c>
      <c r="AN26">
        <v>178</v>
      </c>
      <c r="AO26">
        <v>99</v>
      </c>
      <c r="AP26">
        <v>178</v>
      </c>
      <c r="AQ26">
        <v>140</v>
      </c>
      <c r="AR26">
        <v>140</v>
      </c>
      <c r="AS26">
        <v>99</v>
      </c>
      <c r="AT26">
        <v>105</v>
      </c>
      <c r="AU26">
        <v>99</v>
      </c>
      <c r="AV26">
        <v>96</v>
      </c>
      <c r="AW26">
        <v>96</v>
      </c>
      <c r="AX26">
        <v>178</v>
      </c>
      <c r="AY26">
        <v>178</v>
      </c>
      <c r="AZ26">
        <v>120</v>
      </c>
      <c r="BA26">
        <v>120</v>
      </c>
      <c r="BB26">
        <v>178</v>
      </c>
      <c r="BC26">
        <v>178</v>
      </c>
      <c r="BD26">
        <v>178</v>
      </c>
      <c r="BE26">
        <v>105</v>
      </c>
      <c r="BF26">
        <v>99</v>
      </c>
      <c r="BG26">
        <v>99</v>
      </c>
      <c r="BH26">
        <v>99</v>
      </c>
      <c r="BI26">
        <v>82</v>
      </c>
      <c r="BJ26">
        <v>82</v>
      </c>
      <c r="BK26">
        <v>136</v>
      </c>
      <c r="BL26">
        <v>140</v>
      </c>
      <c r="BM26">
        <v>130</v>
      </c>
      <c r="BN26">
        <v>99</v>
      </c>
      <c r="BO26">
        <v>122</v>
      </c>
      <c r="BP26">
        <v>196</v>
      </c>
      <c r="BQ26">
        <v>178</v>
      </c>
      <c r="BR26">
        <v>136</v>
      </c>
      <c r="BS26">
        <v>178</v>
      </c>
      <c r="BT26">
        <v>124</v>
      </c>
      <c r="BU26">
        <v>178</v>
      </c>
      <c r="BV26">
        <v>178</v>
      </c>
      <c r="BW26">
        <v>178</v>
      </c>
      <c r="BX26">
        <v>99</v>
      </c>
      <c r="BY26">
        <v>136</v>
      </c>
      <c r="BZ26">
        <v>195</v>
      </c>
      <c r="CA26">
        <v>178</v>
      </c>
      <c r="CB26">
        <v>178</v>
      </c>
      <c r="CC26">
        <v>192</v>
      </c>
      <c r="CD26">
        <v>187</v>
      </c>
      <c r="CE26">
        <v>120</v>
      </c>
      <c r="CF26">
        <v>187</v>
      </c>
      <c r="CG26">
        <v>187</v>
      </c>
      <c r="CH26">
        <v>187</v>
      </c>
      <c r="CI26">
        <v>119</v>
      </c>
      <c r="CJ26">
        <v>119</v>
      </c>
      <c r="CK26">
        <v>570</v>
      </c>
      <c r="CL26">
        <v>570</v>
      </c>
      <c r="CM26">
        <v>140</v>
      </c>
      <c r="CN26">
        <v>140</v>
      </c>
      <c r="CO26">
        <v>842</v>
      </c>
      <c r="CP26">
        <v>105</v>
      </c>
      <c r="CQ26">
        <v>109</v>
      </c>
      <c r="CR26">
        <v>109</v>
      </c>
      <c r="CS26">
        <v>82</v>
      </c>
      <c r="CT26">
        <v>82</v>
      </c>
      <c r="CU26">
        <v>75</v>
      </c>
      <c r="CV26">
        <v>75</v>
      </c>
      <c r="CW26">
        <v>178</v>
      </c>
      <c r="CX26">
        <v>178</v>
      </c>
      <c r="CY26">
        <v>178</v>
      </c>
      <c r="CZ26">
        <v>178</v>
      </c>
      <c r="DA26">
        <v>82</v>
      </c>
      <c r="DB26">
        <v>82</v>
      </c>
      <c r="DC26">
        <v>710</v>
      </c>
      <c r="DD26">
        <v>69</v>
      </c>
      <c r="DE26">
        <v>70</v>
      </c>
      <c r="DF26">
        <v>710</v>
      </c>
      <c r="DG26">
        <v>710</v>
      </c>
      <c r="DH26">
        <v>710</v>
      </c>
      <c r="DI26">
        <v>144</v>
      </c>
      <c r="DJ26">
        <v>63</v>
      </c>
      <c r="DK26">
        <v>99</v>
      </c>
      <c r="DL26">
        <v>570</v>
      </c>
      <c r="DM26">
        <v>570</v>
      </c>
      <c r="DN26">
        <v>178</v>
      </c>
      <c r="DO26">
        <v>200</v>
      </c>
      <c r="DP26">
        <v>109</v>
      </c>
      <c r="DQ26">
        <v>109</v>
      </c>
      <c r="DR26">
        <v>79</v>
      </c>
      <c r="DS26">
        <v>79</v>
      </c>
      <c r="DT26">
        <v>434</v>
      </c>
      <c r="DU26">
        <v>740</v>
      </c>
      <c r="DV26">
        <v>228</v>
      </c>
      <c r="DW26">
        <v>115</v>
      </c>
      <c r="DX26">
        <v>195</v>
      </c>
      <c r="DY26">
        <v>124</v>
      </c>
      <c r="DZ26">
        <v>80</v>
      </c>
      <c r="EA26">
        <v>120</v>
      </c>
      <c r="EB26">
        <v>105</v>
      </c>
      <c r="EC26">
        <v>178</v>
      </c>
      <c r="ED26">
        <v>178</v>
      </c>
      <c r="EE26">
        <v>178</v>
      </c>
      <c r="EF26">
        <v>69</v>
      </c>
      <c r="EG26">
        <v>70</v>
      </c>
      <c r="EH26">
        <v>69</v>
      </c>
      <c r="EI26">
        <v>69</v>
      </c>
      <c r="EJ26">
        <v>132</v>
      </c>
      <c r="EK26">
        <v>132</v>
      </c>
      <c r="EL26">
        <v>710</v>
      </c>
      <c r="EM26">
        <v>710</v>
      </c>
      <c r="EN26">
        <v>66</v>
      </c>
      <c r="EO26">
        <v>66</v>
      </c>
      <c r="EP26">
        <v>710</v>
      </c>
      <c r="EQ26">
        <v>109</v>
      </c>
      <c r="ER26">
        <v>109</v>
      </c>
      <c r="ES26">
        <v>82</v>
      </c>
      <c r="ET26">
        <v>82</v>
      </c>
      <c r="EU26">
        <v>144</v>
      </c>
      <c r="EV26">
        <v>144</v>
      </c>
      <c r="EW26">
        <v>710</v>
      </c>
      <c r="EX26">
        <v>178</v>
      </c>
      <c r="EY26">
        <v>124</v>
      </c>
      <c r="EZ26">
        <v>99</v>
      </c>
      <c r="FA26">
        <v>99</v>
      </c>
      <c r="FB26">
        <v>99</v>
      </c>
      <c r="FC26">
        <v>761</v>
      </c>
      <c r="FD26">
        <v>187</v>
      </c>
      <c r="FE26">
        <v>761</v>
      </c>
      <c r="FF26">
        <v>761</v>
      </c>
      <c r="FG26">
        <v>761</v>
      </c>
      <c r="FH26">
        <v>178</v>
      </c>
      <c r="FI26">
        <v>178</v>
      </c>
      <c r="FJ26">
        <v>115</v>
      </c>
      <c r="FK26">
        <v>434</v>
      </c>
      <c r="FL26">
        <v>434</v>
      </c>
      <c r="FM26">
        <v>555</v>
      </c>
      <c r="FN26">
        <v>123</v>
      </c>
      <c r="FO26">
        <v>178</v>
      </c>
      <c r="FP26">
        <v>130</v>
      </c>
      <c r="FQ26">
        <v>178</v>
      </c>
      <c r="FR26">
        <v>103</v>
      </c>
      <c r="FS26">
        <v>238</v>
      </c>
      <c r="FT26">
        <v>434</v>
      </c>
      <c r="FU26">
        <v>178</v>
      </c>
      <c r="FV26">
        <v>132</v>
      </c>
      <c r="FW26">
        <v>178</v>
      </c>
      <c r="FX26">
        <v>144</v>
      </c>
      <c r="FY26">
        <v>144</v>
      </c>
      <c r="FZ26">
        <v>140</v>
      </c>
      <c r="GA26">
        <v>140</v>
      </c>
      <c r="GB26">
        <v>136</v>
      </c>
      <c r="GC26">
        <v>178</v>
      </c>
      <c r="GD26">
        <v>178</v>
      </c>
      <c r="GE26">
        <v>178</v>
      </c>
      <c r="GF26">
        <v>196</v>
      </c>
      <c r="GG26">
        <v>178</v>
      </c>
      <c r="GH26">
        <v>178</v>
      </c>
      <c r="GI26">
        <v>178</v>
      </c>
      <c r="GJ26">
        <v>130</v>
      </c>
      <c r="GK26">
        <v>99</v>
      </c>
      <c r="GL26">
        <v>136</v>
      </c>
      <c r="GM26">
        <v>178</v>
      </c>
      <c r="GN26">
        <v>105</v>
      </c>
      <c r="GO26">
        <v>187</v>
      </c>
      <c r="GP26">
        <v>187</v>
      </c>
      <c r="GQ26">
        <v>187</v>
      </c>
      <c r="GR26">
        <v>105</v>
      </c>
      <c r="GS26">
        <v>130</v>
      </c>
      <c r="GT26">
        <v>434</v>
      </c>
      <c r="GU26">
        <v>105</v>
      </c>
      <c r="GV26">
        <v>105</v>
      </c>
      <c r="GW26">
        <v>593</v>
      </c>
      <c r="GX26">
        <v>119</v>
      </c>
      <c r="GY26">
        <v>178</v>
      </c>
      <c r="GZ26">
        <v>120</v>
      </c>
      <c r="HA26">
        <v>178</v>
      </c>
      <c r="HB26">
        <v>178</v>
      </c>
      <c r="HC26">
        <v>178</v>
      </c>
      <c r="HD26">
        <v>646</v>
      </c>
      <c r="HE26">
        <v>161</v>
      </c>
      <c r="HF26">
        <v>161</v>
      </c>
      <c r="HG26">
        <v>434</v>
      </c>
      <c r="HH26">
        <v>434</v>
      </c>
      <c r="HI26">
        <v>187</v>
      </c>
      <c r="HJ26">
        <v>124</v>
      </c>
      <c r="HK26">
        <v>99</v>
      </c>
      <c r="HL26">
        <v>105</v>
      </c>
      <c r="HM26">
        <v>63</v>
      </c>
      <c r="HN26">
        <v>178</v>
      </c>
      <c r="HO26">
        <v>187</v>
      </c>
      <c r="HP26">
        <v>136</v>
      </c>
      <c r="HQ26">
        <v>187</v>
      </c>
      <c r="HR26">
        <v>187</v>
      </c>
      <c r="HS26">
        <v>99</v>
      </c>
      <c r="HT26">
        <v>99</v>
      </c>
      <c r="HU26">
        <v>105</v>
      </c>
      <c r="HV26">
        <v>178</v>
      </c>
      <c r="HW26">
        <v>178</v>
      </c>
      <c r="HX26">
        <v>1577</v>
      </c>
      <c r="HY26">
        <v>1577</v>
      </c>
      <c r="HZ26">
        <v>143</v>
      </c>
      <c r="IA26">
        <v>104</v>
      </c>
      <c r="IB26">
        <v>82</v>
      </c>
      <c r="IC26">
        <v>82</v>
      </c>
      <c r="ID26">
        <v>82</v>
      </c>
      <c r="IE26">
        <v>82</v>
      </c>
      <c r="IF26">
        <v>186</v>
      </c>
      <c r="IG26">
        <v>124</v>
      </c>
      <c r="IH26">
        <v>136</v>
      </c>
      <c r="II26">
        <v>99</v>
      </c>
      <c r="IJ26">
        <v>178</v>
      </c>
      <c r="IK26">
        <v>178</v>
      </c>
      <c r="IL26">
        <v>99</v>
      </c>
      <c r="IM26">
        <v>99</v>
      </c>
      <c r="IN26">
        <v>105</v>
      </c>
      <c r="IO26">
        <v>105</v>
      </c>
      <c r="IP26">
        <v>99</v>
      </c>
      <c r="IQ26">
        <v>99</v>
      </c>
      <c r="IR26">
        <v>100</v>
      </c>
      <c r="IS26">
        <v>100</v>
      </c>
      <c r="IT26">
        <v>200</v>
      </c>
      <c r="IU26">
        <v>143</v>
      </c>
      <c r="IV26">
        <v>82</v>
      </c>
      <c r="IW26">
        <v>82</v>
      </c>
      <c r="IX26">
        <v>82</v>
      </c>
      <c r="IY26">
        <v>412</v>
      </c>
      <c r="IZ26">
        <v>412</v>
      </c>
      <c r="JA26">
        <v>82</v>
      </c>
      <c r="JB26">
        <v>82</v>
      </c>
      <c r="JC26">
        <v>109</v>
      </c>
      <c r="JD26">
        <v>178</v>
      </c>
      <c r="JE26">
        <v>99</v>
      </c>
      <c r="JF26">
        <v>82</v>
      </c>
      <c r="JG26">
        <v>109</v>
      </c>
      <c r="JH26">
        <v>140</v>
      </c>
      <c r="JI26">
        <v>140</v>
      </c>
      <c r="JJ26">
        <v>196</v>
      </c>
      <c r="JK26">
        <v>178</v>
      </c>
      <c r="JL26">
        <v>178</v>
      </c>
      <c r="JM26">
        <v>99</v>
      </c>
      <c r="JN26">
        <v>178</v>
      </c>
      <c r="JO26">
        <v>350</v>
      </c>
      <c r="JP26">
        <v>99</v>
      </c>
      <c r="JQ26">
        <v>99</v>
      </c>
      <c r="JR26">
        <v>99</v>
      </c>
      <c r="JS26">
        <v>392</v>
      </c>
      <c r="JT26">
        <v>97</v>
      </c>
      <c r="JU26">
        <v>99</v>
      </c>
      <c r="JV26">
        <v>761</v>
      </c>
      <c r="JW26">
        <v>178</v>
      </c>
      <c r="JX26">
        <v>124</v>
      </c>
      <c r="JY26">
        <v>103</v>
      </c>
      <c r="JZ26">
        <v>178</v>
      </c>
      <c r="KA26">
        <v>746</v>
      </c>
      <c r="KB26">
        <v>646</v>
      </c>
      <c r="KC26">
        <v>178</v>
      </c>
      <c r="KD26">
        <v>178</v>
      </c>
      <c r="KE26">
        <v>178</v>
      </c>
      <c r="KF26">
        <v>178</v>
      </c>
      <c r="KG26">
        <v>190</v>
      </c>
      <c r="KH26">
        <v>105</v>
      </c>
      <c r="KI26">
        <v>136</v>
      </c>
      <c r="KJ26">
        <v>134</v>
      </c>
      <c r="KK26">
        <v>136</v>
      </c>
      <c r="KL26">
        <v>136</v>
      </c>
      <c r="KM26">
        <v>99</v>
      </c>
      <c r="KN26">
        <v>105</v>
      </c>
      <c r="KO26">
        <v>99</v>
      </c>
      <c r="KP26">
        <v>105</v>
      </c>
      <c r="KQ26">
        <v>99</v>
      </c>
      <c r="KR26">
        <v>99</v>
      </c>
      <c r="KS26">
        <v>99</v>
      </c>
      <c r="KT26">
        <v>74</v>
      </c>
      <c r="KU26">
        <v>74</v>
      </c>
      <c r="KV26">
        <v>99</v>
      </c>
      <c r="KW26">
        <v>178</v>
      </c>
      <c r="KX26">
        <v>178</v>
      </c>
      <c r="KY26">
        <v>99</v>
      </c>
      <c r="KZ26">
        <v>104</v>
      </c>
      <c r="LA26">
        <v>178</v>
      </c>
      <c r="LB26">
        <v>178</v>
      </c>
      <c r="LC26">
        <v>211</v>
      </c>
      <c r="LD26">
        <v>196</v>
      </c>
      <c r="LE26">
        <v>69</v>
      </c>
      <c r="LF26">
        <v>69</v>
      </c>
      <c r="LG26">
        <v>144</v>
      </c>
      <c r="LH26">
        <v>144</v>
      </c>
      <c r="LI26">
        <v>103</v>
      </c>
      <c r="LJ26">
        <v>99</v>
      </c>
      <c r="LK26">
        <v>99</v>
      </c>
      <c r="LL26">
        <v>82</v>
      </c>
      <c r="LM26">
        <v>82</v>
      </c>
      <c r="LN26">
        <v>82</v>
      </c>
      <c r="LO26">
        <v>82</v>
      </c>
      <c r="LP26">
        <v>82</v>
      </c>
      <c r="LQ26">
        <v>99</v>
      </c>
      <c r="LR26">
        <v>79</v>
      </c>
      <c r="LS26">
        <v>79</v>
      </c>
      <c r="LT26">
        <v>108</v>
      </c>
      <c r="LU26">
        <v>109</v>
      </c>
      <c r="LV26">
        <v>109</v>
      </c>
      <c r="LW26">
        <v>99</v>
      </c>
      <c r="LX26">
        <v>99</v>
      </c>
      <c r="LY26">
        <v>99</v>
      </c>
      <c r="LZ26">
        <v>178</v>
      </c>
      <c r="MA26">
        <v>393</v>
      </c>
      <c r="MB26">
        <v>350</v>
      </c>
      <c r="MC26">
        <v>350</v>
      </c>
      <c r="MD26">
        <v>434</v>
      </c>
      <c r="ME26">
        <v>1283</v>
      </c>
      <c r="MF26">
        <v>351</v>
      </c>
      <c r="MG26">
        <v>140</v>
      </c>
      <c r="MH26">
        <v>140</v>
      </c>
      <c r="MI26">
        <v>140</v>
      </c>
      <c r="MJ26">
        <v>186</v>
      </c>
      <c r="MK26">
        <v>157</v>
      </c>
      <c r="ML26">
        <v>144</v>
      </c>
      <c r="MM26">
        <v>186</v>
      </c>
      <c r="MN26">
        <v>195</v>
      </c>
      <c r="MO26">
        <v>105</v>
      </c>
      <c r="MP26">
        <v>119</v>
      </c>
      <c r="MQ26">
        <v>593</v>
      </c>
      <c r="MR26">
        <v>119</v>
      </c>
      <c r="MS26">
        <v>332</v>
      </c>
      <c r="MT26">
        <v>120</v>
      </c>
      <c r="MU26">
        <v>80</v>
      </c>
      <c r="MV26">
        <v>536</v>
      </c>
      <c r="MW26">
        <v>105</v>
      </c>
      <c r="MX26">
        <v>144</v>
      </c>
      <c r="MY26">
        <v>144</v>
      </c>
      <c r="MZ26">
        <v>105</v>
      </c>
      <c r="NA26">
        <v>384</v>
      </c>
      <c r="NB26">
        <v>99</v>
      </c>
      <c r="NC26">
        <v>99</v>
      </c>
      <c r="ND26">
        <v>434</v>
      </c>
      <c r="NE26">
        <v>98</v>
      </c>
      <c r="NF26">
        <v>107</v>
      </c>
      <c r="NG26">
        <v>140</v>
      </c>
      <c r="NH26">
        <v>107</v>
      </c>
      <c r="NI26">
        <v>140</v>
      </c>
      <c r="NJ26">
        <v>99</v>
      </c>
      <c r="NK26">
        <v>99</v>
      </c>
      <c r="NL26">
        <v>178</v>
      </c>
      <c r="NM26">
        <v>103</v>
      </c>
      <c r="NN26">
        <v>103</v>
      </c>
      <c r="NO26">
        <v>103</v>
      </c>
      <c r="NP26">
        <v>120</v>
      </c>
      <c r="NQ26">
        <v>120</v>
      </c>
      <c r="NR26">
        <v>570</v>
      </c>
      <c r="NS26">
        <v>99</v>
      </c>
      <c r="NT26">
        <v>393</v>
      </c>
      <c r="NU26">
        <v>434</v>
      </c>
      <c r="NV26">
        <v>593</v>
      </c>
      <c r="NW26">
        <v>178</v>
      </c>
      <c r="NX26">
        <v>178</v>
      </c>
      <c r="NY26">
        <v>178</v>
      </c>
      <c r="NZ26">
        <v>178</v>
      </c>
      <c r="OA26">
        <v>136</v>
      </c>
      <c r="OB26">
        <v>122</v>
      </c>
      <c r="OC26">
        <v>82</v>
      </c>
      <c r="OD26">
        <v>82</v>
      </c>
      <c r="OE26">
        <v>105</v>
      </c>
      <c r="OF26">
        <v>434</v>
      </c>
      <c r="OG26">
        <v>350</v>
      </c>
      <c r="OH26">
        <v>99</v>
      </c>
      <c r="OI26">
        <v>99</v>
      </c>
      <c r="OJ26">
        <v>99</v>
      </c>
      <c r="OK26">
        <v>99</v>
      </c>
      <c r="OL26">
        <v>99</v>
      </c>
      <c r="OM26">
        <v>99</v>
      </c>
      <c r="ON26">
        <v>200</v>
      </c>
      <c r="OO26">
        <v>200</v>
      </c>
      <c r="OP26">
        <v>119</v>
      </c>
      <c r="OQ26">
        <v>105</v>
      </c>
      <c r="OR26">
        <v>105</v>
      </c>
      <c r="OS26">
        <v>195</v>
      </c>
      <c r="OT26">
        <v>710</v>
      </c>
      <c r="OU26">
        <v>82</v>
      </c>
      <c r="OV26">
        <v>80</v>
      </c>
      <c r="OW26">
        <v>107</v>
      </c>
      <c r="OX26">
        <v>140</v>
      </c>
      <c r="OY26">
        <v>136</v>
      </c>
      <c r="OZ26">
        <v>136</v>
      </c>
      <c r="PA26">
        <v>104</v>
      </c>
      <c r="PB26">
        <v>196</v>
      </c>
      <c r="PC26">
        <v>80</v>
      </c>
      <c r="PD26">
        <v>562</v>
      </c>
      <c r="PE26">
        <v>120</v>
      </c>
      <c r="PF26">
        <v>267</v>
      </c>
      <c r="PG26">
        <v>351</v>
      </c>
      <c r="PH26">
        <v>593</v>
      </c>
      <c r="PI26">
        <v>178</v>
      </c>
      <c r="PJ26">
        <v>99</v>
      </c>
      <c r="PK26">
        <v>134</v>
      </c>
      <c r="PL26">
        <v>103</v>
      </c>
      <c r="PM26">
        <v>103</v>
      </c>
      <c r="PN26">
        <v>710</v>
      </c>
      <c r="PO26">
        <v>710</v>
      </c>
      <c r="PP26">
        <v>710</v>
      </c>
      <c r="PQ26">
        <v>185</v>
      </c>
      <c r="PR26">
        <v>178</v>
      </c>
      <c r="PS26">
        <v>99</v>
      </c>
      <c r="PT26">
        <v>178</v>
      </c>
      <c r="PU26">
        <v>178</v>
      </c>
      <c r="PV26">
        <v>119</v>
      </c>
      <c r="PW26">
        <v>120</v>
      </c>
      <c r="PX26">
        <v>136</v>
      </c>
      <c r="PY26">
        <v>434</v>
      </c>
      <c r="PZ26">
        <v>512</v>
      </c>
      <c r="QA26">
        <v>99</v>
      </c>
      <c r="QB26">
        <v>80</v>
      </c>
      <c r="QC26">
        <v>269</v>
      </c>
      <c r="QD26">
        <v>178</v>
      </c>
      <c r="QE26">
        <v>140</v>
      </c>
      <c r="QF26">
        <v>136</v>
      </c>
      <c r="QG26">
        <v>731</v>
      </c>
      <c r="QH26">
        <v>731</v>
      </c>
      <c r="QI26">
        <v>660</v>
      </c>
      <c r="QJ26">
        <v>660</v>
      </c>
      <c r="QK26">
        <v>136</v>
      </c>
      <c r="QL26">
        <v>99</v>
      </c>
      <c r="QM26">
        <v>99</v>
      </c>
      <c r="QN26">
        <v>350</v>
      </c>
      <c r="QO26">
        <v>350</v>
      </c>
      <c r="QP26">
        <v>99</v>
      </c>
      <c r="QQ26">
        <v>178</v>
      </c>
      <c r="QR26">
        <v>99</v>
      </c>
      <c r="QS26">
        <v>109</v>
      </c>
      <c r="QT26">
        <v>143</v>
      </c>
      <c r="QU26">
        <v>434</v>
      </c>
      <c r="QV26">
        <v>178</v>
      </c>
      <c r="QW26">
        <v>99</v>
      </c>
      <c r="QX26">
        <v>140</v>
      </c>
      <c r="QY26">
        <v>190</v>
      </c>
      <c r="QZ26">
        <v>195</v>
      </c>
      <c r="RA26">
        <v>135</v>
      </c>
      <c r="RB26">
        <v>195</v>
      </c>
      <c r="RC26">
        <v>710</v>
      </c>
      <c r="RD26">
        <v>136</v>
      </c>
      <c r="RE26">
        <v>105</v>
      </c>
      <c r="RF26">
        <v>124</v>
      </c>
      <c r="RG26">
        <v>99</v>
      </c>
      <c r="RH26">
        <v>353</v>
      </c>
      <c r="RI26">
        <v>178</v>
      </c>
      <c r="RJ26">
        <v>99</v>
      </c>
      <c r="RK26">
        <v>136</v>
      </c>
      <c r="RL26">
        <v>99</v>
      </c>
      <c r="RM26">
        <v>187</v>
      </c>
      <c r="RN26">
        <v>99</v>
      </c>
      <c r="RO26">
        <v>761</v>
      </c>
      <c r="RP26">
        <v>761</v>
      </c>
      <c r="RQ26">
        <v>99</v>
      </c>
      <c r="RR26">
        <v>99</v>
      </c>
      <c r="RS26">
        <v>99</v>
      </c>
      <c r="RT26">
        <v>99</v>
      </c>
      <c r="RU26">
        <v>136</v>
      </c>
      <c r="RV26">
        <v>124</v>
      </c>
      <c r="RW26">
        <v>99</v>
      </c>
      <c r="RX26">
        <v>99</v>
      </c>
      <c r="RY26">
        <v>136</v>
      </c>
      <c r="RZ26">
        <v>105</v>
      </c>
      <c r="SA26">
        <v>136</v>
      </c>
      <c r="SB26">
        <v>100</v>
      </c>
      <c r="SC26">
        <v>99</v>
      </c>
      <c r="SD26">
        <v>178</v>
      </c>
      <c r="SE26">
        <v>99</v>
      </c>
      <c r="SF26">
        <v>99</v>
      </c>
      <c r="SG26">
        <v>99</v>
      </c>
      <c r="SH26">
        <v>99</v>
      </c>
      <c r="SI26">
        <v>82</v>
      </c>
      <c r="SJ26">
        <v>80</v>
      </c>
      <c r="SK26">
        <v>99</v>
      </c>
      <c r="SL26">
        <v>99</v>
      </c>
      <c r="SM26">
        <v>95</v>
      </c>
      <c r="SN26">
        <v>710</v>
      </c>
      <c r="SO26">
        <v>710</v>
      </c>
      <c r="SP26">
        <v>350</v>
      </c>
      <c r="SQ26">
        <v>120</v>
      </c>
      <c r="SR26">
        <v>104</v>
      </c>
      <c r="SS26">
        <v>710</v>
      </c>
      <c r="ST26">
        <v>710</v>
      </c>
      <c r="SU26">
        <v>99</v>
      </c>
      <c r="SV26">
        <v>99</v>
      </c>
      <c r="SW26">
        <v>80</v>
      </c>
      <c r="SX26">
        <v>178</v>
      </c>
      <c r="SY26">
        <v>269</v>
      </c>
      <c r="SZ26">
        <v>325</v>
      </c>
      <c r="TA26">
        <v>350</v>
      </c>
      <c r="TB26">
        <v>119</v>
      </c>
      <c r="TC26">
        <v>120</v>
      </c>
      <c r="TD26">
        <v>140</v>
      </c>
      <c r="TE26">
        <v>140</v>
      </c>
      <c r="TF26">
        <v>99</v>
      </c>
      <c r="TG26">
        <v>105</v>
      </c>
      <c r="TH26">
        <v>100</v>
      </c>
      <c r="TI26">
        <v>120</v>
      </c>
      <c r="TJ26">
        <v>139</v>
      </c>
      <c r="TK26">
        <v>135</v>
      </c>
      <c r="TL26">
        <v>190</v>
      </c>
      <c r="TM26">
        <v>99</v>
      </c>
      <c r="TN26">
        <v>99</v>
      </c>
      <c r="TO26">
        <v>1283</v>
      </c>
      <c r="TP26">
        <v>537</v>
      </c>
      <c r="TQ26">
        <v>178</v>
      </c>
      <c r="TR26">
        <v>178</v>
      </c>
      <c r="TS26">
        <v>178</v>
      </c>
      <c r="TT26">
        <v>105</v>
      </c>
      <c r="TU26">
        <v>105</v>
      </c>
      <c r="TV26">
        <v>136</v>
      </c>
      <c r="TW26">
        <v>105</v>
      </c>
      <c r="TX26">
        <v>82</v>
      </c>
      <c r="TY26">
        <v>82</v>
      </c>
      <c r="TZ26">
        <v>119</v>
      </c>
      <c r="UA26">
        <v>332</v>
      </c>
      <c r="UB26">
        <v>109</v>
      </c>
      <c r="UC26">
        <v>82</v>
      </c>
      <c r="UD26">
        <v>186</v>
      </c>
      <c r="UE26">
        <v>105</v>
      </c>
      <c r="UF26">
        <v>434</v>
      </c>
      <c r="UG26">
        <v>1577</v>
      </c>
      <c r="UH26">
        <v>105</v>
      </c>
      <c r="UI26">
        <v>105</v>
      </c>
      <c r="UJ26">
        <v>267</v>
      </c>
      <c r="UK26">
        <v>269</v>
      </c>
      <c r="UL26">
        <v>269</v>
      </c>
      <c r="UM26">
        <v>593</v>
      </c>
      <c r="UN26">
        <v>178</v>
      </c>
      <c r="UO26">
        <v>136</v>
      </c>
      <c r="UP26">
        <v>467</v>
      </c>
      <c r="UQ26">
        <v>63</v>
      </c>
      <c r="UR26">
        <v>195</v>
      </c>
      <c r="US26">
        <v>178</v>
      </c>
      <c r="UT26">
        <v>125</v>
      </c>
      <c r="UU26">
        <v>125</v>
      </c>
      <c r="UV26">
        <v>99</v>
      </c>
      <c r="UW26">
        <v>95</v>
      </c>
      <c r="UX26">
        <v>99</v>
      </c>
      <c r="UY26">
        <v>178</v>
      </c>
      <c r="UZ26">
        <v>178</v>
      </c>
      <c r="VA26">
        <v>105</v>
      </c>
      <c r="VB26">
        <v>99</v>
      </c>
      <c r="VC26">
        <v>99</v>
      </c>
      <c r="VD26">
        <v>105</v>
      </c>
      <c r="VE26">
        <v>105</v>
      </c>
      <c r="VF26">
        <v>105</v>
      </c>
      <c r="VG26">
        <v>710</v>
      </c>
      <c r="VH26">
        <v>710</v>
      </c>
      <c r="VI26">
        <v>79</v>
      </c>
      <c r="VJ26">
        <v>79</v>
      </c>
      <c r="VK26">
        <v>105</v>
      </c>
      <c r="VL26">
        <v>178</v>
      </c>
      <c r="VM26">
        <v>186</v>
      </c>
      <c r="VN26">
        <v>178</v>
      </c>
      <c r="VO26">
        <v>685</v>
      </c>
    </row>
    <row r="27" spans="1:587" x14ac:dyDescent="0.3">
      <c r="A27" t="s">
        <v>3022</v>
      </c>
      <c r="B27" cm="1">
        <f t="array" ref="B27:VO27">1*TRANSPOSE(_xlfn._xlws.FILTER(branch!$I$2:$I$591,branch!$D$2:$D$591&lt;&gt;0))</f>
        <v>99</v>
      </c>
      <c r="C27">
        <v>99</v>
      </c>
      <c r="D27">
        <v>178</v>
      </c>
      <c r="E27">
        <v>145</v>
      </c>
      <c r="F27">
        <v>536</v>
      </c>
      <c r="G27">
        <v>393</v>
      </c>
      <c r="H27">
        <v>393</v>
      </c>
      <c r="I27">
        <v>593</v>
      </c>
      <c r="J27">
        <v>434</v>
      </c>
      <c r="K27">
        <v>99</v>
      </c>
      <c r="L27">
        <v>140</v>
      </c>
      <c r="M27">
        <v>103</v>
      </c>
      <c r="N27">
        <v>109</v>
      </c>
      <c r="O27">
        <v>105</v>
      </c>
      <c r="P27">
        <v>99</v>
      </c>
      <c r="Q27">
        <v>187</v>
      </c>
      <c r="R27">
        <v>187</v>
      </c>
      <c r="S27">
        <v>187</v>
      </c>
      <c r="T27">
        <v>104</v>
      </c>
      <c r="U27">
        <v>112</v>
      </c>
      <c r="V27">
        <v>105</v>
      </c>
      <c r="W27">
        <v>82</v>
      </c>
      <c r="X27">
        <v>82</v>
      </c>
      <c r="Y27">
        <v>105</v>
      </c>
      <c r="Z27">
        <v>105</v>
      </c>
      <c r="AA27">
        <v>99</v>
      </c>
      <c r="AB27">
        <v>178</v>
      </c>
      <c r="AC27">
        <v>434</v>
      </c>
      <c r="AD27">
        <v>434</v>
      </c>
      <c r="AE27">
        <v>34</v>
      </c>
      <c r="AF27">
        <v>120</v>
      </c>
      <c r="AG27">
        <v>120</v>
      </c>
      <c r="AH27">
        <v>104</v>
      </c>
      <c r="AI27">
        <v>178</v>
      </c>
      <c r="AJ27">
        <v>178</v>
      </c>
      <c r="AK27">
        <v>178</v>
      </c>
      <c r="AL27">
        <v>178</v>
      </c>
      <c r="AM27">
        <v>120</v>
      </c>
      <c r="AN27">
        <v>178</v>
      </c>
      <c r="AO27">
        <v>99</v>
      </c>
      <c r="AP27">
        <v>178</v>
      </c>
      <c r="AQ27">
        <v>140</v>
      </c>
      <c r="AR27">
        <v>140</v>
      </c>
      <c r="AS27">
        <v>99</v>
      </c>
      <c r="AT27">
        <v>105</v>
      </c>
      <c r="AU27">
        <v>99</v>
      </c>
      <c r="AV27">
        <v>96</v>
      </c>
      <c r="AW27">
        <v>96</v>
      </c>
      <c r="AX27">
        <v>178</v>
      </c>
      <c r="AY27">
        <v>178</v>
      </c>
      <c r="AZ27">
        <v>120</v>
      </c>
      <c r="BA27">
        <v>120</v>
      </c>
      <c r="BB27">
        <v>178</v>
      </c>
      <c r="BC27">
        <v>178</v>
      </c>
      <c r="BD27">
        <v>178</v>
      </c>
      <c r="BE27">
        <v>105</v>
      </c>
      <c r="BF27">
        <v>99</v>
      </c>
      <c r="BG27">
        <v>99</v>
      </c>
      <c r="BH27">
        <v>99</v>
      </c>
      <c r="BI27">
        <v>82</v>
      </c>
      <c r="BJ27">
        <v>82</v>
      </c>
      <c r="BK27">
        <v>136</v>
      </c>
      <c r="BL27">
        <v>140</v>
      </c>
      <c r="BM27">
        <v>130</v>
      </c>
      <c r="BN27">
        <v>99</v>
      </c>
      <c r="BO27">
        <v>122</v>
      </c>
      <c r="BP27">
        <v>196</v>
      </c>
      <c r="BQ27">
        <v>178</v>
      </c>
      <c r="BR27">
        <v>136</v>
      </c>
      <c r="BS27">
        <v>178</v>
      </c>
      <c r="BT27">
        <v>124</v>
      </c>
      <c r="BU27">
        <v>178</v>
      </c>
      <c r="BV27">
        <v>178</v>
      </c>
      <c r="BW27">
        <v>178</v>
      </c>
      <c r="BX27">
        <v>99</v>
      </c>
      <c r="BY27">
        <v>136</v>
      </c>
      <c r="BZ27">
        <v>195</v>
      </c>
      <c r="CA27">
        <v>178</v>
      </c>
      <c r="CB27">
        <v>178</v>
      </c>
      <c r="CC27">
        <v>192</v>
      </c>
      <c r="CD27">
        <v>187</v>
      </c>
      <c r="CE27">
        <v>120</v>
      </c>
      <c r="CF27">
        <v>187</v>
      </c>
      <c r="CG27">
        <v>187</v>
      </c>
      <c r="CH27">
        <v>187</v>
      </c>
      <c r="CI27">
        <v>119</v>
      </c>
      <c r="CJ27">
        <v>119</v>
      </c>
      <c r="CK27">
        <v>570</v>
      </c>
      <c r="CL27">
        <v>570</v>
      </c>
      <c r="CM27">
        <v>140</v>
      </c>
      <c r="CN27">
        <v>140</v>
      </c>
      <c r="CO27">
        <v>842</v>
      </c>
      <c r="CP27">
        <v>105</v>
      </c>
      <c r="CQ27">
        <v>109</v>
      </c>
      <c r="CR27">
        <v>109</v>
      </c>
      <c r="CS27">
        <v>82</v>
      </c>
      <c r="CT27">
        <v>82</v>
      </c>
      <c r="CU27">
        <v>75</v>
      </c>
      <c r="CV27">
        <v>75</v>
      </c>
      <c r="CW27">
        <v>178</v>
      </c>
      <c r="CX27">
        <v>178</v>
      </c>
      <c r="CY27">
        <v>178</v>
      </c>
      <c r="CZ27">
        <v>178</v>
      </c>
      <c r="DA27">
        <v>82</v>
      </c>
      <c r="DB27">
        <v>82</v>
      </c>
      <c r="DC27">
        <v>710</v>
      </c>
      <c r="DD27">
        <v>69</v>
      </c>
      <c r="DE27">
        <v>70</v>
      </c>
      <c r="DF27">
        <v>710</v>
      </c>
      <c r="DG27">
        <v>710</v>
      </c>
      <c r="DH27">
        <v>710</v>
      </c>
      <c r="DI27">
        <v>144</v>
      </c>
      <c r="DJ27">
        <v>63</v>
      </c>
      <c r="DK27">
        <v>99</v>
      </c>
      <c r="DL27">
        <v>570</v>
      </c>
      <c r="DM27">
        <v>570</v>
      </c>
      <c r="DN27">
        <v>178</v>
      </c>
      <c r="DO27">
        <v>200</v>
      </c>
      <c r="DP27">
        <v>109</v>
      </c>
      <c r="DQ27">
        <v>109</v>
      </c>
      <c r="DR27">
        <v>79</v>
      </c>
      <c r="DS27">
        <v>79</v>
      </c>
      <c r="DT27">
        <v>434</v>
      </c>
      <c r="DU27">
        <v>740</v>
      </c>
      <c r="DV27">
        <v>228</v>
      </c>
      <c r="DW27">
        <v>115</v>
      </c>
      <c r="DX27">
        <v>195</v>
      </c>
      <c r="DY27">
        <v>124</v>
      </c>
      <c r="DZ27">
        <v>80</v>
      </c>
      <c r="EA27">
        <v>120</v>
      </c>
      <c r="EB27">
        <v>105</v>
      </c>
      <c r="EC27">
        <v>178</v>
      </c>
      <c r="ED27">
        <v>178</v>
      </c>
      <c r="EE27">
        <v>178</v>
      </c>
      <c r="EF27">
        <v>69</v>
      </c>
      <c r="EG27">
        <v>70</v>
      </c>
      <c r="EH27">
        <v>69</v>
      </c>
      <c r="EI27">
        <v>69</v>
      </c>
      <c r="EJ27">
        <v>132</v>
      </c>
      <c r="EK27">
        <v>132</v>
      </c>
      <c r="EL27">
        <v>710</v>
      </c>
      <c r="EM27">
        <v>710</v>
      </c>
      <c r="EN27">
        <v>66</v>
      </c>
      <c r="EO27">
        <v>66</v>
      </c>
      <c r="EP27">
        <v>710</v>
      </c>
      <c r="EQ27">
        <v>109</v>
      </c>
      <c r="ER27">
        <v>109</v>
      </c>
      <c r="ES27">
        <v>82</v>
      </c>
      <c r="ET27">
        <v>82</v>
      </c>
      <c r="EU27">
        <v>144</v>
      </c>
      <c r="EV27">
        <v>144</v>
      </c>
      <c r="EW27">
        <v>710</v>
      </c>
      <c r="EX27">
        <v>178</v>
      </c>
      <c r="EY27">
        <v>124</v>
      </c>
      <c r="EZ27">
        <v>99</v>
      </c>
      <c r="FA27">
        <v>99</v>
      </c>
      <c r="FB27">
        <v>99</v>
      </c>
      <c r="FC27">
        <v>761</v>
      </c>
      <c r="FD27">
        <v>187</v>
      </c>
      <c r="FE27">
        <v>761</v>
      </c>
      <c r="FF27">
        <v>761</v>
      </c>
      <c r="FG27">
        <v>761</v>
      </c>
      <c r="FH27">
        <v>178</v>
      </c>
      <c r="FI27">
        <v>178</v>
      </c>
      <c r="FJ27">
        <v>115</v>
      </c>
      <c r="FK27">
        <v>434</v>
      </c>
      <c r="FL27">
        <v>434</v>
      </c>
      <c r="FM27">
        <v>555</v>
      </c>
      <c r="FN27">
        <v>123</v>
      </c>
      <c r="FO27">
        <v>178</v>
      </c>
      <c r="FP27">
        <v>130</v>
      </c>
      <c r="FQ27">
        <v>178</v>
      </c>
      <c r="FR27">
        <v>103</v>
      </c>
      <c r="FS27">
        <v>238</v>
      </c>
      <c r="FT27">
        <v>434</v>
      </c>
      <c r="FU27">
        <v>178</v>
      </c>
      <c r="FV27">
        <v>132</v>
      </c>
      <c r="FW27">
        <v>178</v>
      </c>
      <c r="FX27">
        <v>144</v>
      </c>
      <c r="FY27">
        <v>144</v>
      </c>
      <c r="FZ27">
        <v>140</v>
      </c>
      <c r="GA27">
        <v>140</v>
      </c>
      <c r="GB27">
        <v>136</v>
      </c>
      <c r="GC27">
        <v>178</v>
      </c>
      <c r="GD27">
        <v>178</v>
      </c>
      <c r="GE27">
        <v>178</v>
      </c>
      <c r="GF27">
        <v>196</v>
      </c>
      <c r="GG27">
        <v>178</v>
      </c>
      <c r="GH27">
        <v>178</v>
      </c>
      <c r="GI27">
        <v>178</v>
      </c>
      <c r="GJ27">
        <v>130</v>
      </c>
      <c r="GK27">
        <v>99</v>
      </c>
      <c r="GL27">
        <v>136</v>
      </c>
      <c r="GM27">
        <v>178</v>
      </c>
      <c r="GN27">
        <v>105</v>
      </c>
      <c r="GO27">
        <v>187</v>
      </c>
      <c r="GP27">
        <v>187</v>
      </c>
      <c r="GQ27">
        <v>187</v>
      </c>
      <c r="GR27">
        <v>105</v>
      </c>
      <c r="GS27">
        <v>130</v>
      </c>
      <c r="GT27">
        <v>434</v>
      </c>
      <c r="GU27">
        <v>105</v>
      </c>
      <c r="GV27">
        <v>105</v>
      </c>
      <c r="GW27">
        <v>593</v>
      </c>
      <c r="GX27">
        <v>119</v>
      </c>
      <c r="GY27">
        <v>178</v>
      </c>
      <c r="GZ27">
        <v>120</v>
      </c>
      <c r="HA27">
        <v>178</v>
      </c>
      <c r="HB27">
        <v>178</v>
      </c>
      <c r="HC27">
        <v>178</v>
      </c>
      <c r="HD27">
        <v>646</v>
      </c>
      <c r="HE27">
        <v>161</v>
      </c>
      <c r="HF27">
        <v>161</v>
      </c>
      <c r="HG27">
        <v>434</v>
      </c>
      <c r="HH27">
        <v>434</v>
      </c>
      <c r="HI27">
        <v>187</v>
      </c>
      <c r="HJ27">
        <v>124</v>
      </c>
      <c r="HK27">
        <v>99</v>
      </c>
      <c r="HL27">
        <v>105</v>
      </c>
      <c r="HM27">
        <v>63</v>
      </c>
      <c r="HN27">
        <v>178</v>
      </c>
      <c r="HO27">
        <v>187</v>
      </c>
      <c r="HP27">
        <v>136</v>
      </c>
      <c r="HQ27">
        <v>187</v>
      </c>
      <c r="HR27">
        <v>187</v>
      </c>
      <c r="HS27">
        <v>99</v>
      </c>
      <c r="HT27">
        <v>99</v>
      </c>
      <c r="HU27">
        <v>105</v>
      </c>
      <c r="HV27">
        <v>178</v>
      </c>
      <c r="HW27">
        <v>178</v>
      </c>
      <c r="HX27">
        <v>1577</v>
      </c>
      <c r="HY27">
        <v>1577</v>
      </c>
      <c r="HZ27">
        <v>143</v>
      </c>
      <c r="IA27">
        <v>104</v>
      </c>
      <c r="IB27">
        <v>82</v>
      </c>
      <c r="IC27">
        <v>82</v>
      </c>
      <c r="ID27">
        <v>82</v>
      </c>
      <c r="IE27">
        <v>82</v>
      </c>
      <c r="IF27">
        <v>186</v>
      </c>
      <c r="IG27">
        <v>124</v>
      </c>
      <c r="IH27">
        <v>136</v>
      </c>
      <c r="II27">
        <v>99</v>
      </c>
      <c r="IJ27">
        <v>178</v>
      </c>
      <c r="IK27">
        <v>178</v>
      </c>
      <c r="IL27">
        <v>99</v>
      </c>
      <c r="IM27">
        <v>99</v>
      </c>
      <c r="IN27">
        <v>105</v>
      </c>
      <c r="IO27">
        <v>105</v>
      </c>
      <c r="IP27">
        <v>99</v>
      </c>
      <c r="IQ27">
        <v>99</v>
      </c>
      <c r="IR27">
        <v>100</v>
      </c>
      <c r="IS27">
        <v>100</v>
      </c>
      <c r="IT27">
        <v>200</v>
      </c>
      <c r="IU27">
        <v>143</v>
      </c>
      <c r="IV27">
        <v>82</v>
      </c>
      <c r="IW27">
        <v>82</v>
      </c>
      <c r="IX27">
        <v>82</v>
      </c>
      <c r="IY27">
        <v>412</v>
      </c>
      <c r="IZ27">
        <v>412</v>
      </c>
      <c r="JA27">
        <v>82</v>
      </c>
      <c r="JB27">
        <v>82</v>
      </c>
      <c r="JC27">
        <v>109</v>
      </c>
      <c r="JD27">
        <v>178</v>
      </c>
      <c r="JE27">
        <v>99</v>
      </c>
      <c r="JF27">
        <v>82</v>
      </c>
      <c r="JG27">
        <v>109</v>
      </c>
      <c r="JH27">
        <v>140</v>
      </c>
      <c r="JI27">
        <v>140</v>
      </c>
      <c r="JJ27">
        <v>196</v>
      </c>
      <c r="JK27">
        <v>178</v>
      </c>
      <c r="JL27">
        <v>178</v>
      </c>
      <c r="JM27">
        <v>99</v>
      </c>
      <c r="JN27">
        <v>178</v>
      </c>
      <c r="JO27">
        <v>350</v>
      </c>
      <c r="JP27">
        <v>99</v>
      </c>
      <c r="JQ27">
        <v>99</v>
      </c>
      <c r="JR27">
        <v>99</v>
      </c>
      <c r="JS27">
        <v>392</v>
      </c>
      <c r="JT27">
        <v>97</v>
      </c>
      <c r="JU27">
        <v>99</v>
      </c>
      <c r="JV27">
        <v>761</v>
      </c>
      <c r="JW27">
        <v>178</v>
      </c>
      <c r="JX27">
        <v>124</v>
      </c>
      <c r="JY27">
        <v>103</v>
      </c>
      <c r="JZ27">
        <v>178</v>
      </c>
      <c r="KA27">
        <v>746</v>
      </c>
      <c r="KB27">
        <v>646</v>
      </c>
      <c r="KC27">
        <v>178</v>
      </c>
      <c r="KD27">
        <v>178</v>
      </c>
      <c r="KE27">
        <v>178</v>
      </c>
      <c r="KF27">
        <v>178</v>
      </c>
      <c r="KG27">
        <v>190</v>
      </c>
      <c r="KH27">
        <v>105</v>
      </c>
      <c r="KI27">
        <v>136</v>
      </c>
      <c r="KJ27">
        <v>134</v>
      </c>
      <c r="KK27">
        <v>136</v>
      </c>
      <c r="KL27">
        <v>136</v>
      </c>
      <c r="KM27">
        <v>99</v>
      </c>
      <c r="KN27">
        <v>105</v>
      </c>
      <c r="KO27">
        <v>99</v>
      </c>
      <c r="KP27">
        <v>105</v>
      </c>
      <c r="KQ27">
        <v>99</v>
      </c>
      <c r="KR27">
        <v>99</v>
      </c>
      <c r="KS27">
        <v>99</v>
      </c>
      <c r="KT27">
        <v>74</v>
      </c>
      <c r="KU27">
        <v>74</v>
      </c>
      <c r="KV27">
        <v>99</v>
      </c>
      <c r="KW27">
        <v>178</v>
      </c>
      <c r="KX27">
        <v>178</v>
      </c>
      <c r="KY27">
        <v>99</v>
      </c>
      <c r="KZ27">
        <v>104</v>
      </c>
      <c r="LA27">
        <v>178</v>
      </c>
      <c r="LB27">
        <v>178</v>
      </c>
      <c r="LC27">
        <v>211</v>
      </c>
      <c r="LD27">
        <v>196</v>
      </c>
      <c r="LE27">
        <v>69</v>
      </c>
      <c r="LF27">
        <v>69</v>
      </c>
      <c r="LG27">
        <v>144</v>
      </c>
      <c r="LH27">
        <v>144</v>
      </c>
      <c r="LI27">
        <v>103</v>
      </c>
      <c r="LJ27">
        <v>99</v>
      </c>
      <c r="LK27">
        <v>99</v>
      </c>
      <c r="LL27">
        <v>82</v>
      </c>
      <c r="LM27">
        <v>82</v>
      </c>
      <c r="LN27">
        <v>82</v>
      </c>
      <c r="LO27">
        <v>82</v>
      </c>
      <c r="LP27">
        <v>82</v>
      </c>
      <c r="LQ27">
        <v>99</v>
      </c>
      <c r="LR27">
        <v>79</v>
      </c>
      <c r="LS27">
        <v>79</v>
      </c>
      <c r="LT27">
        <v>108</v>
      </c>
      <c r="LU27">
        <v>109</v>
      </c>
      <c r="LV27">
        <v>109</v>
      </c>
      <c r="LW27">
        <v>99</v>
      </c>
      <c r="LX27">
        <v>99</v>
      </c>
      <c r="LY27">
        <v>99</v>
      </c>
      <c r="LZ27">
        <v>178</v>
      </c>
      <c r="MA27">
        <v>393</v>
      </c>
      <c r="MB27">
        <v>350</v>
      </c>
      <c r="MC27">
        <v>350</v>
      </c>
      <c r="MD27">
        <v>434</v>
      </c>
      <c r="ME27">
        <v>1283</v>
      </c>
      <c r="MF27">
        <v>351</v>
      </c>
      <c r="MG27">
        <v>140</v>
      </c>
      <c r="MH27">
        <v>140</v>
      </c>
      <c r="MI27">
        <v>140</v>
      </c>
      <c r="MJ27">
        <v>186</v>
      </c>
      <c r="MK27">
        <v>157</v>
      </c>
      <c r="ML27">
        <v>144</v>
      </c>
      <c r="MM27">
        <v>186</v>
      </c>
      <c r="MN27">
        <v>195</v>
      </c>
      <c r="MO27">
        <v>105</v>
      </c>
      <c r="MP27">
        <v>119</v>
      </c>
      <c r="MQ27">
        <v>593</v>
      </c>
      <c r="MR27">
        <v>119</v>
      </c>
      <c r="MS27">
        <v>332</v>
      </c>
      <c r="MT27">
        <v>120</v>
      </c>
      <c r="MU27">
        <v>80</v>
      </c>
      <c r="MV27">
        <v>536</v>
      </c>
      <c r="MW27">
        <v>105</v>
      </c>
      <c r="MX27">
        <v>144</v>
      </c>
      <c r="MY27">
        <v>144</v>
      </c>
      <c r="MZ27">
        <v>105</v>
      </c>
      <c r="NA27">
        <v>384</v>
      </c>
      <c r="NB27">
        <v>99</v>
      </c>
      <c r="NC27">
        <v>99</v>
      </c>
      <c r="ND27">
        <v>434</v>
      </c>
      <c r="NE27">
        <v>98</v>
      </c>
      <c r="NF27">
        <v>107</v>
      </c>
      <c r="NG27">
        <v>140</v>
      </c>
      <c r="NH27">
        <v>107</v>
      </c>
      <c r="NI27">
        <v>140</v>
      </c>
      <c r="NJ27">
        <v>99</v>
      </c>
      <c r="NK27">
        <v>99</v>
      </c>
      <c r="NL27">
        <v>178</v>
      </c>
      <c r="NM27">
        <v>103</v>
      </c>
      <c r="NN27">
        <v>103</v>
      </c>
      <c r="NO27">
        <v>103</v>
      </c>
      <c r="NP27">
        <v>120</v>
      </c>
      <c r="NQ27">
        <v>120</v>
      </c>
      <c r="NR27">
        <v>570</v>
      </c>
      <c r="NS27">
        <v>99</v>
      </c>
      <c r="NT27">
        <v>393</v>
      </c>
      <c r="NU27">
        <v>434</v>
      </c>
      <c r="NV27">
        <v>593</v>
      </c>
      <c r="NW27">
        <v>178</v>
      </c>
      <c r="NX27">
        <v>178</v>
      </c>
      <c r="NY27">
        <v>178</v>
      </c>
      <c r="NZ27">
        <v>178</v>
      </c>
      <c r="OA27">
        <v>136</v>
      </c>
      <c r="OB27">
        <v>122</v>
      </c>
      <c r="OC27">
        <v>82</v>
      </c>
      <c r="OD27">
        <v>82</v>
      </c>
      <c r="OE27">
        <v>105</v>
      </c>
      <c r="OF27">
        <v>434</v>
      </c>
      <c r="OG27">
        <v>350</v>
      </c>
      <c r="OH27">
        <v>99</v>
      </c>
      <c r="OI27">
        <v>99</v>
      </c>
      <c r="OJ27">
        <v>99</v>
      </c>
      <c r="OK27">
        <v>99</v>
      </c>
      <c r="OL27">
        <v>99</v>
      </c>
      <c r="OM27">
        <v>99</v>
      </c>
      <c r="ON27">
        <v>200</v>
      </c>
      <c r="OO27">
        <v>200</v>
      </c>
      <c r="OP27">
        <v>119</v>
      </c>
      <c r="OQ27">
        <v>105</v>
      </c>
      <c r="OR27">
        <v>105</v>
      </c>
      <c r="OS27">
        <v>195</v>
      </c>
      <c r="OT27">
        <v>710</v>
      </c>
      <c r="OU27">
        <v>82</v>
      </c>
      <c r="OV27">
        <v>80</v>
      </c>
      <c r="OW27">
        <v>107</v>
      </c>
      <c r="OX27">
        <v>140</v>
      </c>
      <c r="OY27">
        <v>136</v>
      </c>
      <c r="OZ27">
        <v>136</v>
      </c>
      <c r="PA27">
        <v>104</v>
      </c>
      <c r="PB27">
        <v>196</v>
      </c>
      <c r="PC27">
        <v>80</v>
      </c>
      <c r="PD27">
        <v>562</v>
      </c>
      <c r="PE27">
        <v>120</v>
      </c>
      <c r="PF27">
        <v>267</v>
      </c>
      <c r="PG27">
        <v>351</v>
      </c>
      <c r="PH27">
        <v>593</v>
      </c>
      <c r="PI27">
        <v>178</v>
      </c>
      <c r="PJ27">
        <v>99</v>
      </c>
      <c r="PK27">
        <v>134</v>
      </c>
      <c r="PL27">
        <v>103</v>
      </c>
      <c r="PM27">
        <v>103</v>
      </c>
      <c r="PN27">
        <v>710</v>
      </c>
      <c r="PO27">
        <v>710</v>
      </c>
      <c r="PP27">
        <v>710</v>
      </c>
      <c r="PQ27">
        <v>185</v>
      </c>
      <c r="PR27">
        <v>178</v>
      </c>
      <c r="PS27">
        <v>99</v>
      </c>
      <c r="PT27">
        <v>178</v>
      </c>
      <c r="PU27">
        <v>178</v>
      </c>
      <c r="PV27">
        <v>119</v>
      </c>
      <c r="PW27">
        <v>120</v>
      </c>
      <c r="PX27">
        <v>136</v>
      </c>
      <c r="PY27">
        <v>434</v>
      </c>
      <c r="PZ27">
        <v>512</v>
      </c>
      <c r="QA27">
        <v>99</v>
      </c>
      <c r="QB27">
        <v>80</v>
      </c>
      <c r="QC27">
        <v>269</v>
      </c>
      <c r="QD27">
        <v>178</v>
      </c>
      <c r="QE27">
        <v>140</v>
      </c>
      <c r="QF27">
        <v>136</v>
      </c>
      <c r="QG27">
        <v>731</v>
      </c>
      <c r="QH27">
        <v>731</v>
      </c>
      <c r="QI27">
        <v>660</v>
      </c>
      <c r="QJ27">
        <v>660</v>
      </c>
      <c r="QK27">
        <v>136</v>
      </c>
      <c r="QL27">
        <v>99</v>
      </c>
      <c r="QM27">
        <v>99</v>
      </c>
      <c r="QN27">
        <v>350</v>
      </c>
      <c r="QO27">
        <v>350</v>
      </c>
      <c r="QP27">
        <v>99</v>
      </c>
      <c r="QQ27">
        <v>178</v>
      </c>
      <c r="QR27">
        <v>99</v>
      </c>
      <c r="QS27">
        <v>109</v>
      </c>
      <c r="QT27">
        <v>143</v>
      </c>
      <c r="QU27">
        <v>434</v>
      </c>
      <c r="QV27">
        <v>178</v>
      </c>
      <c r="QW27">
        <v>99</v>
      </c>
      <c r="QX27">
        <v>140</v>
      </c>
      <c r="QY27">
        <v>190</v>
      </c>
      <c r="QZ27">
        <v>195</v>
      </c>
      <c r="RA27">
        <v>135</v>
      </c>
      <c r="RB27">
        <v>195</v>
      </c>
      <c r="RC27">
        <v>710</v>
      </c>
      <c r="RD27">
        <v>136</v>
      </c>
      <c r="RE27">
        <v>105</v>
      </c>
      <c r="RF27">
        <v>124</v>
      </c>
      <c r="RG27">
        <v>99</v>
      </c>
      <c r="RH27">
        <v>353</v>
      </c>
      <c r="RI27">
        <v>178</v>
      </c>
      <c r="RJ27">
        <v>99</v>
      </c>
      <c r="RK27">
        <v>136</v>
      </c>
      <c r="RL27">
        <v>99</v>
      </c>
      <c r="RM27">
        <v>187</v>
      </c>
      <c r="RN27">
        <v>99</v>
      </c>
      <c r="RO27">
        <v>761</v>
      </c>
      <c r="RP27">
        <v>761</v>
      </c>
      <c r="RQ27">
        <v>99</v>
      </c>
      <c r="RR27">
        <v>99</v>
      </c>
      <c r="RS27">
        <v>99</v>
      </c>
      <c r="RT27">
        <v>99</v>
      </c>
      <c r="RU27">
        <v>136</v>
      </c>
      <c r="RV27">
        <v>124</v>
      </c>
      <c r="RW27">
        <v>99</v>
      </c>
      <c r="RX27">
        <v>99</v>
      </c>
      <c r="RY27">
        <v>136</v>
      </c>
      <c r="RZ27">
        <v>105</v>
      </c>
      <c r="SA27">
        <v>136</v>
      </c>
      <c r="SB27">
        <v>100</v>
      </c>
      <c r="SC27">
        <v>99</v>
      </c>
      <c r="SD27">
        <v>178</v>
      </c>
      <c r="SE27">
        <v>99</v>
      </c>
      <c r="SF27">
        <v>99</v>
      </c>
      <c r="SG27">
        <v>99</v>
      </c>
      <c r="SH27">
        <v>99</v>
      </c>
      <c r="SI27">
        <v>82</v>
      </c>
      <c r="SJ27">
        <v>80</v>
      </c>
      <c r="SK27">
        <v>99</v>
      </c>
      <c r="SL27">
        <v>99</v>
      </c>
      <c r="SM27">
        <v>95</v>
      </c>
      <c r="SN27">
        <v>710</v>
      </c>
      <c r="SO27">
        <v>710</v>
      </c>
      <c r="SP27">
        <v>350</v>
      </c>
      <c r="SQ27">
        <v>120</v>
      </c>
      <c r="SR27">
        <v>104</v>
      </c>
      <c r="SS27">
        <v>710</v>
      </c>
      <c r="ST27">
        <v>710</v>
      </c>
      <c r="SU27">
        <v>99</v>
      </c>
      <c r="SV27">
        <v>99</v>
      </c>
      <c r="SW27">
        <v>80</v>
      </c>
      <c r="SX27">
        <v>178</v>
      </c>
      <c r="SY27">
        <v>269</v>
      </c>
      <c r="SZ27">
        <v>325</v>
      </c>
      <c r="TA27">
        <v>350</v>
      </c>
      <c r="TB27">
        <v>119</v>
      </c>
      <c r="TC27">
        <v>120</v>
      </c>
      <c r="TD27">
        <v>140</v>
      </c>
      <c r="TE27">
        <v>140</v>
      </c>
      <c r="TF27">
        <v>99</v>
      </c>
      <c r="TG27">
        <v>105</v>
      </c>
      <c r="TH27">
        <v>100</v>
      </c>
      <c r="TI27">
        <v>120</v>
      </c>
      <c r="TJ27">
        <v>139</v>
      </c>
      <c r="TK27">
        <v>135</v>
      </c>
      <c r="TL27">
        <v>190</v>
      </c>
      <c r="TM27">
        <v>99</v>
      </c>
      <c r="TN27">
        <v>99</v>
      </c>
      <c r="TO27">
        <v>1283</v>
      </c>
      <c r="TP27">
        <v>537</v>
      </c>
      <c r="TQ27">
        <v>178</v>
      </c>
      <c r="TR27">
        <v>178</v>
      </c>
      <c r="TS27">
        <v>178</v>
      </c>
      <c r="TT27">
        <v>105</v>
      </c>
      <c r="TU27">
        <v>105</v>
      </c>
      <c r="TV27">
        <v>136</v>
      </c>
      <c r="TW27">
        <v>105</v>
      </c>
      <c r="TX27">
        <v>82</v>
      </c>
      <c r="TY27">
        <v>82</v>
      </c>
      <c r="TZ27">
        <v>119</v>
      </c>
      <c r="UA27">
        <v>332</v>
      </c>
      <c r="UB27">
        <v>109</v>
      </c>
      <c r="UC27">
        <v>82</v>
      </c>
      <c r="UD27">
        <v>186</v>
      </c>
      <c r="UE27">
        <v>105</v>
      </c>
      <c r="UF27">
        <v>434</v>
      </c>
      <c r="UG27">
        <v>1577</v>
      </c>
      <c r="UH27">
        <v>105</v>
      </c>
      <c r="UI27">
        <v>105</v>
      </c>
      <c r="UJ27">
        <v>267</v>
      </c>
      <c r="UK27">
        <v>269</v>
      </c>
      <c r="UL27">
        <v>269</v>
      </c>
      <c r="UM27">
        <v>593</v>
      </c>
      <c r="UN27">
        <v>178</v>
      </c>
      <c r="UO27">
        <v>136</v>
      </c>
      <c r="UP27">
        <v>467</v>
      </c>
      <c r="UQ27">
        <v>63</v>
      </c>
      <c r="UR27">
        <v>195</v>
      </c>
      <c r="US27">
        <v>178</v>
      </c>
      <c r="UT27">
        <v>125</v>
      </c>
      <c r="UU27">
        <v>125</v>
      </c>
      <c r="UV27">
        <v>99</v>
      </c>
      <c r="UW27">
        <v>95</v>
      </c>
      <c r="UX27">
        <v>99</v>
      </c>
      <c r="UY27">
        <v>178</v>
      </c>
      <c r="UZ27">
        <v>178</v>
      </c>
      <c r="VA27">
        <v>105</v>
      </c>
      <c r="VB27">
        <v>99</v>
      </c>
      <c r="VC27">
        <v>99</v>
      </c>
      <c r="VD27">
        <v>105</v>
      </c>
      <c r="VE27">
        <v>105</v>
      </c>
      <c r="VF27">
        <v>105</v>
      </c>
      <c r="VG27">
        <v>710</v>
      </c>
      <c r="VH27">
        <v>710</v>
      </c>
      <c r="VI27">
        <v>79</v>
      </c>
      <c r="VJ27">
        <v>79</v>
      </c>
      <c r="VK27">
        <v>105</v>
      </c>
      <c r="VL27">
        <v>178</v>
      </c>
      <c r="VM27">
        <v>186</v>
      </c>
      <c r="VN27">
        <v>178</v>
      </c>
      <c r="VO27">
        <v>685</v>
      </c>
    </row>
    <row r="28" spans="1:587" x14ac:dyDescent="0.3">
      <c r="A28" t="s">
        <v>3023</v>
      </c>
      <c r="B28" cm="1">
        <f t="array" ref="B28:VO28">1*TRANSPOSE(_xlfn._xlws.FILTER(branch!$I$2:$I$591,branch!$D$2:$D$591&lt;&gt;0))</f>
        <v>99</v>
      </c>
      <c r="C28">
        <v>99</v>
      </c>
      <c r="D28">
        <v>178</v>
      </c>
      <c r="E28">
        <v>145</v>
      </c>
      <c r="F28">
        <v>536</v>
      </c>
      <c r="G28">
        <v>393</v>
      </c>
      <c r="H28">
        <v>393</v>
      </c>
      <c r="I28">
        <v>593</v>
      </c>
      <c r="J28">
        <v>434</v>
      </c>
      <c r="K28">
        <v>99</v>
      </c>
      <c r="L28">
        <v>140</v>
      </c>
      <c r="M28">
        <v>103</v>
      </c>
      <c r="N28">
        <v>109</v>
      </c>
      <c r="O28">
        <v>105</v>
      </c>
      <c r="P28">
        <v>99</v>
      </c>
      <c r="Q28">
        <v>187</v>
      </c>
      <c r="R28">
        <v>187</v>
      </c>
      <c r="S28">
        <v>187</v>
      </c>
      <c r="T28">
        <v>104</v>
      </c>
      <c r="U28">
        <v>112</v>
      </c>
      <c r="V28">
        <v>105</v>
      </c>
      <c r="W28">
        <v>82</v>
      </c>
      <c r="X28">
        <v>82</v>
      </c>
      <c r="Y28">
        <v>105</v>
      </c>
      <c r="Z28">
        <v>105</v>
      </c>
      <c r="AA28">
        <v>99</v>
      </c>
      <c r="AB28">
        <v>178</v>
      </c>
      <c r="AC28">
        <v>434</v>
      </c>
      <c r="AD28">
        <v>434</v>
      </c>
      <c r="AE28">
        <v>34</v>
      </c>
      <c r="AF28">
        <v>120</v>
      </c>
      <c r="AG28">
        <v>120</v>
      </c>
      <c r="AH28">
        <v>104</v>
      </c>
      <c r="AI28">
        <v>178</v>
      </c>
      <c r="AJ28">
        <v>178</v>
      </c>
      <c r="AK28">
        <v>178</v>
      </c>
      <c r="AL28">
        <v>178</v>
      </c>
      <c r="AM28">
        <v>120</v>
      </c>
      <c r="AN28">
        <v>178</v>
      </c>
      <c r="AO28">
        <v>99</v>
      </c>
      <c r="AP28">
        <v>178</v>
      </c>
      <c r="AQ28">
        <v>140</v>
      </c>
      <c r="AR28">
        <v>140</v>
      </c>
      <c r="AS28">
        <v>99</v>
      </c>
      <c r="AT28">
        <v>105</v>
      </c>
      <c r="AU28">
        <v>99</v>
      </c>
      <c r="AV28">
        <v>96</v>
      </c>
      <c r="AW28">
        <v>96</v>
      </c>
      <c r="AX28">
        <v>178</v>
      </c>
      <c r="AY28">
        <v>178</v>
      </c>
      <c r="AZ28">
        <v>120</v>
      </c>
      <c r="BA28">
        <v>120</v>
      </c>
      <c r="BB28">
        <v>178</v>
      </c>
      <c r="BC28">
        <v>178</v>
      </c>
      <c r="BD28">
        <v>178</v>
      </c>
      <c r="BE28">
        <v>105</v>
      </c>
      <c r="BF28">
        <v>99</v>
      </c>
      <c r="BG28">
        <v>99</v>
      </c>
      <c r="BH28">
        <v>99</v>
      </c>
      <c r="BI28">
        <v>82</v>
      </c>
      <c r="BJ28">
        <v>82</v>
      </c>
      <c r="BK28">
        <v>136</v>
      </c>
      <c r="BL28">
        <v>140</v>
      </c>
      <c r="BM28">
        <v>130</v>
      </c>
      <c r="BN28">
        <v>99</v>
      </c>
      <c r="BO28">
        <v>122</v>
      </c>
      <c r="BP28">
        <v>196</v>
      </c>
      <c r="BQ28">
        <v>178</v>
      </c>
      <c r="BR28">
        <v>136</v>
      </c>
      <c r="BS28">
        <v>178</v>
      </c>
      <c r="BT28">
        <v>124</v>
      </c>
      <c r="BU28">
        <v>178</v>
      </c>
      <c r="BV28">
        <v>178</v>
      </c>
      <c r="BW28">
        <v>178</v>
      </c>
      <c r="BX28">
        <v>99</v>
      </c>
      <c r="BY28">
        <v>136</v>
      </c>
      <c r="BZ28">
        <v>195</v>
      </c>
      <c r="CA28">
        <v>178</v>
      </c>
      <c r="CB28">
        <v>178</v>
      </c>
      <c r="CC28">
        <v>192</v>
      </c>
      <c r="CD28">
        <v>187</v>
      </c>
      <c r="CE28">
        <v>120</v>
      </c>
      <c r="CF28">
        <v>187</v>
      </c>
      <c r="CG28">
        <v>187</v>
      </c>
      <c r="CH28">
        <v>187</v>
      </c>
      <c r="CI28">
        <v>119</v>
      </c>
      <c r="CJ28">
        <v>119</v>
      </c>
      <c r="CK28">
        <v>570</v>
      </c>
      <c r="CL28">
        <v>570</v>
      </c>
      <c r="CM28">
        <v>140</v>
      </c>
      <c r="CN28">
        <v>140</v>
      </c>
      <c r="CO28">
        <v>842</v>
      </c>
      <c r="CP28">
        <v>105</v>
      </c>
      <c r="CQ28">
        <v>109</v>
      </c>
      <c r="CR28">
        <v>109</v>
      </c>
      <c r="CS28">
        <v>82</v>
      </c>
      <c r="CT28">
        <v>82</v>
      </c>
      <c r="CU28">
        <v>75</v>
      </c>
      <c r="CV28">
        <v>75</v>
      </c>
      <c r="CW28">
        <v>178</v>
      </c>
      <c r="CX28">
        <v>178</v>
      </c>
      <c r="CY28">
        <v>178</v>
      </c>
      <c r="CZ28">
        <v>178</v>
      </c>
      <c r="DA28">
        <v>82</v>
      </c>
      <c r="DB28">
        <v>82</v>
      </c>
      <c r="DC28">
        <v>710</v>
      </c>
      <c r="DD28">
        <v>69</v>
      </c>
      <c r="DE28">
        <v>70</v>
      </c>
      <c r="DF28">
        <v>710</v>
      </c>
      <c r="DG28">
        <v>710</v>
      </c>
      <c r="DH28">
        <v>710</v>
      </c>
      <c r="DI28">
        <v>144</v>
      </c>
      <c r="DJ28">
        <v>63</v>
      </c>
      <c r="DK28">
        <v>99</v>
      </c>
      <c r="DL28">
        <v>570</v>
      </c>
      <c r="DM28">
        <v>570</v>
      </c>
      <c r="DN28">
        <v>178</v>
      </c>
      <c r="DO28">
        <v>200</v>
      </c>
      <c r="DP28">
        <v>109</v>
      </c>
      <c r="DQ28">
        <v>109</v>
      </c>
      <c r="DR28">
        <v>79</v>
      </c>
      <c r="DS28">
        <v>79</v>
      </c>
      <c r="DT28">
        <v>434</v>
      </c>
      <c r="DU28">
        <v>740</v>
      </c>
      <c r="DV28">
        <v>228</v>
      </c>
      <c r="DW28">
        <v>115</v>
      </c>
      <c r="DX28">
        <v>195</v>
      </c>
      <c r="DY28">
        <v>124</v>
      </c>
      <c r="DZ28">
        <v>80</v>
      </c>
      <c r="EA28">
        <v>120</v>
      </c>
      <c r="EB28">
        <v>105</v>
      </c>
      <c r="EC28">
        <v>178</v>
      </c>
      <c r="ED28">
        <v>178</v>
      </c>
      <c r="EE28">
        <v>178</v>
      </c>
      <c r="EF28">
        <v>69</v>
      </c>
      <c r="EG28">
        <v>70</v>
      </c>
      <c r="EH28">
        <v>69</v>
      </c>
      <c r="EI28">
        <v>69</v>
      </c>
      <c r="EJ28">
        <v>132</v>
      </c>
      <c r="EK28">
        <v>132</v>
      </c>
      <c r="EL28">
        <v>710</v>
      </c>
      <c r="EM28">
        <v>710</v>
      </c>
      <c r="EN28">
        <v>66</v>
      </c>
      <c r="EO28">
        <v>66</v>
      </c>
      <c r="EP28">
        <v>710</v>
      </c>
      <c r="EQ28">
        <v>109</v>
      </c>
      <c r="ER28">
        <v>109</v>
      </c>
      <c r="ES28">
        <v>82</v>
      </c>
      <c r="ET28">
        <v>82</v>
      </c>
      <c r="EU28">
        <v>144</v>
      </c>
      <c r="EV28">
        <v>144</v>
      </c>
      <c r="EW28">
        <v>710</v>
      </c>
      <c r="EX28">
        <v>178</v>
      </c>
      <c r="EY28">
        <v>124</v>
      </c>
      <c r="EZ28">
        <v>99</v>
      </c>
      <c r="FA28">
        <v>99</v>
      </c>
      <c r="FB28">
        <v>99</v>
      </c>
      <c r="FC28">
        <v>761</v>
      </c>
      <c r="FD28">
        <v>187</v>
      </c>
      <c r="FE28">
        <v>761</v>
      </c>
      <c r="FF28">
        <v>761</v>
      </c>
      <c r="FG28">
        <v>761</v>
      </c>
      <c r="FH28">
        <v>178</v>
      </c>
      <c r="FI28">
        <v>178</v>
      </c>
      <c r="FJ28">
        <v>115</v>
      </c>
      <c r="FK28">
        <v>434</v>
      </c>
      <c r="FL28">
        <v>434</v>
      </c>
      <c r="FM28">
        <v>555</v>
      </c>
      <c r="FN28">
        <v>123</v>
      </c>
      <c r="FO28">
        <v>178</v>
      </c>
      <c r="FP28">
        <v>130</v>
      </c>
      <c r="FQ28">
        <v>178</v>
      </c>
      <c r="FR28">
        <v>103</v>
      </c>
      <c r="FS28">
        <v>238</v>
      </c>
      <c r="FT28">
        <v>434</v>
      </c>
      <c r="FU28">
        <v>178</v>
      </c>
      <c r="FV28">
        <v>132</v>
      </c>
      <c r="FW28">
        <v>178</v>
      </c>
      <c r="FX28">
        <v>144</v>
      </c>
      <c r="FY28">
        <v>144</v>
      </c>
      <c r="FZ28">
        <v>140</v>
      </c>
      <c r="GA28">
        <v>140</v>
      </c>
      <c r="GB28">
        <v>136</v>
      </c>
      <c r="GC28">
        <v>178</v>
      </c>
      <c r="GD28">
        <v>178</v>
      </c>
      <c r="GE28">
        <v>178</v>
      </c>
      <c r="GF28">
        <v>196</v>
      </c>
      <c r="GG28">
        <v>178</v>
      </c>
      <c r="GH28">
        <v>178</v>
      </c>
      <c r="GI28">
        <v>178</v>
      </c>
      <c r="GJ28">
        <v>130</v>
      </c>
      <c r="GK28">
        <v>99</v>
      </c>
      <c r="GL28">
        <v>136</v>
      </c>
      <c r="GM28">
        <v>178</v>
      </c>
      <c r="GN28">
        <v>105</v>
      </c>
      <c r="GO28">
        <v>187</v>
      </c>
      <c r="GP28">
        <v>187</v>
      </c>
      <c r="GQ28">
        <v>187</v>
      </c>
      <c r="GR28">
        <v>105</v>
      </c>
      <c r="GS28">
        <v>130</v>
      </c>
      <c r="GT28">
        <v>434</v>
      </c>
      <c r="GU28">
        <v>105</v>
      </c>
      <c r="GV28">
        <v>105</v>
      </c>
      <c r="GW28">
        <v>593</v>
      </c>
      <c r="GX28">
        <v>119</v>
      </c>
      <c r="GY28">
        <v>178</v>
      </c>
      <c r="GZ28">
        <v>120</v>
      </c>
      <c r="HA28">
        <v>178</v>
      </c>
      <c r="HB28">
        <v>178</v>
      </c>
      <c r="HC28">
        <v>178</v>
      </c>
      <c r="HD28">
        <v>646</v>
      </c>
      <c r="HE28">
        <v>161</v>
      </c>
      <c r="HF28">
        <v>161</v>
      </c>
      <c r="HG28">
        <v>434</v>
      </c>
      <c r="HH28">
        <v>434</v>
      </c>
      <c r="HI28">
        <v>187</v>
      </c>
      <c r="HJ28">
        <v>124</v>
      </c>
      <c r="HK28">
        <v>99</v>
      </c>
      <c r="HL28">
        <v>105</v>
      </c>
      <c r="HM28">
        <v>63</v>
      </c>
      <c r="HN28">
        <v>178</v>
      </c>
      <c r="HO28">
        <v>187</v>
      </c>
      <c r="HP28">
        <v>136</v>
      </c>
      <c r="HQ28">
        <v>187</v>
      </c>
      <c r="HR28">
        <v>187</v>
      </c>
      <c r="HS28">
        <v>99</v>
      </c>
      <c r="HT28">
        <v>99</v>
      </c>
      <c r="HU28">
        <v>105</v>
      </c>
      <c r="HV28">
        <v>178</v>
      </c>
      <c r="HW28">
        <v>178</v>
      </c>
      <c r="HX28">
        <v>1577</v>
      </c>
      <c r="HY28">
        <v>1577</v>
      </c>
      <c r="HZ28">
        <v>143</v>
      </c>
      <c r="IA28">
        <v>104</v>
      </c>
      <c r="IB28">
        <v>82</v>
      </c>
      <c r="IC28">
        <v>82</v>
      </c>
      <c r="ID28">
        <v>82</v>
      </c>
      <c r="IE28">
        <v>82</v>
      </c>
      <c r="IF28">
        <v>186</v>
      </c>
      <c r="IG28">
        <v>124</v>
      </c>
      <c r="IH28">
        <v>136</v>
      </c>
      <c r="II28">
        <v>99</v>
      </c>
      <c r="IJ28">
        <v>178</v>
      </c>
      <c r="IK28">
        <v>178</v>
      </c>
      <c r="IL28">
        <v>99</v>
      </c>
      <c r="IM28">
        <v>99</v>
      </c>
      <c r="IN28">
        <v>105</v>
      </c>
      <c r="IO28">
        <v>105</v>
      </c>
      <c r="IP28">
        <v>99</v>
      </c>
      <c r="IQ28">
        <v>99</v>
      </c>
      <c r="IR28">
        <v>100</v>
      </c>
      <c r="IS28">
        <v>100</v>
      </c>
      <c r="IT28">
        <v>200</v>
      </c>
      <c r="IU28">
        <v>143</v>
      </c>
      <c r="IV28">
        <v>82</v>
      </c>
      <c r="IW28">
        <v>82</v>
      </c>
      <c r="IX28">
        <v>82</v>
      </c>
      <c r="IY28">
        <v>412</v>
      </c>
      <c r="IZ28">
        <v>412</v>
      </c>
      <c r="JA28">
        <v>82</v>
      </c>
      <c r="JB28">
        <v>82</v>
      </c>
      <c r="JC28">
        <v>109</v>
      </c>
      <c r="JD28">
        <v>178</v>
      </c>
      <c r="JE28">
        <v>99</v>
      </c>
      <c r="JF28">
        <v>82</v>
      </c>
      <c r="JG28">
        <v>109</v>
      </c>
      <c r="JH28">
        <v>140</v>
      </c>
      <c r="JI28">
        <v>140</v>
      </c>
      <c r="JJ28">
        <v>196</v>
      </c>
      <c r="JK28">
        <v>178</v>
      </c>
      <c r="JL28">
        <v>178</v>
      </c>
      <c r="JM28">
        <v>99</v>
      </c>
      <c r="JN28">
        <v>178</v>
      </c>
      <c r="JO28">
        <v>350</v>
      </c>
      <c r="JP28">
        <v>99</v>
      </c>
      <c r="JQ28">
        <v>99</v>
      </c>
      <c r="JR28">
        <v>99</v>
      </c>
      <c r="JS28">
        <v>392</v>
      </c>
      <c r="JT28">
        <v>97</v>
      </c>
      <c r="JU28">
        <v>99</v>
      </c>
      <c r="JV28">
        <v>761</v>
      </c>
      <c r="JW28">
        <v>178</v>
      </c>
      <c r="JX28">
        <v>124</v>
      </c>
      <c r="JY28">
        <v>103</v>
      </c>
      <c r="JZ28">
        <v>178</v>
      </c>
      <c r="KA28">
        <v>746</v>
      </c>
      <c r="KB28">
        <v>646</v>
      </c>
      <c r="KC28">
        <v>178</v>
      </c>
      <c r="KD28">
        <v>178</v>
      </c>
      <c r="KE28">
        <v>178</v>
      </c>
      <c r="KF28">
        <v>178</v>
      </c>
      <c r="KG28">
        <v>190</v>
      </c>
      <c r="KH28">
        <v>105</v>
      </c>
      <c r="KI28">
        <v>136</v>
      </c>
      <c r="KJ28">
        <v>134</v>
      </c>
      <c r="KK28">
        <v>136</v>
      </c>
      <c r="KL28">
        <v>136</v>
      </c>
      <c r="KM28">
        <v>99</v>
      </c>
      <c r="KN28">
        <v>105</v>
      </c>
      <c r="KO28">
        <v>99</v>
      </c>
      <c r="KP28">
        <v>105</v>
      </c>
      <c r="KQ28">
        <v>99</v>
      </c>
      <c r="KR28">
        <v>99</v>
      </c>
      <c r="KS28">
        <v>99</v>
      </c>
      <c r="KT28">
        <v>74</v>
      </c>
      <c r="KU28">
        <v>74</v>
      </c>
      <c r="KV28">
        <v>99</v>
      </c>
      <c r="KW28">
        <v>178</v>
      </c>
      <c r="KX28">
        <v>178</v>
      </c>
      <c r="KY28">
        <v>99</v>
      </c>
      <c r="KZ28">
        <v>104</v>
      </c>
      <c r="LA28">
        <v>178</v>
      </c>
      <c r="LB28">
        <v>178</v>
      </c>
      <c r="LC28">
        <v>211</v>
      </c>
      <c r="LD28">
        <v>196</v>
      </c>
      <c r="LE28">
        <v>69</v>
      </c>
      <c r="LF28">
        <v>69</v>
      </c>
      <c r="LG28">
        <v>144</v>
      </c>
      <c r="LH28">
        <v>144</v>
      </c>
      <c r="LI28">
        <v>103</v>
      </c>
      <c r="LJ28">
        <v>99</v>
      </c>
      <c r="LK28">
        <v>99</v>
      </c>
      <c r="LL28">
        <v>82</v>
      </c>
      <c r="LM28">
        <v>82</v>
      </c>
      <c r="LN28">
        <v>82</v>
      </c>
      <c r="LO28">
        <v>82</v>
      </c>
      <c r="LP28">
        <v>82</v>
      </c>
      <c r="LQ28">
        <v>99</v>
      </c>
      <c r="LR28">
        <v>79</v>
      </c>
      <c r="LS28">
        <v>79</v>
      </c>
      <c r="LT28">
        <v>108</v>
      </c>
      <c r="LU28">
        <v>109</v>
      </c>
      <c r="LV28">
        <v>109</v>
      </c>
      <c r="LW28">
        <v>99</v>
      </c>
      <c r="LX28">
        <v>99</v>
      </c>
      <c r="LY28">
        <v>99</v>
      </c>
      <c r="LZ28">
        <v>178</v>
      </c>
      <c r="MA28">
        <v>393</v>
      </c>
      <c r="MB28">
        <v>350</v>
      </c>
      <c r="MC28">
        <v>350</v>
      </c>
      <c r="MD28">
        <v>434</v>
      </c>
      <c r="ME28">
        <v>1283</v>
      </c>
      <c r="MF28">
        <v>351</v>
      </c>
      <c r="MG28">
        <v>140</v>
      </c>
      <c r="MH28">
        <v>140</v>
      </c>
      <c r="MI28">
        <v>140</v>
      </c>
      <c r="MJ28">
        <v>186</v>
      </c>
      <c r="MK28">
        <v>157</v>
      </c>
      <c r="ML28">
        <v>144</v>
      </c>
      <c r="MM28">
        <v>186</v>
      </c>
      <c r="MN28">
        <v>195</v>
      </c>
      <c r="MO28">
        <v>105</v>
      </c>
      <c r="MP28">
        <v>119</v>
      </c>
      <c r="MQ28">
        <v>593</v>
      </c>
      <c r="MR28">
        <v>119</v>
      </c>
      <c r="MS28">
        <v>332</v>
      </c>
      <c r="MT28">
        <v>120</v>
      </c>
      <c r="MU28">
        <v>80</v>
      </c>
      <c r="MV28">
        <v>536</v>
      </c>
      <c r="MW28">
        <v>105</v>
      </c>
      <c r="MX28">
        <v>144</v>
      </c>
      <c r="MY28">
        <v>144</v>
      </c>
      <c r="MZ28">
        <v>105</v>
      </c>
      <c r="NA28">
        <v>384</v>
      </c>
      <c r="NB28">
        <v>99</v>
      </c>
      <c r="NC28">
        <v>99</v>
      </c>
      <c r="ND28">
        <v>434</v>
      </c>
      <c r="NE28">
        <v>98</v>
      </c>
      <c r="NF28">
        <v>107</v>
      </c>
      <c r="NG28">
        <v>140</v>
      </c>
      <c r="NH28">
        <v>107</v>
      </c>
      <c r="NI28">
        <v>140</v>
      </c>
      <c r="NJ28">
        <v>99</v>
      </c>
      <c r="NK28">
        <v>99</v>
      </c>
      <c r="NL28">
        <v>178</v>
      </c>
      <c r="NM28">
        <v>103</v>
      </c>
      <c r="NN28">
        <v>103</v>
      </c>
      <c r="NO28">
        <v>103</v>
      </c>
      <c r="NP28">
        <v>120</v>
      </c>
      <c r="NQ28">
        <v>120</v>
      </c>
      <c r="NR28">
        <v>570</v>
      </c>
      <c r="NS28">
        <v>99</v>
      </c>
      <c r="NT28">
        <v>393</v>
      </c>
      <c r="NU28">
        <v>434</v>
      </c>
      <c r="NV28">
        <v>593</v>
      </c>
      <c r="NW28">
        <v>178</v>
      </c>
      <c r="NX28">
        <v>178</v>
      </c>
      <c r="NY28">
        <v>178</v>
      </c>
      <c r="NZ28">
        <v>178</v>
      </c>
      <c r="OA28">
        <v>136</v>
      </c>
      <c r="OB28">
        <v>122</v>
      </c>
      <c r="OC28">
        <v>82</v>
      </c>
      <c r="OD28">
        <v>82</v>
      </c>
      <c r="OE28">
        <v>105</v>
      </c>
      <c r="OF28">
        <v>434</v>
      </c>
      <c r="OG28">
        <v>350</v>
      </c>
      <c r="OH28">
        <v>99</v>
      </c>
      <c r="OI28">
        <v>99</v>
      </c>
      <c r="OJ28">
        <v>99</v>
      </c>
      <c r="OK28">
        <v>99</v>
      </c>
      <c r="OL28">
        <v>99</v>
      </c>
      <c r="OM28">
        <v>99</v>
      </c>
      <c r="ON28">
        <v>200</v>
      </c>
      <c r="OO28">
        <v>200</v>
      </c>
      <c r="OP28">
        <v>119</v>
      </c>
      <c r="OQ28">
        <v>105</v>
      </c>
      <c r="OR28">
        <v>105</v>
      </c>
      <c r="OS28">
        <v>195</v>
      </c>
      <c r="OT28">
        <v>710</v>
      </c>
      <c r="OU28">
        <v>82</v>
      </c>
      <c r="OV28">
        <v>80</v>
      </c>
      <c r="OW28">
        <v>107</v>
      </c>
      <c r="OX28">
        <v>140</v>
      </c>
      <c r="OY28">
        <v>136</v>
      </c>
      <c r="OZ28">
        <v>136</v>
      </c>
      <c r="PA28">
        <v>104</v>
      </c>
      <c r="PB28">
        <v>196</v>
      </c>
      <c r="PC28">
        <v>80</v>
      </c>
      <c r="PD28">
        <v>562</v>
      </c>
      <c r="PE28">
        <v>120</v>
      </c>
      <c r="PF28">
        <v>267</v>
      </c>
      <c r="PG28">
        <v>351</v>
      </c>
      <c r="PH28">
        <v>593</v>
      </c>
      <c r="PI28">
        <v>178</v>
      </c>
      <c r="PJ28">
        <v>99</v>
      </c>
      <c r="PK28">
        <v>134</v>
      </c>
      <c r="PL28">
        <v>103</v>
      </c>
      <c r="PM28">
        <v>103</v>
      </c>
      <c r="PN28">
        <v>710</v>
      </c>
      <c r="PO28">
        <v>710</v>
      </c>
      <c r="PP28">
        <v>710</v>
      </c>
      <c r="PQ28">
        <v>185</v>
      </c>
      <c r="PR28">
        <v>178</v>
      </c>
      <c r="PS28">
        <v>99</v>
      </c>
      <c r="PT28">
        <v>178</v>
      </c>
      <c r="PU28">
        <v>178</v>
      </c>
      <c r="PV28">
        <v>119</v>
      </c>
      <c r="PW28">
        <v>120</v>
      </c>
      <c r="PX28">
        <v>136</v>
      </c>
      <c r="PY28">
        <v>434</v>
      </c>
      <c r="PZ28">
        <v>512</v>
      </c>
      <c r="QA28">
        <v>99</v>
      </c>
      <c r="QB28">
        <v>80</v>
      </c>
      <c r="QC28">
        <v>269</v>
      </c>
      <c r="QD28">
        <v>178</v>
      </c>
      <c r="QE28">
        <v>140</v>
      </c>
      <c r="QF28">
        <v>136</v>
      </c>
      <c r="QG28">
        <v>731</v>
      </c>
      <c r="QH28">
        <v>731</v>
      </c>
      <c r="QI28">
        <v>660</v>
      </c>
      <c r="QJ28">
        <v>660</v>
      </c>
      <c r="QK28">
        <v>136</v>
      </c>
      <c r="QL28">
        <v>99</v>
      </c>
      <c r="QM28">
        <v>99</v>
      </c>
      <c r="QN28">
        <v>350</v>
      </c>
      <c r="QO28">
        <v>350</v>
      </c>
      <c r="QP28">
        <v>99</v>
      </c>
      <c r="QQ28">
        <v>178</v>
      </c>
      <c r="QR28">
        <v>99</v>
      </c>
      <c r="QS28">
        <v>109</v>
      </c>
      <c r="QT28">
        <v>143</v>
      </c>
      <c r="QU28">
        <v>434</v>
      </c>
      <c r="QV28">
        <v>178</v>
      </c>
      <c r="QW28">
        <v>99</v>
      </c>
      <c r="QX28">
        <v>140</v>
      </c>
      <c r="QY28">
        <v>190</v>
      </c>
      <c r="QZ28">
        <v>195</v>
      </c>
      <c r="RA28">
        <v>135</v>
      </c>
      <c r="RB28">
        <v>195</v>
      </c>
      <c r="RC28">
        <v>710</v>
      </c>
      <c r="RD28">
        <v>136</v>
      </c>
      <c r="RE28">
        <v>105</v>
      </c>
      <c r="RF28">
        <v>124</v>
      </c>
      <c r="RG28">
        <v>99</v>
      </c>
      <c r="RH28">
        <v>353</v>
      </c>
      <c r="RI28">
        <v>178</v>
      </c>
      <c r="RJ28">
        <v>99</v>
      </c>
      <c r="RK28">
        <v>136</v>
      </c>
      <c r="RL28">
        <v>99</v>
      </c>
      <c r="RM28">
        <v>187</v>
      </c>
      <c r="RN28">
        <v>99</v>
      </c>
      <c r="RO28">
        <v>761</v>
      </c>
      <c r="RP28">
        <v>761</v>
      </c>
      <c r="RQ28">
        <v>99</v>
      </c>
      <c r="RR28">
        <v>99</v>
      </c>
      <c r="RS28">
        <v>99</v>
      </c>
      <c r="RT28">
        <v>99</v>
      </c>
      <c r="RU28">
        <v>136</v>
      </c>
      <c r="RV28">
        <v>124</v>
      </c>
      <c r="RW28">
        <v>99</v>
      </c>
      <c r="RX28">
        <v>99</v>
      </c>
      <c r="RY28">
        <v>136</v>
      </c>
      <c r="RZ28">
        <v>105</v>
      </c>
      <c r="SA28">
        <v>136</v>
      </c>
      <c r="SB28">
        <v>100</v>
      </c>
      <c r="SC28">
        <v>99</v>
      </c>
      <c r="SD28">
        <v>178</v>
      </c>
      <c r="SE28">
        <v>99</v>
      </c>
      <c r="SF28">
        <v>99</v>
      </c>
      <c r="SG28">
        <v>99</v>
      </c>
      <c r="SH28">
        <v>99</v>
      </c>
      <c r="SI28">
        <v>82</v>
      </c>
      <c r="SJ28">
        <v>80</v>
      </c>
      <c r="SK28">
        <v>99</v>
      </c>
      <c r="SL28">
        <v>99</v>
      </c>
      <c r="SM28">
        <v>95</v>
      </c>
      <c r="SN28">
        <v>710</v>
      </c>
      <c r="SO28">
        <v>710</v>
      </c>
      <c r="SP28">
        <v>350</v>
      </c>
      <c r="SQ28">
        <v>120</v>
      </c>
      <c r="SR28">
        <v>104</v>
      </c>
      <c r="SS28">
        <v>710</v>
      </c>
      <c r="ST28">
        <v>710</v>
      </c>
      <c r="SU28">
        <v>99</v>
      </c>
      <c r="SV28">
        <v>99</v>
      </c>
      <c r="SW28">
        <v>80</v>
      </c>
      <c r="SX28">
        <v>178</v>
      </c>
      <c r="SY28">
        <v>269</v>
      </c>
      <c r="SZ28">
        <v>325</v>
      </c>
      <c r="TA28">
        <v>350</v>
      </c>
      <c r="TB28">
        <v>119</v>
      </c>
      <c r="TC28">
        <v>120</v>
      </c>
      <c r="TD28">
        <v>140</v>
      </c>
      <c r="TE28">
        <v>140</v>
      </c>
      <c r="TF28">
        <v>99</v>
      </c>
      <c r="TG28">
        <v>105</v>
      </c>
      <c r="TH28">
        <v>100</v>
      </c>
      <c r="TI28">
        <v>120</v>
      </c>
      <c r="TJ28">
        <v>139</v>
      </c>
      <c r="TK28">
        <v>135</v>
      </c>
      <c r="TL28">
        <v>190</v>
      </c>
      <c r="TM28">
        <v>99</v>
      </c>
      <c r="TN28">
        <v>99</v>
      </c>
      <c r="TO28">
        <v>1283</v>
      </c>
      <c r="TP28">
        <v>537</v>
      </c>
      <c r="TQ28">
        <v>178</v>
      </c>
      <c r="TR28">
        <v>178</v>
      </c>
      <c r="TS28">
        <v>178</v>
      </c>
      <c r="TT28">
        <v>105</v>
      </c>
      <c r="TU28">
        <v>105</v>
      </c>
      <c r="TV28">
        <v>136</v>
      </c>
      <c r="TW28">
        <v>105</v>
      </c>
      <c r="TX28">
        <v>82</v>
      </c>
      <c r="TY28">
        <v>82</v>
      </c>
      <c r="TZ28">
        <v>119</v>
      </c>
      <c r="UA28">
        <v>332</v>
      </c>
      <c r="UB28">
        <v>109</v>
      </c>
      <c r="UC28">
        <v>82</v>
      </c>
      <c r="UD28">
        <v>186</v>
      </c>
      <c r="UE28">
        <v>105</v>
      </c>
      <c r="UF28">
        <v>434</v>
      </c>
      <c r="UG28">
        <v>1577</v>
      </c>
      <c r="UH28">
        <v>105</v>
      </c>
      <c r="UI28">
        <v>105</v>
      </c>
      <c r="UJ28">
        <v>267</v>
      </c>
      <c r="UK28">
        <v>269</v>
      </c>
      <c r="UL28">
        <v>269</v>
      </c>
      <c r="UM28">
        <v>593</v>
      </c>
      <c r="UN28">
        <v>178</v>
      </c>
      <c r="UO28">
        <v>136</v>
      </c>
      <c r="UP28">
        <v>467</v>
      </c>
      <c r="UQ28">
        <v>63</v>
      </c>
      <c r="UR28">
        <v>195</v>
      </c>
      <c r="US28">
        <v>178</v>
      </c>
      <c r="UT28">
        <v>125</v>
      </c>
      <c r="UU28">
        <v>125</v>
      </c>
      <c r="UV28">
        <v>99</v>
      </c>
      <c r="UW28">
        <v>95</v>
      </c>
      <c r="UX28">
        <v>99</v>
      </c>
      <c r="UY28">
        <v>178</v>
      </c>
      <c r="UZ28">
        <v>178</v>
      </c>
      <c r="VA28">
        <v>105</v>
      </c>
      <c r="VB28">
        <v>99</v>
      </c>
      <c r="VC28">
        <v>99</v>
      </c>
      <c r="VD28">
        <v>105</v>
      </c>
      <c r="VE28">
        <v>105</v>
      </c>
      <c r="VF28">
        <v>105</v>
      </c>
      <c r="VG28">
        <v>710</v>
      </c>
      <c r="VH28">
        <v>710</v>
      </c>
      <c r="VI28">
        <v>79</v>
      </c>
      <c r="VJ28">
        <v>79</v>
      </c>
      <c r="VK28">
        <v>105</v>
      </c>
      <c r="VL28">
        <v>178</v>
      </c>
      <c r="VM28">
        <v>186</v>
      </c>
      <c r="VN28">
        <v>178</v>
      </c>
      <c r="VO28">
        <v>685</v>
      </c>
    </row>
    <row r="29" spans="1:587" x14ac:dyDescent="0.3">
      <c r="A29" t="s">
        <v>3024</v>
      </c>
      <c r="B29" cm="1">
        <f t="array" ref="B29:VO29">1*TRANSPOSE(_xlfn._xlws.FILTER(branch!$I$2:$I$591,branch!$D$2:$D$591&lt;&gt;0))</f>
        <v>99</v>
      </c>
      <c r="C29">
        <v>99</v>
      </c>
      <c r="D29">
        <v>178</v>
      </c>
      <c r="E29">
        <v>145</v>
      </c>
      <c r="F29">
        <v>536</v>
      </c>
      <c r="G29">
        <v>393</v>
      </c>
      <c r="H29">
        <v>393</v>
      </c>
      <c r="I29">
        <v>593</v>
      </c>
      <c r="J29">
        <v>434</v>
      </c>
      <c r="K29">
        <v>99</v>
      </c>
      <c r="L29">
        <v>140</v>
      </c>
      <c r="M29">
        <v>103</v>
      </c>
      <c r="N29">
        <v>109</v>
      </c>
      <c r="O29">
        <v>105</v>
      </c>
      <c r="P29">
        <v>99</v>
      </c>
      <c r="Q29">
        <v>187</v>
      </c>
      <c r="R29">
        <v>187</v>
      </c>
      <c r="S29">
        <v>187</v>
      </c>
      <c r="T29">
        <v>104</v>
      </c>
      <c r="U29">
        <v>112</v>
      </c>
      <c r="V29">
        <v>105</v>
      </c>
      <c r="W29">
        <v>82</v>
      </c>
      <c r="X29">
        <v>82</v>
      </c>
      <c r="Y29">
        <v>105</v>
      </c>
      <c r="Z29">
        <v>105</v>
      </c>
      <c r="AA29">
        <v>99</v>
      </c>
      <c r="AB29">
        <v>178</v>
      </c>
      <c r="AC29">
        <v>434</v>
      </c>
      <c r="AD29">
        <v>434</v>
      </c>
      <c r="AE29">
        <v>34</v>
      </c>
      <c r="AF29">
        <v>120</v>
      </c>
      <c r="AG29">
        <v>120</v>
      </c>
      <c r="AH29">
        <v>104</v>
      </c>
      <c r="AI29">
        <v>178</v>
      </c>
      <c r="AJ29">
        <v>178</v>
      </c>
      <c r="AK29">
        <v>178</v>
      </c>
      <c r="AL29">
        <v>178</v>
      </c>
      <c r="AM29">
        <v>120</v>
      </c>
      <c r="AN29">
        <v>178</v>
      </c>
      <c r="AO29">
        <v>99</v>
      </c>
      <c r="AP29">
        <v>178</v>
      </c>
      <c r="AQ29">
        <v>140</v>
      </c>
      <c r="AR29">
        <v>140</v>
      </c>
      <c r="AS29">
        <v>99</v>
      </c>
      <c r="AT29">
        <v>105</v>
      </c>
      <c r="AU29">
        <v>99</v>
      </c>
      <c r="AV29">
        <v>96</v>
      </c>
      <c r="AW29">
        <v>96</v>
      </c>
      <c r="AX29">
        <v>178</v>
      </c>
      <c r="AY29">
        <v>178</v>
      </c>
      <c r="AZ29">
        <v>120</v>
      </c>
      <c r="BA29">
        <v>120</v>
      </c>
      <c r="BB29">
        <v>178</v>
      </c>
      <c r="BC29">
        <v>178</v>
      </c>
      <c r="BD29">
        <v>178</v>
      </c>
      <c r="BE29">
        <v>105</v>
      </c>
      <c r="BF29">
        <v>99</v>
      </c>
      <c r="BG29">
        <v>99</v>
      </c>
      <c r="BH29">
        <v>99</v>
      </c>
      <c r="BI29">
        <v>82</v>
      </c>
      <c r="BJ29">
        <v>82</v>
      </c>
      <c r="BK29">
        <v>136</v>
      </c>
      <c r="BL29">
        <v>140</v>
      </c>
      <c r="BM29">
        <v>130</v>
      </c>
      <c r="BN29">
        <v>99</v>
      </c>
      <c r="BO29">
        <v>122</v>
      </c>
      <c r="BP29">
        <v>196</v>
      </c>
      <c r="BQ29">
        <v>178</v>
      </c>
      <c r="BR29">
        <v>136</v>
      </c>
      <c r="BS29">
        <v>178</v>
      </c>
      <c r="BT29">
        <v>124</v>
      </c>
      <c r="BU29">
        <v>178</v>
      </c>
      <c r="BV29">
        <v>178</v>
      </c>
      <c r="BW29">
        <v>178</v>
      </c>
      <c r="BX29">
        <v>99</v>
      </c>
      <c r="BY29">
        <v>136</v>
      </c>
      <c r="BZ29">
        <v>195</v>
      </c>
      <c r="CA29">
        <v>178</v>
      </c>
      <c r="CB29">
        <v>178</v>
      </c>
      <c r="CC29">
        <v>192</v>
      </c>
      <c r="CD29">
        <v>187</v>
      </c>
      <c r="CE29">
        <v>120</v>
      </c>
      <c r="CF29">
        <v>187</v>
      </c>
      <c r="CG29">
        <v>187</v>
      </c>
      <c r="CH29">
        <v>187</v>
      </c>
      <c r="CI29">
        <v>119</v>
      </c>
      <c r="CJ29">
        <v>119</v>
      </c>
      <c r="CK29">
        <v>570</v>
      </c>
      <c r="CL29">
        <v>570</v>
      </c>
      <c r="CM29">
        <v>140</v>
      </c>
      <c r="CN29">
        <v>140</v>
      </c>
      <c r="CO29">
        <v>842</v>
      </c>
      <c r="CP29">
        <v>105</v>
      </c>
      <c r="CQ29">
        <v>109</v>
      </c>
      <c r="CR29">
        <v>109</v>
      </c>
      <c r="CS29">
        <v>82</v>
      </c>
      <c r="CT29">
        <v>82</v>
      </c>
      <c r="CU29">
        <v>75</v>
      </c>
      <c r="CV29">
        <v>75</v>
      </c>
      <c r="CW29">
        <v>178</v>
      </c>
      <c r="CX29">
        <v>178</v>
      </c>
      <c r="CY29">
        <v>178</v>
      </c>
      <c r="CZ29">
        <v>178</v>
      </c>
      <c r="DA29">
        <v>82</v>
      </c>
      <c r="DB29">
        <v>82</v>
      </c>
      <c r="DC29">
        <v>710</v>
      </c>
      <c r="DD29">
        <v>69</v>
      </c>
      <c r="DE29">
        <v>70</v>
      </c>
      <c r="DF29">
        <v>710</v>
      </c>
      <c r="DG29">
        <v>710</v>
      </c>
      <c r="DH29">
        <v>710</v>
      </c>
      <c r="DI29">
        <v>144</v>
      </c>
      <c r="DJ29">
        <v>63</v>
      </c>
      <c r="DK29">
        <v>99</v>
      </c>
      <c r="DL29">
        <v>570</v>
      </c>
      <c r="DM29">
        <v>570</v>
      </c>
      <c r="DN29">
        <v>178</v>
      </c>
      <c r="DO29">
        <v>200</v>
      </c>
      <c r="DP29">
        <v>109</v>
      </c>
      <c r="DQ29">
        <v>109</v>
      </c>
      <c r="DR29">
        <v>79</v>
      </c>
      <c r="DS29">
        <v>79</v>
      </c>
      <c r="DT29">
        <v>434</v>
      </c>
      <c r="DU29">
        <v>740</v>
      </c>
      <c r="DV29">
        <v>228</v>
      </c>
      <c r="DW29">
        <v>115</v>
      </c>
      <c r="DX29">
        <v>195</v>
      </c>
      <c r="DY29">
        <v>124</v>
      </c>
      <c r="DZ29">
        <v>80</v>
      </c>
      <c r="EA29">
        <v>120</v>
      </c>
      <c r="EB29">
        <v>105</v>
      </c>
      <c r="EC29">
        <v>178</v>
      </c>
      <c r="ED29">
        <v>178</v>
      </c>
      <c r="EE29">
        <v>178</v>
      </c>
      <c r="EF29">
        <v>69</v>
      </c>
      <c r="EG29">
        <v>70</v>
      </c>
      <c r="EH29">
        <v>69</v>
      </c>
      <c r="EI29">
        <v>69</v>
      </c>
      <c r="EJ29">
        <v>132</v>
      </c>
      <c r="EK29">
        <v>132</v>
      </c>
      <c r="EL29">
        <v>710</v>
      </c>
      <c r="EM29">
        <v>710</v>
      </c>
      <c r="EN29">
        <v>66</v>
      </c>
      <c r="EO29">
        <v>66</v>
      </c>
      <c r="EP29">
        <v>710</v>
      </c>
      <c r="EQ29">
        <v>109</v>
      </c>
      <c r="ER29">
        <v>109</v>
      </c>
      <c r="ES29">
        <v>82</v>
      </c>
      <c r="ET29">
        <v>82</v>
      </c>
      <c r="EU29">
        <v>144</v>
      </c>
      <c r="EV29">
        <v>144</v>
      </c>
      <c r="EW29">
        <v>710</v>
      </c>
      <c r="EX29">
        <v>178</v>
      </c>
      <c r="EY29">
        <v>124</v>
      </c>
      <c r="EZ29">
        <v>99</v>
      </c>
      <c r="FA29">
        <v>99</v>
      </c>
      <c r="FB29">
        <v>99</v>
      </c>
      <c r="FC29">
        <v>761</v>
      </c>
      <c r="FD29">
        <v>187</v>
      </c>
      <c r="FE29">
        <v>761</v>
      </c>
      <c r="FF29">
        <v>761</v>
      </c>
      <c r="FG29">
        <v>761</v>
      </c>
      <c r="FH29">
        <v>178</v>
      </c>
      <c r="FI29">
        <v>178</v>
      </c>
      <c r="FJ29">
        <v>115</v>
      </c>
      <c r="FK29">
        <v>434</v>
      </c>
      <c r="FL29">
        <v>434</v>
      </c>
      <c r="FM29">
        <v>555</v>
      </c>
      <c r="FN29">
        <v>123</v>
      </c>
      <c r="FO29">
        <v>178</v>
      </c>
      <c r="FP29">
        <v>130</v>
      </c>
      <c r="FQ29">
        <v>178</v>
      </c>
      <c r="FR29">
        <v>103</v>
      </c>
      <c r="FS29">
        <v>238</v>
      </c>
      <c r="FT29">
        <v>434</v>
      </c>
      <c r="FU29">
        <v>178</v>
      </c>
      <c r="FV29">
        <v>132</v>
      </c>
      <c r="FW29">
        <v>178</v>
      </c>
      <c r="FX29">
        <v>144</v>
      </c>
      <c r="FY29">
        <v>144</v>
      </c>
      <c r="FZ29">
        <v>140</v>
      </c>
      <c r="GA29">
        <v>140</v>
      </c>
      <c r="GB29">
        <v>136</v>
      </c>
      <c r="GC29">
        <v>178</v>
      </c>
      <c r="GD29">
        <v>178</v>
      </c>
      <c r="GE29">
        <v>178</v>
      </c>
      <c r="GF29">
        <v>196</v>
      </c>
      <c r="GG29">
        <v>178</v>
      </c>
      <c r="GH29">
        <v>178</v>
      </c>
      <c r="GI29">
        <v>178</v>
      </c>
      <c r="GJ29">
        <v>130</v>
      </c>
      <c r="GK29">
        <v>99</v>
      </c>
      <c r="GL29">
        <v>136</v>
      </c>
      <c r="GM29">
        <v>178</v>
      </c>
      <c r="GN29">
        <v>105</v>
      </c>
      <c r="GO29">
        <v>187</v>
      </c>
      <c r="GP29">
        <v>187</v>
      </c>
      <c r="GQ29">
        <v>187</v>
      </c>
      <c r="GR29">
        <v>105</v>
      </c>
      <c r="GS29">
        <v>130</v>
      </c>
      <c r="GT29">
        <v>434</v>
      </c>
      <c r="GU29">
        <v>105</v>
      </c>
      <c r="GV29">
        <v>105</v>
      </c>
      <c r="GW29">
        <v>593</v>
      </c>
      <c r="GX29">
        <v>119</v>
      </c>
      <c r="GY29">
        <v>178</v>
      </c>
      <c r="GZ29">
        <v>120</v>
      </c>
      <c r="HA29">
        <v>178</v>
      </c>
      <c r="HB29">
        <v>178</v>
      </c>
      <c r="HC29">
        <v>178</v>
      </c>
      <c r="HD29">
        <v>646</v>
      </c>
      <c r="HE29">
        <v>161</v>
      </c>
      <c r="HF29">
        <v>161</v>
      </c>
      <c r="HG29">
        <v>434</v>
      </c>
      <c r="HH29">
        <v>434</v>
      </c>
      <c r="HI29">
        <v>187</v>
      </c>
      <c r="HJ29">
        <v>124</v>
      </c>
      <c r="HK29">
        <v>99</v>
      </c>
      <c r="HL29">
        <v>105</v>
      </c>
      <c r="HM29">
        <v>63</v>
      </c>
      <c r="HN29">
        <v>178</v>
      </c>
      <c r="HO29">
        <v>187</v>
      </c>
      <c r="HP29">
        <v>136</v>
      </c>
      <c r="HQ29">
        <v>187</v>
      </c>
      <c r="HR29">
        <v>187</v>
      </c>
      <c r="HS29">
        <v>99</v>
      </c>
      <c r="HT29">
        <v>99</v>
      </c>
      <c r="HU29">
        <v>105</v>
      </c>
      <c r="HV29">
        <v>178</v>
      </c>
      <c r="HW29">
        <v>178</v>
      </c>
      <c r="HX29">
        <v>1577</v>
      </c>
      <c r="HY29">
        <v>1577</v>
      </c>
      <c r="HZ29">
        <v>143</v>
      </c>
      <c r="IA29">
        <v>104</v>
      </c>
      <c r="IB29">
        <v>82</v>
      </c>
      <c r="IC29">
        <v>82</v>
      </c>
      <c r="ID29">
        <v>82</v>
      </c>
      <c r="IE29">
        <v>82</v>
      </c>
      <c r="IF29">
        <v>186</v>
      </c>
      <c r="IG29">
        <v>124</v>
      </c>
      <c r="IH29">
        <v>136</v>
      </c>
      <c r="II29">
        <v>99</v>
      </c>
      <c r="IJ29">
        <v>178</v>
      </c>
      <c r="IK29">
        <v>178</v>
      </c>
      <c r="IL29">
        <v>99</v>
      </c>
      <c r="IM29">
        <v>99</v>
      </c>
      <c r="IN29">
        <v>105</v>
      </c>
      <c r="IO29">
        <v>105</v>
      </c>
      <c r="IP29">
        <v>99</v>
      </c>
      <c r="IQ29">
        <v>99</v>
      </c>
      <c r="IR29">
        <v>100</v>
      </c>
      <c r="IS29">
        <v>100</v>
      </c>
      <c r="IT29">
        <v>200</v>
      </c>
      <c r="IU29">
        <v>143</v>
      </c>
      <c r="IV29">
        <v>82</v>
      </c>
      <c r="IW29">
        <v>82</v>
      </c>
      <c r="IX29">
        <v>82</v>
      </c>
      <c r="IY29">
        <v>412</v>
      </c>
      <c r="IZ29">
        <v>412</v>
      </c>
      <c r="JA29">
        <v>82</v>
      </c>
      <c r="JB29">
        <v>82</v>
      </c>
      <c r="JC29">
        <v>109</v>
      </c>
      <c r="JD29">
        <v>178</v>
      </c>
      <c r="JE29">
        <v>99</v>
      </c>
      <c r="JF29">
        <v>82</v>
      </c>
      <c r="JG29">
        <v>109</v>
      </c>
      <c r="JH29">
        <v>140</v>
      </c>
      <c r="JI29">
        <v>140</v>
      </c>
      <c r="JJ29">
        <v>196</v>
      </c>
      <c r="JK29">
        <v>178</v>
      </c>
      <c r="JL29">
        <v>178</v>
      </c>
      <c r="JM29">
        <v>99</v>
      </c>
      <c r="JN29">
        <v>178</v>
      </c>
      <c r="JO29">
        <v>350</v>
      </c>
      <c r="JP29">
        <v>99</v>
      </c>
      <c r="JQ29">
        <v>99</v>
      </c>
      <c r="JR29">
        <v>99</v>
      </c>
      <c r="JS29">
        <v>392</v>
      </c>
      <c r="JT29">
        <v>97</v>
      </c>
      <c r="JU29">
        <v>99</v>
      </c>
      <c r="JV29">
        <v>761</v>
      </c>
      <c r="JW29">
        <v>178</v>
      </c>
      <c r="JX29">
        <v>124</v>
      </c>
      <c r="JY29">
        <v>103</v>
      </c>
      <c r="JZ29">
        <v>178</v>
      </c>
      <c r="KA29">
        <v>746</v>
      </c>
      <c r="KB29">
        <v>646</v>
      </c>
      <c r="KC29">
        <v>178</v>
      </c>
      <c r="KD29">
        <v>178</v>
      </c>
      <c r="KE29">
        <v>178</v>
      </c>
      <c r="KF29">
        <v>178</v>
      </c>
      <c r="KG29">
        <v>190</v>
      </c>
      <c r="KH29">
        <v>105</v>
      </c>
      <c r="KI29">
        <v>136</v>
      </c>
      <c r="KJ29">
        <v>134</v>
      </c>
      <c r="KK29">
        <v>136</v>
      </c>
      <c r="KL29">
        <v>136</v>
      </c>
      <c r="KM29">
        <v>99</v>
      </c>
      <c r="KN29">
        <v>105</v>
      </c>
      <c r="KO29">
        <v>99</v>
      </c>
      <c r="KP29">
        <v>105</v>
      </c>
      <c r="KQ29">
        <v>99</v>
      </c>
      <c r="KR29">
        <v>99</v>
      </c>
      <c r="KS29">
        <v>99</v>
      </c>
      <c r="KT29">
        <v>74</v>
      </c>
      <c r="KU29">
        <v>74</v>
      </c>
      <c r="KV29">
        <v>99</v>
      </c>
      <c r="KW29">
        <v>178</v>
      </c>
      <c r="KX29">
        <v>178</v>
      </c>
      <c r="KY29">
        <v>99</v>
      </c>
      <c r="KZ29">
        <v>104</v>
      </c>
      <c r="LA29">
        <v>178</v>
      </c>
      <c r="LB29">
        <v>178</v>
      </c>
      <c r="LC29">
        <v>211</v>
      </c>
      <c r="LD29">
        <v>196</v>
      </c>
      <c r="LE29">
        <v>69</v>
      </c>
      <c r="LF29">
        <v>69</v>
      </c>
      <c r="LG29">
        <v>144</v>
      </c>
      <c r="LH29">
        <v>144</v>
      </c>
      <c r="LI29">
        <v>103</v>
      </c>
      <c r="LJ29">
        <v>99</v>
      </c>
      <c r="LK29">
        <v>99</v>
      </c>
      <c r="LL29">
        <v>82</v>
      </c>
      <c r="LM29">
        <v>82</v>
      </c>
      <c r="LN29">
        <v>82</v>
      </c>
      <c r="LO29">
        <v>82</v>
      </c>
      <c r="LP29">
        <v>82</v>
      </c>
      <c r="LQ29">
        <v>99</v>
      </c>
      <c r="LR29">
        <v>79</v>
      </c>
      <c r="LS29">
        <v>79</v>
      </c>
      <c r="LT29">
        <v>108</v>
      </c>
      <c r="LU29">
        <v>109</v>
      </c>
      <c r="LV29">
        <v>109</v>
      </c>
      <c r="LW29">
        <v>99</v>
      </c>
      <c r="LX29">
        <v>99</v>
      </c>
      <c r="LY29">
        <v>99</v>
      </c>
      <c r="LZ29">
        <v>178</v>
      </c>
      <c r="MA29">
        <v>393</v>
      </c>
      <c r="MB29">
        <v>350</v>
      </c>
      <c r="MC29">
        <v>350</v>
      </c>
      <c r="MD29">
        <v>434</v>
      </c>
      <c r="ME29">
        <v>1283</v>
      </c>
      <c r="MF29">
        <v>351</v>
      </c>
      <c r="MG29">
        <v>140</v>
      </c>
      <c r="MH29">
        <v>140</v>
      </c>
      <c r="MI29">
        <v>140</v>
      </c>
      <c r="MJ29">
        <v>186</v>
      </c>
      <c r="MK29">
        <v>157</v>
      </c>
      <c r="ML29">
        <v>144</v>
      </c>
      <c r="MM29">
        <v>186</v>
      </c>
      <c r="MN29">
        <v>195</v>
      </c>
      <c r="MO29">
        <v>105</v>
      </c>
      <c r="MP29">
        <v>119</v>
      </c>
      <c r="MQ29">
        <v>593</v>
      </c>
      <c r="MR29">
        <v>119</v>
      </c>
      <c r="MS29">
        <v>332</v>
      </c>
      <c r="MT29">
        <v>120</v>
      </c>
      <c r="MU29">
        <v>80</v>
      </c>
      <c r="MV29">
        <v>536</v>
      </c>
      <c r="MW29">
        <v>105</v>
      </c>
      <c r="MX29">
        <v>144</v>
      </c>
      <c r="MY29">
        <v>144</v>
      </c>
      <c r="MZ29">
        <v>105</v>
      </c>
      <c r="NA29">
        <v>384</v>
      </c>
      <c r="NB29">
        <v>99</v>
      </c>
      <c r="NC29">
        <v>99</v>
      </c>
      <c r="ND29">
        <v>434</v>
      </c>
      <c r="NE29">
        <v>98</v>
      </c>
      <c r="NF29">
        <v>107</v>
      </c>
      <c r="NG29">
        <v>140</v>
      </c>
      <c r="NH29">
        <v>107</v>
      </c>
      <c r="NI29">
        <v>140</v>
      </c>
      <c r="NJ29">
        <v>99</v>
      </c>
      <c r="NK29">
        <v>99</v>
      </c>
      <c r="NL29">
        <v>178</v>
      </c>
      <c r="NM29">
        <v>103</v>
      </c>
      <c r="NN29">
        <v>103</v>
      </c>
      <c r="NO29">
        <v>103</v>
      </c>
      <c r="NP29">
        <v>120</v>
      </c>
      <c r="NQ29">
        <v>120</v>
      </c>
      <c r="NR29">
        <v>570</v>
      </c>
      <c r="NS29">
        <v>99</v>
      </c>
      <c r="NT29">
        <v>393</v>
      </c>
      <c r="NU29">
        <v>434</v>
      </c>
      <c r="NV29">
        <v>593</v>
      </c>
      <c r="NW29">
        <v>178</v>
      </c>
      <c r="NX29">
        <v>178</v>
      </c>
      <c r="NY29">
        <v>178</v>
      </c>
      <c r="NZ29">
        <v>178</v>
      </c>
      <c r="OA29">
        <v>136</v>
      </c>
      <c r="OB29">
        <v>122</v>
      </c>
      <c r="OC29">
        <v>82</v>
      </c>
      <c r="OD29">
        <v>82</v>
      </c>
      <c r="OE29">
        <v>105</v>
      </c>
      <c r="OF29">
        <v>434</v>
      </c>
      <c r="OG29">
        <v>350</v>
      </c>
      <c r="OH29">
        <v>99</v>
      </c>
      <c r="OI29">
        <v>99</v>
      </c>
      <c r="OJ29">
        <v>99</v>
      </c>
      <c r="OK29">
        <v>99</v>
      </c>
      <c r="OL29">
        <v>99</v>
      </c>
      <c r="OM29">
        <v>99</v>
      </c>
      <c r="ON29">
        <v>200</v>
      </c>
      <c r="OO29">
        <v>200</v>
      </c>
      <c r="OP29">
        <v>119</v>
      </c>
      <c r="OQ29">
        <v>105</v>
      </c>
      <c r="OR29">
        <v>105</v>
      </c>
      <c r="OS29">
        <v>195</v>
      </c>
      <c r="OT29">
        <v>710</v>
      </c>
      <c r="OU29">
        <v>82</v>
      </c>
      <c r="OV29">
        <v>80</v>
      </c>
      <c r="OW29">
        <v>107</v>
      </c>
      <c r="OX29">
        <v>140</v>
      </c>
      <c r="OY29">
        <v>136</v>
      </c>
      <c r="OZ29">
        <v>136</v>
      </c>
      <c r="PA29">
        <v>104</v>
      </c>
      <c r="PB29">
        <v>196</v>
      </c>
      <c r="PC29">
        <v>80</v>
      </c>
      <c r="PD29">
        <v>562</v>
      </c>
      <c r="PE29">
        <v>120</v>
      </c>
      <c r="PF29">
        <v>267</v>
      </c>
      <c r="PG29">
        <v>351</v>
      </c>
      <c r="PH29">
        <v>593</v>
      </c>
      <c r="PI29">
        <v>178</v>
      </c>
      <c r="PJ29">
        <v>99</v>
      </c>
      <c r="PK29">
        <v>134</v>
      </c>
      <c r="PL29">
        <v>103</v>
      </c>
      <c r="PM29">
        <v>103</v>
      </c>
      <c r="PN29">
        <v>710</v>
      </c>
      <c r="PO29">
        <v>710</v>
      </c>
      <c r="PP29">
        <v>710</v>
      </c>
      <c r="PQ29">
        <v>185</v>
      </c>
      <c r="PR29">
        <v>178</v>
      </c>
      <c r="PS29">
        <v>99</v>
      </c>
      <c r="PT29">
        <v>178</v>
      </c>
      <c r="PU29">
        <v>178</v>
      </c>
      <c r="PV29">
        <v>119</v>
      </c>
      <c r="PW29">
        <v>120</v>
      </c>
      <c r="PX29">
        <v>136</v>
      </c>
      <c r="PY29">
        <v>434</v>
      </c>
      <c r="PZ29">
        <v>512</v>
      </c>
      <c r="QA29">
        <v>99</v>
      </c>
      <c r="QB29">
        <v>80</v>
      </c>
      <c r="QC29">
        <v>269</v>
      </c>
      <c r="QD29">
        <v>178</v>
      </c>
      <c r="QE29">
        <v>140</v>
      </c>
      <c r="QF29">
        <v>136</v>
      </c>
      <c r="QG29">
        <v>731</v>
      </c>
      <c r="QH29">
        <v>731</v>
      </c>
      <c r="QI29">
        <v>660</v>
      </c>
      <c r="QJ29">
        <v>660</v>
      </c>
      <c r="QK29">
        <v>136</v>
      </c>
      <c r="QL29">
        <v>99</v>
      </c>
      <c r="QM29">
        <v>99</v>
      </c>
      <c r="QN29">
        <v>350</v>
      </c>
      <c r="QO29">
        <v>350</v>
      </c>
      <c r="QP29">
        <v>99</v>
      </c>
      <c r="QQ29">
        <v>178</v>
      </c>
      <c r="QR29">
        <v>99</v>
      </c>
      <c r="QS29">
        <v>109</v>
      </c>
      <c r="QT29">
        <v>143</v>
      </c>
      <c r="QU29">
        <v>434</v>
      </c>
      <c r="QV29">
        <v>178</v>
      </c>
      <c r="QW29">
        <v>99</v>
      </c>
      <c r="QX29">
        <v>140</v>
      </c>
      <c r="QY29">
        <v>190</v>
      </c>
      <c r="QZ29">
        <v>195</v>
      </c>
      <c r="RA29">
        <v>135</v>
      </c>
      <c r="RB29">
        <v>195</v>
      </c>
      <c r="RC29">
        <v>710</v>
      </c>
      <c r="RD29">
        <v>136</v>
      </c>
      <c r="RE29">
        <v>105</v>
      </c>
      <c r="RF29">
        <v>124</v>
      </c>
      <c r="RG29">
        <v>99</v>
      </c>
      <c r="RH29">
        <v>353</v>
      </c>
      <c r="RI29">
        <v>178</v>
      </c>
      <c r="RJ29">
        <v>99</v>
      </c>
      <c r="RK29">
        <v>136</v>
      </c>
      <c r="RL29">
        <v>99</v>
      </c>
      <c r="RM29">
        <v>187</v>
      </c>
      <c r="RN29">
        <v>99</v>
      </c>
      <c r="RO29">
        <v>761</v>
      </c>
      <c r="RP29">
        <v>761</v>
      </c>
      <c r="RQ29">
        <v>99</v>
      </c>
      <c r="RR29">
        <v>99</v>
      </c>
      <c r="RS29">
        <v>99</v>
      </c>
      <c r="RT29">
        <v>99</v>
      </c>
      <c r="RU29">
        <v>136</v>
      </c>
      <c r="RV29">
        <v>124</v>
      </c>
      <c r="RW29">
        <v>99</v>
      </c>
      <c r="RX29">
        <v>99</v>
      </c>
      <c r="RY29">
        <v>136</v>
      </c>
      <c r="RZ29">
        <v>105</v>
      </c>
      <c r="SA29">
        <v>136</v>
      </c>
      <c r="SB29">
        <v>100</v>
      </c>
      <c r="SC29">
        <v>99</v>
      </c>
      <c r="SD29">
        <v>178</v>
      </c>
      <c r="SE29">
        <v>99</v>
      </c>
      <c r="SF29">
        <v>99</v>
      </c>
      <c r="SG29">
        <v>99</v>
      </c>
      <c r="SH29">
        <v>99</v>
      </c>
      <c r="SI29">
        <v>82</v>
      </c>
      <c r="SJ29">
        <v>80</v>
      </c>
      <c r="SK29">
        <v>99</v>
      </c>
      <c r="SL29">
        <v>99</v>
      </c>
      <c r="SM29">
        <v>95</v>
      </c>
      <c r="SN29">
        <v>710</v>
      </c>
      <c r="SO29">
        <v>710</v>
      </c>
      <c r="SP29">
        <v>350</v>
      </c>
      <c r="SQ29">
        <v>120</v>
      </c>
      <c r="SR29">
        <v>104</v>
      </c>
      <c r="SS29">
        <v>710</v>
      </c>
      <c r="ST29">
        <v>710</v>
      </c>
      <c r="SU29">
        <v>99</v>
      </c>
      <c r="SV29">
        <v>99</v>
      </c>
      <c r="SW29">
        <v>80</v>
      </c>
      <c r="SX29">
        <v>178</v>
      </c>
      <c r="SY29">
        <v>269</v>
      </c>
      <c r="SZ29">
        <v>325</v>
      </c>
      <c r="TA29">
        <v>350</v>
      </c>
      <c r="TB29">
        <v>119</v>
      </c>
      <c r="TC29">
        <v>120</v>
      </c>
      <c r="TD29">
        <v>140</v>
      </c>
      <c r="TE29">
        <v>140</v>
      </c>
      <c r="TF29">
        <v>99</v>
      </c>
      <c r="TG29">
        <v>105</v>
      </c>
      <c r="TH29">
        <v>100</v>
      </c>
      <c r="TI29">
        <v>120</v>
      </c>
      <c r="TJ29">
        <v>139</v>
      </c>
      <c r="TK29">
        <v>135</v>
      </c>
      <c r="TL29">
        <v>190</v>
      </c>
      <c r="TM29">
        <v>99</v>
      </c>
      <c r="TN29">
        <v>99</v>
      </c>
      <c r="TO29">
        <v>1283</v>
      </c>
      <c r="TP29">
        <v>537</v>
      </c>
      <c r="TQ29">
        <v>178</v>
      </c>
      <c r="TR29">
        <v>178</v>
      </c>
      <c r="TS29">
        <v>178</v>
      </c>
      <c r="TT29">
        <v>105</v>
      </c>
      <c r="TU29">
        <v>105</v>
      </c>
      <c r="TV29">
        <v>136</v>
      </c>
      <c r="TW29">
        <v>105</v>
      </c>
      <c r="TX29">
        <v>82</v>
      </c>
      <c r="TY29">
        <v>82</v>
      </c>
      <c r="TZ29">
        <v>119</v>
      </c>
      <c r="UA29">
        <v>332</v>
      </c>
      <c r="UB29">
        <v>109</v>
      </c>
      <c r="UC29">
        <v>82</v>
      </c>
      <c r="UD29">
        <v>186</v>
      </c>
      <c r="UE29">
        <v>105</v>
      </c>
      <c r="UF29">
        <v>434</v>
      </c>
      <c r="UG29">
        <v>1577</v>
      </c>
      <c r="UH29">
        <v>105</v>
      </c>
      <c r="UI29">
        <v>105</v>
      </c>
      <c r="UJ29">
        <v>267</v>
      </c>
      <c r="UK29">
        <v>269</v>
      </c>
      <c r="UL29">
        <v>269</v>
      </c>
      <c r="UM29">
        <v>593</v>
      </c>
      <c r="UN29">
        <v>178</v>
      </c>
      <c r="UO29">
        <v>136</v>
      </c>
      <c r="UP29">
        <v>467</v>
      </c>
      <c r="UQ29">
        <v>63</v>
      </c>
      <c r="UR29">
        <v>195</v>
      </c>
      <c r="US29">
        <v>178</v>
      </c>
      <c r="UT29">
        <v>125</v>
      </c>
      <c r="UU29">
        <v>125</v>
      </c>
      <c r="UV29">
        <v>99</v>
      </c>
      <c r="UW29">
        <v>95</v>
      </c>
      <c r="UX29">
        <v>99</v>
      </c>
      <c r="UY29">
        <v>178</v>
      </c>
      <c r="UZ29">
        <v>178</v>
      </c>
      <c r="VA29">
        <v>105</v>
      </c>
      <c r="VB29">
        <v>99</v>
      </c>
      <c r="VC29">
        <v>99</v>
      </c>
      <c r="VD29">
        <v>105</v>
      </c>
      <c r="VE29">
        <v>105</v>
      </c>
      <c r="VF29">
        <v>105</v>
      </c>
      <c r="VG29">
        <v>710</v>
      </c>
      <c r="VH29">
        <v>710</v>
      </c>
      <c r="VI29">
        <v>79</v>
      </c>
      <c r="VJ29">
        <v>79</v>
      </c>
      <c r="VK29">
        <v>105</v>
      </c>
      <c r="VL29">
        <v>178</v>
      </c>
      <c r="VM29">
        <v>186</v>
      </c>
      <c r="VN29">
        <v>178</v>
      </c>
      <c r="VO29">
        <v>685</v>
      </c>
    </row>
    <row r="30" spans="1:587" x14ac:dyDescent="0.3">
      <c r="A30" t="s">
        <v>3025</v>
      </c>
      <c r="B30" cm="1">
        <f t="array" ref="B30:VO30">1*TRANSPOSE(_xlfn._xlws.FILTER(branch!$I$2:$I$591,branch!$D$2:$D$591&lt;&gt;0))</f>
        <v>99</v>
      </c>
      <c r="C30">
        <v>99</v>
      </c>
      <c r="D30">
        <v>178</v>
      </c>
      <c r="E30">
        <v>145</v>
      </c>
      <c r="F30">
        <v>536</v>
      </c>
      <c r="G30">
        <v>393</v>
      </c>
      <c r="H30">
        <v>393</v>
      </c>
      <c r="I30">
        <v>593</v>
      </c>
      <c r="J30">
        <v>434</v>
      </c>
      <c r="K30">
        <v>99</v>
      </c>
      <c r="L30">
        <v>140</v>
      </c>
      <c r="M30">
        <v>103</v>
      </c>
      <c r="N30">
        <v>109</v>
      </c>
      <c r="O30">
        <v>105</v>
      </c>
      <c r="P30">
        <v>99</v>
      </c>
      <c r="Q30">
        <v>187</v>
      </c>
      <c r="R30">
        <v>187</v>
      </c>
      <c r="S30">
        <v>187</v>
      </c>
      <c r="T30">
        <v>104</v>
      </c>
      <c r="U30">
        <v>112</v>
      </c>
      <c r="V30">
        <v>105</v>
      </c>
      <c r="W30">
        <v>82</v>
      </c>
      <c r="X30">
        <v>82</v>
      </c>
      <c r="Y30">
        <v>105</v>
      </c>
      <c r="Z30">
        <v>105</v>
      </c>
      <c r="AA30">
        <v>99</v>
      </c>
      <c r="AB30">
        <v>178</v>
      </c>
      <c r="AC30">
        <v>434</v>
      </c>
      <c r="AD30">
        <v>434</v>
      </c>
      <c r="AE30">
        <v>34</v>
      </c>
      <c r="AF30">
        <v>120</v>
      </c>
      <c r="AG30">
        <v>120</v>
      </c>
      <c r="AH30">
        <v>104</v>
      </c>
      <c r="AI30">
        <v>178</v>
      </c>
      <c r="AJ30">
        <v>178</v>
      </c>
      <c r="AK30">
        <v>178</v>
      </c>
      <c r="AL30">
        <v>178</v>
      </c>
      <c r="AM30">
        <v>120</v>
      </c>
      <c r="AN30">
        <v>178</v>
      </c>
      <c r="AO30">
        <v>99</v>
      </c>
      <c r="AP30">
        <v>178</v>
      </c>
      <c r="AQ30">
        <v>140</v>
      </c>
      <c r="AR30">
        <v>140</v>
      </c>
      <c r="AS30">
        <v>99</v>
      </c>
      <c r="AT30">
        <v>105</v>
      </c>
      <c r="AU30">
        <v>99</v>
      </c>
      <c r="AV30">
        <v>96</v>
      </c>
      <c r="AW30">
        <v>96</v>
      </c>
      <c r="AX30">
        <v>178</v>
      </c>
      <c r="AY30">
        <v>178</v>
      </c>
      <c r="AZ30">
        <v>120</v>
      </c>
      <c r="BA30">
        <v>120</v>
      </c>
      <c r="BB30">
        <v>178</v>
      </c>
      <c r="BC30">
        <v>178</v>
      </c>
      <c r="BD30">
        <v>178</v>
      </c>
      <c r="BE30">
        <v>105</v>
      </c>
      <c r="BF30">
        <v>99</v>
      </c>
      <c r="BG30">
        <v>99</v>
      </c>
      <c r="BH30">
        <v>99</v>
      </c>
      <c r="BI30">
        <v>82</v>
      </c>
      <c r="BJ30">
        <v>82</v>
      </c>
      <c r="BK30">
        <v>136</v>
      </c>
      <c r="BL30">
        <v>140</v>
      </c>
      <c r="BM30">
        <v>130</v>
      </c>
      <c r="BN30">
        <v>99</v>
      </c>
      <c r="BO30">
        <v>122</v>
      </c>
      <c r="BP30">
        <v>196</v>
      </c>
      <c r="BQ30">
        <v>178</v>
      </c>
      <c r="BR30">
        <v>136</v>
      </c>
      <c r="BS30">
        <v>178</v>
      </c>
      <c r="BT30">
        <v>124</v>
      </c>
      <c r="BU30">
        <v>178</v>
      </c>
      <c r="BV30">
        <v>178</v>
      </c>
      <c r="BW30">
        <v>178</v>
      </c>
      <c r="BX30">
        <v>99</v>
      </c>
      <c r="BY30">
        <v>136</v>
      </c>
      <c r="BZ30">
        <v>195</v>
      </c>
      <c r="CA30">
        <v>178</v>
      </c>
      <c r="CB30">
        <v>178</v>
      </c>
      <c r="CC30">
        <v>192</v>
      </c>
      <c r="CD30">
        <v>187</v>
      </c>
      <c r="CE30">
        <v>120</v>
      </c>
      <c r="CF30">
        <v>187</v>
      </c>
      <c r="CG30">
        <v>187</v>
      </c>
      <c r="CH30">
        <v>187</v>
      </c>
      <c r="CI30">
        <v>119</v>
      </c>
      <c r="CJ30">
        <v>119</v>
      </c>
      <c r="CK30">
        <v>570</v>
      </c>
      <c r="CL30">
        <v>570</v>
      </c>
      <c r="CM30">
        <v>140</v>
      </c>
      <c r="CN30">
        <v>140</v>
      </c>
      <c r="CO30">
        <v>842</v>
      </c>
      <c r="CP30">
        <v>105</v>
      </c>
      <c r="CQ30">
        <v>109</v>
      </c>
      <c r="CR30">
        <v>109</v>
      </c>
      <c r="CS30">
        <v>82</v>
      </c>
      <c r="CT30">
        <v>82</v>
      </c>
      <c r="CU30">
        <v>75</v>
      </c>
      <c r="CV30">
        <v>75</v>
      </c>
      <c r="CW30">
        <v>178</v>
      </c>
      <c r="CX30">
        <v>178</v>
      </c>
      <c r="CY30">
        <v>178</v>
      </c>
      <c r="CZ30">
        <v>178</v>
      </c>
      <c r="DA30">
        <v>82</v>
      </c>
      <c r="DB30">
        <v>82</v>
      </c>
      <c r="DC30">
        <v>710</v>
      </c>
      <c r="DD30">
        <v>69</v>
      </c>
      <c r="DE30">
        <v>70</v>
      </c>
      <c r="DF30">
        <v>710</v>
      </c>
      <c r="DG30">
        <v>710</v>
      </c>
      <c r="DH30">
        <v>710</v>
      </c>
      <c r="DI30">
        <v>144</v>
      </c>
      <c r="DJ30">
        <v>63</v>
      </c>
      <c r="DK30">
        <v>99</v>
      </c>
      <c r="DL30">
        <v>570</v>
      </c>
      <c r="DM30">
        <v>570</v>
      </c>
      <c r="DN30">
        <v>178</v>
      </c>
      <c r="DO30">
        <v>200</v>
      </c>
      <c r="DP30">
        <v>109</v>
      </c>
      <c r="DQ30">
        <v>109</v>
      </c>
      <c r="DR30">
        <v>79</v>
      </c>
      <c r="DS30">
        <v>79</v>
      </c>
      <c r="DT30">
        <v>434</v>
      </c>
      <c r="DU30">
        <v>740</v>
      </c>
      <c r="DV30">
        <v>228</v>
      </c>
      <c r="DW30">
        <v>115</v>
      </c>
      <c r="DX30">
        <v>195</v>
      </c>
      <c r="DY30">
        <v>124</v>
      </c>
      <c r="DZ30">
        <v>80</v>
      </c>
      <c r="EA30">
        <v>120</v>
      </c>
      <c r="EB30">
        <v>105</v>
      </c>
      <c r="EC30">
        <v>178</v>
      </c>
      <c r="ED30">
        <v>178</v>
      </c>
      <c r="EE30">
        <v>178</v>
      </c>
      <c r="EF30">
        <v>69</v>
      </c>
      <c r="EG30">
        <v>70</v>
      </c>
      <c r="EH30">
        <v>69</v>
      </c>
      <c r="EI30">
        <v>69</v>
      </c>
      <c r="EJ30">
        <v>132</v>
      </c>
      <c r="EK30">
        <v>132</v>
      </c>
      <c r="EL30">
        <v>710</v>
      </c>
      <c r="EM30">
        <v>710</v>
      </c>
      <c r="EN30">
        <v>66</v>
      </c>
      <c r="EO30">
        <v>66</v>
      </c>
      <c r="EP30">
        <v>710</v>
      </c>
      <c r="EQ30">
        <v>109</v>
      </c>
      <c r="ER30">
        <v>109</v>
      </c>
      <c r="ES30">
        <v>82</v>
      </c>
      <c r="ET30">
        <v>82</v>
      </c>
      <c r="EU30">
        <v>144</v>
      </c>
      <c r="EV30">
        <v>144</v>
      </c>
      <c r="EW30">
        <v>710</v>
      </c>
      <c r="EX30">
        <v>178</v>
      </c>
      <c r="EY30">
        <v>124</v>
      </c>
      <c r="EZ30">
        <v>99</v>
      </c>
      <c r="FA30">
        <v>99</v>
      </c>
      <c r="FB30">
        <v>99</v>
      </c>
      <c r="FC30">
        <v>761</v>
      </c>
      <c r="FD30">
        <v>187</v>
      </c>
      <c r="FE30">
        <v>761</v>
      </c>
      <c r="FF30">
        <v>761</v>
      </c>
      <c r="FG30">
        <v>761</v>
      </c>
      <c r="FH30">
        <v>178</v>
      </c>
      <c r="FI30">
        <v>178</v>
      </c>
      <c r="FJ30">
        <v>115</v>
      </c>
      <c r="FK30">
        <v>434</v>
      </c>
      <c r="FL30">
        <v>434</v>
      </c>
      <c r="FM30">
        <v>555</v>
      </c>
      <c r="FN30">
        <v>123</v>
      </c>
      <c r="FO30">
        <v>178</v>
      </c>
      <c r="FP30">
        <v>130</v>
      </c>
      <c r="FQ30">
        <v>178</v>
      </c>
      <c r="FR30">
        <v>103</v>
      </c>
      <c r="FS30">
        <v>238</v>
      </c>
      <c r="FT30">
        <v>434</v>
      </c>
      <c r="FU30">
        <v>178</v>
      </c>
      <c r="FV30">
        <v>132</v>
      </c>
      <c r="FW30">
        <v>178</v>
      </c>
      <c r="FX30">
        <v>144</v>
      </c>
      <c r="FY30">
        <v>144</v>
      </c>
      <c r="FZ30">
        <v>140</v>
      </c>
      <c r="GA30">
        <v>140</v>
      </c>
      <c r="GB30">
        <v>136</v>
      </c>
      <c r="GC30">
        <v>178</v>
      </c>
      <c r="GD30">
        <v>178</v>
      </c>
      <c r="GE30">
        <v>178</v>
      </c>
      <c r="GF30">
        <v>196</v>
      </c>
      <c r="GG30">
        <v>178</v>
      </c>
      <c r="GH30">
        <v>178</v>
      </c>
      <c r="GI30">
        <v>178</v>
      </c>
      <c r="GJ30">
        <v>130</v>
      </c>
      <c r="GK30">
        <v>99</v>
      </c>
      <c r="GL30">
        <v>136</v>
      </c>
      <c r="GM30">
        <v>178</v>
      </c>
      <c r="GN30">
        <v>105</v>
      </c>
      <c r="GO30">
        <v>187</v>
      </c>
      <c r="GP30">
        <v>187</v>
      </c>
      <c r="GQ30">
        <v>187</v>
      </c>
      <c r="GR30">
        <v>105</v>
      </c>
      <c r="GS30">
        <v>130</v>
      </c>
      <c r="GT30">
        <v>434</v>
      </c>
      <c r="GU30">
        <v>105</v>
      </c>
      <c r="GV30">
        <v>105</v>
      </c>
      <c r="GW30">
        <v>593</v>
      </c>
      <c r="GX30">
        <v>119</v>
      </c>
      <c r="GY30">
        <v>178</v>
      </c>
      <c r="GZ30">
        <v>120</v>
      </c>
      <c r="HA30">
        <v>178</v>
      </c>
      <c r="HB30">
        <v>178</v>
      </c>
      <c r="HC30">
        <v>178</v>
      </c>
      <c r="HD30">
        <v>646</v>
      </c>
      <c r="HE30">
        <v>161</v>
      </c>
      <c r="HF30">
        <v>161</v>
      </c>
      <c r="HG30">
        <v>434</v>
      </c>
      <c r="HH30">
        <v>434</v>
      </c>
      <c r="HI30">
        <v>187</v>
      </c>
      <c r="HJ30">
        <v>124</v>
      </c>
      <c r="HK30">
        <v>99</v>
      </c>
      <c r="HL30">
        <v>105</v>
      </c>
      <c r="HM30">
        <v>63</v>
      </c>
      <c r="HN30">
        <v>178</v>
      </c>
      <c r="HO30">
        <v>187</v>
      </c>
      <c r="HP30">
        <v>136</v>
      </c>
      <c r="HQ30">
        <v>187</v>
      </c>
      <c r="HR30">
        <v>187</v>
      </c>
      <c r="HS30">
        <v>99</v>
      </c>
      <c r="HT30">
        <v>99</v>
      </c>
      <c r="HU30">
        <v>105</v>
      </c>
      <c r="HV30">
        <v>178</v>
      </c>
      <c r="HW30">
        <v>178</v>
      </c>
      <c r="HX30">
        <v>1577</v>
      </c>
      <c r="HY30">
        <v>1577</v>
      </c>
      <c r="HZ30">
        <v>143</v>
      </c>
      <c r="IA30">
        <v>104</v>
      </c>
      <c r="IB30">
        <v>82</v>
      </c>
      <c r="IC30">
        <v>82</v>
      </c>
      <c r="ID30">
        <v>82</v>
      </c>
      <c r="IE30">
        <v>82</v>
      </c>
      <c r="IF30">
        <v>186</v>
      </c>
      <c r="IG30">
        <v>124</v>
      </c>
      <c r="IH30">
        <v>136</v>
      </c>
      <c r="II30">
        <v>99</v>
      </c>
      <c r="IJ30">
        <v>178</v>
      </c>
      <c r="IK30">
        <v>178</v>
      </c>
      <c r="IL30">
        <v>99</v>
      </c>
      <c r="IM30">
        <v>99</v>
      </c>
      <c r="IN30">
        <v>105</v>
      </c>
      <c r="IO30">
        <v>105</v>
      </c>
      <c r="IP30">
        <v>99</v>
      </c>
      <c r="IQ30">
        <v>99</v>
      </c>
      <c r="IR30">
        <v>100</v>
      </c>
      <c r="IS30">
        <v>100</v>
      </c>
      <c r="IT30">
        <v>200</v>
      </c>
      <c r="IU30">
        <v>143</v>
      </c>
      <c r="IV30">
        <v>82</v>
      </c>
      <c r="IW30">
        <v>82</v>
      </c>
      <c r="IX30">
        <v>82</v>
      </c>
      <c r="IY30">
        <v>412</v>
      </c>
      <c r="IZ30">
        <v>412</v>
      </c>
      <c r="JA30">
        <v>82</v>
      </c>
      <c r="JB30">
        <v>82</v>
      </c>
      <c r="JC30">
        <v>109</v>
      </c>
      <c r="JD30">
        <v>178</v>
      </c>
      <c r="JE30">
        <v>99</v>
      </c>
      <c r="JF30">
        <v>82</v>
      </c>
      <c r="JG30">
        <v>109</v>
      </c>
      <c r="JH30">
        <v>140</v>
      </c>
      <c r="JI30">
        <v>140</v>
      </c>
      <c r="JJ30">
        <v>196</v>
      </c>
      <c r="JK30">
        <v>178</v>
      </c>
      <c r="JL30">
        <v>178</v>
      </c>
      <c r="JM30">
        <v>99</v>
      </c>
      <c r="JN30">
        <v>178</v>
      </c>
      <c r="JO30">
        <v>350</v>
      </c>
      <c r="JP30">
        <v>99</v>
      </c>
      <c r="JQ30">
        <v>99</v>
      </c>
      <c r="JR30">
        <v>99</v>
      </c>
      <c r="JS30">
        <v>392</v>
      </c>
      <c r="JT30">
        <v>97</v>
      </c>
      <c r="JU30">
        <v>99</v>
      </c>
      <c r="JV30">
        <v>761</v>
      </c>
      <c r="JW30">
        <v>178</v>
      </c>
      <c r="JX30">
        <v>124</v>
      </c>
      <c r="JY30">
        <v>103</v>
      </c>
      <c r="JZ30">
        <v>178</v>
      </c>
      <c r="KA30">
        <v>746</v>
      </c>
      <c r="KB30">
        <v>646</v>
      </c>
      <c r="KC30">
        <v>178</v>
      </c>
      <c r="KD30">
        <v>178</v>
      </c>
      <c r="KE30">
        <v>178</v>
      </c>
      <c r="KF30">
        <v>178</v>
      </c>
      <c r="KG30">
        <v>190</v>
      </c>
      <c r="KH30">
        <v>105</v>
      </c>
      <c r="KI30">
        <v>136</v>
      </c>
      <c r="KJ30">
        <v>134</v>
      </c>
      <c r="KK30">
        <v>136</v>
      </c>
      <c r="KL30">
        <v>136</v>
      </c>
      <c r="KM30">
        <v>99</v>
      </c>
      <c r="KN30">
        <v>105</v>
      </c>
      <c r="KO30">
        <v>99</v>
      </c>
      <c r="KP30">
        <v>105</v>
      </c>
      <c r="KQ30">
        <v>99</v>
      </c>
      <c r="KR30">
        <v>99</v>
      </c>
      <c r="KS30">
        <v>99</v>
      </c>
      <c r="KT30">
        <v>74</v>
      </c>
      <c r="KU30">
        <v>74</v>
      </c>
      <c r="KV30">
        <v>99</v>
      </c>
      <c r="KW30">
        <v>178</v>
      </c>
      <c r="KX30">
        <v>178</v>
      </c>
      <c r="KY30">
        <v>99</v>
      </c>
      <c r="KZ30">
        <v>104</v>
      </c>
      <c r="LA30">
        <v>178</v>
      </c>
      <c r="LB30">
        <v>178</v>
      </c>
      <c r="LC30">
        <v>211</v>
      </c>
      <c r="LD30">
        <v>196</v>
      </c>
      <c r="LE30">
        <v>69</v>
      </c>
      <c r="LF30">
        <v>69</v>
      </c>
      <c r="LG30">
        <v>144</v>
      </c>
      <c r="LH30">
        <v>144</v>
      </c>
      <c r="LI30">
        <v>103</v>
      </c>
      <c r="LJ30">
        <v>99</v>
      </c>
      <c r="LK30">
        <v>99</v>
      </c>
      <c r="LL30">
        <v>82</v>
      </c>
      <c r="LM30">
        <v>82</v>
      </c>
      <c r="LN30">
        <v>82</v>
      </c>
      <c r="LO30">
        <v>82</v>
      </c>
      <c r="LP30">
        <v>82</v>
      </c>
      <c r="LQ30">
        <v>99</v>
      </c>
      <c r="LR30">
        <v>79</v>
      </c>
      <c r="LS30">
        <v>79</v>
      </c>
      <c r="LT30">
        <v>108</v>
      </c>
      <c r="LU30">
        <v>109</v>
      </c>
      <c r="LV30">
        <v>109</v>
      </c>
      <c r="LW30">
        <v>99</v>
      </c>
      <c r="LX30">
        <v>99</v>
      </c>
      <c r="LY30">
        <v>99</v>
      </c>
      <c r="LZ30">
        <v>178</v>
      </c>
      <c r="MA30">
        <v>393</v>
      </c>
      <c r="MB30">
        <v>350</v>
      </c>
      <c r="MC30">
        <v>350</v>
      </c>
      <c r="MD30">
        <v>434</v>
      </c>
      <c r="ME30">
        <v>1283</v>
      </c>
      <c r="MF30">
        <v>351</v>
      </c>
      <c r="MG30">
        <v>140</v>
      </c>
      <c r="MH30">
        <v>140</v>
      </c>
      <c r="MI30">
        <v>140</v>
      </c>
      <c r="MJ30">
        <v>186</v>
      </c>
      <c r="MK30">
        <v>157</v>
      </c>
      <c r="ML30">
        <v>144</v>
      </c>
      <c r="MM30">
        <v>186</v>
      </c>
      <c r="MN30">
        <v>195</v>
      </c>
      <c r="MO30">
        <v>105</v>
      </c>
      <c r="MP30">
        <v>119</v>
      </c>
      <c r="MQ30">
        <v>593</v>
      </c>
      <c r="MR30">
        <v>119</v>
      </c>
      <c r="MS30">
        <v>332</v>
      </c>
      <c r="MT30">
        <v>120</v>
      </c>
      <c r="MU30">
        <v>80</v>
      </c>
      <c r="MV30">
        <v>536</v>
      </c>
      <c r="MW30">
        <v>105</v>
      </c>
      <c r="MX30">
        <v>144</v>
      </c>
      <c r="MY30">
        <v>144</v>
      </c>
      <c r="MZ30">
        <v>105</v>
      </c>
      <c r="NA30">
        <v>384</v>
      </c>
      <c r="NB30">
        <v>99</v>
      </c>
      <c r="NC30">
        <v>99</v>
      </c>
      <c r="ND30">
        <v>434</v>
      </c>
      <c r="NE30">
        <v>98</v>
      </c>
      <c r="NF30">
        <v>107</v>
      </c>
      <c r="NG30">
        <v>140</v>
      </c>
      <c r="NH30">
        <v>107</v>
      </c>
      <c r="NI30">
        <v>140</v>
      </c>
      <c r="NJ30">
        <v>99</v>
      </c>
      <c r="NK30">
        <v>99</v>
      </c>
      <c r="NL30">
        <v>178</v>
      </c>
      <c r="NM30">
        <v>103</v>
      </c>
      <c r="NN30">
        <v>103</v>
      </c>
      <c r="NO30">
        <v>103</v>
      </c>
      <c r="NP30">
        <v>120</v>
      </c>
      <c r="NQ30">
        <v>120</v>
      </c>
      <c r="NR30">
        <v>570</v>
      </c>
      <c r="NS30">
        <v>99</v>
      </c>
      <c r="NT30">
        <v>393</v>
      </c>
      <c r="NU30">
        <v>434</v>
      </c>
      <c r="NV30">
        <v>593</v>
      </c>
      <c r="NW30">
        <v>178</v>
      </c>
      <c r="NX30">
        <v>178</v>
      </c>
      <c r="NY30">
        <v>178</v>
      </c>
      <c r="NZ30">
        <v>178</v>
      </c>
      <c r="OA30">
        <v>136</v>
      </c>
      <c r="OB30">
        <v>122</v>
      </c>
      <c r="OC30">
        <v>82</v>
      </c>
      <c r="OD30">
        <v>82</v>
      </c>
      <c r="OE30">
        <v>105</v>
      </c>
      <c r="OF30">
        <v>434</v>
      </c>
      <c r="OG30">
        <v>350</v>
      </c>
      <c r="OH30">
        <v>99</v>
      </c>
      <c r="OI30">
        <v>99</v>
      </c>
      <c r="OJ30">
        <v>99</v>
      </c>
      <c r="OK30">
        <v>99</v>
      </c>
      <c r="OL30">
        <v>99</v>
      </c>
      <c r="OM30">
        <v>99</v>
      </c>
      <c r="ON30">
        <v>200</v>
      </c>
      <c r="OO30">
        <v>200</v>
      </c>
      <c r="OP30">
        <v>119</v>
      </c>
      <c r="OQ30">
        <v>105</v>
      </c>
      <c r="OR30">
        <v>105</v>
      </c>
      <c r="OS30">
        <v>195</v>
      </c>
      <c r="OT30">
        <v>710</v>
      </c>
      <c r="OU30">
        <v>82</v>
      </c>
      <c r="OV30">
        <v>80</v>
      </c>
      <c r="OW30">
        <v>107</v>
      </c>
      <c r="OX30">
        <v>140</v>
      </c>
      <c r="OY30">
        <v>136</v>
      </c>
      <c r="OZ30">
        <v>136</v>
      </c>
      <c r="PA30">
        <v>104</v>
      </c>
      <c r="PB30">
        <v>196</v>
      </c>
      <c r="PC30">
        <v>80</v>
      </c>
      <c r="PD30">
        <v>562</v>
      </c>
      <c r="PE30">
        <v>120</v>
      </c>
      <c r="PF30">
        <v>267</v>
      </c>
      <c r="PG30">
        <v>351</v>
      </c>
      <c r="PH30">
        <v>593</v>
      </c>
      <c r="PI30">
        <v>178</v>
      </c>
      <c r="PJ30">
        <v>99</v>
      </c>
      <c r="PK30">
        <v>134</v>
      </c>
      <c r="PL30">
        <v>103</v>
      </c>
      <c r="PM30">
        <v>103</v>
      </c>
      <c r="PN30">
        <v>710</v>
      </c>
      <c r="PO30">
        <v>710</v>
      </c>
      <c r="PP30">
        <v>710</v>
      </c>
      <c r="PQ30">
        <v>185</v>
      </c>
      <c r="PR30">
        <v>178</v>
      </c>
      <c r="PS30">
        <v>99</v>
      </c>
      <c r="PT30">
        <v>178</v>
      </c>
      <c r="PU30">
        <v>178</v>
      </c>
      <c r="PV30">
        <v>119</v>
      </c>
      <c r="PW30">
        <v>120</v>
      </c>
      <c r="PX30">
        <v>136</v>
      </c>
      <c r="PY30">
        <v>434</v>
      </c>
      <c r="PZ30">
        <v>512</v>
      </c>
      <c r="QA30">
        <v>99</v>
      </c>
      <c r="QB30">
        <v>80</v>
      </c>
      <c r="QC30">
        <v>269</v>
      </c>
      <c r="QD30">
        <v>178</v>
      </c>
      <c r="QE30">
        <v>140</v>
      </c>
      <c r="QF30">
        <v>136</v>
      </c>
      <c r="QG30">
        <v>731</v>
      </c>
      <c r="QH30">
        <v>731</v>
      </c>
      <c r="QI30">
        <v>660</v>
      </c>
      <c r="QJ30">
        <v>660</v>
      </c>
      <c r="QK30">
        <v>136</v>
      </c>
      <c r="QL30">
        <v>99</v>
      </c>
      <c r="QM30">
        <v>99</v>
      </c>
      <c r="QN30">
        <v>350</v>
      </c>
      <c r="QO30">
        <v>350</v>
      </c>
      <c r="QP30">
        <v>99</v>
      </c>
      <c r="QQ30">
        <v>178</v>
      </c>
      <c r="QR30">
        <v>99</v>
      </c>
      <c r="QS30">
        <v>109</v>
      </c>
      <c r="QT30">
        <v>143</v>
      </c>
      <c r="QU30">
        <v>434</v>
      </c>
      <c r="QV30">
        <v>178</v>
      </c>
      <c r="QW30">
        <v>99</v>
      </c>
      <c r="QX30">
        <v>140</v>
      </c>
      <c r="QY30">
        <v>190</v>
      </c>
      <c r="QZ30">
        <v>195</v>
      </c>
      <c r="RA30">
        <v>135</v>
      </c>
      <c r="RB30">
        <v>195</v>
      </c>
      <c r="RC30">
        <v>710</v>
      </c>
      <c r="RD30">
        <v>136</v>
      </c>
      <c r="RE30">
        <v>105</v>
      </c>
      <c r="RF30">
        <v>124</v>
      </c>
      <c r="RG30">
        <v>99</v>
      </c>
      <c r="RH30">
        <v>353</v>
      </c>
      <c r="RI30">
        <v>178</v>
      </c>
      <c r="RJ30">
        <v>99</v>
      </c>
      <c r="RK30">
        <v>136</v>
      </c>
      <c r="RL30">
        <v>99</v>
      </c>
      <c r="RM30">
        <v>187</v>
      </c>
      <c r="RN30">
        <v>99</v>
      </c>
      <c r="RO30">
        <v>761</v>
      </c>
      <c r="RP30">
        <v>761</v>
      </c>
      <c r="RQ30">
        <v>99</v>
      </c>
      <c r="RR30">
        <v>99</v>
      </c>
      <c r="RS30">
        <v>99</v>
      </c>
      <c r="RT30">
        <v>99</v>
      </c>
      <c r="RU30">
        <v>136</v>
      </c>
      <c r="RV30">
        <v>124</v>
      </c>
      <c r="RW30">
        <v>99</v>
      </c>
      <c r="RX30">
        <v>99</v>
      </c>
      <c r="RY30">
        <v>136</v>
      </c>
      <c r="RZ30">
        <v>105</v>
      </c>
      <c r="SA30">
        <v>136</v>
      </c>
      <c r="SB30">
        <v>100</v>
      </c>
      <c r="SC30">
        <v>99</v>
      </c>
      <c r="SD30">
        <v>178</v>
      </c>
      <c r="SE30">
        <v>99</v>
      </c>
      <c r="SF30">
        <v>99</v>
      </c>
      <c r="SG30">
        <v>99</v>
      </c>
      <c r="SH30">
        <v>99</v>
      </c>
      <c r="SI30">
        <v>82</v>
      </c>
      <c r="SJ30">
        <v>80</v>
      </c>
      <c r="SK30">
        <v>99</v>
      </c>
      <c r="SL30">
        <v>99</v>
      </c>
      <c r="SM30">
        <v>95</v>
      </c>
      <c r="SN30">
        <v>710</v>
      </c>
      <c r="SO30">
        <v>710</v>
      </c>
      <c r="SP30">
        <v>350</v>
      </c>
      <c r="SQ30">
        <v>120</v>
      </c>
      <c r="SR30">
        <v>104</v>
      </c>
      <c r="SS30">
        <v>710</v>
      </c>
      <c r="ST30">
        <v>710</v>
      </c>
      <c r="SU30">
        <v>99</v>
      </c>
      <c r="SV30">
        <v>99</v>
      </c>
      <c r="SW30">
        <v>80</v>
      </c>
      <c r="SX30">
        <v>178</v>
      </c>
      <c r="SY30">
        <v>269</v>
      </c>
      <c r="SZ30">
        <v>325</v>
      </c>
      <c r="TA30">
        <v>350</v>
      </c>
      <c r="TB30">
        <v>119</v>
      </c>
      <c r="TC30">
        <v>120</v>
      </c>
      <c r="TD30">
        <v>140</v>
      </c>
      <c r="TE30">
        <v>140</v>
      </c>
      <c r="TF30">
        <v>99</v>
      </c>
      <c r="TG30">
        <v>105</v>
      </c>
      <c r="TH30">
        <v>100</v>
      </c>
      <c r="TI30">
        <v>120</v>
      </c>
      <c r="TJ30">
        <v>139</v>
      </c>
      <c r="TK30">
        <v>135</v>
      </c>
      <c r="TL30">
        <v>190</v>
      </c>
      <c r="TM30">
        <v>99</v>
      </c>
      <c r="TN30">
        <v>99</v>
      </c>
      <c r="TO30">
        <v>1283</v>
      </c>
      <c r="TP30">
        <v>537</v>
      </c>
      <c r="TQ30">
        <v>178</v>
      </c>
      <c r="TR30">
        <v>178</v>
      </c>
      <c r="TS30">
        <v>178</v>
      </c>
      <c r="TT30">
        <v>105</v>
      </c>
      <c r="TU30">
        <v>105</v>
      </c>
      <c r="TV30">
        <v>136</v>
      </c>
      <c r="TW30">
        <v>105</v>
      </c>
      <c r="TX30">
        <v>82</v>
      </c>
      <c r="TY30">
        <v>82</v>
      </c>
      <c r="TZ30">
        <v>119</v>
      </c>
      <c r="UA30">
        <v>332</v>
      </c>
      <c r="UB30">
        <v>109</v>
      </c>
      <c r="UC30">
        <v>82</v>
      </c>
      <c r="UD30">
        <v>186</v>
      </c>
      <c r="UE30">
        <v>105</v>
      </c>
      <c r="UF30">
        <v>434</v>
      </c>
      <c r="UG30">
        <v>1577</v>
      </c>
      <c r="UH30">
        <v>105</v>
      </c>
      <c r="UI30">
        <v>105</v>
      </c>
      <c r="UJ30">
        <v>267</v>
      </c>
      <c r="UK30">
        <v>269</v>
      </c>
      <c r="UL30">
        <v>269</v>
      </c>
      <c r="UM30">
        <v>593</v>
      </c>
      <c r="UN30">
        <v>178</v>
      </c>
      <c r="UO30">
        <v>136</v>
      </c>
      <c r="UP30">
        <v>467</v>
      </c>
      <c r="UQ30">
        <v>63</v>
      </c>
      <c r="UR30">
        <v>195</v>
      </c>
      <c r="US30">
        <v>178</v>
      </c>
      <c r="UT30">
        <v>125</v>
      </c>
      <c r="UU30">
        <v>125</v>
      </c>
      <c r="UV30">
        <v>99</v>
      </c>
      <c r="UW30">
        <v>95</v>
      </c>
      <c r="UX30">
        <v>99</v>
      </c>
      <c r="UY30">
        <v>178</v>
      </c>
      <c r="UZ30">
        <v>178</v>
      </c>
      <c r="VA30">
        <v>105</v>
      </c>
      <c r="VB30">
        <v>99</v>
      </c>
      <c r="VC30">
        <v>99</v>
      </c>
      <c r="VD30">
        <v>105</v>
      </c>
      <c r="VE30">
        <v>105</v>
      </c>
      <c r="VF30">
        <v>105</v>
      </c>
      <c r="VG30">
        <v>710</v>
      </c>
      <c r="VH30">
        <v>710</v>
      </c>
      <c r="VI30">
        <v>79</v>
      </c>
      <c r="VJ30">
        <v>79</v>
      </c>
      <c r="VK30">
        <v>105</v>
      </c>
      <c r="VL30">
        <v>178</v>
      </c>
      <c r="VM30">
        <v>186</v>
      </c>
      <c r="VN30">
        <v>178</v>
      </c>
      <c r="VO30">
        <v>685</v>
      </c>
    </row>
    <row r="31" spans="1:587" x14ac:dyDescent="0.3">
      <c r="A31" t="s">
        <v>3026</v>
      </c>
      <c r="B31" cm="1">
        <f t="array" ref="B31:VO31">1*TRANSPOSE(_xlfn._xlws.FILTER(branch!$I$2:$I$591,branch!$D$2:$D$591&lt;&gt;0))</f>
        <v>99</v>
      </c>
      <c r="C31">
        <v>99</v>
      </c>
      <c r="D31">
        <v>178</v>
      </c>
      <c r="E31">
        <v>145</v>
      </c>
      <c r="F31">
        <v>536</v>
      </c>
      <c r="G31">
        <v>393</v>
      </c>
      <c r="H31">
        <v>393</v>
      </c>
      <c r="I31">
        <v>593</v>
      </c>
      <c r="J31">
        <v>434</v>
      </c>
      <c r="K31">
        <v>99</v>
      </c>
      <c r="L31">
        <v>140</v>
      </c>
      <c r="M31">
        <v>103</v>
      </c>
      <c r="N31">
        <v>109</v>
      </c>
      <c r="O31">
        <v>105</v>
      </c>
      <c r="P31">
        <v>99</v>
      </c>
      <c r="Q31">
        <v>187</v>
      </c>
      <c r="R31">
        <v>187</v>
      </c>
      <c r="S31">
        <v>187</v>
      </c>
      <c r="T31">
        <v>104</v>
      </c>
      <c r="U31">
        <v>112</v>
      </c>
      <c r="V31">
        <v>105</v>
      </c>
      <c r="W31">
        <v>82</v>
      </c>
      <c r="X31">
        <v>82</v>
      </c>
      <c r="Y31">
        <v>105</v>
      </c>
      <c r="Z31">
        <v>105</v>
      </c>
      <c r="AA31">
        <v>99</v>
      </c>
      <c r="AB31">
        <v>178</v>
      </c>
      <c r="AC31">
        <v>434</v>
      </c>
      <c r="AD31">
        <v>434</v>
      </c>
      <c r="AE31">
        <v>34</v>
      </c>
      <c r="AF31">
        <v>120</v>
      </c>
      <c r="AG31">
        <v>120</v>
      </c>
      <c r="AH31">
        <v>104</v>
      </c>
      <c r="AI31">
        <v>178</v>
      </c>
      <c r="AJ31">
        <v>178</v>
      </c>
      <c r="AK31">
        <v>178</v>
      </c>
      <c r="AL31">
        <v>178</v>
      </c>
      <c r="AM31">
        <v>120</v>
      </c>
      <c r="AN31">
        <v>178</v>
      </c>
      <c r="AO31">
        <v>99</v>
      </c>
      <c r="AP31">
        <v>178</v>
      </c>
      <c r="AQ31">
        <v>140</v>
      </c>
      <c r="AR31">
        <v>140</v>
      </c>
      <c r="AS31">
        <v>99</v>
      </c>
      <c r="AT31">
        <v>105</v>
      </c>
      <c r="AU31">
        <v>99</v>
      </c>
      <c r="AV31">
        <v>96</v>
      </c>
      <c r="AW31">
        <v>96</v>
      </c>
      <c r="AX31">
        <v>178</v>
      </c>
      <c r="AY31">
        <v>178</v>
      </c>
      <c r="AZ31">
        <v>120</v>
      </c>
      <c r="BA31">
        <v>120</v>
      </c>
      <c r="BB31">
        <v>178</v>
      </c>
      <c r="BC31">
        <v>178</v>
      </c>
      <c r="BD31">
        <v>178</v>
      </c>
      <c r="BE31">
        <v>105</v>
      </c>
      <c r="BF31">
        <v>99</v>
      </c>
      <c r="BG31">
        <v>99</v>
      </c>
      <c r="BH31">
        <v>99</v>
      </c>
      <c r="BI31">
        <v>82</v>
      </c>
      <c r="BJ31">
        <v>82</v>
      </c>
      <c r="BK31">
        <v>136</v>
      </c>
      <c r="BL31">
        <v>140</v>
      </c>
      <c r="BM31">
        <v>130</v>
      </c>
      <c r="BN31">
        <v>99</v>
      </c>
      <c r="BO31">
        <v>122</v>
      </c>
      <c r="BP31">
        <v>196</v>
      </c>
      <c r="BQ31">
        <v>178</v>
      </c>
      <c r="BR31">
        <v>136</v>
      </c>
      <c r="BS31">
        <v>178</v>
      </c>
      <c r="BT31">
        <v>124</v>
      </c>
      <c r="BU31">
        <v>178</v>
      </c>
      <c r="BV31">
        <v>178</v>
      </c>
      <c r="BW31">
        <v>178</v>
      </c>
      <c r="BX31">
        <v>99</v>
      </c>
      <c r="BY31">
        <v>136</v>
      </c>
      <c r="BZ31">
        <v>195</v>
      </c>
      <c r="CA31">
        <v>178</v>
      </c>
      <c r="CB31">
        <v>178</v>
      </c>
      <c r="CC31">
        <v>192</v>
      </c>
      <c r="CD31">
        <v>187</v>
      </c>
      <c r="CE31">
        <v>120</v>
      </c>
      <c r="CF31">
        <v>187</v>
      </c>
      <c r="CG31">
        <v>187</v>
      </c>
      <c r="CH31">
        <v>187</v>
      </c>
      <c r="CI31">
        <v>119</v>
      </c>
      <c r="CJ31">
        <v>119</v>
      </c>
      <c r="CK31">
        <v>570</v>
      </c>
      <c r="CL31">
        <v>570</v>
      </c>
      <c r="CM31">
        <v>140</v>
      </c>
      <c r="CN31">
        <v>140</v>
      </c>
      <c r="CO31">
        <v>842</v>
      </c>
      <c r="CP31">
        <v>105</v>
      </c>
      <c r="CQ31">
        <v>109</v>
      </c>
      <c r="CR31">
        <v>109</v>
      </c>
      <c r="CS31">
        <v>82</v>
      </c>
      <c r="CT31">
        <v>82</v>
      </c>
      <c r="CU31">
        <v>75</v>
      </c>
      <c r="CV31">
        <v>75</v>
      </c>
      <c r="CW31">
        <v>178</v>
      </c>
      <c r="CX31">
        <v>178</v>
      </c>
      <c r="CY31">
        <v>178</v>
      </c>
      <c r="CZ31">
        <v>178</v>
      </c>
      <c r="DA31">
        <v>82</v>
      </c>
      <c r="DB31">
        <v>82</v>
      </c>
      <c r="DC31">
        <v>710</v>
      </c>
      <c r="DD31">
        <v>69</v>
      </c>
      <c r="DE31">
        <v>70</v>
      </c>
      <c r="DF31">
        <v>710</v>
      </c>
      <c r="DG31">
        <v>710</v>
      </c>
      <c r="DH31">
        <v>710</v>
      </c>
      <c r="DI31">
        <v>144</v>
      </c>
      <c r="DJ31">
        <v>63</v>
      </c>
      <c r="DK31">
        <v>99</v>
      </c>
      <c r="DL31">
        <v>570</v>
      </c>
      <c r="DM31">
        <v>570</v>
      </c>
      <c r="DN31">
        <v>178</v>
      </c>
      <c r="DO31">
        <v>200</v>
      </c>
      <c r="DP31">
        <v>109</v>
      </c>
      <c r="DQ31">
        <v>109</v>
      </c>
      <c r="DR31">
        <v>79</v>
      </c>
      <c r="DS31">
        <v>79</v>
      </c>
      <c r="DT31">
        <v>434</v>
      </c>
      <c r="DU31">
        <v>740</v>
      </c>
      <c r="DV31">
        <v>228</v>
      </c>
      <c r="DW31">
        <v>115</v>
      </c>
      <c r="DX31">
        <v>195</v>
      </c>
      <c r="DY31">
        <v>124</v>
      </c>
      <c r="DZ31">
        <v>80</v>
      </c>
      <c r="EA31">
        <v>120</v>
      </c>
      <c r="EB31">
        <v>105</v>
      </c>
      <c r="EC31">
        <v>178</v>
      </c>
      <c r="ED31">
        <v>178</v>
      </c>
      <c r="EE31">
        <v>178</v>
      </c>
      <c r="EF31">
        <v>69</v>
      </c>
      <c r="EG31">
        <v>70</v>
      </c>
      <c r="EH31">
        <v>69</v>
      </c>
      <c r="EI31">
        <v>69</v>
      </c>
      <c r="EJ31">
        <v>132</v>
      </c>
      <c r="EK31">
        <v>132</v>
      </c>
      <c r="EL31">
        <v>710</v>
      </c>
      <c r="EM31">
        <v>710</v>
      </c>
      <c r="EN31">
        <v>66</v>
      </c>
      <c r="EO31">
        <v>66</v>
      </c>
      <c r="EP31">
        <v>710</v>
      </c>
      <c r="EQ31">
        <v>109</v>
      </c>
      <c r="ER31">
        <v>109</v>
      </c>
      <c r="ES31">
        <v>82</v>
      </c>
      <c r="ET31">
        <v>82</v>
      </c>
      <c r="EU31">
        <v>144</v>
      </c>
      <c r="EV31">
        <v>144</v>
      </c>
      <c r="EW31">
        <v>710</v>
      </c>
      <c r="EX31">
        <v>178</v>
      </c>
      <c r="EY31">
        <v>124</v>
      </c>
      <c r="EZ31">
        <v>99</v>
      </c>
      <c r="FA31">
        <v>99</v>
      </c>
      <c r="FB31">
        <v>99</v>
      </c>
      <c r="FC31">
        <v>761</v>
      </c>
      <c r="FD31">
        <v>187</v>
      </c>
      <c r="FE31">
        <v>761</v>
      </c>
      <c r="FF31">
        <v>761</v>
      </c>
      <c r="FG31">
        <v>761</v>
      </c>
      <c r="FH31">
        <v>178</v>
      </c>
      <c r="FI31">
        <v>178</v>
      </c>
      <c r="FJ31">
        <v>115</v>
      </c>
      <c r="FK31">
        <v>434</v>
      </c>
      <c r="FL31">
        <v>434</v>
      </c>
      <c r="FM31">
        <v>555</v>
      </c>
      <c r="FN31">
        <v>123</v>
      </c>
      <c r="FO31">
        <v>178</v>
      </c>
      <c r="FP31">
        <v>130</v>
      </c>
      <c r="FQ31">
        <v>178</v>
      </c>
      <c r="FR31">
        <v>103</v>
      </c>
      <c r="FS31">
        <v>238</v>
      </c>
      <c r="FT31">
        <v>434</v>
      </c>
      <c r="FU31">
        <v>178</v>
      </c>
      <c r="FV31">
        <v>132</v>
      </c>
      <c r="FW31">
        <v>178</v>
      </c>
      <c r="FX31">
        <v>144</v>
      </c>
      <c r="FY31">
        <v>144</v>
      </c>
      <c r="FZ31">
        <v>140</v>
      </c>
      <c r="GA31">
        <v>140</v>
      </c>
      <c r="GB31">
        <v>136</v>
      </c>
      <c r="GC31">
        <v>178</v>
      </c>
      <c r="GD31">
        <v>178</v>
      </c>
      <c r="GE31">
        <v>178</v>
      </c>
      <c r="GF31">
        <v>196</v>
      </c>
      <c r="GG31">
        <v>178</v>
      </c>
      <c r="GH31">
        <v>178</v>
      </c>
      <c r="GI31">
        <v>178</v>
      </c>
      <c r="GJ31">
        <v>130</v>
      </c>
      <c r="GK31">
        <v>99</v>
      </c>
      <c r="GL31">
        <v>136</v>
      </c>
      <c r="GM31">
        <v>178</v>
      </c>
      <c r="GN31">
        <v>105</v>
      </c>
      <c r="GO31">
        <v>187</v>
      </c>
      <c r="GP31">
        <v>187</v>
      </c>
      <c r="GQ31">
        <v>187</v>
      </c>
      <c r="GR31">
        <v>105</v>
      </c>
      <c r="GS31">
        <v>130</v>
      </c>
      <c r="GT31">
        <v>434</v>
      </c>
      <c r="GU31">
        <v>105</v>
      </c>
      <c r="GV31">
        <v>105</v>
      </c>
      <c r="GW31">
        <v>593</v>
      </c>
      <c r="GX31">
        <v>119</v>
      </c>
      <c r="GY31">
        <v>178</v>
      </c>
      <c r="GZ31">
        <v>120</v>
      </c>
      <c r="HA31">
        <v>178</v>
      </c>
      <c r="HB31">
        <v>178</v>
      </c>
      <c r="HC31">
        <v>178</v>
      </c>
      <c r="HD31">
        <v>646</v>
      </c>
      <c r="HE31">
        <v>161</v>
      </c>
      <c r="HF31">
        <v>161</v>
      </c>
      <c r="HG31">
        <v>434</v>
      </c>
      <c r="HH31">
        <v>434</v>
      </c>
      <c r="HI31">
        <v>187</v>
      </c>
      <c r="HJ31">
        <v>124</v>
      </c>
      <c r="HK31">
        <v>99</v>
      </c>
      <c r="HL31">
        <v>105</v>
      </c>
      <c r="HM31">
        <v>63</v>
      </c>
      <c r="HN31">
        <v>178</v>
      </c>
      <c r="HO31">
        <v>187</v>
      </c>
      <c r="HP31">
        <v>136</v>
      </c>
      <c r="HQ31">
        <v>187</v>
      </c>
      <c r="HR31">
        <v>187</v>
      </c>
      <c r="HS31">
        <v>99</v>
      </c>
      <c r="HT31">
        <v>99</v>
      </c>
      <c r="HU31">
        <v>105</v>
      </c>
      <c r="HV31">
        <v>178</v>
      </c>
      <c r="HW31">
        <v>178</v>
      </c>
      <c r="HX31">
        <v>1577</v>
      </c>
      <c r="HY31">
        <v>1577</v>
      </c>
      <c r="HZ31">
        <v>143</v>
      </c>
      <c r="IA31">
        <v>104</v>
      </c>
      <c r="IB31">
        <v>82</v>
      </c>
      <c r="IC31">
        <v>82</v>
      </c>
      <c r="ID31">
        <v>82</v>
      </c>
      <c r="IE31">
        <v>82</v>
      </c>
      <c r="IF31">
        <v>186</v>
      </c>
      <c r="IG31">
        <v>124</v>
      </c>
      <c r="IH31">
        <v>136</v>
      </c>
      <c r="II31">
        <v>99</v>
      </c>
      <c r="IJ31">
        <v>178</v>
      </c>
      <c r="IK31">
        <v>178</v>
      </c>
      <c r="IL31">
        <v>99</v>
      </c>
      <c r="IM31">
        <v>99</v>
      </c>
      <c r="IN31">
        <v>105</v>
      </c>
      <c r="IO31">
        <v>105</v>
      </c>
      <c r="IP31">
        <v>99</v>
      </c>
      <c r="IQ31">
        <v>99</v>
      </c>
      <c r="IR31">
        <v>100</v>
      </c>
      <c r="IS31">
        <v>100</v>
      </c>
      <c r="IT31">
        <v>200</v>
      </c>
      <c r="IU31">
        <v>143</v>
      </c>
      <c r="IV31">
        <v>82</v>
      </c>
      <c r="IW31">
        <v>82</v>
      </c>
      <c r="IX31">
        <v>82</v>
      </c>
      <c r="IY31">
        <v>412</v>
      </c>
      <c r="IZ31">
        <v>412</v>
      </c>
      <c r="JA31">
        <v>82</v>
      </c>
      <c r="JB31">
        <v>82</v>
      </c>
      <c r="JC31">
        <v>109</v>
      </c>
      <c r="JD31">
        <v>178</v>
      </c>
      <c r="JE31">
        <v>99</v>
      </c>
      <c r="JF31">
        <v>82</v>
      </c>
      <c r="JG31">
        <v>109</v>
      </c>
      <c r="JH31">
        <v>140</v>
      </c>
      <c r="JI31">
        <v>140</v>
      </c>
      <c r="JJ31">
        <v>196</v>
      </c>
      <c r="JK31">
        <v>178</v>
      </c>
      <c r="JL31">
        <v>178</v>
      </c>
      <c r="JM31">
        <v>99</v>
      </c>
      <c r="JN31">
        <v>178</v>
      </c>
      <c r="JO31">
        <v>350</v>
      </c>
      <c r="JP31">
        <v>99</v>
      </c>
      <c r="JQ31">
        <v>99</v>
      </c>
      <c r="JR31">
        <v>99</v>
      </c>
      <c r="JS31">
        <v>392</v>
      </c>
      <c r="JT31">
        <v>97</v>
      </c>
      <c r="JU31">
        <v>99</v>
      </c>
      <c r="JV31">
        <v>761</v>
      </c>
      <c r="JW31">
        <v>178</v>
      </c>
      <c r="JX31">
        <v>124</v>
      </c>
      <c r="JY31">
        <v>103</v>
      </c>
      <c r="JZ31">
        <v>178</v>
      </c>
      <c r="KA31">
        <v>746</v>
      </c>
      <c r="KB31">
        <v>646</v>
      </c>
      <c r="KC31">
        <v>178</v>
      </c>
      <c r="KD31">
        <v>178</v>
      </c>
      <c r="KE31">
        <v>178</v>
      </c>
      <c r="KF31">
        <v>178</v>
      </c>
      <c r="KG31">
        <v>190</v>
      </c>
      <c r="KH31">
        <v>105</v>
      </c>
      <c r="KI31">
        <v>136</v>
      </c>
      <c r="KJ31">
        <v>134</v>
      </c>
      <c r="KK31">
        <v>136</v>
      </c>
      <c r="KL31">
        <v>136</v>
      </c>
      <c r="KM31">
        <v>99</v>
      </c>
      <c r="KN31">
        <v>105</v>
      </c>
      <c r="KO31">
        <v>99</v>
      </c>
      <c r="KP31">
        <v>105</v>
      </c>
      <c r="KQ31">
        <v>99</v>
      </c>
      <c r="KR31">
        <v>99</v>
      </c>
      <c r="KS31">
        <v>99</v>
      </c>
      <c r="KT31">
        <v>74</v>
      </c>
      <c r="KU31">
        <v>74</v>
      </c>
      <c r="KV31">
        <v>99</v>
      </c>
      <c r="KW31">
        <v>178</v>
      </c>
      <c r="KX31">
        <v>178</v>
      </c>
      <c r="KY31">
        <v>99</v>
      </c>
      <c r="KZ31">
        <v>104</v>
      </c>
      <c r="LA31">
        <v>178</v>
      </c>
      <c r="LB31">
        <v>178</v>
      </c>
      <c r="LC31">
        <v>211</v>
      </c>
      <c r="LD31">
        <v>196</v>
      </c>
      <c r="LE31">
        <v>69</v>
      </c>
      <c r="LF31">
        <v>69</v>
      </c>
      <c r="LG31">
        <v>144</v>
      </c>
      <c r="LH31">
        <v>144</v>
      </c>
      <c r="LI31">
        <v>103</v>
      </c>
      <c r="LJ31">
        <v>99</v>
      </c>
      <c r="LK31">
        <v>99</v>
      </c>
      <c r="LL31">
        <v>82</v>
      </c>
      <c r="LM31">
        <v>82</v>
      </c>
      <c r="LN31">
        <v>82</v>
      </c>
      <c r="LO31">
        <v>82</v>
      </c>
      <c r="LP31">
        <v>82</v>
      </c>
      <c r="LQ31">
        <v>99</v>
      </c>
      <c r="LR31">
        <v>79</v>
      </c>
      <c r="LS31">
        <v>79</v>
      </c>
      <c r="LT31">
        <v>108</v>
      </c>
      <c r="LU31">
        <v>109</v>
      </c>
      <c r="LV31">
        <v>109</v>
      </c>
      <c r="LW31">
        <v>99</v>
      </c>
      <c r="LX31">
        <v>99</v>
      </c>
      <c r="LY31">
        <v>99</v>
      </c>
      <c r="LZ31">
        <v>178</v>
      </c>
      <c r="MA31">
        <v>393</v>
      </c>
      <c r="MB31">
        <v>350</v>
      </c>
      <c r="MC31">
        <v>350</v>
      </c>
      <c r="MD31">
        <v>434</v>
      </c>
      <c r="ME31">
        <v>1283</v>
      </c>
      <c r="MF31">
        <v>351</v>
      </c>
      <c r="MG31">
        <v>140</v>
      </c>
      <c r="MH31">
        <v>140</v>
      </c>
      <c r="MI31">
        <v>140</v>
      </c>
      <c r="MJ31">
        <v>186</v>
      </c>
      <c r="MK31">
        <v>157</v>
      </c>
      <c r="ML31">
        <v>144</v>
      </c>
      <c r="MM31">
        <v>186</v>
      </c>
      <c r="MN31">
        <v>195</v>
      </c>
      <c r="MO31">
        <v>105</v>
      </c>
      <c r="MP31">
        <v>119</v>
      </c>
      <c r="MQ31">
        <v>593</v>
      </c>
      <c r="MR31">
        <v>119</v>
      </c>
      <c r="MS31">
        <v>332</v>
      </c>
      <c r="MT31">
        <v>120</v>
      </c>
      <c r="MU31">
        <v>80</v>
      </c>
      <c r="MV31">
        <v>536</v>
      </c>
      <c r="MW31">
        <v>105</v>
      </c>
      <c r="MX31">
        <v>144</v>
      </c>
      <c r="MY31">
        <v>144</v>
      </c>
      <c r="MZ31">
        <v>105</v>
      </c>
      <c r="NA31">
        <v>384</v>
      </c>
      <c r="NB31">
        <v>99</v>
      </c>
      <c r="NC31">
        <v>99</v>
      </c>
      <c r="ND31">
        <v>434</v>
      </c>
      <c r="NE31">
        <v>98</v>
      </c>
      <c r="NF31">
        <v>107</v>
      </c>
      <c r="NG31">
        <v>140</v>
      </c>
      <c r="NH31">
        <v>107</v>
      </c>
      <c r="NI31">
        <v>140</v>
      </c>
      <c r="NJ31">
        <v>99</v>
      </c>
      <c r="NK31">
        <v>99</v>
      </c>
      <c r="NL31">
        <v>178</v>
      </c>
      <c r="NM31">
        <v>103</v>
      </c>
      <c r="NN31">
        <v>103</v>
      </c>
      <c r="NO31">
        <v>103</v>
      </c>
      <c r="NP31">
        <v>120</v>
      </c>
      <c r="NQ31">
        <v>120</v>
      </c>
      <c r="NR31">
        <v>570</v>
      </c>
      <c r="NS31">
        <v>99</v>
      </c>
      <c r="NT31">
        <v>393</v>
      </c>
      <c r="NU31">
        <v>434</v>
      </c>
      <c r="NV31">
        <v>593</v>
      </c>
      <c r="NW31">
        <v>178</v>
      </c>
      <c r="NX31">
        <v>178</v>
      </c>
      <c r="NY31">
        <v>178</v>
      </c>
      <c r="NZ31">
        <v>178</v>
      </c>
      <c r="OA31">
        <v>136</v>
      </c>
      <c r="OB31">
        <v>122</v>
      </c>
      <c r="OC31">
        <v>82</v>
      </c>
      <c r="OD31">
        <v>82</v>
      </c>
      <c r="OE31">
        <v>105</v>
      </c>
      <c r="OF31">
        <v>434</v>
      </c>
      <c r="OG31">
        <v>350</v>
      </c>
      <c r="OH31">
        <v>99</v>
      </c>
      <c r="OI31">
        <v>99</v>
      </c>
      <c r="OJ31">
        <v>99</v>
      </c>
      <c r="OK31">
        <v>99</v>
      </c>
      <c r="OL31">
        <v>99</v>
      </c>
      <c r="OM31">
        <v>99</v>
      </c>
      <c r="ON31">
        <v>200</v>
      </c>
      <c r="OO31">
        <v>200</v>
      </c>
      <c r="OP31">
        <v>119</v>
      </c>
      <c r="OQ31">
        <v>105</v>
      </c>
      <c r="OR31">
        <v>105</v>
      </c>
      <c r="OS31">
        <v>195</v>
      </c>
      <c r="OT31">
        <v>710</v>
      </c>
      <c r="OU31">
        <v>82</v>
      </c>
      <c r="OV31">
        <v>80</v>
      </c>
      <c r="OW31">
        <v>107</v>
      </c>
      <c r="OX31">
        <v>140</v>
      </c>
      <c r="OY31">
        <v>136</v>
      </c>
      <c r="OZ31">
        <v>136</v>
      </c>
      <c r="PA31">
        <v>104</v>
      </c>
      <c r="PB31">
        <v>196</v>
      </c>
      <c r="PC31">
        <v>80</v>
      </c>
      <c r="PD31">
        <v>562</v>
      </c>
      <c r="PE31">
        <v>120</v>
      </c>
      <c r="PF31">
        <v>267</v>
      </c>
      <c r="PG31">
        <v>351</v>
      </c>
      <c r="PH31">
        <v>593</v>
      </c>
      <c r="PI31">
        <v>178</v>
      </c>
      <c r="PJ31">
        <v>99</v>
      </c>
      <c r="PK31">
        <v>134</v>
      </c>
      <c r="PL31">
        <v>103</v>
      </c>
      <c r="PM31">
        <v>103</v>
      </c>
      <c r="PN31">
        <v>710</v>
      </c>
      <c r="PO31">
        <v>710</v>
      </c>
      <c r="PP31">
        <v>710</v>
      </c>
      <c r="PQ31">
        <v>185</v>
      </c>
      <c r="PR31">
        <v>178</v>
      </c>
      <c r="PS31">
        <v>99</v>
      </c>
      <c r="PT31">
        <v>178</v>
      </c>
      <c r="PU31">
        <v>178</v>
      </c>
      <c r="PV31">
        <v>119</v>
      </c>
      <c r="PW31">
        <v>120</v>
      </c>
      <c r="PX31">
        <v>136</v>
      </c>
      <c r="PY31">
        <v>434</v>
      </c>
      <c r="PZ31">
        <v>512</v>
      </c>
      <c r="QA31">
        <v>99</v>
      </c>
      <c r="QB31">
        <v>80</v>
      </c>
      <c r="QC31">
        <v>269</v>
      </c>
      <c r="QD31">
        <v>178</v>
      </c>
      <c r="QE31">
        <v>140</v>
      </c>
      <c r="QF31">
        <v>136</v>
      </c>
      <c r="QG31">
        <v>731</v>
      </c>
      <c r="QH31">
        <v>731</v>
      </c>
      <c r="QI31">
        <v>660</v>
      </c>
      <c r="QJ31">
        <v>660</v>
      </c>
      <c r="QK31">
        <v>136</v>
      </c>
      <c r="QL31">
        <v>99</v>
      </c>
      <c r="QM31">
        <v>99</v>
      </c>
      <c r="QN31">
        <v>350</v>
      </c>
      <c r="QO31">
        <v>350</v>
      </c>
      <c r="QP31">
        <v>99</v>
      </c>
      <c r="QQ31">
        <v>178</v>
      </c>
      <c r="QR31">
        <v>99</v>
      </c>
      <c r="QS31">
        <v>109</v>
      </c>
      <c r="QT31">
        <v>143</v>
      </c>
      <c r="QU31">
        <v>434</v>
      </c>
      <c r="QV31">
        <v>178</v>
      </c>
      <c r="QW31">
        <v>99</v>
      </c>
      <c r="QX31">
        <v>140</v>
      </c>
      <c r="QY31">
        <v>190</v>
      </c>
      <c r="QZ31">
        <v>195</v>
      </c>
      <c r="RA31">
        <v>135</v>
      </c>
      <c r="RB31">
        <v>195</v>
      </c>
      <c r="RC31">
        <v>710</v>
      </c>
      <c r="RD31">
        <v>136</v>
      </c>
      <c r="RE31">
        <v>105</v>
      </c>
      <c r="RF31">
        <v>124</v>
      </c>
      <c r="RG31">
        <v>99</v>
      </c>
      <c r="RH31">
        <v>353</v>
      </c>
      <c r="RI31">
        <v>178</v>
      </c>
      <c r="RJ31">
        <v>99</v>
      </c>
      <c r="RK31">
        <v>136</v>
      </c>
      <c r="RL31">
        <v>99</v>
      </c>
      <c r="RM31">
        <v>187</v>
      </c>
      <c r="RN31">
        <v>99</v>
      </c>
      <c r="RO31">
        <v>761</v>
      </c>
      <c r="RP31">
        <v>761</v>
      </c>
      <c r="RQ31">
        <v>99</v>
      </c>
      <c r="RR31">
        <v>99</v>
      </c>
      <c r="RS31">
        <v>99</v>
      </c>
      <c r="RT31">
        <v>99</v>
      </c>
      <c r="RU31">
        <v>136</v>
      </c>
      <c r="RV31">
        <v>124</v>
      </c>
      <c r="RW31">
        <v>99</v>
      </c>
      <c r="RX31">
        <v>99</v>
      </c>
      <c r="RY31">
        <v>136</v>
      </c>
      <c r="RZ31">
        <v>105</v>
      </c>
      <c r="SA31">
        <v>136</v>
      </c>
      <c r="SB31">
        <v>100</v>
      </c>
      <c r="SC31">
        <v>99</v>
      </c>
      <c r="SD31">
        <v>178</v>
      </c>
      <c r="SE31">
        <v>99</v>
      </c>
      <c r="SF31">
        <v>99</v>
      </c>
      <c r="SG31">
        <v>99</v>
      </c>
      <c r="SH31">
        <v>99</v>
      </c>
      <c r="SI31">
        <v>82</v>
      </c>
      <c r="SJ31">
        <v>80</v>
      </c>
      <c r="SK31">
        <v>99</v>
      </c>
      <c r="SL31">
        <v>99</v>
      </c>
      <c r="SM31">
        <v>95</v>
      </c>
      <c r="SN31">
        <v>710</v>
      </c>
      <c r="SO31">
        <v>710</v>
      </c>
      <c r="SP31">
        <v>350</v>
      </c>
      <c r="SQ31">
        <v>120</v>
      </c>
      <c r="SR31">
        <v>104</v>
      </c>
      <c r="SS31">
        <v>710</v>
      </c>
      <c r="ST31">
        <v>710</v>
      </c>
      <c r="SU31">
        <v>99</v>
      </c>
      <c r="SV31">
        <v>99</v>
      </c>
      <c r="SW31">
        <v>80</v>
      </c>
      <c r="SX31">
        <v>178</v>
      </c>
      <c r="SY31">
        <v>269</v>
      </c>
      <c r="SZ31">
        <v>325</v>
      </c>
      <c r="TA31">
        <v>350</v>
      </c>
      <c r="TB31">
        <v>119</v>
      </c>
      <c r="TC31">
        <v>120</v>
      </c>
      <c r="TD31">
        <v>140</v>
      </c>
      <c r="TE31">
        <v>140</v>
      </c>
      <c r="TF31">
        <v>99</v>
      </c>
      <c r="TG31">
        <v>105</v>
      </c>
      <c r="TH31">
        <v>100</v>
      </c>
      <c r="TI31">
        <v>120</v>
      </c>
      <c r="TJ31">
        <v>139</v>
      </c>
      <c r="TK31">
        <v>135</v>
      </c>
      <c r="TL31">
        <v>190</v>
      </c>
      <c r="TM31">
        <v>99</v>
      </c>
      <c r="TN31">
        <v>99</v>
      </c>
      <c r="TO31">
        <v>1283</v>
      </c>
      <c r="TP31">
        <v>537</v>
      </c>
      <c r="TQ31">
        <v>178</v>
      </c>
      <c r="TR31">
        <v>178</v>
      </c>
      <c r="TS31">
        <v>178</v>
      </c>
      <c r="TT31">
        <v>105</v>
      </c>
      <c r="TU31">
        <v>105</v>
      </c>
      <c r="TV31">
        <v>136</v>
      </c>
      <c r="TW31">
        <v>105</v>
      </c>
      <c r="TX31">
        <v>82</v>
      </c>
      <c r="TY31">
        <v>82</v>
      </c>
      <c r="TZ31">
        <v>119</v>
      </c>
      <c r="UA31">
        <v>332</v>
      </c>
      <c r="UB31">
        <v>109</v>
      </c>
      <c r="UC31">
        <v>82</v>
      </c>
      <c r="UD31">
        <v>186</v>
      </c>
      <c r="UE31">
        <v>105</v>
      </c>
      <c r="UF31">
        <v>434</v>
      </c>
      <c r="UG31">
        <v>1577</v>
      </c>
      <c r="UH31">
        <v>105</v>
      </c>
      <c r="UI31">
        <v>105</v>
      </c>
      <c r="UJ31">
        <v>267</v>
      </c>
      <c r="UK31">
        <v>269</v>
      </c>
      <c r="UL31">
        <v>269</v>
      </c>
      <c r="UM31">
        <v>593</v>
      </c>
      <c r="UN31">
        <v>178</v>
      </c>
      <c r="UO31">
        <v>136</v>
      </c>
      <c r="UP31">
        <v>467</v>
      </c>
      <c r="UQ31">
        <v>63</v>
      </c>
      <c r="UR31">
        <v>195</v>
      </c>
      <c r="US31">
        <v>178</v>
      </c>
      <c r="UT31">
        <v>125</v>
      </c>
      <c r="UU31">
        <v>125</v>
      </c>
      <c r="UV31">
        <v>99</v>
      </c>
      <c r="UW31">
        <v>95</v>
      </c>
      <c r="UX31">
        <v>99</v>
      </c>
      <c r="UY31">
        <v>178</v>
      </c>
      <c r="UZ31">
        <v>178</v>
      </c>
      <c r="VA31">
        <v>105</v>
      </c>
      <c r="VB31">
        <v>99</v>
      </c>
      <c r="VC31">
        <v>99</v>
      </c>
      <c r="VD31">
        <v>105</v>
      </c>
      <c r="VE31">
        <v>105</v>
      </c>
      <c r="VF31">
        <v>105</v>
      </c>
      <c r="VG31">
        <v>710</v>
      </c>
      <c r="VH31">
        <v>710</v>
      </c>
      <c r="VI31">
        <v>79</v>
      </c>
      <c r="VJ31">
        <v>79</v>
      </c>
      <c r="VK31">
        <v>105</v>
      </c>
      <c r="VL31">
        <v>178</v>
      </c>
      <c r="VM31">
        <v>186</v>
      </c>
      <c r="VN31">
        <v>178</v>
      </c>
      <c r="VO31">
        <v>685</v>
      </c>
    </row>
    <row r="32" spans="1:587" x14ac:dyDescent="0.3">
      <c r="A32" t="s">
        <v>3027</v>
      </c>
      <c r="B32" cm="1">
        <f t="array" ref="B32:VO32">1*TRANSPOSE(_xlfn._xlws.FILTER(branch!$I$2:$I$591,branch!$D$2:$D$591&lt;&gt;0))</f>
        <v>99</v>
      </c>
      <c r="C32">
        <v>99</v>
      </c>
      <c r="D32">
        <v>178</v>
      </c>
      <c r="E32">
        <v>145</v>
      </c>
      <c r="F32">
        <v>536</v>
      </c>
      <c r="G32">
        <v>393</v>
      </c>
      <c r="H32">
        <v>393</v>
      </c>
      <c r="I32">
        <v>593</v>
      </c>
      <c r="J32">
        <v>434</v>
      </c>
      <c r="K32">
        <v>99</v>
      </c>
      <c r="L32">
        <v>140</v>
      </c>
      <c r="M32">
        <v>103</v>
      </c>
      <c r="N32">
        <v>109</v>
      </c>
      <c r="O32">
        <v>105</v>
      </c>
      <c r="P32">
        <v>99</v>
      </c>
      <c r="Q32">
        <v>187</v>
      </c>
      <c r="R32">
        <v>187</v>
      </c>
      <c r="S32">
        <v>187</v>
      </c>
      <c r="T32">
        <v>104</v>
      </c>
      <c r="U32">
        <v>112</v>
      </c>
      <c r="V32">
        <v>105</v>
      </c>
      <c r="W32">
        <v>82</v>
      </c>
      <c r="X32">
        <v>82</v>
      </c>
      <c r="Y32">
        <v>105</v>
      </c>
      <c r="Z32">
        <v>105</v>
      </c>
      <c r="AA32">
        <v>99</v>
      </c>
      <c r="AB32">
        <v>178</v>
      </c>
      <c r="AC32">
        <v>434</v>
      </c>
      <c r="AD32">
        <v>434</v>
      </c>
      <c r="AE32">
        <v>34</v>
      </c>
      <c r="AF32">
        <v>120</v>
      </c>
      <c r="AG32">
        <v>120</v>
      </c>
      <c r="AH32">
        <v>104</v>
      </c>
      <c r="AI32">
        <v>178</v>
      </c>
      <c r="AJ32">
        <v>178</v>
      </c>
      <c r="AK32">
        <v>178</v>
      </c>
      <c r="AL32">
        <v>178</v>
      </c>
      <c r="AM32">
        <v>120</v>
      </c>
      <c r="AN32">
        <v>178</v>
      </c>
      <c r="AO32">
        <v>99</v>
      </c>
      <c r="AP32">
        <v>178</v>
      </c>
      <c r="AQ32">
        <v>140</v>
      </c>
      <c r="AR32">
        <v>140</v>
      </c>
      <c r="AS32">
        <v>99</v>
      </c>
      <c r="AT32">
        <v>105</v>
      </c>
      <c r="AU32">
        <v>99</v>
      </c>
      <c r="AV32">
        <v>96</v>
      </c>
      <c r="AW32">
        <v>96</v>
      </c>
      <c r="AX32">
        <v>178</v>
      </c>
      <c r="AY32">
        <v>178</v>
      </c>
      <c r="AZ32">
        <v>120</v>
      </c>
      <c r="BA32">
        <v>120</v>
      </c>
      <c r="BB32">
        <v>178</v>
      </c>
      <c r="BC32">
        <v>178</v>
      </c>
      <c r="BD32">
        <v>178</v>
      </c>
      <c r="BE32">
        <v>105</v>
      </c>
      <c r="BF32">
        <v>99</v>
      </c>
      <c r="BG32">
        <v>99</v>
      </c>
      <c r="BH32">
        <v>99</v>
      </c>
      <c r="BI32">
        <v>82</v>
      </c>
      <c r="BJ32">
        <v>82</v>
      </c>
      <c r="BK32">
        <v>136</v>
      </c>
      <c r="BL32">
        <v>140</v>
      </c>
      <c r="BM32">
        <v>130</v>
      </c>
      <c r="BN32">
        <v>99</v>
      </c>
      <c r="BO32">
        <v>122</v>
      </c>
      <c r="BP32">
        <v>196</v>
      </c>
      <c r="BQ32">
        <v>178</v>
      </c>
      <c r="BR32">
        <v>136</v>
      </c>
      <c r="BS32">
        <v>178</v>
      </c>
      <c r="BT32">
        <v>124</v>
      </c>
      <c r="BU32">
        <v>178</v>
      </c>
      <c r="BV32">
        <v>178</v>
      </c>
      <c r="BW32">
        <v>178</v>
      </c>
      <c r="BX32">
        <v>99</v>
      </c>
      <c r="BY32">
        <v>136</v>
      </c>
      <c r="BZ32">
        <v>195</v>
      </c>
      <c r="CA32">
        <v>178</v>
      </c>
      <c r="CB32">
        <v>178</v>
      </c>
      <c r="CC32">
        <v>192</v>
      </c>
      <c r="CD32">
        <v>187</v>
      </c>
      <c r="CE32">
        <v>120</v>
      </c>
      <c r="CF32">
        <v>187</v>
      </c>
      <c r="CG32">
        <v>187</v>
      </c>
      <c r="CH32">
        <v>187</v>
      </c>
      <c r="CI32">
        <v>119</v>
      </c>
      <c r="CJ32">
        <v>119</v>
      </c>
      <c r="CK32">
        <v>570</v>
      </c>
      <c r="CL32">
        <v>570</v>
      </c>
      <c r="CM32">
        <v>140</v>
      </c>
      <c r="CN32">
        <v>140</v>
      </c>
      <c r="CO32">
        <v>842</v>
      </c>
      <c r="CP32">
        <v>105</v>
      </c>
      <c r="CQ32">
        <v>109</v>
      </c>
      <c r="CR32">
        <v>109</v>
      </c>
      <c r="CS32">
        <v>82</v>
      </c>
      <c r="CT32">
        <v>82</v>
      </c>
      <c r="CU32">
        <v>75</v>
      </c>
      <c r="CV32">
        <v>75</v>
      </c>
      <c r="CW32">
        <v>178</v>
      </c>
      <c r="CX32">
        <v>178</v>
      </c>
      <c r="CY32">
        <v>178</v>
      </c>
      <c r="CZ32">
        <v>178</v>
      </c>
      <c r="DA32">
        <v>82</v>
      </c>
      <c r="DB32">
        <v>82</v>
      </c>
      <c r="DC32">
        <v>710</v>
      </c>
      <c r="DD32">
        <v>69</v>
      </c>
      <c r="DE32">
        <v>70</v>
      </c>
      <c r="DF32">
        <v>710</v>
      </c>
      <c r="DG32">
        <v>710</v>
      </c>
      <c r="DH32">
        <v>710</v>
      </c>
      <c r="DI32">
        <v>144</v>
      </c>
      <c r="DJ32">
        <v>63</v>
      </c>
      <c r="DK32">
        <v>99</v>
      </c>
      <c r="DL32">
        <v>570</v>
      </c>
      <c r="DM32">
        <v>570</v>
      </c>
      <c r="DN32">
        <v>178</v>
      </c>
      <c r="DO32">
        <v>200</v>
      </c>
      <c r="DP32">
        <v>109</v>
      </c>
      <c r="DQ32">
        <v>109</v>
      </c>
      <c r="DR32">
        <v>79</v>
      </c>
      <c r="DS32">
        <v>79</v>
      </c>
      <c r="DT32">
        <v>434</v>
      </c>
      <c r="DU32">
        <v>740</v>
      </c>
      <c r="DV32">
        <v>228</v>
      </c>
      <c r="DW32">
        <v>115</v>
      </c>
      <c r="DX32">
        <v>195</v>
      </c>
      <c r="DY32">
        <v>124</v>
      </c>
      <c r="DZ32">
        <v>80</v>
      </c>
      <c r="EA32">
        <v>120</v>
      </c>
      <c r="EB32">
        <v>105</v>
      </c>
      <c r="EC32">
        <v>178</v>
      </c>
      <c r="ED32">
        <v>178</v>
      </c>
      <c r="EE32">
        <v>178</v>
      </c>
      <c r="EF32">
        <v>69</v>
      </c>
      <c r="EG32">
        <v>70</v>
      </c>
      <c r="EH32">
        <v>69</v>
      </c>
      <c r="EI32">
        <v>69</v>
      </c>
      <c r="EJ32">
        <v>132</v>
      </c>
      <c r="EK32">
        <v>132</v>
      </c>
      <c r="EL32">
        <v>710</v>
      </c>
      <c r="EM32">
        <v>710</v>
      </c>
      <c r="EN32">
        <v>66</v>
      </c>
      <c r="EO32">
        <v>66</v>
      </c>
      <c r="EP32">
        <v>710</v>
      </c>
      <c r="EQ32">
        <v>109</v>
      </c>
      <c r="ER32">
        <v>109</v>
      </c>
      <c r="ES32">
        <v>82</v>
      </c>
      <c r="ET32">
        <v>82</v>
      </c>
      <c r="EU32">
        <v>144</v>
      </c>
      <c r="EV32">
        <v>144</v>
      </c>
      <c r="EW32">
        <v>710</v>
      </c>
      <c r="EX32">
        <v>178</v>
      </c>
      <c r="EY32">
        <v>124</v>
      </c>
      <c r="EZ32">
        <v>99</v>
      </c>
      <c r="FA32">
        <v>99</v>
      </c>
      <c r="FB32">
        <v>99</v>
      </c>
      <c r="FC32">
        <v>761</v>
      </c>
      <c r="FD32">
        <v>187</v>
      </c>
      <c r="FE32">
        <v>761</v>
      </c>
      <c r="FF32">
        <v>761</v>
      </c>
      <c r="FG32">
        <v>761</v>
      </c>
      <c r="FH32">
        <v>178</v>
      </c>
      <c r="FI32">
        <v>178</v>
      </c>
      <c r="FJ32">
        <v>115</v>
      </c>
      <c r="FK32">
        <v>434</v>
      </c>
      <c r="FL32">
        <v>434</v>
      </c>
      <c r="FM32">
        <v>555</v>
      </c>
      <c r="FN32">
        <v>123</v>
      </c>
      <c r="FO32">
        <v>178</v>
      </c>
      <c r="FP32">
        <v>130</v>
      </c>
      <c r="FQ32">
        <v>178</v>
      </c>
      <c r="FR32">
        <v>103</v>
      </c>
      <c r="FS32">
        <v>238</v>
      </c>
      <c r="FT32">
        <v>434</v>
      </c>
      <c r="FU32">
        <v>178</v>
      </c>
      <c r="FV32">
        <v>132</v>
      </c>
      <c r="FW32">
        <v>178</v>
      </c>
      <c r="FX32">
        <v>144</v>
      </c>
      <c r="FY32">
        <v>144</v>
      </c>
      <c r="FZ32">
        <v>140</v>
      </c>
      <c r="GA32">
        <v>140</v>
      </c>
      <c r="GB32">
        <v>136</v>
      </c>
      <c r="GC32">
        <v>178</v>
      </c>
      <c r="GD32">
        <v>178</v>
      </c>
      <c r="GE32">
        <v>178</v>
      </c>
      <c r="GF32">
        <v>196</v>
      </c>
      <c r="GG32">
        <v>178</v>
      </c>
      <c r="GH32">
        <v>178</v>
      </c>
      <c r="GI32">
        <v>178</v>
      </c>
      <c r="GJ32">
        <v>130</v>
      </c>
      <c r="GK32">
        <v>99</v>
      </c>
      <c r="GL32">
        <v>136</v>
      </c>
      <c r="GM32">
        <v>178</v>
      </c>
      <c r="GN32">
        <v>105</v>
      </c>
      <c r="GO32">
        <v>187</v>
      </c>
      <c r="GP32">
        <v>187</v>
      </c>
      <c r="GQ32">
        <v>187</v>
      </c>
      <c r="GR32">
        <v>105</v>
      </c>
      <c r="GS32">
        <v>130</v>
      </c>
      <c r="GT32">
        <v>434</v>
      </c>
      <c r="GU32">
        <v>105</v>
      </c>
      <c r="GV32">
        <v>105</v>
      </c>
      <c r="GW32">
        <v>593</v>
      </c>
      <c r="GX32">
        <v>119</v>
      </c>
      <c r="GY32">
        <v>178</v>
      </c>
      <c r="GZ32">
        <v>120</v>
      </c>
      <c r="HA32">
        <v>178</v>
      </c>
      <c r="HB32">
        <v>178</v>
      </c>
      <c r="HC32">
        <v>178</v>
      </c>
      <c r="HD32">
        <v>646</v>
      </c>
      <c r="HE32">
        <v>161</v>
      </c>
      <c r="HF32">
        <v>161</v>
      </c>
      <c r="HG32">
        <v>434</v>
      </c>
      <c r="HH32">
        <v>434</v>
      </c>
      <c r="HI32">
        <v>187</v>
      </c>
      <c r="HJ32">
        <v>124</v>
      </c>
      <c r="HK32">
        <v>99</v>
      </c>
      <c r="HL32">
        <v>105</v>
      </c>
      <c r="HM32">
        <v>63</v>
      </c>
      <c r="HN32">
        <v>178</v>
      </c>
      <c r="HO32">
        <v>187</v>
      </c>
      <c r="HP32">
        <v>136</v>
      </c>
      <c r="HQ32">
        <v>187</v>
      </c>
      <c r="HR32">
        <v>187</v>
      </c>
      <c r="HS32">
        <v>99</v>
      </c>
      <c r="HT32">
        <v>99</v>
      </c>
      <c r="HU32">
        <v>105</v>
      </c>
      <c r="HV32">
        <v>178</v>
      </c>
      <c r="HW32">
        <v>178</v>
      </c>
      <c r="HX32">
        <v>1577</v>
      </c>
      <c r="HY32">
        <v>1577</v>
      </c>
      <c r="HZ32">
        <v>143</v>
      </c>
      <c r="IA32">
        <v>104</v>
      </c>
      <c r="IB32">
        <v>82</v>
      </c>
      <c r="IC32">
        <v>82</v>
      </c>
      <c r="ID32">
        <v>82</v>
      </c>
      <c r="IE32">
        <v>82</v>
      </c>
      <c r="IF32">
        <v>186</v>
      </c>
      <c r="IG32">
        <v>124</v>
      </c>
      <c r="IH32">
        <v>136</v>
      </c>
      <c r="II32">
        <v>99</v>
      </c>
      <c r="IJ32">
        <v>178</v>
      </c>
      <c r="IK32">
        <v>178</v>
      </c>
      <c r="IL32">
        <v>99</v>
      </c>
      <c r="IM32">
        <v>99</v>
      </c>
      <c r="IN32">
        <v>105</v>
      </c>
      <c r="IO32">
        <v>105</v>
      </c>
      <c r="IP32">
        <v>99</v>
      </c>
      <c r="IQ32">
        <v>99</v>
      </c>
      <c r="IR32">
        <v>100</v>
      </c>
      <c r="IS32">
        <v>100</v>
      </c>
      <c r="IT32">
        <v>200</v>
      </c>
      <c r="IU32">
        <v>143</v>
      </c>
      <c r="IV32">
        <v>82</v>
      </c>
      <c r="IW32">
        <v>82</v>
      </c>
      <c r="IX32">
        <v>82</v>
      </c>
      <c r="IY32">
        <v>412</v>
      </c>
      <c r="IZ32">
        <v>412</v>
      </c>
      <c r="JA32">
        <v>82</v>
      </c>
      <c r="JB32">
        <v>82</v>
      </c>
      <c r="JC32">
        <v>109</v>
      </c>
      <c r="JD32">
        <v>178</v>
      </c>
      <c r="JE32">
        <v>99</v>
      </c>
      <c r="JF32">
        <v>82</v>
      </c>
      <c r="JG32">
        <v>109</v>
      </c>
      <c r="JH32">
        <v>140</v>
      </c>
      <c r="JI32">
        <v>140</v>
      </c>
      <c r="JJ32">
        <v>196</v>
      </c>
      <c r="JK32">
        <v>178</v>
      </c>
      <c r="JL32">
        <v>178</v>
      </c>
      <c r="JM32">
        <v>99</v>
      </c>
      <c r="JN32">
        <v>178</v>
      </c>
      <c r="JO32">
        <v>350</v>
      </c>
      <c r="JP32">
        <v>99</v>
      </c>
      <c r="JQ32">
        <v>99</v>
      </c>
      <c r="JR32">
        <v>99</v>
      </c>
      <c r="JS32">
        <v>392</v>
      </c>
      <c r="JT32">
        <v>97</v>
      </c>
      <c r="JU32">
        <v>99</v>
      </c>
      <c r="JV32">
        <v>761</v>
      </c>
      <c r="JW32">
        <v>178</v>
      </c>
      <c r="JX32">
        <v>124</v>
      </c>
      <c r="JY32">
        <v>103</v>
      </c>
      <c r="JZ32">
        <v>178</v>
      </c>
      <c r="KA32">
        <v>746</v>
      </c>
      <c r="KB32">
        <v>646</v>
      </c>
      <c r="KC32">
        <v>178</v>
      </c>
      <c r="KD32">
        <v>178</v>
      </c>
      <c r="KE32">
        <v>178</v>
      </c>
      <c r="KF32">
        <v>178</v>
      </c>
      <c r="KG32">
        <v>190</v>
      </c>
      <c r="KH32">
        <v>105</v>
      </c>
      <c r="KI32">
        <v>136</v>
      </c>
      <c r="KJ32">
        <v>134</v>
      </c>
      <c r="KK32">
        <v>136</v>
      </c>
      <c r="KL32">
        <v>136</v>
      </c>
      <c r="KM32">
        <v>99</v>
      </c>
      <c r="KN32">
        <v>105</v>
      </c>
      <c r="KO32">
        <v>99</v>
      </c>
      <c r="KP32">
        <v>105</v>
      </c>
      <c r="KQ32">
        <v>99</v>
      </c>
      <c r="KR32">
        <v>99</v>
      </c>
      <c r="KS32">
        <v>99</v>
      </c>
      <c r="KT32">
        <v>74</v>
      </c>
      <c r="KU32">
        <v>74</v>
      </c>
      <c r="KV32">
        <v>99</v>
      </c>
      <c r="KW32">
        <v>178</v>
      </c>
      <c r="KX32">
        <v>178</v>
      </c>
      <c r="KY32">
        <v>99</v>
      </c>
      <c r="KZ32">
        <v>104</v>
      </c>
      <c r="LA32">
        <v>178</v>
      </c>
      <c r="LB32">
        <v>178</v>
      </c>
      <c r="LC32">
        <v>211</v>
      </c>
      <c r="LD32">
        <v>196</v>
      </c>
      <c r="LE32">
        <v>69</v>
      </c>
      <c r="LF32">
        <v>69</v>
      </c>
      <c r="LG32">
        <v>144</v>
      </c>
      <c r="LH32">
        <v>144</v>
      </c>
      <c r="LI32">
        <v>103</v>
      </c>
      <c r="LJ32">
        <v>99</v>
      </c>
      <c r="LK32">
        <v>99</v>
      </c>
      <c r="LL32">
        <v>82</v>
      </c>
      <c r="LM32">
        <v>82</v>
      </c>
      <c r="LN32">
        <v>82</v>
      </c>
      <c r="LO32">
        <v>82</v>
      </c>
      <c r="LP32">
        <v>82</v>
      </c>
      <c r="LQ32">
        <v>99</v>
      </c>
      <c r="LR32">
        <v>79</v>
      </c>
      <c r="LS32">
        <v>79</v>
      </c>
      <c r="LT32">
        <v>108</v>
      </c>
      <c r="LU32">
        <v>109</v>
      </c>
      <c r="LV32">
        <v>109</v>
      </c>
      <c r="LW32">
        <v>99</v>
      </c>
      <c r="LX32">
        <v>99</v>
      </c>
      <c r="LY32">
        <v>99</v>
      </c>
      <c r="LZ32">
        <v>178</v>
      </c>
      <c r="MA32">
        <v>393</v>
      </c>
      <c r="MB32">
        <v>350</v>
      </c>
      <c r="MC32">
        <v>350</v>
      </c>
      <c r="MD32">
        <v>434</v>
      </c>
      <c r="ME32">
        <v>1283</v>
      </c>
      <c r="MF32">
        <v>351</v>
      </c>
      <c r="MG32">
        <v>140</v>
      </c>
      <c r="MH32">
        <v>140</v>
      </c>
      <c r="MI32">
        <v>140</v>
      </c>
      <c r="MJ32">
        <v>186</v>
      </c>
      <c r="MK32">
        <v>157</v>
      </c>
      <c r="ML32">
        <v>144</v>
      </c>
      <c r="MM32">
        <v>186</v>
      </c>
      <c r="MN32">
        <v>195</v>
      </c>
      <c r="MO32">
        <v>105</v>
      </c>
      <c r="MP32">
        <v>119</v>
      </c>
      <c r="MQ32">
        <v>593</v>
      </c>
      <c r="MR32">
        <v>119</v>
      </c>
      <c r="MS32">
        <v>332</v>
      </c>
      <c r="MT32">
        <v>120</v>
      </c>
      <c r="MU32">
        <v>80</v>
      </c>
      <c r="MV32">
        <v>536</v>
      </c>
      <c r="MW32">
        <v>105</v>
      </c>
      <c r="MX32">
        <v>144</v>
      </c>
      <c r="MY32">
        <v>144</v>
      </c>
      <c r="MZ32">
        <v>105</v>
      </c>
      <c r="NA32">
        <v>384</v>
      </c>
      <c r="NB32">
        <v>99</v>
      </c>
      <c r="NC32">
        <v>99</v>
      </c>
      <c r="ND32">
        <v>434</v>
      </c>
      <c r="NE32">
        <v>98</v>
      </c>
      <c r="NF32">
        <v>107</v>
      </c>
      <c r="NG32">
        <v>140</v>
      </c>
      <c r="NH32">
        <v>107</v>
      </c>
      <c r="NI32">
        <v>140</v>
      </c>
      <c r="NJ32">
        <v>99</v>
      </c>
      <c r="NK32">
        <v>99</v>
      </c>
      <c r="NL32">
        <v>178</v>
      </c>
      <c r="NM32">
        <v>103</v>
      </c>
      <c r="NN32">
        <v>103</v>
      </c>
      <c r="NO32">
        <v>103</v>
      </c>
      <c r="NP32">
        <v>120</v>
      </c>
      <c r="NQ32">
        <v>120</v>
      </c>
      <c r="NR32">
        <v>570</v>
      </c>
      <c r="NS32">
        <v>99</v>
      </c>
      <c r="NT32">
        <v>393</v>
      </c>
      <c r="NU32">
        <v>434</v>
      </c>
      <c r="NV32">
        <v>593</v>
      </c>
      <c r="NW32">
        <v>178</v>
      </c>
      <c r="NX32">
        <v>178</v>
      </c>
      <c r="NY32">
        <v>178</v>
      </c>
      <c r="NZ32">
        <v>178</v>
      </c>
      <c r="OA32">
        <v>136</v>
      </c>
      <c r="OB32">
        <v>122</v>
      </c>
      <c r="OC32">
        <v>82</v>
      </c>
      <c r="OD32">
        <v>82</v>
      </c>
      <c r="OE32">
        <v>105</v>
      </c>
      <c r="OF32">
        <v>434</v>
      </c>
      <c r="OG32">
        <v>350</v>
      </c>
      <c r="OH32">
        <v>99</v>
      </c>
      <c r="OI32">
        <v>99</v>
      </c>
      <c r="OJ32">
        <v>99</v>
      </c>
      <c r="OK32">
        <v>99</v>
      </c>
      <c r="OL32">
        <v>99</v>
      </c>
      <c r="OM32">
        <v>99</v>
      </c>
      <c r="ON32">
        <v>200</v>
      </c>
      <c r="OO32">
        <v>200</v>
      </c>
      <c r="OP32">
        <v>119</v>
      </c>
      <c r="OQ32">
        <v>105</v>
      </c>
      <c r="OR32">
        <v>105</v>
      </c>
      <c r="OS32">
        <v>195</v>
      </c>
      <c r="OT32">
        <v>710</v>
      </c>
      <c r="OU32">
        <v>82</v>
      </c>
      <c r="OV32">
        <v>80</v>
      </c>
      <c r="OW32">
        <v>107</v>
      </c>
      <c r="OX32">
        <v>140</v>
      </c>
      <c r="OY32">
        <v>136</v>
      </c>
      <c r="OZ32">
        <v>136</v>
      </c>
      <c r="PA32">
        <v>104</v>
      </c>
      <c r="PB32">
        <v>196</v>
      </c>
      <c r="PC32">
        <v>80</v>
      </c>
      <c r="PD32">
        <v>562</v>
      </c>
      <c r="PE32">
        <v>120</v>
      </c>
      <c r="PF32">
        <v>267</v>
      </c>
      <c r="PG32">
        <v>351</v>
      </c>
      <c r="PH32">
        <v>593</v>
      </c>
      <c r="PI32">
        <v>178</v>
      </c>
      <c r="PJ32">
        <v>99</v>
      </c>
      <c r="PK32">
        <v>134</v>
      </c>
      <c r="PL32">
        <v>103</v>
      </c>
      <c r="PM32">
        <v>103</v>
      </c>
      <c r="PN32">
        <v>710</v>
      </c>
      <c r="PO32">
        <v>710</v>
      </c>
      <c r="PP32">
        <v>710</v>
      </c>
      <c r="PQ32">
        <v>185</v>
      </c>
      <c r="PR32">
        <v>178</v>
      </c>
      <c r="PS32">
        <v>99</v>
      </c>
      <c r="PT32">
        <v>178</v>
      </c>
      <c r="PU32">
        <v>178</v>
      </c>
      <c r="PV32">
        <v>119</v>
      </c>
      <c r="PW32">
        <v>120</v>
      </c>
      <c r="PX32">
        <v>136</v>
      </c>
      <c r="PY32">
        <v>434</v>
      </c>
      <c r="PZ32">
        <v>512</v>
      </c>
      <c r="QA32">
        <v>99</v>
      </c>
      <c r="QB32">
        <v>80</v>
      </c>
      <c r="QC32">
        <v>269</v>
      </c>
      <c r="QD32">
        <v>178</v>
      </c>
      <c r="QE32">
        <v>140</v>
      </c>
      <c r="QF32">
        <v>136</v>
      </c>
      <c r="QG32">
        <v>731</v>
      </c>
      <c r="QH32">
        <v>731</v>
      </c>
      <c r="QI32">
        <v>660</v>
      </c>
      <c r="QJ32">
        <v>660</v>
      </c>
      <c r="QK32">
        <v>136</v>
      </c>
      <c r="QL32">
        <v>99</v>
      </c>
      <c r="QM32">
        <v>99</v>
      </c>
      <c r="QN32">
        <v>350</v>
      </c>
      <c r="QO32">
        <v>350</v>
      </c>
      <c r="QP32">
        <v>99</v>
      </c>
      <c r="QQ32">
        <v>178</v>
      </c>
      <c r="QR32">
        <v>99</v>
      </c>
      <c r="QS32">
        <v>109</v>
      </c>
      <c r="QT32">
        <v>143</v>
      </c>
      <c r="QU32">
        <v>434</v>
      </c>
      <c r="QV32">
        <v>178</v>
      </c>
      <c r="QW32">
        <v>99</v>
      </c>
      <c r="QX32">
        <v>140</v>
      </c>
      <c r="QY32">
        <v>190</v>
      </c>
      <c r="QZ32">
        <v>195</v>
      </c>
      <c r="RA32">
        <v>135</v>
      </c>
      <c r="RB32">
        <v>195</v>
      </c>
      <c r="RC32">
        <v>710</v>
      </c>
      <c r="RD32">
        <v>136</v>
      </c>
      <c r="RE32">
        <v>105</v>
      </c>
      <c r="RF32">
        <v>124</v>
      </c>
      <c r="RG32">
        <v>99</v>
      </c>
      <c r="RH32">
        <v>353</v>
      </c>
      <c r="RI32">
        <v>178</v>
      </c>
      <c r="RJ32">
        <v>99</v>
      </c>
      <c r="RK32">
        <v>136</v>
      </c>
      <c r="RL32">
        <v>99</v>
      </c>
      <c r="RM32">
        <v>187</v>
      </c>
      <c r="RN32">
        <v>99</v>
      </c>
      <c r="RO32">
        <v>761</v>
      </c>
      <c r="RP32">
        <v>761</v>
      </c>
      <c r="RQ32">
        <v>99</v>
      </c>
      <c r="RR32">
        <v>99</v>
      </c>
      <c r="RS32">
        <v>99</v>
      </c>
      <c r="RT32">
        <v>99</v>
      </c>
      <c r="RU32">
        <v>136</v>
      </c>
      <c r="RV32">
        <v>124</v>
      </c>
      <c r="RW32">
        <v>99</v>
      </c>
      <c r="RX32">
        <v>99</v>
      </c>
      <c r="RY32">
        <v>136</v>
      </c>
      <c r="RZ32">
        <v>105</v>
      </c>
      <c r="SA32">
        <v>136</v>
      </c>
      <c r="SB32">
        <v>100</v>
      </c>
      <c r="SC32">
        <v>99</v>
      </c>
      <c r="SD32">
        <v>178</v>
      </c>
      <c r="SE32">
        <v>99</v>
      </c>
      <c r="SF32">
        <v>99</v>
      </c>
      <c r="SG32">
        <v>99</v>
      </c>
      <c r="SH32">
        <v>99</v>
      </c>
      <c r="SI32">
        <v>82</v>
      </c>
      <c r="SJ32">
        <v>80</v>
      </c>
      <c r="SK32">
        <v>99</v>
      </c>
      <c r="SL32">
        <v>99</v>
      </c>
      <c r="SM32">
        <v>95</v>
      </c>
      <c r="SN32">
        <v>710</v>
      </c>
      <c r="SO32">
        <v>710</v>
      </c>
      <c r="SP32">
        <v>350</v>
      </c>
      <c r="SQ32">
        <v>120</v>
      </c>
      <c r="SR32">
        <v>104</v>
      </c>
      <c r="SS32">
        <v>710</v>
      </c>
      <c r="ST32">
        <v>710</v>
      </c>
      <c r="SU32">
        <v>99</v>
      </c>
      <c r="SV32">
        <v>99</v>
      </c>
      <c r="SW32">
        <v>80</v>
      </c>
      <c r="SX32">
        <v>178</v>
      </c>
      <c r="SY32">
        <v>269</v>
      </c>
      <c r="SZ32">
        <v>325</v>
      </c>
      <c r="TA32">
        <v>350</v>
      </c>
      <c r="TB32">
        <v>119</v>
      </c>
      <c r="TC32">
        <v>120</v>
      </c>
      <c r="TD32">
        <v>140</v>
      </c>
      <c r="TE32">
        <v>140</v>
      </c>
      <c r="TF32">
        <v>99</v>
      </c>
      <c r="TG32">
        <v>105</v>
      </c>
      <c r="TH32">
        <v>100</v>
      </c>
      <c r="TI32">
        <v>120</v>
      </c>
      <c r="TJ32">
        <v>139</v>
      </c>
      <c r="TK32">
        <v>135</v>
      </c>
      <c r="TL32">
        <v>190</v>
      </c>
      <c r="TM32">
        <v>99</v>
      </c>
      <c r="TN32">
        <v>99</v>
      </c>
      <c r="TO32">
        <v>1283</v>
      </c>
      <c r="TP32">
        <v>537</v>
      </c>
      <c r="TQ32">
        <v>178</v>
      </c>
      <c r="TR32">
        <v>178</v>
      </c>
      <c r="TS32">
        <v>178</v>
      </c>
      <c r="TT32">
        <v>105</v>
      </c>
      <c r="TU32">
        <v>105</v>
      </c>
      <c r="TV32">
        <v>136</v>
      </c>
      <c r="TW32">
        <v>105</v>
      </c>
      <c r="TX32">
        <v>82</v>
      </c>
      <c r="TY32">
        <v>82</v>
      </c>
      <c r="TZ32">
        <v>119</v>
      </c>
      <c r="UA32">
        <v>332</v>
      </c>
      <c r="UB32">
        <v>109</v>
      </c>
      <c r="UC32">
        <v>82</v>
      </c>
      <c r="UD32">
        <v>186</v>
      </c>
      <c r="UE32">
        <v>105</v>
      </c>
      <c r="UF32">
        <v>434</v>
      </c>
      <c r="UG32">
        <v>1577</v>
      </c>
      <c r="UH32">
        <v>105</v>
      </c>
      <c r="UI32">
        <v>105</v>
      </c>
      <c r="UJ32">
        <v>267</v>
      </c>
      <c r="UK32">
        <v>269</v>
      </c>
      <c r="UL32">
        <v>269</v>
      </c>
      <c r="UM32">
        <v>593</v>
      </c>
      <c r="UN32">
        <v>178</v>
      </c>
      <c r="UO32">
        <v>136</v>
      </c>
      <c r="UP32">
        <v>467</v>
      </c>
      <c r="UQ32">
        <v>63</v>
      </c>
      <c r="UR32">
        <v>195</v>
      </c>
      <c r="US32">
        <v>178</v>
      </c>
      <c r="UT32">
        <v>125</v>
      </c>
      <c r="UU32">
        <v>125</v>
      </c>
      <c r="UV32">
        <v>99</v>
      </c>
      <c r="UW32">
        <v>95</v>
      </c>
      <c r="UX32">
        <v>99</v>
      </c>
      <c r="UY32">
        <v>178</v>
      </c>
      <c r="UZ32">
        <v>178</v>
      </c>
      <c r="VA32">
        <v>105</v>
      </c>
      <c r="VB32">
        <v>99</v>
      </c>
      <c r="VC32">
        <v>99</v>
      </c>
      <c r="VD32">
        <v>105</v>
      </c>
      <c r="VE32">
        <v>105</v>
      </c>
      <c r="VF32">
        <v>105</v>
      </c>
      <c r="VG32">
        <v>710</v>
      </c>
      <c r="VH32">
        <v>710</v>
      </c>
      <c r="VI32">
        <v>79</v>
      </c>
      <c r="VJ32">
        <v>79</v>
      </c>
      <c r="VK32">
        <v>105</v>
      </c>
      <c r="VL32">
        <v>178</v>
      </c>
      <c r="VM32">
        <v>186</v>
      </c>
      <c r="VN32">
        <v>178</v>
      </c>
      <c r="VO32">
        <v>685</v>
      </c>
    </row>
    <row r="33" spans="1:587" x14ac:dyDescent="0.3">
      <c r="A33" t="s">
        <v>3028</v>
      </c>
      <c r="B33" cm="1">
        <f t="array" ref="B33:VO33">1*TRANSPOSE(_xlfn._xlws.FILTER(branch!$I$2:$I$591,branch!$D$2:$D$591&lt;&gt;0))</f>
        <v>99</v>
      </c>
      <c r="C33">
        <v>99</v>
      </c>
      <c r="D33">
        <v>178</v>
      </c>
      <c r="E33">
        <v>145</v>
      </c>
      <c r="F33">
        <v>536</v>
      </c>
      <c r="G33">
        <v>393</v>
      </c>
      <c r="H33">
        <v>393</v>
      </c>
      <c r="I33">
        <v>593</v>
      </c>
      <c r="J33">
        <v>434</v>
      </c>
      <c r="K33">
        <v>99</v>
      </c>
      <c r="L33">
        <v>140</v>
      </c>
      <c r="M33">
        <v>103</v>
      </c>
      <c r="N33">
        <v>109</v>
      </c>
      <c r="O33">
        <v>105</v>
      </c>
      <c r="P33">
        <v>99</v>
      </c>
      <c r="Q33">
        <v>187</v>
      </c>
      <c r="R33">
        <v>187</v>
      </c>
      <c r="S33">
        <v>187</v>
      </c>
      <c r="T33">
        <v>104</v>
      </c>
      <c r="U33">
        <v>112</v>
      </c>
      <c r="V33">
        <v>105</v>
      </c>
      <c r="W33">
        <v>82</v>
      </c>
      <c r="X33">
        <v>82</v>
      </c>
      <c r="Y33">
        <v>105</v>
      </c>
      <c r="Z33">
        <v>105</v>
      </c>
      <c r="AA33">
        <v>99</v>
      </c>
      <c r="AB33">
        <v>178</v>
      </c>
      <c r="AC33">
        <v>434</v>
      </c>
      <c r="AD33">
        <v>434</v>
      </c>
      <c r="AE33">
        <v>34</v>
      </c>
      <c r="AF33">
        <v>120</v>
      </c>
      <c r="AG33">
        <v>120</v>
      </c>
      <c r="AH33">
        <v>104</v>
      </c>
      <c r="AI33">
        <v>178</v>
      </c>
      <c r="AJ33">
        <v>178</v>
      </c>
      <c r="AK33">
        <v>178</v>
      </c>
      <c r="AL33">
        <v>178</v>
      </c>
      <c r="AM33">
        <v>120</v>
      </c>
      <c r="AN33">
        <v>178</v>
      </c>
      <c r="AO33">
        <v>99</v>
      </c>
      <c r="AP33">
        <v>178</v>
      </c>
      <c r="AQ33">
        <v>140</v>
      </c>
      <c r="AR33">
        <v>140</v>
      </c>
      <c r="AS33">
        <v>99</v>
      </c>
      <c r="AT33">
        <v>105</v>
      </c>
      <c r="AU33">
        <v>99</v>
      </c>
      <c r="AV33">
        <v>96</v>
      </c>
      <c r="AW33">
        <v>96</v>
      </c>
      <c r="AX33">
        <v>178</v>
      </c>
      <c r="AY33">
        <v>178</v>
      </c>
      <c r="AZ33">
        <v>120</v>
      </c>
      <c r="BA33">
        <v>120</v>
      </c>
      <c r="BB33">
        <v>178</v>
      </c>
      <c r="BC33">
        <v>178</v>
      </c>
      <c r="BD33">
        <v>178</v>
      </c>
      <c r="BE33">
        <v>105</v>
      </c>
      <c r="BF33">
        <v>99</v>
      </c>
      <c r="BG33">
        <v>99</v>
      </c>
      <c r="BH33">
        <v>99</v>
      </c>
      <c r="BI33">
        <v>82</v>
      </c>
      <c r="BJ33">
        <v>82</v>
      </c>
      <c r="BK33">
        <v>136</v>
      </c>
      <c r="BL33">
        <v>140</v>
      </c>
      <c r="BM33">
        <v>130</v>
      </c>
      <c r="BN33">
        <v>99</v>
      </c>
      <c r="BO33">
        <v>122</v>
      </c>
      <c r="BP33">
        <v>196</v>
      </c>
      <c r="BQ33">
        <v>178</v>
      </c>
      <c r="BR33">
        <v>136</v>
      </c>
      <c r="BS33">
        <v>178</v>
      </c>
      <c r="BT33">
        <v>124</v>
      </c>
      <c r="BU33">
        <v>178</v>
      </c>
      <c r="BV33">
        <v>178</v>
      </c>
      <c r="BW33">
        <v>178</v>
      </c>
      <c r="BX33">
        <v>99</v>
      </c>
      <c r="BY33">
        <v>136</v>
      </c>
      <c r="BZ33">
        <v>195</v>
      </c>
      <c r="CA33">
        <v>178</v>
      </c>
      <c r="CB33">
        <v>178</v>
      </c>
      <c r="CC33">
        <v>192</v>
      </c>
      <c r="CD33">
        <v>187</v>
      </c>
      <c r="CE33">
        <v>120</v>
      </c>
      <c r="CF33">
        <v>187</v>
      </c>
      <c r="CG33">
        <v>187</v>
      </c>
      <c r="CH33">
        <v>187</v>
      </c>
      <c r="CI33">
        <v>119</v>
      </c>
      <c r="CJ33">
        <v>119</v>
      </c>
      <c r="CK33">
        <v>570</v>
      </c>
      <c r="CL33">
        <v>570</v>
      </c>
      <c r="CM33">
        <v>140</v>
      </c>
      <c r="CN33">
        <v>140</v>
      </c>
      <c r="CO33">
        <v>842</v>
      </c>
      <c r="CP33">
        <v>105</v>
      </c>
      <c r="CQ33">
        <v>109</v>
      </c>
      <c r="CR33">
        <v>109</v>
      </c>
      <c r="CS33">
        <v>82</v>
      </c>
      <c r="CT33">
        <v>82</v>
      </c>
      <c r="CU33">
        <v>75</v>
      </c>
      <c r="CV33">
        <v>75</v>
      </c>
      <c r="CW33">
        <v>178</v>
      </c>
      <c r="CX33">
        <v>178</v>
      </c>
      <c r="CY33">
        <v>178</v>
      </c>
      <c r="CZ33">
        <v>178</v>
      </c>
      <c r="DA33">
        <v>82</v>
      </c>
      <c r="DB33">
        <v>82</v>
      </c>
      <c r="DC33">
        <v>710</v>
      </c>
      <c r="DD33">
        <v>69</v>
      </c>
      <c r="DE33">
        <v>70</v>
      </c>
      <c r="DF33">
        <v>710</v>
      </c>
      <c r="DG33">
        <v>710</v>
      </c>
      <c r="DH33">
        <v>710</v>
      </c>
      <c r="DI33">
        <v>144</v>
      </c>
      <c r="DJ33">
        <v>63</v>
      </c>
      <c r="DK33">
        <v>99</v>
      </c>
      <c r="DL33">
        <v>570</v>
      </c>
      <c r="DM33">
        <v>570</v>
      </c>
      <c r="DN33">
        <v>178</v>
      </c>
      <c r="DO33">
        <v>200</v>
      </c>
      <c r="DP33">
        <v>109</v>
      </c>
      <c r="DQ33">
        <v>109</v>
      </c>
      <c r="DR33">
        <v>79</v>
      </c>
      <c r="DS33">
        <v>79</v>
      </c>
      <c r="DT33">
        <v>434</v>
      </c>
      <c r="DU33">
        <v>740</v>
      </c>
      <c r="DV33">
        <v>228</v>
      </c>
      <c r="DW33">
        <v>115</v>
      </c>
      <c r="DX33">
        <v>195</v>
      </c>
      <c r="DY33">
        <v>124</v>
      </c>
      <c r="DZ33">
        <v>80</v>
      </c>
      <c r="EA33">
        <v>120</v>
      </c>
      <c r="EB33">
        <v>105</v>
      </c>
      <c r="EC33">
        <v>178</v>
      </c>
      <c r="ED33">
        <v>178</v>
      </c>
      <c r="EE33">
        <v>178</v>
      </c>
      <c r="EF33">
        <v>69</v>
      </c>
      <c r="EG33">
        <v>70</v>
      </c>
      <c r="EH33">
        <v>69</v>
      </c>
      <c r="EI33">
        <v>69</v>
      </c>
      <c r="EJ33">
        <v>132</v>
      </c>
      <c r="EK33">
        <v>132</v>
      </c>
      <c r="EL33">
        <v>710</v>
      </c>
      <c r="EM33">
        <v>710</v>
      </c>
      <c r="EN33">
        <v>66</v>
      </c>
      <c r="EO33">
        <v>66</v>
      </c>
      <c r="EP33">
        <v>710</v>
      </c>
      <c r="EQ33">
        <v>109</v>
      </c>
      <c r="ER33">
        <v>109</v>
      </c>
      <c r="ES33">
        <v>82</v>
      </c>
      <c r="ET33">
        <v>82</v>
      </c>
      <c r="EU33">
        <v>144</v>
      </c>
      <c r="EV33">
        <v>144</v>
      </c>
      <c r="EW33">
        <v>710</v>
      </c>
      <c r="EX33">
        <v>178</v>
      </c>
      <c r="EY33">
        <v>124</v>
      </c>
      <c r="EZ33">
        <v>99</v>
      </c>
      <c r="FA33">
        <v>99</v>
      </c>
      <c r="FB33">
        <v>99</v>
      </c>
      <c r="FC33">
        <v>761</v>
      </c>
      <c r="FD33">
        <v>187</v>
      </c>
      <c r="FE33">
        <v>761</v>
      </c>
      <c r="FF33">
        <v>761</v>
      </c>
      <c r="FG33">
        <v>761</v>
      </c>
      <c r="FH33">
        <v>178</v>
      </c>
      <c r="FI33">
        <v>178</v>
      </c>
      <c r="FJ33">
        <v>115</v>
      </c>
      <c r="FK33">
        <v>434</v>
      </c>
      <c r="FL33">
        <v>434</v>
      </c>
      <c r="FM33">
        <v>555</v>
      </c>
      <c r="FN33">
        <v>123</v>
      </c>
      <c r="FO33">
        <v>178</v>
      </c>
      <c r="FP33">
        <v>130</v>
      </c>
      <c r="FQ33">
        <v>178</v>
      </c>
      <c r="FR33">
        <v>103</v>
      </c>
      <c r="FS33">
        <v>238</v>
      </c>
      <c r="FT33">
        <v>434</v>
      </c>
      <c r="FU33">
        <v>178</v>
      </c>
      <c r="FV33">
        <v>132</v>
      </c>
      <c r="FW33">
        <v>178</v>
      </c>
      <c r="FX33">
        <v>144</v>
      </c>
      <c r="FY33">
        <v>144</v>
      </c>
      <c r="FZ33">
        <v>140</v>
      </c>
      <c r="GA33">
        <v>140</v>
      </c>
      <c r="GB33">
        <v>136</v>
      </c>
      <c r="GC33">
        <v>178</v>
      </c>
      <c r="GD33">
        <v>178</v>
      </c>
      <c r="GE33">
        <v>178</v>
      </c>
      <c r="GF33">
        <v>196</v>
      </c>
      <c r="GG33">
        <v>178</v>
      </c>
      <c r="GH33">
        <v>178</v>
      </c>
      <c r="GI33">
        <v>178</v>
      </c>
      <c r="GJ33">
        <v>130</v>
      </c>
      <c r="GK33">
        <v>99</v>
      </c>
      <c r="GL33">
        <v>136</v>
      </c>
      <c r="GM33">
        <v>178</v>
      </c>
      <c r="GN33">
        <v>105</v>
      </c>
      <c r="GO33">
        <v>187</v>
      </c>
      <c r="GP33">
        <v>187</v>
      </c>
      <c r="GQ33">
        <v>187</v>
      </c>
      <c r="GR33">
        <v>105</v>
      </c>
      <c r="GS33">
        <v>130</v>
      </c>
      <c r="GT33">
        <v>434</v>
      </c>
      <c r="GU33">
        <v>105</v>
      </c>
      <c r="GV33">
        <v>105</v>
      </c>
      <c r="GW33">
        <v>593</v>
      </c>
      <c r="GX33">
        <v>119</v>
      </c>
      <c r="GY33">
        <v>178</v>
      </c>
      <c r="GZ33">
        <v>120</v>
      </c>
      <c r="HA33">
        <v>178</v>
      </c>
      <c r="HB33">
        <v>178</v>
      </c>
      <c r="HC33">
        <v>178</v>
      </c>
      <c r="HD33">
        <v>646</v>
      </c>
      <c r="HE33">
        <v>161</v>
      </c>
      <c r="HF33">
        <v>161</v>
      </c>
      <c r="HG33">
        <v>434</v>
      </c>
      <c r="HH33">
        <v>434</v>
      </c>
      <c r="HI33">
        <v>187</v>
      </c>
      <c r="HJ33">
        <v>124</v>
      </c>
      <c r="HK33">
        <v>99</v>
      </c>
      <c r="HL33">
        <v>105</v>
      </c>
      <c r="HM33">
        <v>63</v>
      </c>
      <c r="HN33">
        <v>178</v>
      </c>
      <c r="HO33">
        <v>187</v>
      </c>
      <c r="HP33">
        <v>136</v>
      </c>
      <c r="HQ33">
        <v>187</v>
      </c>
      <c r="HR33">
        <v>187</v>
      </c>
      <c r="HS33">
        <v>99</v>
      </c>
      <c r="HT33">
        <v>99</v>
      </c>
      <c r="HU33">
        <v>105</v>
      </c>
      <c r="HV33">
        <v>178</v>
      </c>
      <c r="HW33">
        <v>178</v>
      </c>
      <c r="HX33">
        <v>1577</v>
      </c>
      <c r="HY33">
        <v>1577</v>
      </c>
      <c r="HZ33">
        <v>143</v>
      </c>
      <c r="IA33">
        <v>104</v>
      </c>
      <c r="IB33">
        <v>82</v>
      </c>
      <c r="IC33">
        <v>82</v>
      </c>
      <c r="ID33">
        <v>82</v>
      </c>
      <c r="IE33">
        <v>82</v>
      </c>
      <c r="IF33">
        <v>186</v>
      </c>
      <c r="IG33">
        <v>124</v>
      </c>
      <c r="IH33">
        <v>136</v>
      </c>
      <c r="II33">
        <v>99</v>
      </c>
      <c r="IJ33">
        <v>178</v>
      </c>
      <c r="IK33">
        <v>178</v>
      </c>
      <c r="IL33">
        <v>99</v>
      </c>
      <c r="IM33">
        <v>99</v>
      </c>
      <c r="IN33">
        <v>105</v>
      </c>
      <c r="IO33">
        <v>105</v>
      </c>
      <c r="IP33">
        <v>99</v>
      </c>
      <c r="IQ33">
        <v>99</v>
      </c>
      <c r="IR33">
        <v>100</v>
      </c>
      <c r="IS33">
        <v>100</v>
      </c>
      <c r="IT33">
        <v>200</v>
      </c>
      <c r="IU33">
        <v>143</v>
      </c>
      <c r="IV33">
        <v>82</v>
      </c>
      <c r="IW33">
        <v>82</v>
      </c>
      <c r="IX33">
        <v>82</v>
      </c>
      <c r="IY33">
        <v>412</v>
      </c>
      <c r="IZ33">
        <v>412</v>
      </c>
      <c r="JA33">
        <v>82</v>
      </c>
      <c r="JB33">
        <v>82</v>
      </c>
      <c r="JC33">
        <v>109</v>
      </c>
      <c r="JD33">
        <v>178</v>
      </c>
      <c r="JE33">
        <v>99</v>
      </c>
      <c r="JF33">
        <v>82</v>
      </c>
      <c r="JG33">
        <v>109</v>
      </c>
      <c r="JH33">
        <v>140</v>
      </c>
      <c r="JI33">
        <v>140</v>
      </c>
      <c r="JJ33">
        <v>196</v>
      </c>
      <c r="JK33">
        <v>178</v>
      </c>
      <c r="JL33">
        <v>178</v>
      </c>
      <c r="JM33">
        <v>99</v>
      </c>
      <c r="JN33">
        <v>178</v>
      </c>
      <c r="JO33">
        <v>350</v>
      </c>
      <c r="JP33">
        <v>99</v>
      </c>
      <c r="JQ33">
        <v>99</v>
      </c>
      <c r="JR33">
        <v>99</v>
      </c>
      <c r="JS33">
        <v>392</v>
      </c>
      <c r="JT33">
        <v>97</v>
      </c>
      <c r="JU33">
        <v>99</v>
      </c>
      <c r="JV33">
        <v>761</v>
      </c>
      <c r="JW33">
        <v>178</v>
      </c>
      <c r="JX33">
        <v>124</v>
      </c>
      <c r="JY33">
        <v>103</v>
      </c>
      <c r="JZ33">
        <v>178</v>
      </c>
      <c r="KA33">
        <v>746</v>
      </c>
      <c r="KB33">
        <v>646</v>
      </c>
      <c r="KC33">
        <v>178</v>
      </c>
      <c r="KD33">
        <v>178</v>
      </c>
      <c r="KE33">
        <v>178</v>
      </c>
      <c r="KF33">
        <v>178</v>
      </c>
      <c r="KG33">
        <v>190</v>
      </c>
      <c r="KH33">
        <v>105</v>
      </c>
      <c r="KI33">
        <v>136</v>
      </c>
      <c r="KJ33">
        <v>134</v>
      </c>
      <c r="KK33">
        <v>136</v>
      </c>
      <c r="KL33">
        <v>136</v>
      </c>
      <c r="KM33">
        <v>99</v>
      </c>
      <c r="KN33">
        <v>105</v>
      </c>
      <c r="KO33">
        <v>99</v>
      </c>
      <c r="KP33">
        <v>105</v>
      </c>
      <c r="KQ33">
        <v>99</v>
      </c>
      <c r="KR33">
        <v>99</v>
      </c>
      <c r="KS33">
        <v>99</v>
      </c>
      <c r="KT33">
        <v>74</v>
      </c>
      <c r="KU33">
        <v>74</v>
      </c>
      <c r="KV33">
        <v>99</v>
      </c>
      <c r="KW33">
        <v>178</v>
      </c>
      <c r="KX33">
        <v>178</v>
      </c>
      <c r="KY33">
        <v>99</v>
      </c>
      <c r="KZ33">
        <v>104</v>
      </c>
      <c r="LA33">
        <v>178</v>
      </c>
      <c r="LB33">
        <v>178</v>
      </c>
      <c r="LC33">
        <v>211</v>
      </c>
      <c r="LD33">
        <v>196</v>
      </c>
      <c r="LE33">
        <v>69</v>
      </c>
      <c r="LF33">
        <v>69</v>
      </c>
      <c r="LG33">
        <v>144</v>
      </c>
      <c r="LH33">
        <v>144</v>
      </c>
      <c r="LI33">
        <v>103</v>
      </c>
      <c r="LJ33">
        <v>99</v>
      </c>
      <c r="LK33">
        <v>99</v>
      </c>
      <c r="LL33">
        <v>82</v>
      </c>
      <c r="LM33">
        <v>82</v>
      </c>
      <c r="LN33">
        <v>82</v>
      </c>
      <c r="LO33">
        <v>82</v>
      </c>
      <c r="LP33">
        <v>82</v>
      </c>
      <c r="LQ33">
        <v>99</v>
      </c>
      <c r="LR33">
        <v>79</v>
      </c>
      <c r="LS33">
        <v>79</v>
      </c>
      <c r="LT33">
        <v>108</v>
      </c>
      <c r="LU33">
        <v>109</v>
      </c>
      <c r="LV33">
        <v>109</v>
      </c>
      <c r="LW33">
        <v>99</v>
      </c>
      <c r="LX33">
        <v>99</v>
      </c>
      <c r="LY33">
        <v>99</v>
      </c>
      <c r="LZ33">
        <v>178</v>
      </c>
      <c r="MA33">
        <v>393</v>
      </c>
      <c r="MB33">
        <v>350</v>
      </c>
      <c r="MC33">
        <v>350</v>
      </c>
      <c r="MD33">
        <v>434</v>
      </c>
      <c r="ME33">
        <v>1283</v>
      </c>
      <c r="MF33">
        <v>351</v>
      </c>
      <c r="MG33">
        <v>140</v>
      </c>
      <c r="MH33">
        <v>140</v>
      </c>
      <c r="MI33">
        <v>140</v>
      </c>
      <c r="MJ33">
        <v>186</v>
      </c>
      <c r="MK33">
        <v>157</v>
      </c>
      <c r="ML33">
        <v>144</v>
      </c>
      <c r="MM33">
        <v>186</v>
      </c>
      <c r="MN33">
        <v>195</v>
      </c>
      <c r="MO33">
        <v>105</v>
      </c>
      <c r="MP33">
        <v>119</v>
      </c>
      <c r="MQ33">
        <v>593</v>
      </c>
      <c r="MR33">
        <v>119</v>
      </c>
      <c r="MS33">
        <v>332</v>
      </c>
      <c r="MT33">
        <v>120</v>
      </c>
      <c r="MU33">
        <v>80</v>
      </c>
      <c r="MV33">
        <v>536</v>
      </c>
      <c r="MW33">
        <v>105</v>
      </c>
      <c r="MX33">
        <v>144</v>
      </c>
      <c r="MY33">
        <v>144</v>
      </c>
      <c r="MZ33">
        <v>105</v>
      </c>
      <c r="NA33">
        <v>384</v>
      </c>
      <c r="NB33">
        <v>99</v>
      </c>
      <c r="NC33">
        <v>99</v>
      </c>
      <c r="ND33">
        <v>434</v>
      </c>
      <c r="NE33">
        <v>98</v>
      </c>
      <c r="NF33">
        <v>107</v>
      </c>
      <c r="NG33">
        <v>140</v>
      </c>
      <c r="NH33">
        <v>107</v>
      </c>
      <c r="NI33">
        <v>140</v>
      </c>
      <c r="NJ33">
        <v>99</v>
      </c>
      <c r="NK33">
        <v>99</v>
      </c>
      <c r="NL33">
        <v>178</v>
      </c>
      <c r="NM33">
        <v>103</v>
      </c>
      <c r="NN33">
        <v>103</v>
      </c>
      <c r="NO33">
        <v>103</v>
      </c>
      <c r="NP33">
        <v>120</v>
      </c>
      <c r="NQ33">
        <v>120</v>
      </c>
      <c r="NR33">
        <v>570</v>
      </c>
      <c r="NS33">
        <v>99</v>
      </c>
      <c r="NT33">
        <v>393</v>
      </c>
      <c r="NU33">
        <v>434</v>
      </c>
      <c r="NV33">
        <v>593</v>
      </c>
      <c r="NW33">
        <v>178</v>
      </c>
      <c r="NX33">
        <v>178</v>
      </c>
      <c r="NY33">
        <v>178</v>
      </c>
      <c r="NZ33">
        <v>178</v>
      </c>
      <c r="OA33">
        <v>136</v>
      </c>
      <c r="OB33">
        <v>122</v>
      </c>
      <c r="OC33">
        <v>82</v>
      </c>
      <c r="OD33">
        <v>82</v>
      </c>
      <c r="OE33">
        <v>105</v>
      </c>
      <c r="OF33">
        <v>434</v>
      </c>
      <c r="OG33">
        <v>350</v>
      </c>
      <c r="OH33">
        <v>99</v>
      </c>
      <c r="OI33">
        <v>99</v>
      </c>
      <c r="OJ33">
        <v>99</v>
      </c>
      <c r="OK33">
        <v>99</v>
      </c>
      <c r="OL33">
        <v>99</v>
      </c>
      <c r="OM33">
        <v>99</v>
      </c>
      <c r="ON33">
        <v>200</v>
      </c>
      <c r="OO33">
        <v>200</v>
      </c>
      <c r="OP33">
        <v>119</v>
      </c>
      <c r="OQ33">
        <v>105</v>
      </c>
      <c r="OR33">
        <v>105</v>
      </c>
      <c r="OS33">
        <v>195</v>
      </c>
      <c r="OT33">
        <v>710</v>
      </c>
      <c r="OU33">
        <v>82</v>
      </c>
      <c r="OV33">
        <v>80</v>
      </c>
      <c r="OW33">
        <v>107</v>
      </c>
      <c r="OX33">
        <v>140</v>
      </c>
      <c r="OY33">
        <v>136</v>
      </c>
      <c r="OZ33">
        <v>136</v>
      </c>
      <c r="PA33">
        <v>104</v>
      </c>
      <c r="PB33">
        <v>196</v>
      </c>
      <c r="PC33">
        <v>80</v>
      </c>
      <c r="PD33">
        <v>562</v>
      </c>
      <c r="PE33">
        <v>120</v>
      </c>
      <c r="PF33">
        <v>267</v>
      </c>
      <c r="PG33">
        <v>351</v>
      </c>
      <c r="PH33">
        <v>593</v>
      </c>
      <c r="PI33">
        <v>178</v>
      </c>
      <c r="PJ33">
        <v>99</v>
      </c>
      <c r="PK33">
        <v>134</v>
      </c>
      <c r="PL33">
        <v>103</v>
      </c>
      <c r="PM33">
        <v>103</v>
      </c>
      <c r="PN33">
        <v>710</v>
      </c>
      <c r="PO33">
        <v>710</v>
      </c>
      <c r="PP33">
        <v>710</v>
      </c>
      <c r="PQ33">
        <v>185</v>
      </c>
      <c r="PR33">
        <v>178</v>
      </c>
      <c r="PS33">
        <v>99</v>
      </c>
      <c r="PT33">
        <v>178</v>
      </c>
      <c r="PU33">
        <v>178</v>
      </c>
      <c r="PV33">
        <v>119</v>
      </c>
      <c r="PW33">
        <v>120</v>
      </c>
      <c r="PX33">
        <v>136</v>
      </c>
      <c r="PY33">
        <v>434</v>
      </c>
      <c r="PZ33">
        <v>512</v>
      </c>
      <c r="QA33">
        <v>99</v>
      </c>
      <c r="QB33">
        <v>80</v>
      </c>
      <c r="QC33">
        <v>269</v>
      </c>
      <c r="QD33">
        <v>178</v>
      </c>
      <c r="QE33">
        <v>140</v>
      </c>
      <c r="QF33">
        <v>136</v>
      </c>
      <c r="QG33">
        <v>731</v>
      </c>
      <c r="QH33">
        <v>731</v>
      </c>
      <c r="QI33">
        <v>660</v>
      </c>
      <c r="QJ33">
        <v>660</v>
      </c>
      <c r="QK33">
        <v>136</v>
      </c>
      <c r="QL33">
        <v>99</v>
      </c>
      <c r="QM33">
        <v>99</v>
      </c>
      <c r="QN33">
        <v>350</v>
      </c>
      <c r="QO33">
        <v>350</v>
      </c>
      <c r="QP33">
        <v>99</v>
      </c>
      <c r="QQ33">
        <v>178</v>
      </c>
      <c r="QR33">
        <v>99</v>
      </c>
      <c r="QS33">
        <v>109</v>
      </c>
      <c r="QT33">
        <v>143</v>
      </c>
      <c r="QU33">
        <v>434</v>
      </c>
      <c r="QV33">
        <v>178</v>
      </c>
      <c r="QW33">
        <v>99</v>
      </c>
      <c r="QX33">
        <v>140</v>
      </c>
      <c r="QY33">
        <v>190</v>
      </c>
      <c r="QZ33">
        <v>195</v>
      </c>
      <c r="RA33">
        <v>135</v>
      </c>
      <c r="RB33">
        <v>195</v>
      </c>
      <c r="RC33">
        <v>710</v>
      </c>
      <c r="RD33">
        <v>136</v>
      </c>
      <c r="RE33">
        <v>105</v>
      </c>
      <c r="RF33">
        <v>124</v>
      </c>
      <c r="RG33">
        <v>99</v>
      </c>
      <c r="RH33">
        <v>353</v>
      </c>
      <c r="RI33">
        <v>178</v>
      </c>
      <c r="RJ33">
        <v>99</v>
      </c>
      <c r="RK33">
        <v>136</v>
      </c>
      <c r="RL33">
        <v>99</v>
      </c>
      <c r="RM33">
        <v>187</v>
      </c>
      <c r="RN33">
        <v>99</v>
      </c>
      <c r="RO33">
        <v>761</v>
      </c>
      <c r="RP33">
        <v>761</v>
      </c>
      <c r="RQ33">
        <v>99</v>
      </c>
      <c r="RR33">
        <v>99</v>
      </c>
      <c r="RS33">
        <v>99</v>
      </c>
      <c r="RT33">
        <v>99</v>
      </c>
      <c r="RU33">
        <v>136</v>
      </c>
      <c r="RV33">
        <v>124</v>
      </c>
      <c r="RW33">
        <v>99</v>
      </c>
      <c r="RX33">
        <v>99</v>
      </c>
      <c r="RY33">
        <v>136</v>
      </c>
      <c r="RZ33">
        <v>105</v>
      </c>
      <c r="SA33">
        <v>136</v>
      </c>
      <c r="SB33">
        <v>100</v>
      </c>
      <c r="SC33">
        <v>99</v>
      </c>
      <c r="SD33">
        <v>178</v>
      </c>
      <c r="SE33">
        <v>99</v>
      </c>
      <c r="SF33">
        <v>99</v>
      </c>
      <c r="SG33">
        <v>99</v>
      </c>
      <c r="SH33">
        <v>99</v>
      </c>
      <c r="SI33">
        <v>82</v>
      </c>
      <c r="SJ33">
        <v>80</v>
      </c>
      <c r="SK33">
        <v>99</v>
      </c>
      <c r="SL33">
        <v>99</v>
      </c>
      <c r="SM33">
        <v>95</v>
      </c>
      <c r="SN33">
        <v>710</v>
      </c>
      <c r="SO33">
        <v>710</v>
      </c>
      <c r="SP33">
        <v>350</v>
      </c>
      <c r="SQ33">
        <v>120</v>
      </c>
      <c r="SR33">
        <v>104</v>
      </c>
      <c r="SS33">
        <v>710</v>
      </c>
      <c r="ST33">
        <v>710</v>
      </c>
      <c r="SU33">
        <v>99</v>
      </c>
      <c r="SV33">
        <v>99</v>
      </c>
      <c r="SW33">
        <v>80</v>
      </c>
      <c r="SX33">
        <v>178</v>
      </c>
      <c r="SY33">
        <v>269</v>
      </c>
      <c r="SZ33">
        <v>325</v>
      </c>
      <c r="TA33">
        <v>350</v>
      </c>
      <c r="TB33">
        <v>119</v>
      </c>
      <c r="TC33">
        <v>120</v>
      </c>
      <c r="TD33">
        <v>140</v>
      </c>
      <c r="TE33">
        <v>140</v>
      </c>
      <c r="TF33">
        <v>99</v>
      </c>
      <c r="TG33">
        <v>105</v>
      </c>
      <c r="TH33">
        <v>100</v>
      </c>
      <c r="TI33">
        <v>120</v>
      </c>
      <c r="TJ33">
        <v>139</v>
      </c>
      <c r="TK33">
        <v>135</v>
      </c>
      <c r="TL33">
        <v>190</v>
      </c>
      <c r="TM33">
        <v>99</v>
      </c>
      <c r="TN33">
        <v>99</v>
      </c>
      <c r="TO33">
        <v>1283</v>
      </c>
      <c r="TP33">
        <v>537</v>
      </c>
      <c r="TQ33">
        <v>178</v>
      </c>
      <c r="TR33">
        <v>178</v>
      </c>
      <c r="TS33">
        <v>178</v>
      </c>
      <c r="TT33">
        <v>105</v>
      </c>
      <c r="TU33">
        <v>105</v>
      </c>
      <c r="TV33">
        <v>136</v>
      </c>
      <c r="TW33">
        <v>105</v>
      </c>
      <c r="TX33">
        <v>82</v>
      </c>
      <c r="TY33">
        <v>82</v>
      </c>
      <c r="TZ33">
        <v>119</v>
      </c>
      <c r="UA33">
        <v>332</v>
      </c>
      <c r="UB33">
        <v>109</v>
      </c>
      <c r="UC33">
        <v>82</v>
      </c>
      <c r="UD33">
        <v>186</v>
      </c>
      <c r="UE33">
        <v>105</v>
      </c>
      <c r="UF33">
        <v>434</v>
      </c>
      <c r="UG33">
        <v>1577</v>
      </c>
      <c r="UH33">
        <v>105</v>
      </c>
      <c r="UI33">
        <v>105</v>
      </c>
      <c r="UJ33">
        <v>267</v>
      </c>
      <c r="UK33">
        <v>269</v>
      </c>
      <c r="UL33">
        <v>269</v>
      </c>
      <c r="UM33">
        <v>593</v>
      </c>
      <c r="UN33">
        <v>178</v>
      </c>
      <c r="UO33">
        <v>136</v>
      </c>
      <c r="UP33">
        <v>467</v>
      </c>
      <c r="UQ33">
        <v>63</v>
      </c>
      <c r="UR33">
        <v>195</v>
      </c>
      <c r="US33">
        <v>178</v>
      </c>
      <c r="UT33">
        <v>125</v>
      </c>
      <c r="UU33">
        <v>125</v>
      </c>
      <c r="UV33">
        <v>99</v>
      </c>
      <c r="UW33">
        <v>95</v>
      </c>
      <c r="UX33">
        <v>99</v>
      </c>
      <c r="UY33">
        <v>178</v>
      </c>
      <c r="UZ33">
        <v>178</v>
      </c>
      <c r="VA33">
        <v>105</v>
      </c>
      <c r="VB33">
        <v>99</v>
      </c>
      <c r="VC33">
        <v>99</v>
      </c>
      <c r="VD33">
        <v>105</v>
      </c>
      <c r="VE33">
        <v>105</v>
      </c>
      <c r="VF33">
        <v>105</v>
      </c>
      <c r="VG33">
        <v>710</v>
      </c>
      <c r="VH33">
        <v>710</v>
      </c>
      <c r="VI33">
        <v>79</v>
      </c>
      <c r="VJ33">
        <v>79</v>
      </c>
      <c r="VK33">
        <v>105</v>
      </c>
      <c r="VL33">
        <v>178</v>
      </c>
      <c r="VM33">
        <v>186</v>
      </c>
      <c r="VN33">
        <v>178</v>
      </c>
      <c r="VO33">
        <v>685</v>
      </c>
    </row>
    <row r="34" spans="1:587" x14ac:dyDescent="0.3">
      <c r="A34" t="s">
        <v>3029</v>
      </c>
      <c r="B34" cm="1">
        <f t="array" ref="B34:VO34">1*TRANSPOSE(_xlfn._xlws.FILTER(branch!$I$2:$I$591,branch!$D$2:$D$591&lt;&gt;0))</f>
        <v>99</v>
      </c>
      <c r="C34">
        <v>99</v>
      </c>
      <c r="D34">
        <v>178</v>
      </c>
      <c r="E34">
        <v>145</v>
      </c>
      <c r="F34">
        <v>536</v>
      </c>
      <c r="G34">
        <v>393</v>
      </c>
      <c r="H34">
        <v>393</v>
      </c>
      <c r="I34">
        <v>593</v>
      </c>
      <c r="J34">
        <v>434</v>
      </c>
      <c r="K34">
        <v>99</v>
      </c>
      <c r="L34">
        <v>140</v>
      </c>
      <c r="M34">
        <v>103</v>
      </c>
      <c r="N34">
        <v>109</v>
      </c>
      <c r="O34">
        <v>105</v>
      </c>
      <c r="P34">
        <v>99</v>
      </c>
      <c r="Q34">
        <v>187</v>
      </c>
      <c r="R34">
        <v>187</v>
      </c>
      <c r="S34">
        <v>187</v>
      </c>
      <c r="T34">
        <v>104</v>
      </c>
      <c r="U34">
        <v>112</v>
      </c>
      <c r="V34">
        <v>105</v>
      </c>
      <c r="W34">
        <v>82</v>
      </c>
      <c r="X34">
        <v>82</v>
      </c>
      <c r="Y34">
        <v>105</v>
      </c>
      <c r="Z34">
        <v>105</v>
      </c>
      <c r="AA34">
        <v>99</v>
      </c>
      <c r="AB34">
        <v>178</v>
      </c>
      <c r="AC34">
        <v>434</v>
      </c>
      <c r="AD34">
        <v>434</v>
      </c>
      <c r="AE34">
        <v>34</v>
      </c>
      <c r="AF34">
        <v>120</v>
      </c>
      <c r="AG34">
        <v>120</v>
      </c>
      <c r="AH34">
        <v>104</v>
      </c>
      <c r="AI34">
        <v>178</v>
      </c>
      <c r="AJ34">
        <v>178</v>
      </c>
      <c r="AK34">
        <v>178</v>
      </c>
      <c r="AL34">
        <v>178</v>
      </c>
      <c r="AM34">
        <v>120</v>
      </c>
      <c r="AN34">
        <v>178</v>
      </c>
      <c r="AO34">
        <v>99</v>
      </c>
      <c r="AP34">
        <v>178</v>
      </c>
      <c r="AQ34">
        <v>140</v>
      </c>
      <c r="AR34">
        <v>140</v>
      </c>
      <c r="AS34">
        <v>99</v>
      </c>
      <c r="AT34">
        <v>105</v>
      </c>
      <c r="AU34">
        <v>99</v>
      </c>
      <c r="AV34">
        <v>96</v>
      </c>
      <c r="AW34">
        <v>96</v>
      </c>
      <c r="AX34">
        <v>178</v>
      </c>
      <c r="AY34">
        <v>178</v>
      </c>
      <c r="AZ34">
        <v>120</v>
      </c>
      <c r="BA34">
        <v>120</v>
      </c>
      <c r="BB34">
        <v>178</v>
      </c>
      <c r="BC34">
        <v>178</v>
      </c>
      <c r="BD34">
        <v>178</v>
      </c>
      <c r="BE34">
        <v>105</v>
      </c>
      <c r="BF34">
        <v>99</v>
      </c>
      <c r="BG34">
        <v>99</v>
      </c>
      <c r="BH34">
        <v>99</v>
      </c>
      <c r="BI34">
        <v>82</v>
      </c>
      <c r="BJ34">
        <v>82</v>
      </c>
      <c r="BK34">
        <v>136</v>
      </c>
      <c r="BL34">
        <v>140</v>
      </c>
      <c r="BM34">
        <v>130</v>
      </c>
      <c r="BN34">
        <v>99</v>
      </c>
      <c r="BO34">
        <v>122</v>
      </c>
      <c r="BP34">
        <v>196</v>
      </c>
      <c r="BQ34">
        <v>178</v>
      </c>
      <c r="BR34">
        <v>136</v>
      </c>
      <c r="BS34">
        <v>178</v>
      </c>
      <c r="BT34">
        <v>124</v>
      </c>
      <c r="BU34">
        <v>178</v>
      </c>
      <c r="BV34">
        <v>178</v>
      </c>
      <c r="BW34">
        <v>178</v>
      </c>
      <c r="BX34">
        <v>99</v>
      </c>
      <c r="BY34">
        <v>136</v>
      </c>
      <c r="BZ34">
        <v>195</v>
      </c>
      <c r="CA34">
        <v>178</v>
      </c>
      <c r="CB34">
        <v>178</v>
      </c>
      <c r="CC34">
        <v>192</v>
      </c>
      <c r="CD34">
        <v>187</v>
      </c>
      <c r="CE34">
        <v>120</v>
      </c>
      <c r="CF34">
        <v>187</v>
      </c>
      <c r="CG34">
        <v>187</v>
      </c>
      <c r="CH34">
        <v>187</v>
      </c>
      <c r="CI34">
        <v>119</v>
      </c>
      <c r="CJ34">
        <v>119</v>
      </c>
      <c r="CK34">
        <v>570</v>
      </c>
      <c r="CL34">
        <v>570</v>
      </c>
      <c r="CM34">
        <v>140</v>
      </c>
      <c r="CN34">
        <v>140</v>
      </c>
      <c r="CO34">
        <v>842</v>
      </c>
      <c r="CP34">
        <v>105</v>
      </c>
      <c r="CQ34">
        <v>109</v>
      </c>
      <c r="CR34">
        <v>109</v>
      </c>
      <c r="CS34">
        <v>82</v>
      </c>
      <c r="CT34">
        <v>82</v>
      </c>
      <c r="CU34">
        <v>75</v>
      </c>
      <c r="CV34">
        <v>75</v>
      </c>
      <c r="CW34">
        <v>178</v>
      </c>
      <c r="CX34">
        <v>178</v>
      </c>
      <c r="CY34">
        <v>178</v>
      </c>
      <c r="CZ34">
        <v>178</v>
      </c>
      <c r="DA34">
        <v>82</v>
      </c>
      <c r="DB34">
        <v>82</v>
      </c>
      <c r="DC34">
        <v>710</v>
      </c>
      <c r="DD34">
        <v>69</v>
      </c>
      <c r="DE34">
        <v>70</v>
      </c>
      <c r="DF34">
        <v>710</v>
      </c>
      <c r="DG34">
        <v>710</v>
      </c>
      <c r="DH34">
        <v>710</v>
      </c>
      <c r="DI34">
        <v>144</v>
      </c>
      <c r="DJ34">
        <v>63</v>
      </c>
      <c r="DK34">
        <v>99</v>
      </c>
      <c r="DL34">
        <v>570</v>
      </c>
      <c r="DM34">
        <v>570</v>
      </c>
      <c r="DN34">
        <v>178</v>
      </c>
      <c r="DO34">
        <v>200</v>
      </c>
      <c r="DP34">
        <v>109</v>
      </c>
      <c r="DQ34">
        <v>109</v>
      </c>
      <c r="DR34">
        <v>79</v>
      </c>
      <c r="DS34">
        <v>79</v>
      </c>
      <c r="DT34">
        <v>434</v>
      </c>
      <c r="DU34">
        <v>740</v>
      </c>
      <c r="DV34">
        <v>228</v>
      </c>
      <c r="DW34">
        <v>115</v>
      </c>
      <c r="DX34">
        <v>195</v>
      </c>
      <c r="DY34">
        <v>124</v>
      </c>
      <c r="DZ34">
        <v>80</v>
      </c>
      <c r="EA34">
        <v>120</v>
      </c>
      <c r="EB34">
        <v>105</v>
      </c>
      <c r="EC34">
        <v>178</v>
      </c>
      <c r="ED34">
        <v>178</v>
      </c>
      <c r="EE34">
        <v>178</v>
      </c>
      <c r="EF34">
        <v>69</v>
      </c>
      <c r="EG34">
        <v>70</v>
      </c>
      <c r="EH34">
        <v>69</v>
      </c>
      <c r="EI34">
        <v>69</v>
      </c>
      <c r="EJ34">
        <v>132</v>
      </c>
      <c r="EK34">
        <v>132</v>
      </c>
      <c r="EL34">
        <v>710</v>
      </c>
      <c r="EM34">
        <v>710</v>
      </c>
      <c r="EN34">
        <v>66</v>
      </c>
      <c r="EO34">
        <v>66</v>
      </c>
      <c r="EP34">
        <v>710</v>
      </c>
      <c r="EQ34">
        <v>109</v>
      </c>
      <c r="ER34">
        <v>109</v>
      </c>
      <c r="ES34">
        <v>82</v>
      </c>
      <c r="ET34">
        <v>82</v>
      </c>
      <c r="EU34">
        <v>144</v>
      </c>
      <c r="EV34">
        <v>144</v>
      </c>
      <c r="EW34">
        <v>710</v>
      </c>
      <c r="EX34">
        <v>178</v>
      </c>
      <c r="EY34">
        <v>124</v>
      </c>
      <c r="EZ34">
        <v>99</v>
      </c>
      <c r="FA34">
        <v>99</v>
      </c>
      <c r="FB34">
        <v>99</v>
      </c>
      <c r="FC34">
        <v>761</v>
      </c>
      <c r="FD34">
        <v>187</v>
      </c>
      <c r="FE34">
        <v>761</v>
      </c>
      <c r="FF34">
        <v>761</v>
      </c>
      <c r="FG34">
        <v>761</v>
      </c>
      <c r="FH34">
        <v>178</v>
      </c>
      <c r="FI34">
        <v>178</v>
      </c>
      <c r="FJ34">
        <v>115</v>
      </c>
      <c r="FK34">
        <v>434</v>
      </c>
      <c r="FL34">
        <v>434</v>
      </c>
      <c r="FM34">
        <v>555</v>
      </c>
      <c r="FN34">
        <v>123</v>
      </c>
      <c r="FO34">
        <v>178</v>
      </c>
      <c r="FP34">
        <v>130</v>
      </c>
      <c r="FQ34">
        <v>178</v>
      </c>
      <c r="FR34">
        <v>103</v>
      </c>
      <c r="FS34">
        <v>238</v>
      </c>
      <c r="FT34">
        <v>434</v>
      </c>
      <c r="FU34">
        <v>178</v>
      </c>
      <c r="FV34">
        <v>132</v>
      </c>
      <c r="FW34">
        <v>178</v>
      </c>
      <c r="FX34">
        <v>144</v>
      </c>
      <c r="FY34">
        <v>144</v>
      </c>
      <c r="FZ34">
        <v>140</v>
      </c>
      <c r="GA34">
        <v>140</v>
      </c>
      <c r="GB34">
        <v>136</v>
      </c>
      <c r="GC34">
        <v>178</v>
      </c>
      <c r="GD34">
        <v>178</v>
      </c>
      <c r="GE34">
        <v>178</v>
      </c>
      <c r="GF34">
        <v>196</v>
      </c>
      <c r="GG34">
        <v>178</v>
      </c>
      <c r="GH34">
        <v>178</v>
      </c>
      <c r="GI34">
        <v>178</v>
      </c>
      <c r="GJ34">
        <v>130</v>
      </c>
      <c r="GK34">
        <v>99</v>
      </c>
      <c r="GL34">
        <v>136</v>
      </c>
      <c r="GM34">
        <v>178</v>
      </c>
      <c r="GN34">
        <v>105</v>
      </c>
      <c r="GO34">
        <v>187</v>
      </c>
      <c r="GP34">
        <v>187</v>
      </c>
      <c r="GQ34">
        <v>187</v>
      </c>
      <c r="GR34">
        <v>105</v>
      </c>
      <c r="GS34">
        <v>130</v>
      </c>
      <c r="GT34">
        <v>434</v>
      </c>
      <c r="GU34">
        <v>105</v>
      </c>
      <c r="GV34">
        <v>105</v>
      </c>
      <c r="GW34">
        <v>593</v>
      </c>
      <c r="GX34">
        <v>119</v>
      </c>
      <c r="GY34">
        <v>178</v>
      </c>
      <c r="GZ34">
        <v>120</v>
      </c>
      <c r="HA34">
        <v>178</v>
      </c>
      <c r="HB34">
        <v>178</v>
      </c>
      <c r="HC34">
        <v>178</v>
      </c>
      <c r="HD34">
        <v>646</v>
      </c>
      <c r="HE34">
        <v>161</v>
      </c>
      <c r="HF34">
        <v>161</v>
      </c>
      <c r="HG34">
        <v>434</v>
      </c>
      <c r="HH34">
        <v>434</v>
      </c>
      <c r="HI34">
        <v>187</v>
      </c>
      <c r="HJ34">
        <v>124</v>
      </c>
      <c r="HK34">
        <v>99</v>
      </c>
      <c r="HL34">
        <v>105</v>
      </c>
      <c r="HM34">
        <v>63</v>
      </c>
      <c r="HN34">
        <v>178</v>
      </c>
      <c r="HO34">
        <v>187</v>
      </c>
      <c r="HP34">
        <v>136</v>
      </c>
      <c r="HQ34">
        <v>187</v>
      </c>
      <c r="HR34">
        <v>187</v>
      </c>
      <c r="HS34">
        <v>99</v>
      </c>
      <c r="HT34">
        <v>99</v>
      </c>
      <c r="HU34">
        <v>105</v>
      </c>
      <c r="HV34">
        <v>178</v>
      </c>
      <c r="HW34">
        <v>178</v>
      </c>
      <c r="HX34">
        <v>1577</v>
      </c>
      <c r="HY34">
        <v>1577</v>
      </c>
      <c r="HZ34">
        <v>143</v>
      </c>
      <c r="IA34">
        <v>104</v>
      </c>
      <c r="IB34">
        <v>82</v>
      </c>
      <c r="IC34">
        <v>82</v>
      </c>
      <c r="ID34">
        <v>82</v>
      </c>
      <c r="IE34">
        <v>82</v>
      </c>
      <c r="IF34">
        <v>186</v>
      </c>
      <c r="IG34">
        <v>124</v>
      </c>
      <c r="IH34">
        <v>136</v>
      </c>
      <c r="II34">
        <v>99</v>
      </c>
      <c r="IJ34">
        <v>178</v>
      </c>
      <c r="IK34">
        <v>178</v>
      </c>
      <c r="IL34">
        <v>99</v>
      </c>
      <c r="IM34">
        <v>99</v>
      </c>
      <c r="IN34">
        <v>105</v>
      </c>
      <c r="IO34">
        <v>105</v>
      </c>
      <c r="IP34">
        <v>99</v>
      </c>
      <c r="IQ34">
        <v>99</v>
      </c>
      <c r="IR34">
        <v>100</v>
      </c>
      <c r="IS34">
        <v>100</v>
      </c>
      <c r="IT34">
        <v>200</v>
      </c>
      <c r="IU34">
        <v>143</v>
      </c>
      <c r="IV34">
        <v>82</v>
      </c>
      <c r="IW34">
        <v>82</v>
      </c>
      <c r="IX34">
        <v>82</v>
      </c>
      <c r="IY34">
        <v>412</v>
      </c>
      <c r="IZ34">
        <v>412</v>
      </c>
      <c r="JA34">
        <v>82</v>
      </c>
      <c r="JB34">
        <v>82</v>
      </c>
      <c r="JC34">
        <v>109</v>
      </c>
      <c r="JD34">
        <v>178</v>
      </c>
      <c r="JE34">
        <v>99</v>
      </c>
      <c r="JF34">
        <v>82</v>
      </c>
      <c r="JG34">
        <v>109</v>
      </c>
      <c r="JH34">
        <v>140</v>
      </c>
      <c r="JI34">
        <v>140</v>
      </c>
      <c r="JJ34">
        <v>196</v>
      </c>
      <c r="JK34">
        <v>178</v>
      </c>
      <c r="JL34">
        <v>178</v>
      </c>
      <c r="JM34">
        <v>99</v>
      </c>
      <c r="JN34">
        <v>178</v>
      </c>
      <c r="JO34">
        <v>350</v>
      </c>
      <c r="JP34">
        <v>99</v>
      </c>
      <c r="JQ34">
        <v>99</v>
      </c>
      <c r="JR34">
        <v>99</v>
      </c>
      <c r="JS34">
        <v>392</v>
      </c>
      <c r="JT34">
        <v>97</v>
      </c>
      <c r="JU34">
        <v>99</v>
      </c>
      <c r="JV34">
        <v>761</v>
      </c>
      <c r="JW34">
        <v>178</v>
      </c>
      <c r="JX34">
        <v>124</v>
      </c>
      <c r="JY34">
        <v>103</v>
      </c>
      <c r="JZ34">
        <v>178</v>
      </c>
      <c r="KA34">
        <v>746</v>
      </c>
      <c r="KB34">
        <v>646</v>
      </c>
      <c r="KC34">
        <v>178</v>
      </c>
      <c r="KD34">
        <v>178</v>
      </c>
      <c r="KE34">
        <v>178</v>
      </c>
      <c r="KF34">
        <v>178</v>
      </c>
      <c r="KG34">
        <v>190</v>
      </c>
      <c r="KH34">
        <v>105</v>
      </c>
      <c r="KI34">
        <v>136</v>
      </c>
      <c r="KJ34">
        <v>134</v>
      </c>
      <c r="KK34">
        <v>136</v>
      </c>
      <c r="KL34">
        <v>136</v>
      </c>
      <c r="KM34">
        <v>99</v>
      </c>
      <c r="KN34">
        <v>105</v>
      </c>
      <c r="KO34">
        <v>99</v>
      </c>
      <c r="KP34">
        <v>105</v>
      </c>
      <c r="KQ34">
        <v>99</v>
      </c>
      <c r="KR34">
        <v>99</v>
      </c>
      <c r="KS34">
        <v>99</v>
      </c>
      <c r="KT34">
        <v>74</v>
      </c>
      <c r="KU34">
        <v>74</v>
      </c>
      <c r="KV34">
        <v>99</v>
      </c>
      <c r="KW34">
        <v>178</v>
      </c>
      <c r="KX34">
        <v>178</v>
      </c>
      <c r="KY34">
        <v>99</v>
      </c>
      <c r="KZ34">
        <v>104</v>
      </c>
      <c r="LA34">
        <v>178</v>
      </c>
      <c r="LB34">
        <v>178</v>
      </c>
      <c r="LC34">
        <v>211</v>
      </c>
      <c r="LD34">
        <v>196</v>
      </c>
      <c r="LE34">
        <v>69</v>
      </c>
      <c r="LF34">
        <v>69</v>
      </c>
      <c r="LG34">
        <v>144</v>
      </c>
      <c r="LH34">
        <v>144</v>
      </c>
      <c r="LI34">
        <v>103</v>
      </c>
      <c r="LJ34">
        <v>99</v>
      </c>
      <c r="LK34">
        <v>99</v>
      </c>
      <c r="LL34">
        <v>82</v>
      </c>
      <c r="LM34">
        <v>82</v>
      </c>
      <c r="LN34">
        <v>82</v>
      </c>
      <c r="LO34">
        <v>82</v>
      </c>
      <c r="LP34">
        <v>82</v>
      </c>
      <c r="LQ34">
        <v>99</v>
      </c>
      <c r="LR34">
        <v>79</v>
      </c>
      <c r="LS34">
        <v>79</v>
      </c>
      <c r="LT34">
        <v>108</v>
      </c>
      <c r="LU34">
        <v>109</v>
      </c>
      <c r="LV34">
        <v>109</v>
      </c>
      <c r="LW34">
        <v>99</v>
      </c>
      <c r="LX34">
        <v>99</v>
      </c>
      <c r="LY34">
        <v>99</v>
      </c>
      <c r="LZ34">
        <v>178</v>
      </c>
      <c r="MA34">
        <v>393</v>
      </c>
      <c r="MB34">
        <v>350</v>
      </c>
      <c r="MC34">
        <v>350</v>
      </c>
      <c r="MD34">
        <v>434</v>
      </c>
      <c r="ME34">
        <v>1283</v>
      </c>
      <c r="MF34">
        <v>351</v>
      </c>
      <c r="MG34">
        <v>140</v>
      </c>
      <c r="MH34">
        <v>140</v>
      </c>
      <c r="MI34">
        <v>140</v>
      </c>
      <c r="MJ34">
        <v>186</v>
      </c>
      <c r="MK34">
        <v>157</v>
      </c>
      <c r="ML34">
        <v>144</v>
      </c>
      <c r="MM34">
        <v>186</v>
      </c>
      <c r="MN34">
        <v>195</v>
      </c>
      <c r="MO34">
        <v>105</v>
      </c>
      <c r="MP34">
        <v>119</v>
      </c>
      <c r="MQ34">
        <v>593</v>
      </c>
      <c r="MR34">
        <v>119</v>
      </c>
      <c r="MS34">
        <v>332</v>
      </c>
      <c r="MT34">
        <v>120</v>
      </c>
      <c r="MU34">
        <v>80</v>
      </c>
      <c r="MV34">
        <v>536</v>
      </c>
      <c r="MW34">
        <v>105</v>
      </c>
      <c r="MX34">
        <v>144</v>
      </c>
      <c r="MY34">
        <v>144</v>
      </c>
      <c r="MZ34">
        <v>105</v>
      </c>
      <c r="NA34">
        <v>384</v>
      </c>
      <c r="NB34">
        <v>99</v>
      </c>
      <c r="NC34">
        <v>99</v>
      </c>
      <c r="ND34">
        <v>434</v>
      </c>
      <c r="NE34">
        <v>98</v>
      </c>
      <c r="NF34">
        <v>107</v>
      </c>
      <c r="NG34">
        <v>140</v>
      </c>
      <c r="NH34">
        <v>107</v>
      </c>
      <c r="NI34">
        <v>140</v>
      </c>
      <c r="NJ34">
        <v>99</v>
      </c>
      <c r="NK34">
        <v>99</v>
      </c>
      <c r="NL34">
        <v>178</v>
      </c>
      <c r="NM34">
        <v>103</v>
      </c>
      <c r="NN34">
        <v>103</v>
      </c>
      <c r="NO34">
        <v>103</v>
      </c>
      <c r="NP34">
        <v>120</v>
      </c>
      <c r="NQ34">
        <v>120</v>
      </c>
      <c r="NR34">
        <v>570</v>
      </c>
      <c r="NS34">
        <v>99</v>
      </c>
      <c r="NT34">
        <v>393</v>
      </c>
      <c r="NU34">
        <v>434</v>
      </c>
      <c r="NV34">
        <v>593</v>
      </c>
      <c r="NW34">
        <v>178</v>
      </c>
      <c r="NX34">
        <v>178</v>
      </c>
      <c r="NY34">
        <v>178</v>
      </c>
      <c r="NZ34">
        <v>178</v>
      </c>
      <c r="OA34">
        <v>136</v>
      </c>
      <c r="OB34">
        <v>122</v>
      </c>
      <c r="OC34">
        <v>82</v>
      </c>
      <c r="OD34">
        <v>82</v>
      </c>
      <c r="OE34">
        <v>105</v>
      </c>
      <c r="OF34">
        <v>434</v>
      </c>
      <c r="OG34">
        <v>350</v>
      </c>
      <c r="OH34">
        <v>99</v>
      </c>
      <c r="OI34">
        <v>99</v>
      </c>
      <c r="OJ34">
        <v>99</v>
      </c>
      <c r="OK34">
        <v>99</v>
      </c>
      <c r="OL34">
        <v>99</v>
      </c>
      <c r="OM34">
        <v>99</v>
      </c>
      <c r="ON34">
        <v>200</v>
      </c>
      <c r="OO34">
        <v>200</v>
      </c>
      <c r="OP34">
        <v>119</v>
      </c>
      <c r="OQ34">
        <v>105</v>
      </c>
      <c r="OR34">
        <v>105</v>
      </c>
      <c r="OS34">
        <v>195</v>
      </c>
      <c r="OT34">
        <v>710</v>
      </c>
      <c r="OU34">
        <v>82</v>
      </c>
      <c r="OV34">
        <v>80</v>
      </c>
      <c r="OW34">
        <v>107</v>
      </c>
      <c r="OX34">
        <v>140</v>
      </c>
      <c r="OY34">
        <v>136</v>
      </c>
      <c r="OZ34">
        <v>136</v>
      </c>
      <c r="PA34">
        <v>104</v>
      </c>
      <c r="PB34">
        <v>196</v>
      </c>
      <c r="PC34">
        <v>80</v>
      </c>
      <c r="PD34">
        <v>562</v>
      </c>
      <c r="PE34">
        <v>120</v>
      </c>
      <c r="PF34">
        <v>267</v>
      </c>
      <c r="PG34">
        <v>351</v>
      </c>
      <c r="PH34">
        <v>593</v>
      </c>
      <c r="PI34">
        <v>178</v>
      </c>
      <c r="PJ34">
        <v>99</v>
      </c>
      <c r="PK34">
        <v>134</v>
      </c>
      <c r="PL34">
        <v>103</v>
      </c>
      <c r="PM34">
        <v>103</v>
      </c>
      <c r="PN34">
        <v>710</v>
      </c>
      <c r="PO34">
        <v>710</v>
      </c>
      <c r="PP34">
        <v>710</v>
      </c>
      <c r="PQ34">
        <v>185</v>
      </c>
      <c r="PR34">
        <v>178</v>
      </c>
      <c r="PS34">
        <v>99</v>
      </c>
      <c r="PT34">
        <v>178</v>
      </c>
      <c r="PU34">
        <v>178</v>
      </c>
      <c r="PV34">
        <v>119</v>
      </c>
      <c r="PW34">
        <v>120</v>
      </c>
      <c r="PX34">
        <v>136</v>
      </c>
      <c r="PY34">
        <v>434</v>
      </c>
      <c r="PZ34">
        <v>512</v>
      </c>
      <c r="QA34">
        <v>99</v>
      </c>
      <c r="QB34">
        <v>80</v>
      </c>
      <c r="QC34">
        <v>269</v>
      </c>
      <c r="QD34">
        <v>178</v>
      </c>
      <c r="QE34">
        <v>140</v>
      </c>
      <c r="QF34">
        <v>136</v>
      </c>
      <c r="QG34">
        <v>731</v>
      </c>
      <c r="QH34">
        <v>731</v>
      </c>
      <c r="QI34">
        <v>660</v>
      </c>
      <c r="QJ34">
        <v>660</v>
      </c>
      <c r="QK34">
        <v>136</v>
      </c>
      <c r="QL34">
        <v>99</v>
      </c>
      <c r="QM34">
        <v>99</v>
      </c>
      <c r="QN34">
        <v>350</v>
      </c>
      <c r="QO34">
        <v>350</v>
      </c>
      <c r="QP34">
        <v>99</v>
      </c>
      <c r="QQ34">
        <v>178</v>
      </c>
      <c r="QR34">
        <v>99</v>
      </c>
      <c r="QS34">
        <v>109</v>
      </c>
      <c r="QT34">
        <v>143</v>
      </c>
      <c r="QU34">
        <v>434</v>
      </c>
      <c r="QV34">
        <v>178</v>
      </c>
      <c r="QW34">
        <v>99</v>
      </c>
      <c r="QX34">
        <v>140</v>
      </c>
      <c r="QY34">
        <v>190</v>
      </c>
      <c r="QZ34">
        <v>195</v>
      </c>
      <c r="RA34">
        <v>135</v>
      </c>
      <c r="RB34">
        <v>195</v>
      </c>
      <c r="RC34">
        <v>710</v>
      </c>
      <c r="RD34">
        <v>136</v>
      </c>
      <c r="RE34">
        <v>105</v>
      </c>
      <c r="RF34">
        <v>124</v>
      </c>
      <c r="RG34">
        <v>99</v>
      </c>
      <c r="RH34">
        <v>353</v>
      </c>
      <c r="RI34">
        <v>178</v>
      </c>
      <c r="RJ34">
        <v>99</v>
      </c>
      <c r="RK34">
        <v>136</v>
      </c>
      <c r="RL34">
        <v>99</v>
      </c>
      <c r="RM34">
        <v>187</v>
      </c>
      <c r="RN34">
        <v>99</v>
      </c>
      <c r="RO34">
        <v>761</v>
      </c>
      <c r="RP34">
        <v>761</v>
      </c>
      <c r="RQ34">
        <v>99</v>
      </c>
      <c r="RR34">
        <v>99</v>
      </c>
      <c r="RS34">
        <v>99</v>
      </c>
      <c r="RT34">
        <v>99</v>
      </c>
      <c r="RU34">
        <v>136</v>
      </c>
      <c r="RV34">
        <v>124</v>
      </c>
      <c r="RW34">
        <v>99</v>
      </c>
      <c r="RX34">
        <v>99</v>
      </c>
      <c r="RY34">
        <v>136</v>
      </c>
      <c r="RZ34">
        <v>105</v>
      </c>
      <c r="SA34">
        <v>136</v>
      </c>
      <c r="SB34">
        <v>100</v>
      </c>
      <c r="SC34">
        <v>99</v>
      </c>
      <c r="SD34">
        <v>178</v>
      </c>
      <c r="SE34">
        <v>99</v>
      </c>
      <c r="SF34">
        <v>99</v>
      </c>
      <c r="SG34">
        <v>99</v>
      </c>
      <c r="SH34">
        <v>99</v>
      </c>
      <c r="SI34">
        <v>82</v>
      </c>
      <c r="SJ34">
        <v>80</v>
      </c>
      <c r="SK34">
        <v>99</v>
      </c>
      <c r="SL34">
        <v>99</v>
      </c>
      <c r="SM34">
        <v>95</v>
      </c>
      <c r="SN34">
        <v>710</v>
      </c>
      <c r="SO34">
        <v>710</v>
      </c>
      <c r="SP34">
        <v>350</v>
      </c>
      <c r="SQ34">
        <v>120</v>
      </c>
      <c r="SR34">
        <v>104</v>
      </c>
      <c r="SS34">
        <v>710</v>
      </c>
      <c r="ST34">
        <v>710</v>
      </c>
      <c r="SU34">
        <v>99</v>
      </c>
      <c r="SV34">
        <v>99</v>
      </c>
      <c r="SW34">
        <v>80</v>
      </c>
      <c r="SX34">
        <v>178</v>
      </c>
      <c r="SY34">
        <v>269</v>
      </c>
      <c r="SZ34">
        <v>325</v>
      </c>
      <c r="TA34">
        <v>350</v>
      </c>
      <c r="TB34">
        <v>119</v>
      </c>
      <c r="TC34">
        <v>120</v>
      </c>
      <c r="TD34">
        <v>140</v>
      </c>
      <c r="TE34">
        <v>140</v>
      </c>
      <c r="TF34">
        <v>99</v>
      </c>
      <c r="TG34">
        <v>105</v>
      </c>
      <c r="TH34">
        <v>100</v>
      </c>
      <c r="TI34">
        <v>120</v>
      </c>
      <c r="TJ34">
        <v>139</v>
      </c>
      <c r="TK34">
        <v>135</v>
      </c>
      <c r="TL34">
        <v>190</v>
      </c>
      <c r="TM34">
        <v>99</v>
      </c>
      <c r="TN34">
        <v>99</v>
      </c>
      <c r="TO34">
        <v>1283</v>
      </c>
      <c r="TP34">
        <v>537</v>
      </c>
      <c r="TQ34">
        <v>178</v>
      </c>
      <c r="TR34">
        <v>178</v>
      </c>
      <c r="TS34">
        <v>178</v>
      </c>
      <c r="TT34">
        <v>105</v>
      </c>
      <c r="TU34">
        <v>105</v>
      </c>
      <c r="TV34">
        <v>136</v>
      </c>
      <c r="TW34">
        <v>105</v>
      </c>
      <c r="TX34">
        <v>82</v>
      </c>
      <c r="TY34">
        <v>82</v>
      </c>
      <c r="TZ34">
        <v>119</v>
      </c>
      <c r="UA34">
        <v>332</v>
      </c>
      <c r="UB34">
        <v>109</v>
      </c>
      <c r="UC34">
        <v>82</v>
      </c>
      <c r="UD34">
        <v>186</v>
      </c>
      <c r="UE34">
        <v>105</v>
      </c>
      <c r="UF34">
        <v>434</v>
      </c>
      <c r="UG34">
        <v>1577</v>
      </c>
      <c r="UH34">
        <v>105</v>
      </c>
      <c r="UI34">
        <v>105</v>
      </c>
      <c r="UJ34">
        <v>267</v>
      </c>
      <c r="UK34">
        <v>269</v>
      </c>
      <c r="UL34">
        <v>269</v>
      </c>
      <c r="UM34">
        <v>593</v>
      </c>
      <c r="UN34">
        <v>178</v>
      </c>
      <c r="UO34">
        <v>136</v>
      </c>
      <c r="UP34">
        <v>467</v>
      </c>
      <c r="UQ34">
        <v>63</v>
      </c>
      <c r="UR34">
        <v>195</v>
      </c>
      <c r="US34">
        <v>178</v>
      </c>
      <c r="UT34">
        <v>125</v>
      </c>
      <c r="UU34">
        <v>125</v>
      </c>
      <c r="UV34">
        <v>99</v>
      </c>
      <c r="UW34">
        <v>95</v>
      </c>
      <c r="UX34">
        <v>99</v>
      </c>
      <c r="UY34">
        <v>178</v>
      </c>
      <c r="UZ34">
        <v>178</v>
      </c>
      <c r="VA34">
        <v>105</v>
      </c>
      <c r="VB34">
        <v>99</v>
      </c>
      <c r="VC34">
        <v>99</v>
      </c>
      <c r="VD34">
        <v>105</v>
      </c>
      <c r="VE34">
        <v>105</v>
      </c>
      <c r="VF34">
        <v>105</v>
      </c>
      <c r="VG34">
        <v>710</v>
      </c>
      <c r="VH34">
        <v>710</v>
      </c>
      <c r="VI34">
        <v>79</v>
      </c>
      <c r="VJ34">
        <v>79</v>
      </c>
      <c r="VK34">
        <v>105</v>
      </c>
      <c r="VL34">
        <v>178</v>
      </c>
      <c r="VM34">
        <v>186</v>
      </c>
      <c r="VN34">
        <v>178</v>
      </c>
      <c r="VO34">
        <v>685</v>
      </c>
    </row>
    <row r="35" spans="1:587" x14ac:dyDescent="0.3">
      <c r="A35" t="s">
        <v>3030</v>
      </c>
      <c r="B35" cm="1">
        <f t="array" ref="B35:VO35">1*TRANSPOSE(_xlfn._xlws.FILTER(branch!$I$2:$I$591,branch!$D$2:$D$591&lt;&gt;0))</f>
        <v>99</v>
      </c>
      <c r="C35">
        <v>99</v>
      </c>
      <c r="D35">
        <v>178</v>
      </c>
      <c r="E35">
        <v>145</v>
      </c>
      <c r="F35">
        <v>536</v>
      </c>
      <c r="G35">
        <v>393</v>
      </c>
      <c r="H35">
        <v>393</v>
      </c>
      <c r="I35">
        <v>593</v>
      </c>
      <c r="J35">
        <v>434</v>
      </c>
      <c r="K35">
        <v>99</v>
      </c>
      <c r="L35">
        <v>140</v>
      </c>
      <c r="M35">
        <v>103</v>
      </c>
      <c r="N35">
        <v>109</v>
      </c>
      <c r="O35">
        <v>105</v>
      </c>
      <c r="P35">
        <v>99</v>
      </c>
      <c r="Q35">
        <v>187</v>
      </c>
      <c r="R35">
        <v>187</v>
      </c>
      <c r="S35">
        <v>187</v>
      </c>
      <c r="T35">
        <v>104</v>
      </c>
      <c r="U35">
        <v>112</v>
      </c>
      <c r="V35">
        <v>105</v>
      </c>
      <c r="W35">
        <v>82</v>
      </c>
      <c r="X35">
        <v>82</v>
      </c>
      <c r="Y35">
        <v>105</v>
      </c>
      <c r="Z35">
        <v>105</v>
      </c>
      <c r="AA35">
        <v>99</v>
      </c>
      <c r="AB35">
        <v>178</v>
      </c>
      <c r="AC35">
        <v>434</v>
      </c>
      <c r="AD35">
        <v>434</v>
      </c>
      <c r="AE35">
        <v>34</v>
      </c>
      <c r="AF35">
        <v>120</v>
      </c>
      <c r="AG35">
        <v>120</v>
      </c>
      <c r="AH35">
        <v>104</v>
      </c>
      <c r="AI35">
        <v>178</v>
      </c>
      <c r="AJ35">
        <v>178</v>
      </c>
      <c r="AK35">
        <v>178</v>
      </c>
      <c r="AL35">
        <v>178</v>
      </c>
      <c r="AM35">
        <v>120</v>
      </c>
      <c r="AN35">
        <v>178</v>
      </c>
      <c r="AO35">
        <v>99</v>
      </c>
      <c r="AP35">
        <v>178</v>
      </c>
      <c r="AQ35">
        <v>140</v>
      </c>
      <c r="AR35">
        <v>140</v>
      </c>
      <c r="AS35">
        <v>99</v>
      </c>
      <c r="AT35">
        <v>105</v>
      </c>
      <c r="AU35">
        <v>99</v>
      </c>
      <c r="AV35">
        <v>96</v>
      </c>
      <c r="AW35">
        <v>96</v>
      </c>
      <c r="AX35">
        <v>178</v>
      </c>
      <c r="AY35">
        <v>178</v>
      </c>
      <c r="AZ35">
        <v>120</v>
      </c>
      <c r="BA35">
        <v>120</v>
      </c>
      <c r="BB35">
        <v>178</v>
      </c>
      <c r="BC35">
        <v>178</v>
      </c>
      <c r="BD35">
        <v>178</v>
      </c>
      <c r="BE35">
        <v>105</v>
      </c>
      <c r="BF35">
        <v>99</v>
      </c>
      <c r="BG35">
        <v>99</v>
      </c>
      <c r="BH35">
        <v>99</v>
      </c>
      <c r="BI35">
        <v>82</v>
      </c>
      <c r="BJ35">
        <v>82</v>
      </c>
      <c r="BK35">
        <v>136</v>
      </c>
      <c r="BL35">
        <v>140</v>
      </c>
      <c r="BM35">
        <v>130</v>
      </c>
      <c r="BN35">
        <v>99</v>
      </c>
      <c r="BO35">
        <v>122</v>
      </c>
      <c r="BP35">
        <v>196</v>
      </c>
      <c r="BQ35">
        <v>178</v>
      </c>
      <c r="BR35">
        <v>136</v>
      </c>
      <c r="BS35">
        <v>178</v>
      </c>
      <c r="BT35">
        <v>124</v>
      </c>
      <c r="BU35">
        <v>178</v>
      </c>
      <c r="BV35">
        <v>178</v>
      </c>
      <c r="BW35">
        <v>178</v>
      </c>
      <c r="BX35">
        <v>99</v>
      </c>
      <c r="BY35">
        <v>136</v>
      </c>
      <c r="BZ35">
        <v>195</v>
      </c>
      <c r="CA35">
        <v>178</v>
      </c>
      <c r="CB35">
        <v>178</v>
      </c>
      <c r="CC35">
        <v>192</v>
      </c>
      <c r="CD35">
        <v>187</v>
      </c>
      <c r="CE35">
        <v>120</v>
      </c>
      <c r="CF35">
        <v>187</v>
      </c>
      <c r="CG35">
        <v>187</v>
      </c>
      <c r="CH35">
        <v>187</v>
      </c>
      <c r="CI35">
        <v>119</v>
      </c>
      <c r="CJ35">
        <v>119</v>
      </c>
      <c r="CK35">
        <v>570</v>
      </c>
      <c r="CL35">
        <v>570</v>
      </c>
      <c r="CM35">
        <v>140</v>
      </c>
      <c r="CN35">
        <v>140</v>
      </c>
      <c r="CO35">
        <v>842</v>
      </c>
      <c r="CP35">
        <v>105</v>
      </c>
      <c r="CQ35">
        <v>109</v>
      </c>
      <c r="CR35">
        <v>109</v>
      </c>
      <c r="CS35">
        <v>82</v>
      </c>
      <c r="CT35">
        <v>82</v>
      </c>
      <c r="CU35">
        <v>75</v>
      </c>
      <c r="CV35">
        <v>75</v>
      </c>
      <c r="CW35">
        <v>178</v>
      </c>
      <c r="CX35">
        <v>178</v>
      </c>
      <c r="CY35">
        <v>178</v>
      </c>
      <c r="CZ35">
        <v>178</v>
      </c>
      <c r="DA35">
        <v>82</v>
      </c>
      <c r="DB35">
        <v>82</v>
      </c>
      <c r="DC35">
        <v>710</v>
      </c>
      <c r="DD35">
        <v>69</v>
      </c>
      <c r="DE35">
        <v>70</v>
      </c>
      <c r="DF35">
        <v>710</v>
      </c>
      <c r="DG35">
        <v>710</v>
      </c>
      <c r="DH35">
        <v>710</v>
      </c>
      <c r="DI35">
        <v>144</v>
      </c>
      <c r="DJ35">
        <v>63</v>
      </c>
      <c r="DK35">
        <v>99</v>
      </c>
      <c r="DL35">
        <v>570</v>
      </c>
      <c r="DM35">
        <v>570</v>
      </c>
      <c r="DN35">
        <v>178</v>
      </c>
      <c r="DO35">
        <v>200</v>
      </c>
      <c r="DP35">
        <v>109</v>
      </c>
      <c r="DQ35">
        <v>109</v>
      </c>
      <c r="DR35">
        <v>79</v>
      </c>
      <c r="DS35">
        <v>79</v>
      </c>
      <c r="DT35">
        <v>434</v>
      </c>
      <c r="DU35">
        <v>740</v>
      </c>
      <c r="DV35">
        <v>228</v>
      </c>
      <c r="DW35">
        <v>115</v>
      </c>
      <c r="DX35">
        <v>195</v>
      </c>
      <c r="DY35">
        <v>124</v>
      </c>
      <c r="DZ35">
        <v>80</v>
      </c>
      <c r="EA35">
        <v>120</v>
      </c>
      <c r="EB35">
        <v>105</v>
      </c>
      <c r="EC35">
        <v>178</v>
      </c>
      <c r="ED35">
        <v>178</v>
      </c>
      <c r="EE35">
        <v>178</v>
      </c>
      <c r="EF35">
        <v>69</v>
      </c>
      <c r="EG35">
        <v>70</v>
      </c>
      <c r="EH35">
        <v>69</v>
      </c>
      <c r="EI35">
        <v>69</v>
      </c>
      <c r="EJ35">
        <v>132</v>
      </c>
      <c r="EK35">
        <v>132</v>
      </c>
      <c r="EL35">
        <v>710</v>
      </c>
      <c r="EM35">
        <v>710</v>
      </c>
      <c r="EN35">
        <v>66</v>
      </c>
      <c r="EO35">
        <v>66</v>
      </c>
      <c r="EP35">
        <v>710</v>
      </c>
      <c r="EQ35">
        <v>109</v>
      </c>
      <c r="ER35">
        <v>109</v>
      </c>
      <c r="ES35">
        <v>82</v>
      </c>
      <c r="ET35">
        <v>82</v>
      </c>
      <c r="EU35">
        <v>144</v>
      </c>
      <c r="EV35">
        <v>144</v>
      </c>
      <c r="EW35">
        <v>710</v>
      </c>
      <c r="EX35">
        <v>178</v>
      </c>
      <c r="EY35">
        <v>124</v>
      </c>
      <c r="EZ35">
        <v>99</v>
      </c>
      <c r="FA35">
        <v>99</v>
      </c>
      <c r="FB35">
        <v>99</v>
      </c>
      <c r="FC35">
        <v>761</v>
      </c>
      <c r="FD35">
        <v>187</v>
      </c>
      <c r="FE35">
        <v>761</v>
      </c>
      <c r="FF35">
        <v>761</v>
      </c>
      <c r="FG35">
        <v>761</v>
      </c>
      <c r="FH35">
        <v>178</v>
      </c>
      <c r="FI35">
        <v>178</v>
      </c>
      <c r="FJ35">
        <v>115</v>
      </c>
      <c r="FK35">
        <v>434</v>
      </c>
      <c r="FL35">
        <v>434</v>
      </c>
      <c r="FM35">
        <v>555</v>
      </c>
      <c r="FN35">
        <v>123</v>
      </c>
      <c r="FO35">
        <v>178</v>
      </c>
      <c r="FP35">
        <v>130</v>
      </c>
      <c r="FQ35">
        <v>178</v>
      </c>
      <c r="FR35">
        <v>103</v>
      </c>
      <c r="FS35">
        <v>238</v>
      </c>
      <c r="FT35">
        <v>434</v>
      </c>
      <c r="FU35">
        <v>178</v>
      </c>
      <c r="FV35">
        <v>132</v>
      </c>
      <c r="FW35">
        <v>178</v>
      </c>
      <c r="FX35">
        <v>144</v>
      </c>
      <c r="FY35">
        <v>144</v>
      </c>
      <c r="FZ35">
        <v>140</v>
      </c>
      <c r="GA35">
        <v>140</v>
      </c>
      <c r="GB35">
        <v>136</v>
      </c>
      <c r="GC35">
        <v>178</v>
      </c>
      <c r="GD35">
        <v>178</v>
      </c>
      <c r="GE35">
        <v>178</v>
      </c>
      <c r="GF35">
        <v>196</v>
      </c>
      <c r="GG35">
        <v>178</v>
      </c>
      <c r="GH35">
        <v>178</v>
      </c>
      <c r="GI35">
        <v>178</v>
      </c>
      <c r="GJ35">
        <v>130</v>
      </c>
      <c r="GK35">
        <v>99</v>
      </c>
      <c r="GL35">
        <v>136</v>
      </c>
      <c r="GM35">
        <v>178</v>
      </c>
      <c r="GN35">
        <v>105</v>
      </c>
      <c r="GO35">
        <v>187</v>
      </c>
      <c r="GP35">
        <v>187</v>
      </c>
      <c r="GQ35">
        <v>187</v>
      </c>
      <c r="GR35">
        <v>105</v>
      </c>
      <c r="GS35">
        <v>130</v>
      </c>
      <c r="GT35">
        <v>434</v>
      </c>
      <c r="GU35">
        <v>105</v>
      </c>
      <c r="GV35">
        <v>105</v>
      </c>
      <c r="GW35">
        <v>593</v>
      </c>
      <c r="GX35">
        <v>119</v>
      </c>
      <c r="GY35">
        <v>178</v>
      </c>
      <c r="GZ35">
        <v>120</v>
      </c>
      <c r="HA35">
        <v>178</v>
      </c>
      <c r="HB35">
        <v>178</v>
      </c>
      <c r="HC35">
        <v>178</v>
      </c>
      <c r="HD35">
        <v>646</v>
      </c>
      <c r="HE35">
        <v>161</v>
      </c>
      <c r="HF35">
        <v>161</v>
      </c>
      <c r="HG35">
        <v>434</v>
      </c>
      <c r="HH35">
        <v>434</v>
      </c>
      <c r="HI35">
        <v>187</v>
      </c>
      <c r="HJ35">
        <v>124</v>
      </c>
      <c r="HK35">
        <v>99</v>
      </c>
      <c r="HL35">
        <v>105</v>
      </c>
      <c r="HM35">
        <v>63</v>
      </c>
      <c r="HN35">
        <v>178</v>
      </c>
      <c r="HO35">
        <v>187</v>
      </c>
      <c r="HP35">
        <v>136</v>
      </c>
      <c r="HQ35">
        <v>187</v>
      </c>
      <c r="HR35">
        <v>187</v>
      </c>
      <c r="HS35">
        <v>99</v>
      </c>
      <c r="HT35">
        <v>99</v>
      </c>
      <c r="HU35">
        <v>105</v>
      </c>
      <c r="HV35">
        <v>178</v>
      </c>
      <c r="HW35">
        <v>178</v>
      </c>
      <c r="HX35">
        <v>1577</v>
      </c>
      <c r="HY35">
        <v>1577</v>
      </c>
      <c r="HZ35">
        <v>143</v>
      </c>
      <c r="IA35">
        <v>104</v>
      </c>
      <c r="IB35">
        <v>82</v>
      </c>
      <c r="IC35">
        <v>82</v>
      </c>
      <c r="ID35">
        <v>82</v>
      </c>
      <c r="IE35">
        <v>82</v>
      </c>
      <c r="IF35">
        <v>186</v>
      </c>
      <c r="IG35">
        <v>124</v>
      </c>
      <c r="IH35">
        <v>136</v>
      </c>
      <c r="II35">
        <v>99</v>
      </c>
      <c r="IJ35">
        <v>178</v>
      </c>
      <c r="IK35">
        <v>178</v>
      </c>
      <c r="IL35">
        <v>99</v>
      </c>
      <c r="IM35">
        <v>99</v>
      </c>
      <c r="IN35">
        <v>105</v>
      </c>
      <c r="IO35">
        <v>105</v>
      </c>
      <c r="IP35">
        <v>99</v>
      </c>
      <c r="IQ35">
        <v>99</v>
      </c>
      <c r="IR35">
        <v>100</v>
      </c>
      <c r="IS35">
        <v>100</v>
      </c>
      <c r="IT35">
        <v>200</v>
      </c>
      <c r="IU35">
        <v>143</v>
      </c>
      <c r="IV35">
        <v>82</v>
      </c>
      <c r="IW35">
        <v>82</v>
      </c>
      <c r="IX35">
        <v>82</v>
      </c>
      <c r="IY35">
        <v>412</v>
      </c>
      <c r="IZ35">
        <v>412</v>
      </c>
      <c r="JA35">
        <v>82</v>
      </c>
      <c r="JB35">
        <v>82</v>
      </c>
      <c r="JC35">
        <v>109</v>
      </c>
      <c r="JD35">
        <v>178</v>
      </c>
      <c r="JE35">
        <v>99</v>
      </c>
      <c r="JF35">
        <v>82</v>
      </c>
      <c r="JG35">
        <v>109</v>
      </c>
      <c r="JH35">
        <v>140</v>
      </c>
      <c r="JI35">
        <v>140</v>
      </c>
      <c r="JJ35">
        <v>196</v>
      </c>
      <c r="JK35">
        <v>178</v>
      </c>
      <c r="JL35">
        <v>178</v>
      </c>
      <c r="JM35">
        <v>99</v>
      </c>
      <c r="JN35">
        <v>178</v>
      </c>
      <c r="JO35">
        <v>350</v>
      </c>
      <c r="JP35">
        <v>99</v>
      </c>
      <c r="JQ35">
        <v>99</v>
      </c>
      <c r="JR35">
        <v>99</v>
      </c>
      <c r="JS35">
        <v>392</v>
      </c>
      <c r="JT35">
        <v>97</v>
      </c>
      <c r="JU35">
        <v>99</v>
      </c>
      <c r="JV35">
        <v>761</v>
      </c>
      <c r="JW35">
        <v>178</v>
      </c>
      <c r="JX35">
        <v>124</v>
      </c>
      <c r="JY35">
        <v>103</v>
      </c>
      <c r="JZ35">
        <v>178</v>
      </c>
      <c r="KA35">
        <v>746</v>
      </c>
      <c r="KB35">
        <v>646</v>
      </c>
      <c r="KC35">
        <v>178</v>
      </c>
      <c r="KD35">
        <v>178</v>
      </c>
      <c r="KE35">
        <v>178</v>
      </c>
      <c r="KF35">
        <v>178</v>
      </c>
      <c r="KG35">
        <v>190</v>
      </c>
      <c r="KH35">
        <v>105</v>
      </c>
      <c r="KI35">
        <v>136</v>
      </c>
      <c r="KJ35">
        <v>134</v>
      </c>
      <c r="KK35">
        <v>136</v>
      </c>
      <c r="KL35">
        <v>136</v>
      </c>
      <c r="KM35">
        <v>99</v>
      </c>
      <c r="KN35">
        <v>105</v>
      </c>
      <c r="KO35">
        <v>99</v>
      </c>
      <c r="KP35">
        <v>105</v>
      </c>
      <c r="KQ35">
        <v>99</v>
      </c>
      <c r="KR35">
        <v>99</v>
      </c>
      <c r="KS35">
        <v>99</v>
      </c>
      <c r="KT35">
        <v>74</v>
      </c>
      <c r="KU35">
        <v>74</v>
      </c>
      <c r="KV35">
        <v>99</v>
      </c>
      <c r="KW35">
        <v>178</v>
      </c>
      <c r="KX35">
        <v>178</v>
      </c>
      <c r="KY35">
        <v>99</v>
      </c>
      <c r="KZ35">
        <v>104</v>
      </c>
      <c r="LA35">
        <v>178</v>
      </c>
      <c r="LB35">
        <v>178</v>
      </c>
      <c r="LC35">
        <v>211</v>
      </c>
      <c r="LD35">
        <v>196</v>
      </c>
      <c r="LE35">
        <v>69</v>
      </c>
      <c r="LF35">
        <v>69</v>
      </c>
      <c r="LG35">
        <v>144</v>
      </c>
      <c r="LH35">
        <v>144</v>
      </c>
      <c r="LI35">
        <v>103</v>
      </c>
      <c r="LJ35">
        <v>99</v>
      </c>
      <c r="LK35">
        <v>99</v>
      </c>
      <c r="LL35">
        <v>82</v>
      </c>
      <c r="LM35">
        <v>82</v>
      </c>
      <c r="LN35">
        <v>82</v>
      </c>
      <c r="LO35">
        <v>82</v>
      </c>
      <c r="LP35">
        <v>82</v>
      </c>
      <c r="LQ35">
        <v>99</v>
      </c>
      <c r="LR35">
        <v>79</v>
      </c>
      <c r="LS35">
        <v>79</v>
      </c>
      <c r="LT35">
        <v>108</v>
      </c>
      <c r="LU35">
        <v>109</v>
      </c>
      <c r="LV35">
        <v>109</v>
      </c>
      <c r="LW35">
        <v>99</v>
      </c>
      <c r="LX35">
        <v>99</v>
      </c>
      <c r="LY35">
        <v>99</v>
      </c>
      <c r="LZ35">
        <v>178</v>
      </c>
      <c r="MA35">
        <v>393</v>
      </c>
      <c r="MB35">
        <v>350</v>
      </c>
      <c r="MC35">
        <v>350</v>
      </c>
      <c r="MD35">
        <v>434</v>
      </c>
      <c r="ME35">
        <v>1283</v>
      </c>
      <c r="MF35">
        <v>351</v>
      </c>
      <c r="MG35">
        <v>140</v>
      </c>
      <c r="MH35">
        <v>140</v>
      </c>
      <c r="MI35">
        <v>140</v>
      </c>
      <c r="MJ35">
        <v>186</v>
      </c>
      <c r="MK35">
        <v>157</v>
      </c>
      <c r="ML35">
        <v>144</v>
      </c>
      <c r="MM35">
        <v>186</v>
      </c>
      <c r="MN35">
        <v>195</v>
      </c>
      <c r="MO35">
        <v>105</v>
      </c>
      <c r="MP35">
        <v>119</v>
      </c>
      <c r="MQ35">
        <v>593</v>
      </c>
      <c r="MR35">
        <v>119</v>
      </c>
      <c r="MS35">
        <v>332</v>
      </c>
      <c r="MT35">
        <v>120</v>
      </c>
      <c r="MU35">
        <v>80</v>
      </c>
      <c r="MV35">
        <v>536</v>
      </c>
      <c r="MW35">
        <v>105</v>
      </c>
      <c r="MX35">
        <v>144</v>
      </c>
      <c r="MY35">
        <v>144</v>
      </c>
      <c r="MZ35">
        <v>105</v>
      </c>
      <c r="NA35">
        <v>384</v>
      </c>
      <c r="NB35">
        <v>99</v>
      </c>
      <c r="NC35">
        <v>99</v>
      </c>
      <c r="ND35">
        <v>434</v>
      </c>
      <c r="NE35">
        <v>98</v>
      </c>
      <c r="NF35">
        <v>107</v>
      </c>
      <c r="NG35">
        <v>140</v>
      </c>
      <c r="NH35">
        <v>107</v>
      </c>
      <c r="NI35">
        <v>140</v>
      </c>
      <c r="NJ35">
        <v>99</v>
      </c>
      <c r="NK35">
        <v>99</v>
      </c>
      <c r="NL35">
        <v>178</v>
      </c>
      <c r="NM35">
        <v>103</v>
      </c>
      <c r="NN35">
        <v>103</v>
      </c>
      <c r="NO35">
        <v>103</v>
      </c>
      <c r="NP35">
        <v>120</v>
      </c>
      <c r="NQ35">
        <v>120</v>
      </c>
      <c r="NR35">
        <v>570</v>
      </c>
      <c r="NS35">
        <v>99</v>
      </c>
      <c r="NT35">
        <v>393</v>
      </c>
      <c r="NU35">
        <v>434</v>
      </c>
      <c r="NV35">
        <v>593</v>
      </c>
      <c r="NW35">
        <v>178</v>
      </c>
      <c r="NX35">
        <v>178</v>
      </c>
      <c r="NY35">
        <v>178</v>
      </c>
      <c r="NZ35">
        <v>178</v>
      </c>
      <c r="OA35">
        <v>136</v>
      </c>
      <c r="OB35">
        <v>122</v>
      </c>
      <c r="OC35">
        <v>82</v>
      </c>
      <c r="OD35">
        <v>82</v>
      </c>
      <c r="OE35">
        <v>105</v>
      </c>
      <c r="OF35">
        <v>434</v>
      </c>
      <c r="OG35">
        <v>350</v>
      </c>
      <c r="OH35">
        <v>99</v>
      </c>
      <c r="OI35">
        <v>99</v>
      </c>
      <c r="OJ35">
        <v>99</v>
      </c>
      <c r="OK35">
        <v>99</v>
      </c>
      <c r="OL35">
        <v>99</v>
      </c>
      <c r="OM35">
        <v>99</v>
      </c>
      <c r="ON35">
        <v>200</v>
      </c>
      <c r="OO35">
        <v>200</v>
      </c>
      <c r="OP35">
        <v>119</v>
      </c>
      <c r="OQ35">
        <v>105</v>
      </c>
      <c r="OR35">
        <v>105</v>
      </c>
      <c r="OS35">
        <v>195</v>
      </c>
      <c r="OT35">
        <v>710</v>
      </c>
      <c r="OU35">
        <v>82</v>
      </c>
      <c r="OV35">
        <v>80</v>
      </c>
      <c r="OW35">
        <v>107</v>
      </c>
      <c r="OX35">
        <v>140</v>
      </c>
      <c r="OY35">
        <v>136</v>
      </c>
      <c r="OZ35">
        <v>136</v>
      </c>
      <c r="PA35">
        <v>104</v>
      </c>
      <c r="PB35">
        <v>196</v>
      </c>
      <c r="PC35">
        <v>80</v>
      </c>
      <c r="PD35">
        <v>562</v>
      </c>
      <c r="PE35">
        <v>120</v>
      </c>
      <c r="PF35">
        <v>267</v>
      </c>
      <c r="PG35">
        <v>351</v>
      </c>
      <c r="PH35">
        <v>593</v>
      </c>
      <c r="PI35">
        <v>178</v>
      </c>
      <c r="PJ35">
        <v>99</v>
      </c>
      <c r="PK35">
        <v>134</v>
      </c>
      <c r="PL35">
        <v>103</v>
      </c>
      <c r="PM35">
        <v>103</v>
      </c>
      <c r="PN35">
        <v>710</v>
      </c>
      <c r="PO35">
        <v>710</v>
      </c>
      <c r="PP35">
        <v>710</v>
      </c>
      <c r="PQ35">
        <v>185</v>
      </c>
      <c r="PR35">
        <v>178</v>
      </c>
      <c r="PS35">
        <v>99</v>
      </c>
      <c r="PT35">
        <v>178</v>
      </c>
      <c r="PU35">
        <v>178</v>
      </c>
      <c r="PV35">
        <v>119</v>
      </c>
      <c r="PW35">
        <v>120</v>
      </c>
      <c r="PX35">
        <v>136</v>
      </c>
      <c r="PY35">
        <v>434</v>
      </c>
      <c r="PZ35">
        <v>512</v>
      </c>
      <c r="QA35">
        <v>99</v>
      </c>
      <c r="QB35">
        <v>80</v>
      </c>
      <c r="QC35">
        <v>269</v>
      </c>
      <c r="QD35">
        <v>178</v>
      </c>
      <c r="QE35">
        <v>140</v>
      </c>
      <c r="QF35">
        <v>136</v>
      </c>
      <c r="QG35">
        <v>731</v>
      </c>
      <c r="QH35">
        <v>731</v>
      </c>
      <c r="QI35">
        <v>660</v>
      </c>
      <c r="QJ35">
        <v>660</v>
      </c>
      <c r="QK35">
        <v>136</v>
      </c>
      <c r="QL35">
        <v>99</v>
      </c>
      <c r="QM35">
        <v>99</v>
      </c>
      <c r="QN35">
        <v>350</v>
      </c>
      <c r="QO35">
        <v>350</v>
      </c>
      <c r="QP35">
        <v>99</v>
      </c>
      <c r="QQ35">
        <v>178</v>
      </c>
      <c r="QR35">
        <v>99</v>
      </c>
      <c r="QS35">
        <v>109</v>
      </c>
      <c r="QT35">
        <v>143</v>
      </c>
      <c r="QU35">
        <v>434</v>
      </c>
      <c r="QV35">
        <v>178</v>
      </c>
      <c r="QW35">
        <v>99</v>
      </c>
      <c r="QX35">
        <v>140</v>
      </c>
      <c r="QY35">
        <v>190</v>
      </c>
      <c r="QZ35">
        <v>195</v>
      </c>
      <c r="RA35">
        <v>135</v>
      </c>
      <c r="RB35">
        <v>195</v>
      </c>
      <c r="RC35">
        <v>710</v>
      </c>
      <c r="RD35">
        <v>136</v>
      </c>
      <c r="RE35">
        <v>105</v>
      </c>
      <c r="RF35">
        <v>124</v>
      </c>
      <c r="RG35">
        <v>99</v>
      </c>
      <c r="RH35">
        <v>353</v>
      </c>
      <c r="RI35">
        <v>178</v>
      </c>
      <c r="RJ35">
        <v>99</v>
      </c>
      <c r="RK35">
        <v>136</v>
      </c>
      <c r="RL35">
        <v>99</v>
      </c>
      <c r="RM35">
        <v>187</v>
      </c>
      <c r="RN35">
        <v>99</v>
      </c>
      <c r="RO35">
        <v>761</v>
      </c>
      <c r="RP35">
        <v>761</v>
      </c>
      <c r="RQ35">
        <v>99</v>
      </c>
      <c r="RR35">
        <v>99</v>
      </c>
      <c r="RS35">
        <v>99</v>
      </c>
      <c r="RT35">
        <v>99</v>
      </c>
      <c r="RU35">
        <v>136</v>
      </c>
      <c r="RV35">
        <v>124</v>
      </c>
      <c r="RW35">
        <v>99</v>
      </c>
      <c r="RX35">
        <v>99</v>
      </c>
      <c r="RY35">
        <v>136</v>
      </c>
      <c r="RZ35">
        <v>105</v>
      </c>
      <c r="SA35">
        <v>136</v>
      </c>
      <c r="SB35">
        <v>100</v>
      </c>
      <c r="SC35">
        <v>99</v>
      </c>
      <c r="SD35">
        <v>178</v>
      </c>
      <c r="SE35">
        <v>99</v>
      </c>
      <c r="SF35">
        <v>99</v>
      </c>
      <c r="SG35">
        <v>99</v>
      </c>
      <c r="SH35">
        <v>99</v>
      </c>
      <c r="SI35">
        <v>82</v>
      </c>
      <c r="SJ35">
        <v>80</v>
      </c>
      <c r="SK35">
        <v>99</v>
      </c>
      <c r="SL35">
        <v>99</v>
      </c>
      <c r="SM35">
        <v>95</v>
      </c>
      <c r="SN35">
        <v>710</v>
      </c>
      <c r="SO35">
        <v>710</v>
      </c>
      <c r="SP35">
        <v>350</v>
      </c>
      <c r="SQ35">
        <v>120</v>
      </c>
      <c r="SR35">
        <v>104</v>
      </c>
      <c r="SS35">
        <v>710</v>
      </c>
      <c r="ST35">
        <v>710</v>
      </c>
      <c r="SU35">
        <v>99</v>
      </c>
      <c r="SV35">
        <v>99</v>
      </c>
      <c r="SW35">
        <v>80</v>
      </c>
      <c r="SX35">
        <v>178</v>
      </c>
      <c r="SY35">
        <v>269</v>
      </c>
      <c r="SZ35">
        <v>325</v>
      </c>
      <c r="TA35">
        <v>350</v>
      </c>
      <c r="TB35">
        <v>119</v>
      </c>
      <c r="TC35">
        <v>120</v>
      </c>
      <c r="TD35">
        <v>140</v>
      </c>
      <c r="TE35">
        <v>140</v>
      </c>
      <c r="TF35">
        <v>99</v>
      </c>
      <c r="TG35">
        <v>105</v>
      </c>
      <c r="TH35">
        <v>100</v>
      </c>
      <c r="TI35">
        <v>120</v>
      </c>
      <c r="TJ35">
        <v>139</v>
      </c>
      <c r="TK35">
        <v>135</v>
      </c>
      <c r="TL35">
        <v>190</v>
      </c>
      <c r="TM35">
        <v>99</v>
      </c>
      <c r="TN35">
        <v>99</v>
      </c>
      <c r="TO35">
        <v>1283</v>
      </c>
      <c r="TP35">
        <v>537</v>
      </c>
      <c r="TQ35">
        <v>178</v>
      </c>
      <c r="TR35">
        <v>178</v>
      </c>
      <c r="TS35">
        <v>178</v>
      </c>
      <c r="TT35">
        <v>105</v>
      </c>
      <c r="TU35">
        <v>105</v>
      </c>
      <c r="TV35">
        <v>136</v>
      </c>
      <c r="TW35">
        <v>105</v>
      </c>
      <c r="TX35">
        <v>82</v>
      </c>
      <c r="TY35">
        <v>82</v>
      </c>
      <c r="TZ35">
        <v>119</v>
      </c>
      <c r="UA35">
        <v>332</v>
      </c>
      <c r="UB35">
        <v>109</v>
      </c>
      <c r="UC35">
        <v>82</v>
      </c>
      <c r="UD35">
        <v>186</v>
      </c>
      <c r="UE35">
        <v>105</v>
      </c>
      <c r="UF35">
        <v>434</v>
      </c>
      <c r="UG35">
        <v>1577</v>
      </c>
      <c r="UH35">
        <v>105</v>
      </c>
      <c r="UI35">
        <v>105</v>
      </c>
      <c r="UJ35">
        <v>267</v>
      </c>
      <c r="UK35">
        <v>269</v>
      </c>
      <c r="UL35">
        <v>269</v>
      </c>
      <c r="UM35">
        <v>593</v>
      </c>
      <c r="UN35">
        <v>178</v>
      </c>
      <c r="UO35">
        <v>136</v>
      </c>
      <c r="UP35">
        <v>467</v>
      </c>
      <c r="UQ35">
        <v>63</v>
      </c>
      <c r="UR35">
        <v>195</v>
      </c>
      <c r="US35">
        <v>178</v>
      </c>
      <c r="UT35">
        <v>125</v>
      </c>
      <c r="UU35">
        <v>125</v>
      </c>
      <c r="UV35">
        <v>99</v>
      </c>
      <c r="UW35">
        <v>95</v>
      </c>
      <c r="UX35">
        <v>99</v>
      </c>
      <c r="UY35">
        <v>178</v>
      </c>
      <c r="UZ35">
        <v>178</v>
      </c>
      <c r="VA35">
        <v>105</v>
      </c>
      <c r="VB35">
        <v>99</v>
      </c>
      <c r="VC35">
        <v>99</v>
      </c>
      <c r="VD35">
        <v>105</v>
      </c>
      <c r="VE35">
        <v>105</v>
      </c>
      <c r="VF35">
        <v>105</v>
      </c>
      <c r="VG35">
        <v>710</v>
      </c>
      <c r="VH35">
        <v>710</v>
      </c>
      <c r="VI35">
        <v>79</v>
      </c>
      <c r="VJ35">
        <v>79</v>
      </c>
      <c r="VK35">
        <v>105</v>
      </c>
      <c r="VL35">
        <v>178</v>
      </c>
      <c r="VM35">
        <v>186</v>
      </c>
      <c r="VN35">
        <v>178</v>
      </c>
      <c r="VO35">
        <v>685</v>
      </c>
    </row>
    <row r="36" spans="1:587" x14ac:dyDescent="0.3">
      <c r="A36" t="s">
        <v>3031</v>
      </c>
      <c r="B36" cm="1">
        <f t="array" ref="B36:VO36">1*TRANSPOSE(_xlfn._xlws.FILTER(branch!$I$2:$I$591,branch!$D$2:$D$591&lt;&gt;0))</f>
        <v>99</v>
      </c>
      <c r="C36">
        <v>99</v>
      </c>
      <c r="D36">
        <v>178</v>
      </c>
      <c r="E36">
        <v>145</v>
      </c>
      <c r="F36">
        <v>536</v>
      </c>
      <c r="G36">
        <v>393</v>
      </c>
      <c r="H36">
        <v>393</v>
      </c>
      <c r="I36">
        <v>593</v>
      </c>
      <c r="J36">
        <v>434</v>
      </c>
      <c r="K36">
        <v>99</v>
      </c>
      <c r="L36">
        <v>140</v>
      </c>
      <c r="M36">
        <v>103</v>
      </c>
      <c r="N36">
        <v>109</v>
      </c>
      <c r="O36">
        <v>105</v>
      </c>
      <c r="P36">
        <v>99</v>
      </c>
      <c r="Q36">
        <v>187</v>
      </c>
      <c r="R36">
        <v>187</v>
      </c>
      <c r="S36">
        <v>187</v>
      </c>
      <c r="T36">
        <v>104</v>
      </c>
      <c r="U36">
        <v>112</v>
      </c>
      <c r="V36">
        <v>105</v>
      </c>
      <c r="W36">
        <v>82</v>
      </c>
      <c r="X36">
        <v>82</v>
      </c>
      <c r="Y36">
        <v>105</v>
      </c>
      <c r="Z36">
        <v>105</v>
      </c>
      <c r="AA36">
        <v>99</v>
      </c>
      <c r="AB36">
        <v>178</v>
      </c>
      <c r="AC36">
        <v>434</v>
      </c>
      <c r="AD36">
        <v>434</v>
      </c>
      <c r="AE36">
        <v>34</v>
      </c>
      <c r="AF36">
        <v>120</v>
      </c>
      <c r="AG36">
        <v>120</v>
      </c>
      <c r="AH36">
        <v>104</v>
      </c>
      <c r="AI36">
        <v>178</v>
      </c>
      <c r="AJ36">
        <v>178</v>
      </c>
      <c r="AK36">
        <v>178</v>
      </c>
      <c r="AL36">
        <v>178</v>
      </c>
      <c r="AM36">
        <v>120</v>
      </c>
      <c r="AN36">
        <v>178</v>
      </c>
      <c r="AO36">
        <v>99</v>
      </c>
      <c r="AP36">
        <v>178</v>
      </c>
      <c r="AQ36">
        <v>140</v>
      </c>
      <c r="AR36">
        <v>140</v>
      </c>
      <c r="AS36">
        <v>99</v>
      </c>
      <c r="AT36">
        <v>105</v>
      </c>
      <c r="AU36">
        <v>99</v>
      </c>
      <c r="AV36">
        <v>96</v>
      </c>
      <c r="AW36">
        <v>96</v>
      </c>
      <c r="AX36">
        <v>178</v>
      </c>
      <c r="AY36">
        <v>178</v>
      </c>
      <c r="AZ36">
        <v>120</v>
      </c>
      <c r="BA36">
        <v>120</v>
      </c>
      <c r="BB36">
        <v>178</v>
      </c>
      <c r="BC36">
        <v>178</v>
      </c>
      <c r="BD36">
        <v>178</v>
      </c>
      <c r="BE36">
        <v>105</v>
      </c>
      <c r="BF36">
        <v>99</v>
      </c>
      <c r="BG36">
        <v>99</v>
      </c>
      <c r="BH36">
        <v>99</v>
      </c>
      <c r="BI36">
        <v>82</v>
      </c>
      <c r="BJ36">
        <v>82</v>
      </c>
      <c r="BK36">
        <v>136</v>
      </c>
      <c r="BL36">
        <v>140</v>
      </c>
      <c r="BM36">
        <v>130</v>
      </c>
      <c r="BN36">
        <v>99</v>
      </c>
      <c r="BO36">
        <v>122</v>
      </c>
      <c r="BP36">
        <v>196</v>
      </c>
      <c r="BQ36">
        <v>178</v>
      </c>
      <c r="BR36">
        <v>136</v>
      </c>
      <c r="BS36">
        <v>178</v>
      </c>
      <c r="BT36">
        <v>124</v>
      </c>
      <c r="BU36">
        <v>178</v>
      </c>
      <c r="BV36">
        <v>178</v>
      </c>
      <c r="BW36">
        <v>178</v>
      </c>
      <c r="BX36">
        <v>99</v>
      </c>
      <c r="BY36">
        <v>136</v>
      </c>
      <c r="BZ36">
        <v>195</v>
      </c>
      <c r="CA36">
        <v>178</v>
      </c>
      <c r="CB36">
        <v>178</v>
      </c>
      <c r="CC36">
        <v>192</v>
      </c>
      <c r="CD36">
        <v>187</v>
      </c>
      <c r="CE36">
        <v>120</v>
      </c>
      <c r="CF36">
        <v>187</v>
      </c>
      <c r="CG36">
        <v>187</v>
      </c>
      <c r="CH36">
        <v>187</v>
      </c>
      <c r="CI36">
        <v>119</v>
      </c>
      <c r="CJ36">
        <v>119</v>
      </c>
      <c r="CK36">
        <v>570</v>
      </c>
      <c r="CL36">
        <v>570</v>
      </c>
      <c r="CM36">
        <v>140</v>
      </c>
      <c r="CN36">
        <v>140</v>
      </c>
      <c r="CO36">
        <v>842</v>
      </c>
      <c r="CP36">
        <v>105</v>
      </c>
      <c r="CQ36">
        <v>109</v>
      </c>
      <c r="CR36">
        <v>109</v>
      </c>
      <c r="CS36">
        <v>82</v>
      </c>
      <c r="CT36">
        <v>82</v>
      </c>
      <c r="CU36">
        <v>75</v>
      </c>
      <c r="CV36">
        <v>75</v>
      </c>
      <c r="CW36">
        <v>178</v>
      </c>
      <c r="CX36">
        <v>178</v>
      </c>
      <c r="CY36">
        <v>178</v>
      </c>
      <c r="CZ36">
        <v>178</v>
      </c>
      <c r="DA36">
        <v>82</v>
      </c>
      <c r="DB36">
        <v>82</v>
      </c>
      <c r="DC36">
        <v>710</v>
      </c>
      <c r="DD36">
        <v>69</v>
      </c>
      <c r="DE36">
        <v>70</v>
      </c>
      <c r="DF36">
        <v>710</v>
      </c>
      <c r="DG36">
        <v>710</v>
      </c>
      <c r="DH36">
        <v>710</v>
      </c>
      <c r="DI36">
        <v>144</v>
      </c>
      <c r="DJ36">
        <v>63</v>
      </c>
      <c r="DK36">
        <v>99</v>
      </c>
      <c r="DL36">
        <v>570</v>
      </c>
      <c r="DM36">
        <v>570</v>
      </c>
      <c r="DN36">
        <v>178</v>
      </c>
      <c r="DO36">
        <v>200</v>
      </c>
      <c r="DP36">
        <v>109</v>
      </c>
      <c r="DQ36">
        <v>109</v>
      </c>
      <c r="DR36">
        <v>79</v>
      </c>
      <c r="DS36">
        <v>79</v>
      </c>
      <c r="DT36">
        <v>434</v>
      </c>
      <c r="DU36">
        <v>740</v>
      </c>
      <c r="DV36">
        <v>228</v>
      </c>
      <c r="DW36">
        <v>115</v>
      </c>
      <c r="DX36">
        <v>195</v>
      </c>
      <c r="DY36">
        <v>124</v>
      </c>
      <c r="DZ36">
        <v>80</v>
      </c>
      <c r="EA36">
        <v>120</v>
      </c>
      <c r="EB36">
        <v>105</v>
      </c>
      <c r="EC36">
        <v>178</v>
      </c>
      <c r="ED36">
        <v>178</v>
      </c>
      <c r="EE36">
        <v>178</v>
      </c>
      <c r="EF36">
        <v>69</v>
      </c>
      <c r="EG36">
        <v>70</v>
      </c>
      <c r="EH36">
        <v>69</v>
      </c>
      <c r="EI36">
        <v>69</v>
      </c>
      <c r="EJ36">
        <v>132</v>
      </c>
      <c r="EK36">
        <v>132</v>
      </c>
      <c r="EL36">
        <v>710</v>
      </c>
      <c r="EM36">
        <v>710</v>
      </c>
      <c r="EN36">
        <v>66</v>
      </c>
      <c r="EO36">
        <v>66</v>
      </c>
      <c r="EP36">
        <v>710</v>
      </c>
      <c r="EQ36">
        <v>109</v>
      </c>
      <c r="ER36">
        <v>109</v>
      </c>
      <c r="ES36">
        <v>82</v>
      </c>
      <c r="ET36">
        <v>82</v>
      </c>
      <c r="EU36">
        <v>144</v>
      </c>
      <c r="EV36">
        <v>144</v>
      </c>
      <c r="EW36">
        <v>710</v>
      </c>
      <c r="EX36">
        <v>178</v>
      </c>
      <c r="EY36">
        <v>124</v>
      </c>
      <c r="EZ36">
        <v>99</v>
      </c>
      <c r="FA36">
        <v>99</v>
      </c>
      <c r="FB36">
        <v>99</v>
      </c>
      <c r="FC36">
        <v>761</v>
      </c>
      <c r="FD36">
        <v>187</v>
      </c>
      <c r="FE36">
        <v>761</v>
      </c>
      <c r="FF36">
        <v>761</v>
      </c>
      <c r="FG36">
        <v>761</v>
      </c>
      <c r="FH36">
        <v>178</v>
      </c>
      <c r="FI36">
        <v>178</v>
      </c>
      <c r="FJ36">
        <v>115</v>
      </c>
      <c r="FK36">
        <v>434</v>
      </c>
      <c r="FL36">
        <v>434</v>
      </c>
      <c r="FM36">
        <v>555</v>
      </c>
      <c r="FN36">
        <v>123</v>
      </c>
      <c r="FO36">
        <v>178</v>
      </c>
      <c r="FP36">
        <v>130</v>
      </c>
      <c r="FQ36">
        <v>178</v>
      </c>
      <c r="FR36">
        <v>103</v>
      </c>
      <c r="FS36">
        <v>238</v>
      </c>
      <c r="FT36">
        <v>434</v>
      </c>
      <c r="FU36">
        <v>178</v>
      </c>
      <c r="FV36">
        <v>132</v>
      </c>
      <c r="FW36">
        <v>178</v>
      </c>
      <c r="FX36">
        <v>144</v>
      </c>
      <c r="FY36">
        <v>144</v>
      </c>
      <c r="FZ36">
        <v>140</v>
      </c>
      <c r="GA36">
        <v>140</v>
      </c>
      <c r="GB36">
        <v>136</v>
      </c>
      <c r="GC36">
        <v>178</v>
      </c>
      <c r="GD36">
        <v>178</v>
      </c>
      <c r="GE36">
        <v>178</v>
      </c>
      <c r="GF36">
        <v>196</v>
      </c>
      <c r="GG36">
        <v>178</v>
      </c>
      <c r="GH36">
        <v>178</v>
      </c>
      <c r="GI36">
        <v>178</v>
      </c>
      <c r="GJ36">
        <v>130</v>
      </c>
      <c r="GK36">
        <v>99</v>
      </c>
      <c r="GL36">
        <v>136</v>
      </c>
      <c r="GM36">
        <v>178</v>
      </c>
      <c r="GN36">
        <v>105</v>
      </c>
      <c r="GO36">
        <v>187</v>
      </c>
      <c r="GP36">
        <v>187</v>
      </c>
      <c r="GQ36">
        <v>187</v>
      </c>
      <c r="GR36">
        <v>105</v>
      </c>
      <c r="GS36">
        <v>130</v>
      </c>
      <c r="GT36">
        <v>434</v>
      </c>
      <c r="GU36">
        <v>105</v>
      </c>
      <c r="GV36">
        <v>105</v>
      </c>
      <c r="GW36">
        <v>593</v>
      </c>
      <c r="GX36">
        <v>119</v>
      </c>
      <c r="GY36">
        <v>178</v>
      </c>
      <c r="GZ36">
        <v>120</v>
      </c>
      <c r="HA36">
        <v>178</v>
      </c>
      <c r="HB36">
        <v>178</v>
      </c>
      <c r="HC36">
        <v>178</v>
      </c>
      <c r="HD36">
        <v>646</v>
      </c>
      <c r="HE36">
        <v>161</v>
      </c>
      <c r="HF36">
        <v>161</v>
      </c>
      <c r="HG36">
        <v>434</v>
      </c>
      <c r="HH36">
        <v>434</v>
      </c>
      <c r="HI36">
        <v>187</v>
      </c>
      <c r="HJ36">
        <v>124</v>
      </c>
      <c r="HK36">
        <v>99</v>
      </c>
      <c r="HL36">
        <v>105</v>
      </c>
      <c r="HM36">
        <v>63</v>
      </c>
      <c r="HN36">
        <v>178</v>
      </c>
      <c r="HO36">
        <v>187</v>
      </c>
      <c r="HP36">
        <v>136</v>
      </c>
      <c r="HQ36">
        <v>187</v>
      </c>
      <c r="HR36">
        <v>187</v>
      </c>
      <c r="HS36">
        <v>99</v>
      </c>
      <c r="HT36">
        <v>99</v>
      </c>
      <c r="HU36">
        <v>105</v>
      </c>
      <c r="HV36">
        <v>178</v>
      </c>
      <c r="HW36">
        <v>178</v>
      </c>
      <c r="HX36">
        <v>1577</v>
      </c>
      <c r="HY36">
        <v>1577</v>
      </c>
      <c r="HZ36">
        <v>143</v>
      </c>
      <c r="IA36">
        <v>104</v>
      </c>
      <c r="IB36">
        <v>82</v>
      </c>
      <c r="IC36">
        <v>82</v>
      </c>
      <c r="ID36">
        <v>82</v>
      </c>
      <c r="IE36">
        <v>82</v>
      </c>
      <c r="IF36">
        <v>186</v>
      </c>
      <c r="IG36">
        <v>124</v>
      </c>
      <c r="IH36">
        <v>136</v>
      </c>
      <c r="II36">
        <v>99</v>
      </c>
      <c r="IJ36">
        <v>178</v>
      </c>
      <c r="IK36">
        <v>178</v>
      </c>
      <c r="IL36">
        <v>99</v>
      </c>
      <c r="IM36">
        <v>99</v>
      </c>
      <c r="IN36">
        <v>105</v>
      </c>
      <c r="IO36">
        <v>105</v>
      </c>
      <c r="IP36">
        <v>99</v>
      </c>
      <c r="IQ36">
        <v>99</v>
      </c>
      <c r="IR36">
        <v>100</v>
      </c>
      <c r="IS36">
        <v>100</v>
      </c>
      <c r="IT36">
        <v>200</v>
      </c>
      <c r="IU36">
        <v>143</v>
      </c>
      <c r="IV36">
        <v>82</v>
      </c>
      <c r="IW36">
        <v>82</v>
      </c>
      <c r="IX36">
        <v>82</v>
      </c>
      <c r="IY36">
        <v>412</v>
      </c>
      <c r="IZ36">
        <v>412</v>
      </c>
      <c r="JA36">
        <v>82</v>
      </c>
      <c r="JB36">
        <v>82</v>
      </c>
      <c r="JC36">
        <v>109</v>
      </c>
      <c r="JD36">
        <v>178</v>
      </c>
      <c r="JE36">
        <v>99</v>
      </c>
      <c r="JF36">
        <v>82</v>
      </c>
      <c r="JG36">
        <v>109</v>
      </c>
      <c r="JH36">
        <v>140</v>
      </c>
      <c r="JI36">
        <v>140</v>
      </c>
      <c r="JJ36">
        <v>196</v>
      </c>
      <c r="JK36">
        <v>178</v>
      </c>
      <c r="JL36">
        <v>178</v>
      </c>
      <c r="JM36">
        <v>99</v>
      </c>
      <c r="JN36">
        <v>178</v>
      </c>
      <c r="JO36">
        <v>350</v>
      </c>
      <c r="JP36">
        <v>99</v>
      </c>
      <c r="JQ36">
        <v>99</v>
      </c>
      <c r="JR36">
        <v>99</v>
      </c>
      <c r="JS36">
        <v>392</v>
      </c>
      <c r="JT36">
        <v>97</v>
      </c>
      <c r="JU36">
        <v>99</v>
      </c>
      <c r="JV36">
        <v>761</v>
      </c>
      <c r="JW36">
        <v>178</v>
      </c>
      <c r="JX36">
        <v>124</v>
      </c>
      <c r="JY36">
        <v>103</v>
      </c>
      <c r="JZ36">
        <v>178</v>
      </c>
      <c r="KA36">
        <v>746</v>
      </c>
      <c r="KB36">
        <v>646</v>
      </c>
      <c r="KC36">
        <v>178</v>
      </c>
      <c r="KD36">
        <v>178</v>
      </c>
      <c r="KE36">
        <v>178</v>
      </c>
      <c r="KF36">
        <v>178</v>
      </c>
      <c r="KG36">
        <v>190</v>
      </c>
      <c r="KH36">
        <v>105</v>
      </c>
      <c r="KI36">
        <v>136</v>
      </c>
      <c r="KJ36">
        <v>134</v>
      </c>
      <c r="KK36">
        <v>136</v>
      </c>
      <c r="KL36">
        <v>136</v>
      </c>
      <c r="KM36">
        <v>99</v>
      </c>
      <c r="KN36">
        <v>105</v>
      </c>
      <c r="KO36">
        <v>99</v>
      </c>
      <c r="KP36">
        <v>105</v>
      </c>
      <c r="KQ36">
        <v>99</v>
      </c>
      <c r="KR36">
        <v>99</v>
      </c>
      <c r="KS36">
        <v>99</v>
      </c>
      <c r="KT36">
        <v>74</v>
      </c>
      <c r="KU36">
        <v>74</v>
      </c>
      <c r="KV36">
        <v>99</v>
      </c>
      <c r="KW36">
        <v>178</v>
      </c>
      <c r="KX36">
        <v>178</v>
      </c>
      <c r="KY36">
        <v>99</v>
      </c>
      <c r="KZ36">
        <v>104</v>
      </c>
      <c r="LA36">
        <v>178</v>
      </c>
      <c r="LB36">
        <v>178</v>
      </c>
      <c r="LC36">
        <v>211</v>
      </c>
      <c r="LD36">
        <v>196</v>
      </c>
      <c r="LE36">
        <v>69</v>
      </c>
      <c r="LF36">
        <v>69</v>
      </c>
      <c r="LG36">
        <v>144</v>
      </c>
      <c r="LH36">
        <v>144</v>
      </c>
      <c r="LI36">
        <v>103</v>
      </c>
      <c r="LJ36">
        <v>99</v>
      </c>
      <c r="LK36">
        <v>99</v>
      </c>
      <c r="LL36">
        <v>82</v>
      </c>
      <c r="LM36">
        <v>82</v>
      </c>
      <c r="LN36">
        <v>82</v>
      </c>
      <c r="LO36">
        <v>82</v>
      </c>
      <c r="LP36">
        <v>82</v>
      </c>
      <c r="LQ36">
        <v>99</v>
      </c>
      <c r="LR36">
        <v>79</v>
      </c>
      <c r="LS36">
        <v>79</v>
      </c>
      <c r="LT36">
        <v>108</v>
      </c>
      <c r="LU36">
        <v>109</v>
      </c>
      <c r="LV36">
        <v>109</v>
      </c>
      <c r="LW36">
        <v>99</v>
      </c>
      <c r="LX36">
        <v>99</v>
      </c>
      <c r="LY36">
        <v>99</v>
      </c>
      <c r="LZ36">
        <v>178</v>
      </c>
      <c r="MA36">
        <v>393</v>
      </c>
      <c r="MB36">
        <v>350</v>
      </c>
      <c r="MC36">
        <v>350</v>
      </c>
      <c r="MD36">
        <v>434</v>
      </c>
      <c r="ME36">
        <v>1283</v>
      </c>
      <c r="MF36">
        <v>351</v>
      </c>
      <c r="MG36">
        <v>140</v>
      </c>
      <c r="MH36">
        <v>140</v>
      </c>
      <c r="MI36">
        <v>140</v>
      </c>
      <c r="MJ36">
        <v>186</v>
      </c>
      <c r="MK36">
        <v>157</v>
      </c>
      <c r="ML36">
        <v>144</v>
      </c>
      <c r="MM36">
        <v>186</v>
      </c>
      <c r="MN36">
        <v>195</v>
      </c>
      <c r="MO36">
        <v>105</v>
      </c>
      <c r="MP36">
        <v>119</v>
      </c>
      <c r="MQ36">
        <v>593</v>
      </c>
      <c r="MR36">
        <v>119</v>
      </c>
      <c r="MS36">
        <v>332</v>
      </c>
      <c r="MT36">
        <v>120</v>
      </c>
      <c r="MU36">
        <v>80</v>
      </c>
      <c r="MV36">
        <v>536</v>
      </c>
      <c r="MW36">
        <v>105</v>
      </c>
      <c r="MX36">
        <v>144</v>
      </c>
      <c r="MY36">
        <v>144</v>
      </c>
      <c r="MZ36">
        <v>105</v>
      </c>
      <c r="NA36">
        <v>384</v>
      </c>
      <c r="NB36">
        <v>99</v>
      </c>
      <c r="NC36">
        <v>99</v>
      </c>
      <c r="ND36">
        <v>434</v>
      </c>
      <c r="NE36">
        <v>98</v>
      </c>
      <c r="NF36">
        <v>107</v>
      </c>
      <c r="NG36">
        <v>140</v>
      </c>
      <c r="NH36">
        <v>107</v>
      </c>
      <c r="NI36">
        <v>140</v>
      </c>
      <c r="NJ36">
        <v>99</v>
      </c>
      <c r="NK36">
        <v>99</v>
      </c>
      <c r="NL36">
        <v>178</v>
      </c>
      <c r="NM36">
        <v>103</v>
      </c>
      <c r="NN36">
        <v>103</v>
      </c>
      <c r="NO36">
        <v>103</v>
      </c>
      <c r="NP36">
        <v>120</v>
      </c>
      <c r="NQ36">
        <v>120</v>
      </c>
      <c r="NR36">
        <v>570</v>
      </c>
      <c r="NS36">
        <v>99</v>
      </c>
      <c r="NT36">
        <v>393</v>
      </c>
      <c r="NU36">
        <v>434</v>
      </c>
      <c r="NV36">
        <v>593</v>
      </c>
      <c r="NW36">
        <v>178</v>
      </c>
      <c r="NX36">
        <v>178</v>
      </c>
      <c r="NY36">
        <v>178</v>
      </c>
      <c r="NZ36">
        <v>178</v>
      </c>
      <c r="OA36">
        <v>136</v>
      </c>
      <c r="OB36">
        <v>122</v>
      </c>
      <c r="OC36">
        <v>82</v>
      </c>
      <c r="OD36">
        <v>82</v>
      </c>
      <c r="OE36">
        <v>105</v>
      </c>
      <c r="OF36">
        <v>434</v>
      </c>
      <c r="OG36">
        <v>350</v>
      </c>
      <c r="OH36">
        <v>99</v>
      </c>
      <c r="OI36">
        <v>99</v>
      </c>
      <c r="OJ36">
        <v>99</v>
      </c>
      <c r="OK36">
        <v>99</v>
      </c>
      <c r="OL36">
        <v>99</v>
      </c>
      <c r="OM36">
        <v>99</v>
      </c>
      <c r="ON36">
        <v>200</v>
      </c>
      <c r="OO36">
        <v>200</v>
      </c>
      <c r="OP36">
        <v>119</v>
      </c>
      <c r="OQ36">
        <v>105</v>
      </c>
      <c r="OR36">
        <v>105</v>
      </c>
      <c r="OS36">
        <v>195</v>
      </c>
      <c r="OT36">
        <v>710</v>
      </c>
      <c r="OU36">
        <v>82</v>
      </c>
      <c r="OV36">
        <v>80</v>
      </c>
      <c r="OW36">
        <v>107</v>
      </c>
      <c r="OX36">
        <v>140</v>
      </c>
      <c r="OY36">
        <v>136</v>
      </c>
      <c r="OZ36">
        <v>136</v>
      </c>
      <c r="PA36">
        <v>104</v>
      </c>
      <c r="PB36">
        <v>196</v>
      </c>
      <c r="PC36">
        <v>80</v>
      </c>
      <c r="PD36">
        <v>562</v>
      </c>
      <c r="PE36">
        <v>120</v>
      </c>
      <c r="PF36">
        <v>267</v>
      </c>
      <c r="PG36">
        <v>351</v>
      </c>
      <c r="PH36">
        <v>593</v>
      </c>
      <c r="PI36">
        <v>178</v>
      </c>
      <c r="PJ36">
        <v>99</v>
      </c>
      <c r="PK36">
        <v>134</v>
      </c>
      <c r="PL36">
        <v>103</v>
      </c>
      <c r="PM36">
        <v>103</v>
      </c>
      <c r="PN36">
        <v>710</v>
      </c>
      <c r="PO36">
        <v>710</v>
      </c>
      <c r="PP36">
        <v>710</v>
      </c>
      <c r="PQ36">
        <v>185</v>
      </c>
      <c r="PR36">
        <v>178</v>
      </c>
      <c r="PS36">
        <v>99</v>
      </c>
      <c r="PT36">
        <v>178</v>
      </c>
      <c r="PU36">
        <v>178</v>
      </c>
      <c r="PV36">
        <v>119</v>
      </c>
      <c r="PW36">
        <v>120</v>
      </c>
      <c r="PX36">
        <v>136</v>
      </c>
      <c r="PY36">
        <v>434</v>
      </c>
      <c r="PZ36">
        <v>512</v>
      </c>
      <c r="QA36">
        <v>99</v>
      </c>
      <c r="QB36">
        <v>80</v>
      </c>
      <c r="QC36">
        <v>269</v>
      </c>
      <c r="QD36">
        <v>178</v>
      </c>
      <c r="QE36">
        <v>140</v>
      </c>
      <c r="QF36">
        <v>136</v>
      </c>
      <c r="QG36">
        <v>731</v>
      </c>
      <c r="QH36">
        <v>731</v>
      </c>
      <c r="QI36">
        <v>660</v>
      </c>
      <c r="QJ36">
        <v>660</v>
      </c>
      <c r="QK36">
        <v>136</v>
      </c>
      <c r="QL36">
        <v>99</v>
      </c>
      <c r="QM36">
        <v>99</v>
      </c>
      <c r="QN36">
        <v>350</v>
      </c>
      <c r="QO36">
        <v>350</v>
      </c>
      <c r="QP36">
        <v>99</v>
      </c>
      <c r="QQ36">
        <v>178</v>
      </c>
      <c r="QR36">
        <v>99</v>
      </c>
      <c r="QS36">
        <v>109</v>
      </c>
      <c r="QT36">
        <v>143</v>
      </c>
      <c r="QU36">
        <v>434</v>
      </c>
      <c r="QV36">
        <v>178</v>
      </c>
      <c r="QW36">
        <v>99</v>
      </c>
      <c r="QX36">
        <v>140</v>
      </c>
      <c r="QY36">
        <v>190</v>
      </c>
      <c r="QZ36">
        <v>195</v>
      </c>
      <c r="RA36">
        <v>135</v>
      </c>
      <c r="RB36">
        <v>195</v>
      </c>
      <c r="RC36">
        <v>710</v>
      </c>
      <c r="RD36">
        <v>136</v>
      </c>
      <c r="RE36">
        <v>105</v>
      </c>
      <c r="RF36">
        <v>124</v>
      </c>
      <c r="RG36">
        <v>99</v>
      </c>
      <c r="RH36">
        <v>353</v>
      </c>
      <c r="RI36">
        <v>178</v>
      </c>
      <c r="RJ36">
        <v>99</v>
      </c>
      <c r="RK36">
        <v>136</v>
      </c>
      <c r="RL36">
        <v>99</v>
      </c>
      <c r="RM36">
        <v>187</v>
      </c>
      <c r="RN36">
        <v>99</v>
      </c>
      <c r="RO36">
        <v>761</v>
      </c>
      <c r="RP36">
        <v>761</v>
      </c>
      <c r="RQ36">
        <v>99</v>
      </c>
      <c r="RR36">
        <v>99</v>
      </c>
      <c r="RS36">
        <v>99</v>
      </c>
      <c r="RT36">
        <v>99</v>
      </c>
      <c r="RU36">
        <v>136</v>
      </c>
      <c r="RV36">
        <v>124</v>
      </c>
      <c r="RW36">
        <v>99</v>
      </c>
      <c r="RX36">
        <v>99</v>
      </c>
      <c r="RY36">
        <v>136</v>
      </c>
      <c r="RZ36">
        <v>105</v>
      </c>
      <c r="SA36">
        <v>136</v>
      </c>
      <c r="SB36">
        <v>100</v>
      </c>
      <c r="SC36">
        <v>99</v>
      </c>
      <c r="SD36">
        <v>178</v>
      </c>
      <c r="SE36">
        <v>99</v>
      </c>
      <c r="SF36">
        <v>99</v>
      </c>
      <c r="SG36">
        <v>99</v>
      </c>
      <c r="SH36">
        <v>99</v>
      </c>
      <c r="SI36">
        <v>82</v>
      </c>
      <c r="SJ36">
        <v>80</v>
      </c>
      <c r="SK36">
        <v>99</v>
      </c>
      <c r="SL36">
        <v>99</v>
      </c>
      <c r="SM36">
        <v>95</v>
      </c>
      <c r="SN36">
        <v>710</v>
      </c>
      <c r="SO36">
        <v>710</v>
      </c>
      <c r="SP36">
        <v>350</v>
      </c>
      <c r="SQ36">
        <v>120</v>
      </c>
      <c r="SR36">
        <v>104</v>
      </c>
      <c r="SS36">
        <v>710</v>
      </c>
      <c r="ST36">
        <v>710</v>
      </c>
      <c r="SU36">
        <v>99</v>
      </c>
      <c r="SV36">
        <v>99</v>
      </c>
      <c r="SW36">
        <v>80</v>
      </c>
      <c r="SX36">
        <v>178</v>
      </c>
      <c r="SY36">
        <v>269</v>
      </c>
      <c r="SZ36">
        <v>325</v>
      </c>
      <c r="TA36">
        <v>350</v>
      </c>
      <c r="TB36">
        <v>119</v>
      </c>
      <c r="TC36">
        <v>120</v>
      </c>
      <c r="TD36">
        <v>140</v>
      </c>
      <c r="TE36">
        <v>140</v>
      </c>
      <c r="TF36">
        <v>99</v>
      </c>
      <c r="TG36">
        <v>105</v>
      </c>
      <c r="TH36">
        <v>100</v>
      </c>
      <c r="TI36">
        <v>120</v>
      </c>
      <c r="TJ36">
        <v>139</v>
      </c>
      <c r="TK36">
        <v>135</v>
      </c>
      <c r="TL36">
        <v>190</v>
      </c>
      <c r="TM36">
        <v>99</v>
      </c>
      <c r="TN36">
        <v>99</v>
      </c>
      <c r="TO36">
        <v>1283</v>
      </c>
      <c r="TP36">
        <v>537</v>
      </c>
      <c r="TQ36">
        <v>178</v>
      </c>
      <c r="TR36">
        <v>178</v>
      </c>
      <c r="TS36">
        <v>178</v>
      </c>
      <c r="TT36">
        <v>105</v>
      </c>
      <c r="TU36">
        <v>105</v>
      </c>
      <c r="TV36">
        <v>136</v>
      </c>
      <c r="TW36">
        <v>105</v>
      </c>
      <c r="TX36">
        <v>82</v>
      </c>
      <c r="TY36">
        <v>82</v>
      </c>
      <c r="TZ36">
        <v>119</v>
      </c>
      <c r="UA36">
        <v>332</v>
      </c>
      <c r="UB36">
        <v>109</v>
      </c>
      <c r="UC36">
        <v>82</v>
      </c>
      <c r="UD36">
        <v>186</v>
      </c>
      <c r="UE36">
        <v>105</v>
      </c>
      <c r="UF36">
        <v>434</v>
      </c>
      <c r="UG36">
        <v>1577</v>
      </c>
      <c r="UH36">
        <v>105</v>
      </c>
      <c r="UI36">
        <v>105</v>
      </c>
      <c r="UJ36">
        <v>267</v>
      </c>
      <c r="UK36">
        <v>269</v>
      </c>
      <c r="UL36">
        <v>269</v>
      </c>
      <c r="UM36">
        <v>593</v>
      </c>
      <c r="UN36">
        <v>178</v>
      </c>
      <c r="UO36">
        <v>136</v>
      </c>
      <c r="UP36">
        <v>467</v>
      </c>
      <c r="UQ36">
        <v>63</v>
      </c>
      <c r="UR36">
        <v>195</v>
      </c>
      <c r="US36">
        <v>178</v>
      </c>
      <c r="UT36">
        <v>125</v>
      </c>
      <c r="UU36">
        <v>125</v>
      </c>
      <c r="UV36">
        <v>99</v>
      </c>
      <c r="UW36">
        <v>95</v>
      </c>
      <c r="UX36">
        <v>99</v>
      </c>
      <c r="UY36">
        <v>178</v>
      </c>
      <c r="UZ36">
        <v>178</v>
      </c>
      <c r="VA36">
        <v>105</v>
      </c>
      <c r="VB36">
        <v>99</v>
      </c>
      <c r="VC36">
        <v>99</v>
      </c>
      <c r="VD36">
        <v>105</v>
      </c>
      <c r="VE36">
        <v>105</v>
      </c>
      <c r="VF36">
        <v>105</v>
      </c>
      <c r="VG36">
        <v>710</v>
      </c>
      <c r="VH36">
        <v>710</v>
      </c>
      <c r="VI36">
        <v>79</v>
      </c>
      <c r="VJ36">
        <v>79</v>
      </c>
      <c r="VK36">
        <v>105</v>
      </c>
      <c r="VL36">
        <v>178</v>
      </c>
      <c r="VM36">
        <v>186</v>
      </c>
      <c r="VN36">
        <v>178</v>
      </c>
      <c r="VO36">
        <v>685</v>
      </c>
    </row>
    <row r="37" spans="1:587" x14ac:dyDescent="0.3">
      <c r="A37" t="s">
        <v>3032</v>
      </c>
      <c r="B37" cm="1">
        <f t="array" ref="B37:VO37">1*TRANSPOSE(_xlfn._xlws.FILTER(branch!$I$2:$I$591,branch!$D$2:$D$591&lt;&gt;0))</f>
        <v>99</v>
      </c>
      <c r="C37">
        <v>99</v>
      </c>
      <c r="D37">
        <v>178</v>
      </c>
      <c r="E37">
        <v>145</v>
      </c>
      <c r="F37">
        <v>536</v>
      </c>
      <c r="G37">
        <v>393</v>
      </c>
      <c r="H37">
        <v>393</v>
      </c>
      <c r="I37">
        <v>593</v>
      </c>
      <c r="J37">
        <v>434</v>
      </c>
      <c r="K37">
        <v>99</v>
      </c>
      <c r="L37">
        <v>140</v>
      </c>
      <c r="M37">
        <v>103</v>
      </c>
      <c r="N37">
        <v>109</v>
      </c>
      <c r="O37">
        <v>105</v>
      </c>
      <c r="P37">
        <v>99</v>
      </c>
      <c r="Q37">
        <v>187</v>
      </c>
      <c r="R37">
        <v>187</v>
      </c>
      <c r="S37">
        <v>187</v>
      </c>
      <c r="T37">
        <v>104</v>
      </c>
      <c r="U37">
        <v>112</v>
      </c>
      <c r="V37">
        <v>105</v>
      </c>
      <c r="W37">
        <v>82</v>
      </c>
      <c r="X37">
        <v>82</v>
      </c>
      <c r="Y37">
        <v>105</v>
      </c>
      <c r="Z37">
        <v>105</v>
      </c>
      <c r="AA37">
        <v>99</v>
      </c>
      <c r="AB37">
        <v>178</v>
      </c>
      <c r="AC37">
        <v>434</v>
      </c>
      <c r="AD37">
        <v>434</v>
      </c>
      <c r="AE37">
        <v>34</v>
      </c>
      <c r="AF37">
        <v>120</v>
      </c>
      <c r="AG37">
        <v>120</v>
      </c>
      <c r="AH37">
        <v>104</v>
      </c>
      <c r="AI37">
        <v>178</v>
      </c>
      <c r="AJ37">
        <v>178</v>
      </c>
      <c r="AK37">
        <v>178</v>
      </c>
      <c r="AL37">
        <v>178</v>
      </c>
      <c r="AM37">
        <v>120</v>
      </c>
      <c r="AN37">
        <v>178</v>
      </c>
      <c r="AO37">
        <v>99</v>
      </c>
      <c r="AP37">
        <v>178</v>
      </c>
      <c r="AQ37">
        <v>140</v>
      </c>
      <c r="AR37">
        <v>140</v>
      </c>
      <c r="AS37">
        <v>99</v>
      </c>
      <c r="AT37">
        <v>105</v>
      </c>
      <c r="AU37">
        <v>99</v>
      </c>
      <c r="AV37">
        <v>96</v>
      </c>
      <c r="AW37">
        <v>96</v>
      </c>
      <c r="AX37">
        <v>178</v>
      </c>
      <c r="AY37">
        <v>178</v>
      </c>
      <c r="AZ37">
        <v>120</v>
      </c>
      <c r="BA37">
        <v>120</v>
      </c>
      <c r="BB37">
        <v>178</v>
      </c>
      <c r="BC37">
        <v>178</v>
      </c>
      <c r="BD37">
        <v>178</v>
      </c>
      <c r="BE37">
        <v>105</v>
      </c>
      <c r="BF37">
        <v>99</v>
      </c>
      <c r="BG37">
        <v>99</v>
      </c>
      <c r="BH37">
        <v>99</v>
      </c>
      <c r="BI37">
        <v>82</v>
      </c>
      <c r="BJ37">
        <v>82</v>
      </c>
      <c r="BK37">
        <v>136</v>
      </c>
      <c r="BL37">
        <v>140</v>
      </c>
      <c r="BM37">
        <v>130</v>
      </c>
      <c r="BN37">
        <v>99</v>
      </c>
      <c r="BO37">
        <v>122</v>
      </c>
      <c r="BP37">
        <v>196</v>
      </c>
      <c r="BQ37">
        <v>178</v>
      </c>
      <c r="BR37">
        <v>136</v>
      </c>
      <c r="BS37">
        <v>178</v>
      </c>
      <c r="BT37">
        <v>124</v>
      </c>
      <c r="BU37">
        <v>178</v>
      </c>
      <c r="BV37">
        <v>178</v>
      </c>
      <c r="BW37">
        <v>178</v>
      </c>
      <c r="BX37">
        <v>99</v>
      </c>
      <c r="BY37">
        <v>136</v>
      </c>
      <c r="BZ37">
        <v>195</v>
      </c>
      <c r="CA37">
        <v>178</v>
      </c>
      <c r="CB37">
        <v>178</v>
      </c>
      <c r="CC37">
        <v>192</v>
      </c>
      <c r="CD37">
        <v>187</v>
      </c>
      <c r="CE37">
        <v>120</v>
      </c>
      <c r="CF37">
        <v>187</v>
      </c>
      <c r="CG37">
        <v>187</v>
      </c>
      <c r="CH37">
        <v>187</v>
      </c>
      <c r="CI37">
        <v>119</v>
      </c>
      <c r="CJ37">
        <v>119</v>
      </c>
      <c r="CK37">
        <v>570</v>
      </c>
      <c r="CL37">
        <v>570</v>
      </c>
      <c r="CM37">
        <v>140</v>
      </c>
      <c r="CN37">
        <v>140</v>
      </c>
      <c r="CO37">
        <v>842</v>
      </c>
      <c r="CP37">
        <v>105</v>
      </c>
      <c r="CQ37">
        <v>109</v>
      </c>
      <c r="CR37">
        <v>109</v>
      </c>
      <c r="CS37">
        <v>82</v>
      </c>
      <c r="CT37">
        <v>82</v>
      </c>
      <c r="CU37">
        <v>75</v>
      </c>
      <c r="CV37">
        <v>75</v>
      </c>
      <c r="CW37">
        <v>178</v>
      </c>
      <c r="CX37">
        <v>178</v>
      </c>
      <c r="CY37">
        <v>178</v>
      </c>
      <c r="CZ37">
        <v>178</v>
      </c>
      <c r="DA37">
        <v>82</v>
      </c>
      <c r="DB37">
        <v>82</v>
      </c>
      <c r="DC37">
        <v>710</v>
      </c>
      <c r="DD37">
        <v>69</v>
      </c>
      <c r="DE37">
        <v>70</v>
      </c>
      <c r="DF37">
        <v>710</v>
      </c>
      <c r="DG37">
        <v>710</v>
      </c>
      <c r="DH37">
        <v>710</v>
      </c>
      <c r="DI37">
        <v>144</v>
      </c>
      <c r="DJ37">
        <v>63</v>
      </c>
      <c r="DK37">
        <v>99</v>
      </c>
      <c r="DL37">
        <v>570</v>
      </c>
      <c r="DM37">
        <v>570</v>
      </c>
      <c r="DN37">
        <v>178</v>
      </c>
      <c r="DO37">
        <v>200</v>
      </c>
      <c r="DP37">
        <v>109</v>
      </c>
      <c r="DQ37">
        <v>109</v>
      </c>
      <c r="DR37">
        <v>79</v>
      </c>
      <c r="DS37">
        <v>79</v>
      </c>
      <c r="DT37">
        <v>434</v>
      </c>
      <c r="DU37">
        <v>740</v>
      </c>
      <c r="DV37">
        <v>228</v>
      </c>
      <c r="DW37">
        <v>115</v>
      </c>
      <c r="DX37">
        <v>195</v>
      </c>
      <c r="DY37">
        <v>124</v>
      </c>
      <c r="DZ37">
        <v>80</v>
      </c>
      <c r="EA37">
        <v>120</v>
      </c>
      <c r="EB37">
        <v>105</v>
      </c>
      <c r="EC37">
        <v>178</v>
      </c>
      <c r="ED37">
        <v>178</v>
      </c>
      <c r="EE37">
        <v>178</v>
      </c>
      <c r="EF37">
        <v>69</v>
      </c>
      <c r="EG37">
        <v>70</v>
      </c>
      <c r="EH37">
        <v>69</v>
      </c>
      <c r="EI37">
        <v>69</v>
      </c>
      <c r="EJ37">
        <v>132</v>
      </c>
      <c r="EK37">
        <v>132</v>
      </c>
      <c r="EL37">
        <v>710</v>
      </c>
      <c r="EM37">
        <v>710</v>
      </c>
      <c r="EN37">
        <v>66</v>
      </c>
      <c r="EO37">
        <v>66</v>
      </c>
      <c r="EP37">
        <v>710</v>
      </c>
      <c r="EQ37">
        <v>109</v>
      </c>
      <c r="ER37">
        <v>109</v>
      </c>
      <c r="ES37">
        <v>82</v>
      </c>
      <c r="ET37">
        <v>82</v>
      </c>
      <c r="EU37">
        <v>144</v>
      </c>
      <c r="EV37">
        <v>144</v>
      </c>
      <c r="EW37">
        <v>710</v>
      </c>
      <c r="EX37">
        <v>178</v>
      </c>
      <c r="EY37">
        <v>124</v>
      </c>
      <c r="EZ37">
        <v>99</v>
      </c>
      <c r="FA37">
        <v>99</v>
      </c>
      <c r="FB37">
        <v>99</v>
      </c>
      <c r="FC37">
        <v>761</v>
      </c>
      <c r="FD37">
        <v>187</v>
      </c>
      <c r="FE37">
        <v>761</v>
      </c>
      <c r="FF37">
        <v>761</v>
      </c>
      <c r="FG37">
        <v>761</v>
      </c>
      <c r="FH37">
        <v>178</v>
      </c>
      <c r="FI37">
        <v>178</v>
      </c>
      <c r="FJ37">
        <v>115</v>
      </c>
      <c r="FK37">
        <v>434</v>
      </c>
      <c r="FL37">
        <v>434</v>
      </c>
      <c r="FM37">
        <v>555</v>
      </c>
      <c r="FN37">
        <v>123</v>
      </c>
      <c r="FO37">
        <v>178</v>
      </c>
      <c r="FP37">
        <v>130</v>
      </c>
      <c r="FQ37">
        <v>178</v>
      </c>
      <c r="FR37">
        <v>103</v>
      </c>
      <c r="FS37">
        <v>238</v>
      </c>
      <c r="FT37">
        <v>434</v>
      </c>
      <c r="FU37">
        <v>178</v>
      </c>
      <c r="FV37">
        <v>132</v>
      </c>
      <c r="FW37">
        <v>178</v>
      </c>
      <c r="FX37">
        <v>144</v>
      </c>
      <c r="FY37">
        <v>144</v>
      </c>
      <c r="FZ37">
        <v>140</v>
      </c>
      <c r="GA37">
        <v>140</v>
      </c>
      <c r="GB37">
        <v>136</v>
      </c>
      <c r="GC37">
        <v>178</v>
      </c>
      <c r="GD37">
        <v>178</v>
      </c>
      <c r="GE37">
        <v>178</v>
      </c>
      <c r="GF37">
        <v>196</v>
      </c>
      <c r="GG37">
        <v>178</v>
      </c>
      <c r="GH37">
        <v>178</v>
      </c>
      <c r="GI37">
        <v>178</v>
      </c>
      <c r="GJ37">
        <v>130</v>
      </c>
      <c r="GK37">
        <v>99</v>
      </c>
      <c r="GL37">
        <v>136</v>
      </c>
      <c r="GM37">
        <v>178</v>
      </c>
      <c r="GN37">
        <v>105</v>
      </c>
      <c r="GO37">
        <v>187</v>
      </c>
      <c r="GP37">
        <v>187</v>
      </c>
      <c r="GQ37">
        <v>187</v>
      </c>
      <c r="GR37">
        <v>105</v>
      </c>
      <c r="GS37">
        <v>130</v>
      </c>
      <c r="GT37">
        <v>434</v>
      </c>
      <c r="GU37">
        <v>105</v>
      </c>
      <c r="GV37">
        <v>105</v>
      </c>
      <c r="GW37">
        <v>593</v>
      </c>
      <c r="GX37">
        <v>119</v>
      </c>
      <c r="GY37">
        <v>178</v>
      </c>
      <c r="GZ37">
        <v>120</v>
      </c>
      <c r="HA37">
        <v>178</v>
      </c>
      <c r="HB37">
        <v>178</v>
      </c>
      <c r="HC37">
        <v>178</v>
      </c>
      <c r="HD37">
        <v>646</v>
      </c>
      <c r="HE37">
        <v>161</v>
      </c>
      <c r="HF37">
        <v>161</v>
      </c>
      <c r="HG37">
        <v>434</v>
      </c>
      <c r="HH37">
        <v>434</v>
      </c>
      <c r="HI37">
        <v>187</v>
      </c>
      <c r="HJ37">
        <v>124</v>
      </c>
      <c r="HK37">
        <v>99</v>
      </c>
      <c r="HL37">
        <v>105</v>
      </c>
      <c r="HM37">
        <v>63</v>
      </c>
      <c r="HN37">
        <v>178</v>
      </c>
      <c r="HO37">
        <v>187</v>
      </c>
      <c r="HP37">
        <v>136</v>
      </c>
      <c r="HQ37">
        <v>187</v>
      </c>
      <c r="HR37">
        <v>187</v>
      </c>
      <c r="HS37">
        <v>99</v>
      </c>
      <c r="HT37">
        <v>99</v>
      </c>
      <c r="HU37">
        <v>105</v>
      </c>
      <c r="HV37">
        <v>178</v>
      </c>
      <c r="HW37">
        <v>178</v>
      </c>
      <c r="HX37">
        <v>1577</v>
      </c>
      <c r="HY37">
        <v>1577</v>
      </c>
      <c r="HZ37">
        <v>143</v>
      </c>
      <c r="IA37">
        <v>104</v>
      </c>
      <c r="IB37">
        <v>82</v>
      </c>
      <c r="IC37">
        <v>82</v>
      </c>
      <c r="ID37">
        <v>82</v>
      </c>
      <c r="IE37">
        <v>82</v>
      </c>
      <c r="IF37">
        <v>186</v>
      </c>
      <c r="IG37">
        <v>124</v>
      </c>
      <c r="IH37">
        <v>136</v>
      </c>
      <c r="II37">
        <v>99</v>
      </c>
      <c r="IJ37">
        <v>178</v>
      </c>
      <c r="IK37">
        <v>178</v>
      </c>
      <c r="IL37">
        <v>99</v>
      </c>
      <c r="IM37">
        <v>99</v>
      </c>
      <c r="IN37">
        <v>105</v>
      </c>
      <c r="IO37">
        <v>105</v>
      </c>
      <c r="IP37">
        <v>99</v>
      </c>
      <c r="IQ37">
        <v>99</v>
      </c>
      <c r="IR37">
        <v>100</v>
      </c>
      <c r="IS37">
        <v>100</v>
      </c>
      <c r="IT37">
        <v>200</v>
      </c>
      <c r="IU37">
        <v>143</v>
      </c>
      <c r="IV37">
        <v>82</v>
      </c>
      <c r="IW37">
        <v>82</v>
      </c>
      <c r="IX37">
        <v>82</v>
      </c>
      <c r="IY37">
        <v>412</v>
      </c>
      <c r="IZ37">
        <v>412</v>
      </c>
      <c r="JA37">
        <v>82</v>
      </c>
      <c r="JB37">
        <v>82</v>
      </c>
      <c r="JC37">
        <v>109</v>
      </c>
      <c r="JD37">
        <v>178</v>
      </c>
      <c r="JE37">
        <v>99</v>
      </c>
      <c r="JF37">
        <v>82</v>
      </c>
      <c r="JG37">
        <v>109</v>
      </c>
      <c r="JH37">
        <v>140</v>
      </c>
      <c r="JI37">
        <v>140</v>
      </c>
      <c r="JJ37">
        <v>196</v>
      </c>
      <c r="JK37">
        <v>178</v>
      </c>
      <c r="JL37">
        <v>178</v>
      </c>
      <c r="JM37">
        <v>99</v>
      </c>
      <c r="JN37">
        <v>178</v>
      </c>
      <c r="JO37">
        <v>350</v>
      </c>
      <c r="JP37">
        <v>99</v>
      </c>
      <c r="JQ37">
        <v>99</v>
      </c>
      <c r="JR37">
        <v>99</v>
      </c>
      <c r="JS37">
        <v>392</v>
      </c>
      <c r="JT37">
        <v>97</v>
      </c>
      <c r="JU37">
        <v>99</v>
      </c>
      <c r="JV37">
        <v>761</v>
      </c>
      <c r="JW37">
        <v>178</v>
      </c>
      <c r="JX37">
        <v>124</v>
      </c>
      <c r="JY37">
        <v>103</v>
      </c>
      <c r="JZ37">
        <v>178</v>
      </c>
      <c r="KA37">
        <v>746</v>
      </c>
      <c r="KB37">
        <v>646</v>
      </c>
      <c r="KC37">
        <v>178</v>
      </c>
      <c r="KD37">
        <v>178</v>
      </c>
      <c r="KE37">
        <v>178</v>
      </c>
      <c r="KF37">
        <v>178</v>
      </c>
      <c r="KG37">
        <v>190</v>
      </c>
      <c r="KH37">
        <v>105</v>
      </c>
      <c r="KI37">
        <v>136</v>
      </c>
      <c r="KJ37">
        <v>134</v>
      </c>
      <c r="KK37">
        <v>136</v>
      </c>
      <c r="KL37">
        <v>136</v>
      </c>
      <c r="KM37">
        <v>99</v>
      </c>
      <c r="KN37">
        <v>105</v>
      </c>
      <c r="KO37">
        <v>99</v>
      </c>
      <c r="KP37">
        <v>105</v>
      </c>
      <c r="KQ37">
        <v>99</v>
      </c>
      <c r="KR37">
        <v>99</v>
      </c>
      <c r="KS37">
        <v>99</v>
      </c>
      <c r="KT37">
        <v>74</v>
      </c>
      <c r="KU37">
        <v>74</v>
      </c>
      <c r="KV37">
        <v>99</v>
      </c>
      <c r="KW37">
        <v>178</v>
      </c>
      <c r="KX37">
        <v>178</v>
      </c>
      <c r="KY37">
        <v>99</v>
      </c>
      <c r="KZ37">
        <v>104</v>
      </c>
      <c r="LA37">
        <v>178</v>
      </c>
      <c r="LB37">
        <v>178</v>
      </c>
      <c r="LC37">
        <v>211</v>
      </c>
      <c r="LD37">
        <v>196</v>
      </c>
      <c r="LE37">
        <v>69</v>
      </c>
      <c r="LF37">
        <v>69</v>
      </c>
      <c r="LG37">
        <v>144</v>
      </c>
      <c r="LH37">
        <v>144</v>
      </c>
      <c r="LI37">
        <v>103</v>
      </c>
      <c r="LJ37">
        <v>99</v>
      </c>
      <c r="LK37">
        <v>99</v>
      </c>
      <c r="LL37">
        <v>82</v>
      </c>
      <c r="LM37">
        <v>82</v>
      </c>
      <c r="LN37">
        <v>82</v>
      </c>
      <c r="LO37">
        <v>82</v>
      </c>
      <c r="LP37">
        <v>82</v>
      </c>
      <c r="LQ37">
        <v>99</v>
      </c>
      <c r="LR37">
        <v>79</v>
      </c>
      <c r="LS37">
        <v>79</v>
      </c>
      <c r="LT37">
        <v>108</v>
      </c>
      <c r="LU37">
        <v>109</v>
      </c>
      <c r="LV37">
        <v>109</v>
      </c>
      <c r="LW37">
        <v>99</v>
      </c>
      <c r="LX37">
        <v>99</v>
      </c>
      <c r="LY37">
        <v>99</v>
      </c>
      <c r="LZ37">
        <v>178</v>
      </c>
      <c r="MA37">
        <v>393</v>
      </c>
      <c r="MB37">
        <v>350</v>
      </c>
      <c r="MC37">
        <v>350</v>
      </c>
      <c r="MD37">
        <v>434</v>
      </c>
      <c r="ME37">
        <v>1283</v>
      </c>
      <c r="MF37">
        <v>351</v>
      </c>
      <c r="MG37">
        <v>140</v>
      </c>
      <c r="MH37">
        <v>140</v>
      </c>
      <c r="MI37">
        <v>140</v>
      </c>
      <c r="MJ37">
        <v>186</v>
      </c>
      <c r="MK37">
        <v>157</v>
      </c>
      <c r="ML37">
        <v>144</v>
      </c>
      <c r="MM37">
        <v>186</v>
      </c>
      <c r="MN37">
        <v>195</v>
      </c>
      <c r="MO37">
        <v>105</v>
      </c>
      <c r="MP37">
        <v>119</v>
      </c>
      <c r="MQ37">
        <v>593</v>
      </c>
      <c r="MR37">
        <v>119</v>
      </c>
      <c r="MS37">
        <v>332</v>
      </c>
      <c r="MT37">
        <v>120</v>
      </c>
      <c r="MU37">
        <v>80</v>
      </c>
      <c r="MV37">
        <v>536</v>
      </c>
      <c r="MW37">
        <v>105</v>
      </c>
      <c r="MX37">
        <v>144</v>
      </c>
      <c r="MY37">
        <v>144</v>
      </c>
      <c r="MZ37">
        <v>105</v>
      </c>
      <c r="NA37">
        <v>384</v>
      </c>
      <c r="NB37">
        <v>99</v>
      </c>
      <c r="NC37">
        <v>99</v>
      </c>
      <c r="ND37">
        <v>434</v>
      </c>
      <c r="NE37">
        <v>98</v>
      </c>
      <c r="NF37">
        <v>107</v>
      </c>
      <c r="NG37">
        <v>140</v>
      </c>
      <c r="NH37">
        <v>107</v>
      </c>
      <c r="NI37">
        <v>140</v>
      </c>
      <c r="NJ37">
        <v>99</v>
      </c>
      <c r="NK37">
        <v>99</v>
      </c>
      <c r="NL37">
        <v>178</v>
      </c>
      <c r="NM37">
        <v>103</v>
      </c>
      <c r="NN37">
        <v>103</v>
      </c>
      <c r="NO37">
        <v>103</v>
      </c>
      <c r="NP37">
        <v>120</v>
      </c>
      <c r="NQ37">
        <v>120</v>
      </c>
      <c r="NR37">
        <v>570</v>
      </c>
      <c r="NS37">
        <v>99</v>
      </c>
      <c r="NT37">
        <v>393</v>
      </c>
      <c r="NU37">
        <v>434</v>
      </c>
      <c r="NV37">
        <v>593</v>
      </c>
      <c r="NW37">
        <v>178</v>
      </c>
      <c r="NX37">
        <v>178</v>
      </c>
      <c r="NY37">
        <v>178</v>
      </c>
      <c r="NZ37">
        <v>178</v>
      </c>
      <c r="OA37">
        <v>136</v>
      </c>
      <c r="OB37">
        <v>122</v>
      </c>
      <c r="OC37">
        <v>82</v>
      </c>
      <c r="OD37">
        <v>82</v>
      </c>
      <c r="OE37">
        <v>105</v>
      </c>
      <c r="OF37">
        <v>434</v>
      </c>
      <c r="OG37">
        <v>350</v>
      </c>
      <c r="OH37">
        <v>99</v>
      </c>
      <c r="OI37">
        <v>99</v>
      </c>
      <c r="OJ37">
        <v>99</v>
      </c>
      <c r="OK37">
        <v>99</v>
      </c>
      <c r="OL37">
        <v>99</v>
      </c>
      <c r="OM37">
        <v>99</v>
      </c>
      <c r="ON37">
        <v>200</v>
      </c>
      <c r="OO37">
        <v>200</v>
      </c>
      <c r="OP37">
        <v>119</v>
      </c>
      <c r="OQ37">
        <v>105</v>
      </c>
      <c r="OR37">
        <v>105</v>
      </c>
      <c r="OS37">
        <v>195</v>
      </c>
      <c r="OT37">
        <v>710</v>
      </c>
      <c r="OU37">
        <v>82</v>
      </c>
      <c r="OV37">
        <v>80</v>
      </c>
      <c r="OW37">
        <v>107</v>
      </c>
      <c r="OX37">
        <v>140</v>
      </c>
      <c r="OY37">
        <v>136</v>
      </c>
      <c r="OZ37">
        <v>136</v>
      </c>
      <c r="PA37">
        <v>104</v>
      </c>
      <c r="PB37">
        <v>196</v>
      </c>
      <c r="PC37">
        <v>80</v>
      </c>
      <c r="PD37">
        <v>562</v>
      </c>
      <c r="PE37">
        <v>120</v>
      </c>
      <c r="PF37">
        <v>267</v>
      </c>
      <c r="PG37">
        <v>351</v>
      </c>
      <c r="PH37">
        <v>593</v>
      </c>
      <c r="PI37">
        <v>178</v>
      </c>
      <c r="PJ37">
        <v>99</v>
      </c>
      <c r="PK37">
        <v>134</v>
      </c>
      <c r="PL37">
        <v>103</v>
      </c>
      <c r="PM37">
        <v>103</v>
      </c>
      <c r="PN37">
        <v>710</v>
      </c>
      <c r="PO37">
        <v>710</v>
      </c>
      <c r="PP37">
        <v>710</v>
      </c>
      <c r="PQ37">
        <v>185</v>
      </c>
      <c r="PR37">
        <v>178</v>
      </c>
      <c r="PS37">
        <v>99</v>
      </c>
      <c r="PT37">
        <v>178</v>
      </c>
      <c r="PU37">
        <v>178</v>
      </c>
      <c r="PV37">
        <v>119</v>
      </c>
      <c r="PW37">
        <v>120</v>
      </c>
      <c r="PX37">
        <v>136</v>
      </c>
      <c r="PY37">
        <v>434</v>
      </c>
      <c r="PZ37">
        <v>512</v>
      </c>
      <c r="QA37">
        <v>99</v>
      </c>
      <c r="QB37">
        <v>80</v>
      </c>
      <c r="QC37">
        <v>269</v>
      </c>
      <c r="QD37">
        <v>178</v>
      </c>
      <c r="QE37">
        <v>140</v>
      </c>
      <c r="QF37">
        <v>136</v>
      </c>
      <c r="QG37">
        <v>731</v>
      </c>
      <c r="QH37">
        <v>731</v>
      </c>
      <c r="QI37">
        <v>660</v>
      </c>
      <c r="QJ37">
        <v>660</v>
      </c>
      <c r="QK37">
        <v>136</v>
      </c>
      <c r="QL37">
        <v>99</v>
      </c>
      <c r="QM37">
        <v>99</v>
      </c>
      <c r="QN37">
        <v>350</v>
      </c>
      <c r="QO37">
        <v>350</v>
      </c>
      <c r="QP37">
        <v>99</v>
      </c>
      <c r="QQ37">
        <v>178</v>
      </c>
      <c r="QR37">
        <v>99</v>
      </c>
      <c r="QS37">
        <v>109</v>
      </c>
      <c r="QT37">
        <v>143</v>
      </c>
      <c r="QU37">
        <v>434</v>
      </c>
      <c r="QV37">
        <v>178</v>
      </c>
      <c r="QW37">
        <v>99</v>
      </c>
      <c r="QX37">
        <v>140</v>
      </c>
      <c r="QY37">
        <v>190</v>
      </c>
      <c r="QZ37">
        <v>195</v>
      </c>
      <c r="RA37">
        <v>135</v>
      </c>
      <c r="RB37">
        <v>195</v>
      </c>
      <c r="RC37">
        <v>710</v>
      </c>
      <c r="RD37">
        <v>136</v>
      </c>
      <c r="RE37">
        <v>105</v>
      </c>
      <c r="RF37">
        <v>124</v>
      </c>
      <c r="RG37">
        <v>99</v>
      </c>
      <c r="RH37">
        <v>353</v>
      </c>
      <c r="RI37">
        <v>178</v>
      </c>
      <c r="RJ37">
        <v>99</v>
      </c>
      <c r="RK37">
        <v>136</v>
      </c>
      <c r="RL37">
        <v>99</v>
      </c>
      <c r="RM37">
        <v>187</v>
      </c>
      <c r="RN37">
        <v>99</v>
      </c>
      <c r="RO37">
        <v>761</v>
      </c>
      <c r="RP37">
        <v>761</v>
      </c>
      <c r="RQ37">
        <v>99</v>
      </c>
      <c r="RR37">
        <v>99</v>
      </c>
      <c r="RS37">
        <v>99</v>
      </c>
      <c r="RT37">
        <v>99</v>
      </c>
      <c r="RU37">
        <v>136</v>
      </c>
      <c r="RV37">
        <v>124</v>
      </c>
      <c r="RW37">
        <v>99</v>
      </c>
      <c r="RX37">
        <v>99</v>
      </c>
      <c r="RY37">
        <v>136</v>
      </c>
      <c r="RZ37">
        <v>105</v>
      </c>
      <c r="SA37">
        <v>136</v>
      </c>
      <c r="SB37">
        <v>100</v>
      </c>
      <c r="SC37">
        <v>99</v>
      </c>
      <c r="SD37">
        <v>178</v>
      </c>
      <c r="SE37">
        <v>99</v>
      </c>
      <c r="SF37">
        <v>99</v>
      </c>
      <c r="SG37">
        <v>99</v>
      </c>
      <c r="SH37">
        <v>99</v>
      </c>
      <c r="SI37">
        <v>82</v>
      </c>
      <c r="SJ37">
        <v>80</v>
      </c>
      <c r="SK37">
        <v>99</v>
      </c>
      <c r="SL37">
        <v>99</v>
      </c>
      <c r="SM37">
        <v>95</v>
      </c>
      <c r="SN37">
        <v>710</v>
      </c>
      <c r="SO37">
        <v>710</v>
      </c>
      <c r="SP37">
        <v>350</v>
      </c>
      <c r="SQ37">
        <v>120</v>
      </c>
      <c r="SR37">
        <v>104</v>
      </c>
      <c r="SS37">
        <v>710</v>
      </c>
      <c r="ST37">
        <v>710</v>
      </c>
      <c r="SU37">
        <v>99</v>
      </c>
      <c r="SV37">
        <v>99</v>
      </c>
      <c r="SW37">
        <v>80</v>
      </c>
      <c r="SX37">
        <v>178</v>
      </c>
      <c r="SY37">
        <v>269</v>
      </c>
      <c r="SZ37">
        <v>325</v>
      </c>
      <c r="TA37">
        <v>350</v>
      </c>
      <c r="TB37">
        <v>119</v>
      </c>
      <c r="TC37">
        <v>120</v>
      </c>
      <c r="TD37">
        <v>140</v>
      </c>
      <c r="TE37">
        <v>140</v>
      </c>
      <c r="TF37">
        <v>99</v>
      </c>
      <c r="TG37">
        <v>105</v>
      </c>
      <c r="TH37">
        <v>100</v>
      </c>
      <c r="TI37">
        <v>120</v>
      </c>
      <c r="TJ37">
        <v>139</v>
      </c>
      <c r="TK37">
        <v>135</v>
      </c>
      <c r="TL37">
        <v>190</v>
      </c>
      <c r="TM37">
        <v>99</v>
      </c>
      <c r="TN37">
        <v>99</v>
      </c>
      <c r="TO37">
        <v>1283</v>
      </c>
      <c r="TP37">
        <v>537</v>
      </c>
      <c r="TQ37">
        <v>178</v>
      </c>
      <c r="TR37">
        <v>178</v>
      </c>
      <c r="TS37">
        <v>178</v>
      </c>
      <c r="TT37">
        <v>105</v>
      </c>
      <c r="TU37">
        <v>105</v>
      </c>
      <c r="TV37">
        <v>136</v>
      </c>
      <c r="TW37">
        <v>105</v>
      </c>
      <c r="TX37">
        <v>82</v>
      </c>
      <c r="TY37">
        <v>82</v>
      </c>
      <c r="TZ37">
        <v>119</v>
      </c>
      <c r="UA37">
        <v>332</v>
      </c>
      <c r="UB37">
        <v>109</v>
      </c>
      <c r="UC37">
        <v>82</v>
      </c>
      <c r="UD37">
        <v>186</v>
      </c>
      <c r="UE37">
        <v>105</v>
      </c>
      <c r="UF37">
        <v>434</v>
      </c>
      <c r="UG37">
        <v>1577</v>
      </c>
      <c r="UH37">
        <v>105</v>
      </c>
      <c r="UI37">
        <v>105</v>
      </c>
      <c r="UJ37">
        <v>267</v>
      </c>
      <c r="UK37">
        <v>269</v>
      </c>
      <c r="UL37">
        <v>269</v>
      </c>
      <c r="UM37">
        <v>593</v>
      </c>
      <c r="UN37">
        <v>178</v>
      </c>
      <c r="UO37">
        <v>136</v>
      </c>
      <c r="UP37">
        <v>467</v>
      </c>
      <c r="UQ37">
        <v>63</v>
      </c>
      <c r="UR37">
        <v>195</v>
      </c>
      <c r="US37">
        <v>178</v>
      </c>
      <c r="UT37">
        <v>125</v>
      </c>
      <c r="UU37">
        <v>125</v>
      </c>
      <c r="UV37">
        <v>99</v>
      </c>
      <c r="UW37">
        <v>95</v>
      </c>
      <c r="UX37">
        <v>99</v>
      </c>
      <c r="UY37">
        <v>178</v>
      </c>
      <c r="UZ37">
        <v>178</v>
      </c>
      <c r="VA37">
        <v>105</v>
      </c>
      <c r="VB37">
        <v>99</v>
      </c>
      <c r="VC37">
        <v>99</v>
      </c>
      <c r="VD37">
        <v>105</v>
      </c>
      <c r="VE37">
        <v>105</v>
      </c>
      <c r="VF37">
        <v>105</v>
      </c>
      <c r="VG37">
        <v>710</v>
      </c>
      <c r="VH37">
        <v>710</v>
      </c>
      <c r="VI37">
        <v>79</v>
      </c>
      <c r="VJ37">
        <v>79</v>
      </c>
      <c r="VK37">
        <v>105</v>
      </c>
      <c r="VL37">
        <v>178</v>
      </c>
      <c r="VM37">
        <v>186</v>
      </c>
      <c r="VN37">
        <v>178</v>
      </c>
      <c r="VO37">
        <v>685</v>
      </c>
    </row>
    <row r="38" spans="1:587" x14ac:dyDescent="0.3">
      <c r="A38" t="s">
        <v>3033</v>
      </c>
      <c r="B38" cm="1">
        <f t="array" ref="B38:VO38">1*TRANSPOSE(_xlfn._xlws.FILTER(branch!$I$2:$I$591,branch!$D$2:$D$591&lt;&gt;0))</f>
        <v>99</v>
      </c>
      <c r="C38">
        <v>99</v>
      </c>
      <c r="D38">
        <v>178</v>
      </c>
      <c r="E38">
        <v>145</v>
      </c>
      <c r="F38">
        <v>536</v>
      </c>
      <c r="G38">
        <v>393</v>
      </c>
      <c r="H38">
        <v>393</v>
      </c>
      <c r="I38">
        <v>593</v>
      </c>
      <c r="J38">
        <v>434</v>
      </c>
      <c r="K38">
        <v>99</v>
      </c>
      <c r="L38">
        <v>140</v>
      </c>
      <c r="M38">
        <v>103</v>
      </c>
      <c r="N38">
        <v>109</v>
      </c>
      <c r="O38">
        <v>105</v>
      </c>
      <c r="P38">
        <v>99</v>
      </c>
      <c r="Q38">
        <v>187</v>
      </c>
      <c r="R38">
        <v>187</v>
      </c>
      <c r="S38">
        <v>187</v>
      </c>
      <c r="T38">
        <v>104</v>
      </c>
      <c r="U38">
        <v>112</v>
      </c>
      <c r="V38">
        <v>105</v>
      </c>
      <c r="W38">
        <v>82</v>
      </c>
      <c r="X38">
        <v>82</v>
      </c>
      <c r="Y38">
        <v>105</v>
      </c>
      <c r="Z38">
        <v>105</v>
      </c>
      <c r="AA38">
        <v>99</v>
      </c>
      <c r="AB38">
        <v>178</v>
      </c>
      <c r="AC38">
        <v>434</v>
      </c>
      <c r="AD38">
        <v>434</v>
      </c>
      <c r="AE38">
        <v>34</v>
      </c>
      <c r="AF38">
        <v>120</v>
      </c>
      <c r="AG38">
        <v>120</v>
      </c>
      <c r="AH38">
        <v>104</v>
      </c>
      <c r="AI38">
        <v>178</v>
      </c>
      <c r="AJ38">
        <v>178</v>
      </c>
      <c r="AK38">
        <v>178</v>
      </c>
      <c r="AL38">
        <v>178</v>
      </c>
      <c r="AM38">
        <v>120</v>
      </c>
      <c r="AN38">
        <v>178</v>
      </c>
      <c r="AO38">
        <v>99</v>
      </c>
      <c r="AP38">
        <v>178</v>
      </c>
      <c r="AQ38">
        <v>140</v>
      </c>
      <c r="AR38">
        <v>140</v>
      </c>
      <c r="AS38">
        <v>99</v>
      </c>
      <c r="AT38">
        <v>105</v>
      </c>
      <c r="AU38">
        <v>99</v>
      </c>
      <c r="AV38">
        <v>96</v>
      </c>
      <c r="AW38">
        <v>96</v>
      </c>
      <c r="AX38">
        <v>178</v>
      </c>
      <c r="AY38">
        <v>178</v>
      </c>
      <c r="AZ38">
        <v>120</v>
      </c>
      <c r="BA38">
        <v>120</v>
      </c>
      <c r="BB38">
        <v>178</v>
      </c>
      <c r="BC38">
        <v>178</v>
      </c>
      <c r="BD38">
        <v>178</v>
      </c>
      <c r="BE38">
        <v>105</v>
      </c>
      <c r="BF38">
        <v>99</v>
      </c>
      <c r="BG38">
        <v>99</v>
      </c>
      <c r="BH38">
        <v>99</v>
      </c>
      <c r="BI38">
        <v>82</v>
      </c>
      <c r="BJ38">
        <v>82</v>
      </c>
      <c r="BK38">
        <v>136</v>
      </c>
      <c r="BL38">
        <v>140</v>
      </c>
      <c r="BM38">
        <v>130</v>
      </c>
      <c r="BN38">
        <v>99</v>
      </c>
      <c r="BO38">
        <v>122</v>
      </c>
      <c r="BP38">
        <v>196</v>
      </c>
      <c r="BQ38">
        <v>178</v>
      </c>
      <c r="BR38">
        <v>136</v>
      </c>
      <c r="BS38">
        <v>178</v>
      </c>
      <c r="BT38">
        <v>124</v>
      </c>
      <c r="BU38">
        <v>178</v>
      </c>
      <c r="BV38">
        <v>178</v>
      </c>
      <c r="BW38">
        <v>178</v>
      </c>
      <c r="BX38">
        <v>99</v>
      </c>
      <c r="BY38">
        <v>136</v>
      </c>
      <c r="BZ38">
        <v>195</v>
      </c>
      <c r="CA38">
        <v>178</v>
      </c>
      <c r="CB38">
        <v>178</v>
      </c>
      <c r="CC38">
        <v>192</v>
      </c>
      <c r="CD38">
        <v>187</v>
      </c>
      <c r="CE38">
        <v>120</v>
      </c>
      <c r="CF38">
        <v>187</v>
      </c>
      <c r="CG38">
        <v>187</v>
      </c>
      <c r="CH38">
        <v>187</v>
      </c>
      <c r="CI38">
        <v>119</v>
      </c>
      <c r="CJ38">
        <v>119</v>
      </c>
      <c r="CK38">
        <v>570</v>
      </c>
      <c r="CL38">
        <v>570</v>
      </c>
      <c r="CM38">
        <v>140</v>
      </c>
      <c r="CN38">
        <v>140</v>
      </c>
      <c r="CO38">
        <v>842</v>
      </c>
      <c r="CP38">
        <v>105</v>
      </c>
      <c r="CQ38">
        <v>109</v>
      </c>
      <c r="CR38">
        <v>109</v>
      </c>
      <c r="CS38">
        <v>82</v>
      </c>
      <c r="CT38">
        <v>82</v>
      </c>
      <c r="CU38">
        <v>75</v>
      </c>
      <c r="CV38">
        <v>75</v>
      </c>
      <c r="CW38">
        <v>178</v>
      </c>
      <c r="CX38">
        <v>178</v>
      </c>
      <c r="CY38">
        <v>178</v>
      </c>
      <c r="CZ38">
        <v>178</v>
      </c>
      <c r="DA38">
        <v>82</v>
      </c>
      <c r="DB38">
        <v>82</v>
      </c>
      <c r="DC38">
        <v>710</v>
      </c>
      <c r="DD38">
        <v>69</v>
      </c>
      <c r="DE38">
        <v>70</v>
      </c>
      <c r="DF38">
        <v>710</v>
      </c>
      <c r="DG38">
        <v>710</v>
      </c>
      <c r="DH38">
        <v>710</v>
      </c>
      <c r="DI38">
        <v>144</v>
      </c>
      <c r="DJ38">
        <v>63</v>
      </c>
      <c r="DK38">
        <v>99</v>
      </c>
      <c r="DL38">
        <v>570</v>
      </c>
      <c r="DM38">
        <v>570</v>
      </c>
      <c r="DN38">
        <v>178</v>
      </c>
      <c r="DO38">
        <v>200</v>
      </c>
      <c r="DP38">
        <v>109</v>
      </c>
      <c r="DQ38">
        <v>109</v>
      </c>
      <c r="DR38">
        <v>79</v>
      </c>
      <c r="DS38">
        <v>79</v>
      </c>
      <c r="DT38">
        <v>434</v>
      </c>
      <c r="DU38">
        <v>740</v>
      </c>
      <c r="DV38">
        <v>228</v>
      </c>
      <c r="DW38">
        <v>115</v>
      </c>
      <c r="DX38">
        <v>195</v>
      </c>
      <c r="DY38">
        <v>124</v>
      </c>
      <c r="DZ38">
        <v>80</v>
      </c>
      <c r="EA38">
        <v>120</v>
      </c>
      <c r="EB38">
        <v>105</v>
      </c>
      <c r="EC38">
        <v>178</v>
      </c>
      <c r="ED38">
        <v>178</v>
      </c>
      <c r="EE38">
        <v>178</v>
      </c>
      <c r="EF38">
        <v>69</v>
      </c>
      <c r="EG38">
        <v>70</v>
      </c>
      <c r="EH38">
        <v>69</v>
      </c>
      <c r="EI38">
        <v>69</v>
      </c>
      <c r="EJ38">
        <v>132</v>
      </c>
      <c r="EK38">
        <v>132</v>
      </c>
      <c r="EL38">
        <v>710</v>
      </c>
      <c r="EM38">
        <v>710</v>
      </c>
      <c r="EN38">
        <v>66</v>
      </c>
      <c r="EO38">
        <v>66</v>
      </c>
      <c r="EP38">
        <v>710</v>
      </c>
      <c r="EQ38">
        <v>109</v>
      </c>
      <c r="ER38">
        <v>109</v>
      </c>
      <c r="ES38">
        <v>82</v>
      </c>
      <c r="ET38">
        <v>82</v>
      </c>
      <c r="EU38">
        <v>144</v>
      </c>
      <c r="EV38">
        <v>144</v>
      </c>
      <c r="EW38">
        <v>710</v>
      </c>
      <c r="EX38">
        <v>178</v>
      </c>
      <c r="EY38">
        <v>124</v>
      </c>
      <c r="EZ38">
        <v>99</v>
      </c>
      <c r="FA38">
        <v>99</v>
      </c>
      <c r="FB38">
        <v>99</v>
      </c>
      <c r="FC38">
        <v>761</v>
      </c>
      <c r="FD38">
        <v>187</v>
      </c>
      <c r="FE38">
        <v>761</v>
      </c>
      <c r="FF38">
        <v>761</v>
      </c>
      <c r="FG38">
        <v>761</v>
      </c>
      <c r="FH38">
        <v>178</v>
      </c>
      <c r="FI38">
        <v>178</v>
      </c>
      <c r="FJ38">
        <v>115</v>
      </c>
      <c r="FK38">
        <v>434</v>
      </c>
      <c r="FL38">
        <v>434</v>
      </c>
      <c r="FM38">
        <v>555</v>
      </c>
      <c r="FN38">
        <v>123</v>
      </c>
      <c r="FO38">
        <v>178</v>
      </c>
      <c r="FP38">
        <v>130</v>
      </c>
      <c r="FQ38">
        <v>178</v>
      </c>
      <c r="FR38">
        <v>103</v>
      </c>
      <c r="FS38">
        <v>238</v>
      </c>
      <c r="FT38">
        <v>434</v>
      </c>
      <c r="FU38">
        <v>178</v>
      </c>
      <c r="FV38">
        <v>132</v>
      </c>
      <c r="FW38">
        <v>178</v>
      </c>
      <c r="FX38">
        <v>144</v>
      </c>
      <c r="FY38">
        <v>144</v>
      </c>
      <c r="FZ38">
        <v>140</v>
      </c>
      <c r="GA38">
        <v>140</v>
      </c>
      <c r="GB38">
        <v>136</v>
      </c>
      <c r="GC38">
        <v>178</v>
      </c>
      <c r="GD38">
        <v>178</v>
      </c>
      <c r="GE38">
        <v>178</v>
      </c>
      <c r="GF38">
        <v>196</v>
      </c>
      <c r="GG38">
        <v>178</v>
      </c>
      <c r="GH38">
        <v>178</v>
      </c>
      <c r="GI38">
        <v>178</v>
      </c>
      <c r="GJ38">
        <v>130</v>
      </c>
      <c r="GK38">
        <v>99</v>
      </c>
      <c r="GL38">
        <v>136</v>
      </c>
      <c r="GM38">
        <v>178</v>
      </c>
      <c r="GN38">
        <v>105</v>
      </c>
      <c r="GO38">
        <v>187</v>
      </c>
      <c r="GP38">
        <v>187</v>
      </c>
      <c r="GQ38">
        <v>187</v>
      </c>
      <c r="GR38">
        <v>105</v>
      </c>
      <c r="GS38">
        <v>130</v>
      </c>
      <c r="GT38">
        <v>434</v>
      </c>
      <c r="GU38">
        <v>105</v>
      </c>
      <c r="GV38">
        <v>105</v>
      </c>
      <c r="GW38">
        <v>593</v>
      </c>
      <c r="GX38">
        <v>119</v>
      </c>
      <c r="GY38">
        <v>178</v>
      </c>
      <c r="GZ38">
        <v>120</v>
      </c>
      <c r="HA38">
        <v>178</v>
      </c>
      <c r="HB38">
        <v>178</v>
      </c>
      <c r="HC38">
        <v>178</v>
      </c>
      <c r="HD38">
        <v>646</v>
      </c>
      <c r="HE38">
        <v>161</v>
      </c>
      <c r="HF38">
        <v>161</v>
      </c>
      <c r="HG38">
        <v>434</v>
      </c>
      <c r="HH38">
        <v>434</v>
      </c>
      <c r="HI38">
        <v>187</v>
      </c>
      <c r="HJ38">
        <v>124</v>
      </c>
      <c r="HK38">
        <v>99</v>
      </c>
      <c r="HL38">
        <v>105</v>
      </c>
      <c r="HM38">
        <v>63</v>
      </c>
      <c r="HN38">
        <v>178</v>
      </c>
      <c r="HO38">
        <v>187</v>
      </c>
      <c r="HP38">
        <v>136</v>
      </c>
      <c r="HQ38">
        <v>187</v>
      </c>
      <c r="HR38">
        <v>187</v>
      </c>
      <c r="HS38">
        <v>99</v>
      </c>
      <c r="HT38">
        <v>99</v>
      </c>
      <c r="HU38">
        <v>105</v>
      </c>
      <c r="HV38">
        <v>178</v>
      </c>
      <c r="HW38">
        <v>178</v>
      </c>
      <c r="HX38">
        <v>1577</v>
      </c>
      <c r="HY38">
        <v>1577</v>
      </c>
      <c r="HZ38">
        <v>143</v>
      </c>
      <c r="IA38">
        <v>104</v>
      </c>
      <c r="IB38">
        <v>82</v>
      </c>
      <c r="IC38">
        <v>82</v>
      </c>
      <c r="ID38">
        <v>82</v>
      </c>
      <c r="IE38">
        <v>82</v>
      </c>
      <c r="IF38">
        <v>186</v>
      </c>
      <c r="IG38">
        <v>124</v>
      </c>
      <c r="IH38">
        <v>136</v>
      </c>
      <c r="II38">
        <v>99</v>
      </c>
      <c r="IJ38">
        <v>178</v>
      </c>
      <c r="IK38">
        <v>178</v>
      </c>
      <c r="IL38">
        <v>99</v>
      </c>
      <c r="IM38">
        <v>99</v>
      </c>
      <c r="IN38">
        <v>105</v>
      </c>
      <c r="IO38">
        <v>105</v>
      </c>
      <c r="IP38">
        <v>99</v>
      </c>
      <c r="IQ38">
        <v>99</v>
      </c>
      <c r="IR38">
        <v>100</v>
      </c>
      <c r="IS38">
        <v>100</v>
      </c>
      <c r="IT38">
        <v>200</v>
      </c>
      <c r="IU38">
        <v>143</v>
      </c>
      <c r="IV38">
        <v>82</v>
      </c>
      <c r="IW38">
        <v>82</v>
      </c>
      <c r="IX38">
        <v>82</v>
      </c>
      <c r="IY38">
        <v>412</v>
      </c>
      <c r="IZ38">
        <v>412</v>
      </c>
      <c r="JA38">
        <v>82</v>
      </c>
      <c r="JB38">
        <v>82</v>
      </c>
      <c r="JC38">
        <v>109</v>
      </c>
      <c r="JD38">
        <v>178</v>
      </c>
      <c r="JE38">
        <v>99</v>
      </c>
      <c r="JF38">
        <v>82</v>
      </c>
      <c r="JG38">
        <v>109</v>
      </c>
      <c r="JH38">
        <v>140</v>
      </c>
      <c r="JI38">
        <v>140</v>
      </c>
      <c r="JJ38">
        <v>196</v>
      </c>
      <c r="JK38">
        <v>178</v>
      </c>
      <c r="JL38">
        <v>178</v>
      </c>
      <c r="JM38">
        <v>99</v>
      </c>
      <c r="JN38">
        <v>178</v>
      </c>
      <c r="JO38">
        <v>350</v>
      </c>
      <c r="JP38">
        <v>99</v>
      </c>
      <c r="JQ38">
        <v>99</v>
      </c>
      <c r="JR38">
        <v>99</v>
      </c>
      <c r="JS38">
        <v>392</v>
      </c>
      <c r="JT38">
        <v>97</v>
      </c>
      <c r="JU38">
        <v>99</v>
      </c>
      <c r="JV38">
        <v>761</v>
      </c>
      <c r="JW38">
        <v>178</v>
      </c>
      <c r="JX38">
        <v>124</v>
      </c>
      <c r="JY38">
        <v>103</v>
      </c>
      <c r="JZ38">
        <v>178</v>
      </c>
      <c r="KA38">
        <v>746</v>
      </c>
      <c r="KB38">
        <v>646</v>
      </c>
      <c r="KC38">
        <v>178</v>
      </c>
      <c r="KD38">
        <v>178</v>
      </c>
      <c r="KE38">
        <v>178</v>
      </c>
      <c r="KF38">
        <v>178</v>
      </c>
      <c r="KG38">
        <v>190</v>
      </c>
      <c r="KH38">
        <v>105</v>
      </c>
      <c r="KI38">
        <v>136</v>
      </c>
      <c r="KJ38">
        <v>134</v>
      </c>
      <c r="KK38">
        <v>136</v>
      </c>
      <c r="KL38">
        <v>136</v>
      </c>
      <c r="KM38">
        <v>99</v>
      </c>
      <c r="KN38">
        <v>105</v>
      </c>
      <c r="KO38">
        <v>99</v>
      </c>
      <c r="KP38">
        <v>105</v>
      </c>
      <c r="KQ38">
        <v>99</v>
      </c>
      <c r="KR38">
        <v>99</v>
      </c>
      <c r="KS38">
        <v>99</v>
      </c>
      <c r="KT38">
        <v>74</v>
      </c>
      <c r="KU38">
        <v>74</v>
      </c>
      <c r="KV38">
        <v>99</v>
      </c>
      <c r="KW38">
        <v>178</v>
      </c>
      <c r="KX38">
        <v>178</v>
      </c>
      <c r="KY38">
        <v>99</v>
      </c>
      <c r="KZ38">
        <v>104</v>
      </c>
      <c r="LA38">
        <v>178</v>
      </c>
      <c r="LB38">
        <v>178</v>
      </c>
      <c r="LC38">
        <v>211</v>
      </c>
      <c r="LD38">
        <v>196</v>
      </c>
      <c r="LE38">
        <v>69</v>
      </c>
      <c r="LF38">
        <v>69</v>
      </c>
      <c r="LG38">
        <v>144</v>
      </c>
      <c r="LH38">
        <v>144</v>
      </c>
      <c r="LI38">
        <v>103</v>
      </c>
      <c r="LJ38">
        <v>99</v>
      </c>
      <c r="LK38">
        <v>99</v>
      </c>
      <c r="LL38">
        <v>82</v>
      </c>
      <c r="LM38">
        <v>82</v>
      </c>
      <c r="LN38">
        <v>82</v>
      </c>
      <c r="LO38">
        <v>82</v>
      </c>
      <c r="LP38">
        <v>82</v>
      </c>
      <c r="LQ38">
        <v>99</v>
      </c>
      <c r="LR38">
        <v>79</v>
      </c>
      <c r="LS38">
        <v>79</v>
      </c>
      <c r="LT38">
        <v>108</v>
      </c>
      <c r="LU38">
        <v>109</v>
      </c>
      <c r="LV38">
        <v>109</v>
      </c>
      <c r="LW38">
        <v>99</v>
      </c>
      <c r="LX38">
        <v>99</v>
      </c>
      <c r="LY38">
        <v>99</v>
      </c>
      <c r="LZ38">
        <v>178</v>
      </c>
      <c r="MA38">
        <v>393</v>
      </c>
      <c r="MB38">
        <v>350</v>
      </c>
      <c r="MC38">
        <v>350</v>
      </c>
      <c r="MD38">
        <v>434</v>
      </c>
      <c r="ME38">
        <v>1283</v>
      </c>
      <c r="MF38">
        <v>351</v>
      </c>
      <c r="MG38">
        <v>140</v>
      </c>
      <c r="MH38">
        <v>140</v>
      </c>
      <c r="MI38">
        <v>140</v>
      </c>
      <c r="MJ38">
        <v>186</v>
      </c>
      <c r="MK38">
        <v>157</v>
      </c>
      <c r="ML38">
        <v>144</v>
      </c>
      <c r="MM38">
        <v>186</v>
      </c>
      <c r="MN38">
        <v>195</v>
      </c>
      <c r="MO38">
        <v>105</v>
      </c>
      <c r="MP38">
        <v>119</v>
      </c>
      <c r="MQ38">
        <v>593</v>
      </c>
      <c r="MR38">
        <v>119</v>
      </c>
      <c r="MS38">
        <v>332</v>
      </c>
      <c r="MT38">
        <v>120</v>
      </c>
      <c r="MU38">
        <v>80</v>
      </c>
      <c r="MV38">
        <v>536</v>
      </c>
      <c r="MW38">
        <v>105</v>
      </c>
      <c r="MX38">
        <v>144</v>
      </c>
      <c r="MY38">
        <v>144</v>
      </c>
      <c r="MZ38">
        <v>105</v>
      </c>
      <c r="NA38">
        <v>384</v>
      </c>
      <c r="NB38">
        <v>99</v>
      </c>
      <c r="NC38">
        <v>99</v>
      </c>
      <c r="ND38">
        <v>434</v>
      </c>
      <c r="NE38">
        <v>98</v>
      </c>
      <c r="NF38">
        <v>107</v>
      </c>
      <c r="NG38">
        <v>140</v>
      </c>
      <c r="NH38">
        <v>107</v>
      </c>
      <c r="NI38">
        <v>140</v>
      </c>
      <c r="NJ38">
        <v>99</v>
      </c>
      <c r="NK38">
        <v>99</v>
      </c>
      <c r="NL38">
        <v>178</v>
      </c>
      <c r="NM38">
        <v>103</v>
      </c>
      <c r="NN38">
        <v>103</v>
      </c>
      <c r="NO38">
        <v>103</v>
      </c>
      <c r="NP38">
        <v>120</v>
      </c>
      <c r="NQ38">
        <v>120</v>
      </c>
      <c r="NR38">
        <v>570</v>
      </c>
      <c r="NS38">
        <v>99</v>
      </c>
      <c r="NT38">
        <v>393</v>
      </c>
      <c r="NU38">
        <v>434</v>
      </c>
      <c r="NV38">
        <v>593</v>
      </c>
      <c r="NW38">
        <v>178</v>
      </c>
      <c r="NX38">
        <v>178</v>
      </c>
      <c r="NY38">
        <v>178</v>
      </c>
      <c r="NZ38">
        <v>178</v>
      </c>
      <c r="OA38">
        <v>136</v>
      </c>
      <c r="OB38">
        <v>122</v>
      </c>
      <c r="OC38">
        <v>82</v>
      </c>
      <c r="OD38">
        <v>82</v>
      </c>
      <c r="OE38">
        <v>105</v>
      </c>
      <c r="OF38">
        <v>434</v>
      </c>
      <c r="OG38">
        <v>350</v>
      </c>
      <c r="OH38">
        <v>99</v>
      </c>
      <c r="OI38">
        <v>99</v>
      </c>
      <c r="OJ38">
        <v>99</v>
      </c>
      <c r="OK38">
        <v>99</v>
      </c>
      <c r="OL38">
        <v>99</v>
      </c>
      <c r="OM38">
        <v>99</v>
      </c>
      <c r="ON38">
        <v>200</v>
      </c>
      <c r="OO38">
        <v>200</v>
      </c>
      <c r="OP38">
        <v>119</v>
      </c>
      <c r="OQ38">
        <v>105</v>
      </c>
      <c r="OR38">
        <v>105</v>
      </c>
      <c r="OS38">
        <v>195</v>
      </c>
      <c r="OT38">
        <v>710</v>
      </c>
      <c r="OU38">
        <v>82</v>
      </c>
      <c r="OV38">
        <v>80</v>
      </c>
      <c r="OW38">
        <v>107</v>
      </c>
      <c r="OX38">
        <v>140</v>
      </c>
      <c r="OY38">
        <v>136</v>
      </c>
      <c r="OZ38">
        <v>136</v>
      </c>
      <c r="PA38">
        <v>104</v>
      </c>
      <c r="PB38">
        <v>196</v>
      </c>
      <c r="PC38">
        <v>80</v>
      </c>
      <c r="PD38">
        <v>562</v>
      </c>
      <c r="PE38">
        <v>120</v>
      </c>
      <c r="PF38">
        <v>267</v>
      </c>
      <c r="PG38">
        <v>351</v>
      </c>
      <c r="PH38">
        <v>593</v>
      </c>
      <c r="PI38">
        <v>178</v>
      </c>
      <c r="PJ38">
        <v>99</v>
      </c>
      <c r="PK38">
        <v>134</v>
      </c>
      <c r="PL38">
        <v>103</v>
      </c>
      <c r="PM38">
        <v>103</v>
      </c>
      <c r="PN38">
        <v>710</v>
      </c>
      <c r="PO38">
        <v>710</v>
      </c>
      <c r="PP38">
        <v>710</v>
      </c>
      <c r="PQ38">
        <v>185</v>
      </c>
      <c r="PR38">
        <v>178</v>
      </c>
      <c r="PS38">
        <v>99</v>
      </c>
      <c r="PT38">
        <v>178</v>
      </c>
      <c r="PU38">
        <v>178</v>
      </c>
      <c r="PV38">
        <v>119</v>
      </c>
      <c r="PW38">
        <v>120</v>
      </c>
      <c r="PX38">
        <v>136</v>
      </c>
      <c r="PY38">
        <v>434</v>
      </c>
      <c r="PZ38">
        <v>512</v>
      </c>
      <c r="QA38">
        <v>99</v>
      </c>
      <c r="QB38">
        <v>80</v>
      </c>
      <c r="QC38">
        <v>269</v>
      </c>
      <c r="QD38">
        <v>178</v>
      </c>
      <c r="QE38">
        <v>140</v>
      </c>
      <c r="QF38">
        <v>136</v>
      </c>
      <c r="QG38">
        <v>731</v>
      </c>
      <c r="QH38">
        <v>731</v>
      </c>
      <c r="QI38">
        <v>660</v>
      </c>
      <c r="QJ38">
        <v>660</v>
      </c>
      <c r="QK38">
        <v>136</v>
      </c>
      <c r="QL38">
        <v>99</v>
      </c>
      <c r="QM38">
        <v>99</v>
      </c>
      <c r="QN38">
        <v>350</v>
      </c>
      <c r="QO38">
        <v>350</v>
      </c>
      <c r="QP38">
        <v>99</v>
      </c>
      <c r="QQ38">
        <v>178</v>
      </c>
      <c r="QR38">
        <v>99</v>
      </c>
      <c r="QS38">
        <v>109</v>
      </c>
      <c r="QT38">
        <v>143</v>
      </c>
      <c r="QU38">
        <v>434</v>
      </c>
      <c r="QV38">
        <v>178</v>
      </c>
      <c r="QW38">
        <v>99</v>
      </c>
      <c r="QX38">
        <v>140</v>
      </c>
      <c r="QY38">
        <v>190</v>
      </c>
      <c r="QZ38">
        <v>195</v>
      </c>
      <c r="RA38">
        <v>135</v>
      </c>
      <c r="RB38">
        <v>195</v>
      </c>
      <c r="RC38">
        <v>710</v>
      </c>
      <c r="RD38">
        <v>136</v>
      </c>
      <c r="RE38">
        <v>105</v>
      </c>
      <c r="RF38">
        <v>124</v>
      </c>
      <c r="RG38">
        <v>99</v>
      </c>
      <c r="RH38">
        <v>353</v>
      </c>
      <c r="RI38">
        <v>178</v>
      </c>
      <c r="RJ38">
        <v>99</v>
      </c>
      <c r="RK38">
        <v>136</v>
      </c>
      <c r="RL38">
        <v>99</v>
      </c>
      <c r="RM38">
        <v>187</v>
      </c>
      <c r="RN38">
        <v>99</v>
      </c>
      <c r="RO38">
        <v>761</v>
      </c>
      <c r="RP38">
        <v>761</v>
      </c>
      <c r="RQ38">
        <v>99</v>
      </c>
      <c r="RR38">
        <v>99</v>
      </c>
      <c r="RS38">
        <v>99</v>
      </c>
      <c r="RT38">
        <v>99</v>
      </c>
      <c r="RU38">
        <v>136</v>
      </c>
      <c r="RV38">
        <v>124</v>
      </c>
      <c r="RW38">
        <v>99</v>
      </c>
      <c r="RX38">
        <v>99</v>
      </c>
      <c r="RY38">
        <v>136</v>
      </c>
      <c r="RZ38">
        <v>105</v>
      </c>
      <c r="SA38">
        <v>136</v>
      </c>
      <c r="SB38">
        <v>100</v>
      </c>
      <c r="SC38">
        <v>99</v>
      </c>
      <c r="SD38">
        <v>178</v>
      </c>
      <c r="SE38">
        <v>99</v>
      </c>
      <c r="SF38">
        <v>99</v>
      </c>
      <c r="SG38">
        <v>99</v>
      </c>
      <c r="SH38">
        <v>99</v>
      </c>
      <c r="SI38">
        <v>82</v>
      </c>
      <c r="SJ38">
        <v>80</v>
      </c>
      <c r="SK38">
        <v>99</v>
      </c>
      <c r="SL38">
        <v>99</v>
      </c>
      <c r="SM38">
        <v>95</v>
      </c>
      <c r="SN38">
        <v>710</v>
      </c>
      <c r="SO38">
        <v>710</v>
      </c>
      <c r="SP38">
        <v>350</v>
      </c>
      <c r="SQ38">
        <v>120</v>
      </c>
      <c r="SR38">
        <v>104</v>
      </c>
      <c r="SS38">
        <v>710</v>
      </c>
      <c r="ST38">
        <v>710</v>
      </c>
      <c r="SU38">
        <v>99</v>
      </c>
      <c r="SV38">
        <v>99</v>
      </c>
      <c r="SW38">
        <v>80</v>
      </c>
      <c r="SX38">
        <v>178</v>
      </c>
      <c r="SY38">
        <v>269</v>
      </c>
      <c r="SZ38">
        <v>325</v>
      </c>
      <c r="TA38">
        <v>350</v>
      </c>
      <c r="TB38">
        <v>119</v>
      </c>
      <c r="TC38">
        <v>120</v>
      </c>
      <c r="TD38">
        <v>140</v>
      </c>
      <c r="TE38">
        <v>140</v>
      </c>
      <c r="TF38">
        <v>99</v>
      </c>
      <c r="TG38">
        <v>105</v>
      </c>
      <c r="TH38">
        <v>100</v>
      </c>
      <c r="TI38">
        <v>120</v>
      </c>
      <c r="TJ38">
        <v>139</v>
      </c>
      <c r="TK38">
        <v>135</v>
      </c>
      <c r="TL38">
        <v>190</v>
      </c>
      <c r="TM38">
        <v>99</v>
      </c>
      <c r="TN38">
        <v>99</v>
      </c>
      <c r="TO38">
        <v>1283</v>
      </c>
      <c r="TP38">
        <v>537</v>
      </c>
      <c r="TQ38">
        <v>178</v>
      </c>
      <c r="TR38">
        <v>178</v>
      </c>
      <c r="TS38">
        <v>178</v>
      </c>
      <c r="TT38">
        <v>105</v>
      </c>
      <c r="TU38">
        <v>105</v>
      </c>
      <c r="TV38">
        <v>136</v>
      </c>
      <c r="TW38">
        <v>105</v>
      </c>
      <c r="TX38">
        <v>82</v>
      </c>
      <c r="TY38">
        <v>82</v>
      </c>
      <c r="TZ38">
        <v>119</v>
      </c>
      <c r="UA38">
        <v>332</v>
      </c>
      <c r="UB38">
        <v>109</v>
      </c>
      <c r="UC38">
        <v>82</v>
      </c>
      <c r="UD38">
        <v>186</v>
      </c>
      <c r="UE38">
        <v>105</v>
      </c>
      <c r="UF38">
        <v>434</v>
      </c>
      <c r="UG38">
        <v>1577</v>
      </c>
      <c r="UH38">
        <v>105</v>
      </c>
      <c r="UI38">
        <v>105</v>
      </c>
      <c r="UJ38">
        <v>267</v>
      </c>
      <c r="UK38">
        <v>269</v>
      </c>
      <c r="UL38">
        <v>269</v>
      </c>
      <c r="UM38">
        <v>593</v>
      </c>
      <c r="UN38">
        <v>178</v>
      </c>
      <c r="UO38">
        <v>136</v>
      </c>
      <c r="UP38">
        <v>467</v>
      </c>
      <c r="UQ38">
        <v>63</v>
      </c>
      <c r="UR38">
        <v>195</v>
      </c>
      <c r="US38">
        <v>178</v>
      </c>
      <c r="UT38">
        <v>125</v>
      </c>
      <c r="UU38">
        <v>125</v>
      </c>
      <c r="UV38">
        <v>99</v>
      </c>
      <c r="UW38">
        <v>95</v>
      </c>
      <c r="UX38">
        <v>99</v>
      </c>
      <c r="UY38">
        <v>178</v>
      </c>
      <c r="UZ38">
        <v>178</v>
      </c>
      <c r="VA38">
        <v>105</v>
      </c>
      <c r="VB38">
        <v>99</v>
      </c>
      <c r="VC38">
        <v>99</v>
      </c>
      <c r="VD38">
        <v>105</v>
      </c>
      <c r="VE38">
        <v>105</v>
      </c>
      <c r="VF38">
        <v>105</v>
      </c>
      <c r="VG38">
        <v>710</v>
      </c>
      <c r="VH38">
        <v>710</v>
      </c>
      <c r="VI38">
        <v>79</v>
      </c>
      <c r="VJ38">
        <v>79</v>
      </c>
      <c r="VK38">
        <v>105</v>
      </c>
      <c r="VL38">
        <v>178</v>
      </c>
      <c r="VM38">
        <v>186</v>
      </c>
      <c r="VN38">
        <v>178</v>
      </c>
      <c r="VO38">
        <v>685</v>
      </c>
    </row>
    <row r="39" spans="1:587" x14ac:dyDescent="0.3">
      <c r="A39" t="s">
        <v>3034</v>
      </c>
      <c r="B39" cm="1">
        <f t="array" ref="B39:VO39">1*TRANSPOSE(_xlfn._xlws.FILTER(branch!$I$2:$I$591,branch!$D$2:$D$591&lt;&gt;0))</f>
        <v>99</v>
      </c>
      <c r="C39">
        <v>99</v>
      </c>
      <c r="D39">
        <v>178</v>
      </c>
      <c r="E39">
        <v>145</v>
      </c>
      <c r="F39">
        <v>536</v>
      </c>
      <c r="G39">
        <v>393</v>
      </c>
      <c r="H39">
        <v>393</v>
      </c>
      <c r="I39">
        <v>593</v>
      </c>
      <c r="J39">
        <v>434</v>
      </c>
      <c r="K39">
        <v>99</v>
      </c>
      <c r="L39">
        <v>140</v>
      </c>
      <c r="M39">
        <v>103</v>
      </c>
      <c r="N39">
        <v>109</v>
      </c>
      <c r="O39">
        <v>105</v>
      </c>
      <c r="P39">
        <v>99</v>
      </c>
      <c r="Q39">
        <v>187</v>
      </c>
      <c r="R39">
        <v>187</v>
      </c>
      <c r="S39">
        <v>187</v>
      </c>
      <c r="T39">
        <v>104</v>
      </c>
      <c r="U39">
        <v>112</v>
      </c>
      <c r="V39">
        <v>105</v>
      </c>
      <c r="W39">
        <v>82</v>
      </c>
      <c r="X39">
        <v>82</v>
      </c>
      <c r="Y39">
        <v>105</v>
      </c>
      <c r="Z39">
        <v>105</v>
      </c>
      <c r="AA39">
        <v>99</v>
      </c>
      <c r="AB39">
        <v>178</v>
      </c>
      <c r="AC39">
        <v>434</v>
      </c>
      <c r="AD39">
        <v>434</v>
      </c>
      <c r="AE39">
        <v>34</v>
      </c>
      <c r="AF39">
        <v>120</v>
      </c>
      <c r="AG39">
        <v>120</v>
      </c>
      <c r="AH39">
        <v>104</v>
      </c>
      <c r="AI39">
        <v>178</v>
      </c>
      <c r="AJ39">
        <v>178</v>
      </c>
      <c r="AK39">
        <v>178</v>
      </c>
      <c r="AL39">
        <v>178</v>
      </c>
      <c r="AM39">
        <v>120</v>
      </c>
      <c r="AN39">
        <v>178</v>
      </c>
      <c r="AO39">
        <v>99</v>
      </c>
      <c r="AP39">
        <v>178</v>
      </c>
      <c r="AQ39">
        <v>140</v>
      </c>
      <c r="AR39">
        <v>140</v>
      </c>
      <c r="AS39">
        <v>99</v>
      </c>
      <c r="AT39">
        <v>105</v>
      </c>
      <c r="AU39">
        <v>99</v>
      </c>
      <c r="AV39">
        <v>96</v>
      </c>
      <c r="AW39">
        <v>96</v>
      </c>
      <c r="AX39">
        <v>178</v>
      </c>
      <c r="AY39">
        <v>178</v>
      </c>
      <c r="AZ39">
        <v>120</v>
      </c>
      <c r="BA39">
        <v>120</v>
      </c>
      <c r="BB39">
        <v>178</v>
      </c>
      <c r="BC39">
        <v>178</v>
      </c>
      <c r="BD39">
        <v>178</v>
      </c>
      <c r="BE39">
        <v>105</v>
      </c>
      <c r="BF39">
        <v>99</v>
      </c>
      <c r="BG39">
        <v>99</v>
      </c>
      <c r="BH39">
        <v>99</v>
      </c>
      <c r="BI39">
        <v>82</v>
      </c>
      <c r="BJ39">
        <v>82</v>
      </c>
      <c r="BK39">
        <v>136</v>
      </c>
      <c r="BL39">
        <v>140</v>
      </c>
      <c r="BM39">
        <v>130</v>
      </c>
      <c r="BN39">
        <v>99</v>
      </c>
      <c r="BO39">
        <v>122</v>
      </c>
      <c r="BP39">
        <v>196</v>
      </c>
      <c r="BQ39">
        <v>178</v>
      </c>
      <c r="BR39">
        <v>136</v>
      </c>
      <c r="BS39">
        <v>178</v>
      </c>
      <c r="BT39">
        <v>124</v>
      </c>
      <c r="BU39">
        <v>178</v>
      </c>
      <c r="BV39">
        <v>178</v>
      </c>
      <c r="BW39">
        <v>178</v>
      </c>
      <c r="BX39">
        <v>99</v>
      </c>
      <c r="BY39">
        <v>136</v>
      </c>
      <c r="BZ39">
        <v>195</v>
      </c>
      <c r="CA39">
        <v>178</v>
      </c>
      <c r="CB39">
        <v>178</v>
      </c>
      <c r="CC39">
        <v>192</v>
      </c>
      <c r="CD39">
        <v>187</v>
      </c>
      <c r="CE39">
        <v>120</v>
      </c>
      <c r="CF39">
        <v>187</v>
      </c>
      <c r="CG39">
        <v>187</v>
      </c>
      <c r="CH39">
        <v>187</v>
      </c>
      <c r="CI39">
        <v>119</v>
      </c>
      <c r="CJ39">
        <v>119</v>
      </c>
      <c r="CK39">
        <v>570</v>
      </c>
      <c r="CL39">
        <v>570</v>
      </c>
      <c r="CM39">
        <v>140</v>
      </c>
      <c r="CN39">
        <v>140</v>
      </c>
      <c r="CO39">
        <v>842</v>
      </c>
      <c r="CP39">
        <v>105</v>
      </c>
      <c r="CQ39">
        <v>109</v>
      </c>
      <c r="CR39">
        <v>109</v>
      </c>
      <c r="CS39">
        <v>82</v>
      </c>
      <c r="CT39">
        <v>82</v>
      </c>
      <c r="CU39">
        <v>75</v>
      </c>
      <c r="CV39">
        <v>75</v>
      </c>
      <c r="CW39">
        <v>178</v>
      </c>
      <c r="CX39">
        <v>178</v>
      </c>
      <c r="CY39">
        <v>178</v>
      </c>
      <c r="CZ39">
        <v>178</v>
      </c>
      <c r="DA39">
        <v>82</v>
      </c>
      <c r="DB39">
        <v>82</v>
      </c>
      <c r="DC39">
        <v>710</v>
      </c>
      <c r="DD39">
        <v>69</v>
      </c>
      <c r="DE39">
        <v>70</v>
      </c>
      <c r="DF39">
        <v>710</v>
      </c>
      <c r="DG39">
        <v>710</v>
      </c>
      <c r="DH39">
        <v>710</v>
      </c>
      <c r="DI39">
        <v>144</v>
      </c>
      <c r="DJ39">
        <v>63</v>
      </c>
      <c r="DK39">
        <v>99</v>
      </c>
      <c r="DL39">
        <v>570</v>
      </c>
      <c r="DM39">
        <v>570</v>
      </c>
      <c r="DN39">
        <v>178</v>
      </c>
      <c r="DO39">
        <v>200</v>
      </c>
      <c r="DP39">
        <v>109</v>
      </c>
      <c r="DQ39">
        <v>109</v>
      </c>
      <c r="DR39">
        <v>79</v>
      </c>
      <c r="DS39">
        <v>79</v>
      </c>
      <c r="DT39">
        <v>434</v>
      </c>
      <c r="DU39">
        <v>740</v>
      </c>
      <c r="DV39">
        <v>228</v>
      </c>
      <c r="DW39">
        <v>115</v>
      </c>
      <c r="DX39">
        <v>195</v>
      </c>
      <c r="DY39">
        <v>124</v>
      </c>
      <c r="DZ39">
        <v>80</v>
      </c>
      <c r="EA39">
        <v>120</v>
      </c>
      <c r="EB39">
        <v>105</v>
      </c>
      <c r="EC39">
        <v>178</v>
      </c>
      <c r="ED39">
        <v>178</v>
      </c>
      <c r="EE39">
        <v>178</v>
      </c>
      <c r="EF39">
        <v>69</v>
      </c>
      <c r="EG39">
        <v>70</v>
      </c>
      <c r="EH39">
        <v>69</v>
      </c>
      <c r="EI39">
        <v>69</v>
      </c>
      <c r="EJ39">
        <v>132</v>
      </c>
      <c r="EK39">
        <v>132</v>
      </c>
      <c r="EL39">
        <v>710</v>
      </c>
      <c r="EM39">
        <v>710</v>
      </c>
      <c r="EN39">
        <v>66</v>
      </c>
      <c r="EO39">
        <v>66</v>
      </c>
      <c r="EP39">
        <v>710</v>
      </c>
      <c r="EQ39">
        <v>109</v>
      </c>
      <c r="ER39">
        <v>109</v>
      </c>
      <c r="ES39">
        <v>82</v>
      </c>
      <c r="ET39">
        <v>82</v>
      </c>
      <c r="EU39">
        <v>144</v>
      </c>
      <c r="EV39">
        <v>144</v>
      </c>
      <c r="EW39">
        <v>710</v>
      </c>
      <c r="EX39">
        <v>178</v>
      </c>
      <c r="EY39">
        <v>124</v>
      </c>
      <c r="EZ39">
        <v>99</v>
      </c>
      <c r="FA39">
        <v>99</v>
      </c>
      <c r="FB39">
        <v>99</v>
      </c>
      <c r="FC39">
        <v>761</v>
      </c>
      <c r="FD39">
        <v>187</v>
      </c>
      <c r="FE39">
        <v>761</v>
      </c>
      <c r="FF39">
        <v>761</v>
      </c>
      <c r="FG39">
        <v>761</v>
      </c>
      <c r="FH39">
        <v>178</v>
      </c>
      <c r="FI39">
        <v>178</v>
      </c>
      <c r="FJ39">
        <v>115</v>
      </c>
      <c r="FK39">
        <v>434</v>
      </c>
      <c r="FL39">
        <v>434</v>
      </c>
      <c r="FM39">
        <v>555</v>
      </c>
      <c r="FN39">
        <v>123</v>
      </c>
      <c r="FO39">
        <v>178</v>
      </c>
      <c r="FP39">
        <v>130</v>
      </c>
      <c r="FQ39">
        <v>178</v>
      </c>
      <c r="FR39">
        <v>103</v>
      </c>
      <c r="FS39">
        <v>238</v>
      </c>
      <c r="FT39">
        <v>434</v>
      </c>
      <c r="FU39">
        <v>178</v>
      </c>
      <c r="FV39">
        <v>132</v>
      </c>
      <c r="FW39">
        <v>178</v>
      </c>
      <c r="FX39">
        <v>144</v>
      </c>
      <c r="FY39">
        <v>144</v>
      </c>
      <c r="FZ39">
        <v>140</v>
      </c>
      <c r="GA39">
        <v>140</v>
      </c>
      <c r="GB39">
        <v>136</v>
      </c>
      <c r="GC39">
        <v>178</v>
      </c>
      <c r="GD39">
        <v>178</v>
      </c>
      <c r="GE39">
        <v>178</v>
      </c>
      <c r="GF39">
        <v>196</v>
      </c>
      <c r="GG39">
        <v>178</v>
      </c>
      <c r="GH39">
        <v>178</v>
      </c>
      <c r="GI39">
        <v>178</v>
      </c>
      <c r="GJ39">
        <v>130</v>
      </c>
      <c r="GK39">
        <v>99</v>
      </c>
      <c r="GL39">
        <v>136</v>
      </c>
      <c r="GM39">
        <v>178</v>
      </c>
      <c r="GN39">
        <v>105</v>
      </c>
      <c r="GO39">
        <v>187</v>
      </c>
      <c r="GP39">
        <v>187</v>
      </c>
      <c r="GQ39">
        <v>187</v>
      </c>
      <c r="GR39">
        <v>105</v>
      </c>
      <c r="GS39">
        <v>130</v>
      </c>
      <c r="GT39">
        <v>434</v>
      </c>
      <c r="GU39">
        <v>105</v>
      </c>
      <c r="GV39">
        <v>105</v>
      </c>
      <c r="GW39">
        <v>593</v>
      </c>
      <c r="GX39">
        <v>119</v>
      </c>
      <c r="GY39">
        <v>178</v>
      </c>
      <c r="GZ39">
        <v>120</v>
      </c>
      <c r="HA39">
        <v>178</v>
      </c>
      <c r="HB39">
        <v>178</v>
      </c>
      <c r="HC39">
        <v>178</v>
      </c>
      <c r="HD39">
        <v>646</v>
      </c>
      <c r="HE39">
        <v>161</v>
      </c>
      <c r="HF39">
        <v>161</v>
      </c>
      <c r="HG39">
        <v>434</v>
      </c>
      <c r="HH39">
        <v>434</v>
      </c>
      <c r="HI39">
        <v>187</v>
      </c>
      <c r="HJ39">
        <v>124</v>
      </c>
      <c r="HK39">
        <v>99</v>
      </c>
      <c r="HL39">
        <v>105</v>
      </c>
      <c r="HM39">
        <v>63</v>
      </c>
      <c r="HN39">
        <v>178</v>
      </c>
      <c r="HO39">
        <v>187</v>
      </c>
      <c r="HP39">
        <v>136</v>
      </c>
      <c r="HQ39">
        <v>187</v>
      </c>
      <c r="HR39">
        <v>187</v>
      </c>
      <c r="HS39">
        <v>99</v>
      </c>
      <c r="HT39">
        <v>99</v>
      </c>
      <c r="HU39">
        <v>105</v>
      </c>
      <c r="HV39">
        <v>178</v>
      </c>
      <c r="HW39">
        <v>178</v>
      </c>
      <c r="HX39">
        <v>1577</v>
      </c>
      <c r="HY39">
        <v>1577</v>
      </c>
      <c r="HZ39">
        <v>143</v>
      </c>
      <c r="IA39">
        <v>104</v>
      </c>
      <c r="IB39">
        <v>82</v>
      </c>
      <c r="IC39">
        <v>82</v>
      </c>
      <c r="ID39">
        <v>82</v>
      </c>
      <c r="IE39">
        <v>82</v>
      </c>
      <c r="IF39">
        <v>186</v>
      </c>
      <c r="IG39">
        <v>124</v>
      </c>
      <c r="IH39">
        <v>136</v>
      </c>
      <c r="II39">
        <v>99</v>
      </c>
      <c r="IJ39">
        <v>178</v>
      </c>
      <c r="IK39">
        <v>178</v>
      </c>
      <c r="IL39">
        <v>99</v>
      </c>
      <c r="IM39">
        <v>99</v>
      </c>
      <c r="IN39">
        <v>105</v>
      </c>
      <c r="IO39">
        <v>105</v>
      </c>
      <c r="IP39">
        <v>99</v>
      </c>
      <c r="IQ39">
        <v>99</v>
      </c>
      <c r="IR39">
        <v>100</v>
      </c>
      <c r="IS39">
        <v>100</v>
      </c>
      <c r="IT39">
        <v>200</v>
      </c>
      <c r="IU39">
        <v>143</v>
      </c>
      <c r="IV39">
        <v>82</v>
      </c>
      <c r="IW39">
        <v>82</v>
      </c>
      <c r="IX39">
        <v>82</v>
      </c>
      <c r="IY39">
        <v>412</v>
      </c>
      <c r="IZ39">
        <v>412</v>
      </c>
      <c r="JA39">
        <v>82</v>
      </c>
      <c r="JB39">
        <v>82</v>
      </c>
      <c r="JC39">
        <v>109</v>
      </c>
      <c r="JD39">
        <v>178</v>
      </c>
      <c r="JE39">
        <v>99</v>
      </c>
      <c r="JF39">
        <v>82</v>
      </c>
      <c r="JG39">
        <v>109</v>
      </c>
      <c r="JH39">
        <v>140</v>
      </c>
      <c r="JI39">
        <v>140</v>
      </c>
      <c r="JJ39">
        <v>196</v>
      </c>
      <c r="JK39">
        <v>178</v>
      </c>
      <c r="JL39">
        <v>178</v>
      </c>
      <c r="JM39">
        <v>99</v>
      </c>
      <c r="JN39">
        <v>178</v>
      </c>
      <c r="JO39">
        <v>350</v>
      </c>
      <c r="JP39">
        <v>99</v>
      </c>
      <c r="JQ39">
        <v>99</v>
      </c>
      <c r="JR39">
        <v>99</v>
      </c>
      <c r="JS39">
        <v>392</v>
      </c>
      <c r="JT39">
        <v>97</v>
      </c>
      <c r="JU39">
        <v>99</v>
      </c>
      <c r="JV39">
        <v>761</v>
      </c>
      <c r="JW39">
        <v>178</v>
      </c>
      <c r="JX39">
        <v>124</v>
      </c>
      <c r="JY39">
        <v>103</v>
      </c>
      <c r="JZ39">
        <v>178</v>
      </c>
      <c r="KA39">
        <v>746</v>
      </c>
      <c r="KB39">
        <v>646</v>
      </c>
      <c r="KC39">
        <v>178</v>
      </c>
      <c r="KD39">
        <v>178</v>
      </c>
      <c r="KE39">
        <v>178</v>
      </c>
      <c r="KF39">
        <v>178</v>
      </c>
      <c r="KG39">
        <v>190</v>
      </c>
      <c r="KH39">
        <v>105</v>
      </c>
      <c r="KI39">
        <v>136</v>
      </c>
      <c r="KJ39">
        <v>134</v>
      </c>
      <c r="KK39">
        <v>136</v>
      </c>
      <c r="KL39">
        <v>136</v>
      </c>
      <c r="KM39">
        <v>99</v>
      </c>
      <c r="KN39">
        <v>105</v>
      </c>
      <c r="KO39">
        <v>99</v>
      </c>
      <c r="KP39">
        <v>105</v>
      </c>
      <c r="KQ39">
        <v>99</v>
      </c>
      <c r="KR39">
        <v>99</v>
      </c>
      <c r="KS39">
        <v>99</v>
      </c>
      <c r="KT39">
        <v>74</v>
      </c>
      <c r="KU39">
        <v>74</v>
      </c>
      <c r="KV39">
        <v>99</v>
      </c>
      <c r="KW39">
        <v>178</v>
      </c>
      <c r="KX39">
        <v>178</v>
      </c>
      <c r="KY39">
        <v>99</v>
      </c>
      <c r="KZ39">
        <v>104</v>
      </c>
      <c r="LA39">
        <v>178</v>
      </c>
      <c r="LB39">
        <v>178</v>
      </c>
      <c r="LC39">
        <v>211</v>
      </c>
      <c r="LD39">
        <v>196</v>
      </c>
      <c r="LE39">
        <v>69</v>
      </c>
      <c r="LF39">
        <v>69</v>
      </c>
      <c r="LG39">
        <v>144</v>
      </c>
      <c r="LH39">
        <v>144</v>
      </c>
      <c r="LI39">
        <v>103</v>
      </c>
      <c r="LJ39">
        <v>99</v>
      </c>
      <c r="LK39">
        <v>99</v>
      </c>
      <c r="LL39">
        <v>82</v>
      </c>
      <c r="LM39">
        <v>82</v>
      </c>
      <c r="LN39">
        <v>82</v>
      </c>
      <c r="LO39">
        <v>82</v>
      </c>
      <c r="LP39">
        <v>82</v>
      </c>
      <c r="LQ39">
        <v>99</v>
      </c>
      <c r="LR39">
        <v>79</v>
      </c>
      <c r="LS39">
        <v>79</v>
      </c>
      <c r="LT39">
        <v>108</v>
      </c>
      <c r="LU39">
        <v>109</v>
      </c>
      <c r="LV39">
        <v>109</v>
      </c>
      <c r="LW39">
        <v>99</v>
      </c>
      <c r="LX39">
        <v>99</v>
      </c>
      <c r="LY39">
        <v>99</v>
      </c>
      <c r="LZ39">
        <v>178</v>
      </c>
      <c r="MA39">
        <v>393</v>
      </c>
      <c r="MB39">
        <v>350</v>
      </c>
      <c r="MC39">
        <v>350</v>
      </c>
      <c r="MD39">
        <v>434</v>
      </c>
      <c r="ME39">
        <v>1283</v>
      </c>
      <c r="MF39">
        <v>351</v>
      </c>
      <c r="MG39">
        <v>140</v>
      </c>
      <c r="MH39">
        <v>140</v>
      </c>
      <c r="MI39">
        <v>140</v>
      </c>
      <c r="MJ39">
        <v>186</v>
      </c>
      <c r="MK39">
        <v>157</v>
      </c>
      <c r="ML39">
        <v>144</v>
      </c>
      <c r="MM39">
        <v>186</v>
      </c>
      <c r="MN39">
        <v>195</v>
      </c>
      <c r="MO39">
        <v>105</v>
      </c>
      <c r="MP39">
        <v>119</v>
      </c>
      <c r="MQ39">
        <v>593</v>
      </c>
      <c r="MR39">
        <v>119</v>
      </c>
      <c r="MS39">
        <v>332</v>
      </c>
      <c r="MT39">
        <v>120</v>
      </c>
      <c r="MU39">
        <v>80</v>
      </c>
      <c r="MV39">
        <v>536</v>
      </c>
      <c r="MW39">
        <v>105</v>
      </c>
      <c r="MX39">
        <v>144</v>
      </c>
      <c r="MY39">
        <v>144</v>
      </c>
      <c r="MZ39">
        <v>105</v>
      </c>
      <c r="NA39">
        <v>384</v>
      </c>
      <c r="NB39">
        <v>99</v>
      </c>
      <c r="NC39">
        <v>99</v>
      </c>
      <c r="ND39">
        <v>434</v>
      </c>
      <c r="NE39">
        <v>98</v>
      </c>
      <c r="NF39">
        <v>107</v>
      </c>
      <c r="NG39">
        <v>140</v>
      </c>
      <c r="NH39">
        <v>107</v>
      </c>
      <c r="NI39">
        <v>140</v>
      </c>
      <c r="NJ39">
        <v>99</v>
      </c>
      <c r="NK39">
        <v>99</v>
      </c>
      <c r="NL39">
        <v>178</v>
      </c>
      <c r="NM39">
        <v>103</v>
      </c>
      <c r="NN39">
        <v>103</v>
      </c>
      <c r="NO39">
        <v>103</v>
      </c>
      <c r="NP39">
        <v>120</v>
      </c>
      <c r="NQ39">
        <v>120</v>
      </c>
      <c r="NR39">
        <v>570</v>
      </c>
      <c r="NS39">
        <v>99</v>
      </c>
      <c r="NT39">
        <v>393</v>
      </c>
      <c r="NU39">
        <v>434</v>
      </c>
      <c r="NV39">
        <v>593</v>
      </c>
      <c r="NW39">
        <v>178</v>
      </c>
      <c r="NX39">
        <v>178</v>
      </c>
      <c r="NY39">
        <v>178</v>
      </c>
      <c r="NZ39">
        <v>178</v>
      </c>
      <c r="OA39">
        <v>136</v>
      </c>
      <c r="OB39">
        <v>122</v>
      </c>
      <c r="OC39">
        <v>82</v>
      </c>
      <c r="OD39">
        <v>82</v>
      </c>
      <c r="OE39">
        <v>105</v>
      </c>
      <c r="OF39">
        <v>434</v>
      </c>
      <c r="OG39">
        <v>350</v>
      </c>
      <c r="OH39">
        <v>99</v>
      </c>
      <c r="OI39">
        <v>99</v>
      </c>
      <c r="OJ39">
        <v>99</v>
      </c>
      <c r="OK39">
        <v>99</v>
      </c>
      <c r="OL39">
        <v>99</v>
      </c>
      <c r="OM39">
        <v>99</v>
      </c>
      <c r="ON39">
        <v>200</v>
      </c>
      <c r="OO39">
        <v>200</v>
      </c>
      <c r="OP39">
        <v>119</v>
      </c>
      <c r="OQ39">
        <v>105</v>
      </c>
      <c r="OR39">
        <v>105</v>
      </c>
      <c r="OS39">
        <v>195</v>
      </c>
      <c r="OT39">
        <v>710</v>
      </c>
      <c r="OU39">
        <v>82</v>
      </c>
      <c r="OV39">
        <v>80</v>
      </c>
      <c r="OW39">
        <v>107</v>
      </c>
      <c r="OX39">
        <v>140</v>
      </c>
      <c r="OY39">
        <v>136</v>
      </c>
      <c r="OZ39">
        <v>136</v>
      </c>
      <c r="PA39">
        <v>104</v>
      </c>
      <c r="PB39">
        <v>196</v>
      </c>
      <c r="PC39">
        <v>80</v>
      </c>
      <c r="PD39">
        <v>562</v>
      </c>
      <c r="PE39">
        <v>120</v>
      </c>
      <c r="PF39">
        <v>267</v>
      </c>
      <c r="PG39">
        <v>351</v>
      </c>
      <c r="PH39">
        <v>593</v>
      </c>
      <c r="PI39">
        <v>178</v>
      </c>
      <c r="PJ39">
        <v>99</v>
      </c>
      <c r="PK39">
        <v>134</v>
      </c>
      <c r="PL39">
        <v>103</v>
      </c>
      <c r="PM39">
        <v>103</v>
      </c>
      <c r="PN39">
        <v>710</v>
      </c>
      <c r="PO39">
        <v>710</v>
      </c>
      <c r="PP39">
        <v>710</v>
      </c>
      <c r="PQ39">
        <v>185</v>
      </c>
      <c r="PR39">
        <v>178</v>
      </c>
      <c r="PS39">
        <v>99</v>
      </c>
      <c r="PT39">
        <v>178</v>
      </c>
      <c r="PU39">
        <v>178</v>
      </c>
      <c r="PV39">
        <v>119</v>
      </c>
      <c r="PW39">
        <v>120</v>
      </c>
      <c r="PX39">
        <v>136</v>
      </c>
      <c r="PY39">
        <v>434</v>
      </c>
      <c r="PZ39">
        <v>512</v>
      </c>
      <c r="QA39">
        <v>99</v>
      </c>
      <c r="QB39">
        <v>80</v>
      </c>
      <c r="QC39">
        <v>269</v>
      </c>
      <c r="QD39">
        <v>178</v>
      </c>
      <c r="QE39">
        <v>140</v>
      </c>
      <c r="QF39">
        <v>136</v>
      </c>
      <c r="QG39">
        <v>731</v>
      </c>
      <c r="QH39">
        <v>731</v>
      </c>
      <c r="QI39">
        <v>660</v>
      </c>
      <c r="QJ39">
        <v>660</v>
      </c>
      <c r="QK39">
        <v>136</v>
      </c>
      <c r="QL39">
        <v>99</v>
      </c>
      <c r="QM39">
        <v>99</v>
      </c>
      <c r="QN39">
        <v>350</v>
      </c>
      <c r="QO39">
        <v>350</v>
      </c>
      <c r="QP39">
        <v>99</v>
      </c>
      <c r="QQ39">
        <v>178</v>
      </c>
      <c r="QR39">
        <v>99</v>
      </c>
      <c r="QS39">
        <v>109</v>
      </c>
      <c r="QT39">
        <v>143</v>
      </c>
      <c r="QU39">
        <v>434</v>
      </c>
      <c r="QV39">
        <v>178</v>
      </c>
      <c r="QW39">
        <v>99</v>
      </c>
      <c r="QX39">
        <v>140</v>
      </c>
      <c r="QY39">
        <v>190</v>
      </c>
      <c r="QZ39">
        <v>195</v>
      </c>
      <c r="RA39">
        <v>135</v>
      </c>
      <c r="RB39">
        <v>195</v>
      </c>
      <c r="RC39">
        <v>710</v>
      </c>
      <c r="RD39">
        <v>136</v>
      </c>
      <c r="RE39">
        <v>105</v>
      </c>
      <c r="RF39">
        <v>124</v>
      </c>
      <c r="RG39">
        <v>99</v>
      </c>
      <c r="RH39">
        <v>353</v>
      </c>
      <c r="RI39">
        <v>178</v>
      </c>
      <c r="RJ39">
        <v>99</v>
      </c>
      <c r="RK39">
        <v>136</v>
      </c>
      <c r="RL39">
        <v>99</v>
      </c>
      <c r="RM39">
        <v>187</v>
      </c>
      <c r="RN39">
        <v>99</v>
      </c>
      <c r="RO39">
        <v>761</v>
      </c>
      <c r="RP39">
        <v>761</v>
      </c>
      <c r="RQ39">
        <v>99</v>
      </c>
      <c r="RR39">
        <v>99</v>
      </c>
      <c r="RS39">
        <v>99</v>
      </c>
      <c r="RT39">
        <v>99</v>
      </c>
      <c r="RU39">
        <v>136</v>
      </c>
      <c r="RV39">
        <v>124</v>
      </c>
      <c r="RW39">
        <v>99</v>
      </c>
      <c r="RX39">
        <v>99</v>
      </c>
      <c r="RY39">
        <v>136</v>
      </c>
      <c r="RZ39">
        <v>105</v>
      </c>
      <c r="SA39">
        <v>136</v>
      </c>
      <c r="SB39">
        <v>100</v>
      </c>
      <c r="SC39">
        <v>99</v>
      </c>
      <c r="SD39">
        <v>178</v>
      </c>
      <c r="SE39">
        <v>99</v>
      </c>
      <c r="SF39">
        <v>99</v>
      </c>
      <c r="SG39">
        <v>99</v>
      </c>
      <c r="SH39">
        <v>99</v>
      </c>
      <c r="SI39">
        <v>82</v>
      </c>
      <c r="SJ39">
        <v>80</v>
      </c>
      <c r="SK39">
        <v>99</v>
      </c>
      <c r="SL39">
        <v>99</v>
      </c>
      <c r="SM39">
        <v>95</v>
      </c>
      <c r="SN39">
        <v>710</v>
      </c>
      <c r="SO39">
        <v>710</v>
      </c>
      <c r="SP39">
        <v>350</v>
      </c>
      <c r="SQ39">
        <v>120</v>
      </c>
      <c r="SR39">
        <v>104</v>
      </c>
      <c r="SS39">
        <v>710</v>
      </c>
      <c r="ST39">
        <v>710</v>
      </c>
      <c r="SU39">
        <v>99</v>
      </c>
      <c r="SV39">
        <v>99</v>
      </c>
      <c r="SW39">
        <v>80</v>
      </c>
      <c r="SX39">
        <v>178</v>
      </c>
      <c r="SY39">
        <v>269</v>
      </c>
      <c r="SZ39">
        <v>325</v>
      </c>
      <c r="TA39">
        <v>350</v>
      </c>
      <c r="TB39">
        <v>119</v>
      </c>
      <c r="TC39">
        <v>120</v>
      </c>
      <c r="TD39">
        <v>140</v>
      </c>
      <c r="TE39">
        <v>140</v>
      </c>
      <c r="TF39">
        <v>99</v>
      </c>
      <c r="TG39">
        <v>105</v>
      </c>
      <c r="TH39">
        <v>100</v>
      </c>
      <c r="TI39">
        <v>120</v>
      </c>
      <c r="TJ39">
        <v>139</v>
      </c>
      <c r="TK39">
        <v>135</v>
      </c>
      <c r="TL39">
        <v>190</v>
      </c>
      <c r="TM39">
        <v>99</v>
      </c>
      <c r="TN39">
        <v>99</v>
      </c>
      <c r="TO39">
        <v>1283</v>
      </c>
      <c r="TP39">
        <v>537</v>
      </c>
      <c r="TQ39">
        <v>178</v>
      </c>
      <c r="TR39">
        <v>178</v>
      </c>
      <c r="TS39">
        <v>178</v>
      </c>
      <c r="TT39">
        <v>105</v>
      </c>
      <c r="TU39">
        <v>105</v>
      </c>
      <c r="TV39">
        <v>136</v>
      </c>
      <c r="TW39">
        <v>105</v>
      </c>
      <c r="TX39">
        <v>82</v>
      </c>
      <c r="TY39">
        <v>82</v>
      </c>
      <c r="TZ39">
        <v>119</v>
      </c>
      <c r="UA39">
        <v>332</v>
      </c>
      <c r="UB39">
        <v>109</v>
      </c>
      <c r="UC39">
        <v>82</v>
      </c>
      <c r="UD39">
        <v>186</v>
      </c>
      <c r="UE39">
        <v>105</v>
      </c>
      <c r="UF39">
        <v>434</v>
      </c>
      <c r="UG39">
        <v>1577</v>
      </c>
      <c r="UH39">
        <v>105</v>
      </c>
      <c r="UI39">
        <v>105</v>
      </c>
      <c r="UJ39">
        <v>267</v>
      </c>
      <c r="UK39">
        <v>269</v>
      </c>
      <c r="UL39">
        <v>269</v>
      </c>
      <c r="UM39">
        <v>593</v>
      </c>
      <c r="UN39">
        <v>178</v>
      </c>
      <c r="UO39">
        <v>136</v>
      </c>
      <c r="UP39">
        <v>467</v>
      </c>
      <c r="UQ39">
        <v>63</v>
      </c>
      <c r="UR39">
        <v>195</v>
      </c>
      <c r="US39">
        <v>178</v>
      </c>
      <c r="UT39">
        <v>125</v>
      </c>
      <c r="UU39">
        <v>125</v>
      </c>
      <c r="UV39">
        <v>99</v>
      </c>
      <c r="UW39">
        <v>95</v>
      </c>
      <c r="UX39">
        <v>99</v>
      </c>
      <c r="UY39">
        <v>178</v>
      </c>
      <c r="UZ39">
        <v>178</v>
      </c>
      <c r="VA39">
        <v>105</v>
      </c>
      <c r="VB39">
        <v>99</v>
      </c>
      <c r="VC39">
        <v>99</v>
      </c>
      <c r="VD39">
        <v>105</v>
      </c>
      <c r="VE39">
        <v>105</v>
      </c>
      <c r="VF39">
        <v>105</v>
      </c>
      <c r="VG39">
        <v>710</v>
      </c>
      <c r="VH39">
        <v>710</v>
      </c>
      <c r="VI39">
        <v>79</v>
      </c>
      <c r="VJ39">
        <v>79</v>
      </c>
      <c r="VK39">
        <v>105</v>
      </c>
      <c r="VL39">
        <v>178</v>
      </c>
      <c r="VM39">
        <v>186</v>
      </c>
      <c r="VN39">
        <v>178</v>
      </c>
      <c r="VO39">
        <v>685</v>
      </c>
    </row>
    <row r="40" spans="1:587" x14ac:dyDescent="0.3">
      <c r="A40" t="s">
        <v>3035</v>
      </c>
      <c r="B40" cm="1">
        <f t="array" ref="B40:VO40">1*TRANSPOSE(_xlfn._xlws.FILTER(branch!$I$2:$I$591,branch!$D$2:$D$591&lt;&gt;0))</f>
        <v>99</v>
      </c>
      <c r="C40">
        <v>99</v>
      </c>
      <c r="D40">
        <v>178</v>
      </c>
      <c r="E40">
        <v>145</v>
      </c>
      <c r="F40">
        <v>536</v>
      </c>
      <c r="G40">
        <v>393</v>
      </c>
      <c r="H40">
        <v>393</v>
      </c>
      <c r="I40">
        <v>593</v>
      </c>
      <c r="J40">
        <v>434</v>
      </c>
      <c r="K40">
        <v>99</v>
      </c>
      <c r="L40">
        <v>140</v>
      </c>
      <c r="M40">
        <v>103</v>
      </c>
      <c r="N40">
        <v>109</v>
      </c>
      <c r="O40">
        <v>105</v>
      </c>
      <c r="P40">
        <v>99</v>
      </c>
      <c r="Q40">
        <v>187</v>
      </c>
      <c r="R40">
        <v>187</v>
      </c>
      <c r="S40">
        <v>187</v>
      </c>
      <c r="T40">
        <v>104</v>
      </c>
      <c r="U40">
        <v>112</v>
      </c>
      <c r="V40">
        <v>105</v>
      </c>
      <c r="W40">
        <v>82</v>
      </c>
      <c r="X40">
        <v>82</v>
      </c>
      <c r="Y40">
        <v>105</v>
      </c>
      <c r="Z40">
        <v>105</v>
      </c>
      <c r="AA40">
        <v>99</v>
      </c>
      <c r="AB40">
        <v>178</v>
      </c>
      <c r="AC40">
        <v>434</v>
      </c>
      <c r="AD40">
        <v>434</v>
      </c>
      <c r="AE40">
        <v>34</v>
      </c>
      <c r="AF40">
        <v>120</v>
      </c>
      <c r="AG40">
        <v>120</v>
      </c>
      <c r="AH40">
        <v>104</v>
      </c>
      <c r="AI40">
        <v>178</v>
      </c>
      <c r="AJ40">
        <v>178</v>
      </c>
      <c r="AK40">
        <v>178</v>
      </c>
      <c r="AL40">
        <v>178</v>
      </c>
      <c r="AM40">
        <v>120</v>
      </c>
      <c r="AN40">
        <v>178</v>
      </c>
      <c r="AO40">
        <v>99</v>
      </c>
      <c r="AP40">
        <v>178</v>
      </c>
      <c r="AQ40">
        <v>140</v>
      </c>
      <c r="AR40">
        <v>140</v>
      </c>
      <c r="AS40">
        <v>99</v>
      </c>
      <c r="AT40">
        <v>105</v>
      </c>
      <c r="AU40">
        <v>99</v>
      </c>
      <c r="AV40">
        <v>96</v>
      </c>
      <c r="AW40">
        <v>96</v>
      </c>
      <c r="AX40">
        <v>178</v>
      </c>
      <c r="AY40">
        <v>178</v>
      </c>
      <c r="AZ40">
        <v>120</v>
      </c>
      <c r="BA40">
        <v>120</v>
      </c>
      <c r="BB40">
        <v>178</v>
      </c>
      <c r="BC40">
        <v>178</v>
      </c>
      <c r="BD40">
        <v>178</v>
      </c>
      <c r="BE40">
        <v>105</v>
      </c>
      <c r="BF40">
        <v>99</v>
      </c>
      <c r="BG40">
        <v>99</v>
      </c>
      <c r="BH40">
        <v>99</v>
      </c>
      <c r="BI40">
        <v>82</v>
      </c>
      <c r="BJ40">
        <v>82</v>
      </c>
      <c r="BK40">
        <v>136</v>
      </c>
      <c r="BL40">
        <v>140</v>
      </c>
      <c r="BM40">
        <v>130</v>
      </c>
      <c r="BN40">
        <v>99</v>
      </c>
      <c r="BO40">
        <v>122</v>
      </c>
      <c r="BP40">
        <v>196</v>
      </c>
      <c r="BQ40">
        <v>178</v>
      </c>
      <c r="BR40">
        <v>136</v>
      </c>
      <c r="BS40">
        <v>178</v>
      </c>
      <c r="BT40">
        <v>124</v>
      </c>
      <c r="BU40">
        <v>178</v>
      </c>
      <c r="BV40">
        <v>178</v>
      </c>
      <c r="BW40">
        <v>178</v>
      </c>
      <c r="BX40">
        <v>99</v>
      </c>
      <c r="BY40">
        <v>136</v>
      </c>
      <c r="BZ40">
        <v>195</v>
      </c>
      <c r="CA40">
        <v>178</v>
      </c>
      <c r="CB40">
        <v>178</v>
      </c>
      <c r="CC40">
        <v>192</v>
      </c>
      <c r="CD40">
        <v>187</v>
      </c>
      <c r="CE40">
        <v>120</v>
      </c>
      <c r="CF40">
        <v>187</v>
      </c>
      <c r="CG40">
        <v>187</v>
      </c>
      <c r="CH40">
        <v>187</v>
      </c>
      <c r="CI40">
        <v>119</v>
      </c>
      <c r="CJ40">
        <v>119</v>
      </c>
      <c r="CK40">
        <v>570</v>
      </c>
      <c r="CL40">
        <v>570</v>
      </c>
      <c r="CM40">
        <v>140</v>
      </c>
      <c r="CN40">
        <v>140</v>
      </c>
      <c r="CO40">
        <v>842</v>
      </c>
      <c r="CP40">
        <v>105</v>
      </c>
      <c r="CQ40">
        <v>109</v>
      </c>
      <c r="CR40">
        <v>109</v>
      </c>
      <c r="CS40">
        <v>82</v>
      </c>
      <c r="CT40">
        <v>82</v>
      </c>
      <c r="CU40">
        <v>75</v>
      </c>
      <c r="CV40">
        <v>75</v>
      </c>
      <c r="CW40">
        <v>178</v>
      </c>
      <c r="CX40">
        <v>178</v>
      </c>
      <c r="CY40">
        <v>178</v>
      </c>
      <c r="CZ40">
        <v>178</v>
      </c>
      <c r="DA40">
        <v>82</v>
      </c>
      <c r="DB40">
        <v>82</v>
      </c>
      <c r="DC40">
        <v>710</v>
      </c>
      <c r="DD40">
        <v>69</v>
      </c>
      <c r="DE40">
        <v>70</v>
      </c>
      <c r="DF40">
        <v>710</v>
      </c>
      <c r="DG40">
        <v>710</v>
      </c>
      <c r="DH40">
        <v>710</v>
      </c>
      <c r="DI40">
        <v>144</v>
      </c>
      <c r="DJ40">
        <v>63</v>
      </c>
      <c r="DK40">
        <v>99</v>
      </c>
      <c r="DL40">
        <v>570</v>
      </c>
      <c r="DM40">
        <v>570</v>
      </c>
      <c r="DN40">
        <v>178</v>
      </c>
      <c r="DO40">
        <v>200</v>
      </c>
      <c r="DP40">
        <v>109</v>
      </c>
      <c r="DQ40">
        <v>109</v>
      </c>
      <c r="DR40">
        <v>79</v>
      </c>
      <c r="DS40">
        <v>79</v>
      </c>
      <c r="DT40">
        <v>434</v>
      </c>
      <c r="DU40">
        <v>740</v>
      </c>
      <c r="DV40">
        <v>228</v>
      </c>
      <c r="DW40">
        <v>115</v>
      </c>
      <c r="DX40">
        <v>195</v>
      </c>
      <c r="DY40">
        <v>124</v>
      </c>
      <c r="DZ40">
        <v>80</v>
      </c>
      <c r="EA40">
        <v>120</v>
      </c>
      <c r="EB40">
        <v>105</v>
      </c>
      <c r="EC40">
        <v>178</v>
      </c>
      <c r="ED40">
        <v>178</v>
      </c>
      <c r="EE40">
        <v>178</v>
      </c>
      <c r="EF40">
        <v>69</v>
      </c>
      <c r="EG40">
        <v>70</v>
      </c>
      <c r="EH40">
        <v>69</v>
      </c>
      <c r="EI40">
        <v>69</v>
      </c>
      <c r="EJ40">
        <v>132</v>
      </c>
      <c r="EK40">
        <v>132</v>
      </c>
      <c r="EL40">
        <v>710</v>
      </c>
      <c r="EM40">
        <v>710</v>
      </c>
      <c r="EN40">
        <v>66</v>
      </c>
      <c r="EO40">
        <v>66</v>
      </c>
      <c r="EP40">
        <v>710</v>
      </c>
      <c r="EQ40">
        <v>109</v>
      </c>
      <c r="ER40">
        <v>109</v>
      </c>
      <c r="ES40">
        <v>82</v>
      </c>
      <c r="ET40">
        <v>82</v>
      </c>
      <c r="EU40">
        <v>144</v>
      </c>
      <c r="EV40">
        <v>144</v>
      </c>
      <c r="EW40">
        <v>710</v>
      </c>
      <c r="EX40">
        <v>178</v>
      </c>
      <c r="EY40">
        <v>124</v>
      </c>
      <c r="EZ40">
        <v>99</v>
      </c>
      <c r="FA40">
        <v>99</v>
      </c>
      <c r="FB40">
        <v>99</v>
      </c>
      <c r="FC40">
        <v>761</v>
      </c>
      <c r="FD40">
        <v>187</v>
      </c>
      <c r="FE40">
        <v>761</v>
      </c>
      <c r="FF40">
        <v>761</v>
      </c>
      <c r="FG40">
        <v>761</v>
      </c>
      <c r="FH40">
        <v>178</v>
      </c>
      <c r="FI40">
        <v>178</v>
      </c>
      <c r="FJ40">
        <v>115</v>
      </c>
      <c r="FK40">
        <v>434</v>
      </c>
      <c r="FL40">
        <v>434</v>
      </c>
      <c r="FM40">
        <v>555</v>
      </c>
      <c r="FN40">
        <v>123</v>
      </c>
      <c r="FO40">
        <v>178</v>
      </c>
      <c r="FP40">
        <v>130</v>
      </c>
      <c r="FQ40">
        <v>178</v>
      </c>
      <c r="FR40">
        <v>103</v>
      </c>
      <c r="FS40">
        <v>238</v>
      </c>
      <c r="FT40">
        <v>434</v>
      </c>
      <c r="FU40">
        <v>178</v>
      </c>
      <c r="FV40">
        <v>132</v>
      </c>
      <c r="FW40">
        <v>178</v>
      </c>
      <c r="FX40">
        <v>144</v>
      </c>
      <c r="FY40">
        <v>144</v>
      </c>
      <c r="FZ40">
        <v>140</v>
      </c>
      <c r="GA40">
        <v>140</v>
      </c>
      <c r="GB40">
        <v>136</v>
      </c>
      <c r="GC40">
        <v>178</v>
      </c>
      <c r="GD40">
        <v>178</v>
      </c>
      <c r="GE40">
        <v>178</v>
      </c>
      <c r="GF40">
        <v>196</v>
      </c>
      <c r="GG40">
        <v>178</v>
      </c>
      <c r="GH40">
        <v>178</v>
      </c>
      <c r="GI40">
        <v>178</v>
      </c>
      <c r="GJ40">
        <v>130</v>
      </c>
      <c r="GK40">
        <v>99</v>
      </c>
      <c r="GL40">
        <v>136</v>
      </c>
      <c r="GM40">
        <v>178</v>
      </c>
      <c r="GN40">
        <v>105</v>
      </c>
      <c r="GO40">
        <v>187</v>
      </c>
      <c r="GP40">
        <v>187</v>
      </c>
      <c r="GQ40">
        <v>187</v>
      </c>
      <c r="GR40">
        <v>105</v>
      </c>
      <c r="GS40">
        <v>130</v>
      </c>
      <c r="GT40">
        <v>434</v>
      </c>
      <c r="GU40">
        <v>105</v>
      </c>
      <c r="GV40">
        <v>105</v>
      </c>
      <c r="GW40">
        <v>593</v>
      </c>
      <c r="GX40">
        <v>119</v>
      </c>
      <c r="GY40">
        <v>178</v>
      </c>
      <c r="GZ40">
        <v>120</v>
      </c>
      <c r="HA40">
        <v>178</v>
      </c>
      <c r="HB40">
        <v>178</v>
      </c>
      <c r="HC40">
        <v>178</v>
      </c>
      <c r="HD40">
        <v>646</v>
      </c>
      <c r="HE40">
        <v>161</v>
      </c>
      <c r="HF40">
        <v>161</v>
      </c>
      <c r="HG40">
        <v>434</v>
      </c>
      <c r="HH40">
        <v>434</v>
      </c>
      <c r="HI40">
        <v>187</v>
      </c>
      <c r="HJ40">
        <v>124</v>
      </c>
      <c r="HK40">
        <v>99</v>
      </c>
      <c r="HL40">
        <v>105</v>
      </c>
      <c r="HM40">
        <v>63</v>
      </c>
      <c r="HN40">
        <v>178</v>
      </c>
      <c r="HO40">
        <v>187</v>
      </c>
      <c r="HP40">
        <v>136</v>
      </c>
      <c r="HQ40">
        <v>187</v>
      </c>
      <c r="HR40">
        <v>187</v>
      </c>
      <c r="HS40">
        <v>99</v>
      </c>
      <c r="HT40">
        <v>99</v>
      </c>
      <c r="HU40">
        <v>105</v>
      </c>
      <c r="HV40">
        <v>178</v>
      </c>
      <c r="HW40">
        <v>178</v>
      </c>
      <c r="HX40">
        <v>1577</v>
      </c>
      <c r="HY40">
        <v>1577</v>
      </c>
      <c r="HZ40">
        <v>143</v>
      </c>
      <c r="IA40">
        <v>104</v>
      </c>
      <c r="IB40">
        <v>82</v>
      </c>
      <c r="IC40">
        <v>82</v>
      </c>
      <c r="ID40">
        <v>82</v>
      </c>
      <c r="IE40">
        <v>82</v>
      </c>
      <c r="IF40">
        <v>186</v>
      </c>
      <c r="IG40">
        <v>124</v>
      </c>
      <c r="IH40">
        <v>136</v>
      </c>
      <c r="II40">
        <v>99</v>
      </c>
      <c r="IJ40">
        <v>178</v>
      </c>
      <c r="IK40">
        <v>178</v>
      </c>
      <c r="IL40">
        <v>99</v>
      </c>
      <c r="IM40">
        <v>99</v>
      </c>
      <c r="IN40">
        <v>105</v>
      </c>
      <c r="IO40">
        <v>105</v>
      </c>
      <c r="IP40">
        <v>99</v>
      </c>
      <c r="IQ40">
        <v>99</v>
      </c>
      <c r="IR40">
        <v>100</v>
      </c>
      <c r="IS40">
        <v>100</v>
      </c>
      <c r="IT40">
        <v>200</v>
      </c>
      <c r="IU40">
        <v>143</v>
      </c>
      <c r="IV40">
        <v>82</v>
      </c>
      <c r="IW40">
        <v>82</v>
      </c>
      <c r="IX40">
        <v>82</v>
      </c>
      <c r="IY40">
        <v>412</v>
      </c>
      <c r="IZ40">
        <v>412</v>
      </c>
      <c r="JA40">
        <v>82</v>
      </c>
      <c r="JB40">
        <v>82</v>
      </c>
      <c r="JC40">
        <v>109</v>
      </c>
      <c r="JD40">
        <v>178</v>
      </c>
      <c r="JE40">
        <v>99</v>
      </c>
      <c r="JF40">
        <v>82</v>
      </c>
      <c r="JG40">
        <v>109</v>
      </c>
      <c r="JH40">
        <v>140</v>
      </c>
      <c r="JI40">
        <v>140</v>
      </c>
      <c r="JJ40">
        <v>196</v>
      </c>
      <c r="JK40">
        <v>178</v>
      </c>
      <c r="JL40">
        <v>178</v>
      </c>
      <c r="JM40">
        <v>99</v>
      </c>
      <c r="JN40">
        <v>178</v>
      </c>
      <c r="JO40">
        <v>350</v>
      </c>
      <c r="JP40">
        <v>99</v>
      </c>
      <c r="JQ40">
        <v>99</v>
      </c>
      <c r="JR40">
        <v>99</v>
      </c>
      <c r="JS40">
        <v>392</v>
      </c>
      <c r="JT40">
        <v>97</v>
      </c>
      <c r="JU40">
        <v>99</v>
      </c>
      <c r="JV40">
        <v>761</v>
      </c>
      <c r="JW40">
        <v>178</v>
      </c>
      <c r="JX40">
        <v>124</v>
      </c>
      <c r="JY40">
        <v>103</v>
      </c>
      <c r="JZ40">
        <v>178</v>
      </c>
      <c r="KA40">
        <v>746</v>
      </c>
      <c r="KB40">
        <v>646</v>
      </c>
      <c r="KC40">
        <v>178</v>
      </c>
      <c r="KD40">
        <v>178</v>
      </c>
      <c r="KE40">
        <v>178</v>
      </c>
      <c r="KF40">
        <v>178</v>
      </c>
      <c r="KG40">
        <v>190</v>
      </c>
      <c r="KH40">
        <v>105</v>
      </c>
      <c r="KI40">
        <v>136</v>
      </c>
      <c r="KJ40">
        <v>134</v>
      </c>
      <c r="KK40">
        <v>136</v>
      </c>
      <c r="KL40">
        <v>136</v>
      </c>
      <c r="KM40">
        <v>99</v>
      </c>
      <c r="KN40">
        <v>105</v>
      </c>
      <c r="KO40">
        <v>99</v>
      </c>
      <c r="KP40">
        <v>105</v>
      </c>
      <c r="KQ40">
        <v>99</v>
      </c>
      <c r="KR40">
        <v>99</v>
      </c>
      <c r="KS40">
        <v>99</v>
      </c>
      <c r="KT40">
        <v>74</v>
      </c>
      <c r="KU40">
        <v>74</v>
      </c>
      <c r="KV40">
        <v>99</v>
      </c>
      <c r="KW40">
        <v>178</v>
      </c>
      <c r="KX40">
        <v>178</v>
      </c>
      <c r="KY40">
        <v>99</v>
      </c>
      <c r="KZ40">
        <v>104</v>
      </c>
      <c r="LA40">
        <v>178</v>
      </c>
      <c r="LB40">
        <v>178</v>
      </c>
      <c r="LC40">
        <v>211</v>
      </c>
      <c r="LD40">
        <v>196</v>
      </c>
      <c r="LE40">
        <v>69</v>
      </c>
      <c r="LF40">
        <v>69</v>
      </c>
      <c r="LG40">
        <v>144</v>
      </c>
      <c r="LH40">
        <v>144</v>
      </c>
      <c r="LI40">
        <v>103</v>
      </c>
      <c r="LJ40">
        <v>99</v>
      </c>
      <c r="LK40">
        <v>99</v>
      </c>
      <c r="LL40">
        <v>82</v>
      </c>
      <c r="LM40">
        <v>82</v>
      </c>
      <c r="LN40">
        <v>82</v>
      </c>
      <c r="LO40">
        <v>82</v>
      </c>
      <c r="LP40">
        <v>82</v>
      </c>
      <c r="LQ40">
        <v>99</v>
      </c>
      <c r="LR40">
        <v>79</v>
      </c>
      <c r="LS40">
        <v>79</v>
      </c>
      <c r="LT40">
        <v>108</v>
      </c>
      <c r="LU40">
        <v>109</v>
      </c>
      <c r="LV40">
        <v>109</v>
      </c>
      <c r="LW40">
        <v>99</v>
      </c>
      <c r="LX40">
        <v>99</v>
      </c>
      <c r="LY40">
        <v>99</v>
      </c>
      <c r="LZ40">
        <v>178</v>
      </c>
      <c r="MA40">
        <v>393</v>
      </c>
      <c r="MB40">
        <v>350</v>
      </c>
      <c r="MC40">
        <v>350</v>
      </c>
      <c r="MD40">
        <v>434</v>
      </c>
      <c r="ME40">
        <v>1283</v>
      </c>
      <c r="MF40">
        <v>351</v>
      </c>
      <c r="MG40">
        <v>140</v>
      </c>
      <c r="MH40">
        <v>140</v>
      </c>
      <c r="MI40">
        <v>140</v>
      </c>
      <c r="MJ40">
        <v>186</v>
      </c>
      <c r="MK40">
        <v>157</v>
      </c>
      <c r="ML40">
        <v>144</v>
      </c>
      <c r="MM40">
        <v>186</v>
      </c>
      <c r="MN40">
        <v>195</v>
      </c>
      <c r="MO40">
        <v>105</v>
      </c>
      <c r="MP40">
        <v>119</v>
      </c>
      <c r="MQ40">
        <v>593</v>
      </c>
      <c r="MR40">
        <v>119</v>
      </c>
      <c r="MS40">
        <v>332</v>
      </c>
      <c r="MT40">
        <v>120</v>
      </c>
      <c r="MU40">
        <v>80</v>
      </c>
      <c r="MV40">
        <v>536</v>
      </c>
      <c r="MW40">
        <v>105</v>
      </c>
      <c r="MX40">
        <v>144</v>
      </c>
      <c r="MY40">
        <v>144</v>
      </c>
      <c r="MZ40">
        <v>105</v>
      </c>
      <c r="NA40">
        <v>384</v>
      </c>
      <c r="NB40">
        <v>99</v>
      </c>
      <c r="NC40">
        <v>99</v>
      </c>
      <c r="ND40">
        <v>434</v>
      </c>
      <c r="NE40">
        <v>98</v>
      </c>
      <c r="NF40">
        <v>107</v>
      </c>
      <c r="NG40">
        <v>140</v>
      </c>
      <c r="NH40">
        <v>107</v>
      </c>
      <c r="NI40">
        <v>140</v>
      </c>
      <c r="NJ40">
        <v>99</v>
      </c>
      <c r="NK40">
        <v>99</v>
      </c>
      <c r="NL40">
        <v>178</v>
      </c>
      <c r="NM40">
        <v>103</v>
      </c>
      <c r="NN40">
        <v>103</v>
      </c>
      <c r="NO40">
        <v>103</v>
      </c>
      <c r="NP40">
        <v>120</v>
      </c>
      <c r="NQ40">
        <v>120</v>
      </c>
      <c r="NR40">
        <v>570</v>
      </c>
      <c r="NS40">
        <v>99</v>
      </c>
      <c r="NT40">
        <v>393</v>
      </c>
      <c r="NU40">
        <v>434</v>
      </c>
      <c r="NV40">
        <v>593</v>
      </c>
      <c r="NW40">
        <v>178</v>
      </c>
      <c r="NX40">
        <v>178</v>
      </c>
      <c r="NY40">
        <v>178</v>
      </c>
      <c r="NZ40">
        <v>178</v>
      </c>
      <c r="OA40">
        <v>136</v>
      </c>
      <c r="OB40">
        <v>122</v>
      </c>
      <c r="OC40">
        <v>82</v>
      </c>
      <c r="OD40">
        <v>82</v>
      </c>
      <c r="OE40">
        <v>105</v>
      </c>
      <c r="OF40">
        <v>434</v>
      </c>
      <c r="OG40">
        <v>350</v>
      </c>
      <c r="OH40">
        <v>99</v>
      </c>
      <c r="OI40">
        <v>99</v>
      </c>
      <c r="OJ40">
        <v>99</v>
      </c>
      <c r="OK40">
        <v>99</v>
      </c>
      <c r="OL40">
        <v>99</v>
      </c>
      <c r="OM40">
        <v>99</v>
      </c>
      <c r="ON40">
        <v>200</v>
      </c>
      <c r="OO40">
        <v>200</v>
      </c>
      <c r="OP40">
        <v>119</v>
      </c>
      <c r="OQ40">
        <v>105</v>
      </c>
      <c r="OR40">
        <v>105</v>
      </c>
      <c r="OS40">
        <v>195</v>
      </c>
      <c r="OT40">
        <v>710</v>
      </c>
      <c r="OU40">
        <v>82</v>
      </c>
      <c r="OV40">
        <v>80</v>
      </c>
      <c r="OW40">
        <v>107</v>
      </c>
      <c r="OX40">
        <v>140</v>
      </c>
      <c r="OY40">
        <v>136</v>
      </c>
      <c r="OZ40">
        <v>136</v>
      </c>
      <c r="PA40">
        <v>104</v>
      </c>
      <c r="PB40">
        <v>196</v>
      </c>
      <c r="PC40">
        <v>80</v>
      </c>
      <c r="PD40">
        <v>562</v>
      </c>
      <c r="PE40">
        <v>120</v>
      </c>
      <c r="PF40">
        <v>267</v>
      </c>
      <c r="PG40">
        <v>351</v>
      </c>
      <c r="PH40">
        <v>593</v>
      </c>
      <c r="PI40">
        <v>178</v>
      </c>
      <c r="PJ40">
        <v>99</v>
      </c>
      <c r="PK40">
        <v>134</v>
      </c>
      <c r="PL40">
        <v>103</v>
      </c>
      <c r="PM40">
        <v>103</v>
      </c>
      <c r="PN40">
        <v>710</v>
      </c>
      <c r="PO40">
        <v>710</v>
      </c>
      <c r="PP40">
        <v>710</v>
      </c>
      <c r="PQ40">
        <v>185</v>
      </c>
      <c r="PR40">
        <v>178</v>
      </c>
      <c r="PS40">
        <v>99</v>
      </c>
      <c r="PT40">
        <v>178</v>
      </c>
      <c r="PU40">
        <v>178</v>
      </c>
      <c r="PV40">
        <v>119</v>
      </c>
      <c r="PW40">
        <v>120</v>
      </c>
      <c r="PX40">
        <v>136</v>
      </c>
      <c r="PY40">
        <v>434</v>
      </c>
      <c r="PZ40">
        <v>512</v>
      </c>
      <c r="QA40">
        <v>99</v>
      </c>
      <c r="QB40">
        <v>80</v>
      </c>
      <c r="QC40">
        <v>269</v>
      </c>
      <c r="QD40">
        <v>178</v>
      </c>
      <c r="QE40">
        <v>140</v>
      </c>
      <c r="QF40">
        <v>136</v>
      </c>
      <c r="QG40">
        <v>731</v>
      </c>
      <c r="QH40">
        <v>731</v>
      </c>
      <c r="QI40">
        <v>660</v>
      </c>
      <c r="QJ40">
        <v>660</v>
      </c>
      <c r="QK40">
        <v>136</v>
      </c>
      <c r="QL40">
        <v>99</v>
      </c>
      <c r="QM40">
        <v>99</v>
      </c>
      <c r="QN40">
        <v>350</v>
      </c>
      <c r="QO40">
        <v>350</v>
      </c>
      <c r="QP40">
        <v>99</v>
      </c>
      <c r="QQ40">
        <v>178</v>
      </c>
      <c r="QR40">
        <v>99</v>
      </c>
      <c r="QS40">
        <v>109</v>
      </c>
      <c r="QT40">
        <v>143</v>
      </c>
      <c r="QU40">
        <v>434</v>
      </c>
      <c r="QV40">
        <v>178</v>
      </c>
      <c r="QW40">
        <v>99</v>
      </c>
      <c r="QX40">
        <v>140</v>
      </c>
      <c r="QY40">
        <v>190</v>
      </c>
      <c r="QZ40">
        <v>195</v>
      </c>
      <c r="RA40">
        <v>135</v>
      </c>
      <c r="RB40">
        <v>195</v>
      </c>
      <c r="RC40">
        <v>710</v>
      </c>
      <c r="RD40">
        <v>136</v>
      </c>
      <c r="RE40">
        <v>105</v>
      </c>
      <c r="RF40">
        <v>124</v>
      </c>
      <c r="RG40">
        <v>99</v>
      </c>
      <c r="RH40">
        <v>353</v>
      </c>
      <c r="RI40">
        <v>178</v>
      </c>
      <c r="RJ40">
        <v>99</v>
      </c>
      <c r="RK40">
        <v>136</v>
      </c>
      <c r="RL40">
        <v>99</v>
      </c>
      <c r="RM40">
        <v>187</v>
      </c>
      <c r="RN40">
        <v>99</v>
      </c>
      <c r="RO40">
        <v>761</v>
      </c>
      <c r="RP40">
        <v>761</v>
      </c>
      <c r="RQ40">
        <v>99</v>
      </c>
      <c r="RR40">
        <v>99</v>
      </c>
      <c r="RS40">
        <v>99</v>
      </c>
      <c r="RT40">
        <v>99</v>
      </c>
      <c r="RU40">
        <v>136</v>
      </c>
      <c r="RV40">
        <v>124</v>
      </c>
      <c r="RW40">
        <v>99</v>
      </c>
      <c r="RX40">
        <v>99</v>
      </c>
      <c r="RY40">
        <v>136</v>
      </c>
      <c r="RZ40">
        <v>105</v>
      </c>
      <c r="SA40">
        <v>136</v>
      </c>
      <c r="SB40">
        <v>100</v>
      </c>
      <c r="SC40">
        <v>99</v>
      </c>
      <c r="SD40">
        <v>178</v>
      </c>
      <c r="SE40">
        <v>99</v>
      </c>
      <c r="SF40">
        <v>99</v>
      </c>
      <c r="SG40">
        <v>99</v>
      </c>
      <c r="SH40">
        <v>99</v>
      </c>
      <c r="SI40">
        <v>82</v>
      </c>
      <c r="SJ40">
        <v>80</v>
      </c>
      <c r="SK40">
        <v>99</v>
      </c>
      <c r="SL40">
        <v>99</v>
      </c>
      <c r="SM40">
        <v>95</v>
      </c>
      <c r="SN40">
        <v>710</v>
      </c>
      <c r="SO40">
        <v>710</v>
      </c>
      <c r="SP40">
        <v>350</v>
      </c>
      <c r="SQ40">
        <v>120</v>
      </c>
      <c r="SR40">
        <v>104</v>
      </c>
      <c r="SS40">
        <v>710</v>
      </c>
      <c r="ST40">
        <v>710</v>
      </c>
      <c r="SU40">
        <v>99</v>
      </c>
      <c r="SV40">
        <v>99</v>
      </c>
      <c r="SW40">
        <v>80</v>
      </c>
      <c r="SX40">
        <v>178</v>
      </c>
      <c r="SY40">
        <v>269</v>
      </c>
      <c r="SZ40">
        <v>325</v>
      </c>
      <c r="TA40">
        <v>350</v>
      </c>
      <c r="TB40">
        <v>119</v>
      </c>
      <c r="TC40">
        <v>120</v>
      </c>
      <c r="TD40">
        <v>140</v>
      </c>
      <c r="TE40">
        <v>140</v>
      </c>
      <c r="TF40">
        <v>99</v>
      </c>
      <c r="TG40">
        <v>105</v>
      </c>
      <c r="TH40">
        <v>100</v>
      </c>
      <c r="TI40">
        <v>120</v>
      </c>
      <c r="TJ40">
        <v>139</v>
      </c>
      <c r="TK40">
        <v>135</v>
      </c>
      <c r="TL40">
        <v>190</v>
      </c>
      <c r="TM40">
        <v>99</v>
      </c>
      <c r="TN40">
        <v>99</v>
      </c>
      <c r="TO40">
        <v>1283</v>
      </c>
      <c r="TP40">
        <v>537</v>
      </c>
      <c r="TQ40">
        <v>178</v>
      </c>
      <c r="TR40">
        <v>178</v>
      </c>
      <c r="TS40">
        <v>178</v>
      </c>
      <c r="TT40">
        <v>105</v>
      </c>
      <c r="TU40">
        <v>105</v>
      </c>
      <c r="TV40">
        <v>136</v>
      </c>
      <c r="TW40">
        <v>105</v>
      </c>
      <c r="TX40">
        <v>82</v>
      </c>
      <c r="TY40">
        <v>82</v>
      </c>
      <c r="TZ40">
        <v>119</v>
      </c>
      <c r="UA40">
        <v>332</v>
      </c>
      <c r="UB40">
        <v>109</v>
      </c>
      <c r="UC40">
        <v>82</v>
      </c>
      <c r="UD40">
        <v>186</v>
      </c>
      <c r="UE40">
        <v>105</v>
      </c>
      <c r="UF40">
        <v>434</v>
      </c>
      <c r="UG40">
        <v>1577</v>
      </c>
      <c r="UH40">
        <v>105</v>
      </c>
      <c r="UI40">
        <v>105</v>
      </c>
      <c r="UJ40">
        <v>267</v>
      </c>
      <c r="UK40">
        <v>269</v>
      </c>
      <c r="UL40">
        <v>269</v>
      </c>
      <c r="UM40">
        <v>593</v>
      </c>
      <c r="UN40">
        <v>178</v>
      </c>
      <c r="UO40">
        <v>136</v>
      </c>
      <c r="UP40">
        <v>467</v>
      </c>
      <c r="UQ40">
        <v>63</v>
      </c>
      <c r="UR40">
        <v>195</v>
      </c>
      <c r="US40">
        <v>178</v>
      </c>
      <c r="UT40">
        <v>125</v>
      </c>
      <c r="UU40">
        <v>125</v>
      </c>
      <c r="UV40">
        <v>99</v>
      </c>
      <c r="UW40">
        <v>95</v>
      </c>
      <c r="UX40">
        <v>99</v>
      </c>
      <c r="UY40">
        <v>178</v>
      </c>
      <c r="UZ40">
        <v>178</v>
      </c>
      <c r="VA40">
        <v>105</v>
      </c>
      <c r="VB40">
        <v>99</v>
      </c>
      <c r="VC40">
        <v>99</v>
      </c>
      <c r="VD40">
        <v>105</v>
      </c>
      <c r="VE40">
        <v>105</v>
      </c>
      <c r="VF40">
        <v>105</v>
      </c>
      <c r="VG40">
        <v>710</v>
      </c>
      <c r="VH40">
        <v>710</v>
      </c>
      <c r="VI40">
        <v>79</v>
      </c>
      <c r="VJ40">
        <v>79</v>
      </c>
      <c r="VK40">
        <v>105</v>
      </c>
      <c r="VL40">
        <v>178</v>
      </c>
      <c r="VM40">
        <v>186</v>
      </c>
      <c r="VN40">
        <v>178</v>
      </c>
      <c r="VO40">
        <v>685</v>
      </c>
    </row>
    <row r="41" spans="1:587" x14ac:dyDescent="0.3">
      <c r="A41" t="s">
        <v>3036</v>
      </c>
      <c r="B41" cm="1">
        <f t="array" ref="B41:VO41">1*TRANSPOSE(_xlfn._xlws.FILTER(branch!$I$2:$I$591,branch!$D$2:$D$591&lt;&gt;0))</f>
        <v>99</v>
      </c>
      <c r="C41">
        <v>99</v>
      </c>
      <c r="D41">
        <v>178</v>
      </c>
      <c r="E41">
        <v>145</v>
      </c>
      <c r="F41">
        <v>536</v>
      </c>
      <c r="G41">
        <v>393</v>
      </c>
      <c r="H41">
        <v>393</v>
      </c>
      <c r="I41">
        <v>593</v>
      </c>
      <c r="J41">
        <v>434</v>
      </c>
      <c r="K41">
        <v>99</v>
      </c>
      <c r="L41">
        <v>140</v>
      </c>
      <c r="M41">
        <v>103</v>
      </c>
      <c r="N41">
        <v>109</v>
      </c>
      <c r="O41">
        <v>105</v>
      </c>
      <c r="P41">
        <v>99</v>
      </c>
      <c r="Q41">
        <v>187</v>
      </c>
      <c r="R41">
        <v>187</v>
      </c>
      <c r="S41">
        <v>187</v>
      </c>
      <c r="T41">
        <v>104</v>
      </c>
      <c r="U41">
        <v>112</v>
      </c>
      <c r="V41">
        <v>105</v>
      </c>
      <c r="W41">
        <v>82</v>
      </c>
      <c r="X41">
        <v>82</v>
      </c>
      <c r="Y41">
        <v>105</v>
      </c>
      <c r="Z41">
        <v>105</v>
      </c>
      <c r="AA41">
        <v>99</v>
      </c>
      <c r="AB41">
        <v>178</v>
      </c>
      <c r="AC41">
        <v>434</v>
      </c>
      <c r="AD41">
        <v>434</v>
      </c>
      <c r="AE41">
        <v>34</v>
      </c>
      <c r="AF41">
        <v>120</v>
      </c>
      <c r="AG41">
        <v>120</v>
      </c>
      <c r="AH41">
        <v>104</v>
      </c>
      <c r="AI41">
        <v>178</v>
      </c>
      <c r="AJ41">
        <v>178</v>
      </c>
      <c r="AK41">
        <v>178</v>
      </c>
      <c r="AL41">
        <v>178</v>
      </c>
      <c r="AM41">
        <v>120</v>
      </c>
      <c r="AN41">
        <v>178</v>
      </c>
      <c r="AO41">
        <v>99</v>
      </c>
      <c r="AP41">
        <v>178</v>
      </c>
      <c r="AQ41">
        <v>140</v>
      </c>
      <c r="AR41">
        <v>140</v>
      </c>
      <c r="AS41">
        <v>99</v>
      </c>
      <c r="AT41">
        <v>105</v>
      </c>
      <c r="AU41">
        <v>99</v>
      </c>
      <c r="AV41">
        <v>96</v>
      </c>
      <c r="AW41">
        <v>96</v>
      </c>
      <c r="AX41">
        <v>178</v>
      </c>
      <c r="AY41">
        <v>178</v>
      </c>
      <c r="AZ41">
        <v>120</v>
      </c>
      <c r="BA41">
        <v>120</v>
      </c>
      <c r="BB41">
        <v>178</v>
      </c>
      <c r="BC41">
        <v>178</v>
      </c>
      <c r="BD41">
        <v>178</v>
      </c>
      <c r="BE41">
        <v>105</v>
      </c>
      <c r="BF41">
        <v>99</v>
      </c>
      <c r="BG41">
        <v>99</v>
      </c>
      <c r="BH41">
        <v>99</v>
      </c>
      <c r="BI41">
        <v>82</v>
      </c>
      <c r="BJ41">
        <v>82</v>
      </c>
      <c r="BK41">
        <v>136</v>
      </c>
      <c r="BL41">
        <v>140</v>
      </c>
      <c r="BM41">
        <v>130</v>
      </c>
      <c r="BN41">
        <v>99</v>
      </c>
      <c r="BO41">
        <v>122</v>
      </c>
      <c r="BP41">
        <v>196</v>
      </c>
      <c r="BQ41">
        <v>178</v>
      </c>
      <c r="BR41">
        <v>136</v>
      </c>
      <c r="BS41">
        <v>178</v>
      </c>
      <c r="BT41">
        <v>124</v>
      </c>
      <c r="BU41">
        <v>178</v>
      </c>
      <c r="BV41">
        <v>178</v>
      </c>
      <c r="BW41">
        <v>178</v>
      </c>
      <c r="BX41">
        <v>99</v>
      </c>
      <c r="BY41">
        <v>136</v>
      </c>
      <c r="BZ41">
        <v>195</v>
      </c>
      <c r="CA41">
        <v>178</v>
      </c>
      <c r="CB41">
        <v>178</v>
      </c>
      <c r="CC41">
        <v>192</v>
      </c>
      <c r="CD41">
        <v>187</v>
      </c>
      <c r="CE41">
        <v>120</v>
      </c>
      <c r="CF41">
        <v>187</v>
      </c>
      <c r="CG41">
        <v>187</v>
      </c>
      <c r="CH41">
        <v>187</v>
      </c>
      <c r="CI41">
        <v>119</v>
      </c>
      <c r="CJ41">
        <v>119</v>
      </c>
      <c r="CK41">
        <v>570</v>
      </c>
      <c r="CL41">
        <v>570</v>
      </c>
      <c r="CM41">
        <v>140</v>
      </c>
      <c r="CN41">
        <v>140</v>
      </c>
      <c r="CO41">
        <v>842</v>
      </c>
      <c r="CP41">
        <v>105</v>
      </c>
      <c r="CQ41">
        <v>109</v>
      </c>
      <c r="CR41">
        <v>109</v>
      </c>
      <c r="CS41">
        <v>82</v>
      </c>
      <c r="CT41">
        <v>82</v>
      </c>
      <c r="CU41">
        <v>75</v>
      </c>
      <c r="CV41">
        <v>75</v>
      </c>
      <c r="CW41">
        <v>178</v>
      </c>
      <c r="CX41">
        <v>178</v>
      </c>
      <c r="CY41">
        <v>178</v>
      </c>
      <c r="CZ41">
        <v>178</v>
      </c>
      <c r="DA41">
        <v>82</v>
      </c>
      <c r="DB41">
        <v>82</v>
      </c>
      <c r="DC41">
        <v>710</v>
      </c>
      <c r="DD41">
        <v>69</v>
      </c>
      <c r="DE41">
        <v>70</v>
      </c>
      <c r="DF41">
        <v>710</v>
      </c>
      <c r="DG41">
        <v>710</v>
      </c>
      <c r="DH41">
        <v>710</v>
      </c>
      <c r="DI41">
        <v>144</v>
      </c>
      <c r="DJ41">
        <v>63</v>
      </c>
      <c r="DK41">
        <v>99</v>
      </c>
      <c r="DL41">
        <v>570</v>
      </c>
      <c r="DM41">
        <v>570</v>
      </c>
      <c r="DN41">
        <v>178</v>
      </c>
      <c r="DO41">
        <v>200</v>
      </c>
      <c r="DP41">
        <v>109</v>
      </c>
      <c r="DQ41">
        <v>109</v>
      </c>
      <c r="DR41">
        <v>79</v>
      </c>
      <c r="DS41">
        <v>79</v>
      </c>
      <c r="DT41">
        <v>434</v>
      </c>
      <c r="DU41">
        <v>740</v>
      </c>
      <c r="DV41">
        <v>228</v>
      </c>
      <c r="DW41">
        <v>115</v>
      </c>
      <c r="DX41">
        <v>195</v>
      </c>
      <c r="DY41">
        <v>124</v>
      </c>
      <c r="DZ41">
        <v>80</v>
      </c>
      <c r="EA41">
        <v>120</v>
      </c>
      <c r="EB41">
        <v>105</v>
      </c>
      <c r="EC41">
        <v>178</v>
      </c>
      <c r="ED41">
        <v>178</v>
      </c>
      <c r="EE41">
        <v>178</v>
      </c>
      <c r="EF41">
        <v>69</v>
      </c>
      <c r="EG41">
        <v>70</v>
      </c>
      <c r="EH41">
        <v>69</v>
      </c>
      <c r="EI41">
        <v>69</v>
      </c>
      <c r="EJ41">
        <v>132</v>
      </c>
      <c r="EK41">
        <v>132</v>
      </c>
      <c r="EL41">
        <v>710</v>
      </c>
      <c r="EM41">
        <v>710</v>
      </c>
      <c r="EN41">
        <v>66</v>
      </c>
      <c r="EO41">
        <v>66</v>
      </c>
      <c r="EP41">
        <v>710</v>
      </c>
      <c r="EQ41">
        <v>109</v>
      </c>
      <c r="ER41">
        <v>109</v>
      </c>
      <c r="ES41">
        <v>82</v>
      </c>
      <c r="ET41">
        <v>82</v>
      </c>
      <c r="EU41">
        <v>144</v>
      </c>
      <c r="EV41">
        <v>144</v>
      </c>
      <c r="EW41">
        <v>710</v>
      </c>
      <c r="EX41">
        <v>178</v>
      </c>
      <c r="EY41">
        <v>124</v>
      </c>
      <c r="EZ41">
        <v>99</v>
      </c>
      <c r="FA41">
        <v>99</v>
      </c>
      <c r="FB41">
        <v>99</v>
      </c>
      <c r="FC41">
        <v>761</v>
      </c>
      <c r="FD41">
        <v>187</v>
      </c>
      <c r="FE41">
        <v>761</v>
      </c>
      <c r="FF41">
        <v>761</v>
      </c>
      <c r="FG41">
        <v>761</v>
      </c>
      <c r="FH41">
        <v>178</v>
      </c>
      <c r="FI41">
        <v>178</v>
      </c>
      <c r="FJ41">
        <v>115</v>
      </c>
      <c r="FK41">
        <v>434</v>
      </c>
      <c r="FL41">
        <v>434</v>
      </c>
      <c r="FM41">
        <v>555</v>
      </c>
      <c r="FN41">
        <v>123</v>
      </c>
      <c r="FO41">
        <v>178</v>
      </c>
      <c r="FP41">
        <v>130</v>
      </c>
      <c r="FQ41">
        <v>178</v>
      </c>
      <c r="FR41">
        <v>103</v>
      </c>
      <c r="FS41">
        <v>238</v>
      </c>
      <c r="FT41">
        <v>434</v>
      </c>
      <c r="FU41">
        <v>178</v>
      </c>
      <c r="FV41">
        <v>132</v>
      </c>
      <c r="FW41">
        <v>178</v>
      </c>
      <c r="FX41">
        <v>144</v>
      </c>
      <c r="FY41">
        <v>144</v>
      </c>
      <c r="FZ41">
        <v>140</v>
      </c>
      <c r="GA41">
        <v>140</v>
      </c>
      <c r="GB41">
        <v>136</v>
      </c>
      <c r="GC41">
        <v>178</v>
      </c>
      <c r="GD41">
        <v>178</v>
      </c>
      <c r="GE41">
        <v>178</v>
      </c>
      <c r="GF41">
        <v>196</v>
      </c>
      <c r="GG41">
        <v>178</v>
      </c>
      <c r="GH41">
        <v>178</v>
      </c>
      <c r="GI41">
        <v>178</v>
      </c>
      <c r="GJ41">
        <v>130</v>
      </c>
      <c r="GK41">
        <v>99</v>
      </c>
      <c r="GL41">
        <v>136</v>
      </c>
      <c r="GM41">
        <v>178</v>
      </c>
      <c r="GN41">
        <v>105</v>
      </c>
      <c r="GO41">
        <v>187</v>
      </c>
      <c r="GP41">
        <v>187</v>
      </c>
      <c r="GQ41">
        <v>187</v>
      </c>
      <c r="GR41">
        <v>105</v>
      </c>
      <c r="GS41">
        <v>130</v>
      </c>
      <c r="GT41">
        <v>434</v>
      </c>
      <c r="GU41">
        <v>105</v>
      </c>
      <c r="GV41">
        <v>105</v>
      </c>
      <c r="GW41">
        <v>593</v>
      </c>
      <c r="GX41">
        <v>119</v>
      </c>
      <c r="GY41">
        <v>178</v>
      </c>
      <c r="GZ41">
        <v>120</v>
      </c>
      <c r="HA41">
        <v>178</v>
      </c>
      <c r="HB41">
        <v>178</v>
      </c>
      <c r="HC41">
        <v>178</v>
      </c>
      <c r="HD41">
        <v>646</v>
      </c>
      <c r="HE41">
        <v>161</v>
      </c>
      <c r="HF41">
        <v>161</v>
      </c>
      <c r="HG41">
        <v>434</v>
      </c>
      <c r="HH41">
        <v>434</v>
      </c>
      <c r="HI41">
        <v>187</v>
      </c>
      <c r="HJ41">
        <v>124</v>
      </c>
      <c r="HK41">
        <v>99</v>
      </c>
      <c r="HL41">
        <v>105</v>
      </c>
      <c r="HM41">
        <v>63</v>
      </c>
      <c r="HN41">
        <v>178</v>
      </c>
      <c r="HO41">
        <v>187</v>
      </c>
      <c r="HP41">
        <v>136</v>
      </c>
      <c r="HQ41">
        <v>187</v>
      </c>
      <c r="HR41">
        <v>187</v>
      </c>
      <c r="HS41">
        <v>99</v>
      </c>
      <c r="HT41">
        <v>99</v>
      </c>
      <c r="HU41">
        <v>105</v>
      </c>
      <c r="HV41">
        <v>178</v>
      </c>
      <c r="HW41">
        <v>178</v>
      </c>
      <c r="HX41">
        <v>1577</v>
      </c>
      <c r="HY41">
        <v>1577</v>
      </c>
      <c r="HZ41">
        <v>143</v>
      </c>
      <c r="IA41">
        <v>104</v>
      </c>
      <c r="IB41">
        <v>82</v>
      </c>
      <c r="IC41">
        <v>82</v>
      </c>
      <c r="ID41">
        <v>82</v>
      </c>
      <c r="IE41">
        <v>82</v>
      </c>
      <c r="IF41">
        <v>186</v>
      </c>
      <c r="IG41">
        <v>124</v>
      </c>
      <c r="IH41">
        <v>136</v>
      </c>
      <c r="II41">
        <v>99</v>
      </c>
      <c r="IJ41">
        <v>178</v>
      </c>
      <c r="IK41">
        <v>178</v>
      </c>
      <c r="IL41">
        <v>99</v>
      </c>
      <c r="IM41">
        <v>99</v>
      </c>
      <c r="IN41">
        <v>105</v>
      </c>
      <c r="IO41">
        <v>105</v>
      </c>
      <c r="IP41">
        <v>99</v>
      </c>
      <c r="IQ41">
        <v>99</v>
      </c>
      <c r="IR41">
        <v>100</v>
      </c>
      <c r="IS41">
        <v>100</v>
      </c>
      <c r="IT41">
        <v>200</v>
      </c>
      <c r="IU41">
        <v>143</v>
      </c>
      <c r="IV41">
        <v>82</v>
      </c>
      <c r="IW41">
        <v>82</v>
      </c>
      <c r="IX41">
        <v>82</v>
      </c>
      <c r="IY41">
        <v>412</v>
      </c>
      <c r="IZ41">
        <v>412</v>
      </c>
      <c r="JA41">
        <v>82</v>
      </c>
      <c r="JB41">
        <v>82</v>
      </c>
      <c r="JC41">
        <v>109</v>
      </c>
      <c r="JD41">
        <v>178</v>
      </c>
      <c r="JE41">
        <v>99</v>
      </c>
      <c r="JF41">
        <v>82</v>
      </c>
      <c r="JG41">
        <v>109</v>
      </c>
      <c r="JH41">
        <v>140</v>
      </c>
      <c r="JI41">
        <v>140</v>
      </c>
      <c r="JJ41">
        <v>196</v>
      </c>
      <c r="JK41">
        <v>178</v>
      </c>
      <c r="JL41">
        <v>178</v>
      </c>
      <c r="JM41">
        <v>99</v>
      </c>
      <c r="JN41">
        <v>178</v>
      </c>
      <c r="JO41">
        <v>350</v>
      </c>
      <c r="JP41">
        <v>99</v>
      </c>
      <c r="JQ41">
        <v>99</v>
      </c>
      <c r="JR41">
        <v>99</v>
      </c>
      <c r="JS41">
        <v>392</v>
      </c>
      <c r="JT41">
        <v>97</v>
      </c>
      <c r="JU41">
        <v>99</v>
      </c>
      <c r="JV41">
        <v>761</v>
      </c>
      <c r="JW41">
        <v>178</v>
      </c>
      <c r="JX41">
        <v>124</v>
      </c>
      <c r="JY41">
        <v>103</v>
      </c>
      <c r="JZ41">
        <v>178</v>
      </c>
      <c r="KA41">
        <v>746</v>
      </c>
      <c r="KB41">
        <v>646</v>
      </c>
      <c r="KC41">
        <v>178</v>
      </c>
      <c r="KD41">
        <v>178</v>
      </c>
      <c r="KE41">
        <v>178</v>
      </c>
      <c r="KF41">
        <v>178</v>
      </c>
      <c r="KG41">
        <v>190</v>
      </c>
      <c r="KH41">
        <v>105</v>
      </c>
      <c r="KI41">
        <v>136</v>
      </c>
      <c r="KJ41">
        <v>134</v>
      </c>
      <c r="KK41">
        <v>136</v>
      </c>
      <c r="KL41">
        <v>136</v>
      </c>
      <c r="KM41">
        <v>99</v>
      </c>
      <c r="KN41">
        <v>105</v>
      </c>
      <c r="KO41">
        <v>99</v>
      </c>
      <c r="KP41">
        <v>105</v>
      </c>
      <c r="KQ41">
        <v>99</v>
      </c>
      <c r="KR41">
        <v>99</v>
      </c>
      <c r="KS41">
        <v>99</v>
      </c>
      <c r="KT41">
        <v>74</v>
      </c>
      <c r="KU41">
        <v>74</v>
      </c>
      <c r="KV41">
        <v>99</v>
      </c>
      <c r="KW41">
        <v>178</v>
      </c>
      <c r="KX41">
        <v>178</v>
      </c>
      <c r="KY41">
        <v>99</v>
      </c>
      <c r="KZ41">
        <v>104</v>
      </c>
      <c r="LA41">
        <v>178</v>
      </c>
      <c r="LB41">
        <v>178</v>
      </c>
      <c r="LC41">
        <v>211</v>
      </c>
      <c r="LD41">
        <v>196</v>
      </c>
      <c r="LE41">
        <v>69</v>
      </c>
      <c r="LF41">
        <v>69</v>
      </c>
      <c r="LG41">
        <v>144</v>
      </c>
      <c r="LH41">
        <v>144</v>
      </c>
      <c r="LI41">
        <v>103</v>
      </c>
      <c r="LJ41">
        <v>99</v>
      </c>
      <c r="LK41">
        <v>99</v>
      </c>
      <c r="LL41">
        <v>82</v>
      </c>
      <c r="LM41">
        <v>82</v>
      </c>
      <c r="LN41">
        <v>82</v>
      </c>
      <c r="LO41">
        <v>82</v>
      </c>
      <c r="LP41">
        <v>82</v>
      </c>
      <c r="LQ41">
        <v>99</v>
      </c>
      <c r="LR41">
        <v>79</v>
      </c>
      <c r="LS41">
        <v>79</v>
      </c>
      <c r="LT41">
        <v>108</v>
      </c>
      <c r="LU41">
        <v>109</v>
      </c>
      <c r="LV41">
        <v>109</v>
      </c>
      <c r="LW41">
        <v>99</v>
      </c>
      <c r="LX41">
        <v>99</v>
      </c>
      <c r="LY41">
        <v>99</v>
      </c>
      <c r="LZ41">
        <v>178</v>
      </c>
      <c r="MA41">
        <v>393</v>
      </c>
      <c r="MB41">
        <v>350</v>
      </c>
      <c r="MC41">
        <v>350</v>
      </c>
      <c r="MD41">
        <v>434</v>
      </c>
      <c r="ME41">
        <v>1283</v>
      </c>
      <c r="MF41">
        <v>351</v>
      </c>
      <c r="MG41">
        <v>140</v>
      </c>
      <c r="MH41">
        <v>140</v>
      </c>
      <c r="MI41">
        <v>140</v>
      </c>
      <c r="MJ41">
        <v>186</v>
      </c>
      <c r="MK41">
        <v>157</v>
      </c>
      <c r="ML41">
        <v>144</v>
      </c>
      <c r="MM41">
        <v>186</v>
      </c>
      <c r="MN41">
        <v>195</v>
      </c>
      <c r="MO41">
        <v>105</v>
      </c>
      <c r="MP41">
        <v>119</v>
      </c>
      <c r="MQ41">
        <v>593</v>
      </c>
      <c r="MR41">
        <v>119</v>
      </c>
      <c r="MS41">
        <v>332</v>
      </c>
      <c r="MT41">
        <v>120</v>
      </c>
      <c r="MU41">
        <v>80</v>
      </c>
      <c r="MV41">
        <v>536</v>
      </c>
      <c r="MW41">
        <v>105</v>
      </c>
      <c r="MX41">
        <v>144</v>
      </c>
      <c r="MY41">
        <v>144</v>
      </c>
      <c r="MZ41">
        <v>105</v>
      </c>
      <c r="NA41">
        <v>384</v>
      </c>
      <c r="NB41">
        <v>99</v>
      </c>
      <c r="NC41">
        <v>99</v>
      </c>
      <c r="ND41">
        <v>434</v>
      </c>
      <c r="NE41">
        <v>98</v>
      </c>
      <c r="NF41">
        <v>107</v>
      </c>
      <c r="NG41">
        <v>140</v>
      </c>
      <c r="NH41">
        <v>107</v>
      </c>
      <c r="NI41">
        <v>140</v>
      </c>
      <c r="NJ41">
        <v>99</v>
      </c>
      <c r="NK41">
        <v>99</v>
      </c>
      <c r="NL41">
        <v>178</v>
      </c>
      <c r="NM41">
        <v>103</v>
      </c>
      <c r="NN41">
        <v>103</v>
      </c>
      <c r="NO41">
        <v>103</v>
      </c>
      <c r="NP41">
        <v>120</v>
      </c>
      <c r="NQ41">
        <v>120</v>
      </c>
      <c r="NR41">
        <v>570</v>
      </c>
      <c r="NS41">
        <v>99</v>
      </c>
      <c r="NT41">
        <v>393</v>
      </c>
      <c r="NU41">
        <v>434</v>
      </c>
      <c r="NV41">
        <v>593</v>
      </c>
      <c r="NW41">
        <v>178</v>
      </c>
      <c r="NX41">
        <v>178</v>
      </c>
      <c r="NY41">
        <v>178</v>
      </c>
      <c r="NZ41">
        <v>178</v>
      </c>
      <c r="OA41">
        <v>136</v>
      </c>
      <c r="OB41">
        <v>122</v>
      </c>
      <c r="OC41">
        <v>82</v>
      </c>
      <c r="OD41">
        <v>82</v>
      </c>
      <c r="OE41">
        <v>105</v>
      </c>
      <c r="OF41">
        <v>434</v>
      </c>
      <c r="OG41">
        <v>350</v>
      </c>
      <c r="OH41">
        <v>99</v>
      </c>
      <c r="OI41">
        <v>99</v>
      </c>
      <c r="OJ41">
        <v>99</v>
      </c>
      <c r="OK41">
        <v>99</v>
      </c>
      <c r="OL41">
        <v>99</v>
      </c>
      <c r="OM41">
        <v>99</v>
      </c>
      <c r="ON41">
        <v>200</v>
      </c>
      <c r="OO41">
        <v>200</v>
      </c>
      <c r="OP41">
        <v>119</v>
      </c>
      <c r="OQ41">
        <v>105</v>
      </c>
      <c r="OR41">
        <v>105</v>
      </c>
      <c r="OS41">
        <v>195</v>
      </c>
      <c r="OT41">
        <v>710</v>
      </c>
      <c r="OU41">
        <v>82</v>
      </c>
      <c r="OV41">
        <v>80</v>
      </c>
      <c r="OW41">
        <v>107</v>
      </c>
      <c r="OX41">
        <v>140</v>
      </c>
      <c r="OY41">
        <v>136</v>
      </c>
      <c r="OZ41">
        <v>136</v>
      </c>
      <c r="PA41">
        <v>104</v>
      </c>
      <c r="PB41">
        <v>196</v>
      </c>
      <c r="PC41">
        <v>80</v>
      </c>
      <c r="PD41">
        <v>562</v>
      </c>
      <c r="PE41">
        <v>120</v>
      </c>
      <c r="PF41">
        <v>267</v>
      </c>
      <c r="PG41">
        <v>351</v>
      </c>
      <c r="PH41">
        <v>593</v>
      </c>
      <c r="PI41">
        <v>178</v>
      </c>
      <c r="PJ41">
        <v>99</v>
      </c>
      <c r="PK41">
        <v>134</v>
      </c>
      <c r="PL41">
        <v>103</v>
      </c>
      <c r="PM41">
        <v>103</v>
      </c>
      <c r="PN41">
        <v>710</v>
      </c>
      <c r="PO41">
        <v>710</v>
      </c>
      <c r="PP41">
        <v>710</v>
      </c>
      <c r="PQ41">
        <v>185</v>
      </c>
      <c r="PR41">
        <v>178</v>
      </c>
      <c r="PS41">
        <v>99</v>
      </c>
      <c r="PT41">
        <v>178</v>
      </c>
      <c r="PU41">
        <v>178</v>
      </c>
      <c r="PV41">
        <v>119</v>
      </c>
      <c r="PW41">
        <v>120</v>
      </c>
      <c r="PX41">
        <v>136</v>
      </c>
      <c r="PY41">
        <v>434</v>
      </c>
      <c r="PZ41">
        <v>512</v>
      </c>
      <c r="QA41">
        <v>99</v>
      </c>
      <c r="QB41">
        <v>80</v>
      </c>
      <c r="QC41">
        <v>269</v>
      </c>
      <c r="QD41">
        <v>178</v>
      </c>
      <c r="QE41">
        <v>140</v>
      </c>
      <c r="QF41">
        <v>136</v>
      </c>
      <c r="QG41">
        <v>731</v>
      </c>
      <c r="QH41">
        <v>731</v>
      </c>
      <c r="QI41">
        <v>660</v>
      </c>
      <c r="QJ41">
        <v>660</v>
      </c>
      <c r="QK41">
        <v>136</v>
      </c>
      <c r="QL41">
        <v>99</v>
      </c>
      <c r="QM41">
        <v>99</v>
      </c>
      <c r="QN41">
        <v>350</v>
      </c>
      <c r="QO41">
        <v>350</v>
      </c>
      <c r="QP41">
        <v>99</v>
      </c>
      <c r="QQ41">
        <v>178</v>
      </c>
      <c r="QR41">
        <v>99</v>
      </c>
      <c r="QS41">
        <v>109</v>
      </c>
      <c r="QT41">
        <v>143</v>
      </c>
      <c r="QU41">
        <v>434</v>
      </c>
      <c r="QV41">
        <v>178</v>
      </c>
      <c r="QW41">
        <v>99</v>
      </c>
      <c r="QX41">
        <v>140</v>
      </c>
      <c r="QY41">
        <v>190</v>
      </c>
      <c r="QZ41">
        <v>195</v>
      </c>
      <c r="RA41">
        <v>135</v>
      </c>
      <c r="RB41">
        <v>195</v>
      </c>
      <c r="RC41">
        <v>710</v>
      </c>
      <c r="RD41">
        <v>136</v>
      </c>
      <c r="RE41">
        <v>105</v>
      </c>
      <c r="RF41">
        <v>124</v>
      </c>
      <c r="RG41">
        <v>99</v>
      </c>
      <c r="RH41">
        <v>353</v>
      </c>
      <c r="RI41">
        <v>178</v>
      </c>
      <c r="RJ41">
        <v>99</v>
      </c>
      <c r="RK41">
        <v>136</v>
      </c>
      <c r="RL41">
        <v>99</v>
      </c>
      <c r="RM41">
        <v>187</v>
      </c>
      <c r="RN41">
        <v>99</v>
      </c>
      <c r="RO41">
        <v>761</v>
      </c>
      <c r="RP41">
        <v>761</v>
      </c>
      <c r="RQ41">
        <v>99</v>
      </c>
      <c r="RR41">
        <v>99</v>
      </c>
      <c r="RS41">
        <v>99</v>
      </c>
      <c r="RT41">
        <v>99</v>
      </c>
      <c r="RU41">
        <v>136</v>
      </c>
      <c r="RV41">
        <v>124</v>
      </c>
      <c r="RW41">
        <v>99</v>
      </c>
      <c r="RX41">
        <v>99</v>
      </c>
      <c r="RY41">
        <v>136</v>
      </c>
      <c r="RZ41">
        <v>105</v>
      </c>
      <c r="SA41">
        <v>136</v>
      </c>
      <c r="SB41">
        <v>100</v>
      </c>
      <c r="SC41">
        <v>99</v>
      </c>
      <c r="SD41">
        <v>178</v>
      </c>
      <c r="SE41">
        <v>99</v>
      </c>
      <c r="SF41">
        <v>99</v>
      </c>
      <c r="SG41">
        <v>99</v>
      </c>
      <c r="SH41">
        <v>99</v>
      </c>
      <c r="SI41">
        <v>82</v>
      </c>
      <c r="SJ41">
        <v>80</v>
      </c>
      <c r="SK41">
        <v>99</v>
      </c>
      <c r="SL41">
        <v>99</v>
      </c>
      <c r="SM41">
        <v>95</v>
      </c>
      <c r="SN41">
        <v>710</v>
      </c>
      <c r="SO41">
        <v>710</v>
      </c>
      <c r="SP41">
        <v>350</v>
      </c>
      <c r="SQ41">
        <v>120</v>
      </c>
      <c r="SR41">
        <v>104</v>
      </c>
      <c r="SS41">
        <v>710</v>
      </c>
      <c r="ST41">
        <v>710</v>
      </c>
      <c r="SU41">
        <v>99</v>
      </c>
      <c r="SV41">
        <v>99</v>
      </c>
      <c r="SW41">
        <v>80</v>
      </c>
      <c r="SX41">
        <v>178</v>
      </c>
      <c r="SY41">
        <v>269</v>
      </c>
      <c r="SZ41">
        <v>325</v>
      </c>
      <c r="TA41">
        <v>350</v>
      </c>
      <c r="TB41">
        <v>119</v>
      </c>
      <c r="TC41">
        <v>120</v>
      </c>
      <c r="TD41">
        <v>140</v>
      </c>
      <c r="TE41">
        <v>140</v>
      </c>
      <c r="TF41">
        <v>99</v>
      </c>
      <c r="TG41">
        <v>105</v>
      </c>
      <c r="TH41">
        <v>100</v>
      </c>
      <c r="TI41">
        <v>120</v>
      </c>
      <c r="TJ41">
        <v>139</v>
      </c>
      <c r="TK41">
        <v>135</v>
      </c>
      <c r="TL41">
        <v>190</v>
      </c>
      <c r="TM41">
        <v>99</v>
      </c>
      <c r="TN41">
        <v>99</v>
      </c>
      <c r="TO41">
        <v>1283</v>
      </c>
      <c r="TP41">
        <v>537</v>
      </c>
      <c r="TQ41">
        <v>178</v>
      </c>
      <c r="TR41">
        <v>178</v>
      </c>
      <c r="TS41">
        <v>178</v>
      </c>
      <c r="TT41">
        <v>105</v>
      </c>
      <c r="TU41">
        <v>105</v>
      </c>
      <c r="TV41">
        <v>136</v>
      </c>
      <c r="TW41">
        <v>105</v>
      </c>
      <c r="TX41">
        <v>82</v>
      </c>
      <c r="TY41">
        <v>82</v>
      </c>
      <c r="TZ41">
        <v>119</v>
      </c>
      <c r="UA41">
        <v>332</v>
      </c>
      <c r="UB41">
        <v>109</v>
      </c>
      <c r="UC41">
        <v>82</v>
      </c>
      <c r="UD41">
        <v>186</v>
      </c>
      <c r="UE41">
        <v>105</v>
      </c>
      <c r="UF41">
        <v>434</v>
      </c>
      <c r="UG41">
        <v>1577</v>
      </c>
      <c r="UH41">
        <v>105</v>
      </c>
      <c r="UI41">
        <v>105</v>
      </c>
      <c r="UJ41">
        <v>267</v>
      </c>
      <c r="UK41">
        <v>269</v>
      </c>
      <c r="UL41">
        <v>269</v>
      </c>
      <c r="UM41">
        <v>593</v>
      </c>
      <c r="UN41">
        <v>178</v>
      </c>
      <c r="UO41">
        <v>136</v>
      </c>
      <c r="UP41">
        <v>467</v>
      </c>
      <c r="UQ41">
        <v>63</v>
      </c>
      <c r="UR41">
        <v>195</v>
      </c>
      <c r="US41">
        <v>178</v>
      </c>
      <c r="UT41">
        <v>125</v>
      </c>
      <c r="UU41">
        <v>125</v>
      </c>
      <c r="UV41">
        <v>99</v>
      </c>
      <c r="UW41">
        <v>95</v>
      </c>
      <c r="UX41">
        <v>99</v>
      </c>
      <c r="UY41">
        <v>178</v>
      </c>
      <c r="UZ41">
        <v>178</v>
      </c>
      <c r="VA41">
        <v>105</v>
      </c>
      <c r="VB41">
        <v>99</v>
      </c>
      <c r="VC41">
        <v>99</v>
      </c>
      <c r="VD41">
        <v>105</v>
      </c>
      <c r="VE41">
        <v>105</v>
      </c>
      <c r="VF41">
        <v>105</v>
      </c>
      <c r="VG41">
        <v>710</v>
      </c>
      <c r="VH41">
        <v>710</v>
      </c>
      <c r="VI41">
        <v>79</v>
      </c>
      <c r="VJ41">
        <v>79</v>
      </c>
      <c r="VK41">
        <v>105</v>
      </c>
      <c r="VL41">
        <v>178</v>
      </c>
      <c r="VM41">
        <v>186</v>
      </c>
      <c r="VN41">
        <v>178</v>
      </c>
      <c r="VO41">
        <v>685</v>
      </c>
    </row>
    <row r="42" spans="1:587" x14ac:dyDescent="0.3">
      <c r="A42" t="s">
        <v>3037</v>
      </c>
      <c r="B42" cm="1">
        <f t="array" ref="B42:VO42">1*TRANSPOSE(_xlfn._xlws.FILTER(branch!$I$2:$I$591,branch!$D$2:$D$591&lt;&gt;0))</f>
        <v>99</v>
      </c>
      <c r="C42">
        <v>99</v>
      </c>
      <c r="D42">
        <v>178</v>
      </c>
      <c r="E42">
        <v>145</v>
      </c>
      <c r="F42">
        <v>536</v>
      </c>
      <c r="G42">
        <v>393</v>
      </c>
      <c r="H42">
        <v>393</v>
      </c>
      <c r="I42">
        <v>593</v>
      </c>
      <c r="J42">
        <v>434</v>
      </c>
      <c r="K42">
        <v>99</v>
      </c>
      <c r="L42">
        <v>140</v>
      </c>
      <c r="M42">
        <v>103</v>
      </c>
      <c r="N42">
        <v>109</v>
      </c>
      <c r="O42">
        <v>105</v>
      </c>
      <c r="P42">
        <v>99</v>
      </c>
      <c r="Q42">
        <v>187</v>
      </c>
      <c r="R42">
        <v>187</v>
      </c>
      <c r="S42">
        <v>187</v>
      </c>
      <c r="T42">
        <v>104</v>
      </c>
      <c r="U42">
        <v>112</v>
      </c>
      <c r="V42">
        <v>105</v>
      </c>
      <c r="W42">
        <v>82</v>
      </c>
      <c r="X42">
        <v>82</v>
      </c>
      <c r="Y42">
        <v>105</v>
      </c>
      <c r="Z42">
        <v>105</v>
      </c>
      <c r="AA42">
        <v>99</v>
      </c>
      <c r="AB42">
        <v>178</v>
      </c>
      <c r="AC42">
        <v>434</v>
      </c>
      <c r="AD42">
        <v>434</v>
      </c>
      <c r="AE42">
        <v>34</v>
      </c>
      <c r="AF42">
        <v>120</v>
      </c>
      <c r="AG42">
        <v>120</v>
      </c>
      <c r="AH42">
        <v>104</v>
      </c>
      <c r="AI42">
        <v>178</v>
      </c>
      <c r="AJ42">
        <v>178</v>
      </c>
      <c r="AK42">
        <v>178</v>
      </c>
      <c r="AL42">
        <v>178</v>
      </c>
      <c r="AM42">
        <v>120</v>
      </c>
      <c r="AN42">
        <v>178</v>
      </c>
      <c r="AO42">
        <v>99</v>
      </c>
      <c r="AP42">
        <v>178</v>
      </c>
      <c r="AQ42">
        <v>140</v>
      </c>
      <c r="AR42">
        <v>140</v>
      </c>
      <c r="AS42">
        <v>99</v>
      </c>
      <c r="AT42">
        <v>105</v>
      </c>
      <c r="AU42">
        <v>99</v>
      </c>
      <c r="AV42">
        <v>96</v>
      </c>
      <c r="AW42">
        <v>96</v>
      </c>
      <c r="AX42">
        <v>178</v>
      </c>
      <c r="AY42">
        <v>178</v>
      </c>
      <c r="AZ42">
        <v>120</v>
      </c>
      <c r="BA42">
        <v>120</v>
      </c>
      <c r="BB42">
        <v>178</v>
      </c>
      <c r="BC42">
        <v>178</v>
      </c>
      <c r="BD42">
        <v>178</v>
      </c>
      <c r="BE42">
        <v>105</v>
      </c>
      <c r="BF42">
        <v>99</v>
      </c>
      <c r="BG42">
        <v>99</v>
      </c>
      <c r="BH42">
        <v>99</v>
      </c>
      <c r="BI42">
        <v>82</v>
      </c>
      <c r="BJ42">
        <v>82</v>
      </c>
      <c r="BK42">
        <v>136</v>
      </c>
      <c r="BL42">
        <v>140</v>
      </c>
      <c r="BM42">
        <v>130</v>
      </c>
      <c r="BN42">
        <v>99</v>
      </c>
      <c r="BO42">
        <v>122</v>
      </c>
      <c r="BP42">
        <v>196</v>
      </c>
      <c r="BQ42">
        <v>178</v>
      </c>
      <c r="BR42">
        <v>136</v>
      </c>
      <c r="BS42">
        <v>178</v>
      </c>
      <c r="BT42">
        <v>124</v>
      </c>
      <c r="BU42">
        <v>178</v>
      </c>
      <c r="BV42">
        <v>178</v>
      </c>
      <c r="BW42">
        <v>178</v>
      </c>
      <c r="BX42">
        <v>99</v>
      </c>
      <c r="BY42">
        <v>136</v>
      </c>
      <c r="BZ42">
        <v>195</v>
      </c>
      <c r="CA42">
        <v>178</v>
      </c>
      <c r="CB42">
        <v>178</v>
      </c>
      <c r="CC42">
        <v>192</v>
      </c>
      <c r="CD42">
        <v>187</v>
      </c>
      <c r="CE42">
        <v>120</v>
      </c>
      <c r="CF42">
        <v>187</v>
      </c>
      <c r="CG42">
        <v>187</v>
      </c>
      <c r="CH42">
        <v>187</v>
      </c>
      <c r="CI42">
        <v>119</v>
      </c>
      <c r="CJ42">
        <v>119</v>
      </c>
      <c r="CK42">
        <v>570</v>
      </c>
      <c r="CL42">
        <v>570</v>
      </c>
      <c r="CM42">
        <v>140</v>
      </c>
      <c r="CN42">
        <v>140</v>
      </c>
      <c r="CO42">
        <v>842</v>
      </c>
      <c r="CP42">
        <v>105</v>
      </c>
      <c r="CQ42">
        <v>109</v>
      </c>
      <c r="CR42">
        <v>109</v>
      </c>
      <c r="CS42">
        <v>82</v>
      </c>
      <c r="CT42">
        <v>82</v>
      </c>
      <c r="CU42">
        <v>75</v>
      </c>
      <c r="CV42">
        <v>75</v>
      </c>
      <c r="CW42">
        <v>178</v>
      </c>
      <c r="CX42">
        <v>178</v>
      </c>
      <c r="CY42">
        <v>178</v>
      </c>
      <c r="CZ42">
        <v>178</v>
      </c>
      <c r="DA42">
        <v>82</v>
      </c>
      <c r="DB42">
        <v>82</v>
      </c>
      <c r="DC42">
        <v>710</v>
      </c>
      <c r="DD42">
        <v>69</v>
      </c>
      <c r="DE42">
        <v>70</v>
      </c>
      <c r="DF42">
        <v>710</v>
      </c>
      <c r="DG42">
        <v>710</v>
      </c>
      <c r="DH42">
        <v>710</v>
      </c>
      <c r="DI42">
        <v>144</v>
      </c>
      <c r="DJ42">
        <v>63</v>
      </c>
      <c r="DK42">
        <v>99</v>
      </c>
      <c r="DL42">
        <v>570</v>
      </c>
      <c r="DM42">
        <v>570</v>
      </c>
      <c r="DN42">
        <v>178</v>
      </c>
      <c r="DO42">
        <v>200</v>
      </c>
      <c r="DP42">
        <v>109</v>
      </c>
      <c r="DQ42">
        <v>109</v>
      </c>
      <c r="DR42">
        <v>79</v>
      </c>
      <c r="DS42">
        <v>79</v>
      </c>
      <c r="DT42">
        <v>434</v>
      </c>
      <c r="DU42">
        <v>740</v>
      </c>
      <c r="DV42">
        <v>228</v>
      </c>
      <c r="DW42">
        <v>115</v>
      </c>
      <c r="DX42">
        <v>195</v>
      </c>
      <c r="DY42">
        <v>124</v>
      </c>
      <c r="DZ42">
        <v>80</v>
      </c>
      <c r="EA42">
        <v>120</v>
      </c>
      <c r="EB42">
        <v>105</v>
      </c>
      <c r="EC42">
        <v>178</v>
      </c>
      <c r="ED42">
        <v>178</v>
      </c>
      <c r="EE42">
        <v>178</v>
      </c>
      <c r="EF42">
        <v>69</v>
      </c>
      <c r="EG42">
        <v>70</v>
      </c>
      <c r="EH42">
        <v>69</v>
      </c>
      <c r="EI42">
        <v>69</v>
      </c>
      <c r="EJ42">
        <v>132</v>
      </c>
      <c r="EK42">
        <v>132</v>
      </c>
      <c r="EL42">
        <v>710</v>
      </c>
      <c r="EM42">
        <v>710</v>
      </c>
      <c r="EN42">
        <v>66</v>
      </c>
      <c r="EO42">
        <v>66</v>
      </c>
      <c r="EP42">
        <v>710</v>
      </c>
      <c r="EQ42">
        <v>109</v>
      </c>
      <c r="ER42">
        <v>109</v>
      </c>
      <c r="ES42">
        <v>82</v>
      </c>
      <c r="ET42">
        <v>82</v>
      </c>
      <c r="EU42">
        <v>144</v>
      </c>
      <c r="EV42">
        <v>144</v>
      </c>
      <c r="EW42">
        <v>710</v>
      </c>
      <c r="EX42">
        <v>178</v>
      </c>
      <c r="EY42">
        <v>124</v>
      </c>
      <c r="EZ42">
        <v>99</v>
      </c>
      <c r="FA42">
        <v>99</v>
      </c>
      <c r="FB42">
        <v>99</v>
      </c>
      <c r="FC42">
        <v>761</v>
      </c>
      <c r="FD42">
        <v>187</v>
      </c>
      <c r="FE42">
        <v>761</v>
      </c>
      <c r="FF42">
        <v>761</v>
      </c>
      <c r="FG42">
        <v>761</v>
      </c>
      <c r="FH42">
        <v>178</v>
      </c>
      <c r="FI42">
        <v>178</v>
      </c>
      <c r="FJ42">
        <v>115</v>
      </c>
      <c r="FK42">
        <v>434</v>
      </c>
      <c r="FL42">
        <v>434</v>
      </c>
      <c r="FM42">
        <v>555</v>
      </c>
      <c r="FN42">
        <v>123</v>
      </c>
      <c r="FO42">
        <v>178</v>
      </c>
      <c r="FP42">
        <v>130</v>
      </c>
      <c r="FQ42">
        <v>178</v>
      </c>
      <c r="FR42">
        <v>103</v>
      </c>
      <c r="FS42">
        <v>238</v>
      </c>
      <c r="FT42">
        <v>434</v>
      </c>
      <c r="FU42">
        <v>178</v>
      </c>
      <c r="FV42">
        <v>132</v>
      </c>
      <c r="FW42">
        <v>178</v>
      </c>
      <c r="FX42">
        <v>144</v>
      </c>
      <c r="FY42">
        <v>144</v>
      </c>
      <c r="FZ42">
        <v>140</v>
      </c>
      <c r="GA42">
        <v>140</v>
      </c>
      <c r="GB42">
        <v>136</v>
      </c>
      <c r="GC42">
        <v>178</v>
      </c>
      <c r="GD42">
        <v>178</v>
      </c>
      <c r="GE42">
        <v>178</v>
      </c>
      <c r="GF42">
        <v>196</v>
      </c>
      <c r="GG42">
        <v>178</v>
      </c>
      <c r="GH42">
        <v>178</v>
      </c>
      <c r="GI42">
        <v>178</v>
      </c>
      <c r="GJ42">
        <v>130</v>
      </c>
      <c r="GK42">
        <v>99</v>
      </c>
      <c r="GL42">
        <v>136</v>
      </c>
      <c r="GM42">
        <v>178</v>
      </c>
      <c r="GN42">
        <v>105</v>
      </c>
      <c r="GO42">
        <v>187</v>
      </c>
      <c r="GP42">
        <v>187</v>
      </c>
      <c r="GQ42">
        <v>187</v>
      </c>
      <c r="GR42">
        <v>105</v>
      </c>
      <c r="GS42">
        <v>130</v>
      </c>
      <c r="GT42">
        <v>434</v>
      </c>
      <c r="GU42">
        <v>105</v>
      </c>
      <c r="GV42">
        <v>105</v>
      </c>
      <c r="GW42">
        <v>593</v>
      </c>
      <c r="GX42">
        <v>119</v>
      </c>
      <c r="GY42">
        <v>178</v>
      </c>
      <c r="GZ42">
        <v>120</v>
      </c>
      <c r="HA42">
        <v>178</v>
      </c>
      <c r="HB42">
        <v>178</v>
      </c>
      <c r="HC42">
        <v>178</v>
      </c>
      <c r="HD42">
        <v>646</v>
      </c>
      <c r="HE42">
        <v>161</v>
      </c>
      <c r="HF42">
        <v>161</v>
      </c>
      <c r="HG42">
        <v>434</v>
      </c>
      <c r="HH42">
        <v>434</v>
      </c>
      <c r="HI42">
        <v>187</v>
      </c>
      <c r="HJ42">
        <v>124</v>
      </c>
      <c r="HK42">
        <v>99</v>
      </c>
      <c r="HL42">
        <v>105</v>
      </c>
      <c r="HM42">
        <v>63</v>
      </c>
      <c r="HN42">
        <v>178</v>
      </c>
      <c r="HO42">
        <v>187</v>
      </c>
      <c r="HP42">
        <v>136</v>
      </c>
      <c r="HQ42">
        <v>187</v>
      </c>
      <c r="HR42">
        <v>187</v>
      </c>
      <c r="HS42">
        <v>99</v>
      </c>
      <c r="HT42">
        <v>99</v>
      </c>
      <c r="HU42">
        <v>105</v>
      </c>
      <c r="HV42">
        <v>178</v>
      </c>
      <c r="HW42">
        <v>178</v>
      </c>
      <c r="HX42">
        <v>1577</v>
      </c>
      <c r="HY42">
        <v>1577</v>
      </c>
      <c r="HZ42">
        <v>143</v>
      </c>
      <c r="IA42">
        <v>104</v>
      </c>
      <c r="IB42">
        <v>82</v>
      </c>
      <c r="IC42">
        <v>82</v>
      </c>
      <c r="ID42">
        <v>82</v>
      </c>
      <c r="IE42">
        <v>82</v>
      </c>
      <c r="IF42">
        <v>186</v>
      </c>
      <c r="IG42">
        <v>124</v>
      </c>
      <c r="IH42">
        <v>136</v>
      </c>
      <c r="II42">
        <v>99</v>
      </c>
      <c r="IJ42">
        <v>178</v>
      </c>
      <c r="IK42">
        <v>178</v>
      </c>
      <c r="IL42">
        <v>99</v>
      </c>
      <c r="IM42">
        <v>99</v>
      </c>
      <c r="IN42">
        <v>105</v>
      </c>
      <c r="IO42">
        <v>105</v>
      </c>
      <c r="IP42">
        <v>99</v>
      </c>
      <c r="IQ42">
        <v>99</v>
      </c>
      <c r="IR42">
        <v>100</v>
      </c>
      <c r="IS42">
        <v>100</v>
      </c>
      <c r="IT42">
        <v>200</v>
      </c>
      <c r="IU42">
        <v>143</v>
      </c>
      <c r="IV42">
        <v>82</v>
      </c>
      <c r="IW42">
        <v>82</v>
      </c>
      <c r="IX42">
        <v>82</v>
      </c>
      <c r="IY42">
        <v>412</v>
      </c>
      <c r="IZ42">
        <v>412</v>
      </c>
      <c r="JA42">
        <v>82</v>
      </c>
      <c r="JB42">
        <v>82</v>
      </c>
      <c r="JC42">
        <v>109</v>
      </c>
      <c r="JD42">
        <v>178</v>
      </c>
      <c r="JE42">
        <v>99</v>
      </c>
      <c r="JF42">
        <v>82</v>
      </c>
      <c r="JG42">
        <v>109</v>
      </c>
      <c r="JH42">
        <v>140</v>
      </c>
      <c r="JI42">
        <v>140</v>
      </c>
      <c r="JJ42">
        <v>196</v>
      </c>
      <c r="JK42">
        <v>178</v>
      </c>
      <c r="JL42">
        <v>178</v>
      </c>
      <c r="JM42">
        <v>99</v>
      </c>
      <c r="JN42">
        <v>178</v>
      </c>
      <c r="JO42">
        <v>350</v>
      </c>
      <c r="JP42">
        <v>99</v>
      </c>
      <c r="JQ42">
        <v>99</v>
      </c>
      <c r="JR42">
        <v>99</v>
      </c>
      <c r="JS42">
        <v>392</v>
      </c>
      <c r="JT42">
        <v>97</v>
      </c>
      <c r="JU42">
        <v>99</v>
      </c>
      <c r="JV42">
        <v>761</v>
      </c>
      <c r="JW42">
        <v>178</v>
      </c>
      <c r="JX42">
        <v>124</v>
      </c>
      <c r="JY42">
        <v>103</v>
      </c>
      <c r="JZ42">
        <v>178</v>
      </c>
      <c r="KA42">
        <v>746</v>
      </c>
      <c r="KB42">
        <v>646</v>
      </c>
      <c r="KC42">
        <v>178</v>
      </c>
      <c r="KD42">
        <v>178</v>
      </c>
      <c r="KE42">
        <v>178</v>
      </c>
      <c r="KF42">
        <v>178</v>
      </c>
      <c r="KG42">
        <v>190</v>
      </c>
      <c r="KH42">
        <v>105</v>
      </c>
      <c r="KI42">
        <v>136</v>
      </c>
      <c r="KJ42">
        <v>134</v>
      </c>
      <c r="KK42">
        <v>136</v>
      </c>
      <c r="KL42">
        <v>136</v>
      </c>
      <c r="KM42">
        <v>99</v>
      </c>
      <c r="KN42">
        <v>105</v>
      </c>
      <c r="KO42">
        <v>99</v>
      </c>
      <c r="KP42">
        <v>105</v>
      </c>
      <c r="KQ42">
        <v>99</v>
      </c>
      <c r="KR42">
        <v>99</v>
      </c>
      <c r="KS42">
        <v>99</v>
      </c>
      <c r="KT42">
        <v>74</v>
      </c>
      <c r="KU42">
        <v>74</v>
      </c>
      <c r="KV42">
        <v>99</v>
      </c>
      <c r="KW42">
        <v>178</v>
      </c>
      <c r="KX42">
        <v>178</v>
      </c>
      <c r="KY42">
        <v>99</v>
      </c>
      <c r="KZ42">
        <v>104</v>
      </c>
      <c r="LA42">
        <v>178</v>
      </c>
      <c r="LB42">
        <v>178</v>
      </c>
      <c r="LC42">
        <v>211</v>
      </c>
      <c r="LD42">
        <v>196</v>
      </c>
      <c r="LE42">
        <v>69</v>
      </c>
      <c r="LF42">
        <v>69</v>
      </c>
      <c r="LG42">
        <v>144</v>
      </c>
      <c r="LH42">
        <v>144</v>
      </c>
      <c r="LI42">
        <v>103</v>
      </c>
      <c r="LJ42">
        <v>99</v>
      </c>
      <c r="LK42">
        <v>99</v>
      </c>
      <c r="LL42">
        <v>82</v>
      </c>
      <c r="LM42">
        <v>82</v>
      </c>
      <c r="LN42">
        <v>82</v>
      </c>
      <c r="LO42">
        <v>82</v>
      </c>
      <c r="LP42">
        <v>82</v>
      </c>
      <c r="LQ42">
        <v>99</v>
      </c>
      <c r="LR42">
        <v>79</v>
      </c>
      <c r="LS42">
        <v>79</v>
      </c>
      <c r="LT42">
        <v>108</v>
      </c>
      <c r="LU42">
        <v>109</v>
      </c>
      <c r="LV42">
        <v>109</v>
      </c>
      <c r="LW42">
        <v>99</v>
      </c>
      <c r="LX42">
        <v>99</v>
      </c>
      <c r="LY42">
        <v>99</v>
      </c>
      <c r="LZ42">
        <v>178</v>
      </c>
      <c r="MA42">
        <v>393</v>
      </c>
      <c r="MB42">
        <v>350</v>
      </c>
      <c r="MC42">
        <v>350</v>
      </c>
      <c r="MD42">
        <v>434</v>
      </c>
      <c r="ME42">
        <v>1283</v>
      </c>
      <c r="MF42">
        <v>351</v>
      </c>
      <c r="MG42">
        <v>140</v>
      </c>
      <c r="MH42">
        <v>140</v>
      </c>
      <c r="MI42">
        <v>140</v>
      </c>
      <c r="MJ42">
        <v>186</v>
      </c>
      <c r="MK42">
        <v>157</v>
      </c>
      <c r="ML42">
        <v>144</v>
      </c>
      <c r="MM42">
        <v>186</v>
      </c>
      <c r="MN42">
        <v>195</v>
      </c>
      <c r="MO42">
        <v>105</v>
      </c>
      <c r="MP42">
        <v>119</v>
      </c>
      <c r="MQ42">
        <v>593</v>
      </c>
      <c r="MR42">
        <v>119</v>
      </c>
      <c r="MS42">
        <v>332</v>
      </c>
      <c r="MT42">
        <v>120</v>
      </c>
      <c r="MU42">
        <v>80</v>
      </c>
      <c r="MV42">
        <v>536</v>
      </c>
      <c r="MW42">
        <v>105</v>
      </c>
      <c r="MX42">
        <v>144</v>
      </c>
      <c r="MY42">
        <v>144</v>
      </c>
      <c r="MZ42">
        <v>105</v>
      </c>
      <c r="NA42">
        <v>384</v>
      </c>
      <c r="NB42">
        <v>99</v>
      </c>
      <c r="NC42">
        <v>99</v>
      </c>
      <c r="ND42">
        <v>434</v>
      </c>
      <c r="NE42">
        <v>98</v>
      </c>
      <c r="NF42">
        <v>107</v>
      </c>
      <c r="NG42">
        <v>140</v>
      </c>
      <c r="NH42">
        <v>107</v>
      </c>
      <c r="NI42">
        <v>140</v>
      </c>
      <c r="NJ42">
        <v>99</v>
      </c>
      <c r="NK42">
        <v>99</v>
      </c>
      <c r="NL42">
        <v>178</v>
      </c>
      <c r="NM42">
        <v>103</v>
      </c>
      <c r="NN42">
        <v>103</v>
      </c>
      <c r="NO42">
        <v>103</v>
      </c>
      <c r="NP42">
        <v>120</v>
      </c>
      <c r="NQ42">
        <v>120</v>
      </c>
      <c r="NR42">
        <v>570</v>
      </c>
      <c r="NS42">
        <v>99</v>
      </c>
      <c r="NT42">
        <v>393</v>
      </c>
      <c r="NU42">
        <v>434</v>
      </c>
      <c r="NV42">
        <v>593</v>
      </c>
      <c r="NW42">
        <v>178</v>
      </c>
      <c r="NX42">
        <v>178</v>
      </c>
      <c r="NY42">
        <v>178</v>
      </c>
      <c r="NZ42">
        <v>178</v>
      </c>
      <c r="OA42">
        <v>136</v>
      </c>
      <c r="OB42">
        <v>122</v>
      </c>
      <c r="OC42">
        <v>82</v>
      </c>
      <c r="OD42">
        <v>82</v>
      </c>
      <c r="OE42">
        <v>105</v>
      </c>
      <c r="OF42">
        <v>434</v>
      </c>
      <c r="OG42">
        <v>350</v>
      </c>
      <c r="OH42">
        <v>99</v>
      </c>
      <c r="OI42">
        <v>99</v>
      </c>
      <c r="OJ42">
        <v>99</v>
      </c>
      <c r="OK42">
        <v>99</v>
      </c>
      <c r="OL42">
        <v>99</v>
      </c>
      <c r="OM42">
        <v>99</v>
      </c>
      <c r="ON42">
        <v>200</v>
      </c>
      <c r="OO42">
        <v>200</v>
      </c>
      <c r="OP42">
        <v>119</v>
      </c>
      <c r="OQ42">
        <v>105</v>
      </c>
      <c r="OR42">
        <v>105</v>
      </c>
      <c r="OS42">
        <v>195</v>
      </c>
      <c r="OT42">
        <v>710</v>
      </c>
      <c r="OU42">
        <v>82</v>
      </c>
      <c r="OV42">
        <v>80</v>
      </c>
      <c r="OW42">
        <v>107</v>
      </c>
      <c r="OX42">
        <v>140</v>
      </c>
      <c r="OY42">
        <v>136</v>
      </c>
      <c r="OZ42">
        <v>136</v>
      </c>
      <c r="PA42">
        <v>104</v>
      </c>
      <c r="PB42">
        <v>196</v>
      </c>
      <c r="PC42">
        <v>80</v>
      </c>
      <c r="PD42">
        <v>562</v>
      </c>
      <c r="PE42">
        <v>120</v>
      </c>
      <c r="PF42">
        <v>267</v>
      </c>
      <c r="PG42">
        <v>351</v>
      </c>
      <c r="PH42">
        <v>593</v>
      </c>
      <c r="PI42">
        <v>178</v>
      </c>
      <c r="PJ42">
        <v>99</v>
      </c>
      <c r="PK42">
        <v>134</v>
      </c>
      <c r="PL42">
        <v>103</v>
      </c>
      <c r="PM42">
        <v>103</v>
      </c>
      <c r="PN42">
        <v>710</v>
      </c>
      <c r="PO42">
        <v>710</v>
      </c>
      <c r="PP42">
        <v>710</v>
      </c>
      <c r="PQ42">
        <v>185</v>
      </c>
      <c r="PR42">
        <v>178</v>
      </c>
      <c r="PS42">
        <v>99</v>
      </c>
      <c r="PT42">
        <v>178</v>
      </c>
      <c r="PU42">
        <v>178</v>
      </c>
      <c r="PV42">
        <v>119</v>
      </c>
      <c r="PW42">
        <v>120</v>
      </c>
      <c r="PX42">
        <v>136</v>
      </c>
      <c r="PY42">
        <v>434</v>
      </c>
      <c r="PZ42">
        <v>512</v>
      </c>
      <c r="QA42">
        <v>99</v>
      </c>
      <c r="QB42">
        <v>80</v>
      </c>
      <c r="QC42">
        <v>269</v>
      </c>
      <c r="QD42">
        <v>178</v>
      </c>
      <c r="QE42">
        <v>140</v>
      </c>
      <c r="QF42">
        <v>136</v>
      </c>
      <c r="QG42">
        <v>731</v>
      </c>
      <c r="QH42">
        <v>731</v>
      </c>
      <c r="QI42">
        <v>660</v>
      </c>
      <c r="QJ42">
        <v>660</v>
      </c>
      <c r="QK42">
        <v>136</v>
      </c>
      <c r="QL42">
        <v>99</v>
      </c>
      <c r="QM42">
        <v>99</v>
      </c>
      <c r="QN42">
        <v>350</v>
      </c>
      <c r="QO42">
        <v>350</v>
      </c>
      <c r="QP42">
        <v>99</v>
      </c>
      <c r="QQ42">
        <v>178</v>
      </c>
      <c r="QR42">
        <v>99</v>
      </c>
      <c r="QS42">
        <v>109</v>
      </c>
      <c r="QT42">
        <v>143</v>
      </c>
      <c r="QU42">
        <v>434</v>
      </c>
      <c r="QV42">
        <v>178</v>
      </c>
      <c r="QW42">
        <v>99</v>
      </c>
      <c r="QX42">
        <v>140</v>
      </c>
      <c r="QY42">
        <v>190</v>
      </c>
      <c r="QZ42">
        <v>195</v>
      </c>
      <c r="RA42">
        <v>135</v>
      </c>
      <c r="RB42">
        <v>195</v>
      </c>
      <c r="RC42">
        <v>710</v>
      </c>
      <c r="RD42">
        <v>136</v>
      </c>
      <c r="RE42">
        <v>105</v>
      </c>
      <c r="RF42">
        <v>124</v>
      </c>
      <c r="RG42">
        <v>99</v>
      </c>
      <c r="RH42">
        <v>353</v>
      </c>
      <c r="RI42">
        <v>178</v>
      </c>
      <c r="RJ42">
        <v>99</v>
      </c>
      <c r="RK42">
        <v>136</v>
      </c>
      <c r="RL42">
        <v>99</v>
      </c>
      <c r="RM42">
        <v>187</v>
      </c>
      <c r="RN42">
        <v>99</v>
      </c>
      <c r="RO42">
        <v>761</v>
      </c>
      <c r="RP42">
        <v>761</v>
      </c>
      <c r="RQ42">
        <v>99</v>
      </c>
      <c r="RR42">
        <v>99</v>
      </c>
      <c r="RS42">
        <v>99</v>
      </c>
      <c r="RT42">
        <v>99</v>
      </c>
      <c r="RU42">
        <v>136</v>
      </c>
      <c r="RV42">
        <v>124</v>
      </c>
      <c r="RW42">
        <v>99</v>
      </c>
      <c r="RX42">
        <v>99</v>
      </c>
      <c r="RY42">
        <v>136</v>
      </c>
      <c r="RZ42">
        <v>105</v>
      </c>
      <c r="SA42">
        <v>136</v>
      </c>
      <c r="SB42">
        <v>100</v>
      </c>
      <c r="SC42">
        <v>99</v>
      </c>
      <c r="SD42">
        <v>178</v>
      </c>
      <c r="SE42">
        <v>99</v>
      </c>
      <c r="SF42">
        <v>99</v>
      </c>
      <c r="SG42">
        <v>99</v>
      </c>
      <c r="SH42">
        <v>99</v>
      </c>
      <c r="SI42">
        <v>82</v>
      </c>
      <c r="SJ42">
        <v>80</v>
      </c>
      <c r="SK42">
        <v>99</v>
      </c>
      <c r="SL42">
        <v>99</v>
      </c>
      <c r="SM42">
        <v>95</v>
      </c>
      <c r="SN42">
        <v>710</v>
      </c>
      <c r="SO42">
        <v>710</v>
      </c>
      <c r="SP42">
        <v>350</v>
      </c>
      <c r="SQ42">
        <v>120</v>
      </c>
      <c r="SR42">
        <v>104</v>
      </c>
      <c r="SS42">
        <v>710</v>
      </c>
      <c r="ST42">
        <v>710</v>
      </c>
      <c r="SU42">
        <v>99</v>
      </c>
      <c r="SV42">
        <v>99</v>
      </c>
      <c r="SW42">
        <v>80</v>
      </c>
      <c r="SX42">
        <v>178</v>
      </c>
      <c r="SY42">
        <v>269</v>
      </c>
      <c r="SZ42">
        <v>325</v>
      </c>
      <c r="TA42">
        <v>350</v>
      </c>
      <c r="TB42">
        <v>119</v>
      </c>
      <c r="TC42">
        <v>120</v>
      </c>
      <c r="TD42">
        <v>140</v>
      </c>
      <c r="TE42">
        <v>140</v>
      </c>
      <c r="TF42">
        <v>99</v>
      </c>
      <c r="TG42">
        <v>105</v>
      </c>
      <c r="TH42">
        <v>100</v>
      </c>
      <c r="TI42">
        <v>120</v>
      </c>
      <c r="TJ42">
        <v>139</v>
      </c>
      <c r="TK42">
        <v>135</v>
      </c>
      <c r="TL42">
        <v>190</v>
      </c>
      <c r="TM42">
        <v>99</v>
      </c>
      <c r="TN42">
        <v>99</v>
      </c>
      <c r="TO42">
        <v>1283</v>
      </c>
      <c r="TP42">
        <v>537</v>
      </c>
      <c r="TQ42">
        <v>178</v>
      </c>
      <c r="TR42">
        <v>178</v>
      </c>
      <c r="TS42">
        <v>178</v>
      </c>
      <c r="TT42">
        <v>105</v>
      </c>
      <c r="TU42">
        <v>105</v>
      </c>
      <c r="TV42">
        <v>136</v>
      </c>
      <c r="TW42">
        <v>105</v>
      </c>
      <c r="TX42">
        <v>82</v>
      </c>
      <c r="TY42">
        <v>82</v>
      </c>
      <c r="TZ42">
        <v>119</v>
      </c>
      <c r="UA42">
        <v>332</v>
      </c>
      <c r="UB42">
        <v>109</v>
      </c>
      <c r="UC42">
        <v>82</v>
      </c>
      <c r="UD42">
        <v>186</v>
      </c>
      <c r="UE42">
        <v>105</v>
      </c>
      <c r="UF42">
        <v>434</v>
      </c>
      <c r="UG42">
        <v>1577</v>
      </c>
      <c r="UH42">
        <v>105</v>
      </c>
      <c r="UI42">
        <v>105</v>
      </c>
      <c r="UJ42">
        <v>267</v>
      </c>
      <c r="UK42">
        <v>269</v>
      </c>
      <c r="UL42">
        <v>269</v>
      </c>
      <c r="UM42">
        <v>593</v>
      </c>
      <c r="UN42">
        <v>178</v>
      </c>
      <c r="UO42">
        <v>136</v>
      </c>
      <c r="UP42">
        <v>467</v>
      </c>
      <c r="UQ42">
        <v>63</v>
      </c>
      <c r="UR42">
        <v>195</v>
      </c>
      <c r="US42">
        <v>178</v>
      </c>
      <c r="UT42">
        <v>125</v>
      </c>
      <c r="UU42">
        <v>125</v>
      </c>
      <c r="UV42">
        <v>99</v>
      </c>
      <c r="UW42">
        <v>95</v>
      </c>
      <c r="UX42">
        <v>99</v>
      </c>
      <c r="UY42">
        <v>178</v>
      </c>
      <c r="UZ42">
        <v>178</v>
      </c>
      <c r="VA42">
        <v>105</v>
      </c>
      <c r="VB42">
        <v>99</v>
      </c>
      <c r="VC42">
        <v>99</v>
      </c>
      <c r="VD42">
        <v>105</v>
      </c>
      <c r="VE42">
        <v>105</v>
      </c>
      <c r="VF42">
        <v>105</v>
      </c>
      <c r="VG42">
        <v>710</v>
      </c>
      <c r="VH42">
        <v>710</v>
      </c>
      <c r="VI42">
        <v>79</v>
      </c>
      <c r="VJ42">
        <v>79</v>
      </c>
      <c r="VK42">
        <v>105</v>
      </c>
      <c r="VL42">
        <v>178</v>
      </c>
      <c r="VM42">
        <v>186</v>
      </c>
      <c r="VN42">
        <v>178</v>
      </c>
      <c r="VO42">
        <v>685</v>
      </c>
    </row>
    <row r="43" spans="1:587" x14ac:dyDescent="0.3">
      <c r="A43" t="s">
        <v>3038</v>
      </c>
      <c r="B43" cm="1">
        <f t="array" ref="B43:VO43">1*TRANSPOSE(_xlfn._xlws.FILTER(branch!$I$2:$I$591,branch!$D$2:$D$591&lt;&gt;0))</f>
        <v>99</v>
      </c>
      <c r="C43">
        <v>99</v>
      </c>
      <c r="D43">
        <v>178</v>
      </c>
      <c r="E43">
        <v>145</v>
      </c>
      <c r="F43">
        <v>536</v>
      </c>
      <c r="G43">
        <v>393</v>
      </c>
      <c r="H43">
        <v>393</v>
      </c>
      <c r="I43">
        <v>593</v>
      </c>
      <c r="J43">
        <v>434</v>
      </c>
      <c r="K43">
        <v>99</v>
      </c>
      <c r="L43">
        <v>140</v>
      </c>
      <c r="M43">
        <v>103</v>
      </c>
      <c r="N43">
        <v>109</v>
      </c>
      <c r="O43">
        <v>105</v>
      </c>
      <c r="P43">
        <v>99</v>
      </c>
      <c r="Q43">
        <v>187</v>
      </c>
      <c r="R43">
        <v>187</v>
      </c>
      <c r="S43">
        <v>187</v>
      </c>
      <c r="T43">
        <v>104</v>
      </c>
      <c r="U43">
        <v>112</v>
      </c>
      <c r="V43">
        <v>105</v>
      </c>
      <c r="W43">
        <v>82</v>
      </c>
      <c r="X43">
        <v>82</v>
      </c>
      <c r="Y43">
        <v>105</v>
      </c>
      <c r="Z43">
        <v>105</v>
      </c>
      <c r="AA43">
        <v>99</v>
      </c>
      <c r="AB43">
        <v>178</v>
      </c>
      <c r="AC43">
        <v>434</v>
      </c>
      <c r="AD43">
        <v>434</v>
      </c>
      <c r="AE43">
        <v>34</v>
      </c>
      <c r="AF43">
        <v>120</v>
      </c>
      <c r="AG43">
        <v>120</v>
      </c>
      <c r="AH43">
        <v>104</v>
      </c>
      <c r="AI43">
        <v>178</v>
      </c>
      <c r="AJ43">
        <v>178</v>
      </c>
      <c r="AK43">
        <v>178</v>
      </c>
      <c r="AL43">
        <v>178</v>
      </c>
      <c r="AM43">
        <v>120</v>
      </c>
      <c r="AN43">
        <v>178</v>
      </c>
      <c r="AO43">
        <v>99</v>
      </c>
      <c r="AP43">
        <v>178</v>
      </c>
      <c r="AQ43">
        <v>140</v>
      </c>
      <c r="AR43">
        <v>140</v>
      </c>
      <c r="AS43">
        <v>99</v>
      </c>
      <c r="AT43">
        <v>105</v>
      </c>
      <c r="AU43">
        <v>99</v>
      </c>
      <c r="AV43">
        <v>96</v>
      </c>
      <c r="AW43">
        <v>96</v>
      </c>
      <c r="AX43">
        <v>178</v>
      </c>
      <c r="AY43">
        <v>178</v>
      </c>
      <c r="AZ43">
        <v>120</v>
      </c>
      <c r="BA43">
        <v>120</v>
      </c>
      <c r="BB43">
        <v>178</v>
      </c>
      <c r="BC43">
        <v>178</v>
      </c>
      <c r="BD43">
        <v>178</v>
      </c>
      <c r="BE43">
        <v>105</v>
      </c>
      <c r="BF43">
        <v>99</v>
      </c>
      <c r="BG43">
        <v>99</v>
      </c>
      <c r="BH43">
        <v>99</v>
      </c>
      <c r="BI43">
        <v>82</v>
      </c>
      <c r="BJ43">
        <v>82</v>
      </c>
      <c r="BK43">
        <v>136</v>
      </c>
      <c r="BL43">
        <v>140</v>
      </c>
      <c r="BM43">
        <v>130</v>
      </c>
      <c r="BN43">
        <v>99</v>
      </c>
      <c r="BO43">
        <v>122</v>
      </c>
      <c r="BP43">
        <v>196</v>
      </c>
      <c r="BQ43">
        <v>178</v>
      </c>
      <c r="BR43">
        <v>136</v>
      </c>
      <c r="BS43">
        <v>178</v>
      </c>
      <c r="BT43">
        <v>124</v>
      </c>
      <c r="BU43">
        <v>178</v>
      </c>
      <c r="BV43">
        <v>178</v>
      </c>
      <c r="BW43">
        <v>178</v>
      </c>
      <c r="BX43">
        <v>99</v>
      </c>
      <c r="BY43">
        <v>136</v>
      </c>
      <c r="BZ43">
        <v>195</v>
      </c>
      <c r="CA43">
        <v>178</v>
      </c>
      <c r="CB43">
        <v>178</v>
      </c>
      <c r="CC43">
        <v>192</v>
      </c>
      <c r="CD43">
        <v>187</v>
      </c>
      <c r="CE43">
        <v>120</v>
      </c>
      <c r="CF43">
        <v>187</v>
      </c>
      <c r="CG43">
        <v>187</v>
      </c>
      <c r="CH43">
        <v>187</v>
      </c>
      <c r="CI43">
        <v>119</v>
      </c>
      <c r="CJ43">
        <v>119</v>
      </c>
      <c r="CK43">
        <v>570</v>
      </c>
      <c r="CL43">
        <v>570</v>
      </c>
      <c r="CM43">
        <v>140</v>
      </c>
      <c r="CN43">
        <v>140</v>
      </c>
      <c r="CO43">
        <v>842</v>
      </c>
      <c r="CP43">
        <v>105</v>
      </c>
      <c r="CQ43">
        <v>109</v>
      </c>
      <c r="CR43">
        <v>109</v>
      </c>
      <c r="CS43">
        <v>82</v>
      </c>
      <c r="CT43">
        <v>82</v>
      </c>
      <c r="CU43">
        <v>75</v>
      </c>
      <c r="CV43">
        <v>75</v>
      </c>
      <c r="CW43">
        <v>178</v>
      </c>
      <c r="CX43">
        <v>178</v>
      </c>
      <c r="CY43">
        <v>178</v>
      </c>
      <c r="CZ43">
        <v>178</v>
      </c>
      <c r="DA43">
        <v>82</v>
      </c>
      <c r="DB43">
        <v>82</v>
      </c>
      <c r="DC43">
        <v>710</v>
      </c>
      <c r="DD43">
        <v>69</v>
      </c>
      <c r="DE43">
        <v>70</v>
      </c>
      <c r="DF43">
        <v>710</v>
      </c>
      <c r="DG43">
        <v>710</v>
      </c>
      <c r="DH43">
        <v>710</v>
      </c>
      <c r="DI43">
        <v>144</v>
      </c>
      <c r="DJ43">
        <v>63</v>
      </c>
      <c r="DK43">
        <v>99</v>
      </c>
      <c r="DL43">
        <v>570</v>
      </c>
      <c r="DM43">
        <v>570</v>
      </c>
      <c r="DN43">
        <v>178</v>
      </c>
      <c r="DO43">
        <v>200</v>
      </c>
      <c r="DP43">
        <v>109</v>
      </c>
      <c r="DQ43">
        <v>109</v>
      </c>
      <c r="DR43">
        <v>79</v>
      </c>
      <c r="DS43">
        <v>79</v>
      </c>
      <c r="DT43">
        <v>434</v>
      </c>
      <c r="DU43">
        <v>740</v>
      </c>
      <c r="DV43">
        <v>228</v>
      </c>
      <c r="DW43">
        <v>115</v>
      </c>
      <c r="DX43">
        <v>195</v>
      </c>
      <c r="DY43">
        <v>124</v>
      </c>
      <c r="DZ43">
        <v>80</v>
      </c>
      <c r="EA43">
        <v>120</v>
      </c>
      <c r="EB43">
        <v>105</v>
      </c>
      <c r="EC43">
        <v>178</v>
      </c>
      <c r="ED43">
        <v>178</v>
      </c>
      <c r="EE43">
        <v>178</v>
      </c>
      <c r="EF43">
        <v>69</v>
      </c>
      <c r="EG43">
        <v>70</v>
      </c>
      <c r="EH43">
        <v>69</v>
      </c>
      <c r="EI43">
        <v>69</v>
      </c>
      <c r="EJ43">
        <v>132</v>
      </c>
      <c r="EK43">
        <v>132</v>
      </c>
      <c r="EL43">
        <v>710</v>
      </c>
      <c r="EM43">
        <v>710</v>
      </c>
      <c r="EN43">
        <v>66</v>
      </c>
      <c r="EO43">
        <v>66</v>
      </c>
      <c r="EP43">
        <v>710</v>
      </c>
      <c r="EQ43">
        <v>109</v>
      </c>
      <c r="ER43">
        <v>109</v>
      </c>
      <c r="ES43">
        <v>82</v>
      </c>
      <c r="ET43">
        <v>82</v>
      </c>
      <c r="EU43">
        <v>144</v>
      </c>
      <c r="EV43">
        <v>144</v>
      </c>
      <c r="EW43">
        <v>710</v>
      </c>
      <c r="EX43">
        <v>178</v>
      </c>
      <c r="EY43">
        <v>124</v>
      </c>
      <c r="EZ43">
        <v>99</v>
      </c>
      <c r="FA43">
        <v>99</v>
      </c>
      <c r="FB43">
        <v>99</v>
      </c>
      <c r="FC43">
        <v>761</v>
      </c>
      <c r="FD43">
        <v>187</v>
      </c>
      <c r="FE43">
        <v>761</v>
      </c>
      <c r="FF43">
        <v>761</v>
      </c>
      <c r="FG43">
        <v>761</v>
      </c>
      <c r="FH43">
        <v>178</v>
      </c>
      <c r="FI43">
        <v>178</v>
      </c>
      <c r="FJ43">
        <v>115</v>
      </c>
      <c r="FK43">
        <v>434</v>
      </c>
      <c r="FL43">
        <v>434</v>
      </c>
      <c r="FM43">
        <v>555</v>
      </c>
      <c r="FN43">
        <v>123</v>
      </c>
      <c r="FO43">
        <v>178</v>
      </c>
      <c r="FP43">
        <v>130</v>
      </c>
      <c r="FQ43">
        <v>178</v>
      </c>
      <c r="FR43">
        <v>103</v>
      </c>
      <c r="FS43">
        <v>238</v>
      </c>
      <c r="FT43">
        <v>434</v>
      </c>
      <c r="FU43">
        <v>178</v>
      </c>
      <c r="FV43">
        <v>132</v>
      </c>
      <c r="FW43">
        <v>178</v>
      </c>
      <c r="FX43">
        <v>144</v>
      </c>
      <c r="FY43">
        <v>144</v>
      </c>
      <c r="FZ43">
        <v>140</v>
      </c>
      <c r="GA43">
        <v>140</v>
      </c>
      <c r="GB43">
        <v>136</v>
      </c>
      <c r="GC43">
        <v>178</v>
      </c>
      <c r="GD43">
        <v>178</v>
      </c>
      <c r="GE43">
        <v>178</v>
      </c>
      <c r="GF43">
        <v>196</v>
      </c>
      <c r="GG43">
        <v>178</v>
      </c>
      <c r="GH43">
        <v>178</v>
      </c>
      <c r="GI43">
        <v>178</v>
      </c>
      <c r="GJ43">
        <v>130</v>
      </c>
      <c r="GK43">
        <v>99</v>
      </c>
      <c r="GL43">
        <v>136</v>
      </c>
      <c r="GM43">
        <v>178</v>
      </c>
      <c r="GN43">
        <v>105</v>
      </c>
      <c r="GO43">
        <v>187</v>
      </c>
      <c r="GP43">
        <v>187</v>
      </c>
      <c r="GQ43">
        <v>187</v>
      </c>
      <c r="GR43">
        <v>105</v>
      </c>
      <c r="GS43">
        <v>130</v>
      </c>
      <c r="GT43">
        <v>434</v>
      </c>
      <c r="GU43">
        <v>105</v>
      </c>
      <c r="GV43">
        <v>105</v>
      </c>
      <c r="GW43">
        <v>593</v>
      </c>
      <c r="GX43">
        <v>119</v>
      </c>
      <c r="GY43">
        <v>178</v>
      </c>
      <c r="GZ43">
        <v>120</v>
      </c>
      <c r="HA43">
        <v>178</v>
      </c>
      <c r="HB43">
        <v>178</v>
      </c>
      <c r="HC43">
        <v>178</v>
      </c>
      <c r="HD43">
        <v>646</v>
      </c>
      <c r="HE43">
        <v>161</v>
      </c>
      <c r="HF43">
        <v>161</v>
      </c>
      <c r="HG43">
        <v>434</v>
      </c>
      <c r="HH43">
        <v>434</v>
      </c>
      <c r="HI43">
        <v>187</v>
      </c>
      <c r="HJ43">
        <v>124</v>
      </c>
      <c r="HK43">
        <v>99</v>
      </c>
      <c r="HL43">
        <v>105</v>
      </c>
      <c r="HM43">
        <v>63</v>
      </c>
      <c r="HN43">
        <v>178</v>
      </c>
      <c r="HO43">
        <v>187</v>
      </c>
      <c r="HP43">
        <v>136</v>
      </c>
      <c r="HQ43">
        <v>187</v>
      </c>
      <c r="HR43">
        <v>187</v>
      </c>
      <c r="HS43">
        <v>99</v>
      </c>
      <c r="HT43">
        <v>99</v>
      </c>
      <c r="HU43">
        <v>105</v>
      </c>
      <c r="HV43">
        <v>178</v>
      </c>
      <c r="HW43">
        <v>178</v>
      </c>
      <c r="HX43">
        <v>1577</v>
      </c>
      <c r="HY43">
        <v>1577</v>
      </c>
      <c r="HZ43">
        <v>143</v>
      </c>
      <c r="IA43">
        <v>104</v>
      </c>
      <c r="IB43">
        <v>82</v>
      </c>
      <c r="IC43">
        <v>82</v>
      </c>
      <c r="ID43">
        <v>82</v>
      </c>
      <c r="IE43">
        <v>82</v>
      </c>
      <c r="IF43">
        <v>186</v>
      </c>
      <c r="IG43">
        <v>124</v>
      </c>
      <c r="IH43">
        <v>136</v>
      </c>
      <c r="II43">
        <v>99</v>
      </c>
      <c r="IJ43">
        <v>178</v>
      </c>
      <c r="IK43">
        <v>178</v>
      </c>
      <c r="IL43">
        <v>99</v>
      </c>
      <c r="IM43">
        <v>99</v>
      </c>
      <c r="IN43">
        <v>105</v>
      </c>
      <c r="IO43">
        <v>105</v>
      </c>
      <c r="IP43">
        <v>99</v>
      </c>
      <c r="IQ43">
        <v>99</v>
      </c>
      <c r="IR43">
        <v>100</v>
      </c>
      <c r="IS43">
        <v>100</v>
      </c>
      <c r="IT43">
        <v>200</v>
      </c>
      <c r="IU43">
        <v>143</v>
      </c>
      <c r="IV43">
        <v>82</v>
      </c>
      <c r="IW43">
        <v>82</v>
      </c>
      <c r="IX43">
        <v>82</v>
      </c>
      <c r="IY43">
        <v>412</v>
      </c>
      <c r="IZ43">
        <v>412</v>
      </c>
      <c r="JA43">
        <v>82</v>
      </c>
      <c r="JB43">
        <v>82</v>
      </c>
      <c r="JC43">
        <v>109</v>
      </c>
      <c r="JD43">
        <v>178</v>
      </c>
      <c r="JE43">
        <v>99</v>
      </c>
      <c r="JF43">
        <v>82</v>
      </c>
      <c r="JG43">
        <v>109</v>
      </c>
      <c r="JH43">
        <v>140</v>
      </c>
      <c r="JI43">
        <v>140</v>
      </c>
      <c r="JJ43">
        <v>196</v>
      </c>
      <c r="JK43">
        <v>178</v>
      </c>
      <c r="JL43">
        <v>178</v>
      </c>
      <c r="JM43">
        <v>99</v>
      </c>
      <c r="JN43">
        <v>178</v>
      </c>
      <c r="JO43">
        <v>350</v>
      </c>
      <c r="JP43">
        <v>99</v>
      </c>
      <c r="JQ43">
        <v>99</v>
      </c>
      <c r="JR43">
        <v>99</v>
      </c>
      <c r="JS43">
        <v>392</v>
      </c>
      <c r="JT43">
        <v>97</v>
      </c>
      <c r="JU43">
        <v>99</v>
      </c>
      <c r="JV43">
        <v>761</v>
      </c>
      <c r="JW43">
        <v>178</v>
      </c>
      <c r="JX43">
        <v>124</v>
      </c>
      <c r="JY43">
        <v>103</v>
      </c>
      <c r="JZ43">
        <v>178</v>
      </c>
      <c r="KA43">
        <v>746</v>
      </c>
      <c r="KB43">
        <v>646</v>
      </c>
      <c r="KC43">
        <v>178</v>
      </c>
      <c r="KD43">
        <v>178</v>
      </c>
      <c r="KE43">
        <v>178</v>
      </c>
      <c r="KF43">
        <v>178</v>
      </c>
      <c r="KG43">
        <v>190</v>
      </c>
      <c r="KH43">
        <v>105</v>
      </c>
      <c r="KI43">
        <v>136</v>
      </c>
      <c r="KJ43">
        <v>134</v>
      </c>
      <c r="KK43">
        <v>136</v>
      </c>
      <c r="KL43">
        <v>136</v>
      </c>
      <c r="KM43">
        <v>99</v>
      </c>
      <c r="KN43">
        <v>105</v>
      </c>
      <c r="KO43">
        <v>99</v>
      </c>
      <c r="KP43">
        <v>105</v>
      </c>
      <c r="KQ43">
        <v>99</v>
      </c>
      <c r="KR43">
        <v>99</v>
      </c>
      <c r="KS43">
        <v>99</v>
      </c>
      <c r="KT43">
        <v>74</v>
      </c>
      <c r="KU43">
        <v>74</v>
      </c>
      <c r="KV43">
        <v>99</v>
      </c>
      <c r="KW43">
        <v>178</v>
      </c>
      <c r="KX43">
        <v>178</v>
      </c>
      <c r="KY43">
        <v>99</v>
      </c>
      <c r="KZ43">
        <v>104</v>
      </c>
      <c r="LA43">
        <v>178</v>
      </c>
      <c r="LB43">
        <v>178</v>
      </c>
      <c r="LC43">
        <v>211</v>
      </c>
      <c r="LD43">
        <v>196</v>
      </c>
      <c r="LE43">
        <v>69</v>
      </c>
      <c r="LF43">
        <v>69</v>
      </c>
      <c r="LG43">
        <v>144</v>
      </c>
      <c r="LH43">
        <v>144</v>
      </c>
      <c r="LI43">
        <v>103</v>
      </c>
      <c r="LJ43">
        <v>99</v>
      </c>
      <c r="LK43">
        <v>99</v>
      </c>
      <c r="LL43">
        <v>82</v>
      </c>
      <c r="LM43">
        <v>82</v>
      </c>
      <c r="LN43">
        <v>82</v>
      </c>
      <c r="LO43">
        <v>82</v>
      </c>
      <c r="LP43">
        <v>82</v>
      </c>
      <c r="LQ43">
        <v>99</v>
      </c>
      <c r="LR43">
        <v>79</v>
      </c>
      <c r="LS43">
        <v>79</v>
      </c>
      <c r="LT43">
        <v>108</v>
      </c>
      <c r="LU43">
        <v>109</v>
      </c>
      <c r="LV43">
        <v>109</v>
      </c>
      <c r="LW43">
        <v>99</v>
      </c>
      <c r="LX43">
        <v>99</v>
      </c>
      <c r="LY43">
        <v>99</v>
      </c>
      <c r="LZ43">
        <v>178</v>
      </c>
      <c r="MA43">
        <v>393</v>
      </c>
      <c r="MB43">
        <v>350</v>
      </c>
      <c r="MC43">
        <v>350</v>
      </c>
      <c r="MD43">
        <v>434</v>
      </c>
      <c r="ME43">
        <v>1283</v>
      </c>
      <c r="MF43">
        <v>351</v>
      </c>
      <c r="MG43">
        <v>140</v>
      </c>
      <c r="MH43">
        <v>140</v>
      </c>
      <c r="MI43">
        <v>140</v>
      </c>
      <c r="MJ43">
        <v>186</v>
      </c>
      <c r="MK43">
        <v>157</v>
      </c>
      <c r="ML43">
        <v>144</v>
      </c>
      <c r="MM43">
        <v>186</v>
      </c>
      <c r="MN43">
        <v>195</v>
      </c>
      <c r="MO43">
        <v>105</v>
      </c>
      <c r="MP43">
        <v>119</v>
      </c>
      <c r="MQ43">
        <v>593</v>
      </c>
      <c r="MR43">
        <v>119</v>
      </c>
      <c r="MS43">
        <v>332</v>
      </c>
      <c r="MT43">
        <v>120</v>
      </c>
      <c r="MU43">
        <v>80</v>
      </c>
      <c r="MV43">
        <v>536</v>
      </c>
      <c r="MW43">
        <v>105</v>
      </c>
      <c r="MX43">
        <v>144</v>
      </c>
      <c r="MY43">
        <v>144</v>
      </c>
      <c r="MZ43">
        <v>105</v>
      </c>
      <c r="NA43">
        <v>384</v>
      </c>
      <c r="NB43">
        <v>99</v>
      </c>
      <c r="NC43">
        <v>99</v>
      </c>
      <c r="ND43">
        <v>434</v>
      </c>
      <c r="NE43">
        <v>98</v>
      </c>
      <c r="NF43">
        <v>107</v>
      </c>
      <c r="NG43">
        <v>140</v>
      </c>
      <c r="NH43">
        <v>107</v>
      </c>
      <c r="NI43">
        <v>140</v>
      </c>
      <c r="NJ43">
        <v>99</v>
      </c>
      <c r="NK43">
        <v>99</v>
      </c>
      <c r="NL43">
        <v>178</v>
      </c>
      <c r="NM43">
        <v>103</v>
      </c>
      <c r="NN43">
        <v>103</v>
      </c>
      <c r="NO43">
        <v>103</v>
      </c>
      <c r="NP43">
        <v>120</v>
      </c>
      <c r="NQ43">
        <v>120</v>
      </c>
      <c r="NR43">
        <v>570</v>
      </c>
      <c r="NS43">
        <v>99</v>
      </c>
      <c r="NT43">
        <v>393</v>
      </c>
      <c r="NU43">
        <v>434</v>
      </c>
      <c r="NV43">
        <v>593</v>
      </c>
      <c r="NW43">
        <v>178</v>
      </c>
      <c r="NX43">
        <v>178</v>
      </c>
      <c r="NY43">
        <v>178</v>
      </c>
      <c r="NZ43">
        <v>178</v>
      </c>
      <c r="OA43">
        <v>136</v>
      </c>
      <c r="OB43">
        <v>122</v>
      </c>
      <c r="OC43">
        <v>82</v>
      </c>
      <c r="OD43">
        <v>82</v>
      </c>
      <c r="OE43">
        <v>105</v>
      </c>
      <c r="OF43">
        <v>434</v>
      </c>
      <c r="OG43">
        <v>350</v>
      </c>
      <c r="OH43">
        <v>99</v>
      </c>
      <c r="OI43">
        <v>99</v>
      </c>
      <c r="OJ43">
        <v>99</v>
      </c>
      <c r="OK43">
        <v>99</v>
      </c>
      <c r="OL43">
        <v>99</v>
      </c>
      <c r="OM43">
        <v>99</v>
      </c>
      <c r="ON43">
        <v>200</v>
      </c>
      <c r="OO43">
        <v>200</v>
      </c>
      <c r="OP43">
        <v>119</v>
      </c>
      <c r="OQ43">
        <v>105</v>
      </c>
      <c r="OR43">
        <v>105</v>
      </c>
      <c r="OS43">
        <v>195</v>
      </c>
      <c r="OT43">
        <v>710</v>
      </c>
      <c r="OU43">
        <v>82</v>
      </c>
      <c r="OV43">
        <v>80</v>
      </c>
      <c r="OW43">
        <v>107</v>
      </c>
      <c r="OX43">
        <v>140</v>
      </c>
      <c r="OY43">
        <v>136</v>
      </c>
      <c r="OZ43">
        <v>136</v>
      </c>
      <c r="PA43">
        <v>104</v>
      </c>
      <c r="PB43">
        <v>196</v>
      </c>
      <c r="PC43">
        <v>80</v>
      </c>
      <c r="PD43">
        <v>562</v>
      </c>
      <c r="PE43">
        <v>120</v>
      </c>
      <c r="PF43">
        <v>267</v>
      </c>
      <c r="PG43">
        <v>351</v>
      </c>
      <c r="PH43">
        <v>593</v>
      </c>
      <c r="PI43">
        <v>178</v>
      </c>
      <c r="PJ43">
        <v>99</v>
      </c>
      <c r="PK43">
        <v>134</v>
      </c>
      <c r="PL43">
        <v>103</v>
      </c>
      <c r="PM43">
        <v>103</v>
      </c>
      <c r="PN43">
        <v>710</v>
      </c>
      <c r="PO43">
        <v>710</v>
      </c>
      <c r="PP43">
        <v>710</v>
      </c>
      <c r="PQ43">
        <v>185</v>
      </c>
      <c r="PR43">
        <v>178</v>
      </c>
      <c r="PS43">
        <v>99</v>
      </c>
      <c r="PT43">
        <v>178</v>
      </c>
      <c r="PU43">
        <v>178</v>
      </c>
      <c r="PV43">
        <v>119</v>
      </c>
      <c r="PW43">
        <v>120</v>
      </c>
      <c r="PX43">
        <v>136</v>
      </c>
      <c r="PY43">
        <v>434</v>
      </c>
      <c r="PZ43">
        <v>512</v>
      </c>
      <c r="QA43">
        <v>99</v>
      </c>
      <c r="QB43">
        <v>80</v>
      </c>
      <c r="QC43">
        <v>269</v>
      </c>
      <c r="QD43">
        <v>178</v>
      </c>
      <c r="QE43">
        <v>140</v>
      </c>
      <c r="QF43">
        <v>136</v>
      </c>
      <c r="QG43">
        <v>731</v>
      </c>
      <c r="QH43">
        <v>731</v>
      </c>
      <c r="QI43">
        <v>660</v>
      </c>
      <c r="QJ43">
        <v>660</v>
      </c>
      <c r="QK43">
        <v>136</v>
      </c>
      <c r="QL43">
        <v>99</v>
      </c>
      <c r="QM43">
        <v>99</v>
      </c>
      <c r="QN43">
        <v>350</v>
      </c>
      <c r="QO43">
        <v>350</v>
      </c>
      <c r="QP43">
        <v>99</v>
      </c>
      <c r="QQ43">
        <v>178</v>
      </c>
      <c r="QR43">
        <v>99</v>
      </c>
      <c r="QS43">
        <v>109</v>
      </c>
      <c r="QT43">
        <v>143</v>
      </c>
      <c r="QU43">
        <v>434</v>
      </c>
      <c r="QV43">
        <v>178</v>
      </c>
      <c r="QW43">
        <v>99</v>
      </c>
      <c r="QX43">
        <v>140</v>
      </c>
      <c r="QY43">
        <v>190</v>
      </c>
      <c r="QZ43">
        <v>195</v>
      </c>
      <c r="RA43">
        <v>135</v>
      </c>
      <c r="RB43">
        <v>195</v>
      </c>
      <c r="RC43">
        <v>710</v>
      </c>
      <c r="RD43">
        <v>136</v>
      </c>
      <c r="RE43">
        <v>105</v>
      </c>
      <c r="RF43">
        <v>124</v>
      </c>
      <c r="RG43">
        <v>99</v>
      </c>
      <c r="RH43">
        <v>353</v>
      </c>
      <c r="RI43">
        <v>178</v>
      </c>
      <c r="RJ43">
        <v>99</v>
      </c>
      <c r="RK43">
        <v>136</v>
      </c>
      <c r="RL43">
        <v>99</v>
      </c>
      <c r="RM43">
        <v>187</v>
      </c>
      <c r="RN43">
        <v>99</v>
      </c>
      <c r="RO43">
        <v>761</v>
      </c>
      <c r="RP43">
        <v>761</v>
      </c>
      <c r="RQ43">
        <v>99</v>
      </c>
      <c r="RR43">
        <v>99</v>
      </c>
      <c r="RS43">
        <v>99</v>
      </c>
      <c r="RT43">
        <v>99</v>
      </c>
      <c r="RU43">
        <v>136</v>
      </c>
      <c r="RV43">
        <v>124</v>
      </c>
      <c r="RW43">
        <v>99</v>
      </c>
      <c r="RX43">
        <v>99</v>
      </c>
      <c r="RY43">
        <v>136</v>
      </c>
      <c r="RZ43">
        <v>105</v>
      </c>
      <c r="SA43">
        <v>136</v>
      </c>
      <c r="SB43">
        <v>100</v>
      </c>
      <c r="SC43">
        <v>99</v>
      </c>
      <c r="SD43">
        <v>178</v>
      </c>
      <c r="SE43">
        <v>99</v>
      </c>
      <c r="SF43">
        <v>99</v>
      </c>
      <c r="SG43">
        <v>99</v>
      </c>
      <c r="SH43">
        <v>99</v>
      </c>
      <c r="SI43">
        <v>82</v>
      </c>
      <c r="SJ43">
        <v>80</v>
      </c>
      <c r="SK43">
        <v>99</v>
      </c>
      <c r="SL43">
        <v>99</v>
      </c>
      <c r="SM43">
        <v>95</v>
      </c>
      <c r="SN43">
        <v>710</v>
      </c>
      <c r="SO43">
        <v>710</v>
      </c>
      <c r="SP43">
        <v>350</v>
      </c>
      <c r="SQ43">
        <v>120</v>
      </c>
      <c r="SR43">
        <v>104</v>
      </c>
      <c r="SS43">
        <v>710</v>
      </c>
      <c r="ST43">
        <v>710</v>
      </c>
      <c r="SU43">
        <v>99</v>
      </c>
      <c r="SV43">
        <v>99</v>
      </c>
      <c r="SW43">
        <v>80</v>
      </c>
      <c r="SX43">
        <v>178</v>
      </c>
      <c r="SY43">
        <v>269</v>
      </c>
      <c r="SZ43">
        <v>325</v>
      </c>
      <c r="TA43">
        <v>350</v>
      </c>
      <c r="TB43">
        <v>119</v>
      </c>
      <c r="TC43">
        <v>120</v>
      </c>
      <c r="TD43">
        <v>140</v>
      </c>
      <c r="TE43">
        <v>140</v>
      </c>
      <c r="TF43">
        <v>99</v>
      </c>
      <c r="TG43">
        <v>105</v>
      </c>
      <c r="TH43">
        <v>100</v>
      </c>
      <c r="TI43">
        <v>120</v>
      </c>
      <c r="TJ43">
        <v>139</v>
      </c>
      <c r="TK43">
        <v>135</v>
      </c>
      <c r="TL43">
        <v>190</v>
      </c>
      <c r="TM43">
        <v>99</v>
      </c>
      <c r="TN43">
        <v>99</v>
      </c>
      <c r="TO43">
        <v>1283</v>
      </c>
      <c r="TP43">
        <v>537</v>
      </c>
      <c r="TQ43">
        <v>178</v>
      </c>
      <c r="TR43">
        <v>178</v>
      </c>
      <c r="TS43">
        <v>178</v>
      </c>
      <c r="TT43">
        <v>105</v>
      </c>
      <c r="TU43">
        <v>105</v>
      </c>
      <c r="TV43">
        <v>136</v>
      </c>
      <c r="TW43">
        <v>105</v>
      </c>
      <c r="TX43">
        <v>82</v>
      </c>
      <c r="TY43">
        <v>82</v>
      </c>
      <c r="TZ43">
        <v>119</v>
      </c>
      <c r="UA43">
        <v>332</v>
      </c>
      <c r="UB43">
        <v>109</v>
      </c>
      <c r="UC43">
        <v>82</v>
      </c>
      <c r="UD43">
        <v>186</v>
      </c>
      <c r="UE43">
        <v>105</v>
      </c>
      <c r="UF43">
        <v>434</v>
      </c>
      <c r="UG43">
        <v>1577</v>
      </c>
      <c r="UH43">
        <v>105</v>
      </c>
      <c r="UI43">
        <v>105</v>
      </c>
      <c r="UJ43">
        <v>267</v>
      </c>
      <c r="UK43">
        <v>269</v>
      </c>
      <c r="UL43">
        <v>269</v>
      </c>
      <c r="UM43">
        <v>593</v>
      </c>
      <c r="UN43">
        <v>178</v>
      </c>
      <c r="UO43">
        <v>136</v>
      </c>
      <c r="UP43">
        <v>467</v>
      </c>
      <c r="UQ43">
        <v>63</v>
      </c>
      <c r="UR43">
        <v>195</v>
      </c>
      <c r="US43">
        <v>178</v>
      </c>
      <c r="UT43">
        <v>125</v>
      </c>
      <c r="UU43">
        <v>125</v>
      </c>
      <c r="UV43">
        <v>99</v>
      </c>
      <c r="UW43">
        <v>95</v>
      </c>
      <c r="UX43">
        <v>99</v>
      </c>
      <c r="UY43">
        <v>178</v>
      </c>
      <c r="UZ43">
        <v>178</v>
      </c>
      <c r="VA43">
        <v>105</v>
      </c>
      <c r="VB43">
        <v>99</v>
      </c>
      <c r="VC43">
        <v>99</v>
      </c>
      <c r="VD43">
        <v>105</v>
      </c>
      <c r="VE43">
        <v>105</v>
      </c>
      <c r="VF43">
        <v>105</v>
      </c>
      <c r="VG43">
        <v>710</v>
      </c>
      <c r="VH43">
        <v>710</v>
      </c>
      <c r="VI43">
        <v>79</v>
      </c>
      <c r="VJ43">
        <v>79</v>
      </c>
      <c r="VK43">
        <v>105</v>
      </c>
      <c r="VL43">
        <v>178</v>
      </c>
      <c r="VM43">
        <v>186</v>
      </c>
      <c r="VN43">
        <v>178</v>
      </c>
      <c r="VO43">
        <v>685</v>
      </c>
    </row>
    <row r="44" spans="1:587" x14ac:dyDescent="0.3">
      <c r="A44" t="s">
        <v>3039</v>
      </c>
      <c r="B44" cm="1">
        <f t="array" ref="B44:VO44">1*TRANSPOSE(_xlfn._xlws.FILTER(branch!$I$2:$I$591,branch!$D$2:$D$591&lt;&gt;0))</f>
        <v>99</v>
      </c>
      <c r="C44">
        <v>99</v>
      </c>
      <c r="D44">
        <v>178</v>
      </c>
      <c r="E44">
        <v>145</v>
      </c>
      <c r="F44">
        <v>536</v>
      </c>
      <c r="G44">
        <v>393</v>
      </c>
      <c r="H44">
        <v>393</v>
      </c>
      <c r="I44">
        <v>593</v>
      </c>
      <c r="J44">
        <v>434</v>
      </c>
      <c r="K44">
        <v>99</v>
      </c>
      <c r="L44">
        <v>140</v>
      </c>
      <c r="M44">
        <v>103</v>
      </c>
      <c r="N44">
        <v>109</v>
      </c>
      <c r="O44">
        <v>105</v>
      </c>
      <c r="P44">
        <v>99</v>
      </c>
      <c r="Q44">
        <v>187</v>
      </c>
      <c r="R44">
        <v>187</v>
      </c>
      <c r="S44">
        <v>187</v>
      </c>
      <c r="T44">
        <v>104</v>
      </c>
      <c r="U44">
        <v>112</v>
      </c>
      <c r="V44">
        <v>105</v>
      </c>
      <c r="W44">
        <v>82</v>
      </c>
      <c r="X44">
        <v>82</v>
      </c>
      <c r="Y44">
        <v>105</v>
      </c>
      <c r="Z44">
        <v>105</v>
      </c>
      <c r="AA44">
        <v>99</v>
      </c>
      <c r="AB44">
        <v>178</v>
      </c>
      <c r="AC44">
        <v>434</v>
      </c>
      <c r="AD44">
        <v>434</v>
      </c>
      <c r="AE44">
        <v>34</v>
      </c>
      <c r="AF44">
        <v>120</v>
      </c>
      <c r="AG44">
        <v>120</v>
      </c>
      <c r="AH44">
        <v>104</v>
      </c>
      <c r="AI44">
        <v>178</v>
      </c>
      <c r="AJ44">
        <v>178</v>
      </c>
      <c r="AK44">
        <v>178</v>
      </c>
      <c r="AL44">
        <v>178</v>
      </c>
      <c r="AM44">
        <v>120</v>
      </c>
      <c r="AN44">
        <v>178</v>
      </c>
      <c r="AO44">
        <v>99</v>
      </c>
      <c r="AP44">
        <v>178</v>
      </c>
      <c r="AQ44">
        <v>140</v>
      </c>
      <c r="AR44">
        <v>140</v>
      </c>
      <c r="AS44">
        <v>99</v>
      </c>
      <c r="AT44">
        <v>105</v>
      </c>
      <c r="AU44">
        <v>99</v>
      </c>
      <c r="AV44">
        <v>96</v>
      </c>
      <c r="AW44">
        <v>96</v>
      </c>
      <c r="AX44">
        <v>178</v>
      </c>
      <c r="AY44">
        <v>178</v>
      </c>
      <c r="AZ44">
        <v>120</v>
      </c>
      <c r="BA44">
        <v>120</v>
      </c>
      <c r="BB44">
        <v>178</v>
      </c>
      <c r="BC44">
        <v>178</v>
      </c>
      <c r="BD44">
        <v>178</v>
      </c>
      <c r="BE44">
        <v>105</v>
      </c>
      <c r="BF44">
        <v>99</v>
      </c>
      <c r="BG44">
        <v>99</v>
      </c>
      <c r="BH44">
        <v>99</v>
      </c>
      <c r="BI44">
        <v>82</v>
      </c>
      <c r="BJ44">
        <v>82</v>
      </c>
      <c r="BK44">
        <v>136</v>
      </c>
      <c r="BL44">
        <v>140</v>
      </c>
      <c r="BM44">
        <v>130</v>
      </c>
      <c r="BN44">
        <v>99</v>
      </c>
      <c r="BO44">
        <v>122</v>
      </c>
      <c r="BP44">
        <v>196</v>
      </c>
      <c r="BQ44">
        <v>178</v>
      </c>
      <c r="BR44">
        <v>136</v>
      </c>
      <c r="BS44">
        <v>178</v>
      </c>
      <c r="BT44">
        <v>124</v>
      </c>
      <c r="BU44">
        <v>178</v>
      </c>
      <c r="BV44">
        <v>178</v>
      </c>
      <c r="BW44">
        <v>178</v>
      </c>
      <c r="BX44">
        <v>99</v>
      </c>
      <c r="BY44">
        <v>136</v>
      </c>
      <c r="BZ44">
        <v>195</v>
      </c>
      <c r="CA44">
        <v>178</v>
      </c>
      <c r="CB44">
        <v>178</v>
      </c>
      <c r="CC44">
        <v>192</v>
      </c>
      <c r="CD44">
        <v>187</v>
      </c>
      <c r="CE44">
        <v>120</v>
      </c>
      <c r="CF44">
        <v>187</v>
      </c>
      <c r="CG44">
        <v>187</v>
      </c>
      <c r="CH44">
        <v>187</v>
      </c>
      <c r="CI44">
        <v>119</v>
      </c>
      <c r="CJ44">
        <v>119</v>
      </c>
      <c r="CK44">
        <v>570</v>
      </c>
      <c r="CL44">
        <v>570</v>
      </c>
      <c r="CM44">
        <v>140</v>
      </c>
      <c r="CN44">
        <v>140</v>
      </c>
      <c r="CO44">
        <v>842</v>
      </c>
      <c r="CP44">
        <v>105</v>
      </c>
      <c r="CQ44">
        <v>109</v>
      </c>
      <c r="CR44">
        <v>109</v>
      </c>
      <c r="CS44">
        <v>82</v>
      </c>
      <c r="CT44">
        <v>82</v>
      </c>
      <c r="CU44">
        <v>75</v>
      </c>
      <c r="CV44">
        <v>75</v>
      </c>
      <c r="CW44">
        <v>178</v>
      </c>
      <c r="CX44">
        <v>178</v>
      </c>
      <c r="CY44">
        <v>178</v>
      </c>
      <c r="CZ44">
        <v>178</v>
      </c>
      <c r="DA44">
        <v>82</v>
      </c>
      <c r="DB44">
        <v>82</v>
      </c>
      <c r="DC44">
        <v>710</v>
      </c>
      <c r="DD44">
        <v>69</v>
      </c>
      <c r="DE44">
        <v>70</v>
      </c>
      <c r="DF44">
        <v>710</v>
      </c>
      <c r="DG44">
        <v>710</v>
      </c>
      <c r="DH44">
        <v>710</v>
      </c>
      <c r="DI44">
        <v>144</v>
      </c>
      <c r="DJ44">
        <v>63</v>
      </c>
      <c r="DK44">
        <v>99</v>
      </c>
      <c r="DL44">
        <v>570</v>
      </c>
      <c r="DM44">
        <v>570</v>
      </c>
      <c r="DN44">
        <v>178</v>
      </c>
      <c r="DO44">
        <v>200</v>
      </c>
      <c r="DP44">
        <v>109</v>
      </c>
      <c r="DQ44">
        <v>109</v>
      </c>
      <c r="DR44">
        <v>79</v>
      </c>
      <c r="DS44">
        <v>79</v>
      </c>
      <c r="DT44">
        <v>434</v>
      </c>
      <c r="DU44">
        <v>740</v>
      </c>
      <c r="DV44">
        <v>228</v>
      </c>
      <c r="DW44">
        <v>115</v>
      </c>
      <c r="DX44">
        <v>195</v>
      </c>
      <c r="DY44">
        <v>124</v>
      </c>
      <c r="DZ44">
        <v>80</v>
      </c>
      <c r="EA44">
        <v>120</v>
      </c>
      <c r="EB44">
        <v>105</v>
      </c>
      <c r="EC44">
        <v>178</v>
      </c>
      <c r="ED44">
        <v>178</v>
      </c>
      <c r="EE44">
        <v>178</v>
      </c>
      <c r="EF44">
        <v>69</v>
      </c>
      <c r="EG44">
        <v>70</v>
      </c>
      <c r="EH44">
        <v>69</v>
      </c>
      <c r="EI44">
        <v>69</v>
      </c>
      <c r="EJ44">
        <v>132</v>
      </c>
      <c r="EK44">
        <v>132</v>
      </c>
      <c r="EL44">
        <v>710</v>
      </c>
      <c r="EM44">
        <v>710</v>
      </c>
      <c r="EN44">
        <v>66</v>
      </c>
      <c r="EO44">
        <v>66</v>
      </c>
      <c r="EP44">
        <v>710</v>
      </c>
      <c r="EQ44">
        <v>109</v>
      </c>
      <c r="ER44">
        <v>109</v>
      </c>
      <c r="ES44">
        <v>82</v>
      </c>
      <c r="ET44">
        <v>82</v>
      </c>
      <c r="EU44">
        <v>144</v>
      </c>
      <c r="EV44">
        <v>144</v>
      </c>
      <c r="EW44">
        <v>710</v>
      </c>
      <c r="EX44">
        <v>178</v>
      </c>
      <c r="EY44">
        <v>124</v>
      </c>
      <c r="EZ44">
        <v>99</v>
      </c>
      <c r="FA44">
        <v>99</v>
      </c>
      <c r="FB44">
        <v>99</v>
      </c>
      <c r="FC44">
        <v>761</v>
      </c>
      <c r="FD44">
        <v>187</v>
      </c>
      <c r="FE44">
        <v>761</v>
      </c>
      <c r="FF44">
        <v>761</v>
      </c>
      <c r="FG44">
        <v>761</v>
      </c>
      <c r="FH44">
        <v>178</v>
      </c>
      <c r="FI44">
        <v>178</v>
      </c>
      <c r="FJ44">
        <v>115</v>
      </c>
      <c r="FK44">
        <v>434</v>
      </c>
      <c r="FL44">
        <v>434</v>
      </c>
      <c r="FM44">
        <v>555</v>
      </c>
      <c r="FN44">
        <v>123</v>
      </c>
      <c r="FO44">
        <v>178</v>
      </c>
      <c r="FP44">
        <v>130</v>
      </c>
      <c r="FQ44">
        <v>178</v>
      </c>
      <c r="FR44">
        <v>103</v>
      </c>
      <c r="FS44">
        <v>238</v>
      </c>
      <c r="FT44">
        <v>434</v>
      </c>
      <c r="FU44">
        <v>178</v>
      </c>
      <c r="FV44">
        <v>132</v>
      </c>
      <c r="FW44">
        <v>178</v>
      </c>
      <c r="FX44">
        <v>144</v>
      </c>
      <c r="FY44">
        <v>144</v>
      </c>
      <c r="FZ44">
        <v>140</v>
      </c>
      <c r="GA44">
        <v>140</v>
      </c>
      <c r="GB44">
        <v>136</v>
      </c>
      <c r="GC44">
        <v>178</v>
      </c>
      <c r="GD44">
        <v>178</v>
      </c>
      <c r="GE44">
        <v>178</v>
      </c>
      <c r="GF44">
        <v>196</v>
      </c>
      <c r="GG44">
        <v>178</v>
      </c>
      <c r="GH44">
        <v>178</v>
      </c>
      <c r="GI44">
        <v>178</v>
      </c>
      <c r="GJ44">
        <v>130</v>
      </c>
      <c r="GK44">
        <v>99</v>
      </c>
      <c r="GL44">
        <v>136</v>
      </c>
      <c r="GM44">
        <v>178</v>
      </c>
      <c r="GN44">
        <v>105</v>
      </c>
      <c r="GO44">
        <v>187</v>
      </c>
      <c r="GP44">
        <v>187</v>
      </c>
      <c r="GQ44">
        <v>187</v>
      </c>
      <c r="GR44">
        <v>105</v>
      </c>
      <c r="GS44">
        <v>130</v>
      </c>
      <c r="GT44">
        <v>434</v>
      </c>
      <c r="GU44">
        <v>105</v>
      </c>
      <c r="GV44">
        <v>105</v>
      </c>
      <c r="GW44">
        <v>593</v>
      </c>
      <c r="GX44">
        <v>119</v>
      </c>
      <c r="GY44">
        <v>178</v>
      </c>
      <c r="GZ44">
        <v>120</v>
      </c>
      <c r="HA44">
        <v>178</v>
      </c>
      <c r="HB44">
        <v>178</v>
      </c>
      <c r="HC44">
        <v>178</v>
      </c>
      <c r="HD44">
        <v>646</v>
      </c>
      <c r="HE44">
        <v>161</v>
      </c>
      <c r="HF44">
        <v>161</v>
      </c>
      <c r="HG44">
        <v>434</v>
      </c>
      <c r="HH44">
        <v>434</v>
      </c>
      <c r="HI44">
        <v>187</v>
      </c>
      <c r="HJ44">
        <v>124</v>
      </c>
      <c r="HK44">
        <v>99</v>
      </c>
      <c r="HL44">
        <v>105</v>
      </c>
      <c r="HM44">
        <v>63</v>
      </c>
      <c r="HN44">
        <v>178</v>
      </c>
      <c r="HO44">
        <v>187</v>
      </c>
      <c r="HP44">
        <v>136</v>
      </c>
      <c r="HQ44">
        <v>187</v>
      </c>
      <c r="HR44">
        <v>187</v>
      </c>
      <c r="HS44">
        <v>99</v>
      </c>
      <c r="HT44">
        <v>99</v>
      </c>
      <c r="HU44">
        <v>105</v>
      </c>
      <c r="HV44">
        <v>178</v>
      </c>
      <c r="HW44">
        <v>178</v>
      </c>
      <c r="HX44">
        <v>1577</v>
      </c>
      <c r="HY44">
        <v>1577</v>
      </c>
      <c r="HZ44">
        <v>143</v>
      </c>
      <c r="IA44">
        <v>104</v>
      </c>
      <c r="IB44">
        <v>82</v>
      </c>
      <c r="IC44">
        <v>82</v>
      </c>
      <c r="ID44">
        <v>82</v>
      </c>
      <c r="IE44">
        <v>82</v>
      </c>
      <c r="IF44">
        <v>186</v>
      </c>
      <c r="IG44">
        <v>124</v>
      </c>
      <c r="IH44">
        <v>136</v>
      </c>
      <c r="II44">
        <v>99</v>
      </c>
      <c r="IJ44">
        <v>178</v>
      </c>
      <c r="IK44">
        <v>178</v>
      </c>
      <c r="IL44">
        <v>99</v>
      </c>
      <c r="IM44">
        <v>99</v>
      </c>
      <c r="IN44">
        <v>105</v>
      </c>
      <c r="IO44">
        <v>105</v>
      </c>
      <c r="IP44">
        <v>99</v>
      </c>
      <c r="IQ44">
        <v>99</v>
      </c>
      <c r="IR44">
        <v>100</v>
      </c>
      <c r="IS44">
        <v>100</v>
      </c>
      <c r="IT44">
        <v>200</v>
      </c>
      <c r="IU44">
        <v>143</v>
      </c>
      <c r="IV44">
        <v>82</v>
      </c>
      <c r="IW44">
        <v>82</v>
      </c>
      <c r="IX44">
        <v>82</v>
      </c>
      <c r="IY44">
        <v>412</v>
      </c>
      <c r="IZ44">
        <v>412</v>
      </c>
      <c r="JA44">
        <v>82</v>
      </c>
      <c r="JB44">
        <v>82</v>
      </c>
      <c r="JC44">
        <v>109</v>
      </c>
      <c r="JD44">
        <v>178</v>
      </c>
      <c r="JE44">
        <v>99</v>
      </c>
      <c r="JF44">
        <v>82</v>
      </c>
      <c r="JG44">
        <v>109</v>
      </c>
      <c r="JH44">
        <v>140</v>
      </c>
      <c r="JI44">
        <v>140</v>
      </c>
      <c r="JJ44">
        <v>196</v>
      </c>
      <c r="JK44">
        <v>178</v>
      </c>
      <c r="JL44">
        <v>178</v>
      </c>
      <c r="JM44">
        <v>99</v>
      </c>
      <c r="JN44">
        <v>178</v>
      </c>
      <c r="JO44">
        <v>350</v>
      </c>
      <c r="JP44">
        <v>99</v>
      </c>
      <c r="JQ44">
        <v>99</v>
      </c>
      <c r="JR44">
        <v>99</v>
      </c>
      <c r="JS44">
        <v>392</v>
      </c>
      <c r="JT44">
        <v>97</v>
      </c>
      <c r="JU44">
        <v>99</v>
      </c>
      <c r="JV44">
        <v>761</v>
      </c>
      <c r="JW44">
        <v>178</v>
      </c>
      <c r="JX44">
        <v>124</v>
      </c>
      <c r="JY44">
        <v>103</v>
      </c>
      <c r="JZ44">
        <v>178</v>
      </c>
      <c r="KA44">
        <v>746</v>
      </c>
      <c r="KB44">
        <v>646</v>
      </c>
      <c r="KC44">
        <v>178</v>
      </c>
      <c r="KD44">
        <v>178</v>
      </c>
      <c r="KE44">
        <v>178</v>
      </c>
      <c r="KF44">
        <v>178</v>
      </c>
      <c r="KG44">
        <v>190</v>
      </c>
      <c r="KH44">
        <v>105</v>
      </c>
      <c r="KI44">
        <v>136</v>
      </c>
      <c r="KJ44">
        <v>134</v>
      </c>
      <c r="KK44">
        <v>136</v>
      </c>
      <c r="KL44">
        <v>136</v>
      </c>
      <c r="KM44">
        <v>99</v>
      </c>
      <c r="KN44">
        <v>105</v>
      </c>
      <c r="KO44">
        <v>99</v>
      </c>
      <c r="KP44">
        <v>105</v>
      </c>
      <c r="KQ44">
        <v>99</v>
      </c>
      <c r="KR44">
        <v>99</v>
      </c>
      <c r="KS44">
        <v>99</v>
      </c>
      <c r="KT44">
        <v>74</v>
      </c>
      <c r="KU44">
        <v>74</v>
      </c>
      <c r="KV44">
        <v>99</v>
      </c>
      <c r="KW44">
        <v>178</v>
      </c>
      <c r="KX44">
        <v>178</v>
      </c>
      <c r="KY44">
        <v>99</v>
      </c>
      <c r="KZ44">
        <v>104</v>
      </c>
      <c r="LA44">
        <v>178</v>
      </c>
      <c r="LB44">
        <v>178</v>
      </c>
      <c r="LC44">
        <v>211</v>
      </c>
      <c r="LD44">
        <v>196</v>
      </c>
      <c r="LE44">
        <v>69</v>
      </c>
      <c r="LF44">
        <v>69</v>
      </c>
      <c r="LG44">
        <v>144</v>
      </c>
      <c r="LH44">
        <v>144</v>
      </c>
      <c r="LI44">
        <v>103</v>
      </c>
      <c r="LJ44">
        <v>99</v>
      </c>
      <c r="LK44">
        <v>99</v>
      </c>
      <c r="LL44">
        <v>82</v>
      </c>
      <c r="LM44">
        <v>82</v>
      </c>
      <c r="LN44">
        <v>82</v>
      </c>
      <c r="LO44">
        <v>82</v>
      </c>
      <c r="LP44">
        <v>82</v>
      </c>
      <c r="LQ44">
        <v>99</v>
      </c>
      <c r="LR44">
        <v>79</v>
      </c>
      <c r="LS44">
        <v>79</v>
      </c>
      <c r="LT44">
        <v>108</v>
      </c>
      <c r="LU44">
        <v>109</v>
      </c>
      <c r="LV44">
        <v>109</v>
      </c>
      <c r="LW44">
        <v>99</v>
      </c>
      <c r="LX44">
        <v>99</v>
      </c>
      <c r="LY44">
        <v>99</v>
      </c>
      <c r="LZ44">
        <v>178</v>
      </c>
      <c r="MA44">
        <v>393</v>
      </c>
      <c r="MB44">
        <v>350</v>
      </c>
      <c r="MC44">
        <v>350</v>
      </c>
      <c r="MD44">
        <v>434</v>
      </c>
      <c r="ME44">
        <v>1283</v>
      </c>
      <c r="MF44">
        <v>351</v>
      </c>
      <c r="MG44">
        <v>140</v>
      </c>
      <c r="MH44">
        <v>140</v>
      </c>
      <c r="MI44">
        <v>140</v>
      </c>
      <c r="MJ44">
        <v>186</v>
      </c>
      <c r="MK44">
        <v>157</v>
      </c>
      <c r="ML44">
        <v>144</v>
      </c>
      <c r="MM44">
        <v>186</v>
      </c>
      <c r="MN44">
        <v>195</v>
      </c>
      <c r="MO44">
        <v>105</v>
      </c>
      <c r="MP44">
        <v>119</v>
      </c>
      <c r="MQ44">
        <v>593</v>
      </c>
      <c r="MR44">
        <v>119</v>
      </c>
      <c r="MS44">
        <v>332</v>
      </c>
      <c r="MT44">
        <v>120</v>
      </c>
      <c r="MU44">
        <v>80</v>
      </c>
      <c r="MV44">
        <v>536</v>
      </c>
      <c r="MW44">
        <v>105</v>
      </c>
      <c r="MX44">
        <v>144</v>
      </c>
      <c r="MY44">
        <v>144</v>
      </c>
      <c r="MZ44">
        <v>105</v>
      </c>
      <c r="NA44">
        <v>384</v>
      </c>
      <c r="NB44">
        <v>99</v>
      </c>
      <c r="NC44">
        <v>99</v>
      </c>
      <c r="ND44">
        <v>434</v>
      </c>
      <c r="NE44">
        <v>98</v>
      </c>
      <c r="NF44">
        <v>107</v>
      </c>
      <c r="NG44">
        <v>140</v>
      </c>
      <c r="NH44">
        <v>107</v>
      </c>
      <c r="NI44">
        <v>140</v>
      </c>
      <c r="NJ44">
        <v>99</v>
      </c>
      <c r="NK44">
        <v>99</v>
      </c>
      <c r="NL44">
        <v>178</v>
      </c>
      <c r="NM44">
        <v>103</v>
      </c>
      <c r="NN44">
        <v>103</v>
      </c>
      <c r="NO44">
        <v>103</v>
      </c>
      <c r="NP44">
        <v>120</v>
      </c>
      <c r="NQ44">
        <v>120</v>
      </c>
      <c r="NR44">
        <v>570</v>
      </c>
      <c r="NS44">
        <v>99</v>
      </c>
      <c r="NT44">
        <v>393</v>
      </c>
      <c r="NU44">
        <v>434</v>
      </c>
      <c r="NV44">
        <v>593</v>
      </c>
      <c r="NW44">
        <v>178</v>
      </c>
      <c r="NX44">
        <v>178</v>
      </c>
      <c r="NY44">
        <v>178</v>
      </c>
      <c r="NZ44">
        <v>178</v>
      </c>
      <c r="OA44">
        <v>136</v>
      </c>
      <c r="OB44">
        <v>122</v>
      </c>
      <c r="OC44">
        <v>82</v>
      </c>
      <c r="OD44">
        <v>82</v>
      </c>
      <c r="OE44">
        <v>105</v>
      </c>
      <c r="OF44">
        <v>434</v>
      </c>
      <c r="OG44">
        <v>350</v>
      </c>
      <c r="OH44">
        <v>99</v>
      </c>
      <c r="OI44">
        <v>99</v>
      </c>
      <c r="OJ44">
        <v>99</v>
      </c>
      <c r="OK44">
        <v>99</v>
      </c>
      <c r="OL44">
        <v>99</v>
      </c>
      <c r="OM44">
        <v>99</v>
      </c>
      <c r="ON44">
        <v>200</v>
      </c>
      <c r="OO44">
        <v>200</v>
      </c>
      <c r="OP44">
        <v>119</v>
      </c>
      <c r="OQ44">
        <v>105</v>
      </c>
      <c r="OR44">
        <v>105</v>
      </c>
      <c r="OS44">
        <v>195</v>
      </c>
      <c r="OT44">
        <v>710</v>
      </c>
      <c r="OU44">
        <v>82</v>
      </c>
      <c r="OV44">
        <v>80</v>
      </c>
      <c r="OW44">
        <v>107</v>
      </c>
      <c r="OX44">
        <v>140</v>
      </c>
      <c r="OY44">
        <v>136</v>
      </c>
      <c r="OZ44">
        <v>136</v>
      </c>
      <c r="PA44">
        <v>104</v>
      </c>
      <c r="PB44">
        <v>196</v>
      </c>
      <c r="PC44">
        <v>80</v>
      </c>
      <c r="PD44">
        <v>562</v>
      </c>
      <c r="PE44">
        <v>120</v>
      </c>
      <c r="PF44">
        <v>267</v>
      </c>
      <c r="PG44">
        <v>351</v>
      </c>
      <c r="PH44">
        <v>593</v>
      </c>
      <c r="PI44">
        <v>178</v>
      </c>
      <c r="PJ44">
        <v>99</v>
      </c>
      <c r="PK44">
        <v>134</v>
      </c>
      <c r="PL44">
        <v>103</v>
      </c>
      <c r="PM44">
        <v>103</v>
      </c>
      <c r="PN44">
        <v>710</v>
      </c>
      <c r="PO44">
        <v>710</v>
      </c>
      <c r="PP44">
        <v>710</v>
      </c>
      <c r="PQ44">
        <v>185</v>
      </c>
      <c r="PR44">
        <v>178</v>
      </c>
      <c r="PS44">
        <v>99</v>
      </c>
      <c r="PT44">
        <v>178</v>
      </c>
      <c r="PU44">
        <v>178</v>
      </c>
      <c r="PV44">
        <v>119</v>
      </c>
      <c r="PW44">
        <v>120</v>
      </c>
      <c r="PX44">
        <v>136</v>
      </c>
      <c r="PY44">
        <v>434</v>
      </c>
      <c r="PZ44">
        <v>512</v>
      </c>
      <c r="QA44">
        <v>99</v>
      </c>
      <c r="QB44">
        <v>80</v>
      </c>
      <c r="QC44">
        <v>269</v>
      </c>
      <c r="QD44">
        <v>178</v>
      </c>
      <c r="QE44">
        <v>140</v>
      </c>
      <c r="QF44">
        <v>136</v>
      </c>
      <c r="QG44">
        <v>731</v>
      </c>
      <c r="QH44">
        <v>731</v>
      </c>
      <c r="QI44">
        <v>660</v>
      </c>
      <c r="QJ44">
        <v>660</v>
      </c>
      <c r="QK44">
        <v>136</v>
      </c>
      <c r="QL44">
        <v>99</v>
      </c>
      <c r="QM44">
        <v>99</v>
      </c>
      <c r="QN44">
        <v>350</v>
      </c>
      <c r="QO44">
        <v>350</v>
      </c>
      <c r="QP44">
        <v>99</v>
      </c>
      <c r="QQ44">
        <v>178</v>
      </c>
      <c r="QR44">
        <v>99</v>
      </c>
      <c r="QS44">
        <v>109</v>
      </c>
      <c r="QT44">
        <v>143</v>
      </c>
      <c r="QU44">
        <v>434</v>
      </c>
      <c r="QV44">
        <v>178</v>
      </c>
      <c r="QW44">
        <v>99</v>
      </c>
      <c r="QX44">
        <v>140</v>
      </c>
      <c r="QY44">
        <v>190</v>
      </c>
      <c r="QZ44">
        <v>195</v>
      </c>
      <c r="RA44">
        <v>135</v>
      </c>
      <c r="RB44">
        <v>195</v>
      </c>
      <c r="RC44">
        <v>710</v>
      </c>
      <c r="RD44">
        <v>136</v>
      </c>
      <c r="RE44">
        <v>105</v>
      </c>
      <c r="RF44">
        <v>124</v>
      </c>
      <c r="RG44">
        <v>99</v>
      </c>
      <c r="RH44">
        <v>353</v>
      </c>
      <c r="RI44">
        <v>178</v>
      </c>
      <c r="RJ44">
        <v>99</v>
      </c>
      <c r="RK44">
        <v>136</v>
      </c>
      <c r="RL44">
        <v>99</v>
      </c>
      <c r="RM44">
        <v>187</v>
      </c>
      <c r="RN44">
        <v>99</v>
      </c>
      <c r="RO44">
        <v>761</v>
      </c>
      <c r="RP44">
        <v>761</v>
      </c>
      <c r="RQ44">
        <v>99</v>
      </c>
      <c r="RR44">
        <v>99</v>
      </c>
      <c r="RS44">
        <v>99</v>
      </c>
      <c r="RT44">
        <v>99</v>
      </c>
      <c r="RU44">
        <v>136</v>
      </c>
      <c r="RV44">
        <v>124</v>
      </c>
      <c r="RW44">
        <v>99</v>
      </c>
      <c r="RX44">
        <v>99</v>
      </c>
      <c r="RY44">
        <v>136</v>
      </c>
      <c r="RZ44">
        <v>105</v>
      </c>
      <c r="SA44">
        <v>136</v>
      </c>
      <c r="SB44">
        <v>100</v>
      </c>
      <c r="SC44">
        <v>99</v>
      </c>
      <c r="SD44">
        <v>178</v>
      </c>
      <c r="SE44">
        <v>99</v>
      </c>
      <c r="SF44">
        <v>99</v>
      </c>
      <c r="SG44">
        <v>99</v>
      </c>
      <c r="SH44">
        <v>99</v>
      </c>
      <c r="SI44">
        <v>82</v>
      </c>
      <c r="SJ44">
        <v>80</v>
      </c>
      <c r="SK44">
        <v>99</v>
      </c>
      <c r="SL44">
        <v>99</v>
      </c>
      <c r="SM44">
        <v>95</v>
      </c>
      <c r="SN44">
        <v>710</v>
      </c>
      <c r="SO44">
        <v>710</v>
      </c>
      <c r="SP44">
        <v>350</v>
      </c>
      <c r="SQ44">
        <v>120</v>
      </c>
      <c r="SR44">
        <v>104</v>
      </c>
      <c r="SS44">
        <v>710</v>
      </c>
      <c r="ST44">
        <v>710</v>
      </c>
      <c r="SU44">
        <v>99</v>
      </c>
      <c r="SV44">
        <v>99</v>
      </c>
      <c r="SW44">
        <v>80</v>
      </c>
      <c r="SX44">
        <v>178</v>
      </c>
      <c r="SY44">
        <v>269</v>
      </c>
      <c r="SZ44">
        <v>325</v>
      </c>
      <c r="TA44">
        <v>350</v>
      </c>
      <c r="TB44">
        <v>119</v>
      </c>
      <c r="TC44">
        <v>120</v>
      </c>
      <c r="TD44">
        <v>140</v>
      </c>
      <c r="TE44">
        <v>140</v>
      </c>
      <c r="TF44">
        <v>99</v>
      </c>
      <c r="TG44">
        <v>105</v>
      </c>
      <c r="TH44">
        <v>100</v>
      </c>
      <c r="TI44">
        <v>120</v>
      </c>
      <c r="TJ44">
        <v>139</v>
      </c>
      <c r="TK44">
        <v>135</v>
      </c>
      <c r="TL44">
        <v>190</v>
      </c>
      <c r="TM44">
        <v>99</v>
      </c>
      <c r="TN44">
        <v>99</v>
      </c>
      <c r="TO44">
        <v>1283</v>
      </c>
      <c r="TP44">
        <v>537</v>
      </c>
      <c r="TQ44">
        <v>178</v>
      </c>
      <c r="TR44">
        <v>178</v>
      </c>
      <c r="TS44">
        <v>178</v>
      </c>
      <c r="TT44">
        <v>105</v>
      </c>
      <c r="TU44">
        <v>105</v>
      </c>
      <c r="TV44">
        <v>136</v>
      </c>
      <c r="TW44">
        <v>105</v>
      </c>
      <c r="TX44">
        <v>82</v>
      </c>
      <c r="TY44">
        <v>82</v>
      </c>
      <c r="TZ44">
        <v>119</v>
      </c>
      <c r="UA44">
        <v>332</v>
      </c>
      <c r="UB44">
        <v>109</v>
      </c>
      <c r="UC44">
        <v>82</v>
      </c>
      <c r="UD44">
        <v>186</v>
      </c>
      <c r="UE44">
        <v>105</v>
      </c>
      <c r="UF44">
        <v>434</v>
      </c>
      <c r="UG44">
        <v>1577</v>
      </c>
      <c r="UH44">
        <v>105</v>
      </c>
      <c r="UI44">
        <v>105</v>
      </c>
      <c r="UJ44">
        <v>267</v>
      </c>
      <c r="UK44">
        <v>269</v>
      </c>
      <c r="UL44">
        <v>269</v>
      </c>
      <c r="UM44">
        <v>593</v>
      </c>
      <c r="UN44">
        <v>178</v>
      </c>
      <c r="UO44">
        <v>136</v>
      </c>
      <c r="UP44">
        <v>467</v>
      </c>
      <c r="UQ44">
        <v>63</v>
      </c>
      <c r="UR44">
        <v>195</v>
      </c>
      <c r="US44">
        <v>178</v>
      </c>
      <c r="UT44">
        <v>125</v>
      </c>
      <c r="UU44">
        <v>125</v>
      </c>
      <c r="UV44">
        <v>99</v>
      </c>
      <c r="UW44">
        <v>95</v>
      </c>
      <c r="UX44">
        <v>99</v>
      </c>
      <c r="UY44">
        <v>178</v>
      </c>
      <c r="UZ44">
        <v>178</v>
      </c>
      <c r="VA44">
        <v>105</v>
      </c>
      <c r="VB44">
        <v>99</v>
      </c>
      <c r="VC44">
        <v>99</v>
      </c>
      <c r="VD44">
        <v>105</v>
      </c>
      <c r="VE44">
        <v>105</v>
      </c>
      <c r="VF44">
        <v>105</v>
      </c>
      <c r="VG44">
        <v>710</v>
      </c>
      <c r="VH44">
        <v>710</v>
      </c>
      <c r="VI44">
        <v>79</v>
      </c>
      <c r="VJ44">
        <v>79</v>
      </c>
      <c r="VK44">
        <v>105</v>
      </c>
      <c r="VL44">
        <v>178</v>
      </c>
      <c r="VM44">
        <v>186</v>
      </c>
      <c r="VN44">
        <v>178</v>
      </c>
      <c r="VO44">
        <v>685</v>
      </c>
    </row>
    <row r="45" spans="1:587" x14ac:dyDescent="0.3">
      <c r="A45" t="s">
        <v>3040</v>
      </c>
      <c r="B45" cm="1">
        <f t="array" ref="B45:VO45">1*TRANSPOSE(_xlfn._xlws.FILTER(branch!$I$2:$I$591,branch!$D$2:$D$591&lt;&gt;0))</f>
        <v>99</v>
      </c>
      <c r="C45">
        <v>99</v>
      </c>
      <c r="D45">
        <v>178</v>
      </c>
      <c r="E45">
        <v>145</v>
      </c>
      <c r="F45">
        <v>536</v>
      </c>
      <c r="G45">
        <v>393</v>
      </c>
      <c r="H45">
        <v>393</v>
      </c>
      <c r="I45">
        <v>593</v>
      </c>
      <c r="J45">
        <v>434</v>
      </c>
      <c r="K45">
        <v>99</v>
      </c>
      <c r="L45">
        <v>140</v>
      </c>
      <c r="M45">
        <v>103</v>
      </c>
      <c r="N45">
        <v>109</v>
      </c>
      <c r="O45">
        <v>105</v>
      </c>
      <c r="P45">
        <v>99</v>
      </c>
      <c r="Q45">
        <v>187</v>
      </c>
      <c r="R45">
        <v>187</v>
      </c>
      <c r="S45">
        <v>187</v>
      </c>
      <c r="T45">
        <v>104</v>
      </c>
      <c r="U45">
        <v>112</v>
      </c>
      <c r="V45">
        <v>105</v>
      </c>
      <c r="W45">
        <v>82</v>
      </c>
      <c r="X45">
        <v>82</v>
      </c>
      <c r="Y45">
        <v>105</v>
      </c>
      <c r="Z45">
        <v>105</v>
      </c>
      <c r="AA45">
        <v>99</v>
      </c>
      <c r="AB45">
        <v>178</v>
      </c>
      <c r="AC45">
        <v>434</v>
      </c>
      <c r="AD45">
        <v>434</v>
      </c>
      <c r="AE45">
        <v>34</v>
      </c>
      <c r="AF45">
        <v>120</v>
      </c>
      <c r="AG45">
        <v>120</v>
      </c>
      <c r="AH45">
        <v>104</v>
      </c>
      <c r="AI45">
        <v>178</v>
      </c>
      <c r="AJ45">
        <v>178</v>
      </c>
      <c r="AK45">
        <v>178</v>
      </c>
      <c r="AL45">
        <v>178</v>
      </c>
      <c r="AM45">
        <v>120</v>
      </c>
      <c r="AN45">
        <v>178</v>
      </c>
      <c r="AO45">
        <v>99</v>
      </c>
      <c r="AP45">
        <v>178</v>
      </c>
      <c r="AQ45">
        <v>140</v>
      </c>
      <c r="AR45">
        <v>140</v>
      </c>
      <c r="AS45">
        <v>99</v>
      </c>
      <c r="AT45">
        <v>105</v>
      </c>
      <c r="AU45">
        <v>99</v>
      </c>
      <c r="AV45">
        <v>96</v>
      </c>
      <c r="AW45">
        <v>96</v>
      </c>
      <c r="AX45">
        <v>178</v>
      </c>
      <c r="AY45">
        <v>178</v>
      </c>
      <c r="AZ45">
        <v>120</v>
      </c>
      <c r="BA45">
        <v>120</v>
      </c>
      <c r="BB45">
        <v>178</v>
      </c>
      <c r="BC45">
        <v>178</v>
      </c>
      <c r="BD45">
        <v>178</v>
      </c>
      <c r="BE45">
        <v>105</v>
      </c>
      <c r="BF45">
        <v>99</v>
      </c>
      <c r="BG45">
        <v>99</v>
      </c>
      <c r="BH45">
        <v>99</v>
      </c>
      <c r="BI45">
        <v>82</v>
      </c>
      <c r="BJ45">
        <v>82</v>
      </c>
      <c r="BK45">
        <v>136</v>
      </c>
      <c r="BL45">
        <v>140</v>
      </c>
      <c r="BM45">
        <v>130</v>
      </c>
      <c r="BN45">
        <v>99</v>
      </c>
      <c r="BO45">
        <v>122</v>
      </c>
      <c r="BP45">
        <v>196</v>
      </c>
      <c r="BQ45">
        <v>178</v>
      </c>
      <c r="BR45">
        <v>136</v>
      </c>
      <c r="BS45">
        <v>178</v>
      </c>
      <c r="BT45">
        <v>124</v>
      </c>
      <c r="BU45">
        <v>178</v>
      </c>
      <c r="BV45">
        <v>178</v>
      </c>
      <c r="BW45">
        <v>178</v>
      </c>
      <c r="BX45">
        <v>99</v>
      </c>
      <c r="BY45">
        <v>136</v>
      </c>
      <c r="BZ45">
        <v>195</v>
      </c>
      <c r="CA45">
        <v>178</v>
      </c>
      <c r="CB45">
        <v>178</v>
      </c>
      <c r="CC45">
        <v>192</v>
      </c>
      <c r="CD45">
        <v>187</v>
      </c>
      <c r="CE45">
        <v>120</v>
      </c>
      <c r="CF45">
        <v>187</v>
      </c>
      <c r="CG45">
        <v>187</v>
      </c>
      <c r="CH45">
        <v>187</v>
      </c>
      <c r="CI45">
        <v>119</v>
      </c>
      <c r="CJ45">
        <v>119</v>
      </c>
      <c r="CK45">
        <v>570</v>
      </c>
      <c r="CL45">
        <v>570</v>
      </c>
      <c r="CM45">
        <v>140</v>
      </c>
      <c r="CN45">
        <v>140</v>
      </c>
      <c r="CO45">
        <v>842</v>
      </c>
      <c r="CP45">
        <v>105</v>
      </c>
      <c r="CQ45">
        <v>109</v>
      </c>
      <c r="CR45">
        <v>109</v>
      </c>
      <c r="CS45">
        <v>82</v>
      </c>
      <c r="CT45">
        <v>82</v>
      </c>
      <c r="CU45">
        <v>75</v>
      </c>
      <c r="CV45">
        <v>75</v>
      </c>
      <c r="CW45">
        <v>178</v>
      </c>
      <c r="CX45">
        <v>178</v>
      </c>
      <c r="CY45">
        <v>178</v>
      </c>
      <c r="CZ45">
        <v>178</v>
      </c>
      <c r="DA45">
        <v>82</v>
      </c>
      <c r="DB45">
        <v>82</v>
      </c>
      <c r="DC45">
        <v>710</v>
      </c>
      <c r="DD45">
        <v>69</v>
      </c>
      <c r="DE45">
        <v>70</v>
      </c>
      <c r="DF45">
        <v>710</v>
      </c>
      <c r="DG45">
        <v>710</v>
      </c>
      <c r="DH45">
        <v>710</v>
      </c>
      <c r="DI45">
        <v>144</v>
      </c>
      <c r="DJ45">
        <v>63</v>
      </c>
      <c r="DK45">
        <v>99</v>
      </c>
      <c r="DL45">
        <v>570</v>
      </c>
      <c r="DM45">
        <v>570</v>
      </c>
      <c r="DN45">
        <v>178</v>
      </c>
      <c r="DO45">
        <v>200</v>
      </c>
      <c r="DP45">
        <v>109</v>
      </c>
      <c r="DQ45">
        <v>109</v>
      </c>
      <c r="DR45">
        <v>79</v>
      </c>
      <c r="DS45">
        <v>79</v>
      </c>
      <c r="DT45">
        <v>434</v>
      </c>
      <c r="DU45">
        <v>740</v>
      </c>
      <c r="DV45">
        <v>228</v>
      </c>
      <c r="DW45">
        <v>115</v>
      </c>
      <c r="DX45">
        <v>195</v>
      </c>
      <c r="DY45">
        <v>124</v>
      </c>
      <c r="DZ45">
        <v>80</v>
      </c>
      <c r="EA45">
        <v>120</v>
      </c>
      <c r="EB45">
        <v>105</v>
      </c>
      <c r="EC45">
        <v>178</v>
      </c>
      <c r="ED45">
        <v>178</v>
      </c>
      <c r="EE45">
        <v>178</v>
      </c>
      <c r="EF45">
        <v>69</v>
      </c>
      <c r="EG45">
        <v>70</v>
      </c>
      <c r="EH45">
        <v>69</v>
      </c>
      <c r="EI45">
        <v>69</v>
      </c>
      <c r="EJ45">
        <v>132</v>
      </c>
      <c r="EK45">
        <v>132</v>
      </c>
      <c r="EL45">
        <v>710</v>
      </c>
      <c r="EM45">
        <v>710</v>
      </c>
      <c r="EN45">
        <v>66</v>
      </c>
      <c r="EO45">
        <v>66</v>
      </c>
      <c r="EP45">
        <v>710</v>
      </c>
      <c r="EQ45">
        <v>109</v>
      </c>
      <c r="ER45">
        <v>109</v>
      </c>
      <c r="ES45">
        <v>82</v>
      </c>
      <c r="ET45">
        <v>82</v>
      </c>
      <c r="EU45">
        <v>144</v>
      </c>
      <c r="EV45">
        <v>144</v>
      </c>
      <c r="EW45">
        <v>710</v>
      </c>
      <c r="EX45">
        <v>178</v>
      </c>
      <c r="EY45">
        <v>124</v>
      </c>
      <c r="EZ45">
        <v>99</v>
      </c>
      <c r="FA45">
        <v>99</v>
      </c>
      <c r="FB45">
        <v>99</v>
      </c>
      <c r="FC45">
        <v>761</v>
      </c>
      <c r="FD45">
        <v>187</v>
      </c>
      <c r="FE45">
        <v>761</v>
      </c>
      <c r="FF45">
        <v>761</v>
      </c>
      <c r="FG45">
        <v>761</v>
      </c>
      <c r="FH45">
        <v>178</v>
      </c>
      <c r="FI45">
        <v>178</v>
      </c>
      <c r="FJ45">
        <v>115</v>
      </c>
      <c r="FK45">
        <v>434</v>
      </c>
      <c r="FL45">
        <v>434</v>
      </c>
      <c r="FM45">
        <v>555</v>
      </c>
      <c r="FN45">
        <v>123</v>
      </c>
      <c r="FO45">
        <v>178</v>
      </c>
      <c r="FP45">
        <v>130</v>
      </c>
      <c r="FQ45">
        <v>178</v>
      </c>
      <c r="FR45">
        <v>103</v>
      </c>
      <c r="FS45">
        <v>238</v>
      </c>
      <c r="FT45">
        <v>434</v>
      </c>
      <c r="FU45">
        <v>178</v>
      </c>
      <c r="FV45">
        <v>132</v>
      </c>
      <c r="FW45">
        <v>178</v>
      </c>
      <c r="FX45">
        <v>144</v>
      </c>
      <c r="FY45">
        <v>144</v>
      </c>
      <c r="FZ45">
        <v>140</v>
      </c>
      <c r="GA45">
        <v>140</v>
      </c>
      <c r="GB45">
        <v>136</v>
      </c>
      <c r="GC45">
        <v>178</v>
      </c>
      <c r="GD45">
        <v>178</v>
      </c>
      <c r="GE45">
        <v>178</v>
      </c>
      <c r="GF45">
        <v>196</v>
      </c>
      <c r="GG45">
        <v>178</v>
      </c>
      <c r="GH45">
        <v>178</v>
      </c>
      <c r="GI45">
        <v>178</v>
      </c>
      <c r="GJ45">
        <v>130</v>
      </c>
      <c r="GK45">
        <v>99</v>
      </c>
      <c r="GL45">
        <v>136</v>
      </c>
      <c r="GM45">
        <v>178</v>
      </c>
      <c r="GN45">
        <v>105</v>
      </c>
      <c r="GO45">
        <v>187</v>
      </c>
      <c r="GP45">
        <v>187</v>
      </c>
      <c r="GQ45">
        <v>187</v>
      </c>
      <c r="GR45">
        <v>105</v>
      </c>
      <c r="GS45">
        <v>130</v>
      </c>
      <c r="GT45">
        <v>434</v>
      </c>
      <c r="GU45">
        <v>105</v>
      </c>
      <c r="GV45">
        <v>105</v>
      </c>
      <c r="GW45">
        <v>593</v>
      </c>
      <c r="GX45">
        <v>119</v>
      </c>
      <c r="GY45">
        <v>178</v>
      </c>
      <c r="GZ45">
        <v>120</v>
      </c>
      <c r="HA45">
        <v>178</v>
      </c>
      <c r="HB45">
        <v>178</v>
      </c>
      <c r="HC45">
        <v>178</v>
      </c>
      <c r="HD45">
        <v>646</v>
      </c>
      <c r="HE45">
        <v>161</v>
      </c>
      <c r="HF45">
        <v>161</v>
      </c>
      <c r="HG45">
        <v>434</v>
      </c>
      <c r="HH45">
        <v>434</v>
      </c>
      <c r="HI45">
        <v>187</v>
      </c>
      <c r="HJ45">
        <v>124</v>
      </c>
      <c r="HK45">
        <v>99</v>
      </c>
      <c r="HL45">
        <v>105</v>
      </c>
      <c r="HM45">
        <v>63</v>
      </c>
      <c r="HN45">
        <v>178</v>
      </c>
      <c r="HO45">
        <v>187</v>
      </c>
      <c r="HP45">
        <v>136</v>
      </c>
      <c r="HQ45">
        <v>187</v>
      </c>
      <c r="HR45">
        <v>187</v>
      </c>
      <c r="HS45">
        <v>99</v>
      </c>
      <c r="HT45">
        <v>99</v>
      </c>
      <c r="HU45">
        <v>105</v>
      </c>
      <c r="HV45">
        <v>178</v>
      </c>
      <c r="HW45">
        <v>178</v>
      </c>
      <c r="HX45">
        <v>1577</v>
      </c>
      <c r="HY45">
        <v>1577</v>
      </c>
      <c r="HZ45">
        <v>143</v>
      </c>
      <c r="IA45">
        <v>104</v>
      </c>
      <c r="IB45">
        <v>82</v>
      </c>
      <c r="IC45">
        <v>82</v>
      </c>
      <c r="ID45">
        <v>82</v>
      </c>
      <c r="IE45">
        <v>82</v>
      </c>
      <c r="IF45">
        <v>186</v>
      </c>
      <c r="IG45">
        <v>124</v>
      </c>
      <c r="IH45">
        <v>136</v>
      </c>
      <c r="II45">
        <v>99</v>
      </c>
      <c r="IJ45">
        <v>178</v>
      </c>
      <c r="IK45">
        <v>178</v>
      </c>
      <c r="IL45">
        <v>99</v>
      </c>
      <c r="IM45">
        <v>99</v>
      </c>
      <c r="IN45">
        <v>105</v>
      </c>
      <c r="IO45">
        <v>105</v>
      </c>
      <c r="IP45">
        <v>99</v>
      </c>
      <c r="IQ45">
        <v>99</v>
      </c>
      <c r="IR45">
        <v>100</v>
      </c>
      <c r="IS45">
        <v>100</v>
      </c>
      <c r="IT45">
        <v>200</v>
      </c>
      <c r="IU45">
        <v>143</v>
      </c>
      <c r="IV45">
        <v>82</v>
      </c>
      <c r="IW45">
        <v>82</v>
      </c>
      <c r="IX45">
        <v>82</v>
      </c>
      <c r="IY45">
        <v>412</v>
      </c>
      <c r="IZ45">
        <v>412</v>
      </c>
      <c r="JA45">
        <v>82</v>
      </c>
      <c r="JB45">
        <v>82</v>
      </c>
      <c r="JC45">
        <v>109</v>
      </c>
      <c r="JD45">
        <v>178</v>
      </c>
      <c r="JE45">
        <v>99</v>
      </c>
      <c r="JF45">
        <v>82</v>
      </c>
      <c r="JG45">
        <v>109</v>
      </c>
      <c r="JH45">
        <v>140</v>
      </c>
      <c r="JI45">
        <v>140</v>
      </c>
      <c r="JJ45">
        <v>196</v>
      </c>
      <c r="JK45">
        <v>178</v>
      </c>
      <c r="JL45">
        <v>178</v>
      </c>
      <c r="JM45">
        <v>99</v>
      </c>
      <c r="JN45">
        <v>178</v>
      </c>
      <c r="JO45">
        <v>350</v>
      </c>
      <c r="JP45">
        <v>99</v>
      </c>
      <c r="JQ45">
        <v>99</v>
      </c>
      <c r="JR45">
        <v>99</v>
      </c>
      <c r="JS45">
        <v>392</v>
      </c>
      <c r="JT45">
        <v>97</v>
      </c>
      <c r="JU45">
        <v>99</v>
      </c>
      <c r="JV45">
        <v>761</v>
      </c>
      <c r="JW45">
        <v>178</v>
      </c>
      <c r="JX45">
        <v>124</v>
      </c>
      <c r="JY45">
        <v>103</v>
      </c>
      <c r="JZ45">
        <v>178</v>
      </c>
      <c r="KA45">
        <v>746</v>
      </c>
      <c r="KB45">
        <v>646</v>
      </c>
      <c r="KC45">
        <v>178</v>
      </c>
      <c r="KD45">
        <v>178</v>
      </c>
      <c r="KE45">
        <v>178</v>
      </c>
      <c r="KF45">
        <v>178</v>
      </c>
      <c r="KG45">
        <v>190</v>
      </c>
      <c r="KH45">
        <v>105</v>
      </c>
      <c r="KI45">
        <v>136</v>
      </c>
      <c r="KJ45">
        <v>134</v>
      </c>
      <c r="KK45">
        <v>136</v>
      </c>
      <c r="KL45">
        <v>136</v>
      </c>
      <c r="KM45">
        <v>99</v>
      </c>
      <c r="KN45">
        <v>105</v>
      </c>
      <c r="KO45">
        <v>99</v>
      </c>
      <c r="KP45">
        <v>105</v>
      </c>
      <c r="KQ45">
        <v>99</v>
      </c>
      <c r="KR45">
        <v>99</v>
      </c>
      <c r="KS45">
        <v>99</v>
      </c>
      <c r="KT45">
        <v>74</v>
      </c>
      <c r="KU45">
        <v>74</v>
      </c>
      <c r="KV45">
        <v>99</v>
      </c>
      <c r="KW45">
        <v>178</v>
      </c>
      <c r="KX45">
        <v>178</v>
      </c>
      <c r="KY45">
        <v>99</v>
      </c>
      <c r="KZ45">
        <v>104</v>
      </c>
      <c r="LA45">
        <v>178</v>
      </c>
      <c r="LB45">
        <v>178</v>
      </c>
      <c r="LC45">
        <v>211</v>
      </c>
      <c r="LD45">
        <v>196</v>
      </c>
      <c r="LE45">
        <v>69</v>
      </c>
      <c r="LF45">
        <v>69</v>
      </c>
      <c r="LG45">
        <v>144</v>
      </c>
      <c r="LH45">
        <v>144</v>
      </c>
      <c r="LI45">
        <v>103</v>
      </c>
      <c r="LJ45">
        <v>99</v>
      </c>
      <c r="LK45">
        <v>99</v>
      </c>
      <c r="LL45">
        <v>82</v>
      </c>
      <c r="LM45">
        <v>82</v>
      </c>
      <c r="LN45">
        <v>82</v>
      </c>
      <c r="LO45">
        <v>82</v>
      </c>
      <c r="LP45">
        <v>82</v>
      </c>
      <c r="LQ45">
        <v>99</v>
      </c>
      <c r="LR45">
        <v>79</v>
      </c>
      <c r="LS45">
        <v>79</v>
      </c>
      <c r="LT45">
        <v>108</v>
      </c>
      <c r="LU45">
        <v>109</v>
      </c>
      <c r="LV45">
        <v>109</v>
      </c>
      <c r="LW45">
        <v>99</v>
      </c>
      <c r="LX45">
        <v>99</v>
      </c>
      <c r="LY45">
        <v>99</v>
      </c>
      <c r="LZ45">
        <v>178</v>
      </c>
      <c r="MA45">
        <v>393</v>
      </c>
      <c r="MB45">
        <v>350</v>
      </c>
      <c r="MC45">
        <v>350</v>
      </c>
      <c r="MD45">
        <v>434</v>
      </c>
      <c r="ME45">
        <v>1283</v>
      </c>
      <c r="MF45">
        <v>351</v>
      </c>
      <c r="MG45">
        <v>140</v>
      </c>
      <c r="MH45">
        <v>140</v>
      </c>
      <c r="MI45">
        <v>140</v>
      </c>
      <c r="MJ45">
        <v>186</v>
      </c>
      <c r="MK45">
        <v>157</v>
      </c>
      <c r="ML45">
        <v>144</v>
      </c>
      <c r="MM45">
        <v>186</v>
      </c>
      <c r="MN45">
        <v>195</v>
      </c>
      <c r="MO45">
        <v>105</v>
      </c>
      <c r="MP45">
        <v>119</v>
      </c>
      <c r="MQ45">
        <v>593</v>
      </c>
      <c r="MR45">
        <v>119</v>
      </c>
      <c r="MS45">
        <v>332</v>
      </c>
      <c r="MT45">
        <v>120</v>
      </c>
      <c r="MU45">
        <v>80</v>
      </c>
      <c r="MV45">
        <v>536</v>
      </c>
      <c r="MW45">
        <v>105</v>
      </c>
      <c r="MX45">
        <v>144</v>
      </c>
      <c r="MY45">
        <v>144</v>
      </c>
      <c r="MZ45">
        <v>105</v>
      </c>
      <c r="NA45">
        <v>384</v>
      </c>
      <c r="NB45">
        <v>99</v>
      </c>
      <c r="NC45">
        <v>99</v>
      </c>
      <c r="ND45">
        <v>434</v>
      </c>
      <c r="NE45">
        <v>98</v>
      </c>
      <c r="NF45">
        <v>107</v>
      </c>
      <c r="NG45">
        <v>140</v>
      </c>
      <c r="NH45">
        <v>107</v>
      </c>
      <c r="NI45">
        <v>140</v>
      </c>
      <c r="NJ45">
        <v>99</v>
      </c>
      <c r="NK45">
        <v>99</v>
      </c>
      <c r="NL45">
        <v>178</v>
      </c>
      <c r="NM45">
        <v>103</v>
      </c>
      <c r="NN45">
        <v>103</v>
      </c>
      <c r="NO45">
        <v>103</v>
      </c>
      <c r="NP45">
        <v>120</v>
      </c>
      <c r="NQ45">
        <v>120</v>
      </c>
      <c r="NR45">
        <v>570</v>
      </c>
      <c r="NS45">
        <v>99</v>
      </c>
      <c r="NT45">
        <v>393</v>
      </c>
      <c r="NU45">
        <v>434</v>
      </c>
      <c r="NV45">
        <v>593</v>
      </c>
      <c r="NW45">
        <v>178</v>
      </c>
      <c r="NX45">
        <v>178</v>
      </c>
      <c r="NY45">
        <v>178</v>
      </c>
      <c r="NZ45">
        <v>178</v>
      </c>
      <c r="OA45">
        <v>136</v>
      </c>
      <c r="OB45">
        <v>122</v>
      </c>
      <c r="OC45">
        <v>82</v>
      </c>
      <c r="OD45">
        <v>82</v>
      </c>
      <c r="OE45">
        <v>105</v>
      </c>
      <c r="OF45">
        <v>434</v>
      </c>
      <c r="OG45">
        <v>350</v>
      </c>
      <c r="OH45">
        <v>99</v>
      </c>
      <c r="OI45">
        <v>99</v>
      </c>
      <c r="OJ45">
        <v>99</v>
      </c>
      <c r="OK45">
        <v>99</v>
      </c>
      <c r="OL45">
        <v>99</v>
      </c>
      <c r="OM45">
        <v>99</v>
      </c>
      <c r="ON45">
        <v>200</v>
      </c>
      <c r="OO45">
        <v>200</v>
      </c>
      <c r="OP45">
        <v>119</v>
      </c>
      <c r="OQ45">
        <v>105</v>
      </c>
      <c r="OR45">
        <v>105</v>
      </c>
      <c r="OS45">
        <v>195</v>
      </c>
      <c r="OT45">
        <v>710</v>
      </c>
      <c r="OU45">
        <v>82</v>
      </c>
      <c r="OV45">
        <v>80</v>
      </c>
      <c r="OW45">
        <v>107</v>
      </c>
      <c r="OX45">
        <v>140</v>
      </c>
      <c r="OY45">
        <v>136</v>
      </c>
      <c r="OZ45">
        <v>136</v>
      </c>
      <c r="PA45">
        <v>104</v>
      </c>
      <c r="PB45">
        <v>196</v>
      </c>
      <c r="PC45">
        <v>80</v>
      </c>
      <c r="PD45">
        <v>562</v>
      </c>
      <c r="PE45">
        <v>120</v>
      </c>
      <c r="PF45">
        <v>267</v>
      </c>
      <c r="PG45">
        <v>351</v>
      </c>
      <c r="PH45">
        <v>593</v>
      </c>
      <c r="PI45">
        <v>178</v>
      </c>
      <c r="PJ45">
        <v>99</v>
      </c>
      <c r="PK45">
        <v>134</v>
      </c>
      <c r="PL45">
        <v>103</v>
      </c>
      <c r="PM45">
        <v>103</v>
      </c>
      <c r="PN45">
        <v>710</v>
      </c>
      <c r="PO45">
        <v>710</v>
      </c>
      <c r="PP45">
        <v>710</v>
      </c>
      <c r="PQ45">
        <v>185</v>
      </c>
      <c r="PR45">
        <v>178</v>
      </c>
      <c r="PS45">
        <v>99</v>
      </c>
      <c r="PT45">
        <v>178</v>
      </c>
      <c r="PU45">
        <v>178</v>
      </c>
      <c r="PV45">
        <v>119</v>
      </c>
      <c r="PW45">
        <v>120</v>
      </c>
      <c r="PX45">
        <v>136</v>
      </c>
      <c r="PY45">
        <v>434</v>
      </c>
      <c r="PZ45">
        <v>512</v>
      </c>
      <c r="QA45">
        <v>99</v>
      </c>
      <c r="QB45">
        <v>80</v>
      </c>
      <c r="QC45">
        <v>269</v>
      </c>
      <c r="QD45">
        <v>178</v>
      </c>
      <c r="QE45">
        <v>140</v>
      </c>
      <c r="QF45">
        <v>136</v>
      </c>
      <c r="QG45">
        <v>731</v>
      </c>
      <c r="QH45">
        <v>731</v>
      </c>
      <c r="QI45">
        <v>660</v>
      </c>
      <c r="QJ45">
        <v>660</v>
      </c>
      <c r="QK45">
        <v>136</v>
      </c>
      <c r="QL45">
        <v>99</v>
      </c>
      <c r="QM45">
        <v>99</v>
      </c>
      <c r="QN45">
        <v>350</v>
      </c>
      <c r="QO45">
        <v>350</v>
      </c>
      <c r="QP45">
        <v>99</v>
      </c>
      <c r="QQ45">
        <v>178</v>
      </c>
      <c r="QR45">
        <v>99</v>
      </c>
      <c r="QS45">
        <v>109</v>
      </c>
      <c r="QT45">
        <v>143</v>
      </c>
      <c r="QU45">
        <v>434</v>
      </c>
      <c r="QV45">
        <v>178</v>
      </c>
      <c r="QW45">
        <v>99</v>
      </c>
      <c r="QX45">
        <v>140</v>
      </c>
      <c r="QY45">
        <v>190</v>
      </c>
      <c r="QZ45">
        <v>195</v>
      </c>
      <c r="RA45">
        <v>135</v>
      </c>
      <c r="RB45">
        <v>195</v>
      </c>
      <c r="RC45">
        <v>710</v>
      </c>
      <c r="RD45">
        <v>136</v>
      </c>
      <c r="RE45">
        <v>105</v>
      </c>
      <c r="RF45">
        <v>124</v>
      </c>
      <c r="RG45">
        <v>99</v>
      </c>
      <c r="RH45">
        <v>353</v>
      </c>
      <c r="RI45">
        <v>178</v>
      </c>
      <c r="RJ45">
        <v>99</v>
      </c>
      <c r="RK45">
        <v>136</v>
      </c>
      <c r="RL45">
        <v>99</v>
      </c>
      <c r="RM45">
        <v>187</v>
      </c>
      <c r="RN45">
        <v>99</v>
      </c>
      <c r="RO45">
        <v>761</v>
      </c>
      <c r="RP45">
        <v>761</v>
      </c>
      <c r="RQ45">
        <v>99</v>
      </c>
      <c r="RR45">
        <v>99</v>
      </c>
      <c r="RS45">
        <v>99</v>
      </c>
      <c r="RT45">
        <v>99</v>
      </c>
      <c r="RU45">
        <v>136</v>
      </c>
      <c r="RV45">
        <v>124</v>
      </c>
      <c r="RW45">
        <v>99</v>
      </c>
      <c r="RX45">
        <v>99</v>
      </c>
      <c r="RY45">
        <v>136</v>
      </c>
      <c r="RZ45">
        <v>105</v>
      </c>
      <c r="SA45">
        <v>136</v>
      </c>
      <c r="SB45">
        <v>100</v>
      </c>
      <c r="SC45">
        <v>99</v>
      </c>
      <c r="SD45">
        <v>178</v>
      </c>
      <c r="SE45">
        <v>99</v>
      </c>
      <c r="SF45">
        <v>99</v>
      </c>
      <c r="SG45">
        <v>99</v>
      </c>
      <c r="SH45">
        <v>99</v>
      </c>
      <c r="SI45">
        <v>82</v>
      </c>
      <c r="SJ45">
        <v>80</v>
      </c>
      <c r="SK45">
        <v>99</v>
      </c>
      <c r="SL45">
        <v>99</v>
      </c>
      <c r="SM45">
        <v>95</v>
      </c>
      <c r="SN45">
        <v>710</v>
      </c>
      <c r="SO45">
        <v>710</v>
      </c>
      <c r="SP45">
        <v>350</v>
      </c>
      <c r="SQ45">
        <v>120</v>
      </c>
      <c r="SR45">
        <v>104</v>
      </c>
      <c r="SS45">
        <v>710</v>
      </c>
      <c r="ST45">
        <v>710</v>
      </c>
      <c r="SU45">
        <v>99</v>
      </c>
      <c r="SV45">
        <v>99</v>
      </c>
      <c r="SW45">
        <v>80</v>
      </c>
      <c r="SX45">
        <v>178</v>
      </c>
      <c r="SY45">
        <v>269</v>
      </c>
      <c r="SZ45">
        <v>325</v>
      </c>
      <c r="TA45">
        <v>350</v>
      </c>
      <c r="TB45">
        <v>119</v>
      </c>
      <c r="TC45">
        <v>120</v>
      </c>
      <c r="TD45">
        <v>140</v>
      </c>
      <c r="TE45">
        <v>140</v>
      </c>
      <c r="TF45">
        <v>99</v>
      </c>
      <c r="TG45">
        <v>105</v>
      </c>
      <c r="TH45">
        <v>100</v>
      </c>
      <c r="TI45">
        <v>120</v>
      </c>
      <c r="TJ45">
        <v>139</v>
      </c>
      <c r="TK45">
        <v>135</v>
      </c>
      <c r="TL45">
        <v>190</v>
      </c>
      <c r="TM45">
        <v>99</v>
      </c>
      <c r="TN45">
        <v>99</v>
      </c>
      <c r="TO45">
        <v>1283</v>
      </c>
      <c r="TP45">
        <v>537</v>
      </c>
      <c r="TQ45">
        <v>178</v>
      </c>
      <c r="TR45">
        <v>178</v>
      </c>
      <c r="TS45">
        <v>178</v>
      </c>
      <c r="TT45">
        <v>105</v>
      </c>
      <c r="TU45">
        <v>105</v>
      </c>
      <c r="TV45">
        <v>136</v>
      </c>
      <c r="TW45">
        <v>105</v>
      </c>
      <c r="TX45">
        <v>82</v>
      </c>
      <c r="TY45">
        <v>82</v>
      </c>
      <c r="TZ45">
        <v>119</v>
      </c>
      <c r="UA45">
        <v>332</v>
      </c>
      <c r="UB45">
        <v>109</v>
      </c>
      <c r="UC45">
        <v>82</v>
      </c>
      <c r="UD45">
        <v>186</v>
      </c>
      <c r="UE45">
        <v>105</v>
      </c>
      <c r="UF45">
        <v>434</v>
      </c>
      <c r="UG45">
        <v>1577</v>
      </c>
      <c r="UH45">
        <v>105</v>
      </c>
      <c r="UI45">
        <v>105</v>
      </c>
      <c r="UJ45">
        <v>267</v>
      </c>
      <c r="UK45">
        <v>269</v>
      </c>
      <c r="UL45">
        <v>269</v>
      </c>
      <c r="UM45">
        <v>593</v>
      </c>
      <c r="UN45">
        <v>178</v>
      </c>
      <c r="UO45">
        <v>136</v>
      </c>
      <c r="UP45">
        <v>467</v>
      </c>
      <c r="UQ45">
        <v>63</v>
      </c>
      <c r="UR45">
        <v>195</v>
      </c>
      <c r="US45">
        <v>178</v>
      </c>
      <c r="UT45">
        <v>125</v>
      </c>
      <c r="UU45">
        <v>125</v>
      </c>
      <c r="UV45">
        <v>99</v>
      </c>
      <c r="UW45">
        <v>95</v>
      </c>
      <c r="UX45">
        <v>99</v>
      </c>
      <c r="UY45">
        <v>178</v>
      </c>
      <c r="UZ45">
        <v>178</v>
      </c>
      <c r="VA45">
        <v>105</v>
      </c>
      <c r="VB45">
        <v>99</v>
      </c>
      <c r="VC45">
        <v>99</v>
      </c>
      <c r="VD45">
        <v>105</v>
      </c>
      <c r="VE45">
        <v>105</v>
      </c>
      <c r="VF45">
        <v>105</v>
      </c>
      <c r="VG45">
        <v>710</v>
      </c>
      <c r="VH45">
        <v>710</v>
      </c>
      <c r="VI45">
        <v>79</v>
      </c>
      <c r="VJ45">
        <v>79</v>
      </c>
      <c r="VK45">
        <v>105</v>
      </c>
      <c r="VL45">
        <v>178</v>
      </c>
      <c r="VM45">
        <v>186</v>
      </c>
      <c r="VN45">
        <v>178</v>
      </c>
      <c r="VO45">
        <v>685</v>
      </c>
    </row>
    <row r="46" spans="1:587" x14ac:dyDescent="0.3">
      <c r="A46" t="s">
        <v>3041</v>
      </c>
      <c r="B46" cm="1">
        <f t="array" ref="B46:VO46">1*TRANSPOSE(_xlfn._xlws.FILTER(branch!$I$2:$I$591,branch!$D$2:$D$591&lt;&gt;0))</f>
        <v>99</v>
      </c>
      <c r="C46">
        <v>99</v>
      </c>
      <c r="D46">
        <v>178</v>
      </c>
      <c r="E46">
        <v>145</v>
      </c>
      <c r="F46">
        <v>536</v>
      </c>
      <c r="G46">
        <v>393</v>
      </c>
      <c r="H46">
        <v>393</v>
      </c>
      <c r="I46">
        <v>593</v>
      </c>
      <c r="J46">
        <v>434</v>
      </c>
      <c r="K46">
        <v>99</v>
      </c>
      <c r="L46">
        <v>140</v>
      </c>
      <c r="M46">
        <v>103</v>
      </c>
      <c r="N46">
        <v>109</v>
      </c>
      <c r="O46">
        <v>105</v>
      </c>
      <c r="P46">
        <v>99</v>
      </c>
      <c r="Q46">
        <v>187</v>
      </c>
      <c r="R46">
        <v>187</v>
      </c>
      <c r="S46">
        <v>187</v>
      </c>
      <c r="T46">
        <v>104</v>
      </c>
      <c r="U46">
        <v>112</v>
      </c>
      <c r="V46">
        <v>105</v>
      </c>
      <c r="W46">
        <v>82</v>
      </c>
      <c r="X46">
        <v>82</v>
      </c>
      <c r="Y46">
        <v>105</v>
      </c>
      <c r="Z46">
        <v>105</v>
      </c>
      <c r="AA46">
        <v>99</v>
      </c>
      <c r="AB46">
        <v>178</v>
      </c>
      <c r="AC46">
        <v>434</v>
      </c>
      <c r="AD46">
        <v>434</v>
      </c>
      <c r="AE46">
        <v>34</v>
      </c>
      <c r="AF46">
        <v>120</v>
      </c>
      <c r="AG46">
        <v>120</v>
      </c>
      <c r="AH46">
        <v>104</v>
      </c>
      <c r="AI46">
        <v>178</v>
      </c>
      <c r="AJ46">
        <v>178</v>
      </c>
      <c r="AK46">
        <v>178</v>
      </c>
      <c r="AL46">
        <v>178</v>
      </c>
      <c r="AM46">
        <v>120</v>
      </c>
      <c r="AN46">
        <v>178</v>
      </c>
      <c r="AO46">
        <v>99</v>
      </c>
      <c r="AP46">
        <v>178</v>
      </c>
      <c r="AQ46">
        <v>140</v>
      </c>
      <c r="AR46">
        <v>140</v>
      </c>
      <c r="AS46">
        <v>99</v>
      </c>
      <c r="AT46">
        <v>105</v>
      </c>
      <c r="AU46">
        <v>99</v>
      </c>
      <c r="AV46">
        <v>96</v>
      </c>
      <c r="AW46">
        <v>96</v>
      </c>
      <c r="AX46">
        <v>178</v>
      </c>
      <c r="AY46">
        <v>178</v>
      </c>
      <c r="AZ46">
        <v>120</v>
      </c>
      <c r="BA46">
        <v>120</v>
      </c>
      <c r="BB46">
        <v>178</v>
      </c>
      <c r="BC46">
        <v>178</v>
      </c>
      <c r="BD46">
        <v>178</v>
      </c>
      <c r="BE46">
        <v>105</v>
      </c>
      <c r="BF46">
        <v>99</v>
      </c>
      <c r="BG46">
        <v>99</v>
      </c>
      <c r="BH46">
        <v>99</v>
      </c>
      <c r="BI46">
        <v>82</v>
      </c>
      <c r="BJ46">
        <v>82</v>
      </c>
      <c r="BK46">
        <v>136</v>
      </c>
      <c r="BL46">
        <v>140</v>
      </c>
      <c r="BM46">
        <v>130</v>
      </c>
      <c r="BN46">
        <v>99</v>
      </c>
      <c r="BO46">
        <v>122</v>
      </c>
      <c r="BP46">
        <v>196</v>
      </c>
      <c r="BQ46">
        <v>178</v>
      </c>
      <c r="BR46">
        <v>136</v>
      </c>
      <c r="BS46">
        <v>178</v>
      </c>
      <c r="BT46">
        <v>124</v>
      </c>
      <c r="BU46">
        <v>178</v>
      </c>
      <c r="BV46">
        <v>178</v>
      </c>
      <c r="BW46">
        <v>178</v>
      </c>
      <c r="BX46">
        <v>99</v>
      </c>
      <c r="BY46">
        <v>136</v>
      </c>
      <c r="BZ46">
        <v>195</v>
      </c>
      <c r="CA46">
        <v>178</v>
      </c>
      <c r="CB46">
        <v>178</v>
      </c>
      <c r="CC46">
        <v>192</v>
      </c>
      <c r="CD46">
        <v>187</v>
      </c>
      <c r="CE46">
        <v>120</v>
      </c>
      <c r="CF46">
        <v>187</v>
      </c>
      <c r="CG46">
        <v>187</v>
      </c>
      <c r="CH46">
        <v>187</v>
      </c>
      <c r="CI46">
        <v>119</v>
      </c>
      <c r="CJ46">
        <v>119</v>
      </c>
      <c r="CK46">
        <v>570</v>
      </c>
      <c r="CL46">
        <v>570</v>
      </c>
      <c r="CM46">
        <v>140</v>
      </c>
      <c r="CN46">
        <v>140</v>
      </c>
      <c r="CO46">
        <v>842</v>
      </c>
      <c r="CP46">
        <v>105</v>
      </c>
      <c r="CQ46">
        <v>109</v>
      </c>
      <c r="CR46">
        <v>109</v>
      </c>
      <c r="CS46">
        <v>82</v>
      </c>
      <c r="CT46">
        <v>82</v>
      </c>
      <c r="CU46">
        <v>75</v>
      </c>
      <c r="CV46">
        <v>75</v>
      </c>
      <c r="CW46">
        <v>178</v>
      </c>
      <c r="CX46">
        <v>178</v>
      </c>
      <c r="CY46">
        <v>178</v>
      </c>
      <c r="CZ46">
        <v>178</v>
      </c>
      <c r="DA46">
        <v>82</v>
      </c>
      <c r="DB46">
        <v>82</v>
      </c>
      <c r="DC46">
        <v>710</v>
      </c>
      <c r="DD46">
        <v>69</v>
      </c>
      <c r="DE46">
        <v>70</v>
      </c>
      <c r="DF46">
        <v>710</v>
      </c>
      <c r="DG46">
        <v>710</v>
      </c>
      <c r="DH46">
        <v>710</v>
      </c>
      <c r="DI46">
        <v>144</v>
      </c>
      <c r="DJ46">
        <v>63</v>
      </c>
      <c r="DK46">
        <v>99</v>
      </c>
      <c r="DL46">
        <v>570</v>
      </c>
      <c r="DM46">
        <v>570</v>
      </c>
      <c r="DN46">
        <v>178</v>
      </c>
      <c r="DO46">
        <v>200</v>
      </c>
      <c r="DP46">
        <v>109</v>
      </c>
      <c r="DQ46">
        <v>109</v>
      </c>
      <c r="DR46">
        <v>79</v>
      </c>
      <c r="DS46">
        <v>79</v>
      </c>
      <c r="DT46">
        <v>434</v>
      </c>
      <c r="DU46">
        <v>740</v>
      </c>
      <c r="DV46">
        <v>228</v>
      </c>
      <c r="DW46">
        <v>115</v>
      </c>
      <c r="DX46">
        <v>195</v>
      </c>
      <c r="DY46">
        <v>124</v>
      </c>
      <c r="DZ46">
        <v>80</v>
      </c>
      <c r="EA46">
        <v>120</v>
      </c>
      <c r="EB46">
        <v>105</v>
      </c>
      <c r="EC46">
        <v>178</v>
      </c>
      <c r="ED46">
        <v>178</v>
      </c>
      <c r="EE46">
        <v>178</v>
      </c>
      <c r="EF46">
        <v>69</v>
      </c>
      <c r="EG46">
        <v>70</v>
      </c>
      <c r="EH46">
        <v>69</v>
      </c>
      <c r="EI46">
        <v>69</v>
      </c>
      <c r="EJ46">
        <v>132</v>
      </c>
      <c r="EK46">
        <v>132</v>
      </c>
      <c r="EL46">
        <v>710</v>
      </c>
      <c r="EM46">
        <v>710</v>
      </c>
      <c r="EN46">
        <v>66</v>
      </c>
      <c r="EO46">
        <v>66</v>
      </c>
      <c r="EP46">
        <v>710</v>
      </c>
      <c r="EQ46">
        <v>109</v>
      </c>
      <c r="ER46">
        <v>109</v>
      </c>
      <c r="ES46">
        <v>82</v>
      </c>
      <c r="ET46">
        <v>82</v>
      </c>
      <c r="EU46">
        <v>144</v>
      </c>
      <c r="EV46">
        <v>144</v>
      </c>
      <c r="EW46">
        <v>710</v>
      </c>
      <c r="EX46">
        <v>178</v>
      </c>
      <c r="EY46">
        <v>124</v>
      </c>
      <c r="EZ46">
        <v>99</v>
      </c>
      <c r="FA46">
        <v>99</v>
      </c>
      <c r="FB46">
        <v>99</v>
      </c>
      <c r="FC46">
        <v>761</v>
      </c>
      <c r="FD46">
        <v>187</v>
      </c>
      <c r="FE46">
        <v>761</v>
      </c>
      <c r="FF46">
        <v>761</v>
      </c>
      <c r="FG46">
        <v>761</v>
      </c>
      <c r="FH46">
        <v>178</v>
      </c>
      <c r="FI46">
        <v>178</v>
      </c>
      <c r="FJ46">
        <v>115</v>
      </c>
      <c r="FK46">
        <v>434</v>
      </c>
      <c r="FL46">
        <v>434</v>
      </c>
      <c r="FM46">
        <v>555</v>
      </c>
      <c r="FN46">
        <v>123</v>
      </c>
      <c r="FO46">
        <v>178</v>
      </c>
      <c r="FP46">
        <v>130</v>
      </c>
      <c r="FQ46">
        <v>178</v>
      </c>
      <c r="FR46">
        <v>103</v>
      </c>
      <c r="FS46">
        <v>238</v>
      </c>
      <c r="FT46">
        <v>434</v>
      </c>
      <c r="FU46">
        <v>178</v>
      </c>
      <c r="FV46">
        <v>132</v>
      </c>
      <c r="FW46">
        <v>178</v>
      </c>
      <c r="FX46">
        <v>144</v>
      </c>
      <c r="FY46">
        <v>144</v>
      </c>
      <c r="FZ46">
        <v>140</v>
      </c>
      <c r="GA46">
        <v>140</v>
      </c>
      <c r="GB46">
        <v>136</v>
      </c>
      <c r="GC46">
        <v>178</v>
      </c>
      <c r="GD46">
        <v>178</v>
      </c>
      <c r="GE46">
        <v>178</v>
      </c>
      <c r="GF46">
        <v>196</v>
      </c>
      <c r="GG46">
        <v>178</v>
      </c>
      <c r="GH46">
        <v>178</v>
      </c>
      <c r="GI46">
        <v>178</v>
      </c>
      <c r="GJ46">
        <v>130</v>
      </c>
      <c r="GK46">
        <v>99</v>
      </c>
      <c r="GL46">
        <v>136</v>
      </c>
      <c r="GM46">
        <v>178</v>
      </c>
      <c r="GN46">
        <v>105</v>
      </c>
      <c r="GO46">
        <v>187</v>
      </c>
      <c r="GP46">
        <v>187</v>
      </c>
      <c r="GQ46">
        <v>187</v>
      </c>
      <c r="GR46">
        <v>105</v>
      </c>
      <c r="GS46">
        <v>130</v>
      </c>
      <c r="GT46">
        <v>434</v>
      </c>
      <c r="GU46">
        <v>105</v>
      </c>
      <c r="GV46">
        <v>105</v>
      </c>
      <c r="GW46">
        <v>593</v>
      </c>
      <c r="GX46">
        <v>119</v>
      </c>
      <c r="GY46">
        <v>178</v>
      </c>
      <c r="GZ46">
        <v>120</v>
      </c>
      <c r="HA46">
        <v>178</v>
      </c>
      <c r="HB46">
        <v>178</v>
      </c>
      <c r="HC46">
        <v>178</v>
      </c>
      <c r="HD46">
        <v>646</v>
      </c>
      <c r="HE46">
        <v>161</v>
      </c>
      <c r="HF46">
        <v>161</v>
      </c>
      <c r="HG46">
        <v>434</v>
      </c>
      <c r="HH46">
        <v>434</v>
      </c>
      <c r="HI46">
        <v>187</v>
      </c>
      <c r="HJ46">
        <v>124</v>
      </c>
      <c r="HK46">
        <v>99</v>
      </c>
      <c r="HL46">
        <v>105</v>
      </c>
      <c r="HM46">
        <v>63</v>
      </c>
      <c r="HN46">
        <v>178</v>
      </c>
      <c r="HO46">
        <v>187</v>
      </c>
      <c r="HP46">
        <v>136</v>
      </c>
      <c r="HQ46">
        <v>187</v>
      </c>
      <c r="HR46">
        <v>187</v>
      </c>
      <c r="HS46">
        <v>99</v>
      </c>
      <c r="HT46">
        <v>99</v>
      </c>
      <c r="HU46">
        <v>105</v>
      </c>
      <c r="HV46">
        <v>178</v>
      </c>
      <c r="HW46">
        <v>178</v>
      </c>
      <c r="HX46">
        <v>1577</v>
      </c>
      <c r="HY46">
        <v>1577</v>
      </c>
      <c r="HZ46">
        <v>143</v>
      </c>
      <c r="IA46">
        <v>104</v>
      </c>
      <c r="IB46">
        <v>82</v>
      </c>
      <c r="IC46">
        <v>82</v>
      </c>
      <c r="ID46">
        <v>82</v>
      </c>
      <c r="IE46">
        <v>82</v>
      </c>
      <c r="IF46">
        <v>186</v>
      </c>
      <c r="IG46">
        <v>124</v>
      </c>
      <c r="IH46">
        <v>136</v>
      </c>
      <c r="II46">
        <v>99</v>
      </c>
      <c r="IJ46">
        <v>178</v>
      </c>
      <c r="IK46">
        <v>178</v>
      </c>
      <c r="IL46">
        <v>99</v>
      </c>
      <c r="IM46">
        <v>99</v>
      </c>
      <c r="IN46">
        <v>105</v>
      </c>
      <c r="IO46">
        <v>105</v>
      </c>
      <c r="IP46">
        <v>99</v>
      </c>
      <c r="IQ46">
        <v>99</v>
      </c>
      <c r="IR46">
        <v>100</v>
      </c>
      <c r="IS46">
        <v>100</v>
      </c>
      <c r="IT46">
        <v>200</v>
      </c>
      <c r="IU46">
        <v>143</v>
      </c>
      <c r="IV46">
        <v>82</v>
      </c>
      <c r="IW46">
        <v>82</v>
      </c>
      <c r="IX46">
        <v>82</v>
      </c>
      <c r="IY46">
        <v>412</v>
      </c>
      <c r="IZ46">
        <v>412</v>
      </c>
      <c r="JA46">
        <v>82</v>
      </c>
      <c r="JB46">
        <v>82</v>
      </c>
      <c r="JC46">
        <v>109</v>
      </c>
      <c r="JD46">
        <v>178</v>
      </c>
      <c r="JE46">
        <v>99</v>
      </c>
      <c r="JF46">
        <v>82</v>
      </c>
      <c r="JG46">
        <v>109</v>
      </c>
      <c r="JH46">
        <v>140</v>
      </c>
      <c r="JI46">
        <v>140</v>
      </c>
      <c r="JJ46">
        <v>196</v>
      </c>
      <c r="JK46">
        <v>178</v>
      </c>
      <c r="JL46">
        <v>178</v>
      </c>
      <c r="JM46">
        <v>99</v>
      </c>
      <c r="JN46">
        <v>178</v>
      </c>
      <c r="JO46">
        <v>350</v>
      </c>
      <c r="JP46">
        <v>99</v>
      </c>
      <c r="JQ46">
        <v>99</v>
      </c>
      <c r="JR46">
        <v>99</v>
      </c>
      <c r="JS46">
        <v>392</v>
      </c>
      <c r="JT46">
        <v>97</v>
      </c>
      <c r="JU46">
        <v>99</v>
      </c>
      <c r="JV46">
        <v>761</v>
      </c>
      <c r="JW46">
        <v>178</v>
      </c>
      <c r="JX46">
        <v>124</v>
      </c>
      <c r="JY46">
        <v>103</v>
      </c>
      <c r="JZ46">
        <v>178</v>
      </c>
      <c r="KA46">
        <v>746</v>
      </c>
      <c r="KB46">
        <v>646</v>
      </c>
      <c r="KC46">
        <v>178</v>
      </c>
      <c r="KD46">
        <v>178</v>
      </c>
      <c r="KE46">
        <v>178</v>
      </c>
      <c r="KF46">
        <v>178</v>
      </c>
      <c r="KG46">
        <v>190</v>
      </c>
      <c r="KH46">
        <v>105</v>
      </c>
      <c r="KI46">
        <v>136</v>
      </c>
      <c r="KJ46">
        <v>134</v>
      </c>
      <c r="KK46">
        <v>136</v>
      </c>
      <c r="KL46">
        <v>136</v>
      </c>
      <c r="KM46">
        <v>99</v>
      </c>
      <c r="KN46">
        <v>105</v>
      </c>
      <c r="KO46">
        <v>99</v>
      </c>
      <c r="KP46">
        <v>105</v>
      </c>
      <c r="KQ46">
        <v>99</v>
      </c>
      <c r="KR46">
        <v>99</v>
      </c>
      <c r="KS46">
        <v>99</v>
      </c>
      <c r="KT46">
        <v>74</v>
      </c>
      <c r="KU46">
        <v>74</v>
      </c>
      <c r="KV46">
        <v>99</v>
      </c>
      <c r="KW46">
        <v>178</v>
      </c>
      <c r="KX46">
        <v>178</v>
      </c>
      <c r="KY46">
        <v>99</v>
      </c>
      <c r="KZ46">
        <v>104</v>
      </c>
      <c r="LA46">
        <v>178</v>
      </c>
      <c r="LB46">
        <v>178</v>
      </c>
      <c r="LC46">
        <v>211</v>
      </c>
      <c r="LD46">
        <v>196</v>
      </c>
      <c r="LE46">
        <v>69</v>
      </c>
      <c r="LF46">
        <v>69</v>
      </c>
      <c r="LG46">
        <v>144</v>
      </c>
      <c r="LH46">
        <v>144</v>
      </c>
      <c r="LI46">
        <v>103</v>
      </c>
      <c r="LJ46">
        <v>99</v>
      </c>
      <c r="LK46">
        <v>99</v>
      </c>
      <c r="LL46">
        <v>82</v>
      </c>
      <c r="LM46">
        <v>82</v>
      </c>
      <c r="LN46">
        <v>82</v>
      </c>
      <c r="LO46">
        <v>82</v>
      </c>
      <c r="LP46">
        <v>82</v>
      </c>
      <c r="LQ46">
        <v>99</v>
      </c>
      <c r="LR46">
        <v>79</v>
      </c>
      <c r="LS46">
        <v>79</v>
      </c>
      <c r="LT46">
        <v>108</v>
      </c>
      <c r="LU46">
        <v>109</v>
      </c>
      <c r="LV46">
        <v>109</v>
      </c>
      <c r="LW46">
        <v>99</v>
      </c>
      <c r="LX46">
        <v>99</v>
      </c>
      <c r="LY46">
        <v>99</v>
      </c>
      <c r="LZ46">
        <v>178</v>
      </c>
      <c r="MA46">
        <v>393</v>
      </c>
      <c r="MB46">
        <v>350</v>
      </c>
      <c r="MC46">
        <v>350</v>
      </c>
      <c r="MD46">
        <v>434</v>
      </c>
      <c r="ME46">
        <v>1283</v>
      </c>
      <c r="MF46">
        <v>351</v>
      </c>
      <c r="MG46">
        <v>140</v>
      </c>
      <c r="MH46">
        <v>140</v>
      </c>
      <c r="MI46">
        <v>140</v>
      </c>
      <c r="MJ46">
        <v>186</v>
      </c>
      <c r="MK46">
        <v>157</v>
      </c>
      <c r="ML46">
        <v>144</v>
      </c>
      <c r="MM46">
        <v>186</v>
      </c>
      <c r="MN46">
        <v>195</v>
      </c>
      <c r="MO46">
        <v>105</v>
      </c>
      <c r="MP46">
        <v>119</v>
      </c>
      <c r="MQ46">
        <v>593</v>
      </c>
      <c r="MR46">
        <v>119</v>
      </c>
      <c r="MS46">
        <v>332</v>
      </c>
      <c r="MT46">
        <v>120</v>
      </c>
      <c r="MU46">
        <v>80</v>
      </c>
      <c r="MV46">
        <v>536</v>
      </c>
      <c r="MW46">
        <v>105</v>
      </c>
      <c r="MX46">
        <v>144</v>
      </c>
      <c r="MY46">
        <v>144</v>
      </c>
      <c r="MZ46">
        <v>105</v>
      </c>
      <c r="NA46">
        <v>384</v>
      </c>
      <c r="NB46">
        <v>99</v>
      </c>
      <c r="NC46">
        <v>99</v>
      </c>
      <c r="ND46">
        <v>434</v>
      </c>
      <c r="NE46">
        <v>98</v>
      </c>
      <c r="NF46">
        <v>107</v>
      </c>
      <c r="NG46">
        <v>140</v>
      </c>
      <c r="NH46">
        <v>107</v>
      </c>
      <c r="NI46">
        <v>140</v>
      </c>
      <c r="NJ46">
        <v>99</v>
      </c>
      <c r="NK46">
        <v>99</v>
      </c>
      <c r="NL46">
        <v>178</v>
      </c>
      <c r="NM46">
        <v>103</v>
      </c>
      <c r="NN46">
        <v>103</v>
      </c>
      <c r="NO46">
        <v>103</v>
      </c>
      <c r="NP46">
        <v>120</v>
      </c>
      <c r="NQ46">
        <v>120</v>
      </c>
      <c r="NR46">
        <v>570</v>
      </c>
      <c r="NS46">
        <v>99</v>
      </c>
      <c r="NT46">
        <v>393</v>
      </c>
      <c r="NU46">
        <v>434</v>
      </c>
      <c r="NV46">
        <v>593</v>
      </c>
      <c r="NW46">
        <v>178</v>
      </c>
      <c r="NX46">
        <v>178</v>
      </c>
      <c r="NY46">
        <v>178</v>
      </c>
      <c r="NZ46">
        <v>178</v>
      </c>
      <c r="OA46">
        <v>136</v>
      </c>
      <c r="OB46">
        <v>122</v>
      </c>
      <c r="OC46">
        <v>82</v>
      </c>
      <c r="OD46">
        <v>82</v>
      </c>
      <c r="OE46">
        <v>105</v>
      </c>
      <c r="OF46">
        <v>434</v>
      </c>
      <c r="OG46">
        <v>350</v>
      </c>
      <c r="OH46">
        <v>99</v>
      </c>
      <c r="OI46">
        <v>99</v>
      </c>
      <c r="OJ46">
        <v>99</v>
      </c>
      <c r="OK46">
        <v>99</v>
      </c>
      <c r="OL46">
        <v>99</v>
      </c>
      <c r="OM46">
        <v>99</v>
      </c>
      <c r="ON46">
        <v>200</v>
      </c>
      <c r="OO46">
        <v>200</v>
      </c>
      <c r="OP46">
        <v>119</v>
      </c>
      <c r="OQ46">
        <v>105</v>
      </c>
      <c r="OR46">
        <v>105</v>
      </c>
      <c r="OS46">
        <v>195</v>
      </c>
      <c r="OT46">
        <v>710</v>
      </c>
      <c r="OU46">
        <v>82</v>
      </c>
      <c r="OV46">
        <v>80</v>
      </c>
      <c r="OW46">
        <v>107</v>
      </c>
      <c r="OX46">
        <v>140</v>
      </c>
      <c r="OY46">
        <v>136</v>
      </c>
      <c r="OZ46">
        <v>136</v>
      </c>
      <c r="PA46">
        <v>104</v>
      </c>
      <c r="PB46">
        <v>196</v>
      </c>
      <c r="PC46">
        <v>80</v>
      </c>
      <c r="PD46">
        <v>562</v>
      </c>
      <c r="PE46">
        <v>120</v>
      </c>
      <c r="PF46">
        <v>267</v>
      </c>
      <c r="PG46">
        <v>351</v>
      </c>
      <c r="PH46">
        <v>593</v>
      </c>
      <c r="PI46">
        <v>178</v>
      </c>
      <c r="PJ46">
        <v>99</v>
      </c>
      <c r="PK46">
        <v>134</v>
      </c>
      <c r="PL46">
        <v>103</v>
      </c>
      <c r="PM46">
        <v>103</v>
      </c>
      <c r="PN46">
        <v>710</v>
      </c>
      <c r="PO46">
        <v>710</v>
      </c>
      <c r="PP46">
        <v>710</v>
      </c>
      <c r="PQ46">
        <v>185</v>
      </c>
      <c r="PR46">
        <v>178</v>
      </c>
      <c r="PS46">
        <v>99</v>
      </c>
      <c r="PT46">
        <v>178</v>
      </c>
      <c r="PU46">
        <v>178</v>
      </c>
      <c r="PV46">
        <v>119</v>
      </c>
      <c r="PW46">
        <v>120</v>
      </c>
      <c r="PX46">
        <v>136</v>
      </c>
      <c r="PY46">
        <v>434</v>
      </c>
      <c r="PZ46">
        <v>512</v>
      </c>
      <c r="QA46">
        <v>99</v>
      </c>
      <c r="QB46">
        <v>80</v>
      </c>
      <c r="QC46">
        <v>269</v>
      </c>
      <c r="QD46">
        <v>178</v>
      </c>
      <c r="QE46">
        <v>140</v>
      </c>
      <c r="QF46">
        <v>136</v>
      </c>
      <c r="QG46">
        <v>731</v>
      </c>
      <c r="QH46">
        <v>731</v>
      </c>
      <c r="QI46">
        <v>660</v>
      </c>
      <c r="QJ46">
        <v>660</v>
      </c>
      <c r="QK46">
        <v>136</v>
      </c>
      <c r="QL46">
        <v>99</v>
      </c>
      <c r="QM46">
        <v>99</v>
      </c>
      <c r="QN46">
        <v>350</v>
      </c>
      <c r="QO46">
        <v>350</v>
      </c>
      <c r="QP46">
        <v>99</v>
      </c>
      <c r="QQ46">
        <v>178</v>
      </c>
      <c r="QR46">
        <v>99</v>
      </c>
      <c r="QS46">
        <v>109</v>
      </c>
      <c r="QT46">
        <v>143</v>
      </c>
      <c r="QU46">
        <v>434</v>
      </c>
      <c r="QV46">
        <v>178</v>
      </c>
      <c r="QW46">
        <v>99</v>
      </c>
      <c r="QX46">
        <v>140</v>
      </c>
      <c r="QY46">
        <v>190</v>
      </c>
      <c r="QZ46">
        <v>195</v>
      </c>
      <c r="RA46">
        <v>135</v>
      </c>
      <c r="RB46">
        <v>195</v>
      </c>
      <c r="RC46">
        <v>710</v>
      </c>
      <c r="RD46">
        <v>136</v>
      </c>
      <c r="RE46">
        <v>105</v>
      </c>
      <c r="RF46">
        <v>124</v>
      </c>
      <c r="RG46">
        <v>99</v>
      </c>
      <c r="RH46">
        <v>353</v>
      </c>
      <c r="RI46">
        <v>178</v>
      </c>
      <c r="RJ46">
        <v>99</v>
      </c>
      <c r="RK46">
        <v>136</v>
      </c>
      <c r="RL46">
        <v>99</v>
      </c>
      <c r="RM46">
        <v>187</v>
      </c>
      <c r="RN46">
        <v>99</v>
      </c>
      <c r="RO46">
        <v>761</v>
      </c>
      <c r="RP46">
        <v>761</v>
      </c>
      <c r="RQ46">
        <v>99</v>
      </c>
      <c r="RR46">
        <v>99</v>
      </c>
      <c r="RS46">
        <v>99</v>
      </c>
      <c r="RT46">
        <v>99</v>
      </c>
      <c r="RU46">
        <v>136</v>
      </c>
      <c r="RV46">
        <v>124</v>
      </c>
      <c r="RW46">
        <v>99</v>
      </c>
      <c r="RX46">
        <v>99</v>
      </c>
      <c r="RY46">
        <v>136</v>
      </c>
      <c r="RZ46">
        <v>105</v>
      </c>
      <c r="SA46">
        <v>136</v>
      </c>
      <c r="SB46">
        <v>100</v>
      </c>
      <c r="SC46">
        <v>99</v>
      </c>
      <c r="SD46">
        <v>178</v>
      </c>
      <c r="SE46">
        <v>99</v>
      </c>
      <c r="SF46">
        <v>99</v>
      </c>
      <c r="SG46">
        <v>99</v>
      </c>
      <c r="SH46">
        <v>99</v>
      </c>
      <c r="SI46">
        <v>82</v>
      </c>
      <c r="SJ46">
        <v>80</v>
      </c>
      <c r="SK46">
        <v>99</v>
      </c>
      <c r="SL46">
        <v>99</v>
      </c>
      <c r="SM46">
        <v>95</v>
      </c>
      <c r="SN46">
        <v>710</v>
      </c>
      <c r="SO46">
        <v>710</v>
      </c>
      <c r="SP46">
        <v>350</v>
      </c>
      <c r="SQ46">
        <v>120</v>
      </c>
      <c r="SR46">
        <v>104</v>
      </c>
      <c r="SS46">
        <v>710</v>
      </c>
      <c r="ST46">
        <v>710</v>
      </c>
      <c r="SU46">
        <v>99</v>
      </c>
      <c r="SV46">
        <v>99</v>
      </c>
      <c r="SW46">
        <v>80</v>
      </c>
      <c r="SX46">
        <v>178</v>
      </c>
      <c r="SY46">
        <v>269</v>
      </c>
      <c r="SZ46">
        <v>325</v>
      </c>
      <c r="TA46">
        <v>350</v>
      </c>
      <c r="TB46">
        <v>119</v>
      </c>
      <c r="TC46">
        <v>120</v>
      </c>
      <c r="TD46">
        <v>140</v>
      </c>
      <c r="TE46">
        <v>140</v>
      </c>
      <c r="TF46">
        <v>99</v>
      </c>
      <c r="TG46">
        <v>105</v>
      </c>
      <c r="TH46">
        <v>100</v>
      </c>
      <c r="TI46">
        <v>120</v>
      </c>
      <c r="TJ46">
        <v>139</v>
      </c>
      <c r="TK46">
        <v>135</v>
      </c>
      <c r="TL46">
        <v>190</v>
      </c>
      <c r="TM46">
        <v>99</v>
      </c>
      <c r="TN46">
        <v>99</v>
      </c>
      <c r="TO46">
        <v>1283</v>
      </c>
      <c r="TP46">
        <v>537</v>
      </c>
      <c r="TQ46">
        <v>178</v>
      </c>
      <c r="TR46">
        <v>178</v>
      </c>
      <c r="TS46">
        <v>178</v>
      </c>
      <c r="TT46">
        <v>105</v>
      </c>
      <c r="TU46">
        <v>105</v>
      </c>
      <c r="TV46">
        <v>136</v>
      </c>
      <c r="TW46">
        <v>105</v>
      </c>
      <c r="TX46">
        <v>82</v>
      </c>
      <c r="TY46">
        <v>82</v>
      </c>
      <c r="TZ46">
        <v>119</v>
      </c>
      <c r="UA46">
        <v>332</v>
      </c>
      <c r="UB46">
        <v>109</v>
      </c>
      <c r="UC46">
        <v>82</v>
      </c>
      <c r="UD46">
        <v>186</v>
      </c>
      <c r="UE46">
        <v>105</v>
      </c>
      <c r="UF46">
        <v>434</v>
      </c>
      <c r="UG46">
        <v>1577</v>
      </c>
      <c r="UH46">
        <v>105</v>
      </c>
      <c r="UI46">
        <v>105</v>
      </c>
      <c r="UJ46">
        <v>267</v>
      </c>
      <c r="UK46">
        <v>269</v>
      </c>
      <c r="UL46">
        <v>269</v>
      </c>
      <c r="UM46">
        <v>593</v>
      </c>
      <c r="UN46">
        <v>178</v>
      </c>
      <c r="UO46">
        <v>136</v>
      </c>
      <c r="UP46">
        <v>467</v>
      </c>
      <c r="UQ46">
        <v>63</v>
      </c>
      <c r="UR46">
        <v>195</v>
      </c>
      <c r="US46">
        <v>178</v>
      </c>
      <c r="UT46">
        <v>125</v>
      </c>
      <c r="UU46">
        <v>125</v>
      </c>
      <c r="UV46">
        <v>99</v>
      </c>
      <c r="UW46">
        <v>95</v>
      </c>
      <c r="UX46">
        <v>99</v>
      </c>
      <c r="UY46">
        <v>178</v>
      </c>
      <c r="UZ46">
        <v>178</v>
      </c>
      <c r="VA46">
        <v>105</v>
      </c>
      <c r="VB46">
        <v>99</v>
      </c>
      <c r="VC46">
        <v>99</v>
      </c>
      <c r="VD46">
        <v>105</v>
      </c>
      <c r="VE46">
        <v>105</v>
      </c>
      <c r="VF46">
        <v>105</v>
      </c>
      <c r="VG46">
        <v>710</v>
      </c>
      <c r="VH46">
        <v>710</v>
      </c>
      <c r="VI46">
        <v>79</v>
      </c>
      <c r="VJ46">
        <v>79</v>
      </c>
      <c r="VK46">
        <v>105</v>
      </c>
      <c r="VL46">
        <v>178</v>
      </c>
      <c r="VM46">
        <v>186</v>
      </c>
      <c r="VN46">
        <v>178</v>
      </c>
      <c r="VO46">
        <v>685</v>
      </c>
    </row>
    <row r="47" spans="1:587" x14ac:dyDescent="0.3">
      <c r="A47" t="s">
        <v>3042</v>
      </c>
      <c r="B47" cm="1">
        <f t="array" ref="B47:VO47">1*TRANSPOSE(_xlfn._xlws.FILTER(branch!$I$2:$I$591,branch!$D$2:$D$591&lt;&gt;0))</f>
        <v>99</v>
      </c>
      <c r="C47">
        <v>99</v>
      </c>
      <c r="D47">
        <v>178</v>
      </c>
      <c r="E47">
        <v>145</v>
      </c>
      <c r="F47">
        <v>536</v>
      </c>
      <c r="G47">
        <v>393</v>
      </c>
      <c r="H47">
        <v>393</v>
      </c>
      <c r="I47">
        <v>593</v>
      </c>
      <c r="J47">
        <v>434</v>
      </c>
      <c r="K47">
        <v>99</v>
      </c>
      <c r="L47">
        <v>140</v>
      </c>
      <c r="M47">
        <v>103</v>
      </c>
      <c r="N47">
        <v>109</v>
      </c>
      <c r="O47">
        <v>105</v>
      </c>
      <c r="P47">
        <v>99</v>
      </c>
      <c r="Q47">
        <v>187</v>
      </c>
      <c r="R47">
        <v>187</v>
      </c>
      <c r="S47">
        <v>187</v>
      </c>
      <c r="T47">
        <v>104</v>
      </c>
      <c r="U47">
        <v>112</v>
      </c>
      <c r="V47">
        <v>105</v>
      </c>
      <c r="W47">
        <v>82</v>
      </c>
      <c r="X47">
        <v>82</v>
      </c>
      <c r="Y47">
        <v>105</v>
      </c>
      <c r="Z47">
        <v>105</v>
      </c>
      <c r="AA47">
        <v>99</v>
      </c>
      <c r="AB47">
        <v>178</v>
      </c>
      <c r="AC47">
        <v>434</v>
      </c>
      <c r="AD47">
        <v>434</v>
      </c>
      <c r="AE47">
        <v>34</v>
      </c>
      <c r="AF47">
        <v>120</v>
      </c>
      <c r="AG47">
        <v>120</v>
      </c>
      <c r="AH47">
        <v>104</v>
      </c>
      <c r="AI47">
        <v>178</v>
      </c>
      <c r="AJ47">
        <v>178</v>
      </c>
      <c r="AK47">
        <v>178</v>
      </c>
      <c r="AL47">
        <v>178</v>
      </c>
      <c r="AM47">
        <v>120</v>
      </c>
      <c r="AN47">
        <v>178</v>
      </c>
      <c r="AO47">
        <v>99</v>
      </c>
      <c r="AP47">
        <v>178</v>
      </c>
      <c r="AQ47">
        <v>140</v>
      </c>
      <c r="AR47">
        <v>140</v>
      </c>
      <c r="AS47">
        <v>99</v>
      </c>
      <c r="AT47">
        <v>105</v>
      </c>
      <c r="AU47">
        <v>99</v>
      </c>
      <c r="AV47">
        <v>96</v>
      </c>
      <c r="AW47">
        <v>96</v>
      </c>
      <c r="AX47">
        <v>178</v>
      </c>
      <c r="AY47">
        <v>178</v>
      </c>
      <c r="AZ47">
        <v>120</v>
      </c>
      <c r="BA47">
        <v>120</v>
      </c>
      <c r="BB47">
        <v>178</v>
      </c>
      <c r="BC47">
        <v>178</v>
      </c>
      <c r="BD47">
        <v>178</v>
      </c>
      <c r="BE47">
        <v>105</v>
      </c>
      <c r="BF47">
        <v>99</v>
      </c>
      <c r="BG47">
        <v>99</v>
      </c>
      <c r="BH47">
        <v>99</v>
      </c>
      <c r="BI47">
        <v>82</v>
      </c>
      <c r="BJ47">
        <v>82</v>
      </c>
      <c r="BK47">
        <v>136</v>
      </c>
      <c r="BL47">
        <v>140</v>
      </c>
      <c r="BM47">
        <v>130</v>
      </c>
      <c r="BN47">
        <v>99</v>
      </c>
      <c r="BO47">
        <v>122</v>
      </c>
      <c r="BP47">
        <v>196</v>
      </c>
      <c r="BQ47">
        <v>178</v>
      </c>
      <c r="BR47">
        <v>136</v>
      </c>
      <c r="BS47">
        <v>178</v>
      </c>
      <c r="BT47">
        <v>124</v>
      </c>
      <c r="BU47">
        <v>178</v>
      </c>
      <c r="BV47">
        <v>178</v>
      </c>
      <c r="BW47">
        <v>178</v>
      </c>
      <c r="BX47">
        <v>99</v>
      </c>
      <c r="BY47">
        <v>136</v>
      </c>
      <c r="BZ47">
        <v>195</v>
      </c>
      <c r="CA47">
        <v>178</v>
      </c>
      <c r="CB47">
        <v>178</v>
      </c>
      <c r="CC47">
        <v>192</v>
      </c>
      <c r="CD47">
        <v>187</v>
      </c>
      <c r="CE47">
        <v>120</v>
      </c>
      <c r="CF47">
        <v>187</v>
      </c>
      <c r="CG47">
        <v>187</v>
      </c>
      <c r="CH47">
        <v>187</v>
      </c>
      <c r="CI47">
        <v>119</v>
      </c>
      <c r="CJ47">
        <v>119</v>
      </c>
      <c r="CK47">
        <v>570</v>
      </c>
      <c r="CL47">
        <v>570</v>
      </c>
      <c r="CM47">
        <v>140</v>
      </c>
      <c r="CN47">
        <v>140</v>
      </c>
      <c r="CO47">
        <v>842</v>
      </c>
      <c r="CP47">
        <v>105</v>
      </c>
      <c r="CQ47">
        <v>109</v>
      </c>
      <c r="CR47">
        <v>109</v>
      </c>
      <c r="CS47">
        <v>82</v>
      </c>
      <c r="CT47">
        <v>82</v>
      </c>
      <c r="CU47">
        <v>75</v>
      </c>
      <c r="CV47">
        <v>75</v>
      </c>
      <c r="CW47">
        <v>178</v>
      </c>
      <c r="CX47">
        <v>178</v>
      </c>
      <c r="CY47">
        <v>178</v>
      </c>
      <c r="CZ47">
        <v>178</v>
      </c>
      <c r="DA47">
        <v>82</v>
      </c>
      <c r="DB47">
        <v>82</v>
      </c>
      <c r="DC47">
        <v>710</v>
      </c>
      <c r="DD47">
        <v>69</v>
      </c>
      <c r="DE47">
        <v>70</v>
      </c>
      <c r="DF47">
        <v>710</v>
      </c>
      <c r="DG47">
        <v>710</v>
      </c>
      <c r="DH47">
        <v>710</v>
      </c>
      <c r="DI47">
        <v>144</v>
      </c>
      <c r="DJ47">
        <v>63</v>
      </c>
      <c r="DK47">
        <v>99</v>
      </c>
      <c r="DL47">
        <v>570</v>
      </c>
      <c r="DM47">
        <v>570</v>
      </c>
      <c r="DN47">
        <v>178</v>
      </c>
      <c r="DO47">
        <v>200</v>
      </c>
      <c r="DP47">
        <v>109</v>
      </c>
      <c r="DQ47">
        <v>109</v>
      </c>
      <c r="DR47">
        <v>79</v>
      </c>
      <c r="DS47">
        <v>79</v>
      </c>
      <c r="DT47">
        <v>434</v>
      </c>
      <c r="DU47">
        <v>740</v>
      </c>
      <c r="DV47">
        <v>228</v>
      </c>
      <c r="DW47">
        <v>115</v>
      </c>
      <c r="DX47">
        <v>195</v>
      </c>
      <c r="DY47">
        <v>124</v>
      </c>
      <c r="DZ47">
        <v>80</v>
      </c>
      <c r="EA47">
        <v>120</v>
      </c>
      <c r="EB47">
        <v>105</v>
      </c>
      <c r="EC47">
        <v>178</v>
      </c>
      <c r="ED47">
        <v>178</v>
      </c>
      <c r="EE47">
        <v>178</v>
      </c>
      <c r="EF47">
        <v>69</v>
      </c>
      <c r="EG47">
        <v>70</v>
      </c>
      <c r="EH47">
        <v>69</v>
      </c>
      <c r="EI47">
        <v>69</v>
      </c>
      <c r="EJ47">
        <v>132</v>
      </c>
      <c r="EK47">
        <v>132</v>
      </c>
      <c r="EL47">
        <v>710</v>
      </c>
      <c r="EM47">
        <v>710</v>
      </c>
      <c r="EN47">
        <v>66</v>
      </c>
      <c r="EO47">
        <v>66</v>
      </c>
      <c r="EP47">
        <v>710</v>
      </c>
      <c r="EQ47">
        <v>109</v>
      </c>
      <c r="ER47">
        <v>109</v>
      </c>
      <c r="ES47">
        <v>82</v>
      </c>
      <c r="ET47">
        <v>82</v>
      </c>
      <c r="EU47">
        <v>144</v>
      </c>
      <c r="EV47">
        <v>144</v>
      </c>
      <c r="EW47">
        <v>710</v>
      </c>
      <c r="EX47">
        <v>178</v>
      </c>
      <c r="EY47">
        <v>124</v>
      </c>
      <c r="EZ47">
        <v>99</v>
      </c>
      <c r="FA47">
        <v>99</v>
      </c>
      <c r="FB47">
        <v>99</v>
      </c>
      <c r="FC47">
        <v>761</v>
      </c>
      <c r="FD47">
        <v>187</v>
      </c>
      <c r="FE47">
        <v>761</v>
      </c>
      <c r="FF47">
        <v>761</v>
      </c>
      <c r="FG47">
        <v>761</v>
      </c>
      <c r="FH47">
        <v>178</v>
      </c>
      <c r="FI47">
        <v>178</v>
      </c>
      <c r="FJ47">
        <v>115</v>
      </c>
      <c r="FK47">
        <v>434</v>
      </c>
      <c r="FL47">
        <v>434</v>
      </c>
      <c r="FM47">
        <v>555</v>
      </c>
      <c r="FN47">
        <v>123</v>
      </c>
      <c r="FO47">
        <v>178</v>
      </c>
      <c r="FP47">
        <v>130</v>
      </c>
      <c r="FQ47">
        <v>178</v>
      </c>
      <c r="FR47">
        <v>103</v>
      </c>
      <c r="FS47">
        <v>238</v>
      </c>
      <c r="FT47">
        <v>434</v>
      </c>
      <c r="FU47">
        <v>178</v>
      </c>
      <c r="FV47">
        <v>132</v>
      </c>
      <c r="FW47">
        <v>178</v>
      </c>
      <c r="FX47">
        <v>144</v>
      </c>
      <c r="FY47">
        <v>144</v>
      </c>
      <c r="FZ47">
        <v>140</v>
      </c>
      <c r="GA47">
        <v>140</v>
      </c>
      <c r="GB47">
        <v>136</v>
      </c>
      <c r="GC47">
        <v>178</v>
      </c>
      <c r="GD47">
        <v>178</v>
      </c>
      <c r="GE47">
        <v>178</v>
      </c>
      <c r="GF47">
        <v>196</v>
      </c>
      <c r="GG47">
        <v>178</v>
      </c>
      <c r="GH47">
        <v>178</v>
      </c>
      <c r="GI47">
        <v>178</v>
      </c>
      <c r="GJ47">
        <v>130</v>
      </c>
      <c r="GK47">
        <v>99</v>
      </c>
      <c r="GL47">
        <v>136</v>
      </c>
      <c r="GM47">
        <v>178</v>
      </c>
      <c r="GN47">
        <v>105</v>
      </c>
      <c r="GO47">
        <v>187</v>
      </c>
      <c r="GP47">
        <v>187</v>
      </c>
      <c r="GQ47">
        <v>187</v>
      </c>
      <c r="GR47">
        <v>105</v>
      </c>
      <c r="GS47">
        <v>130</v>
      </c>
      <c r="GT47">
        <v>434</v>
      </c>
      <c r="GU47">
        <v>105</v>
      </c>
      <c r="GV47">
        <v>105</v>
      </c>
      <c r="GW47">
        <v>593</v>
      </c>
      <c r="GX47">
        <v>119</v>
      </c>
      <c r="GY47">
        <v>178</v>
      </c>
      <c r="GZ47">
        <v>120</v>
      </c>
      <c r="HA47">
        <v>178</v>
      </c>
      <c r="HB47">
        <v>178</v>
      </c>
      <c r="HC47">
        <v>178</v>
      </c>
      <c r="HD47">
        <v>646</v>
      </c>
      <c r="HE47">
        <v>161</v>
      </c>
      <c r="HF47">
        <v>161</v>
      </c>
      <c r="HG47">
        <v>434</v>
      </c>
      <c r="HH47">
        <v>434</v>
      </c>
      <c r="HI47">
        <v>187</v>
      </c>
      <c r="HJ47">
        <v>124</v>
      </c>
      <c r="HK47">
        <v>99</v>
      </c>
      <c r="HL47">
        <v>105</v>
      </c>
      <c r="HM47">
        <v>63</v>
      </c>
      <c r="HN47">
        <v>178</v>
      </c>
      <c r="HO47">
        <v>187</v>
      </c>
      <c r="HP47">
        <v>136</v>
      </c>
      <c r="HQ47">
        <v>187</v>
      </c>
      <c r="HR47">
        <v>187</v>
      </c>
      <c r="HS47">
        <v>99</v>
      </c>
      <c r="HT47">
        <v>99</v>
      </c>
      <c r="HU47">
        <v>105</v>
      </c>
      <c r="HV47">
        <v>178</v>
      </c>
      <c r="HW47">
        <v>178</v>
      </c>
      <c r="HX47">
        <v>1577</v>
      </c>
      <c r="HY47">
        <v>1577</v>
      </c>
      <c r="HZ47">
        <v>143</v>
      </c>
      <c r="IA47">
        <v>104</v>
      </c>
      <c r="IB47">
        <v>82</v>
      </c>
      <c r="IC47">
        <v>82</v>
      </c>
      <c r="ID47">
        <v>82</v>
      </c>
      <c r="IE47">
        <v>82</v>
      </c>
      <c r="IF47">
        <v>186</v>
      </c>
      <c r="IG47">
        <v>124</v>
      </c>
      <c r="IH47">
        <v>136</v>
      </c>
      <c r="II47">
        <v>99</v>
      </c>
      <c r="IJ47">
        <v>178</v>
      </c>
      <c r="IK47">
        <v>178</v>
      </c>
      <c r="IL47">
        <v>99</v>
      </c>
      <c r="IM47">
        <v>99</v>
      </c>
      <c r="IN47">
        <v>105</v>
      </c>
      <c r="IO47">
        <v>105</v>
      </c>
      <c r="IP47">
        <v>99</v>
      </c>
      <c r="IQ47">
        <v>99</v>
      </c>
      <c r="IR47">
        <v>100</v>
      </c>
      <c r="IS47">
        <v>100</v>
      </c>
      <c r="IT47">
        <v>200</v>
      </c>
      <c r="IU47">
        <v>143</v>
      </c>
      <c r="IV47">
        <v>82</v>
      </c>
      <c r="IW47">
        <v>82</v>
      </c>
      <c r="IX47">
        <v>82</v>
      </c>
      <c r="IY47">
        <v>412</v>
      </c>
      <c r="IZ47">
        <v>412</v>
      </c>
      <c r="JA47">
        <v>82</v>
      </c>
      <c r="JB47">
        <v>82</v>
      </c>
      <c r="JC47">
        <v>109</v>
      </c>
      <c r="JD47">
        <v>178</v>
      </c>
      <c r="JE47">
        <v>99</v>
      </c>
      <c r="JF47">
        <v>82</v>
      </c>
      <c r="JG47">
        <v>109</v>
      </c>
      <c r="JH47">
        <v>140</v>
      </c>
      <c r="JI47">
        <v>140</v>
      </c>
      <c r="JJ47">
        <v>196</v>
      </c>
      <c r="JK47">
        <v>178</v>
      </c>
      <c r="JL47">
        <v>178</v>
      </c>
      <c r="JM47">
        <v>99</v>
      </c>
      <c r="JN47">
        <v>178</v>
      </c>
      <c r="JO47">
        <v>350</v>
      </c>
      <c r="JP47">
        <v>99</v>
      </c>
      <c r="JQ47">
        <v>99</v>
      </c>
      <c r="JR47">
        <v>99</v>
      </c>
      <c r="JS47">
        <v>392</v>
      </c>
      <c r="JT47">
        <v>97</v>
      </c>
      <c r="JU47">
        <v>99</v>
      </c>
      <c r="JV47">
        <v>761</v>
      </c>
      <c r="JW47">
        <v>178</v>
      </c>
      <c r="JX47">
        <v>124</v>
      </c>
      <c r="JY47">
        <v>103</v>
      </c>
      <c r="JZ47">
        <v>178</v>
      </c>
      <c r="KA47">
        <v>746</v>
      </c>
      <c r="KB47">
        <v>646</v>
      </c>
      <c r="KC47">
        <v>178</v>
      </c>
      <c r="KD47">
        <v>178</v>
      </c>
      <c r="KE47">
        <v>178</v>
      </c>
      <c r="KF47">
        <v>178</v>
      </c>
      <c r="KG47">
        <v>190</v>
      </c>
      <c r="KH47">
        <v>105</v>
      </c>
      <c r="KI47">
        <v>136</v>
      </c>
      <c r="KJ47">
        <v>134</v>
      </c>
      <c r="KK47">
        <v>136</v>
      </c>
      <c r="KL47">
        <v>136</v>
      </c>
      <c r="KM47">
        <v>99</v>
      </c>
      <c r="KN47">
        <v>105</v>
      </c>
      <c r="KO47">
        <v>99</v>
      </c>
      <c r="KP47">
        <v>105</v>
      </c>
      <c r="KQ47">
        <v>99</v>
      </c>
      <c r="KR47">
        <v>99</v>
      </c>
      <c r="KS47">
        <v>99</v>
      </c>
      <c r="KT47">
        <v>74</v>
      </c>
      <c r="KU47">
        <v>74</v>
      </c>
      <c r="KV47">
        <v>99</v>
      </c>
      <c r="KW47">
        <v>178</v>
      </c>
      <c r="KX47">
        <v>178</v>
      </c>
      <c r="KY47">
        <v>99</v>
      </c>
      <c r="KZ47">
        <v>104</v>
      </c>
      <c r="LA47">
        <v>178</v>
      </c>
      <c r="LB47">
        <v>178</v>
      </c>
      <c r="LC47">
        <v>211</v>
      </c>
      <c r="LD47">
        <v>196</v>
      </c>
      <c r="LE47">
        <v>69</v>
      </c>
      <c r="LF47">
        <v>69</v>
      </c>
      <c r="LG47">
        <v>144</v>
      </c>
      <c r="LH47">
        <v>144</v>
      </c>
      <c r="LI47">
        <v>103</v>
      </c>
      <c r="LJ47">
        <v>99</v>
      </c>
      <c r="LK47">
        <v>99</v>
      </c>
      <c r="LL47">
        <v>82</v>
      </c>
      <c r="LM47">
        <v>82</v>
      </c>
      <c r="LN47">
        <v>82</v>
      </c>
      <c r="LO47">
        <v>82</v>
      </c>
      <c r="LP47">
        <v>82</v>
      </c>
      <c r="LQ47">
        <v>99</v>
      </c>
      <c r="LR47">
        <v>79</v>
      </c>
      <c r="LS47">
        <v>79</v>
      </c>
      <c r="LT47">
        <v>108</v>
      </c>
      <c r="LU47">
        <v>109</v>
      </c>
      <c r="LV47">
        <v>109</v>
      </c>
      <c r="LW47">
        <v>99</v>
      </c>
      <c r="LX47">
        <v>99</v>
      </c>
      <c r="LY47">
        <v>99</v>
      </c>
      <c r="LZ47">
        <v>178</v>
      </c>
      <c r="MA47">
        <v>393</v>
      </c>
      <c r="MB47">
        <v>350</v>
      </c>
      <c r="MC47">
        <v>350</v>
      </c>
      <c r="MD47">
        <v>434</v>
      </c>
      <c r="ME47">
        <v>1283</v>
      </c>
      <c r="MF47">
        <v>351</v>
      </c>
      <c r="MG47">
        <v>140</v>
      </c>
      <c r="MH47">
        <v>140</v>
      </c>
      <c r="MI47">
        <v>140</v>
      </c>
      <c r="MJ47">
        <v>186</v>
      </c>
      <c r="MK47">
        <v>157</v>
      </c>
      <c r="ML47">
        <v>144</v>
      </c>
      <c r="MM47">
        <v>186</v>
      </c>
      <c r="MN47">
        <v>195</v>
      </c>
      <c r="MO47">
        <v>105</v>
      </c>
      <c r="MP47">
        <v>119</v>
      </c>
      <c r="MQ47">
        <v>593</v>
      </c>
      <c r="MR47">
        <v>119</v>
      </c>
      <c r="MS47">
        <v>332</v>
      </c>
      <c r="MT47">
        <v>120</v>
      </c>
      <c r="MU47">
        <v>80</v>
      </c>
      <c r="MV47">
        <v>536</v>
      </c>
      <c r="MW47">
        <v>105</v>
      </c>
      <c r="MX47">
        <v>144</v>
      </c>
      <c r="MY47">
        <v>144</v>
      </c>
      <c r="MZ47">
        <v>105</v>
      </c>
      <c r="NA47">
        <v>384</v>
      </c>
      <c r="NB47">
        <v>99</v>
      </c>
      <c r="NC47">
        <v>99</v>
      </c>
      <c r="ND47">
        <v>434</v>
      </c>
      <c r="NE47">
        <v>98</v>
      </c>
      <c r="NF47">
        <v>107</v>
      </c>
      <c r="NG47">
        <v>140</v>
      </c>
      <c r="NH47">
        <v>107</v>
      </c>
      <c r="NI47">
        <v>140</v>
      </c>
      <c r="NJ47">
        <v>99</v>
      </c>
      <c r="NK47">
        <v>99</v>
      </c>
      <c r="NL47">
        <v>178</v>
      </c>
      <c r="NM47">
        <v>103</v>
      </c>
      <c r="NN47">
        <v>103</v>
      </c>
      <c r="NO47">
        <v>103</v>
      </c>
      <c r="NP47">
        <v>120</v>
      </c>
      <c r="NQ47">
        <v>120</v>
      </c>
      <c r="NR47">
        <v>570</v>
      </c>
      <c r="NS47">
        <v>99</v>
      </c>
      <c r="NT47">
        <v>393</v>
      </c>
      <c r="NU47">
        <v>434</v>
      </c>
      <c r="NV47">
        <v>593</v>
      </c>
      <c r="NW47">
        <v>178</v>
      </c>
      <c r="NX47">
        <v>178</v>
      </c>
      <c r="NY47">
        <v>178</v>
      </c>
      <c r="NZ47">
        <v>178</v>
      </c>
      <c r="OA47">
        <v>136</v>
      </c>
      <c r="OB47">
        <v>122</v>
      </c>
      <c r="OC47">
        <v>82</v>
      </c>
      <c r="OD47">
        <v>82</v>
      </c>
      <c r="OE47">
        <v>105</v>
      </c>
      <c r="OF47">
        <v>434</v>
      </c>
      <c r="OG47">
        <v>350</v>
      </c>
      <c r="OH47">
        <v>99</v>
      </c>
      <c r="OI47">
        <v>99</v>
      </c>
      <c r="OJ47">
        <v>99</v>
      </c>
      <c r="OK47">
        <v>99</v>
      </c>
      <c r="OL47">
        <v>99</v>
      </c>
      <c r="OM47">
        <v>99</v>
      </c>
      <c r="ON47">
        <v>200</v>
      </c>
      <c r="OO47">
        <v>200</v>
      </c>
      <c r="OP47">
        <v>119</v>
      </c>
      <c r="OQ47">
        <v>105</v>
      </c>
      <c r="OR47">
        <v>105</v>
      </c>
      <c r="OS47">
        <v>195</v>
      </c>
      <c r="OT47">
        <v>710</v>
      </c>
      <c r="OU47">
        <v>82</v>
      </c>
      <c r="OV47">
        <v>80</v>
      </c>
      <c r="OW47">
        <v>107</v>
      </c>
      <c r="OX47">
        <v>140</v>
      </c>
      <c r="OY47">
        <v>136</v>
      </c>
      <c r="OZ47">
        <v>136</v>
      </c>
      <c r="PA47">
        <v>104</v>
      </c>
      <c r="PB47">
        <v>196</v>
      </c>
      <c r="PC47">
        <v>80</v>
      </c>
      <c r="PD47">
        <v>562</v>
      </c>
      <c r="PE47">
        <v>120</v>
      </c>
      <c r="PF47">
        <v>267</v>
      </c>
      <c r="PG47">
        <v>351</v>
      </c>
      <c r="PH47">
        <v>593</v>
      </c>
      <c r="PI47">
        <v>178</v>
      </c>
      <c r="PJ47">
        <v>99</v>
      </c>
      <c r="PK47">
        <v>134</v>
      </c>
      <c r="PL47">
        <v>103</v>
      </c>
      <c r="PM47">
        <v>103</v>
      </c>
      <c r="PN47">
        <v>710</v>
      </c>
      <c r="PO47">
        <v>710</v>
      </c>
      <c r="PP47">
        <v>710</v>
      </c>
      <c r="PQ47">
        <v>185</v>
      </c>
      <c r="PR47">
        <v>178</v>
      </c>
      <c r="PS47">
        <v>99</v>
      </c>
      <c r="PT47">
        <v>178</v>
      </c>
      <c r="PU47">
        <v>178</v>
      </c>
      <c r="PV47">
        <v>119</v>
      </c>
      <c r="PW47">
        <v>120</v>
      </c>
      <c r="PX47">
        <v>136</v>
      </c>
      <c r="PY47">
        <v>434</v>
      </c>
      <c r="PZ47">
        <v>512</v>
      </c>
      <c r="QA47">
        <v>99</v>
      </c>
      <c r="QB47">
        <v>80</v>
      </c>
      <c r="QC47">
        <v>269</v>
      </c>
      <c r="QD47">
        <v>178</v>
      </c>
      <c r="QE47">
        <v>140</v>
      </c>
      <c r="QF47">
        <v>136</v>
      </c>
      <c r="QG47">
        <v>731</v>
      </c>
      <c r="QH47">
        <v>731</v>
      </c>
      <c r="QI47">
        <v>660</v>
      </c>
      <c r="QJ47">
        <v>660</v>
      </c>
      <c r="QK47">
        <v>136</v>
      </c>
      <c r="QL47">
        <v>99</v>
      </c>
      <c r="QM47">
        <v>99</v>
      </c>
      <c r="QN47">
        <v>350</v>
      </c>
      <c r="QO47">
        <v>350</v>
      </c>
      <c r="QP47">
        <v>99</v>
      </c>
      <c r="QQ47">
        <v>178</v>
      </c>
      <c r="QR47">
        <v>99</v>
      </c>
      <c r="QS47">
        <v>109</v>
      </c>
      <c r="QT47">
        <v>143</v>
      </c>
      <c r="QU47">
        <v>434</v>
      </c>
      <c r="QV47">
        <v>178</v>
      </c>
      <c r="QW47">
        <v>99</v>
      </c>
      <c r="QX47">
        <v>140</v>
      </c>
      <c r="QY47">
        <v>190</v>
      </c>
      <c r="QZ47">
        <v>195</v>
      </c>
      <c r="RA47">
        <v>135</v>
      </c>
      <c r="RB47">
        <v>195</v>
      </c>
      <c r="RC47">
        <v>710</v>
      </c>
      <c r="RD47">
        <v>136</v>
      </c>
      <c r="RE47">
        <v>105</v>
      </c>
      <c r="RF47">
        <v>124</v>
      </c>
      <c r="RG47">
        <v>99</v>
      </c>
      <c r="RH47">
        <v>353</v>
      </c>
      <c r="RI47">
        <v>178</v>
      </c>
      <c r="RJ47">
        <v>99</v>
      </c>
      <c r="RK47">
        <v>136</v>
      </c>
      <c r="RL47">
        <v>99</v>
      </c>
      <c r="RM47">
        <v>187</v>
      </c>
      <c r="RN47">
        <v>99</v>
      </c>
      <c r="RO47">
        <v>761</v>
      </c>
      <c r="RP47">
        <v>761</v>
      </c>
      <c r="RQ47">
        <v>99</v>
      </c>
      <c r="RR47">
        <v>99</v>
      </c>
      <c r="RS47">
        <v>99</v>
      </c>
      <c r="RT47">
        <v>99</v>
      </c>
      <c r="RU47">
        <v>136</v>
      </c>
      <c r="RV47">
        <v>124</v>
      </c>
      <c r="RW47">
        <v>99</v>
      </c>
      <c r="RX47">
        <v>99</v>
      </c>
      <c r="RY47">
        <v>136</v>
      </c>
      <c r="RZ47">
        <v>105</v>
      </c>
      <c r="SA47">
        <v>136</v>
      </c>
      <c r="SB47">
        <v>100</v>
      </c>
      <c r="SC47">
        <v>99</v>
      </c>
      <c r="SD47">
        <v>178</v>
      </c>
      <c r="SE47">
        <v>99</v>
      </c>
      <c r="SF47">
        <v>99</v>
      </c>
      <c r="SG47">
        <v>99</v>
      </c>
      <c r="SH47">
        <v>99</v>
      </c>
      <c r="SI47">
        <v>82</v>
      </c>
      <c r="SJ47">
        <v>80</v>
      </c>
      <c r="SK47">
        <v>99</v>
      </c>
      <c r="SL47">
        <v>99</v>
      </c>
      <c r="SM47">
        <v>95</v>
      </c>
      <c r="SN47">
        <v>710</v>
      </c>
      <c r="SO47">
        <v>710</v>
      </c>
      <c r="SP47">
        <v>350</v>
      </c>
      <c r="SQ47">
        <v>120</v>
      </c>
      <c r="SR47">
        <v>104</v>
      </c>
      <c r="SS47">
        <v>710</v>
      </c>
      <c r="ST47">
        <v>710</v>
      </c>
      <c r="SU47">
        <v>99</v>
      </c>
      <c r="SV47">
        <v>99</v>
      </c>
      <c r="SW47">
        <v>80</v>
      </c>
      <c r="SX47">
        <v>178</v>
      </c>
      <c r="SY47">
        <v>269</v>
      </c>
      <c r="SZ47">
        <v>325</v>
      </c>
      <c r="TA47">
        <v>350</v>
      </c>
      <c r="TB47">
        <v>119</v>
      </c>
      <c r="TC47">
        <v>120</v>
      </c>
      <c r="TD47">
        <v>140</v>
      </c>
      <c r="TE47">
        <v>140</v>
      </c>
      <c r="TF47">
        <v>99</v>
      </c>
      <c r="TG47">
        <v>105</v>
      </c>
      <c r="TH47">
        <v>100</v>
      </c>
      <c r="TI47">
        <v>120</v>
      </c>
      <c r="TJ47">
        <v>139</v>
      </c>
      <c r="TK47">
        <v>135</v>
      </c>
      <c r="TL47">
        <v>190</v>
      </c>
      <c r="TM47">
        <v>99</v>
      </c>
      <c r="TN47">
        <v>99</v>
      </c>
      <c r="TO47">
        <v>1283</v>
      </c>
      <c r="TP47">
        <v>537</v>
      </c>
      <c r="TQ47">
        <v>178</v>
      </c>
      <c r="TR47">
        <v>178</v>
      </c>
      <c r="TS47">
        <v>178</v>
      </c>
      <c r="TT47">
        <v>105</v>
      </c>
      <c r="TU47">
        <v>105</v>
      </c>
      <c r="TV47">
        <v>136</v>
      </c>
      <c r="TW47">
        <v>105</v>
      </c>
      <c r="TX47">
        <v>82</v>
      </c>
      <c r="TY47">
        <v>82</v>
      </c>
      <c r="TZ47">
        <v>119</v>
      </c>
      <c r="UA47">
        <v>332</v>
      </c>
      <c r="UB47">
        <v>109</v>
      </c>
      <c r="UC47">
        <v>82</v>
      </c>
      <c r="UD47">
        <v>186</v>
      </c>
      <c r="UE47">
        <v>105</v>
      </c>
      <c r="UF47">
        <v>434</v>
      </c>
      <c r="UG47">
        <v>1577</v>
      </c>
      <c r="UH47">
        <v>105</v>
      </c>
      <c r="UI47">
        <v>105</v>
      </c>
      <c r="UJ47">
        <v>267</v>
      </c>
      <c r="UK47">
        <v>269</v>
      </c>
      <c r="UL47">
        <v>269</v>
      </c>
      <c r="UM47">
        <v>593</v>
      </c>
      <c r="UN47">
        <v>178</v>
      </c>
      <c r="UO47">
        <v>136</v>
      </c>
      <c r="UP47">
        <v>467</v>
      </c>
      <c r="UQ47">
        <v>63</v>
      </c>
      <c r="UR47">
        <v>195</v>
      </c>
      <c r="US47">
        <v>178</v>
      </c>
      <c r="UT47">
        <v>125</v>
      </c>
      <c r="UU47">
        <v>125</v>
      </c>
      <c r="UV47">
        <v>99</v>
      </c>
      <c r="UW47">
        <v>95</v>
      </c>
      <c r="UX47">
        <v>99</v>
      </c>
      <c r="UY47">
        <v>178</v>
      </c>
      <c r="UZ47">
        <v>178</v>
      </c>
      <c r="VA47">
        <v>105</v>
      </c>
      <c r="VB47">
        <v>99</v>
      </c>
      <c r="VC47">
        <v>99</v>
      </c>
      <c r="VD47">
        <v>105</v>
      </c>
      <c r="VE47">
        <v>105</v>
      </c>
      <c r="VF47">
        <v>105</v>
      </c>
      <c r="VG47">
        <v>710</v>
      </c>
      <c r="VH47">
        <v>710</v>
      </c>
      <c r="VI47">
        <v>79</v>
      </c>
      <c r="VJ47">
        <v>79</v>
      </c>
      <c r="VK47">
        <v>105</v>
      </c>
      <c r="VL47">
        <v>178</v>
      </c>
      <c r="VM47">
        <v>186</v>
      </c>
      <c r="VN47">
        <v>178</v>
      </c>
      <c r="VO47">
        <v>685</v>
      </c>
    </row>
    <row r="48" spans="1:587" x14ac:dyDescent="0.3">
      <c r="A48" t="s">
        <v>3043</v>
      </c>
      <c r="B48" cm="1">
        <f t="array" ref="B48:VO48">1*TRANSPOSE(_xlfn._xlws.FILTER(branch!$I$2:$I$591,branch!$D$2:$D$591&lt;&gt;0))</f>
        <v>99</v>
      </c>
      <c r="C48">
        <v>99</v>
      </c>
      <c r="D48">
        <v>178</v>
      </c>
      <c r="E48">
        <v>145</v>
      </c>
      <c r="F48">
        <v>536</v>
      </c>
      <c r="G48">
        <v>393</v>
      </c>
      <c r="H48">
        <v>393</v>
      </c>
      <c r="I48">
        <v>593</v>
      </c>
      <c r="J48">
        <v>434</v>
      </c>
      <c r="K48">
        <v>99</v>
      </c>
      <c r="L48">
        <v>140</v>
      </c>
      <c r="M48">
        <v>103</v>
      </c>
      <c r="N48">
        <v>109</v>
      </c>
      <c r="O48">
        <v>105</v>
      </c>
      <c r="P48">
        <v>99</v>
      </c>
      <c r="Q48">
        <v>187</v>
      </c>
      <c r="R48">
        <v>187</v>
      </c>
      <c r="S48">
        <v>187</v>
      </c>
      <c r="T48">
        <v>104</v>
      </c>
      <c r="U48">
        <v>112</v>
      </c>
      <c r="V48">
        <v>105</v>
      </c>
      <c r="W48">
        <v>82</v>
      </c>
      <c r="X48">
        <v>82</v>
      </c>
      <c r="Y48">
        <v>105</v>
      </c>
      <c r="Z48">
        <v>105</v>
      </c>
      <c r="AA48">
        <v>99</v>
      </c>
      <c r="AB48">
        <v>178</v>
      </c>
      <c r="AC48">
        <v>434</v>
      </c>
      <c r="AD48">
        <v>434</v>
      </c>
      <c r="AE48">
        <v>34</v>
      </c>
      <c r="AF48">
        <v>120</v>
      </c>
      <c r="AG48">
        <v>120</v>
      </c>
      <c r="AH48">
        <v>104</v>
      </c>
      <c r="AI48">
        <v>178</v>
      </c>
      <c r="AJ48">
        <v>178</v>
      </c>
      <c r="AK48">
        <v>178</v>
      </c>
      <c r="AL48">
        <v>178</v>
      </c>
      <c r="AM48">
        <v>120</v>
      </c>
      <c r="AN48">
        <v>178</v>
      </c>
      <c r="AO48">
        <v>99</v>
      </c>
      <c r="AP48">
        <v>178</v>
      </c>
      <c r="AQ48">
        <v>140</v>
      </c>
      <c r="AR48">
        <v>140</v>
      </c>
      <c r="AS48">
        <v>99</v>
      </c>
      <c r="AT48">
        <v>105</v>
      </c>
      <c r="AU48">
        <v>99</v>
      </c>
      <c r="AV48">
        <v>96</v>
      </c>
      <c r="AW48">
        <v>96</v>
      </c>
      <c r="AX48">
        <v>178</v>
      </c>
      <c r="AY48">
        <v>178</v>
      </c>
      <c r="AZ48">
        <v>120</v>
      </c>
      <c r="BA48">
        <v>120</v>
      </c>
      <c r="BB48">
        <v>178</v>
      </c>
      <c r="BC48">
        <v>178</v>
      </c>
      <c r="BD48">
        <v>178</v>
      </c>
      <c r="BE48">
        <v>105</v>
      </c>
      <c r="BF48">
        <v>99</v>
      </c>
      <c r="BG48">
        <v>99</v>
      </c>
      <c r="BH48">
        <v>99</v>
      </c>
      <c r="BI48">
        <v>82</v>
      </c>
      <c r="BJ48">
        <v>82</v>
      </c>
      <c r="BK48">
        <v>136</v>
      </c>
      <c r="BL48">
        <v>140</v>
      </c>
      <c r="BM48">
        <v>130</v>
      </c>
      <c r="BN48">
        <v>99</v>
      </c>
      <c r="BO48">
        <v>122</v>
      </c>
      <c r="BP48">
        <v>196</v>
      </c>
      <c r="BQ48">
        <v>178</v>
      </c>
      <c r="BR48">
        <v>136</v>
      </c>
      <c r="BS48">
        <v>178</v>
      </c>
      <c r="BT48">
        <v>124</v>
      </c>
      <c r="BU48">
        <v>178</v>
      </c>
      <c r="BV48">
        <v>178</v>
      </c>
      <c r="BW48">
        <v>178</v>
      </c>
      <c r="BX48">
        <v>99</v>
      </c>
      <c r="BY48">
        <v>136</v>
      </c>
      <c r="BZ48">
        <v>195</v>
      </c>
      <c r="CA48">
        <v>178</v>
      </c>
      <c r="CB48">
        <v>178</v>
      </c>
      <c r="CC48">
        <v>192</v>
      </c>
      <c r="CD48">
        <v>187</v>
      </c>
      <c r="CE48">
        <v>120</v>
      </c>
      <c r="CF48">
        <v>187</v>
      </c>
      <c r="CG48">
        <v>187</v>
      </c>
      <c r="CH48">
        <v>187</v>
      </c>
      <c r="CI48">
        <v>119</v>
      </c>
      <c r="CJ48">
        <v>119</v>
      </c>
      <c r="CK48">
        <v>570</v>
      </c>
      <c r="CL48">
        <v>570</v>
      </c>
      <c r="CM48">
        <v>140</v>
      </c>
      <c r="CN48">
        <v>140</v>
      </c>
      <c r="CO48">
        <v>842</v>
      </c>
      <c r="CP48">
        <v>105</v>
      </c>
      <c r="CQ48">
        <v>109</v>
      </c>
      <c r="CR48">
        <v>109</v>
      </c>
      <c r="CS48">
        <v>82</v>
      </c>
      <c r="CT48">
        <v>82</v>
      </c>
      <c r="CU48">
        <v>75</v>
      </c>
      <c r="CV48">
        <v>75</v>
      </c>
      <c r="CW48">
        <v>178</v>
      </c>
      <c r="CX48">
        <v>178</v>
      </c>
      <c r="CY48">
        <v>178</v>
      </c>
      <c r="CZ48">
        <v>178</v>
      </c>
      <c r="DA48">
        <v>82</v>
      </c>
      <c r="DB48">
        <v>82</v>
      </c>
      <c r="DC48">
        <v>710</v>
      </c>
      <c r="DD48">
        <v>69</v>
      </c>
      <c r="DE48">
        <v>70</v>
      </c>
      <c r="DF48">
        <v>710</v>
      </c>
      <c r="DG48">
        <v>710</v>
      </c>
      <c r="DH48">
        <v>710</v>
      </c>
      <c r="DI48">
        <v>144</v>
      </c>
      <c r="DJ48">
        <v>63</v>
      </c>
      <c r="DK48">
        <v>99</v>
      </c>
      <c r="DL48">
        <v>570</v>
      </c>
      <c r="DM48">
        <v>570</v>
      </c>
      <c r="DN48">
        <v>178</v>
      </c>
      <c r="DO48">
        <v>200</v>
      </c>
      <c r="DP48">
        <v>109</v>
      </c>
      <c r="DQ48">
        <v>109</v>
      </c>
      <c r="DR48">
        <v>79</v>
      </c>
      <c r="DS48">
        <v>79</v>
      </c>
      <c r="DT48">
        <v>434</v>
      </c>
      <c r="DU48">
        <v>740</v>
      </c>
      <c r="DV48">
        <v>228</v>
      </c>
      <c r="DW48">
        <v>115</v>
      </c>
      <c r="DX48">
        <v>195</v>
      </c>
      <c r="DY48">
        <v>124</v>
      </c>
      <c r="DZ48">
        <v>80</v>
      </c>
      <c r="EA48">
        <v>120</v>
      </c>
      <c r="EB48">
        <v>105</v>
      </c>
      <c r="EC48">
        <v>178</v>
      </c>
      <c r="ED48">
        <v>178</v>
      </c>
      <c r="EE48">
        <v>178</v>
      </c>
      <c r="EF48">
        <v>69</v>
      </c>
      <c r="EG48">
        <v>70</v>
      </c>
      <c r="EH48">
        <v>69</v>
      </c>
      <c r="EI48">
        <v>69</v>
      </c>
      <c r="EJ48">
        <v>132</v>
      </c>
      <c r="EK48">
        <v>132</v>
      </c>
      <c r="EL48">
        <v>710</v>
      </c>
      <c r="EM48">
        <v>710</v>
      </c>
      <c r="EN48">
        <v>66</v>
      </c>
      <c r="EO48">
        <v>66</v>
      </c>
      <c r="EP48">
        <v>710</v>
      </c>
      <c r="EQ48">
        <v>109</v>
      </c>
      <c r="ER48">
        <v>109</v>
      </c>
      <c r="ES48">
        <v>82</v>
      </c>
      <c r="ET48">
        <v>82</v>
      </c>
      <c r="EU48">
        <v>144</v>
      </c>
      <c r="EV48">
        <v>144</v>
      </c>
      <c r="EW48">
        <v>710</v>
      </c>
      <c r="EX48">
        <v>178</v>
      </c>
      <c r="EY48">
        <v>124</v>
      </c>
      <c r="EZ48">
        <v>99</v>
      </c>
      <c r="FA48">
        <v>99</v>
      </c>
      <c r="FB48">
        <v>99</v>
      </c>
      <c r="FC48">
        <v>761</v>
      </c>
      <c r="FD48">
        <v>187</v>
      </c>
      <c r="FE48">
        <v>761</v>
      </c>
      <c r="FF48">
        <v>761</v>
      </c>
      <c r="FG48">
        <v>761</v>
      </c>
      <c r="FH48">
        <v>178</v>
      </c>
      <c r="FI48">
        <v>178</v>
      </c>
      <c r="FJ48">
        <v>115</v>
      </c>
      <c r="FK48">
        <v>434</v>
      </c>
      <c r="FL48">
        <v>434</v>
      </c>
      <c r="FM48">
        <v>555</v>
      </c>
      <c r="FN48">
        <v>123</v>
      </c>
      <c r="FO48">
        <v>178</v>
      </c>
      <c r="FP48">
        <v>130</v>
      </c>
      <c r="FQ48">
        <v>178</v>
      </c>
      <c r="FR48">
        <v>103</v>
      </c>
      <c r="FS48">
        <v>238</v>
      </c>
      <c r="FT48">
        <v>434</v>
      </c>
      <c r="FU48">
        <v>178</v>
      </c>
      <c r="FV48">
        <v>132</v>
      </c>
      <c r="FW48">
        <v>178</v>
      </c>
      <c r="FX48">
        <v>144</v>
      </c>
      <c r="FY48">
        <v>144</v>
      </c>
      <c r="FZ48">
        <v>140</v>
      </c>
      <c r="GA48">
        <v>140</v>
      </c>
      <c r="GB48">
        <v>136</v>
      </c>
      <c r="GC48">
        <v>178</v>
      </c>
      <c r="GD48">
        <v>178</v>
      </c>
      <c r="GE48">
        <v>178</v>
      </c>
      <c r="GF48">
        <v>196</v>
      </c>
      <c r="GG48">
        <v>178</v>
      </c>
      <c r="GH48">
        <v>178</v>
      </c>
      <c r="GI48">
        <v>178</v>
      </c>
      <c r="GJ48">
        <v>130</v>
      </c>
      <c r="GK48">
        <v>99</v>
      </c>
      <c r="GL48">
        <v>136</v>
      </c>
      <c r="GM48">
        <v>178</v>
      </c>
      <c r="GN48">
        <v>105</v>
      </c>
      <c r="GO48">
        <v>187</v>
      </c>
      <c r="GP48">
        <v>187</v>
      </c>
      <c r="GQ48">
        <v>187</v>
      </c>
      <c r="GR48">
        <v>105</v>
      </c>
      <c r="GS48">
        <v>130</v>
      </c>
      <c r="GT48">
        <v>434</v>
      </c>
      <c r="GU48">
        <v>105</v>
      </c>
      <c r="GV48">
        <v>105</v>
      </c>
      <c r="GW48">
        <v>593</v>
      </c>
      <c r="GX48">
        <v>119</v>
      </c>
      <c r="GY48">
        <v>178</v>
      </c>
      <c r="GZ48">
        <v>120</v>
      </c>
      <c r="HA48">
        <v>178</v>
      </c>
      <c r="HB48">
        <v>178</v>
      </c>
      <c r="HC48">
        <v>178</v>
      </c>
      <c r="HD48">
        <v>646</v>
      </c>
      <c r="HE48">
        <v>161</v>
      </c>
      <c r="HF48">
        <v>161</v>
      </c>
      <c r="HG48">
        <v>434</v>
      </c>
      <c r="HH48">
        <v>434</v>
      </c>
      <c r="HI48">
        <v>187</v>
      </c>
      <c r="HJ48">
        <v>124</v>
      </c>
      <c r="HK48">
        <v>99</v>
      </c>
      <c r="HL48">
        <v>105</v>
      </c>
      <c r="HM48">
        <v>63</v>
      </c>
      <c r="HN48">
        <v>178</v>
      </c>
      <c r="HO48">
        <v>187</v>
      </c>
      <c r="HP48">
        <v>136</v>
      </c>
      <c r="HQ48">
        <v>187</v>
      </c>
      <c r="HR48">
        <v>187</v>
      </c>
      <c r="HS48">
        <v>99</v>
      </c>
      <c r="HT48">
        <v>99</v>
      </c>
      <c r="HU48">
        <v>105</v>
      </c>
      <c r="HV48">
        <v>178</v>
      </c>
      <c r="HW48">
        <v>178</v>
      </c>
      <c r="HX48">
        <v>1577</v>
      </c>
      <c r="HY48">
        <v>1577</v>
      </c>
      <c r="HZ48">
        <v>143</v>
      </c>
      <c r="IA48">
        <v>104</v>
      </c>
      <c r="IB48">
        <v>82</v>
      </c>
      <c r="IC48">
        <v>82</v>
      </c>
      <c r="ID48">
        <v>82</v>
      </c>
      <c r="IE48">
        <v>82</v>
      </c>
      <c r="IF48">
        <v>186</v>
      </c>
      <c r="IG48">
        <v>124</v>
      </c>
      <c r="IH48">
        <v>136</v>
      </c>
      <c r="II48">
        <v>99</v>
      </c>
      <c r="IJ48">
        <v>178</v>
      </c>
      <c r="IK48">
        <v>178</v>
      </c>
      <c r="IL48">
        <v>99</v>
      </c>
      <c r="IM48">
        <v>99</v>
      </c>
      <c r="IN48">
        <v>105</v>
      </c>
      <c r="IO48">
        <v>105</v>
      </c>
      <c r="IP48">
        <v>99</v>
      </c>
      <c r="IQ48">
        <v>99</v>
      </c>
      <c r="IR48">
        <v>100</v>
      </c>
      <c r="IS48">
        <v>100</v>
      </c>
      <c r="IT48">
        <v>200</v>
      </c>
      <c r="IU48">
        <v>143</v>
      </c>
      <c r="IV48">
        <v>82</v>
      </c>
      <c r="IW48">
        <v>82</v>
      </c>
      <c r="IX48">
        <v>82</v>
      </c>
      <c r="IY48">
        <v>412</v>
      </c>
      <c r="IZ48">
        <v>412</v>
      </c>
      <c r="JA48">
        <v>82</v>
      </c>
      <c r="JB48">
        <v>82</v>
      </c>
      <c r="JC48">
        <v>109</v>
      </c>
      <c r="JD48">
        <v>178</v>
      </c>
      <c r="JE48">
        <v>99</v>
      </c>
      <c r="JF48">
        <v>82</v>
      </c>
      <c r="JG48">
        <v>109</v>
      </c>
      <c r="JH48">
        <v>140</v>
      </c>
      <c r="JI48">
        <v>140</v>
      </c>
      <c r="JJ48">
        <v>196</v>
      </c>
      <c r="JK48">
        <v>178</v>
      </c>
      <c r="JL48">
        <v>178</v>
      </c>
      <c r="JM48">
        <v>99</v>
      </c>
      <c r="JN48">
        <v>178</v>
      </c>
      <c r="JO48">
        <v>350</v>
      </c>
      <c r="JP48">
        <v>99</v>
      </c>
      <c r="JQ48">
        <v>99</v>
      </c>
      <c r="JR48">
        <v>99</v>
      </c>
      <c r="JS48">
        <v>392</v>
      </c>
      <c r="JT48">
        <v>97</v>
      </c>
      <c r="JU48">
        <v>99</v>
      </c>
      <c r="JV48">
        <v>761</v>
      </c>
      <c r="JW48">
        <v>178</v>
      </c>
      <c r="JX48">
        <v>124</v>
      </c>
      <c r="JY48">
        <v>103</v>
      </c>
      <c r="JZ48">
        <v>178</v>
      </c>
      <c r="KA48">
        <v>746</v>
      </c>
      <c r="KB48">
        <v>646</v>
      </c>
      <c r="KC48">
        <v>178</v>
      </c>
      <c r="KD48">
        <v>178</v>
      </c>
      <c r="KE48">
        <v>178</v>
      </c>
      <c r="KF48">
        <v>178</v>
      </c>
      <c r="KG48">
        <v>190</v>
      </c>
      <c r="KH48">
        <v>105</v>
      </c>
      <c r="KI48">
        <v>136</v>
      </c>
      <c r="KJ48">
        <v>134</v>
      </c>
      <c r="KK48">
        <v>136</v>
      </c>
      <c r="KL48">
        <v>136</v>
      </c>
      <c r="KM48">
        <v>99</v>
      </c>
      <c r="KN48">
        <v>105</v>
      </c>
      <c r="KO48">
        <v>99</v>
      </c>
      <c r="KP48">
        <v>105</v>
      </c>
      <c r="KQ48">
        <v>99</v>
      </c>
      <c r="KR48">
        <v>99</v>
      </c>
      <c r="KS48">
        <v>99</v>
      </c>
      <c r="KT48">
        <v>74</v>
      </c>
      <c r="KU48">
        <v>74</v>
      </c>
      <c r="KV48">
        <v>99</v>
      </c>
      <c r="KW48">
        <v>178</v>
      </c>
      <c r="KX48">
        <v>178</v>
      </c>
      <c r="KY48">
        <v>99</v>
      </c>
      <c r="KZ48">
        <v>104</v>
      </c>
      <c r="LA48">
        <v>178</v>
      </c>
      <c r="LB48">
        <v>178</v>
      </c>
      <c r="LC48">
        <v>211</v>
      </c>
      <c r="LD48">
        <v>196</v>
      </c>
      <c r="LE48">
        <v>69</v>
      </c>
      <c r="LF48">
        <v>69</v>
      </c>
      <c r="LG48">
        <v>144</v>
      </c>
      <c r="LH48">
        <v>144</v>
      </c>
      <c r="LI48">
        <v>103</v>
      </c>
      <c r="LJ48">
        <v>99</v>
      </c>
      <c r="LK48">
        <v>99</v>
      </c>
      <c r="LL48">
        <v>82</v>
      </c>
      <c r="LM48">
        <v>82</v>
      </c>
      <c r="LN48">
        <v>82</v>
      </c>
      <c r="LO48">
        <v>82</v>
      </c>
      <c r="LP48">
        <v>82</v>
      </c>
      <c r="LQ48">
        <v>99</v>
      </c>
      <c r="LR48">
        <v>79</v>
      </c>
      <c r="LS48">
        <v>79</v>
      </c>
      <c r="LT48">
        <v>108</v>
      </c>
      <c r="LU48">
        <v>109</v>
      </c>
      <c r="LV48">
        <v>109</v>
      </c>
      <c r="LW48">
        <v>99</v>
      </c>
      <c r="LX48">
        <v>99</v>
      </c>
      <c r="LY48">
        <v>99</v>
      </c>
      <c r="LZ48">
        <v>178</v>
      </c>
      <c r="MA48">
        <v>393</v>
      </c>
      <c r="MB48">
        <v>350</v>
      </c>
      <c r="MC48">
        <v>350</v>
      </c>
      <c r="MD48">
        <v>434</v>
      </c>
      <c r="ME48">
        <v>1283</v>
      </c>
      <c r="MF48">
        <v>351</v>
      </c>
      <c r="MG48">
        <v>140</v>
      </c>
      <c r="MH48">
        <v>140</v>
      </c>
      <c r="MI48">
        <v>140</v>
      </c>
      <c r="MJ48">
        <v>186</v>
      </c>
      <c r="MK48">
        <v>157</v>
      </c>
      <c r="ML48">
        <v>144</v>
      </c>
      <c r="MM48">
        <v>186</v>
      </c>
      <c r="MN48">
        <v>195</v>
      </c>
      <c r="MO48">
        <v>105</v>
      </c>
      <c r="MP48">
        <v>119</v>
      </c>
      <c r="MQ48">
        <v>593</v>
      </c>
      <c r="MR48">
        <v>119</v>
      </c>
      <c r="MS48">
        <v>332</v>
      </c>
      <c r="MT48">
        <v>120</v>
      </c>
      <c r="MU48">
        <v>80</v>
      </c>
      <c r="MV48">
        <v>536</v>
      </c>
      <c r="MW48">
        <v>105</v>
      </c>
      <c r="MX48">
        <v>144</v>
      </c>
      <c r="MY48">
        <v>144</v>
      </c>
      <c r="MZ48">
        <v>105</v>
      </c>
      <c r="NA48">
        <v>384</v>
      </c>
      <c r="NB48">
        <v>99</v>
      </c>
      <c r="NC48">
        <v>99</v>
      </c>
      <c r="ND48">
        <v>434</v>
      </c>
      <c r="NE48">
        <v>98</v>
      </c>
      <c r="NF48">
        <v>107</v>
      </c>
      <c r="NG48">
        <v>140</v>
      </c>
      <c r="NH48">
        <v>107</v>
      </c>
      <c r="NI48">
        <v>140</v>
      </c>
      <c r="NJ48">
        <v>99</v>
      </c>
      <c r="NK48">
        <v>99</v>
      </c>
      <c r="NL48">
        <v>178</v>
      </c>
      <c r="NM48">
        <v>103</v>
      </c>
      <c r="NN48">
        <v>103</v>
      </c>
      <c r="NO48">
        <v>103</v>
      </c>
      <c r="NP48">
        <v>120</v>
      </c>
      <c r="NQ48">
        <v>120</v>
      </c>
      <c r="NR48">
        <v>570</v>
      </c>
      <c r="NS48">
        <v>99</v>
      </c>
      <c r="NT48">
        <v>393</v>
      </c>
      <c r="NU48">
        <v>434</v>
      </c>
      <c r="NV48">
        <v>593</v>
      </c>
      <c r="NW48">
        <v>178</v>
      </c>
      <c r="NX48">
        <v>178</v>
      </c>
      <c r="NY48">
        <v>178</v>
      </c>
      <c r="NZ48">
        <v>178</v>
      </c>
      <c r="OA48">
        <v>136</v>
      </c>
      <c r="OB48">
        <v>122</v>
      </c>
      <c r="OC48">
        <v>82</v>
      </c>
      <c r="OD48">
        <v>82</v>
      </c>
      <c r="OE48">
        <v>105</v>
      </c>
      <c r="OF48">
        <v>434</v>
      </c>
      <c r="OG48">
        <v>350</v>
      </c>
      <c r="OH48">
        <v>99</v>
      </c>
      <c r="OI48">
        <v>99</v>
      </c>
      <c r="OJ48">
        <v>99</v>
      </c>
      <c r="OK48">
        <v>99</v>
      </c>
      <c r="OL48">
        <v>99</v>
      </c>
      <c r="OM48">
        <v>99</v>
      </c>
      <c r="ON48">
        <v>200</v>
      </c>
      <c r="OO48">
        <v>200</v>
      </c>
      <c r="OP48">
        <v>119</v>
      </c>
      <c r="OQ48">
        <v>105</v>
      </c>
      <c r="OR48">
        <v>105</v>
      </c>
      <c r="OS48">
        <v>195</v>
      </c>
      <c r="OT48">
        <v>710</v>
      </c>
      <c r="OU48">
        <v>82</v>
      </c>
      <c r="OV48">
        <v>80</v>
      </c>
      <c r="OW48">
        <v>107</v>
      </c>
      <c r="OX48">
        <v>140</v>
      </c>
      <c r="OY48">
        <v>136</v>
      </c>
      <c r="OZ48">
        <v>136</v>
      </c>
      <c r="PA48">
        <v>104</v>
      </c>
      <c r="PB48">
        <v>196</v>
      </c>
      <c r="PC48">
        <v>80</v>
      </c>
      <c r="PD48">
        <v>562</v>
      </c>
      <c r="PE48">
        <v>120</v>
      </c>
      <c r="PF48">
        <v>267</v>
      </c>
      <c r="PG48">
        <v>351</v>
      </c>
      <c r="PH48">
        <v>593</v>
      </c>
      <c r="PI48">
        <v>178</v>
      </c>
      <c r="PJ48">
        <v>99</v>
      </c>
      <c r="PK48">
        <v>134</v>
      </c>
      <c r="PL48">
        <v>103</v>
      </c>
      <c r="PM48">
        <v>103</v>
      </c>
      <c r="PN48">
        <v>710</v>
      </c>
      <c r="PO48">
        <v>710</v>
      </c>
      <c r="PP48">
        <v>710</v>
      </c>
      <c r="PQ48">
        <v>185</v>
      </c>
      <c r="PR48">
        <v>178</v>
      </c>
      <c r="PS48">
        <v>99</v>
      </c>
      <c r="PT48">
        <v>178</v>
      </c>
      <c r="PU48">
        <v>178</v>
      </c>
      <c r="PV48">
        <v>119</v>
      </c>
      <c r="PW48">
        <v>120</v>
      </c>
      <c r="PX48">
        <v>136</v>
      </c>
      <c r="PY48">
        <v>434</v>
      </c>
      <c r="PZ48">
        <v>512</v>
      </c>
      <c r="QA48">
        <v>99</v>
      </c>
      <c r="QB48">
        <v>80</v>
      </c>
      <c r="QC48">
        <v>269</v>
      </c>
      <c r="QD48">
        <v>178</v>
      </c>
      <c r="QE48">
        <v>140</v>
      </c>
      <c r="QF48">
        <v>136</v>
      </c>
      <c r="QG48">
        <v>731</v>
      </c>
      <c r="QH48">
        <v>731</v>
      </c>
      <c r="QI48">
        <v>660</v>
      </c>
      <c r="QJ48">
        <v>660</v>
      </c>
      <c r="QK48">
        <v>136</v>
      </c>
      <c r="QL48">
        <v>99</v>
      </c>
      <c r="QM48">
        <v>99</v>
      </c>
      <c r="QN48">
        <v>350</v>
      </c>
      <c r="QO48">
        <v>350</v>
      </c>
      <c r="QP48">
        <v>99</v>
      </c>
      <c r="QQ48">
        <v>178</v>
      </c>
      <c r="QR48">
        <v>99</v>
      </c>
      <c r="QS48">
        <v>109</v>
      </c>
      <c r="QT48">
        <v>143</v>
      </c>
      <c r="QU48">
        <v>434</v>
      </c>
      <c r="QV48">
        <v>178</v>
      </c>
      <c r="QW48">
        <v>99</v>
      </c>
      <c r="QX48">
        <v>140</v>
      </c>
      <c r="QY48">
        <v>190</v>
      </c>
      <c r="QZ48">
        <v>195</v>
      </c>
      <c r="RA48">
        <v>135</v>
      </c>
      <c r="RB48">
        <v>195</v>
      </c>
      <c r="RC48">
        <v>710</v>
      </c>
      <c r="RD48">
        <v>136</v>
      </c>
      <c r="RE48">
        <v>105</v>
      </c>
      <c r="RF48">
        <v>124</v>
      </c>
      <c r="RG48">
        <v>99</v>
      </c>
      <c r="RH48">
        <v>353</v>
      </c>
      <c r="RI48">
        <v>178</v>
      </c>
      <c r="RJ48">
        <v>99</v>
      </c>
      <c r="RK48">
        <v>136</v>
      </c>
      <c r="RL48">
        <v>99</v>
      </c>
      <c r="RM48">
        <v>187</v>
      </c>
      <c r="RN48">
        <v>99</v>
      </c>
      <c r="RO48">
        <v>761</v>
      </c>
      <c r="RP48">
        <v>761</v>
      </c>
      <c r="RQ48">
        <v>99</v>
      </c>
      <c r="RR48">
        <v>99</v>
      </c>
      <c r="RS48">
        <v>99</v>
      </c>
      <c r="RT48">
        <v>99</v>
      </c>
      <c r="RU48">
        <v>136</v>
      </c>
      <c r="RV48">
        <v>124</v>
      </c>
      <c r="RW48">
        <v>99</v>
      </c>
      <c r="RX48">
        <v>99</v>
      </c>
      <c r="RY48">
        <v>136</v>
      </c>
      <c r="RZ48">
        <v>105</v>
      </c>
      <c r="SA48">
        <v>136</v>
      </c>
      <c r="SB48">
        <v>100</v>
      </c>
      <c r="SC48">
        <v>99</v>
      </c>
      <c r="SD48">
        <v>178</v>
      </c>
      <c r="SE48">
        <v>99</v>
      </c>
      <c r="SF48">
        <v>99</v>
      </c>
      <c r="SG48">
        <v>99</v>
      </c>
      <c r="SH48">
        <v>99</v>
      </c>
      <c r="SI48">
        <v>82</v>
      </c>
      <c r="SJ48">
        <v>80</v>
      </c>
      <c r="SK48">
        <v>99</v>
      </c>
      <c r="SL48">
        <v>99</v>
      </c>
      <c r="SM48">
        <v>95</v>
      </c>
      <c r="SN48">
        <v>710</v>
      </c>
      <c r="SO48">
        <v>710</v>
      </c>
      <c r="SP48">
        <v>350</v>
      </c>
      <c r="SQ48">
        <v>120</v>
      </c>
      <c r="SR48">
        <v>104</v>
      </c>
      <c r="SS48">
        <v>710</v>
      </c>
      <c r="ST48">
        <v>710</v>
      </c>
      <c r="SU48">
        <v>99</v>
      </c>
      <c r="SV48">
        <v>99</v>
      </c>
      <c r="SW48">
        <v>80</v>
      </c>
      <c r="SX48">
        <v>178</v>
      </c>
      <c r="SY48">
        <v>269</v>
      </c>
      <c r="SZ48">
        <v>325</v>
      </c>
      <c r="TA48">
        <v>350</v>
      </c>
      <c r="TB48">
        <v>119</v>
      </c>
      <c r="TC48">
        <v>120</v>
      </c>
      <c r="TD48">
        <v>140</v>
      </c>
      <c r="TE48">
        <v>140</v>
      </c>
      <c r="TF48">
        <v>99</v>
      </c>
      <c r="TG48">
        <v>105</v>
      </c>
      <c r="TH48">
        <v>100</v>
      </c>
      <c r="TI48">
        <v>120</v>
      </c>
      <c r="TJ48">
        <v>139</v>
      </c>
      <c r="TK48">
        <v>135</v>
      </c>
      <c r="TL48">
        <v>190</v>
      </c>
      <c r="TM48">
        <v>99</v>
      </c>
      <c r="TN48">
        <v>99</v>
      </c>
      <c r="TO48">
        <v>1283</v>
      </c>
      <c r="TP48">
        <v>537</v>
      </c>
      <c r="TQ48">
        <v>178</v>
      </c>
      <c r="TR48">
        <v>178</v>
      </c>
      <c r="TS48">
        <v>178</v>
      </c>
      <c r="TT48">
        <v>105</v>
      </c>
      <c r="TU48">
        <v>105</v>
      </c>
      <c r="TV48">
        <v>136</v>
      </c>
      <c r="TW48">
        <v>105</v>
      </c>
      <c r="TX48">
        <v>82</v>
      </c>
      <c r="TY48">
        <v>82</v>
      </c>
      <c r="TZ48">
        <v>119</v>
      </c>
      <c r="UA48">
        <v>332</v>
      </c>
      <c r="UB48">
        <v>109</v>
      </c>
      <c r="UC48">
        <v>82</v>
      </c>
      <c r="UD48">
        <v>186</v>
      </c>
      <c r="UE48">
        <v>105</v>
      </c>
      <c r="UF48">
        <v>434</v>
      </c>
      <c r="UG48">
        <v>1577</v>
      </c>
      <c r="UH48">
        <v>105</v>
      </c>
      <c r="UI48">
        <v>105</v>
      </c>
      <c r="UJ48">
        <v>267</v>
      </c>
      <c r="UK48">
        <v>269</v>
      </c>
      <c r="UL48">
        <v>269</v>
      </c>
      <c r="UM48">
        <v>593</v>
      </c>
      <c r="UN48">
        <v>178</v>
      </c>
      <c r="UO48">
        <v>136</v>
      </c>
      <c r="UP48">
        <v>467</v>
      </c>
      <c r="UQ48">
        <v>63</v>
      </c>
      <c r="UR48">
        <v>195</v>
      </c>
      <c r="US48">
        <v>178</v>
      </c>
      <c r="UT48">
        <v>125</v>
      </c>
      <c r="UU48">
        <v>125</v>
      </c>
      <c r="UV48">
        <v>99</v>
      </c>
      <c r="UW48">
        <v>95</v>
      </c>
      <c r="UX48">
        <v>99</v>
      </c>
      <c r="UY48">
        <v>178</v>
      </c>
      <c r="UZ48">
        <v>178</v>
      </c>
      <c r="VA48">
        <v>105</v>
      </c>
      <c r="VB48">
        <v>99</v>
      </c>
      <c r="VC48">
        <v>99</v>
      </c>
      <c r="VD48">
        <v>105</v>
      </c>
      <c r="VE48">
        <v>105</v>
      </c>
      <c r="VF48">
        <v>105</v>
      </c>
      <c r="VG48">
        <v>710</v>
      </c>
      <c r="VH48">
        <v>710</v>
      </c>
      <c r="VI48">
        <v>79</v>
      </c>
      <c r="VJ48">
        <v>79</v>
      </c>
      <c r="VK48">
        <v>105</v>
      </c>
      <c r="VL48">
        <v>178</v>
      </c>
      <c r="VM48">
        <v>186</v>
      </c>
      <c r="VN48">
        <v>178</v>
      </c>
      <c r="VO48">
        <v>685</v>
      </c>
    </row>
    <row r="49" spans="1:587" x14ac:dyDescent="0.3">
      <c r="A49" t="s">
        <v>3044</v>
      </c>
      <c r="B49" cm="1">
        <f t="array" ref="B49:VO49">1*TRANSPOSE(_xlfn._xlws.FILTER(branch!$I$2:$I$591,branch!$D$2:$D$591&lt;&gt;0))</f>
        <v>99</v>
      </c>
      <c r="C49">
        <v>99</v>
      </c>
      <c r="D49">
        <v>178</v>
      </c>
      <c r="E49">
        <v>145</v>
      </c>
      <c r="F49">
        <v>536</v>
      </c>
      <c r="G49">
        <v>393</v>
      </c>
      <c r="H49">
        <v>393</v>
      </c>
      <c r="I49">
        <v>593</v>
      </c>
      <c r="J49">
        <v>434</v>
      </c>
      <c r="K49">
        <v>99</v>
      </c>
      <c r="L49">
        <v>140</v>
      </c>
      <c r="M49">
        <v>103</v>
      </c>
      <c r="N49">
        <v>109</v>
      </c>
      <c r="O49">
        <v>105</v>
      </c>
      <c r="P49">
        <v>99</v>
      </c>
      <c r="Q49">
        <v>187</v>
      </c>
      <c r="R49">
        <v>187</v>
      </c>
      <c r="S49">
        <v>187</v>
      </c>
      <c r="T49">
        <v>104</v>
      </c>
      <c r="U49">
        <v>112</v>
      </c>
      <c r="V49">
        <v>105</v>
      </c>
      <c r="W49">
        <v>82</v>
      </c>
      <c r="X49">
        <v>82</v>
      </c>
      <c r="Y49">
        <v>105</v>
      </c>
      <c r="Z49">
        <v>105</v>
      </c>
      <c r="AA49">
        <v>99</v>
      </c>
      <c r="AB49">
        <v>178</v>
      </c>
      <c r="AC49">
        <v>434</v>
      </c>
      <c r="AD49">
        <v>434</v>
      </c>
      <c r="AE49">
        <v>34</v>
      </c>
      <c r="AF49">
        <v>120</v>
      </c>
      <c r="AG49">
        <v>120</v>
      </c>
      <c r="AH49">
        <v>104</v>
      </c>
      <c r="AI49">
        <v>178</v>
      </c>
      <c r="AJ49">
        <v>178</v>
      </c>
      <c r="AK49">
        <v>178</v>
      </c>
      <c r="AL49">
        <v>178</v>
      </c>
      <c r="AM49">
        <v>120</v>
      </c>
      <c r="AN49">
        <v>178</v>
      </c>
      <c r="AO49">
        <v>99</v>
      </c>
      <c r="AP49">
        <v>178</v>
      </c>
      <c r="AQ49">
        <v>140</v>
      </c>
      <c r="AR49">
        <v>140</v>
      </c>
      <c r="AS49">
        <v>99</v>
      </c>
      <c r="AT49">
        <v>105</v>
      </c>
      <c r="AU49">
        <v>99</v>
      </c>
      <c r="AV49">
        <v>96</v>
      </c>
      <c r="AW49">
        <v>96</v>
      </c>
      <c r="AX49">
        <v>178</v>
      </c>
      <c r="AY49">
        <v>178</v>
      </c>
      <c r="AZ49">
        <v>120</v>
      </c>
      <c r="BA49">
        <v>120</v>
      </c>
      <c r="BB49">
        <v>178</v>
      </c>
      <c r="BC49">
        <v>178</v>
      </c>
      <c r="BD49">
        <v>178</v>
      </c>
      <c r="BE49">
        <v>105</v>
      </c>
      <c r="BF49">
        <v>99</v>
      </c>
      <c r="BG49">
        <v>99</v>
      </c>
      <c r="BH49">
        <v>99</v>
      </c>
      <c r="BI49">
        <v>82</v>
      </c>
      <c r="BJ49">
        <v>82</v>
      </c>
      <c r="BK49">
        <v>136</v>
      </c>
      <c r="BL49">
        <v>140</v>
      </c>
      <c r="BM49">
        <v>130</v>
      </c>
      <c r="BN49">
        <v>99</v>
      </c>
      <c r="BO49">
        <v>122</v>
      </c>
      <c r="BP49">
        <v>196</v>
      </c>
      <c r="BQ49">
        <v>178</v>
      </c>
      <c r="BR49">
        <v>136</v>
      </c>
      <c r="BS49">
        <v>178</v>
      </c>
      <c r="BT49">
        <v>124</v>
      </c>
      <c r="BU49">
        <v>178</v>
      </c>
      <c r="BV49">
        <v>178</v>
      </c>
      <c r="BW49">
        <v>178</v>
      </c>
      <c r="BX49">
        <v>99</v>
      </c>
      <c r="BY49">
        <v>136</v>
      </c>
      <c r="BZ49">
        <v>195</v>
      </c>
      <c r="CA49">
        <v>178</v>
      </c>
      <c r="CB49">
        <v>178</v>
      </c>
      <c r="CC49">
        <v>192</v>
      </c>
      <c r="CD49">
        <v>187</v>
      </c>
      <c r="CE49">
        <v>120</v>
      </c>
      <c r="CF49">
        <v>187</v>
      </c>
      <c r="CG49">
        <v>187</v>
      </c>
      <c r="CH49">
        <v>187</v>
      </c>
      <c r="CI49">
        <v>119</v>
      </c>
      <c r="CJ49">
        <v>119</v>
      </c>
      <c r="CK49">
        <v>570</v>
      </c>
      <c r="CL49">
        <v>570</v>
      </c>
      <c r="CM49">
        <v>140</v>
      </c>
      <c r="CN49">
        <v>140</v>
      </c>
      <c r="CO49">
        <v>842</v>
      </c>
      <c r="CP49">
        <v>105</v>
      </c>
      <c r="CQ49">
        <v>109</v>
      </c>
      <c r="CR49">
        <v>109</v>
      </c>
      <c r="CS49">
        <v>82</v>
      </c>
      <c r="CT49">
        <v>82</v>
      </c>
      <c r="CU49">
        <v>75</v>
      </c>
      <c r="CV49">
        <v>75</v>
      </c>
      <c r="CW49">
        <v>178</v>
      </c>
      <c r="CX49">
        <v>178</v>
      </c>
      <c r="CY49">
        <v>178</v>
      </c>
      <c r="CZ49">
        <v>178</v>
      </c>
      <c r="DA49">
        <v>82</v>
      </c>
      <c r="DB49">
        <v>82</v>
      </c>
      <c r="DC49">
        <v>710</v>
      </c>
      <c r="DD49">
        <v>69</v>
      </c>
      <c r="DE49">
        <v>70</v>
      </c>
      <c r="DF49">
        <v>710</v>
      </c>
      <c r="DG49">
        <v>710</v>
      </c>
      <c r="DH49">
        <v>710</v>
      </c>
      <c r="DI49">
        <v>144</v>
      </c>
      <c r="DJ49">
        <v>63</v>
      </c>
      <c r="DK49">
        <v>99</v>
      </c>
      <c r="DL49">
        <v>570</v>
      </c>
      <c r="DM49">
        <v>570</v>
      </c>
      <c r="DN49">
        <v>178</v>
      </c>
      <c r="DO49">
        <v>200</v>
      </c>
      <c r="DP49">
        <v>109</v>
      </c>
      <c r="DQ49">
        <v>109</v>
      </c>
      <c r="DR49">
        <v>79</v>
      </c>
      <c r="DS49">
        <v>79</v>
      </c>
      <c r="DT49">
        <v>434</v>
      </c>
      <c r="DU49">
        <v>740</v>
      </c>
      <c r="DV49">
        <v>228</v>
      </c>
      <c r="DW49">
        <v>115</v>
      </c>
      <c r="DX49">
        <v>195</v>
      </c>
      <c r="DY49">
        <v>124</v>
      </c>
      <c r="DZ49">
        <v>80</v>
      </c>
      <c r="EA49">
        <v>120</v>
      </c>
      <c r="EB49">
        <v>105</v>
      </c>
      <c r="EC49">
        <v>178</v>
      </c>
      <c r="ED49">
        <v>178</v>
      </c>
      <c r="EE49">
        <v>178</v>
      </c>
      <c r="EF49">
        <v>69</v>
      </c>
      <c r="EG49">
        <v>70</v>
      </c>
      <c r="EH49">
        <v>69</v>
      </c>
      <c r="EI49">
        <v>69</v>
      </c>
      <c r="EJ49">
        <v>132</v>
      </c>
      <c r="EK49">
        <v>132</v>
      </c>
      <c r="EL49">
        <v>710</v>
      </c>
      <c r="EM49">
        <v>710</v>
      </c>
      <c r="EN49">
        <v>66</v>
      </c>
      <c r="EO49">
        <v>66</v>
      </c>
      <c r="EP49">
        <v>710</v>
      </c>
      <c r="EQ49">
        <v>109</v>
      </c>
      <c r="ER49">
        <v>109</v>
      </c>
      <c r="ES49">
        <v>82</v>
      </c>
      <c r="ET49">
        <v>82</v>
      </c>
      <c r="EU49">
        <v>144</v>
      </c>
      <c r="EV49">
        <v>144</v>
      </c>
      <c r="EW49">
        <v>710</v>
      </c>
      <c r="EX49">
        <v>178</v>
      </c>
      <c r="EY49">
        <v>124</v>
      </c>
      <c r="EZ49">
        <v>99</v>
      </c>
      <c r="FA49">
        <v>99</v>
      </c>
      <c r="FB49">
        <v>99</v>
      </c>
      <c r="FC49">
        <v>761</v>
      </c>
      <c r="FD49">
        <v>187</v>
      </c>
      <c r="FE49">
        <v>761</v>
      </c>
      <c r="FF49">
        <v>761</v>
      </c>
      <c r="FG49">
        <v>761</v>
      </c>
      <c r="FH49">
        <v>178</v>
      </c>
      <c r="FI49">
        <v>178</v>
      </c>
      <c r="FJ49">
        <v>115</v>
      </c>
      <c r="FK49">
        <v>434</v>
      </c>
      <c r="FL49">
        <v>434</v>
      </c>
      <c r="FM49">
        <v>555</v>
      </c>
      <c r="FN49">
        <v>123</v>
      </c>
      <c r="FO49">
        <v>178</v>
      </c>
      <c r="FP49">
        <v>130</v>
      </c>
      <c r="FQ49">
        <v>178</v>
      </c>
      <c r="FR49">
        <v>103</v>
      </c>
      <c r="FS49">
        <v>238</v>
      </c>
      <c r="FT49">
        <v>434</v>
      </c>
      <c r="FU49">
        <v>178</v>
      </c>
      <c r="FV49">
        <v>132</v>
      </c>
      <c r="FW49">
        <v>178</v>
      </c>
      <c r="FX49">
        <v>144</v>
      </c>
      <c r="FY49">
        <v>144</v>
      </c>
      <c r="FZ49">
        <v>140</v>
      </c>
      <c r="GA49">
        <v>140</v>
      </c>
      <c r="GB49">
        <v>136</v>
      </c>
      <c r="GC49">
        <v>178</v>
      </c>
      <c r="GD49">
        <v>178</v>
      </c>
      <c r="GE49">
        <v>178</v>
      </c>
      <c r="GF49">
        <v>196</v>
      </c>
      <c r="GG49">
        <v>178</v>
      </c>
      <c r="GH49">
        <v>178</v>
      </c>
      <c r="GI49">
        <v>178</v>
      </c>
      <c r="GJ49">
        <v>130</v>
      </c>
      <c r="GK49">
        <v>99</v>
      </c>
      <c r="GL49">
        <v>136</v>
      </c>
      <c r="GM49">
        <v>178</v>
      </c>
      <c r="GN49">
        <v>105</v>
      </c>
      <c r="GO49">
        <v>187</v>
      </c>
      <c r="GP49">
        <v>187</v>
      </c>
      <c r="GQ49">
        <v>187</v>
      </c>
      <c r="GR49">
        <v>105</v>
      </c>
      <c r="GS49">
        <v>130</v>
      </c>
      <c r="GT49">
        <v>434</v>
      </c>
      <c r="GU49">
        <v>105</v>
      </c>
      <c r="GV49">
        <v>105</v>
      </c>
      <c r="GW49">
        <v>593</v>
      </c>
      <c r="GX49">
        <v>119</v>
      </c>
      <c r="GY49">
        <v>178</v>
      </c>
      <c r="GZ49">
        <v>120</v>
      </c>
      <c r="HA49">
        <v>178</v>
      </c>
      <c r="HB49">
        <v>178</v>
      </c>
      <c r="HC49">
        <v>178</v>
      </c>
      <c r="HD49">
        <v>646</v>
      </c>
      <c r="HE49">
        <v>161</v>
      </c>
      <c r="HF49">
        <v>161</v>
      </c>
      <c r="HG49">
        <v>434</v>
      </c>
      <c r="HH49">
        <v>434</v>
      </c>
      <c r="HI49">
        <v>187</v>
      </c>
      <c r="HJ49">
        <v>124</v>
      </c>
      <c r="HK49">
        <v>99</v>
      </c>
      <c r="HL49">
        <v>105</v>
      </c>
      <c r="HM49">
        <v>63</v>
      </c>
      <c r="HN49">
        <v>178</v>
      </c>
      <c r="HO49">
        <v>187</v>
      </c>
      <c r="HP49">
        <v>136</v>
      </c>
      <c r="HQ49">
        <v>187</v>
      </c>
      <c r="HR49">
        <v>187</v>
      </c>
      <c r="HS49">
        <v>99</v>
      </c>
      <c r="HT49">
        <v>99</v>
      </c>
      <c r="HU49">
        <v>105</v>
      </c>
      <c r="HV49">
        <v>178</v>
      </c>
      <c r="HW49">
        <v>178</v>
      </c>
      <c r="HX49">
        <v>1577</v>
      </c>
      <c r="HY49">
        <v>1577</v>
      </c>
      <c r="HZ49">
        <v>143</v>
      </c>
      <c r="IA49">
        <v>104</v>
      </c>
      <c r="IB49">
        <v>82</v>
      </c>
      <c r="IC49">
        <v>82</v>
      </c>
      <c r="ID49">
        <v>82</v>
      </c>
      <c r="IE49">
        <v>82</v>
      </c>
      <c r="IF49">
        <v>186</v>
      </c>
      <c r="IG49">
        <v>124</v>
      </c>
      <c r="IH49">
        <v>136</v>
      </c>
      <c r="II49">
        <v>99</v>
      </c>
      <c r="IJ49">
        <v>178</v>
      </c>
      <c r="IK49">
        <v>178</v>
      </c>
      <c r="IL49">
        <v>99</v>
      </c>
      <c r="IM49">
        <v>99</v>
      </c>
      <c r="IN49">
        <v>105</v>
      </c>
      <c r="IO49">
        <v>105</v>
      </c>
      <c r="IP49">
        <v>99</v>
      </c>
      <c r="IQ49">
        <v>99</v>
      </c>
      <c r="IR49">
        <v>100</v>
      </c>
      <c r="IS49">
        <v>100</v>
      </c>
      <c r="IT49">
        <v>200</v>
      </c>
      <c r="IU49">
        <v>143</v>
      </c>
      <c r="IV49">
        <v>82</v>
      </c>
      <c r="IW49">
        <v>82</v>
      </c>
      <c r="IX49">
        <v>82</v>
      </c>
      <c r="IY49">
        <v>412</v>
      </c>
      <c r="IZ49">
        <v>412</v>
      </c>
      <c r="JA49">
        <v>82</v>
      </c>
      <c r="JB49">
        <v>82</v>
      </c>
      <c r="JC49">
        <v>109</v>
      </c>
      <c r="JD49">
        <v>178</v>
      </c>
      <c r="JE49">
        <v>99</v>
      </c>
      <c r="JF49">
        <v>82</v>
      </c>
      <c r="JG49">
        <v>109</v>
      </c>
      <c r="JH49">
        <v>140</v>
      </c>
      <c r="JI49">
        <v>140</v>
      </c>
      <c r="JJ49">
        <v>196</v>
      </c>
      <c r="JK49">
        <v>178</v>
      </c>
      <c r="JL49">
        <v>178</v>
      </c>
      <c r="JM49">
        <v>99</v>
      </c>
      <c r="JN49">
        <v>178</v>
      </c>
      <c r="JO49">
        <v>350</v>
      </c>
      <c r="JP49">
        <v>99</v>
      </c>
      <c r="JQ49">
        <v>99</v>
      </c>
      <c r="JR49">
        <v>99</v>
      </c>
      <c r="JS49">
        <v>392</v>
      </c>
      <c r="JT49">
        <v>97</v>
      </c>
      <c r="JU49">
        <v>99</v>
      </c>
      <c r="JV49">
        <v>761</v>
      </c>
      <c r="JW49">
        <v>178</v>
      </c>
      <c r="JX49">
        <v>124</v>
      </c>
      <c r="JY49">
        <v>103</v>
      </c>
      <c r="JZ49">
        <v>178</v>
      </c>
      <c r="KA49">
        <v>746</v>
      </c>
      <c r="KB49">
        <v>646</v>
      </c>
      <c r="KC49">
        <v>178</v>
      </c>
      <c r="KD49">
        <v>178</v>
      </c>
      <c r="KE49">
        <v>178</v>
      </c>
      <c r="KF49">
        <v>178</v>
      </c>
      <c r="KG49">
        <v>190</v>
      </c>
      <c r="KH49">
        <v>105</v>
      </c>
      <c r="KI49">
        <v>136</v>
      </c>
      <c r="KJ49">
        <v>134</v>
      </c>
      <c r="KK49">
        <v>136</v>
      </c>
      <c r="KL49">
        <v>136</v>
      </c>
      <c r="KM49">
        <v>99</v>
      </c>
      <c r="KN49">
        <v>105</v>
      </c>
      <c r="KO49">
        <v>99</v>
      </c>
      <c r="KP49">
        <v>105</v>
      </c>
      <c r="KQ49">
        <v>99</v>
      </c>
      <c r="KR49">
        <v>99</v>
      </c>
      <c r="KS49">
        <v>99</v>
      </c>
      <c r="KT49">
        <v>74</v>
      </c>
      <c r="KU49">
        <v>74</v>
      </c>
      <c r="KV49">
        <v>99</v>
      </c>
      <c r="KW49">
        <v>178</v>
      </c>
      <c r="KX49">
        <v>178</v>
      </c>
      <c r="KY49">
        <v>99</v>
      </c>
      <c r="KZ49">
        <v>104</v>
      </c>
      <c r="LA49">
        <v>178</v>
      </c>
      <c r="LB49">
        <v>178</v>
      </c>
      <c r="LC49">
        <v>211</v>
      </c>
      <c r="LD49">
        <v>196</v>
      </c>
      <c r="LE49">
        <v>69</v>
      </c>
      <c r="LF49">
        <v>69</v>
      </c>
      <c r="LG49">
        <v>144</v>
      </c>
      <c r="LH49">
        <v>144</v>
      </c>
      <c r="LI49">
        <v>103</v>
      </c>
      <c r="LJ49">
        <v>99</v>
      </c>
      <c r="LK49">
        <v>99</v>
      </c>
      <c r="LL49">
        <v>82</v>
      </c>
      <c r="LM49">
        <v>82</v>
      </c>
      <c r="LN49">
        <v>82</v>
      </c>
      <c r="LO49">
        <v>82</v>
      </c>
      <c r="LP49">
        <v>82</v>
      </c>
      <c r="LQ49">
        <v>99</v>
      </c>
      <c r="LR49">
        <v>79</v>
      </c>
      <c r="LS49">
        <v>79</v>
      </c>
      <c r="LT49">
        <v>108</v>
      </c>
      <c r="LU49">
        <v>109</v>
      </c>
      <c r="LV49">
        <v>109</v>
      </c>
      <c r="LW49">
        <v>99</v>
      </c>
      <c r="LX49">
        <v>99</v>
      </c>
      <c r="LY49">
        <v>99</v>
      </c>
      <c r="LZ49">
        <v>178</v>
      </c>
      <c r="MA49">
        <v>393</v>
      </c>
      <c r="MB49">
        <v>350</v>
      </c>
      <c r="MC49">
        <v>350</v>
      </c>
      <c r="MD49">
        <v>434</v>
      </c>
      <c r="ME49">
        <v>1283</v>
      </c>
      <c r="MF49">
        <v>351</v>
      </c>
      <c r="MG49">
        <v>140</v>
      </c>
      <c r="MH49">
        <v>140</v>
      </c>
      <c r="MI49">
        <v>140</v>
      </c>
      <c r="MJ49">
        <v>186</v>
      </c>
      <c r="MK49">
        <v>157</v>
      </c>
      <c r="ML49">
        <v>144</v>
      </c>
      <c r="MM49">
        <v>186</v>
      </c>
      <c r="MN49">
        <v>195</v>
      </c>
      <c r="MO49">
        <v>105</v>
      </c>
      <c r="MP49">
        <v>119</v>
      </c>
      <c r="MQ49">
        <v>593</v>
      </c>
      <c r="MR49">
        <v>119</v>
      </c>
      <c r="MS49">
        <v>332</v>
      </c>
      <c r="MT49">
        <v>120</v>
      </c>
      <c r="MU49">
        <v>80</v>
      </c>
      <c r="MV49">
        <v>536</v>
      </c>
      <c r="MW49">
        <v>105</v>
      </c>
      <c r="MX49">
        <v>144</v>
      </c>
      <c r="MY49">
        <v>144</v>
      </c>
      <c r="MZ49">
        <v>105</v>
      </c>
      <c r="NA49">
        <v>384</v>
      </c>
      <c r="NB49">
        <v>99</v>
      </c>
      <c r="NC49">
        <v>99</v>
      </c>
      <c r="ND49">
        <v>434</v>
      </c>
      <c r="NE49">
        <v>98</v>
      </c>
      <c r="NF49">
        <v>107</v>
      </c>
      <c r="NG49">
        <v>140</v>
      </c>
      <c r="NH49">
        <v>107</v>
      </c>
      <c r="NI49">
        <v>140</v>
      </c>
      <c r="NJ49">
        <v>99</v>
      </c>
      <c r="NK49">
        <v>99</v>
      </c>
      <c r="NL49">
        <v>178</v>
      </c>
      <c r="NM49">
        <v>103</v>
      </c>
      <c r="NN49">
        <v>103</v>
      </c>
      <c r="NO49">
        <v>103</v>
      </c>
      <c r="NP49">
        <v>120</v>
      </c>
      <c r="NQ49">
        <v>120</v>
      </c>
      <c r="NR49">
        <v>570</v>
      </c>
      <c r="NS49">
        <v>99</v>
      </c>
      <c r="NT49">
        <v>393</v>
      </c>
      <c r="NU49">
        <v>434</v>
      </c>
      <c r="NV49">
        <v>593</v>
      </c>
      <c r="NW49">
        <v>178</v>
      </c>
      <c r="NX49">
        <v>178</v>
      </c>
      <c r="NY49">
        <v>178</v>
      </c>
      <c r="NZ49">
        <v>178</v>
      </c>
      <c r="OA49">
        <v>136</v>
      </c>
      <c r="OB49">
        <v>122</v>
      </c>
      <c r="OC49">
        <v>82</v>
      </c>
      <c r="OD49">
        <v>82</v>
      </c>
      <c r="OE49">
        <v>105</v>
      </c>
      <c r="OF49">
        <v>434</v>
      </c>
      <c r="OG49">
        <v>350</v>
      </c>
      <c r="OH49">
        <v>99</v>
      </c>
      <c r="OI49">
        <v>99</v>
      </c>
      <c r="OJ49">
        <v>99</v>
      </c>
      <c r="OK49">
        <v>99</v>
      </c>
      <c r="OL49">
        <v>99</v>
      </c>
      <c r="OM49">
        <v>99</v>
      </c>
      <c r="ON49">
        <v>200</v>
      </c>
      <c r="OO49">
        <v>200</v>
      </c>
      <c r="OP49">
        <v>119</v>
      </c>
      <c r="OQ49">
        <v>105</v>
      </c>
      <c r="OR49">
        <v>105</v>
      </c>
      <c r="OS49">
        <v>195</v>
      </c>
      <c r="OT49">
        <v>710</v>
      </c>
      <c r="OU49">
        <v>82</v>
      </c>
      <c r="OV49">
        <v>80</v>
      </c>
      <c r="OW49">
        <v>107</v>
      </c>
      <c r="OX49">
        <v>140</v>
      </c>
      <c r="OY49">
        <v>136</v>
      </c>
      <c r="OZ49">
        <v>136</v>
      </c>
      <c r="PA49">
        <v>104</v>
      </c>
      <c r="PB49">
        <v>196</v>
      </c>
      <c r="PC49">
        <v>80</v>
      </c>
      <c r="PD49">
        <v>562</v>
      </c>
      <c r="PE49">
        <v>120</v>
      </c>
      <c r="PF49">
        <v>267</v>
      </c>
      <c r="PG49">
        <v>351</v>
      </c>
      <c r="PH49">
        <v>593</v>
      </c>
      <c r="PI49">
        <v>178</v>
      </c>
      <c r="PJ49">
        <v>99</v>
      </c>
      <c r="PK49">
        <v>134</v>
      </c>
      <c r="PL49">
        <v>103</v>
      </c>
      <c r="PM49">
        <v>103</v>
      </c>
      <c r="PN49">
        <v>710</v>
      </c>
      <c r="PO49">
        <v>710</v>
      </c>
      <c r="PP49">
        <v>710</v>
      </c>
      <c r="PQ49">
        <v>185</v>
      </c>
      <c r="PR49">
        <v>178</v>
      </c>
      <c r="PS49">
        <v>99</v>
      </c>
      <c r="PT49">
        <v>178</v>
      </c>
      <c r="PU49">
        <v>178</v>
      </c>
      <c r="PV49">
        <v>119</v>
      </c>
      <c r="PW49">
        <v>120</v>
      </c>
      <c r="PX49">
        <v>136</v>
      </c>
      <c r="PY49">
        <v>434</v>
      </c>
      <c r="PZ49">
        <v>512</v>
      </c>
      <c r="QA49">
        <v>99</v>
      </c>
      <c r="QB49">
        <v>80</v>
      </c>
      <c r="QC49">
        <v>269</v>
      </c>
      <c r="QD49">
        <v>178</v>
      </c>
      <c r="QE49">
        <v>140</v>
      </c>
      <c r="QF49">
        <v>136</v>
      </c>
      <c r="QG49">
        <v>731</v>
      </c>
      <c r="QH49">
        <v>731</v>
      </c>
      <c r="QI49">
        <v>660</v>
      </c>
      <c r="QJ49">
        <v>660</v>
      </c>
      <c r="QK49">
        <v>136</v>
      </c>
      <c r="QL49">
        <v>99</v>
      </c>
      <c r="QM49">
        <v>99</v>
      </c>
      <c r="QN49">
        <v>350</v>
      </c>
      <c r="QO49">
        <v>350</v>
      </c>
      <c r="QP49">
        <v>99</v>
      </c>
      <c r="QQ49">
        <v>178</v>
      </c>
      <c r="QR49">
        <v>99</v>
      </c>
      <c r="QS49">
        <v>109</v>
      </c>
      <c r="QT49">
        <v>143</v>
      </c>
      <c r="QU49">
        <v>434</v>
      </c>
      <c r="QV49">
        <v>178</v>
      </c>
      <c r="QW49">
        <v>99</v>
      </c>
      <c r="QX49">
        <v>140</v>
      </c>
      <c r="QY49">
        <v>190</v>
      </c>
      <c r="QZ49">
        <v>195</v>
      </c>
      <c r="RA49">
        <v>135</v>
      </c>
      <c r="RB49">
        <v>195</v>
      </c>
      <c r="RC49">
        <v>710</v>
      </c>
      <c r="RD49">
        <v>136</v>
      </c>
      <c r="RE49">
        <v>105</v>
      </c>
      <c r="RF49">
        <v>124</v>
      </c>
      <c r="RG49">
        <v>99</v>
      </c>
      <c r="RH49">
        <v>353</v>
      </c>
      <c r="RI49">
        <v>178</v>
      </c>
      <c r="RJ49">
        <v>99</v>
      </c>
      <c r="RK49">
        <v>136</v>
      </c>
      <c r="RL49">
        <v>99</v>
      </c>
      <c r="RM49">
        <v>187</v>
      </c>
      <c r="RN49">
        <v>99</v>
      </c>
      <c r="RO49">
        <v>761</v>
      </c>
      <c r="RP49">
        <v>761</v>
      </c>
      <c r="RQ49">
        <v>99</v>
      </c>
      <c r="RR49">
        <v>99</v>
      </c>
      <c r="RS49">
        <v>99</v>
      </c>
      <c r="RT49">
        <v>99</v>
      </c>
      <c r="RU49">
        <v>136</v>
      </c>
      <c r="RV49">
        <v>124</v>
      </c>
      <c r="RW49">
        <v>99</v>
      </c>
      <c r="RX49">
        <v>99</v>
      </c>
      <c r="RY49">
        <v>136</v>
      </c>
      <c r="RZ49">
        <v>105</v>
      </c>
      <c r="SA49">
        <v>136</v>
      </c>
      <c r="SB49">
        <v>100</v>
      </c>
      <c r="SC49">
        <v>99</v>
      </c>
      <c r="SD49">
        <v>178</v>
      </c>
      <c r="SE49">
        <v>99</v>
      </c>
      <c r="SF49">
        <v>99</v>
      </c>
      <c r="SG49">
        <v>99</v>
      </c>
      <c r="SH49">
        <v>99</v>
      </c>
      <c r="SI49">
        <v>82</v>
      </c>
      <c r="SJ49">
        <v>80</v>
      </c>
      <c r="SK49">
        <v>99</v>
      </c>
      <c r="SL49">
        <v>99</v>
      </c>
      <c r="SM49">
        <v>95</v>
      </c>
      <c r="SN49">
        <v>710</v>
      </c>
      <c r="SO49">
        <v>710</v>
      </c>
      <c r="SP49">
        <v>350</v>
      </c>
      <c r="SQ49">
        <v>120</v>
      </c>
      <c r="SR49">
        <v>104</v>
      </c>
      <c r="SS49">
        <v>710</v>
      </c>
      <c r="ST49">
        <v>710</v>
      </c>
      <c r="SU49">
        <v>99</v>
      </c>
      <c r="SV49">
        <v>99</v>
      </c>
      <c r="SW49">
        <v>80</v>
      </c>
      <c r="SX49">
        <v>178</v>
      </c>
      <c r="SY49">
        <v>269</v>
      </c>
      <c r="SZ49">
        <v>325</v>
      </c>
      <c r="TA49">
        <v>350</v>
      </c>
      <c r="TB49">
        <v>119</v>
      </c>
      <c r="TC49">
        <v>120</v>
      </c>
      <c r="TD49">
        <v>140</v>
      </c>
      <c r="TE49">
        <v>140</v>
      </c>
      <c r="TF49">
        <v>99</v>
      </c>
      <c r="TG49">
        <v>105</v>
      </c>
      <c r="TH49">
        <v>100</v>
      </c>
      <c r="TI49">
        <v>120</v>
      </c>
      <c r="TJ49">
        <v>139</v>
      </c>
      <c r="TK49">
        <v>135</v>
      </c>
      <c r="TL49">
        <v>190</v>
      </c>
      <c r="TM49">
        <v>99</v>
      </c>
      <c r="TN49">
        <v>99</v>
      </c>
      <c r="TO49">
        <v>1283</v>
      </c>
      <c r="TP49">
        <v>537</v>
      </c>
      <c r="TQ49">
        <v>178</v>
      </c>
      <c r="TR49">
        <v>178</v>
      </c>
      <c r="TS49">
        <v>178</v>
      </c>
      <c r="TT49">
        <v>105</v>
      </c>
      <c r="TU49">
        <v>105</v>
      </c>
      <c r="TV49">
        <v>136</v>
      </c>
      <c r="TW49">
        <v>105</v>
      </c>
      <c r="TX49">
        <v>82</v>
      </c>
      <c r="TY49">
        <v>82</v>
      </c>
      <c r="TZ49">
        <v>119</v>
      </c>
      <c r="UA49">
        <v>332</v>
      </c>
      <c r="UB49">
        <v>109</v>
      </c>
      <c r="UC49">
        <v>82</v>
      </c>
      <c r="UD49">
        <v>186</v>
      </c>
      <c r="UE49">
        <v>105</v>
      </c>
      <c r="UF49">
        <v>434</v>
      </c>
      <c r="UG49">
        <v>1577</v>
      </c>
      <c r="UH49">
        <v>105</v>
      </c>
      <c r="UI49">
        <v>105</v>
      </c>
      <c r="UJ49">
        <v>267</v>
      </c>
      <c r="UK49">
        <v>269</v>
      </c>
      <c r="UL49">
        <v>269</v>
      </c>
      <c r="UM49">
        <v>593</v>
      </c>
      <c r="UN49">
        <v>178</v>
      </c>
      <c r="UO49">
        <v>136</v>
      </c>
      <c r="UP49">
        <v>467</v>
      </c>
      <c r="UQ49">
        <v>63</v>
      </c>
      <c r="UR49">
        <v>195</v>
      </c>
      <c r="US49">
        <v>178</v>
      </c>
      <c r="UT49">
        <v>125</v>
      </c>
      <c r="UU49">
        <v>125</v>
      </c>
      <c r="UV49">
        <v>99</v>
      </c>
      <c r="UW49">
        <v>95</v>
      </c>
      <c r="UX49">
        <v>99</v>
      </c>
      <c r="UY49">
        <v>178</v>
      </c>
      <c r="UZ49">
        <v>178</v>
      </c>
      <c r="VA49">
        <v>105</v>
      </c>
      <c r="VB49">
        <v>99</v>
      </c>
      <c r="VC49">
        <v>99</v>
      </c>
      <c r="VD49">
        <v>105</v>
      </c>
      <c r="VE49">
        <v>105</v>
      </c>
      <c r="VF49">
        <v>105</v>
      </c>
      <c r="VG49">
        <v>710</v>
      </c>
      <c r="VH49">
        <v>710</v>
      </c>
      <c r="VI49">
        <v>79</v>
      </c>
      <c r="VJ49">
        <v>79</v>
      </c>
      <c r="VK49">
        <v>105</v>
      </c>
      <c r="VL49">
        <v>178</v>
      </c>
      <c r="VM49">
        <v>186</v>
      </c>
      <c r="VN49">
        <v>178</v>
      </c>
      <c r="VO49">
        <v>685</v>
      </c>
    </row>
  </sheetData>
  <pageMargins left="0.7" right="0.7" top="0.75" bottom="0.75" header="0.51180555555555496" footer="0.51180555555555496"/>
  <pageSetup paperSize="9" firstPageNumber="0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J185"/>
  <sheetViews>
    <sheetView zoomScale="85" zoomScaleNormal="85" workbookViewId="0">
      <selection activeCell="J2" sqref="J2"/>
    </sheetView>
  </sheetViews>
  <sheetFormatPr defaultColWidth="8.77734375" defaultRowHeight="14.4" x14ac:dyDescent="0.3"/>
  <cols>
    <col min="1" max="1" width="17.44140625" bestFit="1" customWidth="1"/>
    <col min="2" max="2" width="14.44140625" customWidth="1"/>
    <col min="3" max="3" width="13.6640625" bestFit="1" customWidth="1"/>
    <col min="4" max="4" width="11.5546875" customWidth="1"/>
    <col min="5" max="5" width="6.5546875" bestFit="1" customWidth="1"/>
    <col min="6" max="6" width="10" customWidth="1"/>
    <col min="7" max="7" width="15.33203125" bestFit="1" customWidth="1"/>
    <col min="8" max="8" width="15.109375" bestFit="1" customWidth="1"/>
    <col min="9" max="9" width="15.77734375" bestFit="1" customWidth="1"/>
    <col min="10" max="10" width="15.21875" bestFit="1" customWidth="1"/>
    <col min="11" max="1015" width="8.44140625" customWidth="1"/>
  </cols>
  <sheetData>
    <row r="1" spans="1:10" x14ac:dyDescent="0.3">
      <c r="A1" s="5" t="s">
        <v>0</v>
      </c>
      <c r="B1" s="5" t="s">
        <v>8</v>
      </c>
      <c r="C1" s="5" t="s">
        <v>9</v>
      </c>
      <c r="D1" s="5" t="s">
        <v>2</v>
      </c>
      <c r="E1" s="5" t="s">
        <v>6</v>
      </c>
      <c r="F1" s="5" t="s">
        <v>10</v>
      </c>
      <c r="G1" s="5" t="s">
        <v>11</v>
      </c>
      <c r="H1" s="5" t="s">
        <v>12</v>
      </c>
      <c r="I1" s="1" t="s">
        <v>13</v>
      </c>
      <c r="J1" s="5" t="s">
        <v>14</v>
      </c>
    </row>
    <row r="2" spans="1:10" x14ac:dyDescent="0.3">
      <c r="A2" s="6" t="s">
        <v>1621</v>
      </c>
      <c r="B2" s="6" t="s">
        <v>41</v>
      </c>
      <c r="C2" s="6" t="s">
        <v>39</v>
      </c>
      <c r="D2" s="6">
        <v>1</v>
      </c>
      <c r="E2" s="6">
        <v>2</v>
      </c>
      <c r="F2" s="6" t="s">
        <v>827</v>
      </c>
      <c r="G2" s="6" t="s">
        <v>1331</v>
      </c>
      <c r="H2" s="11">
        <v>0</v>
      </c>
      <c r="I2" s="10">
        <f>J2*1.25</f>
        <v>156.25</v>
      </c>
      <c r="J2" s="6" t="s">
        <v>1596</v>
      </c>
    </row>
    <row r="3" spans="1:10" x14ac:dyDescent="0.3">
      <c r="A3" s="6" t="s">
        <v>1622</v>
      </c>
      <c r="B3" s="6" t="s">
        <v>71</v>
      </c>
      <c r="C3" s="6" t="s">
        <v>69</v>
      </c>
      <c r="D3" s="6">
        <v>1</v>
      </c>
      <c r="E3" s="6">
        <v>2</v>
      </c>
      <c r="F3" s="6" t="s">
        <v>818</v>
      </c>
      <c r="G3" s="6" t="s">
        <v>1623</v>
      </c>
      <c r="H3" s="11">
        <v>0</v>
      </c>
      <c r="I3" s="10">
        <f t="shared" ref="I3:I66" si="0">J3*1.25</f>
        <v>78.75</v>
      </c>
      <c r="J3" s="6" t="s">
        <v>1036</v>
      </c>
    </row>
    <row r="4" spans="1:10" x14ac:dyDescent="0.3">
      <c r="A4" s="6" t="s">
        <v>1624</v>
      </c>
      <c r="B4" s="6" t="s">
        <v>71</v>
      </c>
      <c r="C4" s="6" t="s">
        <v>69</v>
      </c>
      <c r="D4" s="6">
        <v>1</v>
      </c>
      <c r="E4" s="6">
        <v>2</v>
      </c>
      <c r="F4" s="6" t="s">
        <v>1625</v>
      </c>
      <c r="G4" s="6" t="s">
        <v>1626</v>
      </c>
      <c r="H4" s="11">
        <v>0</v>
      </c>
      <c r="I4" s="10">
        <f t="shared" si="0"/>
        <v>156.25</v>
      </c>
      <c r="J4" s="6" t="s">
        <v>1596</v>
      </c>
    </row>
    <row r="5" spans="1:10" x14ac:dyDescent="0.3">
      <c r="A5" s="6" t="s">
        <v>1627</v>
      </c>
      <c r="B5" s="6" t="s">
        <v>124</v>
      </c>
      <c r="C5" s="6" t="s">
        <v>122</v>
      </c>
      <c r="D5" s="6">
        <v>1</v>
      </c>
      <c r="E5" s="6">
        <v>2</v>
      </c>
      <c r="F5" s="6" t="s">
        <v>827</v>
      </c>
      <c r="G5" s="6" t="s">
        <v>1628</v>
      </c>
      <c r="H5" s="11">
        <v>0</v>
      </c>
      <c r="I5" s="10">
        <f t="shared" si="0"/>
        <v>312.5</v>
      </c>
      <c r="J5" s="6" t="s">
        <v>1629</v>
      </c>
    </row>
    <row r="6" spans="1:10" x14ac:dyDescent="0.3">
      <c r="A6" s="6" t="s">
        <v>1630</v>
      </c>
      <c r="B6" s="6" t="s">
        <v>170</v>
      </c>
      <c r="C6" s="6" t="s">
        <v>168</v>
      </c>
      <c r="D6" s="6">
        <v>1</v>
      </c>
      <c r="E6" s="6">
        <v>2</v>
      </c>
      <c r="F6" s="6" t="s">
        <v>827</v>
      </c>
      <c r="G6" s="6" t="s">
        <v>1094</v>
      </c>
      <c r="H6" s="11">
        <v>0</v>
      </c>
      <c r="I6" s="10">
        <f t="shared" si="0"/>
        <v>312.5</v>
      </c>
      <c r="J6" s="6" t="s">
        <v>1629</v>
      </c>
    </row>
    <row r="7" spans="1:10" x14ac:dyDescent="0.3">
      <c r="A7" s="6" t="s">
        <v>1631</v>
      </c>
      <c r="B7" s="6" t="s">
        <v>170</v>
      </c>
      <c r="C7" s="6" t="s">
        <v>168</v>
      </c>
      <c r="D7" s="6">
        <v>1</v>
      </c>
      <c r="E7" s="6">
        <v>2</v>
      </c>
      <c r="F7" s="6" t="s">
        <v>827</v>
      </c>
      <c r="G7" s="6" t="s">
        <v>1094</v>
      </c>
      <c r="H7" s="11">
        <v>0</v>
      </c>
      <c r="I7" s="10">
        <f t="shared" si="0"/>
        <v>312.5</v>
      </c>
      <c r="J7" s="6" t="s">
        <v>1629</v>
      </c>
    </row>
    <row r="8" spans="1:10" x14ac:dyDescent="0.3">
      <c r="A8" s="6" t="s">
        <v>1632</v>
      </c>
      <c r="B8" s="6" t="s">
        <v>178</v>
      </c>
      <c r="C8" s="6" t="s">
        <v>176</v>
      </c>
      <c r="D8" s="6">
        <v>1</v>
      </c>
      <c r="E8" s="6">
        <v>2</v>
      </c>
      <c r="F8" s="6" t="s">
        <v>827</v>
      </c>
      <c r="G8" s="6" t="s">
        <v>1094</v>
      </c>
      <c r="H8" s="11">
        <v>0</v>
      </c>
      <c r="I8" s="10">
        <f t="shared" si="0"/>
        <v>312.5</v>
      </c>
      <c r="J8" s="6" t="s">
        <v>1629</v>
      </c>
    </row>
    <row r="9" spans="1:10" x14ac:dyDescent="0.3">
      <c r="A9" s="6" t="s">
        <v>1633</v>
      </c>
      <c r="B9" s="6" t="s">
        <v>178</v>
      </c>
      <c r="C9" s="6" t="s">
        <v>176</v>
      </c>
      <c r="D9" s="6">
        <v>1</v>
      </c>
      <c r="E9" s="6">
        <v>2</v>
      </c>
      <c r="F9" s="6" t="s">
        <v>827</v>
      </c>
      <c r="G9" s="6" t="s">
        <v>1094</v>
      </c>
      <c r="H9" s="11">
        <v>0</v>
      </c>
      <c r="I9" s="10">
        <f t="shared" si="0"/>
        <v>312.5</v>
      </c>
      <c r="J9" s="6" t="s">
        <v>1629</v>
      </c>
    </row>
    <row r="10" spans="1:10" x14ac:dyDescent="0.3">
      <c r="A10" s="6" t="s">
        <v>1634</v>
      </c>
      <c r="B10" s="6" t="s">
        <v>203</v>
      </c>
      <c r="C10" s="6" t="s">
        <v>201</v>
      </c>
      <c r="D10" s="6">
        <v>1</v>
      </c>
      <c r="E10" s="6">
        <v>2</v>
      </c>
      <c r="F10" s="6" t="s">
        <v>827</v>
      </c>
      <c r="G10" s="6" t="s">
        <v>1628</v>
      </c>
      <c r="H10" s="11">
        <v>0</v>
      </c>
      <c r="I10" s="10">
        <f t="shared" si="0"/>
        <v>312.5</v>
      </c>
      <c r="J10" s="6" t="s">
        <v>1629</v>
      </c>
    </row>
    <row r="11" spans="1:10" x14ac:dyDescent="0.3">
      <c r="A11" s="6" t="s">
        <v>1635</v>
      </c>
      <c r="B11" s="6" t="s">
        <v>203</v>
      </c>
      <c r="C11" s="6" t="s">
        <v>201</v>
      </c>
      <c r="D11" s="6">
        <v>1</v>
      </c>
      <c r="E11" s="6">
        <v>2</v>
      </c>
      <c r="F11" s="6" t="s">
        <v>827</v>
      </c>
      <c r="G11" s="6" t="s">
        <v>1628</v>
      </c>
      <c r="H11" s="11">
        <v>0</v>
      </c>
      <c r="I11" s="10">
        <f t="shared" si="0"/>
        <v>312.5</v>
      </c>
      <c r="J11" s="6" t="s">
        <v>1629</v>
      </c>
    </row>
    <row r="12" spans="1:10" x14ac:dyDescent="0.3">
      <c r="A12" s="6" t="s">
        <v>1636</v>
      </c>
      <c r="B12" s="6" t="s">
        <v>203</v>
      </c>
      <c r="C12" s="6" t="s">
        <v>201</v>
      </c>
      <c r="D12" s="6">
        <v>1</v>
      </c>
      <c r="E12" s="6">
        <v>2</v>
      </c>
      <c r="F12" s="6" t="s">
        <v>827</v>
      </c>
      <c r="G12" s="6" t="s">
        <v>1628</v>
      </c>
      <c r="H12" s="11">
        <v>0</v>
      </c>
      <c r="I12" s="10">
        <f t="shared" si="0"/>
        <v>312.5</v>
      </c>
      <c r="J12" s="6" t="s">
        <v>1629</v>
      </c>
    </row>
    <row r="13" spans="1:10" x14ac:dyDescent="0.3">
      <c r="A13" s="6" t="s">
        <v>1637</v>
      </c>
      <c r="B13" s="6" t="s">
        <v>203</v>
      </c>
      <c r="C13" s="6" t="s">
        <v>201</v>
      </c>
      <c r="D13" s="6">
        <v>1</v>
      </c>
      <c r="E13" s="6">
        <v>2</v>
      </c>
      <c r="F13" s="6" t="s">
        <v>827</v>
      </c>
      <c r="G13" s="6" t="s">
        <v>1628</v>
      </c>
      <c r="H13" s="11">
        <v>0</v>
      </c>
      <c r="I13" s="10">
        <f t="shared" si="0"/>
        <v>312.5</v>
      </c>
      <c r="J13" s="6" t="s">
        <v>1629</v>
      </c>
    </row>
    <row r="14" spans="1:10" x14ac:dyDescent="0.3">
      <c r="A14" s="6" t="s">
        <v>1638</v>
      </c>
      <c r="B14" s="6" t="s">
        <v>215</v>
      </c>
      <c r="C14" s="6" t="s">
        <v>213</v>
      </c>
      <c r="D14" s="6">
        <v>1</v>
      </c>
      <c r="E14" s="6">
        <v>2</v>
      </c>
      <c r="F14" s="6" t="s">
        <v>1639</v>
      </c>
      <c r="G14" s="6" t="s">
        <v>1640</v>
      </c>
      <c r="H14" s="11">
        <v>0</v>
      </c>
      <c r="I14" s="10">
        <f t="shared" si="0"/>
        <v>312.5</v>
      </c>
      <c r="J14" s="6" t="s">
        <v>1629</v>
      </c>
    </row>
    <row r="15" spans="1:10" x14ac:dyDescent="0.3">
      <c r="A15" s="6" t="s">
        <v>1641</v>
      </c>
      <c r="B15" s="6" t="s">
        <v>215</v>
      </c>
      <c r="C15" s="6" t="s">
        <v>213</v>
      </c>
      <c r="D15" s="6">
        <v>1</v>
      </c>
      <c r="E15" s="6">
        <v>2</v>
      </c>
      <c r="F15" s="6" t="s">
        <v>1642</v>
      </c>
      <c r="G15" s="6" t="s">
        <v>1080</v>
      </c>
      <c r="H15" s="11">
        <v>0</v>
      </c>
      <c r="I15" s="10">
        <f t="shared" si="0"/>
        <v>312.5</v>
      </c>
      <c r="J15" s="6" t="s">
        <v>1629</v>
      </c>
    </row>
    <row r="16" spans="1:10" x14ac:dyDescent="0.3">
      <c r="A16" s="10" t="s">
        <v>1643</v>
      </c>
      <c r="B16" s="10" t="s">
        <v>238</v>
      </c>
      <c r="C16" s="10" t="s">
        <v>238</v>
      </c>
      <c r="D16" s="10">
        <v>1</v>
      </c>
      <c r="E16" s="10">
        <v>0</v>
      </c>
      <c r="F16" s="10" t="s">
        <v>826</v>
      </c>
      <c r="G16" s="10" t="s">
        <v>958</v>
      </c>
      <c r="H16" s="10">
        <v>0</v>
      </c>
      <c r="I16" s="10">
        <f t="shared" si="0"/>
        <v>437.5</v>
      </c>
      <c r="J16" s="10" t="s">
        <v>1244</v>
      </c>
    </row>
    <row r="17" spans="1:10" x14ac:dyDescent="0.3">
      <c r="A17" s="6" t="s">
        <v>1644</v>
      </c>
      <c r="B17" s="6" t="s">
        <v>238</v>
      </c>
      <c r="C17" s="6" t="s">
        <v>236</v>
      </c>
      <c r="D17" s="6">
        <v>1</v>
      </c>
      <c r="E17" s="6">
        <v>2</v>
      </c>
      <c r="F17" s="6" t="s">
        <v>827</v>
      </c>
      <c r="G17" s="6" t="s">
        <v>1628</v>
      </c>
      <c r="H17" s="11">
        <v>0</v>
      </c>
      <c r="I17" s="10">
        <f t="shared" si="0"/>
        <v>312.5</v>
      </c>
      <c r="J17" s="6" t="s">
        <v>1629</v>
      </c>
    </row>
    <row r="18" spans="1:10" x14ac:dyDescent="0.3">
      <c r="A18" s="6" t="s">
        <v>1645</v>
      </c>
      <c r="B18" s="6" t="s">
        <v>238</v>
      </c>
      <c r="C18" s="6" t="s">
        <v>236</v>
      </c>
      <c r="D18" s="6">
        <v>1</v>
      </c>
      <c r="E18" s="6">
        <v>2</v>
      </c>
      <c r="F18" s="6" t="s">
        <v>827</v>
      </c>
      <c r="G18" s="6" t="s">
        <v>1628</v>
      </c>
      <c r="H18" s="11">
        <v>0</v>
      </c>
      <c r="I18" s="10">
        <f t="shared" si="0"/>
        <v>312.5</v>
      </c>
      <c r="J18" s="6" t="s">
        <v>1629</v>
      </c>
    </row>
    <row r="19" spans="1:10" x14ac:dyDescent="0.3">
      <c r="A19" s="6" t="s">
        <v>1646</v>
      </c>
      <c r="B19" s="6" t="s">
        <v>238</v>
      </c>
      <c r="C19" s="6" t="s">
        <v>236</v>
      </c>
      <c r="D19" s="6">
        <v>1</v>
      </c>
      <c r="E19" s="6">
        <v>2</v>
      </c>
      <c r="F19" s="6" t="s">
        <v>827</v>
      </c>
      <c r="G19" s="6" t="s">
        <v>1628</v>
      </c>
      <c r="H19" s="11">
        <v>0</v>
      </c>
      <c r="I19" s="10">
        <f t="shared" si="0"/>
        <v>312.5</v>
      </c>
      <c r="J19" s="6" t="s">
        <v>1629</v>
      </c>
    </row>
    <row r="20" spans="1:10" x14ac:dyDescent="0.3">
      <c r="A20" s="6" t="s">
        <v>1647</v>
      </c>
      <c r="B20" s="6" t="s">
        <v>238</v>
      </c>
      <c r="C20" s="6" t="s">
        <v>236</v>
      </c>
      <c r="D20" s="6">
        <v>1</v>
      </c>
      <c r="E20" s="6">
        <v>2</v>
      </c>
      <c r="F20" s="6" t="s">
        <v>1040</v>
      </c>
      <c r="G20" s="6" t="s">
        <v>1648</v>
      </c>
      <c r="H20" s="11">
        <v>0</v>
      </c>
      <c r="I20" s="10">
        <f t="shared" si="0"/>
        <v>312.5</v>
      </c>
      <c r="J20" s="6" t="s">
        <v>1629</v>
      </c>
    </row>
    <row r="21" spans="1:10" x14ac:dyDescent="0.3">
      <c r="A21" s="6" t="s">
        <v>1649</v>
      </c>
      <c r="B21" s="6" t="s">
        <v>246</v>
      </c>
      <c r="C21" s="6" t="s">
        <v>244</v>
      </c>
      <c r="D21" s="6">
        <v>1</v>
      </c>
      <c r="E21" s="6">
        <v>2</v>
      </c>
      <c r="F21" s="6" t="s">
        <v>1650</v>
      </c>
      <c r="G21" s="6" t="s">
        <v>1651</v>
      </c>
      <c r="H21" s="11">
        <v>0</v>
      </c>
      <c r="I21" s="10">
        <f t="shared" si="0"/>
        <v>312.5</v>
      </c>
      <c r="J21" s="6" t="s">
        <v>1629</v>
      </c>
    </row>
    <row r="22" spans="1:10" x14ac:dyDescent="0.3">
      <c r="A22" s="6" t="s">
        <v>1652</v>
      </c>
      <c r="B22" s="6" t="s">
        <v>299</v>
      </c>
      <c r="C22" s="6" t="s">
        <v>297</v>
      </c>
      <c r="D22" s="6">
        <v>1</v>
      </c>
      <c r="E22" s="6">
        <v>2</v>
      </c>
      <c r="F22" s="6" t="s">
        <v>1040</v>
      </c>
      <c r="G22" s="6" t="s">
        <v>1648</v>
      </c>
      <c r="H22" s="11">
        <v>0</v>
      </c>
      <c r="I22" s="10">
        <f t="shared" si="0"/>
        <v>297.5</v>
      </c>
      <c r="J22" s="6" t="s">
        <v>1125</v>
      </c>
    </row>
    <row r="23" spans="1:10" x14ac:dyDescent="0.3">
      <c r="A23" s="6" t="s">
        <v>1653</v>
      </c>
      <c r="B23" s="6" t="s">
        <v>299</v>
      </c>
      <c r="C23" s="6" t="s">
        <v>297</v>
      </c>
      <c r="D23" s="6">
        <v>1</v>
      </c>
      <c r="E23" s="6">
        <v>2</v>
      </c>
      <c r="F23" s="6" t="s">
        <v>1040</v>
      </c>
      <c r="G23" s="6" t="s">
        <v>1648</v>
      </c>
      <c r="H23" s="11">
        <v>0</v>
      </c>
      <c r="I23" s="10">
        <f t="shared" si="0"/>
        <v>312.5</v>
      </c>
      <c r="J23" s="6" t="s">
        <v>1629</v>
      </c>
    </row>
    <row r="24" spans="1:10" x14ac:dyDescent="0.3">
      <c r="A24" s="6" t="s">
        <v>1654</v>
      </c>
      <c r="B24" s="6" t="s">
        <v>299</v>
      </c>
      <c r="C24" s="6" t="s">
        <v>297</v>
      </c>
      <c r="D24" s="6">
        <v>1</v>
      </c>
      <c r="E24" s="6">
        <v>2</v>
      </c>
      <c r="F24" s="6" t="s">
        <v>1625</v>
      </c>
      <c r="G24" s="6" t="s">
        <v>1655</v>
      </c>
      <c r="H24" s="11">
        <v>0</v>
      </c>
      <c r="I24" s="10">
        <f t="shared" si="0"/>
        <v>218.75</v>
      </c>
      <c r="J24" s="6" t="s">
        <v>1656</v>
      </c>
    </row>
    <row r="25" spans="1:10" x14ac:dyDescent="0.3">
      <c r="A25" s="6" t="s">
        <v>2953</v>
      </c>
      <c r="B25" s="6" t="s">
        <v>2954</v>
      </c>
      <c r="C25" s="6" t="s">
        <v>2811</v>
      </c>
      <c r="D25" s="6">
        <v>1</v>
      </c>
      <c r="E25" s="6">
        <v>2</v>
      </c>
      <c r="F25" s="6">
        <v>4.8000000000000001E-4</v>
      </c>
      <c r="G25" s="6">
        <v>7.1999999999999995E-2</v>
      </c>
      <c r="H25" s="11">
        <v>0</v>
      </c>
      <c r="I25" s="10">
        <f t="shared" si="0"/>
        <v>625</v>
      </c>
      <c r="J25" s="6">
        <v>500</v>
      </c>
    </row>
    <row r="26" spans="1:10" x14ac:dyDescent="0.3">
      <c r="A26" s="6" t="s">
        <v>2955</v>
      </c>
      <c r="B26" s="6" t="s">
        <v>2954</v>
      </c>
      <c r="C26" s="6" t="s">
        <v>2811</v>
      </c>
      <c r="D26" s="6">
        <v>1</v>
      </c>
      <c r="E26" s="6">
        <v>2</v>
      </c>
      <c r="F26" s="6">
        <v>4.8000000000000001E-4</v>
      </c>
      <c r="G26" s="6">
        <v>7.1999999999999995E-2</v>
      </c>
      <c r="H26" s="11">
        <v>0</v>
      </c>
      <c r="I26" s="10">
        <f t="shared" si="0"/>
        <v>625</v>
      </c>
      <c r="J26" s="6">
        <v>500</v>
      </c>
    </row>
    <row r="27" spans="1:10" x14ac:dyDescent="0.3">
      <c r="A27" s="6" t="s">
        <v>1657</v>
      </c>
      <c r="B27" s="6" t="s">
        <v>308</v>
      </c>
      <c r="C27" s="6" t="s">
        <v>306</v>
      </c>
      <c r="D27" s="6">
        <v>1</v>
      </c>
      <c r="E27" s="6">
        <v>2</v>
      </c>
      <c r="F27" s="6" t="s">
        <v>1658</v>
      </c>
      <c r="G27" s="6" t="s">
        <v>1094</v>
      </c>
      <c r="H27" s="11">
        <v>0</v>
      </c>
      <c r="I27" s="10">
        <f t="shared" si="0"/>
        <v>312.5</v>
      </c>
      <c r="J27" s="6" t="s">
        <v>1629</v>
      </c>
    </row>
    <row r="28" spans="1:10" x14ac:dyDescent="0.3">
      <c r="A28" s="6" t="s">
        <v>1659</v>
      </c>
      <c r="B28" s="6" t="s">
        <v>359</v>
      </c>
      <c r="C28" s="6" t="s">
        <v>357</v>
      </c>
      <c r="D28" s="6">
        <v>1</v>
      </c>
      <c r="E28" s="6">
        <v>2</v>
      </c>
      <c r="F28" s="6" t="s">
        <v>1660</v>
      </c>
      <c r="G28" s="6" t="s">
        <v>1661</v>
      </c>
      <c r="H28" s="11">
        <v>0</v>
      </c>
      <c r="I28" s="10">
        <f t="shared" si="0"/>
        <v>625</v>
      </c>
      <c r="J28" s="6" t="s">
        <v>1662</v>
      </c>
    </row>
    <row r="29" spans="1:10" x14ac:dyDescent="0.3">
      <c r="A29" s="6" t="s">
        <v>1663</v>
      </c>
      <c r="B29" s="6" t="s">
        <v>359</v>
      </c>
      <c r="C29" s="6" t="s">
        <v>357</v>
      </c>
      <c r="D29" s="6">
        <v>1</v>
      </c>
      <c r="E29" s="6">
        <v>2</v>
      </c>
      <c r="F29" s="6" t="s">
        <v>1664</v>
      </c>
      <c r="G29" s="6" t="s">
        <v>809</v>
      </c>
      <c r="H29" s="11">
        <v>0</v>
      </c>
      <c r="I29" s="10">
        <f t="shared" si="0"/>
        <v>625</v>
      </c>
      <c r="J29" s="6" t="s">
        <v>1662</v>
      </c>
    </row>
    <row r="30" spans="1:10" x14ac:dyDescent="0.3">
      <c r="A30" s="6" t="s">
        <v>1665</v>
      </c>
      <c r="B30" s="6" t="s">
        <v>379</v>
      </c>
      <c r="C30" s="6" t="s">
        <v>377</v>
      </c>
      <c r="D30" s="6">
        <v>1</v>
      </c>
      <c r="E30" s="6">
        <v>2</v>
      </c>
      <c r="F30" s="6" t="s">
        <v>1650</v>
      </c>
      <c r="G30" s="6" t="s">
        <v>1666</v>
      </c>
      <c r="H30" s="11">
        <v>0</v>
      </c>
      <c r="I30" s="10">
        <f t="shared" si="0"/>
        <v>312.5</v>
      </c>
      <c r="J30" s="6" t="s">
        <v>1629</v>
      </c>
    </row>
    <row r="31" spans="1:10" x14ac:dyDescent="0.3">
      <c r="A31" s="6" t="s">
        <v>1667</v>
      </c>
      <c r="B31" s="6" t="s">
        <v>379</v>
      </c>
      <c r="C31" s="6" t="s">
        <v>377</v>
      </c>
      <c r="D31" s="6">
        <v>1</v>
      </c>
      <c r="E31" s="6">
        <v>2</v>
      </c>
      <c r="F31" s="6" t="s">
        <v>1650</v>
      </c>
      <c r="G31" s="6" t="s">
        <v>1668</v>
      </c>
      <c r="H31" s="11">
        <v>0</v>
      </c>
      <c r="I31" s="10">
        <f t="shared" si="0"/>
        <v>312.5</v>
      </c>
      <c r="J31" s="6" t="s">
        <v>1629</v>
      </c>
    </row>
    <row r="32" spans="1:10" x14ac:dyDescent="0.3">
      <c r="A32" s="6" t="s">
        <v>1669</v>
      </c>
      <c r="B32" s="6" t="s">
        <v>379</v>
      </c>
      <c r="C32" s="6" t="s">
        <v>377</v>
      </c>
      <c r="D32" s="6">
        <v>1</v>
      </c>
      <c r="E32" s="6">
        <v>2</v>
      </c>
      <c r="F32" s="6" t="s">
        <v>827</v>
      </c>
      <c r="G32" s="6" t="s">
        <v>1094</v>
      </c>
      <c r="H32" s="11">
        <v>0</v>
      </c>
      <c r="I32" s="10">
        <f t="shared" si="0"/>
        <v>312.5</v>
      </c>
      <c r="J32" s="6" t="s">
        <v>1629</v>
      </c>
    </row>
    <row r="33" spans="1:10" x14ac:dyDescent="0.3">
      <c r="A33" s="6" t="s">
        <v>1670</v>
      </c>
      <c r="B33" s="6" t="s">
        <v>379</v>
      </c>
      <c r="C33" s="6" t="s">
        <v>377</v>
      </c>
      <c r="D33" s="6">
        <v>1</v>
      </c>
      <c r="E33" s="6">
        <v>2</v>
      </c>
      <c r="F33" s="6" t="s">
        <v>827</v>
      </c>
      <c r="G33" s="6" t="s">
        <v>1671</v>
      </c>
      <c r="H33" s="11">
        <v>0</v>
      </c>
      <c r="I33" s="10">
        <f t="shared" si="0"/>
        <v>312.5</v>
      </c>
      <c r="J33" s="6" t="s">
        <v>1629</v>
      </c>
    </row>
    <row r="34" spans="1:10" x14ac:dyDescent="0.3">
      <c r="A34" s="6" t="s">
        <v>1672</v>
      </c>
      <c r="B34" s="6" t="s">
        <v>379</v>
      </c>
      <c r="C34" s="6" t="s">
        <v>377</v>
      </c>
      <c r="D34" s="6">
        <v>1</v>
      </c>
      <c r="E34" s="6">
        <v>2</v>
      </c>
      <c r="F34" s="6" t="s">
        <v>827</v>
      </c>
      <c r="G34" s="6" t="s">
        <v>1094</v>
      </c>
      <c r="H34" s="11">
        <v>0</v>
      </c>
      <c r="I34" s="10">
        <f t="shared" si="0"/>
        <v>312.5</v>
      </c>
      <c r="J34" s="6" t="s">
        <v>1629</v>
      </c>
    </row>
    <row r="35" spans="1:10" x14ac:dyDescent="0.3">
      <c r="A35" s="6" t="s">
        <v>1673</v>
      </c>
      <c r="B35" s="6" t="s">
        <v>386</v>
      </c>
      <c r="C35" s="6" t="s">
        <v>384</v>
      </c>
      <c r="D35" s="6">
        <v>1</v>
      </c>
      <c r="E35" s="6">
        <v>2</v>
      </c>
      <c r="F35" s="6" t="s">
        <v>1674</v>
      </c>
      <c r="G35" s="6" t="s">
        <v>975</v>
      </c>
      <c r="H35" s="11">
        <v>0</v>
      </c>
      <c r="I35" s="10">
        <f t="shared" si="0"/>
        <v>156.25</v>
      </c>
      <c r="J35" s="6" t="s">
        <v>1596</v>
      </c>
    </row>
    <row r="36" spans="1:10" x14ac:dyDescent="0.3">
      <c r="A36" s="6" t="s">
        <v>1675</v>
      </c>
      <c r="B36" s="6" t="s">
        <v>386</v>
      </c>
      <c r="C36" s="6" t="s">
        <v>384</v>
      </c>
      <c r="D36" s="6">
        <v>1</v>
      </c>
      <c r="E36" s="6">
        <v>2</v>
      </c>
      <c r="F36" s="6" t="s">
        <v>1676</v>
      </c>
      <c r="G36" s="6" t="s">
        <v>1677</v>
      </c>
      <c r="H36" s="11">
        <v>0</v>
      </c>
      <c r="I36" s="10">
        <f t="shared" si="0"/>
        <v>156.25</v>
      </c>
      <c r="J36" s="6" t="s">
        <v>1596</v>
      </c>
    </row>
    <row r="37" spans="1:10" x14ac:dyDescent="0.3">
      <c r="A37" s="6" t="s">
        <v>1678</v>
      </c>
      <c r="B37" s="6" t="s">
        <v>402</v>
      </c>
      <c r="C37" s="6" t="s">
        <v>400</v>
      </c>
      <c r="D37" s="6">
        <v>1</v>
      </c>
      <c r="E37" s="6">
        <v>2</v>
      </c>
      <c r="F37" s="6" t="s">
        <v>1679</v>
      </c>
      <c r="G37" s="6" t="s">
        <v>1677</v>
      </c>
      <c r="H37" s="11">
        <v>0</v>
      </c>
      <c r="I37" s="10">
        <f t="shared" si="0"/>
        <v>156.25</v>
      </c>
      <c r="J37" s="6" t="s">
        <v>1596</v>
      </c>
    </row>
    <row r="38" spans="1:10" x14ac:dyDescent="0.3">
      <c r="A38" s="6" t="s">
        <v>1680</v>
      </c>
      <c r="B38" s="6" t="s">
        <v>402</v>
      </c>
      <c r="C38" s="6" t="s">
        <v>400</v>
      </c>
      <c r="D38" s="6">
        <v>1</v>
      </c>
      <c r="E38" s="6">
        <v>2</v>
      </c>
      <c r="F38" s="6" t="s">
        <v>32</v>
      </c>
      <c r="G38" s="6" t="s">
        <v>1626</v>
      </c>
      <c r="H38" s="11">
        <v>0</v>
      </c>
      <c r="I38" s="10">
        <f t="shared" si="0"/>
        <v>156.25</v>
      </c>
      <c r="J38" s="6" t="s">
        <v>1596</v>
      </c>
    </row>
    <row r="39" spans="1:10" x14ac:dyDescent="0.3">
      <c r="A39" s="6" t="s">
        <v>1681</v>
      </c>
      <c r="B39" s="6" t="s">
        <v>423</v>
      </c>
      <c r="C39" s="6" t="s">
        <v>421</v>
      </c>
      <c r="D39" s="6">
        <v>1</v>
      </c>
      <c r="E39" s="6">
        <v>2</v>
      </c>
      <c r="F39" s="6" t="s">
        <v>827</v>
      </c>
      <c r="G39" s="6" t="s">
        <v>1094</v>
      </c>
      <c r="H39" s="11">
        <v>0</v>
      </c>
      <c r="I39" s="10">
        <f t="shared" si="0"/>
        <v>312.5</v>
      </c>
      <c r="J39" s="6" t="s">
        <v>1629</v>
      </c>
    </row>
    <row r="40" spans="1:10" x14ac:dyDescent="0.3">
      <c r="A40" s="6" t="s">
        <v>1682</v>
      </c>
      <c r="B40" s="6" t="s">
        <v>458</v>
      </c>
      <c r="C40" s="6" t="s">
        <v>456</v>
      </c>
      <c r="D40" s="6">
        <v>1</v>
      </c>
      <c r="E40" s="6">
        <v>2</v>
      </c>
      <c r="F40" s="6" t="s">
        <v>827</v>
      </c>
      <c r="G40" s="6" t="s">
        <v>1683</v>
      </c>
      <c r="H40" s="11">
        <v>0</v>
      </c>
      <c r="I40" s="10">
        <f t="shared" si="0"/>
        <v>312.5</v>
      </c>
      <c r="J40" s="6" t="s">
        <v>1629</v>
      </c>
    </row>
    <row r="41" spans="1:10" x14ac:dyDescent="0.3">
      <c r="A41" s="6" t="s">
        <v>1684</v>
      </c>
      <c r="B41" s="6" t="s">
        <v>458</v>
      </c>
      <c r="C41" s="6" t="s">
        <v>456</v>
      </c>
      <c r="D41" s="6">
        <v>1</v>
      </c>
      <c r="E41" s="6">
        <v>2</v>
      </c>
      <c r="F41" s="6" t="s">
        <v>1039</v>
      </c>
      <c r="G41" s="6" t="s">
        <v>909</v>
      </c>
      <c r="H41" s="11">
        <v>0</v>
      </c>
      <c r="I41" s="10">
        <f t="shared" si="0"/>
        <v>312.5</v>
      </c>
      <c r="J41" s="6" t="s">
        <v>1629</v>
      </c>
    </row>
    <row r="42" spans="1:10" x14ac:dyDescent="0.3">
      <c r="A42" s="6" t="s">
        <v>1685</v>
      </c>
      <c r="B42" s="6" t="s">
        <v>458</v>
      </c>
      <c r="C42" s="6" t="s">
        <v>456</v>
      </c>
      <c r="D42" s="6">
        <v>1</v>
      </c>
      <c r="E42" s="6">
        <v>2</v>
      </c>
      <c r="F42" s="6" t="s">
        <v>827</v>
      </c>
      <c r="G42" s="6" t="s">
        <v>1683</v>
      </c>
      <c r="H42" s="11">
        <v>0</v>
      </c>
      <c r="I42" s="10">
        <f t="shared" si="0"/>
        <v>312.5</v>
      </c>
      <c r="J42" s="6" t="s">
        <v>1629</v>
      </c>
    </row>
    <row r="43" spans="1:10" x14ac:dyDescent="0.3">
      <c r="A43" s="6" t="s">
        <v>1686</v>
      </c>
      <c r="B43" s="6" t="s">
        <v>458</v>
      </c>
      <c r="C43" s="6" t="s">
        <v>456</v>
      </c>
      <c r="D43" s="6">
        <v>1</v>
      </c>
      <c r="E43" s="6">
        <v>2</v>
      </c>
      <c r="F43" s="6" t="s">
        <v>1039</v>
      </c>
      <c r="G43" s="6" t="s">
        <v>909</v>
      </c>
      <c r="H43" s="11">
        <v>0</v>
      </c>
      <c r="I43" s="10">
        <f t="shared" si="0"/>
        <v>312.5</v>
      </c>
      <c r="J43" s="6" t="s">
        <v>1629</v>
      </c>
    </row>
    <row r="44" spans="1:10" x14ac:dyDescent="0.3">
      <c r="A44" s="6" t="s">
        <v>1687</v>
      </c>
      <c r="B44" s="6" t="s">
        <v>484</v>
      </c>
      <c r="C44" s="6" t="s">
        <v>482</v>
      </c>
      <c r="D44" s="6">
        <v>1</v>
      </c>
      <c r="E44" s="6">
        <v>2</v>
      </c>
      <c r="F44" s="6" t="s">
        <v>1688</v>
      </c>
      <c r="G44" s="6" t="s">
        <v>1689</v>
      </c>
      <c r="H44" s="11">
        <v>0</v>
      </c>
      <c r="I44" s="10">
        <f t="shared" si="0"/>
        <v>78.75</v>
      </c>
      <c r="J44" s="6" t="s">
        <v>1036</v>
      </c>
    </row>
    <row r="45" spans="1:10" x14ac:dyDescent="0.3">
      <c r="A45" s="6" t="s">
        <v>1690</v>
      </c>
      <c r="B45" s="6" t="s">
        <v>484</v>
      </c>
      <c r="C45" s="6" t="s">
        <v>482</v>
      </c>
      <c r="D45" s="6">
        <v>1</v>
      </c>
      <c r="E45" s="6">
        <v>2</v>
      </c>
      <c r="F45" s="6" t="s">
        <v>1691</v>
      </c>
      <c r="G45" s="6" t="s">
        <v>1692</v>
      </c>
      <c r="H45" s="11">
        <v>0</v>
      </c>
      <c r="I45" s="10">
        <f t="shared" si="0"/>
        <v>78.75</v>
      </c>
      <c r="J45" s="6" t="s">
        <v>1036</v>
      </c>
    </row>
    <row r="46" spans="1:10" x14ac:dyDescent="0.3">
      <c r="A46" s="6" t="s">
        <v>1693</v>
      </c>
      <c r="B46" s="6" t="s">
        <v>484</v>
      </c>
      <c r="C46" s="6" t="s">
        <v>482</v>
      </c>
      <c r="D46" s="6">
        <v>1</v>
      </c>
      <c r="E46" s="6">
        <v>2</v>
      </c>
      <c r="F46" s="6" t="s">
        <v>1040</v>
      </c>
      <c r="G46" s="6" t="s">
        <v>1648</v>
      </c>
      <c r="H46" s="11">
        <v>0</v>
      </c>
      <c r="I46" s="10">
        <f t="shared" si="0"/>
        <v>312.5</v>
      </c>
      <c r="J46" s="6" t="s">
        <v>1629</v>
      </c>
    </row>
    <row r="47" spans="1:10" x14ac:dyDescent="0.3">
      <c r="A47" s="6" t="s">
        <v>1694</v>
      </c>
      <c r="B47" s="6" t="s">
        <v>484</v>
      </c>
      <c r="C47" s="6" t="s">
        <v>482</v>
      </c>
      <c r="D47" s="6">
        <v>1</v>
      </c>
      <c r="E47" s="6">
        <v>2</v>
      </c>
      <c r="F47" s="6" t="s">
        <v>827</v>
      </c>
      <c r="G47" s="6" t="s">
        <v>916</v>
      </c>
      <c r="H47" s="11">
        <v>0</v>
      </c>
      <c r="I47" s="10">
        <f t="shared" si="0"/>
        <v>156.25</v>
      </c>
      <c r="J47" s="6" t="s">
        <v>1596</v>
      </c>
    </row>
    <row r="48" spans="1:10" x14ac:dyDescent="0.3">
      <c r="A48" s="6" t="s">
        <v>1695</v>
      </c>
      <c r="B48" s="6" t="s">
        <v>487</v>
      </c>
      <c r="C48" s="6" t="s">
        <v>486</v>
      </c>
      <c r="D48" s="6">
        <v>1</v>
      </c>
      <c r="E48" s="6">
        <v>2</v>
      </c>
      <c r="F48" s="6" t="s">
        <v>1040</v>
      </c>
      <c r="G48" s="6" t="s">
        <v>1648</v>
      </c>
      <c r="H48" s="11">
        <v>0</v>
      </c>
      <c r="I48" s="10">
        <f t="shared" si="0"/>
        <v>312.5</v>
      </c>
      <c r="J48" s="6" t="s">
        <v>1629</v>
      </c>
    </row>
    <row r="49" spans="1:10" x14ac:dyDescent="0.3">
      <c r="A49" s="6" t="s">
        <v>1696</v>
      </c>
      <c r="B49" s="6" t="s">
        <v>487</v>
      </c>
      <c r="C49" s="6" t="s">
        <v>486</v>
      </c>
      <c r="D49" s="6">
        <v>1</v>
      </c>
      <c r="E49" s="6">
        <v>2</v>
      </c>
      <c r="F49" s="6" t="s">
        <v>1040</v>
      </c>
      <c r="G49" s="6" t="s">
        <v>1648</v>
      </c>
      <c r="H49" s="11">
        <v>0</v>
      </c>
      <c r="I49" s="10">
        <f t="shared" si="0"/>
        <v>312.5</v>
      </c>
      <c r="J49" s="6" t="s">
        <v>1629</v>
      </c>
    </row>
    <row r="50" spans="1:10" x14ac:dyDescent="0.3">
      <c r="A50" s="6" t="s">
        <v>1697</v>
      </c>
      <c r="B50" s="6" t="s">
        <v>491</v>
      </c>
      <c r="C50" s="6" t="s">
        <v>489</v>
      </c>
      <c r="D50" s="6">
        <v>1</v>
      </c>
      <c r="E50" s="6">
        <v>2</v>
      </c>
      <c r="F50" s="6" t="s">
        <v>1698</v>
      </c>
      <c r="G50" s="6" t="s">
        <v>1626</v>
      </c>
      <c r="H50" s="11">
        <v>0</v>
      </c>
      <c r="I50" s="10">
        <f t="shared" si="0"/>
        <v>156.25</v>
      </c>
      <c r="J50" s="6" t="s">
        <v>1596</v>
      </c>
    </row>
    <row r="51" spans="1:10" x14ac:dyDescent="0.3">
      <c r="A51" s="6" t="s">
        <v>1699</v>
      </c>
      <c r="B51" s="6" t="s">
        <v>491</v>
      </c>
      <c r="C51" s="6" t="s">
        <v>489</v>
      </c>
      <c r="D51" s="6">
        <v>1</v>
      </c>
      <c r="E51" s="6">
        <v>2</v>
      </c>
      <c r="F51" s="6" t="s">
        <v>1676</v>
      </c>
      <c r="G51" s="6" t="s">
        <v>1626</v>
      </c>
      <c r="H51" s="11">
        <v>0</v>
      </c>
      <c r="I51" s="10">
        <f t="shared" si="0"/>
        <v>156.25</v>
      </c>
      <c r="J51" s="6" t="s">
        <v>1596</v>
      </c>
    </row>
    <row r="52" spans="1:10" x14ac:dyDescent="0.3">
      <c r="A52" s="6" t="s">
        <v>1700</v>
      </c>
      <c r="B52" s="6" t="s">
        <v>500</v>
      </c>
      <c r="C52" s="6" t="s">
        <v>498</v>
      </c>
      <c r="D52" s="6">
        <v>1</v>
      </c>
      <c r="E52" s="6">
        <v>2</v>
      </c>
      <c r="F52" s="6" t="s">
        <v>827</v>
      </c>
      <c r="G52" s="6" t="s">
        <v>1094</v>
      </c>
      <c r="H52" s="11">
        <v>0</v>
      </c>
      <c r="I52" s="10">
        <f t="shared" si="0"/>
        <v>312.5</v>
      </c>
      <c r="J52" s="6" t="s">
        <v>1629</v>
      </c>
    </row>
    <row r="53" spans="1:10" x14ac:dyDescent="0.3">
      <c r="A53" s="6" t="s">
        <v>1701</v>
      </c>
      <c r="B53" s="6" t="s">
        <v>500</v>
      </c>
      <c r="C53" s="6" t="s">
        <v>498</v>
      </c>
      <c r="D53" s="6">
        <v>1</v>
      </c>
      <c r="E53" s="6">
        <v>2</v>
      </c>
      <c r="F53" s="6" t="s">
        <v>827</v>
      </c>
      <c r="G53" s="6" t="s">
        <v>1094</v>
      </c>
      <c r="H53" s="11">
        <v>0</v>
      </c>
      <c r="I53" s="10">
        <f t="shared" si="0"/>
        <v>312.5</v>
      </c>
      <c r="J53" s="6" t="s">
        <v>1629</v>
      </c>
    </row>
    <row r="54" spans="1:10" x14ac:dyDescent="0.3">
      <c r="A54" s="6" t="s">
        <v>1702</v>
      </c>
      <c r="B54" s="6" t="s">
        <v>124</v>
      </c>
      <c r="C54" s="6" t="s">
        <v>122</v>
      </c>
      <c r="D54" s="6">
        <v>1</v>
      </c>
      <c r="E54" s="6">
        <v>2</v>
      </c>
      <c r="F54" s="6" t="s">
        <v>827</v>
      </c>
      <c r="G54" s="6" t="s">
        <v>1628</v>
      </c>
      <c r="H54" s="11">
        <v>0</v>
      </c>
      <c r="I54" s="10">
        <f t="shared" si="0"/>
        <v>312.5</v>
      </c>
      <c r="J54" s="6" t="s">
        <v>1629</v>
      </c>
    </row>
    <row r="55" spans="1:10" x14ac:dyDescent="0.3">
      <c r="A55" s="6" t="s">
        <v>1703</v>
      </c>
      <c r="B55" s="6" t="s">
        <v>246</v>
      </c>
      <c r="C55" s="6" t="s">
        <v>244</v>
      </c>
      <c r="D55" s="6">
        <v>1</v>
      </c>
      <c r="E55" s="6">
        <v>2</v>
      </c>
      <c r="F55" s="6" t="s">
        <v>1650</v>
      </c>
      <c r="G55" s="6" t="s">
        <v>1651</v>
      </c>
      <c r="H55" s="11">
        <v>0</v>
      </c>
      <c r="I55" s="10">
        <f t="shared" si="0"/>
        <v>312.5</v>
      </c>
      <c r="J55" s="6" t="s">
        <v>1629</v>
      </c>
    </row>
    <row r="56" spans="1:10" x14ac:dyDescent="0.3">
      <c r="A56" s="6" t="s">
        <v>1704</v>
      </c>
      <c r="B56" s="6" t="s">
        <v>511</v>
      </c>
      <c r="C56" s="6" t="s">
        <v>509</v>
      </c>
      <c r="D56" s="6">
        <v>1</v>
      </c>
      <c r="E56" s="6">
        <v>2</v>
      </c>
      <c r="F56" s="6" t="s">
        <v>1650</v>
      </c>
      <c r="G56" s="6" t="s">
        <v>1651</v>
      </c>
      <c r="H56" s="11">
        <v>0</v>
      </c>
      <c r="I56" s="10">
        <f t="shared" si="0"/>
        <v>312.5</v>
      </c>
      <c r="J56" s="6" t="s">
        <v>1629</v>
      </c>
    </row>
    <row r="57" spans="1:10" x14ac:dyDescent="0.3">
      <c r="A57" s="6" t="s">
        <v>1705</v>
      </c>
      <c r="B57" s="6" t="s">
        <v>511</v>
      </c>
      <c r="C57" s="6" t="s">
        <v>509</v>
      </c>
      <c r="D57" s="6">
        <v>1</v>
      </c>
      <c r="E57" s="6">
        <v>2</v>
      </c>
      <c r="F57" s="6" t="s">
        <v>1650</v>
      </c>
      <c r="G57" s="6" t="s">
        <v>1706</v>
      </c>
      <c r="H57" s="11">
        <v>0</v>
      </c>
      <c r="I57" s="10">
        <f t="shared" si="0"/>
        <v>312.5</v>
      </c>
      <c r="J57" s="6" t="s">
        <v>1629</v>
      </c>
    </row>
    <row r="58" spans="1:10" x14ac:dyDescent="0.3">
      <c r="A58" s="10" t="s">
        <v>1707</v>
      </c>
      <c r="B58" s="10" t="s">
        <v>559</v>
      </c>
      <c r="C58" s="10" t="s">
        <v>558</v>
      </c>
      <c r="D58" s="6">
        <v>1</v>
      </c>
      <c r="E58" s="6">
        <v>2</v>
      </c>
      <c r="F58" s="6" t="s">
        <v>827</v>
      </c>
      <c r="G58" s="6" t="s">
        <v>1094</v>
      </c>
      <c r="H58" s="11">
        <v>0</v>
      </c>
      <c r="I58" s="10">
        <f t="shared" si="0"/>
        <v>312.5</v>
      </c>
      <c r="J58" s="6" t="s">
        <v>1629</v>
      </c>
    </row>
    <row r="59" spans="1:10" x14ac:dyDescent="0.3">
      <c r="A59" s="6" t="s">
        <v>1708</v>
      </c>
      <c r="B59" s="6" t="s">
        <v>548</v>
      </c>
      <c r="C59" s="6" t="s">
        <v>546</v>
      </c>
      <c r="D59" s="6">
        <v>1</v>
      </c>
      <c r="E59" s="6">
        <v>2</v>
      </c>
      <c r="F59" s="6" t="s">
        <v>1709</v>
      </c>
      <c r="G59" s="6" t="s">
        <v>1677</v>
      </c>
      <c r="H59" s="11">
        <v>0</v>
      </c>
      <c r="I59" s="10">
        <f t="shared" si="0"/>
        <v>156.25</v>
      </c>
      <c r="J59" s="6" t="s">
        <v>1596</v>
      </c>
    </row>
    <row r="60" spans="1:10" x14ac:dyDescent="0.3">
      <c r="A60" s="6" t="s">
        <v>1710</v>
      </c>
      <c r="B60" s="6" t="s">
        <v>548</v>
      </c>
      <c r="C60" s="6" t="s">
        <v>546</v>
      </c>
      <c r="D60" s="6">
        <v>1</v>
      </c>
      <c r="E60" s="6">
        <v>2</v>
      </c>
      <c r="F60" s="6" t="s">
        <v>32</v>
      </c>
      <c r="G60" s="6" t="s">
        <v>1711</v>
      </c>
      <c r="H60" s="11">
        <v>0</v>
      </c>
      <c r="I60" s="10">
        <f t="shared" si="0"/>
        <v>156.25</v>
      </c>
      <c r="J60" s="6" t="s">
        <v>1596</v>
      </c>
    </row>
    <row r="61" spans="1:10" x14ac:dyDescent="0.3">
      <c r="A61" s="6" t="s">
        <v>1712</v>
      </c>
      <c r="B61" s="6" t="s">
        <v>548</v>
      </c>
      <c r="C61" s="6" t="s">
        <v>546</v>
      </c>
      <c r="D61" s="6">
        <v>1</v>
      </c>
      <c r="E61" s="6">
        <v>2</v>
      </c>
      <c r="F61" s="6" t="s">
        <v>1709</v>
      </c>
      <c r="G61" s="6" t="s">
        <v>1711</v>
      </c>
      <c r="H61" s="11">
        <v>0</v>
      </c>
      <c r="I61" s="10">
        <f t="shared" si="0"/>
        <v>156.25</v>
      </c>
      <c r="J61" s="6" t="s">
        <v>1596</v>
      </c>
    </row>
    <row r="62" spans="1:10" x14ac:dyDescent="0.3">
      <c r="A62" s="6" t="s">
        <v>1713</v>
      </c>
      <c r="B62" s="6" t="s">
        <v>548</v>
      </c>
      <c r="C62" s="6" t="s">
        <v>546</v>
      </c>
      <c r="D62" s="6">
        <v>1</v>
      </c>
      <c r="E62" s="6">
        <v>2</v>
      </c>
      <c r="F62" s="6" t="s">
        <v>827</v>
      </c>
      <c r="G62" s="6" t="s">
        <v>1094</v>
      </c>
      <c r="H62" s="11">
        <v>0</v>
      </c>
      <c r="I62" s="10">
        <f t="shared" si="0"/>
        <v>312.5</v>
      </c>
      <c r="J62" s="6" t="s">
        <v>1629</v>
      </c>
    </row>
    <row r="63" spans="1:10" x14ac:dyDescent="0.3">
      <c r="A63" s="6" t="s">
        <v>1714</v>
      </c>
      <c r="B63" s="6" t="s">
        <v>548</v>
      </c>
      <c r="C63" s="6" t="s">
        <v>550</v>
      </c>
      <c r="D63" s="6">
        <v>1</v>
      </c>
      <c r="E63" s="6">
        <v>2</v>
      </c>
      <c r="F63" s="6" t="s">
        <v>1676</v>
      </c>
      <c r="G63" s="6" t="s">
        <v>874</v>
      </c>
      <c r="H63" s="11">
        <v>0</v>
      </c>
      <c r="I63" s="10">
        <f t="shared" si="0"/>
        <v>375</v>
      </c>
      <c r="J63" s="6" t="s">
        <v>1715</v>
      </c>
    </row>
    <row r="64" spans="1:10" x14ac:dyDescent="0.3">
      <c r="A64" s="6" t="s">
        <v>1716</v>
      </c>
      <c r="B64" s="6" t="s">
        <v>548</v>
      </c>
      <c r="C64" s="6" t="s">
        <v>550</v>
      </c>
      <c r="D64" s="6">
        <v>1</v>
      </c>
      <c r="E64" s="6">
        <v>2</v>
      </c>
      <c r="F64" s="6" t="s">
        <v>1676</v>
      </c>
      <c r="G64" s="6" t="s">
        <v>911</v>
      </c>
      <c r="H64" s="11">
        <v>0</v>
      </c>
      <c r="I64" s="10">
        <f t="shared" si="0"/>
        <v>750</v>
      </c>
      <c r="J64" s="6" t="s">
        <v>1717</v>
      </c>
    </row>
    <row r="65" spans="1:10" x14ac:dyDescent="0.3">
      <c r="A65" s="6" t="s">
        <v>1718</v>
      </c>
      <c r="B65" s="6" t="s">
        <v>550</v>
      </c>
      <c r="C65" s="6" t="s">
        <v>548</v>
      </c>
      <c r="D65" s="6">
        <v>1</v>
      </c>
      <c r="E65" s="6">
        <v>2</v>
      </c>
      <c r="F65" s="6" t="s">
        <v>1676</v>
      </c>
      <c r="G65" s="6" t="s">
        <v>1719</v>
      </c>
      <c r="H65" s="11">
        <v>0</v>
      </c>
      <c r="I65" s="10">
        <f t="shared" si="0"/>
        <v>375</v>
      </c>
      <c r="J65" s="6" t="s">
        <v>1715</v>
      </c>
    </row>
    <row r="66" spans="1:10" x14ac:dyDescent="0.3">
      <c r="A66" s="6" t="s">
        <v>1720</v>
      </c>
      <c r="B66" s="6" t="s">
        <v>569</v>
      </c>
      <c r="C66" s="6" t="s">
        <v>567</v>
      </c>
      <c r="D66" s="6">
        <v>1</v>
      </c>
      <c r="E66" s="6">
        <v>2</v>
      </c>
      <c r="F66" s="6" t="s">
        <v>1625</v>
      </c>
      <c r="G66" s="6" t="s">
        <v>1721</v>
      </c>
      <c r="H66" s="11">
        <v>0</v>
      </c>
      <c r="I66" s="10">
        <f t="shared" si="0"/>
        <v>156.25</v>
      </c>
      <c r="J66" s="6" t="s">
        <v>1596</v>
      </c>
    </row>
    <row r="67" spans="1:10" x14ac:dyDescent="0.3">
      <c r="A67" s="6" t="s">
        <v>1722</v>
      </c>
      <c r="B67" s="6" t="s">
        <v>569</v>
      </c>
      <c r="C67" s="6" t="s">
        <v>567</v>
      </c>
      <c r="D67" s="6">
        <v>1</v>
      </c>
      <c r="E67" s="6">
        <v>2</v>
      </c>
      <c r="F67" s="6" t="s">
        <v>827</v>
      </c>
      <c r="G67" s="6" t="s">
        <v>1094</v>
      </c>
      <c r="H67" s="11">
        <v>0</v>
      </c>
      <c r="I67" s="10">
        <f t="shared" ref="I67:I130" si="1">J67*1.25</f>
        <v>297.5</v>
      </c>
      <c r="J67" s="6" t="s">
        <v>1125</v>
      </c>
    </row>
    <row r="68" spans="1:10" x14ac:dyDescent="0.3">
      <c r="A68" s="6" t="s">
        <v>1723</v>
      </c>
      <c r="B68" s="6" t="s">
        <v>569</v>
      </c>
      <c r="C68" s="6" t="s">
        <v>567</v>
      </c>
      <c r="D68" s="6">
        <v>1</v>
      </c>
      <c r="E68" s="6">
        <v>2</v>
      </c>
      <c r="F68" s="6" t="s">
        <v>1625</v>
      </c>
      <c r="G68" s="6" t="s">
        <v>1711</v>
      </c>
      <c r="H68" s="11">
        <v>0</v>
      </c>
      <c r="I68" s="10">
        <f t="shared" si="1"/>
        <v>156.25</v>
      </c>
      <c r="J68" s="6" t="s">
        <v>1596</v>
      </c>
    </row>
    <row r="69" spans="1:10" x14ac:dyDescent="0.3">
      <c r="A69" s="6" t="s">
        <v>1724</v>
      </c>
      <c r="B69" s="6" t="s">
        <v>569</v>
      </c>
      <c r="C69" s="6" t="s">
        <v>567</v>
      </c>
      <c r="D69" s="6">
        <v>1</v>
      </c>
      <c r="E69" s="6">
        <v>2</v>
      </c>
      <c r="F69" s="6" t="s">
        <v>827</v>
      </c>
      <c r="G69" s="6" t="s">
        <v>1094</v>
      </c>
      <c r="H69" s="11">
        <v>0</v>
      </c>
      <c r="I69" s="10">
        <f t="shared" si="1"/>
        <v>312.5</v>
      </c>
      <c r="J69" s="6" t="s">
        <v>1629</v>
      </c>
    </row>
    <row r="70" spans="1:10" x14ac:dyDescent="0.3">
      <c r="A70" s="6" t="s">
        <v>1725</v>
      </c>
      <c r="B70" s="6" t="s">
        <v>600</v>
      </c>
      <c r="C70" s="6" t="s">
        <v>598</v>
      </c>
      <c r="D70" s="6">
        <v>1</v>
      </c>
      <c r="E70" s="6">
        <v>2</v>
      </c>
      <c r="F70" s="6" t="s">
        <v>1664</v>
      </c>
      <c r="G70" s="6" t="s">
        <v>809</v>
      </c>
      <c r="H70" s="11">
        <v>0</v>
      </c>
      <c r="I70" s="10">
        <f t="shared" si="1"/>
        <v>625</v>
      </c>
      <c r="J70" s="6" t="s">
        <v>1662</v>
      </c>
    </row>
    <row r="71" spans="1:10" x14ac:dyDescent="0.3">
      <c r="A71" s="6" t="s">
        <v>1726</v>
      </c>
      <c r="B71" s="6" t="s">
        <v>598</v>
      </c>
      <c r="C71" s="6" t="s">
        <v>596</v>
      </c>
      <c r="D71" s="6">
        <v>1</v>
      </c>
      <c r="E71" s="6">
        <v>2</v>
      </c>
      <c r="F71" s="6" t="s">
        <v>827</v>
      </c>
      <c r="G71" s="6" t="s">
        <v>1094</v>
      </c>
      <c r="H71" s="11">
        <v>0</v>
      </c>
      <c r="I71" s="10">
        <f t="shared" si="1"/>
        <v>312.5</v>
      </c>
      <c r="J71" s="6" t="s">
        <v>1629</v>
      </c>
    </row>
    <row r="72" spans="1:10" x14ac:dyDescent="0.3">
      <c r="A72" s="6" t="s">
        <v>1727</v>
      </c>
      <c r="B72" s="6" t="s">
        <v>600</v>
      </c>
      <c r="C72" s="6" t="s">
        <v>598</v>
      </c>
      <c r="D72" s="6">
        <v>1</v>
      </c>
      <c r="E72" s="6">
        <v>2</v>
      </c>
      <c r="F72" s="6" t="s">
        <v>1660</v>
      </c>
      <c r="G72" s="6" t="s">
        <v>1728</v>
      </c>
      <c r="H72" s="11">
        <v>0</v>
      </c>
      <c r="I72" s="10">
        <f t="shared" si="1"/>
        <v>625</v>
      </c>
      <c r="J72" s="6" t="s">
        <v>1662</v>
      </c>
    </row>
    <row r="73" spans="1:10" x14ac:dyDescent="0.3">
      <c r="A73" s="6" t="s">
        <v>1729</v>
      </c>
      <c r="B73" s="6" t="s">
        <v>640</v>
      </c>
      <c r="C73" s="6" t="s">
        <v>638</v>
      </c>
      <c r="D73" s="6">
        <v>1</v>
      </c>
      <c r="E73" s="6">
        <v>2</v>
      </c>
      <c r="F73" s="6" t="s">
        <v>1664</v>
      </c>
      <c r="G73" s="6" t="s">
        <v>809</v>
      </c>
      <c r="H73" s="11">
        <v>0</v>
      </c>
      <c r="I73" s="10">
        <f t="shared" si="1"/>
        <v>625</v>
      </c>
      <c r="J73" s="6" t="s">
        <v>1662</v>
      </c>
    </row>
    <row r="74" spans="1:10" x14ac:dyDescent="0.3">
      <c r="A74" s="6" t="s">
        <v>1730</v>
      </c>
      <c r="B74" s="6" t="s">
        <v>650</v>
      </c>
      <c r="C74" s="6" t="s">
        <v>648</v>
      </c>
      <c r="D74" s="6">
        <v>1</v>
      </c>
      <c r="E74" s="6">
        <v>2</v>
      </c>
      <c r="F74" s="6" t="s">
        <v>1650</v>
      </c>
      <c r="G74" s="6" t="s">
        <v>864</v>
      </c>
      <c r="H74" s="11">
        <v>0</v>
      </c>
      <c r="I74" s="10">
        <f t="shared" si="1"/>
        <v>312.5</v>
      </c>
      <c r="J74" s="6" t="s">
        <v>1629</v>
      </c>
    </row>
    <row r="75" spans="1:10" x14ac:dyDescent="0.3">
      <c r="A75" s="6" t="s">
        <v>1731</v>
      </c>
      <c r="B75" s="6" t="s">
        <v>650</v>
      </c>
      <c r="C75" s="6" t="s">
        <v>648</v>
      </c>
      <c r="D75" s="6">
        <v>1</v>
      </c>
      <c r="E75" s="6">
        <v>2</v>
      </c>
      <c r="F75" s="6" t="s">
        <v>1650</v>
      </c>
      <c r="G75" s="6" t="s">
        <v>1732</v>
      </c>
      <c r="H75" s="11">
        <v>0</v>
      </c>
      <c r="I75" s="10">
        <f t="shared" si="1"/>
        <v>312.5</v>
      </c>
      <c r="J75" s="6" t="s">
        <v>1629</v>
      </c>
    </row>
    <row r="76" spans="1:10" x14ac:dyDescent="0.3">
      <c r="A76" s="6" t="s">
        <v>1733</v>
      </c>
      <c r="B76" s="6" t="s">
        <v>666</v>
      </c>
      <c r="C76" s="6" t="s">
        <v>664</v>
      </c>
      <c r="D76" s="6">
        <v>1</v>
      </c>
      <c r="E76" s="6">
        <v>2</v>
      </c>
      <c r="F76" s="6" t="s">
        <v>827</v>
      </c>
      <c r="G76" s="6" t="s">
        <v>1094</v>
      </c>
      <c r="H76" s="11">
        <v>0</v>
      </c>
      <c r="I76" s="10">
        <f t="shared" si="1"/>
        <v>297.5</v>
      </c>
      <c r="J76" s="6" t="s">
        <v>1125</v>
      </c>
    </row>
    <row r="77" spans="1:10" x14ac:dyDescent="0.3">
      <c r="A77" s="6" t="s">
        <v>1734</v>
      </c>
      <c r="B77" s="6" t="s">
        <v>666</v>
      </c>
      <c r="C77" s="6" t="s">
        <v>664</v>
      </c>
      <c r="D77" s="6">
        <v>1</v>
      </c>
      <c r="E77" s="6">
        <v>2</v>
      </c>
      <c r="F77" s="6" t="s">
        <v>1735</v>
      </c>
      <c r="G77" s="6" t="s">
        <v>1736</v>
      </c>
      <c r="H77" s="11">
        <v>0</v>
      </c>
      <c r="I77" s="10">
        <f t="shared" si="1"/>
        <v>312.5</v>
      </c>
      <c r="J77" s="6" t="s">
        <v>1629</v>
      </c>
    </row>
    <row r="78" spans="1:10" x14ac:dyDescent="0.3">
      <c r="A78" s="6" t="s">
        <v>1737</v>
      </c>
      <c r="B78" s="6" t="s">
        <v>702</v>
      </c>
      <c r="C78" s="6" t="s">
        <v>700</v>
      </c>
      <c r="D78" s="6">
        <v>1</v>
      </c>
      <c r="E78" s="6">
        <v>2</v>
      </c>
      <c r="F78" s="6" t="s">
        <v>1738</v>
      </c>
      <c r="G78" s="6" t="s">
        <v>1626</v>
      </c>
      <c r="H78" s="11">
        <v>0</v>
      </c>
      <c r="I78" s="10">
        <f t="shared" si="1"/>
        <v>156.25</v>
      </c>
      <c r="J78" s="6" t="s">
        <v>1596</v>
      </c>
    </row>
    <row r="79" spans="1:10" x14ac:dyDescent="0.3">
      <c r="A79" s="6" t="s">
        <v>1739</v>
      </c>
      <c r="B79" s="6" t="s">
        <v>702</v>
      </c>
      <c r="C79" s="6" t="s">
        <v>700</v>
      </c>
      <c r="D79" s="6">
        <v>1</v>
      </c>
      <c r="E79" s="6">
        <v>2</v>
      </c>
      <c r="F79" s="6" t="s">
        <v>1740</v>
      </c>
      <c r="G79" s="6" t="s">
        <v>1626</v>
      </c>
      <c r="H79" s="11">
        <v>0</v>
      </c>
      <c r="I79" s="10">
        <f t="shared" si="1"/>
        <v>156.25</v>
      </c>
      <c r="J79" s="6" t="s">
        <v>1596</v>
      </c>
    </row>
    <row r="80" spans="1:10" x14ac:dyDescent="0.3">
      <c r="A80" s="6" t="s">
        <v>1741</v>
      </c>
      <c r="B80" s="6" t="s">
        <v>730</v>
      </c>
      <c r="C80" s="6" t="s">
        <v>728</v>
      </c>
      <c r="D80" s="6">
        <v>1</v>
      </c>
      <c r="E80" s="6">
        <v>2</v>
      </c>
      <c r="F80" s="6" t="s">
        <v>827</v>
      </c>
      <c r="G80" s="6" t="s">
        <v>1094</v>
      </c>
      <c r="H80" s="11">
        <v>0</v>
      </c>
      <c r="I80" s="10">
        <f t="shared" si="1"/>
        <v>312.5</v>
      </c>
      <c r="J80" s="6" t="s">
        <v>1629</v>
      </c>
    </row>
    <row r="81" spans="1:10" x14ac:dyDescent="0.3">
      <c r="A81" s="6" t="s">
        <v>1742</v>
      </c>
      <c r="B81" s="6" t="s">
        <v>747</v>
      </c>
      <c r="C81" s="6" t="s">
        <v>745</v>
      </c>
      <c r="D81" s="6">
        <v>1</v>
      </c>
      <c r="E81" s="6">
        <v>2</v>
      </c>
      <c r="F81" s="6" t="s">
        <v>1743</v>
      </c>
      <c r="G81" s="6" t="s">
        <v>1744</v>
      </c>
      <c r="H81" s="11">
        <v>0</v>
      </c>
      <c r="I81" s="10">
        <f t="shared" si="1"/>
        <v>297.5</v>
      </c>
      <c r="J81" s="6" t="s">
        <v>1125</v>
      </c>
    </row>
    <row r="82" spans="1:10" x14ac:dyDescent="0.3">
      <c r="A82" s="6" t="s">
        <v>1745</v>
      </c>
      <c r="B82" s="6" t="s">
        <v>747</v>
      </c>
      <c r="C82" s="6" t="s">
        <v>745</v>
      </c>
      <c r="D82" s="6">
        <v>1</v>
      </c>
      <c r="E82" s="6">
        <v>2</v>
      </c>
      <c r="F82" s="6" t="s">
        <v>1743</v>
      </c>
      <c r="G82" s="6" t="s">
        <v>1744</v>
      </c>
      <c r="H82" s="11">
        <v>0</v>
      </c>
      <c r="I82" s="10">
        <f t="shared" si="1"/>
        <v>297.5</v>
      </c>
      <c r="J82" s="6" t="s">
        <v>1125</v>
      </c>
    </row>
    <row r="83" spans="1:10" x14ac:dyDescent="0.3">
      <c r="A83" s="6" t="s">
        <v>1746</v>
      </c>
      <c r="B83" s="6" t="s">
        <v>805</v>
      </c>
      <c r="C83" s="6" t="s">
        <v>802</v>
      </c>
      <c r="D83" s="6">
        <v>1</v>
      </c>
      <c r="E83" s="6">
        <v>2</v>
      </c>
      <c r="F83" s="6" t="s">
        <v>1660</v>
      </c>
      <c r="G83" s="6" t="s">
        <v>1747</v>
      </c>
      <c r="H83" s="11">
        <v>0</v>
      </c>
      <c r="I83" s="10">
        <f t="shared" si="1"/>
        <v>625</v>
      </c>
      <c r="J83" s="6" t="s">
        <v>1662</v>
      </c>
    </row>
    <row r="84" spans="1:10" x14ac:dyDescent="0.3">
      <c r="A84" s="6" t="s">
        <v>1748</v>
      </c>
      <c r="B84" s="6" t="s">
        <v>805</v>
      </c>
      <c r="C84" s="6" t="s">
        <v>802</v>
      </c>
      <c r="D84" s="6">
        <v>1</v>
      </c>
      <c r="E84" s="6">
        <v>2</v>
      </c>
      <c r="F84" s="6" t="s">
        <v>1660</v>
      </c>
      <c r="G84" s="6" t="s">
        <v>1747</v>
      </c>
      <c r="H84" s="11">
        <v>0</v>
      </c>
      <c r="I84" s="10">
        <f t="shared" si="1"/>
        <v>625</v>
      </c>
      <c r="J84" s="6" t="s">
        <v>1662</v>
      </c>
    </row>
    <row r="85" spans="1:10" x14ac:dyDescent="0.3">
      <c r="A85" s="6" t="s">
        <v>1749</v>
      </c>
      <c r="B85" s="6" t="s">
        <v>805</v>
      </c>
      <c r="C85" s="6" t="s">
        <v>802</v>
      </c>
      <c r="D85" s="6">
        <v>1</v>
      </c>
      <c r="E85" s="6">
        <v>2</v>
      </c>
      <c r="F85" s="6" t="s">
        <v>1660</v>
      </c>
      <c r="G85" s="6" t="s">
        <v>809</v>
      </c>
      <c r="H85" s="11">
        <v>0</v>
      </c>
      <c r="I85" s="10">
        <f t="shared" si="1"/>
        <v>687.5</v>
      </c>
      <c r="J85" s="6" t="s">
        <v>1750</v>
      </c>
    </row>
    <row r="86" spans="1:10" x14ac:dyDescent="0.3">
      <c r="A86" s="6" t="s">
        <v>1751</v>
      </c>
      <c r="B86" s="6" t="s">
        <v>805</v>
      </c>
      <c r="C86" s="6" t="s">
        <v>804</v>
      </c>
      <c r="D86" s="6">
        <v>1</v>
      </c>
      <c r="E86" s="6">
        <v>2</v>
      </c>
      <c r="F86" s="6" t="s">
        <v>826</v>
      </c>
      <c r="G86" s="6" t="s">
        <v>853</v>
      </c>
      <c r="H86" s="11">
        <v>0</v>
      </c>
      <c r="I86" s="10">
        <f t="shared" si="1"/>
        <v>727.5</v>
      </c>
      <c r="J86" s="6" t="s">
        <v>1752</v>
      </c>
    </row>
    <row r="87" spans="1:10" x14ac:dyDescent="0.3">
      <c r="A87" s="6" t="s">
        <v>1753</v>
      </c>
      <c r="B87" s="6" t="s">
        <v>46</v>
      </c>
      <c r="C87" s="6" t="s">
        <v>48</v>
      </c>
      <c r="D87" s="6">
        <v>1</v>
      </c>
      <c r="E87" s="6">
        <v>2</v>
      </c>
      <c r="F87" s="6">
        <v>3.5099999999999997E-3</v>
      </c>
      <c r="G87" s="6">
        <v>0.22176000000000001</v>
      </c>
      <c r="H87" s="11">
        <v>0</v>
      </c>
      <c r="I87" s="10">
        <f t="shared" si="1"/>
        <v>112.5</v>
      </c>
      <c r="J87" s="6" t="s">
        <v>1754</v>
      </c>
    </row>
    <row r="88" spans="1:10" x14ac:dyDescent="0.3">
      <c r="A88" s="10" t="s">
        <v>2956</v>
      </c>
      <c r="B88" s="10" t="s">
        <v>2957</v>
      </c>
      <c r="C88" s="10" t="s">
        <v>56</v>
      </c>
      <c r="D88" s="10">
        <v>1</v>
      </c>
      <c r="E88" s="10">
        <v>2</v>
      </c>
      <c r="F88" s="10">
        <v>7.3000000000000001E-3</v>
      </c>
      <c r="G88" s="10">
        <v>0.25</v>
      </c>
      <c r="H88" s="11">
        <v>0</v>
      </c>
      <c r="I88" s="10">
        <f t="shared" si="1"/>
        <v>75</v>
      </c>
      <c r="J88" s="10">
        <v>60</v>
      </c>
    </row>
    <row r="89" spans="1:10" x14ac:dyDescent="0.3">
      <c r="A89" s="10" t="s">
        <v>2958</v>
      </c>
      <c r="B89" s="10" t="s">
        <v>2957</v>
      </c>
      <c r="C89" s="10" t="s">
        <v>56</v>
      </c>
      <c r="D89" s="10">
        <v>1</v>
      </c>
      <c r="E89" s="10">
        <v>2</v>
      </c>
      <c r="F89" s="10">
        <v>7.3000000000000001E-3</v>
      </c>
      <c r="G89" s="10">
        <v>0.25</v>
      </c>
      <c r="H89" s="11">
        <v>0</v>
      </c>
      <c r="I89" s="10">
        <f t="shared" si="1"/>
        <v>75</v>
      </c>
      <c r="J89" s="10">
        <v>60</v>
      </c>
    </row>
    <row r="90" spans="1:10" x14ac:dyDescent="0.3">
      <c r="A90" s="6" t="s">
        <v>1755</v>
      </c>
      <c r="B90" s="6" t="s">
        <v>59</v>
      </c>
      <c r="C90" s="6" t="s">
        <v>61</v>
      </c>
      <c r="D90" s="6">
        <v>1</v>
      </c>
      <c r="E90" s="6">
        <v>2</v>
      </c>
      <c r="F90" s="6">
        <v>3.5099999999999997E-3</v>
      </c>
      <c r="G90" s="6">
        <v>0.22176000000000001</v>
      </c>
      <c r="H90" s="11">
        <v>0</v>
      </c>
      <c r="I90" s="10">
        <f t="shared" si="1"/>
        <v>112.5</v>
      </c>
      <c r="J90" s="6" t="s">
        <v>1754</v>
      </c>
    </row>
    <row r="91" spans="1:10" x14ac:dyDescent="0.3">
      <c r="A91" s="6" t="s">
        <v>1756</v>
      </c>
      <c r="B91" s="6" t="s">
        <v>59</v>
      </c>
      <c r="C91" s="6" t="s">
        <v>61</v>
      </c>
      <c r="D91" s="6">
        <v>1</v>
      </c>
      <c r="E91" s="6">
        <v>2</v>
      </c>
      <c r="F91" s="6">
        <v>3.5099999999999997E-3</v>
      </c>
      <c r="G91" s="6">
        <v>0.22256999999999999</v>
      </c>
      <c r="H91" s="11">
        <v>0</v>
      </c>
      <c r="I91" s="10">
        <f t="shared" si="1"/>
        <v>112.5</v>
      </c>
      <c r="J91" s="6" t="s">
        <v>1754</v>
      </c>
    </row>
    <row r="92" spans="1:10" x14ac:dyDescent="0.3">
      <c r="A92" s="6" t="s">
        <v>1757</v>
      </c>
      <c r="B92" s="6" t="s">
        <v>584</v>
      </c>
      <c r="C92" s="6" t="s">
        <v>586</v>
      </c>
      <c r="D92" s="6">
        <v>1</v>
      </c>
      <c r="E92" s="6">
        <v>2</v>
      </c>
      <c r="F92" s="6">
        <v>3.5099999999999997E-3</v>
      </c>
      <c r="G92" s="6">
        <v>0.22517999999999996</v>
      </c>
      <c r="H92" s="11">
        <v>0</v>
      </c>
      <c r="I92" s="10">
        <f t="shared" si="1"/>
        <v>112.5</v>
      </c>
      <c r="J92" s="6" t="s">
        <v>1754</v>
      </c>
    </row>
    <row r="93" spans="1:10" x14ac:dyDescent="0.3">
      <c r="A93" s="6" t="s">
        <v>1758</v>
      </c>
      <c r="B93" s="6" t="s">
        <v>584</v>
      </c>
      <c r="C93" s="6" t="s">
        <v>586</v>
      </c>
      <c r="D93" s="6">
        <v>1</v>
      </c>
      <c r="E93" s="6">
        <v>2</v>
      </c>
      <c r="F93" s="6">
        <v>3.5099999999999997E-3</v>
      </c>
      <c r="G93" s="6">
        <v>0.22517999999999996</v>
      </c>
      <c r="H93" s="11">
        <v>0</v>
      </c>
      <c r="I93" s="10">
        <f t="shared" si="1"/>
        <v>112.5</v>
      </c>
      <c r="J93" s="6" t="s">
        <v>1754</v>
      </c>
    </row>
    <row r="94" spans="1:10" x14ac:dyDescent="0.3">
      <c r="A94" s="6" t="s">
        <v>1759</v>
      </c>
      <c r="B94" s="6" t="s">
        <v>132</v>
      </c>
      <c r="C94" s="6" t="s">
        <v>134</v>
      </c>
      <c r="D94" s="6">
        <v>1</v>
      </c>
      <c r="E94" s="6">
        <v>2</v>
      </c>
      <c r="F94" s="6">
        <v>3.5099999999999997E-3</v>
      </c>
      <c r="G94" s="6">
        <v>0.22023000000000001</v>
      </c>
      <c r="H94" s="11">
        <v>0</v>
      </c>
      <c r="I94" s="10">
        <f t="shared" si="1"/>
        <v>112.5</v>
      </c>
      <c r="J94" s="6" t="s">
        <v>1754</v>
      </c>
    </row>
    <row r="95" spans="1:10" x14ac:dyDescent="0.3">
      <c r="A95" s="6" t="s">
        <v>1760</v>
      </c>
      <c r="B95" s="6" t="s">
        <v>132</v>
      </c>
      <c r="C95" s="6" t="s">
        <v>134</v>
      </c>
      <c r="D95" s="6">
        <v>1</v>
      </c>
      <c r="E95" s="6">
        <v>2</v>
      </c>
      <c r="F95" s="6">
        <v>3.5099999999999997E-3</v>
      </c>
      <c r="G95" s="6">
        <v>0.22166999999999998</v>
      </c>
      <c r="H95" s="11">
        <v>0</v>
      </c>
      <c r="I95" s="10">
        <f t="shared" si="1"/>
        <v>112.5</v>
      </c>
      <c r="J95" s="6" t="s">
        <v>1754</v>
      </c>
    </row>
    <row r="96" spans="1:10" x14ac:dyDescent="0.3">
      <c r="A96" s="6" t="s">
        <v>1761</v>
      </c>
      <c r="B96" s="6" t="s">
        <v>132</v>
      </c>
      <c r="C96" s="6" t="s">
        <v>134</v>
      </c>
      <c r="D96" s="6">
        <v>1</v>
      </c>
      <c r="E96" s="6">
        <v>2</v>
      </c>
      <c r="F96" s="6">
        <v>5.8499999999999993E-3</v>
      </c>
      <c r="G96" s="6">
        <v>0.26036999999999999</v>
      </c>
      <c r="H96" s="11">
        <v>0</v>
      </c>
      <c r="I96" s="10">
        <f t="shared" si="1"/>
        <v>112.5</v>
      </c>
      <c r="J96" s="6" t="s">
        <v>1754</v>
      </c>
    </row>
    <row r="97" spans="1:10" x14ac:dyDescent="0.3">
      <c r="A97" s="6" t="s">
        <v>1762</v>
      </c>
      <c r="B97" s="6" t="s">
        <v>132</v>
      </c>
      <c r="C97" s="6" t="s">
        <v>134</v>
      </c>
      <c r="D97" s="6">
        <v>1</v>
      </c>
      <c r="E97" s="6">
        <v>2</v>
      </c>
      <c r="F97" s="6">
        <v>5.8499999999999993E-3</v>
      </c>
      <c r="G97" s="6">
        <v>0.25802999999999998</v>
      </c>
      <c r="H97" s="11">
        <v>0</v>
      </c>
      <c r="I97" s="10">
        <f t="shared" si="1"/>
        <v>112.5</v>
      </c>
      <c r="J97" s="6" t="s">
        <v>1754</v>
      </c>
    </row>
    <row r="98" spans="1:10" x14ac:dyDescent="0.3">
      <c r="A98" s="6" t="s">
        <v>1763</v>
      </c>
      <c r="B98" s="6" t="s">
        <v>91</v>
      </c>
      <c r="C98" s="6" t="s">
        <v>93</v>
      </c>
      <c r="D98" s="6">
        <v>1</v>
      </c>
      <c r="E98" s="6">
        <v>2</v>
      </c>
      <c r="F98" s="6">
        <v>5.13E-3</v>
      </c>
      <c r="G98" s="6">
        <v>0.12399</v>
      </c>
      <c r="H98" s="11">
        <v>0</v>
      </c>
      <c r="I98" s="10">
        <f t="shared" si="1"/>
        <v>37.5</v>
      </c>
      <c r="J98" s="6" t="s">
        <v>1764</v>
      </c>
    </row>
    <row r="99" spans="1:10" x14ac:dyDescent="0.3">
      <c r="A99" s="6" t="s">
        <v>1765</v>
      </c>
      <c r="B99" s="6" t="s">
        <v>91</v>
      </c>
      <c r="C99" s="6" t="s">
        <v>93</v>
      </c>
      <c r="D99" s="6">
        <v>1</v>
      </c>
      <c r="E99" s="6">
        <v>2</v>
      </c>
      <c r="F99" s="6">
        <v>5.6999999999999993E-3</v>
      </c>
      <c r="G99" s="6">
        <v>0.1242</v>
      </c>
      <c r="H99" s="11">
        <v>0</v>
      </c>
      <c r="I99" s="10">
        <f t="shared" si="1"/>
        <v>37.5</v>
      </c>
      <c r="J99" s="6" t="s">
        <v>1764</v>
      </c>
    </row>
    <row r="100" spans="1:10" x14ac:dyDescent="0.3">
      <c r="A100" s="6" t="s">
        <v>1766</v>
      </c>
      <c r="B100" s="6" t="s">
        <v>91</v>
      </c>
      <c r="C100" s="6" t="s">
        <v>93</v>
      </c>
      <c r="D100" s="6">
        <v>1</v>
      </c>
      <c r="E100" s="6">
        <v>2</v>
      </c>
      <c r="F100" s="6">
        <v>5.6999999999999993E-3</v>
      </c>
      <c r="G100" s="6">
        <v>0.12501000000000001</v>
      </c>
      <c r="H100" s="11">
        <v>0</v>
      </c>
      <c r="I100" s="10">
        <f t="shared" si="1"/>
        <v>37.5</v>
      </c>
      <c r="J100" s="6" t="s">
        <v>1764</v>
      </c>
    </row>
    <row r="101" spans="1:10" x14ac:dyDescent="0.3">
      <c r="A101" s="6" t="s">
        <v>1767</v>
      </c>
      <c r="B101" s="6" t="s">
        <v>91</v>
      </c>
      <c r="C101" s="6" t="s">
        <v>93</v>
      </c>
      <c r="D101" s="6">
        <v>1</v>
      </c>
      <c r="E101" s="6">
        <v>2</v>
      </c>
      <c r="F101" s="6">
        <v>5.6999999999999993E-3</v>
      </c>
      <c r="G101" s="6">
        <v>0.1245</v>
      </c>
      <c r="H101" s="11">
        <v>0</v>
      </c>
      <c r="I101" s="10">
        <f t="shared" si="1"/>
        <v>37.5</v>
      </c>
      <c r="J101" s="6" t="s">
        <v>1764</v>
      </c>
    </row>
    <row r="102" spans="1:10" x14ac:dyDescent="0.3">
      <c r="A102" s="6" t="s">
        <v>1768</v>
      </c>
      <c r="B102" s="6" t="s">
        <v>136</v>
      </c>
      <c r="C102" s="6" t="s">
        <v>138</v>
      </c>
      <c r="D102" s="6">
        <v>1</v>
      </c>
      <c r="E102" s="6">
        <v>2</v>
      </c>
      <c r="F102" s="6">
        <v>3.3300000000000001E-3</v>
      </c>
      <c r="G102" s="6">
        <v>0.21771000000000001</v>
      </c>
      <c r="H102" s="11">
        <v>0</v>
      </c>
      <c r="I102" s="10">
        <f t="shared" si="1"/>
        <v>112.5</v>
      </c>
      <c r="J102" s="6" t="s">
        <v>1754</v>
      </c>
    </row>
    <row r="103" spans="1:10" x14ac:dyDescent="0.3">
      <c r="A103" s="6" t="s">
        <v>1769</v>
      </c>
      <c r="B103" s="6" t="s">
        <v>136</v>
      </c>
      <c r="C103" s="6" t="s">
        <v>138</v>
      </c>
      <c r="D103" s="6">
        <v>1</v>
      </c>
      <c r="E103" s="6">
        <v>2</v>
      </c>
      <c r="F103" s="6">
        <v>3.4200000000000003E-3</v>
      </c>
      <c r="G103" s="6">
        <v>0.21716999999999997</v>
      </c>
      <c r="H103" s="11">
        <v>0</v>
      </c>
      <c r="I103" s="10">
        <f t="shared" si="1"/>
        <v>112.5</v>
      </c>
      <c r="J103" s="6" t="s">
        <v>1754</v>
      </c>
    </row>
    <row r="104" spans="1:10" x14ac:dyDescent="0.3">
      <c r="A104" s="6" t="s">
        <v>1770</v>
      </c>
      <c r="B104" s="6" t="s">
        <v>140</v>
      </c>
      <c r="C104" s="6" t="s">
        <v>142</v>
      </c>
      <c r="D104" s="6">
        <v>1</v>
      </c>
      <c r="E104" s="6">
        <v>2</v>
      </c>
      <c r="F104" s="6">
        <v>3.5099999999999997E-3</v>
      </c>
      <c r="G104" s="6">
        <v>0.22149000000000002</v>
      </c>
      <c r="H104" s="11">
        <v>0</v>
      </c>
      <c r="I104" s="10">
        <f t="shared" si="1"/>
        <v>112.5</v>
      </c>
      <c r="J104" s="6" t="s">
        <v>1754</v>
      </c>
    </row>
    <row r="105" spans="1:10" x14ac:dyDescent="0.3">
      <c r="A105" s="6" t="s">
        <v>1771</v>
      </c>
      <c r="B105" s="6" t="s">
        <v>140</v>
      </c>
      <c r="C105" s="6" t="s">
        <v>142</v>
      </c>
      <c r="D105" s="6">
        <v>1</v>
      </c>
      <c r="E105" s="6">
        <v>2</v>
      </c>
      <c r="F105" s="6">
        <v>3.5099999999999997E-3</v>
      </c>
      <c r="G105" s="6">
        <v>0.22149000000000002</v>
      </c>
      <c r="H105" s="11">
        <v>0</v>
      </c>
      <c r="I105" s="10">
        <f t="shared" si="1"/>
        <v>112.5</v>
      </c>
      <c r="J105" s="6" t="s">
        <v>1754</v>
      </c>
    </row>
    <row r="106" spans="1:10" x14ac:dyDescent="0.3">
      <c r="A106" s="6" t="s">
        <v>1772</v>
      </c>
      <c r="B106" s="6" t="s">
        <v>154</v>
      </c>
      <c r="C106" s="6" t="s">
        <v>156</v>
      </c>
      <c r="D106" s="6">
        <v>1</v>
      </c>
      <c r="E106" s="6">
        <v>2</v>
      </c>
      <c r="F106" s="6">
        <v>3.5000000000000005E-3</v>
      </c>
      <c r="G106" s="6">
        <v>0.16</v>
      </c>
      <c r="H106" s="11">
        <v>0</v>
      </c>
      <c r="I106" s="10">
        <f t="shared" si="1"/>
        <v>125</v>
      </c>
      <c r="J106" s="6" t="s">
        <v>1213</v>
      </c>
    </row>
    <row r="107" spans="1:10" x14ac:dyDescent="0.3">
      <c r="A107" s="6" t="s">
        <v>1773</v>
      </c>
      <c r="B107" s="6" t="s">
        <v>187</v>
      </c>
      <c r="C107" s="6" t="s">
        <v>189</v>
      </c>
      <c r="D107" s="6">
        <v>1</v>
      </c>
      <c r="E107" s="6">
        <v>2</v>
      </c>
      <c r="F107" s="6">
        <v>3.5099999999999997E-3</v>
      </c>
      <c r="G107" s="6">
        <v>0.22320000000000001</v>
      </c>
      <c r="H107" s="11">
        <v>0</v>
      </c>
      <c r="I107" s="10">
        <f t="shared" si="1"/>
        <v>112.5</v>
      </c>
      <c r="J107" s="6" t="s">
        <v>1754</v>
      </c>
    </row>
    <row r="108" spans="1:10" x14ac:dyDescent="0.3">
      <c r="A108" s="6" t="s">
        <v>1774</v>
      </c>
      <c r="B108" s="6" t="s">
        <v>187</v>
      </c>
      <c r="C108" s="6" t="s">
        <v>189</v>
      </c>
      <c r="D108" s="6">
        <v>1</v>
      </c>
      <c r="E108" s="6">
        <v>2</v>
      </c>
      <c r="F108" s="6">
        <v>3.5099999999999997E-3</v>
      </c>
      <c r="G108" s="6">
        <v>0.22320000000000001</v>
      </c>
      <c r="H108" s="11">
        <v>0</v>
      </c>
      <c r="I108" s="10">
        <f t="shared" si="1"/>
        <v>112.5</v>
      </c>
      <c r="J108" s="6" t="s">
        <v>1754</v>
      </c>
    </row>
    <row r="109" spans="1:10" x14ac:dyDescent="0.3">
      <c r="A109" s="6" t="s">
        <v>1775</v>
      </c>
      <c r="B109" s="6" t="s">
        <v>219</v>
      </c>
      <c r="C109" s="6" t="s">
        <v>221</v>
      </c>
      <c r="D109" s="6">
        <v>1</v>
      </c>
      <c r="E109" s="6">
        <v>2</v>
      </c>
      <c r="F109" s="6">
        <v>3.3300000000000001E-3</v>
      </c>
      <c r="G109" s="6">
        <v>0.21797999999999998</v>
      </c>
      <c r="H109" s="11">
        <v>0</v>
      </c>
      <c r="I109" s="10">
        <f t="shared" si="1"/>
        <v>112.5</v>
      </c>
      <c r="J109" s="6" t="s">
        <v>1754</v>
      </c>
    </row>
    <row r="110" spans="1:10" x14ac:dyDescent="0.3">
      <c r="A110" s="6" t="s">
        <v>1776</v>
      </c>
      <c r="B110" s="6" t="s">
        <v>219</v>
      </c>
      <c r="C110" s="6" t="s">
        <v>221</v>
      </c>
      <c r="D110" s="6">
        <v>1</v>
      </c>
      <c r="E110" s="6">
        <v>2</v>
      </c>
      <c r="F110" s="6">
        <v>3.4200000000000003E-3</v>
      </c>
      <c r="G110" s="6">
        <v>0.21771000000000001</v>
      </c>
      <c r="H110" s="11">
        <v>0</v>
      </c>
      <c r="I110" s="10">
        <f t="shared" si="1"/>
        <v>112.5</v>
      </c>
      <c r="J110" s="6" t="s">
        <v>1754</v>
      </c>
    </row>
    <row r="111" spans="1:10" x14ac:dyDescent="0.3">
      <c r="A111" s="6" t="s">
        <v>1777</v>
      </c>
      <c r="B111" s="6" t="s">
        <v>265</v>
      </c>
      <c r="C111" s="6" t="s">
        <v>267</v>
      </c>
      <c r="D111" s="6">
        <v>1</v>
      </c>
      <c r="E111" s="6">
        <v>2</v>
      </c>
      <c r="F111" s="6">
        <v>4.4400000000000004E-3</v>
      </c>
      <c r="G111" s="6">
        <v>0.15071999999999999</v>
      </c>
      <c r="H111" s="11">
        <v>0</v>
      </c>
      <c r="I111" s="10">
        <f t="shared" si="1"/>
        <v>75</v>
      </c>
      <c r="J111" s="6" t="s">
        <v>1778</v>
      </c>
    </row>
    <row r="112" spans="1:10" x14ac:dyDescent="0.3">
      <c r="A112" s="6" t="s">
        <v>1779</v>
      </c>
      <c r="B112" s="6" t="s">
        <v>265</v>
      </c>
      <c r="C112" s="6" t="s">
        <v>267</v>
      </c>
      <c r="D112" s="6">
        <v>1</v>
      </c>
      <c r="E112" s="6">
        <v>2</v>
      </c>
      <c r="F112" s="6">
        <v>4.4999999999999997E-3</v>
      </c>
      <c r="G112" s="6">
        <v>0.15048000000000003</v>
      </c>
      <c r="H112" s="11">
        <v>0</v>
      </c>
      <c r="I112" s="10">
        <f t="shared" si="1"/>
        <v>75</v>
      </c>
      <c r="J112" s="6" t="s">
        <v>1778</v>
      </c>
    </row>
    <row r="113" spans="1:10" x14ac:dyDescent="0.3">
      <c r="A113" s="6" t="s">
        <v>1780</v>
      </c>
      <c r="B113" s="6" t="s">
        <v>278</v>
      </c>
      <c r="C113" s="6" t="s">
        <v>282</v>
      </c>
      <c r="D113" s="6">
        <v>1</v>
      </c>
      <c r="E113" s="6">
        <v>2</v>
      </c>
      <c r="F113" s="6">
        <v>7.8299999999999984E-3</v>
      </c>
      <c r="G113" s="6">
        <v>0.23031000000000001</v>
      </c>
      <c r="H113" s="11">
        <v>0</v>
      </c>
      <c r="I113" s="10">
        <f t="shared" si="1"/>
        <v>112.5</v>
      </c>
      <c r="J113" s="6" t="s">
        <v>1754</v>
      </c>
    </row>
    <row r="114" spans="1:10" x14ac:dyDescent="0.3">
      <c r="A114" s="6" t="s">
        <v>1781</v>
      </c>
      <c r="B114" s="6" t="s">
        <v>278</v>
      </c>
      <c r="C114" s="6" t="s">
        <v>282</v>
      </c>
      <c r="D114" s="6">
        <v>1</v>
      </c>
      <c r="E114" s="6">
        <v>2</v>
      </c>
      <c r="F114" s="6">
        <v>7.8299999999999984E-3</v>
      </c>
      <c r="G114" s="6">
        <v>0.23156999999999997</v>
      </c>
      <c r="H114" s="11">
        <v>0</v>
      </c>
      <c r="I114" s="10">
        <f t="shared" si="1"/>
        <v>112.5</v>
      </c>
      <c r="J114" s="6" t="s">
        <v>1754</v>
      </c>
    </row>
    <row r="115" spans="1:10" x14ac:dyDescent="0.3">
      <c r="A115" s="6" t="s">
        <v>1782</v>
      </c>
      <c r="B115" s="6" t="s">
        <v>288</v>
      </c>
      <c r="C115" s="6" t="s">
        <v>290</v>
      </c>
      <c r="D115" s="6">
        <v>1</v>
      </c>
      <c r="E115" s="6">
        <v>2</v>
      </c>
      <c r="F115" s="6">
        <v>4.4400000000000004E-3</v>
      </c>
      <c r="G115" s="6">
        <v>0.15090000000000001</v>
      </c>
      <c r="H115" s="11">
        <v>0</v>
      </c>
      <c r="I115" s="10">
        <f t="shared" si="1"/>
        <v>75</v>
      </c>
      <c r="J115" s="6" t="s">
        <v>1778</v>
      </c>
    </row>
    <row r="116" spans="1:10" x14ac:dyDescent="0.3">
      <c r="A116" s="6" t="s">
        <v>1783</v>
      </c>
      <c r="B116" s="6" t="s">
        <v>288</v>
      </c>
      <c r="C116" s="6" t="s">
        <v>290</v>
      </c>
      <c r="D116" s="6">
        <v>1</v>
      </c>
      <c r="E116" s="6">
        <v>2</v>
      </c>
      <c r="F116" s="6">
        <v>4.4400000000000004E-3</v>
      </c>
      <c r="G116" s="6">
        <v>0.15048000000000003</v>
      </c>
      <c r="H116" s="11">
        <v>0</v>
      </c>
      <c r="I116" s="10">
        <f t="shared" si="1"/>
        <v>75</v>
      </c>
      <c r="J116" s="6" t="s">
        <v>1778</v>
      </c>
    </row>
    <row r="117" spans="1:10" x14ac:dyDescent="0.3">
      <c r="A117" s="6" t="s">
        <v>1784</v>
      </c>
      <c r="B117" s="6" t="s">
        <v>285</v>
      </c>
      <c r="C117" s="6" t="s">
        <v>287</v>
      </c>
      <c r="D117" s="6">
        <v>1</v>
      </c>
      <c r="E117" s="6">
        <v>2</v>
      </c>
      <c r="F117" s="6">
        <v>6.8250000000000003E-3</v>
      </c>
      <c r="G117" s="6">
        <v>0.14647500000000002</v>
      </c>
      <c r="H117" s="11">
        <v>0</v>
      </c>
      <c r="I117" s="10">
        <f t="shared" si="1"/>
        <v>93.75</v>
      </c>
      <c r="J117" s="6" t="s">
        <v>1010</v>
      </c>
    </row>
    <row r="118" spans="1:10" x14ac:dyDescent="0.3">
      <c r="A118" s="6" t="s">
        <v>1785</v>
      </c>
      <c r="B118" s="6" t="s">
        <v>285</v>
      </c>
      <c r="C118" s="6" t="s">
        <v>287</v>
      </c>
      <c r="D118" s="6">
        <v>1</v>
      </c>
      <c r="E118" s="6">
        <v>2</v>
      </c>
      <c r="F118" s="6">
        <v>6.8250000000000003E-3</v>
      </c>
      <c r="G118" s="6">
        <v>0.14752500000000002</v>
      </c>
      <c r="H118" s="11">
        <v>0</v>
      </c>
      <c r="I118" s="10">
        <f t="shared" si="1"/>
        <v>93.75</v>
      </c>
      <c r="J118" s="6" t="s">
        <v>1010</v>
      </c>
    </row>
    <row r="119" spans="1:10" x14ac:dyDescent="0.3">
      <c r="A119" s="6" t="s">
        <v>1786</v>
      </c>
      <c r="B119" s="6" t="s">
        <v>339</v>
      </c>
      <c r="C119" s="6" t="s">
        <v>341</v>
      </c>
      <c r="D119" s="6">
        <v>1</v>
      </c>
      <c r="E119" s="6">
        <v>2</v>
      </c>
      <c r="F119" s="6">
        <v>7.1400000000000005E-3</v>
      </c>
      <c r="G119" s="6">
        <v>0.21642000000000003</v>
      </c>
      <c r="H119" s="11">
        <v>0</v>
      </c>
      <c r="I119" s="10">
        <f t="shared" si="1"/>
        <v>75</v>
      </c>
      <c r="J119" s="6" t="s">
        <v>1778</v>
      </c>
    </row>
    <row r="120" spans="1:10" x14ac:dyDescent="0.3">
      <c r="A120" s="6" t="s">
        <v>1787</v>
      </c>
      <c r="B120" s="6" t="s">
        <v>339</v>
      </c>
      <c r="C120" s="6" t="s">
        <v>341</v>
      </c>
      <c r="D120" s="6">
        <v>1</v>
      </c>
      <c r="E120" s="6">
        <v>2</v>
      </c>
      <c r="F120" s="6">
        <v>7.1400000000000005E-3</v>
      </c>
      <c r="G120" s="6">
        <v>0.21948000000000001</v>
      </c>
      <c r="H120" s="11">
        <v>0</v>
      </c>
      <c r="I120" s="10">
        <f t="shared" si="1"/>
        <v>75</v>
      </c>
      <c r="J120" s="6" t="s">
        <v>1778</v>
      </c>
    </row>
    <row r="121" spans="1:10" x14ac:dyDescent="0.3">
      <c r="A121" s="6" t="s">
        <v>1788</v>
      </c>
      <c r="B121" s="6" t="s">
        <v>339</v>
      </c>
      <c r="C121" s="6" t="s">
        <v>341</v>
      </c>
      <c r="D121" s="6">
        <v>1</v>
      </c>
      <c r="E121" s="6">
        <v>2</v>
      </c>
      <c r="F121" s="6">
        <v>3.5999999999999999E-3</v>
      </c>
      <c r="G121" s="6">
        <v>0.21627000000000002</v>
      </c>
      <c r="H121" s="11">
        <v>0</v>
      </c>
      <c r="I121" s="10">
        <f t="shared" si="1"/>
        <v>112.5</v>
      </c>
      <c r="J121" s="6" t="s">
        <v>1754</v>
      </c>
    </row>
    <row r="122" spans="1:10" x14ac:dyDescent="0.3">
      <c r="A122" s="6" t="s">
        <v>1789</v>
      </c>
      <c r="B122" s="6" t="s">
        <v>339</v>
      </c>
      <c r="C122" s="6" t="s">
        <v>341</v>
      </c>
      <c r="D122" s="6">
        <v>1</v>
      </c>
      <c r="E122" s="6">
        <v>2</v>
      </c>
      <c r="F122" s="6">
        <v>7.1400000000000005E-3</v>
      </c>
      <c r="G122" s="6">
        <v>0.21948000000000001</v>
      </c>
      <c r="H122" s="11">
        <v>0</v>
      </c>
      <c r="I122" s="10">
        <f t="shared" si="1"/>
        <v>75</v>
      </c>
      <c r="J122" s="6" t="s">
        <v>1778</v>
      </c>
    </row>
    <row r="123" spans="1:10" x14ac:dyDescent="0.3">
      <c r="A123" s="6" t="s">
        <v>1790</v>
      </c>
      <c r="B123" s="6" t="s">
        <v>352</v>
      </c>
      <c r="C123" s="6" t="s">
        <v>354</v>
      </c>
      <c r="D123" s="6">
        <v>1</v>
      </c>
      <c r="E123" s="6">
        <v>2</v>
      </c>
      <c r="F123" s="6">
        <v>5.4900000000000001E-3</v>
      </c>
      <c r="G123" s="6">
        <v>0.21806999999999999</v>
      </c>
      <c r="H123" s="11">
        <v>0</v>
      </c>
      <c r="I123" s="10">
        <f t="shared" si="1"/>
        <v>112.5</v>
      </c>
      <c r="J123" s="6" t="s">
        <v>1754</v>
      </c>
    </row>
    <row r="124" spans="1:10" x14ac:dyDescent="0.3">
      <c r="A124" s="6" t="s">
        <v>1791</v>
      </c>
      <c r="B124" s="6" t="s">
        <v>352</v>
      </c>
      <c r="C124" s="6" t="s">
        <v>354</v>
      </c>
      <c r="D124" s="6">
        <v>1</v>
      </c>
      <c r="E124" s="6">
        <v>2</v>
      </c>
      <c r="F124" s="6">
        <v>5.4900000000000001E-3</v>
      </c>
      <c r="G124" s="6">
        <v>0.21834000000000001</v>
      </c>
      <c r="H124" s="11">
        <v>0</v>
      </c>
      <c r="I124" s="10">
        <f t="shared" si="1"/>
        <v>112.5</v>
      </c>
      <c r="J124" s="6" t="s">
        <v>1754</v>
      </c>
    </row>
    <row r="125" spans="1:10" x14ac:dyDescent="0.3">
      <c r="A125" s="6" t="s">
        <v>1792</v>
      </c>
      <c r="B125" s="6" t="s">
        <v>295</v>
      </c>
      <c r="C125" s="6" t="s">
        <v>296</v>
      </c>
      <c r="D125" s="6">
        <v>1</v>
      </c>
      <c r="E125" s="6">
        <v>2</v>
      </c>
      <c r="F125" s="6">
        <v>3.5099999999999997E-3</v>
      </c>
      <c r="G125" s="6">
        <v>0.22149000000000002</v>
      </c>
      <c r="H125" s="11">
        <v>0</v>
      </c>
      <c r="I125" s="10">
        <f t="shared" si="1"/>
        <v>112.5</v>
      </c>
      <c r="J125" s="6" t="s">
        <v>1754</v>
      </c>
    </row>
    <row r="126" spans="1:10" x14ac:dyDescent="0.3">
      <c r="A126" s="6" t="s">
        <v>1793</v>
      </c>
      <c r="B126" s="6" t="s">
        <v>364</v>
      </c>
      <c r="C126" s="6" t="s">
        <v>366</v>
      </c>
      <c r="D126" s="6">
        <v>1</v>
      </c>
      <c r="E126" s="6">
        <v>2</v>
      </c>
      <c r="F126" s="6">
        <v>7.8299999999999984E-3</v>
      </c>
      <c r="G126" s="6">
        <v>0.23094000000000001</v>
      </c>
      <c r="H126" s="11">
        <v>0</v>
      </c>
      <c r="I126" s="10">
        <f t="shared" si="1"/>
        <v>112.5</v>
      </c>
      <c r="J126" s="6" t="s">
        <v>1754</v>
      </c>
    </row>
    <row r="127" spans="1:10" x14ac:dyDescent="0.3">
      <c r="A127" s="6" t="s">
        <v>1794</v>
      </c>
      <c r="B127" s="6" t="s">
        <v>364</v>
      </c>
      <c r="C127" s="6" t="s">
        <v>366</v>
      </c>
      <c r="D127" s="6">
        <v>1</v>
      </c>
      <c r="E127" s="6">
        <v>2</v>
      </c>
      <c r="F127" s="6">
        <v>7.8299999999999984E-3</v>
      </c>
      <c r="G127" s="6">
        <v>0.23391000000000001</v>
      </c>
      <c r="H127" s="11">
        <v>0</v>
      </c>
      <c r="I127" s="10">
        <f t="shared" si="1"/>
        <v>112.5</v>
      </c>
      <c r="J127" s="6" t="s">
        <v>1754</v>
      </c>
    </row>
    <row r="128" spans="1:10" x14ac:dyDescent="0.3">
      <c r="A128" s="6" t="s">
        <v>1795</v>
      </c>
      <c r="B128" s="6" t="s">
        <v>368</v>
      </c>
      <c r="C128" s="6" t="s">
        <v>369</v>
      </c>
      <c r="D128" s="6">
        <v>1</v>
      </c>
      <c r="E128" s="6">
        <v>2</v>
      </c>
      <c r="F128" s="6">
        <v>5.6249999999999998E-3</v>
      </c>
      <c r="G128" s="6">
        <v>0.12298499999999998</v>
      </c>
      <c r="H128" s="11">
        <v>0</v>
      </c>
      <c r="I128" s="10">
        <f t="shared" si="1"/>
        <v>56.25</v>
      </c>
      <c r="J128" s="6" t="s">
        <v>1796</v>
      </c>
    </row>
    <row r="129" spans="1:10" x14ac:dyDescent="0.3">
      <c r="A129" s="6" t="s">
        <v>1797</v>
      </c>
      <c r="B129" s="6" t="s">
        <v>368</v>
      </c>
      <c r="C129" s="6" t="s">
        <v>369</v>
      </c>
      <c r="D129" s="6">
        <v>1</v>
      </c>
      <c r="E129" s="6">
        <v>2</v>
      </c>
      <c r="F129" s="6">
        <v>5.535E-3</v>
      </c>
      <c r="G129" s="6">
        <v>0.12321</v>
      </c>
      <c r="H129" s="11">
        <v>0</v>
      </c>
      <c r="I129" s="10">
        <f t="shared" si="1"/>
        <v>56.25</v>
      </c>
      <c r="J129" s="6" t="s">
        <v>1796</v>
      </c>
    </row>
    <row r="130" spans="1:10" x14ac:dyDescent="0.3">
      <c r="A130" s="6" t="s">
        <v>1798</v>
      </c>
      <c r="B130" s="6" t="s">
        <v>372</v>
      </c>
      <c r="C130" s="6" t="s">
        <v>374</v>
      </c>
      <c r="D130" s="6">
        <v>1</v>
      </c>
      <c r="E130" s="6">
        <v>2</v>
      </c>
      <c r="F130" s="6">
        <v>5.6699999999999997E-3</v>
      </c>
      <c r="G130" s="6">
        <v>0.12240000000000001</v>
      </c>
      <c r="H130" s="11">
        <v>0</v>
      </c>
      <c r="I130" s="10">
        <f t="shared" si="1"/>
        <v>56.25</v>
      </c>
      <c r="J130" s="6" t="s">
        <v>1796</v>
      </c>
    </row>
    <row r="131" spans="1:10" x14ac:dyDescent="0.3">
      <c r="A131" s="6" t="s">
        <v>1799</v>
      </c>
      <c r="B131" s="6" t="s">
        <v>372</v>
      </c>
      <c r="C131" s="6" t="s">
        <v>374</v>
      </c>
      <c r="D131" s="6">
        <v>1</v>
      </c>
      <c r="E131" s="6">
        <v>2</v>
      </c>
      <c r="F131" s="6">
        <v>5.6699999999999997E-3</v>
      </c>
      <c r="G131" s="6">
        <v>0.12298499999999998</v>
      </c>
      <c r="H131" s="11">
        <v>0</v>
      </c>
      <c r="I131" s="10">
        <f t="shared" ref="I131:I185" si="2">J131*1.25</f>
        <v>56.25</v>
      </c>
      <c r="J131" s="6" t="s">
        <v>1796</v>
      </c>
    </row>
    <row r="132" spans="1:10" x14ac:dyDescent="0.3">
      <c r="A132" s="6" t="s">
        <v>1800</v>
      </c>
      <c r="B132" s="6" t="s">
        <v>372</v>
      </c>
      <c r="C132" s="6" t="s">
        <v>374</v>
      </c>
      <c r="D132" s="6">
        <v>1</v>
      </c>
      <c r="E132" s="6">
        <v>2</v>
      </c>
      <c r="F132" s="6">
        <v>4.6800000000000001E-3</v>
      </c>
      <c r="G132" s="6">
        <v>0.15071999999999999</v>
      </c>
      <c r="H132" s="11">
        <v>0</v>
      </c>
      <c r="I132" s="10">
        <f t="shared" si="2"/>
        <v>75</v>
      </c>
      <c r="J132" s="6" t="s">
        <v>1778</v>
      </c>
    </row>
    <row r="133" spans="1:10" x14ac:dyDescent="0.3">
      <c r="A133" s="6" t="s">
        <v>1801</v>
      </c>
      <c r="B133" s="6" t="s">
        <v>381</v>
      </c>
      <c r="C133" s="6" t="s">
        <v>383</v>
      </c>
      <c r="D133" s="6">
        <v>1</v>
      </c>
      <c r="E133" s="6">
        <v>2</v>
      </c>
      <c r="F133" s="6">
        <v>3.4200000000000003E-3</v>
      </c>
      <c r="G133" s="6">
        <v>0.113985</v>
      </c>
      <c r="H133" s="11">
        <v>0</v>
      </c>
      <c r="I133" s="10">
        <f t="shared" si="2"/>
        <v>56.25</v>
      </c>
      <c r="J133" s="6" t="s">
        <v>1796</v>
      </c>
    </row>
    <row r="134" spans="1:10" x14ac:dyDescent="0.3">
      <c r="A134" s="6" t="s">
        <v>1802</v>
      </c>
      <c r="B134" s="6" t="s">
        <v>381</v>
      </c>
      <c r="C134" s="6" t="s">
        <v>383</v>
      </c>
      <c r="D134" s="6">
        <v>1</v>
      </c>
      <c r="E134" s="6">
        <v>2</v>
      </c>
      <c r="F134" s="6">
        <v>3.4200000000000003E-3</v>
      </c>
      <c r="G134" s="6">
        <v>0.11470500000000002</v>
      </c>
      <c r="H134" s="11">
        <v>0</v>
      </c>
      <c r="I134" s="10">
        <f t="shared" si="2"/>
        <v>56.25</v>
      </c>
      <c r="J134" s="6" t="s">
        <v>1796</v>
      </c>
    </row>
    <row r="135" spans="1:10" x14ac:dyDescent="0.3">
      <c r="A135" s="6" t="s">
        <v>1803</v>
      </c>
      <c r="B135" s="6" t="s">
        <v>410</v>
      </c>
      <c r="C135" s="6" t="s">
        <v>412</v>
      </c>
      <c r="D135" s="6">
        <v>1</v>
      </c>
      <c r="E135" s="6">
        <v>2</v>
      </c>
      <c r="F135" s="6">
        <v>7.1400000000000005E-3</v>
      </c>
      <c r="G135" s="6">
        <v>0.16152</v>
      </c>
      <c r="H135" s="11">
        <v>0</v>
      </c>
      <c r="I135" s="10">
        <f t="shared" si="2"/>
        <v>75</v>
      </c>
      <c r="J135" s="6" t="s">
        <v>1778</v>
      </c>
    </row>
    <row r="136" spans="1:10" x14ac:dyDescent="0.3">
      <c r="A136" s="6" t="s">
        <v>1804</v>
      </c>
      <c r="B136" s="6" t="s">
        <v>425</v>
      </c>
      <c r="C136" s="6" t="s">
        <v>426</v>
      </c>
      <c r="D136" s="6">
        <v>1</v>
      </c>
      <c r="E136" s="6">
        <v>2</v>
      </c>
      <c r="F136" s="6">
        <v>3.5099999999999997E-3</v>
      </c>
      <c r="G136" s="6">
        <v>0.22149000000000002</v>
      </c>
      <c r="H136" s="11">
        <v>0</v>
      </c>
      <c r="I136" s="10">
        <f t="shared" si="2"/>
        <v>112.5</v>
      </c>
      <c r="J136" s="6" t="s">
        <v>1754</v>
      </c>
    </row>
    <row r="137" spans="1:10" x14ac:dyDescent="0.3">
      <c r="A137" s="6" t="s">
        <v>1805</v>
      </c>
      <c r="B137" s="6" t="s">
        <v>493</v>
      </c>
      <c r="C137" s="6" t="s">
        <v>495</v>
      </c>
      <c r="D137" s="6">
        <v>1</v>
      </c>
      <c r="E137" s="6">
        <v>2</v>
      </c>
      <c r="F137" s="6">
        <v>3.5099999999999997E-3</v>
      </c>
      <c r="G137" s="6">
        <v>0.22149000000000002</v>
      </c>
      <c r="H137" s="11">
        <v>0</v>
      </c>
      <c r="I137" s="10">
        <f t="shared" si="2"/>
        <v>112.5</v>
      </c>
      <c r="J137" s="6" t="s">
        <v>1754</v>
      </c>
    </row>
    <row r="138" spans="1:10" x14ac:dyDescent="0.3">
      <c r="A138" s="6" t="s">
        <v>1806</v>
      </c>
      <c r="B138" s="6" t="s">
        <v>496</v>
      </c>
      <c r="C138" s="6" t="s">
        <v>497</v>
      </c>
      <c r="D138" s="6">
        <v>1</v>
      </c>
      <c r="E138" s="6">
        <v>2</v>
      </c>
      <c r="F138" s="6">
        <v>3.5099999999999997E-3</v>
      </c>
      <c r="G138" s="6">
        <v>0.22149000000000002</v>
      </c>
      <c r="H138" s="11">
        <v>0</v>
      </c>
      <c r="I138" s="10">
        <f t="shared" si="2"/>
        <v>112.5</v>
      </c>
      <c r="J138" s="6" t="s">
        <v>1754</v>
      </c>
    </row>
    <row r="139" spans="1:10" x14ac:dyDescent="0.3">
      <c r="A139" s="6" t="s">
        <v>1807</v>
      </c>
      <c r="B139" s="6" t="s">
        <v>496</v>
      </c>
      <c r="C139" s="6" t="s">
        <v>497</v>
      </c>
      <c r="D139" s="6">
        <v>1</v>
      </c>
      <c r="E139" s="6">
        <v>2</v>
      </c>
      <c r="F139" s="6">
        <v>3.5099999999999997E-3</v>
      </c>
      <c r="G139" s="6">
        <v>0.22149000000000002</v>
      </c>
      <c r="H139" s="11">
        <v>0</v>
      </c>
      <c r="I139" s="10">
        <f t="shared" si="2"/>
        <v>112.5</v>
      </c>
      <c r="J139" s="6" t="s">
        <v>1754</v>
      </c>
    </row>
    <row r="140" spans="1:10" x14ac:dyDescent="0.3">
      <c r="A140" s="6" t="s">
        <v>1808</v>
      </c>
      <c r="B140" s="6" t="s">
        <v>525</v>
      </c>
      <c r="C140" s="6" t="s">
        <v>526</v>
      </c>
      <c r="D140" s="6">
        <v>1</v>
      </c>
      <c r="E140" s="6">
        <v>2</v>
      </c>
      <c r="F140" s="6">
        <v>5.2199999999999998E-3</v>
      </c>
      <c r="G140" s="6">
        <v>0.12500999999999998</v>
      </c>
      <c r="H140" s="11">
        <v>0</v>
      </c>
      <c r="I140" s="10">
        <f t="shared" si="2"/>
        <v>56.25</v>
      </c>
      <c r="J140" s="6" t="s">
        <v>1796</v>
      </c>
    </row>
    <row r="141" spans="1:10" x14ac:dyDescent="0.3">
      <c r="A141" s="6" t="s">
        <v>1809</v>
      </c>
      <c r="B141" s="6" t="s">
        <v>525</v>
      </c>
      <c r="C141" s="6" t="s">
        <v>526</v>
      </c>
      <c r="D141" s="6">
        <v>1</v>
      </c>
      <c r="E141" s="6">
        <v>2</v>
      </c>
      <c r="F141" s="6">
        <v>5.2199999999999998E-3</v>
      </c>
      <c r="G141" s="6">
        <v>0.124695</v>
      </c>
      <c r="H141" s="11">
        <v>0</v>
      </c>
      <c r="I141" s="10">
        <f t="shared" si="2"/>
        <v>56.25</v>
      </c>
      <c r="J141" s="6" t="s">
        <v>1796</v>
      </c>
    </row>
    <row r="142" spans="1:10" x14ac:dyDescent="0.3">
      <c r="A142" s="6" t="s">
        <v>1810</v>
      </c>
      <c r="B142" s="6" t="s">
        <v>534</v>
      </c>
      <c r="C142" s="6" t="s">
        <v>535</v>
      </c>
      <c r="D142" s="6">
        <v>1</v>
      </c>
      <c r="E142" s="6">
        <v>2</v>
      </c>
      <c r="F142" s="6">
        <v>5.6249999999999998E-3</v>
      </c>
      <c r="G142" s="6">
        <v>0.12640499999999999</v>
      </c>
      <c r="H142" s="11">
        <v>0</v>
      </c>
      <c r="I142" s="10">
        <f t="shared" si="2"/>
        <v>56.25</v>
      </c>
      <c r="J142" s="6" t="s">
        <v>1796</v>
      </c>
    </row>
    <row r="143" spans="1:10" x14ac:dyDescent="0.3">
      <c r="A143" s="6" t="s">
        <v>1811</v>
      </c>
      <c r="B143" s="6" t="s">
        <v>534</v>
      </c>
      <c r="C143" s="6" t="s">
        <v>535</v>
      </c>
      <c r="D143" s="6">
        <v>1</v>
      </c>
      <c r="E143" s="6">
        <v>2</v>
      </c>
      <c r="F143" s="6">
        <v>5.4900000000000001E-3</v>
      </c>
      <c r="G143" s="6">
        <v>0.12437999999999999</v>
      </c>
      <c r="H143" s="11">
        <v>0</v>
      </c>
      <c r="I143" s="10">
        <f t="shared" si="2"/>
        <v>56.25</v>
      </c>
      <c r="J143" s="6" t="s">
        <v>1796</v>
      </c>
    </row>
    <row r="144" spans="1:10" x14ac:dyDescent="0.3">
      <c r="A144" s="6" t="s">
        <v>1812</v>
      </c>
      <c r="B144" s="6" t="s">
        <v>538</v>
      </c>
      <c r="C144" s="6" t="s">
        <v>540</v>
      </c>
      <c r="D144" s="6">
        <v>1</v>
      </c>
      <c r="E144" s="6">
        <v>2</v>
      </c>
      <c r="F144" s="6">
        <v>7.8299999999999984E-3</v>
      </c>
      <c r="G144" s="6">
        <v>0.2286</v>
      </c>
      <c r="H144" s="11">
        <v>0</v>
      </c>
      <c r="I144" s="10">
        <f t="shared" si="2"/>
        <v>112.5</v>
      </c>
      <c r="J144" s="6" t="s">
        <v>1754</v>
      </c>
    </row>
    <row r="145" spans="1:10" x14ac:dyDescent="0.3">
      <c r="A145" s="6" t="s">
        <v>1813</v>
      </c>
      <c r="B145" s="6" t="s">
        <v>538</v>
      </c>
      <c r="C145" s="6" t="s">
        <v>540</v>
      </c>
      <c r="D145" s="6">
        <v>1</v>
      </c>
      <c r="E145" s="6">
        <v>2</v>
      </c>
      <c r="F145" s="6">
        <v>7.7400000000000004E-3</v>
      </c>
      <c r="G145" s="6">
        <v>0.23121000000000003</v>
      </c>
      <c r="H145" s="11">
        <v>0</v>
      </c>
      <c r="I145" s="10">
        <f t="shared" si="2"/>
        <v>112.5</v>
      </c>
      <c r="J145" s="6" t="s">
        <v>1754</v>
      </c>
    </row>
    <row r="146" spans="1:10" x14ac:dyDescent="0.3">
      <c r="A146" s="6" t="s">
        <v>1814</v>
      </c>
      <c r="B146" s="6" t="s">
        <v>541</v>
      </c>
      <c r="C146" s="6" t="s">
        <v>542</v>
      </c>
      <c r="D146" s="6">
        <v>1</v>
      </c>
      <c r="E146" s="6">
        <v>2</v>
      </c>
      <c r="F146" s="6">
        <v>3.4200000000000003E-3</v>
      </c>
      <c r="G146" s="6">
        <v>0.1143</v>
      </c>
      <c r="H146" s="11">
        <v>0</v>
      </c>
      <c r="I146" s="10">
        <f t="shared" si="2"/>
        <v>56.25</v>
      </c>
      <c r="J146" s="6" t="s">
        <v>1796</v>
      </c>
    </row>
    <row r="147" spans="1:10" x14ac:dyDescent="0.3">
      <c r="A147" s="6" t="s">
        <v>1815</v>
      </c>
      <c r="B147" s="6" t="s">
        <v>541</v>
      </c>
      <c r="C147" s="6" t="s">
        <v>542</v>
      </c>
      <c r="D147" s="6">
        <v>1</v>
      </c>
      <c r="E147" s="6">
        <v>2</v>
      </c>
      <c r="F147" s="6">
        <v>3.4200000000000003E-3</v>
      </c>
      <c r="G147" s="6">
        <v>0.113985</v>
      </c>
      <c r="H147" s="11">
        <v>0</v>
      </c>
      <c r="I147" s="10">
        <f t="shared" si="2"/>
        <v>56.25</v>
      </c>
      <c r="J147" s="6" t="s">
        <v>1796</v>
      </c>
    </row>
    <row r="148" spans="1:10" x14ac:dyDescent="0.3">
      <c r="A148" s="6" t="s">
        <v>1816</v>
      </c>
      <c r="B148" s="6" t="s">
        <v>544</v>
      </c>
      <c r="C148" s="6" t="s">
        <v>545</v>
      </c>
      <c r="D148" s="6">
        <v>1</v>
      </c>
      <c r="E148" s="6">
        <v>2</v>
      </c>
      <c r="F148" s="6">
        <v>5.7600000000000004E-3</v>
      </c>
      <c r="G148" s="6">
        <v>0.12321</v>
      </c>
      <c r="H148" s="11">
        <v>0</v>
      </c>
      <c r="I148" s="10">
        <f t="shared" si="2"/>
        <v>56.25</v>
      </c>
      <c r="J148" s="6" t="s">
        <v>1796</v>
      </c>
    </row>
    <row r="149" spans="1:10" x14ac:dyDescent="0.3">
      <c r="A149" s="6" t="s">
        <v>1817</v>
      </c>
      <c r="B149" s="6" t="s">
        <v>544</v>
      </c>
      <c r="C149" s="6" t="s">
        <v>545</v>
      </c>
      <c r="D149" s="6">
        <v>1</v>
      </c>
      <c r="E149" s="6">
        <v>2</v>
      </c>
      <c r="F149" s="6">
        <v>5.7600000000000004E-3</v>
      </c>
      <c r="G149" s="6">
        <v>0.126</v>
      </c>
      <c r="H149" s="11">
        <v>0</v>
      </c>
      <c r="I149" s="10">
        <f t="shared" si="2"/>
        <v>56.25</v>
      </c>
      <c r="J149" s="6" t="s">
        <v>1796</v>
      </c>
    </row>
    <row r="150" spans="1:10" x14ac:dyDescent="0.3">
      <c r="A150" s="6" t="s">
        <v>1818</v>
      </c>
      <c r="B150" s="6" t="s">
        <v>616</v>
      </c>
      <c r="C150" s="6" t="s">
        <v>617</v>
      </c>
      <c r="D150" s="6">
        <v>1</v>
      </c>
      <c r="E150" s="6">
        <v>2</v>
      </c>
      <c r="F150" s="6">
        <v>4.4999999999999997E-3</v>
      </c>
      <c r="G150" s="6">
        <v>0.15029999999999999</v>
      </c>
      <c r="H150" s="11">
        <v>0</v>
      </c>
      <c r="I150" s="10">
        <f t="shared" si="2"/>
        <v>75</v>
      </c>
      <c r="J150" s="6" t="s">
        <v>1778</v>
      </c>
    </row>
    <row r="151" spans="1:10" x14ac:dyDescent="0.3">
      <c r="A151" s="6" t="s">
        <v>1819</v>
      </c>
      <c r="B151" s="6" t="s">
        <v>616</v>
      </c>
      <c r="C151" s="6" t="s">
        <v>617</v>
      </c>
      <c r="D151" s="6">
        <v>1</v>
      </c>
      <c r="E151" s="6">
        <v>2</v>
      </c>
      <c r="F151" s="6">
        <v>4.3800000000000002E-3</v>
      </c>
      <c r="G151" s="6">
        <v>0.15</v>
      </c>
      <c r="H151" s="11">
        <v>0</v>
      </c>
      <c r="I151" s="10">
        <f t="shared" si="2"/>
        <v>75</v>
      </c>
      <c r="J151" s="6" t="s">
        <v>1778</v>
      </c>
    </row>
    <row r="152" spans="1:10" x14ac:dyDescent="0.3">
      <c r="A152" s="6" t="s">
        <v>1820</v>
      </c>
      <c r="B152" s="6" t="s">
        <v>625</v>
      </c>
      <c r="C152" s="6" t="s">
        <v>627</v>
      </c>
      <c r="D152" s="6">
        <v>1</v>
      </c>
      <c r="E152" s="6">
        <v>2</v>
      </c>
      <c r="F152" s="6">
        <v>3.4200000000000003E-3</v>
      </c>
      <c r="G152" s="6">
        <v>0.21843000000000001</v>
      </c>
      <c r="H152" s="11">
        <v>0</v>
      </c>
      <c r="I152" s="10">
        <f t="shared" si="2"/>
        <v>112.5</v>
      </c>
      <c r="J152" s="6" t="s">
        <v>1754</v>
      </c>
    </row>
    <row r="153" spans="1:10" x14ac:dyDescent="0.3">
      <c r="A153" s="6" t="s">
        <v>1821</v>
      </c>
      <c r="B153" s="6" t="s">
        <v>625</v>
      </c>
      <c r="C153" s="6" t="s">
        <v>627</v>
      </c>
      <c r="D153" s="6">
        <v>1</v>
      </c>
      <c r="E153" s="6">
        <v>2</v>
      </c>
      <c r="F153" s="6">
        <v>3.4200000000000003E-3</v>
      </c>
      <c r="G153" s="6">
        <v>0.21771000000000001</v>
      </c>
      <c r="H153" s="11">
        <v>0</v>
      </c>
      <c r="I153" s="10">
        <f t="shared" si="2"/>
        <v>112.5</v>
      </c>
      <c r="J153" s="6" t="s">
        <v>1754</v>
      </c>
    </row>
    <row r="154" spans="1:10" x14ac:dyDescent="0.3">
      <c r="A154" s="6" t="s">
        <v>1822</v>
      </c>
      <c r="B154" s="6" t="s">
        <v>634</v>
      </c>
      <c r="C154" s="6" t="s">
        <v>636</v>
      </c>
      <c r="D154" s="6">
        <v>1</v>
      </c>
      <c r="E154" s="6">
        <v>2</v>
      </c>
      <c r="F154" s="6">
        <v>3.5099999999999997E-3</v>
      </c>
      <c r="G154" s="6">
        <v>0.22329000000000002</v>
      </c>
      <c r="H154" s="11">
        <v>0</v>
      </c>
      <c r="I154" s="10">
        <f t="shared" si="2"/>
        <v>112.5</v>
      </c>
      <c r="J154" s="6" t="s">
        <v>1754</v>
      </c>
    </row>
    <row r="155" spans="1:10" x14ac:dyDescent="0.3">
      <c r="A155" s="6" t="s">
        <v>1823</v>
      </c>
      <c r="B155" s="6" t="s">
        <v>634</v>
      </c>
      <c r="C155" s="6" t="s">
        <v>636</v>
      </c>
      <c r="D155" s="6">
        <v>1</v>
      </c>
      <c r="E155" s="6">
        <v>2</v>
      </c>
      <c r="F155" s="6">
        <v>3.5099999999999997E-3</v>
      </c>
      <c r="G155" s="6">
        <v>0.22409999999999999</v>
      </c>
      <c r="H155" s="11">
        <v>0</v>
      </c>
      <c r="I155" s="10">
        <f t="shared" si="2"/>
        <v>112.5</v>
      </c>
      <c r="J155" s="6" t="s">
        <v>1754</v>
      </c>
    </row>
    <row r="156" spans="1:10" x14ac:dyDescent="0.3">
      <c r="A156" s="6" t="s">
        <v>1824</v>
      </c>
      <c r="B156" s="6" t="s">
        <v>685</v>
      </c>
      <c r="C156" s="6" t="s">
        <v>687</v>
      </c>
      <c r="D156" s="6">
        <v>1</v>
      </c>
      <c r="E156" s="6">
        <v>2</v>
      </c>
      <c r="F156" s="6">
        <v>3.5099999999999997E-3</v>
      </c>
      <c r="G156" s="6">
        <v>0.22149000000000002</v>
      </c>
      <c r="H156" s="11">
        <v>0</v>
      </c>
      <c r="I156" s="10">
        <f t="shared" si="2"/>
        <v>112.5</v>
      </c>
      <c r="J156" s="6" t="s">
        <v>1754</v>
      </c>
    </row>
    <row r="157" spans="1:10" x14ac:dyDescent="0.3">
      <c r="A157" s="6" t="s">
        <v>1825</v>
      </c>
      <c r="B157" s="6" t="s">
        <v>670</v>
      </c>
      <c r="C157" s="6" t="s">
        <v>671</v>
      </c>
      <c r="D157" s="6">
        <v>1</v>
      </c>
      <c r="E157" s="6">
        <v>2</v>
      </c>
      <c r="F157" s="6">
        <v>7.8299999999999984E-3</v>
      </c>
      <c r="G157" s="6">
        <v>0.22941000000000003</v>
      </c>
      <c r="H157" s="11">
        <v>0</v>
      </c>
      <c r="I157" s="10">
        <f t="shared" si="2"/>
        <v>112.5</v>
      </c>
      <c r="J157" s="6" t="s">
        <v>1754</v>
      </c>
    </row>
    <row r="158" spans="1:10" x14ac:dyDescent="0.3">
      <c r="A158" s="6" t="s">
        <v>1826</v>
      </c>
      <c r="B158" s="6" t="s">
        <v>670</v>
      </c>
      <c r="C158" s="6" t="s">
        <v>671</v>
      </c>
      <c r="D158" s="6">
        <v>1</v>
      </c>
      <c r="E158" s="6">
        <v>2</v>
      </c>
      <c r="F158" s="6">
        <v>4.1399999999999996E-3</v>
      </c>
      <c r="G158" s="6">
        <v>0.21617999999999998</v>
      </c>
      <c r="H158" s="11">
        <v>0</v>
      </c>
      <c r="I158" s="10">
        <f t="shared" si="2"/>
        <v>112.5</v>
      </c>
      <c r="J158" s="6" t="s">
        <v>1754</v>
      </c>
    </row>
    <row r="159" spans="1:10" x14ac:dyDescent="0.3">
      <c r="A159" s="6" t="s">
        <v>1827</v>
      </c>
      <c r="B159" s="6" t="s">
        <v>681</v>
      </c>
      <c r="C159" s="6" t="s">
        <v>682</v>
      </c>
      <c r="D159" s="6">
        <v>1</v>
      </c>
      <c r="E159" s="6">
        <v>2</v>
      </c>
      <c r="F159" s="6">
        <v>7.8299999999999984E-3</v>
      </c>
      <c r="G159" s="6">
        <v>0.23184000000000002</v>
      </c>
      <c r="H159" s="11">
        <v>0</v>
      </c>
      <c r="I159" s="10">
        <f t="shared" si="2"/>
        <v>112.5</v>
      </c>
      <c r="J159" s="6" t="s">
        <v>1754</v>
      </c>
    </row>
    <row r="160" spans="1:10" x14ac:dyDescent="0.3">
      <c r="A160" s="6" t="s">
        <v>1828</v>
      </c>
      <c r="B160" s="6" t="s">
        <v>681</v>
      </c>
      <c r="C160" s="6" t="s">
        <v>682</v>
      </c>
      <c r="D160" s="6">
        <v>1</v>
      </c>
      <c r="E160" s="6">
        <v>2</v>
      </c>
      <c r="F160" s="6">
        <v>7.8299999999999984E-3</v>
      </c>
      <c r="G160" s="6">
        <v>0.22797000000000001</v>
      </c>
      <c r="H160" s="11">
        <v>0</v>
      </c>
      <c r="I160" s="10">
        <f t="shared" si="2"/>
        <v>112.5</v>
      </c>
      <c r="J160" s="6" t="s">
        <v>1754</v>
      </c>
    </row>
    <row r="161" spans="1:10" x14ac:dyDescent="0.3">
      <c r="A161" s="6" t="s">
        <v>1829</v>
      </c>
      <c r="B161" s="6" t="s">
        <v>726</v>
      </c>
      <c r="C161" s="6" t="s">
        <v>727</v>
      </c>
      <c r="D161" s="6">
        <v>1</v>
      </c>
      <c r="E161" s="6">
        <v>2</v>
      </c>
      <c r="F161" s="6">
        <v>3.5099999999999997E-3</v>
      </c>
      <c r="G161" s="6">
        <v>0.2223</v>
      </c>
      <c r="H161" s="11">
        <v>0</v>
      </c>
      <c r="I161" s="10">
        <f t="shared" si="2"/>
        <v>112.5</v>
      </c>
      <c r="J161" s="6" t="s">
        <v>1754</v>
      </c>
    </row>
    <row r="162" spans="1:10" x14ac:dyDescent="0.3">
      <c r="A162" s="6" t="s">
        <v>1830</v>
      </c>
      <c r="B162" s="6" t="s">
        <v>726</v>
      </c>
      <c r="C162" s="6" t="s">
        <v>727</v>
      </c>
      <c r="D162" s="6">
        <v>1</v>
      </c>
      <c r="E162" s="6">
        <v>2</v>
      </c>
      <c r="F162" s="6">
        <v>3.5099999999999997E-3</v>
      </c>
      <c r="G162" s="6">
        <v>0.22238999999999998</v>
      </c>
      <c r="H162" s="11">
        <v>0</v>
      </c>
      <c r="I162" s="10">
        <f t="shared" si="2"/>
        <v>112.5</v>
      </c>
      <c r="J162" s="6" t="s">
        <v>1754</v>
      </c>
    </row>
    <row r="163" spans="1:10" x14ac:dyDescent="0.3">
      <c r="A163" s="6" t="s">
        <v>1831</v>
      </c>
      <c r="B163" s="6" t="s">
        <v>735</v>
      </c>
      <c r="C163" s="6" t="s">
        <v>737</v>
      </c>
      <c r="D163" s="6">
        <v>1</v>
      </c>
      <c r="E163" s="6">
        <v>2</v>
      </c>
      <c r="F163" s="6">
        <v>3.4200000000000003E-3</v>
      </c>
      <c r="G163" s="6">
        <v>0.11348999999999998</v>
      </c>
      <c r="H163" s="11">
        <v>0</v>
      </c>
      <c r="I163" s="10">
        <f t="shared" si="2"/>
        <v>56.25</v>
      </c>
      <c r="J163" s="6" t="s">
        <v>1796</v>
      </c>
    </row>
    <row r="164" spans="1:10" x14ac:dyDescent="0.3">
      <c r="A164" s="6" t="s">
        <v>1832</v>
      </c>
      <c r="B164" s="6" t="s">
        <v>735</v>
      </c>
      <c r="C164" s="6" t="s">
        <v>737</v>
      </c>
      <c r="D164" s="6">
        <v>1</v>
      </c>
      <c r="E164" s="6">
        <v>2</v>
      </c>
      <c r="F164" s="6">
        <v>3.4200000000000003E-3</v>
      </c>
      <c r="G164" s="6">
        <v>0.11321999999999999</v>
      </c>
      <c r="H164" s="11">
        <v>0</v>
      </c>
      <c r="I164" s="10">
        <f t="shared" si="2"/>
        <v>56.25</v>
      </c>
      <c r="J164" s="6" t="s">
        <v>1796</v>
      </c>
    </row>
    <row r="165" spans="1:10" x14ac:dyDescent="0.3">
      <c r="A165" s="6" t="s">
        <v>1833</v>
      </c>
      <c r="B165" s="6" t="s">
        <v>772</v>
      </c>
      <c r="C165" s="6" t="s">
        <v>774</v>
      </c>
      <c r="D165" s="6">
        <v>1</v>
      </c>
      <c r="E165" s="6">
        <v>2</v>
      </c>
      <c r="F165" s="6">
        <v>3.5099999999999997E-3</v>
      </c>
      <c r="G165" s="6">
        <v>0.22149000000000002</v>
      </c>
      <c r="H165" s="11">
        <v>0</v>
      </c>
      <c r="I165" s="10">
        <f t="shared" si="2"/>
        <v>112.5</v>
      </c>
      <c r="J165" s="6" t="s">
        <v>1754</v>
      </c>
    </row>
    <row r="166" spans="1:10" x14ac:dyDescent="0.3">
      <c r="A166" s="6" t="s">
        <v>1834</v>
      </c>
      <c r="B166" s="6" t="s">
        <v>765</v>
      </c>
      <c r="C166" s="6" t="s">
        <v>769</v>
      </c>
      <c r="D166" s="6">
        <v>1</v>
      </c>
      <c r="E166" s="6">
        <v>2</v>
      </c>
      <c r="F166" s="6">
        <v>1.5899999999999997E-2</v>
      </c>
      <c r="G166" s="6">
        <v>0.18456</v>
      </c>
      <c r="H166" s="11">
        <v>0</v>
      </c>
      <c r="I166" s="10">
        <f t="shared" si="2"/>
        <v>75</v>
      </c>
      <c r="J166" s="6" t="s">
        <v>1778</v>
      </c>
    </row>
    <row r="167" spans="1:10" x14ac:dyDescent="0.3">
      <c r="A167" s="6" t="s">
        <v>1835</v>
      </c>
      <c r="B167" s="6" t="s">
        <v>788</v>
      </c>
      <c r="C167" s="6" t="s">
        <v>790</v>
      </c>
      <c r="D167" s="6">
        <v>1</v>
      </c>
      <c r="E167" s="6">
        <v>2</v>
      </c>
      <c r="F167" s="6">
        <v>3.5099999999999997E-3</v>
      </c>
      <c r="G167" s="6">
        <v>0.22329000000000002</v>
      </c>
      <c r="H167" s="11">
        <v>0</v>
      </c>
      <c r="I167" s="10">
        <f t="shared" si="2"/>
        <v>112.5</v>
      </c>
      <c r="J167" s="6" t="s">
        <v>1754</v>
      </c>
    </row>
    <row r="168" spans="1:10" x14ac:dyDescent="0.3">
      <c r="A168" s="13" t="s">
        <v>1836</v>
      </c>
      <c r="B168" s="13" t="s">
        <v>788</v>
      </c>
      <c r="C168" s="13" t="s">
        <v>790</v>
      </c>
      <c r="D168" s="13">
        <v>1</v>
      </c>
      <c r="E168" s="13">
        <v>2</v>
      </c>
      <c r="F168" s="13">
        <v>3.5099999999999997E-3</v>
      </c>
      <c r="G168" s="13">
        <v>0.22392000000000001</v>
      </c>
      <c r="H168" s="11">
        <v>0</v>
      </c>
      <c r="I168" s="10">
        <f t="shared" si="2"/>
        <v>112.5</v>
      </c>
      <c r="J168" s="13" t="s">
        <v>1754</v>
      </c>
    </row>
    <row r="169" spans="1:10" x14ac:dyDescent="0.3">
      <c r="A169" s="6" t="s">
        <v>1837</v>
      </c>
      <c r="B169" s="14" t="s">
        <v>150</v>
      </c>
      <c r="C169" s="14" t="s">
        <v>148</v>
      </c>
      <c r="D169" s="6">
        <v>1</v>
      </c>
      <c r="E169" s="6">
        <v>2</v>
      </c>
      <c r="F169" s="15" t="s">
        <v>1838</v>
      </c>
      <c r="G169" s="15" t="s">
        <v>1839</v>
      </c>
      <c r="H169" s="11">
        <v>0</v>
      </c>
      <c r="I169" s="10">
        <f t="shared" si="2"/>
        <v>300</v>
      </c>
      <c r="J169" s="6" t="s">
        <v>1840</v>
      </c>
    </row>
    <row r="170" spans="1:10" x14ac:dyDescent="0.3">
      <c r="A170" s="6" t="s">
        <v>1841</v>
      </c>
      <c r="B170" s="14" t="s">
        <v>150</v>
      </c>
      <c r="C170" s="14" t="s">
        <v>148</v>
      </c>
      <c r="D170" s="6">
        <v>1</v>
      </c>
      <c r="E170" s="6">
        <v>2</v>
      </c>
      <c r="F170" s="15" t="s">
        <v>1838</v>
      </c>
      <c r="G170" s="15" t="s">
        <v>1839</v>
      </c>
      <c r="H170" s="11">
        <v>0</v>
      </c>
      <c r="I170" s="10">
        <f t="shared" si="2"/>
        <v>300</v>
      </c>
      <c r="J170" s="6" t="s">
        <v>1840</v>
      </c>
    </row>
    <row r="171" spans="1:10" x14ac:dyDescent="0.3">
      <c r="A171" s="6" t="s">
        <v>1842</v>
      </c>
      <c r="B171" s="14" t="s">
        <v>193</v>
      </c>
      <c r="C171" s="14" t="s">
        <v>191</v>
      </c>
      <c r="D171" s="6">
        <v>1</v>
      </c>
      <c r="E171" s="6">
        <v>2</v>
      </c>
      <c r="F171" s="15" t="s">
        <v>1843</v>
      </c>
      <c r="G171" s="15" t="s">
        <v>1844</v>
      </c>
      <c r="H171" s="11">
        <v>0</v>
      </c>
      <c r="I171" s="10">
        <f t="shared" si="2"/>
        <v>300</v>
      </c>
      <c r="J171" s="6" t="s">
        <v>1840</v>
      </c>
    </row>
    <row r="172" spans="1:10" x14ac:dyDescent="0.3">
      <c r="A172" s="6" t="s">
        <v>1845</v>
      </c>
      <c r="B172" s="14" t="s">
        <v>193</v>
      </c>
      <c r="C172" s="14" t="s">
        <v>191</v>
      </c>
      <c r="D172" s="6">
        <v>1</v>
      </c>
      <c r="E172" s="6">
        <v>2</v>
      </c>
      <c r="F172" s="15" t="s">
        <v>1838</v>
      </c>
      <c r="G172" s="15" t="s">
        <v>1839</v>
      </c>
      <c r="H172" s="11">
        <v>0</v>
      </c>
      <c r="I172" s="10">
        <f t="shared" si="2"/>
        <v>300</v>
      </c>
      <c r="J172" s="6" t="s">
        <v>1840</v>
      </c>
    </row>
    <row r="173" spans="1:10" x14ac:dyDescent="0.3">
      <c r="A173" s="6" t="s">
        <v>1846</v>
      </c>
      <c r="B173" s="14" t="s">
        <v>193</v>
      </c>
      <c r="C173" s="14" t="s">
        <v>191</v>
      </c>
      <c r="D173" s="6">
        <v>1</v>
      </c>
      <c r="E173" s="6">
        <v>2</v>
      </c>
      <c r="F173" s="15" t="s">
        <v>1838</v>
      </c>
      <c r="G173" s="15" t="s">
        <v>1847</v>
      </c>
      <c r="H173" s="11">
        <v>0</v>
      </c>
      <c r="I173" s="10">
        <f t="shared" si="2"/>
        <v>300</v>
      </c>
      <c r="J173" s="6" t="s">
        <v>1840</v>
      </c>
    </row>
    <row r="174" spans="1:10" x14ac:dyDescent="0.3">
      <c r="A174" s="6" t="s">
        <v>1848</v>
      </c>
      <c r="B174" s="14" t="s">
        <v>280</v>
      </c>
      <c r="C174" s="14" t="s">
        <v>278</v>
      </c>
      <c r="D174" s="6">
        <v>1</v>
      </c>
      <c r="E174" s="6">
        <v>2</v>
      </c>
      <c r="F174" s="15" t="s">
        <v>827</v>
      </c>
      <c r="G174" s="15" t="s">
        <v>1849</v>
      </c>
      <c r="H174" s="11">
        <v>0</v>
      </c>
      <c r="I174" s="10">
        <f t="shared" si="2"/>
        <v>300</v>
      </c>
      <c r="J174" s="6" t="s">
        <v>1840</v>
      </c>
    </row>
    <row r="175" spans="1:10" x14ac:dyDescent="0.3">
      <c r="A175" s="6" t="s">
        <v>1850</v>
      </c>
      <c r="B175" s="14" t="s">
        <v>280</v>
      </c>
      <c r="C175" s="14" t="s">
        <v>278</v>
      </c>
      <c r="D175" s="6">
        <v>1</v>
      </c>
      <c r="E175" s="6">
        <v>2</v>
      </c>
      <c r="F175" s="15" t="s">
        <v>1843</v>
      </c>
      <c r="G175" s="15" t="s">
        <v>1844</v>
      </c>
      <c r="H175" s="11">
        <v>0</v>
      </c>
      <c r="I175" s="10">
        <f t="shared" si="2"/>
        <v>300</v>
      </c>
      <c r="J175" s="6" t="s">
        <v>1840</v>
      </c>
    </row>
    <row r="176" spans="1:10" x14ac:dyDescent="0.3">
      <c r="A176" s="6" t="s">
        <v>1851</v>
      </c>
      <c r="B176" s="14" t="s">
        <v>442</v>
      </c>
      <c r="C176" s="14" t="s">
        <v>440</v>
      </c>
      <c r="D176" s="6">
        <v>1</v>
      </c>
      <c r="E176" s="6">
        <v>2</v>
      </c>
      <c r="F176" s="15" t="s">
        <v>1838</v>
      </c>
      <c r="G176" s="15" t="s">
        <v>1852</v>
      </c>
      <c r="H176" s="11">
        <v>0</v>
      </c>
      <c r="I176" s="10">
        <f t="shared" si="2"/>
        <v>300</v>
      </c>
      <c r="J176" s="6" t="s">
        <v>1840</v>
      </c>
    </row>
    <row r="177" spans="1:10" x14ac:dyDescent="0.3">
      <c r="A177" s="6" t="s">
        <v>1853</v>
      </c>
      <c r="B177" s="14" t="s">
        <v>442</v>
      </c>
      <c r="C177" s="14" t="s">
        <v>440</v>
      </c>
      <c r="D177" s="6">
        <v>1</v>
      </c>
      <c r="E177" s="6">
        <v>2</v>
      </c>
      <c r="F177" s="15" t="s">
        <v>1838</v>
      </c>
      <c r="G177" s="15" t="s">
        <v>1852</v>
      </c>
      <c r="H177" s="11">
        <v>0</v>
      </c>
      <c r="I177" s="10">
        <f t="shared" si="2"/>
        <v>300</v>
      </c>
      <c r="J177" s="6" t="s">
        <v>1840</v>
      </c>
    </row>
    <row r="178" spans="1:10" x14ac:dyDescent="0.3">
      <c r="A178" s="6" t="s">
        <v>1854</v>
      </c>
      <c r="B178" s="14" t="s">
        <v>442</v>
      </c>
      <c r="C178" s="14" t="s">
        <v>440</v>
      </c>
      <c r="D178" s="6">
        <v>1</v>
      </c>
      <c r="E178" s="6">
        <v>2</v>
      </c>
      <c r="F178" s="15" t="s">
        <v>827</v>
      </c>
      <c r="G178" s="15" t="s">
        <v>918</v>
      </c>
      <c r="H178" s="11">
        <v>0</v>
      </c>
      <c r="I178" s="10">
        <f t="shared" si="2"/>
        <v>300</v>
      </c>
      <c r="J178" s="6" t="s">
        <v>1840</v>
      </c>
    </row>
    <row r="179" spans="1:10" x14ac:dyDescent="0.3">
      <c r="A179" s="6" t="s">
        <v>1855</v>
      </c>
      <c r="B179" s="14" t="s">
        <v>469</v>
      </c>
      <c r="C179" s="14" t="s">
        <v>467</v>
      </c>
      <c r="D179" s="6">
        <v>1</v>
      </c>
      <c r="E179" s="6">
        <v>2</v>
      </c>
      <c r="F179" s="15" t="s">
        <v>1838</v>
      </c>
      <c r="G179" s="15" t="s">
        <v>1732</v>
      </c>
      <c r="H179" s="11">
        <v>0</v>
      </c>
      <c r="I179" s="10">
        <f t="shared" si="2"/>
        <v>300</v>
      </c>
      <c r="J179" s="6" t="s">
        <v>1840</v>
      </c>
    </row>
    <row r="180" spans="1:10" x14ac:dyDescent="0.3">
      <c r="A180" s="6" t="s">
        <v>1856</v>
      </c>
      <c r="B180" s="14" t="s">
        <v>469</v>
      </c>
      <c r="C180" s="14" t="s">
        <v>467</v>
      </c>
      <c r="D180" s="6">
        <v>1</v>
      </c>
      <c r="E180" s="6">
        <v>2</v>
      </c>
      <c r="F180" s="15" t="s">
        <v>1838</v>
      </c>
      <c r="G180" s="15" t="s">
        <v>1857</v>
      </c>
      <c r="H180" s="11">
        <v>0</v>
      </c>
      <c r="I180" s="10">
        <f t="shared" si="2"/>
        <v>300</v>
      </c>
      <c r="J180" s="6" t="s">
        <v>1840</v>
      </c>
    </row>
    <row r="181" spans="1:10" x14ac:dyDescent="0.3">
      <c r="A181" s="6" t="s">
        <v>1858</v>
      </c>
      <c r="B181" s="14" t="s">
        <v>741</v>
      </c>
      <c r="C181" s="14" t="s">
        <v>739</v>
      </c>
      <c r="D181" s="6">
        <v>1</v>
      </c>
      <c r="E181" s="6">
        <v>2</v>
      </c>
      <c r="F181" s="15" t="s">
        <v>1838</v>
      </c>
      <c r="G181" s="15" t="s">
        <v>1839</v>
      </c>
      <c r="H181" s="11">
        <v>0</v>
      </c>
      <c r="I181" s="10">
        <f t="shared" si="2"/>
        <v>300</v>
      </c>
      <c r="J181" s="6" t="s">
        <v>1840</v>
      </c>
    </row>
    <row r="182" spans="1:10" x14ac:dyDescent="0.3">
      <c r="A182" s="6" t="s">
        <v>1859</v>
      </c>
      <c r="B182" s="14" t="s">
        <v>741</v>
      </c>
      <c r="C182" s="14" t="s">
        <v>739</v>
      </c>
      <c r="D182" s="6">
        <v>1</v>
      </c>
      <c r="E182" s="6">
        <v>2</v>
      </c>
      <c r="F182" s="15" t="s">
        <v>1838</v>
      </c>
      <c r="G182" s="15" t="s">
        <v>1839</v>
      </c>
      <c r="H182" s="11">
        <v>0</v>
      </c>
      <c r="I182" s="10">
        <f t="shared" si="2"/>
        <v>300</v>
      </c>
      <c r="J182" s="6" t="s">
        <v>1840</v>
      </c>
    </row>
    <row r="183" spans="1:10" x14ac:dyDescent="0.3">
      <c r="A183" s="6" t="s">
        <v>1860</v>
      </c>
      <c r="B183" s="14" t="s">
        <v>741</v>
      </c>
      <c r="C183" s="14" t="s">
        <v>739</v>
      </c>
      <c r="D183" s="6">
        <v>1</v>
      </c>
      <c r="E183" s="6">
        <v>2</v>
      </c>
      <c r="F183" s="15" t="s">
        <v>827</v>
      </c>
      <c r="G183" s="15" t="s">
        <v>1861</v>
      </c>
      <c r="H183" s="11">
        <v>0</v>
      </c>
      <c r="I183" s="10">
        <f t="shared" si="2"/>
        <v>300</v>
      </c>
      <c r="J183" s="6" t="s">
        <v>1840</v>
      </c>
    </row>
    <row r="184" spans="1:10" x14ac:dyDescent="0.3">
      <c r="A184" s="6" t="s">
        <v>1862</v>
      </c>
      <c r="B184" s="14" t="s">
        <v>767</v>
      </c>
      <c r="C184" s="14" t="s">
        <v>765</v>
      </c>
      <c r="D184" s="6">
        <v>1</v>
      </c>
      <c r="E184" s="6">
        <v>2</v>
      </c>
      <c r="F184" s="15" t="s">
        <v>1843</v>
      </c>
      <c r="G184" s="15" t="s">
        <v>1863</v>
      </c>
      <c r="H184" s="11">
        <v>0</v>
      </c>
      <c r="I184" s="10">
        <f t="shared" si="2"/>
        <v>300</v>
      </c>
      <c r="J184" s="6" t="s">
        <v>1840</v>
      </c>
    </row>
    <row r="185" spans="1:10" x14ac:dyDescent="0.3">
      <c r="A185" s="6" t="s">
        <v>1864</v>
      </c>
      <c r="B185" s="14" t="s">
        <v>767</v>
      </c>
      <c r="C185" s="14" t="s">
        <v>765</v>
      </c>
      <c r="D185" s="6">
        <v>1</v>
      </c>
      <c r="E185" s="6">
        <v>2</v>
      </c>
      <c r="F185" s="15" t="s">
        <v>1843</v>
      </c>
      <c r="G185" s="15" t="s">
        <v>1863</v>
      </c>
      <c r="H185" s="11">
        <v>0</v>
      </c>
      <c r="I185" s="10">
        <f t="shared" si="2"/>
        <v>300</v>
      </c>
      <c r="J185" s="6" t="s">
        <v>1840</v>
      </c>
    </row>
  </sheetData>
  <pageMargins left="0.7" right="0.7" top="0.75" bottom="0.75" header="0.51180555555555496" footer="0.51180555555555496"/>
  <pageSetup paperSize="9" firstPageNumber="0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7E40-A301-4511-BACF-40F52A925CBC}">
  <sheetPr>
    <tabColor theme="9" tint="0.59999389629810485"/>
  </sheetPr>
  <dimension ref="A1:FY49"/>
  <sheetViews>
    <sheetView zoomScale="70" zoomScaleNormal="70" workbookViewId="0">
      <selection activeCell="B2" sqref="B2:B49"/>
    </sheetView>
  </sheetViews>
  <sheetFormatPr defaultColWidth="8.77734375" defaultRowHeight="14.4" x14ac:dyDescent="0.3"/>
  <cols>
    <col min="1" max="1" width="13.77734375" bestFit="1" customWidth="1"/>
    <col min="2" max="2" width="9.44140625" bestFit="1" customWidth="1"/>
    <col min="3" max="4" width="10.33203125" bestFit="1" customWidth="1"/>
    <col min="5" max="5" width="10.109375" bestFit="1" customWidth="1"/>
    <col min="6" max="7" width="10.21875" bestFit="1" customWidth="1"/>
    <col min="8" max="9" width="10.33203125" bestFit="1" customWidth="1"/>
    <col min="10" max="13" width="10.21875" bestFit="1" customWidth="1"/>
    <col min="14" max="15" width="10.6640625" bestFit="1" customWidth="1"/>
    <col min="16" max="16" width="12.77734375" bestFit="1" customWidth="1"/>
    <col min="17" max="20" width="10.77734375" bestFit="1" customWidth="1"/>
    <col min="21" max="21" width="10.109375" bestFit="1" customWidth="1"/>
    <col min="22" max="24" width="10.21875" bestFit="1" customWidth="1"/>
    <col min="25" max="25" width="10.33203125" bestFit="1" customWidth="1"/>
    <col min="26" max="27" width="10.44140625" bestFit="1" customWidth="1"/>
    <col min="28" max="32" width="9.77734375" bestFit="1" customWidth="1"/>
    <col min="33" max="34" width="9.88671875" bestFit="1" customWidth="1"/>
    <col min="35" max="36" width="8.77734375" bestFit="1" customWidth="1"/>
    <col min="37" max="37" width="10.6640625" bestFit="1" customWidth="1"/>
    <col min="38" max="41" width="10" bestFit="1" customWidth="1"/>
    <col min="42" max="45" width="10.21875" bestFit="1" customWidth="1"/>
    <col min="46" max="47" width="9.88671875" bestFit="1" customWidth="1"/>
    <col min="48" max="49" width="9.77734375" bestFit="1" customWidth="1"/>
    <col min="50" max="51" width="10.44140625" bestFit="1" customWidth="1"/>
    <col min="52" max="52" width="13.109375" bestFit="1" customWidth="1"/>
    <col min="53" max="53" width="10.109375" bestFit="1" customWidth="1"/>
    <col min="54" max="55" width="10.33203125" bestFit="1" customWidth="1"/>
    <col min="56" max="56" width="10.88671875" bestFit="1" customWidth="1"/>
    <col min="57" max="60" width="10.5546875" bestFit="1" customWidth="1"/>
    <col min="61" max="63" width="8.6640625" bestFit="1" customWidth="1"/>
    <col min="64" max="67" width="10.88671875" bestFit="1" customWidth="1"/>
    <col min="68" max="68" width="12.77734375" bestFit="1" customWidth="1"/>
    <col min="69" max="69" width="9.6640625" bestFit="1" customWidth="1"/>
    <col min="70" max="70" width="11.77734375" bestFit="1" customWidth="1"/>
    <col min="71" max="71" width="10.21875" bestFit="1" customWidth="1"/>
    <col min="72" max="73" width="9.109375" bestFit="1" customWidth="1"/>
    <col min="74" max="75" width="10.21875" bestFit="1" customWidth="1"/>
    <col min="76" max="77" width="9.109375" bestFit="1" customWidth="1"/>
    <col min="78" max="78" width="10.21875" bestFit="1" customWidth="1"/>
    <col min="79" max="80" width="9.109375" bestFit="1" customWidth="1"/>
    <col min="81" max="83" width="11.44140625" bestFit="1" customWidth="1"/>
    <col min="84" max="84" width="16.77734375" bestFit="1" customWidth="1"/>
    <col min="85" max="85" width="6.6640625" bestFit="1" customWidth="1"/>
    <col min="86" max="87" width="6.44140625" bestFit="1" customWidth="1"/>
    <col min="88" max="89" width="6.5546875" bestFit="1" customWidth="1"/>
    <col min="90" max="93" width="7" bestFit="1" customWidth="1"/>
    <col min="94" max="97" width="6.5546875" bestFit="1" customWidth="1"/>
    <col min="98" max="99" width="6.6640625" bestFit="1" customWidth="1"/>
    <col min="100" max="101" width="7.109375" bestFit="1" customWidth="1"/>
    <col min="102" max="102" width="4.5546875" bestFit="1" customWidth="1"/>
    <col min="103" max="104" width="6.33203125" bestFit="1" customWidth="1"/>
    <col min="105" max="106" width="6.44140625" bestFit="1" customWidth="1"/>
    <col min="107" max="108" width="9.21875" bestFit="1" customWidth="1"/>
    <col min="109" max="110" width="12.88671875" bestFit="1" customWidth="1"/>
    <col min="111" max="112" width="6.44140625" bestFit="1" customWidth="1"/>
    <col min="113" max="114" width="6.21875" bestFit="1" customWidth="1"/>
    <col min="115" max="118" width="6.88671875" bestFit="1" customWidth="1"/>
    <col min="119" max="120" width="9.5546875" bestFit="1" customWidth="1"/>
    <col min="121" max="121" width="4.33203125" bestFit="1" customWidth="1"/>
    <col min="122" max="123" width="6.88671875" bestFit="1" customWidth="1"/>
    <col min="124" max="125" width="6.21875" bestFit="1" customWidth="1"/>
    <col min="126" max="128" width="9.5546875" bestFit="1" customWidth="1"/>
    <col min="129" max="130" width="8.6640625" bestFit="1" customWidth="1"/>
    <col min="131" max="131" width="7.109375" bestFit="1" customWidth="1"/>
    <col min="132" max="132" width="7.6640625" bestFit="1" customWidth="1"/>
    <col min="133" max="133" width="4.6640625" bestFit="1" customWidth="1"/>
    <col min="134" max="135" width="6.6640625" bestFit="1" customWidth="1"/>
    <col min="136" max="137" width="6.109375" bestFit="1" customWidth="1"/>
    <col min="138" max="139" width="9" bestFit="1" customWidth="1"/>
    <col min="140" max="141" width="8.21875" bestFit="1" customWidth="1"/>
    <col min="142" max="143" width="6.6640625" bestFit="1" customWidth="1"/>
    <col min="144" max="145" width="6.44140625" bestFit="1" customWidth="1"/>
    <col min="146" max="147" width="6.5546875" bestFit="1" customWidth="1"/>
    <col min="148" max="149" width="10.109375" bestFit="1" customWidth="1"/>
    <col min="150" max="151" width="7.21875" bestFit="1" customWidth="1"/>
    <col min="152" max="152" width="4" bestFit="1" customWidth="1"/>
    <col min="153" max="154" width="9.33203125" bestFit="1" customWidth="1"/>
    <col min="155" max="156" width="6.33203125" bestFit="1" customWidth="1"/>
    <col min="157" max="158" width="6" bestFit="1" customWidth="1"/>
    <col min="159" max="160" width="9" bestFit="1" customWidth="1"/>
    <col min="161" max="161" width="4.109375" bestFit="1" customWidth="1"/>
    <col min="162" max="162" width="5" bestFit="1" customWidth="1"/>
    <col min="163" max="164" width="7.109375" bestFit="1" customWidth="1"/>
    <col min="165" max="166" width="6" bestFit="1" customWidth="1"/>
    <col min="167" max="169" width="6.21875" bestFit="1" customWidth="1"/>
    <col min="170" max="171" width="6" bestFit="1" customWidth="1"/>
    <col min="172" max="174" width="6.6640625" bestFit="1" customWidth="1"/>
    <col min="175" max="176" width="5.88671875" bestFit="1" customWidth="1"/>
    <col min="177" max="179" width="6.44140625" bestFit="1" customWidth="1"/>
    <col min="180" max="181" width="7" bestFit="1" customWidth="1"/>
    <col min="182" max="1020" width="8.44140625" customWidth="1"/>
  </cols>
  <sheetData>
    <row r="1" spans="1:181" x14ac:dyDescent="0.3">
      <c r="A1" s="2" t="s">
        <v>31</v>
      </c>
      <c r="B1" s="6" t="str" cm="1">
        <f t="array" ref="B1:FX1">TRANSPOSE(_xlfn._xlws.FILTER(transformer!A2:A181,transformer!$E$2:$E$181&lt;&gt;0))</f>
        <v>AD_T2101</v>
      </c>
      <c r="C1" s="6" t="str">
        <v>ARK_T2101</v>
      </c>
      <c r="D1" s="6" t="str">
        <v>ARK_T2102</v>
      </c>
      <c r="E1" s="6" t="str">
        <v>BLC_T2101</v>
      </c>
      <c r="F1" s="6" t="str">
        <v>BVK_T2101</v>
      </c>
      <c r="G1" s="6" t="str">
        <v>BVK_T2102</v>
      </c>
      <c r="H1" s="6" t="str">
        <v>BYH_T2101</v>
      </c>
      <c r="I1" s="6" t="str">
        <v>BYH_T2102</v>
      </c>
      <c r="J1" s="6" t="str">
        <v>CBT_T2101</v>
      </c>
      <c r="K1" s="6" t="str">
        <v>CBT_T2102</v>
      </c>
      <c r="L1" s="6" t="str">
        <v>CBT_T2103</v>
      </c>
      <c r="M1" s="6" t="str">
        <v>CBT_T2104</v>
      </c>
      <c r="N1" s="6" t="str">
        <v>CDU_T2101</v>
      </c>
      <c r="O1" s="6" t="str">
        <v>CDU_T2102</v>
      </c>
      <c r="P1" s="6" t="str">
        <v>CKM_T2101</v>
      </c>
      <c r="Q1" s="6" t="str">
        <v>CKM_T2102</v>
      </c>
      <c r="R1" s="6" t="str">
        <v>CKM_T2103</v>
      </c>
      <c r="S1" s="6" t="str">
        <v>CKM_T2104</v>
      </c>
      <c r="T1" s="6" t="str">
        <v>CLA_T2102</v>
      </c>
      <c r="U1" s="6" t="str">
        <v>CSH_T2101</v>
      </c>
      <c r="V1" s="6" t="str">
        <v>CSH_T2102</v>
      </c>
      <c r="W1" s="6" t="str">
        <v>CSH_T2104</v>
      </c>
      <c r="X1" s="6" t="str">
        <v>CNB_T4101</v>
      </c>
      <c r="Y1" s="6" t="str">
        <v>CNB_T4102</v>
      </c>
      <c r="Z1" s="6" t="str">
        <v>CUL_T2101</v>
      </c>
      <c r="AA1" s="6" t="str">
        <v>DSN_T4201</v>
      </c>
      <c r="AB1" s="6" t="str">
        <v>DSN_T4202</v>
      </c>
      <c r="AC1" s="6" t="str">
        <v>FIN_T2101</v>
      </c>
      <c r="AD1" s="6" t="str">
        <v>FIN_T2102</v>
      </c>
      <c r="AE1" s="6" t="str">
        <v>FIN_T2103</v>
      </c>
      <c r="AF1" s="6" t="str">
        <v>FIN_T2104</v>
      </c>
      <c r="AG1" s="6" t="str">
        <v>FIN_T2105</v>
      </c>
      <c r="AH1" s="6" t="str">
        <v>FLA_T2101</v>
      </c>
      <c r="AI1" s="6" t="str">
        <v>FLA_T2102</v>
      </c>
      <c r="AJ1" s="6" t="str">
        <v>GI_T2101</v>
      </c>
      <c r="AK1" s="6" t="str">
        <v>GI_T2102</v>
      </c>
      <c r="AL1" s="6" t="str">
        <v>GOR_T2101</v>
      </c>
      <c r="AM1" s="6" t="str">
        <v>INC_T2102</v>
      </c>
      <c r="AN1" s="6" t="str">
        <v>INC_T2104</v>
      </c>
      <c r="AO1" s="6" t="str">
        <v>INC_T2101</v>
      </c>
      <c r="AP1" s="6" t="str">
        <v>INC_T2103</v>
      </c>
      <c r="AQ1" s="6" t="str">
        <v>KLN_T2101</v>
      </c>
      <c r="AR1" s="6" t="str">
        <v>KLN_T2102</v>
      </c>
      <c r="AS1" s="6" t="str">
        <v>KLN_T2103</v>
      </c>
      <c r="AT1" s="6" t="str">
        <v>KLN_T2104</v>
      </c>
      <c r="AU1" s="6" t="str">
        <v>KLP_T2101</v>
      </c>
      <c r="AV1" s="6" t="str">
        <v>KLP_T2102</v>
      </c>
      <c r="AW1" s="6" t="str">
        <v>KLS_T2101</v>
      </c>
      <c r="AX1" s="6" t="str">
        <v>KLS_T2102</v>
      </c>
      <c r="AY1" s="6" t="str">
        <v>KNR_T2101</v>
      </c>
      <c r="AZ1" s="6" t="str">
        <v>KNR_T2102</v>
      </c>
      <c r="BA1" s="6" t="str">
        <v>BLC_BELCAMP</v>
      </c>
      <c r="BB1" s="6" t="str">
        <v>CLA_T2101</v>
      </c>
      <c r="BC1" s="6" t="str">
        <v>KRA_T2101</v>
      </c>
      <c r="BD1" s="10" t="str">
        <v>KRA_T2102</v>
      </c>
      <c r="BE1" s="6" t="str">
        <v>LWD_T2101</v>
      </c>
      <c r="BF1" s="6" t="str">
        <v>LOU_T2101</v>
      </c>
      <c r="BG1" s="6" t="str">
        <v>LOU_T2103</v>
      </c>
      <c r="BH1" s="6" t="str">
        <v>LOU_T2102</v>
      </c>
      <c r="BI1" s="6" t="str">
        <v>LOU_T2104</v>
      </c>
      <c r="BJ1" s="6" t="str">
        <v>LOU_AT1</v>
      </c>
      <c r="BK1" s="6" t="str">
        <v>LOU_AT2</v>
      </c>
      <c r="BL1" s="6" t="str">
        <v>LOU_AT3</v>
      </c>
      <c r="BM1" s="6" t="str">
        <v>MAY_T2101</v>
      </c>
      <c r="BN1" s="6" t="str">
        <v>MAY_T2102</v>
      </c>
      <c r="BO1" s="6" t="str">
        <v>MAY_T2103</v>
      </c>
      <c r="BP1" s="6" t="str">
        <v>MAY_T2104</v>
      </c>
      <c r="BQ1" s="6" t="str">
        <v>MP_T4202_01</v>
      </c>
      <c r="BR1" s="6" t="str">
        <v>MP_T2101</v>
      </c>
      <c r="BS1" s="6" t="str">
        <v>MP_T4202_2</v>
      </c>
      <c r="BT1" s="6" t="str">
        <v>OST_T4202</v>
      </c>
      <c r="BU1" s="6" t="str">
        <v>PB_T2103</v>
      </c>
      <c r="BV1" s="6" t="str">
        <v>PB_T2104</v>
      </c>
      <c r="BW1" s="6" t="str">
        <v>RAF_T2101</v>
      </c>
      <c r="BX1" s="6" t="str">
        <v>RAF_T2102</v>
      </c>
      <c r="BY1" s="6" t="str">
        <v>SH_T2102</v>
      </c>
      <c r="BZ1" s="6" t="str">
        <v>SH_T2101</v>
      </c>
      <c r="CA1" s="6" t="str">
        <v>SRA_T2102</v>
      </c>
      <c r="CB1" s="6" t="str">
        <v>TB_T2101</v>
      </c>
      <c r="CC1" s="6" t="str">
        <v>TB_T2102</v>
      </c>
      <c r="CD1" s="6" t="str">
        <v>WOO_T4201</v>
      </c>
      <c r="CE1" s="6" t="str">
        <v>WOO_T4202</v>
      </c>
      <c r="CF1" s="6" t="str">
        <v>WOO_T4204</v>
      </c>
      <c r="CG1" s="6" t="str">
        <v>WOO_WOODLAND</v>
      </c>
      <c r="CH1" s="6" t="str">
        <v>AGH_1</v>
      </c>
      <c r="CI1" s="6" t="str">
        <v>AIR_1</v>
      </c>
      <c r="CJ1" s="6" t="str">
        <v>AIR_2</v>
      </c>
      <c r="CK1" s="6" t="str">
        <v>ANT_1</v>
      </c>
      <c r="CL1" s="6" t="str">
        <v>ANT_2</v>
      </c>
      <c r="CM1" s="6" t="str">
        <v>MKL_1</v>
      </c>
      <c r="CN1" s="6" t="str">
        <v>MKL_2</v>
      </c>
      <c r="CO1" s="6" t="str">
        <v>BMA_1</v>
      </c>
      <c r="CP1" s="6" t="str">
        <v>BMA_2</v>
      </c>
      <c r="CQ1" s="6" t="str">
        <v>BMA_3</v>
      </c>
      <c r="CR1" s="6" t="str">
        <v>BMA_4</v>
      </c>
      <c r="CS1" s="6" t="str">
        <v>BAN_1</v>
      </c>
      <c r="CT1" s="6" t="str">
        <v>BAN_2</v>
      </c>
      <c r="CU1" s="6" t="str">
        <v>BAN_3</v>
      </c>
      <c r="CV1" s="6" t="str">
        <v>BAN_4</v>
      </c>
      <c r="CW1" s="6" t="str">
        <v>BNH_1</v>
      </c>
      <c r="CX1" s="6" t="str">
        <v>BNH_2</v>
      </c>
      <c r="CY1" s="6" t="str">
        <v>BNM_1</v>
      </c>
      <c r="CZ1" s="6" t="str">
        <v>BNM_2</v>
      </c>
      <c r="DA1" s="6" t="str">
        <v>BRO</v>
      </c>
      <c r="DB1" s="6" t="str">
        <v>CAR_1</v>
      </c>
      <c r="DC1" s="6" t="str">
        <v>CAR_2</v>
      </c>
      <c r="DD1" s="6" t="str">
        <v>CEN_1</v>
      </c>
      <c r="DE1" s="6" t="str">
        <v>CEN_2</v>
      </c>
      <c r="DF1" s="6" t="str">
        <v>COL (N)_1</v>
      </c>
      <c r="DG1" s="6" t="str">
        <v>COL (N)_2</v>
      </c>
      <c r="DH1" s="6" t="str">
        <v>CPS_1_110/33</v>
      </c>
      <c r="DI1" s="6" t="str">
        <v>CPS_2_110/33</v>
      </c>
      <c r="DJ1" s="6" t="str">
        <v>CRG_1</v>
      </c>
      <c r="DK1" s="6" t="str">
        <v>CRG_2</v>
      </c>
      <c r="DL1" s="6" t="str">
        <v>CRE_1</v>
      </c>
      <c r="DM1" s="6" t="str">
        <v>CRE_2</v>
      </c>
      <c r="DN1" s="6" t="str">
        <v>DON_1</v>
      </c>
      <c r="DO1" s="6" t="str">
        <v>DON_2</v>
      </c>
      <c r="DP1" s="6" t="str">
        <v>DON_3</v>
      </c>
      <c r="DQ1" s="6" t="str">
        <v>DON_4</v>
      </c>
      <c r="DR1" s="6" t="str">
        <v>DRU (N)_1</v>
      </c>
      <c r="DS1" s="6" t="str">
        <v>DRU (N)_2</v>
      </c>
      <c r="DT1" s="6" t="str">
        <v>CRR</v>
      </c>
      <c r="DU1" s="6" t="str">
        <v>DUN_1</v>
      </c>
      <c r="DV1" s="6" t="str">
        <v>DUN_2</v>
      </c>
      <c r="DW1" s="6" t="str">
        <v>EDE_1</v>
      </c>
      <c r="DX1" s="6" t="str">
        <v>EDE_2</v>
      </c>
      <c r="DY1" s="6" t="str">
        <v>ENN (N)_1</v>
      </c>
      <c r="DZ1" s="6" t="str">
        <v>ENN (N)_2</v>
      </c>
      <c r="EA1" s="6" t="str">
        <v>ENN (N)_3</v>
      </c>
      <c r="EB1" s="6" t="str">
        <v>FIN (N)_1</v>
      </c>
      <c r="EC1" s="6" t="str">
        <v>FIN (N)_2</v>
      </c>
      <c r="ED1" s="6" t="str">
        <v>GLE (N)</v>
      </c>
      <c r="EE1" s="6" t="str">
        <v>GOR (N)</v>
      </c>
      <c r="EF1" s="6" t="str">
        <v>KMT</v>
      </c>
      <c r="EG1" s="6" t="str">
        <v>KNO_1</v>
      </c>
      <c r="EH1" s="6" t="str">
        <v>KNO_2</v>
      </c>
      <c r="EI1" s="6" t="str">
        <v>LAR_1</v>
      </c>
      <c r="EJ1" s="6" t="str">
        <v>LAR_2</v>
      </c>
      <c r="EK1" s="6" t="str">
        <v>LIM (N)_1</v>
      </c>
      <c r="EL1" s="6" t="str">
        <v>LIM (N)_2</v>
      </c>
      <c r="EM1" s="6" t="str">
        <v>LIS (N)_1</v>
      </c>
      <c r="EN1" s="6" t="str">
        <v>LIS (N)_2</v>
      </c>
      <c r="EO1" s="6" t="str">
        <v>LMR_1</v>
      </c>
      <c r="EP1" s="6" t="str">
        <v>LMR_2</v>
      </c>
      <c r="EQ1" s="6" t="str">
        <v>LOG_1</v>
      </c>
      <c r="ER1" s="6" t="str">
        <v>LOG_2</v>
      </c>
      <c r="ES1" s="6" t="str">
        <v>NAR_1</v>
      </c>
      <c r="ET1" s="6" t="str">
        <v>NAR_2</v>
      </c>
      <c r="EU1" s="6" t="str">
        <v>NEW (N)_1</v>
      </c>
      <c r="EV1" s="6" t="str">
        <v>NEW (N)_2</v>
      </c>
      <c r="EW1" s="6" t="str">
        <v>OMA_1</v>
      </c>
      <c r="EX1" s="6" t="str">
        <v>OMA_2</v>
      </c>
      <c r="EY1" s="6" t="str">
        <v>RSK</v>
      </c>
      <c r="EZ1" s="6" t="str">
        <v>RAT (N)_1</v>
      </c>
      <c r="FA1" s="6" t="str">
        <v>RAT (N)_2</v>
      </c>
      <c r="FB1" s="6" t="str">
        <v>ROS_1</v>
      </c>
      <c r="FC1" s="6" t="str">
        <v>ROS_2</v>
      </c>
      <c r="FD1" s="6" t="str">
        <v>SPR_1</v>
      </c>
      <c r="FE1" s="6" t="str">
        <v>SPR_2</v>
      </c>
      <c r="FF1" s="6" t="str">
        <v>STR (N)_1</v>
      </c>
      <c r="FG1" s="6" t="str">
        <v>STR (N)_2</v>
      </c>
      <c r="FH1" s="13" t="str">
        <v>TRE</v>
      </c>
      <c r="FI1" s="6" t="str">
        <v>TMN</v>
      </c>
      <c r="FJ1" s="6" t="str">
        <v>WAR_1</v>
      </c>
      <c r="FK1" s="6" t="str">
        <v>WAR_2</v>
      </c>
      <c r="FL1" s="6" t="str">
        <v>BPS_1</v>
      </c>
      <c r="FM1" s="6" t="str">
        <v>BPS_2</v>
      </c>
      <c r="FN1" s="6" t="str">
        <v>CAS_1</v>
      </c>
      <c r="FO1" s="6" t="str">
        <v>CAS_2</v>
      </c>
      <c r="FP1" s="6" t="str">
        <v>CAS_3</v>
      </c>
      <c r="FQ1" s="6" t="str">
        <v>CPS_1</v>
      </c>
      <c r="FR1" s="6" t="str">
        <v>CPS_2</v>
      </c>
      <c r="FS1" s="6" t="str">
        <v>HAN_1</v>
      </c>
      <c r="FT1" s="6" t="str">
        <v>HAN_2</v>
      </c>
      <c r="FU1" s="6" t="str">
        <v>HAN_3</v>
      </c>
      <c r="FV1" s="6" t="str">
        <v>KEL_1</v>
      </c>
      <c r="FW1" s="6" t="str">
        <v>KEL_2</v>
      </c>
      <c r="FX1" s="6" t="str">
        <v>TAN_1</v>
      </c>
      <c r="FY1" s="6"/>
    </row>
    <row r="2" spans="1:181" x14ac:dyDescent="0.3">
      <c r="A2" s="4" t="s">
        <v>2997</v>
      </c>
      <c r="B2" s="6" cm="1">
        <f t="array" ref="B2:FX2">1*TRANSPOSE(_xlfn._xlws.FILTER(transformer!$J$2:$J$181,transformer!$E$2:$E$181&lt;&gt;0))</f>
        <v>125</v>
      </c>
      <c r="C2" s="6">
        <v>63</v>
      </c>
      <c r="D2" s="6">
        <v>125</v>
      </c>
      <c r="E2" s="6">
        <v>250</v>
      </c>
      <c r="F2" s="6">
        <v>250</v>
      </c>
      <c r="G2" s="6">
        <v>250</v>
      </c>
      <c r="H2" s="6">
        <v>250</v>
      </c>
      <c r="I2" s="6">
        <v>250</v>
      </c>
      <c r="J2" s="6">
        <v>250</v>
      </c>
      <c r="K2" s="6">
        <v>250</v>
      </c>
      <c r="L2" s="6">
        <v>250</v>
      </c>
      <c r="M2" s="6">
        <v>250</v>
      </c>
      <c r="N2" s="6">
        <v>250</v>
      </c>
      <c r="O2" s="6">
        <v>250</v>
      </c>
      <c r="P2" s="6">
        <v>250</v>
      </c>
      <c r="Q2" s="6">
        <v>250</v>
      </c>
      <c r="R2" s="6">
        <v>250</v>
      </c>
      <c r="S2" s="6">
        <v>250</v>
      </c>
      <c r="T2" s="6">
        <v>250</v>
      </c>
      <c r="U2" s="6">
        <v>238</v>
      </c>
      <c r="V2" s="6">
        <v>250</v>
      </c>
      <c r="W2" s="6">
        <v>175</v>
      </c>
      <c r="X2" s="6">
        <v>500</v>
      </c>
      <c r="Y2" s="6">
        <v>500</v>
      </c>
      <c r="Z2" s="6">
        <v>250</v>
      </c>
      <c r="AA2" s="6">
        <v>500</v>
      </c>
      <c r="AB2" s="6">
        <v>500</v>
      </c>
      <c r="AC2" s="6">
        <v>250</v>
      </c>
      <c r="AD2" s="6">
        <v>250</v>
      </c>
      <c r="AE2" s="6">
        <v>250</v>
      </c>
      <c r="AF2" s="6">
        <v>250</v>
      </c>
      <c r="AG2" s="6">
        <v>250</v>
      </c>
      <c r="AH2" s="6">
        <v>125</v>
      </c>
      <c r="AI2" s="6">
        <v>125</v>
      </c>
      <c r="AJ2" s="6">
        <v>125</v>
      </c>
      <c r="AK2" s="6">
        <v>125</v>
      </c>
      <c r="AL2" s="6">
        <v>250</v>
      </c>
      <c r="AM2" s="6">
        <v>250</v>
      </c>
      <c r="AN2" s="6">
        <v>250</v>
      </c>
      <c r="AO2" s="6">
        <v>250</v>
      </c>
      <c r="AP2" s="6">
        <v>250</v>
      </c>
      <c r="AQ2" s="6">
        <v>63</v>
      </c>
      <c r="AR2" s="6">
        <v>63</v>
      </c>
      <c r="AS2" s="6">
        <v>250</v>
      </c>
      <c r="AT2" s="6">
        <v>125</v>
      </c>
      <c r="AU2" s="6">
        <v>250</v>
      </c>
      <c r="AV2" s="6">
        <v>250</v>
      </c>
      <c r="AW2" s="6">
        <v>125</v>
      </c>
      <c r="AX2" s="6">
        <v>125</v>
      </c>
      <c r="AY2" s="6">
        <v>250</v>
      </c>
      <c r="AZ2" s="6">
        <v>250</v>
      </c>
      <c r="BA2" s="6">
        <v>250</v>
      </c>
      <c r="BB2" s="6">
        <v>250</v>
      </c>
      <c r="BC2" s="6">
        <v>250</v>
      </c>
      <c r="BD2" s="6">
        <v>250</v>
      </c>
      <c r="BE2" s="6">
        <v>250</v>
      </c>
      <c r="BF2" s="6">
        <v>125</v>
      </c>
      <c r="BG2" s="6">
        <v>125</v>
      </c>
      <c r="BH2" s="6">
        <v>125</v>
      </c>
      <c r="BI2" s="6">
        <v>250</v>
      </c>
      <c r="BJ2" s="6">
        <v>300</v>
      </c>
      <c r="BK2" s="6">
        <v>600</v>
      </c>
      <c r="BL2" s="6">
        <v>300</v>
      </c>
      <c r="BM2" s="6">
        <v>125</v>
      </c>
      <c r="BN2" s="6">
        <v>238</v>
      </c>
      <c r="BO2" s="6">
        <v>125</v>
      </c>
      <c r="BP2" s="6">
        <v>250</v>
      </c>
      <c r="BQ2" s="6">
        <v>500</v>
      </c>
      <c r="BR2" s="6">
        <v>250</v>
      </c>
      <c r="BS2" s="6">
        <v>500</v>
      </c>
      <c r="BT2" s="6">
        <v>500</v>
      </c>
      <c r="BU2" s="6">
        <v>250</v>
      </c>
      <c r="BV2" s="6">
        <v>250</v>
      </c>
      <c r="BW2" s="6">
        <v>238</v>
      </c>
      <c r="BX2" s="6">
        <v>250</v>
      </c>
      <c r="BY2" s="6">
        <v>125</v>
      </c>
      <c r="BZ2" s="6">
        <v>125</v>
      </c>
      <c r="CA2" s="6">
        <v>250</v>
      </c>
      <c r="CB2" s="6">
        <v>238</v>
      </c>
      <c r="CC2" s="6">
        <v>238</v>
      </c>
      <c r="CD2" s="6">
        <v>500</v>
      </c>
      <c r="CE2" s="6">
        <v>500</v>
      </c>
      <c r="CF2" s="6">
        <v>550</v>
      </c>
      <c r="CG2" s="6">
        <v>582</v>
      </c>
      <c r="CH2" s="6">
        <v>90</v>
      </c>
      <c r="CI2" s="6">
        <v>60</v>
      </c>
      <c r="CJ2" s="6">
        <v>60</v>
      </c>
      <c r="CK2" s="6">
        <v>90</v>
      </c>
      <c r="CL2" s="6">
        <v>90</v>
      </c>
      <c r="CM2" s="6">
        <v>90</v>
      </c>
      <c r="CN2" s="6">
        <v>90</v>
      </c>
      <c r="CO2" s="6">
        <v>90</v>
      </c>
      <c r="CP2" s="6">
        <v>90</v>
      </c>
      <c r="CQ2" s="6">
        <v>90</v>
      </c>
      <c r="CR2" s="6">
        <v>90</v>
      </c>
      <c r="CS2" s="6">
        <v>30</v>
      </c>
      <c r="CT2" s="6">
        <v>30</v>
      </c>
      <c r="CU2" s="6">
        <v>30</v>
      </c>
      <c r="CV2" s="6">
        <v>30</v>
      </c>
      <c r="CW2" s="6">
        <v>90</v>
      </c>
      <c r="CX2" s="6">
        <v>90</v>
      </c>
      <c r="CY2" s="6">
        <v>90</v>
      </c>
      <c r="CZ2" s="6">
        <v>90</v>
      </c>
      <c r="DA2" s="6">
        <v>100</v>
      </c>
      <c r="DB2" s="6">
        <v>90</v>
      </c>
      <c r="DC2" s="6">
        <v>90</v>
      </c>
      <c r="DD2" s="6">
        <v>90</v>
      </c>
      <c r="DE2" s="6">
        <v>90</v>
      </c>
      <c r="DF2" s="6">
        <v>60</v>
      </c>
      <c r="DG2" s="6">
        <v>60</v>
      </c>
      <c r="DH2" s="6">
        <v>90</v>
      </c>
      <c r="DI2" s="6">
        <v>90</v>
      </c>
      <c r="DJ2" s="6">
        <v>60</v>
      </c>
      <c r="DK2" s="6">
        <v>60</v>
      </c>
      <c r="DL2" s="6">
        <v>75</v>
      </c>
      <c r="DM2" s="6">
        <v>75</v>
      </c>
      <c r="DN2" s="6">
        <v>60</v>
      </c>
      <c r="DO2" s="6">
        <v>60</v>
      </c>
      <c r="DP2" s="6">
        <v>90</v>
      </c>
      <c r="DQ2" s="6">
        <v>60</v>
      </c>
      <c r="DR2" s="6">
        <v>90</v>
      </c>
      <c r="DS2" s="6">
        <v>90</v>
      </c>
      <c r="DT2" s="6">
        <v>90</v>
      </c>
      <c r="DU2" s="6">
        <v>90</v>
      </c>
      <c r="DV2" s="6">
        <v>90</v>
      </c>
      <c r="DW2" s="6">
        <v>45</v>
      </c>
      <c r="DX2" s="6">
        <v>45</v>
      </c>
      <c r="DY2" s="6">
        <v>45</v>
      </c>
      <c r="DZ2" s="6">
        <v>45</v>
      </c>
      <c r="EA2" s="6">
        <v>60</v>
      </c>
      <c r="EB2" s="6">
        <v>45</v>
      </c>
      <c r="EC2" s="6">
        <v>45</v>
      </c>
      <c r="ED2" s="6">
        <v>60</v>
      </c>
      <c r="EE2" s="6">
        <v>90</v>
      </c>
      <c r="EF2" s="6">
        <v>90</v>
      </c>
      <c r="EG2" s="6">
        <v>90</v>
      </c>
      <c r="EH2" s="6">
        <v>90</v>
      </c>
      <c r="EI2" s="6">
        <v>45</v>
      </c>
      <c r="EJ2" s="6">
        <v>45</v>
      </c>
      <c r="EK2" s="6">
        <v>45</v>
      </c>
      <c r="EL2" s="6">
        <v>45</v>
      </c>
      <c r="EM2" s="6">
        <v>90</v>
      </c>
      <c r="EN2" s="6">
        <v>90</v>
      </c>
      <c r="EO2" s="6">
        <v>45</v>
      </c>
      <c r="EP2" s="6">
        <v>45</v>
      </c>
      <c r="EQ2" s="6">
        <v>45</v>
      </c>
      <c r="ER2" s="6">
        <v>45</v>
      </c>
      <c r="ES2" s="6">
        <v>60</v>
      </c>
      <c r="ET2" s="6">
        <v>60</v>
      </c>
      <c r="EU2" s="6">
        <v>90</v>
      </c>
      <c r="EV2" s="6">
        <v>90</v>
      </c>
      <c r="EW2" s="6">
        <v>90</v>
      </c>
      <c r="EX2" s="6">
        <v>90</v>
      </c>
      <c r="EY2" s="6">
        <v>90</v>
      </c>
      <c r="EZ2" s="6">
        <v>90</v>
      </c>
      <c r="FA2" s="6">
        <v>90</v>
      </c>
      <c r="FB2" s="6">
        <v>90</v>
      </c>
      <c r="FC2" s="6">
        <v>90</v>
      </c>
      <c r="FD2" s="6">
        <v>90</v>
      </c>
      <c r="FE2" s="6">
        <v>90</v>
      </c>
      <c r="FF2" s="6">
        <v>45</v>
      </c>
      <c r="FG2" s="6">
        <v>45</v>
      </c>
      <c r="FH2" s="13">
        <v>90</v>
      </c>
      <c r="FI2" s="6">
        <v>60</v>
      </c>
      <c r="FJ2" s="6">
        <v>90</v>
      </c>
      <c r="FK2" s="6">
        <v>90</v>
      </c>
      <c r="FL2" s="6">
        <v>240</v>
      </c>
      <c r="FM2" s="6">
        <v>240</v>
      </c>
      <c r="FN2" s="6">
        <v>240</v>
      </c>
      <c r="FO2" s="6">
        <v>240</v>
      </c>
      <c r="FP2" s="6">
        <v>240</v>
      </c>
      <c r="FQ2" s="6">
        <v>240</v>
      </c>
      <c r="FR2" s="6">
        <v>240</v>
      </c>
      <c r="FS2" s="6">
        <v>240</v>
      </c>
      <c r="FT2" s="6">
        <v>240</v>
      </c>
      <c r="FU2" s="6">
        <v>240</v>
      </c>
      <c r="FV2" s="6">
        <v>240</v>
      </c>
      <c r="FW2" s="6">
        <v>240</v>
      </c>
      <c r="FX2" s="6">
        <v>240</v>
      </c>
      <c r="FY2" s="6"/>
    </row>
    <row r="3" spans="1:181" x14ac:dyDescent="0.3">
      <c r="A3" s="4" t="s">
        <v>2998</v>
      </c>
      <c r="B3" s="6" cm="1">
        <f t="array" ref="B3:FX3">1*TRANSPOSE(_xlfn._xlws.FILTER(transformer!$J$2:$J$181,transformer!$E$2:$E$181&lt;&gt;0))</f>
        <v>125</v>
      </c>
      <c r="C3" s="6">
        <v>63</v>
      </c>
      <c r="D3" s="6">
        <v>125</v>
      </c>
      <c r="E3" s="6">
        <v>250</v>
      </c>
      <c r="F3" s="6">
        <v>250</v>
      </c>
      <c r="G3" s="6">
        <v>250</v>
      </c>
      <c r="H3" s="6">
        <v>250</v>
      </c>
      <c r="I3" s="6">
        <v>250</v>
      </c>
      <c r="J3" s="6">
        <v>250</v>
      </c>
      <c r="K3" s="6">
        <v>250</v>
      </c>
      <c r="L3" s="6">
        <v>250</v>
      </c>
      <c r="M3" s="6">
        <v>250</v>
      </c>
      <c r="N3" s="6">
        <v>250</v>
      </c>
      <c r="O3" s="6">
        <v>250</v>
      </c>
      <c r="P3" s="6">
        <v>250</v>
      </c>
      <c r="Q3" s="6">
        <v>250</v>
      </c>
      <c r="R3" s="6">
        <v>250</v>
      </c>
      <c r="S3" s="6">
        <v>250</v>
      </c>
      <c r="T3" s="6">
        <v>250</v>
      </c>
      <c r="U3" s="6">
        <v>238</v>
      </c>
      <c r="V3" s="6">
        <v>250</v>
      </c>
      <c r="W3" s="6">
        <v>175</v>
      </c>
      <c r="X3" s="6">
        <v>500</v>
      </c>
      <c r="Y3" s="6">
        <v>500</v>
      </c>
      <c r="Z3" s="6">
        <v>250</v>
      </c>
      <c r="AA3" s="6">
        <v>500</v>
      </c>
      <c r="AB3" s="6">
        <v>500</v>
      </c>
      <c r="AC3" s="6">
        <v>250</v>
      </c>
      <c r="AD3" s="6">
        <v>250</v>
      </c>
      <c r="AE3" s="6">
        <v>250</v>
      </c>
      <c r="AF3" s="6">
        <v>250</v>
      </c>
      <c r="AG3" s="6">
        <v>250</v>
      </c>
      <c r="AH3" s="6">
        <v>125</v>
      </c>
      <c r="AI3" s="6">
        <v>125</v>
      </c>
      <c r="AJ3" s="6">
        <v>125</v>
      </c>
      <c r="AK3" s="6">
        <v>125</v>
      </c>
      <c r="AL3" s="6">
        <v>250</v>
      </c>
      <c r="AM3" s="6">
        <v>250</v>
      </c>
      <c r="AN3" s="6">
        <v>250</v>
      </c>
      <c r="AO3" s="6">
        <v>250</v>
      </c>
      <c r="AP3" s="6">
        <v>250</v>
      </c>
      <c r="AQ3" s="6">
        <v>63</v>
      </c>
      <c r="AR3" s="6">
        <v>63</v>
      </c>
      <c r="AS3" s="6">
        <v>250</v>
      </c>
      <c r="AT3" s="6">
        <v>125</v>
      </c>
      <c r="AU3" s="6">
        <v>250</v>
      </c>
      <c r="AV3" s="6">
        <v>250</v>
      </c>
      <c r="AW3" s="6">
        <v>125</v>
      </c>
      <c r="AX3" s="6">
        <v>125</v>
      </c>
      <c r="AY3" s="6">
        <v>250</v>
      </c>
      <c r="AZ3" s="6">
        <v>250</v>
      </c>
      <c r="BA3" s="6">
        <v>250</v>
      </c>
      <c r="BB3" s="6">
        <v>250</v>
      </c>
      <c r="BC3" s="6">
        <v>250</v>
      </c>
      <c r="BD3" s="6">
        <v>250</v>
      </c>
      <c r="BE3" s="6">
        <v>250</v>
      </c>
      <c r="BF3" s="6">
        <v>125</v>
      </c>
      <c r="BG3" s="6">
        <v>125</v>
      </c>
      <c r="BH3" s="6">
        <v>125</v>
      </c>
      <c r="BI3" s="6">
        <v>250</v>
      </c>
      <c r="BJ3" s="6">
        <v>300</v>
      </c>
      <c r="BK3" s="6">
        <v>600</v>
      </c>
      <c r="BL3" s="6">
        <v>300</v>
      </c>
      <c r="BM3" s="6">
        <v>125</v>
      </c>
      <c r="BN3" s="6">
        <v>238</v>
      </c>
      <c r="BO3" s="6">
        <v>125</v>
      </c>
      <c r="BP3" s="6">
        <v>250</v>
      </c>
      <c r="BQ3" s="6">
        <v>500</v>
      </c>
      <c r="BR3" s="6">
        <v>250</v>
      </c>
      <c r="BS3" s="6">
        <v>500</v>
      </c>
      <c r="BT3" s="6">
        <v>500</v>
      </c>
      <c r="BU3" s="6">
        <v>250</v>
      </c>
      <c r="BV3" s="6">
        <v>250</v>
      </c>
      <c r="BW3" s="6">
        <v>238</v>
      </c>
      <c r="BX3" s="6">
        <v>250</v>
      </c>
      <c r="BY3" s="6">
        <v>125</v>
      </c>
      <c r="BZ3" s="6">
        <v>125</v>
      </c>
      <c r="CA3" s="6">
        <v>250</v>
      </c>
      <c r="CB3" s="6">
        <v>238</v>
      </c>
      <c r="CC3" s="6">
        <v>238</v>
      </c>
      <c r="CD3" s="6">
        <v>500</v>
      </c>
      <c r="CE3" s="6">
        <v>500</v>
      </c>
      <c r="CF3" s="6">
        <v>550</v>
      </c>
      <c r="CG3" s="6">
        <v>582</v>
      </c>
      <c r="CH3" s="6">
        <v>90</v>
      </c>
      <c r="CI3" s="6">
        <v>60</v>
      </c>
      <c r="CJ3" s="6">
        <v>60</v>
      </c>
      <c r="CK3" s="6">
        <v>90</v>
      </c>
      <c r="CL3" s="6">
        <v>90</v>
      </c>
      <c r="CM3" s="6">
        <v>90</v>
      </c>
      <c r="CN3" s="6">
        <v>90</v>
      </c>
      <c r="CO3" s="6">
        <v>90</v>
      </c>
      <c r="CP3" s="6">
        <v>90</v>
      </c>
      <c r="CQ3" s="6">
        <v>90</v>
      </c>
      <c r="CR3" s="6">
        <v>90</v>
      </c>
      <c r="CS3" s="6">
        <v>30</v>
      </c>
      <c r="CT3" s="6">
        <v>30</v>
      </c>
      <c r="CU3" s="6">
        <v>30</v>
      </c>
      <c r="CV3" s="6">
        <v>30</v>
      </c>
      <c r="CW3" s="6">
        <v>90</v>
      </c>
      <c r="CX3" s="6">
        <v>90</v>
      </c>
      <c r="CY3" s="6">
        <v>90</v>
      </c>
      <c r="CZ3" s="6">
        <v>90</v>
      </c>
      <c r="DA3" s="6">
        <v>100</v>
      </c>
      <c r="DB3" s="6">
        <v>90</v>
      </c>
      <c r="DC3" s="6">
        <v>90</v>
      </c>
      <c r="DD3" s="6">
        <v>90</v>
      </c>
      <c r="DE3" s="6">
        <v>90</v>
      </c>
      <c r="DF3" s="6">
        <v>60</v>
      </c>
      <c r="DG3" s="6">
        <v>60</v>
      </c>
      <c r="DH3" s="6">
        <v>90</v>
      </c>
      <c r="DI3" s="6">
        <v>90</v>
      </c>
      <c r="DJ3" s="6">
        <v>60</v>
      </c>
      <c r="DK3" s="6">
        <v>60</v>
      </c>
      <c r="DL3" s="6">
        <v>75</v>
      </c>
      <c r="DM3" s="6">
        <v>75</v>
      </c>
      <c r="DN3" s="6">
        <v>60</v>
      </c>
      <c r="DO3" s="6">
        <v>60</v>
      </c>
      <c r="DP3" s="6">
        <v>90</v>
      </c>
      <c r="DQ3" s="6">
        <v>60</v>
      </c>
      <c r="DR3" s="6">
        <v>90</v>
      </c>
      <c r="DS3" s="6">
        <v>90</v>
      </c>
      <c r="DT3" s="6">
        <v>90</v>
      </c>
      <c r="DU3" s="6">
        <v>90</v>
      </c>
      <c r="DV3" s="6">
        <v>90</v>
      </c>
      <c r="DW3" s="6">
        <v>45</v>
      </c>
      <c r="DX3" s="6">
        <v>45</v>
      </c>
      <c r="DY3" s="6">
        <v>45</v>
      </c>
      <c r="DZ3" s="6">
        <v>45</v>
      </c>
      <c r="EA3" s="6">
        <v>60</v>
      </c>
      <c r="EB3" s="6">
        <v>45</v>
      </c>
      <c r="EC3" s="6">
        <v>45</v>
      </c>
      <c r="ED3" s="6">
        <v>60</v>
      </c>
      <c r="EE3" s="6">
        <v>90</v>
      </c>
      <c r="EF3" s="6">
        <v>90</v>
      </c>
      <c r="EG3" s="6">
        <v>90</v>
      </c>
      <c r="EH3" s="6">
        <v>90</v>
      </c>
      <c r="EI3" s="6">
        <v>45</v>
      </c>
      <c r="EJ3" s="6">
        <v>45</v>
      </c>
      <c r="EK3" s="6">
        <v>45</v>
      </c>
      <c r="EL3" s="6">
        <v>45</v>
      </c>
      <c r="EM3" s="6">
        <v>90</v>
      </c>
      <c r="EN3" s="6">
        <v>90</v>
      </c>
      <c r="EO3" s="6">
        <v>45</v>
      </c>
      <c r="EP3" s="6">
        <v>45</v>
      </c>
      <c r="EQ3" s="6">
        <v>45</v>
      </c>
      <c r="ER3" s="6">
        <v>45</v>
      </c>
      <c r="ES3" s="6">
        <v>60</v>
      </c>
      <c r="ET3" s="6">
        <v>60</v>
      </c>
      <c r="EU3" s="6">
        <v>90</v>
      </c>
      <c r="EV3" s="6">
        <v>90</v>
      </c>
      <c r="EW3" s="6">
        <v>90</v>
      </c>
      <c r="EX3" s="6">
        <v>90</v>
      </c>
      <c r="EY3" s="6">
        <v>90</v>
      </c>
      <c r="EZ3" s="6">
        <v>90</v>
      </c>
      <c r="FA3" s="6">
        <v>90</v>
      </c>
      <c r="FB3" s="6">
        <v>90</v>
      </c>
      <c r="FC3" s="6">
        <v>90</v>
      </c>
      <c r="FD3" s="6">
        <v>90</v>
      </c>
      <c r="FE3" s="6">
        <v>90</v>
      </c>
      <c r="FF3" s="6">
        <v>45</v>
      </c>
      <c r="FG3" s="6">
        <v>45</v>
      </c>
      <c r="FH3" s="13">
        <v>90</v>
      </c>
      <c r="FI3" s="6">
        <v>60</v>
      </c>
      <c r="FJ3" s="6">
        <v>90</v>
      </c>
      <c r="FK3" s="6">
        <v>90</v>
      </c>
      <c r="FL3" s="6">
        <v>240</v>
      </c>
      <c r="FM3" s="6">
        <v>240</v>
      </c>
      <c r="FN3" s="6">
        <v>240</v>
      </c>
      <c r="FO3" s="6">
        <v>240</v>
      </c>
      <c r="FP3" s="6">
        <v>240</v>
      </c>
      <c r="FQ3" s="6">
        <v>240</v>
      </c>
      <c r="FR3" s="6">
        <v>240</v>
      </c>
      <c r="FS3" s="6">
        <v>240</v>
      </c>
      <c r="FT3" s="6">
        <v>240</v>
      </c>
      <c r="FU3" s="6">
        <v>240</v>
      </c>
      <c r="FV3" s="6">
        <v>240</v>
      </c>
      <c r="FW3" s="6">
        <v>240</v>
      </c>
      <c r="FX3" s="6">
        <v>240</v>
      </c>
    </row>
    <row r="4" spans="1:181" x14ac:dyDescent="0.3">
      <c r="A4" s="4" t="s">
        <v>2999</v>
      </c>
      <c r="B4" s="6" cm="1">
        <f t="array" ref="B4:FX4">1*TRANSPOSE(_xlfn._xlws.FILTER(transformer!$J$2:$J$181,transformer!$E$2:$E$181&lt;&gt;0))</f>
        <v>125</v>
      </c>
      <c r="C4" s="6">
        <v>63</v>
      </c>
      <c r="D4" s="6">
        <v>125</v>
      </c>
      <c r="E4" s="6">
        <v>250</v>
      </c>
      <c r="F4" s="6">
        <v>250</v>
      </c>
      <c r="G4" s="6">
        <v>250</v>
      </c>
      <c r="H4" s="6">
        <v>250</v>
      </c>
      <c r="I4" s="6">
        <v>250</v>
      </c>
      <c r="J4" s="6">
        <v>250</v>
      </c>
      <c r="K4" s="6">
        <v>250</v>
      </c>
      <c r="L4" s="6">
        <v>250</v>
      </c>
      <c r="M4" s="6">
        <v>250</v>
      </c>
      <c r="N4" s="6">
        <v>250</v>
      </c>
      <c r="O4" s="6">
        <v>250</v>
      </c>
      <c r="P4" s="6">
        <v>250</v>
      </c>
      <c r="Q4" s="6">
        <v>250</v>
      </c>
      <c r="R4" s="6">
        <v>250</v>
      </c>
      <c r="S4" s="6">
        <v>250</v>
      </c>
      <c r="T4" s="6">
        <v>250</v>
      </c>
      <c r="U4" s="6">
        <v>238</v>
      </c>
      <c r="V4" s="6">
        <v>250</v>
      </c>
      <c r="W4" s="6">
        <v>175</v>
      </c>
      <c r="X4" s="6">
        <v>500</v>
      </c>
      <c r="Y4" s="6">
        <v>500</v>
      </c>
      <c r="Z4" s="6">
        <v>250</v>
      </c>
      <c r="AA4" s="6">
        <v>500</v>
      </c>
      <c r="AB4" s="6">
        <v>500</v>
      </c>
      <c r="AC4" s="6">
        <v>250</v>
      </c>
      <c r="AD4" s="6">
        <v>250</v>
      </c>
      <c r="AE4" s="6">
        <v>250</v>
      </c>
      <c r="AF4" s="6">
        <v>250</v>
      </c>
      <c r="AG4" s="6">
        <v>250</v>
      </c>
      <c r="AH4" s="6">
        <v>125</v>
      </c>
      <c r="AI4" s="6">
        <v>125</v>
      </c>
      <c r="AJ4" s="6">
        <v>125</v>
      </c>
      <c r="AK4" s="6">
        <v>125</v>
      </c>
      <c r="AL4" s="6">
        <v>250</v>
      </c>
      <c r="AM4" s="6">
        <v>250</v>
      </c>
      <c r="AN4" s="6">
        <v>250</v>
      </c>
      <c r="AO4" s="6">
        <v>250</v>
      </c>
      <c r="AP4" s="6">
        <v>250</v>
      </c>
      <c r="AQ4" s="6">
        <v>63</v>
      </c>
      <c r="AR4" s="6">
        <v>63</v>
      </c>
      <c r="AS4" s="6">
        <v>250</v>
      </c>
      <c r="AT4" s="6">
        <v>125</v>
      </c>
      <c r="AU4" s="6">
        <v>250</v>
      </c>
      <c r="AV4" s="6">
        <v>250</v>
      </c>
      <c r="AW4" s="6">
        <v>125</v>
      </c>
      <c r="AX4" s="6">
        <v>125</v>
      </c>
      <c r="AY4" s="6">
        <v>250</v>
      </c>
      <c r="AZ4" s="6">
        <v>250</v>
      </c>
      <c r="BA4" s="6">
        <v>250</v>
      </c>
      <c r="BB4" s="6">
        <v>250</v>
      </c>
      <c r="BC4" s="6">
        <v>250</v>
      </c>
      <c r="BD4" s="6">
        <v>250</v>
      </c>
      <c r="BE4" s="6">
        <v>250</v>
      </c>
      <c r="BF4" s="6">
        <v>125</v>
      </c>
      <c r="BG4" s="6">
        <v>125</v>
      </c>
      <c r="BH4" s="6">
        <v>125</v>
      </c>
      <c r="BI4" s="6">
        <v>250</v>
      </c>
      <c r="BJ4" s="6">
        <v>300</v>
      </c>
      <c r="BK4" s="6">
        <v>600</v>
      </c>
      <c r="BL4" s="6">
        <v>300</v>
      </c>
      <c r="BM4" s="6">
        <v>125</v>
      </c>
      <c r="BN4" s="6">
        <v>238</v>
      </c>
      <c r="BO4" s="6">
        <v>125</v>
      </c>
      <c r="BP4" s="6">
        <v>250</v>
      </c>
      <c r="BQ4" s="6">
        <v>500</v>
      </c>
      <c r="BR4" s="6">
        <v>250</v>
      </c>
      <c r="BS4" s="6">
        <v>500</v>
      </c>
      <c r="BT4" s="6">
        <v>500</v>
      </c>
      <c r="BU4" s="6">
        <v>250</v>
      </c>
      <c r="BV4" s="6">
        <v>250</v>
      </c>
      <c r="BW4" s="6">
        <v>238</v>
      </c>
      <c r="BX4" s="6">
        <v>250</v>
      </c>
      <c r="BY4" s="6">
        <v>125</v>
      </c>
      <c r="BZ4" s="6">
        <v>125</v>
      </c>
      <c r="CA4" s="6">
        <v>250</v>
      </c>
      <c r="CB4" s="6">
        <v>238</v>
      </c>
      <c r="CC4" s="6">
        <v>238</v>
      </c>
      <c r="CD4" s="6">
        <v>500</v>
      </c>
      <c r="CE4" s="6">
        <v>500</v>
      </c>
      <c r="CF4" s="6">
        <v>550</v>
      </c>
      <c r="CG4" s="6">
        <v>582</v>
      </c>
      <c r="CH4" s="6">
        <v>90</v>
      </c>
      <c r="CI4" s="6">
        <v>60</v>
      </c>
      <c r="CJ4" s="6">
        <v>60</v>
      </c>
      <c r="CK4" s="6">
        <v>90</v>
      </c>
      <c r="CL4" s="6">
        <v>90</v>
      </c>
      <c r="CM4" s="6">
        <v>90</v>
      </c>
      <c r="CN4" s="6">
        <v>90</v>
      </c>
      <c r="CO4" s="6">
        <v>90</v>
      </c>
      <c r="CP4" s="6">
        <v>90</v>
      </c>
      <c r="CQ4" s="6">
        <v>90</v>
      </c>
      <c r="CR4" s="6">
        <v>90</v>
      </c>
      <c r="CS4" s="6">
        <v>30</v>
      </c>
      <c r="CT4" s="6">
        <v>30</v>
      </c>
      <c r="CU4" s="6">
        <v>30</v>
      </c>
      <c r="CV4" s="6">
        <v>30</v>
      </c>
      <c r="CW4" s="6">
        <v>90</v>
      </c>
      <c r="CX4" s="6">
        <v>90</v>
      </c>
      <c r="CY4" s="6">
        <v>90</v>
      </c>
      <c r="CZ4" s="6">
        <v>90</v>
      </c>
      <c r="DA4" s="6">
        <v>100</v>
      </c>
      <c r="DB4" s="6">
        <v>90</v>
      </c>
      <c r="DC4" s="6">
        <v>90</v>
      </c>
      <c r="DD4" s="6">
        <v>90</v>
      </c>
      <c r="DE4" s="6">
        <v>90</v>
      </c>
      <c r="DF4" s="6">
        <v>60</v>
      </c>
      <c r="DG4" s="6">
        <v>60</v>
      </c>
      <c r="DH4" s="6">
        <v>90</v>
      </c>
      <c r="DI4" s="6">
        <v>90</v>
      </c>
      <c r="DJ4" s="6">
        <v>60</v>
      </c>
      <c r="DK4" s="6">
        <v>60</v>
      </c>
      <c r="DL4" s="6">
        <v>75</v>
      </c>
      <c r="DM4" s="6">
        <v>75</v>
      </c>
      <c r="DN4" s="6">
        <v>60</v>
      </c>
      <c r="DO4" s="6">
        <v>60</v>
      </c>
      <c r="DP4" s="6">
        <v>90</v>
      </c>
      <c r="DQ4" s="6">
        <v>60</v>
      </c>
      <c r="DR4" s="6">
        <v>90</v>
      </c>
      <c r="DS4" s="6">
        <v>90</v>
      </c>
      <c r="DT4" s="6">
        <v>90</v>
      </c>
      <c r="DU4" s="6">
        <v>90</v>
      </c>
      <c r="DV4" s="6">
        <v>90</v>
      </c>
      <c r="DW4" s="6">
        <v>45</v>
      </c>
      <c r="DX4" s="6">
        <v>45</v>
      </c>
      <c r="DY4" s="6">
        <v>45</v>
      </c>
      <c r="DZ4" s="6">
        <v>45</v>
      </c>
      <c r="EA4" s="6">
        <v>60</v>
      </c>
      <c r="EB4" s="6">
        <v>45</v>
      </c>
      <c r="EC4" s="6">
        <v>45</v>
      </c>
      <c r="ED4" s="6">
        <v>60</v>
      </c>
      <c r="EE4" s="6">
        <v>90</v>
      </c>
      <c r="EF4" s="6">
        <v>90</v>
      </c>
      <c r="EG4" s="6">
        <v>90</v>
      </c>
      <c r="EH4" s="6">
        <v>90</v>
      </c>
      <c r="EI4" s="6">
        <v>45</v>
      </c>
      <c r="EJ4" s="6">
        <v>45</v>
      </c>
      <c r="EK4" s="6">
        <v>45</v>
      </c>
      <c r="EL4" s="6">
        <v>45</v>
      </c>
      <c r="EM4" s="6">
        <v>90</v>
      </c>
      <c r="EN4" s="6">
        <v>90</v>
      </c>
      <c r="EO4" s="6">
        <v>45</v>
      </c>
      <c r="EP4" s="6">
        <v>45</v>
      </c>
      <c r="EQ4" s="6">
        <v>45</v>
      </c>
      <c r="ER4" s="6">
        <v>45</v>
      </c>
      <c r="ES4" s="6">
        <v>60</v>
      </c>
      <c r="ET4" s="6">
        <v>60</v>
      </c>
      <c r="EU4" s="6">
        <v>90</v>
      </c>
      <c r="EV4" s="6">
        <v>90</v>
      </c>
      <c r="EW4" s="6">
        <v>90</v>
      </c>
      <c r="EX4" s="6">
        <v>90</v>
      </c>
      <c r="EY4" s="6">
        <v>90</v>
      </c>
      <c r="EZ4" s="6">
        <v>90</v>
      </c>
      <c r="FA4" s="6">
        <v>90</v>
      </c>
      <c r="FB4" s="6">
        <v>90</v>
      </c>
      <c r="FC4" s="6">
        <v>90</v>
      </c>
      <c r="FD4" s="6">
        <v>90</v>
      </c>
      <c r="FE4" s="6">
        <v>90</v>
      </c>
      <c r="FF4" s="6">
        <v>45</v>
      </c>
      <c r="FG4" s="6">
        <v>45</v>
      </c>
      <c r="FH4" s="13">
        <v>90</v>
      </c>
      <c r="FI4" s="6">
        <v>60</v>
      </c>
      <c r="FJ4" s="6">
        <v>90</v>
      </c>
      <c r="FK4" s="6">
        <v>90</v>
      </c>
      <c r="FL4" s="6">
        <v>240</v>
      </c>
      <c r="FM4" s="6">
        <v>240</v>
      </c>
      <c r="FN4" s="6">
        <v>240</v>
      </c>
      <c r="FO4" s="6">
        <v>240</v>
      </c>
      <c r="FP4" s="6">
        <v>240</v>
      </c>
      <c r="FQ4" s="6">
        <v>240</v>
      </c>
      <c r="FR4" s="6">
        <v>240</v>
      </c>
      <c r="FS4" s="6">
        <v>240</v>
      </c>
      <c r="FT4" s="6">
        <v>240</v>
      </c>
      <c r="FU4" s="6">
        <v>240</v>
      </c>
      <c r="FV4" s="6">
        <v>240</v>
      </c>
      <c r="FW4" s="6">
        <v>240</v>
      </c>
      <c r="FX4" s="6">
        <v>240</v>
      </c>
    </row>
    <row r="5" spans="1:181" x14ac:dyDescent="0.3">
      <c r="A5" s="4" t="s">
        <v>3000</v>
      </c>
      <c r="B5" s="6" cm="1">
        <f t="array" ref="B5:FX5">1*TRANSPOSE(_xlfn._xlws.FILTER(transformer!$J$2:$J$181,transformer!$E$2:$E$181&lt;&gt;0))</f>
        <v>125</v>
      </c>
      <c r="C5" s="6">
        <v>63</v>
      </c>
      <c r="D5" s="6">
        <v>125</v>
      </c>
      <c r="E5" s="6">
        <v>250</v>
      </c>
      <c r="F5" s="6">
        <v>250</v>
      </c>
      <c r="G5" s="6">
        <v>250</v>
      </c>
      <c r="H5" s="6">
        <v>250</v>
      </c>
      <c r="I5" s="6">
        <v>250</v>
      </c>
      <c r="J5" s="6">
        <v>250</v>
      </c>
      <c r="K5" s="6">
        <v>250</v>
      </c>
      <c r="L5" s="6">
        <v>250</v>
      </c>
      <c r="M5" s="6">
        <v>250</v>
      </c>
      <c r="N5" s="6">
        <v>250</v>
      </c>
      <c r="O5" s="6">
        <v>250</v>
      </c>
      <c r="P5" s="6">
        <v>250</v>
      </c>
      <c r="Q5" s="6">
        <v>250</v>
      </c>
      <c r="R5" s="6">
        <v>250</v>
      </c>
      <c r="S5" s="6">
        <v>250</v>
      </c>
      <c r="T5" s="6">
        <v>250</v>
      </c>
      <c r="U5" s="6">
        <v>238</v>
      </c>
      <c r="V5" s="6">
        <v>250</v>
      </c>
      <c r="W5" s="6">
        <v>175</v>
      </c>
      <c r="X5" s="6">
        <v>500</v>
      </c>
      <c r="Y5" s="6">
        <v>500</v>
      </c>
      <c r="Z5" s="6">
        <v>250</v>
      </c>
      <c r="AA5" s="6">
        <v>500</v>
      </c>
      <c r="AB5" s="6">
        <v>500</v>
      </c>
      <c r="AC5" s="6">
        <v>250</v>
      </c>
      <c r="AD5" s="6">
        <v>250</v>
      </c>
      <c r="AE5" s="6">
        <v>250</v>
      </c>
      <c r="AF5" s="6">
        <v>250</v>
      </c>
      <c r="AG5" s="6">
        <v>250</v>
      </c>
      <c r="AH5" s="6">
        <v>125</v>
      </c>
      <c r="AI5" s="6">
        <v>125</v>
      </c>
      <c r="AJ5" s="6">
        <v>125</v>
      </c>
      <c r="AK5" s="6">
        <v>125</v>
      </c>
      <c r="AL5" s="6">
        <v>250</v>
      </c>
      <c r="AM5" s="6">
        <v>250</v>
      </c>
      <c r="AN5" s="6">
        <v>250</v>
      </c>
      <c r="AO5" s="6">
        <v>250</v>
      </c>
      <c r="AP5" s="6">
        <v>250</v>
      </c>
      <c r="AQ5" s="6">
        <v>63</v>
      </c>
      <c r="AR5" s="6">
        <v>63</v>
      </c>
      <c r="AS5" s="6">
        <v>250</v>
      </c>
      <c r="AT5" s="6">
        <v>125</v>
      </c>
      <c r="AU5" s="6">
        <v>250</v>
      </c>
      <c r="AV5" s="6">
        <v>250</v>
      </c>
      <c r="AW5" s="6">
        <v>125</v>
      </c>
      <c r="AX5" s="6">
        <v>125</v>
      </c>
      <c r="AY5" s="6">
        <v>250</v>
      </c>
      <c r="AZ5" s="6">
        <v>250</v>
      </c>
      <c r="BA5" s="6">
        <v>250</v>
      </c>
      <c r="BB5" s="6">
        <v>250</v>
      </c>
      <c r="BC5" s="6">
        <v>250</v>
      </c>
      <c r="BD5" s="6">
        <v>250</v>
      </c>
      <c r="BE5" s="6">
        <v>250</v>
      </c>
      <c r="BF5" s="6">
        <v>125</v>
      </c>
      <c r="BG5" s="6">
        <v>125</v>
      </c>
      <c r="BH5" s="6">
        <v>125</v>
      </c>
      <c r="BI5" s="6">
        <v>250</v>
      </c>
      <c r="BJ5" s="6">
        <v>300</v>
      </c>
      <c r="BK5" s="6">
        <v>600</v>
      </c>
      <c r="BL5" s="6">
        <v>300</v>
      </c>
      <c r="BM5" s="6">
        <v>125</v>
      </c>
      <c r="BN5" s="6">
        <v>238</v>
      </c>
      <c r="BO5" s="6">
        <v>125</v>
      </c>
      <c r="BP5" s="6">
        <v>250</v>
      </c>
      <c r="BQ5" s="6">
        <v>500</v>
      </c>
      <c r="BR5" s="6">
        <v>250</v>
      </c>
      <c r="BS5" s="6">
        <v>500</v>
      </c>
      <c r="BT5" s="6">
        <v>500</v>
      </c>
      <c r="BU5" s="6">
        <v>250</v>
      </c>
      <c r="BV5" s="6">
        <v>250</v>
      </c>
      <c r="BW5" s="6">
        <v>238</v>
      </c>
      <c r="BX5" s="6">
        <v>250</v>
      </c>
      <c r="BY5" s="6">
        <v>125</v>
      </c>
      <c r="BZ5" s="6">
        <v>125</v>
      </c>
      <c r="CA5" s="6">
        <v>250</v>
      </c>
      <c r="CB5" s="6">
        <v>238</v>
      </c>
      <c r="CC5" s="6">
        <v>238</v>
      </c>
      <c r="CD5" s="6">
        <v>500</v>
      </c>
      <c r="CE5" s="6">
        <v>500</v>
      </c>
      <c r="CF5" s="6">
        <v>550</v>
      </c>
      <c r="CG5" s="6">
        <v>582</v>
      </c>
      <c r="CH5" s="6">
        <v>90</v>
      </c>
      <c r="CI5" s="6">
        <v>60</v>
      </c>
      <c r="CJ5" s="6">
        <v>60</v>
      </c>
      <c r="CK5" s="6">
        <v>90</v>
      </c>
      <c r="CL5" s="6">
        <v>90</v>
      </c>
      <c r="CM5" s="6">
        <v>90</v>
      </c>
      <c r="CN5" s="6">
        <v>90</v>
      </c>
      <c r="CO5" s="6">
        <v>90</v>
      </c>
      <c r="CP5" s="6">
        <v>90</v>
      </c>
      <c r="CQ5" s="6">
        <v>90</v>
      </c>
      <c r="CR5" s="6">
        <v>90</v>
      </c>
      <c r="CS5" s="6">
        <v>30</v>
      </c>
      <c r="CT5" s="6">
        <v>30</v>
      </c>
      <c r="CU5" s="6">
        <v>30</v>
      </c>
      <c r="CV5" s="6">
        <v>30</v>
      </c>
      <c r="CW5" s="6">
        <v>90</v>
      </c>
      <c r="CX5" s="6">
        <v>90</v>
      </c>
      <c r="CY5" s="6">
        <v>90</v>
      </c>
      <c r="CZ5" s="6">
        <v>90</v>
      </c>
      <c r="DA5" s="6">
        <v>100</v>
      </c>
      <c r="DB5" s="6">
        <v>90</v>
      </c>
      <c r="DC5" s="6">
        <v>90</v>
      </c>
      <c r="DD5" s="6">
        <v>90</v>
      </c>
      <c r="DE5" s="6">
        <v>90</v>
      </c>
      <c r="DF5" s="6">
        <v>60</v>
      </c>
      <c r="DG5" s="6">
        <v>60</v>
      </c>
      <c r="DH5" s="6">
        <v>90</v>
      </c>
      <c r="DI5" s="6">
        <v>90</v>
      </c>
      <c r="DJ5" s="6">
        <v>60</v>
      </c>
      <c r="DK5" s="6">
        <v>60</v>
      </c>
      <c r="DL5" s="6">
        <v>75</v>
      </c>
      <c r="DM5" s="6">
        <v>75</v>
      </c>
      <c r="DN5" s="6">
        <v>60</v>
      </c>
      <c r="DO5" s="6">
        <v>60</v>
      </c>
      <c r="DP5" s="6">
        <v>90</v>
      </c>
      <c r="DQ5" s="6">
        <v>60</v>
      </c>
      <c r="DR5" s="6">
        <v>90</v>
      </c>
      <c r="DS5" s="6">
        <v>90</v>
      </c>
      <c r="DT5" s="6">
        <v>90</v>
      </c>
      <c r="DU5" s="6">
        <v>90</v>
      </c>
      <c r="DV5" s="6">
        <v>90</v>
      </c>
      <c r="DW5" s="6">
        <v>45</v>
      </c>
      <c r="DX5" s="6">
        <v>45</v>
      </c>
      <c r="DY5" s="6">
        <v>45</v>
      </c>
      <c r="DZ5" s="6">
        <v>45</v>
      </c>
      <c r="EA5" s="6">
        <v>60</v>
      </c>
      <c r="EB5" s="6">
        <v>45</v>
      </c>
      <c r="EC5" s="6">
        <v>45</v>
      </c>
      <c r="ED5" s="6">
        <v>60</v>
      </c>
      <c r="EE5" s="6">
        <v>90</v>
      </c>
      <c r="EF5" s="6">
        <v>90</v>
      </c>
      <c r="EG5" s="6">
        <v>90</v>
      </c>
      <c r="EH5" s="6">
        <v>90</v>
      </c>
      <c r="EI5" s="6">
        <v>45</v>
      </c>
      <c r="EJ5" s="6">
        <v>45</v>
      </c>
      <c r="EK5" s="6">
        <v>45</v>
      </c>
      <c r="EL5" s="6">
        <v>45</v>
      </c>
      <c r="EM5" s="6">
        <v>90</v>
      </c>
      <c r="EN5" s="6">
        <v>90</v>
      </c>
      <c r="EO5" s="6">
        <v>45</v>
      </c>
      <c r="EP5" s="6">
        <v>45</v>
      </c>
      <c r="EQ5" s="6">
        <v>45</v>
      </c>
      <c r="ER5" s="6">
        <v>45</v>
      </c>
      <c r="ES5" s="6">
        <v>60</v>
      </c>
      <c r="ET5" s="6">
        <v>60</v>
      </c>
      <c r="EU5" s="6">
        <v>90</v>
      </c>
      <c r="EV5" s="6">
        <v>90</v>
      </c>
      <c r="EW5" s="6">
        <v>90</v>
      </c>
      <c r="EX5" s="6">
        <v>90</v>
      </c>
      <c r="EY5" s="6">
        <v>90</v>
      </c>
      <c r="EZ5" s="6">
        <v>90</v>
      </c>
      <c r="FA5" s="6">
        <v>90</v>
      </c>
      <c r="FB5" s="6">
        <v>90</v>
      </c>
      <c r="FC5" s="6">
        <v>90</v>
      </c>
      <c r="FD5" s="6">
        <v>90</v>
      </c>
      <c r="FE5" s="6">
        <v>90</v>
      </c>
      <c r="FF5" s="6">
        <v>45</v>
      </c>
      <c r="FG5" s="6">
        <v>45</v>
      </c>
      <c r="FH5" s="13">
        <v>90</v>
      </c>
      <c r="FI5" s="6">
        <v>60</v>
      </c>
      <c r="FJ5" s="6">
        <v>90</v>
      </c>
      <c r="FK5" s="6">
        <v>90</v>
      </c>
      <c r="FL5" s="6">
        <v>240</v>
      </c>
      <c r="FM5" s="6">
        <v>240</v>
      </c>
      <c r="FN5" s="6">
        <v>240</v>
      </c>
      <c r="FO5" s="6">
        <v>240</v>
      </c>
      <c r="FP5" s="6">
        <v>240</v>
      </c>
      <c r="FQ5" s="6">
        <v>240</v>
      </c>
      <c r="FR5" s="6">
        <v>240</v>
      </c>
      <c r="FS5" s="6">
        <v>240</v>
      </c>
      <c r="FT5" s="6">
        <v>240</v>
      </c>
      <c r="FU5" s="6">
        <v>240</v>
      </c>
      <c r="FV5" s="6">
        <v>240</v>
      </c>
      <c r="FW5" s="6">
        <v>240</v>
      </c>
      <c r="FX5" s="6">
        <v>240</v>
      </c>
    </row>
    <row r="6" spans="1:181" x14ac:dyDescent="0.3">
      <c r="A6" s="4" t="s">
        <v>3001</v>
      </c>
      <c r="B6" s="6" cm="1">
        <f t="array" ref="B6:FX6">1*TRANSPOSE(_xlfn._xlws.FILTER(transformer!$J$2:$J$181,transformer!$E$2:$E$181&lt;&gt;0))</f>
        <v>125</v>
      </c>
      <c r="C6" s="6">
        <v>63</v>
      </c>
      <c r="D6" s="6">
        <v>125</v>
      </c>
      <c r="E6" s="6">
        <v>250</v>
      </c>
      <c r="F6" s="6">
        <v>250</v>
      </c>
      <c r="G6" s="6">
        <v>250</v>
      </c>
      <c r="H6" s="6">
        <v>250</v>
      </c>
      <c r="I6" s="6">
        <v>250</v>
      </c>
      <c r="J6" s="6">
        <v>250</v>
      </c>
      <c r="K6" s="6">
        <v>250</v>
      </c>
      <c r="L6" s="6">
        <v>250</v>
      </c>
      <c r="M6" s="6">
        <v>250</v>
      </c>
      <c r="N6" s="6">
        <v>250</v>
      </c>
      <c r="O6" s="6">
        <v>250</v>
      </c>
      <c r="P6" s="6">
        <v>250</v>
      </c>
      <c r="Q6" s="6">
        <v>250</v>
      </c>
      <c r="R6" s="6">
        <v>250</v>
      </c>
      <c r="S6" s="6">
        <v>250</v>
      </c>
      <c r="T6" s="6">
        <v>250</v>
      </c>
      <c r="U6" s="6">
        <v>238</v>
      </c>
      <c r="V6" s="6">
        <v>250</v>
      </c>
      <c r="W6" s="6">
        <v>175</v>
      </c>
      <c r="X6" s="6">
        <v>500</v>
      </c>
      <c r="Y6" s="6">
        <v>500</v>
      </c>
      <c r="Z6" s="6">
        <v>250</v>
      </c>
      <c r="AA6" s="6">
        <v>500</v>
      </c>
      <c r="AB6" s="6">
        <v>500</v>
      </c>
      <c r="AC6" s="6">
        <v>250</v>
      </c>
      <c r="AD6" s="6">
        <v>250</v>
      </c>
      <c r="AE6" s="6">
        <v>250</v>
      </c>
      <c r="AF6" s="6">
        <v>250</v>
      </c>
      <c r="AG6" s="6">
        <v>250</v>
      </c>
      <c r="AH6" s="6">
        <v>125</v>
      </c>
      <c r="AI6" s="6">
        <v>125</v>
      </c>
      <c r="AJ6" s="6">
        <v>125</v>
      </c>
      <c r="AK6" s="6">
        <v>125</v>
      </c>
      <c r="AL6" s="6">
        <v>250</v>
      </c>
      <c r="AM6" s="6">
        <v>250</v>
      </c>
      <c r="AN6" s="6">
        <v>250</v>
      </c>
      <c r="AO6" s="6">
        <v>250</v>
      </c>
      <c r="AP6" s="6">
        <v>250</v>
      </c>
      <c r="AQ6" s="6">
        <v>63</v>
      </c>
      <c r="AR6" s="6">
        <v>63</v>
      </c>
      <c r="AS6" s="6">
        <v>250</v>
      </c>
      <c r="AT6" s="6">
        <v>125</v>
      </c>
      <c r="AU6" s="6">
        <v>250</v>
      </c>
      <c r="AV6" s="6">
        <v>250</v>
      </c>
      <c r="AW6" s="6">
        <v>125</v>
      </c>
      <c r="AX6" s="6">
        <v>125</v>
      </c>
      <c r="AY6" s="6">
        <v>250</v>
      </c>
      <c r="AZ6" s="6">
        <v>250</v>
      </c>
      <c r="BA6" s="6">
        <v>250</v>
      </c>
      <c r="BB6" s="6">
        <v>250</v>
      </c>
      <c r="BC6" s="6">
        <v>250</v>
      </c>
      <c r="BD6" s="6">
        <v>250</v>
      </c>
      <c r="BE6" s="6">
        <v>250</v>
      </c>
      <c r="BF6" s="6">
        <v>125</v>
      </c>
      <c r="BG6" s="6">
        <v>125</v>
      </c>
      <c r="BH6" s="6">
        <v>125</v>
      </c>
      <c r="BI6" s="6">
        <v>250</v>
      </c>
      <c r="BJ6" s="6">
        <v>300</v>
      </c>
      <c r="BK6" s="6">
        <v>600</v>
      </c>
      <c r="BL6" s="6">
        <v>300</v>
      </c>
      <c r="BM6" s="6">
        <v>125</v>
      </c>
      <c r="BN6" s="6">
        <v>238</v>
      </c>
      <c r="BO6" s="6">
        <v>125</v>
      </c>
      <c r="BP6" s="6">
        <v>250</v>
      </c>
      <c r="BQ6" s="6">
        <v>500</v>
      </c>
      <c r="BR6" s="6">
        <v>250</v>
      </c>
      <c r="BS6" s="6">
        <v>500</v>
      </c>
      <c r="BT6" s="6">
        <v>500</v>
      </c>
      <c r="BU6" s="6">
        <v>250</v>
      </c>
      <c r="BV6" s="6">
        <v>250</v>
      </c>
      <c r="BW6" s="6">
        <v>238</v>
      </c>
      <c r="BX6" s="6">
        <v>250</v>
      </c>
      <c r="BY6" s="6">
        <v>125</v>
      </c>
      <c r="BZ6" s="6">
        <v>125</v>
      </c>
      <c r="CA6" s="6">
        <v>250</v>
      </c>
      <c r="CB6" s="6">
        <v>238</v>
      </c>
      <c r="CC6" s="6">
        <v>238</v>
      </c>
      <c r="CD6" s="6">
        <v>500</v>
      </c>
      <c r="CE6" s="6">
        <v>500</v>
      </c>
      <c r="CF6" s="6">
        <v>550</v>
      </c>
      <c r="CG6" s="6">
        <v>582</v>
      </c>
      <c r="CH6" s="6">
        <v>90</v>
      </c>
      <c r="CI6" s="6">
        <v>60</v>
      </c>
      <c r="CJ6" s="6">
        <v>60</v>
      </c>
      <c r="CK6" s="6">
        <v>90</v>
      </c>
      <c r="CL6" s="6">
        <v>90</v>
      </c>
      <c r="CM6" s="6">
        <v>90</v>
      </c>
      <c r="CN6" s="6">
        <v>90</v>
      </c>
      <c r="CO6" s="6">
        <v>90</v>
      </c>
      <c r="CP6" s="6">
        <v>90</v>
      </c>
      <c r="CQ6" s="6">
        <v>90</v>
      </c>
      <c r="CR6" s="6">
        <v>90</v>
      </c>
      <c r="CS6" s="6">
        <v>30</v>
      </c>
      <c r="CT6" s="6">
        <v>30</v>
      </c>
      <c r="CU6" s="6">
        <v>30</v>
      </c>
      <c r="CV6" s="6">
        <v>30</v>
      </c>
      <c r="CW6" s="6">
        <v>90</v>
      </c>
      <c r="CX6" s="6">
        <v>90</v>
      </c>
      <c r="CY6" s="6">
        <v>90</v>
      </c>
      <c r="CZ6" s="6">
        <v>90</v>
      </c>
      <c r="DA6" s="6">
        <v>100</v>
      </c>
      <c r="DB6" s="6">
        <v>90</v>
      </c>
      <c r="DC6" s="6">
        <v>90</v>
      </c>
      <c r="DD6" s="6">
        <v>90</v>
      </c>
      <c r="DE6" s="6">
        <v>90</v>
      </c>
      <c r="DF6" s="6">
        <v>60</v>
      </c>
      <c r="DG6" s="6">
        <v>60</v>
      </c>
      <c r="DH6" s="6">
        <v>90</v>
      </c>
      <c r="DI6" s="6">
        <v>90</v>
      </c>
      <c r="DJ6" s="6">
        <v>60</v>
      </c>
      <c r="DK6" s="6">
        <v>60</v>
      </c>
      <c r="DL6" s="6">
        <v>75</v>
      </c>
      <c r="DM6" s="6">
        <v>75</v>
      </c>
      <c r="DN6" s="6">
        <v>60</v>
      </c>
      <c r="DO6" s="6">
        <v>60</v>
      </c>
      <c r="DP6" s="6">
        <v>90</v>
      </c>
      <c r="DQ6" s="6">
        <v>60</v>
      </c>
      <c r="DR6" s="6">
        <v>90</v>
      </c>
      <c r="DS6" s="6">
        <v>90</v>
      </c>
      <c r="DT6" s="6">
        <v>90</v>
      </c>
      <c r="DU6" s="6">
        <v>90</v>
      </c>
      <c r="DV6" s="6">
        <v>90</v>
      </c>
      <c r="DW6" s="6">
        <v>45</v>
      </c>
      <c r="DX6" s="6">
        <v>45</v>
      </c>
      <c r="DY6" s="6">
        <v>45</v>
      </c>
      <c r="DZ6" s="6">
        <v>45</v>
      </c>
      <c r="EA6" s="6">
        <v>60</v>
      </c>
      <c r="EB6" s="6">
        <v>45</v>
      </c>
      <c r="EC6" s="6">
        <v>45</v>
      </c>
      <c r="ED6" s="6">
        <v>60</v>
      </c>
      <c r="EE6" s="6">
        <v>90</v>
      </c>
      <c r="EF6" s="6">
        <v>90</v>
      </c>
      <c r="EG6" s="6">
        <v>90</v>
      </c>
      <c r="EH6" s="6">
        <v>90</v>
      </c>
      <c r="EI6" s="6">
        <v>45</v>
      </c>
      <c r="EJ6" s="6">
        <v>45</v>
      </c>
      <c r="EK6" s="6">
        <v>45</v>
      </c>
      <c r="EL6" s="6">
        <v>45</v>
      </c>
      <c r="EM6" s="6">
        <v>90</v>
      </c>
      <c r="EN6" s="6">
        <v>90</v>
      </c>
      <c r="EO6" s="6">
        <v>45</v>
      </c>
      <c r="EP6" s="6">
        <v>45</v>
      </c>
      <c r="EQ6" s="6">
        <v>45</v>
      </c>
      <c r="ER6" s="6">
        <v>45</v>
      </c>
      <c r="ES6" s="6">
        <v>60</v>
      </c>
      <c r="ET6" s="6">
        <v>60</v>
      </c>
      <c r="EU6" s="6">
        <v>90</v>
      </c>
      <c r="EV6" s="6">
        <v>90</v>
      </c>
      <c r="EW6" s="6">
        <v>90</v>
      </c>
      <c r="EX6" s="6">
        <v>90</v>
      </c>
      <c r="EY6" s="6">
        <v>90</v>
      </c>
      <c r="EZ6" s="6">
        <v>90</v>
      </c>
      <c r="FA6" s="6">
        <v>90</v>
      </c>
      <c r="FB6" s="6">
        <v>90</v>
      </c>
      <c r="FC6" s="6">
        <v>90</v>
      </c>
      <c r="FD6" s="6">
        <v>90</v>
      </c>
      <c r="FE6" s="6">
        <v>90</v>
      </c>
      <c r="FF6" s="6">
        <v>45</v>
      </c>
      <c r="FG6" s="6">
        <v>45</v>
      </c>
      <c r="FH6" s="13">
        <v>90</v>
      </c>
      <c r="FI6" s="6">
        <v>60</v>
      </c>
      <c r="FJ6" s="6">
        <v>90</v>
      </c>
      <c r="FK6" s="6">
        <v>90</v>
      </c>
      <c r="FL6" s="6">
        <v>240</v>
      </c>
      <c r="FM6" s="6">
        <v>240</v>
      </c>
      <c r="FN6" s="6">
        <v>240</v>
      </c>
      <c r="FO6" s="6">
        <v>240</v>
      </c>
      <c r="FP6" s="6">
        <v>240</v>
      </c>
      <c r="FQ6" s="6">
        <v>240</v>
      </c>
      <c r="FR6" s="6">
        <v>240</v>
      </c>
      <c r="FS6" s="6">
        <v>240</v>
      </c>
      <c r="FT6" s="6">
        <v>240</v>
      </c>
      <c r="FU6" s="6">
        <v>240</v>
      </c>
      <c r="FV6" s="6">
        <v>240</v>
      </c>
      <c r="FW6" s="6">
        <v>240</v>
      </c>
      <c r="FX6" s="6">
        <v>240</v>
      </c>
    </row>
    <row r="7" spans="1:181" x14ac:dyDescent="0.3">
      <c r="A7" s="4" t="s">
        <v>3002</v>
      </c>
      <c r="B7" s="6" cm="1">
        <f t="array" ref="B7:FX7">1*TRANSPOSE(_xlfn._xlws.FILTER(transformer!$J$2:$J$181,transformer!$E$2:$E$181&lt;&gt;0))</f>
        <v>125</v>
      </c>
      <c r="C7" s="6">
        <v>63</v>
      </c>
      <c r="D7" s="6">
        <v>125</v>
      </c>
      <c r="E7" s="6">
        <v>250</v>
      </c>
      <c r="F7" s="6">
        <v>250</v>
      </c>
      <c r="G7" s="6">
        <v>250</v>
      </c>
      <c r="H7" s="6">
        <v>250</v>
      </c>
      <c r="I7" s="6">
        <v>250</v>
      </c>
      <c r="J7" s="6">
        <v>250</v>
      </c>
      <c r="K7" s="6">
        <v>250</v>
      </c>
      <c r="L7" s="6">
        <v>250</v>
      </c>
      <c r="M7" s="6">
        <v>250</v>
      </c>
      <c r="N7" s="6">
        <v>250</v>
      </c>
      <c r="O7" s="6">
        <v>250</v>
      </c>
      <c r="P7" s="6">
        <v>250</v>
      </c>
      <c r="Q7" s="6">
        <v>250</v>
      </c>
      <c r="R7" s="6">
        <v>250</v>
      </c>
      <c r="S7" s="6">
        <v>250</v>
      </c>
      <c r="T7" s="6">
        <v>250</v>
      </c>
      <c r="U7" s="6">
        <v>238</v>
      </c>
      <c r="V7" s="6">
        <v>250</v>
      </c>
      <c r="W7" s="6">
        <v>175</v>
      </c>
      <c r="X7" s="6">
        <v>500</v>
      </c>
      <c r="Y7" s="6">
        <v>500</v>
      </c>
      <c r="Z7" s="6">
        <v>250</v>
      </c>
      <c r="AA7" s="6">
        <v>500</v>
      </c>
      <c r="AB7" s="6">
        <v>500</v>
      </c>
      <c r="AC7" s="6">
        <v>250</v>
      </c>
      <c r="AD7" s="6">
        <v>250</v>
      </c>
      <c r="AE7" s="6">
        <v>250</v>
      </c>
      <c r="AF7" s="6">
        <v>250</v>
      </c>
      <c r="AG7" s="6">
        <v>250</v>
      </c>
      <c r="AH7" s="6">
        <v>125</v>
      </c>
      <c r="AI7" s="6">
        <v>125</v>
      </c>
      <c r="AJ7" s="6">
        <v>125</v>
      </c>
      <c r="AK7" s="6">
        <v>125</v>
      </c>
      <c r="AL7" s="6">
        <v>250</v>
      </c>
      <c r="AM7" s="6">
        <v>250</v>
      </c>
      <c r="AN7" s="6">
        <v>250</v>
      </c>
      <c r="AO7" s="6">
        <v>250</v>
      </c>
      <c r="AP7" s="6">
        <v>250</v>
      </c>
      <c r="AQ7" s="6">
        <v>63</v>
      </c>
      <c r="AR7" s="6">
        <v>63</v>
      </c>
      <c r="AS7" s="6">
        <v>250</v>
      </c>
      <c r="AT7" s="6">
        <v>125</v>
      </c>
      <c r="AU7" s="6">
        <v>250</v>
      </c>
      <c r="AV7" s="6">
        <v>250</v>
      </c>
      <c r="AW7" s="6">
        <v>125</v>
      </c>
      <c r="AX7" s="6">
        <v>125</v>
      </c>
      <c r="AY7" s="6">
        <v>250</v>
      </c>
      <c r="AZ7" s="6">
        <v>250</v>
      </c>
      <c r="BA7" s="6">
        <v>250</v>
      </c>
      <c r="BB7" s="6">
        <v>250</v>
      </c>
      <c r="BC7" s="6">
        <v>250</v>
      </c>
      <c r="BD7" s="6">
        <v>250</v>
      </c>
      <c r="BE7" s="6">
        <v>250</v>
      </c>
      <c r="BF7" s="6">
        <v>125</v>
      </c>
      <c r="BG7" s="6">
        <v>125</v>
      </c>
      <c r="BH7" s="6">
        <v>125</v>
      </c>
      <c r="BI7" s="6">
        <v>250</v>
      </c>
      <c r="BJ7" s="6">
        <v>300</v>
      </c>
      <c r="BK7" s="6">
        <v>600</v>
      </c>
      <c r="BL7" s="6">
        <v>300</v>
      </c>
      <c r="BM7" s="6">
        <v>125</v>
      </c>
      <c r="BN7" s="6">
        <v>238</v>
      </c>
      <c r="BO7" s="6">
        <v>125</v>
      </c>
      <c r="BP7" s="6">
        <v>250</v>
      </c>
      <c r="BQ7" s="6">
        <v>500</v>
      </c>
      <c r="BR7" s="6">
        <v>250</v>
      </c>
      <c r="BS7" s="6">
        <v>500</v>
      </c>
      <c r="BT7" s="6">
        <v>500</v>
      </c>
      <c r="BU7" s="6">
        <v>250</v>
      </c>
      <c r="BV7" s="6">
        <v>250</v>
      </c>
      <c r="BW7" s="6">
        <v>238</v>
      </c>
      <c r="BX7" s="6">
        <v>250</v>
      </c>
      <c r="BY7" s="6">
        <v>125</v>
      </c>
      <c r="BZ7" s="6">
        <v>125</v>
      </c>
      <c r="CA7" s="6">
        <v>250</v>
      </c>
      <c r="CB7" s="6">
        <v>238</v>
      </c>
      <c r="CC7" s="6">
        <v>238</v>
      </c>
      <c r="CD7" s="6">
        <v>500</v>
      </c>
      <c r="CE7" s="6">
        <v>500</v>
      </c>
      <c r="CF7" s="6">
        <v>550</v>
      </c>
      <c r="CG7" s="6">
        <v>582</v>
      </c>
      <c r="CH7" s="6">
        <v>90</v>
      </c>
      <c r="CI7" s="6">
        <v>60</v>
      </c>
      <c r="CJ7" s="6">
        <v>60</v>
      </c>
      <c r="CK7" s="6">
        <v>90</v>
      </c>
      <c r="CL7" s="6">
        <v>90</v>
      </c>
      <c r="CM7" s="6">
        <v>90</v>
      </c>
      <c r="CN7" s="6">
        <v>90</v>
      </c>
      <c r="CO7" s="6">
        <v>90</v>
      </c>
      <c r="CP7" s="6">
        <v>90</v>
      </c>
      <c r="CQ7" s="6">
        <v>90</v>
      </c>
      <c r="CR7" s="6">
        <v>90</v>
      </c>
      <c r="CS7" s="6">
        <v>30</v>
      </c>
      <c r="CT7" s="6">
        <v>30</v>
      </c>
      <c r="CU7" s="6">
        <v>30</v>
      </c>
      <c r="CV7" s="6">
        <v>30</v>
      </c>
      <c r="CW7" s="6">
        <v>90</v>
      </c>
      <c r="CX7" s="6">
        <v>90</v>
      </c>
      <c r="CY7" s="6">
        <v>90</v>
      </c>
      <c r="CZ7" s="6">
        <v>90</v>
      </c>
      <c r="DA7" s="6">
        <v>100</v>
      </c>
      <c r="DB7" s="6">
        <v>90</v>
      </c>
      <c r="DC7" s="6">
        <v>90</v>
      </c>
      <c r="DD7" s="6">
        <v>90</v>
      </c>
      <c r="DE7" s="6">
        <v>90</v>
      </c>
      <c r="DF7" s="6">
        <v>60</v>
      </c>
      <c r="DG7" s="6">
        <v>60</v>
      </c>
      <c r="DH7" s="6">
        <v>90</v>
      </c>
      <c r="DI7" s="6">
        <v>90</v>
      </c>
      <c r="DJ7" s="6">
        <v>60</v>
      </c>
      <c r="DK7" s="6">
        <v>60</v>
      </c>
      <c r="DL7" s="6">
        <v>75</v>
      </c>
      <c r="DM7" s="6">
        <v>75</v>
      </c>
      <c r="DN7" s="6">
        <v>60</v>
      </c>
      <c r="DO7" s="6">
        <v>60</v>
      </c>
      <c r="DP7" s="6">
        <v>90</v>
      </c>
      <c r="DQ7" s="6">
        <v>60</v>
      </c>
      <c r="DR7" s="6">
        <v>90</v>
      </c>
      <c r="DS7" s="6">
        <v>90</v>
      </c>
      <c r="DT7" s="6">
        <v>90</v>
      </c>
      <c r="DU7" s="6">
        <v>90</v>
      </c>
      <c r="DV7" s="6">
        <v>90</v>
      </c>
      <c r="DW7" s="6">
        <v>45</v>
      </c>
      <c r="DX7" s="6">
        <v>45</v>
      </c>
      <c r="DY7" s="6">
        <v>45</v>
      </c>
      <c r="DZ7" s="6">
        <v>45</v>
      </c>
      <c r="EA7" s="6">
        <v>60</v>
      </c>
      <c r="EB7" s="6">
        <v>45</v>
      </c>
      <c r="EC7" s="6">
        <v>45</v>
      </c>
      <c r="ED7" s="6">
        <v>60</v>
      </c>
      <c r="EE7" s="6">
        <v>90</v>
      </c>
      <c r="EF7" s="6">
        <v>90</v>
      </c>
      <c r="EG7" s="6">
        <v>90</v>
      </c>
      <c r="EH7" s="6">
        <v>90</v>
      </c>
      <c r="EI7" s="6">
        <v>45</v>
      </c>
      <c r="EJ7" s="6">
        <v>45</v>
      </c>
      <c r="EK7" s="6">
        <v>45</v>
      </c>
      <c r="EL7" s="6">
        <v>45</v>
      </c>
      <c r="EM7" s="6">
        <v>90</v>
      </c>
      <c r="EN7" s="6">
        <v>90</v>
      </c>
      <c r="EO7" s="6">
        <v>45</v>
      </c>
      <c r="EP7" s="6">
        <v>45</v>
      </c>
      <c r="EQ7" s="6">
        <v>45</v>
      </c>
      <c r="ER7" s="6">
        <v>45</v>
      </c>
      <c r="ES7" s="6">
        <v>60</v>
      </c>
      <c r="ET7" s="6">
        <v>60</v>
      </c>
      <c r="EU7" s="6">
        <v>90</v>
      </c>
      <c r="EV7" s="6">
        <v>90</v>
      </c>
      <c r="EW7" s="6">
        <v>90</v>
      </c>
      <c r="EX7" s="6">
        <v>90</v>
      </c>
      <c r="EY7" s="6">
        <v>90</v>
      </c>
      <c r="EZ7" s="6">
        <v>90</v>
      </c>
      <c r="FA7" s="6">
        <v>90</v>
      </c>
      <c r="FB7" s="6">
        <v>90</v>
      </c>
      <c r="FC7" s="6">
        <v>90</v>
      </c>
      <c r="FD7" s="6">
        <v>90</v>
      </c>
      <c r="FE7" s="6">
        <v>90</v>
      </c>
      <c r="FF7" s="6">
        <v>45</v>
      </c>
      <c r="FG7" s="6">
        <v>45</v>
      </c>
      <c r="FH7" s="13">
        <v>90</v>
      </c>
      <c r="FI7" s="6">
        <v>60</v>
      </c>
      <c r="FJ7" s="6">
        <v>90</v>
      </c>
      <c r="FK7" s="6">
        <v>90</v>
      </c>
      <c r="FL7" s="6">
        <v>240</v>
      </c>
      <c r="FM7" s="6">
        <v>240</v>
      </c>
      <c r="FN7" s="6">
        <v>240</v>
      </c>
      <c r="FO7" s="6">
        <v>240</v>
      </c>
      <c r="FP7" s="6">
        <v>240</v>
      </c>
      <c r="FQ7" s="6">
        <v>240</v>
      </c>
      <c r="FR7" s="6">
        <v>240</v>
      </c>
      <c r="FS7" s="6">
        <v>240</v>
      </c>
      <c r="FT7" s="6">
        <v>240</v>
      </c>
      <c r="FU7" s="6">
        <v>240</v>
      </c>
      <c r="FV7" s="6">
        <v>240</v>
      </c>
      <c r="FW7" s="6">
        <v>240</v>
      </c>
      <c r="FX7" s="6">
        <v>240</v>
      </c>
    </row>
    <row r="8" spans="1:181" x14ac:dyDescent="0.3">
      <c r="A8" s="4" t="s">
        <v>3003</v>
      </c>
      <c r="B8" s="6" cm="1">
        <f t="array" ref="B8:FX8">1*TRANSPOSE(_xlfn._xlws.FILTER(transformer!$J$2:$J$181,transformer!$E$2:$E$181&lt;&gt;0))</f>
        <v>125</v>
      </c>
      <c r="C8" s="6">
        <v>63</v>
      </c>
      <c r="D8" s="6">
        <v>125</v>
      </c>
      <c r="E8" s="6">
        <v>250</v>
      </c>
      <c r="F8" s="6">
        <v>250</v>
      </c>
      <c r="G8" s="6">
        <v>250</v>
      </c>
      <c r="H8" s="6">
        <v>250</v>
      </c>
      <c r="I8" s="6">
        <v>250</v>
      </c>
      <c r="J8" s="6">
        <v>250</v>
      </c>
      <c r="K8" s="6">
        <v>250</v>
      </c>
      <c r="L8" s="6">
        <v>250</v>
      </c>
      <c r="M8" s="6">
        <v>250</v>
      </c>
      <c r="N8" s="6">
        <v>250</v>
      </c>
      <c r="O8" s="6">
        <v>250</v>
      </c>
      <c r="P8" s="6">
        <v>250</v>
      </c>
      <c r="Q8" s="6">
        <v>250</v>
      </c>
      <c r="R8" s="6">
        <v>250</v>
      </c>
      <c r="S8" s="6">
        <v>250</v>
      </c>
      <c r="T8" s="6">
        <v>250</v>
      </c>
      <c r="U8" s="6">
        <v>238</v>
      </c>
      <c r="V8" s="6">
        <v>250</v>
      </c>
      <c r="W8" s="6">
        <v>175</v>
      </c>
      <c r="X8" s="6">
        <v>500</v>
      </c>
      <c r="Y8" s="6">
        <v>500</v>
      </c>
      <c r="Z8" s="6">
        <v>250</v>
      </c>
      <c r="AA8" s="6">
        <v>500</v>
      </c>
      <c r="AB8" s="6">
        <v>500</v>
      </c>
      <c r="AC8" s="6">
        <v>250</v>
      </c>
      <c r="AD8" s="6">
        <v>250</v>
      </c>
      <c r="AE8" s="6">
        <v>250</v>
      </c>
      <c r="AF8" s="6">
        <v>250</v>
      </c>
      <c r="AG8" s="6">
        <v>250</v>
      </c>
      <c r="AH8" s="6">
        <v>125</v>
      </c>
      <c r="AI8" s="6">
        <v>125</v>
      </c>
      <c r="AJ8" s="6">
        <v>125</v>
      </c>
      <c r="AK8" s="6">
        <v>125</v>
      </c>
      <c r="AL8" s="6">
        <v>250</v>
      </c>
      <c r="AM8" s="6">
        <v>250</v>
      </c>
      <c r="AN8" s="6">
        <v>250</v>
      </c>
      <c r="AO8" s="6">
        <v>250</v>
      </c>
      <c r="AP8" s="6">
        <v>250</v>
      </c>
      <c r="AQ8" s="6">
        <v>63</v>
      </c>
      <c r="AR8" s="6">
        <v>63</v>
      </c>
      <c r="AS8" s="6">
        <v>250</v>
      </c>
      <c r="AT8" s="6">
        <v>125</v>
      </c>
      <c r="AU8" s="6">
        <v>250</v>
      </c>
      <c r="AV8" s="6">
        <v>250</v>
      </c>
      <c r="AW8" s="6">
        <v>125</v>
      </c>
      <c r="AX8" s="6">
        <v>125</v>
      </c>
      <c r="AY8" s="6">
        <v>250</v>
      </c>
      <c r="AZ8" s="6">
        <v>250</v>
      </c>
      <c r="BA8" s="6">
        <v>250</v>
      </c>
      <c r="BB8" s="6">
        <v>250</v>
      </c>
      <c r="BC8" s="6">
        <v>250</v>
      </c>
      <c r="BD8" s="6">
        <v>250</v>
      </c>
      <c r="BE8" s="6">
        <v>250</v>
      </c>
      <c r="BF8" s="6">
        <v>125</v>
      </c>
      <c r="BG8" s="6">
        <v>125</v>
      </c>
      <c r="BH8" s="6">
        <v>125</v>
      </c>
      <c r="BI8" s="6">
        <v>250</v>
      </c>
      <c r="BJ8" s="6">
        <v>300</v>
      </c>
      <c r="BK8" s="6">
        <v>600</v>
      </c>
      <c r="BL8" s="6">
        <v>300</v>
      </c>
      <c r="BM8" s="6">
        <v>125</v>
      </c>
      <c r="BN8" s="6">
        <v>238</v>
      </c>
      <c r="BO8" s="6">
        <v>125</v>
      </c>
      <c r="BP8" s="6">
        <v>250</v>
      </c>
      <c r="BQ8" s="6">
        <v>500</v>
      </c>
      <c r="BR8" s="6">
        <v>250</v>
      </c>
      <c r="BS8" s="6">
        <v>500</v>
      </c>
      <c r="BT8" s="6">
        <v>500</v>
      </c>
      <c r="BU8" s="6">
        <v>250</v>
      </c>
      <c r="BV8" s="6">
        <v>250</v>
      </c>
      <c r="BW8" s="6">
        <v>238</v>
      </c>
      <c r="BX8" s="6">
        <v>250</v>
      </c>
      <c r="BY8" s="6">
        <v>125</v>
      </c>
      <c r="BZ8" s="6">
        <v>125</v>
      </c>
      <c r="CA8" s="6">
        <v>250</v>
      </c>
      <c r="CB8" s="6">
        <v>238</v>
      </c>
      <c r="CC8" s="6">
        <v>238</v>
      </c>
      <c r="CD8" s="6">
        <v>500</v>
      </c>
      <c r="CE8" s="6">
        <v>500</v>
      </c>
      <c r="CF8" s="6">
        <v>550</v>
      </c>
      <c r="CG8" s="6">
        <v>582</v>
      </c>
      <c r="CH8" s="6">
        <v>90</v>
      </c>
      <c r="CI8" s="6">
        <v>60</v>
      </c>
      <c r="CJ8" s="6">
        <v>60</v>
      </c>
      <c r="CK8" s="6">
        <v>90</v>
      </c>
      <c r="CL8" s="6">
        <v>90</v>
      </c>
      <c r="CM8" s="6">
        <v>90</v>
      </c>
      <c r="CN8" s="6">
        <v>90</v>
      </c>
      <c r="CO8" s="6">
        <v>90</v>
      </c>
      <c r="CP8" s="6">
        <v>90</v>
      </c>
      <c r="CQ8" s="6">
        <v>90</v>
      </c>
      <c r="CR8" s="6">
        <v>90</v>
      </c>
      <c r="CS8" s="6">
        <v>30</v>
      </c>
      <c r="CT8" s="6">
        <v>30</v>
      </c>
      <c r="CU8" s="6">
        <v>30</v>
      </c>
      <c r="CV8" s="6">
        <v>30</v>
      </c>
      <c r="CW8" s="6">
        <v>90</v>
      </c>
      <c r="CX8" s="6">
        <v>90</v>
      </c>
      <c r="CY8" s="6">
        <v>90</v>
      </c>
      <c r="CZ8" s="6">
        <v>90</v>
      </c>
      <c r="DA8" s="6">
        <v>100</v>
      </c>
      <c r="DB8" s="6">
        <v>90</v>
      </c>
      <c r="DC8" s="6">
        <v>90</v>
      </c>
      <c r="DD8" s="6">
        <v>90</v>
      </c>
      <c r="DE8" s="6">
        <v>90</v>
      </c>
      <c r="DF8" s="6">
        <v>60</v>
      </c>
      <c r="DG8" s="6">
        <v>60</v>
      </c>
      <c r="DH8" s="6">
        <v>90</v>
      </c>
      <c r="DI8" s="6">
        <v>90</v>
      </c>
      <c r="DJ8" s="6">
        <v>60</v>
      </c>
      <c r="DK8" s="6">
        <v>60</v>
      </c>
      <c r="DL8" s="6">
        <v>75</v>
      </c>
      <c r="DM8" s="6">
        <v>75</v>
      </c>
      <c r="DN8" s="6">
        <v>60</v>
      </c>
      <c r="DO8" s="6">
        <v>60</v>
      </c>
      <c r="DP8" s="6">
        <v>90</v>
      </c>
      <c r="DQ8" s="6">
        <v>60</v>
      </c>
      <c r="DR8" s="6">
        <v>90</v>
      </c>
      <c r="DS8" s="6">
        <v>90</v>
      </c>
      <c r="DT8" s="6">
        <v>90</v>
      </c>
      <c r="DU8" s="6">
        <v>90</v>
      </c>
      <c r="DV8" s="6">
        <v>90</v>
      </c>
      <c r="DW8" s="6">
        <v>45</v>
      </c>
      <c r="DX8" s="6">
        <v>45</v>
      </c>
      <c r="DY8" s="6">
        <v>45</v>
      </c>
      <c r="DZ8" s="6">
        <v>45</v>
      </c>
      <c r="EA8" s="6">
        <v>60</v>
      </c>
      <c r="EB8" s="6">
        <v>45</v>
      </c>
      <c r="EC8" s="6">
        <v>45</v>
      </c>
      <c r="ED8" s="6">
        <v>60</v>
      </c>
      <c r="EE8" s="6">
        <v>90</v>
      </c>
      <c r="EF8" s="6">
        <v>90</v>
      </c>
      <c r="EG8" s="6">
        <v>90</v>
      </c>
      <c r="EH8" s="6">
        <v>90</v>
      </c>
      <c r="EI8" s="6">
        <v>45</v>
      </c>
      <c r="EJ8" s="6">
        <v>45</v>
      </c>
      <c r="EK8" s="6">
        <v>45</v>
      </c>
      <c r="EL8" s="6">
        <v>45</v>
      </c>
      <c r="EM8" s="6">
        <v>90</v>
      </c>
      <c r="EN8" s="6">
        <v>90</v>
      </c>
      <c r="EO8" s="6">
        <v>45</v>
      </c>
      <c r="EP8" s="6">
        <v>45</v>
      </c>
      <c r="EQ8" s="6">
        <v>45</v>
      </c>
      <c r="ER8" s="6">
        <v>45</v>
      </c>
      <c r="ES8" s="6">
        <v>60</v>
      </c>
      <c r="ET8" s="6">
        <v>60</v>
      </c>
      <c r="EU8" s="6">
        <v>90</v>
      </c>
      <c r="EV8" s="6">
        <v>90</v>
      </c>
      <c r="EW8" s="6">
        <v>90</v>
      </c>
      <c r="EX8" s="6">
        <v>90</v>
      </c>
      <c r="EY8" s="6">
        <v>90</v>
      </c>
      <c r="EZ8" s="6">
        <v>90</v>
      </c>
      <c r="FA8" s="6">
        <v>90</v>
      </c>
      <c r="FB8" s="6">
        <v>90</v>
      </c>
      <c r="FC8" s="6">
        <v>90</v>
      </c>
      <c r="FD8" s="6">
        <v>90</v>
      </c>
      <c r="FE8" s="6">
        <v>90</v>
      </c>
      <c r="FF8" s="6">
        <v>45</v>
      </c>
      <c r="FG8" s="6">
        <v>45</v>
      </c>
      <c r="FH8" s="13">
        <v>90</v>
      </c>
      <c r="FI8" s="6">
        <v>60</v>
      </c>
      <c r="FJ8" s="6">
        <v>90</v>
      </c>
      <c r="FK8" s="6">
        <v>90</v>
      </c>
      <c r="FL8" s="6">
        <v>240</v>
      </c>
      <c r="FM8" s="6">
        <v>240</v>
      </c>
      <c r="FN8" s="6">
        <v>240</v>
      </c>
      <c r="FO8" s="6">
        <v>240</v>
      </c>
      <c r="FP8" s="6">
        <v>240</v>
      </c>
      <c r="FQ8" s="6">
        <v>240</v>
      </c>
      <c r="FR8" s="6">
        <v>240</v>
      </c>
      <c r="FS8" s="6">
        <v>240</v>
      </c>
      <c r="FT8" s="6">
        <v>240</v>
      </c>
      <c r="FU8" s="6">
        <v>240</v>
      </c>
      <c r="FV8" s="6">
        <v>240</v>
      </c>
      <c r="FW8" s="6">
        <v>240</v>
      </c>
      <c r="FX8" s="6">
        <v>240</v>
      </c>
    </row>
    <row r="9" spans="1:181" x14ac:dyDescent="0.3">
      <c r="A9" s="4" t="s">
        <v>3004</v>
      </c>
      <c r="B9" s="6" cm="1">
        <f t="array" ref="B9:FX9">1*TRANSPOSE(_xlfn._xlws.FILTER(transformer!$J$2:$J$181,transformer!$E$2:$E$181&lt;&gt;0))</f>
        <v>125</v>
      </c>
      <c r="C9" s="6">
        <v>63</v>
      </c>
      <c r="D9" s="6">
        <v>125</v>
      </c>
      <c r="E9" s="6">
        <v>250</v>
      </c>
      <c r="F9" s="6">
        <v>250</v>
      </c>
      <c r="G9" s="6">
        <v>250</v>
      </c>
      <c r="H9" s="6">
        <v>250</v>
      </c>
      <c r="I9" s="6">
        <v>250</v>
      </c>
      <c r="J9" s="6">
        <v>250</v>
      </c>
      <c r="K9" s="6">
        <v>250</v>
      </c>
      <c r="L9" s="6">
        <v>250</v>
      </c>
      <c r="M9" s="6">
        <v>250</v>
      </c>
      <c r="N9" s="6">
        <v>250</v>
      </c>
      <c r="O9" s="6">
        <v>250</v>
      </c>
      <c r="P9" s="6">
        <v>250</v>
      </c>
      <c r="Q9" s="6">
        <v>250</v>
      </c>
      <c r="R9" s="6">
        <v>250</v>
      </c>
      <c r="S9" s="6">
        <v>250</v>
      </c>
      <c r="T9" s="6">
        <v>250</v>
      </c>
      <c r="U9" s="6">
        <v>238</v>
      </c>
      <c r="V9" s="6">
        <v>250</v>
      </c>
      <c r="W9" s="6">
        <v>175</v>
      </c>
      <c r="X9" s="6">
        <v>500</v>
      </c>
      <c r="Y9" s="6">
        <v>500</v>
      </c>
      <c r="Z9" s="6">
        <v>250</v>
      </c>
      <c r="AA9" s="6">
        <v>500</v>
      </c>
      <c r="AB9" s="6">
        <v>500</v>
      </c>
      <c r="AC9" s="6">
        <v>250</v>
      </c>
      <c r="AD9" s="6">
        <v>250</v>
      </c>
      <c r="AE9" s="6">
        <v>250</v>
      </c>
      <c r="AF9" s="6">
        <v>250</v>
      </c>
      <c r="AG9" s="6">
        <v>250</v>
      </c>
      <c r="AH9" s="6">
        <v>125</v>
      </c>
      <c r="AI9" s="6">
        <v>125</v>
      </c>
      <c r="AJ9" s="6">
        <v>125</v>
      </c>
      <c r="AK9" s="6">
        <v>125</v>
      </c>
      <c r="AL9" s="6">
        <v>250</v>
      </c>
      <c r="AM9" s="6">
        <v>250</v>
      </c>
      <c r="AN9" s="6">
        <v>250</v>
      </c>
      <c r="AO9" s="6">
        <v>250</v>
      </c>
      <c r="AP9" s="6">
        <v>250</v>
      </c>
      <c r="AQ9" s="6">
        <v>63</v>
      </c>
      <c r="AR9" s="6">
        <v>63</v>
      </c>
      <c r="AS9" s="6">
        <v>250</v>
      </c>
      <c r="AT9" s="6">
        <v>125</v>
      </c>
      <c r="AU9" s="6">
        <v>250</v>
      </c>
      <c r="AV9" s="6">
        <v>250</v>
      </c>
      <c r="AW9" s="6">
        <v>125</v>
      </c>
      <c r="AX9" s="6">
        <v>125</v>
      </c>
      <c r="AY9" s="6">
        <v>250</v>
      </c>
      <c r="AZ9" s="6">
        <v>250</v>
      </c>
      <c r="BA9" s="6">
        <v>250</v>
      </c>
      <c r="BB9" s="6">
        <v>250</v>
      </c>
      <c r="BC9" s="6">
        <v>250</v>
      </c>
      <c r="BD9" s="6">
        <v>250</v>
      </c>
      <c r="BE9" s="6">
        <v>250</v>
      </c>
      <c r="BF9" s="6">
        <v>125</v>
      </c>
      <c r="BG9" s="6">
        <v>125</v>
      </c>
      <c r="BH9" s="6">
        <v>125</v>
      </c>
      <c r="BI9" s="6">
        <v>250</v>
      </c>
      <c r="BJ9" s="6">
        <v>300</v>
      </c>
      <c r="BK9" s="6">
        <v>600</v>
      </c>
      <c r="BL9" s="6">
        <v>300</v>
      </c>
      <c r="BM9" s="6">
        <v>125</v>
      </c>
      <c r="BN9" s="6">
        <v>238</v>
      </c>
      <c r="BO9" s="6">
        <v>125</v>
      </c>
      <c r="BP9" s="6">
        <v>250</v>
      </c>
      <c r="BQ9" s="6">
        <v>500</v>
      </c>
      <c r="BR9" s="6">
        <v>250</v>
      </c>
      <c r="BS9" s="6">
        <v>500</v>
      </c>
      <c r="BT9" s="6">
        <v>500</v>
      </c>
      <c r="BU9" s="6">
        <v>250</v>
      </c>
      <c r="BV9" s="6">
        <v>250</v>
      </c>
      <c r="BW9" s="6">
        <v>238</v>
      </c>
      <c r="BX9" s="6">
        <v>250</v>
      </c>
      <c r="BY9" s="6">
        <v>125</v>
      </c>
      <c r="BZ9" s="6">
        <v>125</v>
      </c>
      <c r="CA9" s="6">
        <v>250</v>
      </c>
      <c r="CB9" s="6">
        <v>238</v>
      </c>
      <c r="CC9" s="6">
        <v>238</v>
      </c>
      <c r="CD9" s="6">
        <v>500</v>
      </c>
      <c r="CE9" s="6">
        <v>500</v>
      </c>
      <c r="CF9" s="6">
        <v>550</v>
      </c>
      <c r="CG9" s="6">
        <v>582</v>
      </c>
      <c r="CH9" s="6">
        <v>90</v>
      </c>
      <c r="CI9" s="6">
        <v>60</v>
      </c>
      <c r="CJ9" s="6">
        <v>60</v>
      </c>
      <c r="CK9" s="6">
        <v>90</v>
      </c>
      <c r="CL9" s="6">
        <v>90</v>
      </c>
      <c r="CM9" s="6">
        <v>90</v>
      </c>
      <c r="CN9" s="6">
        <v>90</v>
      </c>
      <c r="CO9" s="6">
        <v>90</v>
      </c>
      <c r="CP9" s="6">
        <v>90</v>
      </c>
      <c r="CQ9" s="6">
        <v>90</v>
      </c>
      <c r="CR9" s="6">
        <v>90</v>
      </c>
      <c r="CS9" s="6">
        <v>30</v>
      </c>
      <c r="CT9" s="6">
        <v>30</v>
      </c>
      <c r="CU9" s="6">
        <v>30</v>
      </c>
      <c r="CV9" s="6">
        <v>30</v>
      </c>
      <c r="CW9" s="6">
        <v>90</v>
      </c>
      <c r="CX9" s="6">
        <v>90</v>
      </c>
      <c r="CY9" s="6">
        <v>90</v>
      </c>
      <c r="CZ9" s="6">
        <v>90</v>
      </c>
      <c r="DA9" s="6">
        <v>100</v>
      </c>
      <c r="DB9" s="6">
        <v>90</v>
      </c>
      <c r="DC9" s="6">
        <v>90</v>
      </c>
      <c r="DD9" s="6">
        <v>90</v>
      </c>
      <c r="DE9" s="6">
        <v>90</v>
      </c>
      <c r="DF9" s="6">
        <v>60</v>
      </c>
      <c r="DG9" s="6">
        <v>60</v>
      </c>
      <c r="DH9" s="6">
        <v>90</v>
      </c>
      <c r="DI9" s="6">
        <v>90</v>
      </c>
      <c r="DJ9" s="6">
        <v>60</v>
      </c>
      <c r="DK9" s="6">
        <v>60</v>
      </c>
      <c r="DL9" s="6">
        <v>75</v>
      </c>
      <c r="DM9" s="6">
        <v>75</v>
      </c>
      <c r="DN9" s="6">
        <v>60</v>
      </c>
      <c r="DO9" s="6">
        <v>60</v>
      </c>
      <c r="DP9" s="6">
        <v>90</v>
      </c>
      <c r="DQ9" s="6">
        <v>60</v>
      </c>
      <c r="DR9" s="6">
        <v>90</v>
      </c>
      <c r="DS9" s="6">
        <v>90</v>
      </c>
      <c r="DT9" s="6">
        <v>90</v>
      </c>
      <c r="DU9" s="6">
        <v>90</v>
      </c>
      <c r="DV9" s="6">
        <v>90</v>
      </c>
      <c r="DW9" s="6">
        <v>45</v>
      </c>
      <c r="DX9" s="6">
        <v>45</v>
      </c>
      <c r="DY9" s="6">
        <v>45</v>
      </c>
      <c r="DZ9" s="6">
        <v>45</v>
      </c>
      <c r="EA9" s="6">
        <v>60</v>
      </c>
      <c r="EB9" s="6">
        <v>45</v>
      </c>
      <c r="EC9" s="6">
        <v>45</v>
      </c>
      <c r="ED9" s="6">
        <v>60</v>
      </c>
      <c r="EE9" s="6">
        <v>90</v>
      </c>
      <c r="EF9" s="6">
        <v>90</v>
      </c>
      <c r="EG9" s="6">
        <v>90</v>
      </c>
      <c r="EH9" s="6">
        <v>90</v>
      </c>
      <c r="EI9" s="6">
        <v>45</v>
      </c>
      <c r="EJ9" s="6">
        <v>45</v>
      </c>
      <c r="EK9" s="6">
        <v>45</v>
      </c>
      <c r="EL9" s="6">
        <v>45</v>
      </c>
      <c r="EM9" s="6">
        <v>90</v>
      </c>
      <c r="EN9" s="6">
        <v>90</v>
      </c>
      <c r="EO9" s="6">
        <v>45</v>
      </c>
      <c r="EP9" s="6">
        <v>45</v>
      </c>
      <c r="EQ9" s="6">
        <v>45</v>
      </c>
      <c r="ER9" s="6">
        <v>45</v>
      </c>
      <c r="ES9" s="6">
        <v>60</v>
      </c>
      <c r="ET9" s="6">
        <v>60</v>
      </c>
      <c r="EU9" s="6">
        <v>90</v>
      </c>
      <c r="EV9" s="6">
        <v>90</v>
      </c>
      <c r="EW9" s="6">
        <v>90</v>
      </c>
      <c r="EX9" s="6">
        <v>90</v>
      </c>
      <c r="EY9" s="6">
        <v>90</v>
      </c>
      <c r="EZ9" s="6">
        <v>90</v>
      </c>
      <c r="FA9" s="6">
        <v>90</v>
      </c>
      <c r="FB9" s="6">
        <v>90</v>
      </c>
      <c r="FC9" s="6">
        <v>90</v>
      </c>
      <c r="FD9" s="6">
        <v>90</v>
      </c>
      <c r="FE9" s="6">
        <v>90</v>
      </c>
      <c r="FF9" s="6">
        <v>45</v>
      </c>
      <c r="FG9" s="6">
        <v>45</v>
      </c>
      <c r="FH9" s="13">
        <v>90</v>
      </c>
      <c r="FI9" s="6">
        <v>60</v>
      </c>
      <c r="FJ9" s="6">
        <v>90</v>
      </c>
      <c r="FK9" s="6">
        <v>90</v>
      </c>
      <c r="FL9" s="6">
        <v>240</v>
      </c>
      <c r="FM9" s="6">
        <v>240</v>
      </c>
      <c r="FN9" s="6">
        <v>240</v>
      </c>
      <c r="FO9" s="6">
        <v>240</v>
      </c>
      <c r="FP9" s="6">
        <v>240</v>
      </c>
      <c r="FQ9" s="6">
        <v>240</v>
      </c>
      <c r="FR9" s="6">
        <v>240</v>
      </c>
      <c r="FS9" s="6">
        <v>240</v>
      </c>
      <c r="FT9" s="6">
        <v>240</v>
      </c>
      <c r="FU9" s="6">
        <v>240</v>
      </c>
      <c r="FV9" s="6">
        <v>240</v>
      </c>
      <c r="FW9" s="6">
        <v>240</v>
      </c>
      <c r="FX9" s="6">
        <v>240</v>
      </c>
    </row>
    <row r="10" spans="1:181" x14ac:dyDescent="0.3">
      <c r="A10" s="4" t="s">
        <v>3005</v>
      </c>
      <c r="B10" s="6" cm="1">
        <f t="array" ref="B10:FX10">1*TRANSPOSE(_xlfn._xlws.FILTER(transformer!$J$2:$J$181,transformer!$E$2:$E$181&lt;&gt;0))</f>
        <v>125</v>
      </c>
      <c r="C10" s="6">
        <v>63</v>
      </c>
      <c r="D10" s="6">
        <v>125</v>
      </c>
      <c r="E10" s="6">
        <v>250</v>
      </c>
      <c r="F10" s="6">
        <v>250</v>
      </c>
      <c r="G10" s="6">
        <v>250</v>
      </c>
      <c r="H10" s="6">
        <v>250</v>
      </c>
      <c r="I10" s="6">
        <v>250</v>
      </c>
      <c r="J10" s="6">
        <v>250</v>
      </c>
      <c r="K10" s="6">
        <v>250</v>
      </c>
      <c r="L10" s="6">
        <v>250</v>
      </c>
      <c r="M10" s="6">
        <v>250</v>
      </c>
      <c r="N10" s="6">
        <v>250</v>
      </c>
      <c r="O10" s="6">
        <v>250</v>
      </c>
      <c r="P10" s="6">
        <v>250</v>
      </c>
      <c r="Q10" s="6">
        <v>250</v>
      </c>
      <c r="R10" s="6">
        <v>250</v>
      </c>
      <c r="S10" s="6">
        <v>250</v>
      </c>
      <c r="T10" s="6">
        <v>250</v>
      </c>
      <c r="U10" s="6">
        <v>238</v>
      </c>
      <c r="V10" s="6">
        <v>250</v>
      </c>
      <c r="W10" s="6">
        <v>175</v>
      </c>
      <c r="X10" s="6">
        <v>500</v>
      </c>
      <c r="Y10" s="6">
        <v>500</v>
      </c>
      <c r="Z10" s="6">
        <v>250</v>
      </c>
      <c r="AA10" s="6">
        <v>500</v>
      </c>
      <c r="AB10" s="6">
        <v>500</v>
      </c>
      <c r="AC10" s="6">
        <v>250</v>
      </c>
      <c r="AD10" s="6">
        <v>250</v>
      </c>
      <c r="AE10" s="6">
        <v>250</v>
      </c>
      <c r="AF10" s="6">
        <v>250</v>
      </c>
      <c r="AG10" s="6">
        <v>250</v>
      </c>
      <c r="AH10" s="6">
        <v>125</v>
      </c>
      <c r="AI10" s="6">
        <v>125</v>
      </c>
      <c r="AJ10" s="6">
        <v>125</v>
      </c>
      <c r="AK10" s="6">
        <v>125</v>
      </c>
      <c r="AL10" s="6">
        <v>250</v>
      </c>
      <c r="AM10" s="6">
        <v>250</v>
      </c>
      <c r="AN10" s="6">
        <v>250</v>
      </c>
      <c r="AO10" s="6">
        <v>250</v>
      </c>
      <c r="AP10" s="6">
        <v>250</v>
      </c>
      <c r="AQ10" s="6">
        <v>63</v>
      </c>
      <c r="AR10" s="6">
        <v>63</v>
      </c>
      <c r="AS10" s="6">
        <v>250</v>
      </c>
      <c r="AT10" s="6">
        <v>125</v>
      </c>
      <c r="AU10" s="6">
        <v>250</v>
      </c>
      <c r="AV10" s="6">
        <v>250</v>
      </c>
      <c r="AW10" s="6">
        <v>125</v>
      </c>
      <c r="AX10" s="6">
        <v>125</v>
      </c>
      <c r="AY10" s="6">
        <v>250</v>
      </c>
      <c r="AZ10" s="6">
        <v>250</v>
      </c>
      <c r="BA10" s="6">
        <v>250</v>
      </c>
      <c r="BB10" s="6">
        <v>250</v>
      </c>
      <c r="BC10" s="6">
        <v>250</v>
      </c>
      <c r="BD10" s="6">
        <v>250</v>
      </c>
      <c r="BE10" s="6">
        <v>250</v>
      </c>
      <c r="BF10" s="6">
        <v>125</v>
      </c>
      <c r="BG10" s="6">
        <v>125</v>
      </c>
      <c r="BH10" s="6">
        <v>125</v>
      </c>
      <c r="BI10" s="6">
        <v>250</v>
      </c>
      <c r="BJ10" s="6">
        <v>300</v>
      </c>
      <c r="BK10" s="6">
        <v>600</v>
      </c>
      <c r="BL10" s="6">
        <v>300</v>
      </c>
      <c r="BM10" s="6">
        <v>125</v>
      </c>
      <c r="BN10" s="6">
        <v>238</v>
      </c>
      <c r="BO10" s="6">
        <v>125</v>
      </c>
      <c r="BP10" s="6">
        <v>250</v>
      </c>
      <c r="BQ10" s="6">
        <v>500</v>
      </c>
      <c r="BR10" s="6">
        <v>250</v>
      </c>
      <c r="BS10" s="6">
        <v>500</v>
      </c>
      <c r="BT10" s="6">
        <v>500</v>
      </c>
      <c r="BU10" s="6">
        <v>250</v>
      </c>
      <c r="BV10" s="6">
        <v>250</v>
      </c>
      <c r="BW10" s="6">
        <v>238</v>
      </c>
      <c r="BX10" s="6">
        <v>250</v>
      </c>
      <c r="BY10" s="6">
        <v>125</v>
      </c>
      <c r="BZ10" s="6">
        <v>125</v>
      </c>
      <c r="CA10" s="6">
        <v>250</v>
      </c>
      <c r="CB10" s="6">
        <v>238</v>
      </c>
      <c r="CC10" s="6">
        <v>238</v>
      </c>
      <c r="CD10" s="6">
        <v>500</v>
      </c>
      <c r="CE10" s="6">
        <v>500</v>
      </c>
      <c r="CF10" s="6">
        <v>550</v>
      </c>
      <c r="CG10" s="6">
        <v>582</v>
      </c>
      <c r="CH10" s="6">
        <v>90</v>
      </c>
      <c r="CI10" s="6">
        <v>60</v>
      </c>
      <c r="CJ10" s="6">
        <v>60</v>
      </c>
      <c r="CK10" s="6">
        <v>90</v>
      </c>
      <c r="CL10" s="6">
        <v>90</v>
      </c>
      <c r="CM10" s="6">
        <v>90</v>
      </c>
      <c r="CN10" s="6">
        <v>90</v>
      </c>
      <c r="CO10" s="6">
        <v>90</v>
      </c>
      <c r="CP10" s="6">
        <v>90</v>
      </c>
      <c r="CQ10" s="6">
        <v>90</v>
      </c>
      <c r="CR10" s="6">
        <v>90</v>
      </c>
      <c r="CS10" s="6">
        <v>30</v>
      </c>
      <c r="CT10" s="6">
        <v>30</v>
      </c>
      <c r="CU10" s="6">
        <v>30</v>
      </c>
      <c r="CV10" s="6">
        <v>30</v>
      </c>
      <c r="CW10" s="6">
        <v>90</v>
      </c>
      <c r="CX10" s="6">
        <v>90</v>
      </c>
      <c r="CY10" s="6">
        <v>90</v>
      </c>
      <c r="CZ10" s="6">
        <v>90</v>
      </c>
      <c r="DA10" s="6">
        <v>100</v>
      </c>
      <c r="DB10" s="6">
        <v>90</v>
      </c>
      <c r="DC10" s="6">
        <v>90</v>
      </c>
      <c r="DD10" s="6">
        <v>90</v>
      </c>
      <c r="DE10" s="6">
        <v>90</v>
      </c>
      <c r="DF10" s="6">
        <v>60</v>
      </c>
      <c r="DG10" s="6">
        <v>60</v>
      </c>
      <c r="DH10" s="6">
        <v>90</v>
      </c>
      <c r="DI10" s="6">
        <v>90</v>
      </c>
      <c r="DJ10" s="6">
        <v>60</v>
      </c>
      <c r="DK10" s="6">
        <v>60</v>
      </c>
      <c r="DL10" s="6">
        <v>75</v>
      </c>
      <c r="DM10" s="6">
        <v>75</v>
      </c>
      <c r="DN10" s="6">
        <v>60</v>
      </c>
      <c r="DO10" s="6">
        <v>60</v>
      </c>
      <c r="DP10" s="6">
        <v>90</v>
      </c>
      <c r="DQ10" s="6">
        <v>60</v>
      </c>
      <c r="DR10" s="6">
        <v>90</v>
      </c>
      <c r="DS10" s="6">
        <v>90</v>
      </c>
      <c r="DT10" s="6">
        <v>90</v>
      </c>
      <c r="DU10" s="6">
        <v>90</v>
      </c>
      <c r="DV10" s="6">
        <v>90</v>
      </c>
      <c r="DW10" s="6">
        <v>45</v>
      </c>
      <c r="DX10" s="6">
        <v>45</v>
      </c>
      <c r="DY10" s="6">
        <v>45</v>
      </c>
      <c r="DZ10" s="6">
        <v>45</v>
      </c>
      <c r="EA10" s="6">
        <v>60</v>
      </c>
      <c r="EB10" s="6">
        <v>45</v>
      </c>
      <c r="EC10" s="6">
        <v>45</v>
      </c>
      <c r="ED10" s="6">
        <v>60</v>
      </c>
      <c r="EE10" s="6">
        <v>90</v>
      </c>
      <c r="EF10" s="6">
        <v>90</v>
      </c>
      <c r="EG10" s="6">
        <v>90</v>
      </c>
      <c r="EH10" s="6">
        <v>90</v>
      </c>
      <c r="EI10" s="6">
        <v>45</v>
      </c>
      <c r="EJ10" s="6">
        <v>45</v>
      </c>
      <c r="EK10" s="6">
        <v>45</v>
      </c>
      <c r="EL10" s="6">
        <v>45</v>
      </c>
      <c r="EM10" s="6">
        <v>90</v>
      </c>
      <c r="EN10" s="6">
        <v>90</v>
      </c>
      <c r="EO10" s="6">
        <v>45</v>
      </c>
      <c r="EP10" s="6">
        <v>45</v>
      </c>
      <c r="EQ10" s="6">
        <v>45</v>
      </c>
      <c r="ER10" s="6">
        <v>45</v>
      </c>
      <c r="ES10" s="6">
        <v>60</v>
      </c>
      <c r="ET10" s="6">
        <v>60</v>
      </c>
      <c r="EU10" s="6">
        <v>90</v>
      </c>
      <c r="EV10" s="6">
        <v>90</v>
      </c>
      <c r="EW10" s="6">
        <v>90</v>
      </c>
      <c r="EX10" s="6">
        <v>90</v>
      </c>
      <c r="EY10" s="6">
        <v>90</v>
      </c>
      <c r="EZ10" s="6">
        <v>90</v>
      </c>
      <c r="FA10" s="6">
        <v>90</v>
      </c>
      <c r="FB10" s="6">
        <v>90</v>
      </c>
      <c r="FC10" s="6">
        <v>90</v>
      </c>
      <c r="FD10" s="6">
        <v>90</v>
      </c>
      <c r="FE10" s="6">
        <v>90</v>
      </c>
      <c r="FF10" s="6">
        <v>45</v>
      </c>
      <c r="FG10" s="6">
        <v>45</v>
      </c>
      <c r="FH10" s="13">
        <v>90</v>
      </c>
      <c r="FI10" s="6">
        <v>60</v>
      </c>
      <c r="FJ10" s="6">
        <v>90</v>
      </c>
      <c r="FK10" s="6">
        <v>90</v>
      </c>
      <c r="FL10" s="6">
        <v>240</v>
      </c>
      <c r="FM10" s="6">
        <v>240</v>
      </c>
      <c r="FN10" s="6">
        <v>240</v>
      </c>
      <c r="FO10" s="6">
        <v>240</v>
      </c>
      <c r="FP10" s="6">
        <v>240</v>
      </c>
      <c r="FQ10" s="6">
        <v>240</v>
      </c>
      <c r="FR10" s="6">
        <v>240</v>
      </c>
      <c r="FS10" s="6">
        <v>240</v>
      </c>
      <c r="FT10" s="6">
        <v>240</v>
      </c>
      <c r="FU10" s="6">
        <v>240</v>
      </c>
      <c r="FV10" s="6">
        <v>240</v>
      </c>
      <c r="FW10" s="6">
        <v>240</v>
      </c>
      <c r="FX10" s="6">
        <v>240</v>
      </c>
    </row>
    <row r="11" spans="1:181" x14ac:dyDescent="0.3">
      <c r="A11" s="4" t="s">
        <v>3006</v>
      </c>
      <c r="B11" s="6" cm="1">
        <f t="array" ref="B11:FX11">1*TRANSPOSE(_xlfn._xlws.FILTER(transformer!$J$2:$J$181,transformer!$E$2:$E$181&lt;&gt;0))</f>
        <v>125</v>
      </c>
      <c r="C11" s="6">
        <v>63</v>
      </c>
      <c r="D11" s="6">
        <v>125</v>
      </c>
      <c r="E11" s="6">
        <v>250</v>
      </c>
      <c r="F11" s="6">
        <v>250</v>
      </c>
      <c r="G11" s="6">
        <v>250</v>
      </c>
      <c r="H11" s="6">
        <v>250</v>
      </c>
      <c r="I11" s="6">
        <v>250</v>
      </c>
      <c r="J11" s="6">
        <v>250</v>
      </c>
      <c r="K11" s="6">
        <v>250</v>
      </c>
      <c r="L11" s="6">
        <v>250</v>
      </c>
      <c r="M11" s="6">
        <v>250</v>
      </c>
      <c r="N11" s="6">
        <v>250</v>
      </c>
      <c r="O11" s="6">
        <v>250</v>
      </c>
      <c r="P11" s="6">
        <v>250</v>
      </c>
      <c r="Q11" s="6">
        <v>250</v>
      </c>
      <c r="R11" s="6">
        <v>250</v>
      </c>
      <c r="S11" s="6">
        <v>250</v>
      </c>
      <c r="T11" s="6">
        <v>250</v>
      </c>
      <c r="U11" s="6">
        <v>238</v>
      </c>
      <c r="V11" s="6">
        <v>250</v>
      </c>
      <c r="W11" s="6">
        <v>175</v>
      </c>
      <c r="X11" s="6">
        <v>500</v>
      </c>
      <c r="Y11" s="6">
        <v>500</v>
      </c>
      <c r="Z11" s="6">
        <v>250</v>
      </c>
      <c r="AA11" s="6">
        <v>500</v>
      </c>
      <c r="AB11" s="6">
        <v>500</v>
      </c>
      <c r="AC11" s="6">
        <v>250</v>
      </c>
      <c r="AD11" s="6">
        <v>250</v>
      </c>
      <c r="AE11" s="6">
        <v>250</v>
      </c>
      <c r="AF11" s="6">
        <v>250</v>
      </c>
      <c r="AG11" s="6">
        <v>250</v>
      </c>
      <c r="AH11" s="6">
        <v>125</v>
      </c>
      <c r="AI11" s="6">
        <v>125</v>
      </c>
      <c r="AJ11" s="6">
        <v>125</v>
      </c>
      <c r="AK11" s="6">
        <v>125</v>
      </c>
      <c r="AL11" s="6">
        <v>250</v>
      </c>
      <c r="AM11" s="6">
        <v>250</v>
      </c>
      <c r="AN11" s="6">
        <v>250</v>
      </c>
      <c r="AO11" s="6">
        <v>250</v>
      </c>
      <c r="AP11" s="6">
        <v>250</v>
      </c>
      <c r="AQ11" s="6">
        <v>63</v>
      </c>
      <c r="AR11" s="6">
        <v>63</v>
      </c>
      <c r="AS11" s="6">
        <v>250</v>
      </c>
      <c r="AT11" s="6">
        <v>125</v>
      </c>
      <c r="AU11" s="6">
        <v>250</v>
      </c>
      <c r="AV11" s="6">
        <v>250</v>
      </c>
      <c r="AW11" s="6">
        <v>125</v>
      </c>
      <c r="AX11" s="6">
        <v>125</v>
      </c>
      <c r="AY11" s="6">
        <v>250</v>
      </c>
      <c r="AZ11" s="6">
        <v>250</v>
      </c>
      <c r="BA11" s="6">
        <v>250</v>
      </c>
      <c r="BB11" s="6">
        <v>250</v>
      </c>
      <c r="BC11" s="6">
        <v>250</v>
      </c>
      <c r="BD11" s="6">
        <v>250</v>
      </c>
      <c r="BE11" s="6">
        <v>250</v>
      </c>
      <c r="BF11" s="6">
        <v>125</v>
      </c>
      <c r="BG11" s="6">
        <v>125</v>
      </c>
      <c r="BH11" s="6">
        <v>125</v>
      </c>
      <c r="BI11" s="6">
        <v>250</v>
      </c>
      <c r="BJ11" s="6">
        <v>300</v>
      </c>
      <c r="BK11" s="6">
        <v>600</v>
      </c>
      <c r="BL11" s="6">
        <v>300</v>
      </c>
      <c r="BM11" s="6">
        <v>125</v>
      </c>
      <c r="BN11" s="6">
        <v>238</v>
      </c>
      <c r="BO11" s="6">
        <v>125</v>
      </c>
      <c r="BP11" s="6">
        <v>250</v>
      </c>
      <c r="BQ11" s="6">
        <v>500</v>
      </c>
      <c r="BR11" s="6">
        <v>250</v>
      </c>
      <c r="BS11" s="6">
        <v>500</v>
      </c>
      <c r="BT11" s="6">
        <v>500</v>
      </c>
      <c r="BU11" s="6">
        <v>250</v>
      </c>
      <c r="BV11" s="6">
        <v>250</v>
      </c>
      <c r="BW11" s="6">
        <v>238</v>
      </c>
      <c r="BX11" s="6">
        <v>250</v>
      </c>
      <c r="BY11" s="6">
        <v>125</v>
      </c>
      <c r="BZ11" s="6">
        <v>125</v>
      </c>
      <c r="CA11" s="6">
        <v>250</v>
      </c>
      <c r="CB11" s="6">
        <v>238</v>
      </c>
      <c r="CC11" s="6">
        <v>238</v>
      </c>
      <c r="CD11" s="6">
        <v>500</v>
      </c>
      <c r="CE11" s="6">
        <v>500</v>
      </c>
      <c r="CF11" s="6">
        <v>550</v>
      </c>
      <c r="CG11" s="6">
        <v>582</v>
      </c>
      <c r="CH11" s="6">
        <v>90</v>
      </c>
      <c r="CI11" s="6">
        <v>60</v>
      </c>
      <c r="CJ11" s="6">
        <v>60</v>
      </c>
      <c r="CK11" s="6">
        <v>90</v>
      </c>
      <c r="CL11" s="6">
        <v>90</v>
      </c>
      <c r="CM11" s="6">
        <v>90</v>
      </c>
      <c r="CN11" s="6">
        <v>90</v>
      </c>
      <c r="CO11" s="6">
        <v>90</v>
      </c>
      <c r="CP11" s="6">
        <v>90</v>
      </c>
      <c r="CQ11" s="6">
        <v>90</v>
      </c>
      <c r="CR11" s="6">
        <v>90</v>
      </c>
      <c r="CS11" s="6">
        <v>30</v>
      </c>
      <c r="CT11" s="6">
        <v>30</v>
      </c>
      <c r="CU11" s="6">
        <v>30</v>
      </c>
      <c r="CV11" s="6">
        <v>30</v>
      </c>
      <c r="CW11" s="6">
        <v>90</v>
      </c>
      <c r="CX11" s="6">
        <v>90</v>
      </c>
      <c r="CY11" s="6">
        <v>90</v>
      </c>
      <c r="CZ11" s="6">
        <v>90</v>
      </c>
      <c r="DA11" s="6">
        <v>100</v>
      </c>
      <c r="DB11" s="6">
        <v>90</v>
      </c>
      <c r="DC11" s="6">
        <v>90</v>
      </c>
      <c r="DD11" s="6">
        <v>90</v>
      </c>
      <c r="DE11" s="6">
        <v>90</v>
      </c>
      <c r="DF11" s="6">
        <v>60</v>
      </c>
      <c r="DG11" s="6">
        <v>60</v>
      </c>
      <c r="DH11" s="6">
        <v>90</v>
      </c>
      <c r="DI11" s="6">
        <v>90</v>
      </c>
      <c r="DJ11" s="6">
        <v>60</v>
      </c>
      <c r="DK11" s="6">
        <v>60</v>
      </c>
      <c r="DL11" s="6">
        <v>75</v>
      </c>
      <c r="DM11" s="6">
        <v>75</v>
      </c>
      <c r="DN11" s="6">
        <v>60</v>
      </c>
      <c r="DO11" s="6">
        <v>60</v>
      </c>
      <c r="DP11" s="6">
        <v>90</v>
      </c>
      <c r="DQ11" s="6">
        <v>60</v>
      </c>
      <c r="DR11" s="6">
        <v>90</v>
      </c>
      <c r="DS11" s="6">
        <v>90</v>
      </c>
      <c r="DT11" s="6">
        <v>90</v>
      </c>
      <c r="DU11" s="6">
        <v>90</v>
      </c>
      <c r="DV11" s="6">
        <v>90</v>
      </c>
      <c r="DW11" s="6">
        <v>45</v>
      </c>
      <c r="DX11" s="6">
        <v>45</v>
      </c>
      <c r="DY11" s="6">
        <v>45</v>
      </c>
      <c r="DZ11" s="6">
        <v>45</v>
      </c>
      <c r="EA11" s="6">
        <v>60</v>
      </c>
      <c r="EB11" s="6">
        <v>45</v>
      </c>
      <c r="EC11" s="6">
        <v>45</v>
      </c>
      <c r="ED11" s="6">
        <v>60</v>
      </c>
      <c r="EE11" s="6">
        <v>90</v>
      </c>
      <c r="EF11" s="6">
        <v>90</v>
      </c>
      <c r="EG11" s="6">
        <v>90</v>
      </c>
      <c r="EH11" s="6">
        <v>90</v>
      </c>
      <c r="EI11" s="6">
        <v>45</v>
      </c>
      <c r="EJ11" s="6">
        <v>45</v>
      </c>
      <c r="EK11" s="6">
        <v>45</v>
      </c>
      <c r="EL11" s="6">
        <v>45</v>
      </c>
      <c r="EM11" s="6">
        <v>90</v>
      </c>
      <c r="EN11" s="6">
        <v>90</v>
      </c>
      <c r="EO11" s="6">
        <v>45</v>
      </c>
      <c r="EP11" s="6">
        <v>45</v>
      </c>
      <c r="EQ11" s="6">
        <v>45</v>
      </c>
      <c r="ER11" s="6">
        <v>45</v>
      </c>
      <c r="ES11" s="6">
        <v>60</v>
      </c>
      <c r="ET11" s="6">
        <v>60</v>
      </c>
      <c r="EU11" s="6">
        <v>90</v>
      </c>
      <c r="EV11" s="6">
        <v>90</v>
      </c>
      <c r="EW11" s="6">
        <v>90</v>
      </c>
      <c r="EX11" s="6">
        <v>90</v>
      </c>
      <c r="EY11" s="6">
        <v>90</v>
      </c>
      <c r="EZ11" s="6">
        <v>90</v>
      </c>
      <c r="FA11" s="6">
        <v>90</v>
      </c>
      <c r="FB11" s="6">
        <v>90</v>
      </c>
      <c r="FC11" s="6">
        <v>90</v>
      </c>
      <c r="FD11" s="6">
        <v>90</v>
      </c>
      <c r="FE11" s="6">
        <v>90</v>
      </c>
      <c r="FF11" s="6">
        <v>45</v>
      </c>
      <c r="FG11" s="6">
        <v>45</v>
      </c>
      <c r="FH11" s="13">
        <v>90</v>
      </c>
      <c r="FI11" s="6">
        <v>60</v>
      </c>
      <c r="FJ11" s="6">
        <v>90</v>
      </c>
      <c r="FK11" s="6">
        <v>90</v>
      </c>
      <c r="FL11" s="6">
        <v>240</v>
      </c>
      <c r="FM11" s="6">
        <v>240</v>
      </c>
      <c r="FN11" s="6">
        <v>240</v>
      </c>
      <c r="FO11" s="6">
        <v>240</v>
      </c>
      <c r="FP11" s="6">
        <v>240</v>
      </c>
      <c r="FQ11" s="6">
        <v>240</v>
      </c>
      <c r="FR11" s="6">
        <v>240</v>
      </c>
      <c r="FS11" s="6">
        <v>240</v>
      </c>
      <c r="FT11" s="6">
        <v>240</v>
      </c>
      <c r="FU11" s="6">
        <v>240</v>
      </c>
      <c r="FV11" s="6">
        <v>240</v>
      </c>
      <c r="FW11" s="6">
        <v>240</v>
      </c>
      <c r="FX11" s="6">
        <v>240</v>
      </c>
    </row>
    <row r="12" spans="1:181" x14ac:dyDescent="0.3">
      <c r="A12" s="4" t="s">
        <v>3007</v>
      </c>
      <c r="B12" s="6" cm="1">
        <f t="array" ref="B12:FX12">1*TRANSPOSE(_xlfn._xlws.FILTER(transformer!$J$2:$J$181,transformer!$E$2:$E$181&lt;&gt;0))</f>
        <v>125</v>
      </c>
      <c r="C12" s="6">
        <v>63</v>
      </c>
      <c r="D12" s="6">
        <v>125</v>
      </c>
      <c r="E12" s="6">
        <v>250</v>
      </c>
      <c r="F12" s="6">
        <v>250</v>
      </c>
      <c r="G12" s="6">
        <v>250</v>
      </c>
      <c r="H12" s="6">
        <v>250</v>
      </c>
      <c r="I12" s="6">
        <v>250</v>
      </c>
      <c r="J12" s="6">
        <v>250</v>
      </c>
      <c r="K12" s="6">
        <v>250</v>
      </c>
      <c r="L12" s="6">
        <v>250</v>
      </c>
      <c r="M12" s="6">
        <v>250</v>
      </c>
      <c r="N12" s="6">
        <v>250</v>
      </c>
      <c r="O12" s="6">
        <v>250</v>
      </c>
      <c r="P12" s="6">
        <v>250</v>
      </c>
      <c r="Q12" s="6">
        <v>250</v>
      </c>
      <c r="R12" s="6">
        <v>250</v>
      </c>
      <c r="S12" s="6">
        <v>250</v>
      </c>
      <c r="T12" s="6">
        <v>250</v>
      </c>
      <c r="U12" s="6">
        <v>238</v>
      </c>
      <c r="V12" s="6">
        <v>250</v>
      </c>
      <c r="W12" s="6">
        <v>175</v>
      </c>
      <c r="X12" s="6">
        <v>500</v>
      </c>
      <c r="Y12" s="6">
        <v>500</v>
      </c>
      <c r="Z12" s="6">
        <v>250</v>
      </c>
      <c r="AA12" s="6">
        <v>500</v>
      </c>
      <c r="AB12" s="6">
        <v>500</v>
      </c>
      <c r="AC12" s="6">
        <v>250</v>
      </c>
      <c r="AD12" s="6">
        <v>250</v>
      </c>
      <c r="AE12" s="6">
        <v>250</v>
      </c>
      <c r="AF12" s="6">
        <v>250</v>
      </c>
      <c r="AG12" s="6">
        <v>250</v>
      </c>
      <c r="AH12" s="6">
        <v>125</v>
      </c>
      <c r="AI12" s="6">
        <v>125</v>
      </c>
      <c r="AJ12" s="6">
        <v>125</v>
      </c>
      <c r="AK12" s="6">
        <v>125</v>
      </c>
      <c r="AL12" s="6">
        <v>250</v>
      </c>
      <c r="AM12" s="6">
        <v>250</v>
      </c>
      <c r="AN12" s="6">
        <v>250</v>
      </c>
      <c r="AO12" s="6">
        <v>250</v>
      </c>
      <c r="AP12" s="6">
        <v>250</v>
      </c>
      <c r="AQ12" s="6">
        <v>63</v>
      </c>
      <c r="AR12" s="6">
        <v>63</v>
      </c>
      <c r="AS12" s="6">
        <v>250</v>
      </c>
      <c r="AT12" s="6">
        <v>125</v>
      </c>
      <c r="AU12" s="6">
        <v>250</v>
      </c>
      <c r="AV12" s="6">
        <v>250</v>
      </c>
      <c r="AW12" s="6">
        <v>125</v>
      </c>
      <c r="AX12" s="6">
        <v>125</v>
      </c>
      <c r="AY12" s="6">
        <v>250</v>
      </c>
      <c r="AZ12" s="6">
        <v>250</v>
      </c>
      <c r="BA12" s="6">
        <v>250</v>
      </c>
      <c r="BB12" s="6">
        <v>250</v>
      </c>
      <c r="BC12" s="6">
        <v>250</v>
      </c>
      <c r="BD12" s="6">
        <v>250</v>
      </c>
      <c r="BE12" s="6">
        <v>250</v>
      </c>
      <c r="BF12" s="6">
        <v>125</v>
      </c>
      <c r="BG12" s="6">
        <v>125</v>
      </c>
      <c r="BH12" s="6">
        <v>125</v>
      </c>
      <c r="BI12" s="6">
        <v>250</v>
      </c>
      <c r="BJ12" s="6">
        <v>300</v>
      </c>
      <c r="BK12" s="6">
        <v>600</v>
      </c>
      <c r="BL12" s="6">
        <v>300</v>
      </c>
      <c r="BM12" s="6">
        <v>125</v>
      </c>
      <c r="BN12" s="6">
        <v>238</v>
      </c>
      <c r="BO12" s="6">
        <v>125</v>
      </c>
      <c r="BP12" s="6">
        <v>250</v>
      </c>
      <c r="BQ12" s="6">
        <v>500</v>
      </c>
      <c r="BR12" s="6">
        <v>250</v>
      </c>
      <c r="BS12" s="6">
        <v>500</v>
      </c>
      <c r="BT12" s="6">
        <v>500</v>
      </c>
      <c r="BU12" s="6">
        <v>250</v>
      </c>
      <c r="BV12" s="6">
        <v>250</v>
      </c>
      <c r="BW12" s="6">
        <v>238</v>
      </c>
      <c r="BX12" s="6">
        <v>250</v>
      </c>
      <c r="BY12" s="6">
        <v>125</v>
      </c>
      <c r="BZ12" s="6">
        <v>125</v>
      </c>
      <c r="CA12" s="6">
        <v>250</v>
      </c>
      <c r="CB12" s="6">
        <v>238</v>
      </c>
      <c r="CC12" s="6">
        <v>238</v>
      </c>
      <c r="CD12" s="6">
        <v>500</v>
      </c>
      <c r="CE12" s="6">
        <v>500</v>
      </c>
      <c r="CF12" s="6">
        <v>550</v>
      </c>
      <c r="CG12" s="6">
        <v>582</v>
      </c>
      <c r="CH12" s="6">
        <v>90</v>
      </c>
      <c r="CI12" s="6">
        <v>60</v>
      </c>
      <c r="CJ12" s="6">
        <v>60</v>
      </c>
      <c r="CK12" s="6">
        <v>90</v>
      </c>
      <c r="CL12" s="6">
        <v>90</v>
      </c>
      <c r="CM12" s="6">
        <v>90</v>
      </c>
      <c r="CN12" s="6">
        <v>90</v>
      </c>
      <c r="CO12" s="6">
        <v>90</v>
      </c>
      <c r="CP12" s="6">
        <v>90</v>
      </c>
      <c r="CQ12" s="6">
        <v>90</v>
      </c>
      <c r="CR12" s="6">
        <v>90</v>
      </c>
      <c r="CS12" s="6">
        <v>30</v>
      </c>
      <c r="CT12" s="6">
        <v>30</v>
      </c>
      <c r="CU12" s="6">
        <v>30</v>
      </c>
      <c r="CV12" s="6">
        <v>30</v>
      </c>
      <c r="CW12" s="6">
        <v>90</v>
      </c>
      <c r="CX12" s="6">
        <v>90</v>
      </c>
      <c r="CY12" s="6">
        <v>90</v>
      </c>
      <c r="CZ12" s="6">
        <v>90</v>
      </c>
      <c r="DA12" s="6">
        <v>100</v>
      </c>
      <c r="DB12" s="6">
        <v>90</v>
      </c>
      <c r="DC12" s="6">
        <v>90</v>
      </c>
      <c r="DD12" s="6">
        <v>90</v>
      </c>
      <c r="DE12" s="6">
        <v>90</v>
      </c>
      <c r="DF12" s="6">
        <v>60</v>
      </c>
      <c r="DG12" s="6">
        <v>60</v>
      </c>
      <c r="DH12" s="6">
        <v>90</v>
      </c>
      <c r="DI12" s="6">
        <v>90</v>
      </c>
      <c r="DJ12" s="6">
        <v>60</v>
      </c>
      <c r="DK12" s="6">
        <v>60</v>
      </c>
      <c r="DL12" s="6">
        <v>75</v>
      </c>
      <c r="DM12" s="6">
        <v>75</v>
      </c>
      <c r="DN12" s="6">
        <v>60</v>
      </c>
      <c r="DO12" s="6">
        <v>60</v>
      </c>
      <c r="DP12" s="6">
        <v>90</v>
      </c>
      <c r="DQ12" s="6">
        <v>60</v>
      </c>
      <c r="DR12" s="6">
        <v>90</v>
      </c>
      <c r="DS12" s="6">
        <v>90</v>
      </c>
      <c r="DT12" s="6">
        <v>90</v>
      </c>
      <c r="DU12" s="6">
        <v>90</v>
      </c>
      <c r="DV12" s="6">
        <v>90</v>
      </c>
      <c r="DW12" s="6">
        <v>45</v>
      </c>
      <c r="DX12" s="6">
        <v>45</v>
      </c>
      <c r="DY12" s="6">
        <v>45</v>
      </c>
      <c r="DZ12" s="6">
        <v>45</v>
      </c>
      <c r="EA12" s="6">
        <v>60</v>
      </c>
      <c r="EB12" s="6">
        <v>45</v>
      </c>
      <c r="EC12" s="6">
        <v>45</v>
      </c>
      <c r="ED12" s="6">
        <v>60</v>
      </c>
      <c r="EE12" s="6">
        <v>90</v>
      </c>
      <c r="EF12" s="6">
        <v>90</v>
      </c>
      <c r="EG12" s="6">
        <v>90</v>
      </c>
      <c r="EH12" s="6">
        <v>90</v>
      </c>
      <c r="EI12" s="6">
        <v>45</v>
      </c>
      <c r="EJ12" s="6">
        <v>45</v>
      </c>
      <c r="EK12" s="6">
        <v>45</v>
      </c>
      <c r="EL12" s="6">
        <v>45</v>
      </c>
      <c r="EM12" s="6">
        <v>90</v>
      </c>
      <c r="EN12" s="6">
        <v>90</v>
      </c>
      <c r="EO12" s="6">
        <v>45</v>
      </c>
      <c r="EP12" s="6">
        <v>45</v>
      </c>
      <c r="EQ12" s="6">
        <v>45</v>
      </c>
      <c r="ER12" s="6">
        <v>45</v>
      </c>
      <c r="ES12" s="6">
        <v>60</v>
      </c>
      <c r="ET12" s="6">
        <v>60</v>
      </c>
      <c r="EU12" s="6">
        <v>90</v>
      </c>
      <c r="EV12" s="6">
        <v>90</v>
      </c>
      <c r="EW12" s="6">
        <v>90</v>
      </c>
      <c r="EX12" s="6">
        <v>90</v>
      </c>
      <c r="EY12" s="6">
        <v>90</v>
      </c>
      <c r="EZ12" s="6">
        <v>90</v>
      </c>
      <c r="FA12" s="6">
        <v>90</v>
      </c>
      <c r="FB12" s="6">
        <v>90</v>
      </c>
      <c r="FC12" s="6">
        <v>90</v>
      </c>
      <c r="FD12" s="6">
        <v>90</v>
      </c>
      <c r="FE12" s="6">
        <v>90</v>
      </c>
      <c r="FF12" s="6">
        <v>45</v>
      </c>
      <c r="FG12" s="6">
        <v>45</v>
      </c>
      <c r="FH12" s="13">
        <v>90</v>
      </c>
      <c r="FI12" s="6">
        <v>60</v>
      </c>
      <c r="FJ12" s="6">
        <v>90</v>
      </c>
      <c r="FK12" s="6">
        <v>90</v>
      </c>
      <c r="FL12" s="6">
        <v>240</v>
      </c>
      <c r="FM12" s="6">
        <v>240</v>
      </c>
      <c r="FN12" s="6">
        <v>240</v>
      </c>
      <c r="FO12" s="6">
        <v>240</v>
      </c>
      <c r="FP12" s="6">
        <v>240</v>
      </c>
      <c r="FQ12" s="6">
        <v>240</v>
      </c>
      <c r="FR12" s="6">
        <v>240</v>
      </c>
      <c r="FS12" s="6">
        <v>240</v>
      </c>
      <c r="FT12" s="6">
        <v>240</v>
      </c>
      <c r="FU12" s="6">
        <v>240</v>
      </c>
      <c r="FV12" s="6">
        <v>240</v>
      </c>
      <c r="FW12" s="6">
        <v>240</v>
      </c>
      <c r="FX12" s="6">
        <v>240</v>
      </c>
    </row>
    <row r="13" spans="1:181" x14ac:dyDescent="0.3">
      <c r="A13" s="4" t="s">
        <v>3008</v>
      </c>
      <c r="B13" s="6" cm="1">
        <f t="array" ref="B13:FX13">1*TRANSPOSE(_xlfn._xlws.FILTER(transformer!$J$2:$J$181,transformer!$E$2:$E$181&lt;&gt;0))</f>
        <v>125</v>
      </c>
      <c r="C13" s="6">
        <v>63</v>
      </c>
      <c r="D13" s="6">
        <v>125</v>
      </c>
      <c r="E13" s="6">
        <v>250</v>
      </c>
      <c r="F13" s="6">
        <v>250</v>
      </c>
      <c r="G13" s="6">
        <v>250</v>
      </c>
      <c r="H13" s="6">
        <v>250</v>
      </c>
      <c r="I13" s="6">
        <v>250</v>
      </c>
      <c r="J13" s="6">
        <v>250</v>
      </c>
      <c r="K13" s="6">
        <v>250</v>
      </c>
      <c r="L13" s="6">
        <v>250</v>
      </c>
      <c r="M13" s="6">
        <v>250</v>
      </c>
      <c r="N13" s="6">
        <v>250</v>
      </c>
      <c r="O13" s="6">
        <v>250</v>
      </c>
      <c r="P13" s="6">
        <v>250</v>
      </c>
      <c r="Q13" s="6">
        <v>250</v>
      </c>
      <c r="R13" s="6">
        <v>250</v>
      </c>
      <c r="S13" s="6">
        <v>250</v>
      </c>
      <c r="T13" s="6">
        <v>250</v>
      </c>
      <c r="U13" s="6">
        <v>238</v>
      </c>
      <c r="V13" s="6">
        <v>250</v>
      </c>
      <c r="W13" s="6">
        <v>175</v>
      </c>
      <c r="X13" s="6">
        <v>500</v>
      </c>
      <c r="Y13" s="6">
        <v>500</v>
      </c>
      <c r="Z13" s="6">
        <v>250</v>
      </c>
      <c r="AA13" s="6">
        <v>500</v>
      </c>
      <c r="AB13" s="6">
        <v>500</v>
      </c>
      <c r="AC13" s="6">
        <v>250</v>
      </c>
      <c r="AD13" s="6">
        <v>250</v>
      </c>
      <c r="AE13" s="6">
        <v>250</v>
      </c>
      <c r="AF13" s="6">
        <v>250</v>
      </c>
      <c r="AG13" s="6">
        <v>250</v>
      </c>
      <c r="AH13" s="6">
        <v>125</v>
      </c>
      <c r="AI13" s="6">
        <v>125</v>
      </c>
      <c r="AJ13" s="6">
        <v>125</v>
      </c>
      <c r="AK13" s="6">
        <v>125</v>
      </c>
      <c r="AL13" s="6">
        <v>250</v>
      </c>
      <c r="AM13" s="6">
        <v>250</v>
      </c>
      <c r="AN13" s="6">
        <v>250</v>
      </c>
      <c r="AO13" s="6">
        <v>250</v>
      </c>
      <c r="AP13" s="6">
        <v>250</v>
      </c>
      <c r="AQ13" s="6">
        <v>63</v>
      </c>
      <c r="AR13" s="6">
        <v>63</v>
      </c>
      <c r="AS13" s="6">
        <v>250</v>
      </c>
      <c r="AT13" s="6">
        <v>125</v>
      </c>
      <c r="AU13" s="6">
        <v>250</v>
      </c>
      <c r="AV13" s="6">
        <v>250</v>
      </c>
      <c r="AW13" s="6">
        <v>125</v>
      </c>
      <c r="AX13" s="6">
        <v>125</v>
      </c>
      <c r="AY13" s="6">
        <v>250</v>
      </c>
      <c r="AZ13" s="6">
        <v>250</v>
      </c>
      <c r="BA13" s="6">
        <v>250</v>
      </c>
      <c r="BB13" s="6">
        <v>250</v>
      </c>
      <c r="BC13" s="6">
        <v>250</v>
      </c>
      <c r="BD13" s="6">
        <v>250</v>
      </c>
      <c r="BE13" s="6">
        <v>250</v>
      </c>
      <c r="BF13" s="6">
        <v>125</v>
      </c>
      <c r="BG13" s="6">
        <v>125</v>
      </c>
      <c r="BH13" s="6">
        <v>125</v>
      </c>
      <c r="BI13" s="6">
        <v>250</v>
      </c>
      <c r="BJ13" s="6">
        <v>300</v>
      </c>
      <c r="BK13" s="6">
        <v>600</v>
      </c>
      <c r="BL13" s="6">
        <v>300</v>
      </c>
      <c r="BM13" s="6">
        <v>125</v>
      </c>
      <c r="BN13" s="6">
        <v>238</v>
      </c>
      <c r="BO13" s="6">
        <v>125</v>
      </c>
      <c r="BP13" s="6">
        <v>250</v>
      </c>
      <c r="BQ13" s="6">
        <v>500</v>
      </c>
      <c r="BR13" s="6">
        <v>250</v>
      </c>
      <c r="BS13" s="6">
        <v>500</v>
      </c>
      <c r="BT13" s="6">
        <v>500</v>
      </c>
      <c r="BU13" s="6">
        <v>250</v>
      </c>
      <c r="BV13" s="6">
        <v>250</v>
      </c>
      <c r="BW13" s="6">
        <v>238</v>
      </c>
      <c r="BX13" s="6">
        <v>250</v>
      </c>
      <c r="BY13" s="6">
        <v>125</v>
      </c>
      <c r="BZ13" s="6">
        <v>125</v>
      </c>
      <c r="CA13" s="6">
        <v>250</v>
      </c>
      <c r="CB13" s="6">
        <v>238</v>
      </c>
      <c r="CC13" s="6">
        <v>238</v>
      </c>
      <c r="CD13" s="6">
        <v>500</v>
      </c>
      <c r="CE13" s="6">
        <v>500</v>
      </c>
      <c r="CF13" s="6">
        <v>550</v>
      </c>
      <c r="CG13" s="6">
        <v>582</v>
      </c>
      <c r="CH13" s="6">
        <v>90</v>
      </c>
      <c r="CI13" s="6">
        <v>60</v>
      </c>
      <c r="CJ13" s="6">
        <v>60</v>
      </c>
      <c r="CK13" s="6">
        <v>90</v>
      </c>
      <c r="CL13" s="6">
        <v>90</v>
      </c>
      <c r="CM13" s="6">
        <v>90</v>
      </c>
      <c r="CN13" s="6">
        <v>90</v>
      </c>
      <c r="CO13" s="6">
        <v>90</v>
      </c>
      <c r="CP13" s="6">
        <v>90</v>
      </c>
      <c r="CQ13" s="6">
        <v>90</v>
      </c>
      <c r="CR13" s="6">
        <v>90</v>
      </c>
      <c r="CS13" s="6">
        <v>30</v>
      </c>
      <c r="CT13" s="6">
        <v>30</v>
      </c>
      <c r="CU13" s="6">
        <v>30</v>
      </c>
      <c r="CV13" s="6">
        <v>30</v>
      </c>
      <c r="CW13" s="6">
        <v>90</v>
      </c>
      <c r="CX13" s="6">
        <v>90</v>
      </c>
      <c r="CY13" s="6">
        <v>90</v>
      </c>
      <c r="CZ13" s="6">
        <v>90</v>
      </c>
      <c r="DA13" s="6">
        <v>100</v>
      </c>
      <c r="DB13" s="6">
        <v>90</v>
      </c>
      <c r="DC13" s="6">
        <v>90</v>
      </c>
      <c r="DD13" s="6">
        <v>90</v>
      </c>
      <c r="DE13" s="6">
        <v>90</v>
      </c>
      <c r="DF13" s="6">
        <v>60</v>
      </c>
      <c r="DG13" s="6">
        <v>60</v>
      </c>
      <c r="DH13" s="6">
        <v>90</v>
      </c>
      <c r="DI13" s="6">
        <v>90</v>
      </c>
      <c r="DJ13" s="6">
        <v>60</v>
      </c>
      <c r="DK13" s="6">
        <v>60</v>
      </c>
      <c r="DL13" s="6">
        <v>75</v>
      </c>
      <c r="DM13" s="6">
        <v>75</v>
      </c>
      <c r="DN13" s="6">
        <v>60</v>
      </c>
      <c r="DO13" s="6">
        <v>60</v>
      </c>
      <c r="DP13" s="6">
        <v>90</v>
      </c>
      <c r="DQ13" s="6">
        <v>60</v>
      </c>
      <c r="DR13" s="6">
        <v>90</v>
      </c>
      <c r="DS13" s="6">
        <v>90</v>
      </c>
      <c r="DT13" s="6">
        <v>90</v>
      </c>
      <c r="DU13" s="6">
        <v>90</v>
      </c>
      <c r="DV13" s="6">
        <v>90</v>
      </c>
      <c r="DW13" s="6">
        <v>45</v>
      </c>
      <c r="DX13" s="6">
        <v>45</v>
      </c>
      <c r="DY13" s="6">
        <v>45</v>
      </c>
      <c r="DZ13" s="6">
        <v>45</v>
      </c>
      <c r="EA13" s="6">
        <v>60</v>
      </c>
      <c r="EB13" s="6">
        <v>45</v>
      </c>
      <c r="EC13" s="6">
        <v>45</v>
      </c>
      <c r="ED13" s="6">
        <v>60</v>
      </c>
      <c r="EE13" s="6">
        <v>90</v>
      </c>
      <c r="EF13" s="6">
        <v>90</v>
      </c>
      <c r="EG13" s="6">
        <v>90</v>
      </c>
      <c r="EH13" s="6">
        <v>90</v>
      </c>
      <c r="EI13" s="6">
        <v>45</v>
      </c>
      <c r="EJ13" s="6">
        <v>45</v>
      </c>
      <c r="EK13" s="6">
        <v>45</v>
      </c>
      <c r="EL13" s="6">
        <v>45</v>
      </c>
      <c r="EM13" s="6">
        <v>90</v>
      </c>
      <c r="EN13" s="6">
        <v>90</v>
      </c>
      <c r="EO13" s="6">
        <v>45</v>
      </c>
      <c r="EP13" s="6">
        <v>45</v>
      </c>
      <c r="EQ13" s="6">
        <v>45</v>
      </c>
      <c r="ER13" s="6">
        <v>45</v>
      </c>
      <c r="ES13" s="6">
        <v>60</v>
      </c>
      <c r="ET13" s="6">
        <v>60</v>
      </c>
      <c r="EU13" s="6">
        <v>90</v>
      </c>
      <c r="EV13" s="6">
        <v>90</v>
      </c>
      <c r="EW13" s="6">
        <v>90</v>
      </c>
      <c r="EX13" s="6">
        <v>90</v>
      </c>
      <c r="EY13" s="6">
        <v>90</v>
      </c>
      <c r="EZ13" s="6">
        <v>90</v>
      </c>
      <c r="FA13" s="6">
        <v>90</v>
      </c>
      <c r="FB13" s="6">
        <v>90</v>
      </c>
      <c r="FC13" s="6">
        <v>90</v>
      </c>
      <c r="FD13" s="6">
        <v>90</v>
      </c>
      <c r="FE13" s="6">
        <v>90</v>
      </c>
      <c r="FF13" s="6">
        <v>45</v>
      </c>
      <c r="FG13" s="6">
        <v>45</v>
      </c>
      <c r="FH13" s="13">
        <v>90</v>
      </c>
      <c r="FI13" s="6">
        <v>60</v>
      </c>
      <c r="FJ13" s="6">
        <v>90</v>
      </c>
      <c r="FK13" s="6">
        <v>90</v>
      </c>
      <c r="FL13" s="6">
        <v>240</v>
      </c>
      <c r="FM13" s="6">
        <v>240</v>
      </c>
      <c r="FN13" s="6">
        <v>240</v>
      </c>
      <c r="FO13" s="6">
        <v>240</v>
      </c>
      <c r="FP13" s="6">
        <v>240</v>
      </c>
      <c r="FQ13" s="6">
        <v>240</v>
      </c>
      <c r="FR13" s="6">
        <v>240</v>
      </c>
      <c r="FS13" s="6">
        <v>240</v>
      </c>
      <c r="FT13" s="6">
        <v>240</v>
      </c>
      <c r="FU13" s="6">
        <v>240</v>
      </c>
      <c r="FV13" s="6">
        <v>240</v>
      </c>
      <c r="FW13" s="6">
        <v>240</v>
      </c>
      <c r="FX13" s="6">
        <v>240</v>
      </c>
    </row>
    <row r="14" spans="1:181" x14ac:dyDescent="0.3">
      <c r="A14" s="4" t="s">
        <v>3009</v>
      </c>
      <c r="B14" s="6" cm="1">
        <f t="array" ref="B14:FX14">1*TRANSPOSE(_xlfn._xlws.FILTER(transformer!$J$2:$J$181,transformer!$E$2:$E$181&lt;&gt;0))</f>
        <v>125</v>
      </c>
      <c r="C14" s="6">
        <v>63</v>
      </c>
      <c r="D14" s="6">
        <v>125</v>
      </c>
      <c r="E14" s="6">
        <v>250</v>
      </c>
      <c r="F14" s="6">
        <v>250</v>
      </c>
      <c r="G14" s="6">
        <v>250</v>
      </c>
      <c r="H14" s="6">
        <v>250</v>
      </c>
      <c r="I14" s="6">
        <v>250</v>
      </c>
      <c r="J14" s="6">
        <v>250</v>
      </c>
      <c r="K14" s="6">
        <v>250</v>
      </c>
      <c r="L14" s="6">
        <v>250</v>
      </c>
      <c r="M14" s="6">
        <v>250</v>
      </c>
      <c r="N14" s="6">
        <v>250</v>
      </c>
      <c r="O14" s="6">
        <v>250</v>
      </c>
      <c r="P14" s="6">
        <v>250</v>
      </c>
      <c r="Q14" s="6">
        <v>250</v>
      </c>
      <c r="R14" s="6">
        <v>250</v>
      </c>
      <c r="S14" s="6">
        <v>250</v>
      </c>
      <c r="T14" s="6">
        <v>250</v>
      </c>
      <c r="U14" s="6">
        <v>238</v>
      </c>
      <c r="V14" s="6">
        <v>250</v>
      </c>
      <c r="W14" s="6">
        <v>175</v>
      </c>
      <c r="X14" s="6">
        <v>500</v>
      </c>
      <c r="Y14" s="6">
        <v>500</v>
      </c>
      <c r="Z14" s="6">
        <v>250</v>
      </c>
      <c r="AA14" s="6">
        <v>500</v>
      </c>
      <c r="AB14" s="6">
        <v>500</v>
      </c>
      <c r="AC14" s="6">
        <v>250</v>
      </c>
      <c r="AD14" s="6">
        <v>250</v>
      </c>
      <c r="AE14" s="6">
        <v>250</v>
      </c>
      <c r="AF14" s="6">
        <v>250</v>
      </c>
      <c r="AG14" s="6">
        <v>250</v>
      </c>
      <c r="AH14" s="6">
        <v>125</v>
      </c>
      <c r="AI14" s="6">
        <v>125</v>
      </c>
      <c r="AJ14" s="6">
        <v>125</v>
      </c>
      <c r="AK14" s="6">
        <v>125</v>
      </c>
      <c r="AL14" s="6">
        <v>250</v>
      </c>
      <c r="AM14" s="6">
        <v>250</v>
      </c>
      <c r="AN14" s="6">
        <v>250</v>
      </c>
      <c r="AO14" s="6">
        <v>250</v>
      </c>
      <c r="AP14" s="6">
        <v>250</v>
      </c>
      <c r="AQ14" s="6">
        <v>63</v>
      </c>
      <c r="AR14" s="6">
        <v>63</v>
      </c>
      <c r="AS14" s="6">
        <v>250</v>
      </c>
      <c r="AT14" s="6">
        <v>125</v>
      </c>
      <c r="AU14" s="6">
        <v>250</v>
      </c>
      <c r="AV14" s="6">
        <v>250</v>
      </c>
      <c r="AW14" s="6">
        <v>125</v>
      </c>
      <c r="AX14" s="6">
        <v>125</v>
      </c>
      <c r="AY14" s="6">
        <v>250</v>
      </c>
      <c r="AZ14" s="6">
        <v>250</v>
      </c>
      <c r="BA14" s="6">
        <v>250</v>
      </c>
      <c r="BB14" s="6">
        <v>250</v>
      </c>
      <c r="BC14" s="6">
        <v>250</v>
      </c>
      <c r="BD14" s="6">
        <v>250</v>
      </c>
      <c r="BE14" s="6">
        <v>250</v>
      </c>
      <c r="BF14" s="6">
        <v>125</v>
      </c>
      <c r="BG14" s="6">
        <v>125</v>
      </c>
      <c r="BH14" s="6">
        <v>125</v>
      </c>
      <c r="BI14" s="6">
        <v>250</v>
      </c>
      <c r="BJ14" s="6">
        <v>300</v>
      </c>
      <c r="BK14" s="6">
        <v>600</v>
      </c>
      <c r="BL14" s="6">
        <v>300</v>
      </c>
      <c r="BM14" s="6">
        <v>125</v>
      </c>
      <c r="BN14" s="6">
        <v>238</v>
      </c>
      <c r="BO14" s="6">
        <v>125</v>
      </c>
      <c r="BP14" s="6">
        <v>250</v>
      </c>
      <c r="BQ14" s="6">
        <v>500</v>
      </c>
      <c r="BR14" s="6">
        <v>250</v>
      </c>
      <c r="BS14" s="6">
        <v>500</v>
      </c>
      <c r="BT14" s="6">
        <v>500</v>
      </c>
      <c r="BU14" s="6">
        <v>250</v>
      </c>
      <c r="BV14" s="6">
        <v>250</v>
      </c>
      <c r="BW14" s="6">
        <v>238</v>
      </c>
      <c r="BX14" s="6">
        <v>250</v>
      </c>
      <c r="BY14" s="6">
        <v>125</v>
      </c>
      <c r="BZ14" s="6">
        <v>125</v>
      </c>
      <c r="CA14" s="6">
        <v>250</v>
      </c>
      <c r="CB14" s="6">
        <v>238</v>
      </c>
      <c r="CC14" s="6">
        <v>238</v>
      </c>
      <c r="CD14" s="6">
        <v>500</v>
      </c>
      <c r="CE14" s="6">
        <v>500</v>
      </c>
      <c r="CF14" s="6">
        <v>550</v>
      </c>
      <c r="CG14" s="6">
        <v>582</v>
      </c>
      <c r="CH14" s="6">
        <v>90</v>
      </c>
      <c r="CI14" s="6">
        <v>60</v>
      </c>
      <c r="CJ14" s="6">
        <v>60</v>
      </c>
      <c r="CK14" s="6">
        <v>90</v>
      </c>
      <c r="CL14" s="6">
        <v>90</v>
      </c>
      <c r="CM14" s="6">
        <v>90</v>
      </c>
      <c r="CN14" s="6">
        <v>90</v>
      </c>
      <c r="CO14" s="6">
        <v>90</v>
      </c>
      <c r="CP14" s="6">
        <v>90</v>
      </c>
      <c r="CQ14" s="6">
        <v>90</v>
      </c>
      <c r="CR14" s="6">
        <v>90</v>
      </c>
      <c r="CS14" s="6">
        <v>30</v>
      </c>
      <c r="CT14" s="6">
        <v>30</v>
      </c>
      <c r="CU14" s="6">
        <v>30</v>
      </c>
      <c r="CV14" s="6">
        <v>30</v>
      </c>
      <c r="CW14" s="6">
        <v>90</v>
      </c>
      <c r="CX14" s="6">
        <v>90</v>
      </c>
      <c r="CY14" s="6">
        <v>90</v>
      </c>
      <c r="CZ14" s="6">
        <v>90</v>
      </c>
      <c r="DA14" s="6">
        <v>100</v>
      </c>
      <c r="DB14" s="6">
        <v>90</v>
      </c>
      <c r="DC14" s="6">
        <v>90</v>
      </c>
      <c r="DD14" s="6">
        <v>90</v>
      </c>
      <c r="DE14" s="6">
        <v>90</v>
      </c>
      <c r="DF14" s="6">
        <v>60</v>
      </c>
      <c r="DG14" s="6">
        <v>60</v>
      </c>
      <c r="DH14" s="6">
        <v>90</v>
      </c>
      <c r="DI14" s="6">
        <v>90</v>
      </c>
      <c r="DJ14" s="6">
        <v>60</v>
      </c>
      <c r="DK14" s="6">
        <v>60</v>
      </c>
      <c r="DL14" s="6">
        <v>75</v>
      </c>
      <c r="DM14" s="6">
        <v>75</v>
      </c>
      <c r="DN14" s="6">
        <v>60</v>
      </c>
      <c r="DO14" s="6">
        <v>60</v>
      </c>
      <c r="DP14" s="6">
        <v>90</v>
      </c>
      <c r="DQ14" s="6">
        <v>60</v>
      </c>
      <c r="DR14" s="6">
        <v>90</v>
      </c>
      <c r="DS14" s="6">
        <v>90</v>
      </c>
      <c r="DT14" s="6">
        <v>90</v>
      </c>
      <c r="DU14" s="6">
        <v>90</v>
      </c>
      <c r="DV14" s="6">
        <v>90</v>
      </c>
      <c r="DW14" s="6">
        <v>45</v>
      </c>
      <c r="DX14" s="6">
        <v>45</v>
      </c>
      <c r="DY14" s="6">
        <v>45</v>
      </c>
      <c r="DZ14" s="6">
        <v>45</v>
      </c>
      <c r="EA14" s="6">
        <v>60</v>
      </c>
      <c r="EB14" s="6">
        <v>45</v>
      </c>
      <c r="EC14" s="6">
        <v>45</v>
      </c>
      <c r="ED14" s="6">
        <v>60</v>
      </c>
      <c r="EE14" s="6">
        <v>90</v>
      </c>
      <c r="EF14" s="6">
        <v>90</v>
      </c>
      <c r="EG14" s="6">
        <v>90</v>
      </c>
      <c r="EH14" s="6">
        <v>90</v>
      </c>
      <c r="EI14" s="6">
        <v>45</v>
      </c>
      <c r="EJ14" s="6">
        <v>45</v>
      </c>
      <c r="EK14" s="6">
        <v>45</v>
      </c>
      <c r="EL14" s="6">
        <v>45</v>
      </c>
      <c r="EM14" s="6">
        <v>90</v>
      </c>
      <c r="EN14" s="6">
        <v>90</v>
      </c>
      <c r="EO14" s="6">
        <v>45</v>
      </c>
      <c r="EP14" s="6">
        <v>45</v>
      </c>
      <c r="EQ14" s="6">
        <v>45</v>
      </c>
      <c r="ER14" s="6">
        <v>45</v>
      </c>
      <c r="ES14" s="6">
        <v>60</v>
      </c>
      <c r="ET14" s="6">
        <v>60</v>
      </c>
      <c r="EU14" s="6">
        <v>90</v>
      </c>
      <c r="EV14" s="6">
        <v>90</v>
      </c>
      <c r="EW14" s="6">
        <v>90</v>
      </c>
      <c r="EX14" s="6">
        <v>90</v>
      </c>
      <c r="EY14" s="6">
        <v>90</v>
      </c>
      <c r="EZ14" s="6">
        <v>90</v>
      </c>
      <c r="FA14" s="6">
        <v>90</v>
      </c>
      <c r="FB14" s="6">
        <v>90</v>
      </c>
      <c r="FC14" s="6">
        <v>90</v>
      </c>
      <c r="FD14" s="6">
        <v>90</v>
      </c>
      <c r="FE14" s="6">
        <v>90</v>
      </c>
      <c r="FF14" s="6">
        <v>45</v>
      </c>
      <c r="FG14" s="6">
        <v>45</v>
      </c>
      <c r="FH14" s="13">
        <v>90</v>
      </c>
      <c r="FI14" s="6">
        <v>60</v>
      </c>
      <c r="FJ14" s="6">
        <v>90</v>
      </c>
      <c r="FK14" s="6">
        <v>90</v>
      </c>
      <c r="FL14" s="6">
        <v>240</v>
      </c>
      <c r="FM14" s="6">
        <v>240</v>
      </c>
      <c r="FN14" s="6">
        <v>240</v>
      </c>
      <c r="FO14" s="6">
        <v>240</v>
      </c>
      <c r="FP14" s="6">
        <v>240</v>
      </c>
      <c r="FQ14" s="6">
        <v>240</v>
      </c>
      <c r="FR14" s="6">
        <v>240</v>
      </c>
      <c r="FS14" s="6">
        <v>240</v>
      </c>
      <c r="FT14" s="6">
        <v>240</v>
      </c>
      <c r="FU14" s="6">
        <v>240</v>
      </c>
      <c r="FV14" s="6">
        <v>240</v>
      </c>
      <c r="FW14" s="6">
        <v>240</v>
      </c>
      <c r="FX14" s="6">
        <v>240</v>
      </c>
    </row>
    <row r="15" spans="1:181" x14ac:dyDescent="0.3">
      <c r="A15" s="4" t="s">
        <v>3010</v>
      </c>
      <c r="B15" s="6" cm="1">
        <f t="array" ref="B15:FX15">1*TRANSPOSE(_xlfn._xlws.FILTER(transformer!$J$2:$J$181,transformer!$E$2:$E$181&lt;&gt;0))</f>
        <v>125</v>
      </c>
      <c r="C15" s="6">
        <v>63</v>
      </c>
      <c r="D15" s="6">
        <v>125</v>
      </c>
      <c r="E15" s="6">
        <v>250</v>
      </c>
      <c r="F15" s="6">
        <v>250</v>
      </c>
      <c r="G15" s="6">
        <v>250</v>
      </c>
      <c r="H15" s="6">
        <v>250</v>
      </c>
      <c r="I15" s="6">
        <v>250</v>
      </c>
      <c r="J15" s="6">
        <v>250</v>
      </c>
      <c r="K15" s="6">
        <v>250</v>
      </c>
      <c r="L15" s="6">
        <v>250</v>
      </c>
      <c r="M15" s="6">
        <v>250</v>
      </c>
      <c r="N15" s="6">
        <v>250</v>
      </c>
      <c r="O15" s="6">
        <v>250</v>
      </c>
      <c r="P15" s="6">
        <v>250</v>
      </c>
      <c r="Q15" s="6">
        <v>250</v>
      </c>
      <c r="R15" s="6">
        <v>250</v>
      </c>
      <c r="S15" s="6">
        <v>250</v>
      </c>
      <c r="T15" s="6">
        <v>250</v>
      </c>
      <c r="U15" s="6">
        <v>238</v>
      </c>
      <c r="V15" s="6">
        <v>250</v>
      </c>
      <c r="W15" s="6">
        <v>175</v>
      </c>
      <c r="X15" s="6">
        <v>500</v>
      </c>
      <c r="Y15" s="6">
        <v>500</v>
      </c>
      <c r="Z15" s="6">
        <v>250</v>
      </c>
      <c r="AA15" s="6">
        <v>500</v>
      </c>
      <c r="AB15" s="6">
        <v>500</v>
      </c>
      <c r="AC15" s="6">
        <v>250</v>
      </c>
      <c r="AD15" s="6">
        <v>250</v>
      </c>
      <c r="AE15" s="6">
        <v>250</v>
      </c>
      <c r="AF15" s="6">
        <v>250</v>
      </c>
      <c r="AG15" s="6">
        <v>250</v>
      </c>
      <c r="AH15" s="6">
        <v>125</v>
      </c>
      <c r="AI15" s="6">
        <v>125</v>
      </c>
      <c r="AJ15" s="6">
        <v>125</v>
      </c>
      <c r="AK15" s="6">
        <v>125</v>
      </c>
      <c r="AL15" s="6">
        <v>250</v>
      </c>
      <c r="AM15" s="6">
        <v>250</v>
      </c>
      <c r="AN15" s="6">
        <v>250</v>
      </c>
      <c r="AO15" s="6">
        <v>250</v>
      </c>
      <c r="AP15" s="6">
        <v>250</v>
      </c>
      <c r="AQ15" s="6">
        <v>63</v>
      </c>
      <c r="AR15" s="6">
        <v>63</v>
      </c>
      <c r="AS15" s="6">
        <v>250</v>
      </c>
      <c r="AT15" s="6">
        <v>125</v>
      </c>
      <c r="AU15" s="6">
        <v>250</v>
      </c>
      <c r="AV15" s="6">
        <v>250</v>
      </c>
      <c r="AW15" s="6">
        <v>125</v>
      </c>
      <c r="AX15" s="6">
        <v>125</v>
      </c>
      <c r="AY15" s="6">
        <v>250</v>
      </c>
      <c r="AZ15" s="6">
        <v>250</v>
      </c>
      <c r="BA15" s="6">
        <v>250</v>
      </c>
      <c r="BB15" s="6">
        <v>250</v>
      </c>
      <c r="BC15" s="6">
        <v>250</v>
      </c>
      <c r="BD15" s="6">
        <v>250</v>
      </c>
      <c r="BE15" s="6">
        <v>250</v>
      </c>
      <c r="BF15" s="6">
        <v>125</v>
      </c>
      <c r="BG15" s="6">
        <v>125</v>
      </c>
      <c r="BH15" s="6">
        <v>125</v>
      </c>
      <c r="BI15" s="6">
        <v>250</v>
      </c>
      <c r="BJ15" s="6">
        <v>300</v>
      </c>
      <c r="BK15" s="6">
        <v>600</v>
      </c>
      <c r="BL15" s="6">
        <v>300</v>
      </c>
      <c r="BM15" s="6">
        <v>125</v>
      </c>
      <c r="BN15" s="6">
        <v>238</v>
      </c>
      <c r="BO15" s="6">
        <v>125</v>
      </c>
      <c r="BP15" s="6">
        <v>250</v>
      </c>
      <c r="BQ15" s="6">
        <v>500</v>
      </c>
      <c r="BR15" s="6">
        <v>250</v>
      </c>
      <c r="BS15" s="6">
        <v>500</v>
      </c>
      <c r="BT15" s="6">
        <v>500</v>
      </c>
      <c r="BU15" s="6">
        <v>250</v>
      </c>
      <c r="BV15" s="6">
        <v>250</v>
      </c>
      <c r="BW15" s="6">
        <v>238</v>
      </c>
      <c r="BX15" s="6">
        <v>250</v>
      </c>
      <c r="BY15" s="6">
        <v>125</v>
      </c>
      <c r="BZ15" s="6">
        <v>125</v>
      </c>
      <c r="CA15" s="6">
        <v>250</v>
      </c>
      <c r="CB15" s="6">
        <v>238</v>
      </c>
      <c r="CC15" s="6">
        <v>238</v>
      </c>
      <c r="CD15" s="6">
        <v>500</v>
      </c>
      <c r="CE15" s="6">
        <v>500</v>
      </c>
      <c r="CF15" s="6">
        <v>550</v>
      </c>
      <c r="CG15" s="6">
        <v>582</v>
      </c>
      <c r="CH15" s="6">
        <v>90</v>
      </c>
      <c r="CI15" s="6">
        <v>60</v>
      </c>
      <c r="CJ15" s="6">
        <v>60</v>
      </c>
      <c r="CK15" s="6">
        <v>90</v>
      </c>
      <c r="CL15" s="6">
        <v>90</v>
      </c>
      <c r="CM15" s="6">
        <v>90</v>
      </c>
      <c r="CN15" s="6">
        <v>90</v>
      </c>
      <c r="CO15" s="6">
        <v>90</v>
      </c>
      <c r="CP15" s="6">
        <v>90</v>
      </c>
      <c r="CQ15" s="6">
        <v>90</v>
      </c>
      <c r="CR15" s="6">
        <v>90</v>
      </c>
      <c r="CS15" s="6">
        <v>30</v>
      </c>
      <c r="CT15" s="6">
        <v>30</v>
      </c>
      <c r="CU15" s="6">
        <v>30</v>
      </c>
      <c r="CV15" s="6">
        <v>30</v>
      </c>
      <c r="CW15" s="6">
        <v>90</v>
      </c>
      <c r="CX15" s="6">
        <v>90</v>
      </c>
      <c r="CY15" s="6">
        <v>90</v>
      </c>
      <c r="CZ15" s="6">
        <v>90</v>
      </c>
      <c r="DA15" s="6">
        <v>100</v>
      </c>
      <c r="DB15" s="6">
        <v>90</v>
      </c>
      <c r="DC15" s="6">
        <v>90</v>
      </c>
      <c r="DD15" s="6">
        <v>90</v>
      </c>
      <c r="DE15" s="6">
        <v>90</v>
      </c>
      <c r="DF15" s="6">
        <v>60</v>
      </c>
      <c r="DG15" s="6">
        <v>60</v>
      </c>
      <c r="DH15" s="6">
        <v>90</v>
      </c>
      <c r="DI15" s="6">
        <v>90</v>
      </c>
      <c r="DJ15" s="6">
        <v>60</v>
      </c>
      <c r="DK15" s="6">
        <v>60</v>
      </c>
      <c r="DL15" s="6">
        <v>75</v>
      </c>
      <c r="DM15" s="6">
        <v>75</v>
      </c>
      <c r="DN15" s="6">
        <v>60</v>
      </c>
      <c r="DO15" s="6">
        <v>60</v>
      </c>
      <c r="DP15" s="6">
        <v>90</v>
      </c>
      <c r="DQ15" s="6">
        <v>60</v>
      </c>
      <c r="DR15" s="6">
        <v>90</v>
      </c>
      <c r="DS15" s="6">
        <v>90</v>
      </c>
      <c r="DT15" s="6">
        <v>90</v>
      </c>
      <c r="DU15" s="6">
        <v>90</v>
      </c>
      <c r="DV15" s="6">
        <v>90</v>
      </c>
      <c r="DW15" s="6">
        <v>45</v>
      </c>
      <c r="DX15" s="6">
        <v>45</v>
      </c>
      <c r="DY15" s="6">
        <v>45</v>
      </c>
      <c r="DZ15" s="6">
        <v>45</v>
      </c>
      <c r="EA15" s="6">
        <v>60</v>
      </c>
      <c r="EB15" s="6">
        <v>45</v>
      </c>
      <c r="EC15" s="6">
        <v>45</v>
      </c>
      <c r="ED15" s="6">
        <v>60</v>
      </c>
      <c r="EE15" s="6">
        <v>90</v>
      </c>
      <c r="EF15" s="6">
        <v>90</v>
      </c>
      <c r="EG15" s="6">
        <v>90</v>
      </c>
      <c r="EH15" s="6">
        <v>90</v>
      </c>
      <c r="EI15" s="6">
        <v>45</v>
      </c>
      <c r="EJ15" s="6">
        <v>45</v>
      </c>
      <c r="EK15" s="6">
        <v>45</v>
      </c>
      <c r="EL15" s="6">
        <v>45</v>
      </c>
      <c r="EM15" s="6">
        <v>90</v>
      </c>
      <c r="EN15" s="6">
        <v>90</v>
      </c>
      <c r="EO15" s="6">
        <v>45</v>
      </c>
      <c r="EP15" s="6">
        <v>45</v>
      </c>
      <c r="EQ15" s="6">
        <v>45</v>
      </c>
      <c r="ER15" s="6">
        <v>45</v>
      </c>
      <c r="ES15" s="6">
        <v>60</v>
      </c>
      <c r="ET15" s="6">
        <v>60</v>
      </c>
      <c r="EU15" s="6">
        <v>90</v>
      </c>
      <c r="EV15" s="6">
        <v>90</v>
      </c>
      <c r="EW15" s="6">
        <v>90</v>
      </c>
      <c r="EX15" s="6">
        <v>90</v>
      </c>
      <c r="EY15" s="6">
        <v>90</v>
      </c>
      <c r="EZ15" s="6">
        <v>90</v>
      </c>
      <c r="FA15" s="6">
        <v>90</v>
      </c>
      <c r="FB15" s="6">
        <v>90</v>
      </c>
      <c r="FC15" s="6">
        <v>90</v>
      </c>
      <c r="FD15" s="6">
        <v>90</v>
      </c>
      <c r="FE15" s="6">
        <v>90</v>
      </c>
      <c r="FF15" s="6">
        <v>45</v>
      </c>
      <c r="FG15" s="6">
        <v>45</v>
      </c>
      <c r="FH15" s="13">
        <v>90</v>
      </c>
      <c r="FI15" s="6">
        <v>60</v>
      </c>
      <c r="FJ15" s="6">
        <v>90</v>
      </c>
      <c r="FK15" s="6">
        <v>90</v>
      </c>
      <c r="FL15" s="6">
        <v>240</v>
      </c>
      <c r="FM15" s="6">
        <v>240</v>
      </c>
      <c r="FN15" s="6">
        <v>240</v>
      </c>
      <c r="FO15" s="6">
        <v>240</v>
      </c>
      <c r="FP15" s="6">
        <v>240</v>
      </c>
      <c r="FQ15" s="6">
        <v>240</v>
      </c>
      <c r="FR15" s="6">
        <v>240</v>
      </c>
      <c r="FS15" s="6">
        <v>240</v>
      </c>
      <c r="FT15" s="6">
        <v>240</v>
      </c>
      <c r="FU15" s="6">
        <v>240</v>
      </c>
      <c r="FV15" s="6">
        <v>240</v>
      </c>
      <c r="FW15" s="6">
        <v>240</v>
      </c>
      <c r="FX15" s="6">
        <v>240</v>
      </c>
    </row>
    <row r="16" spans="1:181" x14ac:dyDescent="0.3">
      <c r="A16" s="4" t="s">
        <v>3011</v>
      </c>
      <c r="B16" s="6" cm="1">
        <f t="array" ref="B16:FX16">1*TRANSPOSE(_xlfn._xlws.FILTER(transformer!$J$2:$J$181,transformer!$E$2:$E$181&lt;&gt;0))</f>
        <v>125</v>
      </c>
      <c r="C16" s="6">
        <v>63</v>
      </c>
      <c r="D16" s="6">
        <v>125</v>
      </c>
      <c r="E16" s="6">
        <v>250</v>
      </c>
      <c r="F16" s="6">
        <v>250</v>
      </c>
      <c r="G16" s="6">
        <v>250</v>
      </c>
      <c r="H16" s="6">
        <v>250</v>
      </c>
      <c r="I16" s="6">
        <v>250</v>
      </c>
      <c r="J16" s="6">
        <v>250</v>
      </c>
      <c r="K16" s="6">
        <v>250</v>
      </c>
      <c r="L16" s="6">
        <v>250</v>
      </c>
      <c r="M16" s="6">
        <v>250</v>
      </c>
      <c r="N16" s="6">
        <v>250</v>
      </c>
      <c r="O16" s="6">
        <v>250</v>
      </c>
      <c r="P16" s="6">
        <v>250</v>
      </c>
      <c r="Q16" s="6">
        <v>250</v>
      </c>
      <c r="R16" s="6">
        <v>250</v>
      </c>
      <c r="S16" s="6">
        <v>250</v>
      </c>
      <c r="T16" s="6">
        <v>250</v>
      </c>
      <c r="U16" s="6">
        <v>238</v>
      </c>
      <c r="V16" s="6">
        <v>250</v>
      </c>
      <c r="W16" s="6">
        <v>175</v>
      </c>
      <c r="X16" s="6">
        <v>500</v>
      </c>
      <c r="Y16" s="6">
        <v>500</v>
      </c>
      <c r="Z16" s="6">
        <v>250</v>
      </c>
      <c r="AA16" s="6">
        <v>500</v>
      </c>
      <c r="AB16" s="6">
        <v>500</v>
      </c>
      <c r="AC16" s="6">
        <v>250</v>
      </c>
      <c r="AD16" s="6">
        <v>250</v>
      </c>
      <c r="AE16" s="6">
        <v>250</v>
      </c>
      <c r="AF16" s="6">
        <v>250</v>
      </c>
      <c r="AG16" s="6">
        <v>250</v>
      </c>
      <c r="AH16" s="6">
        <v>125</v>
      </c>
      <c r="AI16" s="6">
        <v>125</v>
      </c>
      <c r="AJ16" s="6">
        <v>125</v>
      </c>
      <c r="AK16" s="6">
        <v>125</v>
      </c>
      <c r="AL16" s="6">
        <v>250</v>
      </c>
      <c r="AM16" s="6">
        <v>250</v>
      </c>
      <c r="AN16" s="6">
        <v>250</v>
      </c>
      <c r="AO16" s="6">
        <v>250</v>
      </c>
      <c r="AP16" s="6">
        <v>250</v>
      </c>
      <c r="AQ16" s="6">
        <v>63</v>
      </c>
      <c r="AR16" s="6">
        <v>63</v>
      </c>
      <c r="AS16" s="6">
        <v>250</v>
      </c>
      <c r="AT16" s="6">
        <v>125</v>
      </c>
      <c r="AU16" s="6">
        <v>250</v>
      </c>
      <c r="AV16" s="6">
        <v>250</v>
      </c>
      <c r="AW16" s="6">
        <v>125</v>
      </c>
      <c r="AX16" s="6">
        <v>125</v>
      </c>
      <c r="AY16" s="6">
        <v>250</v>
      </c>
      <c r="AZ16" s="6">
        <v>250</v>
      </c>
      <c r="BA16" s="6">
        <v>250</v>
      </c>
      <c r="BB16" s="6">
        <v>250</v>
      </c>
      <c r="BC16" s="6">
        <v>250</v>
      </c>
      <c r="BD16" s="6">
        <v>250</v>
      </c>
      <c r="BE16" s="6">
        <v>250</v>
      </c>
      <c r="BF16" s="6">
        <v>125</v>
      </c>
      <c r="BG16" s="6">
        <v>125</v>
      </c>
      <c r="BH16" s="6">
        <v>125</v>
      </c>
      <c r="BI16" s="6">
        <v>250</v>
      </c>
      <c r="BJ16" s="6">
        <v>300</v>
      </c>
      <c r="BK16" s="6">
        <v>600</v>
      </c>
      <c r="BL16" s="6">
        <v>300</v>
      </c>
      <c r="BM16" s="6">
        <v>125</v>
      </c>
      <c r="BN16" s="6">
        <v>238</v>
      </c>
      <c r="BO16" s="6">
        <v>125</v>
      </c>
      <c r="BP16" s="6">
        <v>250</v>
      </c>
      <c r="BQ16" s="6">
        <v>500</v>
      </c>
      <c r="BR16" s="6">
        <v>250</v>
      </c>
      <c r="BS16" s="6">
        <v>500</v>
      </c>
      <c r="BT16" s="6">
        <v>500</v>
      </c>
      <c r="BU16" s="6">
        <v>250</v>
      </c>
      <c r="BV16" s="6">
        <v>250</v>
      </c>
      <c r="BW16" s="6">
        <v>238</v>
      </c>
      <c r="BX16" s="6">
        <v>250</v>
      </c>
      <c r="BY16" s="6">
        <v>125</v>
      </c>
      <c r="BZ16" s="6">
        <v>125</v>
      </c>
      <c r="CA16" s="6">
        <v>250</v>
      </c>
      <c r="CB16" s="6">
        <v>238</v>
      </c>
      <c r="CC16" s="6">
        <v>238</v>
      </c>
      <c r="CD16" s="6">
        <v>500</v>
      </c>
      <c r="CE16" s="6">
        <v>500</v>
      </c>
      <c r="CF16" s="6">
        <v>550</v>
      </c>
      <c r="CG16" s="6">
        <v>582</v>
      </c>
      <c r="CH16" s="6">
        <v>90</v>
      </c>
      <c r="CI16" s="6">
        <v>60</v>
      </c>
      <c r="CJ16" s="6">
        <v>60</v>
      </c>
      <c r="CK16" s="6">
        <v>90</v>
      </c>
      <c r="CL16" s="6">
        <v>90</v>
      </c>
      <c r="CM16" s="6">
        <v>90</v>
      </c>
      <c r="CN16" s="6">
        <v>90</v>
      </c>
      <c r="CO16" s="6">
        <v>90</v>
      </c>
      <c r="CP16" s="6">
        <v>90</v>
      </c>
      <c r="CQ16" s="6">
        <v>90</v>
      </c>
      <c r="CR16" s="6">
        <v>90</v>
      </c>
      <c r="CS16" s="6">
        <v>30</v>
      </c>
      <c r="CT16" s="6">
        <v>30</v>
      </c>
      <c r="CU16" s="6">
        <v>30</v>
      </c>
      <c r="CV16" s="6">
        <v>30</v>
      </c>
      <c r="CW16" s="6">
        <v>90</v>
      </c>
      <c r="CX16" s="6">
        <v>90</v>
      </c>
      <c r="CY16" s="6">
        <v>90</v>
      </c>
      <c r="CZ16" s="6">
        <v>90</v>
      </c>
      <c r="DA16" s="6">
        <v>100</v>
      </c>
      <c r="DB16" s="6">
        <v>90</v>
      </c>
      <c r="DC16" s="6">
        <v>90</v>
      </c>
      <c r="DD16" s="6">
        <v>90</v>
      </c>
      <c r="DE16" s="6">
        <v>90</v>
      </c>
      <c r="DF16" s="6">
        <v>60</v>
      </c>
      <c r="DG16" s="6">
        <v>60</v>
      </c>
      <c r="DH16" s="6">
        <v>90</v>
      </c>
      <c r="DI16" s="6">
        <v>90</v>
      </c>
      <c r="DJ16" s="6">
        <v>60</v>
      </c>
      <c r="DK16" s="6">
        <v>60</v>
      </c>
      <c r="DL16" s="6">
        <v>75</v>
      </c>
      <c r="DM16" s="6">
        <v>75</v>
      </c>
      <c r="DN16" s="6">
        <v>60</v>
      </c>
      <c r="DO16" s="6">
        <v>60</v>
      </c>
      <c r="DP16" s="6">
        <v>90</v>
      </c>
      <c r="DQ16" s="6">
        <v>60</v>
      </c>
      <c r="DR16" s="6">
        <v>90</v>
      </c>
      <c r="DS16" s="6">
        <v>90</v>
      </c>
      <c r="DT16" s="6">
        <v>90</v>
      </c>
      <c r="DU16" s="6">
        <v>90</v>
      </c>
      <c r="DV16" s="6">
        <v>90</v>
      </c>
      <c r="DW16" s="6">
        <v>45</v>
      </c>
      <c r="DX16" s="6">
        <v>45</v>
      </c>
      <c r="DY16" s="6">
        <v>45</v>
      </c>
      <c r="DZ16" s="6">
        <v>45</v>
      </c>
      <c r="EA16" s="6">
        <v>60</v>
      </c>
      <c r="EB16" s="6">
        <v>45</v>
      </c>
      <c r="EC16" s="6">
        <v>45</v>
      </c>
      <c r="ED16" s="6">
        <v>60</v>
      </c>
      <c r="EE16" s="6">
        <v>90</v>
      </c>
      <c r="EF16" s="6">
        <v>90</v>
      </c>
      <c r="EG16" s="6">
        <v>90</v>
      </c>
      <c r="EH16" s="6">
        <v>90</v>
      </c>
      <c r="EI16" s="6">
        <v>45</v>
      </c>
      <c r="EJ16" s="6">
        <v>45</v>
      </c>
      <c r="EK16" s="6">
        <v>45</v>
      </c>
      <c r="EL16" s="6">
        <v>45</v>
      </c>
      <c r="EM16" s="6">
        <v>90</v>
      </c>
      <c r="EN16" s="6">
        <v>90</v>
      </c>
      <c r="EO16" s="6">
        <v>45</v>
      </c>
      <c r="EP16" s="6">
        <v>45</v>
      </c>
      <c r="EQ16" s="6">
        <v>45</v>
      </c>
      <c r="ER16" s="6">
        <v>45</v>
      </c>
      <c r="ES16" s="6">
        <v>60</v>
      </c>
      <c r="ET16" s="6">
        <v>60</v>
      </c>
      <c r="EU16" s="6">
        <v>90</v>
      </c>
      <c r="EV16" s="6">
        <v>90</v>
      </c>
      <c r="EW16" s="6">
        <v>90</v>
      </c>
      <c r="EX16" s="6">
        <v>90</v>
      </c>
      <c r="EY16" s="6">
        <v>90</v>
      </c>
      <c r="EZ16" s="6">
        <v>90</v>
      </c>
      <c r="FA16" s="6">
        <v>90</v>
      </c>
      <c r="FB16" s="6">
        <v>90</v>
      </c>
      <c r="FC16" s="6">
        <v>90</v>
      </c>
      <c r="FD16" s="6">
        <v>90</v>
      </c>
      <c r="FE16" s="6">
        <v>90</v>
      </c>
      <c r="FF16" s="6">
        <v>45</v>
      </c>
      <c r="FG16" s="6">
        <v>45</v>
      </c>
      <c r="FH16" s="13">
        <v>90</v>
      </c>
      <c r="FI16" s="6">
        <v>60</v>
      </c>
      <c r="FJ16" s="6">
        <v>90</v>
      </c>
      <c r="FK16" s="6">
        <v>90</v>
      </c>
      <c r="FL16" s="6">
        <v>240</v>
      </c>
      <c r="FM16" s="6">
        <v>240</v>
      </c>
      <c r="FN16" s="6">
        <v>240</v>
      </c>
      <c r="FO16" s="6">
        <v>240</v>
      </c>
      <c r="FP16" s="6">
        <v>240</v>
      </c>
      <c r="FQ16" s="6">
        <v>240</v>
      </c>
      <c r="FR16" s="6">
        <v>240</v>
      </c>
      <c r="FS16" s="6">
        <v>240</v>
      </c>
      <c r="FT16" s="6">
        <v>240</v>
      </c>
      <c r="FU16" s="6">
        <v>240</v>
      </c>
      <c r="FV16" s="6">
        <v>240</v>
      </c>
      <c r="FW16" s="6">
        <v>240</v>
      </c>
      <c r="FX16" s="6">
        <v>240</v>
      </c>
    </row>
    <row r="17" spans="1:180" x14ac:dyDescent="0.3">
      <c r="A17" s="4" t="s">
        <v>3012</v>
      </c>
      <c r="B17" s="6" cm="1">
        <f t="array" ref="B17:FX17">1*TRANSPOSE(_xlfn._xlws.FILTER(transformer!$J$2:$J$181,transformer!$E$2:$E$181&lt;&gt;0))</f>
        <v>125</v>
      </c>
      <c r="C17" s="6">
        <v>63</v>
      </c>
      <c r="D17" s="6">
        <v>125</v>
      </c>
      <c r="E17" s="6">
        <v>250</v>
      </c>
      <c r="F17" s="6">
        <v>250</v>
      </c>
      <c r="G17" s="6">
        <v>250</v>
      </c>
      <c r="H17" s="6">
        <v>250</v>
      </c>
      <c r="I17" s="6">
        <v>250</v>
      </c>
      <c r="J17" s="6">
        <v>250</v>
      </c>
      <c r="K17" s="6">
        <v>250</v>
      </c>
      <c r="L17" s="6">
        <v>250</v>
      </c>
      <c r="M17" s="6">
        <v>250</v>
      </c>
      <c r="N17" s="6">
        <v>250</v>
      </c>
      <c r="O17" s="6">
        <v>250</v>
      </c>
      <c r="P17" s="6">
        <v>250</v>
      </c>
      <c r="Q17" s="6">
        <v>250</v>
      </c>
      <c r="R17" s="6">
        <v>250</v>
      </c>
      <c r="S17" s="6">
        <v>250</v>
      </c>
      <c r="T17" s="6">
        <v>250</v>
      </c>
      <c r="U17" s="6">
        <v>238</v>
      </c>
      <c r="V17" s="6">
        <v>250</v>
      </c>
      <c r="W17" s="6">
        <v>175</v>
      </c>
      <c r="X17" s="6">
        <v>500</v>
      </c>
      <c r="Y17" s="6">
        <v>500</v>
      </c>
      <c r="Z17" s="6">
        <v>250</v>
      </c>
      <c r="AA17" s="6">
        <v>500</v>
      </c>
      <c r="AB17" s="6">
        <v>500</v>
      </c>
      <c r="AC17" s="6">
        <v>250</v>
      </c>
      <c r="AD17" s="6">
        <v>250</v>
      </c>
      <c r="AE17" s="6">
        <v>250</v>
      </c>
      <c r="AF17" s="6">
        <v>250</v>
      </c>
      <c r="AG17" s="6">
        <v>250</v>
      </c>
      <c r="AH17" s="6">
        <v>125</v>
      </c>
      <c r="AI17" s="6">
        <v>125</v>
      </c>
      <c r="AJ17" s="6">
        <v>125</v>
      </c>
      <c r="AK17" s="6">
        <v>125</v>
      </c>
      <c r="AL17" s="6">
        <v>250</v>
      </c>
      <c r="AM17" s="6">
        <v>250</v>
      </c>
      <c r="AN17" s="6">
        <v>250</v>
      </c>
      <c r="AO17" s="6">
        <v>250</v>
      </c>
      <c r="AP17" s="6">
        <v>250</v>
      </c>
      <c r="AQ17" s="6">
        <v>63</v>
      </c>
      <c r="AR17" s="6">
        <v>63</v>
      </c>
      <c r="AS17" s="6">
        <v>250</v>
      </c>
      <c r="AT17" s="6">
        <v>125</v>
      </c>
      <c r="AU17" s="6">
        <v>250</v>
      </c>
      <c r="AV17" s="6">
        <v>250</v>
      </c>
      <c r="AW17" s="6">
        <v>125</v>
      </c>
      <c r="AX17" s="6">
        <v>125</v>
      </c>
      <c r="AY17" s="6">
        <v>250</v>
      </c>
      <c r="AZ17" s="6">
        <v>250</v>
      </c>
      <c r="BA17" s="6">
        <v>250</v>
      </c>
      <c r="BB17" s="6">
        <v>250</v>
      </c>
      <c r="BC17" s="6">
        <v>250</v>
      </c>
      <c r="BD17" s="6">
        <v>250</v>
      </c>
      <c r="BE17" s="6">
        <v>250</v>
      </c>
      <c r="BF17" s="6">
        <v>125</v>
      </c>
      <c r="BG17" s="6">
        <v>125</v>
      </c>
      <c r="BH17" s="6">
        <v>125</v>
      </c>
      <c r="BI17" s="6">
        <v>250</v>
      </c>
      <c r="BJ17" s="6">
        <v>300</v>
      </c>
      <c r="BK17" s="6">
        <v>600</v>
      </c>
      <c r="BL17" s="6">
        <v>300</v>
      </c>
      <c r="BM17" s="6">
        <v>125</v>
      </c>
      <c r="BN17" s="6">
        <v>238</v>
      </c>
      <c r="BO17" s="6">
        <v>125</v>
      </c>
      <c r="BP17" s="6">
        <v>250</v>
      </c>
      <c r="BQ17" s="6">
        <v>500</v>
      </c>
      <c r="BR17" s="6">
        <v>250</v>
      </c>
      <c r="BS17" s="6">
        <v>500</v>
      </c>
      <c r="BT17" s="6">
        <v>500</v>
      </c>
      <c r="BU17" s="6">
        <v>250</v>
      </c>
      <c r="BV17" s="6">
        <v>250</v>
      </c>
      <c r="BW17" s="6">
        <v>238</v>
      </c>
      <c r="BX17" s="6">
        <v>250</v>
      </c>
      <c r="BY17" s="6">
        <v>125</v>
      </c>
      <c r="BZ17" s="6">
        <v>125</v>
      </c>
      <c r="CA17" s="6">
        <v>250</v>
      </c>
      <c r="CB17" s="6">
        <v>238</v>
      </c>
      <c r="CC17" s="6">
        <v>238</v>
      </c>
      <c r="CD17" s="6">
        <v>500</v>
      </c>
      <c r="CE17" s="6">
        <v>500</v>
      </c>
      <c r="CF17" s="6">
        <v>550</v>
      </c>
      <c r="CG17" s="6">
        <v>582</v>
      </c>
      <c r="CH17" s="6">
        <v>90</v>
      </c>
      <c r="CI17" s="6">
        <v>60</v>
      </c>
      <c r="CJ17" s="6">
        <v>60</v>
      </c>
      <c r="CK17" s="6">
        <v>90</v>
      </c>
      <c r="CL17" s="6">
        <v>90</v>
      </c>
      <c r="CM17" s="6">
        <v>90</v>
      </c>
      <c r="CN17" s="6">
        <v>90</v>
      </c>
      <c r="CO17" s="6">
        <v>90</v>
      </c>
      <c r="CP17" s="6">
        <v>90</v>
      </c>
      <c r="CQ17" s="6">
        <v>90</v>
      </c>
      <c r="CR17" s="6">
        <v>90</v>
      </c>
      <c r="CS17" s="6">
        <v>30</v>
      </c>
      <c r="CT17" s="6">
        <v>30</v>
      </c>
      <c r="CU17" s="6">
        <v>30</v>
      </c>
      <c r="CV17" s="6">
        <v>30</v>
      </c>
      <c r="CW17" s="6">
        <v>90</v>
      </c>
      <c r="CX17" s="6">
        <v>90</v>
      </c>
      <c r="CY17" s="6">
        <v>90</v>
      </c>
      <c r="CZ17" s="6">
        <v>90</v>
      </c>
      <c r="DA17" s="6">
        <v>100</v>
      </c>
      <c r="DB17" s="6">
        <v>90</v>
      </c>
      <c r="DC17" s="6">
        <v>90</v>
      </c>
      <c r="DD17" s="6">
        <v>90</v>
      </c>
      <c r="DE17" s="6">
        <v>90</v>
      </c>
      <c r="DF17" s="6">
        <v>60</v>
      </c>
      <c r="DG17" s="6">
        <v>60</v>
      </c>
      <c r="DH17" s="6">
        <v>90</v>
      </c>
      <c r="DI17" s="6">
        <v>90</v>
      </c>
      <c r="DJ17" s="6">
        <v>60</v>
      </c>
      <c r="DK17" s="6">
        <v>60</v>
      </c>
      <c r="DL17" s="6">
        <v>75</v>
      </c>
      <c r="DM17" s="6">
        <v>75</v>
      </c>
      <c r="DN17" s="6">
        <v>60</v>
      </c>
      <c r="DO17" s="6">
        <v>60</v>
      </c>
      <c r="DP17" s="6">
        <v>90</v>
      </c>
      <c r="DQ17" s="6">
        <v>60</v>
      </c>
      <c r="DR17" s="6">
        <v>90</v>
      </c>
      <c r="DS17" s="6">
        <v>90</v>
      </c>
      <c r="DT17" s="6">
        <v>90</v>
      </c>
      <c r="DU17" s="6">
        <v>90</v>
      </c>
      <c r="DV17" s="6">
        <v>90</v>
      </c>
      <c r="DW17" s="6">
        <v>45</v>
      </c>
      <c r="DX17" s="6">
        <v>45</v>
      </c>
      <c r="DY17" s="6">
        <v>45</v>
      </c>
      <c r="DZ17" s="6">
        <v>45</v>
      </c>
      <c r="EA17" s="6">
        <v>60</v>
      </c>
      <c r="EB17" s="6">
        <v>45</v>
      </c>
      <c r="EC17" s="6">
        <v>45</v>
      </c>
      <c r="ED17" s="6">
        <v>60</v>
      </c>
      <c r="EE17" s="6">
        <v>90</v>
      </c>
      <c r="EF17" s="6">
        <v>90</v>
      </c>
      <c r="EG17" s="6">
        <v>90</v>
      </c>
      <c r="EH17" s="6">
        <v>90</v>
      </c>
      <c r="EI17" s="6">
        <v>45</v>
      </c>
      <c r="EJ17" s="6">
        <v>45</v>
      </c>
      <c r="EK17" s="6">
        <v>45</v>
      </c>
      <c r="EL17" s="6">
        <v>45</v>
      </c>
      <c r="EM17" s="6">
        <v>90</v>
      </c>
      <c r="EN17" s="6">
        <v>90</v>
      </c>
      <c r="EO17" s="6">
        <v>45</v>
      </c>
      <c r="EP17" s="6">
        <v>45</v>
      </c>
      <c r="EQ17" s="6">
        <v>45</v>
      </c>
      <c r="ER17" s="6">
        <v>45</v>
      </c>
      <c r="ES17" s="6">
        <v>60</v>
      </c>
      <c r="ET17" s="6">
        <v>60</v>
      </c>
      <c r="EU17" s="6">
        <v>90</v>
      </c>
      <c r="EV17" s="6">
        <v>90</v>
      </c>
      <c r="EW17" s="6">
        <v>90</v>
      </c>
      <c r="EX17" s="6">
        <v>90</v>
      </c>
      <c r="EY17" s="6">
        <v>90</v>
      </c>
      <c r="EZ17" s="6">
        <v>90</v>
      </c>
      <c r="FA17" s="6">
        <v>90</v>
      </c>
      <c r="FB17" s="6">
        <v>90</v>
      </c>
      <c r="FC17" s="6">
        <v>90</v>
      </c>
      <c r="FD17" s="6">
        <v>90</v>
      </c>
      <c r="FE17" s="6">
        <v>90</v>
      </c>
      <c r="FF17" s="6">
        <v>45</v>
      </c>
      <c r="FG17" s="6">
        <v>45</v>
      </c>
      <c r="FH17" s="13">
        <v>90</v>
      </c>
      <c r="FI17" s="6">
        <v>60</v>
      </c>
      <c r="FJ17" s="6">
        <v>90</v>
      </c>
      <c r="FK17" s="6">
        <v>90</v>
      </c>
      <c r="FL17" s="6">
        <v>240</v>
      </c>
      <c r="FM17" s="6">
        <v>240</v>
      </c>
      <c r="FN17" s="6">
        <v>240</v>
      </c>
      <c r="FO17" s="6">
        <v>240</v>
      </c>
      <c r="FP17" s="6">
        <v>240</v>
      </c>
      <c r="FQ17" s="6">
        <v>240</v>
      </c>
      <c r="FR17" s="6">
        <v>240</v>
      </c>
      <c r="FS17" s="6">
        <v>240</v>
      </c>
      <c r="FT17" s="6">
        <v>240</v>
      </c>
      <c r="FU17" s="6">
        <v>240</v>
      </c>
      <c r="FV17" s="6">
        <v>240</v>
      </c>
      <c r="FW17" s="6">
        <v>240</v>
      </c>
      <c r="FX17" s="6">
        <v>240</v>
      </c>
    </row>
    <row r="18" spans="1:180" x14ac:dyDescent="0.3">
      <c r="A18" s="4" t="s">
        <v>3013</v>
      </c>
      <c r="B18" s="6" cm="1">
        <f t="array" ref="B18:FX18">1*TRANSPOSE(_xlfn._xlws.FILTER(transformer!$J$2:$J$181,transformer!$E$2:$E$181&lt;&gt;0))</f>
        <v>125</v>
      </c>
      <c r="C18" s="6">
        <v>63</v>
      </c>
      <c r="D18" s="6">
        <v>125</v>
      </c>
      <c r="E18" s="6">
        <v>250</v>
      </c>
      <c r="F18" s="6">
        <v>250</v>
      </c>
      <c r="G18" s="6">
        <v>250</v>
      </c>
      <c r="H18" s="6">
        <v>250</v>
      </c>
      <c r="I18" s="6">
        <v>250</v>
      </c>
      <c r="J18" s="6">
        <v>250</v>
      </c>
      <c r="K18" s="6">
        <v>250</v>
      </c>
      <c r="L18" s="6">
        <v>250</v>
      </c>
      <c r="M18" s="6">
        <v>250</v>
      </c>
      <c r="N18" s="6">
        <v>250</v>
      </c>
      <c r="O18" s="6">
        <v>250</v>
      </c>
      <c r="P18" s="6">
        <v>250</v>
      </c>
      <c r="Q18" s="6">
        <v>250</v>
      </c>
      <c r="R18" s="6">
        <v>250</v>
      </c>
      <c r="S18" s="6">
        <v>250</v>
      </c>
      <c r="T18" s="6">
        <v>250</v>
      </c>
      <c r="U18" s="6">
        <v>238</v>
      </c>
      <c r="V18" s="6">
        <v>250</v>
      </c>
      <c r="W18" s="6">
        <v>175</v>
      </c>
      <c r="X18" s="6">
        <v>500</v>
      </c>
      <c r="Y18" s="6">
        <v>500</v>
      </c>
      <c r="Z18" s="6">
        <v>250</v>
      </c>
      <c r="AA18" s="6">
        <v>500</v>
      </c>
      <c r="AB18" s="6">
        <v>500</v>
      </c>
      <c r="AC18" s="6">
        <v>250</v>
      </c>
      <c r="AD18" s="6">
        <v>250</v>
      </c>
      <c r="AE18" s="6">
        <v>250</v>
      </c>
      <c r="AF18" s="6">
        <v>250</v>
      </c>
      <c r="AG18" s="6">
        <v>250</v>
      </c>
      <c r="AH18" s="6">
        <v>125</v>
      </c>
      <c r="AI18" s="6">
        <v>125</v>
      </c>
      <c r="AJ18" s="6">
        <v>125</v>
      </c>
      <c r="AK18" s="6">
        <v>125</v>
      </c>
      <c r="AL18" s="6">
        <v>250</v>
      </c>
      <c r="AM18" s="6">
        <v>250</v>
      </c>
      <c r="AN18" s="6">
        <v>250</v>
      </c>
      <c r="AO18" s="6">
        <v>250</v>
      </c>
      <c r="AP18" s="6">
        <v>250</v>
      </c>
      <c r="AQ18" s="6">
        <v>63</v>
      </c>
      <c r="AR18" s="6">
        <v>63</v>
      </c>
      <c r="AS18" s="6">
        <v>250</v>
      </c>
      <c r="AT18" s="6">
        <v>125</v>
      </c>
      <c r="AU18" s="6">
        <v>250</v>
      </c>
      <c r="AV18" s="6">
        <v>250</v>
      </c>
      <c r="AW18" s="6">
        <v>125</v>
      </c>
      <c r="AX18" s="6">
        <v>125</v>
      </c>
      <c r="AY18" s="6">
        <v>250</v>
      </c>
      <c r="AZ18" s="6">
        <v>250</v>
      </c>
      <c r="BA18" s="6">
        <v>250</v>
      </c>
      <c r="BB18" s="6">
        <v>250</v>
      </c>
      <c r="BC18" s="6">
        <v>250</v>
      </c>
      <c r="BD18" s="6">
        <v>250</v>
      </c>
      <c r="BE18" s="6">
        <v>250</v>
      </c>
      <c r="BF18" s="6">
        <v>125</v>
      </c>
      <c r="BG18" s="6">
        <v>125</v>
      </c>
      <c r="BH18" s="6">
        <v>125</v>
      </c>
      <c r="BI18" s="6">
        <v>250</v>
      </c>
      <c r="BJ18" s="6">
        <v>300</v>
      </c>
      <c r="BK18" s="6">
        <v>600</v>
      </c>
      <c r="BL18" s="6">
        <v>300</v>
      </c>
      <c r="BM18" s="6">
        <v>125</v>
      </c>
      <c r="BN18" s="6">
        <v>238</v>
      </c>
      <c r="BO18" s="6">
        <v>125</v>
      </c>
      <c r="BP18" s="6">
        <v>250</v>
      </c>
      <c r="BQ18" s="6">
        <v>500</v>
      </c>
      <c r="BR18" s="6">
        <v>250</v>
      </c>
      <c r="BS18" s="6">
        <v>500</v>
      </c>
      <c r="BT18" s="6">
        <v>500</v>
      </c>
      <c r="BU18" s="6">
        <v>250</v>
      </c>
      <c r="BV18" s="6">
        <v>250</v>
      </c>
      <c r="BW18" s="6">
        <v>238</v>
      </c>
      <c r="BX18" s="6">
        <v>250</v>
      </c>
      <c r="BY18" s="6">
        <v>125</v>
      </c>
      <c r="BZ18" s="6">
        <v>125</v>
      </c>
      <c r="CA18" s="6">
        <v>250</v>
      </c>
      <c r="CB18" s="6">
        <v>238</v>
      </c>
      <c r="CC18" s="6">
        <v>238</v>
      </c>
      <c r="CD18" s="6">
        <v>500</v>
      </c>
      <c r="CE18" s="6">
        <v>500</v>
      </c>
      <c r="CF18" s="6">
        <v>550</v>
      </c>
      <c r="CG18" s="6">
        <v>582</v>
      </c>
      <c r="CH18" s="6">
        <v>90</v>
      </c>
      <c r="CI18" s="6">
        <v>60</v>
      </c>
      <c r="CJ18" s="6">
        <v>60</v>
      </c>
      <c r="CK18" s="6">
        <v>90</v>
      </c>
      <c r="CL18" s="6">
        <v>90</v>
      </c>
      <c r="CM18" s="6">
        <v>90</v>
      </c>
      <c r="CN18" s="6">
        <v>90</v>
      </c>
      <c r="CO18" s="6">
        <v>90</v>
      </c>
      <c r="CP18" s="6">
        <v>90</v>
      </c>
      <c r="CQ18" s="6">
        <v>90</v>
      </c>
      <c r="CR18" s="6">
        <v>90</v>
      </c>
      <c r="CS18" s="6">
        <v>30</v>
      </c>
      <c r="CT18" s="6">
        <v>30</v>
      </c>
      <c r="CU18" s="6">
        <v>30</v>
      </c>
      <c r="CV18" s="6">
        <v>30</v>
      </c>
      <c r="CW18" s="6">
        <v>90</v>
      </c>
      <c r="CX18" s="6">
        <v>90</v>
      </c>
      <c r="CY18" s="6">
        <v>90</v>
      </c>
      <c r="CZ18" s="6">
        <v>90</v>
      </c>
      <c r="DA18" s="6">
        <v>100</v>
      </c>
      <c r="DB18" s="6">
        <v>90</v>
      </c>
      <c r="DC18" s="6">
        <v>90</v>
      </c>
      <c r="DD18" s="6">
        <v>90</v>
      </c>
      <c r="DE18" s="6">
        <v>90</v>
      </c>
      <c r="DF18" s="6">
        <v>60</v>
      </c>
      <c r="DG18" s="6">
        <v>60</v>
      </c>
      <c r="DH18" s="6">
        <v>90</v>
      </c>
      <c r="DI18" s="6">
        <v>90</v>
      </c>
      <c r="DJ18" s="6">
        <v>60</v>
      </c>
      <c r="DK18" s="6">
        <v>60</v>
      </c>
      <c r="DL18" s="6">
        <v>75</v>
      </c>
      <c r="DM18" s="6">
        <v>75</v>
      </c>
      <c r="DN18" s="6">
        <v>60</v>
      </c>
      <c r="DO18" s="6">
        <v>60</v>
      </c>
      <c r="DP18" s="6">
        <v>90</v>
      </c>
      <c r="DQ18" s="6">
        <v>60</v>
      </c>
      <c r="DR18" s="6">
        <v>90</v>
      </c>
      <c r="DS18" s="6">
        <v>90</v>
      </c>
      <c r="DT18" s="6">
        <v>90</v>
      </c>
      <c r="DU18" s="6">
        <v>90</v>
      </c>
      <c r="DV18" s="6">
        <v>90</v>
      </c>
      <c r="DW18" s="6">
        <v>45</v>
      </c>
      <c r="DX18" s="6">
        <v>45</v>
      </c>
      <c r="DY18" s="6">
        <v>45</v>
      </c>
      <c r="DZ18" s="6">
        <v>45</v>
      </c>
      <c r="EA18" s="6">
        <v>60</v>
      </c>
      <c r="EB18" s="6">
        <v>45</v>
      </c>
      <c r="EC18" s="6">
        <v>45</v>
      </c>
      <c r="ED18" s="6">
        <v>60</v>
      </c>
      <c r="EE18" s="6">
        <v>90</v>
      </c>
      <c r="EF18" s="6">
        <v>90</v>
      </c>
      <c r="EG18" s="6">
        <v>90</v>
      </c>
      <c r="EH18" s="6">
        <v>90</v>
      </c>
      <c r="EI18" s="6">
        <v>45</v>
      </c>
      <c r="EJ18" s="6">
        <v>45</v>
      </c>
      <c r="EK18" s="6">
        <v>45</v>
      </c>
      <c r="EL18" s="6">
        <v>45</v>
      </c>
      <c r="EM18" s="6">
        <v>90</v>
      </c>
      <c r="EN18" s="6">
        <v>90</v>
      </c>
      <c r="EO18" s="6">
        <v>45</v>
      </c>
      <c r="EP18" s="6">
        <v>45</v>
      </c>
      <c r="EQ18" s="6">
        <v>45</v>
      </c>
      <c r="ER18" s="6">
        <v>45</v>
      </c>
      <c r="ES18" s="6">
        <v>60</v>
      </c>
      <c r="ET18" s="6">
        <v>60</v>
      </c>
      <c r="EU18" s="6">
        <v>90</v>
      </c>
      <c r="EV18" s="6">
        <v>90</v>
      </c>
      <c r="EW18" s="6">
        <v>90</v>
      </c>
      <c r="EX18" s="6">
        <v>90</v>
      </c>
      <c r="EY18" s="6">
        <v>90</v>
      </c>
      <c r="EZ18" s="6">
        <v>90</v>
      </c>
      <c r="FA18" s="6">
        <v>90</v>
      </c>
      <c r="FB18" s="6">
        <v>90</v>
      </c>
      <c r="FC18" s="6">
        <v>90</v>
      </c>
      <c r="FD18" s="6">
        <v>90</v>
      </c>
      <c r="FE18" s="6">
        <v>90</v>
      </c>
      <c r="FF18" s="6">
        <v>45</v>
      </c>
      <c r="FG18" s="6">
        <v>45</v>
      </c>
      <c r="FH18" s="13">
        <v>90</v>
      </c>
      <c r="FI18" s="6">
        <v>60</v>
      </c>
      <c r="FJ18" s="6">
        <v>90</v>
      </c>
      <c r="FK18" s="6">
        <v>90</v>
      </c>
      <c r="FL18" s="6">
        <v>240</v>
      </c>
      <c r="FM18" s="6">
        <v>240</v>
      </c>
      <c r="FN18" s="6">
        <v>240</v>
      </c>
      <c r="FO18" s="6">
        <v>240</v>
      </c>
      <c r="FP18" s="6">
        <v>240</v>
      </c>
      <c r="FQ18" s="6">
        <v>240</v>
      </c>
      <c r="FR18" s="6">
        <v>240</v>
      </c>
      <c r="FS18" s="6">
        <v>240</v>
      </c>
      <c r="FT18" s="6">
        <v>240</v>
      </c>
      <c r="FU18" s="6">
        <v>240</v>
      </c>
      <c r="FV18" s="6">
        <v>240</v>
      </c>
      <c r="FW18" s="6">
        <v>240</v>
      </c>
      <c r="FX18" s="6">
        <v>240</v>
      </c>
    </row>
    <row r="19" spans="1:180" x14ac:dyDescent="0.3">
      <c r="A19" s="4" t="s">
        <v>3014</v>
      </c>
      <c r="B19" s="6" cm="1">
        <f t="array" ref="B19:FX19">1*TRANSPOSE(_xlfn._xlws.FILTER(transformer!$J$2:$J$181,transformer!$E$2:$E$181&lt;&gt;0))</f>
        <v>125</v>
      </c>
      <c r="C19" s="6">
        <v>63</v>
      </c>
      <c r="D19" s="6">
        <v>125</v>
      </c>
      <c r="E19" s="6">
        <v>250</v>
      </c>
      <c r="F19" s="6">
        <v>250</v>
      </c>
      <c r="G19" s="6">
        <v>250</v>
      </c>
      <c r="H19" s="6">
        <v>250</v>
      </c>
      <c r="I19" s="6">
        <v>250</v>
      </c>
      <c r="J19" s="6">
        <v>250</v>
      </c>
      <c r="K19" s="6">
        <v>250</v>
      </c>
      <c r="L19" s="6">
        <v>250</v>
      </c>
      <c r="M19" s="6">
        <v>250</v>
      </c>
      <c r="N19" s="6">
        <v>250</v>
      </c>
      <c r="O19" s="6">
        <v>250</v>
      </c>
      <c r="P19" s="6">
        <v>250</v>
      </c>
      <c r="Q19" s="6">
        <v>250</v>
      </c>
      <c r="R19" s="6">
        <v>250</v>
      </c>
      <c r="S19" s="6">
        <v>250</v>
      </c>
      <c r="T19" s="6">
        <v>250</v>
      </c>
      <c r="U19" s="6">
        <v>238</v>
      </c>
      <c r="V19" s="6">
        <v>250</v>
      </c>
      <c r="W19" s="6">
        <v>175</v>
      </c>
      <c r="X19" s="6">
        <v>500</v>
      </c>
      <c r="Y19" s="6">
        <v>500</v>
      </c>
      <c r="Z19" s="6">
        <v>250</v>
      </c>
      <c r="AA19" s="6">
        <v>500</v>
      </c>
      <c r="AB19" s="6">
        <v>500</v>
      </c>
      <c r="AC19" s="6">
        <v>250</v>
      </c>
      <c r="AD19" s="6">
        <v>250</v>
      </c>
      <c r="AE19" s="6">
        <v>250</v>
      </c>
      <c r="AF19" s="6">
        <v>250</v>
      </c>
      <c r="AG19" s="6">
        <v>250</v>
      </c>
      <c r="AH19" s="6">
        <v>125</v>
      </c>
      <c r="AI19" s="6">
        <v>125</v>
      </c>
      <c r="AJ19" s="6">
        <v>125</v>
      </c>
      <c r="AK19" s="6">
        <v>125</v>
      </c>
      <c r="AL19" s="6">
        <v>250</v>
      </c>
      <c r="AM19" s="6">
        <v>250</v>
      </c>
      <c r="AN19" s="6">
        <v>250</v>
      </c>
      <c r="AO19" s="6">
        <v>250</v>
      </c>
      <c r="AP19" s="6">
        <v>250</v>
      </c>
      <c r="AQ19" s="6">
        <v>63</v>
      </c>
      <c r="AR19" s="6">
        <v>63</v>
      </c>
      <c r="AS19" s="6">
        <v>250</v>
      </c>
      <c r="AT19" s="6">
        <v>125</v>
      </c>
      <c r="AU19" s="6">
        <v>250</v>
      </c>
      <c r="AV19" s="6">
        <v>250</v>
      </c>
      <c r="AW19" s="6">
        <v>125</v>
      </c>
      <c r="AX19" s="6">
        <v>125</v>
      </c>
      <c r="AY19" s="6">
        <v>250</v>
      </c>
      <c r="AZ19" s="6">
        <v>250</v>
      </c>
      <c r="BA19" s="6">
        <v>250</v>
      </c>
      <c r="BB19" s="6">
        <v>250</v>
      </c>
      <c r="BC19" s="6">
        <v>250</v>
      </c>
      <c r="BD19" s="6">
        <v>250</v>
      </c>
      <c r="BE19" s="6">
        <v>250</v>
      </c>
      <c r="BF19" s="6">
        <v>125</v>
      </c>
      <c r="BG19" s="6">
        <v>125</v>
      </c>
      <c r="BH19" s="6">
        <v>125</v>
      </c>
      <c r="BI19" s="6">
        <v>250</v>
      </c>
      <c r="BJ19" s="6">
        <v>300</v>
      </c>
      <c r="BK19" s="6">
        <v>600</v>
      </c>
      <c r="BL19" s="6">
        <v>300</v>
      </c>
      <c r="BM19" s="6">
        <v>125</v>
      </c>
      <c r="BN19" s="6">
        <v>238</v>
      </c>
      <c r="BO19" s="6">
        <v>125</v>
      </c>
      <c r="BP19" s="6">
        <v>250</v>
      </c>
      <c r="BQ19" s="6">
        <v>500</v>
      </c>
      <c r="BR19" s="6">
        <v>250</v>
      </c>
      <c r="BS19" s="6">
        <v>500</v>
      </c>
      <c r="BT19" s="6">
        <v>500</v>
      </c>
      <c r="BU19" s="6">
        <v>250</v>
      </c>
      <c r="BV19" s="6">
        <v>250</v>
      </c>
      <c r="BW19" s="6">
        <v>238</v>
      </c>
      <c r="BX19" s="6">
        <v>250</v>
      </c>
      <c r="BY19" s="6">
        <v>125</v>
      </c>
      <c r="BZ19" s="6">
        <v>125</v>
      </c>
      <c r="CA19" s="6">
        <v>250</v>
      </c>
      <c r="CB19" s="6">
        <v>238</v>
      </c>
      <c r="CC19" s="6">
        <v>238</v>
      </c>
      <c r="CD19" s="6">
        <v>500</v>
      </c>
      <c r="CE19" s="6">
        <v>500</v>
      </c>
      <c r="CF19" s="6">
        <v>550</v>
      </c>
      <c r="CG19" s="6">
        <v>582</v>
      </c>
      <c r="CH19" s="6">
        <v>90</v>
      </c>
      <c r="CI19" s="6">
        <v>60</v>
      </c>
      <c r="CJ19" s="6">
        <v>60</v>
      </c>
      <c r="CK19" s="6">
        <v>90</v>
      </c>
      <c r="CL19" s="6">
        <v>90</v>
      </c>
      <c r="CM19" s="6">
        <v>90</v>
      </c>
      <c r="CN19" s="6">
        <v>90</v>
      </c>
      <c r="CO19" s="6">
        <v>90</v>
      </c>
      <c r="CP19" s="6">
        <v>90</v>
      </c>
      <c r="CQ19" s="6">
        <v>90</v>
      </c>
      <c r="CR19" s="6">
        <v>90</v>
      </c>
      <c r="CS19" s="6">
        <v>30</v>
      </c>
      <c r="CT19" s="6">
        <v>30</v>
      </c>
      <c r="CU19" s="6">
        <v>30</v>
      </c>
      <c r="CV19" s="6">
        <v>30</v>
      </c>
      <c r="CW19" s="6">
        <v>90</v>
      </c>
      <c r="CX19" s="6">
        <v>90</v>
      </c>
      <c r="CY19" s="6">
        <v>90</v>
      </c>
      <c r="CZ19" s="6">
        <v>90</v>
      </c>
      <c r="DA19" s="6">
        <v>100</v>
      </c>
      <c r="DB19" s="6">
        <v>90</v>
      </c>
      <c r="DC19" s="6">
        <v>90</v>
      </c>
      <c r="DD19" s="6">
        <v>90</v>
      </c>
      <c r="DE19" s="6">
        <v>90</v>
      </c>
      <c r="DF19" s="6">
        <v>60</v>
      </c>
      <c r="DG19" s="6">
        <v>60</v>
      </c>
      <c r="DH19" s="6">
        <v>90</v>
      </c>
      <c r="DI19" s="6">
        <v>90</v>
      </c>
      <c r="DJ19" s="6">
        <v>60</v>
      </c>
      <c r="DK19" s="6">
        <v>60</v>
      </c>
      <c r="DL19" s="6">
        <v>75</v>
      </c>
      <c r="DM19" s="6">
        <v>75</v>
      </c>
      <c r="DN19" s="6">
        <v>60</v>
      </c>
      <c r="DO19" s="6">
        <v>60</v>
      </c>
      <c r="DP19" s="6">
        <v>90</v>
      </c>
      <c r="DQ19" s="6">
        <v>60</v>
      </c>
      <c r="DR19" s="6">
        <v>90</v>
      </c>
      <c r="DS19" s="6">
        <v>90</v>
      </c>
      <c r="DT19" s="6">
        <v>90</v>
      </c>
      <c r="DU19" s="6">
        <v>90</v>
      </c>
      <c r="DV19" s="6">
        <v>90</v>
      </c>
      <c r="DW19" s="6">
        <v>45</v>
      </c>
      <c r="DX19" s="6">
        <v>45</v>
      </c>
      <c r="DY19" s="6">
        <v>45</v>
      </c>
      <c r="DZ19" s="6">
        <v>45</v>
      </c>
      <c r="EA19" s="6">
        <v>60</v>
      </c>
      <c r="EB19" s="6">
        <v>45</v>
      </c>
      <c r="EC19" s="6">
        <v>45</v>
      </c>
      <c r="ED19" s="6">
        <v>60</v>
      </c>
      <c r="EE19" s="6">
        <v>90</v>
      </c>
      <c r="EF19" s="6">
        <v>90</v>
      </c>
      <c r="EG19" s="6">
        <v>90</v>
      </c>
      <c r="EH19" s="6">
        <v>90</v>
      </c>
      <c r="EI19" s="6">
        <v>45</v>
      </c>
      <c r="EJ19" s="6">
        <v>45</v>
      </c>
      <c r="EK19" s="6">
        <v>45</v>
      </c>
      <c r="EL19" s="6">
        <v>45</v>
      </c>
      <c r="EM19" s="6">
        <v>90</v>
      </c>
      <c r="EN19" s="6">
        <v>90</v>
      </c>
      <c r="EO19" s="6">
        <v>45</v>
      </c>
      <c r="EP19" s="6">
        <v>45</v>
      </c>
      <c r="EQ19" s="6">
        <v>45</v>
      </c>
      <c r="ER19" s="6">
        <v>45</v>
      </c>
      <c r="ES19" s="6">
        <v>60</v>
      </c>
      <c r="ET19" s="6">
        <v>60</v>
      </c>
      <c r="EU19" s="6">
        <v>90</v>
      </c>
      <c r="EV19" s="6">
        <v>90</v>
      </c>
      <c r="EW19" s="6">
        <v>90</v>
      </c>
      <c r="EX19" s="6">
        <v>90</v>
      </c>
      <c r="EY19" s="6">
        <v>90</v>
      </c>
      <c r="EZ19" s="6">
        <v>90</v>
      </c>
      <c r="FA19" s="6">
        <v>90</v>
      </c>
      <c r="FB19" s="6">
        <v>90</v>
      </c>
      <c r="FC19" s="6">
        <v>90</v>
      </c>
      <c r="FD19" s="6">
        <v>90</v>
      </c>
      <c r="FE19" s="6">
        <v>90</v>
      </c>
      <c r="FF19" s="6">
        <v>45</v>
      </c>
      <c r="FG19" s="6">
        <v>45</v>
      </c>
      <c r="FH19" s="13">
        <v>90</v>
      </c>
      <c r="FI19" s="6">
        <v>60</v>
      </c>
      <c r="FJ19" s="6">
        <v>90</v>
      </c>
      <c r="FK19" s="6">
        <v>90</v>
      </c>
      <c r="FL19" s="6">
        <v>240</v>
      </c>
      <c r="FM19" s="6">
        <v>240</v>
      </c>
      <c r="FN19" s="6">
        <v>240</v>
      </c>
      <c r="FO19" s="6">
        <v>240</v>
      </c>
      <c r="FP19" s="6">
        <v>240</v>
      </c>
      <c r="FQ19" s="6">
        <v>240</v>
      </c>
      <c r="FR19" s="6">
        <v>240</v>
      </c>
      <c r="FS19" s="6">
        <v>240</v>
      </c>
      <c r="FT19" s="6">
        <v>240</v>
      </c>
      <c r="FU19" s="6">
        <v>240</v>
      </c>
      <c r="FV19" s="6">
        <v>240</v>
      </c>
      <c r="FW19" s="6">
        <v>240</v>
      </c>
      <c r="FX19" s="6">
        <v>240</v>
      </c>
    </row>
    <row r="20" spans="1:180" x14ac:dyDescent="0.3">
      <c r="A20" s="4" t="s">
        <v>3015</v>
      </c>
      <c r="B20" s="6" cm="1">
        <f t="array" ref="B20:FX20">1*TRANSPOSE(_xlfn._xlws.FILTER(transformer!$J$2:$J$181,transformer!$E$2:$E$181&lt;&gt;0))</f>
        <v>125</v>
      </c>
      <c r="C20" s="6">
        <v>63</v>
      </c>
      <c r="D20" s="6">
        <v>125</v>
      </c>
      <c r="E20" s="6">
        <v>250</v>
      </c>
      <c r="F20" s="6">
        <v>250</v>
      </c>
      <c r="G20" s="6">
        <v>250</v>
      </c>
      <c r="H20" s="6">
        <v>250</v>
      </c>
      <c r="I20" s="6">
        <v>250</v>
      </c>
      <c r="J20" s="6">
        <v>250</v>
      </c>
      <c r="K20" s="6">
        <v>250</v>
      </c>
      <c r="L20" s="6">
        <v>250</v>
      </c>
      <c r="M20" s="6">
        <v>250</v>
      </c>
      <c r="N20" s="6">
        <v>250</v>
      </c>
      <c r="O20" s="6">
        <v>250</v>
      </c>
      <c r="P20" s="6">
        <v>250</v>
      </c>
      <c r="Q20" s="6">
        <v>250</v>
      </c>
      <c r="R20" s="6">
        <v>250</v>
      </c>
      <c r="S20" s="6">
        <v>250</v>
      </c>
      <c r="T20" s="6">
        <v>250</v>
      </c>
      <c r="U20" s="6">
        <v>238</v>
      </c>
      <c r="V20" s="6">
        <v>250</v>
      </c>
      <c r="W20" s="6">
        <v>175</v>
      </c>
      <c r="X20" s="6">
        <v>500</v>
      </c>
      <c r="Y20" s="6">
        <v>500</v>
      </c>
      <c r="Z20" s="6">
        <v>250</v>
      </c>
      <c r="AA20" s="6">
        <v>500</v>
      </c>
      <c r="AB20" s="6">
        <v>500</v>
      </c>
      <c r="AC20" s="6">
        <v>250</v>
      </c>
      <c r="AD20" s="6">
        <v>250</v>
      </c>
      <c r="AE20" s="6">
        <v>250</v>
      </c>
      <c r="AF20" s="6">
        <v>250</v>
      </c>
      <c r="AG20" s="6">
        <v>250</v>
      </c>
      <c r="AH20" s="6">
        <v>125</v>
      </c>
      <c r="AI20" s="6">
        <v>125</v>
      </c>
      <c r="AJ20" s="6">
        <v>125</v>
      </c>
      <c r="AK20" s="6">
        <v>125</v>
      </c>
      <c r="AL20" s="6">
        <v>250</v>
      </c>
      <c r="AM20" s="6">
        <v>250</v>
      </c>
      <c r="AN20" s="6">
        <v>250</v>
      </c>
      <c r="AO20" s="6">
        <v>250</v>
      </c>
      <c r="AP20" s="6">
        <v>250</v>
      </c>
      <c r="AQ20" s="6">
        <v>63</v>
      </c>
      <c r="AR20" s="6">
        <v>63</v>
      </c>
      <c r="AS20" s="6">
        <v>250</v>
      </c>
      <c r="AT20" s="6">
        <v>125</v>
      </c>
      <c r="AU20" s="6">
        <v>250</v>
      </c>
      <c r="AV20" s="6">
        <v>250</v>
      </c>
      <c r="AW20" s="6">
        <v>125</v>
      </c>
      <c r="AX20" s="6">
        <v>125</v>
      </c>
      <c r="AY20" s="6">
        <v>250</v>
      </c>
      <c r="AZ20" s="6">
        <v>250</v>
      </c>
      <c r="BA20" s="6">
        <v>250</v>
      </c>
      <c r="BB20" s="6">
        <v>250</v>
      </c>
      <c r="BC20" s="6">
        <v>250</v>
      </c>
      <c r="BD20" s="6">
        <v>250</v>
      </c>
      <c r="BE20" s="6">
        <v>250</v>
      </c>
      <c r="BF20" s="6">
        <v>125</v>
      </c>
      <c r="BG20" s="6">
        <v>125</v>
      </c>
      <c r="BH20" s="6">
        <v>125</v>
      </c>
      <c r="BI20" s="6">
        <v>250</v>
      </c>
      <c r="BJ20" s="6">
        <v>300</v>
      </c>
      <c r="BK20" s="6">
        <v>600</v>
      </c>
      <c r="BL20" s="6">
        <v>300</v>
      </c>
      <c r="BM20" s="6">
        <v>125</v>
      </c>
      <c r="BN20" s="6">
        <v>238</v>
      </c>
      <c r="BO20" s="6">
        <v>125</v>
      </c>
      <c r="BP20" s="6">
        <v>250</v>
      </c>
      <c r="BQ20" s="6">
        <v>500</v>
      </c>
      <c r="BR20" s="6">
        <v>250</v>
      </c>
      <c r="BS20" s="6">
        <v>500</v>
      </c>
      <c r="BT20" s="6">
        <v>500</v>
      </c>
      <c r="BU20" s="6">
        <v>250</v>
      </c>
      <c r="BV20" s="6">
        <v>250</v>
      </c>
      <c r="BW20" s="6">
        <v>238</v>
      </c>
      <c r="BX20" s="6">
        <v>250</v>
      </c>
      <c r="BY20" s="6">
        <v>125</v>
      </c>
      <c r="BZ20" s="6">
        <v>125</v>
      </c>
      <c r="CA20" s="6">
        <v>250</v>
      </c>
      <c r="CB20" s="6">
        <v>238</v>
      </c>
      <c r="CC20" s="6">
        <v>238</v>
      </c>
      <c r="CD20" s="6">
        <v>500</v>
      </c>
      <c r="CE20" s="6">
        <v>500</v>
      </c>
      <c r="CF20" s="6">
        <v>550</v>
      </c>
      <c r="CG20" s="6">
        <v>582</v>
      </c>
      <c r="CH20" s="6">
        <v>90</v>
      </c>
      <c r="CI20" s="6">
        <v>60</v>
      </c>
      <c r="CJ20" s="6">
        <v>60</v>
      </c>
      <c r="CK20" s="6">
        <v>90</v>
      </c>
      <c r="CL20" s="6">
        <v>90</v>
      </c>
      <c r="CM20" s="6">
        <v>90</v>
      </c>
      <c r="CN20" s="6">
        <v>90</v>
      </c>
      <c r="CO20" s="6">
        <v>90</v>
      </c>
      <c r="CP20" s="6">
        <v>90</v>
      </c>
      <c r="CQ20" s="6">
        <v>90</v>
      </c>
      <c r="CR20" s="6">
        <v>90</v>
      </c>
      <c r="CS20" s="6">
        <v>30</v>
      </c>
      <c r="CT20" s="6">
        <v>30</v>
      </c>
      <c r="CU20" s="6">
        <v>30</v>
      </c>
      <c r="CV20" s="6">
        <v>30</v>
      </c>
      <c r="CW20" s="6">
        <v>90</v>
      </c>
      <c r="CX20" s="6">
        <v>90</v>
      </c>
      <c r="CY20" s="6">
        <v>90</v>
      </c>
      <c r="CZ20" s="6">
        <v>90</v>
      </c>
      <c r="DA20" s="6">
        <v>100</v>
      </c>
      <c r="DB20" s="6">
        <v>90</v>
      </c>
      <c r="DC20" s="6">
        <v>90</v>
      </c>
      <c r="DD20" s="6">
        <v>90</v>
      </c>
      <c r="DE20" s="6">
        <v>90</v>
      </c>
      <c r="DF20" s="6">
        <v>60</v>
      </c>
      <c r="DG20" s="6">
        <v>60</v>
      </c>
      <c r="DH20" s="6">
        <v>90</v>
      </c>
      <c r="DI20" s="6">
        <v>90</v>
      </c>
      <c r="DJ20" s="6">
        <v>60</v>
      </c>
      <c r="DK20" s="6">
        <v>60</v>
      </c>
      <c r="DL20" s="6">
        <v>75</v>
      </c>
      <c r="DM20" s="6">
        <v>75</v>
      </c>
      <c r="DN20" s="6">
        <v>60</v>
      </c>
      <c r="DO20" s="6">
        <v>60</v>
      </c>
      <c r="DP20" s="6">
        <v>90</v>
      </c>
      <c r="DQ20" s="6">
        <v>60</v>
      </c>
      <c r="DR20" s="6">
        <v>90</v>
      </c>
      <c r="DS20" s="6">
        <v>90</v>
      </c>
      <c r="DT20" s="6">
        <v>90</v>
      </c>
      <c r="DU20" s="6">
        <v>90</v>
      </c>
      <c r="DV20" s="6">
        <v>90</v>
      </c>
      <c r="DW20" s="6">
        <v>45</v>
      </c>
      <c r="DX20" s="6">
        <v>45</v>
      </c>
      <c r="DY20" s="6">
        <v>45</v>
      </c>
      <c r="DZ20" s="6">
        <v>45</v>
      </c>
      <c r="EA20" s="6">
        <v>60</v>
      </c>
      <c r="EB20" s="6">
        <v>45</v>
      </c>
      <c r="EC20" s="6">
        <v>45</v>
      </c>
      <c r="ED20" s="6">
        <v>60</v>
      </c>
      <c r="EE20" s="6">
        <v>90</v>
      </c>
      <c r="EF20" s="6">
        <v>90</v>
      </c>
      <c r="EG20" s="6">
        <v>90</v>
      </c>
      <c r="EH20" s="6">
        <v>90</v>
      </c>
      <c r="EI20" s="6">
        <v>45</v>
      </c>
      <c r="EJ20" s="6">
        <v>45</v>
      </c>
      <c r="EK20" s="6">
        <v>45</v>
      </c>
      <c r="EL20" s="6">
        <v>45</v>
      </c>
      <c r="EM20" s="6">
        <v>90</v>
      </c>
      <c r="EN20" s="6">
        <v>90</v>
      </c>
      <c r="EO20" s="6">
        <v>45</v>
      </c>
      <c r="EP20" s="6">
        <v>45</v>
      </c>
      <c r="EQ20" s="6">
        <v>45</v>
      </c>
      <c r="ER20" s="6">
        <v>45</v>
      </c>
      <c r="ES20" s="6">
        <v>60</v>
      </c>
      <c r="ET20" s="6">
        <v>60</v>
      </c>
      <c r="EU20" s="6">
        <v>90</v>
      </c>
      <c r="EV20" s="6">
        <v>90</v>
      </c>
      <c r="EW20" s="6">
        <v>90</v>
      </c>
      <c r="EX20" s="6">
        <v>90</v>
      </c>
      <c r="EY20" s="6">
        <v>90</v>
      </c>
      <c r="EZ20" s="6">
        <v>90</v>
      </c>
      <c r="FA20" s="6">
        <v>90</v>
      </c>
      <c r="FB20" s="6">
        <v>90</v>
      </c>
      <c r="FC20" s="6">
        <v>90</v>
      </c>
      <c r="FD20" s="6">
        <v>90</v>
      </c>
      <c r="FE20" s="6">
        <v>90</v>
      </c>
      <c r="FF20" s="6">
        <v>45</v>
      </c>
      <c r="FG20" s="6">
        <v>45</v>
      </c>
      <c r="FH20" s="13">
        <v>90</v>
      </c>
      <c r="FI20" s="6">
        <v>60</v>
      </c>
      <c r="FJ20" s="6">
        <v>90</v>
      </c>
      <c r="FK20" s="6">
        <v>90</v>
      </c>
      <c r="FL20" s="6">
        <v>240</v>
      </c>
      <c r="FM20" s="6">
        <v>240</v>
      </c>
      <c r="FN20" s="6">
        <v>240</v>
      </c>
      <c r="FO20" s="6">
        <v>240</v>
      </c>
      <c r="FP20" s="6">
        <v>240</v>
      </c>
      <c r="FQ20" s="6">
        <v>240</v>
      </c>
      <c r="FR20" s="6">
        <v>240</v>
      </c>
      <c r="FS20" s="6">
        <v>240</v>
      </c>
      <c r="FT20" s="6">
        <v>240</v>
      </c>
      <c r="FU20" s="6">
        <v>240</v>
      </c>
      <c r="FV20" s="6">
        <v>240</v>
      </c>
      <c r="FW20" s="6">
        <v>240</v>
      </c>
      <c r="FX20" s="6">
        <v>240</v>
      </c>
    </row>
    <row r="21" spans="1:180" x14ac:dyDescent="0.3">
      <c r="A21" s="4" t="s">
        <v>3016</v>
      </c>
      <c r="B21" s="6" cm="1">
        <f t="array" ref="B21:FX21">1*TRANSPOSE(_xlfn._xlws.FILTER(transformer!$J$2:$J$181,transformer!$E$2:$E$181&lt;&gt;0))</f>
        <v>125</v>
      </c>
      <c r="C21" s="6">
        <v>63</v>
      </c>
      <c r="D21" s="6">
        <v>125</v>
      </c>
      <c r="E21" s="6">
        <v>250</v>
      </c>
      <c r="F21" s="6">
        <v>250</v>
      </c>
      <c r="G21" s="6">
        <v>250</v>
      </c>
      <c r="H21" s="6">
        <v>250</v>
      </c>
      <c r="I21" s="6">
        <v>250</v>
      </c>
      <c r="J21" s="6">
        <v>250</v>
      </c>
      <c r="K21" s="6">
        <v>250</v>
      </c>
      <c r="L21" s="6">
        <v>250</v>
      </c>
      <c r="M21" s="6">
        <v>250</v>
      </c>
      <c r="N21" s="6">
        <v>250</v>
      </c>
      <c r="O21" s="6">
        <v>250</v>
      </c>
      <c r="P21" s="6">
        <v>250</v>
      </c>
      <c r="Q21" s="6">
        <v>250</v>
      </c>
      <c r="R21" s="6">
        <v>250</v>
      </c>
      <c r="S21" s="6">
        <v>250</v>
      </c>
      <c r="T21" s="6">
        <v>250</v>
      </c>
      <c r="U21" s="6">
        <v>238</v>
      </c>
      <c r="V21" s="6">
        <v>250</v>
      </c>
      <c r="W21" s="6">
        <v>175</v>
      </c>
      <c r="X21" s="6">
        <v>500</v>
      </c>
      <c r="Y21" s="6">
        <v>500</v>
      </c>
      <c r="Z21" s="6">
        <v>250</v>
      </c>
      <c r="AA21" s="6">
        <v>500</v>
      </c>
      <c r="AB21" s="6">
        <v>500</v>
      </c>
      <c r="AC21" s="6">
        <v>250</v>
      </c>
      <c r="AD21" s="6">
        <v>250</v>
      </c>
      <c r="AE21" s="6">
        <v>250</v>
      </c>
      <c r="AF21" s="6">
        <v>250</v>
      </c>
      <c r="AG21" s="6">
        <v>250</v>
      </c>
      <c r="AH21" s="6">
        <v>125</v>
      </c>
      <c r="AI21" s="6">
        <v>125</v>
      </c>
      <c r="AJ21" s="6">
        <v>125</v>
      </c>
      <c r="AK21" s="6">
        <v>125</v>
      </c>
      <c r="AL21" s="6">
        <v>250</v>
      </c>
      <c r="AM21" s="6">
        <v>250</v>
      </c>
      <c r="AN21" s="6">
        <v>250</v>
      </c>
      <c r="AO21" s="6">
        <v>250</v>
      </c>
      <c r="AP21" s="6">
        <v>250</v>
      </c>
      <c r="AQ21" s="6">
        <v>63</v>
      </c>
      <c r="AR21" s="6">
        <v>63</v>
      </c>
      <c r="AS21" s="6">
        <v>250</v>
      </c>
      <c r="AT21" s="6">
        <v>125</v>
      </c>
      <c r="AU21" s="6">
        <v>250</v>
      </c>
      <c r="AV21" s="6">
        <v>250</v>
      </c>
      <c r="AW21" s="6">
        <v>125</v>
      </c>
      <c r="AX21" s="6">
        <v>125</v>
      </c>
      <c r="AY21" s="6">
        <v>250</v>
      </c>
      <c r="AZ21" s="6">
        <v>250</v>
      </c>
      <c r="BA21" s="6">
        <v>250</v>
      </c>
      <c r="BB21" s="6">
        <v>250</v>
      </c>
      <c r="BC21" s="6">
        <v>250</v>
      </c>
      <c r="BD21" s="6">
        <v>250</v>
      </c>
      <c r="BE21" s="6">
        <v>250</v>
      </c>
      <c r="BF21" s="6">
        <v>125</v>
      </c>
      <c r="BG21" s="6">
        <v>125</v>
      </c>
      <c r="BH21" s="6">
        <v>125</v>
      </c>
      <c r="BI21" s="6">
        <v>250</v>
      </c>
      <c r="BJ21" s="6">
        <v>300</v>
      </c>
      <c r="BK21" s="6">
        <v>600</v>
      </c>
      <c r="BL21" s="6">
        <v>300</v>
      </c>
      <c r="BM21" s="6">
        <v>125</v>
      </c>
      <c r="BN21" s="6">
        <v>238</v>
      </c>
      <c r="BO21" s="6">
        <v>125</v>
      </c>
      <c r="BP21" s="6">
        <v>250</v>
      </c>
      <c r="BQ21" s="6">
        <v>500</v>
      </c>
      <c r="BR21" s="6">
        <v>250</v>
      </c>
      <c r="BS21" s="6">
        <v>500</v>
      </c>
      <c r="BT21" s="6">
        <v>500</v>
      </c>
      <c r="BU21" s="6">
        <v>250</v>
      </c>
      <c r="BV21" s="6">
        <v>250</v>
      </c>
      <c r="BW21" s="6">
        <v>238</v>
      </c>
      <c r="BX21" s="6">
        <v>250</v>
      </c>
      <c r="BY21" s="6">
        <v>125</v>
      </c>
      <c r="BZ21" s="6">
        <v>125</v>
      </c>
      <c r="CA21" s="6">
        <v>250</v>
      </c>
      <c r="CB21" s="6">
        <v>238</v>
      </c>
      <c r="CC21" s="6">
        <v>238</v>
      </c>
      <c r="CD21" s="6">
        <v>500</v>
      </c>
      <c r="CE21" s="6">
        <v>500</v>
      </c>
      <c r="CF21" s="6">
        <v>550</v>
      </c>
      <c r="CG21" s="6">
        <v>582</v>
      </c>
      <c r="CH21" s="6">
        <v>90</v>
      </c>
      <c r="CI21" s="6">
        <v>60</v>
      </c>
      <c r="CJ21" s="6">
        <v>60</v>
      </c>
      <c r="CK21" s="6">
        <v>90</v>
      </c>
      <c r="CL21" s="6">
        <v>90</v>
      </c>
      <c r="CM21" s="6">
        <v>90</v>
      </c>
      <c r="CN21" s="6">
        <v>90</v>
      </c>
      <c r="CO21" s="6">
        <v>90</v>
      </c>
      <c r="CP21" s="6">
        <v>90</v>
      </c>
      <c r="CQ21" s="6">
        <v>90</v>
      </c>
      <c r="CR21" s="6">
        <v>90</v>
      </c>
      <c r="CS21" s="6">
        <v>30</v>
      </c>
      <c r="CT21" s="6">
        <v>30</v>
      </c>
      <c r="CU21" s="6">
        <v>30</v>
      </c>
      <c r="CV21" s="6">
        <v>30</v>
      </c>
      <c r="CW21" s="6">
        <v>90</v>
      </c>
      <c r="CX21" s="6">
        <v>90</v>
      </c>
      <c r="CY21" s="6">
        <v>90</v>
      </c>
      <c r="CZ21" s="6">
        <v>90</v>
      </c>
      <c r="DA21" s="6">
        <v>100</v>
      </c>
      <c r="DB21" s="6">
        <v>90</v>
      </c>
      <c r="DC21" s="6">
        <v>90</v>
      </c>
      <c r="DD21" s="6">
        <v>90</v>
      </c>
      <c r="DE21" s="6">
        <v>90</v>
      </c>
      <c r="DF21" s="6">
        <v>60</v>
      </c>
      <c r="DG21" s="6">
        <v>60</v>
      </c>
      <c r="DH21" s="6">
        <v>90</v>
      </c>
      <c r="DI21" s="6">
        <v>90</v>
      </c>
      <c r="DJ21" s="6">
        <v>60</v>
      </c>
      <c r="DK21" s="6">
        <v>60</v>
      </c>
      <c r="DL21" s="6">
        <v>75</v>
      </c>
      <c r="DM21" s="6">
        <v>75</v>
      </c>
      <c r="DN21" s="6">
        <v>60</v>
      </c>
      <c r="DO21" s="6">
        <v>60</v>
      </c>
      <c r="DP21" s="6">
        <v>90</v>
      </c>
      <c r="DQ21" s="6">
        <v>60</v>
      </c>
      <c r="DR21" s="6">
        <v>90</v>
      </c>
      <c r="DS21" s="6">
        <v>90</v>
      </c>
      <c r="DT21" s="6">
        <v>90</v>
      </c>
      <c r="DU21" s="6">
        <v>90</v>
      </c>
      <c r="DV21" s="6">
        <v>90</v>
      </c>
      <c r="DW21" s="6">
        <v>45</v>
      </c>
      <c r="DX21" s="6">
        <v>45</v>
      </c>
      <c r="DY21" s="6">
        <v>45</v>
      </c>
      <c r="DZ21" s="6">
        <v>45</v>
      </c>
      <c r="EA21" s="6">
        <v>60</v>
      </c>
      <c r="EB21" s="6">
        <v>45</v>
      </c>
      <c r="EC21" s="6">
        <v>45</v>
      </c>
      <c r="ED21" s="6">
        <v>60</v>
      </c>
      <c r="EE21" s="6">
        <v>90</v>
      </c>
      <c r="EF21" s="6">
        <v>90</v>
      </c>
      <c r="EG21" s="6">
        <v>90</v>
      </c>
      <c r="EH21" s="6">
        <v>90</v>
      </c>
      <c r="EI21" s="6">
        <v>45</v>
      </c>
      <c r="EJ21" s="6">
        <v>45</v>
      </c>
      <c r="EK21" s="6">
        <v>45</v>
      </c>
      <c r="EL21" s="6">
        <v>45</v>
      </c>
      <c r="EM21" s="6">
        <v>90</v>
      </c>
      <c r="EN21" s="6">
        <v>90</v>
      </c>
      <c r="EO21" s="6">
        <v>45</v>
      </c>
      <c r="EP21" s="6">
        <v>45</v>
      </c>
      <c r="EQ21" s="6">
        <v>45</v>
      </c>
      <c r="ER21" s="6">
        <v>45</v>
      </c>
      <c r="ES21" s="6">
        <v>60</v>
      </c>
      <c r="ET21" s="6">
        <v>60</v>
      </c>
      <c r="EU21" s="6">
        <v>90</v>
      </c>
      <c r="EV21" s="6">
        <v>90</v>
      </c>
      <c r="EW21" s="6">
        <v>90</v>
      </c>
      <c r="EX21" s="6">
        <v>90</v>
      </c>
      <c r="EY21" s="6">
        <v>90</v>
      </c>
      <c r="EZ21" s="6">
        <v>90</v>
      </c>
      <c r="FA21" s="6">
        <v>90</v>
      </c>
      <c r="FB21" s="6">
        <v>90</v>
      </c>
      <c r="FC21" s="6">
        <v>90</v>
      </c>
      <c r="FD21" s="6">
        <v>90</v>
      </c>
      <c r="FE21" s="6">
        <v>90</v>
      </c>
      <c r="FF21" s="6">
        <v>45</v>
      </c>
      <c r="FG21" s="6">
        <v>45</v>
      </c>
      <c r="FH21" s="13">
        <v>90</v>
      </c>
      <c r="FI21" s="6">
        <v>60</v>
      </c>
      <c r="FJ21" s="6">
        <v>90</v>
      </c>
      <c r="FK21" s="6">
        <v>90</v>
      </c>
      <c r="FL21" s="6">
        <v>240</v>
      </c>
      <c r="FM21" s="6">
        <v>240</v>
      </c>
      <c r="FN21" s="6">
        <v>240</v>
      </c>
      <c r="FO21" s="6">
        <v>240</v>
      </c>
      <c r="FP21" s="6">
        <v>240</v>
      </c>
      <c r="FQ21" s="6">
        <v>240</v>
      </c>
      <c r="FR21" s="6">
        <v>240</v>
      </c>
      <c r="FS21" s="6">
        <v>240</v>
      </c>
      <c r="FT21" s="6">
        <v>240</v>
      </c>
      <c r="FU21" s="6">
        <v>240</v>
      </c>
      <c r="FV21" s="6">
        <v>240</v>
      </c>
      <c r="FW21" s="6">
        <v>240</v>
      </c>
      <c r="FX21" s="6">
        <v>240</v>
      </c>
    </row>
    <row r="22" spans="1:180" x14ac:dyDescent="0.3">
      <c r="A22" s="4" t="s">
        <v>3017</v>
      </c>
      <c r="B22" s="6" cm="1">
        <f t="array" ref="B22:FX22">1*TRANSPOSE(_xlfn._xlws.FILTER(transformer!$J$2:$J$181,transformer!$E$2:$E$181&lt;&gt;0))</f>
        <v>125</v>
      </c>
      <c r="C22" s="6">
        <v>63</v>
      </c>
      <c r="D22" s="6">
        <v>125</v>
      </c>
      <c r="E22" s="6">
        <v>250</v>
      </c>
      <c r="F22" s="6">
        <v>250</v>
      </c>
      <c r="G22" s="6">
        <v>250</v>
      </c>
      <c r="H22" s="6">
        <v>250</v>
      </c>
      <c r="I22" s="6">
        <v>250</v>
      </c>
      <c r="J22" s="6">
        <v>250</v>
      </c>
      <c r="K22" s="6">
        <v>250</v>
      </c>
      <c r="L22" s="6">
        <v>250</v>
      </c>
      <c r="M22" s="6">
        <v>250</v>
      </c>
      <c r="N22" s="6">
        <v>250</v>
      </c>
      <c r="O22" s="6">
        <v>250</v>
      </c>
      <c r="P22" s="6">
        <v>250</v>
      </c>
      <c r="Q22" s="6">
        <v>250</v>
      </c>
      <c r="R22" s="6">
        <v>250</v>
      </c>
      <c r="S22" s="6">
        <v>250</v>
      </c>
      <c r="T22" s="6">
        <v>250</v>
      </c>
      <c r="U22" s="6">
        <v>238</v>
      </c>
      <c r="V22" s="6">
        <v>250</v>
      </c>
      <c r="W22" s="6">
        <v>175</v>
      </c>
      <c r="X22" s="6">
        <v>500</v>
      </c>
      <c r="Y22" s="6">
        <v>500</v>
      </c>
      <c r="Z22" s="6">
        <v>250</v>
      </c>
      <c r="AA22" s="6">
        <v>500</v>
      </c>
      <c r="AB22" s="6">
        <v>500</v>
      </c>
      <c r="AC22" s="6">
        <v>250</v>
      </c>
      <c r="AD22" s="6">
        <v>250</v>
      </c>
      <c r="AE22" s="6">
        <v>250</v>
      </c>
      <c r="AF22" s="6">
        <v>250</v>
      </c>
      <c r="AG22" s="6">
        <v>250</v>
      </c>
      <c r="AH22" s="6">
        <v>125</v>
      </c>
      <c r="AI22" s="6">
        <v>125</v>
      </c>
      <c r="AJ22" s="6">
        <v>125</v>
      </c>
      <c r="AK22" s="6">
        <v>125</v>
      </c>
      <c r="AL22" s="6">
        <v>250</v>
      </c>
      <c r="AM22" s="6">
        <v>250</v>
      </c>
      <c r="AN22" s="6">
        <v>250</v>
      </c>
      <c r="AO22" s="6">
        <v>250</v>
      </c>
      <c r="AP22" s="6">
        <v>250</v>
      </c>
      <c r="AQ22" s="6">
        <v>63</v>
      </c>
      <c r="AR22" s="6">
        <v>63</v>
      </c>
      <c r="AS22" s="6">
        <v>250</v>
      </c>
      <c r="AT22" s="6">
        <v>125</v>
      </c>
      <c r="AU22" s="6">
        <v>250</v>
      </c>
      <c r="AV22" s="6">
        <v>250</v>
      </c>
      <c r="AW22" s="6">
        <v>125</v>
      </c>
      <c r="AX22" s="6">
        <v>125</v>
      </c>
      <c r="AY22" s="6">
        <v>250</v>
      </c>
      <c r="AZ22" s="6">
        <v>250</v>
      </c>
      <c r="BA22" s="6">
        <v>250</v>
      </c>
      <c r="BB22" s="6">
        <v>250</v>
      </c>
      <c r="BC22" s="6">
        <v>250</v>
      </c>
      <c r="BD22" s="6">
        <v>250</v>
      </c>
      <c r="BE22" s="6">
        <v>250</v>
      </c>
      <c r="BF22" s="6">
        <v>125</v>
      </c>
      <c r="BG22" s="6">
        <v>125</v>
      </c>
      <c r="BH22" s="6">
        <v>125</v>
      </c>
      <c r="BI22" s="6">
        <v>250</v>
      </c>
      <c r="BJ22" s="6">
        <v>300</v>
      </c>
      <c r="BK22" s="6">
        <v>600</v>
      </c>
      <c r="BL22" s="6">
        <v>300</v>
      </c>
      <c r="BM22" s="6">
        <v>125</v>
      </c>
      <c r="BN22" s="6">
        <v>238</v>
      </c>
      <c r="BO22" s="6">
        <v>125</v>
      </c>
      <c r="BP22" s="6">
        <v>250</v>
      </c>
      <c r="BQ22" s="6">
        <v>500</v>
      </c>
      <c r="BR22" s="6">
        <v>250</v>
      </c>
      <c r="BS22" s="6">
        <v>500</v>
      </c>
      <c r="BT22" s="6">
        <v>500</v>
      </c>
      <c r="BU22" s="6">
        <v>250</v>
      </c>
      <c r="BV22" s="6">
        <v>250</v>
      </c>
      <c r="BW22" s="6">
        <v>238</v>
      </c>
      <c r="BX22" s="6">
        <v>250</v>
      </c>
      <c r="BY22" s="6">
        <v>125</v>
      </c>
      <c r="BZ22" s="6">
        <v>125</v>
      </c>
      <c r="CA22" s="6">
        <v>250</v>
      </c>
      <c r="CB22" s="6">
        <v>238</v>
      </c>
      <c r="CC22" s="6">
        <v>238</v>
      </c>
      <c r="CD22" s="6">
        <v>500</v>
      </c>
      <c r="CE22" s="6">
        <v>500</v>
      </c>
      <c r="CF22" s="6">
        <v>550</v>
      </c>
      <c r="CG22" s="6">
        <v>582</v>
      </c>
      <c r="CH22" s="6">
        <v>90</v>
      </c>
      <c r="CI22" s="6">
        <v>60</v>
      </c>
      <c r="CJ22" s="6">
        <v>60</v>
      </c>
      <c r="CK22" s="6">
        <v>90</v>
      </c>
      <c r="CL22" s="6">
        <v>90</v>
      </c>
      <c r="CM22" s="6">
        <v>90</v>
      </c>
      <c r="CN22" s="6">
        <v>90</v>
      </c>
      <c r="CO22" s="6">
        <v>90</v>
      </c>
      <c r="CP22" s="6">
        <v>90</v>
      </c>
      <c r="CQ22" s="6">
        <v>90</v>
      </c>
      <c r="CR22" s="6">
        <v>90</v>
      </c>
      <c r="CS22" s="6">
        <v>30</v>
      </c>
      <c r="CT22" s="6">
        <v>30</v>
      </c>
      <c r="CU22" s="6">
        <v>30</v>
      </c>
      <c r="CV22" s="6">
        <v>30</v>
      </c>
      <c r="CW22" s="6">
        <v>90</v>
      </c>
      <c r="CX22" s="6">
        <v>90</v>
      </c>
      <c r="CY22" s="6">
        <v>90</v>
      </c>
      <c r="CZ22" s="6">
        <v>90</v>
      </c>
      <c r="DA22" s="6">
        <v>100</v>
      </c>
      <c r="DB22" s="6">
        <v>90</v>
      </c>
      <c r="DC22" s="6">
        <v>90</v>
      </c>
      <c r="DD22" s="6">
        <v>90</v>
      </c>
      <c r="DE22" s="6">
        <v>90</v>
      </c>
      <c r="DF22" s="6">
        <v>60</v>
      </c>
      <c r="DG22" s="6">
        <v>60</v>
      </c>
      <c r="DH22" s="6">
        <v>90</v>
      </c>
      <c r="DI22" s="6">
        <v>90</v>
      </c>
      <c r="DJ22" s="6">
        <v>60</v>
      </c>
      <c r="DK22" s="6">
        <v>60</v>
      </c>
      <c r="DL22" s="6">
        <v>75</v>
      </c>
      <c r="DM22" s="6">
        <v>75</v>
      </c>
      <c r="DN22" s="6">
        <v>60</v>
      </c>
      <c r="DO22" s="6">
        <v>60</v>
      </c>
      <c r="DP22" s="6">
        <v>90</v>
      </c>
      <c r="DQ22" s="6">
        <v>60</v>
      </c>
      <c r="DR22" s="6">
        <v>90</v>
      </c>
      <c r="DS22" s="6">
        <v>90</v>
      </c>
      <c r="DT22" s="6">
        <v>90</v>
      </c>
      <c r="DU22" s="6">
        <v>90</v>
      </c>
      <c r="DV22" s="6">
        <v>90</v>
      </c>
      <c r="DW22" s="6">
        <v>45</v>
      </c>
      <c r="DX22" s="6">
        <v>45</v>
      </c>
      <c r="DY22" s="6">
        <v>45</v>
      </c>
      <c r="DZ22" s="6">
        <v>45</v>
      </c>
      <c r="EA22" s="6">
        <v>60</v>
      </c>
      <c r="EB22" s="6">
        <v>45</v>
      </c>
      <c r="EC22" s="6">
        <v>45</v>
      </c>
      <c r="ED22" s="6">
        <v>60</v>
      </c>
      <c r="EE22" s="6">
        <v>90</v>
      </c>
      <c r="EF22" s="6">
        <v>90</v>
      </c>
      <c r="EG22" s="6">
        <v>90</v>
      </c>
      <c r="EH22" s="6">
        <v>90</v>
      </c>
      <c r="EI22" s="6">
        <v>45</v>
      </c>
      <c r="EJ22" s="6">
        <v>45</v>
      </c>
      <c r="EK22" s="6">
        <v>45</v>
      </c>
      <c r="EL22" s="6">
        <v>45</v>
      </c>
      <c r="EM22" s="6">
        <v>90</v>
      </c>
      <c r="EN22" s="6">
        <v>90</v>
      </c>
      <c r="EO22" s="6">
        <v>45</v>
      </c>
      <c r="EP22" s="6">
        <v>45</v>
      </c>
      <c r="EQ22" s="6">
        <v>45</v>
      </c>
      <c r="ER22" s="6">
        <v>45</v>
      </c>
      <c r="ES22" s="6">
        <v>60</v>
      </c>
      <c r="ET22" s="6">
        <v>60</v>
      </c>
      <c r="EU22" s="6">
        <v>90</v>
      </c>
      <c r="EV22" s="6">
        <v>90</v>
      </c>
      <c r="EW22" s="6">
        <v>90</v>
      </c>
      <c r="EX22" s="6">
        <v>90</v>
      </c>
      <c r="EY22" s="6">
        <v>90</v>
      </c>
      <c r="EZ22" s="6">
        <v>90</v>
      </c>
      <c r="FA22" s="6">
        <v>90</v>
      </c>
      <c r="FB22" s="6">
        <v>90</v>
      </c>
      <c r="FC22" s="6">
        <v>90</v>
      </c>
      <c r="FD22" s="6">
        <v>90</v>
      </c>
      <c r="FE22" s="6">
        <v>90</v>
      </c>
      <c r="FF22" s="6">
        <v>45</v>
      </c>
      <c r="FG22" s="6">
        <v>45</v>
      </c>
      <c r="FH22" s="13">
        <v>90</v>
      </c>
      <c r="FI22" s="6">
        <v>60</v>
      </c>
      <c r="FJ22" s="6">
        <v>90</v>
      </c>
      <c r="FK22" s="6">
        <v>90</v>
      </c>
      <c r="FL22" s="6">
        <v>240</v>
      </c>
      <c r="FM22" s="6">
        <v>240</v>
      </c>
      <c r="FN22" s="6">
        <v>240</v>
      </c>
      <c r="FO22" s="6">
        <v>240</v>
      </c>
      <c r="FP22" s="6">
        <v>240</v>
      </c>
      <c r="FQ22" s="6">
        <v>240</v>
      </c>
      <c r="FR22" s="6">
        <v>240</v>
      </c>
      <c r="FS22" s="6">
        <v>240</v>
      </c>
      <c r="FT22" s="6">
        <v>240</v>
      </c>
      <c r="FU22" s="6">
        <v>240</v>
      </c>
      <c r="FV22" s="6">
        <v>240</v>
      </c>
      <c r="FW22" s="6">
        <v>240</v>
      </c>
      <c r="FX22" s="6">
        <v>240</v>
      </c>
    </row>
    <row r="23" spans="1:180" x14ac:dyDescent="0.3">
      <c r="A23" s="4" t="s">
        <v>3018</v>
      </c>
      <c r="B23" s="6" cm="1">
        <f t="array" ref="B23:FX23">1*TRANSPOSE(_xlfn._xlws.FILTER(transformer!$J$2:$J$181,transformer!$E$2:$E$181&lt;&gt;0))</f>
        <v>125</v>
      </c>
      <c r="C23" s="6">
        <v>63</v>
      </c>
      <c r="D23" s="6">
        <v>125</v>
      </c>
      <c r="E23" s="6">
        <v>250</v>
      </c>
      <c r="F23" s="6">
        <v>250</v>
      </c>
      <c r="G23" s="6">
        <v>250</v>
      </c>
      <c r="H23" s="6">
        <v>250</v>
      </c>
      <c r="I23" s="6">
        <v>250</v>
      </c>
      <c r="J23" s="6">
        <v>250</v>
      </c>
      <c r="K23" s="6">
        <v>250</v>
      </c>
      <c r="L23" s="6">
        <v>250</v>
      </c>
      <c r="M23" s="6">
        <v>250</v>
      </c>
      <c r="N23" s="6">
        <v>250</v>
      </c>
      <c r="O23" s="6">
        <v>250</v>
      </c>
      <c r="P23" s="6">
        <v>250</v>
      </c>
      <c r="Q23" s="6">
        <v>250</v>
      </c>
      <c r="R23" s="6">
        <v>250</v>
      </c>
      <c r="S23" s="6">
        <v>250</v>
      </c>
      <c r="T23" s="6">
        <v>250</v>
      </c>
      <c r="U23" s="6">
        <v>238</v>
      </c>
      <c r="V23" s="6">
        <v>250</v>
      </c>
      <c r="W23" s="6">
        <v>175</v>
      </c>
      <c r="X23" s="6">
        <v>500</v>
      </c>
      <c r="Y23" s="6">
        <v>500</v>
      </c>
      <c r="Z23" s="6">
        <v>250</v>
      </c>
      <c r="AA23" s="6">
        <v>500</v>
      </c>
      <c r="AB23" s="6">
        <v>500</v>
      </c>
      <c r="AC23" s="6">
        <v>250</v>
      </c>
      <c r="AD23" s="6">
        <v>250</v>
      </c>
      <c r="AE23" s="6">
        <v>250</v>
      </c>
      <c r="AF23" s="6">
        <v>250</v>
      </c>
      <c r="AG23" s="6">
        <v>250</v>
      </c>
      <c r="AH23" s="6">
        <v>125</v>
      </c>
      <c r="AI23" s="6">
        <v>125</v>
      </c>
      <c r="AJ23" s="6">
        <v>125</v>
      </c>
      <c r="AK23" s="6">
        <v>125</v>
      </c>
      <c r="AL23" s="6">
        <v>250</v>
      </c>
      <c r="AM23" s="6">
        <v>250</v>
      </c>
      <c r="AN23" s="6">
        <v>250</v>
      </c>
      <c r="AO23" s="6">
        <v>250</v>
      </c>
      <c r="AP23" s="6">
        <v>250</v>
      </c>
      <c r="AQ23" s="6">
        <v>63</v>
      </c>
      <c r="AR23" s="6">
        <v>63</v>
      </c>
      <c r="AS23" s="6">
        <v>250</v>
      </c>
      <c r="AT23" s="6">
        <v>125</v>
      </c>
      <c r="AU23" s="6">
        <v>250</v>
      </c>
      <c r="AV23" s="6">
        <v>250</v>
      </c>
      <c r="AW23" s="6">
        <v>125</v>
      </c>
      <c r="AX23" s="6">
        <v>125</v>
      </c>
      <c r="AY23" s="6">
        <v>250</v>
      </c>
      <c r="AZ23" s="6">
        <v>250</v>
      </c>
      <c r="BA23" s="6">
        <v>250</v>
      </c>
      <c r="BB23" s="6">
        <v>250</v>
      </c>
      <c r="BC23" s="6">
        <v>250</v>
      </c>
      <c r="BD23" s="6">
        <v>250</v>
      </c>
      <c r="BE23" s="6">
        <v>250</v>
      </c>
      <c r="BF23" s="6">
        <v>125</v>
      </c>
      <c r="BG23" s="6">
        <v>125</v>
      </c>
      <c r="BH23" s="6">
        <v>125</v>
      </c>
      <c r="BI23" s="6">
        <v>250</v>
      </c>
      <c r="BJ23" s="6">
        <v>300</v>
      </c>
      <c r="BK23" s="6">
        <v>600</v>
      </c>
      <c r="BL23" s="6">
        <v>300</v>
      </c>
      <c r="BM23" s="6">
        <v>125</v>
      </c>
      <c r="BN23" s="6">
        <v>238</v>
      </c>
      <c r="BO23" s="6">
        <v>125</v>
      </c>
      <c r="BP23" s="6">
        <v>250</v>
      </c>
      <c r="BQ23" s="6">
        <v>500</v>
      </c>
      <c r="BR23" s="6">
        <v>250</v>
      </c>
      <c r="BS23" s="6">
        <v>500</v>
      </c>
      <c r="BT23" s="6">
        <v>500</v>
      </c>
      <c r="BU23" s="6">
        <v>250</v>
      </c>
      <c r="BV23" s="6">
        <v>250</v>
      </c>
      <c r="BW23" s="6">
        <v>238</v>
      </c>
      <c r="BX23" s="6">
        <v>250</v>
      </c>
      <c r="BY23" s="6">
        <v>125</v>
      </c>
      <c r="BZ23" s="6">
        <v>125</v>
      </c>
      <c r="CA23" s="6">
        <v>250</v>
      </c>
      <c r="CB23" s="6">
        <v>238</v>
      </c>
      <c r="CC23" s="6">
        <v>238</v>
      </c>
      <c r="CD23" s="6">
        <v>500</v>
      </c>
      <c r="CE23" s="6">
        <v>500</v>
      </c>
      <c r="CF23" s="6">
        <v>550</v>
      </c>
      <c r="CG23" s="6">
        <v>582</v>
      </c>
      <c r="CH23" s="6">
        <v>90</v>
      </c>
      <c r="CI23" s="6">
        <v>60</v>
      </c>
      <c r="CJ23" s="6">
        <v>60</v>
      </c>
      <c r="CK23" s="6">
        <v>90</v>
      </c>
      <c r="CL23" s="6">
        <v>90</v>
      </c>
      <c r="CM23" s="6">
        <v>90</v>
      </c>
      <c r="CN23" s="6">
        <v>90</v>
      </c>
      <c r="CO23" s="6">
        <v>90</v>
      </c>
      <c r="CP23" s="6">
        <v>90</v>
      </c>
      <c r="CQ23" s="6">
        <v>90</v>
      </c>
      <c r="CR23" s="6">
        <v>90</v>
      </c>
      <c r="CS23" s="6">
        <v>30</v>
      </c>
      <c r="CT23" s="6">
        <v>30</v>
      </c>
      <c r="CU23" s="6">
        <v>30</v>
      </c>
      <c r="CV23" s="6">
        <v>30</v>
      </c>
      <c r="CW23" s="6">
        <v>90</v>
      </c>
      <c r="CX23" s="6">
        <v>90</v>
      </c>
      <c r="CY23" s="6">
        <v>90</v>
      </c>
      <c r="CZ23" s="6">
        <v>90</v>
      </c>
      <c r="DA23" s="6">
        <v>100</v>
      </c>
      <c r="DB23" s="6">
        <v>90</v>
      </c>
      <c r="DC23" s="6">
        <v>90</v>
      </c>
      <c r="DD23" s="6">
        <v>90</v>
      </c>
      <c r="DE23" s="6">
        <v>90</v>
      </c>
      <c r="DF23" s="6">
        <v>60</v>
      </c>
      <c r="DG23" s="6">
        <v>60</v>
      </c>
      <c r="DH23" s="6">
        <v>90</v>
      </c>
      <c r="DI23" s="6">
        <v>90</v>
      </c>
      <c r="DJ23" s="6">
        <v>60</v>
      </c>
      <c r="DK23" s="6">
        <v>60</v>
      </c>
      <c r="DL23" s="6">
        <v>75</v>
      </c>
      <c r="DM23" s="6">
        <v>75</v>
      </c>
      <c r="DN23" s="6">
        <v>60</v>
      </c>
      <c r="DO23" s="6">
        <v>60</v>
      </c>
      <c r="DP23" s="6">
        <v>90</v>
      </c>
      <c r="DQ23" s="6">
        <v>60</v>
      </c>
      <c r="DR23" s="6">
        <v>90</v>
      </c>
      <c r="DS23" s="6">
        <v>90</v>
      </c>
      <c r="DT23" s="6">
        <v>90</v>
      </c>
      <c r="DU23" s="6">
        <v>90</v>
      </c>
      <c r="DV23" s="6">
        <v>90</v>
      </c>
      <c r="DW23" s="6">
        <v>45</v>
      </c>
      <c r="DX23" s="6">
        <v>45</v>
      </c>
      <c r="DY23" s="6">
        <v>45</v>
      </c>
      <c r="DZ23" s="6">
        <v>45</v>
      </c>
      <c r="EA23" s="6">
        <v>60</v>
      </c>
      <c r="EB23" s="6">
        <v>45</v>
      </c>
      <c r="EC23" s="6">
        <v>45</v>
      </c>
      <c r="ED23" s="6">
        <v>60</v>
      </c>
      <c r="EE23" s="6">
        <v>90</v>
      </c>
      <c r="EF23" s="6">
        <v>90</v>
      </c>
      <c r="EG23" s="6">
        <v>90</v>
      </c>
      <c r="EH23" s="6">
        <v>90</v>
      </c>
      <c r="EI23" s="6">
        <v>45</v>
      </c>
      <c r="EJ23" s="6">
        <v>45</v>
      </c>
      <c r="EK23" s="6">
        <v>45</v>
      </c>
      <c r="EL23" s="6">
        <v>45</v>
      </c>
      <c r="EM23" s="6">
        <v>90</v>
      </c>
      <c r="EN23" s="6">
        <v>90</v>
      </c>
      <c r="EO23" s="6">
        <v>45</v>
      </c>
      <c r="EP23" s="6">
        <v>45</v>
      </c>
      <c r="EQ23" s="6">
        <v>45</v>
      </c>
      <c r="ER23" s="6">
        <v>45</v>
      </c>
      <c r="ES23" s="6">
        <v>60</v>
      </c>
      <c r="ET23" s="6">
        <v>60</v>
      </c>
      <c r="EU23" s="6">
        <v>90</v>
      </c>
      <c r="EV23" s="6">
        <v>90</v>
      </c>
      <c r="EW23" s="6">
        <v>90</v>
      </c>
      <c r="EX23" s="6">
        <v>90</v>
      </c>
      <c r="EY23" s="6">
        <v>90</v>
      </c>
      <c r="EZ23" s="6">
        <v>90</v>
      </c>
      <c r="FA23" s="6">
        <v>90</v>
      </c>
      <c r="FB23" s="6">
        <v>90</v>
      </c>
      <c r="FC23" s="6">
        <v>90</v>
      </c>
      <c r="FD23" s="6">
        <v>90</v>
      </c>
      <c r="FE23" s="6">
        <v>90</v>
      </c>
      <c r="FF23" s="6">
        <v>45</v>
      </c>
      <c r="FG23" s="6">
        <v>45</v>
      </c>
      <c r="FH23" s="13">
        <v>90</v>
      </c>
      <c r="FI23" s="6">
        <v>60</v>
      </c>
      <c r="FJ23" s="6">
        <v>90</v>
      </c>
      <c r="FK23" s="6">
        <v>90</v>
      </c>
      <c r="FL23" s="6">
        <v>240</v>
      </c>
      <c r="FM23" s="6">
        <v>240</v>
      </c>
      <c r="FN23" s="6">
        <v>240</v>
      </c>
      <c r="FO23" s="6">
        <v>240</v>
      </c>
      <c r="FP23" s="6">
        <v>240</v>
      </c>
      <c r="FQ23" s="6">
        <v>240</v>
      </c>
      <c r="FR23" s="6">
        <v>240</v>
      </c>
      <c r="FS23" s="6">
        <v>240</v>
      </c>
      <c r="FT23" s="6">
        <v>240</v>
      </c>
      <c r="FU23" s="6">
        <v>240</v>
      </c>
      <c r="FV23" s="6">
        <v>240</v>
      </c>
      <c r="FW23" s="6">
        <v>240</v>
      </c>
      <c r="FX23" s="6">
        <v>240</v>
      </c>
    </row>
    <row r="24" spans="1:180" x14ac:dyDescent="0.3">
      <c r="A24" s="4" t="s">
        <v>3019</v>
      </c>
      <c r="B24" s="6" cm="1">
        <f t="array" ref="B24:FX24">1*TRANSPOSE(_xlfn._xlws.FILTER(transformer!$J$2:$J$181,transformer!$E$2:$E$181&lt;&gt;0))</f>
        <v>125</v>
      </c>
      <c r="C24" s="6">
        <v>63</v>
      </c>
      <c r="D24" s="6">
        <v>125</v>
      </c>
      <c r="E24" s="6">
        <v>250</v>
      </c>
      <c r="F24" s="6">
        <v>250</v>
      </c>
      <c r="G24" s="6">
        <v>250</v>
      </c>
      <c r="H24" s="6">
        <v>250</v>
      </c>
      <c r="I24" s="6">
        <v>250</v>
      </c>
      <c r="J24" s="6">
        <v>250</v>
      </c>
      <c r="K24" s="6">
        <v>250</v>
      </c>
      <c r="L24" s="6">
        <v>250</v>
      </c>
      <c r="M24" s="6">
        <v>250</v>
      </c>
      <c r="N24" s="6">
        <v>250</v>
      </c>
      <c r="O24" s="6">
        <v>250</v>
      </c>
      <c r="P24" s="6">
        <v>250</v>
      </c>
      <c r="Q24" s="6">
        <v>250</v>
      </c>
      <c r="R24" s="6">
        <v>250</v>
      </c>
      <c r="S24" s="6">
        <v>250</v>
      </c>
      <c r="T24" s="6">
        <v>250</v>
      </c>
      <c r="U24" s="6">
        <v>238</v>
      </c>
      <c r="V24" s="6">
        <v>250</v>
      </c>
      <c r="W24" s="6">
        <v>175</v>
      </c>
      <c r="X24" s="6">
        <v>500</v>
      </c>
      <c r="Y24" s="6">
        <v>500</v>
      </c>
      <c r="Z24" s="6">
        <v>250</v>
      </c>
      <c r="AA24" s="6">
        <v>500</v>
      </c>
      <c r="AB24" s="6">
        <v>500</v>
      </c>
      <c r="AC24" s="6">
        <v>250</v>
      </c>
      <c r="AD24" s="6">
        <v>250</v>
      </c>
      <c r="AE24" s="6">
        <v>250</v>
      </c>
      <c r="AF24" s="6">
        <v>250</v>
      </c>
      <c r="AG24" s="6">
        <v>250</v>
      </c>
      <c r="AH24" s="6">
        <v>125</v>
      </c>
      <c r="AI24" s="6">
        <v>125</v>
      </c>
      <c r="AJ24" s="6">
        <v>125</v>
      </c>
      <c r="AK24" s="6">
        <v>125</v>
      </c>
      <c r="AL24" s="6">
        <v>250</v>
      </c>
      <c r="AM24" s="6">
        <v>250</v>
      </c>
      <c r="AN24" s="6">
        <v>250</v>
      </c>
      <c r="AO24" s="6">
        <v>250</v>
      </c>
      <c r="AP24" s="6">
        <v>250</v>
      </c>
      <c r="AQ24" s="6">
        <v>63</v>
      </c>
      <c r="AR24" s="6">
        <v>63</v>
      </c>
      <c r="AS24" s="6">
        <v>250</v>
      </c>
      <c r="AT24" s="6">
        <v>125</v>
      </c>
      <c r="AU24" s="6">
        <v>250</v>
      </c>
      <c r="AV24" s="6">
        <v>250</v>
      </c>
      <c r="AW24" s="6">
        <v>125</v>
      </c>
      <c r="AX24" s="6">
        <v>125</v>
      </c>
      <c r="AY24" s="6">
        <v>250</v>
      </c>
      <c r="AZ24" s="6">
        <v>250</v>
      </c>
      <c r="BA24" s="6">
        <v>250</v>
      </c>
      <c r="BB24" s="6">
        <v>250</v>
      </c>
      <c r="BC24" s="6">
        <v>250</v>
      </c>
      <c r="BD24" s="6">
        <v>250</v>
      </c>
      <c r="BE24" s="6">
        <v>250</v>
      </c>
      <c r="BF24" s="6">
        <v>125</v>
      </c>
      <c r="BG24" s="6">
        <v>125</v>
      </c>
      <c r="BH24" s="6">
        <v>125</v>
      </c>
      <c r="BI24" s="6">
        <v>250</v>
      </c>
      <c r="BJ24" s="6">
        <v>300</v>
      </c>
      <c r="BK24" s="6">
        <v>600</v>
      </c>
      <c r="BL24" s="6">
        <v>300</v>
      </c>
      <c r="BM24" s="6">
        <v>125</v>
      </c>
      <c r="BN24" s="6">
        <v>238</v>
      </c>
      <c r="BO24" s="6">
        <v>125</v>
      </c>
      <c r="BP24" s="6">
        <v>250</v>
      </c>
      <c r="BQ24" s="6">
        <v>500</v>
      </c>
      <c r="BR24" s="6">
        <v>250</v>
      </c>
      <c r="BS24" s="6">
        <v>500</v>
      </c>
      <c r="BT24" s="6">
        <v>500</v>
      </c>
      <c r="BU24" s="6">
        <v>250</v>
      </c>
      <c r="BV24" s="6">
        <v>250</v>
      </c>
      <c r="BW24" s="6">
        <v>238</v>
      </c>
      <c r="BX24" s="6">
        <v>250</v>
      </c>
      <c r="BY24" s="6">
        <v>125</v>
      </c>
      <c r="BZ24" s="6">
        <v>125</v>
      </c>
      <c r="CA24" s="6">
        <v>250</v>
      </c>
      <c r="CB24" s="6">
        <v>238</v>
      </c>
      <c r="CC24" s="6">
        <v>238</v>
      </c>
      <c r="CD24" s="6">
        <v>500</v>
      </c>
      <c r="CE24" s="6">
        <v>500</v>
      </c>
      <c r="CF24" s="6">
        <v>550</v>
      </c>
      <c r="CG24" s="6">
        <v>582</v>
      </c>
      <c r="CH24" s="6">
        <v>90</v>
      </c>
      <c r="CI24" s="6">
        <v>60</v>
      </c>
      <c r="CJ24" s="6">
        <v>60</v>
      </c>
      <c r="CK24" s="6">
        <v>90</v>
      </c>
      <c r="CL24" s="6">
        <v>90</v>
      </c>
      <c r="CM24" s="6">
        <v>90</v>
      </c>
      <c r="CN24" s="6">
        <v>90</v>
      </c>
      <c r="CO24" s="6">
        <v>90</v>
      </c>
      <c r="CP24" s="6">
        <v>90</v>
      </c>
      <c r="CQ24" s="6">
        <v>90</v>
      </c>
      <c r="CR24" s="6">
        <v>90</v>
      </c>
      <c r="CS24" s="6">
        <v>30</v>
      </c>
      <c r="CT24" s="6">
        <v>30</v>
      </c>
      <c r="CU24" s="6">
        <v>30</v>
      </c>
      <c r="CV24" s="6">
        <v>30</v>
      </c>
      <c r="CW24" s="6">
        <v>90</v>
      </c>
      <c r="CX24" s="6">
        <v>90</v>
      </c>
      <c r="CY24" s="6">
        <v>90</v>
      </c>
      <c r="CZ24" s="6">
        <v>90</v>
      </c>
      <c r="DA24" s="6">
        <v>100</v>
      </c>
      <c r="DB24" s="6">
        <v>90</v>
      </c>
      <c r="DC24" s="6">
        <v>90</v>
      </c>
      <c r="DD24" s="6">
        <v>90</v>
      </c>
      <c r="DE24" s="6">
        <v>90</v>
      </c>
      <c r="DF24" s="6">
        <v>60</v>
      </c>
      <c r="DG24" s="6">
        <v>60</v>
      </c>
      <c r="DH24" s="6">
        <v>90</v>
      </c>
      <c r="DI24" s="6">
        <v>90</v>
      </c>
      <c r="DJ24" s="6">
        <v>60</v>
      </c>
      <c r="DK24" s="6">
        <v>60</v>
      </c>
      <c r="DL24" s="6">
        <v>75</v>
      </c>
      <c r="DM24" s="6">
        <v>75</v>
      </c>
      <c r="DN24" s="6">
        <v>60</v>
      </c>
      <c r="DO24" s="6">
        <v>60</v>
      </c>
      <c r="DP24" s="6">
        <v>90</v>
      </c>
      <c r="DQ24" s="6">
        <v>60</v>
      </c>
      <c r="DR24" s="6">
        <v>90</v>
      </c>
      <c r="DS24" s="6">
        <v>90</v>
      </c>
      <c r="DT24" s="6">
        <v>90</v>
      </c>
      <c r="DU24" s="6">
        <v>90</v>
      </c>
      <c r="DV24" s="6">
        <v>90</v>
      </c>
      <c r="DW24" s="6">
        <v>45</v>
      </c>
      <c r="DX24" s="6">
        <v>45</v>
      </c>
      <c r="DY24" s="6">
        <v>45</v>
      </c>
      <c r="DZ24" s="6">
        <v>45</v>
      </c>
      <c r="EA24" s="6">
        <v>60</v>
      </c>
      <c r="EB24" s="6">
        <v>45</v>
      </c>
      <c r="EC24" s="6">
        <v>45</v>
      </c>
      <c r="ED24" s="6">
        <v>60</v>
      </c>
      <c r="EE24" s="6">
        <v>90</v>
      </c>
      <c r="EF24" s="6">
        <v>90</v>
      </c>
      <c r="EG24" s="6">
        <v>90</v>
      </c>
      <c r="EH24" s="6">
        <v>90</v>
      </c>
      <c r="EI24" s="6">
        <v>45</v>
      </c>
      <c r="EJ24" s="6">
        <v>45</v>
      </c>
      <c r="EK24" s="6">
        <v>45</v>
      </c>
      <c r="EL24" s="6">
        <v>45</v>
      </c>
      <c r="EM24" s="6">
        <v>90</v>
      </c>
      <c r="EN24" s="6">
        <v>90</v>
      </c>
      <c r="EO24" s="6">
        <v>45</v>
      </c>
      <c r="EP24" s="6">
        <v>45</v>
      </c>
      <c r="EQ24" s="6">
        <v>45</v>
      </c>
      <c r="ER24" s="6">
        <v>45</v>
      </c>
      <c r="ES24" s="6">
        <v>60</v>
      </c>
      <c r="ET24" s="6">
        <v>60</v>
      </c>
      <c r="EU24" s="6">
        <v>90</v>
      </c>
      <c r="EV24" s="6">
        <v>90</v>
      </c>
      <c r="EW24" s="6">
        <v>90</v>
      </c>
      <c r="EX24" s="6">
        <v>90</v>
      </c>
      <c r="EY24" s="6">
        <v>90</v>
      </c>
      <c r="EZ24" s="6">
        <v>90</v>
      </c>
      <c r="FA24" s="6">
        <v>90</v>
      </c>
      <c r="FB24" s="6">
        <v>90</v>
      </c>
      <c r="FC24" s="6">
        <v>90</v>
      </c>
      <c r="FD24" s="6">
        <v>90</v>
      </c>
      <c r="FE24" s="6">
        <v>90</v>
      </c>
      <c r="FF24" s="6">
        <v>45</v>
      </c>
      <c r="FG24" s="6">
        <v>45</v>
      </c>
      <c r="FH24" s="13">
        <v>90</v>
      </c>
      <c r="FI24" s="6">
        <v>60</v>
      </c>
      <c r="FJ24" s="6">
        <v>90</v>
      </c>
      <c r="FK24" s="6">
        <v>90</v>
      </c>
      <c r="FL24" s="6">
        <v>240</v>
      </c>
      <c r="FM24" s="6">
        <v>240</v>
      </c>
      <c r="FN24" s="6">
        <v>240</v>
      </c>
      <c r="FO24" s="6">
        <v>240</v>
      </c>
      <c r="FP24" s="6">
        <v>240</v>
      </c>
      <c r="FQ24" s="6">
        <v>240</v>
      </c>
      <c r="FR24" s="6">
        <v>240</v>
      </c>
      <c r="FS24" s="6">
        <v>240</v>
      </c>
      <c r="FT24" s="6">
        <v>240</v>
      </c>
      <c r="FU24" s="6">
        <v>240</v>
      </c>
      <c r="FV24" s="6">
        <v>240</v>
      </c>
      <c r="FW24" s="6">
        <v>240</v>
      </c>
      <c r="FX24" s="6">
        <v>240</v>
      </c>
    </row>
    <row r="25" spans="1:180" x14ac:dyDescent="0.3">
      <c r="A25" s="4" t="s">
        <v>3020</v>
      </c>
      <c r="B25" s="6" cm="1">
        <f t="array" ref="B25:FX25">1*TRANSPOSE(_xlfn._xlws.FILTER(transformer!$J$2:$J$181,transformer!$E$2:$E$181&lt;&gt;0))</f>
        <v>125</v>
      </c>
      <c r="C25" s="6">
        <v>63</v>
      </c>
      <c r="D25" s="6">
        <v>125</v>
      </c>
      <c r="E25" s="6">
        <v>250</v>
      </c>
      <c r="F25" s="6">
        <v>250</v>
      </c>
      <c r="G25" s="6">
        <v>250</v>
      </c>
      <c r="H25" s="6">
        <v>250</v>
      </c>
      <c r="I25" s="6">
        <v>250</v>
      </c>
      <c r="J25" s="6">
        <v>250</v>
      </c>
      <c r="K25" s="6">
        <v>250</v>
      </c>
      <c r="L25" s="6">
        <v>250</v>
      </c>
      <c r="M25" s="6">
        <v>250</v>
      </c>
      <c r="N25" s="6">
        <v>250</v>
      </c>
      <c r="O25" s="6">
        <v>250</v>
      </c>
      <c r="P25" s="6">
        <v>250</v>
      </c>
      <c r="Q25" s="6">
        <v>250</v>
      </c>
      <c r="R25" s="6">
        <v>250</v>
      </c>
      <c r="S25" s="6">
        <v>250</v>
      </c>
      <c r="T25" s="6">
        <v>250</v>
      </c>
      <c r="U25" s="6">
        <v>238</v>
      </c>
      <c r="V25" s="6">
        <v>250</v>
      </c>
      <c r="W25" s="6">
        <v>175</v>
      </c>
      <c r="X25" s="6">
        <v>500</v>
      </c>
      <c r="Y25" s="6">
        <v>500</v>
      </c>
      <c r="Z25" s="6">
        <v>250</v>
      </c>
      <c r="AA25" s="6">
        <v>500</v>
      </c>
      <c r="AB25" s="6">
        <v>500</v>
      </c>
      <c r="AC25" s="6">
        <v>250</v>
      </c>
      <c r="AD25" s="6">
        <v>250</v>
      </c>
      <c r="AE25" s="6">
        <v>250</v>
      </c>
      <c r="AF25" s="6">
        <v>250</v>
      </c>
      <c r="AG25" s="6">
        <v>250</v>
      </c>
      <c r="AH25" s="6">
        <v>125</v>
      </c>
      <c r="AI25" s="6">
        <v>125</v>
      </c>
      <c r="AJ25" s="6">
        <v>125</v>
      </c>
      <c r="AK25" s="6">
        <v>125</v>
      </c>
      <c r="AL25" s="6">
        <v>250</v>
      </c>
      <c r="AM25" s="6">
        <v>250</v>
      </c>
      <c r="AN25" s="6">
        <v>250</v>
      </c>
      <c r="AO25" s="6">
        <v>250</v>
      </c>
      <c r="AP25" s="6">
        <v>250</v>
      </c>
      <c r="AQ25" s="6">
        <v>63</v>
      </c>
      <c r="AR25" s="6">
        <v>63</v>
      </c>
      <c r="AS25" s="6">
        <v>250</v>
      </c>
      <c r="AT25" s="6">
        <v>125</v>
      </c>
      <c r="AU25" s="6">
        <v>250</v>
      </c>
      <c r="AV25" s="6">
        <v>250</v>
      </c>
      <c r="AW25" s="6">
        <v>125</v>
      </c>
      <c r="AX25" s="6">
        <v>125</v>
      </c>
      <c r="AY25" s="6">
        <v>250</v>
      </c>
      <c r="AZ25" s="6">
        <v>250</v>
      </c>
      <c r="BA25" s="6">
        <v>250</v>
      </c>
      <c r="BB25" s="6">
        <v>250</v>
      </c>
      <c r="BC25" s="6">
        <v>250</v>
      </c>
      <c r="BD25" s="6">
        <v>250</v>
      </c>
      <c r="BE25" s="6">
        <v>250</v>
      </c>
      <c r="BF25" s="6">
        <v>125</v>
      </c>
      <c r="BG25" s="6">
        <v>125</v>
      </c>
      <c r="BH25" s="6">
        <v>125</v>
      </c>
      <c r="BI25" s="6">
        <v>250</v>
      </c>
      <c r="BJ25" s="6">
        <v>300</v>
      </c>
      <c r="BK25" s="6">
        <v>600</v>
      </c>
      <c r="BL25" s="6">
        <v>300</v>
      </c>
      <c r="BM25" s="6">
        <v>125</v>
      </c>
      <c r="BN25" s="6">
        <v>238</v>
      </c>
      <c r="BO25" s="6">
        <v>125</v>
      </c>
      <c r="BP25" s="6">
        <v>250</v>
      </c>
      <c r="BQ25" s="6">
        <v>500</v>
      </c>
      <c r="BR25" s="6">
        <v>250</v>
      </c>
      <c r="BS25" s="6">
        <v>500</v>
      </c>
      <c r="BT25" s="6">
        <v>500</v>
      </c>
      <c r="BU25" s="6">
        <v>250</v>
      </c>
      <c r="BV25" s="6">
        <v>250</v>
      </c>
      <c r="BW25" s="6">
        <v>238</v>
      </c>
      <c r="BX25" s="6">
        <v>250</v>
      </c>
      <c r="BY25" s="6">
        <v>125</v>
      </c>
      <c r="BZ25" s="6">
        <v>125</v>
      </c>
      <c r="CA25" s="6">
        <v>250</v>
      </c>
      <c r="CB25" s="6">
        <v>238</v>
      </c>
      <c r="CC25" s="6">
        <v>238</v>
      </c>
      <c r="CD25" s="6">
        <v>500</v>
      </c>
      <c r="CE25" s="6">
        <v>500</v>
      </c>
      <c r="CF25" s="6">
        <v>550</v>
      </c>
      <c r="CG25" s="6">
        <v>582</v>
      </c>
      <c r="CH25" s="6">
        <v>90</v>
      </c>
      <c r="CI25" s="6">
        <v>60</v>
      </c>
      <c r="CJ25" s="6">
        <v>60</v>
      </c>
      <c r="CK25" s="6">
        <v>90</v>
      </c>
      <c r="CL25" s="6">
        <v>90</v>
      </c>
      <c r="CM25" s="6">
        <v>90</v>
      </c>
      <c r="CN25" s="6">
        <v>90</v>
      </c>
      <c r="CO25" s="6">
        <v>90</v>
      </c>
      <c r="CP25" s="6">
        <v>90</v>
      </c>
      <c r="CQ25" s="6">
        <v>90</v>
      </c>
      <c r="CR25" s="6">
        <v>90</v>
      </c>
      <c r="CS25" s="6">
        <v>30</v>
      </c>
      <c r="CT25" s="6">
        <v>30</v>
      </c>
      <c r="CU25" s="6">
        <v>30</v>
      </c>
      <c r="CV25" s="6">
        <v>30</v>
      </c>
      <c r="CW25" s="6">
        <v>90</v>
      </c>
      <c r="CX25" s="6">
        <v>90</v>
      </c>
      <c r="CY25" s="6">
        <v>90</v>
      </c>
      <c r="CZ25" s="6">
        <v>90</v>
      </c>
      <c r="DA25" s="6">
        <v>100</v>
      </c>
      <c r="DB25" s="6">
        <v>90</v>
      </c>
      <c r="DC25" s="6">
        <v>90</v>
      </c>
      <c r="DD25" s="6">
        <v>90</v>
      </c>
      <c r="DE25" s="6">
        <v>90</v>
      </c>
      <c r="DF25" s="6">
        <v>60</v>
      </c>
      <c r="DG25" s="6">
        <v>60</v>
      </c>
      <c r="DH25" s="6">
        <v>90</v>
      </c>
      <c r="DI25" s="6">
        <v>90</v>
      </c>
      <c r="DJ25" s="6">
        <v>60</v>
      </c>
      <c r="DK25" s="6">
        <v>60</v>
      </c>
      <c r="DL25" s="6">
        <v>75</v>
      </c>
      <c r="DM25" s="6">
        <v>75</v>
      </c>
      <c r="DN25" s="6">
        <v>60</v>
      </c>
      <c r="DO25" s="6">
        <v>60</v>
      </c>
      <c r="DP25" s="6">
        <v>90</v>
      </c>
      <c r="DQ25" s="6">
        <v>60</v>
      </c>
      <c r="DR25" s="6">
        <v>90</v>
      </c>
      <c r="DS25" s="6">
        <v>90</v>
      </c>
      <c r="DT25" s="6">
        <v>90</v>
      </c>
      <c r="DU25" s="6">
        <v>90</v>
      </c>
      <c r="DV25" s="6">
        <v>90</v>
      </c>
      <c r="DW25" s="6">
        <v>45</v>
      </c>
      <c r="DX25" s="6">
        <v>45</v>
      </c>
      <c r="DY25" s="6">
        <v>45</v>
      </c>
      <c r="DZ25" s="6">
        <v>45</v>
      </c>
      <c r="EA25" s="6">
        <v>60</v>
      </c>
      <c r="EB25" s="6">
        <v>45</v>
      </c>
      <c r="EC25" s="6">
        <v>45</v>
      </c>
      <c r="ED25" s="6">
        <v>60</v>
      </c>
      <c r="EE25" s="6">
        <v>90</v>
      </c>
      <c r="EF25" s="6">
        <v>90</v>
      </c>
      <c r="EG25" s="6">
        <v>90</v>
      </c>
      <c r="EH25" s="6">
        <v>90</v>
      </c>
      <c r="EI25" s="6">
        <v>45</v>
      </c>
      <c r="EJ25" s="6">
        <v>45</v>
      </c>
      <c r="EK25" s="6">
        <v>45</v>
      </c>
      <c r="EL25" s="6">
        <v>45</v>
      </c>
      <c r="EM25" s="6">
        <v>90</v>
      </c>
      <c r="EN25" s="6">
        <v>90</v>
      </c>
      <c r="EO25" s="6">
        <v>45</v>
      </c>
      <c r="EP25" s="6">
        <v>45</v>
      </c>
      <c r="EQ25" s="6">
        <v>45</v>
      </c>
      <c r="ER25" s="6">
        <v>45</v>
      </c>
      <c r="ES25" s="6">
        <v>60</v>
      </c>
      <c r="ET25" s="6">
        <v>60</v>
      </c>
      <c r="EU25" s="6">
        <v>90</v>
      </c>
      <c r="EV25" s="6">
        <v>90</v>
      </c>
      <c r="EW25" s="6">
        <v>90</v>
      </c>
      <c r="EX25" s="6">
        <v>90</v>
      </c>
      <c r="EY25" s="6">
        <v>90</v>
      </c>
      <c r="EZ25" s="6">
        <v>90</v>
      </c>
      <c r="FA25" s="6">
        <v>90</v>
      </c>
      <c r="FB25" s="6">
        <v>90</v>
      </c>
      <c r="FC25" s="6">
        <v>90</v>
      </c>
      <c r="FD25" s="6">
        <v>90</v>
      </c>
      <c r="FE25" s="6">
        <v>90</v>
      </c>
      <c r="FF25" s="6">
        <v>45</v>
      </c>
      <c r="FG25" s="6">
        <v>45</v>
      </c>
      <c r="FH25" s="13">
        <v>90</v>
      </c>
      <c r="FI25" s="6">
        <v>60</v>
      </c>
      <c r="FJ25" s="6">
        <v>90</v>
      </c>
      <c r="FK25" s="6">
        <v>90</v>
      </c>
      <c r="FL25" s="6">
        <v>240</v>
      </c>
      <c r="FM25" s="6">
        <v>240</v>
      </c>
      <c r="FN25" s="6">
        <v>240</v>
      </c>
      <c r="FO25" s="6">
        <v>240</v>
      </c>
      <c r="FP25" s="6">
        <v>240</v>
      </c>
      <c r="FQ25" s="6">
        <v>240</v>
      </c>
      <c r="FR25" s="6">
        <v>240</v>
      </c>
      <c r="FS25" s="6">
        <v>240</v>
      </c>
      <c r="FT25" s="6">
        <v>240</v>
      </c>
      <c r="FU25" s="6">
        <v>240</v>
      </c>
      <c r="FV25" s="6">
        <v>240</v>
      </c>
      <c r="FW25" s="6">
        <v>240</v>
      </c>
      <c r="FX25" s="6">
        <v>240</v>
      </c>
    </row>
    <row r="26" spans="1:180" x14ac:dyDescent="0.3">
      <c r="A26" s="4" t="s">
        <v>3021</v>
      </c>
      <c r="B26" s="6" cm="1">
        <f t="array" ref="B26:FX26">1*TRANSPOSE(_xlfn._xlws.FILTER(transformer!$J$2:$J$181,transformer!$E$2:$E$181&lt;&gt;0))</f>
        <v>125</v>
      </c>
      <c r="C26" s="6">
        <v>63</v>
      </c>
      <c r="D26" s="6">
        <v>125</v>
      </c>
      <c r="E26" s="6">
        <v>250</v>
      </c>
      <c r="F26" s="6">
        <v>250</v>
      </c>
      <c r="G26" s="6">
        <v>250</v>
      </c>
      <c r="H26" s="6">
        <v>250</v>
      </c>
      <c r="I26" s="6">
        <v>250</v>
      </c>
      <c r="J26" s="6">
        <v>250</v>
      </c>
      <c r="K26" s="6">
        <v>250</v>
      </c>
      <c r="L26" s="6">
        <v>250</v>
      </c>
      <c r="M26" s="6">
        <v>250</v>
      </c>
      <c r="N26" s="6">
        <v>250</v>
      </c>
      <c r="O26" s="6">
        <v>250</v>
      </c>
      <c r="P26" s="6">
        <v>250</v>
      </c>
      <c r="Q26" s="6">
        <v>250</v>
      </c>
      <c r="R26" s="6">
        <v>250</v>
      </c>
      <c r="S26" s="6">
        <v>250</v>
      </c>
      <c r="T26" s="6">
        <v>250</v>
      </c>
      <c r="U26" s="6">
        <v>238</v>
      </c>
      <c r="V26" s="6">
        <v>250</v>
      </c>
      <c r="W26" s="6">
        <v>175</v>
      </c>
      <c r="X26" s="6">
        <v>500</v>
      </c>
      <c r="Y26" s="6">
        <v>500</v>
      </c>
      <c r="Z26" s="6">
        <v>250</v>
      </c>
      <c r="AA26" s="6">
        <v>500</v>
      </c>
      <c r="AB26" s="6">
        <v>500</v>
      </c>
      <c r="AC26" s="6">
        <v>250</v>
      </c>
      <c r="AD26" s="6">
        <v>250</v>
      </c>
      <c r="AE26" s="6">
        <v>250</v>
      </c>
      <c r="AF26" s="6">
        <v>250</v>
      </c>
      <c r="AG26" s="6">
        <v>250</v>
      </c>
      <c r="AH26" s="6">
        <v>125</v>
      </c>
      <c r="AI26" s="6">
        <v>125</v>
      </c>
      <c r="AJ26" s="6">
        <v>125</v>
      </c>
      <c r="AK26" s="6">
        <v>125</v>
      </c>
      <c r="AL26" s="6">
        <v>250</v>
      </c>
      <c r="AM26" s="6">
        <v>250</v>
      </c>
      <c r="AN26" s="6">
        <v>250</v>
      </c>
      <c r="AO26" s="6">
        <v>250</v>
      </c>
      <c r="AP26" s="6">
        <v>250</v>
      </c>
      <c r="AQ26" s="6">
        <v>63</v>
      </c>
      <c r="AR26" s="6">
        <v>63</v>
      </c>
      <c r="AS26" s="6">
        <v>250</v>
      </c>
      <c r="AT26" s="6">
        <v>125</v>
      </c>
      <c r="AU26" s="6">
        <v>250</v>
      </c>
      <c r="AV26" s="6">
        <v>250</v>
      </c>
      <c r="AW26" s="6">
        <v>125</v>
      </c>
      <c r="AX26" s="6">
        <v>125</v>
      </c>
      <c r="AY26" s="6">
        <v>250</v>
      </c>
      <c r="AZ26" s="6">
        <v>250</v>
      </c>
      <c r="BA26" s="6">
        <v>250</v>
      </c>
      <c r="BB26" s="6">
        <v>250</v>
      </c>
      <c r="BC26" s="6">
        <v>250</v>
      </c>
      <c r="BD26" s="6">
        <v>250</v>
      </c>
      <c r="BE26" s="6">
        <v>250</v>
      </c>
      <c r="BF26" s="6">
        <v>125</v>
      </c>
      <c r="BG26" s="6">
        <v>125</v>
      </c>
      <c r="BH26" s="6">
        <v>125</v>
      </c>
      <c r="BI26" s="6">
        <v>250</v>
      </c>
      <c r="BJ26" s="6">
        <v>300</v>
      </c>
      <c r="BK26" s="6">
        <v>600</v>
      </c>
      <c r="BL26" s="6">
        <v>300</v>
      </c>
      <c r="BM26" s="6">
        <v>125</v>
      </c>
      <c r="BN26" s="6">
        <v>238</v>
      </c>
      <c r="BO26" s="6">
        <v>125</v>
      </c>
      <c r="BP26" s="6">
        <v>250</v>
      </c>
      <c r="BQ26" s="6">
        <v>500</v>
      </c>
      <c r="BR26" s="6">
        <v>250</v>
      </c>
      <c r="BS26" s="6">
        <v>500</v>
      </c>
      <c r="BT26" s="6">
        <v>500</v>
      </c>
      <c r="BU26" s="6">
        <v>250</v>
      </c>
      <c r="BV26" s="6">
        <v>250</v>
      </c>
      <c r="BW26" s="6">
        <v>238</v>
      </c>
      <c r="BX26" s="6">
        <v>250</v>
      </c>
      <c r="BY26" s="6">
        <v>125</v>
      </c>
      <c r="BZ26" s="6">
        <v>125</v>
      </c>
      <c r="CA26" s="6">
        <v>250</v>
      </c>
      <c r="CB26" s="6">
        <v>238</v>
      </c>
      <c r="CC26" s="6">
        <v>238</v>
      </c>
      <c r="CD26" s="6">
        <v>500</v>
      </c>
      <c r="CE26" s="6">
        <v>500</v>
      </c>
      <c r="CF26" s="6">
        <v>550</v>
      </c>
      <c r="CG26" s="6">
        <v>582</v>
      </c>
      <c r="CH26" s="6">
        <v>90</v>
      </c>
      <c r="CI26" s="6">
        <v>60</v>
      </c>
      <c r="CJ26" s="6">
        <v>60</v>
      </c>
      <c r="CK26" s="6">
        <v>90</v>
      </c>
      <c r="CL26" s="6">
        <v>90</v>
      </c>
      <c r="CM26" s="6">
        <v>90</v>
      </c>
      <c r="CN26" s="6">
        <v>90</v>
      </c>
      <c r="CO26" s="6">
        <v>90</v>
      </c>
      <c r="CP26" s="6">
        <v>90</v>
      </c>
      <c r="CQ26" s="6">
        <v>90</v>
      </c>
      <c r="CR26" s="6">
        <v>90</v>
      </c>
      <c r="CS26" s="6">
        <v>30</v>
      </c>
      <c r="CT26" s="6">
        <v>30</v>
      </c>
      <c r="CU26" s="6">
        <v>30</v>
      </c>
      <c r="CV26" s="6">
        <v>30</v>
      </c>
      <c r="CW26" s="6">
        <v>90</v>
      </c>
      <c r="CX26" s="6">
        <v>90</v>
      </c>
      <c r="CY26" s="6">
        <v>90</v>
      </c>
      <c r="CZ26" s="6">
        <v>90</v>
      </c>
      <c r="DA26" s="6">
        <v>100</v>
      </c>
      <c r="DB26" s="6">
        <v>90</v>
      </c>
      <c r="DC26" s="6">
        <v>90</v>
      </c>
      <c r="DD26" s="6">
        <v>90</v>
      </c>
      <c r="DE26" s="6">
        <v>90</v>
      </c>
      <c r="DF26" s="6">
        <v>60</v>
      </c>
      <c r="DG26" s="6">
        <v>60</v>
      </c>
      <c r="DH26" s="6">
        <v>90</v>
      </c>
      <c r="DI26" s="6">
        <v>90</v>
      </c>
      <c r="DJ26" s="6">
        <v>60</v>
      </c>
      <c r="DK26" s="6">
        <v>60</v>
      </c>
      <c r="DL26" s="6">
        <v>75</v>
      </c>
      <c r="DM26" s="6">
        <v>75</v>
      </c>
      <c r="DN26" s="6">
        <v>60</v>
      </c>
      <c r="DO26" s="6">
        <v>60</v>
      </c>
      <c r="DP26" s="6">
        <v>90</v>
      </c>
      <c r="DQ26" s="6">
        <v>60</v>
      </c>
      <c r="DR26" s="6">
        <v>90</v>
      </c>
      <c r="DS26" s="6">
        <v>90</v>
      </c>
      <c r="DT26" s="6">
        <v>90</v>
      </c>
      <c r="DU26" s="6">
        <v>90</v>
      </c>
      <c r="DV26" s="6">
        <v>90</v>
      </c>
      <c r="DW26" s="6">
        <v>45</v>
      </c>
      <c r="DX26" s="6">
        <v>45</v>
      </c>
      <c r="DY26" s="6">
        <v>45</v>
      </c>
      <c r="DZ26" s="6">
        <v>45</v>
      </c>
      <c r="EA26" s="6">
        <v>60</v>
      </c>
      <c r="EB26" s="6">
        <v>45</v>
      </c>
      <c r="EC26" s="6">
        <v>45</v>
      </c>
      <c r="ED26" s="6">
        <v>60</v>
      </c>
      <c r="EE26" s="6">
        <v>90</v>
      </c>
      <c r="EF26" s="6">
        <v>90</v>
      </c>
      <c r="EG26" s="6">
        <v>90</v>
      </c>
      <c r="EH26" s="6">
        <v>90</v>
      </c>
      <c r="EI26" s="6">
        <v>45</v>
      </c>
      <c r="EJ26" s="6">
        <v>45</v>
      </c>
      <c r="EK26" s="6">
        <v>45</v>
      </c>
      <c r="EL26" s="6">
        <v>45</v>
      </c>
      <c r="EM26" s="6">
        <v>90</v>
      </c>
      <c r="EN26" s="6">
        <v>90</v>
      </c>
      <c r="EO26" s="6">
        <v>45</v>
      </c>
      <c r="EP26" s="6">
        <v>45</v>
      </c>
      <c r="EQ26" s="6">
        <v>45</v>
      </c>
      <c r="ER26" s="6">
        <v>45</v>
      </c>
      <c r="ES26" s="6">
        <v>60</v>
      </c>
      <c r="ET26" s="6">
        <v>60</v>
      </c>
      <c r="EU26" s="6">
        <v>90</v>
      </c>
      <c r="EV26" s="6">
        <v>90</v>
      </c>
      <c r="EW26" s="6">
        <v>90</v>
      </c>
      <c r="EX26" s="6">
        <v>90</v>
      </c>
      <c r="EY26" s="6">
        <v>90</v>
      </c>
      <c r="EZ26" s="6">
        <v>90</v>
      </c>
      <c r="FA26" s="6">
        <v>90</v>
      </c>
      <c r="FB26" s="6">
        <v>90</v>
      </c>
      <c r="FC26" s="6">
        <v>90</v>
      </c>
      <c r="FD26" s="6">
        <v>90</v>
      </c>
      <c r="FE26" s="6">
        <v>90</v>
      </c>
      <c r="FF26" s="6">
        <v>45</v>
      </c>
      <c r="FG26" s="6">
        <v>45</v>
      </c>
      <c r="FH26" s="13">
        <v>90</v>
      </c>
      <c r="FI26" s="6">
        <v>60</v>
      </c>
      <c r="FJ26" s="6">
        <v>90</v>
      </c>
      <c r="FK26" s="6">
        <v>90</v>
      </c>
      <c r="FL26" s="6">
        <v>240</v>
      </c>
      <c r="FM26" s="6">
        <v>240</v>
      </c>
      <c r="FN26" s="6">
        <v>240</v>
      </c>
      <c r="FO26" s="6">
        <v>240</v>
      </c>
      <c r="FP26" s="6">
        <v>240</v>
      </c>
      <c r="FQ26" s="6">
        <v>240</v>
      </c>
      <c r="FR26" s="6">
        <v>240</v>
      </c>
      <c r="FS26" s="6">
        <v>240</v>
      </c>
      <c r="FT26" s="6">
        <v>240</v>
      </c>
      <c r="FU26" s="6">
        <v>240</v>
      </c>
      <c r="FV26" s="6">
        <v>240</v>
      </c>
      <c r="FW26" s="6">
        <v>240</v>
      </c>
      <c r="FX26" s="6">
        <v>240</v>
      </c>
    </row>
    <row r="27" spans="1:180" x14ac:dyDescent="0.3">
      <c r="A27" s="4" t="s">
        <v>3022</v>
      </c>
      <c r="B27" s="6" cm="1">
        <f t="array" ref="B27:FX27">1*TRANSPOSE(_xlfn._xlws.FILTER(transformer!$J$2:$J$181,transformer!$E$2:$E$181&lt;&gt;0))</f>
        <v>125</v>
      </c>
      <c r="C27" s="6">
        <v>63</v>
      </c>
      <c r="D27" s="6">
        <v>125</v>
      </c>
      <c r="E27" s="6">
        <v>250</v>
      </c>
      <c r="F27" s="6">
        <v>250</v>
      </c>
      <c r="G27" s="6">
        <v>250</v>
      </c>
      <c r="H27" s="6">
        <v>250</v>
      </c>
      <c r="I27" s="6">
        <v>250</v>
      </c>
      <c r="J27" s="6">
        <v>250</v>
      </c>
      <c r="K27" s="6">
        <v>250</v>
      </c>
      <c r="L27" s="6">
        <v>250</v>
      </c>
      <c r="M27" s="6">
        <v>250</v>
      </c>
      <c r="N27" s="6">
        <v>250</v>
      </c>
      <c r="O27" s="6">
        <v>250</v>
      </c>
      <c r="P27" s="6">
        <v>250</v>
      </c>
      <c r="Q27" s="6">
        <v>250</v>
      </c>
      <c r="R27" s="6">
        <v>250</v>
      </c>
      <c r="S27" s="6">
        <v>250</v>
      </c>
      <c r="T27" s="6">
        <v>250</v>
      </c>
      <c r="U27" s="6">
        <v>238</v>
      </c>
      <c r="V27" s="6">
        <v>250</v>
      </c>
      <c r="W27" s="6">
        <v>175</v>
      </c>
      <c r="X27" s="6">
        <v>500</v>
      </c>
      <c r="Y27" s="6">
        <v>500</v>
      </c>
      <c r="Z27" s="6">
        <v>250</v>
      </c>
      <c r="AA27" s="6">
        <v>500</v>
      </c>
      <c r="AB27" s="6">
        <v>500</v>
      </c>
      <c r="AC27" s="6">
        <v>250</v>
      </c>
      <c r="AD27" s="6">
        <v>250</v>
      </c>
      <c r="AE27" s="6">
        <v>250</v>
      </c>
      <c r="AF27" s="6">
        <v>250</v>
      </c>
      <c r="AG27" s="6">
        <v>250</v>
      </c>
      <c r="AH27" s="6">
        <v>125</v>
      </c>
      <c r="AI27" s="6">
        <v>125</v>
      </c>
      <c r="AJ27" s="6">
        <v>125</v>
      </c>
      <c r="AK27" s="6">
        <v>125</v>
      </c>
      <c r="AL27" s="6">
        <v>250</v>
      </c>
      <c r="AM27" s="6">
        <v>250</v>
      </c>
      <c r="AN27" s="6">
        <v>250</v>
      </c>
      <c r="AO27" s="6">
        <v>250</v>
      </c>
      <c r="AP27" s="6">
        <v>250</v>
      </c>
      <c r="AQ27" s="6">
        <v>63</v>
      </c>
      <c r="AR27" s="6">
        <v>63</v>
      </c>
      <c r="AS27" s="6">
        <v>250</v>
      </c>
      <c r="AT27" s="6">
        <v>125</v>
      </c>
      <c r="AU27" s="6">
        <v>250</v>
      </c>
      <c r="AV27" s="6">
        <v>250</v>
      </c>
      <c r="AW27" s="6">
        <v>125</v>
      </c>
      <c r="AX27" s="6">
        <v>125</v>
      </c>
      <c r="AY27" s="6">
        <v>250</v>
      </c>
      <c r="AZ27" s="6">
        <v>250</v>
      </c>
      <c r="BA27" s="6">
        <v>250</v>
      </c>
      <c r="BB27" s="6">
        <v>250</v>
      </c>
      <c r="BC27" s="6">
        <v>250</v>
      </c>
      <c r="BD27" s="6">
        <v>250</v>
      </c>
      <c r="BE27" s="6">
        <v>250</v>
      </c>
      <c r="BF27" s="6">
        <v>125</v>
      </c>
      <c r="BG27" s="6">
        <v>125</v>
      </c>
      <c r="BH27" s="6">
        <v>125</v>
      </c>
      <c r="BI27" s="6">
        <v>250</v>
      </c>
      <c r="BJ27" s="6">
        <v>300</v>
      </c>
      <c r="BK27" s="6">
        <v>600</v>
      </c>
      <c r="BL27" s="6">
        <v>300</v>
      </c>
      <c r="BM27" s="6">
        <v>125</v>
      </c>
      <c r="BN27" s="6">
        <v>238</v>
      </c>
      <c r="BO27" s="6">
        <v>125</v>
      </c>
      <c r="BP27" s="6">
        <v>250</v>
      </c>
      <c r="BQ27" s="6">
        <v>500</v>
      </c>
      <c r="BR27" s="6">
        <v>250</v>
      </c>
      <c r="BS27" s="6">
        <v>500</v>
      </c>
      <c r="BT27" s="6">
        <v>500</v>
      </c>
      <c r="BU27" s="6">
        <v>250</v>
      </c>
      <c r="BV27" s="6">
        <v>250</v>
      </c>
      <c r="BW27" s="6">
        <v>238</v>
      </c>
      <c r="BX27" s="6">
        <v>250</v>
      </c>
      <c r="BY27" s="6">
        <v>125</v>
      </c>
      <c r="BZ27" s="6">
        <v>125</v>
      </c>
      <c r="CA27" s="6">
        <v>250</v>
      </c>
      <c r="CB27" s="6">
        <v>238</v>
      </c>
      <c r="CC27" s="6">
        <v>238</v>
      </c>
      <c r="CD27" s="6">
        <v>500</v>
      </c>
      <c r="CE27" s="6">
        <v>500</v>
      </c>
      <c r="CF27" s="6">
        <v>550</v>
      </c>
      <c r="CG27" s="6">
        <v>582</v>
      </c>
      <c r="CH27" s="6">
        <v>90</v>
      </c>
      <c r="CI27" s="6">
        <v>60</v>
      </c>
      <c r="CJ27" s="6">
        <v>60</v>
      </c>
      <c r="CK27" s="6">
        <v>90</v>
      </c>
      <c r="CL27" s="6">
        <v>90</v>
      </c>
      <c r="CM27" s="6">
        <v>90</v>
      </c>
      <c r="CN27" s="6">
        <v>90</v>
      </c>
      <c r="CO27" s="6">
        <v>90</v>
      </c>
      <c r="CP27" s="6">
        <v>90</v>
      </c>
      <c r="CQ27" s="6">
        <v>90</v>
      </c>
      <c r="CR27" s="6">
        <v>90</v>
      </c>
      <c r="CS27" s="6">
        <v>30</v>
      </c>
      <c r="CT27" s="6">
        <v>30</v>
      </c>
      <c r="CU27" s="6">
        <v>30</v>
      </c>
      <c r="CV27" s="6">
        <v>30</v>
      </c>
      <c r="CW27" s="6">
        <v>90</v>
      </c>
      <c r="CX27" s="6">
        <v>90</v>
      </c>
      <c r="CY27" s="6">
        <v>90</v>
      </c>
      <c r="CZ27" s="6">
        <v>90</v>
      </c>
      <c r="DA27" s="6">
        <v>100</v>
      </c>
      <c r="DB27" s="6">
        <v>90</v>
      </c>
      <c r="DC27" s="6">
        <v>90</v>
      </c>
      <c r="DD27" s="6">
        <v>90</v>
      </c>
      <c r="DE27" s="6">
        <v>90</v>
      </c>
      <c r="DF27" s="6">
        <v>60</v>
      </c>
      <c r="DG27" s="6">
        <v>60</v>
      </c>
      <c r="DH27" s="6">
        <v>90</v>
      </c>
      <c r="DI27" s="6">
        <v>90</v>
      </c>
      <c r="DJ27" s="6">
        <v>60</v>
      </c>
      <c r="DK27" s="6">
        <v>60</v>
      </c>
      <c r="DL27" s="6">
        <v>75</v>
      </c>
      <c r="DM27" s="6">
        <v>75</v>
      </c>
      <c r="DN27" s="6">
        <v>60</v>
      </c>
      <c r="DO27" s="6">
        <v>60</v>
      </c>
      <c r="DP27" s="6">
        <v>90</v>
      </c>
      <c r="DQ27" s="6">
        <v>60</v>
      </c>
      <c r="DR27" s="6">
        <v>90</v>
      </c>
      <c r="DS27" s="6">
        <v>90</v>
      </c>
      <c r="DT27" s="6">
        <v>90</v>
      </c>
      <c r="DU27" s="6">
        <v>90</v>
      </c>
      <c r="DV27" s="6">
        <v>90</v>
      </c>
      <c r="DW27" s="6">
        <v>45</v>
      </c>
      <c r="DX27" s="6">
        <v>45</v>
      </c>
      <c r="DY27" s="6">
        <v>45</v>
      </c>
      <c r="DZ27" s="6">
        <v>45</v>
      </c>
      <c r="EA27" s="6">
        <v>60</v>
      </c>
      <c r="EB27" s="6">
        <v>45</v>
      </c>
      <c r="EC27" s="6">
        <v>45</v>
      </c>
      <c r="ED27" s="6">
        <v>60</v>
      </c>
      <c r="EE27" s="6">
        <v>90</v>
      </c>
      <c r="EF27" s="6">
        <v>90</v>
      </c>
      <c r="EG27" s="6">
        <v>90</v>
      </c>
      <c r="EH27" s="6">
        <v>90</v>
      </c>
      <c r="EI27" s="6">
        <v>45</v>
      </c>
      <c r="EJ27" s="6">
        <v>45</v>
      </c>
      <c r="EK27" s="6">
        <v>45</v>
      </c>
      <c r="EL27" s="6">
        <v>45</v>
      </c>
      <c r="EM27" s="6">
        <v>90</v>
      </c>
      <c r="EN27" s="6">
        <v>90</v>
      </c>
      <c r="EO27" s="6">
        <v>45</v>
      </c>
      <c r="EP27" s="6">
        <v>45</v>
      </c>
      <c r="EQ27" s="6">
        <v>45</v>
      </c>
      <c r="ER27" s="6">
        <v>45</v>
      </c>
      <c r="ES27" s="6">
        <v>60</v>
      </c>
      <c r="ET27" s="6">
        <v>60</v>
      </c>
      <c r="EU27" s="6">
        <v>90</v>
      </c>
      <c r="EV27" s="6">
        <v>90</v>
      </c>
      <c r="EW27" s="6">
        <v>90</v>
      </c>
      <c r="EX27" s="6">
        <v>90</v>
      </c>
      <c r="EY27" s="6">
        <v>90</v>
      </c>
      <c r="EZ27" s="6">
        <v>90</v>
      </c>
      <c r="FA27" s="6">
        <v>90</v>
      </c>
      <c r="FB27" s="6">
        <v>90</v>
      </c>
      <c r="FC27" s="6">
        <v>90</v>
      </c>
      <c r="FD27" s="6">
        <v>90</v>
      </c>
      <c r="FE27" s="6">
        <v>90</v>
      </c>
      <c r="FF27" s="6">
        <v>45</v>
      </c>
      <c r="FG27" s="6">
        <v>45</v>
      </c>
      <c r="FH27" s="13">
        <v>90</v>
      </c>
      <c r="FI27" s="6">
        <v>60</v>
      </c>
      <c r="FJ27" s="6">
        <v>90</v>
      </c>
      <c r="FK27" s="6">
        <v>90</v>
      </c>
      <c r="FL27" s="6">
        <v>240</v>
      </c>
      <c r="FM27" s="6">
        <v>240</v>
      </c>
      <c r="FN27" s="6">
        <v>240</v>
      </c>
      <c r="FO27" s="6">
        <v>240</v>
      </c>
      <c r="FP27" s="6">
        <v>240</v>
      </c>
      <c r="FQ27" s="6">
        <v>240</v>
      </c>
      <c r="FR27" s="6">
        <v>240</v>
      </c>
      <c r="FS27" s="6">
        <v>240</v>
      </c>
      <c r="FT27" s="6">
        <v>240</v>
      </c>
      <c r="FU27" s="6">
        <v>240</v>
      </c>
      <c r="FV27" s="6">
        <v>240</v>
      </c>
      <c r="FW27" s="6">
        <v>240</v>
      </c>
      <c r="FX27" s="6">
        <v>240</v>
      </c>
    </row>
    <row r="28" spans="1:180" x14ac:dyDescent="0.3">
      <c r="A28" s="4" t="s">
        <v>3023</v>
      </c>
      <c r="B28" s="6" cm="1">
        <f t="array" ref="B28:FX28">1*TRANSPOSE(_xlfn._xlws.FILTER(transformer!$J$2:$J$181,transformer!$E$2:$E$181&lt;&gt;0))</f>
        <v>125</v>
      </c>
      <c r="C28" s="6">
        <v>63</v>
      </c>
      <c r="D28" s="6">
        <v>125</v>
      </c>
      <c r="E28" s="6">
        <v>250</v>
      </c>
      <c r="F28" s="6">
        <v>250</v>
      </c>
      <c r="G28" s="6">
        <v>250</v>
      </c>
      <c r="H28" s="6">
        <v>250</v>
      </c>
      <c r="I28" s="6">
        <v>250</v>
      </c>
      <c r="J28" s="6">
        <v>250</v>
      </c>
      <c r="K28" s="6">
        <v>250</v>
      </c>
      <c r="L28" s="6">
        <v>250</v>
      </c>
      <c r="M28" s="6">
        <v>250</v>
      </c>
      <c r="N28" s="6">
        <v>250</v>
      </c>
      <c r="O28" s="6">
        <v>250</v>
      </c>
      <c r="P28" s="6">
        <v>250</v>
      </c>
      <c r="Q28" s="6">
        <v>250</v>
      </c>
      <c r="R28" s="6">
        <v>250</v>
      </c>
      <c r="S28" s="6">
        <v>250</v>
      </c>
      <c r="T28" s="6">
        <v>250</v>
      </c>
      <c r="U28" s="6">
        <v>238</v>
      </c>
      <c r="V28" s="6">
        <v>250</v>
      </c>
      <c r="W28" s="6">
        <v>175</v>
      </c>
      <c r="X28" s="6">
        <v>500</v>
      </c>
      <c r="Y28" s="6">
        <v>500</v>
      </c>
      <c r="Z28" s="6">
        <v>250</v>
      </c>
      <c r="AA28" s="6">
        <v>500</v>
      </c>
      <c r="AB28" s="6">
        <v>500</v>
      </c>
      <c r="AC28" s="6">
        <v>250</v>
      </c>
      <c r="AD28" s="6">
        <v>250</v>
      </c>
      <c r="AE28" s="6">
        <v>250</v>
      </c>
      <c r="AF28" s="6">
        <v>250</v>
      </c>
      <c r="AG28" s="6">
        <v>250</v>
      </c>
      <c r="AH28" s="6">
        <v>125</v>
      </c>
      <c r="AI28" s="6">
        <v>125</v>
      </c>
      <c r="AJ28" s="6">
        <v>125</v>
      </c>
      <c r="AK28" s="6">
        <v>125</v>
      </c>
      <c r="AL28" s="6">
        <v>250</v>
      </c>
      <c r="AM28" s="6">
        <v>250</v>
      </c>
      <c r="AN28" s="6">
        <v>250</v>
      </c>
      <c r="AO28" s="6">
        <v>250</v>
      </c>
      <c r="AP28" s="6">
        <v>250</v>
      </c>
      <c r="AQ28" s="6">
        <v>63</v>
      </c>
      <c r="AR28" s="6">
        <v>63</v>
      </c>
      <c r="AS28" s="6">
        <v>250</v>
      </c>
      <c r="AT28" s="6">
        <v>125</v>
      </c>
      <c r="AU28" s="6">
        <v>250</v>
      </c>
      <c r="AV28" s="6">
        <v>250</v>
      </c>
      <c r="AW28" s="6">
        <v>125</v>
      </c>
      <c r="AX28" s="6">
        <v>125</v>
      </c>
      <c r="AY28" s="6">
        <v>250</v>
      </c>
      <c r="AZ28" s="6">
        <v>250</v>
      </c>
      <c r="BA28" s="6">
        <v>250</v>
      </c>
      <c r="BB28" s="6">
        <v>250</v>
      </c>
      <c r="BC28" s="6">
        <v>250</v>
      </c>
      <c r="BD28" s="6">
        <v>250</v>
      </c>
      <c r="BE28" s="6">
        <v>250</v>
      </c>
      <c r="BF28" s="6">
        <v>125</v>
      </c>
      <c r="BG28" s="6">
        <v>125</v>
      </c>
      <c r="BH28" s="6">
        <v>125</v>
      </c>
      <c r="BI28" s="6">
        <v>250</v>
      </c>
      <c r="BJ28" s="6">
        <v>300</v>
      </c>
      <c r="BK28" s="6">
        <v>600</v>
      </c>
      <c r="BL28" s="6">
        <v>300</v>
      </c>
      <c r="BM28" s="6">
        <v>125</v>
      </c>
      <c r="BN28" s="6">
        <v>238</v>
      </c>
      <c r="BO28" s="6">
        <v>125</v>
      </c>
      <c r="BP28" s="6">
        <v>250</v>
      </c>
      <c r="BQ28" s="6">
        <v>500</v>
      </c>
      <c r="BR28" s="6">
        <v>250</v>
      </c>
      <c r="BS28" s="6">
        <v>500</v>
      </c>
      <c r="BT28" s="6">
        <v>500</v>
      </c>
      <c r="BU28" s="6">
        <v>250</v>
      </c>
      <c r="BV28" s="6">
        <v>250</v>
      </c>
      <c r="BW28" s="6">
        <v>238</v>
      </c>
      <c r="BX28" s="6">
        <v>250</v>
      </c>
      <c r="BY28" s="6">
        <v>125</v>
      </c>
      <c r="BZ28" s="6">
        <v>125</v>
      </c>
      <c r="CA28" s="6">
        <v>250</v>
      </c>
      <c r="CB28" s="6">
        <v>238</v>
      </c>
      <c r="CC28" s="6">
        <v>238</v>
      </c>
      <c r="CD28" s="6">
        <v>500</v>
      </c>
      <c r="CE28" s="6">
        <v>500</v>
      </c>
      <c r="CF28" s="6">
        <v>550</v>
      </c>
      <c r="CG28" s="6">
        <v>582</v>
      </c>
      <c r="CH28" s="6">
        <v>90</v>
      </c>
      <c r="CI28" s="6">
        <v>60</v>
      </c>
      <c r="CJ28" s="6">
        <v>60</v>
      </c>
      <c r="CK28" s="6">
        <v>90</v>
      </c>
      <c r="CL28" s="6">
        <v>90</v>
      </c>
      <c r="CM28" s="6">
        <v>90</v>
      </c>
      <c r="CN28" s="6">
        <v>90</v>
      </c>
      <c r="CO28" s="6">
        <v>90</v>
      </c>
      <c r="CP28" s="6">
        <v>90</v>
      </c>
      <c r="CQ28" s="6">
        <v>90</v>
      </c>
      <c r="CR28" s="6">
        <v>90</v>
      </c>
      <c r="CS28" s="6">
        <v>30</v>
      </c>
      <c r="CT28" s="6">
        <v>30</v>
      </c>
      <c r="CU28" s="6">
        <v>30</v>
      </c>
      <c r="CV28" s="6">
        <v>30</v>
      </c>
      <c r="CW28" s="6">
        <v>90</v>
      </c>
      <c r="CX28" s="6">
        <v>90</v>
      </c>
      <c r="CY28" s="6">
        <v>90</v>
      </c>
      <c r="CZ28" s="6">
        <v>90</v>
      </c>
      <c r="DA28" s="6">
        <v>100</v>
      </c>
      <c r="DB28" s="6">
        <v>90</v>
      </c>
      <c r="DC28" s="6">
        <v>90</v>
      </c>
      <c r="DD28" s="6">
        <v>90</v>
      </c>
      <c r="DE28" s="6">
        <v>90</v>
      </c>
      <c r="DF28" s="6">
        <v>60</v>
      </c>
      <c r="DG28" s="6">
        <v>60</v>
      </c>
      <c r="DH28" s="6">
        <v>90</v>
      </c>
      <c r="DI28" s="6">
        <v>90</v>
      </c>
      <c r="DJ28" s="6">
        <v>60</v>
      </c>
      <c r="DK28" s="6">
        <v>60</v>
      </c>
      <c r="DL28" s="6">
        <v>75</v>
      </c>
      <c r="DM28" s="6">
        <v>75</v>
      </c>
      <c r="DN28" s="6">
        <v>60</v>
      </c>
      <c r="DO28" s="6">
        <v>60</v>
      </c>
      <c r="DP28" s="6">
        <v>90</v>
      </c>
      <c r="DQ28" s="6">
        <v>60</v>
      </c>
      <c r="DR28" s="6">
        <v>90</v>
      </c>
      <c r="DS28" s="6">
        <v>90</v>
      </c>
      <c r="DT28" s="6">
        <v>90</v>
      </c>
      <c r="DU28" s="6">
        <v>90</v>
      </c>
      <c r="DV28" s="6">
        <v>90</v>
      </c>
      <c r="DW28" s="6">
        <v>45</v>
      </c>
      <c r="DX28" s="6">
        <v>45</v>
      </c>
      <c r="DY28" s="6">
        <v>45</v>
      </c>
      <c r="DZ28" s="6">
        <v>45</v>
      </c>
      <c r="EA28" s="6">
        <v>60</v>
      </c>
      <c r="EB28" s="6">
        <v>45</v>
      </c>
      <c r="EC28" s="6">
        <v>45</v>
      </c>
      <c r="ED28" s="6">
        <v>60</v>
      </c>
      <c r="EE28" s="6">
        <v>90</v>
      </c>
      <c r="EF28" s="6">
        <v>90</v>
      </c>
      <c r="EG28" s="6">
        <v>90</v>
      </c>
      <c r="EH28" s="6">
        <v>90</v>
      </c>
      <c r="EI28" s="6">
        <v>45</v>
      </c>
      <c r="EJ28" s="6">
        <v>45</v>
      </c>
      <c r="EK28" s="6">
        <v>45</v>
      </c>
      <c r="EL28" s="6">
        <v>45</v>
      </c>
      <c r="EM28" s="6">
        <v>90</v>
      </c>
      <c r="EN28" s="6">
        <v>90</v>
      </c>
      <c r="EO28" s="6">
        <v>45</v>
      </c>
      <c r="EP28" s="6">
        <v>45</v>
      </c>
      <c r="EQ28" s="6">
        <v>45</v>
      </c>
      <c r="ER28" s="6">
        <v>45</v>
      </c>
      <c r="ES28" s="6">
        <v>60</v>
      </c>
      <c r="ET28" s="6">
        <v>60</v>
      </c>
      <c r="EU28" s="6">
        <v>90</v>
      </c>
      <c r="EV28" s="6">
        <v>90</v>
      </c>
      <c r="EW28" s="6">
        <v>90</v>
      </c>
      <c r="EX28" s="6">
        <v>90</v>
      </c>
      <c r="EY28" s="6">
        <v>90</v>
      </c>
      <c r="EZ28" s="6">
        <v>90</v>
      </c>
      <c r="FA28" s="6">
        <v>90</v>
      </c>
      <c r="FB28" s="6">
        <v>90</v>
      </c>
      <c r="FC28" s="6">
        <v>90</v>
      </c>
      <c r="FD28" s="6">
        <v>90</v>
      </c>
      <c r="FE28" s="6">
        <v>90</v>
      </c>
      <c r="FF28" s="6">
        <v>45</v>
      </c>
      <c r="FG28" s="6">
        <v>45</v>
      </c>
      <c r="FH28" s="13">
        <v>90</v>
      </c>
      <c r="FI28" s="6">
        <v>60</v>
      </c>
      <c r="FJ28" s="6">
        <v>90</v>
      </c>
      <c r="FK28" s="6">
        <v>90</v>
      </c>
      <c r="FL28" s="6">
        <v>240</v>
      </c>
      <c r="FM28" s="6">
        <v>240</v>
      </c>
      <c r="FN28" s="6">
        <v>240</v>
      </c>
      <c r="FO28" s="6">
        <v>240</v>
      </c>
      <c r="FP28" s="6">
        <v>240</v>
      </c>
      <c r="FQ28" s="6">
        <v>240</v>
      </c>
      <c r="FR28" s="6">
        <v>240</v>
      </c>
      <c r="FS28" s="6">
        <v>240</v>
      </c>
      <c r="FT28" s="6">
        <v>240</v>
      </c>
      <c r="FU28" s="6">
        <v>240</v>
      </c>
      <c r="FV28" s="6">
        <v>240</v>
      </c>
      <c r="FW28" s="6">
        <v>240</v>
      </c>
      <c r="FX28" s="6">
        <v>240</v>
      </c>
    </row>
    <row r="29" spans="1:180" x14ac:dyDescent="0.3">
      <c r="A29" s="4" t="s">
        <v>3024</v>
      </c>
      <c r="B29" s="6" cm="1">
        <f t="array" ref="B29:FX29">1*TRANSPOSE(_xlfn._xlws.FILTER(transformer!$J$2:$J$181,transformer!$E$2:$E$181&lt;&gt;0))</f>
        <v>125</v>
      </c>
      <c r="C29" s="6">
        <v>63</v>
      </c>
      <c r="D29" s="6">
        <v>125</v>
      </c>
      <c r="E29" s="6">
        <v>250</v>
      </c>
      <c r="F29" s="6">
        <v>250</v>
      </c>
      <c r="G29" s="6">
        <v>250</v>
      </c>
      <c r="H29" s="6">
        <v>250</v>
      </c>
      <c r="I29" s="6">
        <v>250</v>
      </c>
      <c r="J29" s="6">
        <v>250</v>
      </c>
      <c r="K29" s="6">
        <v>250</v>
      </c>
      <c r="L29" s="6">
        <v>250</v>
      </c>
      <c r="M29" s="6">
        <v>250</v>
      </c>
      <c r="N29" s="6">
        <v>250</v>
      </c>
      <c r="O29" s="6">
        <v>250</v>
      </c>
      <c r="P29" s="6">
        <v>250</v>
      </c>
      <c r="Q29" s="6">
        <v>250</v>
      </c>
      <c r="R29" s="6">
        <v>250</v>
      </c>
      <c r="S29" s="6">
        <v>250</v>
      </c>
      <c r="T29" s="6">
        <v>250</v>
      </c>
      <c r="U29" s="6">
        <v>238</v>
      </c>
      <c r="V29" s="6">
        <v>250</v>
      </c>
      <c r="W29" s="6">
        <v>175</v>
      </c>
      <c r="X29" s="6">
        <v>500</v>
      </c>
      <c r="Y29" s="6">
        <v>500</v>
      </c>
      <c r="Z29" s="6">
        <v>250</v>
      </c>
      <c r="AA29" s="6">
        <v>500</v>
      </c>
      <c r="AB29" s="6">
        <v>500</v>
      </c>
      <c r="AC29" s="6">
        <v>250</v>
      </c>
      <c r="AD29" s="6">
        <v>250</v>
      </c>
      <c r="AE29" s="6">
        <v>250</v>
      </c>
      <c r="AF29" s="6">
        <v>250</v>
      </c>
      <c r="AG29" s="6">
        <v>250</v>
      </c>
      <c r="AH29" s="6">
        <v>125</v>
      </c>
      <c r="AI29" s="6">
        <v>125</v>
      </c>
      <c r="AJ29" s="6">
        <v>125</v>
      </c>
      <c r="AK29" s="6">
        <v>125</v>
      </c>
      <c r="AL29" s="6">
        <v>250</v>
      </c>
      <c r="AM29" s="6">
        <v>250</v>
      </c>
      <c r="AN29" s="6">
        <v>250</v>
      </c>
      <c r="AO29" s="6">
        <v>250</v>
      </c>
      <c r="AP29" s="6">
        <v>250</v>
      </c>
      <c r="AQ29" s="6">
        <v>63</v>
      </c>
      <c r="AR29" s="6">
        <v>63</v>
      </c>
      <c r="AS29" s="6">
        <v>250</v>
      </c>
      <c r="AT29" s="6">
        <v>125</v>
      </c>
      <c r="AU29" s="6">
        <v>250</v>
      </c>
      <c r="AV29" s="6">
        <v>250</v>
      </c>
      <c r="AW29" s="6">
        <v>125</v>
      </c>
      <c r="AX29" s="6">
        <v>125</v>
      </c>
      <c r="AY29" s="6">
        <v>250</v>
      </c>
      <c r="AZ29" s="6">
        <v>250</v>
      </c>
      <c r="BA29" s="6">
        <v>250</v>
      </c>
      <c r="BB29" s="6">
        <v>250</v>
      </c>
      <c r="BC29" s="6">
        <v>250</v>
      </c>
      <c r="BD29" s="6">
        <v>250</v>
      </c>
      <c r="BE29" s="6">
        <v>250</v>
      </c>
      <c r="BF29" s="6">
        <v>125</v>
      </c>
      <c r="BG29" s="6">
        <v>125</v>
      </c>
      <c r="BH29" s="6">
        <v>125</v>
      </c>
      <c r="BI29" s="6">
        <v>250</v>
      </c>
      <c r="BJ29" s="6">
        <v>300</v>
      </c>
      <c r="BK29" s="6">
        <v>600</v>
      </c>
      <c r="BL29" s="6">
        <v>300</v>
      </c>
      <c r="BM29" s="6">
        <v>125</v>
      </c>
      <c r="BN29" s="6">
        <v>238</v>
      </c>
      <c r="BO29" s="6">
        <v>125</v>
      </c>
      <c r="BP29" s="6">
        <v>250</v>
      </c>
      <c r="BQ29" s="6">
        <v>500</v>
      </c>
      <c r="BR29" s="6">
        <v>250</v>
      </c>
      <c r="BS29" s="6">
        <v>500</v>
      </c>
      <c r="BT29" s="6">
        <v>500</v>
      </c>
      <c r="BU29" s="6">
        <v>250</v>
      </c>
      <c r="BV29" s="6">
        <v>250</v>
      </c>
      <c r="BW29" s="6">
        <v>238</v>
      </c>
      <c r="BX29" s="6">
        <v>250</v>
      </c>
      <c r="BY29" s="6">
        <v>125</v>
      </c>
      <c r="BZ29" s="6">
        <v>125</v>
      </c>
      <c r="CA29" s="6">
        <v>250</v>
      </c>
      <c r="CB29" s="6">
        <v>238</v>
      </c>
      <c r="CC29" s="6">
        <v>238</v>
      </c>
      <c r="CD29" s="6">
        <v>500</v>
      </c>
      <c r="CE29" s="6">
        <v>500</v>
      </c>
      <c r="CF29" s="6">
        <v>550</v>
      </c>
      <c r="CG29" s="6">
        <v>582</v>
      </c>
      <c r="CH29" s="6">
        <v>90</v>
      </c>
      <c r="CI29" s="6">
        <v>60</v>
      </c>
      <c r="CJ29" s="6">
        <v>60</v>
      </c>
      <c r="CK29" s="6">
        <v>90</v>
      </c>
      <c r="CL29" s="6">
        <v>90</v>
      </c>
      <c r="CM29" s="6">
        <v>90</v>
      </c>
      <c r="CN29" s="6">
        <v>90</v>
      </c>
      <c r="CO29" s="6">
        <v>90</v>
      </c>
      <c r="CP29" s="6">
        <v>90</v>
      </c>
      <c r="CQ29" s="6">
        <v>90</v>
      </c>
      <c r="CR29" s="6">
        <v>90</v>
      </c>
      <c r="CS29" s="6">
        <v>30</v>
      </c>
      <c r="CT29" s="6">
        <v>30</v>
      </c>
      <c r="CU29" s="6">
        <v>30</v>
      </c>
      <c r="CV29" s="6">
        <v>30</v>
      </c>
      <c r="CW29" s="6">
        <v>90</v>
      </c>
      <c r="CX29" s="6">
        <v>90</v>
      </c>
      <c r="CY29" s="6">
        <v>90</v>
      </c>
      <c r="CZ29" s="6">
        <v>90</v>
      </c>
      <c r="DA29" s="6">
        <v>100</v>
      </c>
      <c r="DB29" s="6">
        <v>90</v>
      </c>
      <c r="DC29" s="6">
        <v>90</v>
      </c>
      <c r="DD29" s="6">
        <v>90</v>
      </c>
      <c r="DE29" s="6">
        <v>90</v>
      </c>
      <c r="DF29" s="6">
        <v>60</v>
      </c>
      <c r="DG29" s="6">
        <v>60</v>
      </c>
      <c r="DH29" s="6">
        <v>90</v>
      </c>
      <c r="DI29" s="6">
        <v>90</v>
      </c>
      <c r="DJ29" s="6">
        <v>60</v>
      </c>
      <c r="DK29" s="6">
        <v>60</v>
      </c>
      <c r="DL29" s="6">
        <v>75</v>
      </c>
      <c r="DM29" s="6">
        <v>75</v>
      </c>
      <c r="DN29" s="6">
        <v>60</v>
      </c>
      <c r="DO29" s="6">
        <v>60</v>
      </c>
      <c r="DP29" s="6">
        <v>90</v>
      </c>
      <c r="DQ29" s="6">
        <v>60</v>
      </c>
      <c r="DR29" s="6">
        <v>90</v>
      </c>
      <c r="DS29" s="6">
        <v>90</v>
      </c>
      <c r="DT29" s="6">
        <v>90</v>
      </c>
      <c r="DU29" s="6">
        <v>90</v>
      </c>
      <c r="DV29" s="6">
        <v>90</v>
      </c>
      <c r="DW29" s="6">
        <v>45</v>
      </c>
      <c r="DX29" s="6">
        <v>45</v>
      </c>
      <c r="DY29" s="6">
        <v>45</v>
      </c>
      <c r="DZ29" s="6">
        <v>45</v>
      </c>
      <c r="EA29" s="6">
        <v>60</v>
      </c>
      <c r="EB29" s="6">
        <v>45</v>
      </c>
      <c r="EC29" s="6">
        <v>45</v>
      </c>
      <c r="ED29" s="6">
        <v>60</v>
      </c>
      <c r="EE29" s="6">
        <v>90</v>
      </c>
      <c r="EF29" s="6">
        <v>90</v>
      </c>
      <c r="EG29" s="6">
        <v>90</v>
      </c>
      <c r="EH29" s="6">
        <v>90</v>
      </c>
      <c r="EI29" s="6">
        <v>45</v>
      </c>
      <c r="EJ29" s="6">
        <v>45</v>
      </c>
      <c r="EK29" s="6">
        <v>45</v>
      </c>
      <c r="EL29" s="6">
        <v>45</v>
      </c>
      <c r="EM29" s="6">
        <v>90</v>
      </c>
      <c r="EN29" s="6">
        <v>90</v>
      </c>
      <c r="EO29" s="6">
        <v>45</v>
      </c>
      <c r="EP29" s="6">
        <v>45</v>
      </c>
      <c r="EQ29" s="6">
        <v>45</v>
      </c>
      <c r="ER29" s="6">
        <v>45</v>
      </c>
      <c r="ES29" s="6">
        <v>60</v>
      </c>
      <c r="ET29" s="6">
        <v>60</v>
      </c>
      <c r="EU29" s="6">
        <v>90</v>
      </c>
      <c r="EV29" s="6">
        <v>90</v>
      </c>
      <c r="EW29" s="6">
        <v>90</v>
      </c>
      <c r="EX29" s="6">
        <v>90</v>
      </c>
      <c r="EY29" s="6">
        <v>90</v>
      </c>
      <c r="EZ29" s="6">
        <v>90</v>
      </c>
      <c r="FA29" s="6">
        <v>90</v>
      </c>
      <c r="FB29" s="6">
        <v>90</v>
      </c>
      <c r="FC29" s="6">
        <v>90</v>
      </c>
      <c r="FD29" s="6">
        <v>90</v>
      </c>
      <c r="FE29" s="6">
        <v>90</v>
      </c>
      <c r="FF29" s="6">
        <v>45</v>
      </c>
      <c r="FG29" s="6">
        <v>45</v>
      </c>
      <c r="FH29" s="13">
        <v>90</v>
      </c>
      <c r="FI29" s="6">
        <v>60</v>
      </c>
      <c r="FJ29" s="6">
        <v>90</v>
      </c>
      <c r="FK29" s="6">
        <v>90</v>
      </c>
      <c r="FL29" s="6">
        <v>240</v>
      </c>
      <c r="FM29" s="6">
        <v>240</v>
      </c>
      <c r="FN29" s="6">
        <v>240</v>
      </c>
      <c r="FO29" s="6">
        <v>240</v>
      </c>
      <c r="FP29" s="6">
        <v>240</v>
      </c>
      <c r="FQ29" s="6">
        <v>240</v>
      </c>
      <c r="FR29" s="6">
        <v>240</v>
      </c>
      <c r="FS29" s="6">
        <v>240</v>
      </c>
      <c r="FT29" s="6">
        <v>240</v>
      </c>
      <c r="FU29" s="6">
        <v>240</v>
      </c>
      <c r="FV29" s="6">
        <v>240</v>
      </c>
      <c r="FW29" s="6">
        <v>240</v>
      </c>
      <c r="FX29" s="6">
        <v>240</v>
      </c>
    </row>
    <row r="30" spans="1:180" x14ac:dyDescent="0.3">
      <c r="A30" s="4" t="s">
        <v>3025</v>
      </c>
      <c r="B30" s="6" cm="1">
        <f t="array" ref="B30:FX30">1*TRANSPOSE(_xlfn._xlws.FILTER(transformer!$J$2:$J$181,transformer!$E$2:$E$181&lt;&gt;0))</f>
        <v>125</v>
      </c>
      <c r="C30" s="6">
        <v>63</v>
      </c>
      <c r="D30" s="6">
        <v>125</v>
      </c>
      <c r="E30" s="6">
        <v>250</v>
      </c>
      <c r="F30" s="6">
        <v>250</v>
      </c>
      <c r="G30" s="6">
        <v>250</v>
      </c>
      <c r="H30" s="6">
        <v>250</v>
      </c>
      <c r="I30" s="6">
        <v>250</v>
      </c>
      <c r="J30" s="6">
        <v>250</v>
      </c>
      <c r="K30" s="6">
        <v>250</v>
      </c>
      <c r="L30" s="6">
        <v>250</v>
      </c>
      <c r="M30" s="6">
        <v>250</v>
      </c>
      <c r="N30" s="6">
        <v>250</v>
      </c>
      <c r="O30" s="6">
        <v>250</v>
      </c>
      <c r="P30" s="6">
        <v>250</v>
      </c>
      <c r="Q30" s="6">
        <v>250</v>
      </c>
      <c r="R30" s="6">
        <v>250</v>
      </c>
      <c r="S30" s="6">
        <v>250</v>
      </c>
      <c r="T30" s="6">
        <v>250</v>
      </c>
      <c r="U30" s="6">
        <v>238</v>
      </c>
      <c r="V30" s="6">
        <v>250</v>
      </c>
      <c r="W30" s="6">
        <v>175</v>
      </c>
      <c r="X30" s="6">
        <v>500</v>
      </c>
      <c r="Y30" s="6">
        <v>500</v>
      </c>
      <c r="Z30" s="6">
        <v>250</v>
      </c>
      <c r="AA30" s="6">
        <v>500</v>
      </c>
      <c r="AB30" s="6">
        <v>500</v>
      </c>
      <c r="AC30" s="6">
        <v>250</v>
      </c>
      <c r="AD30" s="6">
        <v>250</v>
      </c>
      <c r="AE30" s="6">
        <v>250</v>
      </c>
      <c r="AF30" s="6">
        <v>250</v>
      </c>
      <c r="AG30" s="6">
        <v>250</v>
      </c>
      <c r="AH30" s="6">
        <v>125</v>
      </c>
      <c r="AI30" s="6">
        <v>125</v>
      </c>
      <c r="AJ30" s="6">
        <v>125</v>
      </c>
      <c r="AK30" s="6">
        <v>125</v>
      </c>
      <c r="AL30" s="6">
        <v>250</v>
      </c>
      <c r="AM30" s="6">
        <v>250</v>
      </c>
      <c r="AN30" s="6">
        <v>250</v>
      </c>
      <c r="AO30" s="6">
        <v>250</v>
      </c>
      <c r="AP30" s="6">
        <v>250</v>
      </c>
      <c r="AQ30" s="6">
        <v>63</v>
      </c>
      <c r="AR30" s="6">
        <v>63</v>
      </c>
      <c r="AS30" s="6">
        <v>250</v>
      </c>
      <c r="AT30" s="6">
        <v>125</v>
      </c>
      <c r="AU30" s="6">
        <v>250</v>
      </c>
      <c r="AV30" s="6">
        <v>250</v>
      </c>
      <c r="AW30" s="6">
        <v>125</v>
      </c>
      <c r="AX30" s="6">
        <v>125</v>
      </c>
      <c r="AY30" s="6">
        <v>250</v>
      </c>
      <c r="AZ30" s="6">
        <v>250</v>
      </c>
      <c r="BA30" s="6">
        <v>250</v>
      </c>
      <c r="BB30" s="6">
        <v>250</v>
      </c>
      <c r="BC30" s="6">
        <v>250</v>
      </c>
      <c r="BD30" s="6">
        <v>250</v>
      </c>
      <c r="BE30" s="6">
        <v>250</v>
      </c>
      <c r="BF30" s="6">
        <v>125</v>
      </c>
      <c r="BG30" s="6">
        <v>125</v>
      </c>
      <c r="BH30" s="6">
        <v>125</v>
      </c>
      <c r="BI30" s="6">
        <v>250</v>
      </c>
      <c r="BJ30" s="6">
        <v>300</v>
      </c>
      <c r="BK30" s="6">
        <v>600</v>
      </c>
      <c r="BL30" s="6">
        <v>300</v>
      </c>
      <c r="BM30" s="6">
        <v>125</v>
      </c>
      <c r="BN30" s="6">
        <v>238</v>
      </c>
      <c r="BO30" s="6">
        <v>125</v>
      </c>
      <c r="BP30" s="6">
        <v>250</v>
      </c>
      <c r="BQ30" s="6">
        <v>500</v>
      </c>
      <c r="BR30" s="6">
        <v>250</v>
      </c>
      <c r="BS30" s="6">
        <v>500</v>
      </c>
      <c r="BT30" s="6">
        <v>500</v>
      </c>
      <c r="BU30" s="6">
        <v>250</v>
      </c>
      <c r="BV30" s="6">
        <v>250</v>
      </c>
      <c r="BW30" s="6">
        <v>238</v>
      </c>
      <c r="BX30" s="6">
        <v>250</v>
      </c>
      <c r="BY30" s="6">
        <v>125</v>
      </c>
      <c r="BZ30" s="6">
        <v>125</v>
      </c>
      <c r="CA30" s="6">
        <v>250</v>
      </c>
      <c r="CB30" s="6">
        <v>238</v>
      </c>
      <c r="CC30" s="6">
        <v>238</v>
      </c>
      <c r="CD30" s="6">
        <v>500</v>
      </c>
      <c r="CE30" s="6">
        <v>500</v>
      </c>
      <c r="CF30" s="6">
        <v>550</v>
      </c>
      <c r="CG30" s="6">
        <v>582</v>
      </c>
      <c r="CH30" s="6">
        <v>90</v>
      </c>
      <c r="CI30" s="6">
        <v>60</v>
      </c>
      <c r="CJ30" s="6">
        <v>60</v>
      </c>
      <c r="CK30" s="6">
        <v>90</v>
      </c>
      <c r="CL30" s="6">
        <v>90</v>
      </c>
      <c r="CM30" s="6">
        <v>90</v>
      </c>
      <c r="CN30" s="6">
        <v>90</v>
      </c>
      <c r="CO30" s="6">
        <v>90</v>
      </c>
      <c r="CP30" s="6">
        <v>90</v>
      </c>
      <c r="CQ30" s="6">
        <v>90</v>
      </c>
      <c r="CR30" s="6">
        <v>90</v>
      </c>
      <c r="CS30" s="6">
        <v>30</v>
      </c>
      <c r="CT30" s="6">
        <v>30</v>
      </c>
      <c r="CU30" s="6">
        <v>30</v>
      </c>
      <c r="CV30" s="6">
        <v>30</v>
      </c>
      <c r="CW30" s="6">
        <v>90</v>
      </c>
      <c r="CX30" s="6">
        <v>90</v>
      </c>
      <c r="CY30" s="6">
        <v>90</v>
      </c>
      <c r="CZ30" s="6">
        <v>90</v>
      </c>
      <c r="DA30" s="6">
        <v>100</v>
      </c>
      <c r="DB30" s="6">
        <v>90</v>
      </c>
      <c r="DC30" s="6">
        <v>90</v>
      </c>
      <c r="DD30" s="6">
        <v>90</v>
      </c>
      <c r="DE30" s="6">
        <v>90</v>
      </c>
      <c r="DF30" s="6">
        <v>60</v>
      </c>
      <c r="DG30" s="6">
        <v>60</v>
      </c>
      <c r="DH30" s="6">
        <v>90</v>
      </c>
      <c r="DI30" s="6">
        <v>90</v>
      </c>
      <c r="DJ30" s="6">
        <v>60</v>
      </c>
      <c r="DK30" s="6">
        <v>60</v>
      </c>
      <c r="DL30" s="6">
        <v>75</v>
      </c>
      <c r="DM30" s="6">
        <v>75</v>
      </c>
      <c r="DN30" s="6">
        <v>60</v>
      </c>
      <c r="DO30" s="6">
        <v>60</v>
      </c>
      <c r="DP30" s="6">
        <v>90</v>
      </c>
      <c r="DQ30" s="6">
        <v>60</v>
      </c>
      <c r="DR30" s="6">
        <v>90</v>
      </c>
      <c r="DS30" s="6">
        <v>90</v>
      </c>
      <c r="DT30" s="6">
        <v>90</v>
      </c>
      <c r="DU30" s="6">
        <v>90</v>
      </c>
      <c r="DV30" s="6">
        <v>90</v>
      </c>
      <c r="DW30" s="6">
        <v>45</v>
      </c>
      <c r="DX30" s="6">
        <v>45</v>
      </c>
      <c r="DY30" s="6">
        <v>45</v>
      </c>
      <c r="DZ30" s="6">
        <v>45</v>
      </c>
      <c r="EA30" s="6">
        <v>60</v>
      </c>
      <c r="EB30" s="6">
        <v>45</v>
      </c>
      <c r="EC30" s="6">
        <v>45</v>
      </c>
      <c r="ED30" s="6">
        <v>60</v>
      </c>
      <c r="EE30" s="6">
        <v>90</v>
      </c>
      <c r="EF30" s="6">
        <v>90</v>
      </c>
      <c r="EG30" s="6">
        <v>90</v>
      </c>
      <c r="EH30" s="6">
        <v>90</v>
      </c>
      <c r="EI30" s="6">
        <v>45</v>
      </c>
      <c r="EJ30" s="6">
        <v>45</v>
      </c>
      <c r="EK30" s="6">
        <v>45</v>
      </c>
      <c r="EL30" s="6">
        <v>45</v>
      </c>
      <c r="EM30" s="6">
        <v>90</v>
      </c>
      <c r="EN30" s="6">
        <v>90</v>
      </c>
      <c r="EO30" s="6">
        <v>45</v>
      </c>
      <c r="EP30" s="6">
        <v>45</v>
      </c>
      <c r="EQ30" s="6">
        <v>45</v>
      </c>
      <c r="ER30" s="6">
        <v>45</v>
      </c>
      <c r="ES30" s="6">
        <v>60</v>
      </c>
      <c r="ET30" s="6">
        <v>60</v>
      </c>
      <c r="EU30" s="6">
        <v>90</v>
      </c>
      <c r="EV30" s="6">
        <v>90</v>
      </c>
      <c r="EW30" s="6">
        <v>90</v>
      </c>
      <c r="EX30" s="6">
        <v>90</v>
      </c>
      <c r="EY30" s="6">
        <v>90</v>
      </c>
      <c r="EZ30" s="6">
        <v>90</v>
      </c>
      <c r="FA30" s="6">
        <v>90</v>
      </c>
      <c r="FB30" s="6">
        <v>90</v>
      </c>
      <c r="FC30" s="6">
        <v>90</v>
      </c>
      <c r="FD30" s="6">
        <v>90</v>
      </c>
      <c r="FE30" s="6">
        <v>90</v>
      </c>
      <c r="FF30" s="6">
        <v>45</v>
      </c>
      <c r="FG30" s="6">
        <v>45</v>
      </c>
      <c r="FH30" s="13">
        <v>90</v>
      </c>
      <c r="FI30" s="6">
        <v>60</v>
      </c>
      <c r="FJ30" s="6">
        <v>90</v>
      </c>
      <c r="FK30" s="6">
        <v>90</v>
      </c>
      <c r="FL30" s="6">
        <v>240</v>
      </c>
      <c r="FM30" s="6">
        <v>240</v>
      </c>
      <c r="FN30" s="6">
        <v>240</v>
      </c>
      <c r="FO30" s="6">
        <v>240</v>
      </c>
      <c r="FP30" s="6">
        <v>240</v>
      </c>
      <c r="FQ30" s="6">
        <v>240</v>
      </c>
      <c r="FR30" s="6">
        <v>240</v>
      </c>
      <c r="FS30" s="6">
        <v>240</v>
      </c>
      <c r="FT30" s="6">
        <v>240</v>
      </c>
      <c r="FU30" s="6">
        <v>240</v>
      </c>
      <c r="FV30" s="6">
        <v>240</v>
      </c>
      <c r="FW30" s="6">
        <v>240</v>
      </c>
      <c r="FX30" s="6">
        <v>240</v>
      </c>
    </row>
    <row r="31" spans="1:180" x14ac:dyDescent="0.3">
      <c r="A31" s="4" t="s">
        <v>3026</v>
      </c>
      <c r="B31" s="6" cm="1">
        <f t="array" ref="B31:FX31">1*TRANSPOSE(_xlfn._xlws.FILTER(transformer!$J$2:$J$181,transformer!$E$2:$E$181&lt;&gt;0))</f>
        <v>125</v>
      </c>
      <c r="C31" s="6">
        <v>63</v>
      </c>
      <c r="D31" s="6">
        <v>125</v>
      </c>
      <c r="E31" s="6">
        <v>250</v>
      </c>
      <c r="F31" s="6">
        <v>250</v>
      </c>
      <c r="G31" s="6">
        <v>250</v>
      </c>
      <c r="H31" s="6">
        <v>250</v>
      </c>
      <c r="I31" s="6">
        <v>250</v>
      </c>
      <c r="J31" s="6">
        <v>250</v>
      </c>
      <c r="K31" s="6">
        <v>250</v>
      </c>
      <c r="L31" s="6">
        <v>250</v>
      </c>
      <c r="M31" s="6">
        <v>250</v>
      </c>
      <c r="N31" s="6">
        <v>250</v>
      </c>
      <c r="O31" s="6">
        <v>250</v>
      </c>
      <c r="P31" s="6">
        <v>250</v>
      </c>
      <c r="Q31" s="6">
        <v>250</v>
      </c>
      <c r="R31" s="6">
        <v>250</v>
      </c>
      <c r="S31" s="6">
        <v>250</v>
      </c>
      <c r="T31" s="6">
        <v>250</v>
      </c>
      <c r="U31" s="6">
        <v>238</v>
      </c>
      <c r="V31" s="6">
        <v>250</v>
      </c>
      <c r="W31" s="6">
        <v>175</v>
      </c>
      <c r="X31" s="6">
        <v>500</v>
      </c>
      <c r="Y31" s="6">
        <v>500</v>
      </c>
      <c r="Z31" s="6">
        <v>250</v>
      </c>
      <c r="AA31" s="6">
        <v>500</v>
      </c>
      <c r="AB31" s="6">
        <v>500</v>
      </c>
      <c r="AC31" s="6">
        <v>250</v>
      </c>
      <c r="AD31" s="6">
        <v>250</v>
      </c>
      <c r="AE31" s="6">
        <v>250</v>
      </c>
      <c r="AF31" s="6">
        <v>250</v>
      </c>
      <c r="AG31" s="6">
        <v>250</v>
      </c>
      <c r="AH31" s="6">
        <v>125</v>
      </c>
      <c r="AI31" s="6">
        <v>125</v>
      </c>
      <c r="AJ31" s="6">
        <v>125</v>
      </c>
      <c r="AK31" s="6">
        <v>125</v>
      </c>
      <c r="AL31" s="6">
        <v>250</v>
      </c>
      <c r="AM31" s="6">
        <v>250</v>
      </c>
      <c r="AN31" s="6">
        <v>250</v>
      </c>
      <c r="AO31" s="6">
        <v>250</v>
      </c>
      <c r="AP31" s="6">
        <v>250</v>
      </c>
      <c r="AQ31" s="6">
        <v>63</v>
      </c>
      <c r="AR31" s="6">
        <v>63</v>
      </c>
      <c r="AS31" s="6">
        <v>250</v>
      </c>
      <c r="AT31" s="6">
        <v>125</v>
      </c>
      <c r="AU31" s="6">
        <v>250</v>
      </c>
      <c r="AV31" s="6">
        <v>250</v>
      </c>
      <c r="AW31" s="6">
        <v>125</v>
      </c>
      <c r="AX31" s="6">
        <v>125</v>
      </c>
      <c r="AY31" s="6">
        <v>250</v>
      </c>
      <c r="AZ31" s="6">
        <v>250</v>
      </c>
      <c r="BA31" s="6">
        <v>250</v>
      </c>
      <c r="BB31" s="6">
        <v>250</v>
      </c>
      <c r="BC31" s="6">
        <v>250</v>
      </c>
      <c r="BD31" s="6">
        <v>250</v>
      </c>
      <c r="BE31" s="6">
        <v>250</v>
      </c>
      <c r="BF31" s="6">
        <v>125</v>
      </c>
      <c r="BG31" s="6">
        <v>125</v>
      </c>
      <c r="BH31" s="6">
        <v>125</v>
      </c>
      <c r="BI31" s="6">
        <v>250</v>
      </c>
      <c r="BJ31" s="6">
        <v>300</v>
      </c>
      <c r="BK31" s="6">
        <v>600</v>
      </c>
      <c r="BL31" s="6">
        <v>300</v>
      </c>
      <c r="BM31" s="6">
        <v>125</v>
      </c>
      <c r="BN31" s="6">
        <v>238</v>
      </c>
      <c r="BO31" s="6">
        <v>125</v>
      </c>
      <c r="BP31" s="6">
        <v>250</v>
      </c>
      <c r="BQ31" s="6">
        <v>500</v>
      </c>
      <c r="BR31" s="6">
        <v>250</v>
      </c>
      <c r="BS31" s="6">
        <v>500</v>
      </c>
      <c r="BT31" s="6">
        <v>500</v>
      </c>
      <c r="BU31" s="6">
        <v>250</v>
      </c>
      <c r="BV31" s="6">
        <v>250</v>
      </c>
      <c r="BW31" s="6">
        <v>238</v>
      </c>
      <c r="BX31" s="6">
        <v>250</v>
      </c>
      <c r="BY31" s="6">
        <v>125</v>
      </c>
      <c r="BZ31" s="6">
        <v>125</v>
      </c>
      <c r="CA31" s="6">
        <v>250</v>
      </c>
      <c r="CB31" s="6">
        <v>238</v>
      </c>
      <c r="CC31" s="6">
        <v>238</v>
      </c>
      <c r="CD31" s="6">
        <v>500</v>
      </c>
      <c r="CE31" s="6">
        <v>500</v>
      </c>
      <c r="CF31" s="6">
        <v>550</v>
      </c>
      <c r="CG31" s="6">
        <v>582</v>
      </c>
      <c r="CH31" s="6">
        <v>90</v>
      </c>
      <c r="CI31" s="6">
        <v>60</v>
      </c>
      <c r="CJ31" s="6">
        <v>60</v>
      </c>
      <c r="CK31" s="6">
        <v>90</v>
      </c>
      <c r="CL31" s="6">
        <v>90</v>
      </c>
      <c r="CM31" s="6">
        <v>90</v>
      </c>
      <c r="CN31" s="6">
        <v>90</v>
      </c>
      <c r="CO31" s="6">
        <v>90</v>
      </c>
      <c r="CP31" s="6">
        <v>90</v>
      </c>
      <c r="CQ31" s="6">
        <v>90</v>
      </c>
      <c r="CR31" s="6">
        <v>90</v>
      </c>
      <c r="CS31" s="6">
        <v>30</v>
      </c>
      <c r="CT31" s="6">
        <v>30</v>
      </c>
      <c r="CU31" s="6">
        <v>30</v>
      </c>
      <c r="CV31" s="6">
        <v>30</v>
      </c>
      <c r="CW31" s="6">
        <v>90</v>
      </c>
      <c r="CX31" s="6">
        <v>90</v>
      </c>
      <c r="CY31" s="6">
        <v>90</v>
      </c>
      <c r="CZ31" s="6">
        <v>90</v>
      </c>
      <c r="DA31" s="6">
        <v>100</v>
      </c>
      <c r="DB31" s="6">
        <v>90</v>
      </c>
      <c r="DC31" s="6">
        <v>90</v>
      </c>
      <c r="DD31" s="6">
        <v>90</v>
      </c>
      <c r="DE31" s="6">
        <v>90</v>
      </c>
      <c r="DF31" s="6">
        <v>60</v>
      </c>
      <c r="DG31" s="6">
        <v>60</v>
      </c>
      <c r="DH31" s="6">
        <v>90</v>
      </c>
      <c r="DI31" s="6">
        <v>90</v>
      </c>
      <c r="DJ31" s="6">
        <v>60</v>
      </c>
      <c r="DK31" s="6">
        <v>60</v>
      </c>
      <c r="DL31" s="6">
        <v>75</v>
      </c>
      <c r="DM31" s="6">
        <v>75</v>
      </c>
      <c r="DN31" s="6">
        <v>60</v>
      </c>
      <c r="DO31" s="6">
        <v>60</v>
      </c>
      <c r="DP31" s="6">
        <v>90</v>
      </c>
      <c r="DQ31" s="6">
        <v>60</v>
      </c>
      <c r="DR31" s="6">
        <v>90</v>
      </c>
      <c r="DS31" s="6">
        <v>90</v>
      </c>
      <c r="DT31" s="6">
        <v>90</v>
      </c>
      <c r="DU31" s="6">
        <v>90</v>
      </c>
      <c r="DV31" s="6">
        <v>90</v>
      </c>
      <c r="DW31" s="6">
        <v>45</v>
      </c>
      <c r="DX31" s="6">
        <v>45</v>
      </c>
      <c r="DY31" s="6">
        <v>45</v>
      </c>
      <c r="DZ31" s="6">
        <v>45</v>
      </c>
      <c r="EA31" s="6">
        <v>60</v>
      </c>
      <c r="EB31" s="6">
        <v>45</v>
      </c>
      <c r="EC31" s="6">
        <v>45</v>
      </c>
      <c r="ED31" s="6">
        <v>60</v>
      </c>
      <c r="EE31" s="6">
        <v>90</v>
      </c>
      <c r="EF31" s="6">
        <v>90</v>
      </c>
      <c r="EG31" s="6">
        <v>90</v>
      </c>
      <c r="EH31" s="6">
        <v>90</v>
      </c>
      <c r="EI31" s="6">
        <v>45</v>
      </c>
      <c r="EJ31" s="6">
        <v>45</v>
      </c>
      <c r="EK31" s="6">
        <v>45</v>
      </c>
      <c r="EL31" s="6">
        <v>45</v>
      </c>
      <c r="EM31" s="6">
        <v>90</v>
      </c>
      <c r="EN31" s="6">
        <v>90</v>
      </c>
      <c r="EO31" s="6">
        <v>45</v>
      </c>
      <c r="EP31" s="6">
        <v>45</v>
      </c>
      <c r="EQ31" s="6">
        <v>45</v>
      </c>
      <c r="ER31" s="6">
        <v>45</v>
      </c>
      <c r="ES31" s="6">
        <v>60</v>
      </c>
      <c r="ET31" s="6">
        <v>60</v>
      </c>
      <c r="EU31" s="6">
        <v>90</v>
      </c>
      <c r="EV31" s="6">
        <v>90</v>
      </c>
      <c r="EW31" s="6">
        <v>90</v>
      </c>
      <c r="EX31" s="6">
        <v>90</v>
      </c>
      <c r="EY31" s="6">
        <v>90</v>
      </c>
      <c r="EZ31" s="6">
        <v>90</v>
      </c>
      <c r="FA31" s="6">
        <v>90</v>
      </c>
      <c r="FB31" s="6">
        <v>90</v>
      </c>
      <c r="FC31" s="6">
        <v>90</v>
      </c>
      <c r="FD31" s="6">
        <v>90</v>
      </c>
      <c r="FE31" s="6">
        <v>90</v>
      </c>
      <c r="FF31" s="6">
        <v>45</v>
      </c>
      <c r="FG31" s="6">
        <v>45</v>
      </c>
      <c r="FH31" s="13">
        <v>90</v>
      </c>
      <c r="FI31" s="6">
        <v>60</v>
      </c>
      <c r="FJ31" s="6">
        <v>90</v>
      </c>
      <c r="FK31" s="6">
        <v>90</v>
      </c>
      <c r="FL31" s="6">
        <v>240</v>
      </c>
      <c r="FM31" s="6">
        <v>240</v>
      </c>
      <c r="FN31" s="6">
        <v>240</v>
      </c>
      <c r="FO31" s="6">
        <v>240</v>
      </c>
      <c r="FP31" s="6">
        <v>240</v>
      </c>
      <c r="FQ31" s="6">
        <v>240</v>
      </c>
      <c r="FR31" s="6">
        <v>240</v>
      </c>
      <c r="FS31" s="6">
        <v>240</v>
      </c>
      <c r="FT31" s="6">
        <v>240</v>
      </c>
      <c r="FU31" s="6">
        <v>240</v>
      </c>
      <c r="FV31" s="6">
        <v>240</v>
      </c>
      <c r="FW31" s="6">
        <v>240</v>
      </c>
      <c r="FX31" s="6">
        <v>240</v>
      </c>
    </row>
    <row r="32" spans="1:180" x14ac:dyDescent="0.3">
      <c r="A32" s="4" t="s">
        <v>3027</v>
      </c>
      <c r="B32" s="6" cm="1">
        <f t="array" ref="B32:FX32">1*TRANSPOSE(_xlfn._xlws.FILTER(transformer!$J$2:$J$181,transformer!$E$2:$E$181&lt;&gt;0))</f>
        <v>125</v>
      </c>
      <c r="C32" s="6">
        <v>63</v>
      </c>
      <c r="D32" s="6">
        <v>125</v>
      </c>
      <c r="E32" s="6">
        <v>250</v>
      </c>
      <c r="F32" s="6">
        <v>250</v>
      </c>
      <c r="G32" s="6">
        <v>250</v>
      </c>
      <c r="H32" s="6">
        <v>250</v>
      </c>
      <c r="I32" s="6">
        <v>250</v>
      </c>
      <c r="J32" s="6">
        <v>250</v>
      </c>
      <c r="K32" s="6">
        <v>250</v>
      </c>
      <c r="L32" s="6">
        <v>250</v>
      </c>
      <c r="M32" s="6">
        <v>250</v>
      </c>
      <c r="N32" s="6">
        <v>250</v>
      </c>
      <c r="O32" s="6">
        <v>250</v>
      </c>
      <c r="P32" s="6">
        <v>250</v>
      </c>
      <c r="Q32" s="6">
        <v>250</v>
      </c>
      <c r="R32" s="6">
        <v>250</v>
      </c>
      <c r="S32" s="6">
        <v>250</v>
      </c>
      <c r="T32" s="6">
        <v>250</v>
      </c>
      <c r="U32" s="6">
        <v>238</v>
      </c>
      <c r="V32" s="6">
        <v>250</v>
      </c>
      <c r="W32" s="6">
        <v>175</v>
      </c>
      <c r="X32" s="6">
        <v>500</v>
      </c>
      <c r="Y32" s="6">
        <v>500</v>
      </c>
      <c r="Z32" s="6">
        <v>250</v>
      </c>
      <c r="AA32" s="6">
        <v>500</v>
      </c>
      <c r="AB32" s="6">
        <v>500</v>
      </c>
      <c r="AC32" s="6">
        <v>250</v>
      </c>
      <c r="AD32" s="6">
        <v>250</v>
      </c>
      <c r="AE32" s="6">
        <v>250</v>
      </c>
      <c r="AF32" s="6">
        <v>250</v>
      </c>
      <c r="AG32" s="6">
        <v>250</v>
      </c>
      <c r="AH32" s="6">
        <v>125</v>
      </c>
      <c r="AI32" s="6">
        <v>125</v>
      </c>
      <c r="AJ32" s="6">
        <v>125</v>
      </c>
      <c r="AK32" s="6">
        <v>125</v>
      </c>
      <c r="AL32" s="6">
        <v>250</v>
      </c>
      <c r="AM32" s="6">
        <v>250</v>
      </c>
      <c r="AN32" s="6">
        <v>250</v>
      </c>
      <c r="AO32" s="6">
        <v>250</v>
      </c>
      <c r="AP32" s="6">
        <v>250</v>
      </c>
      <c r="AQ32" s="6">
        <v>63</v>
      </c>
      <c r="AR32" s="6">
        <v>63</v>
      </c>
      <c r="AS32" s="6">
        <v>250</v>
      </c>
      <c r="AT32" s="6">
        <v>125</v>
      </c>
      <c r="AU32" s="6">
        <v>250</v>
      </c>
      <c r="AV32" s="6">
        <v>250</v>
      </c>
      <c r="AW32" s="6">
        <v>125</v>
      </c>
      <c r="AX32" s="6">
        <v>125</v>
      </c>
      <c r="AY32" s="6">
        <v>250</v>
      </c>
      <c r="AZ32" s="6">
        <v>250</v>
      </c>
      <c r="BA32" s="6">
        <v>250</v>
      </c>
      <c r="BB32" s="6">
        <v>250</v>
      </c>
      <c r="BC32" s="6">
        <v>250</v>
      </c>
      <c r="BD32" s="6">
        <v>250</v>
      </c>
      <c r="BE32" s="6">
        <v>250</v>
      </c>
      <c r="BF32" s="6">
        <v>125</v>
      </c>
      <c r="BG32" s="6">
        <v>125</v>
      </c>
      <c r="BH32" s="6">
        <v>125</v>
      </c>
      <c r="BI32" s="6">
        <v>250</v>
      </c>
      <c r="BJ32" s="6">
        <v>300</v>
      </c>
      <c r="BK32" s="6">
        <v>600</v>
      </c>
      <c r="BL32" s="6">
        <v>300</v>
      </c>
      <c r="BM32" s="6">
        <v>125</v>
      </c>
      <c r="BN32" s="6">
        <v>238</v>
      </c>
      <c r="BO32" s="6">
        <v>125</v>
      </c>
      <c r="BP32" s="6">
        <v>250</v>
      </c>
      <c r="BQ32" s="6">
        <v>500</v>
      </c>
      <c r="BR32" s="6">
        <v>250</v>
      </c>
      <c r="BS32" s="6">
        <v>500</v>
      </c>
      <c r="BT32" s="6">
        <v>500</v>
      </c>
      <c r="BU32" s="6">
        <v>250</v>
      </c>
      <c r="BV32" s="6">
        <v>250</v>
      </c>
      <c r="BW32" s="6">
        <v>238</v>
      </c>
      <c r="BX32" s="6">
        <v>250</v>
      </c>
      <c r="BY32" s="6">
        <v>125</v>
      </c>
      <c r="BZ32" s="6">
        <v>125</v>
      </c>
      <c r="CA32" s="6">
        <v>250</v>
      </c>
      <c r="CB32" s="6">
        <v>238</v>
      </c>
      <c r="CC32" s="6">
        <v>238</v>
      </c>
      <c r="CD32" s="6">
        <v>500</v>
      </c>
      <c r="CE32" s="6">
        <v>500</v>
      </c>
      <c r="CF32" s="6">
        <v>550</v>
      </c>
      <c r="CG32" s="6">
        <v>582</v>
      </c>
      <c r="CH32" s="6">
        <v>90</v>
      </c>
      <c r="CI32" s="6">
        <v>60</v>
      </c>
      <c r="CJ32" s="6">
        <v>60</v>
      </c>
      <c r="CK32" s="6">
        <v>90</v>
      </c>
      <c r="CL32" s="6">
        <v>90</v>
      </c>
      <c r="CM32" s="6">
        <v>90</v>
      </c>
      <c r="CN32" s="6">
        <v>90</v>
      </c>
      <c r="CO32" s="6">
        <v>90</v>
      </c>
      <c r="CP32" s="6">
        <v>90</v>
      </c>
      <c r="CQ32" s="6">
        <v>90</v>
      </c>
      <c r="CR32" s="6">
        <v>90</v>
      </c>
      <c r="CS32" s="6">
        <v>30</v>
      </c>
      <c r="CT32" s="6">
        <v>30</v>
      </c>
      <c r="CU32" s="6">
        <v>30</v>
      </c>
      <c r="CV32" s="6">
        <v>30</v>
      </c>
      <c r="CW32" s="6">
        <v>90</v>
      </c>
      <c r="CX32" s="6">
        <v>90</v>
      </c>
      <c r="CY32" s="6">
        <v>90</v>
      </c>
      <c r="CZ32" s="6">
        <v>90</v>
      </c>
      <c r="DA32" s="6">
        <v>100</v>
      </c>
      <c r="DB32" s="6">
        <v>90</v>
      </c>
      <c r="DC32" s="6">
        <v>90</v>
      </c>
      <c r="DD32" s="6">
        <v>90</v>
      </c>
      <c r="DE32" s="6">
        <v>90</v>
      </c>
      <c r="DF32" s="6">
        <v>60</v>
      </c>
      <c r="DG32" s="6">
        <v>60</v>
      </c>
      <c r="DH32" s="6">
        <v>90</v>
      </c>
      <c r="DI32" s="6">
        <v>90</v>
      </c>
      <c r="DJ32" s="6">
        <v>60</v>
      </c>
      <c r="DK32" s="6">
        <v>60</v>
      </c>
      <c r="DL32" s="6">
        <v>75</v>
      </c>
      <c r="DM32" s="6">
        <v>75</v>
      </c>
      <c r="DN32" s="6">
        <v>60</v>
      </c>
      <c r="DO32" s="6">
        <v>60</v>
      </c>
      <c r="DP32" s="6">
        <v>90</v>
      </c>
      <c r="DQ32" s="6">
        <v>60</v>
      </c>
      <c r="DR32" s="6">
        <v>90</v>
      </c>
      <c r="DS32" s="6">
        <v>90</v>
      </c>
      <c r="DT32" s="6">
        <v>90</v>
      </c>
      <c r="DU32" s="6">
        <v>90</v>
      </c>
      <c r="DV32" s="6">
        <v>90</v>
      </c>
      <c r="DW32" s="6">
        <v>45</v>
      </c>
      <c r="DX32" s="6">
        <v>45</v>
      </c>
      <c r="DY32" s="6">
        <v>45</v>
      </c>
      <c r="DZ32" s="6">
        <v>45</v>
      </c>
      <c r="EA32" s="6">
        <v>60</v>
      </c>
      <c r="EB32" s="6">
        <v>45</v>
      </c>
      <c r="EC32" s="6">
        <v>45</v>
      </c>
      <c r="ED32" s="6">
        <v>60</v>
      </c>
      <c r="EE32" s="6">
        <v>90</v>
      </c>
      <c r="EF32" s="6">
        <v>90</v>
      </c>
      <c r="EG32" s="6">
        <v>90</v>
      </c>
      <c r="EH32" s="6">
        <v>90</v>
      </c>
      <c r="EI32" s="6">
        <v>45</v>
      </c>
      <c r="EJ32" s="6">
        <v>45</v>
      </c>
      <c r="EK32" s="6">
        <v>45</v>
      </c>
      <c r="EL32" s="6">
        <v>45</v>
      </c>
      <c r="EM32" s="6">
        <v>90</v>
      </c>
      <c r="EN32" s="6">
        <v>90</v>
      </c>
      <c r="EO32" s="6">
        <v>45</v>
      </c>
      <c r="EP32" s="6">
        <v>45</v>
      </c>
      <c r="EQ32" s="6">
        <v>45</v>
      </c>
      <c r="ER32" s="6">
        <v>45</v>
      </c>
      <c r="ES32" s="6">
        <v>60</v>
      </c>
      <c r="ET32" s="6">
        <v>60</v>
      </c>
      <c r="EU32" s="6">
        <v>90</v>
      </c>
      <c r="EV32" s="6">
        <v>90</v>
      </c>
      <c r="EW32" s="6">
        <v>90</v>
      </c>
      <c r="EX32" s="6">
        <v>90</v>
      </c>
      <c r="EY32" s="6">
        <v>90</v>
      </c>
      <c r="EZ32" s="6">
        <v>90</v>
      </c>
      <c r="FA32" s="6">
        <v>90</v>
      </c>
      <c r="FB32" s="6">
        <v>90</v>
      </c>
      <c r="FC32" s="6">
        <v>90</v>
      </c>
      <c r="FD32" s="6">
        <v>90</v>
      </c>
      <c r="FE32" s="6">
        <v>90</v>
      </c>
      <c r="FF32" s="6">
        <v>45</v>
      </c>
      <c r="FG32" s="6">
        <v>45</v>
      </c>
      <c r="FH32" s="13">
        <v>90</v>
      </c>
      <c r="FI32" s="6">
        <v>60</v>
      </c>
      <c r="FJ32" s="6">
        <v>90</v>
      </c>
      <c r="FK32" s="6">
        <v>90</v>
      </c>
      <c r="FL32" s="6">
        <v>240</v>
      </c>
      <c r="FM32" s="6">
        <v>240</v>
      </c>
      <c r="FN32" s="6">
        <v>240</v>
      </c>
      <c r="FO32" s="6">
        <v>240</v>
      </c>
      <c r="FP32" s="6">
        <v>240</v>
      </c>
      <c r="FQ32" s="6">
        <v>240</v>
      </c>
      <c r="FR32" s="6">
        <v>240</v>
      </c>
      <c r="FS32" s="6">
        <v>240</v>
      </c>
      <c r="FT32" s="6">
        <v>240</v>
      </c>
      <c r="FU32" s="6">
        <v>240</v>
      </c>
      <c r="FV32" s="6">
        <v>240</v>
      </c>
      <c r="FW32" s="6">
        <v>240</v>
      </c>
      <c r="FX32" s="6">
        <v>240</v>
      </c>
    </row>
    <row r="33" spans="1:180" x14ac:dyDescent="0.3">
      <c r="A33" s="4" t="s">
        <v>3028</v>
      </c>
      <c r="B33" s="6" cm="1">
        <f t="array" ref="B33:FX33">1*TRANSPOSE(_xlfn._xlws.FILTER(transformer!$J$2:$J$181,transformer!$E$2:$E$181&lt;&gt;0))</f>
        <v>125</v>
      </c>
      <c r="C33" s="6">
        <v>63</v>
      </c>
      <c r="D33" s="6">
        <v>125</v>
      </c>
      <c r="E33" s="6">
        <v>250</v>
      </c>
      <c r="F33" s="6">
        <v>250</v>
      </c>
      <c r="G33" s="6">
        <v>250</v>
      </c>
      <c r="H33" s="6">
        <v>250</v>
      </c>
      <c r="I33" s="6">
        <v>250</v>
      </c>
      <c r="J33" s="6">
        <v>250</v>
      </c>
      <c r="K33" s="6">
        <v>250</v>
      </c>
      <c r="L33" s="6">
        <v>250</v>
      </c>
      <c r="M33" s="6">
        <v>250</v>
      </c>
      <c r="N33" s="6">
        <v>250</v>
      </c>
      <c r="O33" s="6">
        <v>250</v>
      </c>
      <c r="P33" s="6">
        <v>250</v>
      </c>
      <c r="Q33" s="6">
        <v>250</v>
      </c>
      <c r="R33" s="6">
        <v>250</v>
      </c>
      <c r="S33" s="6">
        <v>250</v>
      </c>
      <c r="T33" s="6">
        <v>250</v>
      </c>
      <c r="U33" s="6">
        <v>238</v>
      </c>
      <c r="V33" s="6">
        <v>250</v>
      </c>
      <c r="W33" s="6">
        <v>175</v>
      </c>
      <c r="X33" s="6">
        <v>500</v>
      </c>
      <c r="Y33" s="6">
        <v>500</v>
      </c>
      <c r="Z33" s="6">
        <v>250</v>
      </c>
      <c r="AA33" s="6">
        <v>500</v>
      </c>
      <c r="AB33" s="6">
        <v>500</v>
      </c>
      <c r="AC33" s="6">
        <v>250</v>
      </c>
      <c r="AD33" s="6">
        <v>250</v>
      </c>
      <c r="AE33" s="6">
        <v>250</v>
      </c>
      <c r="AF33" s="6">
        <v>250</v>
      </c>
      <c r="AG33" s="6">
        <v>250</v>
      </c>
      <c r="AH33" s="6">
        <v>125</v>
      </c>
      <c r="AI33" s="6">
        <v>125</v>
      </c>
      <c r="AJ33" s="6">
        <v>125</v>
      </c>
      <c r="AK33" s="6">
        <v>125</v>
      </c>
      <c r="AL33" s="6">
        <v>250</v>
      </c>
      <c r="AM33" s="6">
        <v>250</v>
      </c>
      <c r="AN33" s="6">
        <v>250</v>
      </c>
      <c r="AO33" s="6">
        <v>250</v>
      </c>
      <c r="AP33" s="6">
        <v>250</v>
      </c>
      <c r="AQ33" s="6">
        <v>63</v>
      </c>
      <c r="AR33" s="6">
        <v>63</v>
      </c>
      <c r="AS33" s="6">
        <v>250</v>
      </c>
      <c r="AT33" s="6">
        <v>125</v>
      </c>
      <c r="AU33" s="6">
        <v>250</v>
      </c>
      <c r="AV33" s="6">
        <v>250</v>
      </c>
      <c r="AW33" s="6">
        <v>125</v>
      </c>
      <c r="AX33" s="6">
        <v>125</v>
      </c>
      <c r="AY33" s="6">
        <v>250</v>
      </c>
      <c r="AZ33" s="6">
        <v>250</v>
      </c>
      <c r="BA33" s="6">
        <v>250</v>
      </c>
      <c r="BB33" s="6">
        <v>250</v>
      </c>
      <c r="BC33" s="6">
        <v>250</v>
      </c>
      <c r="BD33" s="6">
        <v>250</v>
      </c>
      <c r="BE33" s="6">
        <v>250</v>
      </c>
      <c r="BF33" s="6">
        <v>125</v>
      </c>
      <c r="BG33" s="6">
        <v>125</v>
      </c>
      <c r="BH33" s="6">
        <v>125</v>
      </c>
      <c r="BI33" s="6">
        <v>250</v>
      </c>
      <c r="BJ33" s="6">
        <v>300</v>
      </c>
      <c r="BK33" s="6">
        <v>600</v>
      </c>
      <c r="BL33" s="6">
        <v>300</v>
      </c>
      <c r="BM33" s="6">
        <v>125</v>
      </c>
      <c r="BN33" s="6">
        <v>238</v>
      </c>
      <c r="BO33" s="6">
        <v>125</v>
      </c>
      <c r="BP33" s="6">
        <v>250</v>
      </c>
      <c r="BQ33" s="6">
        <v>500</v>
      </c>
      <c r="BR33" s="6">
        <v>250</v>
      </c>
      <c r="BS33" s="6">
        <v>500</v>
      </c>
      <c r="BT33" s="6">
        <v>500</v>
      </c>
      <c r="BU33" s="6">
        <v>250</v>
      </c>
      <c r="BV33" s="6">
        <v>250</v>
      </c>
      <c r="BW33" s="6">
        <v>238</v>
      </c>
      <c r="BX33" s="6">
        <v>250</v>
      </c>
      <c r="BY33" s="6">
        <v>125</v>
      </c>
      <c r="BZ33" s="6">
        <v>125</v>
      </c>
      <c r="CA33" s="6">
        <v>250</v>
      </c>
      <c r="CB33" s="6">
        <v>238</v>
      </c>
      <c r="CC33" s="6">
        <v>238</v>
      </c>
      <c r="CD33" s="6">
        <v>500</v>
      </c>
      <c r="CE33" s="6">
        <v>500</v>
      </c>
      <c r="CF33" s="6">
        <v>550</v>
      </c>
      <c r="CG33" s="6">
        <v>582</v>
      </c>
      <c r="CH33" s="6">
        <v>90</v>
      </c>
      <c r="CI33" s="6">
        <v>60</v>
      </c>
      <c r="CJ33" s="6">
        <v>60</v>
      </c>
      <c r="CK33" s="6">
        <v>90</v>
      </c>
      <c r="CL33" s="6">
        <v>90</v>
      </c>
      <c r="CM33" s="6">
        <v>90</v>
      </c>
      <c r="CN33" s="6">
        <v>90</v>
      </c>
      <c r="CO33" s="6">
        <v>90</v>
      </c>
      <c r="CP33" s="6">
        <v>90</v>
      </c>
      <c r="CQ33" s="6">
        <v>90</v>
      </c>
      <c r="CR33" s="6">
        <v>90</v>
      </c>
      <c r="CS33" s="6">
        <v>30</v>
      </c>
      <c r="CT33" s="6">
        <v>30</v>
      </c>
      <c r="CU33" s="6">
        <v>30</v>
      </c>
      <c r="CV33" s="6">
        <v>30</v>
      </c>
      <c r="CW33" s="6">
        <v>90</v>
      </c>
      <c r="CX33" s="6">
        <v>90</v>
      </c>
      <c r="CY33" s="6">
        <v>90</v>
      </c>
      <c r="CZ33" s="6">
        <v>90</v>
      </c>
      <c r="DA33" s="6">
        <v>100</v>
      </c>
      <c r="DB33" s="6">
        <v>90</v>
      </c>
      <c r="DC33" s="6">
        <v>90</v>
      </c>
      <c r="DD33" s="6">
        <v>90</v>
      </c>
      <c r="DE33" s="6">
        <v>90</v>
      </c>
      <c r="DF33" s="6">
        <v>60</v>
      </c>
      <c r="DG33" s="6">
        <v>60</v>
      </c>
      <c r="DH33" s="6">
        <v>90</v>
      </c>
      <c r="DI33" s="6">
        <v>90</v>
      </c>
      <c r="DJ33" s="6">
        <v>60</v>
      </c>
      <c r="DK33" s="6">
        <v>60</v>
      </c>
      <c r="DL33" s="6">
        <v>75</v>
      </c>
      <c r="DM33" s="6">
        <v>75</v>
      </c>
      <c r="DN33" s="6">
        <v>60</v>
      </c>
      <c r="DO33" s="6">
        <v>60</v>
      </c>
      <c r="DP33" s="6">
        <v>90</v>
      </c>
      <c r="DQ33" s="6">
        <v>60</v>
      </c>
      <c r="DR33" s="6">
        <v>90</v>
      </c>
      <c r="DS33" s="6">
        <v>90</v>
      </c>
      <c r="DT33" s="6">
        <v>90</v>
      </c>
      <c r="DU33" s="6">
        <v>90</v>
      </c>
      <c r="DV33" s="6">
        <v>90</v>
      </c>
      <c r="DW33" s="6">
        <v>45</v>
      </c>
      <c r="DX33" s="6">
        <v>45</v>
      </c>
      <c r="DY33" s="6">
        <v>45</v>
      </c>
      <c r="DZ33" s="6">
        <v>45</v>
      </c>
      <c r="EA33" s="6">
        <v>60</v>
      </c>
      <c r="EB33" s="6">
        <v>45</v>
      </c>
      <c r="EC33" s="6">
        <v>45</v>
      </c>
      <c r="ED33" s="6">
        <v>60</v>
      </c>
      <c r="EE33" s="6">
        <v>90</v>
      </c>
      <c r="EF33" s="6">
        <v>90</v>
      </c>
      <c r="EG33" s="6">
        <v>90</v>
      </c>
      <c r="EH33" s="6">
        <v>90</v>
      </c>
      <c r="EI33" s="6">
        <v>45</v>
      </c>
      <c r="EJ33" s="6">
        <v>45</v>
      </c>
      <c r="EK33" s="6">
        <v>45</v>
      </c>
      <c r="EL33" s="6">
        <v>45</v>
      </c>
      <c r="EM33" s="6">
        <v>90</v>
      </c>
      <c r="EN33" s="6">
        <v>90</v>
      </c>
      <c r="EO33" s="6">
        <v>45</v>
      </c>
      <c r="EP33" s="6">
        <v>45</v>
      </c>
      <c r="EQ33" s="6">
        <v>45</v>
      </c>
      <c r="ER33" s="6">
        <v>45</v>
      </c>
      <c r="ES33" s="6">
        <v>60</v>
      </c>
      <c r="ET33" s="6">
        <v>60</v>
      </c>
      <c r="EU33" s="6">
        <v>90</v>
      </c>
      <c r="EV33" s="6">
        <v>90</v>
      </c>
      <c r="EW33" s="6">
        <v>90</v>
      </c>
      <c r="EX33" s="6">
        <v>90</v>
      </c>
      <c r="EY33" s="6">
        <v>90</v>
      </c>
      <c r="EZ33" s="6">
        <v>90</v>
      </c>
      <c r="FA33" s="6">
        <v>90</v>
      </c>
      <c r="FB33" s="6">
        <v>90</v>
      </c>
      <c r="FC33" s="6">
        <v>90</v>
      </c>
      <c r="FD33" s="6">
        <v>90</v>
      </c>
      <c r="FE33" s="6">
        <v>90</v>
      </c>
      <c r="FF33" s="6">
        <v>45</v>
      </c>
      <c r="FG33" s="6">
        <v>45</v>
      </c>
      <c r="FH33" s="13">
        <v>90</v>
      </c>
      <c r="FI33" s="6">
        <v>60</v>
      </c>
      <c r="FJ33" s="6">
        <v>90</v>
      </c>
      <c r="FK33" s="6">
        <v>90</v>
      </c>
      <c r="FL33" s="6">
        <v>240</v>
      </c>
      <c r="FM33" s="6">
        <v>240</v>
      </c>
      <c r="FN33" s="6">
        <v>240</v>
      </c>
      <c r="FO33" s="6">
        <v>240</v>
      </c>
      <c r="FP33" s="6">
        <v>240</v>
      </c>
      <c r="FQ33" s="6">
        <v>240</v>
      </c>
      <c r="FR33" s="6">
        <v>240</v>
      </c>
      <c r="FS33" s="6">
        <v>240</v>
      </c>
      <c r="FT33" s="6">
        <v>240</v>
      </c>
      <c r="FU33" s="6">
        <v>240</v>
      </c>
      <c r="FV33" s="6">
        <v>240</v>
      </c>
      <c r="FW33" s="6">
        <v>240</v>
      </c>
      <c r="FX33" s="6">
        <v>240</v>
      </c>
    </row>
    <row r="34" spans="1:180" x14ac:dyDescent="0.3">
      <c r="A34" s="4" t="s">
        <v>3029</v>
      </c>
      <c r="B34" s="6" cm="1">
        <f t="array" ref="B34:FX34">1*TRANSPOSE(_xlfn._xlws.FILTER(transformer!$J$2:$J$181,transformer!$E$2:$E$181&lt;&gt;0))</f>
        <v>125</v>
      </c>
      <c r="C34" s="6">
        <v>63</v>
      </c>
      <c r="D34" s="6">
        <v>125</v>
      </c>
      <c r="E34" s="6">
        <v>250</v>
      </c>
      <c r="F34" s="6">
        <v>250</v>
      </c>
      <c r="G34" s="6">
        <v>250</v>
      </c>
      <c r="H34" s="6">
        <v>250</v>
      </c>
      <c r="I34" s="6">
        <v>250</v>
      </c>
      <c r="J34" s="6">
        <v>250</v>
      </c>
      <c r="K34" s="6">
        <v>250</v>
      </c>
      <c r="L34" s="6">
        <v>250</v>
      </c>
      <c r="M34" s="6">
        <v>250</v>
      </c>
      <c r="N34" s="6">
        <v>250</v>
      </c>
      <c r="O34" s="6">
        <v>250</v>
      </c>
      <c r="P34" s="6">
        <v>250</v>
      </c>
      <c r="Q34" s="6">
        <v>250</v>
      </c>
      <c r="R34" s="6">
        <v>250</v>
      </c>
      <c r="S34" s="6">
        <v>250</v>
      </c>
      <c r="T34" s="6">
        <v>250</v>
      </c>
      <c r="U34" s="6">
        <v>238</v>
      </c>
      <c r="V34" s="6">
        <v>250</v>
      </c>
      <c r="W34" s="6">
        <v>175</v>
      </c>
      <c r="X34" s="6">
        <v>500</v>
      </c>
      <c r="Y34" s="6">
        <v>500</v>
      </c>
      <c r="Z34" s="6">
        <v>250</v>
      </c>
      <c r="AA34" s="6">
        <v>500</v>
      </c>
      <c r="AB34" s="6">
        <v>500</v>
      </c>
      <c r="AC34" s="6">
        <v>250</v>
      </c>
      <c r="AD34" s="6">
        <v>250</v>
      </c>
      <c r="AE34" s="6">
        <v>250</v>
      </c>
      <c r="AF34" s="6">
        <v>250</v>
      </c>
      <c r="AG34" s="6">
        <v>250</v>
      </c>
      <c r="AH34" s="6">
        <v>125</v>
      </c>
      <c r="AI34" s="6">
        <v>125</v>
      </c>
      <c r="AJ34" s="6">
        <v>125</v>
      </c>
      <c r="AK34" s="6">
        <v>125</v>
      </c>
      <c r="AL34" s="6">
        <v>250</v>
      </c>
      <c r="AM34" s="6">
        <v>250</v>
      </c>
      <c r="AN34" s="6">
        <v>250</v>
      </c>
      <c r="AO34" s="6">
        <v>250</v>
      </c>
      <c r="AP34" s="6">
        <v>250</v>
      </c>
      <c r="AQ34" s="6">
        <v>63</v>
      </c>
      <c r="AR34" s="6">
        <v>63</v>
      </c>
      <c r="AS34" s="6">
        <v>250</v>
      </c>
      <c r="AT34" s="6">
        <v>125</v>
      </c>
      <c r="AU34" s="6">
        <v>250</v>
      </c>
      <c r="AV34" s="6">
        <v>250</v>
      </c>
      <c r="AW34" s="6">
        <v>125</v>
      </c>
      <c r="AX34" s="6">
        <v>125</v>
      </c>
      <c r="AY34" s="6">
        <v>250</v>
      </c>
      <c r="AZ34" s="6">
        <v>250</v>
      </c>
      <c r="BA34" s="6">
        <v>250</v>
      </c>
      <c r="BB34" s="6">
        <v>250</v>
      </c>
      <c r="BC34" s="6">
        <v>250</v>
      </c>
      <c r="BD34" s="6">
        <v>250</v>
      </c>
      <c r="BE34" s="6">
        <v>250</v>
      </c>
      <c r="BF34" s="6">
        <v>125</v>
      </c>
      <c r="BG34" s="6">
        <v>125</v>
      </c>
      <c r="BH34" s="6">
        <v>125</v>
      </c>
      <c r="BI34" s="6">
        <v>250</v>
      </c>
      <c r="BJ34" s="6">
        <v>300</v>
      </c>
      <c r="BK34" s="6">
        <v>600</v>
      </c>
      <c r="BL34" s="6">
        <v>300</v>
      </c>
      <c r="BM34" s="6">
        <v>125</v>
      </c>
      <c r="BN34" s="6">
        <v>238</v>
      </c>
      <c r="BO34" s="6">
        <v>125</v>
      </c>
      <c r="BP34" s="6">
        <v>250</v>
      </c>
      <c r="BQ34" s="6">
        <v>500</v>
      </c>
      <c r="BR34" s="6">
        <v>250</v>
      </c>
      <c r="BS34" s="6">
        <v>500</v>
      </c>
      <c r="BT34" s="6">
        <v>500</v>
      </c>
      <c r="BU34" s="6">
        <v>250</v>
      </c>
      <c r="BV34" s="6">
        <v>250</v>
      </c>
      <c r="BW34" s="6">
        <v>238</v>
      </c>
      <c r="BX34" s="6">
        <v>250</v>
      </c>
      <c r="BY34" s="6">
        <v>125</v>
      </c>
      <c r="BZ34" s="6">
        <v>125</v>
      </c>
      <c r="CA34" s="6">
        <v>250</v>
      </c>
      <c r="CB34" s="6">
        <v>238</v>
      </c>
      <c r="CC34" s="6">
        <v>238</v>
      </c>
      <c r="CD34" s="6">
        <v>500</v>
      </c>
      <c r="CE34" s="6">
        <v>500</v>
      </c>
      <c r="CF34" s="6">
        <v>550</v>
      </c>
      <c r="CG34" s="6">
        <v>582</v>
      </c>
      <c r="CH34" s="6">
        <v>90</v>
      </c>
      <c r="CI34" s="6">
        <v>60</v>
      </c>
      <c r="CJ34" s="6">
        <v>60</v>
      </c>
      <c r="CK34" s="6">
        <v>90</v>
      </c>
      <c r="CL34" s="6">
        <v>90</v>
      </c>
      <c r="CM34" s="6">
        <v>90</v>
      </c>
      <c r="CN34" s="6">
        <v>90</v>
      </c>
      <c r="CO34" s="6">
        <v>90</v>
      </c>
      <c r="CP34" s="6">
        <v>90</v>
      </c>
      <c r="CQ34" s="6">
        <v>90</v>
      </c>
      <c r="CR34" s="6">
        <v>90</v>
      </c>
      <c r="CS34" s="6">
        <v>30</v>
      </c>
      <c r="CT34" s="6">
        <v>30</v>
      </c>
      <c r="CU34" s="6">
        <v>30</v>
      </c>
      <c r="CV34" s="6">
        <v>30</v>
      </c>
      <c r="CW34" s="6">
        <v>90</v>
      </c>
      <c r="CX34" s="6">
        <v>90</v>
      </c>
      <c r="CY34" s="6">
        <v>90</v>
      </c>
      <c r="CZ34" s="6">
        <v>90</v>
      </c>
      <c r="DA34" s="6">
        <v>100</v>
      </c>
      <c r="DB34" s="6">
        <v>90</v>
      </c>
      <c r="DC34" s="6">
        <v>90</v>
      </c>
      <c r="DD34" s="6">
        <v>90</v>
      </c>
      <c r="DE34" s="6">
        <v>90</v>
      </c>
      <c r="DF34" s="6">
        <v>60</v>
      </c>
      <c r="DG34" s="6">
        <v>60</v>
      </c>
      <c r="DH34" s="6">
        <v>90</v>
      </c>
      <c r="DI34" s="6">
        <v>90</v>
      </c>
      <c r="DJ34" s="6">
        <v>60</v>
      </c>
      <c r="DK34" s="6">
        <v>60</v>
      </c>
      <c r="DL34" s="6">
        <v>75</v>
      </c>
      <c r="DM34" s="6">
        <v>75</v>
      </c>
      <c r="DN34" s="6">
        <v>60</v>
      </c>
      <c r="DO34" s="6">
        <v>60</v>
      </c>
      <c r="DP34" s="6">
        <v>90</v>
      </c>
      <c r="DQ34" s="6">
        <v>60</v>
      </c>
      <c r="DR34" s="6">
        <v>90</v>
      </c>
      <c r="DS34" s="6">
        <v>90</v>
      </c>
      <c r="DT34" s="6">
        <v>90</v>
      </c>
      <c r="DU34" s="6">
        <v>90</v>
      </c>
      <c r="DV34" s="6">
        <v>90</v>
      </c>
      <c r="DW34" s="6">
        <v>45</v>
      </c>
      <c r="DX34" s="6">
        <v>45</v>
      </c>
      <c r="DY34" s="6">
        <v>45</v>
      </c>
      <c r="DZ34" s="6">
        <v>45</v>
      </c>
      <c r="EA34" s="6">
        <v>60</v>
      </c>
      <c r="EB34" s="6">
        <v>45</v>
      </c>
      <c r="EC34" s="6">
        <v>45</v>
      </c>
      <c r="ED34" s="6">
        <v>60</v>
      </c>
      <c r="EE34" s="6">
        <v>90</v>
      </c>
      <c r="EF34" s="6">
        <v>90</v>
      </c>
      <c r="EG34" s="6">
        <v>90</v>
      </c>
      <c r="EH34" s="6">
        <v>90</v>
      </c>
      <c r="EI34" s="6">
        <v>45</v>
      </c>
      <c r="EJ34" s="6">
        <v>45</v>
      </c>
      <c r="EK34" s="6">
        <v>45</v>
      </c>
      <c r="EL34" s="6">
        <v>45</v>
      </c>
      <c r="EM34" s="6">
        <v>90</v>
      </c>
      <c r="EN34" s="6">
        <v>90</v>
      </c>
      <c r="EO34" s="6">
        <v>45</v>
      </c>
      <c r="EP34" s="6">
        <v>45</v>
      </c>
      <c r="EQ34" s="6">
        <v>45</v>
      </c>
      <c r="ER34" s="6">
        <v>45</v>
      </c>
      <c r="ES34" s="6">
        <v>60</v>
      </c>
      <c r="ET34" s="6">
        <v>60</v>
      </c>
      <c r="EU34" s="6">
        <v>90</v>
      </c>
      <c r="EV34" s="6">
        <v>90</v>
      </c>
      <c r="EW34" s="6">
        <v>90</v>
      </c>
      <c r="EX34" s="6">
        <v>90</v>
      </c>
      <c r="EY34" s="6">
        <v>90</v>
      </c>
      <c r="EZ34" s="6">
        <v>90</v>
      </c>
      <c r="FA34" s="6">
        <v>90</v>
      </c>
      <c r="FB34" s="6">
        <v>90</v>
      </c>
      <c r="FC34" s="6">
        <v>90</v>
      </c>
      <c r="FD34" s="6">
        <v>90</v>
      </c>
      <c r="FE34" s="6">
        <v>90</v>
      </c>
      <c r="FF34" s="6">
        <v>45</v>
      </c>
      <c r="FG34" s="6">
        <v>45</v>
      </c>
      <c r="FH34" s="13">
        <v>90</v>
      </c>
      <c r="FI34" s="6">
        <v>60</v>
      </c>
      <c r="FJ34" s="6">
        <v>90</v>
      </c>
      <c r="FK34" s="6">
        <v>90</v>
      </c>
      <c r="FL34" s="6">
        <v>240</v>
      </c>
      <c r="FM34" s="6">
        <v>240</v>
      </c>
      <c r="FN34" s="6">
        <v>240</v>
      </c>
      <c r="FO34" s="6">
        <v>240</v>
      </c>
      <c r="FP34" s="6">
        <v>240</v>
      </c>
      <c r="FQ34" s="6">
        <v>240</v>
      </c>
      <c r="FR34" s="6">
        <v>240</v>
      </c>
      <c r="FS34" s="6">
        <v>240</v>
      </c>
      <c r="FT34" s="6">
        <v>240</v>
      </c>
      <c r="FU34" s="6">
        <v>240</v>
      </c>
      <c r="FV34" s="6">
        <v>240</v>
      </c>
      <c r="FW34" s="6">
        <v>240</v>
      </c>
      <c r="FX34" s="6">
        <v>240</v>
      </c>
    </row>
    <row r="35" spans="1:180" x14ac:dyDescent="0.3">
      <c r="A35" s="4" t="s">
        <v>3030</v>
      </c>
      <c r="B35" s="6" cm="1">
        <f t="array" ref="B35:FX35">1*TRANSPOSE(_xlfn._xlws.FILTER(transformer!$J$2:$J$181,transformer!$E$2:$E$181&lt;&gt;0))</f>
        <v>125</v>
      </c>
      <c r="C35" s="6">
        <v>63</v>
      </c>
      <c r="D35" s="6">
        <v>125</v>
      </c>
      <c r="E35" s="6">
        <v>250</v>
      </c>
      <c r="F35" s="6">
        <v>250</v>
      </c>
      <c r="G35" s="6">
        <v>250</v>
      </c>
      <c r="H35" s="6">
        <v>250</v>
      </c>
      <c r="I35" s="6">
        <v>250</v>
      </c>
      <c r="J35" s="6">
        <v>250</v>
      </c>
      <c r="K35" s="6">
        <v>250</v>
      </c>
      <c r="L35" s="6">
        <v>250</v>
      </c>
      <c r="M35" s="6">
        <v>250</v>
      </c>
      <c r="N35" s="6">
        <v>250</v>
      </c>
      <c r="O35" s="6">
        <v>250</v>
      </c>
      <c r="P35" s="6">
        <v>250</v>
      </c>
      <c r="Q35" s="6">
        <v>250</v>
      </c>
      <c r="R35" s="6">
        <v>250</v>
      </c>
      <c r="S35" s="6">
        <v>250</v>
      </c>
      <c r="T35" s="6">
        <v>250</v>
      </c>
      <c r="U35" s="6">
        <v>238</v>
      </c>
      <c r="V35" s="6">
        <v>250</v>
      </c>
      <c r="W35" s="6">
        <v>175</v>
      </c>
      <c r="X35" s="6">
        <v>500</v>
      </c>
      <c r="Y35" s="6">
        <v>500</v>
      </c>
      <c r="Z35" s="6">
        <v>250</v>
      </c>
      <c r="AA35" s="6">
        <v>500</v>
      </c>
      <c r="AB35" s="6">
        <v>500</v>
      </c>
      <c r="AC35" s="6">
        <v>250</v>
      </c>
      <c r="AD35" s="6">
        <v>250</v>
      </c>
      <c r="AE35" s="6">
        <v>250</v>
      </c>
      <c r="AF35" s="6">
        <v>250</v>
      </c>
      <c r="AG35" s="6">
        <v>250</v>
      </c>
      <c r="AH35" s="6">
        <v>125</v>
      </c>
      <c r="AI35" s="6">
        <v>125</v>
      </c>
      <c r="AJ35" s="6">
        <v>125</v>
      </c>
      <c r="AK35" s="6">
        <v>125</v>
      </c>
      <c r="AL35" s="6">
        <v>250</v>
      </c>
      <c r="AM35" s="6">
        <v>250</v>
      </c>
      <c r="AN35" s="6">
        <v>250</v>
      </c>
      <c r="AO35" s="6">
        <v>250</v>
      </c>
      <c r="AP35" s="6">
        <v>250</v>
      </c>
      <c r="AQ35" s="6">
        <v>63</v>
      </c>
      <c r="AR35" s="6">
        <v>63</v>
      </c>
      <c r="AS35" s="6">
        <v>250</v>
      </c>
      <c r="AT35" s="6">
        <v>125</v>
      </c>
      <c r="AU35" s="6">
        <v>250</v>
      </c>
      <c r="AV35" s="6">
        <v>250</v>
      </c>
      <c r="AW35" s="6">
        <v>125</v>
      </c>
      <c r="AX35" s="6">
        <v>125</v>
      </c>
      <c r="AY35" s="6">
        <v>250</v>
      </c>
      <c r="AZ35" s="6">
        <v>250</v>
      </c>
      <c r="BA35" s="6">
        <v>250</v>
      </c>
      <c r="BB35" s="6">
        <v>250</v>
      </c>
      <c r="BC35" s="6">
        <v>250</v>
      </c>
      <c r="BD35" s="6">
        <v>250</v>
      </c>
      <c r="BE35" s="6">
        <v>250</v>
      </c>
      <c r="BF35" s="6">
        <v>125</v>
      </c>
      <c r="BG35" s="6">
        <v>125</v>
      </c>
      <c r="BH35" s="6">
        <v>125</v>
      </c>
      <c r="BI35" s="6">
        <v>250</v>
      </c>
      <c r="BJ35" s="6">
        <v>300</v>
      </c>
      <c r="BK35" s="6">
        <v>600</v>
      </c>
      <c r="BL35" s="6">
        <v>300</v>
      </c>
      <c r="BM35" s="6">
        <v>125</v>
      </c>
      <c r="BN35" s="6">
        <v>238</v>
      </c>
      <c r="BO35" s="6">
        <v>125</v>
      </c>
      <c r="BP35" s="6">
        <v>250</v>
      </c>
      <c r="BQ35" s="6">
        <v>500</v>
      </c>
      <c r="BR35" s="6">
        <v>250</v>
      </c>
      <c r="BS35" s="6">
        <v>500</v>
      </c>
      <c r="BT35" s="6">
        <v>500</v>
      </c>
      <c r="BU35" s="6">
        <v>250</v>
      </c>
      <c r="BV35" s="6">
        <v>250</v>
      </c>
      <c r="BW35" s="6">
        <v>238</v>
      </c>
      <c r="BX35" s="6">
        <v>250</v>
      </c>
      <c r="BY35" s="6">
        <v>125</v>
      </c>
      <c r="BZ35" s="6">
        <v>125</v>
      </c>
      <c r="CA35" s="6">
        <v>250</v>
      </c>
      <c r="CB35" s="6">
        <v>238</v>
      </c>
      <c r="CC35" s="6">
        <v>238</v>
      </c>
      <c r="CD35" s="6">
        <v>500</v>
      </c>
      <c r="CE35" s="6">
        <v>500</v>
      </c>
      <c r="CF35" s="6">
        <v>550</v>
      </c>
      <c r="CG35" s="6">
        <v>582</v>
      </c>
      <c r="CH35" s="6">
        <v>90</v>
      </c>
      <c r="CI35" s="6">
        <v>60</v>
      </c>
      <c r="CJ35" s="6">
        <v>60</v>
      </c>
      <c r="CK35" s="6">
        <v>90</v>
      </c>
      <c r="CL35" s="6">
        <v>90</v>
      </c>
      <c r="CM35" s="6">
        <v>90</v>
      </c>
      <c r="CN35" s="6">
        <v>90</v>
      </c>
      <c r="CO35" s="6">
        <v>90</v>
      </c>
      <c r="CP35" s="6">
        <v>90</v>
      </c>
      <c r="CQ35" s="6">
        <v>90</v>
      </c>
      <c r="CR35" s="6">
        <v>90</v>
      </c>
      <c r="CS35" s="6">
        <v>30</v>
      </c>
      <c r="CT35" s="6">
        <v>30</v>
      </c>
      <c r="CU35" s="6">
        <v>30</v>
      </c>
      <c r="CV35" s="6">
        <v>30</v>
      </c>
      <c r="CW35" s="6">
        <v>90</v>
      </c>
      <c r="CX35" s="6">
        <v>90</v>
      </c>
      <c r="CY35" s="6">
        <v>90</v>
      </c>
      <c r="CZ35" s="6">
        <v>90</v>
      </c>
      <c r="DA35" s="6">
        <v>100</v>
      </c>
      <c r="DB35" s="6">
        <v>90</v>
      </c>
      <c r="DC35" s="6">
        <v>90</v>
      </c>
      <c r="DD35" s="6">
        <v>90</v>
      </c>
      <c r="DE35" s="6">
        <v>90</v>
      </c>
      <c r="DF35" s="6">
        <v>60</v>
      </c>
      <c r="DG35" s="6">
        <v>60</v>
      </c>
      <c r="DH35" s="6">
        <v>90</v>
      </c>
      <c r="DI35" s="6">
        <v>90</v>
      </c>
      <c r="DJ35" s="6">
        <v>60</v>
      </c>
      <c r="DK35" s="6">
        <v>60</v>
      </c>
      <c r="DL35" s="6">
        <v>75</v>
      </c>
      <c r="DM35" s="6">
        <v>75</v>
      </c>
      <c r="DN35" s="6">
        <v>60</v>
      </c>
      <c r="DO35" s="6">
        <v>60</v>
      </c>
      <c r="DP35" s="6">
        <v>90</v>
      </c>
      <c r="DQ35" s="6">
        <v>60</v>
      </c>
      <c r="DR35" s="6">
        <v>90</v>
      </c>
      <c r="DS35" s="6">
        <v>90</v>
      </c>
      <c r="DT35" s="6">
        <v>90</v>
      </c>
      <c r="DU35" s="6">
        <v>90</v>
      </c>
      <c r="DV35" s="6">
        <v>90</v>
      </c>
      <c r="DW35" s="6">
        <v>45</v>
      </c>
      <c r="DX35" s="6">
        <v>45</v>
      </c>
      <c r="DY35" s="6">
        <v>45</v>
      </c>
      <c r="DZ35" s="6">
        <v>45</v>
      </c>
      <c r="EA35" s="6">
        <v>60</v>
      </c>
      <c r="EB35" s="6">
        <v>45</v>
      </c>
      <c r="EC35" s="6">
        <v>45</v>
      </c>
      <c r="ED35" s="6">
        <v>60</v>
      </c>
      <c r="EE35" s="6">
        <v>90</v>
      </c>
      <c r="EF35" s="6">
        <v>90</v>
      </c>
      <c r="EG35" s="6">
        <v>90</v>
      </c>
      <c r="EH35" s="6">
        <v>90</v>
      </c>
      <c r="EI35" s="6">
        <v>45</v>
      </c>
      <c r="EJ35" s="6">
        <v>45</v>
      </c>
      <c r="EK35" s="6">
        <v>45</v>
      </c>
      <c r="EL35" s="6">
        <v>45</v>
      </c>
      <c r="EM35" s="6">
        <v>90</v>
      </c>
      <c r="EN35" s="6">
        <v>90</v>
      </c>
      <c r="EO35" s="6">
        <v>45</v>
      </c>
      <c r="EP35" s="6">
        <v>45</v>
      </c>
      <c r="EQ35" s="6">
        <v>45</v>
      </c>
      <c r="ER35" s="6">
        <v>45</v>
      </c>
      <c r="ES35" s="6">
        <v>60</v>
      </c>
      <c r="ET35" s="6">
        <v>60</v>
      </c>
      <c r="EU35" s="6">
        <v>90</v>
      </c>
      <c r="EV35" s="6">
        <v>90</v>
      </c>
      <c r="EW35" s="6">
        <v>90</v>
      </c>
      <c r="EX35" s="6">
        <v>90</v>
      </c>
      <c r="EY35" s="6">
        <v>90</v>
      </c>
      <c r="EZ35" s="6">
        <v>90</v>
      </c>
      <c r="FA35" s="6">
        <v>90</v>
      </c>
      <c r="FB35" s="6">
        <v>90</v>
      </c>
      <c r="FC35" s="6">
        <v>90</v>
      </c>
      <c r="FD35" s="6">
        <v>90</v>
      </c>
      <c r="FE35" s="6">
        <v>90</v>
      </c>
      <c r="FF35" s="6">
        <v>45</v>
      </c>
      <c r="FG35" s="6">
        <v>45</v>
      </c>
      <c r="FH35" s="13">
        <v>90</v>
      </c>
      <c r="FI35" s="6">
        <v>60</v>
      </c>
      <c r="FJ35" s="6">
        <v>90</v>
      </c>
      <c r="FK35" s="6">
        <v>90</v>
      </c>
      <c r="FL35" s="6">
        <v>240</v>
      </c>
      <c r="FM35" s="6">
        <v>240</v>
      </c>
      <c r="FN35" s="6">
        <v>240</v>
      </c>
      <c r="FO35" s="6">
        <v>240</v>
      </c>
      <c r="FP35" s="6">
        <v>240</v>
      </c>
      <c r="FQ35" s="6">
        <v>240</v>
      </c>
      <c r="FR35" s="6">
        <v>240</v>
      </c>
      <c r="FS35" s="6">
        <v>240</v>
      </c>
      <c r="FT35" s="6">
        <v>240</v>
      </c>
      <c r="FU35" s="6">
        <v>240</v>
      </c>
      <c r="FV35" s="6">
        <v>240</v>
      </c>
      <c r="FW35" s="6">
        <v>240</v>
      </c>
      <c r="FX35" s="6">
        <v>240</v>
      </c>
    </row>
    <row r="36" spans="1:180" x14ac:dyDescent="0.3">
      <c r="A36" s="4" t="s">
        <v>3031</v>
      </c>
      <c r="B36" s="6" cm="1">
        <f t="array" ref="B36:FX36">1*TRANSPOSE(_xlfn._xlws.FILTER(transformer!$J$2:$J$181,transformer!$E$2:$E$181&lt;&gt;0))</f>
        <v>125</v>
      </c>
      <c r="C36" s="6">
        <v>63</v>
      </c>
      <c r="D36" s="6">
        <v>125</v>
      </c>
      <c r="E36" s="6">
        <v>250</v>
      </c>
      <c r="F36" s="6">
        <v>250</v>
      </c>
      <c r="G36" s="6">
        <v>250</v>
      </c>
      <c r="H36" s="6">
        <v>250</v>
      </c>
      <c r="I36" s="6">
        <v>250</v>
      </c>
      <c r="J36" s="6">
        <v>250</v>
      </c>
      <c r="K36" s="6">
        <v>250</v>
      </c>
      <c r="L36" s="6">
        <v>250</v>
      </c>
      <c r="M36" s="6">
        <v>250</v>
      </c>
      <c r="N36" s="6">
        <v>250</v>
      </c>
      <c r="O36" s="6">
        <v>250</v>
      </c>
      <c r="P36" s="6">
        <v>250</v>
      </c>
      <c r="Q36" s="6">
        <v>250</v>
      </c>
      <c r="R36" s="6">
        <v>250</v>
      </c>
      <c r="S36" s="6">
        <v>250</v>
      </c>
      <c r="T36" s="6">
        <v>250</v>
      </c>
      <c r="U36" s="6">
        <v>238</v>
      </c>
      <c r="V36" s="6">
        <v>250</v>
      </c>
      <c r="W36" s="6">
        <v>175</v>
      </c>
      <c r="X36" s="6">
        <v>500</v>
      </c>
      <c r="Y36" s="6">
        <v>500</v>
      </c>
      <c r="Z36" s="6">
        <v>250</v>
      </c>
      <c r="AA36" s="6">
        <v>500</v>
      </c>
      <c r="AB36" s="6">
        <v>500</v>
      </c>
      <c r="AC36" s="6">
        <v>250</v>
      </c>
      <c r="AD36" s="6">
        <v>250</v>
      </c>
      <c r="AE36" s="6">
        <v>250</v>
      </c>
      <c r="AF36" s="6">
        <v>250</v>
      </c>
      <c r="AG36" s="6">
        <v>250</v>
      </c>
      <c r="AH36" s="6">
        <v>125</v>
      </c>
      <c r="AI36" s="6">
        <v>125</v>
      </c>
      <c r="AJ36" s="6">
        <v>125</v>
      </c>
      <c r="AK36" s="6">
        <v>125</v>
      </c>
      <c r="AL36" s="6">
        <v>250</v>
      </c>
      <c r="AM36" s="6">
        <v>250</v>
      </c>
      <c r="AN36" s="6">
        <v>250</v>
      </c>
      <c r="AO36" s="6">
        <v>250</v>
      </c>
      <c r="AP36" s="6">
        <v>250</v>
      </c>
      <c r="AQ36" s="6">
        <v>63</v>
      </c>
      <c r="AR36" s="6">
        <v>63</v>
      </c>
      <c r="AS36" s="6">
        <v>250</v>
      </c>
      <c r="AT36" s="6">
        <v>125</v>
      </c>
      <c r="AU36" s="6">
        <v>250</v>
      </c>
      <c r="AV36" s="6">
        <v>250</v>
      </c>
      <c r="AW36" s="6">
        <v>125</v>
      </c>
      <c r="AX36" s="6">
        <v>125</v>
      </c>
      <c r="AY36" s="6">
        <v>250</v>
      </c>
      <c r="AZ36" s="6">
        <v>250</v>
      </c>
      <c r="BA36" s="6">
        <v>250</v>
      </c>
      <c r="BB36" s="6">
        <v>250</v>
      </c>
      <c r="BC36" s="6">
        <v>250</v>
      </c>
      <c r="BD36" s="6">
        <v>250</v>
      </c>
      <c r="BE36" s="6">
        <v>250</v>
      </c>
      <c r="BF36" s="6">
        <v>125</v>
      </c>
      <c r="BG36" s="6">
        <v>125</v>
      </c>
      <c r="BH36" s="6">
        <v>125</v>
      </c>
      <c r="BI36" s="6">
        <v>250</v>
      </c>
      <c r="BJ36" s="6">
        <v>300</v>
      </c>
      <c r="BK36" s="6">
        <v>600</v>
      </c>
      <c r="BL36" s="6">
        <v>300</v>
      </c>
      <c r="BM36" s="6">
        <v>125</v>
      </c>
      <c r="BN36" s="6">
        <v>238</v>
      </c>
      <c r="BO36" s="6">
        <v>125</v>
      </c>
      <c r="BP36" s="6">
        <v>250</v>
      </c>
      <c r="BQ36" s="6">
        <v>500</v>
      </c>
      <c r="BR36" s="6">
        <v>250</v>
      </c>
      <c r="BS36" s="6">
        <v>500</v>
      </c>
      <c r="BT36" s="6">
        <v>500</v>
      </c>
      <c r="BU36" s="6">
        <v>250</v>
      </c>
      <c r="BV36" s="6">
        <v>250</v>
      </c>
      <c r="BW36" s="6">
        <v>238</v>
      </c>
      <c r="BX36" s="6">
        <v>250</v>
      </c>
      <c r="BY36" s="6">
        <v>125</v>
      </c>
      <c r="BZ36" s="6">
        <v>125</v>
      </c>
      <c r="CA36" s="6">
        <v>250</v>
      </c>
      <c r="CB36" s="6">
        <v>238</v>
      </c>
      <c r="CC36" s="6">
        <v>238</v>
      </c>
      <c r="CD36" s="6">
        <v>500</v>
      </c>
      <c r="CE36" s="6">
        <v>500</v>
      </c>
      <c r="CF36" s="6">
        <v>550</v>
      </c>
      <c r="CG36" s="6">
        <v>582</v>
      </c>
      <c r="CH36" s="6">
        <v>90</v>
      </c>
      <c r="CI36" s="6">
        <v>60</v>
      </c>
      <c r="CJ36" s="6">
        <v>60</v>
      </c>
      <c r="CK36" s="6">
        <v>90</v>
      </c>
      <c r="CL36" s="6">
        <v>90</v>
      </c>
      <c r="CM36" s="6">
        <v>90</v>
      </c>
      <c r="CN36" s="6">
        <v>90</v>
      </c>
      <c r="CO36" s="6">
        <v>90</v>
      </c>
      <c r="CP36" s="6">
        <v>90</v>
      </c>
      <c r="CQ36" s="6">
        <v>90</v>
      </c>
      <c r="CR36" s="6">
        <v>90</v>
      </c>
      <c r="CS36" s="6">
        <v>30</v>
      </c>
      <c r="CT36" s="6">
        <v>30</v>
      </c>
      <c r="CU36" s="6">
        <v>30</v>
      </c>
      <c r="CV36" s="6">
        <v>30</v>
      </c>
      <c r="CW36" s="6">
        <v>90</v>
      </c>
      <c r="CX36" s="6">
        <v>90</v>
      </c>
      <c r="CY36" s="6">
        <v>90</v>
      </c>
      <c r="CZ36" s="6">
        <v>90</v>
      </c>
      <c r="DA36" s="6">
        <v>100</v>
      </c>
      <c r="DB36" s="6">
        <v>90</v>
      </c>
      <c r="DC36" s="6">
        <v>90</v>
      </c>
      <c r="DD36" s="6">
        <v>90</v>
      </c>
      <c r="DE36" s="6">
        <v>90</v>
      </c>
      <c r="DF36" s="6">
        <v>60</v>
      </c>
      <c r="DG36" s="6">
        <v>60</v>
      </c>
      <c r="DH36" s="6">
        <v>90</v>
      </c>
      <c r="DI36" s="6">
        <v>90</v>
      </c>
      <c r="DJ36" s="6">
        <v>60</v>
      </c>
      <c r="DK36" s="6">
        <v>60</v>
      </c>
      <c r="DL36" s="6">
        <v>75</v>
      </c>
      <c r="DM36" s="6">
        <v>75</v>
      </c>
      <c r="DN36" s="6">
        <v>60</v>
      </c>
      <c r="DO36" s="6">
        <v>60</v>
      </c>
      <c r="DP36" s="6">
        <v>90</v>
      </c>
      <c r="DQ36" s="6">
        <v>60</v>
      </c>
      <c r="DR36" s="6">
        <v>90</v>
      </c>
      <c r="DS36" s="6">
        <v>90</v>
      </c>
      <c r="DT36" s="6">
        <v>90</v>
      </c>
      <c r="DU36" s="6">
        <v>90</v>
      </c>
      <c r="DV36" s="6">
        <v>90</v>
      </c>
      <c r="DW36" s="6">
        <v>45</v>
      </c>
      <c r="DX36" s="6">
        <v>45</v>
      </c>
      <c r="DY36" s="6">
        <v>45</v>
      </c>
      <c r="DZ36" s="6">
        <v>45</v>
      </c>
      <c r="EA36" s="6">
        <v>60</v>
      </c>
      <c r="EB36" s="6">
        <v>45</v>
      </c>
      <c r="EC36" s="6">
        <v>45</v>
      </c>
      <c r="ED36" s="6">
        <v>60</v>
      </c>
      <c r="EE36" s="6">
        <v>90</v>
      </c>
      <c r="EF36" s="6">
        <v>90</v>
      </c>
      <c r="EG36" s="6">
        <v>90</v>
      </c>
      <c r="EH36" s="6">
        <v>90</v>
      </c>
      <c r="EI36" s="6">
        <v>45</v>
      </c>
      <c r="EJ36" s="6">
        <v>45</v>
      </c>
      <c r="EK36" s="6">
        <v>45</v>
      </c>
      <c r="EL36" s="6">
        <v>45</v>
      </c>
      <c r="EM36" s="6">
        <v>90</v>
      </c>
      <c r="EN36" s="6">
        <v>90</v>
      </c>
      <c r="EO36" s="6">
        <v>45</v>
      </c>
      <c r="EP36" s="6">
        <v>45</v>
      </c>
      <c r="EQ36" s="6">
        <v>45</v>
      </c>
      <c r="ER36" s="6">
        <v>45</v>
      </c>
      <c r="ES36" s="6">
        <v>60</v>
      </c>
      <c r="ET36" s="6">
        <v>60</v>
      </c>
      <c r="EU36" s="6">
        <v>90</v>
      </c>
      <c r="EV36" s="6">
        <v>90</v>
      </c>
      <c r="EW36" s="6">
        <v>90</v>
      </c>
      <c r="EX36" s="6">
        <v>90</v>
      </c>
      <c r="EY36" s="6">
        <v>90</v>
      </c>
      <c r="EZ36" s="6">
        <v>90</v>
      </c>
      <c r="FA36" s="6">
        <v>90</v>
      </c>
      <c r="FB36" s="6">
        <v>90</v>
      </c>
      <c r="FC36" s="6">
        <v>90</v>
      </c>
      <c r="FD36" s="6">
        <v>90</v>
      </c>
      <c r="FE36" s="6">
        <v>90</v>
      </c>
      <c r="FF36" s="6">
        <v>45</v>
      </c>
      <c r="FG36" s="6">
        <v>45</v>
      </c>
      <c r="FH36" s="13">
        <v>90</v>
      </c>
      <c r="FI36" s="6">
        <v>60</v>
      </c>
      <c r="FJ36" s="6">
        <v>90</v>
      </c>
      <c r="FK36" s="6">
        <v>90</v>
      </c>
      <c r="FL36" s="6">
        <v>240</v>
      </c>
      <c r="FM36" s="6">
        <v>240</v>
      </c>
      <c r="FN36" s="6">
        <v>240</v>
      </c>
      <c r="FO36" s="6">
        <v>240</v>
      </c>
      <c r="FP36" s="6">
        <v>240</v>
      </c>
      <c r="FQ36" s="6">
        <v>240</v>
      </c>
      <c r="FR36" s="6">
        <v>240</v>
      </c>
      <c r="FS36" s="6">
        <v>240</v>
      </c>
      <c r="FT36" s="6">
        <v>240</v>
      </c>
      <c r="FU36" s="6">
        <v>240</v>
      </c>
      <c r="FV36" s="6">
        <v>240</v>
      </c>
      <c r="FW36" s="6">
        <v>240</v>
      </c>
      <c r="FX36" s="6">
        <v>240</v>
      </c>
    </row>
    <row r="37" spans="1:180" x14ac:dyDescent="0.3">
      <c r="A37" s="4" t="s">
        <v>3032</v>
      </c>
      <c r="B37" s="6" cm="1">
        <f t="array" ref="B37:FX37">1*TRANSPOSE(_xlfn._xlws.FILTER(transformer!$J$2:$J$181,transformer!$E$2:$E$181&lt;&gt;0))</f>
        <v>125</v>
      </c>
      <c r="C37" s="6">
        <v>63</v>
      </c>
      <c r="D37" s="6">
        <v>125</v>
      </c>
      <c r="E37" s="6">
        <v>250</v>
      </c>
      <c r="F37" s="6">
        <v>250</v>
      </c>
      <c r="G37" s="6">
        <v>250</v>
      </c>
      <c r="H37" s="6">
        <v>250</v>
      </c>
      <c r="I37" s="6">
        <v>250</v>
      </c>
      <c r="J37" s="6">
        <v>250</v>
      </c>
      <c r="K37" s="6">
        <v>250</v>
      </c>
      <c r="L37" s="6">
        <v>250</v>
      </c>
      <c r="M37" s="6">
        <v>250</v>
      </c>
      <c r="N37" s="6">
        <v>250</v>
      </c>
      <c r="O37" s="6">
        <v>250</v>
      </c>
      <c r="P37" s="6">
        <v>250</v>
      </c>
      <c r="Q37" s="6">
        <v>250</v>
      </c>
      <c r="R37" s="6">
        <v>250</v>
      </c>
      <c r="S37" s="6">
        <v>250</v>
      </c>
      <c r="T37" s="6">
        <v>250</v>
      </c>
      <c r="U37" s="6">
        <v>238</v>
      </c>
      <c r="V37" s="6">
        <v>250</v>
      </c>
      <c r="W37" s="6">
        <v>175</v>
      </c>
      <c r="X37" s="6">
        <v>500</v>
      </c>
      <c r="Y37" s="6">
        <v>500</v>
      </c>
      <c r="Z37" s="6">
        <v>250</v>
      </c>
      <c r="AA37" s="6">
        <v>500</v>
      </c>
      <c r="AB37" s="6">
        <v>500</v>
      </c>
      <c r="AC37" s="6">
        <v>250</v>
      </c>
      <c r="AD37" s="6">
        <v>250</v>
      </c>
      <c r="AE37" s="6">
        <v>250</v>
      </c>
      <c r="AF37" s="6">
        <v>250</v>
      </c>
      <c r="AG37" s="6">
        <v>250</v>
      </c>
      <c r="AH37" s="6">
        <v>125</v>
      </c>
      <c r="AI37" s="6">
        <v>125</v>
      </c>
      <c r="AJ37" s="6">
        <v>125</v>
      </c>
      <c r="AK37" s="6">
        <v>125</v>
      </c>
      <c r="AL37" s="6">
        <v>250</v>
      </c>
      <c r="AM37" s="6">
        <v>250</v>
      </c>
      <c r="AN37" s="6">
        <v>250</v>
      </c>
      <c r="AO37" s="6">
        <v>250</v>
      </c>
      <c r="AP37" s="6">
        <v>250</v>
      </c>
      <c r="AQ37" s="6">
        <v>63</v>
      </c>
      <c r="AR37" s="6">
        <v>63</v>
      </c>
      <c r="AS37" s="6">
        <v>250</v>
      </c>
      <c r="AT37" s="6">
        <v>125</v>
      </c>
      <c r="AU37" s="6">
        <v>250</v>
      </c>
      <c r="AV37" s="6">
        <v>250</v>
      </c>
      <c r="AW37" s="6">
        <v>125</v>
      </c>
      <c r="AX37" s="6">
        <v>125</v>
      </c>
      <c r="AY37" s="6">
        <v>250</v>
      </c>
      <c r="AZ37" s="6">
        <v>250</v>
      </c>
      <c r="BA37" s="6">
        <v>250</v>
      </c>
      <c r="BB37" s="6">
        <v>250</v>
      </c>
      <c r="BC37" s="6">
        <v>250</v>
      </c>
      <c r="BD37" s="6">
        <v>250</v>
      </c>
      <c r="BE37" s="6">
        <v>250</v>
      </c>
      <c r="BF37" s="6">
        <v>125</v>
      </c>
      <c r="BG37" s="6">
        <v>125</v>
      </c>
      <c r="BH37" s="6">
        <v>125</v>
      </c>
      <c r="BI37" s="6">
        <v>250</v>
      </c>
      <c r="BJ37" s="6">
        <v>300</v>
      </c>
      <c r="BK37" s="6">
        <v>600</v>
      </c>
      <c r="BL37" s="6">
        <v>300</v>
      </c>
      <c r="BM37" s="6">
        <v>125</v>
      </c>
      <c r="BN37" s="6">
        <v>238</v>
      </c>
      <c r="BO37" s="6">
        <v>125</v>
      </c>
      <c r="BP37" s="6">
        <v>250</v>
      </c>
      <c r="BQ37" s="6">
        <v>500</v>
      </c>
      <c r="BR37" s="6">
        <v>250</v>
      </c>
      <c r="BS37" s="6">
        <v>500</v>
      </c>
      <c r="BT37" s="6">
        <v>500</v>
      </c>
      <c r="BU37" s="6">
        <v>250</v>
      </c>
      <c r="BV37" s="6">
        <v>250</v>
      </c>
      <c r="BW37" s="6">
        <v>238</v>
      </c>
      <c r="BX37" s="6">
        <v>250</v>
      </c>
      <c r="BY37" s="6">
        <v>125</v>
      </c>
      <c r="BZ37" s="6">
        <v>125</v>
      </c>
      <c r="CA37" s="6">
        <v>250</v>
      </c>
      <c r="CB37" s="6">
        <v>238</v>
      </c>
      <c r="CC37" s="6">
        <v>238</v>
      </c>
      <c r="CD37" s="6">
        <v>500</v>
      </c>
      <c r="CE37" s="6">
        <v>500</v>
      </c>
      <c r="CF37" s="6">
        <v>550</v>
      </c>
      <c r="CG37" s="6">
        <v>582</v>
      </c>
      <c r="CH37" s="6">
        <v>90</v>
      </c>
      <c r="CI37" s="6">
        <v>60</v>
      </c>
      <c r="CJ37" s="6">
        <v>60</v>
      </c>
      <c r="CK37" s="6">
        <v>90</v>
      </c>
      <c r="CL37" s="6">
        <v>90</v>
      </c>
      <c r="CM37" s="6">
        <v>90</v>
      </c>
      <c r="CN37" s="6">
        <v>90</v>
      </c>
      <c r="CO37" s="6">
        <v>90</v>
      </c>
      <c r="CP37" s="6">
        <v>90</v>
      </c>
      <c r="CQ37" s="6">
        <v>90</v>
      </c>
      <c r="CR37" s="6">
        <v>90</v>
      </c>
      <c r="CS37" s="6">
        <v>30</v>
      </c>
      <c r="CT37" s="6">
        <v>30</v>
      </c>
      <c r="CU37" s="6">
        <v>30</v>
      </c>
      <c r="CV37" s="6">
        <v>30</v>
      </c>
      <c r="CW37" s="6">
        <v>90</v>
      </c>
      <c r="CX37" s="6">
        <v>90</v>
      </c>
      <c r="CY37" s="6">
        <v>90</v>
      </c>
      <c r="CZ37" s="6">
        <v>90</v>
      </c>
      <c r="DA37" s="6">
        <v>100</v>
      </c>
      <c r="DB37" s="6">
        <v>90</v>
      </c>
      <c r="DC37" s="6">
        <v>90</v>
      </c>
      <c r="DD37" s="6">
        <v>90</v>
      </c>
      <c r="DE37" s="6">
        <v>90</v>
      </c>
      <c r="DF37" s="6">
        <v>60</v>
      </c>
      <c r="DG37" s="6">
        <v>60</v>
      </c>
      <c r="DH37" s="6">
        <v>90</v>
      </c>
      <c r="DI37" s="6">
        <v>90</v>
      </c>
      <c r="DJ37" s="6">
        <v>60</v>
      </c>
      <c r="DK37" s="6">
        <v>60</v>
      </c>
      <c r="DL37" s="6">
        <v>75</v>
      </c>
      <c r="DM37" s="6">
        <v>75</v>
      </c>
      <c r="DN37" s="6">
        <v>60</v>
      </c>
      <c r="DO37" s="6">
        <v>60</v>
      </c>
      <c r="DP37" s="6">
        <v>90</v>
      </c>
      <c r="DQ37" s="6">
        <v>60</v>
      </c>
      <c r="DR37" s="6">
        <v>90</v>
      </c>
      <c r="DS37" s="6">
        <v>90</v>
      </c>
      <c r="DT37" s="6">
        <v>90</v>
      </c>
      <c r="DU37" s="6">
        <v>90</v>
      </c>
      <c r="DV37" s="6">
        <v>90</v>
      </c>
      <c r="DW37" s="6">
        <v>45</v>
      </c>
      <c r="DX37" s="6">
        <v>45</v>
      </c>
      <c r="DY37" s="6">
        <v>45</v>
      </c>
      <c r="DZ37" s="6">
        <v>45</v>
      </c>
      <c r="EA37" s="6">
        <v>60</v>
      </c>
      <c r="EB37" s="6">
        <v>45</v>
      </c>
      <c r="EC37" s="6">
        <v>45</v>
      </c>
      <c r="ED37" s="6">
        <v>60</v>
      </c>
      <c r="EE37" s="6">
        <v>90</v>
      </c>
      <c r="EF37" s="6">
        <v>90</v>
      </c>
      <c r="EG37" s="6">
        <v>90</v>
      </c>
      <c r="EH37" s="6">
        <v>90</v>
      </c>
      <c r="EI37" s="6">
        <v>45</v>
      </c>
      <c r="EJ37" s="6">
        <v>45</v>
      </c>
      <c r="EK37" s="6">
        <v>45</v>
      </c>
      <c r="EL37" s="6">
        <v>45</v>
      </c>
      <c r="EM37" s="6">
        <v>90</v>
      </c>
      <c r="EN37" s="6">
        <v>90</v>
      </c>
      <c r="EO37" s="6">
        <v>45</v>
      </c>
      <c r="EP37" s="6">
        <v>45</v>
      </c>
      <c r="EQ37" s="6">
        <v>45</v>
      </c>
      <c r="ER37" s="6">
        <v>45</v>
      </c>
      <c r="ES37" s="6">
        <v>60</v>
      </c>
      <c r="ET37" s="6">
        <v>60</v>
      </c>
      <c r="EU37" s="6">
        <v>90</v>
      </c>
      <c r="EV37" s="6">
        <v>90</v>
      </c>
      <c r="EW37" s="6">
        <v>90</v>
      </c>
      <c r="EX37" s="6">
        <v>90</v>
      </c>
      <c r="EY37" s="6">
        <v>90</v>
      </c>
      <c r="EZ37" s="6">
        <v>90</v>
      </c>
      <c r="FA37" s="6">
        <v>90</v>
      </c>
      <c r="FB37" s="6">
        <v>90</v>
      </c>
      <c r="FC37" s="6">
        <v>90</v>
      </c>
      <c r="FD37" s="6">
        <v>90</v>
      </c>
      <c r="FE37" s="6">
        <v>90</v>
      </c>
      <c r="FF37" s="6">
        <v>45</v>
      </c>
      <c r="FG37" s="6">
        <v>45</v>
      </c>
      <c r="FH37" s="13">
        <v>90</v>
      </c>
      <c r="FI37" s="6">
        <v>60</v>
      </c>
      <c r="FJ37" s="6">
        <v>90</v>
      </c>
      <c r="FK37" s="6">
        <v>90</v>
      </c>
      <c r="FL37" s="6">
        <v>240</v>
      </c>
      <c r="FM37" s="6">
        <v>240</v>
      </c>
      <c r="FN37" s="6">
        <v>240</v>
      </c>
      <c r="FO37" s="6">
        <v>240</v>
      </c>
      <c r="FP37" s="6">
        <v>240</v>
      </c>
      <c r="FQ37" s="6">
        <v>240</v>
      </c>
      <c r="FR37" s="6">
        <v>240</v>
      </c>
      <c r="FS37" s="6">
        <v>240</v>
      </c>
      <c r="FT37" s="6">
        <v>240</v>
      </c>
      <c r="FU37" s="6">
        <v>240</v>
      </c>
      <c r="FV37" s="6">
        <v>240</v>
      </c>
      <c r="FW37" s="6">
        <v>240</v>
      </c>
      <c r="FX37" s="6">
        <v>240</v>
      </c>
    </row>
    <row r="38" spans="1:180" x14ac:dyDescent="0.3">
      <c r="A38" s="4" t="s">
        <v>3033</v>
      </c>
      <c r="B38" s="6" cm="1">
        <f t="array" ref="B38:FX38">1*TRANSPOSE(_xlfn._xlws.FILTER(transformer!$J$2:$J$181,transformer!$E$2:$E$181&lt;&gt;0))</f>
        <v>125</v>
      </c>
      <c r="C38" s="6">
        <v>63</v>
      </c>
      <c r="D38" s="6">
        <v>125</v>
      </c>
      <c r="E38" s="6">
        <v>250</v>
      </c>
      <c r="F38" s="6">
        <v>250</v>
      </c>
      <c r="G38" s="6">
        <v>250</v>
      </c>
      <c r="H38" s="6">
        <v>250</v>
      </c>
      <c r="I38" s="6">
        <v>250</v>
      </c>
      <c r="J38" s="6">
        <v>250</v>
      </c>
      <c r="K38" s="6">
        <v>250</v>
      </c>
      <c r="L38" s="6">
        <v>250</v>
      </c>
      <c r="M38" s="6">
        <v>250</v>
      </c>
      <c r="N38" s="6">
        <v>250</v>
      </c>
      <c r="O38" s="6">
        <v>250</v>
      </c>
      <c r="P38" s="6">
        <v>250</v>
      </c>
      <c r="Q38" s="6">
        <v>250</v>
      </c>
      <c r="R38" s="6">
        <v>250</v>
      </c>
      <c r="S38" s="6">
        <v>250</v>
      </c>
      <c r="T38" s="6">
        <v>250</v>
      </c>
      <c r="U38" s="6">
        <v>238</v>
      </c>
      <c r="V38" s="6">
        <v>250</v>
      </c>
      <c r="W38" s="6">
        <v>175</v>
      </c>
      <c r="X38" s="6">
        <v>500</v>
      </c>
      <c r="Y38" s="6">
        <v>500</v>
      </c>
      <c r="Z38" s="6">
        <v>250</v>
      </c>
      <c r="AA38" s="6">
        <v>500</v>
      </c>
      <c r="AB38" s="6">
        <v>500</v>
      </c>
      <c r="AC38" s="6">
        <v>250</v>
      </c>
      <c r="AD38" s="6">
        <v>250</v>
      </c>
      <c r="AE38" s="6">
        <v>250</v>
      </c>
      <c r="AF38" s="6">
        <v>250</v>
      </c>
      <c r="AG38" s="6">
        <v>250</v>
      </c>
      <c r="AH38" s="6">
        <v>125</v>
      </c>
      <c r="AI38" s="6">
        <v>125</v>
      </c>
      <c r="AJ38" s="6">
        <v>125</v>
      </c>
      <c r="AK38" s="6">
        <v>125</v>
      </c>
      <c r="AL38" s="6">
        <v>250</v>
      </c>
      <c r="AM38" s="6">
        <v>250</v>
      </c>
      <c r="AN38" s="6">
        <v>250</v>
      </c>
      <c r="AO38" s="6">
        <v>250</v>
      </c>
      <c r="AP38" s="6">
        <v>250</v>
      </c>
      <c r="AQ38" s="6">
        <v>63</v>
      </c>
      <c r="AR38" s="6">
        <v>63</v>
      </c>
      <c r="AS38" s="6">
        <v>250</v>
      </c>
      <c r="AT38" s="6">
        <v>125</v>
      </c>
      <c r="AU38" s="6">
        <v>250</v>
      </c>
      <c r="AV38" s="6">
        <v>250</v>
      </c>
      <c r="AW38" s="6">
        <v>125</v>
      </c>
      <c r="AX38" s="6">
        <v>125</v>
      </c>
      <c r="AY38" s="6">
        <v>250</v>
      </c>
      <c r="AZ38" s="6">
        <v>250</v>
      </c>
      <c r="BA38" s="6">
        <v>250</v>
      </c>
      <c r="BB38" s="6">
        <v>250</v>
      </c>
      <c r="BC38" s="6">
        <v>250</v>
      </c>
      <c r="BD38" s="6">
        <v>250</v>
      </c>
      <c r="BE38" s="6">
        <v>250</v>
      </c>
      <c r="BF38" s="6">
        <v>125</v>
      </c>
      <c r="BG38" s="6">
        <v>125</v>
      </c>
      <c r="BH38" s="6">
        <v>125</v>
      </c>
      <c r="BI38" s="6">
        <v>250</v>
      </c>
      <c r="BJ38" s="6">
        <v>300</v>
      </c>
      <c r="BK38" s="6">
        <v>600</v>
      </c>
      <c r="BL38" s="6">
        <v>300</v>
      </c>
      <c r="BM38" s="6">
        <v>125</v>
      </c>
      <c r="BN38" s="6">
        <v>238</v>
      </c>
      <c r="BO38" s="6">
        <v>125</v>
      </c>
      <c r="BP38" s="6">
        <v>250</v>
      </c>
      <c r="BQ38" s="6">
        <v>500</v>
      </c>
      <c r="BR38" s="6">
        <v>250</v>
      </c>
      <c r="BS38" s="6">
        <v>500</v>
      </c>
      <c r="BT38" s="6">
        <v>500</v>
      </c>
      <c r="BU38" s="6">
        <v>250</v>
      </c>
      <c r="BV38" s="6">
        <v>250</v>
      </c>
      <c r="BW38" s="6">
        <v>238</v>
      </c>
      <c r="BX38" s="6">
        <v>250</v>
      </c>
      <c r="BY38" s="6">
        <v>125</v>
      </c>
      <c r="BZ38" s="6">
        <v>125</v>
      </c>
      <c r="CA38" s="6">
        <v>250</v>
      </c>
      <c r="CB38" s="6">
        <v>238</v>
      </c>
      <c r="CC38" s="6">
        <v>238</v>
      </c>
      <c r="CD38" s="6">
        <v>500</v>
      </c>
      <c r="CE38" s="6">
        <v>500</v>
      </c>
      <c r="CF38" s="6">
        <v>550</v>
      </c>
      <c r="CG38" s="6">
        <v>582</v>
      </c>
      <c r="CH38" s="6">
        <v>90</v>
      </c>
      <c r="CI38" s="6">
        <v>60</v>
      </c>
      <c r="CJ38" s="6">
        <v>60</v>
      </c>
      <c r="CK38" s="6">
        <v>90</v>
      </c>
      <c r="CL38" s="6">
        <v>90</v>
      </c>
      <c r="CM38" s="6">
        <v>90</v>
      </c>
      <c r="CN38" s="6">
        <v>90</v>
      </c>
      <c r="CO38" s="6">
        <v>90</v>
      </c>
      <c r="CP38" s="6">
        <v>90</v>
      </c>
      <c r="CQ38" s="6">
        <v>90</v>
      </c>
      <c r="CR38" s="6">
        <v>90</v>
      </c>
      <c r="CS38" s="6">
        <v>30</v>
      </c>
      <c r="CT38" s="6">
        <v>30</v>
      </c>
      <c r="CU38" s="6">
        <v>30</v>
      </c>
      <c r="CV38" s="6">
        <v>30</v>
      </c>
      <c r="CW38" s="6">
        <v>90</v>
      </c>
      <c r="CX38" s="6">
        <v>90</v>
      </c>
      <c r="CY38" s="6">
        <v>90</v>
      </c>
      <c r="CZ38" s="6">
        <v>90</v>
      </c>
      <c r="DA38" s="6">
        <v>100</v>
      </c>
      <c r="DB38" s="6">
        <v>90</v>
      </c>
      <c r="DC38" s="6">
        <v>90</v>
      </c>
      <c r="DD38" s="6">
        <v>90</v>
      </c>
      <c r="DE38" s="6">
        <v>90</v>
      </c>
      <c r="DF38" s="6">
        <v>60</v>
      </c>
      <c r="DG38" s="6">
        <v>60</v>
      </c>
      <c r="DH38" s="6">
        <v>90</v>
      </c>
      <c r="DI38" s="6">
        <v>90</v>
      </c>
      <c r="DJ38" s="6">
        <v>60</v>
      </c>
      <c r="DK38" s="6">
        <v>60</v>
      </c>
      <c r="DL38" s="6">
        <v>75</v>
      </c>
      <c r="DM38" s="6">
        <v>75</v>
      </c>
      <c r="DN38" s="6">
        <v>60</v>
      </c>
      <c r="DO38" s="6">
        <v>60</v>
      </c>
      <c r="DP38" s="6">
        <v>90</v>
      </c>
      <c r="DQ38" s="6">
        <v>60</v>
      </c>
      <c r="DR38" s="6">
        <v>90</v>
      </c>
      <c r="DS38" s="6">
        <v>90</v>
      </c>
      <c r="DT38" s="6">
        <v>90</v>
      </c>
      <c r="DU38" s="6">
        <v>90</v>
      </c>
      <c r="DV38" s="6">
        <v>90</v>
      </c>
      <c r="DW38" s="6">
        <v>45</v>
      </c>
      <c r="DX38" s="6">
        <v>45</v>
      </c>
      <c r="DY38" s="6">
        <v>45</v>
      </c>
      <c r="DZ38" s="6">
        <v>45</v>
      </c>
      <c r="EA38" s="6">
        <v>60</v>
      </c>
      <c r="EB38" s="6">
        <v>45</v>
      </c>
      <c r="EC38" s="6">
        <v>45</v>
      </c>
      <c r="ED38" s="6">
        <v>60</v>
      </c>
      <c r="EE38" s="6">
        <v>90</v>
      </c>
      <c r="EF38" s="6">
        <v>90</v>
      </c>
      <c r="EG38" s="6">
        <v>90</v>
      </c>
      <c r="EH38" s="6">
        <v>90</v>
      </c>
      <c r="EI38" s="6">
        <v>45</v>
      </c>
      <c r="EJ38" s="6">
        <v>45</v>
      </c>
      <c r="EK38" s="6">
        <v>45</v>
      </c>
      <c r="EL38" s="6">
        <v>45</v>
      </c>
      <c r="EM38" s="6">
        <v>90</v>
      </c>
      <c r="EN38" s="6">
        <v>90</v>
      </c>
      <c r="EO38" s="6">
        <v>45</v>
      </c>
      <c r="EP38" s="6">
        <v>45</v>
      </c>
      <c r="EQ38" s="6">
        <v>45</v>
      </c>
      <c r="ER38" s="6">
        <v>45</v>
      </c>
      <c r="ES38" s="6">
        <v>60</v>
      </c>
      <c r="ET38" s="6">
        <v>60</v>
      </c>
      <c r="EU38" s="6">
        <v>90</v>
      </c>
      <c r="EV38" s="6">
        <v>90</v>
      </c>
      <c r="EW38" s="6">
        <v>90</v>
      </c>
      <c r="EX38" s="6">
        <v>90</v>
      </c>
      <c r="EY38" s="6">
        <v>90</v>
      </c>
      <c r="EZ38" s="6">
        <v>90</v>
      </c>
      <c r="FA38" s="6">
        <v>90</v>
      </c>
      <c r="FB38" s="6">
        <v>90</v>
      </c>
      <c r="FC38" s="6">
        <v>90</v>
      </c>
      <c r="FD38" s="6">
        <v>90</v>
      </c>
      <c r="FE38" s="6">
        <v>90</v>
      </c>
      <c r="FF38" s="6">
        <v>45</v>
      </c>
      <c r="FG38" s="6">
        <v>45</v>
      </c>
      <c r="FH38" s="13">
        <v>90</v>
      </c>
      <c r="FI38" s="6">
        <v>60</v>
      </c>
      <c r="FJ38" s="6">
        <v>90</v>
      </c>
      <c r="FK38" s="6">
        <v>90</v>
      </c>
      <c r="FL38" s="6">
        <v>240</v>
      </c>
      <c r="FM38" s="6">
        <v>240</v>
      </c>
      <c r="FN38" s="6">
        <v>240</v>
      </c>
      <c r="FO38" s="6">
        <v>240</v>
      </c>
      <c r="FP38" s="6">
        <v>240</v>
      </c>
      <c r="FQ38" s="6">
        <v>240</v>
      </c>
      <c r="FR38" s="6">
        <v>240</v>
      </c>
      <c r="FS38" s="6">
        <v>240</v>
      </c>
      <c r="FT38" s="6">
        <v>240</v>
      </c>
      <c r="FU38" s="6">
        <v>240</v>
      </c>
      <c r="FV38" s="6">
        <v>240</v>
      </c>
      <c r="FW38" s="6">
        <v>240</v>
      </c>
      <c r="FX38" s="6">
        <v>240</v>
      </c>
    </row>
    <row r="39" spans="1:180" x14ac:dyDescent="0.3">
      <c r="A39" s="4" t="s">
        <v>3034</v>
      </c>
      <c r="B39" s="6" cm="1">
        <f t="array" ref="B39:FX39">1*TRANSPOSE(_xlfn._xlws.FILTER(transformer!$J$2:$J$181,transformer!$E$2:$E$181&lt;&gt;0))</f>
        <v>125</v>
      </c>
      <c r="C39" s="6">
        <v>63</v>
      </c>
      <c r="D39" s="6">
        <v>125</v>
      </c>
      <c r="E39" s="6">
        <v>250</v>
      </c>
      <c r="F39" s="6">
        <v>250</v>
      </c>
      <c r="G39" s="6">
        <v>250</v>
      </c>
      <c r="H39" s="6">
        <v>250</v>
      </c>
      <c r="I39" s="6">
        <v>250</v>
      </c>
      <c r="J39" s="6">
        <v>250</v>
      </c>
      <c r="K39" s="6">
        <v>250</v>
      </c>
      <c r="L39" s="6">
        <v>250</v>
      </c>
      <c r="M39" s="6">
        <v>250</v>
      </c>
      <c r="N39" s="6">
        <v>250</v>
      </c>
      <c r="O39" s="6">
        <v>250</v>
      </c>
      <c r="P39" s="6">
        <v>250</v>
      </c>
      <c r="Q39" s="6">
        <v>250</v>
      </c>
      <c r="R39" s="6">
        <v>250</v>
      </c>
      <c r="S39" s="6">
        <v>250</v>
      </c>
      <c r="T39" s="6">
        <v>250</v>
      </c>
      <c r="U39" s="6">
        <v>238</v>
      </c>
      <c r="V39" s="6">
        <v>250</v>
      </c>
      <c r="W39" s="6">
        <v>175</v>
      </c>
      <c r="X39" s="6">
        <v>500</v>
      </c>
      <c r="Y39" s="6">
        <v>500</v>
      </c>
      <c r="Z39" s="6">
        <v>250</v>
      </c>
      <c r="AA39" s="6">
        <v>500</v>
      </c>
      <c r="AB39" s="6">
        <v>500</v>
      </c>
      <c r="AC39" s="6">
        <v>250</v>
      </c>
      <c r="AD39" s="6">
        <v>250</v>
      </c>
      <c r="AE39" s="6">
        <v>250</v>
      </c>
      <c r="AF39" s="6">
        <v>250</v>
      </c>
      <c r="AG39" s="6">
        <v>250</v>
      </c>
      <c r="AH39" s="6">
        <v>125</v>
      </c>
      <c r="AI39" s="6">
        <v>125</v>
      </c>
      <c r="AJ39" s="6">
        <v>125</v>
      </c>
      <c r="AK39" s="6">
        <v>125</v>
      </c>
      <c r="AL39" s="6">
        <v>250</v>
      </c>
      <c r="AM39" s="6">
        <v>250</v>
      </c>
      <c r="AN39" s="6">
        <v>250</v>
      </c>
      <c r="AO39" s="6">
        <v>250</v>
      </c>
      <c r="AP39" s="6">
        <v>250</v>
      </c>
      <c r="AQ39" s="6">
        <v>63</v>
      </c>
      <c r="AR39" s="6">
        <v>63</v>
      </c>
      <c r="AS39" s="6">
        <v>250</v>
      </c>
      <c r="AT39" s="6">
        <v>125</v>
      </c>
      <c r="AU39" s="6">
        <v>250</v>
      </c>
      <c r="AV39" s="6">
        <v>250</v>
      </c>
      <c r="AW39" s="6">
        <v>125</v>
      </c>
      <c r="AX39" s="6">
        <v>125</v>
      </c>
      <c r="AY39" s="6">
        <v>250</v>
      </c>
      <c r="AZ39" s="6">
        <v>250</v>
      </c>
      <c r="BA39" s="6">
        <v>250</v>
      </c>
      <c r="BB39" s="6">
        <v>250</v>
      </c>
      <c r="BC39" s="6">
        <v>250</v>
      </c>
      <c r="BD39" s="6">
        <v>250</v>
      </c>
      <c r="BE39" s="6">
        <v>250</v>
      </c>
      <c r="BF39" s="6">
        <v>125</v>
      </c>
      <c r="BG39" s="6">
        <v>125</v>
      </c>
      <c r="BH39" s="6">
        <v>125</v>
      </c>
      <c r="BI39" s="6">
        <v>250</v>
      </c>
      <c r="BJ39" s="6">
        <v>300</v>
      </c>
      <c r="BK39" s="6">
        <v>600</v>
      </c>
      <c r="BL39" s="6">
        <v>300</v>
      </c>
      <c r="BM39" s="6">
        <v>125</v>
      </c>
      <c r="BN39" s="6">
        <v>238</v>
      </c>
      <c r="BO39" s="6">
        <v>125</v>
      </c>
      <c r="BP39" s="6">
        <v>250</v>
      </c>
      <c r="BQ39" s="6">
        <v>500</v>
      </c>
      <c r="BR39" s="6">
        <v>250</v>
      </c>
      <c r="BS39" s="6">
        <v>500</v>
      </c>
      <c r="BT39" s="6">
        <v>500</v>
      </c>
      <c r="BU39" s="6">
        <v>250</v>
      </c>
      <c r="BV39" s="6">
        <v>250</v>
      </c>
      <c r="BW39" s="6">
        <v>238</v>
      </c>
      <c r="BX39" s="6">
        <v>250</v>
      </c>
      <c r="BY39" s="6">
        <v>125</v>
      </c>
      <c r="BZ39" s="6">
        <v>125</v>
      </c>
      <c r="CA39" s="6">
        <v>250</v>
      </c>
      <c r="CB39" s="6">
        <v>238</v>
      </c>
      <c r="CC39" s="6">
        <v>238</v>
      </c>
      <c r="CD39" s="6">
        <v>500</v>
      </c>
      <c r="CE39" s="6">
        <v>500</v>
      </c>
      <c r="CF39" s="6">
        <v>550</v>
      </c>
      <c r="CG39" s="6">
        <v>582</v>
      </c>
      <c r="CH39" s="6">
        <v>90</v>
      </c>
      <c r="CI39" s="6">
        <v>60</v>
      </c>
      <c r="CJ39" s="6">
        <v>60</v>
      </c>
      <c r="CK39" s="6">
        <v>90</v>
      </c>
      <c r="CL39" s="6">
        <v>90</v>
      </c>
      <c r="CM39" s="6">
        <v>90</v>
      </c>
      <c r="CN39" s="6">
        <v>90</v>
      </c>
      <c r="CO39" s="6">
        <v>90</v>
      </c>
      <c r="CP39" s="6">
        <v>90</v>
      </c>
      <c r="CQ39" s="6">
        <v>90</v>
      </c>
      <c r="CR39" s="6">
        <v>90</v>
      </c>
      <c r="CS39" s="6">
        <v>30</v>
      </c>
      <c r="CT39" s="6">
        <v>30</v>
      </c>
      <c r="CU39" s="6">
        <v>30</v>
      </c>
      <c r="CV39" s="6">
        <v>30</v>
      </c>
      <c r="CW39" s="6">
        <v>90</v>
      </c>
      <c r="CX39" s="6">
        <v>90</v>
      </c>
      <c r="CY39" s="6">
        <v>90</v>
      </c>
      <c r="CZ39" s="6">
        <v>90</v>
      </c>
      <c r="DA39" s="6">
        <v>100</v>
      </c>
      <c r="DB39" s="6">
        <v>90</v>
      </c>
      <c r="DC39" s="6">
        <v>90</v>
      </c>
      <c r="DD39" s="6">
        <v>90</v>
      </c>
      <c r="DE39" s="6">
        <v>90</v>
      </c>
      <c r="DF39" s="6">
        <v>60</v>
      </c>
      <c r="DG39" s="6">
        <v>60</v>
      </c>
      <c r="DH39" s="6">
        <v>90</v>
      </c>
      <c r="DI39" s="6">
        <v>90</v>
      </c>
      <c r="DJ39" s="6">
        <v>60</v>
      </c>
      <c r="DK39" s="6">
        <v>60</v>
      </c>
      <c r="DL39" s="6">
        <v>75</v>
      </c>
      <c r="DM39" s="6">
        <v>75</v>
      </c>
      <c r="DN39" s="6">
        <v>60</v>
      </c>
      <c r="DO39" s="6">
        <v>60</v>
      </c>
      <c r="DP39" s="6">
        <v>90</v>
      </c>
      <c r="DQ39" s="6">
        <v>60</v>
      </c>
      <c r="DR39" s="6">
        <v>90</v>
      </c>
      <c r="DS39" s="6">
        <v>90</v>
      </c>
      <c r="DT39" s="6">
        <v>90</v>
      </c>
      <c r="DU39" s="6">
        <v>90</v>
      </c>
      <c r="DV39" s="6">
        <v>90</v>
      </c>
      <c r="DW39" s="6">
        <v>45</v>
      </c>
      <c r="DX39" s="6">
        <v>45</v>
      </c>
      <c r="DY39" s="6">
        <v>45</v>
      </c>
      <c r="DZ39" s="6">
        <v>45</v>
      </c>
      <c r="EA39" s="6">
        <v>60</v>
      </c>
      <c r="EB39" s="6">
        <v>45</v>
      </c>
      <c r="EC39" s="6">
        <v>45</v>
      </c>
      <c r="ED39" s="6">
        <v>60</v>
      </c>
      <c r="EE39" s="6">
        <v>90</v>
      </c>
      <c r="EF39" s="6">
        <v>90</v>
      </c>
      <c r="EG39" s="6">
        <v>90</v>
      </c>
      <c r="EH39" s="6">
        <v>90</v>
      </c>
      <c r="EI39" s="6">
        <v>45</v>
      </c>
      <c r="EJ39" s="6">
        <v>45</v>
      </c>
      <c r="EK39" s="6">
        <v>45</v>
      </c>
      <c r="EL39" s="6">
        <v>45</v>
      </c>
      <c r="EM39" s="6">
        <v>90</v>
      </c>
      <c r="EN39" s="6">
        <v>90</v>
      </c>
      <c r="EO39" s="6">
        <v>45</v>
      </c>
      <c r="EP39" s="6">
        <v>45</v>
      </c>
      <c r="EQ39" s="6">
        <v>45</v>
      </c>
      <c r="ER39" s="6">
        <v>45</v>
      </c>
      <c r="ES39" s="6">
        <v>60</v>
      </c>
      <c r="ET39" s="6">
        <v>60</v>
      </c>
      <c r="EU39" s="6">
        <v>90</v>
      </c>
      <c r="EV39" s="6">
        <v>90</v>
      </c>
      <c r="EW39" s="6">
        <v>90</v>
      </c>
      <c r="EX39" s="6">
        <v>90</v>
      </c>
      <c r="EY39" s="6">
        <v>90</v>
      </c>
      <c r="EZ39" s="6">
        <v>90</v>
      </c>
      <c r="FA39" s="6">
        <v>90</v>
      </c>
      <c r="FB39" s="6">
        <v>90</v>
      </c>
      <c r="FC39" s="6">
        <v>90</v>
      </c>
      <c r="FD39" s="6">
        <v>90</v>
      </c>
      <c r="FE39" s="6">
        <v>90</v>
      </c>
      <c r="FF39" s="6">
        <v>45</v>
      </c>
      <c r="FG39" s="6">
        <v>45</v>
      </c>
      <c r="FH39" s="13">
        <v>90</v>
      </c>
      <c r="FI39" s="6">
        <v>60</v>
      </c>
      <c r="FJ39" s="6">
        <v>90</v>
      </c>
      <c r="FK39" s="6">
        <v>90</v>
      </c>
      <c r="FL39" s="6">
        <v>240</v>
      </c>
      <c r="FM39" s="6">
        <v>240</v>
      </c>
      <c r="FN39" s="6">
        <v>240</v>
      </c>
      <c r="FO39" s="6">
        <v>240</v>
      </c>
      <c r="FP39" s="6">
        <v>240</v>
      </c>
      <c r="FQ39" s="6">
        <v>240</v>
      </c>
      <c r="FR39" s="6">
        <v>240</v>
      </c>
      <c r="FS39" s="6">
        <v>240</v>
      </c>
      <c r="FT39" s="6">
        <v>240</v>
      </c>
      <c r="FU39" s="6">
        <v>240</v>
      </c>
      <c r="FV39" s="6">
        <v>240</v>
      </c>
      <c r="FW39" s="6">
        <v>240</v>
      </c>
      <c r="FX39" s="6">
        <v>240</v>
      </c>
    </row>
    <row r="40" spans="1:180" x14ac:dyDescent="0.3">
      <c r="A40" s="4" t="s">
        <v>3035</v>
      </c>
      <c r="B40" s="6" cm="1">
        <f t="array" ref="B40:FX40">1*TRANSPOSE(_xlfn._xlws.FILTER(transformer!$J$2:$J$181,transformer!$E$2:$E$181&lt;&gt;0))</f>
        <v>125</v>
      </c>
      <c r="C40" s="6">
        <v>63</v>
      </c>
      <c r="D40" s="6">
        <v>125</v>
      </c>
      <c r="E40" s="6">
        <v>250</v>
      </c>
      <c r="F40" s="6">
        <v>250</v>
      </c>
      <c r="G40" s="6">
        <v>250</v>
      </c>
      <c r="H40" s="6">
        <v>250</v>
      </c>
      <c r="I40" s="6">
        <v>250</v>
      </c>
      <c r="J40" s="6">
        <v>250</v>
      </c>
      <c r="K40" s="6">
        <v>250</v>
      </c>
      <c r="L40" s="6">
        <v>250</v>
      </c>
      <c r="M40" s="6">
        <v>250</v>
      </c>
      <c r="N40" s="6">
        <v>250</v>
      </c>
      <c r="O40" s="6">
        <v>250</v>
      </c>
      <c r="P40" s="6">
        <v>250</v>
      </c>
      <c r="Q40" s="6">
        <v>250</v>
      </c>
      <c r="R40" s="6">
        <v>250</v>
      </c>
      <c r="S40" s="6">
        <v>250</v>
      </c>
      <c r="T40" s="6">
        <v>250</v>
      </c>
      <c r="U40" s="6">
        <v>238</v>
      </c>
      <c r="V40" s="6">
        <v>250</v>
      </c>
      <c r="W40" s="6">
        <v>175</v>
      </c>
      <c r="X40" s="6">
        <v>500</v>
      </c>
      <c r="Y40" s="6">
        <v>500</v>
      </c>
      <c r="Z40" s="6">
        <v>250</v>
      </c>
      <c r="AA40" s="6">
        <v>500</v>
      </c>
      <c r="AB40" s="6">
        <v>500</v>
      </c>
      <c r="AC40" s="6">
        <v>250</v>
      </c>
      <c r="AD40" s="6">
        <v>250</v>
      </c>
      <c r="AE40" s="6">
        <v>250</v>
      </c>
      <c r="AF40" s="6">
        <v>250</v>
      </c>
      <c r="AG40" s="6">
        <v>250</v>
      </c>
      <c r="AH40" s="6">
        <v>125</v>
      </c>
      <c r="AI40" s="6">
        <v>125</v>
      </c>
      <c r="AJ40" s="6">
        <v>125</v>
      </c>
      <c r="AK40" s="6">
        <v>125</v>
      </c>
      <c r="AL40" s="6">
        <v>250</v>
      </c>
      <c r="AM40" s="6">
        <v>250</v>
      </c>
      <c r="AN40" s="6">
        <v>250</v>
      </c>
      <c r="AO40" s="6">
        <v>250</v>
      </c>
      <c r="AP40" s="6">
        <v>250</v>
      </c>
      <c r="AQ40" s="6">
        <v>63</v>
      </c>
      <c r="AR40" s="6">
        <v>63</v>
      </c>
      <c r="AS40" s="6">
        <v>250</v>
      </c>
      <c r="AT40" s="6">
        <v>125</v>
      </c>
      <c r="AU40" s="6">
        <v>250</v>
      </c>
      <c r="AV40" s="6">
        <v>250</v>
      </c>
      <c r="AW40" s="6">
        <v>125</v>
      </c>
      <c r="AX40" s="6">
        <v>125</v>
      </c>
      <c r="AY40" s="6">
        <v>250</v>
      </c>
      <c r="AZ40" s="6">
        <v>250</v>
      </c>
      <c r="BA40" s="6">
        <v>250</v>
      </c>
      <c r="BB40" s="6">
        <v>250</v>
      </c>
      <c r="BC40" s="6">
        <v>250</v>
      </c>
      <c r="BD40" s="6">
        <v>250</v>
      </c>
      <c r="BE40" s="6">
        <v>250</v>
      </c>
      <c r="BF40" s="6">
        <v>125</v>
      </c>
      <c r="BG40" s="6">
        <v>125</v>
      </c>
      <c r="BH40" s="6">
        <v>125</v>
      </c>
      <c r="BI40" s="6">
        <v>250</v>
      </c>
      <c r="BJ40" s="6">
        <v>300</v>
      </c>
      <c r="BK40" s="6">
        <v>600</v>
      </c>
      <c r="BL40" s="6">
        <v>300</v>
      </c>
      <c r="BM40" s="6">
        <v>125</v>
      </c>
      <c r="BN40" s="6">
        <v>238</v>
      </c>
      <c r="BO40" s="6">
        <v>125</v>
      </c>
      <c r="BP40" s="6">
        <v>250</v>
      </c>
      <c r="BQ40" s="6">
        <v>500</v>
      </c>
      <c r="BR40" s="6">
        <v>250</v>
      </c>
      <c r="BS40" s="6">
        <v>500</v>
      </c>
      <c r="BT40" s="6">
        <v>500</v>
      </c>
      <c r="BU40" s="6">
        <v>250</v>
      </c>
      <c r="BV40" s="6">
        <v>250</v>
      </c>
      <c r="BW40" s="6">
        <v>238</v>
      </c>
      <c r="BX40" s="6">
        <v>250</v>
      </c>
      <c r="BY40" s="6">
        <v>125</v>
      </c>
      <c r="BZ40" s="6">
        <v>125</v>
      </c>
      <c r="CA40" s="6">
        <v>250</v>
      </c>
      <c r="CB40" s="6">
        <v>238</v>
      </c>
      <c r="CC40" s="6">
        <v>238</v>
      </c>
      <c r="CD40" s="6">
        <v>500</v>
      </c>
      <c r="CE40" s="6">
        <v>500</v>
      </c>
      <c r="CF40" s="6">
        <v>550</v>
      </c>
      <c r="CG40" s="6">
        <v>582</v>
      </c>
      <c r="CH40" s="6">
        <v>90</v>
      </c>
      <c r="CI40" s="6">
        <v>60</v>
      </c>
      <c r="CJ40" s="6">
        <v>60</v>
      </c>
      <c r="CK40" s="6">
        <v>90</v>
      </c>
      <c r="CL40" s="6">
        <v>90</v>
      </c>
      <c r="CM40" s="6">
        <v>90</v>
      </c>
      <c r="CN40" s="6">
        <v>90</v>
      </c>
      <c r="CO40" s="6">
        <v>90</v>
      </c>
      <c r="CP40" s="6">
        <v>90</v>
      </c>
      <c r="CQ40" s="6">
        <v>90</v>
      </c>
      <c r="CR40" s="6">
        <v>90</v>
      </c>
      <c r="CS40" s="6">
        <v>30</v>
      </c>
      <c r="CT40" s="6">
        <v>30</v>
      </c>
      <c r="CU40" s="6">
        <v>30</v>
      </c>
      <c r="CV40" s="6">
        <v>30</v>
      </c>
      <c r="CW40" s="6">
        <v>90</v>
      </c>
      <c r="CX40" s="6">
        <v>90</v>
      </c>
      <c r="CY40" s="6">
        <v>90</v>
      </c>
      <c r="CZ40" s="6">
        <v>90</v>
      </c>
      <c r="DA40" s="6">
        <v>100</v>
      </c>
      <c r="DB40" s="6">
        <v>90</v>
      </c>
      <c r="DC40" s="6">
        <v>90</v>
      </c>
      <c r="DD40" s="6">
        <v>90</v>
      </c>
      <c r="DE40" s="6">
        <v>90</v>
      </c>
      <c r="DF40" s="6">
        <v>60</v>
      </c>
      <c r="DG40" s="6">
        <v>60</v>
      </c>
      <c r="DH40" s="6">
        <v>90</v>
      </c>
      <c r="DI40" s="6">
        <v>90</v>
      </c>
      <c r="DJ40" s="6">
        <v>60</v>
      </c>
      <c r="DK40" s="6">
        <v>60</v>
      </c>
      <c r="DL40" s="6">
        <v>75</v>
      </c>
      <c r="DM40" s="6">
        <v>75</v>
      </c>
      <c r="DN40" s="6">
        <v>60</v>
      </c>
      <c r="DO40" s="6">
        <v>60</v>
      </c>
      <c r="DP40" s="6">
        <v>90</v>
      </c>
      <c r="DQ40" s="6">
        <v>60</v>
      </c>
      <c r="DR40" s="6">
        <v>90</v>
      </c>
      <c r="DS40" s="6">
        <v>90</v>
      </c>
      <c r="DT40" s="6">
        <v>90</v>
      </c>
      <c r="DU40" s="6">
        <v>90</v>
      </c>
      <c r="DV40" s="6">
        <v>90</v>
      </c>
      <c r="DW40" s="6">
        <v>45</v>
      </c>
      <c r="DX40" s="6">
        <v>45</v>
      </c>
      <c r="DY40" s="6">
        <v>45</v>
      </c>
      <c r="DZ40" s="6">
        <v>45</v>
      </c>
      <c r="EA40" s="6">
        <v>60</v>
      </c>
      <c r="EB40" s="6">
        <v>45</v>
      </c>
      <c r="EC40" s="6">
        <v>45</v>
      </c>
      <c r="ED40" s="6">
        <v>60</v>
      </c>
      <c r="EE40" s="6">
        <v>90</v>
      </c>
      <c r="EF40" s="6">
        <v>90</v>
      </c>
      <c r="EG40" s="6">
        <v>90</v>
      </c>
      <c r="EH40" s="6">
        <v>90</v>
      </c>
      <c r="EI40" s="6">
        <v>45</v>
      </c>
      <c r="EJ40" s="6">
        <v>45</v>
      </c>
      <c r="EK40" s="6">
        <v>45</v>
      </c>
      <c r="EL40" s="6">
        <v>45</v>
      </c>
      <c r="EM40" s="6">
        <v>90</v>
      </c>
      <c r="EN40" s="6">
        <v>90</v>
      </c>
      <c r="EO40" s="6">
        <v>45</v>
      </c>
      <c r="EP40" s="6">
        <v>45</v>
      </c>
      <c r="EQ40" s="6">
        <v>45</v>
      </c>
      <c r="ER40" s="6">
        <v>45</v>
      </c>
      <c r="ES40" s="6">
        <v>60</v>
      </c>
      <c r="ET40" s="6">
        <v>60</v>
      </c>
      <c r="EU40" s="6">
        <v>90</v>
      </c>
      <c r="EV40" s="6">
        <v>90</v>
      </c>
      <c r="EW40" s="6">
        <v>90</v>
      </c>
      <c r="EX40" s="6">
        <v>90</v>
      </c>
      <c r="EY40" s="6">
        <v>90</v>
      </c>
      <c r="EZ40" s="6">
        <v>90</v>
      </c>
      <c r="FA40" s="6">
        <v>90</v>
      </c>
      <c r="FB40" s="6">
        <v>90</v>
      </c>
      <c r="FC40" s="6">
        <v>90</v>
      </c>
      <c r="FD40" s="6">
        <v>90</v>
      </c>
      <c r="FE40" s="6">
        <v>90</v>
      </c>
      <c r="FF40" s="6">
        <v>45</v>
      </c>
      <c r="FG40" s="6">
        <v>45</v>
      </c>
      <c r="FH40" s="13">
        <v>90</v>
      </c>
      <c r="FI40" s="6">
        <v>60</v>
      </c>
      <c r="FJ40" s="6">
        <v>90</v>
      </c>
      <c r="FK40" s="6">
        <v>90</v>
      </c>
      <c r="FL40" s="6">
        <v>240</v>
      </c>
      <c r="FM40" s="6">
        <v>240</v>
      </c>
      <c r="FN40" s="6">
        <v>240</v>
      </c>
      <c r="FO40" s="6">
        <v>240</v>
      </c>
      <c r="FP40" s="6">
        <v>240</v>
      </c>
      <c r="FQ40" s="6">
        <v>240</v>
      </c>
      <c r="FR40" s="6">
        <v>240</v>
      </c>
      <c r="FS40" s="6">
        <v>240</v>
      </c>
      <c r="FT40" s="6">
        <v>240</v>
      </c>
      <c r="FU40" s="6">
        <v>240</v>
      </c>
      <c r="FV40" s="6">
        <v>240</v>
      </c>
      <c r="FW40" s="6">
        <v>240</v>
      </c>
      <c r="FX40" s="6">
        <v>240</v>
      </c>
    </row>
    <row r="41" spans="1:180" x14ac:dyDescent="0.3">
      <c r="A41" s="4" t="s">
        <v>3036</v>
      </c>
      <c r="B41" s="6" cm="1">
        <f t="array" ref="B41:FX41">1*TRANSPOSE(_xlfn._xlws.FILTER(transformer!$J$2:$J$181,transformer!$E$2:$E$181&lt;&gt;0))</f>
        <v>125</v>
      </c>
      <c r="C41" s="6">
        <v>63</v>
      </c>
      <c r="D41" s="6">
        <v>125</v>
      </c>
      <c r="E41" s="6">
        <v>250</v>
      </c>
      <c r="F41" s="6">
        <v>250</v>
      </c>
      <c r="G41" s="6">
        <v>250</v>
      </c>
      <c r="H41" s="6">
        <v>250</v>
      </c>
      <c r="I41" s="6">
        <v>250</v>
      </c>
      <c r="J41" s="6">
        <v>250</v>
      </c>
      <c r="K41" s="6">
        <v>250</v>
      </c>
      <c r="L41" s="6">
        <v>250</v>
      </c>
      <c r="M41" s="6">
        <v>250</v>
      </c>
      <c r="N41" s="6">
        <v>250</v>
      </c>
      <c r="O41" s="6">
        <v>250</v>
      </c>
      <c r="P41" s="6">
        <v>250</v>
      </c>
      <c r="Q41" s="6">
        <v>250</v>
      </c>
      <c r="R41" s="6">
        <v>250</v>
      </c>
      <c r="S41" s="6">
        <v>250</v>
      </c>
      <c r="T41" s="6">
        <v>250</v>
      </c>
      <c r="U41" s="6">
        <v>238</v>
      </c>
      <c r="V41" s="6">
        <v>250</v>
      </c>
      <c r="W41" s="6">
        <v>175</v>
      </c>
      <c r="X41" s="6">
        <v>500</v>
      </c>
      <c r="Y41" s="6">
        <v>500</v>
      </c>
      <c r="Z41" s="6">
        <v>250</v>
      </c>
      <c r="AA41" s="6">
        <v>500</v>
      </c>
      <c r="AB41" s="6">
        <v>500</v>
      </c>
      <c r="AC41" s="6">
        <v>250</v>
      </c>
      <c r="AD41" s="6">
        <v>250</v>
      </c>
      <c r="AE41" s="6">
        <v>250</v>
      </c>
      <c r="AF41" s="6">
        <v>250</v>
      </c>
      <c r="AG41" s="6">
        <v>250</v>
      </c>
      <c r="AH41" s="6">
        <v>125</v>
      </c>
      <c r="AI41" s="6">
        <v>125</v>
      </c>
      <c r="AJ41" s="6">
        <v>125</v>
      </c>
      <c r="AK41" s="6">
        <v>125</v>
      </c>
      <c r="AL41" s="6">
        <v>250</v>
      </c>
      <c r="AM41" s="6">
        <v>250</v>
      </c>
      <c r="AN41" s="6">
        <v>250</v>
      </c>
      <c r="AO41" s="6">
        <v>250</v>
      </c>
      <c r="AP41" s="6">
        <v>250</v>
      </c>
      <c r="AQ41" s="6">
        <v>63</v>
      </c>
      <c r="AR41" s="6">
        <v>63</v>
      </c>
      <c r="AS41" s="6">
        <v>250</v>
      </c>
      <c r="AT41" s="6">
        <v>125</v>
      </c>
      <c r="AU41" s="6">
        <v>250</v>
      </c>
      <c r="AV41" s="6">
        <v>250</v>
      </c>
      <c r="AW41" s="6">
        <v>125</v>
      </c>
      <c r="AX41" s="6">
        <v>125</v>
      </c>
      <c r="AY41" s="6">
        <v>250</v>
      </c>
      <c r="AZ41" s="6">
        <v>250</v>
      </c>
      <c r="BA41" s="6">
        <v>250</v>
      </c>
      <c r="BB41" s="6">
        <v>250</v>
      </c>
      <c r="BC41" s="6">
        <v>250</v>
      </c>
      <c r="BD41" s="6">
        <v>250</v>
      </c>
      <c r="BE41" s="6">
        <v>250</v>
      </c>
      <c r="BF41" s="6">
        <v>125</v>
      </c>
      <c r="BG41" s="6">
        <v>125</v>
      </c>
      <c r="BH41" s="6">
        <v>125</v>
      </c>
      <c r="BI41" s="6">
        <v>250</v>
      </c>
      <c r="BJ41" s="6">
        <v>300</v>
      </c>
      <c r="BK41" s="6">
        <v>600</v>
      </c>
      <c r="BL41" s="6">
        <v>300</v>
      </c>
      <c r="BM41" s="6">
        <v>125</v>
      </c>
      <c r="BN41" s="6">
        <v>238</v>
      </c>
      <c r="BO41" s="6">
        <v>125</v>
      </c>
      <c r="BP41" s="6">
        <v>250</v>
      </c>
      <c r="BQ41" s="6">
        <v>500</v>
      </c>
      <c r="BR41" s="6">
        <v>250</v>
      </c>
      <c r="BS41" s="6">
        <v>500</v>
      </c>
      <c r="BT41" s="6">
        <v>500</v>
      </c>
      <c r="BU41" s="6">
        <v>250</v>
      </c>
      <c r="BV41" s="6">
        <v>250</v>
      </c>
      <c r="BW41" s="6">
        <v>238</v>
      </c>
      <c r="BX41" s="6">
        <v>250</v>
      </c>
      <c r="BY41" s="6">
        <v>125</v>
      </c>
      <c r="BZ41" s="6">
        <v>125</v>
      </c>
      <c r="CA41" s="6">
        <v>250</v>
      </c>
      <c r="CB41" s="6">
        <v>238</v>
      </c>
      <c r="CC41" s="6">
        <v>238</v>
      </c>
      <c r="CD41" s="6">
        <v>500</v>
      </c>
      <c r="CE41" s="6">
        <v>500</v>
      </c>
      <c r="CF41" s="6">
        <v>550</v>
      </c>
      <c r="CG41" s="6">
        <v>582</v>
      </c>
      <c r="CH41" s="6">
        <v>90</v>
      </c>
      <c r="CI41" s="6">
        <v>60</v>
      </c>
      <c r="CJ41" s="6">
        <v>60</v>
      </c>
      <c r="CK41" s="6">
        <v>90</v>
      </c>
      <c r="CL41" s="6">
        <v>90</v>
      </c>
      <c r="CM41" s="6">
        <v>90</v>
      </c>
      <c r="CN41" s="6">
        <v>90</v>
      </c>
      <c r="CO41" s="6">
        <v>90</v>
      </c>
      <c r="CP41" s="6">
        <v>90</v>
      </c>
      <c r="CQ41" s="6">
        <v>90</v>
      </c>
      <c r="CR41" s="6">
        <v>90</v>
      </c>
      <c r="CS41" s="6">
        <v>30</v>
      </c>
      <c r="CT41" s="6">
        <v>30</v>
      </c>
      <c r="CU41" s="6">
        <v>30</v>
      </c>
      <c r="CV41" s="6">
        <v>30</v>
      </c>
      <c r="CW41" s="6">
        <v>90</v>
      </c>
      <c r="CX41" s="6">
        <v>90</v>
      </c>
      <c r="CY41" s="6">
        <v>90</v>
      </c>
      <c r="CZ41" s="6">
        <v>90</v>
      </c>
      <c r="DA41" s="6">
        <v>100</v>
      </c>
      <c r="DB41" s="6">
        <v>90</v>
      </c>
      <c r="DC41" s="6">
        <v>90</v>
      </c>
      <c r="DD41" s="6">
        <v>90</v>
      </c>
      <c r="DE41" s="6">
        <v>90</v>
      </c>
      <c r="DF41" s="6">
        <v>60</v>
      </c>
      <c r="DG41" s="6">
        <v>60</v>
      </c>
      <c r="DH41" s="6">
        <v>90</v>
      </c>
      <c r="DI41" s="6">
        <v>90</v>
      </c>
      <c r="DJ41" s="6">
        <v>60</v>
      </c>
      <c r="DK41" s="6">
        <v>60</v>
      </c>
      <c r="DL41" s="6">
        <v>75</v>
      </c>
      <c r="DM41" s="6">
        <v>75</v>
      </c>
      <c r="DN41" s="6">
        <v>60</v>
      </c>
      <c r="DO41" s="6">
        <v>60</v>
      </c>
      <c r="DP41" s="6">
        <v>90</v>
      </c>
      <c r="DQ41" s="6">
        <v>60</v>
      </c>
      <c r="DR41" s="6">
        <v>90</v>
      </c>
      <c r="DS41" s="6">
        <v>90</v>
      </c>
      <c r="DT41" s="6">
        <v>90</v>
      </c>
      <c r="DU41" s="6">
        <v>90</v>
      </c>
      <c r="DV41" s="6">
        <v>90</v>
      </c>
      <c r="DW41" s="6">
        <v>45</v>
      </c>
      <c r="DX41" s="6">
        <v>45</v>
      </c>
      <c r="DY41" s="6">
        <v>45</v>
      </c>
      <c r="DZ41" s="6">
        <v>45</v>
      </c>
      <c r="EA41" s="6">
        <v>60</v>
      </c>
      <c r="EB41" s="6">
        <v>45</v>
      </c>
      <c r="EC41" s="6">
        <v>45</v>
      </c>
      <c r="ED41" s="6">
        <v>60</v>
      </c>
      <c r="EE41" s="6">
        <v>90</v>
      </c>
      <c r="EF41" s="6">
        <v>90</v>
      </c>
      <c r="EG41" s="6">
        <v>90</v>
      </c>
      <c r="EH41" s="6">
        <v>90</v>
      </c>
      <c r="EI41" s="6">
        <v>45</v>
      </c>
      <c r="EJ41" s="6">
        <v>45</v>
      </c>
      <c r="EK41" s="6">
        <v>45</v>
      </c>
      <c r="EL41" s="6">
        <v>45</v>
      </c>
      <c r="EM41" s="6">
        <v>90</v>
      </c>
      <c r="EN41" s="6">
        <v>90</v>
      </c>
      <c r="EO41" s="6">
        <v>45</v>
      </c>
      <c r="EP41" s="6">
        <v>45</v>
      </c>
      <c r="EQ41" s="6">
        <v>45</v>
      </c>
      <c r="ER41" s="6">
        <v>45</v>
      </c>
      <c r="ES41" s="6">
        <v>60</v>
      </c>
      <c r="ET41" s="6">
        <v>60</v>
      </c>
      <c r="EU41" s="6">
        <v>90</v>
      </c>
      <c r="EV41" s="6">
        <v>90</v>
      </c>
      <c r="EW41" s="6">
        <v>90</v>
      </c>
      <c r="EX41" s="6">
        <v>90</v>
      </c>
      <c r="EY41" s="6">
        <v>90</v>
      </c>
      <c r="EZ41" s="6">
        <v>90</v>
      </c>
      <c r="FA41" s="6">
        <v>90</v>
      </c>
      <c r="FB41" s="6">
        <v>90</v>
      </c>
      <c r="FC41" s="6">
        <v>90</v>
      </c>
      <c r="FD41" s="6">
        <v>90</v>
      </c>
      <c r="FE41" s="6">
        <v>90</v>
      </c>
      <c r="FF41" s="6">
        <v>45</v>
      </c>
      <c r="FG41" s="6">
        <v>45</v>
      </c>
      <c r="FH41" s="13">
        <v>90</v>
      </c>
      <c r="FI41" s="6">
        <v>60</v>
      </c>
      <c r="FJ41" s="6">
        <v>90</v>
      </c>
      <c r="FK41" s="6">
        <v>90</v>
      </c>
      <c r="FL41" s="6">
        <v>240</v>
      </c>
      <c r="FM41" s="6">
        <v>240</v>
      </c>
      <c r="FN41" s="6">
        <v>240</v>
      </c>
      <c r="FO41" s="6">
        <v>240</v>
      </c>
      <c r="FP41" s="6">
        <v>240</v>
      </c>
      <c r="FQ41" s="6">
        <v>240</v>
      </c>
      <c r="FR41" s="6">
        <v>240</v>
      </c>
      <c r="FS41" s="6">
        <v>240</v>
      </c>
      <c r="FT41" s="6">
        <v>240</v>
      </c>
      <c r="FU41" s="6">
        <v>240</v>
      </c>
      <c r="FV41" s="6">
        <v>240</v>
      </c>
      <c r="FW41" s="6">
        <v>240</v>
      </c>
      <c r="FX41" s="6">
        <v>240</v>
      </c>
    </row>
    <row r="42" spans="1:180" x14ac:dyDescent="0.3">
      <c r="A42" s="4" t="s">
        <v>3037</v>
      </c>
      <c r="B42" s="6" cm="1">
        <f t="array" ref="B42:FX42">1*TRANSPOSE(_xlfn._xlws.FILTER(transformer!$J$2:$J$181,transformer!$E$2:$E$181&lt;&gt;0))</f>
        <v>125</v>
      </c>
      <c r="C42" s="6">
        <v>63</v>
      </c>
      <c r="D42" s="6">
        <v>125</v>
      </c>
      <c r="E42" s="6">
        <v>250</v>
      </c>
      <c r="F42" s="6">
        <v>250</v>
      </c>
      <c r="G42" s="6">
        <v>250</v>
      </c>
      <c r="H42" s="6">
        <v>250</v>
      </c>
      <c r="I42" s="6">
        <v>250</v>
      </c>
      <c r="J42" s="6">
        <v>250</v>
      </c>
      <c r="K42" s="6">
        <v>250</v>
      </c>
      <c r="L42" s="6">
        <v>250</v>
      </c>
      <c r="M42" s="6">
        <v>250</v>
      </c>
      <c r="N42" s="6">
        <v>250</v>
      </c>
      <c r="O42" s="6">
        <v>250</v>
      </c>
      <c r="P42" s="6">
        <v>250</v>
      </c>
      <c r="Q42" s="6">
        <v>250</v>
      </c>
      <c r="R42" s="6">
        <v>250</v>
      </c>
      <c r="S42" s="6">
        <v>250</v>
      </c>
      <c r="T42" s="6">
        <v>250</v>
      </c>
      <c r="U42" s="6">
        <v>238</v>
      </c>
      <c r="V42" s="6">
        <v>250</v>
      </c>
      <c r="W42" s="6">
        <v>175</v>
      </c>
      <c r="X42" s="6">
        <v>500</v>
      </c>
      <c r="Y42" s="6">
        <v>500</v>
      </c>
      <c r="Z42" s="6">
        <v>250</v>
      </c>
      <c r="AA42" s="6">
        <v>500</v>
      </c>
      <c r="AB42" s="6">
        <v>500</v>
      </c>
      <c r="AC42" s="6">
        <v>250</v>
      </c>
      <c r="AD42" s="6">
        <v>250</v>
      </c>
      <c r="AE42" s="6">
        <v>250</v>
      </c>
      <c r="AF42" s="6">
        <v>250</v>
      </c>
      <c r="AG42" s="6">
        <v>250</v>
      </c>
      <c r="AH42" s="6">
        <v>125</v>
      </c>
      <c r="AI42" s="6">
        <v>125</v>
      </c>
      <c r="AJ42" s="6">
        <v>125</v>
      </c>
      <c r="AK42" s="6">
        <v>125</v>
      </c>
      <c r="AL42" s="6">
        <v>250</v>
      </c>
      <c r="AM42" s="6">
        <v>250</v>
      </c>
      <c r="AN42" s="6">
        <v>250</v>
      </c>
      <c r="AO42" s="6">
        <v>250</v>
      </c>
      <c r="AP42" s="6">
        <v>250</v>
      </c>
      <c r="AQ42" s="6">
        <v>63</v>
      </c>
      <c r="AR42" s="6">
        <v>63</v>
      </c>
      <c r="AS42" s="6">
        <v>250</v>
      </c>
      <c r="AT42" s="6">
        <v>125</v>
      </c>
      <c r="AU42" s="6">
        <v>250</v>
      </c>
      <c r="AV42" s="6">
        <v>250</v>
      </c>
      <c r="AW42" s="6">
        <v>125</v>
      </c>
      <c r="AX42" s="6">
        <v>125</v>
      </c>
      <c r="AY42" s="6">
        <v>250</v>
      </c>
      <c r="AZ42" s="6">
        <v>250</v>
      </c>
      <c r="BA42" s="6">
        <v>250</v>
      </c>
      <c r="BB42" s="6">
        <v>250</v>
      </c>
      <c r="BC42" s="6">
        <v>250</v>
      </c>
      <c r="BD42" s="6">
        <v>250</v>
      </c>
      <c r="BE42" s="6">
        <v>250</v>
      </c>
      <c r="BF42" s="6">
        <v>125</v>
      </c>
      <c r="BG42" s="6">
        <v>125</v>
      </c>
      <c r="BH42" s="6">
        <v>125</v>
      </c>
      <c r="BI42" s="6">
        <v>250</v>
      </c>
      <c r="BJ42" s="6">
        <v>300</v>
      </c>
      <c r="BK42" s="6">
        <v>600</v>
      </c>
      <c r="BL42" s="6">
        <v>300</v>
      </c>
      <c r="BM42" s="6">
        <v>125</v>
      </c>
      <c r="BN42" s="6">
        <v>238</v>
      </c>
      <c r="BO42" s="6">
        <v>125</v>
      </c>
      <c r="BP42" s="6">
        <v>250</v>
      </c>
      <c r="BQ42" s="6">
        <v>500</v>
      </c>
      <c r="BR42" s="6">
        <v>250</v>
      </c>
      <c r="BS42" s="6">
        <v>500</v>
      </c>
      <c r="BT42" s="6">
        <v>500</v>
      </c>
      <c r="BU42" s="6">
        <v>250</v>
      </c>
      <c r="BV42" s="6">
        <v>250</v>
      </c>
      <c r="BW42" s="6">
        <v>238</v>
      </c>
      <c r="BX42" s="6">
        <v>250</v>
      </c>
      <c r="BY42" s="6">
        <v>125</v>
      </c>
      <c r="BZ42" s="6">
        <v>125</v>
      </c>
      <c r="CA42" s="6">
        <v>250</v>
      </c>
      <c r="CB42" s="6">
        <v>238</v>
      </c>
      <c r="CC42" s="6">
        <v>238</v>
      </c>
      <c r="CD42" s="6">
        <v>500</v>
      </c>
      <c r="CE42" s="6">
        <v>500</v>
      </c>
      <c r="CF42" s="6">
        <v>550</v>
      </c>
      <c r="CG42" s="6">
        <v>582</v>
      </c>
      <c r="CH42" s="6">
        <v>90</v>
      </c>
      <c r="CI42" s="6">
        <v>60</v>
      </c>
      <c r="CJ42" s="6">
        <v>60</v>
      </c>
      <c r="CK42" s="6">
        <v>90</v>
      </c>
      <c r="CL42" s="6">
        <v>90</v>
      </c>
      <c r="CM42" s="6">
        <v>90</v>
      </c>
      <c r="CN42" s="6">
        <v>90</v>
      </c>
      <c r="CO42" s="6">
        <v>90</v>
      </c>
      <c r="CP42" s="6">
        <v>90</v>
      </c>
      <c r="CQ42" s="6">
        <v>90</v>
      </c>
      <c r="CR42" s="6">
        <v>90</v>
      </c>
      <c r="CS42" s="6">
        <v>30</v>
      </c>
      <c r="CT42" s="6">
        <v>30</v>
      </c>
      <c r="CU42" s="6">
        <v>30</v>
      </c>
      <c r="CV42" s="6">
        <v>30</v>
      </c>
      <c r="CW42" s="6">
        <v>90</v>
      </c>
      <c r="CX42" s="6">
        <v>90</v>
      </c>
      <c r="CY42" s="6">
        <v>90</v>
      </c>
      <c r="CZ42" s="6">
        <v>90</v>
      </c>
      <c r="DA42" s="6">
        <v>100</v>
      </c>
      <c r="DB42" s="6">
        <v>90</v>
      </c>
      <c r="DC42" s="6">
        <v>90</v>
      </c>
      <c r="DD42" s="6">
        <v>90</v>
      </c>
      <c r="DE42" s="6">
        <v>90</v>
      </c>
      <c r="DF42" s="6">
        <v>60</v>
      </c>
      <c r="DG42" s="6">
        <v>60</v>
      </c>
      <c r="DH42" s="6">
        <v>90</v>
      </c>
      <c r="DI42" s="6">
        <v>90</v>
      </c>
      <c r="DJ42" s="6">
        <v>60</v>
      </c>
      <c r="DK42" s="6">
        <v>60</v>
      </c>
      <c r="DL42" s="6">
        <v>75</v>
      </c>
      <c r="DM42" s="6">
        <v>75</v>
      </c>
      <c r="DN42" s="6">
        <v>60</v>
      </c>
      <c r="DO42" s="6">
        <v>60</v>
      </c>
      <c r="DP42" s="6">
        <v>90</v>
      </c>
      <c r="DQ42" s="6">
        <v>60</v>
      </c>
      <c r="DR42" s="6">
        <v>90</v>
      </c>
      <c r="DS42" s="6">
        <v>90</v>
      </c>
      <c r="DT42" s="6">
        <v>90</v>
      </c>
      <c r="DU42" s="6">
        <v>90</v>
      </c>
      <c r="DV42" s="6">
        <v>90</v>
      </c>
      <c r="DW42" s="6">
        <v>45</v>
      </c>
      <c r="DX42" s="6">
        <v>45</v>
      </c>
      <c r="DY42" s="6">
        <v>45</v>
      </c>
      <c r="DZ42" s="6">
        <v>45</v>
      </c>
      <c r="EA42" s="6">
        <v>60</v>
      </c>
      <c r="EB42" s="6">
        <v>45</v>
      </c>
      <c r="EC42" s="6">
        <v>45</v>
      </c>
      <c r="ED42" s="6">
        <v>60</v>
      </c>
      <c r="EE42" s="6">
        <v>90</v>
      </c>
      <c r="EF42" s="6">
        <v>90</v>
      </c>
      <c r="EG42" s="6">
        <v>90</v>
      </c>
      <c r="EH42" s="6">
        <v>90</v>
      </c>
      <c r="EI42" s="6">
        <v>45</v>
      </c>
      <c r="EJ42" s="6">
        <v>45</v>
      </c>
      <c r="EK42" s="6">
        <v>45</v>
      </c>
      <c r="EL42" s="6">
        <v>45</v>
      </c>
      <c r="EM42" s="6">
        <v>90</v>
      </c>
      <c r="EN42" s="6">
        <v>90</v>
      </c>
      <c r="EO42" s="6">
        <v>45</v>
      </c>
      <c r="EP42" s="6">
        <v>45</v>
      </c>
      <c r="EQ42" s="6">
        <v>45</v>
      </c>
      <c r="ER42" s="6">
        <v>45</v>
      </c>
      <c r="ES42" s="6">
        <v>60</v>
      </c>
      <c r="ET42" s="6">
        <v>60</v>
      </c>
      <c r="EU42" s="6">
        <v>90</v>
      </c>
      <c r="EV42" s="6">
        <v>90</v>
      </c>
      <c r="EW42" s="6">
        <v>90</v>
      </c>
      <c r="EX42" s="6">
        <v>90</v>
      </c>
      <c r="EY42" s="6">
        <v>90</v>
      </c>
      <c r="EZ42" s="6">
        <v>90</v>
      </c>
      <c r="FA42" s="6">
        <v>90</v>
      </c>
      <c r="FB42" s="6">
        <v>90</v>
      </c>
      <c r="FC42" s="6">
        <v>90</v>
      </c>
      <c r="FD42" s="6">
        <v>90</v>
      </c>
      <c r="FE42" s="6">
        <v>90</v>
      </c>
      <c r="FF42" s="6">
        <v>45</v>
      </c>
      <c r="FG42" s="6">
        <v>45</v>
      </c>
      <c r="FH42" s="13">
        <v>90</v>
      </c>
      <c r="FI42" s="6">
        <v>60</v>
      </c>
      <c r="FJ42" s="6">
        <v>90</v>
      </c>
      <c r="FK42" s="6">
        <v>90</v>
      </c>
      <c r="FL42" s="6">
        <v>240</v>
      </c>
      <c r="FM42" s="6">
        <v>240</v>
      </c>
      <c r="FN42" s="6">
        <v>240</v>
      </c>
      <c r="FO42" s="6">
        <v>240</v>
      </c>
      <c r="FP42" s="6">
        <v>240</v>
      </c>
      <c r="FQ42" s="6">
        <v>240</v>
      </c>
      <c r="FR42" s="6">
        <v>240</v>
      </c>
      <c r="FS42" s="6">
        <v>240</v>
      </c>
      <c r="FT42" s="6">
        <v>240</v>
      </c>
      <c r="FU42" s="6">
        <v>240</v>
      </c>
      <c r="FV42" s="6">
        <v>240</v>
      </c>
      <c r="FW42" s="6">
        <v>240</v>
      </c>
      <c r="FX42" s="6">
        <v>240</v>
      </c>
    </row>
    <row r="43" spans="1:180" x14ac:dyDescent="0.3">
      <c r="A43" s="4" t="s">
        <v>3038</v>
      </c>
      <c r="B43" s="6" cm="1">
        <f t="array" ref="B43:FX43">1*TRANSPOSE(_xlfn._xlws.FILTER(transformer!$J$2:$J$181,transformer!$E$2:$E$181&lt;&gt;0))</f>
        <v>125</v>
      </c>
      <c r="C43" s="6">
        <v>63</v>
      </c>
      <c r="D43" s="6">
        <v>125</v>
      </c>
      <c r="E43" s="6">
        <v>250</v>
      </c>
      <c r="F43" s="6">
        <v>250</v>
      </c>
      <c r="G43" s="6">
        <v>250</v>
      </c>
      <c r="H43" s="6">
        <v>250</v>
      </c>
      <c r="I43" s="6">
        <v>250</v>
      </c>
      <c r="J43" s="6">
        <v>250</v>
      </c>
      <c r="K43" s="6">
        <v>250</v>
      </c>
      <c r="L43" s="6">
        <v>250</v>
      </c>
      <c r="M43" s="6">
        <v>250</v>
      </c>
      <c r="N43" s="6">
        <v>250</v>
      </c>
      <c r="O43" s="6">
        <v>250</v>
      </c>
      <c r="P43" s="6">
        <v>250</v>
      </c>
      <c r="Q43" s="6">
        <v>250</v>
      </c>
      <c r="R43" s="6">
        <v>250</v>
      </c>
      <c r="S43" s="6">
        <v>250</v>
      </c>
      <c r="T43" s="6">
        <v>250</v>
      </c>
      <c r="U43" s="6">
        <v>238</v>
      </c>
      <c r="V43" s="6">
        <v>250</v>
      </c>
      <c r="W43" s="6">
        <v>175</v>
      </c>
      <c r="X43" s="6">
        <v>500</v>
      </c>
      <c r="Y43" s="6">
        <v>500</v>
      </c>
      <c r="Z43" s="6">
        <v>250</v>
      </c>
      <c r="AA43" s="6">
        <v>500</v>
      </c>
      <c r="AB43" s="6">
        <v>500</v>
      </c>
      <c r="AC43" s="6">
        <v>250</v>
      </c>
      <c r="AD43" s="6">
        <v>250</v>
      </c>
      <c r="AE43" s="6">
        <v>250</v>
      </c>
      <c r="AF43" s="6">
        <v>250</v>
      </c>
      <c r="AG43" s="6">
        <v>250</v>
      </c>
      <c r="AH43" s="6">
        <v>125</v>
      </c>
      <c r="AI43" s="6">
        <v>125</v>
      </c>
      <c r="AJ43" s="6">
        <v>125</v>
      </c>
      <c r="AK43" s="6">
        <v>125</v>
      </c>
      <c r="AL43" s="6">
        <v>250</v>
      </c>
      <c r="AM43" s="6">
        <v>250</v>
      </c>
      <c r="AN43" s="6">
        <v>250</v>
      </c>
      <c r="AO43" s="6">
        <v>250</v>
      </c>
      <c r="AP43" s="6">
        <v>250</v>
      </c>
      <c r="AQ43" s="6">
        <v>63</v>
      </c>
      <c r="AR43" s="6">
        <v>63</v>
      </c>
      <c r="AS43" s="6">
        <v>250</v>
      </c>
      <c r="AT43" s="6">
        <v>125</v>
      </c>
      <c r="AU43" s="6">
        <v>250</v>
      </c>
      <c r="AV43" s="6">
        <v>250</v>
      </c>
      <c r="AW43" s="6">
        <v>125</v>
      </c>
      <c r="AX43" s="6">
        <v>125</v>
      </c>
      <c r="AY43" s="6">
        <v>250</v>
      </c>
      <c r="AZ43" s="6">
        <v>250</v>
      </c>
      <c r="BA43" s="6">
        <v>250</v>
      </c>
      <c r="BB43" s="6">
        <v>250</v>
      </c>
      <c r="BC43" s="6">
        <v>250</v>
      </c>
      <c r="BD43" s="6">
        <v>250</v>
      </c>
      <c r="BE43" s="6">
        <v>250</v>
      </c>
      <c r="BF43" s="6">
        <v>125</v>
      </c>
      <c r="BG43" s="6">
        <v>125</v>
      </c>
      <c r="BH43" s="6">
        <v>125</v>
      </c>
      <c r="BI43" s="6">
        <v>250</v>
      </c>
      <c r="BJ43" s="6">
        <v>300</v>
      </c>
      <c r="BK43" s="6">
        <v>600</v>
      </c>
      <c r="BL43" s="6">
        <v>300</v>
      </c>
      <c r="BM43" s="6">
        <v>125</v>
      </c>
      <c r="BN43" s="6">
        <v>238</v>
      </c>
      <c r="BO43" s="6">
        <v>125</v>
      </c>
      <c r="BP43" s="6">
        <v>250</v>
      </c>
      <c r="BQ43" s="6">
        <v>500</v>
      </c>
      <c r="BR43" s="6">
        <v>250</v>
      </c>
      <c r="BS43" s="6">
        <v>500</v>
      </c>
      <c r="BT43" s="6">
        <v>500</v>
      </c>
      <c r="BU43" s="6">
        <v>250</v>
      </c>
      <c r="BV43" s="6">
        <v>250</v>
      </c>
      <c r="BW43" s="6">
        <v>238</v>
      </c>
      <c r="BX43" s="6">
        <v>250</v>
      </c>
      <c r="BY43" s="6">
        <v>125</v>
      </c>
      <c r="BZ43" s="6">
        <v>125</v>
      </c>
      <c r="CA43" s="6">
        <v>250</v>
      </c>
      <c r="CB43" s="6">
        <v>238</v>
      </c>
      <c r="CC43" s="6">
        <v>238</v>
      </c>
      <c r="CD43" s="6">
        <v>500</v>
      </c>
      <c r="CE43" s="6">
        <v>500</v>
      </c>
      <c r="CF43" s="6">
        <v>550</v>
      </c>
      <c r="CG43" s="6">
        <v>582</v>
      </c>
      <c r="CH43" s="6">
        <v>90</v>
      </c>
      <c r="CI43" s="6">
        <v>60</v>
      </c>
      <c r="CJ43" s="6">
        <v>60</v>
      </c>
      <c r="CK43" s="6">
        <v>90</v>
      </c>
      <c r="CL43" s="6">
        <v>90</v>
      </c>
      <c r="CM43" s="6">
        <v>90</v>
      </c>
      <c r="CN43" s="6">
        <v>90</v>
      </c>
      <c r="CO43" s="6">
        <v>90</v>
      </c>
      <c r="CP43" s="6">
        <v>90</v>
      </c>
      <c r="CQ43" s="6">
        <v>90</v>
      </c>
      <c r="CR43" s="6">
        <v>90</v>
      </c>
      <c r="CS43" s="6">
        <v>30</v>
      </c>
      <c r="CT43" s="6">
        <v>30</v>
      </c>
      <c r="CU43" s="6">
        <v>30</v>
      </c>
      <c r="CV43" s="6">
        <v>30</v>
      </c>
      <c r="CW43" s="6">
        <v>90</v>
      </c>
      <c r="CX43" s="6">
        <v>90</v>
      </c>
      <c r="CY43" s="6">
        <v>90</v>
      </c>
      <c r="CZ43" s="6">
        <v>90</v>
      </c>
      <c r="DA43" s="6">
        <v>100</v>
      </c>
      <c r="DB43" s="6">
        <v>90</v>
      </c>
      <c r="DC43" s="6">
        <v>90</v>
      </c>
      <c r="DD43" s="6">
        <v>90</v>
      </c>
      <c r="DE43" s="6">
        <v>90</v>
      </c>
      <c r="DF43" s="6">
        <v>60</v>
      </c>
      <c r="DG43" s="6">
        <v>60</v>
      </c>
      <c r="DH43" s="6">
        <v>90</v>
      </c>
      <c r="DI43" s="6">
        <v>90</v>
      </c>
      <c r="DJ43" s="6">
        <v>60</v>
      </c>
      <c r="DK43" s="6">
        <v>60</v>
      </c>
      <c r="DL43" s="6">
        <v>75</v>
      </c>
      <c r="DM43" s="6">
        <v>75</v>
      </c>
      <c r="DN43" s="6">
        <v>60</v>
      </c>
      <c r="DO43" s="6">
        <v>60</v>
      </c>
      <c r="DP43" s="6">
        <v>90</v>
      </c>
      <c r="DQ43" s="6">
        <v>60</v>
      </c>
      <c r="DR43" s="6">
        <v>90</v>
      </c>
      <c r="DS43" s="6">
        <v>90</v>
      </c>
      <c r="DT43" s="6">
        <v>90</v>
      </c>
      <c r="DU43" s="6">
        <v>90</v>
      </c>
      <c r="DV43" s="6">
        <v>90</v>
      </c>
      <c r="DW43" s="6">
        <v>45</v>
      </c>
      <c r="DX43" s="6">
        <v>45</v>
      </c>
      <c r="DY43" s="6">
        <v>45</v>
      </c>
      <c r="DZ43" s="6">
        <v>45</v>
      </c>
      <c r="EA43" s="6">
        <v>60</v>
      </c>
      <c r="EB43" s="6">
        <v>45</v>
      </c>
      <c r="EC43" s="6">
        <v>45</v>
      </c>
      <c r="ED43" s="6">
        <v>60</v>
      </c>
      <c r="EE43" s="6">
        <v>90</v>
      </c>
      <c r="EF43" s="6">
        <v>90</v>
      </c>
      <c r="EG43" s="6">
        <v>90</v>
      </c>
      <c r="EH43" s="6">
        <v>90</v>
      </c>
      <c r="EI43" s="6">
        <v>45</v>
      </c>
      <c r="EJ43" s="6">
        <v>45</v>
      </c>
      <c r="EK43" s="6">
        <v>45</v>
      </c>
      <c r="EL43" s="6">
        <v>45</v>
      </c>
      <c r="EM43" s="6">
        <v>90</v>
      </c>
      <c r="EN43" s="6">
        <v>90</v>
      </c>
      <c r="EO43" s="6">
        <v>45</v>
      </c>
      <c r="EP43" s="6">
        <v>45</v>
      </c>
      <c r="EQ43" s="6">
        <v>45</v>
      </c>
      <c r="ER43" s="6">
        <v>45</v>
      </c>
      <c r="ES43" s="6">
        <v>60</v>
      </c>
      <c r="ET43" s="6">
        <v>60</v>
      </c>
      <c r="EU43" s="6">
        <v>90</v>
      </c>
      <c r="EV43" s="6">
        <v>90</v>
      </c>
      <c r="EW43" s="6">
        <v>90</v>
      </c>
      <c r="EX43" s="6">
        <v>90</v>
      </c>
      <c r="EY43" s="6">
        <v>90</v>
      </c>
      <c r="EZ43" s="6">
        <v>90</v>
      </c>
      <c r="FA43" s="6">
        <v>90</v>
      </c>
      <c r="FB43" s="6">
        <v>90</v>
      </c>
      <c r="FC43" s="6">
        <v>90</v>
      </c>
      <c r="FD43" s="6">
        <v>90</v>
      </c>
      <c r="FE43" s="6">
        <v>90</v>
      </c>
      <c r="FF43" s="6">
        <v>45</v>
      </c>
      <c r="FG43" s="6">
        <v>45</v>
      </c>
      <c r="FH43" s="13">
        <v>90</v>
      </c>
      <c r="FI43" s="6">
        <v>60</v>
      </c>
      <c r="FJ43" s="6">
        <v>90</v>
      </c>
      <c r="FK43" s="6">
        <v>90</v>
      </c>
      <c r="FL43" s="6">
        <v>240</v>
      </c>
      <c r="FM43" s="6">
        <v>240</v>
      </c>
      <c r="FN43" s="6">
        <v>240</v>
      </c>
      <c r="FO43" s="6">
        <v>240</v>
      </c>
      <c r="FP43" s="6">
        <v>240</v>
      </c>
      <c r="FQ43" s="6">
        <v>240</v>
      </c>
      <c r="FR43" s="6">
        <v>240</v>
      </c>
      <c r="FS43" s="6">
        <v>240</v>
      </c>
      <c r="FT43" s="6">
        <v>240</v>
      </c>
      <c r="FU43" s="6">
        <v>240</v>
      </c>
      <c r="FV43" s="6">
        <v>240</v>
      </c>
      <c r="FW43" s="6">
        <v>240</v>
      </c>
      <c r="FX43" s="6">
        <v>240</v>
      </c>
    </row>
    <row r="44" spans="1:180" x14ac:dyDescent="0.3">
      <c r="A44" s="4" t="s">
        <v>3039</v>
      </c>
      <c r="B44" s="6" cm="1">
        <f t="array" ref="B44:FX44">1*TRANSPOSE(_xlfn._xlws.FILTER(transformer!$J$2:$J$181,transformer!$E$2:$E$181&lt;&gt;0))</f>
        <v>125</v>
      </c>
      <c r="C44" s="6">
        <v>63</v>
      </c>
      <c r="D44" s="6">
        <v>125</v>
      </c>
      <c r="E44" s="6">
        <v>250</v>
      </c>
      <c r="F44" s="6">
        <v>250</v>
      </c>
      <c r="G44" s="6">
        <v>250</v>
      </c>
      <c r="H44" s="6">
        <v>250</v>
      </c>
      <c r="I44" s="6">
        <v>250</v>
      </c>
      <c r="J44" s="6">
        <v>250</v>
      </c>
      <c r="K44" s="6">
        <v>250</v>
      </c>
      <c r="L44" s="6">
        <v>250</v>
      </c>
      <c r="M44" s="6">
        <v>250</v>
      </c>
      <c r="N44" s="6">
        <v>250</v>
      </c>
      <c r="O44" s="6">
        <v>250</v>
      </c>
      <c r="P44" s="6">
        <v>250</v>
      </c>
      <c r="Q44" s="6">
        <v>250</v>
      </c>
      <c r="R44" s="6">
        <v>250</v>
      </c>
      <c r="S44" s="6">
        <v>250</v>
      </c>
      <c r="T44" s="6">
        <v>250</v>
      </c>
      <c r="U44" s="6">
        <v>238</v>
      </c>
      <c r="V44" s="6">
        <v>250</v>
      </c>
      <c r="W44" s="6">
        <v>175</v>
      </c>
      <c r="X44" s="6">
        <v>500</v>
      </c>
      <c r="Y44" s="6">
        <v>500</v>
      </c>
      <c r="Z44" s="6">
        <v>250</v>
      </c>
      <c r="AA44" s="6">
        <v>500</v>
      </c>
      <c r="AB44" s="6">
        <v>500</v>
      </c>
      <c r="AC44" s="6">
        <v>250</v>
      </c>
      <c r="AD44" s="6">
        <v>250</v>
      </c>
      <c r="AE44" s="6">
        <v>250</v>
      </c>
      <c r="AF44" s="6">
        <v>250</v>
      </c>
      <c r="AG44" s="6">
        <v>250</v>
      </c>
      <c r="AH44" s="6">
        <v>125</v>
      </c>
      <c r="AI44" s="6">
        <v>125</v>
      </c>
      <c r="AJ44" s="6">
        <v>125</v>
      </c>
      <c r="AK44" s="6">
        <v>125</v>
      </c>
      <c r="AL44" s="6">
        <v>250</v>
      </c>
      <c r="AM44" s="6">
        <v>250</v>
      </c>
      <c r="AN44" s="6">
        <v>250</v>
      </c>
      <c r="AO44" s="6">
        <v>250</v>
      </c>
      <c r="AP44" s="6">
        <v>250</v>
      </c>
      <c r="AQ44" s="6">
        <v>63</v>
      </c>
      <c r="AR44" s="6">
        <v>63</v>
      </c>
      <c r="AS44" s="6">
        <v>250</v>
      </c>
      <c r="AT44" s="6">
        <v>125</v>
      </c>
      <c r="AU44" s="6">
        <v>250</v>
      </c>
      <c r="AV44" s="6">
        <v>250</v>
      </c>
      <c r="AW44" s="6">
        <v>125</v>
      </c>
      <c r="AX44" s="6">
        <v>125</v>
      </c>
      <c r="AY44" s="6">
        <v>250</v>
      </c>
      <c r="AZ44" s="6">
        <v>250</v>
      </c>
      <c r="BA44" s="6">
        <v>250</v>
      </c>
      <c r="BB44" s="6">
        <v>250</v>
      </c>
      <c r="BC44" s="6">
        <v>250</v>
      </c>
      <c r="BD44" s="6">
        <v>250</v>
      </c>
      <c r="BE44" s="6">
        <v>250</v>
      </c>
      <c r="BF44" s="6">
        <v>125</v>
      </c>
      <c r="BG44" s="6">
        <v>125</v>
      </c>
      <c r="BH44" s="6">
        <v>125</v>
      </c>
      <c r="BI44" s="6">
        <v>250</v>
      </c>
      <c r="BJ44" s="6">
        <v>300</v>
      </c>
      <c r="BK44" s="6">
        <v>600</v>
      </c>
      <c r="BL44" s="6">
        <v>300</v>
      </c>
      <c r="BM44" s="6">
        <v>125</v>
      </c>
      <c r="BN44" s="6">
        <v>238</v>
      </c>
      <c r="BO44" s="6">
        <v>125</v>
      </c>
      <c r="BP44" s="6">
        <v>250</v>
      </c>
      <c r="BQ44" s="6">
        <v>500</v>
      </c>
      <c r="BR44" s="6">
        <v>250</v>
      </c>
      <c r="BS44" s="6">
        <v>500</v>
      </c>
      <c r="BT44" s="6">
        <v>500</v>
      </c>
      <c r="BU44" s="6">
        <v>250</v>
      </c>
      <c r="BV44" s="6">
        <v>250</v>
      </c>
      <c r="BW44" s="6">
        <v>238</v>
      </c>
      <c r="BX44" s="6">
        <v>250</v>
      </c>
      <c r="BY44" s="6">
        <v>125</v>
      </c>
      <c r="BZ44" s="6">
        <v>125</v>
      </c>
      <c r="CA44" s="6">
        <v>250</v>
      </c>
      <c r="CB44" s="6">
        <v>238</v>
      </c>
      <c r="CC44" s="6">
        <v>238</v>
      </c>
      <c r="CD44" s="6">
        <v>500</v>
      </c>
      <c r="CE44" s="6">
        <v>500</v>
      </c>
      <c r="CF44" s="6">
        <v>550</v>
      </c>
      <c r="CG44" s="6">
        <v>582</v>
      </c>
      <c r="CH44" s="6">
        <v>90</v>
      </c>
      <c r="CI44" s="6">
        <v>60</v>
      </c>
      <c r="CJ44" s="6">
        <v>60</v>
      </c>
      <c r="CK44" s="6">
        <v>90</v>
      </c>
      <c r="CL44" s="6">
        <v>90</v>
      </c>
      <c r="CM44" s="6">
        <v>90</v>
      </c>
      <c r="CN44" s="6">
        <v>90</v>
      </c>
      <c r="CO44" s="6">
        <v>90</v>
      </c>
      <c r="CP44" s="6">
        <v>90</v>
      </c>
      <c r="CQ44" s="6">
        <v>90</v>
      </c>
      <c r="CR44" s="6">
        <v>90</v>
      </c>
      <c r="CS44" s="6">
        <v>30</v>
      </c>
      <c r="CT44" s="6">
        <v>30</v>
      </c>
      <c r="CU44" s="6">
        <v>30</v>
      </c>
      <c r="CV44" s="6">
        <v>30</v>
      </c>
      <c r="CW44" s="6">
        <v>90</v>
      </c>
      <c r="CX44" s="6">
        <v>90</v>
      </c>
      <c r="CY44" s="6">
        <v>90</v>
      </c>
      <c r="CZ44" s="6">
        <v>90</v>
      </c>
      <c r="DA44" s="6">
        <v>100</v>
      </c>
      <c r="DB44" s="6">
        <v>90</v>
      </c>
      <c r="DC44" s="6">
        <v>90</v>
      </c>
      <c r="DD44" s="6">
        <v>90</v>
      </c>
      <c r="DE44" s="6">
        <v>90</v>
      </c>
      <c r="DF44" s="6">
        <v>60</v>
      </c>
      <c r="DG44" s="6">
        <v>60</v>
      </c>
      <c r="DH44" s="6">
        <v>90</v>
      </c>
      <c r="DI44" s="6">
        <v>90</v>
      </c>
      <c r="DJ44" s="6">
        <v>60</v>
      </c>
      <c r="DK44" s="6">
        <v>60</v>
      </c>
      <c r="DL44" s="6">
        <v>75</v>
      </c>
      <c r="DM44" s="6">
        <v>75</v>
      </c>
      <c r="DN44" s="6">
        <v>60</v>
      </c>
      <c r="DO44" s="6">
        <v>60</v>
      </c>
      <c r="DP44" s="6">
        <v>90</v>
      </c>
      <c r="DQ44" s="6">
        <v>60</v>
      </c>
      <c r="DR44" s="6">
        <v>90</v>
      </c>
      <c r="DS44" s="6">
        <v>90</v>
      </c>
      <c r="DT44" s="6">
        <v>90</v>
      </c>
      <c r="DU44" s="6">
        <v>90</v>
      </c>
      <c r="DV44" s="6">
        <v>90</v>
      </c>
      <c r="DW44" s="6">
        <v>45</v>
      </c>
      <c r="DX44" s="6">
        <v>45</v>
      </c>
      <c r="DY44" s="6">
        <v>45</v>
      </c>
      <c r="DZ44" s="6">
        <v>45</v>
      </c>
      <c r="EA44" s="6">
        <v>60</v>
      </c>
      <c r="EB44" s="6">
        <v>45</v>
      </c>
      <c r="EC44" s="6">
        <v>45</v>
      </c>
      <c r="ED44" s="6">
        <v>60</v>
      </c>
      <c r="EE44" s="6">
        <v>90</v>
      </c>
      <c r="EF44" s="6">
        <v>90</v>
      </c>
      <c r="EG44" s="6">
        <v>90</v>
      </c>
      <c r="EH44" s="6">
        <v>90</v>
      </c>
      <c r="EI44" s="6">
        <v>45</v>
      </c>
      <c r="EJ44" s="6">
        <v>45</v>
      </c>
      <c r="EK44" s="6">
        <v>45</v>
      </c>
      <c r="EL44" s="6">
        <v>45</v>
      </c>
      <c r="EM44" s="6">
        <v>90</v>
      </c>
      <c r="EN44" s="6">
        <v>90</v>
      </c>
      <c r="EO44" s="6">
        <v>45</v>
      </c>
      <c r="EP44" s="6">
        <v>45</v>
      </c>
      <c r="EQ44" s="6">
        <v>45</v>
      </c>
      <c r="ER44" s="6">
        <v>45</v>
      </c>
      <c r="ES44" s="6">
        <v>60</v>
      </c>
      <c r="ET44" s="6">
        <v>60</v>
      </c>
      <c r="EU44" s="6">
        <v>90</v>
      </c>
      <c r="EV44" s="6">
        <v>90</v>
      </c>
      <c r="EW44" s="6">
        <v>90</v>
      </c>
      <c r="EX44" s="6">
        <v>90</v>
      </c>
      <c r="EY44" s="6">
        <v>90</v>
      </c>
      <c r="EZ44" s="6">
        <v>90</v>
      </c>
      <c r="FA44" s="6">
        <v>90</v>
      </c>
      <c r="FB44" s="6">
        <v>90</v>
      </c>
      <c r="FC44" s="6">
        <v>90</v>
      </c>
      <c r="FD44" s="6">
        <v>90</v>
      </c>
      <c r="FE44" s="6">
        <v>90</v>
      </c>
      <c r="FF44" s="6">
        <v>45</v>
      </c>
      <c r="FG44" s="6">
        <v>45</v>
      </c>
      <c r="FH44" s="13">
        <v>90</v>
      </c>
      <c r="FI44" s="6">
        <v>60</v>
      </c>
      <c r="FJ44" s="6">
        <v>90</v>
      </c>
      <c r="FK44" s="6">
        <v>90</v>
      </c>
      <c r="FL44" s="6">
        <v>240</v>
      </c>
      <c r="FM44" s="6">
        <v>240</v>
      </c>
      <c r="FN44" s="6">
        <v>240</v>
      </c>
      <c r="FO44" s="6">
        <v>240</v>
      </c>
      <c r="FP44" s="6">
        <v>240</v>
      </c>
      <c r="FQ44" s="6">
        <v>240</v>
      </c>
      <c r="FR44" s="6">
        <v>240</v>
      </c>
      <c r="FS44" s="6">
        <v>240</v>
      </c>
      <c r="FT44" s="6">
        <v>240</v>
      </c>
      <c r="FU44" s="6">
        <v>240</v>
      </c>
      <c r="FV44" s="6">
        <v>240</v>
      </c>
      <c r="FW44" s="6">
        <v>240</v>
      </c>
      <c r="FX44" s="6">
        <v>240</v>
      </c>
    </row>
    <row r="45" spans="1:180" x14ac:dyDescent="0.3">
      <c r="A45" s="4" t="s">
        <v>3040</v>
      </c>
      <c r="B45" s="6" cm="1">
        <f t="array" ref="B45:FX45">1*TRANSPOSE(_xlfn._xlws.FILTER(transformer!$J$2:$J$181,transformer!$E$2:$E$181&lt;&gt;0))</f>
        <v>125</v>
      </c>
      <c r="C45" s="6">
        <v>63</v>
      </c>
      <c r="D45" s="6">
        <v>125</v>
      </c>
      <c r="E45" s="6">
        <v>250</v>
      </c>
      <c r="F45" s="6">
        <v>250</v>
      </c>
      <c r="G45" s="6">
        <v>250</v>
      </c>
      <c r="H45" s="6">
        <v>250</v>
      </c>
      <c r="I45" s="6">
        <v>250</v>
      </c>
      <c r="J45" s="6">
        <v>250</v>
      </c>
      <c r="K45" s="6">
        <v>250</v>
      </c>
      <c r="L45" s="6">
        <v>250</v>
      </c>
      <c r="M45" s="6">
        <v>250</v>
      </c>
      <c r="N45" s="6">
        <v>250</v>
      </c>
      <c r="O45" s="6">
        <v>250</v>
      </c>
      <c r="P45" s="6">
        <v>250</v>
      </c>
      <c r="Q45" s="6">
        <v>250</v>
      </c>
      <c r="R45" s="6">
        <v>250</v>
      </c>
      <c r="S45" s="6">
        <v>250</v>
      </c>
      <c r="T45" s="6">
        <v>250</v>
      </c>
      <c r="U45" s="6">
        <v>238</v>
      </c>
      <c r="V45" s="6">
        <v>250</v>
      </c>
      <c r="W45" s="6">
        <v>175</v>
      </c>
      <c r="X45" s="6">
        <v>500</v>
      </c>
      <c r="Y45" s="6">
        <v>500</v>
      </c>
      <c r="Z45" s="6">
        <v>250</v>
      </c>
      <c r="AA45" s="6">
        <v>500</v>
      </c>
      <c r="AB45" s="6">
        <v>500</v>
      </c>
      <c r="AC45" s="6">
        <v>250</v>
      </c>
      <c r="AD45" s="6">
        <v>250</v>
      </c>
      <c r="AE45" s="6">
        <v>250</v>
      </c>
      <c r="AF45" s="6">
        <v>250</v>
      </c>
      <c r="AG45" s="6">
        <v>250</v>
      </c>
      <c r="AH45" s="6">
        <v>125</v>
      </c>
      <c r="AI45" s="6">
        <v>125</v>
      </c>
      <c r="AJ45" s="6">
        <v>125</v>
      </c>
      <c r="AK45" s="6">
        <v>125</v>
      </c>
      <c r="AL45" s="6">
        <v>250</v>
      </c>
      <c r="AM45" s="6">
        <v>250</v>
      </c>
      <c r="AN45" s="6">
        <v>250</v>
      </c>
      <c r="AO45" s="6">
        <v>250</v>
      </c>
      <c r="AP45" s="6">
        <v>250</v>
      </c>
      <c r="AQ45" s="6">
        <v>63</v>
      </c>
      <c r="AR45" s="6">
        <v>63</v>
      </c>
      <c r="AS45" s="6">
        <v>250</v>
      </c>
      <c r="AT45" s="6">
        <v>125</v>
      </c>
      <c r="AU45" s="6">
        <v>250</v>
      </c>
      <c r="AV45" s="6">
        <v>250</v>
      </c>
      <c r="AW45" s="6">
        <v>125</v>
      </c>
      <c r="AX45" s="6">
        <v>125</v>
      </c>
      <c r="AY45" s="6">
        <v>250</v>
      </c>
      <c r="AZ45" s="6">
        <v>250</v>
      </c>
      <c r="BA45" s="6">
        <v>250</v>
      </c>
      <c r="BB45" s="6">
        <v>250</v>
      </c>
      <c r="BC45" s="6">
        <v>250</v>
      </c>
      <c r="BD45" s="6">
        <v>250</v>
      </c>
      <c r="BE45" s="6">
        <v>250</v>
      </c>
      <c r="BF45" s="6">
        <v>125</v>
      </c>
      <c r="BG45" s="6">
        <v>125</v>
      </c>
      <c r="BH45" s="6">
        <v>125</v>
      </c>
      <c r="BI45" s="6">
        <v>250</v>
      </c>
      <c r="BJ45" s="6">
        <v>300</v>
      </c>
      <c r="BK45" s="6">
        <v>600</v>
      </c>
      <c r="BL45" s="6">
        <v>300</v>
      </c>
      <c r="BM45" s="6">
        <v>125</v>
      </c>
      <c r="BN45" s="6">
        <v>238</v>
      </c>
      <c r="BO45" s="6">
        <v>125</v>
      </c>
      <c r="BP45" s="6">
        <v>250</v>
      </c>
      <c r="BQ45" s="6">
        <v>500</v>
      </c>
      <c r="BR45" s="6">
        <v>250</v>
      </c>
      <c r="BS45" s="6">
        <v>500</v>
      </c>
      <c r="BT45" s="6">
        <v>500</v>
      </c>
      <c r="BU45" s="6">
        <v>250</v>
      </c>
      <c r="BV45" s="6">
        <v>250</v>
      </c>
      <c r="BW45" s="6">
        <v>238</v>
      </c>
      <c r="BX45" s="6">
        <v>250</v>
      </c>
      <c r="BY45" s="6">
        <v>125</v>
      </c>
      <c r="BZ45" s="6">
        <v>125</v>
      </c>
      <c r="CA45" s="6">
        <v>250</v>
      </c>
      <c r="CB45" s="6">
        <v>238</v>
      </c>
      <c r="CC45" s="6">
        <v>238</v>
      </c>
      <c r="CD45" s="6">
        <v>500</v>
      </c>
      <c r="CE45" s="6">
        <v>500</v>
      </c>
      <c r="CF45" s="6">
        <v>550</v>
      </c>
      <c r="CG45" s="6">
        <v>582</v>
      </c>
      <c r="CH45" s="6">
        <v>90</v>
      </c>
      <c r="CI45" s="6">
        <v>60</v>
      </c>
      <c r="CJ45" s="6">
        <v>60</v>
      </c>
      <c r="CK45" s="6">
        <v>90</v>
      </c>
      <c r="CL45" s="6">
        <v>90</v>
      </c>
      <c r="CM45" s="6">
        <v>90</v>
      </c>
      <c r="CN45" s="6">
        <v>90</v>
      </c>
      <c r="CO45" s="6">
        <v>90</v>
      </c>
      <c r="CP45" s="6">
        <v>90</v>
      </c>
      <c r="CQ45" s="6">
        <v>90</v>
      </c>
      <c r="CR45" s="6">
        <v>90</v>
      </c>
      <c r="CS45" s="6">
        <v>30</v>
      </c>
      <c r="CT45" s="6">
        <v>30</v>
      </c>
      <c r="CU45" s="6">
        <v>30</v>
      </c>
      <c r="CV45" s="6">
        <v>30</v>
      </c>
      <c r="CW45" s="6">
        <v>90</v>
      </c>
      <c r="CX45" s="6">
        <v>90</v>
      </c>
      <c r="CY45" s="6">
        <v>90</v>
      </c>
      <c r="CZ45" s="6">
        <v>90</v>
      </c>
      <c r="DA45" s="6">
        <v>100</v>
      </c>
      <c r="DB45" s="6">
        <v>90</v>
      </c>
      <c r="DC45" s="6">
        <v>90</v>
      </c>
      <c r="DD45" s="6">
        <v>90</v>
      </c>
      <c r="DE45" s="6">
        <v>90</v>
      </c>
      <c r="DF45" s="6">
        <v>60</v>
      </c>
      <c r="DG45" s="6">
        <v>60</v>
      </c>
      <c r="DH45" s="6">
        <v>90</v>
      </c>
      <c r="DI45" s="6">
        <v>90</v>
      </c>
      <c r="DJ45" s="6">
        <v>60</v>
      </c>
      <c r="DK45" s="6">
        <v>60</v>
      </c>
      <c r="DL45" s="6">
        <v>75</v>
      </c>
      <c r="DM45" s="6">
        <v>75</v>
      </c>
      <c r="DN45" s="6">
        <v>60</v>
      </c>
      <c r="DO45" s="6">
        <v>60</v>
      </c>
      <c r="DP45" s="6">
        <v>90</v>
      </c>
      <c r="DQ45" s="6">
        <v>60</v>
      </c>
      <c r="DR45" s="6">
        <v>90</v>
      </c>
      <c r="DS45" s="6">
        <v>90</v>
      </c>
      <c r="DT45" s="6">
        <v>90</v>
      </c>
      <c r="DU45" s="6">
        <v>90</v>
      </c>
      <c r="DV45" s="6">
        <v>90</v>
      </c>
      <c r="DW45" s="6">
        <v>45</v>
      </c>
      <c r="DX45" s="6">
        <v>45</v>
      </c>
      <c r="DY45" s="6">
        <v>45</v>
      </c>
      <c r="DZ45" s="6">
        <v>45</v>
      </c>
      <c r="EA45" s="6">
        <v>60</v>
      </c>
      <c r="EB45" s="6">
        <v>45</v>
      </c>
      <c r="EC45" s="6">
        <v>45</v>
      </c>
      <c r="ED45" s="6">
        <v>60</v>
      </c>
      <c r="EE45" s="6">
        <v>90</v>
      </c>
      <c r="EF45" s="6">
        <v>90</v>
      </c>
      <c r="EG45" s="6">
        <v>90</v>
      </c>
      <c r="EH45" s="6">
        <v>90</v>
      </c>
      <c r="EI45" s="6">
        <v>45</v>
      </c>
      <c r="EJ45" s="6">
        <v>45</v>
      </c>
      <c r="EK45" s="6">
        <v>45</v>
      </c>
      <c r="EL45" s="6">
        <v>45</v>
      </c>
      <c r="EM45" s="6">
        <v>90</v>
      </c>
      <c r="EN45" s="6">
        <v>90</v>
      </c>
      <c r="EO45" s="6">
        <v>45</v>
      </c>
      <c r="EP45" s="6">
        <v>45</v>
      </c>
      <c r="EQ45" s="6">
        <v>45</v>
      </c>
      <c r="ER45" s="6">
        <v>45</v>
      </c>
      <c r="ES45" s="6">
        <v>60</v>
      </c>
      <c r="ET45" s="6">
        <v>60</v>
      </c>
      <c r="EU45" s="6">
        <v>90</v>
      </c>
      <c r="EV45" s="6">
        <v>90</v>
      </c>
      <c r="EW45" s="6">
        <v>90</v>
      </c>
      <c r="EX45" s="6">
        <v>90</v>
      </c>
      <c r="EY45" s="6">
        <v>90</v>
      </c>
      <c r="EZ45" s="6">
        <v>90</v>
      </c>
      <c r="FA45" s="6">
        <v>90</v>
      </c>
      <c r="FB45" s="6">
        <v>90</v>
      </c>
      <c r="FC45" s="6">
        <v>90</v>
      </c>
      <c r="FD45" s="6">
        <v>90</v>
      </c>
      <c r="FE45" s="6">
        <v>90</v>
      </c>
      <c r="FF45" s="6">
        <v>45</v>
      </c>
      <c r="FG45" s="6">
        <v>45</v>
      </c>
      <c r="FH45" s="13">
        <v>90</v>
      </c>
      <c r="FI45" s="6">
        <v>60</v>
      </c>
      <c r="FJ45" s="6">
        <v>90</v>
      </c>
      <c r="FK45" s="6">
        <v>90</v>
      </c>
      <c r="FL45" s="6">
        <v>240</v>
      </c>
      <c r="FM45" s="6">
        <v>240</v>
      </c>
      <c r="FN45" s="6">
        <v>240</v>
      </c>
      <c r="FO45" s="6">
        <v>240</v>
      </c>
      <c r="FP45" s="6">
        <v>240</v>
      </c>
      <c r="FQ45" s="6">
        <v>240</v>
      </c>
      <c r="FR45" s="6">
        <v>240</v>
      </c>
      <c r="FS45" s="6">
        <v>240</v>
      </c>
      <c r="FT45" s="6">
        <v>240</v>
      </c>
      <c r="FU45" s="6">
        <v>240</v>
      </c>
      <c r="FV45" s="6">
        <v>240</v>
      </c>
      <c r="FW45" s="6">
        <v>240</v>
      </c>
      <c r="FX45" s="6">
        <v>240</v>
      </c>
    </row>
    <row r="46" spans="1:180" x14ac:dyDescent="0.3">
      <c r="A46" s="4" t="s">
        <v>3041</v>
      </c>
      <c r="B46" s="6" cm="1">
        <f t="array" ref="B46:FX46">1*TRANSPOSE(_xlfn._xlws.FILTER(transformer!$J$2:$J$181,transformer!$E$2:$E$181&lt;&gt;0))</f>
        <v>125</v>
      </c>
      <c r="C46" s="6">
        <v>63</v>
      </c>
      <c r="D46" s="6">
        <v>125</v>
      </c>
      <c r="E46" s="6">
        <v>250</v>
      </c>
      <c r="F46" s="6">
        <v>250</v>
      </c>
      <c r="G46" s="6">
        <v>250</v>
      </c>
      <c r="H46" s="6">
        <v>250</v>
      </c>
      <c r="I46" s="6">
        <v>250</v>
      </c>
      <c r="J46" s="6">
        <v>250</v>
      </c>
      <c r="K46" s="6">
        <v>250</v>
      </c>
      <c r="L46" s="6">
        <v>250</v>
      </c>
      <c r="M46" s="6">
        <v>250</v>
      </c>
      <c r="N46" s="6">
        <v>250</v>
      </c>
      <c r="O46" s="6">
        <v>250</v>
      </c>
      <c r="P46" s="6">
        <v>250</v>
      </c>
      <c r="Q46" s="6">
        <v>250</v>
      </c>
      <c r="R46" s="6">
        <v>250</v>
      </c>
      <c r="S46" s="6">
        <v>250</v>
      </c>
      <c r="T46" s="6">
        <v>250</v>
      </c>
      <c r="U46" s="6">
        <v>238</v>
      </c>
      <c r="V46" s="6">
        <v>250</v>
      </c>
      <c r="W46" s="6">
        <v>175</v>
      </c>
      <c r="X46" s="6">
        <v>500</v>
      </c>
      <c r="Y46" s="6">
        <v>500</v>
      </c>
      <c r="Z46" s="6">
        <v>250</v>
      </c>
      <c r="AA46" s="6">
        <v>500</v>
      </c>
      <c r="AB46" s="6">
        <v>500</v>
      </c>
      <c r="AC46" s="6">
        <v>250</v>
      </c>
      <c r="AD46" s="6">
        <v>250</v>
      </c>
      <c r="AE46" s="6">
        <v>250</v>
      </c>
      <c r="AF46" s="6">
        <v>250</v>
      </c>
      <c r="AG46" s="6">
        <v>250</v>
      </c>
      <c r="AH46" s="6">
        <v>125</v>
      </c>
      <c r="AI46" s="6">
        <v>125</v>
      </c>
      <c r="AJ46" s="6">
        <v>125</v>
      </c>
      <c r="AK46" s="6">
        <v>125</v>
      </c>
      <c r="AL46" s="6">
        <v>250</v>
      </c>
      <c r="AM46" s="6">
        <v>250</v>
      </c>
      <c r="AN46" s="6">
        <v>250</v>
      </c>
      <c r="AO46" s="6">
        <v>250</v>
      </c>
      <c r="AP46" s="6">
        <v>250</v>
      </c>
      <c r="AQ46" s="6">
        <v>63</v>
      </c>
      <c r="AR46" s="6">
        <v>63</v>
      </c>
      <c r="AS46" s="6">
        <v>250</v>
      </c>
      <c r="AT46" s="6">
        <v>125</v>
      </c>
      <c r="AU46" s="6">
        <v>250</v>
      </c>
      <c r="AV46" s="6">
        <v>250</v>
      </c>
      <c r="AW46" s="6">
        <v>125</v>
      </c>
      <c r="AX46" s="6">
        <v>125</v>
      </c>
      <c r="AY46" s="6">
        <v>250</v>
      </c>
      <c r="AZ46" s="6">
        <v>250</v>
      </c>
      <c r="BA46" s="6">
        <v>250</v>
      </c>
      <c r="BB46" s="6">
        <v>250</v>
      </c>
      <c r="BC46" s="6">
        <v>250</v>
      </c>
      <c r="BD46" s="6">
        <v>250</v>
      </c>
      <c r="BE46" s="6">
        <v>250</v>
      </c>
      <c r="BF46" s="6">
        <v>125</v>
      </c>
      <c r="BG46" s="6">
        <v>125</v>
      </c>
      <c r="BH46" s="6">
        <v>125</v>
      </c>
      <c r="BI46" s="6">
        <v>250</v>
      </c>
      <c r="BJ46" s="6">
        <v>300</v>
      </c>
      <c r="BK46" s="6">
        <v>600</v>
      </c>
      <c r="BL46" s="6">
        <v>300</v>
      </c>
      <c r="BM46" s="6">
        <v>125</v>
      </c>
      <c r="BN46" s="6">
        <v>238</v>
      </c>
      <c r="BO46" s="6">
        <v>125</v>
      </c>
      <c r="BP46" s="6">
        <v>250</v>
      </c>
      <c r="BQ46" s="6">
        <v>500</v>
      </c>
      <c r="BR46" s="6">
        <v>250</v>
      </c>
      <c r="BS46" s="6">
        <v>500</v>
      </c>
      <c r="BT46" s="6">
        <v>500</v>
      </c>
      <c r="BU46" s="6">
        <v>250</v>
      </c>
      <c r="BV46" s="6">
        <v>250</v>
      </c>
      <c r="BW46" s="6">
        <v>238</v>
      </c>
      <c r="BX46" s="6">
        <v>250</v>
      </c>
      <c r="BY46" s="6">
        <v>125</v>
      </c>
      <c r="BZ46" s="6">
        <v>125</v>
      </c>
      <c r="CA46" s="6">
        <v>250</v>
      </c>
      <c r="CB46" s="6">
        <v>238</v>
      </c>
      <c r="CC46" s="6">
        <v>238</v>
      </c>
      <c r="CD46" s="6">
        <v>500</v>
      </c>
      <c r="CE46" s="6">
        <v>500</v>
      </c>
      <c r="CF46" s="6">
        <v>550</v>
      </c>
      <c r="CG46" s="6">
        <v>582</v>
      </c>
      <c r="CH46" s="6">
        <v>90</v>
      </c>
      <c r="CI46" s="6">
        <v>60</v>
      </c>
      <c r="CJ46" s="6">
        <v>60</v>
      </c>
      <c r="CK46" s="6">
        <v>90</v>
      </c>
      <c r="CL46" s="6">
        <v>90</v>
      </c>
      <c r="CM46" s="6">
        <v>90</v>
      </c>
      <c r="CN46" s="6">
        <v>90</v>
      </c>
      <c r="CO46" s="6">
        <v>90</v>
      </c>
      <c r="CP46" s="6">
        <v>90</v>
      </c>
      <c r="CQ46" s="6">
        <v>90</v>
      </c>
      <c r="CR46" s="6">
        <v>90</v>
      </c>
      <c r="CS46" s="6">
        <v>30</v>
      </c>
      <c r="CT46" s="6">
        <v>30</v>
      </c>
      <c r="CU46" s="6">
        <v>30</v>
      </c>
      <c r="CV46" s="6">
        <v>30</v>
      </c>
      <c r="CW46" s="6">
        <v>90</v>
      </c>
      <c r="CX46" s="6">
        <v>90</v>
      </c>
      <c r="CY46" s="6">
        <v>90</v>
      </c>
      <c r="CZ46" s="6">
        <v>90</v>
      </c>
      <c r="DA46" s="6">
        <v>100</v>
      </c>
      <c r="DB46" s="6">
        <v>90</v>
      </c>
      <c r="DC46" s="6">
        <v>90</v>
      </c>
      <c r="DD46" s="6">
        <v>90</v>
      </c>
      <c r="DE46" s="6">
        <v>90</v>
      </c>
      <c r="DF46" s="6">
        <v>60</v>
      </c>
      <c r="DG46" s="6">
        <v>60</v>
      </c>
      <c r="DH46" s="6">
        <v>90</v>
      </c>
      <c r="DI46" s="6">
        <v>90</v>
      </c>
      <c r="DJ46" s="6">
        <v>60</v>
      </c>
      <c r="DK46" s="6">
        <v>60</v>
      </c>
      <c r="DL46" s="6">
        <v>75</v>
      </c>
      <c r="DM46" s="6">
        <v>75</v>
      </c>
      <c r="DN46" s="6">
        <v>60</v>
      </c>
      <c r="DO46" s="6">
        <v>60</v>
      </c>
      <c r="DP46" s="6">
        <v>90</v>
      </c>
      <c r="DQ46" s="6">
        <v>60</v>
      </c>
      <c r="DR46" s="6">
        <v>90</v>
      </c>
      <c r="DS46" s="6">
        <v>90</v>
      </c>
      <c r="DT46" s="6">
        <v>90</v>
      </c>
      <c r="DU46" s="6">
        <v>90</v>
      </c>
      <c r="DV46" s="6">
        <v>90</v>
      </c>
      <c r="DW46" s="6">
        <v>45</v>
      </c>
      <c r="DX46" s="6">
        <v>45</v>
      </c>
      <c r="DY46" s="6">
        <v>45</v>
      </c>
      <c r="DZ46" s="6">
        <v>45</v>
      </c>
      <c r="EA46" s="6">
        <v>60</v>
      </c>
      <c r="EB46" s="6">
        <v>45</v>
      </c>
      <c r="EC46" s="6">
        <v>45</v>
      </c>
      <c r="ED46" s="6">
        <v>60</v>
      </c>
      <c r="EE46" s="6">
        <v>90</v>
      </c>
      <c r="EF46" s="6">
        <v>90</v>
      </c>
      <c r="EG46" s="6">
        <v>90</v>
      </c>
      <c r="EH46" s="6">
        <v>90</v>
      </c>
      <c r="EI46" s="6">
        <v>45</v>
      </c>
      <c r="EJ46" s="6">
        <v>45</v>
      </c>
      <c r="EK46" s="6">
        <v>45</v>
      </c>
      <c r="EL46" s="6">
        <v>45</v>
      </c>
      <c r="EM46" s="6">
        <v>90</v>
      </c>
      <c r="EN46" s="6">
        <v>90</v>
      </c>
      <c r="EO46" s="6">
        <v>45</v>
      </c>
      <c r="EP46" s="6">
        <v>45</v>
      </c>
      <c r="EQ46" s="6">
        <v>45</v>
      </c>
      <c r="ER46" s="6">
        <v>45</v>
      </c>
      <c r="ES46" s="6">
        <v>60</v>
      </c>
      <c r="ET46" s="6">
        <v>60</v>
      </c>
      <c r="EU46" s="6">
        <v>90</v>
      </c>
      <c r="EV46" s="6">
        <v>90</v>
      </c>
      <c r="EW46" s="6">
        <v>90</v>
      </c>
      <c r="EX46" s="6">
        <v>90</v>
      </c>
      <c r="EY46" s="6">
        <v>90</v>
      </c>
      <c r="EZ46" s="6">
        <v>90</v>
      </c>
      <c r="FA46" s="6">
        <v>90</v>
      </c>
      <c r="FB46" s="6">
        <v>90</v>
      </c>
      <c r="FC46" s="6">
        <v>90</v>
      </c>
      <c r="FD46" s="6">
        <v>90</v>
      </c>
      <c r="FE46" s="6">
        <v>90</v>
      </c>
      <c r="FF46" s="6">
        <v>45</v>
      </c>
      <c r="FG46" s="6">
        <v>45</v>
      </c>
      <c r="FH46" s="13">
        <v>90</v>
      </c>
      <c r="FI46" s="6">
        <v>60</v>
      </c>
      <c r="FJ46" s="6">
        <v>90</v>
      </c>
      <c r="FK46" s="6">
        <v>90</v>
      </c>
      <c r="FL46" s="6">
        <v>240</v>
      </c>
      <c r="FM46" s="6">
        <v>240</v>
      </c>
      <c r="FN46" s="6">
        <v>240</v>
      </c>
      <c r="FO46" s="6">
        <v>240</v>
      </c>
      <c r="FP46" s="6">
        <v>240</v>
      </c>
      <c r="FQ46" s="6">
        <v>240</v>
      </c>
      <c r="FR46" s="6">
        <v>240</v>
      </c>
      <c r="FS46" s="6">
        <v>240</v>
      </c>
      <c r="FT46" s="6">
        <v>240</v>
      </c>
      <c r="FU46" s="6">
        <v>240</v>
      </c>
      <c r="FV46" s="6">
        <v>240</v>
      </c>
      <c r="FW46" s="6">
        <v>240</v>
      </c>
      <c r="FX46" s="6">
        <v>240</v>
      </c>
    </row>
    <row r="47" spans="1:180" x14ac:dyDescent="0.3">
      <c r="A47" s="4" t="s">
        <v>3042</v>
      </c>
      <c r="B47" s="6" cm="1">
        <f t="array" ref="B47:FX47">1*TRANSPOSE(_xlfn._xlws.FILTER(transformer!$J$2:$J$181,transformer!$E$2:$E$181&lt;&gt;0))</f>
        <v>125</v>
      </c>
      <c r="C47" s="6">
        <v>63</v>
      </c>
      <c r="D47" s="6">
        <v>125</v>
      </c>
      <c r="E47" s="6">
        <v>250</v>
      </c>
      <c r="F47" s="6">
        <v>250</v>
      </c>
      <c r="G47" s="6">
        <v>250</v>
      </c>
      <c r="H47" s="6">
        <v>250</v>
      </c>
      <c r="I47" s="6">
        <v>250</v>
      </c>
      <c r="J47" s="6">
        <v>250</v>
      </c>
      <c r="K47" s="6">
        <v>250</v>
      </c>
      <c r="L47" s="6">
        <v>250</v>
      </c>
      <c r="M47" s="6">
        <v>250</v>
      </c>
      <c r="N47" s="6">
        <v>250</v>
      </c>
      <c r="O47" s="6">
        <v>250</v>
      </c>
      <c r="P47" s="6">
        <v>250</v>
      </c>
      <c r="Q47" s="6">
        <v>250</v>
      </c>
      <c r="R47" s="6">
        <v>250</v>
      </c>
      <c r="S47" s="6">
        <v>250</v>
      </c>
      <c r="T47" s="6">
        <v>250</v>
      </c>
      <c r="U47" s="6">
        <v>238</v>
      </c>
      <c r="V47" s="6">
        <v>250</v>
      </c>
      <c r="W47" s="6">
        <v>175</v>
      </c>
      <c r="X47" s="6">
        <v>500</v>
      </c>
      <c r="Y47" s="6">
        <v>500</v>
      </c>
      <c r="Z47" s="6">
        <v>250</v>
      </c>
      <c r="AA47" s="6">
        <v>500</v>
      </c>
      <c r="AB47" s="6">
        <v>500</v>
      </c>
      <c r="AC47" s="6">
        <v>250</v>
      </c>
      <c r="AD47" s="6">
        <v>250</v>
      </c>
      <c r="AE47" s="6">
        <v>250</v>
      </c>
      <c r="AF47" s="6">
        <v>250</v>
      </c>
      <c r="AG47" s="6">
        <v>250</v>
      </c>
      <c r="AH47" s="6">
        <v>125</v>
      </c>
      <c r="AI47" s="6">
        <v>125</v>
      </c>
      <c r="AJ47" s="6">
        <v>125</v>
      </c>
      <c r="AK47" s="6">
        <v>125</v>
      </c>
      <c r="AL47" s="6">
        <v>250</v>
      </c>
      <c r="AM47" s="6">
        <v>250</v>
      </c>
      <c r="AN47" s="6">
        <v>250</v>
      </c>
      <c r="AO47" s="6">
        <v>250</v>
      </c>
      <c r="AP47" s="6">
        <v>250</v>
      </c>
      <c r="AQ47" s="6">
        <v>63</v>
      </c>
      <c r="AR47" s="6">
        <v>63</v>
      </c>
      <c r="AS47" s="6">
        <v>250</v>
      </c>
      <c r="AT47" s="6">
        <v>125</v>
      </c>
      <c r="AU47" s="6">
        <v>250</v>
      </c>
      <c r="AV47" s="6">
        <v>250</v>
      </c>
      <c r="AW47" s="6">
        <v>125</v>
      </c>
      <c r="AX47" s="6">
        <v>125</v>
      </c>
      <c r="AY47" s="6">
        <v>250</v>
      </c>
      <c r="AZ47" s="6">
        <v>250</v>
      </c>
      <c r="BA47" s="6">
        <v>250</v>
      </c>
      <c r="BB47" s="6">
        <v>250</v>
      </c>
      <c r="BC47" s="6">
        <v>250</v>
      </c>
      <c r="BD47" s="6">
        <v>250</v>
      </c>
      <c r="BE47" s="6">
        <v>250</v>
      </c>
      <c r="BF47" s="6">
        <v>125</v>
      </c>
      <c r="BG47" s="6">
        <v>125</v>
      </c>
      <c r="BH47" s="6">
        <v>125</v>
      </c>
      <c r="BI47" s="6">
        <v>250</v>
      </c>
      <c r="BJ47" s="6">
        <v>300</v>
      </c>
      <c r="BK47" s="6">
        <v>600</v>
      </c>
      <c r="BL47" s="6">
        <v>300</v>
      </c>
      <c r="BM47" s="6">
        <v>125</v>
      </c>
      <c r="BN47" s="6">
        <v>238</v>
      </c>
      <c r="BO47" s="6">
        <v>125</v>
      </c>
      <c r="BP47" s="6">
        <v>250</v>
      </c>
      <c r="BQ47" s="6">
        <v>500</v>
      </c>
      <c r="BR47" s="6">
        <v>250</v>
      </c>
      <c r="BS47" s="6">
        <v>500</v>
      </c>
      <c r="BT47" s="6">
        <v>500</v>
      </c>
      <c r="BU47" s="6">
        <v>250</v>
      </c>
      <c r="BV47" s="6">
        <v>250</v>
      </c>
      <c r="BW47" s="6">
        <v>238</v>
      </c>
      <c r="BX47" s="6">
        <v>250</v>
      </c>
      <c r="BY47" s="6">
        <v>125</v>
      </c>
      <c r="BZ47" s="6">
        <v>125</v>
      </c>
      <c r="CA47" s="6">
        <v>250</v>
      </c>
      <c r="CB47" s="6">
        <v>238</v>
      </c>
      <c r="CC47" s="6">
        <v>238</v>
      </c>
      <c r="CD47" s="6">
        <v>500</v>
      </c>
      <c r="CE47" s="6">
        <v>500</v>
      </c>
      <c r="CF47" s="6">
        <v>550</v>
      </c>
      <c r="CG47" s="6">
        <v>582</v>
      </c>
      <c r="CH47" s="6">
        <v>90</v>
      </c>
      <c r="CI47" s="6">
        <v>60</v>
      </c>
      <c r="CJ47" s="6">
        <v>60</v>
      </c>
      <c r="CK47" s="6">
        <v>90</v>
      </c>
      <c r="CL47" s="6">
        <v>90</v>
      </c>
      <c r="CM47" s="6">
        <v>90</v>
      </c>
      <c r="CN47" s="6">
        <v>90</v>
      </c>
      <c r="CO47" s="6">
        <v>90</v>
      </c>
      <c r="CP47" s="6">
        <v>90</v>
      </c>
      <c r="CQ47" s="6">
        <v>90</v>
      </c>
      <c r="CR47" s="6">
        <v>90</v>
      </c>
      <c r="CS47" s="6">
        <v>30</v>
      </c>
      <c r="CT47" s="6">
        <v>30</v>
      </c>
      <c r="CU47" s="6">
        <v>30</v>
      </c>
      <c r="CV47" s="6">
        <v>30</v>
      </c>
      <c r="CW47" s="6">
        <v>90</v>
      </c>
      <c r="CX47" s="6">
        <v>90</v>
      </c>
      <c r="CY47" s="6">
        <v>90</v>
      </c>
      <c r="CZ47" s="6">
        <v>90</v>
      </c>
      <c r="DA47" s="6">
        <v>100</v>
      </c>
      <c r="DB47" s="6">
        <v>90</v>
      </c>
      <c r="DC47" s="6">
        <v>90</v>
      </c>
      <c r="DD47" s="6">
        <v>90</v>
      </c>
      <c r="DE47" s="6">
        <v>90</v>
      </c>
      <c r="DF47" s="6">
        <v>60</v>
      </c>
      <c r="DG47" s="6">
        <v>60</v>
      </c>
      <c r="DH47" s="6">
        <v>90</v>
      </c>
      <c r="DI47" s="6">
        <v>90</v>
      </c>
      <c r="DJ47" s="6">
        <v>60</v>
      </c>
      <c r="DK47" s="6">
        <v>60</v>
      </c>
      <c r="DL47" s="6">
        <v>75</v>
      </c>
      <c r="DM47" s="6">
        <v>75</v>
      </c>
      <c r="DN47" s="6">
        <v>60</v>
      </c>
      <c r="DO47" s="6">
        <v>60</v>
      </c>
      <c r="DP47" s="6">
        <v>90</v>
      </c>
      <c r="DQ47" s="6">
        <v>60</v>
      </c>
      <c r="DR47" s="6">
        <v>90</v>
      </c>
      <c r="DS47" s="6">
        <v>90</v>
      </c>
      <c r="DT47" s="6">
        <v>90</v>
      </c>
      <c r="DU47" s="6">
        <v>90</v>
      </c>
      <c r="DV47" s="6">
        <v>90</v>
      </c>
      <c r="DW47" s="6">
        <v>45</v>
      </c>
      <c r="DX47" s="6">
        <v>45</v>
      </c>
      <c r="DY47" s="6">
        <v>45</v>
      </c>
      <c r="DZ47" s="6">
        <v>45</v>
      </c>
      <c r="EA47" s="6">
        <v>60</v>
      </c>
      <c r="EB47" s="6">
        <v>45</v>
      </c>
      <c r="EC47" s="6">
        <v>45</v>
      </c>
      <c r="ED47" s="6">
        <v>60</v>
      </c>
      <c r="EE47" s="6">
        <v>90</v>
      </c>
      <c r="EF47" s="6">
        <v>90</v>
      </c>
      <c r="EG47" s="6">
        <v>90</v>
      </c>
      <c r="EH47" s="6">
        <v>90</v>
      </c>
      <c r="EI47" s="6">
        <v>45</v>
      </c>
      <c r="EJ47" s="6">
        <v>45</v>
      </c>
      <c r="EK47" s="6">
        <v>45</v>
      </c>
      <c r="EL47" s="6">
        <v>45</v>
      </c>
      <c r="EM47" s="6">
        <v>90</v>
      </c>
      <c r="EN47" s="6">
        <v>90</v>
      </c>
      <c r="EO47" s="6">
        <v>45</v>
      </c>
      <c r="EP47" s="6">
        <v>45</v>
      </c>
      <c r="EQ47" s="6">
        <v>45</v>
      </c>
      <c r="ER47" s="6">
        <v>45</v>
      </c>
      <c r="ES47" s="6">
        <v>60</v>
      </c>
      <c r="ET47" s="6">
        <v>60</v>
      </c>
      <c r="EU47" s="6">
        <v>90</v>
      </c>
      <c r="EV47" s="6">
        <v>90</v>
      </c>
      <c r="EW47" s="6">
        <v>90</v>
      </c>
      <c r="EX47" s="6">
        <v>90</v>
      </c>
      <c r="EY47" s="6">
        <v>90</v>
      </c>
      <c r="EZ47" s="6">
        <v>90</v>
      </c>
      <c r="FA47" s="6">
        <v>90</v>
      </c>
      <c r="FB47" s="6">
        <v>90</v>
      </c>
      <c r="FC47" s="6">
        <v>90</v>
      </c>
      <c r="FD47" s="6">
        <v>90</v>
      </c>
      <c r="FE47" s="6">
        <v>90</v>
      </c>
      <c r="FF47" s="6">
        <v>45</v>
      </c>
      <c r="FG47" s="6">
        <v>45</v>
      </c>
      <c r="FH47" s="13">
        <v>90</v>
      </c>
      <c r="FI47" s="6">
        <v>60</v>
      </c>
      <c r="FJ47" s="6">
        <v>90</v>
      </c>
      <c r="FK47" s="6">
        <v>90</v>
      </c>
      <c r="FL47" s="6">
        <v>240</v>
      </c>
      <c r="FM47" s="6">
        <v>240</v>
      </c>
      <c r="FN47" s="6">
        <v>240</v>
      </c>
      <c r="FO47" s="6">
        <v>240</v>
      </c>
      <c r="FP47" s="6">
        <v>240</v>
      </c>
      <c r="FQ47" s="6">
        <v>240</v>
      </c>
      <c r="FR47" s="6">
        <v>240</v>
      </c>
      <c r="FS47" s="6">
        <v>240</v>
      </c>
      <c r="FT47" s="6">
        <v>240</v>
      </c>
      <c r="FU47" s="6">
        <v>240</v>
      </c>
      <c r="FV47" s="6">
        <v>240</v>
      </c>
      <c r="FW47" s="6">
        <v>240</v>
      </c>
      <c r="FX47" s="6">
        <v>240</v>
      </c>
    </row>
    <row r="48" spans="1:180" x14ac:dyDescent="0.3">
      <c r="A48" s="4" t="s">
        <v>3043</v>
      </c>
      <c r="B48" s="6" cm="1">
        <f t="array" ref="B48:FX48">1*TRANSPOSE(_xlfn._xlws.FILTER(transformer!$J$2:$J$181,transformer!$E$2:$E$181&lt;&gt;0))</f>
        <v>125</v>
      </c>
      <c r="C48" s="6">
        <v>63</v>
      </c>
      <c r="D48" s="6">
        <v>125</v>
      </c>
      <c r="E48" s="6">
        <v>250</v>
      </c>
      <c r="F48" s="6">
        <v>250</v>
      </c>
      <c r="G48" s="6">
        <v>250</v>
      </c>
      <c r="H48" s="6">
        <v>250</v>
      </c>
      <c r="I48" s="6">
        <v>250</v>
      </c>
      <c r="J48" s="6">
        <v>250</v>
      </c>
      <c r="K48" s="6">
        <v>250</v>
      </c>
      <c r="L48" s="6">
        <v>250</v>
      </c>
      <c r="M48" s="6">
        <v>250</v>
      </c>
      <c r="N48" s="6">
        <v>250</v>
      </c>
      <c r="O48" s="6">
        <v>250</v>
      </c>
      <c r="P48" s="6">
        <v>250</v>
      </c>
      <c r="Q48" s="6">
        <v>250</v>
      </c>
      <c r="R48" s="6">
        <v>250</v>
      </c>
      <c r="S48" s="6">
        <v>250</v>
      </c>
      <c r="T48" s="6">
        <v>250</v>
      </c>
      <c r="U48" s="6">
        <v>238</v>
      </c>
      <c r="V48" s="6">
        <v>250</v>
      </c>
      <c r="W48" s="6">
        <v>175</v>
      </c>
      <c r="X48" s="6">
        <v>500</v>
      </c>
      <c r="Y48" s="6">
        <v>500</v>
      </c>
      <c r="Z48" s="6">
        <v>250</v>
      </c>
      <c r="AA48" s="6">
        <v>500</v>
      </c>
      <c r="AB48" s="6">
        <v>500</v>
      </c>
      <c r="AC48" s="6">
        <v>250</v>
      </c>
      <c r="AD48" s="6">
        <v>250</v>
      </c>
      <c r="AE48" s="6">
        <v>250</v>
      </c>
      <c r="AF48" s="6">
        <v>250</v>
      </c>
      <c r="AG48" s="6">
        <v>250</v>
      </c>
      <c r="AH48" s="6">
        <v>125</v>
      </c>
      <c r="AI48" s="6">
        <v>125</v>
      </c>
      <c r="AJ48" s="6">
        <v>125</v>
      </c>
      <c r="AK48" s="6">
        <v>125</v>
      </c>
      <c r="AL48" s="6">
        <v>250</v>
      </c>
      <c r="AM48" s="6">
        <v>250</v>
      </c>
      <c r="AN48" s="6">
        <v>250</v>
      </c>
      <c r="AO48" s="6">
        <v>250</v>
      </c>
      <c r="AP48" s="6">
        <v>250</v>
      </c>
      <c r="AQ48" s="6">
        <v>63</v>
      </c>
      <c r="AR48" s="6">
        <v>63</v>
      </c>
      <c r="AS48" s="6">
        <v>250</v>
      </c>
      <c r="AT48" s="6">
        <v>125</v>
      </c>
      <c r="AU48" s="6">
        <v>250</v>
      </c>
      <c r="AV48" s="6">
        <v>250</v>
      </c>
      <c r="AW48" s="6">
        <v>125</v>
      </c>
      <c r="AX48" s="6">
        <v>125</v>
      </c>
      <c r="AY48" s="6">
        <v>250</v>
      </c>
      <c r="AZ48" s="6">
        <v>250</v>
      </c>
      <c r="BA48" s="6">
        <v>250</v>
      </c>
      <c r="BB48" s="6">
        <v>250</v>
      </c>
      <c r="BC48" s="6">
        <v>250</v>
      </c>
      <c r="BD48" s="6">
        <v>250</v>
      </c>
      <c r="BE48" s="6">
        <v>250</v>
      </c>
      <c r="BF48" s="6">
        <v>125</v>
      </c>
      <c r="BG48" s="6">
        <v>125</v>
      </c>
      <c r="BH48" s="6">
        <v>125</v>
      </c>
      <c r="BI48" s="6">
        <v>250</v>
      </c>
      <c r="BJ48" s="6">
        <v>300</v>
      </c>
      <c r="BK48" s="6">
        <v>600</v>
      </c>
      <c r="BL48" s="6">
        <v>300</v>
      </c>
      <c r="BM48" s="6">
        <v>125</v>
      </c>
      <c r="BN48" s="6">
        <v>238</v>
      </c>
      <c r="BO48" s="6">
        <v>125</v>
      </c>
      <c r="BP48" s="6">
        <v>250</v>
      </c>
      <c r="BQ48" s="6">
        <v>500</v>
      </c>
      <c r="BR48" s="6">
        <v>250</v>
      </c>
      <c r="BS48" s="6">
        <v>500</v>
      </c>
      <c r="BT48" s="6">
        <v>500</v>
      </c>
      <c r="BU48" s="6">
        <v>250</v>
      </c>
      <c r="BV48" s="6">
        <v>250</v>
      </c>
      <c r="BW48" s="6">
        <v>238</v>
      </c>
      <c r="BX48" s="6">
        <v>250</v>
      </c>
      <c r="BY48" s="6">
        <v>125</v>
      </c>
      <c r="BZ48" s="6">
        <v>125</v>
      </c>
      <c r="CA48" s="6">
        <v>250</v>
      </c>
      <c r="CB48" s="6">
        <v>238</v>
      </c>
      <c r="CC48" s="6">
        <v>238</v>
      </c>
      <c r="CD48" s="6">
        <v>500</v>
      </c>
      <c r="CE48" s="6">
        <v>500</v>
      </c>
      <c r="CF48" s="6">
        <v>550</v>
      </c>
      <c r="CG48" s="6">
        <v>582</v>
      </c>
      <c r="CH48" s="6">
        <v>90</v>
      </c>
      <c r="CI48" s="6">
        <v>60</v>
      </c>
      <c r="CJ48" s="6">
        <v>60</v>
      </c>
      <c r="CK48" s="6">
        <v>90</v>
      </c>
      <c r="CL48" s="6">
        <v>90</v>
      </c>
      <c r="CM48" s="6">
        <v>90</v>
      </c>
      <c r="CN48" s="6">
        <v>90</v>
      </c>
      <c r="CO48" s="6">
        <v>90</v>
      </c>
      <c r="CP48" s="6">
        <v>90</v>
      </c>
      <c r="CQ48" s="6">
        <v>90</v>
      </c>
      <c r="CR48" s="6">
        <v>90</v>
      </c>
      <c r="CS48" s="6">
        <v>30</v>
      </c>
      <c r="CT48" s="6">
        <v>30</v>
      </c>
      <c r="CU48" s="6">
        <v>30</v>
      </c>
      <c r="CV48" s="6">
        <v>30</v>
      </c>
      <c r="CW48" s="6">
        <v>90</v>
      </c>
      <c r="CX48" s="6">
        <v>90</v>
      </c>
      <c r="CY48" s="6">
        <v>90</v>
      </c>
      <c r="CZ48" s="6">
        <v>90</v>
      </c>
      <c r="DA48" s="6">
        <v>100</v>
      </c>
      <c r="DB48" s="6">
        <v>90</v>
      </c>
      <c r="DC48" s="6">
        <v>90</v>
      </c>
      <c r="DD48" s="6">
        <v>90</v>
      </c>
      <c r="DE48" s="6">
        <v>90</v>
      </c>
      <c r="DF48" s="6">
        <v>60</v>
      </c>
      <c r="DG48" s="6">
        <v>60</v>
      </c>
      <c r="DH48" s="6">
        <v>90</v>
      </c>
      <c r="DI48" s="6">
        <v>90</v>
      </c>
      <c r="DJ48" s="6">
        <v>60</v>
      </c>
      <c r="DK48" s="6">
        <v>60</v>
      </c>
      <c r="DL48" s="6">
        <v>75</v>
      </c>
      <c r="DM48" s="6">
        <v>75</v>
      </c>
      <c r="DN48" s="6">
        <v>60</v>
      </c>
      <c r="DO48" s="6">
        <v>60</v>
      </c>
      <c r="DP48" s="6">
        <v>90</v>
      </c>
      <c r="DQ48" s="6">
        <v>60</v>
      </c>
      <c r="DR48" s="6">
        <v>90</v>
      </c>
      <c r="DS48" s="6">
        <v>90</v>
      </c>
      <c r="DT48" s="6">
        <v>90</v>
      </c>
      <c r="DU48" s="6">
        <v>90</v>
      </c>
      <c r="DV48" s="6">
        <v>90</v>
      </c>
      <c r="DW48" s="6">
        <v>45</v>
      </c>
      <c r="DX48" s="6">
        <v>45</v>
      </c>
      <c r="DY48" s="6">
        <v>45</v>
      </c>
      <c r="DZ48" s="6">
        <v>45</v>
      </c>
      <c r="EA48" s="6">
        <v>60</v>
      </c>
      <c r="EB48" s="6">
        <v>45</v>
      </c>
      <c r="EC48" s="6">
        <v>45</v>
      </c>
      <c r="ED48" s="6">
        <v>60</v>
      </c>
      <c r="EE48" s="6">
        <v>90</v>
      </c>
      <c r="EF48" s="6">
        <v>90</v>
      </c>
      <c r="EG48" s="6">
        <v>90</v>
      </c>
      <c r="EH48" s="6">
        <v>90</v>
      </c>
      <c r="EI48" s="6">
        <v>45</v>
      </c>
      <c r="EJ48" s="6">
        <v>45</v>
      </c>
      <c r="EK48" s="6">
        <v>45</v>
      </c>
      <c r="EL48" s="6">
        <v>45</v>
      </c>
      <c r="EM48" s="6">
        <v>90</v>
      </c>
      <c r="EN48" s="6">
        <v>90</v>
      </c>
      <c r="EO48" s="6">
        <v>45</v>
      </c>
      <c r="EP48" s="6">
        <v>45</v>
      </c>
      <c r="EQ48" s="6">
        <v>45</v>
      </c>
      <c r="ER48" s="6">
        <v>45</v>
      </c>
      <c r="ES48" s="6">
        <v>60</v>
      </c>
      <c r="ET48" s="6">
        <v>60</v>
      </c>
      <c r="EU48" s="6">
        <v>90</v>
      </c>
      <c r="EV48" s="6">
        <v>90</v>
      </c>
      <c r="EW48" s="6">
        <v>90</v>
      </c>
      <c r="EX48" s="6">
        <v>90</v>
      </c>
      <c r="EY48" s="6">
        <v>90</v>
      </c>
      <c r="EZ48" s="6">
        <v>90</v>
      </c>
      <c r="FA48" s="6">
        <v>90</v>
      </c>
      <c r="FB48" s="6">
        <v>90</v>
      </c>
      <c r="FC48" s="6">
        <v>90</v>
      </c>
      <c r="FD48" s="6">
        <v>90</v>
      </c>
      <c r="FE48" s="6">
        <v>90</v>
      </c>
      <c r="FF48" s="6">
        <v>45</v>
      </c>
      <c r="FG48" s="6">
        <v>45</v>
      </c>
      <c r="FH48" s="13">
        <v>90</v>
      </c>
      <c r="FI48" s="6">
        <v>60</v>
      </c>
      <c r="FJ48" s="6">
        <v>90</v>
      </c>
      <c r="FK48" s="6">
        <v>90</v>
      </c>
      <c r="FL48" s="6">
        <v>240</v>
      </c>
      <c r="FM48" s="6">
        <v>240</v>
      </c>
      <c r="FN48" s="6">
        <v>240</v>
      </c>
      <c r="FO48" s="6">
        <v>240</v>
      </c>
      <c r="FP48" s="6">
        <v>240</v>
      </c>
      <c r="FQ48" s="6">
        <v>240</v>
      </c>
      <c r="FR48" s="6">
        <v>240</v>
      </c>
      <c r="FS48" s="6">
        <v>240</v>
      </c>
      <c r="FT48" s="6">
        <v>240</v>
      </c>
      <c r="FU48" s="6">
        <v>240</v>
      </c>
      <c r="FV48" s="6">
        <v>240</v>
      </c>
      <c r="FW48" s="6">
        <v>240</v>
      </c>
      <c r="FX48" s="6">
        <v>240</v>
      </c>
    </row>
    <row r="49" spans="1:180" x14ac:dyDescent="0.3">
      <c r="A49" s="4" t="s">
        <v>3044</v>
      </c>
      <c r="B49" s="6" cm="1">
        <f t="array" ref="B49:FX49">1*TRANSPOSE(_xlfn._xlws.FILTER(transformer!$J$2:$J$181,transformer!$E$2:$E$181&lt;&gt;0))</f>
        <v>125</v>
      </c>
      <c r="C49" s="6">
        <v>63</v>
      </c>
      <c r="D49" s="6">
        <v>125</v>
      </c>
      <c r="E49" s="6">
        <v>250</v>
      </c>
      <c r="F49" s="6">
        <v>250</v>
      </c>
      <c r="G49" s="6">
        <v>250</v>
      </c>
      <c r="H49" s="6">
        <v>250</v>
      </c>
      <c r="I49" s="6">
        <v>250</v>
      </c>
      <c r="J49" s="6">
        <v>250</v>
      </c>
      <c r="K49" s="6">
        <v>250</v>
      </c>
      <c r="L49" s="6">
        <v>250</v>
      </c>
      <c r="M49" s="6">
        <v>250</v>
      </c>
      <c r="N49" s="6">
        <v>250</v>
      </c>
      <c r="O49" s="6">
        <v>250</v>
      </c>
      <c r="P49" s="6">
        <v>250</v>
      </c>
      <c r="Q49" s="6">
        <v>250</v>
      </c>
      <c r="R49" s="6">
        <v>250</v>
      </c>
      <c r="S49" s="6">
        <v>250</v>
      </c>
      <c r="T49" s="6">
        <v>250</v>
      </c>
      <c r="U49" s="6">
        <v>238</v>
      </c>
      <c r="V49" s="6">
        <v>250</v>
      </c>
      <c r="W49" s="6">
        <v>175</v>
      </c>
      <c r="X49" s="6">
        <v>500</v>
      </c>
      <c r="Y49" s="6">
        <v>500</v>
      </c>
      <c r="Z49" s="6">
        <v>250</v>
      </c>
      <c r="AA49" s="6">
        <v>500</v>
      </c>
      <c r="AB49" s="6">
        <v>500</v>
      </c>
      <c r="AC49" s="6">
        <v>250</v>
      </c>
      <c r="AD49" s="6">
        <v>250</v>
      </c>
      <c r="AE49" s="6">
        <v>250</v>
      </c>
      <c r="AF49" s="6">
        <v>250</v>
      </c>
      <c r="AG49" s="6">
        <v>250</v>
      </c>
      <c r="AH49" s="6">
        <v>125</v>
      </c>
      <c r="AI49" s="6">
        <v>125</v>
      </c>
      <c r="AJ49" s="6">
        <v>125</v>
      </c>
      <c r="AK49" s="6">
        <v>125</v>
      </c>
      <c r="AL49" s="6">
        <v>250</v>
      </c>
      <c r="AM49" s="6">
        <v>250</v>
      </c>
      <c r="AN49" s="6">
        <v>250</v>
      </c>
      <c r="AO49" s="6">
        <v>250</v>
      </c>
      <c r="AP49" s="6">
        <v>250</v>
      </c>
      <c r="AQ49" s="6">
        <v>63</v>
      </c>
      <c r="AR49" s="6">
        <v>63</v>
      </c>
      <c r="AS49" s="6">
        <v>250</v>
      </c>
      <c r="AT49" s="6">
        <v>125</v>
      </c>
      <c r="AU49" s="6">
        <v>250</v>
      </c>
      <c r="AV49" s="6">
        <v>250</v>
      </c>
      <c r="AW49" s="6">
        <v>125</v>
      </c>
      <c r="AX49" s="6">
        <v>125</v>
      </c>
      <c r="AY49" s="6">
        <v>250</v>
      </c>
      <c r="AZ49" s="6">
        <v>250</v>
      </c>
      <c r="BA49" s="6">
        <v>250</v>
      </c>
      <c r="BB49" s="6">
        <v>250</v>
      </c>
      <c r="BC49" s="6">
        <v>250</v>
      </c>
      <c r="BD49" s="6">
        <v>250</v>
      </c>
      <c r="BE49" s="6">
        <v>250</v>
      </c>
      <c r="BF49" s="6">
        <v>125</v>
      </c>
      <c r="BG49" s="6">
        <v>125</v>
      </c>
      <c r="BH49" s="6">
        <v>125</v>
      </c>
      <c r="BI49" s="6">
        <v>250</v>
      </c>
      <c r="BJ49" s="6">
        <v>300</v>
      </c>
      <c r="BK49" s="6">
        <v>600</v>
      </c>
      <c r="BL49" s="6">
        <v>300</v>
      </c>
      <c r="BM49" s="6">
        <v>125</v>
      </c>
      <c r="BN49" s="6">
        <v>238</v>
      </c>
      <c r="BO49" s="6">
        <v>125</v>
      </c>
      <c r="BP49" s="6">
        <v>250</v>
      </c>
      <c r="BQ49" s="6">
        <v>500</v>
      </c>
      <c r="BR49" s="6">
        <v>250</v>
      </c>
      <c r="BS49" s="6">
        <v>500</v>
      </c>
      <c r="BT49" s="6">
        <v>500</v>
      </c>
      <c r="BU49" s="6">
        <v>250</v>
      </c>
      <c r="BV49" s="6">
        <v>250</v>
      </c>
      <c r="BW49" s="6">
        <v>238</v>
      </c>
      <c r="BX49" s="6">
        <v>250</v>
      </c>
      <c r="BY49" s="6">
        <v>125</v>
      </c>
      <c r="BZ49" s="6">
        <v>125</v>
      </c>
      <c r="CA49" s="6">
        <v>250</v>
      </c>
      <c r="CB49" s="6">
        <v>238</v>
      </c>
      <c r="CC49" s="6">
        <v>238</v>
      </c>
      <c r="CD49" s="6">
        <v>500</v>
      </c>
      <c r="CE49" s="6">
        <v>500</v>
      </c>
      <c r="CF49" s="6">
        <v>550</v>
      </c>
      <c r="CG49" s="6">
        <v>582</v>
      </c>
      <c r="CH49" s="6">
        <v>90</v>
      </c>
      <c r="CI49" s="6">
        <v>60</v>
      </c>
      <c r="CJ49" s="6">
        <v>60</v>
      </c>
      <c r="CK49" s="6">
        <v>90</v>
      </c>
      <c r="CL49" s="6">
        <v>90</v>
      </c>
      <c r="CM49" s="6">
        <v>90</v>
      </c>
      <c r="CN49" s="6">
        <v>90</v>
      </c>
      <c r="CO49" s="6">
        <v>90</v>
      </c>
      <c r="CP49" s="6">
        <v>90</v>
      </c>
      <c r="CQ49" s="6">
        <v>90</v>
      </c>
      <c r="CR49" s="6">
        <v>90</v>
      </c>
      <c r="CS49" s="6">
        <v>30</v>
      </c>
      <c r="CT49" s="6">
        <v>30</v>
      </c>
      <c r="CU49" s="6">
        <v>30</v>
      </c>
      <c r="CV49" s="6">
        <v>30</v>
      </c>
      <c r="CW49" s="6">
        <v>90</v>
      </c>
      <c r="CX49" s="6">
        <v>90</v>
      </c>
      <c r="CY49" s="6">
        <v>90</v>
      </c>
      <c r="CZ49" s="6">
        <v>90</v>
      </c>
      <c r="DA49" s="6">
        <v>100</v>
      </c>
      <c r="DB49" s="6">
        <v>90</v>
      </c>
      <c r="DC49" s="6">
        <v>90</v>
      </c>
      <c r="DD49" s="6">
        <v>90</v>
      </c>
      <c r="DE49" s="6">
        <v>90</v>
      </c>
      <c r="DF49" s="6">
        <v>60</v>
      </c>
      <c r="DG49" s="6">
        <v>60</v>
      </c>
      <c r="DH49" s="6">
        <v>90</v>
      </c>
      <c r="DI49" s="6">
        <v>90</v>
      </c>
      <c r="DJ49" s="6">
        <v>60</v>
      </c>
      <c r="DK49" s="6">
        <v>60</v>
      </c>
      <c r="DL49" s="6">
        <v>75</v>
      </c>
      <c r="DM49" s="6">
        <v>75</v>
      </c>
      <c r="DN49" s="6">
        <v>60</v>
      </c>
      <c r="DO49" s="6">
        <v>60</v>
      </c>
      <c r="DP49" s="6">
        <v>90</v>
      </c>
      <c r="DQ49" s="6">
        <v>60</v>
      </c>
      <c r="DR49" s="6">
        <v>90</v>
      </c>
      <c r="DS49" s="6">
        <v>90</v>
      </c>
      <c r="DT49" s="6">
        <v>90</v>
      </c>
      <c r="DU49" s="6">
        <v>90</v>
      </c>
      <c r="DV49" s="6">
        <v>90</v>
      </c>
      <c r="DW49" s="6">
        <v>45</v>
      </c>
      <c r="DX49" s="6">
        <v>45</v>
      </c>
      <c r="DY49" s="6">
        <v>45</v>
      </c>
      <c r="DZ49" s="6">
        <v>45</v>
      </c>
      <c r="EA49" s="6">
        <v>60</v>
      </c>
      <c r="EB49" s="6">
        <v>45</v>
      </c>
      <c r="EC49" s="6">
        <v>45</v>
      </c>
      <c r="ED49" s="6">
        <v>60</v>
      </c>
      <c r="EE49" s="6">
        <v>90</v>
      </c>
      <c r="EF49" s="6">
        <v>90</v>
      </c>
      <c r="EG49" s="6">
        <v>90</v>
      </c>
      <c r="EH49" s="6">
        <v>90</v>
      </c>
      <c r="EI49" s="6">
        <v>45</v>
      </c>
      <c r="EJ49" s="6">
        <v>45</v>
      </c>
      <c r="EK49" s="6">
        <v>45</v>
      </c>
      <c r="EL49" s="6">
        <v>45</v>
      </c>
      <c r="EM49" s="6">
        <v>90</v>
      </c>
      <c r="EN49" s="6">
        <v>90</v>
      </c>
      <c r="EO49" s="6">
        <v>45</v>
      </c>
      <c r="EP49" s="6">
        <v>45</v>
      </c>
      <c r="EQ49" s="6">
        <v>45</v>
      </c>
      <c r="ER49" s="6">
        <v>45</v>
      </c>
      <c r="ES49" s="6">
        <v>60</v>
      </c>
      <c r="ET49" s="6">
        <v>60</v>
      </c>
      <c r="EU49" s="6">
        <v>90</v>
      </c>
      <c r="EV49" s="6">
        <v>90</v>
      </c>
      <c r="EW49" s="6">
        <v>90</v>
      </c>
      <c r="EX49" s="6">
        <v>90</v>
      </c>
      <c r="EY49" s="6">
        <v>90</v>
      </c>
      <c r="EZ49" s="6">
        <v>90</v>
      </c>
      <c r="FA49" s="6">
        <v>90</v>
      </c>
      <c r="FB49" s="6">
        <v>90</v>
      </c>
      <c r="FC49" s="6">
        <v>90</v>
      </c>
      <c r="FD49" s="6">
        <v>90</v>
      </c>
      <c r="FE49" s="6">
        <v>90</v>
      </c>
      <c r="FF49" s="6">
        <v>45</v>
      </c>
      <c r="FG49" s="6">
        <v>45</v>
      </c>
      <c r="FH49" s="13">
        <v>90</v>
      </c>
      <c r="FI49" s="6">
        <v>60</v>
      </c>
      <c r="FJ49" s="6">
        <v>90</v>
      </c>
      <c r="FK49" s="6">
        <v>90</v>
      </c>
      <c r="FL49" s="6">
        <v>240</v>
      </c>
      <c r="FM49" s="6">
        <v>240</v>
      </c>
      <c r="FN49" s="6">
        <v>240</v>
      </c>
      <c r="FO49" s="6">
        <v>240</v>
      </c>
      <c r="FP49" s="6">
        <v>240</v>
      </c>
      <c r="FQ49" s="6">
        <v>240</v>
      </c>
      <c r="FR49" s="6">
        <v>240</v>
      </c>
      <c r="FS49" s="6">
        <v>240</v>
      </c>
      <c r="FT49" s="6">
        <v>240</v>
      </c>
      <c r="FU49" s="6">
        <v>240</v>
      </c>
      <c r="FV49" s="6">
        <v>240</v>
      </c>
      <c r="FW49" s="6">
        <v>240</v>
      </c>
      <c r="FX49" s="6">
        <v>240</v>
      </c>
    </row>
  </sheetData>
  <pageMargins left="0.7" right="0.7" top="0.75" bottom="0.75" header="0.51180555555555496" footer="0.51180555555555496"/>
  <pageSetup paperSize="9" firstPageNumber="0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249977111117893"/>
  </sheetPr>
  <dimension ref="A1:R295"/>
  <sheetViews>
    <sheetView topLeftCell="D1" zoomScale="55" zoomScaleNormal="55" workbookViewId="0">
      <selection activeCell="H5" sqref="H5"/>
    </sheetView>
  </sheetViews>
  <sheetFormatPr defaultColWidth="8.77734375" defaultRowHeight="14.4" x14ac:dyDescent="0.3"/>
  <cols>
    <col min="1" max="1" width="15.33203125" bestFit="1" customWidth="1"/>
    <col min="2" max="2" width="12.33203125" bestFit="1" customWidth="1"/>
    <col min="3" max="3" width="17.33203125" bestFit="1" customWidth="1"/>
    <col min="4" max="4" width="51.33203125" bestFit="1" customWidth="1"/>
    <col min="5" max="5" width="17.33203125" bestFit="1" customWidth="1"/>
    <col min="6" max="6" width="9.77734375" bestFit="1" customWidth="1"/>
    <col min="7" max="7" width="13.109375" customWidth="1"/>
    <col min="8" max="8" width="63.5546875" bestFit="1" customWidth="1"/>
    <col min="9" max="9" width="83.77734375" bestFit="1" customWidth="1"/>
    <col min="10" max="10" width="15.44140625" bestFit="1" customWidth="1"/>
    <col min="11" max="11" width="11.88671875" bestFit="1" customWidth="1"/>
    <col min="12" max="12" width="12.21875" bestFit="1" customWidth="1"/>
    <col min="13" max="13" width="15.21875" customWidth="1"/>
    <col min="14" max="14" width="13.33203125" bestFit="1" customWidth="1"/>
    <col min="15" max="15" width="14.44140625" bestFit="1" customWidth="1"/>
    <col min="16" max="16" width="10.77734375" bestFit="1" customWidth="1"/>
    <col min="17" max="17" width="13.21875" customWidth="1"/>
    <col min="18" max="18" width="9.6640625" bestFit="1" customWidth="1"/>
    <col min="19" max="1018" width="8.44140625" customWidth="1"/>
  </cols>
  <sheetData>
    <row r="1" spans="1:18" x14ac:dyDescent="0.3">
      <c r="A1" s="1" t="s">
        <v>4</v>
      </c>
      <c r="B1" s="1" t="s">
        <v>0</v>
      </c>
      <c r="C1" s="1" t="s">
        <v>1865</v>
      </c>
      <c r="D1" s="1" t="s">
        <v>807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34</v>
      </c>
      <c r="J1" s="1" t="s">
        <v>6</v>
      </c>
      <c r="K1" s="1" t="s">
        <v>15</v>
      </c>
      <c r="L1" s="1" t="s">
        <v>16</v>
      </c>
      <c r="M1" s="1" t="s">
        <v>18</v>
      </c>
      <c r="N1" s="1" t="s">
        <v>27</v>
      </c>
      <c r="O1" s="1" t="s">
        <v>19</v>
      </c>
      <c r="P1" s="1" t="s">
        <v>20</v>
      </c>
      <c r="Q1" s="2" t="s">
        <v>21</v>
      </c>
      <c r="R1" s="2" t="s">
        <v>17</v>
      </c>
    </row>
    <row r="2" spans="1:18" s="7" customFormat="1" x14ac:dyDescent="0.3">
      <c r="A2" s="3" t="s">
        <v>278</v>
      </c>
      <c r="B2" s="4" t="s">
        <v>2144</v>
      </c>
      <c r="C2" s="16" t="s">
        <v>2143</v>
      </c>
      <c r="D2" s="16" t="s">
        <v>2142</v>
      </c>
      <c r="E2" s="3" t="s">
        <v>33</v>
      </c>
      <c r="F2" s="3"/>
      <c r="G2" s="3"/>
      <c r="H2" s="3" t="s">
        <v>2980</v>
      </c>
      <c r="I2" s="3" t="s">
        <v>1868</v>
      </c>
      <c r="J2" s="3">
        <v>1</v>
      </c>
      <c r="K2" s="3">
        <v>12.74</v>
      </c>
      <c r="L2" s="4">
        <v>17.600000000000001</v>
      </c>
      <c r="M2" s="3" t="s">
        <v>2145</v>
      </c>
      <c r="N2" s="3" t="s">
        <v>30</v>
      </c>
      <c r="O2" s="3">
        <v>21.76</v>
      </c>
      <c r="P2" s="3" t="s">
        <v>2146</v>
      </c>
      <c r="Q2" s="21">
        <v>8000</v>
      </c>
      <c r="R2" s="3">
        <f t="shared" ref="R2:R33" si="0">O2</f>
        <v>21.76</v>
      </c>
    </row>
    <row r="3" spans="1:18" s="7" customFormat="1" x14ac:dyDescent="0.3">
      <c r="A3" s="3" t="s">
        <v>600</v>
      </c>
      <c r="B3" s="4" t="s">
        <v>2576</v>
      </c>
      <c r="C3" s="16" t="s">
        <v>2575</v>
      </c>
      <c r="D3" s="16" t="s">
        <v>2574</v>
      </c>
      <c r="E3" s="3" t="s">
        <v>33</v>
      </c>
      <c r="F3" s="3"/>
      <c r="G3" s="3"/>
      <c r="H3" s="3" t="s">
        <v>2967</v>
      </c>
      <c r="I3" s="3" t="s">
        <v>2577</v>
      </c>
      <c r="J3" s="3">
        <v>1</v>
      </c>
      <c r="K3" s="3">
        <v>99</v>
      </c>
      <c r="L3" s="4">
        <v>285</v>
      </c>
      <c r="M3" s="3" t="s">
        <v>2578</v>
      </c>
      <c r="N3" s="3" t="s">
        <v>30</v>
      </c>
      <c r="O3" s="3">
        <v>143</v>
      </c>
      <c r="P3" s="3" t="s">
        <v>2579</v>
      </c>
      <c r="Q3" s="21" t="str">
        <f>_xlfn.XLOOKUP(C3,[1]DailyCommercialOfferData!$A$2:$A$164,[1]DailyCommercialOfferData!$C$2:$C$164,0)</f>
        <v>143</v>
      </c>
      <c r="R3" s="3">
        <f t="shared" si="0"/>
        <v>143</v>
      </c>
    </row>
    <row r="4" spans="1:18" s="7" customFormat="1" x14ac:dyDescent="0.3">
      <c r="A4" s="3" t="s">
        <v>600</v>
      </c>
      <c r="B4" s="4" t="s">
        <v>2582</v>
      </c>
      <c r="C4" s="16" t="s">
        <v>2581</v>
      </c>
      <c r="D4" s="16" t="s">
        <v>2580</v>
      </c>
      <c r="E4" s="3" t="s">
        <v>33</v>
      </c>
      <c r="F4" s="3"/>
      <c r="G4" s="3"/>
      <c r="H4" s="3" t="s">
        <v>2967</v>
      </c>
      <c r="I4" s="3" t="s">
        <v>2583</v>
      </c>
      <c r="J4" s="3">
        <v>1</v>
      </c>
      <c r="K4" s="3">
        <v>99</v>
      </c>
      <c r="L4" s="4">
        <v>285</v>
      </c>
      <c r="M4" s="3" t="s">
        <v>2578</v>
      </c>
      <c r="N4" s="3" t="s">
        <v>30</v>
      </c>
      <c r="O4" s="3">
        <v>143</v>
      </c>
      <c r="P4" s="3" t="s">
        <v>2579</v>
      </c>
      <c r="Q4" s="21" t="str">
        <f>_xlfn.XLOOKUP(C4,[1]DailyCommercialOfferData!$A$2:$A$164,[1]DailyCommercialOfferData!$C$2:$C$164,0)</f>
        <v>143</v>
      </c>
      <c r="R4" s="3">
        <f t="shared" si="0"/>
        <v>143</v>
      </c>
    </row>
    <row r="5" spans="1:18" s="7" customFormat="1" x14ac:dyDescent="0.3">
      <c r="A5" s="3" t="s">
        <v>596</v>
      </c>
      <c r="B5" s="4" t="s">
        <v>2589</v>
      </c>
      <c r="C5" s="16" t="s">
        <v>2588</v>
      </c>
      <c r="D5" s="16" t="s">
        <v>2587</v>
      </c>
      <c r="E5" s="3" t="s">
        <v>33</v>
      </c>
      <c r="F5" s="3"/>
      <c r="G5" s="3"/>
      <c r="H5" s="3" t="s">
        <v>2967</v>
      </c>
      <c r="I5" s="3" t="s">
        <v>2577</v>
      </c>
      <c r="J5" s="3">
        <v>1</v>
      </c>
      <c r="K5" s="3">
        <v>99</v>
      </c>
      <c r="L5" s="4">
        <v>285</v>
      </c>
      <c r="M5" s="3" t="s">
        <v>2578</v>
      </c>
      <c r="N5" s="3" t="s">
        <v>30</v>
      </c>
      <c r="O5" s="3">
        <v>143</v>
      </c>
      <c r="P5" s="3" t="s">
        <v>2579</v>
      </c>
      <c r="Q5" s="21" t="str">
        <f>_xlfn.XLOOKUP(C5,[1]DailyCommercialOfferData!$A$2:$A$164,[1]DailyCommercialOfferData!$C$2:$C$164,0)</f>
        <v>143</v>
      </c>
      <c r="R5" s="3">
        <f t="shared" si="0"/>
        <v>143</v>
      </c>
    </row>
    <row r="6" spans="1:18" s="7" customFormat="1" x14ac:dyDescent="0.3">
      <c r="A6" s="3" t="s">
        <v>148</v>
      </c>
      <c r="B6" s="4" t="s">
        <v>1961</v>
      </c>
      <c r="C6" s="16" t="s">
        <v>1960</v>
      </c>
      <c r="D6" s="16" t="s">
        <v>1959</v>
      </c>
      <c r="E6" s="3" t="s">
        <v>33</v>
      </c>
      <c r="F6" s="3"/>
      <c r="G6" s="3"/>
      <c r="H6" s="3" t="s">
        <v>2971</v>
      </c>
      <c r="I6" s="3" t="s">
        <v>1962</v>
      </c>
      <c r="J6" s="3">
        <v>1</v>
      </c>
      <c r="K6" s="3">
        <v>8</v>
      </c>
      <c r="L6" s="4">
        <v>58</v>
      </c>
      <c r="M6" s="3" t="s">
        <v>1963</v>
      </c>
      <c r="N6" s="3" t="s">
        <v>30</v>
      </c>
      <c r="O6" s="3">
        <v>251.99</v>
      </c>
      <c r="P6" s="3" t="s">
        <v>1964</v>
      </c>
      <c r="Q6" s="21" t="str">
        <f>_xlfn.XLOOKUP(C6,[1]DailyCommercialOfferData!$A$2:$A$164,[1]DailyCommercialOfferData!$C$2:$C$164,0)</f>
        <v>246.74</v>
      </c>
      <c r="R6" s="3">
        <f t="shared" si="0"/>
        <v>251.99</v>
      </c>
    </row>
    <row r="7" spans="1:18" s="7" customFormat="1" x14ac:dyDescent="0.3">
      <c r="A7" s="3" t="s">
        <v>148</v>
      </c>
      <c r="B7" s="4" t="s">
        <v>1967</v>
      </c>
      <c r="C7" s="16" t="s">
        <v>1966</v>
      </c>
      <c r="D7" s="16" t="s">
        <v>1965</v>
      </c>
      <c r="E7" s="3" t="s">
        <v>33</v>
      </c>
      <c r="F7" s="3"/>
      <c r="G7" s="3"/>
      <c r="H7" s="3" t="s">
        <v>2971</v>
      </c>
      <c r="I7" s="3" t="s">
        <v>1962</v>
      </c>
      <c r="J7" s="3">
        <v>1</v>
      </c>
      <c r="K7" s="3">
        <v>8</v>
      </c>
      <c r="L7" s="4">
        <v>58</v>
      </c>
      <c r="M7" s="3" t="s">
        <v>1963</v>
      </c>
      <c r="N7" s="3" t="s">
        <v>30</v>
      </c>
      <c r="O7" s="3">
        <v>251.99</v>
      </c>
      <c r="P7" s="3" t="s">
        <v>1968</v>
      </c>
      <c r="Q7" s="21" t="str">
        <f>_xlfn.XLOOKUP(C7,[1]DailyCommercialOfferData!$A$2:$A$164,[1]DailyCommercialOfferData!$C$2:$C$164,0)</f>
        <v>246.74</v>
      </c>
      <c r="R7" s="3">
        <f t="shared" si="0"/>
        <v>251.99</v>
      </c>
    </row>
    <row r="8" spans="1:18" s="7" customFormat="1" x14ac:dyDescent="0.3">
      <c r="A8" s="3" t="s">
        <v>278</v>
      </c>
      <c r="B8" s="4" t="s">
        <v>2155</v>
      </c>
      <c r="C8" s="16" t="s">
        <v>2154</v>
      </c>
      <c r="D8" s="16" t="s">
        <v>2150</v>
      </c>
      <c r="E8" s="3" t="s">
        <v>33</v>
      </c>
      <c r="F8" s="3"/>
      <c r="G8" s="3"/>
      <c r="H8" s="3" t="s">
        <v>2980</v>
      </c>
      <c r="I8" s="3" t="s">
        <v>2156</v>
      </c>
      <c r="J8" s="3">
        <v>1</v>
      </c>
      <c r="K8" s="3">
        <v>8</v>
      </c>
      <c r="L8" s="4">
        <v>53</v>
      </c>
      <c r="M8" s="3" t="s">
        <v>1963</v>
      </c>
      <c r="N8" s="3" t="s">
        <v>30</v>
      </c>
      <c r="O8" s="3">
        <v>206.04</v>
      </c>
      <c r="P8" s="3" t="s">
        <v>2157</v>
      </c>
      <c r="Q8" s="21" t="str">
        <f>_xlfn.XLOOKUP(C8,[1]DailyCommercialOfferData!$A$2:$A$164,[1]DailyCommercialOfferData!$C$2:$C$164,0)</f>
        <v>206.04</v>
      </c>
      <c r="R8" s="3">
        <f t="shared" si="0"/>
        <v>206.04</v>
      </c>
    </row>
    <row r="9" spans="1:18" s="7" customFormat="1" x14ac:dyDescent="0.3">
      <c r="A9" s="3" t="s">
        <v>314</v>
      </c>
      <c r="B9" s="4" t="s">
        <v>2212</v>
      </c>
      <c r="C9" s="16" t="s">
        <v>2211</v>
      </c>
      <c r="D9" s="16" t="s">
        <v>2210</v>
      </c>
      <c r="E9" s="3" t="s">
        <v>33</v>
      </c>
      <c r="F9" s="3"/>
      <c r="G9" s="3"/>
      <c r="H9" s="3" t="s">
        <v>2964</v>
      </c>
      <c r="I9" s="3" t="s">
        <v>2197</v>
      </c>
      <c r="J9" s="3">
        <v>1</v>
      </c>
      <c r="K9" s="3">
        <v>20</v>
      </c>
      <c r="L9" s="4">
        <v>58</v>
      </c>
      <c r="M9" s="3" t="s">
        <v>1963</v>
      </c>
      <c r="N9" s="3" t="s">
        <v>30</v>
      </c>
      <c r="O9" s="3">
        <v>506.96</v>
      </c>
      <c r="P9" s="3" t="s">
        <v>2213</v>
      </c>
      <c r="Q9" s="21" t="str">
        <f>_xlfn.XLOOKUP(C9,[1]DailyCommercialOfferData!$A$2:$A$164,[1]DailyCommercialOfferData!$C$2:$C$164,0)</f>
        <v>506.96</v>
      </c>
      <c r="R9" s="3">
        <f t="shared" si="0"/>
        <v>506.96</v>
      </c>
    </row>
    <row r="10" spans="1:18" x14ac:dyDescent="0.3">
      <c r="A10" s="3" t="s">
        <v>314</v>
      </c>
      <c r="B10" s="4" t="s">
        <v>2216</v>
      </c>
      <c r="C10" s="16" t="s">
        <v>2215</v>
      </c>
      <c r="D10" s="16" t="s">
        <v>2214</v>
      </c>
      <c r="E10" s="3" t="s">
        <v>33</v>
      </c>
      <c r="F10" s="3"/>
      <c r="G10" s="3"/>
      <c r="H10" s="3" t="s">
        <v>2964</v>
      </c>
      <c r="I10" s="3" t="s">
        <v>2197</v>
      </c>
      <c r="J10" s="3">
        <v>1</v>
      </c>
      <c r="K10" s="3">
        <v>20</v>
      </c>
      <c r="L10" s="4">
        <v>58</v>
      </c>
      <c r="M10" s="3" t="s">
        <v>1963</v>
      </c>
      <c r="N10" s="3" t="s">
        <v>30</v>
      </c>
      <c r="O10" s="3">
        <v>506.95</v>
      </c>
      <c r="P10" s="3" t="s">
        <v>2213</v>
      </c>
      <c r="Q10" s="21" t="str">
        <f>_xlfn.XLOOKUP(C10,[1]DailyCommercialOfferData!$A$2:$A$164,[1]DailyCommercialOfferData!$C$2:$C$164,0)</f>
        <v>506.95</v>
      </c>
      <c r="R10" s="3">
        <f t="shared" si="0"/>
        <v>506.95</v>
      </c>
    </row>
    <row r="11" spans="1:18" x14ac:dyDescent="0.3">
      <c r="A11" s="3" t="s">
        <v>325</v>
      </c>
      <c r="B11" s="4" t="s">
        <v>2237</v>
      </c>
      <c r="C11" s="16" t="s">
        <v>2236</v>
      </c>
      <c r="D11" s="16" t="s">
        <v>2235</v>
      </c>
      <c r="E11" s="3" t="s">
        <v>33</v>
      </c>
      <c r="F11" s="3"/>
      <c r="G11" s="3"/>
      <c r="H11" s="3" t="s">
        <v>2964</v>
      </c>
      <c r="I11" s="3" t="s">
        <v>2197</v>
      </c>
      <c r="J11" s="3">
        <v>1</v>
      </c>
      <c r="K11" s="3">
        <v>5</v>
      </c>
      <c r="L11" s="4">
        <v>52</v>
      </c>
      <c r="M11" s="3" t="s">
        <v>1963</v>
      </c>
      <c r="N11" s="3" t="s">
        <v>30</v>
      </c>
      <c r="O11" s="3">
        <v>207.38</v>
      </c>
      <c r="P11" s="3" t="s">
        <v>2238</v>
      </c>
      <c r="Q11" s="21" t="str">
        <f>_xlfn.XLOOKUP(C11,[1]DailyCommercialOfferData!$A$2:$A$164,[1]DailyCommercialOfferData!$C$2:$C$164,0)</f>
        <v>190.97</v>
      </c>
      <c r="R11" s="3">
        <f t="shared" si="0"/>
        <v>207.38</v>
      </c>
    </row>
    <row r="12" spans="1:18" x14ac:dyDescent="0.3">
      <c r="A12" s="3" t="s">
        <v>325</v>
      </c>
      <c r="B12" s="4" t="s">
        <v>2241</v>
      </c>
      <c r="C12" s="16" t="s">
        <v>2240</v>
      </c>
      <c r="D12" s="16" t="s">
        <v>2239</v>
      </c>
      <c r="E12" s="3" t="s">
        <v>33</v>
      </c>
      <c r="F12" s="3"/>
      <c r="G12" s="3"/>
      <c r="H12" s="3" t="s">
        <v>2964</v>
      </c>
      <c r="I12" s="3" t="s">
        <v>2197</v>
      </c>
      <c r="J12" s="3">
        <v>1</v>
      </c>
      <c r="K12" s="3">
        <v>5</v>
      </c>
      <c r="L12" s="4">
        <v>52</v>
      </c>
      <c r="M12" s="3" t="s">
        <v>1963</v>
      </c>
      <c r="N12" s="3" t="s">
        <v>30</v>
      </c>
      <c r="O12" s="3">
        <v>207.38</v>
      </c>
      <c r="P12" s="3" t="s">
        <v>2238</v>
      </c>
      <c r="Q12" s="21" t="str">
        <f>_xlfn.XLOOKUP(C12,[1]DailyCommercialOfferData!$A$2:$A$164,[1]DailyCommercialOfferData!$C$2:$C$164,0)</f>
        <v>190.97</v>
      </c>
      <c r="R12" s="3">
        <f t="shared" si="0"/>
        <v>207.38</v>
      </c>
    </row>
    <row r="13" spans="1:18" x14ac:dyDescent="0.3">
      <c r="A13" s="3" t="s">
        <v>504</v>
      </c>
      <c r="B13" s="4" t="s">
        <v>2425</v>
      </c>
      <c r="C13" s="16" t="s">
        <v>2424</v>
      </c>
      <c r="D13" s="16" t="s">
        <v>2423</v>
      </c>
      <c r="E13" s="3" t="s">
        <v>33</v>
      </c>
      <c r="F13" s="3"/>
      <c r="G13" s="3"/>
      <c r="H13" s="3" t="s">
        <v>2969</v>
      </c>
      <c r="I13" s="3" t="s">
        <v>1868</v>
      </c>
      <c r="J13" s="3">
        <v>1</v>
      </c>
      <c r="K13" s="3">
        <v>0.2</v>
      </c>
      <c r="L13" s="4">
        <v>2</v>
      </c>
      <c r="M13" s="3" t="s">
        <v>1963</v>
      </c>
      <c r="N13" s="3" t="s">
        <v>30</v>
      </c>
      <c r="O13" s="3">
        <v>424.84</v>
      </c>
      <c r="P13" s="3" t="s">
        <v>826</v>
      </c>
      <c r="Q13" s="21" t="str">
        <f>_xlfn.XLOOKUP(C13,[1]DailyCommercialOfferData!$A$2:$A$164,[1]DailyCommercialOfferData!$C$2:$C$164,0)</f>
        <v>424.84</v>
      </c>
      <c r="R13" s="3">
        <f t="shared" si="0"/>
        <v>424.84</v>
      </c>
    </row>
    <row r="14" spans="1:18" x14ac:dyDescent="0.3">
      <c r="A14" s="3" t="s">
        <v>507</v>
      </c>
      <c r="B14" s="4" t="s">
        <v>2431</v>
      </c>
      <c r="C14" s="16" t="s">
        <v>2430</v>
      </c>
      <c r="D14" s="16" t="s">
        <v>2429</v>
      </c>
      <c r="E14" s="3" t="s">
        <v>33</v>
      </c>
      <c r="F14" s="3"/>
      <c r="G14" s="3"/>
      <c r="H14" s="3" t="s">
        <v>2971</v>
      </c>
      <c r="I14" s="3" t="s">
        <v>1962</v>
      </c>
      <c r="J14" s="3">
        <v>1</v>
      </c>
      <c r="K14" s="3">
        <v>5</v>
      </c>
      <c r="L14" s="4">
        <v>29.2</v>
      </c>
      <c r="M14" s="3" t="s">
        <v>1963</v>
      </c>
      <c r="N14" s="3" t="s">
        <v>30</v>
      </c>
      <c r="O14" s="3">
        <v>431.15</v>
      </c>
      <c r="P14" s="3" t="s">
        <v>2432</v>
      </c>
      <c r="Q14" s="21" t="str">
        <f>_xlfn.XLOOKUP(C14,[1]DailyCommercialOfferData!$A$2:$A$164,[1]DailyCommercialOfferData!$C$2:$C$164,0)</f>
        <v>425.9</v>
      </c>
      <c r="R14" s="3">
        <f t="shared" si="0"/>
        <v>431.15</v>
      </c>
    </row>
    <row r="15" spans="1:18" x14ac:dyDescent="0.3">
      <c r="A15" s="3" t="s">
        <v>507</v>
      </c>
      <c r="B15" s="4" t="s">
        <v>2435</v>
      </c>
      <c r="C15" s="16" t="s">
        <v>2434</v>
      </c>
      <c r="D15" s="16" t="s">
        <v>2433</v>
      </c>
      <c r="E15" s="3" t="s">
        <v>33</v>
      </c>
      <c r="F15" s="3"/>
      <c r="G15" s="3"/>
      <c r="H15" s="3" t="s">
        <v>2971</v>
      </c>
      <c r="I15" s="3" t="s">
        <v>1962</v>
      </c>
      <c r="J15" s="3">
        <v>1</v>
      </c>
      <c r="K15" s="3">
        <v>5</v>
      </c>
      <c r="L15" s="4">
        <v>29.2</v>
      </c>
      <c r="M15" s="3" t="s">
        <v>1963</v>
      </c>
      <c r="N15" s="3" t="s">
        <v>30</v>
      </c>
      <c r="O15" s="3">
        <v>431.15</v>
      </c>
      <c r="P15" s="3" t="s">
        <v>2432</v>
      </c>
      <c r="Q15" s="21" t="str">
        <f>_xlfn.XLOOKUP(C15,[1]DailyCommercialOfferData!$A$2:$A$164,[1]DailyCommercialOfferData!$C$2:$C$164,0)</f>
        <v>425.9</v>
      </c>
      <c r="R15" s="3">
        <f t="shared" si="0"/>
        <v>431.15</v>
      </c>
    </row>
    <row r="16" spans="1:18" x14ac:dyDescent="0.3">
      <c r="A16" s="3" t="s">
        <v>507</v>
      </c>
      <c r="B16" s="4" t="s">
        <v>2438</v>
      </c>
      <c r="C16" s="16" t="s">
        <v>2437</v>
      </c>
      <c r="D16" s="16" t="s">
        <v>2436</v>
      </c>
      <c r="E16" s="3" t="s">
        <v>33</v>
      </c>
      <c r="F16" s="3"/>
      <c r="G16" s="3"/>
      <c r="H16" s="3" t="s">
        <v>2971</v>
      </c>
      <c r="I16" s="3" t="s">
        <v>1962</v>
      </c>
      <c r="J16" s="3">
        <v>1</v>
      </c>
      <c r="K16" s="3">
        <v>12.82</v>
      </c>
      <c r="L16" s="4">
        <v>41.61</v>
      </c>
      <c r="M16" s="3" t="s">
        <v>1963</v>
      </c>
      <c r="N16" s="3" t="s">
        <v>30</v>
      </c>
      <c r="O16" s="3">
        <v>198.29</v>
      </c>
      <c r="P16" s="3" t="s">
        <v>2439</v>
      </c>
      <c r="Q16" s="21" t="str">
        <f>_xlfn.XLOOKUP(C16,[1]DailyCommercialOfferData!$A$2:$A$164,[1]DailyCommercialOfferData!$C$2:$C$164,0)</f>
        <v>196.54</v>
      </c>
      <c r="R16" s="3">
        <f t="shared" si="0"/>
        <v>198.29</v>
      </c>
    </row>
    <row r="17" spans="1:18" x14ac:dyDescent="0.3">
      <c r="A17" s="3" t="s">
        <v>507</v>
      </c>
      <c r="B17" s="4" t="s">
        <v>2442</v>
      </c>
      <c r="C17" s="16" t="s">
        <v>2441</v>
      </c>
      <c r="D17" s="16" t="s">
        <v>2440</v>
      </c>
      <c r="E17" s="3" t="s">
        <v>33</v>
      </c>
      <c r="F17" s="3"/>
      <c r="G17" s="3"/>
      <c r="H17" s="3" t="s">
        <v>2971</v>
      </c>
      <c r="I17" s="3" t="s">
        <v>1962</v>
      </c>
      <c r="J17" s="3">
        <v>1</v>
      </c>
      <c r="K17" s="3">
        <v>12.82</v>
      </c>
      <c r="L17" s="4">
        <v>41.61</v>
      </c>
      <c r="M17" s="3" t="s">
        <v>1963</v>
      </c>
      <c r="N17" s="3" t="s">
        <v>30</v>
      </c>
      <c r="O17" s="3">
        <v>198.29</v>
      </c>
      <c r="P17" s="3" t="s">
        <v>2439</v>
      </c>
      <c r="Q17" s="21" t="str">
        <f>_xlfn.XLOOKUP(C17,[1]DailyCommercialOfferData!$A$2:$A$164,[1]DailyCommercialOfferData!$C$2:$C$164,0)</f>
        <v>196.54</v>
      </c>
      <c r="R17" s="3">
        <f t="shared" si="0"/>
        <v>198.29</v>
      </c>
    </row>
    <row r="18" spans="1:18" x14ac:dyDescent="0.3">
      <c r="A18" s="3" t="s">
        <v>747</v>
      </c>
      <c r="B18" s="4" t="s">
        <v>2608</v>
      </c>
      <c r="C18" s="16" t="s">
        <v>2607</v>
      </c>
      <c r="D18" s="16" t="s">
        <v>2606</v>
      </c>
      <c r="E18" s="3" t="s">
        <v>33</v>
      </c>
      <c r="F18" s="3"/>
      <c r="G18" s="3"/>
      <c r="H18" s="3" t="s">
        <v>2964</v>
      </c>
      <c r="I18" s="3" t="s">
        <v>1868</v>
      </c>
      <c r="J18" s="3">
        <v>1</v>
      </c>
      <c r="K18" s="3">
        <v>25</v>
      </c>
      <c r="L18" s="4">
        <v>160</v>
      </c>
      <c r="M18" s="3" t="s">
        <v>1963</v>
      </c>
      <c r="N18" s="3" t="s">
        <v>30</v>
      </c>
      <c r="O18" s="3">
        <v>160.08000000000001</v>
      </c>
      <c r="P18" s="3" t="s">
        <v>2609</v>
      </c>
      <c r="Q18" s="21" t="str">
        <f>_xlfn.XLOOKUP(C18,[1]DailyCommercialOfferData!$A$2:$A$164,[1]DailyCommercialOfferData!$C$2:$C$164,0)</f>
        <v>145.57</v>
      </c>
      <c r="R18" s="3">
        <f t="shared" si="0"/>
        <v>160.08000000000001</v>
      </c>
    </row>
    <row r="19" spans="1:18" x14ac:dyDescent="0.3">
      <c r="A19" s="3" t="s">
        <v>700</v>
      </c>
      <c r="B19" s="4" t="s">
        <v>2691</v>
      </c>
      <c r="C19" s="16" t="s">
        <v>2690</v>
      </c>
      <c r="D19" s="16" t="s">
        <v>2689</v>
      </c>
      <c r="E19" s="3" t="s">
        <v>33</v>
      </c>
      <c r="F19" s="3"/>
      <c r="G19" s="3"/>
      <c r="H19" s="3" t="s">
        <v>2964</v>
      </c>
      <c r="I19" s="3" t="s">
        <v>1868</v>
      </c>
      <c r="J19" s="3">
        <v>1</v>
      </c>
      <c r="K19" s="3">
        <v>16</v>
      </c>
      <c r="L19" s="4">
        <v>260</v>
      </c>
      <c r="M19" s="3" t="s">
        <v>1963</v>
      </c>
      <c r="N19" s="3" t="s">
        <v>30</v>
      </c>
      <c r="O19" s="3">
        <v>132.62</v>
      </c>
      <c r="P19" s="3" t="s">
        <v>2692</v>
      </c>
      <c r="Q19" s="21" t="str">
        <f>_xlfn.XLOOKUP(C19,[1]DailyCommercialOfferData!$A$2:$A$164,[1]DailyCommercialOfferData!$C$2:$C$164,0)</f>
        <v>132.62</v>
      </c>
      <c r="R19" s="3">
        <f t="shared" si="0"/>
        <v>132.62</v>
      </c>
    </row>
    <row r="20" spans="1:18" x14ac:dyDescent="0.3">
      <c r="A20" s="3" t="s">
        <v>743</v>
      </c>
      <c r="B20" s="4" t="s">
        <v>2715</v>
      </c>
      <c r="C20" s="16" t="s">
        <v>2714</v>
      </c>
      <c r="D20" s="16" t="s">
        <v>2713</v>
      </c>
      <c r="E20" s="3" t="s">
        <v>33</v>
      </c>
      <c r="F20" s="3"/>
      <c r="G20" s="3"/>
      <c r="H20" s="3" t="s">
        <v>2995</v>
      </c>
      <c r="I20" s="3" t="s">
        <v>2197</v>
      </c>
      <c r="J20" s="3">
        <v>1</v>
      </c>
      <c r="K20" s="3">
        <v>5</v>
      </c>
      <c r="L20" s="4">
        <v>52</v>
      </c>
      <c r="M20" s="3" t="s">
        <v>1963</v>
      </c>
      <c r="N20" s="3" t="s">
        <v>30</v>
      </c>
      <c r="O20" s="3">
        <v>213.18</v>
      </c>
      <c r="P20" s="3" t="s">
        <v>2716</v>
      </c>
      <c r="Q20" s="21" t="str">
        <f>_xlfn.XLOOKUP(C20,[1]DailyCommercialOfferData!$A$2:$A$164,[1]DailyCommercialOfferData!$C$2:$C$164,0)</f>
        <v>193.76</v>
      </c>
      <c r="R20" s="3">
        <f t="shared" si="0"/>
        <v>213.18</v>
      </c>
    </row>
    <row r="21" spans="1:18" x14ac:dyDescent="0.3">
      <c r="A21" s="3" t="s">
        <v>743</v>
      </c>
      <c r="B21" s="4" t="s">
        <v>2719</v>
      </c>
      <c r="C21" s="16" t="s">
        <v>2718</v>
      </c>
      <c r="D21" s="16" t="s">
        <v>2717</v>
      </c>
      <c r="E21" s="3" t="s">
        <v>33</v>
      </c>
      <c r="F21" s="3"/>
      <c r="G21" s="3"/>
      <c r="H21" s="3" t="s">
        <v>2995</v>
      </c>
      <c r="I21" s="3" t="s">
        <v>2197</v>
      </c>
      <c r="J21" s="3">
        <v>1</v>
      </c>
      <c r="K21" s="3">
        <v>5</v>
      </c>
      <c r="L21" s="4">
        <v>52</v>
      </c>
      <c r="M21" s="3" t="s">
        <v>1963</v>
      </c>
      <c r="N21" s="3" t="s">
        <v>30</v>
      </c>
      <c r="O21" s="3">
        <v>213.18</v>
      </c>
      <c r="P21" s="3" t="s">
        <v>2716</v>
      </c>
      <c r="Q21" s="21" t="str">
        <f>_xlfn.XLOOKUP(C21,[1]DailyCommercialOfferData!$A$2:$A$164,[1]DailyCommercialOfferData!$C$2:$C$164,0)</f>
        <v>193.76</v>
      </c>
      <c r="R21" s="3">
        <f t="shared" si="0"/>
        <v>213.18</v>
      </c>
    </row>
    <row r="22" spans="1:18" x14ac:dyDescent="0.3">
      <c r="A22" s="3" t="s">
        <v>148</v>
      </c>
      <c r="B22" s="4" t="s">
        <v>1971</v>
      </c>
      <c r="C22" s="16" t="s">
        <v>1970</v>
      </c>
      <c r="D22" s="16" t="s">
        <v>1969</v>
      </c>
      <c r="E22" s="3" t="s">
        <v>33</v>
      </c>
      <c r="F22" s="3"/>
      <c r="G22" s="3"/>
      <c r="H22" s="3" t="s">
        <v>2971</v>
      </c>
      <c r="I22" s="3" t="s">
        <v>1972</v>
      </c>
      <c r="J22" s="3">
        <v>1</v>
      </c>
      <c r="K22" s="3">
        <v>63</v>
      </c>
      <c r="L22" s="4">
        <v>101</v>
      </c>
      <c r="M22" s="3" t="s">
        <v>1973</v>
      </c>
      <c r="N22" s="3" t="s">
        <v>30</v>
      </c>
      <c r="O22" s="3">
        <v>85.59</v>
      </c>
      <c r="P22" s="3" t="s">
        <v>1974</v>
      </c>
      <c r="Q22" s="21" t="str">
        <f>_xlfn.XLOOKUP(C22,[1]DailyCommercialOfferData!$A$2:$A$164,[1]DailyCommercialOfferData!$C$2:$C$164,0)</f>
        <v>79.19</v>
      </c>
      <c r="R22" s="3">
        <f t="shared" si="0"/>
        <v>85.59</v>
      </c>
    </row>
    <row r="23" spans="1:18" x14ac:dyDescent="0.3">
      <c r="A23" s="3" t="s">
        <v>377</v>
      </c>
      <c r="B23" s="4" t="s">
        <v>2283</v>
      </c>
      <c r="C23" s="16" t="s">
        <v>2282</v>
      </c>
      <c r="D23" s="16" t="s">
        <v>2281</v>
      </c>
      <c r="E23" s="3" t="s">
        <v>33</v>
      </c>
      <c r="F23" s="3"/>
      <c r="G23" s="3"/>
      <c r="H23" s="3" t="s">
        <v>2964</v>
      </c>
      <c r="I23" s="3" t="s">
        <v>1868</v>
      </c>
      <c r="J23" s="3">
        <v>1</v>
      </c>
      <c r="K23" s="3">
        <v>18</v>
      </c>
      <c r="L23" s="4">
        <v>50</v>
      </c>
      <c r="M23" s="3" t="s">
        <v>1973</v>
      </c>
      <c r="N23" s="3" t="s">
        <v>30</v>
      </c>
      <c r="O23" s="3">
        <v>125.8</v>
      </c>
      <c r="P23" s="3" t="s">
        <v>2284</v>
      </c>
      <c r="Q23" s="21" t="str">
        <f>_xlfn.XLOOKUP(C23,[1]DailyCommercialOfferData!$A$2:$A$164,[1]DailyCommercialOfferData!$C$2:$C$164,0)</f>
        <v>125.79</v>
      </c>
      <c r="R23" s="3">
        <f t="shared" si="0"/>
        <v>125.8</v>
      </c>
    </row>
    <row r="24" spans="1:18" x14ac:dyDescent="0.3">
      <c r="A24" s="3" t="s">
        <v>448</v>
      </c>
      <c r="B24" s="4" t="s">
        <v>2362</v>
      </c>
      <c r="C24" s="16" t="s">
        <v>2361</v>
      </c>
      <c r="D24" s="16" t="s">
        <v>2360</v>
      </c>
      <c r="E24" s="3" t="s">
        <v>33</v>
      </c>
      <c r="F24" s="3"/>
      <c r="G24" s="3"/>
      <c r="H24" s="3" t="s">
        <v>2964</v>
      </c>
      <c r="I24" s="3" t="s">
        <v>2363</v>
      </c>
      <c r="J24" s="3">
        <v>1</v>
      </c>
      <c r="K24" s="3">
        <v>121</v>
      </c>
      <c r="L24" s="4">
        <v>400</v>
      </c>
      <c r="M24" s="3" t="s">
        <v>1973</v>
      </c>
      <c r="N24" s="3" t="s">
        <v>30</v>
      </c>
      <c r="O24" s="3">
        <v>59.09</v>
      </c>
      <c r="P24" s="3" t="s">
        <v>2364</v>
      </c>
      <c r="Q24" s="21" t="str">
        <f>_xlfn.XLOOKUP(C24,[1]DailyCommercialOfferData!$A$2:$A$164,[1]DailyCommercialOfferData!$C$2:$C$164,0)</f>
        <v>54.19</v>
      </c>
      <c r="R24" s="3">
        <f t="shared" si="0"/>
        <v>59.09</v>
      </c>
    </row>
    <row r="25" spans="1:18" x14ac:dyDescent="0.3">
      <c r="A25" s="3" t="s">
        <v>448</v>
      </c>
      <c r="B25" s="4" t="s">
        <v>2367</v>
      </c>
      <c r="C25" s="16" t="s">
        <v>2366</v>
      </c>
      <c r="D25" s="16" t="s">
        <v>2365</v>
      </c>
      <c r="E25" s="3" t="s">
        <v>33</v>
      </c>
      <c r="F25" s="3"/>
      <c r="G25" s="3"/>
      <c r="H25" s="3" t="s">
        <v>2964</v>
      </c>
      <c r="I25" s="3" t="s">
        <v>3211</v>
      </c>
      <c r="J25" s="3">
        <v>1</v>
      </c>
      <c r="K25" s="3">
        <v>120</v>
      </c>
      <c r="L25" s="4">
        <v>342</v>
      </c>
      <c r="M25" s="3" t="s">
        <v>1973</v>
      </c>
      <c r="N25" s="3" t="s">
        <v>30</v>
      </c>
      <c r="O25" s="3">
        <v>65.099999999999994</v>
      </c>
      <c r="P25" s="3" t="s">
        <v>2368</v>
      </c>
      <c r="Q25" s="21" t="str">
        <f>_xlfn.XLOOKUP(C25,[1]DailyCommercialOfferData!$A$2:$A$164,[1]DailyCommercialOfferData!$C$2:$C$164,0)</f>
        <v>59.7</v>
      </c>
      <c r="R25" s="3">
        <f t="shared" si="0"/>
        <v>65.099999999999994</v>
      </c>
    </row>
    <row r="26" spans="1:18" x14ac:dyDescent="0.3">
      <c r="A26" s="3" t="s">
        <v>538</v>
      </c>
      <c r="B26" s="4" t="s">
        <v>2495</v>
      </c>
      <c r="C26" s="16" t="s">
        <v>2494</v>
      </c>
      <c r="D26" s="16" t="s">
        <v>2493</v>
      </c>
      <c r="E26" s="3" t="s">
        <v>33</v>
      </c>
      <c r="F26" s="3"/>
      <c r="G26" s="3"/>
      <c r="H26" s="3" t="s">
        <v>2971</v>
      </c>
      <c r="I26" s="3" t="s">
        <v>1868</v>
      </c>
      <c r="J26" s="3">
        <v>1</v>
      </c>
      <c r="K26" s="3">
        <v>0</v>
      </c>
      <c r="L26" s="4">
        <v>3.0209999999999999</v>
      </c>
      <c r="M26" s="3" t="s">
        <v>1973</v>
      </c>
      <c r="N26" s="3" t="s">
        <v>30</v>
      </c>
      <c r="O26" s="3">
        <v>0</v>
      </c>
      <c r="P26" s="3">
        <v>0</v>
      </c>
      <c r="Q26" s="21">
        <f>_xlfn.XLOOKUP(C26,[1]DailyCommercialOfferData!$A$2:$A$164,[1]DailyCommercialOfferData!$C$2:$C$164,0)</f>
        <v>0</v>
      </c>
      <c r="R26" s="3">
        <f t="shared" si="0"/>
        <v>0</v>
      </c>
    </row>
    <row r="27" spans="1:18" x14ac:dyDescent="0.3">
      <c r="A27" s="3" t="s">
        <v>630</v>
      </c>
      <c r="B27" s="4" t="s">
        <v>2604</v>
      </c>
      <c r="C27" s="16" t="s">
        <v>2603</v>
      </c>
      <c r="D27" s="16" t="s">
        <v>2602</v>
      </c>
      <c r="E27" s="3" t="s">
        <v>33</v>
      </c>
      <c r="F27" s="3"/>
      <c r="G27" s="3"/>
      <c r="H27" s="3" t="s">
        <v>2964</v>
      </c>
      <c r="I27" s="3" t="s">
        <v>1868</v>
      </c>
      <c r="J27" s="3">
        <v>1</v>
      </c>
      <c r="K27" s="3">
        <v>17</v>
      </c>
      <c r="L27" s="4">
        <v>200</v>
      </c>
      <c r="M27" s="3" t="s">
        <v>1973</v>
      </c>
      <c r="N27" s="3" t="s">
        <v>30</v>
      </c>
      <c r="O27" s="3">
        <v>122.55</v>
      </c>
      <c r="P27" s="3" t="s">
        <v>2605</v>
      </c>
      <c r="Q27" s="21" t="str">
        <f>_xlfn.XLOOKUP(C27,[1]DailyCommercialOfferData!$A$2:$A$164,[1]DailyCommercialOfferData!$C$2:$C$164,0)</f>
        <v>121.14</v>
      </c>
      <c r="R27" s="3">
        <f t="shared" si="0"/>
        <v>122.55</v>
      </c>
    </row>
    <row r="28" spans="1:18" x14ac:dyDescent="0.3">
      <c r="A28" s="3" t="s">
        <v>784</v>
      </c>
      <c r="B28" s="4" t="s">
        <v>2780</v>
      </c>
      <c r="C28" s="16" t="s">
        <v>2779</v>
      </c>
      <c r="D28" s="16" t="s">
        <v>2778</v>
      </c>
      <c r="E28" s="3" t="s">
        <v>33</v>
      </c>
      <c r="F28" s="3"/>
      <c r="G28" s="3"/>
      <c r="H28" s="3" t="s">
        <v>2964</v>
      </c>
      <c r="I28" s="3" t="s">
        <v>2577</v>
      </c>
      <c r="J28" s="3">
        <v>1</v>
      </c>
      <c r="K28" s="3">
        <v>194</v>
      </c>
      <c r="L28" s="4">
        <v>404</v>
      </c>
      <c r="M28" s="3" t="s">
        <v>1973</v>
      </c>
      <c r="N28" s="3" t="s">
        <v>30</v>
      </c>
      <c r="O28" s="3">
        <v>79.099999999999994</v>
      </c>
      <c r="P28" s="3" t="s">
        <v>2781</v>
      </c>
      <c r="Q28" s="21" t="str">
        <f>_xlfn.XLOOKUP(C28,[1]DailyCommercialOfferData!$A$2:$A$164,[1]DailyCommercialOfferData!$C$2:$C$164,0)</f>
        <v>26.6</v>
      </c>
      <c r="R28" s="3">
        <f t="shared" si="0"/>
        <v>79.099999999999994</v>
      </c>
    </row>
    <row r="29" spans="1:18" x14ac:dyDescent="0.3">
      <c r="A29" s="3" t="s">
        <v>35</v>
      </c>
      <c r="B29" s="4" t="s">
        <v>1926</v>
      </c>
      <c r="C29" s="16" t="s">
        <v>1925</v>
      </c>
      <c r="D29" s="16" t="s">
        <v>1924</v>
      </c>
      <c r="E29" s="3" t="s">
        <v>33</v>
      </c>
      <c r="F29" s="3"/>
      <c r="G29" s="3"/>
      <c r="H29" s="3" t="s">
        <v>2967</v>
      </c>
      <c r="I29" s="3" t="s">
        <v>1868</v>
      </c>
      <c r="J29" s="3">
        <v>1</v>
      </c>
      <c r="K29" s="3">
        <v>11.9</v>
      </c>
      <c r="L29" s="4">
        <v>21</v>
      </c>
      <c r="M29" s="3" t="s">
        <v>1927</v>
      </c>
      <c r="N29" s="3" t="s">
        <v>30</v>
      </c>
      <c r="O29" s="3">
        <v>80</v>
      </c>
      <c r="P29" s="3" t="s">
        <v>826</v>
      </c>
      <c r="Q29" s="21">
        <v>8000</v>
      </c>
      <c r="R29" s="3">
        <f t="shared" si="0"/>
        <v>80</v>
      </c>
    </row>
    <row r="30" spans="1:18" x14ac:dyDescent="0.3">
      <c r="A30" s="3" t="s">
        <v>35</v>
      </c>
      <c r="B30" s="4" t="s">
        <v>1930</v>
      </c>
      <c r="C30" s="16" t="s">
        <v>1929</v>
      </c>
      <c r="D30" s="16" t="s">
        <v>1928</v>
      </c>
      <c r="E30" s="3" t="s">
        <v>33</v>
      </c>
      <c r="F30" s="3"/>
      <c r="G30" s="3"/>
      <c r="H30" s="3" t="s">
        <v>2967</v>
      </c>
      <c r="I30" s="3" t="s">
        <v>1868</v>
      </c>
      <c r="J30" s="3">
        <v>1</v>
      </c>
      <c r="K30" s="3">
        <v>11.9</v>
      </c>
      <c r="L30" s="4">
        <v>22</v>
      </c>
      <c r="M30" s="3" t="s">
        <v>1927</v>
      </c>
      <c r="N30" s="3" t="s">
        <v>30</v>
      </c>
      <c r="O30" s="3">
        <v>80</v>
      </c>
      <c r="P30" s="3" t="s">
        <v>826</v>
      </c>
      <c r="Q30" s="21">
        <v>8000</v>
      </c>
      <c r="R30" s="3">
        <f t="shared" si="0"/>
        <v>80</v>
      </c>
    </row>
    <row r="31" spans="1:18" x14ac:dyDescent="0.3">
      <c r="A31" s="3" t="s">
        <v>35</v>
      </c>
      <c r="B31" s="4" t="s">
        <v>1933</v>
      </c>
      <c r="C31" s="16" t="s">
        <v>1932</v>
      </c>
      <c r="D31" s="16" t="s">
        <v>1931</v>
      </c>
      <c r="E31" s="3" t="s">
        <v>33</v>
      </c>
      <c r="F31" s="3"/>
      <c r="G31" s="3"/>
      <c r="H31" s="3" t="s">
        <v>2967</v>
      </c>
      <c r="I31" s="3" t="s">
        <v>1868</v>
      </c>
      <c r="J31" s="3">
        <v>1</v>
      </c>
      <c r="K31" s="3">
        <v>11.9</v>
      </c>
      <c r="L31" s="4">
        <v>19</v>
      </c>
      <c r="M31" s="3" t="s">
        <v>1927</v>
      </c>
      <c r="N31" s="3" t="s">
        <v>30</v>
      </c>
      <c r="O31" s="3">
        <v>0</v>
      </c>
      <c r="P31" s="3" t="s">
        <v>826</v>
      </c>
      <c r="Q31" s="21">
        <v>8000</v>
      </c>
      <c r="R31" s="3">
        <f t="shared" si="0"/>
        <v>0</v>
      </c>
    </row>
    <row r="32" spans="1:18" x14ac:dyDescent="0.3">
      <c r="A32" s="3" t="s">
        <v>35</v>
      </c>
      <c r="B32" s="4" t="s">
        <v>1936</v>
      </c>
      <c r="C32" s="16" t="s">
        <v>1935</v>
      </c>
      <c r="D32" s="16" t="s">
        <v>1934</v>
      </c>
      <c r="E32" s="3" t="s">
        <v>33</v>
      </c>
      <c r="F32" s="3"/>
      <c r="G32" s="3"/>
      <c r="H32" s="3" t="s">
        <v>2967</v>
      </c>
      <c r="I32" s="3" t="s">
        <v>1868</v>
      </c>
      <c r="J32" s="3">
        <v>1</v>
      </c>
      <c r="K32" s="3">
        <v>11.9</v>
      </c>
      <c r="L32" s="4">
        <v>24</v>
      </c>
      <c r="M32" s="3" t="s">
        <v>1927</v>
      </c>
      <c r="N32" s="3" t="s">
        <v>30</v>
      </c>
      <c r="O32" s="3">
        <v>80</v>
      </c>
      <c r="P32" s="3" t="s">
        <v>826</v>
      </c>
      <c r="Q32" s="21">
        <v>8000</v>
      </c>
      <c r="R32" s="3">
        <f t="shared" si="0"/>
        <v>80</v>
      </c>
    </row>
    <row r="33" spans="1:18" x14ac:dyDescent="0.3">
      <c r="A33" s="3" t="s">
        <v>111</v>
      </c>
      <c r="B33" s="4" t="s">
        <v>2009</v>
      </c>
      <c r="C33" s="16" t="s">
        <v>2008</v>
      </c>
      <c r="D33" s="16" t="s">
        <v>2007</v>
      </c>
      <c r="E33" s="3" t="s">
        <v>33</v>
      </c>
      <c r="F33" s="3"/>
      <c r="G33" s="3"/>
      <c r="H33" s="3" t="s">
        <v>2973</v>
      </c>
      <c r="I33" s="3" t="s">
        <v>1868</v>
      </c>
      <c r="J33" s="3">
        <v>1</v>
      </c>
      <c r="K33" s="3">
        <v>0</v>
      </c>
      <c r="L33" s="4">
        <v>4.3</v>
      </c>
      <c r="M33" s="3" t="s">
        <v>1927</v>
      </c>
      <c r="N33" s="3" t="s">
        <v>30</v>
      </c>
      <c r="O33" s="3">
        <v>0</v>
      </c>
      <c r="P33" s="3">
        <v>0</v>
      </c>
      <c r="Q33" s="21">
        <v>8000</v>
      </c>
      <c r="R33" s="3">
        <f t="shared" si="0"/>
        <v>0</v>
      </c>
    </row>
    <row r="34" spans="1:18" x14ac:dyDescent="0.3">
      <c r="A34" s="3" t="s">
        <v>205</v>
      </c>
      <c r="B34" s="4" t="s">
        <v>2066</v>
      </c>
      <c r="C34" s="16" t="s">
        <v>2065</v>
      </c>
      <c r="D34" s="16" t="s">
        <v>2064</v>
      </c>
      <c r="E34" s="3" t="s">
        <v>33</v>
      </c>
      <c r="F34" s="3"/>
      <c r="G34" s="3"/>
      <c r="H34" s="3" t="s">
        <v>2964</v>
      </c>
      <c r="I34" s="3" t="s">
        <v>1868</v>
      </c>
      <c r="J34" s="3">
        <v>1</v>
      </c>
      <c r="K34" s="3">
        <v>3</v>
      </c>
      <c r="L34" s="4">
        <v>8</v>
      </c>
      <c r="M34" s="3" t="s">
        <v>1927</v>
      </c>
      <c r="N34" s="3" t="s">
        <v>30</v>
      </c>
      <c r="O34" s="3">
        <v>80</v>
      </c>
      <c r="P34" s="3" t="s">
        <v>826</v>
      </c>
      <c r="Q34" s="21">
        <v>8000</v>
      </c>
      <c r="R34" s="3">
        <f t="shared" ref="R34:R61" si="1">O34</f>
        <v>80</v>
      </c>
    </row>
    <row r="35" spans="1:18" x14ac:dyDescent="0.3">
      <c r="A35" s="3" t="s">
        <v>223</v>
      </c>
      <c r="B35" s="4" t="s">
        <v>2078</v>
      </c>
      <c r="C35" s="16" t="s">
        <v>2077</v>
      </c>
      <c r="D35" s="16" t="s">
        <v>2076</v>
      </c>
      <c r="E35" s="3" t="s">
        <v>33</v>
      </c>
      <c r="F35" s="3"/>
      <c r="G35" s="3"/>
      <c r="H35" s="3" t="s">
        <v>2976</v>
      </c>
      <c r="I35" s="3" t="s">
        <v>1868</v>
      </c>
      <c r="J35" s="3">
        <v>1</v>
      </c>
      <c r="K35" s="3">
        <v>5</v>
      </c>
      <c r="L35" s="4">
        <v>22.5</v>
      </c>
      <c r="M35" s="3" t="s">
        <v>1927</v>
      </c>
      <c r="N35" s="3" t="s">
        <v>30</v>
      </c>
      <c r="O35" s="3">
        <v>80</v>
      </c>
      <c r="P35" s="3" t="s">
        <v>826</v>
      </c>
      <c r="Q35" s="21">
        <v>8000</v>
      </c>
      <c r="R35" s="3">
        <f t="shared" si="1"/>
        <v>80</v>
      </c>
    </row>
    <row r="36" spans="1:18" x14ac:dyDescent="0.3">
      <c r="A36" s="3" t="s">
        <v>223</v>
      </c>
      <c r="B36" s="4" t="s">
        <v>2081</v>
      </c>
      <c r="C36" s="16" t="s">
        <v>2080</v>
      </c>
      <c r="D36" s="16" t="s">
        <v>2079</v>
      </c>
      <c r="E36" s="3" t="s">
        <v>33</v>
      </c>
      <c r="F36" s="3"/>
      <c r="G36" s="3"/>
      <c r="H36" s="3" t="s">
        <v>2976</v>
      </c>
      <c r="I36" s="3" t="s">
        <v>1868</v>
      </c>
      <c r="J36" s="3">
        <v>1</v>
      </c>
      <c r="K36" s="3">
        <v>5</v>
      </c>
      <c r="L36" s="4">
        <v>22.5</v>
      </c>
      <c r="M36" s="3" t="s">
        <v>1927</v>
      </c>
      <c r="N36" s="3" t="s">
        <v>30</v>
      </c>
      <c r="O36" s="3">
        <v>80</v>
      </c>
      <c r="P36" s="3" t="s">
        <v>826</v>
      </c>
      <c r="Q36" s="21">
        <v>8000</v>
      </c>
      <c r="R36" s="3">
        <f t="shared" si="1"/>
        <v>80</v>
      </c>
    </row>
    <row r="37" spans="1:18" x14ac:dyDescent="0.3">
      <c r="A37" s="3" t="s">
        <v>242</v>
      </c>
      <c r="B37" s="4" t="s">
        <v>2111</v>
      </c>
      <c r="C37" s="16" t="s">
        <v>2110</v>
      </c>
      <c r="D37" s="16" t="s">
        <v>2109</v>
      </c>
      <c r="E37" s="3" t="s">
        <v>33</v>
      </c>
      <c r="F37" s="3"/>
      <c r="G37" s="3"/>
      <c r="H37" s="3" t="s">
        <v>2964</v>
      </c>
      <c r="I37" s="3" t="s">
        <v>1868</v>
      </c>
      <c r="J37" s="3">
        <v>1</v>
      </c>
      <c r="K37" s="3">
        <v>4</v>
      </c>
      <c r="L37" s="4">
        <v>10</v>
      </c>
      <c r="M37" s="3" t="s">
        <v>1927</v>
      </c>
      <c r="N37" s="3" t="s">
        <v>30</v>
      </c>
      <c r="O37" s="3">
        <v>80</v>
      </c>
      <c r="P37" s="3" t="s">
        <v>826</v>
      </c>
      <c r="Q37" s="21">
        <v>8000</v>
      </c>
      <c r="R37" s="3">
        <f t="shared" si="1"/>
        <v>80</v>
      </c>
    </row>
    <row r="38" spans="1:18" x14ac:dyDescent="0.3">
      <c r="A38" s="3" t="s">
        <v>242</v>
      </c>
      <c r="B38" s="4" t="s">
        <v>2114</v>
      </c>
      <c r="C38" s="16" t="s">
        <v>2113</v>
      </c>
      <c r="D38" s="16" t="s">
        <v>2112</v>
      </c>
      <c r="E38" s="3" t="s">
        <v>33</v>
      </c>
      <c r="F38" s="3"/>
      <c r="G38" s="3"/>
      <c r="H38" s="3" t="s">
        <v>2964</v>
      </c>
      <c r="I38" s="3" t="s">
        <v>1868</v>
      </c>
      <c r="J38" s="3">
        <v>1</v>
      </c>
      <c r="K38" s="3">
        <v>4</v>
      </c>
      <c r="L38" s="4">
        <v>10</v>
      </c>
      <c r="M38" s="3" t="s">
        <v>1927</v>
      </c>
      <c r="N38" s="3" t="s">
        <v>30</v>
      </c>
      <c r="O38" s="3">
        <v>80</v>
      </c>
      <c r="P38" s="3" t="s">
        <v>826</v>
      </c>
      <c r="Q38" s="21">
        <v>8000</v>
      </c>
      <c r="R38" s="3">
        <f t="shared" si="1"/>
        <v>80</v>
      </c>
    </row>
    <row r="39" spans="1:18" x14ac:dyDescent="0.3">
      <c r="A39" s="3" t="s">
        <v>450</v>
      </c>
      <c r="B39" s="4" t="s">
        <v>2393</v>
      </c>
      <c r="C39" s="16" t="s">
        <v>2392</v>
      </c>
      <c r="D39" s="16" t="s">
        <v>2391</v>
      </c>
      <c r="E39" s="3" t="s">
        <v>33</v>
      </c>
      <c r="F39" s="3"/>
      <c r="G39" s="3"/>
      <c r="H39" s="3" t="s">
        <v>2964</v>
      </c>
      <c r="I39" s="3" t="s">
        <v>1868</v>
      </c>
      <c r="J39" s="3">
        <v>1</v>
      </c>
      <c r="K39" s="3">
        <v>3</v>
      </c>
      <c r="L39" s="4">
        <v>15</v>
      </c>
      <c r="M39" s="3" t="s">
        <v>1927</v>
      </c>
      <c r="N39" s="3" t="s">
        <v>30</v>
      </c>
      <c r="O39" s="3">
        <v>80</v>
      </c>
      <c r="P39" s="3" t="s">
        <v>826</v>
      </c>
      <c r="Q39" s="21">
        <v>8000</v>
      </c>
      <c r="R39" s="3">
        <f t="shared" si="1"/>
        <v>80</v>
      </c>
    </row>
    <row r="40" spans="1:18" x14ac:dyDescent="0.3">
      <c r="A40" s="3" t="s">
        <v>450</v>
      </c>
      <c r="B40" s="4" t="s">
        <v>2396</v>
      </c>
      <c r="C40" s="16" t="s">
        <v>2395</v>
      </c>
      <c r="D40" s="16" t="s">
        <v>2394</v>
      </c>
      <c r="E40" s="3" t="s">
        <v>33</v>
      </c>
      <c r="F40" s="3"/>
      <c r="G40" s="3"/>
      <c r="H40" s="3" t="s">
        <v>2964</v>
      </c>
      <c r="I40" s="3" t="s">
        <v>1868</v>
      </c>
      <c r="J40" s="3">
        <v>1</v>
      </c>
      <c r="K40" s="3">
        <v>1</v>
      </c>
      <c r="L40" s="4">
        <v>4</v>
      </c>
      <c r="M40" s="3" t="s">
        <v>1927</v>
      </c>
      <c r="N40" s="3" t="s">
        <v>30</v>
      </c>
      <c r="O40" s="3">
        <v>80</v>
      </c>
      <c r="P40" s="3" t="s">
        <v>826</v>
      </c>
      <c r="Q40" s="21">
        <v>8000</v>
      </c>
      <c r="R40" s="3">
        <f t="shared" si="1"/>
        <v>80</v>
      </c>
    </row>
    <row r="41" spans="1:18" x14ac:dyDescent="0.3">
      <c r="A41" s="3" t="s">
        <v>646</v>
      </c>
      <c r="B41" s="4" t="s">
        <v>2627</v>
      </c>
      <c r="C41" s="16" t="s">
        <v>2626</v>
      </c>
      <c r="D41" s="16" t="s">
        <v>2625</v>
      </c>
      <c r="E41" s="3" t="s">
        <v>33</v>
      </c>
      <c r="F41" s="3"/>
      <c r="G41" s="3"/>
      <c r="H41" s="3" t="s">
        <v>2964</v>
      </c>
      <c r="I41" s="3" t="s">
        <v>1868</v>
      </c>
      <c r="J41" s="3">
        <v>1</v>
      </c>
      <c r="K41" s="3">
        <v>3</v>
      </c>
      <c r="L41" s="4">
        <v>15</v>
      </c>
      <c r="M41" s="3" t="s">
        <v>1927</v>
      </c>
      <c r="N41" s="3" t="s">
        <v>30</v>
      </c>
      <c r="O41" s="3">
        <v>80</v>
      </c>
      <c r="P41" s="3" t="s">
        <v>826</v>
      </c>
      <c r="Q41" s="21">
        <v>8000</v>
      </c>
      <c r="R41" s="3">
        <f t="shared" si="1"/>
        <v>80</v>
      </c>
    </row>
    <row r="42" spans="1:18" x14ac:dyDescent="0.3">
      <c r="A42" s="3" t="s">
        <v>646</v>
      </c>
      <c r="B42" s="4" t="s">
        <v>2630</v>
      </c>
      <c r="C42" s="16" t="s">
        <v>2629</v>
      </c>
      <c r="D42" s="16" t="s">
        <v>2628</v>
      </c>
      <c r="E42" s="3" t="s">
        <v>33</v>
      </c>
      <c r="F42" s="3"/>
      <c r="G42" s="3"/>
      <c r="H42" s="3" t="s">
        <v>2964</v>
      </c>
      <c r="I42" s="3" t="s">
        <v>1868</v>
      </c>
      <c r="J42" s="3">
        <v>1</v>
      </c>
      <c r="K42" s="3">
        <v>3</v>
      </c>
      <c r="L42" s="4">
        <v>15</v>
      </c>
      <c r="M42" s="3" t="s">
        <v>1927</v>
      </c>
      <c r="N42" s="3" t="s">
        <v>30</v>
      </c>
      <c r="O42" s="3">
        <v>80</v>
      </c>
      <c r="P42" s="3" t="s">
        <v>826</v>
      </c>
      <c r="Q42" s="21">
        <v>8000</v>
      </c>
      <c r="R42" s="3">
        <f t="shared" si="1"/>
        <v>80</v>
      </c>
    </row>
    <row r="43" spans="1:18" x14ac:dyDescent="0.3">
      <c r="A43" s="3" t="s">
        <v>646</v>
      </c>
      <c r="B43" s="4" t="s">
        <v>2633</v>
      </c>
      <c r="C43" s="16" t="s">
        <v>2632</v>
      </c>
      <c r="D43" s="16" t="s">
        <v>2631</v>
      </c>
      <c r="E43" s="3" t="s">
        <v>33</v>
      </c>
      <c r="F43" s="3"/>
      <c r="G43" s="3"/>
      <c r="H43" s="3" t="s">
        <v>2964</v>
      </c>
      <c r="I43" s="3" t="s">
        <v>1868</v>
      </c>
      <c r="J43" s="3">
        <v>1</v>
      </c>
      <c r="K43" s="3">
        <v>0</v>
      </c>
      <c r="L43" s="4">
        <v>0.18</v>
      </c>
      <c r="M43" s="3" t="s">
        <v>1927</v>
      </c>
      <c r="N43" s="3" t="s">
        <v>30</v>
      </c>
      <c r="O43" s="3">
        <v>0</v>
      </c>
      <c r="P43" s="3">
        <v>0</v>
      </c>
      <c r="Q43" s="21">
        <v>8000</v>
      </c>
      <c r="R43" s="3">
        <f t="shared" si="1"/>
        <v>0</v>
      </c>
    </row>
    <row r="44" spans="1:18" x14ac:dyDescent="0.3">
      <c r="A44" s="3" t="s">
        <v>646</v>
      </c>
      <c r="B44" s="4" t="s">
        <v>2636</v>
      </c>
      <c r="C44" s="16" t="s">
        <v>2635</v>
      </c>
      <c r="D44" s="16" t="s">
        <v>2634</v>
      </c>
      <c r="E44" s="3" t="s">
        <v>33</v>
      </c>
      <c r="F44" s="3"/>
      <c r="G44" s="3"/>
      <c r="H44" s="3" t="s">
        <v>2964</v>
      </c>
      <c r="I44" s="3" t="s">
        <v>1868</v>
      </c>
      <c r="J44" s="3">
        <v>1</v>
      </c>
      <c r="K44" s="3">
        <v>3.99</v>
      </c>
      <c r="L44" s="4">
        <v>4</v>
      </c>
      <c r="M44" s="3" t="s">
        <v>1927</v>
      </c>
      <c r="N44" s="3" t="s">
        <v>30</v>
      </c>
      <c r="O44" s="3">
        <v>80</v>
      </c>
      <c r="P44" s="3" t="s">
        <v>826</v>
      </c>
      <c r="Q44" s="21">
        <v>8000</v>
      </c>
      <c r="R44" s="3">
        <f t="shared" si="1"/>
        <v>80</v>
      </c>
    </row>
    <row r="45" spans="1:18" x14ac:dyDescent="0.3">
      <c r="A45" s="3" t="s">
        <v>646</v>
      </c>
      <c r="B45" s="4" t="s">
        <v>2639</v>
      </c>
      <c r="C45" s="16" t="s">
        <v>2638</v>
      </c>
      <c r="D45" s="16" t="s">
        <v>2637</v>
      </c>
      <c r="E45" s="3" t="s">
        <v>33</v>
      </c>
      <c r="F45" s="3"/>
      <c r="G45" s="3"/>
      <c r="H45" s="3" t="s">
        <v>2964</v>
      </c>
      <c r="I45" s="3" t="s">
        <v>1868</v>
      </c>
      <c r="J45" s="3">
        <v>1</v>
      </c>
      <c r="K45" s="3">
        <v>0.2</v>
      </c>
      <c r="L45" s="4">
        <v>4</v>
      </c>
      <c r="M45" s="3" t="s">
        <v>1927</v>
      </c>
      <c r="N45" s="3" t="s">
        <v>30</v>
      </c>
      <c r="O45" s="3">
        <v>80</v>
      </c>
      <c r="P45" s="3" t="s">
        <v>826</v>
      </c>
      <c r="Q45" s="21">
        <v>8000</v>
      </c>
      <c r="R45" s="3">
        <f t="shared" si="1"/>
        <v>80</v>
      </c>
    </row>
    <row r="46" spans="1:18" x14ac:dyDescent="0.3">
      <c r="A46" s="3" t="s">
        <v>805</v>
      </c>
      <c r="B46" s="4" t="s">
        <v>1867</v>
      </c>
      <c r="C46" s="16" t="s">
        <v>1867</v>
      </c>
      <c r="D46" s="16" t="s">
        <v>1866</v>
      </c>
      <c r="E46" s="3" t="s">
        <v>33</v>
      </c>
      <c r="F46" s="3"/>
      <c r="G46" s="3"/>
      <c r="H46" s="3" t="s">
        <v>2964</v>
      </c>
      <c r="I46" s="3" t="s">
        <v>1868</v>
      </c>
      <c r="J46" s="3">
        <v>1</v>
      </c>
      <c r="K46" s="9">
        <v>-504</v>
      </c>
      <c r="L46" s="8">
        <v>526</v>
      </c>
      <c r="M46" s="9" t="s">
        <v>1869</v>
      </c>
      <c r="N46" s="3" t="s">
        <v>28</v>
      </c>
      <c r="O46" s="3">
        <v>70</v>
      </c>
      <c r="P46" s="3">
        <v>0</v>
      </c>
      <c r="Q46" s="21">
        <v>10000</v>
      </c>
      <c r="R46" s="3">
        <f t="shared" si="1"/>
        <v>70</v>
      </c>
    </row>
    <row r="47" spans="1:18" x14ac:dyDescent="0.3">
      <c r="A47" s="3" t="s">
        <v>415</v>
      </c>
      <c r="B47" s="4" t="s">
        <v>1876</v>
      </c>
      <c r="C47" s="16" t="s">
        <v>1875</v>
      </c>
      <c r="D47" s="16" t="s">
        <v>1874</v>
      </c>
      <c r="E47" s="3" t="s">
        <v>33</v>
      </c>
      <c r="F47" s="3"/>
      <c r="G47" s="3"/>
      <c r="H47" s="3" t="s">
        <v>2964</v>
      </c>
      <c r="I47" s="3" t="s">
        <v>1868</v>
      </c>
      <c r="J47" s="3">
        <v>1</v>
      </c>
      <c r="K47" s="9">
        <v>-500</v>
      </c>
      <c r="L47" s="8">
        <v>500</v>
      </c>
      <c r="M47" s="9" t="s">
        <v>1869</v>
      </c>
      <c r="N47" s="3" t="s">
        <v>28</v>
      </c>
      <c r="O47" s="3">
        <v>70</v>
      </c>
      <c r="P47" s="3">
        <v>0</v>
      </c>
      <c r="Q47" s="21">
        <v>10000</v>
      </c>
      <c r="R47" s="3">
        <f t="shared" si="1"/>
        <v>70</v>
      </c>
    </row>
    <row r="48" spans="1:18" x14ac:dyDescent="0.3">
      <c r="A48" s="3" t="s">
        <v>174</v>
      </c>
      <c r="B48" s="4" t="s">
        <v>1984</v>
      </c>
      <c r="C48" s="16" t="s">
        <v>1983</v>
      </c>
      <c r="D48" s="16" t="s">
        <v>1982</v>
      </c>
      <c r="E48" s="3" t="s">
        <v>33</v>
      </c>
      <c r="F48" s="3"/>
      <c r="G48" s="3"/>
      <c r="H48" s="3" t="s">
        <v>2971</v>
      </c>
      <c r="I48" s="3" t="s">
        <v>1868</v>
      </c>
      <c r="J48" s="3">
        <v>1</v>
      </c>
      <c r="K48" s="9">
        <v>-441</v>
      </c>
      <c r="L48" s="8">
        <v>410</v>
      </c>
      <c r="M48" s="9" t="s">
        <v>1869</v>
      </c>
      <c r="N48" s="3" t="s">
        <v>28</v>
      </c>
      <c r="O48" s="3">
        <v>70</v>
      </c>
      <c r="P48" s="3">
        <v>0</v>
      </c>
      <c r="Q48" s="21">
        <v>10000</v>
      </c>
      <c r="R48" s="3">
        <f t="shared" si="1"/>
        <v>70</v>
      </c>
    </row>
    <row r="49" spans="1:18" x14ac:dyDescent="0.3">
      <c r="A49" s="3" t="s">
        <v>41</v>
      </c>
      <c r="B49" s="4" t="s">
        <v>1900</v>
      </c>
      <c r="C49" s="16" t="s">
        <v>1899</v>
      </c>
      <c r="D49" s="16" t="s">
        <v>1898</v>
      </c>
      <c r="E49" s="3" t="s">
        <v>33</v>
      </c>
      <c r="F49" s="3"/>
      <c r="G49" s="3"/>
      <c r="H49" s="3" t="s">
        <v>2964</v>
      </c>
      <c r="I49" s="3" t="s">
        <v>1901</v>
      </c>
      <c r="J49" s="3">
        <v>1</v>
      </c>
      <c r="K49" s="3">
        <v>15</v>
      </c>
      <c r="L49" s="4">
        <v>90</v>
      </c>
      <c r="M49" s="3" t="s">
        <v>1902</v>
      </c>
      <c r="N49" s="3" t="s">
        <v>30</v>
      </c>
      <c r="O49" s="3">
        <v>109.44</v>
      </c>
      <c r="P49" s="3" t="s">
        <v>1903</v>
      </c>
      <c r="Q49" s="21" t="str">
        <f>_xlfn.XLOOKUP(C49,[1]DailyCommercialOfferData!$A$2:$A$164,[1]DailyCommercialOfferData!$C$2:$C$164,0)</f>
        <v>108.19</v>
      </c>
      <c r="R49" s="3">
        <f t="shared" si="1"/>
        <v>109.44</v>
      </c>
    </row>
    <row r="50" spans="1:18" x14ac:dyDescent="0.3">
      <c r="A50" s="3" t="s">
        <v>41</v>
      </c>
      <c r="B50" s="4" t="s">
        <v>1906</v>
      </c>
      <c r="C50" s="16" t="s">
        <v>1905</v>
      </c>
      <c r="D50" s="16" t="s">
        <v>1904</v>
      </c>
      <c r="E50" s="3" t="s">
        <v>33</v>
      </c>
      <c r="F50" s="3"/>
      <c r="G50" s="3"/>
      <c r="H50" s="3" t="s">
        <v>2964</v>
      </c>
      <c r="I50" s="3" t="s">
        <v>1901</v>
      </c>
      <c r="J50" s="3">
        <v>1</v>
      </c>
      <c r="K50" s="3">
        <v>15</v>
      </c>
      <c r="L50" s="4">
        <v>90</v>
      </c>
      <c r="M50" s="3" t="s">
        <v>1902</v>
      </c>
      <c r="N50" s="3" t="s">
        <v>30</v>
      </c>
      <c r="O50" s="3">
        <v>109.45</v>
      </c>
      <c r="P50" s="3" t="s">
        <v>1903</v>
      </c>
      <c r="Q50" s="21" t="str">
        <f>_xlfn.XLOOKUP(C50,[1]DailyCommercialOfferData!$A$2:$A$164,[1]DailyCommercialOfferData!$C$2:$C$164,0)</f>
        <v>108.18</v>
      </c>
      <c r="R50" s="3">
        <f t="shared" si="1"/>
        <v>109.45</v>
      </c>
    </row>
    <row r="51" spans="1:18" x14ac:dyDescent="0.3">
      <c r="A51" s="3" t="s">
        <v>41</v>
      </c>
      <c r="B51" s="4" t="s">
        <v>1909</v>
      </c>
      <c r="C51" s="16" t="s">
        <v>1908</v>
      </c>
      <c r="D51" s="16" t="s">
        <v>1907</v>
      </c>
      <c r="E51" s="3" t="s">
        <v>33</v>
      </c>
      <c r="F51" s="3"/>
      <c r="G51" s="3"/>
      <c r="H51" s="3" t="s">
        <v>2964</v>
      </c>
      <c r="I51" s="3" t="s">
        <v>1901</v>
      </c>
      <c r="J51" s="3">
        <v>1</v>
      </c>
      <c r="K51" s="3">
        <v>15</v>
      </c>
      <c r="L51" s="4">
        <v>90</v>
      </c>
      <c r="M51" s="3" t="s">
        <v>1902</v>
      </c>
      <c r="N51" s="3" t="s">
        <v>30</v>
      </c>
      <c r="O51" s="3">
        <v>109.46</v>
      </c>
      <c r="P51" s="3" t="s">
        <v>1903</v>
      </c>
      <c r="Q51" s="21" t="str">
        <f>_xlfn.XLOOKUP(C51,[1]DailyCommercialOfferData!$A$2:$A$164,[1]DailyCommercialOfferData!$C$2:$C$164,0)</f>
        <v>108.17</v>
      </c>
      <c r="R51" s="3">
        <f t="shared" si="1"/>
        <v>109.46</v>
      </c>
    </row>
    <row r="52" spans="1:18" x14ac:dyDescent="0.3">
      <c r="A52" s="3" t="s">
        <v>41</v>
      </c>
      <c r="B52" s="4" t="s">
        <v>1912</v>
      </c>
      <c r="C52" s="16" t="s">
        <v>1911</v>
      </c>
      <c r="D52" s="16" t="s">
        <v>1910</v>
      </c>
      <c r="E52" s="3" t="s">
        <v>33</v>
      </c>
      <c r="F52" s="3"/>
      <c r="G52" s="3"/>
      <c r="H52" s="3" t="s">
        <v>2964</v>
      </c>
      <c r="I52" s="3" t="s">
        <v>1913</v>
      </c>
      <c r="J52" s="3">
        <v>1</v>
      </c>
      <c r="K52" s="3">
        <v>120</v>
      </c>
      <c r="L52" s="4">
        <v>449</v>
      </c>
      <c r="M52" s="3" t="s">
        <v>1902</v>
      </c>
      <c r="N52" s="3" t="s">
        <v>30</v>
      </c>
      <c r="O52" s="3">
        <v>40.97</v>
      </c>
      <c r="P52" s="3" t="s">
        <v>1914</v>
      </c>
      <c r="Q52" s="21" t="str">
        <f>_xlfn.XLOOKUP(C52,[1]DailyCommercialOfferData!$A$2:$A$164,[1]DailyCommercialOfferData!$C$2:$C$164,0)</f>
        <v>40.96</v>
      </c>
      <c r="R52" s="3">
        <f t="shared" si="1"/>
        <v>40.97</v>
      </c>
    </row>
    <row r="53" spans="1:18" x14ac:dyDescent="0.3">
      <c r="A53" s="3" t="s">
        <v>85</v>
      </c>
      <c r="B53" s="4" t="s">
        <v>1954</v>
      </c>
      <c r="C53" s="16" t="s">
        <v>1953</v>
      </c>
      <c r="D53" s="16" t="s">
        <v>1952</v>
      </c>
      <c r="E53" s="3" t="s">
        <v>33</v>
      </c>
      <c r="F53" s="3"/>
      <c r="G53" s="3"/>
      <c r="H53" s="3" t="s">
        <v>2964</v>
      </c>
      <c r="I53" s="3" t="s">
        <v>1868</v>
      </c>
      <c r="J53" s="3">
        <v>1</v>
      </c>
      <c r="K53" s="3">
        <v>40</v>
      </c>
      <c r="L53" s="4">
        <v>83</v>
      </c>
      <c r="M53" s="3" t="s">
        <v>1902</v>
      </c>
      <c r="N53" s="3" t="s">
        <v>30</v>
      </c>
      <c r="O53" s="3">
        <v>74.290000000000006</v>
      </c>
      <c r="P53" s="3" t="s">
        <v>1955</v>
      </c>
      <c r="Q53" s="23">
        <v>0</v>
      </c>
      <c r="R53" s="3">
        <f t="shared" si="1"/>
        <v>74.290000000000006</v>
      </c>
    </row>
    <row r="54" spans="1:18" x14ac:dyDescent="0.3">
      <c r="A54" s="3" t="s">
        <v>85</v>
      </c>
      <c r="B54" s="4" t="s">
        <v>1958</v>
      </c>
      <c r="C54" s="16" t="s">
        <v>1957</v>
      </c>
      <c r="D54" s="16" t="s">
        <v>1956</v>
      </c>
      <c r="E54" s="3" t="s">
        <v>33</v>
      </c>
      <c r="F54" s="3"/>
      <c r="G54" s="3"/>
      <c r="H54" s="3" t="s">
        <v>2964</v>
      </c>
      <c r="I54" s="3" t="s">
        <v>1868</v>
      </c>
      <c r="J54" s="3">
        <v>1</v>
      </c>
      <c r="K54" s="3">
        <v>40</v>
      </c>
      <c r="L54" s="4">
        <v>83</v>
      </c>
      <c r="M54" s="3" t="s">
        <v>1902</v>
      </c>
      <c r="N54" s="3" t="s">
        <v>30</v>
      </c>
      <c r="O54" s="3">
        <v>74.290000000000006</v>
      </c>
      <c r="P54" s="3" t="s">
        <v>1955</v>
      </c>
      <c r="Q54" s="23">
        <v>0</v>
      </c>
      <c r="R54" s="3">
        <f t="shared" si="1"/>
        <v>74.290000000000006</v>
      </c>
    </row>
    <row r="55" spans="1:18" x14ac:dyDescent="0.3">
      <c r="A55" s="3" t="s">
        <v>150</v>
      </c>
      <c r="B55" s="4" t="s">
        <v>1977</v>
      </c>
      <c r="C55" s="16" t="s">
        <v>1976</v>
      </c>
      <c r="D55" s="16" t="s">
        <v>1975</v>
      </c>
      <c r="E55" s="3" t="s">
        <v>33</v>
      </c>
      <c r="F55" s="3"/>
      <c r="G55" s="3"/>
      <c r="H55" s="3" t="s">
        <v>2971</v>
      </c>
      <c r="I55" s="3" t="s">
        <v>1972</v>
      </c>
      <c r="J55" s="3">
        <v>1</v>
      </c>
      <c r="K55" s="3">
        <v>113</v>
      </c>
      <c r="L55" s="4">
        <v>247</v>
      </c>
      <c r="M55" s="3" t="s">
        <v>1902</v>
      </c>
      <c r="N55" s="3" t="s">
        <v>30</v>
      </c>
      <c r="O55" s="3">
        <v>81.77</v>
      </c>
      <c r="P55" s="3" t="s">
        <v>1978</v>
      </c>
      <c r="Q55" s="21" t="str">
        <f>_xlfn.XLOOKUP(C55,[1]DailyCommercialOfferData!$A$2:$A$164,[1]DailyCommercialOfferData!$C$2:$C$164,0)</f>
        <v>75.91</v>
      </c>
      <c r="R55" s="3">
        <f t="shared" si="1"/>
        <v>81.77</v>
      </c>
    </row>
    <row r="56" spans="1:18" x14ac:dyDescent="0.3">
      <c r="A56" s="3" t="s">
        <v>150</v>
      </c>
      <c r="B56" s="4" t="s">
        <v>1981</v>
      </c>
      <c r="C56" s="16" t="s">
        <v>1980</v>
      </c>
      <c r="D56" s="16" t="s">
        <v>1979</v>
      </c>
      <c r="E56" s="3" t="s">
        <v>33</v>
      </c>
      <c r="F56" s="3"/>
      <c r="G56" s="3"/>
      <c r="H56" s="3" t="s">
        <v>2971</v>
      </c>
      <c r="I56" s="3" t="s">
        <v>1972</v>
      </c>
      <c r="J56" s="3">
        <v>1</v>
      </c>
      <c r="K56" s="3">
        <v>113</v>
      </c>
      <c r="L56" s="4">
        <v>247</v>
      </c>
      <c r="M56" s="3" t="s">
        <v>1902</v>
      </c>
      <c r="N56" s="3" t="s">
        <v>30</v>
      </c>
      <c r="O56" s="3">
        <v>81.77</v>
      </c>
      <c r="P56" s="3" t="s">
        <v>1978</v>
      </c>
      <c r="Q56" s="21" t="str">
        <f>_xlfn.XLOOKUP(C56,[1]DailyCommercialOfferData!$A$2:$A$164,[1]DailyCommercialOfferData!$C$2:$C$164,0)</f>
        <v>75.91</v>
      </c>
      <c r="R56" s="3">
        <f t="shared" si="1"/>
        <v>81.77</v>
      </c>
    </row>
    <row r="57" spans="1:18" x14ac:dyDescent="0.3">
      <c r="A57" s="3" t="s">
        <v>91</v>
      </c>
      <c r="B57" s="4" t="s">
        <v>2000</v>
      </c>
      <c r="C57" s="16" t="s">
        <v>1999</v>
      </c>
      <c r="D57" s="16" t="s">
        <v>1998</v>
      </c>
      <c r="E57" s="3" t="s">
        <v>33</v>
      </c>
      <c r="F57" s="3"/>
      <c r="G57" s="3"/>
      <c r="H57" s="3" t="s">
        <v>2971</v>
      </c>
      <c r="I57" s="3" t="s">
        <v>1868</v>
      </c>
      <c r="J57" s="20">
        <v>0</v>
      </c>
      <c r="K57" s="3">
        <v>0</v>
      </c>
      <c r="L57" s="4">
        <v>12.224</v>
      </c>
      <c r="M57" s="3" t="s">
        <v>1902</v>
      </c>
      <c r="N57" s="3" t="s">
        <v>30</v>
      </c>
      <c r="O57" s="3">
        <v>500</v>
      </c>
      <c r="P57" s="3" t="s">
        <v>826</v>
      </c>
      <c r="Q57" s="21" t="str">
        <f>_xlfn.XLOOKUP(C57,[1]DailyCommercialOfferData!$A$2:$A$164,[1]DailyCommercialOfferData!$C$2:$C$164,0)</f>
        <v>0</v>
      </c>
      <c r="R57" s="3">
        <f t="shared" si="1"/>
        <v>500</v>
      </c>
    </row>
    <row r="58" spans="1:18" x14ac:dyDescent="0.3">
      <c r="A58" s="3" t="s">
        <v>278</v>
      </c>
      <c r="B58" s="4" t="s">
        <v>2152</v>
      </c>
      <c r="C58" s="16" t="s">
        <v>2151</v>
      </c>
      <c r="D58" s="16" t="s">
        <v>2150</v>
      </c>
      <c r="E58" s="3" t="s">
        <v>33</v>
      </c>
      <c r="F58" s="3"/>
      <c r="G58" s="3"/>
      <c r="H58" s="3" t="s">
        <v>2980</v>
      </c>
      <c r="I58" s="3" t="s">
        <v>1962</v>
      </c>
      <c r="J58" s="3">
        <v>1</v>
      </c>
      <c r="K58" s="3">
        <v>211</v>
      </c>
      <c r="L58" s="4">
        <v>425</v>
      </c>
      <c r="M58" s="3" t="s">
        <v>1902</v>
      </c>
      <c r="N58" s="3" t="s">
        <v>30</v>
      </c>
      <c r="O58" s="3">
        <v>51.61</v>
      </c>
      <c r="P58" s="3" t="s">
        <v>2153</v>
      </c>
      <c r="Q58" s="21" t="str">
        <f>_xlfn.XLOOKUP(C58,[1]DailyCommercialOfferData!$A$2:$A$164,[1]DailyCommercialOfferData!$C$2:$C$164,0)</f>
        <v>51.59</v>
      </c>
      <c r="R58" s="3">
        <f t="shared" si="1"/>
        <v>51.61</v>
      </c>
    </row>
    <row r="59" spans="1:18" x14ac:dyDescent="0.3">
      <c r="A59" s="3" t="s">
        <v>213</v>
      </c>
      <c r="B59" s="4" t="s">
        <v>2196</v>
      </c>
      <c r="C59" s="16" t="s">
        <v>2195</v>
      </c>
      <c r="D59" s="16" t="s">
        <v>2194</v>
      </c>
      <c r="E59" s="3" t="s">
        <v>33</v>
      </c>
      <c r="F59" s="3"/>
      <c r="G59" s="3"/>
      <c r="H59" s="3" t="s">
        <v>2964</v>
      </c>
      <c r="I59" s="3" t="s">
        <v>2197</v>
      </c>
      <c r="J59" s="3">
        <v>1</v>
      </c>
      <c r="K59" s="3">
        <v>22.5</v>
      </c>
      <c r="L59" s="4">
        <v>63.5</v>
      </c>
      <c r="M59" s="3" t="s">
        <v>1902</v>
      </c>
      <c r="N59" s="3" t="s">
        <v>30</v>
      </c>
      <c r="O59" s="3">
        <v>112.87</v>
      </c>
      <c r="P59" s="3" t="s">
        <v>2198</v>
      </c>
      <c r="Q59" s="21" t="str">
        <f>_xlfn.XLOOKUP(C59,[1]DailyCommercialOfferData!$A$2:$A$164,[1]DailyCommercialOfferData!$C$2:$C$164,0)</f>
        <v>111.57</v>
      </c>
      <c r="R59" s="3">
        <f t="shared" si="1"/>
        <v>112.87</v>
      </c>
    </row>
    <row r="60" spans="1:18" x14ac:dyDescent="0.3">
      <c r="A60" s="3" t="s">
        <v>327</v>
      </c>
      <c r="B60" s="4" t="s">
        <v>2228</v>
      </c>
      <c r="C60" s="16" t="s">
        <v>2227</v>
      </c>
      <c r="D60" s="16" t="s">
        <v>2226</v>
      </c>
      <c r="E60" s="3" t="s">
        <v>33</v>
      </c>
      <c r="F60" s="3"/>
      <c r="G60" s="3"/>
      <c r="H60" s="3" t="s">
        <v>2964</v>
      </c>
      <c r="I60" s="3" t="s">
        <v>1868</v>
      </c>
      <c r="J60" s="20">
        <v>0</v>
      </c>
      <c r="K60" s="3">
        <v>0</v>
      </c>
      <c r="L60" s="4">
        <v>50</v>
      </c>
      <c r="M60" s="3" t="s">
        <v>1902</v>
      </c>
      <c r="N60" s="3" t="s">
        <v>30</v>
      </c>
      <c r="O60" s="3">
        <v>1150</v>
      </c>
      <c r="P60" s="3" t="s">
        <v>826</v>
      </c>
      <c r="Q60" s="21" t="str">
        <f>_xlfn.XLOOKUP(C60,[1]DailyCommercialOfferData!$A$2:$A$164,[1]DailyCommercialOfferData!$C$2:$C$164,0)</f>
        <v>0</v>
      </c>
      <c r="R60" s="3">
        <f t="shared" si="1"/>
        <v>1150</v>
      </c>
    </row>
    <row r="61" spans="1:18" x14ac:dyDescent="0.3">
      <c r="A61" s="3" t="s">
        <v>327</v>
      </c>
      <c r="B61" s="4" t="s">
        <v>2231</v>
      </c>
      <c r="C61" s="16" t="s">
        <v>2230</v>
      </c>
      <c r="D61" s="16" t="s">
        <v>2229</v>
      </c>
      <c r="E61" s="3" t="s">
        <v>33</v>
      </c>
      <c r="F61" s="3"/>
      <c r="G61" s="3"/>
      <c r="H61" s="3" t="s">
        <v>2964</v>
      </c>
      <c r="I61" s="3" t="s">
        <v>1868</v>
      </c>
      <c r="J61" s="20">
        <v>0</v>
      </c>
      <c r="K61" s="3">
        <v>0</v>
      </c>
      <c r="L61" s="4">
        <v>50</v>
      </c>
      <c r="M61" s="3" t="s">
        <v>1902</v>
      </c>
      <c r="N61" s="3" t="s">
        <v>30</v>
      </c>
      <c r="O61" s="3">
        <v>1150</v>
      </c>
      <c r="P61" s="3" t="s">
        <v>826</v>
      </c>
      <c r="Q61" s="21" t="str">
        <f>_xlfn.XLOOKUP(C61,[1]DailyCommercialOfferData!$A$2:$A$164,[1]DailyCommercialOfferData!$C$2:$C$164,0)</f>
        <v>0</v>
      </c>
      <c r="R61" s="3">
        <f t="shared" si="1"/>
        <v>1150</v>
      </c>
    </row>
    <row r="62" spans="1:18" x14ac:dyDescent="0.3">
      <c r="A62" s="3" t="s">
        <v>355</v>
      </c>
      <c r="B62" s="4" t="s">
        <v>2253</v>
      </c>
      <c r="C62" s="16" t="s">
        <v>2252</v>
      </c>
      <c r="D62" s="16" t="s">
        <v>2251</v>
      </c>
      <c r="E62" s="3" t="s">
        <v>33</v>
      </c>
      <c r="F62" s="3"/>
      <c r="G62" s="3"/>
      <c r="H62" s="3" t="s">
        <v>2964</v>
      </c>
      <c r="I62" s="3" t="s">
        <v>1868</v>
      </c>
      <c r="J62" s="3">
        <v>1</v>
      </c>
      <c r="K62" s="3">
        <v>1</v>
      </c>
      <c r="L62" s="4">
        <v>17</v>
      </c>
      <c r="M62" s="3" t="s">
        <v>1902</v>
      </c>
      <c r="N62" s="3" t="s">
        <v>30</v>
      </c>
      <c r="O62" s="3">
        <v>-5.27</v>
      </c>
      <c r="P62" s="3" t="s">
        <v>826</v>
      </c>
      <c r="Q62" s="23">
        <v>0</v>
      </c>
      <c r="R62" s="22">
        <f>-Q62</f>
        <v>0</v>
      </c>
    </row>
    <row r="63" spans="1:18" x14ac:dyDescent="0.3">
      <c r="A63" s="3" t="s">
        <v>398</v>
      </c>
      <c r="B63" s="4" t="s">
        <v>2314</v>
      </c>
      <c r="C63" s="16" t="s">
        <v>2313</v>
      </c>
      <c r="D63" s="16" t="s">
        <v>2312</v>
      </c>
      <c r="E63" s="3" t="s">
        <v>33</v>
      </c>
      <c r="F63" s="3"/>
      <c r="G63" s="3"/>
      <c r="H63" s="3" t="s">
        <v>2964</v>
      </c>
      <c r="I63" s="3" t="s">
        <v>1913</v>
      </c>
      <c r="J63" s="3">
        <v>1</v>
      </c>
      <c r="K63" s="3">
        <v>160</v>
      </c>
      <c r="L63" s="4">
        <v>444</v>
      </c>
      <c r="M63" s="3" t="s">
        <v>1902</v>
      </c>
      <c r="N63" s="3" t="s">
        <v>30</v>
      </c>
      <c r="O63" s="3">
        <v>51.72</v>
      </c>
      <c r="P63" s="3" t="s">
        <v>2315</v>
      </c>
      <c r="Q63" s="21" t="str">
        <f>_xlfn.XLOOKUP(C63,[1]DailyCommercialOfferData!$A$2:$A$164,[1]DailyCommercialOfferData!$C$2:$C$164,0)</f>
        <v>48.65</v>
      </c>
      <c r="R63" s="3">
        <f t="shared" ref="R63:R76" si="2">O63</f>
        <v>51.72</v>
      </c>
    </row>
    <row r="64" spans="1:18" x14ac:dyDescent="0.3">
      <c r="A64" s="3" t="s">
        <v>402</v>
      </c>
      <c r="B64" s="4" t="s">
        <v>2357</v>
      </c>
      <c r="C64" s="16" t="s">
        <v>2356</v>
      </c>
      <c r="D64" s="16" t="s">
        <v>2355</v>
      </c>
      <c r="E64" s="3" t="s">
        <v>33</v>
      </c>
      <c r="F64" s="3"/>
      <c r="G64" s="3"/>
      <c r="H64" s="3" t="s">
        <v>2964</v>
      </c>
      <c r="I64" s="3" t="s">
        <v>2358</v>
      </c>
      <c r="J64" s="3">
        <v>1</v>
      </c>
      <c r="K64" s="3">
        <v>165</v>
      </c>
      <c r="L64" s="4">
        <v>464</v>
      </c>
      <c r="M64" s="3" t="s">
        <v>1902</v>
      </c>
      <c r="N64" s="3" t="s">
        <v>30</v>
      </c>
      <c r="O64" s="3">
        <v>79.11</v>
      </c>
      <c r="P64" s="3" t="s">
        <v>2359</v>
      </c>
      <c r="Q64" s="21" t="str">
        <f>_xlfn.XLOOKUP(C64,[1]DailyCommercialOfferData!$A$2:$A$164,[1]DailyCommercialOfferData!$C$2:$C$164,0)</f>
        <v>71.88</v>
      </c>
      <c r="R64" s="3">
        <f t="shared" si="2"/>
        <v>79.11</v>
      </c>
    </row>
    <row r="65" spans="1:18" x14ac:dyDescent="0.3">
      <c r="A65" s="3" t="s">
        <v>458</v>
      </c>
      <c r="B65" s="4" t="s">
        <v>2374</v>
      </c>
      <c r="C65" s="16" t="s">
        <v>2373</v>
      </c>
      <c r="D65" s="16" t="s">
        <v>2372</v>
      </c>
      <c r="E65" s="3" t="s">
        <v>33</v>
      </c>
      <c r="F65" s="3"/>
      <c r="G65" s="3"/>
      <c r="H65" s="3" t="s">
        <v>2964</v>
      </c>
      <c r="I65" s="3" t="s">
        <v>1868</v>
      </c>
      <c r="J65" s="3">
        <v>1</v>
      </c>
      <c r="K65" s="3">
        <v>4.5999999999999996</v>
      </c>
      <c r="L65" s="4">
        <v>18.54</v>
      </c>
      <c r="M65" s="3" t="s">
        <v>1902</v>
      </c>
      <c r="N65" s="3" t="s">
        <v>30</v>
      </c>
      <c r="O65" s="3">
        <v>106.78</v>
      </c>
      <c r="P65" s="3" t="s">
        <v>2375</v>
      </c>
      <c r="Q65" s="21" t="str">
        <f>_xlfn.XLOOKUP(C65,[1]DailyCommercialOfferData!$A$2:$A$164,[1]DailyCommercialOfferData!$C$2:$C$164,0)</f>
        <v>98.17</v>
      </c>
      <c r="R65" s="3">
        <f t="shared" si="2"/>
        <v>106.78</v>
      </c>
    </row>
    <row r="66" spans="1:18" x14ac:dyDescent="0.3">
      <c r="A66" s="3" t="s">
        <v>458</v>
      </c>
      <c r="B66" s="4" t="s">
        <v>2378</v>
      </c>
      <c r="C66" s="16" t="s">
        <v>2377</v>
      </c>
      <c r="D66" s="16" t="s">
        <v>2376</v>
      </c>
      <c r="E66" s="3" t="s">
        <v>33</v>
      </c>
      <c r="F66" s="3"/>
      <c r="G66" s="3"/>
      <c r="H66" s="3" t="s">
        <v>2964</v>
      </c>
      <c r="I66" s="3" t="s">
        <v>1868</v>
      </c>
      <c r="J66" s="3">
        <v>1</v>
      </c>
      <c r="K66" s="3">
        <v>4.5999999999999996</v>
      </c>
      <c r="L66" s="4">
        <v>18.54</v>
      </c>
      <c r="M66" s="3" t="s">
        <v>1902</v>
      </c>
      <c r="N66" s="3" t="s">
        <v>30</v>
      </c>
      <c r="O66" s="3">
        <v>106.78</v>
      </c>
      <c r="P66" s="3" t="s">
        <v>2375</v>
      </c>
      <c r="Q66" s="21" t="str">
        <f>_xlfn.XLOOKUP(C66,[1]DailyCommercialOfferData!$A$2:$A$164,[1]DailyCommercialOfferData!$C$2:$C$164,0)</f>
        <v>98.17</v>
      </c>
      <c r="R66" s="3">
        <f t="shared" si="2"/>
        <v>106.78</v>
      </c>
    </row>
    <row r="67" spans="1:18" x14ac:dyDescent="0.3">
      <c r="A67" s="3" t="s">
        <v>458</v>
      </c>
      <c r="B67" s="4" t="s">
        <v>2381</v>
      </c>
      <c r="C67" s="16" t="s">
        <v>2380</v>
      </c>
      <c r="D67" s="16" t="s">
        <v>2379</v>
      </c>
      <c r="E67" s="3" t="s">
        <v>33</v>
      </c>
      <c r="F67" s="3"/>
      <c r="G67" s="3"/>
      <c r="H67" s="3" t="s">
        <v>2964</v>
      </c>
      <c r="I67" s="3" t="s">
        <v>1868</v>
      </c>
      <c r="J67" s="3">
        <v>1</v>
      </c>
      <c r="K67" s="3">
        <v>4.5999999999999996</v>
      </c>
      <c r="L67" s="4">
        <v>18.54</v>
      </c>
      <c r="M67" s="3" t="s">
        <v>1902</v>
      </c>
      <c r="N67" s="3" t="s">
        <v>30</v>
      </c>
      <c r="O67" s="3">
        <v>106.78</v>
      </c>
      <c r="P67" s="3" t="s">
        <v>2375</v>
      </c>
      <c r="Q67" s="21" t="str">
        <f>_xlfn.XLOOKUP(C67,[1]DailyCommercialOfferData!$A$2:$A$164,[1]DailyCommercialOfferData!$C$2:$C$164,0)</f>
        <v>98.17</v>
      </c>
      <c r="R67" s="3">
        <f t="shared" si="2"/>
        <v>106.78</v>
      </c>
    </row>
    <row r="68" spans="1:18" x14ac:dyDescent="0.3">
      <c r="A68" s="3" t="s">
        <v>458</v>
      </c>
      <c r="B68" s="4" t="s">
        <v>2384</v>
      </c>
      <c r="C68" s="16" t="s">
        <v>2383</v>
      </c>
      <c r="D68" s="16" t="s">
        <v>2382</v>
      </c>
      <c r="E68" s="3" t="s">
        <v>33</v>
      </c>
      <c r="F68" s="3"/>
      <c r="G68" s="3"/>
      <c r="H68" s="3" t="s">
        <v>2964</v>
      </c>
      <c r="I68" s="3" t="s">
        <v>1868</v>
      </c>
      <c r="J68" s="3">
        <v>1</v>
      </c>
      <c r="K68" s="3">
        <v>4.5999999999999996</v>
      </c>
      <c r="L68" s="4">
        <v>18.54</v>
      </c>
      <c r="M68" s="3" t="s">
        <v>1902</v>
      </c>
      <c r="N68" s="3" t="s">
        <v>30</v>
      </c>
      <c r="O68" s="3">
        <v>106.78</v>
      </c>
      <c r="P68" s="3" t="s">
        <v>2375</v>
      </c>
      <c r="Q68" s="21" t="str">
        <f>_xlfn.XLOOKUP(C68,[1]DailyCommercialOfferData!$A$2:$A$164,[1]DailyCommercialOfferData!$C$2:$C$164,0)</f>
        <v>98.17</v>
      </c>
      <c r="R68" s="3">
        <f t="shared" si="2"/>
        <v>106.78</v>
      </c>
    </row>
    <row r="69" spans="1:18" x14ac:dyDescent="0.3">
      <c r="A69" s="3" t="s">
        <v>458</v>
      </c>
      <c r="B69" s="4" t="s">
        <v>2387</v>
      </c>
      <c r="C69" s="16" t="s">
        <v>2386</v>
      </c>
      <c r="D69" s="16" t="s">
        <v>2385</v>
      </c>
      <c r="E69" s="3" t="s">
        <v>33</v>
      </c>
      <c r="F69" s="3"/>
      <c r="G69" s="3"/>
      <c r="H69" s="3" t="s">
        <v>2964</v>
      </c>
      <c r="I69" s="3" t="s">
        <v>1868</v>
      </c>
      <c r="J69" s="3">
        <v>1</v>
      </c>
      <c r="K69" s="3">
        <v>4.5999999999999996</v>
      </c>
      <c r="L69" s="4">
        <v>18.54</v>
      </c>
      <c r="M69" s="3" t="s">
        <v>1902</v>
      </c>
      <c r="N69" s="3" t="s">
        <v>30</v>
      </c>
      <c r="O69" s="3">
        <v>106.78</v>
      </c>
      <c r="P69" s="3" t="s">
        <v>2375</v>
      </c>
      <c r="Q69" s="21" t="str">
        <f>_xlfn.XLOOKUP(C69,[1]DailyCommercialOfferData!$A$2:$A$164,[1]DailyCommercialOfferData!$C$2:$C$164,0)</f>
        <v>98.17</v>
      </c>
      <c r="R69" s="3">
        <f t="shared" si="2"/>
        <v>106.78</v>
      </c>
    </row>
    <row r="70" spans="1:18" x14ac:dyDescent="0.3">
      <c r="A70" s="3" t="s">
        <v>458</v>
      </c>
      <c r="B70" s="4" t="s">
        <v>2390</v>
      </c>
      <c r="C70" s="16" t="s">
        <v>2389</v>
      </c>
      <c r="D70" s="16" t="s">
        <v>2388</v>
      </c>
      <c r="E70" s="3" t="s">
        <v>33</v>
      </c>
      <c r="F70" s="3"/>
      <c r="G70" s="3"/>
      <c r="H70" s="3" t="s">
        <v>2964</v>
      </c>
      <c r="I70" s="3" t="s">
        <v>1868</v>
      </c>
      <c r="J70" s="3">
        <v>1</v>
      </c>
      <c r="K70" s="3">
        <v>4.5999999999999996</v>
      </c>
      <c r="L70" s="4">
        <v>18.54</v>
      </c>
      <c r="M70" s="3" t="s">
        <v>1902</v>
      </c>
      <c r="N70" s="3" t="s">
        <v>30</v>
      </c>
      <c r="O70" s="3">
        <v>106.78</v>
      </c>
      <c r="P70" s="3" t="s">
        <v>2375</v>
      </c>
      <c r="Q70" s="21" t="str">
        <f>_xlfn.XLOOKUP(C70,[1]DailyCommercialOfferData!$A$2:$A$164,[1]DailyCommercialOfferData!$C$2:$C$164,0)</f>
        <v>98.17</v>
      </c>
      <c r="R70" s="3">
        <f t="shared" si="2"/>
        <v>106.78</v>
      </c>
    </row>
    <row r="71" spans="1:18" x14ac:dyDescent="0.3">
      <c r="A71" s="3" t="s">
        <v>460</v>
      </c>
      <c r="B71" s="4" t="s">
        <v>2399</v>
      </c>
      <c r="C71" s="16" t="s">
        <v>2398</v>
      </c>
      <c r="D71" s="16" t="s">
        <v>2397</v>
      </c>
      <c r="E71" s="3" t="s">
        <v>33</v>
      </c>
      <c r="F71" s="3"/>
      <c r="G71" s="3"/>
      <c r="H71" s="3" t="s">
        <v>2964</v>
      </c>
      <c r="I71" s="3" t="s">
        <v>3211</v>
      </c>
      <c r="J71" s="3">
        <v>1</v>
      </c>
      <c r="K71" s="3">
        <v>110</v>
      </c>
      <c r="L71" s="4">
        <v>415</v>
      </c>
      <c r="M71" s="3" t="s">
        <v>1902</v>
      </c>
      <c r="N71" s="3" t="s">
        <v>30</v>
      </c>
      <c r="O71" s="3">
        <v>47.55</v>
      </c>
      <c r="P71" s="3" t="s">
        <v>2400</v>
      </c>
      <c r="Q71" s="21" t="str">
        <f>_xlfn.XLOOKUP(C71,[1]DailyCommercialOfferData!$A$2:$A$164,[1]DailyCommercialOfferData!$C$2:$C$164,0)</f>
        <v>47.53</v>
      </c>
      <c r="R71" s="3">
        <f t="shared" si="2"/>
        <v>47.55</v>
      </c>
    </row>
    <row r="72" spans="1:18" x14ac:dyDescent="0.3">
      <c r="A72" s="3" t="s">
        <v>460</v>
      </c>
      <c r="B72" s="4" t="s">
        <v>2403</v>
      </c>
      <c r="C72" s="16" t="s">
        <v>2402</v>
      </c>
      <c r="D72" s="16" t="s">
        <v>2401</v>
      </c>
      <c r="E72" s="3" t="s">
        <v>33</v>
      </c>
      <c r="F72" s="3"/>
      <c r="G72" s="3"/>
      <c r="H72" s="3" t="s">
        <v>2964</v>
      </c>
      <c r="I72" s="3" t="s">
        <v>2197</v>
      </c>
      <c r="J72" s="3">
        <v>1</v>
      </c>
      <c r="K72" s="3">
        <v>22.7</v>
      </c>
      <c r="L72" s="4">
        <v>63.5</v>
      </c>
      <c r="M72" s="3" t="s">
        <v>1902</v>
      </c>
      <c r="N72" s="3" t="s">
        <v>30</v>
      </c>
      <c r="O72" s="3">
        <v>110.12</v>
      </c>
      <c r="P72" s="3" t="s">
        <v>2404</v>
      </c>
      <c r="Q72" s="21" t="str">
        <f>_xlfn.XLOOKUP(C72,[1]DailyCommercialOfferData!$A$2:$A$164,[1]DailyCommercialOfferData!$C$2:$C$164,0)</f>
        <v>108.86</v>
      </c>
      <c r="R72" s="3">
        <f t="shared" si="2"/>
        <v>110.12</v>
      </c>
    </row>
    <row r="73" spans="1:18" x14ac:dyDescent="0.3">
      <c r="A73" s="3" t="s">
        <v>314</v>
      </c>
      <c r="B73" s="4" t="s">
        <v>2410</v>
      </c>
      <c r="C73" s="16" t="s">
        <v>2409</v>
      </c>
      <c r="D73" s="16" t="s">
        <v>2408</v>
      </c>
      <c r="E73" s="3" t="s">
        <v>33</v>
      </c>
      <c r="F73" s="3"/>
      <c r="G73" s="3"/>
      <c r="H73" s="3" t="s">
        <v>2964</v>
      </c>
      <c r="I73" s="3" t="s">
        <v>1868</v>
      </c>
      <c r="J73" s="20">
        <v>0</v>
      </c>
      <c r="K73" s="3">
        <v>0</v>
      </c>
      <c r="L73" s="4">
        <v>25</v>
      </c>
      <c r="M73" s="3" t="s">
        <v>1902</v>
      </c>
      <c r="N73" s="3" t="s">
        <v>30</v>
      </c>
      <c r="O73" s="3">
        <v>203.89</v>
      </c>
      <c r="P73" s="3" t="s">
        <v>826</v>
      </c>
      <c r="Q73" s="21" t="str">
        <f>_xlfn.XLOOKUP(C73,[1]DailyCommercialOfferData!$A$2:$A$164,[1]DailyCommercialOfferData!$C$2:$C$164,0)</f>
        <v>8.62</v>
      </c>
      <c r="R73" s="3">
        <f t="shared" si="2"/>
        <v>203.89</v>
      </c>
    </row>
    <row r="74" spans="1:18" x14ac:dyDescent="0.3">
      <c r="A74" s="3" t="s">
        <v>507</v>
      </c>
      <c r="B74" s="4" t="s">
        <v>2445</v>
      </c>
      <c r="C74" s="16" t="s">
        <v>2444</v>
      </c>
      <c r="D74" s="16" t="s">
        <v>2443</v>
      </c>
      <c r="E74" s="3" t="s">
        <v>33</v>
      </c>
      <c r="F74" s="3"/>
      <c r="G74" s="3"/>
      <c r="H74" s="3" t="s">
        <v>2971</v>
      </c>
      <c r="I74" s="3" t="s">
        <v>2446</v>
      </c>
      <c r="J74" s="3">
        <v>1</v>
      </c>
      <c r="K74" s="3">
        <v>147</v>
      </c>
      <c r="L74" s="4">
        <v>350</v>
      </c>
      <c r="M74" s="3" t="s">
        <v>1902</v>
      </c>
      <c r="N74" s="3" t="s">
        <v>30</v>
      </c>
      <c r="O74" s="3">
        <v>89.08</v>
      </c>
      <c r="P74" s="3" t="s">
        <v>2447</v>
      </c>
      <c r="Q74" s="21" t="str">
        <f>_xlfn.XLOOKUP(C74,[1]DailyCommercialOfferData!$A$2:$A$164,[1]DailyCommercialOfferData!$C$2:$C$164,0)</f>
        <v>83.15</v>
      </c>
      <c r="R74" s="3">
        <f t="shared" si="2"/>
        <v>89.08</v>
      </c>
    </row>
    <row r="75" spans="1:18" x14ac:dyDescent="0.3">
      <c r="A75" s="3" t="s">
        <v>507</v>
      </c>
      <c r="B75" s="4" t="s">
        <v>2450</v>
      </c>
      <c r="C75" s="16" t="s">
        <v>2449</v>
      </c>
      <c r="D75" s="16" t="s">
        <v>2448</v>
      </c>
      <c r="E75" s="3" t="s">
        <v>33</v>
      </c>
      <c r="F75" s="3"/>
      <c r="G75" s="3"/>
      <c r="H75" s="3" t="s">
        <v>2971</v>
      </c>
      <c r="I75" s="3" t="s">
        <v>2446</v>
      </c>
      <c r="J75" s="3">
        <v>1</v>
      </c>
      <c r="K75" s="3">
        <v>147</v>
      </c>
      <c r="L75" s="4">
        <v>350</v>
      </c>
      <c r="M75" s="3" t="s">
        <v>1902</v>
      </c>
      <c r="N75" s="3" t="s">
        <v>30</v>
      </c>
      <c r="O75" s="3">
        <v>89.08</v>
      </c>
      <c r="P75" s="3" t="s">
        <v>2447</v>
      </c>
      <c r="Q75" s="21" t="str">
        <f>_xlfn.XLOOKUP(C75,[1]DailyCommercialOfferData!$A$2:$A$164,[1]DailyCommercialOfferData!$C$2:$C$164,0)</f>
        <v>83.15</v>
      </c>
      <c r="R75" s="3">
        <f t="shared" si="2"/>
        <v>89.08</v>
      </c>
    </row>
    <row r="76" spans="1:18" x14ac:dyDescent="0.3">
      <c r="A76" s="3" t="s">
        <v>650</v>
      </c>
      <c r="B76" s="4" t="s">
        <v>2642</v>
      </c>
      <c r="C76" s="16" t="s">
        <v>2641</v>
      </c>
      <c r="D76" s="16" t="s">
        <v>2640</v>
      </c>
      <c r="E76" s="3" t="s">
        <v>33</v>
      </c>
      <c r="F76" s="3"/>
      <c r="G76" s="3"/>
      <c r="H76" s="3" t="s">
        <v>2964</v>
      </c>
      <c r="I76" s="3" t="s">
        <v>2197</v>
      </c>
      <c r="J76" s="3">
        <v>1</v>
      </c>
      <c r="K76" s="3">
        <v>22.7</v>
      </c>
      <c r="L76" s="4">
        <v>63.5</v>
      </c>
      <c r="M76" s="3" t="s">
        <v>1902</v>
      </c>
      <c r="N76" s="3" t="s">
        <v>30</v>
      </c>
      <c r="O76" s="3">
        <v>110.12</v>
      </c>
      <c r="P76" s="3" t="s">
        <v>2404</v>
      </c>
      <c r="Q76" s="21" t="str">
        <f>_xlfn.XLOOKUP(C76,[1]DailyCommercialOfferData!$A$2:$A$164,[1]DailyCommercialOfferData!$C$2:$C$164,0)</f>
        <v>108.86</v>
      </c>
      <c r="R76" s="3">
        <f t="shared" si="2"/>
        <v>110.12</v>
      </c>
    </row>
    <row r="77" spans="1:18" x14ac:dyDescent="0.3">
      <c r="A77" s="3" t="s">
        <v>650</v>
      </c>
      <c r="B77" s="4" t="s">
        <v>2645</v>
      </c>
      <c r="C77" s="16" t="s">
        <v>2644</v>
      </c>
      <c r="D77" s="16" t="s">
        <v>2643</v>
      </c>
      <c r="E77" s="3" t="s">
        <v>33</v>
      </c>
      <c r="F77" s="3"/>
      <c r="G77" s="3"/>
      <c r="H77" s="3" t="s">
        <v>2964</v>
      </c>
      <c r="I77" s="3" t="s">
        <v>1868</v>
      </c>
      <c r="J77" s="3">
        <v>1</v>
      </c>
      <c r="K77" s="3">
        <v>21.5</v>
      </c>
      <c r="L77" s="4">
        <v>61.5</v>
      </c>
      <c r="M77" s="3" t="s">
        <v>1902</v>
      </c>
      <c r="N77" s="3" t="s">
        <v>30</v>
      </c>
      <c r="O77" s="3">
        <v>-1</v>
      </c>
      <c r="P77" s="3" t="s">
        <v>2646</v>
      </c>
      <c r="Q77" s="23">
        <v>0</v>
      </c>
      <c r="R77" s="22">
        <f>-Q77</f>
        <v>0</v>
      </c>
    </row>
    <row r="78" spans="1:18" x14ac:dyDescent="0.3">
      <c r="A78" s="3" t="s">
        <v>705</v>
      </c>
      <c r="B78" s="4" t="s">
        <v>2695</v>
      </c>
      <c r="C78" s="16" t="s">
        <v>2694</v>
      </c>
      <c r="D78" s="16" t="s">
        <v>2693</v>
      </c>
      <c r="E78" s="3" t="s">
        <v>33</v>
      </c>
      <c r="F78" s="3"/>
      <c r="G78" s="3"/>
      <c r="H78" s="3" t="s">
        <v>2964</v>
      </c>
      <c r="I78" s="3" t="s">
        <v>3212</v>
      </c>
      <c r="J78" s="3">
        <v>1</v>
      </c>
      <c r="K78" s="3">
        <v>120</v>
      </c>
      <c r="L78" s="4">
        <v>240</v>
      </c>
      <c r="M78" s="3" t="s">
        <v>1902</v>
      </c>
      <c r="N78" s="3" t="s">
        <v>30</v>
      </c>
      <c r="O78" s="3">
        <v>78.55</v>
      </c>
      <c r="P78" s="3" t="s">
        <v>2696</v>
      </c>
      <c r="Q78" s="21" t="str">
        <f>_xlfn.XLOOKUP(C78,[1]DailyCommercialOfferData!$A$2:$A$164,[1]DailyCommercialOfferData!$C$2:$C$164,0)</f>
        <v>77.63</v>
      </c>
      <c r="R78" s="3">
        <f t="shared" ref="R78:R83" si="3">O78</f>
        <v>78.55</v>
      </c>
    </row>
    <row r="79" spans="1:18" x14ac:dyDescent="0.3">
      <c r="A79" s="3" t="s">
        <v>705</v>
      </c>
      <c r="B79" s="4" t="s">
        <v>2699</v>
      </c>
      <c r="C79" s="16" t="s">
        <v>2698</v>
      </c>
      <c r="D79" s="16" t="s">
        <v>2697</v>
      </c>
      <c r="E79" s="3" t="s">
        <v>33</v>
      </c>
      <c r="F79" s="3"/>
      <c r="G79" s="3"/>
      <c r="H79" s="3" t="s">
        <v>2964</v>
      </c>
      <c r="I79" s="3" t="s">
        <v>3212</v>
      </c>
      <c r="J79" s="3">
        <v>1</v>
      </c>
      <c r="K79" s="3">
        <v>120</v>
      </c>
      <c r="L79" s="4">
        <v>236</v>
      </c>
      <c r="M79" s="3" t="s">
        <v>1902</v>
      </c>
      <c r="N79" s="3" t="s">
        <v>30</v>
      </c>
      <c r="O79" s="3">
        <v>78.540000000000006</v>
      </c>
      <c r="P79" s="3" t="s">
        <v>2696</v>
      </c>
      <c r="Q79" s="21" t="str">
        <f>_xlfn.XLOOKUP(C79,[1]DailyCommercialOfferData!$A$2:$A$164,[1]DailyCommercialOfferData!$C$2:$C$164,0)</f>
        <v>77.64</v>
      </c>
      <c r="R79" s="3">
        <f t="shared" si="3"/>
        <v>78.540000000000006</v>
      </c>
    </row>
    <row r="80" spans="1:18" x14ac:dyDescent="0.3">
      <c r="A80" s="3" t="s">
        <v>739</v>
      </c>
      <c r="B80" s="18" t="s">
        <v>2708</v>
      </c>
      <c r="C80" s="17" t="s">
        <v>2707</v>
      </c>
      <c r="D80" s="16" t="s">
        <v>2706</v>
      </c>
      <c r="E80" s="3" t="s">
        <v>33</v>
      </c>
      <c r="F80" s="3"/>
      <c r="G80" s="3"/>
      <c r="H80" s="3" t="s">
        <v>2971</v>
      </c>
      <c r="I80" s="3" t="s">
        <v>1962</v>
      </c>
      <c r="J80" s="3">
        <v>1</v>
      </c>
      <c r="K80" s="3">
        <v>1</v>
      </c>
      <c r="L80" s="4">
        <v>20</v>
      </c>
      <c r="M80" s="3" t="s">
        <v>1902</v>
      </c>
      <c r="N80" s="3" t="s">
        <v>30</v>
      </c>
      <c r="O80" s="3">
        <v>422.44</v>
      </c>
      <c r="P80" s="3" t="s">
        <v>2709</v>
      </c>
      <c r="Q80" s="21" t="str">
        <f>_xlfn.XLOOKUP(C80,[1]DailyCommercialOfferData!$A$2:$A$164,[1]DailyCommercialOfferData!$C$2:$C$164,0)</f>
        <v>331.49</v>
      </c>
      <c r="R80" s="3">
        <f t="shared" si="3"/>
        <v>422.44</v>
      </c>
    </row>
    <row r="81" spans="1:18" x14ac:dyDescent="0.3">
      <c r="A81" s="3" t="s">
        <v>314</v>
      </c>
      <c r="B81" s="4" t="s">
        <v>2207</v>
      </c>
      <c r="C81" s="16" t="s">
        <v>2206</v>
      </c>
      <c r="D81" s="16" t="s">
        <v>2205</v>
      </c>
      <c r="E81" s="3" t="s">
        <v>33</v>
      </c>
      <c r="F81" s="3"/>
      <c r="G81" s="3"/>
      <c r="H81" s="3" t="s">
        <v>2964</v>
      </c>
      <c r="I81" s="3" t="s">
        <v>1868</v>
      </c>
      <c r="J81" s="3">
        <v>1</v>
      </c>
      <c r="K81" s="3">
        <v>41.15</v>
      </c>
      <c r="L81" s="4">
        <v>118</v>
      </c>
      <c r="M81" s="3" t="s">
        <v>2208</v>
      </c>
      <c r="N81" s="3" t="s">
        <v>30</v>
      </c>
      <c r="O81" s="3">
        <v>18.53</v>
      </c>
      <c r="P81" s="3" t="s">
        <v>2209</v>
      </c>
      <c r="Q81" s="21">
        <v>7000</v>
      </c>
      <c r="R81" s="3">
        <f t="shared" si="3"/>
        <v>18.53</v>
      </c>
    </row>
    <row r="82" spans="1:18" x14ac:dyDescent="0.3">
      <c r="A82" s="3" t="s">
        <v>523</v>
      </c>
      <c r="B82" s="4" t="s">
        <v>2468</v>
      </c>
      <c r="C82" s="16" t="s">
        <v>2467</v>
      </c>
      <c r="D82" s="16" t="s">
        <v>2466</v>
      </c>
      <c r="E82" s="3" t="s">
        <v>33</v>
      </c>
      <c r="F82" s="3"/>
      <c r="G82" s="3"/>
      <c r="H82" s="3" t="s">
        <v>2964</v>
      </c>
      <c r="I82" s="3" t="s">
        <v>1868</v>
      </c>
      <c r="J82" s="3">
        <v>0</v>
      </c>
      <c r="K82" s="3">
        <v>0</v>
      </c>
      <c r="L82" s="4">
        <v>0</v>
      </c>
      <c r="M82" s="9" t="s">
        <v>2208</v>
      </c>
      <c r="N82" s="3" t="s">
        <v>30</v>
      </c>
      <c r="O82" s="3">
        <v>0</v>
      </c>
      <c r="P82" s="3">
        <v>0</v>
      </c>
      <c r="Q82" s="21">
        <v>7000</v>
      </c>
      <c r="R82" s="3">
        <f t="shared" si="3"/>
        <v>0</v>
      </c>
    </row>
    <row r="83" spans="1:18" x14ac:dyDescent="0.3">
      <c r="A83" s="3" t="s">
        <v>700</v>
      </c>
      <c r="B83" s="4" t="s">
        <v>2688</v>
      </c>
      <c r="C83" s="16" t="s">
        <v>2687</v>
      </c>
      <c r="D83" s="16" t="s">
        <v>2686</v>
      </c>
      <c r="E83" s="3" t="s">
        <v>33</v>
      </c>
      <c r="F83" s="3"/>
      <c r="G83" s="3"/>
      <c r="H83" s="3" t="s">
        <v>2964</v>
      </c>
      <c r="I83" s="3" t="s">
        <v>1868</v>
      </c>
      <c r="J83" s="3">
        <v>0</v>
      </c>
      <c r="K83" s="3">
        <v>0</v>
      </c>
      <c r="L83" s="4">
        <v>0</v>
      </c>
      <c r="M83" s="9" t="s">
        <v>2208</v>
      </c>
      <c r="N83" s="3" t="s">
        <v>30</v>
      </c>
      <c r="O83" s="3">
        <v>0</v>
      </c>
      <c r="P83" s="3">
        <v>0</v>
      </c>
      <c r="Q83" s="21">
        <v>7000</v>
      </c>
      <c r="R83" s="3">
        <f t="shared" si="3"/>
        <v>0</v>
      </c>
    </row>
    <row r="84" spans="1:18" x14ac:dyDescent="0.3">
      <c r="A84" s="3" t="s">
        <v>756</v>
      </c>
      <c r="B84" s="4" t="s">
        <v>2767</v>
      </c>
      <c r="C84" s="16" t="s">
        <v>2766</v>
      </c>
      <c r="D84" s="16" t="s">
        <v>2765</v>
      </c>
      <c r="E84" s="3" t="s">
        <v>33</v>
      </c>
      <c r="F84" s="3"/>
      <c r="G84" s="3"/>
      <c r="H84" s="3" t="s">
        <v>2964</v>
      </c>
      <c r="I84" s="3" t="s">
        <v>1868</v>
      </c>
      <c r="J84" s="3">
        <v>1</v>
      </c>
      <c r="K84" s="3">
        <v>5</v>
      </c>
      <c r="L84" s="4">
        <v>73</v>
      </c>
      <c r="M84" s="3" t="s">
        <v>2768</v>
      </c>
      <c r="N84" s="3" t="s">
        <v>30</v>
      </c>
      <c r="O84" s="3">
        <v>0</v>
      </c>
      <c r="P84" s="3" t="s">
        <v>826</v>
      </c>
      <c r="Q84" s="23">
        <v>0</v>
      </c>
      <c r="R84" s="22">
        <f>-Q84</f>
        <v>0</v>
      </c>
    </row>
    <row r="85" spans="1:18" x14ac:dyDescent="0.3">
      <c r="A85" s="3" t="s">
        <v>756</v>
      </c>
      <c r="B85" s="4" t="s">
        <v>2771</v>
      </c>
      <c r="C85" s="16" t="s">
        <v>2770</v>
      </c>
      <c r="D85" s="16" t="s">
        <v>2769</v>
      </c>
      <c r="E85" s="3" t="s">
        <v>33</v>
      </c>
      <c r="F85" s="3"/>
      <c r="G85" s="3"/>
      <c r="H85" s="3" t="s">
        <v>2964</v>
      </c>
      <c r="I85" s="3" t="s">
        <v>1868</v>
      </c>
      <c r="J85" s="3">
        <v>1</v>
      </c>
      <c r="K85" s="3">
        <v>5</v>
      </c>
      <c r="L85" s="4">
        <v>73</v>
      </c>
      <c r="M85" s="3" t="s">
        <v>2768</v>
      </c>
      <c r="N85" s="3" t="s">
        <v>30</v>
      </c>
      <c r="O85" s="3">
        <v>0</v>
      </c>
      <c r="P85" s="3" t="s">
        <v>826</v>
      </c>
      <c r="Q85" s="23">
        <v>0</v>
      </c>
      <c r="R85" s="22">
        <f>-Q85</f>
        <v>0</v>
      </c>
    </row>
    <row r="86" spans="1:18" x14ac:dyDescent="0.3">
      <c r="A86" s="3" t="s">
        <v>756</v>
      </c>
      <c r="B86" s="4" t="s">
        <v>2774</v>
      </c>
      <c r="C86" s="16" t="s">
        <v>2773</v>
      </c>
      <c r="D86" s="16" t="s">
        <v>2772</v>
      </c>
      <c r="E86" s="3" t="s">
        <v>33</v>
      </c>
      <c r="F86" s="3"/>
      <c r="G86" s="3"/>
      <c r="H86" s="3" t="s">
        <v>2964</v>
      </c>
      <c r="I86" s="3" t="s">
        <v>1868</v>
      </c>
      <c r="J86" s="3">
        <v>1</v>
      </c>
      <c r="K86" s="3">
        <v>5</v>
      </c>
      <c r="L86" s="4">
        <v>73</v>
      </c>
      <c r="M86" s="3" t="s">
        <v>2768</v>
      </c>
      <c r="N86" s="3" t="s">
        <v>30</v>
      </c>
      <c r="O86" s="3">
        <v>0</v>
      </c>
      <c r="P86" s="3" t="s">
        <v>826</v>
      </c>
      <c r="Q86" s="23">
        <v>0</v>
      </c>
      <c r="R86" s="22">
        <f>-Q86</f>
        <v>0</v>
      </c>
    </row>
    <row r="87" spans="1:18" x14ac:dyDescent="0.3">
      <c r="A87" s="3" t="s">
        <v>756</v>
      </c>
      <c r="B87" s="4" t="s">
        <v>2777</v>
      </c>
      <c r="C87" s="16" t="s">
        <v>2776</v>
      </c>
      <c r="D87" s="16" t="s">
        <v>2775</v>
      </c>
      <c r="E87" s="3" t="s">
        <v>33</v>
      </c>
      <c r="F87" s="3"/>
      <c r="G87" s="3"/>
      <c r="H87" s="3" t="s">
        <v>2964</v>
      </c>
      <c r="I87" s="3" t="s">
        <v>1868</v>
      </c>
      <c r="J87" s="3">
        <v>1</v>
      </c>
      <c r="K87" s="3">
        <v>5</v>
      </c>
      <c r="L87" s="4">
        <v>73</v>
      </c>
      <c r="M87" s="3" t="s">
        <v>2768</v>
      </c>
      <c r="N87" s="3" t="s">
        <v>30</v>
      </c>
      <c r="O87" s="3">
        <v>0</v>
      </c>
      <c r="P87" s="3" t="s">
        <v>826</v>
      </c>
      <c r="Q87" s="23">
        <v>0</v>
      </c>
      <c r="R87" s="22">
        <f>-Q87</f>
        <v>0</v>
      </c>
    </row>
    <row r="88" spans="1:18" x14ac:dyDescent="0.3">
      <c r="A88" s="3" t="s">
        <v>87</v>
      </c>
      <c r="B88" s="4" t="s">
        <v>1990</v>
      </c>
      <c r="C88" s="16" t="s">
        <v>1989</v>
      </c>
      <c r="D88" s="16" t="s">
        <v>1988</v>
      </c>
      <c r="E88" s="3" t="s">
        <v>2996</v>
      </c>
      <c r="F88" s="3"/>
      <c r="G88" s="3"/>
      <c r="H88" s="3" t="s">
        <v>2964</v>
      </c>
      <c r="I88" s="3" t="s">
        <v>1868</v>
      </c>
      <c r="J88" s="3">
        <v>1</v>
      </c>
      <c r="K88" s="3">
        <v>0</v>
      </c>
      <c r="L88" s="4">
        <v>10</v>
      </c>
      <c r="M88" s="3" t="s">
        <v>1991</v>
      </c>
      <c r="N88" s="3" t="s">
        <v>28</v>
      </c>
      <c r="O88" s="3">
        <v>0</v>
      </c>
      <c r="P88" s="3">
        <v>0</v>
      </c>
      <c r="Q88" s="21">
        <v>9000</v>
      </c>
      <c r="R88" s="3">
        <f t="shared" ref="R88:R151" si="4">O88</f>
        <v>0</v>
      </c>
    </row>
    <row r="89" spans="1:18" x14ac:dyDescent="0.3">
      <c r="A89" s="3" t="s">
        <v>130</v>
      </c>
      <c r="B89" s="4" t="s">
        <v>2018</v>
      </c>
      <c r="C89" s="16" t="s">
        <v>2017</v>
      </c>
      <c r="D89" s="16" t="s">
        <v>2016</v>
      </c>
      <c r="E89" s="3" t="s">
        <v>2996</v>
      </c>
      <c r="F89" s="3"/>
      <c r="G89" s="3"/>
      <c r="H89" s="3" t="s">
        <v>2964</v>
      </c>
      <c r="I89" s="3" t="s">
        <v>1868</v>
      </c>
      <c r="J89" s="3">
        <v>1</v>
      </c>
      <c r="K89" s="3">
        <v>0</v>
      </c>
      <c r="L89" s="4">
        <v>60</v>
      </c>
      <c r="M89" s="3" t="s">
        <v>1991</v>
      </c>
      <c r="N89" s="3" t="s">
        <v>28</v>
      </c>
      <c r="O89" s="3">
        <v>0</v>
      </c>
      <c r="P89" s="3">
        <v>0</v>
      </c>
      <c r="Q89" s="21">
        <v>9000</v>
      </c>
      <c r="R89" s="3">
        <f t="shared" si="4"/>
        <v>0</v>
      </c>
    </row>
    <row r="90" spans="1:18" x14ac:dyDescent="0.3">
      <c r="A90" s="3" t="s">
        <v>185</v>
      </c>
      <c r="B90" s="4" t="s">
        <v>2057</v>
      </c>
      <c r="C90" s="16" t="s">
        <v>2056</v>
      </c>
      <c r="D90" s="16" t="s">
        <v>2055</v>
      </c>
      <c r="E90" s="3" t="s">
        <v>2996</v>
      </c>
      <c r="F90" s="3"/>
      <c r="G90" s="3"/>
      <c r="H90" s="3" t="s">
        <v>2964</v>
      </c>
      <c r="I90" s="3" t="s">
        <v>1868</v>
      </c>
      <c r="J90" s="3">
        <v>1</v>
      </c>
      <c r="K90" s="3">
        <v>0</v>
      </c>
      <c r="L90" s="4">
        <v>21</v>
      </c>
      <c r="M90" s="3" t="s">
        <v>1991</v>
      </c>
      <c r="N90" s="3" t="s">
        <v>28</v>
      </c>
      <c r="O90" s="3">
        <v>0</v>
      </c>
      <c r="P90" s="3">
        <v>0</v>
      </c>
      <c r="Q90" s="21">
        <v>9000</v>
      </c>
      <c r="R90" s="3">
        <f t="shared" si="4"/>
        <v>0</v>
      </c>
    </row>
    <row r="91" spans="1:18" x14ac:dyDescent="0.3">
      <c r="A91" s="3" t="s">
        <v>324</v>
      </c>
      <c r="B91" s="4" t="s">
        <v>2222</v>
      </c>
      <c r="C91" s="16" t="s">
        <v>2221</v>
      </c>
      <c r="D91" s="16" t="s">
        <v>2220</v>
      </c>
      <c r="E91" s="3" t="s">
        <v>2996</v>
      </c>
      <c r="F91" s="3"/>
      <c r="G91" s="3"/>
      <c r="H91" s="3" t="s">
        <v>2964</v>
      </c>
      <c r="I91" s="3" t="s">
        <v>1868</v>
      </c>
      <c r="J91" s="3">
        <v>1</v>
      </c>
      <c r="K91" s="3">
        <v>0</v>
      </c>
      <c r="L91" s="4">
        <v>85</v>
      </c>
      <c r="M91" s="3" t="s">
        <v>1991</v>
      </c>
      <c r="N91" s="3" t="s">
        <v>28</v>
      </c>
      <c r="O91" s="3">
        <v>0</v>
      </c>
      <c r="P91" s="3">
        <v>0</v>
      </c>
      <c r="Q91" s="21">
        <v>9000</v>
      </c>
      <c r="R91" s="3">
        <f t="shared" si="4"/>
        <v>0</v>
      </c>
    </row>
    <row r="92" spans="1:18" x14ac:dyDescent="0.3">
      <c r="A92" s="3" t="s">
        <v>330</v>
      </c>
      <c r="B92" s="4" t="s">
        <v>2259</v>
      </c>
      <c r="C92" s="16" t="s">
        <v>2258</v>
      </c>
      <c r="D92" s="16" t="s">
        <v>2257</v>
      </c>
      <c r="E92" s="3" t="s">
        <v>2996</v>
      </c>
      <c r="F92" s="3"/>
      <c r="G92" s="3"/>
      <c r="H92" s="3" t="s">
        <v>330</v>
      </c>
      <c r="I92" s="3" t="s">
        <v>1868</v>
      </c>
      <c r="J92" s="3">
        <v>1</v>
      </c>
      <c r="K92" s="3">
        <v>0</v>
      </c>
      <c r="L92" s="4">
        <v>14</v>
      </c>
      <c r="M92" s="3" t="s">
        <v>1991</v>
      </c>
      <c r="N92" s="3" t="s">
        <v>28</v>
      </c>
      <c r="O92" s="3">
        <v>0</v>
      </c>
      <c r="P92" s="3">
        <v>0</v>
      </c>
      <c r="Q92" s="21">
        <v>9000</v>
      </c>
      <c r="R92" s="3">
        <f t="shared" si="4"/>
        <v>0</v>
      </c>
    </row>
    <row r="93" spans="1:18" x14ac:dyDescent="0.3">
      <c r="A93" s="3" t="s">
        <v>394</v>
      </c>
      <c r="B93" s="4" t="s">
        <v>2287</v>
      </c>
      <c r="C93" s="16" t="s">
        <v>2286</v>
      </c>
      <c r="D93" s="16" t="s">
        <v>2285</v>
      </c>
      <c r="E93" s="3" t="s">
        <v>2996</v>
      </c>
      <c r="F93" s="3"/>
      <c r="G93" s="3"/>
      <c r="H93" s="3" t="s">
        <v>2984</v>
      </c>
      <c r="I93" s="3" t="s">
        <v>1868</v>
      </c>
      <c r="J93" s="3">
        <v>1</v>
      </c>
      <c r="K93" s="3">
        <v>0</v>
      </c>
      <c r="L93" s="4">
        <v>119</v>
      </c>
      <c r="M93" s="3" t="s">
        <v>1991</v>
      </c>
      <c r="N93" s="3" t="s">
        <v>28</v>
      </c>
      <c r="O93" s="3">
        <v>0</v>
      </c>
      <c r="P93" s="3">
        <v>0</v>
      </c>
      <c r="Q93" s="21">
        <v>9000</v>
      </c>
      <c r="R93" s="3">
        <f t="shared" si="4"/>
        <v>0</v>
      </c>
    </row>
    <row r="94" spans="1:18" x14ac:dyDescent="0.3">
      <c r="A94" s="3" t="s">
        <v>394</v>
      </c>
      <c r="B94" s="4" t="s">
        <v>2290</v>
      </c>
      <c r="C94" s="16" t="s">
        <v>2289</v>
      </c>
      <c r="D94" s="16" t="s">
        <v>2288</v>
      </c>
      <c r="E94" s="3" t="s">
        <v>2996</v>
      </c>
      <c r="F94" s="3"/>
      <c r="G94" s="3"/>
      <c r="H94" s="3" t="s">
        <v>2984</v>
      </c>
      <c r="I94" s="3" t="s">
        <v>1868</v>
      </c>
      <c r="J94" s="3">
        <v>1</v>
      </c>
      <c r="K94" s="3">
        <v>0</v>
      </c>
      <c r="L94" s="4">
        <v>31.6</v>
      </c>
      <c r="M94" s="3" t="s">
        <v>1991</v>
      </c>
      <c r="N94" s="3" t="s">
        <v>28</v>
      </c>
      <c r="O94" s="3">
        <v>0</v>
      </c>
      <c r="P94" s="3">
        <v>0</v>
      </c>
      <c r="Q94" s="21">
        <v>9000</v>
      </c>
      <c r="R94" s="3">
        <f t="shared" si="4"/>
        <v>0</v>
      </c>
    </row>
    <row r="95" spans="1:18" x14ac:dyDescent="0.3">
      <c r="A95" s="3" t="s">
        <v>429</v>
      </c>
      <c r="B95" s="4" t="s">
        <v>2293</v>
      </c>
      <c r="C95" s="16" t="s">
        <v>2292</v>
      </c>
      <c r="D95" s="16" t="s">
        <v>2291</v>
      </c>
      <c r="E95" s="3" t="s">
        <v>2996</v>
      </c>
      <c r="F95" s="3"/>
      <c r="G95" s="3"/>
      <c r="H95" s="3" t="s">
        <v>2984</v>
      </c>
      <c r="I95" s="3" t="s">
        <v>1868</v>
      </c>
      <c r="J95" s="3">
        <v>1</v>
      </c>
      <c r="K95" s="3">
        <v>0</v>
      </c>
      <c r="L95" s="4">
        <v>95</v>
      </c>
      <c r="M95" s="3" t="s">
        <v>1991</v>
      </c>
      <c r="N95" s="3" t="s">
        <v>28</v>
      </c>
      <c r="O95" s="3">
        <v>0</v>
      </c>
      <c r="P95" s="3">
        <v>0</v>
      </c>
      <c r="Q95" s="21">
        <v>9000</v>
      </c>
      <c r="R95" s="3">
        <f t="shared" si="4"/>
        <v>0</v>
      </c>
    </row>
    <row r="96" spans="1:18" x14ac:dyDescent="0.3">
      <c r="A96" s="3" t="s">
        <v>538</v>
      </c>
      <c r="B96" s="4" t="s">
        <v>2498</v>
      </c>
      <c r="C96" s="16" t="s">
        <v>2497</v>
      </c>
      <c r="D96" s="16" t="s">
        <v>2496</v>
      </c>
      <c r="E96" s="3" t="s">
        <v>2996</v>
      </c>
      <c r="F96" s="3"/>
      <c r="G96" s="3"/>
      <c r="H96" s="3" t="s">
        <v>2971</v>
      </c>
      <c r="I96" s="3" t="s">
        <v>1868</v>
      </c>
      <c r="J96" s="3">
        <v>1</v>
      </c>
      <c r="K96" s="3">
        <v>0</v>
      </c>
      <c r="L96" s="4">
        <v>25.2</v>
      </c>
      <c r="M96" s="3" t="s">
        <v>1991</v>
      </c>
      <c r="N96" s="3" t="s">
        <v>28</v>
      </c>
      <c r="O96" s="3">
        <v>0</v>
      </c>
      <c r="P96" s="3">
        <v>0</v>
      </c>
      <c r="Q96" s="21">
        <v>9000</v>
      </c>
      <c r="R96" s="3">
        <f t="shared" si="4"/>
        <v>0</v>
      </c>
    </row>
    <row r="97" spans="1:18" x14ac:dyDescent="0.3">
      <c r="A97" s="3" t="s">
        <v>538</v>
      </c>
      <c r="B97" s="4" t="s">
        <v>2501</v>
      </c>
      <c r="C97" s="16" t="s">
        <v>2500</v>
      </c>
      <c r="D97" s="16" t="s">
        <v>2499</v>
      </c>
      <c r="E97" s="3" t="s">
        <v>2996</v>
      </c>
      <c r="F97" s="3"/>
      <c r="G97" s="3"/>
      <c r="H97" s="3" t="s">
        <v>2971</v>
      </c>
      <c r="I97" s="3" t="s">
        <v>1868</v>
      </c>
      <c r="J97" s="3">
        <v>1</v>
      </c>
      <c r="K97" s="3">
        <v>0</v>
      </c>
      <c r="L97" s="4">
        <v>16.920000000000002</v>
      </c>
      <c r="M97" s="3" t="s">
        <v>1991</v>
      </c>
      <c r="N97" s="3" t="s">
        <v>28</v>
      </c>
      <c r="O97" s="3">
        <v>0</v>
      </c>
      <c r="P97" s="3">
        <v>0</v>
      </c>
      <c r="Q97" s="21">
        <v>9000</v>
      </c>
      <c r="R97" s="3">
        <f t="shared" si="4"/>
        <v>0</v>
      </c>
    </row>
    <row r="98" spans="1:18" x14ac:dyDescent="0.3">
      <c r="A98" s="3" t="s">
        <v>538</v>
      </c>
      <c r="B98" s="4" t="s">
        <v>2504</v>
      </c>
      <c r="C98" s="16" t="s">
        <v>2503</v>
      </c>
      <c r="D98" s="16" t="s">
        <v>2502</v>
      </c>
      <c r="E98" s="3" t="s">
        <v>2996</v>
      </c>
      <c r="F98" s="3"/>
      <c r="G98" s="3"/>
      <c r="H98" s="3" t="s">
        <v>2971</v>
      </c>
      <c r="I98" s="3" t="s">
        <v>1868</v>
      </c>
      <c r="J98" s="3">
        <v>1</v>
      </c>
      <c r="K98" s="3">
        <v>0</v>
      </c>
      <c r="L98" s="4">
        <v>20.43</v>
      </c>
      <c r="M98" s="3" t="s">
        <v>1991</v>
      </c>
      <c r="N98" s="3" t="s">
        <v>28</v>
      </c>
      <c r="O98" s="3">
        <v>0</v>
      </c>
      <c r="P98" s="3">
        <v>0</v>
      </c>
      <c r="Q98" s="21">
        <v>9000</v>
      </c>
      <c r="R98" s="3">
        <f t="shared" si="4"/>
        <v>0</v>
      </c>
    </row>
    <row r="99" spans="1:18" x14ac:dyDescent="0.3">
      <c r="A99" s="3" t="s">
        <v>529</v>
      </c>
      <c r="B99" s="4" t="s">
        <v>2540</v>
      </c>
      <c r="C99" s="16" t="s">
        <v>2539</v>
      </c>
      <c r="D99" s="16" t="s">
        <v>2538</v>
      </c>
      <c r="E99" s="3" t="s">
        <v>2996</v>
      </c>
      <c r="F99" s="3"/>
      <c r="G99" s="3"/>
      <c r="H99" s="3" t="s">
        <v>2964</v>
      </c>
      <c r="I99" s="3" t="s">
        <v>1868</v>
      </c>
      <c r="J99" s="3">
        <v>1</v>
      </c>
      <c r="K99" s="3">
        <v>0</v>
      </c>
      <c r="L99" s="4">
        <v>87</v>
      </c>
      <c r="M99" s="3" t="s">
        <v>1991</v>
      </c>
      <c r="N99" s="3" t="s">
        <v>28</v>
      </c>
      <c r="O99" s="3">
        <v>0</v>
      </c>
      <c r="P99" s="3">
        <v>0</v>
      </c>
      <c r="Q99" s="21">
        <v>9000</v>
      </c>
      <c r="R99" s="3">
        <f t="shared" si="4"/>
        <v>0</v>
      </c>
    </row>
    <row r="100" spans="1:18" x14ac:dyDescent="0.3">
      <c r="A100" s="3" t="s">
        <v>561</v>
      </c>
      <c r="B100" s="4" t="s">
        <v>2546</v>
      </c>
      <c r="C100" s="16" t="s">
        <v>2545</v>
      </c>
      <c r="D100" s="16" t="s">
        <v>2544</v>
      </c>
      <c r="E100" s="3" t="s">
        <v>2996</v>
      </c>
      <c r="F100" s="3"/>
      <c r="G100" s="3"/>
      <c r="H100" s="3" t="s">
        <v>2969</v>
      </c>
      <c r="I100" s="3" t="s">
        <v>1868</v>
      </c>
      <c r="J100" s="3">
        <v>1</v>
      </c>
      <c r="K100" s="3">
        <v>0</v>
      </c>
      <c r="L100" s="4">
        <v>4</v>
      </c>
      <c r="M100" s="3" t="s">
        <v>1991</v>
      </c>
      <c r="N100" s="3" t="s">
        <v>28</v>
      </c>
      <c r="O100" s="3">
        <v>0</v>
      </c>
      <c r="P100" s="3">
        <v>0</v>
      </c>
      <c r="Q100" s="21">
        <v>9000</v>
      </c>
      <c r="R100" s="3">
        <f t="shared" si="4"/>
        <v>0</v>
      </c>
    </row>
    <row r="101" spans="1:18" x14ac:dyDescent="0.3">
      <c r="A101" s="3" t="s">
        <v>623</v>
      </c>
      <c r="B101" s="4" t="s">
        <v>2601</v>
      </c>
      <c r="C101" s="16" t="s">
        <v>2600</v>
      </c>
      <c r="D101" s="16" t="s">
        <v>2599</v>
      </c>
      <c r="E101" s="3" t="s">
        <v>2996</v>
      </c>
      <c r="F101" s="3"/>
      <c r="G101" s="3"/>
      <c r="H101" s="3" t="s">
        <v>2964</v>
      </c>
      <c r="I101" s="3" t="s">
        <v>1868</v>
      </c>
      <c r="J101" s="3">
        <v>1</v>
      </c>
      <c r="K101" s="3">
        <v>0</v>
      </c>
      <c r="L101" s="4">
        <v>12</v>
      </c>
      <c r="M101" s="3" t="s">
        <v>1991</v>
      </c>
      <c r="N101" s="3" t="s">
        <v>28</v>
      </c>
      <c r="O101" s="3">
        <v>0</v>
      </c>
      <c r="P101" s="3">
        <v>0</v>
      </c>
      <c r="Q101" s="21">
        <v>9000</v>
      </c>
      <c r="R101" s="3">
        <f t="shared" si="4"/>
        <v>0</v>
      </c>
    </row>
    <row r="102" spans="1:18" x14ac:dyDescent="0.3">
      <c r="A102" s="3" t="s">
        <v>685</v>
      </c>
      <c r="B102" s="4" t="s">
        <v>2655</v>
      </c>
      <c r="C102" s="16" t="s">
        <v>2654</v>
      </c>
      <c r="D102" s="16" t="s">
        <v>2653</v>
      </c>
      <c r="E102" s="3" t="s">
        <v>2996</v>
      </c>
      <c r="F102" s="3"/>
      <c r="G102" s="3"/>
      <c r="H102" s="3" t="s">
        <v>2974</v>
      </c>
      <c r="I102" s="3" t="s">
        <v>1868</v>
      </c>
      <c r="J102" s="3">
        <v>1</v>
      </c>
      <c r="K102" s="3">
        <v>0</v>
      </c>
      <c r="L102" s="4">
        <v>29.81</v>
      </c>
      <c r="M102" s="3" t="s">
        <v>1991</v>
      </c>
      <c r="N102" s="3" t="s">
        <v>28</v>
      </c>
      <c r="O102" s="3">
        <v>0</v>
      </c>
      <c r="P102" s="3">
        <v>0</v>
      </c>
      <c r="Q102" s="21">
        <v>9000</v>
      </c>
      <c r="R102" s="3">
        <f t="shared" si="4"/>
        <v>0</v>
      </c>
    </row>
    <row r="103" spans="1:18" x14ac:dyDescent="0.3">
      <c r="A103" s="3" t="s">
        <v>690</v>
      </c>
      <c r="B103" s="4" t="s">
        <v>2664</v>
      </c>
      <c r="C103" s="16" t="s">
        <v>2663</v>
      </c>
      <c r="D103" s="16" t="s">
        <v>2662</v>
      </c>
      <c r="E103" s="3" t="s">
        <v>2996</v>
      </c>
      <c r="F103" s="3"/>
      <c r="G103" s="3"/>
      <c r="H103" s="3" t="s">
        <v>2964</v>
      </c>
      <c r="I103" s="3" t="s">
        <v>1868</v>
      </c>
      <c r="J103" s="3">
        <v>1</v>
      </c>
      <c r="K103" s="3">
        <v>0</v>
      </c>
      <c r="L103" s="4">
        <v>95</v>
      </c>
      <c r="M103" s="3" t="s">
        <v>1991</v>
      </c>
      <c r="N103" s="3" t="s">
        <v>28</v>
      </c>
      <c r="O103" s="3">
        <v>0</v>
      </c>
      <c r="P103" s="3">
        <v>0</v>
      </c>
      <c r="Q103" s="21">
        <v>9000</v>
      </c>
      <c r="R103" s="3">
        <f t="shared" si="4"/>
        <v>0</v>
      </c>
    </row>
    <row r="104" spans="1:18" x14ac:dyDescent="0.3">
      <c r="A104" s="3" t="s">
        <v>680</v>
      </c>
      <c r="B104" s="4" t="s">
        <v>2679</v>
      </c>
      <c r="C104" s="16" t="s">
        <v>2678</v>
      </c>
      <c r="D104" s="16" t="s">
        <v>2677</v>
      </c>
      <c r="E104" s="3" t="s">
        <v>2996</v>
      </c>
      <c r="F104" s="3"/>
      <c r="G104" s="3"/>
      <c r="H104" s="3" t="s">
        <v>2964</v>
      </c>
      <c r="I104" s="3" t="s">
        <v>1868</v>
      </c>
      <c r="J104" s="3">
        <v>1</v>
      </c>
      <c r="K104" s="3">
        <v>0</v>
      </c>
      <c r="L104" s="4">
        <v>95</v>
      </c>
      <c r="M104" s="3" t="s">
        <v>1991</v>
      </c>
      <c r="N104" s="3" t="s">
        <v>28</v>
      </c>
      <c r="O104" s="3">
        <v>0</v>
      </c>
      <c r="P104" s="3">
        <v>0</v>
      </c>
      <c r="Q104" s="21">
        <v>9000</v>
      </c>
      <c r="R104" s="3">
        <f t="shared" si="4"/>
        <v>0</v>
      </c>
    </row>
    <row r="105" spans="1:18" x14ac:dyDescent="0.3">
      <c r="A105" s="3" t="s">
        <v>783</v>
      </c>
      <c r="B105" s="4" t="s">
        <v>2758</v>
      </c>
      <c r="C105" s="16" t="s">
        <v>2757</v>
      </c>
      <c r="D105" s="16" t="s">
        <v>2756</v>
      </c>
      <c r="E105" s="3" t="s">
        <v>2996</v>
      </c>
      <c r="F105" s="3"/>
      <c r="G105" s="3"/>
      <c r="H105" s="3" t="s">
        <v>2964</v>
      </c>
      <c r="I105" s="3" t="s">
        <v>1868</v>
      </c>
      <c r="J105" s="3">
        <v>1</v>
      </c>
      <c r="K105" s="3">
        <v>0</v>
      </c>
      <c r="L105" s="4">
        <v>50</v>
      </c>
      <c r="M105" s="3" t="s">
        <v>1991</v>
      </c>
      <c r="N105" s="3" t="s">
        <v>28</v>
      </c>
      <c r="O105" s="3">
        <v>0</v>
      </c>
      <c r="P105" s="3">
        <v>0</v>
      </c>
      <c r="Q105" s="21">
        <v>9000</v>
      </c>
      <c r="R105" s="3">
        <f t="shared" si="4"/>
        <v>0</v>
      </c>
    </row>
    <row r="106" spans="1:18" x14ac:dyDescent="0.3">
      <c r="A106" s="3" t="s">
        <v>408</v>
      </c>
      <c r="B106" s="4" t="s">
        <v>1872</v>
      </c>
      <c r="C106" s="16" t="s">
        <v>1871</v>
      </c>
      <c r="D106" s="16" t="s">
        <v>1870</v>
      </c>
      <c r="E106" s="3" t="s">
        <v>2996</v>
      </c>
      <c r="F106" s="3"/>
      <c r="G106" s="3"/>
      <c r="H106" s="3" t="s">
        <v>2965</v>
      </c>
      <c r="I106" s="3" t="s">
        <v>1868</v>
      </c>
      <c r="J106" s="3">
        <v>1</v>
      </c>
      <c r="K106" s="3">
        <v>0</v>
      </c>
      <c r="L106" s="4">
        <v>27</v>
      </c>
      <c r="M106" s="3" t="s">
        <v>1873</v>
      </c>
      <c r="N106" s="3" t="s">
        <v>28</v>
      </c>
      <c r="O106" s="3">
        <v>0</v>
      </c>
      <c r="P106" s="3">
        <v>0</v>
      </c>
      <c r="Q106" s="21">
        <v>9000</v>
      </c>
      <c r="R106" s="3">
        <f t="shared" si="4"/>
        <v>0</v>
      </c>
    </row>
    <row r="107" spans="1:18" x14ac:dyDescent="0.3">
      <c r="A107" s="3" t="s">
        <v>711</v>
      </c>
      <c r="B107" s="4" t="s">
        <v>1879</v>
      </c>
      <c r="C107" s="16" t="s">
        <v>1878</v>
      </c>
      <c r="D107" s="16" t="s">
        <v>1877</v>
      </c>
      <c r="E107" s="3" t="s">
        <v>2996</v>
      </c>
      <c r="F107" s="3"/>
      <c r="G107" s="3"/>
      <c r="H107" s="3" t="s">
        <v>2966</v>
      </c>
      <c r="I107" s="3" t="s">
        <v>1868</v>
      </c>
      <c r="J107" s="3">
        <v>1</v>
      </c>
      <c r="K107" s="3">
        <v>0</v>
      </c>
      <c r="L107" s="4">
        <v>58</v>
      </c>
      <c r="M107" s="3" t="s">
        <v>1873</v>
      </c>
      <c r="N107" s="3" t="s">
        <v>28</v>
      </c>
      <c r="O107" s="3">
        <v>0</v>
      </c>
      <c r="P107" s="3">
        <v>0</v>
      </c>
      <c r="Q107" s="21">
        <v>9000</v>
      </c>
      <c r="R107" s="3">
        <f t="shared" si="4"/>
        <v>0</v>
      </c>
    </row>
    <row r="108" spans="1:18" x14ac:dyDescent="0.3">
      <c r="A108" s="3" t="s">
        <v>713</v>
      </c>
      <c r="B108" s="4" t="s">
        <v>1882</v>
      </c>
      <c r="C108" s="16" t="s">
        <v>1881</v>
      </c>
      <c r="D108" s="16" t="s">
        <v>1880</v>
      </c>
      <c r="E108" s="3" t="s">
        <v>2996</v>
      </c>
      <c r="F108" s="3"/>
      <c r="G108" s="3"/>
      <c r="H108" s="3" t="s">
        <v>2967</v>
      </c>
      <c r="I108" s="3" t="s">
        <v>1868</v>
      </c>
      <c r="J108" s="3">
        <v>1</v>
      </c>
      <c r="K108" s="3">
        <v>0</v>
      </c>
      <c r="L108" s="4">
        <v>27</v>
      </c>
      <c r="M108" s="3" t="s">
        <v>1873</v>
      </c>
      <c r="N108" s="3" t="s">
        <v>28</v>
      </c>
      <c r="O108" s="3">
        <v>0</v>
      </c>
      <c r="P108" s="3">
        <v>0</v>
      </c>
      <c r="Q108" s="21">
        <v>9000</v>
      </c>
      <c r="R108" s="3">
        <f t="shared" si="4"/>
        <v>0</v>
      </c>
    </row>
    <row r="109" spans="1:18" x14ac:dyDescent="0.3">
      <c r="A109" s="3" t="s">
        <v>713</v>
      </c>
      <c r="B109" s="4" t="s">
        <v>1885</v>
      </c>
      <c r="C109" s="16" t="s">
        <v>1884</v>
      </c>
      <c r="D109" s="16" t="s">
        <v>1883</v>
      </c>
      <c r="E109" s="3" t="s">
        <v>2996</v>
      </c>
      <c r="F109" s="3"/>
      <c r="G109" s="3"/>
      <c r="H109" s="3" t="s">
        <v>2967</v>
      </c>
      <c r="I109" s="3" t="s">
        <v>1868</v>
      </c>
      <c r="J109" s="3">
        <v>1</v>
      </c>
      <c r="K109" s="3">
        <v>0</v>
      </c>
      <c r="L109" s="4">
        <v>45</v>
      </c>
      <c r="M109" s="3" t="s">
        <v>1873</v>
      </c>
      <c r="N109" s="3" t="s">
        <v>28</v>
      </c>
      <c r="O109" s="3">
        <v>0</v>
      </c>
      <c r="P109" s="3">
        <v>0</v>
      </c>
      <c r="Q109" s="21">
        <v>9000</v>
      </c>
      <c r="R109" s="3">
        <f t="shared" si="4"/>
        <v>0</v>
      </c>
    </row>
    <row r="110" spans="1:18" x14ac:dyDescent="0.3">
      <c r="A110" s="3" t="s">
        <v>710</v>
      </c>
      <c r="B110" s="4" t="s">
        <v>1888</v>
      </c>
      <c r="C110" s="16" t="s">
        <v>1887</v>
      </c>
      <c r="D110" s="16" t="s">
        <v>1886</v>
      </c>
      <c r="E110" s="3" t="s">
        <v>2996</v>
      </c>
      <c r="F110" s="3"/>
      <c r="G110" s="3"/>
      <c r="H110" s="3" t="s">
        <v>2968</v>
      </c>
      <c r="I110" s="3" t="s">
        <v>1868</v>
      </c>
      <c r="J110" s="3">
        <v>1</v>
      </c>
      <c r="K110" s="3">
        <v>0</v>
      </c>
      <c r="L110" s="4">
        <v>89</v>
      </c>
      <c r="M110" s="3" t="s">
        <v>1873</v>
      </c>
      <c r="N110" s="3" t="s">
        <v>28</v>
      </c>
      <c r="O110" s="3">
        <v>0</v>
      </c>
      <c r="P110" s="3">
        <v>0</v>
      </c>
      <c r="Q110" s="21">
        <v>9000</v>
      </c>
      <c r="R110" s="3">
        <f t="shared" si="4"/>
        <v>0</v>
      </c>
    </row>
    <row r="111" spans="1:18" x14ac:dyDescent="0.3">
      <c r="A111" s="3" t="s">
        <v>710</v>
      </c>
      <c r="B111" s="4" t="s">
        <v>1891</v>
      </c>
      <c r="C111" s="16" t="s">
        <v>1890</v>
      </c>
      <c r="D111" s="16" t="s">
        <v>1889</v>
      </c>
      <c r="E111" s="3" t="s">
        <v>2996</v>
      </c>
      <c r="F111" s="3"/>
      <c r="G111" s="3"/>
      <c r="H111" s="3" t="s">
        <v>2968</v>
      </c>
      <c r="I111" s="3" t="s">
        <v>1868</v>
      </c>
      <c r="J111" s="3">
        <v>1</v>
      </c>
      <c r="K111" s="3">
        <v>0</v>
      </c>
      <c r="L111" s="4">
        <v>83</v>
      </c>
      <c r="M111" s="3" t="s">
        <v>1873</v>
      </c>
      <c r="N111" s="3" t="s">
        <v>28</v>
      </c>
      <c r="O111" s="3">
        <v>0</v>
      </c>
      <c r="P111" s="3">
        <v>0</v>
      </c>
      <c r="Q111" s="21">
        <v>9000</v>
      </c>
      <c r="R111" s="3">
        <f t="shared" si="4"/>
        <v>0</v>
      </c>
    </row>
    <row r="112" spans="1:18" x14ac:dyDescent="0.3">
      <c r="A112" s="3" t="s">
        <v>775</v>
      </c>
      <c r="B112" s="4" t="s">
        <v>1894</v>
      </c>
      <c r="C112" s="16" t="s">
        <v>1893</v>
      </c>
      <c r="D112" s="16" t="s">
        <v>1892</v>
      </c>
      <c r="E112" s="3" t="s">
        <v>2996</v>
      </c>
      <c r="F112" s="3"/>
      <c r="G112" s="3"/>
      <c r="H112" s="3" t="s">
        <v>2969</v>
      </c>
      <c r="I112" s="3" t="s">
        <v>1868</v>
      </c>
      <c r="J112" s="3">
        <v>1</v>
      </c>
      <c r="K112" s="3">
        <v>0</v>
      </c>
      <c r="L112" s="4">
        <v>22.5</v>
      </c>
      <c r="M112" s="3" t="s">
        <v>1873</v>
      </c>
      <c r="N112" s="3" t="s">
        <v>28</v>
      </c>
      <c r="O112" s="3">
        <v>0</v>
      </c>
      <c r="P112" s="3">
        <v>0</v>
      </c>
      <c r="Q112" s="21">
        <v>9000</v>
      </c>
      <c r="R112" s="3">
        <f t="shared" si="4"/>
        <v>0</v>
      </c>
    </row>
    <row r="113" spans="1:18" x14ac:dyDescent="0.3">
      <c r="A113" s="3" t="s">
        <v>775</v>
      </c>
      <c r="B113" s="4" t="s">
        <v>1897</v>
      </c>
      <c r="C113" s="16" t="s">
        <v>1896</v>
      </c>
      <c r="D113" s="16" t="s">
        <v>1895</v>
      </c>
      <c r="E113" s="3" t="s">
        <v>2996</v>
      </c>
      <c r="F113" s="3"/>
      <c r="G113" s="3"/>
      <c r="H113" s="3" t="s">
        <v>2969</v>
      </c>
      <c r="I113" s="3" t="s">
        <v>1868</v>
      </c>
      <c r="J113" s="3">
        <v>1</v>
      </c>
      <c r="K113" s="3">
        <v>0</v>
      </c>
      <c r="L113" s="4">
        <v>17.2</v>
      </c>
      <c r="M113" s="3" t="s">
        <v>1873</v>
      </c>
      <c r="N113" s="3" t="s">
        <v>28</v>
      </c>
      <c r="O113" s="3">
        <v>0</v>
      </c>
      <c r="P113" s="3">
        <v>0</v>
      </c>
      <c r="Q113" s="21">
        <v>9000</v>
      </c>
      <c r="R113" s="3">
        <f t="shared" si="4"/>
        <v>0</v>
      </c>
    </row>
    <row r="114" spans="1:18" x14ac:dyDescent="0.3">
      <c r="A114" s="3" t="s">
        <v>46</v>
      </c>
      <c r="B114" s="4" t="s">
        <v>1917</v>
      </c>
      <c r="C114" s="16" t="s">
        <v>1916</v>
      </c>
      <c r="D114" s="16" t="s">
        <v>1915</v>
      </c>
      <c r="E114" s="3" t="s">
        <v>2996</v>
      </c>
      <c r="F114" s="3"/>
      <c r="G114" s="3"/>
      <c r="H114" s="3" t="s">
        <v>2970</v>
      </c>
      <c r="I114" s="3" t="s">
        <v>1868</v>
      </c>
      <c r="J114" s="3">
        <v>1</v>
      </c>
      <c r="K114" s="3">
        <v>0</v>
      </c>
      <c r="L114" s="4">
        <v>15</v>
      </c>
      <c r="M114" s="3" t="s">
        <v>1873</v>
      </c>
      <c r="N114" s="3" t="s">
        <v>28</v>
      </c>
      <c r="O114" s="3">
        <v>0</v>
      </c>
      <c r="P114" s="3">
        <v>0</v>
      </c>
      <c r="Q114" s="21">
        <v>9000</v>
      </c>
      <c r="R114" s="3">
        <f t="shared" si="4"/>
        <v>0</v>
      </c>
    </row>
    <row r="115" spans="1:18" x14ac:dyDescent="0.3">
      <c r="A115" s="3" t="s">
        <v>46</v>
      </c>
      <c r="B115" s="4" t="s">
        <v>1920</v>
      </c>
      <c r="C115" s="16" t="s">
        <v>1919</v>
      </c>
      <c r="D115" s="16" t="s">
        <v>1918</v>
      </c>
      <c r="E115" s="3" t="s">
        <v>2996</v>
      </c>
      <c r="F115" s="3"/>
      <c r="G115" s="3"/>
      <c r="H115" s="3" t="s">
        <v>2970</v>
      </c>
      <c r="I115" s="3" t="s">
        <v>1868</v>
      </c>
      <c r="J115" s="3">
        <v>1</v>
      </c>
      <c r="K115" s="3">
        <v>0</v>
      </c>
      <c r="L115" s="4">
        <v>54</v>
      </c>
      <c r="M115" s="3" t="s">
        <v>1873</v>
      </c>
      <c r="N115" s="3" t="s">
        <v>28</v>
      </c>
      <c r="O115" s="3">
        <v>0</v>
      </c>
      <c r="P115" s="3">
        <v>0</v>
      </c>
      <c r="Q115" s="21">
        <v>9000</v>
      </c>
      <c r="R115" s="3">
        <f t="shared" si="4"/>
        <v>0</v>
      </c>
    </row>
    <row r="116" spans="1:18" x14ac:dyDescent="0.3">
      <c r="A116" s="3" t="s">
        <v>59</v>
      </c>
      <c r="B116" s="4" t="s">
        <v>1923</v>
      </c>
      <c r="C116" s="16" t="s">
        <v>1922</v>
      </c>
      <c r="D116" s="16" t="s">
        <v>1921</v>
      </c>
      <c r="E116" s="3" t="s">
        <v>2996</v>
      </c>
      <c r="F116" s="3"/>
      <c r="G116" s="3"/>
      <c r="H116" s="3" t="s">
        <v>2971</v>
      </c>
      <c r="I116" s="3" t="s">
        <v>1868</v>
      </c>
      <c r="J116" s="3">
        <v>1</v>
      </c>
      <c r="K116" s="3">
        <v>0</v>
      </c>
      <c r="L116" s="4">
        <v>5.4</v>
      </c>
      <c r="M116" s="3" t="s">
        <v>1873</v>
      </c>
      <c r="N116" s="3" t="s">
        <v>28</v>
      </c>
      <c r="O116" s="3">
        <v>0</v>
      </c>
      <c r="P116" s="3">
        <v>0</v>
      </c>
      <c r="Q116" s="21">
        <v>9000</v>
      </c>
      <c r="R116" s="3">
        <f t="shared" si="4"/>
        <v>0</v>
      </c>
    </row>
    <row r="117" spans="1:18" x14ac:dyDescent="0.3">
      <c r="A117" s="3" t="s">
        <v>69</v>
      </c>
      <c r="B117" s="4" t="s">
        <v>1939</v>
      </c>
      <c r="C117" s="16" t="s">
        <v>1938</v>
      </c>
      <c r="D117" s="16" t="s">
        <v>1937</v>
      </c>
      <c r="E117" s="3" t="s">
        <v>2996</v>
      </c>
      <c r="F117" s="3"/>
      <c r="G117" s="3"/>
      <c r="H117" s="3" t="s">
        <v>2964</v>
      </c>
      <c r="I117" s="3" t="s">
        <v>1868</v>
      </c>
      <c r="J117" s="3">
        <v>1</v>
      </c>
      <c r="K117" s="3">
        <v>0</v>
      </c>
      <c r="L117" s="4">
        <v>25.6</v>
      </c>
      <c r="M117" s="3" t="s">
        <v>1873</v>
      </c>
      <c r="N117" s="3" t="s">
        <v>28</v>
      </c>
      <c r="O117" s="3">
        <v>0</v>
      </c>
      <c r="P117" s="3">
        <v>0</v>
      </c>
      <c r="Q117" s="21">
        <v>9000</v>
      </c>
      <c r="R117" s="3">
        <f t="shared" si="4"/>
        <v>0</v>
      </c>
    </row>
    <row r="118" spans="1:18" x14ac:dyDescent="0.3">
      <c r="A118" s="3" t="s">
        <v>69</v>
      </c>
      <c r="B118" s="4" t="s">
        <v>1942</v>
      </c>
      <c r="C118" s="16" t="s">
        <v>1941</v>
      </c>
      <c r="D118" s="16" t="s">
        <v>1940</v>
      </c>
      <c r="E118" s="3" t="s">
        <v>2996</v>
      </c>
      <c r="F118" s="3"/>
      <c r="G118" s="3"/>
      <c r="H118" s="3" t="s">
        <v>2964</v>
      </c>
      <c r="I118" s="3" t="s">
        <v>1868</v>
      </c>
      <c r="J118" s="3">
        <v>1</v>
      </c>
      <c r="K118" s="3">
        <v>0</v>
      </c>
      <c r="L118" s="4">
        <v>35.200000000000003</v>
      </c>
      <c r="M118" s="3" t="s">
        <v>1873</v>
      </c>
      <c r="N118" s="3" t="s">
        <v>28</v>
      </c>
      <c r="O118" s="3">
        <v>0</v>
      </c>
      <c r="P118" s="3">
        <v>0</v>
      </c>
      <c r="Q118" s="21">
        <v>9000</v>
      </c>
      <c r="R118" s="3">
        <f t="shared" si="4"/>
        <v>0</v>
      </c>
    </row>
    <row r="119" spans="1:18" x14ac:dyDescent="0.3">
      <c r="A119" s="3" t="s">
        <v>69</v>
      </c>
      <c r="B119" s="4" t="s">
        <v>1945</v>
      </c>
      <c r="C119" s="16" t="s">
        <v>1944</v>
      </c>
      <c r="D119" s="16" t="s">
        <v>1943</v>
      </c>
      <c r="E119" s="3" t="s">
        <v>2996</v>
      </c>
      <c r="F119" s="3"/>
      <c r="G119" s="3"/>
      <c r="H119" s="3" t="s">
        <v>2964</v>
      </c>
      <c r="I119" s="3" t="s">
        <v>1868</v>
      </c>
      <c r="J119" s="3">
        <v>1</v>
      </c>
      <c r="K119" s="3">
        <v>0</v>
      </c>
      <c r="L119" s="4">
        <v>18</v>
      </c>
      <c r="M119" s="3" t="s">
        <v>1873</v>
      </c>
      <c r="N119" s="3" t="s">
        <v>28</v>
      </c>
      <c r="O119" s="3">
        <v>0</v>
      </c>
      <c r="P119" s="3">
        <v>0</v>
      </c>
      <c r="Q119" s="21">
        <v>9000</v>
      </c>
      <c r="R119" s="3">
        <f t="shared" si="4"/>
        <v>0</v>
      </c>
    </row>
    <row r="120" spans="1:18" x14ac:dyDescent="0.3">
      <c r="A120" s="3" t="s">
        <v>77</v>
      </c>
      <c r="B120" s="4" t="s">
        <v>1948</v>
      </c>
      <c r="C120" s="16" t="s">
        <v>1947</v>
      </c>
      <c r="D120" s="16" t="s">
        <v>1946</v>
      </c>
      <c r="E120" s="3" t="s">
        <v>2996</v>
      </c>
      <c r="F120" s="3"/>
      <c r="G120" s="3"/>
      <c r="H120" s="3" t="s">
        <v>2972</v>
      </c>
      <c r="I120" s="3" t="s">
        <v>1868</v>
      </c>
      <c r="J120" s="3">
        <v>1</v>
      </c>
      <c r="K120" s="3">
        <v>0</v>
      </c>
      <c r="L120" s="4">
        <v>34.35</v>
      </c>
      <c r="M120" s="3" t="s">
        <v>1873</v>
      </c>
      <c r="N120" s="3" t="s">
        <v>28</v>
      </c>
      <c r="O120" s="3">
        <v>0</v>
      </c>
      <c r="P120" s="3">
        <v>0</v>
      </c>
      <c r="Q120" s="21">
        <v>9000</v>
      </c>
      <c r="R120" s="3">
        <f t="shared" si="4"/>
        <v>0</v>
      </c>
    </row>
    <row r="121" spans="1:18" x14ac:dyDescent="0.3">
      <c r="A121" s="3" t="s">
        <v>77</v>
      </c>
      <c r="B121" s="4" t="s">
        <v>1951</v>
      </c>
      <c r="C121" s="16" t="s">
        <v>1950</v>
      </c>
      <c r="D121" s="16" t="s">
        <v>1949</v>
      </c>
      <c r="E121" s="3" t="s">
        <v>2996</v>
      </c>
      <c r="F121" s="3"/>
      <c r="G121" s="3"/>
      <c r="H121" s="3" t="s">
        <v>2972</v>
      </c>
      <c r="I121" s="3" t="s">
        <v>1868</v>
      </c>
      <c r="J121" s="3">
        <v>1</v>
      </c>
      <c r="K121" s="3">
        <v>0</v>
      </c>
      <c r="L121" s="4">
        <v>24</v>
      </c>
      <c r="M121" s="3" t="s">
        <v>1873</v>
      </c>
      <c r="N121" s="3" t="s">
        <v>28</v>
      </c>
      <c r="O121" s="3">
        <v>0</v>
      </c>
      <c r="P121" s="3">
        <v>0</v>
      </c>
      <c r="Q121" s="21">
        <v>9000</v>
      </c>
      <c r="R121" s="3">
        <f t="shared" si="4"/>
        <v>0</v>
      </c>
    </row>
    <row r="122" spans="1:18" x14ac:dyDescent="0.3">
      <c r="A122" s="3" t="s">
        <v>172</v>
      </c>
      <c r="B122" s="4" t="s">
        <v>1987</v>
      </c>
      <c r="C122" s="16" t="s">
        <v>1986</v>
      </c>
      <c r="D122" s="16" t="s">
        <v>1985</v>
      </c>
      <c r="E122" s="3" t="s">
        <v>2996</v>
      </c>
      <c r="F122" s="3"/>
      <c r="G122" s="3"/>
      <c r="H122" s="3" t="s">
        <v>2964</v>
      </c>
      <c r="I122" s="3" t="s">
        <v>1868</v>
      </c>
      <c r="J122" s="3">
        <v>1</v>
      </c>
      <c r="K122" s="3">
        <v>0</v>
      </c>
      <c r="L122" s="4">
        <v>42</v>
      </c>
      <c r="M122" s="3" t="s">
        <v>1873</v>
      </c>
      <c r="N122" s="3" t="s">
        <v>28</v>
      </c>
      <c r="O122" s="3">
        <v>0</v>
      </c>
      <c r="P122" s="3">
        <v>0</v>
      </c>
      <c r="Q122" s="21">
        <v>9000</v>
      </c>
      <c r="R122" s="3">
        <f t="shared" si="4"/>
        <v>0</v>
      </c>
    </row>
    <row r="123" spans="1:18" x14ac:dyDescent="0.3">
      <c r="A123" s="3" t="s">
        <v>132</v>
      </c>
      <c r="B123" s="4" t="s">
        <v>1994</v>
      </c>
      <c r="C123" s="16" t="s">
        <v>1993</v>
      </c>
      <c r="D123" s="16" t="s">
        <v>1992</v>
      </c>
      <c r="E123" s="3" t="s">
        <v>2996</v>
      </c>
      <c r="F123" s="3"/>
      <c r="G123" s="3"/>
      <c r="H123" s="3" t="s">
        <v>2971</v>
      </c>
      <c r="I123" s="3" t="s">
        <v>1868</v>
      </c>
      <c r="J123" s="3">
        <v>1</v>
      </c>
      <c r="K123" s="3">
        <v>0</v>
      </c>
      <c r="L123" s="4">
        <v>21.15</v>
      </c>
      <c r="M123" s="3" t="s">
        <v>1873</v>
      </c>
      <c r="N123" s="3" t="s">
        <v>28</v>
      </c>
      <c r="O123" s="3">
        <v>0</v>
      </c>
      <c r="P123" s="3">
        <v>0</v>
      </c>
      <c r="Q123" s="21">
        <v>9000</v>
      </c>
      <c r="R123" s="3">
        <f t="shared" si="4"/>
        <v>0</v>
      </c>
    </row>
    <row r="124" spans="1:18" x14ac:dyDescent="0.3">
      <c r="A124" s="3" t="s">
        <v>132</v>
      </c>
      <c r="B124" s="4" t="s">
        <v>1997</v>
      </c>
      <c r="C124" s="16" t="s">
        <v>1996</v>
      </c>
      <c r="D124" s="16" t="s">
        <v>1995</v>
      </c>
      <c r="E124" s="3" t="s">
        <v>2996</v>
      </c>
      <c r="F124" s="3"/>
      <c r="G124" s="3"/>
      <c r="H124" s="3" t="s">
        <v>2971</v>
      </c>
      <c r="I124" s="3" t="s">
        <v>1868</v>
      </c>
      <c r="J124" s="3">
        <v>1</v>
      </c>
      <c r="K124" s="3">
        <v>0</v>
      </c>
      <c r="L124" s="4">
        <v>23</v>
      </c>
      <c r="M124" s="3" t="s">
        <v>1873</v>
      </c>
      <c r="N124" s="3" t="s">
        <v>28</v>
      </c>
      <c r="O124" s="3">
        <v>0</v>
      </c>
      <c r="P124" s="3">
        <v>0</v>
      </c>
      <c r="Q124" s="21">
        <v>9000</v>
      </c>
      <c r="R124" s="3">
        <f t="shared" si="4"/>
        <v>0</v>
      </c>
    </row>
    <row r="125" spans="1:18" x14ac:dyDescent="0.3">
      <c r="A125" s="3" t="s">
        <v>95</v>
      </c>
      <c r="B125" s="4" t="s">
        <v>2003</v>
      </c>
      <c r="C125" s="16" t="s">
        <v>2002</v>
      </c>
      <c r="D125" s="16" t="s">
        <v>2001</v>
      </c>
      <c r="E125" s="3" t="s">
        <v>2996</v>
      </c>
      <c r="F125" s="3"/>
      <c r="G125" s="3"/>
      <c r="H125" s="3" t="s">
        <v>2969</v>
      </c>
      <c r="I125" s="3" t="s">
        <v>1868</v>
      </c>
      <c r="J125" s="3">
        <v>1</v>
      </c>
      <c r="K125" s="3">
        <v>0</v>
      </c>
      <c r="L125" s="4">
        <v>32.4</v>
      </c>
      <c r="M125" s="3" t="s">
        <v>1873</v>
      </c>
      <c r="N125" s="3" t="s">
        <v>28</v>
      </c>
      <c r="O125" s="3">
        <v>0</v>
      </c>
      <c r="P125" s="3">
        <v>0</v>
      </c>
      <c r="Q125" s="21">
        <v>9000</v>
      </c>
      <c r="R125" s="3">
        <f t="shared" si="4"/>
        <v>0</v>
      </c>
    </row>
    <row r="126" spans="1:18" x14ac:dyDescent="0.3">
      <c r="A126" s="3" t="s">
        <v>113</v>
      </c>
      <c r="B126" s="4" t="s">
        <v>2006</v>
      </c>
      <c r="C126" s="16" t="s">
        <v>2005</v>
      </c>
      <c r="D126" s="16" t="s">
        <v>2004</v>
      </c>
      <c r="E126" s="3" t="s">
        <v>2996</v>
      </c>
      <c r="F126" s="3"/>
      <c r="G126" s="3"/>
      <c r="H126" s="3" t="s">
        <v>2964</v>
      </c>
      <c r="I126" s="3" t="s">
        <v>1868</v>
      </c>
      <c r="J126" s="3">
        <v>1</v>
      </c>
      <c r="K126" s="3">
        <v>0</v>
      </c>
      <c r="L126" s="4">
        <v>16.8</v>
      </c>
      <c r="M126" s="3" t="s">
        <v>1873</v>
      </c>
      <c r="N126" s="3" t="s">
        <v>28</v>
      </c>
      <c r="O126" s="3">
        <v>0</v>
      </c>
      <c r="P126" s="3">
        <v>0</v>
      </c>
      <c r="Q126" s="21">
        <v>9000</v>
      </c>
      <c r="R126" s="3">
        <f t="shared" si="4"/>
        <v>0</v>
      </c>
    </row>
    <row r="127" spans="1:18" x14ac:dyDescent="0.3">
      <c r="A127" s="3" t="s">
        <v>111</v>
      </c>
      <c r="B127" s="4" t="s">
        <v>2012</v>
      </c>
      <c r="C127" s="16" t="s">
        <v>2011</v>
      </c>
      <c r="D127" s="16" t="s">
        <v>2010</v>
      </c>
      <c r="E127" s="3" t="s">
        <v>2996</v>
      </c>
      <c r="F127" s="3"/>
      <c r="G127" s="3"/>
      <c r="H127" s="3" t="s">
        <v>2973</v>
      </c>
      <c r="I127" s="3" t="s">
        <v>1868</v>
      </c>
      <c r="J127" s="3">
        <v>1</v>
      </c>
      <c r="K127" s="3">
        <v>0</v>
      </c>
      <c r="L127" s="4">
        <v>11.9</v>
      </c>
      <c r="M127" s="3" t="s">
        <v>1873</v>
      </c>
      <c r="N127" s="3" t="s">
        <v>28</v>
      </c>
      <c r="O127" s="3">
        <v>0</v>
      </c>
      <c r="P127" s="3">
        <v>0</v>
      </c>
      <c r="Q127" s="21">
        <v>9000</v>
      </c>
      <c r="R127" s="3">
        <f t="shared" si="4"/>
        <v>0</v>
      </c>
    </row>
    <row r="128" spans="1:18" x14ac:dyDescent="0.3">
      <c r="A128" s="3" t="s">
        <v>111</v>
      </c>
      <c r="B128" s="4" t="s">
        <v>2015</v>
      </c>
      <c r="C128" s="16" t="s">
        <v>2014</v>
      </c>
      <c r="D128" s="16" t="s">
        <v>2013</v>
      </c>
      <c r="E128" s="3" t="s">
        <v>2996</v>
      </c>
      <c r="F128" s="3"/>
      <c r="G128" s="3"/>
      <c r="H128" s="3" t="s">
        <v>2973</v>
      </c>
      <c r="I128" s="3" t="s">
        <v>1868</v>
      </c>
      <c r="J128" s="3">
        <v>1</v>
      </c>
      <c r="K128" s="3">
        <v>0</v>
      </c>
      <c r="L128" s="4">
        <v>10.8</v>
      </c>
      <c r="M128" s="3" t="s">
        <v>1873</v>
      </c>
      <c r="N128" s="3" t="s">
        <v>28</v>
      </c>
      <c r="O128" s="3">
        <v>0</v>
      </c>
      <c r="P128" s="3">
        <v>0</v>
      </c>
      <c r="Q128" s="21">
        <v>9000</v>
      </c>
      <c r="R128" s="3">
        <f t="shared" si="4"/>
        <v>0</v>
      </c>
    </row>
    <row r="129" spans="1:18" x14ac:dyDescent="0.3">
      <c r="A129" s="3" t="s">
        <v>107</v>
      </c>
      <c r="B129" s="4" t="s">
        <v>2021</v>
      </c>
      <c r="C129" s="16" t="s">
        <v>2020</v>
      </c>
      <c r="D129" s="16" t="s">
        <v>2019</v>
      </c>
      <c r="E129" s="3" t="s">
        <v>2996</v>
      </c>
      <c r="F129" s="3"/>
      <c r="G129" s="3"/>
      <c r="H129" s="3" t="s">
        <v>2969</v>
      </c>
      <c r="I129" s="3" t="s">
        <v>1868</v>
      </c>
      <c r="J129" s="3">
        <v>1</v>
      </c>
      <c r="K129" s="3">
        <v>0</v>
      </c>
      <c r="L129" s="4">
        <v>57</v>
      </c>
      <c r="M129" s="3" t="s">
        <v>1873</v>
      </c>
      <c r="N129" s="3" t="s">
        <v>28</v>
      </c>
      <c r="O129" s="3">
        <v>0</v>
      </c>
      <c r="P129" s="3">
        <v>0</v>
      </c>
      <c r="Q129" s="21">
        <v>9000</v>
      </c>
      <c r="R129" s="3">
        <f t="shared" si="4"/>
        <v>0</v>
      </c>
    </row>
    <row r="130" spans="1:18" x14ac:dyDescent="0.3">
      <c r="A130" s="3" t="s">
        <v>107</v>
      </c>
      <c r="B130" s="4" t="s">
        <v>2024</v>
      </c>
      <c r="C130" s="16" t="s">
        <v>2023</v>
      </c>
      <c r="D130" s="16" t="s">
        <v>2022</v>
      </c>
      <c r="E130" s="3" t="s">
        <v>2996</v>
      </c>
      <c r="F130" s="3"/>
      <c r="G130" s="3"/>
      <c r="H130" s="3" t="s">
        <v>2969</v>
      </c>
      <c r="I130" s="3" t="s">
        <v>1868</v>
      </c>
      <c r="J130" s="3">
        <v>1</v>
      </c>
      <c r="K130" s="3">
        <v>0</v>
      </c>
      <c r="L130" s="4">
        <v>65.7</v>
      </c>
      <c r="M130" s="3" t="s">
        <v>1873</v>
      </c>
      <c r="N130" s="3" t="s">
        <v>28</v>
      </c>
      <c r="O130" s="3">
        <v>0</v>
      </c>
      <c r="P130" s="3">
        <v>0</v>
      </c>
      <c r="Q130" s="21">
        <v>9000</v>
      </c>
      <c r="R130" s="3">
        <f t="shared" si="4"/>
        <v>0</v>
      </c>
    </row>
    <row r="131" spans="1:18" x14ac:dyDescent="0.3">
      <c r="A131" s="3" t="s">
        <v>107</v>
      </c>
      <c r="B131" s="4" t="s">
        <v>2027</v>
      </c>
      <c r="C131" s="16" t="s">
        <v>2026</v>
      </c>
      <c r="D131" s="16" t="s">
        <v>2025</v>
      </c>
      <c r="E131" s="3" t="s">
        <v>2996</v>
      </c>
      <c r="F131" s="3"/>
      <c r="G131" s="3"/>
      <c r="H131" s="3" t="s">
        <v>2969</v>
      </c>
      <c r="I131" s="3" t="s">
        <v>1868</v>
      </c>
      <c r="J131" s="3">
        <v>1</v>
      </c>
      <c r="K131" s="3">
        <v>0</v>
      </c>
      <c r="L131" s="4">
        <v>23.2</v>
      </c>
      <c r="M131" s="3" t="s">
        <v>1873</v>
      </c>
      <c r="N131" s="3" t="s">
        <v>28</v>
      </c>
      <c r="O131" s="3">
        <v>0</v>
      </c>
      <c r="P131" s="3">
        <v>0</v>
      </c>
      <c r="Q131" s="21">
        <v>9000</v>
      </c>
      <c r="R131" s="3">
        <f t="shared" si="4"/>
        <v>0</v>
      </c>
    </row>
    <row r="132" spans="1:18" x14ac:dyDescent="0.3">
      <c r="A132" s="3" t="s">
        <v>107</v>
      </c>
      <c r="B132" s="4" t="s">
        <v>2030</v>
      </c>
      <c r="C132" s="16" t="s">
        <v>2029</v>
      </c>
      <c r="D132" s="16" t="s">
        <v>2028</v>
      </c>
      <c r="E132" s="3" t="s">
        <v>2996</v>
      </c>
      <c r="F132" s="3"/>
      <c r="G132" s="3"/>
      <c r="H132" s="3" t="s">
        <v>2969</v>
      </c>
      <c r="I132" s="3" t="s">
        <v>1868</v>
      </c>
      <c r="J132" s="3">
        <v>1</v>
      </c>
      <c r="K132" s="3">
        <v>0</v>
      </c>
      <c r="L132" s="4">
        <v>20</v>
      </c>
      <c r="M132" s="3" t="s">
        <v>1873</v>
      </c>
      <c r="N132" s="3" t="s">
        <v>28</v>
      </c>
      <c r="O132" s="3">
        <v>0</v>
      </c>
      <c r="P132" s="3">
        <v>0</v>
      </c>
      <c r="Q132" s="21">
        <v>9000</v>
      </c>
      <c r="R132" s="3">
        <f t="shared" si="4"/>
        <v>0</v>
      </c>
    </row>
    <row r="133" spans="1:18" x14ac:dyDescent="0.3">
      <c r="A133" s="3" t="s">
        <v>109</v>
      </c>
      <c r="B133" s="4" t="s">
        <v>2033</v>
      </c>
      <c r="C133" s="16" t="s">
        <v>2032</v>
      </c>
      <c r="D133" s="16" t="s">
        <v>2031</v>
      </c>
      <c r="E133" s="3" t="s">
        <v>2996</v>
      </c>
      <c r="F133" s="3"/>
      <c r="G133" s="3"/>
      <c r="H133" s="3" t="s">
        <v>2964</v>
      </c>
      <c r="I133" s="3" t="s">
        <v>1868</v>
      </c>
      <c r="J133" s="3">
        <v>1</v>
      </c>
      <c r="K133" s="3">
        <v>0</v>
      </c>
      <c r="L133" s="4">
        <v>56.4</v>
      </c>
      <c r="M133" s="3" t="s">
        <v>1873</v>
      </c>
      <c r="N133" s="3" t="s">
        <v>28</v>
      </c>
      <c r="O133" s="3">
        <v>0</v>
      </c>
      <c r="P133" s="3">
        <v>0</v>
      </c>
      <c r="Q133" s="21">
        <v>9000</v>
      </c>
      <c r="R133" s="3">
        <f t="shared" si="4"/>
        <v>0</v>
      </c>
    </row>
    <row r="134" spans="1:18" x14ac:dyDescent="0.3">
      <c r="A134" s="3" t="s">
        <v>146</v>
      </c>
      <c r="B134" s="4" t="s">
        <v>2036</v>
      </c>
      <c r="C134" s="16" t="s">
        <v>2035</v>
      </c>
      <c r="D134" s="16" t="s">
        <v>2034</v>
      </c>
      <c r="E134" s="3" t="s">
        <v>2996</v>
      </c>
      <c r="F134" s="3"/>
      <c r="G134" s="3"/>
      <c r="H134" s="3" t="s">
        <v>2967</v>
      </c>
      <c r="I134" s="3" t="s">
        <v>1868</v>
      </c>
      <c r="J134" s="3">
        <v>1</v>
      </c>
      <c r="K134" s="3">
        <v>0</v>
      </c>
      <c r="L134" s="4">
        <v>20</v>
      </c>
      <c r="M134" s="3" t="s">
        <v>1873</v>
      </c>
      <c r="N134" s="3" t="s">
        <v>28</v>
      </c>
      <c r="O134" s="3">
        <v>0</v>
      </c>
      <c r="P134" s="3">
        <v>0</v>
      </c>
      <c r="Q134" s="21">
        <v>9000</v>
      </c>
      <c r="R134" s="3">
        <f t="shared" si="4"/>
        <v>0</v>
      </c>
    </row>
    <row r="135" spans="1:18" x14ac:dyDescent="0.3">
      <c r="A135" s="3" t="s">
        <v>146</v>
      </c>
      <c r="B135" s="4" t="s">
        <v>2039</v>
      </c>
      <c r="C135" s="16" t="s">
        <v>2038</v>
      </c>
      <c r="D135" s="16" t="s">
        <v>2037</v>
      </c>
      <c r="E135" s="3" t="s">
        <v>2996</v>
      </c>
      <c r="F135" s="3"/>
      <c r="G135" s="3"/>
      <c r="H135" s="3" t="s">
        <v>2967</v>
      </c>
      <c r="I135" s="3" t="s">
        <v>1868</v>
      </c>
      <c r="J135" s="3">
        <v>1</v>
      </c>
      <c r="K135" s="3">
        <v>0</v>
      </c>
      <c r="L135" s="4">
        <v>12</v>
      </c>
      <c r="M135" s="3" t="s">
        <v>1873</v>
      </c>
      <c r="N135" s="3" t="s">
        <v>28</v>
      </c>
      <c r="O135" s="3">
        <v>0</v>
      </c>
      <c r="P135" s="3">
        <v>0</v>
      </c>
      <c r="Q135" s="21">
        <v>9000</v>
      </c>
      <c r="R135" s="3">
        <f t="shared" si="4"/>
        <v>0</v>
      </c>
    </row>
    <row r="136" spans="1:18" x14ac:dyDescent="0.3">
      <c r="A136" s="3" t="s">
        <v>146</v>
      </c>
      <c r="B136" s="4" t="s">
        <v>2042</v>
      </c>
      <c r="C136" s="16" t="s">
        <v>2041</v>
      </c>
      <c r="D136" s="16" t="s">
        <v>2040</v>
      </c>
      <c r="E136" s="3" t="s">
        <v>2996</v>
      </c>
      <c r="F136" s="3"/>
      <c r="G136" s="3"/>
      <c r="H136" s="3" t="s">
        <v>2967</v>
      </c>
      <c r="I136" s="3" t="s">
        <v>1868</v>
      </c>
      <c r="J136" s="3">
        <v>1</v>
      </c>
      <c r="K136" s="3">
        <v>0</v>
      </c>
      <c r="L136" s="4">
        <v>13.4</v>
      </c>
      <c r="M136" s="3" t="s">
        <v>1873</v>
      </c>
      <c r="N136" s="3" t="s">
        <v>28</v>
      </c>
      <c r="O136" s="3">
        <v>0</v>
      </c>
      <c r="P136" s="3">
        <v>0</v>
      </c>
      <c r="Q136" s="21">
        <v>9000</v>
      </c>
      <c r="R136" s="3">
        <f t="shared" si="4"/>
        <v>0</v>
      </c>
    </row>
    <row r="137" spans="1:18" x14ac:dyDescent="0.3">
      <c r="A137" s="3" t="s">
        <v>146</v>
      </c>
      <c r="B137" s="4" t="s">
        <v>2045</v>
      </c>
      <c r="C137" s="16" t="s">
        <v>2044</v>
      </c>
      <c r="D137" s="16" t="s">
        <v>2043</v>
      </c>
      <c r="E137" s="3" t="s">
        <v>2996</v>
      </c>
      <c r="F137" s="3"/>
      <c r="G137" s="3"/>
      <c r="H137" s="3" t="s">
        <v>2967</v>
      </c>
      <c r="I137" s="3" t="s">
        <v>1868</v>
      </c>
      <c r="J137" s="3">
        <v>1</v>
      </c>
      <c r="K137" s="3">
        <v>0</v>
      </c>
      <c r="L137" s="4">
        <v>24</v>
      </c>
      <c r="M137" s="3" t="s">
        <v>1873</v>
      </c>
      <c r="N137" s="3" t="s">
        <v>28</v>
      </c>
      <c r="O137" s="3">
        <v>0</v>
      </c>
      <c r="P137" s="3">
        <v>0</v>
      </c>
      <c r="Q137" s="21">
        <v>9000</v>
      </c>
      <c r="R137" s="3">
        <f t="shared" si="4"/>
        <v>0</v>
      </c>
    </row>
    <row r="138" spans="1:18" x14ac:dyDescent="0.3">
      <c r="A138" s="3" t="s">
        <v>146</v>
      </c>
      <c r="B138" s="4" t="s">
        <v>2048</v>
      </c>
      <c r="C138" s="16" t="s">
        <v>2047</v>
      </c>
      <c r="D138" s="16" t="s">
        <v>2046</v>
      </c>
      <c r="E138" s="3" t="s">
        <v>2996</v>
      </c>
      <c r="F138" s="3"/>
      <c r="G138" s="3"/>
      <c r="H138" s="3" t="s">
        <v>2967</v>
      </c>
      <c r="I138" s="3" t="s">
        <v>1868</v>
      </c>
      <c r="J138" s="3">
        <v>1</v>
      </c>
      <c r="K138" s="3">
        <v>0</v>
      </c>
      <c r="L138" s="4">
        <v>8.5500000000000007</v>
      </c>
      <c r="M138" s="3" t="s">
        <v>1873</v>
      </c>
      <c r="N138" s="3" t="s">
        <v>28</v>
      </c>
      <c r="O138" s="3">
        <v>0</v>
      </c>
      <c r="P138" s="3">
        <v>0</v>
      </c>
      <c r="Q138" s="21">
        <v>9000</v>
      </c>
      <c r="R138" s="3">
        <f t="shared" si="4"/>
        <v>0</v>
      </c>
    </row>
    <row r="139" spans="1:18" x14ac:dyDescent="0.3">
      <c r="A139" s="3" t="s">
        <v>146</v>
      </c>
      <c r="B139" s="4" t="s">
        <v>2051</v>
      </c>
      <c r="C139" s="16" t="s">
        <v>2050</v>
      </c>
      <c r="D139" s="16" t="s">
        <v>2049</v>
      </c>
      <c r="E139" s="3" t="s">
        <v>2996</v>
      </c>
      <c r="F139" s="3"/>
      <c r="G139" s="3"/>
      <c r="H139" s="3" t="s">
        <v>2967</v>
      </c>
      <c r="I139" s="3" t="s">
        <v>1868</v>
      </c>
      <c r="J139" s="3">
        <v>1</v>
      </c>
      <c r="K139" s="3">
        <v>0</v>
      </c>
      <c r="L139" s="4">
        <v>36.979999999999997</v>
      </c>
      <c r="M139" s="3" t="s">
        <v>1873</v>
      </c>
      <c r="N139" s="3" t="s">
        <v>28</v>
      </c>
      <c r="O139" s="3">
        <v>0</v>
      </c>
      <c r="P139" s="3">
        <v>0</v>
      </c>
      <c r="Q139" s="21">
        <v>9000</v>
      </c>
      <c r="R139" s="3">
        <f t="shared" si="4"/>
        <v>0</v>
      </c>
    </row>
    <row r="140" spans="1:18" x14ac:dyDescent="0.3">
      <c r="A140" s="3" t="s">
        <v>154</v>
      </c>
      <c r="B140" s="4" t="s">
        <v>2054</v>
      </c>
      <c r="C140" s="16" t="s">
        <v>2053</v>
      </c>
      <c r="D140" s="16" t="s">
        <v>2052</v>
      </c>
      <c r="E140" s="3" t="s">
        <v>2996</v>
      </c>
      <c r="F140" s="3"/>
      <c r="G140" s="3"/>
      <c r="H140" s="3" t="s">
        <v>2974</v>
      </c>
      <c r="I140" s="3" t="s">
        <v>1868</v>
      </c>
      <c r="J140" s="3">
        <v>1</v>
      </c>
      <c r="K140" s="3">
        <v>0</v>
      </c>
      <c r="L140" s="4">
        <v>47.5</v>
      </c>
      <c r="M140" s="3" t="s">
        <v>1873</v>
      </c>
      <c r="N140" s="3" t="s">
        <v>28</v>
      </c>
      <c r="O140" s="3">
        <v>0</v>
      </c>
      <c r="P140" s="3">
        <v>0</v>
      </c>
      <c r="Q140" s="21">
        <v>9000</v>
      </c>
      <c r="R140" s="3">
        <f t="shared" si="4"/>
        <v>0</v>
      </c>
    </row>
    <row r="141" spans="1:18" x14ac:dyDescent="0.3">
      <c r="A141" s="3" t="s">
        <v>259</v>
      </c>
      <c r="B141" s="4" t="s">
        <v>2060</v>
      </c>
      <c r="C141" s="16" t="s">
        <v>2059</v>
      </c>
      <c r="D141" s="16" t="s">
        <v>2058</v>
      </c>
      <c r="E141" s="3" t="s">
        <v>2996</v>
      </c>
      <c r="F141" s="3"/>
      <c r="G141" s="3"/>
      <c r="H141" s="3" t="s">
        <v>2964</v>
      </c>
      <c r="I141" s="3" t="s">
        <v>1868</v>
      </c>
      <c r="J141" s="3">
        <v>1</v>
      </c>
      <c r="K141" s="3">
        <v>0</v>
      </c>
      <c r="L141" s="4">
        <v>20</v>
      </c>
      <c r="M141" s="3" t="s">
        <v>1873</v>
      </c>
      <c r="N141" s="3" t="s">
        <v>28</v>
      </c>
      <c r="O141" s="3">
        <v>0</v>
      </c>
      <c r="P141" s="3">
        <v>0</v>
      </c>
      <c r="Q141" s="21">
        <v>9000</v>
      </c>
      <c r="R141" s="3">
        <f t="shared" si="4"/>
        <v>0</v>
      </c>
    </row>
    <row r="142" spans="1:18" x14ac:dyDescent="0.3">
      <c r="A142" s="3" t="s">
        <v>187</v>
      </c>
      <c r="B142" s="4" t="s">
        <v>2063</v>
      </c>
      <c r="C142" s="16" t="s">
        <v>2062</v>
      </c>
      <c r="D142" s="16" t="s">
        <v>2061</v>
      </c>
      <c r="E142" s="3" t="s">
        <v>2996</v>
      </c>
      <c r="F142" s="3"/>
      <c r="G142" s="3"/>
      <c r="H142" s="3" t="s">
        <v>2971</v>
      </c>
      <c r="I142" s="3" t="s">
        <v>1868</v>
      </c>
      <c r="J142" s="3">
        <v>1</v>
      </c>
      <c r="K142" s="3">
        <v>0</v>
      </c>
      <c r="L142" s="4">
        <v>13.8</v>
      </c>
      <c r="M142" s="3" t="s">
        <v>1873</v>
      </c>
      <c r="N142" s="3" t="s">
        <v>28</v>
      </c>
      <c r="O142" s="3">
        <v>0</v>
      </c>
      <c r="P142" s="3">
        <v>0</v>
      </c>
      <c r="Q142" s="21">
        <v>9000</v>
      </c>
      <c r="R142" s="3">
        <f t="shared" si="4"/>
        <v>0</v>
      </c>
    </row>
    <row r="143" spans="1:18" x14ac:dyDescent="0.3">
      <c r="A143" s="3" t="s">
        <v>211</v>
      </c>
      <c r="B143" s="4" t="s">
        <v>2069</v>
      </c>
      <c r="C143" s="16" t="s">
        <v>2068</v>
      </c>
      <c r="D143" s="16" t="s">
        <v>2067</v>
      </c>
      <c r="E143" s="3" t="s">
        <v>2996</v>
      </c>
      <c r="F143" s="3"/>
      <c r="G143" s="3"/>
      <c r="H143" s="3" t="s">
        <v>2969</v>
      </c>
      <c r="I143" s="3" t="s">
        <v>1868</v>
      </c>
      <c r="J143" s="3">
        <v>1</v>
      </c>
      <c r="K143" s="3">
        <v>0</v>
      </c>
      <c r="L143" s="4">
        <v>54.3</v>
      </c>
      <c r="M143" s="3" t="s">
        <v>1873</v>
      </c>
      <c r="N143" s="3" t="s">
        <v>28</v>
      </c>
      <c r="O143" s="3">
        <v>0</v>
      </c>
      <c r="P143" s="3">
        <v>0</v>
      </c>
      <c r="Q143" s="21">
        <v>9000</v>
      </c>
      <c r="R143" s="3">
        <f t="shared" si="4"/>
        <v>0</v>
      </c>
    </row>
    <row r="144" spans="1:18" x14ac:dyDescent="0.3">
      <c r="A144" s="3" t="s">
        <v>199</v>
      </c>
      <c r="B144" s="4" t="s">
        <v>2072</v>
      </c>
      <c r="C144" s="16" t="s">
        <v>2071</v>
      </c>
      <c r="D144" s="16" t="s">
        <v>2070</v>
      </c>
      <c r="E144" s="3" t="s">
        <v>2996</v>
      </c>
      <c r="F144" s="3"/>
      <c r="G144" s="3"/>
      <c r="H144" s="3" t="s">
        <v>2975</v>
      </c>
      <c r="I144" s="3" t="s">
        <v>1868</v>
      </c>
      <c r="J144" s="3">
        <v>1</v>
      </c>
      <c r="K144" s="3">
        <v>0</v>
      </c>
      <c r="L144" s="4">
        <v>18.7</v>
      </c>
      <c r="M144" s="3" t="s">
        <v>1873</v>
      </c>
      <c r="N144" s="3" t="s">
        <v>28</v>
      </c>
      <c r="O144" s="3">
        <v>0</v>
      </c>
      <c r="P144" s="3">
        <v>0</v>
      </c>
      <c r="Q144" s="21">
        <v>9000</v>
      </c>
      <c r="R144" s="3">
        <f t="shared" si="4"/>
        <v>0</v>
      </c>
    </row>
    <row r="145" spans="1:18" x14ac:dyDescent="0.3">
      <c r="A145" s="3" t="s">
        <v>223</v>
      </c>
      <c r="B145" s="4" t="s">
        <v>2075</v>
      </c>
      <c r="C145" s="16" t="s">
        <v>2074</v>
      </c>
      <c r="D145" s="16" t="s">
        <v>2073</v>
      </c>
      <c r="E145" s="3" t="s">
        <v>2996</v>
      </c>
      <c r="F145" s="3"/>
      <c r="G145" s="3"/>
      <c r="H145" s="3" t="s">
        <v>2976</v>
      </c>
      <c r="I145" s="3" t="s">
        <v>1868</v>
      </c>
      <c r="J145" s="3">
        <v>1</v>
      </c>
      <c r="K145" s="3">
        <v>0</v>
      </c>
      <c r="L145" s="4">
        <v>17.5</v>
      </c>
      <c r="M145" s="3" t="s">
        <v>1873</v>
      </c>
      <c r="N145" s="3" t="s">
        <v>28</v>
      </c>
      <c r="O145" s="3">
        <v>0</v>
      </c>
      <c r="P145" s="3">
        <v>0</v>
      </c>
      <c r="Q145" s="21">
        <v>9000</v>
      </c>
      <c r="R145" s="3">
        <f t="shared" si="4"/>
        <v>0</v>
      </c>
    </row>
    <row r="146" spans="1:18" x14ac:dyDescent="0.3">
      <c r="A146" s="3" t="s">
        <v>302</v>
      </c>
      <c r="B146" s="4" t="s">
        <v>2084</v>
      </c>
      <c r="C146" s="16" t="s">
        <v>2083</v>
      </c>
      <c r="D146" s="16" t="s">
        <v>2082</v>
      </c>
      <c r="E146" s="3" t="s">
        <v>2996</v>
      </c>
      <c r="F146" s="3"/>
      <c r="G146" s="3"/>
      <c r="H146" s="3" t="s">
        <v>2977</v>
      </c>
      <c r="I146" s="3" t="s">
        <v>1868</v>
      </c>
      <c r="J146" s="3">
        <v>1</v>
      </c>
      <c r="K146" s="3">
        <v>0</v>
      </c>
      <c r="L146" s="4">
        <v>52</v>
      </c>
      <c r="M146" s="3" t="s">
        <v>1873</v>
      </c>
      <c r="N146" s="3" t="s">
        <v>28</v>
      </c>
      <c r="O146" s="3">
        <v>0</v>
      </c>
      <c r="P146" s="3">
        <v>0</v>
      </c>
      <c r="Q146" s="21">
        <v>9000</v>
      </c>
      <c r="R146" s="3">
        <f t="shared" si="4"/>
        <v>0</v>
      </c>
    </row>
    <row r="147" spans="1:18" x14ac:dyDescent="0.3">
      <c r="A147" s="3" t="s">
        <v>302</v>
      </c>
      <c r="B147" s="4" t="s">
        <v>2087</v>
      </c>
      <c r="C147" s="16" t="s">
        <v>2086</v>
      </c>
      <c r="D147" s="16" t="s">
        <v>2085</v>
      </c>
      <c r="E147" s="3" t="s">
        <v>2996</v>
      </c>
      <c r="F147" s="3"/>
      <c r="G147" s="3"/>
      <c r="H147" s="3" t="s">
        <v>2977</v>
      </c>
      <c r="I147" s="3" t="s">
        <v>1868</v>
      </c>
      <c r="J147" s="3">
        <v>1</v>
      </c>
      <c r="K147" s="3">
        <v>0</v>
      </c>
      <c r="L147" s="4">
        <v>14.132</v>
      </c>
      <c r="M147" s="3" t="s">
        <v>1873</v>
      </c>
      <c r="N147" s="3" t="s">
        <v>28</v>
      </c>
      <c r="O147" s="3">
        <v>0</v>
      </c>
      <c r="P147" s="3">
        <v>0</v>
      </c>
      <c r="Q147" s="21">
        <v>9000</v>
      </c>
      <c r="R147" s="3">
        <f t="shared" si="4"/>
        <v>0</v>
      </c>
    </row>
    <row r="148" spans="1:18" x14ac:dyDescent="0.3">
      <c r="A148" s="3" t="s">
        <v>302</v>
      </c>
      <c r="B148" s="4" t="s">
        <v>2090</v>
      </c>
      <c r="C148" s="16" t="s">
        <v>2089</v>
      </c>
      <c r="D148" s="16" t="s">
        <v>2088</v>
      </c>
      <c r="E148" s="3" t="s">
        <v>2996</v>
      </c>
      <c r="F148" s="3"/>
      <c r="G148" s="3"/>
      <c r="H148" s="3" t="s">
        <v>2977</v>
      </c>
      <c r="I148" s="3" t="s">
        <v>1868</v>
      </c>
      <c r="J148" s="3">
        <v>1</v>
      </c>
      <c r="K148" s="3">
        <v>0</v>
      </c>
      <c r="L148" s="4">
        <v>38</v>
      </c>
      <c r="M148" s="3" t="s">
        <v>1873</v>
      </c>
      <c r="N148" s="3" t="s">
        <v>28</v>
      </c>
      <c r="O148" s="3">
        <v>0</v>
      </c>
      <c r="P148" s="3">
        <v>0</v>
      </c>
      <c r="Q148" s="21">
        <v>9000</v>
      </c>
      <c r="R148" s="3">
        <f t="shared" si="4"/>
        <v>0</v>
      </c>
    </row>
    <row r="149" spans="1:18" x14ac:dyDescent="0.3">
      <c r="A149" s="3" t="s">
        <v>302</v>
      </c>
      <c r="B149" s="4" t="s">
        <v>2093</v>
      </c>
      <c r="C149" s="16" t="s">
        <v>2092</v>
      </c>
      <c r="D149" s="16" t="s">
        <v>2091</v>
      </c>
      <c r="E149" s="3" t="s">
        <v>2996</v>
      </c>
      <c r="F149" s="3"/>
      <c r="G149" s="3"/>
      <c r="H149" s="3" t="s">
        <v>2977</v>
      </c>
      <c r="I149" s="3" t="s">
        <v>1868</v>
      </c>
      <c r="J149" s="3">
        <v>1</v>
      </c>
      <c r="K149" s="3">
        <v>0</v>
      </c>
      <c r="L149" s="4">
        <v>32.5</v>
      </c>
      <c r="M149" s="3" t="s">
        <v>1873</v>
      </c>
      <c r="N149" s="3" t="s">
        <v>28</v>
      </c>
      <c r="O149" s="3">
        <v>0</v>
      </c>
      <c r="P149" s="3">
        <v>0</v>
      </c>
      <c r="Q149" s="21">
        <v>9000</v>
      </c>
      <c r="R149" s="3">
        <f t="shared" si="4"/>
        <v>0</v>
      </c>
    </row>
    <row r="150" spans="1:18" x14ac:dyDescent="0.3">
      <c r="A150" s="3" t="s">
        <v>302</v>
      </c>
      <c r="B150" s="4" t="s">
        <v>2096</v>
      </c>
      <c r="C150" s="16" t="s">
        <v>2095</v>
      </c>
      <c r="D150" s="16" t="s">
        <v>2094</v>
      </c>
      <c r="E150" s="3" t="s">
        <v>2996</v>
      </c>
      <c r="F150" s="3"/>
      <c r="G150" s="3"/>
      <c r="H150" s="3" t="s">
        <v>2977</v>
      </c>
      <c r="I150" s="3" t="s">
        <v>1868</v>
      </c>
      <c r="J150" s="3">
        <v>1</v>
      </c>
      <c r="K150" s="3">
        <v>0</v>
      </c>
      <c r="L150" s="4">
        <v>33</v>
      </c>
      <c r="M150" s="3" t="s">
        <v>1873</v>
      </c>
      <c r="N150" s="3" t="s">
        <v>28</v>
      </c>
      <c r="O150" s="3">
        <v>0</v>
      </c>
      <c r="P150" s="3">
        <v>0</v>
      </c>
      <c r="Q150" s="21">
        <v>9000</v>
      </c>
      <c r="R150" s="3">
        <f t="shared" si="4"/>
        <v>0</v>
      </c>
    </row>
    <row r="151" spans="1:18" x14ac:dyDescent="0.3">
      <c r="A151" s="3" t="s">
        <v>229</v>
      </c>
      <c r="B151" s="4" t="s">
        <v>2099</v>
      </c>
      <c r="C151" s="16" t="s">
        <v>2098</v>
      </c>
      <c r="D151" s="16" t="s">
        <v>2097</v>
      </c>
      <c r="E151" s="3" t="s">
        <v>2996</v>
      </c>
      <c r="F151" s="3"/>
      <c r="G151" s="3"/>
      <c r="H151" s="3" t="s">
        <v>2978</v>
      </c>
      <c r="I151" s="3" t="s">
        <v>1868</v>
      </c>
      <c r="J151" s="3">
        <v>1</v>
      </c>
      <c r="K151" s="3">
        <v>0</v>
      </c>
      <c r="L151" s="4">
        <v>18.3</v>
      </c>
      <c r="M151" s="3" t="s">
        <v>1873</v>
      </c>
      <c r="N151" s="3" t="s">
        <v>28</v>
      </c>
      <c r="O151" s="3">
        <v>0</v>
      </c>
      <c r="P151" s="3">
        <v>0</v>
      </c>
      <c r="Q151" s="21">
        <v>9000</v>
      </c>
      <c r="R151" s="3">
        <f t="shared" si="4"/>
        <v>0</v>
      </c>
    </row>
    <row r="152" spans="1:18" x14ac:dyDescent="0.3">
      <c r="A152" s="3" t="s">
        <v>229</v>
      </c>
      <c r="B152" s="4" t="s">
        <v>2102</v>
      </c>
      <c r="C152" s="16" t="s">
        <v>2101</v>
      </c>
      <c r="D152" s="16" t="s">
        <v>2100</v>
      </c>
      <c r="E152" s="3" t="s">
        <v>2996</v>
      </c>
      <c r="F152" s="3"/>
      <c r="G152" s="3"/>
      <c r="H152" s="3" t="s">
        <v>2978</v>
      </c>
      <c r="I152" s="3" t="s">
        <v>1868</v>
      </c>
      <c r="J152" s="3">
        <v>1</v>
      </c>
      <c r="K152" s="3">
        <v>0</v>
      </c>
      <c r="L152" s="4">
        <v>33.1</v>
      </c>
      <c r="M152" s="3" t="s">
        <v>1873</v>
      </c>
      <c r="N152" s="3" t="s">
        <v>28</v>
      </c>
      <c r="O152" s="3">
        <v>0</v>
      </c>
      <c r="P152" s="3">
        <v>0</v>
      </c>
      <c r="Q152" s="21">
        <v>9000</v>
      </c>
      <c r="R152" s="3">
        <f t="shared" ref="R152:R215" si="5">O152</f>
        <v>0</v>
      </c>
    </row>
    <row r="153" spans="1:18" x14ac:dyDescent="0.3">
      <c r="A153" s="3" t="s">
        <v>252</v>
      </c>
      <c r="B153" s="4" t="s">
        <v>2105</v>
      </c>
      <c r="C153" s="16" t="s">
        <v>2104</v>
      </c>
      <c r="D153" s="16" t="s">
        <v>2103</v>
      </c>
      <c r="E153" s="3" t="s">
        <v>2996</v>
      </c>
      <c r="F153" s="3"/>
      <c r="G153" s="3"/>
      <c r="H153" s="3" t="s">
        <v>2969</v>
      </c>
      <c r="I153" s="3" t="s">
        <v>1868</v>
      </c>
      <c r="J153" s="3">
        <v>1</v>
      </c>
      <c r="K153" s="3">
        <v>0</v>
      </c>
      <c r="L153" s="4">
        <v>37.85</v>
      </c>
      <c r="M153" s="3" t="s">
        <v>1873</v>
      </c>
      <c r="N153" s="3" t="s">
        <v>28</v>
      </c>
      <c r="O153" s="3">
        <v>0</v>
      </c>
      <c r="P153" s="3">
        <v>0</v>
      </c>
      <c r="Q153" s="21">
        <v>9000</v>
      </c>
      <c r="R153" s="3">
        <f t="shared" si="5"/>
        <v>0</v>
      </c>
    </row>
    <row r="154" spans="1:18" x14ac:dyDescent="0.3">
      <c r="A154" s="3" t="s">
        <v>252</v>
      </c>
      <c r="B154" s="4" t="s">
        <v>2108</v>
      </c>
      <c r="C154" s="16" t="s">
        <v>2107</v>
      </c>
      <c r="D154" s="16" t="s">
        <v>2106</v>
      </c>
      <c r="E154" s="3" t="s">
        <v>2996</v>
      </c>
      <c r="F154" s="3"/>
      <c r="G154" s="3"/>
      <c r="H154" s="3" t="s">
        <v>2969</v>
      </c>
      <c r="I154" s="3" t="s">
        <v>1868</v>
      </c>
      <c r="J154" s="3">
        <v>1</v>
      </c>
      <c r="K154" s="3">
        <v>0</v>
      </c>
      <c r="L154" s="4">
        <v>14</v>
      </c>
      <c r="M154" s="3" t="s">
        <v>1873</v>
      </c>
      <c r="N154" s="3" t="s">
        <v>28</v>
      </c>
      <c r="O154" s="3">
        <v>0</v>
      </c>
      <c r="P154" s="3">
        <v>0</v>
      </c>
      <c r="Q154" s="21">
        <v>9000</v>
      </c>
      <c r="R154" s="3">
        <f t="shared" si="5"/>
        <v>0</v>
      </c>
    </row>
    <row r="155" spans="1:18" x14ac:dyDescent="0.3">
      <c r="A155" s="3" t="s">
        <v>197</v>
      </c>
      <c r="B155" s="4" t="s">
        <v>2117</v>
      </c>
      <c r="C155" s="16" t="s">
        <v>2116</v>
      </c>
      <c r="D155" s="16" t="s">
        <v>2115</v>
      </c>
      <c r="E155" s="3" t="s">
        <v>2996</v>
      </c>
      <c r="F155" s="3"/>
      <c r="G155" s="3"/>
      <c r="H155" s="3" t="s">
        <v>2979</v>
      </c>
      <c r="I155" s="3" t="s">
        <v>1868</v>
      </c>
      <c r="J155" s="3">
        <v>1</v>
      </c>
      <c r="K155" s="3">
        <v>0</v>
      </c>
      <c r="L155" s="4">
        <v>46</v>
      </c>
      <c r="M155" s="3" t="s">
        <v>1873</v>
      </c>
      <c r="N155" s="3" t="s">
        <v>28</v>
      </c>
      <c r="O155" s="3">
        <v>0</v>
      </c>
      <c r="P155" s="3">
        <v>0</v>
      </c>
      <c r="Q155" s="21">
        <v>9000</v>
      </c>
      <c r="R155" s="3">
        <f t="shared" si="5"/>
        <v>0</v>
      </c>
    </row>
    <row r="156" spans="1:18" x14ac:dyDescent="0.3">
      <c r="A156" s="3" t="s">
        <v>197</v>
      </c>
      <c r="B156" s="4" t="s">
        <v>2120</v>
      </c>
      <c r="C156" s="16" t="s">
        <v>2119</v>
      </c>
      <c r="D156" s="16" t="s">
        <v>2118</v>
      </c>
      <c r="E156" s="3" t="s">
        <v>2996</v>
      </c>
      <c r="F156" s="3"/>
      <c r="G156" s="3"/>
      <c r="H156" s="3" t="s">
        <v>2979</v>
      </c>
      <c r="I156" s="3" t="s">
        <v>1868</v>
      </c>
      <c r="J156" s="3">
        <v>1</v>
      </c>
      <c r="K156" s="3">
        <v>0</v>
      </c>
      <c r="L156" s="4">
        <v>20</v>
      </c>
      <c r="M156" s="3" t="s">
        <v>1873</v>
      </c>
      <c r="N156" s="3" t="s">
        <v>28</v>
      </c>
      <c r="O156" s="3">
        <v>0</v>
      </c>
      <c r="P156" s="3">
        <v>0</v>
      </c>
      <c r="Q156" s="21">
        <v>9000</v>
      </c>
      <c r="R156" s="3">
        <f t="shared" si="5"/>
        <v>0</v>
      </c>
    </row>
    <row r="157" spans="1:18" x14ac:dyDescent="0.3">
      <c r="A157" s="3" t="s">
        <v>197</v>
      </c>
      <c r="B157" s="4" t="s">
        <v>2123</v>
      </c>
      <c r="C157" s="16" t="s">
        <v>2122</v>
      </c>
      <c r="D157" s="16" t="s">
        <v>2121</v>
      </c>
      <c r="E157" s="3" t="s">
        <v>2996</v>
      </c>
      <c r="F157" s="3"/>
      <c r="G157" s="3"/>
      <c r="H157" s="3" t="s">
        <v>2979</v>
      </c>
      <c r="I157" s="3" t="s">
        <v>1868</v>
      </c>
      <c r="J157" s="3">
        <v>1</v>
      </c>
      <c r="K157" s="3">
        <v>0</v>
      </c>
      <c r="L157" s="4">
        <v>12</v>
      </c>
      <c r="M157" s="3" t="s">
        <v>1873</v>
      </c>
      <c r="N157" s="3" t="s">
        <v>28</v>
      </c>
      <c r="O157" s="3">
        <v>0</v>
      </c>
      <c r="P157" s="3">
        <v>0</v>
      </c>
      <c r="Q157" s="21">
        <v>9000</v>
      </c>
      <c r="R157" s="3">
        <f t="shared" si="5"/>
        <v>0</v>
      </c>
    </row>
    <row r="158" spans="1:18" x14ac:dyDescent="0.3">
      <c r="A158" s="3" t="s">
        <v>197</v>
      </c>
      <c r="B158" s="4" t="s">
        <v>2126</v>
      </c>
      <c r="C158" s="16" t="s">
        <v>2125</v>
      </c>
      <c r="D158" s="16" t="s">
        <v>2124</v>
      </c>
      <c r="E158" s="3" t="s">
        <v>2996</v>
      </c>
      <c r="F158" s="3"/>
      <c r="G158" s="3"/>
      <c r="H158" s="3" t="s">
        <v>2979</v>
      </c>
      <c r="I158" s="3" t="s">
        <v>1868</v>
      </c>
      <c r="J158" s="3">
        <v>1</v>
      </c>
      <c r="K158" s="3">
        <v>0</v>
      </c>
      <c r="L158" s="4">
        <v>11.5</v>
      </c>
      <c r="M158" s="3" t="s">
        <v>1873</v>
      </c>
      <c r="N158" s="3" t="s">
        <v>28</v>
      </c>
      <c r="O158" s="3">
        <v>0</v>
      </c>
      <c r="P158" s="3">
        <v>0</v>
      </c>
      <c r="Q158" s="21">
        <v>9000</v>
      </c>
      <c r="R158" s="3">
        <f t="shared" si="5"/>
        <v>0</v>
      </c>
    </row>
    <row r="159" spans="1:18" x14ac:dyDescent="0.3">
      <c r="A159" s="3" t="s">
        <v>256</v>
      </c>
      <c r="B159" s="4" t="s">
        <v>2129</v>
      </c>
      <c r="C159" s="16" t="s">
        <v>2128</v>
      </c>
      <c r="D159" s="16" t="s">
        <v>2127</v>
      </c>
      <c r="E159" s="3" t="s">
        <v>2996</v>
      </c>
      <c r="F159" s="3"/>
      <c r="G159" s="3"/>
      <c r="H159" s="3" t="s">
        <v>2964</v>
      </c>
      <c r="I159" s="3" t="s">
        <v>1868</v>
      </c>
      <c r="J159" s="3">
        <v>1</v>
      </c>
      <c r="K159" s="3">
        <v>0</v>
      </c>
      <c r="L159" s="4">
        <v>90</v>
      </c>
      <c r="M159" s="3" t="s">
        <v>1873</v>
      </c>
      <c r="N159" s="3" t="s">
        <v>28</v>
      </c>
      <c r="O159" s="3">
        <v>0</v>
      </c>
      <c r="P159" s="3">
        <v>0</v>
      </c>
      <c r="Q159" s="21">
        <v>9000</v>
      </c>
      <c r="R159" s="3">
        <f t="shared" si="5"/>
        <v>0</v>
      </c>
    </row>
    <row r="160" spans="1:18" x14ac:dyDescent="0.3">
      <c r="A160" s="3" t="s">
        <v>278</v>
      </c>
      <c r="B160" s="4" t="s">
        <v>2132</v>
      </c>
      <c r="C160" s="16" t="s">
        <v>2131</v>
      </c>
      <c r="D160" s="16" t="s">
        <v>2130</v>
      </c>
      <c r="E160" s="3" t="s">
        <v>2996</v>
      </c>
      <c r="F160" s="3"/>
      <c r="G160" s="3"/>
      <c r="H160" s="3" t="s">
        <v>2980</v>
      </c>
      <c r="I160" s="3" t="s">
        <v>1868</v>
      </c>
      <c r="J160" s="3">
        <v>1</v>
      </c>
      <c r="K160" s="3">
        <v>0</v>
      </c>
      <c r="L160" s="4">
        <v>15</v>
      </c>
      <c r="M160" s="3" t="s">
        <v>1873</v>
      </c>
      <c r="N160" s="3" t="s">
        <v>28</v>
      </c>
      <c r="O160" s="3">
        <v>0</v>
      </c>
      <c r="P160" s="3">
        <v>0</v>
      </c>
      <c r="Q160" s="21">
        <v>9000</v>
      </c>
      <c r="R160" s="3">
        <f t="shared" si="5"/>
        <v>0</v>
      </c>
    </row>
    <row r="161" spans="1:18" x14ac:dyDescent="0.3">
      <c r="A161" s="3" t="s">
        <v>278</v>
      </c>
      <c r="B161" s="4" t="s">
        <v>2135</v>
      </c>
      <c r="C161" s="16" t="s">
        <v>2134</v>
      </c>
      <c r="D161" s="16" t="s">
        <v>2133</v>
      </c>
      <c r="E161" s="3" t="s">
        <v>2996</v>
      </c>
      <c r="F161" s="3"/>
      <c r="G161" s="3"/>
      <c r="H161" s="3" t="s">
        <v>2980</v>
      </c>
      <c r="I161" s="3" t="s">
        <v>1868</v>
      </c>
      <c r="J161" s="3">
        <v>1</v>
      </c>
      <c r="K161" s="3">
        <v>0</v>
      </c>
      <c r="L161" s="4">
        <v>25</v>
      </c>
      <c r="M161" s="3" t="s">
        <v>1873</v>
      </c>
      <c r="N161" s="3" t="s">
        <v>28</v>
      </c>
      <c r="O161" s="3">
        <v>0</v>
      </c>
      <c r="P161" s="3">
        <v>0</v>
      </c>
      <c r="Q161" s="21">
        <v>9000</v>
      </c>
      <c r="R161" s="3">
        <f t="shared" si="5"/>
        <v>0</v>
      </c>
    </row>
    <row r="162" spans="1:18" x14ac:dyDescent="0.3">
      <c r="A162" s="3" t="s">
        <v>278</v>
      </c>
      <c r="B162" s="4" t="s">
        <v>2138</v>
      </c>
      <c r="C162" s="16" t="s">
        <v>2137</v>
      </c>
      <c r="D162" s="16" t="s">
        <v>2136</v>
      </c>
      <c r="E162" s="3" t="s">
        <v>2996</v>
      </c>
      <c r="F162" s="3"/>
      <c r="G162" s="3"/>
      <c r="H162" s="3" t="s">
        <v>2980</v>
      </c>
      <c r="I162" s="3" t="s">
        <v>1868</v>
      </c>
      <c r="J162" s="3">
        <v>1</v>
      </c>
      <c r="K162" s="3">
        <v>0</v>
      </c>
      <c r="L162" s="4">
        <v>21</v>
      </c>
      <c r="M162" s="3" t="s">
        <v>1873</v>
      </c>
      <c r="N162" s="3" t="s">
        <v>28</v>
      </c>
      <c r="O162" s="3">
        <v>0</v>
      </c>
      <c r="P162" s="3">
        <v>0</v>
      </c>
      <c r="Q162" s="21">
        <v>9000</v>
      </c>
      <c r="R162" s="3">
        <f t="shared" si="5"/>
        <v>0</v>
      </c>
    </row>
    <row r="163" spans="1:18" x14ac:dyDescent="0.3">
      <c r="A163" s="3" t="s">
        <v>278</v>
      </c>
      <c r="B163" s="4" t="s">
        <v>2141</v>
      </c>
      <c r="C163" s="16" t="s">
        <v>2140</v>
      </c>
      <c r="D163" s="16" t="s">
        <v>2139</v>
      </c>
      <c r="E163" s="3" t="s">
        <v>2996</v>
      </c>
      <c r="F163" s="3"/>
      <c r="G163" s="3"/>
      <c r="H163" s="3" t="s">
        <v>2980</v>
      </c>
      <c r="I163" s="3" t="s">
        <v>1868</v>
      </c>
      <c r="J163" s="3">
        <v>1</v>
      </c>
      <c r="K163" s="3">
        <v>0</v>
      </c>
      <c r="L163" s="4">
        <v>42</v>
      </c>
      <c r="M163" s="3" t="s">
        <v>1873</v>
      </c>
      <c r="N163" s="3" t="s">
        <v>28</v>
      </c>
      <c r="O163" s="3">
        <v>0</v>
      </c>
      <c r="P163" s="3">
        <v>0</v>
      </c>
      <c r="Q163" s="21">
        <v>9000</v>
      </c>
      <c r="R163" s="3">
        <f t="shared" si="5"/>
        <v>0</v>
      </c>
    </row>
    <row r="164" spans="1:18" x14ac:dyDescent="0.3">
      <c r="A164" s="3" t="s">
        <v>278</v>
      </c>
      <c r="B164" s="4" t="s">
        <v>2149</v>
      </c>
      <c r="C164" s="16" t="s">
        <v>2148</v>
      </c>
      <c r="D164" s="16" t="s">
        <v>2147</v>
      </c>
      <c r="E164" s="3" t="s">
        <v>2996</v>
      </c>
      <c r="F164" s="3"/>
      <c r="G164" s="3"/>
      <c r="H164" s="3" t="s">
        <v>2980</v>
      </c>
      <c r="I164" s="3" t="s">
        <v>1868</v>
      </c>
      <c r="J164" s="3">
        <v>1</v>
      </c>
      <c r="K164" s="3">
        <v>0</v>
      </c>
      <c r="L164" s="4">
        <v>12</v>
      </c>
      <c r="M164" s="3" t="s">
        <v>1873</v>
      </c>
      <c r="N164" s="3" t="s">
        <v>28</v>
      </c>
      <c r="O164" s="3">
        <v>0</v>
      </c>
      <c r="P164" s="3">
        <v>0</v>
      </c>
      <c r="Q164" s="21">
        <v>9000</v>
      </c>
      <c r="R164" s="3">
        <f t="shared" si="5"/>
        <v>0</v>
      </c>
    </row>
    <row r="165" spans="1:18" x14ac:dyDescent="0.3">
      <c r="A165" s="3" t="s">
        <v>226</v>
      </c>
      <c r="B165" s="4" t="s">
        <v>2160</v>
      </c>
      <c r="C165" s="16" t="s">
        <v>2159</v>
      </c>
      <c r="D165" s="16" t="s">
        <v>2158</v>
      </c>
      <c r="E165" s="3" t="s">
        <v>2996</v>
      </c>
      <c r="F165" s="3"/>
      <c r="G165" s="3"/>
      <c r="H165" s="3" t="s">
        <v>2969</v>
      </c>
      <c r="I165" s="3" t="s">
        <v>1868</v>
      </c>
      <c r="J165" s="3">
        <v>1</v>
      </c>
      <c r="K165" s="3">
        <v>0</v>
      </c>
      <c r="L165" s="4">
        <v>42.5</v>
      </c>
      <c r="M165" s="3" t="s">
        <v>1873</v>
      </c>
      <c r="N165" s="3" t="s">
        <v>28</v>
      </c>
      <c r="O165" s="3">
        <v>0</v>
      </c>
      <c r="P165" s="3">
        <v>0</v>
      </c>
      <c r="Q165" s="21">
        <v>9000</v>
      </c>
      <c r="R165" s="3">
        <f t="shared" si="5"/>
        <v>0</v>
      </c>
    </row>
    <row r="166" spans="1:18" x14ac:dyDescent="0.3">
      <c r="A166" s="3" t="s">
        <v>226</v>
      </c>
      <c r="B166" s="4" t="s">
        <v>2163</v>
      </c>
      <c r="C166" s="16" t="s">
        <v>2162</v>
      </c>
      <c r="D166" s="16" t="s">
        <v>2161</v>
      </c>
      <c r="E166" s="3" t="s">
        <v>2996</v>
      </c>
      <c r="F166" s="3"/>
      <c r="G166" s="3"/>
      <c r="H166" s="3" t="s">
        <v>2969</v>
      </c>
      <c r="I166" s="3" t="s">
        <v>1868</v>
      </c>
      <c r="J166" s="3">
        <v>1</v>
      </c>
      <c r="K166" s="3">
        <v>0</v>
      </c>
      <c r="L166" s="4">
        <v>8.5</v>
      </c>
      <c r="M166" s="3" t="s">
        <v>1873</v>
      </c>
      <c r="N166" s="3" t="s">
        <v>28</v>
      </c>
      <c r="O166" s="3">
        <v>0</v>
      </c>
      <c r="P166" s="3">
        <v>0</v>
      </c>
      <c r="Q166" s="21">
        <v>9000</v>
      </c>
      <c r="R166" s="3">
        <f t="shared" si="5"/>
        <v>0</v>
      </c>
    </row>
    <row r="167" spans="1:18" x14ac:dyDescent="0.3">
      <c r="A167" s="3" t="s">
        <v>226</v>
      </c>
      <c r="B167" s="4" t="s">
        <v>2166</v>
      </c>
      <c r="C167" s="16" t="s">
        <v>2165</v>
      </c>
      <c r="D167" s="16" t="s">
        <v>2164</v>
      </c>
      <c r="E167" s="3" t="s">
        <v>2996</v>
      </c>
      <c r="F167" s="3"/>
      <c r="G167" s="3"/>
      <c r="H167" s="3" t="s">
        <v>2969</v>
      </c>
      <c r="I167" s="3" t="s">
        <v>1868</v>
      </c>
      <c r="J167" s="3">
        <v>1</v>
      </c>
      <c r="K167" s="3">
        <v>0</v>
      </c>
      <c r="L167" s="4">
        <v>30</v>
      </c>
      <c r="M167" s="3" t="s">
        <v>1873</v>
      </c>
      <c r="N167" s="3" t="s">
        <v>28</v>
      </c>
      <c r="O167" s="3">
        <v>0</v>
      </c>
      <c r="P167" s="3">
        <v>0</v>
      </c>
      <c r="Q167" s="21">
        <v>9000</v>
      </c>
      <c r="R167" s="3">
        <f t="shared" si="5"/>
        <v>0</v>
      </c>
    </row>
    <row r="168" spans="1:18" x14ac:dyDescent="0.3">
      <c r="A168" s="3" t="s">
        <v>301</v>
      </c>
      <c r="B168" s="4" t="s">
        <v>2169</v>
      </c>
      <c r="C168" s="16" t="s">
        <v>2168</v>
      </c>
      <c r="D168" s="16" t="s">
        <v>2167</v>
      </c>
      <c r="E168" s="3" t="s">
        <v>2996</v>
      </c>
      <c r="F168" s="3"/>
      <c r="G168" s="3"/>
      <c r="H168" s="3" t="s">
        <v>2969</v>
      </c>
      <c r="I168" s="3" t="s">
        <v>1868</v>
      </c>
      <c r="J168" s="3">
        <v>1</v>
      </c>
      <c r="K168" s="3">
        <v>0</v>
      </c>
      <c r="L168" s="4">
        <v>42.64</v>
      </c>
      <c r="M168" s="3" t="s">
        <v>1873</v>
      </c>
      <c r="N168" s="3" t="s">
        <v>28</v>
      </c>
      <c r="O168" s="3">
        <v>0</v>
      </c>
      <c r="P168" s="3">
        <v>0</v>
      </c>
      <c r="Q168" s="21">
        <v>9000</v>
      </c>
      <c r="R168" s="3">
        <f t="shared" si="5"/>
        <v>0</v>
      </c>
    </row>
    <row r="169" spans="1:18" x14ac:dyDescent="0.3">
      <c r="A169" s="3" t="s">
        <v>301</v>
      </c>
      <c r="B169" s="4" t="s">
        <v>2172</v>
      </c>
      <c r="C169" s="16" t="s">
        <v>2171</v>
      </c>
      <c r="D169" s="16" t="s">
        <v>2170</v>
      </c>
      <c r="E169" s="3" t="s">
        <v>2996</v>
      </c>
      <c r="F169" s="3"/>
      <c r="G169" s="3"/>
      <c r="H169" s="3" t="s">
        <v>2969</v>
      </c>
      <c r="I169" s="3" t="s">
        <v>1868</v>
      </c>
      <c r="J169" s="3">
        <v>1</v>
      </c>
      <c r="K169" s="3">
        <v>0</v>
      </c>
      <c r="L169" s="4">
        <v>114.2</v>
      </c>
      <c r="M169" s="3" t="s">
        <v>1873</v>
      </c>
      <c r="N169" s="3" t="s">
        <v>28</v>
      </c>
      <c r="O169" s="3">
        <v>0</v>
      </c>
      <c r="P169" s="3">
        <v>0</v>
      </c>
      <c r="Q169" s="21">
        <v>9000</v>
      </c>
      <c r="R169" s="3">
        <f t="shared" si="5"/>
        <v>0</v>
      </c>
    </row>
    <row r="170" spans="1:18" x14ac:dyDescent="0.3">
      <c r="A170" s="3" t="s">
        <v>209</v>
      </c>
      <c r="B170" s="4" t="s">
        <v>2175</v>
      </c>
      <c r="C170" s="16" t="s">
        <v>2174</v>
      </c>
      <c r="D170" s="16" t="s">
        <v>2173</v>
      </c>
      <c r="E170" s="3" t="s">
        <v>2996</v>
      </c>
      <c r="F170" s="3"/>
      <c r="G170" s="3"/>
      <c r="H170" s="3" t="s">
        <v>2969</v>
      </c>
      <c r="I170" s="3" t="s">
        <v>1868</v>
      </c>
      <c r="J170" s="3">
        <v>1</v>
      </c>
      <c r="K170" s="3">
        <v>0</v>
      </c>
      <c r="L170" s="4">
        <v>36</v>
      </c>
      <c r="M170" s="3" t="s">
        <v>1873</v>
      </c>
      <c r="N170" s="3" t="s">
        <v>28</v>
      </c>
      <c r="O170" s="3">
        <v>0</v>
      </c>
      <c r="P170" s="3">
        <v>0</v>
      </c>
      <c r="Q170" s="21">
        <v>9000</v>
      </c>
      <c r="R170" s="3">
        <f t="shared" si="5"/>
        <v>0</v>
      </c>
    </row>
    <row r="171" spans="1:18" x14ac:dyDescent="0.3">
      <c r="A171" s="3" t="s">
        <v>209</v>
      </c>
      <c r="B171" s="4" t="s">
        <v>2178</v>
      </c>
      <c r="C171" s="16" t="s">
        <v>2177</v>
      </c>
      <c r="D171" s="16" t="s">
        <v>2176</v>
      </c>
      <c r="E171" s="3" t="s">
        <v>2996</v>
      </c>
      <c r="F171" s="3"/>
      <c r="G171" s="3"/>
      <c r="H171" s="3" t="s">
        <v>2969</v>
      </c>
      <c r="I171" s="3" t="s">
        <v>1868</v>
      </c>
      <c r="J171" s="3">
        <v>1</v>
      </c>
      <c r="K171" s="3">
        <v>0</v>
      </c>
      <c r="L171" s="4">
        <v>54</v>
      </c>
      <c r="M171" s="3" t="s">
        <v>1873</v>
      </c>
      <c r="N171" s="3" t="s">
        <v>28</v>
      </c>
      <c r="O171" s="3">
        <v>0</v>
      </c>
      <c r="P171" s="3">
        <v>0</v>
      </c>
      <c r="Q171" s="21">
        <v>9000</v>
      </c>
      <c r="R171" s="3">
        <f t="shared" si="5"/>
        <v>0</v>
      </c>
    </row>
    <row r="172" spans="1:18" x14ac:dyDescent="0.3">
      <c r="A172" s="3" t="s">
        <v>209</v>
      </c>
      <c r="B172" s="4" t="s">
        <v>2181</v>
      </c>
      <c r="C172" s="16" t="s">
        <v>2180</v>
      </c>
      <c r="D172" s="16" t="s">
        <v>2179</v>
      </c>
      <c r="E172" s="3" t="s">
        <v>2996</v>
      </c>
      <c r="F172" s="3"/>
      <c r="G172" s="3"/>
      <c r="H172" s="3" t="s">
        <v>2969</v>
      </c>
      <c r="I172" s="3" t="s">
        <v>1868</v>
      </c>
      <c r="J172" s="3">
        <v>1</v>
      </c>
      <c r="K172" s="3">
        <v>0</v>
      </c>
      <c r="L172" s="4">
        <v>17.5</v>
      </c>
      <c r="M172" s="3" t="s">
        <v>1873</v>
      </c>
      <c r="N172" s="3" t="s">
        <v>28</v>
      </c>
      <c r="O172" s="3">
        <v>0</v>
      </c>
      <c r="P172" s="3">
        <v>0</v>
      </c>
      <c r="Q172" s="21">
        <v>9000</v>
      </c>
      <c r="R172" s="3">
        <f t="shared" si="5"/>
        <v>0</v>
      </c>
    </row>
    <row r="173" spans="1:18" x14ac:dyDescent="0.3">
      <c r="A173" s="3" t="s">
        <v>209</v>
      </c>
      <c r="B173" s="4" t="s">
        <v>2184</v>
      </c>
      <c r="C173" s="16" t="s">
        <v>2183</v>
      </c>
      <c r="D173" s="16" t="s">
        <v>2182</v>
      </c>
      <c r="E173" s="3" t="s">
        <v>2996</v>
      </c>
      <c r="F173" s="3"/>
      <c r="G173" s="3"/>
      <c r="H173" s="3" t="s">
        <v>2969</v>
      </c>
      <c r="I173" s="3" t="s">
        <v>1868</v>
      </c>
      <c r="J173" s="3">
        <v>1</v>
      </c>
      <c r="K173" s="3">
        <v>0</v>
      </c>
      <c r="L173" s="4">
        <v>34.5</v>
      </c>
      <c r="M173" s="3" t="s">
        <v>1873</v>
      </c>
      <c r="N173" s="3" t="s">
        <v>28</v>
      </c>
      <c r="O173" s="3">
        <v>0</v>
      </c>
      <c r="P173" s="3">
        <v>0</v>
      </c>
      <c r="Q173" s="21">
        <v>9000</v>
      </c>
      <c r="R173" s="3">
        <f t="shared" si="5"/>
        <v>0</v>
      </c>
    </row>
    <row r="174" spans="1:18" x14ac:dyDescent="0.3">
      <c r="A174" s="3" t="s">
        <v>209</v>
      </c>
      <c r="B174" s="4" t="s">
        <v>2187</v>
      </c>
      <c r="C174" s="16" t="s">
        <v>2186</v>
      </c>
      <c r="D174" s="16" t="s">
        <v>2185</v>
      </c>
      <c r="E174" s="3" t="s">
        <v>2996</v>
      </c>
      <c r="F174" s="3"/>
      <c r="G174" s="3"/>
      <c r="H174" s="3" t="s">
        <v>2969</v>
      </c>
      <c r="I174" s="3" t="s">
        <v>1868</v>
      </c>
      <c r="J174" s="3">
        <v>1</v>
      </c>
      <c r="K174" s="3">
        <v>0</v>
      </c>
      <c r="L174" s="4">
        <v>4.8</v>
      </c>
      <c r="M174" s="3" t="s">
        <v>1873</v>
      </c>
      <c r="N174" s="3" t="s">
        <v>28</v>
      </c>
      <c r="O174" s="3">
        <v>0</v>
      </c>
      <c r="P174" s="3">
        <v>0</v>
      </c>
      <c r="Q174" s="21">
        <v>9000</v>
      </c>
      <c r="R174" s="3">
        <f t="shared" si="5"/>
        <v>0</v>
      </c>
    </row>
    <row r="175" spans="1:18" x14ac:dyDescent="0.3">
      <c r="A175" s="3" t="s">
        <v>217</v>
      </c>
      <c r="B175" s="4" t="s">
        <v>2190</v>
      </c>
      <c r="C175" s="16" t="s">
        <v>2189</v>
      </c>
      <c r="D175" s="16" t="s">
        <v>2188</v>
      </c>
      <c r="E175" s="3" t="s">
        <v>2996</v>
      </c>
      <c r="F175" s="3"/>
      <c r="G175" s="3"/>
      <c r="H175" s="3" t="s">
        <v>2981</v>
      </c>
      <c r="I175" s="3" t="s">
        <v>1868</v>
      </c>
      <c r="J175" s="3">
        <v>1</v>
      </c>
      <c r="K175" s="3">
        <v>0</v>
      </c>
      <c r="L175" s="4">
        <v>10.3</v>
      </c>
      <c r="M175" s="3" t="s">
        <v>1873</v>
      </c>
      <c r="N175" s="3" t="s">
        <v>28</v>
      </c>
      <c r="O175" s="3">
        <v>0</v>
      </c>
      <c r="P175" s="3">
        <v>0</v>
      </c>
      <c r="Q175" s="21">
        <v>9000</v>
      </c>
      <c r="R175" s="3">
        <f t="shared" si="5"/>
        <v>0</v>
      </c>
    </row>
    <row r="176" spans="1:18" x14ac:dyDescent="0.3">
      <c r="A176" s="3" t="s">
        <v>217</v>
      </c>
      <c r="B176" s="4" t="s">
        <v>2193</v>
      </c>
      <c r="C176" s="16" t="s">
        <v>2192</v>
      </c>
      <c r="D176" s="16" t="s">
        <v>2191</v>
      </c>
      <c r="E176" s="3" t="s">
        <v>2996</v>
      </c>
      <c r="F176" s="3"/>
      <c r="G176" s="3"/>
      <c r="H176" s="3" t="s">
        <v>2981</v>
      </c>
      <c r="I176" s="3" t="s">
        <v>1868</v>
      </c>
      <c r="J176" s="3">
        <v>1</v>
      </c>
      <c r="K176" s="3">
        <v>0</v>
      </c>
      <c r="L176" s="4">
        <v>13.58</v>
      </c>
      <c r="M176" s="3" t="s">
        <v>1873</v>
      </c>
      <c r="N176" s="3" t="s">
        <v>28</v>
      </c>
      <c r="O176" s="3">
        <v>0</v>
      </c>
      <c r="P176" s="3">
        <v>0</v>
      </c>
      <c r="Q176" s="21">
        <v>9000</v>
      </c>
      <c r="R176" s="3">
        <f t="shared" si="5"/>
        <v>0</v>
      </c>
    </row>
    <row r="177" spans="1:18" x14ac:dyDescent="0.3">
      <c r="A177" s="3" t="s">
        <v>310</v>
      </c>
      <c r="B177" s="4" t="s">
        <v>2201</v>
      </c>
      <c r="C177" s="16" t="s">
        <v>2200</v>
      </c>
      <c r="D177" s="16" t="s">
        <v>2199</v>
      </c>
      <c r="E177" s="3" t="s">
        <v>2996</v>
      </c>
      <c r="F177" s="3"/>
      <c r="G177" s="3"/>
      <c r="H177" s="3" t="s">
        <v>2982</v>
      </c>
      <c r="I177" s="3" t="s">
        <v>1868</v>
      </c>
      <c r="J177" s="3">
        <v>1</v>
      </c>
      <c r="K177" s="3">
        <v>0</v>
      </c>
      <c r="L177" s="4">
        <v>11.05</v>
      </c>
      <c r="M177" s="3" t="s">
        <v>1873</v>
      </c>
      <c r="N177" s="3" t="s">
        <v>28</v>
      </c>
      <c r="O177" s="3">
        <v>0</v>
      </c>
      <c r="P177" s="3">
        <v>0</v>
      </c>
      <c r="Q177" s="21">
        <v>9000</v>
      </c>
      <c r="R177" s="3">
        <f t="shared" si="5"/>
        <v>0</v>
      </c>
    </row>
    <row r="178" spans="1:18" x14ac:dyDescent="0.3">
      <c r="A178" s="3" t="s">
        <v>310</v>
      </c>
      <c r="B178" s="4" t="s">
        <v>2204</v>
      </c>
      <c r="C178" s="16" t="s">
        <v>2203</v>
      </c>
      <c r="D178" s="16" t="s">
        <v>2202</v>
      </c>
      <c r="E178" s="3" t="s">
        <v>2996</v>
      </c>
      <c r="F178" s="3"/>
      <c r="G178" s="3"/>
      <c r="H178" s="3" t="s">
        <v>2982</v>
      </c>
      <c r="I178" s="3" t="s">
        <v>1868</v>
      </c>
      <c r="J178" s="3">
        <v>1</v>
      </c>
      <c r="K178" s="3">
        <v>0</v>
      </c>
      <c r="L178" s="4">
        <v>25</v>
      </c>
      <c r="M178" s="3" t="s">
        <v>1873</v>
      </c>
      <c r="N178" s="3" t="s">
        <v>28</v>
      </c>
      <c r="O178" s="3">
        <v>0</v>
      </c>
      <c r="P178" s="3">
        <v>0</v>
      </c>
      <c r="Q178" s="21">
        <v>9000</v>
      </c>
      <c r="R178" s="3">
        <f t="shared" si="5"/>
        <v>0</v>
      </c>
    </row>
    <row r="179" spans="1:18" x14ac:dyDescent="0.3">
      <c r="A179" s="3" t="s">
        <v>335</v>
      </c>
      <c r="B179" s="4" t="s">
        <v>2219</v>
      </c>
      <c r="C179" s="16" t="s">
        <v>2218</v>
      </c>
      <c r="D179" s="16" t="s">
        <v>2217</v>
      </c>
      <c r="E179" s="3" t="s">
        <v>2996</v>
      </c>
      <c r="F179" s="3"/>
      <c r="G179" s="3"/>
      <c r="H179" s="3" t="s">
        <v>2975</v>
      </c>
      <c r="I179" s="3" t="s">
        <v>1868</v>
      </c>
      <c r="J179" s="3">
        <v>1</v>
      </c>
      <c r="K179" s="3">
        <v>0</v>
      </c>
      <c r="L179" s="4">
        <v>40.799999999999997</v>
      </c>
      <c r="M179" s="3" t="s">
        <v>1873</v>
      </c>
      <c r="N179" s="3" t="s">
        <v>28</v>
      </c>
      <c r="O179" s="3">
        <v>0</v>
      </c>
      <c r="P179" s="3">
        <v>0</v>
      </c>
      <c r="Q179" s="21">
        <v>9000</v>
      </c>
      <c r="R179" s="3">
        <f t="shared" si="5"/>
        <v>0</v>
      </c>
    </row>
    <row r="180" spans="1:18" x14ac:dyDescent="0.3">
      <c r="A180" s="3" t="s">
        <v>367</v>
      </c>
      <c r="B180" s="4" t="s">
        <v>2225</v>
      </c>
      <c r="C180" s="16" t="s">
        <v>2224</v>
      </c>
      <c r="D180" s="16" t="s">
        <v>2223</v>
      </c>
      <c r="E180" s="3" t="s">
        <v>2996</v>
      </c>
      <c r="F180" s="3"/>
      <c r="G180" s="3"/>
      <c r="H180" s="3" t="s">
        <v>2967</v>
      </c>
      <c r="I180" s="3" t="s">
        <v>1868</v>
      </c>
      <c r="J180" s="3">
        <v>1</v>
      </c>
      <c r="K180" s="3">
        <v>0</v>
      </c>
      <c r="L180" s="4">
        <v>59.5</v>
      </c>
      <c r="M180" s="3" t="s">
        <v>1873</v>
      </c>
      <c r="N180" s="3" t="s">
        <v>28</v>
      </c>
      <c r="O180" s="3">
        <v>0</v>
      </c>
      <c r="P180" s="3">
        <v>0</v>
      </c>
      <c r="Q180" s="21">
        <v>9000</v>
      </c>
      <c r="R180" s="3">
        <f t="shared" si="5"/>
        <v>0</v>
      </c>
    </row>
    <row r="181" spans="1:18" x14ac:dyDescent="0.3">
      <c r="A181" s="3" t="s">
        <v>327</v>
      </c>
      <c r="B181" s="4" t="s">
        <v>2234</v>
      </c>
      <c r="C181" s="16" t="s">
        <v>2233</v>
      </c>
      <c r="D181" s="16" t="s">
        <v>2232</v>
      </c>
      <c r="E181" s="3" t="s">
        <v>2996</v>
      </c>
      <c r="F181" s="3"/>
      <c r="G181" s="3"/>
      <c r="H181" s="3" t="s">
        <v>2964</v>
      </c>
      <c r="I181" s="3" t="s">
        <v>1868</v>
      </c>
      <c r="J181" s="3">
        <v>1</v>
      </c>
      <c r="K181" s="3">
        <v>0</v>
      </c>
      <c r="L181" s="4">
        <v>34</v>
      </c>
      <c r="M181" s="3" t="s">
        <v>1873</v>
      </c>
      <c r="N181" s="3" t="s">
        <v>28</v>
      </c>
      <c r="O181" s="3">
        <v>0</v>
      </c>
      <c r="P181" s="3">
        <v>0</v>
      </c>
      <c r="Q181" s="21">
        <v>9000</v>
      </c>
      <c r="R181" s="3">
        <f t="shared" si="5"/>
        <v>0</v>
      </c>
    </row>
    <row r="182" spans="1:18" x14ac:dyDescent="0.3">
      <c r="A182" s="3" t="s">
        <v>345</v>
      </c>
      <c r="B182" s="4" t="s">
        <v>2244</v>
      </c>
      <c r="C182" s="16" t="s">
        <v>2243</v>
      </c>
      <c r="D182" s="16" t="s">
        <v>2242</v>
      </c>
      <c r="E182" s="3" t="s">
        <v>2996</v>
      </c>
      <c r="F182" s="3"/>
      <c r="G182" s="3"/>
      <c r="H182" s="3" t="s">
        <v>2969</v>
      </c>
      <c r="I182" s="3" t="s">
        <v>1868</v>
      </c>
      <c r="J182" s="3">
        <v>1</v>
      </c>
      <c r="K182" s="3">
        <v>0</v>
      </c>
      <c r="L182" s="4">
        <v>28.5</v>
      </c>
      <c r="M182" s="3" t="s">
        <v>1873</v>
      </c>
      <c r="N182" s="3" t="s">
        <v>28</v>
      </c>
      <c r="O182" s="3">
        <v>0</v>
      </c>
      <c r="P182" s="3">
        <v>0</v>
      </c>
      <c r="Q182" s="21">
        <v>9000</v>
      </c>
      <c r="R182" s="3">
        <f t="shared" si="5"/>
        <v>0</v>
      </c>
    </row>
    <row r="183" spans="1:18" x14ac:dyDescent="0.3">
      <c r="A183" s="3" t="s">
        <v>348</v>
      </c>
      <c r="B183" s="4" t="s">
        <v>2247</v>
      </c>
      <c r="C183" s="16" t="s">
        <v>2246</v>
      </c>
      <c r="D183" s="16" t="s">
        <v>2245</v>
      </c>
      <c r="E183" s="3" t="s">
        <v>2996</v>
      </c>
      <c r="F183" s="3"/>
      <c r="G183" s="3"/>
      <c r="H183" s="3" t="s">
        <v>2983</v>
      </c>
      <c r="I183" s="3" t="s">
        <v>1868</v>
      </c>
      <c r="J183" s="3">
        <v>1</v>
      </c>
      <c r="K183" s="3">
        <v>0</v>
      </c>
      <c r="L183" s="4">
        <v>38.4</v>
      </c>
      <c r="M183" s="3" t="s">
        <v>1873</v>
      </c>
      <c r="N183" s="3" t="s">
        <v>28</v>
      </c>
      <c r="O183" s="3">
        <v>0</v>
      </c>
      <c r="P183" s="3">
        <v>0</v>
      </c>
      <c r="Q183" s="21">
        <v>9000</v>
      </c>
      <c r="R183" s="3">
        <f t="shared" si="5"/>
        <v>0</v>
      </c>
    </row>
    <row r="184" spans="1:18" x14ac:dyDescent="0.3">
      <c r="A184" s="3" t="s">
        <v>348</v>
      </c>
      <c r="B184" s="4" t="s">
        <v>2250</v>
      </c>
      <c r="C184" s="16" t="s">
        <v>2249</v>
      </c>
      <c r="D184" s="16" t="s">
        <v>2248</v>
      </c>
      <c r="E184" s="3" t="s">
        <v>2996</v>
      </c>
      <c r="F184" s="3"/>
      <c r="G184" s="3"/>
      <c r="H184" s="3" t="s">
        <v>2983</v>
      </c>
      <c r="I184" s="3" t="s">
        <v>1868</v>
      </c>
      <c r="J184" s="3">
        <v>1</v>
      </c>
      <c r="K184" s="3">
        <v>0</v>
      </c>
      <c r="L184" s="4">
        <v>25</v>
      </c>
      <c r="M184" s="3" t="s">
        <v>1873</v>
      </c>
      <c r="N184" s="3" t="s">
        <v>28</v>
      </c>
      <c r="O184" s="3">
        <v>0</v>
      </c>
      <c r="P184" s="3">
        <v>0</v>
      </c>
      <c r="Q184" s="21">
        <v>9000</v>
      </c>
      <c r="R184" s="3">
        <f t="shared" si="5"/>
        <v>0</v>
      </c>
    </row>
    <row r="185" spans="1:18" x14ac:dyDescent="0.3">
      <c r="A185" s="3" t="s">
        <v>322</v>
      </c>
      <c r="B185" s="4" t="s">
        <v>2256</v>
      </c>
      <c r="C185" s="16" t="s">
        <v>2255</v>
      </c>
      <c r="D185" s="16" t="s">
        <v>2254</v>
      </c>
      <c r="E185" s="3" t="s">
        <v>2996</v>
      </c>
      <c r="F185" s="3"/>
      <c r="G185" s="3"/>
      <c r="H185" s="3" t="s">
        <v>2964</v>
      </c>
      <c r="I185" s="3" t="s">
        <v>1868</v>
      </c>
      <c r="J185" s="3">
        <v>1</v>
      </c>
      <c r="K185" s="3">
        <v>0</v>
      </c>
      <c r="L185" s="4">
        <v>16.100000000000001</v>
      </c>
      <c r="M185" s="3" t="s">
        <v>1873</v>
      </c>
      <c r="N185" s="3" t="s">
        <v>28</v>
      </c>
      <c r="O185" s="3">
        <v>0</v>
      </c>
      <c r="P185" s="3">
        <v>0</v>
      </c>
      <c r="Q185" s="21">
        <v>9000</v>
      </c>
      <c r="R185" s="3">
        <f t="shared" si="5"/>
        <v>0</v>
      </c>
    </row>
    <row r="186" spans="1:18" x14ac:dyDescent="0.3">
      <c r="A186" s="3" t="s">
        <v>364</v>
      </c>
      <c r="B186" s="4" t="s">
        <v>2262</v>
      </c>
      <c r="C186" s="16" t="s">
        <v>2261</v>
      </c>
      <c r="D186" s="16" t="s">
        <v>2260</v>
      </c>
      <c r="E186" s="3" t="s">
        <v>2996</v>
      </c>
      <c r="F186" s="3"/>
      <c r="G186" s="3"/>
      <c r="H186" s="3" t="s">
        <v>2971</v>
      </c>
      <c r="I186" s="3" t="s">
        <v>1868</v>
      </c>
      <c r="J186" s="3">
        <v>1</v>
      </c>
      <c r="K186" s="3">
        <v>0</v>
      </c>
      <c r="L186" s="4">
        <v>17.5</v>
      </c>
      <c r="M186" s="3" t="s">
        <v>1873</v>
      </c>
      <c r="N186" s="3" t="s">
        <v>28</v>
      </c>
      <c r="O186" s="3">
        <v>0</v>
      </c>
      <c r="P186" s="3">
        <v>0</v>
      </c>
      <c r="Q186" s="21">
        <v>9000</v>
      </c>
      <c r="R186" s="3">
        <f t="shared" si="5"/>
        <v>0</v>
      </c>
    </row>
    <row r="187" spans="1:18" x14ac:dyDescent="0.3">
      <c r="A187" s="3" t="s">
        <v>337</v>
      </c>
      <c r="B187" s="4" t="s">
        <v>2265</v>
      </c>
      <c r="C187" s="16" t="s">
        <v>2264</v>
      </c>
      <c r="D187" s="16" t="s">
        <v>2263</v>
      </c>
      <c r="E187" s="3" t="s">
        <v>2996</v>
      </c>
      <c r="F187" s="3"/>
      <c r="G187" s="3"/>
      <c r="H187" s="3" t="s">
        <v>2969</v>
      </c>
      <c r="I187" s="3" t="s">
        <v>1868</v>
      </c>
      <c r="J187" s="3">
        <v>1</v>
      </c>
      <c r="K187" s="3">
        <v>0</v>
      </c>
      <c r="L187" s="4">
        <v>27.95</v>
      </c>
      <c r="M187" s="3" t="s">
        <v>1873</v>
      </c>
      <c r="N187" s="3" t="s">
        <v>28</v>
      </c>
      <c r="O187" s="3">
        <v>0</v>
      </c>
      <c r="P187" s="3">
        <v>0</v>
      </c>
      <c r="Q187" s="21">
        <v>9000</v>
      </c>
      <c r="R187" s="3">
        <f t="shared" si="5"/>
        <v>0</v>
      </c>
    </row>
    <row r="188" spans="1:18" x14ac:dyDescent="0.3">
      <c r="A188" s="3" t="s">
        <v>337</v>
      </c>
      <c r="B188" s="4" t="s">
        <v>2268</v>
      </c>
      <c r="C188" s="16" t="s">
        <v>2267</v>
      </c>
      <c r="D188" s="16" t="s">
        <v>2266</v>
      </c>
      <c r="E188" s="3" t="s">
        <v>2996</v>
      </c>
      <c r="F188" s="3"/>
      <c r="G188" s="3"/>
      <c r="H188" s="3" t="s">
        <v>2969</v>
      </c>
      <c r="I188" s="3" t="s">
        <v>1868</v>
      </c>
      <c r="J188" s="3">
        <v>1</v>
      </c>
      <c r="K188" s="3">
        <v>0</v>
      </c>
      <c r="L188" s="4">
        <v>13.05</v>
      </c>
      <c r="M188" s="3" t="s">
        <v>1873</v>
      </c>
      <c r="N188" s="3" t="s">
        <v>28</v>
      </c>
      <c r="O188" s="3">
        <v>0</v>
      </c>
      <c r="P188" s="3">
        <v>0</v>
      </c>
      <c r="Q188" s="21">
        <v>9000</v>
      </c>
      <c r="R188" s="3">
        <f t="shared" si="5"/>
        <v>0</v>
      </c>
    </row>
    <row r="189" spans="1:18" x14ac:dyDescent="0.3">
      <c r="A189" s="3" t="s">
        <v>337</v>
      </c>
      <c r="B189" s="4" t="s">
        <v>2271</v>
      </c>
      <c r="C189" s="16" t="s">
        <v>2270</v>
      </c>
      <c r="D189" s="16" t="s">
        <v>2269</v>
      </c>
      <c r="E189" s="3" t="s">
        <v>2996</v>
      </c>
      <c r="F189" s="3"/>
      <c r="G189" s="3"/>
      <c r="H189" s="3" t="s">
        <v>2969</v>
      </c>
      <c r="I189" s="3" t="s">
        <v>1868</v>
      </c>
      <c r="J189" s="3">
        <v>1</v>
      </c>
      <c r="K189" s="3">
        <v>0</v>
      </c>
      <c r="L189" s="4">
        <v>4.45</v>
      </c>
      <c r="M189" s="3" t="s">
        <v>1873</v>
      </c>
      <c r="N189" s="3" t="s">
        <v>28</v>
      </c>
      <c r="O189" s="3">
        <v>0</v>
      </c>
      <c r="P189" s="3">
        <v>0</v>
      </c>
      <c r="Q189" s="21">
        <v>9000</v>
      </c>
      <c r="R189" s="3">
        <f t="shared" si="5"/>
        <v>0</v>
      </c>
    </row>
    <row r="190" spans="1:18" x14ac:dyDescent="0.3">
      <c r="A190" s="3" t="s">
        <v>337</v>
      </c>
      <c r="B190" s="4" t="s">
        <v>2274</v>
      </c>
      <c r="C190" s="16" t="s">
        <v>2273</v>
      </c>
      <c r="D190" s="16" t="s">
        <v>2272</v>
      </c>
      <c r="E190" s="3" t="s">
        <v>2996</v>
      </c>
      <c r="F190" s="3"/>
      <c r="G190" s="3"/>
      <c r="H190" s="3" t="s">
        <v>2969</v>
      </c>
      <c r="I190" s="3" t="s">
        <v>1868</v>
      </c>
      <c r="J190" s="3">
        <v>1</v>
      </c>
      <c r="K190" s="3">
        <v>0</v>
      </c>
      <c r="L190" s="4">
        <v>24.8</v>
      </c>
      <c r="M190" s="3" t="s">
        <v>1873</v>
      </c>
      <c r="N190" s="3" t="s">
        <v>28</v>
      </c>
      <c r="O190" s="3">
        <v>0</v>
      </c>
      <c r="P190" s="3">
        <v>0</v>
      </c>
      <c r="Q190" s="21">
        <v>9000</v>
      </c>
      <c r="R190" s="3">
        <f t="shared" si="5"/>
        <v>0</v>
      </c>
    </row>
    <row r="191" spans="1:18" x14ac:dyDescent="0.3">
      <c r="A191" s="3" t="s">
        <v>372</v>
      </c>
      <c r="B191" s="4" t="s">
        <v>2277</v>
      </c>
      <c r="C191" s="16" t="s">
        <v>2276</v>
      </c>
      <c r="D191" s="16" t="s">
        <v>2275</v>
      </c>
      <c r="E191" s="3" t="s">
        <v>2996</v>
      </c>
      <c r="F191" s="3"/>
      <c r="G191" s="3"/>
      <c r="H191" s="3" t="s">
        <v>2970</v>
      </c>
      <c r="I191" s="3" t="s">
        <v>1868</v>
      </c>
      <c r="J191" s="3">
        <v>1</v>
      </c>
      <c r="K191" s="3">
        <v>0</v>
      </c>
      <c r="L191" s="4">
        <v>16.899999999999999</v>
      </c>
      <c r="M191" s="3" t="s">
        <v>1873</v>
      </c>
      <c r="N191" s="3" t="s">
        <v>28</v>
      </c>
      <c r="O191" s="3">
        <v>0</v>
      </c>
      <c r="P191" s="3">
        <v>0</v>
      </c>
      <c r="Q191" s="21">
        <v>9000</v>
      </c>
      <c r="R191" s="3">
        <f t="shared" si="5"/>
        <v>0</v>
      </c>
    </row>
    <row r="192" spans="1:18" x14ac:dyDescent="0.3">
      <c r="A192" s="3" t="s">
        <v>372</v>
      </c>
      <c r="B192" s="4" t="s">
        <v>2280</v>
      </c>
      <c r="C192" s="16" t="s">
        <v>2279</v>
      </c>
      <c r="D192" s="16" t="s">
        <v>2278</v>
      </c>
      <c r="E192" s="3" t="s">
        <v>2996</v>
      </c>
      <c r="F192" s="3"/>
      <c r="G192" s="3"/>
      <c r="H192" s="3" t="s">
        <v>2970</v>
      </c>
      <c r="I192" s="3" t="s">
        <v>1868</v>
      </c>
      <c r="J192" s="3">
        <v>1</v>
      </c>
      <c r="K192" s="3">
        <v>0</v>
      </c>
      <c r="L192" s="4">
        <v>15</v>
      </c>
      <c r="M192" s="3" t="s">
        <v>1873</v>
      </c>
      <c r="N192" s="3" t="s">
        <v>28</v>
      </c>
      <c r="O192" s="3">
        <v>0</v>
      </c>
      <c r="P192" s="3">
        <v>0</v>
      </c>
      <c r="Q192" s="21">
        <v>9000</v>
      </c>
      <c r="R192" s="3">
        <f t="shared" si="5"/>
        <v>0</v>
      </c>
    </row>
    <row r="193" spans="1:18" x14ac:dyDescent="0.3">
      <c r="A193" s="3" t="s">
        <v>435</v>
      </c>
      <c r="B193" s="4" t="s">
        <v>2296</v>
      </c>
      <c r="C193" s="16" t="s">
        <v>2295</v>
      </c>
      <c r="D193" s="16" t="s">
        <v>2294</v>
      </c>
      <c r="E193" s="3" t="s">
        <v>2996</v>
      </c>
      <c r="F193" s="3"/>
      <c r="G193" s="3"/>
      <c r="H193" s="3" t="s">
        <v>2969</v>
      </c>
      <c r="I193" s="3" t="s">
        <v>1868</v>
      </c>
      <c r="J193" s="3">
        <v>1</v>
      </c>
      <c r="K193" s="3">
        <v>0</v>
      </c>
      <c r="L193" s="4">
        <v>59.225000000000001</v>
      </c>
      <c r="M193" s="3" t="s">
        <v>1873</v>
      </c>
      <c r="N193" s="3" t="s">
        <v>28</v>
      </c>
      <c r="O193" s="3">
        <v>0</v>
      </c>
      <c r="P193" s="3">
        <v>0</v>
      </c>
      <c r="Q193" s="21">
        <v>9000</v>
      </c>
      <c r="R193" s="3">
        <f t="shared" si="5"/>
        <v>0</v>
      </c>
    </row>
    <row r="194" spans="1:18" x14ac:dyDescent="0.3">
      <c r="A194" s="3" t="s">
        <v>685</v>
      </c>
      <c r="B194" s="4" t="s">
        <v>2299</v>
      </c>
      <c r="C194" s="16" t="s">
        <v>2298</v>
      </c>
      <c r="D194" s="16" t="s">
        <v>2297</v>
      </c>
      <c r="E194" s="3" t="s">
        <v>2996</v>
      </c>
      <c r="F194" s="3"/>
      <c r="G194" s="3"/>
      <c r="H194" s="3" t="s">
        <v>2974</v>
      </c>
      <c r="I194" s="3" t="s">
        <v>1868</v>
      </c>
      <c r="J194" s="3">
        <v>1</v>
      </c>
      <c r="K194" s="3">
        <v>0</v>
      </c>
      <c r="L194" s="4">
        <v>23.5</v>
      </c>
      <c r="M194" s="3" t="s">
        <v>1873</v>
      </c>
      <c r="N194" s="3" t="s">
        <v>28</v>
      </c>
      <c r="O194" s="3">
        <v>0</v>
      </c>
      <c r="P194" s="3">
        <v>0</v>
      </c>
      <c r="Q194" s="21">
        <v>9000</v>
      </c>
      <c r="R194" s="3">
        <f t="shared" si="5"/>
        <v>0</v>
      </c>
    </row>
    <row r="195" spans="1:18" x14ac:dyDescent="0.3">
      <c r="A195" s="3" t="s">
        <v>685</v>
      </c>
      <c r="B195" s="4" t="s">
        <v>2302</v>
      </c>
      <c r="C195" s="16" t="s">
        <v>2301</v>
      </c>
      <c r="D195" s="16" t="s">
        <v>2300</v>
      </c>
      <c r="E195" s="3" t="s">
        <v>2996</v>
      </c>
      <c r="F195" s="3"/>
      <c r="G195" s="3"/>
      <c r="H195" s="3" t="s">
        <v>2974</v>
      </c>
      <c r="I195" s="3" t="s">
        <v>1868</v>
      </c>
      <c r="J195" s="3">
        <v>1</v>
      </c>
      <c r="K195" s="3">
        <v>0</v>
      </c>
      <c r="L195" s="4">
        <v>46.8</v>
      </c>
      <c r="M195" s="3" t="s">
        <v>1873</v>
      </c>
      <c r="N195" s="3" t="s">
        <v>28</v>
      </c>
      <c r="O195" s="3">
        <v>0</v>
      </c>
      <c r="P195" s="3">
        <v>0</v>
      </c>
      <c r="Q195" s="21">
        <v>9000</v>
      </c>
      <c r="R195" s="3">
        <f t="shared" si="5"/>
        <v>0</v>
      </c>
    </row>
    <row r="196" spans="1:18" x14ac:dyDescent="0.3">
      <c r="A196" s="3" t="s">
        <v>437</v>
      </c>
      <c r="B196" s="4" t="s">
        <v>2305</v>
      </c>
      <c r="C196" s="16" t="s">
        <v>2304</v>
      </c>
      <c r="D196" s="16" t="s">
        <v>2303</v>
      </c>
      <c r="E196" s="3" t="s">
        <v>2996</v>
      </c>
      <c r="F196" s="3"/>
      <c r="G196" s="3"/>
      <c r="H196" s="3" t="s">
        <v>2985</v>
      </c>
      <c r="I196" s="3" t="s">
        <v>1868</v>
      </c>
      <c r="J196" s="3">
        <v>1</v>
      </c>
      <c r="K196" s="3">
        <v>0</v>
      </c>
      <c r="L196" s="4">
        <v>32</v>
      </c>
      <c r="M196" s="3" t="s">
        <v>1873</v>
      </c>
      <c r="N196" s="3" t="s">
        <v>28</v>
      </c>
      <c r="O196" s="3">
        <v>0</v>
      </c>
      <c r="P196" s="3">
        <v>0</v>
      </c>
      <c r="Q196" s="21">
        <v>9000</v>
      </c>
      <c r="R196" s="3">
        <f t="shared" si="5"/>
        <v>0</v>
      </c>
    </row>
    <row r="197" spans="1:18" x14ac:dyDescent="0.3">
      <c r="A197" s="3" t="s">
        <v>437</v>
      </c>
      <c r="B197" s="4" t="s">
        <v>2308</v>
      </c>
      <c r="C197" s="16" t="s">
        <v>2307</v>
      </c>
      <c r="D197" s="16" t="s">
        <v>2306</v>
      </c>
      <c r="E197" s="3" t="s">
        <v>2996</v>
      </c>
      <c r="F197" s="3"/>
      <c r="G197" s="3"/>
      <c r="H197" s="3" t="s">
        <v>2985</v>
      </c>
      <c r="I197" s="3" t="s">
        <v>1868</v>
      </c>
      <c r="J197" s="3">
        <v>1</v>
      </c>
      <c r="K197" s="3">
        <v>0</v>
      </c>
      <c r="L197" s="4">
        <v>26</v>
      </c>
      <c r="M197" s="3" t="s">
        <v>1873</v>
      </c>
      <c r="N197" s="3" t="s">
        <v>28</v>
      </c>
      <c r="O197" s="3">
        <v>0</v>
      </c>
      <c r="P197" s="3">
        <v>0</v>
      </c>
      <c r="Q197" s="21">
        <v>9000</v>
      </c>
      <c r="R197" s="3">
        <f t="shared" si="5"/>
        <v>0</v>
      </c>
    </row>
    <row r="198" spans="1:18" x14ac:dyDescent="0.3">
      <c r="A198" s="3" t="s">
        <v>437</v>
      </c>
      <c r="B198" s="4" t="s">
        <v>2311</v>
      </c>
      <c r="C198" s="16" t="s">
        <v>2310</v>
      </c>
      <c r="D198" s="16" t="s">
        <v>2309</v>
      </c>
      <c r="E198" s="3" t="s">
        <v>2996</v>
      </c>
      <c r="F198" s="3"/>
      <c r="G198" s="3"/>
      <c r="H198" s="3" t="s">
        <v>2985</v>
      </c>
      <c r="I198" s="3" t="s">
        <v>1868</v>
      </c>
      <c r="J198" s="3">
        <v>1</v>
      </c>
      <c r="K198" s="3">
        <v>0</v>
      </c>
      <c r="L198" s="4">
        <v>22</v>
      </c>
      <c r="M198" s="3" t="s">
        <v>1873</v>
      </c>
      <c r="N198" s="3" t="s">
        <v>28</v>
      </c>
      <c r="O198" s="3">
        <v>0</v>
      </c>
      <c r="P198" s="3">
        <v>0</v>
      </c>
      <c r="Q198" s="21">
        <v>9000</v>
      </c>
      <c r="R198" s="3">
        <f t="shared" si="5"/>
        <v>0</v>
      </c>
    </row>
    <row r="199" spans="1:18" x14ac:dyDescent="0.3">
      <c r="A199" s="3" t="s">
        <v>391</v>
      </c>
      <c r="B199" s="4" t="s">
        <v>2318</v>
      </c>
      <c r="C199" s="16" t="s">
        <v>2317</v>
      </c>
      <c r="D199" s="16" t="s">
        <v>2316</v>
      </c>
      <c r="E199" s="3" t="s">
        <v>2996</v>
      </c>
      <c r="F199" s="3"/>
      <c r="G199" s="3"/>
      <c r="H199" s="3" t="s">
        <v>2969</v>
      </c>
      <c r="I199" s="3" t="s">
        <v>1868</v>
      </c>
      <c r="J199" s="3">
        <v>1</v>
      </c>
      <c r="K199" s="3">
        <v>0</v>
      </c>
      <c r="L199" s="4">
        <v>29.8</v>
      </c>
      <c r="M199" s="3" t="s">
        <v>1873</v>
      </c>
      <c r="N199" s="3" t="s">
        <v>28</v>
      </c>
      <c r="O199" s="3">
        <v>0</v>
      </c>
      <c r="P199" s="3">
        <v>0</v>
      </c>
      <c r="Q199" s="21">
        <v>9000</v>
      </c>
      <c r="R199" s="3">
        <f t="shared" si="5"/>
        <v>0</v>
      </c>
    </row>
    <row r="200" spans="1:18" x14ac:dyDescent="0.3">
      <c r="A200" s="3" t="s">
        <v>408</v>
      </c>
      <c r="B200" s="4" t="s">
        <v>2321</v>
      </c>
      <c r="C200" s="16" t="s">
        <v>2320</v>
      </c>
      <c r="D200" s="16" t="s">
        <v>2319</v>
      </c>
      <c r="E200" s="3" t="s">
        <v>2996</v>
      </c>
      <c r="F200" s="3"/>
      <c r="G200" s="3"/>
      <c r="H200" s="3" t="s">
        <v>2965</v>
      </c>
      <c r="I200" s="3" t="s">
        <v>1868</v>
      </c>
      <c r="J200" s="3">
        <v>1</v>
      </c>
      <c r="K200" s="3">
        <v>0</v>
      </c>
      <c r="L200" s="4">
        <v>13.8</v>
      </c>
      <c r="M200" s="3" t="s">
        <v>1873</v>
      </c>
      <c r="N200" s="3" t="s">
        <v>28</v>
      </c>
      <c r="O200" s="3">
        <v>0</v>
      </c>
      <c r="P200" s="3">
        <v>0</v>
      </c>
      <c r="Q200" s="21">
        <v>9000</v>
      </c>
      <c r="R200" s="3">
        <f t="shared" si="5"/>
        <v>0</v>
      </c>
    </row>
    <row r="201" spans="1:18" x14ac:dyDescent="0.3">
      <c r="A201" s="3" t="s">
        <v>408</v>
      </c>
      <c r="B201" s="4" t="s">
        <v>2324</v>
      </c>
      <c r="C201" s="16" t="s">
        <v>2323</v>
      </c>
      <c r="D201" s="16" t="s">
        <v>2322</v>
      </c>
      <c r="E201" s="3" t="s">
        <v>2996</v>
      </c>
      <c r="F201" s="3"/>
      <c r="G201" s="3"/>
      <c r="H201" s="3" t="s">
        <v>2965</v>
      </c>
      <c r="I201" s="3" t="s">
        <v>1868</v>
      </c>
      <c r="J201" s="3">
        <v>1</v>
      </c>
      <c r="K201" s="3">
        <v>0</v>
      </c>
      <c r="L201" s="4">
        <v>25.3</v>
      </c>
      <c r="M201" s="3" t="s">
        <v>1873</v>
      </c>
      <c r="N201" s="3" t="s">
        <v>28</v>
      </c>
      <c r="O201" s="3">
        <v>0</v>
      </c>
      <c r="P201" s="3">
        <v>0</v>
      </c>
      <c r="Q201" s="21">
        <v>9000</v>
      </c>
      <c r="R201" s="3">
        <f t="shared" si="5"/>
        <v>0</v>
      </c>
    </row>
    <row r="202" spans="1:18" x14ac:dyDescent="0.3">
      <c r="A202" s="3" t="s">
        <v>413</v>
      </c>
      <c r="B202" s="4" t="s">
        <v>2327</v>
      </c>
      <c r="C202" s="16" t="s">
        <v>2326</v>
      </c>
      <c r="D202" s="16" t="s">
        <v>2325</v>
      </c>
      <c r="E202" s="3" t="s">
        <v>2996</v>
      </c>
      <c r="F202" s="3"/>
      <c r="G202" s="3"/>
      <c r="H202" s="3" t="s">
        <v>2982</v>
      </c>
      <c r="I202" s="3" t="s">
        <v>1868</v>
      </c>
      <c r="J202" s="3">
        <v>1</v>
      </c>
      <c r="K202" s="3">
        <v>0</v>
      </c>
      <c r="L202" s="4">
        <v>28</v>
      </c>
      <c r="M202" s="3" t="s">
        <v>1873</v>
      </c>
      <c r="N202" s="3" t="s">
        <v>28</v>
      </c>
      <c r="O202" s="3">
        <v>0</v>
      </c>
      <c r="P202" s="3">
        <v>0</v>
      </c>
      <c r="Q202" s="21">
        <v>9000</v>
      </c>
      <c r="R202" s="3">
        <f t="shared" si="5"/>
        <v>0</v>
      </c>
    </row>
    <row r="203" spans="1:18" x14ac:dyDescent="0.3">
      <c r="A203" s="3" t="s">
        <v>413</v>
      </c>
      <c r="B203" s="4" t="s">
        <v>2330</v>
      </c>
      <c r="C203" s="16" t="s">
        <v>2329</v>
      </c>
      <c r="D203" s="16" t="s">
        <v>2328</v>
      </c>
      <c r="E203" s="3" t="s">
        <v>2996</v>
      </c>
      <c r="F203" s="3"/>
      <c r="G203" s="3"/>
      <c r="H203" s="3" t="s">
        <v>2982</v>
      </c>
      <c r="I203" s="3" t="s">
        <v>1868</v>
      </c>
      <c r="J203" s="3">
        <v>1</v>
      </c>
      <c r="K203" s="3">
        <v>0</v>
      </c>
      <c r="L203" s="4">
        <v>12.5</v>
      </c>
      <c r="M203" s="3" t="s">
        <v>1873</v>
      </c>
      <c r="N203" s="3" t="s">
        <v>28</v>
      </c>
      <c r="O203" s="3">
        <v>0</v>
      </c>
      <c r="P203" s="3">
        <v>0</v>
      </c>
      <c r="Q203" s="21">
        <v>9000</v>
      </c>
      <c r="R203" s="3">
        <f t="shared" si="5"/>
        <v>0</v>
      </c>
    </row>
    <row r="204" spans="1:18" x14ac:dyDescent="0.3">
      <c r="A204" s="3" t="s">
        <v>413</v>
      </c>
      <c r="B204" s="4" t="s">
        <v>2333</v>
      </c>
      <c r="C204" s="16" t="s">
        <v>2332</v>
      </c>
      <c r="D204" s="16" t="s">
        <v>2331</v>
      </c>
      <c r="E204" s="3" t="s">
        <v>2996</v>
      </c>
      <c r="F204" s="3"/>
      <c r="G204" s="3"/>
      <c r="H204" s="3" t="s">
        <v>2982</v>
      </c>
      <c r="I204" s="3" t="s">
        <v>1868</v>
      </c>
      <c r="J204" s="3">
        <v>1</v>
      </c>
      <c r="K204" s="3">
        <v>0</v>
      </c>
      <c r="L204" s="4">
        <v>34.15</v>
      </c>
      <c r="M204" s="3" t="s">
        <v>1873</v>
      </c>
      <c r="N204" s="3" t="s">
        <v>28</v>
      </c>
      <c r="O204" s="3">
        <v>0</v>
      </c>
      <c r="P204" s="3">
        <v>0</v>
      </c>
      <c r="Q204" s="21">
        <v>9000</v>
      </c>
      <c r="R204" s="3">
        <f t="shared" si="5"/>
        <v>0</v>
      </c>
    </row>
    <row r="205" spans="1:18" x14ac:dyDescent="0.3">
      <c r="A205" s="3" t="s">
        <v>417</v>
      </c>
      <c r="B205" s="4" t="s">
        <v>2336</v>
      </c>
      <c r="C205" s="16" t="s">
        <v>2335</v>
      </c>
      <c r="D205" s="16" t="s">
        <v>2334</v>
      </c>
      <c r="E205" s="3" t="s">
        <v>2996</v>
      </c>
      <c r="F205" s="3"/>
      <c r="G205" s="3"/>
      <c r="H205" s="3" t="s">
        <v>2964</v>
      </c>
      <c r="I205" s="3" t="s">
        <v>1868</v>
      </c>
      <c r="J205" s="3">
        <v>1</v>
      </c>
      <c r="K205" s="3">
        <v>0</v>
      </c>
      <c r="L205" s="4">
        <v>12</v>
      </c>
      <c r="M205" s="3" t="s">
        <v>1873</v>
      </c>
      <c r="N205" s="3" t="s">
        <v>28</v>
      </c>
      <c r="O205" s="3">
        <v>0</v>
      </c>
      <c r="P205" s="3">
        <v>0</v>
      </c>
      <c r="Q205" s="21">
        <v>9000</v>
      </c>
      <c r="R205" s="3">
        <f t="shared" si="5"/>
        <v>0</v>
      </c>
    </row>
    <row r="206" spans="1:18" x14ac:dyDescent="0.3">
      <c r="A206" s="3" t="s">
        <v>438</v>
      </c>
      <c r="B206" s="4" t="s">
        <v>2339</v>
      </c>
      <c r="C206" s="16" t="s">
        <v>2338</v>
      </c>
      <c r="D206" s="16" t="s">
        <v>2337</v>
      </c>
      <c r="E206" s="3" t="s">
        <v>2996</v>
      </c>
      <c r="F206" s="3"/>
      <c r="G206" s="3"/>
      <c r="H206" s="3" t="s">
        <v>2986</v>
      </c>
      <c r="I206" s="3" t="s">
        <v>1868</v>
      </c>
      <c r="J206" s="3">
        <v>1</v>
      </c>
      <c r="K206" s="3">
        <v>0</v>
      </c>
      <c r="L206" s="4">
        <v>30</v>
      </c>
      <c r="M206" s="3" t="s">
        <v>1873</v>
      </c>
      <c r="N206" s="3" t="s">
        <v>28</v>
      </c>
      <c r="O206" s="3">
        <v>0</v>
      </c>
      <c r="P206" s="3">
        <v>0</v>
      </c>
      <c r="Q206" s="21">
        <v>9000</v>
      </c>
      <c r="R206" s="3">
        <f t="shared" si="5"/>
        <v>0</v>
      </c>
    </row>
    <row r="207" spans="1:18" x14ac:dyDescent="0.3">
      <c r="A207" s="3" t="s">
        <v>438</v>
      </c>
      <c r="B207" s="4" t="s">
        <v>2342</v>
      </c>
      <c r="C207" s="16" t="s">
        <v>2341</v>
      </c>
      <c r="D207" s="16" t="s">
        <v>2340</v>
      </c>
      <c r="E207" s="3" t="s">
        <v>2996</v>
      </c>
      <c r="F207" s="3"/>
      <c r="G207" s="3"/>
      <c r="H207" s="3" t="s">
        <v>2986</v>
      </c>
      <c r="I207" s="3" t="s">
        <v>1868</v>
      </c>
      <c r="J207" s="3">
        <v>1</v>
      </c>
      <c r="K207" s="3">
        <v>0</v>
      </c>
      <c r="L207" s="4">
        <v>18.8</v>
      </c>
      <c r="M207" s="3" t="s">
        <v>1873</v>
      </c>
      <c r="N207" s="3" t="s">
        <v>28</v>
      </c>
      <c r="O207" s="3">
        <v>0</v>
      </c>
      <c r="P207" s="3">
        <v>0</v>
      </c>
      <c r="Q207" s="21">
        <v>9000</v>
      </c>
      <c r="R207" s="3">
        <f t="shared" si="5"/>
        <v>0</v>
      </c>
    </row>
    <row r="208" spans="1:18" x14ac:dyDescent="0.3">
      <c r="A208" s="3" t="s">
        <v>438</v>
      </c>
      <c r="B208" s="4" t="s">
        <v>2345</v>
      </c>
      <c r="C208" s="16" t="s">
        <v>2344</v>
      </c>
      <c r="D208" s="16" t="s">
        <v>2343</v>
      </c>
      <c r="E208" s="3" t="s">
        <v>2996</v>
      </c>
      <c r="F208" s="3"/>
      <c r="G208" s="3"/>
      <c r="H208" s="3" t="s">
        <v>2986</v>
      </c>
      <c r="I208" s="3" t="s">
        <v>1868</v>
      </c>
      <c r="J208" s="3">
        <v>1</v>
      </c>
      <c r="K208" s="3">
        <v>0</v>
      </c>
      <c r="L208" s="4">
        <v>14.1</v>
      </c>
      <c r="M208" s="3" t="s">
        <v>1873</v>
      </c>
      <c r="N208" s="3" t="s">
        <v>28</v>
      </c>
      <c r="O208" s="3">
        <v>0</v>
      </c>
      <c r="P208" s="3">
        <v>0</v>
      </c>
      <c r="Q208" s="21">
        <v>9000</v>
      </c>
      <c r="R208" s="3">
        <f t="shared" si="5"/>
        <v>0</v>
      </c>
    </row>
    <row r="209" spans="1:18" x14ac:dyDescent="0.3">
      <c r="A209" s="3" t="s">
        <v>438</v>
      </c>
      <c r="B209" s="4" t="s">
        <v>2348</v>
      </c>
      <c r="C209" s="16" t="s">
        <v>2347</v>
      </c>
      <c r="D209" s="16" t="s">
        <v>2346</v>
      </c>
      <c r="E209" s="3" t="s">
        <v>2996</v>
      </c>
      <c r="F209" s="3"/>
      <c r="G209" s="3"/>
      <c r="H209" s="3" t="s">
        <v>2986</v>
      </c>
      <c r="I209" s="3" t="s">
        <v>1868</v>
      </c>
      <c r="J209" s="3">
        <v>1</v>
      </c>
      <c r="K209" s="3">
        <v>0</v>
      </c>
      <c r="L209" s="4">
        <v>16.100000000000001</v>
      </c>
      <c r="M209" s="3" t="s">
        <v>1873</v>
      </c>
      <c r="N209" s="3" t="s">
        <v>28</v>
      </c>
      <c r="O209" s="3">
        <v>0</v>
      </c>
      <c r="P209" s="3">
        <v>0</v>
      </c>
      <c r="Q209" s="21">
        <v>9000</v>
      </c>
      <c r="R209" s="3">
        <f t="shared" si="5"/>
        <v>0</v>
      </c>
    </row>
    <row r="210" spans="1:18" x14ac:dyDescent="0.3">
      <c r="A210" s="3" t="s">
        <v>438</v>
      </c>
      <c r="B210" s="4" t="s">
        <v>2351</v>
      </c>
      <c r="C210" s="16" t="s">
        <v>2350</v>
      </c>
      <c r="D210" s="16" t="s">
        <v>2349</v>
      </c>
      <c r="E210" s="3" t="s">
        <v>2996</v>
      </c>
      <c r="F210" s="3"/>
      <c r="G210" s="3"/>
      <c r="H210" s="3" t="s">
        <v>2986</v>
      </c>
      <c r="I210" s="3" t="s">
        <v>1868</v>
      </c>
      <c r="J210" s="3">
        <v>1</v>
      </c>
      <c r="K210" s="3">
        <v>0</v>
      </c>
      <c r="L210" s="4">
        <v>12.5</v>
      </c>
      <c r="M210" s="3" t="s">
        <v>1873</v>
      </c>
      <c r="N210" s="3" t="s">
        <v>28</v>
      </c>
      <c r="O210" s="3">
        <v>0</v>
      </c>
      <c r="P210" s="3">
        <v>0</v>
      </c>
      <c r="Q210" s="21">
        <v>9000</v>
      </c>
      <c r="R210" s="3">
        <f t="shared" si="5"/>
        <v>0</v>
      </c>
    </row>
    <row r="211" spans="1:18" x14ac:dyDescent="0.3">
      <c r="A211" s="3" t="s">
        <v>438</v>
      </c>
      <c r="B211" s="4" t="s">
        <v>2354</v>
      </c>
      <c r="C211" s="16" t="s">
        <v>2353</v>
      </c>
      <c r="D211" s="16" t="s">
        <v>2352</v>
      </c>
      <c r="E211" s="3" t="s">
        <v>2996</v>
      </c>
      <c r="F211" s="3"/>
      <c r="G211" s="3"/>
      <c r="H211" s="3" t="s">
        <v>2986</v>
      </c>
      <c r="I211" s="3" t="s">
        <v>1868</v>
      </c>
      <c r="J211" s="3">
        <v>1</v>
      </c>
      <c r="K211" s="3">
        <v>0</v>
      </c>
      <c r="L211" s="4">
        <v>21.6</v>
      </c>
      <c r="M211" s="3" t="s">
        <v>1873</v>
      </c>
      <c r="N211" s="3" t="s">
        <v>28</v>
      </c>
      <c r="O211" s="3">
        <v>0</v>
      </c>
      <c r="P211" s="3">
        <v>0</v>
      </c>
      <c r="Q211" s="21">
        <v>9000</v>
      </c>
      <c r="R211" s="3">
        <f t="shared" si="5"/>
        <v>0</v>
      </c>
    </row>
    <row r="212" spans="1:18" x14ac:dyDescent="0.3">
      <c r="A212" s="3" t="s">
        <v>452</v>
      </c>
      <c r="B212" s="4" t="s">
        <v>2371</v>
      </c>
      <c r="C212" s="16" t="s">
        <v>2370</v>
      </c>
      <c r="D212" s="16" t="s">
        <v>2369</v>
      </c>
      <c r="E212" s="3" t="s">
        <v>2996</v>
      </c>
      <c r="F212" s="3"/>
      <c r="G212" s="3"/>
      <c r="H212" s="3" t="s">
        <v>2967</v>
      </c>
      <c r="I212" s="3" t="s">
        <v>1868</v>
      </c>
      <c r="J212" s="3">
        <v>1</v>
      </c>
      <c r="K212" s="3">
        <v>0</v>
      </c>
      <c r="L212" s="4">
        <v>35.950000000000003</v>
      </c>
      <c r="M212" s="3" t="s">
        <v>1873</v>
      </c>
      <c r="N212" s="3" t="s">
        <v>28</v>
      </c>
      <c r="O212" s="3">
        <v>0</v>
      </c>
      <c r="P212" s="3">
        <v>0</v>
      </c>
      <c r="Q212" s="21">
        <v>9000</v>
      </c>
      <c r="R212" s="3">
        <f t="shared" si="5"/>
        <v>0</v>
      </c>
    </row>
    <row r="213" spans="1:18" x14ac:dyDescent="0.3">
      <c r="A213" s="3" t="s">
        <v>314</v>
      </c>
      <c r="B213" s="4" t="s">
        <v>2407</v>
      </c>
      <c r="C213" s="16" t="s">
        <v>2406</v>
      </c>
      <c r="D213" s="16" t="s">
        <v>2405</v>
      </c>
      <c r="E213" s="3" t="s">
        <v>2996</v>
      </c>
      <c r="F213" s="3"/>
      <c r="G213" s="3"/>
      <c r="H213" s="3" t="s">
        <v>2964</v>
      </c>
      <c r="I213" s="3" t="s">
        <v>1868</v>
      </c>
      <c r="J213" s="3">
        <v>1</v>
      </c>
      <c r="K213" s="3">
        <v>0</v>
      </c>
      <c r="L213" s="4">
        <v>75</v>
      </c>
      <c r="M213" s="3" t="s">
        <v>1873</v>
      </c>
      <c r="N213" s="3" t="s">
        <v>28</v>
      </c>
      <c r="O213" s="3">
        <v>0</v>
      </c>
      <c r="P213" s="3">
        <v>0</v>
      </c>
      <c r="Q213" s="21">
        <v>9000</v>
      </c>
      <c r="R213" s="3">
        <f t="shared" si="5"/>
        <v>0</v>
      </c>
    </row>
    <row r="214" spans="1:18" x14ac:dyDescent="0.3">
      <c r="A214" s="3" t="s">
        <v>473</v>
      </c>
      <c r="B214" s="4" t="s">
        <v>2413</v>
      </c>
      <c r="C214" s="16" t="s">
        <v>2412</v>
      </c>
      <c r="D214" s="16" t="s">
        <v>2411</v>
      </c>
      <c r="E214" s="3" t="s">
        <v>2996</v>
      </c>
      <c r="F214" s="3"/>
      <c r="G214" s="3"/>
      <c r="H214" s="3" t="s">
        <v>2967</v>
      </c>
      <c r="I214" s="3" t="s">
        <v>1868</v>
      </c>
      <c r="J214" s="3">
        <v>1</v>
      </c>
      <c r="K214" s="3">
        <v>0</v>
      </c>
      <c r="L214" s="4">
        <v>36</v>
      </c>
      <c r="M214" s="3" t="s">
        <v>1873</v>
      </c>
      <c r="N214" s="3" t="s">
        <v>28</v>
      </c>
      <c r="O214" s="3">
        <v>0</v>
      </c>
      <c r="P214" s="3">
        <v>0</v>
      </c>
      <c r="Q214" s="21">
        <v>9000</v>
      </c>
      <c r="R214" s="3">
        <f t="shared" si="5"/>
        <v>0</v>
      </c>
    </row>
    <row r="215" spans="1:18" x14ac:dyDescent="0.3">
      <c r="A215" s="3" t="s">
        <v>493</v>
      </c>
      <c r="B215" s="4" t="s">
        <v>2416</v>
      </c>
      <c r="C215" s="16" t="s">
        <v>2415</v>
      </c>
      <c r="D215" s="16" t="s">
        <v>2414</v>
      </c>
      <c r="E215" s="3" t="s">
        <v>2996</v>
      </c>
      <c r="F215" s="3"/>
      <c r="G215" s="3"/>
      <c r="H215" s="3" t="s">
        <v>2987</v>
      </c>
      <c r="I215" s="3" t="s">
        <v>1868</v>
      </c>
      <c r="J215" s="3">
        <v>1</v>
      </c>
      <c r="K215" s="3">
        <v>0</v>
      </c>
      <c r="L215" s="4">
        <v>15</v>
      </c>
      <c r="M215" s="3" t="s">
        <v>1873</v>
      </c>
      <c r="N215" s="3" t="s">
        <v>28</v>
      </c>
      <c r="O215" s="3">
        <v>0</v>
      </c>
      <c r="P215" s="3">
        <v>0</v>
      </c>
      <c r="Q215" s="21">
        <v>9000</v>
      </c>
      <c r="R215" s="3">
        <f t="shared" si="5"/>
        <v>0</v>
      </c>
    </row>
    <row r="216" spans="1:18" x14ac:dyDescent="0.3">
      <c r="A216" s="3" t="s">
        <v>493</v>
      </c>
      <c r="B216" s="4" t="s">
        <v>2419</v>
      </c>
      <c r="C216" s="16" t="s">
        <v>2418</v>
      </c>
      <c r="D216" s="16" t="s">
        <v>2417</v>
      </c>
      <c r="E216" s="3" t="s">
        <v>2996</v>
      </c>
      <c r="F216" s="3"/>
      <c r="G216" s="3"/>
      <c r="H216" s="3" t="s">
        <v>2987</v>
      </c>
      <c r="I216" s="3" t="s">
        <v>1868</v>
      </c>
      <c r="J216" s="3">
        <v>1</v>
      </c>
      <c r="K216" s="3">
        <v>0</v>
      </c>
      <c r="L216" s="4">
        <v>20.7</v>
      </c>
      <c r="M216" s="3" t="s">
        <v>1873</v>
      </c>
      <c r="N216" s="3" t="s">
        <v>28</v>
      </c>
      <c r="O216" s="3">
        <v>0</v>
      </c>
      <c r="P216" s="3">
        <v>0</v>
      </c>
      <c r="Q216" s="21">
        <v>9000</v>
      </c>
      <c r="R216" s="3">
        <f t="shared" ref="R216:R279" si="6">O216</f>
        <v>0</v>
      </c>
    </row>
    <row r="217" spans="1:18" x14ac:dyDescent="0.3">
      <c r="A217" s="3" t="s">
        <v>504</v>
      </c>
      <c r="B217" s="4" t="s">
        <v>2422</v>
      </c>
      <c r="C217" s="16" t="s">
        <v>2421</v>
      </c>
      <c r="D217" s="16" t="s">
        <v>2420</v>
      </c>
      <c r="E217" s="3" t="s">
        <v>2996</v>
      </c>
      <c r="F217" s="3"/>
      <c r="G217" s="3"/>
      <c r="H217" s="3" t="s">
        <v>2969</v>
      </c>
      <c r="I217" s="3" t="s">
        <v>1868</v>
      </c>
      <c r="J217" s="3">
        <v>1</v>
      </c>
      <c r="K217" s="3">
        <v>0</v>
      </c>
      <c r="L217" s="4">
        <v>37.049999999999997</v>
      </c>
      <c r="M217" s="3" t="s">
        <v>1873</v>
      </c>
      <c r="N217" s="3" t="s">
        <v>28</v>
      </c>
      <c r="O217" s="3">
        <v>0</v>
      </c>
      <c r="P217" s="3">
        <v>0</v>
      </c>
      <c r="Q217" s="21">
        <v>9000</v>
      </c>
      <c r="R217" s="3">
        <f t="shared" si="6"/>
        <v>0</v>
      </c>
    </row>
    <row r="218" spans="1:18" x14ac:dyDescent="0.3">
      <c r="A218" s="3" t="s">
        <v>504</v>
      </c>
      <c r="B218" s="4" t="s">
        <v>2428</v>
      </c>
      <c r="C218" s="16" t="s">
        <v>2427</v>
      </c>
      <c r="D218" s="16" t="s">
        <v>2426</v>
      </c>
      <c r="E218" s="3" t="s">
        <v>2996</v>
      </c>
      <c r="F218" s="3"/>
      <c r="G218" s="3"/>
      <c r="H218" s="3" t="s">
        <v>2969</v>
      </c>
      <c r="I218" s="3" t="s">
        <v>1868</v>
      </c>
      <c r="J218" s="3">
        <v>1</v>
      </c>
      <c r="K218" s="3">
        <v>0</v>
      </c>
      <c r="L218" s="4">
        <v>18</v>
      </c>
      <c r="M218" s="3" t="s">
        <v>1873</v>
      </c>
      <c r="N218" s="3" t="s">
        <v>28</v>
      </c>
      <c r="O218" s="3">
        <v>0</v>
      </c>
      <c r="P218" s="3">
        <v>0</v>
      </c>
      <c r="Q218" s="21">
        <v>9000</v>
      </c>
      <c r="R218" s="3">
        <f t="shared" si="6"/>
        <v>0</v>
      </c>
    </row>
    <row r="219" spans="1:18" x14ac:dyDescent="0.3">
      <c r="A219" s="3" t="s">
        <v>464</v>
      </c>
      <c r="B219" s="4" t="s">
        <v>2453</v>
      </c>
      <c r="C219" s="16" t="s">
        <v>2452</v>
      </c>
      <c r="D219" s="16" t="s">
        <v>2451</v>
      </c>
      <c r="E219" s="3" t="s">
        <v>2996</v>
      </c>
      <c r="F219" s="3"/>
      <c r="G219" s="3"/>
      <c r="H219" s="3" t="s">
        <v>2988</v>
      </c>
      <c r="I219" s="3" t="s">
        <v>1868</v>
      </c>
      <c r="J219" s="3">
        <v>1</v>
      </c>
      <c r="K219" s="3">
        <v>0</v>
      </c>
      <c r="L219" s="4">
        <v>100</v>
      </c>
      <c r="M219" s="3" t="s">
        <v>1873</v>
      </c>
      <c r="N219" s="3" t="s">
        <v>28</v>
      </c>
      <c r="O219" s="3">
        <v>0</v>
      </c>
      <c r="P219" s="3">
        <v>0</v>
      </c>
      <c r="Q219" s="21">
        <v>9000</v>
      </c>
      <c r="R219" s="3">
        <f t="shared" si="6"/>
        <v>0</v>
      </c>
    </row>
    <row r="220" spans="1:18" x14ac:dyDescent="0.3">
      <c r="A220" s="3" t="s">
        <v>478</v>
      </c>
      <c r="B220" s="4" t="s">
        <v>2456</v>
      </c>
      <c r="C220" s="16" t="s">
        <v>2455</v>
      </c>
      <c r="D220" s="16" t="s">
        <v>2454</v>
      </c>
      <c r="E220" s="3" t="s">
        <v>2996</v>
      </c>
      <c r="F220" s="3"/>
      <c r="G220" s="3"/>
      <c r="H220" s="3" t="s">
        <v>2989</v>
      </c>
      <c r="I220" s="3" t="s">
        <v>1868</v>
      </c>
      <c r="J220" s="3">
        <v>1</v>
      </c>
      <c r="K220" s="3">
        <v>0</v>
      </c>
      <c r="L220" s="4">
        <v>33.6</v>
      </c>
      <c r="M220" s="3" t="s">
        <v>1873</v>
      </c>
      <c r="N220" s="3" t="s">
        <v>28</v>
      </c>
      <c r="O220" s="3">
        <v>0</v>
      </c>
      <c r="P220" s="3">
        <v>0</v>
      </c>
      <c r="Q220" s="21">
        <v>9000</v>
      </c>
      <c r="R220" s="3">
        <f t="shared" si="6"/>
        <v>0</v>
      </c>
    </row>
    <row r="221" spans="1:18" x14ac:dyDescent="0.3">
      <c r="A221" s="3" t="s">
        <v>325</v>
      </c>
      <c r="B221" s="4" t="s">
        <v>2459</v>
      </c>
      <c r="C221" s="16" t="s">
        <v>2458</v>
      </c>
      <c r="D221" s="16" t="s">
        <v>2457</v>
      </c>
      <c r="E221" s="3" t="s">
        <v>2996</v>
      </c>
      <c r="F221" s="3"/>
      <c r="G221" s="3"/>
      <c r="H221" s="3" t="s">
        <v>2964</v>
      </c>
      <c r="I221" s="3" t="s">
        <v>1868</v>
      </c>
      <c r="J221" s="3">
        <v>1</v>
      </c>
      <c r="K221" s="3">
        <v>0</v>
      </c>
      <c r="L221" s="4">
        <v>101</v>
      </c>
      <c r="M221" s="3" t="s">
        <v>1873</v>
      </c>
      <c r="N221" s="3" t="s">
        <v>28</v>
      </c>
      <c r="O221" s="3">
        <v>0</v>
      </c>
      <c r="P221" s="3">
        <v>0</v>
      </c>
      <c r="Q221" s="21">
        <v>9000</v>
      </c>
      <c r="R221" s="3">
        <f t="shared" si="6"/>
        <v>0</v>
      </c>
    </row>
    <row r="222" spans="1:18" x14ac:dyDescent="0.3">
      <c r="A222" s="3" t="s">
        <v>502</v>
      </c>
      <c r="B222" s="4" t="s">
        <v>2462</v>
      </c>
      <c r="C222" s="16" t="s">
        <v>2461</v>
      </c>
      <c r="D222" s="16" t="s">
        <v>2460</v>
      </c>
      <c r="E222" s="3" t="s">
        <v>2996</v>
      </c>
      <c r="F222" s="3"/>
      <c r="G222" s="3"/>
      <c r="H222" s="3" t="s">
        <v>2964</v>
      </c>
      <c r="I222" s="3" t="s">
        <v>1868</v>
      </c>
      <c r="J222" s="3">
        <v>1</v>
      </c>
      <c r="K222" s="3">
        <v>0</v>
      </c>
      <c r="L222" s="4">
        <v>2.34</v>
      </c>
      <c r="M222" s="3" t="s">
        <v>1873</v>
      </c>
      <c r="N222" s="3" t="s">
        <v>28</v>
      </c>
      <c r="O222" s="3">
        <v>0</v>
      </c>
      <c r="P222" s="3">
        <v>0</v>
      </c>
      <c r="Q222" s="21">
        <v>9000</v>
      </c>
      <c r="R222" s="3">
        <f t="shared" si="6"/>
        <v>0</v>
      </c>
    </row>
    <row r="223" spans="1:18" x14ac:dyDescent="0.3">
      <c r="A223" s="3" t="s">
        <v>502</v>
      </c>
      <c r="B223" s="4" t="s">
        <v>2465</v>
      </c>
      <c r="C223" s="16" t="s">
        <v>2464</v>
      </c>
      <c r="D223" s="16" t="s">
        <v>2463</v>
      </c>
      <c r="E223" s="3" t="s">
        <v>2996</v>
      </c>
      <c r="F223" s="3"/>
      <c r="G223" s="3"/>
      <c r="H223" s="3" t="s">
        <v>2964</v>
      </c>
      <c r="I223" s="3" t="s">
        <v>1868</v>
      </c>
      <c r="J223" s="3">
        <v>1</v>
      </c>
      <c r="K223" s="3">
        <v>0</v>
      </c>
      <c r="L223" s="4">
        <v>91.2</v>
      </c>
      <c r="M223" s="3" t="s">
        <v>1873</v>
      </c>
      <c r="N223" s="3" t="s">
        <v>28</v>
      </c>
      <c r="O223" s="3">
        <v>0</v>
      </c>
      <c r="P223" s="3">
        <v>0</v>
      </c>
      <c r="Q223" s="21">
        <v>9000</v>
      </c>
      <c r="R223" s="3">
        <f t="shared" si="6"/>
        <v>0</v>
      </c>
    </row>
    <row r="224" spans="1:18" x14ac:dyDescent="0.3">
      <c r="A224" s="3" t="s">
        <v>525</v>
      </c>
      <c r="B224" s="4" t="s">
        <v>2471</v>
      </c>
      <c r="C224" s="16" t="s">
        <v>2470</v>
      </c>
      <c r="D224" s="16" t="s">
        <v>2469</v>
      </c>
      <c r="E224" s="3" t="s">
        <v>2996</v>
      </c>
      <c r="F224" s="3"/>
      <c r="G224" s="3"/>
      <c r="H224" s="3" t="s">
        <v>2971</v>
      </c>
      <c r="I224" s="3" t="s">
        <v>1868</v>
      </c>
      <c r="J224" s="3">
        <v>1</v>
      </c>
      <c r="K224" s="3">
        <v>0</v>
      </c>
      <c r="L224" s="4">
        <v>16.100000000000001</v>
      </c>
      <c r="M224" s="3" t="s">
        <v>1873</v>
      </c>
      <c r="N224" s="3" t="s">
        <v>28</v>
      </c>
      <c r="O224" s="3">
        <v>0</v>
      </c>
      <c r="P224" s="3">
        <v>0</v>
      </c>
      <c r="Q224" s="21">
        <v>9000</v>
      </c>
      <c r="R224" s="3">
        <f t="shared" si="6"/>
        <v>0</v>
      </c>
    </row>
    <row r="225" spans="1:18" x14ac:dyDescent="0.3">
      <c r="A225" s="3" t="s">
        <v>543</v>
      </c>
      <c r="B225" s="4" t="s">
        <v>2474</v>
      </c>
      <c r="C225" s="16" t="s">
        <v>2473</v>
      </c>
      <c r="D225" s="16" t="s">
        <v>2472</v>
      </c>
      <c r="E225" s="3" t="s">
        <v>2996</v>
      </c>
      <c r="F225" s="3"/>
      <c r="G225" s="3"/>
      <c r="H225" s="3" t="s">
        <v>2973</v>
      </c>
      <c r="I225" s="3" t="s">
        <v>1868</v>
      </c>
      <c r="J225" s="3">
        <v>1</v>
      </c>
      <c r="K225" s="3">
        <v>0</v>
      </c>
      <c r="L225" s="4">
        <v>30.1</v>
      </c>
      <c r="M225" s="3" t="s">
        <v>1873</v>
      </c>
      <c r="N225" s="3" t="s">
        <v>28</v>
      </c>
      <c r="O225" s="3">
        <v>0</v>
      </c>
      <c r="P225" s="3">
        <v>0</v>
      </c>
      <c r="Q225" s="21">
        <v>9000</v>
      </c>
      <c r="R225" s="3">
        <f t="shared" si="6"/>
        <v>0</v>
      </c>
    </row>
    <row r="226" spans="1:18" x14ac:dyDescent="0.3">
      <c r="A226" s="3" t="s">
        <v>527</v>
      </c>
      <c r="B226" s="4" t="s">
        <v>2477</v>
      </c>
      <c r="C226" s="16" t="s">
        <v>2476</v>
      </c>
      <c r="D226" s="16" t="s">
        <v>2475</v>
      </c>
      <c r="E226" s="3" t="s">
        <v>2996</v>
      </c>
      <c r="F226" s="3"/>
      <c r="G226" s="3"/>
      <c r="H226" s="3" t="s">
        <v>2964</v>
      </c>
      <c r="I226" s="3" t="s">
        <v>1868</v>
      </c>
      <c r="J226" s="3">
        <v>1</v>
      </c>
      <c r="K226" s="3">
        <v>0</v>
      </c>
      <c r="L226" s="4">
        <v>15</v>
      </c>
      <c r="M226" s="3" t="s">
        <v>1873</v>
      </c>
      <c r="N226" s="3" t="s">
        <v>28</v>
      </c>
      <c r="O226" s="3">
        <v>0</v>
      </c>
      <c r="P226" s="3">
        <v>0</v>
      </c>
      <c r="Q226" s="21">
        <v>9000</v>
      </c>
      <c r="R226" s="3">
        <f t="shared" si="6"/>
        <v>0</v>
      </c>
    </row>
    <row r="227" spans="1:18" x14ac:dyDescent="0.3">
      <c r="A227" s="3" t="s">
        <v>527</v>
      </c>
      <c r="B227" s="4" t="s">
        <v>2480</v>
      </c>
      <c r="C227" s="16" t="s">
        <v>2479</v>
      </c>
      <c r="D227" s="16" t="s">
        <v>2478</v>
      </c>
      <c r="E227" s="3" t="s">
        <v>2996</v>
      </c>
      <c r="F227" s="3"/>
      <c r="G227" s="3"/>
      <c r="H227" s="3" t="s">
        <v>2964</v>
      </c>
      <c r="I227" s="3" t="s">
        <v>1868</v>
      </c>
      <c r="J227" s="3">
        <v>1</v>
      </c>
      <c r="K227" s="3">
        <v>0</v>
      </c>
      <c r="L227" s="4">
        <v>11.88</v>
      </c>
      <c r="M227" s="3" t="s">
        <v>1873</v>
      </c>
      <c r="N227" s="3" t="s">
        <v>28</v>
      </c>
      <c r="O227" s="3">
        <v>0</v>
      </c>
      <c r="P227" s="3">
        <v>0</v>
      </c>
      <c r="Q227" s="21">
        <v>9000</v>
      </c>
      <c r="R227" s="3">
        <f t="shared" si="6"/>
        <v>0</v>
      </c>
    </row>
    <row r="228" spans="1:18" x14ac:dyDescent="0.3">
      <c r="A228" s="3" t="s">
        <v>527</v>
      </c>
      <c r="B228" s="4" t="s">
        <v>2483</v>
      </c>
      <c r="C228" s="16" t="s">
        <v>2482</v>
      </c>
      <c r="D228" s="16" t="s">
        <v>2481</v>
      </c>
      <c r="E228" s="3" t="s">
        <v>2996</v>
      </c>
      <c r="F228" s="3"/>
      <c r="G228" s="3"/>
      <c r="H228" s="3" t="s">
        <v>2964</v>
      </c>
      <c r="I228" s="3" t="s">
        <v>1868</v>
      </c>
      <c r="J228" s="3">
        <v>1</v>
      </c>
      <c r="K228" s="3">
        <v>0</v>
      </c>
      <c r="L228" s="4">
        <v>14</v>
      </c>
      <c r="M228" s="3" t="s">
        <v>1873</v>
      </c>
      <c r="N228" s="3" t="s">
        <v>28</v>
      </c>
      <c r="O228" s="3">
        <v>0</v>
      </c>
      <c r="P228" s="3">
        <v>0</v>
      </c>
      <c r="Q228" s="21">
        <v>9000</v>
      </c>
      <c r="R228" s="3">
        <f t="shared" si="6"/>
        <v>0</v>
      </c>
    </row>
    <row r="229" spans="1:18" x14ac:dyDescent="0.3">
      <c r="A229" s="3" t="s">
        <v>527</v>
      </c>
      <c r="B229" s="4" t="s">
        <v>2486</v>
      </c>
      <c r="C229" s="16" t="s">
        <v>2485</v>
      </c>
      <c r="D229" s="16" t="s">
        <v>2484</v>
      </c>
      <c r="E229" s="3" t="s">
        <v>2996</v>
      </c>
      <c r="F229" s="3"/>
      <c r="G229" s="3"/>
      <c r="H229" s="3" t="s">
        <v>2964</v>
      </c>
      <c r="I229" s="3" t="s">
        <v>1868</v>
      </c>
      <c r="J229" s="3">
        <v>1</v>
      </c>
      <c r="K229" s="3">
        <v>0</v>
      </c>
      <c r="L229" s="4">
        <v>38.9</v>
      </c>
      <c r="M229" s="3" t="s">
        <v>1873</v>
      </c>
      <c r="N229" s="3" t="s">
        <v>28</v>
      </c>
      <c r="O229" s="3">
        <v>0</v>
      </c>
      <c r="P229" s="3">
        <v>0</v>
      </c>
      <c r="Q229" s="21">
        <v>9000</v>
      </c>
      <c r="R229" s="3">
        <f t="shared" si="6"/>
        <v>0</v>
      </c>
    </row>
    <row r="230" spans="1:18" x14ac:dyDescent="0.3">
      <c r="A230" s="3" t="s">
        <v>534</v>
      </c>
      <c r="B230" s="4" t="s">
        <v>2489</v>
      </c>
      <c r="C230" s="16" t="s">
        <v>2488</v>
      </c>
      <c r="D230" s="16" t="s">
        <v>2487</v>
      </c>
      <c r="E230" s="3" t="s">
        <v>2996</v>
      </c>
      <c r="F230" s="3"/>
      <c r="G230" s="3"/>
      <c r="H230" s="3" t="s">
        <v>2974</v>
      </c>
      <c r="I230" s="3" t="s">
        <v>1868</v>
      </c>
      <c r="J230" s="3">
        <v>1</v>
      </c>
      <c r="K230" s="3">
        <v>0</v>
      </c>
      <c r="L230" s="4">
        <v>26</v>
      </c>
      <c r="M230" s="3" t="s">
        <v>1873</v>
      </c>
      <c r="N230" s="3" t="s">
        <v>28</v>
      </c>
      <c r="O230" s="3">
        <v>0</v>
      </c>
      <c r="P230" s="3">
        <v>0</v>
      </c>
      <c r="Q230" s="21">
        <v>9000</v>
      </c>
      <c r="R230" s="3">
        <f t="shared" si="6"/>
        <v>0</v>
      </c>
    </row>
    <row r="231" spans="1:18" x14ac:dyDescent="0.3">
      <c r="A231" s="3" t="s">
        <v>534</v>
      </c>
      <c r="B231" s="4" t="s">
        <v>2492</v>
      </c>
      <c r="C231" s="16" t="s">
        <v>2491</v>
      </c>
      <c r="D231" s="16" t="s">
        <v>2490</v>
      </c>
      <c r="E231" s="3" t="s">
        <v>2996</v>
      </c>
      <c r="F231" s="3"/>
      <c r="G231" s="3"/>
      <c r="H231" s="3" t="s">
        <v>2974</v>
      </c>
      <c r="I231" s="3" t="s">
        <v>1868</v>
      </c>
      <c r="J231" s="3">
        <v>1</v>
      </c>
      <c r="K231" s="3">
        <v>0</v>
      </c>
      <c r="L231" s="4">
        <v>11.7</v>
      </c>
      <c r="M231" s="3" t="s">
        <v>1873</v>
      </c>
      <c r="N231" s="3" t="s">
        <v>28</v>
      </c>
      <c r="O231" s="3">
        <v>0</v>
      </c>
      <c r="P231" s="3">
        <v>0</v>
      </c>
      <c r="Q231" s="21">
        <v>9000</v>
      </c>
      <c r="R231" s="3">
        <f t="shared" si="6"/>
        <v>0</v>
      </c>
    </row>
    <row r="232" spans="1:18" x14ac:dyDescent="0.3">
      <c r="A232" s="3" t="s">
        <v>556</v>
      </c>
      <c r="B232" s="4" t="s">
        <v>2507</v>
      </c>
      <c r="C232" s="16" t="s">
        <v>2506</v>
      </c>
      <c r="D232" s="16" t="s">
        <v>2505</v>
      </c>
      <c r="E232" s="3" t="s">
        <v>2996</v>
      </c>
      <c r="F232" s="3"/>
      <c r="G232" s="3"/>
      <c r="H232" s="3" t="s">
        <v>2990</v>
      </c>
      <c r="I232" s="3" t="s">
        <v>1868</v>
      </c>
      <c r="J232" s="3">
        <v>1</v>
      </c>
      <c r="K232" s="3">
        <v>0</v>
      </c>
      <c r="L232" s="4">
        <v>40</v>
      </c>
      <c r="M232" s="3" t="s">
        <v>1873</v>
      </c>
      <c r="N232" s="3" t="s">
        <v>28</v>
      </c>
      <c r="O232" s="3">
        <v>0</v>
      </c>
      <c r="P232" s="3">
        <v>0</v>
      </c>
      <c r="Q232" s="21">
        <v>9000</v>
      </c>
      <c r="R232" s="3">
        <f t="shared" si="6"/>
        <v>0</v>
      </c>
    </row>
    <row r="233" spans="1:18" x14ac:dyDescent="0.3">
      <c r="A233" s="3" t="s">
        <v>556</v>
      </c>
      <c r="B233" s="4" t="s">
        <v>2510</v>
      </c>
      <c r="C233" s="16" t="s">
        <v>2509</v>
      </c>
      <c r="D233" s="16" t="s">
        <v>2508</v>
      </c>
      <c r="E233" s="3" t="s">
        <v>2996</v>
      </c>
      <c r="F233" s="3"/>
      <c r="G233" s="3"/>
      <c r="H233" s="3" t="s">
        <v>2990</v>
      </c>
      <c r="I233" s="3" t="s">
        <v>1868</v>
      </c>
      <c r="J233" s="3">
        <v>1</v>
      </c>
      <c r="K233" s="3">
        <v>0</v>
      </c>
      <c r="L233" s="4">
        <v>36</v>
      </c>
      <c r="M233" s="3" t="s">
        <v>1873</v>
      </c>
      <c r="N233" s="3" t="s">
        <v>28</v>
      </c>
      <c r="O233" s="3">
        <v>0</v>
      </c>
      <c r="P233" s="3">
        <v>0</v>
      </c>
      <c r="Q233" s="21">
        <v>9000</v>
      </c>
      <c r="R233" s="3">
        <f t="shared" si="6"/>
        <v>0</v>
      </c>
    </row>
    <row r="234" spans="1:18" x14ac:dyDescent="0.3">
      <c r="A234" s="3" t="s">
        <v>556</v>
      </c>
      <c r="B234" s="4" t="s">
        <v>2513</v>
      </c>
      <c r="C234" s="16" t="s">
        <v>2512</v>
      </c>
      <c r="D234" s="16" t="s">
        <v>2511</v>
      </c>
      <c r="E234" s="3" t="s">
        <v>2996</v>
      </c>
      <c r="F234" s="3"/>
      <c r="G234" s="3"/>
      <c r="H234" s="3" t="s">
        <v>2990</v>
      </c>
      <c r="I234" s="3" t="s">
        <v>1868</v>
      </c>
      <c r="J234" s="3">
        <v>1</v>
      </c>
      <c r="K234" s="3">
        <v>0</v>
      </c>
      <c r="L234" s="4">
        <v>23</v>
      </c>
      <c r="M234" s="3" t="s">
        <v>1873</v>
      </c>
      <c r="N234" s="3" t="s">
        <v>28</v>
      </c>
      <c r="O234" s="3">
        <v>0</v>
      </c>
      <c r="P234" s="3">
        <v>0</v>
      </c>
      <c r="Q234" s="21">
        <v>9000</v>
      </c>
      <c r="R234" s="3">
        <f t="shared" si="6"/>
        <v>0</v>
      </c>
    </row>
    <row r="235" spans="1:18" x14ac:dyDescent="0.3">
      <c r="A235" s="3" t="s">
        <v>556</v>
      </c>
      <c r="B235" s="4" t="s">
        <v>2516</v>
      </c>
      <c r="C235" s="16" t="s">
        <v>2515</v>
      </c>
      <c r="D235" s="16" t="s">
        <v>2514</v>
      </c>
      <c r="E235" s="3" t="s">
        <v>2996</v>
      </c>
      <c r="F235" s="3"/>
      <c r="G235" s="3"/>
      <c r="H235" s="3" t="s">
        <v>2990</v>
      </c>
      <c r="I235" s="3" t="s">
        <v>1868</v>
      </c>
      <c r="J235" s="3">
        <v>1</v>
      </c>
      <c r="K235" s="3">
        <v>0</v>
      </c>
      <c r="L235" s="4">
        <v>28.8</v>
      </c>
      <c r="M235" s="3" t="s">
        <v>1873</v>
      </c>
      <c r="N235" s="3" t="s">
        <v>28</v>
      </c>
      <c r="O235" s="3">
        <v>0</v>
      </c>
      <c r="P235" s="3">
        <v>0</v>
      </c>
      <c r="Q235" s="21">
        <v>9000</v>
      </c>
      <c r="R235" s="3">
        <f t="shared" si="6"/>
        <v>0</v>
      </c>
    </row>
    <row r="236" spans="1:18" x14ac:dyDescent="0.3">
      <c r="A236" s="3" t="s">
        <v>553</v>
      </c>
      <c r="B236" s="4" t="s">
        <v>2519</v>
      </c>
      <c r="C236" s="16" t="s">
        <v>2518</v>
      </c>
      <c r="D236" s="16" t="s">
        <v>2517</v>
      </c>
      <c r="E236" s="3" t="s">
        <v>2996</v>
      </c>
      <c r="F236" s="3"/>
      <c r="G236" s="3"/>
      <c r="H236" s="3" t="s">
        <v>2991</v>
      </c>
      <c r="I236" s="3" t="s">
        <v>1868</v>
      </c>
      <c r="J236" s="3">
        <v>1</v>
      </c>
      <c r="K236" s="3">
        <v>0</v>
      </c>
      <c r="L236" s="4">
        <v>48.8</v>
      </c>
      <c r="M236" s="3" t="s">
        <v>1873</v>
      </c>
      <c r="N236" s="3" t="s">
        <v>28</v>
      </c>
      <c r="O236" s="3">
        <v>0</v>
      </c>
      <c r="P236" s="3">
        <v>0</v>
      </c>
      <c r="Q236" s="21">
        <v>9000</v>
      </c>
      <c r="R236" s="3">
        <f t="shared" si="6"/>
        <v>0</v>
      </c>
    </row>
    <row r="237" spans="1:18" x14ac:dyDescent="0.3">
      <c r="A237" s="3" t="s">
        <v>558</v>
      </c>
      <c r="B237" s="4" t="s">
        <v>2522</v>
      </c>
      <c r="C237" s="16" t="s">
        <v>2521</v>
      </c>
      <c r="D237" s="16" t="s">
        <v>2520</v>
      </c>
      <c r="E237" s="3" t="s">
        <v>2996</v>
      </c>
      <c r="F237" s="3"/>
      <c r="G237" s="3"/>
      <c r="H237" s="3" t="s">
        <v>2964</v>
      </c>
      <c r="I237" s="3" t="s">
        <v>1868</v>
      </c>
      <c r="J237" s="3">
        <v>1</v>
      </c>
      <c r="K237" s="3">
        <v>0</v>
      </c>
      <c r="L237" s="4">
        <v>15</v>
      </c>
      <c r="M237" s="3" t="s">
        <v>1873</v>
      </c>
      <c r="N237" s="3" t="s">
        <v>28</v>
      </c>
      <c r="O237" s="3">
        <v>0</v>
      </c>
      <c r="P237" s="3">
        <v>0</v>
      </c>
      <c r="Q237" s="21">
        <v>9000</v>
      </c>
      <c r="R237" s="3">
        <f t="shared" si="6"/>
        <v>0</v>
      </c>
    </row>
    <row r="238" spans="1:18" x14ac:dyDescent="0.3">
      <c r="A238" s="3" t="s">
        <v>558</v>
      </c>
      <c r="B238" s="4" t="s">
        <v>2525</v>
      </c>
      <c r="C238" s="16" t="s">
        <v>2524</v>
      </c>
      <c r="D238" s="16" t="s">
        <v>2523</v>
      </c>
      <c r="E238" s="3" t="s">
        <v>2996</v>
      </c>
      <c r="F238" s="3"/>
      <c r="G238" s="3"/>
      <c r="H238" s="3" t="s">
        <v>2964</v>
      </c>
      <c r="I238" s="3" t="s">
        <v>1868</v>
      </c>
      <c r="J238" s="3">
        <v>1</v>
      </c>
      <c r="K238" s="3">
        <v>0</v>
      </c>
      <c r="L238" s="4">
        <v>9.1999999999999993</v>
      </c>
      <c r="M238" s="3" t="s">
        <v>1873</v>
      </c>
      <c r="N238" s="3" t="s">
        <v>28</v>
      </c>
      <c r="O238" s="3">
        <v>0</v>
      </c>
      <c r="P238" s="3">
        <v>0</v>
      </c>
      <c r="Q238" s="21">
        <v>9000</v>
      </c>
      <c r="R238" s="3">
        <f t="shared" si="6"/>
        <v>0</v>
      </c>
    </row>
    <row r="239" spans="1:18" x14ac:dyDescent="0.3">
      <c r="A239" s="3" t="s">
        <v>558</v>
      </c>
      <c r="B239" s="4" t="s">
        <v>2528</v>
      </c>
      <c r="C239" s="16" t="s">
        <v>2527</v>
      </c>
      <c r="D239" s="16" t="s">
        <v>2526</v>
      </c>
      <c r="E239" s="3" t="s">
        <v>2996</v>
      </c>
      <c r="F239" s="3"/>
      <c r="G239" s="3"/>
      <c r="H239" s="3" t="s">
        <v>2964</v>
      </c>
      <c r="I239" s="3" t="s">
        <v>1868</v>
      </c>
      <c r="J239" s="3">
        <v>1</v>
      </c>
      <c r="K239" s="3">
        <v>0</v>
      </c>
      <c r="L239" s="4">
        <v>41.4</v>
      </c>
      <c r="M239" s="3" t="s">
        <v>1873</v>
      </c>
      <c r="N239" s="3" t="s">
        <v>28</v>
      </c>
      <c r="O239" s="3">
        <v>0</v>
      </c>
      <c r="P239" s="3">
        <v>0</v>
      </c>
      <c r="Q239" s="21">
        <v>9000</v>
      </c>
      <c r="R239" s="3">
        <f t="shared" si="6"/>
        <v>0</v>
      </c>
    </row>
    <row r="240" spans="1:18" x14ac:dyDescent="0.3">
      <c r="A240" s="3" t="s">
        <v>558</v>
      </c>
      <c r="B240" s="4" t="s">
        <v>2531</v>
      </c>
      <c r="C240" s="16" t="s">
        <v>2530</v>
      </c>
      <c r="D240" s="16" t="s">
        <v>2529</v>
      </c>
      <c r="E240" s="3" t="s">
        <v>2996</v>
      </c>
      <c r="F240" s="3"/>
      <c r="G240" s="3"/>
      <c r="H240" s="3" t="s">
        <v>2964</v>
      </c>
      <c r="I240" s="3" t="s">
        <v>1868</v>
      </c>
      <c r="J240" s="3">
        <v>1</v>
      </c>
      <c r="K240" s="3">
        <v>0</v>
      </c>
      <c r="L240" s="4">
        <v>14.8</v>
      </c>
      <c r="M240" s="3" t="s">
        <v>1873</v>
      </c>
      <c r="N240" s="3" t="s">
        <v>28</v>
      </c>
      <c r="O240" s="3">
        <v>0</v>
      </c>
      <c r="P240" s="3">
        <v>0</v>
      </c>
      <c r="Q240" s="21">
        <v>9000</v>
      </c>
      <c r="R240" s="3">
        <f t="shared" si="6"/>
        <v>0</v>
      </c>
    </row>
    <row r="241" spans="1:18" x14ac:dyDescent="0.3">
      <c r="A241" s="3" t="s">
        <v>544</v>
      </c>
      <c r="B241" s="4" t="s">
        <v>2534</v>
      </c>
      <c r="C241" s="16" t="s">
        <v>2533</v>
      </c>
      <c r="D241" s="16" t="s">
        <v>2532</v>
      </c>
      <c r="E241" s="3" t="s">
        <v>2996</v>
      </c>
      <c r="F241" s="3"/>
      <c r="G241" s="3"/>
      <c r="H241" s="3" t="s">
        <v>2974</v>
      </c>
      <c r="I241" s="3" t="s">
        <v>1868</v>
      </c>
      <c r="J241" s="3">
        <v>1</v>
      </c>
      <c r="K241" s="3">
        <v>0</v>
      </c>
      <c r="L241" s="4">
        <v>9.1999999999999993</v>
      </c>
      <c r="M241" s="3" t="s">
        <v>1873</v>
      </c>
      <c r="N241" s="3" t="s">
        <v>28</v>
      </c>
      <c r="O241" s="3">
        <v>0</v>
      </c>
      <c r="P241" s="3">
        <v>0</v>
      </c>
      <c r="Q241" s="21">
        <v>9000</v>
      </c>
      <c r="R241" s="3">
        <f t="shared" si="6"/>
        <v>0</v>
      </c>
    </row>
    <row r="242" spans="1:18" x14ac:dyDescent="0.3">
      <c r="A242" s="3" t="s">
        <v>541</v>
      </c>
      <c r="B242" s="4" t="s">
        <v>2537</v>
      </c>
      <c r="C242" s="16" t="s">
        <v>2536</v>
      </c>
      <c r="D242" s="16" t="s">
        <v>2535</v>
      </c>
      <c r="E242" s="3" t="s">
        <v>2996</v>
      </c>
      <c r="F242" s="3"/>
      <c r="G242" s="3"/>
      <c r="H242" s="3" t="s">
        <v>2980</v>
      </c>
      <c r="I242" s="3" t="s">
        <v>1868</v>
      </c>
      <c r="J242" s="3">
        <v>1</v>
      </c>
      <c r="K242" s="3">
        <v>0</v>
      </c>
      <c r="L242" s="4">
        <v>15</v>
      </c>
      <c r="M242" s="3" t="s">
        <v>1873</v>
      </c>
      <c r="N242" s="3" t="s">
        <v>28</v>
      </c>
      <c r="O242" s="3">
        <v>0</v>
      </c>
      <c r="P242" s="3">
        <v>0</v>
      </c>
      <c r="Q242" s="21">
        <v>9000</v>
      </c>
      <c r="R242" s="3">
        <f t="shared" si="6"/>
        <v>0</v>
      </c>
    </row>
    <row r="243" spans="1:18" x14ac:dyDescent="0.3">
      <c r="A243" s="3" t="s">
        <v>561</v>
      </c>
      <c r="B243" s="4" t="s">
        <v>2543</v>
      </c>
      <c r="C243" s="16" t="s">
        <v>2542</v>
      </c>
      <c r="D243" s="16" t="s">
        <v>2541</v>
      </c>
      <c r="E243" s="3" t="s">
        <v>2996</v>
      </c>
      <c r="F243" s="3"/>
      <c r="G243" s="3"/>
      <c r="H243" s="3" t="s">
        <v>2969</v>
      </c>
      <c r="I243" s="3" t="s">
        <v>1868</v>
      </c>
      <c r="J243" s="3">
        <v>1</v>
      </c>
      <c r="K243" s="3">
        <v>0</v>
      </c>
      <c r="L243" s="4">
        <v>24</v>
      </c>
      <c r="M243" s="3" t="s">
        <v>1873</v>
      </c>
      <c r="N243" s="3" t="s">
        <v>28</v>
      </c>
      <c r="O243" s="3">
        <v>0</v>
      </c>
      <c r="P243" s="3">
        <v>0</v>
      </c>
      <c r="Q243" s="21">
        <v>9000</v>
      </c>
      <c r="R243" s="3">
        <f t="shared" si="6"/>
        <v>0</v>
      </c>
    </row>
    <row r="244" spans="1:18" x14ac:dyDescent="0.3">
      <c r="A244" s="3" t="s">
        <v>584</v>
      </c>
      <c r="B244" s="4" t="s">
        <v>2549</v>
      </c>
      <c r="C244" s="16" t="s">
        <v>2548</v>
      </c>
      <c r="D244" s="16" t="s">
        <v>2547</v>
      </c>
      <c r="E244" s="3" t="s">
        <v>2996</v>
      </c>
      <c r="F244" s="3"/>
      <c r="G244" s="3"/>
      <c r="H244" s="3" t="s">
        <v>2987</v>
      </c>
      <c r="I244" s="3" t="s">
        <v>1868</v>
      </c>
      <c r="J244" s="3">
        <v>1</v>
      </c>
      <c r="K244" s="3">
        <v>0</v>
      </c>
      <c r="L244" s="4">
        <v>32.200000000000003</v>
      </c>
      <c r="M244" s="3" t="s">
        <v>1873</v>
      </c>
      <c r="N244" s="3" t="s">
        <v>28</v>
      </c>
      <c r="O244" s="3">
        <v>0</v>
      </c>
      <c r="P244" s="3">
        <v>0</v>
      </c>
      <c r="Q244" s="21">
        <v>9000</v>
      </c>
      <c r="R244" s="3">
        <f t="shared" si="6"/>
        <v>0</v>
      </c>
    </row>
    <row r="245" spans="1:18" x14ac:dyDescent="0.3">
      <c r="A245" s="3" t="s">
        <v>584</v>
      </c>
      <c r="B245" s="4" t="s">
        <v>2552</v>
      </c>
      <c r="C245" s="16" t="s">
        <v>2551</v>
      </c>
      <c r="D245" s="16" t="s">
        <v>2550</v>
      </c>
      <c r="E245" s="3" t="s">
        <v>2996</v>
      </c>
      <c r="F245" s="3"/>
      <c r="G245" s="3"/>
      <c r="H245" s="3" t="s">
        <v>2987</v>
      </c>
      <c r="I245" s="3" t="s">
        <v>1868</v>
      </c>
      <c r="J245" s="3">
        <v>1</v>
      </c>
      <c r="K245" s="3">
        <v>0</v>
      </c>
      <c r="L245" s="4">
        <v>18.399999999999999</v>
      </c>
      <c r="M245" s="3" t="s">
        <v>1873</v>
      </c>
      <c r="N245" s="3" t="s">
        <v>28</v>
      </c>
      <c r="O245" s="3">
        <v>0</v>
      </c>
      <c r="P245" s="3">
        <v>0</v>
      </c>
      <c r="Q245" s="21">
        <v>9000</v>
      </c>
      <c r="R245" s="3">
        <f t="shared" si="6"/>
        <v>0</v>
      </c>
    </row>
    <row r="246" spans="1:18" x14ac:dyDescent="0.3">
      <c r="A246" s="3" t="s">
        <v>584</v>
      </c>
      <c r="B246" s="4" t="s">
        <v>2555</v>
      </c>
      <c r="C246" s="16" t="s">
        <v>2554</v>
      </c>
      <c r="D246" s="16" t="s">
        <v>2553</v>
      </c>
      <c r="E246" s="3" t="s">
        <v>2996</v>
      </c>
      <c r="F246" s="3"/>
      <c r="G246" s="3"/>
      <c r="H246" s="3" t="s">
        <v>2987</v>
      </c>
      <c r="I246" s="3" t="s">
        <v>1868</v>
      </c>
      <c r="J246" s="3">
        <v>1</v>
      </c>
      <c r="K246" s="3">
        <v>0</v>
      </c>
      <c r="L246" s="4">
        <v>20</v>
      </c>
      <c r="M246" s="3" t="s">
        <v>1873</v>
      </c>
      <c r="N246" s="3" t="s">
        <v>28</v>
      </c>
      <c r="O246" s="3">
        <v>0</v>
      </c>
      <c r="P246" s="3">
        <v>0</v>
      </c>
      <c r="Q246" s="21">
        <v>9000</v>
      </c>
      <c r="R246" s="3">
        <f t="shared" si="6"/>
        <v>0</v>
      </c>
    </row>
    <row r="247" spans="1:18" x14ac:dyDescent="0.3">
      <c r="A247" s="3" t="s">
        <v>584</v>
      </c>
      <c r="B247" s="4" t="s">
        <v>2558</v>
      </c>
      <c r="C247" s="16" t="s">
        <v>2557</v>
      </c>
      <c r="D247" s="16" t="s">
        <v>2556</v>
      </c>
      <c r="E247" s="3" t="s">
        <v>2996</v>
      </c>
      <c r="F247" s="3"/>
      <c r="G247" s="3"/>
      <c r="H247" s="3" t="s">
        <v>2987</v>
      </c>
      <c r="I247" s="3" t="s">
        <v>1868</v>
      </c>
      <c r="J247" s="3">
        <v>1</v>
      </c>
      <c r="K247" s="3">
        <v>0</v>
      </c>
      <c r="L247" s="4">
        <v>14.1</v>
      </c>
      <c r="M247" s="3" t="s">
        <v>1873</v>
      </c>
      <c r="N247" s="3" t="s">
        <v>28</v>
      </c>
      <c r="O247" s="3">
        <v>0</v>
      </c>
      <c r="P247" s="3">
        <v>0</v>
      </c>
      <c r="Q247" s="21">
        <v>9000</v>
      </c>
      <c r="R247" s="3">
        <f t="shared" si="6"/>
        <v>0</v>
      </c>
    </row>
    <row r="248" spans="1:18" x14ac:dyDescent="0.3">
      <c r="A248" s="3" t="s">
        <v>584</v>
      </c>
      <c r="B248" s="4" t="s">
        <v>2561</v>
      </c>
      <c r="C248" s="16" t="s">
        <v>2560</v>
      </c>
      <c r="D248" s="16" t="s">
        <v>2559</v>
      </c>
      <c r="E248" s="3" t="s">
        <v>2996</v>
      </c>
      <c r="F248" s="3"/>
      <c r="G248" s="3"/>
      <c r="H248" s="3" t="s">
        <v>2987</v>
      </c>
      <c r="I248" s="3" t="s">
        <v>1868</v>
      </c>
      <c r="J248" s="3">
        <v>1</v>
      </c>
      <c r="K248" s="3">
        <v>0</v>
      </c>
      <c r="L248" s="4">
        <v>34.5</v>
      </c>
      <c r="M248" s="3" t="s">
        <v>1873</v>
      </c>
      <c r="N248" s="3" t="s">
        <v>28</v>
      </c>
      <c r="O248" s="3">
        <v>0</v>
      </c>
      <c r="P248" s="3">
        <v>0</v>
      </c>
      <c r="Q248" s="21">
        <v>9000</v>
      </c>
      <c r="R248" s="3">
        <f t="shared" si="6"/>
        <v>0</v>
      </c>
    </row>
    <row r="249" spans="1:18" x14ac:dyDescent="0.3">
      <c r="A249" s="3" t="s">
        <v>606</v>
      </c>
      <c r="B249" s="4" t="s">
        <v>2564</v>
      </c>
      <c r="C249" s="16" t="s">
        <v>2563</v>
      </c>
      <c r="D249" s="16" t="s">
        <v>2562</v>
      </c>
      <c r="E249" s="3" t="s">
        <v>2996</v>
      </c>
      <c r="F249" s="3"/>
      <c r="G249" s="3"/>
      <c r="H249" s="3" t="s">
        <v>2964</v>
      </c>
      <c r="I249" s="3" t="s">
        <v>1868</v>
      </c>
      <c r="J249" s="3">
        <v>1</v>
      </c>
      <c r="K249" s="3">
        <v>0</v>
      </c>
      <c r="L249" s="4">
        <v>10.5</v>
      </c>
      <c r="M249" s="3" t="s">
        <v>1873</v>
      </c>
      <c r="N249" s="3" t="s">
        <v>28</v>
      </c>
      <c r="O249" s="3">
        <v>0</v>
      </c>
      <c r="P249" s="3">
        <v>0</v>
      </c>
      <c r="Q249" s="21">
        <v>9000</v>
      </c>
      <c r="R249" s="3">
        <f t="shared" si="6"/>
        <v>0</v>
      </c>
    </row>
    <row r="250" spans="1:18" x14ac:dyDescent="0.3">
      <c r="A250" s="3" t="s">
        <v>606</v>
      </c>
      <c r="B250" s="4" t="s">
        <v>2567</v>
      </c>
      <c r="C250" s="16" t="s">
        <v>2566</v>
      </c>
      <c r="D250" s="16" t="s">
        <v>2565</v>
      </c>
      <c r="E250" s="3" t="s">
        <v>2996</v>
      </c>
      <c r="F250" s="3"/>
      <c r="G250" s="3"/>
      <c r="H250" s="3" t="s">
        <v>2964</v>
      </c>
      <c r="I250" s="3" t="s">
        <v>1868</v>
      </c>
      <c r="J250" s="3">
        <v>1</v>
      </c>
      <c r="K250" s="3">
        <v>0</v>
      </c>
      <c r="L250" s="4">
        <v>11.5</v>
      </c>
      <c r="M250" s="3" t="s">
        <v>1873</v>
      </c>
      <c r="N250" s="3" t="s">
        <v>28</v>
      </c>
      <c r="O250" s="3">
        <v>0</v>
      </c>
      <c r="P250" s="3">
        <v>0</v>
      </c>
      <c r="Q250" s="21">
        <v>9000</v>
      </c>
      <c r="R250" s="3">
        <f t="shared" si="6"/>
        <v>0</v>
      </c>
    </row>
    <row r="251" spans="1:18" x14ac:dyDescent="0.3">
      <c r="A251" s="3" t="s">
        <v>606</v>
      </c>
      <c r="B251" s="4" t="s">
        <v>2570</v>
      </c>
      <c r="C251" s="16" t="s">
        <v>2569</v>
      </c>
      <c r="D251" s="16" t="s">
        <v>2568</v>
      </c>
      <c r="E251" s="3" t="s">
        <v>2996</v>
      </c>
      <c r="F251" s="3"/>
      <c r="G251" s="3"/>
      <c r="H251" s="3" t="s">
        <v>2964</v>
      </c>
      <c r="I251" s="3" t="s">
        <v>1868</v>
      </c>
      <c r="J251" s="3">
        <v>1</v>
      </c>
      <c r="K251" s="3">
        <v>0</v>
      </c>
      <c r="L251" s="4">
        <v>23.1</v>
      </c>
      <c r="M251" s="3" t="s">
        <v>1873</v>
      </c>
      <c r="N251" s="3" t="s">
        <v>28</v>
      </c>
      <c r="O251" s="3">
        <v>0</v>
      </c>
      <c r="P251" s="3">
        <v>0</v>
      </c>
      <c r="Q251" s="21">
        <v>9000</v>
      </c>
      <c r="R251" s="3">
        <f t="shared" si="6"/>
        <v>0</v>
      </c>
    </row>
    <row r="252" spans="1:18" x14ac:dyDescent="0.3">
      <c r="A252" s="3" t="s">
        <v>575</v>
      </c>
      <c r="B252" s="4" t="s">
        <v>2573</v>
      </c>
      <c r="C252" s="16" t="s">
        <v>2572</v>
      </c>
      <c r="D252" s="16" t="s">
        <v>2571</v>
      </c>
      <c r="E252" s="3" t="s">
        <v>2996</v>
      </c>
      <c r="F252" s="3"/>
      <c r="G252" s="3"/>
      <c r="H252" s="3" t="s">
        <v>2992</v>
      </c>
      <c r="I252" s="3" t="s">
        <v>1868</v>
      </c>
      <c r="J252" s="3">
        <v>1</v>
      </c>
      <c r="K252" s="3">
        <v>0</v>
      </c>
      <c r="L252" s="4">
        <v>84.96</v>
      </c>
      <c r="M252" s="3" t="s">
        <v>1873</v>
      </c>
      <c r="N252" s="3" t="s">
        <v>28</v>
      </c>
      <c r="O252" s="3">
        <v>0</v>
      </c>
      <c r="P252" s="3">
        <v>0</v>
      </c>
      <c r="Q252" s="21">
        <v>9000</v>
      </c>
      <c r="R252" s="3">
        <f t="shared" si="6"/>
        <v>0</v>
      </c>
    </row>
    <row r="253" spans="1:18" x14ac:dyDescent="0.3">
      <c r="A253" s="3" t="s">
        <v>596</v>
      </c>
      <c r="B253" s="4" t="s">
        <v>2586</v>
      </c>
      <c r="C253" s="16" t="s">
        <v>2585</v>
      </c>
      <c r="D253" s="16" t="s">
        <v>2584</v>
      </c>
      <c r="E253" s="3" t="s">
        <v>2996</v>
      </c>
      <c r="F253" s="3"/>
      <c r="G253" s="3"/>
      <c r="H253" s="3" t="s">
        <v>2967</v>
      </c>
      <c r="I253" s="3" t="s">
        <v>1868</v>
      </c>
      <c r="J253" s="3">
        <v>1</v>
      </c>
      <c r="K253" s="3">
        <v>0</v>
      </c>
      <c r="L253" s="4">
        <v>17.25</v>
      </c>
      <c r="M253" s="3" t="s">
        <v>1873</v>
      </c>
      <c r="N253" s="3" t="s">
        <v>28</v>
      </c>
      <c r="O253" s="3">
        <v>0</v>
      </c>
      <c r="P253" s="3">
        <v>0</v>
      </c>
      <c r="Q253" s="21">
        <v>9000</v>
      </c>
      <c r="R253" s="3">
        <f t="shared" si="6"/>
        <v>0</v>
      </c>
    </row>
    <row r="254" spans="1:18" x14ac:dyDescent="0.3">
      <c r="A254" s="3" t="s">
        <v>587</v>
      </c>
      <c r="B254" s="4" t="s">
        <v>2592</v>
      </c>
      <c r="C254" s="16" t="s">
        <v>2591</v>
      </c>
      <c r="D254" s="16" t="s">
        <v>2590</v>
      </c>
      <c r="E254" s="3" t="s">
        <v>2996</v>
      </c>
      <c r="F254" s="3"/>
      <c r="G254" s="3"/>
      <c r="H254" s="3" t="s">
        <v>2964</v>
      </c>
      <c r="I254" s="3" t="s">
        <v>1868</v>
      </c>
      <c r="J254" s="3">
        <v>1</v>
      </c>
      <c r="K254" s="3">
        <v>0</v>
      </c>
      <c r="L254" s="4">
        <v>80</v>
      </c>
      <c r="M254" s="3" t="s">
        <v>1873</v>
      </c>
      <c r="N254" s="3" t="s">
        <v>28</v>
      </c>
      <c r="O254" s="3">
        <v>0</v>
      </c>
      <c r="P254" s="3">
        <v>0</v>
      </c>
      <c r="Q254" s="21">
        <v>9000</v>
      </c>
      <c r="R254" s="3">
        <f t="shared" si="6"/>
        <v>0</v>
      </c>
    </row>
    <row r="255" spans="1:18" x14ac:dyDescent="0.3">
      <c r="A255" s="3" t="s">
        <v>604</v>
      </c>
      <c r="B255" s="4" t="s">
        <v>2595</v>
      </c>
      <c r="C255" s="16" t="s">
        <v>2594</v>
      </c>
      <c r="D255" s="16" t="s">
        <v>2593</v>
      </c>
      <c r="E255" s="3" t="s">
        <v>2996</v>
      </c>
      <c r="F255" s="3"/>
      <c r="G255" s="3"/>
      <c r="H255" s="3" t="s">
        <v>2976</v>
      </c>
      <c r="I255" s="3" t="s">
        <v>1868</v>
      </c>
      <c r="J255" s="3">
        <v>1</v>
      </c>
      <c r="K255" s="3">
        <v>0</v>
      </c>
      <c r="L255" s="4">
        <v>89.85</v>
      </c>
      <c r="M255" s="3" t="s">
        <v>1873</v>
      </c>
      <c r="N255" s="3" t="s">
        <v>28</v>
      </c>
      <c r="O255" s="3">
        <v>0</v>
      </c>
      <c r="P255" s="3">
        <v>0</v>
      </c>
      <c r="Q255" s="21">
        <v>9000</v>
      </c>
      <c r="R255" s="3">
        <f t="shared" si="6"/>
        <v>0</v>
      </c>
    </row>
    <row r="256" spans="1:18" x14ac:dyDescent="0.3">
      <c r="A256" s="3" t="s">
        <v>604</v>
      </c>
      <c r="B256" s="4" t="s">
        <v>2598</v>
      </c>
      <c r="C256" s="16" t="s">
        <v>2597</v>
      </c>
      <c r="D256" s="16" t="s">
        <v>2596</v>
      </c>
      <c r="E256" s="3" t="s">
        <v>2996</v>
      </c>
      <c r="F256" s="3"/>
      <c r="G256" s="3"/>
      <c r="H256" s="3" t="s">
        <v>2976</v>
      </c>
      <c r="I256" s="3" t="s">
        <v>1868</v>
      </c>
      <c r="J256" s="3">
        <v>1</v>
      </c>
      <c r="K256" s="3">
        <v>0</v>
      </c>
      <c r="L256" s="4">
        <v>5.4</v>
      </c>
      <c r="M256" s="3" t="s">
        <v>1873</v>
      </c>
      <c r="N256" s="3" t="s">
        <v>28</v>
      </c>
      <c r="O256" s="3">
        <v>0</v>
      </c>
      <c r="P256" s="3">
        <v>0</v>
      </c>
      <c r="Q256" s="21">
        <v>9000</v>
      </c>
      <c r="R256" s="3">
        <f t="shared" si="6"/>
        <v>0</v>
      </c>
    </row>
    <row r="257" spans="1:18" x14ac:dyDescent="0.3">
      <c r="A257" s="3" t="s">
        <v>634</v>
      </c>
      <c r="B257" s="4" t="s">
        <v>2612</v>
      </c>
      <c r="C257" s="16" t="s">
        <v>2611</v>
      </c>
      <c r="D257" s="16" t="s">
        <v>2610</v>
      </c>
      <c r="E257" s="3" t="s">
        <v>2996</v>
      </c>
      <c r="F257" s="3"/>
      <c r="G257" s="3"/>
      <c r="H257" s="3" t="s">
        <v>2987</v>
      </c>
      <c r="I257" s="3" t="s">
        <v>1868</v>
      </c>
      <c r="J257" s="3">
        <v>1</v>
      </c>
      <c r="K257" s="3">
        <v>0</v>
      </c>
      <c r="L257" s="4">
        <v>7.26</v>
      </c>
      <c r="M257" s="3" t="s">
        <v>1873</v>
      </c>
      <c r="N257" s="3" t="s">
        <v>28</v>
      </c>
      <c r="O257" s="3">
        <v>0</v>
      </c>
      <c r="P257" s="3">
        <v>0</v>
      </c>
      <c r="Q257" s="21">
        <v>9000</v>
      </c>
      <c r="R257" s="3">
        <f t="shared" si="6"/>
        <v>0</v>
      </c>
    </row>
    <row r="258" spans="1:18" x14ac:dyDescent="0.3">
      <c r="A258" s="3" t="s">
        <v>634</v>
      </c>
      <c r="B258" s="4" t="s">
        <v>2615</v>
      </c>
      <c r="C258" s="16" t="s">
        <v>2614</v>
      </c>
      <c r="D258" s="16" t="s">
        <v>2613</v>
      </c>
      <c r="E258" s="3" t="s">
        <v>2996</v>
      </c>
      <c r="F258" s="3"/>
      <c r="G258" s="3"/>
      <c r="H258" s="3" t="s">
        <v>2987</v>
      </c>
      <c r="I258" s="3" t="s">
        <v>1868</v>
      </c>
      <c r="J258" s="3">
        <v>1</v>
      </c>
      <c r="K258" s="3">
        <v>0</v>
      </c>
      <c r="L258" s="4">
        <v>5.94</v>
      </c>
      <c r="M258" s="3" t="s">
        <v>1873</v>
      </c>
      <c r="N258" s="3" t="s">
        <v>28</v>
      </c>
      <c r="O258" s="3">
        <v>0</v>
      </c>
      <c r="P258" s="3">
        <v>0</v>
      </c>
      <c r="Q258" s="21">
        <v>9000</v>
      </c>
      <c r="R258" s="3">
        <f t="shared" si="6"/>
        <v>0</v>
      </c>
    </row>
    <row r="259" spans="1:18" x14ac:dyDescent="0.3">
      <c r="A259" s="3" t="s">
        <v>634</v>
      </c>
      <c r="B259" s="4" t="s">
        <v>2618</v>
      </c>
      <c r="C259" s="16" t="s">
        <v>2617</v>
      </c>
      <c r="D259" s="16" t="s">
        <v>2616</v>
      </c>
      <c r="E259" s="3" t="s">
        <v>2996</v>
      </c>
      <c r="F259" s="3"/>
      <c r="G259" s="3"/>
      <c r="H259" s="3" t="s">
        <v>2987</v>
      </c>
      <c r="I259" s="3" t="s">
        <v>1868</v>
      </c>
      <c r="J259" s="3">
        <v>1</v>
      </c>
      <c r="K259" s="3">
        <v>0</v>
      </c>
      <c r="L259" s="4">
        <v>20</v>
      </c>
      <c r="M259" s="3" t="s">
        <v>1873</v>
      </c>
      <c r="N259" s="3" t="s">
        <v>28</v>
      </c>
      <c r="O259" s="3">
        <v>0</v>
      </c>
      <c r="P259" s="3">
        <v>0</v>
      </c>
      <c r="Q259" s="21">
        <v>9000</v>
      </c>
      <c r="R259" s="3">
        <f t="shared" si="6"/>
        <v>0</v>
      </c>
    </row>
    <row r="260" spans="1:18" x14ac:dyDescent="0.3">
      <c r="A260" s="3" t="s">
        <v>634</v>
      </c>
      <c r="B260" s="4" t="s">
        <v>2621</v>
      </c>
      <c r="C260" s="16" t="s">
        <v>2620</v>
      </c>
      <c r="D260" s="16" t="s">
        <v>2619</v>
      </c>
      <c r="E260" s="3" t="s">
        <v>2996</v>
      </c>
      <c r="F260" s="3"/>
      <c r="G260" s="3"/>
      <c r="H260" s="3" t="s">
        <v>2987</v>
      </c>
      <c r="I260" s="3" t="s">
        <v>1868</v>
      </c>
      <c r="J260" s="3">
        <v>1</v>
      </c>
      <c r="K260" s="3">
        <v>0</v>
      </c>
      <c r="L260" s="4">
        <v>28.5</v>
      </c>
      <c r="M260" s="3" t="s">
        <v>1873</v>
      </c>
      <c r="N260" s="3" t="s">
        <v>28</v>
      </c>
      <c r="O260" s="3">
        <v>0</v>
      </c>
      <c r="P260" s="3">
        <v>0</v>
      </c>
      <c r="Q260" s="21">
        <v>9000</v>
      </c>
      <c r="R260" s="3">
        <f t="shared" si="6"/>
        <v>0</v>
      </c>
    </row>
    <row r="261" spans="1:18" x14ac:dyDescent="0.3">
      <c r="A261" s="3" t="s">
        <v>634</v>
      </c>
      <c r="B261" s="4" t="s">
        <v>2624</v>
      </c>
      <c r="C261" s="16" t="s">
        <v>2623</v>
      </c>
      <c r="D261" s="16" t="s">
        <v>2622</v>
      </c>
      <c r="E261" s="3" t="s">
        <v>2996</v>
      </c>
      <c r="F261" s="3"/>
      <c r="G261" s="3"/>
      <c r="H261" s="3" t="s">
        <v>2987</v>
      </c>
      <c r="I261" s="3" t="s">
        <v>1868</v>
      </c>
      <c r="J261" s="3">
        <v>1</v>
      </c>
      <c r="K261" s="3">
        <v>0</v>
      </c>
      <c r="L261" s="4">
        <v>20</v>
      </c>
      <c r="M261" s="3" t="s">
        <v>1873</v>
      </c>
      <c r="N261" s="3" t="s">
        <v>28</v>
      </c>
      <c r="O261" s="3">
        <v>0</v>
      </c>
      <c r="P261" s="3">
        <v>0</v>
      </c>
      <c r="Q261" s="21">
        <v>9000</v>
      </c>
      <c r="R261" s="3">
        <f t="shared" si="6"/>
        <v>0</v>
      </c>
    </row>
    <row r="262" spans="1:18" x14ac:dyDescent="0.3">
      <c r="A262" s="3" t="s">
        <v>685</v>
      </c>
      <c r="B262" s="4" t="s">
        <v>2649</v>
      </c>
      <c r="C262" s="16" t="s">
        <v>2648</v>
      </c>
      <c r="D262" s="16" t="s">
        <v>2647</v>
      </c>
      <c r="E262" s="3" t="s">
        <v>2996</v>
      </c>
      <c r="F262" s="3"/>
      <c r="G262" s="3"/>
      <c r="H262" s="3" t="s">
        <v>2974</v>
      </c>
      <c r="I262" s="3" t="s">
        <v>1868</v>
      </c>
      <c r="J262" s="3">
        <v>1</v>
      </c>
      <c r="K262" s="3">
        <v>0</v>
      </c>
      <c r="L262" s="4">
        <v>27.6</v>
      </c>
      <c r="M262" s="3" t="s">
        <v>1873</v>
      </c>
      <c r="N262" s="3" t="s">
        <v>28</v>
      </c>
      <c r="O262" s="3">
        <v>0</v>
      </c>
      <c r="P262" s="3">
        <v>0</v>
      </c>
      <c r="Q262" s="21">
        <v>9000</v>
      </c>
      <c r="R262" s="3">
        <f t="shared" si="6"/>
        <v>0</v>
      </c>
    </row>
    <row r="263" spans="1:18" x14ac:dyDescent="0.3">
      <c r="A263" s="3" t="s">
        <v>685</v>
      </c>
      <c r="B263" s="4" t="s">
        <v>2652</v>
      </c>
      <c r="C263" s="16" t="s">
        <v>2651</v>
      </c>
      <c r="D263" s="16" t="s">
        <v>2650</v>
      </c>
      <c r="E263" s="3" t="s">
        <v>2996</v>
      </c>
      <c r="F263" s="3"/>
      <c r="G263" s="3"/>
      <c r="H263" s="3" t="s">
        <v>2974</v>
      </c>
      <c r="I263" s="3" t="s">
        <v>1868</v>
      </c>
      <c r="J263" s="3">
        <v>1</v>
      </c>
      <c r="K263" s="3">
        <v>0</v>
      </c>
      <c r="L263" s="4">
        <v>18</v>
      </c>
      <c r="M263" s="3" t="s">
        <v>1873</v>
      </c>
      <c r="N263" s="3" t="s">
        <v>28</v>
      </c>
      <c r="O263" s="3">
        <v>0</v>
      </c>
      <c r="P263" s="3">
        <v>0</v>
      </c>
      <c r="Q263" s="21">
        <v>9000</v>
      </c>
      <c r="R263" s="3">
        <f t="shared" si="6"/>
        <v>0</v>
      </c>
    </row>
    <row r="264" spans="1:18" x14ac:dyDescent="0.3">
      <c r="A264" s="3" t="s">
        <v>668</v>
      </c>
      <c r="B264" s="4" t="s">
        <v>2658</v>
      </c>
      <c r="C264" s="16" t="s">
        <v>2657</v>
      </c>
      <c r="D264" s="16" t="s">
        <v>2656</v>
      </c>
      <c r="E264" s="3" t="s">
        <v>2996</v>
      </c>
      <c r="F264" s="3"/>
      <c r="G264" s="3"/>
      <c r="H264" s="3" t="s">
        <v>2993</v>
      </c>
      <c r="I264" s="3" t="s">
        <v>1868</v>
      </c>
      <c r="J264" s="3">
        <v>1</v>
      </c>
      <c r="K264" s="3">
        <v>0</v>
      </c>
      <c r="L264" s="4">
        <v>15</v>
      </c>
      <c r="M264" s="3" t="s">
        <v>1873</v>
      </c>
      <c r="N264" s="3" t="s">
        <v>28</v>
      </c>
      <c r="O264" s="3">
        <v>0</v>
      </c>
      <c r="P264" s="3">
        <v>0</v>
      </c>
      <c r="Q264" s="21">
        <v>9000</v>
      </c>
      <c r="R264" s="3">
        <f t="shared" si="6"/>
        <v>0</v>
      </c>
    </row>
    <row r="265" spans="1:18" x14ac:dyDescent="0.3">
      <c r="A265" s="3" t="s">
        <v>668</v>
      </c>
      <c r="B265" s="4" t="s">
        <v>2661</v>
      </c>
      <c r="C265" s="16" t="s">
        <v>2660</v>
      </c>
      <c r="D265" s="16" t="s">
        <v>2659</v>
      </c>
      <c r="E265" s="3" t="s">
        <v>2996</v>
      </c>
      <c r="F265" s="3"/>
      <c r="G265" s="3"/>
      <c r="H265" s="3" t="s">
        <v>2993</v>
      </c>
      <c r="I265" s="3" t="s">
        <v>1868</v>
      </c>
      <c r="J265" s="3">
        <v>1</v>
      </c>
      <c r="K265" s="3">
        <v>0</v>
      </c>
      <c r="L265" s="4">
        <v>12.5</v>
      </c>
      <c r="M265" s="3" t="s">
        <v>1873</v>
      </c>
      <c r="N265" s="3" t="s">
        <v>28</v>
      </c>
      <c r="O265" s="3">
        <v>0</v>
      </c>
      <c r="P265" s="3">
        <v>0</v>
      </c>
      <c r="Q265" s="21">
        <v>9000</v>
      </c>
      <c r="R265" s="3">
        <f t="shared" si="6"/>
        <v>0</v>
      </c>
    </row>
    <row r="266" spans="1:18" x14ac:dyDescent="0.3">
      <c r="A266" s="3" t="s">
        <v>683</v>
      </c>
      <c r="B266" s="4" t="s">
        <v>2667</v>
      </c>
      <c r="C266" s="16" t="s">
        <v>2666</v>
      </c>
      <c r="D266" s="16" t="s">
        <v>2665</v>
      </c>
      <c r="E266" s="3" t="s">
        <v>2996</v>
      </c>
      <c r="F266" s="3"/>
      <c r="G266" s="3"/>
      <c r="H266" s="3" t="s">
        <v>2994</v>
      </c>
      <c r="I266" s="3" t="s">
        <v>1868</v>
      </c>
      <c r="J266" s="3">
        <v>1</v>
      </c>
      <c r="K266" s="3">
        <v>0</v>
      </c>
      <c r="L266" s="4">
        <v>48</v>
      </c>
      <c r="M266" s="3" t="s">
        <v>1873</v>
      </c>
      <c r="N266" s="3" t="s">
        <v>28</v>
      </c>
      <c r="O266" s="3">
        <v>0</v>
      </c>
      <c r="P266" s="3">
        <v>0</v>
      </c>
      <c r="Q266" s="21">
        <v>9000</v>
      </c>
      <c r="R266" s="3">
        <f t="shared" si="6"/>
        <v>0</v>
      </c>
    </row>
    <row r="267" spans="1:18" x14ac:dyDescent="0.3">
      <c r="A267" s="3" t="s">
        <v>683</v>
      </c>
      <c r="B267" s="4" t="s">
        <v>2670</v>
      </c>
      <c r="C267" s="16" t="s">
        <v>2669</v>
      </c>
      <c r="D267" s="16" t="s">
        <v>2668</v>
      </c>
      <c r="E267" s="3" t="s">
        <v>2996</v>
      </c>
      <c r="F267" s="3"/>
      <c r="G267" s="3"/>
      <c r="H267" s="3" t="s">
        <v>2994</v>
      </c>
      <c r="I267" s="3" t="s">
        <v>1868</v>
      </c>
      <c r="J267" s="3">
        <v>1</v>
      </c>
      <c r="K267" s="3">
        <v>0</v>
      </c>
      <c r="L267" s="4">
        <v>30.62</v>
      </c>
      <c r="M267" s="3" t="s">
        <v>1873</v>
      </c>
      <c r="N267" s="3" t="s">
        <v>28</v>
      </c>
      <c r="O267" s="3">
        <v>0</v>
      </c>
      <c r="P267" s="3">
        <v>0</v>
      </c>
      <c r="Q267" s="21">
        <v>9000</v>
      </c>
      <c r="R267" s="3">
        <f t="shared" si="6"/>
        <v>0</v>
      </c>
    </row>
    <row r="268" spans="1:18" x14ac:dyDescent="0.3">
      <c r="A268" s="3" t="s">
        <v>674</v>
      </c>
      <c r="B268" s="4" t="s">
        <v>2673</v>
      </c>
      <c r="C268" s="16" t="s">
        <v>2672</v>
      </c>
      <c r="D268" s="16" t="s">
        <v>2671</v>
      </c>
      <c r="E268" s="3" t="s">
        <v>2996</v>
      </c>
      <c r="F268" s="3"/>
      <c r="G268" s="3"/>
      <c r="H268" s="3" t="s">
        <v>2979</v>
      </c>
      <c r="I268" s="3" t="s">
        <v>1868</v>
      </c>
      <c r="J268" s="3">
        <v>1</v>
      </c>
      <c r="K268" s="3">
        <v>0</v>
      </c>
      <c r="L268" s="4">
        <v>44.35</v>
      </c>
      <c r="M268" s="3" t="s">
        <v>1873</v>
      </c>
      <c r="N268" s="3" t="s">
        <v>28</v>
      </c>
      <c r="O268" s="3">
        <v>0</v>
      </c>
      <c r="P268" s="3">
        <v>0</v>
      </c>
      <c r="Q268" s="21">
        <v>9000</v>
      </c>
      <c r="R268" s="3">
        <f t="shared" si="6"/>
        <v>0</v>
      </c>
    </row>
    <row r="269" spans="1:18" x14ac:dyDescent="0.3">
      <c r="A269" s="3" t="s">
        <v>674</v>
      </c>
      <c r="B269" s="4" t="s">
        <v>2676</v>
      </c>
      <c r="C269" s="16" t="s">
        <v>2675</v>
      </c>
      <c r="D269" s="16" t="s">
        <v>2674</v>
      </c>
      <c r="E269" s="3" t="s">
        <v>2996</v>
      </c>
      <c r="F269" s="3"/>
      <c r="G269" s="3"/>
      <c r="H269" s="3" t="s">
        <v>2979</v>
      </c>
      <c r="I269" s="3" t="s">
        <v>1868</v>
      </c>
      <c r="J269" s="3">
        <v>1</v>
      </c>
      <c r="K269" s="3">
        <v>0</v>
      </c>
      <c r="L269" s="4">
        <v>14.8</v>
      </c>
      <c r="M269" s="3" t="s">
        <v>1873</v>
      </c>
      <c r="N269" s="3" t="s">
        <v>28</v>
      </c>
      <c r="O269" s="3">
        <v>0</v>
      </c>
      <c r="P269" s="3">
        <v>0</v>
      </c>
      <c r="Q269" s="21">
        <v>9000</v>
      </c>
      <c r="R269" s="3">
        <f t="shared" si="6"/>
        <v>0</v>
      </c>
    </row>
    <row r="270" spans="1:18" x14ac:dyDescent="0.3">
      <c r="A270" s="3" t="s">
        <v>693</v>
      </c>
      <c r="B270" s="4" t="s">
        <v>2682</v>
      </c>
      <c r="C270" s="16" t="s">
        <v>2681</v>
      </c>
      <c r="D270" s="16" t="s">
        <v>2680</v>
      </c>
      <c r="E270" s="3" t="s">
        <v>2996</v>
      </c>
      <c r="F270" s="3"/>
      <c r="G270" s="3"/>
      <c r="H270" s="3" t="s">
        <v>2989</v>
      </c>
      <c r="I270" s="3" t="s">
        <v>1868</v>
      </c>
      <c r="J270" s="3">
        <v>1</v>
      </c>
      <c r="K270" s="3">
        <v>0</v>
      </c>
      <c r="L270" s="4">
        <v>40.9</v>
      </c>
      <c r="M270" s="3" t="s">
        <v>1873</v>
      </c>
      <c r="N270" s="3" t="s">
        <v>28</v>
      </c>
      <c r="O270" s="3">
        <v>0</v>
      </c>
      <c r="P270" s="3">
        <v>0</v>
      </c>
      <c r="Q270" s="21">
        <v>9000</v>
      </c>
      <c r="R270" s="3">
        <f t="shared" si="6"/>
        <v>0</v>
      </c>
    </row>
    <row r="271" spans="1:18" x14ac:dyDescent="0.3">
      <c r="A271" s="3" t="s">
        <v>708</v>
      </c>
      <c r="B271" s="4" t="s">
        <v>2685</v>
      </c>
      <c r="C271" s="16" t="s">
        <v>2684</v>
      </c>
      <c r="D271" s="16" t="s">
        <v>2683</v>
      </c>
      <c r="E271" s="3" t="s">
        <v>2996</v>
      </c>
      <c r="F271" s="3"/>
      <c r="G271" s="3"/>
      <c r="H271" s="3" t="s">
        <v>2994</v>
      </c>
      <c r="I271" s="3" t="s">
        <v>1868</v>
      </c>
      <c r="J271" s="3">
        <v>1</v>
      </c>
      <c r="K271" s="3">
        <v>0</v>
      </c>
      <c r="L271" s="4">
        <v>20.5</v>
      </c>
      <c r="M271" s="3" t="s">
        <v>1873</v>
      </c>
      <c r="N271" s="3" t="s">
        <v>28</v>
      </c>
      <c r="O271" s="3">
        <v>0</v>
      </c>
      <c r="P271" s="3">
        <v>0</v>
      </c>
      <c r="Q271" s="21">
        <v>9000</v>
      </c>
      <c r="R271" s="3">
        <f t="shared" si="6"/>
        <v>0</v>
      </c>
    </row>
    <row r="272" spans="1:18" x14ac:dyDescent="0.3">
      <c r="A272" s="3" t="s">
        <v>493</v>
      </c>
      <c r="B272" s="4" t="s">
        <v>2702</v>
      </c>
      <c r="C272" s="16" t="s">
        <v>2701</v>
      </c>
      <c r="D272" s="16" t="s">
        <v>2700</v>
      </c>
      <c r="E272" s="3" t="s">
        <v>2996</v>
      </c>
      <c r="F272" s="3"/>
      <c r="G272" s="3"/>
      <c r="H272" s="3" t="s">
        <v>2987</v>
      </c>
      <c r="I272" s="3" t="s">
        <v>1868</v>
      </c>
      <c r="J272" s="3">
        <v>1</v>
      </c>
      <c r="K272" s="3">
        <v>0</v>
      </c>
      <c r="L272" s="4">
        <v>73.599999999999994</v>
      </c>
      <c r="M272" s="3" t="s">
        <v>1873</v>
      </c>
      <c r="N272" s="3" t="s">
        <v>28</v>
      </c>
      <c r="O272" s="3">
        <v>0</v>
      </c>
      <c r="P272" s="3">
        <v>0</v>
      </c>
      <c r="Q272" s="21">
        <v>9000</v>
      </c>
      <c r="R272" s="3">
        <f t="shared" si="6"/>
        <v>0</v>
      </c>
    </row>
    <row r="273" spans="1:18" x14ac:dyDescent="0.3">
      <c r="A273" s="3" t="s">
        <v>318</v>
      </c>
      <c r="B273" s="4" t="s">
        <v>2705</v>
      </c>
      <c r="C273" s="16" t="s">
        <v>2704</v>
      </c>
      <c r="D273" s="16" t="s">
        <v>2703</v>
      </c>
      <c r="E273" s="3" t="s">
        <v>2996</v>
      </c>
      <c r="F273" s="3"/>
      <c r="G273" s="3"/>
      <c r="H273" s="3" t="s">
        <v>2967</v>
      </c>
      <c r="I273" s="3" t="s">
        <v>1868</v>
      </c>
      <c r="J273" s="3">
        <v>1</v>
      </c>
      <c r="K273" s="3">
        <v>0</v>
      </c>
      <c r="L273" s="4">
        <v>105</v>
      </c>
      <c r="M273" s="3" t="s">
        <v>1873</v>
      </c>
      <c r="N273" s="3" t="s">
        <v>28</v>
      </c>
      <c r="O273" s="3">
        <v>0</v>
      </c>
      <c r="P273" s="3">
        <v>0</v>
      </c>
      <c r="Q273" s="21">
        <v>9000</v>
      </c>
      <c r="R273" s="3">
        <f t="shared" si="6"/>
        <v>0</v>
      </c>
    </row>
    <row r="274" spans="1:18" x14ac:dyDescent="0.3">
      <c r="A274" s="3" t="s">
        <v>743</v>
      </c>
      <c r="B274" s="4" t="s">
        <v>2712</v>
      </c>
      <c r="C274" s="16" t="s">
        <v>2711</v>
      </c>
      <c r="D274" s="16" t="s">
        <v>2710</v>
      </c>
      <c r="E274" s="3" t="s">
        <v>2996</v>
      </c>
      <c r="F274" s="3"/>
      <c r="G274" s="3"/>
      <c r="H274" s="3" t="s">
        <v>2995</v>
      </c>
      <c r="I274" s="3" t="s">
        <v>1868</v>
      </c>
      <c r="J274" s="3">
        <v>1</v>
      </c>
      <c r="K274" s="3">
        <v>0</v>
      </c>
      <c r="L274" s="4">
        <v>19.2</v>
      </c>
      <c r="M274" s="3" t="s">
        <v>1873</v>
      </c>
      <c r="N274" s="3" t="s">
        <v>28</v>
      </c>
      <c r="O274" s="3">
        <v>0</v>
      </c>
      <c r="P274" s="3">
        <v>0</v>
      </c>
      <c r="Q274" s="21">
        <v>9000</v>
      </c>
      <c r="R274" s="3">
        <f t="shared" si="6"/>
        <v>0</v>
      </c>
    </row>
    <row r="275" spans="1:18" x14ac:dyDescent="0.3">
      <c r="A275" s="3" t="s">
        <v>758</v>
      </c>
      <c r="B275" s="4" t="s">
        <v>2722</v>
      </c>
      <c r="C275" s="16" t="s">
        <v>2721</v>
      </c>
      <c r="D275" s="16" t="s">
        <v>2720</v>
      </c>
      <c r="E275" s="3" t="s">
        <v>2996</v>
      </c>
      <c r="F275" s="3"/>
      <c r="G275" s="3"/>
      <c r="H275" s="3" t="s">
        <v>2967</v>
      </c>
      <c r="I275" s="3" t="s">
        <v>1868</v>
      </c>
      <c r="J275" s="3">
        <v>1</v>
      </c>
      <c r="K275" s="3">
        <v>0</v>
      </c>
      <c r="L275" s="4">
        <v>11.5</v>
      </c>
      <c r="M275" s="3" t="s">
        <v>1873</v>
      </c>
      <c r="N275" s="3" t="s">
        <v>28</v>
      </c>
      <c r="O275" s="3">
        <v>0</v>
      </c>
      <c r="P275" s="3">
        <v>0</v>
      </c>
      <c r="Q275" s="21">
        <v>9000</v>
      </c>
      <c r="R275" s="3">
        <f t="shared" si="6"/>
        <v>0</v>
      </c>
    </row>
    <row r="276" spans="1:18" x14ac:dyDescent="0.3">
      <c r="A276" s="3" t="s">
        <v>758</v>
      </c>
      <c r="B276" s="4" t="s">
        <v>2725</v>
      </c>
      <c r="C276" s="16" t="s">
        <v>2724</v>
      </c>
      <c r="D276" s="16" t="s">
        <v>2723</v>
      </c>
      <c r="E276" s="3" t="s">
        <v>2996</v>
      </c>
      <c r="F276" s="3"/>
      <c r="G276" s="3"/>
      <c r="H276" s="3" t="s">
        <v>2967</v>
      </c>
      <c r="I276" s="3" t="s">
        <v>1868</v>
      </c>
      <c r="J276" s="3">
        <v>1</v>
      </c>
      <c r="K276" s="3">
        <v>0</v>
      </c>
      <c r="L276" s="4">
        <v>13.8</v>
      </c>
      <c r="M276" s="3" t="s">
        <v>1873</v>
      </c>
      <c r="N276" s="3" t="s">
        <v>28</v>
      </c>
      <c r="O276" s="3">
        <v>0</v>
      </c>
      <c r="P276" s="3">
        <v>0</v>
      </c>
      <c r="Q276" s="21">
        <v>9000</v>
      </c>
      <c r="R276" s="3">
        <f t="shared" si="6"/>
        <v>0</v>
      </c>
    </row>
    <row r="277" spans="1:18" x14ac:dyDescent="0.3">
      <c r="A277" s="3" t="s">
        <v>761</v>
      </c>
      <c r="B277" s="4" t="s">
        <v>2728</v>
      </c>
      <c r="C277" s="16" t="s">
        <v>2727</v>
      </c>
      <c r="D277" s="16" t="s">
        <v>2726</v>
      </c>
      <c r="E277" s="3" t="s">
        <v>2996</v>
      </c>
      <c r="F277" s="3"/>
      <c r="G277" s="3"/>
      <c r="H277" s="3" t="s">
        <v>2964</v>
      </c>
      <c r="I277" s="3" t="s">
        <v>1868</v>
      </c>
      <c r="J277" s="3">
        <v>1</v>
      </c>
      <c r="K277" s="3">
        <v>0</v>
      </c>
      <c r="L277" s="4">
        <v>17.25</v>
      </c>
      <c r="M277" s="3" t="s">
        <v>1873</v>
      </c>
      <c r="N277" s="3" t="s">
        <v>28</v>
      </c>
      <c r="O277" s="3">
        <v>0</v>
      </c>
      <c r="P277" s="3">
        <v>0</v>
      </c>
      <c r="Q277" s="21">
        <v>9000</v>
      </c>
      <c r="R277" s="3">
        <f t="shared" si="6"/>
        <v>0</v>
      </c>
    </row>
    <row r="278" spans="1:18" x14ac:dyDescent="0.3">
      <c r="A278" s="3" t="s">
        <v>755</v>
      </c>
      <c r="B278" s="4" t="s">
        <v>2731</v>
      </c>
      <c r="C278" s="16" t="s">
        <v>2730</v>
      </c>
      <c r="D278" s="16" t="s">
        <v>2729</v>
      </c>
      <c r="E278" s="3" t="s">
        <v>2996</v>
      </c>
      <c r="F278" s="3"/>
      <c r="G278" s="3"/>
      <c r="H278" s="3" t="s">
        <v>2964</v>
      </c>
      <c r="I278" s="3" t="s">
        <v>1868</v>
      </c>
      <c r="J278" s="3">
        <v>1</v>
      </c>
      <c r="K278" s="3">
        <v>0</v>
      </c>
      <c r="L278" s="4">
        <v>70</v>
      </c>
      <c r="M278" s="3" t="s">
        <v>1873</v>
      </c>
      <c r="N278" s="3" t="s">
        <v>28</v>
      </c>
      <c r="O278" s="3">
        <v>0</v>
      </c>
      <c r="P278" s="3">
        <v>0</v>
      </c>
      <c r="Q278" s="21">
        <v>9000</v>
      </c>
      <c r="R278" s="3">
        <f t="shared" si="6"/>
        <v>0</v>
      </c>
    </row>
    <row r="279" spans="1:18" x14ac:dyDescent="0.3">
      <c r="A279" s="3" t="s">
        <v>777</v>
      </c>
      <c r="B279" s="4" t="s">
        <v>2734</v>
      </c>
      <c r="C279" s="16" t="s">
        <v>2733</v>
      </c>
      <c r="D279" s="16" t="s">
        <v>2732</v>
      </c>
      <c r="E279" s="3" t="s">
        <v>2996</v>
      </c>
      <c r="F279" s="3"/>
      <c r="G279" s="3"/>
      <c r="H279" s="3" t="s">
        <v>2969</v>
      </c>
      <c r="I279" s="3" t="s">
        <v>1868</v>
      </c>
      <c r="J279" s="3">
        <v>1</v>
      </c>
      <c r="K279" s="3">
        <v>0</v>
      </c>
      <c r="L279" s="4">
        <v>13.3</v>
      </c>
      <c r="M279" s="3" t="s">
        <v>1873</v>
      </c>
      <c r="N279" s="3" t="s">
        <v>28</v>
      </c>
      <c r="O279" s="3">
        <v>0</v>
      </c>
      <c r="P279" s="3">
        <v>0</v>
      </c>
      <c r="Q279" s="21">
        <v>9000</v>
      </c>
      <c r="R279" s="3">
        <f t="shared" si="6"/>
        <v>0</v>
      </c>
    </row>
    <row r="280" spans="1:18" x14ac:dyDescent="0.3">
      <c r="A280" s="3" t="s">
        <v>777</v>
      </c>
      <c r="B280" s="4" t="s">
        <v>2737</v>
      </c>
      <c r="C280" s="16" t="s">
        <v>2736</v>
      </c>
      <c r="D280" s="16" t="s">
        <v>2735</v>
      </c>
      <c r="E280" s="3" t="s">
        <v>2996</v>
      </c>
      <c r="F280" s="3"/>
      <c r="G280" s="3"/>
      <c r="H280" s="3" t="s">
        <v>2969</v>
      </c>
      <c r="I280" s="3" t="s">
        <v>1868</v>
      </c>
      <c r="J280" s="3">
        <v>1</v>
      </c>
      <c r="K280" s="3">
        <v>0</v>
      </c>
      <c r="L280" s="4">
        <v>15.18</v>
      </c>
      <c r="M280" s="3" t="s">
        <v>1873</v>
      </c>
      <c r="N280" s="3" t="s">
        <v>28</v>
      </c>
      <c r="O280" s="3">
        <v>0</v>
      </c>
      <c r="P280" s="3">
        <v>0</v>
      </c>
      <c r="Q280" s="21">
        <v>9000</v>
      </c>
      <c r="R280" s="3">
        <f t="shared" ref="R280:R295" si="7">O280</f>
        <v>0</v>
      </c>
    </row>
    <row r="281" spans="1:18" x14ac:dyDescent="0.3">
      <c r="A281" s="3" t="s">
        <v>772</v>
      </c>
      <c r="B281" s="4" t="s">
        <v>2740</v>
      </c>
      <c r="C281" s="16" t="s">
        <v>2739</v>
      </c>
      <c r="D281" s="16" t="s">
        <v>2738</v>
      </c>
      <c r="E281" s="3" t="s">
        <v>2996</v>
      </c>
      <c r="F281" s="3"/>
      <c r="G281" s="3"/>
      <c r="H281" s="3" t="s">
        <v>2987</v>
      </c>
      <c r="I281" s="3" t="s">
        <v>1868</v>
      </c>
      <c r="J281" s="3">
        <v>1</v>
      </c>
      <c r="K281" s="3">
        <v>0</v>
      </c>
      <c r="L281" s="4">
        <v>15</v>
      </c>
      <c r="M281" s="3" t="s">
        <v>1873</v>
      </c>
      <c r="N281" s="3" t="s">
        <v>28</v>
      </c>
      <c r="O281" s="3">
        <v>0</v>
      </c>
      <c r="P281" s="3">
        <v>0</v>
      </c>
      <c r="Q281" s="21">
        <v>9000</v>
      </c>
      <c r="R281" s="3">
        <f t="shared" si="7"/>
        <v>0</v>
      </c>
    </row>
    <row r="282" spans="1:18" x14ac:dyDescent="0.3">
      <c r="A282" s="3" t="s">
        <v>772</v>
      </c>
      <c r="B282" s="4" t="s">
        <v>2743</v>
      </c>
      <c r="C282" s="16" t="s">
        <v>2742</v>
      </c>
      <c r="D282" s="16" t="s">
        <v>2741</v>
      </c>
      <c r="E282" s="3" t="s">
        <v>2996</v>
      </c>
      <c r="F282" s="3"/>
      <c r="G282" s="3"/>
      <c r="H282" s="3" t="s">
        <v>2987</v>
      </c>
      <c r="I282" s="3" t="s">
        <v>1868</v>
      </c>
      <c r="J282" s="3">
        <v>1</v>
      </c>
      <c r="K282" s="3">
        <v>0</v>
      </c>
      <c r="L282" s="4">
        <v>13.8</v>
      </c>
      <c r="M282" s="3" t="s">
        <v>1873</v>
      </c>
      <c r="N282" s="3" t="s">
        <v>28</v>
      </c>
      <c r="O282" s="3">
        <v>0</v>
      </c>
      <c r="P282" s="3">
        <v>0</v>
      </c>
      <c r="Q282" s="21">
        <v>9000</v>
      </c>
      <c r="R282" s="3">
        <f t="shared" si="7"/>
        <v>0</v>
      </c>
    </row>
    <row r="283" spans="1:18" x14ac:dyDescent="0.3">
      <c r="A283" s="3" t="s">
        <v>772</v>
      </c>
      <c r="B283" s="4" t="s">
        <v>2746</v>
      </c>
      <c r="C283" s="16" t="s">
        <v>2745</v>
      </c>
      <c r="D283" s="16" t="s">
        <v>2744</v>
      </c>
      <c r="E283" s="3" t="s">
        <v>2996</v>
      </c>
      <c r="F283" s="3"/>
      <c r="G283" s="3"/>
      <c r="H283" s="3" t="s">
        <v>2987</v>
      </c>
      <c r="I283" s="3" t="s">
        <v>1868</v>
      </c>
      <c r="J283" s="3">
        <v>1</v>
      </c>
      <c r="K283" s="3">
        <v>0</v>
      </c>
      <c r="L283" s="4">
        <v>13.8</v>
      </c>
      <c r="M283" s="3" t="s">
        <v>1873</v>
      </c>
      <c r="N283" s="3" t="s">
        <v>28</v>
      </c>
      <c r="O283" s="3">
        <v>0</v>
      </c>
      <c r="P283" s="3">
        <v>0</v>
      </c>
      <c r="Q283" s="21">
        <v>9000</v>
      </c>
      <c r="R283" s="3">
        <f t="shared" si="7"/>
        <v>0</v>
      </c>
    </row>
    <row r="284" spans="1:18" x14ac:dyDescent="0.3">
      <c r="A284" s="3" t="s">
        <v>772</v>
      </c>
      <c r="B284" s="4" t="s">
        <v>2749</v>
      </c>
      <c r="C284" s="16" t="s">
        <v>2748</v>
      </c>
      <c r="D284" s="16" t="s">
        <v>2747</v>
      </c>
      <c r="E284" s="3" t="s">
        <v>2996</v>
      </c>
      <c r="F284" s="3"/>
      <c r="G284" s="3"/>
      <c r="H284" s="3" t="s">
        <v>2987</v>
      </c>
      <c r="I284" s="3" t="s">
        <v>1868</v>
      </c>
      <c r="J284" s="3">
        <v>1</v>
      </c>
      <c r="K284" s="3">
        <v>0</v>
      </c>
      <c r="L284" s="4">
        <v>15</v>
      </c>
      <c r="M284" s="3" t="s">
        <v>1873</v>
      </c>
      <c r="N284" s="3" t="s">
        <v>28</v>
      </c>
      <c r="O284" s="3">
        <v>0</v>
      </c>
      <c r="P284" s="3">
        <v>0</v>
      </c>
      <c r="Q284" s="21">
        <v>9000</v>
      </c>
      <c r="R284" s="3">
        <f t="shared" si="7"/>
        <v>0</v>
      </c>
    </row>
    <row r="285" spans="1:18" x14ac:dyDescent="0.3">
      <c r="A285" s="3" t="s">
        <v>772</v>
      </c>
      <c r="B285" s="4" t="s">
        <v>2752</v>
      </c>
      <c r="C285" s="16" t="s">
        <v>2751</v>
      </c>
      <c r="D285" s="16" t="s">
        <v>2750</v>
      </c>
      <c r="E285" s="3" t="s">
        <v>2996</v>
      </c>
      <c r="F285" s="3"/>
      <c r="G285" s="3"/>
      <c r="H285" s="3" t="s">
        <v>2987</v>
      </c>
      <c r="I285" s="3" t="s">
        <v>1868</v>
      </c>
      <c r="J285" s="3">
        <v>1</v>
      </c>
      <c r="K285" s="3">
        <v>0</v>
      </c>
      <c r="L285" s="4">
        <v>12.5</v>
      </c>
      <c r="M285" s="3" t="s">
        <v>1873</v>
      </c>
      <c r="N285" s="3" t="s">
        <v>28</v>
      </c>
      <c r="O285" s="3">
        <v>0</v>
      </c>
      <c r="P285" s="3">
        <v>0</v>
      </c>
      <c r="Q285" s="21">
        <v>9000</v>
      </c>
      <c r="R285" s="3">
        <f t="shared" si="7"/>
        <v>0</v>
      </c>
    </row>
    <row r="286" spans="1:18" x14ac:dyDescent="0.3">
      <c r="A286" s="3" t="s">
        <v>775</v>
      </c>
      <c r="B286" s="4" t="s">
        <v>2755</v>
      </c>
      <c r="C286" s="16" t="s">
        <v>2754</v>
      </c>
      <c r="D286" s="16" t="s">
        <v>2753</v>
      </c>
      <c r="E286" s="3" t="s">
        <v>2996</v>
      </c>
      <c r="F286" s="3"/>
      <c r="G286" s="3"/>
      <c r="H286" s="3" t="s">
        <v>2969</v>
      </c>
      <c r="I286" s="3" t="s">
        <v>1868</v>
      </c>
      <c r="J286" s="3">
        <v>1</v>
      </c>
      <c r="K286" s="3">
        <v>0</v>
      </c>
      <c r="L286" s="4">
        <v>6.6</v>
      </c>
      <c r="M286" s="3" t="s">
        <v>1873</v>
      </c>
      <c r="N286" s="3" t="s">
        <v>28</v>
      </c>
      <c r="O286" s="3">
        <v>0</v>
      </c>
      <c r="P286" s="3">
        <v>0</v>
      </c>
      <c r="Q286" s="21">
        <v>9000</v>
      </c>
      <c r="R286" s="3">
        <f t="shared" si="7"/>
        <v>0</v>
      </c>
    </row>
    <row r="287" spans="1:18" x14ac:dyDescent="0.3">
      <c r="A287" s="3" t="s">
        <v>751</v>
      </c>
      <c r="B287" s="4" t="s">
        <v>2761</v>
      </c>
      <c r="C287" s="16" t="s">
        <v>2760</v>
      </c>
      <c r="D287" s="16" t="s">
        <v>2759</v>
      </c>
      <c r="E287" s="3" t="s">
        <v>2996</v>
      </c>
      <c r="F287" s="3"/>
      <c r="G287" s="3"/>
      <c r="H287" s="3" t="s">
        <v>2967</v>
      </c>
      <c r="I287" s="3" t="s">
        <v>1868</v>
      </c>
      <c r="J287" s="3">
        <v>1</v>
      </c>
      <c r="K287" s="3">
        <v>0</v>
      </c>
      <c r="L287" s="4">
        <v>12.6</v>
      </c>
      <c r="M287" s="3" t="s">
        <v>1873</v>
      </c>
      <c r="N287" s="3" t="s">
        <v>28</v>
      </c>
      <c r="O287" s="3">
        <v>0</v>
      </c>
      <c r="P287" s="3">
        <v>0</v>
      </c>
      <c r="Q287" s="21">
        <v>9000</v>
      </c>
      <c r="R287" s="3">
        <f t="shared" si="7"/>
        <v>0</v>
      </c>
    </row>
    <row r="288" spans="1:18" x14ac:dyDescent="0.3">
      <c r="A288" s="3" t="s">
        <v>751</v>
      </c>
      <c r="B288" s="4" t="s">
        <v>2764</v>
      </c>
      <c r="C288" s="16" t="s">
        <v>2763</v>
      </c>
      <c r="D288" s="16" t="s">
        <v>2762</v>
      </c>
      <c r="E288" s="3" t="s">
        <v>2996</v>
      </c>
      <c r="F288" s="3"/>
      <c r="G288" s="3"/>
      <c r="H288" s="3" t="s">
        <v>2967</v>
      </c>
      <c r="I288" s="3" t="s">
        <v>1868</v>
      </c>
      <c r="J288" s="3">
        <v>1</v>
      </c>
      <c r="K288" s="3">
        <v>0</v>
      </c>
      <c r="L288" s="4">
        <v>13.8</v>
      </c>
      <c r="M288" s="3" t="s">
        <v>1873</v>
      </c>
      <c r="N288" s="3" t="s">
        <v>28</v>
      </c>
      <c r="O288" s="3">
        <v>0</v>
      </c>
      <c r="P288" s="3">
        <v>0</v>
      </c>
      <c r="Q288" s="21">
        <v>9000</v>
      </c>
      <c r="R288" s="3">
        <f t="shared" si="7"/>
        <v>0</v>
      </c>
    </row>
    <row r="289" spans="1:18" x14ac:dyDescent="0.3">
      <c r="A289" s="3" t="s">
        <v>786</v>
      </c>
      <c r="B289" s="4" t="s">
        <v>2784</v>
      </c>
      <c r="C289" s="16" t="s">
        <v>2783</v>
      </c>
      <c r="D289" s="16" t="s">
        <v>2782</v>
      </c>
      <c r="E289" s="3" t="s">
        <v>2996</v>
      </c>
      <c r="F289" s="3"/>
      <c r="G289" s="3"/>
      <c r="H289" s="3" t="s">
        <v>2989</v>
      </c>
      <c r="I289" s="3" t="s">
        <v>1868</v>
      </c>
      <c r="J289" s="3">
        <v>1</v>
      </c>
      <c r="K289" s="3">
        <v>0</v>
      </c>
      <c r="L289" s="4">
        <v>105</v>
      </c>
      <c r="M289" s="3" t="s">
        <v>1873</v>
      </c>
      <c r="N289" s="3" t="s">
        <v>28</v>
      </c>
      <c r="O289" s="3">
        <v>0</v>
      </c>
      <c r="P289" s="3">
        <v>0</v>
      </c>
      <c r="Q289" s="21">
        <v>9000</v>
      </c>
      <c r="R289" s="3">
        <f t="shared" si="7"/>
        <v>0</v>
      </c>
    </row>
    <row r="290" spans="1:18" x14ac:dyDescent="0.3">
      <c r="A290" s="3" t="s">
        <v>786</v>
      </c>
      <c r="B290" s="4" t="s">
        <v>2787</v>
      </c>
      <c r="C290" s="16" t="s">
        <v>2786</v>
      </c>
      <c r="D290" s="16" t="s">
        <v>2785</v>
      </c>
      <c r="E290" s="3" t="s">
        <v>2996</v>
      </c>
      <c r="F290" s="3"/>
      <c r="G290" s="3"/>
      <c r="H290" s="3" t="s">
        <v>2989</v>
      </c>
      <c r="I290" s="3" t="s">
        <v>1868</v>
      </c>
      <c r="J290" s="3">
        <v>1</v>
      </c>
      <c r="K290" s="3">
        <v>0</v>
      </c>
      <c r="L290" s="4">
        <v>64</v>
      </c>
      <c r="M290" s="3" t="s">
        <v>1873</v>
      </c>
      <c r="N290" s="3" t="s">
        <v>28</v>
      </c>
      <c r="O290" s="3">
        <v>0</v>
      </c>
      <c r="P290" s="3">
        <v>0</v>
      </c>
      <c r="Q290" s="21">
        <v>9000</v>
      </c>
      <c r="R290" s="3">
        <f t="shared" si="7"/>
        <v>0</v>
      </c>
    </row>
    <row r="291" spans="1:18" x14ac:dyDescent="0.3">
      <c r="A291" s="3" t="s">
        <v>791</v>
      </c>
      <c r="B291" s="4" t="s">
        <v>2790</v>
      </c>
      <c r="C291" s="16" t="s">
        <v>2789</v>
      </c>
      <c r="D291" s="16" t="s">
        <v>2788</v>
      </c>
      <c r="E291" s="3" t="s">
        <v>2996</v>
      </c>
      <c r="F291" s="3"/>
      <c r="G291" s="3"/>
      <c r="H291" s="3" t="s">
        <v>2964</v>
      </c>
      <c r="I291" s="3" t="s">
        <v>1868</v>
      </c>
      <c r="J291" s="3">
        <v>1</v>
      </c>
      <c r="K291" s="3">
        <v>0</v>
      </c>
      <c r="L291" s="4">
        <v>6</v>
      </c>
      <c r="M291" s="3" t="s">
        <v>1873</v>
      </c>
      <c r="N291" s="3" t="s">
        <v>28</v>
      </c>
      <c r="O291" s="3">
        <v>0</v>
      </c>
      <c r="P291" s="3">
        <v>0</v>
      </c>
      <c r="Q291" s="21">
        <v>9000</v>
      </c>
      <c r="R291" s="3">
        <f t="shared" si="7"/>
        <v>0</v>
      </c>
    </row>
    <row r="292" spans="1:18" x14ac:dyDescent="0.3">
      <c r="A292" s="3" t="s">
        <v>791</v>
      </c>
      <c r="B292" s="4" t="s">
        <v>2793</v>
      </c>
      <c r="C292" s="16" t="s">
        <v>2792</v>
      </c>
      <c r="D292" s="16" t="s">
        <v>2791</v>
      </c>
      <c r="E292" s="3" t="s">
        <v>2996</v>
      </c>
      <c r="F292" s="3"/>
      <c r="G292" s="3"/>
      <c r="H292" s="3" t="s">
        <v>2964</v>
      </c>
      <c r="I292" s="3" t="s">
        <v>1868</v>
      </c>
      <c r="J292" s="3">
        <v>1</v>
      </c>
      <c r="K292" s="3">
        <v>0</v>
      </c>
      <c r="L292" s="4">
        <v>9</v>
      </c>
      <c r="M292" s="3" t="s">
        <v>1873</v>
      </c>
      <c r="N292" s="3" t="s">
        <v>28</v>
      </c>
      <c r="O292" s="3">
        <v>0</v>
      </c>
      <c r="P292" s="3">
        <v>0</v>
      </c>
      <c r="Q292" s="21">
        <v>9000</v>
      </c>
      <c r="R292" s="3">
        <f t="shared" si="7"/>
        <v>0</v>
      </c>
    </row>
    <row r="293" spans="1:18" x14ac:dyDescent="0.3">
      <c r="A293" s="3" t="s">
        <v>794</v>
      </c>
      <c r="B293" s="4" t="s">
        <v>2796</v>
      </c>
      <c r="C293" s="16" t="s">
        <v>2795</v>
      </c>
      <c r="D293" s="16" t="s">
        <v>2794</v>
      </c>
      <c r="E293" s="3" t="s">
        <v>2996</v>
      </c>
      <c r="F293" s="3"/>
      <c r="G293" s="3"/>
      <c r="H293" s="3" t="s">
        <v>2964</v>
      </c>
      <c r="I293" s="3" t="s">
        <v>1868</v>
      </c>
      <c r="J293" s="3">
        <v>1</v>
      </c>
      <c r="K293" s="3">
        <v>0</v>
      </c>
      <c r="L293" s="4">
        <v>11.9</v>
      </c>
      <c r="M293" s="3" t="s">
        <v>1873</v>
      </c>
      <c r="N293" s="3" t="s">
        <v>28</v>
      </c>
      <c r="O293" s="3">
        <v>0</v>
      </c>
      <c r="P293" s="3">
        <v>0</v>
      </c>
      <c r="Q293" s="21">
        <v>9000</v>
      </c>
      <c r="R293" s="3">
        <f t="shared" si="7"/>
        <v>0</v>
      </c>
    </row>
    <row r="294" spans="1:18" x14ac:dyDescent="0.3">
      <c r="A294" s="3" t="s">
        <v>794</v>
      </c>
      <c r="B294" s="4" t="s">
        <v>2799</v>
      </c>
      <c r="C294" s="16" t="s">
        <v>2798</v>
      </c>
      <c r="D294" s="16" t="s">
        <v>2797</v>
      </c>
      <c r="E294" s="3" t="s">
        <v>2996</v>
      </c>
      <c r="F294" s="3"/>
      <c r="G294" s="3"/>
      <c r="H294" s="3" t="s">
        <v>2964</v>
      </c>
      <c r="I294" s="3" t="s">
        <v>1868</v>
      </c>
      <c r="J294" s="3">
        <v>1</v>
      </c>
      <c r="K294" s="3">
        <v>0</v>
      </c>
      <c r="L294" s="4">
        <v>27</v>
      </c>
      <c r="M294" s="3" t="s">
        <v>1873</v>
      </c>
      <c r="N294" s="3" t="s">
        <v>28</v>
      </c>
      <c r="O294" s="3">
        <v>0</v>
      </c>
      <c r="P294" s="3">
        <v>0</v>
      </c>
      <c r="Q294" s="21">
        <v>9000</v>
      </c>
      <c r="R294" s="3">
        <f t="shared" si="7"/>
        <v>0</v>
      </c>
    </row>
    <row r="295" spans="1:18" x14ac:dyDescent="0.3">
      <c r="A295" s="3" t="s">
        <v>798</v>
      </c>
      <c r="B295" s="4" t="s">
        <v>2802</v>
      </c>
      <c r="C295" s="16" t="s">
        <v>2801</v>
      </c>
      <c r="D295" s="16" t="s">
        <v>2800</v>
      </c>
      <c r="E295" s="3" t="s">
        <v>2996</v>
      </c>
      <c r="F295" s="3"/>
      <c r="G295" s="3"/>
      <c r="H295" s="3" t="s">
        <v>2964</v>
      </c>
      <c r="I295" s="3" t="s">
        <v>1868</v>
      </c>
      <c r="J295" s="3">
        <v>1</v>
      </c>
      <c r="K295" s="3">
        <v>0</v>
      </c>
      <c r="L295" s="4">
        <v>20</v>
      </c>
      <c r="M295" s="3" t="s">
        <v>1873</v>
      </c>
      <c r="N295" s="3" t="s">
        <v>28</v>
      </c>
      <c r="O295" s="3">
        <v>0</v>
      </c>
      <c r="P295" s="3">
        <v>0</v>
      </c>
      <c r="Q295" s="21">
        <v>9000</v>
      </c>
      <c r="R295" s="3">
        <f t="shared" si="7"/>
        <v>0</v>
      </c>
    </row>
  </sheetData>
  <autoFilter ref="A1:R295" xr:uid="{00000000-0001-0000-0700-000000000000}"/>
  <phoneticPr fontId="4" type="noConversion"/>
  <conditionalFormatting sqref="F2:G295">
    <cfRule type="expression" dxfId="1" priority="2">
      <formula>($E2&lt;&gt;"LIFO")</formula>
    </cfRule>
  </conditionalFormatting>
  <conditionalFormatting sqref="H2:H295">
    <cfRule type="expression" dxfId="0" priority="1">
      <formula>($E2&lt;&gt;"Pro-Rata")</formula>
    </cfRule>
  </conditionalFormatting>
  <dataValidations count="1">
    <dataValidation type="list" allowBlank="1" showInputMessage="1" showErrorMessage="1" sqref="C2:C9 E2:E5" xr:uid="{93378767-7322-405A-9798-43C52CE33CE3}">
      <formula1>"Individual,Uncontrollable,LIFO,Pro-Rata"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B723-56B9-4E3B-BB80-D6A8CDF79AD1}">
  <sheetPr>
    <tabColor theme="4" tint="-0.249977111117893"/>
  </sheetPr>
  <dimension ref="A1:KC49"/>
  <sheetViews>
    <sheetView zoomScale="85" zoomScaleNormal="85" workbookViewId="0">
      <selection activeCell="M7" sqref="M7"/>
    </sheetView>
  </sheetViews>
  <sheetFormatPr defaultRowHeight="14.4" x14ac:dyDescent="0.3"/>
  <cols>
    <col min="1" max="1" width="14.109375" bestFit="1" customWidth="1"/>
  </cols>
  <sheetData>
    <row r="1" spans="1:289" x14ac:dyDescent="0.3">
      <c r="A1" s="2" t="s">
        <v>31</v>
      </c>
      <c r="B1" s="30" t="s">
        <v>1867</v>
      </c>
      <c r="C1" s="30" t="s">
        <v>1876</v>
      </c>
      <c r="D1" s="30" t="s">
        <v>1984</v>
      </c>
      <c r="E1" s="32" t="s">
        <v>1872</v>
      </c>
      <c r="F1" s="32" t="s">
        <v>1879</v>
      </c>
      <c r="G1" s="32" t="s">
        <v>1882</v>
      </c>
      <c r="H1" s="32" t="s">
        <v>1885</v>
      </c>
      <c r="I1" s="32" t="s">
        <v>1888</v>
      </c>
      <c r="J1" s="32" t="s">
        <v>1891</v>
      </c>
      <c r="K1" s="32" t="s">
        <v>1894</v>
      </c>
      <c r="L1" s="32" t="s">
        <v>1897</v>
      </c>
      <c r="M1" s="32" t="s">
        <v>1917</v>
      </c>
      <c r="N1" s="32" t="s">
        <v>1920</v>
      </c>
      <c r="O1" s="32" t="s">
        <v>1923</v>
      </c>
      <c r="P1" s="32" t="s">
        <v>1939</v>
      </c>
      <c r="Q1" s="32" t="s">
        <v>1942</v>
      </c>
      <c r="R1" s="32" t="s">
        <v>1945</v>
      </c>
      <c r="S1" s="32" t="s">
        <v>1948</v>
      </c>
      <c r="T1" s="32" t="s">
        <v>1951</v>
      </c>
      <c r="U1" s="32" t="s">
        <v>1987</v>
      </c>
      <c r="V1" s="32" t="s">
        <v>1994</v>
      </c>
      <c r="W1" s="32" t="s">
        <v>1997</v>
      </c>
      <c r="X1" s="32" t="s">
        <v>2003</v>
      </c>
      <c r="Y1" s="32" t="s">
        <v>2006</v>
      </c>
      <c r="Z1" s="32" t="s">
        <v>2012</v>
      </c>
      <c r="AA1" s="32" t="s">
        <v>2015</v>
      </c>
      <c r="AB1" s="32" t="s">
        <v>2021</v>
      </c>
      <c r="AC1" s="32" t="s">
        <v>2024</v>
      </c>
      <c r="AD1" s="32" t="s">
        <v>2027</v>
      </c>
      <c r="AE1" s="32" t="s">
        <v>2030</v>
      </c>
      <c r="AF1" s="32" t="s">
        <v>2033</v>
      </c>
      <c r="AG1" s="32" t="s">
        <v>2036</v>
      </c>
      <c r="AH1" s="32" t="s">
        <v>2039</v>
      </c>
      <c r="AI1" s="32" t="s">
        <v>2042</v>
      </c>
      <c r="AJ1" s="32" t="s">
        <v>2045</v>
      </c>
      <c r="AK1" s="32" t="s">
        <v>2048</v>
      </c>
      <c r="AL1" s="32" t="s">
        <v>2051</v>
      </c>
      <c r="AM1" s="32" t="s">
        <v>2054</v>
      </c>
      <c r="AN1" s="32" t="s">
        <v>2060</v>
      </c>
      <c r="AO1" s="32" t="s">
        <v>2063</v>
      </c>
      <c r="AP1" s="32" t="s">
        <v>2069</v>
      </c>
      <c r="AQ1" s="32" t="s">
        <v>2072</v>
      </c>
      <c r="AR1" s="32" t="s">
        <v>2075</v>
      </c>
      <c r="AS1" s="32" t="s">
        <v>2084</v>
      </c>
      <c r="AT1" s="32" t="s">
        <v>2087</v>
      </c>
      <c r="AU1" s="32" t="s">
        <v>2090</v>
      </c>
      <c r="AV1" s="32" t="s">
        <v>2093</v>
      </c>
      <c r="AW1" s="32" t="s">
        <v>2096</v>
      </c>
      <c r="AX1" s="32" t="s">
        <v>2099</v>
      </c>
      <c r="AY1" s="32" t="s">
        <v>2102</v>
      </c>
      <c r="AZ1" s="32" t="s">
        <v>2105</v>
      </c>
      <c r="BA1" s="32" t="s">
        <v>2108</v>
      </c>
      <c r="BB1" s="32" t="s">
        <v>2117</v>
      </c>
      <c r="BC1" s="32" t="s">
        <v>2120</v>
      </c>
      <c r="BD1" s="32" t="s">
        <v>2123</v>
      </c>
      <c r="BE1" s="32" t="s">
        <v>2126</v>
      </c>
      <c r="BF1" s="32" t="s">
        <v>2129</v>
      </c>
      <c r="BG1" s="32" t="s">
        <v>2132</v>
      </c>
      <c r="BH1" s="32" t="s">
        <v>2135</v>
      </c>
      <c r="BI1" s="32" t="s">
        <v>2138</v>
      </c>
      <c r="BJ1" s="32" t="s">
        <v>2141</v>
      </c>
      <c r="BK1" s="32" t="s">
        <v>2149</v>
      </c>
      <c r="BL1" s="32" t="s">
        <v>2160</v>
      </c>
      <c r="BM1" s="32" t="s">
        <v>2163</v>
      </c>
      <c r="BN1" s="32" t="s">
        <v>2166</v>
      </c>
      <c r="BO1" s="32" t="s">
        <v>2169</v>
      </c>
      <c r="BP1" s="32" t="s">
        <v>2172</v>
      </c>
      <c r="BQ1" s="32" t="s">
        <v>2175</v>
      </c>
      <c r="BR1" s="32" t="s">
        <v>2178</v>
      </c>
      <c r="BS1" s="32" t="s">
        <v>2181</v>
      </c>
      <c r="BT1" s="32" t="s">
        <v>2184</v>
      </c>
      <c r="BU1" s="32" t="s">
        <v>2187</v>
      </c>
      <c r="BV1" s="32" t="s">
        <v>2190</v>
      </c>
      <c r="BW1" s="32" t="s">
        <v>2193</v>
      </c>
      <c r="BX1" s="32" t="s">
        <v>2201</v>
      </c>
      <c r="BY1" s="32" t="s">
        <v>2204</v>
      </c>
      <c r="BZ1" s="32" t="s">
        <v>2219</v>
      </c>
      <c r="CA1" s="32" t="s">
        <v>2225</v>
      </c>
      <c r="CB1" s="32" t="s">
        <v>2234</v>
      </c>
      <c r="CC1" s="32" t="s">
        <v>2244</v>
      </c>
      <c r="CD1" s="32" t="s">
        <v>2247</v>
      </c>
      <c r="CE1" s="32" t="s">
        <v>2250</v>
      </c>
      <c r="CF1" s="32" t="s">
        <v>2256</v>
      </c>
      <c r="CG1" s="32" t="s">
        <v>2262</v>
      </c>
      <c r="CH1" s="32" t="s">
        <v>2265</v>
      </c>
      <c r="CI1" s="32" t="s">
        <v>2268</v>
      </c>
      <c r="CJ1" s="32" t="s">
        <v>2271</v>
      </c>
      <c r="CK1" s="32" t="s">
        <v>2274</v>
      </c>
      <c r="CL1" s="32" t="s">
        <v>2277</v>
      </c>
      <c r="CM1" s="32" t="s">
        <v>2280</v>
      </c>
      <c r="CN1" s="32" t="s">
        <v>2296</v>
      </c>
      <c r="CO1" s="32" t="s">
        <v>2299</v>
      </c>
      <c r="CP1" s="32" t="s">
        <v>2302</v>
      </c>
      <c r="CQ1" s="32" t="s">
        <v>2305</v>
      </c>
      <c r="CR1" s="32" t="s">
        <v>2308</v>
      </c>
      <c r="CS1" s="32" t="s">
        <v>2311</v>
      </c>
      <c r="CT1" s="32" t="s">
        <v>2318</v>
      </c>
      <c r="CU1" s="32" t="s">
        <v>2321</v>
      </c>
      <c r="CV1" s="32" t="s">
        <v>2324</v>
      </c>
      <c r="CW1" s="32" t="s">
        <v>2327</v>
      </c>
      <c r="CX1" s="32" t="s">
        <v>2330</v>
      </c>
      <c r="CY1" s="32" t="s">
        <v>2333</v>
      </c>
      <c r="CZ1" s="32" t="s">
        <v>2336</v>
      </c>
      <c r="DA1" s="32" t="s">
        <v>2339</v>
      </c>
      <c r="DB1" s="32" t="s">
        <v>2342</v>
      </c>
      <c r="DC1" s="32" t="s">
        <v>2345</v>
      </c>
      <c r="DD1" s="32" t="s">
        <v>2348</v>
      </c>
      <c r="DE1" s="32" t="s">
        <v>2351</v>
      </c>
      <c r="DF1" s="32" t="s">
        <v>2354</v>
      </c>
      <c r="DG1" s="32" t="s">
        <v>2371</v>
      </c>
      <c r="DH1" s="32" t="s">
        <v>2407</v>
      </c>
      <c r="DI1" s="32" t="s">
        <v>2413</v>
      </c>
      <c r="DJ1" s="32" t="s">
        <v>2416</v>
      </c>
      <c r="DK1" s="32" t="s">
        <v>2419</v>
      </c>
      <c r="DL1" s="32" t="s">
        <v>2422</v>
      </c>
      <c r="DM1" s="32" t="s">
        <v>2428</v>
      </c>
      <c r="DN1" s="32" t="s">
        <v>2453</v>
      </c>
      <c r="DO1" s="32" t="s">
        <v>2456</v>
      </c>
      <c r="DP1" s="32" t="s">
        <v>2459</v>
      </c>
      <c r="DQ1" s="32" t="s">
        <v>2462</v>
      </c>
      <c r="DR1" s="32" t="s">
        <v>2465</v>
      </c>
      <c r="DS1" s="32" t="s">
        <v>2471</v>
      </c>
      <c r="DT1" s="32" t="s">
        <v>2474</v>
      </c>
      <c r="DU1" s="32" t="s">
        <v>2477</v>
      </c>
      <c r="DV1" s="32" t="s">
        <v>2480</v>
      </c>
      <c r="DW1" s="32" t="s">
        <v>2483</v>
      </c>
      <c r="DX1" s="32" t="s">
        <v>2486</v>
      </c>
      <c r="DY1" s="32" t="s">
        <v>2489</v>
      </c>
      <c r="DZ1" s="32" t="s">
        <v>2492</v>
      </c>
      <c r="EA1" s="32" t="s">
        <v>2507</v>
      </c>
      <c r="EB1" s="32" t="s">
        <v>2510</v>
      </c>
      <c r="EC1" s="32" t="s">
        <v>2513</v>
      </c>
      <c r="ED1" s="32" t="s">
        <v>2516</v>
      </c>
      <c r="EE1" s="32" t="s">
        <v>2519</v>
      </c>
      <c r="EF1" s="32" t="s">
        <v>2522</v>
      </c>
      <c r="EG1" s="32" t="s">
        <v>2525</v>
      </c>
      <c r="EH1" s="32" t="s">
        <v>2528</v>
      </c>
      <c r="EI1" s="32" t="s">
        <v>2531</v>
      </c>
      <c r="EJ1" s="32" t="s">
        <v>2534</v>
      </c>
      <c r="EK1" s="32" t="s">
        <v>2537</v>
      </c>
      <c r="EL1" s="32" t="s">
        <v>2543</v>
      </c>
      <c r="EM1" s="32" t="s">
        <v>2549</v>
      </c>
      <c r="EN1" s="32" t="s">
        <v>2552</v>
      </c>
      <c r="EO1" s="32" t="s">
        <v>2555</v>
      </c>
      <c r="EP1" s="32" t="s">
        <v>2558</v>
      </c>
      <c r="EQ1" s="32" t="s">
        <v>2561</v>
      </c>
      <c r="ER1" s="32" t="s">
        <v>2564</v>
      </c>
      <c r="ES1" s="32" t="s">
        <v>2567</v>
      </c>
      <c r="ET1" s="32" t="s">
        <v>2570</v>
      </c>
      <c r="EU1" s="32" t="s">
        <v>2573</v>
      </c>
      <c r="EV1" s="32" t="s">
        <v>2586</v>
      </c>
      <c r="EW1" s="32" t="s">
        <v>2592</v>
      </c>
      <c r="EX1" s="32" t="s">
        <v>2595</v>
      </c>
      <c r="EY1" s="32" t="s">
        <v>2598</v>
      </c>
      <c r="EZ1" s="32" t="s">
        <v>2612</v>
      </c>
      <c r="FA1" s="32" t="s">
        <v>2615</v>
      </c>
      <c r="FB1" s="32" t="s">
        <v>2618</v>
      </c>
      <c r="FC1" s="32" t="s">
        <v>2621</v>
      </c>
      <c r="FD1" s="32" t="s">
        <v>2624</v>
      </c>
      <c r="FE1" s="32" t="s">
        <v>2649</v>
      </c>
      <c r="FF1" s="32" t="s">
        <v>2652</v>
      </c>
      <c r="FG1" s="32" t="s">
        <v>2658</v>
      </c>
      <c r="FH1" s="32" t="s">
        <v>2661</v>
      </c>
      <c r="FI1" s="32" t="s">
        <v>2667</v>
      </c>
      <c r="FJ1" s="32" t="s">
        <v>2670</v>
      </c>
      <c r="FK1" s="32" t="s">
        <v>2673</v>
      </c>
      <c r="FL1" s="32" t="s">
        <v>2676</v>
      </c>
      <c r="FM1" s="32" t="s">
        <v>2682</v>
      </c>
      <c r="FN1" s="32" t="s">
        <v>2685</v>
      </c>
      <c r="FO1" s="32" t="s">
        <v>2702</v>
      </c>
      <c r="FP1" s="32" t="s">
        <v>2705</v>
      </c>
      <c r="FQ1" s="32" t="s">
        <v>2712</v>
      </c>
      <c r="FR1" s="32" t="s">
        <v>2722</v>
      </c>
      <c r="FS1" s="32" t="s">
        <v>2725</v>
      </c>
      <c r="FT1" s="32" t="s">
        <v>2728</v>
      </c>
      <c r="FU1" s="32" t="s">
        <v>2731</v>
      </c>
      <c r="FV1" s="32" t="s">
        <v>2734</v>
      </c>
      <c r="FW1" s="32" t="s">
        <v>2737</v>
      </c>
      <c r="FX1" s="32" t="s">
        <v>2740</v>
      </c>
      <c r="FY1" s="32" t="s">
        <v>2743</v>
      </c>
      <c r="FZ1" s="32" t="s">
        <v>2746</v>
      </c>
      <c r="GA1" s="32" t="s">
        <v>2749</v>
      </c>
      <c r="GB1" s="32" t="s">
        <v>2752</v>
      </c>
      <c r="GC1" s="32" t="s">
        <v>2755</v>
      </c>
      <c r="GD1" s="32" t="s">
        <v>2761</v>
      </c>
      <c r="GE1" s="32" t="s">
        <v>2764</v>
      </c>
      <c r="GF1" s="32" t="s">
        <v>2784</v>
      </c>
      <c r="GG1" s="32" t="s">
        <v>2787</v>
      </c>
      <c r="GH1" s="32" t="s">
        <v>2790</v>
      </c>
      <c r="GI1" s="32" t="s">
        <v>2793</v>
      </c>
      <c r="GJ1" s="32" t="s">
        <v>2796</v>
      </c>
      <c r="GK1" s="32" t="s">
        <v>2799</v>
      </c>
      <c r="GL1" s="32" t="s">
        <v>2802</v>
      </c>
      <c r="GM1" s="29" t="s">
        <v>1990</v>
      </c>
      <c r="GN1" s="29" t="s">
        <v>2018</v>
      </c>
      <c r="GO1" s="29" t="s">
        <v>2057</v>
      </c>
      <c r="GP1" s="29" t="s">
        <v>2222</v>
      </c>
      <c r="GQ1" s="29" t="s">
        <v>2259</v>
      </c>
      <c r="GR1" s="29" t="s">
        <v>2287</v>
      </c>
      <c r="GS1" s="29" t="s">
        <v>2290</v>
      </c>
      <c r="GT1" s="29" t="s">
        <v>2293</v>
      </c>
      <c r="GU1" s="29" t="s">
        <v>2498</v>
      </c>
      <c r="GV1" s="29" t="s">
        <v>2501</v>
      </c>
      <c r="GW1" s="29" t="s">
        <v>2504</v>
      </c>
      <c r="GX1" s="29" t="s">
        <v>2540</v>
      </c>
      <c r="GY1" s="29" t="s">
        <v>2546</v>
      </c>
      <c r="GZ1" s="29" t="s">
        <v>2601</v>
      </c>
      <c r="HA1" s="29" t="s">
        <v>2655</v>
      </c>
      <c r="HB1" s="29" t="s">
        <v>2664</v>
      </c>
      <c r="HC1" s="29" t="s">
        <v>2679</v>
      </c>
      <c r="HD1" s="29" t="s">
        <v>2758</v>
      </c>
      <c r="HE1" s="34" t="s">
        <v>2144</v>
      </c>
      <c r="HF1" s="34" t="s">
        <v>2576</v>
      </c>
      <c r="HG1" s="34" t="s">
        <v>2582</v>
      </c>
      <c r="HH1" s="34" t="s">
        <v>2589</v>
      </c>
      <c r="HI1" s="34" t="s">
        <v>1961</v>
      </c>
      <c r="HJ1" s="34" t="s">
        <v>1967</v>
      </c>
      <c r="HK1" s="34" t="s">
        <v>2155</v>
      </c>
      <c r="HL1" s="34" t="s">
        <v>2212</v>
      </c>
      <c r="HM1" s="34" t="s">
        <v>2216</v>
      </c>
      <c r="HN1" s="34" t="s">
        <v>2237</v>
      </c>
      <c r="HO1" s="34" t="s">
        <v>2241</v>
      </c>
      <c r="HP1" s="34" t="s">
        <v>2425</v>
      </c>
      <c r="HQ1" s="34" t="s">
        <v>2431</v>
      </c>
      <c r="HR1" s="34" t="s">
        <v>2435</v>
      </c>
      <c r="HS1" s="34" t="s">
        <v>2438</v>
      </c>
      <c r="HT1" s="34" t="s">
        <v>2442</v>
      </c>
      <c r="HU1" s="34" t="s">
        <v>2608</v>
      </c>
      <c r="HV1" s="34" t="s">
        <v>2691</v>
      </c>
      <c r="HW1" s="34" t="s">
        <v>2715</v>
      </c>
      <c r="HX1" s="34" t="s">
        <v>2719</v>
      </c>
      <c r="HY1" s="34" t="s">
        <v>1971</v>
      </c>
      <c r="HZ1" s="34" t="s">
        <v>2283</v>
      </c>
      <c r="IA1" s="34" t="s">
        <v>2362</v>
      </c>
      <c r="IB1" s="34" t="s">
        <v>2367</v>
      </c>
      <c r="IC1" s="34" t="s">
        <v>2495</v>
      </c>
      <c r="ID1" s="34" t="s">
        <v>2604</v>
      </c>
      <c r="IE1" s="34" t="s">
        <v>2780</v>
      </c>
      <c r="IF1" s="34" t="s">
        <v>1926</v>
      </c>
      <c r="IG1" s="34" t="s">
        <v>1930</v>
      </c>
      <c r="IH1" s="34" t="s">
        <v>1933</v>
      </c>
      <c r="II1" s="34" t="s">
        <v>1936</v>
      </c>
      <c r="IJ1" s="34" t="s">
        <v>2009</v>
      </c>
      <c r="IK1" s="34" t="s">
        <v>2066</v>
      </c>
      <c r="IL1" s="34" t="s">
        <v>2078</v>
      </c>
      <c r="IM1" s="34" t="s">
        <v>2081</v>
      </c>
      <c r="IN1" s="34" t="s">
        <v>2111</v>
      </c>
      <c r="IO1" s="34" t="s">
        <v>2114</v>
      </c>
      <c r="IP1" s="34" t="s">
        <v>2393</v>
      </c>
      <c r="IQ1" s="34" t="s">
        <v>2396</v>
      </c>
      <c r="IR1" s="34" t="s">
        <v>2627</v>
      </c>
      <c r="IS1" s="34" t="s">
        <v>2630</v>
      </c>
      <c r="IT1" s="34" t="s">
        <v>2633</v>
      </c>
      <c r="IU1" s="34" t="s">
        <v>2636</v>
      </c>
      <c r="IV1" s="34" t="s">
        <v>2639</v>
      </c>
      <c r="IW1" s="34" t="s">
        <v>1900</v>
      </c>
      <c r="IX1" s="34" t="s">
        <v>1906</v>
      </c>
      <c r="IY1" s="34" t="s">
        <v>1909</v>
      </c>
      <c r="IZ1" s="34" t="s">
        <v>1912</v>
      </c>
      <c r="JA1" s="34" t="s">
        <v>1954</v>
      </c>
      <c r="JB1" s="34" t="s">
        <v>1958</v>
      </c>
      <c r="JC1" s="34" t="s">
        <v>1977</v>
      </c>
      <c r="JD1" s="34" t="s">
        <v>1981</v>
      </c>
      <c r="JE1" s="34" t="s">
        <v>2152</v>
      </c>
      <c r="JF1" s="34" t="s">
        <v>2196</v>
      </c>
      <c r="JG1" s="34" t="s">
        <v>2253</v>
      </c>
      <c r="JH1" s="34" t="s">
        <v>2314</v>
      </c>
      <c r="JI1" s="34" t="s">
        <v>2357</v>
      </c>
      <c r="JJ1" s="34" t="s">
        <v>2374</v>
      </c>
      <c r="JK1" s="34" t="s">
        <v>2378</v>
      </c>
      <c r="JL1" s="34" t="s">
        <v>2381</v>
      </c>
      <c r="JM1" s="34" t="s">
        <v>2384</v>
      </c>
      <c r="JN1" s="34" t="s">
        <v>2387</v>
      </c>
      <c r="JO1" s="34" t="s">
        <v>2390</v>
      </c>
      <c r="JP1" s="34" t="s">
        <v>2399</v>
      </c>
      <c r="JQ1" s="34" t="s">
        <v>2403</v>
      </c>
      <c r="JR1" s="34" t="s">
        <v>2445</v>
      </c>
      <c r="JS1" s="34" t="s">
        <v>2450</v>
      </c>
      <c r="JT1" s="34" t="s">
        <v>2642</v>
      </c>
      <c r="JU1" s="34" t="s">
        <v>2645</v>
      </c>
      <c r="JV1" s="34" t="s">
        <v>2695</v>
      </c>
      <c r="JW1" s="34" t="s">
        <v>2699</v>
      </c>
      <c r="JX1" s="34" t="s">
        <v>2708</v>
      </c>
      <c r="JY1" s="34" t="s">
        <v>2207</v>
      </c>
      <c r="JZ1" s="34" t="s">
        <v>2767</v>
      </c>
      <c r="KA1" s="34" t="s">
        <v>2771</v>
      </c>
      <c r="KB1" s="34" t="s">
        <v>2774</v>
      </c>
      <c r="KC1" s="34" t="s">
        <v>2777</v>
      </c>
    </row>
    <row r="2" spans="1:289" x14ac:dyDescent="0.3">
      <c r="A2" s="4" t="s">
        <v>2997</v>
      </c>
      <c r="B2" s="31">
        <v>17</v>
      </c>
      <c r="C2" s="31">
        <v>113</v>
      </c>
      <c r="D2" s="31">
        <v>274.5</v>
      </c>
      <c r="E2" s="3">
        <f>_xlfn.XLOOKUP(E$1,generator!$B$2:$B$295,generator!$K$2:$K$295,"ARGH")</f>
        <v>0</v>
      </c>
      <c r="F2" s="3">
        <f>_xlfn.XLOOKUP(F$1,generator!$B$2:$B$295,generator!$K$2:$K$295,"ARGH")</f>
        <v>0</v>
      </c>
      <c r="G2" s="3">
        <f>_xlfn.XLOOKUP(G$1,generator!$B$2:$B$295,generator!$K$2:$K$295,"ARGH")</f>
        <v>0</v>
      </c>
      <c r="H2" s="3">
        <f>_xlfn.XLOOKUP(H$1,generator!$B$2:$B$295,generator!$K$2:$K$295,"ARGH")</f>
        <v>0</v>
      </c>
      <c r="I2" s="3">
        <f>_xlfn.XLOOKUP(I$1,generator!$B$2:$B$295,generator!$K$2:$K$295,"ARGH")</f>
        <v>0</v>
      </c>
      <c r="J2" s="3">
        <f>_xlfn.XLOOKUP(J$1,generator!$B$2:$B$295,generator!$K$2:$K$295,"ARGH")</f>
        <v>0</v>
      </c>
      <c r="K2" s="3">
        <f>_xlfn.XLOOKUP(K$1,generator!$B$2:$B$295,generator!$K$2:$K$295,"ARGH")</f>
        <v>0</v>
      </c>
      <c r="L2" s="3">
        <f>_xlfn.XLOOKUP(L$1,generator!$B$2:$B$295,generator!$K$2:$K$295,"ARGH")</f>
        <v>0</v>
      </c>
      <c r="M2" s="3">
        <f>_xlfn.XLOOKUP(M$1,generator!$B$2:$B$295,generator!$K$2:$K$295,"ARGH")</f>
        <v>0</v>
      </c>
      <c r="N2" s="3">
        <f>_xlfn.XLOOKUP(N$1,generator!$B$2:$B$295,generator!$K$2:$K$295,"ARGH")</f>
        <v>0</v>
      </c>
      <c r="O2" s="3">
        <f>_xlfn.XLOOKUP(O$1,generator!$B$2:$B$295,generator!$K$2:$K$295,"ARGH")</f>
        <v>0</v>
      </c>
      <c r="P2" s="3">
        <f>_xlfn.XLOOKUP(P$1,generator!$B$2:$B$295,generator!$K$2:$K$295,"ARGH")</f>
        <v>0</v>
      </c>
      <c r="Q2" s="3">
        <f>_xlfn.XLOOKUP(Q$1,generator!$B$2:$B$295,generator!$K$2:$K$295,"ARGH")</f>
        <v>0</v>
      </c>
      <c r="R2" s="3">
        <f>_xlfn.XLOOKUP(R$1,generator!$B$2:$B$295,generator!$K$2:$K$295,"ARGH")</f>
        <v>0</v>
      </c>
      <c r="S2" s="3">
        <f>_xlfn.XLOOKUP(S$1,generator!$B$2:$B$295,generator!$K$2:$K$295,"ARGH")</f>
        <v>0</v>
      </c>
      <c r="T2" s="3">
        <f>_xlfn.XLOOKUP(T$1,generator!$B$2:$B$295,generator!$K$2:$K$295,"ARGH")</f>
        <v>0</v>
      </c>
      <c r="U2" s="3">
        <f>_xlfn.XLOOKUP(U$1,generator!$B$2:$B$295,generator!$K$2:$K$295,"ARGH")</f>
        <v>0</v>
      </c>
      <c r="V2" s="3">
        <f>_xlfn.XLOOKUP(V$1,generator!$B$2:$B$295,generator!$K$2:$K$295,"ARGH")</f>
        <v>0</v>
      </c>
      <c r="W2" s="3">
        <f>_xlfn.XLOOKUP(W$1,generator!$B$2:$B$295,generator!$K$2:$K$295,"ARGH")</f>
        <v>0</v>
      </c>
      <c r="X2" s="3">
        <f>_xlfn.XLOOKUP(X$1,generator!$B$2:$B$295,generator!$K$2:$K$295,"ARGH")</f>
        <v>0</v>
      </c>
      <c r="Y2" s="3">
        <f>_xlfn.XLOOKUP(Y$1,generator!$B$2:$B$295,generator!$K$2:$K$295,"ARGH")</f>
        <v>0</v>
      </c>
      <c r="Z2" s="3">
        <f>_xlfn.XLOOKUP(Z$1,generator!$B$2:$B$295,generator!$K$2:$K$295,"ARGH")</f>
        <v>0</v>
      </c>
      <c r="AA2" s="3">
        <f>_xlfn.XLOOKUP(AA$1,generator!$B$2:$B$295,generator!$K$2:$K$295,"ARGH")</f>
        <v>0</v>
      </c>
      <c r="AB2" s="3">
        <f>_xlfn.XLOOKUP(AB$1,generator!$B$2:$B$295,generator!$K$2:$K$295,"ARGH")</f>
        <v>0</v>
      </c>
      <c r="AC2" s="3">
        <f>_xlfn.XLOOKUP(AC$1,generator!$B$2:$B$295,generator!$K$2:$K$295,"ARGH")</f>
        <v>0</v>
      </c>
      <c r="AD2" s="3">
        <f>_xlfn.XLOOKUP(AD$1,generator!$B$2:$B$295,generator!$K$2:$K$295,"ARGH")</f>
        <v>0</v>
      </c>
      <c r="AE2" s="3">
        <f>_xlfn.XLOOKUP(AE$1,generator!$B$2:$B$295,generator!$K$2:$K$295,"ARGH")</f>
        <v>0</v>
      </c>
      <c r="AF2" s="3">
        <f>_xlfn.XLOOKUP(AF$1,generator!$B$2:$B$295,generator!$K$2:$K$295,"ARGH")</f>
        <v>0</v>
      </c>
      <c r="AG2" s="3">
        <f>_xlfn.XLOOKUP(AG$1,generator!$B$2:$B$295,generator!$K$2:$K$295,"ARGH")</f>
        <v>0</v>
      </c>
      <c r="AH2" s="3">
        <f>_xlfn.XLOOKUP(AH$1,generator!$B$2:$B$295,generator!$K$2:$K$295,"ARGH")</f>
        <v>0</v>
      </c>
      <c r="AI2" s="3">
        <f>_xlfn.XLOOKUP(AI$1,generator!$B$2:$B$295,generator!$K$2:$K$295,"ARGH")</f>
        <v>0</v>
      </c>
      <c r="AJ2" s="3">
        <f>_xlfn.XLOOKUP(AJ$1,generator!$B$2:$B$295,generator!$K$2:$K$295,"ARGH")</f>
        <v>0</v>
      </c>
      <c r="AK2" s="3">
        <f>_xlfn.XLOOKUP(AK$1,generator!$B$2:$B$295,generator!$K$2:$K$295,"ARGH")</f>
        <v>0</v>
      </c>
      <c r="AL2" s="3">
        <f>_xlfn.XLOOKUP(AL$1,generator!$B$2:$B$295,generator!$K$2:$K$295,"ARGH")</f>
        <v>0</v>
      </c>
      <c r="AM2" s="3">
        <f>_xlfn.XLOOKUP(AM$1,generator!$B$2:$B$295,generator!$K$2:$K$295,"ARGH")</f>
        <v>0</v>
      </c>
      <c r="AN2" s="3">
        <f>_xlfn.XLOOKUP(AN$1,generator!$B$2:$B$295,generator!$K$2:$K$295,"ARGH")</f>
        <v>0</v>
      </c>
      <c r="AO2" s="3">
        <f>_xlfn.XLOOKUP(AO$1,generator!$B$2:$B$295,generator!$K$2:$K$295,"ARGH")</f>
        <v>0</v>
      </c>
      <c r="AP2" s="3">
        <f>_xlfn.XLOOKUP(AP$1,generator!$B$2:$B$295,generator!$K$2:$K$295,"ARGH")</f>
        <v>0</v>
      </c>
      <c r="AQ2" s="3">
        <f>_xlfn.XLOOKUP(AQ$1,generator!$B$2:$B$295,generator!$K$2:$K$295,"ARGH")</f>
        <v>0</v>
      </c>
      <c r="AR2" s="3">
        <f>_xlfn.XLOOKUP(AR$1,generator!$B$2:$B$295,generator!$K$2:$K$295,"ARGH")</f>
        <v>0</v>
      </c>
      <c r="AS2" s="3">
        <f>_xlfn.XLOOKUP(AS$1,generator!$B$2:$B$295,generator!$K$2:$K$295,"ARGH")</f>
        <v>0</v>
      </c>
      <c r="AT2" s="3">
        <f>_xlfn.XLOOKUP(AT$1,generator!$B$2:$B$295,generator!$K$2:$K$295,"ARGH")</f>
        <v>0</v>
      </c>
      <c r="AU2" s="3">
        <f>_xlfn.XLOOKUP(AU$1,generator!$B$2:$B$295,generator!$K$2:$K$295,"ARGH")</f>
        <v>0</v>
      </c>
      <c r="AV2" s="3">
        <f>_xlfn.XLOOKUP(AV$1,generator!$B$2:$B$295,generator!$K$2:$K$295,"ARGH")</f>
        <v>0</v>
      </c>
      <c r="AW2" s="3">
        <f>_xlfn.XLOOKUP(AW$1,generator!$B$2:$B$295,generator!$K$2:$K$295,"ARGH")</f>
        <v>0</v>
      </c>
      <c r="AX2" s="3">
        <f>_xlfn.XLOOKUP(AX$1,generator!$B$2:$B$295,generator!$K$2:$K$295,"ARGH")</f>
        <v>0</v>
      </c>
      <c r="AY2" s="3">
        <f>_xlfn.XLOOKUP(AY$1,generator!$B$2:$B$295,generator!$K$2:$K$295,"ARGH")</f>
        <v>0</v>
      </c>
      <c r="AZ2" s="3">
        <f>_xlfn.XLOOKUP(AZ$1,generator!$B$2:$B$295,generator!$K$2:$K$295,"ARGH")</f>
        <v>0</v>
      </c>
      <c r="BA2" s="3">
        <f>_xlfn.XLOOKUP(BA$1,generator!$B$2:$B$295,generator!$K$2:$K$295,"ARGH")</f>
        <v>0</v>
      </c>
      <c r="BB2" s="3">
        <f>_xlfn.XLOOKUP(BB$1,generator!$B$2:$B$295,generator!$K$2:$K$295,"ARGH")</f>
        <v>0</v>
      </c>
      <c r="BC2" s="3">
        <f>_xlfn.XLOOKUP(BC$1,generator!$B$2:$B$295,generator!$K$2:$K$295,"ARGH")</f>
        <v>0</v>
      </c>
      <c r="BD2" s="3">
        <f>_xlfn.XLOOKUP(BD$1,generator!$B$2:$B$295,generator!$K$2:$K$295,"ARGH")</f>
        <v>0</v>
      </c>
      <c r="BE2" s="3">
        <f>_xlfn.XLOOKUP(BE$1,generator!$B$2:$B$295,generator!$K$2:$K$295,"ARGH")</f>
        <v>0</v>
      </c>
      <c r="BF2" s="3">
        <f>_xlfn.XLOOKUP(BF$1,generator!$B$2:$B$295,generator!$K$2:$K$295,"ARGH")</f>
        <v>0</v>
      </c>
      <c r="BG2" s="3">
        <f>_xlfn.XLOOKUP(BG$1,generator!$B$2:$B$295,generator!$K$2:$K$295,"ARGH")</f>
        <v>0</v>
      </c>
      <c r="BH2" s="3">
        <f>_xlfn.XLOOKUP(BH$1,generator!$B$2:$B$295,generator!$K$2:$K$295,"ARGH")</f>
        <v>0</v>
      </c>
      <c r="BI2" s="3">
        <f>_xlfn.XLOOKUP(BI$1,generator!$B$2:$B$295,generator!$K$2:$K$295,"ARGH")</f>
        <v>0</v>
      </c>
      <c r="BJ2" s="3">
        <f>_xlfn.XLOOKUP(BJ$1,generator!$B$2:$B$295,generator!$K$2:$K$295,"ARGH")</f>
        <v>0</v>
      </c>
      <c r="BK2" s="3">
        <f>_xlfn.XLOOKUP(BK$1,generator!$B$2:$B$295,generator!$K$2:$K$295,"ARGH")</f>
        <v>0</v>
      </c>
      <c r="BL2" s="3">
        <f>_xlfn.XLOOKUP(BL$1,generator!$B$2:$B$295,generator!$K$2:$K$295,"ARGH")</f>
        <v>0</v>
      </c>
      <c r="BM2" s="3">
        <f>_xlfn.XLOOKUP(BM$1,generator!$B$2:$B$295,generator!$K$2:$K$295,"ARGH")</f>
        <v>0</v>
      </c>
      <c r="BN2" s="3">
        <f>_xlfn.XLOOKUP(BN$1,generator!$B$2:$B$295,generator!$K$2:$K$295,"ARGH")</f>
        <v>0</v>
      </c>
      <c r="BO2" s="3">
        <f>_xlfn.XLOOKUP(BO$1,generator!$B$2:$B$295,generator!$K$2:$K$295,"ARGH")</f>
        <v>0</v>
      </c>
      <c r="BP2" s="3">
        <f>_xlfn.XLOOKUP(BP$1,generator!$B$2:$B$295,generator!$K$2:$K$295,"ARGH")</f>
        <v>0</v>
      </c>
      <c r="BQ2" s="3">
        <f>_xlfn.XLOOKUP(BQ$1,generator!$B$2:$B$295,generator!$K$2:$K$295,"ARGH")</f>
        <v>0</v>
      </c>
      <c r="BR2" s="3">
        <f>_xlfn.XLOOKUP(BR$1,generator!$B$2:$B$295,generator!$K$2:$K$295,"ARGH")</f>
        <v>0</v>
      </c>
      <c r="BS2" s="3">
        <f>_xlfn.XLOOKUP(BS$1,generator!$B$2:$B$295,generator!$K$2:$K$295,"ARGH")</f>
        <v>0</v>
      </c>
      <c r="BT2" s="3">
        <f>_xlfn.XLOOKUP(BT$1,generator!$B$2:$B$295,generator!$K$2:$K$295,"ARGH")</f>
        <v>0</v>
      </c>
      <c r="BU2" s="3">
        <f>_xlfn.XLOOKUP(BU$1,generator!$B$2:$B$295,generator!$K$2:$K$295,"ARGH")</f>
        <v>0</v>
      </c>
      <c r="BV2" s="3">
        <f>_xlfn.XLOOKUP(BV$1,generator!$B$2:$B$295,generator!$K$2:$K$295,"ARGH")</f>
        <v>0</v>
      </c>
      <c r="BW2" s="3">
        <f>_xlfn.XLOOKUP(BW$1,generator!$B$2:$B$295,generator!$K$2:$K$295,"ARGH")</f>
        <v>0</v>
      </c>
      <c r="BX2" s="3">
        <f>_xlfn.XLOOKUP(BX$1,generator!$B$2:$B$295,generator!$K$2:$K$295,"ARGH")</f>
        <v>0</v>
      </c>
      <c r="BY2" s="3">
        <f>_xlfn.XLOOKUP(BY$1,generator!$B$2:$B$295,generator!$K$2:$K$295,"ARGH")</f>
        <v>0</v>
      </c>
      <c r="BZ2" s="3">
        <f>_xlfn.XLOOKUP(BZ$1,generator!$B$2:$B$295,generator!$K$2:$K$295,"ARGH")</f>
        <v>0</v>
      </c>
      <c r="CA2" s="3">
        <f>_xlfn.XLOOKUP(CA$1,generator!$B$2:$B$295,generator!$K$2:$K$295,"ARGH")</f>
        <v>0</v>
      </c>
      <c r="CB2" s="3">
        <f>_xlfn.XLOOKUP(CB$1,generator!$B$2:$B$295,generator!$K$2:$K$295,"ARGH")</f>
        <v>0</v>
      </c>
      <c r="CC2" s="3">
        <f>_xlfn.XLOOKUP(CC$1,generator!$B$2:$B$295,generator!$K$2:$K$295,"ARGH")</f>
        <v>0</v>
      </c>
      <c r="CD2" s="3">
        <f>_xlfn.XLOOKUP(CD$1,generator!$B$2:$B$295,generator!$K$2:$K$295,"ARGH")</f>
        <v>0</v>
      </c>
      <c r="CE2" s="3">
        <f>_xlfn.XLOOKUP(CE$1,generator!$B$2:$B$295,generator!$K$2:$K$295,"ARGH")</f>
        <v>0</v>
      </c>
      <c r="CF2" s="3">
        <f>_xlfn.XLOOKUP(CF$1,generator!$B$2:$B$295,generator!$K$2:$K$295,"ARGH")</f>
        <v>0</v>
      </c>
      <c r="CG2" s="3">
        <f>_xlfn.XLOOKUP(CG$1,generator!$B$2:$B$295,generator!$K$2:$K$295,"ARGH")</f>
        <v>0</v>
      </c>
      <c r="CH2" s="3">
        <f>_xlfn.XLOOKUP(CH$1,generator!$B$2:$B$295,generator!$K$2:$K$295,"ARGH")</f>
        <v>0</v>
      </c>
      <c r="CI2" s="3">
        <f>_xlfn.XLOOKUP(CI$1,generator!$B$2:$B$295,generator!$K$2:$K$295,"ARGH")</f>
        <v>0</v>
      </c>
      <c r="CJ2" s="3">
        <f>_xlfn.XLOOKUP(CJ$1,generator!$B$2:$B$295,generator!$K$2:$K$295,"ARGH")</f>
        <v>0</v>
      </c>
      <c r="CK2" s="3">
        <f>_xlfn.XLOOKUP(CK$1,generator!$B$2:$B$295,generator!$K$2:$K$295,"ARGH")</f>
        <v>0</v>
      </c>
      <c r="CL2" s="3">
        <f>_xlfn.XLOOKUP(CL$1,generator!$B$2:$B$295,generator!$K$2:$K$295,"ARGH")</f>
        <v>0</v>
      </c>
      <c r="CM2" s="3">
        <f>_xlfn.XLOOKUP(CM$1,generator!$B$2:$B$295,generator!$K$2:$K$295,"ARGH")</f>
        <v>0</v>
      </c>
      <c r="CN2" s="3">
        <f>_xlfn.XLOOKUP(CN$1,generator!$B$2:$B$295,generator!$K$2:$K$295,"ARGH")</f>
        <v>0</v>
      </c>
      <c r="CO2" s="3">
        <f>_xlfn.XLOOKUP(CO$1,generator!$B$2:$B$295,generator!$K$2:$K$295,"ARGH")</f>
        <v>0</v>
      </c>
      <c r="CP2" s="3">
        <f>_xlfn.XLOOKUP(CP$1,generator!$B$2:$B$295,generator!$K$2:$K$295,"ARGH")</f>
        <v>0</v>
      </c>
      <c r="CQ2" s="3">
        <f>_xlfn.XLOOKUP(CQ$1,generator!$B$2:$B$295,generator!$K$2:$K$295,"ARGH")</f>
        <v>0</v>
      </c>
      <c r="CR2" s="3">
        <f>_xlfn.XLOOKUP(CR$1,generator!$B$2:$B$295,generator!$K$2:$K$295,"ARGH")</f>
        <v>0</v>
      </c>
      <c r="CS2" s="3">
        <f>_xlfn.XLOOKUP(CS$1,generator!$B$2:$B$295,generator!$K$2:$K$295,"ARGH")</f>
        <v>0</v>
      </c>
      <c r="CT2" s="3">
        <f>_xlfn.XLOOKUP(CT$1,generator!$B$2:$B$295,generator!$K$2:$K$295,"ARGH")</f>
        <v>0</v>
      </c>
      <c r="CU2" s="3">
        <f>_xlfn.XLOOKUP(CU$1,generator!$B$2:$B$295,generator!$K$2:$K$295,"ARGH")</f>
        <v>0</v>
      </c>
      <c r="CV2" s="3">
        <f>_xlfn.XLOOKUP(CV$1,generator!$B$2:$B$295,generator!$K$2:$K$295,"ARGH")</f>
        <v>0</v>
      </c>
      <c r="CW2" s="3">
        <f>_xlfn.XLOOKUP(CW$1,generator!$B$2:$B$295,generator!$K$2:$K$295,"ARGH")</f>
        <v>0</v>
      </c>
      <c r="CX2" s="3">
        <f>_xlfn.XLOOKUP(CX$1,generator!$B$2:$B$295,generator!$K$2:$K$295,"ARGH")</f>
        <v>0</v>
      </c>
      <c r="CY2" s="3">
        <f>_xlfn.XLOOKUP(CY$1,generator!$B$2:$B$295,generator!$K$2:$K$295,"ARGH")</f>
        <v>0</v>
      </c>
      <c r="CZ2" s="3">
        <f>_xlfn.XLOOKUP(CZ$1,generator!$B$2:$B$295,generator!$K$2:$K$295,"ARGH")</f>
        <v>0</v>
      </c>
      <c r="DA2" s="3">
        <f>_xlfn.XLOOKUP(DA$1,generator!$B$2:$B$295,generator!$K$2:$K$295,"ARGH")</f>
        <v>0</v>
      </c>
      <c r="DB2" s="3">
        <f>_xlfn.XLOOKUP(DB$1,generator!$B$2:$B$295,generator!$K$2:$K$295,"ARGH")</f>
        <v>0</v>
      </c>
      <c r="DC2" s="3">
        <f>_xlfn.XLOOKUP(DC$1,generator!$B$2:$B$295,generator!$K$2:$K$295,"ARGH")</f>
        <v>0</v>
      </c>
      <c r="DD2" s="3">
        <f>_xlfn.XLOOKUP(DD$1,generator!$B$2:$B$295,generator!$K$2:$K$295,"ARGH")</f>
        <v>0</v>
      </c>
      <c r="DE2" s="3">
        <f>_xlfn.XLOOKUP(DE$1,generator!$B$2:$B$295,generator!$K$2:$K$295,"ARGH")</f>
        <v>0</v>
      </c>
      <c r="DF2" s="3">
        <f>_xlfn.XLOOKUP(DF$1,generator!$B$2:$B$295,generator!$K$2:$K$295,"ARGH")</f>
        <v>0</v>
      </c>
      <c r="DG2" s="3">
        <f>_xlfn.XLOOKUP(DG$1,generator!$B$2:$B$295,generator!$K$2:$K$295,"ARGH")</f>
        <v>0</v>
      </c>
      <c r="DH2" s="3">
        <f>_xlfn.XLOOKUP(DH$1,generator!$B$2:$B$295,generator!$K$2:$K$295,"ARGH")</f>
        <v>0</v>
      </c>
      <c r="DI2" s="3">
        <f>_xlfn.XLOOKUP(DI$1,generator!$B$2:$B$295,generator!$K$2:$K$295,"ARGH")</f>
        <v>0</v>
      </c>
      <c r="DJ2" s="3">
        <f>_xlfn.XLOOKUP(DJ$1,generator!$B$2:$B$295,generator!$K$2:$K$295,"ARGH")</f>
        <v>0</v>
      </c>
      <c r="DK2" s="3">
        <f>_xlfn.XLOOKUP(DK$1,generator!$B$2:$B$295,generator!$K$2:$K$295,"ARGH")</f>
        <v>0</v>
      </c>
      <c r="DL2" s="3">
        <f>_xlfn.XLOOKUP(DL$1,generator!$B$2:$B$295,generator!$K$2:$K$295,"ARGH")</f>
        <v>0</v>
      </c>
      <c r="DM2" s="3">
        <f>_xlfn.XLOOKUP(DM$1,generator!$B$2:$B$295,generator!$K$2:$K$295,"ARGH")</f>
        <v>0</v>
      </c>
      <c r="DN2" s="3">
        <f>_xlfn.XLOOKUP(DN$1,generator!$B$2:$B$295,generator!$K$2:$K$295,"ARGH")</f>
        <v>0</v>
      </c>
      <c r="DO2" s="3">
        <f>_xlfn.XLOOKUP(DO$1,generator!$B$2:$B$295,generator!$K$2:$K$295,"ARGH")</f>
        <v>0</v>
      </c>
      <c r="DP2" s="3">
        <f>_xlfn.XLOOKUP(DP$1,generator!$B$2:$B$295,generator!$K$2:$K$295,"ARGH")</f>
        <v>0</v>
      </c>
      <c r="DQ2" s="3">
        <f>_xlfn.XLOOKUP(DQ$1,generator!$B$2:$B$295,generator!$K$2:$K$295,"ARGH")</f>
        <v>0</v>
      </c>
      <c r="DR2" s="3">
        <f>_xlfn.XLOOKUP(DR$1,generator!$B$2:$B$295,generator!$K$2:$K$295,"ARGH")</f>
        <v>0</v>
      </c>
      <c r="DS2" s="3">
        <f>_xlfn.XLOOKUP(DS$1,generator!$B$2:$B$295,generator!$K$2:$K$295,"ARGH")</f>
        <v>0</v>
      </c>
      <c r="DT2" s="3">
        <f>_xlfn.XLOOKUP(DT$1,generator!$B$2:$B$295,generator!$K$2:$K$295,"ARGH")</f>
        <v>0</v>
      </c>
      <c r="DU2" s="3">
        <f>_xlfn.XLOOKUP(DU$1,generator!$B$2:$B$295,generator!$K$2:$K$295,"ARGH")</f>
        <v>0</v>
      </c>
      <c r="DV2" s="3">
        <f>_xlfn.XLOOKUP(DV$1,generator!$B$2:$B$295,generator!$K$2:$K$295,"ARGH")</f>
        <v>0</v>
      </c>
      <c r="DW2" s="3">
        <f>_xlfn.XLOOKUP(DW$1,generator!$B$2:$B$295,generator!$K$2:$K$295,"ARGH")</f>
        <v>0</v>
      </c>
      <c r="DX2" s="3">
        <f>_xlfn.XLOOKUP(DX$1,generator!$B$2:$B$295,generator!$K$2:$K$295,"ARGH")</f>
        <v>0</v>
      </c>
      <c r="DY2" s="3">
        <f>_xlfn.XLOOKUP(DY$1,generator!$B$2:$B$295,generator!$K$2:$K$295,"ARGH")</f>
        <v>0</v>
      </c>
      <c r="DZ2" s="3">
        <f>_xlfn.XLOOKUP(DZ$1,generator!$B$2:$B$295,generator!$K$2:$K$295,"ARGH")</f>
        <v>0</v>
      </c>
      <c r="EA2" s="3">
        <f>_xlfn.XLOOKUP(EA$1,generator!$B$2:$B$295,generator!$K$2:$K$295,"ARGH")</f>
        <v>0</v>
      </c>
      <c r="EB2" s="3">
        <f>_xlfn.XLOOKUP(EB$1,generator!$B$2:$B$295,generator!$K$2:$K$295,"ARGH")</f>
        <v>0</v>
      </c>
      <c r="EC2" s="3">
        <f>_xlfn.XLOOKUP(EC$1,generator!$B$2:$B$295,generator!$K$2:$K$295,"ARGH")</f>
        <v>0</v>
      </c>
      <c r="ED2" s="3">
        <f>_xlfn.XLOOKUP(ED$1,generator!$B$2:$B$295,generator!$K$2:$K$295,"ARGH")</f>
        <v>0</v>
      </c>
      <c r="EE2" s="3">
        <f>_xlfn.XLOOKUP(EE$1,generator!$B$2:$B$295,generator!$K$2:$K$295,"ARGH")</f>
        <v>0</v>
      </c>
      <c r="EF2" s="3">
        <f>_xlfn.XLOOKUP(EF$1,generator!$B$2:$B$295,generator!$K$2:$K$295,"ARGH")</f>
        <v>0</v>
      </c>
      <c r="EG2" s="3">
        <f>_xlfn.XLOOKUP(EG$1,generator!$B$2:$B$295,generator!$K$2:$K$295,"ARGH")</f>
        <v>0</v>
      </c>
      <c r="EH2" s="3">
        <f>_xlfn.XLOOKUP(EH$1,generator!$B$2:$B$295,generator!$K$2:$K$295,"ARGH")</f>
        <v>0</v>
      </c>
      <c r="EI2" s="3">
        <f>_xlfn.XLOOKUP(EI$1,generator!$B$2:$B$295,generator!$K$2:$K$295,"ARGH")</f>
        <v>0</v>
      </c>
      <c r="EJ2" s="3">
        <f>_xlfn.XLOOKUP(EJ$1,generator!$B$2:$B$295,generator!$K$2:$K$295,"ARGH")</f>
        <v>0</v>
      </c>
      <c r="EK2" s="3">
        <f>_xlfn.XLOOKUP(EK$1,generator!$B$2:$B$295,generator!$K$2:$K$295,"ARGH")</f>
        <v>0</v>
      </c>
      <c r="EL2" s="3">
        <f>_xlfn.XLOOKUP(EL$1,generator!$B$2:$B$295,generator!$K$2:$K$295,"ARGH")</f>
        <v>0</v>
      </c>
      <c r="EM2" s="3">
        <f>_xlfn.XLOOKUP(EM$1,generator!$B$2:$B$295,generator!$K$2:$K$295,"ARGH")</f>
        <v>0</v>
      </c>
      <c r="EN2" s="3">
        <f>_xlfn.XLOOKUP(EN$1,generator!$B$2:$B$295,generator!$K$2:$K$295,"ARGH")</f>
        <v>0</v>
      </c>
      <c r="EO2" s="3">
        <f>_xlfn.XLOOKUP(EO$1,generator!$B$2:$B$295,generator!$K$2:$K$295,"ARGH")</f>
        <v>0</v>
      </c>
      <c r="EP2" s="3">
        <f>_xlfn.XLOOKUP(EP$1,generator!$B$2:$B$295,generator!$K$2:$K$295,"ARGH")</f>
        <v>0</v>
      </c>
      <c r="EQ2" s="3">
        <f>_xlfn.XLOOKUP(EQ$1,generator!$B$2:$B$295,generator!$K$2:$K$295,"ARGH")</f>
        <v>0</v>
      </c>
      <c r="ER2" s="3">
        <f>_xlfn.XLOOKUP(ER$1,generator!$B$2:$B$295,generator!$K$2:$K$295,"ARGH")</f>
        <v>0</v>
      </c>
      <c r="ES2" s="3">
        <f>_xlfn.XLOOKUP(ES$1,generator!$B$2:$B$295,generator!$K$2:$K$295,"ARGH")</f>
        <v>0</v>
      </c>
      <c r="ET2" s="3">
        <f>_xlfn.XLOOKUP(ET$1,generator!$B$2:$B$295,generator!$K$2:$K$295,"ARGH")</f>
        <v>0</v>
      </c>
      <c r="EU2" s="3">
        <f>_xlfn.XLOOKUP(EU$1,generator!$B$2:$B$295,generator!$K$2:$K$295,"ARGH")</f>
        <v>0</v>
      </c>
      <c r="EV2" s="3">
        <f>_xlfn.XLOOKUP(EV$1,generator!$B$2:$B$295,generator!$K$2:$K$295,"ARGH")</f>
        <v>0</v>
      </c>
      <c r="EW2" s="3">
        <f>_xlfn.XLOOKUP(EW$1,generator!$B$2:$B$295,generator!$K$2:$K$295,"ARGH")</f>
        <v>0</v>
      </c>
      <c r="EX2" s="3">
        <f>_xlfn.XLOOKUP(EX$1,generator!$B$2:$B$295,generator!$K$2:$K$295,"ARGH")</f>
        <v>0</v>
      </c>
      <c r="EY2" s="3">
        <f>_xlfn.XLOOKUP(EY$1,generator!$B$2:$B$295,generator!$K$2:$K$295,"ARGH")</f>
        <v>0</v>
      </c>
      <c r="EZ2" s="3">
        <f>_xlfn.XLOOKUP(EZ$1,generator!$B$2:$B$295,generator!$K$2:$K$295,"ARGH")</f>
        <v>0</v>
      </c>
      <c r="FA2" s="3">
        <f>_xlfn.XLOOKUP(FA$1,generator!$B$2:$B$295,generator!$K$2:$K$295,"ARGH")</f>
        <v>0</v>
      </c>
      <c r="FB2" s="3">
        <f>_xlfn.XLOOKUP(FB$1,generator!$B$2:$B$295,generator!$K$2:$K$295,"ARGH")</f>
        <v>0</v>
      </c>
      <c r="FC2" s="3">
        <f>_xlfn.XLOOKUP(FC$1,generator!$B$2:$B$295,generator!$K$2:$K$295,"ARGH")</f>
        <v>0</v>
      </c>
      <c r="FD2" s="3">
        <f>_xlfn.XLOOKUP(FD$1,generator!$B$2:$B$295,generator!$K$2:$K$295,"ARGH")</f>
        <v>0</v>
      </c>
      <c r="FE2" s="3">
        <f>_xlfn.XLOOKUP(FE$1,generator!$B$2:$B$295,generator!$K$2:$K$295,"ARGH")</f>
        <v>0</v>
      </c>
      <c r="FF2" s="3">
        <f>_xlfn.XLOOKUP(FF$1,generator!$B$2:$B$295,generator!$K$2:$K$295,"ARGH")</f>
        <v>0</v>
      </c>
      <c r="FG2" s="3">
        <f>_xlfn.XLOOKUP(FG$1,generator!$B$2:$B$295,generator!$K$2:$K$295,"ARGH")</f>
        <v>0</v>
      </c>
      <c r="FH2" s="3">
        <f>_xlfn.XLOOKUP(FH$1,generator!$B$2:$B$295,generator!$K$2:$K$295,"ARGH")</f>
        <v>0</v>
      </c>
      <c r="FI2" s="3">
        <f>_xlfn.XLOOKUP(FI$1,generator!$B$2:$B$295,generator!$K$2:$K$295,"ARGH")</f>
        <v>0</v>
      </c>
      <c r="FJ2" s="3">
        <f>_xlfn.XLOOKUP(FJ$1,generator!$B$2:$B$295,generator!$K$2:$K$295,"ARGH")</f>
        <v>0</v>
      </c>
      <c r="FK2" s="3">
        <f>_xlfn.XLOOKUP(FK$1,generator!$B$2:$B$295,generator!$K$2:$K$295,"ARGH")</f>
        <v>0</v>
      </c>
      <c r="FL2" s="3">
        <f>_xlfn.XLOOKUP(FL$1,generator!$B$2:$B$295,generator!$K$2:$K$295,"ARGH")</f>
        <v>0</v>
      </c>
      <c r="FM2" s="3">
        <f>_xlfn.XLOOKUP(FM$1,generator!$B$2:$B$295,generator!$K$2:$K$295,"ARGH")</f>
        <v>0</v>
      </c>
      <c r="FN2" s="3">
        <f>_xlfn.XLOOKUP(FN$1,generator!$B$2:$B$295,generator!$K$2:$K$295,"ARGH")</f>
        <v>0</v>
      </c>
      <c r="FO2" s="3">
        <f>_xlfn.XLOOKUP(FO$1,generator!$B$2:$B$295,generator!$K$2:$K$295,"ARGH")</f>
        <v>0</v>
      </c>
      <c r="FP2" s="3">
        <f>_xlfn.XLOOKUP(FP$1,generator!$B$2:$B$295,generator!$K$2:$K$295,"ARGH")</f>
        <v>0</v>
      </c>
      <c r="FQ2" s="3">
        <f>_xlfn.XLOOKUP(FQ$1,generator!$B$2:$B$295,generator!$K$2:$K$295,"ARGH")</f>
        <v>0</v>
      </c>
      <c r="FR2" s="3">
        <f>_xlfn.XLOOKUP(FR$1,generator!$B$2:$B$295,generator!$K$2:$K$295,"ARGH")</f>
        <v>0</v>
      </c>
      <c r="FS2" s="3">
        <f>_xlfn.XLOOKUP(FS$1,generator!$B$2:$B$295,generator!$K$2:$K$295,"ARGH")</f>
        <v>0</v>
      </c>
      <c r="FT2" s="3">
        <f>_xlfn.XLOOKUP(FT$1,generator!$B$2:$B$295,generator!$K$2:$K$295,"ARGH")</f>
        <v>0</v>
      </c>
      <c r="FU2" s="3">
        <f>_xlfn.XLOOKUP(FU$1,generator!$B$2:$B$295,generator!$K$2:$K$295,"ARGH")</f>
        <v>0</v>
      </c>
      <c r="FV2" s="3">
        <f>_xlfn.XLOOKUP(FV$1,generator!$B$2:$B$295,generator!$K$2:$K$295,"ARGH")</f>
        <v>0</v>
      </c>
      <c r="FW2" s="3">
        <f>_xlfn.XLOOKUP(FW$1,generator!$B$2:$B$295,generator!$K$2:$K$295,"ARGH")</f>
        <v>0</v>
      </c>
      <c r="FX2" s="3">
        <f>_xlfn.XLOOKUP(FX$1,generator!$B$2:$B$295,generator!$K$2:$K$295,"ARGH")</f>
        <v>0</v>
      </c>
      <c r="FY2" s="3">
        <f>_xlfn.XLOOKUP(FY$1,generator!$B$2:$B$295,generator!$K$2:$K$295,"ARGH")</f>
        <v>0</v>
      </c>
      <c r="FZ2" s="3">
        <f>_xlfn.XLOOKUP(FZ$1,generator!$B$2:$B$295,generator!$K$2:$K$295,"ARGH")</f>
        <v>0</v>
      </c>
      <c r="GA2" s="3">
        <f>_xlfn.XLOOKUP(GA$1,generator!$B$2:$B$295,generator!$K$2:$K$295,"ARGH")</f>
        <v>0</v>
      </c>
      <c r="GB2" s="3">
        <f>_xlfn.XLOOKUP(GB$1,generator!$B$2:$B$295,generator!$K$2:$K$295,"ARGH")</f>
        <v>0</v>
      </c>
      <c r="GC2" s="3">
        <f>_xlfn.XLOOKUP(GC$1,generator!$B$2:$B$295,generator!$K$2:$K$295,"ARGH")</f>
        <v>0</v>
      </c>
      <c r="GD2" s="3">
        <f>_xlfn.XLOOKUP(GD$1,generator!$B$2:$B$295,generator!$K$2:$K$295,"ARGH")</f>
        <v>0</v>
      </c>
      <c r="GE2" s="3">
        <f>_xlfn.XLOOKUP(GE$1,generator!$B$2:$B$295,generator!$K$2:$K$295,"ARGH")</f>
        <v>0</v>
      </c>
      <c r="GF2" s="3">
        <f>_xlfn.XLOOKUP(GF$1,generator!$B$2:$B$295,generator!$K$2:$K$295,"ARGH")</f>
        <v>0</v>
      </c>
      <c r="GG2" s="3">
        <f>_xlfn.XLOOKUP(GG$1,generator!$B$2:$B$295,generator!$K$2:$K$295,"ARGH")</f>
        <v>0</v>
      </c>
      <c r="GH2" s="3">
        <f>_xlfn.XLOOKUP(GH$1,generator!$B$2:$B$295,generator!$K$2:$K$295,"ARGH")</f>
        <v>0</v>
      </c>
      <c r="GI2" s="3">
        <f>_xlfn.XLOOKUP(GI$1,generator!$B$2:$B$295,generator!$K$2:$K$295,"ARGH")</f>
        <v>0</v>
      </c>
      <c r="GJ2" s="3">
        <f>_xlfn.XLOOKUP(GJ$1,generator!$B$2:$B$295,generator!$K$2:$K$295,"ARGH")</f>
        <v>0</v>
      </c>
      <c r="GK2" s="3">
        <f>_xlfn.XLOOKUP(GK$1,generator!$B$2:$B$295,generator!$K$2:$K$295,"ARGH")</f>
        <v>0</v>
      </c>
      <c r="GL2" s="3">
        <f>_xlfn.XLOOKUP(GL$1,generator!$B$2:$B$295,generator!$K$2:$K$295,"ARGH")</f>
        <v>0</v>
      </c>
      <c r="GM2" s="3">
        <f>_xlfn.XLOOKUP(GM$1,generator!$B$2:$B$295,generator!$K$2:$K$295,"ARGH")</f>
        <v>0</v>
      </c>
      <c r="GN2" s="3">
        <f>_xlfn.XLOOKUP(GN$1,generator!$B$2:$B$295,generator!$K$2:$K$295,"ARGH")</f>
        <v>0</v>
      </c>
      <c r="GO2" s="3">
        <f>_xlfn.XLOOKUP(GO$1,generator!$B$2:$B$295,generator!$K$2:$K$295,"ARGH")</f>
        <v>0</v>
      </c>
      <c r="GP2" s="3">
        <f>_xlfn.XLOOKUP(GP$1,generator!$B$2:$B$295,generator!$K$2:$K$295,"ARGH")</f>
        <v>0</v>
      </c>
      <c r="GQ2" s="3">
        <f>_xlfn.XLOOKUP(GQ$1,generator!$B$2:$B$295,generator!$K$2:$K$295,"ARGH")</f>
        <v>0</v>
      </c>
      <c r="GR2" s="3">
        <f>_xlfn.XLOOKUP(GR$1,generator!$B$2:$B$295,generator!$K$2:$K$295,"ARGH")</f>
        <v>0</v>
      </c>
      <c r="GS2" s="3">
        <f>_xlfn.XLOOKUP(GS$1,generator!$B$2:$B$295,generator!$K$2:$K$295,"ARGH")</f>
        <v>0</v>
      </c>
      <c r="GT2" s="3">
        <f>_xlfn.XLOOKUP(GT$1,generator!$B$2:$B$295,generator!$K$2:$K$295,"ARGH")</f>
        <v>0</v>
      </c>
      <c r="GU2" s="3">
        <f>_xlfn.XLOOKUP(GU$1,generator!$B$2:$B$295,generator!$K$2:$K$295,"ARGH")</f>
        <v>0</v>
      </c>
      <c r="GV2" s="3">
        <f>_xlfn.XLOOKUP(GV$1,generator!$B$2:$B$295,generator!$K$2:$K$295,"ARGH")</f>
        <v>0</v>
      </c>
      <c r="GW2" s="3">
        <f>_xlfn.XLOOKUP(GW$1,generator!$B$2:$B$295,generator!$K$2:$K$295,"ARGH")</f>
        <v>0</v>
      </c>
      <c r="GX2" s="3">
        <f>_xlfn.XLOOKUP(GX$1,generator!$B$2:$B$295,generator!$K$2:$K$295,"ARGH")</f>
        <v>0</v>
      </c>
      <c r="GY2" s="3">
        <f>_xlfn.XLOOKUP(GY$1,generator!$B$2:$B$295,generator!$K$2:$K$295,"ARGH")</f>
        <v>0</v>
      </c>
      <c r="GZ2" s="3">
        <f>_xlfn.XLOOKUP(GZ$1,generator!$B$2:$B$295,generator!$K$2:$K$295,"ARGH")</f>
        <v>0</v>
      </c>
      <c r="HA2" s="3">
        <f>_xlfn.XLOOKUP(HA$1,generator!$B$2:$B$295,generator!$K$2:$K$295,"ARGH")</f>
        <v>0</v>
      </c>
      <c r="HB2" s="3">
        <f>_xlfn.XLOOKUP(HB$1,generator!$B$2:$B$295,generator!$K$2:$K$295,"ARGH")</f>
        <v>0</v>
      </c>
      <c r="HC2" s="3">
        <f>_xlfn.XLOOKUP(HC$1,generator!$B$2:$B$295,generator!$K$2:$K$295,"ARGH")</f>
        <v>0</v>
      </c>
      <c r="HD2" s="3">
        <f>_xlfn.XLOOKUP(HD$1,generator!$B$2:$B$295,generator!$K$2:$K$295,"ARGH")</f>
        <v>0</v>
      </c>
      <c r="HE2" s="3">
        <f>_xlfn.XLOOKUP(HE$1,generator!$B$2:$B$295,generator!$K$2:$K$295,"ARGH")</f>
        <v>12.74</v>
      </c>
      <c r="HF2" s="3">
        <f>_xlfn.XLOOKUP(HF$1,generator!$B$2:$B$295,generator!$K$2:$K$295,"ARGH")</f>
        <v>99</v>
      </c>
      <c r="HG2" s="3">
        <f>_xlfn.XLOOKUP(HG$1,generator!$B$2:$B$295,generator!$K$2:$K$295,"ARGH")</f>
        <v>99</v>
      </c>
      <c r="HH2" s="3">
        <f>_xlfn.XLOOKUP(HH$1,generator!$B$2:$B$295,generator!$K$2:$K$295,"ARGH")</f>
        <v>99</v>
      </c>
      <c r="HI2" s="3">
        <f>_xlfn.XLOOKUP(HI$1,generator!$B$2:$B$295,generator!$K$2:$K$295,"ARGH")</f>
        <v>8</v>
      </c>
      <c r="HJ2" s="3">
        <f>_xlfn.XLOOKUP(HJ$1,generator!$B$2:$B$295,generator!$K$2:$K$295,"ARGH")</f>
        <v>8</v>
      </c>
      <c r="HK2" s="3">
        <f>_xlfn.XLOOKUP(HK$1,generator!$B$2:$B$295,generator!$K$2:$K$295,"ARGH")</f>
        <v>8</v>
      </c>
      <c r="HL2" s="3">
        <f>_xlfn.XLOOKUP(HL$1,generator!$B$2:$B$295,generator!$K$2:$K$295,"ARGH")</f>
        <v>20</v>
      </c>
      <c r="HM2" s="3">
        <f>_xlfn.XLOOKUP(HM$1,generator!$B$2:$B$295,generator!$K$2:$K$295,"ARGH")</f>
        <v>20</v>
      </c>
      <c r="HN2" s="3">
        <f>_xlfn.XLOOKUP(HN$1,generator!$B$2:$B$295,generator!$K$2:$K$295,"ARGH")</f>
        <v>5</v>
      </c>
      <c r="HO2" s="3">
        <f>_xlfn.XLOOKUP(HO$1,generator!$B$2:$B$295,generator!$K$2:$K$295,"ARGH")</f>
        <v>5</v>
      </c>
      <c r="HP2" s="3">
        <f>_xlfn.XLOOKUP(HP$1,generator!$B$2:$B$295,generator!$K$2:$K$295,"ARGH")</f>
        <v>0.2</v>
      </c>
      <c r="HQ2" s="3">
        <f>_xlfn.XLOOKUP(HQ$1,generator!$B$2:$B$295,generator!$K$2:$K$295,"ARGH")</f>
        <v>5</v>
      </c>
      <c r="HR2" s="3">
        <f>_xlfn.XLOOKUP(HR$1,generator!$B$2:$B$295,generator!$K$2:$K$295,"ARGH")</f>
        <v>5</v>
      </c>
      <c r="HS2" s="3">
        <f>_xlfn.XLOOKUP(HS$1,generator!$B$2:$B$295,generator!$K$2:$K$295,"ARGH")</f>
        <v>12.82</v>
      </c>
      <c r="HT2" s="3">
        <f>_xlfn.XLOOKUP(HT$1,generator!$B$2:$B$295,generator!$K$2:$K$295,"ARGH")</f>
        <v>12.82</v>
      </c>
      <c r="HU2" s="3">
        <f>_xlfn.XLOOKUP(HU$1,generator!$B$2:$B$295,generator!$K$2:$K$295,"ARGH")</f>
        <v>25</v>
      </c>
      <c r="HV2" s="3">
        <f>_xlfn.XLOOKUP(HV$1,generator!$B$2:$B$295,generator!$K$2:$K$295,"ARGH")</f>
        <v>16</v>
      </c>
      <c r="HW2" s="3">
        <f>_xlfn.XLOOKUP(HW$1,generator!$B$2:$B$295,generator!$K$2:$K$295,"ARGH")</f>
        <v>5</v>
      </c>
      <c r="HX2" s="3">
        <f>_xlfn.XLOOKUP(HX$1,generator!$B$2:$B$295,generator!$K$2:$K$295,"ARGH")</f>
        <v>5</v>
      </c>
      <c r="HY2" s="3">
        <f>_xlfn.XLOOKUP(HY$1,generator!$B$2:$B$295,generator!$K$2:$K$295,"ARGH")</f>
        <v>63</v>
      </c>
      <c r="HZ2" s="3">
        <f>_xlfn.XLOOKUP(HZ$1,generator!$B$2:$B$295,generator!$K$2:$K$295,"ARGH")</f>
        <v>18</v>
      </c>
      <c r="IA2" s="3">
        <f>_xlfn.XLOOKUP(IA$1,generator!$B$2:$B$295,generator!$K$2:$K$295,"ARGH")</f>
        <v>121</v>
      </c>
      <c r="IB2" s="3">
        <f>_xlfn.XLOOKUP(IB$1,generator!$B$2:$B$295,generator!$K$2:$K$295,"ARGH")</f>
        <v>120</v>
      </c>
      <c r="IC2" s="3">
        <f>_xlfn.XLOOKUP(IC$1,generator!$B$2:$B$295,generator!$K$2:$K$295,"ARGH")</f>
        <v>0</v>
      </c>
      <c r="ID2" s="3">
        <f>_xlfn.XLOOKUP(ID$1,generator!$B$2:$B$295,generator!$K$2:$K$295,"ARGH")</f>
        <v>17</v>
      </c>
      <c r="IE2" s="3">
        <f>_xlfn.XLOOKUP(IE$1,generator!$B$2:$B$295,generator!$K$2:$K$295,"ARGH")</f>
        <v>194</v>
      </c>
      <c r="IF2" s="3">
        <f>_xlfn.XLOOKUP(IF$1,generator!$B$2:$B$295,generator!$K$2:$K$295,"ARGH")</f>
        <v>11.9</v>
      </c>
      <c r="IG2" s="3">
        <f>_xlfn.XLOOKUP(IG$1,generator!$B$2:$B$295,generator!$K$2:$K$295,"ARGH")</f>
        <v>11.9</v>
      </c>
      <c r="IH2" s="3">
        <f>_xlfn.XLOOKUP(IH$1,generator!$B$2:$B$295,generator!$K$2:$K$295,"ARGH")</f>
        <v>11.9</v>
      </c>
      <c r="II2" s="3">
        <f>_xlfn.XLOOKUP(II$1,generator!$B$2:$B$295,generator!$K$2:$K$295,"ARGH")</f>
        <v>11.9</v>
      </c>
      <c r="IJ2" s="3">
        <f>_xlfn.XLOOKUP(IJ$1,generator!$B$2:$B$295,generator!$K$2:$K$295,"ARGH")</f>
        <v>0</v>
      </c>
      <c r="IK2" s="3">
        <f>_xlfn.XLOOKUP(IK$1,generator!$B$2:$B$295,generator!$K$2:$K$295,"ARGH")</f>
        <v>3</v>
      </c>
      <c r="IL2" s="3">
        <f>_xlfn.XLOOKUP(IL$1,generator!$B$2:$B$295,generator!$K$2:$K$295,"ARGH")</f>
        <v>5</v>
      </c>
      <c r="IM2" s="3">
        <f>_xlfn.XLOOKUP(IM$1,generator!$B$2:$B$295,generator!$K$2:$K$295,"ARGH")</f>
        <v>5</v>
      </c>
      <c r="IN2" s="3">
        <f>_xlfn.XLOOKUP(IN$1,generator!$B$2:$B$295,generator!$K$2:$K$295,"ARGH")</f>
        <v>4</v>
      </c>
      <c r="IO2" s="3">
        <f>_xlfn.XLOOKUP(IO$1,generator!$B$2:$B$295,generator!$K$2:$K$295,"ARGH")</f>
        <v>4</v>
      </c>
      <c r="IP2" s="3">
        <f>_xlfn.XLOOKUP(IP$1,generator!$B$2:$B$295,generator!$K$2:$K$295,"ARGH")</f>
        <v>3</v>
      </c>
      <c r="IQ2" s="3">
        <f>_xlfn.XLOOKUP(IQ$1,generator!$B$2:$B$295,generator!$K$2:$K$295,"ARGH")</f>
        <v>1</v>
      </c>
      <c r="IR2" s="3">
        <f>_xlfn.XLOOKUP(IR$1,generator!$B$2:$B$295,generator!$K$2:$K$295,"ARGH")</f>
        <v>3</v>
      </c>
      <c r="IS2" s="3">
        <f>_xlfn.XLOOKUP(IS$1,generator!$B$2:$B$295,generator!$K$2:$K$295,"ARGH")</f>
        <v>3</v>
      </c>
      <c r="IT2" s="3">
        <f>_xlfn.XLOOKUP(IT$1,generator!$B$2:$B$295,generator!$K$2:$K$295,"ARGH")</f>
        <v>0</v>
      </c>
      <c r="IU2" s="3">
        <f>_xlfn.XLOOKUP(IU$1,generator!$B$2:$B$295,generator!$K$2:$K$295,"ARGH")</f>
        <v>3.99</v>
      </c>
      <c r="IV2" s="3">
        <f>_xlfn.XLOOKUP(IV$1,generator!$B$2:$B$295,generator!$K$2:$K$295,"ARGH")</f>
        <v>0.2</v>
      </c>
      <c r="IW2" s="3">
        <f>_xlfn.XLOOKUP(IW$1,generator!$B$2:$B$295,generator!$K$2:$K$295,"ARGH")</f>
        <v>15</v>
      </c>
      <c r="IX2" s="3">
        <f>_xlfn.XLOOKUP(IX$1,generator!$B$2:$B$295,generator!$K$2:$K$295,"ARGH")</f>
        <v>15</v>
      </c>
      <c r="IY2" s="3">
        <f>_xlfn.XLOOKUP(IY$1,generator!$B$2:$B$295,generator!$K$2:$K$295,"ARGH")</f>
        <v>15</v>
      </c>
      <c r="IZ2" s="3">
        <f>_xlfn.XLOOKUP(IZ$1,generator!$B$2:$B$295,generator!$K$2:$K$295,"ARGH")</f>
        <v>120</v>
      </c>
      <c r="JA2" s="3">
        <f>_xlfn.XLOOKUP(JA$1,generator!$B$2:$B$295,generator!$K$2:$K$295,"ARGH")</f>
        <v>40</v>
      </c>
      <c r="JB2" s="3">
        <f>_xlfn.XLOOKUP(JB$1,generator!$B$2:$B$295,generator!$K$2:$K$295,"ARGH")</f>
        <v>40</v>
      </c>
      <c r="JC2" s="3">
        <f>_xlfn.XLOOKUP(JC$1,generator!$B$2:$B$295,generator!$K$2:$K$295,"ARGH")</f>
        <v>113</v>
      </c>
      <c r="JD2" s="3">
        <f>_xlfn.XLOOKUP(JD$1,generator!$B$2:$B$295,generator!$K$2:$K$295,"ARGH")</f>
        <v>113</v>
      </c>
      <c r="JE2" s="3">
        <f>_xlfn.XLOOKUP(JE$1,generator!$B$2:$B$295,generator!$K$2:$K$295,"ARGH")</f>
        <v>211</v>
      </c>
      <c r="JF2" s="3">
        <f>_xlfn.XLOOKUP(JF$1,generator!$B$2:$B$295,generator!$K$2:$K$295,"ARGH")</f>
        <v>22.5</v>
      </c>
      <c r="JG2" s="3">
        <f>_xlfn.XLOOKUP(JG$1,generator!$B$2:$B$295,generator!$K$2:$K$295,"ARGH")</f>
        <v>1</v>
      </c>
      <c r="JH2" s="3">
        <f>_xlfn.XLOOKUP(JH$1,generator!$B$2:$B$295,generator!$K$2:$K$295,"ARGH")</f>
        <v>160</v>
      </c>
      <c r="JI2" s="3">
        <f>_xlfn.XLOOKUP(JI$1,generator!$B$2:$B$295,generator!$K$2:$K$295,"ARGH")</f>
        <v>165</v>
      </c>
      <c r="JJ2" s="3">
        <f>_xlfn.XLOOKUP(JJ$1,generator!$B$2:$B$295,generator!$K$2:$K$295,"ARGH")</f>
        <v>4.5999999999999996</v>
      </c>
      <c r="JK2" s="3">
        <f>_xlfn.XLOOKUP(JK$1,generator!$B$2:$B$295,generator!$K$2:$K$295,"ARGH")</f>
        <v>4.5999999999999996</v>
      </c>
      <c r="JL2" s="3">
        <f>_xlfn.XLOOKUP(JL$1,generator!$B$2:$B$295,generator!$K$2:$K$295,"ARGH")</f>
        <v>4.5999999999999996</v>
      </c>
      <c r="JM2" s="3">
        <f>_xlfn.XLOOKUP(JM$1,generator!$B$2:$B$295,generator!$K$2:$K$295,"ARGH")</f>
        <v>4.5999999999999996</v>
      </c>
      <c r="JN2" s="3">
        <f>_xlfn.XLOOKUP(JN$1,generator!$B$2:$B$295,generator!$K$2:$K$295,"ARGH")</f>
        <v>4.5999999999999996</v>
      </c>
      <c r="JO2" s="3">
        <f>_xlfn.XLOOKUP(JO$1,generator!$B$2:$B$295,generator!$K$2:$K$295,"ARGH")</f>
        <v>4.5999999999999996</v>
      </c>
      <c r="JP2" s="3">
        <f>_xlfn.XLOOKUP(JP$1,generator!$B$2:$B$295,generator!$K$2:$K$295,"ARGH")</f>
        <v>110</v>
      </c>
      <c r="JQ2" s="3">
        <f>_xlfn.XLOOKUP(JQ$1,generator!$B$2:$B$295,generator!$K$2:$K$295,"ARGH")</f>
        <v>22.7</v>
      </c>
      <c r="JR2" s="3">
        <f>_xlfn.XLOOKUP(JR$1,generator!$B$2:$B$295,generator!$K$2:$K$295,"ARGH")</f>
        <v>147</v>
      </c>
      <c r="JS2" s="3">
        <f>_xlfn.XLOOKUP(JS$1,generator!$B$2:$B$295,generator!$K$2:$K$295,"ARGH")</f>
        <v>147</v>
      </c>
      <c r="JT2" s="3">
        <f>_xlfn.XLOOKUP(JT$1,generator!$B$2:$B$295,generator!$K$2:$K$295,"ARGH")</f>
        <v>22.7</v>
      </c>
      <c r="JU2" s="3">
        <f>_xlfn.XLOOKUP(JU$1,generator!$B$2:$B$295,generator!$K$2:$K$295,"ARGH")</f>
        <v>21.5</v>
      </c>
      <c r="JV2" s="3">
        <f>_xlfn.XLOOKUP(JV$1,generator!$B$2:$B$295,generator!$K$2:$K$295,"ARGH")</f>
        <v>120</v>
      </c>
      <c r="JW2" s="3">
        <f>_xlfn.XLOOKUP(JW$1,generator!$B$2:$B$295,generator!$K$2:$K$295,"ARGH")</f>
        <v>120</v>
      </c>
      <c r="JX2" s="3">
        <f>_xlfn.XLOOKUP(JX$1,generator!$B$2:$B$295,generator!$K$2:$K$295,"ARGH")</f>
        <v>1</v>
      </c>
      <c r="JY2" s="3">
        <f>_xlfn.XLOOKUP(JY$1,generator!$B$2:$B$295,generator!$K$2:$K$295,"ARGH")</f>
        <v>41.15</v>
      </c>
      <c r="JZ2" s="3">
        <f>_xlfn.XLOOKUP(JZ$1,generator!$B$2:$B$295,generator!$K$2:$K$295,"ARGH")</f>
        <v>5</v>
      </c>
      <c r="KA2" s="3">
        <f>_xlfn.XLOOKUP(KA$1,generator!$B$2:$B$295,generator!$K$2:$K$295,"ARGH")</f>
        <v>5</v>
      </c>
      <c r="KB2" s="3">
        <f>_xlfn.XLOOKUP(KB$1,generator!$B$2:$B$295,generator!$K$2:$K$295,"ARGH")</f>
        <v>5</v>
      </c>
      <c r="KC2" s="3">
        <f>_xlfn.XLOOKUP(KC$1,generator!$B$2:$B$295,generator!$K$2:$K$295,"ARGH")</f>
        <v>5</v>
      </c>
    </row>
    <row r="3" spans="1:289" x14ac:dyDescent="0.3">
      <c r="A3" s="4" t="s">
        <v>2998</v>
      </c>
      <c r="B3" s="31">
        <v>0</v>
      </c>
      <c r="C3" s="31">
        <v>262.5</v>
      </c>
      <c r="D3" s="31">
        <v>220</v>
      </c>
      <c r="E3" s="3">
        <f>_xlfn.XLOOKUP(E$1,generator!$B$2:$B$295,generator!$K$2:$K$295,"ARGH")</f>
        <v>0</v>
      </c>
      <c r="F3" s="3">
        <f>_xlfn.XLOOKUP(F$1,generator!$B$2:$B$295,generator!$K$2:$K$295,"ARGH")</f>
        <v>0</v>
      </c>
      <c r="G3" s="3">
        <f>_xlfn.XLOOKUP(G$1,generator!$B$2:$B$295,generator!$K$2:$K$295,"ARGH")</f>
        <v>0</v>
      </c>
      <c r="H3" s="3">
        <f>_xlfn.XLOOKUP(H$1,generator!$B$2:$B$295,generator!$K$2:$K$295,"ARGH")</f>
        <v>0</v>
      </c>
      <c r="I3" s="3">
        <f>_xlfn.XLOOKUP(I$1,generator!$B$2:$B$295,generator!$K$2:$K$295,"ARGH")</f>
        <v>0</v>
      </c>
      <c r="J3" s="3">
        <f>_xlfn.XLOOKUP(J$1,generator!$B$2:$B$295,generator!$K$2:$K$295,"ARGH")</f>
        <v>0</v>
      </c>
      <c r="K3" s="3">
        <f>_xlfn.XLOOKUP(K$1,generator!$B$2:$B$295,generator!$K$2:$K$295,"ARGH")</f>
        <v>0</v>
      </c>
      <c r="L3" s="3">
        <f>_xlfn.XLOOKUP(L$1,generator!$B$2:$B$295,generator!$K$2:$K$295,"ARGH")</f>
        <v>0</v>
      </c>
      <c r="M3" s="3">
        <f>_xlfn.XLOOKUP(M$1,generator!$B$2:$B$295,generator!$K$2:$K$295,"ARGH")</f>
        <v>0</v>
      </c>
      <c r="N3" s="3">
        <f>_xlfn.XLOOKUP(N$1,generator!$B$2:$B$295,generator!$K$2:$K$295,"ARGH")</f>
        <v>0</v>
      </c>
      <c r="O3" s="3">
        <f>_xlfn.XLOOKUP(O$1,generator!$B$2:$B$295,generator!$K$2:$K$295,"ARGH")</f>
        <v>0</v>
      </c>
      <c r="P3" s="3">
        <f>_xlfn.XLOOKUP(P$1,generator!$B$2:$B$295,generator!$K$2:$K$295,"ARGH")</f>
        <v>0</v>
      </c>
      <c r="Q3" s="3">
        <f>_xlfn.XLOOKUP(Q$1,generator!$B$2:$B$295,generator!$K$2:$K$295,"ARGH")</f>
        <v>0</v>
      </c>
      <c r="R3" s="3">
        <f>_xlfn.XLOOKUP(R$1,generator!$B$2:$B$295,generator!$K$2:$K$295,"ARGH")</f>
        <v>0</v>
      </c>
      <c r="S3" s="3">
        <f>_xlfn.XLOOKUP(S$1,generator!$B$2:$B$295,generator!$K$2:$K$295,"ARGH")</f>
        <v>0</v>
      </c>
      <c r="T3" s="3">
        <f>_xlfn.XLOOKUP(T$1,generator!$B$2:$B$295,generator!$K$2:$K$295,"ARGH")</f>
        <v>0</v>
      </c>
      <c r="U3" s="3">
        <f>_xlfn.XLOOKUP(U$1,generator!$B$2:$B$295,generator!$K$2:$K$295,"ARGH")</f>
        <v>0</v>
      </c>
      <c r="V3" s="3">
        <f>_xlfn.XLOOKUP(V$1,generator!$B$2:$B$295,generator!$K$2:$K$295,"ARGH")</f>
        <v>0</v>
      </c>
      <c r="W3" s="3">
        <f>_xlfn.XLOOKUP(W$1,generator!$B$2:$B$295,generator!$K$2:$K$295,"ARGH")</f>
        <v>0</v>
      </c>
      <c r="X3" s="3">
        <f>_xlfn.XLOOKUP(X$1,generator!$B$2:$B$295,generator!$K$2:$K$295,"ARGH")</f>
        <v>0</v>
      </c>
      <c r="Y3" s="3">
        <f>_xlfn.XLOOKUP(Y$1,generator!$B$2:$B$295,generator!$K$2:$K$295,"ARGH")</f>
        <v>0</v>
      </c>
      <c r="Z3" s="3">
        <f>_xlfn.XLOOKUP(Z$1,generator!$B$2:$B$295,generator!$K$2:$K$295,"ARGH")</f>
        <v>0</v>
      </c>
      <c r="AA3" s="3">
        <f>_xlfn.XLOOKUP(AA$1,generator!$B$2:$B$295,generator!$K$2:$K$295,"ARGH")</f>
        <v>0</v>
      </c>
      <c r="AB3" s="3">
        <f>_xlfn.XLOOKUP(AB$1,generator!$B$2:$B$295,generator!$K$2:$K$295,"ARGH")</f>
        <v>0</v>
      </c>
      <c r="AC3" s="3">
        <f>_xlfn.XLOOKUP(AC$1,generator!$B$2:$B$295,generator!$K$2:$K$295,"ARGH")</f>
        <v>0</v>
      </c>
      <c r="AD3" s="3">
        <f>_xlfn.XLOOKUP(AD$1,generator!$B$2:$B$295,generator!$K$2:$K$295,"ARGH")</f>
        <v>0</v>
      </c>
      <c r="AE3" s="3">
        <f>_xlfn.XLOOKUP(AE$1,generator!$B$2:$B$295,generator!$K$2:$K$295,"ARGH")</f>
        <v>0</v>
      </c>
      <c r="AF3" s="3">
        <f>_xlfn.XLOOKUP(AF$1,generator!$B$2:$B$295,generator!$K$2:$K$295,"ARGH")</f>
        <v>0</v>
      </c>
      <c r="AG3" s="3">
        <f>_xlfn.XLOOKUP(AG$1,generator!$B$2:$B$295,generator!$K$2:$K$295,"ARGH")</f>
        <v>0</v>
      </c>
      <c r="AH3" s="3">
        <f>_xlfn.XLOOKUP(AH$1,generator!$B$2:$B$295,generator!$K$2:$K$295,"ARGH")</f>
        <v>0</v>
      </c>
      <c r="AI3" s="3">
        <f>_xlfn.XLOOKUP(AI$1,generator!$B$2:$B$295,generator!$K$2:$K$295,"ARGH")</f>
        <v>0</v>
      </c>
      <c r="AJ3" s="3">
        <f>_xlfn.XLOOKUP(AJ$1,generator!$B$2:$B$295,generator!$K$2:$K$295,"ARGH")</f>
        <v>0</v>
      </c>
      <c r="AK3" s="3">
        <f>_xlfn.XLOOKUP(AK$1,generator!$B$2:$B$295,generator!$K$2:$K$295,"ARGH")</f>
        <v>0</v>
      </c>
      <c r="AL3" s="3">
        <f>_xlfn.XLOOKUP(AL$1,generator!$B$2:$B$295,generator!$K$2:$K$295,"ARGH")</f>
        <v>0</v>
      </c>
      <c r="AM3" s="3">
        <f>_xlfn.XLOOKUP(AM$1,generator!$B$2:$B$295,generator!$K$2:$K$295,"ARGH")</f>
        <v>0</v>
      </c>
      <c r="AN3" s="3">
        <f>_xlfn.XLOOKUP(AN$1,generator!$B$2:$B$295,generator!$K$2:$K$295,"ARGH")</f>
        <v>0</v>
      </c>
      <c r="AO3" s="3">
        <f>_xlfn.XLOOKUP(AO$1,generator!$B$2:$B$295,generator!$K$2:$K$295,"ARGH")</f>
        <v>0</v>
      </c>
      <c r="AP3" s="3">
        <f>_xlfn.XLOOKUP(AP$1,generator!$B$2:$B$295,generator!$K$2:$K$295,"ARGH")</f>
        <v>0</v>
      </c>
      <c r="AQ3" s="3">
        <f>_xlfn.XLOOKUP(AQ$1,generator!$B$2:$B$295,generator!$K$2:$K$295,"ARGH")</f>
        <v>0</v>
      </c>
      <c r="AR3" s="3">
        <f>_xlfn.XLOOKUP(AR$1,generator!$B$2:$B$295,generator!$K$2:$K$295,"ARGH")</f>
        <v>0</v>
      </c>
      <c r="AS3" s="3">
        <f>_xlfn.XLOOKUP(AS$1,generator!$B$2:$B$295,generator!$K$2:$K$295,"ARGH")</f>
        <v>0</v>
      </c>
      <c r="AT3" s="3">
        <f>_xlfn.XLOOKUP(AT$1,generator!$B$2:$B$295,generator!$K$2:$K$295,"ARGH")</f>
        <v>0</v>
      </c>
      <c r="AU3" s="3">
        <f>_xlfn.XLOOKUP(AU$1,generator!$B$2:$B$295,generator!$K$2:$K$295,"ARGH")</f>
        <v>0</v>
      </c>
      <c r="AV3" s="3">
        <f>_xlfn.XLOOKUP(AV$1,generator!$B$2:$B$295,generator!$K$2:$K$295,"ARGH")</f>
        <v>0</v>
      </c>
      <c r="AW3" s="3">
        <f>_xlfn.XLOOKUP(AW$1,generator!$B$2:$B$295,generator!$K$2:$K$295,"ARGH")</f>
        <v>0</v>
      </c>
      <c r="AX3" s="3">
        <f>_xlfn.XLOOKUP(AX$1,generator!$B$2:$B$295,generator!$K$2:$K$295,"ARGH")</f>
        <v>0</v>
      </c>
      <c r="AY3" s="3">
        <f>_xlfn.XLOOKUP(AY$1,generator!$B$2:$B$295,generator!$K$2:$K$295,"ARGH")</f>
        <v>0</v>
      </c>
      <c r="AZ3" s="3">
        <f>_xlfn.XLOOKUP(AZ$1,generator!$B$2:$B$295,generator!$K$2:$K$295,"ARGH")</f>
        <v>0</v>
      </c>
      <c r="BA3" s="3">
        <f>_xlfn.XLOOKUP(BA$1,generator!$B$2:$B$295,generator!$K$2:$K$295,"ARGH")</f>
        <v>0</v>
      </c>
      <c r="BB3" s="3">
        <f>_xlfn.XLOOKUP(BB$1,generator!$B$2:$B$295,generator!$K$2:$K$295,"ARGH")</f>
        <v>0</v>
      </c>
      <c r="BC3" s="3">
        <f>_xlfn.XLOOKUP(BC$1,generator!$B$2:$B$295,generator!$K$2:$K$295,"ARGH")</f>
        <v>0</v>
      </c>
      <c r="BD3" s="3">
        <f>_xlfn.XLOOKUP(BD$1,generator!$B$2:$B$295,generator!$K$2:$K$295,"ARGH")</f>
        <v>0</v>
      </c>
      <c r="BE3" s="3">
        <f>_xlfn.XLOOKUP(BE$1,generator!$B$2:$B$295,generator!$K$2:$K$295,"ARGH")</f>
        <v>0</v>
      </c>
      <c r="BF3" s="3">
        <f>_xlfn.XLOOKUP(BF$1,generator!$B$2:$B$295,generator!$K$2:$K$295,"ARGH")</f>
        <v>0</v>
      </c>
      <c r="BG3" s="3">
        <f>_xlfn.XLOOKUP(BG$1,generator!$B$2:$B$295,generator!$K$2:$K$295,"ARGH")</f>
        <v>0</v>
      </c>
      <c r="BH3" s="3">
        <f>_xlfn.XLOOKUP(BH$1,generator!$B$2:$B$295,generator!$K$2:$K$295,"ARGH")</f>
        <v>0</v>
      </c>
      <c r="BI3" s="3">
        <f>_xlfn.XLOOKUP(BI$1,generator!$B$2:$B$295,generator!$K$2:$K$295,"ARGH")</f>
        <v>0</v>
      </c>
      <c r="BJ3" s="3">
        <f>_xlfn.XLOOKUP(BJ$1,generator!$B$2:$B$295,generator!$K$2:$K$295,"ARGH")</f>
        <v>0</v>
      </c>
      <c r="BK3" s="3">
        <f>_xlfn.XLOOKUP(BK$1,generator!$B$2:$B$295,generator!$K$2:$K$295,"ARGH")</f>
        <v>0</v>
      </c>
      <c r="BL3" s="3">
        <f>_xlfn.XLOOKUP(BL$1,generator!$B$2:$B$295,generator!$K$2:$K$295,"ARGH")</f>
        <v>0</v>
      </c>
      <c r="BM3" s="3">
        <f>_xlfn.XLOOKUP(BM$1,generator!$B$2:$B$295,generator!$K$2:$K$295,"ARGH")</f>
        <v>0</v>
      </c>
      <c r="BN3" s="3">
        <f>_xlfn.XLOOKUP(BN$1,generator!$B$2:$B$295,generator!$K$2:$K$295,"ARGH")</f>
        <v>0</v>
      </c>
      <c r="BO3" s="3">
        <f>_xlfn.XLOOKUP(BO$1,generator!$B$2:$B$295,generator!$K$2:$K$295,"ARGH")</f>
        <v>0</v>
      </c>
      <c r="BP3" s="3">
        <f>_xlfn.XLOOKUP(BP$1,generator!$B$2:$B$295,generator!$K$2:$K$295,"ARGH")</f>
        <v>0</v>
      </c>
      <c r="BQ3" s="3">
        <f>_xlfn.XLOOKUP(BQ$1,generator!$B$2:$B$295,generator!$K$2:$K$295,"ARGH")</f>
        <v>0</v>
      </c>
      <c r="BR3" s="3">
        <f>_xlfn.XLOOKUP(BR$1,generator!$B$2:$B$295,generator!$K$2:$K$295,"ARGH")</f>
        <v>0</v>
      </c>
      <c r="BS3" s="3">
        <f>_xlfn.XLOOKUP(BS$1,generator!$B$2:$B$295,generator!$K$2:$K$295,"ARGH")</f>
        <v>0</v>
      </c>
      <c r="BT3" s="3">
        <f>_xlfn.XLOOKUP(BT$1,generator!$B$2:$B$295,generator!$K$2:$K$295,"ARGH")</f>
        <v>0</v>
      </c>
      <c r="BU3" s="3">
        <f>_xlfn.XLOOKUP(BU$1,generator!$B$2:$B$295,generator!$K$2:$K$295,"ARGH")</f>
        <v>0</v>
      </c>
      <c r="BV3" s="3">
        <f>_xlfn.XLOOKUP(BV$1,generator!$B$2:$B$295,generator!$K$2:$K$295,"ARGH")</f>
        <v>0</v>
      </c>
      <c r="BW3" s="3">
        <f>_xlfn.XLOOKUP(BW$1,generator!$B$2:$B$295,generator!$K$2:$K$295,"ARGH")</f>
        <v>0</v>
      </c>
      <c r="BX3" s="3">
        <f>_xlfn.XLOOKUP(BX$1,generator!$B$2:$B$295,generator!$K$2:$K$295,"ARGH")</f>
        <v>0</v>
      </c>
      <c r="BY3" s="3">
        <f>_xlfn.XLOOKUP(BY$1,generator!$B$2:$B$295,generator!$K$2:$K$295,"ARGH")</f>
        <v>0</v>
      </c>
      <c r="BZ3" s="3">
        <f>_xlfn.XLOOKUP(BZ$1,generator!$B$2:$B$295,generator!$K$2:$K$295,"ARGH")</f>
        <v>0</v>
      </c>
      <c r="CA3" s="3">
        <f>_xlfn.XLOOKUP(CA$1,generator!$B$2:$B$295,generator!$K$2:$K$295,"ARGH")</f>
        <v>0</v>
      </c>
      <c r="CB3" s="3">
        <f>_xlfn.XLOOKUP(CB$1,generator!$B$2:$B$295,generator!$K$2:$K$295,"ARGH")</f>
        <v>0</v>
      </c>
      <c r="CC3" s="3">
        <f>_xlfn.XLOOKUP(CC$1,generator!$B$2:$B$295,generator!$K$2:$K$295,"ARGH")</f>
        <v>0</v>
      </c>
      <c r="CD3" s="3">
        <f>_xlfn.XLOOKUP(CD$1,generator!$B$2:$B$295,generator!$K$2:$K$295,"ARGH")</f>
        <v>0</v>
      </c>
      <c r="CE3" s="3">
        <f>_xlfn.XLOOKUP(CE$1,generator!$B$2:$B$295,generator!$K$2:$K$295,"ARGH")</f>
        <v>0</v>
      </c>
      <c r="CF3" s="3">
        <f>_xlfn.XLOOKUP(CF$1,generator!$B$2:$B$295,generator!$K$2:$K$295,"ARGH")</f>
        <v>0</v>
      </c>
      <c r="CG3" s="3">
        <f>_xlfn.XLOOKUP(CG$1,generator!$B$2:$B$295,generator!$K$2:$K$295,"ARGH")</f>
        <v>0</v>
      </c>
      <c r="CH3" s="3">
        <f>_xlfn.XLOOKUP(CH$1,generator!$B$2:$B$295,generator!$K$2:$K$295,"ARGH")</f>
        <v>0</v>
      </c>
      <c r="CI3" s="3">
        <f>_xlfn.XLOOKUP(CI$1,generator!$B$2:$B$295,generator!$K$2:$K$295,"ARGH")</f>
        <v>0</v>
      </c>
      <c r="CJ3" s="3">
        <f>_xlfn.XLOOKUP(CJ$1,generator!$B$2:$B$295,generator!$K$2:$K$295,"ARGH")</f>
        <v>0</v>
      </c>
      <c r="CK3" s="3">
        <f>_xlfn.XLOOKUP(CK$1,generator!$B$2:$B$295,generator!$K$2:$K$295,"ARGH")</f>
        <v>0</v>
      </c>
      <c r="CL3" s="3">
        <f>_xlfn.XLOOKUP(CL$1,generator!$B$2:$B$295,generator!$K$2:$K$295,"ARGH")</f>
        <v>0</v>
      </c>
      <c r="CM3" s="3">
        <f>_xlfn.XLOOKUP(CM$1,generator!$B$2:$B$295,generator!$K$2:$K$295,"ARGH")</f>
        <v>0</v>
      </c>
      <c r="CN3" s="3">
        <f>_xlfn.XLOOKUP(CN$1,generator!$B$2:$B$295,generator!$K$2:$K$295,"ARGH")</f>
        <v>0</v>
      </c>
      <c r="CO3" s="3">
        <f>_xlfn.XLOOKUP(CO$1,generator!$B$2:$B$295,generator!$K$2:$K$295,"ARGH")</f>
        <v>0</v>
      </c>
      <c r="CP3" s="3">
        <f>_xlfn.XLOOKUP(CP$1,generator!$B$2:$B$295,generator!$K$2:$K$295,"ARGH")</f>
        <v>0</v>
      </c>
      <c r="CQ3" s="3">
        <f>_xlfn.XLOOKUP(CQ$1,generator!$B$2:$B$295,generator!$K$2:$K$295,"ARGH")</f>
        <v>0</v>
      </c>
      <c r="CR3" s="3">
        <f>_xlfn.XLOOKUP(CR$1,generator!$B$2:$B$295,generator!$K$2:$K$295,"ARGH")</f>
        <v>0</v>
      </c>
      <c r="CS3" s="3">
        <f>_xlfn.XLOOKUP(CS$1,generator!$B$2:$B$295,generator!$K$2:$K$295,"ARGH")</f>
        <v>0</v>
      </c>
      <c r="CT3" s="3">
        <f>_xlfn.XLOOKUP(CT$1,generator!$B$2:$B$295,generator!$K$2:$K$295,"ARGH")</f>
        <v>0</v>
      </c>
      <c r="CU3" s="3">
        <f>_xlfn.XLOOKUP(CU$1,generator!$B$2:$B$295,generator!$K$2:$K$295,"ARGH")</f>
        <v>0</v>
      </c>
      <c r="CV3" s="3">
        <f>_xlfn.XLOOKUP(CV$1,generator!$B$2:$B$295,generator!$K$2:$K$295,"ARGH")</f>
        <v>0</v>
      </c>
      <c r="CW3" s="3">
        <f>_xlfn.XLOOKUP(CW$1,generator!$B$2:$B$295,generator!$K$2:$K$295,"ARGH")</f>
        <v>0</v>
      </c>
      <c r="CX3" s="3">
        <f>_xlfn.XLOOKUP(CX$1,generator!$B$2:$B$295,generator!$K$2:$K$295,"ARGH")</f>
        <v>0</v>
      </c>
      <c r="CY3" s="3">
        <f>_xlfn.XLOOKUP(CY$1,generator!$B$2:$B$295,generator!$K$2:$K$295,"ARGH")</f>
        <v>0</v>
      </c>
      <c r="CZ3" s="3">
        <f>_xlfn.XLOOKUP(CZ$1,generator!$B$2:$B$295,generator!$K$2:$K$295,"ARGH")</f>
        <v>0</v>
      </c>
      <c r="DA3" s="3">
        <f>_xlfn.XLOOKUP(DA$1,generator!$B$2:$B$295,generator!$K$2:$K$295,"ARGH")</f>
        <v>0</v>
      </c>
      <c r="DB3" s="3">
        <f>_xlfn.XLOOKUP(DB$1,generator!$B$2:$B$295,generator!$K$2:$K$295,"ARGH")</f>
        <v>0</v>
      </c>
      <c r="DC3" s="3">
        <f>_xlfn.XLOOKUP(DC$1,generator!$B$2:$B$295,generator!$K$2:$K$295,"ARGH")</f>
        <v>0</v>
      </c>
      <c r="DD3" s="3">
        <f>_xlfn.XLOOKUP(DD$1,generator!$B$2:$B$295,generator!$K$2:$K$295,"ARGH")</f>
        <v>0</v>
      </c>
      <c r="DE3" s="3">
        <f>_xlfn.XLOOKUP(DE$1,generator!$B$2:$B$295,generator!$K$2:$K$295,"ARGH")</f>
        <v>0</v>
      </c>
      <c r="DF3" s="3">
        <f>_xlfn.XLOOKUP(DF$1,generator!$B$2:$B$295,generator!$K$2:$K$295,"ARGH")</f>
        <v>0</v>
      </c>
      <c r="DG3" s="3">
        <f>_xlfn.XLOOKUP(DG$1,generator!$B$2:$B$295,generator!$K$2:$K$295,"ARGH")</f>
        <v>0</v>
      </c>
      <c r="DH3" s="3">
        <f>_xlfn.XLOOKUP(DH$1,generator!$B$2:$B$295,generator!$K$2:$K$295,"ARGH")</f>
        <v>0</v>
      </c>
      <c r="DI3" s="3">
        <f>_xlfn.XLOOKUP(DI$1,generator!$B$2:$B$295,generator!$K$2:$K$295,"ARGH")</f>
        <v>0</v>
      </c>
      <c r="DJ3" s="3">
        <f>_xlfn.XLOOKUP(DJ$1,generator!$B$2:$B$295,generator!$K$2:$K$295,"ARGH")</f>
        <v>0</v>
      </c>
      <c r="DK3" s="3">
        <f>_xlfn.XLOOKUP(DK$1,generator!$B$2:$B$295,generator!$K$2:$K$295,"ARGH")</f>
        <v>0</v>
      </c>
      <c r="DL3" s="3">
        <f>_xlfn.XLOOKUP(DL$1,generator!$B$2:$B$295,generator!$K$2:$K$295,"ARGH")</f>
        <v>0</v>
      </c>
      <c r="DM3" s="3">
        <f>_xlfn.XLOOKUP(DM$1,generator!$B$2:$B$295,generator!$K$2:$K$295,"ARGH")</f>
        <v>0</v>
      </c>
      <c r="DN3" s="3">
        <f>_xlfn.XLOOKUP(DN$1,generator!$B$2:$B$295,generator!$K$2:$K$295,"ARGH")</f>
        <v>0</v>
      </c>
      <c r="DO3" s="3">
        <f>_xlfn.XLOOKUP(DO$1,generator!$B$2:$B$295,generator!$K$2:$K$295,"ARGH")</f>
        <v>0</v>
      </c>
      <c r="DP3" s="3">
        <f>_xlfn.XLOOKUP(DP$1,generator!$B$2:$B$295,generator!$K$2:$K$295,"ARGH")</f>
        <v>0</v>
      </c>
      <c r="DQ3" s="3">
        <f>_xlfn.XLOOKUP(DQ$1,generator!$B$2:$B$295,generator!$K$2:$K$295,"ARGH")</f>
        <v>0</v>
      </c>
      <c r="DR3" s="3">
        <f>_xlfn.XLOOKUP(DR$1,generator!$B$2:$B$295,generator!$K$2:$K$295,"ARGH")</f>
        <v>0</v>
      </c>
      <c r="DS3" s="3">
        <f>_xlfn.XLOOKUP(DS$1,generator!$B$2:$B$295,generator!$K$2:$K$295,"ARGH")</f>
        <v>0</v>
      </c>
      <c r="DT3" s="3">
        <f>_xlfn.XLOOKUP(DT$1,generator!$B$2:$B$295,generator!$K$2:$K$295,"ARGH")</f>
        <v>0</v>
      </c>
      <c r="DU3" s="3">
        <f>_xlfn.XLOOKUP(DU$1,generator!$B$2:$B$295,generator!$K$2:$K$295,"ARGH")</f>
        <v>0</v>
      </c>
      <c r="DV3" s="3">
        <f>_xlfn.XLOOKUP(DV$1,generator!$B$2:$B$295,generator!$K$2:$K$295,"ARGH")</f>
        <v>0</v>
      </c>
      <c r="DW3" s="3">
        <f>_xlfn.XLOOKUP(DW$1,generator!$B$2:$B$295,generator!$K$2:$K$295,"ARGH")</f>
        <v>0</v>
      </c>
      <c r="DX3" s="3">
        <f>_xlfn.XLOOKUP(DX$1,generator!$B$2:$B$295,generator!$K$2:$K$295,"ARGH")</f>
        <v>0</v>
      </c>
      <c r="DY3" s="3">
        <f>_xlfn.XLOOKUP(DY$1,generator!$B$2:$B$295,generator!$K$2:$K$295,"ARGH")</f>
        <v>0</v>
      </c>
      <c r="DZ3" s="3">
        <f>_xlfn.XLOOKUP(DZ$1,generator!$B$2:$B$295,generator!$K$2:$K$295,"ARGH")</f>
        <v>0</v>
      </c>
      <c r="EA3" s="3">
        <f>_xlfn.XLOOKUP(EA$1,generator!$B$2:$B$295,generator!$K$2:$K$295,"ARGH")</f>
        <v>0</v>
      </c>
      <c r="EB3" s="3">
        <f>_xlfn.XLOOKUP(EB$1,generator!$B$2:$B$295,generator!$K$2:$K$295,"ARGH")</f>
        <v>0</v>
      </c>
      <c r="EC3" s="3">
        <f>_xlfn.XLOOKUP(EC$1,generator!$B$2:$B$295,generator!$K$2:$K$295,"ARGH")</f>
        <v>0</v>
      </c>
      <c r="ED3" s="3">
        <f>_xlfn.XLOOKUP(ED$1,generator!$B$2:$B$295,generator!$K$2:$K$295,"ARGH")</f>
        <v>0</v>
      </c>
      <c r="EE3" s="3">
        <f>_xlfn.XLOOKUP(EE$1,generator!$B$2:$B$295,generator!$K$2:$K$295,"ARGH")</f>
        <v>0</v>
      </c>
      <c r="EF3" s="3">
        <f>_xlfn.XLOOKUP(EF$1,generator!$B$2:$B$295,generator!$K$2:$K$295,"ARGH")</f>
        <v>0</v>
      </c>
      <c r="EG3" s="3">
        <f>_xlfn.XLOOKUP(EG$1,generator!$B$2:$B$295,generator!$K$2:$K$295,"ARGH")</f>
        <v>0</v>
      </c>
      <c r="EH3" s="3">
        <f>_xlfn.XLOOKUP(EH$1,generator!$B$2:$B$295,generator!$K$2:$K$295,"ARGH")</f>
        <v>0</v>
      </c>
      <c r="EI3" s="3">
        <f>_xlfn.XLOOKUP(EI$1,generator!$B$2:$B$295,generator!$K$2:$K$295,"ARGH")</f>
        <v>0</v>
      </c>
      <c r="EJ3" s="3">
        <f>_xlfn.XLOOKUP(EJ$1,generator!$B$2:$B$295,generator!$K$2:$K$295,"ARGH")</f>
        <v>0</v>
      </c>
      <c r="EK3" s="3">
        <f>_xlfn.XLOOKUP(EK$1,generator!$B$2:$B$295,generator!$K$2:$K$295,"ARGH")</f>
        <v>0</v>
      </c>
      <c r="EL3" s="3">
        <f>_xlfn.XLOOKUP(EL$1,generator!$B$2:$B$295,generator!$K$2:$K$295,"ARGH")</f>
        <v>0</v>
      </c>
      <c r="EM3" s="3">
        <f>_xlfn.XLOOKUP(EM$1,generator!$B$2:$B$295,generator!$K$2:$K$295,"ARGH")</f>
        <v>0</v>
      </c>
      <c r="EN3" s="3">
        <f>_xlfn.XLOOKUP(EN$1,generator!$B$2:$B$295,generator!$K$2:$K$295,"ARGH")</f>
        <v>0</v>
      </c>
      <c r="EO3" s="3">
        <f>_xlfn.XLOOKUP(EO$1,generator!$B$2:$B$295,generator!$K$2:$K$295,"ARGH")</f>
        <v>0</v>
      </c>
      <c r="EP3" s="3">
        <f>_xlfn.XLOOKUP(EP$1,generator!$B$2:$B$295,generator!$K$2:$K$295,"ARGH")</f>
        <v>0</v>
      </c>
      <c r="EQ3" s="3">
        <f>_xlfn.XLOOKUP(EQ$1,generator!$B$2:$B$295,generator!$K$2:$K$295,"ARGH")</f>
        <v>0</v>
      </c>
      <c r="ER3" s="3">
        <f>_xlfn.XLOOKUP(ER$1,generator!$B$2:$B$295,generator!$K$2:$K$295,"ARGH")</f>
        <v>0</v>
      </c>
      <c r="ES3" s="3">
        <f>_xlfn.XLOOKUP(ES$1,generator!$B$2:$B$295,generator!$K$2:$K$295,"ARGH")</f>
        <v>0</v>
      </c>
      <c r="ET3" s="3">
        <f>_xlfn.XLOOKUP(ET$1,generator!$B$2:$B$295,generator!$K$2:$K$295,"ARGH")</f>
        <v>0</v>
      </c>
      <c r="EU3" s="3">
        <f>_xlfn.XLOOKUP(EU$1,generator!$B$2:$B$295,generator!$K$2:$K$295,"ARGH")</f>
        <v>0</v>
      </c>
      <c r="EV3" s="3">
        <f>_xlfn.XLOOKUP(EV$1,generator!$B$2:$B$295,generator!$K$2:$K$295,"ARGH")</f>
        <v>0</v>
      </c>
      <c r="EW3" s="3">
        <f>_xlfn.XLOOKUP(EW$1,generator!$B$2:$B$295,generator!$K$2:$K$295,"ARGH")</f>
        <v>0</v>
      </c>
      <c r="EX3" s="3">
        <f>_xlfn.XLOOKUP(EX$1,generator!$B$2:$B$295,generator!$K$2:$K$295,"ARGH")</f>
        <v>0</v>
      </c>
      <c r="EY3" s="3">
        <f>_xlfn.XLOOKUP(EY$1,generator!$B$2:$B$295,generator!$K$2:$K$295,"ARGH")</f>
        <v>0</v>
      </c>
      <c r="EZ3" s="3">
        <f>_xlfn.XLOOKUP(EZ$1,generator!$B$2:$B$295,generator!$K$2:$K$295,"ARGH")</f>
        <v>0</v>
      </c>
      <c r="FA3" s="3">
        <f>_xlfn.XLOOKUP(FA$1,generator!$B$2:$B$295,generator!$K$2:$K$295,"ARGH")</f>
        <v>0</v>
      </c>
      <c r="FB3" s="3">
        <f>_xlfn.XLOOKUP(FB$1,generator!$B$2:$B$295,generator!$K$2:$K$295,"ARGH")</f>
        <v>0</v>
      </c>
      <c r="FC3" s="3">
        <f>_xlfn.XLOOKUP(FC$1,generator!$B$2:$B$295,generator!$K$2:$K$295,"ARGH")</f>
        <v>0</v>
      </c>
      <c r="FD3" s="3">
        <f>_xlfn.XLOOKUP(FD$1,generator!$B$2:$B$295,generator!$K$2:$K$295,"ARGH")</f>
        <v>0</v>
      </c>
      <c r="FE3" s="3">
        <f>_xlfn.XLOOKUP(FE$1,generator!$B$2:$B$295,generator!$K$2:$K$295,"ARGH")</f>
        <v>0</v>
      </c>
      <c r="FF3" s="3">
        <f>_xlfn.XLOOKUP(FF$1,generator!$B$2:$B$295,generator!$K$2:$K$295,"ARGH")</f>
        <v>0</v>
      </c>
      <c r="FG3" s="3">
        <f>_xlfn.XLOOKUP(FG$1,generator!$B$2:$B$295,generator!$K$2:$K$295,"ARGH")</f>
        <v>0</v>
      </c>
      <c r="FH3" s="3">
        <f>_xlfn.XLOOKUP(FH$1,generator!$B$2:$B$295,generator!$K$2:$K$295,"ARGH")</f>
        <v>0</v>
      </c>
      <c r="FI3" s="3">
        <f>_xlfn.XLOOKUP(FI$1,generator!$B$2:$B$295,generator!$K$2:$K$295,"ARGH")</f>
        <v>0</v>
      </c>
      <c r="FJ3" s="3">
        <f>_xlfn.XLOOKUP(FJ$1,generator!$B$2:$B$295,generator!$K$2:$K$295,"ARGH")</f>
        <v>0</v>
      </c>
      <c r="FK3" s="3">
        <f>_xlfn.XLOOKUP(FK$1,generator!$B$2:$B$295,generator!$K$2:$K$295,"ARGH")</f>
        <v>0</v>
      </c>
      <c r="FL3" s="3">
        <f>_xlfn.XLOOKUP(FL$1,generator!$B$2:$B$295,generator!$K$2:$K$295,"ARGH")</f>
        <v>0</v>
      </c>
      <c r="FM3" s="3">
        <f>_xlfn.XLOOKUP(FM$1,generator!$B$2:$B$295,generator!$K$2:$K$295,"ARGH")</f>
        <v>0</v>
      </c>
      <c r="FN3" s="3">
        <f>_xlfn.XLOOKUP(FN$1,generator!$B$2:$B$295,generator!$K$2:$K$295,"ARGH")</f>
        <v>0</v>
      </c>
      <c r="FO3" s="3">
        <f>_xlfn.XLOOKUP(FO$1,generator!$B$2:$B$295,generator!$K$2:$K$295,"ARGH")</f>
        <v>0</v>
      </c>
      <c r="FP3" s="3">
        <f>_xlfn.XLOOKUP(FP$1,generator!$B$2:$B$295,generator!$K$2:$K$295,"ARGH")</f>
        <v>0</v>
      </c>
      <c r="FQ3" s="3">
        <f>_xlfn.XLOOKUP(FQ$1,generator!$B$2:$B$295,generator!$K$2:$K$295,"ARGH")</f>
        <v>0</v>
      </c>
      <c r="FR3" s="3">
        <f>_xlfn.XLOOKUP(FR$1,generator!$B$2:$B$295,generator!$K$2:$K$295,"ARGH")</f>
        <v>0</v>
      </c>
      <c r="FS3" s="3">
        <f>_xlfn.XLOOKUP(FS$1,generator!$B$2:$B$295,generator!$K$2:$K$295,"ARGH")</f>
        <v>0</v>
      </c>
      <c r="FT3" s="3">
        <f>_xlfn.XLOOKUP(FT$1,generator!$B$2:$B$295,generator!$K$2:$K$295,"ARGH")</f>
        <v>0</v>
      </c>
      <c r="FU3" s="3">
        <f>_xlfn.XLOOKUP(FU$1,generator!$B$2:$B$295,generator!$K$2:$K$295,"ARGH")</f>
        <v>0</v>
      </c>
      <c r="FV3" s="3">
        <f>_xlfn.XLOOKUP(FV$1,generator!$B$2:$B$295,generator!$K$2:$K$295,"ARGH")</f>
        <v>0</v>
      </c>
      <c r="FW3" s="3">
        <f>_xlfn.XLOOKUP(FW$1,generator!$B$2:$B$295,generator!$K$2:$K$295,"ARGH")</f>
        <v>0</v>
      </c>
      <c r="FX3" s="3">
        <f>_xlfn.XLOOKUP(FX$1,generator!$B$2:$B$295,generator!$K$2:$K$295,"ARGH")</f>
        <v>0</v>
      </c>
      <c r="FY3" s="3">
        <f>_xlfn.XLOOKUP(FY$1,generator!$B$2:$B$295,generator!$K$2:$K$295,"ARGH")</f>
        <v>0</v>
      </c>
      <c r="FZ3" s="3">
        <f>_xlfn.XLOOKUP(FZ$1,generator!$B$2:$B$295,generator!$K$2:$K$295,"ARGH")</f>
        <v>0</v>
      </c>
      <c r="GA3" s="3">
        <f>_xlfn.XLOOKUP(GA$1,generator!$B$2:$B$295,generator!$K$2:$K$295,"ARGH")</f>
        <v>0</v>
      </c>
      <c r="GB3" s="3">
        <f>_xlfn.XLOOKUP(GB$1,generator!$B$2:$B$295,generator!$K$2:$K$295,"ARGH")</f>
        <v>0</v>
      </c>
      <c r="GC3" s="3">
        <f>_xlfn.XLOOKUP(GC$1,generator!$B$2:$B$295,generator!$K$2:$K$295,"ARGH")</f>
        <v>0</v>
      </c>
      <c r="GD3" s="3">
        <f>_xlfn.XLOOKUP(GD$1,generator!$B$2:$B$295,generator!$K$2:$K$295,"ARGH")</f>
        <v>0</v>
      </c>
      <c r="GE3" s="3">
        <f>_xlfn.XLOOKUP(GE$1,generator!$B$2:$B$295,generator!$K$2:$K$295,"ARGH")</f>
        <v>0</v>
      </c>
      <c r="GF3" s="3">
        <f>_xlfn.XLOOKUP(GF$1,generator!$B$2:$B$295,generator!$K$2:$K$295,"ARGH")</f>
        <v>0</v>
      </c>
      <c r="GG3" s="3">
        <f>_xlfn.XLOOKUP(GG$1,generator!$B$2:$B$295,generator!$K$2:$K$295,"ARGH")</f>
        <v>0</v>
      </c>
      <c r="GH3" s="3">
        <f>_xlfn.XLOOKUP(GH$1,generator!$B$2:$B$295,generator!$K$2:$K$295,"ARGH")</f>
        <v>0</v>
      </c>
      <c r="GI3" s="3">
        <f>_xlfn.XLOOKUP(GI$1,generator!$B$2:$B$295,generator!$K$2:$K$295,"ARGH")</f>
        <v>0</v>
      </c>
      <c r="GJ3" s="3">
        <f>_xlfn.XLOOKUP(GJ$1,generator!$B$2:$B$295,generator!$K$2:$K$295,"ARGH")</f>
        <v>0</v>
      </c>
      <c r="GK3" s="3">
        <f>_xlfn.XLOOKUP(GK$1,generator!$B$2:$B$295,generator!$K$2:$K$295,"ARGH")</f>
        <v>0</v>
      </c>
      <c r="GL3" s="3">
        <f>_xlfn.XLOOKUP(GL$1,generator!$B$2:$B$295,generator!$K$2:$K$295,"ARGH")</f>
        <v>0</v>
      </c>
      <c r="GM3" s="3">
        <f>_xlfn.XLOOKUP(GM$1,generator!$B$2:$B$295,generator!$K$2:$K$295,"ARGH")</f>
        <v>0</v>
      </c>
      <c r="GN3" s="3">
        <f>_xlfn.XLOOKUP(GN$1,generator!$B$2:$B$295,generator!$K$2:$K$295,"ARGH")</f>
        <v>0</v>
      </c>
      <c r="GO3" s="3">
        <f>_xlfn.XLOOKUP(GO$1,generator!$B$2:$B$295,generator!$K$2:$K$295,"ARGH")</f>
        <v>0</v>
      </c>
      <c r="GP3" s="3">
        <f>_xlfn.XLOOKUP(GP$1,generator!$B$2:$B$295,generator!$K$2:$K$295,"ARGH")</f>
        <v>0</v>
      </c>
      <c r="GQ3" s="3">
        <f>_xlfn.XLOOKUP(GQ$1,generator!$B$2:$B$295,generator!$K$2:$K$295,"ARGH")</f>
        <v>0</v>
      </c>
      <c r="GR3" s="3">
        <f>_xlfn.XLOOKUP(GR$1,generator!$B$2:$B$295,generator!$K$2:$K$295,"ARGH")</f>
        <v>0</v>
      </c>
      <c r="GS3" s="3">
        <f>_xlfn.XLOOKUP(GS$1,generator!$B$2:$B$295,generator!$K$2:$K$295,"ARGH")</f>
        <v>0</v>
      </c>
      <c r="GT3" s="3">
        <f>_xlfn.XLOOKUP(GT$1,generator!$B$2:$B$295,generator!$K$2:$K$295,"ARGH")</f>
        <v>0</v>
      </c>
      <c r="GU3" s="3">
        <f>_xlfn.XLOOKUP(GU$1,generator!$B$2:$B$295,generator!$K$2:$K$295,"ARGH")</f>
        <v>0</v>
      </c>
      <c r="GV3" s="3">
        <f>_xlfn.XLOOKUP(GV$1,generator!$B$2:$B$295,generator!$K$2:$K$295,"ARGH")</f>
        <v>0</v>
      </c>
      <c r="GW3" s="3">
        <f>_xlfn.XLOOKUP(GW$1,generator!$B$2:$B$295,generator!$K$2:$K$295,"ARGH")</f>
        <v>0</v>
      </c>
      <c r="GX3" s="3">
        <f>_xlfn.XLOOKUP(GX$1,generator!$B$2:$B$295,generator!$K$2:$K$295,"ARGH")</f>
        <v>0</v>
      </c>
      <c r="GY3" s="3">
        <f>_xlfn.XLOOKUP(GY$1,generator!$B$2:$B$295,generator!$K$2:$K$295,"ARGH")</f>
        <v>0</v>
      </c>
      <c r="GZ3" s="3">
        <f>_xlfn.XLOOKUP(GZ$1,generator!$B$2:$B$295,generator!$K$2:$K$295,"ARGH")</f>
        <v>0</v>
      </c>
      <c r="HA3" s="3">
        <f>_xlfn.XLOOKUP(HA$1,generator!$B$2:$B$295,generator!$K$2:$K$295,"ARGH")</f>
        <v>0</v>
      </c>
      <c r="HB3" s="3">
        <f>_xlfn.XLOOKUP(HB$1,generator!$B$2:$B$295,generator!$K$2:$K$295,"ARGH")</f>
        <v>0</v>
      </c>
      <c r="HC3" s="3">
        <f>_xlfn.XLOOKUP(HC$1,generator!$B$2:$B$295,generator!$K$2:$K$295,"ARGH")</f>
        <v>0</v>
      </c>
      <c r="HD3" s="3">
        <f>_xlfn.XLOOKUP(HD$1,generator!$B$2:$B$295,generator!$K$2:$K$295,"ARGH")</f>
        <v>0</v>
      </c>
      <c r="HE3" s="3">
        <f>_xlfn.XLOOKUP(HE$1,generator!$B$2:$B$295,generator!$K$2:$K$295,"ARGH")</f>
        <v>12.74</v>
      </c>
      <c r="HF3" s="3">
        <f>_xlfn.XLOOKUP(HF$1,generator!$B$2:$B$295,generator!$K$2:$K$295,"ARGH")</f>
        <v>99</v>
      </c>
      <c r="HG3" s="3">
        <f>_xlfn.XLOOKUP(HG$1,generator!$B$2:$B$295,generator!$K$2:$K$295,"ARGH")</f>
        <v>99</v>
      </c>
      <c r="HH3" s="3">
        <f>_xlfn.XLOOKUP(HH$1,generator!$B$2:$B$295,generator!$K$2:$K$295,"ARGH")</f>
        <v>99</v>
      </c>
      <c r="HI3" s="3">
        <f>_xlfn.XLOOKUP(HI$1,generator!$B$2:$B$295,generator!$K$2:$K$295,"ARGH")</f>
        <v>8</v>
      </c>
      <c r="HJ3" s="3">
        <f>_xlfn.XLOOKUP(HJ$1,generator!$B$2:$B$295,generator!$K$2:$K$295,"ARGH")</f>
        <v>8</v>
      </c>
      <c r="HK3" s="3">
        <f>_xlfn.XLOOKUP(HK$1,generator!$B$2:$B$295,generator!$K$2:$K$295,"ARGH")</f>
        <v>8</v>
      </c>
      <c r="HL3" s="3">
        <f>_xlfn.XLOOKUP(HL$1,generator!$B$2:$B$295,generator!$K$2:$K$295,"ARGH")</f>
        <v>20</v>
      </c>
      <c r="HM3" s="3">
        <f>_xlfn.XLOOKUP(HM$1,generator!$B$2:$B$295,generator!$K$2:$K$295,"ARGH")</f>
        <v>20</v>
      </c>
      <c r="HN3" s="3">
        <f>_xlfn.XLOOKUP(HN$1,generator!$B$2:$B$295,generator!$K$2:$K$295,"ARGH")</f>
        <v>5</v>
      </c>
      <c r="HO3" s="3">
        <f>_xlfn.XLOOKUP(HO$1,generator!$B$2:$B$295,generator!$K$2:$K$295,"ARGH")</f>
        <v>5</v>
      </c>
      <c r="HP3" s="3">
        <f>_xlfn.XLOOKUP(HP$1,generator!$B$2:$B$295,generator!$K$2:$K$295,"ARGH")</f>
        <v>0.2</v>
      </c>
      <c r="HQ3" s="3">
        <f>_xlfn.XLOOKUP(HQ$1,generator!$B$2:$B$295,generator!$K$2:$K$295,"ARGH")</f>
        <v>5</v>
      </c>
      <c r="HR3" s="3">
        <f>_xlfn.XLOOKUP(HR$1,generator!$B$2:$B$295,generator!$K$2:$K$295,"ARGH")</f>
        <v>5</v>
      </c>
      <c r="HS3" s="3">
        <f>_xlfn.XLOOKUP(HS$1,generator!$B$2:$B$295,generator!$K$2:$K$295,"ARGH")</f>
        <v>12.82</v>
      </c>
      <c r="HT3" s="3">
        <f>_xlfn.XLOOKUP(HT$1,generator!$B$2:$B$295,generator!$K$2:$K$295,"ARGH")</f>
        <v>12.82</v>
      </c>
      <c r="HU3" s="3">
        <f>_xlfn.XLOOKUP(HU$1,generator!$B$2:$B$295,generator!$K$2:$K$295,"ARGH")</f>
        <v>25</v>
      </c>
      <c r="HV3" s="3">
        <f>_xlfn.XLOOKUP(HV$1,generator!$B$2:$B$295,generator!$K$2:$K$295,"ARGH")</f>
        <v>16</v>
      </c>
      <c r="HW3" s="3">
        <f>_xlfn.XLOOKUP(HW$1,generator!$B$2:$B$295,generator!$K$2:$K$295,"ARGH")</f>
        <v>5</v>
      </c>
      <c r="HX3" s="3">
        <f>_xlfn.XLOOKUP(HX$1,generator!$B$2:$B$295,generator!$K$2:$K$295,"ARGH")</f>
        <v>5</v>
      </c>
      <c r="HY3" s="3">
        <f>_xlfn.XLOOKUP(HY$1,generator!$B$2:$B$295,generator!$K$2:$K$295,"ARGH")</f>
        <v>63</v>
      </c>
      <c r="HZ3" s="3">
        <f>_xlfn.XLOOKUP(HZ$1,generator!$B$2:$B$295,generator!$K$2:$K$295,"ARGH")</f>
        <v>18</v>
      </c>
      <c r="IA3" s="3">
        <f>_xlfn.XLOOKUP(IA$1,generator!$B$2:$B$295,generator!$K$2:$K$295,"ARGH")</f>
        <v>121</v>
      </c>
      <c r="IB3" s="3">
        <f>_xlfn.XLOOKUP(IB$1,generator!$B$2:$B$295,generator!$K$2:$K$295,"ARGH")</f>
        <v>120</v>
      </c>
      <c r="IC3" s="3">
        <f>_xlfn.XLOOKUP(IC$1,generator!$B$2:$B$295,generator!$K$2:$K$295,"ARGH")</f>
        <v>0</v>
      </c>
      <c r="ID3" s="3">
        <f>_xlfn.XLOOKUP(ID$1,generator!$B$2:$B$295,generator!$K$2:$K$295,"ARGH")</f>
        <v>17</v>
      </c>
      <c r="IE3" s="3">
        <f>_xlfn.XLOOKUP(IE$1,generator!$B$2:$B$295,generator!$K$2:$K$295,"ARGH")</f>
        <v>194</v>
      </c>
      <c r="IF3" s="3">
        <f>_xlfn.XLOOKUP(IF$1,generator!$B$2:$B$295,generator!$K$2:$K$295,"ARGH")</f>
        <v>11.9</v>
      </c>
      <c r="IG3" s="3">
        <f>_xlfn.XLOOKUP(IG$1,generator!$B$2:$B$295,generator!$K$2:$K$295,"ARGH")</f>
        <v>11.9</v>
      </c>
      <c r="IH3" s="3">
        <f>_xlfn.XLOOKUP(IH$1,generator!$B$2:$B$295,generator!$K$2:$K$295,"ARGH")</f>
        <v>11.9</v>
      </c>
      <c r="II3" s="3">
        <f>_xlfn.XLOOKUP(II$1,generator!$B$2:$B$295,generator!$K$2:$K$295,"ARGH")</f>
        <v>11.9</v>
      </c>
      <c r="IJ3" s="3">
        <f>_xlfn.XLOOKUP(IJ$1,generator!$B$2:$B$295,generator!$K$2:$K$295,"ARGH")</f>
        <v>0</v>
      </c>
      <c r="IK3" s="3">
        <f>_xlfn.XLOOKUP(IK$1,generator!$B$2:$B$295,generator!$K$2:$K$295,"ARGH")</f>
        <v>3</v>
      </c>
      <c r="IL3" s="3">
        <f>_xlfn.XLOOKUP(IL$1,generator!$B$2:$B$295,generator!$K$2:$K$295,"ARGH")</f>
        <v>5</v>
      </c>
      <c r="IM3" s="3">
        <f>_xlfn.XLOOKUP(IM$1,generator!$B$2:$B$295,generator!$K$2:$K$295,"ARGH")</f>
        <v>5</v>
      </c>
      <c r="IN3" s="3">
        <f>_xlfn.XLOOKUP(IN$1,generator!$B$2:$B$295,generator!$K$2:$K$295,"ARGH")</f>
        <v>4</v>
      </c>
      <c r="IO3" s="3">
        <f>_xlfn.XLOOKUP(IO$1,generator!$B$2:$B$295,generator!$K$2:$K$295,"ARGH")</f>
        <v>4</v>
      </c>
      <c r="IP3" s="3">
        <f>_xlfn.XLOOKUP(IP$1,generator!$B$2:$B$295,generator!$K$2:$K$295,"ARGH")</f>
        <v>3</v>
      </c>
      <c r="IQ3" s="3">
        <f>_xlfn.XLOOKUP(IQ$1,generator!$B$2:$B$295,generator!$K$2:$K$295,"ARGH")</f>
        <v>1</v>
      </c>
      <c r="IR3" s="3">
        <f>_xlfn.XLOOKUP(IR$1,generator!$B$2:$B$295,generator!$K$2:$K$295,"ARGH")</f>
        <v>3</v>
      </c>
      <c r="IS3" s="3">
        <f>_xlfn.XLOOKUP(IS$1,generator!$B$2:$B$295,generator!$K$2:$K$295,"ARGH")</f>
        <v>3</v>
      </c>
      <c r="IT3" s="3">
        <f>_xlfn.XLOOKUP(IT$1,generator!$B$2:$B$295,generator!$K$2:$K$295,"ARGH")</f>
        <v>0</v>
      </c>
      <c r="IU3" s="3">
        <f>_xlfn.XLOOKUP(IU$1,generator!$B$2:$B$295,generator!$K$2:$K$295,"ARGH")</f>
        <v>3.99</v>
      </c>
      <c r="IV3" s="3">
        <f>_xlfn.XLOOKUP(IV$1,generator!$B$2:$B$295,generator!$K$2:$K$295,"ARGH")</f>
        <v>0.2</v>
      </c>
      <c r="IW3" s="3">
        <f>_xlfn.XLOOKUP(IW$1,generator!$B$2:$B$295,generator!$K$2:$K$295,"ARGH")</f>
        <v>15</v>
      </c>
      <c r="IX3" s="3">
        <f>_xlfn.XLOOKUP(IX$1,generator!$B$2:$B$295,generator!$K$2:$K$295,"ARGH")</f>
        <v>15</v>
      </c>
      <c r="IY3" s="3">
        <f>_xlfn.XLOOKUP(IY$1,generator!$B$2:$B$295,generator!$K$2:$K$295,"ARGH")</f>
        <v>15</v>
      </c>
      <c r="IZ3" s="3">
        <f>_xlfn.XLOOKUP(IZ$1,generator!$B$2:$B$295,generator!$K$2:$K$295,"ARGH")</f>
        <v>120</v>
      </c>
      <c r="JA3" s="3">
        <f>_xlfn.XLOOKUP(JA$1,generator!$B$2:$B$295,generator!$K$2:$K$295,"ARGH")</f>
        <v>40</v>
      </c>
      <c r="JB3" s="3">
        <f>_xlfn.XLOOKUP(JB$1,generator!$B$2:$B$295,generator!$K$2:$K$295,"ARGH")</f>
        <v>40</v>
      </c>
      <c r="JC3" s="3">
        <f>_xlfn.XLOOKUP(JC$1,generator!$B$2:$B$295,generator!$K$2:$K$295,"ARGH")</f>
        <v>113</v>
      </c>
      <c r="JD3" s="3">
        <f>_xlfn.XLOOKUP(JD$1,generator!$B$2:$B$295,generator!$K$2:$K$295,"ARGH")</f>
        <v>113</v>
      </c>
      <c r="JE3" s="3">
        <f>_xlfn.XLOOKUP(JE$1,generator!$B$2:$B$295,generator!$K$2:$K$295,"ARGH")</f>
        <v>211</v>
      </c>
      <c r="JF3" s="3">
        <f>_xlfn.XLOOKUP(JF$1,generator!$B$2:$B$295,generator!$K$2:$K$295,"ARGH")</f>
        <v>22.5</v>
      </c>
      <c r="JG3" s="3">
        <f>_xlfn.XLOOKUP(JG$1,generator!$B$2:$B$295,generator!$K$2:$K$295,"ARGH")</f>
        <v>1</v>
      </c>
      <c r="JH3" s="3">
        <f>_xlfn.XLOOKUP(JH$1,generator!$B$2:$B$295,generator!$K$2:$K$295,"ARGH")</f>
        <v>160</v>
      </c>
      <c r="JI3" s="3">
        <f>_xlfn.XLOOKUP(JI$1,generator!$B$2:$B$295,generator!$K$2:$K$295,"ARGH")</f>
        <v>165</v>
      </c>
      <c r="JJ3" s="3">
        <f>_xlfn.XLOOKUP(JJ$1,generator!$B$2:$B$295,generator!$K$2:$K$295,"ARGH")</f>
        <v>4.5999999999999996</v>
      </c>
      <c r="JK3" s="3">
        <f>_xlfn.XLOOKUP(JK$1,generator!$B$2:$B$295,generator!$K$2:$K$295,"ARGH")</f>
        <v>4.5999999999999996</v>
      </c>
      <c r="JL3" s="3">
        <f>_xlfn.XLOOKUP(JL$1,generator!$B$2:$B$295,generator!$K$2:$K$295,"ARGH")</f>
        <v>4.5999999999999996</v>
      </c>
      <c r="JM3" s="3">
        <f>_xlfn.XLOOKUP(JM$1,generator!$B$2:$B$295,generator!$K$2:$K$295,"ARGH")</f>
        <v>4.5999999999999996</v>
      </c>
      <c r="JN3" s="3">
        <f>_xlfn.XLOOKUP(JN$1,generator!$B$2:$B$295,generator!$K$2:$K$295,"ARGH")</f>
        <v>4.5999999999999996</v>
      </c>
      <c r="JO3" s="3">
        <f>_xlfn.XLOOKUP(JO$1,generator!$B$2:$B$295,generator!$K$2:$K$295,"ARGH")</f>
        <v>4.5999999999999996</v>
      </c>
      <c r="JP3" s="3">
        <f>_xlfn.XLOOKUP(JP$1,generator!$B$2:$B$295,generator!$K$2:$K$295,"ARGH")</f>
        <v>110</v>
      </c>
      <c r="JQ3" s="3">
        <f>_xlfn.XLOOKUP(JQ$1,generator!$B$2:$B$295,generator!$K$2:$K$295,"ARGH")</f>
        <v>22.7</v>
      </c>
      <c r="JR3" s="3">
        <f>_xlfn.XLOOKUP(JR$1,generator!$B$2:$B$295,generator!$K$2:$K$295,"ARGH")</f>
        <v>147</v>
      </c>
      <c r="JS3" s="3">
        <f>_xlfn.XLOOKUP(JS$1,generator!$B$2:$B$295,generator!$K$2:$K$295,"ARGH")</f>
        <v>147</v>
      </c>
      <c r="JT3" s="3">
        <f>_xlfn.XLOOKUP(JT$1,generator!$B$2:$B$295,generator!$K$2:$K$295,"ARGH")</f>
        <v>22.7</v>
      </c>
      <c r="JU3" s="3">
        <f>_xlfn.XLOOKUP(JU$1,generator!$B$2:$B$295,generator!$K$2:$K$295,"ARGH")</f>
        <v>21.5</v>
      </c>
      <c r="JV3" s="3">
        <f>_xlfn.XLOOKUP(JV$1,generator!$B$2:$B$295,generator!$K$2:$K$295,"ARGH")</f>
        <v>120</v>
      </c>
      <c r="JW3" s="3">
        <f>_xlfn.XLOOKUP(JW$1,generator!$B$2:$B$295,generator!$K$2:$K$295,"ARGH")</f>
        <v>120</v>
      </c>
      <c r="JX3" s="3">
        <f>_xlfn.XLOOKUP(JX$1,generator!$B$2:$B$295,generator!$K$2:$K$295,"ARGH")</f>
        <v>1</v>
      </c>
      <c r="JY3" s="3">
        <f>_xlfn.XLOOKUP(JY$1,generator!$B$2:$B$295,generator!$K$2:$K$295,"ARGH")</f>
        <v>41.15</v>
      </c>
      <c r="JZ3" s="3">
        <f>_xlfn.XLOOKUP(JZ$1,generator!$B$2:$B$295,generator!$K$2:$K$295,"ARGH")</f>
        <v>5</v>
      </c>
      <c r="KA3" s="3">
        <f>_xlfn.XLOOKUP(KA$1,generator!$B$2:$B$295,generator!$K$2:$K$295,"ARGH")</f>
        <v>5</v>
      </c>
      <c r="KB3" s="3">
        <f>_xlfn.XLOOKUP(KB$1,generator!$B$2:$B$295,generator!$K$2:$K$295,"ARGH")</f>
        <v>5</v>
      </c>
      <c r="KC3" s="3">
        <f>_xlfn.XLOOKUP(KC$1,generator!$B$2:$B$295,generator!$K$2:$K$295,"ARGH")</f>
        <v>5</v>
      </c>
    </row>
    <row r="4" spans="1:289" x14ac:dyDescent="0.3">
      <c r="A4" s="4" t="s">
        <v>2999</v>
      </c>
      <c r="B4" s="31">
        <v>0</v>
      </c>
      <c r="C4" s="31">
        <v>412.5</v>
      </c>
      <c r="D4" s="31">
        <v>143</v>
      </c>
      <c r="E4" s="3">
        <f>_xlfn.XLOOKUP(E$1,generator!$B$2:$B$295,generator!$K$2:$K$295,"ARGH")</f>
        <v>0</v>
      </c>
      <c r="F4" s="3">
        <f>_xlfn.XLOOKUP(F$1,generator!$B$2:$B$295,generator!$K$2:$K$295,"ARGH")</f>
        <v>0</v>
      </c>
      <c r="G4" s="3">
        <f>_xlfn.XLOOKUP(G$1,generator!$B$2:$B$295,generator!$K$2:$K$295,"ARGH")</f>
        <v>0</v>
      </c>
      <c r="H4" s="3">
        <f>_xlfn.XLOOKUP(H$1,generator!$B$2:$B$295,generator!$K$2:$K$295,"ARGH")</f>
        <v>0</v>
      </c>
      <c r="I4" s="3">
        <f>_xlfn.XLOOKUP(I$1,generator!$B$2:$B$295,generator!$K$2:$K$295,"ARGH")</f>
        <v>0</v>
      </c>
      <c r="J4" s="3">
        <f>_xlfn.XLOOKUP(J$1,generator!$B$2:$B$295,generator!$K$2:$K$295,"ARGH")</f>
        <v>0</v>
      </c>
      <c r="K4" s="3">
        <f>_xlfn.XLOOKUP(K$1,generator!$B$2:$B$295,generator!$K$2:$K$295,"ARGH")</f>
        <v>0</v>
      </c>
      <c r="L4" s="3">
        <f>_xlfn.XLOOKUP(L$1,generator!$B$2:$B$295,generator!$K$2:$K$295,"ARGH")</f>
        <v>0</v>
      </c>
      <c r="M4" s="3">
        <f>_xlfn.XLOOKUP(M$1,generator!$B$2:$B$295,generator!$K$2:$K$295,"ARGH")</f>
        <v>0</v>
      </c>
      <c r="N4" s="3">
        <f>_xlfn.XLOOKUP(N$1,generator!$B$2:$B$295,generator!$K$2:$K$295,"ARGH")</f>
        <v>0</v>
      </c>
      <c r="O4" s="3">
        <f>_xlfn.XLOOKUP(O$1,generator!$B$2:$B$295,generator!$K$2:$K$295,"ARGH")</f>
        <v>0</v>
      </c>
      <c r="P4" s="3">
        <f>_xlfn.XLOOKUP(P$1,generator!$B$2:$B$295,generator!$K$2:$K$295,"ARGH")</f>
        <v>0</v>
      </c>
      <c r="Q4" s="3">
        <f>_xlfn.XLOOKUP(Q$1,generator!$B$2:$B$295,generator!$K$2:$K$295,"ARGH")</f>
        <v>0</v>
      </c>
      <c r="R4" s="3">
        <f>_xlfn.XLOOKUP(R$1,generator!$B$2:$B$295,generator!$K$2:$K$295,"ARGH")</f>
        <v>0</v>
      </c>
      <c r="S4" s="3">
        <f>_xlfn.XLOOKUP(S$1,generator!$B$2:$B$295,generator!$K$2:$K$295,"ARGH")</f>
        <v>0</v>
      </c>
      <c r="T4" s="3">
        <f>_xlfn.XLOOKUP(T$1,generator!$B$2:$B$295,generator!$K$2:$K$295,"ARGH")</f>
        <v>0</v>
      </c>
      <c r="U4" s="3">
        <f>_xlfn.XLOOKUP(U$1,generator!$B$2:$B$295,generator!$K$2:$K$295,"ARGH")</f>
        <v>0</v>
      </c>
      <c r="V4" s="3">
        <f>_xlfn.XLOOKUP(V$1,generator!$B$2:$B$295,generator!$K$2:$K$295,"ARGH")</f>
        <v>0</v>
      </c>
      <c r="W4" s="3">
        <f>_xlfn.XLOOKUP(W$1,generator!$B$2:$B$295,generator!$K$2:$K$295,"ARGH")</f>
        <v>0</v>
      </c>
      <c r="X4" s="3">
        <f>_xlfn.XLOOKUP(X$1,generator!$B$2:$B$295,generator!$K$2:$K$295,"ARGH")</f>
        <v>0</v>
      </c>
      <c r="Y4" s="3">
        <f>_xlfn.XLOOKUP(Y$1,generator!$B$2:$B$295,generator!$K$2:$K$295,"ARGH")</f>
        <v>0</v>
      </c>
      <c r="Z4" s="3">
        <f>_xlfn.XLOOKUP(Z$1,generator!$B$2:$B$295,generator!$K$2:$K$295,"ARGH")</f>
        <v>0</v>
      </c>
      <c r="AA4" s="3">
        <f>_xlfn.XLOOKUP(AA$1,generator!$B$2:$B$295,generator!$K$2:$K$295,"ARGH")</f>
        <v>0</v>
      </c>
      <c r="AB4" s="3">
        <f>_xlfn.XLOOKUP(AB$1,generator!$B$2:$B$295,generator!$K$2:$K$295,"ARGH")</f>
        <v>0</v>
      </c>
      <c r="AC4" s="3">
        <f>_xlfn.XLOOKUP(AC$1,generator!$B$2:$B$295,generator!$K$2:$K$295,"ARGH")</f>
        <v>0</v>
      </c>
      <c r="AD4" s="3">
        <f>_xlfn.XLOOKUP(AD$1,generator!$B$2:$B$295,generator!$K$2:$K$295,"ARGH")</f>
        <v>0</v>
      </c>
      <c r="AE4" s="3">
        <f>_xlfn.XLOOKUP(AE$1,generator!$B$2:$B$295,generator!$K$2:$K$295,"ARGH")</f>
        <v>0</v>
      </c>
      <c r="AF4" s="3">
        <f>_xlfn.XLOOKUP(AF$1,generator!$B$2:$B$295,generator!$K$2:$K$295,"ARGH")</f>
        <v>0</v>
      </c>
      <c r="AG4" s="3">
        <f>_xlfn.XLOOKUP(AG$1,generator!$B$2:$B$295,generator!$K$2:$K$295,"ARGH")</f>
        <v>0</v>
      </c>
      <c r="AH4" s="3">
        <f>_xlfn.XLOOKUP(AH$1,generator!$B$2:$B$295,generator!$K$2:$K$295,"ARGH")</f>
        <v>0</v>
      </c>
      <c r="AI4" s="3">
        <f>_xlfn.XLOOKUP(AI$1,generator!$B$2:$B$295,generator!$K$2:$K$295,"ARGH")</f>
        <v>0</v>
      </c>
      <c r="AJ4" s="3">
        <f>_xlfn.XLOOKUP(AJ$1,generator!$B$2:$B$295,generator!$K$2:$K$295,"ARGH")</f>
        <v>0</v>
      </c>
      <c r="AK4" s="3">
        <f>_xlfn.XLOOKUP(AK$1,generator!$B$2:$B$295,generator!$K$2:$K$295,"ARGH")</f>
        <v>0</v>
      </c>
      <c r="AL4" s="3">
        <f>_xlfn.XLOOKUP(AL$1,generator!$B$2:$B$295,generator!$K$2:$K$295,"ARGH")</f>
        <v>0</v>
      </c>
      <c r="AM4" s="3">
        <f>_xlfn.XLOOKUP(AM$1,generator!$B$2:$B$295,generator!$K$2:$K$295,"ARGH")</f>
        <v>0</v>
      </c>
      <c r="AN4" s="3">
        <f>_xlfn.XLOOKUP(AN$1,generator!$B$2:$B$295,generator!$K$2:$K$295,"ARGH")</f>
        <v>0</v>
      </c>
      <c r="AO4" s="3">
        <f>_xlfn.XLOOKUP(AO$1,generator!$B$2:$B$295,generator!$K$2:$K$295,"ARGH")</f>
        <v>0</v>
      </c>
      <c r="AP4" s="3">
        <f>_xlfn.XLOOKUP(AP$1,generator!$B$2:$B$295,generator!$K$2:$K$295,"ARGH")</f>
        <v>0</v>
      </c>
      <c r="AQ4" s="3">
        <f>_xlfn.XLOOKUP(AQ$1,generator!$B$2:$B$295,generator!$K$2:$K$295,"ARGH")</f>
        <v>0</v>
      </c>
      <c r="AR4" s="3">
        <f>_xlfn.XLOOKUP(AR$1,generator!$B$2:$B$295,generator!$K$2:$K$295,"ARGH")</f>
        <v>0</v>
      </c>
      <c r="AS4" s="3">
        <f>_xlfn.XLOOKUP(AS$1,generator!$B$2:$B$295,generator!$K$2:$K$295,"ARGH")</f>
        <v>0</v>
      </c>
      <c r="AT4" s="3">
        <f>_xlfn.XLOOKUP(AT$1,generator!$B$2:$B$295,generator!$K$2:$K$295,"ARGH")</f>
        <v>0</v>
      </c>
      <c r="AU4" s="3">
        <f>_xlfn.XLOOKUP(AU$1,generator!$B$2:$B$295,generator!$K$2:$K$295,"ARGH")</f>
        <v>0</v>
      </c>
      <c r="AV4" s="3">
        <f>_xlfn.XLOOKUP(AV$1,generator!$B$2:$B$295,generator!$K$2:$K$295,"ARGH")</f>
        <v>0</v>
      </c>
      <c r="AW4" s="3">
        <f>_xlfn.XLOOKUP(AW$1,generator!$B$2:$B$295,generator!$K$2:$K$295,"ARGH")</f>
        <v>0</v>
      </c>
      <c r="AX4" s="3">
        <f>_xlfn.XLOOKUP(AX$1,generator!$B$2:$B$295,generator!$K$2:$K$295,"ARGH")</f>
        <v>0</v>
      </c>
      <c r="AY4" s="3">
        <f>_xlfn.XLOOKUP(AY$1,generator!$B$2:$B$295,generator!$K$2:$K$295,"ARGH")</f>
        <v>0</v>
      </c>
      <c r="AZ4" s="3">
        <f>_xlfn.XLOOKUP(AZ$1,generator!$B$2:$B$295,generator!$K$2:$K$295,"ARGH")</f>
        <v>0</v>
      </c>
      <c r="BA4" s="3">
        <f>_xlfn.XLOOKUP(BA$1,generator!$B$2:$B$295,generator!$K$2:$K$295,"ARGH")</f>
        <v>0</v>
      </c>
      <c r="BB4" s="3">
        <f>_xlfn.XLOOKUP(BB$1,generator!$B$2:$B$295,generator!$K$2:$K$295,"ARGH")</f>
        <v>0</v>
      </c>
      <c r="BC4" s="3">
        <f>_xlfn.XLOOKUP(BC$1,generator!$B$2:$B$295,generator!$K$2:$K$295,"ARGH")</f>
        <v>0</v>
      </c>
      <c r="BD4" s="3">
        <f>_xlfn.XLOOKUP(BD$1,generator!$B$2:$B$295,generator!$K$2:$K$295,"ARGH")</f>
        <v>0</v>
      </c>
      <c r="BE4" s="3">
        <f>_xlfn.XLOOKUP(BE$1,generator!$B$2:$B$295,generator!$K$2:$K$295,"ARGH")</f>
        <v>0</v>
      </c>
      <c r="BF4" s="3">
        <f>_xlfn.XLOOKUP(BF$1,generator!$B$2:$B$295,generator!$K$2:$K$295,"ARGH")</f>
        <v>0</v>
      </c>
      <c r="BG4" s="3">
        <f>_xlfn.XLOOKUP(BG$1,generator!$B$2:$B$295,generator!$K$2:$K$295,"ARGH")</f>
        <v>0</v>
      </c>
      <c r="BH4" s="3">
        <f>_xlfn.XLOOKUP(BH$1,generator!$B$2:$B$295,generator!$K$2:$K$295,"ARGH")</f>
        <v>0</v>
      </c>
      <c r="BI4" s="3">
        <f>_xlfn.XLOOKUP(BI$1,generator!$B$2:$B$295,generator!$K$2:$K$295,"ARGH")</f>
        <v>0</v>
      </c>
      <c r="BJ4" s="3">
        <f>_xlfn.XLOOKUP(BJ$1,generator!$B$2:$B$295,generator!$K$2:$K$295,"ARGH")</f>
        <v>0</v>
      </c>
      <c r="BK4" s="3">
        <f>_xlfn.XLOOKUP(BK$1,generator!$B$2:$B$295,generator!$K$2:$K$295,"ARGH")</f>
        <v>0</v>
      </c>
      <c r="BL4" s="3">
        <f>_xlfn.XLOOKUP(BL$1,generator!$B$2:$B$295,generator!$K$2:$K$295,"ARGH")</f>
        <v>0</v>
      </c>
      <c r="BM4" s="3">
        <f>_xlfn.XLOOKUP(BM$1,generator!$B$2:$B$295,generator!$K$2:$K$295,"ARGH")</f>
        <v>0</v>
      </c>
      <c r="BN4" s="3">
        <f>_xlfn.XLOOKUP(BN$1,generator!$B$2:$B$295,generator!$K$2:$K$295,"ARGH")</f>
        <v>0</v>
      </c>
      <c r="BO4" s="3">
        <f>_xlfn.XLOOKUP(BO$1,generator!$B$2:$B$295,generator!$K$2:$K$295,"ARGH")</f>
        <v>0</v>
      </c>
      <c r="BP4" s="3">
        <f>_xlfn.XLOOKUP(BP$1,generator!$B$2:$B$295,generator!$K$2:$K$295,"ARGH")</f>
        <v>0</v>
      </c>
      <c r="BQ4" s="3">
        <f>_xlfn.XLOOKUP(BQ$1,generator!$B$2:$B$295,generator!$K$2:$K$295,"ARGH")</f>
        <v>0</v>
      </c>
      <c r="BR4" s="3">
        <f>_xlfn.XLOOKUP(BR$1,generator!$B$2:$B$295,generator!$K$2:$K$295,"ARGH")</f>
        <v>0</v>
      </c>
      <c r="BS4" s="3">
        <f>_xlfn.XLOOKUP(BS$1,generator!$B$2:$B$295,generator!$K$2:$K$295,"ARGH")</f>
        <v>0</v>
      </c>
      <c r="BT4" s="3">
        <f>_xlfn.XLOOKUP(BT$1,generator!$B$2:$B$295,generator!$K$2:$K$295,"ARGH")</f>
        <v>0</v>
      </c>
      <c r="BU4" s="3">
        <f>_xlfn.XLOOKUP(BU$1,generator!$B$2:$B$295,generator!$K$2:$K$295,"ARGH")</f>
        <v>0</v>
      </c>
      <c r="BV4" s="3">
        <f>_xlfn.XLOOKUP(BV$1,generator!$B$2:$B$295,generator!$K$2:$K$295,"ARGH")</f>
        <v>0</v>
      </c>
      <c r="BW4" s="3">
        <f>_xlfn.XLOOKUP(BW$1,generator!$B$2:$B$295,generator!$K$2:$K$295,"ARGH")</f>
        <v>0</v>
      </c>
      <c r="BX4" s="3">
        <f>_xlfn.XLOOKUP(BX$1,generator!$B$2:$B$295,generator!$K$2:$K$295,"ARGH")</f>
        <v>0</v>
      </c>
      <c r="BY4" s="3">
        <f>_xlfn.XLOOKUP(BY$1,generator!$B$2:$B$295,generator!$K$2:$K$295,"ARGH")</f>
        <v>0</v>
      </c>
      <c r="BZ4" s="3">
        <f>_xlfn.XLOOKUP(BZ$1,generator!$B$2:$B$295,generator!$K$2:$K$295,"ARGH")</f>
        <v>0</v>
      </c>
      <c r="CA4" s="3">
        <f>_xlfn.XLOOKUP(CA$1,generator!$B$2:$B$295,generator!$K$2:$K$295,"ARGH")</f>
        <v>0</v>
      </c>
      <c r="CB4" s="3">
        <f>_xlfn.XLOOKUP(CB$1,generator!$B$2:$B$295,generator!$K$2:$K$295,"ARGH")</f>
        <v>0</v>
      </c>
      <c r="CC4" s="3">
        <f>_xlfn.XLOOKUP(CC$1,generator!$B$2:$B$295,generator!$K$2:$K$295,"ARGH")</f>
        <v>0</v>
      </c>
      <c r="CD4" s="3">
        <f>_xlfn.XLOOKUP(CD$1,generator!$B$2:$B$295,generator!$K$2:$K$295,"ARGH")</f>
        <v>0</v>
      </c>
      <c r="CE4" s="3">
        <f>_xlfn.XLOOKUP(CE$1,generator!$B$2:$B$295,generator!$K$2:$K$295,"ARGH")</f>
        <v>0</v>
      </c>
      <c r="CF4" s="3">
        <f>_xlfn.XLOOKUP(CF$1,generator!$B$2:$B$295,generator!$K$2:$K$295,"ARGH")</f>
        <v>0</v>
      </c>
      <c r="CG4" s="3">
        <f>_xlfn.XLOOKUP(CG$1,generator!$B$2:$B$295,generator!$K$2:$K$295,"ARGH")</f>
        <v>0</v>
      </c>
      <c r="CH4" s="3">
        <f>_xlfn.XLOOKUP(CH$1,generator!$B$2:$B$295,generator!$K$2:$K$295,"ARGH")</f>
        <v>0</v>
      </c>
      <c r="CI4" s="3">
        <f>_xlfn.XLOOKUP(CI$1,generator!$B$2:$B$295,generator!$K$2:$K$295,"ARGH")</f>
        <v>0</v>
      </c>
      <c r="CJ4" s="3">
        <f>_xlfn.XLOOKUP(CJ$1,generator!$B$2:$B$295,generator!$K$2:$K$295,"ARGH")</f>
        <v>0</v>
      </c>
      <c r="CK4" s="3">
        <f>_xlfn.XLOOKUP(CK$1,generator!$B$2:$B$295,generator!$K$2:$K$295,"ARGH")</f>
        <v>0</v>
      </c>
      <c r="CL4" s="3">
        <f>_xlfn.XLOOKUP(CL$1,generator!$B$2:$B$295,generator!$K$2:$K$295,"ARGH")</f>
        <v>0</v>
      </c>
      <c r="CM4" s="3">
        <f>_xlfn.XLOOKUP(CM$1,generator!$B$2:$B$295,generator!$K$2:$K$295,"ARGH")</f>
        <v>0</v>
      </c>
      <c r="CN4" s="3">
        <f>_xlfn.XLOOKUP(CN$1,generator!$B$2:$B$295,generator!$K$2:$K$295,"ARGH")</f>
        <v>0</v>
      </c>
      <c r="CO4" s="3">
        <f>_xlfn.XLOOKUP(CO$1,generator!$B$2:$B$295,generator!$K$2:$K$295,"ARGH")</f>
        <v>0</v>
      </c>
      <c r="CP4" s="3">
        <f>_xlfn.XLOOKUP(CP$1,generator!$B$2:$B$295,generator!$K$2:$K$295,"ARGH")</f>
        <v>0</v>
      </c>
      <c r="CQ4" s="3">
        <f>_xlfn.XLOOKUP(CQ$1,generator!$B$2:$B$295,generator!$K$2:$K$295,"ARGH")</f>
        <v>0</v>
      </c>
      <c r="CR4" s="3">
        <f>_xlfn.XLOOKUP(CR$1,generator!$B$2:$B$295,generator!$K$2:$K$295,"ARGH")</f>
        <v>0</v>
      </c>
      <c r="CS4" s="3">
        <f>_xlfn.XLOOKUP(CS$1,generator!$B$2:$B$295,generator!$K$2:$K$295,"ARGH")</f>
        <v>0</v>
      </c>
      <c r="CT4" s="3">
        <f>_xlfn.XLOOKUP(CT$1,generator!$B$2:$B$295,generator!$K$2:$K$295,"ARGH")</f>
        <v>0</v>
      </c>
      <c r="CU4" s="3">
        <f>_xlfn.XLOOKUP(CU$1,generator!$B$2:$B$295,generator!$K$2:$K$295,"ARGH")</f>
        <v>0</v>
      </c>
      <c r="CV4" s="3">
        <f>_xlfn.XLOOKUP(CV$1,generator!$B$2:$B$295,generator!$K$2:$K$295,"ARGH")</f>
        <v>0</v>
      </c>
      <c r="CW4" s="3">
        <f>_xlfn.XLOOKUP(CW$1,generator!$B$2:$B$295,generator!$K$2:$K$295,"ARGH")</f>
        <v>0</v>
      </c>
      <c r="CX4" s="3">
        <f>_xlfn.XLOOKUP(CX$1,generator!$B$2:$B$295,generator!$K$2:$K$295,"ARGH")</f>
        <v>0</v>
      </c>
      <c r="CY4" s="3">
        <f>_xlfn.XLOOKUP(CY$1,generator!$B$2:$B$295,generator!$K$2:$K$295,"ARGH")</f>
        <v>0</v>
      </c>
      <c r="CZ4" s="3">
        <f>_xlfn.XLOOKUP(CZ$1,generator!$B$2:$B$295,generator!$K$2:$K$295,"ARGH")</f>
        <v>0</v>
      </c>
      <c r="DA4" s="3">
        <f>_xlfn.XLOOKUP(DA$1,generator!$B$2:$B$295,generator!$K$2:$K$295,"ARGH")</f>
        <v>0</v>
      </c>
      <c r="DB4" s="3">
        <f>_xlfn.XLOOKUP(DB$1,generator!$B$2:$B$295,generator!$K$2:$K$295,"ARGH")</f>
        <v>0</v>
      </c>
      <c r="DC4" s="3">
        <f>_xlfn.XLOOKUP(DC$1,generator!$B$2:$B$295,generator!$K$2:$K$295,"ARGH")</f>
        <v>0</v>
      </c>
      <c r="DD4" s="3">
        <f>_xlfn.XLOOKUP(DD$1,generator!$B$2:$B$295,generator!$K$2:$K$295,"ARGH")</f>
        <v>0</v>
      </c>
      <c r="DE4" s="3">
        <f>_xlfn.XLOOKUP(DE$1,generator!$B$2:$B$295,generator!$K$2:$K$295,"ARGH")</f>
        <v>0</v>
      </c>
      <c r="DF4" s="3">
        <f>_xlfn.XLOOKUP(DF$1,generator!$B$2:$B$295,generator!$K$2:$K$295,"ARGH")</f>
        <v>0</v>
      </c>
      <c r="DG4" s="3">
        <f>_xlfn.XLOOKUP(DG$1,generator!$B$2:$B$295,generator!$K$2:$K$295,"ARGH")</f>
        <v>0</v>
      </c>
      <c r="DH4" s="3">
        <f>_xlfn.XLOOKUP(DH$1,generator!$B$2:$B$295,generator!$K$2:$K$295,"ARGH")</f>
        <v>0</v>
      </c>
      <c r="DI4" s="3">
        <f>_xlfn.XLOOKUP(DI$1,generator!$B$2:$B$295,generator!$K$2:$K$295,"ARGH")</f>
        <v>0</v>
      </c>
      <c r="DJ4" s="3">
        <f>_xlfn.XLOOKUP(DJ$1,generator!$B$2:$B$295,generator!$K$2:$K$295,"ARGH")</f>
        <v>0</v>
      </c>
      <c r="DK4" s="3">
        <f>_xlfn.XLOOKUP(DK$1,generator!$B$2:$B$295,generator!$K$2:$K$295,"ARGH")</f>
        <v>0</v>
      </c>
      <c r="DL4" s="3">
        <f>_xlfn.XLOOKUP(DL$1,generator!$B$2:$B$295,generator!$K$2:$K$295,"ARGH")</f>
        <v>0</v>
      </c>
      <c r="DM4" s="3">
        <f>_xlfn.XLOOKUP(DM$1,generator!$B$2:$B$295,generator!$K$2:$K$295,"ARGH")</f>
        <v>0</v>
      </c>
      <c r="DN4" s="3">
        <f>_xlfn.XLOOKUP(DN$1,generator!$B$2:$B$295,generator!$K$2:$K$295,"ARGH")</f>
        <v>0</v>
      </c>
      <c r="DO4" s="3">
        <f>_xlfn.XLOOKUP(DO$1,generator!$B$2:$B$295,generator!$K$2:$K$295,"ARGH")</f>
        <v>0</v>
      </c>
      <c r="DP4" s="3">
        <f>_xlfn.XLOOKUP(DP$1,generator!$B$2:$B$295,generator!$K$2:$K$295,"ARGH")</f>
        <v>0</v>
      </c>
      <c r="DQ4" s="3">
        <f>_xlfn.XLOOKUP(DQ$1,generator!$B$2:$B$295,generator!$K$2:$K$295,"ARGH")</f>
        <v>0</v>
      </c>
      <c r="DR4" s="3">
        <f>_xlfn.XLOOKUP(DR$1,generator!$B$2:$B$295,generator!$K$2:$K$295,"ARGH")</f>
        <v>0</v>
      </c>
      <c r="DS4" s="3">
        <f>_xlfn.XLOOKUP(DS$1,generator!$B$2:$B$295,generator!$K$2:$K$295,"ARGH")</f>
        <v>0</v>
      </c>
      <c r="DT4" s="3">
        <f>_xlfn.XLOOKUP(DT$1,generator!$B$2:$B$295,generator!$K$2:$K$295,"ARGH")</f>
        <v>0</v>
      </c>
      <c r="DU4" s="3">
        <f>_xlfn.XLOOKUP(DU$1,generator!$B$2:$B$295,generator!$K$2:$K$295,"ARGH")</f>
        <v>0</v>
      </c>
      <c r="DV4" s="3">
        <f>_xlfn.XLOOKUP(DV$1,generator!$B$2:$B$295,generator!$K$2:$K$295,"ARGH")</f>
        <v>0</v>
      </c>
      <c r="DW4" s="3">
        <f>_xlfn.XLOOKUP(DW$1,generator!$B$2:$B$295,generator!$K$2:$K$295,"ARGH")</f>
        <v>0</v>
      </c>
      <c r="DX4" s="3">
        <f>_xlfn.XLOOKUP(DX$1,generator!$B$2:$B$295,generator!$K$2:$K$295,"ARGH")</f>
        <v>0</v>
      </c>
      <c r="DY4" s="3">
        <f>_xlfn.XLOOKUP(DY$1,generator!$B$2:$B$295,generator!$K$2:$K$295,"ARGH")</f>
        <v>0</v>
      </c>
      <c r="DZ4" s="3">
        <f>_xlfn.XLOOKUP(DZ$1,generator!$B$2:$B$295,generator!$K$2:$K$295,"ARGH")</f>
        <v>0</v>
      </c>
      <c r="EA4" s="3">
        <f>_xlfn.XLOOKUP(EA$1,generator!$B$2:$B$295,generator!$K$2:$K$295,"ARGH")</f>
        <v>0</v>
      </c>
      <c r="EB4" s="3">
        <f>_xlfn.XLOOKUP(EB$1,generator!$B$2:$B$295,generator!$K$2:$K$295,"ARGH")</f>
        <v>0</v>
      </c>
      <c r="EC4" s="3">
        <f>_xlfn.XLOOKUP(EC$1,generator!$B$2:$B$295,generator!$K$2:$K$295,"ARGH")</f>
        <v>0</v>
      </c>
      <c r="ED4" s="3">
        <f>_xlfn.XLOOKUP(ED$1,generator!$B$2:$B$295,generator!$K$2:$K$295,"ARGH")</f>
        <v>0</v>
      </c>
      <c r="EE4" s="3">
        <f>_xlfn.XLOOKUP(EE$1,generator!$B$2:$B$295,generator!$K$2:$K$295,"ARGH")</f>
        <v>0</v>
      </c>
      <c r="EF4" s="3">
        <f>_xlfn.XLOOKUP(EF$1,generator!$B$2:$B$295,generator!$K$2:$K$295,"ARGH")</f>
        <v>0</v>
      </c>
      <c r="EG4" s="3">
        <f>_xlfn.XLOOKUP(EG$1,generator!$B$2:$B$295,generator!$K$2:$K$295,"ARGH")</f>
        <v>0</v>
      </c>
      <c r="EH4" s="3">
        <f>_xlfn.XLOOKUP(EH$1,generator!$B$2:$B$295,generator!$K$2:$K$295,"ARGH")</f>
        <v>0</v>
      </c>
      <c r="EI4" s="3">
        <f>_xlfn.XLOOKUP(EI$1,generator!$B$2:$B$295,generator!$K$2:$K$295,"ARGH")</f>
        <v>0</v>
      </c>
      <c r="EJ4" s="3">
        <f>_xlfn.XLOOKUP(EJ$1,generator!$B$2:$B$295,generator!$K$2:$K$295,"ARGH")</f>
        <v>0</v>
      </c>
      <c r="EK4" s="3">
        <f>_xlfn.XLOOKUP(EK$1,generator!$B$2:$B$295,generator!$K$2:$K$295,"ARGH")</f>
        <v>0</v>
      </c>
      <c r="EL4" s="3">
        <f>_xlfn.XLOOKUP(EL$1,generator!$B$2:$B$295,generator!$K$2:$K$295,"ARGH")</f>
        <v>0</v>
      </c>
      <c r="EM4" s="3">
        <f>_xlfn.XLOOKUP(EM$1,generator!$B$2:$B$295,generator!$K$2:$K$295,"ARGH")</f>
        <v>0</v>
      </c>
      <c r="EN4" s="3">
        <f>_xlfn.XLOOKUP(EN$1,generator!$B$2:$B$295,generator!$K$2:$K$295,"ARGH")</f>
        <v>0</v>
      </c>
      <c r="EO4" s="3">
        <f>_xlfn.XLOOKUP(EO$1,generator!$B$2:$B$295,generator!$K$2:$K$295,"ARGH")</f>
        <v>0</v>
      </c>
      <c r="EP4" s="3">
        <f>_xlfn.XLOOKUP(EP$1,generator!$B$2:$B$295,generator!$K$2:$K$295,"ARGH")</f>
        <v>0</v>
      </c>
      <c r="EQ4" s="3">
        <f>_xlfn.XLOOKUP(EQ$1,generator!$B$2:$B$295,generator!$K$2:$K$295,"ARGH")</f>
        <v>0</v>
      </c>
      <c r="ER4" s="3">
        <f>_xlfn.XLOOKUP(ER$1,generator!$B$2:$B$295,generator!$K$2:$K$295,"ARGH")</f>
        <v>0</v>
      </c>
      <c r="ES4" s="3">
        <f>_xlfn.XLOOKUP(ES$1,generator!$B$2:$B$295,generator!$K$2:$K$295,"ARGH")</f>
        <v>0</v>
      </c>
      <c r="ET4" s="3">
        <f>_xlfn.XLOOKUP(ET$1,generator!$B$2:$B$295,generator!$K$2:$K$295,"ARGH")</f>
        <v>0</v>
      </c>
      <c r="EU4" s="3">
        <f>_xlfn.XLOOKUP(EU$1,generator!$B$2:$B$295,generator!$K$2:$K$295,"ARGH")</f>
        <v>0</v>
      </c>
      <c r="EV4" s="3">
        <f>_xlfn.XLOOKUP(EV$1,generator!$B$2:$B$295,generator!$K$2:$K$295,"ARGH")</f>
        <v>0</v>
      </c>
      <c r="EW4" s="3">
        <f>_xlfn.XLOOKUP(EW$1,generator!$B$2:$B$295,generator!$K$2:$K$295,"ARGH")</f>
        <v>0</v>
      </c>
      <c r="EX4" s="3">
        <f>_xlfn.XLOOKUP(EX$1,generator!$B$2:$B$295,generator!$K$2:$K$295,"ARGH")</f>
        <v>0</v>
      </c>
      <c r="EY4" s="3">
        <f>_xlfn.XLOOKUP(EY$1,generator!$B$2:$B$295,generator!$K$2:$K$295,"ARGH")</f>
        <v>0</v>
      </c>
      <c r="EZ4" s="3">
        <f>_xlfn.XLOOKUP(EZ$1,generator!$B$2:$B$295,generator!$K$2:$K$295,"ARGH")</f>
        <v>0</v>
      </c>
      <c r="FA4" s="3">
        <f>_xlfn.XLOOKUP(FA$1,generator!$B$2:$B$295,generator!$K$2:$K$295,"ARGH")</f>
        <v>0</v>
      </c>
      <c r="FB4" s="3">
        <f>_xlfn.XLOOKUP(FB$1,generator!$B$2:$B$295,generator!$K$2:$K$295,"ARGH")</f>
        <v>0</v>
      </c>
      <c r="FC4" s="3">
        <f>_xlfn.XLOOKUP(FC$1,generator!$B$2:$B$295,generator!$K$2:$K$295,"ARGH")</f>
        <v>0</v>
      </c>
      <c r="FD4" s="3">
        <f>_xlfn.XLOOKUP(FD$1,generator!$B$2:$B$295,generator!$K$2:$K$295,"ARGH")</f>
        <v>0</v>
      </c>
      <c r="FE4" s="3">
        <f>_xlfn.XLOOKUP(FE$1,generator!$B$2:$B$295,generator!$K$2:$K$295,"ARGH")</f>
        <v>0</v>
      </c>
      <c r="FF4" s="3">
        <f>_xlfn.XLOOKUP(FF$1,generator!$B$2:$B$295,generator!$K$2:$K$295,"ARGH")</f>
        <v>0</v>
      </c>
      <c r="FG4" s="3">
        <f>_xlfn.XLOOKUP(FG$1,generator!$B$2:$B$295,generator!$K$2:$K$295,"ARGH")</f>
        <v>0</v>
      </c>
      <c r="FH4" s="3">
        <f>_xlfn.XLOOKUP(FH$1,generator!$B$2:$B$295,generator!$K$2:$K$295,"ARGH")</f>
        <v>0</v>
      </c>
      <c r="FI4" s="3">
        <f>_xlfn.XLOOKUP(FI$1,generator!$B$2:$B$295,generator!$K$2:$K$295,"ARGH")</f>
        <v>0</v>
      </c>
      <c r="FJ4" s="3">
        <f>_xlfn.XLOOKUP(FJ$1,generator!$B$2:$B$295,generator!$K$2:$K$295,"ARGH")</f>
        <v>0</v>
      </c>
      <c r="FK4" s="3">
        <f>_xlfn.XLOOKUP(FK$1,generator!$B$2:$B$295,generator!$K$2:$K$295,"ARGH")</f>
        <v>0</v>
      </c>
      <c r="FL4" s="3">
        <f>_xlfn.XLOOKUP(FL$1,generator!$B$2:$B$295,generator!$K$2:$K$295,"ARGH")</f>
        <v>0</v>
      </c>
      <c r="FM4" s="3">
        <f>_xlfn.XLOOKUP(FM$1,generator!$B$2:$B$295,generator!$K$2:$K$295,"ARGH")</f>
        <v>0</v>
      </c>
      <c r="FN4" s="3">
        <f>_xlfn.XLOOKUP(FN$1,generator!$B$2:$B$295,generator!$K$2:$K$295,"ARGH")</f>
        <v>0</v>
      </c>
      <c r="FO4" s="3">
        <f>_xlfn.XLOOKUP(FO$1,generator!$B$2:$B$295,generator!$K$2:$K$295,"ARGH")</f>
        <v>0</v>
      </c>
      <c r="FP4" s="3">
        <f>_xlfn.XLOOKUP(FP$1,generator!$B$2:$B$295,generator!$K$2:$K$295,"ARGH")</f>
        <v>0</v>
      </c>
      <c r="FQ4" s="3">
        <f>_xlfn.XLOOKUP(FQ$1,generator!$B$2:$B$295,generator!$K$2:$K$295,"ARGH")</f>
        <v>0</v>
      </c>
      <c r="FR4" s="3">
        <f>_xlfn.XLOOKUP(FR$1,generator!$B$2:$B$295,generator!$K$2:$K$295,"ARGH")</f>
        <v>0</v>
      </c>
      <c r="FS4" s="3">
        <f>_xlfn.XLOOKUP(FS$1,generator!$B$2:$B$295,generator!$K$2:$K$295,"ARGH")</f>
        <v>0</v>
      </c>
      <c r="FT4" s="3">
        <f>_xlfn.XLOOKUP(FT$1,generator!$B$2:$B$295,generator!$K$2:$K$295,"ARGH")</f>
        <v>0</v>
      </c>
      <c r="FU4" s="3">
        <f>_xlfn.XLOOKUP(FU$1,generator!$B$2:$B$295,generator!$K$2:$K$295,"ARGH")</f>
        <v>0</v>
      </c>
      <c r="FV4" s="3">
        <f>_xlfn.XLOOKUP(FV$1,generator!$B$2:$B$295,generator!$K$2:$K$295,"ARGH")</f>
        <v>0</v>
      </c>
      <c r="FW4" s="3">
        <f>_xlfn.XLOOKUP(FW$1,generator!$B$2:$B$295,generator!$K$2:$K$295,"ARGH")</f>
        <v>0</v>
      </c>
      <c r="FX4" s="3">
        <f>_xlfn.XLOOKUP(FX$1,generator!$B$2:$B$295,generator!$K$2:$K$295,"ARGH")</f>
        <v>0</v>
      </c>
      <c r="FY4" s="3">
        <f>_xlfn.XLOOKUP(FY$1,generator!$B$2:$B$295,generator!$K$2:$K$295,"ARGH")</f>
        <v>0</v>
      </c>
      <c r="FZ4" s="3">
        <f>_xlfn.XLOOKUP(FZ$1,generator!$B$2:$B$295,generator!$K$2:$K$295,"ARGH")</f>
        <v>0</v>
      </c>
      <c r="GA4" s="3">
        <f>_xlfn.XLOOKUP(GA$1,generator!$B$2:$B$295,generator!$K$2:$K$295,"ARGH")</f>
        <v>0</v>
      </c>
      <c r="GB4" s="3">
        <f>_xlfn.XLOOKUP(GB$1,generator!$B$2:$B$295,generator!$K$2:$K$295,"ARGH")</f>
        <v>0</v>
      </c>
      <c r="GC4" s="3">
        <f>_xlfn.XLOOKUP(GC$1,generator!$B$2:$B$295,generator!$K$2:$K$295,"ARGH")</f>
        <v>0</v>
      </c>
      <c r="GD4" s="3">
        <f>_xlfn.XLOOKUP(GD$1,generator!$B$2:$B$295,generator!$K$2:$K$295,"ARGH")</f>
        <v>0</v>
      </c>
      <c r="GE4" s="3">
        <f>_xlfn.XLOOKUP(GE$1,generator!$B$2:$B$295,generator!$K$2:$K$295,"ARGH")</f>
        <v>0</v>
      </c>
      <c r="GF4" s="3">
        <f>_xlfn.XLOOKUP(GF$1,generator!$B$2:$B$295,generator!$K$2:$K$295,"ARGH")</f>
        <v>0</v>
      </c>
      <c r="GG4" s="3">
        <f>_xlfn.XLOOKUP(GG$1,generator!$B$2:$B$295,generator!$K$2:$K$295,"ARGH")</f>
        <v>0</v>
      </c>
      <c r="GH4" s="3">
        <f>_xlfn.XLOOKUP(GH$1,generator!$B$2:$B$295,generator!$K$2:$K$295,"ARGH")</f>
        <v>0</v>
      </c>
      <c r="GI4" s="3">
        <f>_xlfn.XLOOKUP(GI$1,generator!$B$2:$B$295,generator!$K$2:$K$295,"ARGH")</f>
        <v>0</v>
      </c>
      <c r="GJ4" s="3">
        <f>_xlfn.XLOOKUP(GJ$1,generator!$B$2:$B$295,generator!$K$2:$K$295,"ARGH")</f>
        <v>0</v>
      </c>
      <c r="GK4" s="3">
        <f>_xlfn.XLOOKUP(GK$1,generator!$B$2:$B$295,generator!$K$2:$K$295,"ARGH")</f>
        <v>0</v>
      </c>
      <c r="GL4" s="3">
        <f>_xlfn.XLOOKUP(GL$1,generator!$B$2:$B$295,generator!$K$2:$K$295,"ARGH")</f>
        <v>0</v>
      </c>
      <c r="GM4" s="3">
        <f>_xlfn.XLOOKUP(GM$1,generator!$B$2:$B$295,generator!$K$2:$K$295,"ARGH")</f>
        <v>0</v>
      </c>
      <c r="GN4" s="3">
        <f>_xlfn.XLOOKUP(GN$1,generator!$B$2:$B$295,generator!$K$2:$K$295,"ARGH")</f>
        <v>0</v>
      </c>
      <c r="GO4" s="3">
        <f>_xlfn.XLOOKUP(GO$1,generator!$B$2:$B$295,generator!$K$2:$K$295,"ARGH")</f>
        <v>0</v>
      </c>
      <c r="GP4" s="3">
        <f>_xlfn.XLOOKUP(GP$1,generator!$B$2:$B$295,generator!$K$2:$K$295,"ARGH")</f>
        <v>0</v>
      </c>
      <c r="GQ4" s="3">
        <f>_xlfn.XLOOKUP(GQ$1,generator!$B$2:$B$295,generator!$K$2:$K$295,"ARGH")</f>
        <v>0</v>
      </c>
      <c r="GR4" s="3">
        <f>_xlfn.XLOOKUP(GR$1,generator!$B$2:$B$295,generator!$K$2:$K$295,"ARGH")</f>
        <v>0</v>
      </c>
      <c r="GS4" s="3">
        <f>_xlfn.XLOOKUP(GS$1,generator!$B$2:$B$295,generator!$K$2:$K$295,"ARGH")</f>
        <v>0</v>
      </c>
      <c r="GT4" s="3">
        <f>_xlfn.XLOOKUP(GT$1,generator!$B$2:$B$295,generator!$K$2:$K$295,"ARGH")</f>
        <v>0</v>
      </c>
      <c r="GU4" s="3">
        <f>_xlfn.XLOOKUP(GU$1,generator!$B$2:$B$295,generator!$K$2:$K$295,"ARGH")</f>
        <v>0</v>
      </c>
      <c r="GV4" s="3">
        <f>_xlfn.XLOOKUP(GV$1,generator!$B$2:$B$295,generator!$K$2:$K$295,"ARGH")</f>
        <v>0</v>
      </c>
      <c r="GW4" s="3">
        <f>_xlfn.XLOOKUP(GW$1,generator!$B$2:$B$295,generator!$K$2:$K$295,"ARGH")</f>
        <v>0</v>
      </c>
      <c r="GX4" s="3">
        <f>_xlfn.XLOOKUP(GX$1,generator!$B$2:$B$295,generator!$K$2:$K$295,"ARGH")</f>
        <v>0</v>
      </c>
      <c r="GY4" s="3">
        <f>_xlfn.XLOOKUP(GY$1,generator!$B$2:$B$295,generator!$K$2:$K$295,"ARGH")</f>
        <v>0</v>
      </c>
      <c r="GZ4" s="3">
        <f>_xlfn.XLOOKUP(GZ$1,generator!$B$2:$B$295,generator!$K$2:$K$295,"ARGH")</f>
        <v>0</v>
      </c>
      <c r="HA4" s="3">
        <f>_xlfn.XLOOKUP(HA$1,generator!$B$2:$B$295,generator!$K$2:$K$295,"ARGH")</f>
        <v>0</v>
      </c>
      <c r="HB4" s="3">
        <f>_xlfn.XLOOKUP(HB$1,generator!$B$2:$B$295,generator!$K$2:$K$295,"ARGH")</f>
        <v>0</v>
      </c>
      <c r="HC4" s="3">
        <f>_xlfn.XLOOKUP(HC$1,generator!$B$2:$B$295,generator!$K$2:$K$295,"ARGH")</f>
        <v>0</v>
      </c>
      <c r="HD4" s="3">
        <f>_xlfn.XLOOKUP(HD$1,generator!$B$2:$B$295,generator!$K$2:$K$295,"ARGH")</f>
        <v>0</v>
      </c>
      <c r="HE4" s="3">
        <f>_xlfn.XLOOKUP(HE$1,generator!$B$2:$B$295,generator!$K$2:$K$295,"ARGH")</f>
        <v>12.74</v>
      </c>
      <c r="HF4" s="3">
        <f>_xlfn.XLOOKUP(HF$1,generator!$B$2:$B$295,generator!$K$2:$K$295,"ARGH")</f>
        <v>99</v>
      </c>
      <c r="HG4" s="3">
        <f>_xlfn.XLOOKUP(HG$1,generator!$B$2:$B$295,generator!$K$2:$K$295,"ARGH")</f>
        <v>99</v>
      </c>
      <c r="HH4" s="3">
        <f>_xlfn.XLOOKUP(HH$1,generator!$B$2:$B$295,generator!$K$2:$K$295,"ARGH")</f>
        <v>99</v>
      </c>
      <c r="HI4" s="3">
        <f>_xlfn.XLOOKUP(HI$1,generator!$B$2:$B$295,generator!$K$2:$K$295,"ARGH")</f>
        <v>8</v>
      </c>
      <c r="HJ4" s="3">
        <f>_xlfn.XLOOKUP(HJ$1,generator!$B$2:$B$295,generator!$K$2:$K$295,"ARGH")</f>
        <v>8</v>
      </c>
      <c r="HK4" s="3">
        <f>_xlfn.XLOOKUP(HK$1,generator!$B$2:$B$295,generator!$K$2:$K$295,"ARGH")</f>
        <v>8</v>
      </c>
      <c r="HL4" s="3">
        <f>_xlfn.XLOOKUP(HL$1,generator!$B$2:$B$295,generator!$K$2:$K$295,"ARGH")</f>
        <v>20</v>
      </c>
      <c r="HM4" s="3">
        <f>_xlfn.XLOOKUP(HM$1,generator!$B$2:$B$295,generator!$K$2:$K$295,"ARGH")</f>
        <v>20</v>
      </c>
      <c r="HN4" s="3">
        <f>_xlfn.XLOOKUP(HN$1,generator!$B$2:$B$295,generator!$K$2:$K$295,"ARGH")</f>
        <v>5</v>
      </c>
      <c r="HO4" s="3">
        <f>_xlfn.XLOOKUP(HO$1,generator!$B$2:$B$295,generator!$K$2:$K$295,"ARGH")</f>
        <v>5</v>
      </c>
      <c r="HP4" s="3">
        <f>_xlfn.XLOOKUP(HP$1,generator!$B$2:$B$295,generator!$K$2:$K$295,"ARGH")</f>
        <v>0.2</v>
      </c>
      <c r="HQ4" s="3">
        <f>_xlfn.XLOOKUP(HQ$1,generator!$B$2:$B$295,generator!$K$2:$K$295,"ARGH")</f>
        <v>5</v>
      </c>
      <c r="HR4" s="3">
        <f>_xlfn.XLOOKUP(HR$1,generator!$B$2:$B$295,generator!$K$2:$K$295,"ARGH")</f>
        <v>5</v>
      </c>
      <c r="HS4" s="3">
        <f>_xlfn.XLOOKUP(HS$1,generator!$B$2:$B$295,generator!$K$2:$K$295,"ARGH")</f>
        <v>12.82</v>
      </c>
      <c r="HT4" s="3">
        <f>_xlfn.XLOOKUP(HT$1,generator!$B$2:$B$295,generator!$K$2:$K$295,"ARGH")</f>
        <v>12.82</v>
      </c>
      <c r="HU4" s="3">
        <f>_xlfn.XLOOKUP(HU$1,generator!$B$2:$B$295,generator!$K$2:$K$295,"ARGH")</f>
        <v>25</v>
      </c>
      <c r="HV4" s="3">
        <f>_xlfn.XLOOKUP(HV$1,generator!$B$2:$B$295,generator!$K$2:$K$295,"ARGH")</f>
        <v>16</v>
      </c>
      <c r="HW4" s="3">
        <f>_xlfn.XLOOKUP(HW$1,generator!$B$2:$B$295,generator!$K$2:$K$295,"ARGH")</f>
        <v>5</v>
      </c>
      <c r="HX4" s="3">
        <f>_xlfn.XLOOKUP(HX$1,generator!$B$2:$B$295,generator!$K$2:$K$295,"ARGH")</f>
        <v>5</v>
      </c>
      <c r="HY4" s="3">
        <f>_xlfn.XLOOKUP(HY$1,generator!$B$2:$B$295,generator!$K$2:$K$295,"ARGH")</f>
        <v>63</v>
      </c>
      <c r="HZ4" s="3">
        <f>_xlfn.XLOOKUP(HZ$1,generator!$B$2:$B$295,generator!$K$2:$K$295,"ARGH")</f>
        <v>18</v>
      </c>
      <c r="IA4" s="3">
        <f>_xlfn.XLOOKUP(IA$1,generator!$B$2:$B$295,generator!$K$2:$K$295,"ARGH")</f>
        <v>121</v>
      </c>
      <c r="IB4" s="3">
        <f>_xlfn.XLOOKUP(IB$1,generator!$B$2:$B$295,generator!$K$2:$K$295,"ARGH")</f>
        <v>120</v>
      </c>
      <c r="IC4" s="3">
        <f>_xlfn.XLOOKUP(IC$1,generator!$B$2:$B$295,generator!$K$2:$K$295,"ARGH")</f>
        <v>0</v>
      </c>
      <c r="ID4" s="3">
        <f>_xlfn.XLOOKUP(ID$1,generator!$B$2:$B$295,generator!$K$2:$K$295,"ARGH")</f>
        <v>17</v>
      </c>
      <c r="IE4" s="3">
        <f>_xlfn.XLOOKUP(IE$1,generator!$B$2:$B$295,generator!$K$2:$K$295,"ARGH")</f>
        <v>194</v>
      </c>
      <c r="IF4" s="3">
        <f>_xlfn.XLOOKUP(IF$1,generator!$B$2:$B$295,generator!$K$2:$K$295,"ARGH")</f>
        <v>11.9</v>
      </c>
      <c r="IG4" s="3">
        <f>_xlfn.XLOOKUP(IG$1,generator!$B$2:$B$295,generator!$K$2:$K$295,"ARGH")</f>
        <v>11.9</v>
      </c>
      <c r="IH4" s="3">
        <f>_xlfn.XLOOKUP(IH$1,generator!$B$2:$B$295,generator!$K$2:$K$295,"ARGH")</f>
        <v>11.9</v>
      </c>
      <c r="II4" s="3">
        <f>_xlfn.XLOOKUP(II$1,generator!$B$2:$B$295,generator!$K$2:$K$295,"ARGH")</f>
        <v>11.9</v>
      </c>
      <c r="IJ4" s="3">
        <f>_xlfn.XLOOKUP(IJ$1,generator!$B$2:$B$295,generator!$K$2:$K$295,"ARGH")</f>
        <v>0</v>
      </c>
      <c r="IK4" s="3">
        <f>_xlfn.XLOOKUP(IK$1,generator!$B$2:$B$295,generator!$K$2:$K$295,"ARGH")</f>
        <v>3</v>
      </c>
      <c r="IL4" s="3">
        <f>_xlfn.XLOOKUP(IL$1,generator!$B$2:$B$295,generator!$K$2:$K$295,"ARGH")</f>
        <v>5</v>
      </c>
      <c r="IM4" s="3">
        <f>_xlfn.XLOOKUP(IM$1,generator!$B$2:$B$295,generator!$K$2:$K$295,"ARGH")</f>
        <v>5</v>
      </c>
      <c r="IN4" s="3">
        <f>_xlfn.XLOOKUP(IN$1,generator!$B$2:$B$295,generator!$K$2:$K$295,"ARGH")</f>
        <v>4</v>
      </c>
      <c r="IO4" s="3">
        <f>_xlfn.XLOOKUP(IO$1,generator!$B$2:$B$295,generator!$K$2:$K$295,"ARGH")</f>
        <v>4</v>
      </c>
      <c r="IP4" s="3">
        <f>_xlfn.XLOOKUP(IP$1,generator!$B$2:$B$295,generator!$K$2:$K$295,"ARGH")</f>
        <v>3</v>
      </c>
      <c r="IQ4" s="3">
        <f>_xlfn.XLOOKUP(IQ$1,generator!$B$2:$B$295,generator!$K$2:$K$295,"ARGH")</f>
        <v>1</v>
      </c>
      <c r="IR4" s="3">
        <f>_xlfn.XLOOKUP(IR$1,generator!$B$2:$B$295,generator!$K$2:$K$295,"ARGH")</f>
        <v>3</v>
      </c>
      <c r="IS4" s="3">
        <f>_xlfn.XLOOKUP(IS$1,generator!$B$2:$B$295,generator!$K$2:$K$295,"ARGH")</f>
        <v>3</v>
      </c>
      <c r="IT4" s="3">
        <f>_xlfn.XLOOKUP(IT$1,generator!$B$2:$B$295,generator!$K$2:$K$295,"ARGH")</f>
        <v>0</v>
      </c>
      <c r="IU4" s="3">
        <f>_xlfn.XLOOKUP(IU$1,generator!$B$2:$B$295,generator!$K$2:$K$295,"ARGH")</f>
        <v>3.99</v>
      </c>
      <c r="IV4" s="3">
        <f>_xlfn.XLOOKUP(IV$1,generator!$B$2:$B$295,generator!$K$2:$K$295,"ARGH")</f>
        <v>0.2</v>
      </c>
      <c r="IW4" s="3">
        <f>_xlfn.XLOOKUP(IW$1,generator!$B$2:$B$295,generator!$K$2:$K$295,"ARGH")</f>
        <v>15</v>
      </c>
      <c r="IX4" s="3">
        <f>_xlfn.XLOOKUP(IX$1,generator!$B$2:$B$295,generator!$K$2:$K$295,"ARGH")</f>
        <v>15</v>
      </c>
      <c r="IY4" s="3">
        <f>_xlfn.XLOOKUP(IY$1,generator!$B$2:$B$295,generator!$K$2:$K$295,"ARGH")</f>
        <v>15</v>
      </c>
      <c r="IZ4" s="3">
        <f>_xlfn.XLOOKUP(IZ$1,generator!$B$2:$B$295,generator!$K$2:$K$295,"ARGH")</f>
        <v>120</v>
      </c>
      <c r="JA4" s="3">
        <f>_xlfn.XLOOKUP(JA$1,generator!$B$2:$B$295,generator!$K$2:$K$295,"ARGH")</f>
        <v>40</v>
      </c>
      <c r="JB4" s="3">
        <f>_xlfn.XLOOKUP(JB$1,generator!$B$2:$B$295,generator!$K$2:$K$295,"ARGH")</f>
        <v>40</v>
      </c>
      <c r="JC4" s="3">
        <f>_xlfn.XLOOKUP(JC$1,generator!$B$2:$B$295,generator!$K$2:$K$295,"ARGH")</f>
        <v>113</v>
      </c>
      <c r="JD4" s="3">
        <f>_xlfn.XLOOKUP(JD$1,generator!$B$2:$B$295,generator!$K$2:$K$295,"ARGH")</f>
        <v>113</v>
      </c>
      <c r="JE4" s="3">
        <f>_xlfn.XLOOKUP(JE$1,generator!$B$2:$B$295,generator!$K$2:$K$295,"ARGH")</f>
        <v>211</v>
      </c>
      <c r="JF4" s="3">
        <f>_xlfn.XLOOKUP(JF$1,generator!$B$2:$B$295,generator!$K$2:$K$295,"ARGH")</f>
        <v>22.5</v>
      </c>
      <c r="JG4" s="3">
        <f>_xlfn.XLOOKUP(JG$1,generator!$B$2:$B$295,generator!$K$2:$K$295,"ARGH")</f>
        <v>1</v>
      </c>
      <c r="JH4" s="3">
        <f>_xlfn.XLOOKUP(JH$1,generator!$B$2:$B$295,generator!$K$2:$K$295,"ARGH")</f>
        <v>160</v>
      </c>
      <c r="JI4" s="3">
        <f>_xlfn.XLOOKUP(JI$1,generator!$B$2:$B$295,generator!$K$2:$K$295,"ARGH")</f>
        <v>165</v>
      </c>
      <c r="JJ4" s="3">
        <f>_xlfn.XLOOKUP(JJ$1,generator!$B$2:$B$295,generator!$K$2:$K$295,"ARGH")</f>
        <v>4.5999999999999996</v>
      </c>
      <c r="JK4" s="3">
        <f>_xlfn.XLOOKUP(JK$1,generator!$B$2:$B$295,generator!$K$2:$K$295,"ARGH")</f>
        <v>4.5999999999999996</v>
      </c>
      <c r="JL4" s="3">
        <f>_xlfn.XLOOKUP(JL$1,generator!$B$2:$B$295,generator!$K$2:$K$295,"ARGH")</f>
        <v>4.5999999999999996</v>
      </c>
      <c r="JM4" s="3">
        <f>_xlfn.XLOOKUP(JM$1,generator!$B$2:$B$295,generator!$K$2:$K$295,"ARGH")</f>
        <v>4.5999999999999996</v>
      </c>
      <c r="JN4" s="3">
        <f>_xlfn.XLOOKUP(JN$1,generator!$B$2:$B$295,generator!$K$2:$K$295,"ARGH")</f>
        <v>4.5999999999999996</v>
      </c>
      <c r="JO4" s="3">
        <f>_xlfn.XLOOKUP(JO$1,generator!$B$2:$B$295,generator!$K$2:$K$295,"ARGH")</f>
        <v>4.5999999999999996</v>
      </c>
      <c r="JP4" s="3">
        <f>_xlfn.XLOOKUP(JP$1,generator!$B$2:$B$295,generator!$K$2:$K$295,"ARGH")</f>
        <v>110</v>
      </c>
      <c r="JQ4" s="3">
        <f>_xlfn.XLOOKUP(JQ$1,generator!$B$2:$B$295,generator!$K$2:$K$295,"ARGH")</f>
        <v>22.7</v>
      </c>
      <c r="JR4" s="3">
        <f>_xlfn.XLOOKUP(JR$1,generator!$B$2:$B$295,generator!$K$2:$K$295,"ARGH")</f>
        <v>147</v>
      </c>
      <c r="JS4" s="3">
        <f>_xlfn.XLOOKUP(JS$1,generator!$B$2:$B$295,generator!$K$2:$K$295,"ARGH")</f>
        <v>147</v>
      </c>
      <c r="JT4" s="3">
        <f>_xlfn.XLOOKUP(JT$1,generator!$B$2:$B$295,generator!$K$2:$K$295,"ARGH")</f>
        <v>22.7</v>
      </c>
      <c r="JU4" s="3">
        <f>_xlfn.XLOOKUP(JU$1,generator!$B$2:$B$295,generator!$K$2:$K$295,"ARGH")</f>
        <v>21.5</v>
      </c>
      <c r="JV4" s="3">
        <f>_xlfn.XLOOKUP(JV$1,generator!$B$2:$B$295,generator!$K$2:$K$295,"ARGH")</f>
        <v>120</v>
      </c>
      <c r="JW4" s="3">
        <f>_xlfn.XLOOKUP(JW$1,generator!$B$2:$B$295,generator!$K$2:$K$295,"ARGH")</f>
        <v>120</v>
      </c>
      <c r="JX4" s="3">
        <f>_xlfn.XLOOKUP(JX$1,generator!$B$2:$B$295,generator!$K$2:$K$295,"ARGH")</f>
        <v>1</v>
      </c>
      <c r="JY4" s="3">
        <f>_xlfn.XLOOKUP(JY$1,generator!$B$2:$B$295,generator!$K$2:$K$295,"ARGH")</f>
        <v>41.15</v>
      </c>
      <c r="JZ4" s="3">
        <f>_xlfn.XLOOKUP(JZ$1,generator!$B$2:$B$295,generator!$K$2:$K$295,"ARGH")</f>
        <v>5</v>
      </c>
      <c r="KA4" s="3">
        <f>_xlfn.XLOOKUP(KA$1,generator!$B$2:$B$295,generator!$K$2:$K$295,"ARGH")</f>
        <v>5</v>
      </c>
      <c r="KB4" s="3">
        <f>_xlfn.XLOOKUP(KB$1,generator!$B$2:$B$295,generator!$K$2:$K$295,"ARGH")</f>
        <v>5</v>
      </c>
      <c r="KC4" s="3">
        <f>_xlfn.XLOOKUP(KC$1,generator!$B$2:$B$295,generator!$K$2:$K$295,"ARGH")</f>
        <v>5</v>
      </c>
    </row>
    <row r="5" spans="1:289" x14ac:dyDescent="0.3">
      <c r="A5" s="4" t="s">
        <v>3000</v>
      </c>
      <c r="B5" s="31">
        <v>0</v>
      </c>
      <c r="C5" s="31">
        <v>504</v>
      </c>
      <c r="D5" s="31">
        <v>79</v>
      </c>
      <c r="E5" s="3">
        <f>_xlfn.XLOOKUP(E$1,generator!$B$2:$B$295,generator!$K$2:$K$295,"ARGH")</f>
        <v>0</v>
      </c>
      <c r="F5" s="3">
        <f>_xlfn.XLOOKUP(F$1,generator!$B$2:$B$295,generator!$K$2:$K$295,"ARGH")</f>
        <v>0</v>
      </c>
      <c r="G5" s="3">
        <f>_xlfn.XLOOKUP(G$1,generator!$B$2:$B$295,generator!$K$2:$K$295,"ARGH")</f>
        <v>0</v>
      </c>
      <c r="H5" s="3">
        <f>_xlfn.XLOOKUP(H$1,generator!$B$2:$B$295,generator!$K$2:$K$295,"ARGH")</f>
        <v>0</v>
      </c>
      <c r="I5" s="3">
        <f>_xlfn.XLOOKUP(I$1,generator!$B$2:$B$295,generator!$K$2:$K$295,"ARGH")</f>
        <v>0</v>
      </c>
      <c r="J5" s="3">
        <f>_xlfn.XLOOKUP(J$1,generator!$B$2:$B$295,generator!$K$2:$K$295,"ARGH")</f>
        <v>0</v>
      </c>
      <c r="K5" s="3">
        <f>_xlfn.XLOOKUP(K$1,generator!$B$2:$B$295,generator!$K$2:$K$295,"ARGH")</f>
        <v>0</v>
      </c>
      <c r="L5" s="3">
        <f>_xlfn.XLOOKUP(L$1,generator!$B$2:$B$295,generator!$K$2:$K$295,"ARGH")</f>
        <v>0</v>
      </c>
      <c r="M5" s="3">
        <f>_xlfn.XLOOKUP(M$1,generator!$B$2:$B$295,generator!$K$2:$K$295,"ARGH")</f>
        <v>0</v>
      </c>
      <c r="N5" s="3">
        <f>_xlfn.XLOOKUP(N$1,generator!$B$2:$B$295,generator!$K$2:$K$295,"ARGH")</f>
        <v>0</v>
      </c>
      <c r="O5" s="3">
        <f>_xlfn.XLOOKUP(O$1,generator!$B$2:$B$295,generator!$K$2:$K$295,"ARGH")</f>
        <v>0</v>
      </c>
      <c r="P5" s="3">
        <f>_xlfn.XLOOKUP(P$1,generator!$B$2:$B$295,generator!$K$2:$K$295,"ARGH")</f>
        <v>0</v>
      </c>
      <c r="Q5" s="3">
        <f>_xlfn.XLOOKUP(Q$1,generator!$B$2:$B$295,generator!$K$2:$K$295,"ARGH")</f>
        <v>0</v>
      </c>
      <c r="R5" s="3">
        <f>_xlfn.XLOOKUP(R$1,generator!$B$2:$B$295,generator!$K$2:$K$295,"ARGH")</f>
        <v>0</v>
      </c>
      <c r="S5" s="3">
        <f>_xlfn.XLOOKUP(S$1,generator!$B$2:$B$295,generator!$K$2:$K$295,"ARGH")</f>
        <v>0</v>
      </c>
      <c r="T5" s="3">
        <f>_xlfn.XLOOKUP(T$1,generator!$B$2:$B$295,generator!$K$2:$K$295,"ARGH")</f>
        <v>0</v>
      </c>
      <c r="U5" s="3">
        <f>_xlfn.XLOOKUP(U$1,generator!$B$2:$B$295,generator!$K$2:$K$295,"ARGH")</f>
        <v>0</v>
      </c>
      <c r="V5" s="3">
        <f>_xlfn.XLOOKUP(V$1,generator!$B$2:$B$295,generator!$K$2:$K$295,"ARGH")</f>
        <v>0</v>
      </c>
      <c r="W5" s="3">
        <f>_xlfn.XLOOKUP(W$1,generator!$B$2:$B$295,generator!$K$2:$K$295,"ARGH")</f>
        <v>0</v>
      </c>
      <c r="X5" s="3">
        <f>_xlfn.XLOOKUP(X$1,generator!$B$2:$B$295,generator!$K$2:$K$295,"ARGH")</f>
        <v>0</v>
      </c>
      <c r="Y5" s="3">
        <f>_xlfn.XLOOKUP(Y$1,generator!$B$2:$B$295,generator!$K$2:$K$295,"ARGH")</f>
        <v>0</v>
      </c>
      <c r="Z5" s="3">
        <f>_xlfn.XLOOKUP(Z$1,generator!$B$2:$B$295,generator!$K$2:$K$295,"ARGH")</f>
        <v>0</v>
      </c>
      <c r="AA5" s="3">
        <f>_xlfn.XLOOKUP(AA$1,generator!$B$2:$B$295,generator!$K$2:$K$295,"ARGH")</f>
        <v>0</v>
      </c>
      <c r="AB5" s="3">
        <f>_xlfn.XLOOKUP(AB$1,generator!$B$2:$B$295,generator!$K$2:$K$295,"ARGH")</f>
        <v>0</v>
      </c>
      <c r="AC5" s="3">
        <f>_xlfn.XLOOKUP(AC$1,generator!$B$2:$B$295,generator!$K$2:$K$295,"ARGH")</f>
        <v>0</v>
      </c>
      <c r="AD5" s="3">
        <f>_xlfn.XLOOKUP(AD$1,generator!$B$2:$B$295,generator!$K$2:$K$295,"ARGH")</f>
        <v>0</v>
      </c>
      <c r="AE5" s="3">
        <f>_xlfn.XLOOKUP(AE$1,generator!$B$2:$B$295,generator!$K$2:$K$295,"ARGH")</f>
        <v>0</v>
      </c>
      <c r="AF5" s="3">
        <f>_xlfn.XLOOKUP(AF$1,generator!$B$2:$B$295,generator!$K$2:$K$295,"ARGH")</f>
        <v>0</v>
      </c>
      <c r="AG5" s="3">
        <f>_xlfn.XLOOKUP(AG$1,generator!$B$2:$B$295,generator!$K$2:$K$295,"ARGH")</f>
        <v>0</v>
      </c>
      <c r="AH5" s="3">
        <f>_xlfn.XLOOKUP(AH$1,generator!$B$2:$B$295,generator!$K$2:$K$295,"ARGH")</f>
        <v>0</v>
      </c>
      <c r="AI5" s="3">
        <f>_xlfn.XLOOKUP(AI$1,generator!$B$2:$B$295,generator!$K$2:$K$295,"ARGH")</f>
        <v>0</v>
      </c>
      <c r="AJ5" s="3">
        <f>_xlfn.XLOOKUP(AJ$1,generator!$B$2:$B$295,generator!$K$2:$K$295,"ARGH")</f>
        <v>0</v>
      </c>
      <c r="AK5" s="3">
        <f>_xlfn.XLOOKUP(AK$1,generator!$B$2:$B$295,generator!$K$2:$K$295,"ARGH")</f>
        <v>0</v>
      </c>
      <c r="AL5" s="3">
        <f>_xlfn.XLOOKUP(AL$1,generator!$B$2:$B$295,generator!$K$2:$K$295,"ARGH")</f>
        <v>0</v>
      </c>
      <c r="AM5" s="3">
        <f>_xlfn.XLOOKUP(AM$1,generator!$B$2:$B$295,generator!$K$2:$K$295,"ARGH")</f>
        <v>0</v>
      </c>
      <c r="AN5" s="3">
        <f>_xlfn.XLOOKUP(AN$1,generator!$B$2:$B$295,generator!$K$2:$K$295,"ARGH")</f>
        <v>0</v>
      </c>
      <c r="AO5" s="3">
        <f>_xlfn.XLOOKUP(AO$1,generator!$B$2:$B$295,generator!$K$2:$K$295,"ARGH")</f>
        <v>0</v>
      </c>
      <c r="AP5" s="3">
        <f>_xlfn.XLOOKUP(AP$1,generator!$B$2:$B$295,generator!$K$2:$K$295,"ARGH")</f>
        <v>0</v>
      </c>
      <c r="AQ5" s="3">
        <f>_xlfn.XLOOKUP(AQ$1,generator!$B$2:$B$295,generator!$K$2:$K$295,"ARGH")</f>
        <v>0</v>
      </c>
      <c r="AR5" s="3">
        <f>_xlfn.XLOOKUP(AR$1,generator!$B$2:$B$295,generator!$K$2:$K$295,"ARGH")</f>
        <v>0</v>
      </c>
      <c r="AS5" s="3">
        <f>_xlfn.XLOOKUP(AS$1,generator!$B$2:$B$295,generator!$K$2:$K$295,"ARGH")</f>
        <v>0</v>
      </c>
      <c r="AT5" s="3">
        <f>_xlfn.XLOOKUP(AT$1,generator!$B$2:$B$295,generator!$K$2:$K$295,"ARGH")</f>
        <v>0</v>
      </c>
      <c r="AU5" s="3">
        <f>_xlfn.XLOOKUP(AU$1,generator!$B$2:$B$295,generator!$K$2:$K$295,"ARGH")</f>
        <v>0</v>
      </c>
      <c r="AV5" s="3">
        <f>_xlfn.XLOOKUP(AV$1,generator!$B$2:$B$295,generator!$K$2:$K$295,"ARGH")</f>
        <v>0</v>
      </c>
      <c r="AW5" s="3">
        <f>_xlfn.XLOOKUP(AW$1,generator!$B$2:$B$295,generator!$K$2:$K$295,"ARGH")</f>
        <v>0</v>
      </c>
      <c r="AX5" s="3">
        <f>_xlfn.XLOOKUP(AX$1,generator!$B$2:$B$295,generator!$K$2:$K$295,"ARGH")</f>
        <v>0</v>
      </c>
      <c r="AY5" s="3">
        <f>_xlfn.XLOOKUP(AY$1,generator!$B$2:$B$295,generator!$K$2:$K$295,"ARGH")</f>
        <v>0</v>
      </c>
      <c r="AZ5" s="3">
        <f>_xlfn.XLOOKUP(AZ$1,generator!$B$2:$B$295,generator!$K$2:$K$295,"ARGH")</f>
        <v>0</v>
      </c>
      <c r="BA5" s="3">
        <f>_xlfn.XLOOKUP(BA$1,generator!$B$2:$B$295,generator!$K$2:$K$295,"ARGH")</f>
        <v>0</v>
      </c>
      <c r="BB5" s="3">
        <f>_xlfn.XLOOKUP(BB$1,generator!$B$2:$B$295,generator!$K$2:$K$295,"ARGH")</f>
        <v>0</v>
      </c>
      <c r="BC5" s="3">
        <f>_xlfn.XLOOKUP(BC$1,generator!$B$2:$B$295,generator!$K$2:$K$295,"ARGH")</f>
        <v>0</v>
      </c>
      <c r="BD5" s="3">
        <f>_xlfn.XLOOKUP(BD$1,generator!$B$2:$B$295,generator!$K$2:$K$295,"ARGH")</f>
        <v>0</v>
      </c>
      <c r="BE5" s="3">
        <f>_xlfn.XLOOKUP(BE$1,generator!$B$2:$B$295,generator!$K$2:$K$295,"ARGH")</f>
        <v>0</v>
      </c>
      <c r="BF5" s="3">
        <f>_xlfn.XLOOKUP(BF$1,generator!$B$2:$B$295,generator!$K$2:$K$295,"ARGH")</f>
        <v>0</v>
      </c>
      <c r="BG5" s="3">
        <f>_xlfn.XLOOKUP(BG$1,generator!$B$2:$B$295,generator!$K$2:$K$295,"ARGH")</f>
        <v>0</v>
      </c>
      <c r="BH5" s="3">
        <f>_xlfn.XLOOKUP(BH$1,generator!$B$2:$B$295,generator!$K$2:$K$295,"ARGH")</f>
        <v>0</v>
      </c>
      <c r="BI5" s="3">
        <f>_xlfn.XLOOKUP(BI$1,generator!$B$2:$B$295,generator!$K$2:$K$295,"ARGH")</f>
        <v>0</v>
      </c>
      <c r="BJ5" s="3">
        <f>_xlfn.XLOOKUP(BJ$1,generator!$B$2:$B$295,generator!$K$2:$K$295,"ARGH")</f>
        <v>0</v>
      </c>
      <c r="BK5" s="3">
        <f>_xlfn.XLOOKUP(BK$1,generator!$B$2:$B$295,generator!$K$2:$K$295,"ARGH")</f>
        <v>0</v>
      </c>
      <c r="BL5" s="3">
        <f>_xlfn.XLOOKUP(BL$1,generator!$B$2:$B$295,generator!$K$2:$K$295,"ARGH")</f>
        <v>0</v>
      </c>
      <c r="BM5" s="3">
        <f>_xlfn.XLOOKUP(BM$1,generator!$B$2:$B$295,generator!$K$2:$K$295,"ARGH")</f>
        <v>0</v>
      </c>
      <c r="BN5" s="3">
        <f>_xlfn.XLOOKUP(BN$1,generator!$B$2:$B$295,generator!$K$2:$K$295,"ARGH")</f>
        <v>0</v>
      </c>
      <c r="BO5" s="3">
        <f>_xlfn.XLOOKUP(BO$1,generator!$B$2:$B$295,generator!$K$2:$K$295,"ARGH")</f>
        <v>0</v>
      </c>
      <c r="BP5" s="3">
        <f>_xlfn.XLOOKUP(BP$1,generator!$B$2:$B$295,generator!$K$2:$K$295,"ARGH")</f>
        <v>0</v>
      </c>
      <c r="BQ5" s="3">
        <f>_xlfn.XLOOKUP(BQ$1,generator!$B$2:$B$295,generator!$K$2:$K$295,"ARGH")</f>
        <v>0</v>
      </c>
      <c r="BR5" s="3">
        <f>_xlfn.XLOOKUP(BR$1,generator!$B$2:$B$295,generator!$K$2:$K$295,"ARGH")</f>
        <v>0</v>
      </c>
      <c r="BS5" s="3">
        <f>_xlfn.XLOOKUP(BS$1,generator!$B$2:$B$295,generator!$K$2:$K$295,"ARGH")</f>
        <v>0</v>
      </c>
      <c r="BT5" s="3">
        <f>_xlfn.XLOOKUP(BT$1,generator!$B$2:$B$295,generator!$K$2:$K$295,"ARGH")</f>
        <v>0</v>
      </c>
      <c r="BU5" s="3">
        <f>_xlfn.XLOOKUP(BU$1,generator!$B$2:$B$295,generator!$K$2:$K$295,"ARGH")</f>
        <v>0</v>
      </c>
      <c r="BV5" s="3">
        <f>_xlfn.XLOOKUP(BV$1,generator!$B$2:$B$295,generator!$K$2:$K$295,"ARGH")</f>
        <v>0</v>
      </c>
      <c r="BW5" s="3">
        <f>_xlfn.XLOOKUP(BW$1,generator!$B$2:$B$295,generator!$K$2:$K$295,"ARGH")</f>
        <v>0</v>
      </c>
      <c r="BX5" s="3">
        <f>_xlfn.XLOOKUP(BX$1,generator!$B$2:$B$295,generator!$K$2:$K$295,"ARGH")</f>
        <v>0</v>
      </c>
      <c r="BY5" s="3">
        <f>_xlfn.XLOOKUP(BY$1,generator!$B$2:$B$295,generator!$K$2:$K$295,"ARGH")</f>
        <v>0</v>
      </c>
      <c r="BZ5" s="3">
        <f>_xlfn.XLOOKUP(BZ$1,generator!$B$2:$B$295,generator!$K$2:$K$295,"ARGH")</f>
        <v>0</v>
      </c>
      <c r="CA5" s="3">
        <f>_xlfn.XLOOKUP(CA$1,generator!$B$2:$B$295,generator!$K$2:$K$295,"ARGH")</f>
        <v>0</v>
      </c>
      <c r="CB5" s="3">
        <f>_xlfn.XLOOKUP(CB$1,generator!$B$2:$B$295,generator!$K$2:$K$295,"ARGH")</f>
        <v>0</v>
      </c>
      <c r="CC5" s="3">
        <f>_xlfn.XLOOKUP(CC$1,generator!$B$2:$B$295,generator!$K$2:$K$295,"ARGH")</f>
        <v>0</v>
      </c>
      <c r="CD5" s="3">
        <f>_xlfn.XLOOKUP(CD$1,generator!$B$2:$B$295,generator!$K$2:$K$295,"ARGH")</f>
        <v>0</v>
      </c>
      <c r="CE5" s="3">
        <f>_xlfn.XLOOKUP(CE$1,generator!$B$2:$B$295,generator!$K$2:$K$295,"ARGH")</f>
        <v>0</v>
      </c>
      <c r="CF5" s="3">
        <f>_xlfn.XLOOKUP(CF$1,generator!$B$2:$B$295,generator!$K$2:$K$295,"ARGH")</f>
        <v>0</v>
      </c>
      <c r="CG5" s="3">
        <f>_xlfn.XLOOKUP(CG$1,generator!$B$2:$B$295,generator!$K$2:$K$295,"ARGH")</f>
        <v>0</v>
      </c>
      <c r="CH5" s="3">
        <f>_xlfn.XLOOKUP(CH$1,generator!$B$2:$B$295,generator!$K$2:$K$295,"ARGH")</f>
        <v>0</v>
      </c>
      <c r="CI5" s="3">
        <f>_xlfn.XLOOKUP(CI$1,generator!$B$2:$B$295,generator!$K$2:$K$295,"ARGH")</f>
        <v>0</v>
      </c>
      <c r="CJ5" s="3">
        <f>_xlfn.XLOOKUP(CJ$1,generator!$B$2:$B$295,generator!$K$2:$K$295,"ARGH")</f>
        <v>0</v>
      </c>
      <c r="CK5" s="3">
        <f>_xlfn.XLOOKUP(CK$1,generator!$B$2:$B$295,generator!$K$2:$K$295,"ARGH")</f>
        <v>0</v>
      </c>
      <c r="CL5" s="3">
        <f>_xlfn.XLOOKUP(CL$1,generator!$B$2:$B$295,generator!$K$2:$K$295,"ARGH")</f>
        <v>0</v>
      </c>
      <c r="CM5" s="3">
        <f>_xlfn.XLOOKUP(CM$1,generator!$B$2:$B$295,generator!$K$2:$K$295,"ARGH")</f>
        <v>0</v>
      </c>
      <c r="CN5" s="3">
        <f>_xlfn.XLOOKUP(CN$1,generator!$B$2:$B$295,generator!$K$2:$K$295,"ARGH")</f>
        <v>0</v>
      </c>
      <c r="CO5" s="3">
        <f>_xlfn.XLOOKUP(CO$1,generator!$B$2:$B$295,generator!$K$2:$K$295,"ARGH")</f>
        <v>0</v>
      </c>
      <c r="CP5" s="3">
        <f>_xlfn.XLOOKUP(CP$1,generator!$B$2:$B$295,generator!$K$2:$K$295,"ARGH")</f>
        <v>0</v>
      </c>
      <c r="CQ5" s="3">
        <f>_xlfn.XLOOKUP(CQ$1,generator!$B$2:$B$295,generator!$K$2:$K$295,"ARGH")</f>
        <v>0</v>
      </c>
      <c r="CR5" s="3">
        <f>_xlfn.XLOOKUP(CR$1,generator!$B$2:$B$295,generator!$K$2:$K$295,"ARGH")</f>
        <v>0</v>
      </c>
      <c r="CS5" s="3">
        <f>_xlfn.XLOOKUP(CS$1,generator!$B$2:$B$295,generator!$K$2:$K$295,"ARGH")</f>
        <v>0</v>
      </c>
      <c r="CT5" s="3">
        <f>_xlfn.XLOOKUP(CT$1,generator!$B$2:$B$295,generator!$K$2:$K$295,"ARGH")</f>
        <v>0</v>
      </c>
      <c r="CU5" s="3">
        <f>_xlfn.XLOOKUP(CU$1,generator!$B$2:$B$295,generator!$K$2:$K$295,"ARGH")</f>
        <v>0</v>
      </c>
      <c r="CV5" s="3">
        <f>_xlfn.XLOOKUP(CV$1,generator!$B$2:$B$295,generator!$K$2:$K$295,"ARGH")</f>
        <v>0</v>
      </c>
      <c r="CW5" s="3">
        <f>_xlfn.XLOOKUP(CW$1,generator!$B$2:$B$295,generator!$K$2:$K$295,"ARGH")</f>
        <v>0</v>
      </c>
      <c r="CX5" s="3">
        <f>_xlfn.XLOOKUP(CX$1,generator!$B$2:$B$295,generator!$K$2:$K$295,"ARGH")</f>
        <v>0</v>
      </c>
      <c r="CY5" s="3">
        <f>_xlfn.XLOOKUP(CY$1,generator!$B$2:$B$295,generator!$K$2:$K$295,"ARGH")</f>
        <v>0</v>
      </c>
      <c r="CZ5" s="3">
        <f>_xlfn.XLOOKUP(CZ$1,generator!$B$2:$B$295,generator!$K$2:$K$295,"ARGH")</f>
        <v>0</v>
      </c>
      <c r="DA5" s="3">
        <f>_xlfn.XLOOKUP(DA$1,generator!$B$2:$B$295,generator!$K$2:$K$295,"ARGH")</f>
        <v>0</v>
      </c>
      <c r="DB5" s="3">
        <f>_xlfn.XLOOKUP(DB$1,generator!$B$2:$B$295,generator!$K$2:$K$295,"ARGH")</f>
        <v>0</v>
      </c>
      <c r="DC5" s="3">
        <f>_xlfn.XLOOKUP(DC$1,generator!$B$2:$B$295,generator!$K$2:$K$295,"ARGH")</f>
        <v>0</v>
      </c>
      <c r="DD5" s="3">
        <f>_xlfn.XLOOKUP(DD$1,generator!$B$2:$B$295,generator!$K$2:$K$295,"ARGH")</f>
        <v>0</v>
      </c>
      <c r="DE5" s="3">
        <f>_xlfn.XLOOKUP(DE$1,generator!$B$2:$B$295,generator!$K$2:$K$295,"ARGH")</f>
        <v>0</v>
      </c>
      <c r="DF5" s="3">
        <f>_xlfn.XLOOKUP(DF$1,generator!$B$2:$B$295,generator!$K$2:$K$295,"ARGH")</f>
        <v>0</v>
      </c>
      <c r="DG5" s="3">
        <f>_xlfn.XLOOKUP(DG$1,generator!$B$2:$B$295,generator!$K$2:$K$295,"ARGH")</f>
        <v>0</v>
      </c>
      <c r="DH5" s="3">
        <f>_xlfn.XLOOKUP(DH$1,generator!$B$2:$B$295,generator!$K$2:$K$295,"ARGH")</f>
        <v>0</v>
      </c>
      <c r="DI5" s="3">
        <f>_xlfn.XLOOKUP(DI$1,generator!$B$2:$B$295,generator!$K$2:$K$295,"ARGH")</f>
        <v>0</v>
      </c>
      <c r="DJ5" s="3">
        <f>_xlfn.XLOOKUP(DJ$1,generator!$B$2:$B$295,generator!$K$2:$K$295,"ARGH")</f>
        <v>0</v>
      </c>
      <c r="DK5" s="3">
        <f>_xlfn.XLOOKUP(DK$1,generator!$B$2:$B$295,generator!$K$2:$K$295,"ARGH")</f>
        <v>0</v>
      </c>
      <c r="DL5" s="3">
        <f>_xlfn.XLOOKUP(DL$1,generator!$B$2:$B$295,generator!$K$2:$K$295,"ARGH")</f>
        <v>0</v>
      </c>
      <c r="DM5" s="3">
        <f>_xlfn.XLOOKUP(DM$1,generator!$B$2:$B$295,generator!$K$2:$K$295,"ARGH")</f>
        <v>0</v>
      </c>
      <c r="DN5" s="3">
        <f>_xlfn.XLOOKUP(DN$1,generator!$B$2:$B$295,generator!$K$2:$K$295,"ARGH")</f>
        <v>0</v>
      </c>
      <c r="DO5" s="3">
        <f>_xlfn.XLOOKUP(DO$1,generator!$B$2:$B$295,generator!$K$2:$K$295,"ARGH")</f>
        <v>0</v>
      </c>
      <c r="DP5" s="3">
        <f>_xlfn.XLOOKUP(DP$1,generator!$B$2:$B$295,generator!$K$2:$K$295,"ARGH")</f>
        <v>0</v>
      </c>
      <c r="DQ5" s="3">
        <f>_xlfn.XLOOKUP(DQ$1,generator!$B$2:$B$295,generator!$K$2:$K$295,"ARGH")</f>
        <v>0</v>
      </c>
      <c r="DR5" s="3">
        <f>_xlfn.XLOOKUP(DR$1,generator!$B$2:$B$295,generator!$K$2:$K$295,"ARGH")</f>
        <v>0</v>
      </c>
      <c r="DS5" s="3">
        <f>_xlfn.XLOOKUP(DS$1,generator!$B$2:$B$295,generator!$K$2:$K$295,"ARGH")</f>
        <v>0</v>
      </c>
      <c r="DT5" s="3">
        <f>_xlfn.XLOOKUP(DT$1,generator!$B$2:$B$295,generator!$K$2:$K$295,"ARGH")</f>
        <v>0</v>
      </c>
      <c r="DU5" s="3">
        <f>_xlfn.XLOOKUP(DU$1,generator!$B$2:$B$295,generator!$K$2:$K$295,"ARGH")</f>
        <v>0</v>
      </c>
      <c r="DV5" s="3">
        <f>_xlfn.XLOOKUP(DV$1,generator!$B$2:$B$295,generator!$K$2:$K$295,"ARGH")</f>
        <v>0</v>
      </c>
      <c r="DW5" s="3">
        <f>_xlfn.XLOOKUP(DW$1,generator!$B$2:$B$295,generator!$K$2:$K$295,"ARGH")</f>
        <v>0</v>
      </c>
      <c r="DX5" s="3">
        <f>_xlfn.XLOOKUP(DX$1,generator!$B$2:$B$295,generator!$K$2:$K$295,"ARGH")</f>
        <v>0</v>
      </c>
      <c r="DY5" s="3">
        <f>_xlfn.XLOOKUP(DY$1,generator!$B$2:$B$295,generator!$K$2:$K$295,"ARGH")</f>
        <v>0</v>
      </c>
      <c r="DZ5" s="3">
        <f>_xlfn.XLOOKUP(DZ$1,generator!$B$2:$B$295,generator!$K$2:$K$295,"ARGH")</f>
        <v>0</v>
      </c>
      <c r="EA5" s="3">
        <f>_xlfn.XLOOKUP(EA$1,generator!$B$2:$B$295,generator!$K$2:$K$295,"ARGH")</f>
        <v>0</v>
      </c>
      <c r="EB5" s="3">
        <f>_xlfn.XLOOKUP(EB$1,generator!$B$2:$B$295,generator!$K$2:$K$295,"ARGH")</f>
        <v>0</v>
      </c>
      <c r="EC5" s="3">
        <f>_xlfn.XLOOKUP(EC$1,generator!$B$2:$B$295,generator!$K$2:$K$295,"ARGH")</f>
        <v>0</v>
      </c>
      <c r="ED5" s="3">
        <f>_xlfn.XLOOKUP(ED$1,generator!$B$2:$B$295,generator!$K$2:$K$295,"ARGH")</f>
        <v>0</v>
      </c>
      <c r="EE5" s="3">
        <f>_xlfn.XLOOKUP(EE$1,generator!$B$2:$B$295,generator!$K$2:$K$295,"ARGH")</f>
        <v>0</v>
      </c>
      <c r="EF5" s="3">
        <f>_xlfn.XLOOKUP(EF$1,generator!$B$2:$B$295,generator!$K$2:$K$295,"ARGH")</f>
        <v>0</v>
      </c>
      <c r="EG5" s="3">
        <f>_xlfn.XLOOKUP(EG$1,generator!$B$2:$B$295,generator!$K$2:$K$295,"ARGH")</f>
        <v>0</v>
      </c>
      <c r="EH5" s="3">
        <f>_xlfn.XLOOKUP(EH$1,generator!$B$2:$B$295,generator!$K$2:$K$295,"ARGH")</f>
        <v>0</v>
      </c>
      <c r="EI5" s="3">
        <f>_xlfn.XLOOKUP(EI$1,generator!$B$2:$B$295,generator!$K$2:$K$295,"ARGH")</f>
        <v>0</v>
      </c>
      <c r="EJ5" s="3">
        <f>_xlfn.XLOOKUP(EJ$1,generator!$B$2:$B$295,generator!$K$2:$K$295,"ARGH")</f>
        <v>0</v>
      </c>
      <c r="EK5" s="3">
        <f>_xlfn.XLOOKUP(EK$1,generator!$B$2:$B$295,generator!$K$2:$K$295,"ARGH")</f>
        <v>0</v>
      </c>
      <c r="EL5" s="3">
        <f>_xlfn.XLOOKUP(EL$1,generator!$B$2:$B$295,generator!$K$2:$K$295,"ARGH")</f>
        <v>0</v>
      </c>
      <c r="EM5" s="3">
        <f>_xlfn.XLOOKUP(EM$1,generator!$B$2:$B$295,generator!$K$2:$K$295,"ARGH")</f>
        <v>0</v>
      </c>
      <c r="EN5" s="3">
        <f>_xlfn.XLOOKUP(EN$1,generator!$B$2:$B$295,generator!$K$2:$K$295,"ARGH")</f>
        <v>0</v>
      </c>
      <c r="EO5" s="3">
        <f>_xlfn.XLOOKUP(EO$1,generator!$B$2:$B$295,generator!$K$2:$K$295,"ARGH")</f>
        <v>0</v>
      </c>
      <c r="EP5" s="3">
        <f>_xlfn.XLOOKUP(EP$1,generator!$B$2:$B$295,generator!$K$2:$K$295,"ARGH")</f>
        <v>0</v>
      </c>
      <c r="EQ5" s="3">
        <f>_xlfn.XLOOKUP(EQ$1,generator!$B$2:$B$295,generator!$K$2:$K$295,"ARGH")</f>
        <v>0</v>
      </c>
      <c r="ER5" s="3">
        <f>_xlfn.XLOOKUP(ER$1,generator!$B$2:$B$295,generator!$K$2:$K$295,"ARGH")</f>
        <v>0</v>
      </c>
      <c r="ES5" s="3">
        <f>_xlfn.XLOOKUP(ES$1,generator!$B$2:$B$295,generator!$K$2:$K$295,"ARGH")</f>
        <v>0</v>
      </c>
      <c r="ET5" s="3">
        <f>_xlfn.XLOOKUP(ET$1,generator!$B$2:$B$295,generator!$K$2:$K$295,"ARGH")</f>
        <v>0</v>
      </c>
      <c r="EU5" s="3">
        <f>_xlfn.XLOOKUP(EU$1,generator!$B$2:$B$295,generator!$K$2:$K$295,"ARGH")</f>
        <v>0</v>
      </c>
      <c r="EV5" s="3">
        <f>_xlfn.XLOOKUP(EV$1,generator!$B$2:$B$295,generator!$K$2:$K$295,"ARGH")</f>
        <v>0</v>
      </c>
      <c r="EW5" s="3">
        <f>_xlfn.XLOOKUP(EW$1,generator!$B$2:$B$295,generator!$K$2:$K$295,"ARGH")</f>
        <v>0</v>
      </c>
      <c r="EX5" s="3">
        <f>_xlfn.XLOOKUP(EX$1,generator!$B$2:$B$295,generator!$K$2:$K$295,"ARGH")</f>
        <v>0</v>
      </c>
      <c r="EY5" s="3">
        <f>_xlfn.XLOOKUP(EY$1,generator!$B$2:$B$295,generator!$K$2:$K$295,"ARGH")</f>
        <v>0</v>
      </c>
      <c r="EZ5" s="3">
        <f>_xlfn.XLOOKUP(EZ$1,generator!$B$2:$B$295,generator!$K$2:$K$295,"ARGH")</f>
        <v>0</v>
      </c>
      <c r="FA5" s="3">
        <f>_xlfn.XLOOKUP(FA$1,generator!$B$2:$B$295,generator!$K$2:$K$295,"ARGH")</f>
        <v>0</v>
      </c>
      <c r="FB5" s="3">
        <f>_xlfn.XLOOKUP(FB$1,generator!$B$2:$B$295,generator!$K$2:$K$295,"ARGH")</f>
        <v>0</v>
      </c>
      <c r="FC5" s="3">
        <f>_xlfn.XLOOKUP(FC$1,generator!$B$2:$B$295,generator!$K$2:$K$295,"ARGH")</f>
        <v>0</v>
      </c>
      <c r="FD5" s="3">
        <f>_xlfn.XLOOKUP(FD$1,generator!$B$2:$B$295,generator!$K$2:$K$295,"ARGH")</f>
        <v>0</v>
      </c>
      <c r="FE5" s="3">
        <f>_xlfn.XLOOKUP(FE$1,generator!$B$2:$B$295,generator!$K$2:$K$295,"ARGH")</f>
        <v>0</v>
      </c>
      <c r="FF5" s="3">
        <f>_xlfn.XLOOKUP(FF$1,generator!$B$2:$B$295,generator!$K$2:$K$295,"ARGH")</f>
        <v>0</v>
      </c>
      <c r="FG5" s="3">
        <f>_xlfn.XLOOKUP(FG$1,generator!$B$2:$B$295,generator!$K$2:$K$295,"ARGH")</f>
        <v>0</v>
      </c>
      <c r="FH5" s="3">
        <f>_xlfn.XLOOKUP(FH$1,generator!$B$2:$B$295,generator!$K$2:$K$295,"ARGH")</f>
        <v>0</v>
      </c>
      <c r="FI5" s="3">
        <f>_xlfn.XLOOKUP(FI$1,generator!$B$2:$B$295,generator!$K$2:$K$295,"ARGH")</f>
        <v>0</v>
      </c>
      <c r="FJ5" s="3">
        <f>_xlfn.XLOOKUP(FJ$1,generator!$B$2:$B$295,generator!$K$2:$K$295,"ARGH")</f>
        <v>0</v>
      </c>
      <c r="FK5" s="3">
        <f>_xlfn.XLOOKUP(FK$1,generator!$B$2:$B$295,generator!$K$2:$K$295,"ARGH")</f>
        <v>0</v>
      </c>
      <c r="FL5" s="3">
        <f>_xlfn.XLOOKUP(FL$1,generator!$B$2:$B$295,generator!$K$2:$K$295,"ARGH")</f>
        <v>0</v>
      </c>
      <c r="FM5" s="3">
        <f>_xlfn.XLOOKUP(FM$1,generator!$B$2:$B$295,generator!$K$2:$K$295,"ARGH")</f>
        <v>0</v>
      </c>
      <c r="FN5" s="3">
        <f>_xlfn.XLOOKUP(FN$1,generator!$B$2:$B$295,generator!$K$2:$K$295,"ARGH")</f>
        <v>0</v>
      </c>
      <c r="FO5" s="3">
        <f>_xlfn.XLOOKUP(FO$1,generator!$B$2:$B$295,generator!$K$2:$K$295,"ARGH")</f>
        <v>0</v>
      </c>
      <c r="FP5" s="3">
        <f>_xlfn.XLOOKUP(FP$1,generator!$B$2:$B$295,generator!$K$2:$K$295,"ARGH")</f>
        <v>0</v>
      </c>
      <c r="FQ5" s="3">
        <f>_xlfn.XLOOKUP(FQ$1,generator!$B$2:$B$295,generator!$K$2:$K$295,"ARGH")</f>
        <v>0</v>
      </c>
      <c r="FR5" s="3">
        <f>_xlfn.XLOOKUP(FR$1,generator!$B$2:$B$295,generator!$K$2:$K$295,"ARGH")</f>
        <v>0</v>
      </c>
      <c r="FS5" s="3">
        <f>_xlfn.XLOOKUP(FS$1,generator!$B$2:$B$295,generator!$K$2:$K$295,"ARGH")</f>
        <v>0</v>
      </c>
      <c r="FT5" s="3">
        <f>_xlfn.XLOOKUP(FT$1,generator!$B$2:$B$295,generator!$K$2:$K$295,"ARGH")</f>
        <v>0</v>
      </c>
      <c r="FU5" s="3">
        <f>_xlfn.XLOOKUP(FU$1,generator!$B$2:$B$295,generator!$K$2:$K$295,"ARGH")</f>
        <v>0</v>
      </c>
      <c r="FV5" s="3">
        <f>_xlfn.XLOOKUP(FV$1,generator!$B$2:$B$295,generator!$K$2:$K$295,"ARGH")</f>
        <v>0</v>
      </c>
      <c r="FW5" s="3">
        <f>_xlfn.XLOOKUP(FW$1,generator!$B$2:$B$295,generator!$K$2:$K$295,"ARGH")</f>
        <v>0</v>
      </c>
      <c r="FX5" s="3">
        <f>_xlfn.XLOOKUP(FX$1,generator!$B$2:$B$295,generator!$K$2:$K$295,"ARGH")</f>
        <v>0</v>
      </c>
      <c r="FY5" s="3">
        <f>_xlfn.XLOOKUP(FY$1,generator!$B$2:$B$295,generator!$K$2:$K$295,"ARGH")</f>
        <v>0</v>
      </c>
      <c r="FZ5" s="3">
        <f>_xlfn.XLOOKUP(FZ$1,generator!$B$2:$B$295,generator!$K$2:$K$295,"ARGH")</f>
        <v>0</v>
      </c>
      <c r="GA5" s="3">
        <f>_xlfn.XLOOKUP(GA$1,generator!$B$2:$B$295,generator!$K$2:$K$295,"ARGH")</f>
        <v>0</v>
      </c>
      <c r="GB5" s="3">
        <f>_xlfn.XLOOKUP(GB$1,generator!$B$2:$B$295,generator!$K$2:$K$295,"ARGH")</f>
        <v>0</v>
      </c>
      <c r="GC5" s="3">
        <f>_xlfn.XLOOKUP(GC$1,generator!$B$2:$B$295,generator!$K$2:$K$295,"ARGH")</f>
        <v>0</v>
      </c>
      <c r="GD5" s="3">
        <f>_xlfn.XLOOKUP(GD$1,generator!$B$2:$B$295,generator!$K$2:$K$295,"ARGH")</f>
        <v>0</v>
      </c>
      <c r="GE5" s="3">
        <f>_xlfn.XLOOKUP(GE$1,generator!$B$2:$B$295,generator!$K$2:$K$295,"ARGH")</f>
        <v>0</v>
      </c>
      <c r="GF5" s="3">
        <f>_xlfn.XLOOKUP(GF$1,generator!$B$2:$B$295,generator!$K$2:$K$295,"ARGH")</f>
        <v>0</v>
      </c>
      <c r="GG5" s="3">
        <f>_xlfn.XLOOKUP(GG$1,generator!$B$2:$B$295,generator!$K$2:$K$295,"ARGH")</f>
        <v>0</v>
      </c>
      <c r="GH5" s="3">
        <f>_xlfn.XLOOKUP(GH$1,generator!$B$2:$B$295,generator!$K$2:$K$295,"ARGH")</f>
        <v>0</v>
      </c>
      <c r="GI5" s="3">
        <f>_xlfn.XLOOKUP(GI$1,generator!$B$2:$B$295,generator!$K$2:$K$295,"ARGH")</f>
        <v>0</v>
      </c>
      <c r="GJ5" s="3">
        <f>_xlfn.XLOOKUP(GJ$1,generator!$B$2:$B$295,generator!$K$2:$K$295,"ARGH")</f>
        <v>0</v>
      </c>
      <c r="GK5" s="3">
        <f>_xlfn.XLOOKUP(GK$1,generator!$B$2:$B$295,generator!$K$2:$K$295,"ARGH")</f>
        <v>0</v>
      </c>
      <c r="GL5" s="3">
        <f>_xlfn.XLOOKUP(GL$1,generator!$B$2:$B$295,generator!$K$2:$K$295,"ARGH")</f>
        <v>0</v>
      </c>
      <c r="GM5" s="3">
        <f>_xlfn.XLOOKUP(GM$1,generator!$B$2:$B$295,generator!$K$2:$K$295,"ARGH")</f>
        <v>0</v>
      </c>
      <c r="GN5" s="3">
        <f>_xlfn.XLOOKUP(GN$1,generator!$B$2:$B$295,generator!$K$2:$K$295,"ARGH")</f>
        <v>0</v>
      </c>
      <c r="GO5" s="3">
        <f>_xlfn.XLOOKUP(GO$1,generator!$B$2:$B$295,generator!$K$2:$K$295,"ARGH")</f>
        <v>0</v>
      </c>
      <c r="GP5" s="3">
        <f>_xlfn.XLOOKUP(GP$1,generator!$B$2:$B$295,generator!$K$2:$K$295,"ARGH")</f>
        <v>0</v>
      </c>
      <c r="GQ5" s="3">
        <f>_xlfn.XLOOKUP(GQ$1,generator!$B$2:$B$295,generator!$K$2:$K$295,"ARGH")</f>
        <v>0</v>
      </c>
      <c r="GR5" s="3">
        <f>_xlfn.XLOOKUP(GR$1,generator!$B$2:$B$295,generator!$K$2:$K$295,"ARGH")</f>
        <v>0</v>
      </c>
      <c r="GS5" s="3">
        <f>_xlfn.XLOOKUP(GS$1,generator!$B$2:$B$295,generator!$K$2:$K$295,"ARGH")</f>
        <v>0</v>
      </c>
      <c r="GT5" s="3">
        <f>_xlfn.XLOOKUP(GT$1,generator!$B$2:$B$295,generator!$K$2:$K$295,"ARGH")</f>
        <v>0</v>
      </c>
      <c r="GU5" s="3">
        <f>_xlfn.XLOOKUP(GU$1,generator!$B$2:$B$295,generator!$K$2:$K$295,"ARGH")</f>
        <v>0</v>
      </c>
      <c r="GV5" s="3">
        <f>_xlfn.XLOOKUP(GV$1,generator!$B$2:$B$295,generator!$K$2:$K$295,"ARGH")</f>
        <v>0</v>
      </c>
      <c r="GW5" s="3">
        <f>_xlfn.XLOOKUP(GW$1,generator!$B$2:$B$295,generator!$K$2:$K$295,"ARGH")</f>
        <v>0</v>
      </c>
      <c r="GX5" s="3">
        <f>_xlfn.XLOOKUP(GX$1,generator!$B$2:$B$295,generator!$K$2:$K$295,"ARGH")</f>
        <v>0</v>
      </c>
      <c r="GY5" s="3">
        <f>_xlfn.XLOOKUP(GY$1,generator!$B$2:$B$295,generator!$K$2:$K$295,"ARGH")</f>
        <v>0</v>
      </c>
      <c r="GZ5" s="3">
        <f>_xlfn.XLOOKUP(GZ$1,generator!$B$2:$B$295,generator!$K$2:$K$295,"ARGH")</f>
        <v>0</v>
      </c>
      <c r="HA5" s="3">
        <f>_xlfn.XLOOKUP(HA$1,generator!$B$2:$B$295,generator!$K$2:$K$295,"ARGH")</f>
        <v>0</v>
      </c>
      <c r="HB5" s="3">
        <f>_xlfn.XLOOKUP(HB$1,generator!$B$2:$B$295,generator!$K$2:$K$295,"ARGH")</f>
        <v>0</v>
      </c>
      <c r="HC5" s="3">
        <f>_xlfn.XLOOKUP(HC$1,generator!$B$2:$B$295,generator!$K$2:$K$295,"ARGH")</f>
        <v>0</v>
      </c>
      <c r="HD5" s="3">
        <f>_xlfn.XLOOKUP(HD$1,generator!$B$2:$B$295,generator!$K$2:$K$295,"ARGH")</f>
        <v>0</v>
      </c>
      <c r="HE5" s="3">
        <f>_xlfn.XLOOKUP(HE$1,generator!$B$2:$B$295,generator!$K$2:$K$295,"ARGH")</f>
        <v>12.74</v>
      </c>
      <c r="HF5" s="3">
        <f>_xlfn.XLOOKUP(HF$1,generator!$B$2:$B$295,generator!$K$2:$K$295,"ARGH")</f>
        <v>99</v>
      </c>
      <c r="HG5" s="3">
        <f>_xlfn.XLOOKUP(HG$1,generator!$B$2:$B$295,generator!$K$2:$K$295,"ARGH")</f>
        <v>99</v>
      </c>
      <c r="HH5" s="3">
        <f>_xlfn.XLOOKUP(HH$1,generator!$B$2:$B$295,generator!$K$2:$K$295,"ARGH")</f>
        <v>99</v>
      </c>
      <c r="HI5" s="3">
        <f>_xlfn.XLOOKUP(HI$1,generator!$B$2:$B$295,generator!$K$2:$K$295,"ARGH")</f>
        <v>8</v>
      </c>
      <c r="HJ5" s="3">
        <f>_xlfn.XLOOKUP(HJ$1,generator!$B$2:$B$295,generator!$K$2:$K$295,"ARGH")</f>
        <v>8</v>
      </c>
      <c r="HK5" s="3">
        <f>_xlfn.XLOOKUP(HK$1,generator!$B$2:$B$295,generator!$K$2:$K$295,"ARGH")</f>
        <v>8</v>
      </c>
      <c r="HL5" s="3">
        <f>_xlfn.XLOOKUP(HL$1,generator!$B$2:$B$295,generator!$K$2:$K$295,"ARGH")</f>
        <v>20</v>
      </c>
      <c r="HM5" s="3">
        <f>_xlfn.XLOOKUP(HM$1,generator!$B$2:$B$295,generator!$K$2:$K$295,"ARGH")</f>
        <v>20</v>
      </c>
      <c r="HN5" s="3">
        <f>_xlfn.XLOOKUP(HN$1,generator!$B$2:$B$295,generator!$K$2:$K$295,"ARGH")</f>
        <v>5</v>
      </c>
      <c r="HO5" s="3">
        <f>_xlfn.XLOOKUP(HO$1,generator!$B$2:$B$295,generator!$K$2:$K$295,"ARGH")</f>
        <v>5</v>
      </c>
      <c r="HP5" s="3">
        <f>_xlfn.XLOOKUP(HP$1,generator!$B$2:$B$295,generator!$K$2:$K$295,"ARGH")</f>
        <v>0.2</v>
      </c>
      <c r="HQ5" s="3">
        <f>_xlfn.XLOOKUP(HQ$1,generator!$B$2:$B$295,generator!$K$2:$K$295,"ARGH")</f>
        <v>5</v>
      </c>
      <c r="HR5" s="3">
        <f>_xlfn.XLOOKUP(HR$1,generator!$B$2:$B$295,generator!$K$2:$K$295,"ARGH")</f>
        <v>5</v>
      </c>
      <c r="HS5" s="3">
        <f>_xlfn.XLOOKUP(HS$1,generator!$B$2:$B$295,generator!$K$2:$K$295,"ARGH")</f>
        <v>12.82</v>
      </c>
      <c r="HT5" s="3">
        <f>_xlfn.XLOOKUP(HT$1,generator!$B$2:$B$295,generator!$K$2:$K$295,"ARGH")</f>
        <v>12.82</v>
      </c>
      <c r="HU5" s="3">
        <f>_xlfn.XLOOKUP(HU$1,generator!$B$2:$B$295,generator!$K$2:$K$295,"ARGH")</f>
        <v>25</v>
      </c>
      <c r="HV5" s="3">
        <f>_xlfn.XLOOKUP(HV$1,generator!$B$2:$B$295,generator!$K$2:$K$295,"ARGH")</f>
        <v>16</v>
      </c>
      <c r="HW5" s="3">
        <f>_xlfn.XLOOKUP(HW$1,generator!$B$2:$B$295,generator!$K$2:$K$295,"ARGH")</f>
        <v>5</v>
      </c>
      <c r="HX5" s="3">
        <f>_xlfn.XLOOKUP(HX$1,generator!$B$2:$B$295,generator!$K$2:$K$295,"ARGH")</f>
        <v>5</v>
      </c>
      <c r="HY5" s="3">
        <f>_xlfn.XLOOKUP(HY$1,generator!$B$2:$B$295,generator!$K$2:$K$295,"ARGH")</f>
        <v>63</v>
      </c>
      <c r="HZ5" s="3">
        <f>_xlfn.XLOOKUP(HZ$1,generator!$B$2:$B$295,generator!$K$2:$K$295,"ARGH")</f>
        <v>18</v>
      </c>
      <c r="IA5" s="3">
        <f>_xlfn.XLOOKUP(IA$1,generator!$B$2:$B$295,generator!$K$2:$K$295,"ARGH")</f>
        <v>121</v>
      </c>
      <c r="IB5" s="3">
        <f>_xlfn.XLOOKUP(IB$1,generator!$B$2:$B$295,generator!$K$2:$K$295,"ARGH")</f>
        <v>120</v>
      </c>
      <c r="IC5" s="3">
        <f>_xlfn.XLOOKUP(IC$1,generator!$B$2:$B$295,generator!$K$2:$K$295,"ARGH")</f>
        <v>0</v>
      </c>
      <c r="ID5" s="3">
        <f>_xlfn.XLOOKUP(ID$1,generator!$B$2:$B$295,generator!$K$2:$K$295,"ARGH")</f>
        <v>17</v>
      </c>
      <c r="IE5" s="3">
        <f>_xlfn.XLOOKUP(IE$1,generator!$B$2:$B$295,generator!$K$2:$K$295,"ARGH")</f>
        <v>194</v>
      </c>
      <c r="IF5" s="3">
        <f>_xlfn.XLOOKUP(IF$1,generator!$B$2:$B$295,generator!$K$2:$K$295,"ARGH")</f>
        <v>11.9</v>
      </c>
      <c r="IG5" s="3">
        <f>_xlfn.XLOOKUP(IG$1,generator!$B$2:$B$295,generator!$K$2:$K$295,"ARGH")</f>
        <v>11.9</v>
      </c>
      <c r="IH5" s="3">
        <f>_xlfn.XLOOKUP(IH$1,generator!$B$2:$B$295,generator!$K$2:$K$295,"ARGH")</f>
        <v>11.9</v>
      </c>
      <c r="II5" s="3">
        <f>_xlfn.XLOOKUP(II$1,generator!$B$2:$B$295,generator!$K$2:$K$295,"ARGH")</f>
        <v>11.9</v>
      </c>
      <c r="IJ5" s="3">
        <f>_xlfn.XLOOKUP(IJ$1,generator!$B$2:$B$295,generator!$K$2:$K$295,"ARGH")</f>
        <v>0</v>
      </c>
      <c r="IK5" s="3">
        <f>_xlfn.XLOOKUP(IK$1,generator!$B$2:$B$295,generator!$K$2:$K$295,"ARGH")</f>
        <v>3</v>
      </c>
      <c r="IL5" s="3">
        <f>_xlfn.XLOOKUP(IL$1,generator!$B$2:$B$295,generator!$K$2:$K$295,"ARGH")</f>
        <v>5</v>
      </c>
      <c r="IM5" s="3">
        <f>_xlfn.XLOOKUP(IM$1,generator!$B$2:$B$295,generator!$K$2:$K$295,"ARGH")</f>
        <v>5</v>
      </c>
      <c r="IN5" s="3">
        <f>_xlfn.XLOOKUP(IN$1,generator!$B$2:$B$295,generator!$K$2:$K$295,"ARGH")</f>
        <v>4</v>
      </c>
      <c r="IO5" s="3">
        <f>_xlfn.XLOOKUP(IO$1,generator!$B$2:$B$295,generator!$K$2:$K$295,"ARGH")</f>
        <v>4</v>
      </c>
      <c r="IP5" s="3">
        <f>_xlfn.XLOOKUP(IP$1,generator!$B$2:$B$295,generator!$K$2:$K$295,"ARGH")</f>
        <v>3</v>
      </c>
      <c r="IQ5" s="3">
        <f>_xlfn.XLOOKUP(IQ$1,generator!$B$2:$B$295,generator!$K$2:$K$295,"ARGH")</f>
        <v>1</v>
      </c>
      <c r="IR5" s="3">
        <f>_xlfn.XLOOKUP(IR$1,generator!$B$2:$B$295,generator!$K$2:$K$295,"ARGH")</f>
        <v>3</v>
      </c>
      <c r="IS5" s="3">
        <f>_xlfn.XLOOKUP(IS$1,generator!$B$2:$B$295,generator!$K$2:$K$295,"ARGH")</f>
        <v>3</v>
      </c>
      <c r="IT5" s="3">
        <f>_xlfn.XLOOKUP(IT$1,generator!$B$2:$B$295,generator!$K$2:$K$295,"ARGH")</f>
        <v>0</v>
      </c>
      <c r="IU5" s="3">
        <f>_xlfn.XLOOKUP(IU$1,generator!$B$2:$B$295,generator!$K$2:$K$295,"ARGH")</f>
        <v>3.99</v>
      </c>
      <c r="IV5" s="3">
        <f>_xlfn.XLOOKUP(IV$1,generator!$B$2:$B$295,generator!$K$2:$K$295,"ARGH")</f>
        <v>0.2</v>
      </c>
      <c r="IW5" s="3">
        <f>_xlfn.XLOOKUP(IW$1,generator!$B$2:$B$295,generator!$K$2:$K$295,"ARGH")</f>
        <v>15</v>
      </c>
      <c r="IX5" s="3">
        <f>_xlfn.XLOOKUP(IX$1,generator!$B$2:$B$295,generator!$K$2:$K$295,"ARGH")</f>
        <v>15</v>
      </c>
      <c r="IY5" s="3">
        <f>_xlfn.XLOOKUP(IY$1,generator!$B$2:$B$295,generator!$K$2:$K$295,"ARGH")</f>
        <v>15</v>
      </c>
      <c r="IZ5" s="3">
        <f>_xlfn.XLOOKUP(IZ$1,generator!$B$2:$B$295,generator!$K$2:$K$295,"ARGH")</f>
        <v>120</v>
      </c>
      <c r="JA5" s="3">
        <f>_xlfn.XLOOKUP(JA$1,generator!$B$2:$B$295,generator!$K$2:$K$295,"ARGH")</f>
        <v>40</v>
      </c>
      <c r="JB5" s="3">
        <f>_xlfn.XLOOKUP(JB$1,generator!$B$2:$B$295,generator!$K$2:$K$295,"ARGH")</f>
        <v>40</v>
      </c>
      <c r="JC5" s="3">
        <f>_xlfn.XLOOKUP(JC$1,generator!$B$2:$B$295,generator!$K$2:$K$295,"ARGH")</f>
        <v>113</v>
      </c>
      <c r="JD5" s="3">
        <f>_xlfn.XLOOKUP(JD$1,generator!$B$2:$B$295,generator!$K$2:$K$295,"ARGH")</f>
        <v>113</v>
      </c>
      <c r="JE5" s="3">
        <f>_xlfn.XLOOKUP(JE$1,generator!$B$2:$B$295,generator!$K$2:$K$295,"ARGH")</f>
        <v>211</v>
      </c>
      <c r="JF5" s="3">
        <f>_xlfn.XLOOKUP(JF$1,generator!$B$2:$B$295,generator!$K$2:$K$295,"ARGH")</f>
        <v>22.5</v>
      </c>
      <c r="JG5" s="3">
        <f>_xlfn.XLOOKUP(JG$1,generator!$B$2:$B$295,generator!$K$2:$K$295,"ARGH")</f>
        <v>1</v>
      </c>
      <c r="JH5" s="3">
        <f>_xlfn.XLOOKUP(JH$1,generator!$B$2:$B$295,generator!$K$2:$K$295,"ARGH")</f>
        <v>160</v>
      </c>
      <c r="JI5" s="3">
        <f>_xlfn.XLOOKUP(JI$1,generator!$B$2:$B$295,generator!$K$2:$K$295,"ARGH")</f>
        <v>165</v>
      </c>
      <c r="JJ5" s="3">
        <f>_xlfn.XLOOKUP(JJ$1,generator!$B$2:$B$295,generator!$K$2:$K$295,"ARGH")</f>
        <v>4.5999999999999996</v>
      </c>
      <c r="JK5" s="3">
        <f>_xlfn.XLOOKUP(JK$1,generator!$B$2:$B$295,generator!$K$2:$K$295,"ARGH")</f>
        <v>4.5999999999999996</v>
      </c>
      <c r="JL5" s="3">
        <f>_xlfn.XLOOKUP(JL$1,generator!$B$2:$B$295,generator!$K$2:$K$295,"ARGH")</f>
        <v>4.5999999999999996</v>
      </c>
      <c r="JM5" s="3">
        <f>_xlfn.XLOOKUP(JM$1,generator!$B$2:$B$295,generator!$K$2:$K$295,"ARGH")</f>
        <v>4.5999999999999996</v>
      </c>
      <c r="JN5" s="3">
        <f>_xlfn.XLOOKUP(JN$1,generator!$B$2:$B$295,generator!$K$2:$K$295,"ARGH")</f>
        <v>4.5999999999999996</v>
      </c>
      <c r="JO5" s="3">
        <f>_xlfn.XLOOKUP(JO$1,generator!$B$2:$B$295,generator!$K$2:$K$295,"ARGH")</f>
        <v>4.5999999999999996</v>
      </c>
      <c r="JP5" s="3">
        <f>_xlfn.XLOOKUP(JP$1,generator!$B$2:$B$295,generator!$K$2:$K$295,"ARGH")</f>
        <v>110</v>
      </c>
      <c r="JQ5" s="3">
        <f>_xlfn.XLOOKUP(JQ$1,generator!$B$2:$B$295,generator!$K$2:$K$295,"ARGH")</f>
        <v>22.7</v>
      </c>
      <c r="JR5" s="3">
        <f>_xlfn.XLOOKUP(JR$1,generator!$B$2:$B$295,generator!$K$2:$K$295,"ARGH")</f>
        <v>147</v>
      </c>
      <c r="JS5" s="3">
        <f>_xlfn.XLOOKUP(JS$1,generator!$B$2:$B$295,generator!$K$2:$K$295,"ARGH")</f>
        <v>147</v>
      </c>
      <c r="JT5" s="3">
        <f>_xlfn.XLOOKUP(JT$1,generator!$B$2:$B$295,generator!$K$2:$K$295,"ARGH")</f>
        <v>22.7</v>
      </c>
      <c r="JU5" s="3">
        <f>_xlfn.XLOOKUP(JU$1,generator!$B$2:$B$295,generator!$K$2:$K$295,"ARGH")</f>
        <v>21.5</v>
      </c>
      <c r="JV5" s="3">
        <f>_xlfn.XLOOKUP(JV$1,generator!$B$2:$B$295,generator!$K$2:$K$295,"ARGH")</f>
        <v>120</v>
      </c>
      <c r="JW5" s="3">
        <f>_xlfn.XLOOKUP(JW$1,generator!$B$2:$B$295,generator!$K$2:$K$295,"ARGH")</f>
        <v>120</v>
      </c>
      <c r="JX5" s="3">
        <f>_xlfn.XLOOKUP(JX$1,generator!$B$2:$B$295,generator!$K$2:$K$295,"ARGH")</f>
        <v>1</v>
      </c>
      <c r="JY5" s="3">
        <f>_xlfn.XLOOKUP(JY$1,generator!$B$2:$B$295,generator!$K$2:$K$295,"ARGH")</f>
        <v>41.15</v>
      </c>
      <c r="JZ5" s="3">
        <f>_xlfn.XLOOKUP(JZ$1,generator!$B$2:$B$295,generator!$K$2:$K$295,"ARGH")</f>
        <v>5</v>
      </c>
      <c r="KA5" s="3">
        <f>_xlfn.XLOOKUP(KA$1,generator!$B$2:$B$295,generator!$K$2:$K$295,"ARGH")</f>
        <v>5</v>
      </c>
      <c r="KB5" s="3">
        <f>_xlfn.XLOOKUP(KB$1,generator!$B$2:$B$295,generator!$K$2:$K$295,"ARGH")</f>
        <v>5</v>
      </c>
      <c r="KC5" s="3">
        <f>_xlfn.XLOOKUP(KC$1,generator!$B$2:$B$295,generator!$K$2:$K$295,"ARGH")</f>
        <v>5</v>
      </c>
    </row>
    <row r="6" spans="1:289" x14ac:dyDescent="0.3">
      <c r="A6" s="4" t="s">
        <v>3001</v>
      </c>
      <c r="B6" s="31">
        <v>0</v>
      </c>
      <c r="C6" s="31">
        <v>512</v>
      </c>
      <c r="D6" s="31">
        <v>225</v>
      </c>
      <c r="E6" s="3">
        <f>_xlfn.XLOOKUP(E$1,generator!$B$2:$B$295,generator!$K$2:$K$295,"ARGH")</f>
        <v>0</v>
      </c>
      <c r="F6" s="3">
        <f>_xlfn.XLOOKUP(F$1,generator!$B$2:$B$295,generator!$K$2:$K$295,"ARGH")</f>
        <v>0</v>
      </c>
      <c r="G6" s="3">
        <f>_xlfn.XLOOKUP(G$1,generator!$B$2:$B$295,generator!$K$2:$K$295,"ARGH")</f>
        <v>0</v>
      </c>
      <c r="H6" s="3">
        <f>_xlfn.XLOOKUP(H$1,generator!$B$2:$B$295,generator!$K$2:$K$295,"ARGH")</f>
        <v>0</v>
      </c>
      <c r="I6" s="3">
        <f>_xlfn.XLOOKUP(I$1,generator!$B$2:$B$295,generator!$K$2:$K$295,"ARGH")</f>
        <v>0</v>
      </c>
      <c r="J6" s="3">
        <f>_xlfn.XLOOKUP(J$1,generator!$B$2:$B$295,generator!$K$2:$K$295,"ARGH")</f>
        <v>0</v>
      </c>
      <c r="K6" s="3">
        <f>_xlfn.XLOOKUP(K$1,generator!$B$2:$B$295,generator!$K$2:$K$295,"ARGH")</f>
        <v>0</v>
      </c>
      <c r="L6" s="3">
        <f>_xlfn.XLOOKUP(L$1,generator!$B$2:$B$295,generator!$K$2:$K$295,"ARGH")</f>
        <v>0</v>
      </c>
      <c r="M6" s="3">
        <f>_xlfn.XLOOKUP(M$1,generator!$B$2:$B$295,generator!$K$2:$K$295,"ARGH")</f>
        <v>0</v>
      </c>
      <c r="N6" s="3">
        <f>_xlfn.XLOOKUP(N$1,generator!$B$2:$B$295,generator!$K$2:$K$295,"ARGH")</f>
        <v>0</v>
      </c>
      <c r="O6" s="3">
        <f>_xlfn.XLOOKUP(O$1,generator!$B$2:$B$295,generator!$K$2:$K$295,"ARGH")</f>
        <v>0</v>
      </c>
      <c r="P6" s="3">
        <f>_xlfn.XLOOKUP(P$1,generator!$B$2:$B$295,generator!$K$2:$K$295,"ARGH")</f>
        <v>0</v>
      </c>
      <c r="Q6" s="3">
        <f>_xlfn.XLOOKUP(Q$1,generator!$B$2:$B$295,generator!$K$2:$K$295,"ARGH")</f>
        <v>0</v>
      </c>
      <c r="R6" s="3">
        <f>_xlfn.XLOOKUP(R$1,generator!$B$2:$B$295,generator!$K$2:$K$295,"ARGH")</f>
        <v>0</v>
      </c>
      <c r="S6" s="3">
        <f>_xlfn.XLOOKUP(S$1,generator!$B$2:$B$295,generator!$K$2:$K$295,"ARGH")</f>
        <v>0</v>
      </c>
      <c r="T6" s="3">
        <f>_xlfn.XLOOKUP(T$1,generator!$B$2:$B$295,generator!$K$2:$K$295,"ARGH")</f>
        <v>0</v>
      </c>
      <c r="U6" s="3">
        <f>_xlfn.XLOOKUP(U$1,generator!$B$2:$B$295,generator!$K$2:$K$295,"ARGH")</f>
        <v>0</v>
      </c>
      <c r="V6" s="3">
        <f>_xlfn.XLOOKUP(V$1,generator!$B$2:$B$295,generator!$K$2:$K$295,"ARGH")</f>
        <v>0</v>
      </c>
      <c r="W6" s="3">
        <f>_xlfn.XLOOKUP(W$1,generator!$B$2:$B$295,generator!$K$2:$K$295,"ARGH")</f>
        <v>0</v>
      </c>
      <c r="X6" s="3">
        <f>_xlfn.XLOOKUP(X$1,generator!$B$2:$B$295,generator!$K$2:$K$295,"ARGH")</f>
        <v>0</v>
      </c>
      <c r="Y6" s="3">
        <f>_xlfn.XLOOKUP(Y$1,generator!$B$2:$B$295,generator!$K$2:$K$295,"ARGH")</f>
        <v>0</v>
      </c>
      <c r="Z6" s="3">
        <f>_xlfn.XLOOKUP(Z$1,generator!$B$2:$B$295,generator!$K$2:$K$295,"ARGH")</f>
        <v>0</v>
      </c>
      <c r="AA6" s="3">
        <f>_xlfn.XLOOKUP(AA$1,generator!$B$2:$B$295,generator!$K$2:$K$295,"ARGH")</f>
        <v>0</v>
      </c>
      <c r="AB6" s="3">
        <f>_xlfn.XLOOKUP(AB$1,generator!$B$2:$B$295,generator!$K$2:$K$295,"ARGH")</f>
        <v>0</v>
      </c>
      <c r="AC6" s="3">
        <f>_xlfn.XLOOKUP(AC$1,generator!$B$2:$B$295,generator!$K$2:$K$295,"ARGH")</f>
        <v>0</v>
      </c>
      <c r="AD6" s="3">
        <f>_xlfn.XLOOKUP(AD$1,generator!$B$2:$B$295,generator!$K$2:$K$295,"ARGH")</f>
        <v>0</v>
      </c>
      <c r="AE6" s="3">
        <f>_xlfn.XLOOKUP(AE$1,generator!$B$2:$B$295,generator!$K$2:$K$295,"ARGH")</f>
        <v>0</v>
      </c>
      <c r="AF6" s="3">
        <f>_xlfn.XLOOKUP(AF$1,generator!$B$2:$B$295,generator!$K$2:$K$295,"ARGH")</f>
        <v>0</v>
      </c>
      <c r="AG6" s="3">
        <f>_xlfn.XLOOKUP(AG$1,generator!$B$2:$B$295,generator!$K$2:$K$295,"ARGH")</f>
        <v>0</v>
      </c>
      <c r="AH6" s="3">
        <f>_xlfn.XLOOKUP(AH$1,generator!$B$2:$B$295,generator!$K$2:$K$295,"ARGH")</f>
        <v>0</v>
      </c>
      <c r="AI6" s="3">
        <f>_xlfn.XLOOKUP(AI$1,generator!$B$2:$B$295,generator!$K$2:$K$295,"ARGH")</f>
        <v>0</v>
      </c>
      <c r="AJ6" s="3">
        <f>_xlfn.XLOOKUP(AJ$1,generator!$B$2:$B$295,generator!$K$2:$K$295,"ARGH")</f>
        <v>0</v>
      </c>
      <c r="AK6" s="3">
        <f>_xlfn.XLOOKUP(AK$1,generator!$B$2:$B$295,generator!$K$2:$K$295,"ARGH")</f>
        <v>0</v>
      </c>
      <c r="AL6" s="3">
        <f>_xlfn.XLOOKUP(AL$1,generator!$B$2:$B$295,generator!$K$2:$K$295,"ARGH")</f>
        <v>0</v>
      </c>
      <c r="AM6" s="3">
        <f>_xlfn.XLOOKUP(AM$1,generator!$B$2:$B$295,generator!$K$2:$K$295,"ARGH")</f>
        <v>0</v>
      </c>
      <c r="AN6" s="3">
        <f>_xlfn.XLOOKUP(AN$1,generator!$B$2:$B$295,generator!$K$2:$K$295,"ARGH")</f>
        <v>0</v>
      </c>
      <c r="AO6" s="3">
        <f>_xlfn.XLOOKUP(AO$1,generator!$B$2:$B$295,generator!$K$2:$K$295,"ARGH")</f>
        <v>0</v>
      </c>
      <c r="AP6" s="3">
        <f>_xlfn.XLOOKUP(AP$1,generator!$B$2:$B$295,generator!$K$2:$K$295,"ARGH")</f>
        <v>0</v>
      </c>
      <c r="AQ6" s="3">
        <f>_xlfn.XLOOKUP(AQ$1,generator!$B$2:$B$295,generator!$K$2:$K$295,"ARGH")</f>
        <v>0</v>
      </c>
      <c r="AR6" s="3">
        <f>_xlfn.XLOOKUP(AR$1,generator!$B$2:$B$295,generator!$K$2:$K$295,"ARGH")</f>
        <v>0</v>
      </c>
      <c r="AS6" s="3">
        <f>_xlfn.XLOOKUP(AS$1,generator!$B$2:$B$295,generator!$K$2:$K$295,"ARGH")</f>
        <v>0</v>
      </c>
      <c r="AT6" s="3">
        <f>_xlfn.XLOOKUP(AT$1,generator!$B$2:$B$295,generator!$K$2:$K$295,"ARGH")</f>
        <v>0</v>
      </c>
      <c r="AU6" s="3">
        <f>_xlfn.XLOOKUP(AU$1,generator!$B$2:$B$295,generator!$K$2:$K$295,"ARGH")</f>
        <v>0</v>
      </c>
      <c r="AV6" s="3">
        <f>_xlfn.XLOOKUP(AV$1,generator!$B$2:$B$295,generator!$K$2:$K$295,"ARGH")</f>
        <v>0</v>
      </c>
      <c r="AW6" s="3">
        <f>_xlfn.XLOOKUP(AW$1,generator!$B$2:$B$295,generator!$K$2:$K$295,"ARGH")</f>
        <v>0</v>
      </c>
      <c r="AX6" s="3">
        <f>_xlfn.XLOOKUP(AX$1,generator!$B$2:$B$295,generator!$K$2:$K$295,"ARGH")</f>
        <v>0</v>
      </c>
      <c r="AY6" s="3">
        <f>_xlfn.XLOOKUP(AY$1,generator!$B$2:$B$295,generator!$K$2:$K$295,"ARGH")</f>
        <v>0</v>
      </c>
      <c r="AZ6" s="3">
        <f>_xlfn.XLOOKUP(AZ$1,generator!$B$2:$B$295,generator!$K$2:$K$295,"ARGH")</f>
        <v>0</v>
      </c>
      <c r="BA6" s="3">
        <f>_xlfn.XLOOKUP(BA$1,generator!$B$2:$B$295,generator!$K$2:$K$295,"ARGH")</f>
        <v>0</v>
      </c>
      <c r="BB6" s="3">
        <f>_xlfn.XLOOKUP(BB$1,generator!$B$2:$B$295,generator!$K$2:$K$295,"ARGH")</f>
        <v>0</v>
      </c>
      <c r="BC6" s="3">
        <f>_xlfn.XLOOKUP(BC$1,generator!$B$2:$B$295,generator!$K$2:$K$295,"ARGH")</f>
        <v>0</v>
      </c>
      <c r="BD6" s="3">
        <f>_xlfn.XLOOKUP(BD$1,generator!$B$2:$B$295,generator!$K$2:$K$295,"ARGH")</f>
        <v>0</v>
      </c>
      <c r="BE6" s="3">
        <f>_xlfn.XLOOKUP(BE$1,generator!$B$2:$B$295,generator!$K$2:$K$295,"ARGH")</f>
        <v>0</v>
      </c>
      <c r="BF6" s="3">
        <f>_xlfn.XLOOKUP(BF$1,generator!$B$2:$B$295,generator!$K$2:$K$295,"ARGH")</f>
        <v>0</v>
      </c>
      <c r="BG6" s="3">
        <f>_xlfn.XLOOKUP(BG$1,generator!$B$2:$B$295,generator!$K$2:$K$295,"ARGH")</f>
        <v>0</v>
      </c>
      <c r="BH6" s="3">
        <f>_xlfn.XLOOKUP(BH$1,generator!$B$2:$B$295,generator!$K$2:$K$295,"ARGH")</f>
        <v>0</v>
      </c>
      <c r="BI6" s="3">
        <f>_xlfn.XLOOKUP(BI$1,generator!$B$2:$B$295,generator!$K$2:$K$295,"ARGH")</f>
        <v>0</v>
      </c>
      <c r="BJ6" s="3">
        <f>_xlfn.XLOOKUP(BJ$1,generator!$B$2:$B$295,generator!$K$2:$K$295,"ARGH")</f>
        <v>0</v>
      </c>
      <c r="BK6" s="3">
        <f>_xlfn.XLOOKUP(BK$1,generator!$B$2:$B$295,generator!$K$2:$K$295,"ARGH")</f>
        <v>0</v>
      </c>
      <c r="BL6" s="3">
        <f>_xlfn.XLOOKUP(BL$1,generator!$B$2:$B$295,generator!$K$2:$K$295,"ARGH")</f>
        <v>0</v>
      </c>
      <c r="BM6" s="3">
        <f>_xlfn.XLOOKUP(BM$1,generator!$B$2:$B$295,generator!$K$2:$K$295,"ARGH")</f>
        <v>0</v>
      </c>
      <c r="BN6" s="3">
        <f>_xlfn.XLOOKUP(BN$1,generator!$B$2:$B$295,generator!$K$2:$K$295,"ARGH")</f>
        <v>0</v>
      </c>
      <c r="BO6" s="3">
        <f>_xlfn.XLOOKUP(BO$1,generator!$B$2:$B$295,generator!$K$2:$K$295,"ARGH")</f>
        <v>0</v>
      </c>
      <c r="BP6" s="3">
        <f>_xlfn.XLOOKUP(BP$1,generator!$B$2:$B$295,generator!$K$2:$K$295,"ARGH")</f>
        <v>0</v>
      </c>
      <c r="BQ6" s="3">
        <f>_xlfn.XLOOKUP(BQ$1,generator!$B$2:$B$295,generator!$K$2:$K$295,"ARGH")</f>
        <v>0</v>
      </c>
      <c r="BR6" s="3">
        <f>_xlfn.XLOOKUP(BR$1,generator!$B$2:$B$295,generator!$K$2:$K$295,"ARGH")</f>
        <v>0</v>
      </c>
      <c r="BS6" s="3">
        <f>_xlfn.XLOOKUP(BS$1,generator!$B$2:$B$295,generator!$K$2:$K$295,"ARGH")</f>
        <v>0</v>
      </c>
      <c r="BT6" s="3">
        <f>_xlfn.XLOOKUP(BT$1,generator!$B$2:$B$295,generator!$K$2:$K$295,"ARGH")</f>
        <v>0</v>
      </c>
      <c r="BU6" s="3">
        <f>_xlfn.XLOOKUP(BU$1,generator!$B$2:$B$295,generator!$K$2:$K$295,"ARGH")</f>
        <v>0</v>
      </c>
      <c r="BV6" s="3">
        <f>_xlfn.XLOOKUP(BV$1,generator!$B$2:$B$295,generator!$K$2:$K$295,"ARGH")</f>
        <v>0</v>
      </c>
      <c r="BW6" s="3">
        <f>_xlfn.XLOOKUP(BW$1,generator!$B$2:$B$295,generator!$K$2:$K$295,"ARGH")</f>
        <v>0</v>
      </c>
      <c r="BX6" s="3">
        <f>_xlfn.XLOOKUP(BX$1,generator!$B$2:$B$295,generator!$K$2:$K$295,"ARGH")</f>
        <v>0</v>
      </c>
      <c r="BY6" s="3">
        <f>_xlfn.XLOOKUP(BY$1,generator!$B$2:$B$295,generator!$K$2:$K$295,"ARGH")</f>
        <v>0</v>
      </c>
      <c r="BZ6" s="3">
        <f>_xlfn.XLOOKUP(BZ$1,generator!$B$2:$B$295,generator!$K$2:$K$295,"ARGH")</f>
        <v>0</v>
      </c>
      <c r="CA6" s="3">
        <f>_xlfn.XLOOKUP(CA$1,generator!$B$2:$B$295,generator!$K$2:$K$295,"ARGH")</f>
        <v>0</v>
      </c>
      <c r="CB6" s="3">
        <f>_xlfn.XLOOKUP(CB$1,generator!$B$2:$B$295,generator!$K$2:$K$295,"ARGH")</f>
        <v>0</v>
      </c>
      <c r="CC6" s="3">
        <f>_xlfn.XLOOKUP(CC$1,generator!$B$2:$B$295,generator!$K$2:$K$295,"ARGH")</f>
        <v>0</v>
      </c>
      <c r="CD6" s="3">
        <f>_xlfn.XLOOKUP(CD$1,generator!$B$2:$B$295,generator!$K$2:$K$295,"ARGH")</f>
        <v>0</v>
      </c>
      <c r="CE6" s="3">
        <f>_xlfn.XLOOKUP(CE$1,generator!$B$2:$B$295,generator!$K$2:$K$295,"ARGH")</f>
        <v>0</v>
      </c>
      <c r="CF6" s="3">
        <f>_xlfn.XLOOKUP(CF$1,generator!$B$2:$B$295,generator!$K$2:$K$295,"ARGH")</f>
        <v>0</v>
      </c>
      <c r="CG6" s="3">
        <f>_xlfn.XLOOKUP(CG$1,generator!$B$2:$B$295,generator!$K$2:$K$295,"ARGH")</f>
        <v>0</v>
      </c>
      <c r="CH6" s="3">
        <f>_xlfn.XLOOKUP(CH$1,generator!$B$2:$B$295,generator!$K$2:$K$295,"ARGH")</f>
        <v>0</v>
      </c>
      <c r="CI6" s="3">
        <f>_xlfn.XLOOKUP(CI$1,generator!$B$2:$B$295,generator!$K$2:$K$295,"ARGH")</f>
        <v>0</v>
      </c>
      <c r="CJ6" s="3">
        <f>_xlfn.XLOOKUP(CJ$1,generator!$B$2:$B$295,generator!$K$2:$K$295,"ARGH")</f>
        <v>0</v>
      </c>
      <c r="CK6" s="3">
        <f>_xlfn.XLOOKUP(CK$1,generator!$B$2:$B$295,generator!$K$2:$K$295,"ARGH")</f>
        <v>0</v>
      </c>
      <c r="CL6" s="3">
        <f>_xlfn.XLOOKUP(CL$1,generator!$B$2:$B$295,generator!$K$2:$K$295,"ARGH")</f>
        <v>0</v>
      </c>
      <c r="CM6" s="3">
        <f>_xlfn.XLOOKUP(CM$1,generator!$B$2:$B$295,generator!$K$2:$K$295,"ARGH")</f>
        <v>0</v>
      </c>
      <c r="CN6" s="3">
        <f>_xlfn.XLOOKUP(CN$1,generator!$B$2:$B$295,generator!$K$2:$K$295,"ARGH")</f>
        <v>0</v>
      </c>
      <c r="CO6" s="3">
        <f>_xlfn.XLOOKUP(CO$1,generator!$B$2:$B$295,generator!$K$2:$K$295,"ARGH")</f>
        <v>0</v>
      </c>
      <c r="CP6" s="3">
        <f>_xlfn.XLOOKUP(CP$1,generator!$B$2:$B$295,generator!$K$2:$K$295,"ARGH")</f>
        <v>0</v>
      </c>
      <c r="CQ6" s="3">
        <f>_xlfn.XLOOKUP(CQ$1,generator!$B$2:$B$295,generator!$K$2:$K$295,"ARGH")</f>
        <v>0</v>
      </c>
      <c r="CR6" s="3">
        <f>_xlfn.XLOOKUP(CR$1,generator!$B$2:$B$295,generator!$K$2:$K$295,"ARGH")</f>
        <v>0</v>
      </c>
      <c r="CS6" s="3">
        <f>_xlfn.XLOOKUP(CS$1,generator!$B$2:$B$295,generator!$K$2:$K$295,"ARGH")</f>
        <v>0</v>
      </c>
      <c r="CT6" s="3">
        <f>_xlfn.XLOOKUP(CT$1,generator!$B$2:$B$295,generator!$K$2:$K$295,"ARGH")</f>
        <v>0</v>
      </c>
      <c r="CU6" s="3">
        <f>_xlfn.XLOOKUP(CU$1,generator!$B$2:$B$295,generator!$K$2:$K$295,"ARGH")</f>
        <v>0</v>
      </c>
      <c r="CV6" s="3">
        <f>_xlfn.XLOOKUP(CV$1,generator!$B$2:$B$295,generator!$K$2:$K$295,"ARGH")</f>
        <v>0</v>
      </c>
      <c r="CW6" s="3">
        <f>_xlfn.XLOOKUP(CW$1,generator!$B$2:$B$295,generator!$K$2:$K$295,"ARGH")</f>
        <v>0</v>
      </c>
      <c r="CX6" s="3">
        <f>_xlfn.XLOOKUP(CX$1,generator!$B$2:$B$295,generator!$K$2:$K$295,"ARGH")</f>
        <v>0</v>
      </c>
      <c r="CY6" s="3">
        <f>_xlfn.XLOOKUP(CY$1,generator!$B$2:$B$295,generator!$K$2:$K$295,"ARGH")</f>
        <v>0</v>
      </c>
      <c r="CZ6" s="3">
        <f>_xlfn.XLOOKUP(CZ$1,generator!$B$2:$B$295,generator!$K$2:$K$295,"ARGH")</f>
        <v>0</v>
      </c>
      <c r="DA6" s="3">
        <f>_xlfn.XLOOKUP(DA$1,generator!$B$2:$B$295,generator!$K$2:$K$295,"ARGH")</f>
        <v>0</v>
      </c>
      <c r="DB6" s="3">
        <f>_xlfn.XLOOKUP(DB$1,generator!$B$2:$B$295,generator!$K$2:$K$295,"ARGH")</f>
        <v>0</v>
      </c>
      <c r="DC6" s="3">
        <f>_xlfn.XLOOKUP(DC$1,generator!$B$2:$B$295,generator!$K$2:$K$295,"ARGH")</f>
        <v>0</v>
      </c>
      <c r="DD6" s="3">
        <f>_xlfn.XLOOKUP(DD$1,generator!$B$2:$B$295,generator!$K$2:$K$295,"ARGH")</f>
        <v>0</v>
      </c>
      <c r="DE6" s="3">
        <f>_xlfn.XLOOKUP(DE$1,generator!$B$2:$B$295,generator!$K$2:$K$295,"ARGH")</f>
        <v>0</v>
      </c>
      <c r="DF6" s="3">
        <f>_xlfn.XLOOKUP(DF$1,generator!$B$2:$B$295,generator!$K$2:$K$295,"ARGH")</f>
        <v>0</v>
      </c>
      <c r="DG6" s="3">
        <f>_xlfn.XLOOKUP(DG$1,generator!$B$2:$B$295,generator!$K$2:$K$295,"ARGH")</f>
        <v>0</v>
      </c>
      <c r="DH6" s="3">
        <f>_xlfn.XLOOKUP(DH$1,generator!$B$2:$B$295,generator!$K$2:$K$295,"ARGH")</f>
        <v>0</v>
      </c>
      <c r="DI6" s="3">
        <f>_xlfn.XLOOKUP(DI$1,generator!$B$2:$B$295,generator!$K$2:$K$295,"ARGH")</f>
        <v>0</v>
      </c>
      <c r="DJ6" s="3">
        <f>_xlfn.XLOOKUP(DJ$1,generator!$B$2:$B$295,generator!$K$2:$K$295,"ARGH")</f>
        <v>0</v>
      </c>
      <c r="DK6" s="3">
        <f>_xlfn.XLOOKUP(DK$1,generator!$B$2:$B$295,generator!$K$2:$K$295,"ARGH")</f>
        <v>0</v>
      </c>
      <c r="DL6" s="3">
        <f>_xlfn.XLOOKUP(DL$1,generator!$B$2:$B$295,generator!$K$2:$K$295,"ARGH")</f>
        <v>0</v>
      </c>
      <c r="DM6" s="3">
        <f>_xlfn.XLOOKUP(DM$1,generator!$B$2:$B$295,generator!$K$2:$K$295,"ARGH")</f>
        <v>0</v>
      </c>
      <c r="DN6" s="3">
        <f>_xlfn.XLOOKUP(DN$1,generator!$B$2:$B$295,generator!$K$2:$K$295,"ARGH")</f>
        <v>0</v>
      </c>
      <c r="DO6" s="3">
        <f>_xlfn.XLOOKUP(DO$1,generator!$B$2:$B$295,generator!$K$2:$K$295,"ARGH")</f>
        <v>0</v>
      </c>
      <c r="DP6" s="3">
        <f>_xlfn.XLOOKUP(DP$1,generator!$B$2:$B$295,generator!$K$2:$K$295,"ARGH")</f>
        <v>0</v>
      </c>
      <c r="DQ6" s="3">
        <f>_xlfn.XLOOKUP(DQ$1,generator!$B$2:$B$295,generator!$K$2:$K$295,"ARGH")</f>
        <v>0</v>
      </c>
      <c r="DR6" s="3">
        <f>_xlfn.XLOOKUP(DR$1,generator!$B$2:$B$295,generator!$K$2:$K$295,"ARGH")</f>
        <v>0</v>
      </c>
      <c r="DS6" s="3">
        <f>_xlfn.XLOOKUP(DS$1,generator!$B$2:$B$295,generator!$K$2:$K$295,"ARGH")</f>
        <v>0</v>
      </c>
      <c r="DT6" s="3">
        <f>_xlfn.XLOOKUP(DT$1,generator!$B$2:$B$295,generator!$K$2:$K$295,"ARGH")</f>
        <v>0</v>
      </c>
      <c r="DU6" s="3">
        <f>_xlfn.XLOOKUP(DU$1,generator!$B$2:$B$295,generator!$K$2:$K$295,"ARGH")</f>
        <v>0</v>
      </c>
      <c r="DV6" s="3">
        <f>_xlfn.XLOOKUP(DV$1,generator!$B$2:$B$295,generator!$K$2:$K$295,"ARGH")</f>
        <v>0</v>
      </c>
      <c r="DW6" s="3">
        <f>_xlfn.XLOOKUP(DW$1,generator!$B$2:$B$295,generator!$K$2:$K$295,"ARGH")</f>
        <v>0</v>
      </c>
      <c r="DX6" s="3">
        <f>_xlfn.XLOOKUP(DX$1,generator!$B$2:$B$295,generator!$K$2:$K$295,"ARGH")</f>
        <v>0</v>
      </c>
      <c r="DY6" s="3">
        <f>_xlfn.XLOOKUP(DY$1,generator!$B$2:$B$295,generator!$K$2:$K$295,"ARGH")</f>
        <v>0</v>
      </c>
      <c r="DZ6" s="3">
        <f>_xlfn.XLOOKUP(DZ$1,generator!$B$2:$B$295,generator!$K$2:$K$295,"ARGH")</f>
        <v>0</v>
      </c>
      <c r="EA6" s="3">
        <f>_xlfn.XLOOKUP(EA$1,generator!$B$2:$B$295,generator!$K$2:$K$295,"ARGH")</f>
        <v>0</v>
      </c>
      <c r="EB6" s="3">
        <f>_xlfn.XLOOKUP(EB$1,generator!$B$2:$B$295,generator!$K$2:$K$295,"ARGH")</f>
        <v>0</v>
      </c>
      <c r="EC6" s="3">
        <f>_xlfn.XLOOKUP(EC$1,generator!$B$2:$B$295,generator!$K$2:$K$295,"ARGH")</f>
        <v>0</v>
      </c>
      <c r="ED6" s="3">
        <f>_xlfn.XLOOKUP(ED$1,generator!$B$2:$B$295,generator!$K$2:$K$295,"ARGH")</f>
        <v>0</v>
      </c>
      <c r="EE6" s="3">
        <f>_xlfn.XLOOKUP(EE$1,generator!$B$2:$B$295,generator!$K$2:$K$295,"ARGH")</f>
        <v>0</v>
      </c>
      <c r="EF6" s="3">
        <f>_xlfn.XLOOKUP(EF$1,generator!$B$2:$B$295,generator!$K$2:$K$295,"ARGH")</f>
        <v>0</v>
      </c>
      <c r="EG6" s="3">
        <f>_xlfn.XLOOKUP(EG$1,generator!$B$2:$B$295,generator!$K$2:$K$295,"ARGH")</f>
        <v>0</v>
      </c>
      <c r="EH6" s="3">
        <f>_xlfn.XLOOKUP(EH$1,generator!$B$2:$B$295,generator!$K$2:$K$295,"ARGH")</f>
        <v>0</v>
      </c>
      <c r="EI6" s="3">
        <f>_xlfn.XLOOKUP(EI$1,generator!$B$2:$B$295,generator!$K$2:$K$295,"ARGH")</f>
        <v>0</v>
      </c>
      <c r="EJ6" s="3">
        <f>_xlfn.XLOOKUP(EJ$1,generator!$B$2:$B$295,generator!$K$2:$K$295,"ARGH")</f>
        <v>0</v>
      </c>
      <c r="EK6" s="3">
        <f>_xlfn.XLOOKUP(EK$1,generator!$B$2:$B$295,generator!$K$2:$K$295,"ARGH")</f>
        <v>0</v>
      </c>
      <c r="EL6" s="3">
        <f>_xlfn.XLOOKUP(EL$1,generator!$B$2:$B$295,generator!$K$2:$K$295,"ARGH")</f>
        <v>0</v>
      </c>
      <c r="EM6" s="3">
        <f>_xlfn.XLOOKUP(EM$1,generator!$B$2:$B$295,generator!$K$2:$K$295,"ARGH")</f>
        <v>0</v>
      </c>
      <c r="EN6" s="3">
        <f>_xlfn.XLOOKUP(EN$1,generator!$B$2:$B$295,generator!$K$2:$K$295,"ARGH")</f>
        <v>0</v>
      </c>
      <c r="EO6" s="3">
        <f>_xlfn.XLOOKUP(EO$1,generator!$B$2:$B$295,generator!$K$2:$K$295,"ARGH")</f>
        <v>0</v>
      </c>
      <c r="EP6" s="3">
        <f>_xlfn.XLOOKUP(EP$1,generator!$B$2:$B$295,generator!$K$2:$K$295,"ARGH")</f>
        <v>0</v>
      </c>
      <c r="EQ6" s="3">
        <f>_xlfn.XLOOKUP(EQ$1,generator!$B$2:$B$295,generator!$K$2:$K$295,"ARGH")</f>
        <v>0</v>
      </c>
      <c r="ER6" s="3">
        <f>_xlfn.XLOOKUP(ER$1,generator!$B$2:$B$295,generator!$K$2:$K$295,"ARGH")</f>
        <v>0</v>
      </c>
      <c r="ES6" s="3">
        <f>_xlfn.XLOOKUP(ES$1,generator!$B$2:$B$295,generator!$K$2:$K$295,"ARGH")</f>
        <v>0</v>
      </c>
      <c r="ET6" s="3">
        <f>_xlfn.XLOOKUP(ET$1,generator!$B$2:$B$295,generator!$K$2:$K$295,"ARGH")</f>
        <v>0</v>
      </c>
      <c r="EU6" s="3">
        <f>_xlfn.XLOOKUP(EU$1,generator!$B$2:$B$295,generator!$K$2:$K$295,"ARGH")</f>
        <v>0</v>
      </c>
      <c r="EV6" s="3">
        <f>_xlfn.XLOOKUP(EV$1,generator!$B$2:$B$295,generator!$K$2:$K$295,"ARGH")</f>
        <v>0</v>
      </c>
      <c r="EW6" s="3">
        <f>_xlfn.XLOOKUP(EW$1,generator!$B$2:$B$295,generator!$K$2:$K$295,"ARGH")</f>
        <v>0</v>
      </c>
      <c r="EX6" s="3">
        <f>_xlfn.XLOOKUP(EX$1,generator!$B$2:$B$295,generator!$K$2:$K$295,"ARGH")</f>
        <v>0</v>
      </c>
      <c r="EY6" s="3">
        <f>_xlfn.XLOOKUP(EY$1,generator!$B$2:$B$295,generator!$K$2:$K$295,"ARGH")</f>
        <v>0</v>
      </c>
      <c r="EZ6" s="3">
        <f>_xlfn.XLOOKUP(EZ$1,generator!$B$2:$B$295,generator!$K$2:$K$295,"ARGH")</f>
        <v>0</v>
      </c>
      <c r="FA6" s="3">
        <f>_xlfn.XLOOKUP(FA$1,generator!$B$2:$B$295,generator!$K$2:$K$295,"ARGH")</f>
        <v>0</v>
      </c>
      <c r="FB6" s="3">
        <f>_xlfn.XLOOKUP(FB$1,generator!$B$2:$B$295,generator!$K$2:$K$295,"ARGH")</f>
        <v>0</v>
      </c>
      <c r="FC6" s="3">
        <f>_xlfn.XLOOKUP(FC$1,generator!$B$2:$B$295,generator!$K$2:$K$295,"ARGH")</f>
        <v>0</v>
      </c>
      <c r="FD6" s="3">
        <f>_xlfn.XLOOKUP(FD$1,generator!$B$2:$B$295,generator!$K$2:$K$295,"ARGH")</f>
        <v>0</v>
      </c>
      <c r="FE6" s="3">
        <f>_xlfn.XLOOKUP(FE$1,generator!$B$2:$B$295,generator!$K$2:$K$295,"ARGH")</f>
        <v>0</v>
      </c>
      <c r="FF6" s="3">
        <f>_xlfn.XLOOKUP(FF$1,generator!$B$2:$B$295,generator!$K$2:$K$295,"ARGH")</f>
        <v>0</v>
      </c>
      <c r="FG6" s="3">
        <f>_xlfn.XLOOKUP(FG$1,generator!$B$2:$B$295,generator!$K$2:$K$295,"ARGH")</f>
        <v>0</v>
      </c>
      <c r="FH6" s="3">
        <f>_xlfn.XLOOKUP(FH$1,generator!$B$2:$B$295,generator!$K$2:$K$295,"ARGH")</f>
        <v>0</v>
      </c>
      <c r="FI6" s="3">
        <f>_xlfn.XLOOKUP(FI$1,generator!$B$2:$B$295,generator!$K$2:$K$295,"ARGH")</f>
        <v>0</v>
      </c>
      <c r="FJ6" s="3">
        <f>_xlfn.XLOOKUP(FJ$1,generator!$B$2:$B$295,generator!$K$2:$K$295,"ARGH")</f>
        <v>0</v>
      </c>
      <c r="FK6" s="3">
        <f>_xlfn.XLOOKUP(FK$1,generator!$B$2:$B$295,generator!$K$2:$K$295,"ARGH")</f>
        <v>0</v>
      </c>
      <c r="FL6" s="3">
        <f>_xlfn.XLOOKUP(FL$1,generator!$B$2:$B$295,generator!$K$2:$K$295,"ARGH")</f>
        <v>0</v>
      </c>
      <c r="FM6" s="3">
        <f>_xlfn.XLOOKUP(FM$1,generator!$B$2:$B$295,generator!$K$2:$K$295,"ARGH")</f>
        <v>0</v>
      </c>
      <c r="FN6" s="3">
        <f>_xlfn.XLOOKUP(FN$1,generator!$B$2:$B$295,generator!$K$2:$K$295,"ARGH")</f>
        <v>0</v>
      </c>
      <c r="FO6" s="3">
        <f>_xlfn.XLOOKUP(FO$1,generator!$B$2:$B$295,generator!$K$2:$K$295,"ARGH")</f>
        <v>0</v>
      </c>
      <c r="FP6" s="3">
        <f>_xlfn.XLOOKUP(FP$1,generator!$B$2:$B$295,generator!$K$2:$K$295,"ARGH")</f>
        <v>0</v>
      </c>
      <c r="FQ6" s="3">
        <f>_xlfn.XLOOKUP(FQ$1,generator!$B$2:$B$295,generator!$K$2:$K$295,"ARGH")</f>
        <v>0</v>
      </c>
      <c r="FR6" s="3">
        <f>_xlfn.XLOOKUP(FR$1,generator!$B$2:$B$295,generator!$K$2:$K$295,"ARGH")</f>
        <v>0</v>
      </c>
      <c r="FS6" s="3">
        <f>_xlfn.XLOOKUP(FS$1,generator!$B$2:$B$295,generator!$K$2:$K$295,"ARGH")</f>
        <v>0</v>
      </c>
      <c r="FT6" s="3">
        <f>_xlfn.XLOOKUP(FT$1,generator!$B$2:$B$295,generator!$K$2:$K$295,"ARGH")</f>
        <v>0</v>
      </c>
      <c r="FU6" s="3">
        <f>_xlfn.XLOOKUP(FU$1,generator!$B$2:$B$295,generator!$K$2:$K$295,"ARGH")</f>
        <v>0</v>
      </c>
      <c r="FV6" s="3">
        <f>_xlfn.XLOOKUP(FV$1,generator!$B$2:$B$295,generator!$K$2:$K$295,"ARGH")</f>
        <v>0</v>
      </c>
      <c r="FW6" s="3">
        <f>_xlfn.XLOOKUP(FW$1,generator!$B$2:$B$295,generator!$K$2:$K$295,"ARGH")</f>
        <v>0</v>
      </c>
      <c r="FX6" s="3">
        <f>_xlfn.XLOOKUP(FX$1,generator!$B$2:$B$295,generator!$K$2:$K$295,"ARGH")</f>
        <v>0</v>
      </c>
      <c r="FY6" s="3">
        <f>_xlfn.XLOOKUP(FY$1,generator!$B$2:$B$295,generator!$K$2:$K$295,"ARGH")</f>
        <v>0</v>
      </c>
      <c r="FZ6" s="3">
        <f>_xlfn.XLOOKUP(FZ$1,generator!$B$2:$B$295,generator!$K$2:$K$295,"ARGH")</f>
        <v>0</v>
      </c>
      <c r="GA6" s="3">
        <f>_xlfn.XLOOKUP(GA$1,generator!$B$2:$B$295,generator!$K$2:$K$295,"ARGH")</f>
        <v>0</v>
      </c>
      <c r="GB6" s="3">
        <f>_xlfn.XLOOKUP(GB$1,generator!$B$2:$B$295,generator!$K$2:$K$295,"ARGH")</f>
        <v>0</v>
      </c>
      <c r="GC6" s="3">
        <f>_xlfn.XLOOKUP(GC$1,generator!$B$2:$B$295,generator!$K$2:$K$295,"ARGH")</f>
        <v>0</v>
      </c>
      <c r="GD6" s="3">
        <f>_xlfn.XLOOKUP(GD$1,generator!$B$2:$B$295,generator!$K$2:$K$295,"ARGH")</f>
        <v>0</v>
      </c>
      <c r="GE6" s="3">
        <f>_xlfn.XLOOKUP(GE$1,generator!$B$2:$B$295,generator!$K$2:$K$295,"ARGH")</f>
        <v>0</v>
      </c>
      <c r="GF6" s="3">
        <f>_xlfn.XLOOKUP(GF$1,generator!$B$2:$B$295,generator!$K$2:$K$295,"ARGH")</f>
        <v>0</v>
      </c>
      <c r="GG6" s="3">
        <f>_xlfn.XLOOKUP(GG$1,generator!$B$2:$B$295,generator!$K$2:$K$295,"ARGH")</f>
        <v>0</v>
      </c>
      <c r="GH6" s="3">
        <f>_xlfn.XLOOKUP(GH$1,generator!$B$2:$B$295,generator!$K$2:$K$295,"ARGH")</f>
        <v>0</v>
      </c>
      <c r="GI6" s="3">
        <f>_xlfn.XLOOKUP(GI$1,generator!$B$2:$B$295,generator!$K$2:$K$295,"ARGH")</f>
        <v>0</v>
      </c>
      <c r="GJ6" s="3">
        <f>_xlfn.XLOOKUP(GJ$1,generator!$B$2:$B$295,generator!$K$2:$K$295,"ARGH")</f>
        <v>0</v>
      </c>
      <c r="GK6" s="3">
        <f>_xlfn.XLOOKUP(GK$1,generator!$B$2:$B$295,generator!$K$2:$K$295,"ARGH")</f>
        <v>0</v>
      </c>
      <c r="GL6" s="3">
        <f>_xlfn.XLOOKUP(GL$1,generator!$B$2:$B$295,generator!$K$2:$K$295,"ARGH")</f>
        <v>0</v>
      </c>
      <c r="GM6" s="3">
        <f>_xlfn.XLOOKUP(GM$1,generator!$B$2:$B$295,generator!$K$2:$K$295,"ARGH")</f>
        <v>0</v>
      </c>
      <c r="GN6" s="3">
        <f>_xlfn.XLOOKUP(GN$1,generator!$B$2:$B$295,generator!$K$2:$K$295,"ARGH")</f>
        <v>0</v>
      </c>
      <c r="GO6" s="3">
        <f>_xlfn.XLOOKUP(GO$1,generator!$B$2:$B$295,generator!$K$2:$K$295,"ARGH")</f>
        <v>0</v>
      </c>
      <c r="GP6" s="3">
        <f>_xlfn.XLOOKUP(GP$1,generator!$B$2:$B$295,generator!$K$2:$K$295,"ARGH")</f>
        <v>0</v>
      </c>
      <c r="GQ6" s="3">
        <f>_xlfn.XLOOKUP(GQ$1,generator!$B$2:$B$295,generator!$K$2:$K$295,"ARGH")</f>
        <v>0</v>
      </c>
      <c r="GR6" s="3">
        <f>_xlfn.XLOOKUP(GR$1,generator!$B$2:$B$295,generator!$K$2:$K$295,"ARGH")</f>
        <v>0</v>
      </c>
      <c r="GS6" s="3">
        <f>_xlfn.XLOOKUP(GS$1,generator!$B$2:$B$295,generator!$K$2:$K$295,"ARGH")</f>
        <v>0</v>
      </c>
      <c r="GT6" s="3">
        <f>_xlfn.XLOOKUP(GT$1,generator!$B$2:$B$295,generator!$K$2:$K$295,"ARGH")</f>
        <v>0</v>
      </c>
      <c r="GU6" s="3">
        <f>_xlfn.XLOOKUP(GU$1,generator!$B$2:$B$295,generator!$K$2:$K$295,"ARGH")</f>
        <v>0</v>
      </c>
      <c r="GV6" s="3">
        <f>_xlfn.XLOOKUP(GV$1,generator!$B$2:$B$295,generator!$K$2:$K$295,"ARGH")</f>
        <v>0</v>
      </c>
      <c r="GW6" s="3">
        <f>_xlfn.XLOOKUP(GW$1,generator!$B$2:$B$295,generator!$K$2:$K$295,"ARGH")</f>
        <v>0</v>
      </c>
      <c r="GX6" s="3">
        <f>_xlfn.XLOOKUP(GX$1,generator!$B$2:$B$295,generator!$K$2:$K$295,"ARGH")</f>
        <v>0</v>
      </c>
      <c r="GY6" s="3">
        <f>_xlfn.XLOOKUP(GY$1,generator!$B$2:$B$295,generator!$K$2:$K$295,"ARGH")</f>
        <v>0</v>
      </c>
      <c r="GZ6" s="3">
        <f>_xlfn.XLOOKUP(GZ$1,generator!$B$2:$B$295,generator!$K$2:$K$295,"ARGH")</f>
        <v>0</v>
      </c>
      <c r="HA6" s="3">
        <f>_xlfn.XLOOKUP(HA$1,generator!$B$2:$B$295,generator!$K$2:$K$295,"ARGH")</f>
        <v>0</v>
      </c>
      <c r="HB6" s="3">
        <f>_xlfn.XLOOKUP(HB$1,generator!$B$2:$B$295,generator!$K$2:$K$295,"ARGH")</f>
        <v>0</v>
      </c>
      <c r="HC6" s="3">
        <f>_xlfn.XLOOKUP(HC$1,generator!$B$2:$B$295,generator!$K$2:$K$295,"ARGH")</f>
        <v>0</v>
      </c>
      <c r="HD6" s="3">
        <f>_xlfn.XLOOKUP(HD$1,generator!$B$2:$B$295,generator!$K$2:$K$295,"ARGH")</f>
        <v>0</v>
      </c>
      <c r="HE6" s="3">
        <f>_xlfn.XLOOKUP(HE$1,generator!$B$2:$B$295,generator!$K$2:$K$295,"ARGH")</f>
        <v>12.74</v>
      </c>
      <c r="HF6" s="3">
        <f>_xlfn.XLOOKUP(HF$1,generator!$B$2:$B$295,generator!$K$2:$K$295,"ARGH")</f>
        <v>99</v>
      </c>
      <c r="HG6" s="3">
        <f>_xlfn.XLOOKUP(HG$1,generator!$B$2:$B$295,generator!$K$2:$K$295,"ARGH")</f>
        <v>99</v>
      </c>
      <c r="HH6" s="3">
        <f>_xlfn.XLOOKUP(HH$1,generator!$B$2:$B$295,generator!$K$2:$K$295,"ARGH")</f>
        <v>99</v>
      </c>
      <c r="HI6" s="3">
        <f>_xlfn.XLOOKUP(HI$1,generator!$B$2:$B$295,generator!$K$2:$K$295,"ARGH")</f>
        <v>8</v>
      </c>
      <c r="HJ6" s="3">
        <f>_xlfn.XLOOKUP(HJ$1,generator!$B$2:$B$295,generator!$K$2:$K$295,"ARGH")</f>
        <v>8</v>
      </c>
      <c r="HK6" s="3">
        <f>_xlfn.XLOOKUP(HK$1,generator!$B$2:$B$295,generator!$K$2:$K$295,"ARGH")</f>
        <v>8</v>
      </c>
      <c r="HL6" s="3">
        <f>_xlfn.XLOOKUP(HL$1,generator!$B$2:$B$295,generator!$K$2:$K$295,"ARGH")</f>
        <v>20</v>
      </c>
      <c r="HM6" s="3">
        <f>_xlfn.XLOOKUP(HM$1,generator!$B$2:$B$295,generator!$K$2:$K$295,"ARGH")</f>
        <v>20</v>
      </c>
      <c r="HN6" s="3">
        <f>_xlfn.XLOOKUP(HN$1,generator!$B$2:$B$295,generator!$K$2:$K$295,"ARGH")</f>
        <v>5</v>
      </c>
      <c r="HO6" s="3">
        <f>_xlfn.XLOOKUP(HO$1,generator!$B$2:$B$295,generator!$K$2:$K$295,"ARGH")</f>
        <v>5</v>
      </c>
      <c r="HP6" s="3">
        <f>_xlfn.XLOOKUP(HP$1,generator!$B$2:$B$295,generator!$K$2:$K$295,"ARGH")</f>
        <v>0.2</v>
      </c>
      <c r="HQ6" s="3">
        <f>_xlfn.XLOOKUP(HQ$1,generator!$B$2:$B$295,generator!$K$2:$K$295,"ARGH")</f>
        <v>5</v>
      </c>
      <c r="HR6" s="3">
        <f>_xlfn.XLOOKUP(HR$1,generator!$B$2:$B$295,generator!$K$2:$K$295,"ARGH")</f>
        <v>5</v>
      </c>
      <c r="HS6" s="3">
        <f>_xlfn.XLOOKUP(HS$1,generator!$B$2:$B$295,generator!$K$2:$K$295,"ARGH")</f>
        <v>12.82</v>
      </c>
      <c r="HT6" s="3">
        <f>_xlfn.XLOOKUP(HT$1,generator!$B$2:$B$295,generator!$K$2:$K$295,"ARGH")</f>
        <v>12.82</v>
      </c>
      <c r="HU6" s="3">
        <f>_xlfn.XLOOKUP(HU$1,generator!$B$2:$B$295,generator!$K$2:$K$295,"ARGH")</f>
        <v>25</v>
      </c>
      <c r="HV6" s="3">
        <f>_xlfn.XLOOKUP(HV$1,generator!$B$2:$B$295,generator!$K$2:$K$295,"ARGH")</f>
        <v>16</v>
      </c>
      <c r="HW6" s="3">
        <f>_xlfn.XLOOKUP(HW$1,generator!$B$2:$B$295,generator!$K$2:$K$295,"ARGH")</f>
        <v>5</v>
      </c>
      <c r="HX6" s="3">
        <f>_xlfn.XLOOKUP(HX$1,generator!$B$2:$B$295,generator!$K$2:$K$295,"ARGH")</f>
        <v>5</v>
      </c>
      <c r="HY6" s="3">
        <f>_xlfn.XLOOKUP(HY$1,generator!$B$2:$B$295,generator!$K$2:$K$295,"ARGH")</f>
        <v>63</v>
      </c>
      <c r="HZ6" s="3">
        <f>_xlfn.XLOOKUP(HZ$1,generator!$B$2:$B$295,generator!$K$2:$K$295,"ARGH")</f>
        <v>18</v>
      </c>
      <c r="IA6" s="3">
        <f>_xlfn.XLOOKUP(IA$1,generator!$B$2:$B$295,generator!$K$2:$K$295,"ARGH")</f>
        <v>121</v>
      </c>
      <c r="IB6" s="3">
        <f>_xlfn.XLOOKUP(IB$1,generator!$B$2:$B$295,generator!$K$2:$K$295,"ARGH")</f>
        <v>120</v>
      </c>
      <c r="IC6" s="3">
        <f>_xlfn.XLOOKUP(IC$1,generator!$B$2:$B$295,generator!$K$2:$K$295,"ARGH")</f>
        <v>0</v>
      </c>
      <c r="ID6" s="3">
        <f>_xlfn.XLOOKUP(ID$1,generator!$B$2:$B$295,generator!$K$2:$K$295,"ARGH")</f>
        <v>17</v>
      </c>
      <c r="IE6" s="3">
        <f>_xlfn.XLOOKUP(IE$1,generator!$B$2:$B$295,generator!$K$2:$K$295,"ARGH")</f>
        <v>194</v>
      </c>
      <c r="IF6" s="3">
        <f>_xlfn.XLOOKUP(IF$1,generator!$B$2:$B$295,generator!$K$2:$K$295,"ARGH")</f>
        <v>11.9</v>
      </c>
      <c r="IG6" s="3">
        <f>_xlfn.XLOOKUP(IG$1,generator!$B$2:$B$295,generator!$K$2:$K$295,"ARGH")</f>
        <v>11.9</v>
      </c>
      <c r="IH6" s="3">
        <f>_xlfn.XLOOKUP(IH$1,generator!$B$2:$B$295,generator!$K$2:$K$295,"ARGH")</f>
        <v>11.9</v>
      </c>
      <c r="II6" s="3">
        <f>_xlfn.XLOOKUP(II$1,generator!$B$2:$B$295,generator!$K$2:$K$295,"ARGH")</f>
        <v>11.9</v>
      </c>
      <c r="IJ6" s="3">
        <f>_xlfn.XLOOKUP(IJ$1,generator!$B$2:$B$295,generator!$K$2:$K$295,"ARGH")</f>
        <v>0</v>
      </c>
      <c r="IK6" s="3">
        <f>_xlfn.XLOOKUP(IK$1,generator!$B$2:$B$295,generator!$K$2:$K$295,"ARGH")</f>
        <v>3</v>
      </c>
      <c r="IL6" s="3">
        <f>_xlfn.XLOOKUP(IL$1,generator!$B$2:$B$295,generator!$K$2:$K$295,"ARGH")</f>
        <v>5</v>
      </c>
      <c r="IM6" s="3">
        <f>_xlfn.XLOOKUP(IM$1,generator!$B$2:$B$295,generator!$K$2:$K$295,"ARGH")</f>
        <v>5</v>
      </c>
      <c r="IN6" s="3">
        <f>_xlfn.XLOOKUP(IN$1,generator!$B$2:$B$295,generator!$K$2:$K$295,"ARGH")</f>
        <v>4</v>
      </c>
      <c r="IO6" s="3">
        <f>_xlfn.XLOOKUP(IO$1,generator!$B$2:$B$295,generator!$K$2:$K$295,"ARGH")</f>
        <v>4</v>
      </c>
      <c r="IP6" s="3">
        <f>_xlfn.XLOOKUP(IP$1,generator!$B$2:$B$295,generator!$K$2:$K$295,"ARGH")</f>
        <v>3</v>
      </c>
      <c r="IQ6" s="3">
        <f>_xlfn.XLOOKUP(IQ$1,generator!$B$2:$B$295,generator!$K$2:$K$295,"ARGH")</f>
        <v>1</v>
      </c>
      <c r="IR6" s="3">
        <f>_xlfn.XLOOKUP(IR$1,generator!$B$2:$B$295,generator!$K$2:$K$295,"ARGH")</f>
        <v>3</v>
      </c>
      <c r="IS6" s="3">
        <f>_xlfn.XLOOKUP(IS$1,generator!$B$2:$B$295,generator!$K$2:$K$295,"ARGH")</f>
        <v>3</v>
      </c>
      <c r="IT6" s="3">
        <f>_xlfn.XLOOKUP(IT$1,generator!$B$2:$B$295,generator!$K$2:$K$295,"ARGH")</f>
        <v>0</v>
      </c>
      <c r="IU6" s="3">
        <f>_xlfn.XLOOKUP(IU$1,generator!$B$2:$B$295,generator!$K$2:$K$295,"ARGH")</f>
        <v>3.99</v>
      </c>
      <c r="IV6" s="3">
        <f>_xlfn.XLOOKUP(IV$1,generator!$B$2:$B$295,generator!$K$2:$K$295,"ARGH")</f>
        <v>0.2</v>
      </c>
      <c r="IW6" s="3">
        <f>_xlfn.XLOOKUP(IW$1,generator!$B$2:$B$295,generator!$K$2:$K$295,"ARGH")</f>
        <v>15</v>
      </c>
      <c r="IX6" s="3">
        <f>_xlfn.XLOOKUP(IX$1,generator!$B$2:$B$295,generator!$K$2:$K$295,"ARGH")</f>
        <v>15</v>
      </c>
      <c r="IY6" s="3">
        <f>_xlfn.XLOOKUP(IY$1,generator!$B$2:$B$295,generator!$K$2:$K$295,"ARGH")</f>
        <v>15</v>
      </c>
      <c r="IZ6" s="3">
        <f>_xlfn.XLOOKUP(IZ$1,generator!$B$2:$B$295,generator!$K$2:$K$295,"ARGH")</f>
        <v>120</v>
      </c>
      <c r="JA6" s="3">
        <f>_xlfn.XLOOKUP(JA$1,generator!$B$2:$B$295,generator!$K$2:$K$295,"ARGH")</f>
        <v>40</v>
      </c>
      <c r="JB6" s="3">
        <f>_xlfn.XLOOKUP(JB$1,generator!$B$2:$B$295,generator!$K$2:$K$295,"ARGH")</f>
        <v>40</v>
      </c>
      <c r="JC6" s="3">
        <f>_xlfn.XLOOKUP(JC$1,generator!$B$2:$B$295,generator!$K$2:$K$295,"ARGH")</f>
        <v>113</v>
      </c>
      <c r="JD6" s="3">
        <f>_xlfn.XLOOKUP(JD$1,generator!$B$2:$B$295,generator!$K$2:$K$295,"ARGH")</f>
        <v>113</v>
      </c>
      <c r="JE6" s="3">
        <f>_xlfn.XLOOKUP(JE$1,generator!$B$2:$B$295,generator!$K$2:$K$295,"ARGH")</f>
        <v>211</v>
      </c>
      <c r="JF6" s="3">
        <f>_xlfn.XLOOKUP(JF$1,generator!$B$2:$B$295,generator!$K$2:$K$295,"ARGH")</f>
        <v>22.5</v>
      </c>
      <c r="JG6" s="3">
        <f>_xlfn.XLOOKUP(JG$1,generator!$B$2:$B$295,generator!$K$2:$K$295,"ARGH")</f>
        <v>1</v>
      </c>
      <c r="JH6" s="3">
        <f>_xlfn.XLOOKUP(JH$1,generator!$B$2:$B$295,generator!$K$2:$K$295,"ARGH")</f>
        <v>160</v>
      </c>
      <c r="JI6" s="3">
        <f>_xlfn.XLOOKUP(JI$1,generator!$B$2:$B$295,generator!$K$2:$K$295,"ARGH")</f>
        <v>165</v>
      </c>
      <c r="JJ6" s="3">
        <f>_xlfn.XLOOKUP(JJ$1,generator!$B$2:$B$295,generator!$K$2:$K$295,"ARGH")</f>
        <v>4.5999999999999996</v>
      </c>
      <c r="JK6" s="3">
        <f>_xlfn.XLOOKUP(JK$1,generator!$B$2:$B$295,generator!$K$2:$K$295,"ARGH")</f>
        <v>4.5999999999999996</v>
      </c>
      <c r="JL6" s="3">
        <f>_xlfn.XLOOKUP(JL$1,generator!$B$2:$B$295,generator!$K$2:$K$295,"ARGH")</f>
        <v>4.5999999999999996</v>
      </c>
      <c r="JM6" s="3">
        <f>_xlfn.XLOOKUP(JM$1,generator!$B$2:$B$295,generator!$K$2:$K$295,"ARGH")</f>
        <v>4.5999999999999996</v>
      </c>
      <c r="JN6" s="3">
        <f>_xlfn.XLOOKUP(JN$1,generator!$B$2:$B$295,generator!$K$2:$K$295,"ARGH")</f>
        <v>4.5999999999999996</v>
      </c>
      <c r="JO6" s="3">
        <f>_xlfn.XLOOKUP(JO$1,generator!$B$2:$B$295,generator!$K$2:$K$295,"ARGH")</f>
        <v>4.5999999999999996</v>
      </c>
      <c r="JP6" s="3">
        <f>_xlfn.XLOOKUP(JP$1,generator!$B$2:$B$295,generator!$K$2:$K$295,"ARGH")</f>
        <v>110</v>
      </c>
      <c r="JQ6" s="3">
        <f>_xlfn.XLOOKUP(JQ$1,generator!$B$2:$B$295,generator!$K$2:$K$295,"ARGH")</f>
        <v>22.7</v>
      </c>
      <c r="JR6" s="3">
        <f>_xlfn.XLOOKUP(JR$1,generator!$B$2:$B$295,generator!$K$2:$K$295,"ARGH")</f>
        <v>147</v>
      </c>
      <c r="JS6" s="3">
        <f>_xlfn.XLOOKUP(JS$1,generator!$B$2:$B$295,generator!$K$2:$K$295,"ARGH")</f>
        <v>147</v>
      </c>
      <c r="JT6" s="3">
        <f>_xlfn.XLOOKUP(JT$1,generator!$B$2:$B$295,generator!$K$2:$K$295,"ARGH")</f>
        <v>22.7</v>
      </c>
      <c r="JU6" s="3">
        <f>_xlfn.XLOOKUP(JU$1,generator!$B$2:$B$295,generator!$K$2:$K$295,"ARGH")</f>
        <v>21.5</v>
      </c>
      <c r="JV6" s="3">
        <f>_xlfn.XLOOKUP(JV$1,generator!$B$2:$B$295,generator!$K$2:$K$295,"ARGH")</f>
        <v>120</v>
      </c>
      <c r="JW6" s="3">
        <f>_xlfn.XLOOKUP(JW$1,generator!$B$2:$B$295,generator!$K$2:$K$295,"ARGH")</f>
        <v>120</v>
      </c>
      <c r="JX6" s="3">
        <f>_xlfn.XLOOKUP(JX$1,generator!$B$2:$B$295,generator!$K$2:$K$295,"ARGH")</f>
        <v>1</v>
      </c>
      <c r="JY6" s="3">
        <f>_xlfn.XLOOKUP(JY$1,generator!$B$2:$B$295,generator!$K$2:$K$295,"ARGH")</f>
        <v>41.15</v>
      </c>
      <c r="JZ6" s="3">
        <f>_xlfn.XLOOKUP(JZ$1,generator!$B$2:$B$295,generator!$K$2:$K$295,"ARGH")</f>
        <v>5</v>
      </c>
      <c r="KA6" s="3">
        <f>_xlfn.XLOOKUP(KA$1,generator!$B$2:$B$295,generator!$K$2:$K$295,"ARGH")</f>
        <v>5</v>
      </c>
      <c r="KB6" s="3">
        <f>_xlfn.XLOOKUP(KB$1,generator!$B$2:$B$295,generator!$K$2:$K$295,"ARGH")</f>
        <v>5</v>
      </c>
      <c r="KC6" s="3">
        <f>_xlfn.XLOOKUP(KC$1,generator!$B$2:$B$295,generator!$K$2:$K$295,"ARGH")</f>
        <v>5</v>
      </c>
    </row>
    <row r="7" spans="1:289" x14ac:dyDescent="0.3">
      <c r="A7" s="4" t="s">
        <v>3002</v>
      </c>
      <c r="B7" s="31">
        <v>0</v>
      </c>
      <c r="C7" s="31">
        <v>513</v>
      </c>
      <c r="D7" s="31">
        <v>315</v>
      </c>
      <c r="E7" s="3">
        <f>_xlfn.XLOOKUP(E$1,generator!$B$2:$B$295,generator!$K$2:$K$295,"ARGH")</f>
        <v>0</v>
      </c>
      <c r="F7" s="3">
        <f>_xlfn.XLOOKUP(F$1,generator!$B$2:$B$295,generator!$K$2:$K$295,"ARGH")</f>
        <v>0</v>
      </c>
      <c r="G7" s="3">
        <f>_xlfn.XLOOKUP(G$1,generator!$B$2:$B$295,generator!$K$2:$K$295,"ARGH")</f>
        <v>0</v>
      </c>
      <c r="H7" s="3">
        <f>_xlfn.XLOOKUP(H$1,generator!$B$2:$B$295,generator!$K$2:$K$295,"ARGH")</f>
        <v>0</v>
      </c>
      <c r="I7" s="3">
        <f>_xlfn.XLOOKUP(I$1,generator!$B$2:$B$295,generator!$K$2:$K$295,"ARGH")</f>
        <v>0</v>
      </c>
      <c r="J7" s="3">
        <f>_xlfn.XLOOKUP(J$1,generator!$B$2:$B$295,generator!$K$2:$K$295,"ARGH")</f>
        <v>0</v>
      </c>
      <c r="K7" s="3">
        <f>_xlfn.XLOOKUP(K$1,generator!$B$2:$B$295,generator!$K$2:$K$295,"ARGH")</f>
        <v>0</v>
      </c>
      <c r="L7" s="3">
        <f>_xlfn.XLOOKUP(L$1,generator!$B$2:$B$295,generator!$K$2:$K$295,"ARGH")</f>
        <v>0</v>
      </c>
      <c r="M7" s="3">
        <f>_xlfn.XLOOKUP(M$1,generator!$B$2:$B$295,generator!$K$2:$K$295,"ARGH")</f>
        <v>0</v>
      </c>
      <c r="N7" s="3">
        <f>_xlfn.XLOOKUP(N$1,generator!$B$2:$B$295,generator!$K$2:$K$295,"ARGH")</f>
        <v>0</v>
      </c>
      <c r="O7" s="3">
        <f>_xlfn.XLOOKUP(O$1,generator!$B$2:$B$295,generator!$K$2:$K$295,"ARGH")</f>
        <v>0</v>
      </c>
      <c r="P7" s="3">
        <f>_xlfn.XLOOKUP(P$1,generator!$B$2:$B$295,generator!$K$2:$K$295,"ARGH")</f>
        <v>0</v>
      </c>
      <c r="Q7" s="3">
        <f>_xlfn.XLOOKUP(Q$1,generator!$B$2:$B$295,generator!$K$2:$K$295,"ARGH")</f>
        <v>0</v>
      </c>
      <c r="R7" s="3">
        <f>_xlfn.XLOOKUP(R$1,generator!$B$2:$B$295,generator!$K$2:$K$295,"ARGH")</f>
        <v>0</v>
      </c>
      <c r="S7" s="3">
        <f>_xlfn.XLOOKUP(S$1,generator!$B$2:$B$295,generator!$K$2:$K$295,"ARGH")</f>
        <v>0</v>
      </c>
      <c r="T7" s="3">
        <f>_xlfn.XLOOKUP(T$1,generator!$B$2:$B$295,generator!$K$2:$K$295,"ARGH")</f>
        <v>0</v>
      </c>
      <c r="U7" s="3">
        <f>_xlfn.XLOOKUP(U$1,generator!$B$2:$B$295,generator!$K$2:$K$295,"ARGH")</f>
        <v>0</v>
      </c>
      <c r="V7" s="3">
        <f>_xlfn.XLOOKUP(V$1,generator!$B$2:$B$295,generator!$K$2:$K$295,"ARGH")</f>
        <v>0</v>
      </c>
      <c r="W7" s="3">
        <f>_xlfn.XLOOKUP(W$1,generator!$B$2:$B$295,generator!$K$2:$K$295,"ARGH")</f>
        <v>0</v>
      </c>
      <c r="X7" s="3">
        <f>_xlfn.XLOOKUP(X$1,generator!$B$2:$B$295,generator!$K$2:$K$295,"ARGH")</f>
        <v>0</v>
      </c>
      <c r="Y7" s="3">
        <f>_xlfn.XLOOKUP(Y$1,generator!$B$2:$B$295,generator!$K$2:$K$295,"ARGH")</f>
        <v>0</v>
      </c>
      <c r="Z7" s="3">
        <f>_xlfn.XLOOKUP(Z$1,generator!$B$2:$B$295,generator!$K$2:$K$295,"ARGH")</f>
        <v>0</v>
      </c>
      <c r="AA7" s="3">
        <f>_xlfn.XLOOKUP(AA$1,generator!$B$2:$B$295,generator!$K$2:$K$295,"ARGH")</f>
        <v>0</v>
      </c>
      <c r="AB7" s="3">
        <f>_xlfn.XLOOKUP(AB$1,generator!$B$2:$B$295,generator!$K$2:$K$295,"ARGH")</f>
        <v>0</v>
      </c>
      <c r="AC7" s="3">
        <f>_xlfn.XLOOKUP(AC$1,generator!$B$2:$B$295,generator!$K$2:$K$295,"ARGH")</f>
        <v>0</v>
      </c>
      <c r="AD7" s="3">
        <f>_xlfn.XLOOKUP(AD$1,generator!$B$2:$B$295,generator!$K$2:$K$295,"ARGH")</f>
        <v>0</v>
      </c>
      <c r="AE7" s="3">
        <f>_xlfn.XLOOKUP(AE$1,generator!$B$2:$B$295,generator!$K$2:$K$295,"ARGH")</f>
        <v>0</v>
      </c>
      <c r="AF7" s="3">
        <f>_xlfn.XLOOKUP(AF$1,generator!$B$2:$B$295,generator!$K$2:$K$295,"ARGH")</f>
        <v>0</v>
      </c>
      <c r="AG7" s="3">
        <f>_xlfn.XLOOKUP(AG$1,generator!$B$2:$B$295,generator!$K$2:$K$295,"ARGH")</f>
        <v>0</v>
      </c>
      <c r="AH7" s="3">
        <f>_xlfn.XLOOKUP(AH$1,generator!$B$2:$B$295,generator!$K$2:$K$295,"ARGH")</f>
        <v>0</v>
      </c>
      <c r="AI7" s="3">
        <f>_xlfn.XLOOKUP(AI$1,generator!$B$2:$B$295,generator!$K$2:$K$295,"ARGH")</f>
        <v>0</v>
      </c>
      <c r="AJ7" s="3">
        <f>_xlfn.XLOOKUP(AJ$1,generator!$B$2:$B$295,generator!$K$2:$K$295,"ARGH")</f>
        <v>0</v>
      </c>
      <c r="AK7" s="3">
        <f>_xlfn.XLOOKUP(AK$1,generator!$B$2:$B$295,generator!$K$2:$K$295,"ARGH")</f>
        <v>0</v>
      </c>
      <c r="AL7" s="3">
        <f>_xlfn.XLOOKUP(AL$1,generator!$B$2:$B$295,generator!$K$2:$K$295,"ARGH")</f>
        <v>0</v>
      </c>
      <c r="AM7" s="3">
        <f>_xlfn.XLOOKUP(AM$1,generator!$B$2:$B$295,generator!$K$2:$K$295,"ARGH")</f>
        <v>0</v>
      </c>
      <c r="AN7" s="3">
        <f>_xlfn.XLOOKUP(AN$1,generator!$B$2:$B$295,generator!$K$2:$K$295,"ARGH")</f>
        <v>0</v>
      </c>
      <c r="AO7" s="3">
        <f>_xlfn.XLOOKUP(AO$1,generator!$B$2:$B$295,generator!$K$2:$K$295,"ARGH")</f>
        <v>0</v>
      </c>
      <c r="AP7" s="3">
        <f>_xlfn.XLOOKUP(AP$1,generator!$B$2:$B$295,generator!$K$2:$K$295,"ARGH")</f>
        <v>0</v>
      </c>
      <c r="AQ7" s="3">
        <f>_xlfn.XLOOKUP(AQ$1,generator!$B$2:$B$295,generator!$K$2:$K$295,"ARGH")</f>
        <v>0</v>
      </c>
      <c r="AR7" s="3">
        <f>_xlfn.XLOOKUP(AR$1,generator!$B$2:$B$295,generator!$K$2:$K$295,"ARGH")</f>
        <v>0</v>
      </c>
      <c r="AS7" s="3">
        <f>_xlfn.XLOOKUP(AS$1,generator!$B$2:$B$295,generator!$K$2:$K$295,"ARGH")</f>
        <v>0</v>
      </c>
      <c r="AT7" s="3">
        <f>_xlfn.XLOOKUP(AT$1,generator!$B$2:$B$295,generator!$K$2:$K$295,"ARGH")</f>
        <v>0</v>
      </c>
      <c r="AU7" s="3">
        <f>_xlfn.XLOOKUP(AU$1,generator!$B$2:$B$295,generator!$K$2:$K$295,"ARGH")</f>
        <v>0</v>
      </c>
      <c r="AV7" s="3">
        <f>_xlfn.XLOOKUP(AV$1,generator!$B$2:$B$295,generator!$K$2:$K$295,"ARGH")</f>
        <v>0</v>
      </c>
      <c r="AW7" s="3">
        <f>_xlfn.XLOOKUP(AW$1,generator!$B$2:$B$295,generator!$K$2:$K$295,"ARGH")</f>
        <v>0</v>
      </c>
      <c r="AX7" s="3">
        <f>_xlfn.XLOOKUP(AX$1,generator!$B$2:$B$295,generator!$K$2:$K$295,"ARGH")</f>
        <v>0</v>
      </c>
      <c r="AY7" s="3">
        <f>_xlfn.XLOOKUP(AY$1,generator!$B$2:$B$295,generator!$K$2:$K$295,"ARGH")</f>
        <v>0</v>
      </c>
      <c r="AZ7" s="3">
        <f>_xlfn.XLOOKUP(AZ$1,generator!$B$2:$B$295,generator!$K$2:$K$295,"ARGH")</f>
        <v>0</v>
      </c>
      <c r="BA7" s="3">
        <f>_xlfn.XLOOKUP(BA$1,generator!$B$2:$B$295,generator!$K$2:$K$295,"ARGH")</f>
        <v>0</v>
      </c>
      <c r="BB7" s="3">
        <f>_xlfn.XLOOKUP(BB$1,generator!$B$2:$B$295,generator!$K$2:$K$295,"ARGH")</f>
        <v>0</v>
      </c>
      <c r="BC7" s="3">
        <f>_xlfn.XLOOKUP(BC$1,generator!$B$2:$B$295,generator!$K$2:$K$295,"ARGH")</f>
        <v>0</v>
      </c>
      <c r="BD7" s="3">
        <f>_xlfn.XLOOKUP(BD$1,generator!$B$2:$B$295,generator!$K$2:$K$295,"ARGH")</f>
        <v>0</v>
      </c>
      <c r="BE7" s="3">
        <f>_xlfn.XLOOKUP(BE$1,generator!$B$2:$B$295,generator!$K$2:$K$295,"ARGH")</f>
        <v>0</v>
      </c>
      <c r="BF7" s="3">
        <f>_xlfn.XLOOKUP(BF$1,generator!$B$2:$B$295,generator!$K$2:$K$295,"ARGH")</f>
        <v>0</v>
      </c>
      <c r="BG7" s="3">
        <f>_xlfn.XLOOKUP(BG$1,generator!$B$2:$B$295,generator!$K$2:$K$295,"ARGH")</f>
        <v>0</v>
      </c>
      <c r="BH7" s="3">
        <f>_xlfn.XLOOKUP(BH$1,generator!$B$2:$B$295,generator!$K$2:$K$295,"ARGH")</f>
        <v>0</v>
      </c>
      <c r="BI7" s="3">
        <f>_xlfn.XLOOKUP(BI$1,generator!$B$2:$B$295,generator!$K$2:$K$295,"ARGH")</f>
        <v>0</v>
      </c>
      <c r="BJ7" s="3">
        <f>_xlfn.XLOOKUP(BJ$1,generator!$B$2:$B$295,generator!$K$2:$K$295,"ARGH")</f>
        <v>0</v>
      </c>
      <c r="BK7" s="3">
        <f>_xlfn.XLOOKUP(BK$1,generator!$B$2:$B$295,generator!$K$2:$K$295,"ARGH")</f>
        <v>0</v>
      </c>
      <c r="BL7" s="3">
        <f>_xlfn.XLOOKUP(BL$1,generator!$B$2:$B$295,generator!$K$2:$K$295,"ARGH")</f>
        <v>0</v>
      </c>
      <c r="BM7" s="3">
        <f>_xlfn.XLOOKUP(BM$1,generator!$B$2:$B$295,generator!$K$2:$K$295,"ARGH")</f>
        <v>0</v>
      </c>
      <c r="BN7" s="3">
        <f>_xlfn.XLOOKUP(BN$1,generator!$B$2:$B$295,generator!$K$2:$K$295,"ARGH")</f>
        <v>0</v>
      </c>
      <c r="BO7" s="3">
        <f>_xlfn.XLOOKUP(BO$1,generator!$B$2:$B$295,generator!$K$2:$K$295,"ARGH")</f>
        <v>0</v>
      </c>
      <c r="BP7" s="3">
        <f>_xlfn.XLOOKUP(BP$1,generator!$B$2:$B$295,generator!$K$2:$K$295,"ARGH")</f>
        <v>0</v>
      </c>
      <c r="BQ7" s="3">
        <f>_xlfn.XLOOKUP(BQ$1,generator!$B$2:$B$295,generator!$K$2:$K$295,"ARGH")</f>
        <v>0</v>
      </c>
      <c r="BR7" s="3">
        <f>_xlfn.XLOOKUP(BR$1,generator!$B$2:$B$295,generator!$K$2:$K$295,"ARGH")</f>
        <v>0</v>
      </c>
      <c r="BS7" s="3">
        <f>_xlfn.XLOOKUP(BS$1,generator!$B$2:$B$295,generator!$K$2:$K$295,"ARGH")</f>
        <v>0</v>
      </c>
      <c r="BT7" s="3">
        <f>_xlfn.XLOOKUP(BT$1,generator!$B$2:$B$295,generator!$K$2:$K$295,"ARGH")</f>
        <v>0</v>
      </c>
      <c r="BU7" s="3">
        <f>_xlfn.XLOOKUP(BU$1,generator!$B$2:$B$295,generator!$K$2:$K$295,"ARGH")</f>
        <v>0</v>
      </c>
      <c r="BV7" s="3">
        <f>_xlfn.XLOOKUP(BV$1,generator!$B$2:$B$295,generator!$K$2:$K$295,"ARGH")</f>
        <v>0</v>
      </c>
      <c r="BW7" s="3">
        <f>_xlfn.XLOOKUP(BW$1,generator!$B$2:$B$295,generator!$K$2:$K$295,"ARGH")</f>
        <v>0</v>
      </c>
      <c r="BX7" s="3">
        <f>_xlfn.XLOOKUP(BX$1,generator!$B$2:$B$295,generator!$K$2:$K$295,"ARGH")</f>
        <v>0</v>
      </c>
      <c r="BY7" s="3">
        <f>_xlfn.XLOOKUP(BY$1,generator!$B$2:$B$295,generator!$K$2:$K$295,"ARGH")</f>
        <v>0</v>
      </c>
      <c r="BZ7" s="3">
        <f>_xlfn.XLOOKUP(BZ$1,generator!$B$2:$B$295,generator!$K$2:$K$295,"ARGH")</f>
        <v>0</v>
      </c>
      <c r="CA7" s="3">
        <f>_xlfn.XLOOKUP(CA$1,generator!$B$2:$B$295,generator!$K$2:$K$295,"ARGH")</f>
        <v>0</v>
      </c>
      <c r="CB7" s="3">
        <f>_xlfn.XLOOKUP(CB$1,generator!$B$2:$B$295,generator!$K$2:$K$295,"ARGH")</f>
        <v>0</v>
      </c>
      <c r="CC7" s="3">
        <f>_xlfn.XLOOKUP(CC$1,generator!$B$2:$B$295,generator!$K$2:$K$295,"ARGH")</f>
        <v>0</v>
      </c>
      <c r="CD7" s="3">
        <f>_xlfn.XLOOKUP(CD$1,generator!$B$2:$B$295,generator!$K$2:$K$295,"ARGH")</f>
        <v>0</v>
      </c>
      <c r="CE7" s="3">
        <f>_xlfn.XLOOKUP(CE$1,generator!$B$2:$B$295,generator!$K$2:$K$295,"ARGH")</f>
        <v>0</v>
      </c>
      <c r="CF7" s="3">
        <f>_xlfn.XLOOKUP(CF$1,generator!$B$2:$B$295,generator!$K$2:$K$295,"ARGH")</f>
        <v>0</v>
      </c>
      <c r="CG7" s="3">
        <f>_xlfn.XLOOKUP(CG$1,generator!$B$2:$B$295,generator!$K$2:$K$295,"ARGH")</f>
        <v>0</v>
      </c>
      <c r="CH7" s="3">
        <f>_xlfn.XLOOKUP(CH$1,generator!$B$2:$B$295,generator!$K$2:$K$295,"ARGH")</f>
        <v>0</v>
      </c>
      <c r="CI7" s="3">
        <f>_xlfn.XLOOKUP(CI$1,generator!$B$2:$B$295,generator!$K$2:$K$295,"ARGH")</f>
        <v>0</v>
      </c>
      <c r="CJ7" s="3">
        <f>_xlfn.XLOOKUP(CJ$1,generator!$B$2:$B$295,generator!$K$2:$K$295,"ARGH")</f>
        <v>0</v>
      </c>
      <c r="CK7" s="3">
        <f>_xlfn.XLOOKUP(CK$1,generator!$B$2:$B$295,generator!$K$2:$K$295,"ARGH")</f>
        <v>0</v>
      </c>
      <c r="CL7" s="3">
        <f>_xlfn.XLOOKUP(CL$1,generator!$B$2:$B$295,generator!$K$2:$K$295,"ARGH")</f>
        <v>0</v>
      </c>
      <c r="CM7" s="3">
        <f>_xlfn.XLOOKUP(CM$1,generator!$B$2:$B$295,generator!$K$2:$K$295,"ARGH")</f>
        <v>0</v>
      </c>
      <c r="CN7" s="3">
        <f>_xlfn.XLOOKUP(CN$1,generator!$B$2:$B$295,generator!$K$2:$K$295,"ARGH")</f>
        <v>0</v>
      </c>
      <c r="CO7" s="3">
        <f>_xlfn.XLOOKUP(CO$1,generator!$B$2:$B$295,generator!$K$2:$K$295,"ARGH")</f>
        <v>0</v>
      </c>
      <c r="CP7" s="3">
        <f>_xlfn.XLOOKUP(CP$1,generator!$B$2:$B$295,generator!$K$2:$K$295,"ARGH")</f>
        <v>0</v>
      </c>
      <c r="CQ7" s="3">
        <f>_xlfn.XLOOKUP(CQ$1,generator!$B$2:$B$295,generator!$K$2:$K$295,"ARGH")</f>
        <v>0</v>
      </c>
      <c r="CR7" s="3">
        <f>_xlfn.XLOOKUP(CR$1,generator!$B$2:$B$295,generator!$K$2:$K$295,"ARGH")</f>
        <v>0</v>
      </c>
      <c r="CS7" s="3">
        <f>_xlfn.XLOOKUP(CS$1,generator!$B$2:$B$295,generator!$K$2:$K$295,"ARGH")</f>
        <v>0</v>
      </c>
      <c r="CT7" s="3">
        <f>_xlfn.XLOOKUP(CT$1,generator!$B$2:$B$295,generator!$K$2:$K$295,"ARGH")</f>
        <v>0</v>
      </c>
      <c r="CU7" s="3">
        <f>_xlfn.XLOOKUP(CU$1,generator!$B$2:$B$295,generator!$K$2:$K$295,"ARGH")</f>
        <v>0</v>
      </c>
      <c r="CV7" s="3">
        <f>_xlfn.XLOOKUP(CV$1,generator!$B$2:$B$295,generator!$K$2:$K$295,"ARGH")</f>
        <v>0</v>
      </c>
      <c r="CW7" s="3">
        <f>_xlfn.XLOOKUP(CW$1,generator!$B$2:$B$295,generator!$K$2:$K$295,"ARGH")</f>
        <v>0</v>
      </c>
      <c r="CX7" s="3">
        <f>_xlfn.XLOOKUP(CX$1,generator!$B$2:$B$295,generator!$K$2:$K$295,"ARGH")</f>
        <v>0</v>
      </c>
      <c r="CY7" s="3">
        <f>_xlfn.XLOOKUP(CY$1,generator!$B$2:$B$295,generator!$K$2:$K$295,"ARGH")</f>
        <v>0</v>
      </c>
      <c r="CZ7" s="3">
        <f>_xlfn.XLOOKUP(CZ$1,generator!$B$2:$B$295,generator!$K$2:$K$295,"ARGH")</f>
        <v>0</v>
      </c>
      <c r="DA7" s="3">
        <f>_xlfn.XLOOKUP(DA$1,generator!$B$2:$B$295,generator!$K$2:$K$295,"ARGH")</f>
        <v>0</v>
      </c>
      <c r="DB7" s="3">
        <f>_xlfn.XLOOKUP(DB$1,generator!$B$2:$B$295,generator!$K$2:$K$295,"ARGH")</f>
        <v>0</v>
      </c>
      <c r="DC7" s="3">
        <f>_xlfn.XLOOKUP(DC$1,generator!$B$2:$B$295,generator!$K$2:$K$295,"ARGH")</f>
        <v>0</v>
      </c>
      <c r="DD7" s="3">
        <f>_xlfn.XLOOKUP(DD$1,generator!$B$2:$B$295,generator!$K$2:$K$295,"ARGH")</f>
        <v>0</v>
      </c>
      <c r="DE7" s="3">
        <f>_xlfn.XLOOKUP(DE$1,generator!$B$2:$B$295,generator!$K$2:$K$295,"ARGH")</f>
        <v>0</v>
      </c>
      <c r="DF7" s="3">
        <f>_xlfn.XLOOKUP(DF$1,generator!$B$2:$B$295,generator!$K$2:$K$295,"ARGH")</f>
        <v>0</v>
      </c>
      <c r="DG7" s="3">
        <f>_xlfn.XLOOKUP(DG$1,generator!$B$2:$B$295,generator!$K$2:$K$295,"ARGH")</f>
        <v>0</v>
      </c>
      <c r="DH7" s="3">
        <f>_xlfn.XLOOKUP(DH$1,generator!$B$2:$B$295,generator!$K$2:$K$295,"ARGH")</f>
        <v>0</v>
      </c>
      <c r="DI7" s="3">
        <f>_xlfn.XLOOKUP(DI$1,generator!$B$2:$B$295,generator!$K$2:$K$295,"ARGH")</f>
        <v>0</v>
      </c>
      <c r="DJ7" s="3">
        <f>_xlfn.XLOOKUP(DJ$1,generator!$B$2:$B$295,generator!$K$2:$K$295,"ARGH")</f>
        <v>0</v>
      </c>
      <c r="DK7" s="3">
        <f>_xlfn.XLOOKUP(DK$1,generator!$B$2:$B$295,generator!$K$2:$K$295,"ARGH")</f>
        <v>0</v>
      </c>
      <c r="DL7" s="3">
        <f>_xlfn.XLOOKUP(DL$1,generator!$B$2:$B$295,generator!$K$2:$K$295,"ARGH")</f>
        <v>0</v>
      </c>
      <c r="DM7" s="3">
        <f>_xlfn.XLOOKUP(DM$1,generator!$B$2:$B$295,generator!$K$2:$K$295,"ARGH")</f>
        <v>0</v>
      </c>
      <c r="DN7" s="3">
        <f>_xlfn.XLOOKUP(DN$1,generator!$B$2:$B$295,generator!$K$2:$K$295,"ARGH")</f>
        <v>0</v>
      </c>
      <c r="DO7" s="3">
        <f>_xlfn.XLOOKUP(DO$1,generator!$B$2:$B$295,generator!$K$2:$K$295,"ARGH")</f>
        <v>0</v>
      </c>
      <c r="DP7" s="3">
        <f>_xlfn.XLOOKUP(DP$1,generator!$B$2:$B$295,generator!$K$2:$K$295,"ARGH")</f>
        <v>0</v>
      </c>
      <c r="DQ7" s="3">
        <f>_xlfn.XLOOKUP(DQ$1,generator!$B$2:$B$295,generator!$K$2:$K$295,"ARGH")</f>
        <v>0</v>
      </c>
      <c r="DR7" s="3">
        <f>_xlfn.XLOOKUP(DR$1,generator!$B$2:$B$295,generator!$K$2:$K$295,"ARGH")</f>
        <v>0</v>
      </c>
      <c r="DS7" s="3">
        <f>_xlfn.XLOOKUP(DS$1,generator!$B$2:$B$295,generator!$K$2:$K$295,"ARGH")</f>
        <v>0</v>
      </c>
      <c r="DT7" s="3">
        <f>_xlfn.XLOOKUP(DT$1,generator!$B$2:$B$295,generator!$K$2:$K$295,"ARGH")</f>
        <v>0</v>
      </c>
      <c r="DU7" s="3">
        <f>_xlfn.XLOOKUP(DU$1,generator!$B$2:$B$295,generator!$K$2:$K$295,"ARGH")</f>
        <v>0</v>
      </c>
      <c r="DV7" s="3">
        <f>_xlfn.XLOOKUP(DV$1,generator!$B$2:$B$295,generator!$K$2:$K$295,"ARGH")</f>
        <v>0</v>
      </c>
      <c r="DW7" s="3">
        <f>_xlfn.XLOOKUP(DW$1,generator!$B$2:$B$295,generator!$K$2:$K$295,"ARGH")</f>
        <v>0</v>
      </c>
      <c r="DX7" s="3">
        <f>_xlfn.XLOOKUP(DX$1,generator!$B$2:$B$295,generator!$K$2:$K$295,"ARGH")</f>
        <v>0</v>
      </c>
      <c r="DY7" s="3">
        <f>_xlfn.XLOOKUP(DY$1,generator!$B$2:$B$295,generator!$K$2:$K$295,"ARGH")</f>
        <v>0</v>
      </c>
      <c r="DZ7" s="3">
        <f>_xlfn.XLOOKUP(DZ$1,generator!$B$2:$B$295,generator!$K$2:$K$295,"ARGH")</f>
        <v>0</v>
      </c>
      <c r="EA7" s="3">
        <f>_xlfn.XLOOKUP(EA$1,generator!$B$2:$B$295,generator!$K$2:$K$295,"ARGH")</f>
        <v>0</v>
      </c>
      <c r="EB7" s="3">
        <f>_xlfn.XLOOKUP(EB$1,generator!$B$2:$B$295,generator!$K$2:$K$295,"ARGH")</f>
        <v>0</v>
      </c>
      <c r="EC7" s="3">
        <f>_xlfn.XLOOKUP(EC$1,generator!$B$2:$B$295,generator!$K$2:$K$295,"ARGH")</f>
        <v>0</v>
      </c>
      <c r="ED7" s="3">
        <f>_xlfn.XLOOKUP(ED$1,generator!$B$2:$B$295,generator!$K$2:$K$295,"ARGH")</f>
        <v>0</v>
      </c>
      <c r="EE7" s="3">
        <f>_xlfn.XLOOKUP(EE$1,generator!$B$2:$B$295,generator!$K$2:$K$295,"ARGH")</f>
        <v>0</v>
      </c>
      <c r="EF7" s="3">
        <f>_xlfn.XLOOKUP(EF$1,generator!$B$2:$B$295,generator!$K$2:$K$295,"ARGH")</f>
        <v>0</v>
      </c>
      <c r="EG7" s="3">
        <f>_xlfn.XLOOKUP(EG$1,generator!$B$2:$B$295,generator!$K$2:$K$295,"ARGH")</f>
        <v>0</v>
      </c>
      <c r="EH7" s="3">
        <f>_xlfn.XLOOKUP(EH$1,generator!$B$2:$B$295,generator!$K$2:$K$295,"ARGH")</f>
        <v>0</v>
      </c>
      <c r="EI7" s="3">
        <f>_xlfn.XLOOKUP(EI$1,generator!$B$2:$B$295,generator!$K$2:$K$295,"ARGH")</f>
        <v>0</v>
      </c>
      <c r="EJ7" s="3">
        <f>_xlfn.XLOOKUP(EJ$1,generator!$B$2:$B$295,generator!$K$2:$K$295,"ARGH")</f>
        <v>0</v>
      </c>
      <c r="EK7" s="3">
        <f>_xlfn.XLOOKUP(EK$1,generator!$B$2:$B$295,generator!$K$2:$K$295,"ARGH")</f>
        <v>0</v>
      </c>
      <c r="EL7" s="3">
        <f>_xlfn.XLOOKUP(EL$1,generator!$B$2:$B$295,generator!$K$2:$K$295,"ARGH")</f>
        <v>0</v>
      </c>
      <c r="EM7" s="3">
        <f>_xlfn.XLOOKUP(EM$1,generator!$B$2:$B$295,generator!$K$2:$K$295,"ARGH")</f>
        <v>0</v>
      </c>
      <c r="EN7" s="3">
        <f>_xlfn.XLOOKUP(EN$1,generator!$B$2:$B$295,generator!$K$2:$K$295,"ARGH")</f>
        <v>0</v>
      </c>
      <c r="EO7" s="3">
        <f>_xlfn.XLOOKUP(EO$1,generator!$B$2:$B$295,generator!$K$2:$K$295,"ARGH")</f>
        <v>0</v>
      </c>
      <c r="EP7" s="3">
        <f>_xlfn.XLOOKUP(EP$1,generator!$B$2:$B$295,generator!$K$2:$K$295,"ARGH")</f>
        <v>0</v>
      </c>
      <c r="EQ7" s="3">
        <f>_xlfn.XLOOKUP(EQ$1,generator!$B$2:$B$295,generator!$K$2:$K$295,"ARGH")</f>
        <v>0</v>
      </c>
      <c r="ER7" s="3">
        <f>_xlfn.XLOOKUP(ER$1,generator!$B$2:$B$295,generator!$K$2:$K$295,"ARGH")</f>
        <v>0</v>
      </c>
      <c r="ES7" s="3">
        <f>_xlfn.XLOOKUP(ES$1,generator!$B$2:$B$295,generator!$K$2:$K$295,"ARGH")</f>
        <v>0</v>
      </c>
      <c r="ET7" s="3">
        <f>_xlfn.XLOOKUP(ET$1,generator!$B$2:$B$295,generator!$K$2:$K$295,"ARGH")</f>
        <v>0</v>
      </c>
      <c r="EU7" s="3">
        <f>_xlfn.XLOOKUP(EU$1,generator!$B$2:$B$295,generator!$K$2:$K$295,"ARGH")</f>
        <v>0</v>
      </c>
      <c r="EV7" s="3">
        <f>_xlfn.XLOOKUP(EV$1,generator!$B$2:$B$295,generator!$K$2:$K$295,"ARGH")</f>
        <v>0</v>
      </c>
      <c r="EW7" s="3">
        <f>_xlfn.XLOOKUP(EW$1,generator!$B$2:$B$295,generator!$K$2:$K$295,"ARGH")</f>
        <v>0</v>
      </c>
      <c r="EX7" s="3">
        <f>_xlfn.XLOOKUP(EX$1,generator!$B$2:$B$295,generator!$K$2:$K$295,"ARGH")</f>
        <v>0</v>
      </c>
      <c r="EY7" s="3">
        <f>_xlfn.XLOOKUP(EY$1,generator!$B$2:$B$295,generator!$K$2:$K$295,"ARGH")</f>
        <v>0</v>
      </c>
      <c r="EZ7" s="3">
        <f>_xlfn.XLOOKUP(EZ$1,generator!$B$2:$B$295,generator!$K$2:$K$295,"ARGH")</f>
        <v>0</v>
      </c>
      <c r="FA7" s="3">
        <f>_xlfn.XLOOKUP(FA$1,generator!$B$2:$B$295,generator!$K$2:$K$295,"ARGH")</f>
        <v>0</v>
      </c>
      <c r="FB7" s="3">
        <f>_xlfn.XLOOKUP(FB$1,generator!$B$2:$B$295,generator!$K$2:$K$295,"ARGH")</f>
        <v>0</v>
      </c>
      <c r="FC7" s="3">
        <f>_xlfn.XLOOKUP(FC$1,generator!$B$2:$B$295,generator!$K$2:$K$295,"ARGH")</f>
        <v>0</v>
      </c>
      <c r="FD7" s="3">
        <f>_xlfn.XLOOKUP(FD$1,generator!$B$2:$B$295,generator!$K$2:$K$295,"ARGH")</f>
        <v>0</v>
      </c>
      <c r="FE7" s="3">
        <f>_xlfn.XLOOKUP(FE$1,generator!$B$2:$B$295,generator!$K$2:$K$295,"ARGH")</f>
        <v>0</v>
      </c>
      <c r="FF7" s="3">
        <f>_xlfn.XLOOKUP(FF$1,generator!$B$2:$B$295,generator!$K$2:$K$295,"ARGH")</f>
        <v>0</v>
      </c>
      <c r="FG7" s="3">
        <f>_xlfn.XLOOKUP(FG$1,generator!$B$2:$B$295,generator!$K$2:$K$295,"ARGH")</f>
        <v>0</v>
      </c>
      <c r="FH7" s="3">
        <f>_xlfn.XLOOKUP(FH$1,generator!$B$2:$B$295,generator!$K$2:$K$295,"ARGH")</f>
        <v>0</v>
      </c>
      <c r="FI7" s="3">
        <f>_xlfn.XLOOKUP(FI$1,generator!$B$2:$B$295,generator!$K$2:$K$295,"ARGH")</f>
        <v>0</v>
      </c>
      <c r="FJ7" s="3">
        <f>_xlfn.XLOOKUP(FJ$1,generator!$B$2:$B$295,generator!$K$2:$K$295,"ARGH")</f>
        <v>0</v>
      </c>
      <c r="FK7" s="3">
        <f>_xlfn.XLOOKUP(FK$1,generator!$B$2:$B$295,generator!$K$2:$K$295,"ARGH")</f>
        <v>0</v>
      </c>
      <c r="FL7" s="3">
        <f>_xlfn.XLOOKUP(FL$1,generator!$B$2:$B$295,generator!$K$2:$K$295,"ARGH")</f>
        <v>0</v>
      </c>
      <c r="FM7" s="3">
        <f>_xlfn.XLOOKUP(FM$1,generator!$B$2:$B$295,generator!$K$2:$K$295,"ARGH")</f>
        <v>0</v>
      </c>
      <c r="FN7" s="3">
        <f>_xlfn.XLOOKUP(FN$1,generator!$B$2:$B$295,generator!$K$2:$K$295,"ARGH")</f>
        <v>0</v>
      </c>
      <c r="FO7" s="3">
        <f>_xlfn.XLOOKUP(FO$1,generator!$B$2:$B$295,generator!$K$2:$K$295,"ARGH")</f>
        <v>0</v>
      </c>
      <c r="FP7" s="3">
        <f>_xlfn.XLOOKUP(FP$1,generator!$B$2:$B$295,generator!$K$2:$K$295,"ARGH")</f>
        <v>0</v>
      </c>
      <c r="FQ7" s="3">
        <f>_xlfn.XLOOKUP(FQ$1,generator!$B$2:$B$295,generator!$K$2:$K$295,"ARGH")</f>
        <v>0</v>
      </c>
      <c r="FR7" s="3">
        <f>_xlfn.XLOOKUP(FR$1,generator!$B$2:$B$295,generator!$K$2:$K$295,"ARGH")</f>
        <v>0</v>
      </c>
      <c r="FS7" s="3">
        <f>_xlfn.XLOOKUP(FS$1,generator!$B$2:$B$295,generator!$K$2:$K$295,"ARGH")</f>
        <v>0</v>
      </c>
      <c r="FT7" s="3">
        <f>_xlfn.XLOOKUP(FT$1,generator!$B$2:$B$295,generator!$K$2:$K$295,"ARGH")</f>
        <v>0</v>
      </c>
      <c r="FU7" s="3">
        <f>_xlfn.XLOOKUP(FU$1,generator!$B$2:$B$295,generator!$K$2:$K$295,"ARGH")</f>
        <v>0</v>
      </c>
      <c r="FV7" s="3">
        <f>_xlfn.XLOOKUP(FV$1,generator!$B$2:$B$295,generator!$K$2:$K$295,"ARGH")</f>
        <v>0</v>
      </c>
      <c r="FW7" s="3">
        <f>_xlfn.XLOOKUP(FW$1,generator!$B$2:$B$295,generator!$K$2:$K$295,"ARGH")</f>
        <v>0</v>
      </c>
      <c r="FX7" s="3">
        <f>_xlfn.XLOOKUP(FX$1,generator!$B$2:$B$295,generator!$K$2:$K$295,"ARGH")</f>
        <v>0</v>
      </c>
      <c r="FY7" s="3">
        <f>_xlfn.XLOOKUP(FY$1,generator!$B$2:$B$295,generator!$K$2:$K$295,"ARGH")</f>
        <v>0</v>
      </c>
      <c r="FZ7" s="3">
        <f>_xlfn.XLOOKUP(FZ$1,generator!$B$2:$B$295,generator!$K$2:$K$295,"ARGH")</f>
        <v>0</v>
      </c>
      <c r="GA7" s="3">
        <f>_xlfn.XLOOKUP(GA$1,generator!$B$2:$B$295,generator!$K$2:$K$295,"ARGH")</f>
        <v>0</v>
      </c>
      <c r="GB7" s="3">
        <f>_xlfn.XLOOKUP(GB$1,generator!$B$2:$B$295,generator!$K$2:$K$295,"ARGH")</f>
        <v>0</v>
      </c>
      <c r="GC7" s="3">
        <f>_xlfn.XLOOKUP(GC$1,generator!$B$2:$B$295,generator!$K$2:$K$295,"ARGH")</f>
        <v>0</v>
      </c>
      <c r="GD7" s="3">
        <f>_xlfn.XLOOKUP(GD$1,generator!$B$2:$B$295,generator!$K$2:$K$295,"ARGH")</f>
        <v>0</v>
      </c>
      <c r="GE7" s="3">
        <f>_xlfn.XLOOKUP(GE$1,generator!$B$2:$B$295,generator!$K$2:$K$295,"ARGH")</f>
        <v>0</v>
      </c>
      <c r="GF7" s="3">
        <f>_xlfn.XLOOKUP(GF$1,generator!$B$2:$B$295,generator!$K$2:$K$295,"ARGH")</f>
        <v>0</v>
      </c>
      <c r="GG7" s="3">
        <f>_xlfn.XLOOKUP(GG$1,generator!$B$2:$B$295,generator!$K$2:$K$295,"ARGH")</f>
        <v>0</v>
      </c>
      <c r="GH7" s="3">
        <f>_xlfn.XLOOKUP(GH$1,generator!$B$2:$B$295,generator!$K$2:$K$295,"ARGH")</f>
        <v>0</v>
      </c>
      <c r="GI7" s="3">
        <f>_xlfn.XLOOKUP(GI$1,generator!$B$2:$B$295,generator!$K$2:$K$295,"ARGH")</f>
        <v>0</v>
      </c>
      <c r="GJ7" s="3">
        <f>_xlfn.XLOOKUP(GJ$1,generator!$B$2:$B$295,generator!$K$2:$K$295,"ARGH")</f>
        <v>0</v>
      </c>
      <c r="GK7" s="3">
        <f>_xlfn.XLOOKUP(GK$1,generator!$B$2:$B$295,generator!$K$2:$K$295,"ARGH")</f>
        <v>0</v>
      </c>
      <c r="GL7" s="3">
        <f>_xlfn.XLOOKUP(GL$1,generator!$B$2:$B$295,generator!$K$2:$K$295,"ARGH")</f>
        <v>0</v>
      </c>
      <c r="GM7" s="3">
        <f>_xlfn.XLOOKUP(GM$1,generator!$B$2:$B$295,generator!$K$2:$K$295,"ARGH")</f>
        <v>0</v>
      </c>
      <c r="GN7" s="3">
        <f>_xlfn.XLOOKUP(GN$1,generator!$B$2:$B$295,generator!$K$2:$K$295,"ARGH")</f>
        <v>0</v>
      </c>
      <c r="GO7" s="3">
        <f>_xlfn.XLOOKUP(GO$1,generator!$B$2:$B$295,generator!$K$2:$K$295,"ARGH")</f>
        <v>0</v>
      </c>
      <c r="GP7" s="3">
        <f>_xlfn.XLOOKUP(GP$1,generator!$B$2:$B$295,generator!$K$2:$K$295,"ARGH")</f>
        <v>0</v>
      </c>
      <c r="GQ7" s="3">
        <f>_xlfn.XLOOKUP(GQ$1,generator!$B$2:$B$295,generator!$K$2:$K$295,"ARGH")</f>
        <v>0</v>
      </c>
      <c r="GR7" s="3">
        <f>_xlfn.XLOOKUP(GR$1,generator!$B$2:$B$295,generator!$K$2:$K$295,"ARGH")</f>
        <v>0</v>
      </c>
      <c r="GS7" s="3">
        <f>_xlfn.XLOOKUP(GS$1,generator!$B$2:$B$295,generator!$K$2:$K$295,"ARGH")</f>
        <v>0</v>
      </c>
      <c r="GT7" s="3">
        <f>_xlfn.XLOOKUP(GT$1,generator!$B$2:$B$295,generator!$K$2:$K$295,"ARGH")</f>
        <v>0</v>
      </c>
      <c r="GU7" s="3">
        <f>_xlfn.XLOOKUP(GU$1,generator!$B$2:$B$295,generator!$K$2:$K$295,"ARGH")</f>
        <v>0</v>
      </c>
      <c r="GV7" s="3">
        <f>_xlfn.XLOOKUP(GV$1,generator!$B$2:$B$295,generator!$K$2:$K$295,"ARGH")</f>
        <v>0</v>
      </c>
      <c r="GW7" s="3">
        <f>_xlfn.XLOOKUP(GW$1,generator!$B$2:$B$295,generator!$K$2:$K$295,"ARGH")</f>
        <v>0</v>
      </c>
      <c r="GX7" s="3">
        <f>_xlfn.XLOOKUP(GX$1,generator!$B$2:$B$295,generator!$K$2:$K$295,"ARGH")</f>
        <v>0</v>
      </c>
      <c r="GY7" s="3">
        <f>_xlfn.XLOOKUP(GY$1,generator!$B$2:$B$295,generator!$K$2:$K$295,"ARGH")</f>
        <v>0</v>
      </c>
      <c r="GZ7" s="3">
        <f>_xlfn.XLOOKUP(GZ$1,generator!$B$2:$B$295,generator!$K$2:$K$295,"ARGH")</f>
        <v>0</v>
      </c>
      <c r="HA7" s="3">
        <f>_xlfn.XLOOKUP(HA$1,generator!$B$2:$B$295,generator!$K$2:$K$295,"ARGH")</f>
        <v>0</v>
      </c>
      <c r="HB7" s="3">
        <f>_xlfn.XLOOKUP(HB$1,generator!$B$2:$B$295,generator!$K$2:$K$295,"ARGH")</f>
        <v>0</v>
      </c>
      <c r="HC7" s="3">
        <f>_xlfn.XLOOKUP(HC$1,generator!$B$2:$B$295,generator!$K$2:$K$295,"ARGH")</f>
        <v>0</v>
      </c>
      <c r="HD7" s="3">
        <f>_xlfn.XLOOKUP(HD$1,generator!$B$2:$B$295,generator!$K$2:$K$295,"ARGH")</f>
        <v>0</v>
      </c>
      <c r="HE7" s="3">
        <f>_xlfn.XLOOKUP(HE$1,generator!$B$2:$B$295,generator!$K$2:$K$295,"ARGH")</f>
        <v>12.74</v>
      </c>
      <c r="HF7" s="3">
        <f>_xlfn.XLOOKUP(HF$1,generator!$B$2:$B$295,generator!$K$2:$K$295,"ARGH")</f>
        <v>99</v>
      </c>
      <c r="HG7" s="3">
        <f>_xlfn.XLOOKUP(HG$1,generator!$B$2:$B$295,generator!$K$2:$K$295,"ARGH")</f>
        <v>99</v>
      </c>
      <c r="HH7" s="3">
        <f>_xlfn.XLOOKUP(HH$1,generator!$B$2:$B$295,generator!$K$2:$K$295,"ARGH")</f>
        <v>99</v>
      </c>
      <c r="HI7" s="3">
        <f>_xlfn.XLOOKUP(HI$1,generator!$B$2:$B$295,generator!$K$2:$K$295,"ARGH")</f>
        <v>8</v>
      </c>
      <c r="HJ7" s="3">
        <f>_xlfn.XLOOKUP(HJ$1,generator!$B$2:$B$295,generator!$K$2:$K$295,"ARGH")</f>
        <v>8</v>
      </c>
      <c r="HK7" s="3">
        <f>_xlfn.XLOOKUP(HK$1,generator!$B$2:$B$295,generator!$K$2:$K$295,"ARGH")</f>
        <v>8</v>
      </c>
      <c r="HL7" s="3">
        <f>_xlfn.XLOOKUP(HL$1,generator!$B$2:$B$295,generator!$K$2:$K$295,"ARGH")</f>
        <v>20</v>
      </c>
      <c r="HM7" s="3">
        <f>_xlfn.XLOOKUP(HM$1,generator!$B$2:$B$295,generator!$K$2:$K$295,"ARGH")</f>
        <v>20</v>
      </c>
      <c r="HN7" s="3">
        <f>_xlfn.XLOOKUP(HN$1,generator!$B$2:$B$295,generator!$K$2:$K$295,"ARGH")</f>
        <v>5</v>
      </c>
      <c r="HO7" s="3">
        <f>_xlfn.XLOOKUP(HO$1,generator!$B$2:$B$295,generator!$K$2:$K$295,"ARGH")</f>
        <v>5</v>
      </c>
      <c r="HP7" s="3">
        <f>_xlfn.XLOOKUP(HP$1,generator!$B$2:$B$295,generator!$K$2:$K$295,"ARGH")</f>
        <v>0.2</v>
      </c>
      <c r="HQ7" s="3">
        <f>_xlfn.XLOOKUP(HQ$1,generator!$B$2:$B$295,generator!$K$2:$K$295,"ARGH")</f>
        <v>5</v>
      </c>
      <c r="HR7" s="3">
        <f>_xlfn.XLOOKUP(HR$1,generator!$B$2:$B$295,generator!$K$2:$K$295,"ARGH")</f>
        <v>5</v>
      </c>
      <c r="HS7" s="3">
        <f>_xlfn.XLOOKUP(HS$1,generator!$B$2:$B$295,generator!$K$2:$K$295,"ARGH")</f>
        <v>12.82</v>
      </c>
      <c r="HT7" s="3">
        <f>_xlfn.XLOOKUP(HT$1,generator!$B$2:$B$295,generator!$K$2:$K$295,"ARGH")</f>
        <v>12.82</v>
      </c>
      <c r="HU7" s="3">
        <f>_xlfn.XLOOKUP(HU$1,generator!$B$2:$B$295,generator!$K$2:$K$295,"ARGH")</f>
        <v>25</v>
      </c>
      <c r="HV7" s="3">
        <f>_xlfn.XLOOKUP(HV$1,generator!$B$2:$B$295,generator!$K$2:$K$295,"ARGH")</f>
        <v>16</v>
      </c>
      <c r="HW7" s="3">
        <f>_xlfn.XLOOKUP(HW$1,generator!$B$2:$B$295,generator!$K$2:$K$295,"ARGH")</f>
        <v>5</v>
      </c>
      <c r="HX7" s="3">
        <f>_xlfn.XLOOKUP(HX$1,generator!$B$2:$B$295,generator!$K$2:$K$295,"ARGH")</f>
        <v>5</v>
      </c>
      <c r="HY7" s="3">
        <f>_xlfn.XLOOKUP(HY$1,generator!$B$2:$B$295,generator!$K$2:$K$295,"ARGH")</f>
        <v>63</v>
      </c>
      <c r="HZ7" s="3">
        <f>_xlfn.XLOOKUP(HZ$1,generator!$B$2:$B$295,generator!$K$2:$K$295,"ARGH")</f>
        <v>18</v>
      </c>
      <c r="IA7" s="3">
        <f>_xlfn.XLOOKUP(IA$1,generator!$B$2:$B$295,generator!$K$2:$K$295,"ARGH")</f>
        <v>121</v>
      </c>
      <c r="IB7" s="3">
        <f>_xlfn.XLOOKUP(IB$1,generator!$B$2:$B$295,generator!$K$2:$K$295,"ARGH")</f>
        <v>120</v>
      </c>
      <c r="IC7" s="3">
        <f>_xlfn.XLOOKUP(IC$1,generator!$B$2:$B$295,generator!$K$2:$K$295,"ARGH")</f>
        <v>0</v>
      </c>
      <c r="ID7" s="3">
        <f>_xlfn.XLOOKUP(ID$1,generator!$B$2:$B$295,generator!$K$2:$K$295,"ARGH")</f>
        <v>17</v>
      </c>
      <c r="IE7" s="3">
        <f>_xlfn.XLOOKUP(IE$1,generator!$B$2:$B$295,generator!$K$2:$K$295,"ARGH")</f>
        <v>194</v>
      </c>
      <c r="IF7" s="3">
        <f>_xlfn.XLOOKUP(IF$1,generator!$B$2:$B$295,generator!$K$2:$K$295,"ARGH")</f>
        <v>11.9</v>
      </c>
      <c r="IG7" s="3">
        <f>_xlfn.XLOOKUP(IG$1,generator!$B$2:$B$295,generator!$K$2:$K$295,"ARGH")</f>
        <v>11.9</v>
      </c>
      <c r="IH7" s="3">
        <f>_xlfn.XLOOKUP(IH$1,generator!$B$2:$B$295,generator!$K$2:$K$295,"ARGH")</f>
        <v>11.9</v>
      </c>
      <c r="II7" s="3">
        <f>_xlfn.XLOOKUP(II$1,generator!$B$2:$B$295,generator!$K$2:$K$295,"ARGH")</f>
        <v>11.9</v>
      </c>
      <c r="IJ7" s="3">
        <f>_xlfn.XLOOKUP(IJ$1,generator!$B$2:$B$295,generator!$K$2:$K$295,"ARGH")</f>
        <v>0</v>
      </c>
      <c r="IK7" s="3">
        <f>_xlfn.XLOOKUP(IK$1,generator!$B$2:$B$295,generator!$K$2:$K$295,"ARGH")</f>
        <v>3</v>
      </c>
      <c r="IL7" s="3">
        <f>_xlfn.XLOOKUP(IL$1,generator!$B$2:$B$295,generator!$K$2:$K$295,"ARGH")</f>
        <v>5</v>
      </c>
      <c r="IM7" s="3">
        <f>_xlfn.XLOOKUP(IM$1,generator!$B$2:$B$295,generator!$K$2:$K$295,"ARGH")</f>
        <v>5</v>
      </c>
      <c r="IN7" s="3">
        <f>_xlfn.XLOOKUP(IN$1,generator!$B$2:$B$295,generator!$K$2:$K$295,"ARGH")</f>
        <v>4</v>
      </c>
      <c r="IO7" s="3">
        <f>_xlfn.XLOOKUP(IO$1,generator!$B$2:$B$295,generator!$K$2:$K$295,"ARGH")</f>
        <v>4</v>
      </c>
      <c r="IP7" s="3">
        <f>_xlfn.XLOOKUP(IP$1,generator!$B$2:$B$295,generator!$K$2:$K$295,"ARGH")</f>
        <v>3</v>
      </c>
      <c r="IQ7" s="3">
        <f>_xlfn.XLOOKUP(IQ$1,generator!$B$2:$B$295,generator!$K$2:$K$295,"ARGH")</f>
        <v>1</v>
      </c>
      <c r="IR7" s="3">
        <f>_xlfn.XLOOKUP(IR$1,generator!$B$2:$B$295,generator!$K$2:$K$295,"ARGH")</f>
        <v>3</v>
      </c>
      <c r="IS7" s="3">
        <f>_xlfn.XLOOKUP(IS$1,generator!$B$2:$B$295,generator!$K$2:$K$295,"ARGH")</f>
        <v>3</v>
      </c>
      <c r="IT7" s="3">
        <f>_xlfn.XLOOKUP(IT$1,generator!$B$2:$B$295,generator!$K$2:$K$295,"ARGH")</f>
        <v>0</v>
      </c>
      <c r="IU7" s="3">
        <f>_xlfn.XLOOKUP(IU$1,generator!$B$2:$B$295,generator!$K$2:$K$295,"ARGH")</f>
        <v>3.99</v>
      </c>
      <c r="IV7" s="3">
        <f>_xlfn.XLOOKUP(IV$1,generator!$B$2:$B$295,generator!$K$2:$K$295,"ARGH")</f>
        <v>0.2</v>
      </c>
      <c r="IW7" s="3">
        <f>_xlfn.XLOOKUP(IW$1,generator!$B$2:$B$295,generator!$K$2:$K$295,"ARGH")</f>
        <v>15</v>
      </c>
      <c r="IX7" s="3">
        <f>_xlfn.XLOOKUP(IX$1,generator!$B$2:$B$295,generator!$K$2:$K$295,"ARGH")</f>
        <v>15</v>
      </c>
      <c r="IY7" s="3">
        <f>_xlfn.XLOOKUP(IY$1,generator!$B$2:$B$295,generator!$K$2:$K$295,"ARGH")</f>
        <v>15</v>
      </c>
      <c r="IZ7" s="3">
        <f>_xlfn.XLOOKUP(IZ$1,generator!$B$2:$B$295,generator!$K$2:$K$295,"ARGH")</f>
        <v>120</v>
      </c>
      <c r="JA7" s="3">
        <f>_xlfn.XLOOKUP(JA$1,generator!$B$2:$B$295,generator!$K$2:$K$295,"ARGH")</f>
        <v>40</v>
      </c>
      <c r="JB7" s="3">
        <f>_xlfn.XLOOKUP(JB$1,generator!$B$2:$B$295,generator!$K$2:$K$295,"ARGH")</f>
        <v>40</v>
      </c>
      <c r="JC7" s="3">
        <f>_xlfn.XLOOKUP(JC$1,generator!$B$2:$B$295,generator!$K$2:$K$295,"ARGH")</f>
        <v>113</v>
      </c>
      <c r="JD7" s="3">
        <f>_xlfn.XLOOKUP(JD$1,generator!$B$2:$B$295,generator!$K$2:$K$295,"ARGH")</f>
        <v>113</v>
      </c>
      <c r="JE7" s="3">
        <f>_xlfn.XLOOKUP(JE$1,generator!$B$2:$B$295,generator!$K$2:$K$295,"ARGH")</f>
        <v>211</v>
      </c>
      <c r="JF7" s="3">
        <f>_xlfn.XLOOKUP(JF$1,generator!$B$2:$B$295,generator!$K$2:$K$295,"ARGH")</f>
        <v>22.5</v>
      </c>
      <c r="JG7" s="3">
        <f>_xlfn.XLOOKUP(JG$1,generator!$B$2:$B$295,generator!$K$2:$K$295,"ARGH")</f>
        <v>1</v>
      </c>
      <c r="JH7" s="3">
        <f>_xlfn.XLOOKUP(JH$1,generator!$B$2:$B$295,generator!$K$2:$K$295,"ARGH")</f>
        <v>160</v>
      </c>
      <c r="JI7" s="3">
        <f>_xlfn.XLOOKUP(JI$1,generator!$B$2:$B$295,generator!$K$2:$K$295,"ARGH")</f>
        <v>165</v>
      </c>
      <c r="JJ7" s="3">
        <f>_xlfn.XLOOKUP(JJ$1,generator!$B$2:$B$295,generator!$K$2:$K$295,"ARGH")</f>
        <v>4.5999999999999996</v>
      </c>
      <c r="JK7" s="3">
        <f>_xlfn.XLOOKUP(JK$1,generator!$B$2:$B$295,generator!$K$2:$K$295,"ARGH")</f>
        <v>4.5999999999999996</v>
      </c>
      <c r="JL7" s="3">
        <f>_xlfn.XLOOKUP(JL$1,generator!$B$2:$B$295,generator!$K$2:$K$295,"ARGH")</f>
        <v>4.5999999999999996</v>
      </c>
      <c r="JM7" s="3">
        <f>_xlfn.XLOOKUP(JM$1,generator!$B$2:$B$295,generator!$K$2:$K$295,"ARGH")</f>
        <v>4.5999999999999996</v>
      </c>
      <c r="JN7" s="3">
        <f>_xlfn.XLOOKUP(JN$1,generator!$B$2:$B$295,generator!$K$2:$K$295,"ARGH")</f>
        <v>4.5999999999999996</v>
      </c>
      <c r="JO7" s="3">
        <f>_xlfn.XLOOKUP(JO$1,generator!$B$2:$B$295,generator!$K$2:$K$295,"ARGH")</f>
        <v>4.5999999999999996</v>
      </c>
      <c r="JP7" s="3">
        <f>_xlfn.XLOOKUP(JP$1,generator!$B$2:$B$295,generator!$K$2:$K$295,"ARGH")</f>
        <v>110</v>
      </c>
      <c r="JQ7" s="3">
        <f>_xlfn.XLOOKUP(JQ$1,generator!$B$2:$B$295,generator!$K$2:$K$295,"ARGH")</f>
        <v>22.7</v>
      </c>
      <c r="JR7" s="3">
        <f>_xlfn.XLOOKUP(JR$1,generator!$B$2:$B$295,generator!$K$2:$K$295,"ARGH")</f>
        <v>147</v>
      </c>
      <c r="JS7" s="3">
        <f>_xlfn.XLOOKUP(JS$1,generator!$B$2:$B$295,generator!$K$2:$K$295,"ARGH")</f>
        <v>147</v>
      </c>
      <c r="JT7" s="3">
        <f>_xlfn.XLOOKUP(JT$1,generator!$B$2:$B$295,generator!$K$2:$K$295,"ARGH")</f>
        <v>22.7</v>
      </c>
      <c r="JU7" s="3">
        <f>_xlfn.XLOOKUP(JU$1,generator!$B$2:$B$295,generator!$K$2:$K$295,"ARGH")</f>
        <v>21.5</v>
      </c>
      <c r="JV7" s="3">
        <f>_xlfn.XLOOKUP(JV$1,generator!$B$2:$B$295,generator!$K$2:$K$295,"ARGH")</f>
        <v>120</v>
      </c>
      <c r="JW7" s="3">
        <f>_xlfn.XLOOKUP(JW$1,generator!$B$2:$B$295,generator!$K$2:$K$295,"ARGH")</f>
        <v>120</v>
      </c>
      <c r="JX7" s="3">
        <f>_xlfn.XLOOKUP(JX$1,generator!$B$2:$B$295,generator!$K$2:$K$295,"ARGH")</f>
        <v>1</v>
      </c>
      <c r="JY7" s="3">
        <f>_xlfn.XLOOKUP(JY$1,generator!$B$2:$B$295,generator!$K$2:$K$295,"ARGH")</f>
        <v>41.15</v>
      </c>
      <c r="JZ7" s="3">
        <f>_xlfn.XLOOKUP(JZ$1,generator!$B$2:$B$295,generator!$K$2:$K$295,"ARGH")</f>
        <v>5</v>
      </c>
      <c r="KA7" s="3">
        <f>_xlfn.XLOOKUP(KA$1,generator!$B$2:$B$295,generator!$K$2:$K$295,"ARGH")</f>
        <v>5</v>
      </c>
      <c r="KB7" s="3">
        <f>_xlfn.XLOOKUP(KB$1,generator!$B$2:$B$295,generator!$K$2:$K$295,"ARGH")</f>
        <v>5</v>
      </c>
      <c r="KC7" s="3">
        <f>_xlfn.XLOOKUP(KC$1,generator!$B$2:$B$295,generator!$K$2:$K$295,"ARGH")</f>
        <v>5</v>
      </c>
    </row>
    <row r="8" spans="1:289" x14ac:dyDescent="0.3">
      <c r="A8" s="4" t="s">
        <v>3003</v>
      </c>
      <c r="B8" s="31">
        <v>0</v>
      </c>
      <c r="C8" s="31">
        <v>513</v>
      </c>
      <c r="D8" s="31">
        <v>315</v>
      </c>
      <c r="E8" s="3">
        <f>_xlfn.XLOOKUP(E$1,generator!$B$2:$B$295,generator!$K$2:$K$295,"ARGH")</f>
        <v>0</v>
      </c>
      <c r="F8" s="3">
        <f>_xlfn.XLOOKUP(F$1,generator!$B$2:$B$295,generator!$K$2:$K$295,"ARGH")</f>
        <v>0</v>
      </c>
      <c r="G8" s="3">
        <f>_xlfn.XLOOKUP(G$1,generator!$B$2:$B$295,generator!$K$2:$K$295,"ARGH")</f>
        <v>0</v>
      </c>
      <c r="H8" s="3">
        <f>_xlfn.XLOOKUP(H$1,generator!$B$2:$B$295,generator!$K$2:$K$295,"ARGH")</f>
        <v>0</v>
      </c>
      <c r="I8" s="3">
        <f>_xlfn.XLOOKUP(I$1,generator!$B$2:$B$295,generator!$K$2:$K$295,"ARGH")</f>
        <v>0</v>
      </c>
      <c r="J8" s="3">
        <f>_xlfn.XLOOKUP(J$1,generator!$B$2:$B$295,generator!$K$2:$K$295,"ARGH")</f>
        <v>0</v>
      </c>
      <c r="K8" s="3">
        <f>_xlfn.XLOOKUP(K$1,generator!$B$2:$B$295,generator!$K$2:$K$295,"ARGH")</f>
        <v>0</v>
      </c>
      <c r="L8" s="3">
        <f>_xlfn.XLOOKUP(L$1,generator!$B$2:$B$295,generator!$K$2:$K$295,"ARGH")</f>
        <v>0</v>
      </c>
      <c r="M8" s="3">
        <f>_xlfn.XLOOKUP(M$1,generator!$B$2:$B$295,generator!$K$2:$K$295,"ARGH")</f>
        <v>0</v>
      </c>
      <c r="N8" s="3">
        <f>_xlfn.XLOOKUP(N$1,generator!$B$2:$B$295,generator!$K$2:$K$295,"ARGH")</f>
        <v>0</v>
      </c>
      <c r="O8" s="3">
        <f>_xlfn.XLOOKUP(O$1,generator!$B$2:$B$295,generator!$K$2:$K$295,"ARGH")</f>
        <v>0</v>
      </c>
      <c r="P8" s="3">
        <f>_xlfn.XLOOKUP(P$1,generator!$B$2:$B$295,generator!$K$2:$K$295,"ARGH")</f>
        <v>0</v>
      </c>
      <c r="Q8" s="3">
        <f>_xlfn.XLOOKUP(Q$1,generator!$B$2:$B$295,generator!$K$2:$K$295,"ARGH")</f>
        <v>0</v>
      </c>
      <c r="R8" s="3">
        <f>_xlfn.XLOOKUP(R$1,generator!$B$2:$B$295,generator!$K$2:$K$295,"ARGH")</f>
        <v>0</v>
      </c>
      <c r="S8" s="3">
        <f>_xlfn.XLOOKUP(S$1,generator!$B$2:$B$295,generator!$K$2:$K$295,"ARGH")</f>
        <v>0</v>
      </c>
      <c r="T8" s="3">
        <f>_xlfn.XLOOKUP(T$1,generator!$B$2:$B$295,generator!$K$2:$K$295,"ARGH")</f>
        <v>0</v>
      </c>
      <c r="U8" s="3">
        <f>_xlfn.XLOOKUP(U$1,generator!$B$2:$B$295,generator!$K$2:$K$295,"ARGH")</f>
        <v>0</v>
      </c>
      <c r="V8" s="3">
        <f>_xlfn.XLOOKUP(V$1,generator!$B$2:$B$295,generator!$K$2:$K$295,"ARGH")</f>
        <v>0</v>
      </c>
      <c r="W8" s="3">
        <f>_xlfn.XLOOKUP(W$1,generator!$B$2:$B$295,generator!$K$2:$K$295,"ARGH")</f>
        <v>0</v>
      </c>
      <c r="X8" s="3">
        <f>_xlfn.XLOOKUP(X$1,generator!$B$2:$B$295,generator!$K$2:$K$295,"ARGH")</f>
        <v>0</v>
      </c>
      <c r="Y8" s="3">
        <f>_xlfn.XLOOKUP(Y$1,generator!$B$2:$B$295,generator!$K$2:$K$295,"ARGH")</f>
        <v>0</v>
      </c>
      <c r="Z8" s="3">
        <f>_xlfn.XLOOKUP(Z$1,generator!$B$2:$B$295,generator!$K$2:$K$295,"ARGH")</f>
        <v>0</v>
      </c>
      <c r="AA8" s="3">
        <f>_xlfn.XLOOKUP(AA$1,generator!$B$2:$B$295,generator!$K$2:$K$295,"ARGH")</f>
        <v>0</v>
      </c>
      <c r="AB8" s="3">
        <f>_xlfn.XLOOKUP(AB$1,generator!$B$2:$B$295,generator!$K$2:$K$295,"ARGH")</f>
        <v>0</v>
      </c>
      <c r="AC8" s="3">
        <f>_xlfn.XLOOKUP(AC$1,generator!$B$2:$B$295,generator!$K$2:$K$295,"ARGH")</f>
        <v>0</v>
      </c>
      <c r="AD8" s="3">
        <f>_xlfn.XLOOKUP(AD$1,generator!$B$2:$B$295,generator!$K$2:$K$295,"ARGH")</f>
        <v>0</v>
      </c>
      <c r="AE8" s="3">
        <f>_xlfn.XLOOKUP(AE$1,generator!$B$2:$B$295,generator!$K$2:$K$295,"ARGH")</f>
        <v>0</v>
      </c>
      <c r="AF8" s="3">
        <f>_xlfn.XLOOKUP(AF$1,generator!$B$2:$B$295,generator!$K$2:$K$295,"ARGH")</f>
        <v>0</v>
      </c>
      <c r="AG8" s="3">
        <f>_xlfn.XLOOKUP(AG$1,generator!$B$2:$B$295,generator!$K$2:$K$295,"ARGH")</f>
        <v>0</v>
      </c>
      <c r="AH8" s="3">
        <f>_xlfn.XLOOKUP(AH$1,generator!$B$2:$B$295,generator!$K$2:$K$295,"ARGH")</f>
        <v>0</v>
      </c>
      <c r="AI8" s="3">
        <f>_xlfn.XLOOKUP(AI$1,generator!$B$2:$B$295,generator!$K$2:$K$295,"ARGH")</f>
        <v>0</v>
      </c>
      <c r="AJ8" s="3">
        <f>_xlfn.XLOOKUP(AJ$1,generator!$B$2:$B$295,generator!$K$2:$K$295,"ARGH")</f>
        <v>0</v>
      </c>
      <c r="AK8" s="3">
        <f>_xlfn.XLOOKUP(AK$1,generator!$B$2:$B$295,generator!$K$2:$K$295,"ARGH")</f>
        <v>0</v>
      </c>
      <c r="AL8" s="3">
        <f>_xlfn.XLOOKUP(AL$1,generator!$B$2:$B$295,generator!$K$2:$K$295,"ARGH")</f>
        <v>0</v>
      </c>
      <c r="AM8" s="3">
        <f>_xlfn.XLOOKUP(AM$1,generator!$B$2:$B$295,generator!$K$2:$K$295,"ARGH")</f>
        <v>0</v>
      </c>
      <c r="AN8" s="3">
        <f>_xlfn.XLOOKUP(AN$1,generator!$B$2:$B$295,generator!$K$2:$K$295,"ARGH")</f>
        <v>0</v>
      </c>
      <c r="AO8" s="3">
        <f>_xlfn.XLOOKUP(AO$1,generator!$B$2:$B$295,generator!$K$2:$K$295,"ARGH")</f>
        <v>0</v>
      </c>
      <c r="AP8" s="3">
        <f>_xlfn.XLOOKUP(AP$1,generator!$B$2:$B$295,generator!$K$2:$K$295,"ARGH")</f>
        <v>0</v>
      </c>
      <c r="AQ8" s="3">
        <f>_xlfn.XLOOKUP(AQ$1,generator!$B$2:$B$295,generator!$K$2:$K$295,"ARGH")</f>
        <v>0</v>
      </c>
      <c r="AR8" s="3">
        <f>_xlfn.XLOOKUP(AR$1,generator!$B$2:$B$295,generator!$K$2:$K$295,"ARGH")</f>
        <v>0</v>
      </c>
      <c r="AS8" s="3">
        <f>_xlfn.XLOOKUP(AS$1,generator!$B$2:$B$295,generator!$K$2:$K$295,"ARGH")</f>
        <v>0</v>
      </c>
      <c r="AT8" s="3">
        <f>_xlfn.XLOOKUP(AT$1,generator!$B$2:$B$295,generator!$K$2:$K$295,"ARGH")</f>
        <v>0</v>
      </c>
      <c r="AU8" s="3">
        <f>_xlfn.XLOOKUP(AU$1,generator!$B$2:$B$295,generator!$K$2:$K$295,"ARGH")</f>
        <v>0</v>
      </c>
      <c r="AV8" s="3">
        <f>_xlfn.XLOOKUP(AV$1,generator!$B$2:$B$295,generator!$K$2:$K$295,"ARGH")</f>
        <v>0</v>
      </c>
      <c r="AW8" s="3">
        <f>_xlfn.XLOOKUP(AW$1,generator!$B$2:$B$295,generator!$K$2:$K$295,"ARGH")</f>
        <v>0</v>
      </c>
      <c r="AX8" s="3">
        <f>_xlfn.XLOOKUP(AX$1,generator!$B$2:$B$295,generator!$K$2:$K$295,"ARGH")</f>
        <v>0</v>
      </c>
      <c r="AY8" s="3">
        <f>_xlfn.XLOOKUP(AY$1,generator!$B$2:$B$295,generator!$K$2:$K$295,"ARGH")</f>
        <v>0</v>
      </c>
      <c r="AZ8" s="3">
        <f>_xlfn.XLOOKUP(AZ$1,generator!$B$2:$B$295,generator!$K$2:$K$295,"ARGH")</f>
        <v>0</v>
      </c>
      <c r="BA8" s="3">
        <f>_xlfn.XLOOKUP(BA$1,generator!$B$2:$B$295,generator!$K$2:$K$295,"ARGH")</f>
        <v>0</v>
      </c>
      <c r="BB8" s="3">
        <f>_xlfn.XLOOKUP(BB$1,generator!$B$2:$B$295,generator!$K$2:$K$295,"ARGH")</f>
        <v>0</v>
      </c>
      <c r="BC8" s="3">
        <f>_xlfn.XLOOKUP(BC$1,generator!$B$2:$B$295,generator!$K$2:$K$295,"ARGH")</f>
        <v>0</v>
      </c>
      <c r="BD8" s="3">
        <f>_xlfn.XLOOKUP(BD$1,generator!$B$2:$B$295,generator!$K$2:$K$295,"ARGH")</f>
        <v>0</v>
      </c>
      <c r="BE8" s="3">
        <f>_xlfn.XLOOKUP(BE$1,generator!$B$2:$B$295,generator!$K$2:$K$295,"ARGH")</f>
        <v>0</v>
      </c>
      <c r="BF8" s="3">
        <f>_xlfn.XLOOKUP(BF$1,generator!$B$2:$B$295,generator!$K$2:$K$295,"ARGH")</f>
        <v>0</v>
      </c>
      <c r="BG8" s="3">
        <f>_xlfn.XLOOKUP(BG$1,generator!$B$2:$B$295,generator!$K$2:$K$295,"ARGH")</f>
        <v>0</v>
      </c>
      <c r="BH8" s="3">
        <f>_xlfn.XLOOKUP(BH$1,generator!$B$2:$B$295,generator!$K$2:$K$295,"ARGH")</f>
        <v>0</v>
      </c>
      <c r="BI8" s="3">
        <f>_xlfn.XLOOKUP(BI$1,generator!$B$2:$B$295,generator!$K$2:$K$295,"ARGH")</f>
        <v>0</v>
      </c>
      <c r="BJ8" s="3">
        <f>_xlfn.XLOOKUP(BJ$1,generator!$B$2:$B$295,generator!$K$2:$K$295,"ARGH")</f>
        <v>0</v>
      </c>
      <c r="BK8" s="3">
        <f>_xlfn.XLOOKUP(BK$1,generator!$B$2:$B$295,generator!$K$2:$K$295,"ARGH")</f>
        <v>0</v>
      </c>
      <c r="BL8" s="3">
        <f>_xlfn.XLOOKUP(BL$1,generator!$B$2:$B$295,generator!$K$2:$K$295,"ARGH")</f>
        <v>0</v>
      </c>
      <c r="BM8" s="3">
        <f>_xlfn.XLOOKUP(BM$1,generator!$B$2:$B$295,generator!$K$2:$K$295,"ARGH")</f>
        <v>0</v>
      </c>
      <c r="BN8" s="3">
        <f>_xlfn.XLOOKUP(BN$1,generator!$B$2:$B$295,generator!$K$2:$K$295,"ARGH")</f>
        <v>0</v>
      </c>
      <c r="BO8" s="3">
        <f>_xlfn.XLOOKUP(BO$1,generator!$B$2:$B$295,generator!$K$2:$K$295,"ARGH")</f>
        <v>0</v>
      </c>
      <c r="BP8" s="3">
        <f>_xlfn.XLOOKUP(BP$1,generator!$B$2:$B$295,generator!$K$2:$K$295,"ARGH")</f>
        <v>0</v>
      </c>
      <c r="BQ8" s="3">
        <f>_xlfn.XLOOKUP(BQ$1,generator!$B$2:$B$295,generator!$K$2:$K$295,"ARGH")</f>
        <v>0</v>
      </c>
      <c r="BR8" s="3">
        <f>_xlfn.XLOOKUP(BR$1,generator!$B$2:$B$295,generator!$K$2:$K$295,"ARGH")</f>
        <v>0</v>
      </c>
      <c r="BS8" s="3">
        <f>_xlfn.XLOOKUP(BS$1,generator!$B$2:$B$295,generator!$K$2:$K$295,"ARGH")</f>
        <v>0</v>
      </c>
      <c r="BT8" s="3">
        <f>_xlfn.XLOOKUP(BT$1,generator!$B$2:$B$295,generator!$K$2:$K$295,"ARGH")</f>
        <v>0</v>
      </c>
      <c r="BU8" s="3">
        <f>_xlfn.XLOOKUP(BU$1,generator!$B$2:$B$295,generator!$K$2:$K$295,"ARGH")</f>
        <v>0</v>
      </c>
      <c r="BV8" s="3">
        <f>_xlfn.XLOOKUP(BV$1,generator!$B$2:$B$295,generator!$K$2:$K$295,"ARGH")</f>
        <v>0</v>
      </c>
      <c r="BW8" s="3">
        <f>_xlfn.XLOOKUP(BW$1,generator!$B$2:$B$295,generator!$K$2:$K$295,"ARGH")</f>
        <v>0</v>
      </c>
      <c r="BX8" s="3">
        <f>_xlfn.XLOOKUP(BX$1,generator!$B$2:$B$295,generator!$K$2:$K$295,"ARGH")</f>
        <v>0</v>
      </c>
      <c r="BY8" s="3">
        <f>_xlfn.XLOOKUP(BY$1,generator!$B$2:$B$295,generator!$K$2:$K$295,"ARGH")</f>
        <v>0</v>
      </c>
      <c r="BZ8" s="3">
        <f>_xlfn.XLOOKUP(BZ$1,generator!$B$2:$B$295,generator!$K$2:$K$295,"ARGH")</f>
        <v>0</v>
      </c>
      <c r="CA8" s="3">
        <f>_xlfn.XLOOKUP(CA$1,generator!$B$2:$B$295,generator!$K$2:$K$295,"ARGH")</f>
        <v>0</v>
      </c>
      <c r="CB8" s="3">
        <f>_xlfn.XLOOKUP(CB$1,generator!$B$2:$B$295,generator!$K$2:$K$295,"ARGH")</f>
        <v>0</v>
      </c>
      <c r="CC8" s="3">
        <f>_xlfn.XLOOKUP(CC$1,generator!$B$2:$B$295,generator!$K$2:$K$295,"ARGH")</f>
        <v>0</v>
      </c>
      <c r="CD8" s="3">
        <f>_xlfn.XLOOKUP(CD$1,generator!$B$2:$B$295,generator!$K$2:$K$295,"ARGH")</f>
        <v>0</v>
      </c>
      <c r="CE8" s="3">
        <f>_xlfn.XLOOKUP(CE$1,generator!$B$2:$B$295,generator!$K$2:$K$295,"ARGH")</f>
        <v>0</v>
      </c>
      <c r="CF8" s="3">
        <f>_xlfn.XLOOKUP(CF$1,generator!$B$2:$B$295,generator!$K$2:$K$295,"ARGH")</f>
        <v>0</v>
      </c>
      <c r="CG8" s="3">
        <f>_xlfn.XLOOKUP(CG$1,generator!$B$2:$B$295,generator!$K$2:$K$295,"ARGH")</f>
        <v>0</v>
      </c>
      <c r="CH8" s="3">
        <f>_xlfn.XLOOKUP(CH$1,generator!$B$2:$B$295,generator!$K$2:$K$295,"ARGH")</f>
        <v>0</v>
      </c>
      <c r="CI8" s="3">
        <f>_xlfn.XLOOKUP(CI$1,generator!$B$2:$B$295,generator!$K$2:$K$295,"ARGH")</f>
        <v>0</v>
      </c>
      <c r="CJ8" s="3">
        <f>_xlfn.XLOOKUP(CJ$1,generator!$B$2:$B$295,generator!$K$2:$K$295,"ARGH")</f>
        <v>0</v>
      </c>
      <c r="CK8" s="3">
        <f>_xlfn.XLOOKUP(CK$1,generator!$B$2:$B$295,generator!$K$2:$K$295,"ARGH")</f>
        <v>0</v>
      </c>
      <c r="CL8" s="3">
        <f>_xlfn.XLOOKUP(CL$1,generator!$B$2:$B$295,generator!$K$2:$K$295,"ARGH")</f>
        <v>0</v>
      </c>
      <c r="CM8" s="3">
        <f>_xlfn.XLOOKUP(CM$1,generator!$B$2:$B$295,generator!$K$2:$K$295,"ARGH")</f>
        <v>0</v>
      </c>
      <c r="CN8" s="3">
        <f>_xlfn.XLOOKUP(CN$1,generator!$B$2:$B$295,generator!$K$2:$K$295,"ARGH")</f>
        <v>0</v>
      </c>
      <c r="CO8" s="3">
        <f>_xlfn.XLOOKUP(CO$1,generator!$B$2:$B$295,generator!$K$2:$K$295,"ARGH")</f>
        <v>0</v>
      </c>
      <c r="CP8" s="3">
        <f>_xlfn.XLOOKUP(CP$1,generator!$B$2:$B$295,generator!$K$2:$K$295,"ARGH")</f>
        <v>0</v>
      </c>
      <c r="CQ8" s="3">
        <f>_xlfn.XLOOKUP(CQ$1,generator!$B$2:$B$295,generator!$K$2:$K$295,"ARGH")</f>
        <v>0</v>
      </c>
      <c r="CR8" s="3">
        <f>_xlfn.XLOOKUP(CR$1,generator!$B$2:$B$295,generator!$K$2:$K$295,"ARGH")</f>
        <v>0</v>
      </c>
      <c r="CS8" s="3">
        <f>_xlfn.XLOOKUP(CS$1,generator!$B$2:$B$295,generator!$K$2:$K$295,"ARGH")</f>
        <v>0</v>
      </c>
      <c r="CT8" s="3">
        <f>_xlfn.XLOOKUP(CT$1,generator!$B$2:$B$295,generator!$K$2:$K$295,"ARGH")</f>
        <v>0</v>
      </c>
      <c r="CU8" s="3">
        <f>_xlfn.XLOOKUP(CU$1,generator!$B$2:$B$295,generator!$K$2:$K$295,"ARGH")</f>
        <v>0</v>
      </c>
      <c r="CV8" s="3">
        <f>_xlfn.XLOOKUP(CV$1,generator!$B$2:$B$295,generator!$K$2:$K$295,"ARGH")</f>
        <v>0</v>
      </c>
      <c r="CW8" s="3">
        <f>_xlfn.XLOOKUP(CW$1,generator!$B$2:$B$295,generator!$K$2:$K$295,"ARGH")</f>
        <v>0</v>
      </c>
      <c r="CX8" s="3">
        <f>_xlfn.XLOOKUP(CX$1,generator!$B$2:$B$295,generator!$K$2:$K$295,"ARGH")</f>
        <v>0</v>
      </c>
      <c r="CY8" s="3">
        <f>_xlfn.XLOOKUP(CY$1,generator!$B$2:$B$295,generator!$K$2:$K$295,"ARGH")</f>
        <v>0</v>
      </c>
      <c r="CZ8" s="3">
        <f>_xlfn.XLOOKUP(CZ$1,generator!$B$2:$B$295,generator!$K$2:$K$295,"ARGH")</f>
        <v>0</v>
      </c>
      <c r="DA8" s="3">
        <f>_xlfn.XLOOKUP(DA$1,generator!$B$2:$B$295,generator!$K$2:$K$295,"ARGH")</f>
        <v>0</v>
      </c>
      <c r="DB8" s="3">
        <f>_xlfn.XLOOKUP(DB$1,generator!$B$2:$B$295,generator!$K$2:$K$295,"ARGH")</f>
        <v>0</v>
      </c>
      <c r="DC8" s="3">
        <f>_xlfn.XLOOKUP(DC$1,generator!$B$2:$B$295,generator!$K$2:$K$295,"ARGH")</f>
        <v>0</v>
      </c>
      <c r="DD8" s="3">
        <f>_xlfn.XLOOKUP(DD$1,generator!$B$2:$B$295,generator!$K$2:$K$295,"ARGH")</f>
        <v>0</v>
      </c>
      <c r="DE8" s="3">
        <f>_xlfn.XLOOKUP(DE$1,generator!$B$2:$B$295,generator!$K$2:$K$295,"ARGH")</f>
        <v>0</v>
      </c>
      <c r="DF8" s="3">
        <f>_xlfn.XLOOKUP(DF$1,generator!$B$2:$B$295,generator!$K$2:$K$295,"ARGH")</f>
        <v>0</v>
      </c>
      <c r="DG8" s="3">
        <f>_xlfn.XLOOKUP(DG$1,generator!$B$2:$B$295,generator!$K$2:$K$295,"ARGH")</f>
        <v>0</v>
      </c>
      <c r="DH8" s="3">
        <f>_xlfn.XLOOKUP(DH$1,generator!$B$2:$B$295,generator!$K$2:$K$295,"ARGH")</f>
        <v>0</v>
      </c>
      <c r="DI8" s="3">
        <f>_xlfn.XLOOKUP(DI$1,generator!$B$2:$B$295,generator!$K$2:$K$295,"ARGH")</f>
        <v>0</v>
      </c>
      <c r="DJ8" s="3">
        <f>_xlfn.XLOOKUP(DJ$1,generator!$B$2:$B$295,generator!$K$2:$K$295,"ARGH")</f>
        <v>0</v>
      </c>
      <c r="DK8" s="3">
        <f>_xlfn.XLOOKUP(DK$1,generator!$B$2:$B$295,generator!$K$2:$K$295,"ARGH")</f>
        <v>0</v>
      </c>
      <c r="DL8" s="3">
        <f>_xlfn.XLOOKUP(DL$1,generator!$B$2:$B$295,generator!$K$2:$K$295,"ARGH")</f>
        <v>0</v>
      </c>
      <c r="DM8" s="3">
        <f>_xlfn.XLOOKUP(DM$1,generator!$B$2:$B$295,generator!$K$2:$K$295,"ARGH")</f>
        <v>0</v>
      </c>
      <c r="DN8" s="3">
        <f>_xlfn.XLOOKUP(DN$1,generator!$B$2:$B$295,generator!$K$2:$K$295,"ARGH")</f>
        <v>0</v>
      </c>
      <c r="DO8" s="3">
        <f>_xlfn.XLOOKUP(DO$1,generator!$B$2:$B$295,generator!$K$2:$K$295,"ARGH")</f>
        <v>0</v>
      </c>
      <c r="DP8" s="3">
        <f>_xlfn.XLOOKUP(DP$1,generator!$B$2:$B$295,generator!$K$2:$K$295,"ARGH")</f>
        <v>0</v>
      </c>
      <c r="DQ8" s="3">
        <f>_xlfn.XLOOKUP(DQ$1,generator!$B$2:$B$295,generator!$K$2:$K$295,"ARGH")</f>
        <v>0</v>
      </c>
      <c r="DR8" s="3">
        <f>_xlfn.XLOOKUP(DR$1,generator!$B$2:$B$295,generator!$K$2:$K$295,"ARGH")</f>
        <v>0</v>
      </c>
      <c r="DS8" s="3">
        <f>_xlfn.XLOOKUP(DS$1,generator!$B$2:$B$295,generator!$K$2:$K$295,"ARGH")</f>
        <v>0</v>
      </c>
      <c r="DT8" s="3">
        <f>_xlfn.XLOOKUP(DT$1,generator!$B$2:$B$295,generator!$K$2:$K$295,"ARGH")</f>
        <v>0</v>
      </c>
      <c r="DU8" s="3">
        <f>_xlfn.XLOOKUP(DU$1,generator!$B$2:$B$295,generator!$K$2:$K$295,"ARGH")</f>
        <v>0</v>
      </c>
      <c r="DV8" s="3">
        <f>_xlfn.XLOOKUP(DV$1,generator!$B$2:$B$295,generator!$K$2:$K$295,"ARGH")</f>
        <v>0</v>
      </c>
      <c r="DW8" s="3">
        <f>_xlfn.XLOOKUP(DW$1,generator!$B$2:$B$295,generator!$K$2:$K$295,"ARGH")</f>
        <v>0</v>
      </c>
      <c r="DX8" s="3">
        <f>_xlfn.XLOOKUP(DX$1,generator!$B$2:$B$295,generator!$K$2:$K$295,"ARGH")</f>
        <v>0</v>
      </c>
      <c r="DY8" s="3">
        <f>_xlfn.XLOOKUP(DY$1,generator!$B$2:$B$295,generator!$K$2:$K$295,"ARGH")</f>
        <v>0</v>
      </c>
      <c r="DZ8" s="3">
        <f>_xlfn.XLOOKUP(DZ$1,generator!$B$2:$B$295,generator!$K$2:$K$295,"ARGH")</f>
        <v>0</v>
      </c>
      <c r="EA8" s="3">
        <f>_xlfn.XLOOKUP(EA$1,generator!$B$2:$B$295,generator!$K$2:$K$295,"ARGH")</f>
        <v>0</v>
      </c>
      <c r="EB8" s="3">
        <f>_xlfn.XLOOKUP(EB$1,generator!$B$2:$B$295,generator!$K$2:$K$295,"ARGH")</f>
        <v>0</v>
      </c>
      <c r="EC8" s="3">
        <f>_xlfn.XLOOKUP(EC$1,generator!$B$2:$B$295,generator!$K$2:$K$295,"ARGH")</f>
        <v>0</v>
      </c>
      <c r="ED8" s="3">
        <f>_xlfn.XLOOKUP(ED$1,generator!$B$2:$B$295,generator!$K$2:$K$295,"ARGH")</f>
        <v>0</v>
      </c>
      <c r="EE8" s="3">
        <f>_xlfn.XLOOKUP(EE$1,generator!$B$2:$B$295,generator!$K$2:$K$295,"ARGH")</f>
        <v>0</v>
      </c>
      <c r="EF8" s="3">
        <f>_xlfn.XLOOKUP(EF$1,generator!$B$2:$B$295,generator!$K$2:$K$295,"ARGH")</f>
        <v>0</v>
      </c>
      <c r="EG8" s="3">
        <f>_xlfn.XLOOKUP(EG$1,generator!$B$2:$B$295,generator!$K$2:$K$295,"ARGH")</f>
        <v>0</v>
      </c>
      <c r="EH8" s="3">
        <f>_xlfn.XLOOKUP(EH$1,generator!$B$2:$B$295,generator!$K$2:$K$295,"ARGH")</f>
        <v>0</v>
      </c>
      <c r="EI8" s="3">
        <f>_xlfn.XLOOKUP(EI$1,generator!$B$2:$B$295,generator!$K$2:$K$295,"ARGH")</f>
        <v>0</v>
      </c>
      <c r="EJ8" s="3">
        <f>_xlfn.XLOOKUP(EJ$1,generator!$B$2:$B$295,generator!$K$2:$K$295,"ARGH")</f>
        <v>0</v>
      </c>
      <c r="EK8" s="3">
        <f>_xlfn.XLOOKUP(EK$1,generator!$B$2:$B$295,generator!$K$2:$K$295,"ARGH")</f>
        <v>0</v>
      </c>
      <c r="EL8" s="3">
        <f>_xlfn.XLOOKUP(EL$1,generator!$B$2:$B$295,generator!$K$2:$K$295,"ARGH")</f>
        <v>0</v>
      </c>
      <c r="EM8" s="3">
        <f>_xlfn.XLOOKUP(EM$1,generator!$B$2:$B$295,generator!$K$2:$K$295,"ARGH")</f>
        <v>0</v>
      </c>
      <c r="EN8" s="3">
        <f>_xlfn.XLOOKUP(EN$1,generator!$B$2:$B$295,generator!$K$2:$K$295,"ARGH")</f>
        <v>0</v>
      </c>
      <c r="EO8" s="3">
        <f>_xlfn.XLOOKUP(EO$1,generator!$B$2:$B$295,generator!$K$2:$K$295,"ARGH")</f>
        <v>0</v>
      </c>
      <c r="EP8" s="3">
        <f>_xlfn.XLOOKUP(EP$1,generator!$B$2:$B$295,generator!$K$2:$K$295,"ARGH")</f>
        <v>0</v>
      </c>
      <c r="EQ8" s="3">
        <f>_xlfn.XLOOKUP(EQ$1,generator!$B$2:$B$295,generator!$K$2:$K$295,"ARGH")</f>
        <v>0</v>
      </c>
      <c r="ER8" s="3">
        <f>_xlfn.XLOOKUP(ER$1,generator!$B$2:$B$295,generator!$K$2:$K$295,"ARGH")</f>
        <v>0</v>
      </c>
      <c r="ES8" s="3">
        <f>_xlfn.XLOOKUP(ES$1,generator!$B$2:$B$295,generator!$K$2:$K$295,"ARGH")</f>
        <v>0</v>
      </c>
      <c r="ET8" s="3">
        <f>_xlfn.XLOOKUP(ET$1,generator!$B$2:$B$295,generator!$K$2:$K$295,"ARGH")</f>
        <v>0</v>
      </c>
      <c r="EU8" s="3">
        <f>_xlfn.XLOOKUP(EU$1,generator!$B$2:$B$295,generator!$K$2:$K$295,"ARGH")</f>
        <v>0</v>
      </c>
      <c r="EV8" s="3">
        <f>_xlfn.XLOOKUP(EV$1,generator!$B$2:$B$295,generator!$K$2:$K$295,"ARGH")</f>
        <v>0</v>
      </c>
      <c r="EW8" s="3">
        <f>_xlfn.XLOOKUP(EW$1,generator!$B$2:$B$295,generator!$K$2:$K$295,"ARGH")</f>
        <v>0</v>
      </c>
      <c r="EX8" s="3">
        <f>_xlfn.XLOOKUP(EX$1,generator!$B$2:$B$295,generator!$K$2:$K$295,"ARGH")</f>
        <v>0</v>
      </c>
      <c r="EY8" s="3">
        <f>_xlfn.XLOOKUP(EY$1,generator!$B$2:$B$295,generator!$K$2:$K$295,"ARGH")</f>
        <v>0</v>
      </c>
      <c r="EZ8" s="3">
        <f>_xlfn.XLOOKUP(EZ$1,generator!$B$2:$B$295,generator!$K$2:$K$295,"ARGH")</f>
        <v>0</v>
      </c>
      <c r="FA8" s="3">
        <f>_xlfn.XLOOKUP(FA$1,generator!$B$2:$B$295,generator!$K$2:$K$295,"ARGH")</f>
        <v>0</v>
      </c>
      <c r="FB8" s="3">
        <f>_xlfn.XLOOKUP(FB$1,generator!$B$2:$B$295,generator!$K$2:$K$295,"ARGH")</f>
        <v>0</v>
      </c>
      <c r="FC8" s="3">
        <f>_xlfn.XLOOKUP(FC$1,generator!$B$2:$B$295,generator!$K$2:$K$295,"ARGH")</f>
        <v>0</v>
      </c>
      <c r="FD8" s="3">
        <f>_xlfn.XLOOKUP(FD$1,generator!$B$2:$B$295,generator!$K$2:$K$295,"ARGH")</f>
        <v>0</v>
      </c>
      <c r="FE8" s="3">
        <f>_xlfn.XLOOKUP(FE$1,generator!$B$2:$B$295,generator!$K$2:$K$295,"ARGH")</f>
        <v>0</v>
      </c>
      <c r="FF8" s="3">
        <f>_xlfn.XLOOKUP(FF$1,generator!$B$2:$B$295,generator!$K$2:$K$295,"ARGH")</f>
        <v>0</v>
      </c>
      <c r="FG8" s="3">
        <f>_xlfn.XLOOKUP(FG$1,generator!$B$2:$B$295,generator!$K$2:$K$295,"ARGH")</f>
        <v>0</v>
      </c>
      <c r="FH8" s="3">
        <f>_xlfn.XLOOKUP(FH$1,generator!$B$2:$B$295,generator!$K$2:$K$295,"ARGH")</f>
        <v>0</v>
      </c>
      <c r="FI8" s="3">
        <f>_xlfn.XLOOKUP(FI$1,generator!$B$2:$B$295,generator!$K$2:$K$295,"ARGH")</f>
        <v>0</v>
      </c>
      <c r="FJ8" s="3">
        <f>_xlfn.XLOOKUP(FJ$1,generator!$B$2:$B$295,generator!$K$2:$K$295,"ARGH")</f>
        <v>0</v>
      </c>
      <c r="FK8" s="3">
        <f>_xlfn.XLOOKUP(FK$1,generator!$B$2:$B$295,generator!$K$2:$K$295,"ARGH")</f>
        <v>0</v>
      </c>
      <c r="FL8" s="3">
        <f>_xlfn.XLOOKUP(FL$1,generator!$B$2:$B$295,generator!$K$2:$K$295,"ARGH")</f>
        <v>0</v>
      </c>
      <c r="FM8" s="3">
        <f>_xlfn.XLOOKUP(FM$1,generator!$B$2:$B$295,generator!$K$2:$K$295,"ARGH")</f>
        <v>0</v>
      </c>
      <c r="FN8" s="3">
        <f>_xlfn.XLOOKUP(FN$1,generator!$B$2:$B$295,generator!$K$2:$K$295,"ARGH")</f>
        <v>0</v>
      </c>
      <c r="FO8" s="3">
        <f>_xlfn.XLOOKUP(FO$1,generator!$B$2:$B$295,generator!$K$2:$K$295,"ARGH")</f>
        <v>0</v>
      </c>
      <c r="FP8" s="3">
        <f>_xlfn.XLOOKUP(FP$1,generator!$B$2:$B$295,generator!$K$2:$K$295,"ARGH")</f>
        <v>0</v>
      </c>
      <c r="FQ8" s="3">
        <f>_xlfn.XLOOKUP(FQ$1,generator!$B$2:$B$295,generator!$K$2:$K$295,"ARGH")</f>
        <v>0</v>
      </c>
      <c r="FR8" s="3">
        <f>_xlfn.XLOOKUP(FR$1,generator!$B$2:$B$295,generator!$K$2:$K$295,"ARGH")</f>
        <v>0</v>
      </c>
      <c r="FS8" s="3">
        <f>_xlfn.XLOOKUP(FS$1,generator!$B$2:$B$295,generator!$K$2:$K$295,"ARGH")</f>
        <v>0</v>
      </c>
      <c r="FT8" s="3">
        <f>_xlfn.XLOOKUP(FT$1,generator!$B$2:$B$295,generator!$K$2:$K$295,"ARGH")</f>
        <v>0</v>
      </c>
      <c r="FU8" s="3">
        <f>_xlfn.XLOOKUP(FU$1,generator!$B$2:$B$295,generator!$K$2:$K$295,"ARGH")</f>
        <v>0</v>
      </c>
      <c r="FV8" s="3">
        <f>_xlfn.XLOOKUP(FV$1,generator!$B$2:$B$295,generator!$K$2:$K$295,"ARGH")</f>
        <v>0</v>
      </c>
      <c r="FW8" s="3">
        <f>_xlfn.XLOOKUP(FW$1,generator!$B$2:$B$295,generator!$K$2:$K$295,"ARGH")</f>
        <v>0</v>
      </c>
      <c r="FX8" s="3">
        <f>_xlfn.XLOOKUP(FX$1,generator!$B$2:$B$295,generator!$K$2:$K$295,"ARGH")</f>
        <v>0</v>
      </c>
      <c r="FY8" s="3">
        <f>_xlfn.XLOOKUP(FY$1,generator!$B$2:$B$295,generator!$K$2:$K$295,"ARGH")</f>
        <v>0</v>
      </c>
      <c r="FZ8" s="3">
        <f>_xlfn.XLOOKUP(FZ$1,generator!$B$2:$B$295,generator!$K$2:$K$295,"ARGH")</f>
        <v>0</v>
      </c>
      <c r="GA8" s="3">
        <f>_xlfn.XLOOKUP(GA$1,generator!$B$2:$B$295,generator!$K$2:$K$295,"ARGH")</f>
        <v>0</v>
      </c>
      <c r="GB8" s="3">
        <f>_xlfn.XLOOKUP(GB$1,generator!$B$2:$B$295,generator!$K$2:$K$295,"ARGH")</f>
        <v>0</v>
      </c>
      <c r="GC8" s="3">
        <f>_xlfn.XLOOKUP(GC$1,generator!$B$2:$B$295,generator!$K$2:$K$295,"ARGH")</f>
        <v>0</v>
      </c>
      <c r="GD8" s="3">
        <f>_xlfn.XLOOKUP(GD$1,generator!$B$2:$B$295,generator!$K$2:$K$295,"ARGH")</f>
        <v>0</v>
      </c>
      <c r="GE8" s="3">
        <f>_xlfn.XLOOKUP(GE$1,generator!$B$2:$B$295,generator!$K$2:$K$295,"ARGH")</f>
        <v>0</v>
      </c>
      <c r="GF8" s="3">
        <f>_xlfn.XLOOKUP(GF$1,generator!$B$2:$B$295,generator!$K$2:$K$295,"ARGH")</f>
        <v>0</v>
      </c>
      <c r="GG8" s="3">
        <f>_xlfn.XLOOKUP(GG$1,generator!$B$2:$B$295,generator!$K$2:$K$295,"ARGH")</f>
        <v>0</v>
      </c>
      <c r="GH8" s="3">
        <f>_xlfn.XLOOKUP(GH$1,generator!$B$2:$B$295,generator!$K$2:$K$295,"ARGH")</f>
        <v>0</v>
      </c>
      <c r="GI8" s="3">
        <f>_xlfn.XLOOKUP(GI$1,generator!$B$2:$B$295,generator!$K$2:$K$295,"ARGH")</f>
        <v>0</v>
      </c>
      <c r="GJ8" s="3">
        <f>_xlfn.XLOOKUP(GJ$1,generator!$B$2:$B$295,generator!$K$2:$K$295,"ARGH")</f>
        <v>0</v>
      </c>
      <c r="GK8" s="3">
        <f>_xlfn.XLOOKUP(GK$1,generator!$B$2:$B$295,generator!$K$2:$K$295,"ARGH")</f>
        <v>0</v>
      </c>
      <c r="GL8" s="3">
        <f>_xlfn.XLOOKUP(GL$1,generator!$B$2:$B$295,generator!$K$2:$K$295,"ARGH")</f>
        <v>0</v>
      </c>
      <c r="GM8" s="3">
        <f>_xlfn.XLOOKUP(GM$1,generator!$B$2:$B$295,generator!$K$2:$K$295,"ARGH")</f>
        <v>0</v>
      </c>
      <c r="GN8" s="3">
        <f>_xlfn.XLOOKUP(GN$1,generator!$B$2:$B$295,generator!$K$2:$K$295,"ARGH")</f>
        <v>0</v>
      </c>
      <c r="GO8" s="3">
        <f>_xlfn.XLOOKUP(GO$1,generator!$B$2:$B$295,generator!$K$2:$K$295,"ARGH")</f>
        <v>0</v>
      </c>
      <c r="GP8" s="3">
        <f>_xlfn.XLOOKUP(GP$1,generator!$B$2:$B$295,generator!$K$2:$K$295,"ARGH")</f>
        <v>0</v>
      </c>
      <c r="GQ8" s="3">
        <f>_xlfn.XLOOKUP(GQ$1,generator!$B$2:$B$295,generator!$K$2:$K$295,"ARGH")</f>
        <v>0</v>
      </c>
      <c r="GR8" s="3">
        <f>_xlfn.XLOOKUP(GR$1,generator!$B$2:$B$295,generator!$K$2:$K$295,"ARGH")</f>
        <v>0</v>
      </c>
      <c r="GS8" s="3">
        <f>_xlfn.XLOOKUP(GS$1,generator!$B$2:$B$295,generator!$K$2:$K$295,"ARGH")</f>
        <v>0</v>
      </c>
      <c r="GT8" s="3">
        <f>_xlfn.XLOOKUP(GT$1,generator!$B$2:$B$295,generator!$K$2:$K$295,"ARGH")</f>
        <v>0</v>
      </c>
      <c r="GU8" s="3">
        <f>_xlfn.XLOOKUP(GU$1,generator!$B$2:$B$295,generator!$K$2:$K$295,"ARGH")</f>
        <v>0</v>
      </c>
      <c r="GV8" s="3">
        <f>_xlfn.XLOOKUP(GV$1,generator!$B$2:$B$295,generator!$K$2:$K$295,"ARGH")</f>
        <v>0</v>
      </c>
      <c r="GW8" s="3">
        <f>_xlfn.XLOOKUP(GW$1,generator!$B$2:$B$295,generator!$K$2:$K$295,"ARGH")</f>
        <v>0</v>
      </c>
      <c r="GX8" s="3">
        <f>_xlfn.XLOOKUP(GX$1,generator!$B$2:$B$295,generator!$K$2:$K$295,"ARGH")</f>
        <v>0</v>
      </c>
      <c r="GY8" s="3">
        <f>_xlfn.XLOOKUP(GY$1,generator!$B$2:$B$295,generator!$K$2:$K$295,"ARGH")</f>
        <v>0</v>
      </c>
      <c r="GZ8" s="3">
        <f>_xlfn.XLOOKUP(GZ$1,generator!$B$2:$B$295,generator!$K$2:$K$295,"ARGH")</f>
        <v>0</v>
      </c>
      <c r="HA8" s="3">
        <f>_xlfn.XLOOKUP(HA$1,generator!$B$2:$B$295,generator!$K$2:$K$295,"ARGH")</f>
        <v>0</v>
      </c>
      <c r="HB8" s="3">
        <f>_xlfn.XLOOKUP(HB$1,generator!$B$2:$B$295,generator!$K$2:$K$295,"ARGH")</f>
        <v>0</v>
      </c>
      <c r="HC8" s="3">
        <f>_xlfn.XLOOKUP(HC$1,generator!$B$2:$B$295,generator!$K$2:$K$295,"ARGH")</f>
        <v>0</v>
      </c>
      <c r="HD8" s="3">
        <f>_xlfn.XLOOKUP(HD$1,generator!$B$2:$B$295,generator!$K$2:$K$295,"ARGH")</f>
        <v>0</v>
      </c>
      <c r="HE8" s="3">
        <f>_xlfn.XLOOKUP(HE$1,generator!$B$2:$B$295,generator!$K$2:$K$295,"ARGH")</f>
        <v>12.74</v>
      </c>
      <c r="HF8" s="3">
        <f>_xlfn.XLOOKUP(HF$1,generator!$B$2:$B$295,generator!$K$2:$K$295,"ARGH")</f>
        <v>99</v>
      </c>
      <c r="HG8" s="3">
        <f>_xlfn.XLOOKUP(HG$1,generator!$B$2:$B$295,generator!$K$2:$K$295,"ARGH")</f>
        <v>99</v>
      </c>
      <c r="HH8" s="3">
        <f>_xlfn.XLOOKUP(HH$1,generator!$B$2:$B$295,generator!$K$2:$K$295,"ARGH")</f>
        <v>99</v>
      </c>
      <c r="HI8" s="3">
        <f>_xlfn.XLOOKUP(HI$1,generator!$B$2:$B$295,generator!$K$2:$K$295,"ARGH")</f>
        <v>8</v>
      </c>
      <c r="HJ8" s="3">
        <f>_xlfn.XLOOKUP(HJ$1,generator!$B$2:$B$295,generator!$K$2:$K$295,"ARGH")</f>
        <v>8</v>
      </c>
      <c r="HK8" s="3">
        <f>_xlfn.XLOOKUP(HK$1,generator!$B$2:$B$295,generator!$K$2:$K$295,"ARGH")</f>
        <v>8</v>
      </c>
      <c r="HL8" s="3">
        <f>_xlfn.XLOOKUP(HL$1,generator!$B$2:$B$295,generator!$K$2:$K$295,"ARGH")</f>
        <v>20</v>
      </c>
      <c r="HM8" s="3">
        <f>_xlfn.XLOOKUP(HM$1,generator!$B$2:$B$295,generator!$K$2:$K$295,"ARGH")</f>
        <v>20</v>
      </c>
      <c r="HN8" s="3">
        <f>_xlfn.XLOOKUP(HN$1,generator!$B$2:$B$295,generator!$K$2:$K$295,"ARGH")</f>
        <v>5</v>
      </c>
      <c r="HO8" s="3">
        <f>_xlfn.XLOOKUP(HO$1,generator!$B$2:$B$295,generator!$K$2:$K$295,"ARGH")</f>
        <v>5</v>
      </c>
      <c r="HP8" s="3">
        <f>_xlfn.XLOOKUP(HP$1,generator!$B$2:$B$295,generator!$K$2:$K$295,"ARGH")</f>
        <v>0.2</v>
      </c>
      <c r="HQ8" s="3">
        <f>_xlfn.XLOOKUP(HQ$1,generator!$B$2:$B$295,generator!$K$2:$K$295,"ARGH")</f>
        <v>5</v>
      </c>
      <c r="HR8" s="3">
        <f>_xlfn.XLOOKUP(HR$1,generator!$B$2:$B$295,generator!$K$2:$K$295,"ARGH")</f>
        <v>5</v>
      </c>
      <c r="HS8" s="3">
        <f>_xlfn.XLOOKUP(HS$1,generator!$B$2:$B$295,generator!$K$2:$K$295,"ARGH")</f>
        <v>12.82</v>
      </c>
      <c r="HT8" s="3">
        <f>_xlfn.XLOOKUP(HT$1,generator!$B$2:$B$295,generator!$K$2:$K$295,"ARGH")</f>
        <v>12.82</v>
      </c>
      <c r="HU8" s="3">
        <f>_xlfn.XLOOKUP(HU$1,generator!$B$2:$B$295,generator!$K$2:$K$295,"ARGH")</f>
        <v>25</v>
      </c>
      <c r="HV8" s="3">
        <f>_xlfn.XLOOKUP(HV$1,generator!$B$2:$B$295,generator!$K$2:$K$295,"ARGH")</f>
        <v>16</v>
      </c>
      <c r="HW8" s="3">
        <f>_xlfn.XLOOKUP(HW$1,generator!$B$2:$B$295,generator!$K$2:$K$295,"ARGH")</f>
        <v>5</v>
      </c>
      <c r="HX8" s="3">
        <f>_xlfn.XLOOKUP(HX$1,generator!$B$2:$B$295,generator!$K$2:$K$295,"ARGH")</f>
        <v>5</v>
      </c>
      <c r="HY8" s="3">
        <f>_xlfn.XLOOKUP(HY$1,generator!$B$2:$B$295,generator!$K$2:$K$295,"ARGH")</f>
        <v>63</v>
      </c>
      <c r="HZ8" s="3">
        <f>_xlfn.XLOOKUP(HZ$1,generator!$B$2:$B$295,generator!$K$2:$K$295,"ARGH")</f>
        <v>18</v>
      </c>
      <c r="IA8" s="3">
        <f>_xlfn.XLOOKUP(IA$1,generator!$B$2:$B$295,generator!$K$2:$K$295,"ARGH")</f>
        <v>121</v>
      </c>
      <c r="IB8" s="3">
        <f>_xlfn.XLOOKUP(IB$1,generator!$B$2:$B$295,generator!$K$2:$K$295,"ARGH")</f>
        <v>120</v>
      </c>
      <c r="IC8" s="3">
        <f>_xlfn.XLOOKUP(IC$1,generator!$B$2:$B$295,generator!$K$2:$K$295,"ARGH")</f>
        <v>0</v>
      </c>
      <c r="ID8" s="3">
        <f>_xlfn.XLOOKUP(ID$1,generator!$B$2:$B$295,generator!$K$2:$K$295,"ARGH")</f>
        <v>17</v>
      </c>
      <c r="IE8" s="3">
        <f>_xlfn.XLOOKUP(IE$1,generator!$B$2:$B$295,generator!$K$2:$K$295,"ARGH")</f>
        <v>194</v>
      </c>
      <c r="IF8" s="3">
        <f>_xlfn.XLOOKUP(IF$1,generator!$B$2:$B$295,generator!$K$2:$K$295,"ARGH")</f>
        <v>11.9</v>
      </c>
      <c r="IG8" s="3">
        <f>_xlfn.XLOOKUP(IG$1,generator!$B$2:$B$295,generator!$K$2:$K$295,"ARGH")</f>
        <v>11.9</v>
      </c>
      <c r="IH8" s="3">
        <f>_xlfn.XLOOKUP(IH$1,generator!$B$2:$B$295,generator!$K$2:$K$295,"ARGH")</f>
        <v>11.9</v>
      </c>
      <c r="II8" s="3">
        <f>_xlfn.XLOOKUP(II$1,generator!$B$2:$B$295,generator!$K$2:$K$295,"ARGH")</f>
        <v>11.9</v>
      </c>
      <c r="IJ8" s="3">
        <f>_xlfn.XLOOKUP(IJ$1,generator!$B$2:$B$295,generator!$K$2:$K$295,"ARGH")</f>
        <v>0</v>
      </c>
      <c r="IK8" s="3">
        <f>_xlfn.XLOOKUP(IK$1,generator!$B$2:$B$295,generator!$K$2:$K$295,"ARGH")</f>
        <v>3</v>
      </c>
      <c r="IL8" s="3">
        <f>_xlfn.XLOOKUP(IL$1,generator!$B$2:$B$295,generator!$K$2:$K$295,"ARGH")</f>
        <v>5</v>
      </c>
      <c r="IM8" s="3">
        <f>_xlfn.XLOOKUP(IM$1,generator!$B$2:$B$295,generator!$K$2:$K$295,"ARGH")</f>
        <v>5</v>
      </c>
      <c r="IN8" s="3">
        <f>_xlfn.XLOOKUP(IN$1,generator!$B$2:$B$295,generator!$K$2:$K$295,"ARGH")</f>
        <v>4</v>
      </c>
      <c r="IO8" s="3">
        <f>_xlfn.XLOOKUP(IO$1,generator!$B$2:$B$295,generator!$K$2:$K$295,"ARGH")</f>
        <v>4</v>
      </c>
      <c r="IP8" s="3">
        <f>_xlfn.XLOOKUP(IP$1,generator!$B$2:$B$295,generator!$K$2:$K$295,"ARGH")</f>
        <v>3</v>
      </c>
      <c r="IQ8" s="3">
        <f>_xlfn.XLOOKUP(IQ$1,generator!$B$2:$B$295,generator!$K$2:$K$295,"ARGH")</f>
        <v>1</v>
      </c>
      <c r="IR8" s="3">
        <f>_xlfn.XLOOKUP(IR$1,generator!$B$2:$B$295,generator!$K$2:$K$295,"ARGH")</f>
        <v>3</v>
      </c>
      <c r="IS8" s="3">
        <f>_xlfn.XLOOKUP(IS$1,generator!$B$2:$B$295,generator!$K$2:$K$295,"ARGH")</f>
        <v>3</v>
      </c>
      <c r="IT8" s="3">
        <f>_xlfn.XLOOKUP(IT$1,generator!$B$2:$B$295,generator!$K$2:$K$295,"ARGH")</f>
        <v>0</v>
      </c>
      <c r="IU8" s="3">
        <f>_xlfn.XLOOKUP(IU$1,generator!$B$2:$B$295,generator!$K$2:$K$295,"ARGH")</f>
        <v>3.99</v>
      </c>
      <c r="IV8" s="3">
        <f>_xlfn.XLOOKUP(IV$1,generator!$B$2:$B$295,generator!$K$2:$K$295,"ARGH")</f>
        <v>0.2</v>
      </c>
      <c r="IW8" s="3">
        <f>_xlfn.XLOOKUP(IW$1,generator!$B$2:$B$295,generator!$K$2:$K$295,"ARGH")</f>
        <v>15</v>
      </c>
      <c r="IX8" s="3">
        <f>_xlfn.XLOOKUP(IX$1,generator!$B$2:$B$295,generator!$K$2:$K$295,"ARGH")</f>
        <v>15</v>
      </c>
      <c r="IY8" s="3">
        <f>_xlfn.XLOOKUP(IY$1,generator!$B$2:$B$295,generator!$K$2:$K$295,"ARGH")</f>
        <v>15</v>
      </c>
      <c r="IZ8" s="3">
        <f>_xlfn.XLOOKUP(IZ$1,generator!$B$2:$B$295,generator!$K$2:$K$295,"ARGH")</f>
        <v>120</v>
      </c>
      <c r="JA8" s="3">
        <f>_xlfn.XLOOKUP(JA$1,generator!$B$2:$B$295,generator!$K$2:$K$295,"ARGH")</f>
        <v>40</v>
      </c>
      <c r="JB8" s="3">
        <f>_xlfn.XLOOKUP(JB$1,generator!$B$2:$B$295,generator!$K$2:$K$295,"ARGH")</f>
        <v>40</v>
      </c>
      <c r="JC8" s="3">
        <f>_xlfn.XLOOKUP(JC$1,generator!$B$2:$B$295,generator!$K$2:$K$295,"ARGH")</f>
        <v>113</v>
      </c>
      <c r="JD8" s="3">
        <f>_xlfn.XLOOKUP(JD$1,generator!$B$2:$B$295,generator!$K$2:$K$295,"ARGH")</f>
        <v>113</v>
      </c>
      <c r="JE8" s="3">
        <f>_xlfn.XLOOKUP(JE$1,generator!$B$2:$B$295,generator!$K$2:$K$295,"ARGH")</f>
        <v>211</v>
      </c>
      <c r="JF8" s="3">
        <f>_xlfn.XLOOKUP(JF$1,generator!$B$2:$B$295,generator!$K$2:$K$295,"ARGH")</f>
        <v>22.5</v>
      </c>
      <c r="JG8" s="3">
        <f>_xlfn.XLOOKUP(JG$1,generator!$B$2:$B$295,generator!$K$2:$K$295,"ARGH")</f>
        <v>1</v>
      </c>
      <c r="JH8" s="3">
        <f>_xlfn.XLOOKUP(JH$1,generator!$B$2:$B$295,generator!$K$2:$K$295,"ARGH")</f>
        <v>160</v>
      </c>
      <c r="JI8" s="3">
        <f>_xlfn.XLOOKUP(JI$1,generator!$B$2:$B$295,generator!$K$2:$K$295,"ARGH")</f>
        <v>165</v>
      </c>
      <c r="JJ8" s="3">
        <f>_xlfn.XLOOKUP(JJ$1,generator!$B$2:$B$295,generator!$K$2:$K$295,"ARGH")</f>
        <v>4.5999999999999996</v>
      </c>
      <c r="JK8" s="3">
        <f>_xlfn.XLOOKUP(JK$1,generator!$B$2:$B$295,generator!$K$2:$K$295,"ARGH")</f>
        <v>4.5999999999999996</v>
      </c>
      <c r="JL8" s="3">
        <f>_xlfn.XLOOKUP(JL$1,generator!$B$2:$B$295,generator!$K$2:$K$295,"ARGH")</f>
        <v>4.5999999999999996</v>
      </c>
      <c r="JM8" s="3">
        <f>_xlfn.XLOOKUP(JM$1,generator!$B$2:$B$295,generator!$K$2:$K$295,"ARGH")</f>
        <v>4.5999999999999996</v>
      </c>
      <c r="JN8" s="3">
        <f>_xlfn.XLOOKUP(JN$1,generator!$B$2:$B$295,generator!$K$2:$K$295,"ARGH")</f>
        <v>4.5999999999999996</v>
      </c>
      <c r="JO8" s="3">
        <f>_xlfn.XLOOKUP(JO$1,generator!$B$2:$B$295,generator!$K$2:$K$295,"ARGH")</f>
        <v>4.5999999999999996</v>
      </c>
      <c r="JP8" s="3">
        <f>_xlfn.XLOOKUP(JP$1,generator!$B$2:$B$295,generator!$K$2:$K$295,"ARGH")</f>
        <v>110</v>
      </c>
      <c r="JQ8" s="3">
        <f>_xlfn.XLOOKUP(JQ$1,generator!$B$2:$B$295,generator!$K$2:$K$295,"ARGH")</f>
        <v>22.7</v>
      </c>
      <c r="JR8" s="3">
        <f>_xlfn.XLOOKUP(JR$1,generator!$B$2:$B$295,generator!$K$2:$K$295,"ARGH")</f>
        <v>147</v>
      </c>
      <c r="JS8" s="3">
        <f>_xlfn.XLOOKUP(JS$1,generator!$B$2:$B$295,generator!$K$2:$K$295,"ARGH")</f>
        <v>147</v>
      </c>
      <c r="JT8" s="3">
        <f>_xlfn.XLOOKUP(JT$1,generator!$B$2:$B$295,generator!$K$2:$K$295,"ARGH")</f>
        <v>22.7</v>
      </c>
      <c r="JU8" s="3">
        <f>_xlfn.XLOOKUP(JU$1,generator!$B$2:$B$295,generator!$K$2:$K$295,"ARGH")</f>
        <v>21.5</v>
      </c>
      <c r="JV8" s="3">
        <f>_xlfn.XLOOKUP(JV$1,generator!$B$2:$B$295,generator!$K$2:$K$295,"ARGH")</f>
        <v>120</v>
      </c>
      <c r="JW8" s="3">
        <f>_xlfn.XLOOKUP(JW$1,generator!$B$2:$B$295,generator!$K$2:$K$295,"ARGH")</f>
        <v>120</v>
      </c>
      <c r="JX8" s="3">
        <f>_xlfn.XLOOKUP(JX$1,generator!$B$2:$B$295,generator!$K$2:$K$295,"ARGH")</f>
        <v>1</v>
      </c>
      <c r="JY8" s="3">
        <f>_xlfn.XLOOKUP(JY$1,generator!$B$2:$B$295,generator!$K$2:$K$295,"ARGH")</f>
        <v>41.15</v>
      </c>
      <c r="JZ8" s="3">
        <f>_xlfn.XLOOKUP(JZ$1,generator!$B$2:$B$295,generator!$K$2:$K$295,"ARGH")</f>
        <v>5</v>
      </c>
      <c r="KA8" s="3">
        <f>_xlfn.XLOOKUP(KA$1,generator!$B$2:$B$295,generator!$K$2:$K$295,"ARGH")</f>
        <v>5</v>
      </c>
      <c r="KB8" s="3">
        <f>_xlfn.XLOOKUP(KB$1,generator!$B$2:$B$295,generator!$K$2:$K$295,"ARGH")</f>
        <v>5</v>
      </c>
      <c r="KC8" s="3">
        <f>_xlfn.XLOOKUP(KC$1,generator!$B$2:$B$295,generator!$K$2:$K$295,"ARGH")</f>
        <v>5</v>
      </c>
    </row>
    <row r="9" spans="1:289" x14ac:dyDescent="0.3">
      <c r="A9" s="4" t="s">
        <v>3004</v>
      </c>
      <c r="B9" s="31">
        <v>44.5</v>
      </c>
      <c r="C9" s="31">
        <v>513</v>
      </c>
      <c r="D9" s="31">
        <v>315</v>
      </c>
      <c r="E9" s="3">
        <f>_xlfn.XLOOKUP(E$1,generator!$B$2:$B$295,generator!$K$2:$K$295,"ARGH")</f>
        <v>0</v>
      </c>
      <c r="F9" s="3">
        <f>_xlfn.XLOOKUP(F$1,generator!$B$2:$B$295,generator!$K$2:$K$295,"ARGH")</f>
        <v>0</v>
      </c>
      <c r="G9" s="3">
        <f>_xlfn.XLOOKUP(G$1,generator!$B$2:$B$295,generator!$K$2:$K$295,"ARGH")</f>
        <v>0</v>
      </c>
      <c r="H9" s="3">
        <f>_xlfn.XLOOKUP(H$1,generator!$B$2:$B$295,generator!$K$2:$K$295,"ARGH")</f>
        <v>0</v>
      </c>
      <c r="I9" s="3">
        <f>_xlfn.XLOOKUP(I$1,generator!$B$2:$B$295,generator!$K$2:$K$295,"ARGH")</f>
        <v>0</v>
      </c>
      <c r="J9" s="3">
        <f>_xlfn.XLOOKUP(J$1,generator!$B$2:$B$295,generator!$K$2:$K$295,"ARGH")</f>
        <v>0</v>
      </c>
      <c r="K9" s="3">
        <f>_xlfn.XLOOKUP(K$1,generator!$B$2:$B$295,generator!$K$2:$K$295,"ARGH")</f>
        <v>0</v>
      </c>
      <c r="L9" s="3">
        <f>_xlfn.XLOOKUP(L$1,generator!$B$2:$B$295,generator!$K$2:$K$295,"ARGH")</f>
        <v>0</v>
      </c>
      <c r="M9" s="3">
        <f>_xlfn.XLOOKUP(M$1,generator!$B$2:$B$295,generator!$K$2:$K$295,"ARGH")</f>
        <v>0</v>
      </c>
      <c r="N9" s="3">
        <f>_xlfn.XLOOKUP(N$1,generator!$B$2:$B$295,generator!$K$2:$K$295,"ARGH")</f>
        <v>0</v>
      </c>
      <c r="O9" s="3">
        <f>_xlfn.XLOOKUP(O$1,generator!$B$2:$B$295,generator!$K$2:$K$295,"ARGH")</f>
        <v>0</v>
      </c>
      <c r="P9" s="3">
        <f>_xlfn.XLOOKUP(P$1,generator!$B$2:$B$295,generator!$K$2:$K$295,"ARGH")</f>
        <v>0</v>
      </c>
      <c r="Q9" s="3">
        <f>_xlfn.XLOOKUP(Q$1,generator!$B$2:$B$295,generator!$K$2:$K$295,"ARGH")</f>
        <v>0</v>
      </c>
      <c r="R9" s="3">
        <f>_xlfn.XLOOKUP(R$1,generator!$B$2:$B$295,generator!$K$2:$K$295,"ARGH")</f>
        <v>0</v>
      </c>
      <c r="S9" s="3">
        <f>_xlfn.XLOOKUP(S$1,generator!$B$2:$B$295,generator!$K$2:$K$295,"ARGH")</f>
        <v>0</v>
      </c>
      <c r="T9" s="3">
        <f>_xlfn.XLOOKUP(T$1,generator!$B$2:$B$295,generator!$K$2:$K$295,"ARGH")</f>
        <v>0</v>
      </c>
      <c r="U9" s="3">
        <f>_xlfn.XLOOKUP(U$1,generator!$B$2:$B$295,generator!$K$2:$K$295,"ARGH")</f>
        <v>0</v>
      </c>
      <c r="V9" s="3">
        <f>_xlfn.XLOOKUP(V$1,generator!$B$2:$B$295,generator!$K$2:$K$295,"ARGH")</f>
        <v>0</v>
      </c>
      <c r="W9" s="3">
        <f>_xlfn.XLOOKUP(W$1,generator!$B$2:$B$295,generator!$K$2:$K$295,"ARGH")</f>
        <v>0</v>
      </c>
      <c r="X9" s="3">
        <f>_xlfn.XLOOKUP(X$1,generator!$B$2:$B$295,generator!$K$2:$K$295,"ARGH")</f>
        <v>0</v>
      </c>
      <c r="Y9" s="3">
        <f>_xlfn.XLOOKUP(Y$1,generator!$B$2:$B$295,generator!$K$2:$K$295,"ARGH")</f>
        <v>0</v>
      </c>
      <c r="Z9" s="3">
        <f>_xlfn.XLOOKUP(Z$1,generator!$B$2:$B$295,generator!$K$2:$K$295,"ARGH")</f>
        <v>0</v>
      </c>
      <c r="AA9" s="3">
        <f>_xlfn.XLOOKUP(AA$1,generator!$B$2:$B$295,generator!$K$2:$K$295,"ARGH")</f>
        <v>0</v>
      </c>
      <c r="AB9" s="3">
        <f>_xlfn.XLOOKUP(AB$1,generator!$B$2:$B$295,generator!$K$2:$K$295,"ARGH")</f>
        <v>0</v>
      </c>
      <c r="AC9" s="3">
        <f>_xlfn.XLOOKUP(AC$1,generator!$B$2:$B$295,generator!$K$2:$K$295,"ARGH")</f>
        <v>0</v>
      </c>
      <c r="AD9" s="3">
        <f>_xlfn.XLOOKUP(AD$1,generator!$B$2:$B$295,generator!$K$2:$K$295,"ARGH")</f>
        <v>0</v>
      </c>
      <c r="AE9" s="3">
        <f>_xlfn.XLOOKUP(AE$1,generator!$B$2:$B$295,generator!$K$2:$K$295,"ARGH")</f>
        <v>0</v>
      </c>
      <c r="AF9" s="3">
        <f>_xlfn.XLOOKUP(AF$1,generator!$B$2:$B$295,generator!$K$2:$K$295,"ARGH")</f>
        <v>0</v>
      </c>
      <c r="AG9" s="3">
        <f>_xlfn.XLOOKUP(AG$1,generator!$B$2:$B$295,generator!$K$2:$K$295,"ARGH")</f>
        <v>0</v>
      </c>
      <c r="AH9" s="3">
        <f>_xlfn.XLOOKUP(AH$1,generator!$B$2:$B$295,generator!$K$2:$K$295,"ARGH")</f>
        <v>0</v>
      </c>
      <c r="AI9" s="3">
        <f>_xlfn.XLOOKUP(AI$1,generator!$B$2:$B$295,generator!$K$2:$K$295,"ARGH")</f>
        <v>0</v>
      </c>
      <c r="AJ9" s="3">
        <f>_xlfn.XLOOKUP(AJ$1,generator!$B$2:$B$295,generator!$K$2:$K$295,"ARGH")</f>
        <v>0</v>
      </c>
      <c r="AK9" s="3">
        <f>_xlfn.XLOOKUP(AK$1,generator!$B$2:$B$295,generator!$K$2:$K$295,"ARGH")</f>
        <v>0</v>
      </c>
      <c r="AL9" s="3">
        <f>_xlfn.XLOOKUP(AL$1,generator!$B$2:$B$295,generator!$K$2:$K$295,"ARGH")</f>
        <v>0</v>
      </c>
      <c r="AM9" s="3">
        <f>_xlfn.XLOOKUP(AM$1,generator!$B$2:$B$295,generator!$K$2:$K$295,"ARGH")</f>
        <v>0</v>
      </c>
      <c r="AN9" s="3">
        <f>_xlfn.XLOOKUP(AN$1,generator!$B$2:$B$295,generator!$K$2:$K$295,"ARGH")</f>
        <v>0</v>
      </c>
      <c r="AO9" s="3">
        <f>_xlfn.XLOOKUP(AO$1,generator!$B$2:$B$295,generator!$K$2:$K$295,"ARGH")</f>
        <v>0</v>
      </c>
      <c r="AP9" s="3">
        <f>_xlfn.XLOOKUP(AP$1,generator!$B$2:$B$295,generator!$K$2:$K$295,"ARGH")</f>
        <v>0</v>
      </c>
      <c r="AQ9" s="3">
        <f>_xlfn.XLOOKUP(AQ$1,generator!$B$2:$B$295,generator!$K$2:$K$295,"ARGH")</f>
        <v>0</v>
      </c>
      <c r="AR9" s="3">
        <f>_xlfn.XLOOKUP(AR$1,generator!$B$2:$B$295,generator!$K$2:$K$295,"ARGH")</f>
        <v>0</v>
      </c>
      <c r="AS9" s="3">
        <f>_xlfn.XLOOKUP(AS$1,generator!$B$2:$B$295,generator!$K$2:$K$295,"ARGH")</f>
        <v>0</v>
      </c>
      <c r="AT9" s="3">
        <f>_xlfn.XLOOKUP(AT$1,generator!$B$2:$B$295,generator!$K$2:$K$295,"ARGH")</f>
        <v>0</v>
      </c>
      <c r="AU9" s="3">
        <f>_xlfn.XLOOKUP(AU$1,generator!$B$2:$B$295,generator!$K$2:$K$295,"ARGH")</f>
        <v>0</v>
      </c>
      <c r="AV9" s="3">
        <f>_xlfn.XLOOKUP(AV$1,generator!$B$2:$B$295,generator!$K$2:$K$295,"ARGH")</f>
        <v>0</v>
      </c>
      <c r="AW9" s="3">
        <f>_xlfn.XLOOKUP(AW$1,generator!$B$2:$B$295,generator!$K$2:$K$295,"ARGH")</f>
        <v>0</v>
      </c>
      <c r="AX9" s="3">
        <f>_xlfn.XLOOKUP(AX$1,generator!$B$2:$B$295,generator!$K$2:$K$295,"ARGH")</f>
        <v>0</v>
      </c>
      <c r="AY9" s="3">
        <f>_xlfn.XLOOKUP(AY$1,generator!$B$2:$B$295,generator!$K$2:$K$295,"ARGH")</f>
        <v>0</v>
      </c>
      <c r="AZ9" s="3">
        <f>_xlfn.XLOOKUP(AZ$1,generator!$B$2:$B$295,generator!$K$2:$K$295,"ARGH")</f>
        <v>0</v>
      </c>
      <c r="BA9" s="3">
        <f>_xlfn.XLOOKUP(BA$1,generator!$B$2:$B$295,generator!$K$2:$K$295,"ARGH")</f>
        <v>0</v>
      </c>
      <c r="BB9" s="3">
        <f>_xlfn.XLOOKUP(BB$1,generator!$B$2:$B$295,generator!$K$2:$K$295,"ARGH")</f>
        <v>0</v>
      </c>
      <c r="BC9" s="3">
        <f>_xlfn.XLOOKUP(BC$1,generator!$B$2:$B$295,generator!$K$2:$K$295,"ARGH")</f>
        <v>0</v>
      </c>
      <c r="BD9" s="3">
        <f>_xlfn.XLOOKUP(BD$1,generator!$B$2:$B$295,generator!$K$2:$K$295,"ARGH")</f>
        <v>0</v>
      </c>
      <c r="BE9" s="3">
        <f>_xlfn.XLOOKUP(BE$1,generator!$B$2:$B$295,generator!$K$2:$K$295,"ARGH")</f>
        <v>0</v>
      </c>
      <c r="BF9" s="3">
        <f>_xlfn.XLOOKUP(BF$1,generator!$B$2:$B$295,generator!$K$2:$K$295,"ARGH")</f>
        <v>0</v>
      </c>
      <c r="BG9" s="3">
        <f>_xlfn.XLOOKUP(BG$1,generator!$B$2:$B$295,generator!$K$2:$K$295,"ARGH")</f>
        <v>0</v>
      </c>
      <c r="BH9" s="3">
        <f>_xlfn.XLOOKUP(BH$1,generator!$B$2:$B$295,generator!$K$2:$K$295,"ARGH")</f>
        <v>0</v>
      </c>
      <c r="BI9" s="3">
        <f>_xlfn.XLOOKUP(BI$1,generator!$B$2:$B$295,generator!$K$2:$K$295,"ARGH")</f>
        <v>0</v>
      </c>
      <c r="BJ9" s="3">
        <f>_xlfn.XLOOKUP(BJ$1,generator!$B$2:$B$295,generator!$K$2:$K$295,"ARGH")</f>
        <v>0</v>
      </c>
      <c r="BK9" s="3">
        <f>_xlfn.XLOOKUP(BK$1,generator!$B$2:$B$295,generator!$K$2:$K$295,"ARGH")</f>
        <v>0</v>
      </c>
      <c r="BL9" s="3">
        <f>_xlfn.XLOOKUP(BL$1,generator!$B$2:$B$295,generator!$K$2:$K$295,"ARGH")</f>
        <v>0</v>
      </c>
      <c r="BM9" s="3">
        <f>_xlfn.XLOOKUP(BM$1,generator!$B$2:$B$295,generator!$K$2:$K$295,"ARGH")</f>
        <v>0</v>
      </c>
      <c r="BN9" s="3">
        <f>_xlfn.XLOOKUP(BN$1,generator!$B$2:$B$295,generator!$K$2:$K$295,"ARGH")</f>
        <v>0</v>
      </c>
      <c r="BO9" s="3">
        <f>_xlfn.XLOOKUP(BO$1,generator!$B$2:$B$295,generator!$K$2:$K$295,"ARGH")</f>
        <v>0</v>
      </c>
      <c r="BP9" s="3">
        <f>_xlfn.XLOOKUP(BP$1,generator!$B$2:$B$295,generator!$K$2:$K$295,"ARGH")</f>
        <v>0</v>
      </c>
      <c r="BQ9" s="3">
        <f>_xlfn.XLOOKUP(BQ$1,generator!$B$2:$B$295,generator!$K$2:$K$295,"ARGH")</f>
        <v>0</v>
      </c>
      <c r="BR9" s="3">
        <f>_xlfn.XLOOKUP(BR$1,generator!$B$2:$B$295,generator!$K$2:$K$295,"ARGH")</f>
        <v>0</v>
      </c>
      <c r="BS9" s="3">
        <f>_xlfn.XLOOKUP(BS$1,generator!$B$2:$B$295,generator!$K$2:$K$295,"ARGH")</f>
        <v>0</v>
      </c>
      <c r="BT9" s="3">
        <f>_xlfn.XLOOKUP(BT$1,generator!$B$2:$B$295,generator!$K$2:$K$295,"ARGH")</f>
        <v>0</v>
      </c>
      <c r="BU9" s="3">
        <f>_xlfn.XLOOKUP(BU$1,generator!$B$2:$B$295,generator!$K$2:$K$295,"ARGH")</f>
        <v>0</v>
      </c>
      <c r="BV9" s="3">
        <f>_xlfn.XLOOKUP(BV$1,generator!$B$2:$B$295,generator!$K$2:$K$295,"ARGH")</f>
        <v>0</v>
      </c>
      <c r="BW9" s="3">
        <f>_xlfn.XLOOKUP(BW$1,generator!$B$2:$B$295,generator!$K$2:$K$295,"ARGH")</f>
        <v>0</v>
      </c>
      <c r="BX9" s="3">
        <f>_xlfn.XLOOKUP(BX$1,generator!$B$2:$B$295,generator!$K$2:$K$295,"ARGH")</f>
        <v>0</v>
      </c>
      <c r="BY9" s="3">
        <f>_xlfn.XLOOKUP(BY$1,generator!$B$2:$B$295,generator!$K$2:$K$295,"ARGH")</f>
        <v>0</v>
      </c>
      <c r="BZ9" s="3">
        <f>_xlfn.XLOOKUP(BZ$1,generator!$B$2:$B$295,generator!$K$2:$K$295,"ARGH")</f>
        <v>0</v>
      </c>
      <c r="CA9" s="3">
        <f>_xlfn.XLOOKUP(CA$1,generator!$B$2:$B$295,generator!$K$2:$K$295,"ARGH")</f>
        <v>0</v>
      </c>
      <c r="CB9" s="3">
        <f>_xlfn.XLOOKUP(CB$1,generator!$B$2:$B$295,generator!$K$2:$K$295,"ARGH")</f>
        <v>0</v>
      </c>
      <c r="CC9" s="3">
        <f>_xlfn.XLOOKUP(CC$1,generator!$B$2:$B$295,generator!$K$2:$K$295,"ARGH")</f>
        <v>0</v>
      </c>
      <c r="CD9" s="3">
        <f>_xlfn.XLOOKUP(CD$1,generator!$B$2:$B$295,generator!$K$2:$K$295,"ARGH")</f>
        <v>0</v>
      </c>
      <c r="CE9" s="3">
        <f>_xlfn.XLOOKUP(CE$1,generator!$B$2:$B$295,generator!$K$2:$K$295,"ARGH")</f>
        <v>0</v>
      </c>
      <c r="CF9" s="3">
        <f>_xlfn.XLOOKUP(CF$1,generator!$B$2:$B$295,generator!$K$2:$K$295,"ARGH")</f>
        <v>0</v>
      </c>
      <c r="CG9" s="3">
        <f>_xlfn.XLOOKUP(CG$1,generator!$B$2:$B$295,generator!$K$2:$K$295,"ARGH")</f>
        <v>0</v>
      </c>
      <c r="CH9" s="3">
        <f>_xlfn.XLOOKUP(CH$1,generator!$B$2:$B$295,generator!$K$2:$K$295,"ARGH")</f>
        <v>0</v>
      </c>
      <c r="CI9" s="3">
        <f>_xlfn.XLOOKUP(CI$1,generator!$B$2:$B$295,generator!$K$2:$K$295,"ARGH")</f>
        <v>0</v>
      </c>
      <c r="CJ9" s="3">
        <f>_xlfn.XLOOKUP(CJ$1,generator!$B$2:$B$295,generator!$K$2:$K$295,"ARGH")</f>
        <v>0</v>
      </c>
      <c r="CK9" s="3">
        <f>_xlfn.XLOOKUP(CK$1,generator!$B$2:$B$295,generator!$K$2:$K$295,"ARGH")</f>
        <v>0</v>
      </c>
      <c r="CL9" s="3">
        <f>_xlfn.XLOOKUP(CL$1,generator!$B$2:$B$295,generator!$K$2:$K$295,"ARGH")</f>
        <v>0</v>
      </c>
      <c r="CM9" s="3">
        <f>_xlfn.XLOOKUP(CM$1,generator!$B$2:$B$295,generator!$K$2:$K$295,"ARGH")</f>
        <v>0</v>
      </c>
      <c r="CN9" s="3">
        <f>_xlfn.XLOOKUP(CN$1,generator!$B$2:$B$295,generator!$K$2:$K$295,"ARGH")</f>
        <v>0</v>
      </c>
      <c r="CO9" s="3">
        <f>_xlfn.XLOOKUP(CO$1,generator!$B$2:$B$295,generator!$K$2:$K$295,"ARGH")</f>
        <v>0</v>
      </c>
      <c r="CP9" s="3">
        <f>_xlfn.XLOOKUP(CP$1,generator!$B$2:$B$295,generator!$K$2:$K$295,"ARGH")</f>
        <v>0</v>
      </c>
      <c r="CQ9" s="3">
        <f>_xlfn.XLOOKUP(CQ$1,generator!$B$2:$B$295,generator!$K$2:$K$295,"ARGH")</f>
        <v>0</v>
      </c>
      <c r="CR9" s="3">
        <f>_xlfn.XLOOKUP(CR$1,generator!$B$2:$B$295,generator!$K$2:$K$295,"ARGH")</f>
        <v>0</v>
      </c>
      <c r="CS9" s="3">
        <f>_xlfn.XLOOKUP(CS$1,generator!$B$2:$B$295,generator!$K$2:$K$295,"ARGH")</f>
        <v>0</v>
      </c>
      <c r="CT9" s="3">
        <f>_xlfn.XLOOKUP(CT$1,generator!$B$2:$B$295,generator!$K$2:$K$295,"ARGH")</f>
        <v>0</v>
      </c>
      <c r="CU9" s="3">
        <f>_xlfn.XLOOKUP(CU$1,generator!$B$2:$B$295,generator!$K$2:$K$295,"ARGH")</f>
        <v>0</v>
      </c>
      <c r="CV9" s="3">
        <f>_xlfn.XLOOKUP(CV$1,generator!$B$2:$B$295,generator!$K$2:$K$295,"ARGH")</f>
        <v>0</v>
      </c>
      <c r="CW9" s="3">
        <f>_xlfn.XLOOKUP(CW$1,generator!$B$2:$B$295,generator!$K$2:$K$295,"ARGH")</f>
        <v>0</v>
      </c>
      <c r="CX9" s="3">
        <f>_xlfn.XLOOKUP(CX$1,generator!$B$2:$B$295,generator!$K$2:$K$295,"ARGH")</f>
        <v>0</v>
      </c>
      <c r="CY9" s="3">
        <f>_xlfn.XLOOKUP(CY$1,generator!$B$2:$B$295,generator!$K$2:$K$295,"ARGH")</f>
        <v>0</v>
      </c>
      <c r="CZ9" s="3">
        <f>_xlfn.XLOOKUP(CZ$1,generator!$B$2:$B$295,generator!$K$2:$K$295,"ARGH")</f>
        <v>0</v>
      </c>
      <c r="DA9" s="3">
        <f>_xlfn.XLOOKUP(DA$1,generator!$B$2:$B$295,generator!$K$2:$K$295,"ARGH")</f>
        <v>0</v>
      </c>
      <c r="DB9" s="3">
        <f>_xlfn.XLOOKUP(DB$1,generator!$B$2:$B$295,generator!$K$2:$K$295,"ARGH")</f>
        <v>0</v>
      </c>
      <c r="DC9" s="3">
        <f>_xlfn.XLOOKUP(DC$1,generator!$B$2:$B$295,generator!$K$2:$K$295,"ARGH")</f>
        <v>0</v>
      </c>
      <c r="DD9" s="3">
        <f>_xlfn.XLOOKUP(DD$1,generator!$B$2:$B$295,generator!$K$2:$K$295,"ARGH")</f>
        <v>0</v>
      </c>
      <c r="DE9" s="3">
        <f>_xlfn.XLOOKUP(DE$1,generator!$B$2:$B$295,generator!$K$2:$K$295,"ARGH")</f>
        <v>0</v>
      </c>
      <c r="DF9" s="3">
        <f>_xlfn.XLOOKUP(DF$1,generator!$B$2:$B$295,generator!$K$2:$K$295,"ARGH")</f>
        <v>0</v>
      </c>
      <c r="DG9" s="3">
        <f>_xlfn.XLOOKUP(DG$1,generator!$B$2:$B$295,generator!$K$2:$K$295,"ARGH")</f>
        <v>0</v>
      </c>
      <c r="DH9" s="3">
        <f>_xlfn.XLOOKUP(DH$1,generator!$B$2:$B$295,generator!$K$2:$K$295,"ARGH")</f>
        <v>0</v>
      </c>
      <c r="DI9" s="3">
        <f>_xlfn.XLOOKUP(DI$1,generator!$B$2:$B$295,generator!$K$2:$K$295,"ARGH")</f>
        <v>0</v>
      </c>
      <c r="DJ9" s="3">
        <f>_xlfn.XLOOKUP(DJ$1,generator!$B$2:$B$295,generator!$K$2:$K$295,"ARGH")</f>
        <v>0</v>
      </c>
      <c r="DK9" s="3">
        <f>_xlfn.XLOOKUP(DK$1,generator!$B$2:$B$295,generator!$K$2:$K$295,"ARGH")</f>
        <v>0</v>
      </c>
      <c r="DL9" s="3">
        <f>_xlfn.XLOOKUP(DL$1,generator!$B$2:$B$295,generator!$K$2:$K$295,"ARGH")</f>
        <v>0</v>
      </c>
      <c r="DM9" s="3">
        <f>_xlfn.XLOOKUP(DM$1,generator!$B$2:$B$295,generator!$K$2:$K$295,"ARGH")</f>
        <v>0</v>
      </c>
      <c r="DN9" s="3">
        <f>_xlfn.XLOOKUP(DN$1,generator!$B$2:$B$295,generator!$K$2:$K$295,"ARGH")</f>
        <v>0</v>
      </c>
      <c r="DO9" s="3">
        <f>_xlfn.XLOOKUP(DO$1,generator!$B$2:$B$295,generator!$K$2:$K$295,"ARGH")</f>
        <v>0</v>
      </c>
      <c r="DP9" s="3">
        <f>_xlfn.XLOOKUP(DP$1,generator!$B$2:$B$295,generator!$K$2:$K$295,"ARGH")</f>
        <v>0</v>
      </c>
      <c r="DQ9" s="3">
        <f>_xlfn.XLOOKUP(DQ$1,generator!$B$2:$B$295,generator!$K$2:$K$295,"ARGH")</f>
        <v>0</v>
      </c>
      <c r="DR9" s="3">
        <f>_xlfn.XLOOKUP(DR$1,generator!$B$2:$B$295,generator!$K$2:$K$295,"ARGH")</f>
        <v>0</v>
      </c>
      <c r="DS9" s="3">
        <f>_xlfn.XLOOKUP(DS$1,generator!$B$2:$B$295,generator!$K$2:$K$295,"ARGH")</f>
        <v>0</v>
      </c>
      <c r="DT9" s="3">
        <f>_xlfn.XLOOKUP(DT$1,generator!$B$2:$B$295,generator!$K$2:$K$295,"ARGH")</f>
        <v>0</v>
      </c>
      <c r="DU9" s="3">
        <f>_xlfn.XLOOKUP(DU$1,generator!$B$2:$B$295,generator!$K$2:$K$295,"ARGH")</f>
        <v>0</v>
      </c>
      <c r="DV9" s="3">
        <f>_xlfn.XLOOKUP(DV$1,generator!$B$2:$B$295,generator!$K$2:$K$295,"ARGH")</f>
        <v>0</v>
      </c>
      <c r="DW9" s="3">
        <f>_xlfn.XLOOKUP(DW$1,generator!$B$2:$B$295,generator!$K$2:$K$295,"ARGH")</f>
        <v>0</v>
      </c>
      <c r="DX9" s="3">
        <f>_xlfn.XLOOKUP(DX$1,generator!$B$2:$B$295,generator!$K$2:$K$295,"ARGH")</f>
        <v>0</v>
      </c>
      <c r="DY9" s="3">
        <f>_xlfn.XLOOKUP(DY$1,generator!$B$2:$B$295,generator!$K$2:$K$295,"ARGH")</f>
        <v>0</v>
      </c>
      <c r="DZ9" s="3">
        <f>_xlfn.XLOOKUP(DZ$1,generator!$B$2:$B$295,generator!$K$2:$K$295,"ARGH")</f>
        <v>0</v>
      </c>
      <c r="EA9" s="3">
        <f>_xlfn.XLOOKUP(EA$1,generator!$B$2:$B$295,generator!$K$2:$K$295,"ARGH")</f>
        <v>0</v>
      </c>
      <c r="EB9" s="3">
        <f>_xlfn.XLOOKUP(EB$1,generator!$B$2:$B$295,generator!$K$2:$K$295,"ARGH")</f>
        <v>0</v>
      </c>
      <c r="EC9" s="3">
        <f>_xlfn.XLOOKUP(EC$1,generator!$B$2:$B$295,generator!$K$2:$K$295,"ARGH")</f>
        <v>0</v>
      </c>
      <c r="ED9" s="3">
        <f>_xlfn.XLOOKUP(ED$1,generator!$B$2:$B$295,generator!$K$2:$K$295,"ARGH")</f>
        <v>0</v>
      </c>
      <c r="EE9" s="3">
        <f>_xlfn.XLOOKUP(EE$1,generator!$B$2:$B$295,generator!$K$2:$K$295,"ARGH")</f>
        <v>0</v>
      </c>
      <c r="EF9" s="3">
        <f>_xlfn.XLOOKUP(EF$1,generator!$B$2:$B$295,generator!$K$2:$K$295,"ARGH")</f>
        <v>0</v>
      </c>
      <c r="EG9" s="3">
        <f>_xlfn.XLOOKUP(EG$1,generator!$B$2:$B$295,generator!$K$2:$K$295,"ARGH")</f>
        <v>0</v>
      </c>
      <c r="EH9" s="3">
        <f>_xlfn.XLOOKUP(EH$1,generator!$B$2:$B$295,generator!$K$2:$K$295,"ARGH")</f>
        <v>0</v>
      </c>
      <c r="EI9" s="3">
        <f>_xlfn.XLOOKUP(EI$1,generator!$B$2:$B$295,generator!$K$2:$K$295,"ARGH")</f>
        <v>0</v>
      </c>
      <c r="EJ9" s="3">
        <f>_xlfn.XLOOKUP(EJ$1,generator!$B$2:$B$295,generator!$K$2:$K$295,"ARGH")</f>
        <v>0</v>
      </c>
      <c r="EK9" s="3">
        <f>_xlfn.XLOOKUP(EK$1,generator!$B$2:$B$295,generator!$K$2:$K$295,"ARGH")</f>
        <v>0</v>
      </c>
      <c r="EL9" s="3">
        <f>_xlfn.XLOOKUP(EL$1,generator!$B$2:$B$295,generator!$K$2:$K$295,"ARGH")</f>
        <v>0</v>
      </c>
      <c r="EM9" s="3">
        <f>_xlfn.XLOOKUP(EM$1,generator!$B$2:$B$295,generator!$K$2:$K$295,"ARGH")</f>
        <v>0</v>
      </c>
      <c r="EN9" s="3">
        <f>_xlfn.XLOOKUP(EN$1,generator!$B$2:$B$295,generator!$K$2:$K$295,"ARGH")</f>
        <v>0</v>
      </c>
      <c r="EO9" s="3">
        <f>_xlfn.XLOOKUP(EO$1,generator!$B$2:$B$295,generator!$K$2:$K$295,"ARGH")</f>
        <v>0</v>
      </c>
      <c r="EP9" s="3">
        <f>_xlfn.XLOOKUP(EP$1,generator!$B$2:$B$295,generator!$K$2:$K$295,"ARGH")</f>
        <v>0</v>
      </c>
      <c r="EQ9" s="3">
        <f>_xlfn.XLOOKUP(EQ$1,generator!$B$2:$B$295,generator!$K$2:$K$295,"ARGH")</f>
        <v>0</v>
      </c>
      <c r="ER9" s="3">
        <f>_xlfn.XLOOKUP(ER$1,generator!$B$2:$B$295,generator!$K$2:$K$295,"ARGH")</f>
        <v>0</v>
      </c>
      <c r="ES9" s="3">
        <f>_xlfn.XLOOKUP(ES$1,generator!$B$2:$B$295,generator!$K$2:$K$295,"ARGH")</f>
        <v>0</v>
      </c>
      <c r="ET9" s="3">
        <f>_xlfn.XLOOKUP(ET$1,generator!$B$2:$B$295,generator!$K$2:$K$295,"ARGH")</f>
        <v>0</v>
      </c>
      <c r="EU9" s="3">
        <f>_xlfn.XLOOKUP(EU$1,generator!$B$2:$B$295,generator!$K$2:$K$295,"ARGH")</f>
        <v>0</v>
      </c>
      <c r="EV9" s="3">
        <f>_xlfn.XLOOKUP(EV$1,generator!$B$2:$B$295,generator!$K$2:$K$295,"ARGH")</f>
        <v>0</v>
      </c>
      <c r="EW9" s="3">
        <f>_xlfn.XLOOKUP(EW$1,generator!$B$2:$B$295,generator!$K$2:$K$295,"ARGH")</f>
        <v>0</v>
      </c>
      <c r="EX9" s="3">
        <f>_xlfn.XLOOKUP(EX$1,generator!$B$2:$B$295,generator!$K$2:$K$295,"ARGH")</f>
        <v>0</v>
      </c>
      <c r="EY9" s="3">
        <f>_xlfn.XLOOKUP(EY$1,generator!$B$2:$B$295,generator!$K$2:$K$295,"ARGH")</f>
        <v>0</v>
      </c>
      <c r="EZ9" s="3">
        <f>_xlfn.XLOOKUP(EZ$1,generator!$B$2:$B$295,generator!$K$2:$K$295,"ARGH")</f>
        <v>0</v>
      </c>
      <c r="FA9" s="3">
        <f>_xlfn.XLOOKUP(FA$1,generator!$B$2:$B$295,generator!$K$2:$K$295,"ARGH")</f>
        <v>0</v>
      </c>
      <c r="FB9" s="3">
        <f>_xlfn.XLOOKUP(FB$1,generator!$B$2:$B$295,generator!$K$2:$K$295,"ARGH")</f>
        <v>0</v>
      </c>
      <c r="FC9" s="3">
        <f>_xlfn.XLOOKUP(FC$1,generator!$B$2:$B$295,generator!$K$2:$K$295,"ARGH")</f>
        <v>0</v>
      </c>
      <c r="FD9" s="3">
        <f>_xlfn.XLOOKUP(FD$1,generator!$B$2:$B$295,generator!$K$2:$K$295,"ARGH")</f>
        <v>0</v>
      </c>
      <c r="FE9" s="3">
        <f>_xlfn.XLOOKUP(FE$1,generator!$B$2:$B$295,generator!$K$2:$K$295,"ARGH")</f>
        <v>0</v>
      </c>
      <c r="FF9" s="3">
        <f>_xlfn.XLOOKUP(FF$1,generator!$B$2:$B$295,generator!$K$2:$K$295,"ARGH")</f>
        <v>0</v>
      </c>
      <c r="FG9" s="3">
        <f>_xlfn.XLOOKUP(FG$1,generator!$B$2:$B$295,generator!$K$2:$K$295,"ARGH")</f>
        <v>0</v>
      </c>
      <c r="FH9" s="3">
        <f>_xlfn.XLOOKUP(FH$1,generator!$B$2:$B$295,generator!$K$2:$K$295,"ARGH")</f>
        <v>0</v>
      </c>
      <c r="FI9" s="3">
        <f>_xlfn.XLOOKUP(FI$1,generator!$B$2:$B$295,generator!$K$2:$K$295,"ARGH")</f>
        <v>0</v>
      </c>
      <c r="FJ9" s="3">
        <f>_xlfn.XLOOKUP(FJ$1,generator!$B$2:$B$295,generator!$K$2:$K$295,"ARGH")</f>
        <v>0</v>
      </c>
      <c r="FK9" s="3">
        <f>_xlfn.XLOOKUP(FK$1,generator!$B$2:$B$295,generator!$K$2:$K$295,"ARGH")</f>
        <v>0</v>
      </c>
      <c r="FL9" s="3">
        <f>_xlfn.XLOOKUP(FL$1,generator!$B$2:$B$295,generator!$K$2:$K$295,"ARGH")</f>
        <v>0</v>
      </c>
      <c r="FM9" s="3">
        <f>_xlfn.XLOOKUP(FM$1,generator!$B$2:$B$295,generator!$K$2:$K$295,"ARGH")</f>
        <v>0</v>
      </c>
      <c r="FN9" s="3">
        <f>_xlfn.XLOOKUP(FN$1,generator!$B$2:$B$295,generator!$K$2:$K$295,"ARGH")</f>
        <v>0</v>
      </c>
      <c r="FO9" s="3">
        <f>_xlfn.XLOOKUP(FO$1,generator!$B$2:$B$295,generator!$K$2:$K$295,"ARGH")</f>
        <v>0</v>
      </c>
      <c r="FP9" s="3">
        <f>_xlfn.XLOOKUP(FP$1,generator!$B$2:$B$295,generator!$K$2:$K$295,"ARGH")</f>
        <v>0</v>
      </c>
      <c r="FQ9" s="3">
        <f>_xlfn.XLOOKUP(FQ$1,generator!$B$2:$B$295,generator!$K$2:$K$295,"ARGH")</f>
        <v>0</v>
      </c>
      <c r="FR9" s="3">
        <f>_xlfn.XLOOKUP(FR$1,generator!$B$2:$B$295,generator!$K$2:$K$295,"ARGH")</f>
        <v>0</v>
      </c>
      <c r="FS9" s="3">
        <f>_xlfn.XLOOKUP(FS$1,generator!$B$2:$B$295,generator!$K$2:$K$295,"ARGH")</f>
        <v>0</v>
      </c>
      <c r="FT9" s="3">
        <f>_xlfn.XLOOKUP(FT$1,generator!$B$2:$B$295,generator!$K$2:$K$295,"ARGH")</f>
        <v>0</v>
      </c>
      <c r="FU9" s="3">
        <f>_xlfn.XLOOKUP(FU$1,generator!$B$2:$B$295,generator!$K$2:$K$295,"ARGH")</f>
        <v>0</v>
      </c>
      <c r="FV9" s="3">
        <f>_xlfn.XLOOKUP(FV$1,generator!$B$2:$B$295,generator!$K$2:$K$295,"ARGH")</f>
        <v>0</v>
      </c>
      <c r="FW9" s="3">
        <f>_xlfn.XLOOKUP(FW$1,generator!$B$2:$B$295,generator!$K$2:$K$295,"ARGH")</f>
        <v>0</v>
      </c>
      <c r="FX9" s="3">
        <f>_xlfn.XLOOKUP(FX$1,generator!$B$2:$B$295,generator!$K$2:$K$295,"ARGH")</f>
        <v>0</v>
      </c>
      <c r="FY9" s="3">
        <f>_xlfn.XLOOKUP(FY$1,generator!$B$2:$B$295,generator!$K$2:$K$295,"ARGH")</f>
        <v>0</v>
      </c>
      <c r="FZ9" s="3">
        <f>_xlfn.XLOOKUP(FZ$1,generator!$B$2:$B$295,generator!$K$2:$K$295,"ARGH")</f>
        <v>0</v>
      </c>
      <c r="GA9" s="3">
        <f>_xlfn.XLOOKUP(GA$1,generator!$B$2:$B$295,generator!$K$2:$K$295,"ARGH")</f>
        <v>0</v>
      </c>
      <c r="GB9" s="3">
        <f>_xlfn.XLOOKUP(GB$1,generator!$B$2:$B$295,generator!$K$2:$K$295,"ARGH")</f>
        <v>0</v>
      </c>
      <c r="GC9" s="3">
        <f>_xlfn.XLOOKUP(GC$1,generator!$B$2:$B$295,generator!$K$2:$K$295,"ARGH")</f>
        <v>0</v>
      </c>
      <c r="GD9" s="3">
        <f>_xlfn.XLOOKUP(GD$1,generator!$B$2:$B$295,generator!$K$2:$K$295,"ARGH")</f>
        <v>0</v>
      </c>
      <c r="GE9" s="3">
        <f>_xlfn.XLOOKUP(GE$1,generator!$B$2:$B$295,generator!$K$2:$K$295,"ARGH")</f>
        <v>0</v>
      </c>
      <c r="GF9" s="3">
        <f>_xlfn.XLOOKUP(GF$1,generator!$B$2:$B$295,generator!$K$2:$K$295,"ARGH")</f>
        <v>0</v>
      </c>
      <c r="GG9" s="3">
        <f>_xlfn.XLOOKUP(GG$1,generator!$B$2:$B$295,generator!$K$2:$K$295,"ARGH")</f>
        <v>0</v>
      </c>
      <c r="GH9" s="3">
        <f>_xlfn.XLOOKUP(GH$1,generator!$B$2:$B$295,generator!$K$2:$K$295,"ARGH")</f>
        <v>0</v>
      </c>
      <c r="GI9" s="3">
        <f>_xlfn.XLOOKUP(GI$1,generator!$B$2:$B$295,generator!$K$2:$K$295,"ARGH")</f>
        <v>0</v>
      </c>
      <c r="GJ9" s="3">
        <f>_xlfn.XLOOKUP(GJ$1,generator!$B$2:$B$295,generator!$K$2:$K$295,"ARGH")</f>
        <v>0</v>
      </c>
      <c r="GK9" s="3">
        <f>_xlfn.XLOOKUP(GK$1,generator!$B$2:$B$295,generator!$K$2:$K$295,"ARGH")</f>
        <v>0</v>
      </c>
      <c r="GL9" s="3">
        <f>_xlfn.XLOOKUP(GL$1,generator!$B$2:$B$295,generator!$K$2:$K$295,"ARGH")</f>
        <v>0</v>
      </c>
      <c r="GM9" s="3">
        <f>_xlfn.XLOOKUP(GM$1,generator!$B$2:$B$295,generator!$K$2:$K$295,"ARGH")</f>
        <v>0</v>
      </c>
      <c r="GN9" s="3">
        <f>_xlfn.XLOOKUP(GN$1,generator!$B$2:$B$295,generator!$K$2:$K$295,"ARGH")</f>
        <v>0</v>
      </c>
      <c r="GO9" s="3">
        <f>_xlfn.XLOOKUP(GO$1,generator!$B$2:$B$295,generator!$K$2:$K$295,"ARGH")</f>
        <v>0</v>
      </c>
      <c r="GP9" s="3">
        <f>_xlfn.XLOOKUP(GP$1,generator!$B$2:$B$295,generator!$K$2:$K$295,"ARGH")</f>
        <v>0</v>
      </c>
      <c r="GQ9" s="3">
        <f>_xlfn.XLOOKUP(GQ$1,generator!$B$2:$B$295,generator!$K$2:$K$295,"ARGH")</f>
        <v>0</v>
      </c>
      <c r="GR9" s="3">
        <f>_xlfn.XLOOKUP(GR$1,generator!$B$2:$B$295,generator!$K$2:$K$295,"ARGH")</f>
        <v>0</v>
      </c>
      <c r="GS9" s="3">
        <f>_xlfn.XLOOKUP(GS$1,generator!$B$2:$B$295,generator!$K$2:$K$295,"ARGH")</f>
        <v>0</v>
      </c>
      <c r="GT9" s="3">
        <f>_xlfn.XLOOKUP(GT$1,generator!$B$2:$B$295,generator!$K$2:$K$295,"ARGH")</f>
        <v>0</v>
      </c>
      <c r="GU9" s="3">
        <f>_xlfn.XLOOKUP(GU$1,generator!$B$2:$B$295,generator!$K$2:$K$295,"ARGH")</f>
        <v>0</v>
      </c>
      <c r="GV9" s="3">
        <f>_xlfn.XLOOKUP(GV$1,generator!$B$2:$B$295,generator!$K$2:$K$295,"ARGH")</f>
        <v>0</v>
      </c>
      <c r="GW9" s="3">
        <f>_xlfn.XLOOKUP(GW$1,generator!$B$2:$B$295,generator!$K$2:$K$295,"ARGH")</f>
        <v>0</v>
      </c>
      <c r="GX9" s="3">
        <f>_xlfn.XLOOKUP(GX$1,generator!$B$2:$B$295,generator!$K$2:$K$295,"ARGH")</f>
        <v>0</v>
      </c>
      <c r="GY9" s="3">
        <f>_xlfn.XLOOKUP(GY$1,generator!$B$2:$B$295,generator!$K$2:$K$295,"ARGH")</f>
        <v>0</v>
      </c>
      <c r="GZ9" s="3">
        <f>_xlfn.XLOOKUP(GZ$1,generator!$B$2:$B$295,generator!$K$2:$K$295,"ARGH")</f>
        <v>0</v>
      </c>
      <c r="HA9" s="3">
        <f>_xlfn.XLOOKUP(HA$1,generator!$B$2:$B$295,generator!$K$2:$K$295,"ARGH")</f>
        <v>0</v>
      </c>
      <c r="HB9" s="3">
        <f>_xlfn.XLOOKUP(HB$1,generator!$B$2:$B$295,generator!$K$2:$K$295,"ARGH")</f>
        <v>0</v>
      </c>
      <c r="HC9" s="3">
        <f>_xlfn.XLOOKUP(HC$1,generator!$B$2:$B$295,generator!$K$2:$K$295,"ARGH")</f>
        <v>0</v>
      </c>
      <c r="HD9" s="3">
        <f>_xlfn.XLOOKUP(HD$1,generator!$B$2:$B$295,generator!$K$2:$K$295,"ARGH")</f>
        <v>0</v>
      </c>
      <c r="HE9" s="3">
        <f>_xlfn.XLOOKUP(HE$1,generator!$B$2:$B$295,generator!$K$2:$K$295,"ARGH")</f>
        <v>12.74</v>
      </c>
      <c r="HF9" s="3">
        <f>_xlfn.XLOOKUP(HF$1,generator!$B$2:$B$295,generator!$K$2:$K$295,"ARGH")</f>
        <v>99</v>
      </c>
      <c r="HG9" s="3">
        <f>_xlfn.XLOOKUP(HG$1,generator!$B$2:$B$295,generator!$K$2:$K$295,"ARGH")</f>
        <v>99</v>
      </c>
      <c r="HH9" s="3">
        <f>_xlfn.XLOOKUP(HH$1,generator!$B$2:$B$295,generator!$K$2:$K$295,"ARGH")</f>
        <v>99</v>
      </c>
      <c r="HI9" s="3">
        <f>_xlfn.XLOOKUP(HI$1,generator!$B$2:$B$295,generator!$K$2:$K$295,"ARGH")</f>
        <v>8</v>
      </c>
      <c r="HJ9" s="3">
        <f>_xlfn.XLOOKUP(HJ$1,generator!$B$2:$B$295,generator!$K$2:$K$295,"ARGH")</f>
        <v>8</v>
      </c>
      <c r="HK9" s="3">
        <f>_xlfn.XLOOKUP(HK$1,generator!$B$2:$B$295,generator!$K$2:$K$295,"ARGH")</f>
        <v>8</v>
      </c>
      <c r="HL9" s="3">
        <f>_xlfn.XLOOKUP(HL$1,generator!$B$2:$B$295,generator!$K$2:$K$295,"ARGH")</f>
        <v>20</v>
      </c>
      <c r="HM9" s="3">
        <f>_xlfn.XLOOKUP(HM$1,generator!$B$2:$B$295,generator!$K$2:$K$295,"ARGH")</f>
        <v>20</v>
      </c>
      <c r="HN9" s="3">
        <f>_xlfn.XLOOKUP(HN$1,generator!$B$2:$B$295,generator!$K$2:$K$295,"ARGH")</f>
        <v>5</v>
      </c>
      <c r="HO9" s="3">
        <f>_xlfn.XLOOKUP(HO$1,generator!$B$2:$B$295,generator!$K$2:$K$295,"ARGH")</f>
        <v>5</v>
      </c>
      <c r="HP9" s="3">
        <f>_xlfn.XLOOKUP(HP$1,generator!$B$2:$B$295,generator!$K$2:$K$295,"ARGH")</f>
        <v>0.2</v>
      </c>
      <c r="HQ9" s="3">
        <f>_xlfn.XLOOKUP(HQ$1,generator!$B$2:$B$295,generator!$K$2:$K$295,"ARGH")</f>
        <v>5</v>
      </c>
      <c r="HR9" s="3">
        <f>_xlfn.XLOOKUP(HR$1,generator!$B$2:$B$295,generator!$K$2:$K$295,"ARGH")</f>
        <v>5</v>
      </c>
      <c r="HS9" s="3">
        <f>_xlfn.XLOOKUP(HS$1,generator!$B$2:$B$295,generator!$K$2:$K$295,"ARGH")</f>
        <v>12.82</v>
      </c>
      <c r="HT9" s="3">
        <f>_xlfn.XLOOKUP(HT$1,generator!$B$2:$B$295,generator!$K$2:$K$295,"ARGH")</f>
        <v>12.82</v>
      </c>
      <c r="HU9" s="3">
        <f>_xlfn.XLOOKUP(HU$1,generator!$B$2:$B$295,generator!$K$2:$K$295,"ARGH")</f>
        <v>25</v>
      </c>
      <c r="HV9" s="3">
        <f>_xlfn.XLOOKUP(HV$1,generator!$B$2:$B$295,generator!$K$2:$K$295,"ARGH")</f>
        <v>16</v>
      </c>
      <c r="HW9" s="3">
        <f>_xlfn.XLOOKUP(HW$1,generator!$B$2:$B$295,generator!$K$2:$K$295,"ARGH")</f>
        <v>5</v>
      </c>
      <c r="HX9" s="3">
        <f>_xlfn.XLOOKUP(HX$1,generator!$B$2:$B$295,generator!$K$2:$K$295,"ARGH")</f>
        <v>5</v>
      </c>
      <c r="HY9" s="3">
        <f>_xlfn.XLOOKUP(HY$1,generator!$B$2:$B$295,generator!$K$2:$K$295,"ARGH")</f>
        <v>63</v>
      </c>
      <c r="HZ9" s="3">
        <f>_xlfn.XLOOKUP(HZ$1,generator!$B$2:$B$295,generator!$K$2:$K$295,"ARGH")</f>
        <v>18</v>
      </c>
      <c r="IA9" s="3">
        <f>_xlfn.XLOOKUP(IA$1,generator!$B$2:$B$295,generator!$K$2:$K$295,"ARGH")</f>
        <v>121</v>
      </c>
      <c r="IB9" s="3">
        <f>_xlfn.XLOOKUP(IB$1,generator!$B$2:$B$295,generator!$K$2:$K$295,"ARGH")</f>
        <v>120</v>
      </c>
      <c r="IC9" s="3">
        <f>_xlfn.XLOOKUP(IC$1,generator!$B$2:$B$295,generator!$K$2:$K$295,"ARGH")</f>
        <v>0</v>
      </c>
      <c r="ID9" s="3">
        <f>_xlfn.XLOOKUP(ID$1,generator!$B$2:$B$295,generator!$K$2:$K$295,"ARGH")</f>
        <v>17</v>
      </c>
      <c r="IE9" s="3">
        <f>_xlfn.XLOOKUP(IE$1,generator!$B$2:$B$295,generator!$K$2:$K$295,"ARGH")</f>
        <v>194</v>
      </c>
      <c r="IF9" s="3">
        <f>_xlfn.XLOOKUP(IF$1,generator!$B$2:$B$295,generator!$K$2:$K$295,"ARGH")</f>
        <v>11.9</v>
      </c>
      <c r="IG9" s="3">
        <f>_xlfn.XLOOKUP(IG$1,generator!$B$2:$B$295,generator!$K$2:$K$295,"ARGH")</f>
        <v>11.9</v>
      </c>
      <c r="IH9" s="3">
        <f>_xlfn.XLOOKUP(IH$1,generator!$B$2:$B$295,generator!$K$2:$K$295,"ARGH")</f>
        <v>11.9</v>
      </c>
      <c r="II9" s="3">
        <f>_xlfn.XLOOKUP(II$1,generator!$B$2:$B$295,generator!$K$2:$K$295,"ARGH")</f>
        <v>11.9</v>
      </c>
      <c r="IJ9" s="3">
        <f>_xlfn.XLOOKUP(IJ$1,generator!$B$2:$B$295,generator!$K$2:$K$295,"ARGH")</f>
        <v>0</v>
      </c>
      <c r="IK9" s="3">
        <f>_xlfn.XLOOKUP(IK$1,generator!$B$2:$B$295,generator!$K$2:$K$295,"ARGH")</f>
        <v>3</v>
      </c>
      <c r="IL9" s="3">
        <f>_xlfn.XLOOKUP(IL$1,generator!$B$2:$B$295,generator!$K$2:$K$295,"ARGH")</f>
        <v>5</v>
      </c>
      <c r="IM9" s="3">
        <f>_xlfn.XLOOKUP(IM$1,generator!$B$2:$B$295,generator!$K$2:$K$295,"ARGH")</f>
        <v>5</v>
      </c>
      <c r="IN9" s="3">
        <f>_xlfn.XLOOKUP(IN$1,generator!$B$2:$B$295,generator!$K$2:$K$295,"ARGH")</f>
        <v>4</v>
      </c>
      <c r="IO9" s="3">
        <f>_xlfn.XLOOKUP(IO$1,generator!$B$2:$B$295,generator!$K$2:$K$295,"ARGH")</f>
        <v>4</v>
      </c>
      <c r="IP9" s="3">
        <f>_xlfn.XLOOKUP(IP$1,generator!$B$2:$B$295,generator!$K$2:$K$295,"ARGH")</f>
        <v>3</v>
      </c>
      <c r="IQ9" s="3">
        <f>_xlfn.XLOOKUP(IQ$1,generator!$B$2:$B$295,generator!$K$2:$K$295,"ARGH")</f>
        <v>1</v>
      </c>
      <c r="IR9" s="3">
        <f>_xlfn.XLOOKUP(IR$1,generator!$B$2:$B$295,generator!$K$2:$K$295,"ARGH")</f>
        <v>3</v>
      </c>
      <c r="IS9" s="3">
        <f>_xlfn.XLOOKUP(IS$1,generator!$B$2:$B$295,generator!$K$2:$K$295,"ARGH")</f>
        <v>3</v>
      </c>
      <c r="IT9" s="3">
        <f>_xlfn.XLOOKUP(IT$1,generator!$B$2:$B$295,generator!$K$2:$K$295,"ARGH")</f>
        <v>0</v>
      </c>
      <c r="IU9" s="3">
        <f>_xlfn.XLOOKUP(IU$1,generator!$B$2:$B$295,generator!$K$2:$K$295,"ARGH")</f>
        <v>3.99</v>
      </c>
      <c r="IV9" s="3">
        <f>_xlfn.XLOOKUP(IV$1,generator!$B$2:$B$295,generator!$K$2:$K$295,"ARGH")</f>
        <v>0.2</v>
      </c>
      <c r="IW9" s="3">
        <f>_xlfn.XLOOKUP(IW$1,generator!$B$2:$B$295,generator!$K$2:$K$295,"ARGH")</f>
        <v>15</v>
      </c>
      <c r="IX9" s="3">
        <f>_xlfn.XLOOKUP(IX$1,generator!$B$2:$B$295,generator!$K$2:$K$295,"ARGH")</f>
        <v>15</v>
      </c>
      <c r="IY9" s="3">
        <f>_xlfn.XLOOKUP(IY$1,generator!$B$2:$B$295,generator!$K$2:$K$295,"ARGH")</f>
        <v>15</v>
      </c>
      <c r="IZ9" s="3">
        <f>_xlfn.XLOOKUP(IZ$1,generator!$B$2:$B$295,generator!$K$2:$K$295,"ARGH")</f>
        <v>120</v>
      </c>
      <c r="JA9" s="3">
        <f>_xlfn.XLOOKUP(JA$1,generator!$B$2:$B$295,generator!$K$2:$K$295,"ARGH")</f>
        <v>40</v>
      </c>
      <c r="JB9" s="3">
        <f>_xlfn.XLOOKUP(JB$1,generator!$B$2:$B$295,generator!$K$2:$K$295,"ARGH")</f>
        <v>40</v>
      </c>
      <c r="JC9" s="3">
        <f>_xlfn.XLOOKUP(JC$1,generator!$B$2:$B$295,generator!$K$2:$K$295,"ARGH")</f>
        <v>113</v>
      </c>
      <c r="JD9" s="3">
        <f>_xlfn.XLOOKUP(JD$1,generator!$B$2:$B$295,generator!$K$2:$K$295,"ARGH")</f>
        <v>113</v>
      </c>
      <c r="JE9" s="3">
        <f>_xlfn.XLOOKUP(JE$1,generator!$B$2:$B$295,generator!$K$2:$K$295,"ARGH")</f>
        <v>211</v>
      </c>
      <c r="JF9" s="3">
        <f>_xlfn.XLOOKUP(JF$1,generator!$B$2:$B$295,generator!$K$2:$K$295,"ARGH")</f>
        <v>22.5</v>
      </c>
      <c r="JG9" s="3">
        <f>_xlfn.XLOOKUP(JG$1,generator!$B$2:$B$295,generator!$K$2:$K$295,"ARGH")</f>
        <v>1</v>
      </c>
      <c r="JH9" s="3">
        <f>_xlfn.XLOOKUP(JH$1,generator!$B$2:$B$295,generator!$K$2:$K$295,"ARGH")</f>
        <v>160</v>
      </c>
      <c r="JI9" s="3">
        <f>_xlfn.XLOOKUP(JI$1,generator!$B$2:$B$295,generator!$K$2:$K$295,"ARGH")</f>
        <v>165</v>
      </c>
      <c r="JJ9" s="3">
        <f>_xlfn.XLOOKUP(JJ$1,generator!$B$2:$B$295,generator!$K$2:$K$295,"ARGH")</f>
        <v>4.5999999999999996</v>
      </c>
      <c r="JK9" s="3">
        <f>_xlfn.XLOOKUP(JK$1,generator!$B$2:$B$295,generator!$K$2:$K$295,"ARGH")</f>
        <v>4.5999999999999996</v>
      </c>
      <c r="JL9" s="3">
        <f>_xlfn.XLOOKUP(JL$1,generator!$B$2:$B$295,generator!$K$2:$K$295,"ARGH")</f>
        <v>4.5999999999999996</v>
      </c>
      <c r="JM9" s="3">
        <f>_xlfn.XLOOKUP(JM$1,generator!$B$2:$B$295,generator!$K$2:$K$295,"ARGH")</f>
        <v>4.5999999999999996</v>
      </c>
      <c r="JN9" s="3">
        <f>_xlfn.XLOOKUP(JN$1,generator!$B$2:$B$295,generator!$K$2:$K$295,"ARGH")</f>
        <v>4.5999999999999996</v>
      </c>
      <c r="JO9" s="3">
        <f>_xlfn.XLOOKUP(JO$1,generator!$B$2:$B$295,generator!$K$2:$K$295,"ARGH")</f>
        <v>4.5999999999999996</v>
      </c>
      <c r="JP9" s="3">
        <f>_xlfn.XLOOKUP(JP$1,generator!$B$2:$B$295,generator!$K$2:$K$295,"ARGH")</f>
        <v>110</v>
      </c>
      <c r="JQ9" s="3">
        <f>_xlfn.XLOOKUP(JQ$1,generator!$B$2:$B$295,generator!$K$2:$K$295,"ARGH")</f>
        <v>22.7</v>
      </c>
      <c r="JR9" s="3">
        <f>_xlfn.XLOOKUP(JR$1,generator!$B$2:$B$295,generator!$K$2:$K$295,"ARGH")</f>
        <v>147</v>
      </c>
      <c r="JS9" s="3">
        <f>_xlfn.XLOOKUP(JS$1,generator!$B$2:$B$295,generator!$K$2:$K$295,"ARGH")</f>
        <v>147</v>
      </c>
      <c r="JT9" s="3">
        <f>_xlfn.XLOOKUP(JT$1,generator!$B$2:$B$295,generator!$K$2:$K$295,"ARGH")</f>
        <v>22.7</v>
      </c>
      <c r="JU9" s="3">
        <f>_xlfn.XLOOKUP(JU$1,generator!$B$2:$B$295,generator!$K$2:$K$295,"ARGH")</f>
        <v>21.5</v>
      </c>
      <c r="JV9" s="3">
        <f>_xlfn.XLOOKUP(JV$1,generator!$B$2:$B$295,generator!$K$2:$K$295,"ARGH")</f>
        <v>120</v>
      </c>
      <c r="JW9" s="3">
        <f>_xlfn.XLOOKUP(JW$1,generator!$B$2:$B$295,generator!$K$2:$K$295,"ARGH")</f>
        <v>120</v>
      </c>
      <c r="JX9" s="3">
        <f>_xlfn.XLOOKUP(JX$1,generator!$B$2:$B$295,generator!$K$2:$K$295,"ARGH")</f>
        <v>1</v>
      </c>
      <c r="JY9" s="3">
        <f>_xlfn.XLOOKUP(JY$1,generator!$B$2:$B$295,generator!$K$2:$K$295,"ARGH")</f>
        <v>41.15</v>
      </c>
      <c r="JZ9" s="3">
        <f>_xlfn.XLOOKUP(JZ$1,generator!$B$2:$B$295,generator!$K$2:$K$295,"ARGH")</f>
        <v>5</v>
      </c>
      <c r="KA9" s="3">
        <f>_xlfn.XLOOKUP(KA$1,generator!$B$2:$B$295,generator!$K$2:$K$295,"ARGH")</f>
        <v>5</v>
      </c>
      <c r="KB9" s="3">
        <f>_xlfn.XLOOKUP(KB$1,generator!$B$2:$B$295,generator!$K$2:$K$295,"ARGH")</f>
        <v>5</v>
      </c>
      <c r="KC9" s="3">
        <f>_xlfn.XLOOKUP(KC$1,generator!$B$2:$B$295,generator!$K$2:$K$295,"ARGH")</f>
        <v>5</v>
      </c>
    </row>
    <row r="10" spans="1:289" x14ac:dyDescent="0.3">
      <c r="A10" s="4" t="s">
        <v>3005</v>
      </c>
      <c r="B10" s="31">
        <v>14.5</v>
      </c>
      <c r="C10" s="31">
        <v>513</v>
      </c>
      <c r="D10" s="31">
        <v>315</v>
      </c>
      <c r="E10" s="3">
        <f>_xlfn.XLOOKUP(E$1,generator!$B$2:$B$295,generator!$K$2:$K$295,"ARGH")</f>
        <v>0</v>
      </c>
      <c r="F10" s="3">
        <f>_xlfn.XLOOKUP(F$1,generator!$B$2:$B$295,generator!$K$2:$K$295,"ARGH")</f>
        <v>0</v>
      </c>
      <c r="G10" s="3">
        <f>_xlfn.XLOOKUP(G$1,generator!$B$2:$B$295,generator!$K$2:$K$295,"ARGH")</f>
        <v>0</v>
      </c>
      <c r="H10" s="3">
        <f>_xlfn.XLOOKUP(H$1,generator!$B$2:$B$295,generator!$K$2:$K$295,"ARGH")</f>
        <v>0</v>
      </c>
      <c r="I10" s="3">
        <f>_xlfn.XLOOKUP(I$1,generator!$B$2:$B$295,generator!$K$2:$K$295,"ARGH")</f>
        <v>0</v>
      </c>
      <c r="J10" s="3">
        <f>_xlfn.XLOOKUP(J$1,generator!$B$2:$B$295,generator!$K$2:$K$295,"ARGH")</f>
        <v>0</v>
      </c>
      <c r="K10" s="3">
        <f>_xlfn.XLOOKUP(K$1,generator!$B$2:$B$295,generator!$K$2:$K$295,"ARGH")</f>
        <v>0</v>
      </c>
      <c r="L10" s="3">
        <f>_xlfn.XLOOKUP(L$1,generator!$B$2:$B$295,generator!$K$2:$K$295,"ARGH")</f>
        <v>0</v>
      </c>
      <c r="M10" s="3">
        <f>_xlfn.XLOOKUP(M$1,generator!$B$2:$B$295,generator!$K$2:$K$295,"ARGH")</f>
        <v>0</v>
      </c>
      <c r="N10" s="3">
        <f>_xlfn.XLOOKUP(N$1,generator!$B$2:$B$295,generator!$K$2:$K$295,"ARGH")</f>
        <v>0</v>
      </c>
      <c r="O10" s="3">
        <f>_xlfn.XLOOKUP(O$1,generator!$B$2:$B$295,generator!$K$2:$K$295,"ARGH")</f>
        <v>0</v>
      </c>
      <c r="P10" s="3">
        <f>_xlfn.XLOOKUP(P$1,generator!$B$2:$B$295,generator!$K$2:$K$295,"ARGH")</f>
        <v>0</v>
      </c>
      <c r="Q10" s="3">
        <f>_xlfn.XLOOKUP(Q$1,generator!$B$2:$B$295,generator!$K$2:$K$295,"ARGH")</f>
        <v>0</v>
      </c>
      <c r="R10" s="3">
        <f>_xlfn.XLOOKUP(R$1,generator!$B$2:$B$295,generator!$K$2:$K$295,"ARGH")</f>
        <v>0</v>
      </c>
      <c r="S10" s="3">
        <f>_xlfn.XLOOKUP(S$1,generator!$B$2:$B$295,generator!$K$2:$K$295,"ARGH")</f>
        <v>0</v>
      </c>
      <c r="T10" s="3">
        <f>_xlfn.XLOOKUP(T$1,generator!$B$2:$B$295,generator!$K$2:$K$295,"ARGH")</f>
        <v>0</v>
      </c>
      <c r="U10" s="3">
        <f>_xlfn.XLOOKUP(U$1,generator!$B$2:$B$295,generator!$K$2:$K$295,"ARGH")</f>
        <v>0</v>
      </c>
      <c r="V10" s="3">
        <f>_xlfn.XLOOKUP(V$1,generator!$B$2:$B$295,generator!$K$2:$K$295,"ARGH")</f>
        <v>0</v>
      </c>
      <c r="W10" s="3">
        <f>_xlfn.XLOOKUP(W$1,generator!$B$2:$B$295,generator!$K$2:$K$295,"ARGH")</f>
        <v>0</v>
      </c>
      <c r="X10" s="3">
        <f>_xlfn.XLOOKUP(X$1,generator!$B$2:$B$295,generator!$K$2:$K$295,"ARGH")</f>
        <v>0</v>
      </c>
      <c r="Y10" s="3">
        <f>_xlfn.XLOOKUP(Y$1,generator!$B$2:$B$295,generator!$K$2:$K$295,"ARGH")</f>
        <v>0</v>
      </c>
      <c r="Z10" s="3">
        <f>_xlfn.XLOOKUP(Z$1,generator!$B$2:$B$295,generator!$K$2:$K$295,"ARGH")</f>
        <v>0</v>
      </c>
      <c r="AA10" s="3">
        <f>_xlfn.XLOOKUP(AA$1,generator!$B$2:$B$295,generator!$K$2:$K$295,"ARGH")</f>
        <v>0</v>
      </c>
      <c r="AB10" s="3">
        <f>_xlfn.XLOOKUP(AB$1,generator!$B$2:$B$295,generator!$K$2:$K$295,"ARGH")</f>
        <v>0</v>
      </c>
      <c r="AC10" s="3">
        <f>_xlfn.XLOOKUP(AC$1,generator!$B$2:$B$295,generator!$K$2:$K$295,"ARGH")</f>
        <v>0</v>
      </c>
      <c r="AD10" s="3">
        <f>_xlfn.XLOOKUP(AD$1,generator!$B$2:$B$295,generator!$K$2:$K$295,"ARGH")</f>
        <v>0</v>
      </c>
      <c r="AE10" s="3">
        <f>_xlfn.XLOOKUP(AE$1,generator!$B$2:$B$295,generator!$K$2:$K$295,"ARGH")</f>
        <v>0</v>
      </c>
      <c r="AF10" s="3">
        <f>_xlfn.XLOOKUP(AF$1,generator!$B$2:$B$295,generator!$K$2:$K$295,"ARGH")</f>
        <v>0</v>
      </c>
      <c r="AG10" s="3">
        <f>_xlfn.XLOOKUP(AG$1,generator!$B$2:$B$295,generator!$K$2:$K$295,"ARGH")</f>
        <v>0</v>
      </c>
      <c r="AH10" s="3">
        <f>_xlfn.XLOOKUP(AH$1,generator!$B$2:$B$295,generator!$K$2:$K$295,"ARGH")</f>
        <v>0</v>
      </c>
      <c r="AI10" s="3">
        <f>_xlfn.XLOOKUP(AI$1,generator!$B$2:$B$295,generator!$K$2:$K$295,"ARGH")</f>
        <v>0</v>
      </c>
      <c r="AJ10" s="3">
        <f>_xlfn.XLOOKUP(AJ$1,generator!$B$2:$B$295,generator!$K$2:$K$295,"ARGH")</f>
        <v>0</v>
      </c>
      <c r="AK10" s="3">
        <f>_xlfn.XLOOKUP(AK$1,generator!$B$2:$B$295,generator!$K$2:$K$295,"ARGH")</f>
        <v>0</v>
      </c>
      <c r="AL10" s="3">
        <f>_xlfn.XLOOKUP(AL$1,generator!$B$2:$B$295,generator!$K$2:$K$295,"ARGH")</f>
        <v>0</v>
      </c>
      <c r="AM10" s="3">
        <f>_xlfn.XLOOKUP(AM$1,generator!$B$2:$B$295,generator!$K$2:$K$295,"ARGH")</f>
        <v>0</v>
      </c>
      <c r="AN10" s="3">
        <f>_xlfn.XLOOKUP(AN$1,generator!$B$2:$B$295,generator!$K$2:$K$295,"ARGH")</f>
        <v>0</v>
      </c>
      <c r="AO10" s="3">
        <f>_xlfn.XLOOKUP(AO$1,generator!$B$2:$B$295,generator!$K$2:$K$295,"ARGH")</f>
        <v>0</v>
      </c>
      <c r="AP10" s="3">
        <f>_xlfn.XLOOKUP(AP$1,generator!$B$2:$B$295,generator!$K$2:$K$295,"ARGH")</f>
        <v>0</v>
      </c>
      <c r="AQ10" s="3">
        <f>_xlfn.XLOOKUP(AQ$1,generator!$B$2:$B$295,generator!$K$2:$K$295,"ARGH")</f>
        <v>0</v>
      </c>
      <c r="AR10" s="3">
        <f>_xlfn.XLOOKUP(AR$1,generator!$B$2:$B$295,generator!$K$2:$K$295,"ARGH")</f>
        <v>0</v>
      </c>
      <c r="AS10" s="3">
        <f>_xlfn.XLOOKUP(AS$1,generator!$B$2:$B$295,generator!$K$2:$K$295,"ARGH")</f>
        <v>0</v>
      </c>
      <c r="AT10" s="3">
        <f>_xlfn.XLOOKUP(AT$1,generator!$B$2:$B$295,generator!$K$2:$K$295,"ARGH")</f>
        <v>0</v>
      </c>
      <c r="AU10" s="3">
        <f>_xlfn.XLOOKUP(AU$1,generator!$B$2:$B$295,generator!$K$2:$K$295,"ARGH")</f>
        <v>0</v>
      </c>
      <c r="AV10" s="3">
        <f>_xlfn.XLOOKUP(AV$1,generator!$B$2:$B$295,generator!$K$2:$K$295,"ARGH")</f>
        <v>0</v>
      </c>
      <c r="AW10" s="3">
        <f>_xlfn.XLOOKUP(AW$1,generator!$B$2:$B$295,generator!$K$2:$K$295,"ARGH")</f>
        <v>0</v>
      </c>
      <c r="AX10" s="3">
        <f>_xlfn.XLOOKUP(AX$1,generator!$B$2:$B$295,generator!$K$2:$K$295,"ARGH")</f>
        <v>0</v>
      </c>
      <c r="AY10" s="3">
        <f>_xlfn.XLOOKUP(AY$1,generator!$B$2:$B$295,generator!$K$2:$K$295,"ARGH")</f>
        <v>0</v>
      </c>
      <c r="AZ10" s="3">
        <f>_xlfn.XLOOKUP(AZ$1,generator!$B$2:$B$295,generator!$K$2:$K$295,"ARGH")</f>
        <v>0</v>
      </c>
      <c r="BA10" s="3">
        <f>_xlfn.XLOOKUP(BA$1,generator!$B$2:$B$295,generator!$K$2:$K$295,"ARGH")</f>
        <v>0</v>
      </c>
      <c r="BB10" s="3">
        <f>_xlfn.XLOOKUP(BB$1,generator!$B$2:$B$295,generator!$K$2:$K$295,"ARGH")</f>
        <v>0</v>
      </c>
      <c r="BC10" s="3">
        <f>_xlfn.XLOOKUP(BC$1,generator!$B$2:$B$295,generator!$K$2:$K$295,"ARGH")</f>
        <v>0</v>
      </c>
      <c r="BD10" s="3">
        <f>_xlfn.XLOOKUP(BD$1,generator!$B$2:$B$295,generator!$K$2:$K$295,"ARGH")</f>
        <v>0</v>
      </c>
      <c r="BE10" s="3">
        <f>_xlfn.XLOOKUP(BE$1,generator!$B$2:$B$295,generator!$K$2:$K$295,"ARGH")</f>
        <v>0</v>
      </c>
      <c r="BF10" s="3">
        <f>_xlfn.XLOOKUP(BF$1,generator!$B$2:$B$295,generator!$K$2:$K$295,"ARGH")</f>
        <v>0</v>
      </c>
      <c r="BG10" s="3">
        <f>_xlfn.XLOOKUP(BG$1,generator!$B$2:$B$295,generator!$K$2:$K$295,"ARGH")</f>
        <v>0</v>
      </c>
      <c r="BH10" s="3">
        <f>_xlfn.XLOOKUP(BH$1,generator!$B$2:$B$295,generator!$K$2:$K$295,"ARGH")</f>
        <v>0</v>
      </c>
      <c r="BI10" s="3">
        <f>_xlfn.XLOOKUP(BI$1,generator!$B$2:$B$295,generator!$K$2:$K$295,"ARGH")</f>
        <v>0</v>
      </c>
      <c r="BJ10" s="3">
        <f>_xlfn.XLOOKUP(BJ$1,generator!$B$2:$B$295,generator!$K$2:$K$295,"ARGH")</f>
        <v>0</v>
      </c>
      <c r="BK10" s="3">
        <f>_xlfn.XLOOKUP(BK$1,generator!$B$2:$B$295,generator!$K$2:$K$295,"ARGH")</f>
        <v>0</v>
      </c>
      <c r="BL10" s="3">
        <f>_xlfn.XLOOKUP(BL$1,generator!$B$2:$B$295,generator!$K$2:$K$295,"ARGH")</f>
        <v>0</v>
      </c>
      <c r="BM10" s="3">
        <f>_xlfn.XLOOKUP(BM$1,generator!$B$2:$B$295,generator!$K$2:$K$295,"ARGH")</f>
        <v>0</v>
      </c>
      <c r="BN10" s="3">
        <f>_xlfn.XLOOKUP(BN$1,generator!$B$2:$B$295,generator!$K$2:$K$295,"ARGH")</f>
        <v>0</v>
      </c>
      <c r="BO10" s="3">
        <f>_xlfn.XLOOKUP(BO$1,generator!$B$2:$B$295,generator!$K$2:$K$295,"ARGH")</f>
        <v>0</v>
      </c>
      <c r="BP10" s="3">
        <f>_xlfn.XLOOKUP(BP$1,generator!$B$2:$B$295,generator!$K$2:$K$295,"ARGH")</f>
        <v>0</v>
      </c>
      <c r="BQ10" s="3">
        <f>_xlfn.XLOOKUP(BQ$1,generator!$B$2:$B$295,generator!$K$2:$K$295,"ARGH")</f>
        <v>0</v>
      </c>
      <c r="BR10" s="3">
        <f>_xlfn.XLOOKUP(BR$1,generator!$B$2:$B$295,generator!$K$2:$K$295,"ARGH")</f>
        <v>0</v>
      </c>
      <c r="BS10" s="3">
        <f>_xlfn.XLOOKUP(BS$1,generator!$B$2:$B$295,generator!$K$2:$K$295,"ARGH")</f>
        <v>0</v>
      </c>
      <c r="BT10" s="3">
        <f>_xlfn.XLOOKUP(BT$1,generator!$B$2:$B$295,generator!$K$2:$K$295,"ARGH")</f>
        <v>0</v>
      </c>
      <c r="BU10" s="3">
        <f>_xlfn.XLOOKUP(BU$1,generator!$B$2:$B$295,generator!$K$2:$K$295,"ARGH")</f>
        <v>0</v>
      </c>
      <c r="BV10" s="3">
        <f>_xlfn.XLOOKUP(BV$1,generator!$B$2:$B$295,generator!$K$2:$K$295,"ARGH")</f>
        <v>0</v>
      </c>
      <c r="BW10" s="3">
        <f>_xlfn.XLOOKUP(BW$1,generator!$B$2:$B$295,generator!$K$2:$K$295,"ARGH")</f>
        <v>0</v>
      </c>
      <c r="BX10" s="3">
        <f>_xlfn.XLOOKUP(BX$1,generator!$B$2:$B$295,generator!$K$2:$K$295,"ARGH")</f>
        <v>0</v>
      </c>
      <c r="BY10" s="3">
        <f>_xlfn.XLOOKUP(BY$1,generator!$B$2:$B$295,generator!$K$2:$K$295,"ARGH")</f>
        <v>0</v>
      </c>
      <c r="BZ10" s="3">
        <f>_xlfn.XLOOKUP(BZ$1,generator!$B$2:$B$295,generator!$K$2:$K$295,"ARGH")</f>
        <v>0</v>
      </c>
      <c r="CA10" s="3">
        <f>_xlfn.XLOOKUP(CA$1,generator!$B$2:$B$295,generator!$K$2:$K$295,"ARGH")</f>
        <v>0</v>
      </c>
      <c r="CB10" s="3">
        <f>_xlfn.XLOOKUP(CB$1,generator!$B$2:$B$295,generator!$K$2:$K$295,"ARGH")</f>
        <v>0</v>
      </c>
      <c r="CC10" s="3">
        <f>_xlfn.XLOOKUP(CC$1,generator!$B$2:$B$295,generator!$K$2:$K$295,"ARGH")</f>
        <v>0</v>
      </c>
      <c r="CD10" s="3">
        <f>_xlfn.XLOOKUP(CD$1,generator!$B$2:$B$295,generator!$K$2:$K$295,"ARGH")</f>
        <v>0</v>
      </c>
      <c r="CE10" s="3">
        <f>_xlfn.XLOOKUP(CE$1,generator!$B$2:$B$295,generator!$K$2:$K$295,"ARGH")</f>
        <v>0</v>
      </c>
      <c r="CF10" s="3">
        <f>_xlfn.XLOOKUP(CF$1,generator!$B$2:$B$295,generator!$K$2:$K$295,"ARGH")</f>
        <v>0</v>
      </c>
      <c r="CG10" s="3">
        <f>_xlfn.XLOOKUP(CG$1,generator!$B$2:$B$295,generator!$K$2:$K$295,"ARGH")</f>
        <v>0</v>
      </c>
      <c r="CH10" s="3">
        <f>_xlfn.XLOOKUP(CH$1,generator!$B$2:$B$295,generator!$K$2:$K$295,"ARGH")</f>
        <v>0</v>
      </c>
      <c r="CI10" s="3">
        <f>_xlfn.XLOOKUP(CI$1,generator!$B$2:$B$295,generator!$K$2:$K$295,"ARGH")</f>
        <v>0</v>
      </c>
      <c r="CJ10" s="3">
        <f>_xlfn.XLOOKUP(CJ$1,generator!$B$2:$B$295,generator!$K$2:$K$295,"ARGH")</f>
        <v>0</v>
      </c>
      <c r="CK10" s="3">
        <f>_xlfn.XLOOKUP(CK$1,generator!$B$2:$B$295,generator!$K$2:$K$295,"ARGH")</f>
        <v>0</v>
      </c>
      <c r="CL10" s="3">
        <f>_xlfn.XLOOKUP(CL$1,generator!$B$2:$B$295,generator!$K$2:$K$295,"ARGH")</f>
        <v>0</v>
      </c>
      <c r="CM10" s="3">
        <f>_xlfn.XLOOKUP(CM$1,generator!$B$2:$B$295,generator!$K$2:$K$295,"ARGH")</f>
        <v>0</v>
      </c>
      <c r="CN10" s="3">
        <f>_xlfn.XLOOKUP(CN$1,generator!$B$2:$B$295,generator!$K$2:$K$295,"ARGH")</f>
        <v>0</v>
      </c>
      <c r="CO10" s="3">
        <f>_xlfn.XLOOKUP(CO$1,generator!$B$2:$B$295,generator!$K$2:$K$295,"ARGH")</f>
        <v>0</v>
      </c>
      <c r="CP10" s="3">
        <f>_xlfn.XLOOKUP(CP$1,generator!$B$2:$B$295,generator!$K$2:$K$295,"ARGH")</f>
        <v>0</v>
      </c>
      <c r="CQ10" s="3">
        <f>_xlfn.XLOOKUP(CQ$1,generator!$B$2:$B$295,generator!$K$2:$K$295,"ARGH")</f>
        <v>0</v>
      </c>
      <c r="CR10" s="3">
        <f>_xlfn.XLOOKUP(CR$1,generator!$B$2:$B$295,generator!$K$2:$K$295,"ARGH")</f>
        <v>0</v>
      </c>
      <c r="CS10" s="3">
        <f>_xlfn.XLOOKUP(CS$1,generator!$B$2:$B$295,generator!$K$2:$K$295,"ARGH")</f>
        <v>0</v>
      </c>
      <c r="CT10" s="3">
        <f>_xlfn.XLOOKUP(CT$1,generator!$B$2:$B$295,generator!$K$2:$K$295,"ARGH")</f>
        <v>0</v>
      </c>
      <c r="CU10" s="3">
        <f>_xlfn.XLOOKUP(CU$1,generator!$B$2:$B$295,generator!$K$2:$K$295,"ARGH")</f>
        <v>0</v>
      </c>
      <c r="CV10" s="3">
        <f>_xlfn.XLOOKUP(CV$1,generator!$B$2:$B$295,generator!$K$2:$K$295,"ARGH")</f>
        <v>0</v>
      </c>
      <c r="CW10" s="3">
        <f>_xlfn.XLOOKUP(CW$1,generator!$B$2:$B$295,generator!$K$2:$K$295,"ARGH")</f>
        <v>0</v>
      </c>
      <c r="CX10" s="3">
        <f>_xlfn.XLOOKUP(CX$1,generator!$B$2:$B$295,generator!$K$2:$K$295,"ARGH")</f>
        <v>0</v>
      </c>
      <c r="CY10" s="3">
        <f>_xlfn.XLOOKUP(CY$1,generator!$B$2:$B$295,generator!$K$2:$K$295,"ARGH")</f>
        <v>0</v>
      </c>
      <c r="CZ10" s="3">
        <f>_xlfn.XLOOKUP(CZ$1,generator!$B$2:$B$295,generator!$K$2:$K$295,"ARGH")</f>
        <v>0</v>
      </c>
      <c r="DA10" s="3">
        <f>_xlfn.XLOOKUP(DA$1,generator!$B$2:$B$295,generator!$K$2:$K$295,"ARGH")</f>
        <v>0</v>
      </c>
      <c r="DB10" s="3">
        <f>_xlfn.XLOOKUP(DB$1,generator!$B$2:$B$295,generator!$K$2:$K$295,"ARGH")</f>
        <v>0</v>
      </c>
      <c r="DC10" s="3">
        <f>_xlfn.XLOOKUP(DC$1,generator!$B$2:$B$295,generator!$K$2:$K$295,"ARGH")</f>
        <v>0</v>
      </c>
      <c r="DD10" s="3">
        <f>_xlfn.XLOOKUP(DD$1,generator!$B$2:$B$295,generator!$K$2:$K$295,"ARGH")</f>
        <v>0</v>
      </c>
      <c r="DE10" s="3">
        <f>_xlfn.XLOOKUP(DE$1,generator!$B$2:$B$295,generator!$K$2:$K$295,"ARGH")</f>
        <v>0</v>
      </c>
      <c r="DF10" s="3">
        <f>_xlfn.XLOOKUP(DF$1,generator!$B$2:$B$295,generator!$K$2:$K$295,"ARGH")</f>
        <v>0</v>
      </c>
      <c r="DG10" s="3">
        <f>_xlfn.XLOOKUP(DG$1,generator!$B$2:$B$295,generator!$K$2:$K$295,"ARGH")</f>
        <v>0</v>
      </c>
      <c r="DH10" s="3">
        <f>_xlfn.XLOOKUP(DH$1,generator!$B$2:$B$295,generator!$K$2:$K$295,"ARGH")</f>
        <v>0</v>
      </c>
      <c r="DI10" s="3">
        <f>_xlfn.XLOOKUP(DI$1,generator!$B$2:$B$295,generator!$K$2:$K$295,"ARGH")</f>
        <v>0</v>
      </c>
      <c r="DJ10" s="3">
        <f>_xlfn.XLOOKUP(DJ$1,generator!$B$2:$B$295,generator!$K$2:$K$295,"ARGH")</f>
        <v>0</v>
      </c>
      <c r="DK10" s="3">
        <f>_xlfn.XLOOKUP(DK$1,generator!$B$2:$B$295,generator!$K$2:$K$295,"ARGH")</f>
        <v>0</v>
      </c>
      <c r="DL10" s="3">
        <f>_xlfn.XLOOKUP(DL$1,generator!$B$2:$B$295,generator!$K$2:$K$295,"ARGH")</f>
        <v>0</v>
      </c>
      <c r="DM10" s="3">
        <f>_xlfn.XLOOKUP(DM$1,generator!$B$2:$B$295,generator!$K$2:$K$295,"ARGH")</f>
        <v>0</v>
      </c>
      <c r="DN10" s="3">
        <f>_xlfn.XLOOKUP(DN$1,generator!$B$2:$B$295,generator!$K$2:$K$295,"ARGH")</f>
        <v>0</v>
      </c>
      <c r="DO10" s="3">
        <f>_xlfn.XLOOKUP(DO$1,generator!$B$2:$B$295,generator!$K$2:$K$295,"ARGH")</f>
        <v>0</v>
      </c>
      <c r="DP10" s="3">
        <f>_xlfn.XLOOKUP(DP$1,generator!$B$2:$B$295,generator!$K$2:$K$295,"ARGH")</f>
        <v>0</v>
      </c>
      <c r="DQ10" s="3">
        <f>_xlfn.XLOOKUP(DQ$1,generator!$B$2:$B$295,generator!$K$2:$K$295,"ARGH")</f>
        <v>0</v>
      </c>
      <c r="DR10" s="3">
        <f>_xlfn.XLOOKUP(DR$1,generator!$B$2:$B$295,generator!$K$2:$K$295,"ARGH")</f>
        <v>0</v>
      </c>
      <c r="DS10" s="3">
        <f>_xlfn.XLOOKUP(DS$1,generator!$B$2:$B$295,generator!$K$2:$K$295,"ARGH")</f>
        <v>0</v>
      </c>
      <c r="DT10" s="3">
        <f>_xlfn.XLOOKUP(DT$1,generator!$B$2:$B$295,generator!$K$2:$K$295,"ARGH")</f>
        <v>0</v>
      </c>
      <c r="DU10" s="3">
        <f>_xlfn.XLOOKUP(DU$1,generator!$B$2:$B$295,generator!$K$2:$K$295,"ARGH")</f>
        <v>0</v>
      </c>
      <c r="DV10" s="3">
        <f>_xlfn.XLOOKUP(DV$1,generator!$B$2:$B$295,generator!$K$2:$K$295,"ARGH")</f>
        <v>0</v>
      </c>
      <c r="DW10" s="3">
        <f>_xlfn.XLOOKUP(DW$1,generator!$B$2:$B$295,generator!$K$2:$K$295,"ARGH")</f>
        <v>0</v>
      </c>
      <c r="DX10" s="3">
        <f>_xlfn.XLOOKUP(DX$1,generator!$B$2:$B$295,generator!$K$2:$K$295,"ARGH")</f>
        <v>0</v>
      </c>
      <c r="DY10" s="3">
        <f>_xlfn.XLOOKUP(DY$1,generator!$B$2:$B$295,generator!$K$2:$K$295,"ARGH")</f>
        <v>0</v>
      </c>
      <c r="DZ10" s="3">
        <f>_xlfn.XLOOKUP(DZ$1,generator!$B$2:$B$295,generator!$K$2:$K$295,"ARGH")</f>
        <v>0</v>
      </c>
      <c r="EA10" s="3">
        <f>_xlfn.XLOOKUP(EA$1,generator!$B$2:$B$295,generator!$K$2:$K$295,"ARGH")</f>
        <v>0</v>
      </c>
      <c r="EB10" s="3">
        <f>_xlfn.XLOOKUP(EB$1,generator!$B$2:$B$295,generator!$K$2:$K$295,"ARGH")</f>
        <v>0</v>
      </c>
      <c r="EC10" s="3">
        <f>_xlfn.XLOOKUP(EC$1,generator!$B$2:$B$295,generator!$K$2:$K$295,"ARGH")</f>
        <v>0</v>
      </c>
      <c r="ED10" s="3">
        <f>_xlfn.XLOOKUP(ED$1,generator!$B$2:$B$295,generator!$K$2:$K$295,"ARGH")</f>
        <v>0</v>
      </c>
      <c r="EE10" s="3">
        <f>_xlfn.XLOOKUP(EE$1,generator!$B$2:$B$295,generator!$K$2:$K$295,"ARGH")</f>
        <v>0</v>
      </c>
      <c r="EF10" s="3">
        <f>_xlfn.XLOOKUP(EF$1,generator!$B$2:$B$295,generator!$K$2:$K$295,"ARGH")</f>
        <v>0</v>
      </c>
      <c r="EG10" s="3">
        <f>_xlfn.XLOOKUP(EG$1,generator!$B$2:$B$295,generator!$K$2:$K$295,"ARGH")</f>
        <v>0</v>
      </c>
      <c r="EH10" s="3">
        <f>_xlfn.XLOOKUP(EH$1,generator!$B$2:$B$295,generator!$K$2:$K$295,"ARGH")</f>
        <v>0</v>
      </c>
      <c r="EI10" s="3">
        <f>_xlfn.XLOOKUP(EI$1,generator!$B$2:$B$295,generator!$K$2:$K$295,"ARGH")</f>
        <v>0</v>
      </c>
      <c r="EJ10" s="3">
        <f>_xlfn.XLOOKUP(EJ$1,generator!$B$2:$B$295,generator!$K$2:$K$295,"ARGH")</f>
        <v>0</v>
      </c>
      <c r="EK10" s="3">
        <f>_xlfn.XLOOKUP(EK$1,generator!$B$2:$B$295,generator!$K$2:$K$295,"ARGH")</f>
        <v>0</v>
      </c>
      <c r="EL10" s="3">
        <f>_xlfn.XLOOKUP(EL$1,generator!$B$2:$B$295,generator!$K$2:$K$295,"ARGH")</f>
        <v>0</v>
      </c>
      <c r="EM10" s="3">
        <f>_xlfn.XLOOKUP(EM$1,generator!$B$2:$B$295,generator!$K$2:$K$295,"ARGH")</f>
        <v>0</v>
      </c>
      <c r="EN10" s="3">
        <f>_xlfn.XLOOKUP(EN$1,generator!$B$2:$B$295,generator!$K$2:$K$295,"ARGH")</f>
        <v>0</v>
      </c>
      <c r="EO10" s="3">
        <f>_xlfn.XLOOKUP(EO$1,generator!$B$2:$B$295,generator!$K$2:$K$295,"ARGH")</f>
        <v>0</v>
      </c>
      <c r="EP10" s="3">
        <f>_xlfn.XLOOKUP(EP$1,generator!$B$2:$B$295,generator!$K$2:$K$295,"ARGH")</f>
        <v>0</v>
      </c>
      <c r="EQ10" s="3">
        <f>_xlfn.XLOOKUP(EQ$1,generator!$B$2:$B$295,generator!$K$2:$K$295,"ARGH")</f>
        <v>0</v>
      </c>
      <c r="ER10" s="3">
        <f>_xlfn.XLOOKUP(ER$1,generator!$B$2:$B$295,generator!$K$2:$K$295,"ARGH")</f>
        <v>0</v>
      </c>
      <c r="ES10" s="3">
        <f>_xlfn.XLOOKUP(ES$1,generator!$B$2:$B$295,generator!$K$2:$K$295,"ARGH")</f>
        <v>0</v>
      </c>
      <c r="ET10" s="3">
        <f>_xlfn.XLOOKUP(ET$1,generator!$B$2:$B$295,generator!$K$2:$K$295,"ARGH")</f>
        <v>0</v>
      </c>
      <c r="EU10" s="3">
        <f>_xlfn.XLOOKUP(EU$1,generator!$B$2:$B$295,generator!$K$2:$K$295,"ARGH")</f>
        <v>0</v>
      </c>
      <c r="EV10" s="3">
        <f>_xlfn.XLOOKUP(EV$1,generator!$B$2:$B$295,generator!$K$2:$K$295,"ARGH")</f>
        <v>0</v>
      </c>
      <c r="EW10" s="3">
        <f>_xlfn.XLOOKUP(EW$1,generator!$B$2:$B$295,generator!$K$2:$K$295,"ARGH")</f>
        <v>0</v>
      </c>
      <c r="EX10" s="3">
        <f>_xlfn.XLOOKUP(EX$1,generator!$B$2:$B$295,generator!$K$2:$K$295,"ARGH")</f>
        <v>0</v>
      </c>
      <c r="EY10" s="3">
        <f>_xlfn.XLOOKUP(EY$1,generator!$B$2:$B$295,generator!$K$2:$K$295,"ARGH")</f>
        <v>0</v>
      </c>
      <c r="EZ10" s="3">
        <f>_xlfn.XLOOKUP(EZ$1,generator!$B$2:$B$295,generator!$K$2:$K$295,"ARGH")</f>
        <v>0</v>
      </c>
      <c r="FA10" s="3">
        <f>_xlfn.XLOOKUP(FA$1,generator!$B$2:$B$295,generator!$K$2:$K$295,"ARGH")</f>
        <v>0</v>
      </c>
      <c r="FB10" s="3">
        <f>_xlfn.XLOOKUP(FB$1,generator!$B$2:$B$295,generator!$K$2:$K$295,"ARGH")</f>
        <v>0</v>
      </c>
      <c r="FC10" s="3">
        <f>_xlfn.XLOOKUP(FC$1,generator!$B$2:$B$295,generator!$K$2:$K$295,"ARGH")</f>
        <v>0</v>
      </c>
      <c r="FD10" s="3">
        <f>_xlfn.XLOOKUP(FD$1,generator!$B$2:$B$295,generator!$K$2:$K$295,"ARGH")</f>
        <v>0</v>
      </c>
      <c r="FE10" s="3">
        <f>_xlfn.XLOOKUP(FE$1,generator!$B$2:$B$295,generator!$K$2:$K$295,"ARGH")</f>
        <v>0</v>
      </c>
      <c r="FF10" s="3">
        <f>_xlfn.XLOOKUP(FF$1,generator!$B$2:$B$295,generator!$K$2:$K$295,"ARGH")</f>
        <v>0</v>
      </c>
      <c r="FG10" s="3">
        <f>_xlfn.XLOOKUP(FG$1,generator!$B$2:$B$295,generator!$K$2:$K$295,"ARGH")</f>
        <v>0</v>
      </c>
      <c r="FH10" s="3">
        <f>_xlfn.XLOOKUP(FH$1,generator!$B$2:$B$295,generator!$K$2:$K$295,"ARGH")</f>
        <v>0</v>
      </c>
      <c r="FI10" s="3">
        <f>_xlfn.XLOOKUP(FI$1,generator!$B$2:$B$295,generator!$K$2:$K$295,"ARGH")</f>
        <v>0</v>
      </c>
      <c r="FJ10" s="3">
        <f>_xlfn.XLOOKUP(FJ$1,generator!$B$2:$B$295,generator!$K$2:$K$295,"ARGH")</f>
        <v>0</v>
      </c>
      <c r="FK10" s="3">
        <f>_xlfn.XLOOKUP(FK$1,generator!$B$2:$B$295,generator!$K$2:$K$295,"ARGH")</f>
        <v>0</v>
      </c>
      <c r="FL10" s="3">
        <f>_xlfn.XLOOKUP(FL$1,generator!$B$2:$B$295,generator!$K$2:$K$295,"ARGH")</f>
        <v>0</v>
      </c>
      <c r="FM10" s="3">
        <f>_xlfn.XLOOKUP(FM$1,generator!$B$2:$B$295,generator!$K$2:$K$295,"ARGH")</f>
        <v>0</v>
      </c>
      <c r="FN10" s="3">
        <f>_xlfn.XLOOKUP(FN$1,generator!$B$2:$B$295,generator!$K$2:$K$295,"ARGH")</f>
        <v>0</v>
      </c>
      <c r="FO10" s="3">
        <f>_xlfn.XLOOKUP(FO$1,generator!$B$2:$B$295,generator!$K$2:$K$295,"ARGH")</f>
        <v>0</v>
      </c>
      <c r="FP10" s="3">
        <f>_xlfn.XLOOKUP(FP$1,generator!$B$2:$B$295,generator!$K$2:$K$295,"ARGH")</f>
        <v>0</v>
      </c>
      <c r="FQ10" s="3">
        <f>_xlfn.XLOOKUP(FQ$1,generator!$B$2:$B$295,generator!$K$2:$K$295,"ARGH")</f>
        <v>0</v>
      </c>
      <c r="FR10" s="3">
        <f>_xlfn.XLOOKUP(FR$1,generator!$B$2:$B$295,generator!$K$2:$K$295,"ARGH")</f>
        <v>0</v>
      </c>
      <c r="FS10" s="3">
        <f>_xlfn.XLOOKUP(FS$1,generator!$B$2:$B$295,generator!$K$2:$K$295,"ARGH")</f>
        <v>0</v>
      </c>
      <c r="FT10" s="3">
        <f>_xlfn.XLOOKUP(FT$1,generator!$B$2:$B$295,generator!$K$2:$K$295,"ARGH")</f>
        <v>0</v>
      </c>
      <c r="FU10" s="3">
        <f>_xlfn.XLOOKUP(FU$1,generator!$B$2:$B$295,generator!$K$2:$K$295,"ARGH")</f>
        <v>0</v>
      </c>
      <c r="FV10" s="3">
        <f>_xlfn.XLOOKUP(FV$1,generator!$B$2:$B$295,generator!$K$2:$K$295,"ARGH")</f>
        <v>0</v>
      </c>
      <c r="FW10" s="3">
        <f>_xlfn.XLOOKUP(FW$1,generator!$B$2:$B$295,generator!$K$2:$K$295,"ARGH")</f>
        <v>0</v>
      </c>
      <c r="FX10" s="3">
        <f>_xlfn.XLOOKUP(FX$1,generator!$B$2:$B$295,generator!$K$2:$K$295,"ARGH")</f>
        <v>0</v>
      </c>
      <c r="FY10" s="3">
        <f>_xlfn.XLOOKUP(FY$1,generator!$B$2:$B$295,generator!$K$2:$K$295,"ARGH")</f>
        <v>0</v>
      </c>
      <c r="FZ10" s="3">
        <f>_xlfn.XLOOKUP(FZ$1,generator!$B$2:$B$295,generator!$K$2:$K$295,"ARGH")</f>
        <v>0</v>
      </c>
      <c r="GA10" s="3">
        <f>_xlfn.XLOOKUP(GA$1,generator!$B$2:$B$295,generator!$K$2:$K$295,"ARGH")</f>
        <v>0</v>
      </c>
      <c r="GB10" s="3">
        <f>_xlfn.XLOOKUP(GB$1,generator!$B$2:$B$295,generator!$K$2:$K$295,"ARGH")</f>
        <v>0</v>
      </c>
      <c r="GC10" s="3">
        <f>_xlfn.XLOOKUP(GC$1,generator!$B$2:$B$295,generator!$K$2:$K$295,"ARGH")</f>
        <v>0</v>
      </c>
      <c r="GD10" s="3">
        <f>_xlfn.XLOOKUP(GD$1,generator!$B$2:$B$295,generator!$K$2:$K$295,"ARGH")</f>
        <v>0</v>
      </c>
      <c r="GE10" s="3">
        <f>_xlfn.XLOOKUP(GE$1,generator!$B$2:$B$295,generator!$K$2:$K$295,"ARGH")</f>
        <v>0</v>
      </c>
      <c r="GF10" s="3">
        <f>_xlfn.XLOOKUP(GF$1,generator!$B$2:$B$295,generator!$K$2:$K$295,"ARGH")</f>
        <v>0</v>
      </c>
      <c r="GG10" s="3">
        <f>_xlfn.XLOOKUP(GG$1,generator!$B$2:$B$295,generator!$K$2:$K$295,"ARGH")</f>
        <v>0</v>
      </c>
      <c r="GH10" s="3">
        <f>_xlfn.XLOOKUP(GH$1,generator!$B$2:$B$295,generator!$K$2:$K$295,"ARGH")</f>
        <v>0</v>
      </c>
      <c r="GI10" s="3">
        <f>_xlfn.XLOOKUP(GI$1,generator!$B$2:$B$295,generator!$K$2:$K$295,"ARGH")</f>
        <v>0</v>
      </c>
      <c r="GJ10" s="3">
        <f>_xlfn.XLOOKUP(GJ$1,generator!$B$2:$B$295,generator!$K$2:$K$295,"ARGH")</f>
        <v>0</v>
      </c>
      <c r="GK10" s="3">
        <f>_xlfn.XLOOKUP(GK$1,generator!$B$2:$B$295,generator!$K$2:$K$295,"ARGH")</f>
        <v>0</v>
      </c>
      <c r="GL10" s="3">
        <f>_xlfn.XLOOKUP(GL$1,generator!$B$2:$B$295,generator!$K$2:$K$295,"ARGH")</f>
        <v>0</v>
      </c>
      <c r="GM10" s="3">
        <f>_xlfn.XLOOKUP(GM$1,generator!$B$2:$B$295,generator!$K$2:$K$295,"ARGH")</f>
        <v>0</v>
      </c>
      <c r="GN10" s="3">
        <f>_xlfn.XLOOKUP(GN$1,generator!$B$2:$B$295,generator!$K$2:$K$295,"ARGH")</f>
        <v>0</v>
      </c>
      <c r="GO10" s="3">
        <f>_xlfn.XLOOKUP(GO$1,generator!$B$2:$B$295,generator!$K$2:$K$295,"ARGH")</f>
        <v>0</v>
      </c>
      <c r="GP10" s="3">
        <f>_xlfn.XLOOKUP(GP$1,generator!$B$2:$B$295,generator!$K$2:$K$295,"ARGH")</f>
        <v>0</v>
      </c>
      <c r="GQ10" s="3">
        <f>_xlfn.XLOOKUP(GQ$1,generator!$B$2:$B$295,generator!$K$2:$K$295,"ARGH")</f>
        <v>0</v>
      </c>
      <c r="GR10" s="3">
        <f>_xlfn.XLOOKUP(GR$1,generator!$B$2:$B$295,generator!$K$2:$K$295,"ARGH")</f>
        <v>0</v>
      </c>
      <c r="GS10" s="3">
        <f>_xlfn.XLOOKUP(GS$1,generator!$B$2:$B$295,generator!$K$2:$K$295,"ARGH")</f>
        <v>0</v>
      </c>
      <c r="GT10" s="3">
        <f>_xlfn.XLOOKUP(GT$1,generator!$B$2:$B$295,generator!$K$2:$K$295,"ARGH")</f>
        <v>0</v>
      </c>
      <c r="GU10" s="3">
        <f>_xlfn.XLOOKUP(GU$1,generator!$B$2:$B$295,generator!$K$2:$K$295,"ARGH")</f>
        <v>0</v>
      </c>
      <c r="GV10" s="3">
        <f>_xlfn.XLOOKUP(GV$1,generator!$B$2:$B$295,generator!$K$2:$K$295,"ARGH")</f>
        <v>0</v>
      </c>
      <c r="GW10" s="3">
        <f>_xlfn.XLOOKUP(GW$1,generator!$B$2:$B$295,generator!$K$2:$K$295,"ARGH")</f>
        <v>0</v>
      </c>
      <c r="GX10" s="3">
        <f>_xlfn.XLOOKUP(GX$1,generator!$B$2:$B$295,generator!$K$2:$K$295,"ARGH")</f>
        <v>0</v>
      </c>
      <c r="GY10" s="3">
        <f>_xlfn.XLOOKUP(GY$1,generator!$B$2:$B$295,generator!$K$2:$K$295,"ARGH")</f>
        <v>0</v>
      </c>
      <c r="GZ10" s="3">
        <f>_xlfn.XLOOKUP(GZ$1,generator!$B$2:$B$295,generator!$K$2:$K$295,"ARGH")</f>
        <v>0</v>
      </c>
      <c r="HA10" s="3">
        <f>_xlfn.XLOOKUP(HA$1,generator!$B$2:$B$295,generator!$K$2:$K$295,"ARGH")</f>
        <v>0</v>
      </c>
      <c r="HB10" s="3">
        <f>_xlfn.XLOOKUP(HB$1,generator!$B$2:$B$295,generator!$K$2:$K$295,"ARGH")</f>
        <v>0</v>
      </c>
      <c r="HC10" s="3">
        <f>_xlfn.XLOOKUP(HC$1,generator!$B$2:$B$295,generator!$K$2:$K$295,"ARGH")</f>
        <v>0</v>
      </c>
      <c r="HD10" s="3">
        <f>_xlfn.XLOOKUP(HD$1,generator!$B$2:$B$295,generator!$K$2:$K$295,"ARGH")</f>
        <v>0</v>
      </c>
      <c r="HE10" s="3">
        <f>_xlfn.XLOOKUP(HE$1,generator!$B$2:$B$295,generator!$K$2:$K$295,"ARGH")</f>
        <v>12.74</v>
      </c>
      <c r="HF10" s="3">
        <f>_xlfn.XLOOKUP(HF$1,generator!$B$2:$B$295,generator!$K$2:$K$295,"ARGH")</f>
        <v>99</v>
      </c>
      <c r="HG10" s="3">
        <f>_xlfn.XLOOKUP(HG$1,generator!$B$2:$B$295,generator!$K$2:$K$295,"ARGH")</f>
        <v>99</v>
      </c>
      <c r="HH10" s="3">
        <f>_xlfn.XLOOKUP(HH$1,generator!$B$2:$B$295,generator!$K$2:$K$295,"ARGH")</f>
        <v>99</v>
      </c>
      <c r="HI10" s="3">
        <f>_xlfn.XLOOKUP(HI$1,generator!$B$2:$B$295,generator!$K$2:$K$295,"ARGH")</f>
        <v>8</v>
      </c>
      <c r="HJ10" s="3">
        <f>_xlfn.XLOOKUP(HJ$1,generator!$B$2:$B$295,generator!$K$2:$K$295,"ARGH")</f>
        <v>8</v>
      </c>
      <c r="HK10" s="3">
        <f>_xlfn.XLOOKUP(HK$1,generator!$B$2:$B$295,generator!$K$2:$K$295,"ARGH")</f>
        <v>8</v>
      </c>
      <c r="HL10" s="3">
        <f>_xlfn.XLOOKUP(HL$1,generator!$B$2:$B$295,generator!$K$2:$K$295,"ARGH")</f>
        <v>20</v>
      </c>
      <c r="HM10" s="3">
        <f>_xlfn.XLOOKUP(HM$1,generator!$B$2:$B$295,generator!$K$2:$K$295,"ARGH")</f>
        <v>20</v>
      </c>
      <c r="HN10" s="3">
        <f>_xlfn.XLOOKUP(HN$1,generator!$B$2:$B$295,generator!$K$2:$K$295,"ARGH")</f>
        <v>5</v>
      </c>
      <c r="HO10" s="3">
        <f>_xlfn.XLOOKUP(HO$1,generator!$B$2:$B$295,generator!$K$2:$K$295,"ARGH")</f>
        <v>5</v>
      </c>
      <c r="HP10" s="3">
        <f>_xlfn.XLOOKUP(HP$1,generator!$B$2:$B$295,generator!$K$2:$K$295,"ARGH")</f>
        <v>0.2</v>
      </c>
      <c r="HQ10" s="3">
        <f>_xlfn.XLOOKUP(HQ$1,generator!$B$2:$B$295,generator!$K$2:$K$295,"ARGH")</f>
        <v>5</v>
      </c>
      <c r="HR10" s="3">
        <f>_xlfn.XLOOKUP(HR$1,generator!$B$2:$B$295,generator!$K$2:$K$295,"ARGH")</f>
        <v>5</v>
      </c>
      <c r="HS10" s="3">
        <f>_xlfn.XLOOKUP(HS$1,generator!$B$2:$B$295,generator!$K$2:$K$295,"ARGH")</f>
        <v>12.82</v>
      </c>
      <c r="HT10" s="3">
        <f>_xlfn.XLOOKUP(HT$1,generator!$B$2:$B$295,generator!$K$2:$K$295,"ARGH")</f>
        <v>12.82</v>
      </c>
      <c r="HU10" s="3">
        <f>_xlfn.XLOOKUP(HU$1,generator!$B$2:$B$295,generator!$K$2:$K$295,"ARGH")</f>
        <v>25</v>
      </c>
      <c r="HV10" s="3">
        <f>_xlfn.XLOOKUP(HV$1,generator!$B$2:$B$295,generator!$K$2:$K$295,"ARGH")</f>
        <v>16</v>
      </c>
      <c r="HW10" s="3">
        <f>_xlfn.XLOOKUP(HW$1,generator!$B$2:$B$295,generator!$K$2:$K$295,"ARGH")</f>
        <v>5</v>
      </c>
      <c r="HX10" s="3">
        <f>_xlfn.XLOOKUP(HX$1,generator!$B$2:$B$295,generator!$K$2:$K$295,"ARGH")</f>
        <v>5</v>
      </c>
      <c r="HY10" s="3">
        <f>_xlfn.XLOOKUP(HY$1,generator!$B$2:$B$295,generator!$K$2:$K$295,"ARGH")</f>
        <v>63</v>
      </c>
      <c r="HZ10" s="3">
        <f>_xlfn.XLOOKUP(HZ$1,generator!$B$2:$B$295,generator!$K$2:$K$295,"ARGH")</f>
        <v>18</v>
      </c>
      <c r="IA10" s="3">
        <f>_xlfn.XLOOKUP(IA$1,generator!$B$2:$B$295,generator!$K$2:$K$295,"ARGH")</f>
        <v>121</v>
      </c>
      <c r="IB10" s="3">
        <f>_xlfn.XLOOKUP(IB$1,generator!$B$2:$B$295,generator!$K$2:$K$295,"ARGH")</f>
        <v>120</v>
      </c>
      <c r="IC10" s="3">
        <f>_xlfn.XLOOKUP(IC$1,generator!$B$2:$B$295,generator!$K$2:$K$295,"ARGH")</f>
        <v>0</v>
      </c>
      <c r="ID10" s="3">
        <f>_xlfn.XLOOKUP(ID$1,generator!$B$2:$B$295,generator!$K$2:$K$295,"ARGH")</f>
        <v>17</v>
      </c>
      <c r="IE10" s="3">
        <f>_xlfn.XLOOKUP(IE$1,generator!$B$2:$B$295,generator!$K$2:$K$295,"ARGH")</f>
        <v>194</v>
      </c>
      <c r="IF10" s="3">
        <f>_xlfn.XLOOKUP(IF$1,generator!$B$2:$B$295,generator!$K$2:$K$295,"ARGH")</f>
        <v>11.9</v>
      </c>
      <c r="IG10" s="3">
        <f>_xlfn.XLOOKUP(IG$1,generator!$B$2:$B$295,generator!$K$2:$K$295,"ARGH")</f>
        <v>11.9</v>
      </c>
      <c r="IH10" s="3">
        <f>_xlfn.XLOOKUP(IH$1,generator!$B$2:$B$295,generator!$K$2:$K$295,"ARGH")</f>
        <v>11.9</v>
      </c>
      <c r="II10" s="3">
        <f>_xlfn.XLOOKUP(II$1,generator!$B$2:$B$295,generator!$K$2:$K$295,"ARGH")</f>
        <v>11.9</v>
      </c>
      <c r="IJ10" s="3">
        <f>_xlfn.XLOOKUP(IJ$1,generator!$B$2:$B$295,generator!$K$2:$K$295,"ARGH")</f>
        <v>0</v>
      </c>
      <c r="IK10" s="3">
        <f>_xlfn.XLOOKUP(IK$1,generator!$B$2:$B$295,generator!$K$2:$K$295,"ARGH")</f>
        <v>3</v>
      </c>
      <c r="IL10" s="3">
        <f>_xlfn.XLOOKUP(IL$1,generator!$B$2:$B$295,generator!$K$2:$K$295,"ARGH")</f>
        <v>5</v>
      </c>
      <c r="IM10" s="3">
        <f>_xlfn.XLOOKUP(IM$1,generator!$B$2:$B$295,generator!$K$2:$K$295,"ARGH")</f>
        <v>5</v>
      </c>
      <c r="IN10" s="3">
        <f>_xlfn.XLOOKUP(IN$1,generator!$B$2:$B$295,generator!$K$2:$K$295,"ARGH")</f>
        <v>4</v>
      </c>
      <c r="IO10" s="3">
        <f>_xlfn.XLOOKUP(IO$1,generator!$B$2:$B$295,generator!$K$2:$K$295,"ARGH")</f>
        <v>4</v>
      </c>
      <c r="IP10" s="3">
        <f>_xlfn.XLOOKUP(IP$1,generator!$B$2:$B$295,generator!$K$2:$K$295,"ARGH")</f>
        <v>3</v>
      </c>
      <c r="IQ10" s="3">
        <f>_xlfn.XLOOKUP(IQ$1,generator!$B$2:$B$295,generator!$K$2:$K$295,"ARGH")</f>
        <v>1</v>
      </c>
      <c r="IR10" s="3">
        <f>_xlfn.XLOOKUP(IR$1,generator!$B$2:$B$295,generator!$K$2:$K$295,"ARGH")</f>
        <v>3</v>
      </c>
      <c r="IS10" s="3">
        <f>_xlfn.XLOOKUP(IS$1,generator!$B$2:$B$295,generator!$K$2:$K$295,"ARGH")</f>
        <v>3</v>
      </c>
      <c r="IT10" s="3">
        <f>_xlfn.XLOOKUP(IT$1,generator!$B$2:$B$295,generator!$K$2:$K$295,"ARGH")</f>
        <v>0</v>
      </c>
      <c r="IU10" s="3">
        <f>_xlfn.XLOOKUP(IU$1,generator!$B$2:$B$295,generator!$K$2:$K$295,"ARGH")</f>
        <v>3.99</v>
      </c>
      <c r="IV10" s="3">
        <f>_xlfn.XLOOKUP(IV$1,generator!$B$2:$B$295,generator!$K$2:$K$295,"ARGH")</f>
        <v>0.2</v>
      </c>
      <c r="IW10" s="3">
        <f>_xlfn.XLOOKUP(IW$1,generator!$B$2:$B$295,generator!$K$2:$K$295,"ARGH")</f>
        <v>15</v>
      </c>
      <c r="IX10" s="3">
        <f>_xlfn.XLOOKUP(IX$1,generator!$B$2:$B$295,generator!$K$2:$K$295,"ARGH")</f>
        <v>15</v>
      </c>
      <c r="IY10" s="3">
        <f>_xlfn.XLOOKUP(IY$1,generator!$B$2:$B$295,generator!$K$2:$K$295,"ARGH")</f>
        <v>15</v>
      </c>
      <c r="IZ10" s="3">
        <f>_xlfn.XLOOKUP(IZ$1,generator!$B$2:$B$295,generator!$K$2:$K$295,"ARGH")</f>
        <v>120</v>
      </c>
      <c r="JA10" s="3">
        <f>_xlfn.XLOOKUP(JA$1,generator!$B$2:$B$295,generator!$K$2:$K$295,"ARGH")</f>
        <v>40</v>
      </c>
      <c r="JB10" s="3">
        <f>_xlfn.XLOOKUP(JB$1,generator!$B$2:$B$295,generator!$K$2:$K$295,"ARGH")</f>
        <v>40</v>
      </c>
      <c r="JC10" s="3">
        <f>_xlfn.XLOOKUP(JC$1,generator!$B$2:$B$295,generator!$K$2:$K$295,"ARGH")</f>
        <v>113</v>
      </c>
      <c r="JD10" s="3">
        <f>_xlfn.XLOOKUP(JD$1,generator!$B$2:$B$295,generator!$K$2:$K$295,"ARGH")</f>
        <v>113</v>
      </c>
      <c r="JE10" s="3">
        <f>_xlfn.XLOOKUP(JE$1,generator!$B$2:$B$295,generator!$K$2:$K$295,"ARGH")</f>
        <v>211</v>
      </c>
      <c r="JF10" s="3">
        <f>_xlfn.XLOOKUP(JF$1,generator!$B$2:$B$295,generator!$K$2:$K$295,"ARGH")</f>
        <v>22.5</v>
      </c>
      <c r="JG10" s="3">
        <f>_xlfn.XLOOKUP(JG$1,generator!$B$2:$B$295,generator!$K$2:$K$295,"ARGH")</f>
        <v>1</v>
      </c>
      <c r="JH10" s="3">
        <f>_xlfn.XLOOKUP(JH$1,generator!$B$2:$B$295,generator!$K$2:$K$295,"ARGH")</f>
        <v>160</v>
      </c>
      <c r="JI10" s="3">
        <f>_xlfn.XLOOKUP(JI$1,generator!$B$2:$B$295,generator!$K$2:$K$295,"ARGH")</f>
        <v>165</v>
      </c>
      <c r="JJ10" s="3">
        <f>_xlfn.XLOOKUP(JJ$1,generator!$B$2:$B$295,generator!$K$2:$K$295,"ARGH")</f>
        <v>4.5999999999999996</v>
      </c>
      <c r="JK10" s="3">
        <f>_xlfn.XLOOKUP(JK$1,generator!$B$2:$B$295,generator!$K$2:$K$295,"ARGH")</f>
        <v>4.5999999999999996</v>
      </c>
      <c r="JL10" s="3">
        <f>_xlfn.XLOOKUP(JL$1,generator!$B$2:$B$295,generator!$K$2:$K$295,"ARGH")</f>
        <v>4.5999999999999996</v>
      </c>
      <c r="JM10" s="3">
        <f>_xlfn.XLOOKUP(JM$1,generator!$B$2:$B$295,generator!$K$2:$K$295,"ARGH")</f>
        <v>4.5999999999999996</v>
      </c>
      <c r="JN10" s="3">
        <f>_xlfn.XLOOKUP(JN$1,generator!$B$2:$B$295,generator!$K$2:$K$295,"ARGH")</f>
        <v>4.5999999999999996</v>
      </c>
      <c r="JO10" s="3">
        <f>_xlfn.XLOOKUP(JO$1,generator!$B$2:$B$295,generator!$K$2:$K$295,"ARGH")</f>
        <v>4.5999999999999996</v>
      </c>
      <c r="JP10" s="3">
        <f>_xlfn.XLOOKUP(JP$1,generator!$B$2:$B$295,generator!$K$2:$K$295,"ARGH")</f>
        <v>110</v>
      </c>
      <c r="JQ10" s="3">
        <f>_xlfn.XLOOKUP(JQ$1,generator!$B$2:$B$295,generator!$K$2:$K$295,"ARGH")</f>
        <v>22.7</v>
      </c>
      <c r="JR10" s="3">
        <f>_xlfn.XLOOKUP(JR$1,generator!$B$2:$B$295,generator!$K$2:$K$295,"ARGH")</f>
        <v>147</v>
      </c>
      <c r="JS10" s="3">
        <f>_xlfn.XLOOKUP(JS$1,generator!$B$2:$B$295,generator!$K$2:$K$295,"ARGH")</f>
        <v>147</v>
      </c>
      <c r="JT10" s="3">
        <f>_xlfn.XLOOKUP(JT$1,generator!$B$2:$B$295,generator!$K$2:$K$295,"ARGH")</f>
        <v>22.7</v>
      </c>
      <c r="JU10" s="3">
        <f>_xlfn.XLOOKUP(JU$1,generator!$B$2:$B$295,generator!$K$2:$K$295,"ARGH")</f>
        <v>21.5</v>
      </c>
      <c r="JV10" s="3">
        <f>_xlfn.XLOOKUP(JV$1,generator!$B$2:$B$295,generator!$K$2:$K$295,"ARGH")</f>
        <v>120</v>
      </c>
      <c r="JW10" s="3">
        <f>_xlfn.XLOOKUP(JW$1,generator!$B$2:$B$295,generator!$K$2:$K$295,"ARGH")</f>
        <v>120</v>
      </c>
      <c r="JX10" s="3">
        <f>_xlfn.XLOOKUP(JX$1,generator!$B$2:$B$295,generator!$K$2:$K$295,"ARGH")</f>
        <v>1</v>
      </c>
      <c r="JY10" s="3">
        <f>_xlfn.XLOOKUP(JY$1,generator!$B$2:$B$295,generator!$K$2:$K$295,"ARGH")</f>
        <v>41.15</v>
      </c>
      <c r="JZ10" s="3">
        <f>_xlfn.XLOOKUP(JZ$1,generator!$B$2:$B$295,generator!$K$2:$K$295,"ARGH")</f>
        <v>5</v>
      </c>
      <c r="KA10" s="3">
        <f>_xlfn.XLOOKUP(KA$1,generator!$B$2:$B$295,generator!$K$2:$K$295,"ARGH")</f>
        <v>5</v>
      </c>
      <c r="KB10" s="3">
        <f>_xlfn.XLOOKUP(KB$1,generator!$B$2:$B$295,generator!$K$2:$K$295,"ARGH")</f>
        <v>5</v>
      </c>
      <c r="KC10" s="3">
        <f>_xlfn.XLOOKUP(KC$1,generator!$B$2:$B$295,generator!$K$2:$K$295,"ARGH")</f>
        <v>5</v>
      </c>
    </row>
    <row r="11" spans="1:289" x14ac:dyDescent="0.3">
      <c r="A11" s="4" t="s">
        <v>3006</v>
      </c>
      <c r="B11" s="31">
        <v>0</v>
      </c>
      <c r="C11" s="31">
        <v>513.5</v>
      </c>
      <c r="D11" s="31">
        <v>315</v>
      </c>
      <c r="E11" s="3">
        <f>_xlfn.XLOOKUP(E$1,generator!$B$2:$B$295,generator!$K$2:$K$295,"ARGH")</f>
        <v>0</v>
      </c>
      <c r="F11" s="3">
        <f>_xlfn.XLOOKUP(F$1,generator!$B$2:$B$295,generator!$K$2:$K$295,"ARGH")</f>
        <v>0</v>
      </c>
      <c r="G11" s="3">
        <f>_xlfn.XLOOKUP(G$1,generator!$B$2:$B$295,generator!$K$2:$K$295,"ARGH")</f>
        <v>0</v>
      </c>
      <c r="H11" s="3">
        <f>_xlfn.XLOOKUP(H$1,generator!$B$2:$B$295,generator!$K$2:$K$295,"ARGH")</f>
        <v>0</v>
      </c>
      <c r="I11" s="3">
        <f>_xlfn.XLOOKUP(I$1,generator!$B$2:$B$295,generator!$K$2:$K$295,"ARGH")</f>
        <v>0</v>
      </c>
      <c r="J11" s="3">
        <f>_xlfn.XLOOKUP(J$1,generator!$B$2:$B$295,generator!$K$2:$K$295,"ARGH")</f>
        <v>0</v>
      </c>
      <c r="K11" s="3">
        <f>_xlfn.XLOOKUP(K$1,generator!$B$2:$B$295,generator!$K$2:$K$295,"ARGH")</f>
        <v>0</v>
      </c>
      <c r="L11" s="3">
        <f>_xlfn.XLOOKUP(L$1,generator!$B$2:$B$295,generator!$K$2:$K$295,"ARGH")</f>
        <v>0</v>
      </c>
      <c r="M11" s="3">
        <f>_xlfn.XLOOKUP(M$1,generator!$B$2:$B$295,generator!$K$2:$K$295,"ARGH")</f>
        <v>0</v>
      </c>
      <c r="N11" s="3">
        <f>_xlfn.XLOOKUP(N$1,generator!$B$2:$B$295,generator!$K$2:$K$295,"ARGH")</f>
        <v>0</v>
      </c>
      <c r="O11" s="3">
        <f>_xlfn.XLOOKUP(O$1,generator!$B$2:$B$295,generator!$K$2:$K$295,"ARGH")</f>
        <v>0</v>
      </c>
      <c r="P11" s="3">
        <f>_xlfn.XLOOKUP(P$1,generator!$B$2:$B$295,generator!$K$2:$K$295,"ARGH")</f>
        <v>0</v>
      </c>
      <c r="Q11" s="3">
        <f>_xlfn.XLOOKUP(Q$1,generator!$B$2:$B$295,generator!$K$2:$K$295,"ARGH")</f>
        <v>0</v>
      </c>
      <c r="R11" s="3">
        <f>_xlfn.XLOOKUP(R$1,generator!$B$2:$B$295,generator!$K$2:$K$295,"ARGH")</f>
        <v>0</v>
      </c>
      <c r="S11" s="3">
        <f>_xlfn.XLOOKUP(S$1,generator!$B$2:$B$295,generator!$K$2:$K$295,"ARGH")</f>
        <v>0</v>
      </c>
      <c r="T11" s="3">
        <f>_xlfn.XLOOKUP(T$1,generator!$B$2:$B$295,generator!$K$2:$K$295,"ARGH")</f>
        <v>0</v>
      </c>
      <c r="U11" s="3">
        <f>_xlfn.XLOOKUP(U$1,generator!$B$2:$B$295,generator!$K$2:$K$295,"ARGH")</f>
        <v>0</v>
      </c>
      <c r="V11" s="3">
        <f>_xlfn.XLOOKUP(V$1,generator!$B$2:$B$295,generator!$K$2:$K$295,"ARGH")</f>
        <v>0</v>
      </c>
      <c r="W11" s="3">
        <f>_xlfn.XLOOKUP(W$1,generator!$B$2:$B$295,generator!$K$2:$K$295,"ARGH")</f>
        <v>0</v>
      </c>
      <c r="X11" s="3">
        <f>_xlfn.XLOOKUP(X$1,generator!$B$2:$B$295,generator!$K$2:$K$295,"ARGH")</f>
        <v>0</v>
      </c>
      <c r="Y11" s="3">
        <f>_xlfn.XLOOKUP(Y$1,generator!$B$2:$B$295,generator!$K$2:$K$295,"ARGH")</f>
        <v>0</v>
      </c>
      <c r="Z11" s="3">
        <f>_xlfn.XLOOKUP(Z$1,generator!$B$2:$B$295,generator!$K$2:$K$295,"ARGH")</f>
        <v>0</v>
      </c>
      <c r="AA11" s="3">
        <f>_xlfn.XLOOKUP(AA$1,generator!$B$2:$B$295,generator!$K$2:$K$295,"ARGH")</f>
        <v>0</v>
      </c>
      <c r="AB11" s="3">
        <f>_xlfn.XLOOKUP(AB$1,generator!$B$2:$B$295,generator!$K$2:$K$295,"ARGH")</f>
        <v>0</v>
      </c>
      <c r="AC11" s="3">
        <f>_xlfn.XLOOKUP(AC$1,generator!$B$2:$B$295,generator!$K$2:$K$295,"ARGH")</f>
        <v>0</v>
      </c>
      <c r="AD11" s="3">
        <f>_xlfn.XLOOKUP(AD$1,generator!$B$2:$B$295,generator!$K$2:$K$295,"ARGH")</f>
        <v>0</v>
      </c>
      <c r="AE11" s="3">
        <f>_xlfn.XLOOKUP(AE$1,generator!$B$2:$B$295,generator!$K$2:$K$295,"ARGH")</f>
        <v>0</v>
      </c>
      <c r="AF11" s="3">
        <f>_xlfn.XLOOKUP(AF$1,generator!$B$2:$B$295,generator!$K$2:$K$295,"ARGH")</f>
        <v>0</v>
      </c>
      <c r="AG11" s="3">
        <f>_xlfn.XLOOKUP(AG$1,generator!$B$2:$B$295,generator!$K$2:$K$295,"ARGH")</f>
        <v>0</v>
      </c>
      <c r="AH11" s="3">
        <f>_xlfn.XLOOKUP(AH$1,generator!$B$2:$B$295,generator!$K$2:$K$295,"ARGH")</f>
        <v>0</v>
      </c>
      <c r="AI11" s="3">
        <f>_xlfn.XLOOKUP(AI$1,generator!$B$2:$B$295,generator!$K$2:$K$295,"ARGH")</f>
        <v>0</v>
      </c>
      <c r="AJ11" s="3">
        <f>_xlfn.XLOOKUP(AJ$1,generator!$B$2:$B$295,generator!$K$2:$K$295,"ARGH")</f>
        <v>0</v>
      </c>
      <c r="AK11" s="3">
        <f>_xlfn.XLOOKUP(AK$1,generator!$B$2:$B$295,generator!$K$2:$K$295,"ARGH")</f>
        <v>0</v>
      </c>
      <c r="AL11" s="3">
        <f>_xlfn.XLOOKUP(AL$1,generator!$B$2:$B$295,generator!$K$2:$K$295,"ARGH")</f>
        <v>0</v>
      </c>
      <c r="AM11" s="3">
        <f>_xlfn.XLOOKUP(AM$1,generator!$B$2:$B$295,generator!$K$2:$K$295,"ARGH")</f>
        <v>0</v>
      </c>
      <c r="AN11" s="3">
        <f>_xlfn.XLOOKUP(AN$1,generator!$B$2:$B$295,generator!$K$2:$K$295,"ARGH")</f>
        <v>0</v>
      </c>
      <c r="AO11" s="3">
        <f>_xlfn.XLOOKUP(AO$1,generator!$B$2:$B$295,generator!$K$2:$K$295,"ARGH")</f>
        <v>0</v>
      </c>
      <c r="AP11" s="3">
        <f>_xlfn.XLOOKUP(AP$1,generator!$B$2:$B$295,generator!$K$2:$K$295,"ARGH")</f>
        <v>0</v>
      </c>
      <c r="AQ11" s="3">
        <f>_xlfn.XLOOKUP(AQ$1,generator!$B$2:$B$295,generator!$K$2:$K$295,"ARGH")</f>
        <v>0</v>
      </c>
      <c r="AR11" s="3">
        <f>_xlfn.XLOOKUP(AR$1,generator!$B$2:$B$295,generator!$K$2:$K$295,"ARGH")</f>
        <v>0</v>
      </c>
      <c r="AS11" s="3">
        <f>_xlfn.XLOOKUP(AS$1,generator!$B$2:$B$295,generator!$K$2:$K$295,"ARGH")</f>
        <v>0</v>
      </c>
      <c r="AT11" s="3">
        <f>_xlfn.XLOOKUP(AT$1,generator!$B$2:$B$295,generator!$K$2:$K$295,"ARGH")</f>
        <v>0</v>
      </c>
      <c r="AU11" s="3">
        <f>_xlfn.XLOOKUP(AU$1,generator!$B$2:$B$295,generator!$K$2:$K$295,"ARGH")</f>
        <v>0</v>
      </c>
      <c r="AV11" s="3">
        <f>_xlfn.XLOOKUP(AV$1,generator!$B$2:$B$295,generator!$K$2:$K$295,"ARGH")</f>
        <v>0</v>
      </c>
      <c r="AW11" s="3">
        <f>_xlfn.XLOOKUP(AW$1,generator!$B$2:$B$295,generator!$K$2:$K$295,"ARGH")</f>
        <v>0</v>
      </c>
      <c r="AX11" s="3">
        <f>_xlfn.XLOOKUP(AX$1,generator!$B$2:$B$295,generator!$K$2:$K$295,"ARGH")</f>
        <v>0</v>
      </c>
      <c r="AY11" s="3">
        <f>_xlfn.XLOOKUP(AY$1,generator!$B$2:$B$295,generator!$K$2:$K$295,"ARGH")</f>
        <v>0</v>
      </c>
      <c r="AZ11" s="3">
        <f>_xlfn.XLOOKUP(AZ$1,generator!$B$2:$B$295,generator!$K$2:$K$295,"ARGH")</f>
        <v>0</v>
      </c>
      <c r="BA11" s="3">
        <f>_xlfn.XLOOKUP(BA$1,generator!$B$2:$B$295,generator!$K$2:$K$295,"ARGH")</f>
        <v>0</v>
      </c>
      <c r="BB11" s="3">
        <f>_xlfn.XLOOKUP(BB$1,generator!$B$2:$B$295,generator!$K$2:$K$295,"ARGH")</f>
        <v>0</v>
      </c>
      <c r="BC11" s="3">
        <f>_xlfn.XLOOKUP(BC$1,generator!$B$2:$B$295,generator!$K$2:$K$295,"ARGH")</f>
        <v>0</v>
      </c>
      <c r="BD11" s="3">
        <f>_xlfn.XLOOKUP(BD$1,generator!$B$2:$B$295,generator!$K$2:$K$295,"ARGH")</f>
        <v>0</v>
      </c>
      <c r="BE11" s="3">
        <f>_xlfn.XLOOKUP(BE$1,generator!$B$2:$B$295,generator!$K$2:$K$295,"ARGH")</f>
        <v>0</v>
      </c>
      <c r="BF11" s="3">
        <f>_xlfn.XLOOKUP(BF$1,generator!$B$2:$B$295,generator!$K$2:$K$295,"ARGH")</f>
        <v>0</v>
      </c>
      <c r="BG11" s="3">
        <f>_xlfn.XLOOKUP(BG$1,generator!$B$2:$B$295,generator!$K$2:$K$295,"ARGH")</f>
        <v>0</v>
      </c>
      <c r="BH11" s="3">
        <f>_xlfn.XLOOKUP(BH$1,generator!$B$2:$B$295,generator!$K$2:$K$295,"ARGH")</f>
        <v>0</v>
      </c>
      <c r="BI11" s="3">
        <f>_xlfn.XLOOKUP(BI$1,generator!$B$2:$B$295,generator!$K$2:$K$295,"ARGH")</f>
        <v>0</v>
      </c>
      <c r="BJ11" s="3">
        <f>_xlfn.XLOOKUP(BJ$1,generator!$B$2:$B$295,generator!$K$2:$K$295,"ARGH")</f>
        <v>0</v>
      </c>
      <c r="BK11" s="3">
        <f>_xlfn.XLOOKUP(BK$1,generator!$B$2:$B$295,generator!$K$2:$K$295,"ARGH")</f>
        <v>0</v>
      </c>
      <c r="BL11" s="3">
        <f>_xlfn.XLOOKUP(BL$1,generator!$B$2:$B$295,generator!$K$2:$K$295,"ARGH")</f>
        <v>0</v>
      </c>
      <c r="BM11" s="3">
        <f>_xlfn.XLOOKUP(BM$1,generator!$B$2:$B$295,generator!$K$2:$K$295,"ARGH")</f>
        <v>0</v>
      </c>
      <c r="BN11" s="3">
        <f>_xlfn.XLOOKUP(BN$1,generator!$B$2:$B$295,generator!$K$2:$K$295,"ARGH")</f>
        <v>0</v>
      </c>
      <c r="BO11" s="3">
        <f>_xlfn.XLOOKUP(BO$1,generator!$B$2:$B$295,generator!$K$2:$K$295,"ARGH")</f>
        <v>0</v>
      </c>
      <c r="BP11" s="3">
        <f>_xlfn.XLOOKUP(BP$1,generator!$B$2:$B$295,generator!$K$2:$K$295,"ARGH")</f>
        <v>0</v>
      </c>
      <c r="BQ11" s="3">
        <f>_xlfn.XLOOKUP(BQ$1,generator!$B$2:$B$295,generator!$K$2:$K$295,"ARGH")</f>
        <v>0</v>
      </c>
      <c r="BR11" s="3">
        <f>_xlfn.XLOOKUP(BR$1,generator!$B$2:$B$295,generator!$K$2:$K$295,"ARGH")</f>
        <v>0</v>
      </c>
      <c r="BS11" s="3">
        <f>_xlfn.XLOOKUP(BS$1,generator!$B$2:$B$295,generator!$K$2:$K$295,"ARGH")</f>
        <v>0</v>
      </c>
      <c r="BT11" s="3">
        <f>_xlfn.XLOOKUP(BT$1,generator!$B$2:$B$295,generator!$K$2:$K$295,"ARGH")</f>
        <v>0</v>
      </c>
      <c r="BU11" s="3">
        <f>_xlfn.XLOOKUP(BU$1,generator!$B$2:$B$295,generator!$K$2:$K$295,"ARGH")</f>
        <v>0</v>
      </c>
      <c r="BV11" s="3">
        <f>_xlfn.XLOOKUP(BV$1,generator!$B$2:$B$295,generator!$K$2:$K$295,"ARGH")</f>
        <v>0</v>
      </c>
      <c r="BW11" s="3">
        <f>_xlfn.XLOOKUP(BW$1,generator!$B$2:$B$295,generator!$K$2:$K$295,"ARGH")</f>
        <v>0</v>
      </c>
      <c r="BX11" s="3">
        <f>_xlfn.XLOOKUP(BX$1,generator!$B$2:$B$295,generator!$K$2:$K$295,"ARGH")</f>
        <v>0</v>
      </c>
      <c r="BY11" s="3">
        <f>_xlfn.XLOOKUP(BY$1,generator!$B$2:$B$295,generator!$K$2:$K$295,"ARGH")</f>
        <v>0</v>
      </c>
      <c r="BZ11" s="3">
        <f>_xlfn.XLOOKUP(BZ$1,generator!$B$2:$B$295,generator!$K$2:$K$295,"ARGH")</f>
        <v>0</v>
      </c>
      <c r="CA11" s="3">
        <f>_xlfn.XLOOKUP(CA$1,generator!$B$2:$B$295,generator!$K$2:$K$295,"ARGH")</f>
        <v>0</v>
      </c>
      <c r="CB11" s="3">
        <f>_xlfn.XLOOKUP(CB$1,generator!$B$2:$B$295,generator!$K$2:$K$295,"ARGH")</f>
        <v>0</v>
      </c>
      <c r="CC11" s="3">
        <f>_xlfn.XLOOKUP(CC$1,generator!$B$2:$B$295,generator!$K$2:$K$295,"ARGH")</f>
        <v>0</v>
      </c>
      <c r="CD11" s="3">
        <f>_xlfn.XLOOKUP(CD$1,generator!$B$2:$B$295,generator!$K$2:$K$295,"ARGH")</f>
        <v>0</v>
      </c>
      <c r="CE11" s="3">
        <f>_xlfn.XLOOKUP(CE$1,generator!$B$2:$B$295,generator!$K$2:$K$295,"ARGH")</f>
        <v>0</v>
      </c>
      <c r="CF11" s="3">
        <f>_xlfn.XLOOKUP(CF$1,generator!$B$2:$B$295,generator!$K$2:$K$295,"ARGH")</f>
        <v>0</v>
      </c>
      <c r="CG11" s="3">
        <f>_xlfn.XLOOKUP(CG$1,generator!$B$2:$B$295,generator!$K$2:$K$295,"ARGH")</f>
        <v>0</v>
      </c>
      <c r="CH11" s="3">
        <f>_xlfn.XLOOKUP(CH$1,generator!$B$2:$B$295,generator!$K$2:$K$295,"ARGH")</f>
        <v>0</v>
      </c>
      <c r="CI11" s="3">
        <f>_xlfn.XLOOKUP(CI$1,generator!$B$2:$B$295,generator!$K$2:$K$295,"ARGH")</f>
        <v>0</v>
      </c>
      <c r="CJ11" s="3">
        <f>_xlfn.XLOOKUP(CJ$1,generator!$B$2:$B$295,generator!$K$2:$K$295,"ARGH")</f>
        <v>0</v>
      </c>
      <c r="CK11" s="3">
        <f>_xlfn.XLOOKUP(CK$1,generator!$B$2:$B$295,generator!$K$2:$K$295,"ARGH")</f>
        <v>0</v>
      </c>
      <c r="CL11" s="3">
        <f>_xlfn.XLOOKUP(CL$1,generator!$B$2:$B$295,generator!$K$2:$K$295,"ARGH")</f>
        <v>0</v>
      </c>
      <c r="CM11" s="3">
        <f>_xlfn.XLOOKUP(CM$1,generator!$B$2:$B$295,generator!$K$2:$K$295,"ARGH")</f>
        <v>0</v>
      </c>
      <c r="CN11" s="3">
        <f>_xlfn.XLOOKUP(CN$1,generator!$B$2:$B$295,generator!$K$2:$K$295,"ARGH")</f>
        <v>0</v>
      </c>
      <c r="CO11" s="3">
        <f>_xlfn.XLOOKUP(CO$1,generator!$B$2:$B$295,generator!$K$2:$K$295,"ARGH")</f>
        <v>0</v>
      </c>
      <c r="CP11" s="3">
        <f>_xlfn.XLOOKUP(CP$1,generator!$B$2:$B$295,generator!$K$2:$K$295,"ARGH")</f>
        <v>0</v>
      </c>
      <c r="CQ11" s="3">
        <f>_xlfn.XLOOKUP(CQ$1,generator!$B$2:$B$295,generator!$K$2:$K$295,"ARGH")</f>
        <v>0</v>
      </c>
      <c r="CR11" s="3">
        <f>_xlfn.XLOOKUP(CR$1,generator!$B$2:$B$295,generator!$K$2:$K$295,"ARGH")</f>
        <v>0</v>
      </c>
      <c r="CS11" s="3">
        <f>_xlfn.XLOOKUP(CS$1,generator!$B$2:$B$295,generator!$K$2:$K$295,"ARGH")</f>
        <v>0</v>
      </c>
      <c r="CT11" s="3">
        <f>_xlfn.XLOOKUP(CT$1,generator!$B$2:$B$295,generator!$K$2:$K$295,"ARGH")</f>
        <v>0</v>
      </c>
      <c r="CU11" s="3">
        <f>_xlfn.XLOOKUP(CU$1,generator!$B$2:$B$295,generator!$K$2:$K$295,"ARGH")</f>
        <v>0</v>
      </c>
      <c r="CV11" s="3">
        <f>_xlfn.XLOOKUP(CV$1,generator!$B$2:$B$295,generator!$K$2:$K$295,"ARGH")</f>
        <v>0</v>
      </c>
      <c r="CW11" s="3">
        <f>_xlfn.XLOOKUP(CW$1,generator!$B$2:$B$295,generator!$K$2:$K$295,"ARGH")</f>
        <v>0</v>
      </c>
      <c r="CX11" s="3">
        <f>_xlfn.XLOOKUP(CX$1,generator!$B$2:$B$295,generator!$K$2:$K$295,"ARGH")</f>
        <v>0</v>
      </c>
      <c r="CY11" s="3">
        <f>_xlfn.XLOOKUP(CY$1,generator!$B$2:$B$295,generator!$K$2:$K$295,"ARGH")</f>
        <v>0</v>
      </c>
      <c r="CZ11" s="3">
        <f>_xlfn.XLOOKUP(CZ$1,generator!$B$2:$B$295,generator!$K$2:$K$295,"ARGH")</f>
        <v>0</v>
      </c>
      <c r="DA11" s="3">
        <f>_xlfn.XLOOKUP(DA$1,generator!$B$2:$B$295,generator!$K$2:$K$295,"ARGH")</f>
        <v>0</v>
      </c>
      <c r="DB11" s="3">
        <f>_xlfn.XLOOKUP(DB$1,generator!$B$2:$B$295,generator!$K$2:$K$295,"ARGH")</f>
        <v>0</v>
      </c>
      <c r="DC11" s="3">
        <f>_xlfn.XLOOKUP(DC$1,generator!$B$2:$B$295,generator!$K$2:$K$295,"ARGH")</f>
        <v>0</v>
      </c>
      <c r="DD11" s="3">
        <f>_xlfn.XLOOKUP(DD$1,generator!$B$2:$B$295,generator!$K$2:$K$295,"ARGH")</f>
        <v>0</v>
      </c>
      <c r="DE11" s="3">
        <f>_xlfn.XLOOKUP(DE$1,generator!$B$2:$B$295,generator!$K$2:$K$295,"ARGH")</f>
        <v>0</v>
      </c>
      <c r="DF11" s="3">
        <f>_xlfn.XLOOKUP(DF$1,generator!$B$2:$B$295,generator!$K$2:$K$295,"ARGH")</f>
        <v>0</v>
      </c>
      <c r="DG11" s="3">
        <f>_xlfn.XLOOKUP(DG$1,generator!$B$2:$B$295,generator!$K$2:$K$295,"ARGH")</f>
        <v>0</v>
      </c>
      <c r="DH11" s="3">
        <f>_xlfn.XLOOKUP(DH$1,generator!$B$2:$B$295,generator!$K$2:$K$295,"ARGH")</f>
        <v>0</v>
      </c>
      <c r="DI11" s="3">
        <f>_xlfn.XLOOKUP(DI$1,generator!$B$2:$B$295,generator!$K$2:$K$295,"ARGH")</f>
        <v>0</v>
      </c>
      <c r="DJ11" s="3">
        <f>_xlfn.XLOOKUP(DJ$1,generator!$B$2:$B$295,generator!$K$2:$K$295,"ARGH")</f>
        <v>0</v>
      </c>
      <c r="DK11" s="3">
        <f>_xlfn.XLOOKUP(DK$1,generator!$B$2:$B$295,generator!$K$2:$K$295,"ARGH")</f>
        <v>0</v>
      </c>
      <c r="DL11" s="3">
        <f>_xlfn.XLOOKUP(DL$1,generator!$B$2:$B$295,generator!$K$2:$K$295,"ARGH")</f>
        <v>0</v>
      </c>
      <c r="DM11" s="3">
        <f>_xlfn.XLOOKUP(DM$1,generator!$B$2:$B$295,generator!$K$2:$K$295,"ARGH")</f>
        <v>0</v>
      </c>
      <c r="DN11" s="3">
        <f>_xlfn.XLOOKUP(DN$1,generator!$B$2:$B$295,generator!$K$2:$K$295,"ARGH")</f>
        <v>0</v>
      </c>
      <c r="DO11" s="3">
        <f>_xlfn.XLOOKUP(DO$1,generator!$B$2:$B$295,generator!$K$2:$K$295,"ARGH")</f>
        <v>0</v>
      </c>
      <c r="DP11" s="3">
        <f>_xlfn.XLOOKUP(DP$1,generator!$B$2:$B$295,generator!$K$2:$K$295,"ARGH")</f>
        <v>0</v>
      </c>
      <c r="DQ11" s="3">
        <f>_xlfn.XLOOKUP(DQ$1,generator!$B$2:$B$295,generator!$K$2:$K$295,"ARGH")</f>
        <v>0</v>
      </c>
      <c r="DR11" s="3">
        <f>_xlfn.XLOOKUP(DR$1,generator!$B$2:$B$295,generator!$K$2:$K$295,"ARGH")</f>
        <v>0</v>
      </c>
      <c r="DS11" s="3">
        <f>_xlfn.XLOOKUP(DS$1,generator!$B$2:$B$295,generator!$K$2:$K$295,"ARGH")</f>
        <v>0</v>
      </c>
      <c r="DT11" s="3">
        <f>_xlfn.XLOOKUP(DT$1,generator!$B$2:$B$295,generator!$K$2:$K$295,"ARGH")</f>
        <v>0</v>
      </c>
      <c r="DU11" s="3">
        <f>_xlfn.XLOOKUP(DU$1,generator!$B$2:$B$295,generator!$K$2:$K$295,"ARGH")</f>
        <v>0</v>
      </c>
      <c r="DV11" s="3">
        <f>_xlfn.XLOOKUP(DV$1,generator!$B$2:$B$295,generator!$K$2:$K$295,"ARGH")</f>
        <v>0</v>
      </c>
      <c r="DW11" s="3">
        <f>_xlfn.XLOOKUP(DW$1,generator!$B$2:$B$295,generator!$K$2:$K$295,"ARGH")</f>
        <v>0</v>
      </c>
      <c r="DX11" s="3">
        <f>_xlfn.XLOOKUP(DX$1,generator!$B$2:$B$295,generator!$K$2:$K$295,"ARGH")</f>
        <v>0</v>
      </c>
      <c r="DY11" s="3">
        <f>_xlfn.XLOOKUP(DY$1,generator!$B$2:$B$295,generator!$K$2:$K$295,"ARGH")</f>
        <v>0</v>
      </c>
      <c r="DZ11" s="3">
        <f>_xlfn.XLOOKUP(DZ$1,generator!$B$2:$B$295,generator!$K$2:$K$295,"ARGH")</f>
        <v>0</v>
      </c>
      <c r="EA11" s="3">
        <f>_xlfn.XLOOKUP(EA$1,generator!$B$2:$B$295,generator!$K$2:$K$295,"ARGH")</f>
        <v>0</v>
      </c>
      <c r="EB11" s="3">
        <f>_xlfn.XLOOKUP(EB$1,generator!$B$2:$B$295,generator!$K$2:$K$295,"ARGH")</f>
        <v>0</v>
      </c>
      <c r="EC11" s="3">
        <f>_xlfn.XLOOKUP(EC$1,generator!$B$2:$B$295,generator!$K$2:$K$295,"ARGH")</f>
        <v>0</v>
      </c>
      <c r="ED11" s="3">
        <f>_xlfn.XLOOKUP(ED$1,generator!$B$2:$B$295,generator!$K$2:$K$295,"ARGH")</f>
        <v>0</v>
      </c>
      <c r="EE11" s="3">
        <f>_xlfn.XLOOKUP(EE$1,generator!$B$2:$B$295,generator!$K$2:$K$295,"ARGH")</f>
        <v>0</v>
      </c>
      <c r="EF11" s="3">
        <f>_xlfn.XLOOKUP(EF$1,generator!$B$2:$B$295,generator!$K$2:$K$295,"ARGH")</f>
        <v>0</v>
      </c>
      <c r="EG11" s="3">
        <f>_xlfn.XLOOKUP(EG$1,generator!$B$2:$B$295,generator!$K$2:$K$295,"ARGH")</f>
        <v>0</v>
      </c>
      <c r="EH11" s="3">
        <f>_xlfn.XLOOKUP(EH$1,generator!$B$2:$B$295,generator!$K$2:$K$295,"ARGH")</f>
        <v>0</v>
      </c>
      <c r="EI11" s="3">
        <f>_xlfn.XLOOKUP(EI$1,generator!$B$2:$B$295,generator!$K$2:$K$295,"ARGH")</f>
        <v>0</v>
      </c>
      <c r="EJ11" s="3">
        <f>_xlfn.XLOOKUP(EJ$1,generator!$B$2:$B$295,generator!$K$2:$K$295,"ARGH")</f>
        <v>0</v>
      </c>
      <c r="EK11" s="3">
        <f>_xlfn.XLOOKUP(EK$1,generator!$B$2:$B$295,generator!$K$2:$K$295,"ARGH")</f>
        <v>0</v>
      </c>
      <c r="EL11" s="3">
        <f>_xlfn.XLOOKUP(EL$1,generator!$B$2:$B$295,generator!$K$2:$K$295,"ARGH")</f>
        <v>0</v>
      </c>
      <c r="EM11" s="3">
        <f>_xlfn.XLOOKUP(EM$1,generator!$B$2:$B$295,generator!$K$2:$K$295,"ARGH")</f>
        <v>0</v>
      </c>
      <c r="EN11" s="3">
        <f>_xlfn.XLOOKUP(EN$1,generator!$B$2:$B$295,generator!$K$2:$K$295,"ARGH")</f>
        <v>0</v>
      </c>
      <c r="EO11" s="3">
        <f>_xlfn.XLOOKUP(EO$1,generator!$B$2:$B$295,generator!$K$2:$K$295,"ARGH")</f>
        <v>0</v>
      </c>
      <c r="EP11" s="3">
        <f>_xlfn.XLOOKUP(EP$1,generator!$B$2:$B$295,generator!$K$2:$K$295,"ARGH")</f>
        <v>0</v>
      </c>
      <c r="EQ11" s="3">
        <f>_xlfn.XLOOKUP(EQ$1,generator!$B$2:$B$295,generator!$K$2:$K$295,"ARGH")</f>
        <v>0</v>
      </c>
      <c r="ER11" s="3">
        <f>_xlfn.XLOOKUP(ER$1,generator!$B$2:$B$295,generator!$K$2:$K$295,"ARGH")</f>
        <v>0</v>
      </c>
      <c r="ES11" s="3">
        <f>_xlfn.XLOOKUP(ES$1,generator!$B$2:$B$295,generator!$K$2:$K$295,"ARGH")</f>
        <v>0</v>
      </c>
      <c r="ET11" s="3">
        <f>_xlfn.XLOOKUP(ET$1,generator!$B$2:$B$295,generator!$K$2:$K$295,"ARGH")</f>
        <v>0</v>
      </c>
      <c r="EU11" s="3">
        <f>_xlfn.XLOOKUP(EU$1,generator!$B$2:$B$295,generator!$K$2:$K$295,"ARGH")</f>
        <v>0</v>
      </c>
      <c r="EV11" s="3">
        <f>_xlfn.XLOOKUP(EV$1,generator!$B$2:$B$295,generator!$K$2:$K$295,"ARGH")</f>
        <v>0</v>
      </c>
      <c r="EW11" s="3">
        <f>_xlfn.XLOOKUP(EW$1,generator!$B$2:$B$295,generator!$K$2:$K$295,"ARGH")</f>
        <v>0</v>
      </c>
      <c r="EX11" s="3">
        <f>_xlfn.XLOOKUP(EX$1,generator!$B$2:$B$295,generator!$K$2:$K$295,"ARGH")</f>
        <v>0</v>
      </c>
      <c r="EY11" s="3">
        <f>_xlfn.XLOOKUP(EY$1,generator!$B$2:$B$295,generator!$K$2:$K$295,"ARGH")</f>
        <v>0</v>
      </c>
      <c r="EZ11" s="3">
        <f>_xlfn.XLOOKUP(EZ$1,generator!$B$2:$B$295,generator!$K$2:$K$295,"ARGH")</f>
        <v>0</v>
      </c>
      <c r="FA11" s="3">
        <f>_xlfn.XLOOKUP(FA$1,generator!$B$2:$B$295,generator!$K$2:$K$295,"ARGH")</f>
        <v>0</v>
      </c>
      <c r="FB11" s="3">
        <f>_xlfn.XLOOKUP(FB$1,generator!$B$2:$B$295,generator!$K$2:$K$295,"ARGH")</f>
        <v>0</v>
      </c>
      <c r="FC11" s="3">
        <f>_xlfn.XLOOKUP(FC$1,generator!$B$2:$B$295,generator!$K$2:$K$295,"ARGH")</f>
        <v>0</v>
      </c>
      <c r="FD11" s="3">
        <f>_xlfn.XLOOKUP(FD$1,generator!$B$2:$B$295,generator!$K$2:$K$295,"ARGH")</f>
        <v>0</v>
      </c>
      <c r="FE11" s="3">
        <f>_xlfn.XLOOKUP(FE$1,generator!$B$2:$B$295,generator!$K$2:$K$295,"ARGH")</f>
        <v>0</v>
      </c>
      <c r="FF11" s="3">
        <f>_xlfn.XLOOKUP(FF$1,generator!$B$2:$B$295,generator!$K$2:$K$295,"ARGH")</f>
        <v>0</v>
      </c>
      <c r="FG11" s="3">
        <f>_xlfn.XLOOKUP(FG$1,generator!$B$2:$B$295,generator!$K$2:$K$295,"ARGH")</f>
        <v>0</v>
      </c>
      <c r="FH11" s="3">
        <f>_xlfn.XLOOKUP(FH$1,generator!$B$2:$B$295,generator!$K$2:$K$295,"ARGH")</f>
        <v>0</v>
      </c>
      <c r="FI11" s="3">
        <f>_xlfn.XLOOKUP(FI$1,generator!$B$2:$B$295,generator!$K$2:$K$295,"ARGH")</f>
        <v>0</v>
      </c>
      <c r="FJ11" s="3">
        <f>_xlfn.XLOOKUP(FJ$1,generator!$B$2:$B$295,generator!$K$2:$K$295,"ARGH")</f>
        <v>0</v>
      </c>
      <c r="FK11" s="3">
        <f>_xlfn.XLOOKUP(FK$1,generator!$B$2:$B$295,generator!$K$2:$K$295,"ARGH")</f>
        <v>0</v>
      </c>
      <c r="FL11" s="3">
        <f>_xlfn.XLOOKUP(FL$1,generator!$B$2:$B$295,generator!$K$2:$K$295,"ARGH")</f>
        <v>0</v>
      </c>
      <c r="FM11" s="3">
        <f>_xlfn.XLOOKUP(FM$1,generator!$B$2:$B$295,generator!$K$2:$K$295,"ARGH")</f>
        <v>0</v>
      </c>
      <c r="FN11" s="3">
        <f>_xlfn.XLOOKUP(FN$1,generator!$B$2:$B$295,generator!$K$2:$K$295,"ARGH")</f>
        <v>0</v>
      </c>
      <c r="FO11" s="3">
        <f>_xlfn.XLOOKUP(FO$1,generator!$B$2:$B$295,generator!$K$2:$K$295,"ARGH")</f>
        <v>0</v>
      </c>
      <c r="FP11" s="3">
        <f>_xlfn.XLOOKUP(FP$1,generator!$B$2:$B$295,generator!$K$2:$K$295,"ARGH")</f>
        <v>0</v>
      </c>
      <c r="FQ11" s="3">
        <f>_xlfn.XLOOKUP(FQ$1,generator!$B$2:$B$295,generator!$K$2:$K$295,"ARGH")</f>
        <v>0</v>
      </c>
      <c r="FR11" s="3">
        <f>_xlfn.XLOOKUP(FR$1,generator!$B$2:$B$295,generator!$K$2:$K$295,"ARGH")</f>
        <v>0</v>
      </c>
      <c r="FS11" s="3">
        <f>_xlfn.XLOOKUP(FS$1,generator!$B$2:$B$295,generator!$K$2:$K$295,"ARGH")</f>
        <v>0</v>
      </c>
      <c r="FT11" s="3">
        <f>_xlfn.XLOOKUP(FT$1,generator!$B$2:$B$295,generator!$K$2:$K$295,"ARGH")</f>
        <v>0</v>
      </c>
      <c r="FU11" s="3">
        <f>_xlfn.XLOOKUP(FU$1,generator!$B$2:$B$295,generator!$K$2:$K$295,"ARGH")</f>
        <v>0</v>
      </c>
      <c r="FV11" s="3">
        <f>_xlfn.XLOOKUP(FV$1,generator!$B$2:$B$295,generator!$K$2:$K$295,"ARGH")</f>
        <v>0</v>
      </c>
      <c r="FW11" s="3">
        <f>_xlfn.XLOOKUP(FW$1,generator!$B$2:$B$295,generator!$K$2:$K$295,"ARGH")</f>
        <v>0</v>
      </c>
      <c r="FX11" s="3">
        <f>_xlfn.XLOOKUP(FX$1,generator!$B$2:$B$295,generator!$K$2:$K$295,"ARGH")</f>
        <v>0</v>
      </c>
      <c r="FY11" s="3">
        <f>_xlfn.XLOOKUP(FY$1,generator!$B$2:$B$295,generator!$K$2:$K$295,"ARGH")</f>
        <v>0</v>
      </c>
      <c r="FZ11" s="3">
        <f>_xlfn.XLOOKUP(FZ$1,generator!$B$2:$B$295,generator!$K$2:$K$295,"ARGH")</f>
        <v>0</v>
      </c>
      <c r="GA11" s="3">
        <f>_xlfn.XLOOKUP(GA$1,generator!$B$2:$B$295,generator!$K$2:$K$295,"ARGH")</f>
        <v>0</v>
      </c>
      <c r="GB11" s="3">
        <f>_xlfn.XLOOKUP(GB$1,generator!$B$2:$B$295,generator!$K$2:$K$295,"ARGH")</f>
        <v>0</v>
      </c>
      <c r="GC11" s="3">
        <f>_xlfn.XLOOKUP(GC$1,generator!$B$2:$B$295,generator!$K$2:$K$295,"ARGH")</f>
        <v>0</v>
      </c>
      <c r="GD11" s="3">
        <f>_xlfn.XLOOKUP(GD$1,generator!$B$2:$B$295,generator!$K$2:$K$295,"ARGH")</f>
        <v>0</v>
      </c>
      <c r="GE11" s="3">
        <f>_xlfn.XLOOKUP(GE$1,generator!$B$2:$B$295,generator!$K$2:$K$295,"ARGH")</f>
        <v>0</v>
      </c>
      <c r="GF11" s="3">
        <f>_xlfn.XLOOKUP(GF$1,generator!$B$2:$B$295,generator!$K$2:$K$295,"ARGH")</f>
        <v>0</v>
      </c>
      <c r="GG11" s="3">
        <f>_xlfn.XLOOKUP(GG$1,generator!$B$2:$B$295,generator!$K$2:$K$295,"ARGH")</f>
        <v>0</v>
      </c>
      <c r="GH11" s="3">
        <f>_xlfn.XLOOKUP(GH$1,generator!$B$2:$B$295,generator!$K$2:$K$295,"ARGH")</f>
        <v>0</v>
      </c>
      <c r="GI11" s="3">
        <f>_xlfn.XLOOKUP(GI$1,generator!$B$2:$B$295,generator!$K$2:$K$295,"ARGH")</f>
        <v>0</v>
      </c>
      <c r="GJ11" s="3">
        <f>_xlfn.XLOOKUP(GJ$1,generator!$B$2:$B$295,generator!$K$2:$K$295,"ARGH")</f>
        <v>0</v>
      </c>
      <c r="GK11" s="3">
        <f>_xlfn.XLOOKUP(GK$1,generator!$B$2:$B$295,generator!$K$2:$K$295,"ARGH")</f>
        <v>0</v>
      </c>
      <c r="GL11" s="3">
        <f>_xlfn.XLOOKUP(GL$1,generator!$B$2:$B$295,generator!$K$2:$K$295,"ARGH")</f>
        <v>0</v>
      </c>
      <c r="GM11" s="3">
        <f>_xlfn.XLOOKUP(GM$1,generator!$B$2:$B$295,generator!$K$2:$K$295,"ARGH")</f>
        <v>0</v>
      </c>
      <c r="GN11" s="3">
        <f>_xlfn.XLOOKUP(GN$1,generator!$B$2:$B$295,generator!$K$2:$K$295,"ARGH")</f>
        <v>0</v>
      </c>
      <c r="GO11" s="3">
        <f>_xlfn.XLOOKUP(GO$1,generator!$B$2:$B$295,generator!$K$2:$K$295,"ARGH")</f>
        <v>0</v>
      </c>
      <c r="GP11" s="3">
        <f>_xlfn.XLOOKUP(GP$1,generator!$B$2:$B$295,generator!$K$2:$K$295,"ARGH")</f>
        <v>0</v>
      </c>
      <c r="GQ11" s="3">
        <f>_xlfn.XLOOKUP(GQ$1,generator!$B$2:$B$295,generator!$K$2:$K$295,"ARGH")</f>
        <v>0</v>
      </c>
      <c r="GR11" s="3">
        <f>_xlfn.XLOOKUP(GR$1,generator!$B$2:$B$295,generator!$K$2:$K$295,"ARGH")</f>
        <v>0</v>
      </c>
      <c r="GS11" s="3">
        <f>_xlfn.XLOOKUP(GS$1,generator!$B$2:$B$295,generator!$K$2:$K$295,"ARGH")</f>
        <v>0</v>
      </c>
      <c r="GT11" s="3">
        <f>_xlfn.XLOOKUP(GT$1,generator!$B$2:$B$295,generator!$K$2:$K$295,"ARGH")</f>
        <v>0</v>
      </c>
      <c r="GU11" s="3">
        <f>_xlfn.XLOOKUP(GU$1,generator!$B$2:$B$295,generator!$K$2:$K$295,"ARGH")</f>
        <v>0</v>
      </c>
      <c r="GV11" s="3">
        <f>_xlfn.XLOOKUP(GV$1,generator!$B$2:$B$295,generator!$K$2:$K$295,"ARGH")</f>
        <v>0</v>
      </c>
      <c r="GW11" s="3">
        <f>_xlfn.XLOOKUP(GW$1,generator!$B$2:$B$295,generator!$K$2:$K$295,"ARGH")</f>
        <v>0</v>
      </c>
      <c r="GX11" s="3">
        <f>_xlfn.XLOOKUP(GX$1,generator!$B$2:$B$295,generator!$K$2:$K$295,"ARGH")</f>
        <v>0</v>
      </c>
      <c r="GY11" s="3">
        <f>_xlfn.XLOOKUP(GY$1,generator!$B$2:$B$295,generator!$K$2:$K$295,"ARGH")</f>
        <v>0</v>
      </c>
      <c r="GZ11" s="3">
        <f>_xlfn.XLOOKUP(GZ$1,generator!$B$2:$B$295,generator!$K$2:$K$295,"ARGH")</f>
        <v>0</v>
      </c>
      <c r="HA11" s="3">
        <f>_xlfn.XLOOKUP(HA$1,generator!$B$2:$B$295,generator!$K$2:$K$295,"ARGH")</f>
        <v>0</v>
      </c>
      <c r="HB11" s="3">
        <f>_xlfn.XLOOKUP(HB$1,generator!$B$2:$B$295,generator!$K$2:$K$295,"ARGH")</f>
        <v>0</v>
      </c>
      <c r="HC11" s="3">
        <f>_xlfn.XLOOKUP(HC$1,generator!$B$2:$B$295,generator!$K$2:$K$295,"ARGH")</f>
        <v>0</v>
      </c>
      <c r="HD11" s="3">
        <f>_xlfn.XLOOKUP(HD$1,generator!$B$2:$B$295,generator!$K$2:$K$295,"ARGH")</f>
        <v>0</v>
      </c>
      <c r="HE11" s="3">
        <f>_xlfn.XLOOKUP(HE$1,generator!$B$2:$B$295,generator!$K$2:$K$295,"ARGH")</f>
        <v>12.74</v>
      </c>
      <c r="HF11" s="3">
        <f>_xlfn.XLOOKUP(HF$1,generator!$B$2:$B$295,generator!$K$2:$K$295,"ARGH")</f>
        <v>99</v>
      </c>
      <c r="HG11" s="3">
        <f>_xlfn.XLOOKUP(HG$1,generator!$B$2:$B$295,generator!$K$2:$K$295,"ARGH")</f>
        <v>99</v>
      </c>
      <c r="HH11" s="3">
        <f>_xlfn.XLOOKUP(HH$1,generator!$B$2:$B$295,generator!$K$2:$K$295,"ARGH")</f>
        <v>99</v>
      </c>
      <c r="HI11" s="3">
        <f>_xlfn.XLOOKUP(HI$1,generator!$B$2:$B$295,generator!$K$2:$K$295,"ARGH")</f>
        <v>8</v>
      </c>
      <c r="HJ11" s="3">
        <f>_xlfn.XLOOKUP(HJ$1,generator!$B$2:$B$295,generator!$K$2:$K$295,"ARGH")</f>
        <v>8</v>
      </c>
      <c r="HK11" s="3">
        <f>_xlfn.XLOOKUP(HK$1,generator!$B$2:$B$295,generator!$K$2:$K$295,"ARGH")</f>
        <v>8</v>
      </c>
      <c r="HL11" s="3">
        <f>_xlfn.XLOOKUP(HL$1,generator!$B$2:$B$295,generator!$K$2:$K$295,"ARGH")</f>
        <v>20</v>
      </c>
      <c r="HM11" s="3">
        <f>_xlfn.XLOOKUP(HM$1,generator!$B$2:$B$295,generator!$K$2:$K$295,"ARGH")</f>
        <v>20</v>
      </c>
      <c r="HN11" s="3">
        <f>_xlfn.XLOOKUP(HN$1,generator!$B$2:$B$295,generator!$K$2:$K$295,"ARGH")</f>
        <v>5</v>
      </c>
      <c r="HO11" s="3">
        <f>_xlfn.XLOOKUP(HO$1,generator!$B$2:$B$295,generator!$K$2:$K$295,"ARGH")</f>
        <v>5</v>
      </c>
      <c r="HP11" s="3">
        <f>_xlfn.XLOOKUP(HP$1,generator!$B$2:$B$295,generator!$K$2:$K$295,"ARGH")</f>
        <v>0.2</v>
      </c>
      <c r="HQ11" s="3">
        <f>_xlfn.XLOOKUP(HQ$1,generator!$B$2:$B$295,generator!$K$2:$K$295,"ARGH")</f>
        <v>5</v>
      </c>
      <c r="HR11" s="3">
        <f>_xlfn.XLOOKUP(HR$1,generator!$B$2:$B$295,generator!$K$2:$K$295,"ARGH")</f>
        <v>5</v>
      </c>
      <c r="HS11" s="3">
        <f>_xlfn.XLOOKUP(HS$1,generator!$B$2:$B$295,generator!$K$2:$K$295,"ARGH")</f>
        <v>12.82</v>
      </c>
      <c r="HT11" s="3">
        <f>_xlfn.XLOOKUP(HT$1,generator!$B$2:$B$295,generator!$K$2:$K$295,"ARGH")</f>
        <v>12.82</v>
      </c>
      <c r="HU11" s="3">
        <f>_xlfn.XLOOKUP(HU$1,generator!$B$2:$B$295,generator!$K$2:$K$295,"ARGH")</f>
        <v>25</v>
      </c>
      <c r="HV11" s="3">
        <f>_xlfn.XLOOKUP(HV$1,generator!$B$2:$B$295,generator!$K$2:$K$295,"ARGH")</f>
        <v>16</v>
      </c>
      <c r="HW11" s="3">
        <f>_xlfn.XLOOKUP(HW$1,generator!$B$2:$B$295,generator!$K$2:$K$295,"ARGH")</f>
        <v>5</v>
      </c>
      <c r="HX11" s="3">
        <f>_xlfn.XLOOKUP(HX$1,generator!$B$2:$B$295,generator!$K$2:$K$295,"ARGH")</f>
        <v>5</v>
      </c>
      <c r="HY11" s="3">
        <f>_xlfn.XLOOKUP(HY$1,generator!$B$2:$B$295,generator!$K$2:$K$295,"ARGH")</f>
        <v>63</v>
      </c>
      <c r="HZ11" s="3">
        <f>_xlfn.XLOOKUP(HZ$1,generator!$B$2:$B$295,generator!$K$2:$K$295,"ARGH")</f>
        <v>18</v>
      </c>
      <c r="IA11" s="3">
        <f>_xlfn.XLOOKUP(IA$1,generator!$B$2:$B$295,generator!$K$2:$K$295,"ARGH")</f>
        <v>121</v>
      </c>
      <c r="IB11" s="3">
        <f>_xlfn.XLOOKUP(IB$1,generator!$B$2:$B$295,generator!$K$2:$K$295,"ARGH")</f>
        <v>120</v>
      </c>
      <c r="IC11" s="3">
        <f>_xlfn.XLOOKUP(IC$1,generator!$B$2:$B$295,generator!$K$2:$K$295,"ARGH")</f>
        <v>0</v>
      </c>
      <c r="ID11" s="3">
        <f>_xlfn.XLOOKUP(ID$1,generator!$B$2:$B$295,generator!$K$2:$K$295,"ARGH")</f>
        <v>17</v>
      </c>
      <c r="IE11" s="3">
        <f>_xlfn.XLOOKUP(IE$1,generator!$B$2:$B$295,generator!$K$2:$K$295,"ARGH")</f>
        <v>194</v>
      </c>
      <c r="IF11" s="3">
        <f>_xlfn.XLOOKUP(IF$1,generator!$B$2:$B$295,generator!$K$2:$K$295,"ARGH")</f>
        <v>11.9</v>
      </c>
      <c r="IG11" s="3">
        <f>_xlfn.XLOOKUP(IG$1,generator!$B$2:$B$295,generator!$K$2:$K$295,"ARGH")</f>
        <v>11.9</v>
      </c>
      <c r="IH11" s="3">
        <f>_xlfn.XLOOKUP(IH$1,generator!$B$2:$B$295,generator!$K$2:$K$295,"ARGH")</f>
        <v>11.9</v>
      </c>
      <c r="II11" s="3">
        <f>_xlfn.XLOOKUP(II$1,generator!$B$2:$B$295,generator!$K$2:$K$295,"ARGH")</f>
        <v>11.9</v>
      </c>
      <c r="IJ11" s="3">
        <f>_xlfn.XLOOKUP(IJ$1,generator!$B$2:$B$295,generator!$K$2:$K$295,"ARGH")</f>
        <v>0</v>
      </c>
      <c r="IK11" s="3">
        <f>_xlfn.XLOOKUP(IK$1,generator!$B$2:$B$295,generator!$K$2:$K$295,"ARGH")</f>
        <v>3</v>
      </c>
      <c r="IL11" s="3">
        <f>_xlfn.XLOOKUP(IL$1,generator!$B$2:$B$295,generator!$K$2:$K$295,"ARGH")</f>
        <v>5</v>
      </c>
      <c r="IM11" s="3">
        <f>_xlfn.XLOOKUP(IM$1,generator!$B$2:$B$295,generator!$K$2:$K$295,"ARGH")</f>
        <v>5</v>
      </c>
      <c r="IN11" s="3">
        <f>_xlfn.XLOOKUP(IN$1,generator!$B$2:$B$295,generator!$K$2:$K$295,"ARGH")</f>
        <v>4</v>
      </c>
      <c r="IO11" s="3">
        <f>_xlfn.XLOOKUP(IO$1,generator!$B$2:$B$295,generator!$K$2:$K$295,"ARGH")</f>
        <v>4</v>
      </c>
      <c r="IP11" s="3">
        <f>_xlfn.XLOOKUP(IP$1,generator!$B$2:$B$295,generator!$K$2:$K$295,"ARGH")</f>
        <v>3</v>
      </c>
      <c r="IQ11" s="3">
        <f>_xlfn.XLOOKUP(IQ$1,generator!$B$2:$B$295,generator!$K$2:$K$295,"ARGH")</f>
        <v>1</v>
      </c>
      <c r="IR11" s="3">
        <f>_xlfn.XLOOKUP(IR$1,generator!$B$2:$B$295,generator!$K$2:$K$295,"ARGH")</f>
        <v>3</v>
      </c>
      <c r="IS11" s="3">
        <f>_xlfn.XLOOKUP(IS$1,generator!$B$2:$B$295,generator!$K$2:$K$295,"ARGH")</f>
        <v>3</v>
      </c>
      <c r="IT11" s="3">
        <f>_xlfn.XLOOKUP(IT$1,generator!$B$2:$B$295,generator!$K$2:$K$295,"ARGH")</f>
        <v>0</v>
      </c>
      <c r="IU11" s="3">
        <f>_xlfn.XLOOKUP(IU$1,generator!$B$2:$B$295,generator!$K$2:$K$295,"ARGH")</f>
        <v>3.99</v>
      </c>
      <c r="IV11" s="3">
        <f>_xlfn.XLOOKUP(IV$1,generator!$B$2:$B$295,generator!$K$2:$K$295,"ARGH")</f>
        <v>0.2</v>
      </c>
      <c r="IW11" s="3">
        <f>_xlfn.XLOOKUP(IW$1,generator!$B$2:$B$295,generator!$K$2:$K$295,"ARGH")</f>
        <v>15</v>
      </c>
      <c r="IX11" s="3">
        <f>_xlfn.XLOOKUP(IX$1,generator!$B$2:$B$295,generator!$K$2:$K$295,"ARGH")</f>
        <v>15</v>
      </c>
      <c r="IY11" s="3">
        <f>_xlfn.XLOOKUP(IY$1,generator!$B$2:$B$295,generator!$K$2:$K$295,"ARGH")</f>
        <v>15</v>
      </c>
      <c r="IZ11" s="3">
        <f>_xlfn.XLOOKUP(IZ$1,generator!$B$2:$B$295,generator!$K$2:$K$295,"ARGH")</f>
        <v>120</v>
      </c>
      <c r="JA11" s="3">
        <f>_xlfn.XLOOKUP(JA$1,generator!$B$2:$B$295,generator!$K$2:$K$295,"ARGH")</f>
        <v>40</v>
      </c>
      <c r="JB11" s="3">
        <f>_xlfn.XLOOKUP(JB$1,generator!$B$2:$B$295,generator!$K$2:$K$295,"ARGH")</f>
        <v>40</v>
      </c>
      <c r="JC11" s="3">
        <f>_xlfn.XLOOKUP(JC$1,generator!$B$2:$B$295,generator!$K$2:$K$295,"ARGH")</f>
        <v>113</v>
      </c>
      <c r="JD11" s="3">
        <f>_xlfn.XLOOKUP(JD$1,generator!$B$2:$B$295,generator!$K$2:$K$295,"ARGH")</f>
        <v>113</v>
      </c>
      <c r="JE11" s="3">
        <f>_xlfn.XLOOKUP(JE$1,generator!$B$2:$B$295,generator!$K$2:$K$295,"ARGH")</f>
        <v>211</v>
      </c>
      <c r="JF11" s="3">
        <f>_xlfn.XLOOKUP(JF$1,generator!$B$2:$B$295,generator!$K$2:$K$295,"ARGH")</f>
        <v>22.5</v>
      </c>
      <c r="JG11" s="3">
        <f>_xlfn.XLOOKUP(JG$1,generator!$B$2:$B$295,generator!$K$2:$K$295,"ARGH")</f>
        <v>1</v>
      </c>
      <c r="JH11" s="3">
        <f>_xlfn.XLOOKUP(JH$1,generator!$B$2:$B$295,generator!$K$2:$K$295,"ARGH")</f>
        <v>160</v>
      </c>
      <c r="JI11" s="3">
        <f>_xlfn.XLOOKUP(JI$1,generator!$B$2:$B$295,generator!$K$2:$K$295,"ARGH")</f>
        <v>165</v>
      </c>
      <c r="JJ11" s="3">
        <f>_xlfn.XLOOKUP(JJ$1,generator!$B$2:$B$295,generator!$K$2:$K$295,"ARGH")</f>
        <v>4.5999999999999996</v>
      </c>
      <c r="JK11" s="3">
        <f>_xlfn.XLOOKUP(JK$1,generator!$B$2:$B$295,generator!$K$2:$K$295,"ARGH")</f>
        <v>4.5999999999999996</v>
      </c>
      <c r="JL11" s="3">
        <f>_xlfn.XLOOKUP(JL$1,generator!$B$2:$B$295,generator!$K$2:$K$295,"ARGH")</f>
        <v>4.5999999999999996</v>
      </c>
      <c r="JM11" s="3">
        <f>_xlfn.XLOOKUP(JM$1,generator!$B$2:$B$295,generator!$K$2:$K$295,"ARGH")</f>
        <v>4.5999999999999996</v>
      </c>
      <c r="JN11" s="3">
        <f>_xlfn.XLOOKUP(JN$1,generator!$B$2:$B$295,generator!$K$2:$K$295,"ARGH")</f>
        <v>4.5999999999999996</v>
      </c>
      <c r="JO11" s="3">
        <f>_xlfn.XLOOKUP(JO$1,generator!$B$2:$B$295,generator!$K$2:$K$295,"ARGH")</f>
        <v>4.5999999999999996</v>
      </c>
      <c r="JP11" s="3">
        <f>_xlfn.XLOOKUP(JP$1,generator!$B$2:$B$295,generator!$K$2:$K$295,"ARGH")</f>
        <v>110</v>
      </c>
      <c r="JQ11" s="3">
        <f>_xlfn.XLOOKUP(JQ$1,generator!$B$2:$B$295,generator!$K$2:$K$295,"ARGH")</f>
        <v>22.7</v>
      </c>
      <c r="JR11" s="3">
        <f>_xlfn.XLOOKUP(JR$1,generator!$B$2:$B$295,generator!$K$2:$K$295,"ARGH")</f>
        <v>147</v>
      </c>
      <c r="JS11" s="3">
        <f>_xlfn.XLOOKUP(JS$1,generator!$B$2:$B$295,generator!$K$2:$K$295,"ARGH")</f>
        <v>147</v>
      </c>
      <c r="JT11" s="3">
        <f>_xlfn.XLOOKUP(JT$1,generator!$B$2:$B$295,generator!$K$2:$K$295,"ARGH")</f>
        <v>22.7</v>
      </c>
      <c r="JU11" s="3">
        <f>_xlfn.XLOOKUP(JU$1,generator!$B$2:$B$295,generator!$K$2:$K$295,"ARGH")</f>
        <v>21.5</v>
      </c>
      <c r="JV11" s="3">
        <f>_xlfn.XLOOKUP(JV$1,generator!$B$2:$B$295,generator!$K$2:$K$295,"ARGH")</f>
        <v>120</v>
      </c>
      <c r="JW11" s="3">
        <f>_xlfn.XLOOKUP(JW$1,generator!$B$2:$B$295,generator!$K$2:$K$295,"ARGH")</f>
        <v>120</v>
      </c>
      <c r="JX11" s="3">
        <f>_xlfn.XLOOKUP(JX$1,generator!$B$2:$B$295,generator!$K$2:$K$295,"ARGH")</f>
        <v>1</v>
      </c>
      <c r="JY11" s="3">
        <f>_xlfn.XLOOKUP(JY$1,generator!$B$2:$B$295,generator!$K$2:$K$295,"ARGH")</f>
        <v>41.15</v>
      </c>
      <c r="JZ11" s="3">
        <f>_xlfn.XLOOKUP(JZ$1,generator!$B$2:$B$295,generator!$K$2:$K$295,"ARGH")</f>
        <v>5</v>
      </c>
      <c r="KA11" s="3">
        <f>_xlfn.XLOOKUP(KA$1,generator!$B$2:$B$295,generator!$K$2:$K$295,"ARGH")</f>
        <v>5</v>
      </c>
      <c r="KB11" s="3">
        <f>_xlfn.XLOOKUP(KB$1,generator!$B$2:$B$295,generator!$K$2:$K$295,"ARGH")</f>
        <v>5</v>
      </c>
      <c r="KC11" s="3">
        <f>_xlfn.XLOOKUP(KC$1,generator!$B$2:$B$295,generator!$K$2:$K$295,"ARGH")</f>
        <v>5</v>
      </c>
    </row>
    <row r="12" spans="1:289" x14ac:dyDescent="0.3">
      <c r="A12" s="4" t="s">
        <v>3007</v>
      </c>
      <c r="B12" s="31">
        <v>0</v>
      </c>
      <c r="C12" s="31">
        <v>507.5</v>
      </c>
      <c r="D12" s="31">
        <v>273</v>
      </c>
      <c r="E12" s="3">
        <f>_xlfn.XLOOKUP(E$1,generator!$B$2:$B$295,generator!$K$2:$K$295,"ARGH")</f>
        <v>0</v>
      </c>
      <c r="F12" s="3">
        <f>_xlfn.XLOOKUP(F$1,generator!$B$2:$B$295,generator!$K$2:$K$295,"ARGH")</f>
        <v>0</v>
      </c>
      <c r="G12" s="3">
        <f>_xlfn.XLOOKUP(G$1,generator!$B$2:$B$295,generator!$K$2:$K$295,"ARGH")</f>
        <v>0</v>
      </c>
      <c r="H12" s="3">
        <f>_xlfn.XLOOKUP(H$1,generator!$B$2:$B$295,generator!$K$2:$K$295,"ARGH")</f>
        <v>0</v>
      </c>
      <c r="I12" s="3">
        <f>_xlfn.XLOOKUP(I$1,generator!$B$2:$B$295,generator!$K$2:$K$295,"ARGH")</f>
        <v>0</v>
      </c>
      <c r="J12" s="3">
        <f>_xlfn.XLOOKUP(J$1,generator!$B$2:$B$295,generator!$K$2:$K$295,"ARGH")</f>
        <v>0</v>
      </c>
      <c r="K12" s="3">
        <f>_xlfn.XLOOKUP(K$1,generator!$B$2:$B$295,generator!$K$2:$K$295,"ARGH")</f>
        <v>0</v>
      </c>
      <c r="L12" s="3">
        <f>_xlfn.XLOOKUP(L$1,generator!$B$2:$B$295,generator!$K$2:$K$295,"ARGH")</f>
        <v>0</v>
      </c>
      <c r="M12" s="3">
        <f>_xlfn.XLOOKUP(M$1,generator!$B$2:$B$295,generator!$K$2:$K$295,"ARGH")</f>
        <v>0</v>
      </c>
      <c r="N12" s="3">
        <f>_xlfn.XLOOKUP(N$1,generator!$B$2:$B$295,generator!$K$2:$K$295,"ARGH")</f>
        <v>0</v>
      </c>
      <c r="O12" s="3">
        <f>_xlfn.XLOOKUP(O$1,generator!$B$2:$B$295,generator!$K$2:$K$295,"ARGH")</f>
        <v>0</v>
      </c>
      <c r="P12" s="3">
        <f>_xlfn.XLOOKUP(P$1,generator!$B$2:$B$295,generator!$K$2:$K$295,"ARGH")</f>
        <v>0</v>
      </c>
      <c r="Q12" s="3">
        <f>_xlfn.XLOOKUP(Q$1,generator!$B$2:$B$295,generator!$K$2:$K$295,"ARGH")</f>
        <v>0</v>
      </c>
      <c r="R12" s="3">
        <f>_xlfn.XLOOKUP(R$1,generator!$B$2:$B$295,generator!$K$2:$K$295,"ARGH")</f>
        <v>0</v>
      </c>
      <c r="S12" s="3">
        <f>_xlfn.XLOOKUP(S$1,generator!$B$2:$B$295,generator!$K$2:$K$295,"ARGH")</f>
        <v>0</v>
      </c>
      <c r="T12" s="3">
        <f>_xlfn.XLOOKUP(T$1,generator!$B$2:$B$295,generator!$K$2:$K$295,"ARGH")</f>
        <v>0</v>
      </c>
      <c r="U12" s="3">
        <f>_xlfn.XLOOKUP(U$1,generator!$B$2:$B$295,generator!$K$2:$K$295,"ARGH")</f>
        <v>0</v>
      </c>
      <c r="V12" s="3">
        <f>_xlfn.XLOOKUP(V$1,generator!$B$2:$B$295,generator!$K$2:$K$295,"ARGH")</f>
        <v>0</v>
      </c>
      <c r="W12" s="3">
        <f>_xlfn.XLOOKUP(W$1,generator!$B$2:$B$295,generator!$K$2:$K$295,"ARGH")</f>
        <v>0</v>
      </c>
      <c r="X12" s="3">
        <f>_xlfn.XLOOKUP(X$1,generator!$B$2:$B$295,generator!$K$2:$K$295,"ARGH")</f>
        <v>0</v>
      </c>
      <c r="Y12" s="3">
        <f>_xlfn.XLOOKUP(Y$1,generator!$B$2:$B$295,generator!$K$2:$K$295,"ARGH")</f>
        <v>0</v>
      </c>
      <c r="Z12" s="3">
        <f>_xlfn.XLOOKUP(Z$1,generator!$B$2:$B$295,generator!$K$2:$K$295,"ARGH")</f>
        <v>0</v>
      </c>
      <c r="AA12" s="3">
        <f>_xlfn.XLOOKUP(AA$1,generator!$B$2:$B$295,generator!$K$2:$K$295,"ARGH")</f>
        <v>0</v>
      </c>
      <c r="AB12" s="3">
        <f>_xlfn.XLOOKUP(AB$1,generator!$B$2:$B$295,generator!$K$2:$K$295,"ARGH")</f>
        <v>0</v>
      </c>
      <c r="AC12" s="3">
        <f>_xlfn.XLOOKUP(AC$1,generator!$B$2:$B$295,generator!$K$2:$K$295,"ARGH")</f>
        <v>0</v>
      </c>
      <c r="AD12" s="3">
        <f>_xlfn.XLOOKUP(AD$1,generator!$B$2:$B$295,generator!$K$2:$K$295,"ARGH")</f>
        <v>0</v>
      </c>
      <c r="AE12" s="3">
        <f>_xlfn.XLOOKUP(AE$1,generator!$B$2:$B$295,generator!$K$2:$K$295,"ARGH")</f>
        <v>0</v>
      </c>
      <c r="AF12" s="3">
        <f>_xlfn.XLOOKUP(AF$1,generator!$B$2:$B$295,generator!$K$2:$K$295,"ARGH")</f>
        <v>0</v>
      </c>
      <c r="AG12" s="3">
        <f>_xlfn.XLOOKUP(AG$1,generator!$B$2:$B$295,generator!$K$2:$K$295,"ARGH")</f>
        <v>0</v>
      </c>
      <c r="AH12" s="3">
        <f>_xlfn.XLOOKUP(AH$1,generator!$B$2:$B$295,generator!$K$2:$K$295,"ARGH")</f>
        <v>0</v>
      </c>
      <c r="AI12" s="3">
        <f>_xlfn.XLOOKUP(AI$1,generator!$B$2:$B$295,generator!$K$2:$K$295,"ARGH")</f>
        <v>0</v>
      </c>
      <c r="AJ12" s="3">
        <f>_xlfn.XLOOKUP(AJ$1,generator!$B$2:$B$295,generator!$K$2:$K$295,"ARGH")</f>
        <v>0</v>
      </c>
      <c r="AK12" s="3">
        <f>_xlfn.XLOOKUP(AK$1,generator!$B$2:$B$295,generator!$K$2:$K$295,"ARGH")</f>
        <v>0</v>
      </c>
      <c r="AL12" s="3">
        <f>_xlfn.XLOOKUP(AL$1,generator!$B$2:$B$295,generator!$K$2:$K$295,"ARGH")</f>
        <v>0</v>
      </c>
      <c r="AM12" s="3">
        <f>_xlfn.XLOOKUP(AM$1,generator!$B$2:$B$295,generator!$K$2:$K$295,"ARGH")</f>
        <v>0</v>
      </c>
      <c r="AN12" s="3">
        <f>_xlfn.XLOOKUP(AN$1,generator!$B$2:$B$295,generator!$K$2:$K$295,"ARGH")</f>
        <v>0</v>
      </c>
      <c r="AO12" s="3">
        <f>_xlfn.XLOOKUP(AO$1,generator!$B$2:$B$295,generator!$K$2:$K$295,"ARGH")</f>
        <v>0</v>
      </c>
      <c r="AP12" s="3">
        <f>_xlfn.XLOOKUP(AP$1,generator!$B$2:$B$295,generator!$K$2:$K$295,"ARGH")</f>
        <v>0</v>
      </c>
      <c r="AQ12" s="3">
        <f>_xlfn.XLOOKUP(AQ$1,generator!$B$2:$B$295,generator!$K$2:$K$295,"ARGH")</f>
        <v>0</v>
      </c>
      <c r="AR12" s="3">
        <f>_xlfn.XLOOKUP(AR$1,generator!$B$2:$B$295,generator!$K$2:$K$295,"ARGH")</f>
        <v>0</v>
      </c>
      <c r="AS12" s="3">
        <f>_xlfn.XLOOKUP(AS$1,generator!$B$2:$B$295,generator!$K$2:$K$295,"ARGH")</f>
        <v>0</v>
      </c>
      <c r="AT12" s="3">
        <f>_xlfn.XLOOKUP(AT$1,generator!$B$2:$B$295,generator!$K$2:$K$295,"ARGH")</f>
        <v>0</v>
      </c>
      <c r="AU12" s="3">
        <f>_xlfn.XLOOKUP(AU$1,generator!$B$2:$B$295,generator!$K$2:$K$295,"ARGH")</f>
        <v>0</v>
      </c>
      <c r="AV12" s="3">
        <f>_xlfn.XLOOKUP(AV$1,generator!$B$2:$B$295,generator!$K$2:$K$295,"ARGH")</f>
        <v>0</v>
      </c>
      <c r="AW12" s="3">
        <f>_xlfn.XLOOKUP(AW$1,generator!$B$2:$B$295,generator!$K$2:$K$295,"ARGH")</f>
        <v>0</v>
      </c>
      <c r="AX12" s="3">
        <f>_xlfn.XLOOKUP(AX$1,generator!$B$2:$B$295,generator!$K$2:$K$295,"ARGH")</f>
        <v>0</v>
      </c>
      <c r="AY12" s="3">
        <f>_xlfn.XLOOKUP(AY$1,generator!$B$2:$B$295,generator!$K$2:$K$295,"ARGH")</f>
        <v>0</v>
      </c>
      <c r="AZ12" s="3">
        <f>_xlfn.XLOOKUP(AZ$1,generator!$B$2:$B$295,generator!$K$2:$K$295,"ARGH")</f>
        <v>0</v>
      </c>
      <c r="BA12" s="3">
        <f>_xlfn.XLOOKUP(BA$1,generator!$B$2:$B$295,generator!$K$2:$K$295,"ARGH")</f>
        <v>0</v>
      </c>
      <c r="BB12" s="3">
        <f>_xlfn.XLOOKUP(BB$1,generator!$B$2:$B$295,generator!$K$2:$K$295,"ARGH")</f>
        <v>0</v>
      </c>
      <c r="BC12" s="3">
        <f>_xlfn.XLOOKUP(BC$1,generator!$B$2:$B$295,generator!$K$2:$K$295,"ARGH")</f>
        <v>0</v>
      </c>
      <c r="BD12" s="3">
        <f>_xlfn.XLOOKUP(BD$1,generator!$B$2:$B$295,generator!$K$2:$K$295,"ARGH")</f>
        <v>0</v>
      </c>
      <c r="BE12" s="3">
        <f>_xlfn.XLOOKUP(BE$1,generator!$B$2:$B$295,generator!$K$2:$K$295,"ARGH")</f>
        <v>0</v>
      </c>
      <c r="BF12" s="3">
        <f>_xlfn.XLOOKUP(BF$1,generator!$B$2:$B$295,generator!$K$2:$K$295,"ARGH")</f>
        <v>0</v>
      </c>
      <c r="BG12" s="3">
        <f>_xlfn.XLOOKUP(BG$1,generator!$B$2:$B$295,generator!$K$2:$K$295,"ARGH")</f>
        <v>0</v>
      </c>
      <c r="BH12" s="3">
        <f>_xlfn.XLOOKUP(BH$1,generator!$B$2:$B$295,generator!$K$2:$K$295,"ARGH")</f>
        <v>0</v>
      </c>
      <c r="BI12" s="3">
        <f>_xlfn.XLOOKUP(BI$1,generator!$B$2:$B$295,generator!$K$2:$K$295,"ARGH")</f>
        <v>0</v>
      </c>
      <c r="BJ12" s="3">
        <f>_xlfn.XLOOKUP(BJ$1,generator!$B$2:$B$295,generator!$K$2:$K$295,"ARGH")</f>
        <v>0</v>
      </c>
      <c r="BK12" s="3">
        <f>_xlfn.XLOOKUP(BK$1,generator!$B$2:$B$295,generator!$K$2:$K$295,"ARGH")</f>
        <v>0</v>
      </c>
      <c r="BL12" s="3">
        <f>_xlfn.XLOOKUP(BL$1,generator!$B$2:$B$295,generator!$K$2:$K$295,"ARGH")</f>
        <v>0</v>
      </c>
      <c r="BM12" s="3">
        <f>_xlfn.XLOOKUP(BM$1,generator!$B$2:$B$295,generator!$K$2:$K$295,"ARGH")</f>
        <v>0</v>
      </c>
      <c r="BN12" s="3">
        <f>_xlfn.XLOOKUP(BN$1,generator!$B$2:$B$295,generator!$K$2:$K$295,"ARGH")</f>
        <v>0</v>
      </c>
      <c r="BO12" s="3">
        <f>_xlfn.XLOOKUP(BO$1,generator!$B$2:$B$295,generator!$K$2:$K$295,"ARGH")</f>
        <v>0</v>
      </c>
      <c r="BP12" s="3">
        <f>_xlfn.XLOOKUP(BP$1,generator!$B$2:$B$295,generator!$K$2:$K$295,"ARGH")</f>
        <v>0</v>
      </c>
      <c r="BQ12" s="3">
        <f>_xlfn.XLOOKUP(BQ$1,generator!$B$2:$B$295,generator!$K$2:$K$295,"ARGH")</f>
        <v>0</v>
      </c>
      <c r="BR12" s="3">
        <f>_xlfn.XLOOKUP(BR$1,generator!$B$2:$B$295,generator!$K$2:$K$295,"ARGH")</f>
        <v>0</v>
      </c>
      <c r="BS12" s="3">
        <f>_xlfn.XLOOKUP(BS$1,generator!$B$2:$B$295,generator!$K$2:$K$295,"ARGH")</f>
        <v>0</v>
      </c>
      <c r="BT12" s="3">
        <f>_xlfn.XLOOKUP(BT$1,generator!$B$2:$B$295,generator!$K$2:$K$295,"ARGH")</f>
        <v>0</v>
      </c>
      <c r="BU12" s="3">
        <f>_xlfn.XLOOKUP(BU$1,generator!$B$2:$B$295,generator!$K$2:$K$295,"ARGH")</f>
        <v>0</v>
      </c>
      <c r="BV12" s="3">
        <f>_xlfn.XLOOKUP(BV$1,generator!$B$2:$B$295,generator!$K$2:$K$295,"ARGH")</f>
        <v>0</v>
      </c>
      <c r="BW12" s="3">
        <f>_xlfn.XLOOKUP(BW$1,generator!$B$2:$B$295,generator!$K$2:$K$295,"ARGH")</f>
        <v>0</v>
      </c>
      <c r="BX12" s="3">
        <f>_xlfn.XLOOKUP(BX$1,generator!$B$2:$B$295,generator!$K$2:$K$295,"ARGH")</f>
        <v>0</v>
      </c>
      <c r="BY12" s="3">
        <f>_xlfn.XLOOKUP(BY$1,generator!$B$2:$B$295,generator!$K$2:$K$295,"ARGH")</f>
        <v>0</v>
      </c>
      <c r="BZ12" s="3">
        <f>_xlfn.XLOOKUP(BZ$1,generator!$B$2:$B$295,generator!$K$2:$K$295,"ARGH")</f>
        <v>0</v>
      </c>
      <c r="CA12" s="3">
        <f>_xlfn.XLOOKUP(CA$1,generator!$B$2:$B$295,generator!$K$2:$K$295,"ARGH")</f>
        <v>0</v>
      </c>
      <c r="CB12" s="3">
        <f>_xlfn.XLOOKUP(CB$1,generator!$B$2:$B$295,generator!$K$2:$K$295,"ARGH")</f>
        <v>0</v>
      </c>
      <c r="CC12" s="3">
        <f>_xlfn.XLOOKUP(CC$1,generator!$B$2:$B$295,generator!$K$2:$K$295,"ARGH")</f>
        <v>0</v>
      </c>
      <c r="CD12" s="3">
        <f>_xlfn.XLOOKUP(CD$1,generator!$B$2:$B$295,generator!$K$2:$K$295,"ARGH")</f>
        <v>0</v>
      </c>
      <c r="CE12" s="3">
        <f>_xlfn.XLOOKUP(CE$1,generator!$B$2:$B$295,generator!$K$2:$K$295,"ARGH")</f>
        <v>0</v>
      </c>
      <c r="CF12" s="3">
        <f>_xlfn.XLOOKUP(CF$1,generator!$B$2:$B$295,generator!$K$2:$K$295,"ARGH")</f>
        <v>0</v>
      </c>
      <c r="CG12" s="3">
        <f>_xlfn.XLOOKUP(CG$1,generator!$B$2:$B$295,generator!$K$2:$K$295,"ARGH")</f>
        <v>0</v>
      </c>
      <c r="CH12" s="3">
        <f>_xlfn.XLOOKUP(CH$1,generator!$B$2:$B$295,generator!$K$2:$K$295,"ARGH")</f>
        <v>0</v>
      </c>
      <c r="CI12" s="3">
        <f>_xlfn.XLOOKUP(CI$1,generator!$B$2:$B$295,generator!$K$2:$K$295,"ARGH")</f>
        <v>0</v>
      </c>
      <c r="CJ12" s="3">
        <f>_xlfn.XLOOKUP(CJ$1,generator!$B$2:$B$295,generator!$K$2:$K$295,"ARGH")</f>
        <v>0</v>
      </c>
      <c r="CK12" s="3">
        <f>_xlfn.XLOOKUP(CK$1,generator!$B$2:$B$295,generator!$K$2:$K$295,"ARGH")</f>
        <v>0</v>
      </c>
      <c r="CL12" s="3">
        <f>_xlfn.XLOOKUP(CL$1,generator!$B$2:$B$295,generator!$K$2:$K$295,"ARGH")</f>
        <v>0</v>
      </c>
      <c r="CM12" s="3">
        <f>_xlfn.XLOOKUP(CM$1,generator!$B$2:$B$295,generator!$K$2:$K$295,"ARGH")</f>
        <v>0</v>
      </c>
      <c r="CN12" s="3">
        <f>_xlfn.XLOOKUP(CN$1,generator!$B$2:$B$295,generator!$K$2:$K$295,"ARGH")</f>
        <v>0</v>
      </c>
      <c r="CO12" s="3">
        <f>_xlfn.XLOOKUP(CO$1,generator!$B$2:$B$295,generator!$K$2:$K$295,"ARGH")</f>
        <v>0</v>
      </c>
      <c r="CP12" s="3">
        <f>_xlfn.XLOOKUP(CP$1,generator!$B$2:$B$295,generator!$K$2:$K$295,"ARGH")</f>
        <v>0</v>
      </c>
      <c r="CQ12" s="3">
        <f>_xlfn.XLOOKUP(CQ$1,generator!$B$2:$B$295,generator!$K$2:$K$295,"ARGH")</f>
        <v>0</v>
      </c>
      <c r="CR12" s="3">
        <f>_xlfn.XLOOKUP(CR$1,generator!$B$2:$B$295,generator!$K$2:$K$295,"ARGH")</f>
        <v>0</v>
      </c>
      <c r="CS12" s="3">
        <f>_xlfn.XLOOKUP(CS$1,generator!$B$2:$B$295,generator!$K$2:$K$295,"ARGH")</f>
        <v>0</v>
      </c>
      <c r="CT12" s="3">
        <f>_xlfn.XLOOKUP(CT$1,generator!$B$2:$B$295,generator!$K$2:$K$295,"ARGH")</f>
        <v>0</v>
      </c>
      <c r="CU12" s="3">
        <f>_xlfn.XLOOKUP(CU$1,generator!$B$2:$B$295,generator!$K$2:$K$295,"ARGH")</f>
        <v>0</v>
      </c>
      <c r="CV12" s="3">
        <f>_xlfn.XLOOKUP(CV$1,generator!$B$2:$B$295,generator!$K$2:$K$295,"ARGH")</f>
        <v>0</v>
      </c>
      <c r="CW12" s="3">
        <f>_xlfn.XLOOKUP(CW$1,generator!$B$2:$B$295,generator!$K$2:$K$295,"ARGH")</f>
        <v>0</v>
      </c>
      <c r="CX12" s="3">
        <f>_xlfn.XLOOKUP(CX$1,generator!$B$2:$B$295,generator!$K$2:$K$295,"ARGH")</f>
        <v>0</v>
      </c>
      <c r="CY12" s="3">
        <f>_xlfn.XLOOKUP(CY$1,generator!$B$2:$B$295,generator!$K$2:$K$295,"ARGH")</f>
        <v>0</v>
      </c>
      <c r="CZ12" s="3">
        <f>_xlfn.XLOOKUP(CZ$1,generator!$B$2:$B$295,generator!$K$2:$K$295,"ARGH")</f>
        <v>0</v>
      </c>
      <c r="DA12" s="3">
        <f>_xlfn.XLOOKUP(DA$1,generator!$B$2:$B$295,generator!$K$2:$K$295,"ARGH")</f>
        <v>0</v>
      </c>
      <c r="DB12" s="3">
        <f>_xlfn.XLOOKUP(DB$1,generator!$B$2:$B$295,generator!$K$2:$K$295,"ARGH")</f>
        <v>0</v>
      </c>
      <c r="DC12" s="3">
        <f>_xlfn.XLOOKUP(DC$1,generator!$B$2:$B$295,generator!$K$2:$K$295,"ARGH")</f>
        <v>0</v>
      </c>
      <c r="DD12" s="3">
        <f>_xlfn.XLOOKUP(DD$1,generator!$B$2:$B$295,generator!$K$2:$K$295,"ARGH")</f>
        <v>0</v>
      </c>
      <c r="DE12" s="3">
        <f>_xlfn.XLOOKUP(DE$1,generator!$B$2:$B$295,generator!$K$2:$K$295,"ARGH")</f>
        <v>0</v>
      </c>
      <c r="DF12" s="3">
        <f>_xlfn.XLOOKUP(DF$1,generator!$B$2:$B$295,generator!$K$2:$K$295,"ARGH")</f>
        <v>0</v>
      </c>
      <c r="DG12" s="3">
        <f>_xlfn.XLOOKUP(DG$1,generator!$B$2:$B$295,generator!$K$2:$K$295,"ARGH")</f>
        <v>0</v>
      </c>
      <c r="DH12" s="3">
        <f>_xlfn.XLOOKUP(DH$1,generator!$B$2:$B$295,generator!$K$2:$K$295,"ARGH")</f>
        <v>0</v>
      </c>
      <c r="DI12" s="3">
        <f>_xlfn.XLOOKUP(DI$1,generator!$B$2:$B$295,generator!$K$2:$K$295,"ARGH")</f>
        <v>0</v>
      </c>
      <c r="DJ12" s="3">
        <f>_xlfn.XLOOKUP(DJ$1,generator!$B$2:$B$295,generator!$K$2:$K$295,"ARGH")</f>
        <v>0</v>
      </c>
      <c r="DK12" s="3">
        <f>_xlfn.XLOOKUP(DK$1,generator!$B$2:$B$295,generator!$K$2:$K$295,"ARGH")</f>
        <v>0</v>
      </c>
      <c r="DL12" s="3">
        <f>_xlfn.XLOOKUP(DL$1,generator!$B$2:$B$295,generator!$K$2:$K$295,"ARGH")</f>
        <v>0</v>
      </c>
      <c r="DM12" s="3">
        <f>_xlfn.XLOOKUP(DM$1,generator!$B$2:$B$295,generator!$K$2:$K$295,"ARGH")</f>
        <v>0</v>
      </c>
      <c r="DN12" s="3">
        <f>_xlfn.XLOOKUP(DN$1,generator!$B$2:$B$295,generator!$K$2:$K$295,"ARGH")</f>
        <v>0</v>
      </c>
      <c r="DO12" s="3">
        <f>_xlfn.XLOOKUP(DO$1,generator!$B$2:$B$295,generator!$K$2:$K$295,"ARGH")</f>
        <v>0</v>
      </c>
      <c r="DP12" s="3">
        <f>_xlfn.XLOOKUP(DP$1,generator!$B$2:$B$295,generator!$K$2:$K$295,"ARGH")</f>
        <v>0</v>
      </c>
      <c r="DQ12" s="3">
        <f>_xlfn.XLOOKUP(DQ$1,generator!$B$2:$B$295,generator!$K$2:$K$295,"ARGH")</f>
        <v>0</v>
      </c>
      <c r="DR12" s="3">
        <f>_xlfn.XLOOKUP(DR$1,generator!$B$2:$B$295,generator!$K$2:$K$295,"ARGH")</f>
        <v>0</v>
      </c>
      <c r="DS12" s="3">
        <f>_xlfn.XLOOKUP(DS$1,generator!$B$2:$B$295,generator!$K$2:$K$295,"ARGH")</f>
        <v>0</v>
      </c>
      <c r="DT12" s="3">
        <f>_xlfn.XLOOKUP(DT$1,generator!$B$2:$B$295,generator!$K$2:$K$295,"ARGH")</f>
        <v>0</v>
      </c>
      <c r="DU12" s="3">
        <f>_xlfn.XLOOKUP(DU$1,generator!$B$2:$B$295,generator!$K$2:$K$295,"ARGH")</f>
        <v>0</v>
      </c>
      <c r="DV12" s="3">
        <f>_xlfn.XLOOKUP(DV$1,generator!$B$2:$B$295,generator!$K$2:$K$295,"ARGH")</f>
        <v>0</v>
      </c>
      <c r="DW12" s="3">
        <f>_xlfn.XLOOKUP(DW$1,generator!$B$2:$B$295,generator!$K$2:$K$295,"ARGH")</f>
        <v>0</v>
      </c>
      <c r="DX12" s="3">
        <f>_xlfn.XLOOKUP(DX$1,generator!$B$2:$B$295,generator!$K$2:$K$295,"ARGH")</f>
        <v>0</v>
      </c>
      <c r="DY12" s="3">
        <f>_xlfn.XLOOKUP(DY$1,generator!$B$2:$B$295,generator!$K$2:$K$295,"ARGH")</f>
        <v>0</v>
      </c>
      <c r="DZ12" s="3">
        <f>_xlfn.XLOOKUP(DZ$1,generator!$B$2:$B$295,generator!$K$2:$K$295,"ARGH")</f>
        <v>0</v>
      </c>
      <c r="EA12" s="3">
        <f>_xlfn.XLOOKUP(EA$1,generator!$B$2:$B$295,generator!$K$2:$K$295,"ARGH")</f>
        <v>0</v>
      </c>
      <c r="EB12" s="3">
        <f>_xlfn.XLOOKUP(EB$1,generator!$B$2:$B$295,generator!$K$2:$K$295,"ARGH")</f>
        <v>0</v>
      </c>
      <c r="EC12" s="3">
        <f>_xlfn.XLOOKUP(EC$1,generator!$B$2:$B$295,generator!$K$2:$K$295,"ARGH")</f>
        <v>0</v>
      </c>
      <c r="ED12" s="3">
        <f>_xlfn.XLOOKUP(ED$1,generator!$B$2:$B$295,generator!$K$2:$K$295,"ARGH")</f>
        <v>0</v>
      </c>
      <c r="EE12" s="3">
        <f>_xlfn.XLOOKUP(EE$1,generator!$B$2:$B$295,generator!$K$2:$K$295,"ARGH")</f>
        <v>0</v>
      </c>
      <c r="EF12" s="3">
        <f>_xlfn.XLOOKUP(EF$1,generator!$B$2:$B$295,generator!$K$2:$K$295,"ARGH")</f>
        <v>0</v>
      </c>
      <c r="EG12" s="3">
        <f>_xlfn.XLOOKUP(EG$1,generator!$B$2:$B$295,generator!$K$2:$K$295,"ARGH")</f>
        <v>0</v>
      </c>
      <c r="EH12" s="3">
        <f>_xlfn.XLOOKUP(EH$1,generator!$B$2:$B$295,generator!$K$2:$K$295,"ARGH")</f>
        <v>0</v>
      </c>
      <c r="EI12" s="3">
        <f>_xlfn.XLOOKUP(EI$1,generator!$B$2:$B$295,generator!$K$2:$K$295,"ARGH")</f>
        <v>0</v>
      </c>
      <c r="EJ12" s="3">
        <f>_xlfn.XLOOKUP(EJ$1,generator!$B$2:$B$295,generator!$K$2:$K$295,"ARGH")</f>
        <v>0</v>
      </c>
      <c r="EK12" s="3">
        <f>_xlfn.XLOOKUP(EK$1,generator!$B$2:$B$295,generator!$K$2:$K$295,"ARGH")</f>
        <v>0</v>
      </c>
      <c r="EL12" s="3">
        <f>_xlfn.XLOOKUP(EL$1,generator!$B$2:$B$295,generator!$K$2:$K$295,"ARGH")</f>
        <v>0</v>
      </c>
      <c r="EM12" s="3">
        <f>_xlfn.XLOOKUP(EM$1,generator!$B$2:$B$295,generator!$K$2:$K$295,"ARGH")</f>
        <v>0</v>
      </c>
      <c r="EN12" s="3">
        <f>_xlfn.XLOOKUP(EN$1,generator!$B$2:$B$295,generator!$K$2:$K$295,"ARGH")</f>
        <v>0</v>
      </c>
      <c r="EO12" s="3">
        <f>_xlfn.XLOOKUP(EO$1,generator!$B$2:$B$295,generator!$K$2:$K$295,"ARGH")</f>
        <v>0</v>
      </c>
      <c r="EP12" s="3">
        <f>_xlfn.XLOOKUP(EP$1,generator!$B$2:$B$295,generator!$K$2:$K$295,"ARGH")</f>
        <v>0</v>
      </c>
      <c r="EQ12" s="3">
        <f>_xlfn.XLOOKUP(EQ$1,generator!$B$2:$B$295,generator!$K$2:$K$295,"ARGH")</f>
        <v>0</v>
      </c>
      <c r="ER12" s="3">
        <f>_xlfn.XLOOKUP(ER$1,generator!$B$2:$B$295,generator!$K$2:$K$295,"ARGH")</f>
        <v>0</v>
      </c>
      <c r="ES12" s="3">
        <f>_xlfn.XLOOKUP(ES$1,generator!$B$2:$B$295,generator!$K$2:$K$295,"ARGH")</f>
        <v>0</v>
      </c>
      <c r="ET12" s="3">
        <f>_xlfn.XLOOKUP(ET$1,generator!$B$2:$B$295,generator!$K$2:$K$295,"ARGH")</f>
        <v>0</v>
      </c>
      <c r="EU12" s="3">
        <f>_xlfn.XLOOKUP(EU$1,generator!$B$2:$B$295,generator!$K$2:$K$295,"ARGH")</f>
        <v>0</v>
      </c>
      <c r="EV12" s="3">
        <f>_xlfn.XLOOKUP(EV$1,generator!$B$2:$B$295,generator!$K$2:$K$295,"ARGH")</f>
        <v>0</v>
      </c>
      <c r="EW12" s="3">
        <f>_xlfn.XLOOKUP(EW$1,generator!$B$2:$B$295,generator!$K$2:$K$295,"ARGH")</f>
        <v>0</v>
      </c>
      <c r="EX12" s="3">
        <f>_xlfn.XLOOKUP(EX$1,generator!$B$2:$B$295,generator!$K$2:$K$295,"ARGH")</f>
        <v>0</v>
      </c>
      <c r="EY12" s="3">
        <f>_xlfn.XLOOKUP(EY$1,generator!$B$2:$B$295,generator!$K$2:$K$295,"ARGH")</f>
        <v>0</v>
      </c>
      <c r="EZ12" s="3">
        <f>_xlfn.XLOOKUP(EZ$1,generator!$B$2:$B$295,generator!$K$2:$K$295,"ARGH")</f>
        <v>0</v>
      </c>
      <c r="FA12" s="3">
        <f>_xlfn.XLOOKUP(FA$1,generator!$B$2:$B$295,generator!$K$2:$K$295,"ARGH")</f>
        <v>0</v>
      </c>
      <c r="FB12" s="3">
        <f>_xlfn.XLOOKUP(FB$1,generator!$B$2:$B$295,generator!$K$2:$K$295,"ARGH")</f>
        <v>0</v>
      </c>
      <c r="FC12" s="3">
        <f>_xlfn.XLOOKUP(FC$1,generator!$B$2:$B$295,generator!$K$2:$K$295,"ARGH")</f>
        <v>0</v>
      </c>
      <c r="FD12" s="3">
        <f>_xlfn.XLOOKUP(FD$1,generator!$B$2:$B$295,generator!$K$2:$K$295,"ARGH")</f>
        <v>0</v>
      </c>
      <c r="FE12" s="3">
        <f>_xlfn.XLOOKUP(FE$1,generator!$B$2:$B$295,generator!$K$2:$K$295,"ARGH")</f>
        <v>0</v>
      </c>
      <c r="FF12" s="3">
        <f>_xlfn.XLOOKUP(FF$1,generator!$B$2:$B$295,generator!$K$2:$K$295,"ARGH")</f>
        <v>0</v>
      </c>
      <c r="FG12" s="3">
        <f>_xlfn.XLOOKUP(FG$1,generator!$B$2:$B$295,generator!$K$2:$K$295,"ARGH")</f>
        <v>0</v>
      </c>
      <c r="FH12" s="3">
        <f>_xlfn.XLOOKUP(FH$1,generator!$B$2:$B$295,generator!$K$2:$K$295,"ARGH")</f>
        <v>0</v>
      </c>
      <c r="FI12" s="3">
        <f>_xlfn.XLOOKUP(FI$1,generator!$B$2:$B$295,generator!$K$2:$K$295,"ARGH")</f>
        <v>0</v>
      </c>
      <c r="FJ12" s="3">
        <f>_xlfn.XLOOKUP(FJ$1,generator!$B$2:$B$295,generator!$K$2:$K$295,"ARGH")</f>
        <v>0</v>
      </c>
      <c r="FK12" s="3">
        <f>_xlfn.XLOOKUP(FK$1,generator!$B$2:$B$295,generator!$K$2:$K$295,"ARGH")</f>
        <v>0</v>
      </c>
      <c r="FL12" s="3">
        <f>_xlfn.XLOOKUP(FL$1,generator!$B$2:$B$295,generator!$K$2:$K$295,"ARGH")</f>
        <v>0</v>
      </c>
      <c r="FM12" s="3">
        <f>_xlfn.XLOOKUP(FM$1,generator!$B$2:$B$295,generator!$K$2:$K$295,"ARGH")</f>
        <v>0</v>
      </c>
      <c r="FN12" s="3">
        <f>_xlfn.XLOOKUP(FN$1,generator!$B$2:$B$295,generator!$K$2:$K$295,"ARGH")</f>
        <v>0</v>
      </c>
      <c r="FO12" s="3">
        <f>_xlfn.XLOOKUP(FO$1,generator!$B$2:$B$295,generator!$K$2:$K$295,"ARGH")</f>
        <v>0</v>
      </c>
      <c r="FP12" s="3">
        <f>_xlfn.XLOOKUP(FP$1,generator!$B$2:$B$295,generator!$K$2:$K$295,"ARGH")</f>
        <v>0</v>
      </c>
      <c r="FQ12" s="3">
        <f>_xlfn.XLOOKUP(FQ$1,generator!$B$2:$B$295,generator!$K$2:$K$295,"ARGH")</f>
        <v>0</v>
      </c>
      <c r="FR12" s="3">
        <f>_xlfn.XLOOKUP(FR$1,generator!$B$2:$B$295,generator!$K$2:$K$295,"ARGH")</f>
        <v>0</v>
      </c>
      <c r="FS12" s="3">
        <f>_xlfn.XLOOKUP(FS$1,generator!$B$2:$B$295,generator!$K$2:$K$295,"ARGH")</f>
        <v>0</v>
      </c>
      <c r="FT12" s="3">
        <f>_xlfn.XLOOKUP(FT$1,generator!$B$2:$B$295,generator!$K$2:$K$295,"ARGH")</f>
        <v>0</v>
      </c>
      <c r="FU12" s="3">
        <f>_xlfn.XLOOKUP(FU$1,generator!$B$2:$B$295,generator!$K$2:$K$295,"ARGH")</f>
        <v>0</v>
      </c>
      <c r="FV12" s="3">
        <f>_xlfn.XLOOKUP(FV$1,generator!$B$2:$B$295,generator!$K$2:$K$295,"ARGH")</f>
        <v>0</v>
      </c>
      <c r="FW12" s="3">
        <f>_xlfn.XLOOKUP(FW$1,generator!$B$2:$B$295,generator!$K$2:$K$295,"ARGH")</f>
        <v>0</v>
      </c>
      <c r="FX12" s="3">
        <f>_xlfn.XLOOKUP(FX$1,generator!$B$2:$B$295,generator!$K$2:$K$295,"ARGH")</f>
        <v>0</v>
      </c>
      <c r="FY12" s="3">
        <f>_xlfn.XLOOKUP(FY$1,generator!$B$2:$B$295,generator!$K$2:$K$295,"ARGH")</f>
        <v>0</v>
      </c>
      <c r="FZ12" s="3">
        <f>_xlfn.XLOOKUP(FZ$1,generator!$B$2:$B$295,generator!$K$2:$K$295,"ARGH")</f>
        <v>0</v>
      </c>
      <c r="GA12" s="3">
        <f>_xlfn.XLOOKUP(GA$1,generator!$B$2:$B$295,generator!$K$2:$K$295,"ARGH")</f>
        <v>0</v>
      </c>
      <c r="GB12" s="3">
        <f>_xlfn.XLOOKUP(GB$1,generator!$B$2:$B$295,generator!$K$2:$K$295,"ARGH")</f>
        <v>0</v>
      </c>
      <c r="GC12" s="3">
        <f>_xlfn.XLOOKUP(GC$1,generator!$B$2:$B$295,generator!$K$2:$K$295,"ARGH")</f>
        <v>0</v>
      </c>
      <c r="GD12" s="3">
        <f>_xlfn.XLOOKUP(GD$1,generator!$B$2:$B$295,generator!$K$2:$K$295,"ARGH")</f>
        <v>0</v>
      </c>
      <c r="GE12" s="3">
        <f>_xlfn.XLOOKUP(GE$1,generator!$B$2:$B$295,generator!$K$2:$K$295,"ARGH")</f>
        <v>0</v>
      </c>
      <c r="GF12" s="3">
        <f>_xlfn.XLOOKUP(GF$1,generator!$B$2:$B$295,generator!$K$2:$K$295,"ARGH")</f>
        <v>0</v>
      </c>
      <c r="GG12" s="3">
        <f>_xlfn.XLOOKUP(GG$1,generator!$B$2:$B$295,generator!$K$2:$K$295,"ARGH")</f>
        <v>0</v>
      </c>
      <c r="GH12" s="3">
        <f>_xlfn.XLOOKUP(GH$1,generator!$B$2:$B$295,generator!$K$2:$K$295,"ARGH")</f>
        <v>0</v>
      </c>
      <c r="GI12" s="3">
        <f>_xlfn.XLOOKUP(GI$1,generator!$B$2:$B$295,generator!$K$2:$K$295,"ARGH")</f>
        <v>0</v>
      </c>
      <c r="GJ12" s="3">
        <f>_xlfn.XLOOKUP(GJ$1,generator!$B$2:$B$295,generator!$K$2:$K$295,"ARGH")</f>
        <v>0</v>
      </c>
      <c r="GK12" s="3">
        <f>_xlfn.XLOOKUP(GK$1,generator!$B$2:$B$295,generator!$K$2:$K$295,"ARGH")</f>
        <v>0</v>
      </c>
      <c r="GL12" s="3">
        <f>_xlfn.XLOOKUP(GL$1,generator!$B$2:$B$295,generator!$K$2:$K$295,"ARGH")</f>
        <v>0</v>
      </c>
      <c r="GM12" s="3">
        <f>_xlfn.XLOOKUP(GM$1,generator!$B$2:$B$295,generator!$K$2:$K$295,"ARGH")</f>
        <v>0</v>
      </c>
      <c r="GN12" s="3">
        <f>_xlfn.XLOOKUP(GN$1,generator!$B$2:$B$295,generator!$K$2:$K$295,"ARGH")</f>
        <v>0</v>
      </c>
      <c r="GO12" s="3">
        <f>_xlfn.XLOOKUP(GO$1,generator!$B$2:$B$295,generator!$K$2:$K$295,"ARGH")</f>
        <v>0</v>
      </c>
      <c r="GP12" s="3">
        <f>_xlfn.XLOOKUP(GP$1,generator!$B$2:$B$295,generator!$K$2:$K$295,"ARGH")</f>
        <v>0</v>
      </c>
      <c r="GQ12" s="3">
        <f>_xlfn.XLOOKUP(GQ$1,generator!$B$2:$B$295,generator!$K$2:$K$295,"ARGH")</f>
        <v>0</v>
      </c>
      <c r="GR12" s="3">
        <f>_xlfn.XLOOKUP(GR$1,generator!$B$2:$B$295,generator!$K$2:$K$295,"ARGH")</f>
        <v>0</v>
      </c>
      <c r="GS12" s="3">
        <f>_xlfn.XLOOKUP(GS$1,generator!$B$2:$B$295,generator!$K$2:$K$295,"ARGH")</f>
        <v>0</v>
      </c>
      <c r="GT12" s="3">
        <f>_xlfn.XLOOKUP(GT$1,generator!$B$2:$B$295,generator!$K$2:$K$295,"ARGH")</f>
        <v>0</v>
      </c>
      <c r="GU12" s="3">
        <f>_xlfn.XLOOKUP(GU$1,generator!$B$2:$B$295,generator!$K$2:$K$295,"ARGH")</f>
        <v>0</v>
      </c>
      <c r="GV12" s="3">
        <f>_xlfn.XLOOKUP(GV$1,generator!$B$2:$B$295,generator!$K$2:$K$295,"ARGH")</f>
        <v>0</v>
      </c>
      <c r="GW12" s="3">
        <f>_xlfn.XLOOKUP(GW$1,generator!$B$2:$B$295,generator!$K$2:$K$295,"ARGH")</f>
        <v>0</v>
      </c>
      <c r="GX12" s="3">
        <f>_xlfn.XLOOKUP(GX$1,generator!$B$2:$B$295,generator!$K$2:$K$295,"ARGH")</f>
        <v>0</v>
      </c>
      <c r="GY12" s="3">
        <f>_xlfn.XLOOKUP(GY$1,generator!$B$2:$B$295,generator!$K$2:$K$295,"ARGH")</f>
        <v>0</v>
      </c>
      <c r="GZ12" s="3">
        <f>_xlfn.XLOOKUP(GZ$1,generator!$B$2:$B$295,generator!$K$2:$K$295,"ARGH")</f>
        <v>0</v>
      </c>
      <c r="HA12" s="3">
        <f>_xlfn.XLOOKUP(HA$1,generator!$B$2:$B$295,generator!$K$2:$K$295,"ARGH")</f>
        <v>0</v>
      </c>
      <c r="HB12" s="3">
        <f>_xlfn.XLOOKUP(HB$1,generator!$B$2:$B$295,generator!$K$2:$K$295,"ARGH")</f>
        <v>0</v>
      </c>
      <c r="HC12" s="3">
        <f>_xlfn.XLOOKUP(HC$1,generator!$B$2:$B$295,generator!$K$2:$K$295,"ARGH")</f>
        <v>0</v>
      </c>
      <c r="HD12" s="3">
        <f>_xlfn.XLOOKUP(HD$1,generator!$B$2:$B$295,generator!$K$2:$K$295,"ARGH")</f>
        <v>0</v>
      </c>
      <c r="HE12" s="3">
        <f>_xlfn.XLOOKUP(HE$1,generator!$B$2:$B$295,generator!$K$2:$K$295,"ARGH")</f>
        <v>12.74</v>
      </c>
      <c r="HF12" s="3">
        <f>_xlfn.XLOOKUP(HF$1,generator!$B$2:$B$295,generator!$K$2:$K$295,"ARGH")</f>
        <v>99</v>
      </c>
      <c r="HG12" s="3">
        <f>_xlfn.XLOOKUP(HG$1,generator!$B$2:$B$295,generator!$K$2:$K$295,"ARGH")</f>
        <v>99</v>
      </c>
      <c r="HH12" s="3">
        <f>_xlfn.XLOOKUP(HH$1,generator!$B$2:$B$295,generator!$K$2:$K$295,"ARGH")</f>
        <v>99</v>
      </c>
      <c r="HI12" s="3">
        <f>_xlfn.XLOOKUP(HI$1,generator!$B$2:$B$295,generator!$K$2:$K$295,"ARGH")</f>
        <v>8</v>
      </c>
      <c r="HJ12" s="3">
        <f>_xlfn.XLOOKUP(HJ$1,generator!$B$2:$B$295,generator!$K$2:$K$295,"ARGH")</f>
        <v>8</v>
      </c>
      <c r="HK12" s="3">
        <f>_xlfn.XLOOKUP(HK$1,generator!$B$2:$B$295,generator!$K$2:$K$295,"ARGH")</f>
        <v>8</v>
      </c>
      <c r="HL12" s="3">
        <f>_xlfn.XLOOKUP(HL$1,generator!$B$2:$B$295,generator!$K$2:$K$295,"ARGH")</f>
        <v>20</v>
      </c>
      <c r="HM12" s="3">
        <f>_xlfn.XLOOKUP(HM$1,generator!$B$2:$B$295,generator!$K$2:$K$295,"ARGH")</f>
        <v>20</v>
      </c>
      <c r="HN12" s="3">
        <f>_xlfn.XLOOKUP(HN$1,generator!$B$2:$B$295,generator!$K$2:$K$295,"ARGH")</f>
        <v>5</v>
      </c>
      <c r="HO12" s="3">
        <f>_xlfn.XLOOKUP(HO$1,generator!$B$2:$B$295,generator!$K$2:$K$295,"ARGH")</f>
        <v>5</v>
      </c>
      <c r="HP12" s="3">
        <f>_xlfn.XLOOKUP(HP$1,generator!$B$2:$B$295,generator!$K$2:$K$295,"ARGH")</f>
        <v>0.2</v>
      </c>
      <c r="HQ12" s="3">
        <f>_xlfn.XLOOKUP(HQ$1,generator!$B$2:$B$295,generator!$K$2:$K$295,"ARGH")</f>
        <v>5</v>
      </c>
      <c r="HR12" s="3">
        <f>_xlfn.XLOOKUP(HR$1,generator!$B$2:$B$295,generator!$K$2:$K$295,"ARGH")</f>
        <v>5</v>
      </c>
      <c r="HS12" s="3">
        <f>_xlfn.XLOOKUP(HS$1,generator!$B$2:$B$295,generator!$K$2:$K$295,"ARGH")</f>
        <v>12.82</v>
      </c>
      <c r="HT12" s="3">
        <f>_xlfn.XLOOKUP(HT$1,generator!$B$2:$B$295,generator!$K$2:$K$295,"ARGH")</f>
        <v>12.82</v>
      </c>
      <c r="HU12" s="3">
        <f>_xlfn.XLOOKUP(HU$1,generator!$B$2:$B$295,generator!$K$2:$K$295,"ARGH")</f>
        <v>25</v>
      </c>
      <c r="HV12" s="3">
        <f>_xlfn.XLOOKUP(HV$1,generator!$B$2:$B$295,generator!$K$2:$K$295,"ARGH")</f>
        <v>16</v>
      </c>
      <c r="HW12" s="3">
        <f>_xlfn.XLOOKUP(HW$1,generator!$B$2:$B$295,generator!$K$2:$K$295,"ARGH")</f>
        <v>5</v>
      </c>
      <c r="HX12" s="3">
        <f>_xlfn.XLOOKUP(HX$1,generator!$B$2:$B$295,generator!$K$2:$K$295,"ARGH")</f>
        <v>5</v>
      </c>
      <c r="HY12" s="3">
        <f>_xlfn.XLOOKUP(HY$1,generator!$B$2:$B$295,generator!$K$2:$K$295,"ARGH")</f>
        <v>63</v>
      </c>
      <c r="HZ12" s="3">
        <f>_xlfn.XLOOKUP(HZ$1,generator!$B$2:$B$295,generator!$K$2:$K$295,"ARGH")</f>
        <v>18</v>
      </c>
      <c r="IA12" s="3">
        <f>_xlfn.XLOOKUP(IA$1,generator!$B$2:$B$295,generator!$K$2:$K$295,"ARGH")</f>
        <v>121</v>
      </c>
      <c r="IB12" s="3">
        <f>_xlfn.XLOOKUP(IB$1,generator!$B$2:$B$295,generator!$K$2:$K$295,"ARGH")</f>
        <v>120</v>
      </c>
      <c r="IC12" s="3">
        <f>_xlfn.XLOOKUP(IC$1,generator!$B$2:$B$295,generator!$K$2:$K$295,"ARGH")</f>
        <v>0</v>
      </c>
      <c r="ID12" s="3">
        <f>_xlfn.XLOOKUP(ID$1,generator!$B$2:$B$295,generator!$K$2:$K$295,"ARGH")</f>
        <v>17</v>
      </c>
      <c r="IE12" s="3">
        <f>_xlfn.XLOOKUP(IE$1,generator!$B$2:$B$295,generator!$K$2:$K$295,"ARGH")</f>
        <v>194</v>
      </c>
      <c r="IF12" s="3">
        <f>_xlfn.XLOOKUP(IF$1,generator!$B$2:$B$295,generator!$K$2:$K$295,"ARGH")</f>
        <v>11.9</v>
      </c>
      <c r="IG12" s="3">
        <f>_xlfn.XLOOKUP(IG$1,generator!$B$2:$B$295,generator!$K$2:$K$295,"ARGH")</f>
        <v>11.9</v>
      </c>
      <c r="IH12" s="3">
        <f>_xlfn.XLOOKUP(IH$1,generator!$B$2:$B$295,generator!$K$2:$K$295,"ARGH")</f>
        <v>11.9</v>
      </c>
      <c r="II12" s="3">
        <f>_xlfn.XLOOKUP(II$1,generator!$B$2:$B$295,generator!$K$2:$K$295,"ARGH")</f>
        <v>11.9</v>
      </c>
      <c r="IJ12" s="3">
        <f>_xlfn.XLOOKUP(IJ$1,generator!$B$2:$B$295,generator!$K$2:$K$295,"ARGH")</f>
        <v>0</v>
      </c>
      <c r="IK12" s="3">
        <f>_xlfn.XLOOKUP(IK$1,generator!$B$2:$B$295,generator!$K$2:$K$295,"ARGH")</f>
        <v>3</v>
      </c>
      <c r="IL12" s="3">
        <f>_xlfn.XLOOKUP(IL$1,generator!$B$2:$B$295,generator!$K$2:$K$295,"ARGH")</f>
        <v>5</v>
      </c>
      <c r="IM12" s="3">
        <f>_xlfn.XLOOKUP(IM$1,generator!$B$2:$B$295,generator!$K$2:$K$295,"ARGH")</f>
        <v>5</v>
      </c>
      <c r="IN12" s="3">
        <f>_xlfn.XLOOKUP(IN$1,generator!$B$2:$B$295,generator!$K$2:$K$295,"ARGH")</f>
        <v>4</v>
      </c>
      <c r="IO12" s="3">
        <f>_xlfn.XLOOKUP(IO$1,generator!$B$2:$B$295,generator!$K$2:$K$295,"ARGH")</f>
        <v>4</v>
      </c>
      <c r="IP12" s="3">
        <f>_xlfn.XLOOKUP(IP$1,generator!$B$2:$B$295,generator!$K$2:$K$295,"ARGH")</f>
        <v>3</v>
      </c>
      <c r="IQ12" s="3">
        <f>_xlfn.XLOOKUP(IQ$1,generator!$B$2:$B$295,generator!$K$2:$K$295,"ARGH")</f>
        <v>1</v>
      </c>
      <c r="IR12" s="3">
        <f>_xlfn.XLOOKUP(IR$1,generator!$B$2:$B$295,generator!$K$2:$K$295,"ARGH")</f>
        <v>3</v>
      </c>
      <c r="IS12" s="3">
        <f>_xlfn.XLOOKUP(IS$1,generator!$B$2:$B$295,generator!$K$2:$K$295,"ARGH")</f>
        <v>3</v>
      </c>
      <c r="IT12" s="3">
        <f>_xlfn.XLOOKUP(IT$1,generator!$B$2:$B$295,generator!$K$2:$K$295,"ARGH")</f>
        <v>0</v>
      </c>
      <c r="IU12" s="3">
        <f>_xlfn.XLOOKUP(IU$1,generator!$B$2:$B$295,generator!$K$2:$K$295,"ARGH")</f>
        <v>3.99</v>
      </c>
      <c r="IV12" s="3">
        <f>_xlfn.XLOOKUP(IV$1,generator!$B$2:$B$295,generator!$K$2:$K$295,"ARGH")</f>
        <v>0.2</v>
      </c>
      <c r="IW12" s="3">
        <f>_xlfn.XLOOKUP(IW$1,generator!$B$2:$B$295,generator!$K$2:$K$295,"ARGH")</f>
        <v>15</v>
      </c>
      <c r="IX12" s="3">
        <f>_xlfn.XLOOKUP(IX$1,generator!$B$2:$B$295,generator!$K$2:$K$295,"ARGH")</f>
        <v>15</v>
      </c>
      <c r="IY12" s="3">
        <f>_xlfn.XLOOKUP(IY$1,generator!$B$2:$B$295,generator!$K$2:$K$295,"ARGH")</f>
        <v>15</v>
      </c>
      <c r="IZ12" s="3">
        <f>_xlfn.XLOOKUP(IZ$1,generator!$B$2:$B$295,generator!$K$2:$K$295,"ARGH")</f>
        <v>120</v>
      </c>
      <c r="JA12" s="3">
        <f>_xlfn.XLOOKUP(JA$1,generator!$B$2:$B$295,generator!$K$2:$K$295,"ARGH")</f>
        <v>40</v>
      </c>
      <c r="JB12" s="3">
        <f>_xlfn.XLOOKUP(JB$1,generator!$B$2:$B$295,generator!$K$2:$K$295,"ARGH")</f>
        <v>40</v>
      </c>
      <c r="JC12" s="3">
        <f>_xlfn.XLOOKUP(JC$1,generator!$B$2:$B$295,generator!$K$2:$K$295,"ARGH")</f>
        <v>113</v>
      </c>
      <c r="JD12" s="3">
        <f>_xlfn.XLOOKUP(JD$1,generator!$B$2:$B$295,generator!$K$2:$K$295,"ARGH")</f>
        <v>113</v>
      </c>
      <c r="JE12" s="3">
        <f>_xlfn.XLOOKUP(JE$1,generator!$B$2:$B$295,generator!$K$2:$K$295,"ARGH")</f>
        <v>211</v>
      </c>
      <c r="JF12" s="3">
        <f>_xlfn.XLOOKUP(JF$1,generator!$B$2:$B$295,generator!$K$2:$K$295,"ARGH")</f>
        <v>22.5</v>
      </c>
      <c r="JG12" s="3">
        <f>_xlfn.XLOOKUP(JG$1,generator!$B$2:$B$295,generator!$K$2:$K$295,"ARGH")</f>
        <v>1</v>
      </c>
      <c r="JH12" s="3">
        <f>_xlfn.XLOOKUP(JH$1,generator!$B$2:$B$295,generator!$K$2:$K$295,"ARGH")</f>
        <v>160</v>
      </c>
      <c r="JI12" s="3">
        <f>_xlfn.XLOOKUP(JI$1,generator!$B$2:$B$295,generator!$K$2:$K$295,"ARGH")</f>
        <v>165</v>
      </c>
      <c r="JJ12" s="3">
        <f>_xlfn.XLOOKUP(JJ$1,generator!$B$2:$B$295,generator!$K$2:$K$295,"ARGH")</f>
        <v>4.5999999999999996</v>
      </c>
      <c r="JK12" s="3">
        <f>_xlfn.XLOOKUP(JK$1,generator!$B$2:$B$295,generator!$K$2:$K$295,"ARGH")</f>
        <v>4.5999999999999996</v>
      </c>
      <c r="JL12" s="3">
        <f>_xlfn.XLOOKUP(JL$1,generator!$B$2:$B$295,generator!$K$2:$K$295,"ARGH")</f>
        <v>4.5999999999999996</v>
      </c>
      <c r="JM12" s="3">
        <f>_xlfn.XLOOKUP(JM$1,generator!$B$2:$B$295,generator!$K$2:$K$295,"ARGH")</f>
        <v>4.5999999999999996</v>
      </c>
      <c r="JN12" s="3">
        <f>_xlfn.XLOOKUP(JN$1,generator!$B$2:$B$295,generator!$K$2:$K$295,"ARGH")</f>
        <v>4.5999999999999996</v>
      </c>
      <c r="JO12" s="3">
        <f>_xlfn.XLOOKUP(JO$1,generator!$B$2:$B$295,generator!$K$2:$K$295,"ARGH")</f>
        <v>4.5999999999999996</v>
      </c>
      <c r="JP12" s="3">
        <f>_xlfn.XLOOKUP(JP$1,generator!$B$2:$B$295,generator!$K$2:$K$295,"ARGH")</f>
        <v>110</v>
      </c>
      <c r="JQ12" s="3">
        <f>_xlfn.XLOOKUP(JQ$1,generator!$B$2:$B$295,generator!$K$2:$K$295,"ARGH")</f>
        <v>22.7</v>
      </c>
      <c r="JR12" s="3">
        <f>_xlfn.XLOOKUP(JR$1,generator!$B$2:$B$295,generator!$K$2:$K$295,"ARGH")</f>
        <v>147</v>
      </c>
      <c r="JS12" s="3">
        <f>_xlfn.XLOOKUP(JS$1,generator!$B$2:$B$295,generator!$K$2:$K$295,"ARGH")</f>
        <v>147</v>
      </c>
      <c r="JT12" s="3">
        <f>_xlfn.XLOOKUP(JT$1,generator!$B$2:$B$295,generator!$K$2:$K$295,"ARGH")</f>
        <v>22.7</v>
      </c>
      <c r="JU12" s="3">
        <f>_xlfn.XLOOKUP(JU$1,generator!$B$2:$B$295,generator!$K$2:$K$295,"ARGH")</f>
        <v>21.5</v>
      </c>
      <c r="JV12" s="3">
        <f>_xlfn.XLOOKUP(JV$1,generator!$B$2:$B$295,generator!$K$2:$K$295,"ARGH")</f>
        <v>120</v>
      </c>
      <c r="JW12" s="3">
        <f>_xlfn.XLOOKUP(JW$1,generator!$B$2:$B$295,generator!$K$2:$K$295,"ARGH")</f>
        <v>120</v>
      </c>
      <c r="JX12" s="3">
        <f>_xlfn.XLOOKUP(JX$1,generator!$B$2:$B$295,generator!$K$2:$K$295,"ARGH")</f>
        <v>1</v>
      </c>
      <c r="JY12" s="3">
        <f>_xlfn.XLOOKUP(JY$1,generator!$B$2:$B$295,generator!$K$2:$K$295,"ARGH")</f>
        <v>41.15</v>
      </c>
      <c r="JZ12" s="3">
        <f>_xlfn.XLOOKUP(JZ$1,generator!$B$2:$B$295,generator!$K$2:$K$295,"ARGH")</f>
        <v>5</v>
      </c>
      <c r="KA12" s="3">
        <f>_xlfn.XLOOKUP(KA$1,generator!$B$2:$B$295,generator!$K$2:$K$295,"ARGH")</f>
        <v>5</v>
      </c>
      <c r="KB12" s="3">
        <f>_xlfn.XLOOKUP(KB$1,generator!$B$2:$B$295,generator!$K$2:$K$295,"ARGH")</f>
        <v>5</v>
      </c>
      <c r="KC12" s="3">
        <f>_xlfn.XLOOKUP(KC$1,generator!$B$2:$B$295,generator!$K$2:$K$295,"ARGH")</f>
        <v>5</v>
      </c>
    </row>
    <row r="13" spans="1:289" x14ac:dyDescent="0.3">
      <c r="A13" s="4" t="s">
        <v>3008</v>
      </c>
      <c r="B13" s="31">
        <v>0</v>
      </c>
      <c r="C13" s="31">
        <v>512</v>
      </c>
      <c r="D13" s="31">
        <v>243</v>
      </c>
      <c r="E13" s="3">
        <f>_xlfn.XLOOKUP(E$1,generator!$B$2:$B$295,generator!$K$2:$K$295,"ARGH")</f>
        <v>0</v>
      </c>
      <c r="F13" s="3">
        <f>_xlfn.XLOOKUP(F$1,generator!$B$2:$B$295,generator!$K$2:$K$295,"ARGH")</f>
        <v>0</v>
      </c>
      <c r="G13" s="3">
        <f>_xlfn.XLOOKUP(G$1,generator!$B$2:$B$295,generator!$K$2:$K$295,"ARGH")</f>
        <v>0</v>
      </c>
      <c r="H13" s="3">
        <f>_xlfn.XLOOKUP(H$1,generator!$B$2:$B$295,generator!$K$2:$K$295,"ARGH")</f>
        <v>0</v>
      </c>
      <c r="I13" s="3">
        <f>_xlfn.XLOOKUP(I$1,generator!$B$2:$B$295,generator!$K$2:$K$295,"ARGH")</f>
        <v>0</v>
      </c>
      <c r="J13" s="3">
        <f>_xlfn.XLOOKUP(J$1,generator!$B$2:$B$295,generator!$K$2:$K$295,"ARGH")</f>
        <v>0</v>
      </c>
      <c r="K13" s="3">
        <f>_xlfn.XLOOKUP(K$1,generator!$B$2:$B$295,generator!$K$2:$K$295,"ARGH")</f>
        <v>0</v>
      </c>
      <c r="L13" s="3">
        <f>_xlfn.XLOOKUP(L$1,generator!$B$2:$B$295,generator!$K$2:$K$295,"ARGH")</f>
        <v>0</v>
      </c>
      <c r="M13" s="3">
        <f>_xlfn.XLOOKUP(M$1,generator!$B$2:$B$295,generator!$K$2:$K$295,"ARGH")</f>
        <v>0</v>
      </c>
      <c r="N13" s="3">
        <f>_xlfn.XLOOKUP(N$1,generator!$B$2:$B$295,generator!$K$2:$K$295,"ARGH")</f>
        <v>0</v>
      </c>
      <c r="O13" s="3">
        <f>_xlfn.XLOOKUP(O$1,generator!$B$2:$B$295,generator!$K$2:$K$295,"ARGH")</f>
        <v>0</v>
      </c>
      <c r="P13" s="3">
        <f>_xlfn.XLOOKUP(P$1,generator!$B$2:$B$295,generator!$K$2:$K$295,"ARGH")</f>
        <v>0</v>
      </c>
      <c r="Q13" s="3">
        <f>_xlfn.XLOOKUP(Q$1,generator!$B$2:$B$295,generator!$K$2:$K$295,"ARGH")</f>
        <v>0</v>
      </c>
      <c r="R13" s="3">
        <f>_xlfn.XLOOKUP(R$1,generator!$B$2:$B$295,generator!$K$2:$K$295,"ARGH")</f>
        <v>0</v>
      </c>
      <c r="S13" s="3">
        <f>_xlfn.XLOOKUP(S$1,generator!$B$2:$B$295,generator!$K$2:$K$295,"ARGH")</f>
        <v>0</v>
      </c>
      <c r="T13" s="3">
        <f>_xlfn.XLOOKUP(T$1,generator!$B$2:$B$295,generator!$K$2:$K$295,"ARGH")</f>
        <v>0</v>
      </c>
      <c r="U13" s="3">
        <f>_xlfn.XLOOKUP(U$1,generator!$B$2:$B$295,generator!$K$2:$K$295,"ARGH")</f>
        <v>0</v>
      </c>
      <c r="V13" s="3">
        <f>_xlfn.XLOOKUP(V$1,generator!$B$2:$B$295,generator!$K$2:$K$295,"ARGH")</f>
        <v>0</v>
      </c>
      <c r="W13" s="3">
        <f>_xlfn.XLOOKUP(W$1,generator!$B$2:$B$295,generator!$K$2:$K$295,"ARGH")</f>
        <v>0</v>
      </c>
      <c r="X13" s="3">
        <f>_xlfn.XLOOKUP(X$1,generator!$B$2:$B$295,generator!$K$2:$K$295,"ARGH")</f>
        <v>0</v>
      </c>
      <c r="Y13" s="3">
        <f>_xlfn.XLOOKUP(Y$1,generator!$B$2:$B$295,generator!$K$2:$K$295,"ARGH")</f>
        <v>0</v>
      </c>
      <c r="Z13" s="3">
        <f>_xlfn.XLOOKUP(Z$1,generator!$B$2:$B$295,generator!$K$2:$K$295,"ARGH")</f>
        <v>0</v>
      </c>
      <c r="AA13" s="3">
        <f>_xlfn.XLOOKUP(AA$1,generator!$B$2:$B$295,generator!$K$2:$K$295,"ARGH")</f>
        <v>0</v>
      </c>
      <c r="AB13" s="3">
        <f>_xlfn.XLOOKUP(AB$1,generator!$B$2:$B$295,generator!$K$2:$K$295,"ARGH")</f>
        <v>0</v>
      </c>
      <c r="AC13" s="3">
        <f>_xlfn.XLOOKUP(AC$1,generator!$B$2:$B$295,generator!$K$2:$K$295,"ARGH")</f>
        <v>0</v>
      </c>
      <c r="AD13" s="3">
        <f>_xlfn.XLOOKUP(AD$1,generator!$B$2:$B$295,generator!$K$2:$K$295,"ARGH")</f>
        <v>0</v>
      </c>
      <c r="AE13" s="3">
        <f>_xlfn.XLOOKUP(AE$1,generator!$B$2:$B$295,generator!$K$2:$K$295,"ARGH")</f>
        <v>0</v>
      </c>
      <c r="AF13" s="3">
        <f>_xlfn.XLOOKUP(AF$1,generator!$B$2:$B$295,generator!$K$2:$K$295,"ARGH")</f>
        <v>0</v>
      </c>
      <c r="AG13" s="3">
        <f>_xlfn.XLOOKUP(AG$1,generator!$B$2:$B$295,generator!$K$2:$K$295,"ARGH")</f>
        <v>0</v>
      </c>
      <c r="AH13" s="3">
        <f>_xlfn.XLOOKUP(AH$1,generator!$B$2:$B$295,generator!$K$2:$K$295,"ARGH")</f>
        <v>0</v>
      </c>
      <c r="AI13" s="3">
        <f>_xlfn.XLOOKUP(AI$1,generator!$B$2:$B$295,generator!$K$2:$K$295,"ARGH")</f>
        <v>0</v>
      </c>
      <c r="AJ13" s="3">
        <f>_xlfn.XLOOKUP(AJ$1,generator!$B$2:$B$295,generator!$K$2:$K$295,"ARGH")</f>
        <v>0</v>
      </c>
      <c r="AK13" s="3">
        <f>_xlfn.XLOOKUP(AK$1,generator!$B$2:$B$295,generator!$K$2:$K$295,"ARGH")</f>
        <v>0</v>
      </c>
      <c r="AL13" s="3">
        <f>_xlfn.XLOOKUP(AL$1,generator!$B$2:$B$295,generator!$K$2:$K$295,"ARGH")</f>
        <v>0</v>
      </c>
      <c r="AM13" s="3">
        <f>_xlfn.XLOOKUP(AM$1,generator!$B$2:$B$295,generator!$K$2:$K$295,"ARGH")</f>
        <v>0</v>
      </c>
      <c r="AN13" s="3">
        <f>_xlfn.XLOOKUP(AN$1,generator!$B$2:$B$295,generator!$K$2:$K$295,"ARGH")</f>
        <v>0</v>
      </c>
      <c r="AO13" s="3">
        <f>_xlfn.XLOOKUP(AO$1,generator!$B$2:$B$295,generator!$K$2:$K$295,"ARGH")</f>
        <v>0</v>
      </c>
      <c r="AP13" s="3">
        <f>_xlfn.XLOOKUP(AP$1,generator!$B$2:$B$295,generator!$K$2:$K$295,"ARGH")</f>
        <v>0</v>
      </c>
      <c r="AQ13" s="3">
        <f>_xlfn.XLOOKUP(AQ$1,generator!$B$2:$B$295,generator!$K$2:$K$295,"ARGH")</f>
        <v>0</v>
      </c>
      <c r="AR13" s="3">
        <f>_xlfn.XLOOKUP(AR$1,generator!$B$2:$B$295,generator!$K$2:$K$295,"ARGH")</f>
        <v>0</v>
      </c>
      <c r="AS13" s="3">
        <f>_xlfn.XLOOKUP(AS$1,generator!$B$2:$B$295,generator!$K$2:$K$295,"ARGH")</f>
        <v>0</v>
      </c>
      <c r="AT13" s="3">
        <f>_xlfn.XLOOKUP(AT$1,generator!$B$2:$B$295,generator!$K$2:$K$295,"ARGH")</f>
        <v>0</v>
      </c>
      <c r="AU13" s="3">
        <f>_xlfn.XLOOKUP(AU$1,generator!$B$2:$B$295,generator!$K$2:$K$295,"ARGH")</f>
        <v>0</v>
      </c>
      <c r="AV13" s="3">
        <f>_xlfn.XLOOKUP(AV$1,generator!$B$2:$B$295,generator!$K$2:$K$295,"ARGH")</f>
        <v>0</v>
      </c>
      <c r="AW13" s="3">
        <f>_xlfn.XLOOKUP(AW$1,generator!$B$2:$B$295,generator!$K$2:$K$295,"ARGH")</f>
        <v>0</v>
      </c>
      <c r="AX13" s="3">
        <f>_xlfn.XLOOKUP(AX$1,generator!$B$2:$B$295,generator!$K$2:$K$295,"ARGH")</f>
        <v>0</v>
      </c>
      <c r="AY13" s="3">
        <f>_xlfn.XLOOKUP(AY$1,generator!$B$2:$B$295,generator!$K$2:$K$295,"ARGH")</f>
        <v>0</v>
      </c>
      <c r="AZ13" s="3">
        <f>_xlfn.XLOOKUP(AZ$1,generator!$B$2:$B$295,generator!$K$2:$K$295,"ARGH")</f>
        <v>0</v>
      </c>
      <c r="BA13" s="3">
        <f>_xlfn.XLOOKUP(BA$1,generator!$B$2:$B$295,generator!$K$2:$K$295,"ARGH")</f>
        <v>0</v>
      </c>
      <c r="BB13" s="3">
        <f>_xlfn.XLOOKUP(BB$1,generator!$B$2:$B$295,generator!$K$2:$K$295,"ARGH")</f>
        <v>0</v>
      </c>
      <c r="BC13" s="3">
        <f>_xlfn.XLOOKUP(BC$1,generator!$B$2:$B$295,generator!$K$2:$K$295,"ARGH")</f>
        <v>0</v>
      </c>
      <c r="BD13" s="3">
        <f>_xlfn.XLOOKUP(BD$1,generator!$B$2:$B$295,generator!$K$2:$K$295,"ARGH")</f>
        <v>0</v>
      </c>
      <c r="BE13" s="3">
        <f>_xlfn.XLOOKUP(BE$1,generator!$B$2:$B$295,generator!$K$2:$K$295,"ARGH")</f>
        <v>0</v>
      </c>
      <c r="BF13" s="3">
        <f>_xlfn.XLOOKUP(BF$1,generator!$B$2:$B$295,generator!$K$2:$K$295,"ARGH")</f>
        <v>0</v>
      </c>
      <c r="BG13" s="3">
        <f>_xlfn.XLOOKUP(BG$1,generator!$B$2:$B$295,generator!$K$2:$K$295,"ARGH")</f>
        <v>0</v>
      </c>
      <c r="BH13" s="3">
        <f>_xlfn.XLOOKUP(BH$1,generator!$B$2:$B$295,generator!$K$2:$K$295,"ARGH")</f>
        <v>0</v>
      </c>
      <c r="BI13" s="3">
        <f>_xlfn.XLOOKUP(BI$1,generator!$B$2:$B$295,generator!$K$2:$K$295,"ARGH")</f>
        <v>0</v>
      </c>
      <c r="BJ13" s="3">
        <f>_xlfn.XLOOKUP(BJ$1,generator!$B$2:$B$295,generator!$K$2:$K$295,"ARGH")</f>
        <v>0</v>
      </c>
      <c r="BK13" s="3">
        <f>_xlfn.XLOOKUP(BK$1,generator!$B$2:$B$295,generator!$K$2:$K$295,"ARGH")</f>
        <v>0</v>
      </c>
      <c r="BL13" s="3">
        <f>_xlfn.XLOOKUP(BL$1,generator!$B$2:$B$295,generator!$K$2:$K$295,"ARGH")</f>
        <v>0</v>
      </c>
      <c r="BM13" s="3">
        <f>_xlfn.XLOOKUP(BM$1,generator!$B$2:$B$295,generator!$K$2:$K$295,"ARGH")</f>
        <v>0</v>
      </c>
      <c r="BN13" s="3">
        <f>_xlfn.XLOOKUP(BN$1,generator!$B$2:$B$295,generator!$K$2:$K$295,"ARGH")</f>
        <v>0</v>
      </c>
      <c r="BO13" s="3">
        <f>_xlfn.XLOOKUP(BO$1,generator!$B$2:$B$295,generator!$K$2:$K$295,"ARGH")</f>
        <v>0</v>
      </c>
      <c r="BP13" s="3">
        <f>_xlfn.XLOOKUP(BP$1,generator!$B$2:$B$295,generator!$K$2:$K$295,"ARGH")</f>
        <v>0</v>
      </c>
      <c r="BQ13" s="3">
        <f>_xlfn.XLOOKUP(BQ$1,generator!$B$2:$B$295,generator!$K$2:$K$295,"ARGH")</f>
        <v>0</v>
      </c>
      <c r="BR13" s="3">
        <f>_xlfn.XLOOKUP(BR$1,generator!$B$2:$B$295,generator!$K$2:$K$295,"ARGH")</f>
        <v>0</v>
      </c>
      <c r="BS13" s="3">
        <f>_xlfn.XLOOKUP(BS$1,generator!$B$2:$B$295,generator!$K$2:$K$295,"ARGH")</f>
        <v>0</v>
      </c>
      <c r="BT13" s="3">
        <f>_xlfn.XLOOKUP(BT$1,generator!$B$2:$B$295,generator!$K$2:$K$295,"ARGH")</f>
        <v>0</v>
      </c>
      <c r="BU13" s="3">
        <f>_xlfn.XLOOKUP(BU$1,generator!$B$2:$B$295,generator!$K$2:$K$295,"ARGH")</f>
        <v>0</v>
      </c>
      <c r="BV13" s="3">
        <f>_xlfn.XLOOKUP(BV$1,generator!$B$2:$B$295,generator!$K$2:$K$295,"ARGH")</f>
        <v>0</v>
      </c>
      <c r="BW13" s="3">
        <f>_xlfn.XLOOKUP(BW$1,generator!$B$2:$B$295,generator!$K$2:$K$295,"ARGH")</f>
        <v>0</v>
      </c>
      <c r="BX13" s="3">
        <f>_xlfn.XLOOKUP(BX$1,generator!$B$2:$B$295,generator!$K$2:$K$295,"ARGH")</f>
        <v>0</v>
      </c>
      <c r="BY13" s="3">
        <f>_xlfn.XLOOKUP(BY$1,generator!$B$2:$B$295,generator!$K$2:$K$295,"ARGH")</f>
        <v>0</v>
      </c>
      <c r="BZ13" s="3">
        <f>_xlfn.XLOOKUP(BZ$1,generator!$B$2:$B$295,generator!$K$2:$K$295,"ARGH")</f>
        <v>0</v>
      </c>
      <c r="CA13" s="3">
        <f>_xlfn.XLOOKUP(CA$1,generator!$B$2:$B$295,generator!$K$2:$K$295,"ARGH")</f>
        <v>0</v>
      </c>
      <c r="CB13" s="3">
        <f>_xlfn.XLOOKUP(CB$1,generator!$B$2:$B$295,generator!$K$2:$K$295,"ARGH")</f>
        <v>0</v>
      </c>
      <c r="CC13" s="3">
        <f>_xlfn.XLOOKUP(CC$1,generator!$B$2:$B$295,generator!$K$2:$K$295,"ARGH")</f>
        <v>0</v>
      </c>
      <c r="CD13" s="3">
        <f>_xlfn.XLOOKUP(CD$1,generator!$B$2:$B$295,generator!$K$2:$K$295,"ARGH")</f>
        <v>0</v>
      </c>
      <c r="CE13" s="3">
        <f>_xlfn.XLOOKUP(CE$1,generator!$B$2:$B$295,generator!$K$2:$K$295,"ARGH")</f>
        <v>0</v>
      </c>
      <c r="CF13" s="3">
        <f>_xlfn.XLOOKUP(CF$1,generator!$B$2:$B$295,generator!$K$2:$K$295,"ARGH")</f>
        <v>0</v>
      </c>
      <c r="CG13" s="3">
        <f>_xlfn.XLOOKUP(CG$1,generator!$B$2:$B$295,generator!$K$2:$K$295,"ARGH")</f>
        <v>0</v>
      </c>
      <c r="CH13" s="3">
        <f>_xlfn.XLOOKUP(CH$1,generator!$B$2:$B$295,generator!$K$2:$K$295,"ARGH")</f>
        <v>0</v>
      </c>
      <c r="CI13" s="3">
        <f>_xlfn.XLOOKUP(CI$1,generator!$B$2:$B$295,generator!$K$2:$K$295,"ARGH")</f>
        <v>0</v>
      </c>
      <c r="CJ13" s="3">
        <f>_xlfn.XLOOKUP(CJ$1,generator!$B$2:$B$295,generator!$K$2:$K$295,"ARGH")</f>
        <v>0</v>
      </c>
      <c r="CK13" s="3">
        <f>_xlfn.XLOOKUP(CK$1,generator!$B$2:$B$295,generator!$K$2:$K$295,"ARGH")</f>
        <v>0</v>
      </c>
      <c r="CL13" s="3">
        <f>_xlfn.XLOOKUP(CL$1,generator!$B$2:$B$295,generator!$K$2:$K$295,"ARGH")</f>
        <v>0</v>
      </c>
      <c r="CM13" s="3">
        <f>_xlfn.XLOOKUP(CM$1,generator!$B$2:$B$295,generator!$K$2:$K$295,"ARGH")</f>
        <v>0</v>
      </c>
      <c r="CN13" s="3">
        <f>_xlfn.XLOOKUP(CN$1,generator!$B$2:$B$295,generator!$K$2:$K$295,"ARGH")</f>
        <v>0</v>
      </c>
      <c r="CO13" s="3">
        <f>_xlfn.XLOOKUP(CO$1,generator!$B$2:$B$295,generator!$K$2:$K$295,"ARGH")</f>
        <v>0</v>
      </c>
      <c r="CP13" s="3">
        <f>_xlfn.XLOOKUP(CP$1,generator!$B$2:$B$295,generator!$K$2:$K$295,"ARGH")</f>
        <v>0</v>
      </c>
      <c r="CQ13" s="3">
        <f>_xlfn.XLOOKUP(CQ$1,generator!$B$2:$B$295,generator!$K$2:$K$295,"ARGH")</f>
        <v>0</v>
      </c>
      <c r="CR13" s="3">
        <f>_xlfn.XLOOKUP(CR$1,generator!$B$2:$B$295,generator!$K$2:$K$295,"ARGH")</f>
        <v>0</v>
      </c>
      <c r="CS13" s="3">
        <f>_xlfn.XLOOKUP(CS$1,generator!$B$2:$B$295,generator!$K$2:$K$295,"ARGH")</f>
        <v>0</v>
      </c>
      <c r="CT13" s="3">
        <f>_xlfn.XLOOKUP(CT$1,generator!$B$2:$B$295,generator!$K$2:$K$295,"ARGH")</f>
        <v>0</v>
      </c>
      <c r="CU13" s="3">
        <f>_xlfn.XLOOKUP(CU$1,generator!$B$2:$B$295,generator!$K$2:$K$295,"ARGH")</f>
        <v>0</v>
      </c>
      <c r="CV13" s="3">
        <f>_xlfn.XLOOKUP(CV$1,generator!$B$2:$B$295,generator!$K$2:$K$295,"ARGH")</f>
        <v>0</v>
      </c>
      <c r="CW13" s="3">
        <f>_xlfn.XLOOKUP(CW$1,generator!$B$2:$B$295,generator!$K$2:$K$295,"ARGH")</f>
        <v>0</v>
      </c>
      <c r="CX13" s="3">
        <f>_xlfn.XLOOKUP(CX$1,generator!$B$2:$B$295,generator!$K$2:$K$295,"ARGH")</f>
        <v>0</v>
      </c>
      <c r="CY13" s="3">
        <f>_xlfn.XLOOKUP(CY$1,generator!$B$2:$B$295,generator!$K$2:$K$295,"ARGH")</f>
        <v>0</v>
      </c>
      <c r="CZ13" s="3">
        <f>_xlfn.XLOOKUP(CZ$1,generator!$B$2:$B$295,generator!$K$2:$K$295,"ARGH")</f>
        <v>0</v>
      </c>
      <c r="DA13" s="3">
        <f>_xlfn.XLOOKUP(DA$1,generator!$B$2:$B$295,generator!$K$2:$K$295,"ARGH")</f>
        <v>0</v>
      </c>
      <c r="DB13" s="3">
        <f>_xlfn.XLOOKUP(DB$1,generator!$B$2:$B$295,generator!$K$2:$K$295,"ARGH")</f>
        <v>0</v>
      </c>
      <c r="DC13" s="3">
        <f>_xlfn.XLOOKUP(DC$1,generator!$B$2:$B$295,generator!$K$2:$K$295,"ARGH")</f>
        <v>0</v>
      </c>
      <c r="DD13" s="3">
        <f>_xlfn.XLOOKUP(DD$1,generator!$B$2:$B$295,generator!$K$2:$K$295,"ARGH")</f>
        <v>0</v>
      </c>
      <c r="DE13" s="3">
        <f>_xlfn.XLOOKUP(DE$1,generator!$B$2:$B$295,generator!$K$2:$K$295,"ARGH")</f>
        <v>0</v>
      </c>
      <c r="DF13" s="3">
        <f>_xlfn.XLOOKUP(DF$1,generator!$B$2:$B$295,generator!$K$2:$K$295,"ARGH")</f>
        <v>0</v>
      </c>
      <c r="DG13" s="3">
        <f>_xlfn.XLOOKUP(DG$1,generator!$B$2:$B$295,generator!$K$2:$K$295,"ARGH")</f>
        <v>0</v>
      </c>
      <c r="DH13" s="3">
        <f>_xlfn.XLOOKUP(DH$1,generator!$B$2:$B$295,generator!$K$2:$K$295,"ARGH")</f>
        <v>0</v>
      </c>
      <c r="DI13" s="3">
        <f>_xlfn.XLOOKUP(DI$1,generator!$B$2:$B$295,generator!$K$2:$K$295,"ARGH")</f>
        <v>0</v>
      </c>
      <c r="DJ13" s="3">
        <f>_xlfn.XLOOKUP(DJ$1,generator!$B$2:$B$295,generator!$K$2:$K$295,"ARGH")</f>
        <v>0</v>
      </c>
      <c r="DK13" s="3">
        <f>_xlfn.XLOOKUP(DK$1,generator!$B$2:$B$295,generator!$K$2:$K$295,"ARGH")</f>
        <v>0</v>
      </c>
      <c r="DL13" s="3">
        <f>_xlfn.XLOOKUP(DL$1,generator!$B$2:$B$295,generator!$K$2:$K$295,"ARGH")</f>
        <v>0</v>
      </c>
      <c r="DM13" s="3">
        <f>_xlfn.XLOOKUP(DM$1,generator!$B$2:$B$295,generator!$K$2:$K$295,"ARGH")</f>
        <v>0</v>
      </c>
      <c r="DN13" s="3">
        <f>_xlfn.XLOOKUP(DN$1,generator!$B$2:$B$295,generator!$K$2:$K$295,"ARGH")</f>
        <v>0</v>
      </c>
      <c r="DO13" s="3">
        <f>_xlfn.XLOOKUP(DO$1,generator!$B$2:$B$295,generator!$K$2:$K$295,"ARGH")</f>
        <v>0</v>
      </c>
      <c r="DP13" s="3">
        <f>_xlfn.XLOOKUP(DP$1,generator!$B$2:$B$295,generator!$K$2:$K$295,"ARGH")</f>
        <v>0</v>
      </c>
      <c r="DQ13" s="3">
        <f>_xlfn.XLOOKUP(DQ$1,generator!$B$2:$B$295,generator!$K$2:$K$295,"ARGH")</f>
        <v>0</v>
      </c>
      <c r="DR13" s="3">
        <f>_xlfn.XLOOKUP(DR$1,generator!$B$2:$B$295,generator!$K$2:$K$295,"ARGH")</f>
        <v>0</v>
      </c>
      <c r="DS13" s="3">
        <f>_xlfn.XLOOKUP(DS$1,generator!$B$2:$B$295,generator!$K$2:$K$295,"ARGH")</f>
        <v>0</v>
      </c>
      <c r="DT13" s="3">
        <f>_xlfn.XLOOKUP(DT$1,generator!$B$2:$B$295,generator!$K$2:$K$295,"ARGH")</f>
        <v>0</v>
      </c>
      <c r="DU13" s="3">
        <f>_xlfn.XLOOKUP(DU$1,generator!$B$2:$B$295,generator!$K$2:$K$295,"ARGH")</f>
        <v>0</v>
      </c>
      <c r="DV13" s="3">
        <f>_xlfn.XLOOKUP(DV$1,generator!$B$2:$B$295,generator!$K$2:$K$295,"ARGH")</f>
        <v>0</v>
      </c>
      <c r="DW13" s="3">
        <f>_xlfn.XLOOKUP(DW$1,generator!$B$2:$B$295,generator!$K$2:$K$295,"ARGH")</f>
        <v>0</v>
      </c>
      <c r="DX13" s="3">
        <f>_xlfn.XLOOKUP(DX$1,generator!$B$2:$B$295,generator!$K$2:$K$295,"ARGH")</f>
        <v>0</v>
      </c>
      <c r="DY13" s="3">
        <f>_xlfn.XLOOKUP(DY$1,generator!$B$2:$B$295,generator!$K$2:$K$295,"ARGH")</f>
        <v>0</v>
      </c>
      <c r="DZ13" s="3">
        <f>_xlfn.XLOOKUP(DZ$1,generator!$B$2:$B$295,generator!$K$2:$K$295,"ARGH")</f>
        <v>0</v>
      </c>
      <c r="EA13" s="3">
        <f>_xlfn.XLOOKUP(EA$1,generator!$B$2:$B$295,generator!$K$2:$K$295,"ARGH")</f>
        <v>0</v>
      </c>
      <c r="EB13" s="3">
        <f>_xlfn.XLOOKUP(EB$1,generator!$B$2:$B$295,generator!$K$2:$K$295,"ARGH")</f>
        <v>0</v>
      </c>
      <c r="EC13" s="3">
        <f>_xlfn.XLOOKUP(EC$1,generator!$B$2:$B$295,generator!$K$2:$K$295,"ARGH")</f>
        <v>0</v>
      </c>
      <c r="ED13" s="3">
        <f>_xlfn.XLOOKUP(ED$1,generator!$B$2:$B$295,generator!$K$2:$K$295,"ARGH")</f>
        <v>0</v>
      </c>
      <c r="EE13" s="3">
        <f>_xlfn.XLOOKUP(EE$1,generator!$B$2:$B$295,generator!$K$2:$K$295,"ARGH")</f>
        <v>0</v>
      </c>
      <c r="EF13" s="3">
        <f>_xlfn.XLOOKUP(EF$1,generator!$B$2:$B$295,generator!$K$2:$K$295,"ARGH")</f>
        <v>0</v>
      </c>
      <c r="EG13" s="3">
        <f>_xlfn.XLOOKUP(EG$1,generator!$B$2:$B$295,generator!$K$2:$K$295,"ARGH")</f>
        <v>0</v>
      </c>
      <c r="EH13" s="3">
        <f>_xlfn.XLOOKUP(EH$1,generator!$B$2:$B$295,generator!$K$2:$K$295,"ARGH")</f>
        <v>0</v>
      </c>
      <c r="EI13" s="3">
        <f>_xlfn.XLOOKUP(EI$1,generator!$B$2:$B$295,generator!$K$2:$K$295,"ARGH")</f>
        <v>0</v>
      </c>
      <c r="EJ13" s="3">
        <f>_xlfn.XLOOKUP(EJ$1,generator!$B$2:$B$295,generator!$K$2:$K$295,"ARGH")</f>
        <v>0</v>
      </c>
      <c r="EK13" s="3">
        <f>_xlfn.XLOOKUP(EK$1,generator!$B$2:$B$295,generator!$K$2:$K$295,"ARGH")</f>
        <v>0</v>
      </c>
      <c r="EL13" s="3">
        <f>_xlfn.XLOOKUP(EL$1,generator!$B$2:$B$295,generator!$K$2:$K$295,"ARGH")</f>
        <v>0</v>
      </c>
      <c r="EM13" s="3">
        <f>_xlfn.XLOOKUP(EM$1,generator!$B$2:$B$295,generator!$K$2:$K$295,"ARGH")</f>
        <v>0</v>
      </c>
      <c r="EN13" s="3">
        <f>_xlfn.XLOOKUP(EN$1,generator!$B$2:$B$295,generator!$K$2:$K$295,"ARGH")</f>
        <v>0</v>
      </c>
      <c r="EO13" s="3">
        <f>_xlfn.XLOOKUP(EO$1,generator!$B$2:$B$295,generator!$K$2:$K$295,"ARGH")</f>
        <v>0</v>
      </c>
      <c r="EP13" s="3">
        <f>_xlfn.XLOOKUP(EP$1,generator!$B$2:$B$295,generator!$K$2:$K$295,"ARGH")</f>
        <v>0</v>
      </c>
      <c r="EQ13" s="3">
        <f>_xlfn.XLOOKUP(EQ$1,generator!$B$2:$B$295,generator!$K$2:$K$295,"ARGH")</f>
        <v>0</v>
      </c>
      <c r="ER13" s="3">
        <f>_xlfn.XLOOKUP(ER$1,generator!$B$2:$B$295,generator!$K$2:$K$295,"ARGH")</f>
        <v>0</v>
      </c>
      <c r="ES13" s="3">
        <f>_xlfn.XLOOKUP(ES$1,generator!$B$2:$B$295,generator!$K$2:$K$295,"ARGH")</f>
        <v>0</v>
      </c>
      <c r="ET13" s="3">
        <f>_xlfn.XLOOKUP(ET$1,generator!$B$2:$B$295,generator!$K$2:$K$295,"ARGH")</f>
        <v>0</v>
      </c>
      <c r="EU13" s="3">
        <f>_xlfn.XLOOKUP(EU$1,generator!$B$2:$B$295,generator!$K$2:$K$295,"ARGH")</f>
        <v>0</v>
      </c>
      <c r="EV13" s="3">
        <f>_xlfn.XLOOKUP(EV$1,generator!$B$2:$B$295,generator!$K$2:$K$295,"ARGH")</f>
        <v>0</v>
      </c>
      <c r="EW13" s="3">
        <f>_xlfn.XLOOKUP(EW$1,generator!$B$2:$B$295,generator!$K$2:$K$295,"ARGH")</f>
        <v>0</v>
      </c>
      <c r="EX13" s="3">
        <f>_xlfn.XLOOKUP(EX$1,generator!$B$2:$B$295,generator!$K$2:$K$295,"ARGH")</f>
        <v>0</v>
      </c>
      <c r="EY13" s="3">
        <f>_xlfn.XLOOKUP(EY$1,generator!$B$2:$B$295,generator!$K$2:$K$295,"ARGH")</f>
        <v>0</v>
      </c>
      <c r="EZ13" s="3">
        <f>_xlfn.XLOOKUP(EZ$1,generator!$B$2:$B$295,generator!$K$2:$K$295,"ARGH")</f>
        <v>0</v>
      </c>
      <c r="FA13" s="3">
        <f>_xlfn.XLOOKUP(FA$1,generator!$B$2:$B$295,generator!$K$2:$K$295,"ARGH")</f>
        <v>0</v>
      </c>
      <c r="FB13" s="3">
        <f>_xlfn.XLOOKUP(FB$1,generator!$B$2:$B$295,generator!$K$2:$K$295,"ARGH")</f>
        <v>0</v>
      </c>
      <c r="FC13" s="3">
        <f>_xlfn.XLOOKUP(FC$1,generator!$B$2:$B$295,generator!$K$2:$K$295,"ARGH")</f>
        <v>0</v>
      </c>
      <c r="FD13" s="3">
        <f>_xlfn.XLOOKUP(FD$1,generator!$B$2:$B$295,generator!$K$2:$K$295,"ARGH")</f>
        <v>0</v>
      </c>
      <c r="FE13" s="3">
        <f>_xlfn.XLOOKUP(FE$1,generator!$B$2:$B$295,generator!$K$2:$K$295,"ARGH")</f>
        <v>0</v>
      </c>
      <c r="FF13" s="3">
        <f>_xlfn.XLOOKUP(FF$1,generator!$B$2:$B$295,generator!$K$2:$K$295,"ARGH")</f>
        <v>0</v>
      </c>
      <c r="FG13" s="3">
        <f>_xlfn.XLOOKUP(FG$1,generator!$B$2:$B$295,generator!$K$2:$K$295,"ARGH")</f>
        <v>0</v>
      </c>
      <c r="FH13" s="3">
        <f>_xlfn.XLOOKUP(FH$1,generator!$B$2:$B$295,generator!$K$2:$K$295,"ARGH")</f>
        <v>0</v>
      </c>
      <c r="FI13" s="3">
        <f>_xlfn.XLOOKUP(FI$1,generator!$B$2:$B$295,generator!$K$2:$K$295,"ARGH")</f>
        <v>0</v>
      </c>
      <c r="FJ13" s="3">
        <f>_xlfn.XLOOKUP(FJ$1,generator!$B$2:$B$295,generator!$K$2:$K$295,"ARGH")</f>
        <v>0</v>
      </c>
      <c r="FK13" s="3">
        <f>_xlfn.XLOOKUP(FK$1,generator!$B$2:$B$295,generator!$K$2:$K$295,"ARGH")</f>
        <v>0</v>
      </c>
      <c r="FL13" s="3">
        <f>_xlfn.XLOOKUP(FL$1,generator!$B$2:$B$295,generator!$K$2:$K$295,"ARGH")</f>
        <v>0</v>
      </c>
      <c r="FM13" s="3">
        <f>_xlfn.XLOOKUP(FM$1,generator!$B$2:$B$295,generator!$K$2:$K$295,"ARGH")</f>
        <v>0</v>
      </c>
      <c r="FN13" s="3">
        <f>_xlfn.XLOOKUP(FN$1,generator!$B$2:$B$295,generator!$K$2:$K$295,"ARGH")</f>
        <v>0</v>
      </c>
      <c r="FO13" s="3">
        <f>_xlfn.XLOOKUP(FO$1,generator!$B$2:$B$295,generator!$K$2:$K$295,"ARGH")</f>
        <v>0</v>
      </c>
      <c r="FP13" s="3">
        <f>_xlfn.XLOOKUP(FP$1,generator!$B$2:$B$295,generator!$K$2:$K$295,"ARGH")</f>
        <v>0</v>
      </c>
      <c r="FQ13" s="3">
        <f>_xlfn.XLOOKUP(FQ$1,generator!$B$2:$B$295,generator!$K$2:$K$295,"ARGH")</f>
        <v>0</v>
      </c>
      <c r="FR13" s="3">
        <f>_xlfn.XLOOKUP(FR$1,generator!$B$2:$B$295,generator!$K$2:$K$295,"ARGH")</f>
        <v>0</v>
      </c>
      <c r="FS13" s="3">
        <f>_xlfn.XLOOKUP(FS$1,generator!$B$2:$B$295,generator!$K$2:$K$295,"ARGH")</f>
        <v>0</v>
      </c>
      <c r="FT13" s="3">
        <f>_xlfn.XLOOKUP(FT$1,generator!$B$2:$B$295,generator!$K$2:$K$295,"ARGH")</f>
        <v>0</v>
      </c>
      <c r="FU13" s="3">
        <f>_xlfn.XLOOKUP(FU$1,generator!$B$2:$B$295,generator!$K$2:$K$295,"ARGH")</f>
        <v>0</v>
      </c>
      <c r="FV13" s="3">
        <f>_xlfn.XLOOKUP(FV$1,generator!$B$2:$B$295,generator!$K$2:$K$295,"ARGH")</f>
        <v>0</v>
      </c>
      <c r="FW13" s="3">
        <f>_xlfn.XLOOKUP(FW$1,generator!$B$2:$B$295,generator!$K$2:$K$295,"ARGH")</f>
        <v>0</v>
      </c>
      <c r="FX13" s="3">
        <f>_xlfn.XLOOKUP(FX$1,generator!$B$2:$B$295,generator!$K$2:$K$295,"ARGH")</f>
        <v>0</v>
      </c>
      <c r="FY13" s="3">
        <f>_xlfn.XLOOKUP(FY$1,generator!$B$2:$B$295,generator!$K$2:$K$295,"ARGH")</f>
        <v>0</v>
      </c>
      <c r="FZ13" s="3">
        <f>_xlfn.XLOOKUP(FZ$1,generator!$B$2:$B$295,generator!$K$2:$K$295,"ARGH")</f>
        <v>0</v>
      </c>
      <c r="GA13" s="3">
        <f>_xlfn.XLOOKUP(GA$1,generator!$B$2:$B$295,generator!$K$2:$K$295,"ARGH")</f>
        <v>0</v>
      </c>
      <c r="GB13" s="3">
        <f>_xlfn.XLOOKUP(GB$1,generator!$B$2:$B$295,generator!$K$2:$K$295,"ARGH")</f>
        <v>0</v>
      </c>
      <c r="GC13" s="3">
        <f>_xlfn.XLOOKUP(GC$1,generator!$B$2:$B$295,generator!$K$2:$K$295,"ARGH")</f>
        <v>0</v>
      </c>
      <c r="GD13" s="3">
        <f>_xlfn.XLOOKUP(GD$1,generator!$B$2:$B$295,generator!$K$2:$K$295,"ARGH")</f>
        <v>0</v>
      </c>
      <c r="GE13" s="3">
        <f>_xlfn.XLOOKUP(GE$1,generator!$B$2:$B$295,generator!$K$2:$K$295,"ARGH")</f>
        <v>0</v>
      </c>
      <c r="GF13" s="3">
        <f>_xlfn.XLOOKUP(GF$1,generator!$B$2:$B$295,generator!$K$2:$K$295,"ARGH")</f>
        <v>0</v>
      </c>
      <c r="GG13" s="3">
        <f>_xlfn.XLOOKUP(GG$1,generator!$B$2:$B$295,generator!$K$2:$K$295,"ARGH")</f>
        <v>0</v>
      </c>
      <c r="GH13" s="3">
        <f>_xlfn.XLOOKUP(GH$1,generator!$B$2:$B$295,generator!$K$2:$K$295,"ARGH")</f>
        <v>0</v>
      </c>
      <c r="GI13" s="3">
        <f>_xlfn.XLOOKUP(GI$1,generator!$B$2:$B$295,generator!$K$2:$K$295,"ARGH")</f>
        <v>0</v>
      </c>
      <c r="GJ13" s="3">
        <f>_xlfn.XLOOKUP(GJ$1,generator!$B$2:$B$295,generator!$K$2:$K$295,"ARGH")</f>
        <v>0</v>
      </c>
      <c r="GK13" s="3">
        <f>_xlfn.XLOOKUP(GK$1,generator!$B$2:$B$295,generator!$K$2:$K$295,"ARGH")</f>
        <v>0</v>
      </c>
      <c r="GL13" s="3">
        <f>_xlfn.XLOOKUP(GL$1,generator!$B$2:$B$295,generator!$K$2:$K$295,"ARGH")</f>
        <v>0</v>
      </c>
      <c r="GM13" s="3">
        <f>_xlfn.XLOOKUP(GM$1,generator!$B$2:$B$295,generator!$K$2:$K$295,"ARGH")</f>
        <v>0</v>
      </c>
      <c r="GN13" s="3">
        <f>_xlfn.XLOOKUP(GN$1,generator!$B$2:$B$295,generator!$K$2:$K$295,"ARGH")</f>
        <v>0</v>
      </c>
      <c r="GO13" s="3">
        <f>_xlfn.XLOOKUP(GO$1,generator!$B$2:$B$295,generator!$K$2:$K$295,"ARGH")</f>
        <v>0</v>
      </c>
      <c r="GP13" s="3">
        <f>_xlfn.XLOOKUP(GP$1,generator!$B$2:$B$295,generator!$K$2:$K$295,"ARGH")</f>
        <v>0</v>
      </c>
      <c r="GQ13" s="3">
        <f>_xlfn.XLOOKUP(GQ$1,generator!$B$2:$B$295,generator!$K$2:$K$295,"ARGH")</f>
        <v>0</v>
      </c>
      <c r="GR13" s="3">
        <f>_xlfn.XLOOKUP(GR$1,generator!$B$2:$B$295,generator!$K$2:$K$295,"ARGH")</f>
        <v>0</v>
      </c>
      <c r="GS13" s="3">
        <f>_xlfn.XLOOKUP(GS$1,generator!$B$2:$B$295,generator!$K$2:$K$295,"ARGH")</f>
        <v>0</v>
      </c>
      <c r="GT13" s="3">
        <f>_xlfn.XLOOKUP(GT$1,generator!$B$2:$B$295,generator!$K$2:$K$295,"ARGH")</f>
        <v>0</v>
      </c>
      <c r="GU13" s="3">
        <f>_xlfn.XLOOKUP(GU$1,generator!$B$2:$B$295,generator!$K$2:$K$295,"ARGH")</f>
        <v>0</v>
      </c>
      <c r="GV13" s="3">
        <f>_xlfn.XLOOKUP(GV$1,generator!$B$2:$B$295,generator!$K$2:$K$295,"ARGH")</f>
        <v>0</v>
      </c>
      <c r="GW13" s="3">
        <f>_xlfn.XLOOKUP(GW$1,generator!$B$2:$B$295,generator!$K$2:$K$295,"ARGH")</f>
        <v>0</v>
      </c>
      <c r="GX13" s="3">
        <f>_xlfn.XLOOKUP(GX$1,generator!$B$2:$B$295,generator!$K$2:$K$295,"ARGH")</f>
        <v>0</v>
      </c>
      <c r="GY13" s="3">
        <f>_xlfn.XLOOKUP(GY$1,generator!$B$2:$B$295,generator!$K$2:$K$295,"ARGH")</f>
        <v>0</v>
      </c>
      <c r="GZ13" s="3">
        <f>_xlfn.XLOOKUP(GZ$1,generator!$B$2:$B$295,generator!$K$2:$K$295,"ARGH")</f>
        <v>0</v>
      </c>
      <c r="HA13" s="3">
        <f>_xlfn.XLOOKUP(HA$1,generator!$B$2:$B$295,generator!$K$2:$K$295,"ARGH")</f>
        <v>0</v>
      </c>
      <c r="HB13" s="3">
        <f>_xlfn.XLOOKUP(HB$1,generator!$B$2:$B$295,generator!$K$2:$K$295,"ARGH")</f>
        <v>0</v>
      </c>
      <c r="HC13" s="3">
        <f>_xlfn.XLOOKUP(HC$1,generator!$B$2:$B$295,generator!$K$2:$K$295,"ARGH")</f>
        <v>0</v>
      </c>
      <c r="HD13" s="3">
        <f>_xlfn.XLOOKUP(HD$1,generator!$B$2:$B$295,generator!$K$2:$K$295,"ARGH")</f>
        <v>0</v>
      </c>
      <c r="HE13" s="3">
        <f>_xlfn.XLOOKUP(HE$1,generator!$B$2:$B$295,generator!$K$2:$K$295,"ARGH")</f>
        <v>12.74</v>
      </c>
      <c r="HF13" s="3">
        <f>_xlfn.XLOOKUP(HF$1,generator!$B$2:$B$295,generator!$K$2:$K$295,"ARGH")</f>
        <v>99</v>
      </c>
      <c r="HG13" s="3">
        <f>_xlfn.XLOOKUP(HG$1,generator!$B$2:$B$295,generator!$K$2:$K$295,"ARGH")</f>
        <v>99</v>
      </c>
      <c r="HH13" s="3">
        <f>_xlfn.XLOOKUP(HH$1,generator!$B$2:$B$295,generator!$K$2:$K$295,"ARGH")</f>
        <v>99</v>
      </c>
      <c r="HI13" s="3">
        <f>_xlfn.XLOOKUP(HI$1,generator!$B$2:$B$295,generator!$K$2:$K$295,"ARGH")</f>
        <v>8</v>
      </c>
      <c r="HJ13" s="3">
        <f>_xlfn.XLOOKUP(HJ$1,generator!$B$2:$B$295,generator!$K$2:$K$295,"ARGH")</f>
        <v>8</v>
      </c>
      <c r="HK13" s="3">
        <f>_xlfn.XLOOKUP(HK$1,generator!$B$2:$B$295,generator!$K$2:$K$295,"ARGH")</f>
        <v>8</v>
      </c>
      <c r="HL13" s="3">
        <f>_xlfn.XLOOKUP(HL$1,generator!$B$2:$B$295,generator!$K$2:$K$295,"ARGH")</f>
        <v>20</v>
      </c>
      <c r="HM13" s="3">
        <f>_xlfn.XLOOKUP(HM$1,generator!$B$2:$B$295,generator!$K$2:$K$295,"ARGH")</f>
        <v>20</v>
      </c>
      <c r="HN13" s="3">
        <f>_xlfn.XLOOKUP(HN$1,generator!$B$2:$B$295,generator!$K$2:$K$295,"ARGH")</f>
        <v>5</v>
      </c>
      <c r="HO13" s="3">
        <f>_xlfn.XLOOKUP(HO$1,generator!$B$2:$B$295,generator!$K$2:$K$295,"ARGH")</f>
        <v>5</v>
      </c>
      <c r="HP13" s="3">
        <f>_xlfn.XLOOKUP(HP$1,generator!$B$2:$B$295,generator!$K$2:$K$295,"ARGH")</f>
        <v>0.2</v>
      </c>
      <c r="HQ13" s="3">
        <f>_xlfn.XLOOKUP(HQ$1,generator!$B$2:$B$295,generator!$K$2:$K$295,"ARGH")</f>
        <v>5</v>
      </c>
      <c r="HR13" s="3">
        <f>_xlfn.XLOOKUP(HR$1,generator!$B$2:$B$295,generator!$K$2:$K$295,"ARGH")</f>
        <v>5</v>
      </c>
      <c r="HS13" s="3">
        <f>_xlfn.XLOOKUP(HS$1,generator!$B$2:$B$295,generator!$K$2:$K$295,"ARGH")</f>
        <v>12.82</v>
      </c>
      <c r="HT13" s="3">
        <f>_xlfn.XLOOKUP(HT$1,generator!$B$2:$B$295,generator!$K$2:$K$295,"ARGH")</f>
        <v>12.82</v>
      </c>
      <c r="HU13" s="3">
        <f>_xlfn.XLOOKUP(HU$1,generator!$B$2:$B$295,generator!$K$2:$K$295,"ARGH")</f>
        <v>25</v>
      </c>
      <c r="HV13" s="3">
        <f>_xlfn.XLOOKUP(HV$1,generator!$B$2:$B$295,generator!$K$2:$K$295,"ARGH")</f>
        <v>16</v>
      </c>
      <c r="HW13" s="3">
        <f>_xlfn.XLOOKUP(HW$1,generator!$B$2:$B$295,generator!$K$2:$K$295,"ARGH")</f>
        <v>5</v>
      </c>
      <c r="HX13" s="3">
        <f>_xlfn.XLOOKUP(HX$1,generator!$B$2:$B$295,generator!$K$2:$K$295,"ARGH")</f>
        <v>5</v>
      </c>
      <c r="HY13" s="3">
        <f>_xlfn.XLOOKUP(HY$1,generator!$B$2:$B$295,generator!$K$2:$K$295,"ARGH")</f>
        <v>63</v>
      </c>
      <c r="HZ13" s="3">
        <f>_xlfn.XLOOKUP(HZ$1,generator!$B$2:$B$295,generator!$K$2:$K$295,"ARGH")</f>
        <v>18</v>
      </c>
      <c r="IA13" s="3">
        <f>_xlfn.XLOOKUP(IA$1,generator!$B$2:$B$295,generator!$K$2:$K$295,"ARGH")</f>
        <v>121</v>
      </c>
      <c r="IB13" s="3">
        <f>_xlfn.XLOOKUP(IB$1,generator!$B$2:$B$295,generator!$K$2:$K$295,"ARGH")</f>
        <v>120</v>
      </c>
      <c r="IC13" s="3">
        <f>_xlfn.XLOOKUP(IC$1,generator!$B$2:$B$295,generator!$K$2:$K$295,"ARGH")</f>
        <v>0</v>
      </c>
      <c r="ID13" s="3">
        <f>_xlfn.XLOOKUP(ID$1,generator!$B$2:$B$295,generator!$K$2:$K$295,"ARGH")</f>
        <v>17</v>
      </c>
      <c r="IE13" s="3">
        <f>_xlfn.XLOOKUP(IE$1,generator!$B$2:$B$295,generator!$K$2:$K$295,"ARGH")</f>
        <v>194</v>
      </c>
      <c r="IF13" s="3">
        <f>_xlfn.XLOOKUP(IF$1,generator!$B$2:$B$295,generator!$K$2:$K$295,"ARGH")</f>
        <v>11.9</v>
      </c>
      <c r="IG13" s="3">
        <f>_xlfn.XLOOKUP(IG$1,generator!$B$2:$B$295,generator!$K$2:$K$295,"ARGH")</f>
        <v>11.9</v>
      </c>
      <c r="IH13" s="3">
        <f>_xlfn.XLOOKUP(IH$1,generator!$B$2:$B$295,generator!$K$2:$K$295,"ARGH")</f>
        <v>11.9</v>
      </c>
      <c r="II13" s="3">
        <f>_xlfn.XLOOKUP(II$1,generator!$B$2:$B$295,generator!$K$2:$K$295,"ARGH")</f>
        <v>11.9</v>
      </c>
      <c r="IJ13" s="3">
        <f>_xlfn.XLOOKUP(IJ$1,generator!$B$2:$B$295,generator!$K$2:$K$295,"ARGH")</f>
        <v>0</v>
      </c>
      <c r="IK13" s="3">
        <f>_xlfn.XLOOKUP(IK$1,generator!$B$2:$B$295,generator!$K$2:$K$295,"ARGH")</f>
        <v>3</v>
      </c>
      <c r="IL13" s="3">
        <f>_xlfn.XLOOKUP(IL$1,generator!$B$2:$B$295,generator!$K$2:$K$295,"ARGH")</f>
        <v>5</v>
      </c>
      <c r="IM13" s="3">
        <f>_xlfn.XLOOKUP(IM$1,generator!$B$2:$B$295,generator!$K$2:$K$295,"ARGH")</f>
        <v>5</v>
      </c>
      <c r="IN13" s="3">
        <f>_xlfn.XLOOKUP(IN$1,generator!$B$2:$B$295,generator!$K$2:$K$295,"ARGH")</f>
        <v>4</v>
      </c>
      <c r="IO13" s="3">
        <f>_xlfn.XLOOKUP(IO$1,generator!$B$2:$B$295,generator!$K$2:$K$295,"ARGH")</f>
        <v>4</v>
      </c>
      <c r="IP13" s="3">
        <f>_xlfn.XLOOKUP(IP$1,generator!$B$2:$B$295,generator!$K$2:$K$295,"ARGH")</f>
        <v>3</v>
      </c>
      <c r="IQ13" s="3">
        <f>_xlfn.XLOOKUP(IQ$1,generator!$B$2:$B$295,generator!$K$2:$K$295,"ARGH")</f>
        <v>1</v>
      </c>
      <c r="IR13" s="3">
        <f>_xlfn.XLOOKUP(IR$1,generator!$B$2:$B$295,generator!$K$2:$K$295,"ARGH")</f>
        <v>3</v>
      </c>
      <c r="IS13" s="3">
        <f>_xlfn.XLOOKUP(IS$1,generator!$B$2:$B$295,generator!$K$2:$K$295,"ARGH")</f>
        <v>3</v>
      </c>
      <c r="IT13" s="3">
        <f>_xlfn.XLOOKUP(IT$1,generator!$B$2:$B$295,generator!$K$2:$K$295,"ARGH")</f>
        <v>0</v>
      </c>
      <c r="IU13" s="3">
        <f>_xlfn.XLOOKUP(IU$1,generator!$B$2:$B$295,generator!$K$2:$K$295,"ARGH")</f>
        <v>3.99</v>
      </c>
      <c r="IV13" s="3">
        <f>_xlfn.XLOOKUP(IV$1,generator!$B$2:$B$295,generator!$K$2:$K$295,"ARGH")</f>
        <v>0.2</v>
      </c>
      <c r="IW13" s="3">
        <f>_xlfn.XLOOKUP(IW$1,generator!$B$2:$B$295,generator!$K$2:$K$295,"ARGH")</f>
        <v>15</v>
      </c>
      <c r="IX13" s="3">
        <f>_xlfn.XLOOKUP(IX$1,generator!$B$2:$B$295,generator!$K$2:$K$295,"ARGH")</f>
        <v>15</v>
      </c>
      <c r="IY13" s="3">
        <f>_xlfn.XLOOKUP(IY$1,generator!$B$2:$B$295,generator!$K$2:$K$295,"ARGH")</f>
        <v>15</v>
      </c>
      <c r="IZ13" s="3">
        <f>_xlfn.XLOOKUP(IZ$1,generator!$B$2:$B$295,generator!$K$2:$K$295,"ARGH")</f>
        <v>120</v>
      </c>
      <c r="JA13" s="3">
        <f>_xlfn.XLOOKUP(JA$1,generator!$B$2:$B$295,generator!$K$2:$K$295,"ARGH")</f>
        <v>40</v>
      </c>
      <c r="JB13" s="3">
        <f>_xlfn.XLOOKUP(JB$1,generator!$B$2:$B$295,generator!$K$2:$K$295,"ARGH")</f>
        <v>40</v>
      </c>
      <c r="JC13" s="3">
        <f>_xlfn.XLOOKUP(JC$1,generator!$B$2:$B$295,generator!$K$2:$K$295,"ARGH")</f>
        <v>113</v>
      </c>
      <c r="JD13" s="3">
        <f>_xlfn.XLOOKUP(JD$1,generator!$B$2:$B$295,generator!$K$2:$K$295,"ARGH")</f>
        <v>113</v>
      </c>
      <c r="JE13" s="3">
        <f>_xlfn.XLOOKUP(JE$1,generator!$B$2:$B$295,generator!$K$2:$K$295,"ARGH")</f>
        <v>211</v>
      </c>
      <c r="JF13" s="3">
        <f>_xlfn.XLOOKUP(JF$1,generator!$B$2:$B$295,generator!$K$2:$K$295,"ARGH")</f>
        <v>22.5</v>
      </c>
      <c r="JG13" s="3">
        <f>_xlfn.XLOOKUP(JG$1,generator!$B$2:$B$295,generator!$K$2:$K$295,"ARGH")</f>
        <v>1</v>
      </c>
      <c r="JH13" s="3">
        <f>_xlfn.XLOOKUP(JH$1,generator!$B$2:$B$295,generator!$K$2:$K$295,"ARGH")</f>
        <v>160</v>
      </c>
      <c r="JI13" s="3">
        <f>_xlfn.XLOOKUP(JI$1,generator!$B$2:$B$295,generator!$K$2:$K$295,"ARGH")</f>
        <v>165</v>
      </c>
      <c r="JJ13" s="3">
        <f>_xlfn.XLOOKUP(JJ$1,generator!$B$2:$B$295,generator!$K$2:$K$295,"ARGH")</f>
        <v>4.5999999999999996</v>
      </c>
      <c r="JK13" s="3">
        <f>_xlfn.XLOOKUP(JK$1,generator!$B$2:$B$295,generator!$K$2:$K$295,"ARGH")</f>
        <v>4.5999999999999996</v>
      </c>
      <c r="JL13" s="3">
        <f>_xlfn.XLOOKUP(JL$1,generator!$B$2:$B$295,generator!$K$2:$K$295,"ARGH")</f>
        <v>4.5999999999999996</v>
      </c>
      <c r="JM13" s="3">
        <f>_xlfn.XLOOKUP(JM$1,generator!$B$2:$B$295,generator!$K$2:$K$295,"ARGH")</f>
        <v>4.5999999999999996</v>
      </c>
      <c r="JN13" s="3">
        <f>_xlfn.XLOOKUP(JN$1,generator!$B$2:$B$295,generator!$K$2:$K$295,"ARGH")</f>
        <v>4.5999999999999996</v>
      </c>
      <c r="JO13" s="3">
        <f>_xlfn.XLOOKUP(JO$1,generator!$B$2:$B$295,generator!$K$2:$K$295,"ARGH")</f>
        <v>4.5999999999999996</v>
      </c>
      <c r="JP13" s="3">
        <f>_xlfn.XLOOKUP(JP$1,generator!$B$2:$B$295,generator!$K$2:$K$295,"ARGH")</f>
        <v>110</v>
      </c>
      <c r="JQ13" s="3">
        <f>_xlfn.XLOOKUP(JQ$1,generator!$B$2:$B$295,generator!$K$2:$K$295,"ARGH")</f>
        <v>22.7</v>
      </c>
      <c r="JR13" s="3">
        <f>_xlfn.XLOOKUP(JR$1,generator!$B$2:$B$295,generator!$K$2:$K$295,"ARGH")</f>
        <v>147</v>
      </c>
      <c r="JS13" s="3">
        <f>_xlfn.XLOOKUP(JS$1,generator!$B$2:$B$295,generator!$K$2:$K$295,"ARGH")</f>
        <v>147</v>
      </c>
      <c r="JT13" s="3">
        <f>_xlfn.XLOOKUP(JT$1,generator!$B$2:$B$295,generator!$K$2:$K$295,"ARGH")</f>
        <v>22.7</v>
      </c>
      <c r="JU13" s="3">
        <f>_xlfn.XLOOKUP(JU$1,generator!$B$2:$B$295,generator!$K$2:$K$295,"ARGH")</f>
        <v>21.5</v>
      </c>
      <c r="JV13" s="3">
        <f>_xlfn.XLOOKUP(JV$1,generator!$B$2:$B$295,generator!$K$2:$K$295,"ARGH")</f>
        <v>120</v>
      </c>
      <c r="JW13" s="3">
        <f>_xlfn.XLOOKUP(JW$1,generator!$B$2:$B$295,generator!$K$2:$K$295,"ARGH")</f>
        <v>120</v>
      </c>
      <c r="JX13" s="3">
        <f>_xlfn.XLOOKUP(JX$1,generator!$B$2:$B$295,generator!$K$2:$K$295,"ARGH")</f>
        <v>1</v>
      </c>
      <c r="JY13" s="3">
        <f>_xlfn.XLOOKUP(JY$1,generator!$B$2:$B$295,generator!$K$2:$K$295,"ARGH")</f>
        <v>41.15</v>
      </c>
      <c r="JZ13" s="3">
        <f>_xlfn.XLOOKUP(JZ$1,generator!$B$2:$B$295,generator!$K$2:$K$295,"ARGH")</f>
        <v>5</v>
      </c>
      <c r="KA13" s="3">
        <f>_xlfn.XLOOKUP(KA$1,generator!$B$2:$B$295,generator!$K$2:$K$295,"ARGH")</f>
        <v>5</v>
      </c>
      <c r="KB13" s="3">
        <f>_xlfn.XLOOKUP(KB$1,generator!$B$2:$B$295,generator!$K$2:$K$295,"ARGH")</f>
        <v>5</v>
      </c>
      <c r="KC13" s="3">
        <f>_xlfn.XLOOKUP(KC$1,generator!$B$2:$B$295,generator!$K$2:$K$295,"ARGH")</f>
        <v>5</v>
      </c>
    </row>
    <row r="14" spans="1:289" x14ac:dyDescent="0.3">
      <c r="A14" s="4" t="s">
        <v>3009</v>
      </c>
      <c r="B14" s="31">
        <v>0</v>
      </c>
      <c r="C14" s="31">
        <v>513.5</v>
      </c>
      <c r="D14" s="31">
        <v>307</v>
      </c>
      <c r="E14" s="3">
        <f>_xlfn.XLOOKUP(E$1,generator!$B$2:$B$295,generator!$K$2:$K$295,"ARGH")</f>
        <v>0</v>
      </c>
      <c r="F14" s="3">
        <f>_xlfn.XLOOKUP(F$1,generator!$B$2:$B$295,generator!$K$2:$K$295,"ARGH")</f>
        <v>0</v>
      </c>
      <c r="G14" s="3">
        <f>_xlfn.XLOOKUP(G$1,generator!$B$2:$B$295,generator!$K$2:$K$295,"ARGH")</f>
        <v>0</v>
      </c>
      <c r="H14" s="3">
        <f>_xlfn.XLOOKUP(H$1,generator!$B$2:$B$295,generator!$K$2:$K$295,"ARGH")</f>
        <v>0</v>
      </c>
      <c r="I14" s="3">
        <f>_xlfn.XLOOKUP(I$1,generator!$B$2:$B$295,generator!$K$2:$K$295,"ARGH")</f>
        <v>0</v>
      </c>
      <c r="J14" s="3">
        <f>_xlfn.XLOOKUP(J$1,generator!$B$2:$B$295,generator!$K$2:$K$295,"ARGH")</f>
        <v>0</v>
      </c>
      <c r="K14" s="3">
        <f>_xlfn.XLOOKUP(K$1,generator!$B$2:$B$295,generator!$K$2:$K$295,"ARGH")</f>
        <v>0</v>
      </c>
      <c r="L14" s="3">
        <f>_xlfn.XLOOKUP(L$1,generator!$B$2:$B$295,generator!$K$2:$K$295,"ARGH")</f>
        <v>0</v>
      </c>
      <c r="M14" s="3">
        <f>_xlfn.XLOOKUP(M$1,generator!$B$2:$B$295,generator!$K$2:$K$295,"ARGH")</f>
        <v>0</v>
      </c>
      <c r="N14" s="3">
        <f>_xlfn.XLOOKUP(N$1,generator!$B$2:$B$295,generator!$K$2:$K$295,"ARGH")</f>
        <v>0</v>
      </c>
      <c r="O14" s="3">
        <f>_xlfn.XLOOKUP(O$1,generator!$B$2:$B$295,generator!$K$2:$K$295,"ARGH")</f>
        <v>0</v>
      </c>
      <c r="P14" s="3">
        <f>_xlfn.XLOOKUP(P$1,generator!$B$2:$B$295,generator!$K$2:$K$295,"ARGH")</f>
        <v>0</v>
      </c>
      <c r="Q14" s="3">
        <f>_xlfn.XLOOKUP(Q$1,generator!$B$2:$B$295,generator!$K$2:$K$295,"ARGH")</f>
        <v>0</v>
      </c>
      <c r="R14" s="3">
        <f>_xlfn.XLOOKUP(R$1,generator!$B$2:$B$295,generator!$K$2:$K$295,"ARGH")</f>
        <v>0</v>
      </c>
      <c r="S14" s="3">
        <f>_xlfn.XLOOKUP(S$1,generator!$B$2:$B$295,generator!$K$2:$K$295,"ARGH")</f>
        <v>0</v>
      </c>
      <c r="T14" s="3">
        <f>_xlfn.XLOOKUP(T$1,generator!$B$2:$B$295,generator!$K$2:$K$295,"ARGH")</f>
        <v>0</v>
      </c>
      <c r="U14" s="3">
        <f>_xlfn.XLOOKUP(U$1,generator!$B$2:$B$295,generator!$K$2:$K$295,"ARGH")</f>
        <v>0</v>
      </c>
      <c r="V14" s="3">
        <f>_xlfn.XLOOKUP(V$1,generator!$B$2:$B$295,generator!$K$2:$K$295,"ARGH")</f>
        <v>0</v>
      </c>
      <c r="W14" s="3">
        <f>_xlfn.XLOOKUP(W$1,generator!$B$2:$B$295,generator!$K$2:$K$295,"ARGH")</f>
        <v>0</v>
      </c>
      <c r="X14" s="3">
        <f>_xlfn.XLOOKUP(X$1,generator!$B$2:$B$295,generator!$K$2:$K$295,"ARGH")</f>
        <v>0</v>
      </c>
      <c r="Y14" s="3">
        <f>_xlfn.XLOOKUP(Y$1,generator!$B$2:$B$295,generator!$K$2:$K$295,"ARGH")</f>
        <v>0</v>
      </c>
      <c r="Z14" s="3">
        <f>_xlfn.XLOOKUP(Z$1,generator!$B$2:$B$295,generator!$K$2:$K$295,"ARGH")</f>
        <v>0</v>
      </c>
      <c r="AA14" s="3">
        <f>_xlfn.XLOOKUP(AA$1,generator!$B$2:$B$295,generator!$K$2:$K$295,"ARGH")</f>
        <v>0</v>
      </c>
      <c r="AB14" s="3">
        <f>_xlfn.XLOOKUP(AB$1,generator!$B$2:$B$295,generator!$K$2:$K$295,"ARGH")</f>
        <v>0</v>
      </c>
      <c r="AC14" s="3">
        <f>_xlfn.XLOOKUP(AC$1,generator!$B$2:$B$295,generator!$K$2:$K$295,"ARGH")</f>
        <v>0</v>
      </c>
      <c r="AD14" s="3">
        <f>_xlfn.XLOOKUP(AD$1,generator!$B$2:$B$295,generator!$K$2:$K$295,"ARGH")</f>
        <v>0</v>
      </c>
      <c r="AE14" s="3">
        <f>_xlfn.XLOOKUP(AE$1,generator!$B$2:$B$295,generator!$K$2:$K$295,"ARGH")</f>
        <v>0</v>
      </c>
      <c r="AF14" s="3">
        <f>_xlfn.XLOOKUP(AF$1,generator!$B$2:$B$295,generator!$K$2:$K$295,"ARGH")</f>
        <v>0</v>
      </c>
      <c r="AG14" s="3">
        <f>_xlfn.XLOOKUP(AG$1,generator!$B$2:$B$295,generator!$K$2:$K$295,"ARGH")</f>
        <v>0</v>
      </c>
      <c r="AH14" s="3">
        <f>_xlfn.XLOOKUP(AH$1,generator!$B$2:$B$295,generator!$K$2:$K$295,"ARGH")</f>
        <v>0</v>
      </c>
      <c r="AI14" s="3">
        <f>_xlfn.XLOOKUP(AI$1,generator!$B$2:$B$295,generator!$K$2:$K$295,"ARGH")</f>
        <v>0</v>
      </c>
      <c r="AJ14" s="3">
        <f>_xlfn.XLOOKUP(AJ$1,generator!$B$2:$B$295,generator!$K$2:$K$295,"ARGH")</f>
        <v>0</v>
      </c>
      <c r="AK14" s="3">
        <f>_xlfn.XLOOKUP(AK$1,generator!$B$2:$B$295,generator!$K$2:$K$295,"ARGH")</f>
        <v>0</v>
      </c>
      <c r="AL14" s="3">
        <f>_xlfn.XLOOKUP(AL$1,generator!$B$2:$B$295,generator!$K$2:$K$295,"ARGH")</f>
        <v>0</v>
      </c>
      <c r="AM14" s="3">
        <f>_xlfn.XLOOKUP(AM$1,generator!$B$2:$B$295,generator!$K$2:$K$295,"ARGH")</f>
        <v>0</v>
      </c>
      <c r="AN14" s="3">
        <f>_xlfn.XLOOKUP(AN$1,generator!$B$2:$B$295,generator!$K$2:$K$295,"ARGH")</f>
        <v>0</v>
      </c>
      <c r="AO14" s="3">
        <f>_xlfn.XLOOKUP(AO$1,generator!$B$2:$B$295,generator!$K$2:$K$295,"ARGH")</f>
        <v>0</v>
      </c>
      <c r="AP14" s="3">
        <f>_xlfn.XLOOKUP(AP$1,generator!$B$2:$B$295,generator!$K$2:$K$295,"ARGH")</f>
        <v>0</v>
      </c>
      <c r="AQ14" s="3">
        <f>_xlfn.XLOOKUP(AQ$1,generator!$B$2:$B$295,generator!$K$2:$K$295,"ARGH")</f>
        <v>0</v>
      </c>
      <c r="AR14" s="3">
        <f>_xlfn.XLOOKUP(AR$1,generator!$B$2:$B$295,generator!$K$2:$K$295,"ARGH")</f>
        <v>0</v>
      </c>
      <c r="AS14" s="3">
        <f>_xlfn.XLOOKUP(AS$1,generator!$B$2:$B$295,generator!$K$2:$K$295,"ARGH")</f>
        <v>0</v>
      </c>
      <c r="AT14" s="3">
        <f>_xlfn.XLOOKUP(AT$1,generator!$B$2:$B$295,generator!$K$2:$K$295,"ARGH")</f>
        <v>0</v>
      </c>
      <c r="AU14" s="3">
        <f>_xlfn.XLOOKUP(AU$1,generator!$B$2:$B$295,generator!$K$2:$K$295,"ARGH")</f>
        <v>0</v>
      </c>
      <c r="AV14" s="3">
        <f>_xlfn.XLOOKUP(AV$1,generator!$B$2:$B$295,generator!$K$2:$K$295,"ARGH")</f>
        <v>0</v>
      </c>
      <c r="AW14" s="3">
        <f>_xlfn.XLOOKUP(AW$1,generator!$B$2:$B$295,generator!$K$2:$K$295,"ARGH")</f>
        <v>0</v>
      </c>
      <c r="AX14" s="3">
        <f>_xlfn.XLOOKUP(AX$1,generator!$B$2:$B$295,generator!$K$2:$K$295,"ARGH")</f>
        <v>0</v>
      </c>
      <c r="AY14" s="3">
        <f>_xlfn.XLOOKUP(AY$1,generator!$B$2:$B$295,generator!$K$2:$K$295,"ARGH")</f>
        <v>0</v>
      </c>
      <c r="AZ14" s="3">
        <f>_xlfn.XLOOKUP(AZ$1,generator!$B$2:$B$295,generator!$K$2:$K$295,"ARGH")</f>
        <v>0</v>
      </c>
      <c r="BA14" s="3">
        <f>_xlfn.XLOOKUP(BA$1,generator!$B$2:$B$295,generator!$K$2:$K$295,"ARGH")</f>
        <v>0</v>
      </c>
      <c r="BB14" s="3">
        <f>_xlfn.XLOOKUP(BB$1,generator!$B$2:$B$295,generator!$K$2:$K$295,"ARGH")</f>
        <v>0</v>
      </c>
      <c r="BC14" s="3">
        <f>_xlfn.XLOOKUP(BC$1,generator!$B$2:$B$295,generator!$K$2:$K$295,"ARGH")</f>
        <v>0</v>
      </c>
      <c r="BD14" s="3">
        <f>_xlfn.XLOOKUP(BD$1,generator!$B$2:$B$295,generator!$K$2:$K$295,"ARGH")</f>
        <v>0</v>
      </c>
      <c r="BE14" s="3">
        <f>_xlfn.XLOOKUP(BE$1,generator!$B$2:$B$295,generator!$K$2:$K$295,"ARGH")</f>
        <v>0</v>
      </c>
      <c r="BF14" s="3">
        <f>_xlfn.XLOOKUP(BF$1,generator!$B$2:$B$295,generator!$K$2:$K$295,"ARGH")</f>
        <v>0</v>
      </c>
      <c r="BG14" s="3">
        <f>_xlfn.XLOOKUP(BG$1,generator!$B$2:$B$295,generator!$K$2:$K$295,"ARGH")</f>
        <v>0</v>
      </c>
      <c r="BH14" s="3">
        <f>_xlfn.XLOOKUP(BH$1,generator!$B$2:$B$295,generator!$K$2:$K$295,"ARGH")</f>
        <v>0</v>
      </c>
      <c r="BI14" s="3">
        <f>_xlfn.XLOOKUP(BI$1,generator!$B$2:$B$295,generator!$K$2:$K$295,"ARGH")</f>
        <v>0</v>
      </c>
      <c r="BJ14" s="3">
        <f>_xlfn.XLOOKUP(BJ$1,generator!$B$2:$B$295,generator!$K$2:$K$295,"ARGH")</f>
        <v>0</v>
      </c>
      <c r="BK14" s="3">
        <f>_xlfn.XLOOKUP(BK$1,generator!$B$2:$B$295,generator!$K$2:$K$295,"ARGH")</f>
        <v>0</v>
      </c>
      <c r="BL14" s="3">
        <f>_xlfn.XLOOKUP(BL$1,generator!$B$2:$B$295,generator!$K$2:$K$295,"ARGH")</f>
        <v>0</v>
      </c>
      <c r="BM14" s="3">
        <f>_xlfn.XLOOKUP(BM$1,generator!$B$2:$B$295,generator!$K$2:$K$295,"ARGH")</f>
        <v>0</v>
      </c>
      <c r="BN14" s="3">
        <f>_xlfn.XLOOKUP(BN$1,generator!$B$2:$B$295,generator!$K$2:$K$295,"ARGH")</f>
        <v>0</v>
      </c>
      <c r="BO14" s="3">
        <f>_xlfn.XLOOKUP(BO$1,generator!$B$2:$B$295,generator!$K$2:$K$295,"ARGH")</f>
        <v>0</v>
      </c>
      <c r="BP14" s="3">
        <f>_xlfn.XLOOKUP(BP$1,generator!$B$2:$B$295,generator!$K$2:$K$295,"ARGH")</f>
        <v>0</v>
      </c>
      <c r="BQ14" s="3">
        <f>_xlfn.XLOOKUP(BQ$1,generator!$B$2:$B$295,generator!$K$2:$K$295,"ARGH")</f>
        <v>0</v>
      </c>
      <c r="BR14" s="3">
        <f>_xlfn.XLOOKUP(BR$1,generator!$B$2:$B$295,generator!$K$2:$K$295,"ARGH")</f>
        <v>0</v>
      </c>
      <c r="BS14" s="3">
        <f>_xlfn.XLOOKUP(BS$1,generator!$B$2:$B$295,generator!$K$2:$K$295,"ARGH")</f>
        <v>0</v>
      </c>
      <c r="BT14" s="3">
        <f>_xlfn.XLOOKUP(BT$1,generator!$B$2:$B$295,generator!$K$2:$K$295,"ARGH")</f>
        <v>0</v>
      </c>
      <c r="BU14" s="3">
        <f>_xlfn.XLOOKUP(BU$1,generator!$B$2:$B$295,generator!$K$2:$K$295,"ARGH")</f>
        <v>0</v>
      </c>
      <c r="BV14" s="3">
        <f>_xlfn.XLOOKUP(BV$1,generator!$B$2:$B$295,generator!$K$2:$K$295,"ARGH")</f>
        <v>0</v>
      </c>
      <c r="BW14" s="3">
        <f>_xlfn.XLOOKUP(BW$1,generator!$B$2:$B$295,generator!$K$2:$K$295,"ARGH")</f>
        <v>0</v>
      </c>
      <c r="BX14" s="3">
        <f>_xlfn.XLOOKUP(BX$1,generator!$B$2:$B$295,generator!$K$2:$K$295,"ARGH")</f>
        <v>0</v>
      </c>
      <c r="BY14" s="3">
        <f>_xlfn.XLOOKUP(BY$1,generator!$B$2:$B$295,generator!$K$2:$K$295,"ARGH")</f>
        <v>0</v>
      </c>
      <c r="BZ14" s="3">
        <f>_xlfn.XLOOKUP(BZ$1,generator!$B$2:$B$295,generator!$K$2:$K$295,"ARGH")</f>
        <v>0</v>
      </c>
      <c r="CA14" s="3">
        <f>_xlfn.XLOOKUP(CA$1,generator!$B$2:$B$295,generator!$K$2:$K$295,"ARGH")</f>
        <v>0</v>
      </c>
      <c r="CB14" s="3">
        <f>_xlfn.XLOOKUP(CB$1,generator!$B$2:$B$295,generator!$K$2:$K$295,"ARGH")</f>
        <v>0</v>
      </c>
      <c r="CC14" s="3">
        <f>_xlfn.XLOOKUP(CC$1,generator!$B$2:$B$295,generator!$K$2:$K$295,"ARGH")</f>
        <v>0</v>
      </c>
      <c r="CD14" s="3">
        <f>_xlfn.XLOOKUP(CD$1,generator!$B$2:$B$295,generator!$K$2:$K$295,"ARGH")</f>
        <v>0</v>
      </c>
      <c r="CE14" s="3">
        <f>_xlfn.XLOOKUP(CE$1,generator!$B$2:$B$295,generator!$K$2:$K$295,"ARGH")</f>
        <v>0</v>
      </c>
      <c r="CF14" s="3">
        <f>_xlfn.XLOOKUP(CF$1,generator!$B$2:$B$295,generator!$K$2:$K$295,"ARGH")</f>
        <v>0</v>
      </c>
      <c r="CG14" s="3">
        <f>_xlfn.XLOOKUP(CG$1,generator!$B$2:$B$295,generator!$K$2:$K$295,"ARGH")</f>
        <v>0</v>
      </c>
      <c r="CH14" s="3">
        <f>_xlfn.XLOOKUP(CH$1,generator!$B$2:$B$295,generator!$K$2:$K$295,"ARGH")</f>
        <v>0</v>
      </c>
      <c r="CI14" s="3">
        <f>_xlfn.XLOOKUP(CI$1,generator!$B$2:$B$295,generator!$K$2:$K$295,"ARGH")</f>
        <v>0</v>
      </c>
      <c r="CJ14" s="3">
        <f>_xlfn.XLOOKUP(CJ$1,generator!$B$2:$B$295,generator!$K$2:$K$295,"ARGH")</f>
        <v>0</v>
      </c>
      <c r="CK14" s="3">
        <f>_xlfn.XLOOKUP(CK$1,generator!$B$2:$B$295,generator!$K$2:$K$295,"ARGH")</f>
        <v>0</v>
      </c>
      <c r="CL14" s="3">
        <f>_xlfn.XLOOKUP(CL$1,generator!$B$2:$B$295,generator!$K$2:$K$295,"ARGH")</f>
        <v>0</v>
      </c>
      <c r="CM14" s="3">
        <f>_xlfn.XLOOKUP(CM$1,generator!$B$2:$B$295,generator!$K$2:$K$295,"ARGH")</f>
        <v>0</v>
      </c>
      <c r="CN14" s="3">
        <f>_xlfn.XLOOKUP(CN$1,generator!$B$2:$B$295,generator!$K$2:$K$295,"ARGH")</f>
        <v>0</v>
      </c>
      <c r="CO14" s="3">
        <f>_xlfn.XLOOKUP(CO$1,generator!$B$2:$B$295,generator!$K$2:$K$295,"ARGH")</f>
        <v>0</v>
      </c>
      <c r="CP14" s="3">
        <f>_xlfn.XLOOKUP(CP$1,generator!$B$2:$B$295,generator!$K$2:$K$295,"ARGH")</f>
        <v>0</v>
      </c>
      <c r="CQ14" s="3">
        <f>_xlfn.XLOOKUP(CQ$1,generator!$B$2:$B$295,generator!$K$2:$K$295,"ARGH")</f>
        <v>0</v>
      </c>
      <c r="CR14" s="3">
        <f>_xlfn.XLOOKUP(CR$1,generator!$B$2:$B$295,generator!$K$2:$K$295,"ARGH")</f>
        <v>0</v>
      </c>
      <c r="CS14" s="3">
        <f>_xlfn.XLOOKUP(CS$1,generator!$B$2:$B$295,generator!$K$2:$K$295,"ARGH")</f>
        <v>0</v>
      </c>
      <c r="CT14" s="3">
        <f>_xlfn.XLOOKUP(CT$1,generator!$B$2:$B$295,generator!$K$2:$K$295,"ARGH")</f>
        <v>0</v>
      </c>
      <c r="CU14" s="3">
        <f>_xlfn.XLOOKUP(CU$1,generator!$B$2:$B$295,generator!$K$2:$K$295,"ARGH")</f>
        <v>0</v>
      </c>
      <c r="CV14" s="3">
        <f>_xlfn.XLOOKUP(CV$1,generator!$B$2:$B$295,generator!$K$2:$K$295,"ARGH")</f>
        <v>0</v>
      </c>
      <c r="CW14" s="3">
        <f>_xlfn.XLOOKUP(CW$1,generator!$B$2:$B$295,generator!$K$2:$K$295,"ARGH")</f>
        <v>0</v>
      </c>
      <c r="CX14" s="3">
        <f>_xlfn.XLOOKUP(CX$1,generator!$B$2:$B$295,generator!$K$2:$K$295,"ARGH")</f>
        <v>0</v>
      </c>
      <c r="CY14" s="3">
        <f>_xlfn.XLOOKUP(CY$1,generator!$B$2:$B$295,generator!$K$2:$K$295,"ARGH")</f>
        <v>0</v>
      </c>
      <c r="CZ14" s="3">
        <f>_xlfn.XLOOKUP(CZ$1,generator!$B$2:$B$295,generator!$K$2:$K$295,"ARGH")</f>
        <v>0</v>
      </c>
      <c r="DA14" s="3">
        <f>_xlfn.XLOOKUP(DA$1,generator!$B$2:$B$295,generator!$K$2:$K$295,"ARGH")</f>
        <v>0</v>
      </c>
      <c r="DB14" s="3">
        <f>_xlfn.XLOOKUP(DB$1,generator!$B$2:$B$295,generator!$K$2:$K$295,"ARGH")</f>
        <v>0</v>
      </c>
      <c r="DC14" s="3">
        <f>_xlfn.XLOOKUP(DC$1,generator!$B$2:$B$295,generator!$K$2:$K$295,"ARGH")</f>
        <v>0</v>
      </c>
      <c r="DD14" s="3">
        <f>_xlfn.XLOOKUP(DD$1,generator!$B$2:$B$295,generator!$K$2:$K$295,"ARGH")</f>
        <v>0</v>
      </c>
      <c r="DE14" s="3">
        <f>_xlfn.XLOOKUP(DE$1,generator!$B$2:$B$295,generator!$K$2:$K$295,"ARGH")</f>
        <v>0</v>
      </c>
      <c r="DF14" s="3">
        <f>_xlfn.XLOOKUP(DF$1,generator!$B$2:$B$295,generator!$K$2:$K$295,"ARGH")</f>
        <v>0</v>
      </c>
      <c r="DG14" s="3">
        <f>_xlfn.XLOOKUP(DG$1,generator!$B$2:$B$295,generator!$K$2:$K$295,"ARGH")</f>
        <v>0</v>
      </c>
      <c r="DH14" s="3">
        <f>_xlfn.XLOOKUP(DH$1,generator!$B$2:$B$295,generator!$K$2:$K$295,"ARGH")</f>
        <v>0</v>
      </c>
      <c r="DI14" s="3">
        <f>_xlfn.XLOOKUP(DI$1,generator!$B$2:$B$295,generator!$K$2:$K$295,"ARGH")</f>
        <v>0</v>
      </c>
      <c r="DJ14" s="3">
        <f>_xlfn.XLOOKUP(DJ$1,generator!$B$2:$B$295,generator!$K$2:$K$295,"ARGH")</f>
        <v>0</v>
      </c>
      <c r="DK14" s="3">
        <f>_xlfn.XLOOKUP(DK$1,generator!$B$2:$B$295,generator!$K$2:$K$295,"ARGH")</f>
        <v>0</v>
      </c>
      <c r="DL14" s="3">
        <f>_xlfn.XLOOKUP(DL$1,generator!$B$2:$B$295,generator!$K$2:$K$295,"ARGH")</f>
        <v>0</v>
      </c>
      <c r="DM14" s="3">
        <f>_xlfn.XLOOKUP(DM$1,generator!$B$2:$B$295,generator!$K$2:$K$295,"ARGH")</f>
        <v>0</v>
      </c>
      <c r="DN14" s="3">
        <f>_xlfn.XLOOKUP(DN$1,generator!$B$2:$B$295,generator!$K$2:$K$295,"ARGH")</f>
        <v>0</v>
      </c>
      <c r="DO14" s="3">
        <f>_xlfn.XLOOKUP(DO$1,generator!$B$2:$B$295,generator!$K$2:$K$295,"ARGH")</f>
        <v>0</v>
      </c>
      <c r="DP14" s="3">
        <f>_xlfn.XLOOKUP(DP$1,generator!$B$2:$B$295,generator!$K$2:$K$295,"ARGH")</f>
        <v>0</v>
      </c>
      <c r="DQ14" s="3">
        <f>_xlfn.XLOOKUP(DQ$1,generator!$B$2:$B$295,generator!$K$2:$K$295,"ARGH")</f>
        <v>0</v>
      </c>
      <c r="DR14" s="3">
        <f>_xlfn.XLOOKUP(DR$1,generator!$B$2:$B$295,generator!$K$2:$K$295,"ARGH")</f>
        <v>0</v>
      </c>
      <c r="DS14" s="3">
        <f>_xlfn.XLOOKUP(DS$1,generator!$B$2:$B$295,generator!$K$2:$K$295,"ARGH")</f>
        <v>0</v>
      </c>
      <c r="DT14" s="3">
        <f>_xlfn.XLOOKUP(DT$1,generator!$B$2:$B$295,generator!$K$2:$K$295,"ARGH")</f>
        <v>0</v>
      </c>
      <c r="DU14" s="3">
        <f>_xlfn.XLOOKUP(DU$1,generator!$B$2:$B$295,generator!$K$2:$K$295,"ARGH")</f>
        <v>0</v>
      </c>
      <c r="DV14" s="3">
        <f>_xlfn.XLOOKUP(DV$1,generator!$B$2:$B$295,generator!$K$2:$K$295,"ARGH")</f>
        <v>0</v>
      </c>
      <c r="DW14" s="3">
        <f>_xlfn.XLOOKUP(DW$1,generator!$B$2:$B$295,generator!$K$2:$K$295,"ARGH")</f>
        <v>0</v>
      </c>
      <c r="DX14" s="3">
        <f>_xlfn.XLOOKUP(DX$1,generator!$B$2:$B$295,generator!$K$2:$K$295,"ARGH")</f>
        <v>0</v>
      </c>
      <c r="DY14" s="3">
        <f>_xlfn.XLOOKUP(DY$1,generator!$B$2:$B$295,generator!$K$2:$K$295,"ARGH")</f>
        <v>0</v>
      </c>
      <c r="DZ14" s="3">
        <f>_xlfn.XLOOKUP(DZ$1,generator!$B$2:$B$295,generator!$K$2:$K$295,"ARGH")</f>
        <v>0</v>
      </c>
      <c r="EA14" s="3">
        <f>_xlfn.XLOOKUP(EA$1,generator!$B$2:$B$295,generator!$K$2:$K$295,"ARGH")</f>
        <v>0</v>
      </c>
      <c r="EB14" s="3">
        <f>_xlfn.XLOOKUP(EB$1,generator!$B$2:$B$295,generator!$K$2:$K$295,"ARGH")</f>
        <v>0</v>
      </c>
      <c r="EC14" s="3">
        <f>_xlfn.XLOOKUP(EC$1,generator!$B$2:$B$295,generator!$K$2:$K$295,"ARGH")</f>
        <v>0</v>
      </c>
      <c r="ED14" s="3">
        <f>_xlfn.XLOOKUP(ED$1,generator!$B$2:$B$295,generator!$K$2:$K$295,"ARGH")</f>
        <v>0</v>
      </c>
      <c r="EE14" s="3">
        <f>_xlfn.XLOOKUP(EE$1,generator!$B$2:$B$295,generator!$K$2:$K$295,"ARGH")</f>
        <v>0</v>
      </c>
      <c r="EF14" s="3">
        <f>_xlfn.XLOOKUP(EF$1,generator!$B$2:$B$295,generator!$K$2:$K$295,"ARGH")</f>
        <v>0</v>
      </c>
      <c r="EG14" s="3">
        <f>_xlfn.XLOOKUP(EG$1,generator!$B$2:$B$295,generator!$K$2:$K$295,"ARGH")</f>
        <v>0</v>
      </c>
      <c r="EH14" s="3">
        <f>_xlfn.XLOOKUP(EH$1,generator!$B$2:$B$295,generator!$K$2:$K$295,"ARGH")</f>
        <v>0</v>
      </c>
      <c r="EI14" s="3">
        <f>_xlfn.XLOOKUP(EI$1,generator!$B$2:$B$295,generator!$K$2:$K$295,"ARGH")</f>
        <v>0</v>
      </c>
      <c r="EJ14" s="3">
        <f>_xlfn.XLOOKUP(EJ$1,generator!$B$2:$B$295,generator!$K$2:$K$295,"ARGH")</f>
        <v>0</v>
      </c>
      <c r="EK14" s="3">
        <f>_xlfn.XLOOKUP(EK$1,generator!$B$2:$B$295,generator!$K$2:$K$295,"ARGH")</f>
        <v>0</v>
      </c>
      <c r="EL14" s="3">
        <f>_xlfn.XLOOKUP(EL$1,generator!$B$2:$B$295,generator!$K$2:$K$295,"ARGH")</f>
        <v>0</v>
      </c>
      <c r="EM14" s="3">
        <f>_xlfn.XLOOKUP(EM$1,generator!$B$2:$B$295,generator!$K$2:$K$295,"ARGH")</f>
        <v>0</v>
      </c>
      <c r="EN14" s="3">
        <f>_xlfn.XLOOKUP(EN$1,generator!$B$2:$B$295,generator!$K$2:$K$295,"ARGH")</f>
        <v>0</v>
      </c>
      <c r="EO14" s="3">
        <f>_xlfn.XLOOKUP(EO$1,generator!$B$2:$B$295,generator!$K$2:$K$295,"ARGH")</f>
        <v>0</v>
      </c>
      <c r="EP14" s="3">
        <f>_xlfn.XLOOKUP(EP$1,generator!$B$2:$B$295,generator!$K$2:$K$295,"ARGH")</f>
        <v>0</v>
      </c>
      <c r="EQ14" s="3">
        <f>_xlfn.XLOOKUP(EQ$1,generator!$B$2:$B$295,generator!$K$2:$K$295,"ARGH")</f>
        <v>0</v>
      </c>
      <c r="ER14" s="3">
        <f>_xlfn.XLOOKUP(ER$1,generator!$B$2:$B$295,generator!$K$2:$K$295,"ARGH")</f>
        <v>0</v>
      </c>
      <c r="ES14" s="3">
        <f>_xlfn.XLOOKUP(ES$1,generator!$B$2:$B$295,generator!$K$2:$K$295,"ARGH")</f>
        <v>0</v>
      </c>
      <c r="ET14" s="3">
        <f>_xlfn.XLOOKUP(ET$1,generator!$B$2:$B$295,generator!$K$2:$K$295,"ARGH")</f>
        <v>0</v>
      </c>
      <c r="EU14" s="3">
        <f>_xlfn.XLOOKUP(EU$1,generator!$B$2:$B$295,generator!$K$2:$K$295,"ARGH")</f>
        <v>0</v>
      </c>
      <c r="EV14" s="3">
        <f>_xlfn.XLOOKUP(EV$1,generator!$B$2:$B$295,generator!$K$2:$K$295,"ARGH")</f>
        <v>0</v>
      </c>
      <c r="EW14" s="3">
        <f>_xlfn.XLOOKUP(EW$1,generator!$B$2:$B$295,generator!$K$2:$K$295,"ARGH")</f>
        <v>0</v>
      </c>
      <c r="EX14" s="3">
        <f>_xlfn.XLOOKUP(EX$1,generator!$B$2:$B$295,generator!$K$2:$K$295,"ARGH")</f>
        <v>0</v>
      </c>
      <c r="EY14" s="3">
        <f>_xlfn.XLOOKUP(EY$1,generator!$B$2:$B$295,generator!$K$2:$K$295,"ARGH")</f>
        <v>0</v>
      </c>
      <c r="EZ14" s="3">
        <f>_xlfn.XLOOKUP(EZ$1,generator!$B$2:$B$295,generator!$K$2:$K$295,"ARGH")</f>
        <v>0</v>
      </c>
      <c r="FA14" s="3">
        <f>_xlfn.XLOOKUP(FA$1,generator!$B$2:$B$295,generator!$K$2:$K$295,"ARGH")</f>
        <v>0</v>
      </c>
      <c r="FB14" s="3">
        <f>_xlfn.XLOOKUP(FB$1,generator!$B$2:$B$295,generator!$K$2:$K$295,"ARGH")</f>
        <v>0</v>
      </c>
      <c r="FC14" s="3">
        <f>_xlfn.XLOOKUP(FC$1,generator!$B$2:$B$295,generator!$K$2:$K$295,"ARGH")</f>
        <v>0</v>
      </c>
      <c r="FD14" s="3">
        <f>_xlfn.XLOOKUP(FD$1,generator!$B$2:$B$295,generator!$K$2:$K$295,"ARGH")</f>
        <v>0</v>
      </c>
      <c r="FE14" s="3">
        <f>_xlfn.XLOOKUP(FE$1,generator!$B$2:$B$295,generator!$K$2:$K$295,"ARGH")</f>
        <v>0</v>
      </c>
      <c r="FF14" s="3">
        <f>_xlfn.XLOOKUP(FF$1,generator!$B$2:$B$295,generator!$K$2:$K$295,"ARGH")</f>
        <v>0</v>
      </c>
      <c r="FG14" s="3">
        <f>_xlfn.XLOOKUP(FG$1,generator!$B$2:$B$295,generator!$K$2:$K$295,"ARGH")</f>
        <v>0</v>
      </c>
      <c r="FH14" s="3">
        <f>_xlfn.XLOOKUP(FH$1,generator!$B$2:$B$295,generator!$K$2:$K$295,"ARGH")</f>
        <v>0</v>
      </c>
      <c r="FI14" s="3">
        <f>_xlfn.XLOOKUP(FI$1,generator!$B$2:$B$295,generator!$K$2:$K$295,"ARGH")</f>
        <v>0</v>
      </c>
      <c r="FJ14" s="3">
        <f>_xlfn.XLOOKUP(FJ$1,generator!$B$2:$B$295,generator!$K$2:$K$295,"ARGH")</f>
        <v>0</v>
      </c>
      <c r="FK14" s="3">
        <f>_xlfn.XLOOKUP(FK$1,generator!$B$2:$B$295,generator!$K$2:$K$295,"ARGH")</f>
        <v>0</v>
      </c>
      <c r="FL14" s="3">
        <f>_xlfn.XLOOKUP(FL$1,generator!$B$2:$B$295,generator!$K$2:$K$295,"ARGH")</f>
        <v>0</v>
      </c>
      <c r="FM14" s="3">
        <f>_xlfn.XLOOKUP(FM$1,generator!$B$2:$B$295,generator!$K$2:$K$295,"ARGH")</f>
        <v>0</v>
      </c>
      <c r="FN14" s="3">
        <f>_xlfn.XLOOKUP(FN$1,generator!$B$2:$B$295,generator!$K$2:$K$295,"ARGH")</f>
        <v>0</v>
      </c>
      <c r="FO14" s="3">
        <f>_xlfn.XLOOKUP(FO$1,generator!$B$2:$B$295,generator!$K$2:$K$295,"ARGH")</f>
        <v>0</v>
      </c>
      <c r="FP14" s="3">
        <f>_xlfn.XLOOKUP(FP$1,generator!$B$2:$B$295,generator!$K$2:$K$295,"ARGH")</f>
        <v>0</v>
      </c>
      <c r="FQ14" s="3">
        <f>_xlfn.XLOOKUP(FQ$1,generator!$B$2:$B$295,generator!$K$2:$K$295,"ARGH")</f>
        <v>0</v>
      </c>
      <c r="FR14" s="3">
        <f>_xlfn.XLOOKUP(FR$1,generator!$B$2:$B$295,generator!$K$2:$K$295,"ARGH")</f>
        <v>0</v>
      </c>
      <c r="FS14" s="3">
        <f>_xlfn.XLOOKUP(FS$1,generator!$B$2:$B$295,generator!$K$2:$K$295,"ARGH")</f>
        <v>0</v>
      </c>
      <c r="FT14" s="3">
        <f>_xlfn.XLOOKUP(FT$1,generator!$B$2:$B$295,generator!$K$2:$K$295,"ARGH")</f>
        <v>0</v>
      </c>
      <c r="FU14" s="3">
        <f>_xlfn.XLOOKUP(FU$1,generator!$B$2:$B$295,generator!$K$2:$K$295,"ARGH")</f>
        <v>0</v>
      </c>
      <c r="FV14" s="3">
        <f>_xlfn.XLOOKUP(FV$1,generator!$B$2:$B$295,generator!$K$2:$K$295,"ARGH")</f>
        <v>0</v>
      </c>
      <c r="FW14" s="3">
        <f>_xlfn.XLOOKUP(FW$1,generator!$B$2:$B$295,generator!$K$2:$K$295,"ARGH")</f>
        <v>0</v>
      </c>
      <c r="FX14" s="3">
        <f>_xlfn.XLOOKUP(FX$1,generator!$B$2:$B$295,generator!$K$2:$K$295,"ARGH")</f>
        <v>0</v>
      </c>
      <c r="FY14" s="3">
        <f>_xlfn.XLOOKUP(FY$1,generator!$B$2:$B$295,generator!$K$2:$K$295,"ARGH")</f>
        <v>0</v>
      </c>
      <c r="FZ14" s="3">
        <f>_xlfn.XLOOKUP(FZ$1,generator!$B$2:$B$295,generator!$K$2:$K$295,"ARGH")</f>
        <v>0</v>
      </c>
      <c r="GA14" s="3">
        <f>_xlfn.XLOOKUP(GA$1,generator!$B$2:$B$295,generator!$K$2:$K$295,"ARGH")</f>
        <v>0</v>
      </c>
      <c r="GB14" s="3">
        <f>_xlfn.XLOOKUP(GB$1,generator!$B$2:$B$295,generator!$K$2:$K$295,"ARGH")</f>
        <v>0</v>
      </c>
      <c r="GC14" s="3">
        <f>_xlfn.XLOOKUP(GC$1,generator!$B$2:$B$295,generator!$K$2:$K$295,"ARGH")</f>
        <v>0</v>
      </c>
      <c r="GD14" s="3">
        <f>_xlfn.XLOOKUP(GD$1,generator!$B$2:$B$295,generator!$K$2:$K$295,"ARGH")</f>
        <v>0</v>
      </c>
      <c r="GE14" s="3">
        <f>_xlfn.XLOOKUP(GE$1,generator!$B$2:$B$295,generator!$K$2:$K$295,"ARGH")</f>
        <v>0</v>
      </c>
      <c r="GF14" s="3">
        <f>_xlfn.XLOOKUP(GF$1,generator!$B$2:$B$295,generator!$K$2:$K$295,"ARGH")</f>
        <v>0</v>
      </c>
      <c r="GG14" s="3">
        <f>_xlfn.XLOOKUP(GG$1,generator!$B$2:$B$295,generator!$K$2:$K$295,"ARGH")</f>
        <v>0</v>
      </c>
      <c r="GH14" s="3">
        <f>_xlfn.XLOOKUP(GH$1,generator!$B$2:$B$295,generator!$K$2:$K$295,"ARGH")</f>
        <v>0</v>
      </c>
      <c r="GI14" s="3">
        <f>_xlfn.XLOOKUP(GI$1,generator!$B$2:$B$295,generator!$K$2:$K$295,"ARGH")</f>
        <v>0</v>
      </c>
      <c r="GJ14" s="3">
        <f>_xlfn.XLOOKUP(GJ$1,generator!$B$2:$B$295,generator!$K$2:$K$295,"ARGH")</f>
        <v>0</v>
      </c>
      <c r="GK14" s="3">
        <f>_xlfn.XLOOKUP(GK$1,generator!$B$2:$B$295,generator!$K$2:$K$295,"ARGH")</f>
        <v>0</v>
      </c>
      <c r="GL14" s="3">
        <f>_xlfn.XLOOKUP(GL$1,generator!$B$2:$B$295,generator!$K$2:$K$295,"ARGH")</f>
        <v>0</v>
      </c>
      <c r="GM14" s="3">
        <f>_xlfn.XLOOKUP(GM$1,generator!$B$2:$B$295,generator!$K$2:$K$295,"ARGH")</f>
        <v>0</v>
      </c>
      <c r="GN14" s="3">
        <f>_xlfn.XLOOKUP(GN$1,generator!$B$2:$B$295,generator!$K$2:$K$295,"ARGH")</f>
        <v>0</v>
      </c>
      <c r="GO14" s="3">
        <f>_xlfn.XLOOKUP(GO$1,generator!$B$2:$B$295,generator!$K$2:$K$295,"ARGH")</f>
        <v>0</v>
      </c>
      <c r="GP14" s="3">
        <f>_xlfn.XLOOKUP(GP$1,generator!$B$2:$B$295,generator!$K$2:$K$295,"ARGH")</f>
        <v>0</v>
      </c>
      <c r="GQ14" s="3">
        <f>_xlfn.XLOOKUP(GQ$1,generator!$B$2:$B$295,generator!$K$2:$K$295,"ARGH")</f>
        <v>0</v>
      </c>
      <c r="GR14" s="3">
        <f>_xlfn.XLOOKUP(GR$1,generator!$B$2:$B$295,generator!$K$2:$K$295,"ARGH")</f>
        <v>0</v>
      </c>
      <c r="GS14" s="3">
        <f>_xlfn.XLOOKUP(GS$1,generator!$B$2:$B$295,generator!$K$2:$K$295,"ARGH")</f>
        <v>0</v>
      </c>
      <c r="GT14" s="3">
        <f>_xlfn.XLOOKUP(GT$1,generator!$B$2:$B$295,generator!$K$2:$K$295,"ARGH")</f>
        <v>0</v>
      </c>
      <c r="GU14" s="3">
        <f>_xlfn.XLOOKUP(GU$1,generator!$B$2:$B$295,generator!$K$2:$K$295,"ARGH")</f>
        <v>0</v>
      </c>
      <c r="GV14" s="3">
        <f>_xlfn.XLOOKUP(GV$1,generator!$B$2:$B$295,generator!$K$2:$K$295,"ARGH")</f>
        <v>0</v>
      </c>
      <c r="GW14" s="3">
        <f>_xlfn.XLOOKUP(GW$1,generator!$B$2:$B$295,generator!$K$2:$K$295,"ARGH")</f>
        <v>0</v>
      </c>
      <c r="GX14" s="3">
        <f>_xlfn.XLOOKUP(GX$1,generator!$B$2:$B$295,generator!$K$2:$K$295,"ARGH")</f>
        <v>0</v>
      </c>
      <c r="GY14" s="3">
        <f>_xlfn.XLOOKUP(GY$1,generator!$B$2:$B$295,generator!$K$2:$K$295,"ARGH")</f>
        <v>0</v>
      </c>
      <c r="GZ14" s="3">
        <f>_xlfn.XLOOKUP(GZ$1,generator!$B$2:$B$295,generator!$K$2:$K$295,"ARGH")</f>
        <v>0</v>
      </c>
      <c r="HA14" s="3">
        <f>_xlfn.XLOOKUP(HA$1,generator!$B$2:$B$295,generator!$K$2:$K$295,"ARGH")</f>
        <v>0</v>
      </c>
      <c r="HB14" s="3">
        <f>_xlfn.XLOOKUP(HB$1,generator!$B$2:$B$295,generator!$K$2:$K$295,"ARGH")</f>
        <v>0</v>
      </c>
      <c r="HC14" s="3">
        <f>_xlfn.XLOOKUP(HC$1,generator!$B$2:$B$295,generator!$K$2:$K$295,"ARGH")</f>
        <v>0</v>
      </c>
      <c r="HD14" s="3">
        <f>_xlfn.XLOOKUP(HD$1,generator!$B$2:$B$295,generator!$K$2:$K$295,"ARGH")</f>
        <v>0</v>
      </c>
      <c r="HE14" s="3">
        <f>_xlfn.XLOOKUP(HE$1,generator!$B$2:$B$295,generator!$K$2:$K$295,"ARGH")</f>
        <v>12.74</v>
      </c>
      <c r="HF14" s="3">
        <f>_xlfn.XLOOKUP(HF$1,generator!$B$2:$B$295,generator!$K$2:$K$295,"ARGH")</f>
        <v>99</v>
      </c>
      <c r="HG14" s="3">
        <f>_xlfn.XLOOKUP(HG$1,generator!$B$2:$B$295,generator!$K$2:$K$295,"ARGH")</f>
        <v>99</v>
      </c>
      <c r="HH14" s="3">
        <f>_xlfn.XLOOKUP(HH$1,generator!$B$2:$B$295,generator!$K$2:$K$295,"ARGH")</f>
        <v>99</v>
      </c>
      <c r="HI14" s="3">
        <f>_xlfn.XLOOKUP(HI$1,generator!$B$2:$B$295,generator!$K$2:$K$295,"ARGH")</f>
        <v>8</v>
      </c>
      <c r="HJ14" s="3">
        <f>_xlfn.XLOOKUP(HJ$1,generator!$B$2:$B$295,generator!$K$2:$K$295,"ARGH")</f>
        <v>8</v>
      </c>
      <c r="HK14" s="3">
        <f>_xlfn.XLOOKUP(HK$1,generator!$B$2:$B$295,generator!$K$2:$K$295,"ARGH")</f>
        <v>8</v>
      </c>
      <c r="HL14" s="3">
        <f>_xlfn.XLOOKUP(HL$1,generator!$B$2:$B$295,generator!$K$2:$K$295,"ARGH")</f>
        <v>20</v>
      </c>
      <c r="HM14" s="3">
        <f>_xlfn.XLOOKUP(HM$1,generator!$B$2:$B$295,generator!$K$2:$K$295,"ARGH")</f>
        <v>20</v>
      </c>
      <c r="HN14" s="3">
        <f>_xlfn.XLOOKUP(HN$1,generator!$B$2:$B$295,generator!$K$2:$K$295,"ARGH")</f>
        <v>5</v>
      </c>
      <c r="HO14" s="3">
        <f>_xlfn.XLOOKUP(HO$1,generator!$B$2:$B$295,generator!$K$2:$K$295,"ARGH")</f>
        <v>5</v>
      </c>
      <c r="HP14" s="3">
        <f>_xlfn.XLOOKUP(HP$1,generator!$B$2:$B$295,generator!$K$2:$K$295,"ARGH")</f>
        <v>0.2</v>
      </c>
      <c r="HQ14" s="3">
        <f>_xlfn.XLOOKUP(HQ$1,generator!$B$2:$B$295,generator!$K$2:$K$295,"ARGH")</f>
        <v>5</v>
      </c>
      <c r="HR14" s="3">
        <f>_xlfn.XLOOKUP(HR$1,generator!$B$2:$B$295,generator!$K$2:$K$295,"ARGH")</f>
        <v>5</v>
      </c>
      <c r="HS14" s="3">
        <f>_xlfn.XLOOKUP(HS$1,generator!$B$2:$B$295,generator!$K$2:$K$295,"ARGH")</f>
        <v>12.82</v>
      </c>
      <c r="HT14" s="3">
        <f>_xlfn.XLOOKUP(HT$1,generator!$B$2:$B$295,generator!$K$2:$K$295,"ARGH")</f>
        <v>12.82</v>
      </c>
      <c r="HU14" s="3">
        <f>_xlfn.XLOOKUP(HU$1,generator!$B$2:$B$295,generator!$K$2:$K$295,"ARGH")</f>
        <v>25</v>
      </c>
      <c r="HV14" s="3">
        <f>_xlfn.XLOOKUP(HV$1,generator!$B$2:$B$295,generator!$K$2:$K$295,"ARGH")</f>
        <v>16</v>
      </c>
      <c r="HW14" s="3">
        <f>_xlfn.XLOOKUP(HW$1,generator!$B$2:$B$295,generator!$K$2:$K$295,"ARGH")</f>
        <v>5</v>
      </c>
      <c r="HX14" s="3">
        <f>_xlfn.XLOOKUP(HX$1,generator!$B$2:$B$295,generator!$K$2:$K$295,"ARGH")</f>
        <v>5</v>
      </c>
      <c r="HY14" s="3">
        <f>_xlfn.XLOOKUP(HY$1,generator!$B$2:$B$295,generator!$K$2:$K$295,"ARGH")</f>
        <v>63</v>
      </c>
      <c r="HZ14" s="3">
        <f>_xlfn.XLOOKUP(HZ$1,generator!$B$2:$B$295,generator!$K$2:$K$295,"ARGH")</f>
        <v>18</v>
      </c>
      <c r="IA14" s="3">
        <f>_xlfn.XLOOKUP(IA$1,generator!$B$2:$B$295,generator!$K$2:$K$295,"ARGH")</f>
        <v>121</v>
      </c>
      <c r="IB14" s="3">
        <f>_xlfn.XLOOKUP(IB$1,generator!$B$2:$B$295,generator!$K$2:$K$295,"ARGH")</f>
        <v>120</v>
      </c>
      <c r="IC14" s="3">
        <f>_xlfn.XLOOKUP(IC$1,generator!$B$2:$B$295,generator!$K$2:$K$295,"ARGH")</f>
        <v>0</v>
      </c>
      <c r="ID14" s="3">
        <f>_xlfn.XLOOKUP(ID$1,generator!$B$2:$B$295,generator!$K$2:$K$295,"ARGH")</f>
        <v>17</v>
      </c>
      <c r="IE14" s="3">
        <f>_xlfn.XLOOKUP(IE$1,generator!$B$2:$B$295,generator!$K$2:$K$295,"ARGH")</f>
        <v>194</v>
      </c>
      <c r="IF14" s="3">
        <f>_xlfn.XLOOKUP(IF$1,generator!$B$2:$B$295,generator!$K$2:$K$295,"ARGH")</f>
        <v>11.9</v>
      </c>
      <c r="IG14" s="3">
        <f>_xlfn.XLOOKUP(IG$1,generator!$B$2:$B$295,generator!$K$2:$K$295,"ARGH")</f>
        <v>11.9</v>
      </c>
      <c r="IH14" s="3">
        <f>_xlfn.XLOOKUP(IH$1,generator!$B$2:$B$295,generator!$K$2:$K$295,"ARGH")</f>
        <v>11.9</v>
      </c>
      <c r="II14" s="3">
        <f>_xlfn.XLOOKUP(II$1,generator!$B$2:$B$295,generator!$K$2:$K$295,"ARGH")</f>
        <v>11.9</v>
      </c>
      <c r="IJ14" s="3">
        <f>_xlfn.XLOOKUP(IJ$1,generator!$B$2:$B$295,generator!$K$2:$K$295,"ARGH")</f>
        <v>0</v>
      </c>
      <c r="IK14" s="3">
        <f>_xlfn.XLOOKUP(IK$1,generator!$B$2:$B$295,generator!$K$2:$K$295,"ARGH")</f>
        <v>3</v>
      </c>
      <c r="IL14" s="3">
        <f>_xlfn.XLOOKUP(IL$1,generator!$B$2:$B$295,generator!$K$2:$K$295,"ARGH")</f>
        <v>5</v>
      </c>
      <c r="IM14" s="3">
        <f>_xlfn.XLOOKUP(IM$1,generator!$B$2:$B$295,generator!$K$2:$K$295,"ARGH")</f>
        <v>5</v>
      </c>
      <c r="IN14" s="3">
        <f>_xlfn.XLOOKUP(IN$1,generator!$B$2:$B$295,generator!$K$2:$K$295,"ARGH")</f>
        <v>4</v>
      </c>
      <c r="IO14" s="3">
        <f>_xlfn.XLOOKUP(IO$1,generator!$B$2:$B$295,generator!$K$2:$K$295,"ARGH")</f>
        <v>4</v>
      </c>
      <c r="IP14" s="3">
        <f>_xlfn.XLOOKUP(IP$1,generator!$B$2:$B$295,generator!$K$2:$K$295,"ARGH")</f>
        <v>3</v>
      </c>
      <c r="IQ14" s="3">
        <f>_xlfn.XLOOKUP(IQ$1,generator!$B$2:$B$295,generator!$K$2:$K$295,"ARGH")</f>
        <v>1</v>
      </c>
      <c r="IR14" s="3">
        <f>_xlfn.XLOOKUP(IR$1,generator!$B$2:$B$295,generator!$K$2:$K$295,"ARGH")</f>
        <v>3</v>
      </c>
      <c r="IS14" s="3">
        <f>_xlfn.XLOOKUP(IS$1,generator!$B$2:$B$295,generator!$K$2:$K$295,"ARGH")</f>
        <v>3</v>
      </c>
      <c r="IT14" s="3">
        <f>_xlfn.XLOOKUP(IT$1,generator!$B$2:$B$295,generator!$K$2:$K$295,"ARGH")</f>
        <v>0</v>
      </c>
      <c r="IU14" s="3">
        <f>_xlfn.XLOOKUP(IU$1,generator!$B$2:$B$295,generator!$K$2:$K$295,"ARGH")</f>
        <v>3.99</v>
      </c>
      <c r="IV14" s="3">
        <f>_xlfn.XLOOKUP(IV$1,generator!$B$2:$B$295,generator!$K$2:$K$295,"ARGH")</f>
        <v>0.2</v>
      </c>
      <c r="IW14" s="3">
        <f>_xlfn.XLOOKUP(IW$1,generator!$B$2:$B$295,generator!$K$2:$K$295,"ARGH")</f>
        <v>15</v>
      </c>
      <c r="IX14" s="3">
        <f>_xlfn.XLOOKUP(IX$1,generator!$B$2:$B$295,generator!$K$2:$K$295,"ARGH")</f>
        <v>15</v>
      </c>
      <c r="IY14" s="3">
        <f>_xlfn.XLOOKUP(IY$1,generator!$B$2:$B$295,generator!$K$2:$K$295,"ARGH")</f>
        <v>15</v>
      </c>
      <c r="IZ14" s="3">
        <f>_xlfn.XLOOKUP(IZ$1,generator!$B$2:$B$295,generator!$K$2:$K$295,"ARGH")</f>
        <v>120</v>
      </c>
      <c r="JA14" s="3">
        <f>_xlfn.XLOOKUP(JA$1,generator!$B$2:$B$295,generator!$K$2:$K$295,"ARGH")</f>
        <v>40</v>
      </c>
      <c r="JB14" s="3">
        <f>_xlfn.XLOOKUP(JB$1,generator!$B$2:$B$295,generator!$K$2:$K$295,"ARGH")</f>
        <v>40</v>
      </c>
      <c r="JC14" s="3">
        <f>_xlfn.XLOOKUP(JC$1,generator!$B$2:$B$295,generator!$K$2:$K$295,"ARGH")</f>
        <v>113</v>
      </c>
      <c r="JD14" s="3">
        <f>_xlfn.XLOOKUP(JD$1,generator!$B$2:$B$295,generator!$K$2:$K$295,"ARGH")</f>
        <v>113</v>
      </c>
      <c r="JE14" s="3">
        <f>_xlfn.XLOOKUP(JE$1,generator!$B$2:$B$295,generator!$K$2:$K$295,"ARGH")</f>
        <v>211</v>
      </c>
      <c r="JF14" s="3">
        <f>_xlfn.XLOOKUP(JF$1,generator!$B$2:$B$295,generator!$K$2:$K$295,"ARGH")</f>
        <v>22.5</v>
      </c>
      <c r="JG14" s="3">
        <f>_xlfn.XLOOKUP(JG$1,generator!$B$2:$B$295,generator!$K$2:$K$295,"ARGH")</f>
        <v>1</v>
      </c>
      <c r="JH14" s="3">
        <f>_xlfn.XLOOKUP(JH$1,generator!$B$2:$B$295,generator!$K$2:$K$295,"ARGH")</f>
        <v>160</v>
      </c>
      <c r="JI14" s="3">
        <f>_xlfn.XLOOKUP(JI$1,generator!$B$2:$B$295,generator!$K$2:$K$295,"ARGH")</f>
        <v>165</v>
      </c>
      <c r="JJ14" s="3">
        <f>_xlfn.XLOOKUP(JJ$1,generator!$B$2:$B$295,generator!$K$2:$K$295,"ARGH")</f>
        <v>4.5999999999999996</v>
      </c>
      <c r="JK14" s="3">
        <f>_xlfn.XLOOKUP(JK$1,generator!$B$2:$B$295,generator!$K$2:$K$295,"ARGH")</f>
        <v>4.5999999999999996</v>
      </c>
      <c r="JL14" s="3">
        <f>_xlfn.XLOOKUP(JL$1,generator!$B$2:$B$295,generator!$K$2:$K$295,"ARGH")</f>
        <v>4.5999999999999996</v>
      </c>
      <c r="JM14" s="3">
        <f>_xlfn.XLOOKUP(JM$1,generator!$B$2:$B$295,generator!$K$2:$K$295,"ARGH")</f>
        <v>4.5999999999999996</v>
      </c>
      <c r="JN14" s="3">
        <f>_xlfn.XLOOKUP(JN$1,generator!$B$2:$B$295,generator!$K$2:$K$295,"ARGH")</f>
        <v>4.5999999999999996</v>
      </c>
      <c r="JO14" s="3">
        <f>_xlfn.XLOOKUP(JO$1,generator!$B$2:$B$295,generator!$K$2:$K$295,"ARGH")</f>
        <v>4.5999999999999996</v>
      </c>
      <c r="JP14" s="3">
        <f>_xlfn.XLOOKUP(JP$1,generator!$B$2:$B$295,generator!$K$2:$K$295,"ARGH")</f>
        <v>110</v>
      </c>
      <c r="JQ14" s="3">
        <f>_xlfn.XLOOKUP(JQ$1,generator!$B$2:$B$295,generator!$K$2:$K$295,"ARGH")</f>
        <v>22.7</v>
      </c>
      <c r="JR14" s="3">
        <f>_xlfn.XLOOKUP(JR$1,generator!$B$2:$B$295,generator!$K$2:$K$295,"ARGH")</f>
        <v>147</v>
      </c>
      <c r="JS14" s="3">
        <f>_xlfn.XLOOKUP(JS$1,generator!$B$2:$B$295,generator!$K$2:$K$295,"ARGH")</f>
        <v>147</v>
      </c>
      <c r="JT14" s="3">
        <f>_xlfn.XLOOKUP(JT$1,generator!$B$2:$B$295,generator!$K$2:$K$295,"ARGH")</f>
        <v>22.7</v>
      </c>
      <c r="JU14" s="3">
        <f>_xlfn.XLOOKUP(JU$1,generator!$B$2:$B$295,generator!$K$2:$K$295,"ARGH")</f>
        <v>21.5</v>
      </c>
      <c r="JV14" s="3">
        <f>_xlfn.XLOOKUP(JV$1,generator!$B$2:$B$295,generator!$K$2:$K$295,"ARGH")</f>
        <v>120</v>
      </c>
      <c r="JW14" s="3">
        <f>_xlfn.XLOOKUP(JW$1,generator!$B$2:$B$295,generator!$K$2:$K$295,"ARGH")</f>
        <v>120</v>
      </c>
      <c r="JX14" s="3">
        <f>_xlfn.XLOOKUP(JX$1,generator!$B$2:$B$295,generator!$K$2:$K$295,"ARGH")</f>
        <v>1</v>
      </c>
      <c r="JY14" s="3">
        <f>_xlfn.XLOOKUP(JY$1,generator!$B$2:$B$295,generator!$K$2:$K$295,"ARGH")</f>
        <v>41.15</v>
      </c>
      <c r="JZ14" s="3">
        <f>_xlfn.XLOOKUP(JZ$1,generator!$B$2:$B$295,generator!$K$2:$K$295,"ARGH")</f>
        <v>5</v>
      </c>
      <c r="KA14" s="3">
        <f>_xlfn.XLOOKUP(KA$1,generator!$B$2:$B$295,generator!$K$2:$K$295,"ARGH")</f>
        <v>5</v>
      </c>
      <c r="KB14" s="3">
        <f>_xlfn.XLOOKUP(KB$1,generator!$B$2:$B$295,generator!$K$2:$K$295,"ARGH")</f>
        <v>5</v>
      </c>
      <c r="KC14" s="3">
        <f>_xlfn.XLOOKUP(KC$1,generator!$B$2:$B$295,generator!$K$2:$K$295,"ARGH")</f>
        <v>5</v>
      </c>
    </row>
    <row r="15" spans="1:289" x14ac:dyDescent="0.3">
      <c r="A15" s="4" t="s">
        <v>3010</v>
      </c>
      <c r="B15" s="31">
        <v>0</v>
      </c>
      <c r="C15" s="31">
        <v>513</v>
      </c>
      <c r="D15" s="31">
        <v>307</v>
      </c>
      <c r="E15" s="3">
        <f>_xlfn.XLOOKUP(E$1,generator!$B$2:$B$295,generator!$K$2:$K$295,"ARGH")</f>
        <v>0</v>
      </c>
      <c r="F15" s="3">
        <f>_xlfn.XLOOKUP(F$1,generator!$B$2:$B$295,generator!$K$2:$K$295,"ARGH")</f>
        <v>0</v>
      </c>
      <c r="G15" s="3">
        <f>_xlfn.XLOOKUP(G$1,generator!$B$2:$B$295,generator!$K$2:$K$295,"ARGH")</f>
        <v>0</v>
      </c>
      <c r="H15" s="3">
        <f>_xlfn.XLOOKUP(H$1,generator!$B$2:$B$295,generator!$K$2:$K$295,"ARGH")</f>
        <v>0</v>
      </c>
      <c r="I15" s="3">
        <f>_xlfn.XLOOKUP(I$1,generator!$B$2:$B$295,generator!$K$2:$K$295,"ARGH")</f>
        <v>0</v>
      </c>
      <c r="J15" s="3">
        <f>_xlfn.XLOOKUP(J$1,generator!$B$2:$B$295,generator!$K$2:$K$295,"ARGH")</f>
        <v>0</v>
      </c>
      <c r="K15" s="3">
        <f>_xlfn.XLOOKUP(K$1,generator!$B$2:$B$295,generator!$K$2:$K$295,"ARGH")</f>
        <v>0</v>
      </c>
      <c r="L15" s="3">
        <f>_xlfn.XLOOKUP(L$1,generator!$B$2:$B$295,generator!$K$2:$K$295,"ARGH")</f>
        <v>0</v>
      </c>
      <c r="M15" s="3">
        <f>_xlfn.XLOOKUP(M$1,generator!$B$2:$B$295,generator!$K$2:$K$295,"ARGH")</f>
        <v>0</v>
      </c>
      <c r="N15" s="3">
        <f>_xlfn.XLOOKUP(N$1,generator!$B$2:$B$295,generator!$K$2:$K$295,"ARGH")</f>
        <v>0</v>
      </c>
      <c r="O15" s="3">
        <f>_xlfn.XLOOKUP(O$1,generator!$B$2:$B$295,generator!$K$2:$K$295,"ARGH")</f>
        <v>0</v>
      </c>
      <c r="P15" s="3">
        <f>_xlfn.XLOOKUP(P$1,generator!$B$2:$B$295,generator!$K$2:$K$295,"ARGH")</f>
        <v>0</v>
      </c>
      <c r="Q15" s="3">
        <f>_xlfn.XLOOKUP(Q$1,generator!$B$2:$B$295,generator!$K$2:$K$295,"ARGH")</f>
        <v>0</v>
      </c>
      <c r="R15" s="3">
        <f>_xlfn.XLOOKUP(R$1,generator!$B$2:$B$295,generator!$K$2:$K$295,"ARGH")</f>
        <v>0</v>
      </c>
      <c r="S15" s="3">
        <f>_xlfn.XLOOKUP(S$1,generator!$B$2:$B$295,generator!$K$2:$K$295,"ARGH")</f>
        <v>0</v>
      </c>
      <c r="T15" s="3">
        <f>_xlfn.XLOOKUP(T$1,generator!$B$2:$B$295,generator!$K$2:$K$295,"ARGH")</f>
        <v>0</v>
      </c>
      <c r="U15" s="3">
        <f>_xlfn.XLOOKUP(U$1,generator!$B$2:$B$295,generator!$K$2:$K$295,"ARGH")</f>
        <v>0</v>
      </c>
      <c r="V15" s="3">
        <f>_xlfn.XLOOKUP(V$1,generator!$B$2:$B$295,generator!$K$2:$K$295,"ARGH")</f>
        <v>0</v>
      </c>
      <c r="W15" s="3">
        <f>_xlfn.XLOOKUP(W$1,generator!$B$2:$B$295,generator!$K$2:$K$295,"ARGH")</f>
        <v>0</v>
      </c>
      <c r="X15" s="3">
        <f>_xlfn.XLOOKUP(X$1,generator!$B$2:$B$295,generator!$K$2:$K$295,"ARGH")</f>
        <v>0</v>
      </c>
      <c r="Y15" s="3">
        <f>_xlfn.XLOOKUP(Y$1,generator!$B$2:$B$295,generator!$K$2:$K$295,"ARGH")</f>
        <v>0</v>
      </c>
      <c r="Z15" s="3">
        <f>_xlfn.XLOOKUP(Z$1,generator!$B$2:$B$295,generator!$K$2:$K$295,"ARGH")</f>
        <v>0</v>
      </c>
      <c r="AA15" s="3">
        <f>_xlfn.XLOOKUP(AA$1,generator!$B$2:$B$295,generator!$K$2:$K$295,"ARGH")</f>
        <v>0</v>
      </c>
      <c r="AB15" s="3">
        <f>_xlfn.XLOOKUP(AB$1,generator!$B$2:$B$295,generator!$K$2:$K$295,"ARGH")</f>
        <v>0</v>
      </c>
      <c r="AC15" s="3">
        <f>_xlfn.XLOOKUP(AC$1,generator!$B$2:$B$295,generator!$K$2:$K$295,"ARGH")</f>
        <v>0</v>
      </c>
      <c r="AD15" s="3">
        <f>_xlfn.XLOOKUP(AD$1,generator!$B$2:$B$295,generator!$K$2:$K$295,"ARGH")</f>
        <v>0</v>
      </c>
      <c r="AE15" s="3">
        <f>_xlfn.XLOOKUP(AE$1,generator!$B$2:$B$295,generator!$K$2:$K$295,"ARGH")</f>
        <v>0</v>
      </c>
      <c r="AF15" s="3">
        <f>_xlfn.XLOOKUP(AF$1,generator!$B$2:$B$295,generator!$K$2:$K$295,"ARGH")</f>
        <v>0</v>
      </c>
      <c r="AG15" s="3">
        <f>_xlfn.XLOOKUP(AG$1,generator!$B$2:$B$295,generator!$K$2:$K$295,"ARGH")</f>
        <v>0</v>
      </c>
      <c r="AH15" s="3">
        <f>_xlfn.XLOOKUP(AH$1,generator!$B$2:$B$295,generator!$K$2:$K$295,"ARGH")</f>
        <v>0</v>
      </c>
      <c r="AI15" s="3">
        <f>_xlfn.XLOOKUP(AI$1,generator!$B$2:$B$295,generator!$K$2:$K$295,"ARGH")</f>
        <v>0</v>
      </c>
      <c r="AJ15" s="3">
        <f>_xlfn.XLOOKUP(AJ$1,generator!$B$2:$B$295,generator!$K$2:$K$295,"ARGH")</f>
        <v>0</v>
      </c>
      <c r="AK15" s="3">
        <f>_xlfn.XLOOKUP(AK$1,generator!$B$2:$B$295,generator!$K$2:$K$295,"ARGH")</f>
        <v>0</v>
      </c>
      <c r="AL15" s="3">
        <f>_xlfn.XLOOKUP(AL$1,generator!$B$2:$B$295,generator!$K$2:$K$295,"ARGH")</f>
        <v>0</v>
      </c>
      <c r="AM15" s="3">
        <f>_xlfn.XLOOKUP(AM$1,generator!$B$2:$B$295,generator!$K$2:$K$295,"ARGH")</f>
        <v>0</v>
      </c>
      <c r="AN15" s="3">
        <f>_xlfn.XLOOKUP(AN$1,generator!$B$2:$B$295,generator!$K$2:$K$295,"ARGH")</f>
        <v>0</v>
      </c>
      <c r="AO15" s="3">
        <f>_xlfn.XLOOKUP(AO$1,generator!$B$2:$B$295,generator!$K$2:$K$295,"ARGH")</f>
        <v>0</v>
      </c>
      <c r="AP15" s="3">
        <f>_xlfn.XLOOKUP(AP$1,generator!$B$2:$B$295,generator!$K$2:$K$295,"ARGH")</f>
        <v>0</v>
      </c>
      <c r="AQ15" s="3">
        <f>_xlfn.XLOOKUP(AQ$1,generator!$B$2:$B$295,generator!$K$2:$K$295,"ARGH")</f>
        <v>0</v>
      </c>
      <c r="AR15" s="3">
        <f>_xlfn.XLOOKUP(AR$1,generator!$B$2:$B$295,generator!$K$2:$K$295,"ARGH")</f>
        <v>0</v>
      </c>
      <c r="AS15" s="3">
        <f>_xlfn.XLOOKUP(AS$1,generator!$B$2:$B$295,generator!$K$2:$K$295,"ARGH")</f>
        <v>0</v>
      </c>
      <c r="AT15" s="3">
        <f>_xlfn.XLOOKUP(AT$1,generator!$B$2:$B$295,generator!$K$2:$K$295,"ARGH")</f>
        <v>0</v>
      </c>
      <c r="AU15" s="3">
        <f>_xlfn.XLOOKUP(AU$1,generator!$B$2:$B$295,generator!$K$2:$K$295,"ARGH")</f>
        <v>0</v>
      </c>
      <c r="AV15" s="3">
        <f>_xlfn.XLOOKUP(AV$1,generator!$B$2:$B$295,generator!$K$2:$K$295,"ARGH")</f>
        <v>0</v>
      </c>
      <c r="AW15" s="3">
        <f>_xlfn.XLOOKUP(AW$1,generator!$B$2:$B$295,generator!$K$2:$K$295,"ARGH")</f>
        <v>0</v>
      </c>
      <c r="AX15" s="3">
        <f>_xlfn.XLOOKUP(AX$1,generator!$B$2:$B$295,generator!$K$2:$K$295,"ARGH")</f>
        <v>0</v>
      </c>
      <c r="AY15" s="3">
        <f>_xlfn.XLOOKUP(AY$1,generator!$B$2:$B$295,generator!$K$2:$K$295,"ARGH")</f>
        <v>0</v>
      </c>
      <c r="AZ15" s="3">
        <f>_xlfn.XLOOKUP(AZ$1,generator!$B$2:$B$295,generator!$K$2:$K$295,"ARGH")</f>
        <v>0</v>
      </c>
      <c r="BA15" s="3">
        <f>_xlfn.XLOOKUP(BA$1,generator!$B$2:$B$295,generator!$K$2:$K$295,"ARGH")</f>
        <v>0</v>
      </c>
      <c r="BB15" s="3">
        <f>_xlfn.XLOOKUP(BB$1,generator!$B$2:$B$295,generator!$K$2:$K$295,"ARGH")</f>
        <v>0</v>
      </c>
      <c r="BC15" s="3">
        <f>_xlfn.XLOOKUP(BC$1,generator!$B$2:$B$295,generator!$K$2:$K$295,"ARGH")</f>
        <v>0</v>
      </c>
      <c r="BD15" s="3">
        <f>_xlfn.XLOOKUP(BD$1,generator!$B$2:$B$295,generator!$K$2:$K$295,"ARGH")</f>
        <v>0</v>
      </c>
      <c r="BE15" s="3">
        <f>_xlfn.XLOOKUP(BE$1,generator!$B$2:$B$295,generator!$K$2:$K$295,"ARGH")</f>
        <v>0</v>
      </c>
      <c r="BF15" s="3">
        <f>_xlfn.XLOOKUP(BF$1,generator!$B$2:$B$295,generator!$K$2:$K$295,"ARGH")</f>
        <v>0</v>
      </c>
      <c r="BG15" s="3">
        <f>_xlfn.XLOOKUP(BG$1,generator!$B$2:$B$295,generator!$K$2:$K$295,"ARGH")</f>
        <v>0</v>
      </c>
      <c r="BH15" s="3">
        <f>_xlfn.XLOOKUP(BH$1,generator!$B$2:$B$295,generator!$K$2:$K$295,"ARGH")</f>
        <v>0</v>
      </c>
      <c r="BI15" s="3">
        <f>_xlfn.XLOOKUP(BI$1,generator!$B$2:$B$295,generator!$K$2:$K$295,"ARGH")</f>
        <v>0</v>
      </c>
      <c r="BJ15" s="3">
        <f>_xlfn.XLOOKUP(BJ$1,generator!$B$2:$B$295,generator!$K$2:$K$295,"ARGH")</f>
        <v>0</v>
      </c>
      <c r="BK15" s="3">
        <f>_xlfn.XLOOKUP(BK$1,generator!$B$2:$B$295,generator!$K$2:$K$295,"ARGH")</f>
        <v>0</v>
      </c>
      <c r="BL15" s="3">
        <f>_xlfn.XLOOKUP(BL$1,generator!$B$2:$B$295,generator!$K$2:$K$295,"ARGH")</f>
        <v>0</v>
      </c>
      <c r="BM15" s="3">
        <f>_xlfn.XLOOKUP(BM$1,generator!$B$2:$B$295,generator!$K$2:$K$295,"ARGH")</f>
        <v>0</v>
      </c>
      <c r="BN15" s="3">
        <f>_xlfn.XLOOKUP(BN$1,generator!$B$2:$B$295,generator!$K$2:$K$295,"ARGH")</f>
        <v>0</v>
      </c>
      <c r="BO15" s="3">
        <f>_xlfn.XLOOKUP(BO$1,generator!$B$2:$B$295,generator!$K$2:$K$295,"ARGH")</f>
        <v>0</v>
      </c>
      <c r="BP15" s="3">
        <f>_xlfn.XLOOKUP(BP$1,generator!$B$2:$B$295,generator!$K$2:$K$295,"ARGH")</f>
        <v>0</v>
      </c>
      <c r="BQ15" s="3">
        <f>_xlfn.XLOOKUP(BQ$1,generator!$B$2:$B$295,generator!$K$2:$K$295,"ARGH")</f>
        <v>0</v>
      </c>
      <c r="BR15" s="3">
        <f>_xlfn.XLOOKUP(BR$1,generator!$B$2:$B$295,generator!$K$2:$K$295,"ARGH")</f>
        <v>0</v>
      </c>
      <c r="BS15" s="3">
        <f>_xlfn.XLOOKUP(BS$1,generator!$B$2:$B$295,generator!$K$2:$K$295,"ARGH")</f>
        <v>0</v>
      </c>
      <c r="BT15" s="3">
        <f>_xlfn.XLOOKUP(BT$1,generator!$B$2:$B$295,generator!$K$2:$K$295,"ARGH")</f>
        <v>0</v>
      </c>
      <c r="BU15" s="3">
        <f>_xlfn.XLOOKUP(BU$1,generator!$B$2:$B$295,generator!$K$2:$K$295,"ARGH")</f>
        <v>0</v>
      </c>
      <c r="BV15" s="3">
        <f>_xlfn.XLOOKUP(BV$1,generator!$B$2:$B$295,generator!$K$2:$K$295,"ARGH")</f>
        <v>0</v>
      </c>
      <c r="BW15" s="3">
        <f>_xlfn.XLOOKUP(BW$1,generator!$B$2:$B$295,generator!$K$2:$K$295,"ARGH")</f>
        <v>0</v>
      </c>
      <c r="BX15" s="3">
        <f>_xlfn.XLOOKUP(BX$1,generator!$B$2:$B$295,generator!$K$2:$K$295,"ARGH")</f>
        <v>0</v>
      </c>
      <c r="BY15" s="3">
        <f>_xlfn.XLOOKUP(BY$1,generator!$B$2:$B$295,generator!$K$2:$K$295,"ARGH")</f>
        <v>0</v>
      </c>
      <c r="BZ15" s="3">
        <f>_xlfn.XLOOKUP(BZ$1,generator!$B$2:$B$295,generator!$K$2:$K$295,"ARGH")</f>
        <v>0</v>
      </c>
      <c r="CA15" s="3">
        <f>_xlfn.XLOOKUP(CA$1,generator!$B$2:$B$295,generator!$K$2:$K$295,"ARGH")</f>
        <v>0</v>
      </c>
      <c r="CB15" s="3">
        <f>_xlfn.XLOOKUP(CB$1,generator!$B$2:$B$295,generator!$K$2:$K$295,"ARGH")</f>
        <v>0</v>
      </c>
      <c r="CC15" s="3">
        <f>_xlfn.XLOOKUP(CC$1,generator!$B$2:$B$295,generator!$K$2:$K$295,"ARGH")</f>
        <v>0</v>
      </c>
      <c r="CD15" s="3">
        <f>_xlfn.XLOOKUP(CD$1,generator!$B$2:$B$295,generator!$K$2:$K$295,"ARGH")</f>
        <v>0</v>
      </c>
      <c r="CE15" s="3">
        <f>_xlfn.XLOOKUP(CE$1,generator!$B$2:$B$295,generator!$K$2:$K$295,"ARGH")</f>
        <v>0</v>
      </c>
      <c r="CF15" s="3">
        <f>_xlfn.XLOOKUP(CF$1,generator!$B$2:$B$295,generator!$K$2:$K$295,"ARGH")</f>
        <v>0</v>
      </c>
      <c r="CG15" s="3">
        <f>_xlfn.XLOOKUP(CG$1,generator!$B$2:$B$295,generator!$K$2:$K$295,"ARGH")</f>
        <v>0</v>
      </c>
      <c r="CH15" s="3">
        <f>_xlfn.XLOOKUP(CH$1,generator!$B$2:$B$295,generator!$K$2:$K$295,"ARGH")</f>
        <v>0</v>
      </c>
      <c r="CI15" s="3">
        <f>_xlfn.XLOOKUP(CI$1,generator!$B$2:$B$295,generator!$K$2:$K$295,"ARGH")</f>
        <v>0</v>
      </c>
      <c r="CJ15" s="3">
        <f>_xlfn.XLOOKUP(CJ$1,generator!$B$2:$B$295,generator!$K$2:$K$295,"ARGH")</f>
        <v>0</v>
      </c>
      <c r="CK15" s="3">
        <f>_xlfn.XLOOKUP(CK$1,generator!$B$2:$B$295,generator!$K$2:$K$295,"ARGH")</f>
        <v>0</v>
      </c>
      <c r="CL15" s="3">
        <f>_xlfn.XLOOKUP(CL$1,generator!$B$2:$B$295,generator!$K$2:$K$295,"ARGH")</f>
        <v>0</v>
      </c>
      <c r="CM15" s="3">
        <f>_xlfn.XLOOKUP(CM$1,generator!$B$2:$B$295,generator!$K$2:$K$295,"ARGH")</f>
        <v>0</v>
      </c>
      <c r="CN15" s="3">
        <f>_xlfn.XLOOKUP(CN$1,generator!$B$2:$B$295,generator!$K$2:$K$295,"ARGH")</f>
        <v>0</v>
      </c>
      <c r="CO15" s="3">
        <f>_xlfn.XLOOKUP(CO$1,generator!$B$2:$B$295,generator!$K$2:$K$295,"ARGH")</f>
        <v>0</v>
      </c>
      <c r="CP15" s="3">
        <f>_xlfn.XLOOKUP(CP$1,generator!$B$2:$B$295,generator!$K$2:$K$295,"ARGH")</f>
        <v>0</v>
      </c>
      <c r="CQ15" s="3">
        <f>_xlfn.XLOOKUP(CQ$1,generator!$B$2:$B$295,generator!$K$2:$K$295,"ARGH")</f>
        <v>0</v>
      </c>
      <c r="CR15" s="3">
        <f>_xlfn.XLOOKUP(CR$1,generator!$B$2:$B$295,generator!$K$2:$K$295,"ARGH")</f>
        <v>0</v>
      </c>
      <c r="CS15" s="3">
        <f>_xlfn.XLOOKUP(CS$1,generator!$B$2:$B$295,generator!$K$2:$K$295,"ARGH")</f>
        <v>0</v>
      </c>
      <c r="CT15" s="3">
        <f>_xlfn.XLOOKUP(CT$1,generator!$B$2:$B$295,generator!$K$2:$K$295,"ARGH")</f>
        <v>0</v>
      </c>
      <c r="CU15" s="3">
        <f>_xlfn.XLOOKUP(CU$1,generator!$B$2:$B$295,generator!$K$2:$K$295,"ARGH")</f>
        <v>0</v>
      </c>
      <c r="CV15" s="3">
        <f>_xlfn.XLOOKUP(CV$1,generator!$B$2:$B$295,generator!$K$2:$K$295,"ARGH")</f>
        <v>0</v>
      </c>
      <c r="CW15" s="3">
        <f>_xlfn.XLOOKUP(CW$1,generator!$B$2:$B$295,generator!$K$2:$K$295,"ARGH")</f>
        <v>0</v>
      </c>
      <c r="CX15" s="3">
        <f>_xlfn.XLOOKUP(CX$1,generator!$B$2:$B$295,generator!$K$2:$K$295,"ARGH")</f>
        <v>0</v>
      </c>
      <c r="CY15" s="3">
        <f>_xlfn.XLOOKUP(CY$1,generator!$B$2:$B$295,generator!$K$2:$K$295,"ARGH")</f>
        <v>0</v>
      </c>
      <c r="CZ15" s="3">
        <f>_xlfn.XLOOKUP(CZ$1,generator!$B$2:$B$295,generator!$K$2:$K$295,"ARGH")</f>
        <v>0</v>
      </c>
      <c r="DA15" s="3">
        <f>_xlfn.XLOOKUP(DA$1,generator!$B$2:$B$295,generator!$K$2:$K$295,"ARGH")</f>
        <v>0</v>
      </c>
      <c r="DB15" s="3">
        <f>_xlfn.XLOOKUP(DB$1,generator!$B$2:$B$295,generator!$K$2:$K$295,"ARGH")</f>
        <v>0</v>
      </c>
      <c r="DC15" s="3">
        <f>_xlfn.XLOOKUP(DC$1,generator!$B$2:$B$295,generator!$K$2:$K$295,"ARGH")</f>
        <v>0</v>
      </c>
      <c r="DD15" s="3">
        <f>_xlfn.XLOOKUP(DD$1,generator!$B$2:$B$295,generator!$K$2:$K$295,"ARGH")</f>
        <v>0</v>
      </c>
      <c r="DE15" s="3">
        <f>_xlfn.XLOOKUP(DE$1,generator!$B$2:$B$295,generator!$K$2:$K$295,"ARGH")</f>
        <v>0</v>
      </c>
      <c r="DF15" s="3">
        <f>_xlfn.XLOOKUP(DF$1,generator!$B$2:$B$295,generator!$K$2:$K$295,"ARGH")</f>
        <v>0</v>
      </c>
      <c r="DG15" s="3">
        <f>_xlfn.XLOOKUP(DG$1,generator!$B$2:$B$295,generator!$K$2:$K$295,"ARGH")</f>
        <v>0</v>
      </c>
      <c r="DH15" s="3">
        <f>_xlfn.XLOOKUP(DH$1,generator!$B$2:$B$295,generator!$K$2:$K$295,"ARGH")</f>
        <v>0</v>
      </c>
      <c r="DI15" s="3">
        <f>_xlfn.XLOOKUP(DI$1,generator!$B$2:$B$295,generator!$K$2:$K$295,"ARGH")</f>
        <v>0</v>
      </c>
      <c r="DJ15" s="3">
        <f>_xlfn.XLOOKUP(DJ$1,generator!$B$2:$B$295,generator!$K$2:$K$295,"ARGH")</f>
        <v>0</v>
      </c>
      <c r="DK15" s="3">
        <f>_xlfn.XLOOKUP(DK$1,generator!$B$2:$B$295,generator!$K$2:$K$295,"ARGH")</f>
        <v>0</v>
      </c>
      <c r="DL15" s="3">
        <f>_xlfn.XLOOKUP(DL$1,generator!$B$2:$B$295,generator!$K$2:$K$295,"ARGH")</f>
        <v>0</v>
      </c>
      <c r="DM15" s="3">
        <f>_xlfn.XLOOKUP(DM$1,generator!$B$2:$B$295,generator!$K$2:$K$295,"ARGH")</f>
        <v>0</v>
      </c>
      <c r="DN15" s="3">
        <f>_xlfn.XLOOKUP(DN$1,generator!$B$2:$B$295,generator!$K$2:$K$295,"ARGH")</f>
        <v>0</v>
      </c>
      <c r="DO15" s="3">
        <f>_xlfn.XLOOKUP(DO$1,generator!$B$2:$B$295,generator!$K$2:$K$295,"ARGH")</f>
        <v>0</v>
      </c>
      <c r="DP15" s="3">
        <f>_xlfn.XLOOKUP(DP$1,generator!$B$2:$B$295,generator!$K$2:$K$295,"ARGH")</f>
        <v>0</v>
      </c>
      <c r="DQ15" s="3">
        <f>_xlfn.XLOOKUP(DQ$1,generator!$B$2:$B$295,generator!$K$2:$K$295,"ARGH")</f>
        <v>0</v>
      </c>
      <c r="DR15" s="3">
        <f>_xlfn.XLOOKUP(DR$1,generator!$B$2:$B$295,generator!$K$2:$K$295,"ARGH")</f>
        <v>0</v>
      </c>
      <c r="DS15" s="3">
        <f>_xlfn.XLOOKUP(DS$1,generator!$B$2:$B$295,generator!$K$2:$K$295,"ARGH")</f>
        <v>0</v>
      </c>
      <c r="DT15" s="3">
        <f>_xlfn.XLOOKUP(DT$1,generator!$B$2:$B$295,generator!$K$2:$K$295,"ARGH")</f>
        <v>0</v>
      </c>
      <c r="DU15" s="3">
        <f>_xlfn.XLOOKUP(DU$1,generator!$B$2:$B$295,generator!$K$2:$K$295,"ARGH")</f>
        <v>0</v>
      </c>
      <c r="DV15" s="3">
        <f>_xlfn.XLOOKUP(DV$1,generator!$B$2:$B$295,generator!$K$2:$K$295,"ARGH")</f>
        <v>0</v>
      </c>
      <c r="DW15" s="3">
        <f>_xlfn.XLOOKUP(DW$1,generator!$B$2:$B$295,generator!$K$2:$K$295,"ARGH")</f>
        <v>0</v>
      </c>
      <c r="DX15" s="3">
        <f>_xlfn.XLOOKUP(DX$1,generator!$B$2:$B$295,generator!$K$2:$K$295,"ARGH")</f>
        <v>0</v>
      </c>
      <c r="DY15" s="3">
        <f>_xlfn.XLOOKUP(DY$1,generator!$B$2:$B$295,generator!$K$2:$K$295,"ARGH")</f>
        <v>0</v>
      </c>
      <c r="DZ15" s="3">
        <f>_xlfn.XLOOKUP(DZ$1,generator!$B$2:$B$295,generator!$K$2:$K$295,"ARGH")</f>
        <v>0</v>
      </c>
      <c r="EA15" s="3">
        <f>_xlfn.XLOOKUP(EA$1,generator!$B$2:$B$295,generator!$K$2:$K$295,"ARGH")</f>
        <v>0</v>
      </c>
      <c r="EB15" s="3">
        <f>_xlfn.XLOOKUP(EB$1,generator!$B$2:$B$295,generator!$K$2:$K$295,"ARGH")</f>
        <v>0</v>
      </c>
      <c r="EC15" s="3">
        <f>_xlfn.XLOOKUP(EC$1,generator!$B$2:$B$295,generator!$K$2:$K$295,"ARGH")</f>
        <v>0</v>
      </c>
      <c r="ED15" s="3">
        <f>_xlfn.XLOOKUP(ED$1,generator!$B$2:$B$295,generator!$K$2:$K$295,"ARGH")</f>
        <v>0</v>
      </c>
      <c r="EE15" s="3">
        <f>_xlfn.XLOOKUP(EE$1,generator!$B$2:$B$295,generator!$K$2:$K$295,"ARGH")</f>
        <v>0</v>
      </c>
      <c r="EF15" s="3">
        <f>_xlfn.XLOOKUP(EF$1,generator!$B$2:$B$295,generator!$K$2:$K$295,"ARGH")</f>
        <v>0</v>
      </c>
      <c r="EG15" s="3">
        <f>_xlfn.XLOOKUP(EG$1,generator!$B$2:$B$295,generator!$K$2:$K$295,"ARGH")</f>
        <v>0</v>
      </c>
      <c r="EH15" s="3">
        <f>_xlfn.XLOOKUP(EH$1,generator!$B$2:$B$295,generator!$K$2:$K$295,"ARGH")</f>
        <v>0</v>
      </c>
      <c r="EI15" s="3">
        <f>_xlfn.XLOOKUP(EI$1,generator!$B$2:$B$295,generator!$K$2:$K$295,"ARGH")</f>
        <v>0</v>
      </c>
      <c r="EJ15" s="3">
        <f>_xlfn.XLOOKUP(EJ$1,generator!$B$2:$B$295,generator!$K$2:$K$295,"ARGH")</f>
        <v>0</v>
      </c>
      <c r="EK15" s="3">
        <f>_xlfn.XLOOKUP(EK$1,generator!$B$2:$B$295,generator!$K$2:$K$295,"ARGH")</f>
        <v>0</v>
      </c>
      <c r="EL15" s="3">
        <f>_xlfn.XLOOKUP(EL$1,generator!$B$2:$B$295,generator!$K$2:$K$295,"ARGH")</f>
        <v>0</v>
      </c>
      <c r="EM15" s="3">
        <f>_xlfn.XLOOKUP(EM$1,generator!$B$2:$B$295,generator!$K$2:$K$295,"ARGH")</f>
        <v>0</v>
      </c>
      <c r="EN15" s="3">
        <f>_xlfn.XLOOKUP(EN$1,generator!$B$2:$B$295,generator!$K$2:$K$295,"ARGH")</f>
        <v>0</v>
      </c>
      <c r="EO15" s="3">
        <f>_xlfn.XLOOKUP(EO$1,generator!$B$2:$B$295,generator!$K$2:$K$295,"ARGH")</f>
        <v>0</v>
      </c>
      <c r="EP15" s="3">
        <f>_xlfn.XLOOKUP(EP$1,generator!$B$2:$B$295,generator!$K$2:$K$295,"ARGH")</f>
        <v>0</v>
      </c>
      <c r="EQ15" s="3">
        <f>_xlfn.XLOOKUP(EQ$1,generator!$B$2:$B$295,generator!$K$2:$K$295,"ARGH")</f>
        <v>0</v>
      </c>
      <c r="ER15" s="3">
        <f>_xlfn.XLOOKUP(ER$1,generator!$B$2:$B$295,generator!$K$2:$K$295,"ARGH")</f>
        <v>0</v>
      </c>
      <c r="ES15" s="3">
        <f>_xlfn.XLOOKUP(ES$1,generator!$B$2:$B$295,generator!$K$2:$K$295,"ARGH")</f>
        <v>0</v>
      </c>
      <c r="ET15" s="3">
        <f>_xlfn.XLOOKUP(ET$1,generator!$B$2:$B$295,generator!$K$2:$K$295,"ARGH")</f>
        <v>0</v>
      </c>
      <c r="EU15" s="3">
        <f>_xlfn.XLOOKUP(EU$1,generator!$B$2:$B$295,generator!$K$2:$K$295,"ARGH")</f>
        <v>0</v>
      </c>
      <c r="EV15" s="3">
        <f>_xlfn.XLOOKUP(EV$1,generator!$B$2:$B$295,generator!$K$2:$K$295,"ARGH")</f>
        <v>0</v>
      </c>
      <c r="EW15" s="3">
        <f>_xlfn.XLOOKUP(EW$1,generator!$B$2:$B$295,generator!$K$2:$K$295,"ARGH")</f>
        <v>0</v>
      </c>
      <c r="EX15" s="3">
        <f>_xlfn.XLOOKUP(EX$1,generator!$B$2:$B$295,generator!$K$2:$K$295,"ARGH")</f>
        <v>0</v>
      </c>
      <c r="EY15" s="3">
        <f>_xlfn.XLOOKUP(EY$1,generator!$B$2:$B$295,generator!$K$2:$K$295,"ARGH")</f>
        <v>0</v>
      </c>
      <c r="EZ15" s="3">
        <f>_xlfn.XLOOKUP(EZ$1,generator!$B$2:$B$295,generator!$K$2:$K$295,"ARGH")</f>
        <v>0</v>
      </c>
      <c r="FA15" s="3">
        <f>_xlfn.XLOOKUP(FA$1,generator!$B$2:$B$295,generator!$K$2:$K$295,"ARGH")</f>
        <v>0</v>
      </c>
      <c r="FB15" s="3">
        <f>_xlfn.XLOOKUP(FB$1,generator!$B$2:$B$295,generator!$K$2:$K$295,"ARGH")</f>
        <v>0</v>
      </c>
      <c r="FC15" s="3">
        <f>_xlfn.XLOOKUP(FC$1,generator!$B$2:$B$295,generator!$K$2:$K$295,"ARGH")</f>
        <v>0</v>
      </c>
      <c r="FD15" s="3">
        <f>_xlfn.XLOOKUP(FD$1,generator!$B$2:$B$295,generator!$K$2:$K$295,"ARGH")</f>
        <v>0</v>
      </c>
      <c r="FE15" s="3">
        <f>_xlfn.XLOOKUP(FE$1,generator!$B$2:$B$295,generator!$K$2:$K$295,"ARGH")</f>
        <v>0</v>
      </c>
      <c r="FF15" s="3">
        <f>_xlfn.XLOOKUP(FF$1,generator!$B$2:$B$295,generator!$K$2:$K$295,"ARGH")</f>
        <v>0</v>
      </c>
      <c r="FG15" s="3">
        <f>_xlfn.XLOOKUP(FG$1,generator!$B$2:$B$295,generator!$K$2:$K$295,"ARGH")</f>
        <v>0</v>
      </c>
      <c r="FH15" s="3">
        <f>_xlfn.XLOOKUP(FH$1,generator!$B$2:$B$295,generator!$K$2:$K$295,"ARGH")</f>
        <v>0</v>
      </c>
      <c r="FI15" s="3">
        <f>_xlfn.XLOOKUP(FI$1,generator!$B$2:$B$295,generator!$K$2:$K$295,"ARGH")</f>
        <v>0</v>
      </c>
      <c r="FJ15" s="3">
        <f>_xlfn.XLOOKUP(FJ$1,generator!$B$2:$B$295,generator!$K$2:$K$295,"ARGH")</f>
        <v>0</v>
      </c>
      <c r="FK15" s="3">
        <f>_xlfn.XLOOKUP(FK$1,generator!$B$2:$B$295,generator!$K$2:$K$295,"ARGH")</f>
        <v>0</v>
      </c>
      <c r="FL15" s="3">
        <f>_xlfn.XLOOKUP(FL$1,generator!$B$2:$B$295,generator!$K$2:$K$295,"ARGH")</f>
        <v>0</v>
      </c>
      <c r="FM15" s="3">
        <f>_xlfn.XLOOKUP(FM$1,generator!$B$2:$B$295,generator!$K$2:$K$295,"ARGH")</f>
        <v>0</v>
      </c>
      <c r="FN15" s="3">
        <f>_xlfn.XLOOKUP(FN$1,generator!$B$2:$B$295,generator!$K$2:$K$295,"ARGH")</f>
        <v>0</v>
      </c>
      <c r="FO15" s="3">
        <f>_xlfn.XLOOKUP(FO$1,generator!$B$2:$B$295,generator!$K$2:$K$295,"ARGH")</f>
        <v>0</v>
      </c>
      <c r="FP15" s="3">
        <f>_xlfn.XLOOKUP(FP$1,generator!$B$2:$B$295,generator!$K$2:$K$295,"ARGH")</f>
        <v>0</v>
      </c>
      <c r="FQ15" s="3">
        <f>_xlfn.XLOOKUP(FQ$1,generator!$B$2:$B$295,generator!$K$2:$K$295,"ARGH")</f>
        <v>0</v>
      </c>
      <c r="FR15" s="3">
        <f>_xlfn.XLOOKUP(FR$1,generator!$B$2:$B$295,generator!$K$2:$K$295,"ARGH")</f>
        <v>0</v>
      </c>
      <c r="FS15" s="3">
        <f>_xlfn.XLOOKUP(FS$1,generator!$B$2:$B$295,generator!$K$2:$K$295,"ARGH")</f>
        <v>0</v>
      </c>
      <c r="FT15" s="3">
        <f>_xlfn.XLOOKUP(FT$1,generator!$B$2:$B$295,generator!$K$2:$K$295,"ARGH")</f>
        <v>0</v>
      </c>
      <c r="FU15" s="3">
        <f>_xlfn.XLOOKUP(FU$1,generator!$B$2:$B$295,generator!$K$2:$K$295,"ARGH")</f>
        <v>0</v>
      </c>
      <c r="FV15" s="3">
        <f>_xlfn.XLOOKUP(FV$1,generator!$B$2:$B$295,generator!$K$2:$K$295,"ARGH")</f>
        <v>0</v>
      </c>
      <c r="FW15" s="3">
        <f>_xlfn.XLOOKUP(FW$1,generator!$B$2:$B$295,generator!$K$2:$K$295,"ARGH")</f>
        <v>0</v>
      </c>
      <c r="FX15" s="3">
        <f>_xlfn.XLOOKUP(FX$1,generator!$B$2:$B$295,generator!$K$2:$K$295,"ARGH")</f>
        <v>0</v>
      </c>
      <c r="FY15" s="3">
        <f>_xlfn.XLOOKUP(FY$1,generator!$B$2:$B$295,generator!$K$2:$K$295,"ARGH")</f>
        <v>0</v>
      </c>
      <c r="FZ15" s="3">
        <f>_xlfn.XLOOKUP(FZ$1,generator!$B$2:$B$295,generator!$K$2:$K$295,"ARGH")</f>
        <v>0</v>
      </c>
      <c r="GA15" s="3">
        <f>_xlfn.XLOOKUP(GA$1,generator!$B$2:$B$295,generator!$K$2:$K$295,"ARGH")</f>
        <v>0</v>
      </c>
      <c r="GB15" s="3">
        <f>_xlfn.XLOOKUP(GB$1,generator!$B$2:$B$295,generator!$K$2:$K$295,"ARGH")</f>
        <v>0</v>
      </c>
      <c r="GC15" s="3">
        <f>_xlfn.XLOOKUP(GC$1,generator!$B$2:$B$295,generator!$K$2:$K$295,"ARGH")</f>
        <v>0</v>
      </c>
      <c r="GD15" s="3">
        <f>_xlfn.XLOOKUP(GD$1,generator!$B$2:$B$295,generator!$K$2:$K$295,"ARGH")</f>
        <v>0</v>
      </c>
      <c r="GE15" s="3">
        <f>_xlfn.XLOOKUP(GE$1,generator!$B$2:$B$295,generator!$K$2:$K$295,"ARGH")</f>
        <v>0</v>
      </c>
      <c r="GF15" s="3">
        <f>_xlfn.XLOOKUP(GF$1,generator!$B$2:$B$295,generator!$K$2:$K$295,"ARGH")</f>
        <v>0</v>
      </c>
      <c r="GG15" s="3">
        <f>_xlfn.XLOOKUP(GG$1,generator!$B$2:$B$295,generator!$K$2:$K$295,"ARGH")</f>
        <v>0</v>
      </c>
      <c r="GH15" s="3">
        <f>_xlfn.XLOOKUP(GH$1,generator!$B$2:$B$295,generator!$K$2:$K$295,"ARGH")</f>
        <v>0</v>
      </c>
      <c r="GI15" s="3">
        <f>_xlfn.XLOOKUP(GI$1,generator!$B$2:$B$295,generator!$K$2:$K$295,"ARGH")</f>
        <v>0</v>
      </c>
      <c r="GJ15" s="3">
        <f>_xlfn.XLOOKUP(GJ$1,generator!$B$2:$B$295,generator!$K$2:$K$295,"ARGH")</f>
        <v>0</v>
      </c>
      <c r="GK15" s="3">
        <f>_xlfn.XLOOKUP(GK$1,generator!$B$2:$B$295,generator!$K$2:$K$295,"ARGH")</f>
        <v>0</v>
      </c>
      <c r="GL15" s="3">
        <f>_xlfn.XLOOKUP(GL$1,generator!$B$2:$B$295,generator!$K$2:$K$295,"ARGH")</f>
        <v>0</v>
      </c>
      <c r="GM15" s="3">
        <f>_xlfn.XLOOKUP(GM$1,generator!$B$2:$B$295,generator!$K$2:$K$295,"ARGH")</f>
        <v>0</v>
      </c>
      <c r="GN15" s="3">
        <f>_xlfn.XLOOKUP(GN$1,generator!$B$2:$B$295,generator!$K$2:$K$295,"ARGH")</f>
        <v>0</v>
      </c>
      <c r="GO15" s="3">
        <f>_xlfn.XLOOKUP(GO$1,generator!$B$2:$B$295,generator!$K$2:$K$295,"ARGH")</f>
        <v>0</v>
      </c>
      <c r="GP15" s="3">
        <f>_xlfn.XLOOKUP(GP$1,generator!$B$2:$B$295,generator!$K$2:$K$295,"ARGH")</f>
        <v>0</v>
      </c>
      <c r="GQ15" s="3">
        <f>_xlfn.XLOOKUP(GQ$1,generator!$B$2:$B$295,generator!$K$2:$K$295,"ARGH")</f>
        <v>0</v>
      </c>
      <c r="GR15" s="3">
        <f>_xlfn.XLOOKUP(GR$1,generator!$B$2:$B$295,generator!$K$2:$K$295,"ARGH")</f>
        <v>0</v>
      </c>
      <c r="GS15" s="3">
        <f>_xlfn.XLOOKUP(GS$1,generator!$B$2:$B$295,generator!$K$2:$K$295,"ARGH")</f>
        <v>0</v>
      </c>
      <c r="GT15" s="3">
        <f>_xlfn.XLOOKUP(GT$1,generator!$B$2:$B$295,generator!$K$2:$K$295,"ARGH")</f>
        <v>0</v>
      </c>
      <c r="GU15" s="3">
        <f>_xlfn.XLOOKUP(GU$1,generator!$B$2:$B$295,generator!$K$2:$K$295,"ARGH")</f>
        <v>0</v>
      </c>
      <c r="GV15" s="3">
        <f>_xlfn.XLOOKUP(GV$1,generator!$B$2:$B$295,generator!$K$2:$K$295,"ARGH")</f>
        <v>0</v>
      </c>
      <c r="GW15" s="3">
        <f>_xlfn.XLOOKUP(GW$1,generator!$B$2:$B$295,generator!$K$2:$K$295,"ARGH")</f>
        <v>0</v>
      </c>
      <c r="GX15" s="3">
        <f>_xlfn.XLOOKUP(GX$1,generator!$B$2:$B$295,generator!$K$2:$K$295,"ARGH")</f>
        <v>0</v>
      </c>
      <c r="GY15" s="3">
        <f>_xlfn.XLOOKUP(GY$1,generator!$B$2:$B$295,generator!$K$2:$K$295,"ARGH")</f>
        <v>0</v>
      </c>
      <c r="GZ15" s="3">
        <f>_xlfn.XLOOKUP(GZ$1,generator!$B$2:$B$295,generator!$K$2:$K$295,"ARGH")</f>
        <v>0</v>
      </c>
      <c r="HA15" s="3">
        <f>_xlfn.XLOOKUP(HA$1,generator!$B$2:$B$295,generator!$K$2:$K$295,"ARGH")</f>
        <v>0</v>
      </c>
      <c r="HB15" s="3">
        <f>_xlfn.XLOOKUP(HB$1,generator!$B$2:$B$295,generator!$K$2:$K$295,"ARGH")</f>
        <v>0</v>
      </c>
      <c r="HC15" s="3">
        <f>_xlfn.XLOOKUP(HC$1,generator!$B$2:$B$295,generator!$K$2:$K$295,"ARGH")</f>
        <v>0</v>
      </c>
      <c r="HD15" s="3">
        <f>_xlfn.XLOOKUP(HD$1,generator!$B$2:$B$295,generator!$K$2:$K$295,"ARGH")</f>
        <v>0</v>
      </c>
      <c r="HE15" s="3">
        <f>_xlfn.XLOOKUP(HE$1,generator!$B$2:$B$295,generator!$K$2:$K$295,"ARGH")</f>
        <v>12.74</v>
      </c>
      <c r="HF15" s="3">
        <f>_xlfn.XLOOKUP(HF$1,generator!$B$2:$B$295,generator!$K$2:$K$295,"ARGH")</f>
        <v>99</v>
      </c>
      <c r="HG15" s="3">
        <f>_xlfn.XLOOKUP(HG$1,generator!$B$2:$B$295,generator!$K$2:$K$295,"ARGH")</f>
        <v>99</v>
      </c>
      <c r="HH15" s="3">
        <f>_xlfn.XLOOKUP(HH$1,generator!$B$2:$B$295,generator!$K$2:$K$295,"ARGH")</f>
        <v>99</v>
      </c>
      <c r="HI15" s="3">
        <f>_xlfn.XLOOKUP(HI$1,generator!$B$2:$B$295,generator!$K$2:$K$295,"ARGH")</f>
        <v>8</v>
      </c>
      <c r="HJ15" s="3">
        <f>_xlfn.XLOOKUP(HJ$1,generator!$B$2:$B$295,generator!$K$2:$K$295,"ARGH")</f>
        <v>8</v>
      </c>
      <c r="HK15" s="3">
        <f>_xlfn.XLOOKUP(HK$1,generator!$B$2:$B$295,generator!$K$2:$K$295,"ARGH")</f>
        <v>8</v>
      </c>
      <c r="HL15" s="3">
        <f>_xlfn.XLOOKUP(HL$1,generator!$B$2:$B$295,generator!$K$2:$K$295,"ARGH")</f>
        <v>20</v>
      </c>
      <c r="HM15" s="3">
        <f>_xlfn.XLOOKUP(HM$1,generator!$B$2:$B$295,generator!$K$2:$K$295,"ARGH")</f>
        <v>20</v>
      </c>
      <c r="HN15" s="3">
        <f>_xlfn.XLOOKUP(HN$1,generator!$B$2:$B$295,generator!$K$2:$K$295,"ARGH")</f>
        <v>5</v>
      </c>
      <c r="HO15" s="3">
        <f>_xlfn.XLOOKUP(HO$1,generator!$B$2:$B$295,generator!$K$2:$K$295,"ARGH")</f>
        <v>5</v>
      </c>
      <c r="HP15" s="3">
        <f>_xlfn.XLOOKUP(HP$1,generator!$B$2:$B$295,generator!$K$2:$K$295,"ARGH")</f>
        <v>0.2</v>
      </c>
      <c r="HQ15" s="3">
        <f>_xlfn.XLOOKUP(HQ$1,generator!$B$2:$B$295,generator!$K$2:$K$295,"ARGH")</f>
        <v>5</v>
      </c>
      <c r="HR15" s="3">
        <f>_xlfn.XLOOKUP(HR$1,generator!$B$2:$B$295,generator!$K$2:$K$295,"ARGH")</f>
        <v>5</v>
      </c>
      <c r="HS15" s="3">
        <f>_xlfn.XLOOKUP(HS$1,generator!$B$2:$B$295,generator!$K$2:$K$295,"ARGH")</f>
        <v>12.82</v>
      </c>
      <c r="HT15" s="3">
        <f>_xlfn.XLOOKUP(HT$1,generator!$B$2:$B$295,generator!$K$2:$K$295,"ARGH")</f>
        <v>12.82</v>
      </c>
      <c r="HU15" s="3">
        <f>_xlfn.XLOOKUP(HU$1,generator!$B$2:$B$295,generator!$K$2:$K$295,"ARGH")</f>
        <v>25</v>
      </c>
      <c r="HV15" s="3">
        <f>_xlfn.XLOOKUP(HV$1,generator!$B$2:$B$295,generator!$K$2:$K$295,"ARGH")</f>
        <v>16</v>
      </c>
      <c r="HW15" s="3">
        <f>_xlfn.XLOOKUP(HW$1,generator!$B$2:$B$295,generator!$K$2:$K$295,"ARGH")</f>
        <v>5</v>
      </c>
      <c r="HX15" s="3">
        <f>_xlfn.XLOOKUP(HX$1,generator!$B$2:$B$295,generator!$K$2:$K$295,"ARGH")</f>
        <v>5</v>
      </c>
      <c r="HY15" s="3">
        <f>_xlfn.XLOOKUP(HY$1,generator!$B$2:$B$295,generator!$K$2:$K$295,"ARGH")</f>
        <v>63</v>
      </c>
      <c r="HZ15" s="3">
        <f>_xlfn.XLOOKUP(HZ$1,generator!$B$2:$B$295,generator!$K$2:$K$295,"ARGH")</f>
        <v>18</v>
      </c>
      <c r="IA15" s="3">
        <f>_xlfn.XLOOKUP(IA$1,generator!$B$2:$B$295,generator!$K$2:$K$295,"ARGH")</f>
        <v>121</v>
      </c>
      <c r="IB15" s="3">
        <f>_xlfn.XLOOKUP(IB$1,generator!$B$2:$B$295,generator!$K$2:$K$295,"ARGH")</f>
        <v>120</v>
      </c>
      <c r="IC15" s="3">
        <f>_xlfn.XLOOKUP(IC$1,generator!$B$2:$B$295,generator!$K$2:$K$295,"ARGH")</f>
        <v>0</v>
      </c>
      <c r="ID15" s="3">
        <f>_xlfn.XLOOKUP(ID$1,generator!$B$2:$B$295,generator!$K$2:$K$295,"ARGH")</f>
        <v>17</v>
      </c>
      <c r="IE15" s="3">
        <f>_xlfn.XLOOKUP(IE$1,generator!$B$2:$B$295,generator!$K$2:$K$295,"ARGH")</f>
        <v>194</v>
      </c>
      <c r="IF15" s="3">
        <f>_xlfn.XLOOKUP(IF$1,generator!$B$2:$B$295,generator!$K$2:$K$295,"ARGH")</f>
        <v>11.9</v>
      </c>
      <c r="IG15" s="3">
        <f>_xlfn.XLOOKUP(IG$1,generator!$B$2:$B$295,generator!$K$2:$K$295,"ARGH")</f>
        <v>11.9</v>
      </c>
      <c r="IH15" s="3">
        <f>_xlfn.XLOOKUP(IH$1,generator!$B$2:$B$295,generator!$K$2:$K$295,"ARGH")</f>
        <v>11.9</v>
      </c>
      <c r="II15" s="3">
        <f>_xlfn.XLOOKUP(II$1,generator!$B$2:$B$295,generator!$K$2:$K$295,"ARGH")</f>
        <v>11.9</v>
      </c>
      <c r="IJ15" s="3">
        <f>_xlfn.XLOOKUP(IJ$1,generator!$B$2:$B$295,generator!$K$2:$K$295,"ARGH")</f>
        <v>0</v>
      </c>
      <c r="IK15" s="3">
        <f>_xlfn.XLOOKUP(IK$1,generator!$B$2:$B$295,generator!$K$2:$K$295,"ARGH")</f>
        <v>3</v>
      </c>
      <c r="IL15" s="3">
        <f>_xlfn.XLOOKUP(IL$1,generator!$B$2:$B$295,generator!$K$2:$K$295,"ARGH")</f>
        <v>5</v>
      </c>
      <c r="IM15" s="3">
        <f>_xlfn.XLOOKUP(IM$1,generator!$B$2:$B$295,generator!$K$2:$K$295,"ARGH")</f>
        <v>5</v>
      </c>
      <c r="IN15" s="3">
        <f>_xlfn.XLOOKUP(IN$1,generator!$B$2:$B$295,generator!$K$2:$K$295,"ARGH")</f>
        <v>4</v>
      </c>
      <c r="IO15" s="3">
        <f>_xlfn.XLOOKUP(IO$1,generator!$B$2:$B$295,generator!$K$2:$K$295,"ARGH")</f>
        <v>4</v>
      </c>
      <c r="IP15" s="3">
        <f>_xlfn.XLOOKUP(IP$1,generator!$B$2:$B$295,generator!$K$2:$K$295,"ARGH")</f>
        <v>3</v>
      </c>
      <c r="IQ15" s="3">
        <f>_xlfn.XLOOKUP(IQ$1,generator!$B$2:$B$295,generator!$K$2:$K$295,"ARGH")</f>
        <v>1</v>
      </c>
      <c r="IR15" s="3">
        <f>_xlfn.XLOOKUP(IR$1,generator!$B$2:$B$295,generator!$K$2:$K$295,"ARGH")</f>
        <v>3</v>
      </c>
      <c r="IS15" s="3">
        <f>_xlfn.XLOOKUP(IS$1,generator!$B$2:$B$295,generator!$K$2:$K$295,"ARGH")</f>
        <v>3</v>
      </c>
      <c r="IT15" s="3">
        <f>_xlfn.XLOOKUP(IT$1,generator!$B$2:$B$295,generator!$K$2:$K$295,"ARGH")</f>
        <v>0</v>
      </c>
      <c r="IU15" s="3">
        <f>_xlfn.XLOOKUP(IU$1,generator!$B$2:$B$295,generator!$K$2:$K$295,"ARGH")</f>
        <v>3.99</v>
      </c>
      <c r="IV15" s="3">
        <f>_xlfn.XLOOKUP(IV$1,generator!$B$2:$B$295,generator!$K$2:$K$295,"ARGH")</f>
        <v>0.2</v>
      </c>
      <c r="IW15" s="3">
        <f>_xlfn.XLOOKUP(IW$1,generator!$B$2:$B$295,generator!$K$2:$K$295,"ARGH")</f>
        <v>15</v>
      </c>
      <c r="IX15" s="3">
        <f>_xlfn.XLOOKUP(IX$1,generator!$B$2:$B$295,generator!$K$2:$K$295,"ARGH")</f>
        <v>15</v>
      </c>
      <c r="IY15" s="3">
        <f>_xlfn.XLOOKUP(IY$1,generator!$B$2:$B$295,generator!$K$2:$K$295,"ARGH")</f>
        <v>15</v>
      </c>
      <c r="IZ15" s="3">
        <f>_xlfn.XLOOKUP(IZ$1,generator!$B$2:$B$295,generator!$K$2:$K$295,"ARGH")</f>
        <v>120</v>
      </c>
      <c r="JA15" s="3">
        <f>_xlfn.XLOOKUP(JA$1,generator!$B$2:$B$295,generator!$K$2:$K$295,"ARGH")</f>
        <v>40</v>
      </c>
      <c r="JB15" s="3">
        <f>_xlfn.XLOOKUP(JB$1,generator!$B$2:$B$295,generator!$K$2:$K$295,"ARGH")</f>
        <v>40</v>
      </c>
      <c r="JC15" s="3">
        <f>_xlfn.XLOOKUP(JC$1,generator!$B$2:$B$295,generator!$K$2:$K$295,"ARGH")</f>
        <v>113</v>
      </c>
      <c r="JD15" s="3">
        <f>_xlfn.XLOOKUP(JD$1,generator!$B$2:$B$295,generator!$K$2:$K$295,"ARGH")</f>
        <v>113</v>
      </c>
      <c r="JE15" s="3">
        <f>_xlfn.XLOOKUP(JE$1,generator!$B$2:$B$295,generator!$K$2:$K$295,"ARGH")</f>
        <v>211</v>
      </c>
      <c r="JF15" s="3">
        <f>_xlfn.XLOOKUP(JF$1,generator!$B$2:$B$295,generator!$K$2:$K$295,"ARGH")</f>
        <v>22.5</v>
      </c>
      <c r="JG15" s="3">
        <f>_xlfn.XLOOKUP(JG$1,generator!$B$2:$B$295,generator!$K$2:$K$295,"ARGH")</f>
        <v>1</v>
      </c>
      <c r="JH15" s="3">
        <f>_xlfn.XLOOKUP(JH$1,generator!$B$2:$B$295,generator!$K$2:$K$295,"ARGH")</f>
        <v>160</v>
      </c>
      <c r="JI15" s="3">
        <f>_xlfn.XLOOKUP(JI$1,generator!$B$2:$B$295,generator!$K$2:$K$295,"ARGH")</f>
        <v>165</v>
      </c>
      <c r="JJ15" s="3">
        <f>_xlfn.XLOOKUP(JJ$1,generator!$B$2:$B$295,generator!$K$2:$K$295,"ARGH")</f>
        <v>4.5999999999999996</v>
      </c>
      <c r="JK15" s="3">
        <f>_xlfn.XLOOKUP(JK$1,generator!$B$2:$B$295,generator!$K$2:$K$295,"ARGH")</f>
        <v>4.5999999999999996</v>
      </c>
      <c r="JL15" s="3">
        <f>_xlfn.XLOOKUP(JL$1,generator!$B$2:$B$295,generator!$K$2:$K$295,"ARGH")</f>
        <v>4.5999999999999996</v>
      </c>
      <c r="JM15" s="3">
        <f>_xlfn.XLOOKUP(JM$1,generator!$B$2:$B$295,generator!$K$2:$K$295,"ARGH")</f>
        <v>4.5999999999999996</v>
      </c>
      <c r="JN15" s="3">
        <f>_xlfn.XLOOKUP(JN$1,generator!$B$2:$B$295,generator!$K$2:$K$295,"ARGH")</f>
        <v>4.5999999999999996</v>
      </c>
      <c r="JO15" s="3">
        <f>_xlfn.XLOOKUP(JO$1,generator!$B$2:$B$295,generator!$K$2:$K$295,"ARGH")</f>
        <v>4.5999999999999996</v>
      </c>
      <c r="JP15" s="3">
        <f>_xlfn.XLOOKUP(JP$1,generator!$B$2:$B$295,generator!$K$2:$K$295,"ARGH")</f>
        <v>110</v>
      </c>
      <c r="JQ15" s="3">
        <f>_xlfn.XLOOKUP(JQ$1,generator!$B$2:$B$295,generator!$K$2:$K$295,"ARGH")</f>
        <v>22.7</v>
      </c>
      <c r="JR15" s="3">
        <f>_xlfn.XLOOKUP(JR$1,generator!$B$2:$B$295,generator!$K$2:$K$295,"ARGH")</f>
        <v>147</v>
      </c>
      <c r="JS15" s="3">
        <f>_xlfn.XLOOKUP(JS$1,generator!$B$2:$B$295,generator!$K$2:$K$295,"ARGH")</f>
        <v>147</v>
      </c>
      <c r="JT15" s="3">
        <f>_xlfn.XLOOKUP(JT$1,generator!$B$2:$B$295,generator!$K$2:$K$295,"ARGH")</f>
        <v>22.7</v>
      </c>
      <c r="JU15" s="3">
        <f>_xlfn.XLOOKUP(JU$1,generator!$B$2:$B$295,generator!$K$2:$K$295,"ARGH")</f>
        <v>21.5</v>
      </c>
      <c r="JV15" s="3">
        <f>_xlfn.XLOOKUP(JV$1,generator!$B$2:$B$295,generator!$K$2:$K$295,"ARGH")</f>
        <v>120</v>
      </c>
      <c r="JW15" s="3">
        <f>_xlfn.XLOOKUP(JW$1,generator!$B$2:$B$295,generator!$K$2:$K$295,"ARGH")</f>
        <v>120</v>
      </c>
      <c r="JX15" s="3">
        <f>_xlfn.XLOOKUP(JX$1,generator!$B$2:$B$295,generator!$K$2:$K$295,"ARGH")</f>
        <v>1</v>
      </c>
      <c r="JY15" s="3">
        <f>_xlfn.XLOOKUP(JY$1,generator!$B$2:$B$295,generator!$K$2:$K$295,"ARGH")</f>
        <v>41.15</v>
      </c>
      <c r="JZ15" s="3">
        <f>_xlfn.XLOOKUP(JZ$1,generator!$B$2:$B$295,generator!$K$2:$K$295,"ARGH")</f>
        <v>5</v>
      </c>
      <c r="KA15" s="3">
        <f>_xlfn.XLOOKUP(KA$1,generator!$B$2:$B$295,generator!$K$2:$K$295,"ARGH")</f>
        <v>5</v>
      </c>
      <c r="KB15" s="3">
        <f>_xlfn.XLOOKUP(KB$1,generator!$B$2:$B$295,generator!$K$2:$K$295,"ARGH")</f>
        <v>5</v>
      </c>
      <c r="KC15" s="3">
        <f>_xlfn.XLOOKUP(KC$1,generator!$B$2:$B$295,generator!$K$2:$K$295,"ARGH")</f>
        <v>5</v>
      </c>
    </row>
    <row r="16" spans="1:289" x14ac:dyDescent="0.3">
      <c r="A16" s="4" t="s">
        <v>3011</v>
      </c>
      <c r="B16" s="31">
        <v>96.5</v>
      </c>
      <c r="C16" s="31">
        <v>513.5</v>
      </c>
      <c r="D16" s="31">
        <v>307</v>
      </c>
      <c r="E16" s="3">
        <f>_xlfn.XLOOKUP(E$1,generator!$B$2:$B$295,generator!$K$2:$K$295,"ARGH")</f>
        <v>0</v>
      </c>
      <c r="F16" s="3">
        <f>_xlfn.XLOOKUP(F$1,generator!$B$2:$B$295,generator!$K$2:$K$295,"ARGH")</f>
        <v>0</v>
      </c>
      <c r="G16" s="3">
        <f>_xlfn.XLOOKUP(G$1,generator!$B$2:$B$295,generator!$K$2:$K$295,"ARGH")</f>
        <v>0</v>
      </c>
      <c r="H16" s="3">
        <f>_xlfn.XLOOKUP(H$1,generator!$B$2:$B$295,generator!$K$2:$K$295,"ARGH")</f>
        <v>0</v>
      </c>
      <c r="I16" s="3">
        <f>_xlfn.XLOOKUP(I$1,generator!$B$2:$B$295,generator!$K$2:$K$295,"ARGH")</f>
        <v>0</v>
      </c>
      <c r="J16" s="3">
        <f>_xlfn.XLOOKUP(J$1,generator!$B$2:$B$295,generator!$K$2:$K$295,"ARGH")</f>
        <v>0</v>
      </c>
      <c r="K16" s="3">
        <f>_xlfn.XLOOKUP(K$1,generator!$B$2:$B$295,generator!$K$2:$K$295,"ARGH")</f>
        <v>0</v>
      </c>
      <c r="L16" s="3">
        <f>_xlfn.XLOOKUP(L$1,generator!$B$2:$B$295,generator!$K$2:$K$295,"ARGH")</f>
        <v>0</v>
      </c>
      <c r="M16" s="3">
        <f>_xlfn.XLOOKUP(M$1,generator!$B$2:$B$295,generator!$K$2:$K$295,"ARGH")</f>
        <v>0</v>
      </c>
      <c r="N16" s="3">
        <f>_xlfn.XLOOKUP(N$1,generator!$B$2:$B$295,generator!$K$2:$K$295,"ARGH")</f>
        <v>0</v>
      </c>
      <c r="O16" s="3">
        <f>_xlfn.XLOOKUP(O$1,generator!$B$2:$B$295,generator!$K$2:$K$295,"ARGH")</f>
        <v>0</v>
      </c>
      <c r="P16" s="3">
        <f>_xlfn.XLOOKUP(P$1,generator!$B$2:$B$295,generator!$K$2:$K$295,"ARGH")</f>
        <v>0</v>
      </c>
      <c r="Q16" s="3">
        <f>_xlfn.XLOOKUP(Q$1,generator!$B$2:$B$295,generator!$K$2:$K$295,"ARGH")</f>
        <v>0</v>
      </c>
      <c r="R16" s="3">
        <f>_xlfn.XLOOKUP(R$1,generator!$B$2:$B$295,generator!$K$2:$K$295,"ARGH")</f>
        <v>0</v>
      </c>
      <c r="S16" s="3">
        <f>_xlfn.XLOOKUP(S$1,generator!$B$2:$B$295,generator!$K$2:$K$295,"ARGH")</f>
        <v>0</v>
      </c>
      <c r="T16" s="3">
        <f>_xlfn.XLOOKUP(T$1,generator!$B$2:$B$295,generator!$K$2:$K$295,"ARGH")</f>
        <v>0</v>
      </c>
      <c r="U16" s="3">
        <f>_xlfn.XLOOKUP(U$1,generator!$B$2:$B$295,generator!$K$2:$K$295,"ARGH")</f>
        <v>0</v>
      </c>
      <c r="V16" s="3">
        <f>_xlfn.XLOOKUP(V$1,generator!$B$2:$B$295,generator!$K$2:$K$295,"ARGH")</f>
        <v>0</v>
      </c>
      <c r="W16" s="3">
        <f>_xlfn.XLOOKUP(W$1,generator!$B$2:$B$295,generator!$K$2:$K$295,"ARGH")</f>
        <v>0</v>
      </c>
      <c r="X16" s="3">
        <f>_xlfn.XLOOKUP(X$1,generator!$B$2:$B$295,generator!$K$2:$K$295,"ARGH")</f>
        <v>0</v>
      </c>
      <c r="Y16" s="3">
        <f>_xlfn.XLOOKUP(Y$1,generator!$B$2:$B$295,generator!$K$2:$K$295,"ARGH")</f>
        <v>0</v>
      </c>
      <c r="Z16" s="3">
        <f>_xlfn.XLOOKUP(Z$1,generator!$B$2:$B$295,generator!$K$2:$K$295,"ARGH")</f>
        <v>0</v>
      </c>
      <c r="AA16" s="3">
        <f>_xlfn.XLOOKUP(AA$1,generator!$B$2:$B$295,generator!$K$2:$K$295,"ARGH")</f>
        <v>0</v>
      </c>
      <c r="AB16" s="3">
        <f>_xlfn.XLOOKUP(AB$1,generator!$B$2:$B$295,generator!$K$2:$K$295,"ARGH")</f>
        <v>0</v>
      </c>
      <c r="AC16" s="3">
        <f>_xlfn.XLOOKUP(AC$1,generator!$B$2:$B$295,generator!$K$2:$K$295,"ARGH")</f>
        <v>0</v>
      </c>
      <c r="AD16" s="3">
        <f>_xlfn.XLOOKUP(AD$1,generator!$B$2:$B$295,generator!$K$2:$K$295,"ARGH")</f>
        <v>0</v>
      </c>
      <c r="AE16" s="3">
        <f>_xlfn.XLOOKUP(AE$1,generator!$B$2:$B$295,generator!$K$2:$K$295,"ARGH")</f>
        <v>0</v>
      </c>
      <c r="AF16" s="3">
        <f>_xlfn.XLOOKUP(AF$1,generator!$B$2:$B$295,generator!$K$2:$K$295,"ARGH")</f>
        <v>0</v>
      </c>
      <c r="AG16" s="3">
        <f>_xlfn.XLOOKUP(AG$1,generator!$B$2:$B$295,generator!$K$2:$K$295,"ARGH")</f>
        <v>0</v>
      </c>
      <c r="AH16" s="3">
        <f>_xlfn.XLOOKUP(AH$1,generator!$B$2:$B$295,generator!$K$2:$K$295,"ARGH")</f>
        <v>0</v>
      </c>
      <c r="AI16" s="3">
        <f>_xlfn.XLOOKUP(AI$1,generator!$B$2:$B$295,generator!$K$2:$K$295,"ARGH")</f>
        <v>0</v>
      </c>
      <c r="AJ16" s="3">
        <f>_xlfn.XLOOKUP(AJ$1,generator!$B$2:$B$295,generator!$K$2:$K$295,"ARGH")</f>
        <v>0</v>
      </c>
      <c r="AK16" s="3">
        <f>_xlfn.XLOOKUP(AK$1,generator!$B$2:$B$295,generator!$K$2:$K$295,"ARGH")</f>
        <v>0</v>
      </c>
      <c r="AL16" s="3">
        <f>_xlfn.XLOOKUP(AL$1,generator!$B$2:$B$295,generator!$K$2:$K$295,"ARGH")</f>
        <v>0</v>
      </c>
      <c r="AM16" s="3">
        <f>_xlfn.XLOOKUP(AM$1,generator!$B$2:$B$295,generator!$K$2:$K$295,"ARGH")</f>
        <v>0</v>
      </c>
      <c r="AN16" s="3">
        <f>_xlfn.XLOOKUP(AN$1,generator!$B$2:$B$295,generator!$K$2:$K$295,"ARGH")</f>
        <v>0</v>
      </c>
      <c r="AO16" s="3">
        <f>_xlfn.XLOOKUP(AO$1,generator!$B$2:$B$295,generator!$K$2:$K$295,"ARGH")</f>
        <v>0</v>
      </c>
      <c r="AP16" s="3">
        <f>_xlfn.XLOOKUP(AP$1,generator!$B$2:$B$295,generator!$K$2:$K$295,"ARGH")</f>
        <v>0</v>
      </c>
      <c r="AQ16" s="3">
        <f>_xlfn.XLOOKUP(AQ$1,generator!$B$2:$B$295,generator!$K$2:$K$295,"ARGH")</f>
        <v>0</v>
      </c>
      <c r="AR16" s="3">
        <f>_xlfn.XLOOKUP(AR$1,generator!$B$2:$B$295,generator!$K$2:$K$295,"ARGH")</f>
        <v>0</v>
      </c>
      <c r="AS16" s="3">
        <f>_xlfn.XLOOKUP(AS$1,generator!$B$2:$B$295,generator!$K$2:$K$295,"ARGH")</f>
        <v>0</v>
      </c>
      <c r="AT16" s="3">
        <f>_xlfn.XLOOKUP(AT$1,generator!$B$2:$B$295,generator!$K$2:$K$295,"ARGH")</f>
        <v>0</v>
      </c>
      <c r="AU16" s="3">
        <f>_xlfn.XLOOKUP(AU$1,generator!$B$2:$B$295,generator!$K$2:$K$295,"ARGH")</f>
        <v>0</v>
      </c>
      <c r="AV16" s="3">
        <f>_xlfn.XLOOKUP(AV$1,generator!$B$2:$B$295,generator!$K$2:$K$295,"ARGH")</f>
        <v>0</v>
      </c>
      <c r="AW16" s="3">
        <f>_xlfn.XLOOKUP(AW$1,generator!$B$2:$B$295,generator!$K$2:$K$295,"ARGH")</f>
        <v>0</v>
      </c>
      <c r="AX16" s="3">
        <f>_xlfn.XLOOKUP(AX$1,generator!$B$2:$B$295,generator!$K$2:$K$295,"ARGH")</f>
        <v>0</v>
      </c>
      <c r="AY16" s="3">
        <f>_xlfn.XLOOKUP(AY$1,generator!$B$2:$B$295,generator!$K$2:$K$295,"ARGH")</f>
        <v>0</v>
      </c>
      <c r="AZ16" s="3">
        <f>_xlfn.XLOOKUP(AZ$1,generator!$B$2:$B$295,generator!$K$2:$K$295,"ARGH")</f>
        <v>0</v>
      </c>
      <c r="BA16" s="3">
        <f>_xlfn.XLOOKUP(BA$1,generator!$B$2:$B$295,generator!$K$2:$K$295,"ARGH")</f>
        <v>0</v>
      </c>
      <c r="BB16" s="3">
        <f>_xlfn.XLOOKUP(BB$1,generator!$B$2:$B$295,generator!$K$2:$K$295,"ARGH")</f>
        <v>0</v>
      </c>
      <c r="BC16" s="3">
        <f>_xlfn.XLOOKUP(BC$1,generator!$B$2:$B$295,generator!$K$2:$K$295,"ARGH")</f>
        <v>0</v>
      </c>
      <c r="BD16" s="3">
        <f>_xlfn.XLOOKUP(BD$1,generator!$B$2:$B$295,generator!$K$2:$K$295,"ARGH")</f>
        <v>0</v>
      </c>
      <c r="BE16" s="3">
        <f>_xlfn.XLOOKUP(BE$1,generator!$B$2:$B$295,generator!$K$2:$K$295,"ARGH")</f>
        <v>0</v>
      </c>
      <c r="BF16" s="3">
        <f>_xlfn.XLOOKUP(BF$1,generator!$B$2:$B$295,generator!$K$2:$K$295,"ARGH")</f>
        <v>0</v>
      </c>
      <c r="BG16" s="3">
        <f>_xlfn.XLOOKUP(BG$1,generator!$B$2:$B$295,generator!$K$2:$K$295,"ARGH")</f>
        <v>0</v>
      </c>
      <c r="BH16" s="3">
        <f>_xlfn.XLOOKUP(BH$1,generator!$B$2:$B$295,generator!$K$2:$K$295,"ARGH")</f>
        <v>0</v>
      </c>
      <c r="BI16" s="3">
        <f>_xlfn.XLOOKUP(BI$1,generator!$B$2:$B$295,generator!$K$2:$K$295,"ARGH")</f>
        <v>0</v>
      </c>
      <c r="BJ16" s="3">
        <f>_xlfn.XLOOKUP(BJ$1,generator!$B$2:$B$295,generator!$K$2:$K$295,"ARGH")</f>
        <v>0</v>
      </c>
      <c r="BK16" s="3">
        <f>_xlfn.XLOOKUP(BK$1,generator!$B$2:$B$295,generator!$K$2:$K$295,"ARGH")</f>
        <v>0</v>
      </c>
      <c r="BL16" s="3">
        <f>_xlfn.XLOOKUP(BL$1,generator!$B$2:$B$295,generator!$K$2:$K$295,"ARGH")</f>
        <v>0</v>
      </c>
      <c r="BM16" s="3">
        <f>_xlfn.XLOOKUP(BM$1,generator!$B$2:$B$295,generator!$K$2:$K$295,"ARGH")</f>
        <v>0</v>
      </c>
      <c r="BN16" s="3">
        <f>_xlfn.XLOOKUP(BN$1,generator!$B$2:$B$295,generator!$K$2:$K$295,"ARGH")</f>
        <v>0</v>
      </c>
      <c r="BO16" s="3">
        <f>_xlfn.XLOOKUP(BO$1,generator!$B$2:$B$295,generator!$K$2:$K$295,"ARGH")</f>
        <v>0</v>
      </c>
      <c r="BP16" s="3">
        <f>_xlfn.XLOOKUP(BP$1,generator!$B$2:$B$295,generator!$K$2:$K$295,"ARGH")</f>
        <v>0</v>
      </c>
      <c r="BQ16" s="3">
        <f>_xlfn.XLOOKUP(BQ$1,generator!$B$2:$B$295,generator!$K$2:$K$295,"ARGH")</f>
        <v>0</v>
      </c>
      <c r="BR16" s="3">
        <f>_xlfn.XLOOKUP(BR$1,generator!$B$2:$B$295,generator!$K$2:$K$295,"ARGH")</f>
        <v>0</v>
      </c>
      <c r="BS16" s="3">
        <f>_xlfn.XLOOKUP(BS$1,generator!$B$2:$B$295,generator!$K$2:$K$295,"ARGH")</f>
        <v>0</v>
      </c>
      <c r="BT16" s="3">
        <f>_xlfn.XLOOKUP(BT$1,generator!$B$2:$B$295,generator!$K$2:$K$295,"ARGH")</f>
        <v>0</v>
      </c>
      <c r="BU16" s="3">
        <f>_xlfn.XLOOKUP(BU$1,generator!$B$2:$B$295,generator!$K$2:$K$295,"ARGH")</f>
        <v>0</v>
      </c>
      <c r="BV16" s="3">
        <f>_xlfn.XLOOKUP(BV$1,generator!$B$2:$B$295,generator!$K$2:$K$295,"ARGH")</f>
        <v>0</v>
      </c>
      <c r="BW16" s="3">
        <f>_xlfn.XLOOKUP(BW$1,generator!$B$2:$B$295,generator!$K$2:$K$295,"ARGH")</f>
        <v>0</v>
      </c>
      <c r="BX16" s="3">
        <f>_xlfn.XLOOKUP(BX$1,generator!$B$2:$B$295,generator!$K$2:$K$295,"ARGH")</f>
        <v>0</v>
      </c>
      <c r="BY16" s="3">
        <f>_xlfn.XLOOKUP(BY$1,generator!$B$2:$B$295,generator!$K$2:$K$295,"ARGH")</f>
        <v>0</v>
      </c>
      <c r="BZ16" s="3">
        <f>_xlfn.XLOOKUP(BZ$1,generator!$B$2:$B$295,generator!$K$2:$K$295,"ARGH")</f>
        <v>0</v>
      </c>
      <c r="CA16" s="3">
        <f>_xlfn.XLOOKUP(CA$1,generator!$B$2:$B$295,generator!$K$2:$K$295,"ARGH")</f>
        <v>0</v>
      </c>
      <c r="CB16" s="3">
        <f>_xlfn.XLOOKUP(CB$1,generator!$B$2:$B$295,generator!$K$2:$K$295,"ARGH")</f>
        <v>0</v>
      </c>
      <c r="CC16" s="3">
        <f>_xlfn.XLOOKUP(CC$1,generator!$B$2:$B$295,generator!$K$2:$K$295,"ARGH")</f>
        <v>0</v>
      </c>
      <c r="CD16" s="3">
        <f>_xlfn.XLOOKUP(CD$1,generator!$B$2:$B$295,generator!$K$2:$K$295,"ARGH")</f>
        <v>0</v>
      </c>
      <c r="CE16" s="3">
        <f>_xlfn.XLOOKUP(CE$1,generator!$B$2:$B$295,generator!$K$2:$K$295,"ARGH")</f>
        <v>0</v>
      </c>
      <c r="CF16" s="3">
        <f>_xlfn.XLOOKUP(CF$1,generator!$B$2:$B$295,generator!$K$2:$K$295,"ARGH")</f>
        <v>0</v>
      </c>
      <c r="CG16" s="3">
        <f>_xlfn.XLOOKUP(CG$1,generator!$B$2:$B$295,generator!$K$2:$K$295,"ARGH")</f>
        <v>0</v>
      </c>
      <c r="CH16" s="3">
        <f>_xlfn.XLOOKUP(CH$1,generator!$B$2:$B$295,generator!$K$2:$K$295,"ARGH")</f>
        <v>0</v>
      </c>
      <c r="CI16" s="3">
        <f>_xlfn.XLOOKUP(CI$1,generator!$B$2:$B$295,generator!$K$2:$K$295,"ARGH")</f>
        <v>0</v>
      </c>
      <c r="CJ16" s="3">
        <f>_xlfn.XLOOKUP(CJ$1,generator!$B$2:$B$295,generator!$K$2:$K$295,"ARGH")</f>
        <v>0</v>
      </c>
      <c r="CK16" s="3">
        <f>_xlfn.XLOOKUP(CK$1,generator!$B$2:$B$295,generator!$K$2:$K$295,"ARGH")</f>
        <v>0</v>
      </c>
      <c r="CL16" s="3">
        <f>_xlfn.XLOOKUP(CL$1,generator!$B$2:$B$295,generator!$K$2:$K$295,"ARGH")</f>
        <v>0</v>
      </c>
      <c r="CM16" s="3">
        <f>_xlfn.XLOOKUP(CM$1,generator!$B$2:$B$295,generator!$K$2:$K$295,"ARGH")</f>
        <v>0</v>
      </c>
      <c r="CN16" s="3">
        <f>_xlfn.XLOOKUP(CN$1,generator!$B$2:$B$295,generator!$K$2:$K$295,"ARGH")</f>
        <v>0</v>
      </c>
      <c r="CO16" s="3">
        <f>_xlfn.XLOOKUP(CO$1,generator!$B$2:$B$295,generator!$K$2:$K$295,"ARGH")</f>
        <v>0</v>
      </c>
      <c r="CP16" s="3">
        <f>_xlfn.XLOOKUP(CP$1,generator!$B$2:$B$295,generator!$K$2:$K$295,"ARGH")</f>
        <v>0</v>
      </c>
      <c r="CQ16" s="3">
        <f>_xlfn.XLOOKUP(CQ$1,generator!$B$2:$B$295,generator!$K$2:$K$295,"ARGH")</f>
        <v>0</v>
      </c>
      <c r="CR16" s="3">
        <f>_xlfn.XLOOKUP(CR$1,generator!$B$2:$B$295,generator!$K$2:$K$295,"ARGH")</f>
        <v>0</v>
      </c>
      <c r="CS16" s="3">
        <f>_xlfn.XLOOKUP(CS$1,generator!$B$2:$B$295,generator!$K$2:$K$295,"ARGH")</f>
        <v>0</v>
      </c>
      <c r="CT16" s="3">
        <f>_xlfn.XLOOKUP(CT$1,generator!$B$2:$B$295,generator!$K$2:$K$295,"ARGH")</f>
        <v>0</v>
      </c>
      <c r="CU16" s="3">
        <f>_xlfn.XLOOKUP(CU$1,generator!$B$2:$B$295,generator!$K$2:$K$295,"ARGH")</f>
        <v>0</v>
      </c>
      <c r="CV16" s="3">
        <f>_xlfn.XLOOKUP(CV$1,generator!$B$2:$B$295,generator!$K$2:$K$295,"ARGH")</f>
        <v>0</v>
      </c>
      <c r="CW16" s="3">
        <f>_xlfn.XLOOKUP(CW$1,generator!$B$2:$B$295,generator!$K$2:$K$295,"ARGH")</f>
        <v>0</v>
      </c>
      <c r="CX16" s="3">
        <f>_xlfn.XLOOKUP(CX$1,generator!$B$2:$B$295,generator!$K$2:$K$295,"ARGH")</f>
        <v>0</v>
      </c>
      <c r="CY16" s="3">
        <f>_xlfn.XLOOKUP(CY$1,generator!$B$2:$B$295,generator!$K$2:$K$295,"ARGH")</f>
        <v>0</v>
      </c>
      <c r="CZ16" s="3">
        <f>_xlfn.XLOOKUP(CZ$1,generator!$B$2:$B$295,generator!$K$2:$K$295,"ARGH")</f>
        <v>0</v>
      </c>
      <c r="DA16" s="3">
        <f>_xlfn.XLOOKUP(DA$1,generator!$B$2:$B$295,generator!$K$2:$K$295,"ARGH")</f>
        <v>0</v>
      </c>
      <c r="DB16" s="3">
        <f>_xlfn.XLOOKUP(DB$1,generator!$B$2:$B$295,generator!$K$2:$K$295,"ARGH")</f>
        <v>0</v>
      </c>
      <c r="DC16" s="3">
        <f>_xlfn.XLOOKUP(DC$1,generator!$B$2:$B$295,generator!$K$2:$K$295,"ARGH")</f>
        <v>0</v>
      </c>
      <c r="DD16" s="3">
        <f>_xlfn.XLOOKUP(DD$1,generator!$B$2:$B$295,generator!$K$2:$K$295,"ARGH")</f>
        <v>0</v>
      </c>
      <c r="DE16" s="3">
        <f>_xlfn.XLOOKUP(DE$1,generator!$B$2:$B$295,generator!$K$2:$K$295,"ARGH")</f>
        <v>0</v>
      </c>
      <c r="DF16" s="3">
        <f>_xlfn.XLOOKUP(DF$1,generator!$B$2:$B$295,generator!$K$2:$K$295,"ARGH")</f>
        <v>0</v>
      </c>
      <c r="DG16" s="3">
        <f>_xlfn.XLOOKUP(DG$1,generator!$B$2:$B$295,generator!$K$2:$K$295,"ARGH")</f>
        <v>0</v>
      </c>
      <c r="DH16" s="3">
        <f>_xlfn.XLOOKUP(DH$1,generator!$B$2:$B$295,generator!$K$2:$K$295,"ARGH")</f>
        <v>0</v>
      </c>
      <c r="DI16" s="3">
        <f>_xlfn.XLOOKUP(DI$1,generator!$B$2:$B$295,generator!$K$2:$K$295,"ARGH")</f>
        <v>0</v>
      </c>
      <c r="DJ16" s="3">
        <f>_xlfn.XLOOKUP(DJ$1,generator!$B$2:$B$295,generator!$K$2:$K$295,"ARGH")</f>
        <v>0</v>
      </c>
      <c r="DK16" s="3">
        <f>_xlfn.XLOOKUP(DK$1,generator!$B$2:$B$295,generator!$K$2:$K$295,"ARGH")</f>
        <v>0</v>
      </c>
      <c r="DL16" s="3">
        <f>_xlfn.XLOOKUP(DL$1,generator!$B$2:$B$295,generator!$K$2:$K$295,"ARGH")</f>
        <v>0</v>
      </c>
      <c r="DM16" s="3">
        <f>_xlfn.XLOOKUP(DM$1,generator!$B$2:$B$295,generator!$K$2:$K$295,"ARGH")</f>
        <v>0</v>
      </c>
      <c r="DN16" s="3">
        <f>_xlfn.XLOOKUP(DN$1,generator!$B$2:$B$295,generator!$K$2:$K$295,"ARGH")</f>
        <v>0</v>
      </c>
      <c r="DO16" s="3">
        <f>_xlfn.XLOOKUP(DO$1,generator!$B$2:$B$295,generator!$K$2:$K$295,"ARGH")</f>
        <v>0</v>
      </c>
      <c r="DP16" s="3">
        <f>_xlfn.XLOOKUP(DP$1,generator!$B$2:$B$295,generator!$K$2:$K$295,"ARGH")</f>
        <v>0</v>
      </c>
      <c r="DQ16" s="3">
        <f>_xlfn.XLOOKUP(DQ$1,generator!$B$2:$B$295,generator!$K$2:$K$295,"ARGH")</f>
        <v>0</v>
      </c>
      <c r="DR16" s="3">
        <f>_xlfn.XLOOKUP(DR$1,generator!$B$2:$B$295,generator!$K$2:$K$295,"ARGH")</f>
        <v>0</v>
      </c>
      <c r="DS16" s="3">
        <f>_xlfn.XLOOKUP(DS$1,generator!$B$2:$B$295,generator!$K$2:$K$295,"ARGH")</f>
        <v>0</v>
      </c>
      <c r="DT16" s="3">
        <f>_xlfn.XLOOKUP(DT$1,generator!$B$2:$B$295,generator!$K$2:$K$295,"ARGH")</f>
        <v>0</v>
      </c>
      <c r="DU16" s="3">
        <f>_xlfn.XLOOKUP(DU$1,generator!$B$2:$B$295,generator!$K$2:$K$295,"ARGH")</f>
        <v>0</v>
      </c>
      <c r="DV16" s="3">
        <f>_xlfn.XLOOKUP(DV$1,generator!$B$2:$B$295,generator!$K$2:$K$295,"ARGH")</f>
        <v>0</v>
      </c>
      <c r="DW16" s="3">
        <f>_xlfn.XLOOKUP(DW$1,generator!$B$2:$B$295,generator!$K$2:$K$295,"ARGH")</f>
        <v>0</v>
      </c>
      <c r="DX16" s="3">
        <f>_xlfn.XLOOKUP(DX$1,generator!$B$2:$B$295,generator!$K$2:$K$295,"ARGH")</f>
        <v>0</v>
      </c>
      <c r="DY16" s="3">
        <f>_xlfn.XLOOKUP(DY$1,generator!$B$2:$B$295,generator!$K$2:$K$295,"ARGH")</f>
        <v>0</v>
      </c>
      <c r="DZ16" s="3">
        <f>_xlfn.XLOOKUP(DZ$1,generator!$B$2:$B$295,generator!$K$2:$K$295,"ARGH")</f>
        <v>0</v>
      </c>
      <c r="EA16" s="3">
        <f>_xlfn.XLOOKUP(EA$1,generator!$B$2:$B$295,generator!$K$2:$K$295,"ARGH")</f>
        <v>0</v>
      </c>
      <c r="EB16" s="3">
        <f>_xlfn.XLOOKUP(EB$1,generator!$B$2:$B$295,generator!$K$2:$K$295,"ARGH")</f>
        <v>0</v>
      </c>
      <c r="EC16" s="3">
        <f>_xlfn.XLOOKUP(EC$1,generator!$B$2:$B$295,generator!$K$2:$K$295,"ARGH")</f>
        <v>0</v>
      </c>
      <c r="ED16" s="3">
        <f>_xlfn.XLOOKUP(ED$1,generator!$B$2:$B$295,generator!$K$2:$K$295,"ARGH")</f>
        <v>0</v>
      </c>
      <c r="EE16" s="3">
        <f>_xlfn.XLOOKUP(EE$1,generator!$B$2:$B$295,generator!$K$2:$K$295,"ARGH")</f>
        <v>0</v>
      </c>
      <c r="EF16" s="3">
        <f>_xlfn.XLOOKUP(EF$1,generator!$B$2:$B$295,generator!$K$2:$K$295,"ARGH")</f>
        <v>0</v>
      </c>
      <c r="EG16" s="3">
        <f>_xlfn.XLOOKUP(EG$1,generator!$B$2:$B$295,generator!$K$2:$K$295,"ARGH")</f>
        <v>0</v>
      </c>
      <c r="EH16" s="3">
        <f>_xlfn.XLOOKUP(EH$1,generator!$B$2:$B$295,generator!$K$2:$K$295,"ARGH")</f>
        <v>0</v>
      </c>
      <c r="EI16" s="3">
        <f>_xlfn.XLOOKUP(EI$1,generator!$B$2:$B$295,generator!$K$2:$K$295,"ARGH")</f>
        <v>0</v>
      </c>
      <c r="EJ16" s="3">
        <f>_xlfn.XLOOKUP(EJ$1,generator!$B$2:$B$295,generator!$K$2:$K$295,"ARGH")</f>
        <v>0</v>
      </c>
      <c r="EK16" s="3">
        <f>_xlfn.XLOOKUP(EK$1,generator!$B$2:$B$295,generator!$K$2:$K$295,"ARGH")</f>
        <v>0</v>
      </c>
      <c r="EL16" s="3">
        <f>_xlfn.XLOOKUP(EL$1,generator!$B$2:$B$295,generator!$K$2:$K$295,"ARGH")</f>
        <v>0</v>
      </c>
      <c r="EM16" s="3">
        <f>_xlfn.XLOOKUP(EM$1,generator!$B$2:$B$295,generator!$K$2:$K$295,"ARGH")</f>
        <v>0</v>
      </c>
      <c r="EN16" s="3">
        <f>_xlfn.XLOOKUP(EN$1,generator!$B$2:$B$295,generator!$K$2:$K$295,"ARGH")</f>
        <v>0</v>
      </c>
      <c r="EO16" s="3">
        <f>_xlfn.XLOOKUP(EO$1,generator!$B$2:$B$295,generator!$K$2:$K$295,"ARGH")</f>
        <v>0</v>
      </c>
      <c r="EP16" s="3">
        <f>_xlfn.XLOOKUP(EP$1,generator!$B$2:$B$295,generator!$K$2:$K$295,"ARGH")</f>
        <v>0</v>
      </c>
      <c r="EQ16" s="3">
        <f>_xlfn.XLOOKUP(EQ$1,generator!$B$2:$B$295,generator!$K$2:$K$295,"ARGH")</f>
        <v>0</v>
      </c>
      <c r="ER16" s="3">
        <f>_xlfn.XLOOKUP(ER$1,generator!$B$2:$B$295,generator!$K$2:$K$295,"ARGH")</f>
        <v>0</v>
      </c>
      <c r="ES16" s="3">
        <f>_xlfn.XLOOKUP(ES$1,generator!$B$2:$B$295,generator!$K$2:$K$295,"ARGH")</f>
        <v>0</v>
      </c>
      <c r="ET16" s="3">
        <f>_xlfn.XLOOKUP(ET$1,generator!$B$2:$B$295,generator!$K$2:$K$295,"ARGH")</f>
        <v>0</v>
      </c>
      <c r="EU16" s="3">
        <f>_xlfn.XLOOKUP(EU$1,generator!$B$2:$B$295,generator!$K$2:$K$295,"ARGH")</f>
        <v>0</v>
      </c>
      <c r="EV16" s="3">
        <f>_xlfn.XLOOKUP(EV$1,generator!$B$2:$B$295,generator!$K$2:$K$295,"ARGH")</f>
        <v>0</v>
      </c>
      <c r="EW16" s="3">
        <f>_xlfn.XLOOKUP(EW$1,generator!$B$2:$B$295,generator!$K$2:$K$295,"ARGH")</f>
        <v>0</v>
      </c>
      <c r="EX16" s="3">
        <f>_xlfn.XLOOKUP(EX$1,generator!$B$2:$B$295,generator!$K$2:$K$295,"ARGH")</f>
        <v>0</v>
      </c>
      <c r="EY16" s="3">
        <f>_xlfn.XLOOKUP(EY$1,generator!$B$2:$B$295,generator!$K$2:$K$295,"ARGH")</f>
        <v>0</v>
      </c>
      <c r="EZ16" s="3">
        <f>_xlfn.XLOOKUP(EZ$1,generator!$B$2:$B$295,generator!$K$2:$K$295,"ARGH")</f>
        <v>0</v>
      </c>
      <c r="FA16" s="3">
        <f>_xlfn.XLOOKUP(FA$1,generator!$B$2:$B$295,generator!$K$2:$K$295,"ARGH")</f>
        <v>0</v>
      </c>
      <c r="FB16" s="3">
        <f>_xlfn.XLOOKUP(FB$1,generator!$B$2:$B$295,generator!$K$2:$K$295,"ARGH")</f>
        <v>0</v>
      </c>
      <c r="FC16" s="3">
        <f>_xlfn.XLOOKUP(FC$1,generator!$B$2:$B$295,generator!$K$2:$K$295,"ARGH")</f>
        <v>0</v>
      </c>
      <c r="FD16" s="3">
        <f>_xlfn.XLOOKUP(FD$1,generator!$B$2:$B$295,generator!$K$2:$K$295,"ARGH")</f>
        <v>0</v>
      </c>
      <c r="FE16" s="3">
        <f>_xlfn.XLOOKUP(FE$1,generator!$B$2:$B$295,generator!$K$2:$K$295,"ARGH")</f>
        <v>0</v>
      </c>
      <c r="FF16" s="3">
        <f>_xlfn.XLOOKUP(FF$1,generator!$B$2:$B$295,generator!$K$2:$K$295,"ARGH")</f>
        <v>0</v>
      </c>
      <c r="FG16" s="3">
        <f>_xlfn.XLOOKUP(FG$1,generator!$B$2:$B$295,generator!$K$2:$K$295,"ARGH")</f>
        <v>0</v>
      </c>
      <c r="FH16" s="3">
        <f>_xlfn.XLOOKUP(FH$1,generator!$B$2:$B$295,generator!$K$2:$K$295,"ARGH")</f>
        <v>0</v>
      </c>
      <c r="FI16" s="3">
        <f>_xlfn.XLOOKUP(FI$1,generator!$B$2:$B$295,generator!$K$2:$K$295,"ARGH")</f>
        <v>0</v>
      </c>
      <c r="FJ16" s="3">
        <f>_xlfn.XLOOKUP(FJ$1,generator!$B$2:$B$295,generator!$K$2:$K$295,"ARGH")</f>
        <v>0</v>
      </c>
      <c r="FK16" s="3">
        <f>_xlfn.XLOOKUP(FK$1,generator!$B$2:$B$295,generator!$K$2:$K$295,"ARGH")</f>
        <v>0</v>
      </c>
      <c r="FL16" s="3">
        <f>_xlfn.XLOOKUP(FL$1,generator!$B$2:$B$295,generator!$K$2:$K$295,"ARGH")</f>
        <v>0</v>
      </c>
      <c r="FM16" s="3">
        <f>_xlfn.XLOOKUP(FM$1,generator!$B$2:$B$295,generator!$K$2:$K$295,"ARGH")</f>
        <v>0</v>
      </c>
      <c r="FN16" s="3">
        <f>_xlfn.XLOOKUP(FN$1,generator!$B$2:$B$295,generator!$K$2:$K$295,"ARGH")</f>
        <v>0</v>
      </c>
      <c r="FO16" s="3">
        <f>_xlfn.XLOOKUP(FO$1,generator!$B$2:$B$295,generator!$K$2:$K$295,"ARGH")</f>
        <v>0</v>
      </c>
      <c r="FP16" s="3">
        <f>_xlfn.XLOOKUP(FP$1,generator!$B$2:$B$295,generator!$K$2:$K$295,"ARGH")</f>
        <v>0</v>
      </c>
      <c r="FQ16" s="3">
        <f>_xlfn.XLOOKUP(FQ$1,generator!$B$2:$B$295,generator!$K$2:$K$295,"ARGH")</f>
        <v>0</v>
      </c>
      <c r="FR16" s="3">
        <f>_xlfn.XLOOKUP(FR$1,generator!$B$2:$B$295,generator!$K$2:$K$295,"ARGH")</f>
        <v>0</v>
      </c>
      <c r="FS16" s="3">
        <f>_xlfn.XLOOKUP(FS$1,generator!$B$2:$B$295,generator!$K$2:$K$295,"ARGH")</f>
        <v>0</v>
      </c>
      <c r="FT16" s="3">
        <f>_xlfn.XLOOKUP(FT$1,generator!$B$2:$B$295,generator!$K$2:$K$295,"ARGH")</f>
        <v>0</v>
      </c>
      <c r="FU16" s="3">
        <f>_xlfn.XLOOKUP(FU$1,generator!$B$2:$B$295,generator!$K$2:$K$295,"ARGH")</f>
        <v>0</v>
      </c>
      <c r="FV16" s="3">
        <f>_xlfn.XLOOKUP(FV$1,generator!$B$2:$B$295,generator!$K$2:$K$295,"ARGH")</f>
        <v>0</v>
      </c>
      <c r="FW16" s="3">
        <f>_xlfn.XLOOKUP(FW$1,generator!$B$2:$B$295,generator!$K$2:$K$295,"ARGH")</f>
        <v>0</v>
      </c>
      <c r="FX16" s="3">
        <f>_xlfn.XLOOKUP(FX$1,generator!$B$2:$B$295,generator!$K$2:$K$295,"ARGH")</f>
        <v>0</v>
      </c>
      <c r="FY16" s="3">
        <f>_xlfn.XLOOKUP(FY$1,generator!$B$2:$B$295,generator!$K$2:$K$295,"ARGH")</f>
        <v>0</v>
      </c>
      <c r="FZ16" s="3">
        <f>_xlfn.XLOOKUP(FZ$1,generator!$B$2:$B$295,generator!$K$2:$K$295,"ARGH")</f>
        <v>0</v>
      </c>
      <c r="GA16" s="3">
        <f>_xlfn.XLOOKUP(GA$1,generator!$B$2:$B$295,generator!$K$2:$K$295,"ARGH")</f>
        <v>0</v>
      </c>
      <c r="GB16" s="3">
        <f>_xlfn.XLOOKUP(GB$1,generator!$B$2:$B$295,generator!$K$2:$K$295,"ARGH")</f>
        <v>0</v>
      </c>
      <c r="GC16" s="3">
        <f>_xlfn.XLOOKUP(GC$1,generator!$B$2:$B$295,generator!$K$2:$K$295,"ARGH")</f>
        <v>0</v>
      </c>
      <c r="GD16" s="3">
        <f>_xlfn.XLOOKUP(GD$1,generator!$B$2:$B$295,generator!$K$2:$K$295,"ARGH")</f>
        <v>0</v>
      </c>
      <c r="GE16" s="3">
        <f>_xlfn.XLOOKUP(GE$1,generator!$B$2:$B$295,generator!$K$2:$K$295,"ARGH")</f>
        <v>0</v>
      </c>
      <c r="GF16" s="3">
        <f>_xlfn.XLOOKUP(GF$1,generator!$B$2:$B$295,generator!$K$2:$K$295,"ARGH")</f>
        <v>0</v>
      </c>
      <c r="GG16" s="3">
        <f>_xlfn.XLOOKUP(GG$1,generator!$B$2:$B$295,generator!$K$2:$K$295,"ARGH")</f>
        <v>0</v>
      </c>
      <c r="GH16" s="3">
        <f>_xlfn.XLOOKUP(GH$1,generator!$B$2:$B$295,generator!$K$2:$K$295,"ARGH")</f>
        <v>0</v>
      </c>
      <c r="GI16" s="3">
        <f>_xlfn.XLOOKUP(GI$1,generator!$B$2:$B$295,generator!$K$2:$K$295,"ARGH")</f>
        <v>0</v>
      </c>
      <c r="GJ16" s="3">
        <f>_xlfn.XLOOKUP(GJ$1,generator!$B$2:$B$295,generator!$K$2:$K$295,"ARGH")</f>
        <v>0</v>
      </c>
      <c r="GK16" s="3">
        <f>_xlfn.XLOOKUP(GK$1,generator!$B$2:$B$295,generator!$K$2:$K$295,"ARGH")</f>
        <v>0</v>
      </c>
      <c r="GL16" s="3">
        <f>_xlfn.XLOOKUP(GL$1,generator!$B$2:$B$295,generator!$K$2:$K$295,"ARGH")</f>
        <v>0</v>
      </c>
      <c r="GM16" s="3">
        <f>_xlfn.XLOOKUP(GM$1,generator!$B$2:$B$295,generator!$K$2:$K$295,"ARGH")</f>
        <v>0</v>
      </c>
      <c r="GN16" s="3">
        <f>_xlfn.XLOOKUP(GN$1,generator!$B$2:$B$295,generator!$K$2:$K$295,"ARGH")</f>
        <v>0</v>
      </c>
      <c r="GO16" s="3">
        <f>_xlfn.XLOOKUP(GO$1,generator!$B$2:$B$295,generator!$K$2:$K$295,"ARGH")</f>
        <v>0</v>
      </c>
      <c r="GP16" s="3">
        <f>_xlfn.XLOOKUP(GP$1,generator!$B$2:$B$295,generator!$K$2:$K$295,"ARGH")</f>
        <v>0</v>
      </c>
      <c r="GQ16" s="3">
        <f>_xlfn.XLOOKUP(GQ$1,generator!$B$2:$B$295,generator!$K$2:$K$295,"ARGH")</f>
        <v>0</v>
      </c>
      <c r="GR16" s="3">
        <f>_xlfn.XLOOKUP(GR$1,generator!$B$2:$B$295,generator!$K$2:$K$295,"ARGH")</f>
        <v>0</v>
      </c>
      <c r="GS16" s="3">
        <f>_xlfn.XLOOKUP(GS$1,generator!$B$2:$B$295,generator!$K$2:$K$295,"ARGH")</f>
        <v>0</v>
      </c>
      <c r="GT16" s="3">
        <f>_xlfn.XLOOKUP(GT$1,generator!$B$2:$B$295,generator!$K$2:$K$295,"ARGH")</f>
        <v>0</v>
      </c>
      <c r="GU16" s="3">
        <f>_xlfn.XLOOKUP(GU$1,generator!$B$2:$B$295,generator!$K$2:$K$295,"ARGH")</f>
        <v>0</v>
      </c>
      <c r="GV16" s="3">
        <f>_xlfn.XLOOKUP(GV$1,generator!$B$2:$B$295,generator!$K$2:$K$295,"ARGH")</f>
        <v>0</v>
      </c>
      <c r="GW16" s="3">
        <f>_xlfn.XLOOKUP(GW$1,generator!$B$2:$B$295,generator!$K$2:$K$295,"ARGH")</f>
        <v>0</v>
      </c>
      <c r="GX16" s="3">
        <f>_xlfn.XLOOKUP(GX$1,generator!$B$2:$B$295,generator!$K$2:$K$295,"ARGH")</f>
        <v>0</v>
      </c>
      <c r="GY16" s="3">
        <f>_xlfn.XLOOKUP(GY$1,generator!$B$2:$B$295,generator!$K$2:$K$295,"ARGH")</f>
        <v>0</v>
      </c>
      <c r="GZ16" s="3">
        <f>_xlfn.XLOOKUP(GZ$1,generator!$B$2:$B$295,generator!$K$2:$K$295,"ARGH")</f>
        <v>0</v>
      </c>
      <c r="HA16" s="3">
        <f>_xlfn.XLOOKUP(HA$1,generator!$B$2:$B$295,generator!$K$2:$K$295,"ARGH")</f>
        <v>0</v>
      </c>
      <c r="HB16" s="3">
        <f>_xlfn.XLOOKUP(HB$1,generator!$B$2:$B$295,generator!$K$2:$K$295,"ARGH")</f>
        <v>0</v>
      </c>
      <c r="HC16" s="3">
        <f>_xlfn.XLOOKUP(HC$1,generator!$B$2:$B$295,generator!$K$2:$K$295,"ARGH")</f>
        <v>0</v>
      </c>
      <c r="HD16" s="3">
        <f>_xlfn.XLOOKUP(HD$1,generator!$B$2:$B$295,generator!$K$2:$K$295,"ARGH")</f>
        <v>0</v>
      </c>
      <c r="HE16" s="3">
        <f>_xlfn.XLOOKUP(HE$1,generator!$B$2:$B$295,generator!$K$2:$K$295,"ARGH")</f>
        <v>12.74</v>
      </c>
      <c r="HF16" s="3">
        <f>_xlfn.XLOOKUP(HF$1,generator!$B$2:$B$295,generator!$K$2:$K$295,"ARGH")</f>
        <v>99</v>
      </c>
      <c r="HG16" s="3">
        <f>_xlfn.XLOOKUP(HG$1,generator!$B$2:$B$295,generator!$K$2:$K$295,"ARGH")</f>
        <v>99</v>
      </c>
      <c r="HH16" s="3">
        <f>_xlfn.XLOOKUP(HH$1,generator!$B$2:$B$295,generator!$K$2:$K$295,"ARGH")</f>
        <v>99</v>
      </c>
      <c r="HI16" s="3">
        <f>_xlfn.XLOOKUP(HI$1,generator!$B$2:$B$295,generator!$K$2:$K$295,"ARGH")</f>
        <v>8</v>
      </c>
      <c r="HJ16" s="3">
        <f>_xlfn.XLOOKUP(HJ$1,generator!$B$2:$B$295,generator!$K$2:$K$295,"ARGH")</f>
        <v>8</v>
      </c>
      <c r="HK16" s="3">
        <f>_xlfn.XLOOKUP(HK$1,generator!$B$2:$B$295,generator!$K$2:$K$295,"ARGH")</f>
        <v>8</v>
      </c>
      <c r="HL16" s="3">
        <f>_xlfn.XLOOKUP(HL$1,generator!$B$2:$B$295,generator!$K$2:$K$295,"ARGH")</f>
        <v>20</v>
      </c>
      <c r="HM16" s="3">
        <f>_xlfn.XLOOKUP(HM$1,generator!$B$2:$B$295,generator!$K$2:$K$295,"ARGH")</f>
        <v>20</v>
      </c>
      <c r="HN16" s="3">
        <f>_xlfn.XLOOKUP(HN$1,generator!$B$2:$B$295,generator!$K$2:$K$295,"ARGH")</f>
        <v>5</v>
      </c>
      <c r="HO16" s="3">
        <f>_xlfn.XLOOKUP(HO$1,generator!$B$2:$B$295,generator!$K$2:$K$295,"ARGH")</f>
        <v>5</v>
      </c>
      <c r="HP16" s="3">
        <f>_xlfn.XLOOKUP(HP$1,generator!$B$2:$B$295,generator!$K$2:$K$295,"ARGH")</f>
        <v>0.2</v>
      </c>
      <c r="HQ16" s="3">
        <f>_xlfn.XLOOKUP(HQ$1,generator!$B$2:$B$295,generator!$K$2:$K$295,"ARGH")</f>
        <v>5</v>
      </c>
      <c r="HR16" s="3">
        <f>_xlfn.XLOOKUP(HR$1,generator!$B$2:$B$295,generator!$K$2:$K$295,"ARGH")</f>
        <v>5</v>
      </c>
      <c r="HS16" s="3">
        <f>_xlfn.XLOOKUP(HS$1,generator!$B$2:$B$295,generator!$K$2:$K$295,"ARGH")</f>
        <v>12.82</v>
      </c>
      <c r="HT16" s="3">
        <f>_xlfn.XLOOKUP(HT$1,generator!$B$2:$B$295,generator!$K$2:$K$295,"ARGH")</f>
        <v>12.82</v>
      </c>
      <c r="HU16" s="3">
        <f>_xlfn.XLOOKUP(HU$1,generator!$B$2:$B$295,generator!$K$2:$K$295,"ARGH")</f>
        <v>25</v>
      </c>
      <c r="HV16" s="3">
        <f>_xlfn.XLOOKUP(HV$1,generator!$B$2:$B$295,generator!$K$2:$K$295,"ARGH")</f>
        <v>16</v>
      </c>
      <c r="HW16" s="3">
        <f>_xlfn.XLOOKUP(HW$1,generator!$B$2:$B$295,generator!$K$2:$K$295,"ARGH")</f>
        <v>5</v>
      </c>
      <c r="HX16" s="3">
        <f>_xlfn.XLOOKUP(HX$1,generator!$B$2:$B$295,generator!$K$2:$K$295,"ARGH")</f>
        <v>5</v>
      </c>
      <c r="HY16" s="3">
        <f>_xlfn.XLOOKUP(HY$1,generator!$B$2:$B$295,generator!$K$2:$K$295,"ARGH")</f>
        <v>63</v>
      </c>
      <c r="HZ16" s="3">
        <f>_xlfn.XLOOKUP(HZ$1,generator!$B$2:$B$295,generator!$K$2:$K$295,"ARGH")</f>
        <v>18</v>
      </c>
      <c r="IA16" s="3">
        <f>_xlfn.XLOOKUP(IA$1,generator!$B$2:$B$295,generator!$K$2:$K$295,"ARGH")</f>
        <v>121</v>
      </c>
      <c r="IB16" s="3">
        <f>_xlfn.XLOOKUP(IB$1,generator!$B$2:$B$295,generator!$K$2:$K$295,"ARGH")</f>
        <v>120</v>
      </c>
      <c r="IC16" s="3">
        <f>_xlfn.XLOOKUP(IC$1,generator!$B$2:$B$295,generator!$K$2:$K$295,"ARGH")</f>
        <v>0</v>
      </c>
      <c r="ID16" s="3">
        <f>_xlfn.XLOOKUP(ID$1,generator!$B$2:$B$295,generator!$K$2:$K$295,"ARGH")</f>
        <v>17</v>
      </c>
      <c r="IE16" s="3">
        <f>_xlfn.XLOOKUP(IE$1,generator!$B$2:$B$295,generator!$K$2:$K$295,"ARGH")</f>
        <v>194</v>
      </c>
      <c r="IF16" s="3">
        <f>_xlfn.XLOOKUP(IF$1,generator!$B$2:$B$295,generator!$K$2:$K$295,"ARGH")</f>
        <v>11.9</v>
      </c>
      <c r="IG16" s="3">
        <f>_xlfn.XLOOKUP(IG$1,generator!$B$2:$B$295,generator!$K$2:$K$295,"ARGH")</f>
        <v>11.9</v>
      </c>
      <c r="IH16" s="3">
        <f>_xlfn.XLOOKUP(IH$1,generator!$B$2:$B$295,generator!$K$2:$K$295,"ARGH")</f>
        <v>11.9</v>
      </c>
      <c r="II16" s="3">
        <f>_xlfn.XLOOKUP(II$1,generator!$B$2:$B$295,generator!$K$2:$K$295,"ARGH")</f>
        <v>11.9</v>
      </c>
      <c r="IJ16" s="3">
        <f>_xlfn.XLOOKUP(IJ$1,generator!$B$2:$B$295,generator!$K$2:$K$295,"ARGH")</f>
        <v>0</v>
      </c>
      <c r="IK16" s="3">
        <f>_xlfn.XLOOKUP(IK$1,generator!$B$2:$B$295,generator!$K$2:$K$295,"ARGH")</f>
        <v>3</v>
      </c>
      <c r="IL16" s="3">
        <f>_xlfn.XLOOKUP(IL$1,generator!$B$2:$B$295,generator!$K$2:$K$295,"ARGH")</f>
        <v>5</v>
      </c>
      <c r="IM16" s="3">
        <f>_xlfn.XLOOKUP(IM$1,generator!$B$2:$B$295,generator!$K$2:$K$295,"ARGH")</f>
        <v>5</v>
      </c>
      <c r="IN16" s="3">
        <f>_xlfn.XLOOKUP(IN$1,generator!$B$2:$B$295,generator!$K$2:$K$295,"ARGH")</f>
        <v>4</v>
      </c>
      <c r="IO16" s="3">
        <f>_xlfn.XLOOKUP(IO$1,generator!$B$2:$B$295,generator!$K$2:$K$295,"ARGH")</f>
        <v>4</v>
      </c>
      <c r="IP16" s="3">
        <f>_xlfn.XLOOKUP(IP$1,generator!$B$2:$B$295,generator!$K$2:$K$295,"ARGH")</f>
        <v>3</v>
      </c>
      <c r="IQ16" s="3">
        <f>_xlfn.XLOOKUP(IQ$1,generator!$B$2:$B$295,generator!$K$2:$K$295,"ARGH")</f>
        <v>1</v>
      </c>
      <c r="IR16" s="3">
        <f>_xlfn.XLOOKUP(IR$1,generator!$B$2:$B$295,generator!$K$2:$K$295,"ARGH")</f>
        <v>3</v>
      </c>
      <c r="IS16" s="3">
        <f>_xlfn.XLOOKUP(IS$1,generator!$B$2:$B$295,generator!$K$2:$K$295,"ARGH")</f>
        <v>3</v>
      </c>
      <c r="IT16" s="3">
        <f>_xlfn.XLOOKUP(IT$1,generator!$B$2:$B$295,generator!$K$2:$K$295,"ARGH")</f>
        <v>0</v>
      </c>
      <c r="IU16" s="3">
        <f>_xlfn.XLOOKUP(IU$1,generator!$B$2:$B$295,generator!$K$2:$K$295,"ARGH")</f>
        <v>3.99</v>
      </c>
      <c r="IV16" s="3">
        <f>_xlfn.XLOOKUP(IV$1,generator!$B$2:$B$295,generator!$K$2:$K$295,"ARGH")</f>
        <v>0.2</v>
      </c>
      <c r="IW16" s="3">
        <f>_xlfn.XLOOKUP(IW$1,generator!$B$2:$B$295,generator!$K$2:$K$295,"ARGH")</f>
        <v>15</v>
      </c>
      <c r="IX16" s="3">
        <f>_xlfn.XLOOKUP(IX$1,generator!$B$2:$B$295,generator!$K$2:$K$295,"ARGH")</f>
        <v>15</v>
      </c>
      <c r="IY16" s="3">
        <f>_xlfn.XLOOKUP(IY$1,generator!$B$2:$B$295,generator!$K$2:$K$295,"ARGH")</f>
        <v>15</v>
      </c>
      <c r="IZ16" s="3">
        <f>_xlfn.XLOOKUP(IZ$1,generator!$B$2:$B$295,generator!$K$2:$K$295,"ARGH")</f>
        <v>120</v>
      </c>
      <c r="JA16" s="3">
        <f>_xlfn.XLOOKUP(JA$1,generator!$B$2:$B$295,generator!$K$2:$K$295,"ARGH")</f>
        <v>40</v>
      </c>
      <c r="JB16" s="3">
        <f>_xlfn.XLOOKUP(JB$1,generator!$B$2:$B$295,generator!$K$2:$K$295,"ARGH")</f>
        <v>40</v>
      </c>
      <c r="JC16" s="3">
        <f>_xlfn.XLOOKUP(JC$1,generator!$B$2:$B$295,generator!$K$2:$K$295,"ARGH")</f>
        <v>113</v>
      </c>
      <c r="JD16" s="3">
        <f>_xlfn.XLOOKUP(JD$1,generator!$B$2:$B$295,generator!$K$2:$K$295,"ARGH")</f>
        <v>113</v>
      </c>
      <c r="JE16" s="3">
        <f>_xlfn.XLOOKUP(JE$1,generator!$B$2:$B$295,generator!$K$2:$K$295,"ARGH")</f>
        <v>211</v>
      </c>
      <c r="JF16" s="3">
        <f>_xlfn.XLOOKUP(JF$1,generator!$B$2:$B$295,generator!$K$2:$K$295,"ARGH")</f>
        <v>22.5</v>
      </c>
      <c r="JG16" s="3">
        <f>_xlfn.XLOOKUP(JG$1,generator!$B$2:$B$295,generator!$K$2:$K$295,"ARGH")</f>
        <v>1</v>
      </c>
      <c r="JH16" s="3">
        <f>_xlfn.XLOOKUP(JH$1,generator!$B$2:$B$295,generator!$K$2:$K$295,"ARGH")</f>
        <v>160</v>
      </c>
      <c r="JI16" s="3">
        <f>_xlfn.XLOOKUP(JI$1,generator!$B$2:$B$295,generator!$K$2:$K$295,"ARGH")</f>
        <v>165</v>
      </c>
      <c r="JJ16" s="3">
        <f>_xlfn.XLOOKUP(JJ$1,generator!$B$2:$B$295,generator!$K$2:$K$295,"ARGH")</f>
        <v>4.5999999999999996</v>
      </c>
      <c r="JK16" s="3">
        <f>_xlfn.XLOOKUP(JK$1,generator!$B$2:$B$295,generator!$K$2:$K$295,"ARGH")</f>
        <v>4.5999999999999996</v>
      </c>
      <c r="JL16" s="3">
        <f>_xlfn.XLOOKUP(JL$1,generator!$B$2:$B$295,generator!$K$2:$K$295,"ARGH")</f>
        <v>4.5999999999999996</v>
      </c>
      <c r="JM16" s="3">
        <f>_xlfn.XLOOKUP(JM$1,generator!$B$2:$B$295,generator!$K$2:$K$295,"ARGH")</f>
        <v>4.5999999999999996</v>
      </c>
      <c r="JN16" s="3">
        <f>_xlfn.XLOOKUP(JN$1,generator!$B$2:$B$295,generator!$K$2:$K$295,"ARGH")</f>
        <v>4.5999999999999996</v>
      </c>
      <c r="JO16" s="3">
        <f>_xlfn.XLOOKUP(JO$1,generator!$B$2:$B$295,generator!$K$2:$K$295,"ARGH")</f>
        <v>4.5999999999999996</v>
      </c>
      <c r="JP16" s="3">
        <f>_xlfn.XLOOKUP(JP$1,generator!$B$2:$B$295,generator!$K$2:$K$295,"ARGH")</f>
        <v>110</v>
      </c>
      <c r="JQ16" s="3">
        <f>_xlfn.XLOOKUP(JQ$1,generator!$B$2:$B$295,generator!$K$2:$K$295,"ARGH")</f>
        <v>22.7</v>
      </c>
      <c r="JR16" s="3">
        <f>_xlfn.XLOOKUP(JR$1,generator!$B$2:$B$295,generator!$K$2:$K$295,"ARGH")</f>
        <v>147</v>
      </c>
      <c r="JS16" s="3">
        <f>_xlfn.XLOOKUP(JS$1,generator!$B$2:$B$295,generator!$K$2:$K$295,"ARGH")</f>
        <v>147</v>
      </c>
      <c r="JT16" s="3">
        <f>_xlfn.XLOOKUP(JT$1,generator!$B$2:$B$295,generator!$K$2:$K$295,"ARGH")</f>
        <v>22.7</v>
      </c>
      <c r="JU16" s="3">
        <f>_xlfn.XLOOKUP(JU$1,generator!$B$2:$B$295,generator!$K$2:$K$295,"ARGH")</f>
        <v>21.5</v>
      </c>
      <c r="JV16" s="3">
        <f>_xlfn.XLOOKUP(JV$1,generator!$B$2:$B$295,generator!$K$2:$K$295,"ARGH")</f>
        <v>120</v>
      </c>
      <c r="JW16" s="3">
        <f>_xlfn.XLOOKUP(JW$1,generator!$B$2:$B$295,generator!$K$2:$K$295,"ARGH")</f>
        <v>120</v>
      </c>
      <c r="JX16" s="3">
        <f>_xlfn.XLOOKUP(JX$1,generator!$B$2:$B$295,generator!$K$2:$K$295,"ARGH")</f>
        <v>1</v>
      </c>
      <c r="JY16" s="3">
        <f>_xlfn.XLOOKUP(JY$1,generator!$B$2:$B$295,generator!$K$2:$K$295,"ARGH")</f>
        <v>41.15</v>
      </c>
      <c r="JZ16" s="3">
        <f>_xlfn.XLOOKUP(JZ$1,generator!$B$2:$B$295,generator!$K$2:$K$295,"ARGH")</f>
        <v>5</v>
      </c>
      <c r="KA16" s="3">
        <f>_xlfn.XLOOKUP(KA$1,generator!$B$2:$B$295,generator!$K$2:$K$295,"ARGH")</f>
        <v>5</v>
      </c>
      <c r="KB16" s="3">
        <f>_xlfn.XLOOKUP(KB$1,generator!$B$2:$B$295,generator!$K$2:$K$295,"ARGH")</f>
        <v>5</v>
      </c>
      <c r="KC16" s="3">
        <f>_xlfn.XLOOKUP(KC$1,generator!$B$2:$B$295,generator!$K$2:$K$295,"ARGH")</f>
        <v>5</v>
      </c>
    </row>
    <row r="17" spans="1:289" x14ac:dyDescent="0.3">
      <c r="A17" s="4" t="s">
        <v>3012</v>
      </c>
      <c r="B17" s="31">
        <v>184.5</v>
      </c>
      <c r="C17" s="31">
        <v>513.5</v>
      </c>
      <c r="D17" s="31">
        <v>339</v>
      </c>
      <c r="E17" s="3">
        <f>_xlfn.XLOOKUP(E$1,generator!$B$2:$B$295,generator!$K$2:$K$295,"ARGH")</f>
        <v>0</v>
      </c>
      <c r="F17" s="3">
        <f>_xlfn.XLOOKUP(F$1,generator!$B$2:$B$295,generator!$K$2:$K$295,"ARGH")</f>
        <v>0</v>
      </c>
      <c r="G17" s="3">
        <f>_xlfn.XLOOKUP(G$1,generator!$B$2:$B$295,generator!$K$2:$K$295,"ARGH")</f>
        <v>0</v>
      </c>
      <c r="H17" s="3">
        <f>_xlfn.XLOOKUP(H$1,generator!$B$2:$B$295,generator!$K$2:$K$295,"ARGH")</f>
        <v>0</v>
      </c>
      <c r="I17" s="3">
        <f>_xlfn.XLOOKUP(I$1,generator!$B$2:$B$295,generator!$K$2:$K$295,"ARGH")</f>
        <v>0</v>
      </c>
      <c r="J17" s="3">
        <f>_xlfn.XLOOKUP(J$1,generator!$B$2:$B$295,generator!$K$2:$K$295,"ARGH")</f>
        <v>0</v>
      </c>
      <c r="K17" s="3">
        <f>_xlfn.XLOOKUP(K$1,generator!$B$2:$B$295,generator!$K$2:$K$295,"ARGH")</f>
        <v>0</v>
      </c>
      <c r="L17" s="3">
        <f>_xlfn.XLOOKUP(L$1,generator!$B$2:$B$295,generator!$K$2:$K$295,"ARGH")</f>
        <v>0</v>
      </c>
      <c r="M17" s="3">
        <f>_xlfn.XLOOKUP(M$1,generator!$B$2:$B$295,generator!$K$2:$K$295,"ARGH")</f>
        <v>0</v>
      </c>
      <c r="N17" s="3">
        <f>_xlfn.XLOOKUP(N$1,generator!$B$2:$B$295,generator!$K$2:$K$295,"ARGH")</f>
        <v>0</v>
      </c>
      <c r="O17" s="3">
        <f>_xlfn.XLOOKUP(O$1,generator!$B$2:$B$295,generator!$K$2:$K$295,"ARGH")</f>
        <v>0</v>
      </c>
      <c r="P17" s="3">
        <f>_xlfn.XLOOKUP(P$1,generator!$B$2:$B$295,generator!$K$2:$K$295,"ARGH")</f>
        <v>0</v>
      </c>
      <c r="Q17" s="3">
        <f>_xlfn.XLOOKUP(Q$1,generator!$B$2:$B$295,generator!$K$2:$K$295,"ARGH")</f>
        <v>0</v>
      </c>
      <c r="R17" s="3">
        <f>_xlfn.XLOOKUP(R$1,generator!$B$2:$B$295,generator!$K$2:$K$295,"ARGH")</f>
        <v>0</v>
      </c>
      <c r="S17" s="3">
        <f>_xlfn.XLOOKUP(S$1,generator!$B$2:$B$295,generator!$K$2:$K$295,"ARGH")</f>
        <v>0</v>
      </c>
      <c r="T17" s="3">
        <f>_xlfn.XLOOKUP(T$1,generator!$B$2:$B$295,generator!$K$2:$K$295,"ARGH")</f>
        <v>0</v>
      </c>
      <c r="U17" s="3">
        <f>_xlfn.XLOOKUP(U$1,generator!$B$2:$B$295,generator!$K$2:$K$295,"ARGH")</f>
        <v>0</v>
      </c>
      <c r="V17" s="3">
        <f>_xlfn.XLOOKUP(V$1,generator!$B$2:$B$295,generator!$K$2:$K$295,"ARGH")</f>
        <v>0</v>
      </c>
      <c r="W17" s="3">
        <f>_xlfn.XLOOKUP(W$1,generator!$B$2:$B$295,generator!$K$2:$K$295,"ARGH")</f>
        <v>0</v>
      </c>
      <c r="X17" s="3">
        <f>_xlfn.XLOOKUP(X$1,generator!$B$2:$B$295,generator!$K$2:$K$295,"ARGH")</f>
        <v>0</v>
      </c>
      <c r="Y17" s="3">
        <f>_xlfn.XLOOKUP(Y$1,generator!$B$2:$B$295,generator!$K$2:$K$295,"ARGH")</f>
        <v>0</v>
      </c>
      <c r="Z17" s="3">
        <f>_xlfn.XLOOKUP(Z$1,generator!$B$2:$B$295,generator!$K$2:$K$295,"ARGH")</f>
        <v>0</v>
      </c>
      <c r="AA17" s="3">
        <f>_xlfn.XLOOKUP(AA$1,generator!$B$2:$B$295,generator!$K$2:$K$295,"ARGH")</f>
        <v>0</v>
      </c>
      <c r="AB17" s="3">
        <f>_xlfn.XLOOKUP(AB$1,generator!$B$2:$B$295,generator!$K$2:$K$295,"ARGH")</f>
        <v>0</v>
      </c>
      <c r="AC17" s="3">
        <f>_xlfn.XLOOKUP(AC$1,generator!$B$2:$B$295,generator!$K$2:$K$295,"ARGH")</f>
        <v>0</v>
      </c>
      <c r="AD17" s="3">
        <f>_xlfn.XLOOKUP(AD$1,generator!$B$2:$B$295,generator!$K$2:$K$295,"ARGH")</f>
        <v>0</v>
      </c>
      <c r="AE17" s="3">
        <f>_xlfn.XLOOKUP(AE$1,generator!$B$2:$B$295,generator!$K$2:$K$295,"ARGH")</f>
        <v>0</v>
      </c>
      <c r="AF17" s="3">
        <f>_xlfn.XLOOKUP(AF$1,generator!$B$2:$B$295,generator!$K$2:$K$295,"ARGH")</f>
        <v>0</v>
      </c>
      <c r="AG17" s="3">
        <f>_xlfn.XLOOKUP(AG$1,generator!$B$2:$B$295,generator!$K$2:$K$295,"ARGH")</f>
        <v>0</v>
      </c>
      <c r="AH17" s="3">
        <f>_xlfn.XLOOKUP(AH$1,generator!$B$2:$B$295,generator!$K$2:$K$295,"ARGH")</f>
        <v>0</v>
      </c>
      <c r="AI17" s="3">
        <f>_xlfn.XLOOKUP(AI$1,generator!$B$2:$B$295,generator!$K$2:$K$295,"ARGH")</f>
        <v>0</v>
      </c>
      <c r="AJ17" s="3">
        <f>_xlfn.XLOOKUP(AJ$1,generator!$B$2:$B$295,generator!$K$2:$K$295,"ARGH")</f>
        <v>0</v>
      </c>
      <c r="AK17" s="3">
        <f>_xlfn.XLOOKUP(AK$1,generator!$B$2:$B$295,generator!$K$2:$K$295,"ARGH")</f>
        <v>0</v>
      </c>
      <c r="AL17" s="3">
        <f>_xlfn.XLOOKUP(AL$1,generator!$B$2:$B$295,generator!$K$2:$K$295,"ARGH")</f>
        <v>0</v>
      </c>
      <c r="AM17" s="3">
        <f>_xlfn.XLOOKUP(AM$1,generator!$B$2:$B$295,generator!$K$2:$K$295,"ARGH")</f>
        <v>0</v>
      </c>
      <c r="AN17" s="3">
        <f>_xlfn.XLOOKUP(AN$1,generator!$B$2:$B$295,generator!$K$2:$K$295,"ARGH")</f>
        <v>0</v>
      </c>
      <c r="AO17" s="3">
        <f>_xlfn.XLOOKUP(AO$1,generator!$B$2:$B$295,generator!$K$2:$K$295,"ARGH")</f>
        <v>0</v>
      </c>
      <c r="AP17" s="3">
        <f>_xlfn.XLOOKUP(AP$1,generator!$B$2:$B$295,generator!$K$2:$K$295,"ARGH")</f>
        <v>0</v>
      </c>
      <c r="AQ17" s="3">
        <f>_xlfn.XLOOKUP(AQ$1,generator!$B$2:$B$295,generator!$K$2:$K$295,"ARGH")</f>
        <v>0</v>
      </c>
      <c r="AR17" s="3">
        <f>_xlfn.XLOOKUP(AR$1,generator!$B$2:$B$295,generator!$K$2:$K$295,"ARGH")</f>
        <v>0</v>
      </c>
      <c r="AS17" s="3">
        <f>_xlfn.XLOOKUP(AS$1,generator!$B$2:$B$295,generator!$K$2:$K$295,"ARGH")</f>
        <v>0</v>
      </c>
      <c r="AT17" s="3">
        <f>_xlfn.XLOOKUP(AT$1,generator!$B$2:$B$295,generator!$K$2:$K$295,"ARGH")</f>
        <v>0</v>
      </c>
      <c r="AU17" s="3">
        <f>_xlfn.XLOOKUP(AU$1,generator!$B$2:$B$295,generator!$K$2:$K$295,"ARGH")</f>
        <v>0</v>
      </c>
      <c r="AV17" s="3">
        <f>_xlfn.XLOOKUP(AV$1,generator!$B$2:$B$295,generator!$K$2:$K$295,"ARGH")</f>
        <v>0</v>
      </c>
      <c r="AW17" s="3">
        <f>_xlfn.XLOOKUP(AW$1,generator!$B$2:$B$295,generator!$K$2:$K$295,"ARGH")</f>
        <v>0</v>
      </c>
      <c r="AX17" s="3">
        <f>_xlfn.XLOOKUP(AX$1,generator!$B$2:$B$295,generator!$K$2:$K$295,"ARGH")</f>
        <v>0</v>
      </c>
      <c r="AY17" s="3">
        <f>_xlfn.XLOOKUP(AY$1,generator!$B$2:$B$295,generator!$K$2:$K$295,"ARGH")</f>
        <v>0</v>
      </c>
      <c r="AZ17" s="3">
        <f>_xlfn.XLOOKUP(AZ$1,generator!$B$2:$B$295,generator!$K$2:$K$295,"ARGH")</f>
        <v>0</v>
      </c>
      <c r="BA17" s="3">
        <f>_xlfn.XLOOKUP(BA$1,generator!$B$2:$B$295,generator!$K$2:$K$295,"ARGH")</f>
        <v>0</v>
      </c>
      <c r="BB17" s="3">
        <f>_xlfn.XLOOKUP(BB$1,generator!$B$2:$B$295,generator!$K$2:$K$295,"ARGH")</f>
        <v>0</v>
      </c>
      <c r="BC17" s="3">
        <f>_xlfn.XLOOKUP(BC$1,generator!$B$2:$B$295,generator!$K$2:$K$295,"ARGH")</f>
        <v>0</v>
      </c>
      <c r="BD17" s="3">
        <f>_xlfn.XLOOKUP(BD$1,generator!$B$2:$B$295,generator!$K$2:$K$295,"ARGH")</f>
        <v>0</v>
      </c>
      <c r="BE17" s="3">
        <f>_xlfn.XLOOKUP(BE$1,generator!$B$2:$B$295,generator!$K$2:$K$295,"ARGH")</f>
        <v>0</v>
      </c>
      <c r="BF17" s="3">
        <f>_xlfn.XLOOKUP(BF$1,generator!$B$2:$B$295,generator!$K$2:$K$295,"ARGH")</f>
        <v>0</v>
      </c>
      <c r="BG17" s="3">
        <f>_xlfn.XLOOKUP(BG$1,generator!$B$2:$B$295,generator!$K$2:$K$295,"ARGH")</f>
        <v>0</v>
      </c>
      <c r="BH17" s="3">
        <f>_xlfn.XLOOKUP(BH$1,generator!$B$2:$B$295,generator!$K$2:$K$295,"ARGH")</f>
        <v>0</v>
      </c>
      <c r="BI17" s="3">
        <f>_xlfn.XLOOKUP(BI$1,generator!$B$2:$B$295,generator!$K$2:$K$295,"ARGH")</f>
        <v>0</v>
      </c>
      <c r="BJ17" s="3">
        <f>_xlfn.XLOOKUP(BJ$1,generator!$B$2:$B$295,generator!$K$2:$K$295,"ARGH")</f>
        <v>0</v>
      </c>
      <c r="BK17" s="3">
        <f>_xlfn.XLOOKUP(BK$1,generator!$B$2:$B$295,generator!$K$2:$K$295,"ARGH")</f>
        <v>0</v>
      </c>
      <c r="BL17" s="3">
        <f>_xlfn.XLOOKUP(BL$1,generator!$B$2:$B$295,generator!$K$2:$K$295,"ARGH")</f>
        <v>0</v>
      </c>
      <c r="BM17" s="3">
        <f>_xlfn.XLOOKUP(BM$1,generator!$B$2:$B$295,generator!$K$2:$K$295,"ARGH")</f>
        <v>0</v>
      </c>
      <c r="BN17" s="3">
        <f>_xlfn.XLOOKUP(BN$1,generator!$B$2:$B$295,generator!$K$2:$K$295,"ARGH")</f>
        <v>0</v>
      </c>
      <c r="BO17" s="3">
        <f>_xlfn.XLOOKUP(BO$1,generator!$B$2:$B$295,generator!$K$2:$K$295,"ARGH")</f>
        <v>0</v>
      </c>
      <c r="BP17" s="3">
        <f>_xlfn.XLOOKUP(BP$1,generator!$B$2:$B$295,generator!$K$2:$K$295,"ARGH")</f>
        <v>0</v>
      </c>
      <c r="BQ17" s="3">
        <f>_xlfn.XLOOKUP(BQ$1,generator!$B$2:$B$295,generator!$K$2:$K$295,"ARGH")</f>
        <v>0</v>
      </c>
      <c r="BR17" s="3">
        <f>_xlfn.XLOOKUP(BR$1,generator!$B$2:$B$295,generator!$K$2:$K$295,"ARGH")</f>
        <v>0</v>
      </c>
      <c r="BS17" s="3">
        <f>_xlfn.XLOOKUP(BS$1,generator!$B$2:$B$295,generator!$K$2:$K$295,"ARGH")</f>
        <v>0</v>
      </c>
      <c r="BT17" s="3">
        <f>_xlfn.XLOOKUP(BT$1,generator!$B$2:$B$295,generator!$K$2:$K$295,"ARGH")</f>
        <v>0</v>
      </c>
      <c r="BU17" s="3">
        <f>_xlfn.XLOOKUP(BU$1,generator!$B$2:$B$295,generator!$K$2:$K$295,"ARGH")</f>
        <v>0</v>
      </c>
      <c r="BV17" s="3">
        <f>_xlfn.XLOOKUP(BV$1,generator!$B$2:$B$295,generator!$K$2:$K$295,"ARGH")</f>
        <v>0</v>
      </c>
      <c r="BW17" s="3">
        <f>_xlfn.XLOOKUP(BW$1,generator!$B$2:$B$295,generator!$K$2:$K$295,"ARGH")</f>
        <v>0</v>
      </c>
      <c r="BX17" s="3">
        <f>_xlfn.XLOOKUP(BX$1,generator!$B$2:$B$295,generator!$K$2:$K$295,"ARGH")</f>
        <v>0</v>
      </c>
      <c r="BY17" s="3">
        <f>_xlfn.XLOOKUP(BY$1,generator!$B$2:$B$295,generator!$K$2:$K$295,"ARGH")</f>
        <v>0</v>
      </c>
      <c r="BZ17" s="3">
        <f>_xlfn.XLOOKUP(BZ$1,generator!$B$2:$B$295,generator!$K$2:$K$295,"ARGH")</f>
        <v>0</v>
      </c>
      <c r="CA17" s="3">
        <f>_xlfn.XLOOKUP(CA$1,generator!$B$2:$B$295,generator!$K$2:$K$295,"ARGH")</f>
        <v>0</v>
      </c>
      <c r="CB17" s="3">
        <f>_xlfn.XLOOKUP(CB$1,generator!$B$2:$B$295,generator!$K$2:$K$295,"ARGH")</f>
        <v>0</v>
      </c>
      <c r="CC17" s="3">
        <f>_xlfn.XLOOKUP(CC$1,generator!$B$2:$B$295,generator!$K$2:$K$295,"ARGH")</f>
        <v>0</v>
      </c>
      <c r="CD17" s="3">
        <f>_xlfn.XLOOKUP(CD$1,generator!$B$2:$B$295,generator!$K$2:$K$295,"ARGH")</f>
        <v>0</v>
      </c>
      <c r="CE17" s="3">
        <f>_xlfn.XLOOKUP(CE$1,generator!$B$2:$B$295,generator!$K$2:$K$295,"ARGH")</f>
        <v>0</v>
      </c>
      <c r="CF17" s="3">
        <f>_xlfn.XLOOKUP(CF$1,generator!$B$2:$B$295,generator!$K$2:$K$295,"ARGH")</f>
        <v>0</v>
      </c>
      <c r="CG17" s="3">
        <f>_xlfn.XLOOKUP(CG$1,generator!$B$2:$B$295,generator!$K$2:$K$295,"ARGH")</f>
        <v>0</v>
      </c>
      <c r="CH17" s="3">
        <f>_xlfn.XLOOKUP(CH$1,generator!$B$2:$B$295,generator!$K$2:$K$295,"ARGH")</f>
        <v>0</v>
      </c>
      <c r="CI17" s="3">
        <f>_xlfn.XLOOKUP(CI$1,generator!$B$2:$B$295,generator!$K$2:$K$295,"ARGH")</f>
        <v>0</v>
      </c>
      <c r="CJ17" s="3">
        <f>_xlfn.XLOOKUP(CJ$1,generator!$B$2:$B$295,generator!$K$2:$K$295,"ARGH")</f>
        <v>0</v>
      </c>
      <c r="CK17" s="3">
        <f>_xlfn.XLOOKUP(CK$1,generator!$B$2:$B$295,generator!$K$2:$K$295,"ARGH")</f>
        <v>0</v>
      </c>
      <c r="CL17" s="3">
        <f>_xlfn.XLOOKUP(CL$1,generator!$B$2:$B$295,generator!$K$2:$K$295,"ARGH")</f>
        <v>0</v>
      </c>
      <c r="CM17" s="3">
        <f>_xlfn.XLOOKUP(CM$1,generator!$B$2:$B$295,generator!$K$2:$K$295,"ARGH")</f>
        <v>0</v>
      </c>
      <c r="CN17" s="3">
        <f>_xlfn.XLOOKUP(CN$1,generator!$B$2:$B$295,generator!$K$2:$K$295,"ARGH")</f>
        <v>0</v>
      </c>
      <c r="CO17" s="3">
        <f>_xlfn.XLOOKUP(CO$1,generator!$B$2:$B$295,generator!$K$2:$K$295,"ARGH")</f>
        <v>0</v>
      </c>
      <c r="CP17" s="3">
        <f>_xlfn.XLOOKUP(CP$1,generator!$B$2:$B$295,generator!$K$2:$K$295,"ARGH")</f>
        <v>0</v>
      </c>
      <c r="CQ17" s="3">
        <f>_xlfn.XLOOKUP(CQ$1,generator!$B$2:$B$295,generator!$K$2:$K$295,"ARGH")</f>
        <v>0</v>
      </c>
      <c r="CR17" s="3">
        <f>_xlfn.XLOOKUP(CR$1,generator!$B$2:$B$295,generator!$K$2:$K$295,"ARGH")</f>
        <v>0</v>
      </c>
      <c r="CS17" s="3">
        <f>_xlfn.XLOOKUP(CS$1,generator!$B$2:$B$295,generator!$K$2:$K$295,"ARGH")</f>
        <v>0</v>
      </c>
      <c r="CT17" s="3">
        <f>_xlfn.XLOOKUP(CT$1,generator!$B$2:$B$295,generator!$K$2:$K$295,"ARGH")</f>
        <v>0</v>
      </c>
      <c r="CU17" s="3">
        <f>_xlfn.XLOOKUP(CU$1,generator!$B$2:$B$295,generator!$K$2:$K$295,"ARGH")</f>
        <v>0</v>
      </c>
      <c r="CV17" s="3">
        <f>_xlfn.XLOOKUP(CV$1,generator!$B$2:$B$295,generator!$K$2:$K$295,"ARGH")</f>
        <v>0</v>
      </c>
      <c r="CW17" s="3">
        <f>_xlfn.XLOOKUP(CW$1,generator!$B$2:$B$295,generator!$K$2:$K$295,"ARGH")</f>
        <v>0</v>
      </c>
      <c r="CX17" s="3">
        <f>_xlfn.XLOOKUP(CX$1,generator!$B$2:$B$295,generator!$K$2:$K$295,"ARGH")</f>
        <v>0</v>
      </c>
      <c r="CY17" s="3">
        <f>_xlfn.XLOOKUP(CY$1,generator!$B$2:$B$295,generator!$K$2:$K$295,"ARGH")</f>
        <v>0</v>
      </c>
      <c r="CZ17" s="3">
        <f>_xlfn.XLOOKUP(CZ$1,generator!$B$2:$B$295,generator!$K$2:$K$295,"ARGH")</f>
        <v>0</v>
      </c>
      <c r="DA17" s="3">
        <f>_xlfn.XLOOKUP(DA$1,generator!$B$2:$B$295,generator!$K$2:$K$295,"ARGH")</f>
        <v>0</v>
      </c>
      <c r="DB17" s="3">
        <f>_xlfn.XLOOKUP(DB$1,generator!$B$2:$B$295,generator!$K$2:$K$295,"ARGH")</f>
        <v>0</v>
      </c>
      <c r="DC17" s="3">
        <f>_xlfn.XLOOKUP(DC$1,generator!$B$2:$B$295,generator!$K$2:$K$295,"ARGH")</f>
        <v>0</v>
      </c>
      <c r="DD17" s="3">
        <f>_xlfn.XLOOKUP(DD$1,generator!$B$2:$B$295,generator!$K$2:$K$295,"ARGH")</f>
        <v>0</v>
      </c>
      <c r="DE17" s="3">
        <f>_xlfn.XLOOKUP(DE$1,generator!$B$2:$B$295,generator!$K$2:$K$295,"ARGH")</f>
        <v>0</v>
      </c>
      <c r="DF17" s="3">
        <f>_xlfn.XLOOKUP(DF$1,generator!$B$2:$B$295,generator!$K$2:$K$295,"ARGH")</f>
        <v>0</v>
      </c>
      <c r="DG17" s="3">
        <f>_xlfn.XLOOKUP(DG$1,generator!$B$2:$B$295,generator!$K$2:$K$295,"ARGH")</f>
        <v>0</v>
      </c>
      <c r="DH17" s="3">
        <f>_xlfn.XLOOKUP(DH$1,generator!$B$2:$B$295,generator!$K$2:$K$295,"ARGH")</f>
        <v>0</v>
      </c>
      <c r="DI17" s="3">
        <f>_xlfn.XLOOKUP(DI$1,generator!$B$2:$B$295,generator!$K$2:$K$295,"ARGH")</f>
        <v>0</v>
      </c>
      <c r="DJ17" s="3">
        <f>_xlfn.XLOOKUP(DJ$1,generator!$B$2:$B$295,generator!$K$2:$K$295,"ARGH")</f>
        <v>0</v>
      </c>
      <c r="DK17" s="3">
        <f>_xlfn.XLOOKUP(DK$1,generator!$B$2:$B$295,generator!$K$2:$K$295,"ARGH")</f>
        <v>0</v>
      </c>
      <c r="DL17" s="3">
        <f>_xlfn.XLOOKUP(DL$1,generator!$B$2:$B$295,generator!$K$2:$K$295,"ARGH")</f>
        <v>0</v>
      </c>
      <c r="DM17" s="3">
        <f>_xlfn.XLOOKUP(DM$1,generator!$B$2:$B$295,generator!$K$2:$K$295,"ARGH")</f>
        <v>0</v>
      </c>
      <c r="DN17" s="3">
        <f>_xlfn.XLOOKUP(DN$1,generator!$B$2:$B$295,generator!$K$2:$K$295,"ARGH")</f>
        <v>0</v>
      </c>
      <c r="DO17" s="3">
        <f>_xlfn.XLOOKUP(DO$1,generator!$B$2:$B$295,generator!$K$2:$K$295,"ARGH")</f>
        <v>0</v>
      </c>
      <c r="DP17" s="3">
        <f>_xlfn.XLOOKUP(DP$1,generator!$B$2:$B$295,generator!$K$2:$K$295,"ARGH")</f>
        <v>0</v>
      </c>
      <c r="DQ17" s="3">
        <f>_xlfn.XLOOKUP(DQ$1,generator!$B$2:$B$295,generator!$K$2:$K$295,"ARGH")</f>
        <v>0</v>
      </c>
      <c r="DR17" s="3">
        <f>_xlfn.XLOOKUP(DR$1,generator!$B$2:$B$295,generator!$K$2:$K$295,"ARGH")</f>
        <v>0</v>
      </c>
      <c r="DS17" s="3">
        <f>_xlfn.XLOOKUP(DS$1,generator!$B$2:$B$295,generator!$K$2:$K$295,"ARGH")</f>
        <v>0</v>
      </c>
      <c r="DT17" s="3">
        <f>_xlfn.XLOOKUP(DT$1,generator!$B$2:$B$295,generator!$K$2:$K$295,"ARGH")</f>
        <v>0</v>
      </c>
      <c r="DU17" s="3">
        <f>_xlfn.XLOOKUP(DU$1,generator!$B$2:$B$295,generator!$K$2:$K$295,"ARGH")</f>
        <v>0</v>
      </c>
      <c r="DV17" s="3">
        <f>_xlfn.XLOOKUP(DV$1,generator!$B$2:$B$295,generator!$K$2:$K$295,"ARGH")</f>
        <v>0</v>
      </c>
      <c r="DW17" s="3">
        <f>_xlfn.XLOOKUP(DW$1,generator!$B$2:$B$295,generator!$K$2:$K$295,"ARGH")</f>
        <v>0</v>
      </c>
      <c r="DX17" s="3">
        <f>_xlfn.XLOOKUP(DX$1,generator!$B$2:$B$295,generator!$K$2:$K$295,"ARGH")</f>
        <v>0</v>
      </c>
      <c r="DY17" s="3">
        <f>_xlfn.XLOOKUP(DY$1,generator!$B$2:$B$295,generator!$K$2:$K$295,"ARGH")</f>
        <v>0</v>
      </c>
      <c r="DZ17" s="3">
        <f>_xlfn.XLOOKUP(DZ$1,generator!$B$2:$B$295,generator!$K$2:$K$295,"ARGH")</f>
        <v>0</v>
      </c>
      <c r="EA17" s="3">
        <f>_xlfn.XLOOKUP(EA$1,generator!$B$2:$B$295,generator!$K$2:$K$295,"ARGH")</f>
        <v>0</v>
      </c>
      <c r="EB17" s="3">
        <f>_xlfn.XLOOKUP(EB$1,generator!$B$2:$B$295,generator!$K$2:$K$295,"ARGH")</f>
        <v>0</v>
      </c>
      <c r="EC17" s="3">
        <f>_xlfn.XLOOKUP(EC$1,generator!$B$2:$B$295,generator!$K$2:$K$295,"ARGH")</f>
        <v>0</v>
      </c>
      <c r="ED17" s="3">
        <f>_xlfn.XLOOKUP(ED$1,generator!$B$2:$B$295,generator!$K$2:$K$295,"ARGH")</f>
        <v>0</v>
      </c>
      <c r="EE17" s="3">
        <f>_xlfn.XLOOKUP(EE$1,generator!$B$2:$B$295,generator!$K$2:$K$295,"ARGH")</f>
        <v>0</v>
      </c>
      <c r="EF17" s="3">
        <f>_xlfn.XLOOKUP(EF$1,generator!$B$2:$B$295,generator!$K$2:$K$295,"ARGH")</f>
        <v>0</v>
      </c>
      <c r="EG17" s="3">
        <f>_xlfn.XLOOKUP(EG$1,generator!$B$2:$B$295,generator!$K$2:$K$295,"ARGH")</f>
        <v>0</v>
      </c>
      <c r="EH17" s="3">
        <f>_xlfn.XLOOKUP(EH$1,generator!$B$2:$B$295,generator!$K$2:$K$295,"ARGH")</f>
        <v>0</v>
      </c>
      <c r="EI17" s="3">
        <f>_xlfn.XLOOKUP(EI$1,generator!$B$2:$B$295,generator!$K$2:$K$295,"ARGH")</f>
        <v>0</v>
      </c>
      <c r="EJ17" s="3">
        <f>_xlfn.XLOOKUP(EJ$1,generator!$B$2:$B$295,generator!$K$2:$K$295,"ARGH")</f>
        <v>0</v>
      </c>
      <c r="EK17" s="3">
        <f>_xlfn.XLOOKUP(EK$1,generator!$B$2:$B$295,generator!$K$2:$K$295,"ARGH")</f>
        <v>0</v>
      </c>
      <c r="EL17" s="3">
        <f>_xlfn.XLOOKUP(EL$1,generator!$B$2:$B$295,generator!$K$2:$K$295,"ARGH")</f>
        <v>0</v>
      </c>
      <c r="EM17" s="3">
        <f>_xlfn.XLOOKUP(EM$1,generator!$B$2:$B$295,generator!$K$2:$K$295,"ARGH")</f>
        <v>0</v>
      </c>
      <c r="EN17" s="3">
        <f>_xlfn.XLOOKUP(EN$1,generator!$B$2:$B$295,generator!$K$2:$K$295,"ARGH")</f>
        <v>0</v>
      </c>
      <c r="EO17" s="3">
        <f>_xlfn.XLOOKUP(EO$1,generator!$B$2:$B$295,generator!$K$2:$K$295,"ARGH")</f>
        <v>0</v>
      </c>
      <c r="EP17" s="3">
        <f>_xlfn.XLOOKUP(EP$1,generator!$B$2:$B$295,generator!$K$2:$K$295,"ARGH")</f>
        <v>0</v>
      </c>
      <c r="EQ17" s="3">
        <f>_xlfn.XLOOKUP(EQ$1,generator!$B$2:$B$295,generator!$K$2:$K$295,"ARGH")</f>
        <v>0</v>
      </c>
      <c r="ER17" s="3">
        <f>_xlfn.XLOOKUP(ER$1,generator!$B$2:$B$295,generator!$K$2:$K$295,"ARGH")</f>
        <v>0</v>
      </c>
      <c r="ES17" s="3">
        <f>_xlfn.XLOOKUP(ES$1,generator!$B$2:$B$295,generator!$K$2:$K$295,"ARGH")</f>
        <v>0</v>
      </c>
      <c r="ET17" s="3">
        <f>_xlfn.XLOOKUP(ET$1,generator!$B$2:$B$295,generator!$K$2:$K$295,"ARGH")</f>
        <v>0</v>
      </c>
      <c r="EU17" s="3">
        <f>_xlfn.XLOOKUP(EU$1,generator!$B$2:$B$295,generator!$K$2:$K$295,"ARGH")</f>
        <v>0</v>
      </c>
      <c r="EV17" s="3">
        <f>_xlfn.XLOOKUP(EV$1,generator!$B$2:$B$295,generator!$K$2:$K$295,"ARGH")</f>
        <v>0</v>
      </c>
      <c r="EW17" s="3">
        <f>_xlfn.XLOOKUP(EW$1,generator!$B$2:$B$295,generator!$K$2:$K$295,"ARGH")</f>
        <v>0</v>
      </c>
      <c r="EX17" s="3">
        <f>_xlfn.XLOOKUP(EX$1,generator!$B$2:$B$295,generator!$K$2:$K$295,"ARGH")</f>
        <v>0</v>
      </c>
      <c r="EY17" s="3">
        <f>_xlfn.XLOOKUP(EY$1,generator!$B$2:$B$295,generator!$K$2:$K$295,"ARGH")</f>
        <v>0</v>
      </c>
      <c r="EZ17" s="3">
        <f>_xlfn.XLOOKUP(EZ$1,generator!$B$2:$B$295,generator!$K$2:$K$295,"ARGH")</f>
        <v>0</v>
      </c>
      <c r="FA17" s="3">
        <f>_xlfn.XLOOKUP(FA$1,generator!$B$2:$B$295,generator!$K$2:$K$295,"ARGH")</f>
        <v>0</v>
      </c>
      <c r="FB17" s="3">
        <f>_xlfn.XLOOKUP(FB$1,generator!$B$2:$B$295,generator!$K$2:$K$295,"ARGH")</f>
        <v>0</v>
      </c>
      <c r="FC17" s="3">
        <f>_xlfn.XLOOKUP(FC$1,generator!$B$2:$B$295,generator!$K$2:$K$295,"ARGH")</f>
        <v>0</v>
      </c>
      <c r="FD17" s="3">
        <f>_xlfn.XLOOKUP(FD$1,generator!$B$2:$B$295,generator!$K$2:$K$295,"ARGH")</f>
        <v>0</v>
      </c>
      <c r="FE17" s="3">
        <f>_xlfn.XLOOKUP(FE$1,generator!$B$2:$B$295,generator!$K$2:$K$295,"ARGH")</f>
        <v>0</v>
      </c>
      <c r="FF17" s="3">
        <f>_xlfn.XLOOKUP(FF$1,generator!$B$2:$B$295,generator!$K$2:$K$295,"ARGH")</f>
        <v>0</v>
      </c>
      <c r="FG17" s="3">
        <f>_xlfn.XLOOKUP(FG$1,generator!$B$2:$B$295,generator!$K$2:$K$295,"ARGH")</f>
        <v>0</v>
      </c>
      <c r="FH17" s="3">
        <f>_xlfn.XLOOKUP(FH$1,generator!$B$2:$B$295,generator!$K$2:$K$295,"ARGH")</f>
        <v>0</v>
      </c>
      <c r="FI17" s="3">
        <f>_xlfn.XLOOKUP(FI$1,generator!$B$2:$B$295,generator!$K$2:$K$295,"ARGH")</f>
        <v>0</v>
      </c>
      <c r="FJ17" s="3">
        <f>_xlfn.XLOOKUP(FJ$1,generator!$B$2:$B$295,generator!$K$2:$K$295,"ARGH")</f>
        <v>0</v>
      </c>
      <c r="FK17" s="3">
        <f>_xlfn.XLOOKUP(FK$1,generator!$B$2:$B$295,generator!$K$2:$K$295,"ARGH")</f>
        <v>0</v>
      </c>
      <c r="FL17" s="3">
        <f>_xlfn.XLOOKUP(FL$1,generator!$B$2:$B$295,generator!$K$2:$K$295,"ARGH")</f>
        <v>0</v>
      </c>
      <c r="FM17" s="3">
        <f>_xlfn.XLOOKUP(FM$1,generator!$B$2:$B$295,generator!$K$2:$K$295,"ARGH")</f>
        <v>0</v>
      </c>
      <c r="FN17" s="3">
        <f>_xlfn.XLOOKUP(FN$1,generator!$B$2:$B$295,generator!$K$2:$K$295,"ARGH")</f>
        <v>0</v>
      </c>
      <c r="FO17" s="3">
        <f>_xlfn.XLOOKUP(FO$1,generator!$B$2:$B$295,generator!$K$2:$K$295,"ARGH")</f>
        <v>0</v>
      </c>
      <c r="FP17" s="3">
        <f>_xlfn.XLOOKUP(FP$1,generator!$B$2:$B$295,generator!$K$2:$K$295,"ARGH")</f>
        <v>0</v>
      </c>
      <c r="FQ17" s="3">
        <f>_xlfn.XLOOKUP(FQ$1,generator!$B$2:$B$295,generator!$K$2:$K$295,"ARGH")</f>
        <v>0</v>
      </c>
      <c r="FR17" s="3">
        <f>_xlfn.XLOOKUP(FR$1,generator!$B$2:$B$295,generator!$K$2:$K$295,"ARGH")</f>
        <v>0</v>
      </c>
      <c r="FS17" s="3">
        <f>_xlfn.XLOOKUP(FS$1,generator!$B$2:$B$295,generator!$K$2:$K$295,"ARGH")</f>
        <v>0</v>
      </c>
      <c r="FT17" s="3">
        <f>_xlfn.XLOOKUP(FT$1,generator!$B$2:$B$295,generator!$K$2:$K$295,"ARGH")</f>
        <v>0</v>
      </c>
      <c r="FU17" s="3">
        <f>_xlfn.XLOOKUP(FU$1,generator!$B$2:$B$295,generator!$K$2:$K$295,"ARGH")</f>
        <v>0</v>
      </c>
      <c r="FV17" s="3">
        <f>_xlfn.XLOOKUP(FV$1,generator!$B$2:$B$295,generator!$K$2:$K$295,"ARGH")</f>
        <v>0</v>
      </c>
      <c r="FW17" s="3">
        <f>_xlfn.XLOOKUP(FW$1,generator!$B$2:$B$295,generator!$K$2:$K$295,"ARGH")</f>
        <v>0</v>
      </c>
      <c r="FX17" s="3">
        <f>_xlfn.XLOOKUP(FX$1,generator!$B$2:$B$295,generator!$K$2:$K$295,"ARGH")</f>
        <v>0</v>
      </c>
      <c r="FY17" s="3">
        <f>_xlfn.XLOOKUP(FY$1,generator!$B$2:$B$295,generator!$K$2:$K$295,"ARGH")</f>
        <v>0</v>
      </c>
      <c r="FZ17" s="3">
        <f>_xlfn.XLOOKUP(FZ$1,generator!$B$2:$B$295,generator!$K$2:$K$295,"ARGH")</f>
        <v>0</v>
      </c>
      <c r="GA17" s="3">
        <f>_xlfn.XLOOKUP(GA$1,generator!$B$2:$B$295,generator!$K$2:$K$295,"ARGH")</f>
        <v>0</v>
      </c>
      <c r="GB17" s="3">
        <f>_xlfn.XLOOKUP(GB$1,generator!$B$2:$B$295,generator!$K$2:$K$295,"ARGH")</f>
        <v>0</v>
      </c>
      <c r="GC17" s="3">
        <f>_xlfn.XLOOKUP(GC$1,generator!$B$2:$B$295,generator!$K$2:$K$295,"ARGH")</f>
        <v>0</v>
      </c>
      <c r="GD17" s="3">
        <f>_xlfn.XLOOKUP(GD$1,generator!$B$2:$B$295,generator!$K$2:$K$295,"ARGH")</f>
        <v>0</v>
      </c>
      <c r="GE17" s="3">
        <f>_xlfn.XLOOKUP(GE$1,generator!$B$2:$B$295,generator!$K$2:$K$295,"ARGH")</f>
        <v>0</v>
      </c>
      <c r="GF17" s="3">
        <f>_xlfn.XLOOKUP(GF$1,generator!$B$2:$B$295,generator!$K$2:$K$295,"ARGH")</f>
        <v>0</v>
      </c>
      <c r="GG17" s="3">
        <f>_xlfn.XLOOKUP(GG$1,generator!$B$2:$B$295,generator!$K$2:$K$295,"ARGH")</f>
        <v>0</v>
      </c>
      <c r="GH17" s="3">
        <f>_xlfn.XLOOKUP(GH$1,generator!$B$2:$B$295,generator!$K$2:$K$295,"ARGH")</f>
        <v>0</v>
      </c>
      <c r="GI17" s="3">
        <f>_xlfn.XLOOKUP(GI$1,generator!$B$2:$B$295,generator!$K$2:$K$295,"ARGH")</f>
        <v>0</v>
      </c>
      <c r="GJ17" s="3">
        <f>_xlfn.XLOOKUP(GJ$1,generator!$B$2:$B$295,generator!$K$2:$K$295,"ARGH")</f>
        <v>0</v>
      </c>
      <c r="GK17" s="3">
        <f>_xlfn.XLOOKUP(GK$1,generator!$B$2:$B$295,generator!$K$2:$K$295,"ARGH")</f>
        <v>0</v>
      </c>
      <c r="GL17" s="3">
        <f>_xlfn.XLOOKUP(GL$1,generator!$B$2:$B$295,generator!$K$2:$K$295,"ARGH")</f>
        <v>0</v>
      </c>
      <c r="GM17" s="3">
        <f>_xlfn.XLOOKUP(GM$1,generator!$B$2:$B$295,generator!$K$2:$K$295,"ARGH")</f>
        <v>0</v>
      </c>
      <c r="GN17" s="3">
        <f>_xlfn.XLOOKUP(GN$1,generator!$B$2:$B$295,generator!$K$2:$K$295,"ARGH")</f>
        <v>0</v>
      </c>
      <c r="GO17" s="3">
        <f>_xlfn.XLOOKUP(GO$1,generator!$B$2:$B$295,generator!$K$2:$K$295,"ARGH")</f>
        <v>0</v>
      </c>
      <c r="GP17" s="3">
        <f>_xlfn.XLOOKUP(GP$1,generator!$B$2:$B$295,generator!$K$2:$K$295,"ARGH")</f>
        <v>0</v>
      </c>
      <c r="GQ17" s="3">
        <f>_xlfn.XLOOKUP(GQ$1,generator!$B$2:$B$295,generator!$K$2:$K$295,"ARGH")</f>
        <v>0</v>
      </c>
      <c r="GR17" s="3">
        <f>_xlfn.XLOOKUP(GR$1,generator!$B$2:$B$295,generator!$K$2:$K$295,"ARGH")</f>
        <v>0</v>
      </c>
      <c r="GS17" s="3">
        <f>_xlfn.XLOOKUP(GS$1,generator!$B$2:$B$295,generator!$K$2:$K$295,"ARGH")</f>
        <v>0</v>
      </c>
      <c r="GT17" s="3">
        <f>_xlfn.XLOOKUP(GT$1,generator!$B$2:$B$295,generator!$K$2:$K$295,"ARGH")</f>
        <v>0</v>
      </c>
      <c r="GU17" s="3">
        <f>_xlfn.XLOOKUP(GU$1,generator!$B$2:$B$295,generator!$K$2:$K$295,"ARGH")</f>
        <v>0</v>
      </c>
      <c r="GV17" s="3">
        <f>_xlfn.XLOOKUP(GV$1,generator!$B$2:$B$295,generator!$K$2:$K$295,"ARGH")</f>
        <v>0</v>
      </c>
      <c r="GW17" s="3">
        <f>_xlfn.XLOOKUP(GW$1,generator!$B$2:$B$295,generator!$K$2:$K$295,"ARGH")</f>
        <v>0</v>
      </c>
      <c r="GX17" s="3">
        <f>_xlfn.XLOOKUP(GX$1,generator!$B$2:$B$295,generator!$K$2:$K$295,"ARGH")</f>
        <v>0</v>
      </c>
      <c r="GY17" s="3">
        <f>_xlfn.XLOOKUP(GY$1,generator!$B$2:$B$295,generator!$K$2:$K$295,"ARGH")</f>
        <v>0</v>
      </c>
      <c r="GZ17" s="3">
        <f>_xlfn.XLOOKUP(GZ$1,generator!$B$2:$B$295,generator!$K$2:$K$295,"ARGH")</f>
        <v>0</v>
      </c>
      <c r="HA17" s="3">
        <f>_xlfn.XLOOKUP(HA$1,generator!$B$2:$B$295,generator!$K$2:$K$295,"ARGH")</f>
        <v>0</v>
      </c>
      <c r="HB17" s="3">
        <f>_xlfn.XLOOKUP(HB$1,generator!$B$2:$B$295,generator!$K$2:$K$295,"ARGH")</f>
        <v>0</v>
      </c>
      <c r="HC17" s="3">
        <f>_xlfn.XLOOKUP(HC$1,generator!$B$2:$B$295,generator!$K$2:$K$295,"ARGH")</f>
        <v>0</v>
      </c>
      <c r="HD17" s="3">
        <f>_xlfn.XLOOKUP(HD$1,generator!$B$2:$B$295,generator!$K$2:$K$295,"ARGH")</f>
        <v>0</v>
      </c>
      <c r="HE17" s="3">
        <f>_xlfn.XLOOKUP(HE$1,generator!$B$2:$B$295,generator!$K$2:$K$295,"ARGH")</f>
        <v>12.74</v>
      </c>
      <c r="HF17" s="3">
        <f>_xlfn.XLOOKUP(HF$1,generator!$B$2:$B$295,generator!$K$2:$K$295,"ARGH")</f>
        <v>99</v>
      </c>
      <c r="HG17" s="3">
        <f>_xlfn.XLOOKUP(HG$1,generator!$B$2:$B$295,generator!$K$2:$K$295,"ARGH")</f>
        <v>99</v>
      </c>
      <c r="HH17" s="3">
        <f>_xlfn.XLOOKUP(HH$1,generator!$B$2:$B$295,generator!$K$2:$K$295,"ARGH")</f>
        <v>99</v>
      </c>
      <c r="HI17" s="3">
        <f>_xlfn.XLOOKUP(HI$1,generator!$B$2:$B$295,generator!$K$2:$K$295,"ARGH")</f>
        <v>8</v>
      </c>
      <c r="HJ17" s="3">
        <f>_xlfn.XLOOKUP(HJ$1,generator!$B$2:$B$295,generator!$K$2:$K$295,"ARGH")</f>
        <v>8</v>
      </c>
      <c r="HK17" s="3">
        <f>_xlfn.XLOOKUP(HK$1,generator!$B$2:$B$295,generator!$K$2:$K$295,"ARGH")</f>
        <v>8</v>
      </c>
      <c r="HL17" s="3">
        <f>_xlfn.XLOOKUP(HL$1,generator!$B$2:$B$295,generator!$K$2:$K$295,"ARGH")</f>
        <v>20</v>
      </c>
      <c r="HM17" s="3">
        <f>_xlfn.XLOOKUP(HM$1,generator!$B$2:$B$295,generator!$K$2:$K$295,"ARGH")</f>
        <v>20</v>
      </c>
      <c r="HN17" s="3">
        <f>_xlfn.XLOOKUP(HN$1,generator!$B$2:$B$295,generator!$K$2:$K$295,"ARGH")</f>
        <v>5</v>
      </c>
      <c r="HO17" s="3">
        <f>_xlfn.XLOOKUP(HO$1,generator!$B$2:$B$295,generator!$K$2:$K$295,"ARGH")</f>
        <v>5</v>
      </c>
      <c r="HP17" s="3">
        <f>_xlfn.XLOOKUP(HP$1,generator!$B$2:$B$295,generator!$K$2:$K$295,"ARGH")</f>
        <v>0.2</v>
      </c>
      <c r="HQ17" s="3">
        <f>_xlfn.XLOOKUP(HQ$1,generator!$B$2:$B$295,generator!$K$2:$K$295,"ARGH")</f>
        <v>5</v>
      </c>
      <c r="HR17" s="3">
        <f>_xlfn.XLOOKUP(HR$1,generator!$B$2:$B$295,generator!$K$2:$K$295,"ARGH")</f>
        <v>5</v>
      </c>
      <c r="HS17" s="3">
        <f>_xlfn.XLOOKUP(HS$1,generator!$B$2:$B$295,generator!$K$2:$K$295,"ARGH")</f>
        <v>12.82</v>
      </c>
      <c r="HT17" s="3">
        <f>_xlfn.XLOOKUP(HT$1,generator!$B$2:$B$295,generator!$K$2:$K$295,"ARGH")</f>
        <v>12.82</v>
      </c>
      <c r="HU17" s="3">
        <f>_xlfn.XLOOKUP(HU$1,generator!$B$2:$B$295,generator!$K$2:$K$295,"ARGH")</f>
        <v>25</v>
      </c>
      <c r="HV17" s="3">
        <f>_xlfn.XLOOKUP(HV$1,generator!$B$2:$B$295,generator!$K$2:$K$295,"ARGH")</f>
        <v>16</v>
      </c>
      <c r="HW17" s="3">
        <f>_xlfn.XLOOKUP(HW$1,generator!$B$2:$B$295,generator!$K$2:$K$295,"ARGH")</f>
        <v>5</v>
      </c>
      <c r="HX17" s="3">
        <f>_xlfn.XLOOKUP(HX$1,generator!$B$2:$B$295,generator!$K$2:$K$295,"ARGH")</f>
        <v>5</v>
      </c>
      <c r="HY17" s="3">
        <f>_xlfn.XLOOKUP(HY$1,generator!$B$2:$B$295,generator!$K$2:$K$295,"ARGH")</f>
        <v>63</v>
      </c>
      <c r="HZ17" s="3">
        <f>_xlfn.XLOOKUP(HZ$1,generator!$B$2:$B$295,generator!$K$2:$K$295,"ARGH")</f>
        <v>18</v>
      </c>
      <c r="IA17" s="3">
        <f>_xlfn.XLOOKUP(IA$1,generator!$B$2:$B$295,generator!$K$2:$K$295,"ARGH")</f>
        <v>121</v>
      </c>
      <c r="IB17" s="3">
        <f>_xlfn.XLOOKUP(IB$1,generator!$B$2:$B$295,generator!$K$2:$K$295,"ARGH")</f>
        <v>120</v>
      </c>
      <c r="IC17" s="3">
        <f>_xlfn.XLOOKUP(IC$1,generator!$B$2:$B$295,generator!$K$2:$K$295,"ARGH")</f>
        <v>0</v>
      </c>
      <c r="ID17" s="3">
        <f>_xlfn.XLOOKUP(ID$1,generator!$B$2:$B$295,generator!$K$2:$K$295,"ARGH")</f>
        <v>17</v>
      </c>
      <c r="IE17" s="3">
        <f>_xlfn.XLOOKUP(IE$1,generator!$B$2:$B$295,generator!$K$2:$K$295,"ARGH")</f>
        <v>194</v>
      </c>
      <c r="IF17" s="3">
        <f>_xlfn.XLOOKUP(IF$1,generator!$B$2:$B$295,generator!$K$2:$K$295,"ARGH")</f>
        <v>11.9</v>
      </c>
      <c r="IG17" s="3">
        <f>_xlfn.XLOOKUP(IG$1,generator!$B$2:$B$295,generator!$K$2:$K$295,"ARGH")</f>
        <v>11.9</v>
      </c>
      <c r="IH17" s="3">
        <f>_xlfn.XLOOKUP(IH$1,generator!$B$2:$B$295,generator!$K$2:$K$295,"ARGH")</f>
        <v>11.9</v>
      </c>
      <c r="II17" s="3">
        <f>_xlfn.XLOOKUP(II$1,generator!$B$2:$B$295,generator!$K$2:$K$295,"ARGH")</f>
        <v>11.9</v>
      </c>
      <c r="IJ17" s="3">
        <f>_xlfn.XLOOKUP(IJ$1,generator!$B$2:$B$295,generator!$K$2:$K$295,"ARGH")</f>
        <v>0</v>
      </c>
      <c r="IK17" s="3">
        <f>_xlfn.XLOOKUP(IK$1,generator!$B$2:$B$295,generator!$K$2:$K$295,"ARGH")</f>
        <v>3</v>
      </c>
      <c r="IL17" s="3">
        <f>_xlfn.XLOOKUP(IL$1,generator!$B$2:$B$295,generator!$K$2:$K$295,"ARGH")</f>
        <v>5</v>
      </c>
      <c r="IM17" s="3">
        <f>_xlfn.XLOOKUP(IM$1,generator!$B$2:$B$295,generator!$K$2:$K$295,"ARGH")</f>
        <v>5</v>
      </c>
      <c r="IN17" s="3">
        <f>_xlfn.XLOOKUP(IN$1,generator!$B$2:$B$295,generator!$K$2:$K$295,"ARGH")</f>
        <v>4</v>
      </c>
      <c r="IO17" s="3">
        <f>_xlfn.XLOOKUP(IO$1,generator!$B$2:$B$295,generator!$K$2:$K$295,"ARGH")</f>
        <v>4</v>
      </c>
      <c r="IP17" s="3">
        <f>_xlfn.XLOOKUP(IP$1,generator!$B$2:$B$295,generator!$K$2:$K$295,"ARGH")</f>
        <v>3</v>
      </c>
      <c r="IQ17" s="3">
        <f>_xlfn.XLOOKUP(IQ$1,generator!$B$2:$B$295,generator!$K$2:$K$295,"ARGH")</f>
        <v>1</v>
      </c>
      <c r="IR17" s="3">
        <f>_xlfn.XLOOKUP(IR$1,generator!$B$2:$B$295,generator!$K$2:$K$295,"ARGH")</f>
        <v>3</v>
      </c>
      <c r="IS17" s="3">
        <f>_xlfn.XLOOKUP(IS$1,generator!$B$2:$B$295,generator!$K$2:$K$295,"ARGH")</f>
        <v>3</v>
      </c>
      <c r="IT17" s="3">
        <f>_xlfn.XLOOKUP(IT$1,generator!$B$2:$B$295,generator!$K$2:$K$295,"ARGH")</f>
        <v>0</v>
      </c>
      <c r="IU17" s="3">
        <f>_xlfn.XLOOKUP(IU$1,generator!$B$2:$B$295,generator!$K$2:$K$295,"ARGH")</f>
        <v>3.99</v>
      </c>
      <c r="IV17" s="3">
        <f>_xlfn.XLOOKUP(IV$1,generator!$B$2:$B$295,generator!$K$2:$K$295,"ARGH")</f>
        <v>0.2</v>
      </c>
      <c r="IW17" s="3">
        <f>_xlfn.XLOOKUP(IW$1,generator!$B$2:$B$295,generator!$K$2:$K$295,"ARGH")</f>
        <v>15</v>
      </c>
      <c r="IX17" s="3">
        <f>_xlfn.XLOOKUP(IX$1,generator!$B$2:$B$295,generator!$K$2:$K$295,"ARGH")</f>
        <v>15</v>
      </c>
      <c r="IY17" s="3">
        <f>_xlfn.XLOOKUP(IY$1,generator!$B$2:$B$295,generator!$K$2:$K$295,"ARGH")</f>
        <v>15</v>
      </c>
      <c r="IZ17" s="3">
        <f>_xlfn.XLOOKUP(IZ$1,generator!$B$2:$B$295,generator!$K$2:$K$295,"ARGH")</f>
        <v>120</v>
      </c>
      <c r="JA17" s="3">
        <f>_xlfn.XLOOKUP(JA$1,generator!$B$2:$B$295,generator!$K$2:$K$295,"ARGH")</f>
        <v>40</v>
      </c>
      <c r="JB17" s="3">
        <f>_xlfn.XLOOKUP(JB$1,generator!$B$2:$B$295,generator!$K$2:$K$295,"ARGH")</f>
        <v>40</v>
      </c>
      <c r="JC17" s="3">
        <f>_xlfn.XLOOKUP(JC$1,generator!$B$2:$B$295,generator!$K$2:$K$295,"ARGH")</f>
        <v>113</v>
      </c>
      <c r="JD17" s="3">
        <f>_xlfn.XLOOKUP(JD$1,generator!$B$2:$B$295,generator!$K$2:$K$295,"ARGH")</f>
        <v>113</v>
      </c>
      <c r="JE17" s="3">
        <f>_xlfn.XLOOKUP(JE$1,generator!$B$2:$B$295,generator!$K$2:$K$295,"ARGH")</f>
        <v>211</v>
      </c>
      <c r="JF17" s="3">
        <f>_xlfn.XLOOKUP(JF$1,generator!$B$2:$B$295,generator!$K$2:$K$295,"ARGH")</f>
        <v>22.5</v>
      </c>
      <c r="JG17" s="3">
        <f>_xlfn.XLOOKUP(JG$1,generator!$B$2:$B$295,generator!$K$2:$K$295,"ARGH")</f>
        <v>1</v>
      </c>
      <c r="JH17" s="3">
        <f>_xlfn.XLOOKUP(JH$1,generator!$B$2:$B$295,generator!$K$2:$K$295,"ARGH")</f>
        <v>160</v>
      </c>
      <c r="JI17" s="3">
        <f>_xlfn.XLOOKUP(JI$1,generator!$B$2:$B$295,generator!$K$2:$K$295,"ARGH")</f>
        <v>165</v>
      </c>
      <c r="JJ17" s="3">
        <f>_xlfn.XLOOKUP(JJ$1,generator!$B$2:$B$295,generator!$K$2:$K$295,"ARGH")</f>
        <v>4.5999999999999996</v>
      </c>
      <c r="JK17" s="3">
        <f>_xlfn.XLOOKUP(JK$1,generator!$B$2:$B$295,generator!$K$2:$K$295,"ARGH")</f>
        <v>4.5999999999999996</v>
      </c>
      <c r="JL17" s="3">
        <f>_xlfn.XLOOKUP(JL$1,generator!$B$2:$B$295,generator!$K$2:$K$295,"ARGH")</f>
        <v>4.5999999999999996</v>
      </c>
      <c r="JM17" s="3">
        <f>_xlfn.XLOOKUP(JM$1,generator!$B$2:$B$295,generator!$K$2:$K$295,"ARGH")</f>
        <v>4.5999999999999996</v>
      </c>
      <c r="JN17" s="3">
        <f>_xlfn.XLOOKUP(JN$1,generator!$B$2:$B$295,generator!$K$2:$K$295,"ARGH")</f>
        <v>4.5999999999999996</v>
      </c>
      <c r="JO17" s="3">
        <f>_xlfn.XLOOKUP(JO$1,generator!$B$2:$B$295,generator!$K$2:$K$295,"ARGH")</f>
        <v>4.5999999999999996</v>
      </c>
      <c r="JP17" s="3">
        <f>_xlfn.XLOOKUP(JP$1,generator!$B$2:$B$295,generator!$K$2:$K$295,"ARGH")</f>
        <v>110</v>
      </c>
      <c r="JQ17" s="3">
        <f>_xlfn.XLOOKUP(JQ$1,generator!$B$2:$B$295,generator!$K$2:$K$295,"ARGH")</f>
        <v>22.7</v>
      </c>
      <c r="JR17" s="3">
        <f>_xlfn.XLOOKUP(JR$1,generator!$B$2:$B$295,generator!$K$2:$K$295,"ARGH")</f>
        <v>147</v>
      </c>
      <c r="JS17" s="3">
        <f>_xlfn.XLOOKUP(JS$1,generator!$B$2:$B$295,generator!$K$2:$K$295,"ARGH")</f>
        <v>147</v>
      </c>
      <c r="JT17" s="3">
        <f>_xlfn.XLOOKUP(JT$1,generator!$B$2:$B$295,generator!$K$2:$K$295,"ARGH")</f>
        <v>22.7</v>
      </c>
      <c r="JU17" s="3">
        <f>_xlfn.XLOOKUP(JU$1,generator!$B$2:$B$295,generator!$K$2:$K$295,"ARGH")</f>
        <v>21.5</v>
      </c>
      <c r="JV17" s="3">
        <f>_xlfn.XLOOKUP(JV$1,generator!$B$2:$B$295,generator!$K$2:$K$295,"ARGH")</f>
        <v>120</v>
      </c>
      <c r="JW17" s="3">
        <f>_xlfn.XLOOKUP(JW$1,generator!$B$2:$B$295,generator!$K$2:$K$295,"ARGH")</f>
        <v>120</v>
      </c>
      <c r="JX17" s="3">
        <f>_xlfn.XLOOKUP(JX$1,generator!$B$2:$B$295,generator!$K$2:$K$295,"ARGH")</f>
        <v>1</v>
      </c>
      <c r="JY17" s="3">
        <f>_xlfn.XLOOKUP(JY$1,generator!$B$2:$B$295,generator!$K$2:$K$295,"ARGH")</f>
        <v>41.15</v>
      </c>
      <c r="JZ17" s="3">
        <f>_xlfn.XLOOKUP(JZ$1,generator!$B$2:$B$295,generator!$K$2:$K$295,"ARGH")</f>
        <v>5</v>
      </c>
      <c r="KA17" s="3">
        <f>_xlfn.XLOOKUP(KA$1,generator!$B$2:$B$295,generator!$K$2:$K$295,"ARGH")</f>
        <v>5</v>
      </c>
      <c r="KB17" s="3">
        <f>_xlfn.XLOOKUP(KB$1,generator!$B$2:$B$295,generator!$K$2:$K$295,"ARGH")</f>
        <v>5</v>
      </c>
      <c r="KC17" s="3">
        <f>_xlfn.XLOOKUP(KC$1,generator!$B$2:$B$295,generator!$K$2:$K$295,"ARGH")</f>
        <v>5</v>
      </c>
    </row>
    <row r="18" spans="1:289" x14ac:dyDescent="0.3">
      <c r="A18" s="4" t="s">
        <v>3013</v>
      </c>
      <c r="B18" s="31">
        <v>313.5</v>
      </c>
      <c r="C18" s="31">
        <v>513</v>
      </c>
      <c r="D18" s="31">
        <v>441.5</v>
      </c>
      <c r="E18" s="3">
        <f>_xlfn.XLOOKUP(E$1,generator!$B$2:$B$295,generator!$K$2:$K$295,"ARGH")</f>
        <v>0</v>
      </c>
      <c r="F18" s="3">
        <f>_xlfn.XLOOKUP(F$1,generator!$B$2:$B$295,generator!$K$2:$K$295,"ARGH")</f>
        <v>0</v>
      </c>
      <c r="G18" s="3">
        <f>_xlfn.XLOOKUP(G$1,generator!$B$2:$B$295,generator!$K$2:$K$295,"ARGH")</f>
        <v>0</v>
      </c>
      <c r="H18" s="3">
        <f>_xlfn.XLOOKUP(H$1,generator!$B$2:$B$295,generator!$K$2:$K$295,"ARGH")</f>
        <v>0</v>
      </c>
      <c r="I18" s="3">
        <f>_xlfn.XLOOKUP(I$1,generator!$B$2:$B$295,generator!$K$2:$K$295,"ARGH")</f>
        <v>0</v>
      </c>
      <c r="J18" s="3">
        <f>_xlfn.XLOOKUP(J$1,generator!$B$2:$B$295,generator!$K$2:$K$295,"ARGH")</f>
        <v>0</v>
      </c>
      <c r="K18" s="3">
        <f>_xlfn.XLOOKUP(K$1,generator!$B$2:$B$295,generator!$K$2:$K$295,"ARGH")</f>
        <v>0</v>
      </c>
      <c r="L18" s="3">
        <f>_xlfn.XLOOKUP(L$1,generator!$B$2:$B$295,generator!$K$2:$K$295,"ARGH")</f>
        <v>0</v>
      </c>
      <c r="M18" s="3">
        <f>_xlfn.XLOOKUP(M$1,generator!$B$2:$B$295,generator!$K$2:$K$295,"ARGH")</f>
        <v>0</v>
      </c>
      <c r="N18" s="3">
        <f>_xlfn.XLOOKUP(N$1,generator!$B$2:$B$295,generator!$K$2:$K$295,"ARGH")</f>
        <v>0</v>
      </c>
      <c r="O18" s="3">
        <f>_xlfn.XLOOKUP(O$1,generator!$B$2:$B$295,generator!$K$2:$K$295,"ARGH")</f>
        <v>0</v>
      </c>
      <c r="P18" s="3">
        <f>_xlfn.XLOOKUP(P$1,generator!$B$2:$B$295,generator!$K$2:$K$295,"ARGH")</f>
        <v>0</v>
      </c>
      <c r="Q18" s="3">
        <f>_xlfn.XLOOKUP(Q$1,generator!$B$2:$B$295,generator!$K$2:$K$295,"ARGH")</f>
        <v>0</v>
      </c>
      <c r="R18" s="3">
        <f>_xlfn.XLOOKUP(R$1,generator!$B$2:$B$295,generator!$K$2:$K$295,"ARGH")</f>
        <v>0</v>
      </c>
      <c r="S18" s="3">
        <f>_xlfn.XLOOKUP(S$1,generator!$B$2:$B$295,generator!$K$2:$K$295,"ARGH")</f>
        <v>0</v>
      </c>
      <c r="T18" s="3">
        <f>_xlfn.XLOOKUP(T$1,generator!$B$2:$B$295,generator!$K$2:$K$295,"ARGH")</f>
        <v>0</v>
      </c>
      <c r="U18" s="3">
        <f>_xlfn.XLOOKUP(U$1,generator!$B$2:$B$295,generator!$K$2:$K$295,"ARGH")</f>
        <v>0</v>
      </c>
      <c r="V18" s="3">
        <f>_xlfn.XLOOKUP(V$1,generator!$B$2:$B$295,generator!$K$2:$K$295,"ARGH")</f>
        <v>0</v>
      </c>
      <c r="W18" s="3">
        <f>_xlfn.XLOOKUP(W$1,generator!$B$2:$B$295,generator!$K$2:$K$295,"ARGH")</f>
        <v>0</v>
      </c>
      <c r="X18" s="3">
        <f>_xlfn.XLOOKUP(X$1,generator!$B$2:$B$295,generator!$K$2:$K$295,"ARGH")</f>
        <v>0</v>
      </c>
      <c r="Y18" s="3">
        <f>_xlfn.XLOOKUP(Y$1,generator!$B$2:$B$295,generator!$K$2:$K$295,"ARGH")</f>
        <v>0</v>
      </c>
      <c r="Z18" s="3">
        <f>_xlfn.XLOOKUP(Z$1,generator!$B$2:$B$295,generator!$K$2:$K$295,"ARGH")</f>
        <v>0</v>
      </c>
      <c r="AA18" s="3">
        <f>_xlfn.XLOOKUP(AA$1,generator!$B$2:$B$295,generator!$K$2:$K$295,"ARGH")</f>
        <v>0</v>
      </c>
      <c r="AB18" s="3">
        <f>_xlfn.XLOOKUP(AB$1,generator!$B$2:$B$295,generator!$K$2:$K$295,"ARGH")</f>
        <v>0</v>
      </c>
      <c r="AC18" s="3">
        <f>_xlfn.XLOOKUP(AC$1,generator!$B$2:$B$295,generator!$K$2:$K$295,"ARGH")</f>
        <v>0</v>
      </c>
      <c r="AD18" s="3">
        <f>_xlfn.XLOOKUP(AD$1,generator!$B$2:$B$295,generator!$K$2:$K$295,"ARGH")</f>
        <v>0</v>
      </c>
      <c r="AE18" s="3">
        <f>_xlfn.XLOOKUP(AE$1,generator!$B$2:$B$295,generator!$K$2:$K$295,"ARGH")</f>
        <v>0</v>
      </c>
      <c r="AF18" s="3">
        <f>_xlfn.XLOOKUP(AF$1,generator!$B$2:$B$295,generator!$K$2:$K$295,"ARGH")</f>
        <v>0</v>
      </c>
      <c r="AG18" s="3">
        <f>_xlfn.XLOOKUP(AG$1,generator!$B$2:$B$295,generator!$K$2:$K$295,"ARGH")</f>
        <v>0</v>
      </c>
      <c r="AH18" s="3">
        <f>_xlfn.XLOOKUP(AH$1,generator!$B$2:$B$295,generator!$K$2:$K$295,"ARGH")</f>
        <v>0</v>
      </c>
      <c r="AI18" s="3">
        <f>_xlfn.XLOOKUP(AI$1,generator!$B$2:$B$295,generator!$K$2:$K$295,"ARGH")</f>
        <v>0</v>
      </c>
      <c r="AJ18" s="3">
        <f>_xlfn.XLOOKUP(AJ$1,generator!$B$2:$B$295,generator!$K$2:$K$295,"ARGH")</f>
        <v>0</v>
      </c>
      <c r="AK18" s="3">
        <f>_xlfn.XLOOKUP(AK$1,generator!$B$2:$B$295,generator!$K$2:$K$295,"ARGH")</f>
        <v>0</v>
      </c>
      <c r="AL18" s="3">
        <f>_xlfn.XLOOKUP(AL$1,generator!$B$2:$B$295,generator!$K$2:$K$295,"ARGH")</f>
        <v>0</v>
      </c>
      <c r="AM18" s="3">
        <f>_xlfn.XLOOKUP(AM$1,generator!$B$2:$B$295,generator!$K$2:$K$295,"ARGH")</f>
        <v>0</v>
      </c>
      <c r="AN18" s="3">
        <f>_xlfn.XLOOKUP(AN$1,generator!$B$2:$B$295,generator!$K$2:$K$295,"ARGH")</f>
        <v>0</v>
      </c>
      <c r="AO18" s="3">
        <f>_xlfn.XLOOKUP(AO$1,generator!$B$2:$B$295,generator!$K$2:$K$295,"ARGH")</f>
        <v>0</v>
      </c>
      <c r="AP18" s="3">
        <f>_xlfn.XLOOKUP(AP$1,generator!$B$2:$B$295,generator!$K$2:$K$295,"ARGH")</f>
        <v>0</v>
      </c>
      <c r="AQ18" s="3">
        <f>_xlfn.XLOOKUP(AQ$1,generator!$B$2:$B$295,generator!$K$2:$K$295,"ARGH")</f>
        <v>0</v>
      </c>
      <c r="AR18" s="3">
        <f>_xlfn.XLOOKUP(AR$1,generator!$B$2:$B$295,generator!$K$2:$K$295,"ARGH")</f>
        <v>0</v>
      </c>
      <c r="AS18" s="3">
        <f>_xlfn.XLOOKUP(AS$1,generator!$B$2:$B$295,generator!$K$2:$K$295,"ARGH")</f>
        <v>0</v>
      </c>
      <c r="AT18" s="3">
        <f>_xlfn.XLOOKUP(AT$1,generator!$B$2:$B$295,generator!$K$2:$K$295,"ARGH")</f>
        <v>0</v>
      </c>
      <c r="AU18" s="3">
        <f>_xlfn.XLOOKUP(AU$1,generator!$B$2:$B$295,generator!$K$2:$K$295,"ARGH")</f>
        <v>0</v>
      </c>
      <c r="AV18" s="3">
        <f>_xlfn.XLOOKUP(AV$1,generator!$B$2:$B$295,generator!$K$2:$K$295,"ARGH")</f>
        <v>0</v>
      </c>
      <c r="AW18" s="3">
        <f>_xlfn.XLOOKUP(AW$1,generator!$B$2:$B$295,generator!$K$2:$K$295,"ARGH")</f>
        <v>0</v>
      </c>
      <c r="AX18" s="3">
        <f>_xlfn.XLOOKUP(AX$1,generator!$B$2:$B$295,generator!$K$2:$K$295,"ARGH")</f>
        <v>0</v>
      </c>
      <c r="AY18" s="3">
        <f>_xlfn.XLOOKUP(AY$1,generator!$B$2:$B$295,generator!$K$2:$K$295,"ARGH")</f>
        <v>0</v>
      </c>
      <c r="AZ18" s="3">
        <f>_xlfn.XLOOKUP(AZ$1,generator!$B$2:$B$295,generator!$K$2:$K$295,"ARGH")</f>
        <v>0</v>
      </c>
      <c r="BA18" s="3">
        <f>_xlfn.XLOOKUP(BA$1,generator!$B$2:$B$295,generator!$K$2:$K$295,"ARGH")</f>
        <v>0</v>
      </c>
      <c r="BB18" s="3">
        <f>_xlfn.XLOOKUP(BB$1,generator!$B$2:$B$295,generator!$K$2:$K$295,"ARGH")</f>
        <v>0</v>
      </c>
      <c r="BC18" s="3">
        <f>_xlfn.XLOOKUP(BC$1,generator!$B$2:$B$295,generator!$K$2:$K$295,"ARGH")</f>
        <v>0</v>
      </c>
      <c r="BD18" s="3">
        <f>_xlfn.XLOOKUP(BD$1,generator!$B$2:$B$295,generator!$K$2:$K$295,"ARGH")</f>
        <v>0</v>
      </c>
      <c r="BE18" s="3">
        <f>_xlfn.XLOOKUP(BE$1,generator!$B$2:$B$295,generator!$K$2:$K$295,"ARGH")</f>
        <v>0</v>
      </c>
      <c r="BF18" s="3">
        <f>_xlfn.XLOOKUP(BF$1,generator!$B$2:$B$295,generator!$K$2:$K$295,"ARGH")</f>
        <v>0</v>
      </c>
      <c r="BG18" s="3">
        <f>_xlfn.XLOOKUP(BG$1,generator!$B$2:$B$295,generator!$K$2:$K$295,"ARGH")</f>
        <v>0</v>
      </c>
      <c r="BH18" s="3">
        <f>_xlfn.XLOOKUP(BH$1,generator!$B$2:$B$295,generator!$K$2:$K$295,"ARGH")</f>
        <v>0</v>
      </c>
      <c r="BI18" s="3">
        <f>_xlfn.XLOOKUP(BI$1,generator!$B$2:$B$295,generator!$K$2:$K$295,"ARGH")</f>
        <v>0</v>
      </c>
      <c r="BJ18" s="3">
        <f>_xlfn.XLOOKUP(BJ$1,generator!$B$2:$B$295,generator!$K$2:$K$295,"ARGH")</f>
        <v>0</v>
      </c>
      <c r="BK18" s="3">
        <f>_xlfn.XLOOKUP(BK$1,generator!$B$2:$B$295,generator!$K$2:$K$295,"ARGH")</f>
        <v>0</v>
      </c>
      <c r="BL18" s="3">
        <f>_xlfn.XLOOKUP(BL$1,generator!$B$2:$B$295,generator!$K$2:$K$295,"ARGH")</f>
        <v>0</v>
      </c>
      <c r="BM18" s="3">
        <f>_xlfn.XLOOKUP(BM$1,generator!$B$2:$B$295,generator!$K$2:$K$295,"ARGH")</f>
        <v>0</v>
      </c>
      <c r="BN18" s="3">
        <f>_xlfn.XLOOKUP(BN$1,generator!$B$2:$B$295,generator!$K$2:$K$295,"ARGH")</f>
        <v>0</v>
      </c>
      <c r="BO18" s="3">
        <f>_xlfn.XLOOKUP(BO$1,generator!$B$2:$B$295,generator!$K$2:$K$295,"ARGH")</f>
        <v>0</v>
      </c>
      <c r="BP18" s="3">
        <f>_xlfn.XLOOKUP(BP$1,generator!$B$2:$B$295,generator!$K$2:$K$295,"ARGH")</f>
        <v>0</v>
      </c>
      <c r="BQ18" s="3">
        <f>_xlfn.XLOOKUP(BQ$1,generator!$B$2:$B$295,generator!$K$2:$K$295,"ARGH")</f>
        <v>0</v>
      </c>
      <c r="BR18" s="3">
        <f>_xlfn.XLOOKUP(BR$1,generator!$B$2:$B$295,generator!$K$2:$K$295,"ARGH")</f>
        <v>0</v>
      </c>
      <c r="BS18" s="3">
        <f>_xlfn.XLOOKUP(BS$1,generator!$B$2:$B$295,generator!$K$2:$K$295,"ARGH")</f>
        <v>0</v>
      </c>
      <c r="BT18" s="3">
        <f>_xlfn.XLOOKUP(BT$1,generator!$B$2:$B$295,generator!$K$2:$K$295,"ARGH")</f>
        <v>0</v>
      </c>
      <c r="BU18" s="3">
        <f>_xlfn.XLOOKUP(BU$1,generator!$B$2:$B$295,generator!$K$2:$K$295,"ARGH")</f>
        <v>0</v>
      </c>
      <c r="BV18" s="3">
        <f>_xlfn.XLOOKUP(BV$1,generator!$B$2:$B$295,generator!$K$2:$K$295,"ARGH")</f>
        <v>0</v>
      </c>
      <c r="BW18" s="3">
        <f>_xlfn.XLOOKUP(BW$1,generator!$B$2:$B$295,generator!$K$2:$K$295,"ARGH")</f>
        <v>0</v>
      </c>
      <c r="BX18" s="3">
        <f>_xlfn.XLOOKUP(BX$1,generator!$B$2:$B$295,generator!$K$2:$K$295,"ARGH")</f>
        <v>0</v>
      </c>
      <c r="BY18" s="3">
        <f>_xlfn.XLOOKUP(BY$1,generator!$B$2:$B$295,generator!$K$2:$K$295,"ARGH")</f>
        <v>0</v>
      </c>
      <c r="BZ18" s="3">
        <f>_xlfn.XLOOKUP(BZ$1,generator!$B$2:$B$295,generator!$K$2:$K$295,"ARGH")</f>
        <v>0</v>
      </c>
      <c r="CA18" s="3">
        <f>_xlfn.XLOOKUP(CA$1,generator!$B$2:$B$295,generator!$K$2:$K$295,"ARGH")</f>
        <v>0</v>
      </c>
      <c r="CB18" s="3">
        <f>_xlfn.XLOOKUP(CB$1,generator!$B$2:$B$295,generator!$K$2:$K$295,"ARGH")</f>
        <v>0</v>
      </c>
      <c r="CC18" s="3">
        <f>_xlfn.XLOOKUP(CC$1,generator!$B$2:$B$295,generator!$K$2:$K$295,"ARGH")</f>
        <v>0</v>
      </c>
      <c r="CD18" s="3">
        <f>_xlfn.XLOOKUP(CD$1,generator!$B$2:$B$295,generator!$K$2:$K$295,"ARGH")</f>
        <v>0</v>
      </c>
      <c r="CE18" s="3">
        <f>_xlfn.XLOOKUP(CE$1,generator!$B$2:$B$295,generator!$K$2:$K$295,"ARGH")</f>
        <v>0</v>
      </c>
      <c r="CF18" s="3">
        <f>_xlfn.XLOOKUP(CF$1,generator!$B$2:$B$295,generator!$K$2:$K$295,"ARGH")</f>
        <v>0</v>
      </c>
      <c r="CG18" s="3">
        <f>_xlfn.XLOOKUP(CG$1,generator!$B$2:$B$295,generator!$K$2:$K$295,"ARGH")</f>
        <v>0</v>
      </c>
      <c r="CH18" s="3">
        <f>_xlfn.XLOOKUP(CH$1,generator!$B$2:$B$295,generator!$K$2:$K$295,"ARGH")</f>
        <v>0</v>
      </c>
      <c r="CI18" s="3">
        <f>_xlfn.XLOOKUP(CI$1,generator!$B$2:$B$295,generator!$K$2:$K$295,"ARGH")</f>
        <v>0</v>
      </c>
      <c r="CJ18" s="3">
        <f>_xlfn.XLOOKUP(CJ$1,generator!$B$2:$B$295,generator!$K$2:$K$295,"ARGH")</f>
        <v>0</v>
      </c>
      <c r="CK18" s="3">
        <f>_xlfn.XLOOKUP(CK$1,generator!$B$2:$B$295,generator!$K$2:$K$295,"ARGH")</f>
        <v>0</v>
      </c>
      <c r="CL18" s="3">
        <f>_xlfn.XLOOKUP(CL$1,generator!$B$2:$B$295,generator!$K$2:$K$295,"ARGH")</f>
        <v>0</v>
      </c>
      <c r="CM18" s="3">
        <f>_xlfn.XLOOKUP(CM$1,generator!$B$2:$B$295,generator!$K$2:$K$295,"ARGH")</f>
        <v>0</v>
      </c>
      <c r="CN18" s="3">
        <f>_xlfn.XLOOKUP(CN$1,generator!$B$2:$B$295,generator!$K$2:$K$295,"ARGH")</f>
        <v>0</v>
      </c>
      <c r="CO18" s="3">
        <f>_xlfn.XLOOKUP(CO$1,generator!$B$2:$B$295,generator!$K$2:$K$295,"ARGH")</f>
        <v>0</v>
      </c>
      <c r="CP18" s="3">
        <f>_xlfn.XLOOKUP(CP$1,generator!$B$2:$B$295,generator!$K$2:$K$295,"ARGH")</f>
        <v>0</v>
      </c>
      <c r="CQ18" s="3">
        <f>_xlfn.XLOOKUP(CQ$1,generator!$B$2:$B$295,generator!$K$2:$K$295,"ARGH")</f>
        <v>0</v>
      </c>
      <c r="CR18" s="3">
        <f>_xlfn.XLOOKUP(CR$1,generator!$B$2:$B$295,generator!$K$2:$K$295,"ARGH")</f>
        <v>0</v>
      </c>
      <c r="CS18" s="3">
        <f>_xlfn.XLOOKUP(CS$1,generator!$B$2:$B$295,generator!$K$2:$K$295,"ARGH")</f>
        <v>0</v>
      </c>
      <c r="CT18" s="3">
        <f>_xlfn.XLOOKUP(CT$1,generator!$B$2:$B$295,generator!$K$2:$K$295,"ARGH")</f>
        <v>0</v>
      </c>
      <c r="CU18" s="3">
        <f>_xlfn.XLOOKUP(CU$1,generator!$B$2:$B$295,generator!$K$2:$K$295,"ARGH")</f>
        <v>0</v>
      </c>
      <c r="CV18" s="3">
        <f>_xlfn.XLOOKUP(CV$1,generator!$B$2:$B$295,generator!$K$2:$K$295,"ARGH")</f>
        <v>0</v>
      </c>
      <c r="CW18" s="3">
        <f>_xlfn.XLOOKUP(CW$1,generator!$B$2:$B$295,generator!$K$2:$K$295,"ARGH")</f>
        <v>0</v>
      </c>
      <c r="CX18" s="3">
        <f>_xlfn.XLOOKUP(CX$1,generator!$B$2:$B$295,generator!$K$2:$K$295,"ARGH")</f>
        <v>0</v>
      </c>
      <c r="CY18" s="3">
        <f>_xlfn.XLOOKUP(CY$1,generator!$B$2:$B$295,generator!$K$2:$K$295,"ARGH")</f>
        <v>0</v>
      </c>
      <c r="CZ18" s="3">
        <f>_xlfn.XLOOKUP(CZ$1,generator!$B$2:$B$295,generator!$K$2:$K$295,"ARGH")</f>
        <v>0</v>
      </c>
      <c r="DA18" s="3">
        <f>_xlfn.XLOOKUP(DA$1,generator!$B$2:$B$295,generator!$K$2:$K$295,"ARGH")</f>
        <v>0</v>
      </c>
      <c r="DB18" s="3">
        <f>_xlfn.XLOOKUP(DB$1,generator!$B$2:$B$295,generator!$K$2:$K$295,"ARGH")</f>
        <v>0</v>
      </c>
      <c r="DC18" s="3">
        <f>_xlfn.XLOOKUP(DC$1,generator!$B$2:$B$295,generator!$K$2:$K$295,"ARGH")</f>
        <v>0</v>
      </c>
      <c r="DD18" s="3">
        <f>_xlfn.XLOOKUP(DD$1,generator!$B$2:$B$295,generator!$K$2:$K$295,"ARGH")</f>
        <v>0</v>
      </c>
      <c r="DE18" s="3">
        <f>_xlfn.XLOOKUP(DE$1,generator!$B$2:$B$295,generator!$K$2:$K$295,"ARGH")</f>
        <v>0</v>
      </c>
      <c r="DF18" s="3">
        <f>_xlfn.XLOOKUP(DF$1,generator!$B$2:$B$295,generator!$K$2:$K$295,"ARGH")</f>
        <v>0</v>
      </c>
      <c r="DG18" s="3">
        <f>_xlfn.XLOOKUP(DG$1,generator!$B$2:$B$295,generator!$K$2:$K$295,"ARGH")</f>
        <v>0</v>
      </c>
      <c r="DH18" s="3">
        <f>_xlfn.XLOOKUP(DH$1,generator!$B$2:$B$295,generator!$K$2:$K$295,"ARGH")</f>
        <v>0</v>
      </c>
      <c r="DI18" s="3">
        <f>_xlfn.XLOOKUP(DI$1,generator!$B$2:$B$295,generator!$K$2:$K$295,"ARGH")</f>
        <v>0</v>
      </c>
      <c r="DJ18" s="3">
        <f>_xlfn.XLOOKUP(DJ$1,generator!$B$2:$B$295,generator!$K$2:$K$295,"ARGH")</f>
        <v>0</v>
      </c>
      <c r="DK18" s="3">
        <f>_xlfn.XLOOKUP(DK$1,generator!$B$2:$B$295,generator!$K$2:$K$295,"ARGH")</f>
        <v>0</v>
      </c>
      <c r="DL18" s="3">
        <f>_xlfn.XLOOKUP(DL$1,generator!$B$2:$B$295,generator!$K$2:$K$295,"ARGH")</f>
        <v>0</v>
      </c>
      <c r="DM18" s="3">
        <f>_xlfn.XLOOKUP(DM$1,generator!$B$2:$B$295,generator!$K$2:$K$295,"ARGH")</f>
        <v>0</v>
      </c>
      <c r="DN18" s="3">
        <f>_xlfn.XLOOKUP(DN$1,generator!$B$2:$B$295,generator!$K$2:$K$295,"ARGH")</f>
        <v>0</v>
      </c>
      <c r="DO18" s="3">
        <f>_xlfn.XLOOKUP(DO$1,generator!$B$2:$B$295,generator!$K$2:$K$295,"ARGH")</f>
        <v>0</v>
      </c>
      <c r="DP18" s="3">
        <f>_xlfn.XLOOKUP(DP$1,generator!$B$2:$B$295,generator!$K$2:$K$295,"ARGH")</f>
        <v>0</v>
      </c>
      <c r="DQ18" s="3">
        <f>_xlfn.XLOOKUP(DQ$1,generator!$B$2:$B$295,generator!$K$2:$K$295,"ARGH")</f>
        <v>0</v>
      </c>
      <c r="DR18" s="3">
        <f>_xlfn.XLOOKUP(DR$1,generator!$B$2:$B$295,generator!$K$2:$K$295,"ARGH")</f>
        <v>0</v>
      </c>
      <c r="DS18" s="3">
        <f>_xlfn.XLOOKUP(DS$1,generator!$B$2:$B$295,generator!$K$2:$K$295,"ARGH")</f>
        <v>0</v>
      </c>
      <c r="DT18" s="3">
        <f>_xlfn.XLOOKUP(DT$1,generator!$B$2:$B$295,generator!$K$2:$K$295,"ARGH")</f>
        <v>0</v>
      </c>
      <c r="DU18" s="3">
        <f>_xlfn.XLOOKUP(DU$1,generator!$B$2:$B$295,generator!$K$2:$K$295,"ARGH")</f>
        <v>0</v>
      </c>
      <c r="DV18" s="3">
        <f>_xlfn.XLOOKUP(DV$1,generator!$B$2:$B$295,generator!$K$2:$K$295,"ARGH")</f>
        <v>0</v>
      </c>
      <c r="DW18" s="3">
        <f>_xlfn.XLOOKUP(DW$1,generator!$B$2:$B$295,generator!$K$2:$K$295,"ARGH")</f>
        <v>0</v>
      </c>
      <c r="DX18" s="3">
        <f>_xlfn.XLOOKUP(DX$1,generator!$B$2:$B$295,generator!$K$2:$K$295,"ARGH")</f>
        <v>0</v>
      </c>
      <c r="DY18" s="3">
        <f>_xlfn.XLOOKUP(DY$1,generator!$B$2:$B$295,generator!$K$2:$K$295,"ARGH")</f>
        <v>0</v>
      </c>
      <c r="DZ18" s="3">
        <f>_xlfn.XLOOKUP(DZ$1,generator!$B$2:$B$295,generator!$K$2:$K$295,"ARGH")</f>
        <v>0</v>
      </c>
      <c r="EA18" s="3">
        <f>_xlfn.XLOOKUP(EA$1,generator!$B$2:$B$295,generator!$K$2:$K$295,"ARGH")</f>
        <v>0</v>
      </c>
      <c r="EB18" s="3">
        <f>_xlfn.XLOOKUP(EB$1,generator!$B$2:$B$295,generator!$K$2:$K$295,"ARGH")</f>
        <v>0</v>
      </c>
      <c r="EC18" s="3">
        <f>_xlfn.XLOOKUP(EC$1,generator!$B$2:$B$295,generator!$K$2:$K$295,"ARGH")</f>
        <v>0</v>
      </c>
      <c r="ED18" s="3">
        <f>_xlfn.XLOOKUP(ED$1,generator!$B$2:$B$295,generator!$K$2:$K$295,"ARGH")</f>
        <v>0</v>
      </c>
      <c r="EE18" s="3">
        <f>_xlfn.XLOOKUP(EE$1,generator!$B$2:$B$295,generator!$K$2:$K$295,"ARGH")</f>
        <v>0</v>
      </c>
      <c r="EF18" s="3">
        <f>_xlfn.XLOOKUP(EF$1,generator!$B$2:$B$295,generator!$K$2:$K$295,"ARGH")</f>
        <v>0</v>
      </c>
      <c r="EG18" s="3">
        <f>_xlfn.XLOOKUP(EG$1,generator!$B$2:$B$295,generator!$K$2:$K$295,"ARGH")</f>
        <v>0</v>
      </c>
      <c r="EH18" s="3">
        <f>_xlfn.XLOOKUP(EH$1,generator!$B$2:$B$295,generator!$K$2:$K$295,"ARGH")</f>
        <v>0</v>
      </c>
      <c r="EI18" s="3">
        <f>_xlfn.XLOOKUP(EI$1,generator!$B$2:$B$295,generator!$K$2:$K$295,"ARGH")</f>
        <v>0</v>
      </c>
      <c r="EJ18" s="3">
        <f>_xlfn.XLOOKUP(EJ$1,generator!$B$2:$B$295,generator!$K$2:$K$295,"ARGH")</f>
        <v>0</v>
      </c>
      <c r="EK18" s="3">
        <f>_xlfn.XLOOKUP(EK$1,generator!$B$2:$B$295,generator!$K$2:$K$295,"ARGH")</f>
        <v>0</v>
      </c>
      <c r="EL18" s="3">
        <f>_xlfn.XLOOKUP(EL$1,generator!$B$2:$B$295,generator!$K$2:$K$295,"ARGH")</f>
        <v>0</v>
      </c>
      <c r="EM18" s="3">
        <f>_xlfn.XLOOKUP(EM$1,generator!$B$2:$B$295,generator!$K$2:$K$295,"ARGH")</f>
        <v>0</v>
      </c>
      <c r="EN18" s="3">
        <f>_xlfn.XLOOKUP(EN$1,generator!$B$2:$B$295,generator!$K$2:$K$295,"ARGH")</f>
        <v>0</v>
      </c>
      <c r="EO18" s="3">
        <f>_xlfn.XLOOKUP(EO$1,generator!$B$2:$B$295,generator!$K$2:$K$295,"ARGH")</f>
        <v>0</v>
      </c>
      <c r="EP18" s="3">
        <f>_xlfn.XLOOKUP(EP$1,generator!$B$2:$B$295,generator!$K$2:$K$295,"ARGH")</f>
        <v>0</v>
      </c>
      <c r="EQ18" s="3">
        <f>_xlfn.XLOOKUP(EQ$1,generator!$B$2:$B$295,generator!$K$2:$K$295,"ARGH")</f>
        <v>0</v>
      </c>
      <c r="ER18" s="3">
        <f>_xlfn.XLOOKUP(ER$1,generator!$B$2:$B$295,generator!$K$2:$K$295,"ARGH")</f>
        <v>0</v>
      </c>
      <c r="ES18" s="3">
        <f>_xlfn.XLOOKUP(ES$1,generator!$B$2:$B$295,generator!$K$2:$K$295,"ARGH")</f>
        <v>0</v>
      </c>
      <c r="ET18" s="3">
        <f>_xlfn.XLOOKUP(ET$1,generator!$B$2:$B$295,generator!$K$2:$K$295,"ARGH")</f>
        <v>0</v>
      </c>
      <c r="EU18" s="3">
        <f>_xlfn.XLOOKUP(EU$1,generator!$B$2:$B$295,generator!$K$2:$K$295,"ARGH")</f>
        <v>0</v>
      </c>
      <c r="EV18" s="3">
        <f>_xlfn.XLOOKUP(EV$1,generator!$B$2:$B$295,generator!$K$2:$K$295,"ARGH")</f>
        <v>0</v>
      </c>
      <c r="EW18" s="3">
        <f>_xlfn.XLOOKUP(EW$1,generator!$B$2:$B$295,generator!$K$2:$K$295,"ARGH")</f>
        <v>0</v>
      </c>
      <c r="EX18" s="3">
        <f>_xlfn.XLOOKUP(EX$1,generator!$B$2:$B$295,generator!$K$2:$K$295,"ARGH")</f>
        <v>0</v>
      </c>
      <c r="EY18" s="3">
        <f>_xlfn.XLOOKUP(EY$1,generator!$B$2:$B$295,generator!$K$2:$K$295,"ARGH")</f>
        <v>0</v>
      </c>
      <c r="EZ18" s="3">
        <f>_xlfn.XLOOKUP(EZ$1,generator!$B$2:$B$295,generator!$K$2:$K$295,"ARGH")</f>
        <v>0</v>
      </c>
      <c r="FA18" s="3">
        <f>_xlfn.XLOOKUP(FA$1,generator!$B$2:$B$295,generator!$K$2:$K$295,"ARGH")</f>
        <v>0</v>
      </c>
      <c r="FB18" s="3">
        <f>_xlfn.XLOOKUP(FB$1,generator!$B$2:$B$295,generator!$K$2:$K$295,"ARGH")</f>
        <v>0</v>
      </c>
      <c r="FC18" s="3">
        <f>_xlfn.XLOOKUP(FC$1,generator!$B$2:$B$295,generator!$K$2:$K$295,"ARGH")</f>
        <v>0</v>
      </c>
      <c r="FD18" s="3">
        <f>_xlfn.XLOOKUP(FD$1,generator!$B$2:$B$295,generator!$K$2:$K$295,"ARGH")</f>
        <v>0</v>
      </c>
      <c r="FE18" s="3">
        <f>_xlfn.XLOOKUP(FE$1,generator!$B$2:$B$295,generator!$K$2:$K$295,"ARGH")</f>
        <v>0</v>
      </c>
      <c r="FF18" s="3">
        <f>_xlfn.XLOOKUP(FF$1,generator!$B$2:$B$295,generator!$K$2:$K$295,"ARGH")</f>
        <v>0</v>
      </c>
      <c r="FG18" s="3">
        <f>_xlfn.XLOOKUP(FG$1,generator!$B$2:$B$295,generator!$K$2:$K$295,"ARGH")</f>
        <v>0</v>
      </c>
      <c r="FH18" s="3">
        <f>_xlfn.XLOOKUP(FH$1,generator!$B$2:$B$295,generator!$K$2:$K$295,"ARGH")</f>
        <v>0</v>
      </c>
      <c r="FI18" s="3">
        <f>_xlfn.XLOOKUP(FI$1,generator!$B$2:$B$295,generator!$K$2:$K$295,"ARGH")</f>
        <v>0</v>
      </c>
      <c r="FJ18" s="3">
        <f>_xlfn.XLOOKUP(FJ$1,generator!$B$2:$B$295,generator!$K$2:$K$295,"ARGH")</f>
        <v>0</v>
      </c>
      <c r="FK18" s="3">
        <f>_xlfn.XLOOKUP(FK$1,generator!$B$2:$B$295,generator!$K$2:$K$295,"ARGH")</f>
        <v>0</v>
      </c>
      <c r="FL18" s="3">
        <f>_xlfn.XLOOKUP(FL$1,generator!$B$2:$B$295,generator!$K$2:$K$295,"ARGH")</f>
        <v>0</v>
      </c>
      <c r="FM18" s="3">
        <f>_xlfn.XLOOKUP(FM$1,generator!$B$2:$B$295,generator!$K$2:$K$295,"ARGH")</f>
        <v>0</v>
      </c>
      <c r="FN18" s="3">
        <f>_xlfn.XLOOKUP(FN$1,generator!$B$2:$B$295,generator!$K$2:$K$295,"ARGH")</f>
        <v>0</v>
      </c>
      <c r="FO18" s="3">
        <f>_xlfn.XLOOKUP(FO$1,generator!$B$2:$B$295,generator!$K$2:$K$295,"ARGH")</f>
        <v>0</v>
      </c>
      <c r="FP18" s="3">
        <f>_xlfn.XLOOKUP(FP$1,generator!$B$2:$B$295,generator!$K$2:$K$295,"ARGH")</f>
        <v>0</v>
      </c>
      <c r="FQ18" s="3">
        <f>_xlfn.XLOOKUP(FQ$1,generator!$B$2:$B$295,generator!$K$2:$K$295,"ARGH")</f>
        <v>0</v>
      </c>
      <c r="FR18" s="3">
        <f>_xlfn.XLOOKUP(FR$1,generator!$B$2:$B$295,generator!$K$2:$K$295,"ARGH")</f>
        <v>0</v>
      </c>
      <c r="FS18" s="3">
        <f>_xlfn.XLOOKUP(FS$1,generator!$B$2:$B$295,generator!$K$2:$K$295,"ARGH")</f>
        <v>0</v>
      </c>
      <c r="FT18" s="3">
        <f>_xlfn.XLOOKUP(FT$1,generator!$B$2:$B$295,generator!$K$2:$K$295,"ARGH")</f>
        <v>0</v>
      </c>
      <c r="FU18" s="3">
        <f>_xlfn.XLOOKUP(FU$1,generator!$B$2:$B$295,generator!$K$2:$K$295,"ARGH")</f>
        <v>0</v>
      </c>
      <c r="FV18" s="3">
        <f>_xlfn.XLOOKUP(FV$1,generator!$B$2:$B$295,generator!$K$2:$K$295,"ARGH")</f>
        <v>0</v>
      </c>
      <c r="FW18" s="3">
        <f>_xlfn.XLOOKUP(FW$1,generator!$B$2:$B$295,generator!$K$2:$K$295,"ARGH")</f>
        <v>0</v>
      </c>
      <c r="FX18" s="3">
        <f>_xlfn.XLOOKUP(FX$1,generator!$B$2:$B$295,generator!$K$2:$K$295,"ARGH")</f>
        <v>0</v>
      </c>
      <c r="FY18" s="3">
        <f>_xlfn.XLOOKUP(FY$1,generator!$B$2:$B$295,generator!$K$2:$K$295,"ARGH")</f>
        <v>0</v>
      </c>
      <c r="FZ18" s="3">
        <f>_xlfn.XLOOKUP(FZ$1,generator!$B$2:$B$295,generator!$K$2:$K$295,"ARGH")</f>
        <v>0</v>
      </c>
      <c r="GA18" s="3">
        <f>_xlfn.XLOOKUP(GA$1,generator!$B$2:$B$295,generator!$K$2:$K$295,"ARGH")</f>
        <v>0</v>
      </c>
      <c r="GB18" s="3">
        <f>_xlfn.XLOOKUP(GB$1,generator!$B$2:$B$295,generator!$K$2:$K$295,"ARGH")</f>
        <v>0</v>
      </c>
      <c r="GC18" s="3">
        <f>_xlfn.XLOOKUP(GC$1,generator!$B$2:$B$295,generator!$K$2:$K$295,"ARGH")</f>
        <v>0</v>
      </c>
      <c r="GD18" s="3">
        <f>_xlfn.XLOOKUP(GD$1,generator!$B$2:$B$295,generator!$K$2:$K$295,"ARGH")</f>
        <v>0</v>
      </c>
      <c r="GE18" s="3">
        <f>_xlfn.XLOOKUP(GE$1,generator!$B$2:$B$295,generator!$K$2:$K$295,"ARGH")</f>
        <v>0</v>
      </c>
      <c r="GF18" s="3">
        <f>_xlfn.XLOOKUP(GF$1,generator!$B$2:$B$295,generator!$K$2:$K$295,"ARGH")</f>
        <v>0</v>
      </c>
      <c r="GG18" s="3">
        <f>_xlfn.XLOOKUP(GG$1,generator!$B$2:$B$295,generator!$K$2:$K$295,"ARGH")</f>
        <v>0</v>
      </c>
      <c r="GH18" s="3">
        <f>_xlfn.XLOOKUP(GH$1,generator!$B$2:$B$295,generator!$K$2:$K$295,"ARGH")</f>
        <v>0</v>
      </c>
      <c r="GI18" s="3">
        <f>_xlfn.XLOOKUP(GI$1,generator!$B$2:$B$295,generator!$K$2:$K$295,"ARGH")</f>
        <v>0</v>
      </c>
      <c r="GJ18" s="3">
        <f>_xlfn.XLOOKUP(GJ$1,generator!$B$2:$B$295,generator!$K$2:$K$295,"ARGH")</f>
        <v>0</v>
      </c>
      <c r="GK18" s="3">
        <f>_xlfn.XLOOKUP(GK$1,generator!$B$2:$B$295,generator!$K$2:$K$295,"ARGH")</f>
        <v>0</v>
      </c>
      <c r="GL18" s="3">
        <f>_xlfn.XLOOKUP(GL$1,generator!$B$2:$B$295,generator!$K$2:$K$295,"ARGH")</f>
        <v>0</v>
      </c>
      <c r="GM18" s="3">
        <f>_xlfn.XLOOKUP(GM$1,generator!$B$2:$B$295,generator!$K$2:$K$295,"ARGH")</f>
        <v>0</v>
      </c>
      <c r="GN18" s="3">
        <f>_xlfn.XLOOKUP(GN$1,generator!$B$2:$B$295,generator!$K$2:$K$295,"ARGH")</f>
        <v>0</v>
      </c>
      <c r="GO18" s="3">
        <f>_xlfn.XLOOKUP(GO$1,generator!$B$2:$B$295,generator!$K$2:$K$295,"ARGH")</f>
        <v>0</v>
      </c>
      <c r="GP18" s="3">
        <f>_xlfn.XLOOKUP(GP$1,generator!$B$2:$B$295,generator!$K$2:$K$295,"ARGH")</f>
        <v>0</v>
      </c>
      <c r="GQ18" s="3">
        <f>_xlfn.XLOOKUP(GQ$1,generator!$B$2:$B$295,generator!$K$2:$K$295,"ARGH")</f>
        <v>0</v>
      </c>
      <c r="GR18" s="3">
        <f>_xlfn.XLOOKUP(GR$1,generator!$B$2:$B$295,generator!$K$2:$K$295,"ARGH")</f>
        <v>0</v>
      </c>
      <c r="GS18" s="3">
        <f>_xlfn.XLOOKUP(GS$1,generator!$B$2:$B$295,generator!$K$2:$K$295,"ARGH")</f>
        <v>0</v>
      </c>
      <c r="GT18" s="3">
        <f>_xlfn.XLOOKUP(GT$1,generator!$B$2:$B$295,generator!$K$2:$K$295,"ARGH")</f>
        <v>0</v>
      </c>
      <c r="GU18" s="3">
        <f>_xlfn.XLOOKUP(GU$1,generator!$B$2:$B$295,generator!$K$2:$K$295,"ARGH")</f>
        <v>0</v>
      </c>
      <c r="GV18" s="3">
        <f>_xlfn.XLOOKUP(GV$1,generator!$B$2:$B$295,generator!$K$2:$K$295,"ARGH")</f>
        <v>0</v>
      </c>
      <c r="GW18" s="3">
        <f>_xlfn.XLOOKUP(GW$1,generator!$B$2:$B$295,generator!$K$2:$K$295,"ARGH")</f>
        <v>0</v>
      </c>
      <c r="GX18" s="3">
        <f>_xlfn.XLOOKUP(GX$1,generator!$B$2:$B$295,generator!$K$2:$K$295,"ARGH")</f>
        <v>0</v>
      </c>
      <c r="GY18" s="3">
        <f>_xlfn.XLOOKUP(GY$1,generator!$B$2:$B$295,generator!$K$2:$K$295,"ARGH")</f>
        <v>0</v>
      </c>
      <c r="GZ18" s="3">
        <f>_xlfn.XLOOKUP(GZ$1,generator!$B$2:$B$295,generator!$K$2:$K$295,"ARGH")</f>
        <v>0</v>
      </c>
      <c r="HA18" s="3">
        <f>_xlfn.XLOOKUP(HA$1,generator!$B$2:$B$295,generator!$K$2:$K$295,"ARGH")</f>
        <v>0</v>
      </c>
      <c r="HB18" s="3">
        <f>_xlfn.XLOOKUP(HB$1,generator!$B$2:$B$295,generator!$K$2:$K$295,"ARGH")</f>
        <v>0</v>
      </c>
      <c r="HC18" s="3">
        <f>_xlfn.XLOOKUP(HC$1,generator!$B$2:$B$295,generator!$K$2:$K$295,"ARGH")</f>
        <v>0</v>
      </c>
      <c r="HD18" s="3">
        <f>_xlfn.XLOOKUP(HD$1,generator!$B$2:$B$295,generator!$K$2:$K$295,"ARGH")</f>
        <v>0</v>
      </c>
      <c r="HE18" s="3">
        <f>_xlfn.XLOOKUP(HE$1,generator!$B$2:$B$295,generator!$K$2:$K$295,"ARGH")</f>
        <v>12.74</v>
      </c>
      <c r="HF18" s="3">
        <f>_xlfn.XLOOKUP(HF$1,generator!$B$2:$B$295,generator!$K$2:$K$295,"ARGH")</f>
        <v>99</v>
      </c>
      <c r="HG18" s="3">
        <f>_xlfn.XLOOKUP(HG$1,generator!$B$2:$B$295,generator!$K$2:$K$295,"ARGH")</f>
        <v>99</v>
      </c>
      <c r="HH18" s="3">
        <f>_xlfn.XLOOKUP(HH$1,generator!$B$2:$B$295,generator!$K$2:$K$295,"ARGH")</f>
        <v>99</v>
      </c>
      <c r="HI18" s="3">
        <f>_xlfn.XLOOKUP(HI$1,generator!$B$2:$B$295,generator!$K$2:$K$295,"ARGH")</f>
        <v>8</v>
      </c>
      <c r="HJ18" s="3">
        <f>_xlfn.XLOOKUP(HJ$1,generator!$B$2:$B$295,generator!$K$2:$K$295,"ARGH")</f>
        <v>8</v>
      </c>
      <c r="HK18" s="3">
        <f>_xlfn.XLOOKUP(HK$1,generator!$B$2:$B$295,generator!$K$2:$K$295,"ARGH")</f>
        <v>8</v>
      </c>
      <c r="HL18" s="3">
        <f>_xlfn.XLOOKUP(HL$1,generator!$B$2:$B$295,generator!$K$2:$K$295,"ARGH")</f>
        <v>20</v>
      </c>
      <c r="HM18" s="3">
        <f>_xlfn.XLOOKUP(HM$1,generator!$B$2:$B$295,generator!$K$2:$K$295,"ARGH")</f>
        <v>20</v>
      </c>
      <c r="HN18" s="3">
        <f>_xlfn.XLOOKUP(HN$1,generator!$B$2:$B$295,generator!$K$2:$K$295,"ARGH")</f>
        <v>5</v>
      </c>
      <c r="HO18" s="3">
        <f>_xlfn.XLOOKUP(HO$1,generator!$B$2:$B$295,generator!$K$2:$K$295,"ARGH")</f>
        <v>5</v>
      </c>
      <c r="HP18" s="3">
        <f>_xlfn.XLOOKUP(HP$1,generator!$B$2:$B$295,generator!$K$2:$K$295,"ARGH")</f>
        <v>0.2</v>
      </c>
      <c r="HQ18" s="3">
        <f>_xlfn.XLOOKUP(HQ$1,generator!$B$2:$B$295,generator!$K$2:$K$295,"ARGH")</f>
        <v>5</v>
      </c>
      <c r="HR18" s="3">
        <f>_xlfn.XLOOKUP(HR$1,generator!$B$2:$B$295,generator!$K$2:$K$295,"ARGH")</f>
        <v>5</v>
      </c>
      <c r="HS18" s="3">
        <f>_xlfn.XLOOKUP(HS$1,generator!$B$2:$B$295,generator!$K$2:$K$295,"ARGH")</f>
        <v>12.82</v>
      </c>
      <c r="HT18" s="3">
        <f>_xlfn.XLOOKUP(HT$1,generator!$B$2:$B$295,generator!$K$2:$K$295,"ARGH")</f>
        <v>12.82</v>
      </c>
      <c r="HU18" s="3">
        <f>_xlfn.XLOOKUP(HU$1,generator!$B$2:$B$295,generator!$K$2:$K$295,"ARGH")</f>
        <v>25</v>
      </c>
      <c r="HV18" s="3">
        <f>_xlfn.XLOOKUP(HV$1,generator!$B$2:$B$295,generator!$K$2:$K$295,"ARGH")</f>
        <v>16</v>
      </c>
      <c r="HW18" s="3">
        <f>_xlfn.XLOOKUP(HW$1,generator!$B$2:$B$295,generator!$K$2:$K$295,"ARGH")</f>
        <v>5</v>
      </c>
      <c r="HX18" s="3">
        <f>_xlfn.XLOOKUP(HX$1,generator!$B$2:$B$295,generator!$K$2:$K$295,"ARGH")</f>
        <v>5</v>
      </c>
      <c r="HY18" s="3">
        <f>_xlfn.XLOOKUP(HY$1,generator!$B$2:$B$295,generator!$K$2:$K$295,"ARGH")</f>
        <v>63</v>
      </c>
      <c r="HZ18" s="3">
        <f>_xlfn.XLOOKUP(HZ$1,generator!$B$2:$B$295,generator!$K$2:$K$295,"ARGH")</f>
        <v>18</v>
      </c>
      <c r="IA18" s="3">
        <f>_xlfn.XLOOKUP(IA$1,generator!$B$2:$B$295,generator!$K$2:$K$295,"ARGH")</f>
        <v>121</v>
      </c>
      <c r="IB18" s="3">
        <f>_xlfn.XLOOKUP(IB$1,generator!$B$2:$B$295,generator!$K$2:$K$295,"ARGH")</f>
        <v>120</v>
      </c>
      <c r="IC18" s="3">
        <f>_xlfn.XLOOKUP(IC$1,generator!$B$2:$B$295,generator!$K$2:$K$295,"ARGH")</f>
        <v>0</v>
      </c>
      <c r="ID18" s="3">
        <f>_xlfn.XLOOKUP(ID$1,generator!$B$2:$B$295,generator!$K$2:$K$295,"ARGH")</f>
        <v>17</v>
      </c>
      <c r="IE18" s="3">
        <f>_xlfn.XLOOKUP(IE$1,generator!$B$2:$B$295,generator!$K$2:$K$295,"ARGH")</f>
        <v>194</v>
      </c>
      <c r="IF18" s="3">
        <f>_xlfn.XLOOKUP(IF$1,generator!$B$2:$B$295,generator!$K$2:$K$295,"ARGH")</f>
        <v>11.9</v>
      </c>
      <c r="IG18" s="3">
        <f>_xlfn.XLOOKUP(IG$1,generator!$B$2:$B$295,generator!$K$2:$K$295,"ARGH")</f>
        <v>11.9</v>
      </c>
      <c r="IH18" s="3">
        <f>_xlfn.XLOOKUP(IH$1,generator!$B$2:$B$295,generator!$K$2:$K$295,"ARGH")</f>
        <v>11.9</v>
      </c>
      <c r="II18" s="3">
        <f>_xlfn.XLOOKUP(II$1,generator!$B$2:$B$295,generator!$K$2:$K$295,"ARGH")</f>
        <v>11.9</v>
      </c>
      <c r="IJ18" s="3">
        <f>_xlfn.XLOOKUP(IJ$1,generator!$B$2:$B$295,generator!$K$2:$K$295,"ARGH")</f>
        <v>0</v>
      </c>
      <c r="IK18" s="3">
        <f>_xlfn.XLOOKUP(IK$1,generator!$B$2:$B$295,generator!$K$2:$K$295,"ARGH")</f>
        <v>3</v>
      </c>
      <c r="IL18" s="3">
        <f>_xlfn.XLOOKUP(IL$1,generator!$B$2:$B$295,generator!$K$2:$K$295,"ARGH")</f>
        <v>5</v>
      </c>
      <c r="IM18" s="3">
        <f>_xlfn.XLOOKUP(IM$1,generator!$B$2:$B$295,generator!$K$2:$K$295,"ARGH")</f>
        <v>5</v>
      </c>
      <c r="IN18" s="3">
        <f>_xlfn.XLOOKUP(IN$1,generator!$B$2:$B$295,generator!$K$2:$K$295,"ARGH")</f>
        <v>4</v>
      </c>
      <c r="IO18" s="3">
        <f>_xlfn.XLOOKUP(IO$1,generator!$B$2:$B$295,generator!$K$2:$K$295,"ARGH")</f>
        <v>4</v>
      </c>
      <c r="IP18" s="3">
        <f>_xlfn.XLOOKUP(IP$1,generator!$B$2:$B$295,generator!$K$2:$K$295,"ARGH")</f>
        <v>3</v>
      </c>
      <c r="IQ18" s="3">
        <f>_xlfn.XLOOKUP(IQ$1,generator!$B$2:$B$295,generator!$K$2:$K$295,"ARGH")</f>
        <v>1</v>
      </c>
      <c r="IR18" s="3">
        <f>_xlfn.XLOOKUP(IR$1,generator!$B$2:$B$295,generator!$K$2:$K$295,"ARGH")</f>
        <v>3</v>
      </c>
      <c r="IS18" s="3">
        <f>_xlfn.XLOOKUP(IS$1,generator!$B$2:$B$295,generator!$K$2:$K$295,"ARGH")</f>
        <v>3</v>
      </c>
      <c r="IT18" s="3">
        <f>_xlfn.XLOOKUP(IT$1,generator!$B$2:$B$295,generator!$K$2:$K$295,"ARGH")</f>
        <v>0</v>
      </c>
      <c r="IU18" s="3">
        <f>_xlfn.XLOOKUP(IU$1,generator!$B$2:$B$295,generator!$K$2:$K$295,"ARGH")</f>
        <v>3.99</v>
      </c>
      <c r="IV18" s="3">
        <f>_xlfn.XLOOKUP(IV$1,generator!$B$2:$B$295,generator!$K$2:$K$295,"ARGH")</f>
        <v>0.2</v>
      </c>
      <c r="IW18" s="3">
        <f>_xlfn.XLOOKUP(IW$1,generator!$B$2:$B$295,generator!$K$2:$K$295,"ARGH")</f>
        <v>15</v>
      </c>
      <c r="IX18" s="3">
        <f>_xlfn.XLOOKUP(IX$1,generator!$B$2:$B$295,generator!$K$2:$K$295,"ARGH")</f>
        <v>15</v>
      </c>
      <c r="IY18" s="3">
        <f>_xlfn.XLOOKUP(IY$1,generator!$B$2:$B$295,generator!$K$2:$K$295,"ARGH")</f>
        <v>15</v>
      </c>
      <c r="IZ18" s="3">
        <f>_xlfn.XLOOKUP(IZ$1,generator!$B$2:$B$295,generator!$K$2:$K$295,"ARGH")</f>
        <v>120</v>
      </c>
      <c r="JA18" s="3">
        <f>_xlfn.XLOOKUP(JA$1,generator!$B$2:$B$295,generator!$K$2:$K$295,"ARGH")</f>
        <v>40</v>
      </c>
      <c r="JB18" s="3">
        <f>_xlfn.XLOOKUP(JB$1,generator!$B$2:$B$295,generator!$K$2:$K$295,"ARGH")</f>
        <v>40</v>
      </c>
      <c r="JC18" s="3">
        <f>_xlfn.XLOOKUP(JC$1,generator!$B$2:$B$295,generator!$K$2:$K$295,"ARGH")</f>
        <v>113</v>
      </c>
      <c r="JD18" s="3">
        <f>_xlfn.XLOOKUP(JD$1,generator!$B$2:$B$295,generator!$K$2:$K$295,"ARGH")</f>
        <v>113</v>
      </c>
      <c r="JE18" s="3">
        <f>_xlfn.XLOOKUP(JE$1,generator!$B$2:$B$295,generator!$K$2:$K$295,"ARGH")</f>
        <v>211</v>
      </c>
      <c r="JF18" s="3">
        <f>_xlfn.XLOOKUP(JF$1,generator!$B$2:$B$295,generator!$K$2:$K$295,"ARGH")</f>
        <v>22.5</v>
      </c>
      <c r="JG18" s="3">
        <f>_xlfn.XLOOKUP(JG$1,generator!$B$2:$B$295,generator!$K$2:$K$295,"ARGH")</f>
        <v>1</v>
      </c>
      <c r="JH18" s="3">
        <f>_xlfn.XLOOKUP(JH$1,generator!$B$2:$B$295,generator!$K$2:$K$295,"ARGH")</f>
        <v>160</v>
      </c>
      <c r="JI18" s="3">
        <f>_xlfn.XLOOKUP(JI$1,generator!$B$2:$B$295,generator!$K$2:$K$295,"ARGH")</f>
        <v>165</v>
      </c>
      <c r="JJ18" s="3">
        <f>_xlfn.XLOOKUP(JJ$1,generator!$B$2:$B$295,generator!$K$2:$K$295,"ARGH")</f>
        <v>4.5999999999999996</v>
      </c>
      <c r="JK18" s="3">
        <f>_xlfn.XLOOKUP(JK$1,generator!$B$2:$B$295,generator!$K$2:$K$295,"ARGH")</f>
        <v>4.5999999999999996</v>
      </c>
      <c r="JL18" s="3">
        <f>_xlfn.XLOOKUP(JL$1,generator!$B$2:$B$295,generator!$K$2:$K$295,"ARGH")</f>
        <v>4.5999999999999996</v>
      </c>
      <c r="JM18" s="3">
        <f>_xlfn.XLOOKUP(JM$1,generator!$B$2:$B$295,generator!$K$2:$K$295,"ARGH")</f>
        <v>4.5999999999999996</v>
      </c>
      <c r="JN18" s="3">
        <f>_xlfn.XLOOKUP(JN$1,generator!$B$2:$B$295,generator!$K$2:$K$295,"ARGH")</f>
        <v>4.5999999999999996</v>
      </c>
      <c r="JO18" s="3">
        <f>_xlfn.XLOOKUP(JO$1,generator!$B$2:$B$295,generator!$K$2:$K$295,"ARGH")</f>
        <v>4.5999999999999996</v>
      </c>
      <c r="JP18" s="3">
        <f>_xlfn.XLOOKUP(JP$1,generator!$B$2:$B$295,generator!$K$2:$K$295,"ARGH")</f>
        <v>110</v>
      </c>
      <c r="JQ18" s="3">
        <f>_xlfn.XLOOKUP(JQ$1,generator!$B$2:$B$295,generator!$K$2:$K$295,"ARGH")</f>
        <v>22.7</v>
      </c>
      <c r="JR18" s="3">
        <f>_xlfn.XLOOKUP(JR$1,generator!$B$2:$B$295,generator!$K$2:$K$295,"ARGH")</f>
        <v>147</v>
      </c>
      <c r="JS18" s="3">
        <f>_xlfn.XLOOKUP(JS$1,generator!$B$2:$B$295,generator!$K$2:$K$295,"ARGH")</f>
        <v>147</v>
      </c>
      <c r="JT18" s="3">
        <f>_xlfn.XLOOKUP(JT$1,generator!$B$2:$B$295,generator!$K$2:$K$295,"ARGH")</f>
        <v>22.7</v>
      </c>
      <c r="JU18" s="3">
        <f>_xlfn.XLOOKUP(JU$1,generator!$B$2:$B$295,generator!$K$2:$K$295,"ARGH")</f>
        <v>21.5</v>
      </c>
      <c r="JV18" s="3">
        <f>_xlfn.XLOOKUP(JV$1,generator!$B$2:$B$295,generator!$K$2:$K$295,"ARGH")</f>
        <v>120</v>
      </c>
      <c r="JW18" s="3">
        <f>_xlfn.XLOOKUP(JW$1,generator!$B$2:$B$295,generator!$K$2:$K$295,"ARGH")</f>
        <v>120</v>
      </c>
      <c r="JX18" s="3">
        <f>_xlfn.XLOOKUP(JX$1,generator!$B$2:$B$295,generator!$K$2:$K$295,"ARGH")</f>
        <v>1</v>
      </c>
      <c r="JY18" s="3">
        <f>_xlfn.XLOOKUP(JY$1,generator!$B$2:$B$295,generator!$K$2:$K$295,"ARGH")</f>
        <v>41.15</v>
      </c>
      <c r="JZ18" s="3">
        <f>_xlfn.XLOOKUP(JZ$1,generator!$B$2:$B$295,generator!$K$2:$K$295,"ARGH")</f>
        <v>5</v>
      </c>
      <c r="KA18" s="3">
        <f>_xlfn.XLOOKUP(KA$1,generator!$B$2:$B$295,generator!$K$2:$K$295,"ARGH")</f>
        <v>5</v>
      </c>
      <c r="KB18" s="3">
        <f>_xlfn.XLOOKUP(KB$1,generator!$B$2:$B$295,generator!$K$2:$K$295,"ARGH")</f>
        <v>5</v>
      </c>
      <c r="KC18" s="3">
        <f>_xlfn.XLOOKUP(KC$1,generator!$B$2:$B$295,generator!$K$2:$K$295,"ARGH")</f>
        <v>5</v>
      </c>
    </row>
    <row r="19" spans="1:289" x14ac:dyDescent="0.3">
      <c r="A19" s="4" t="s">
        <v>3014</v>
      </c>
      <c r="B19" s="31">
        <v>418.5</v>
      </c>
      <c r="C19" s="31">
        <v>514</v>
      </c>
      <c r="D19" s="31">
        <v>442</v>
      </c>
      <c r="E19" s="3">
        <f>_xlfn.XLOOKUP(E$1,generator!$B$2:$B$295,generator!$K$2:$K$295,"ARGH")</f>
        <v>0</v>
      </c>
      <c r="F19" s="3">
        <f>_xlfn.XLOOKUP(F$1,generator!$B$2:$B$295,generator!$K$2:$K$295,"ARGH")</f>
        <v>0</v>
      </c>
      <c r="G19" s="3">
        <f>_xlfn.XLOOKUP(G$1,generator!$B$2:$B$295,generator!$K$2:$K$295,"ARGH")</f>
        <v>0</v>
      </c>
      <c r="H19" s="3">
        <f>_xlfn.XLOOKUP(H$1,generator!$B$2:$B$295,generator!$K$2:$K$295,"ARGH")</f>
        <v>0</v>
      </c>
      <c r="I19" s="3">
        <f>_xlfn.XLOOKUP(I$1,generator!$B$2:$B$295,generator!$K$2:$K$295,"ARGH")</f>
        <v>0</v>
      </c>
      <c r="J19" s="3">
        <f>_xlfn.XLOOKUP(J$1,generator!$B$2:$B$295,generator!$K$2:$K$295,"ARGH")</f>
        <v>0</v>
      </c>
      <c r="K19" s="3">
        <f>_xlfn.XLOOKUP(K$1,generator!$B$2:$B$295,generator!$K$2:$K$295,"ARGH")</f>
        <v>0</v>
      </c>
      <c r="L19" s="3">
        <f>_xlfn.XLOOKUP(L$1,generator!$B$2:$B$295,generator!$K$2:$K$295,"ARGH")</f>
        <v>0</v>
      </c>
      <c r="M19" s="3">
        <f>_xlfn.XLOOKUP(M$1,generator!$B$2:$B$295,generator!$K$2:$K$295,"ARGH")</f>
        <v>0</v>
      </c>
      <c r="N19" s="3">
        <f>_xlfn.XLOOKUP(N$1,generator!$B$2:$B$295,generator!$K$2:$K$295,"ARGH")</f>
        <v>0</v>
      </c>
      <c r="O19" s="3">
        <f>_xlfn.XLOOKUP(O$1,generator!$B$2:$B$295,generator!$K$2:$K$295,"ARGH")</f>
        <v>0</v>
      </c>
      <c r="P19" s="3">
        <f>_xlfn.XLOOKUP(P$1,generator!$B$2:$B$295,generator!$K$2:$K$295,"ARGH")</f>
        <v>0</v>
      </c>
      <c r="Q19" s="3">
        <f>_xlfn.XLOOKUP(Q$1,generator!$B$2:$B$295,generator!$K$2:$K$295,"ARGH")</f>
        <v>0</v>
      </c>
      <c r="R19" s="3">
        <f>_xlfn.XLOOKUP(R$1,generator!$B$2:$B$295,generator!$K$2:$K$295,"ARGH")</f>
        <v>0</v>
      </c>
      <c r="S19" s="3">
        <f>_xlfn.XLOOKUP(S$1,generator!$B$2:$B$295,generator!$K$2:$K$295,"ARGH")</f>
        <v>0</v>
      </c>
      <c r="T19" s="3">
        <f>_xlfn.XLOOKUP(T$1,generator!$B$2:$B$295,generator!$K$2:$K$295,"ARGH")</f>
        <v>0</v>
      </c>
      <c r="U19" s="3">
        <f>_xlfn.XLOOKUP(U$1,generator!$B$2:$B$295,generator!$K$2:$K$295,"ARGH")</f>
        <v>0</v>
      </c>
      <c r="V19" s="3">
        <f>_xlfn.XLOOKUP(V$1,generator!$B$2:$B$295,generator!$K$2:$K$295,"ARGH")</f>
        <v>0</v>
      </c>
      <c r="W19" s="3">
        <f>_xlfn.XLOOKUP(W$1,generator!$B$2:$B$295,generator!$K$2:$K$295,"ARGH")</f>
        <v>0</v>
      </c>
      <c r="X19" s="3">
        <f>_xlfn.XLOOKUP(X$1,generator!$B$2:$B$295,generator!$K$2:$K$295,"ARGH")</f>
        <v>0</v>
      </c>
      <c r="Y19" s="3">
        <f>_xlfn.XLOOKUP(Y$1,generator!$B$2:$B$295,generator!$K$2:$K$295,"ARGH")</f>
        <v>0</v>
      </c>
      <c r="Z19" s="3">
        <f>_xlfn.XLOOKUP(Z$1,generator!$B$2:$B$295,generator!$K$2:$K$295,"ARGH")</f>
        <v>0</v>
      </c>
      <c r="AA19" s="3">
        <f>_xlfn.XLOOKUP(AA$1,generator!$B$2:$B$295,generator!$K$2:$K$295,"ARGH")</f>
        <v>0</v>
      </c>
      <c r="AB19" s="3">
        <f>_xlfn.XLOOKUP(AB$1,generator!$B$2:$B$295,generator!$K$2:$K$295,"ARGH")</f>
        <v>0</v>
      </c>
      <c r="AC19" s="3">
        <f>_xlfn.XLOOKUP(AC$1,generator!$B$2:$B$295,generator!$K$2:$K$295,"ARGH")</f>
        <v>0</v>
      </c>
      <c r="AD19" s="3">
        <f>_xlfn.XLOOKUP(AD$1,generator!$B$2:$B$295,generator!$K$2:$K$295,"ARGH")</f>
        <v>0</v>
      </c>
      <c r="AE19" s="3">
        <f>_xlfn.XLOOKUP(AE$1,generator!$B$2:$B$295,generator!$K$2:$K$295,"ARGH")</f>
        <v>0</v>
      </c>
      <c r="AF19" s="3">
        <f>_xlfn.XLOOKUP(AF$1,generator!$B$2:$B$295,generator!$K$2:$K$295,"ARGH")</f>
        <v>0</v>
      </c>
      <c r="AG19" s="3">
        <f>_xlfn.XLOOKUP(AG$1,generator!$B$2:$B$295,generator!$K$2:$K$295,"ARGH")</f>
        <v>0</v>
      </c>
      <c r="AH19" s="3">
        <f>_xlfn.XLOOKUP(AH$1,generator!$B$2:$B$295,generator!$K$2:$K$295,"ARGH")</f>
        <v>0</v>
      </c>
      <c r="AI19" s="3">
        <f>_xlfn.XLOOKUP(AI$1,generator!$B$2:$B$295,generator!$K$2:$K$295,"ARGH")</f>
        <v>0</v>
      </c>
      <c r="AJ19" s="3">
        <f>_xlfn.XLOOKUP(AJ$1,generator!$B$2:$B$295,generator!$K$2:$K$295,"ARGH")</f>
        <v>0</v>
      </c>
      <c r="AK19" s="3">
        <f>_xlfn.XLOOKUP(AK$1,generator!$B$2:$B$295,generator!$K$2:$K$295,"ARGH")</f>
        <v>0</v>
      </c>
      <c r="AL19" s="3">
        <f>_xlfn.XLOOKUP(AL$1,generator!$B$2:$B$295,generator!$K$2:$K$295,"ARGH")</f>
        <v>0</v>
      </c>
      <c r="AM19" s="3">
        <f>_xlfn.XLOOKUP(AM$1,generator!$B$2:$B$295,generator!$K$2:$K$295,"ARGH")</f>
        <v>0</v>
      </c>
      <c r="AN19" s="3">
        <f>_xlfn.XLOOKUP(AN$1,generator!$B$2:$B$295,generator!$K$2:$K$295,"ARGH")</f>
        <v>0</v>
      </c>
      <c r="AO19" s="3">
        <f>_xlfn.XLOOKUP(AO$1,generator!$B$2:$B$295,generator!$K$2:$K$295,"ARGH")</f>
        <v>0</v>
      </c>
      <c r="AP19" s="3">
        <f>_xlfn.XLOOKUP(AP$1,generator!$B$2:$B$295,generator!$K$2:$K$295,"ARGH")</f>
        <v>0</v>
      </c>
      <c r="AQ19" s="3">
        <f>_xlfn.XLOOKUP(AQ$1,generator!$B$2:$B$295,generator!$K$2:$K$295,"ARGH")</f>
        <v>0</v>
      </c>
      <c r="AR19" s="3">
        <f>_xlfn.XLOOKUP(AR$1,generator!$B$2:$B$295,generator!$K$2:$K$295,"ARGH")</f>
        <v>0</v>
      </c>
      <c r="AS19" s="3">
        <f>_xlfn.XLOOKUP(AS$1,generator!$B$2:$B$295,generator!$K$2:$K$295,"ARGH")</f>
        <v>0</v>
      </c>
      <c r="AT19" s="3">
        <f>_xlfn.XLOOKUP(AT$1,generator!$B$2:$B$295,generator!$K$2:$K$295,"ARGH")</f>
        <v>0</v>
      </c>
      <c r="AU19" s="3">
        <f>_xlfn.XLOOKUP(AU$1,generator!$B$2:$B$295,generator!$K$2:$K$295,"ARGH")</f>
        <v>0</v>
      </c>
      <c r="AV19" s="3">
        <f>_xlfn.XLOOKUP(AV$1,generator!$B$2:$B$295,generator!$K$2:$K$295,"ARGH")</f>
        <v>0</v>
      </c>
      <c r="AW19" s="3">
        <f>_xlfn.XLOOKUP(AW$1,generator!$B$2:$B$295,generator!$K$2:$K$295,"ARGH")</f>
        <v>0</v>
      </c>
      <c r="AX19" s="3">
        <f>_xlfn.XLOOKUP(AX$1,generator!$B$2:$B$295,generator!$K$2:$K$295,"ARGH")</f>
        <v>0</v>
      </c>
      <c r="AY19" s="3">
        <f>_xlfn.XLOOKUP(AY$1,generator!$B$2:$B$295,generator!$K$2:$K$295,"ARGH")</f>
        <v>0</v>
      </c>
      <c r="AZ19" s="3">
        <f>_xlfn.XLOOKUP(AZ$1,generator!$B$2:$B$295,generator!$K$2:$K$295,"ARGH")</f>
        <v>0</v>
      </c>
      <c r="BA19" s="3">
        <f>_xlfn.XLOOKUP(BA$1,generator!$B$2:$B$295,generator!$K$2:$K$295,"ARGH")</f>
        <v>0</v>
      </c>
      <c r="BB19" s="3">
        <f>_xlfn.XLOOKUP(BB$1,generator!$B$2:$B$295,generator!$K$2:$K$295,"ARGH")</f>
        <v>0</v>
      </c>
      <c r="BC19" s="3">
        <f>_xlfn.XLOOKUP(BC$1,generator!$B$2:$B$295,generator!$K$2:$K$295,"ARGH")</f>
        <v>0</v>
      </c>
      <c r="BD19" s="3">
        <f>_xlfn.XLOOKUP(BD$1,generator!$B$2:$B$295,generator!$K$2:$K$295,"ARGH")</f>
        <v>0</v>
      </c>
      <c r="BE19" s="3">
        <f>_xlfn.XLOOKUP(BE$1,generator!$B$2:$B$295,generator!$K$2:$K$295,"ARGH")</f>
        <v>0</v>
      </c>
      <c r="BF19" s="3">
        <f>_xlfn.XLOOKUP(BF$1,generator!$B$2:$B$295,generator!$K$2:$K$295,"ARGH")</f>
        <v>0</v>
      </c>
      <c r="BG19" s="3">
        <f>_xlfn.XLOOKUP(BG$1,generator!$B$2:$B$295,generator!$K$2:$K$295,"ARGH")</f>
        <v>0</v>
      </c>
      <c r="BH19" s="3">
        <f>_xlfn.XLOOKUP(BH$1,generator!$B$2:$B$295,generator!$K$2:$K$295,"ARGH")</f>
        <v>0</v>
      </c>
      <c r="BI19" s="3">
        <f>_xlfn.XLOOKUP(BI$1,generator!$B$2:$B$295,generator!$K$2:$K$295,"ARGH")</f>
        <v>0</v>
      </c>
      <c r="BJ19" s="3">
        <f>_xlfn.XLOOKUP(BJ$1,generator!$B$2:$B$295,generator!$K$2:$K$295,"ARGH")</f>
        <v>0</v>
      </c>
      <c r="BK19" s="3">
        <f>_xlfn.XLOOKUP(BK$1,generator!$B$2:$B$295,generator!$K$2:$K$295,"ARGH")</f>
        <v>0</v>
      </c>
      <c r="BL19" s="3">
        <f>_xlfn.XLOOKUP(BL$1,generator!$B$2:$B$295,generator!$K$2:$K$295,"ARGH")</f>
        <v>0</v>
      </c>
      <c r="BM19" s="3">
        <f>_xlfn.XLOOKUP(BM$1,generator!$B$2:$B$295,generator!$K$2:$K$295,"ARGH")</f>
        <v>0</v>
      </c>
      <c r="BN19" s="3">
        <f>_xlfn.XLOOKUP(BN$1,generator!$B$2:$B$295,generator!$K$2:$K$295,"ARGH")</f>
        <v>0</v>
      </c>
      <c r="BO19" s="3">
        <f>_xlfn.XLOOKUP(BO$1,generator!$B$2:$B$295,generator!$K$2:$K$295,"ARGH")</f>
        <v>0</v>
      </c>
      <c r="BP19" s="3">
        <f>_xlfn.XLOOKUP(BP$1,generator!$B$2:$B$295,generator!$K$2:$K$295,"ARGH")</f>
        <v>0</v>
      </c>
      <c r="BQ19" s="3">
        <f>_xlfn.XLOOKUP(BQ$1,generator!$B$2:$B$295,generator!$K$2:$K$295,"ARGH")</f>
        <v>0</v>
      </c>
      <c r="BR19" s="3">
        <f>_xlfn.XLOOKUP(BR$1,generator!$B$2:$B$295,generator!$K$2:$K$295,"ARGH")</f>
        <v>0</v>
      </c>
      <c r="BS19" s="3">
        <f>_xlfn.XLOOKUP(BS$1,generator!$B$2:$B$295,generator!$K$2:$K$295,"ARGH")</f>
        <v>0</v>
      </c>
      <c r="BT19" s="3">
        <f>_xlfn.XLOOKUP(BT$1,generator!$B$2:$B$295,generator!$K$2:$K$295,"ARGH")</f>
        <v>0</v>
      </c>
      <c r="BU19" s="3">
        <f>_xlfn.XLOOKUP(BU$1,generator!$B$2:$B$295,generator!$K$2:$K$295,"ARGH")</f>
        <v>0</v>
      </c>
      <c r="BV19" s="3">
        <f>_xlfn.XLOOKUP(BV$1,generator!$B$2:$B$295,generator!$K$2:$K$295,"ARGH")</f>
        <v>0</v>
      </c>
      <c r="BW19" s="3">
        <f>_xlfn.XLOOKUP(BW$1,generator!$B$2:$B$295,generator!$K$2:$K$295,"ARGH")</f>
        <v>0</v>
      </c>
      <c r="BX19" s="3">
        <f>_xlfn.XLOOKUP(BX$1,generator!$B$2:$B$295,generator!$K$2:$K$295,"ARGH")</f>
        <v>0</v>
      </c>
      <c r="BY19" s="3">
        <f>_xlfn.XLOOKUP(BY$1,generator!$B$2:$B$295,generator!$K$2:$K$295,"ARGH")</f>
        <v>0</v>
      </c>
      <c r="BZ19" s="3">
        <f>_xlfn.XLOOKUP(BZ$1,generator!$B$2:$B$295,generator!$K$2:$K$295,"ARGH")</f>
        <v>0</v>
      </c>
      <c r="CA19" s="3">
        <f>_xlfn.XLOOKUP(CA$1,generator!$B$2:$B$295,generator!$K$2:$K$295,"ARGH")</f>
        <v>0</v>
      </c>
      <c r="CB19" s="3">
        <f>_xlfn.XLOOKUP(CB$1,generator!$B$2:$B$295,generator!$K$2:$K$295,"ARGH")</f>
        <v>0</v>
      </c>
      <c r="CC19" s="3">
        <f>_xlfn.XLOOKUP(CC$1,generator!$B$2:$B$295,generator!$K$2:$K$295,"ARGH")</f>
        <v>0</v>
      </c>
      <c r="CD19" s="3">
        <f>_xlfn.XLOOKUP(CD$1,generator!$B$2:$B$295,generator!$K$2:$K$295,"ARGH")</f>
        <v>0</v>
      </c>
      <c r="CE19" s="3">
        <f>_xlfn.XLOOKUP(CE$1,generator!$B$2:$B$295,generator!$K$2:$K$295,"ARGH")</f>
        <v>0</v>
      </c>
      <c r="CF19" s="3">
        <f>_xlfn.XLOOKUP(CF$1,generator!$B$2:$B$295,generator!$K$2:$K$295,"ARGH")</f>
        <v>0</v>
      </c>
      <c r="CG19" s="3">
        <f>_xlfn.XLOOKUP(CG$1,generator!$B$2:$B$295,generator!$K$2:$K$295,"ARGH")</f>
        <v>0</v>
      </c>
      <c r="CH19" s="3">
        <f>_xlfn.XLOOKUP(CH$1,generator!$B$2:$B$295,generator!$K$2:$K$295,"ARGH")</f>
        <v>0</v>
      </c>
      <c r="CI19" s="3">
        <f>_xlfn.XLOOKUP(CI$1,generator!$B$2:$B$295,generator!$K$2:$K$295,"ARGH")</f>
        <v>0</v>
      </c>
      <c r="CJ19" s="3">
        <f>_xlfn.XLOOKUP(CJ$1,generator!$B$2:$B$295,generator!$K$2:$K$295,"ARGH")</f>
        <v>0</v>
      </c>
      <c r="CK19" s="3">
        <f>_xlfn.XLOOKUP(CK$1,generator!$B$2:$B$295,generator!$K$2:$K$295,"ARGH")</f>
        <v>0</v>
      </c>
      <c r="CL19" s="3">
        <f>_xlfn.XLOOKUP(CL$1,generator!$B$2:$B$295,generator!$K$2:$K$295,"ARGH")</f>
        <v>0</v>
      </c>
      <c r="CM19" s="3">
        <f>_xlfn.XLOOKUP(CM$1,generator!$B$2:$B$295,generator!$K$2:$K$295,"ARGH")</f>
        <v>0</v>
      </c>
      <c r="CN19" s="3">
        <f>_xlfn.XLOOKUP(CN$1,generator!$B$2:$B$295,generator!$K$2:$K$295,"ARGH")</f>
        <v>0</v>
      </c>
      <c r="CO19" s="3">
        <f>_xlfn.XLOOKUP(CO$1,generator!$B$2:$B$295,generator!$K$2:$K$295,"ARGH")</f>
        <v>0</v>
      </c>
      <c r="CP19" s="3">
        <f>_xlfn.XLOOKUP(CP$1,generator!$B$2:$B$295,generator!$K$2:$K$295,"ARGH")</f>
        <v>0</v>
      </c>
      <c r="CQ19" s="3">
        <f>_xlfn.XLOOKUP(CQ$1,generator!$B$2:$B$295,generator!$K$2:$K$295,"ARGH")</f>
        <v>0</v>
      </c>
      <c r="CR19" s="3">
        <f>_xlfn.XLOOKUP(CR$1,generator!$B$2:$B$295,generator!$K$2:$K$295,"ARGH")</f>
        <v>0</v>
      </c>
      <c r="CS19" s="3">
        <f>_xlfn.XLOOKUP(CS$1,generator!$B$2:$B$295,generator!$K$2:$K$295,"ARGH")</f>
        <v>0</v>
      </c>
      <c r="CT19" s="3">
        <f>_xlfn.XLOOKUP(CT$1,generator!$B$2:$B$295,generator!$K$2:$K$295,"ARGH")</f>
        <v>0</v>
      </c>
      <c r="CU19" s="3">
        <f>_xlfn.XLOOKUP(CU$1,generator!$B$2:$B$295,generator!$K$2:$K$295,"ARGH")</f>
        <v>0</v>
      </c>
      <c r="CV19" s="3">
        <f>_xlfn.XLOOKUP(CV$1,generator!$B$2:$B$295,generator!$K$2:$K$295,"ARGH")</f>
        <v>0</v>
      </c>
      <c r="CW19" s="3">
        <f>_xlfn.XLOOKUP(CW$1,generator!$B$2:$B$295,generator!$K$2:$K$295,"ARGH")</f>
        <v>0</v>
      </c>
      <c r="CX19" s="3">
        <f>_xlfn.XLOOKUP(CX$1,generator!$B$2:$B$295,generator!$K$2:$K$295,"ARGH")</f>
        <v>0</v>
      </c>
      <c r="CY19" s="3">
        <f>_xlfn.XLOOKUP(CY$1,generator!$B$2:$B$295,generator!$K$2:$K$295,"ARGH")</f>
        <v>0</v>
      </c>
      <c r="CZ19" s="3">
        <f>_xlfn.XLOOKUP(CZ$1,generator!$B$2:$B$295,generator!$K$2:$K$295,"ARGH")</f>
        <v>0</v>
      </c>
      <c r="DA19" s="3">
        <f>_xlfn.XLOOKUP(DA$1,generator!$B$2:$B$295,generator!$K$2:$K$295,"ARGH")</f>
        <v>0</v>
      </c>
      <c r="DB19" s="3">
        <f>_xlfn.XLOOKUP(DB$1,generator!$B$2:$B$295,generator!$K$2:$K$295,"ARGH")</f>
        <v>0</v>
      </c>
      <c r="DC19" s="3">
        <f>_xlfn.XLOOKUP(DC$1,generator!$B$2:$B$295,generator!$K$2:$K$295,"ARGH")</f>
        <v>0</v>
      </c>
      <c r="DD19" s="3">
        <f>_xlfn.XLOOKUP(DD$1,generator!$B$2:$B$295,generator!$K$2:$K$295,"ARGH")</f>
        <v>0</v>
      </c>
      <c r="DE19" s="3">
        <f>_xlfn.XLOOKUP(DE$1,generator!$B$2:$B$295,generator!$K$2:$K$295,"ARGH")</f>
        <v>0</v>
      </c>
      <c r="DF19" s="3">
        <f>_xlfn.XLOOKUP(DF$1,generator!$B$2:$B$295,generator!$K$2:$K$295,"ARGH")</f>
        <v>0</v>
      </c>
      <c r="DG19" s="3">
        <f>_xlfn.XLOOKUP(DG$1,generator!$B$2:$B$295,generator!$K$2:$K$295,"ARGH")</f>
        <v>0</v>
      </c>
      <c r="DH19" s="3">
        <f>_xlfn.XLOOKUP(DH$1,generator!$B$2:$B$295,generator!$K$2:$K$295,"ARGH")</f>
        <v>0</v>
      </c>
      <c r="DI19" s="3">
        <f>_xlfn.XLOOKUP(DI$1,generator!$B$2:$B$295,generator!$K$2:$K$295,"ARGH")</f>
        <v>0</v>
      </c>
      <c r="DJ19" s="3">
        <f>_xlfn.XLOOKUP(DJ$1,generator!$B$2:$B$295,generator!$K$2:$K$295,"ARGH")</f>
        <v>0</v>
      </c>
      <c r="DK19" s="3">
        <f>_xlfn.XLOOKUP(DK$1,generator!$B$2:$B$295,generator!$K$2:$K$295,"ARGH")</f>
        <v>0</v>
      </c>
      <c r="DL19" s="3">
        <f>_xlfn.XLOOKUP(DL$1,generator!$B$2:$B$295,generator!$K$2:$K$295,"ARGH")</f>
        <v>0</v>
      </c>
      <c r="DM19" s="3">
        <f>_xlfn.XLOOKUP(DM$1,generator!$B$2:$B$295,generator!$K$2:$K$295,"ARGH")</f>
        <v>0</v>
      </c>
      <c r="DN19" s="3">
        <f>_xlfn.XLOOKUP(DN$1,generator!$B$2:$B$295,generator!$K$2:$K$295,"ARGH")</f>
        <v>0</v>
      </c>
      <c r="DO19" s="3">
        <f>_xlfn.XLOOKUP(DO$1,generator!$B$2:$B$295,generator!$K$2:$K$295,"ARGH")</f>
        <v>0</v>
      </c>
      <c r="DP19" s="3">
        <f>_xlfn.XLOOKUP(DP$1,generator!$B$2:$B$295,generator!$K$2:$K$295,"ARGH")</f>
        <v>0</v>
      </c>
      <c r="DQ19" s="3">
        <f>_xlfn.XLOOKUP(DQ$1,generator!$B$2:$B$295,generator!$K$2:$K$295,"ARGH")</f>
        <v>0</v>
      </c>
      <c r="DR19" s="3">
        <f>_xlfn.XLOOKUP(DR$1,generator!$B$2:$B$295,generator!$K$2:$K$295,"ARGH")</f>
        <v>0</v>
      </c>
      <c r="DS19" s="3">
        <f>_xlfn.XLOOKUP(DS$1,generator!$B$2:$B$295,generator!$K$2:$K$295,"ARGH")</f>
        <v>0</v>
      </c>
      <c r="DT19" s="3">
        <f>_xlfn.XLOOKUP(DT$1,generator!$B$2:$B$295,generator!$K$2:$K$295,"ARGH")</f>
        <v>0</v>
      </c>
      <c r="DU19" s="3">
        <f>_xlfn.XLOOKUP(DU$1,generator!$B$2:$B$295,generator!$K$2:$K$295,"ARGH")</f>
        <v>0</v>
      </c>
      <c r="DV19" s="3">
        <f>_xlfn.XLOOKUP(DV$1,generator!$B$2:$B$295,generator!$K$2:$K$295,"ARGH")</f>
        <v>0</v>
      </c>
      <c r="DW19" s="3">
        <f>_xlfn.XLOOKUP(DW$1,generator!$B$2:$B$295,generator!$K$2:$K$295,"ARGH")</f>
        <v>0</v>
      </c>
      <c r="DX19" s="3">
        <f>_xlfn.XLOOKUP(DX$1,generator!$B$2:$B$295,generator!$K$2:$K$295,"ARGH")</f>
        <v>0</v>
      </c>
      <c r="DY19" s="3">
        <f>_xlfn.XLOOKUP(DY$1,generator!$B$2:$B$295,generator!$K$2:$K$295,"ARGH")</f>
        <v>0</v>
      </c>
      <c r="DZ19" s="3">
        <f>_xlfn.XLOOKUP(DZ$1,generator!$B$2:$B$295,generator!$K$2:$K$295,"ARGH")</f>
        <v>0</v>
      </c>
      <c r="EA19" s="3">
        <f>_xlfn.XLOOKUP(EA$1,generator!$B$2:$B$295,generator!$K$2:$K$295,"ARGH")</f>
        <v>0</v>
      </c>
      <c r="EB19" s="3">
        <f>_xlfn.XLOOKUP(EB$1,generator!$B$2:$B$295,generator!$K$2:$K$295,"ARGH")</f>
        <v>0</v>
      </c>
      <c r="EC19" s="3">
        <f>_xlfn.XLOOKUP(EC$1,generator!$B$2:$B$295,generator!$K$2:$K$295,"ARGH")</f>
        <v>0</v>
      </c>
      <c r="ED19" s="3">
        <f>_xlfn.XLOOKUP(ED$1,generator!$B$2:$B$295,generator!$K$2:$K$295,"ARGH")</f>
        <v>0</v>
      </c>
      <c r="EE19" s="3">
        <f>_xlfn.XLOOKUP(EE$1,generator!$B$2:$B$295,generator!$K$2:$K$295,"ARGH")</f>
        <v>0</v>
      </c>
      <c r="EF19" s="3">
        <f>_xlfn.XLOOKUP(EF$1,generator!$B$2:$B$295,generator!$K$2:$K$295,"ARGH")</f>
        <v>0</v>
      </c>
      <c r="EG19" s="3">
        <f>_xlfn.XLOOKUP(EG$1,generator!$B$2:$B$295,generator!$K$2:$K$295,"ARGH")</f>
        <v>0</v>
      </c>
      <c r="EH19" s="3">
        <f>_xlfn.XLOOKUP(EH$1,generator!$B$2:$B$295,generator!$K$2:$K$295,"ARGH")</f>
        <v>0</v>
      </c>
      <c r="EI19" s="3">
        <f>_xlfn.XLOOKUP(EI$1,generator!$B$2:$B$295,generator!$K$2:$K$295,"ARGH")</f>
        <v>0</v>
      </c>
      <c r="EJ19" s="3">
        <f>_xlfn.XLOOKUP(EJ$1,generator!$B$2:$B$295,generator!$K$2:$K$295,"ARGH")</f>
        <v>0</v>
      </c>
      <c r="EK19" s="3">
        <f>_xlfn.XLOOKUP(EK$1,generator!$B$2:$B$295,generator!$K$2:$K$295,"ARGH")</f>
        <v>0</v>
      </c>
      <c r="EL19" s="3">
        <f>_xlfn.XLOOKUP(EL$1,generator!$B$2:$B$295,generator!$K$2:$K$295,"ARGH")</f>
        <v>0</v>
      </c>
      <c r="EM19" s="3">
        <f>_xlfn.XLOOKUP(EM$1,generator!$B$2:$B$295,generator!$K$2:$K$295,"ARGH")</f>
        <v>0</v>
      </c>
      <c r="EN19" s="3">
        <f>_xlfn.XLOOKUP(EN$1,generator!$B$2:$B$295,generator!$K$2:$K$295,"ARGH")</f>
        <v>0</v>
      </c>
      <c r="EO19" s="3">
        <f>_xlfn.XLOOKUP(EO$1,generator!$B$2:$B$295,generator!$K$2:$K$295,"ARGH")</f>
        <v>0</v>
      </c>
      <c r="EP19" s="3">
        <f>_xlfn.XLOOKUP(EP$1,generator!$B$2:$B$295,generator!$K$2:$K$295,"ARGH")</f>
        <v>0</v>
      </c>
      <c r="EQ19" s="3">
        <f>_xlfn.XLOOKUP(EQ$1,generator!$B$2:$B$295,generator!$K$2:$K$295,"ARGH")</f>
        <v>0</v>
      </c>
      <c r="ER19" s="3">
        <f>_xlfn.XLOOKUP(ER$1,generator!$B$2:$B$295,generator!$K$2:$K$295,"ARGH")</f>
        <v>0</v>
      </c>
      <c r="ES19" s="3">
        <f>_xlfn.XLOOKUP(ES$1,generator!$B$2:$B$295,generator!$K$2:$K$295,"ARGH")</f>
        <v>0</v>
      </c>
      <c r="ET19" s="3">
        <f>_xlfn.XLOOKUP(ET$1,generator!$B$2:$B$295,generator!$K$2:$K$295,"ARGH")</f>
        <v>0</v>
      </c>
      <c r="EU19" s="3">
        <f>_xlfn.XLOOKUP(EU$1,generator!$B$2:$B$295,generator!$K$2:$K$295,"ARGH")</f>
        <v>0</v>
      </c>
      <c r="EV19" s="3">
        <f>_xlfn.XLOOKUP(EV$1,generator!$B$2:$B$295,generator!$K$2:$K$295,"ARGH")</f>
        <v>0</v>
      </c>
      <c r="EW19" s="3">
        <f>_xlfn.XLOOKUP(EW$1,generator!$B$2:$B$295,generator!$K$2:$K$295,"ARGH")</f>
        <v>0</v>
      </c>
      <c r="EX19" s="3">
        <f>_xlfn.XLOOKUP(EX$1,generator!$B$2:$B$295,generator!$K$2:$K$295,"ARGH")</f>
        <v>0</v>
      </c>
      <c r="EY19" s="3">
        <f>_xlfn.XLOOKUP(EY$1,generator!$B$2:$B$295,generator!$K$2:$K$295,"ARGH")</f>
        <v>0</v>
      </c>
      <c r="EZ19" s="3">
        <f>_xlfn.XLOOKUP(EZ$1,generator!$B$2:$B$295,generator!$K$2:$K$295,"ARGH")</f>
        <v>0</v>
      </c>
      <c r="FA19" s="3">
        <f>_xlfn.XLOOKUP(FA$1,generator!$B$2:$B$295,generator!$K$2:$K$295,"ARGH")</f>
        <v>0</v>
      </c>
      <c r="FB19" s="3">
        <f>_xlfn.XLOOKUP(FB$1,generator!$B$2:$B$295,generator!$K$2:$K$295,"ARGH")</f>
        <v>0</v>
      </c>
      <c r="FC19" s="3">
        <f>_xlfn.XLOOKUP(FC$1,generator!$B$2:$B$295,generator!$K$2:$K$295,"ARGH")</f>
        <v>0</v>
      </c>
      <c r="FD19" s="3">
        <f>_xlfn.XLOOKUP(FD$1,generator!$B$2:$B$295,generator!$K$2:$K$295,"ARGH")</f>
        <v>0</v>
      </c>
      <c r="FE19" s="3">
        <f>_xlfn.XLOOKUP(FE$1,generator!$B$2:$B$295,generator!$K$2:$K$295,"ARGH")</f>
        <v>0</v>
      </c>
      <c r="FF19" s="3">
        <f>_xlfn.XLOOKUP(FF$1,generator!$B$2:$B$295,generator!$K$2:$K$295,"ARGH")</f>
        <v>0</v>
      </c>
      <c r="FG19" s="3">
        <f>_xlfn.XLOOKUP(FG$1,generator!$B$2:$B$295,generator!$K$2:$K$295,"ARGH")</f>
        <v>0</v>
      </c>
      <c r="FH19" s="3">
        <f>_xlfn.XLOOKUP(FH$1,generator!$B$2:$B$295,generator!$K$2:$K$295,"ARGH")</f>
        <v>0</v>
      </c>
      <c r="FI19" s="3">
        <f>_xlfn.XLOOKUP(FI$1,generator!$B$2:$B$295,generator!$K$2:$K$295,"ARGH")</f>
        <v>0</v>
      </c>
      <c r="FJ19" s="3">
        <f>_xlfn.XLOOKUP(FJ$1,generator!$B$2:$B$295,generator!$K$2:$K$295,"ARGH")</f>
        <v>0</v>
      </c>
      <c r="FK19" s="3">
        <f>_xlfn.XLOOKUP(FK$1,generator!$B$2:$B$295,generator!$K$2:$K$295,"ARGH")</f>
        <v>0</v>
      </c>
      <c r="FL19" s="3">
        <f>_xlfn.XLOOKUP(FL$1,generator!$B$2:$B$295,generator!$K$2:$K$295,"ARGH")</f>
        <v>0</v>
      </c>
      <c r="FM19" s="3">
        <f>_xlfn.XLOOKUP(FM$1,generator!$B$2:$B$295,generator!$K$2:$K$295,"ARGH")</f>
        <v>0</v>
      </c>
      <c r="FN19" s="3">
        <f>_xlfn.XLOOKUP(FN$1,generator!$B$2:$B$295,generator!$K$2:$K$295,"ARGH")</f>
        <v>0</v>
      </c>
      <c r="FO19" s="3">
        <f>_xlfn.XLOOKUP(FO$1,generator!$B$2:$B$295,generator!$K$2:$K$295,"ARGH")</f>
        <v>0</v>
      </c>
      <c r="FP19" s="3">
        <f>_xlfn.XLOOKUP(FP$1,generator!$B$2:$B$295,generator!$K$2:$K$295,"ARGH")</f>
        <v>0</v>
      </c>
      <c r="FQ19" s="3">
        <f>_xlfn.XLOOKUP(FQ$1,generator!$B$2:$B$295,generator!$K$2:$K$295,"ARGH")</f>
        <v>0</v>
      </c>
      <c r="FR19" s="3">
        <f>_xlfn.XLOOKUP(FR$1,generator!$B$2:$B$295,generator!$K$2:$K$295,"ARGH")</f>
        <v>0</v>
      </c>
      <c r="FS19" s="3">
        <f>_xlfn.XLOOKUP(FS$1,generator!$B$2:$B$295,generator!$K$2:$K$295,"ARGH")</f>
        <v>0</v>
      </c>
      <c r="FT19" s="3">
        <f>_xlfn.XLOOKUP(FT$1,generator!$B$2:$B$295,generator!$K$2:$K$295,"ARGH")</f>
        <v>0</v>
      </c>
      <c r="FU19" s="3">
        <f>_xlfn.XLOOKUP(FU$1,generator!$B$2:$B$295,generator!$K$2:$K$295,"ARGH")</f>
        <v>0</v>
      </c>
      <c r="FV19" s="3">
        <f>_xlfn.XLOOKUP(FV$1,generator!$B$2:$B$295,generator!$K$2:$K$295,"ARGH")</f>
        <v>0</v>
      </c>
      <c r="FW19" s="3">
        <f>_xlfn.XLOOKUP(FW$1,generator!$B$2:$B$295,generator!$K$2:$K$295,"ARGH")</f>
        <v>0</v>
      </c>
      <c r="FX19" s="3">
        <f>_xlfn.XLOOKUP(FX$1,generator!$B$2:$B$295,generator!$K$2:$K$295,"ARGH")</f>
        <v>0</v>
      </c>
      <c r="FY19" s="3">
        <f>_xlfn.XLOOKUP(FY$1,generator!$B$2:$B$295,generator!$K$2:$K$295,"ARGH")</f>
        <v>0</v>
      </c>
      <c r="FZ19" s="3">
        <f>_xlfn.XLOOKUP(FZ$1,generator!$B$2:$B$295,generator!$K$2:$K$295,"ARGH")</f>
        <v>0</v>
      </c>
      <c r="GA19" s="3">
        <f>_xlfn.XLOOKUP(GA$1,generator!$B$2:$B$295,generator!$K$2:$K$295,"ARGH")</f>
        <v>0</v>
      </c>
      <c r="GB19" s="3">
        <f>_xlfn.XLOOKUP(GB$1,generator!$B$2:$B$295,generator!$K$2:$K$295,"ARGH")</f>
        <v>0</v>
      </c>
      <c r="GC19" s="3">
        <f>_xlfn.XLOOKUP(GC$1,generator!$B$2:$B$295,generator!$K$2:$K$295,"ARGH")</f>
        <v>0</v>
      </c>
      <c r="GD19" s="3">
        <f>_xlfn.XLOOKUP(GD$1,generator!$B$2:$B$295,generator!$K$2:$K$295,"ARGH")</f>
        <v>0</v>
      </c>
      <c r="GE19" s="3">
        <f>_xlfn.XLOOKUP(GE$1,generator!$B$2:$B$295,generator!$K$2:$K$295,"ARGH")</f>
        <v>0</v>
      </c>
      <c r="GF19" s="3">
        <f>_xlfn.XLOOKUP(GF$1,generator!$B$2:$B$295,generator!$K$2:$K$295,"ARGH")</f>
        <v>0</v>
      </c>
      <c r="GG19" s="3">
        <f>_xlfn.XLOOKUP(GG$1,generator!$B$2:$B$295,generator!$K$2:$K$295,"ARGH")</f>
        <v>0</v>
      </c>
      <c r="GH19" s="3">
        <f>_xlfn.XLOOKUP(GH$1,generator!$B$2:$B$295,generator!$K$2:$K$295,"ARGH")</f>
        <v>0</v>
      </c>
      <c r="GI19" s="3">
        <f>_xlfn.XLOOKUP(GI$1,generator!$B$2:$B$295,generator!$K$2:$K$295,"ARGH")</f>
        <v>0</v>
      </c>
      <c r="GJ19" s="3">
        <f>_xlfn.XLOOKUP(GJ$1,generator!$B$2:$B$295,generator!$K$2:$K$295,"ARGH")</f>
        <v>0</v>
      </c>
      <c r="GK19" s="3">
        <f>_xlfn.XLOOKUP(GK$1,generator!$B$2:$B$295,generator!$K$2:$K$295,"ARGH")</f>
        <v>0</v>
      </c>
      <c r="GL19" s="3">
        <f>_xlfn.XLOOKUP(GL$1,generator!$B$2:$B$295,generator!$K$2:$K$295,"ARGH")</f>
        <v>0</v>
      </c>
      <c r="GM19" s="3">
        <f>_xlfn.XLOOKUP(GM$1,generator!$B$2:$B$295,generator!$K$2:$K$295,"ARGH")</f>
        <v>0</v>
      </c>
      <c r="GN19" s="3">
        <f>_xlfn.XLOOKUP(GN$1,generator!$B$2:$B$295,generator!$K$2:$K$295,"ARGH")</f>
        <v>0</v>
      </c>
      <c r="GO19" s="3">
        <f>_xlfn.XLOOKUP(GO$1,generator!$B$2:$B$295,generator!$K$2:$K$295,"ARGH")</f>
        <v>0</v>
      </c>
      <c r="GP19" s="3">
        <f>_xlfn.XLOOKUP(GP$1,generator!$B$2:$B$295,generator!$K$2:$K$295,"ARGH")</f>
        <v>0</v>
      </c>
      <c r="GQ19" s="3">
        <f>_xlfn.XLOOKUP(GQ$1,generator!$B$2:$B$295,generator!$K$2:$K$295,"ARGH")</f>
        <v>0</v>
      </c>
      <c r="GR19" s="3">
        <f>_xlfn.XLOOKUP(GR$1,generator!$B$2:$B$295,generator!$K$2:$K$295,"ARGH")</f>
        <v>0</v>
      </c>
      <c r="GS19" s="3">
        <f>_xlfn.XLOOKUP(GS$1,generator!$B$2:$B$295,generator!$K$2:$K$295,"ARGH")</f>
        <v>0</v>
      </c>
      <c r="GT19" s="3">
        <f>_xlfn.XLOOKUP(GT$1,generator!$B$2:$B$295,generator!$K$2:$K$295,"ARGH")</f>
        <v>0</v>
      </c>
      <c r="GU19" s="3">
        <f>_xlfn.XLOOKUP(GU$1,generator!$B$2:$B$295,generator!$K$2:$K$295,"ARGH")</f>
        <v>0</v>
      </c>
      <c r="GV19" s="3">
        <f>_xlfn.XLOOKUP(GV$1,generator!$B$2:$B$295,generator!$K$2:$K$295,"ARGH")</f>
        <v>0</v>
      </c>
      <c r="GW19" s="3">
        <f>_xlfn.XLOOKUP(GW$1,generator!$B$2:$B$295,generator!$K$2:$K$295,"ARGH")</f>
        <v>0</v>
      </c>
      <c r="GX19" s="3">
        <f>_xlfn.XLOOKUP(GX$1,generator!$B$2:$B$295,generator!$K$2:$K$295,"ARGH")</f>
        <v>0</v>
      </c>
      <c r="GY19" s="3">
        <f>_xlfn.XLOOKUP(GY$1,generator!$B$2:$B$295,generator!$K$2:$K$295,"ARGH")</f>
        <v>0</v>
      </c>
      <c r="GZ19" s="3">
        <f>_xlfn.XLOOKUP(GZ$1,generator!$B$2:$B$295,generator!$K$2:$K$295,"ARGH")</f>
        <v>0</v>
      </c>
      <c r="HA19" s="3">
        <f>_xlfn.XLOOKUP(HA$1,generator!$B$2:$B$295,generator!$K$2:$K$295,"ARGH")</f>
        <v>0</v>
      </c>
      <c r="HB19" s="3">
        <f>_xlfn.XLOOKUP(HB$1,generator!$B$2:$B$295,generator!$K$2:$K$295,"ARGH")</f>
        <v>0</v>
      </c>
      <c r="HC19" s="3">
        <f>_xlfn.XLOOKUP(HC$1,generator!$B$2:$B$295,generator!$K$2:$K$295,"ARGH")</f>
        <v>0</v>
      </c>
      <c r="HD19" s="3">
        <f>_xlfn.XLOOKUP(HD$1,generator!$B$2:$B$295,generator!$K$2:$K$295,"ARGH")</f>
        <v>0</v>
      </c>
      <c r="HE19" s="3">
        <f>_xlfn.XLOOKUP(HE$1,generator!$B$2:$B$295,generator!$K$2:$K$295,"ARGH")</f>
        <v>12.74</v>
      </c>
      <c r="HF19" s="3">
        <f>_xlfn.XLOOKUP(HF$1,generator!$B$2:$B$295,generator!$K$2:$K$295,"ARGH")</f>
        <v>99</v>
      </c>
      <c r="HG19" s="3">
        <f>_xlfn.XLOOKUP(HG$1,generator!$B$2:$B$295,generator!$K$2:$K$295,"ARGH")</f>
        <v>99</v>
      </c>
      <c r="HH19" s="3">
        <f>_xlfn.XLOOKUP(HH$1,generator!$B$2:$B$295,generator!$K$2:$K$295,"ARGH")</f>
        <v>99</v>
      </c>
      <c r="HI19" s="3">
        <f>_xlfn.XLOOKUP(HI$1,generator!$B$2:$B$295,generator!$K$2:$K$295,"ARGH")</f>
        <v>8</v>
      </c>
      <c r="HJ19" s="3">
        <f>_xlfn.XLOOKUP(HJ$1,generator!$B$2:$B$295,generator!$K$2:$K$295,"ARGH")</f>
        <v>8</v>
      </c>
      <c r="HK19" s="3">
        <f>_xlfn.XLOOKUP(HK$1,generator!$B$2:$B$295,generator!$K$2:$K$295,"ARGH")</f>
        <v>8</v>
      </c>
      <c r="HL19" s="3">
        <f>_xlfn.XLOOKUP(HL$1,generator!$B$2:$B$295,generator!$K$2:$K$295,"ARGH")</f>
        <v>20</v>
      </c>
      <c r="HM19" s="3">
        <f>_xlfn.XLOOKUP(HM$1,generator!$B$2:$B$295,generator!$K$2:$K$295,"ARGH")</f>
        <v>20</v>
      </c>
      <c r="HN19" s="3">
        <f>_xlfn.XLOOKUP(HN$1,generator!$B$2:$B$295,generator!$K$2:$K$295,"ARGH")</f>
        <v>5</v>
      </c>
      <c r="HO19" s="3">
        <f>_xlfn.XLOOKUP(HO$1,generator!$B$2:$B$295,generator!$K$2:$K$295,"ARGH")</f>
        <v>5</v>
      </c>
      <c r="HP19" s="3">
        <f>_xlfn.XLOOKUP(HP$1,generator!$B$2:$B$295,generator!$K$2:$K$295,"ARGH")</f>
        <v>0.2</v>
      </c>
      <c r="HQ19" s="3">
        <f>_xlfn.XLOOKUP(HQ$1,generator!$B$2:$B$295,generator!$K$2:$K$295,"ARGH")</f>
        <v>5</v>
      </c>
      <c r="HR19" s="3">
        <f>_xlfn.XLOOKUP(HR$1,generator!$B$2:$B$295,generator!$K$2:$K$295,"ARGH")</f>
        <v>5</v>
      </c>
      <c r="HS19" s="3">
        <f>_xlfn.XLOOKUP(HS$1,generator!$B$2:$B$295,generator!$K$2:$K$295,"ARGH")</f>
        <v>12.82</v>
      </c>
      <c r="HT19" s="3">
        <f>_xlfn.XLOOKUP(HT$1,generator!$B$2:$B$295,generator!$K$2:$K$295,"ARGH")</f>
        <v>12.82</v>
      </c>
      <c r="HU19" s="3">
        <f>_xlfn.XLOOKUP(HU$1,generator!$B$2:$B$295,generator!$K$2:$K$295,"ARGH")</f>
        <v>25</v>
      </c>
      <c r="HV19" s="3">
        <f>_xlfn.XLOOKUP(HV$1,generator!$B$2:$B$295,generator!$K$2:$K$295,"ARGH")</f>
        <v>16</v>
      </c>
      <c r="HW19" s="3">
        <f>_xlfn.XLOOKUP(HW$1,generator!$B$2:$B$295,generator!$K$2:$K$295,"ARGH")</f>
        <v>5</v>
      </c>
      <c r="HX19" s="3">
        <f>_xlfn.XLOOKUP(HX$1,generator!$B$2:$B$295,generator!$K$2:$K$295,"ARGH")</f>
        <v>5</v>
      </c>
      <c r="HY19" s="3">
        <f>_xlfn.XLOOKUP(HY$1,generator!$B$2:$B$295,generator!$K$2:$K$295,"ARGH")</f>
        <v>63</v>
      </c>
      <c r="HZ19" s="3">
        <f>_xlfn.XLOOKUP(HZ$1,generator!$B$2:$B$295,generator!$K$2:$K$295,"ARGH")</f>
        <v>18</v>
      </c>
      <c r="IA19" s="3">
        <f>_xlfn.XLOOKUP(IA$1,generator!$B$2:$B$295,generator!$K$2:$K$295,"ARGH")</f>
        <v>121</v>
      </c>
      <c r="IB19" s="3">
        <f>_xlfn.XLOOKUP(IB$1,generator!$B$2:$B$295,generator!$K$2:$K$295,"ARGH")</f>
        <v>120</v>
      </c>
      <c r="IC19" s="3">
        <f>_xlfn.XLOOKUP(IC$1,generator!$B$2:$B$295,generator!$K$2:$K$295,"ARGH")</f>
        <v>0</v>
      </c>
      <c r="ID19" s="3">
        <f>_xlfn.XLOOKUP(ID$1,generator!$B$2:$B$295,generator!$K$2:$K$295,"ARGH")</f>
        <v>17</v>
      </c>
      <c r="IE19" s="3">
        <f>_xlfn.XLOOKUP(IE$1,generator!$B$2:$B$295,generator!$K$2:$K$295,"ARGH")</f>
        <v>194</v>
      </c>
      <c r="IF19" s="3">
        <f>_xlfn.XLOOKUP(IF$1,generator!$B$2:$B$295,generator!$K$2:$K$295,"ARGH")</f>
        <v>11.9</v>
      </c>
      <c r="IG19" s="3">
        <f>_xlfn.XLOOKUP(IG$1,generator!$B$2:$B$295,generator!$K$2:$K$295,"ARGH")</f>
        <v>11.9</v>
      </c>
      <c r="IH19" s="3">
        <f>_xlfn.XLOOKUP(IH$1,generator!$B$2:$B$295,generator!$K$2:$K$295,"ARGH")</f>
        <v>11.9</v>
      </c>
      <c r="II19" s="3">
        <f>_xlfn.XLOOKUP(II$1,generator!$B$2:$B$295,generator!$K$2:$K$295,"ARGH")</f>
        <v>11.9</v>
      </c>
      <c r="IJ19" s="3">
        <f>_xlfn.XLOOKUP(IJ$1,generator!$B$2:$B$295,generator!$K$2:$K$295,"ARGH")</f>
        <v>0</v>
      </c>
      <c r="IK19" s="3">
        <f>_xlfn.XLOOKUP(IK$1,generator!$B$2:$B$295,generator!$K$2:$K$295,"ARGH")</f>
        <v>3</v>
      </c>
      <c r="IL19" s="3">
        <f>_xlfn.XLOOKUP(IL$1,generator!$B$2:$B$295,generator!$K$2:$K$295,"ARGH")</f>
        <v>5</v>
      </c>
      <c r="IM19" s="3">
        <f>_xlfn.XLOOKUP(IM$1,generator!$B$2:$B$295,generator!$K$2:$K$295,"ARGH")</f>
        <v>5</v>
      </c>
      <c r="IN19" s="3">
        <f>_xlfn.XLOOKUP(IN$1,generator!$B$2:$B$295,generator!$K$2:$K$295,"ARGH")</f>
        <v>4</v>
      </c>
      <c r="IO19" s="3">
        <f>_xlfn.XLOOKUP(IO$1,generator!$B$2:$B$295,generator!$K$2:$K$295,"ARGH")</f>
        <v>4</v>
      </c>
      <c r="IP19" s="3">
        <f>_xlfn.XLOOKUP(IP$1,generator!$B$2:$B$295,generator!$K$2:$K$295,"ARGH")</f>
        <v>3</v>
      </c>
      <c r="IQ19" s="3">
        <f>_xlfn.XLOOKUP(IQ$1,generator!$B$2:$B$295,generator!$K$2:$K$295,"ARGH")</f>
        <v>1</v>
      </c>
      <c r="IR19" s="3">
        <f>_xlfn.XLOOKUP(IR$1,generator!$B$2:$B$295,generator!$K$2:$K$295,"ARGH")</f>
        <v>3</v>
      </c>
      <c r="IS19" s="3">
        <f>_xlfn.XLOOKUP(IS$1,generator!$B$2:$B$295,generator!$K$2:$K$295,"ARGH")</f>
        <v>3</v>
      </c>
      <c r="IT19" s="3">
        <f>_xlfn.XLOOKUP(IT$1,generator!$B$2:$B$295,generator!$K$2:$K$295,"ARGH")</f>
        <v>0</v>
      </c>
      <c r="IU19" s="3">
        <f>_xlfn.XLOOKUP(IU$1,generator!$B$2:$B$295,generator!$K$2:$K$295,"ARGH")</f>
        <v>3.99</v>
      </c>
      <c r="IV19" s="3">
        <f>_xlfn.XLOOKUP(IV$1,generator!$B$2:$B$295,generator!$K$2:$K$295,"ARGH")</f>
        <v>0.2</v>
      </c>
      <c r="IW19" s="3">
        <f>_xlfn.XLOOKUP(IW$1,generator!$B$2:$B$295,generator!$K$2:$K$295,"ARGH")</f>
        <v>15</v>
      </c>
      <c r="IX19" s="3">
        <f>_xlfn.XLOOKUP(IX$1,generator!$B$2:$B$295,generator!$K$2:$K$295,"ARGH")</f>
        <v>15</v>
      </c>
      <c r="IY19" s="3">
        <f>_xlfn.XLOOKUP(IY$1,generator!$B$2:$B$295,generator!$K$2:$K$295,"ARGH")</f>
        <v>15</v>
      </c>
      <c r="IZ19" s="3">
        <f>_xlfn.XLOOKUP(IZ$1,generator!$B$2:$B$295,generator!$K$2:$K$295,"ARGH")</f>
        <v>120</v>
      </c>
      <c r="JA19" s="3">
        <f>_xlfn.XLOOKUP(JA$1,generator!$B$2:$B$295,generator!$K$2:$K$295,"ARGH")</f>
        <v>40</v>
      </c>
      <c r="JB19" s="3">
        <f>_xlfn.XLOOKUP(JB$1,generator!$B$2:$B$295,generator!$K$2:$K$295,"ARGH")</f>
        <v>40</v>
      </c>
      <c r="JC19" s="3">
        <f>_xlfn.XLOOKUP(JC$1,generator!$B$2:$B$295,generator!$K$2:$K$295,"ARGH")</f>
        <v>113</v>
      </c>
      <c r="JD19" s="3">
        <f>_xlfn.XLOOKUP(JD$1,generator!$B$2:$B$295,generator!$K$2:$K$295,"ARGH")</f>
        <v>113</v>
      </c>
      <c r="JE19" s="3">
        <f>_xlfn.XLOOKUP(JE$1,generator!$B$2:$B$295,generator!$K$2:$K$295,"ARGH")</f>
        <v>211</v>
      </c>
      <c r="JF19" s="3">
        <f>_xlfn.XLOOKUP(JF$1,generator!$B$2:$B$295,generator!$K$2:$K$295,"ARGH")</f>
        <v>22.5</v>
      </c>
      <c r="JG19" s="3">
        <f>_xlfn.XLOOKUP(JG$1,generator!$B$2:$B$295,generator!$K$2:$K$295,"ARGH")</f>
        <v>1</v>
      </c>
      <c r="JH19" s="3">
        <f>_xlfn.XLOOKUP(JH$1,generator!$B$2:$B$295,generator!$K$2:$K$295,"ARGH")</f>
        <v>160</v>
      </c>
      <c r="JI19" s="3">
        <f>_xlfn.XLOOKUP(JI$1,generator!$B$2:$B$295,generator!$K$2:$K$295,"ARGH")</f>
        <v>165</v>
      </c>
      <c r="JJ19" s="3">
        <f>_xlfn.XLOOKUP(JJ$1,generator!$B$2:$B$295,generator!$K$2:$K$295,"ARGH")</f>
        <v>4.5999999999999996</v>
      </c>
      <c r="JK19" s="3">
        <f>_xlfn.XLOOKUP(JK$1,generator!$B$2:$B$295,generator!$K$2:$K$295,"ARGH")</f>
        <v>4.5999999999999996</v>
      </c>
      <c r="JL19" s="3">
        <f>_xlfn.XLOOKUP(JL$1,generator!$B$2:$B$295,generator!$K$2:$K$295,"ARGH")</f>
        <v>4.5999999999999996</v>
      </c>
      <c r="JM19" s="3">
        <f>_xlfn.XLOOKUP(JM$1,generator!$B$2:$B$295,generator!$K$2:$K$295,"ARGH")</f>
        <v>4.5999999999999996</v>
      </c>
      <c r="JN19" s="3">
        <f>_xlfn.XLOOKUP(JN$1,generator!$B$2:$B$295,generator!$K$2:$K$295,"ARGH")</f>
        <v>4.5999999999999996</v>
      </c>
      <c r="JO19" s="3">
        <f>_xlfn.XLOOKUP(JO$1,generator!$B$2:$B$295,generator!$K$2:$K$295,"ARGH")</f>
        <v>4.5999999999999996</v>
      </c>
      <c r="JP19" s="3">
        <f>_xlfn.XLOOKUP(JP$1,generator!$B$2:$B$295,generator!$K$2:$K$295,"ARGH")</f>
        <v>110</v>
      </c>
      <c r="JQ19" s="3">
        <f>_xlfn.XLOOKUP(JQ$1,generator!$B$2:$B$295,generator!$K$2:$K$295,"ARGH")</f>
        <v>22.7</v>
      </c>
      <c r="JR19" s="3">
        <f>_xlfn.XLOOKUP(JR$1,generator!$B$2:$B$295,generator!$K$2:$K$295,"ARGH")</f>
        <v>147</v>
      </c>
      <c r="JS19" s="3">
        <f>_xlfn.XLOOKUP(JS$1,generator!$B$2:$B$295,generator!$K$2:$K$295,"ARGH")</f>
        <v>147</v>
      </c>
      <c r="JT19" s="3">
        <f>_xlfn.XLOOKUP(JT$1,generator!$B$2:$B$295,generator!$K$2:$K$295,"ARGH")</f>
        <v>22.7</v>
      </c>
      <c r="JU19" s="3">
        <f>_xlfn.XLOOKUP(JU$1,generator!$B$2:$B$295,generator!$K$2:$K$295,"ARGH")</f>
        <v>21.5</v>
      </c>
      <c r="JV19" s="3">
        <f>_xlfn.XLOOKUP(JV$1,generator!$B$2:$B$295,generator!$K$2:$K$295,"ARGH")</f>
        <v>120</v>
      </c>
      <c r="JW19" s="3">
        <f>_xlfn.XLOOKUP(JW$1,generator!$B$2:$B$295,generator!$K$2:$K$295,"ARGH")</f>
        <v>120</v>
      </c>
      <c r="JX19" s="3">
        <f>_xlfn.XLOOKUP(JX$1,generator!$B$2:$B$295,generator!$K$2:$K$295,"ARGH")</f>
        <v>1</v>
      </c>
      <c r="JY19" s="3">
        <f>_xlfn.XLOOKUP(JY$1,generator!$B$2:$B$295,generator!$K$2:$K$295,"ARGH")</f>
        <v>41.15</v>
      </c>
      <c r="JZ19" s="3">
        <f>_xlfn.XLOOKUP(JZ$1,generator!$B$2:$B$295,generator!$K$2:$K$295,"ARGH")</f>
        <v>5</v>
      </c>
      <c r="KA19" s="3">
        <f>_xlfn.XLOOKUP(KA$1,generator!$B$2:$B$295,generator!$K$2:$K$295,"ARGH")</f>
        <v>5</v>
      </c>
      <c r="KB19" s="3">
        <f>_xlfn.XLOOKUP(KB$1,generator!$B$2:$B$295,generator!$K$2:$K$295,"ARGH")</f>
        <v>5</v>
      </c>
      <c r="KC19" s="3">
        <f>_xlfn.XLOOKUP(KC$1,generator!$B$2:$B$295,generator!$K$2:$K$295,"ARGH")</f>
        <v>5</v>
      </c>
    </row>
    <row r="20" spans="1:289" x14ac:dyDescent="0.3">
      <c r="A20" s="4" t="s">
        <v>3015</v>
      </c>
      <c r="B20" s="31">
        <v>457.5</v>
      </c>
      <c r="C20" s="31">
        <v>513.5</v>
      </c>
      <c r="D20" s="31">
        <v>442</v>
      </c>
      <c r="E20" s="3">
        <f>_xlfn.XLOOKUP(E$1,generator!$B$2:$B$295,generator!$K$2:$K$295,"ARGH")</f>
        <v>0</v>
      </c>
      <c r="F20" s="3">
        <f>_xlfn.XLOOKUP(F$1,generator!$B$2:$B$295,generator!$K$2:$K$295,"ARGH")</f>
        <v>0</v>
      </c>
      <c r="G20" s="3">
        <f>_xlfn.XLOOKUP(G$1,generator!$B$2:$B$295,generator!$K$2:$K$295,"ARGH")</f>
        <v>0</v>
      </c>
      <c r="H20" s="3">
        <f>_xlfn.XLOOKUP(H$1,generator!$B$2:$B$295,generator!$K$2:$K$295,"ARGH")</f>
        <v>0</v>
      </c>
      <c r="I20" s="3">
        <f>_xlfn.XLOOKUP(I$1,generator!$B$2:$B$295,generator!$K$2:$K$295,"ARGH")</f>
        <v>0</v>
      </c>
      <c r="J20" s="3">
        <f>_xlfn.XLOOKUP(J$1,generator!$B$2:$B$295,generator!$K$2:$K$295,"ARGH")</f>
        <v>0</v>
      </c>
      <c r="K20" s="3">
        <f>_xlfn.XLOOKUP(K$1,generator!$B$2:$B$295,generator!$K$2:$K$295,"ARGH")</f>
        <v>0</v>
      </c>
      <c r="L20" s="3">
        <f>_xlfn.XLOOKUP(L$1,generator!$B$2:$B$295,generator!$K$2:$K$295,"ARGH")</f>
        <v>0</v>
      </c>
      <c r="M20" s="3">
        <f>_xlfn.XLOOKUP(M$1,generator!$B$2:$B$295,generator!$K$2:$K$295,"ARGH")</f>
        <v>0</v>
      </c>
      <c r="N20" s="3">
        <f>_xlfn.XLOOKUP(N$1,generator!$B$2:$B$295,generator!$K$2:$K$295,"ARGH")</f>
        <v>0</v>
      </c>
      <c r="O20" s="3">
        <f>_xlfn.XLOOKUP(O$1,generator!$B$2:$B$295,generator!$K$2:$K$295,"ARGH")</f>
        <v>0</v>
      </c>
      <c r="P20" s="3">
        <f>_xlfn.XLOOKUP(P$1,generator!$B$2:$B$295,generator!$K$2:$K$295,"ARGH")</f>
        <v>0</v>
      </c>
      <c r="Q20" s="3">
        <f>_xlfn.XLOOKUP(Q$1,generator!$B$2:$B$295,generator!$K$2:$K$295,"ARGH")</f>
        <v>0</v>
      </c>
      <c r="R20" s="3">
        <f>_xlfn.XLOOKUP(R$1,generator!$B$2:$B$295,generator!$K$2:$K$295,"ARGH")</f>
        <v>0</v>
      </c>
      <c r="S20" s="3">
        <f>_xlfn.XLOOKUP(S$1,generator!$B$2:$B$295,generator!$K$2:$K$295,"ARGH")</f>
        <v>0</v>
      </c>
      <c r="T20" s="3">
        <f>_xlfn.XLOOKUP(T$1,generator!$B$2:$B$295,generator!$K$2:$K$295,"ARGH")</f>
        <v>0</v>
      </c>
      <c r="U20" s="3">
        <f>_xlfn.XLOOKUP(U$1,generator!$B$2:$B$295,generator!$K$2:$K$295,"ARGH")</f>
        <v>0</v>
      </c>
      <c r="V20" s="3">
        <f>_xlfn.XLOOKUP(V$1,generator!$B$2:$B$295,generator!$K$2:$K$295,"ARGH")</f>
        <v>0</v>
      </c>
      <c r="W20" s="3">
        <f>_xlfn.XLOOKUP(W$1,generator!$B$2:$B$295,generator!$K$2:$K$295,"ARGH")</f>
        <v>0</v>
      </c>
      <c r="X20" s="3">
        <f>_xlfn.XLOOKUP(X$1,generator!$B$2:$B$295,generator!$K$2:$K$295,"ARGH")</f>
        <v>0</v>
      </c>
      <c r="Y20" s="3">
        <f>_xlfn.XLOOKUP(Y$1,generator!$B$2:$B$295,generator!$K$2:$K$295,"ARGH")</f>
        <v>0</v>
      </c>
      <c r="Z20" s="3">
        <f>_xlfn.XLOOKUP(Z$1,generator!$B$2:$B$295,generator!$K$2:$K$295,"ARGH")</f>
        <v>0</v>
      </c>
      <c r="AA20" s="3">
        <f>_xlfn.XLOOKUP(AA$1,generator!$B$2:$B$295,generator!$K$2:$K$295,"ARGH")</f>
        <v>0</v>
      </c>
      <c r="AB20" s="3">
        <f>_xlfn.XLOOKUP(AB$1,generator!$B$2:$B$295,generator!$K$2:$K$295,"ARGH")</f>
        <v>0</v>
      </c>
      <c r="AC20" s="3">
        <f>_xlfn.XLOOKUP(AC$1,generator!$B$2:$B$295,generator!$K$2:$K$295,"ARGH")</f>
        <v>0</v>
      </c>
      <c r="AD20" s="3">
        <f>_xlfn.XLOOKUP(AD$1,generator!$B$2:$B$295,generator!$K$2:$K$295,"ARGH")</f>
        <v>0</v>
      </c>
      <c r="AE20" s="3">
        <f>_xlfn.XLOOKUP(AE$1,generator!$B$2:$B$295,generator!$K$2:$K$295,"ARGH")</f>
        <v>0</v>
      </c>
      <c r="AF20" s="3">
        <f>_xlfn.XLOOKUP(AF$1,generator!$B$2:$B$295,generator!$K$2:$K$295,"ARGH")</f>
        <v>0</v>
      </c>
      <c r="AG20" s="3">
        <f>_xlfn.XLOOKUP(AG$1,generator!$B$2:$B$295,generator!$K$2:$K$295,"ARGH")</f>
        <v>0</v>
      </c>
      <c r="AH20" s="3">
        <f>_xlfn.XLOOKUP(AH$1,generator!$B$2:$B$295,generator!$K$2:$K$295,"ARGH")</f>
        <v>0</v>
      </c>
      <c r="AI20" s="3">
        <f>_xlfn.XLOOKUP(AI$1,generator!$B$2:$B$295,generator!$K$2:$K$295,"ARGH")</f>
        <v>0</v>
      </c>
      <c r="AJ20" s="3">
        <f>_xlfn.XLOOKUP(AJ$1,generator!$B$2:$B$295,generator!$K$2:$K$295,"ARGH")</f>
        <v>0</v>
      </c>
      <c r="AK20" s="3">
        <f>_xlfn.XLOOKUP(AK$1,generator!$B$2:$B$295,generator!$K$2:$K$295,"ARGH")</f>
        <v>0</v>
      </c>
      <c r="AL20" s="3">
        <f>_xlfn.XLOOKUP(AL$1,generator!$B$2:$B$295,generator!$K$2:$K$295,"ARGH")</f>
        <v>0</v>
      </c>
      <c r="AM20" s="3">
        <f>_xlfn.XLOOKUP(AM$1,generator!$B$2:$B$295,generator!$K$2:$K$295,"ARGH")</f>
        <v>0</v>
      </c>
      <c r="AN20" s="3">
        <f>_xlfn.XLOOKUP(AN$1,generator!$B$2:$B$295,generator!$K$2:$K$295,"ARGH")</f>
        <v>0</v>
      </c>
      <c r="AO20" s="3">
        <f>_xlfn.XLOOKUP(AO$1,generator!$B$2:$B$295,generator!$K$2:$K$295,"ARGH")</f>
        <v>0</v>
      </c>
      <c r="AP20" s="3">
        <f>_xlfn.XLOOKUP(AP$1,generator!$B$2:$B$295,generator!$K$2:$K$295,"ARGH")</f>
        <v>0</v>
      </c>
      <c r="AQ20" s="3">
        <f>_xlfn.XLOOKUP(AQ$1,generator!$B$2:$B$295,generator!$K$2:$K$295,"ARGH")</f>
        <v>0</v>
      </c>
      <c r="AR20" s="3">
        <f>_xlfn.XLOOKUP(AR$1,generator!$B$2:$B$295,generator!$K$2:$K$295,"ARGH")</f>
        <v>0</v>
      </c>
      <c r="AS20" s="3">
        <f>_xlfn.XLOOKUP(AS$1,generator!$B$2:$B$295,generator!$K$2:$K$295,"ARGH")</f>
        <v>0</v>
      </c>
      <c r="AT20" s="3">
        <f>_xlfn.XLOOKUP(AT$1,generator!$B$2:$B$295,generator!$K$2:$K$295,"ARGH")</f>
        <v>0</v>
      </c>
      <c r="AU20" s="3">
        <f>_xlfn.XLOOKUP(AU$1,generator!$B$2:$B$295,generator!$K$2:$K$295,"ARGH")</f>
        <v>0</v>
      </c>
      <c r="AV20" s="3">
        <f>_xlfn.XLOOKUP(AV$1,generator!$B$2:$B$295,generator!$K$2:$K$295,"ARGH")</f>
        <v>0</v>
      </c>
      <c r="AW20" s="3">
        <f>_xlfn.XLOOKUP(AW$1,generator!$B$2:$B$295,generator!$K$2:$K$295,"ARGH")</f>
        <v>0</v>
      </c>
      <c r="AX20" s="3">
        <f>_xlfn.XLOOKUP(AX$1,generator!$B$2:$B$295,generator!$K$2:$K$295,"ARGH")</f>
        <v>0</v>
      </c>
      <c r="AY20" s="3">
        <f>_xlfn.XLOOKUP(AY$1,generator!$B$2:$B$295,generator!$K$2:$K$295,"ARGH")</f>
        <v>0</v>
      </c>
      <c r="AZ20" s="3">
        <f>_xlfn.XLOOKUP(AZ$1,generator!$B$2:$B$295,generator!$K$2:$K$295,"ARGH")</f>
        <v>0</v>
      </c>
      <c r="BA20" s="3">
        <f>_xlfn.XLOOKUP(BA$1,generator!$B$2:$B$295,generator!$K$2:$K$295,"ARGH")</f>
        <v>0</v>
      </c>
      <c r="BB20" s="3">
        <f>_xlfn.XLOOKUP(BB$1,generator!$B$2:$B$295,generator!$K$2:$K$295,"ARGH")</f>
        <v>0</v>
      </c>
      <c r="BC20" s="3">
        <f>_xlfn.XLOOKUP(BC$1,generator!$B$2:$B$295,generator!$K$2:$K$295,"ARGH")</f>
        <v>0</v>
      </c>
      <c r="BD20" s="3">
        <f>_xlfn.XLOOKUP(BD$1,generator!$B$2:$B$295,generator!$K$2:$K$295,"ARGH")</f>
        <v>0</v>
      </c>
      <c r="BE20" s="3">
        <f>_xlfn.XLOOKUP(BE$1,generator!$B$2:$B$295,generator!$K$2:$K$295,"ARGH")</f>
        <v>0</v>
      </c>
      <c r="BF20" s="3">
        <f>_xlfn.XLOOKUP(BF$1,generator!$B$2:$B$295,generator!$K$2:$K$295,"ARGH")</f>
        <v>0</v>
      </c>
      <c r="BG20" s="3">
        <f>_xlfn.XLOOKUP(BG$1,generator!$B$2:$B$295,generator!$K$2:$K$295,"ARGH")</f>
        <v>0</v>
      </c>
      <c r="BH20" s="3">
        <f>_xlfn.XLOOKUP(BH$1,generator!$B$2:$B$295,generator!$K$2:$K$295,"ARGH")</f>
        <v>0</v>
      </c>
      <c r="BI20" s="3">
        <f>_xlfn.XLOOKUP(BI$1,generator!$B$2:$B$295,generator!$K$2:$K$295,"ARGH")</f>
        <v>0</v>
      </c>
      <c r="BJ20" s="3">
        <f>_xlfn.XLOOKUP(BJ$1,generator!$B$2:$B$295,generator!$K$2:$K$295,"ARGH")</f>
        <v>0</v>
      </c>
      <c r="BK20" s="3">
        <f>_xlfn.XLOOKUP(BK$1,generator!$B$2:$B$295,generator!$K$2:$K$295,"ARGH")</f>
        <v>0</v>
      </c>
      <c r="BL20" s="3">
        <f>_xlfn.XLOOKUP(BL$1,generator!$B$2:$B$295,generator!$K$2:$K$295,"ARGH")</f>
        <v>0</v>
      </c>
      <c r="BM20" s="3">
        <f>_xlfn.XLOOKUP(BM$1,generator!$B$2:$B$295,generator!$K$2:$K$295,"ARGH")</f>
        <v>0</v>
      </c>
      <c r="BN20" s="3">
        <f>_xlfn.XLOOKUP(BN$1,generator!$B$2:$B$295,generator!$K$2:$K$295,"ARGH")</f>
        <v>0</v>
      </c>
      <c r="BO20" s="3">
        <f>_xlfn.XLOOKUP(BO$1,generator!$B$2:$B$295,generator!$K$2:$K$295,"ARGH")</f>
        <v>0</v>
      </c>
      <c r="BP20" s="3">
        <f>_xlfn.XLOOKUP(BP$1,generator!$B$2:$B$295,generator!$K$2:$K$295,"ARGH")</f>
        <v>0</v>
      </c>
      <c r="BQ20" s="3">
        <f>_xlfn.XLOOKUP(BQ$1,generator!$B$2:$B$295,generator!$K$2:$K$295,"ARGH")</f>
        <v>0</v>
      </c>
      <c r="BR20" s="3">
        <f>_xlfn.XLOOKUP(BR$1,generator!$B$2:$B$295,generator!$K$2:$K$295,"ARGH")</f>
        <v>0</v>
      </c>
      <c r="BS20" s="3">
        <f>_xlfn.XLOOKUP(BS$1,generator!$B$2:$B$295,generator!$K$2:$K$295,"ARGH")</f>
        <v>0</v>
      </c>
      <c r="BT20" s="3">
        <f>_xlfn.XLOOKUP(BT$1,generator!$B$2:$B$295,generator!$K$2:$K$295,"ARGH")</f>
        <v>0</v>
      </c>
      <c r="BU20" s="3">
        <f>_xlfn.XLOOKUP(BU$1,generator!$B$2:$B$295,generator!$K$2:$K$295,"ARGH")</f>
        <v>0</v>
      </c>
      <c r="BV20" s="3">
        <f>_xlfn.XLOOKUP(BV$1,generator!$B$2:$B$295,generator!$K$2:$K$295,"ARGH")</f>
        <v>0</v>
      </c>
      <c r="BW20" s="3">
        <f>_xlfn.XLOOKUP(BW$1,generator!$B$2:$B$295,generator!$K$2:$K$295,"ARGH")</f>
        <v>0</v>
      </c>
      <c r="BX20" s="3">
        <f>_xlfn.XLOOKUP(BX$1,generator!$B$2:$B$295,generator!$K$2:$K$295,"ARGH")</f>
        <v>0</v>
      </c>
      <c r="BY20" s="3">
        <f>_xlfn.XLOOKUP(BY$1,generator!$B$2:$B$295,generator!$K$2:$K$295,"ARGH")</f>
        <v>0</v>
      </c>
      <c r="BZ20" s="3">
        <f>_xlfn.XLOOKUP(BZ$1,generator!$B$2:$B$295,generator!$K$2:$K$295,"ARGH")</f>
        <v>0</v>
      </c>
      <c r="CA20" s="3">
        <f>_xlfn.XLOOKUP(CA$1,generator!$B$2:$B$295,generator!$K$2:$K$295,"ARGH")</f>
        <v>0</v>
      </c>
      <c r="CB20" s="3">
        <f>_xlfn.XLOOKUP(CB$1,generator!$B$2:$B$295,generator!$K$2:$K$295,"ARGH")</f>
        <v>0</v>
      </c>
      <c r="CC20" s="3">
        <f>_xlfn.XLOOKUP(CC$1,generator!$B$2:$B$295,generator!$K$2:$K$295,"ARGH")</f>
        <v>0</v>
      </c>
      <c r="CD20" s="3">
        <f>_xlfn.XLOOKUP(CD$1,generator!$B$2:$B$295,generator!$K$2:$K$295,"ARGH")</f>
        <v>0</v>
      </c>
      <c r="CE20" s="3">
        <f>_xlfn.XLOOKUP(CE$1,generator!$B$2:$B$295,generator!$K$2:$K$295,"ARGH")</f>
        <v>0</v>
      </c>
      <c r="CF20" s="3">
        <f>_xlfn.XLOOKUP(CF$1,generator!$B$2:$B$295,generator!$K$2:$K$295,"ARGH")</f>
        <v>0</v>
      </c>
      <c r="CG20" s="3">
        <f>_xlfn.XLOOKUP(CG$1,generator!$B$2:$B$295,generator!$K$2:$K$295,"ARGH")</f>
        <v>0</v>
      </c>
      <c r="CH20" s="3">
        <f>_xlfn.XLOOKUP(CH$1,generator!$B$2:$B$295,generator!$K$2:$K$295,"ARGH")</f>
        <v>0</v>
      </c>
      <c r="CI20" s="3">
        <f>_xlfn.XLOOKUP(CI$1,generator!$B$2:$B$295,generator!$K$2:$K$295,"ARGH")</f>
        <v>0</v>
      </c>
      <c r="CJ20" s="3">
        <f>_xlfn.XLOOKUP(CJ$1,generator!$B$2:$B$295,generator!$K$2:$K$295,"ARGH")</f>
        <v>0</v>
      </c>
      <c r="CK20" s="3">
        <f>_xlfn.XLOOKUP(CK$1,generator!$B$2:$B$295,generator!$K$2:$K$295,"ARGH")</f>
        <v>0</v>
      </c>
      <c r="CL20" s="3">
        <f>_xlfn.XLOOKUP(CL$1,generator!$B$2:$B$295,generator!$K$2:$K$295,"ARGH")</f>
        <v>0</v>
      </c>
      <c r="CM20" s="3">
        <f>_xlfn.XLOOKUP(CM$1,generator!$B$2:$B$295,generator!$K$2:$K$295,"ARGH")</f>
        <v>0</v>
      </c>
      <c r="CN20" s="3">
        <f>_xlfn.XLOOKUP(CN$1,generator!$B$2:$B$295,generator!$K$2:$K$295,"ARGH")</f>
        <v>0</v>
      </c>
      <c r="CO20" s="3">
        <f>_xlfn.XLOOKUP(CO$1,generator!$B$2:$B$295,generator!$K$2:$K$295,"ARGH")</f>
        <v>0</v>
      </c>
      <c r="CP20" s="3">
        <f>_xlfn.XLOOKUP(CP$1,generator!$B$2:$B$295,generator!$K$2:$K$295,"ARGH")</f>
        <v>0</v>
      </c>
      <c r="CQ20" s="3">
        <f>_xlfn.XLOOKUP(CQ$1,generator!$B$2:$B$295,generator!$K$2:$K$295,"ARGH")</f>
        <v>0</v>
      </c>
      <c r="CR20" s="3">
        <f>_xlfn.XLOOKUP(CR$1,generator!$B$2:$B$295,generator!$K$2:$K$295,"ARGH")</f>
        <v>0</v>
      </c>
      <c r="CS20" s="3">
        <f>_xlfn.XLOOKUP(CS$1,generator!$B$2:$B$295,generator!$K$2:$K$295,"ARGH")</f>
        <v>0</v>
      </c>
      <c r="CT20" s="3">
        <f>_xlfn.XLOOKUP(CT$1,generator!$B$2:$B$295,generator!$K$2:$K$295,"ARGH")</f>
        <v>0</v>
      </c>
      <c r="CU20" s="3">
        <f>_xlfn.XLOOKUP(CU$1,generator!$B$2:$B$295,generator!$K$2:$K$295,"ARGH")</f>
        <v>0</v>
      </c>
      <c r="CV20" s="3">
        <f>_xlfn.XLOOKUP(CV$1,generator!$B$2:$B$295,generator!$K$2:$K$295,"ARGH")</f>
        <v>0</v>
      </c>
      <c r="CW20" s="3">
        <f>_xlfn.XLOOKUP(CW$1,generator!$B$2:$B$295,generator!$K$2:$K$295,"ARGH")</f>
        <v>0</v>
      </c>
      <c r="CX20" s="3">
        <f>_xlfn.XLOOKUP(CX$1,generator!$B$2:$B$295,generator!$K$2:$K$295,"ARGH")</f>
        <v>0</v>
      </c>
      <c r="CY20" s="3">
        <f>_xlfn.XLOOKUP(CY$1,generator!$B$2:$B$295,generator!$K$2:$K$295,"ARGH")</f>
        <v>0</v>
      </c>
      <c r="CZ20" s="3">
        <f>_xlfn.XLOOKUP(CZ$1,generator!$B$2:$B$295,generator!$K$2:$K$295,"ARGH")</f>
        <v>0</v>
      </c>
      <c r="DA20" s="3">
        <f>_xlfn.XLOOKUP(DA$1,generator!$B$2:$B$295,generator!$K$2:$K$295,"ARGH")</f>
        <v>0</v>
      </c>
      <c r="DB20" s="3">
        <f>_xlfn.XLOOKUP(DB$1,generator!$B$2:$B$295,generator!$K$2:$K$295,"ARGH")</f>
        <v>0</v>
      </c>
      <c r="DC20" s="3">
        <f>_xlfn.XLOOKUP(DC$1,generator!$B$2:$B$295,generator!$K$2:$K$295,"ARGH")</f>
        <v>0</v>
      </c>
      <c r="DD20" s="3">
        <f>_xlfn.XLOOKUP(DD$1,generator!$B$2:$B$295,generator!$K$2:$K$295,"ARGH")</f>
        <v>0</v>
      </c>
      <c r="DE20" s="3">
        <f>_xlfn.XLOOKUP(DE$1,generator!$B$2:$B$295,generator!$K$2:$K$295,"ARGH")</f>
        <v>0</v>
      </c>
      <c r="DF20" s="3">
        <f>_xlfn.XLOOKUP(DF$1,generator!$B$2:$B$295,generator!$K$2:$K$295,"ARGH")</f>
        <v>0</v>
      </c>
      <c r="DG20" s="3">
        <f>_xlfn.XLOOKUP(DG$1,generator!$B$2:$B$295,generator!$K$2:$K$295,"ARGH")</f>
        <v>0</v>
      </c>
      <c r="DH20" s="3">
        <f>_xlfn.XLOOKUP(DH$1,generator!$B$2:$B$295,generator!$K$2:$K$295,"ARGH")</f>
        <v>0</v>
      </c>
      <c r="DI20" s="3">
        <f>_xlfn.XLOOKUP(DI$1,generator!$B$2:$B$295,generator!$K$2:$K$295,"ARGH")</f>
        <v>0</v>
      </c>
      <c r="DJ20" s="3">
        <f>_xlfn.XLOOKUP(DJ$1,generator!$B$2:$B$295,generator!$K$2:$K$295,"ARGH")</f>
        <v>0</v>
      </c>
      <c r="DK20" s="3">
        <f>_xlfn.XLOOKUP(DK$1,generator!$B$2:$B$295,generator!$K$2:$K$295,"ARGH")</f>
        <v>0</v>
      </c>
      <c r="DL20" s="3">
        <f>_xlfn.XLOOKUP(DL$1,generator!$B$2:$B$295,generator!$K$2:$K$295,"ARGH")</f>
        <v>0</v>
      </c>
      <c r="DM20" s="3">
        <f>_xlfn.XLOOKUP(DM$1,generator!$B$2:$B$295,generator!$K$2:$K$295,"ARGH")</f>
        <v>0</v>
      </c>
      <c r="DN20" s="3">
        <f>_xlfn.XLOOKUP(DN$1,generator!$B$2:$B$295,generator!$K$2:$K$295,"ARGH")</f>
        <v>0</v>
      </c>
      <c r="DO20" s="3">
        <f>_xlfn.XLOOKUP(DO$1,generator!$B$2:$B$295,generator!$K$2:$K$295,"ARGH")</f>
        <v>0</v>
      </c>
      <c r="DP20" s="3">
        <f>_xlfn.XLOOKUP(DP$1,generator!$B$2:$B$295,generator!$K$2:$K$295,"ARGH")</f>
        <v>0</v>
      </c>
      <c r="DQ20" s="3">
        <f>_xlfn.XLOOKUP(DQ$1,generator!$B$2:$B$295,generator!$K$2:$K$295,"ARGH")</f>
        <v>0</v>
      </c>
      <c r="DR20" s="3">
        <f>_xlfn.XLOOKUP(DR$1,generator!$B$2:$B$295,generator!$K$2:$K$295,"ARGH")</f>
        <v>0</v>
      </c>
      <c r="DS20" s="3">
        <f>_xlfn.XLOOKUP(DS$1,generator!$B$2:$B$295,generator!$K$2:$K$295,"ARGH")</f>
        <v>0</v>
      </c>
      <c r="DT20" s="3">
        <f>_xlfn.XLOOKUP(DT$1,generator!$B$2:$B$295,generator!$K$2:$K$295,"ARGH")</f>
        <v>0</v>
      </c>
      <c r="DU20" s="3">
        <f>_xlfn.XLOOKUP(DU$1,generator!$B$2:$B$295,generator!$K$2:$K$295,"ARGH")</f>
        <v>0</v>
      </c>
      <c r="DV20" s="3">
        <f>_xlfn.XLOOKUP(DV$1,generator!$B$2:$B$295,generator!$K$2:$K$295,"ARGH")</f>
        <v>0</v>
      </c>
      <c r="DW20" s="3">
        <f>_xlfn.XLOOKUP(DW$1,generator!$B$2:$B$295,generator!$K$2:$K$295,"ARGH")</f>
        <v>0</v>
      </c>
      <c r="DX20" s="3">
        <f>_xlfn.XLOOKUP(DX$1,generator!$B$2:$B$295,generator!$K$2:$K$295,"ARGH")</f>
        <v>0</v>
      </c>
      <c r="DY20" s="3">
        <f>_xlfn.XLOOKUP(DY$1,generator!$B$2:$B$295,generator!$K$2:$K$295,"ARGH")</f>
        <v>0</v>
      </c>
      <c r="DZ20" s="3">
        <f>_xlfn.XLOOKUP(DZ$1,generator!$B$2:$B$295,generator!$K$2:$K$295,"ARGH")</f>
        <v>0</v>
      </c>
      <c r="EA20" s="3">
        <f>_xlfn.XLOOKUP(EA$1,generator!$B$2:$B$295,generator!$K$2:$K$295,"ARGH")</f>
        <v>0</v>
      </c>
      <c r="EB20" s="3">
        <f>_xlfn.XLOOKUP(EB$1,generator!$B$2:$B$295,generator!$K$2:$K$295,"ARGH")</f>
        <v>0</v>
      </c>
      <c r="EC20" s="3">
        <f>_xlfn.XLOOKUP(EC$1,generator!$B$2:$B$295,generator!$K$2:$K$295,"ARGH")</f>
        <v>0</v>
      </c>
      <c r="ED20" s="3">
        <f>_xlfn.XLOOKUP(ED$1,generator!$B$2:$B$295,generator!$K$2:$K$295,"ARGH")</f>
        <v>0</v>
      </c>
      <c r="EE20" s="3">
        <f>_xlfn.XLOOKUP(EE$1,generator!$B$2:$B$295,generator!$K$2:$K$295,"ARGH")</f>
        <v>0</v>
      </c>
      <c r="EF20" s="3">
        <f>_xlfn.XLOOKUP(EF$1,generator!$B$2:$B$295,generator!$K$2:$K$295,"ARGH")</f>
        <v>0</v>
      </c>
      <c r="EG20" s="3">
        <f>_xlfn.XLOOKUP(EG$1,generator!$B$2:$B$295,generator!$K$2:$K$295,"ARGH")</f>
        <v>0</v>
      </c>
      <c r="EH20" s="3">
        <f>_xlfn.XLOOKUP(EH$1,generator!$B$2:$B$295,generator!$K$2:$K$295,"ARGH")</f>
        <v>0</v>
      </c>
      <c r="EI20" s="3">
        <f>_xlfn.XLOOKUP(EI$1,generator!$B$2:$B$295,generator!$K$2:$K$295,"ARGH")</f>
        <v>0</v>
      </c>
      <c r="EJ20" s="3">
        <f>_xlfn.XLOOKUP(EJ$1,generator!$B$2:$B$295,generator!$K$2:$K$295,"ARGH")</f>
        <v>0</v>
      </c>
      <c r="EK20" s="3">
        <f>_xlfn.XLOOKUP(EK$1,generator!$B$2:$B$295,generator!$K$2:$K$295,"ARGH")</f>
        <v>0</v>
      </c>
      <c r="EL20" s="3">
        <f>_xlfn.XLOOKUP(EL$1,generator!$B$2:$B$295,generator!$K$2:$K$295,"ARGH")</f>
        <v>0</v>
      </c>
      <c r="EM20" s="3">
        <f>_xlfn.XLOOKUP(EM$1,generator!$B$2:$B$295,generator!$K$2:$K$295,"ARGH")</f>
        <v>0</v>
      </c>
      <c r="EN20" s="3">
        <f>_xlfn.XLOOKUP(EN$1,generator!$B$2:$B$295,generator!$K$2:$K$295,"ARGH")</f>
        <v>0</v>
      </c>
      <c r="EO20" s="3">
        <f>_xlfn.XLOOKUP(EO$1,generator!$B$2:$B$295,generator!$K$2:$K$295,"ARGH")</f>
        <v>0</v>
      </c>
      <c r="EP20" s="3">
        <f>_xlfn.XLOOKUP(EP$1,generator!$B$2:$B$295,generator!$K$2:$K$295,"ARGH")</f>
        <v>0</v>
      </c>
      <c r="EQ20" s="3">
        <f>_xlfn.XLOOKUP(EQ$1,generator!$B$2:$B$295,generator!$K$2:$K$295,"ARGH")</f>
        <v>0</v>
      </c>
      <c r="ER20" s="3">
        <f>_xlfn.XLOOKUP(ER$1,generator!$B$2:$B$295,generator!$K$2:$K$295,"ARGH")</f>
        <v>0</v>
      </c>
      <c r="ES20" s="3">
        <f>_xlfn.XLOOKUP(ES$1,generator!$B$2:$B$295,generator!$K$2:$K$295,"ARGH")</f>
        <v>0</v>
      </c>
      <c r="ET20" s="3">
        <f>_xlfn.XLOOKUP(ET$1,generator!$B$2:$B$295,generator!$K$2:$K$295,"ARGH")</f>
        <v>0</v>
      </c>
      <c r="EU20" s="3">
        <f>_xlfn.XLOOKUP(EU$1,generator!$B$2:$B$295,generator!$K$2:$K$295,"ARGH")</f>
        <v>0</v>
      </c>
      <c r="EV20" s="3">
        <f>_xlfn.XLOOKUP(EV$1,generator!$B$2:$B$295,generator!$K$2:$K$295,"ARGH")</f>
        <v>0</v>
      </c>
      <c r="EW20" s="3">
        <f>_xlfn.XLOOKUP(EW$1,generator!$B$2:$B$295,generator!$K$2:$K$295,"ARGH")</f>
        <v>0</v>
      </c>
      <c r="EX20" s="3">
        <f>_xlfn.XLOOKUP(EX$1,generator!$B$2:$B$295,generator!$K$2:$K$295,"ARGH")</f>
        <v>0</v>
      </c>
      <c r="EY20" s="3">
        <f>_xlfn.XLOOKUP(EY$1,generator!$B$2:$B$295,generator!$K$2:$K$295,"ARGH")</f>
        <v>0</v>
      </c>
      <c r="EZ20" s="3">
        <f>_xlfn.XLOOKUP(EZ$1,generator!$B$2:$B$295,generator!$K$2:$K$295,"ARGH")</f>
        <v>0</v>
      </c>
      <c r="FA20" s="3">
        <f>_xlfn.XLOOKUP(FA$1,generator!$B$2:$B$295,generator!$K$2:$K$295,"ARGH")</f>
        <v>0</v>
      </c>
      <c r="FB20" s="3">
        <f>_xlfn.XLOOKUP(FB$1,generator!$B$2:$B$295,generator!$K$2:$K$295,"ARGH")</f>
        <v>0</v>
      </c>
      <c r="FC20" s="3">
        <f>_xlfn.XLOOKUP(FC$1,generator!$B$2:$B$295,generator!$K$2:$K$295,"ARGH")</f>
        <v>0</v>
      </c>
      <c r="FD20" s="3">
        <f>_xlfn.XLOOKUP(FD$1,generator!$B$2:$B$295,generator!$K$2:$K$295,"ARGH")</f>
        <v>0</v>
      </c>
      <c r="FE20" s="3">
        <f>_xlfn.XLOOKUP(FE$1,generator!$B$2:$B$295,generator!$K$2:$K$295,"ARGH")</f>
        <v>0</v>
      </c>
      <c r="FF20" s="3">
        <f>_xlfn.XLOOKUP(FF$1,generator!$B$2:$B$295,generator!$K$2:$K$295,"ARGH")</f>
        <v>0</v>
      </c>
      <c r="FG20" s="3">
        <f>_xlfn.XLOOKUP(FG$1,generator!$B$2:$B$295,generator!$K$2:$K$295,"ARGH")</f>
        <v>0</v>
      </c>
      <c r="FH20" s="3">
        <f>_xlfn.XLOOKUP(FH$1,generator!$B$2:$B$295,generator!$K$2:$K$295,"ARGH")</f>
        <v>0</v>
      </c>
      <c r="FI20" s="3">
        <f>_xlfn.XLOOKUP(FI$1,generator!$B$2:$B$295,generator!$K$2:$K$295,"ARGH")</f>
        <v>0</v>
      </c>
      <c r="FJ20" s="3">
        <f>_xlfn.XLOOKUP(FJ$1,generator!$B$2:$B$295,generator!$K$2:$K$295,"ARGH")</f>
        <v>0</v>
      </c>
      <c r="FK20" s="3">
        <f>_xlfn.XLOOKUP(FK$1,generator!$B$2:$B$295,generator!$K$2:$K$295,"ARGH")</f>
        <v>0</v>
      </c>
      <c r="FL20" s="3">
        <f>_xlfn.XLOOKUP(FL$1,generator!$B$2:$B$295,generator!$K$2:$K$295,"ARGH")</f>
        <v>0</v>
      </c>
      <c r="FM20" s="3">
        <f>_xlfn.XLOOKUP(FM$1,generator!$B$2:$B$295,generator!$K$2:$K$295,"ARGH")</f>
        <v>0</v>
      </c>
      <c r="FN20" s="3">
        <f>_xlfn.XLOOKUP(FN$1,generator!$B$2:$B$295,generator!$K$2:$K$295,"ARGH")</f>
        <v>0</v>
      </c>
      <c r="FO20" s="3">
        <f>_xlfn.XLOOKUP(FO$1,generator!$B$2:$B$295,generator!$K$2:$K$295,"ARGH")</f>
        <v>0</v>
      </c>
      <c r="FP20" s="3">
        <f>_xlfn.XLOOKUP(FP$1,generator!$B$2:$B$295,generator!$K$2:$K$295,"ARGH")</f>
        <v>0</v>
      </c>
      <c r="FQ20" s="3">
        <f>_xlfn.XLOOKUP(FQ$1,generator!$B$2:$B$295,generator!$K$2:$K$295,"ARGH")</f>
        <v>0</v>
      </c>
      <c r="FR20" s="3">
        <f>_xlfn.XLOOKUP(FR$1,generator!$B$2:$B$295,generator!$K$2:$K$295,"ARGH")</f>
        <v>0</v>
      </c>
      <c r="FS20" s="3">
        <f>_xlfn.XLOOKUP(FS$1,generator!$B$2:$B$295,generator!$K$2:$K$295,"ARGH")</f>
        <v>0</v>
      </c>
      <c r="FT20" s="3">
        <f>_xlfn.XLOOKUP(FT$1,generator!$B$2:$B$295,generator!$K$2:$K$295,"ARGH")</f>
        <v>0</v>
      </c>
      <c r="FU20" s="3">
        <f>_xlfn.XLOOKUP(FU$1,generator!$B$2:$B$295,generator!$K$2:$K$295,"ARGH")</f>
        <v>0</v>
      </c>
      <c r="FV20" s="3">
        <f>_xlfn.XLOOKUP(FV$1,generator!$B$2:$B$295,generator!$K$2:$K$295,"ARGH")</f>
        <v>0</v>
      </c>
      <c r="FW20" s="3">
        <f>_xlfn.XLOOKUP(FW$1,generator!$B$2:$B$295,generator!$K$2:$K$295,"ARGH")</f>
        <v>0</v>
      </c>
      <c r="FX20" s="3">
        <f>_xlfn.XLOOKUP(FX$1,generator!$B$2:$B$295,generator!$K$2:$K$295,"ARGH")</f>
        <v>0</v>
      </c>
      <c r="FY20" s="3">
        <f>_xlfn.XLOOKUP(FY$1,generator!$B$2:$B$295,generator!$K$2:$K$295,"ARGH")</f>
        <v>0</v>
      </c>
      <c r="FZ20" s="3">
        <f>_xlfn.XLOOKUP(FZ$1,generator!$B$2:$B$295,generator!$K$2:$K$295,"ARGH")</f>
        <v>0</v>
      </c>
      <c r="GA20" s="3">
        <f>_xlfn.XLOOKUP(GA$1,generator!$B$2:$B$295,generator!$K$2:$K$295,"ARGH")</f>
        <v>0</v>
      </c>
      <c r="GB20" s="3">
        <f>_xlfn.XLOOKUP(GB$1,generator!$B$2:$B$295,generator!$K$2:$K$295,"ARGH")</f>
        <v>0</v>
      </c>
      <c r="GC20" s="3">
        <f>_xlfn.XLOOKUP(GC$1,generator!$B$2:$B$295,generator!$K$2:$K$295,"ARGH")</f>
        <v>0</v>
      </c>
      <c r="GD20" s="3">
        <f>_xlfn.XLOOKUP(GD$1,generator!$B$2:$B$295,generator!$K$2:$K$295,"ARGH")</f>
        <v>0</v>
      </c>
      <c r="GE20" s="3">
        <f>_xlfn.XLOOKUP(GE$1,generator!$B$2:$B$295,generator!$K$2:$K$295,"ARGH")</f>
        <v>0</v>
      </c>
      <c r="GF20" s="3">
        <f>_xlfn.XLOOKUP(GF$1,generator!$B$2:$B$295,generator!$K$2:$K$295,"ARGH")</f>
        <v>0</v>
      </c>
      <c r="GG20" s="3">
        <f>_xlfn.XLOOKUP(GG$1,generator!$B$2:$B$295,generator!$K$2:$K$295,"ARGH")</f>
        <v>0</v>
      </c>
      <c r="GH20" s="3">
        <f>_xlfn.XLOOKUP(GH$1,generator!$B$2:$B$295,generator!$K$2:$K$295,"ARGH")</f>
        <v>0</v>
      </c>
      <c r="GI20" s="3">
        <f>_xlfn.XLOOKUP(GI$1,generator!$B$2:$B$295,generator!$K$2:$K$295,"ARGH")</f>
        <v>0</v>
      </c>
      <c r="GJ20" s="3">
        <f>_xlfn.XLOOKUP(GJ$1,generator!$B$2:$B$295,generator!$K$2:$K$295,"ARGH")</f>
        <v>0</v>
      </c>
      <c r="GK20" s="3">
        <f>_xlfn.XLOOKUP(GK$1,generator!$B$2:$B$295,generator!$K$2:$K$295,"ARGH")</f>
        <v>0</v>
      </c>
      <c r="GL20" s="3">
        <f>_xlfn.XLOOKUP(GL$1,generator!$B$2:$B$295,generator!$K$2:$K$295,"ARGH")</f>
        <v>0</v>
      </c>
      <c r="GM20" s="3">
        <f>_xlfn.XLOOKUP(GM$1,generator!$B$2:$B$295,generator!$K$2:$K$295,"ARGH")</f>
        <v>0</v>
      </c>
      <c r="GN20" s="3">
        <f>_xlfn.XLOOKUP(GN$1,generator!$B$2:$B$295,generator!$K$2:$K$295,"ARGH")</f>
        <v>0</v>
      </c>
      <c r="GO20" s="3">
        <f>_xlfn.XLOOKUP(GO$1,generator!$B$2:$B$295,generator!$K$2:$K$295,"ARGH")</f>
        <v>0</v>
      </c>
      <c r="GP20" s="3">
        <f>_xlfn.XLOOKUP(GP$1,generator!$B$2:$B$295,generator!$K$2:$K$295,"ARGH")</f>
        <v>0</v>
      </c>
      <c r="GQ20" s="3">
        <f>_xlfn.XLOOKUP(GQ$1,generator!$B$2:$B$295,generator!$K$2:$K$295,"ARGH")</f>
        <v>0</v>
      </c>
      <c r="GR20" s="3">
        <f>_xlfn.XLOOKUP(GR$1,generator!$B$2:$B$295,generator!$K$2:$K$295,"ARGH")</f>
        <v>0</v>
      </c>
      <c r="GS20" s="3">
        <f>_xlfn.XLOOKUP(GS$1,generator!$B$2:$B$295,generator!$K$2:$K$295,"ARGH")</f>
        <v>0</v>
      </c>
      <c r="GT20" s="3">
        <f>_xlfn.XLOOKUP(GT$1,generator!$B$2:$B$295,generator!$K$2:$K$295,"ARGH")</f>
        <v>0</v>
      </c>
      <c r="GU20" s="3">
        <f>_xlfn.XLOOKUP(GU$1,generator!$B$2:$B$295,generator!$K$2:$K$295,"ARGH")</f>
        <v>0</v>
      </c>
      <c r="GV20" s="3">
        <f>_xlfn.XLOOKUP(GV$1,generator!$B$2:$B$295,generator!$K$2:$K$295,"ARGH")</f>
        <v>0</v>
      </c>
      <c r="GW20" s="3">
        <f>_xlfn.XLOOKUP(GW$1,generator!$B$2:$B$295,generator!$K$2:$K$295,"ARGH")</f>
        <v>0</v>
      </c>
      <c r="GX20" s="3">
        <f>_xlfn.XLOOKUP(GX$1,generator!$B$2:$B$295,generator!$K$2:$K$295,"ARGH")</f>
        <v>0</v>
      </c>
      <c r="GY20" s="3">
        <f>_xlfn.XLOOKUP(GY$1,generator!$B$2:$B$295,generator!$K$2:$K$295,"ARGH")</f>
        <v>0</v>
      </c>
      <c r="GZ20" s="3">
        <f>_xlfn.XLOOKUP(GZ$1,generator!$B$2:$B$295,generator!$K$2:$K$295,"ARGH")</f>
        <v>0</v>
      </c>
      <c r="HA20" s="3">
        <f>_xlfn.XLOOKUP(HA$1,generator!$B$2:$B$295,generator!$K$2:$K$295,"ARGH")</f>
        <v>0</v>
      </c>
      <c r="HB20" s="3">
        <f>_xlfn.XLOOKUP(HB$1,generator!$B$2:$B$295,generator!$K$2:$K$295,"ARGH")</f>
        <v>0</v>
      </c>
      <c r="HC20" s="3">
        <f>_xlfn.XLOOKUP(HC$1,generator!$B$2:$B$295,generator!$K$2:$K$295,"ARGH")</f>
        <v>0</v>
      </c>
      <c r="HD20" s="3">
        <f>_xlfn.XLOOKUP(HD$1,generator!$B$2:$B$295,generator!$K$2:$K$295,"ARGH")</f>
        <v>0</v>
      </c>
      <c r="HE20" s="3">
        <f>_xlfn.XLOOKUP(HE$1,generator!$B$2:$B$295,generator!$K$2:$K$295,"ARGH")</f>
        <v>12.74</v>
      </c>
      <c r="HF20" s="3">
        <f>_xlfn.XLOOKUP(HF$1,generator!$B$2:$B$295,generator!$K$2:$K$295,"ARGH")</f>
        <v>99</v>
      </c>
      <c r="HG20" s="3">
        <f>_xlfn.XLOOKUP(HG$1,generator!$B$2:$B$295,generator!$K$2:$K$295,"ARGH")</f>
        <v>99</v>
      </c>
      <c r="HH20" s="3">
        <f>_xlfn.XLOOKUP(HH$1,generator!$B$2:$B$295,generator!$K$2:$K$295,"ARGH")</f>
        <v>99</v>
      </c>
      <c r="HI20" s="3">
        <f>_xlfn.XLOOKUP(HI$1,generator!$B$2:$B$295,generator!$K$2:$K$295,"ARGH")</f>
        <v>8</v>
      </c>
      <c r="HJ20" s="3">
        <f>_xlfn.XLOOKUP(HJ$1,generator!$B$2:$B$295,generator!$K$2:$K$295,"ARGH")</f>
        <v>8</v>
      </c>
      <c r="HK20" s="3">
        <f>_xlfn.XLOOKUP(HK$1,generator!$B$2:$B$295,generator!$K$2:$K$295,"ARGH")</f>
        <v>8</v>
      </c>
      <c r="HL20" s="3">
        <f>_xlfn.XLOOKUP(HL$1,generator!$B$2:$B$295,generator!$K$2:$K$295,"ARGH")</f>
        <v>20</v>
      </c>
      <c r="HM20" s="3">
        <f>_xlfn.XLOOKUP(HM$1,generator!$B$2:$B$295,generator!$K$2:$K$295,"ARGH")</f>
        <v>20</v>
      </c>
      <c r="HN20" s="3">
        <f>_xlfn.XLOOKUP(HN$1,generator!$B$2:$B$295,generator!$K$2:$K$295,"ARGH")</f>
        <v>5</v>
      </c>
      <c r="HO20" s="3">
        <f>_xlfn.XLOOKUP(HO$1,generator!$B$2:$B$295,generator!$K$2:$K$295,"ARGH")</f>
        <v>5</v>
      </c>
      <c r="HP20" s="3">
        <f>_xlfn.XLOOKUP(HP$1,generator!$B$2:$B$295,generator!$K$2:$K$295,"ARGH")</f>
        <v>0.2</v>
      </c>
      <c r="HQ20" s="3">
        <f>_xlfn.XLOOKUP(HQ$1,generator!$B$2:$B$295,generator!$K$2:$K$295,"ARGH")</f>
        <v>5</v>
      </c>
      <c r="HR20" s="3">
        <f>_xlfn.XLOOKUP(HR$1,generator!$B$2:$B$295,generator!$K$2:$K$295,"ARGH")</f>
        <v>5</v>
      </c>
      <c r="HS20" s="3">
        <f>_xlfn.XLOOKUP(HS$1,generator!$B$2:$B$295,generator!$K$2:$K$295,"ARGH")</f>
        <v>12.82</v>
      </c>
      <c r="HT20" s="3">
        <f>_xlfn.XLOOKUP(HT$1,generator!$B$2:$B$295,generator!$K$2:$K$295,"ARGH")</f>
        <v>12.82</v>
      </c>
      <c r="HU20" s="3">
        <f>_xlfn.XLOOKUP(HU$1,generator!$B$2:$B$295,generator!$K$2:$K$295,"ARGH")</f>
        <v>25</v>
      </c>
      <c r="HV20" s="3">
        <f>_xlfn.XLOOKUP(HV$1,generator!$B$2:$B$295,generator!$K$2:$K$295,"ARGH")</f>
        <v>16</v>
      </c>
      <c r="HW20" s="3">
        <f>_xlfn.XLOOKUP(HW$1,generator!$B$2:$B$295,generator!$K$2:$K$295,"ARGH")</f>
        <v>5</v>
      </c>
      <c r="HX20" s="3">
        <f>_xlfn.XLOOKUP(HX$1,generator!$B$2:$B$295,generator!$K$2:$K$295,"ARGH")</f>
        <v>5</v>
      </c>
      <c r="HY20" s="3">
        <f>_xlfn.XLOOKUP(HY$1,generator!$B$2:$B$295,generator!$K$2:$K$295,"ARGH")</f>
        <v>63</v>
      </c>
      <c r="HZ20" s="3">
        <f>_xlfn.XLOOKUP(HZ$1,generator!$B$2:$B$295,generator!$K$2:$K$295,"ARGH")</f>
        <v>18</v>
      </c>
      <c r="IA20" s="3">
        <f>_xlfn.XLOOKUP(IA$1,generator!$B$2:$B$295,generator!$K$2:$K$295,"ARGH")</f>
        <v>121</v>
      </c>
      <c r="IB20" s="3">
        <f>_xlfn.XLOOKUP(IB$1,generator!$B$2:$B$295,generator!$K$2:$K$295,"ARGH")</f>
        <v>120</v>
      </c>
      <c r="IC20" s="3">
        <f>_xlfn.XLOOKUP(IC$1,generator!$B$2:$B$295,generator!$K$2:$K$295,"ARGH")</f>
        <v>0</v>
      </c>
      <c r="ID20" s="3">
        <f>_xlfn.XLOOKUP(ID$1,generator!$B$2:$B$295,generator!$K$2:$K$295,"ARGH")</f>
        <v>17</v>
      </c>
      <c r="IE20" s="3">
        <f>_xlfn.XLOOKUP(IE$1,generator!$B$2:$B$295,generator!$K$2:$K$295,"ARGH")</f>
        <v>194</v>
      </c>
      <c r="IF20" s="3">
        <f>_xlfn.XLOOKUP(IF$1,generator!$B$2:$B$295,generator!$K$2:$K$295,"ARGH")</f>
        <v>11.9</v>
      </c>
      <c r="IG20" s="3">
        <f>_xlfn.XLOOKUP(IG$1,generator!$B$2:$B$295,generator!$K$2:$K$295,"ARGH")</f>
        <v>11.9</v>
      </c>
      <c r="IH20" s="3">
        <f>_xlfn.XLOOKUP(IH$1,generator!$B$2:$B$295,generator!$K$2:$K$295,"ARGH")</f>
        <v>11.9</v>
      </c>
      <c r="II20" s="3">
        <f>_xlfn.XLOOKUP(II$1,generator!$B$2:$B$295,generator!$K$2:$K$295,"ARGH")</f>
        <v>11.9</v>
      </c>
      <c r="IJ20" s="3">
        <f>_xlfn.XLOOKUP(IJ$1,generator!$B$2:$B$295,generator!$K$2:$K$295,"ARGH")</f>
        <v>0</v>
      </c>
      <c r="IK20" s="3">
        <f>_xlfn.XLOOKUP(IK$1,generator!$B$2:$B$295,generator!$K$2:$K$295,"ARGH")</f>
        <v>3</v>
      </c>
      <c r="IL20" s="3">
        <f>_xlfn.XLOOKUP(IL$1,generator!$B$2:$B$295,generator!$K$2:$K$295,"ARGH")</f>
        <v>5</v>
      </c>
      <c r="IM20" s="3">
        <f>_xlfn.XLOOKUP(IM$1,generator!$B$2:$B$295,generator!$K$2:$K$295,"ARGH")</f>
        <v>5</v>
      </c>
      <c r="IN20" s="3">
        <f>_xlfn.XLOOKUP(IN$1,generator!$B$2:$B$295,generator!$K$2:$K$295,"ARGH")</f>
        <v>4</v>
      </c>
      <c r="IO20" s="3">
        <f>_xlfn.XLOOKUP(IO$1,generator!$B$2:$B$295,generator!$K$2:$K$295,"ARGH")</f>
        <v>4</v>
      </c>
      <c r="IP20" s="3">
        <f>_xlfn.XLOOKUP(IP$1,generator!$B$2:$B$295,generator!$K$2:$K$295,"ARGH")</f>
        <v>3</v>
      </c>
      <c r="IQ20" s="3">
        <f>_xlfn.XLOOKUP(IQ$1,generator!$B$2:$B$295,generator!$K$2:$K$295,"ARGH")</f>
        <v>1</v>
      </c>
      <c r="IR20" s="3">
        <f>_xlfn.XLOOKUP(IR$1,generator!$B$2:$B$295,generator!$K$2:$K$295,"ARGH")</f>
        <v>3</v>
      </c>
      <c r="IS20" s="3">
        <f>_xlfn.XLOOKUP(IS$1,generator!$B$2:$B$295,generator!$K$2:$K$295,"ARGH")</f>
        <v>3</v>
      </c>
      <c r="IT20" s="3">
        <f>_xlfn.XLOOKUP(IT$1,generator!$B$2:$B$295,generator!$K$2:$K$295,"ARGH")</f>
        <v>0</v>
      </c>
      <c r="IU20" s="3">
        <f>_xlfn.XLOOKUP(IU$1,generator!$B$2:$B$295,generator!$K$2:$K$295,"ARGH")</f>
        <v>3.99</v>
      </c>
      <c r="IV20" s="3">
        <f>_xlfn.XLOOKUP(IV$1,generator!$B$2:$B$295,generator!$K$2:$K$295,"ARGH")</f>
        <v>0.2</v>
      </c>
      <c r="IW20" s="3">
        <f>_xlfn.XLOOKUP(IW$1,generator!$B$2:$B$295,generator!$K$2:$K$295,"ARGH")</f>
        <v>15</v>
      </c>
      <c r="IX20" s="3">
        <f>_xlfn.XLOOKUP(IX$1,generator!$B$2:$B$295,generator!$K$2:$K$295,"ARGH")</f>
        <v>15</v>
      </c>
      <c r="IY20" s="3">
        <f>_xlfn.XLOOKUP(IY$1,generator!$B$2:$B$295,generator!$K$2:$K$295,"ARGH")</f>
        <v>15</v>
      </c>
      <c r="IZ20" s="3">
        <f>_xlfn.XLOOKUP(IZ$1,generator!$B$2:$B$295,generator!$K$2:$K$295,"ARGH")</f>
        <v>120</v>
      </c>
      <c r="JA20" s="3">
        <f>_xlfn.XLOOKUP(JA$1,generator!$B$2:$B$295,generator!$K$2:$K$295,"ARGH")</f>
        <v>40</v>
      </c>
      <c r="JB20" s="3">
        <f>_xlfn.XLOOKUP(JB$1,generator!$B$2:$B$295,generator!$K$2:$K$295,"ARGH")</f>
        <v>40</v>
      </c>
      <c r="JC20" s="3">
        <f>_xlfn.XLOOKUP(JC$1,generator!$B$2:$B$295,generator!$K$2:$K$295,"ARGH")</f>
        <v>113</v>
      </c>
      <c r="JD20" s="3">
        <f>_xlfn.XLOOKUP(JD$1,generator!$B$2:$B$295,generator!$K$2:$K$295,"ARGH")</f>
        <v>113</v>
      </c>
      <c r="JE20" s="3">
        <f>_xlfn.XLOOKUP(JE$1,generator!$B$2:$B$295,generator!$K$2:$K$295,"ARGH")</f>
        <v>211</v>
      </c>
      <c r="JF20" s="3">
        <f>_xlfn.XLOOKUP(JF$1,generator!$B$2:$B$295,generator!$K$2:$K$295,"ARGH")</f>
        <v>22.5</v>
      </c>
      <c r="JG20" s="3">
        <f>_xlfn.XLOOKUP(JG$1,generator!$B$2:$B$295,generator!$K$2:$K$295,"ARGH")</f>
        <v>1</v>
      </c>
      <c r="JH20" s="3">
        <f>_xlfn.XLOOKUP(JH$1,generator!$B$2:$B$295,generator!$K$2:$K$295,"ARGH")</f>
        <v>160</v>
      </c>
      <c r="JI20" s="3">
        <f>_xlfn.XLOOKUP(JI$1,generator!$B$2:$B$295,generator!$K$2:$K$295,"ARGH")</f>
        <v>165</v>
      </c>
      <c r="JJ20" s="3">
        <f>_xlfn.XLOOKUP(JJ$1,generator!$B$2:$B$295,generator!$K$2:$K$295,"ARGH")</f>
        <v>4.5999999999999996</v>
      </c>
      <c r="JK20" s="3">
        <f>_xlfn.XLOOKUP(JK$1,generator!$B$2:$B$295,generator!$K$2:$K$295,"ARGH")</f>
        <v>4.5999999999999996</v>
      </c>
      <c r="JL20" s="3">
        <f>_xlfn.XLOOKUP(JL$1,generator!$B$2:$B$295,generator!$K$2:$K$295,"ARGH")</f>
        <v>4.5999999999999996</v>
      </c>
      <c r="JM20" s="3">
        <f>_xlfn.XLOOKUP(JM$1,generator!$B$2:$B$295,generator!$K$2:$K$295,"ARGH")</f>
        <v>4.5999999999999996</v>
      </c>
      <c r="JN20" s="3">
        <f>_xlfn.XLOOKUP(JN$1,generator!$B$2:$B$295,generator!$K$2:$K$295,"ARGH")</f>
        <v>4.5999999999999996</v>
      </c>
      <c r="JO20" s="3">
        <f>_xlfn.XLOOKUP(JO$1,generator!$B$2:$B$295,generator!$K$2:$K$295,"ARGH")</f>
        <v>4.5999999999999996</v>
      </c>
      <c r="JP20" s="3">
        <f>_xlfn.XLOOKUP(JP$1,generator!$B$2:$B$295,generator!$K$2:$K$295,"ARGH")</f>
        <v>110</v>
      </c>
      <c r="JQ20" s="3">
        <f>_xlfn.XLOOKUP(JQ$1,generator!$B$2:$B$295,generator!$K$2:$K$295,"ARGH")</f>
        <v>22.7</v>
      </c>
      <c r="JR20" s="3">
        <f>_xlfn.XLOOKUP(JR$1,generator!$B$2:$B$295,generator!$K$2:$K$295,"ARGH")</f>
        <v>147</v>
      </c>
      <c r="JS20" s="3">
        <f>_xlfn.XLOOKUP(JS$1,generator!$B$2:$B$295,generator!$K$2:$K$295,"ARGH")</f>
        <v>147</v>
      </c>
      <c r="JT20" s="3">
        <f>_xlfn.XLOOKUP(JT$1,generator!$B$2:$B$295,generator!$K$2:$K$295,"ARGH")</f>
        <v>22.7</v>
      </c>
      <c r="JU20" s="3">
        <f>_xlfn.XLOOKUP(JU$1,generator!$B$2:$B$295,generator!$K$2:$K$295,"ARGH")</f>
        <v>21.5</v>
      </c>
      <c r="JV20" s="3">
        <f>_xlfn.XLOOKUP(JV$1,generator!$B$2:$B$295,generator!$K$2:$K$295,"ARGH")</f>
        <v>120</v>
      </c>
      <c r="JW20" s="3">
        <f>_xlfn.XLOOKUP(JW$1,generator!$B$2:$B$295,generator!$K$2:$K$295,"ARGH")</f>
        <v>120</v>
      </c>
      <c r="JX20" s="3">
        <f>_xlfn.XLOOKUP(JX$1,generator!$B$2:$B$295,generator!$K$2:$K$295,"ARGH")</f>
        <v>1</v>
      </c>
      <c r="JY20" s="3">
        <f>_xlfn.XLOOKUP(JY$1,generator!$B$2:$B$295,generator!$K$2:$K$295,"ARGH")</f>
        <v>41.15</v>
      </c>
      <c r="JZ20" s="3">
        <f>_xlfn.XLOOKUP(JZ$1,generator!$B$2:$B$295,generator!$K$2:$K$295,"ARGH")</f>
        <v>5</v>
      </c>
      <c r="KA20" s="3">
        <f>_xlfn.XLOOKUP(KA$1,generator!$B$2:$B$295,generator!$K$2:$K$295,"ARGH")</f>
        <v>5</v>
      </c>
      <c r="KB20" s="3">
        <f>_xlfn.XLOOKUP(KB$1,generator!$B$2:$B$295,generator!$K$2:$K$295,"ARGH")</f>
        <v>5</v>
      </c>
      <c r="KC20" s="3">
        <f>_xlfn.XLOOKUP(KC$1,generator!$B$2:$B$295,generator!$K$2:$K$295,"ARGH")</f>
        <v>5</v>
      </c>
    </row>
    <row r="21" spans="1:289" x14ac:dyDescent="0.3">
      <c r="A21" s="4" t="s">
        <v>3016</v>
      </c>
      <c r="B21" s="31">
        <v>448</v>
      </c>
      <c r="C21" s="31">
        <v>513</v>
      </c>
      <c r="D21" s="31">
        <v>442</v>
      </c>
      <c r="E21" s="3">
        <f>_xlfn.XLOOKUP(E$1,generator!$B$2:$B$295,generator!$K$2:$K$295,"ARGH")</f>
        <v>0</v>
      </c>
      <c r="F21" s="3">
        <f>_xlfn.XLOOKUP(F$1,generator!$B$2:$B$295,generator!$K$2:$K$295,"ARGH")</f>
        <v>0</v>
      </c>
      <c r="G21" s="3">
        <f>_xlfn.XLOOKUP(G$1,generator!$B$2:$B$295,generator!$K$2:$K$295,"ARGH")</f>
        <v>0</v>
      </c>
      <c r="H21" s="3">
        <f>_xlfn.XLOOKUP(H$1,generator!$B$2:$B$295,generator!$K$2:$K$295,"ARGH")</f>
        <v>0</v>
      </c>
      <c r="I21" s="3">
        <f>_xlfn.XLOOKUP(I$1,generator!$B$2:$B$295,generator!$K$2:$K$295,"ARGH")</f>
        <v>0</v>
      </c>
      <c r="J21" s="3">
        <f>_xlfn.XLOOKUP(J$1,generator!$B$2:$B$295,generator!$K$2:$K$295,"ARGH")</f>
        <v>0</v>
      </c>
      <c r="K21" s="3">
        <f>_xlfn.XLOOKUP(K$1,generator!$B$2:$B$295,generator!$K$2:$K$295,"ARGH")</f>
        <v>0</v>
      </c>
      <c r="L21" s="3">
        <f>_xlfn.XLOOKUP(L$1,generator!$B$2:$B$295,generator!$K$2:$K$295,"ARGH")</f>
        <v>0</v>
      </c>
      <c r="M21" s="3">
        <f>_xlfn.XLOOKUP(M$1,generator!$B$2:$B$295,generator!$K$2:$K$295,"ARGH")</f>
        <v>0</v>
      </c>
      <c r="N21" s="3">
        <f>_xlfn.XLOOKUP(N$1,generator!$B$2:$B$295,generator!$K$2:$K$295,"ARGH")</f>
        <v>0</v>
      </c>
      <c r="O21" s="3">
        <f>_xlfn.XLOOKUP(O$1,generator!$B$2:$B$295,generator!$K$2:$K$295,"ARGH")</f>
        <v>0</v>
      </c>
      <c r="P21" s="3">
        <f>_xlfn.XLOOKUP(P$1,generator!$B$2:$B$295,generator!$K$2:$K$295,"ARGH")</f>
        <v>0</v>
      </c>
      <c r="Q21" s="3">
        <f>_xlfn.XLOOKUP(Q$1,generator!$B$2:$B$295,generator!$K$2:$K$295,"ARGH")</f>
        <v>0</v>
      </c>
      <c r="R21" s="3">
        <f>_xlfn.XLOOKUP(R$1,generator!$B$2:$B$295,generator!$K$2:$K$295,"ARGH")</f>
        <v>0</v>
      </c>
      <c r="S21" s="3">
        <f>_xlfn.XLOOKUP(S$1,generator!$B$2:$B$295,generator!$K$2:$K$295,"ARGH")</f>
        <v>0</v>
      </c>
      <c r="T21" s="3">
        <f>_xlfn.XLOOKUP(T$1,generator!$B$2:$B$295,generator!$K$2:$K$295,"ARGH")</f>
        <v>0</v>
      </c>
      <c r="U21" s="3">
        <f>_xlfn.XLOOKUP(U$1,generator!$B$2:$B$295,generator!$K$2:$K$295,"ARGH")</f>
        <v>0</v>
      </c>
      <c r="V21" s="3">
        <f>_xlfn.XLOOKUP(V$1,generator!$B$2:$B$295,generator!$K$2:$K$295,"ARGH")</f>
        <v>0</v>
      </c>
      <c r="W21" s="3">
        <f>_xlfn.XLOOKUP(W$1,generator!$B$2:$B$295,generator!$K$2:$K$295,"ARGH")</f>
        <v>0</v>
      </c>
      <c r="X21" s="3">
        <f>_xlfn.XLOOKUP(X$1,generator!$B$2:$B$295,generator!$K$2:$K$295,"ARGH")</f>
        <v>0</v>
      </c>
      <c r="Y21" s="3">
        <f>_xlfn.XLOOKUP(Y$1,generator!$B$2:$B$295,generator!$K$2:$K$295,"ARGH")</f>
        <v>0</v>
      </c>
      <c r="Z21" s="3">
        <f>_xlfn.XLOOKUP(Z$1,generator!$B$2:$B$295,generator!$K$2:$K$295,"ARGH")</f>
        <v>0</v>
      </c>
      <c r="AA21" s="3">
        <f>_xlfn.XLOOKUP(AA$1,generator!$B$2:$B$295,generator!$K$2:$K$295,"ARGH")</f>
        <v>0</v>
      </c>
      <c r="AB21" s="3">
        <f>_xlfn.XLOOKUP(AB$1,generator!$B$2:$B$295,generator!$K$2:$K$295,"ARGH")</f>
        <v>0</v>
      </c>
      <c r="AC21" s="3">
        <f>_xlfn.XLOOKUP(AC$1,generator!$B$2:$B$295,generator!$K$2:$K$295,"ARGH")</f>
        <v>0</v>
      </c>
      <c r="AD21" s="3">
        <f>_xlfn.XLOOKUP(AD$1,generator!$B$2:$B$295,generator!$K$2:$K$295,"ARGH")</f>
        <v>0</v>
      </c>
      <c r="AE21" s="3">
        <f>_xlfn.XLOOKUP(AE$1,generator!$B$2:$B$295,generator!$K$2:$K$295,"ARGH")</f>
        <v>0</v>
      </c>
      <c r="AF21" s="3">
        <f>_xlfn.XLOOKUP(AF$1,generator!$B$2:$B$295,generator!$K$2:$K$295,"ARGH")</f>
        <v>0</v>
      </c>
      <c r="AG21" s="3">
        <f>_xlfn.XLOOKUP(AG$1,generator!$B$2:$B$295,generator!$K$2:$K$295,"ARGH")</f>
        <v>0</v>
      </c>
      <c r="AH21" s="3">
        <f>_xlfn.XLOOKUP(AH$1,generator!$B$2:$B$295,generator!$K$2:$K$295,"ARGH")</f>
        <v>0</v>
      </c>
      <c r="AI21" s="3">
        <f>_xlfn.XLOOKUP(AI$1,generator!$B$2:$B$295,generator!$K$2:$K$295,"ARGH")</f>
        <v>0</v>
      </c>
      <c r="AJ21" s="3">
        <f>_xlfn.XLOOKUP(AJ$1,generator!$B$2:$B$295,generator!$K$2:$K$295,"ARGH")</f>
        <v>0</v>
      </c>
      <c r="AK21" s="3">
        <f>_xlfn.XLOOKUP(AK$1,generator!$B$2:$B$295,generator!$K$2:$K$295,"ARGH")</f>
        <v>0</v>
      </c>
      <c r="AL21" s="3">
        <f>_xlfn.XLOOKUP(AL$1,generator!$B$2:$B$295,generator!$K$2:$K$295,"ARGH")</f>
        <v>0</v>
      </c>
      <c r="AM21" s="3">
        <f>_xlfn.XLOOKUP(AM$1,generator!$B$2:$B$295,generator!$K$2:$K$295,"ARGH")</f>
        <v>0</v>
      </c>
      <c r="AN21" s="3">
        <f>_xlfn.XLOOKUP(AN$1,generator!$B$2:$B$295,generator!$K$2:$K$295,"ARGH")</f>
        <v>0</v>
      </c>
      <c r="AO21" s="3">
        <f>_xlfn.XLOOKUP(AO$1,generator!$B$2:$B$295,generator!$K$2:$K$295,"ARGH")</f>
        <v>0</v>
      </c>
      <c r="AP21" s="3">
        <f>_xlfn.XLOOKUP(AP$1,generator!$B$2:$B$295,generator!$K$2:$K$295,"ARGH")</f>
        <v>0</v>
      </c>
      <c r="AQ21" s="3">
        <f>_xlfn.XLOOKUP(AQ$1,generator!$B$2:$B$295,generator!$K$2:$K$295,"ARGH")</f>
        <v>0</v>
      </c>
      <c r="AR21" s="3">
        <f>_xlfn.XLOOKUP(AR$1,generator!$B$2:$B$295,generator!$K$2:$K$295,"ARGH")</f>
        <v>0</v>
      </c>
      <c r="AS21" s="3">
        <f>_xlfn.XLOOKUP(AS$1,generator!$B$2:$B$295,generator!$K$2:$K$295,"ARGH")</f>
        <v>0</v>
      </c>
      <c r="AT21" s="3">
        <f>_xlfn.XLOOKUP(AT$1,generator!$B$2:$B$295,generator!$K$2:$K$295,"ARGH")</f>
        <v>0</v>
      </c>
      <c r="AU21" s="3">
        <f>_xlfn.XLOOKUP(AU$1,generator!$B$2:$B$295,generator!$K$2:$K$295,"ARGH")</f>
        <v>0</v>
      </c>
      <c r="AV21" s="3">
        <f>_xlfn.XLOOKUP(AV$1,generator!$B$2:$B$295,generator!$K$2:$K$295,"ARGH")</f>
        <v>0</v>
      </c>
      <c r="AW21" s="3">
        <f>_xlfn.XLOOKUP(AW$1,generator!$B$2:$B$295,generator!$K$2:$K$295,"ARGH")</f>
        <v>0</v>
      </c>
      <c r="AX21" s="3">
        <f>_xlfn.XLOOKUP(AX$1,generator!$B$2:$B$295,generator!$K$2:$K$295,"ARGH")</f>
        <v>0</v>
      </c>
      <c r="AY21" s="3">
        <f>_xlfn.XLOOKUP(AY$1,generator!$B$2:$B$295,generator!$K$2:$K$295,"ARGH")</f>
        <v>0</v>
      </c>
      <c r="AZ21" s="3">
        <f>_xlfn.XLOOKUP(AZ$1,generator!$B$2:$B$295,generator!$K$2:$K$295,"ARGH")</f>
        <v>0</v>
      </c>
      <c r="BA21" s="3">
        <f>_xlfn.XLOOKUP(BA$1,generator!$B$2:$B$295,generator!$K$2:$K$295,"ARGH")</f>
        <v>0</v>
      </c>
      <c r="BB21" s="3">
        <f>_xlfn.XLOOKUP(BB$1,generator!$B$2:$B$295,generator!$K$2:$K$295,"ARGH")</f>
        <v>0</v>
      </c>
      <c r="BC21" s="3">
        <f>_xlfn.XLOOKUP(BC$1,generator!$B$2:$B$295,generator!$K$2:$K$295,"ARGH")</f>
        <v>0</v>
      </c>
      <c r="BD21" s="3">
        <f>_xlfn.XLOOKUP(BD$1,generator!$B$2:$B$295,generator!$K$2:$K$295,"ARGH")</f>
        <v>0</v>
      </c>
      <c r="BE21" s="3">
        <f>_xlfn.XLOOKUP(BE$1,generator!$B$2:$B$295,generator!$K$2:$K$295,"ARGH")</f>
        <v>0</v>
      </c>
      <c r="BF21" s="3">
        <f>_xlfn.XLOOKUP(BF$1,generator!$B$2:$B$295,generator!$K$2:$K$295,"ARGH")</f>
        <v>0</v>
      </c>
      <c r="BG21" s="3">
        <f>_xlfn.XLOOKUP(BG$1,generator!$B$2:$B$295,generator!$K$2:$K$295,"ARGH")</f>
        <v>0</v>
      </c>
      <c r="BH21" s="3">
        <f>_xlfn.XLOOKUP(BH$1,generator!$B$2:$B$295,generator!$K$2:$K$295,"ARGH")</f>
        <v>0</v>
      </c>
      <c r="BI21" s="3">
        <f>_xlfn.XLOOKUP(BI$1,generator!$B$2:$B$295,generator!$K$2:$K$295,"ARGH")</f>
        <v>0</v>
      </c>
      <c r="BJ21" s="3">
        <f>_xlfn.XLOOKUP(BJ$1,generator!$B$2:$B$295,generator!$K$2:$K$295,"ARGH")</f>
        <v>0</v>
      </c>
      <c r="BK21" s="3">
        <f>_xlfn.XLOOKUP(BK$1,generator!$B$2:$B$295,generator!$K$2:$K$295,"ARGH")</f>
        <v>0</v>
      </c>
      <c r="BL21" s="3">
        <f>_xlfn.XLOOKUP(BL$1,generator!$B$2:$B$295,generator!$K$2:$K$295,"ARGH")</f>
        <v>0</v>
      </c>
      <c r="BM21" s="3">
        <f>_xlfn.XLOOKUP(BM$1,generator!$B$2:$B$295,generator!$K$2:$K$295,"ARGH")</f>
        <v>0</v>
      </c>
      <c r="BN21" s="3">
        <f>_xlfn.XLOOKUP(BN$1,generator!$B$2:$B$295,generator!$K$2:$K$295,"ARGH")</f>
        <v>0</v>
      </c>
      <c r="BO21" s="3">
        <f>_xlfn.XLOOKUP(BO$1,generator!$B$2:$B$295,generator!$K$2:$K$295,"ARGH")</f>
        <v>0</v>
      </c>
      <c r="BP21" s="3">
        <f>_xlfn.XLOOKUP(BP$1,generator!$B$2:$B$295,generator!$K$2:$K$295,"ARGH")</f>
        <v>0</v>
      </c>
      <c r="BQ21" s="3">
        <f>_xlfn.XLOOKUP(BQ$1,generator!$B$2:$B$295,generator!$K$2:$K$295,"ARGH")</f>
        <v>0</v>
      </c>
      <c r="BR21" s="3">
        <f>_xlfn.XLOOKUP(BR$1,generator!$B$2:$B$295,generator!$K$2:$K$295,"ARGH")</f>
        <v>0</v>
      </c>
      <c r="BS21" s="3">
        <f>_xlfn.XLOOKUP(BS$1,generator!$B$2:$B$295,generator!$K$2:$K$295,"ARGH")</f>
        <v>0</v>
      </c>
      <c r="BT21" s="3">
        <f>_xlfn.XLOOKUP(BT$1,generator!$B$2:$B$295,generator!$K$2:$K$295,"ARGH")</f>
        <v>0</v>
      </c>
      <c r="BU21" s="3">
        <f>_xlfn.XLOOKUP(BU$1,generator!$B$2:$B$295,generator!$K$2:$K$295,"ARGH")</f>
        <v>0</v>
      </c>
      <c r="BV21" s="3">
        <f>_xlfn.XLOOKUP(BV$1,generator!$B$2:$B$295,generator!$K$2:$K$295,"ARGH")</f>
        <v>0</v>
      </c>
      <c r="BW21" s="3">
        <f>_xlfn.XLOOKUP(BW$1,generator!$B$2:$B$295,generator!$K$2:$K$295,"ARGH")</f>
        <v>0</v>
      </c>
      <c r="BX21" s="3">
        <f>_xlfn.XLOOKUP(BX$1,generator!$B$2:$B$295,generator!$K$2:$K$295,"ARGH")</f>
        <v>0</v>
      </c>
      <c r="BY21" s="3">
        <f>_xlfn.XLOOKUP(BY$1,generator!$B$2:$B$295,generator!$K$2:$K$295,"ARGH")</f>
        <v>0</v>
      </c>
      <c r="BZ21" s="3">
        <f>_xlfn.XLOOKUP(BZ$1,generator!$B$2:$B$295,generator!$K$2:$K$295,"ARGH")</f>
        <v>0</v>
      </c>
      <c r="CA21" s="3">
        <f>_xlfn.XLOOKUP(CA$1,generator!$B$2:$B$295,generator!$K$2:$K$295,"ARGH")</f>
        <v>0</v>
      </c>
      <c r="CB21" s="3">
        <f>_xlfn.XLOOKUP(CB$1,generator!$B$2:$B$295,generator!$K$2:$K$295,"ARGH")</f>
        <v>0</v>
      </c>
      <c r="CC21" s="3">
        <f>_xlfn.XLOOKUP(CC$1,generator!$B$2:$B$295,generator!$K$2:$K$295,"ARGH")</f>
        <v>0</v>
      </c>
      <c r="CD21" s="3">
        <f>_xlfn.XLOOKUP(CD$1,generator!$B$2:$B$295,generator!$K$2:$K$295,"ARGH")</f>
        <v>0</v>
      </c>
      <c r="CE21" s="3">
        <f>_xlfn.XLOOKUP(CE$1,generator!$B$2:$B$295,generator!$K$2:$K$295,"ARGH")</f>
        <v>0</v>
      </c>
      <c r="CF21" s="3">
        <f>_xlfn.XLOOKUP(CF$1,generator!$B$2:$B$295,generator!$K$2:$K$295,"ARGH")</f>
        <v>0</v>
      </c>
      <c r="CG21" s="3">
        <f>_xlfn.XLOOKUP(CG$1,generator!$B$2:$B$295,generator!$K$2:$K$295,"ARGH")</f>
        <v>0</v>
      </c>
      <c r="CH21" s="3">
        <f>_xlfn.XLOOKUP(CH$1,generator!$B$2:$B$295,generator!$K$2:$K$295,"ARGH")</f>
        <v>0</v>
      </c>
      <c r="CI21" s="3">
        <f>_xlfn.XLOOKUP(CI$1,generator!$B$2:$B$295,generator!$K$2:$K$295,"ARGH")</f>
        <v>0</v>
      </c>
      <c r="CJ21" s="3">
        <f>_xlfn.XLOOKUP(CJ$1,generator!$B$2:$B$295,generator!$K$2:$K$295,"ARGH")</f>
        <v>0</v>
      </c>
      <c r="CK21" s="3">
        <f>_xlfn.XLOOKUP(CK$1,generator!$B$2:$B$295,generator!$K$2:$K$295,"ARGH")</f>
        <v>0</v>
      </c>
      <c r="CL21" s="3">
        <f>_xlfn.XLOOKUP(CL$1,generator!$B$2:$B$295,generator!$K$2:$K$295,"ARGH")</f>
        <v>0</v>
      </c>
      <c r="CM21" s="3">
        <f>_xlfn.XLOOKUP(CM$1,generator!$B$2:$B$295,generator!$K$2:$K$295,"ARGH")</f>
        <v>0</v>
      </c>
      <c r="CN21" s="3">
        <f>_xlfn.XLOOKUP(CN$1,generator!$B$2:$B$295,generator!$K$2:$K$295,"ARGH")</f>
        <v>0</v>
      </c>
      <c r="CO21" s="3">
        <f>_xlfn.XLOOKUP(CO$1,generator!$B$2:$B$295,generator!$K$2:$K$295,"ARGH")</f>
        <v>0</v>
      </c>
      <c r="CP21" s="3">
        <f>_xlfn.XLOOKUP(CP$1,generator!$B$2:$B$295,generator!$K$2:$K$295,"ARGH")</f>
        <v>0</v>
      </c>
      <c r="CQ21" s="3">
        <f>_xlfn.XLOOKUP(CQ$1,generator!$B$2:$B$295,generator!$K$2:$K$295,"ARGH")</f>
        <v>0</v>
      </c>
      <c r="CR21" s="3">
        <f>_xlfn.XLOOKUP(CR$1,generator!$B$2:$B$295,generator!$K$2:$K$295,"ARGH")</f>
        <v>0</v>
      </c>
      <c r="CS21" s="3">
        <f>_xlfn.XLOOKUP(CS$1,generator!$B$2:$B$295,generator!$K$2:$K$295,"ARGH")</f>
        <v>0</v>
      </c>
      <c r="CT21" s="3">
        <f>_xlfn.XLOOKUP(CT$1,generator!$B$2:$B$295,generator!$K$2:$K$295,"ARGH")</f>
        <v>0</v>
      </c>
      <c r="CU21" s="3">
        <f>_xlfn.XLOOKUP(CU$1,generator!$B$2:$B$295,generator!$K$2:$K$295,"ARGH")</f>
        <v>0</v>
      </c>
      <c r="CV21" s="3">
        <f>_xlfn.XLOOKUP(CV$1,generator!$B$2:$B$295,generator!$K$2:$K$295,"ARGH")</f>
        <v>0</v>
      </c>
      <c r="CW21" s="3">
        <f>_xlfn.XLOOKUP(CW$1,generator!$B$2:$B$295,generator!$K$2:$K$295,"ARGH")</f>
        <v>0</v>
      </c>
      <c r="CX21" s="3">
        <f>_xlfn.XLOOKUP(CX$1,generator!$B$2:$B$295,generator!$K$2:$K$295,"ARGH")</f>
        <v>0</v>
      </c>
      <c r="CY21" s="3">
        <f>_xlfn.XLOOKUP(CY$1,generator!$B$2:$B$295,generator!$K$2:$K$295,"ARGH")</f>
        <v>0</v>
      </c>
      <c r="CZ21" s="3">
        <f>_xlfn.XLOOKUP(CZ$1,generator!$B$2:$B$295,generator!$K$2:$K$295,"ARGH")</f>
        <v>0</v>
      </c>
      <c r="DA21" s="3">
        <f>_xlfn.XLOOKUP(DA$1,generator!$B$2:$B$295,generator!$K$2:$K$295,"ARGH")</f>
        <v>0</v>
      </c>
      <c r="DB21" s="3">
        <f>_xlfn.XLOOKUP(DB$1,generator!$B$2:$B$295,generator!$K$2:$K$295,"ARGH")</f>
        <v>0</v>
      </c>
      <c r="DC21" s="3">
        <f>_xlfn.XLOOKUP(DC$1,generator!$B$2:$B$295,generator!$K$2:$K$295,"ARGH")</f>
        <v>0</v>
      </c>
      <c r="DD21" s="3">
        <f>_xlfn.XLOOKUP(DD$1,generator!$B$2:$B$295,generator!$K$2:$K$295,"ARGH")</f>
        <v>0</v>
      </c>
      <c r="DE21" s="3">
        <f>_xlfn.XLOOKUP(DE$1,generator!$B$2:$B$295,generator!$K$2:$K$295,"ARGH")</f>
        <v>0</v>
      </c>
      <c r="DF21" s="3">
        <f>_xlfn.XLOOKUP(DF$1,generator!$B$2:$B$295,generator!$K$2:$K$295,"ARGH")</f>
        <v>0</v>
      </c>
      <c r="DG21" s="3">
        <f>_xlfn.XLOOKUP(DG$1,generator!$B$2:$B$295,generator!$K$2:$K$295,"ARGH")</f>
        <v>0</v>
      </c>
      <c r="DH21" s="3">
        <f>_xlfn.XLOOKUP(DH$1,generator!$B$2:$B$295,generator!$K$2:$K$295,"ARGH")</f>
        <v>0</v>
      </c>
      <c r="DI21" s="3">
        <f>_xlfn.XLOOKUP(DI$1,generator!$B$2:$B$295,generator!$K$2:$K$295,"ARGH")</f>
        <v>0</v>
      </c>
      <c r="DJ21" s="3">
        <f>_xlfn.XLOOKUP(DJ$1,generator!$B$2:$B$295,generator!$K$2:$K$295,"ARGH")</f>
        <v>0</v>
      </c>
      <c r="DK21" s="3">
        <f>_xlfn.XLOOKUP(DK$1,generator!$B$2:$B$295,generator!$K$2:$K$295,"ARGH")</f>
        <v>0</v>
      </c>
      <c r="DL21" s="3">
        <f>_xlfn.XLOOKUP(DL$1,generator!$B$2:$B$295,generator!$K$2:$K$295,"ARGH")</f>
        <v>0</v>
      </c>
      <c r="DM21" s="3">
        <f>_xlfn.XLOOKUP(DM$1,generator!$B$2:$B$295,generator!$K$2:$K$295,"ARGH")</f>
        <v>0</v>
      </c>
      <c r="DN21" s="3">
        <f>_xlfn.XLOOKUP(DN$1,generator!$B$2:$B$295,generator!$K$2:$K$295,"ARGH")</f>
        <v>0</v>
      </c>
      <c r="DO21" s="3">
        <f>_xlfn.XLOOKUP(DO$1,generator!$B$2:$B$295,generator!$K$2:$K$295,"ARGH")</f>
        <v>0</v>
      </c>
      <c r="DP21" s="3">
        <f>_xlfn.XLOOKUP(DP$1,generator!$B$2:$B$295,generator!$K$2:$K$295,"ARGH")</f>
        <v>0</v>
      </c>
      <c r="DQ21" s="3">
        <f>_xlfn.XLOOKUP(DQ$1,generator!$B$2:$B$295,generator!$K$2:$K$295,"ARGH")</f>
        <v>0</v>
      </c>
      <c r="DR21" s="3">
        <f>_xlfn.XLOOKUP(DR$1,generator!$B$2:$B$295,generator!$K$2:$K$295,"ARGH")</f>
        <v>0</v>
      </c>
      <c r="DS21" s="3">
        <f>_xlfn.XLOOKUP(DS$1,generator!$B$2:$B$295,generator!$K$2:$K$295,"ARGH")</f>
        <v>0</v>
      </c>
      <c r="DT21" s="3">
        <f>_xlfn.XLOOKUP(DT$1,generator!$B$2:$B$295,generator!$K$2:$K$295,"ARGH")</f>
        <v>0</v>
      </c>
      <c r="DU21" s="3">
        <f>_xlfn.XLOOKUP(DU$1,generator!$B$2:$B$295,generator!$K$2:$K$295,"ARGH")</f>
        <v>0</v>
      </c>
      <c r="DV21" s="3">
        <f>_xlfn.XLOOKUP(DV$1,generator!$B$2:$B$295,generator!$K$2:$K$295,"ARGH")</f>
        <v>0</v>
      </c>
      <c r="DW21" s="3">
        <f>_xlfn.XLOOKUP(DW$1,generator!$B$2:$B$295,generator!$K$2:$K$295,"ARGH")</f>
        <v>0</v>
      </c>
      <c r="DX21" s="3">
        <f>_xlfn.XLOOKUP(DX$1,generator!$B$2:$B$295,generator!$K$2:$K$295,"ARGH")</f>
        <v>0</v>
      </c>
      <c r="DY21" s="3">
        <f>_xlfn.XLOOKUP(DY$1,generator!$B$2:$B$295,generator!$K$2:$K$295,"ARGH")</f>
        <v>0</v>
      </c>
      <c r="DZ21" s="3">
        <f>_xlfn.XLOOKUP(DZ$1,generator!$B$2:$B$295,generator!$K$2:$K$295,"ARGH")</f>
        <v>0</v>
      </c>
      <c r="EA21" s="3">
        <f>_xlfn.XLOOKUP(EA$1,generator!$B$2:$B$295,generator!$K$2:$K$295,"ARGH")</f>
        <v>0</v>
      </c>
      <c r="EB21" s="3">
        <f>_xlfn.XLOOKUP(EB$1,generator!$B$2:$B$295,generator!$K$2:$K$295,"ARGH")</f>
        <v>0</v>
      </c>
      <c r="EC21" s="3">
        <f>_xlfn.XLOOKUP(EC$1,generator!$B$2:$B$295,generator!$K$2:$K$295,"ARGH")</f>
        <v>0</v>
      </c>
      <c r="ED21" s="3">
        <f>_xlfn.XLOOKUP(ED$1,generator!$B$2:$B$295,generator!$K$2:$K$295,"ARGH")</f>
        <v>0</v>
      </c>
      <c r="EE21" s="3">
        <f>_xlfn.XLOOKUP(EE$1,generator!$B$2:$B$295,generator!$K$2:$K$295,"ARGH")</f>
        <v>0</v>
      </c>
      <c r="EF21" s="3">
        <f>_xlfn.XLOOKUP(EF$1,generator!$B$2:$B$295,generator!$K$2:$K$295,"ARGH")</f>
        <v>0</v>
      </c>
      <c r="EG21" s="3">
        <f>_xlfn.XLOOKUP(EG$1,generator!$B$2:$B$295,generator!$K$2:$K$295,"ARGH")</f>
        <v>0</v>
      </c>
      <c r="EH21" s="3">
        <f>_xlfn.XLOOKUP(EH$1,generator!$B$2:$B$295,generator!$K$2:$K$295,"ARGH")</f>
        <v>0</v>
      </c>
      <c r="EI21" s="3">
        <f>_xlfn.XLOOKUP(EI$1,generator!$B$2:$B$295,generator!$K$2:$K$295,"ARGH")</f>
        <v>0</v>
      </c>
      <c r="EJ21" s="3">
        <f>_xlfn.XLOOKUP(EJ$1,generator!$B$2:$B$295,generator!$K$2:$K$295,"ARGH")</f>
        <v>0</v>
      </c>
      <c r="EK21" s="3">
        <f>_xlfn.XLOOKUP(EK$1,generator!$B$2:$B$295,generator!$K$2:$K$295,"ARGH")</f>
        <v>0</v>
      </c>
      <c r="EL21" s="3">
        <f>_xlfn.XLOOKUP(EL$1,generator!$B$2:$B$295,generator!$K$2:$K$295,"ARGH")</f>
        <v>0</v>
      </c>
      <c r="EM21" s="3">
        <f>_xlfn.XLOOKUP(EM$1,generator!$B$2:$B$295,generator!$K$2:$K$295,"ARGH")</f>
        <v>0</v>
      </c>
      <c r="EN21" s="3">
        <f>_xlfn.XLOOKUP(EN$1,generator!$B$2:$B$295,generator!$K$2:$K$295,"ARGH")</f>
        <v>0</v>
      </c>
      <c r="EO21" s="3">
        <f>_xlfn.XLOOKUP(EO$1,generator!$B$2:$B$295,generator!$K$2:$K$295,"ARGH")</f>
        <v>0</v>
      </c>
      <c r="EP21" s="3">
        <f>_xlfn.XLOOKUP(EP$1,generator!$B$2:$B$295,generator!$K$2:$K$295,"ARGH")</f>
        <v>0</v>
      </c>
      <c r="EQ21" s="3">
        <f>_xlfn.XLOOKUP(EQ$1,generator!$B$2:$B$295,generator!$K$2:$K$295,"ARGH")</f>
        <v>0</v>
      </c>
      <c r="ER21" s="3">
        <f>_xlfn.XLOOKUP(ER$1,generator!$B$2:$B$295,generator!$K$2:$K$295,"ARGH")</f>
        <v>0</v>
      </c>
      <c r="ES21" s="3">
        <f>_xlfn.XLOOKUP(ES$1,generator!$B$2:$B$295,generator!$K$2:$K$295,"ARGH")</f>
        <v>0</v>
      </c>
      <c r="ET21" s="3">
        <f>_xlfn.XLOOKUP(ET$1,generator!$B$2:$B$295,generator!$K$2:$K$295,"ARGH")</f>
        <v>0</v>
      </c>
      <c r="EU21" s="3">
        <f>_xlfn.XLOOKUP(EU$1,generator!$B$2:$B$295,generator!$K$2:$K$295,"ARGH")</f>
        <v>0</v>
      </c>
      <c r="EV21" s="3">
        <f>_xlfn.XLOOKUP(EV$1,generator!$B$2:$B$295,generator!$K$2:$K$295,"ARGH")</f>
        <v>0</v>
      </c>
      <c r="EW21" s="3">
        <f>_xlfn.XLOOKUP(EW$1,generator!$B$2:$B$295,generator!$K$2:$K$295,"ARGH")</f>
        <v>0</v>
      </c>
      <c r="EX21" s="3">
        <f>_xlfn.XLOOKUP(EX$1,generator!$B$2:$B$295,generator!$K$2:$K$295,"ARGH")</f>
        <v>0</v>
      </c>
      <c r="EY21" s="3">
        <f>_xlfn.XLOOKUP(EY$1,generator!$B$2:$B$295,generator!$K$2:$K$295,"ARGH")</f>
        <v>0</v>
      </c>
      <c r="EZ21" s="3">
        <f>_xlfn.XLOOKUP(EZ$1,generator!$B$2:$B$295,generator!$K$2:$K$295,"ARGH")</f>
        <v>0</v>
      </c>
      <c r="FA21" s="3">
        <f>_xlfn.XLOOKUP(FA$1,generator!$B$2:$B$295,generator!$K$2:$K$295,"ARGH")</f>
        <v>0</v>
      </c>
      <c r="FB21" s="3">
        <f>_xlfn.XLOOKUP(FB$1,generator!$B$2:$B$295,generator!$K$2:$K$295,"ARGH")</f>
        <v>0</v>
      </c>
      <c r="FC21" s="3">
        <f>_xlfn.XLOOKUP(FC$1,generator!$B$2:$B$295,generator!$K$2:$K$295,"ARGH")</f>
        <v>0</v>
      </c>
      <c r="FD21" s="3">
        <f>_xlfn.XLOOKUP(FD$1,generator!$B$2:$B$295,generator!$K$2:$K$295,"ARGH")</f>
        <v>0</v>
      </c>
      <c r="FE21" s="3">
        <f>_xlfn.XLOOKUP(FE$1,generator!$B$2:$B$295,generator!$K$2:$K$295,"ARGH")</f>
        <v>0</v>
      </c>
      <c r="FF21" s="3">
        <f>_xlfn.XLOOKUP(FF$1,generator!$B$2:$B$295,generator!$K$2:$K$295,"ARGH")</f>
        <v>0</v>
      </c>
      <c r="FG21" s="3">
        <f>_xlfn.XLOOKUP(FG$1,generator!$B$2:$B$295,generator!$K$2:$K$295,"ARGH")</f>
        <v>0</v>
      </c>
      <c r="FH21" s="3">
        <f>_xlfn.XLOOKUP(FH$1,generator!$B$2:$B$295,generator!$K$2:$K$295,"ARGH")</f>
        <v>0</v>
      </c>
      <c r="FI21" s="3">
        <f>_xlfn.XLOOKUP(FI$1,generator!$B$2:$B$295,generator!$K$2:$K$295,"ARGH")</f>
        <v>0</v>
      </c>
      <c r="FJ21" s="3">
        <f>_xlfn.XLOOKUP(FJ$1,generator!$B$2:$B$295,generator!$K$2:$K$295,"ARGH")</f>
        <v>0</v>
      </c>
      <c r="FK21" s="3">
        <f>_xlfn.XLOOKUP(FK$1,generator!$B$2:$B$295,generator!$K$2:$K$295,"ARGH")</f>
        <v>0</v>
      </c>
      <c r="FL21" s="3">
        <f>_xlfn.XLOOKUP(FL$1,generator!$B$2:$B$295,generator!$K$2:$K$295,"ARGH")</f>
        <v>0</v>
      </c>
      <c r="FM21" s="3">
        <f>_xlfn.XLOOKUP(FM$1,generator!$B$2:$B$295,generator!$K$2:$K$295,"ARGH")</f>
        <v>0</v>
      </c>
      <c r="FN21" s="3">
        <f>_xlfn.XLOOKUP(FN$1,generator!$B$2:$B$295,generator!$K$2:$K$295,"ARGH")</f>
        <v>0</v>
      </c>
      <c r="FO21" s="3">
        <f>_xlfn.XLOOKUP(FO$1,generator!$B$2:$B$295,generator!$K$2:$K$295,"ARGH")</f>
        <v>0</v>
      </c>
      <c r="FP21" s="3">
        <f>_xlfn.XLOOKUP(FP$1,generator!$B$2:$B$295,generator!$K$2:$K$295,"ARGH")</f>
        <v>0</v>
      </c>
      <c r="FQ21" s="3">
        <f>_xlfn.XLOOKUP(FQ$1,generator!$B$2:$B$295,generator!$K$2:$K$295,"ARGH")</f>
        <v>0</v>
      </c>
      <c r="FR21" s="3">
        <f>_xlfn.XLOOKUP(FR$1,generator!$B$2:$B$295,generator!$K$2:$K$295,"ARGH")</f>
        <v>0</v>
      </c>
      <c r="FS21" s="3">
        <f>_xlfn.XLOOKUP(FS$1,generator!$B$2:$B$295,generator!$K$2:$K$295,"ARGH")</f>
        <v>0</v>
      </c>
      <c r="FT21" s="3">
        <f>_xlfn.XLOOKUP(FT$1,generator!$B$2:$B$295,generator!$K$2:$K$295,"ARGH")</f>
        <v>0</v>
      </c>
      <c r="FU21" s="3">
        <f>_xlfn.XLOOKUP(FU$1,generator!$B$2:$B$295,generator!$K$2:$K$295,"ARGH")</f>
        <v>0</v>
      </c>
      <c r="FV21" s="3">
        <f>_xlfn.XLOOKUP(FV$1,generator!$B$2:$B$295,generator!$K$2:$K$295,"ARGH")</f>
        <v>0</v>
      </c>
      <c r="FW21" s="3">
        <f>_xlfn.XLOOKUP(FW$1,generator!$B$2:$B$295,generator!$K$2:$K$295,"ARGH")</f>
        <v>0</v>
      </c>
      <c r="FX21" s="3">
        <f>_xlfn.XLOOKUP(FX$1,generator!$B$2:$B$295,generator!$K$2:$K$295,"ARGH")</f>
        <v>0</v>
      </c>
      <c r="FY21" s="3">
        <f>_xlfn.XLOOKUP(FY$1,generator!$B$2:$B$295,generator!$K$2:$K$295,"ARGH")</f>
        <v>0</v>
      </c>
      <c r="FZ21" s="3">
        <f>_xlfn.XLOOKUP(FZ$1,generator!$B$2:$B$295,generator!$K$2:$K$295,"ARGH")</f>
        <v>0</v>
      </c>
      <c r="GA21" s="3">
        <f>_xlfn.XLOOKUP(GA$1,generator!$B$2:$B$295,generator!$K$2:$K$295,"ARGH")</f>
        <v>0</v>
      </c>
      <c r="GB21" s="3">
        <f>_xlfn.XLOOKUP(GB$1,generator!$B$2:$B$295,generator!$K$2:$K$295,"ARGH")</f>
        <v>0</v>
      </c>
      <c r="GC21" s="3">
        <f>_xlfn.XLOOKUP(GC$1,generator!$B$2:$B$295,generator!$K$2:$K$295,"ARGH")</f>
        <v>0</v>
      </c>
      <c r="GD21" s="3">
        <f>_xlfn.XLOOKUP(GD$1,generator!$B$2:$B$295,generator!$K$2:$K$295,"ARGH")</f>
        <v>0</v>
      </c>
      <c r="GE21" s="3">
        <f>_xlfn.XLOOKUP(GE$1,generator!$B$2:$B$295,generator!$K$2:$K$295,"ARGH")</f>
        <v>0</v>
      </c>
      <c r="GF21" s="3">
        <f>_xlfn.XLOOKUP(GF$1,generator!$B$2:$B$295,generator!$K$2:$K$295,"ARGH")</f>
        <v>0</v>
      </c>
      <c r="GG21" s="3">
        <f>_xlfn.XLOOKUP(GG$1,generator!$B$2:$B$295,generator!$K$2:$K$295,"ARGH")</f>
        <v>0</v>
      </c>
      <c r="GH21" s="3">
        <f>_xlfn.XLOOKUP(GH$1,generator!$B$2:$B$295,generator!$K$2:$K$295,"ARGH")</f>
        <v>0</v>
      </c>
      <c r="GI21" s="3">
        <f>_xlfn.XLOOKUP(GI$1,generator!$B$2:$B$295,generator!$K$2:$K$295,"ARGH")</f>
        <v>0</v>
      </c>
      <c r="GJ21" s="3">
        <f>_xlfn.XLOOKUP(GJ$1,generator!$B$2:$B$295,generator!$K$2:$K$295,"ARGH")</f>
        <v>0</v>
      </c>
      <c r="GK21" s="3">
        <f>_xlfn.XLOOKUP(GK$1,generator!$B$2:$B$295,generator!$K$2:$K$295,"ARGH")</f>
        <v>0</v>
      </c>
      <c r="GL21" s="3">
        <f>_xlfn.XLOOKUP(GL$1,generator!$B$2:$B$295,generator!$K$2:$K$295,"ARGH")</f>
        <v>0</v>
      </c>
      <c r="GM21" s="3">
        <f>_xlfn.XLOOKUP(GM$1,generator!$B$2:$B$295,generator!$K$2:$K$295,"ARGH")</f>
        <v>0</v>
      </c>
      <c r="GN21" s="3">
        <f>_xlfn.XLOOKUP(GN$1,generator!$B$2:$B$295,generator!$K$2:$K$295,"ARGH")</f>
        <v>0</v>
      </c>
      <c r="GO21" s="3">
        <f>_xlfn.XLOOKUP(GO$1,generator!$B$2:$B$295,generator!$K$2:$K$295,"ARGH")</f>
        <v>0</v>
      </c>
      <c r="GP21" s="3">
        <f>_xlfn.XLOOKUP(GP$1,generator!$B$2:$B$295,generator!$K$2:$K$295,"ARGH")</f>
        <v>0</v>
      </c>
      <c r="GQ21" s="3">
        <f>_xlfn.XLOOKUP(GQ$1,generator!$B$2:$B$295,generator!$K$2:$K$295,"ARGH")</f>
        <v>0</v>
      </c>
      <c r="GR21" s="3">
        <f>_xlfn.XLOOKUP(GR$1,generator!$B$2:$B$295,generator!$K$2:$K$295,"ARGH")</f>
        <v>0</v>
      </c>
      <c r="GS21" s="3">
        <f>_xlfn.XLOOKUP(GS$1,generator!$B$2:$B$295,generator!$K$2:$K$295,"ARGH")</f>
        <v>0</v>
      </c>
      <c r="GT21" s="3">
        <f>_xlfn.XLOOKUP(GT$1,generator!$B$2:$B$295,generator!$K$2:$K$295,"ARGH")</f>
        <v>0</v>
      </c>
      <c r="GU21" s="3">
        <f>_xlfn.XLOOKUP(GU$1,generator!$B$2:$B$295,generator!$K$2:$K$295,"ARGH")</f>
        <v>0</v>
      </c>
      <c r="GV21" s="3">
        <f>_xlfn.XLOOKUP(GV$1,generator!$B$2:$B$295,generator!$K$2:$K$295,"ARGH")</f>
        <v>0</v>
      </c>
      <c r="GW21" s="3">
        <f>_xlfn.XLOOKUP(GW$1,generator!$B$2:$B$295,generator!$K$2:$K$295,"ARGH")</f>
        <v>0</v>
      </c>
      <c r="GX21" s="3">
        <f>_xlfn.XLOOKUP(GX$1,generator!$B$2:$B$295,generator!$K$2:$K$295,"ARGH")</f>
        <v>0</v>
      </c>
      <c r="GY21" s="3">
        <f>_xlfn.XLOOKUP(GY$1,generator!$B$2:$B$295,generator!$K$2:$K$295,"ARGH")</f>
        <v>0</v>
      </c>
      <c r="GZ21" s="3">
        <f>_xlfn.XLOOKUP(GZ$1,generator!$B$2:$B$295,generator!$K$2:$K$295,"ARGH")</f>
        <v>0</v>
      </c>
      <c r="HA21" s="3">
        <f>_xlfn.XLOOKUP(HA$1,generator!$B$2:$B$295,generator!$K$2:$K$295,"ARGH")</f>
        <v>0</v>
      </c>
      <c r="HB21" s="3">
        <f>_xlfn.XLOOKUP(HB$1,generator!$B$2:$B$295,generator!$K$2:$K$295,"ARGH")</f>
        <v>0</v>
      </c>
      <c r="HC21" s="3">
        <f>_xlfn.XLOOKUP(HC$1,generator!$B$2:$B$295,generator!$K$2:$K$295,"ARGH")</f>
        <v>0</v>
      </c>
      <c r="HD21" s="3">
        <f>_xlfn.XLOOKUP(HD$1,generator!$B$2:$B$295,generator!$K$2:$K$295,"ARGH")</f>
        <v>0</v>
      </c>
      <c r="HE21" s="3">
        <f>_xlfn.XLOOKUP(HE$1,generator!$B$2:$B$295,generator!$K$2:$K$295,"ARGH")</f>
        <v>12.74</v>
      </c>
      <c r="HF21" s="3">
        <f>_xlfn.XLOOKUP(HF$1,generator!$B$2:$B$295,generator!$K$2:$K$295,"ARGH")</f>
        <v>99</v>
      </c>
      <c r="HG21" s="3">
        <f>_xlfn.XLOOKUP(HG$1,generator!$B$2:$B$295,generator!$K$2:$K$295,"ARGH")</f>
        <v>99</v>
      </c>
      <c r="HH21" s="3">
        <f>_xlfn.XLOOKUP(HH$1,generator!$B$2:$B$295,generator!$K$2:$K$295,"ARGH")</f>
        <v>99</v>
      </c>
      <c r="HI21" s="3">
        <f>_xlfn.XLOOKUP(HI$1,generator!$B$2:$B$295,generator!$K$2:$K$295,"ARGH")</f>
        <v>8</v>
      </c>
      <c r="HJ21" s="3">
        <f>_xlfn.XLOOKUP(HJ$1,generator!$B$2:$B$295,generator!$K$2:$K$295,"ARGH")</f>
        <v>8</v>
      </c>
      <c r="HK21" s="3">
        <f>_xlfn.XLOOKUP(HK$1,generator!$B$2:$B$295,generator!$K$2:$K$295,"ARGH")</f>
        <v>8</v>
      </c>
      <c r="HL21" s="3">
        <f>_xlfn.XLOOKUP(HL$1,generator!$B$2:$B$295,generator!$K$2:$K$295,"ARGH")</f>
        <v>20</v>
      </c>
      <c r="HM21" s="3">
        <f>_xlfn.XLOOKUP(HM$1,generator!$B$2:$B$295,generator!$K$2:$K$295,"ARGH")</f>
        <v>20</v>
      </c>
      <c r="HN21" s="3">
        <f>_xlfn.XLOOKUP(HN$1,generator!$B$2:$B$295,generator!$K$2:$K$295,"ARGH")</f>
        <v>5</v>
      </c>
      <c r="HO21" s="3">
        <f>_xlfn.XLOOKUP(HO$1,generator!$B$2:$B$295,generator!$K$2:$K$295,"ARGH")</f>
        <v>5</v>
      </c>
      <c r="HP21" s="3">
        <f>_xlfn.XLOOKUP(HP$1,generator!$B$2:$B$295,generator!$K$2:$K$295,"ARGH")</f>
        <v>0.2</v>
      </c>
      <c r="HQ21" s="3">
        <f>_xlfn.XLOOKUP(HQ$1,generator!$B$2:$B$295,generator!$K$2:$K$295,"ARGH")</f>
        <v>5</v>
      </c>
      <c r="HR21" s="3">
        <f>_xlfn.XLOOKUP(HR$1,generator!$B$2:$B$295,generator!$K$2:$K$295,"ARGH")</f>
        <v>5</v>
      </c>
      <c r="HS21" s="3">
        <f>_xlfn.XLOOKUP(HS$1,generator!$B$2:$B$295,generator!$K$2:$K$295,"ARGH")</f>
        <v>12.82</v>
      </c>
      <c r="HT21" s="3">
        <f>_xlfn.XLOOKUP(HT$1,generator!$B$2:$B$295,generator!$K$2:$K$295,"ARGH")</f>
        <v>12.82</v>
      </c>
      <c r="HU21" s="3">
        <f>_xlfn.XLOOKUP(HU$1,generator!$B$2:$B$295,generator!$K$2:$K$295,"ARGH")</f>
        <v>25</v>
      </c>
      <c r="HV21" s="3">
        <f>_xlfn.XLOOKUP(HV$1,generator!$B$2:$B$295,generator!$K$2:$K$295,"ARGH")</f>
        <v>16</v>
      </c>
      <c r="HW21" s="3">
        <f>_xlfn.XLOOKUP(HW$1,generator!$B$2:$B$295,generator!$K$2:$K$295,"ARGH")</f>
        <v>5</v>
      </c>
      <c r="HX21" s="3">
        <f>_xlfn.XLOOKUP(HX$1,generator!$B$2:$B$295,generator!$K$2:$K$295,"ARGH")</f>
        <v>5</v>
      </c>
      <c r="HY21" s="3">
        <f>_xlfn.XLOOKUP(HY$1,generator!$B$2:$B$295,generator!$K$2:$K$295,"ARGH")</f>
        <v>63</v>
      </c>
      <c r="HZ21" s="3">
        <f>_xlfn.XLOOKUP(HZ$1,generator!$B$2:$B$295,generator!$K$2:$K$295,"ARGH")</f>
        <v>18</v>
      </c>
      <c r="IA21" s="3">
        <f>_xlfn.XLOOKUP(IA$1,generator!$B$2:$B$295,generator!$K$2:$K$295,"ARGH")</f>
        <v>121</v>
      </c>
      <c r="IB21" s="3">
        <f>_xlfn.XLOOKUP(IB$1,generator!$B$2:$B$295,generator!$K$2:$K$295,"ARGH")</f>
        <v>120</v>
      </c>
      <c r="IC21" s="3">
        <f>_xlfn.XLOOKUP(IC$1,generator!$B$2:$B$295,generator!$K$2:$K$295,"ARGH")</f>
        <v>0</v>
      </c>
      <c r="ID21" s="3">
        <f>_xlfn.XLOOKUP(ID$1,generator!$B$2:$B$295,generator!$K$2:$K$295,"ARGH")</f>
        <v>17</v>
      </c>
      <c r="IE21" s="3">
        <f>_xlfn.XLOOKUP(IE$1,generator!$B$2:$B$295,generator!$K$2:$K$295,"ARGH")</f>
        <v>194</v>
      </c>
      <c r="IF21" s="3">
        <f>_xlfn.XLOOKUP(IF$1,generator!$B$2:$B$295,generator!$K$2:$K$295,"ARGH")</f>
        <v>11.9</v>
      </c>
      <c r="IG21" s="3">
        <f>_xlfn.XLOOKUP(IG$1,generator!$B$2:$B$295,generator!$K$2:$K$295,"ARGH")</f>
        <v>11.9</v>
      </c>
      <c r="IH21" s="3">
        <f>_xlfn.XLOOKUP(IH$1,generator!$B$2:$B$295,generator!$K$2:$K$295,"ARGH")</f>
        <v>11.9</v>
      </c>
      <c r="II21" s="3">
        <f>_xlfn.XLOOKUP(II$1,generator!$B$2:$B$295,generator!$K$2:$K$295,"ARGH")</f>
        <v>11.9</v>
      </c>
      <c r="IJ21" s="3">
        <f>_xlfn.XLOOKUP(IJ$1,generator!$B$2:$B$295,generator!$K$2:$K$295,"ARGH")</f>
        <v>0</v>
      </c>
      <c r="IK21" s="3">
        <f>_xlfn.XLOOKUP(IK$1,generator!$B$2:$B$295,generator!$K$2:$K$295,"ARGH")</f>
        <v>3</v>
      </c>
      <c r="IL21" s="3">
        <f>_xlfn.XLOOKUP(IL$1,generator!$B$2:$B$295,generator!$K$2:$K$295,"ARGH")</f>
        <v>5</v>
      </c>
      <c r="IM21" s="3">
        <f>_xlfn.XLOOKUP(IM$1,generator!$B$2:$B$295,generator!$K$2:$K$295,"ARGH")</f>
        <v>5</v>
      </c>
      <c r="IN21" s="3">
        <f>_xlfn.XLOOKUP(IN$1,generator!$B$2:$B$295,generator!$K$2:$K$295,"ARGH")</f>
        <v>4</v>
      </c>
      <c r="IO21" s="3">
        <f>_xlfn.XLOOKUP(IO$1,generator!$B$2:$B$295,generator!$K$2:$K$295,"ARGH")</f>
        <v>4</v>
      </c>
      <c r="IP21" s="3">
        <f>_xlfn.XLOOKUP(IP$1,generator!$B$2:$B$295,generator!$K$2:$K$295,"ARGH")</f>
        <v>3</v>
      </c>
      <c r="IQ21" s="3">
        <f>_xlfn.XLOOKUP(IQ$1,generator!$B$2:$B$295,generator!$K$2:$K$295,"ARGH")</f>
        <v>1</v>
      </c>
      <c r="IR21" s="3">
        <f>_xlfn.XLOOKUP(IR$1,generator!$B$2:$B$295,generator!$K$2:$K$295,"ARGH")</f>
        <v>3</v>
      </c>
      <c r="IS21" s="3">
        <f>_xlfn.XLOOKUP(IS$1,generator!$B$2:$B$295,generator!$K$2:$K$295,"ARGH")</f>
        <v>3</v>
      </c>
      <c r="IT21" s="3">
        <f>_xlfn.XLOOKUP(IT$1,generator!$B$2:$B$295,generator!$K$2:$K$295,"ARGH")</f>
        <v>0</v>
      </c>
      <c r="IU21" s="3">
        <f>_xlfn.XLOOKUP(IU$1,generator!$B$2:$B$295,generator!$K$2:$K$295,"ARGH")</f>
        <v>3.99</v>
      </c>
      <c r="IV21" s="3">
        <f>_xlfn.XLOOKUP(IV$1,generator!$B$2:$B$295,generator!$K$2:$K$295,"ARGH")</f>
        <v>0.2</v>
      </c>
      <c r="IW21" s="3">
        <f>_xlfn.XLOOKUP(IW$1,generator!$B$2:$B$295,generator!$K$2:$K$295,"ARGH")</f>
        <v>15</v>
      </c>
      <c r="IX21" s="3">
        <f>_xlfn.XLOOKUP(IX$1,generator!$B$2:$B$295,generator!$K$2:$K$295,"ARGH")</f>
        <v>15</v>
      </c>
      <c r="IY21" s="3">
        <f>_xlfn.XLOOKUP(IY$1,generator!$B$2:$B$295,generator!$K$2:$K$295,"ARGH")</f>
        <v>15</v>
      </c>
      <c r="IZ21" s="3">
        <f>_xlfn.XLOOKUP(IZ$1,generator!$B$2:$B$295,generator!$K$2:$K$295,"ARGH")</f>
        <v>120</v>
      </c>
      <c r="JA21" s="3">
        <f>_xlfn.XLOOKUP(JA$1,generator!$B$2:$B$295,generator!$K$2:$K$295,"ARGH")</f>
        <v>40</v>
      </c>
      <c r="JB21" s="3">
        <f>_xlfn.XLOOKUP(JB$1,generator!$B$2:$B$295,generator!$K$2:$K$295,"ARGH")</f>
        <v>40</v>
      </c>
      <c r="JC21" s="3">
        <f>_xlfn.XLOOKUP(JC$1,generator!$B$2:$B$295,generator!$K$2:$K$295,"ARGH")</f>
        <v>113</v>
      </c>
      <c r="JD21" s="3">
        <f>_xlfn.XLOOKUP(JD$1,generator!$B$2:$B$295,generator!$K$2:$K$295,"ARGH")</f>
        <v>113</v>
      </c>
      <c r="JE21" s="3">
        <f>_xlfn.XLOOKUP(JE$1,generator!$B$2:$B$295,generator!$K$2:$K$295,"ARGH")</f>
        <v>211</v>
      </c>
      <c r="JF21" s="3">
        <f>_xlfn.XLOOKUP(JF$1,generator!$B$2:$B$295,generator!$K$2:$K$295,"ARGH")</f>
        <v>22.5</v>
      </c>
      <c r="JG21" s="3">
        <f>_xlfn.XLOOKUP(JG$1,generator!$B$2:$B$295,generator!$K$2:$K$295,"ARGH")</f>
        <v>1</v>
      </c>
      <c r="JH21" s="3">
        <f>_xlfn.XLOOKUP(JH$1,generator!$B$2:$B$295,generator!$K$2:$K$295,"ARGH")</f>
        <v>160</v>
      </c>
      <c r="JI21" s="3">
        <f>_xlfn.XLOOKUP(JI$1,generator!$B$2:$B$295,generator!$K$2:$K$295,"ARGH")</f>
        <v>165</v>
      </c>
      <c r="JJ21" s="3">
        <f>_xlfn.XLOOKUP(JJ$1,generator!$B$2:$B$295,generator!$K$2:$K$295,"ARGH")</f>
        <v>4.5999999999999996</v>
      </c>
      <c r="JK21" s="3">
        <f>_xlfn.XLOOKUP(JK$1,generator!$B$2:$B$295,generator!$K$2:$K$295,"ARGH")</f>
        <v>4.5999999999999996</v>
      </c>
      <c r="JL21" s="3">
        <f>_xlfn.XLOOKUP(JL$1,generator!$B$2:$B$295,generator!$K$2:$K$295,"ARGH")</f>
        <v>4.5999999999999996</v>
      </c>
      <c r="JM21" s="3">
        <f>_xlfn.XLOOKUP(JM$1,generator!$B$2:$B$295,generator!$K$2:$K$295,"ARGH")</f>
        <v>4.5999999999999996</v>
      </c>
      <c r="JN21" s="3">
        <f>_xlfn.XLOOKUP(JN$1,generator!$B$2:$B$295,generator!$K$2:$K$295,"ARGH")</f>
        <v>4.5999999999999996</v>
      </c>
      <c r="JO21" s="3">
        <f>_xlfn.XLOOKUP(JO$1,generator!$B$2:$B$295,generator!$K$2:$K$295,"ARGH")</f>
        <v>4.5999999999999996</v>
      </c>
      <c r="JP21" s="3">
        <f>_xlfn.XLOOKUP(JP$1,generator!$B$2:$B$295,generator!$K$2:$K$295,"ARGH")</f>
        <v>110</v>
      </c>
      <c r="JQ21" s="3">
        <f>_xlfn.XLOOKUP(JQ$1,generator!$B$2:$B$295,generator!$K$2:$K$295,"ARGH")</f>
        <v>22.7</v>
      </c>
      <c r="JR21" s="3">
        <f>_xlfn.XLOOKUP(JR$1,generator!$B$2:$B$295,generator!$K$2:$K$295,"ARGH")</f>
        <v>147</v>
      </c>
      <c r="JS21" s="3">
        <f>_xlfn.XLOOKUP(JS$1,generator!$B$2:$B$295,generator!$K$2:$K$295,"ARGH")</f>
        <v>147</v>
      </c>
      <c r="JT21" s="3">
        <f>_xlfn.XLOOKUP(JT$1,generator!$B$2:$B$295,generator!$K$2:$K$295,"ARGH")</f>
        <v>22.7</v>
      </c>
      <c r="JU21" s="3">
        <f>_xlfn.XLOOKUP(JU$1,generator!$B$2:$B$295,generator!$K$2:$K$295,"ARGH")</f>
        <v>21.5</v>
      </c>
      <c r="JV21" s="3">
        <f>_xlfn.XLOOKUP(JV$1,generator!$B$2:$B$295,generator!$K$2:$K$295,"ARGH")</f>
        <v>120</v>
      </c>
      <c r="JW21" s="3">
        <f>_xlfn.XLOOKUP(JW$1,generator!$B$2:$B$295,generator!$K$2:$K$295,"ARGH")</f>
        <v>120</v>
      </c>
      <c r="JX21" s="3">
        <f>_xlfn.XLOOKUP(JX$1,generator!$B$2:$B$295,generator!$K$2:$K$295,"ARGH")</f>
        <v>1</v>
      </c>
      <c r="JY21" s="3">
        <f>_xlfn.XLOOKUP(JY$1,generator!$B$2:$B$295,generator!$K$2:$K$295,"ARGH")</f>
        <v>41.15</v>
      </c>
      <c r="JZ21" s="3">
        <f>_xlfn.XLOOKUP(JZ$1,generator!$B$2:$B$295,generator!$K$2:$K$295,"ARGH")</f>
        <v>5</v>
      </c>
      <c r="KA21" s="3">
        <f>_xlfn.XLOOKUP(KA$1,generator!$B$2:$B$295,generator!$K$2:$K$295,"ARGH")</f>
        <v>5</v>
      </c>
      <c r="KB21" s="3">
        <f>_xlfn.XLOOKUP(KB$1,generator!$B$2:$B$295,generator!$K$2:$K$295,"ARGH")</f>
        <v>5</v>
      </c>
      <c r="KC21" s="3">
        <f>_xlfn.XLOOKUP(KC$1,generator!$B$2:$B$295,generator!$K$2:$K$295,"ARGH")</f>
        <v>5</v>
      </c>
    </row>
    <row r="22" spans="1:289" x14ac:dyDescent="0.3">
      <c r="A22" s="4" t="s">
        <v>3017</v>
      </c>
      <c r="B22" s="31">
        <v>427</v>
      </c>
      <c r="C22" s="31">
        <v>513.5</v>
      </c>
      <c r="D22" s="31">
        <v>442</v>
      </c>
      <c r="E22" s="3">
        <f>_xlfn.XLOOKUP(E$1,generator!$B$2:$B$295,generator!$K$2:$K$295,"ARGH")</f>
        <v>0</v>
      </c>
      <c r="F22" s="3">
        <f>_xlfn.XLOOKUP(F$1,generator!$B$2:$B$295,generator!$K$2:$K$295,"ARGH")</f>
        <v>0</v>
      </c>
      <c r="G22" s="3">
        <f>_xlfn.XLOOKUP(G$1,generator!$B$2:$B$295,generator!$K$2:$K$295,"ARGH")</f>
        <v>0</v>
      </c>
      <c r="H22" s="3">
        <f>_xlfn.XLOOKUP(H$1,generator!$B$2:$B$295,generator!$K$2:$K$295,"ARGH")</f>
        <v>0</v>
      </c>
      <c r="I22" s="3">
        <f>_xlfn.XLOOKUP(I$1,generator!$B$2:$B$295,generator!$K$2:$K$295,"ARGH")</f>
        <v>0</v>
      </c>
      <c r="J22" s="3">
        <f>_xlfn.XLOOKUP(J$1,generator!$B$2:$B$295,generator!$K$2:$K$295,"ARGH")</f>
        <v>0</v>
      </c>
      <c r="K22" s="3">
        <f>_xlfn.XLOOKUP(K$1,generator!$B$2:$B$295,generator!$K$2:$K$295,"ARGH")</f>
        <v>0</v>
      </c>
      <c r="L22" s="3">
        <f>_xlfn.XLOOKUP(L$1,generator!$B$2:$B$295,generator!$K$2:$K$295,"ARGH")</f>
        <v>0</v>
      </c>
      <c r="M22" s="3">
        <f>_xlfn.XLOOKUP(M$1,generator!$B$2:$B$295,generator!$K$2:$K$295,"ARGH")</f>
        <v>0</v>
      </c>
      <c r="N22" s="3">
        <f>_xlfn.XLOOKUP(N$1,generator!$B$2:$B$295,generator!$K$2:$K$295,"ARGH")</f>
        <v>0</v>
      </c>
      <c r="O22" s="3">
        <f>_xlfn.XLOOKUP(O$1,generator!$B$2:$B$295,generator!$K$2:$K$295,"ARGH")</f>
        <v>0</v>
      </c>
      <c r="P22" s="3">
        <f>_xlfn.XLOOKUP(P$1,generator!$B$2:$B$295,generator!$K$2:$K$295,"ARGH")</f>
        <v>0</v>
      </c>
      <c r="Q22" s="3">
        <f>_xlfn.XLOOKUP(Q$1,generator!$B$2:$B$295,generator!$K$2:$K$295,"ARGH")</f>
        <v>0</v>
      </c>
      <c r="R22" s="3">
        <f>_xlfn.XLOOKUP(R$1,generator!$B$2:$B$295,generator!$K$2:$K$295,"ARGH")</f>
        <v>0</v>
      </c>
      <c r="S22" s="3">
        <f>_xlfn.XLOOKUP(S$1,generator!$B$2:$B$295,generator!$K$2:$K$295,"ARGH")</f>
        <v>0</v>
      </c>
      <c r="T22" s="3">
        <f>_xlfn.XLOOKUP(T$1,generator!$B$2:$B$295,generator!$K$2:$K$295,"ARGH")</f>
        <v>0</v>
      </c>
      <c r="U22" s="3">
        <f>_xlfn.XLOOKUP(U$1,generator!$B$2:$B$295,generator!$K$2:$K$295,"ARGH")</f>
        <v>0</v>
      </c>
      <c r="V22" s="3">
        <f>_xlfn.XLOOKUP(V$1,generator!$B$2:$B$295,generator!$K$2:$K$295,"ARGH")</f>
        <v>0</v>
      </c>
      <c r="W22" s="3">
        <f>_xlfn.XLOOKUP(W$1,generator!$B$2:$B$295,generator!$K$2:$K$295,"ARGH")</f>
        <v>0</v>
      </c>
      <c r="X22" s="3">
        <f>_xlfn.XLOOKUP(X$1,generator!$B$2:$B$295,generator!$K$2:$K$295,"ARGH")</f>
        <v>0</v>
      </c>
      <c r="Y22" s="3">
        <f>_xlfn.XLOOKUP(Y$1,generator!$B$2:$B$295,generator!$K$2:$K$295,"ARGH")</f>
        <v>0</v>
      </c>
      <c r="Z22" s="3">
        <f>_xlfn.XLOOKUP(Z$1,generator!$B$2:$B$295,generator!$K$2:$K$295,"ARGH")</f>
        <v>0</v>
      </c>
      <c r="AA22" s="3">
        <f>_xlfn.XLOOKUP(AA$1,generator!$B$2:$B$295,generator!$K$2:$K$295,"ARGH")</f>
        <v>0</v>
      </c>
      <c r="AB22" s="3">
        <f>_xlfn.XLOOKUP(AB$1,generator!$B$2:$B$295,generator!$K$2:$K$295,"ARGH")</f>
        <v>0</v>
      </c>
      <c r="AC22" s="3">
        <f>_xlfn.XLOOKUP(AC$1,generator!$B$2:$B$295,generator!$K$2:$K$295,"ARGH")</f>
        <v>0</v>
      </c>
      <c r="AD22" s="3">
        <f>_xlfn.XLOOKUP(AD$1,generator!$B$2:$B$295,generator!$K$2:$K$295,"ARGH")</f>
        <v>0</v>
      </c>
      <c r="AE22" s="3">
        <f>_xlfn.XLOOKUP(AE$1,generator!$B$2:$B$295,generator!$K$2:$K$295,"ARGH")</f>
        <v>0</v>
      </c>
      <c r="AF22" s="3">
        <f>_xlfn.XLOOKUP(AF$1,generator!$B$2:$B$295,generator!$K$2:$K$295,"ARGH")</f>
        <v>0</v>
      </c>
      <c r="AG22" s="3">
        <f>_xlfn.XLOOKUP(AG$1,generator!$B$2:$B$295,generator!$K$2:$K$295,"ARGH")</f>
        <v>0</v>
      </c>
      <c r="AH22" s="3">
        <f>_xlfn.XLOOKUP(AH$1,generator!$B$2:$B$295,generator!$K$2:$K$295,"ARGH")</f>
        <v>0</v>
      </c>
      <c r="AI22" s="3">
        <f>_xlfn.XLOOKUP(AI$1,generator!$B$2:$B$295,generator!$K$2:$K$295,"ARGH")</f>
        <v>0</v>
      </c>
      <c r="AJ22" s="3">
        <f>_xlfn.XLOOKUP(AJ$1,generator!$B$2:$B$295,generator!$K$2:$K$295,"ARGH")</f>
        <v>0</v>
      </c>
      <c r="AK22" s="3">
        <f>_xlfn.XLOOKUP(AK$1,generator!$B$2:$B$295,generator!$K$2:$K$295,"ARGH")</f>
        <v>0</v>
      </c>
      <c r="AL22" s="3">
        <f>_xlfn.XLOOKUP(AL$1,generator!$B$2:$B$295,generator!$K$2:$K$295,"ARGH")</f>
        <v>0</v>
      </c>
      <c r="AM22" s="3">
        <f>_xlfn.XLOOKUP(AM$1,generator!$B$2:$B$295,generator!$K$2:$K$295,"ARGH")</f>
        <v>0</v>
      </c>
      <c r="AN22" s="3">
        <f>_xlfn.XLOOKUP(AN$1,generator!$B$2:$B$295,generator!$K$2:$K$295,"ARGH")</f>
        <v>0</v>
      </c>
      <c r="AO22" s="3">
        <f>_xlfn.XLOOKUP(AO$1,generator!$B$2:$B$295,generator!$K$2:$K$295,"ARGH")</f>
        <v>0</v>
      </c>
      <c r="AP22" s="3">
        <f>_xlfn.XLOOKUP(AP$1,generator!$B$2:$B$295,generator!$K$2:$K$295,"ARGH")</f>
        <v>0</v>
      </c>
      <c r="AQ22" s="3">
        <f>_xlfn.XLOOKUP(AQ$1,generator!$B$2:$B$295,generator!$K$2:$K$295,"ARGH")</f>
        <v>0</v>
      </c>
      <c r="AR22" s="3">
        <f>_xlfn.XLOOKUP(AR$1,generator!$B$2:$B$295,generator!$K$2:$K$295,"ARGH")</f>
        <v>0</v>
      </c>
      <c r="AS22" s="3">
        <f>_xlfn.XLOOKUP(AS$1,generator!$B$2:$B$295,generator!$K$2:$K$295,"ARGH")</f>
        <v>0</v>
      </c>
      <c r="AT22" s="3">
        <f>_xlfn.XLOOKUP(AT$1,generator!$B$2:$B$295,generator!$K$2:$K$295,"ARGH")</f>
        <v>0</v>
      </c>
      <c r="AU22" s="3">
        <f>_xlfn.XLOOKUP(AU$1,generator!$B$2:$B$295,generator!$K$2:$K$295,"ARGH")</f>
        <v>0</v>
      </c>
      <c r="AV22" s="3">
        <f>_xlfn.XLOOKUP(AV$1,generator!$B$2:$B$295,generator!$K$2:$K$295,"ARGH")</f>
        <v>0</v>
      </c>
      <c r="AW22" s="3">
        <f>_xlfn.XLOOKUP(AW$1,generator!$B$2:$B$295,generator!$K$2:$K$295,"ARGH")</f>
        <v>0</v>
      </c>
      <c r="AX22" s="3">
        <f>_xlfn.XLOOKUP(AX$1,generator!$B$2:$B$295,generator!$K$2:$K$295,"ARGH")</f>
        <v>0</v>
      </c>
      <c r="AY22" s="3">
        <f>_xlfn.XLOOKUP(AY$1,generator!$B$2:$B$295,generator!$K$2:$K$295,"ARGH")</f>
        <v>0</v>
      </c>
      <c r="AZ22" s="3">
        <f>_xlfn.XLOOKUP(AZ$1,generator!$B$2:$B$295,generator!$K$2:$K$295,"ARGH")</f>
        <v>0</v>
      </c>
      <c r="BA22" s="3">
        <f>_xlfn.XLOOKUP(BA$1,generator!$B$2:$B$295,generator!$K$2:$K$295,"ARGH")</f>
        <v>0</v>
      </c>
      <c r="BB22" s="3">
        <f>_xlfn.XLOOKUP(BB$1,generator!$B$2:$B$295,generator!$K$2:$K$295,"ARGH")</f>
        <v>0</v>
      </c>
      <c r="BC22" s="3">
        <f>_xlfn.XLOOKUP(BC$1,generator!$B$2:$B$295,generator!$K$2:$K$295,"ARGH")</f>
        <v>0</v>
      </c>
      <c r="BD22" s="3">
        <f>_xlfn.XLOOKUP(BD$1,generator!$B$2:$B$295,generator!$K$2:$K$295,"ARGH")</f>
        <v>0</v>
      </c>
      <c r="BE22" s="3">
        <f>_xlfn.XLOOKUP(BE$1,generator!$B$2:$B$295,generator!$K$2:$K$295,"ARGH")</f>
        <v>0</v>
      </c>
      <c r="BF22" s="3">
        <f>_xlfn.XLOOKUP(BF$1,generator!$B$2:$B$295,generator!$K$2:$K$295,"ARGH")</f>
        <v>0</v>
      </c>
      <c r="BG22" s="3">
        <f>_xlfn.XLOOKUP(BG$1,generator!$B$2:$B$295,generator!$K$2:$K$295,"ARGH")</f>
        <v>0</v>
      </c>
      <c r="BH22" s="3">
        <f>_xlfn.XLOOKUP(BH$1,generator!$B$2:$B$295,generator!$K$2:$K$295,"ARGH")</f>
        <v>0</v>
      </c>
      <c r="BI22" s="3">
        <f>_xlfn.XLOOKUP(BI$1,generator!$B$2:$B$295,generator!$K$2:$K$295,"ARGH")</f>
        <v>0</v>
      </c>
      <c r="BJ22" s="3">
        <f>_xlfn.XLOOKUP(BJ$1,generator!$B$2:$B$295,generator!$K$2:$K$295,"ARGH")</f>
        <v>0</v>
      </c>
      <c r="BK22" s="3">
        <f>_xlfn.XLOOKUP(BK$1,generator!$B$2:$B$295,generator!$K$2:$K$295,"ARGH")</f>
        <v>0</v>
      </c>
      <c r="BL22" s="3">
        <f>_xlfn.XLOOKUP(BL$1,generator!$B$2:$B$295,generator!$K$2:$K$295,"ARGH")</f>
        <v>0</v>
      </c>
      <c r="BM22" s="3">
        <f>_xlfn.XLOOKUP(BM$1,generator!$B$2:$B$295,generator!$K$2:$K$295,"ARGH")</f>
        <v>0</v>
      </c>
      <c r="BN22" s="3">
        <f>_xlfn.XLOOKUP(BN$1,generator!$B$2:$B$295,generator!$K$2:$K$295,"ARGH")</f>
        <v>0</v>
      </c>
      <c r="BO22" s="3">
        <f>_xlfn.XLOOKUP(BO$1,generator!$B$2:$B$295,generator!$K$2:$K$295,"ARGH")</f>
        <v>0</v>
      </c>
      <c r="BP22" s="3">
        <f>_xlfn.XLOOKUP(BP$1,generator!$B$2:$B$295,generator!$K$2:$K$295,"ARGH")</f>
        <v>0</v>
      </c>
      <c r="BQ22" s="3">
        <f>_xlfn.XLOOKUP(BQ$1,generator!$B$2:$B$295,generator!$K$2:$K$295,"ARGH")</f>
        <v>0</v>
      </c>
      <c r="BR22" s="3">
        <f>_xlfn.XLOOKUP(BR$1,generator!$B$2:$B$295,generator!$K$2:$K$295,"ARGH")</f>
        <v>0</v>
      </c>
      <c r="BS22" s="3">
        <f>_xlfn.XLOOKUP(BS$1,generator!$B$2:$B$295,generator!$K$2:$K$295,"ARGH")</f>
        <v>0</v>
      </c>
      <c r="BT22" s="3">
        <f>_xlfn.XLOOKUP(BT$1,generator!$B$2:$B$295,generator!$K$2:$K$295,"ARGH")</f>
        <v>0</v>
      </c>
      <c r="BU22" s="3">
        <f>_xlfn.XLOOKUP(BU$1,generator!$B$2:$B$295,generator!$K$2:$K$295,"ARGH")</f>
        <v>0</v>
      </c>
      <c r="BV22" s="3">
        <f>_xlfn.XLOOKUP(BV$1,generator!$B$2:$B$295,generator!$K$2:$K$295,"ARGH")</f>
        <v>0</v>
      </c>
      <c r="BW22" s="3">
        <f>_xlfn.XLOOKUP(BW$1,generator!$B$2:$B$295,generator!$K$2:$K$295,"ARGH")</f>
        <v>0</v>
      </c>
      <c r="BX22" s="3">
        <f>_xlfn.XLOOKUP(BX$1,generator!$B$2:$B$295,generator!$K$2:$K$295,"ARGH")</f>
        <v>0</v>
      </c>
      <c r="BY22" s="3">
        <f>_xlfn.XLOOKUP(BY$1,generator!$B$2:$B$295,generator!$K$2:$K$295,"ARGH")</f>
        <v>0</v>
      </c>
      <c r="BZ22" s="3">
        <f>_xlfn.XLOOKUP(BZ$1,generator!$B$2:$B$295,generator!$K$2:$K$295,"ARGH")</f>
        <v>0</v>
      </c>
      <c r="CA22" s="3">
        <f>_xlfn.XLOOKUP(CA$1,generator!$B$2:$B$295,generator!$K$2:$K$295,"ARGH")</f>
        <v>0</v>
      </c>
      <c r="CB22" s="3">
        <f>_xlfn.XLOOKUP(CB$1,generator!$B$2:$B$295,generator!$K$2:$K$295,"ARGH")</f>
        <v>0</v>
      </c>
      <c r="CC22" s="3">
        <f>_xlfn.XLOOKUP(CC$1,generator!$B$2:$B$295,generator!$K$2:$K$295,"ARGH")</f>
        <v>0</v>
      </c>
      <c r="CD22" s="3">
        <f>_xlfn.XLOOKUP(CD$1,generator!$B$2:$B$295,generator!$K$2:$K$295,"ARGH")</f>
        <v>0</v>
      </c>
      <c r="CE22" s="3">
        <f>_xlfn.XLOOKUP(CE$1,generator!$B$2:$B$295,generator!$K$2:$K$295,"ARGH")</f>
        <v>0</v>
      </c>
      <c r="CF22" s="3">
        <f>_xlfn.XLOOKUP(CF$1,generator!$B$2:$B$295,generator!$K$2:$K$295,"ARGH")</f>
        <v>0</v>
      </c>
      <c r="CG22" s="3">
        <f>_xlfn.XLOOKUP(CG$1,generator!$B$2:$B$295,generator!$K$2:$K$295,"ARGH")</f>
        <v>0</v>
      </c>
      <c r="CH22" s="3">
        <f>_xlfn.XLOOKUP(CH$1,generator!$B$2:$B$295,generator!$K$2:$K$295,"ARGH")</f>
        <v>0</v>
      </c>
      <c r="CI22" s="3">
        <f>_xlfn.XLOOKUP(CI$1,generator!$B$2:$B$295,generator!$K$2:$K$295,"ARGH")</f>
        <v>0</v>
      </c>
      <c r="CJ22" s="3">
        <f>_xlfn.XLOOKUP(CJ$1,generator!$B$2:$B$295,generator!$K$2:$K$295,"ARGH")</f>
        <v>0</v>
      </c>
      <c r="CK22" s="3">
        <f>_xlfn.XLOOKUP(CK$1,generator!$B$2:$B$295,generator!$K$2:$K$295,"ARGH")</f>
        <v>0</v>
      </c>
      <c r="CL22" s="3">
        <f>_xlfn.XLOOKUP(CL$1,generator!$B$2:$B$295,generator!$K$2:$K$295,"ARGH")</f>
        <v>0</v>
      </c>
      <c r="CM22" s="3">
        <f>_xlfn.XLOOKUP(CM$1,generator!$B$2:$B$295,generator!$K$2:$K$295,"ARGH")</f>
        <v>0</v>
      </c>
      <c r="CN22" s="3">
        <f>_xlfn.XLOOKUP(CN$1,generator!$B$2:$B$295,generator!$K$2:$K$295,"ARGH")</f>
        <v>0</v>
      </c>
      <c r="CO22" s="3">
        <f>_xlfn.XLOOKUP(CO$1,generator!$B$2:$B$295,generator!$K$2:$K$295,"ARGH")</f>
        <v>0</v>
      </c>
      <c r="CP22" s="3">
        <f>_xlfn.XLOOKUP(CP$1,generator!$B$2:$B$295,generator!$K$2:$K$295,"ARGH")</f>
        <v>0</v>
      </c>
      <c r="CQ22" s="3">
        <f>_xlfn.XLOOKUP(CQ$1,generator!$B$2:$B$295,generator!$K$2:$K$295,"ARGH")</f>
        <v>0</v>
      </c>
      <c r="CR22" s="3">
        <f>_xlfn.XLOOKUP(CR$1,generator!$B$2:$B$295,generator!$K$2:$K$295,"ARGH")</f>
        <v>0</v>
      </c>
      <c r="CS22" s="3">
        <f>_xlfn.XLOOKUP(CS$1,generator!$B$2:$B$295,generator!$K$2:$K$295,"ARGH")</f>
        <v>0</v>
      </c>
      <c r="CT22" s="3">
        <f>_xlfn.XLOOKUP(CT$1,generator!$B$2:$B$295,generator!$K$2:$K$295,"ARGH")</f>
        <v>0</v>
      </c>
      <c r="CU22" s="3">
        <f>_xlfn.XLOOKUP(CU$1,generator!$B$2:$B$295,generator!$K$2:$K$295,"ARGH")</f>
        <v>0</v>
      </c>
      <c r="CV22" s="3">
        <f>_xlfn.XLOOKUP(CV$1,generator!$B$2:$B$295,generator!$K$2:$K$295,"ARGH")</f>
        <v>0</v>
      </c>
      <c r="CW22" s="3">
        <f>_xlfn.XLOOKUP(CW$1,generator!$B$2:$B$295,generator!$K$2:$K$295,"ARGH")</f>
        <v>0</v>
      </c>
      <c r="CX22" s="3">
        <f>_xlfn.XLOOKUP(CX$1,generator!$B$2:$B$295,generator!$K$2:$K$295,"ARGH")</f>
        <v>0</v>
      </c>
      <c r="CY22" s="3">
        <f>_xlfn.XLOOKUP(CY$1,generator!$B$2:$B$295,generator!$K$2:$K$295,"ARGH")</f>
        <v>0</v>
      </c>
      <c r="CZ22" s="3">
        <f>_xlfn.XLOOKUP(CZ$1,generator!$B$2:$B$295,generator!$K$2:$K$295,"ARGH")</f>
        <v>0</v>
      </c>
      <c r="DA22" s="3">
        <f>_xlfn.XLOOKUP(DA$1,generator!$B$2:$B$295,generator!$K$2:$K$295,"ARGH")</f>
        <v>0</v>
      </c>
      <c r="DB22" s="3">
        <f>_xlfn.XLOOKUP(DB$1,generator!$B$2:$B$295,generator!$K$2:$K$295,"ARGH")</f>
        <v>0</v>
      </c>
      <c r="DC22" s="3">
        <f>_xlfn.XLOOKUP(DC$1,generator!$B$2:$B$295,generator!$K$2:$K$295,"ARGH")</f>
        <v>0</v>
      </c>
      <c r="DD22" s="3">
        <f>_xlfn.XLOOKUP(DD$1,generator!$B$2:$B$295,generator!$K$2:$K$295,"ARGH")</f>
        <v>0</v>
      </c>
      <c r="DE22" s="3">
        <f>_xlfn.XLOOKUP(DE$1,generator!$B$2:$B$295,generator!$K$2:$K$295,"ARGH")</f>
        <v>0</v>
      </c>
      <c r="DF22" s="3">
        <f>_xlfn.XLOOKUP(DF$1,generator!$B$2:$B$295,generator!$K$2:$K$295,"ARGH")</f>
        <v>0</v>
      </c>
      <c r="DG22" s="3">
        <f>_xlfn.XLOOKUP(DG$1,generator!$B$2:$B$295,generator!$K$2:$K$295,"ARGH")</f>
        <v>0</v>
      </c>
      <c r="DH22" s="3">
        <f>_xlfn.XLOOKUP(DH$1,generator!$B$2:$B$295,generator!$K$2:$K$295,"ARGH")</f>
        <v>0</v>
      </c>
      <c r="DI22" s="3">
        <f>_xlfn.XLOOKUP(DI$1,generator!$B$2:$B$295,generator!$K$2:$K$295,"ARGH")</f>
        <v>0</v>
      </c>
      <c r="DJ22" s="3">
        <f>_xlfn.XLOOKUP(DJ$1,generator!$B$2:$B$295,generator!$K$2:$K$295,"ARGH")</f>
        <v>0</v>
      </c>
      <c r="DK22" s="3">
        <f>_xlfn.XLOOKUP(DK$1,generator!$B$2:$B$295,generator!$K$2:$K$295,"ARGH")</f>
        <v>0</v>
      </c>
      <c r="DL22" s="3">
        <f>_xlfn.XLOOKUP(DL$1,generator!$B$2:$B$295,generator!$K$2:$K$295,"ARGH")</f>
        <v>0</v>
      </c>
      <c r="DM22" s="3">
        <f>_xlfn.XLOOKUP(DM$1,generator!$B$2:$B$295,generator!$K$2:$K$295,"ARGH")</f>
        <v>0</v>
      </c>
      <c r="DN22" s="3">
        <f>_xlfn.XLOOKUP(DN$1,generator!$B$2:$B$295,generator!$K$2:$K$295,"ARGH")</f>
        <v>0</v>
      </c>
      <c r="DO22" s="3">
        <f>_xlfn.XLOOKUP(DO$1,generator!$B$2:$B$295,generator!$K$2:$K$295,"ARGH")</f>
        <v>0</v>
      </c>
      <c r="DP22" s="3">
        <f>_xlfn.XLOOKUP(DP$1,generator!$B$2:$B$295,generator!$K$2:$K$295,"ARGH")</f>
        <v>0</v>
      </c>
      <c r="DQ22" s="3">
        <f>_xlfn.XLOOKUP(DQ$1,generator!$B$2:$B$295,generator!$K$2:$K$295,"ARGH")</f>
        <v>0</v>
      </c>
      <c r="DR22" s="3">
        <f>_xlfn.XLOOKUP(DR$1,generator!$B$2:$B$295,generator!$K$2:$K$295,"ARGH")</f>
        <v>0</v>
      </c>
      <c r="DS22" s="3">
        <f>_xlfn.XLOOKUP(DS$1,generator!$B$2:$B$295,generator!$K$2:$K$295,"ARGH")</f>
        <v>0</v>
      </c>
      <c r="DT22" s="3">
        <f>_xlfn.XLOOKUP(DT$1,generator!$B$2:$B$295,generator!$K$2:$K$295,"ARGH")</f>
        <v>0</v>
      </c>
      <c r="DU22" s="3">
        <f>_xlfn.XLOOKUP(DU$1,generator!$B$2:$B$295,generator!$K$2:$K$295,"ARGH")</f>
        <v>0</v>
      </c>
      <c r="DV22" s="3">
        <f>_xlfn.XLOOKUP(DV$1,generator!$B$2:$B$295,generator!$K$2:$K$295,"ARGH")</f>
        <v>0</v>
      </c>
      <c r="DW22" s="3">
        <f>_xlfn.XLOOKUP(DW$1,generator!$B$2:$B$295,generator!$K$2:$K$295,"ARGH")</f>
        <v>0</v>
      </c>
      <c r="DX22" s="3">
        <f>_xlfn.XLOOKUP(DX$1,generator!$B$2:$B$295,generator!$K$2:$K$295,"ARGH")</f>
        <v>0</v>
      </c>
      <c r="DY22" s="3">
        <f>_xlfn.XLOOKUP(DY$1,generator!$B$2:$B$295,generator!$K$2:$K$295,"ARGH")</f>
        <v>0</v>
      </c>
      <c r="DZ22" s="3">
        <f>_xlfn.XLOOKUP(DZ$1,generator!$B$2:$B$295,generator!$K$2:$K$295,"ARGH")</f>
        <v>0</v>
      </c>
      <c r="EA22" s="3">
        <f>_xlfn.XLOOKUP(EA$1,generator!$B$2:$B$295,generator!$K$2:$K$295,"ARGH")</f>
        <v>0</v>
      </c>
      <c r="EB22" s="3">
        <f>_xlfn.XLOOKUP(EB$1,generator!$B$2:$B$295,generator!$K$2:$K$295,"ARGH")</f>
        <v>0</v>
      </c>
      <c r="EC22" s="3">
        <f>_xlfn.XLOOKUP(EC$1,generator!$B$2:$B$295,generator!$K$2:$K$295,"ARGH")</f>
        <v>0</v>
      </c>
      <c r="ED22" s="3">
        <f>_xlfn.XLOOKUP(ED$1,generator!$B$2:$B$295,generator!$K$2:$K$295,"ARGH")</f>
        <v>0</v>
      </c>
      <c r="EE22" s="3">
        <f>_xlfn.XLOOKUP(EE$1,generator!$B$2:$B$295,generator!$K$2:$K$295,"ARGH")</f>
        <v>0</v>
      </c>
      <c r="EF22" s="3">
        <f>_xlfn.XLOOKUP(EF$1,generator!$B$2:$B$295,generator!$K$2:$K$295,"ARGH")</f>
        <v>0</v>
      </c>
      <c r="EG22" s="3">
        <f>_xlfn.XLOOKUP(EG$1,generator!$B$2:$B$295,generator!$K$2:$K$295,"ARGH")</f>
        <v>0</v>
      </c>
      <c r="EH22" s="3">
        <f>_xlfn.XLOOKUP(EH$1,generator!$B$2:$B$295,generator!$K$2:$K$295,"ARGH")</f>
        <v>0</v>
      </c>
      <c r="EI22" s="3">
        <f>_xlfn.XLOOKUP(EI$1,generator!$B$2:$B$295,generator!$K$2:$K$295,"ARGH")</f>
        <v>0</v>
      </c>
      <c r="EJ22" s="3">
        <f>_xlfn.XLOOKUP(EJ$1,generator!$B$2:$B$295,generator!$K$2:$K$295,"ARGH")</f>
        <v>0</v>
      </c>
      <c r="EK22" s="3">
        <f>_xlfn.XLOOKUP(EK$1,generator!$B$2:$B$295,generator!$K$2:$K$295,"ARGH")</f>
        <v>0</v>
      </c>
      <c r="EL22" s="3">
        <f>_xlfn.XLOOKUP(EL$1,generator!$B$2:$B$295,generator!$K$2:$K$295,"ARGH")</f>
        <v>0</v>
      </c>
      <c r="EM22" s="3">
        <f>_xlfn.XLOOKUP(EM$1,generator!$B$2:$B$295,generator!$K$2:$K$295,"ARGH")</f>
        <v>0</v>
      </c>
      <c r="EN22" s="3">
        <f>_xlfn.XLOOKUP(EN$1,generator!$B$2:$B$295,generator!$K$2:$K$295,"ARGH")</f>
        <v>0</v>
      </c>
      <c r="EO22" s="3">
        <f>_xlfn.XLOOKUP(EO$1,generator!$B$2:$B$295,generator!$K$2:$K$295,"ARGH")</f>
        <v>0</v>
      </c>
      <c r="EP22" s="3">
        <f>_xlfn.XLOOKUP(EP$1,generator!$B$2:$B$295,generator!$K$2:$K$295,"ARGH")</f>
        <v>0</v>
      </c>
      <c r="EQ22" s="3">
        <f>_xlfn.XLOOKUP(EQ$1,generator!$B$2:$B$295,generator!$K$2:$K$295,"ARGH")</f>
        <v>0</v>
      </c>
      <c r="ER22" s="3">
        <f>_xlfn.XLOOKUP(ER$1,generator!$B$2:$B$295,generator!$K$2:$K$295,"ARGH")</f>
        <v>0</v>
      </c>
      <c r="ES22" s="3">
        <f>_xlfn.XLOOKUP(ES$1,generator!$B$2:$B$295,generator!$K$2:$K$295,"ARGH")</f>
        <v>0</v>
      </c>
      <c r="ET22" s="3">
        <f>_xlfn.XLOOKUP(ET$1,generator!$B$2:$B$295,generator!$K$2:$K$295,"ARGH")</f>
        <v>0</v>
      </c>
      <c r="EU22" s="3">
        <f>_xlfn.XLOOKUP(EU$1,generator!$B$2:$B$295,generator!$K$2:$K$295,"ARGH")</f>
        <v>0</v>
      </c>
      <c r="EV22" s="3">
        <f>_xlfn.XLOOKUP(EV$1,generator!$B$2:$B$295,generator!$K$2:$K$295,"ARGH")</f>
        <v>0</v>
      </c>
      <c r="EW22" s="3">
        <f>_xlfn.XLOOKUP(EW$1,generator!$B$2:$B$295,generator!$K$2:$K$295,"ARGH")</f>
        <v>0</v>
      </c>
      <c r="EX22" s="3">
        <f>_xlfn.XLOOKUP(EX$1,generator!$B$2:$B$295,generator!$K$2:$K$295,"ARGH")</f>
        <v>0</v>
      </c>
      <c r="EY22" s="3">
        <f>_xlfn.XLOOKUP(EY$1,generator!$B$2:$B$295,generator!$K$2:$K$295,"ARGH")</f>
        <v>0</v>
      </c>
      <c r="EZ22" s="3">
        <f>_xlfn.XLOOKUP(EZ$1,generator!$B$2:$B$295,generator!$K$2:$K$295,"ARGH")</f>
        <v>0</v>
      </c>
      <c r="FA22" s="3">
        <f>_xlfn.XLOOKUP(FA$1,generator!$B$2:$B$295,generator!$K$2:$K$295,"ARGH")</f>
        <v>0</v>
      </c>
      <c r="FB22" s="3">
        <f>_xlfn.XLOOKUP(FB$1,generator!$B$2:$B$295,generator!$K$2:$K$295,"ARGH")</f>
        <v>0</v>
      </c>
      <c r="FC22" s="3">
        <f>_xlfn.XLOOKUP(FC$1,generator!$B$2:$B$295,generator!$K$2:$K$295,"ARGH")</f>
        <v>0</v>
      </c>
      <c r="FD22" s="3">
        <f>_xlfn.XLOOKUP(FD$1,generator!$B$2:$B$295,generator!$K$2:$K$295,"ARGH")</f>
        <v>0</v>
      </c>
      <c r="FE22" s="3">
        <f>_xlfn.XLOOKUP(FE$1,generator!$B$2:$B$295,generator!$K$2:$K$295,"ARGH")</f>
        <v>0</v>
      </c>
      <c r="FF22" s="3">
        <f>_xlfn.XLOOKUP(FF$1,generator!$B$2:$B$295,generator!$K$2:$K$295,"ARGH")</f>
        <v>0</v>
      </c>
      <c r="FG22" s="3">
        <f>_xlfn.XLOOKUP(FG$1,generator!$B$2:$B$295,generator!$K$2:$K$295,"ARGH")</f>
        <v>0</v>
      </c>
      <c r="FH22" s="3">
        <f>_xlfn.XLOOKUP(FH$1,generator!$B$2:$B$295,generator!$K$2:$K$295,"ARGH")</f>
        <v>0</v>
      </c>
      <c r="FI22" s="3">
        <f>_xlfn.XLOOKUP(FI$1,generator!$B$2:$B$295,generator!$K$2:$K$295,"ARGH")</f>
        <v>0</v>
      </c>
      <c r="FJ22" s="3">
        <f>_xlfn.XLOOKUP(FJ$1,generator!$B$2:$B$295,generator!$K$2:$K$295,"ARGH")</f>
        <v>0</v>
      </c>
      <c r="FK22" s="3">
        <f>_xlfn.XLOOKUP(FK$1,generator!$B$2:$B$295,generator!$K$2:$K$295,"ARGH")</f>
        <v>0</v>
      </c>
      <c r="FL22" s="3">
        <f>_xlfn.XLOOKUP(FL$1,generator!$B$2:$B$295,generator!$K$2:$K$295,"ARGH")</f>
        <v>0</v>
      </c>
      <c r="FM22" s="3">
        <f>_xlfn.XLOOKUP(FM$1,generator!$B$2:$B$295,generator!$K$2:$K$295,"ARGH")</f>
        <v>0</v>
      </c>
      <c r="FN22" s="3">
        <f>_xlfn.XLOOKUP(FN$1,generator!$B$2:$B$295,generator!$K$2:$K$295,"ARGH")</f>
        <v>0</v>
      </c>
      <c r="FO22" s="3">
        <f>_xlfn.XLOOKUP(FO$1,generator!$B$2:$B$295,generator!$K$2:$K$295,"ARGH")</f>
        <v>0</v>
      </c>
      <c r="FP22" s="3">
        <f>_xlfn.XLOOKUP(FP$1,generator!$B$2:$B$295,generator!$K$2:$K$295,"ARGH")</f>
        <v>0</v>
      </c>
      <c r="FQ22" s="3">
        <f>_xlfn.XLOOKUP(FQ$1,generator!$B$2:$B$295,generator!$K$2:$K$295,"ARGH")</f>
        <v>0</v>
      </c>
      <c r="FR22" s="3">
        <f>_xlfn.XLOOKUP(FR$1,generator!$B$2:$B$295,generator!$K$2:$K$295,"ARGH")</f>
        <v>0</v>
      </c>
      <c r="FS22" s="3">
        <f>_xlfn.XLOOKUP(FS$1,generator!$B$2:$B$295,generator!$K$2:$K$295,"ARGH")</f>
        <v>0</v>
      </c>
      <c r="FT22" s="3">
        <f>_xlfn.XLOOKUP(FT$1,generator!$B$2:$B$295,generator!$K$2:$K$295,"ARGH")</f>
        <v>0</v>
      </c>
      <c r="FU22" s="3">
        <f>_xlfn.XLOOKUP(FU$1,generator!$B$2:$B$295,generator!$K$2:$K$295,"ARGH")</f>
        <v>0</v>
      </c>
      <c r="FV22" s="3">
        <f>_xlfn.XLOOKUP(FV$1,generator!$B$2:$B$295,generator!$K$2:$K$295,"ARGH")</f>
        <v>0</v>
      </c>
      <c r="FW22" s="3">
        <f>_xlfn.XLOOKUP(FW$1,generator!$B$2:$B$295,generator!$K$2:$K$295,"ARGH")</f>
        <v>0</v>
      </c>
      <c r="FX22" s="3">
        <f>_xlfn.XLOOKUP(FX$1,generator!$B$2:$B$295,generator!$K$2:$K$295,"ARGH")</f>
        <v>0</v>
      </c>
      <c r="FY22" s="3">
        <f>_xlfn.XLOOKUP(FY$1,generator!$B$2:$B$295,generator!$K$2:$K$295,"ARGH")</f>
        <v>0</v>
      </c>
      <c r="FZ22" s="3">
        <f>_xlfn.XLOOKUP(FZ$1,generator!$B$2:$B$295,generator!$K$2:$K$295,"ARGH")</f>
        <v>0</v>
      </c>
      <c r="GA22" s="3">
        <f>_xlfn.XLOOKUP(GA$1,generator!$B$2:$B$295,generator!$K$2:$K$295,"ARGH")</f>
        <v>0</v>
      </c>
      <c r="GB22" s="3">
        <f>_xlfn.XLOOKUP(GB$1,generator!$B$2:$B$295,generator!$K$2:$K$295,"ARGH")</f>
        <v>0</v>
      </c>
      <c r="GC22" s="3">
        <f>_xlfn.XLOOKUP(GC$1,generator!$B$2:$B$295,generator!$K$2:$K$295,"ARGH")</f>
        <v>0</v>
      </c>
      <c r="GD22" s="3">
        <f>_xlfn.XLOOKUP(GD$1,generator!$B$2:$B$295,generator!$K$2:$K$295,"ARGH")</f>
        <v>0</v>
      </c>
      <c r="GE22" s="3">
        <f>_xlfn.XLOOKUP(GE$1,generator!$B$2:$B$295,generator!$K$2:$K$295,"ARGH")</f>
        <v>0</v>
      </c>
      <c r="GF22" s="3">
        <f>_xlfn.XLOOKUP(GF$1,generator!$B$2:$B$295,generator!$K$2:$K$295,"ARGH")</f>
        <v>0</v>
      </c>
      <c r="GG22" s="3">
        <f>_xlfn.XLOOKUP(GG$1,generator!$B$2:$B$295,generator!$K$2:$K$295,"ARGH")</f>
        <v>0</v>
      </c>
      <c r="GH22" s="3">
        <f>_xlfn.XLOOKUP(GH$1,generator!$B$2:$B$295,generator!$K$2:$K$295,"ARGH")</f>
        <v>0</v>
      </c>
      <c r="GI22" s="3">
        <f>_xlfn.XLOOKUP(GI$1,generator!$B$2:$B$295,generator!$K$2:$K$295,"ARGH")</f>
        <v>0</v>
      </c>
      <c r="GJ22" s="3">
        <f>_xlfn.XLOOKUP(GJ$1,generator!$B$2:$B$295,generator!$K$2:$K$295,"ARGH")</f>
        <v>0</v>
      </c>
      <c r="GK22" s="3">
        <f>_xlfn.XLOOKUP(GK$1,generator!$B$2:$B$295,generator!$K$2:$K$295,"ARGH")</f>
        <v>0</v>
      </c>
      <c r="GL22" s="3">
        <f>_xlfn.XLOOKUP(GL$1,generator!$B$2:$B$295,generator!$K$2:$K$295,"ARGH")</f>
        <v>0</v>
      </c>
      <c r="GM22" s="3">
        <f>_xlfn.XLOOKUP(GM$1,generator!$B$2:$B$295,generator!$K$2:$K$295,"ARGH")</f>
        <v>0</v>
      </c>
      <c r="GN22" s="3">
        <f>_xlfn.XLOOKUP(GN$1,generator!$B$2:$B$295,generator!$K$2:$K$295,"ARGH")</f>
        <v>0</v>
      </c>
      <c r="GO22" s="3">
        <f>_xlfn.XLOOKUP(GO$1,generator!$B$2:$B$295,generator!$K$2:$K$295,"ARGH")</f>
        <v>0</v>
      </c>
      <c r="GP22" s="3">
        <f>_xlfn.XLOOKUP(GP$1,generator!$B$2:$B$295,generator!$K$2:$K$295,"ARGH")</f>
        <v>0</v>
      </c>
      <c r="GQ22" s="3">
        <f>_xlfn.XLOOKUP(GQ$1,generator!$B$2:$B$295,generator!$K$2:$K$295,"ARGH")</f>
        <v>0</v>
      </c>
      <c r="GR22" s="3">
        <f>_xlfn.XLOOKUP(GR$1,generator!$B$2:$B$295,generator!$K$2:$K$295,"ARGH")</f>
        <v>0</v>
      </c>
      <c r="GS22" s="3">
        <f>_xlfn.XLOOKUP(GS$1,generator!$B$2:$B$295,generator!$K$2:$K$295,"ARGH")</f>
        <v>0</v>
      </c>
      <c r="GT22" s="3">
        <f>_xlfn.XLOOKUP(GT$1,generator!$B$2:$B$295,generator!$K$2:$K$295,"ARGH")</f>
        <v>0</v>
      </c>
      <c r="GU22" s="3">
        <f>_xlfn.XLOOKUP(GU$1,generator!$B$2:$B$295,generator!$K$2:$K$295,"ARGH")</f>
        <v>0</v>
      </c>
      <c r="GV22" s="3">
        <f>_xlfn.XLOOKUP(GV$1,generator!$B$2:$B$295,generator!$K$2:$K$295,"ARGH")</f>
        <v>0</v>
      </c>
      <c r="GW22" s="3">
        <f>_xlfn.XLOOKUP(GW$1,generator!$B$2:$B$295,generator!$K$2:$K$295,"ARGH")</f>
        <v>0</v>
      </c>
      <c r="GX22" s="3">
        <f>_xlfn.XLOOKUP(GX$1,generator!$B$2:$B$295,generator!$K$2:$K$295,"ARGH")</f>
        <v>0</v>
      </c>
      <c r="GY22" s="3">
        <f>_xlfn.XLOOKUP(GY$1,generator!$B$2:$B$295,generator!$K$2:$K$295,"ARGH")</f>
        <v>0</v>
      </c>
      <c r="GZ22" s="3">
        <f>_xlfn.XLOOKUP(GZ$1,generator!$B$2:$B$295,generator!$K$2:$K$295,"ARGH")</f>
        <v>0</v>
      </c>
      <c r="HA22" s="3">
        <f>_xlfn.XLOOKUP(HA$1,generator!$B$2:$B$295,generator!$K$2:$K$295,"ARGH")</f>
        <v>0</v>
      </c>
      <c r="HB22" s="3">
        <f>_xlfn.XLOOKUP(HB$1,generator!$B$2:$B$295,generator!$K$2:$K$295,"ARGH")</f>
        <v>0</v>
      </c>
      <c r="HC22" s="3">
        <f>_xlfn.XLOOKUP(HC$1,generator!$B$2:$B$295,generator!$K$2:$K$295,"ARGH")</f>
        <v>0</v>
      </c>
      <c r="HD22" s="3">
        <f>_xlfn.XLOOKUP(HD$1,generator!$B$2:$B$295,generator!$K$2:$K$295,"ARGH")</f>
        <v>0</v>
      </c>
      <c r="HE22" s="3">
        <f>_xlfn.XLOOKUP(HE$1,generator!$B$2:$B$295,generator!$K$2:$K$295,"ARGH")</f>
        <v>12.74</v>
      </c>
      <c r="HF22" s="3">
        <f>_xlfn.XLOOKUP(HF$1,generator!$B$2:$B$295,generator!$K$2:$K$295,"ARGH")</f>
        <v>99</v>
      </c>
      <c r="HG22" s="3">
        <f>_xlfn.XLOOKUP(HG$1,generator!$B$2:$B$295,generator!$K$2:$K$295,"ARGH")</f>
        <v>99</v>
      </c>
      <c r="HH22" s="3">
        <f>_xlfn.XLOOKUP(HH$1,generator!$B$2:$B$295,generator!$K$2:$K$295,"ARGH")</f>
        <v>99</v>
      </c>
      <c r="HI22" s="3">
        <f>_xlfn.XLOOKUP(HI$1,generator!$B$2:$B$295,generator!$K$2:$K$295,"ARGH")</f>
        <v>8</v>
      </c>
      <c r="HJ22" s="3">
        <f>_xlfn.XLOOKUP(HJ$1,generator!$B$2:$B$295,generator!$K$2:$K$295,"ARGH")</f>
        <v>8</v>
      </c>
      <c r="HK22" s="3">
        <f>_xlfn.XLOOKUP(HK$1,generator!$B$2:$B$295,generator!$K$2:$K$295,"ARGH")</f>
        <v>8</v>
      </c>
      <c r="HL22" s="3">
        <f>_xlfn.XLOOKUP(HL$1,generator!$B$2:$B$295,generator!$K$2:$K$295,"ARGH")</f>
        <v>20</v>
      </c>
      <c r="HM22" s="3">
        <f>_xlfn.XLOOKUP(HM$1,generator!$B$2:$B$295,generator!$K$2:$K$295,"ARGH")</f>
        <v>20</v>
      </c>
      <c r="HN22" s="3">
        <f>_xlfn.XLOOKUP(HN$1,generator!$B$2:$B$295,generator!$K$2:$K$295,"ARGH")</f>
        <v>5</v>
      </c>
      <c r="HO22" s="3">
        <f>_xlfn.XLOOKUP(HO$1,generator!$B$2:$B$295,generator!$K$2:$K$295,"ARGH")</f>
        <v>5</v>
      </c>
      <c r="HP22" s="3">
        <f>_xlfn.XLOOKUP(HP$1,generator!$B$2:$B$295,generator!$K$2:$K$295,"ARGH")</f>
        <v>0.2</v>
      </c>
      <c r="HQ22" s="3">
        <f>_xlfn.XLOOKUP(HQ$1,generator!$B$2:$B$295,generator!$K$2:$K$295,"ARGH")</f>
        <v>5</v>
      </c>
      <c r="HR22" s="3">
        <f>_xlfn.XLOOKUP(HR$1,generator!$B$2:$B$295,generator!$K$2:$K$295,"ARGH")</f>
        <v>5</v>
      </c>
      <c r="HS22" s="3">
        <f>_xlfn.XLOOKUP(HS$1,generator!$B$2:$B$295,generator!$K$2:$K$295,"ARGH")</f>
        <v>12.82</v>
      </c>
      <c r="HT22" s="3">
        <f>_xlfn.XLOOKUP(HT$1,generator!$B$2:$B$295,generator!$K$2:$K$295,"ARGH")</f>
        <v>12.82</v>
      </c>
      <c r="HU22" s="3">
        <f>_xlfn.XLOOKUP(HU$1,generator!$B$2:$B$295,generator!$K$2:$K$295,"ARGH")</f>
        <v>25</v>
      </c>
      <c r="HV22" s="3">
        <f>_xlfn.XLOOKUP(HV$1,generator!$B$2:$B$295,generator!$K$2:$K$295,"ARGH")</f>
        <v>16</v>
      </c>
      <c r="HW22" s="3">
        <f>_xlfn.XLOOKUP(HW$1,generator!$B$2:$B$295,generator!$K$2:$K$295,"ARGH")</f>
        <v>5</v>
      </c>
      <c r="HX22" s="3">
        <f>_xlfn.XLOOKUP(HX$1,generator!$B$2:$B$295,generator!$K$2:$K$295,"ARGH")</f>
        <v>5</v>
      </c>
      <c r="HY22" s="3">
        <f>_xlfn.XLOOKUP(HY$1,generator!$B$2:$B$295,generator!$K$2:$K$295,"ARGH")</f>
        <v>63</v>
      </c>
      <c r="HZ22" s="3">
        <f>_xlfn.XLOOKUP(HZ$1,generator!$B$2:$B$295,generator!$K$2:$K$295,"ARGH")</f>
        <v>18</v>
      </c>
      <c r="IA22" s="3">
        <f>_xlfn.XLOOKUP(IA$1,generator!$B$2:$B$295,generator!$K$2:$K$295,"ARGH")</f>
        <v>121</v>
      </c>
      <c r="IB22" s="3">
        <f>_xlfn.XLOOKUP(IB$1,generator!$B$2:$B$295,generator!$K$2:$K$295,"ARGH")</f>
        <v>120</v>
      </c>
      <c r="IC22" s="3">
        <f>_xlfn.XLOOKUP(IC$1,generator!$B$2:$B$295,generator!$K$2:$K$295,"ARGH")</f>
        <v>0</v>
      </c>
      <c r="ID22" s="3">
        <f>_xlfn.XLOOKUP(ID$1,generator!$B$2:$B$295,generator!$K$2:$K$295,"ARGH")</f>
        <v>17</v>
      </c>
      <c r="IE22" s="3">
        <f>_xlfn.XLOOKUP(IE$1,generator!$B$2:$B$295,generator!$K$2:$K$295,"ARGH")</f>
        <v>194</v>
      </c>
      <c r="IF22" s="3">
        <f>_xlfn.XLOOKUP(IF$1,generator!$B$2:$B$295,generator!$K$2:$K$295,"ARGH")</f>
        <v>11.9</v>
      </c>
      <c r="IG22" s="3">
        <f>_xlfn.XLOOKUP(IG$1,generator!$B$2:$B$295,generator!$K$2:$K$295,"ARGH")</f>
        <v>11.9</v>
      </c>
      <c r="IH22" s="3">
        <f>_xlfn.XLOOKUP(IH$1,generator!$B$2:$B$295,generator!$K$2:$K$295,"ARGH")</f>
        <v>11.9</v>
      </c>
      <c r="II22" s="3">
        <f>_xlfn.XLOOKUP(II$1,generator!$B$2:$B$295,generator!$K$2:$K$295,"ARGH")</f>
        <v>11.9</v>
      </c>
      <c r="IJ22" s="3">
        <f>_xlfn.XLOOKUP(IJ$1,generator!$B$2:$B$295,generator!$K$2:$K$295,"ARGH")</f>
        <v>0</v>
      </c>
      <c r="IK22" s="3">
        <f>_xlfn.XLOOKUP(IK$1,generator!$B$2:$B$295,generator!$K$2:$K$295,"ARGH")</f>
        <v>3</v>
      </c>
      <c r="IL22" s="3">
        <f>_xlfn.XLOOKUP(IL$1,generator!$B$2:$B$295,generator!$K$2:$K$295,"ARGH")</f>
        <v>5</v>
      </c>
      <c r="IM22" s="3">
        <f>_xlfn.XLOOKUP(IM$1,generator!$B$2:$B$295,generator!$K$2:$K$295,"ARGH")</f>
        <v>5</v>
      </c>
      <c r="IN22" s="3">
        <f>_xlfn.XLOOKUP(IN$1,generator!$B$2:$B$295,generator!$K$2:$K$295,"ARGH")</f>
        <v>4</v>
      </c>
      <c r="IO22" s="3">
        <f>_xlfn.XLOOKUP(IO$1,generator!$B$2:$B$295,generator!$K$2:$K$295,"ARGH")</f>
        <v>4</v>
      </c>
      <c r="IP22" s="3">
        <f>_xlfn.XLOOKUP(IP$1,generator!$B$2:$B$295,generator!$K$2:$K$295,"ARGH")</f>
        <v>3</v>
      </c>
      <c r="IQ22" s="3">
        <f>_xlfn.XLOOKUP(IQ$1,generator!$B$2:$B$295,generator!$K$2:$K$295,"ARGH")</f>
        <v>1</v>
      </c>
      <c r="IR22" s="3">
        <f>_xlfn.XLOOKUP(IR$1,generator!$B$2:$B$295,generator!$K$2:$K$295,"ARGH")</f>
        <v>3</v>
      </c>
      <c r="IS22" s="3">
        <f>_xlfn.XLOOKUP(IS$1,generator!$B$2:$B$295,generator!$K$2:$K$295,"ARGH")</f>
        <v>3</v>
      </c>
      <c r="IT22" s="3">
        <f>_xlfn.XLOOKUP(IT$1,generator!$B$2:$B$295,generator!$K$2:$K$295,"ARGH")</f>
        <v>0</v>
      </c>
      <c r="IU22" s="3">
        <f>_xlfn.XLOOKUP(IU$1,generator!$B$2:$B$295,generator!$K$2:$K$295,"ARGH")</f>
        <v>3.99</v>
      </c>
      <c r="IV22" s="3">
        <f>_xlfn.XLOOKUP(IV$1,generator!$B$2:$B$295,generator!$K$2:$K$295,"ARGH")</f>
        <v>0.2</v>
      </c>
      <c r="IW22" s="3">
        <f>_xlfn.XLOOKUP(IW$1,generator!$B$2:$B$295,generator!$K$2:$K$295,"ARGH")</f>
        <v>15</v>
      </c>
      <c r="IX22" s="3">
        <f>_xlfn.XLOOKUP(IX$1,generator!$B$2:$B$295,generator!$K$2:$K$295,"ARGH")</f>
        <v>15</v>
      </c>
      <c r="IY22" s="3">
        <f>_xlfn.XLOOKUP(IY$1,generator!$B$2:$B$295,generator!$K$2:$K$295,"ARGH")</f>
        <v>15</v>
      </c>
      <c r="IZ22" s="3">
        <f>_xlfn.XLOOKUP(IZ$1,generator!$B$2:$B$295,generator!$K$2:$K$295,"ARGH")</f>
        <v>120</v>
      </c>
      <c r="JA22" s="3">
        <f>_xlfn.XLOOKUP(JA$1,generator!$B$2:$B$295,generator!$K$2:$K$295,"ARGH")</f>
        <v>40</v>
      </c>
      <c r="JB22" s="3">
        <f>_xlfn.XLOOKUP(JB$1,generator!$B$2:$B$295,generator!$K$2:$K$295,"ARGH")</f>
        <v>40</v>
      </c>
      <c r="JC22" s="3">
        <f>_xlfn.XLOOKUP(JC$1,generator!$B$2:$B$295,generator!$K$2:$K$295,"ARGH")</f>
        <v>113</v>
      </c>
      <c r="JD22" s="3">
        <f>_xlfn.XLOOKUP(JD$1,generator!$B$2:$B$295,generator!$K$2:$K$295,"ARGH")</f>
        <v>113</v>
      </c>
      <c r="JE22" s="3">
        <f>_xlfn.XLOOKUP(JE$1,generator!$B$2:$B$295,generator!$K$2:$K$295,"ARGH")</f>
        <v>211</v>
      </c>
      <c r="JF22" s="3">
        <f>_xlfn.XLOOKUP(JF$1,generator!$B$2:$B$295,generator!$K$2:$K$295,"ARGH")</f>
        <v>22.5</v>
      </c>
      <c r="JG22" s="3">
        <f>_xlfn.XLOOKUP(JG$1,generator!$B$2:$B$295,generator!$K$2:$K$295,"ARGH")</f>
        <v>1</v>
      </c>
      <c r="JH22" s="3">
        <f>_xlfn.XLOOKUP(JH$1,generator!$B$2:$B$295,generator!$K$2:$K$295,"ARGH")</f>
        <v>160</v>
      </c>
      <c r="JI22" s="3">
        <f>_xlfn.XLOOKUP(JI$1,generator!$B$2:$B$295,generator!$K$2:$K$295,"ARGH")</f>
        <v>165</v>
      </c>
      <c r="JJ22" s="3">
        <f>_xlfn.XLOOKUP(JJ$1,generator!$B$2:$B$295,generator!$K$2:$K$295,"ARGH")</f>
        <v>4.5999999999999996</v>
      </c>
      <c r="JK22" s="3">
        <f>_xlfn.XLOOKUP(JK$1,generator!$B$2:$B$295,generator!$K$2:$K$295,"ARGH")</f>
        <v>4.5999999999999996</v>
      </c>
      <c r="JL22" s="3">
        <f>_xlfn.XLOOKUP(JL$1,generator!$B$2:$B$295,generator!$K$2:$K$295,"ARGH")</f>
        <v>4.5999999999999996</v>
      </c>
      <c r="JM22" s="3">
        <f>_xlfn.XLOOKUP(JM$1,generator!$B$2:$B$295,generator!$K$2:$K$295,"ARGH")</f>
        <v>4.5999999999999996</v>
      </c>
      <c r="JN22" s="3">
        <f>_xlfn.XLOOKUP(JN$1,generator!$B$2:$B$295,generator!$K$2:$K$295,"ARGH")</f>
        <v>4.5999999999999996</v>
      </c>
      <c r="JO22" s="3">
        <f>_xlfn.XLOOKUP(JO$1,generator!$B$2:$B$295,generator!$K$2:$K$295,"ARGH")</f>
        <v>4.5999999999999996</v>
      </c>
      <c r="JP22" s="3">
        <f>_xlfn.XLOOKUP(JP$1,generator!$B$2:$B$295,generator!$K$2:$K$295,"ARGH")</f>
        <v>110</v>
      </c>
      <c r="JQ22" s="3">
        <f>_xlfn.XLOOKUP(JQ$1,generator!$B$2:$B$295,generator!$K$2:$K$295,"ARGH")</f>
        <v>22.7</v>
      </c>
      <c r="JR22" s="3">
        <f>_xlfn.XLOOKUP(JR$1,generator!$B$2:$B$295,generator!$K$2:$K$295,"ARGH")</f>
        <v>147</v>
      </c>
      <c r="JS22" s="3">
        <f>_xlfn.XLOOKUP(JS$1,generator!$B$2:$B$295,generator!$K$2:$K$295,"ARGH")</f>
        <v>147</v>
      </c>
      <c r="JT22" s="3">
        <f>_xlfn.XLOOKUP(JT$1,generator!$B$2:$B$295,generator!$K$2:$K$295,"ARGH")</f>
        <v>22.7</v>
      </c>
      <c r="JU22" s="3">
        <f>_xlfn.XLOOKUP(JU$1,generator!$B$2:$B$295,generator!$K$2:$K$295,"ARGH")</f>
        <v>21.5</v>
      </c>
      <c r="JV22" s="3">
        <f>_xlfn.XLOOKUP(JV$1,generator!$B$2:$B$295,generator!$K$2:$K$295,"ARGH")</f>
        <v>120</v>
      </c>
      <c r="JW22" s="3">
        <f>_xlfn.XLOOKUP(JW$1,generator!$B$2:$B$295,generator!$K$2:$K$295,"ARGH")</f>
        <v>120</v>
      </c>
      <c r="JX22" s="3">
        <f>_xlfn.XLOOKUP(JX$1,generator!$B$2:$B$295,generator!$K$2:$K$295,"ARGH")</f>
        <v>1</v>
      </c>
      <c r="JY22" s="3">
        <f>_xlfn.XLOOKUP(JY$1,generator!$B$2:$B$295,generator!$K$2:$K$295,"ARGH")</f>
        <v>41.15</v>
      </c>
      <c r="JZ22" s="3">
        <f>_xlfn.XLOOKUP(JZ$1,generator!$B$2:$B$295,generator!$K$2:$K$295,"ARGH")</f>
        <v>5</v>
      </c>
      <c r="KA22" s="3">
        <f>_xlfn.XLOOKUP(KA$1,generator!$B$2:$B$295,generator!$K$2:$K$295,"ARGH")</f>
        <v>5</v>
      </c>
      <c r="KB22" s="3">
        <f>_xlfn.XLOOKUP(KB$1,generator!$B$2:$B$295,generator!$K$2:$K$295,"ARGH")</f>
        <v>5</v>
      </c>
      <c r="KC22" s="3">
        <f>_xlfn.XLOOKUP(KC$1,generator!$B$2:$B$295,generator!$K$2:$K$295,"ARGH")</f>
        <v>5</v>
      </c>
    </row>
    <row r="23" spans="1:289" x14ac:dyDescent="0.3">
      <c r="A23" s="4" t="s">
        <v>3018</v>
      </c>
      <c r="B23" s="31">
        <v>510.5</v>
      </c>
      <c r="C23" s="31">
        <v>414</v>
      </c>
      <c r="D23" s="31">
        <v>442</v>
      </c>
      <c r="E23" s="3">
        <f>_xlfn.XLOOKUP(E$1,generator!$B$2:$B$295,generator!$K$2:$K$295,"ARGH")</f>
        <v>0</v>
      </c>
      <c r="F23" s="3">
        <f>_xlfn.XLOOKUP(F$1,generator!$B$2:$B$295,generator!$K$2:$K$295,"ARGH")</f>
        <v>0</v>
      </c>
      <c r="G23" s="3">
        <f>_xlfn.XLOOKUP(G$1,generator!$B$2:$B$295,generator!$K$2:$K$295,"ARGH")</f>
        <v>0</v>
      </c>
      <c r="H23" s="3">
        <f>_xlfn.XLOOKUP(H$1,generator!$B$2:$B$295,generator!$K$2:$K$295,"ARGH")</f>
        <v>0</v>
      </c>
      <c r="I23" s="3">
        <f>_xlfn.XLOOKUP(I$1,generator!$B$2:$B$295,generator!$K$2:$K$295,"ARGH")</f>
        <v>0</v>
      </c>
      <c r="J23" s="3">
        <f>_xlfn.XLOOKUP(J$1,generator!$B$2:$B$295,generator!$K$2:$K$295,"ARGH")</f>
        <v>0</v>
      </c>
      <c r="K23" s="3">
        <f>_xlfn.XLOOKUP(K$1,generator!$B$2:$B$295,generator!$K$2:$K$295,"ARGH")</f>
        <v>0</v>
      </c>
      <c r="L23" s="3">
        <f>_xlfn.XLOOKUP(L$1,generator!$B$2:$B$295,generator!$K$2:$K$295,"ARGH")</f>
        <v>0</v>
      </c>
      <c r="M23" s="3">
        <f>_xlfn.XLOOKUP(M$1,generator!$B$2:$B$295,generator!$K$2:$K$295,"ARGH")</f>
        <v>0</v>
      </c>
      <c r="N23" s="3">
        <f>_xlfn.XLOOKUP(N$1,generator!$B$2:$B$295,generator!$K$2:$K$295,"ARGH")</f>
        <v>0</v>
      </c>
      <c r="O23" s="3">
        <f>_xlfn.XLOOKUP(O$1,generator!$B$2:$B$295,generator!$K$2:$K$295,"ARGH")</f>
        <v>0</v>
      </c>
      <c r="P23" s="3">
        <f>_xlfn.XLOOKUP(P$1,generator!$B$2:$B$295,generator!$K$2:$K$295,"ARGH")</f>
        <v>0</v>
      </c>
      <c r="Q23" s="3">
        <f>_xlfn.XLOOKUP(Q$1,generator!$B$2:$B$295,generator!$K$2:$K$295,"ARGH")</f>
        <v>0</v>
      </c>
      <c r="R23" s="3">
        <f>_xlfn.XLOOKUP(R$1,generator!$B$2:$B$295,generator!$K$2:$K$295,"ARGH")</f>
        <v>0</v>
      </c>
      <c r="S23" s="3">
        <f>_xlfn.XLOOKUP(S$1,generator!$B$2:$B$295,generator!$K$2:$K$295,"ARGH")</f>
        <v>0</v>
      </c>
      <c r="T23" s="3">
        <f>_xlfn.XLOOKUP(T$1,generator!$B$2:$B$295,generator!$K$2:$K$295,"ARGH")</f>
        <v>0</v>
      </c>
      <c r="U23" s="3">
        <f>_xlfn.XLOOKUP(U$1,generator!$B$2:$B$295,generator!$K$2:$K$295,"ARGH")</f>
        <v>0</v>
      </c>
      <c r="V23" s="3">
        <f>_xlfn.XLOOKUP(V$1,generator!$B$2:$B$295,generator!$K$2:$K$295,"ARGH")</f>
        <v>0</v>
      </c>
      <c r="W23" s="3">
        <f>_xlfn.XLOOKUP(W$1,generator!$B$2:$B$295,generator!$K$2:$K$295,"ARGH")</f>
        <v>0</v>
      </c>
      <c r="X23" s="3">
        <f>_xlfn.XLOOKUP(X$1,generator!$B$2:$B$295,generator!$K$2:$K$295,"ARGH")</f>
        <v>0</v>
      </c>
      <c r="Y23" s="3">
        <f>_xlfn.XLOOKUP(Y$1,generator!$B$2:$B$295,generator!$K$2:$K$295,"ARGH")</f>
        <v>0</v>
      </c>
      <c r="Z23" s="3">
        <f>_xlfn.XLOOKUP(Z$1,generator!$B$2:$B$295,generator!$K$2:$K$295,"ARGH")</f>
        <v>0</v>
      </c>
      <c r="AA23" s="3">
        <f>_xlfn.XLOOKUP(AA$1,generator!$B$2:$B$295,generator!$K$2:$K$295,"ARGH")</f>
        <v>0</v>
      </c>
      <c r="AB23" s="3">
        <f>_xlfn.XLOOKUP(AB$1,generator!$B$2:$B$295,generator!$K$2:$K$295,"ARGH")</f>
        <v>0</v>
      </c>
      <c r="AC23" s="3">
        <f>_xlfn.XLOOKUP(AC$1,generator!$B$2:$B$295,generator!$K$2:$K$295,"ARGH")</f>
        <v>0</v>
      </c>
      <c r="AD23" s="3">
        <f>_xlfn.XLOOKUP(AD$1,generator!$B$2:$B$295,generator!$K$2:$K$295,"ARGH")</f>
        <v>0</v>
      </c>
      <c r="AE23" s="3">
        <f>_xlfn.XLOOKUP(AE$1,generator!$B$2:$B$295,generator!$K$2:$K$295,"ARGH")</f>
        <v>0</v>
      </c>
      <c r="AF23" s="3">
        <f>_xlfn.XLOOKUP(AF$1,generator!$B$2:$B$295,generator!$K$2:$K$295,"ARGH")</f>
        <v>0</v>
      </c>
      <c r="AG23" s="3">
        <f>_xlfn.XLOOKUP(AG$1,generator!$B$2:$B$295,generator!$K$2:$K$295,"ARGH")</f>
        <v>0</v>
      </c>
      <c r="AH23" s="3">
        <f>_xlfn.XLOOKUP(AH$1,generator!$B$2:$B$295,generator!$K$2:$K$295,"ARGH")</f>
        <v>0</v>
      </c>
      <c r="AI23" s="3">
        <f>_xlfn.XLOOKUP(AI$1,generator!$B$2:$B$295,generator!$K$2:$K$295,"ARGH")</f>
        <v>0</v>
      </c>
      <c r="AJ23" s="3">
        <f>_xlfn.XLOOKUP(AJ$1,generator!$B$2:$B$295,generator!$K$2:$K$295,"ARGH")</f>
        <v>0</v>
      </c>
      <c r="AK23" s="3">
        <f>_xlfn.XLOOKUP(AK$1,generator!$B$2:$B$295,generator!$K$2:$K$295,"ARGH")</f>
        <v>0</v>
      </c>
      <c r="AL23" s="3">
        <f>_xlfn.XLOOKUP(AL$1,generator!$B$2:$B$295,generator!$K$2:$K$295,"ARGH")</f>
        <v>0</v>
      </c>
      <c r="AM23" s="3">
        <f>_xlfn.XLOOKUP(AM$1,generator!$B$2:$B$295,generator!$K$2:$K$295,"ARGH")</f>
        <v>0</v>
      </c>
      <c r="AN23" s="3">
        <f>_xlfn.XLOOKUP(AN$1,generator!$B$2:$B$295,generator!$K$2:$K$295,"ARGH")</f>
        <v>0</v>
      </c>
      <c r="AO23" s="3">
        <f>_xlfn.XLOOKUP(AO$1,generator!$B$2:$B$295,generator!$K$2:$K$295,"ARGH")</f>
        <v>0</v>
      </c>
      <c r="AP23" s="3">
        <f>_xlfn.XLOOKUP(AP$1,generator!$B$2:$B$295,generator!$K$2:$K$295,"ARGH")</f>
        <v>0</v>
      </c>
      <c r="AQ23" s="3">
        <f>_xlfn.XLOOKUP(AQ$1,generator!$B$2:$B$295,generator!$K$2:$K$295,"ARGH")</f>
        <v>0</v>
      </c>
      <c r="AR23" s="3">
        <f>_xlfn.XLOOKUP(AR$1,generator!$B$2:$B$295,generator!$K$2:$K$295,"ARGH")</f>
        <v>0</v>
      </c>
      <c r="AS23" s="3">
        <f>_xlfn.XLOOKUP(AS$1,generator!$B$2:$B$295,generator!$K$2:$K$295,"ARGH")</f>
        <v>0</v>
      </c>
      <c r="AT23" s="3">
        <f>_xlfn.XLOOKUP(AT$1,generator!$B$2:$B$295,generator!$K$2:$K$295,"ARGH")</f>
        <v>0</v>
      </c>
      <c r="AU23" s="3">
        <f>_xlfn.XLOOKUP(AU$1,generator!$B$2:$B$295,generator!$K$2:$K$295,"ARGH")</f>
        <v>0</v>
      </c>
      <c r="AV23" s="3">
        <f>_xlfn.XLOOKUP(AV$1,generator!$B$2:$B$295,generator!$K$2:$K$295,"ARGH")</f>
        <v>0</v>
      </c>
      <c r="AW23" s="3">
        <f>_xlfn.XLOOKUP(AW$1,generator!$B$2:$B$295,generator!$K$2:$K$295,"ARGH")</f>
        <v>0</v>
      </c>
      <c r="AX23" s="3">
        <f>_xlfn.XLOOKUP(AX$1,generator!$B$2:$B$295,generator!$K$2:$K$295,"ARGH")</f>
        <v>0</v>
      </c>
      <c r="AY23" s="3">
        <f>_xlfn.XLOOKUP(AY$1,generator!$B$2:$B$295,generator!$K$2:$K$295,"ARGH")</f>
        <v>0</v>
      </c>
      <c r="AZ23" s="3">
        <f>_xlfn.XLOOKUP(AZ$1,generator!$B$2:$B$295,generator!$K$2:$K$295,"ARGH")</f>
        <v>0</v>
      </c>
      <c r="BA23" s="3">
        <f>_xlfn.XLOOKUP(BA$1,generator!$B$2:$B$295,generator!$K$2:$K$295,"ARGH")</f>
        <v>0</v>
      </c>
      <c r="BB23" s="3">
        <f>_xlfn.XLOOKUP(BB$1,generator!$B$2:$B$295,generator!$K$2:$K$295,"ARGH")</f>
        <v>0</v>
      </c>
      <c r="BC23" s="3">
        <f>_xlfn.XLOOKUP(BC$1,generator!$B$2:$B$295,generator!$K$2:$K$295,"ARGH")</f>
        <v>0</v>
      </c>
      <c r="BD23" s="3">
        <f>_xlfn.XLOOKUP(BD$1,generator!$B$2:$B$295,generator!$K$2:$K$295,"ARGH")</f>
        <v>0</v>
      </c>
      <c r="BE23" s="3">
        <f>_xlfn.XLOOKUP(BE$1,generator!$B$2:$B$295,generator!$K$2:$K$295,"ARGH")</f>
        <v>0</v>
      </c>
      <c r="BF23" s="3">
        <f>_xlfn.XLOOKUP(BF$1,generator!$B$2:$B$295,generator!$K$2:$K$295,"ARGH")</f>
        <v>0</v>
      </c>
      <c r="BG23" s="3">
        <f>_xlfn.XLOOKUP(BG$1,generator!$B$2:$B$295,generator!$K$2:$K$295,"ARGH")</f>
        <v>0</v>
      </c>
      <c r="BH23" s="3">
        <f>_xlfn.XLOOKUP(BH$1,generator!$B$2:$B$295,generator!$K$2:$K$295,"ARGH")</f>
        <v>0</v>
      </c>
      <c r="BI23" s="3">
        <f>_xlfn.XLOOKUP(BI$1,generator!$B$2:$B$295,generator!$K$2:$K$295,"ARGH")</f>
        <v>0</v>
      </c>
      <c r="BJ23" s="3">
        <f>_xlfn.XLOOKUP(BJ$1,generator!$B$2:$B$295,generator!$K$2:$K$295,"ARGH")</f>
        <v>0</v>
      </c>
      <c r="BK23" s="3">
        <f>_xlfn.XLOOKUP(BK$1,generator!$B$2:$B$295,generator!$K$2:$K$295,"ARGH")</f>
        <v>0</v>
      </c>
      <c r="BL23" s="3">
        <f>_xlfn.XLOOKUP(BL$1,generator!$B$2:$B$295,generator!$K$2:$K$295,"ARGH")</f>
        <v>0</v>
      </c>
      <c r="BM23" s="3">
        <f>_xlfn.XLOOKUP(BM$1,generator!$B$2:$B$295,generator!$K$2:$K$295,"ARGH")</f>
        <v>0</v>
      </c>
      <c r="BN23" s="3">
        <f>_xlfn.XLOOKUP(BN$1,generator!$B$2:$B$295,generator!$K$2:$K$295,"ARGH")</f>
        <v>0</v>
      </c>
      <c r="BO23" s="3">
        <f>_xlfn.XLOOKUP(BO$1,generator!$B$2:$B$295,generator!$K$2:$K$295,"ARGH")</f>
        <v>0</v>
      </c>
      <c r="BP23" s="3">
        <f>_xlfn.XLOOKUP(BP$1,generator!$B$2:$B$295,generator!$K$2:$K$295,"ARGH")</f>
        <v>0</v>
      </c>
      <c r="BQ23" s="3">
        <f>_xlfn.XLOOKUP(BQ$1,generator!$B$2:$B$295,generator!$K$2:$K$295,"ARGH")</f>
        <v>0</v>
      </c>
      <c r="BR23" s="3">
        <f>_xlfn.XLOOKUP(BR$1,generator!$B$2:$B$295,generator!$K$2:$K$295,"ARGH")</f>
        <v>0</v>
      </c>
      <c r="BS23" s="3">
        <f>_xlfn.XLOOKUP(BS$1,generator!$B$2:$B$295,generator!$K$2:$K$295,"ARGH")</f>
        <v>0</v>
      </c>
      <c r="BT23" s="3">
        <f>_xlfn.XLOOKUP(BT$1,generator!$B$2:$B$295,generator!$K$2:$K$295,"ARGH")</f>
        <v>0</v>
      </c>
      <c r="BU23" s="3">
        <f>_xlfn.XLOOKUP(BU$1,generator!$B$2:$B$295,generator!$K$2:$K$295,"ARGH")</f>
        <v>0</v>
      </c>
      <c r="BV23" s="3">
        <f>_xlfn.XLOOKUP(BV$1,generator!$B$2:$B$295,generator!$K$2:$K$295,"ARGH")</f>
        <v>0</v>
      </c>
      <c r="BW23" s="3">
        <f>_xlfn.XLOOKUP(BW$1,generator!$B$2:$B$295,generator!$K$2:$K$295,"ARGH")</f>
        <v>0</v>
      </c>
      <c r="BX23" s="3">
        <f>_xlfn.XLOOKUP(BX$1,generator!$B$2:$B$295,generator!$K$2:$K$295,"ARGH")</f>
        <v>0</v>
      </c>
      <c r="BY23" s="3">
        <f>_xlfn.XLOOKUP(BY$1,generator!$B$2:$B$295,generator!$K$2:$K$295,"ARGH")</f>
        <v>0</v>
      </c>
      <c r="BZ23" s="3">
        <f>_xlfn.XLOOKUP(BZ$1,generator!$B$2:$B$295,generator!$K$2:$K$295,"ARGH")</f>
        <v>0</v>
      </c>
      <c r="CA23" s="3">
        <f>_xlfn.XLOOKUP(CA$1,generator!$B$2:$B$295,generator!$K$2:$K$295,"ARGH")</f>
        <v>0</v>
      </c>
      <c r="CB23" s="3">
        <f>_xlfn.XLOOKUP(CB$1,generator!$B$2:$B$295,generator!$K$2:$K$295,"ARGH")</f>
        <v>0</v>
      </c>
      <c r="CC23" s="3">
        <f>_xlfn.XLOOKUP(CC$1,generator!$B$2:$B$295,generator!$K$2:$K$295,"ARGH")</f>
        <v>0</v>
      </c>
      <c r="CD23" s="3">
        <f>_xlfn.XLOOKUP(CD$1,generator!$B$2:$B$295,generator!$K$2:$K$295,"ARGH")</f>
        <v>0</v>
      </c>
      <c r="CE23" s="3">
        <f>_xlfn.XLOOKUP(CE$1,generator!$B$2:$B$295,generator!$K$2:$K$295,"ARGH")</f>
        <v>0</v>
      </c>
      <c r="CF23" s="3">
        <f>_xlfn.XLOOKUP(CF$1,generator!$B$2:$B$295,generator!$K$2:$K$295,"ARGH")</f>
        <v>0</v>
      </c>
      <c r="CG23" s="3">
        <f>_xlfn.XLOOKUP(CG$1,generator!$B$2:$B$295,generator!$K$2:$K$295,"ARGH")</f>
        <v>0</v>
      </c>
      <c r="CH23" s="3">
        <f>_xlfn.XLOOKUP(CH$1,generator!$B$2:$B$295,generator!$K$2:$K$295,"ARGH")</f>
        <v>0</v>
      </c>
      <c r="CI23" s="3">
        <f>_xlfn.XLOOKUP(CI$1,generator!$B$2:$B$295,generator!$K$2:$K$295,"ARGH")</f>
        <v>0</v>
      </c>
      <c r="CJ23" s="3">
        <f>_xlfn.XLOOKUP(CJ$1,generator!$B$2:$B$295,generator!$K$2:$K$295,"ARGH")</f>
        <v>0</v>
      </c>
      <c r="CK23" s="3">
        <f>_xlfn.XLOOKUP(CK$1,generator!$B$2:$B$295,generator!$K$2:$K$295,"ARGH")</f>
        <v>0</v>
      </c>
      <c r="CL23" s="3">
        <f>_xlfn.XLOOKUP(CL$1,generator!$B$2:$B$295,generator!$K$2:$K$295,"ARGH")</f>
        <v>0</v>
      </c>
      <c r="CM23" s="3">
        <f>_xlfn.XLOOKUP(CM$1,generator!$B$2:$B$295,generator!$K$2:$K$295,"ARGH")</f>
        <v>0</v>
      </c>
      <c r="CN23" s="3">
        <f>_xlfn.XLOOKUP(CN$1,generator!$B$2:$B$295,generator!$K$2:$K$295,"ARGH")</f>
        <v>0</v>
      </c>
      <c r="CO23" s="3">
        <f>_xlfn.XLOOKUP(CO$1,generator!$B$2:$B$295,generator!$K$2:$K$295,"ARGH")</f>
        <v>0</v>
      </c>
      <c r="CP23" s="3">
        <f>_xlfn.XLOOKUP(CP$1,generator!$B$2:$B$295,generator!$K$2:$K$295,"ARGH")</f>
        <v>0</v>
      </c>
      <c r="CQ23" s="3">
        <f>_xlfn.XLOOKUP(CQ$1,generator!$B$2:$B$295,generator!$K$2:$K$295,"ARGH")</f>
        <v>0</v>
      </c>
      <c r="CR23" s="3">
        <f>_xlfn.XLOOKUP(CR$1,generator!$B$2:$B$295,generator!$K$2:$K$295,"ARGH")</f>
        <v>0</v>
      </c>
      <c r="CS23" s="3">
        <f>_xlfn.XLOOKUP(CS$1,generator!$B$2:$B$295,generator!$K$2:$K$295,"ARGH")</f>
        <v>0</v>
      </c>
      <c r="CT23" s="3">
        <f>_xlfn.XLOOKUP(CT$1,generator!$B$2:$B$295,generator!$K$2:$K$295,"ARGH")</f>
        <v>0</v>
      </c>
      <c r="CU23" s="3">
        <f>_xlfn.XLOOKUP(CU$1,generator!$B$2:$B$295,generator!$K$2:$K$295,"ARGH")</f>
        <v>0</v>
      </c>
      <c r="CV23" s="3">
        <f>_xlfn.XLOOKUP(CV$1,generator!$B$2:$B$295,generator!$K$2:$K$295,"ARGH")</f>
        <v>0</v>
      </c>
      <c r="CW23" s="3">
        <f>_xlfn.XLOOKUP(CW$1,generator!$B$2:$B$295,generator!$K$2:$K$295,"ARGH")</f>
        <v>0</v>
      </c>
      <c r="CX23" s="3">
        <f>_xlfn.XLOOKUP(CX$1,generator!$B$2:$B$295,generator!$K$2:$K$295,"ARGH")</f>
        <v>0</v>
      </c>
      <c r="CY23" s="3">
        <f>_xlfn.XLOOKUP(CY$1,generator!$B$2:$B$295,generator!$K$2:$K$295,"ARGH")</f>
        <v>0</v>
      </c>
      <c r="CZ23" s="3">
        <f>_xlfn.XLOOKUP(CZ$1,generator!$B$2:$B$295,generator!$K$2:$K$295,"ARGH")</f>
        <v>0</v>
      </c>
      <c r="DA23" s="3">
        <f>_xlfn.XLOOKUP(DA$1,generator!$B$2:$B$295,generator!$K$2:$K$295,"ARGH")</f>
        <v>0</v>
      </c>
      <c r="DB23" s="3">
        <f>_xlfn.XLOOKUP(DB$1,generator!$B$2:$B$295,generator!$K$2:$K$295,"ARGH")</f>
        <v>0</v>
      </c>
      <c r="DC23" s="3">
        <f>_xlfn.XLOOKUP(DC$1,generator!$B$2:$B$295,generator!$K$2:$K$295,"ARGH")</f>
        <v>0</v>
      </c>
      <c r="DD23" s="3">
        <f>_xlfn.XLOOKUP(DD$1,generator!$B$2:$B$295,generator!$K$2:$K$295,"ARGH")</f>
        <v>0</v>
      </c>
      <c r="DE23" s="3">
        <f>_xlfn.XLOOKUP(DE$1,generator!$B$2:$B$295,generator!$K$2:$K$295,"ARGH")</f>
        <v>0</v>
      </c>
      <c r="DF23" s="3">
        <f>_xlfn.XLOOKUP(DF$1,generator!$B$2:$B$295,generator!$K$2:$K$295,"ARGH")</f>
        <v>0</v>
      </c>
      <c r="DG23" s="3">
        <f>_xlfn.XLOOKUP(DG$1,generator!$B$2:$B$295,generator!$K$2:$K$295,"ARGH")</f>
        <v>0</v>
      </c>
      <c r="DH23" s="3">
        <f>_xlfn.XLOOKUP(DH$1,generator!$B$2:$B$295,generator!$K$2:$K$295,"ARGH")</f>
        <v>0</v>
      </c>
      <c r="DI23" s="3">
        <f>_xlfn.XLOOKUP(DI$1,generator!$B$2:$B$295,generator!$K$2:$K$295,"ARGH")</f>
        <v>0</v>
      </c>
      <c r="DJ23" s="3">
        <f>_xlfn.XLOOKUP(DJ$1,generator!$B$2:$B$295,generator!$K$2:$K$295,"ARGH")</f>
        <v>0</v>
      </c>
      <c r="DK23" s="3">
        <f>_xlfn.XLOOKUP(DK$1,generator!$B$2:$B$295,generator!$K$2:$K$295,"ARGH")</f>
        <v>0</v>
      </c>
      <c r="DL23" s="3">
        <f>_xlfn.XLOOKUP(DL$1,generator!$B$2:$B$295,generator!$K$2:$K$295,"ARGH")</f>
        <v>0</v>
      </c>
      <c r="DM23" s="3">
        <f>_xlfn.XLOOKUP(DM$1,generator!$B$2:$B$295,generator!$K$2:$K$295,"ARGH")</f>
        <v>0</v>
      </c>
      <c r="DN23" s="3">
        <f>_xlfn.XLOOKUP(DN$1,generator!$B$2:$B$295,generator!$K$2:$K$295,"ARGH")</f>
        <v>0</v>
      </c>
      <c r="DO23" s="3">
        <f>_xlfn.XLOOKUP(DO$1,generator!$B$2:$B$295,generator!$K$2:$K$295,"ARGH")</f>
        <v>0</v>
      </c>
      <c r="DP23" s="3">
        <f>_xlfn.XLOOKUP(DP$1,generator!$B$2:$B$295,generator!$K$2:$K$295,"ARGH")</f>
        <v>0</v>
      </c>
      <c r="DQ23" s="3">
        <f>_xlfn.XLOOKUP(DQ$1,generator!$B$2:$B$295,generator!$K$2:$K$295,"ARGH")</f>
        <v>0</v>
      </c>
      <c r="DR23" s="3">
        <f>_xlfn.XLOOKUP(DR$1,generator!$B$2:$B$295,generator!$K$2:$K$295,"ARGH")</f>
        <v>0</v>
      </c>
      <c r="DS23" s="3">
        <f>_xlfn.XLOOKUP(DS$1,generator!$B$2:$B$295,generator!$K$2:$K$295,"ARGH")</f>
        <v>0</v>
      </c>
      <c r="DT23" s="3">
        <f>_xlfn.XLOOKUP(DT$1,generator!$B$2:$B$295,generator!$K$2:$K$295,"ARGH")</f>
        <v>0</v>
      </c>
      <c r="DU23" s="3">
        <f>_xlfn.XLOOKUP(DU$1,generator!$B$2:$B$295,generator!$K$2:$K$295,"ARGH")</f>
        <v>0</v>
      </c>
      <c r="DV23" s="3">
        <f>_xlfn.XLOOKUP(DV$1,generator!$B$2:$B$295,generator!$K$2:$K$295,"ARGH")</f>
        <v>0</v>
      </c>
      <c r="DW23" s="3">
        <f>_xlfn.XLOOKUP(DW$1,generator!$B$2:$B$295,generator!$K$2:$K$295,"ARGH")</f>
        <v>0</v>
      </c>
      <c r="DX23" s="3">
        <f>_xlfn.XLOOKUP(DX$1,generator!$B$2:$B$295,generator!$K$2:$K$295,"ARGH")</f>
        <v>0</v>
      </c>
      <c r="DY23" s="3">
        <f>_xlfn.XLOOKUP(DY$1,generator!$B$2:$B$295,generator!$K$2:$K$295,"ARGH")</f>
        <v>0</v>
      </c>
      <c r="DZ23" s="3">
        <f>_xlfn.XLOOKUP(DZ$1,generator!$B$2:$B$295,generator!$K$2:$K$295,"ARGH")</f>
        <v>0</v>
      </c>
      <c r="EA23" s="3">
        <f>_xlfn.XLOOKUP(EA$1,generator!$B$2:$B$295,generator!$K$2:$K$295,"ARGH")</f>
        <v>0</v>
      </c>
      <c r="EB23" s="3">
        <f>_xlfn.XLOOKUP(EB$1,generator!$B$2:$B$295,generator!$K$2:$K$295,"ARGH")</f>
        <v>0</v>
      </c>
      <c r="EC23" s="3">
        <f>_xlfn.XLOOKUP(EC$1,generator!$B$2:$B$295,generator!$K$2:$K$295,"ARGH")</f>
        <v>0</v>
      </c>
      <c r="ED23" s="3">
        <f>_xlfn.XLOOKUP(ED$1,generator!$B$2:$B$295,generator!$K$2:$K$295,"ARGH")</f>
        <v>0</v>
      </c>
      <c r="EE23" s="3">
        <f>_xlfn.XLOOKUP(EE$1,generator!$B$2:$B$295,generator!$K$2:$K$295,"ARGH")</f>
        <v>0</v>
      </c>
      <c r="EF23" s="3">
        <f>_xlfn.XLOOKUP(EF$1,generator!$B$2:$B$295,generator!$K$2:$K$295,"ARGH")</f>
        <v>0</v>
      </c>
      <c r="EG23" s="3">
        <f>_xlfn.XLOOKUP(EG$1,generator!$B$2:$B$295,generator!$K$2:$K$295,"ARGH")</f>
        <v>0</v>
      </c>
      <c r="EH23" s="3">
        <f>_xlfn.XLOOKUP(EH$1,generator!$B$2:$B$295,generator!$K$2:$K$295,"ARGH")</f>
        <v>0</v>
      </c>
      <c r="EI23" s="3">
        <f>_xlfn.XLOOKUP(EI$1,generator!$B$2:$B$295,generator!$K$2:$K$295,"ARGH")</f>
        <v>0</v>
      </c>
      <c r="EJ23" s="3">
        <f>_xlfn.XLOOKUP(EJ$1,generator!$B$2:$B$295,generator!$K$2:$K$295,"ARGH")</f>
        <v>0</v>
      </c>
      <c r="EK23" s="3">
        <f>_xlfn.XLOOKUP(EK$1,generator!$B$2:$B$295,generator!$K$2:$K$295,"ARGH")</f>
        <v>0</v>
      </c>
      <c r="EL23" s="3">
        <f>_xlfn.XLOOKUP(EL$1,generator!$B$2:$B$295,generator!$K$2:$K$295,"ARGH")</f>
        <v>0</v>
      </c>
      <c r="EM23" s="3">
        <f>_xlfn.XLOOKUP(EM$1,generator!$B$2:$B$295,generator!$K$2:$K$295,"ARGH")</f>
        <v>0</v>
      </c>
      <c r="EN23" s="3">
        <f>_xlfn.XLOOKUP(EN$1,generator!$B$2:$B$295,generator!$K$2:$K$295,"ARGH")</f>
        <v>0</v>
      </c>
      <c r="EO23" s="3">
        <f>_xlfn.XLOOKUP(EO$1,generator!$B$2:$B$295,generator!$K$2:$K$295,"ARGH")</f>
        <v>0</v>
      </c>
      <c r="EP23" s="3">
        <f>_xlfn.XLOOKUP(EP$1,generator!$B$2:$B$295,generator!$K$2:$K$295,"ARGH")</f>
        <v>0</v>
      </c>
      <c r="EQ23" s="3">
        <f>_xlfn.XLOOKUP(EQ$1,generator!$B$2:$B$295,generator!$K$2:$K$295,"ARGH")</f>
        <v>0</v>
      </c>
      <c r="ER23" s="3">
        <f>_xlfn.XLOOKUP(ER$1,generator!$B$2:$B$295,generator!$K$2:$K$295,"ARGH")</f>
        <v>0</v>
      </c>
      <c r="ES23" s="3">
        <f>_xlfn.XLOOKUP(ES$1,generator!$B$2:$B$295,generator!$K$2:$K$295,"ARGH")</f>
        <v>0</v>
      </c>
      <c r="ET23" s="3">
        <f>_xlfn.XLOOKUP(ET$1,generator!$B$2:$B$295,generator!$K$2:$K$295,"ARGH")</f>
        <v>0</v>
      </c>
      <c r="EU23" s="3">
        <f>_xlfn.XLOOKUP(EU$1,generator!$B$2:$B$295,generator!$K$2:$K$295,"ARGH")</f>
        <v>0</v>
      </c>
      <c r="EV23" s="3">
        <f>_xlfn.XLOOKUP(EV$1,generator!$B$2:$B$295,generator!$K$2:$K$295,"ARGH")</f>
        <v>0</v>
      </c>
      <c r="EW23" s="3">
        <f>_xlfn.XLOOKUP(EW$1,generator!$B$2:$B$295,generator!$K$2:$K$295,"ARGH")</f>
        <v>0</v>
      </c>
      <c r="EX23" s="3">
        <f>_xlfn.XLOOKUP(EX$1,generator!$B$2:$B$295,generator!$K$2:$K$295,"ARGH")</f>
        <v>0</v>
      </c>
      <c r="EY23" s="3">
        <f>_xlfn.XLOOKUP(EY$1,generator!$B$2:$B$295,generator!$K$2:$K$295,"ARGH")</f>
        <v>0</v>
      </c>
      <c r="EZ23" s="3">
        <f>_xlfn.XLOOKUP(EZ$1,generator!$B$2:$B$295,generator!$K$2:$K$295,"ARGH")</f>
        <v>0</v>
      </c>
      <c r="FA23" s="3">
        <f>_xlfn.XLOOKUP(FA$1,generator!$B$2:$B$295,generator!$K$2:$K$295,"ARGH")</f>
        <v>0</v>
      </c>
      <c r="FB23" s="3">
        <f>_xlfn.XLOOKUP(FB$1,generator!$B$2:$B$295,generator!$K$2:$K$295,"ARGH")</f>
        <v>0</v>
      </c>
      <c r="FC23" s="3">
        <f>_xlfn.XLOOKUP(FC$1,generator!$B$2:$B$295,generator!$K$2:$K$295,"ARGH")</f>
        <v>0</v>
      </c>
      <c r="FD23" s="3">
        <f>_xlfn.XLOOKUP(FD$1,generator!$B$2:$B$295,generator!$K$2:$K$295,"ARGH")</f>
        <v>0</v>
      </c>
      <c r="FE23" s="3">
        <f>_xlfn.XLOOKUP(FE$1,generator!$B$2:$B$295,generator!$K$2:$K$295,"ARGH")</f>
        <v>0</v>
      </c>
      <c r="FF23" s="3">
        <f>_xlfn.XLOOKUP(FF$1,generator!$B$2:$B$295,generator!$K$2:$K$295,"ARGH")</f>
        <v>0</v>
      </c>
      <c r="FG23" s="3">
        <f>_xlfn.XLOOKUP(FG$1,generator!$B$2:$B$295,generator!$K$2:$K$295,"ARGH")</f>
        <v>0</v>
      </c>
      <c r="FH23" s="3">
        <f>_xlfn.XLOOKUP(FH$1,generator!$B$2:$B$295,generator!$K$2:$K$295,"ARGH")</f>
        <v>0</v>
      </c>
      <c r="FI23" s="3">
        <f>_xlfn.XLOOKUP(FI$1,generator!$B$2:$B$295,generator!$K$2:$K$295,"ARGH")</f>
        <v>0</v>
      </c>
      <c r="FJ23" s="3">
        <f>_xlfn.XLOOKUP(FJ$1,generator!$B$2:$B$295,generator!$K$2:$K$295,"ARGH")</f>
        <v>0</v>
      </c>
      <c r="FK23" s="3">
        <f>_xlfn.XLOOKUP(FK$1,generator!$B$2:$B$295,generator!$K$2:$K$295,"ARGH")</f>
        <v>0</v>
      </c>
      <c r="FL23" s="3">
        <f>_xlfn.XLOOKUP(FL$1,generator!$B$2:$B$295,generator!$K$2:$K$295,"ARGH")</f>
        <v>0</v>
      </c>
      <c r="FM23" s="3">
        <f>_xlfn.XLOOKUP(FM$1,generator!$B$2:$B$295,generator!$K$2:$K$295,"ARGH")</f>
        <v>0</v>
      </c>
      <c r="FN23" s="3">
        <f>_xlfn.XLOOKUP(FN$1,generator!$B$2:$B$295,generator!$K$2:$K$295,"ARGH")</f>
        <v>0</v>
      </c>
      <c r="FO23" s="3">
        <f>_xlfn.XLOOKUP(FO$1,generator!$B$2:$B$295,generator!$K$2:$K$295,"ARGH")</f>
        <v>0</v>
      </c>
      <c r="FP23" s="3">
        <f>_xlfn.XLOOKUP(FP$1,generator!$B$2:$B$295,generator!$K$2:$K$295,"ARGH")</f>
        <v>0</v>
      </c>
      <c r="FQ23" s="3">
        <f>_xlfn.XLOOKUP(FQ$1,generator!$B$2:$B$295,generator!$K$2:$K$295,"ARGH")</f>
        <v>0</v>
      </c>
      <c r="FR23" s="3">
        <f>_xlfn.XLOOKUP(FR$1,generator!$B$2:$B$295,generator!$K$2:$K$295,"ARGH")</f>
        <v>0</v>
      </c>
      <c r="FS23" s="3">
        <f>_xlfn.XLOOKUP(FS$1,generator!$B$2:$B$295,generator!$K$2:$K$295,"ARGH")</f>
        <v>0</v>
      </c>
      <c r="FT23" s="3">
        <f>_xlfn.XLOOKUP(FT$1,generator!$B$2:$B$295,generator!$K$2:$K$295,"ARGH")</f>
        <v>0</v>
      </c>
      <c r="FU23" s="3">
        <f>_xlfn.XLOOKUP(FU$1,generator!$B$2:$B$295,generator!$K$2:$K$295,"ARGH")</f>
        <v>0</v>
      </c>
      <c r="FV23" s="3">
        <f>_xlfn.XLOOKUP(FV$1,generator!$B$2:$B$295,generator!$K$2:$K$295,"ARGH")</f>
        <v>0</v>
      </c>
      <c r="FW23" s="3">
        <f>_xlfn.XLOOKUP(FW$1,generator!$B$2:$B$295,generator!$K$2:$K$295,"ARGH")</f>
        <v>0</v>
      </c>
      <c r="FX23" s="3">
        <f>_xlfn.XLOOKUP(FX$1,generator!$B$2:$B$295,generator!$K$2:$K$295,"ARGH")</f>
        <v>0</v>
      </c>
      <c r="FY23" s="3">
        <f>_xlfn.XLOOKUP(FY$1,generator!$B$2:$B$295,generator!$K$2:$K$295,"ARGH")</f>
        <v>0</v>
      </c>
      <c r="FZ23" s="3">
        <f>_xlfn.XLOOKUP(FZ$1,generator!$B$2:$B$295,generator!$K$2:$K$295,"ARGH")</f>
        <v>0</v>
      </c>
      <c r="GA23" s="3">
        <f>_xlfn.XLOOKUP(GA$1,generator!$B$2:$B$295,generator!$K$2:$K$295,"ARGH")</f>
        <v>0</v>
      </c>
      <c r="GB23" s="3">
        <f>_xlfn.XLOOKUP(GB$1,generator!$B$2:$B$295,generator!$K$2:$K$295,"ARGH")</f>
        <v>0</v>
      </c>
      <c r="GC23" s="3">
        <f>_xlfn.XLOOKUP(GC$1,generator!$B$2:$B$295,generator!$K$2:$K$295,"ARGH")</f>
        <v>0</v>
      </c>
      <c r="GD23" s="3">
        <f>_xlfn.XLOOKUP(GD$1,generator!$B$2:$B$295,generator!$K$2:$K$295,"ARGH")</f>
        <v>0</v>
      </c>
      <c r="GE23" s="3">
        <f>_xlfn.XLOOKUP(GE$1,generator!$B$2:$B$295,generator!$K$2:$K$295,"ARGH")</f>
        <v>0</v>
      </c>
      <c r="GF23" s="3">
        <f>_xlfn.XLOOKUP(GF$1,generator!$B$2:$B$295,generator!$K$2:$K$295,"ARGH")</f>
        <v>0</v>
      </c>
      <c r="GG23" s="3">
        <f>_xlfn.XLOOKUP(GG$1,generator!$B$2:$B$295,generator!$K$2:$K$295,"ARGH")</f>
        <v>0</v>
      </c>
      <c r="GH23" s="3">
        <f>_xlfn.XLOOKUP(GH$1,generator!$B$2:$B$295,generator!$K$2:$K$295,"ARGH")</f>
        <v>0</v>
      </c>
      <c r="GI23" s="3">
        <f>_xlfn.XLOOKUP(GI$1,generator!$B$2:$B$295,generator!$K$2:$K$295,"ARGH")</f>
        <v>0</v>
      </c>
      <c r="GJ23" s="3">
        <f>_xlfn.XLOOKUP(GJ$1,generator!$B$2:$B$295,generator!$K$2:$K$295,"ARGH")</f>
        <v>0</v>
      </c>
      <c r="GK23" s="3">
        <f>_xlfn.XLOOKUP(GK$1,generator!$B$2:$B$295,generator!$K$2:$K$295,"ARGH")</f>
        <v>0</v>
      </c>
      <c r="GL23" s="3">
        <f>_xlfn.XLOOKUP(GL$1,generator!$B$2:$B$295,generator!$K$2:$K$295,"ARGH")</f>
        <v>0</v>
      </c>
      <c r="GM23" s="3">
        <f>_xlfn.XLOOKUP(GM$1,generator!$B$2:$B$295,generator!$K$2:$K$295,"ARGH")</f>
        <v>0</v>
      </c>
      <c r="GN23" s="3">
        <f>_xlfn.XLOOKUP(GN$1,generator!$B$2:$B$295,generator!$K$2:$K$295,"ARGH")</f>
        <v>0</v>
      </c>
      <c r="GO23" s="3">
        <f>_xlfn.XLOOKUP(GO$1,generator!$B$2:$B$295,generator!$K$2:$K$295,"ARGH")</f>
        <v>0</v>
      </c>
      <c r="GP23" s="3">
        <f>_xlfn.XLOOKUP(GP$1,generator!$B$2:$B$295,generator!$K$2:$K$295,"ARGH")</f>
        <v>0</v>
      </c>
      <c r="GQ23" s="3">
        <f>_xlfn.XLOOKUP(GQ$1,generator!$B$2:$B$295,generator!$K$2:$K$295,"ARGH")</f>
        <v>0</v>
      </c>
      <c r="GR23" s="3">
        <f>_xlfn.XLOOKUP(GR$1,generator!$B$2:$B$295,generator!$K$2:$K$295,"ARGH")</f>
        <v>0</v>
      </c>
      <c r="GS23" s="3">
        <f>_xlfn.XLOOKUP(GS$1,generator!$B$2:$B$295,generator!$K$2:$K$295,"ARGH")</f>
        <v>0</v>
      </c>
      <c r="GT23" s="3">
        <f>_xlfn.XLOOKUP(GT$1,generator!$B$2:$B$295,generator!$K$2:$K$295,"ARGH")</f>
        <v>0</v>
      </c>
      <c r="GU23" s="3">
        <f>_xlfn.XLOOKUP(GU$1,generator!$B$2:$B$295,generator!$K$2:$K$295,"ARGH")</f>
        <v>0</v>
      </c>
      <c r="GV23" s="3">
        <f>_xlfn.XLOOKUP(GV$1,generator!$B$2:$B$295,generator!$K$2:$K$295,"ARGH")</f>
        <v>0</v>
      </c>
      <c r="GW23" s="3">
        <f>_xlfn.XLOOKUP(GW$1,generator!$B$2:$B$295,generator!$K$2:$K$295,"ARGH")</f>
        <v>0</v>
      </c>
      <c r="GX23" s="3">
        <f>_xlfn.XLOOKUP(GX$1,generator!$B$2:$B$295,generator!$K$2:$K$295,"ARGH")</f>
        <v>0</v>
      </c>
      <c r="GY23" s="3">
        <f>_xlfn.XLOOKUP(GY$1,generator!$B$2:$B$295,generator!$K$2:$K$295,"ARGH")</f>
        <v>0</v>
      </c>
      <c r="GZ23" s="3">
        <f>_xlfn.XLOOKUP(GZ$1,generator!$B$2:$B$295,generator!$K$2:$K$295,"ARGH")</f>
        <v>0</v>
      </c>
      <c r="HA23" s="3">
        <f>_xlfn.XLOOKUP(HA$1,generator!$B$2:$B$295,generator!$K$2:$K$295,"ARGH")</f>
        <v>0</v>
      </c>
      <c r="HB23" s="3">
        <f>_xlfn.XLOOKUP(HB$1,generator!$B$2:$B$295,generator!$K$2:$K$295,"ARGH")</f>
        <v>0</v>
      </c>
      <c r="HC23" s="3">
        <f>_xlfn.XLOOKUP(HC$1,generator!$B$2:$B$295,generator!$K$2:$K$295,"ARGH")</f>
        <v>0</v>
      </c>
      <c r="HD23" s="3">
        <f>_xlfn.XLOOKUP(HD$1,generator!$B$2:$B$295,generator!$K$2:$K$295,"ARGH")</f>
        <v>0</v>
      </c>
      <c r="HE23" s="3">
        <f>_xlfn.XLOOKUP(HE$1,generator!$B$2:$B$295,generator!$K$2:$K$295,"ARGH")</f>
        <v>12.74</v>
      </c>
      <c r="HF23" s="3">
        <f>_xlfn.XLOOKUP(HF$1,generator!$B$2:$B$295,generator!$K$2:$K$295,"ARGH")</f>
        <v>99</v>
      </c>
      <c r="HG23" s="3">
        <f>_xlfn.XLOOKUP(HG$1,generator!$B$2:$B$295,generator!$K$2:$K$295,"ARGH")</f>
        <v>99</v>
      </c>
      <c r="HH23" s="3">
        <f>_xlfn.XLOOKUP(HH$1,generator!$B$2:$B$295,generator!$K$2:$K$295,"ARGH")</f>
        <v>99</v>
      </c>
      <c r="HI23" s="3">
        <f>_xlfn.XLOOKUP(HI$1,generator!$B$2:$B$295,generator!$K$2:$K$295,"ARGH")</f>
        <v>8</v>
      </c>
      <c r="HJ23" s="3">
        <f>_xlfn.XLOOKUP(HJ$1,generator!$B$2:$B$295,generator!$K$2:$K$295,"ARGH")</f>
        <v>8</v>
      </c>
      <c r="HK23" s="3">
        <f>_xlfn.XLOOKUP(HK$1,generator!$B$2:$B$295,generator!$K$2:$K$295,"ARGH")</f>
        <v>8</v>
      </c>
      <c r="HL23" s="3">
        <f>_xlfn.XLOOKUP(HL$1,generator!$B$2:$B$295,generator!$K$2:$K$295,"ARGH")</f>
        <v>20</v>
      </c>
      <c r="HM23" s="3">
        <f>_xlfn.XLOOKUP(HM$1,generator!$B$2:$B$295,generator!$K$2:$K$295,"ARGH")</f>
        <v>20</v>
      </c>
      <c r="HN23" s="3">
        <f>_xlfn.XLOOKUP(HN$1,generator!$B$2:$B$295,generator!$K$2:$K$295,"ARGH")</f>
        <v>5</v>
      </c>
      <c r="HO23" s="3">
        <f>_xlfn.XLOOKUP(HO$1,generator!$B$2:$B$295,generator!$K$2:$K$295,"ARGH")</f>
        <v>5</v>
      </c>
      <c r="HP23" s="3">
        <f>_xlfn.XLOOKUP(HP$1,generator!$B$2:$B$295,generator!$K$2:$K$295,"ARGH")</f>
        <v>0.2</v>
      </c>
      <c r="HQ23" s="3">
        <f>_xlfn.XLOOKUP(HQ$1,generator!$B$2:$B$295,generator!$K$2:$K$295,"ARGH")</f>
        <v>5</v>
      </c>
      <c r="HR23" s="3">
        <f>_xlfn.XLOOKUP(HR$1,generator!$B$2:$B$295,generator!$K$2:$K$295,"ARGH")</f>
        <v>5</v>
      </c>
      <c r="HS23" s="3">
        <f>_xlfn.XLOOKUP(HS$1,generator!$B$2:$B$295,generator!$K$2:$K$295,"ARGH")</f>
        <v>12.82</v>
      </c>
      <c r="HT23" s="3">
        <f>_xlfn.XLOOKUP(HT$1,generator!$B$2:$B$295,generator!$K$2:$K$295,"ARGH")</f>
        <v>12.82</v>
      </c>
      <c r="HU23" s="3">
        <f>_xlfn.XLOOKUP(HU$1,generator!$B$2:$B$295,generator!$K$2:$K$295,"ARGH")</f>
        <v>25</v>
      </c>
      <c r="HV23" s="3">
        <f>_xlfn.XLOOKUP(HV$1,generator!$B$2:$B$295,generator!$K$2:$K$295,"ARGH")</f>
        <v>16</v>
      </c>
      <c r="HW23" s="3">
        <f>_xlfn.XLOOKUP(HW$1,generator!$B$2:$B$295,generator!$K$2:$K$295,"ARGH")</f>
        <v>5</v>
      </c>
      <c r="HX23" s="3">
        <f>_xlfn.XLOOKUP(HX$1,generator!$B$2:$B$295,generator!$K$2:$K$295,"ARGH")</f>
        <v>5</v>
      </c>
      <c r="HY23" s="3">
        <f>_xlfn.XLOOKUP(HY$1,generator!$B$2:$B$295,generator!$K$2:$K$295,"ARGH")</f>
        <v>63</v>
      </c>
      <c r="HZ23" s="3">
        <f>_xlfn.XLOOKUP(HZ$1,generator!$B$2:$B$295,generator!$K$2:$K$295,"ARGH")</f>
        <v>18</v>
      </c>
      <c r="IA23" s="3">
        <f>_xlfn.XLOOKUP(IA$1,generator!$B$2:$B$295,generator!$K$2:$K$295,"ARGH")</f>
        <v>121</v>
      </c>
      <c r="IB23" s="3">
        <f>_xlfn.XLOOKUP(IB$1,generator!$B$2:$B$295,generator!$K$2:$K$295,"ARGH")</f>
        <v>120</v>
      </c>
      <c r="IC23" s="3">
        <f>_xlfn.XLOOKUP(IC$1,generator!$B$2:$B$295,generator!$K$2:$K$295,"ARGH")</f>
        <v>0</v>
      </c>
      <c r="ID23" s="3">
        <f>_xlfn.XLOOKUP(ID$1,generator!$B$2:$B$295,generator!$K$2:$K$295,"ARGH")</f>
        <v>17</v>
      </c>
      <c r="IE23" s="3">
        <f>_xlfn.XLOOKUP(IE$1,generator!$B$2:$B$295,generator!$K$2:$K$295,"ARGH")</f>
        <v>194</v>
      </c>
      <c r="IF23" s="3">
        <f>_xlfn.XLOOKUP(IF$1,generator!$B$2:$B$295,generator!$K$2:$K$295,"ARGH")</f>
        <v>11.9</v>
      </c>
      <c r="IG23" s="3">
        <f>_xlfn.XLOOKUP(IG$1,generator!$B$2:$B$295,generator!$K$2:$K$295,"ARGH")</f>
        <v>11.9</v>
      </c>
      <c r="IH23" s="3">
        <f>_xlfn.XLOOKUP(IH$1,generator!$B$2:$B$295,generator!$K$2:$K$295,"ARGH")</f>
        <v>11.9</v>
      </c>
      <c r="II23" s="3">
        <f>_xlfn.XLOOKUP(II$1,generator!$B$2:$B$295,generator!$K$2:$K$295,"ARGH")</f>
        <v>11.9</v>
      </c>
      <c r="IJ23" s="3">
        <f>_xlfn.XLOOKUP(IJ$1,generator!$B$2:$B$295,generator!$K$2:$K$295,"ARGH")</f>
        <v>0</v>
      </c>
      <c r="IK23" s="3">
        <f>_xlfn.XLOOKUP(IK$1,generator!$B$2:$B$295,generator!$K$2:$K$295,"ARGH")</f>
        <v>3</v>
      </c>
      <c r="IL23" s="3">
        <f>_xlfn.XLOOKUP(IL$1,generator!$B$2:$B$295,generator!$K$2:$K$295,"ARGH")</f>
        <v>5</v>
      </c>
      <c r="IM23" s="3">
        <f>_xlfn.XLOOKUP(IM$1,generator!$B$2:$B$295,generator!$K$2:$K$295,"ARGH")</f>
        <v>5</v>
      </c>
      <c r="IN23" s="3">
        <f>_xlfn.XLOOKUP(IN$1,generator!$B$2:$B$295,generator!$K$2:$K$295,"ARGH")</f>
        <v>4</v>
      </c>
      <c r="IO23" s="3">
        <f>_xlfn.XLOOKUP(IO$1,generator!$B$2:$B$295,generator!$K$2:$K$295,"ARGH")</f>
        <v>4</v>
      </c>
      <c r="IP23" s="3">
        <f>_xlfn.XLOOKUP(IP$1,generator!$B$2:$B$295,generator!$K$2:$K$295,"ARGH")</f>
        <v>3</v>
      </c>
      <c r="IQ23" s="3">
        <f>_xlfn.XLOOKUP(IQ$1,generator!$B$2:$B$295,generator!$K$2:$K$295,"ARGH")</f>
        <v>1</v>
      </c>
      <c r="IR23" s="3">
        <f>_xlfn.XLOOKUP(IR$1,generator!$B$2:$B$295,generator!$K$2:$K$295,"ARGH")</f>
        <v>3</v>
      </c>
      <c r="IS23" s="3">
        <f>_xlfn.XLOOKUP(IS$1,generator!$B$2:$B$295,generator!$K$2:$K$295,"ARGH")</f>
        <v>3</v>
      </c>
      <c r="IT23" s="3">
        <f>_xlfn.XLOOKUP(IT$1,generator!$B$2:$B$295,generator!$K$2:$K$295,"ARGH")</f>
        <v>0</v>
      </c>
      <c r="IU23" s="3">
        <f>_xlfn.XLOOKUP(IU$1,generator!$B$2:$B$295,generator!$K$2:$K$295,"ARGH")</f>
        <v>3.99</v>
      </c>
      <c r="IV23" s="3">
        <f>_xlfn.XLOOKUP(IV$1,generator!$B$2:$B$295,generator!$K$2:$K$295,"ARGH")</f>
        <v>0.2</v>
      </c>
      <c r="IW23" s="3">
        <f>_xlfn.XLOOKUP(IW$1,generator!$B$2:$B$295,generator!$K$2:$K$295,"ARGH")</f>
        <v>15</v>
      </c>
      <c r="IX23" s="3">
        <f>_xlfn.XLOOKUP(IX$1,generator!$B$2:$B$295,generator!$K$2:$K$295,"ARGH")</f>
        <v>15</v>
      </c>
      <c r="IY23" s="3">
        <f>_xlfn.XLOOKUP(IY$1,generator!$B$2:$B$295,generator!$K$2:$K$295,"ARGH")</f>
        <v>15</v>
      </c>
      <c r="IZ23" s="3">
        <f>_xlfn.XLOOKUP(IZ$1,generator!$B$2:$B$295,generator!$K$2:$K$295,"ARGH")</f>
        <v>120</v>
      </c>
      <c r="JA23" s="3">
        <f>_xlfn.XLOOKUP(JA$1,generator!$B$2:$B$295,generator!$K$2:$K$295,"ARGH")</f>
        <v>40</v>
      </c>
      <c r="JB23" s="3">
        <f>_xlfn.XLOOKUP(JB$1,generator!$B$2:$B$295,generator!$K$2:$K$295,"ARGH")</f>
        <v>40</v>
      </c>
      <c r="JC23" s="3">
        <f>_xlfn.XLOOKUP(JC$1,generator!$B$2:$B$295,generator!$K$2:$K$295,"ARGH")</f>
        <v>113</v>
      </c>
      <c r="JD23" s="3">
        <f>_xlfn.XLOOKUP(JD$1,generator!$B$2:$B$295,generator!$K$2:$K$295,"ARGH")</f>
        <v>113</v>
      </c>
      <c r="JE23" s="3">
        <f>_xlfn.XLOOKUP(JE$1,generator!$B$2:$B$295,generator!$K$2:$K$295,"ARGH")</f>
        <v>211</v>
      </c>
      <c r="JF23" s="3">
        <f>_xlfn.XLOOKUP(JF$1,generator!$B$2:$B$295,generator!$K$2:$K$295,"ARGH")</f>
        <v>22.5</v>
      </c>
      <c r="JG23" s="3">
        <f>_xlfn.XLOOKUP(JG$1,generator!$B$2:$B$295,generator!$K$2:$K$295,"ARGH")</f>
        <v>1</v>
      </c>
      <c r="JH23" s="3">
        <f>_xlfn.XLOOKUP(JH$1,generator!$B$2:$B$295,generator!$K$2:$K$295,"ARGH")</f>
        <v>160</v>
      </c>
      <c r="JI23" s="3">
        <f>_xlfn.XLOOKUP(JI$1,generator!$B$2:$B$295,generator!$K$2:$K$295,"ARGH")</f>
        <v>165</v>
      </c>
      <c r="JJ23" s="3">
        <f>_xlfn.XLOOKUP(JJ$1,generator!$B$2:$B$295,generator!$K$2:$K$295,"ARGH")</f>
        <v>4.5999999999999996</v>
      </c>
      <c r="JK23" s="3">
        <f>_xlfn.XLOOKUP(JK$1,generator!$B$2:$B$295,generator!$K$2:$K$295,"ARGH")</f>
        <v>4.5999999999999996</v>
      </c>
      <c r="JL23" s="3">
        <f>_xlfn.XLOOKUP(JL$1,generator!$B$2:$B$295,generator!$K$2:$K$295,"ARGH")</f>
        <v>4.5999999999999996</v>
      </c>
      <c r="JM23" s="3">
        <f>_xlfn.XLOOKUP(JM$1,generator!$B$2:$B$295,generator!$K$2:$K$295,"ARGH")</f>
        <v>4.5999999999999996</v>
      </c>
      <c r="JN23" s="3">
        <f>_xlfn.XLOOKUP(JN$1,generator!$B$2:$B$295,generator!$K$2:$K$295,"ARGH")</f>
        <v>4.5999999999999996</v>
      </c>
      <c r="JO23" s="3">
        <f>_xlfn.XLOOKUP(JO$1,generator!$B$2:$B$295,generator!$K$2:$K$295,"ARGH")</f>
        <v>4.5999999999999996</v>
      </c>
      <c r="JP23" s="3">
        <f>_xlfn.XLOOKUP(JP$1,generator!$B$2:$B$295,generator!$K$2:$K$295,"ARGH")</f>
        <v>110</v>
      </c>
      <c r="JQ23" s="3">
        <f>_xlfn.XLOOKUP(JQ$1,generator!$B$2:$B$295,generator!$K$2:$K$295,"ARGH")</f>
        <v>22.7</v>
      </c>
      <c r="JR23" s="3">
        <f>_xlfn.XLOOKUP(JR$1,generator!$B$2:$B$295,generator!$K$2:$K$295,"ARGH")</f>
        <v>147</v>
      </c>
      <c r="JS23" s="3">
        <f>_xlfn.XLOOKUP(JS$1,generator!$B$2:$B$295,generator!$K$2:$K$295,"ARGH")</f>
        <v>147</v>
      </c>
      <c r="JT23" s="3">
        <f>_xlfn.XLOOKUP(JT$1,generator!$B$2:$B$295,generator!$K$2:$K$295,"ARGH")</f>
        <v>22.7</v>
      </c>
      <c r="JU23" s="3">
        <f>_xlfn.XLOOKUP(JU$1,generator!$B$2:$B$295,generator!$K$2:$K$295,"ARGH")</f>
        <v>21.5</v>
      </c>
      <c r="JV23" s="3">
        <f>_xlfn.XLOOKUP(JV$1,generator!$B$2:$B$295,generator!$K$2:$K$295,"ARGH")</f>
        <v>120</v>
      </c>
      <c r="JW23" s="3">
        <f>_xlfn.XLOOKUP(JW$1,generator!$B$2:$B$295,generator!$K$2:$K$295,"ARGH")</f>
        <v>120</v>
      </c>
      <c r="JX23" s="3">
        <f>_xlfn.XLOOKUP(JX$1,generator!$B$2:$B$295,generator!$K$2:$K$295,"ARGH")</f>
        <v>1</v>
      </c>
      <c r="JY23" s="3">
        <f>_xlfn.XLOOKUP(JY$1,generator!$B$2:$B$295,generator!$K$2:$K$295,"ARGH")</f>
        <v>41.15</v>
      </c>
      <c r="JZ23" s="3">
        <f>_xlfn.XLOOKUP(JZ$1,generator!$B$2:$B$295,generator!$K$2:$K$295,"ARGH")</f>
        <v>5</v>
      </c>
      <c r="KA23" s="3">
        <f>_xlfn.XLOOKUP(KA$1,generator!$B$2:$B$295,generator!$K$2:$K$295,"ARGH")</f>
        <v>5</v>
      </c>
      <c r="KB23" s="3">
        <f>_xlfn.XLOOKUP(KB$1,generator!$B$2:$B$295,generator!$K$2:$K$295,"ARGH")</f>
        <v>5</v>
      </c>
      <c r="KC23" s="3">
        <f>_xlfn.XLOOKUP(KC$1,generator!$B$2:$B$295,generator!$K$2:$K$295,"ARGH")</f>
        <v>5</v>
      </c>
    </row>
    <row r="24" spans="1:289" x14ac:dyDescent="0.3">
      <c r="A24" s="4" t="s">
        <v>3019</v>
      </c>
      <c r="B24" s="31">
        <v>499.5</v>
      </c>
      <c r="C24" s="31">
        <v>438</v>
      </c>
      <c r="D24" s="31">
        <v>442</v>
      </c>
      <c r="E24" s="3">
        <f>_xlfn.XLOOKUP(E$1,generator!$B$2:$B$295,generator!$K$2:$K$295,"ARGH")</f>
        <v>0</v>
      </c>
      <c r="F24" s="3">
        <f>_xlfn.XLOOKUP(F$1,generator!$B$2:$B$295,generator!$K$2:$K$295,"ARGH")</f>
        <v>0</v>
      </c>
      <c r="G24" s="3">
        <f>_xlfn.XLOOKUP(G$1,generator!$B$2:$B$295,generator!$K$2:$K$295,"ARGH")</f>
        <v>0</v>
      </c>
      <c r="H24" s="3">
        <f>_xlfn.XLOOKUP(H$1,generator!$B$2:$B$295,generator!$K$2:$K$295,"ARGH")</f>
        <v>0</v>
      </c>
      <c r="I24" s="3">
        <f>_xlfn.XLOOKUP(I$1,generator!$B$2:$B$295,generator!$K$2:$K$295,"ARGH")</f>
        <v>0</v>
      </c>
      <c r="J24" s="3">
        <f>_xlfn.XLOOKUP(J$1,generator!$B$2:$B$295,generator!$K$2:$K$295,"ARGH")</f>
        <v>0</v>
      </c>
      <c r="K24" s="3">
        <f>_xlfn.XLOOKUP(K$1,generator!$B$2:$B$295,generator!$K$2:$K$295,"ARGH")</f>
        <v>0</v>
      </c>
      <c r="L24" s="3">
        <f>_xlfn.XLOOKUP(L$1,generator!$B$2:$B$295,generator!$K$2:$K$295,"ARGH")</f>
        <v>0</v>
      </c>
      <c r="M24" s="3">
        <f>_xlfn.XLOOKUP(M$1,generator!$B$2:$B$295,generator!$K$2:$K$295,"ARGH")</f>
        <v>0</v>
      </c>
      <c r="N24" s="3">
        <f>_xlfn.XLOOKUP(N$1,generator!$B$2:$B$295,generator!$K$2:$K$295,"ARGH")</f>
        <v>0</v>
      </c>
      <c r="O24" s="3">
        <f>_xlfn.XLOOKUP(O$1,generator!$B$2:$B$295,generator!$K$2:$K$295,"ARGH")</f>
        <v>0</v>
      </c>
      <c r="P24" s="3">
        <f>_xlfn.XLOOKUP(P$1,generator!$B$2:$B$295,generator!$K$2:$K$295,"ARGH")</f>
        <v>0</v>
      </c>
      <c r="Q24" s="3">
        <f>_xlfn.XLOOKUP(Q$1,generator!$B$2:$B$295,generator!$K$2:$K$295,"ARGH")</f>
        <v>0</v>
      </c>
      <c r="R24" s="3">
        <f>_xlfn.XLOOKUP(R$1,generator!$B$2:$B$295,generator!$K$2:$K$295,"ARGH")</f>
        <v>0</v>
      </c>
      <c r="S24" s="3">
        <f>_xlfn.XLOOKUP(S$1,generator!$B$2:$B$295,generator!$K$2:$K$295,"ARGH")</f>
        <v>0</v>
      </c>
      <c r="T24" s="3">
        <f>_xlfn.XLOOKUP(T$1,generator!$B$2:$B$295,generator!$K$2:$K$295,"ARGH")</f>
        <v>0</v>
      </c>
      <c r="U24" s="3">
        <f>_xlfn.XLOOKUP(U$1,generator!$B$2:$B$295,generator!$K$2:$K$295,"ARGH")</f>
        <v>0</v>
      </c>
      <c r="V24" s="3">
        <f>_xlfn.XLOOKUP(V$1,generator!$B$2:$B$295,generator!$K$2:$K$295,"ARGH")</f>
        <v>0</v>
      </c>
      <c r="W24" s="3">
        <f>_xlfn.XLOOKUP(W$1,generator!$B$2:$B$295,generator!$K$2:$K$295,"ARGH")</f>
        <v>0</v>
      </c>
      <c r="X24" s="3">
        <f>_xlfn.XLOOKUP(X$1,generator!$B$2:$B$295,generator!$K$2:$K$295,"ARGH")</f>
        <v>0</v>
      </c>
      <c r="Y24" s="3">
        <f>_xlfn.XLOOKUP(Y$1,generator!$B$2:$B$295,generator!$K$2:$K$295,"ARGH")</f>
        <v>0</v>
      </c>
      <c r="Z24" s="3">
        <f>_xlfn.XLOOKUP(Z$1,generator!$B$2:$B$295,generator!$K$2:$K$295,"ARGH")</f>
        <v>0</v>
      </c>
      <c r="AA24" s="3">
        <f>_xlfn.XLOOKUP(AA$1,generator!$B$2:$B$295,generator!$K$2:$K$295,"ARGH")</f>
        <v>0</v>
      </c>
      <c r="AB24" s="3">
        <f>_xlfn.XLOOKUP(AB$1,generator!$B$2:$B$295,generator!$K$2:$K$295,"ARGH")</f>
        <v>0</v>
      </c>
      <c r="AC24" s="3">
        <f>_xlfn.XLOOKUP(AC$1,generator!$B$2:$B$295,generator!$K$2:$K$295,"ARGH")</f>
        <v>0</v>
      </c>
      <c r="AD24" s="3">
        <f>_xlfn.XLOOKUP(AD$1,generator!$B$2:$B$295,generator!$K$2:$K$295,"ARGH")</f>
        <v>0</v>
      </c>
      <c r="AE24" s="3">
        <f>_xlfn.XLOOKUP(AE$1,generator!$B$2:$B$295,generator!$K$2:$K$295,"ARGH")</f>
        <v>0</v>
      </c>
      <c r="AF24" s="3">
        <f>_xlfn.XLOOKUP(AF$1,generator!$B$2:$B$295,generator!$K$2:$K$295,"ARGH")</f>
        <v>0</v>
      </c>
      <c r="AG24" s="3">
        <f>_xlfn.XLOOKUP(AG$1,generator!$B$2:$B$295,generator!$K$2:$K$295,"ARGH")</f>
        <v>0</v>
      </c>
      <c r="AH24" s="3">
        <f>_xlfn.XLOOKUP(AH$1,generator!$B$2:$B$295,generator!$K$2:$K$295,"ARGH")</f>
        <v>0</v>
      </c>
      <c r="AI24" s="3">
        <f>_xlfn.XLOOKUP(AI$1,generator!$B$2:$B$295,generator!$K$2:$K$295,"ARGH")</f>
        <v>0</v>
      </c>
      <c r="AJ24" s="3">
        <f>_xlfn.XLOOKUP(AJ$1,generator!$B$2:$B$295,generator!$K$2:$K$295,"ARGH")</f>
        <v>0</v>
      </c>
      <c r="AK24" s="3">
        <f>_xlfn.XLOOKUP(AK$1,generator!$B$2:$B$295,generator!$K$2:$K$295,"ARGH")</f>
        <v>0</v>
      </c>
      <c r="AL24" s="3">
        <f>_xlfn.XLOOKUP(AL$1,generator!$B$2:$B$295,generator!$K$2:$K$295,"ARGH")</f>
        <v>0</v>
      </c>
      <c r="AM24" s="3">
        <f>_xlfn.XLOOKUP(AM$1,generator!$B$2:$B$295,generator!$K$2:$K$295,"ARGH")</f>
        <v>0</v>
      </c>
      <c r="AN24" s="3">
        <f>_xlfn.XLOOKUP(AN$1,generator!$B$2:$B$295,generator!$K$2:$K$295,"ARGH")</f>
        <v>0</v>
      </c>
      <c r="AO24" s="3">
        <f>_xlfn.XLOOKUP(AO$1,generator!$B$2:$B$295,generator!$K$2:$K$295,"ARGH")</f>
        <v>0</v>
      </c>
      <c r="AP24" s="3">
        <f>_xlfn.XLOOKUP(AP$1,generator!$B$2:$B$295,generator!$K$2:$K$295,"ARGH")</f>
        <v>0</v>
      </c>
      <c r="AQ24" s="3">
        <f>_xlfn.XLOOKUP(AQ$1,generator!$B$2:$B$295,generator!$K$2:$K$295,"ARGH")</f>
        <v>0</v>
      </c>
      <c r="AR24" s="3">
        <f>_xlfn.XLOOKUP(AR$1,generator!$B$2:$B$295,generator!$K$2:$K$295,"ARGH")</f>
        <v>0</v>
      </c>
      <c r="AS24" s="3">
        <f>_xlfn.XLOOKUP(AS$1,generator!$B$2:$B$295,generator!$K$2:$K$295,"ARGH")</f>
        <v>0</v>
      </c>
      <c r="AT24" s="3">
        <f>_xlfn.XLOOKUP(AT$1,generator!$B$2:$B$295,generator!$K$2:$K$295,"ARGH")</f>
        <v>0</v>
      </c>
      <c r="AU24" s="3">
        <f>_xlfn.XLOOKUP(AU$1,generator!$B$2:$B$295,generator!$K$2:$K$295,"ARGH")</f>
        <v>0</v>
      </c>
      <c r="AV24" s="3">
        <f>_xlfn.XLOOKUP(AV$1,generator!$B$2:$B$295,generator!$K$2:$K$295,"ARGH")</f>
        <v>0</v>
      </c>
      <c r="AW24" s="3">
        <f>_xlfn.XLOOKUP(AW$1,generator!$B$2:$B$295,generator!$K$2:$K$295,"ARGH")</f>
        <v>0</v>
      </c>
      <c r="AX24" s="3">
        <f>_xlfn.XLOOKUP(AX$1,generator!$B$2:$B$295,generator!$K$2:$K$295,"ARGH")</f>
        <v>0</v>
      </c>
      <c r="AY24" s="3">
        <f>_xlfn.XLOOKUP(AY$1,generator!$B$2:$B$295,generator!$K$2:$K$295,"ARGH")</f>
        <v>0</v>
      </c>
      <c r="AZ24" s="3">
        <f>_xlfn.XLOOKUP(AZ$1,generator!$B$2:$B$295,generator!$K$2:$K$295,"ARGH")</f>
        <v>0</v>
      </c>
      <c r="BA24" s="3">
        <f>_xlfn.XLOOKUP(BA$1,generator!$B$2:$B$295,generator!$K$2:$K$295,"ARGH")</f>
        <v>0</v>
      </c>
      <c r="BB24" s="3">
        <f>_xlfn.XLOOKUP(BB$1,generator!$B$2:$B$295,generator!$K$2:$K$295,"ARGH")</f>
        <v>0</v>
      </c>
      <c r="BC24" s="3">
        <f>_xlfn.XLOOKUP(BC$1,generator!$B$2:$B$295,generator!$K$2:$K$295,"ARGH")</f>
        <v>0</v>
      </c>
      <c r="BD24" s="3">
        <f>_xlfn.XLOOKUP(BD$1,generator!$B$2:$B$295,generator!$K$2:$K$295,"ARGH")</f>
        <v>0</v>
      </c>
      <c r="BE24" s="3">
        <f>_xlfn.XLOOKUP(BE$1,generator!$B$2:$B$295,generator!$K$2:$K$295,"ARGH")</f>
        <v>0</v>
      </c>
      <c r="BF24" s="3">
        <f>_xlfn.XLOOKUP(BF$1,generator!$B$2:$B$295,generator!$K$2:$K$295,"ARGH")</f>
        <v>0</v>
      </c>
      <c r="BG24" s="3">
        <f>_xlfn.XLOOKUP(BG$1,generator!$B$2:$B$295,generator!$K$2:$K$295,"ARGH")</f>
        <v>0</v>
      </c>
      <c r="BH24" s="3">
        <f>_xlfn.XLOOKUP(BH$1,generator!$B$2:$B$295,generator!$K$2:$K$295,"ARGH")</f>
        <v>0</v>
      </c>
      <c r="BI24" s="3">
        <f>_xlfn.XLOOKUP(BI$1,generator!$B$2:$B$295,generator!$K$2:$K$295,"ARGH")</f>
        <v>0</v>
      </c>
      <c r="BJ24" s="3">
        <f>_xlfn.XLOOKUP(BJ$1,generator!$B$2:$B$295,generator!$K$2:$K$295,"ARGH")</f>
        <v>0</v>
      </c>
      <c r="BK24" s="3">
        <f>_xlfn.XLOOKUP(BK$1,generator!$B$2:$B$295,generator!$K$2:$K$295,"ARGH")</f>
        <v>0</v>
      </c>
      <c r="BL24" s="3">
        <f>_xlfn.XLOOKUP(BL$1,generator!$B$2:$B$295,generator!$K$2:$K$295,"ARGH")</f>
        <v>0</v>
      </c>
      <c r="BM24" s="3">
        <f>_xlfn.XLOOKUP(BM$1,generator!$B$2:$B$295,generator!$K$2:$K$295,"ARGH")</f>
        <v>0</v>
      </c>
      <c r="BN24" s="3">
        <f>_xlfn.XLOOKUP(BN$1,generator!$B$2:$B$295,generator!$K$2:$K$295,"ARGH")</f>
        <v>0</v>
      </c>
      <c r="BO24" s="3">
        <f>_xlfn.XLOOKUP(BO$1,generator!$B$2:$B$295,generator!$K$2:$K$295,"ARGH")</f>
        <v>0</v>
      </c>
      <c r="BP24" s="3">
        <f>_xlfn.XLOOKUP(BP$1,generator!$B$2:$B$295,generator!$K$2:$K$295,"ARGH")</f>
        <v>0</v>
      </c>
      <c r="BQ24" s="3">
        <f>_xlfn.XLOOKUP(BQ$1,generator!$B$2:$B$295,generator!$K$2:$K$295,"ARGH")</f>
        <v>0</v>
      </c>
      <c r="BR24" s="3">
        <f>_xlfn.XLOOKUP(BR$1,generator!$B$2:$B$295,generator!$K$2:$K$295,"ARGH")</f>
        <v>0</v>
      </c>
      <c r="BS24" s="3">
        <f>_xlfn.XLOOKUP(BS$1,generator!$B$2:$B$295,generator!$K$2:$K$295,"ARGH")</f>
        <v>0</v>
      </c>
      <c r="BT24" s="3">
        <f>_xlfn.XLOOKUP(BT$1,generator!$B$2:$B$295,generator!$K$2:$K$295,"ARGH")</f>
        <v>0</v>
      </c>
      <c r="BU24" s="3">
        <f>_xlfn.XLOOKUP(BU$1,generator!$B$2:$B$295,generator!$K$2:$K$295,"ARGH")</f>
        <v>0</v>
      </c>
      <c r="BV24" s="3">
        <f>_xlfn.XLOOKUP(BV$1,generator!$B$2:$B$295,generator!$K$2:$K$295,"ARGH")</f>
        <v>0</v>
      </c>
      <c r="BW24" s="3">
        <f>_xlfn.XLOOKUP(BW$1,generator!$B$2:$B$295,generator!$K$2:$K$295,"ARGH")</f>
        <v>0</v>
      </c>
      <c r="BX24" s="3">
        <f>_xlfn.XLOOKUP(BX$1,generator!$B$2:$B$295,generator!$K$2:$K$295,"ARGH")</f>
        <v>0</v>
      </c>
      <c r="BY24" s="3">
        <f>_xlfn.XLOOKUP(BY$1,generator!$B$2:$B$295,generator!$K$2:$K$295,"ARGH")</f>
        <v>0</v>
      </c>
      <c r="BZ24" s="3">
        <f>_xlfn.XLOOKUP(BZ$1,generator!$B$2:$B$295,generator!$K$2:$K$295,"ARGH")</f>
        <v>0</v>
      </c>
      <c r="CA24" s="3">
        <f>_xlfn.XLOOKUP(CA$1,generator!$B$2:$B$295,generator!$K$2:$K$295,"ARGH")</f>
        <v>0</v>
      </c>
      <c r="CB24" s="3">
        <f>_xlfn.XLOOKUP(CB$1,generator!$B$2:$B$295,generator!$K$2:$K$295,"ARGH")</f>
        <v>0</v>
      </c>
      <c r="CC24" s="3">
        <f>_xlfn.XLOOKUP(CC$1,generator!$B$2:$B$295,generator!$K$2:$K$295,"ARGH")</f>
        <v>0</v>
      </c>
      <c r="CD24" s="3">
        <f>_xlfn.XLOOKUP(CD$1,generator!$B$2:$B$295,generator!$K$2:$K$295,"ARGH")</f>
        <v>0</v>
      </c>
      <c r="CE24" s="3">
        <f>_xlfn.XLOOKUP(CE$1,generator!$B$2:$B$295,generator!$K$2:$K$295,"ARGH")</f>
        <v>0</v>
      </c>
      <c r="CF24" s="3">
        <f>_xlfn.XLOOKUP(CF$1,generator!$B$2:$B$295,generator!$K$2:$K$295,"ARGH")</f>
        <v>0</v>
      </c>
      <c r="CG24" s="3">
        <f>_xlfn.XLOOKUP(CG$1,generator!$B$2:$B$295,generator!$K$2:$K$295,"ARGH")</f>
        <v>0</v>
      </c>
      <c r="CH24" s="3">
        <f>_xlfn.XLOOKUP(CH$1,generator!$B$2:$B$295,generator!$K$2:$K$295,"ARGH")</f>
        <v>0</v>
      </c>
      <c r="CI24" s="3">
        <f>_xlfn.XLOOKUP(CI$1,generator!$B$2:$B$295,generator!$K$2:$K$295,"ARGH")</f>
        <v>0</v>
      </c>
      <c r="CJ24" s="3">
        <f>_xlfn.XLOOKUP(CJ$1,generator!$B$2:$B$295,generator!$K$2:$K$295,"ARGH")</f>
        <v>0</v>
      </c>
      <c r="CK24" s="3">
        <f>_xlfn.XLOOKUP(CK$1,generator!$B$2:$B$295,generator!$K$2:$K$295,"ARGH")</f>
        <v>0</v>
      </c>
      <c r="CL24" s="3">
        <f>_xlfn.XLOOKUP(CL$1,generator!$B$2:$B$295,generator!$K$2:$K$295,"ARGH")</f>
        <v>0</v>
      </c>
      <c r="CM24" s="3">
        <f>_xlfn.XLOOKUP(CM$1,generator!$B$2:$B$295,generator!$K$2:$K$295,"ARGH")</f>
        <v>0</v>
      </c>
      <c r="CN24" s="3">
        <f>_xlfn.XLOOKUP(CN$1,generator!$B$2:$B$295,generator!$K$2:$K$295,"ARGH")</f>
        <v>0</v>
      </c>
      <c r="CO24" s="3">
        <f>_xlfn.XLOOKUP(CO$1,generator!$B$2:$B$295,generator!$K$2:$K$295,"ARGH")</f>
        <v>0</v>
      </c>
      <c r="CP24" s="3">
        <f>_xlfn.XLOOKUP(CP$1,generator!$B$2:$B$295,generator!$K$2:$K$295,"ARGH")</f>
        <v>0</v>
      </c>
      <c r="CQ24" s="3">
        <f>_xlfn.XLOOKUP(CQ$1,generator!$B$2:$B$295,generator!$K$2:$K$295,"ARGH")</f>
        <v>0</v>
      </c>
      <c r="CR24" s="3">
        <f>_xlfn.XLOOKUP(CR$1,generator!$B$2:$B$295,generator!$K$2:$K$295,"ARGH")</f>
        <v>0</v>
      </c>
      <c r="CS24" s="3">
        <f>_xlfn.XLOOKUP(CS$1,generator!$B$2:$B$295,generator!$K$2:$K$295,"ARGH")</f>
        <v>0</v>
      </c>
      <c r="CT24" s="3">
        <f>_xlfn.XLOOKUP(CT$1,generator!$B$2:$B$295,generator!$K$2:$K$295,"ARGH")</f>
        <v>0</v>
      </c>
      <c r="CU24" s="3">
        <f>_xlfn.XLOOKUP(CU$1,generator!$B$2:$B$295,generator!$K$2:$K$295,"ARGH")</f>
        <v>0</v>
      </c>
      <c r="CV24" s="3">
        <f>_xlfn.XLOOKUP(CV$1,generator!$B$2:$B$295,generator!$K$2:$K$295,"ARGH")</f>
        <v>0</v>
      </c>
      <c r="CW24" s="3">
        <f>_xlfn.XLOOKUP(CW$1,generator!$B$2:$B$295,generator!$K$2:$K$295,"ARGH")</f>
        <v>0</v>
      </c>
      <c r="CX24" s="3">
        <f>_xlfn.XLOOKUP(CX$1,generator!$B$2:$B$295,generator!$K$2:$K$295,"ARGH")</f>
        <v>0</v>
      </c>
      <c r="CY24" s="3">
        <f>_xlfn.XLOOKUP(CY$1,generator!$B$2:$B$295,generator!$K$2:$K$295,"ARGH")</f>
        <v>0</v>
      </c>
      <c r="CZ24" s="3">
        <f>_xlfn.XLOOKUP(CZ$1,generator!$B$2:$B$295,generator!$K$2:$K$295,"ARGH")</f>
        <v>0</v>
      </c>
      <c r="DA24" s="3">
        <f>_xlfn.XLOOKUP(DA$1,generator!$B$2:$B$295,generator!$K$2:$K$295,"ARGH")</f>
        <v>0</v>
      </c>
      <c r="DB24" s="3">
        <f>_xlfn.XLOOKUP(DB$1,generator!$B$2:$B$295,generator!$K$2:$K$295,"ARGH")</f>
        <v>0</v>
      </c>
      <c r="DC24" s="3">
        <f>_xlfn.XLOOKUP(DC$1,generator!$B$2:$B$295,generator!$K$2:$K$295,"ARGH")</f>
        <v>0</v>
      </c>
      <c r="DD24" s="3">
        <f>_xlfn.XLOOKUP(DD$1,generator!$B$2:$B$295,generator!$K$2:$K$295,"ARGH")</f>
        <v>0</v>
      </c>
      <c r="DE24" s="3">
        <f>_xlfn.XLOOKUP(DE$1,generator!$B$2:$B$295,generator!$K$2:$K$295,"ARGH")</f>
        <v>0</v>
      </c>
      <c r="DF24" s="3">
        <f>_xlfn.XLOOKUP(DF$1,generator!$B$2:$B$295,generator!$K$2:$K$295,"ARGH")</f>
        <v>0</v>
      </c>
      <c r="DG24" s="3">
        <f>_xlfn.XLOOKUP(DG$1,generator!$B$2:$B$295,generator!$K$2:$K$295,"ARGH")</f>
        <v>0</v>
      </c>
      <c r="DH24" s="3">
        <f>_xlfn.XLOOKUP(DH$1,generator!$B$2:$B$295,generator!$K$2:$K$295,"ARGH")</f>
        <v>0</v>
      </c>
      <c r="DI24" s="3">
        <f>_xlfn.XLOOKUP(DI$1,generator!$B$2:$B$295,generator!$K$2:$K$295,"ARGH")</f>
        <v>0</v>
      </c>
      <c r="DJ24" s="3">
        <f>_xlfn.XLOOKUP(DJ$1,generator!$B$2:$B$295,generator!$K$2:$K$295,"ARGH")</f>
        <v>0</v>
      </c>
      <c r="DK24" s="3">
        <f>_xlfn.XLOOKUP(DK$1,generator!$B$2:$B$295,generator!$K$2:$K$295,"ARGH")</f>
        <v>0</v>
      </c>
      <c r="DL24" s="3">
        <f>_xlfn.XLOOKUP(DL$1,generator!$B$2:$B$295,generator!$K$2:$K$295,"ARGH")</f>
        <v>0</v>
      </c>
      <c r="DM24" s="3">
        <f>_xlfn.XLOOKUP(DM$1,generator!$B$2:$B$295,generator!$K$2:$K$295,"ARGH")</f>
        <v>0</v>
      </c>
      <c r="DN24" s="3">
        <f>_xlfn.XLOOKUP(DN$1,generator!$B$2:$B$295,generator!$K$2:$K$295,"ARGH")</f>
        <v>0</v>
      </c>
      <c r="DO24" s="3">
        <f>_xlfn.XLOOKUP(DO$1,generator!$B$2:$B$295,generator!$K$2:$K$295,"ARGH")</f>
        <v>0</v>
      </c>
      <c r="DP24" s="3">
        <f>_xlfn.XLOOKUP(DP$1,generator!$B$2:$B$295,generator!$K$2:$K$295,"ARGH")</f>
        <v>0</v>
      </c>
      <c r="DQ24" s="3">
        <f>_xlfn.XLOOKUP(DQ$1,generator!$B$2:$B$295,generator!$K$2:$K$295,"ARGH")</f>
        <v>0</v>
      </c>
      <c r="DR24" s="3">
        <f>_xlfn.XLOOKUP(DR$1,generator!$B$2:$B$295,generator!$K$2:$K$295,"ARGH")</f>
        <v>0</v>
      </c>
      <c r="DS24" s="3">
        <f>_xlfn.XLOOKUP(DS$1,generator!$B$2:$B$295,generator!$K$2:$K$295,"ARGH")</f>
        <v>0</v>
      </c>
      <c r="DT24" s="3">
        <f>_xlfn.XLOOKUP(DT$1,generator!$B$2:$B$295,generator!$K$2:$K$295,"ARGH")</f>
        <v>0</v>
      </c>
      <c r="DU24" s="3">
        <f>_xlfn.XLOOKUP(DU$1,generator!$B$2:$B$295,generator!$K$2:$K$295,"ARGH")</f>
        <v>0</v>
      </c>
      <c r="DV24" s="3">
        <f>_xlfn.XLOOKUP(DV$1,generator!$B$2:$B$295,generator!$K$2:$K$295,"ARGH")</f>
        <v>0</v>
      </c>
      <c r="DW24" s="3">
        <f>_xlfn.XLOOKUP(DW$1,generator!$B$2:$B$295,generator!$K$2:$K$295,"ARGH")</f>
        <v>0</v>
      </c>
      <c r="DX24" s="3">
        <f>_xlfn.XLOOKUP(DX$1,generator!$B$2:$B$295,generator!$K$2:$K$295,"ARGH")</f>
        <v>0</v>
      </c>
      <c r="DY24" s="3">
        <f>_xlfn.XLOOKUP(DY$1,generator!$B$2:$B$295,generator!$K$2:$K$295,"ARGH")</f>
        <v>0</v>
      </c>
      <c r="DZ24" s="3">
        <f>_xlfn.XLOOKUP(DZ$1,generator!$B$2:$B$295,generator!$K$2:$K$295,"ARGH")</f>
        <v>0</v>
      </c>
      <c r="EA24" s="3">
        <f>_xlfn.XLOOKUP(EA$1,generator!$B$2:$B$295,generator!$K$2:$K$295,"ARGH")</f>
        <v>0</v>
      </c>
      <c r="EB24" s="3">
        <f>_xlfn.XLOOKUP(EB$1,generator!$B$2:$B$295,generator!$K$2:$K$295,"ARGH")</f>
        <v>0</v>
      </c>
      <c r="EC24" s="3">
        <f>_xlfn.XLOOKUP(EC$1,generator!$B$2:$B$295,generator!$K$2:$K$295,"ARGH")</f>
        <v>0</v>
      </c>
      <c r="ED24" s="3">
        <f>_xlfn.XLOOKUP(ED$1,generator!$B$2:$B$295,generator!$K$2:$K$295,"ARGH")</f>
        <v>0</v>
      </c>
      <c r="EE24" s="3">
        <f>_xlfn.XLOOKUP(EE$1,generator!$B$2:$B$295,generator!$K$2:$K$295,"ARGH")</f>
        <v>0</v>
      </c>
      <c r="EF24" s="3">
        <f>_xlfn.XLOOKUP(EF$1,generator!$B$2:$B$295,generator!$K$2:$K$295,"ARGH")</f>
        <v>0</v>
      </c>
      <c r="EG24" s="3">
        <f>_xlfn.XLOOKUP(EG$1,generator!$B$2:$B$295,generator!$K$2:$K$295,"ARGH")</f>
        <v>0</v>
      </c>
      <c r="EH24" s="3">
        <f>_xlfn.XLOOKUP(EH$1,generator!$B$2:$B$295,generator!$K$2:$K$295,"ARGH")</f>
        <v>0</v>
      </c>
      <c r="EI24" s="3">
        <f>_xlfn.XLOOKUP(EI$1,generator!$B$2:$B$295,generator!$K$2:$K$295,"ARGH")</f>
        <v>0</v>
      </c>
      <c r="EJ24" s="3">
        <f>_xlfn.XLOOKUP(EJ$1,generator!$B$2:$B$295,generator!$K$2:$K$295,"ARGH")</f>
        <v>0</v>
      </c>
      <c r="EK24" s="3">
        <f>_xlfn.XLOOKUP(EK$1,generator!$B$2:$B$295,generator!$K$2:$K$295,"ARGH")</f>
        <v>0</v>
      </c>
      <c r="EL24" s="3">
        <f>_xlfn.XLOOKUP(EL$1,generator!$B$2:$B$295,generator!$K$2:$K$295,"ARGH")</f>
        <v>0</v>
      </c>
      <c r="EM24" s="3">
        <f>_xlfn.XLOOKUP(EM$1,generator!$B$2:$B$295,generator!$K$2:$K$295,"ARGH")</f>
        <v>0</v>
      </c>
      <c r="EN24" s="3">
        <f>_xlfn.XLOOKUP(EN$1,generator!$B$2:$B$295,generator!$K$2:$K$295,"ARGH")</f>
        <v>0</v>
      </c>
      <c r="EO24" s="3">
        <f>_xlfn.XLOOKUP(EO$1,generator!$B$2:$B$295,generator!$K$2:$K$295,"ARGH")</f>
        <v>0</v>
      </c>
      <c r="EP24" s="3">
        <f>_xlfn.XLOOKUP(EP$1,generator!$B$2:$B$295,generator!$K$2:$K$295,"ARGH")</f>
        <v>0</v>
      </c>
      <c r="EQ24" s="3">
        <f>_xlfn.XLOOKUP(EQ$1,generator!$B$2:$B$295,generator!$K$2:$K$295,"ARGH")</f>
        <v>0</v>
      </c>
      <c r="ER24" s="3">
        <f>_xlfn.XLOOKUP(ER$1,generator!$B$2:$B$295,generator!$K$2:$K$295,"ARGH")</f>
        <v>0</v>
      </c>
      <c r="ES24" s="3">
        <f>_xlfn.XLOOKUP(ES$1,generator!$B$2:$B$295,generator!$K$2:$K$295,"ARGH")</f>
        <v>0</v>
      </c>
      <c r="ET24" s="3">
        <f>_xlfn.XLOOKUP(ET$1,generator!$B$2:$B$295,generator!$K$2:$K$295,"ARGH")</f>
        <v>0</v>
      </c>
      <c r="EU24" s="3">
        <f>_xlfn.XLOOKUP(EU$1,generator!$B$2:$B$295,generator!$K$2:$K$295,"ARGH")</f>
        <v>0</v>
      </c>
      <c r="EV24" s="3">
        <f>_xlfn.XLOOKUP(EV$1,generator!$B$2:$B$295,generator!$K$2:$K$295,"ARGH")</f>
        <v>0</v>
      </c>
      <c r="EW24" s="3">
        <f>_xlfn.XLOOKUP(EW$1,generator!$B$2:$B$295,generator!$K$2:$K$295,"ARGH")</f>
        <v>0</v>
      </c>
      <c r="EX24" s="3">
        <f>_xlfn.XLOOKUP(EX$1,generator!$B$2:$B$295,generator!$K$2:$K$295,"ARGH")</f>
        <v>0</v>
      </c>
      <c r="EY24" s="3">
        <f>_xlfn.XLOOKUP(EY$1,generator!$B$2:$B$295,generator!$K$2:$K$295,"ARGH")</f>
        <v>0</v>
      </c>
      <c r="EZ24" s="3">
        <f>_xlfn.XLOOKUP(EZ$1,generator!$B$2:$B$295,generator!$K$2:$K$295,"ARGH")</f>
        <v>0</v>
      </c>
      <c r="FA24" s="3">
        <f>_xlfn.XLOOKUP(FA$1,generator!$B$2:$B$295,generator!$K$2:$K$295,"ARGH")</f>
        <v>0</v>
      </c>
      <c r="FB24" s="3">
        <f>_xlfn.XLOOKUP(FB$1,generator!$B$2:$B$295,generator!$K$2:$K$295,"ARGH")</f>
        <v>0</v>
      </c>
      <c r="FC24" s="3">
        <f>_xlfn.XLOOKUP(FC$1,generator!$B$2:$B$295,generator!$K$2:$K$295,"ARGH")</f>
        <v>0</v>
      </c>
      <c r="FD24" s="3">
        <f>_xlfn.XLOOKUP(FD$1,generator!$B$2:$B$295,generator!$K$2:$K$295,"ARGH")</f>
        <v>0</v>
      </c>
      <c r="FE24" s="3">
        <f>_xlfn.XLOOKUP(FE$1,generator!$B$2:$B$295,generator!$K$2:$K$295,"ARGH")</f>
        <v>0</v>
      </c>
      <c r="FF24" s="3">
        <f>_xlfn.XLOOKUP(FF$1,generator!$B$2:$B$295,generator!$K$2:$K$295,"ARGH")</f>
        <v>0</v>
      </c>
      <c r="FG24" s="3">
        <f>_xlfn.XLOOKUP(FG$1,generator!$B$2:$B$295,generator!$K$2:$K$295,"ARGH")</f>
        <v>0</v>
      </c>
      <c r="FH24" s="3">
        <f>_xlfn.XLOOKUP(FH$1,generator!$B$2:$B$295,generator!$K$2:$K$295,"ARGH")</f>
        <v>0</v>
      </c>
      <c r="FI24" s="3">
        <f>_xlfn.XLOOKUP(FI$1,generator!$B$2:$B$295,generator!$K$2:$K$295,"ARGH")</f>
        <v>0</v>
      </c>
      <c r="FJ24" s="3">
        <f>_xlfn.XLOOKUP(FJ$1,generator!$B$2:$B$295,generator!$K$2:$K$295,"ARGH")</f>
        <v>0</v>
      </c>
      <c r="FK24" s="3">
        <f>_xlfn.XLOOKUP(FK$1,generator!$B$2:$B$295,generator!$K$2:$K$295,"ARGH")</f>
        <v>0</v>
      </c>
      <c r="FL24" s="3">
        <f>_xlfn.XLOOKUP(FL$1,generator!$B$2:$B$295,generator!$K$2:$K$295,"ARGH")</f>
        <v>0</v>
      </c>
      <c r="FM24" s="3">
        <f>_xlfn.XLOOKUP(FM$1,generator!$B$2:$B$295,generator!$K$2:$K$295,"ARGH")</f>
        <v>0</v>
      </c>
      <c r="FN24" s="3">
        <f>_xlfn.XLOOKUP(FN$1,generator!$B$2:$B$295,generator!$K$2:$K$295,"ARGH")</f>
        <v>0</v>
      </c>
      <c r="FO24" s="3">
        <f>_xlfn.XLOOKUP(FO$1,generator!$B$2:$B$295,generator!$K$2:$K$295,"ARGH")</f>
        <v>0</v>
      </c>
      <c r="FP24" s="3">
        <f>_xlfn.XLOOKUP(FP$1,generator!$B$2:$B$295,generator!$K$2:$K$295,"ARGH")</f>
        <v>0</v>
      </c>
      <c r="FQ24" s="3">
        <f>_xlfn.XLOOKUP(FQ$1,generator!$B$2:$B$295,generator!$K$2:$K$295,"ARGH")</f>
        <v>0</v>
      </c>
      <c r="FR24" s="3">
        <f>_xlfn.XLOOKUP(FR$1,generator!$B$2:$B$295,generator!$K$2:$K$295,"ARGH")</f>
        <v>0</v>
      </c>
      <c r="FS24" s="3">
        <f>_xlfn.XLOOKUP(FS$1,generator!$B$2:$B$295,generator!$K$2:$K$295,"ARGH")</f>
        <v>0</v>
      </c>
      <c r="FT24" s="3">
        <f>_xlfn.XLOOKUP(FT$1,generator!$B$2:$B$295,generator!$K$2:$K$295,"ARGH")</f>
        <v>0</v>
      </c>
      <c r="FU24" s="3">
        <f>_xlfn.XLOOKUP(FU$1,generator!$B$2:$B$295,generator!$K$2:$K$295,"ARGH")</f>
        <v>0</v>
      </c>
      <c r="FV24" s="3">
        <f>_xlfn.XLOOKUP(FV$1,generator!$B$2:$B$295,generator!$K$2:$K$295,"ARGH")</f>
        <v>0</v>
      </c>
      <c r="FW24" s="3">
        <f>_xlfn.XLOOKUP(FW$1,generator!$B$2:$B$295,generator!$K$2:$K$295,"ARGH")</f>
        <v>0</v>
      </c>
      <c r="FX24" s="3">
        <f>_xlfn.XLOOKUP(FX$1,generator!$B$2:$B$295,generator!$K$2:$K$295,"ARGH")</f>
        <v>0</v>
      </c>
      <c r="FY24" s="3">
        <f>_xlfn.XLOOKUP(FY$1,generator!$B$2:$B$295,generator!$K$2:$K$295,"ARGH")</f>
        <v>0</v>
      </c>
      <c r="FZ24" s="3">
        <f>_xlfn.XLOOKUP(FZ$1,generator!$B$2:$B$295,generator!$K$2:$K$295,"ARGH")</f>
        <v>0</v>
      </c>
      <c r="GA24" s="3">
        <f>_xlfn.XLOOKUP(GA$1,generator!$B$2:$B$295,generator!$K$2:$K$295,"ARGH")</f>
        <v>0</v>
      </c>
      <c r="GB24" s="3">
        <f>_xlfn.XLOOKUP(GB$1,generator!$B$2:$B$295,generator!$K$2:$K$295,"ARGH")</f>
        <v>0</v>
      </c>
      <c r="GC24" s="3">
        <f>_xlfn.XLOOKUP(GC$1,generator!$B$2:$B$295,generator!$K$2:$K$295,"ARGH")</f>
        <v>0</v>
      </c>
      <c r="GD24" s="3">
        <f>_xlfn.XLOOKUP(GD$1,generator!$B$2:$B$295,generator!$K$2:$K$295,"ARGH")</f>
        <v>0</v>
      </c>
      <c r="GE24" s="3">
        <f>_xlfn.XLOOKUP(GE$1,generator!$B$2:$B$295,generator!$K$2:$K$295,"ARGH")</f>
        <v>0</v>
      </c>
      <c r="GF24" s="3">
        <f>_xlfn.XLOOKUP(GF$1,generator!$B$2:$B$295,generator!$K$2:$K$295,"ARGH")</f>
        <v>0</v>
      </c>
      <c r="GG24" s="3">
        <f>_xlfn.XLOOKUP(GG$1,generator!$B$2:$B$295,generator!$K$2:$K$295,"ARGH")</f>
        <v>0</v>
      </c>
      <c r="GH24" s="3">
        <f>_xlfn.XLOOKUP(GH$1,generator!$B$2:$B$295,generator!$K$2:$K$295,"ARGH")</f>
        <v>0</v>
      </c>
      <c r="GI24" s="3">
        <f>_xlfn.XLOOKUP(GI$1,generator!$B$2:$B$295,generator!$K$2:$K$295,"ARGH")</f>
        <v>0</v>
      </c>
      <c r="GJ24" s="3">
        <f>_xlfn.XLOOKUP(GJ$1,generator!$B$2:$B$295,generator!$K$2:$K$295,"ARGH")</f>
        <v>0</v>
      </c>
      <c r="GK24" s="3">
        <f>_xlfn.XLOOKUP(GK$1,generator!$B$2:$B$295,generator!$K$2:$K$295,"ARGH")</f>
        <v>0</v>
      </c>
      <c r="GL24" s="3">
        <f>_xlfn.XLOOKUP(GL$1,generator!$B$2:$B$295,generator!$K$2:$K$295,"ARGH")</f>
        <v>0</v>
      </c>
      <c r="GM24" s="3">
        <f>_xlfn.XLOOKUP(GM$1,generator!$B$2:$B$295,generator!$K$2:$K$295,"ARGH")</f>
        <v>0</v>
      </c>
      <c r="GN24" s="3">
        <f>_xlfn.XLOOKUP(GN$1,generator!$B$2:$B$295,generator!$K$2:$K$295,"ARGH")</f>
        <v>0</v>
      </c>
      <c r="GO24" s="3">
        <f>_xlfn.XLOOKUP(GO$1,generator!$B$2:$B$295,generator!$K$2:$K$295,"ARGH")</f>
        <v>0</v>
      </c>
      <c r="GP24" s="3">
        <f>_xlfn.XLOOKUP(GP$1,generator!$B$2:$B$295,generator!$K$2:$K$295,"ARGH")</f>
        <v>0</v>
      </c>
      <c r="GQ24" s="3">
        <f>_xlfn.XLOOKUP(GQ$1,generator!$B$2:$B$295,generator!$K$2:$K$295,"ARGH")</f>
        <v>0</v>
      </c>
      <c r="GR24" s="3">
        <f>_xlfn.XLOOKUP(GR$1,generator!$B$2:$B$295,generator!$K$2:$K$295,"ARGH")</f>
        <v>0</v>
      </c>
      <c r="GS24" s="3">
        <f>_xlfn.XLOOKUP(GS$1,generator!$B$2:$B$295,generator!$K$2:$K$295,"ARGH")</f>
        <v>0</v>
      </c>
      <c r="GT24" s="3">
        <f>_xlfn.XLOOKUP(GT$1,generator!$B$2:$B$295,generator!$K$2:$K$295,"ARGH")</f>
        <v>0</v>
      </c>
      <c r="GU24" s="3">
        <f>_xlfn.XLOOKUP(GU$1,generator!$B$2:$B$295,generator!$K$2:$K$295,"ARGH")</f>
        <v>0</v>
      </c>
      <c r="GV24" s="3">
        <f>_xlfn.XLOOKUP(GV$1,generator!$B$2:$B$295,generator!$K$2:$K$295,"ARGH")</f>
        <v>0</v>
      </c>
      <c r="GW24" s="3">
        <f>_xlfn.XLOOKUP(GW$1,generator!$B$2:$B$295,generator!$K$2:$K$295,"ARGH")</f>
        <v>0</v>
      </c>
      <c r="GX24" s="3">
        <f>_xlfn.XLOOKUP(GX$1,generator!$B$2:$B$295,generator!$K$2:$K$295,"ARGH")</f>
        <v>0</v>
      </c>
      <c r="GY24" s="3">
        <f>_xlfn.XLOOKUP(GY$1,generator!$B$2:$B$295,generator!$K$2:$K$295,"ARGH")</f>
        <v>0</v>
      </c>
      <c r="GZ24" s="3">
        <f>_xlfn.XLOOKUP(GZ$1,generator!$B$2:$B$295,generator!$K$2:$K$295,"ARGH")</f>
        <v>0</v>
      </c>
      <c r="HA24" s="3">
        <f>_xlfn.XLOOKUP(HA$1,generator!$B$2:$B$295,generator!$K$2:$K$295,"ARGH")</f>
        <v>0</v>
      </c>
      <c r="HB24" s="3">
        <f>_xlfn.XLOOKUP(HB$1,generator!$B$2:$B$295,generator!$K$2:$K$295,"ARGH")</f>
        <v>0</v>
      </c>
      <c r="HC24" s="3">
        <f>_xlfn.XLOOKUP(HC$1,generator!$B$2:$B$295,generator!$K$2:$K$295,"ARGH")</f>
        <v>0</v>
      </c>
      <c r="HD24" s="3">
        <f>_xlfn.XLOOKUP(HD$1,generator!$B$2:$B$295,generator!$K$2:$K$295,"ARGH")</f>
        <v>0</v>
      </c>
      <c r="HE24" s="3">
        <f>_xlfn.XLOOKUP(HE$1,generator!$B$2:$B$295,generator!$K$2:$K$295,"ARGH")</f>
        <v>12.74</v>
      </c>
      <c r="HF24" s="3">
        <f>_xlfn.XLOOKUP(HF$1,generator!$B$2:$B$295,generator!$K$2:$K$295,"ARGH")</f>
        <v>99</v>
      </c>
      <c r="HG24" s="3">
        <f>_xlfn.XLOOKUP(HG$1,generator!$B$2:$B$295,generator!$K$2:$K$295,"ARGH")</f>
        <v>99</v>
      </c>
      <c r="HH24" s="3">
        <f>_xlfn.XLOOKUP(HH$1,generator!$B$2:$B$295,generator!$K$2:$K$295,"ARGH")</f>
        <v>99</v>
      </c>
      <c r="HI24" s="3">
        <f>_xlfn.XLOOKUP(HI$1,generator!$B$2:$B$295,generator!$K$2:$K$295,"ARGH")</f>
        <v>8</v>
      </c>
      <c r="HJ24" s="3">
        <f>_xlfn.XLOOKUP(HJ$1,generator!$B$2:$B$295,generator!$K$2:$K$295,"ARGH")</f>
        <v>8</v>
      </c>
      <c r="HK24" s="3">
        <f>_xlfn.XLOOKUP(HK$1,generator!$B$2:$B$295,generator!$K$2:$K$295,"ARGH")</f>
        <v>8</v>
      </c>
      <c r="HL24" s="3">
        <f>_xlfn.XLOOKUP(HL$1,generator!$B$2:$B$295,generator!$K$2:$K$295,"ARGH")</f>
        <v>20</v>
      </c>
      <c r="HM24" s="3">
        <f>_xlfn.XLOOKUP(HM$1,generator!$B$2:$B$295,generator!$K$2:$K$295,"ARGH")</f>
        <v>20</v>
      </c>
      <c r="HN24" s="3">
        <f>_xlfn.XLOOKUP(HN$1,generator!$B$2:$B$295,generator!$K$2:$K$295,"ARGH")</f>
        <v>5</v>
      </c>
      <c r="HO24" s="3">
        <f>_xlfn.XLOOKUP(HO$1,generator!$B$2:$B$295,generator!$K$2:$K$295,"ARGH")</f>
        <v>5</v>
      </c>
      <c r="HP24" s="3">
        <f>_xlfn.XLOOKUP(HP$1,generator!$B$2:$B$295,generator!$K$2:$K$295,"ARGH")</f>
        <v>0.2</v>
      </c>
      <c r="HQ24" s="3">
        <f>_xlfn.XLOOKUP(HQ$1,generator!$B$2:$B$295,generator!$K$2:$K$295,"ARGH")</f>
        <v>5</v>
      </c>
      <c r="HR24" s="3">
        <f>_xlfn.XLOOKUP(HR$1,generator!$B$2:$B$295,generator!$K$2:$K$295,"ARGH")</f>
        <v>5</v>
      </c>
      <c r="HS24" s="3">
        <f>_xlfn.XLOOKUP(HS$1,generator!$B$2:$B$295,generator!$K$2:$K$295,"ARGH")</f>
        <v>12.82</v>
      </c>
      <c r="HT24" s="3">
        <f>_xlfn.XLOOKUP(HT$1,generator!$B$2:$B$295,generator!$K$2:$K$295,"ARGH")</f>
        <v>12.82</v>
      </c>
      <c r="HU24" s="3">
        <f>_xlfn.XLOOKUP(HU$1,generator!$B$2:$B$295,generator!$K$2:$K$295,"ARGH")</f>
        <v>25</v>
      </c>
      <c r="HV24" s="3">
        <f>_xlfn.XLOOKUP(HV$1,generator!$B$2:$B$295,generator!$K$2:$K$295,"ARGH")</f>
        <v>16</v>
      </c>
      <c r="HW24" s="3">
        <f>_xlfn.XLOOKUP(HW$1,generator!$B$2:$B$295,generator!$K$2:$K$295,"ARGH")</f>
        <v>5</v>
      </c>
      <c r="HX24" s="3">
        <f>_xlfn.XLOOKUP(HX$1,generator!$B$2:$B$295,generator!$K$2:$K$295,"ARGH")</f>
        <v>5</v>
      </c>
      <c r="HY24" s="3">
        <f>_xlfn.XLOOKUP(HY$1,generator!$B$2:$B$295,generator!$K$2:$K$295,"ARGH")</f>
        <v>63</v>
      </c>
      <c r="HZ24" s="3">
        <f>_xlfn.XLOOKUP(HZ$1,generator!$B$2:$B$295,generator!$K$2:$K$295,"ARGH")</f>
        <v>18</v>
      </c>
      <c r="IA24" s="3">
        <f>_xlfn.XLOOKUP(IA$1,generator!$B$2:$B$295,generator!$K$2:$K$295,"ARGH")</f>
        <v>121</v>
      </c>
      <c r="IB24" s="3">
        <f>_xlfn.XLOOKUP(IB$1,generator!$B$2:$B$295,generator!$K$2:$K$295,"ARGH")</f>
        <v>120</v>
      </c>
      <c r="IC24" s="3">
        <f>_xlfn.XLOOKUP(IC$1,generator!$B$2:$B$295,generator!$K$2:$K$295,"ARGH")</f>
        <v>0</v>
      </c>
      <c r="ID24" s="3">
        <f>_xlfn.XLOOKUP(ID$1,generator!$B$2:$B$295,generator!$K$2:$K$295,"ARGH")</f>
        <v>17</v>
      </c>
      <c r="IE24" s="3">
        <f>_xlfn.XLOOKUP(IE$1,generator!$B$2:$B$295,generator!$K$2:$K$295,"ARGH")</f>
        <v>194</v>
      </c>
      <c r="IF24" s="3">
        <f>_xlfn.XLOOKUP(IF$1,generator!$B$2:$B$295,generator!$K$2:$K$295,"ARGH")</f>
        <v>11.9</v>
      </c>
      <c r="IG24" s="3">
        <f>_xlfn.XLOOKUP(IG$1,generator!$B$2:$B$295,generator!$K$2:$K$295,"ARGH")</f>
        <v>11.9</v>
      </c>
      <c r="IH24" s="3">
        <f>_xlfn.XLOOKUP(IH$1,generator!$B$2:$B$295,generator!$K$2:$K$295,"ARGH")</f>
        <v>11.9</v>
      </c>
      <c r="II24" s="3">
        <f>_xlfn.XLOOKUP(II$1,generator!$B$2:$B$295,generator!$K$2:$K$295,"ARGH")</f>
        <v>11.9</v>
      </c>
      <c r="IJ24" s="3">
        <f>_xlfn.XLOOKUP(IJ$1,generator!$B$2:$B$295,generator!$K$2:$K$295,"ARGH")</f>
        <v>0</v>
      </c>
      <c r="IK24" s="3">
        <f>_xlfn.XLOOKUP(IK$1,generator!$B$2:$B$295,generator!$K$2:$K$295,"ARGH")</f>
        <v>3</v>
      </c>
      <c r="IL24" s="3">
        <f>_xlfn.XLOOKUP(IL$1,generator!$B$2:$B$295,generator!$K$2:$K$295,"ARGH")</f>
        <v>5</v>
      </c>
      <c r="IM24" s="3">
        <f>_xlfn.XLOOKUP(IM$1,generator!$B$2:$B$295,generator!$K$2:$K$295,"ARGH")</f>
        <v>5</v>
      </c>
      <c r="IN24" s="3">
        <f>_xlfn.XLOOKUP(IN$1,generator!$B$2:$B$295,generator!$K$2:$K$295,"ARGH")</f>
        <v>4</v>
      </c>
      <c r="IO24" s="3">
        <f>_xlfn.XLOOKUP(IO$1,generator!$B$2:$B$295,generator!$K$2:$K$295,"ARGH")</f>
        <v>4</v>
      </c>
      <c r="IP24" s="3">
        <f>_xlfn.XLOOKUP(IP$1,generator!$B$2:$B$295,generator!$K$2:$K$295,"ARGH")</f>
        <v>3</v>
      </c>
      <c r="IQ24" s="3">
        <f>_xlfn.XLOOKUP(IQ$1,generator!$B$2:$B$295,generator!$K$2:$K$295,"ARGH")</f>
        <v>1</v>
      </c>
      <c r="IR24" s="3">
        <f>_xlfn.XLOOKUP(IR$1,generator!$B$2:$B$295,generator!$K$2:$K$295,"ARGH")</f>
        <v>3</v>
      </c>
      <c r="IS24" s="3">
        <f>_xlfn.XLOOKUP(IS$1,generator!$B$2:$B$295,generator!$K$2:$K$295,"ARGH")</f>
        <v>3</v>
      </c>
      <c r="IT24" s="3">
        <f>_xlfn.XLOOKUP(IT$1,generator!$B$2:$B$295,generator!$K$2:$K$295,"ARGH")</f>
        <v>0</v>
      </c>
      <c r="IU24" s="3">
        <f>_xlfn.XLOOKUP(IU$1,generator!$B$2:$B$295,generator!$K$2:$K$295,"ARGH")</f>
        <v>3.99</v>
      </c>
      <c r="IV24" s="3">
        <f>_xlfn.XLOOKUP(IV$1,generator!$B$2:$B$295,generator!$K$2:$K$295,"ARGH")</f>
        <v>0.2</v>
      </c>
      <c r="IW24" s="3">
        <f>_xlfn.XLOOKUP(IW$1,generator!$B$2:$B$295,generator!$K$2:$K$295,"ARGH")</f>
        <v>15</v>
      </c>
      <c r="IX24" s="3">
        <f>_xlfn.XLOOKUP(IX$1,generator!$B$2:$B$295,generator!$K$2:$K$295,"ARGH")</f>
        <v>15</v>
      </c>
      <c r="IY24" s="3">
        <f>_xlfn.XLOOKUP(IY$1,generator!$B$2:$B$295,generator!$K$2:$K$295,"ARGH")</f>
        <v>15</v>
      </c>
      <c r="IZ24" s="3">
        <f>_xlfn.XLOOKUP(IZ$1,generator!$B$2:$B$295,generator!$K$2:$K$295,"ARGH")</f>
        <v>120</v>
      </c>
      <c r="JA24" s="3">
        <f>_xlfn.XLOOKUP(JA$1,generator!$B$2:$B$295,generator!$K$2:$K$295,"ARGH")</f>
        <v>40</v>
      </c>
      <c r="JB24" s="3">
        <f>_xlfn.XLOOKUP(JB$1,generator!$B$2:$B$295,generator!$K$2:$K$295,"ARGH")</f>
        <v>40</v>
      </c>
      <c r="JC24" s="3">
        <f>_xlfn.XLOOKUP(JC$1,generator!$B$2:$B$295,generator!$K$2:$K$295,"ARGH")</f>
        <v>113</v>
      </c>
      <c r="JD24" s="3">
        <f>_xlfn.XLOOKUP(JD$1,generator!$B$2:$B$295,generator!$K$2:$K$295,"ARGH")</f>
        <v>113</v>
      </c>
      <c r="JE24" s="3">
        <f>_xlfn.XLOOKUP(JE$1,generator!$B$2:$B$295,generator!$K$2:$K$295,"ARGH")</f>
        <v>211</v>
      </c>
      <c r="JF24" s="3">
        <f>_xlfn.XLOOKUP(JF$1,generator!$B$2:$B$295,generator!$K$2:$K$295,"ARGH")</f>
        <v>22.5</v>
      </c>
      <c r="JG24" s="3">
        <f>_xlfn.XLOOKUP(JG$1,generator!$B$2:$B$295,generator!$K$2:$K$295,"ARGH")</f>
        <v>1</v>
      </c>
      <c r="JH24" s="3">
        <f>_xlfn.XLOOKUP(JH$1,generator!$B$2:$B$295,generator!$K$2:$K$295,"ARGH")</f>
        <v>160</v>
      </c>
      <c r="JI24" s="3">
        <f>_xlfn.XLOOKUP(JI$1,generator!$B$2:$B$295,generator!$K$2:$K$295,"ARGH")</f>
        <v>165</v>
      </c>
      <c r="JJ24" s="3">
        <f>_xlfn.XLOOKUP(JJ$1,generator!$B$2:$B$295,generator!$K$2:$K$295,"ARGH")</f>
        <v>4.5999999999999996</v>
      </c>
      <c r="JK24" s="3">
        <f>_xlfn.XLOOKUP(JK$1,generator!$B$2:$B$295,generator!$K$2:$K$295,"ARGH")</f>
        <v>4.5999999999999996</v>
      </c>
      <c r="JL24" s="3">
        <f>_xlfn.XLOOKUP(JL$1,generator!$B$2:$B$295,generator!$K$2:$K$295,"ARGH")</f>
        <v>4.5999999999999996</v>
      </c>
      <c r="JM24" s="3">
        <f>_xlfn.XLOOKUP(JM$1,generator!$B$2:$B$295,generator!$K$2:$K$295,"ARGH")</f>
        <v>4.5999999999999996</v>
      </c>
      <c r="JN24" s="3">
        <f>_xlfn.XLOOKUP(JN$1,generator!$B$2:$B$295,generator!$K$2:$K$295,"ARGH")</f>
        <v>4.5999999999999996</v>
      </c>
      <c r="JO24" s="3">
        <f>_xlfn.XLOOKUP(JO$1,generator!$B$2:$B$295,generator!$K$2:$K$295,"ARGH")</f>
        <v>4.5999999999999996</v>
      </c>
      <c r="JP24" s="3">
        <f>_xlfn.XLOOKUP(JP$1,generator!$B$2:$B$295,generator!$K$2:$K$295,"ARGH")</f>
        <v>110</v>
      </c>
      <c r="JQ24" s="3">
        <f>_xlfn.XLOOKUP(JQ$1,generator!$B$2:$B$295,generator!$K$2:$K$295,"ARGH")</f>
        <v>22.7</v>
      </c>
      <c r="JR24" s="3">
        <f>_xlfn.XLOOKUP(JR$1,generator!$B$2:$B$295,generator!$K$2:$K$295,"ARGH")</f>
        <v>147</v>
      </c>
      <c r="JS24" s="3">
        <f>_xlfn.XLOOKUP(JS$1,generator!$B$2:$B$295,generator!$K$2:$K$295,"ARGH")</f>
        <v>147</v>
      </c>
      <c r="JT24" s="3">
        <f>_xlfn.XLOOKUP(JT$1,generator!$B$2:$B$295,generator!$K$2:$K$295,"ARGH")</f>
        <v>22.7</v>
      </c>
      <c r="JU24" s="3">
        <f>_xlfn.XLOOKUP(JU$1,generator!$B$2:$B$295,generator!$K$2:$K$295,"ARGH")</f>
        <v>21.5</v>
      </c>
      <c r="JV24" s="3">
        <f>_xlfn.XLOOKUP(JV$1,generator!$B$2:$B$295,generator!$K$2:$K$295,"ARGH")</f>
        <v>120</v>
      </c>
      <c r="JW24" s="3">
        <f>_xlfn.XLOOKUP(JW$1,generator!$B$2:$B$295,generator!$K$2:$K$295,"ARGH")</f>
        <v>120</v>
      </c>
      <c r="JX24" s="3">
        <f>_xlfn.XLOOKUP(JX$1,generator!$B$2:$B$295,generator!$K$2:$K$295,"ARGH")</f>
        <v>1</v>
      </c>
      <c r="JY24" s="3">
        <f>_xlfn.XLOOKUP(JY$1,generator!$B$2:$B$295,generator!$K$2:$K$295,"ARGH")</f>
        <v>41.15</v>
      </c>
      <c r="JZ24" s="3">
        <f>_xlfn.XLOOKUP(JZ$1,generator!$B$2:$B$295,generator!$K$2:$K$295,"ARGH")</f>
        <v>5</v>
      </c>
      <c r="KA24" s="3">
        <f>_xlfn.XLOOKUP(KA$1,generator!$B$2:$B$295,generator!$K$2:$K$295,"ARGH")</f>
        <v>5</v>
      </c>
      <c r="KB24" s="3">
        <f>_xlfn.XLOOKUP(KB$1,generator!$B$2:$B$295,generator!$K$2:$K$295,"ARGH")</f>
        <v>5</v>
      </c>
      <c r="KC24" s="3">
        <f>_xlfn.XLOOKUP(KC$1,generator!$B$2:$B$295,generator!$K$2:$K$295,"ARGH")</f>
        <v>5</v>
      </c>
    </row>
    <row r="25" spans="1:289" x14ac:dyDescent="0.3">
      <c r="A25" s="4" t="s">
        <v>3020</v>
      </c>
      <c r="B25" s="31">
        <v>422</v>
      </c>
      <c r="C25" s="31">
        <v>513.5</v>
      </c>
      <c r="D25" s="31">
        <v>442</v>
      </c>
      <c r="E25" s="3">
        <f>_xlfn.XLOOKUP(E$1,generator!$B$2:$B$295,generator!$K$2:$K$295,"ARGH")</f>
        <v>0</v>
      </c>
      <c r="F25" s="3">
        <f>_xlfn.XLOOKUP(F$1,generator!$B$2:$B$295,generator!$K$2:$K$295,"ARGH")</f>
        <v>0</v>
      </c>
      <c r="G25" s="3">
        <f>_xlfn.XLOOKUP(G$1,generator!$B$2:$B$295,generator!$K$2:$K$295,"ARGH")</f>
        <v>0</v>
      </c>
      <c r="H25" s="3">
        <f>_xlfn.XLOOKUP(H$1,generator!$B$2:$B$295,generator!$K$2:$K$295,"ARGH")</f>
        <v>0</v>
      </c>
      <c r="I25" s="3">
        <f>_xlfn.XLOOKUP(I$1,generator!$B$2:$B$295,generator!$K$2:$K$295,"ARGH")</f>
        <v>0</v>
      </c>
      <c r="J25" s="3">
        <f>_xlfn.XLOOKUP(J$1,generator!$B$2:$B$295,generator!$K$2:$K$295,"ARGH")</f>
        <v>0</v>
      </c>
      <c r="K25" s="3">
        <f>_xlfn.XLOOKUP(K$1,generator!$B$2:$B$295,generator!$K$2:$K$295,"ARGH")</f>
        <v>0</v>
      </c>
      <c r="L25" s="3">
        <f>_xlfn.XLOOKUP(L$1,generator!$B$2:$B$295,generator!$K$2:$K$295,"ARGH")</f>
        <v>0</v>
      </c>
      <c r="M25" s="3">
        <f>_xlfn.XLOOKUP(M$1,generator!$B$2:$B$295,generator!$K$2:$K$295,"ARGH")</f>
        <v>0</v>
      </c>
      <c r="N25" s="3">
        <f>_xlfn.XLOOKUP(N$1,generator!$B$2:$B$295,generator!$K$2:$K$295,"ARGH")</f>
        <v>0</v>
      </c>
      <c r="O25" s="3">
        <f>_xlfn.XLOOKUP(O$1,generator!$B$2:$B$295,generator!$K$2:$K$295,"ARGH")</f>
        <v>0</v>
      </c>
      <c r="P25" s="3">
        <f>_xlfn.XLOOKUP(P$1,generator!$B$2:$B$295,generator!$K$2:$K$295,"ARGH")</f>
        <v>0</v>
      </c>
      <c r="Q25" s="3">
        <f>_xlfn.XLOOKUP(Q$1,generator!$B$2:$B$295,generator!$K$2:$K$295,"ARGH")</f>
        <v>0</v>
      </c>
      <c r="R25" s="3">
        <f>_xlfn.XLOOKUP(R$1,generator!$B$2:$B$295,generator!$K$2:$K$295,"ARGH")</f>
        <v>0</v>
      </c>
      <c r="S25" s="3">
        <f>_xlfn.XLOOKUP(S$1,generator!$B$2:$B$295,generator!$K$2:$K$295,"ARGH")</f>
        <v>0</v>
      </c>
      <c r="T25" s="3">
        <f>_xlfn.XLOOKUP(T$1,generator!$B$2:$B$295,generator!$K$2:$K$295,"ARGH")</f>
        <v>0</v>
      </c>
      <c r="U25" s="3">
        <f>_xlfn.XLOOKUP(U$1,generator!$B$2:$B$295,generator!$K$2:$K$295,"ARGH")</f>
        <v>0</v>
      </c>
      <c r="V25" s="3">
        <f>_xlfn.XLOOKUP(V$1,generator!$B$2:$B$295,generator!$K$2:$K$295,"ARGH")</f>
        <v>0</v>
      </c>
      <c r="W25" s="3">
        <f>_xlfn.XLOOKUP(W$1,generator!$B$2:$B$295,generator!$K$2:$K$295,"ARGH")</f>
        <v>0</v>
      </c>
      <c r="X25" s="3">
        <f>_xlfn.XLOOKUP(X$1,generator!$B$2:$B$295,generator!$K$2:$K$295,"ARGH")</f>
        <v>0</v>
      </c>
      <c r="Y25" s="3">
        <f>_xlfn.XLOOKUP(Y$1,generator!$B$2:$B$295,generator!$K$2:$K$295,"ARGH")</f>
        <v>0</v>
      </c>
      <c r="Z25" s="3">
        <f>_xlfn.XLOOKUP(Z$1,generator!$B$2:$B$295,generator!$K$2:$K$295,"ARGH")</f>
        <v>0</v>
      </c>
      <c r="AA25" s="3">
        <f>_xlfn.XLOOKUP(AA$1,generator!$B$2:$B$295,generator!$K$2:$K$295,"ARGH")</f>
        <v>0</v>
      </c>
      <c r="AB25" s="3">
        <f>_xlfn.XLOOKUP(AB$1,generator!$B$2:$B$295,generator!$K$2:$K$295,"ARGH")</f>
        <v>0</v>
      </c>
      <c r="AC25" s="3">
        <f>_xlfn.XLOOKUP(AC$1,generator!$B$2:$B$295,generator!$K$2:$K$295,"ARGH")</f>
        <v>0</v>
      </c>
      <c r="AD25" s="3">
        <f>_xlfn.XLOOKUP(AD$1,generator!$B$2:$B$295,generator!$K$2:$K$295,"ARGH")</f>
        <v>0</v>
      </c>
      <c r="AE25" s="3">
        <f>_xlfn.XLOOKUP(AE$1,generator!$B$2:$B$295,generator!$K$2:$K$295,"ARGH")</f>
        <v>0</v>
      </c>
      <c r="AF25" s="3">
        <f>_xlfn.XLOOKUP(AF$1,generator!$B$2:$B$295,generator!$K$2:$K$295,"ARGH")</f>
        <v>0</v>
      </c>
      <c r="AG25" s="3">
        <f>_xlfn.XLOOKUP(AG$1,generator!$B$2:$B$295,generator!$K$2:$K$295,"ARGH")</f>
        <v>0</v>
      </c>
      <c r="AH25" s="3">
        <f>_xlfn.XLOOKUP(AH$1,generator!$B$2:$B$295,generator!$K$2:$K$295,"ARGH")</f>
        <v>0</v>
      </c>
      <c r="AI25" s="3">
        <f>_xlfn.XLOOKUP(AI$1,generator!$B$2:$B$295,generator!$K$2:$K$295,"ARGH")</f>
        <v>0</v>
      </c>
      <c r="AJ25" s="3">
        <f>_xlfn.XLOOKUP(AJ$1,generator!$B$2:$B$295,generator!$K$2:$K$295,"ARGH")</f>
        <v>0</v>
      </c>
      <c r="AK25" s="3">
        <f>_xlfn.XLOOKUP(AK$1,generator!$B$2:$B$295,generator!$K$2:$K$295,"ARGH")</f>
        <v>0</v>
      </c>
      <c r="AL25" s="3">
        <f>_xlfn.XLOOKUP(AL$1,generator!$B$2:$B$295,generator!$K$2:$K$295,"ARGH")</f>
        <v>0</v>
      </c>
      <c r="AM25" s="3">
        <f>_xlfn.XLOOKUP(AM$1,generator!$B$2:$B$295,generator!$K$2:$K$295,"ARGH")</f>
        <v>0</v>
      </c>
      <c r="AN25" s="3">
        <f>_xlfn.XLOOKUP(AN$1,generator!$B$2:$B$295,generator!$K$2:$K$295,"ARGH")</f>
        <v>0</v>
      </c>
      <c r="AO25" s="3">
        <f>_xlfn.XLOOKUP(AO$1,generator!$B$2:$B$295,generator!$K$2:$K$295,"ARGH")</f>
        <v>0</v>
      </c>
      <c r="AP25" s="3">
        <f>_xlfn.XLOOKUP(AP$1,generator!$B$2:$B$295,generator!$K$2:$K$295,"ARGH")</f>
        <v>0</v>
      </c>
      <c r="AQ25" s="3">
        <f>_xlfn.XLOOKUP(AQ$1,generator!$B$2:$B$295,generator!$K$2:$K$295,"ARGH")</f>
        <v>0</v>
      </c>
      <c r="AR25" s="3">
        <f>_xlfn.XLOOKUP(AR$1,generator!$B$2:$B$295,generator!$K$2:$K$295,"ARGH")</f>
        <v>0</v>
      </c>
      <c r="AS25" s="3">
        <f>_xlfn.XLOOKUP(AS$1,generator!$B$2:$B$295,generator!$K$2:$K$295,"ARGH")</f>
        <v>0</v>
      </c>
      <c r="AT25" s="3">
        <f>_xlfn.XLOOKUP(AT$1,generator!$B$2:$B$295,generator!$K$2:$K$295,"ARGH")</f>
        <v>0</v>
      </c>
      <c r="AU25" s="3">
        <f>_xlfn.XLOOKUP(AU$1,generator!$B$2:$B$295,generator!$K$2:$K$295,"ARGH")</f>
        <v>0</v>
      </c>
      <c r="AV25" s="3">
        <f>_xlfn.XLOOKUP(AV$1,generator!$B$2:$B$295,generator!$K$2:$K$295,"ARGH")</f>
        <v>0</v>
      </c>
      <c r="AW25" s="3">
        <f>_xlfn.XLOOKUP(AW$1,generator!$B$2:$B$295,generator!$K$2:$K$295,"ARGH")</f>
        <v>0</v>
      </c>
      <c r="AX25" s="3">
        <f>_xlfn.XLOOKUP(AX$1,generator!$B$2:$B$295,generator!$K$2:$K$295,"ARGH")</f>
        <v>0</v>
      </c>
      <c r="AY25" s="3">
        <f>_xlfn.XLOOKUP(AY$1,generator!$B$2:$B$295,generator!$K$2:$K$295,"ARGH")</f>
        <v>0</v>
      </c>
      <c r="AZ25" s="3">
        <f>_xlfn.XLOOKUP(AZ$1,generator!$B$2:$B$295,generator!$K$2:$K$295,"ARGH")</f>
        <v>0</v>
      </c>
      <c r="BA25" s="3">
        <f>_xlfn.XLOOKUP(BA$1,generator!$B$2:$B$295,generator!$K$2:$K$295,"ARGH")</f>
        <v>0</v>
      </c>
      <c r="BB25" s="3">
        <f>_xlfn.XLOOKUP(BB$1,generator!$B$2:$B$295,generator!$K$2:$K$295,"ARGH")</f>
        <v>0</v>
      </c>
      <c r="BC25" s="3">
        <f>_xlfn.XLOOKUP(BC$1,generator!$B$2:$B$295,generator!$K$2:$K$295,"ARGH")</f>
        <v>0</v>
      </c>
      <c r="BD25" s="3">
        <f>_xlfn.XLOOKUP(BD$1,generator!$B$2:$B$295,generator!$K$2:$K$295,"ARGH")</f>
        <v>0</v>
      </c>
      <c r="BE25" s="3">
        <f>_xlfn.XLOOKUP(BE$1,generator!$B$2:$B$295,generator!$K$2:$K$295,"ARGH")</f>
        <v>0</v>
      </c>
      <c r="BF25" s="3">
        <f>_xlfn.XLOOKUP(BF$1,generator!$B$2:$B$295,generator!$K$2:$K$295,"ARGH")</f>
        <v>0</v>
      </c>
      <c r="BG25" s="3">
        <f>_xlfn.XLOOKUP(BG$1,generator!$B$2:$B$295,generator!$K$2:$K$295,"ARGH")</f>
        <v>0</v>
      </c>
      <c r="BH25" s="3">
        <f>_xlfn.XLOOKUP(BH$1,generator!$B$2:$B$295,generator!$K$2:$K$295,"ARGH")</f>
        <v>0</v>
      </c>
      <c r="BI25" s="3">
        <f>_xlfn.XLOOKUP(BI$1,generator!$B$2:$B$295,generator!$K$2:$K$295,"ARGH")</f>
        <v>0</v>
      </c>
      <c r="BJ25" s="3">
        <f>_xlfn.XLOOKUP(BJ$1,generator!$B$2:$B$295,generator!$K$2:$K$295,"ARGH")</f>
        <v>0</v>
      </c>
      <c r="BK25" s="3">
        <f>_xlfn.XLOOKUP(BK$1,generator!$B$2:$B$295,generator!$K$2:$K$295,"ARGH")</f>
        <v>0</v>
      </c>
      <c r="BL25" s="3">
        <f>_xlfn.XLOOKUP(BL$1,generator!$B$2:$B$295,generator!$K$2:$K$295,"ARGH")</f>
        <v>0</v>
      </c>
      <c r="BM25" s="3">
        <f>_xlfn.XLOOKUP(BM$1,generator!$B$2:$B$295,generator!$K$2:$K$295,"ARGH")</f>
        <v>0</v>
      </c>
      <c r="BN25" s="3">
        <f>_xlfn.XLOOKUP(BN$1,generator!$B$2:$B$295,generator!$K$2:$K$295,"ARGH")</f>
        <v>0</v>
      </c>
      <c r="BO25" s="3">
        <f>_xlfn.XLOOKUP(BO$1,generator!$B$2:$B$295,generator!$K$2:$K$295,"ARGH")</f>
        <v>0</v>
      </c>
      <c r="BP25" s="3">
        <f>_xlfn.XLOOKUP(BP$1,generator!$B$2:$B$295,generator!$K$2:$K$295,"ARGH")</f>
        <v>0</v>
      </c>
      <c r="BQ25" s="3">
        <f>_xlfn.XLOOKUP(BQ$1,generator!$B$2:$B$295,generator!$K$2:$K$295,"ARGH")</f>
        <v>0</v>
      </c>
      <c r="BR25" s="3">
        <f>_xlfn.XLOOKUP(BR$1,generator!$B$2:$B$295,generator!$K$2:$K$295,"ARGH")</f>
        <v>0</v>
      </c>
      <c r="BS25" s="3">
        <f>_xlfn.XLOOKUP(BS$1,generator!$B$2:$B$295,generator!$K$2:$K$295,"ARGH")</f>
        <v>0</v>
      </c>
      <c r="BT25" s="3">
        <f>_xlfn.XLOOKUP(BT$1,generator!$B$2:$B$295,generator!$K$2:$K$295,"ARGH")</f>
        <v>0</v>
      </c>
      <c r="BU25" s="3">
        <f>_xlfn.XLOOKUP(BU$1,generator!$B$2:$B$295,generator!$K$2:$K$295,"ARGH")</f>
        <v>0</v>
      </c>
      <c r="BV25" s="3">
        <f>_xlfn.XLOOKUP(BV$1,generator!$B$2:$B$295,generator!$K$2:$K$295,"ARGH")</f>
        <v>0</v>
      </c>
      <c r="BW25" s="3">
        <f>_xlfn.XLOOKUP(BW$1,generator!$B$2:$B$295,generator!$K$2:$K$295,"ARGH")</f>
        <v>0</v>
      </c>
      <c r="BX25" s="3">
        <f>_xlfn.XLOOKUP(BX$1,generator!$B$2:$B$295,generator!$K$2:$K$295,"ARGH")</f>
        <v>0</v>
      </c>
      <c r="BY25" s="3">
        <f>_xlfn.XLOOKUP(BY$1,generator!$B$2:$B$295,generator!$K$2:$K$295,"ARGH")</f>
        <v>0</v>
      </c>
      <c r="BZ25" s="3">
        <f>_xlfn.XLOOKUP(BZ$1,generator!$B$2:$B$295,generator!$K$2:$K$295,"ARGH")</f>
        <v>0</v>
      </c>
      <c r="CA25" s="3">
        <f>_xlfn.XLOOKUP(CA$1,generator!$B$2:$B$295,generator!$K$2:$K$295,"ARGH")</f>
        <v>0</v>
      </c>
      <c r="CB25" s="3">
        <f>_xlfn.XLOOKUP(CB$1,generator!$B$2:$B$295,generator!$K$2:$K$295,"ARGH")</f>
        <v>0</v>
      </c>
      <c r="CC25" s="3">
        <f>_xlfn.XLOOKUP(CC$1,generator!$B$2:$B$295,generator!$K$2:$K$295,"ARGH")</f>
        <v>0</v>
      </c>
      <c r="CD25" s="3">
        <f>_xlfn.XLOOKUP(CD$1,generator!$B$2:$B$295,generator!$K$2:$K$295,"ARGH")</f>
        <v>0</v>
      </c>
      <c r="CE25" s="3">
        <f>_xlfn.XLOOKUP(CE$1,generator!$B$2:$B$295,generator!$K$2:$K$295,"ARGH")</f>
        <v>0</v>
      </c>
      <c r="CF25" s="3">
        <f>_xlfn.XLOOKUP(CF$1,generator!$B$2:$B$295,generator!$K$2:$K$295,"ARGH")</f>
        <v>0</v>
      </c>
      <c r="CG25" s="3">
        <f>_xlfn.XLOOKUP(CG$1,generator!$B$2:$B$295,generator!$K$2:$K$295,"ARGH")</f>
        <v>0</v>
      </c>
      <c r="CH25" s="3">
        <f>_xlfn.XLOOKUP(CH$1,generator!$B$2:$B$295,generator!$K$2:$K$295,"ARGH")</f>
        <v>0</v>
      </c>
      <c r="CI25" s="3">
        <f>_xlfn.XLOOKUP(CI$1,generator!$B$2:$B$295,generator!$K$2:$K$295,"ARGH")</f>
        <v>0</v>
      </c>
      <c r="CJ25" s="3">
        <f>_xlfn.XLOOKUP(CJ$1,generator!$B$2:$B$295,generator!$K$2:$K$295,"ARGH")</f>
        <v>0</v>
      </c>
      <c r="CK25" s="3">
        <f>_xlfn.XLOOKUP(CK$1,generator!$B$2:$B$295,generator!$K$2:$K$295,"ARGH")</f>
        <v>0</v>
      </c>
      <c r="CL25" s="3">
        <f>_xlfn.XLOOKUP(CL$1,generator!$B$2:$B$295,generator!$K$2:$K$295,"ARGH")</f>
        <v>0</v>
      </c>
      <c r="CM25" s="3">
        <f>_xlfn.XLOOKUP(CM$1,generator!$B$2:$B$295,generator!$K$2:$K$295,"ARGH")</f>
        <v>0</v>
      </c>
      <c r="CN25" s="3">
        <f>_xlfn.XLOOKUP(CN$1,generator!$B$2:$B$295,generator!$K$2:$K$295,"ARGH")</f>
        <v>0</v>
      </c>
      <c r="CO25" s="3">
        <f>_xlfn.XLOOKUP(CO$1,generator!$B$2:$B$295,generator!$K$2:$K$295,"ARGH")</f>
        <v>0</v>
      </c>
      <c r="CP25" s="3">
        <f>_xlfn.XLOOKUP(CP$1,generator!$B$2:$B$295,generator!$K$2:$K$295,"ARGH")</f>
        <v>0</v>
      </c>
      <c r="CQ25" s="3">
        <f>_xlfn.XLOOKUP(CQ$1,generator!$B$2:$B$295,generator!$K$2:$K$295,"ARGH")</f>
        <v>0</v>
      </c>
      <c r="CR25" s="3">
        <f>_xlfn.XLOOKUP(CR$1,generator!$B$2:$B$295,generator!$K$2:$K$295,"ARGH")</f>
        <v>0</v>
      </c>
      <c r="CS25" s="3">
        <f>_xlfn.XLOOKUP(CS$1,generator!$B$2:$B$295,generator!$K$2:$K$295,"ARGH")</f>
        <v>0</v>
      </c>
      <c r="CT25" s="3">
        <f>_xlfn.XLOOKUP(CT$1,generator!$B$2:$B$295,generator!$K$2:$K$295,"ARGH")</f>
        <v>0</v>
      </c>
      <c r="CU25" s="3">
        <f>_xlfn.XLOOKUP(CU$1,generator!$B$2:$B$295,generator!$K$2:$K$295,"ARGH")</f>
        <v>0</v>
      </c>
      <c r="CV25" s="3">
        <f>_xlfn.XLOOKUP(CV$1,generator!$B$2:$B$295,generator!$K$2:$K$295,"ARGH")</f>
        <v>0</v>
      </c>
      <c r="CW25" s="3">
        <f>_xlfn.XLOOKUP(CW$1,generator!$B$2:$B$295,generator!$K$2:$K$295,"ARGH")</f>
        <v>0</v>
      </c>
      <c r="CX25" s="3">
        <f>_xlfn.XLOOKUP(CX$1,generator!$B$2:$B$295,generator!$K$2:$K$295,"ARGH")</f>
        <v>0</v>
      </c>
      <c r="CY25" s="3">
        <f>_xlfn.XLOOKUP(CY$1,generator!$B$2:$B$295,generator!$K$2:$K$295,"ARGH")</f>
        <v>0</v>
      </c>
      <c r="CZ25" s="3">
        <f>_xlfn.XLOOKUP(CZ$1,generator!$B$2:$B$295,generator!$K$2:$K$295,"ARGH")</f>
        <v>0</v>
      </c>
      <c r="DA25" s="3">
        <f>_xlfn.XLOOKUP(DA$1,generator!$B$2:$B$295,generator!$K$2:$K$295,"ARGH")</f>
        <v>0</v>
      </c>
      <c r="DB25" s="3">
        <f>_xlfn.XLOOKUP(DB$1,generator!$B$2:$B$295,generator!$K$2:$K$295,"ARGH")</f>
        <v>0</v>
      </c>
      <c r="DC25" s="3">
        <f>_xlfn.XLOOKUP(DC$1,generator!$B$2:$B$295,generator!$K$2:$K$295,"ARGH")</f>
        <v>0</v>
      </c>
      <c r="DD25" s="3">
        <f>_xlfn.XLOOKUP(DD$1,generator!$B$2:$B$295,generator!$K$2:$K$295,"ARGH")</f>
        <v>0</v>
      </c>
      <c r="DE25" s="3">
        <f>_xlfn.XLOOKUP(DE$1,generator!$B$2:$B$295,generator!$K$2:$K$295,"ARGH")</f>
        <v>0</v>
      </c>
      <c r="DF25" s="3">
        <f>_xlfn.XLOOKUP(DF$1,generator!$B$2:$B$295,generator!$K$2:$K$295,"ARGH")</f>
        <v>0</v>
      </c>
      <c r="DG25" s="3">
        <f>_xlfn.XLOOKUP(DG$1,generator!$B$2:$B$295,generator!$K$2:$K$295,"ARGH")</f>
        <v>0</v>
      </c>
      <c r="DH25" s="3">
        <f>_xlfn.XLOOKUP(DH$1,generator!$B$2:$B$295,generator!$K$2:$K$295,"ARGH")</f>
        <v>0</v>
      </c>
      <c r="DI25" s="3">
        <f>_xlfn.XLOOKUP(DI$1,generator!$B$2:$B$295,generator!$K$2:$K$295,"ARGH")</f>
        <v>0</v>
      </c>
      <c r="DJ25" s="3">
        <f>_xlfn.XLOOKUP(DJ$1,generator!$B$2:$B$295,generator!$K$2:$K$295,"ARGH")</f>
        <v>0</v>
      </c>
      <c r="DK25" s="3">
        <f>_xlfn.XLOOKUP(DK$1,generator!$B$2:$B$295,generator!$K$2:$K$295,"ARGH")</f>
        <v>0</v>
      </c>
      <c r="DL25" s="3">
        <f>_xlfn.XLOOKUP(DL$1,generator!$B$2:$B$295,generator!$K$2:$K$295,"ARGH")</f>
        <v>0</v>
      </c>
      <c r="DM25" s="3">
        <f>_xlfn.XLOOKUP(DM$1,generator!$B$2:$B$295,generator!$K$2:$K$295,"ARGH")</f>
        <v>0</v>
      </c>
      <c r="DN25" s="3">
        <f>_xlfn.XLOOKUP(DN$1,generator!$B$2:$B$295,generator!$K$2:$K$295,"ARGH")</f>
        <v>0</v>
      </c>
      <c r="DO25" s="3">
        <f>_xlfn.XLOOKUP(DO$1,generator!$B$2:$B$295,generator!$K$2:$K$295,"ARGH")</f>
        <v>0</v>
      </c>
      <c r="DP25" s="3">
        <f>_xlfn.XLOOKUP(DP$1,generator!$B$2:$B$295,generator!$K$2:$K$295,"ARGH")</f>
        <v>0</v>
      </c>
      <c r="DQ25" s="3">
        <f>_xlfn.XLOOKUP(DQ$1,generator!$B$2:$B$295,generator!$K$2:$K$295,"ARGH")</f>
        <v>0</v>
      </c>
      <c r="DR25" s="3">
        <f>_xlfn.XLOOKUP(DR$1,generator!$B$2:$B$295,generator!$K$2:$K$295,"ARGH")</f>
        <v>0</v>
      </c>
      <c r="DS25" s="3">
        <f>_xlfn.XLOOKUP(DS$1,generator!$B$2:$B$295,generator!$K$2:$K$295,"ARGH")</f>
        <v>0</v>
      </c>
      <c r="DT25" s="3">
        <f>_xlfn.XLOOKUP(DT$1,generator!$B$2:$B$295,generator!$K$2:$K$295,"ARGH")</f>
        <v>0</v>
      </c>
      <c r="DU25" s="3">
        <f>_xlfn.XLOOKUP(DU$1,generator!$B$2:$B$295,generator!$K$2:$K$295,"ARGH")</f>
        <v>0</v>
      </c>
      <c r="DV25" s="3">
        <f>_xlfn.XLOOKUP(DV$1,generator!$B$2:$B$295,generator!$K$2:$K$295,"ARGH")</f>
        <v>0</v>
      </c>
      <c r="DW25" s="3">
        <f>_xlfn.XLOOKUP(DW$1,generator!$B$2:$B$295,generator!$K$2:$K$295,"ARGH")</f>
        <v>0</v>
      </c>
      <c r="DX25" s="3">
        <f>_xlfn.XLOOKUP(DX$1,generator!$B$2:$B$295,generator!$K$2:$K$295,"ARGH")</f>
        <v>0</v>
      </c>
      <c r="DY25" s="3">
        <f>_xlfn.XLOOKUP(DY$1,generator!$B$2:$B$295,generator!$K$2:$K$295,"ARGH")</f>
        <v>0</v>
      </c>
      <c r="DZ25" s="3">
        <f>_xlfn.XLOOKUP(DZ$1,generator!$B$2:$B$295,generator!$K$2:$K$295,"ARGH")</f>
        <v>0</v>
      </c>
      <c r="EA25" s="3">
        <f>_xlfn.XLOOKUP(EA$1,generator!$B$2:$B$295,generator!$K$2:$K$295,"ARGH")</f>
        <v>0</v>
      </c>
      <c r="EB25" s="3">
        <f>_xlfn.XLOOKUP(EB$1,generator!$B$2:$B$295,generator!$K$2:$K$295,"ARGH")</f>
        <v>0</v>
      </c>
      <c r="EC25" s="3">
        <f>_xlfn.XLOOKUP(EC$1,generator!$B$2:$B$295,generator!$K$2:$K$295,"ARGH")</f>
        <v>0</v>
      </c>
      <c r="ED25" s="3">
        <f>_xlfn.XLOOKUP(ED$1,generator!$B$2:$B$295,generator!$K$2:$K$295,"ARGH")</f>
        <v>0</v>
      </c>
      <c r="EE25" s="3">
        <f>_xlfn.XLOOKUP(EE$1,generator!$B$2:$B$295,generator!$K$2:$K$295,"ARGH")</f>
        <v>0</v>
      </c>
      <c r="EF25" s="3">
        <f>_xlfn.XLOOKUP(EF$1,generator!$B$2:$B$295,generator!$K$2:$K$295,"ARGH")</f>
        <v>0</v>
      </c>
      <c r="EG25" s="3">
        <f>_xlfn.XLOOKUP(EG$1,generator!$B$2:$B$295,generator!$K$2:$K$295,"ARGH")</f>
        <v>0</v>
      </c>
      <c r="EH25" s="3">
        <f>_xlfn.XLOOKUP(EH$1,generator!$B$2:$B$295,generator!$K$2:$K$295,"ARGH")</f>
        <v>0</v>
      </c>
      <c r="EI25" s="3">
        <f>_xlfn.XLOOKUP(EI$1,generator!$B$2:$B$295,generator!$K$2:$K$295,"ARGH")</f>
        <v>0</v>
      </c>
      <c r="EJ25" s="3">
        <f>_xlfn.XLOOKUP(EJ$1,generator!$B$2:$B$295,generator!$K$2:$K$295,"ARGH")</f>
        <v>0</v>
      </c>
      <c r="EK25" s="3">
        <f>_xlfn.XLOOKUP(EK$1,generator!$B$2:$B$295,generator!$K$2:$K$295,"ARGH")</f>
        <v>0</v>
      </c>
      <c r="EL25" s="3">
        <f>_xlfn.XLOOKUP(EL$1,generator!$B$2:$B$295,generator!$K$2:$K$295,"ARGH")</f>
        <v>0</v>
      </c>
      <c r="EM25" s="3">
        <f>_xlfn.XLOOKUP(EM$1,generator!$B$2:$B$295,generator!$K$2:$K$295,"ARGH")</f>
        <v>0</v>
      </c>
      <c r="EN25" s="3">
        <f>_xlfn.XLOOKUP(EN$1,generator!$B$2:$B$295,generator!$K$2:$K$295,"ARGH")</f>
        <v>0</v>
      </c>
      <c r="EO25" s="3">
        <f>_xlfn.XLOOKUP(EO$1,generator!$B$2:$B$295,generator!$K$2:$K$295,"ARGH")</f>
        <v>0</v>
      </c>
      <c r="EP25" s="3">
        <f>_xlfn.XLOOKUP(EP$1,generator!$B$2:$B$295,generator!$K$2:$K$295,"ARGH")</f>
        <v>0</v>
      </c>
      <c r="EQ25" s="3">
        <f>_xlfn.XLOOKUP(EQ$1,generator!$B$2:$B$295,generator!$K$2:$K$295,"ARGH")</f>
        <v>0</v>
      </c>
      <c r="ER25" s="3">
        <f>_xlfn.XLOOKUP(ER$1,generator!$B$2:$B$295,generator!$K$2:$K$295,"ARGH")</f>
        <v>0</v>
      </c>
      <c r="ES25" s="3">
        <f>_xlfn.XLOOKUP(ES$1,generator!$B$2:$B$295,generator!$K$2:$K$295,"ARGH")</f>
        <v>0</v>
      </c>
      <c r="ET25" s="3">
        <f>_xlfn.XLOOKUP(ET$1,generator!$B$2:$B$295,generator!$K$2:$K$295,"ARGH")</f>
        <v>0</v>
      </c>
      <c r="EU25" s="3">
        <f>_xlfn.XLOOKUP(EU$1,generator!$B$2:$B$295,generator!$K$2:$K$295,"ARGH")</f>
        <v>0</v>
      </c>
      <c r="EV25" s="3">
        <f>_xlfn.XLOOKUP(EV$1,generator!$B$2:$B$295,generator!$K$2:$K$295,"ARGH")</f>
        <v>0</v>
      </c>
      <c r="EW25" s="3">
        <f>_xlfn.XLOOKUP(EW$1,generator!$B$2:$B$295,generator!$K$2:$K$295,"ARGH")</f>
        <v>0</v>
      </c>
      <c r="EX25" s="3">
        <f>_xlfn.XLOOKUP(EX$1,generator!$B$2:$B$295,generator!$K$2:$K$295,"ARGH")</f>
        <v>0</v>
      </c>
      <c r="EY25" s="3">
        <f>_xlfn.XLOOKUP(EY$1,generator!$B$2:$B$295,generator!$K$2:$K$295,"ARGH")</f>
        <v>0</v>
      </c>
      <c r="EZ25" s="3">
        <f>_xlfn.XLOOKUP(EZ$1,generator!$B$2:$B$295,generator!$K$2:$K$295,"ARGH")</f>
        <v>0</v>
      </c>
      <c r="FA25" s="3">
        <f>_xlfn.XLOOKUP(FA$1,generator!$B$2:$B$295,generator!$K$2:$K$295,"ARGH")</f>
        <v>0</v>
      </c>
      <c r="FB25" s="3">
        <f>_xlfn.XLOOKUP(FB$1,generator!$B$2:$B$295,generator!$K$2:$K$295,"ARGH")</f>
        <v>0</v>
      </c>
      <c r="FC25" s="3">
        <f>_xlfn.XLOOKUP(FC$1,generator!$B$2:$B$295,generator!$K$2:$K$295,"ARGH")</f>
        <v>0</v>
      </c>
      <c r="FD25" s="3">
        <f>_xlfn.XLOOKUP(FD$1,generator!$B$2:$B$295,generator!$K$2:$K$295,"ARGH")</f>
        <v>0</v>
      </c>
      <c r="FE25" s="3">
        <f>_xlfn.XLOOKUP(FE$1,generator!$B$2:$B$295,generator!$K$2:$K$295,"ARGH")</f>
        <v>0</v>
      </c>
      <c r="FF25" s="3">
        <f>_xlfn.XLOOKUP(FF$1,generator!$B$2:$B$295,generator!$K$2:$K$295,"ARGH")</f>
        <v>0</v>
      </c>
      <c r="FG25" s="3">
        <f>_xlfn.XLOOKUP(FG$1,generator!$B$2:$B$295,generator!$K$2:$K$295,"ARGH")</f>
        <v>0</v>
      </c>
      <c r="FH25" s="3">
        <f>_xlfn.XLOOKUP(FH$1,generator!$B$2:$B$295,generator!$K$2:$K$295,"ARGH")</f>
        <v>0</v>
      </c>
      <c r="FI25" s="3">
        <f>_xlfn.XLOOKUP(FI$1,generator!$B$2:$B$295,generator!$K$2:$K$295,"ARGH")</f>
        <v>0</v>
      </c>
      <c r="FJ25" s="3">
        <f>_xlfn.XLOOKUP(FJ$1,generator!$B$2:$B$295,generator!$K$2:$K$295,"ARGH")</f>
        <v>0</v>
      </c>
      <c r="FK25" s="3">
        <f>_xlfn.XLOOKUP(FK$1,generator!$B$2:$B$295,generator!$K$2:$K$295,"ARGH")</f>
        <v>0</v>
      </c>
      <c r="FL25" s="3">
        <f>_xlfn.XLOOKUP(FL$1,generator!$B$2:$B$295,generator!$K$2:$K$295,"ARGH")</f>
        <v>0</v>
      </c>
      <c r="FM25" s="3">
        <f>_xlfn.XLOOKUP(FM$1,generator!$B$2:$B$295,generator!$K$2:$K$295,"ARGH")</f>
        <v>0</v>
      </c>
      <c r="FN25" s="3">
        <f>_xlfn.XLOOKUP(FN$1,generator!$B$2:$B$295,generator!$K$2:$K$295,"ARGH")</f>
        <v>0</v>
      </c>
      <c r="FO25" s="3">
        <f>_xlfn.XLOOKUP(FO$1,generator!$B$2:$B$295,generator!$K$2:$K$295,"ARGH")</f>
        <v>0</v>
      </c>
      <c r="FP25" s="3">
        <f>_xlfn.XLOOKUP(FP$1,generator!$B$2:$B$295,generator!$K$2:$K$295,"ARGH")</f>
        <v>0</v>
      </c>
      <c r="FQ25" s="3">
        <f>_xlfn.XLOOKUP(FQ$1,generator!$B$2:$B$295,generator!$K$2:$K$295,"ARGH")</f>
        <v>0</v>
      </c>
      <c r="FR25" s="3">
        <f>_xlfn.XLOOKUP(FR$1,generator!$B$2:$B$295,generator!$K$2:$K$295,"ARGH")</f>
        <v>0</v>
      </c>
      <c r="FS25" s="3">
        <f>_xlfn.XLOOKUP(FS$1,generator!$B$2:$B$295,generator!$K$2:$K$295,"ARGH")</f>
        <v>0</v>
      </c>
      <c r="FT25" s="3">
        <f>_xlfn.XLOOKUP(FT$1,generator!$B$2:$B$295,generator!$K$2:$K$295,"ARGH")</f>
        <v>0</v>
      </c>
      <c r="FU25" s="3">
        <f>_xlfn.XLOOKUP(FU$1,generator!$B$2:$B$295,generator!$K$2:$K$295,"ARGH")</f>
        <v>0</v>
      </c>
      <c r="FV25" s="3">
        <f>_xlfn.XLOOKUP(FV$1,generator!$B$2:$B$295,generator!$K$2:$K$295,"ARGH")</f>
        <v>0</v>
      </c>
      <c r="FW25" s="3">
        <f>_xlfn.XLOOKUP(FW$1,generator!$B$2:$B$295,generator!$K$2:$K$295,"ARGH")</f>
        <v>0</v>
      </c>
      <c r="FX25" s="3">
        <f>_xlfn.XLOOKUP(FX$1,generator!$B$2:$B$295,generator!$K$2:$K$295,"ARGH")</f>
        <v>0</v>
      </c>
      <c r="FY25" s="3">
        <f>_xlfn.XLOOKUP(FY$1,generator!$B$2:$B$295,generator!$K$2:$K$295,"ARGH")</f>
        <v>0</v>
      </c>
      <c r="FZ25" s="3">
        <f>_xlfn.XLOOKUP(FZ$1,generator!$B$2:$B$295,generator!$K$2:$K$295,"ARGH")</f>
        <v>0</v>
      </c>
      <c r="GA25" s="3">
        <f>_xlfn.XLOOKUP(GA$1,generator!$B$2:$B$295,generator!$K$2:$K$295,"ARGH")</f>
        <v>0</v>
      </c>
      <c r="GB25" s="3">
        <f>_xlfn.XLOOKUP(GB$1,generator!$B$2:$B$295,generator!$K$2:$K$295,"ARGH")</f>
        <v>0</v>
      </c>
      <c r="GC25" s="3">
        <f>_xlfn.XLOOKUP(GC$1,generator!$B$2:$B$295,generator!$K$2:$K$295,"ARGH")</f>
        <v>0</v>
      </c>
      <c r="GD25" s="3">
        <f>_xlfn.XLOOKUP(GD$1,generator!$B$2:$B$295,generator!$K$2:$K$295,"ARGH")</f>
        <v>0</v>
      </c>
      <c r="GE25" s="3">
        <f>_xlfn.XLOOKUP(GE$1,generator!$B$2:$B$295,generator!$K$2:$K$295,"ARGH")</f>
        <v>0</v>
      </c>
      <c r="GF25" s="3">
        <f>_xlfn.XLOOKUP(GF$1,generator!$B$2:$B$295,generator!$K$2:$K$295,"ARGH")</f>
        <v>0</v>
      </c>
      <c r="GG25" s="3">
        <f>_xlfn.XLOOKUP(GG$1,generator!$B$2:$B$295,generator!$K$2:$K$295,"ARGH")</f>
        <v>0</v>
      </c>
      <c r="GH25" s="3">
        <f>_xlfn.XLOOKUP(GH$1,generator!$B$2:$B$295,generator!$K$2:$K$295,"ARGH")</f>
        <v>0</v>
      </c>
      <c r="GI25" s="3">
        <f>_xlfn.XLOOKUP(GI$1,generator!$B$2:$B$295,generator!$K$2:$K$295,"ARGH")</f>
        <v>0</v>
      </c>
      <c r="GJ25" s="3">
        <f>_xlfn.XLOOKUP(GJ$1,generator!$B$2:$B$295,generator!$K$2:$K$295,"ARGH")</f>
        <v>0</v>
      </c>
      <c r="GK25" s="3">
        <f>_xlfn.XLOOKUP(GK$1,generator!$B$2:$B$295,generator!$K$2:$K$295,"ARGH")</f>
        <v>0</v>
      </c>
      <c r="GL25" s="3">
        <f>_xlfn.XLOOKUP(GL$1,generator!$B$2:$B$295,generator!$K$2:$K$295,"ARGH")</f>
        <v>0</v>
      </c>
      <c r="GM25" s="3">
        <f>_xlfn.XLOOKUP(GM$1,generator!$B$2:$B$295,generator!$K$2:$K$295,"ARGH")</f>
        <v>0</v>
      </c>
      <c r="GN25" s="3">
        <f>_xlfn.XLOOKUP(GN$1,generator!$B$2:$B$295,generator!$K$2:$K$295,"ARGH")</f>
        <v>0</v>
      </c>
      <c r="GO25" s="3">
        <f>_xlfn.XLOOKUP(GO$1,generator!$B$2:$B$295,generator!$K$2:$K$295,"ARGH")</f>
        <v>0</v>
      </c>
      <c r="GP25" s="3">
        <f>_xlfn.XLOOKUP(GP$1,generator!$B$2:$B$295,generator!$K$2:$K$295,"ARGH")</f>
        <v>0</v>
      </c>
      <c r="GQ25" s="3">
        <f>_xlfn.XLOOKUP(GQ$1,generator!$B$2:$B$295,generator!$K$2:$K$295,"ARGH")</f>
        <v>0</v>
      </c>
      <c r="GR25" s="3">
        <f>_xlfn.XLOOKUP(GR$1,generator!$B$2:$B$295,generator!$K$2:$K$295,"ARGH")</f>
        <v>0</v>
      </c>
      <c r="GS25" s="3">
        <f>_xlfn.XLOOKUP(GS$1,generator!$B$2:$B$295,generator!$K$2:$K$295,"ARGH")</f>
        <v>0</v>
      </c>
      <c r="GT25" s="3">
        <f>_xlfn.XLOOKUP(GT$1,generator!$B$2:$B$295,generator!$K$2:$K$295,"ARGH")</f>
        <v>0</v>
      </c>
      <c r="GU25" s="3">
        <f>_xlfn.XLOOKUP(GU$1,generator!$B$2:$B$295,generator!$K$2:$K$295,"ARGH")</f>
        <v>0</v>
      </c>
      <c r="GV25" s="3">
        <f>_xlfn.XLOOKUP(GV$1,generator!$B$2:$B$295,generator!$K$2:$K$295,"ARGH")</f>
        <v>0</v>
      </c>
      <c r="GW25" s="3">
        <f>_xlfn.XLOOKUP(GW$1,generator!$B$2:$B$295,generator!$K$2:$K$295,"ARGH")</f>
        <v>0</v>
      </c>
      <c r="GX25" s="3">
        <f>_xlfn.XLOOKUP(GX$1,generator!$B$2:$B$295,generator!$K$2:$K$295,"ARGH")</f>
        <v>0</v>
      </c>
      <c r="GY25" s="3">
        <f>_xlfn.XLOOKUP(GY$1,generator!$B$2:$B$295,generator!$K$2:$K$295,"ARGH")</f>
        <v>0</v>
      </c>
      <c r="GZ25" s="3">
        <f>_xlfn.XLOOKUP(GZ$1,generator!$B$2:$B$295,generator!$K$2:$K$295,"ARGH")</f>
        <v>0</v>
      </c>
      <c r="HA25" s="3">
        <f>_xlfn.XLOOKUP(HA$1,generator!$B$2:$B$295,generator!$K$2:$K$295,"ARGH")</f>
        <v>0</v>
      </c>
      <c r="HB25" s="3">
        <f>_xlfn.XLOOKUP(HB$1,generator!$B$2:$B$295,generator!$K$2:$K$295,"ARGH")</f>
        <v>0</v>
      </c>
      <c r="HC25" s="3">
        <f>_xlfn.XLOOKUP(HC$1,generator!$B$2:$B$295,generator!$K$2:$K$295,"ARGH")</f>
        <v>0</v>
      </c>
      <c r="HD25" s="3">
        <f>_xlfn.XLOOKUP(HD$1,generator!$B$2:$B$295,generator!$K$2:$K$295,"ARGH")</f>
        <v>0</v>
      </c>
      <c r="HE25" s="3">
        <f>_xlfn.XLOOKUP(HE$1,generator!$B$2:$B$295,generator!$K$2:$K$295,"ARGH")</f>
        <v>12.74</v>
      </c>
      <c r="HF25" s="3">
        <f>_xlfn.XLOOKUP(HF$1,generator!$B$2:$B$295,generator!$K$2:$K$295,"ARGH")</f>
        <v>99</v>
      </c>
      <c r="HG25" s="3">
        <f>_xlfn.XLOOKUP(HG$1,generator!$B$2:$B$295,generator!$K$2:$K$295,"ARGH")</f>
        <v>99</v>
      </c>
      <c r="HH25" s="3">
        <f>_xlfn.XLOOKUP(HH$1,generator!$B$2:$B$295,generator!$K$2:$K$295,"ARGH")</f>
        <v>99</v>
      </c>
      <c r="HI25" s="3">
        <f>_xlfn.XLOOKUP(HI$1,generator!$B$2:$B$295,generator!$K$2:$K$295,"ARGH")</f>
        <v>8</v>
      </c>
      <c r="HJ25" s="3">
        <f>_xlfn.XLOOKUP(HJ$1,generator!$B$2:$B$295,generator!$K$2:$K$295,"ARGH")</f>
        <v>8</v>
      </c>
      <c r="HK25" s="3">
        <f>_xlfn.XLOOKUP(HK$1,generator!$B$2:$B$295,generator!$K$2:$K$295,"ARGH")</f>
        <v>8</v>
      </c>
      <c r="HL25" s="3">
        <f>_xlfn.XLOOKUP(HL$1,generator!$B$2:$B$295,generator!$K$2:$K$295,"ARGH")</f>
        <v>20</v>
      </c>
      <c r="HM25" s="3">
        <f>_xlfn.XLOOKUP(HM$1,generator!$B$2:$B$295,generator!$K$2:$K$295,"ARGH")</f>
        <v>20</v>
      </c>
      <c r="HN25" s="3">
        <f>_xlfn.XLOOKUP(HN$1,generator!$B$2:$B$295,generator!$K$2:$K$295,"ARGH")</f>
        <v>5</v>
      </c>
      <c r="HO25" s="3">
        <f>_xlfn.XLOOKUP(HO$1,generator!$B$2:$B$295,generator!$K$2:$K$295,"ARGH")</f>
        <v>5</v>
      </c>
      <c r="HP25" s="3">
        <f>_xlfn.XLOOKUP(HP$1,generator!$B$2:$B$295,generator!$K$2:$K$295,"ARGH")</f>
        <v>0.2</v>
      </c>
      <c r="HQ25" s="3">
        <f>_xlfn.XLOOKUP(HQ$1,generator!$B$2:$B$295,generator!$K$2:$K$295,"ARGH")</f>
        <v>5</v>
      </c>
      <c r="HR25" s="3">
        <f>_xlfn.XLOOKUP(HR$1,generator!$B$2:$B$295,generator!$K$2:$K$295,"ARGH")</f>
        <v>5</v>
      </c>
      <c r="HS25" s="3">
        <f>_xlfn.XLOOKUP(HS$1,generator!$B$2:$B$295,generator!$K$2:$K$295,"ARGH")</f>
        <v>12.82</v>
      </c>
      <c r="HT25" s="3">
        <f>_xlfn.XLOOKUP(HT$1,generator!$B$2:$B$295,generator!$K$2:$K$295,"ARGH")</f>
        <v>12.82</v>
      </c>
      <c r="HU25" s="3">
        <f>_xlfn.XLOOKUP(HU$1,generator!$B$2:$B$295,generator!$K$2:$K$295,"ARGH")</f>
        <v>25</v>
      </c>
      <c r="HV25" s="3">
        <f>_xlfn.XLOOKUP(HV$1,generator!$B$2:$B$295,generator!$K$2:$K$295,"ARGH")</f>
        <v>16</v>
      </c>
      <c r="HW25" s="3">
        <f>_xlfn.XLOOKUP(HW$1,generator!$B$2:$B$295,generator!$K$2:$K$295,"ARGH")</f>
        <v>5</v>
      </c>
      <c r="HX25" s="3">
        <f>_xlfn.XLOOKUP(HX$1,generator!$B$2:$B$295,generator!$K$2:$K$295,"ARGH")</f>
        <v>5</v>
      </c>
      <c r="HY25" s="3">
        <f>_xlfn.XLOOKUP(HY$1,generator!$B$2:$B$295,generator!$K$2:$K$295,"ARGH")</f>
        <v>63</v>
      </c>
      <c r="HZ25" s="3">
        <f>_xlfn.XLOOKUP(HZ$1,generator!$B$2:$B$295,generator!$K$2:$K$295,"ARGH")</f>
        <v>18</v>
      </c>
      <c r="IA25" s="3">
        <f>_xlfn.XLOOKUP(IA$1,generator!$B$2:$B$295,generator!$K$2:$K$295,"ARGH")</f>
        <v>121</v>
      </c>
      <c r="IB25" s="3">
        <f>_xlfn.XLOOKUP(IB$1,generator!$B$2:$B$295,generator!$K$2:$K$295,"ARGH")</f>
        <v>120</v>
      </c>
      <c r="IC25" s="3">
        <f>_xlfn.XLOOKUP(IC$1,generator!$B$2:$B$295,generator!$K$2:$K$295,"ARGH")</f>
        <v>0</v>
      </c>
      <c r="ID25" s="3">
        <f>_xlfn.XLOOKUP(ID$1,generator!$B$2:$B$295,generator!$K$2:$K$295,"ARGH")</f>
        <v>17</v>
      </c>
      <c r="IE25" s="3">
        <f>_xlfn.XLOOKUP(IE$1,generator!$B$2:$B$295,generator!$K$2:$K$295,"ARGH")</f>
        <v>194</v>
      </c>
      <c r="IF25" s="3">
        <f>_xlfn.XLOOKUP(IF$1,generator!$B$2:$B$295,generator!$K$2:$K$295,"ARGH")</f>
        <v>11.9</v>
      </c>
      <c r="IG25" s="3">
        <f>_xlfn.XLOOKUP(IG$1,generator!$B$2:$B$295,generator!$K$2:$K$295,"ARGH")</f>
        <v>11.9</v>
      </c>
      <c r="IH25" s="3">
        <f>_xlfn.XLOOKUP(IH$1,generator!$B$2:$B$295,generator!$K$2:$K$295,"ARGH")</f>
        <v>11.9</v>
      </c>
      <c r="II25" s="3">
        <f>_xlfn.XLOOKUP(II$1,generator!$B$2:$B$295,generator!$K$2:$K$295,"ARGH")</f>
        <v>11.9</v>
      </c>
      <c r="IJ25" s="3">
        <f>_xlfn.XLOOKUP(IJ$1,generator!$B$2:$B$295,generator!$K$2:$K$295,"ARGH")</f>
        <v>0</v>
      </c>
      <c r="IK25" s="3">
        <f>_xlfn.XLOOKUP(IK$1,generator!$B$2:$B$295,generator!$K$2:$K$295,"ARGH")</f>
        <v>3</v>
      </c>
      <c r="IL25" s="3">
        <f>_xlfn.XLOOKUP(IL$1,generator!$B$2:$B$295,generator!$K$2:$K$295,"ARGH")</f>
        <v>5</v>
      </c>
      <c r="IM25" s="3">
        <f>_xlfn.XLOOKUP(IM$1,generator!$B$2:$B$295,generator!$K$2:$K$295,"ARGH")</f>
        <v>5</v>
      </c>
      <c r="IN25" s="3">
        <f>_xlfn.XLOOKUP(IN$1,generator!$B$2:$B$295,generator!$K$2:$K$295,"ARGH")</f>
        <v>4</v>
      </c>
      <c r="IO25" s="3">
        <f>_xlfn.XLOOKUP(IO$1,generator!$B$2:$B$295,generator!$K$2:$K$295,"ARGH")</f>
        <v>4</v>
      </c>
      <c r="IP25" s="3">
        <f>_xlfn.XLOOKUP(IP$1,generator!$B$2:$B$295,generator!$K$2:$K$295,"ARGH")</f>
        <v>3</v>
      </c>
      <c r="IQ25" s="3">
        <f>_xlfn.XLOOKUP(IQ$1,generator!$B$2:$B$295,generator!$K$2:$K$295,"ARGH")</f>
        <v>1</v>
      </c>
      <c r="IR25" s="3">
        <f>_xlfn.XLOOKUP(IR$1,generator!$B$2:$B$295,generator!$K$2:$K$295,"ARGH")</f>
        <v>3</v>
      </c>
      <c r="IS25" s="3">
        <f>_xlfn.XLOOKUP(IS$1,generator!$B$2:$B$295,generator!$K$2:$K$295,"ARGH")</f>
        <v>3</v>
      </c>
      <c r="IT25" s="3">
        <f>_xlfn.XLOOKUP(IT$1,generator!$B$2:$B$295,generator!$K$2:$K$295,"ARGH")</f>
        <v>0</v>
      </c>
      <c r="IU25" s="3">
        <f>_xlfn.XLOOKUP(IU$1,generator!$B$2:$B$295,generator!$K$2:$K$295,"ARGH")</f>
        <v>3.99</v>
      </c>
      <c r="IV25" s="3">
        <f>_xlfn.XLOOKUP(IV$1,generator!$B$2:$B$295,generator!$K$2:$K$295,"ARGH")</f>
        <v>0.2</v>
      </c>
      <c r="IW25" s="3">
        <f>_xlfn.XLOOKUP(IW$1,generator!$B$2:$B$295,generator!$K$2:$K$295,"ARGH")</f>
        <v>15</v>
      </c>
      <c r="IX25" s="3">
        <f>_xlfn.XLOOKUP(IX$1,generator!$B$2:$B$295,generator!$K$2:$K$295,"ARGH")</f>
        <v>15</v>
      </c>
      <c r="IY25" s="3">
        <f>_xlfn.XLOOKUP(IY$1,generator!$B$2:$B$295,generator!$K$2:$K$295,"ARGH")</f>
        <v>15</v>
      </c>
      <c r="IZ25" s="3">
        <f>_xlfn.XLOOKUP(IZ$1,generator!$B$2:$B$295,generator!$K$2:$K$295,"ARGH")</f>
        <v>120</v>
      </c>
      <c r="JA25" s="3">
        <f>_xlfn.XLOOKUP(JA$1,generator!$B$2:$B$295,generator!$K$2:$K$295,"ARGH")</f>
        <v>40</v>
      </c>
      <c r="JB25" s="3">
        <f>_xlfn.XLOOKUP(JB$1,generator!$B$2:$B$295,generator!$K$2:$K$295,"ARGH")</f>
        <v>40</v>
      </c>
      <c r="JC25" s="3">
        <f>_xlfn.XLOOKUP(JC$1,generator!$B$2:$B$295,generator!$K$2:$K$295,"ARGH")</f>
        <v>113</v>
      </c>
      <c r="JD25" s="3">
        <f>_xlfn.XLOOKUP(JD$1,generator!$B$2:$B$295,generator!$K$2:$K$295,"ARGH")</f>
        <v>113</v>
      </c>
      <c r="JE25" s="3">
        <f>_xlfn.XLOOKUP(JE$1,generator!$B$2:$B$295,generator!$K$2:$K$295,"ARGH")</f>
        <v>211</v>
      </c>
      <c r="JF25" s="3">
        <f>_xlfn.XLOOKUP(JF$1,generator!$B$2:$B$295,generator!$K$2:$K$295,"ARGH")</f>
        <v>22.5</v>
      </c>
      <c r="JG25" s="3">
        <f>_xlfn.XLOOKUP(JG$1,generator!$B$2:$B$295,generator!$K$2:$K$295,"ARGH")</f>
        <v>1</v>
      </c>
      <c r="JH25" s="3">
        <f>_xlfn.XLOOKUP(JH$1,generator!$B$2:$B$295,generator!$K$2:$K$295,"ARGH")</f>
        <v>160</v>
      </c>
      <c r="JI25" s="3">
        <f>_xlfn.XLOOKUP(JI$1,generator!$B$2:$B$295,generator!$K$2:$K$295,"ARGH")</f>
        <v>165</v>
      </c>
      <c r="JJ25" s="3">
        <f>_xlfn.XLOOKUP(JJ$1,generator!$B$2:$B$295,generator!$K$2:$K$295,"ARGH")</f>
        <v>4.5999999999999996</v>
      </c>
      <c r="JK25" s="3">
        <f>_xlfn.XLOOKUP(JK$1,generator!$B$2:$B$295,generator!$K$2:$K$295,"ARGH")</f>
        <v>4.5999999999999996</v>
      </c>
      <c r="JL25" s="3">
        <f>_xlfn.XLOOKUP(JL$1,generator!$B$2:$B$295,generator!$K$2:$K$295,"ARGH")</f>
        <v>4.5999999999999996</v>
      </c>
      <c r="JM25" s="3">
        <f>_xlfn.XLOOKUP(JM$1,generator!$B$2:$B$295,generator!$K$2:$K$295,"ARGH")</f>
        <v>4.5999999999999996</v>
      </c>
      <c r="JN25" s="3">
        <f>_xlfn.XLOOKUP(JN$1,generator!$B$2:$B$295,generator!$K$2:$K$295,"ARGH")</f>
        <v>4.5999999999999996</v>
      </c>
      <c r="JO25" s="3">
        <f>_xlfn.XLOOKUP(JO$1,generator!$B$2:$B$295,generator!$K$2:$K$295,"ARGH")</f>
        <v>4.5999999999999996</v>
      </c>
      <c r="JP25" s="3">
        <f>_xlfn.XLOOKUP(JP$1,generator!$B$2:$B$295,generator!$K$2:$K$295,"ARGH")</f>
        <v>110</v>
      </c>
      <c r="JQ25" s="3">
        <f>_xlfn.XLOOKUP(JQ$1,generator!$B$2:$B$295,generator!$K$2:$K$295,"ARGH")</f>
        <v>22.7</v>
      </c>
      <c r="JR25" s="3">
        <f>_xlfn.XLOOKUP(JR$1,generator!$B$2:$B$295,generator!$K$2:$K$295,"ARGH")</f>
        <v>147</v>
      </c>
      <c r="JS25" s="3">
        <f>_xlfn.XLOOKUP(JS$1,generator!$B$2:$B$295,generator!$K$2:$K$295,"ARGH")</f>
        <v>147</v>
      </c>
      <c r="JT25" s="3">
        <f>_xlfn.XLOOKUP(JT$1,generator!$B$2:$B$295,generator!$K$2:$K$295,"ARGH")</f>
        <v>22.7</v>
      </c>
      <c r="JU25" s="3">
        <f>_xlfn.XLOOKUP(JU$1,generator!$B$2:$B$295,generator!$K$2:$K$295,"ARGH")</f>
        <v>21.5</v>
      </c>
      <c r="JV25" s="3">
        <f>_xlfn.XLOOKUP(JV$1,generator!$B$2:$B$295,generator!$K$2:$K$295,"ARGH")</f>
        <v>120</v>
      </c>
      <c r="JW25" s="3">
        <f>_xlfn.XLOOKUP(JW$1,generator!$B$2:$B$295,generator!$K$2:$K$295,"ARGH")</f>
        <v>120</v>
      </c>
      <c r="JX25" s="3">
        <f>_xlfn.XLOOKUP(JX$1,generator!$B$2:$B$295,generator!$K$2:$K$295,"ARGH")</f>
        <v>1</v>
      </c>
      <c r="JY25" s="3">
        <f>_xlfn.XLOOKUP(JY$1,generator!$B$2:$B$295,generator!$K$2:$K$295,"ARGH")</f>
        <v>41.15</v>
      </c>
      <c r="JZ25" s="3">
        <f>_xlfn.XLOOKUP(JZ$1,generator!$B$2:$B$295,generator!$K$2:$K$295,"ARGH")</f>
        <v>5</v>
      </c>
      <c r="KA25" s="3">
        <f>_xlfn.XLOOKUP(KA$1,generator!$B$2:$B$295,generator!$K$2:$K$295,"ARGH")</f>
        <v>5</v>
      </c>
      <c r="KB25" s="3">
        <f>_xlfn.XLOOKUP(KB$1,generator!$B$2:$B$295,generator!$K$2:$K$295,"ARGH")</f>
        <v>5</v>
      </c>
      <c r="KC25" s="3">
        <f>_xlfn.XLOOKUP(KC$1,generator!$B$2:$B$295,generator!$K$2:$K$295,"ARGH")</f>
        <v>5</v>
      </c>
    </row>
    <row r="26" spans="1:289" x14ac:dyDescent="0.3">
      <c r="A26" s="4" t="s">
        <v>3021</v>
      </c>
      <c r="B26" s="31">
        <v>396</v>
      </c>
      <c r="C26" s="31">
        <v>513.5</v>
      </c>
      <c r="D26" s="31">
        <v>442</v>
      </c>
      <c r="E26" s="3">
        <f>_xlfn.XLOOKUP(E$1,generator!$B$2:$B$295,generator!$K$2:$K$295,"ARGH")</f>
        <v>0</v>
      </c>
      <c r="F26" s="3">
        <f>_xlfn.XLOOKUP(F$1,generator!$B$2:$B$295,generator!$K$2:$K$295,"ARGH")</f>
        <v>0</v>
      </c>
      <c r="G26" s="3">
        <f>_xlfn.XLOOKUP(G$1,generator!$B$2:$B$295,generator!$K$2:$K$295,"ARGH")</f>
        <v>0</v>
      </c>
      <c r="H26" s="3">
        <f>_xlfn.XLOOKUP(H$1,generator!$B$2:$B$295,generator!$K$2:$K$295,"ARGH")</f>
        <v>0</v>
      </c>
      <c r="I26" s="3">
        <f>_xlfn.XLOOKUP(I$1,generator!$B$2:$B$295,generator!$K$2:$K$295,"ARGH")</f>
        <v>0</v>
      </c>
      <c r="J26" s="3">
        <f>_xlfn.XLOOKUP(J$1,generator!$B$2:$B$295,generator!$K$2:$K$295,"ARGH")</f>
        <v>0</v>
      </c>
      <c r="K26" s="3">
        <f>_xlfn.XLOOKUP(K$1,generator!$B$2:$B$295,generator!$K$2:$K$295,"ARGH")</f>
        <v>0</v>
      </c>
      <c r="L26" s="3">
        <f>_xlfn.XLOOKUP(L$1,generator!$B$2:$B$295,generator!$K$2:$K$295,"ARGH")</f>
        <v>0</v>
      </c>
      <c r="M26" s="3">
        <f>_xlfn.XLOOKUP(M$1,generator!$B$2:$B$295,generator!$K$2:$K$295,"ARGH")</f>
        <v>0</v>
      </c>
      <c r="N26" s="3">
        <f>_xlfn.XLOOKUP(N$1,generator!$B$2:$B$295,generator!$K$2:$K$295,"ARGH")</f>
        <v>0</v>
      </c>
      <c r="O26" s="3">
        <f>_xlfn.XLOOKUP(O$1,generator!$B$2:$B$295,generator!$K$2:$K$295,"ARGH")</f>
        <v>0</v>
      </c>
      <c r="P26" s="3">
        <f>_xlfn.XLOOKUP(P$1,generator!$B$2:$B$295,generator!$K$2:$K$295,"ARGH")</f>
        <v>0</v>
      </c>
      <c r="Q26" s="3">
        <f>_xlfn.XLOOKUP(Q$1,generator!$B$2:$B$295,generator!$K$2:$K$295,"ARGH")</f>
        <v>0</v>
      </c>
      <c r="R26" s="3">
        <f>_xlfn.XLOOKUP(R$1,generator!$B$2:$B$295,generator!$K$2:$K$295,"ARGH")</f>
        <v>0</v>
      </c>
      <c r="S26" s="3">
        <f>_xlfn.XLOOKUP(S$1,generator!$B$2:$B$295,generator!$K$2:$K$295,"ARGH")</f>
        <v>0</v>
      </c>
      <c r="T26" s="3">
        <f>_xlfn.XLOOKUP(T$1,generator!$B$2:$B$295,generator!$K$2:$K$295,"ARGH")</f>
        <v>0</v>
      </c>
      <c r="U26" s="3">
        <f>_xlfn.XLOOKUP(U$1,generator!$B$2:$B$295,generator!$K$2:$K$295,"ARGH")</f>
        <v>0</v>
      </c>
      <c r="V26" s="3">
        <f>_xlfn.XLOOKUP(V$1,generator!$B$2:$B$295,generator!$K$2:$K$295,"ARGH")</f>
        <v>0</v>
      </c>
      <c r="W26" s="3">
        <f>_xlfn.XLOOKUP(W$1,generator!$B$2:$B$295,generator!$K$2:$K$295,"ARGH")</f>
        <v>0</v>
      </c>
      <c r="X26" s="3">
        <f>_xlfn.XLOOKUP(X$1,generator!$B$2:$B$295,generator!$K$2:$K$295,"ARGH")</f>
        <v>0</v>
      </c>
      <c r="Y26" s="3">
        <f>_xlfn.XLOOKUP(Y$1,generator!$B$2:$B$295,generator!$K$2:$K$295,"ARGH")</f>
        <v>0</v>
      </c>
      <c r="Z26" s="3">
        <f>_xlfn.XLOOKUP(Z$1,generator!$B$2:$B$295,generator!$K$2:$K$295,"ARGH")</f>
        <v>0</v>
      </c>
      <c r="AA26" s="3">
        <f>_xlfn.XLOOKUP(AA$1,generator!$B$2:$B$295,generator!$K$2:$K$295,"ARGH")</f>
        <v>0</v>
      </c>
      <c r="AB26" s="3">
        <f>_xlfn.XLOOKUP(AB$1,generator!$B$2:$B$295,generator!$K$2:$K$295,"ARGH")</f>
        <v>0</v>
      </c>
      <c r="AC26" s="3">
        <f>_xlfn.XLOOKUP(AC$1,generator!$B$2:$B$295,generator!$K$2:$K$295,"ARGH")</f>
        <v>0</v>
      </c>
      <c r="AD26" s="3">
        <f>_xlfn.XLOOKUP(AD$1,generator!$B$2:$B$295,generator!$K$2:$K$295,"ARGH")</f>
        <v>0</v>
      </c>
      <c r="AE26" s="3">
        <f>_xlfn.XLOOKUP(AE$1,generator!$B$2:$B$295,generator!$K$2:$K$295,"ARGH")</f>
        <v>0</v>
      </c>
      <c r="AF26" s="3">
        <f>_xlfn.XLOOKUP(AF$1,generator!$B$2:$B$295,generator!$K$2:$K$295,"ARGH")</f>
        <v>0</v>
      </c>
      <c r="AG26" s="3">
        <f>_xlfn.XLOOKUP(AG$1,generator!$B$2:$B$295,generator!$K$2:$K$295,"ARGH")</f>
        <v>0</v>
      </c>
      <c r="AH26" s="3">
        <f>_xlfn.XLOOKUP(AH$1,generator!$B$2:$B$295,generator!$K$2:$K$295,"ARGH")</f>
        <v>0</v>
      </c>
      <c r="AI26" s="3">
        <f>_xlfn.XLOOKUP(AI$1,generator!$B$2:$B$295,generator!$K$2:$K$295,"ARGH")</f>
        <v>0</v>
      </c>
      <c r="AJ26" s="3">
        <f>_xlfn.XLOOKUP(AJ$1,generator!$B$2:$B$295,generator!$K$2:$K$295,"ARGH")</f>
        <v>0</v>
      </c>
      <c r="AK26" s="3">
        <f>_xlfn.XLOOKUP(AK$1,generator!$B$2:$B$295,generator!$K$2:$K$295,"ARGH")</f>
        <v>0</v>
      </c>
      <c r="AL26" s="3">
        <f>_xlfn.XLOOKUP(AL$1,generator!$B$2:$B$295,generator!$K$2:$K$295,"ARGH")</f>
        <v>0</v>
      </c>
      <c r="AM26" s="3">
        <f>_xlfn.XLOOKUP(AM$1,generator!$B$2:$B$295,generator!$K$2:$K$295,"ARGH")</f>
        <v>0</v>
      </c>
      <c r="AN26" s="3">
        <f>_xlfn.XLOOKUP(AN$1,generator!$B$2:$B$295,generator!$K$2:$K$295,"ARGH")</f>
        <v>0</v>
      </c>
      <c r="AO26" s="3">
        <f>_xlfn.XLOOKUP(AO$1,generator!$B$2:$B$295,generator!$K$2:$K$295,"ARGH")</f>
        <v>0</v>
      </c>
      <c r="AP26" s="3">
        <f>_xlfn.XLOOKUP(AP$1,generator!$B$2:$B$295,generator!$K$2:$K$295,"ARGH")</f>
        <v>0</v>
      </c>
      <c r="AQ26" s="3">
        <f>_xlfn.XLOOKUP(AQ$1,generator!$B$2:$B$295,generator!$K$2:$K$295,"ARGH")</f>
        <v>0</v>
      </c>
      <c r="AR26" s="3">
        <f>_xlfn.XLOOKUP(AR$1,generator!$B$2:$B$295,generator!$K$2:$K$295,"ARGH")</f>
        <v>0</v>
      </c>
      <c r="AS26" s="3">
        <f>_xlfn.XLOOKUP(AS$1,generator!$B$2:$B$295,generator!$K$2:$K$295,"ARGH")</f>
        <v>0</v>
      </c>
      <c r="AT26" s="3">
        <f>_xlfn.XLOOKUP(AT$1,generator!$B$2:$B$295,generator!$K$2:$K$295,"ARGH")</f>
        <v>0</v>
      </c>
      <c r="AU26" s="3">
        <f>_xlfn.XLOOKUP(AU$1,generator!$B$2:$B$295,generator!$K$2:$K$295,"ARGH")</f>
        <v>0</v>
      </c>
      <c r="AV26" s="3">
        <f>_xlfn.XLOOKUP(AV$1,generator!$B$2:$B$295,generator!$K$2:$K$295,"ARGH")</f>
        <v>0</v>
      </c>
      <c r="AW26" s="3">
        <f>_xlfn.XLOOKUP(AW$1,generator!$B$2:$B$295,generator!$K$2:$K$295,"ARGH")</f>
        <v>0</v>
      </c>
      <c r="AX26" s="3">
        <f>_xlfn.XLOOKUP(AX$1,generator!$B$2:$B$295,generator!$K$2:$K$295,"ARGH")</f>
        <v>0</v>
      </c>
      <c r="AY26" s="3">
        <f>_xlfn.XLOOKUP(AY$1,generator!$B$2:$B$295,generator!$K$2:$K$295,"ARGH")</f>
        <v>0</v>
      </c>
      <c r="AZ26" s="3">
        <f>_xlfn.XLOOKUP(AZ$1,generator!$B$2:$B$295,generator!$K$2:$K$295,"ARGH")</f>
        <v>0</v>
      </c>
      <c r="BA26" s="3">
        <f>_xlfn.XLOOKUP(BA$1,generator!$B$2:$B$295,generator!$K$2:$K$295,"ARGH")</f>
        <v>0</v>
      </c>
      <c r="BB26" s="3">
        <f>_xlfn.XLOOKUP(BB$1,generator!$B$2:$B$295,generator!$K$2:$K$295,"ARGH")</f>
        <v>0</v>
      </c>
      <c r="BC26" s="3">
        <f>_xlfn.XLOOKUP(BC$1,generator!$B$2:$B$295,generator!$K$2:$K$295,"ARGH")</f>
        <v>0</v>
      </c>
      <c r="BD26" s="3">
        <f>_xlfn.XLOOKUP(BD$1,generator!$B$2:$B$295,generator!$K$2:$K$295,"ARGH")</f>
        <v>0</v>
      </c>
      <c r="BE26" s="3">
        <f>_xlfn.XLOOKUP(BE$1,generator!$B$2:$B$295,generator!$K$2:$K$295,"ARGH")</f>
        <v>0</v>
      </c>
      <c r="BF26" s="3">
        <f>_xlfn.XLOOKUP(BF$1,generator!$B$2:$B$295,generator!$K$2:$K$295,"ARGH")</f>
        <v>0</v>
      </c>
      <c r="BG26" s="3">
        <f>_xlfn.XLOOKUP(BG$1,generator!$B$2:$B$295,generator!$K$2:$K$295,"ARGH")</f>
        <v>0</v>
      </c>
      <c r="BH26" s="3">
        <f>_xlfn.XLOOKUP(BH$1,generator!$B$2:$B$295,generator!$K$2:$K$295,"ARGH")</f>
        <v>0</v>
      </c>
      <c r="BI26" s="3">
        <f>_xlfn.XLOOKUP(BI$1,generator!$B$2:$B$295,generator!$K$2:$K$295,"ARGH")</f>
        <v>0</v>
      </c>
      <c r="BJ26" s="3">
        <f>_xlfn.XLOOKUP(BJ$1,generator!$B$2:$B$295,generator!$K$2:$K$295,"ARGH")</f>
        <v>0</v>
      </c>
      <c r="BK26" s="3">
        <f>_xlfn.XLOOKUP(BK$1,generator!$B$2:$B$295,generator!$K$2:$K$295,"ARGH")</f>
        <v>0</v>
      </c>
      <c r="BL26" s="3">
        <f>_xlfn.XLOOKUP(BL$1,generator!$B$2:$B$295,generator!$K$2:$K$295,"ARGH")</f>
        <v>0</v>
      </c>
      <c r="BM26" s="3">
        <f>_xlfn.XLOOKUP(BM$1,generator!$B$2:$B$295,generator!$K$2:$K$295,"ARGH")</f>
        <v>0</v>
      </c>
      <c r="BN26" s="3">
        <f>_xlfn.XLOOKUP(BN$1,generator!$B$2:$B$295,generator!$K$2:$K$295,"ARGH")</f>
        <v>0</v>
      </c>
      <c r="BO26" s="3">
        <f>_xlfn.XLOOKUP(BO$1,generator!$B$2:$B$295,generator!$K$2:$K$295,"ARGH")</f>
        <v>0</v>
      </c>
      <c r="BP26" s="3">
        <f>_xlfn.XLOOKUP(BP$1,generator!$B$2:$B$295,generator!$K$2:$K$295,"ARGH")</f>
        <v>0</v>
      </c>
      <c r="BQ26" s="3">
        <f>_xlfn.XLOOKUP(BQ$1,generator!$B$2:$B$295,generator!$K$2:$K$295,"ARGH")</f>
        <v>0</v>
      </c>
      <c r="BR26" s="3">
        <f>_xlfn.XLOOKUP(BR$1,generator!$B$2:$B$295,generator!$K$2:$K$295,"ARGH")</f>
        <v>0</v>
      </c>
      <c r="BS26" s="3">
        <f>_xlfn.XLOOKUP(BS$1,generator!$B$2:$B$295,generator!$K$2:$K$295,"ARGH")</f>
        <v>0</v>
      </c>
      <c r="BT26" s="3">
        <f>_xlfn.XLOOKUP(BT$1,generator!$B$2:$B$295,generator!$K$2:$K$295,"ARGH")</f>
        <v>0</v>
      </c>
      <c r="BU26" s="3">
        <f>_xlfn.XLOOKUP(BU$1,generator!$B$2:$B$295,generator!$K$2:$K$295,"ARGH")</f>
        <v>0</v>
      </c>
      <c r="BV26" s="3">
        <f>_xlfn.XLOOKUP(BV$1,generator!$B$2:$B$295,generator!$K$2:$K$295,"ARGH")</f>
        <v>0</v>
      </c>
      <c r="BW26" s="3">
        <f>_xlfn.XLOOKUP(BW$1,generator!$B$2:$B$295,generator!$K$2:$K$295,"ARGH")</f>
        <v>0</v>
      </c>
      <c r="BX26" s="3">
        <f>_xlfn.XLOOKUP(BX$1,generator!$B$2:$B$295,generator!$K$2:$K$295,"ARGH")</f>
        <v>0</v>
      </c>
      <c r="BY26" s="3">
        <f>_xlfn.XLOOKUP(BY$1,generator!$B$2:$B$295,generator!$K$2:$K$295,"ARGH")</f>
        <v>0</v>
      </c>
      <c r="BZ26" s="3">
        <f>_xlfn.XLOOKUP(BZ$1,generator!$B$2:$B$295,generator!$K$2:$K$295,"ARGH")</f>
        <v>0</v>
      </c>
      <c r="CA26" s="3">
        <f>_xlfn.XLOOKUP(CA$1,generator!$B$2:$B$295,generator!$K$2:$K$295,"ARGH")</f>
        <v>0</v>
      </c>
      <c r="CB26" s="3">
        <f>_xlfn.XLOOKUP(CB$1,generator!$B$2:$B$295,generator!$K$2:$K$295,"ARGH")</f>
        <v>0</v>
      </c>
      <c r="CC26" s="3">
        <f>_xlfn.XLOOKUP(CC$1,generator!$B$2:$B$295,generator!$K$2:$K$295,"ARGH")</f>
        <v>0</v>
      </c>
      <c r="CD26" s="3">
        <f>_xlfn.XLOOKUP(CD$1,generator!$B$2:$B$295,generator!$K$2:$K$295,"ARGH")</f>
        <v>0</v>
      </c>
      <c r="CE26" s="3">
        <f>_xlfn.XLOOKUP(CE$1,generator!$B$2:$B$295,generator!$K$2:$K$295,"ARGH")</f>
        <v>0</v>
      </c>
      <c r="CF26" s="3">
        <f>_xlfn.XLOOKUP(CF$1,generator!$B$2:$B$295,generator!$K$2:$K$295,"ARGH")</f>
        <v>0</v>
      </c>
      <c r="CG26" s="3">
        <f>_xlfn.XLOOKUP(CG$1,generator!$B$2:$B$295,generator!$K$2:$K$295,"ARGH")</f>
        <v>0</v>
      </c>
      <c r="CH26" s="3">
        <f>_xlfn.XLOOKUP(CH$1,generator!$B$2:$B$295,generator!$K$2:$K$295,"ARGH")</f>
        <v>0</v>
      </c>
      <c r="CI26" s="3">
        <f>_xlfn.XLOOKUP(CI$1,generator!$B$2:$B$295,generator!$K$2:$K$295,"ARGH")</f>
        <v>0</v>
      </c>
      <c r="CJ26" s="3">
        <f>_xlfn.XLOOKUP(CJ$1,generator!$B$2:$B$295,generator!$K$2:$K$295,"ARGH")</f>
        <v>0</v>
      </c>
      <c r="CK26" s="3">
        <f>_xlfn.XLOOKUP(CK$1,generator!$B$2:$B$295,generator!$K$2:$K$295,"ARGH")</f>
        <v>0</v>
      </c>
      <c r="CL26" s="3">
        <f>_xlfn.XLOOKUP(CL$1,generator!$B$2:$B$295,generator!$K$2:$K$295,"ARGH")</f>
        <v>0</v>
      </c>
      <c r="CM26" s="3">
        <f>_xlfn.XLOOKUP(CM$1,generator!$B$2:$B$295,generator!$K$2:$K$295,"ARGH")</f>
        <v>0</v>
      </c>
      <c r="CN26" s="3">
        <f>_xlfn.XLOOKUP(CN$1,generator!$B$2:$B$295,generator!$K$2:$K$295,"ARGH")</f>
        <v>0</v>
      </c>
      <c r="CO26" s="3">
        <f>_xlfn.XLOOKUP(CO$1,generator!$B$2:$B$295,generator!$K$2:$K$295,"ARGH")</f>
        <v>0</v>
      </c>
      <c r="CP26" s="3">
        <f>_xlfn.XLOOKUP(CP$1,generator!$B$2:$B$295,generator!$K$2:$K$295,"ARGH")</f>
        <v>0</v>
      </c>
      <c r="CQ26" s="3">
        <f>_xlfn.XLOOKUP(CQ$1,generator!$B$2:$B$295,generator!$K$2:$K$295,"ARGH")</f>
        <v>0</v>
      </c>
      <c r="CR26" s="3">
        <f>_xlfn.XLOOKUP(CR$1,generator!$B$2:$B$295,generator!$K$2:$K$295,"ARGH")</f>
        <v>0</v>
      </c>
      <c r="CS26" s="3">
        <f>_xlfn.XLOOKUP(CS$1,generator!$B$2:$B$295,generator!$K$2:$K$295,"ARGH")</f>
        <v>0</v>
      </c>
      <c r="CT26" s="3">
        <f>_xlfn.XLOOKUP(CT$1,generator!$B$2:$B$295,generator!$K$2:$K$295,"ARGH")</f>
        <v>0</v>
      </c>
      <c r="CU26" s="3">
        <f>_xlfn.XLOOKUP(CU$1,generator!$B$2:$B$295,generator!$K$2:$K$295,"ARGH")</f>
        <v>0</v>
      </c>
      <c r="CV26" s="3">
        <f>_xlfn.XLOOKUP(CV$1,generator!$B$2:$B$295,generator!$K$2:$K$295,"ARGH")</f>
        <v>0</v>
      </c>
      <c r="CW26" s="3">
        <f>_xlfn.XLOOKUP(CW$1,generator!$B$2:$B$295,generator!$K$2:$K$295,"ARGH")</f>
        <v>0</v>
      </c>
      <c r="CX26" s="3">
        <f>_xlfn.XLOOKUP(CX$1,generator!$B$2:$B$295,generator!$K$2:$K$295,"ARGH")</f>
        <v>0</v>
      </c>
      <c r="CY26" s="3">
        <f>_xlfn.XLOOKUP(CY$1,generator!$B$2:$B$295,generator!$K$2:$K$295,"ARGH")</f>
        <v>0</v>
      </c>
      <c r="CZ26" s="3">
        <f>_xlfn.XLOOKUP(CZ$1,generator!$B$2:$B$295,generator!$K$2:$K$295,"ARGH")</f>
        <v>0</v>
      </c>
      <c r="DA26" s="3">
        <f>_xlfn.XLOOKUP(DA$1,generator!$B$2:$B$295,generator!$K$2:$K$295,"ARGH")</f>
        <v>0</v>
      </c>
      <c r="DB26" s="3">
        <f>_xlfn.XLOOKUP(DB$1,generator!$B$2:$B$295,generator!$K$2:$K$295,"ARGH")</f>
        <v>0</v>
      </c>
      <c r="DC26" s="3">
        <f>_xlfn.XLOOKUP(DC$1,generator!$B$2:$B$295,generator!$K$2:$K$295,"ARGH")</f>
        <v>0</v>
      </c>
      <c r="DD26" s="3">
        <f>_xlfn.XLOOKUP(DD$1,generator!$B$2:$B$295,generator!$K$2:$K$295,"ARGH")</f>
        <v>0</v>
      </c>
      <c r="DE26" s="3">
        <f>_xlfn.XLOOKUP(DE$1,generator!$B$2:$B$295,generator!$K$2:$K$295,"ARGH")</f>
        <v>0</v>
      </c>
      <c r="DF26" s="3">
        <f>_xlfn.XLOOKUP(DF$1,generator!$B$2:$B$295,generator!$K$2:$K$295,"ARGH")</f>
        <v>0</v>
      </c>
      <c r="DG26" s="3">
        <f>_xlfn.XLOOKUP(DG$1,generator!$B$2:$B$295,generator!$K$2:$K$295,"ARGH")</f>
        <v>0</v>
      </c>
      <c r="DH26" s="3">
        <f>_xlfn.XLOOKUP(DH$1,generator!$B$2:$B$295,generator!$K$2:$K$295,"ARGH")</f>
        <v>0</v>
      </c>
      <c r="DI26" s="3">
        <f>_xlfn.XLOOKUP(DI$1,generator!$B$2:$B$295,generator!$K$2:$K$295,"ARGH")</f>
        <v>0</v>
      </c>
      <c r="DJ26" s="3">
        <f>_xlfn.XLOOKUP(DJ$1,generator!$B$2:$B$295,generator!$K$2:$K$295,"ARGH")</f>
        <v>0</v>
      </c>
      <c r="DK26" s="3">
        <f>_xlfn.XLOOKUP(DK$1,generator!$B$2:$B$295,generator!$K$2:$K$295,"ARGH")</f>
        <v>0</v>
      </c>
      <c r="DL26" s="3">
        <f>_xlfn.XLOOKUP(DL$1,generator!$B$2:$B$295,generator!$K$2:$K$295,"ARGH")</f>
        <v>0</v>
      </c>
      <c r="DM26" s="3">
        <f>_xlfn.XLOOKUP(DM$1,generator!$B$2:$B$295,generator!$K$2:$K$295,"ARGH")</f>
        <v>0</v>
      </c>
      <c r="DN26" s="3">
        <f>_xlfn.XLOOKUP(DN$1,generator!$B$2:$B$295,generator!$K$2:$K$295,"ARGH")</f>
        <v>0</v>
      </c>
      <c r="DO26" s="3">
        <f>_xlfn.XLOOKUP(DO$1,generator!$B$2:$B$295,generator!$K$2:$K$295,"ARGH")</f>
        <v>0</v>
      </c>
      <c r="DP26" s="3">
        <f>_xlfn.XLOOKUP(DP$1,generator!$B$2:$B$295,generator!$K$2:$K$295,"ARGH")</f>
        <v>0</v>
      </c>
      <c r="DQ26" s="3">
        <f>_xlfn.XLOOKUP(DQ$1,generator!$B$2:$B$295,generator!$K$2:$K$295,"ARGH")</f>
        <v>0</v>
      </c>
      <c r="DR26" s="3">
        <f>_xlfn.XLOOKUP(DR$1,generator!$B$2:$B$295,generator!$K$2:$K$295,"ARGH")</f>
        <v>0</v>
      </c>
      <c r="DS26" s="3">
        <f>_xlfn.XLOOKUP(DS$1,generator!$B$2:$B$295,generator!$K$2:$K$295,"ARGH")</f>
        <v>0</v>
      </c>
      <c r="DT26" s="3">
        <f>_xlfn.XLOOKUP(DT$1,generator!$B$2:$B$295,generator!$K$2:$K$295,"ARGH")</f>
        <v>0</v>
      </c>
      <c r="DU26" s="3">
        <f>_xlfn.XLOOKUP(DU$1,generator!$B$2:$B$295,generator!$K$2:$K$295,"ARGH")</f>
        <v>0</v>
      </c>
      <c r="DV26" s="3">
        <f>_xlfn.XLOOKUP(DV$1,generator!$B$2:$B$295,generator!$K$2:$K$295,"ARGH")</f>
        <v>0</v>
      </c>
      <c r="DW26" s="3">
        <f>_xlfn.XLOOKUP(DW$1,generator!$B$2:$B$295,generator!$K$2:$K$295,"ARGH")</f>
        <v>0</v>
      </c>
      <c r="DX26" s="3">
        <f>_xlfn.XLOOKUP(DX$1,generator!$B$2:$B$295,generator!$K$2:$K$295,"ARGH")</f>
        <v>0</v>
      </c>
      <c r="DY26" s="3">
        <f>_xlfn.XLOOKUP(DY$1,generator!$B$2:$B$295,generator!$K$2:$K$295,"ARGH")</f>
        <v>0</v>
      </c>
      <c r="DZ26" s="3">
        <f>_xlfn.XLOOKUP(DZ$1,generator!$B$2:$B$295,generator!$K$2:$K$295,"ARGH")</f>
        <v>0</v>
      </c>
      <c r="EA26" s="3">
        <f>_xlfn.XLOOKUP(EA$1,generator!$B$2:$B$295,generator!$K$2:$K$295,"ARGH")</f>
        <v>0</v>
      </c>
      <c r="EB26" s="3">
        <f>_xlfn.XLOOKUP(EB$1,generator!$B$2:$B$295,generator!$K$2:$K$295,"ARGH")</f>
        <v>0</v>
      </c>
      <c r="EC26" s="3">
        <f>_xlfn.XLOOKUP(EC$1,generator!$B$2:$B$295,generator!$K$2:$K$295,"ARGH")</f>
        <v>0</v>
      </c>
      <c r="ED26" s="3">
        <f>_xlfn.XLOOKUP(ED$1,generator!$B$2:$B$295,generator!$K$2:$K$295,"ARGH")</f>
        <v>0</v>
      </c>
      <c r="EE26" s="3">
        <f>_xlfn.XLOOKUP(EE$1,generator!$B$2:$B$295,generator!$K$2:$K$295,"ARGH")</f>
        <v>0</v>
      </c>
      <c r="EF26" s="3">
        <f>_xlfn.XLOOKUP(EF$1,generator!$B$2:$B$295,generator!$K$2:$K$295,"ARGH")</f>
        <v>0</v>
      </c>
      <c r="EG26" s="3">
        <f>_xlfn.XLOOKUP(EG$1,generator!$B$2:$B$295,generator!$K$2:$K$295,"ARGH")</f>
        <v>0</v>
      </c>
      <c r="EH26" s="3">
        <f>_xlfn.XLOOKUP(EH$1,generator!$B$2:$B$295,generator!$K$2:$K$295,"ARGH")</f>
        <v>0</v>
      </c>
      <c r="EI26" s="3">
        <f>_xlfn.XLOOKUP(EI$1,generator!$B$2:$B$295,generator!$K$2:$K$295,"ARGH")</f>
        <v>0</v>
      </c>
      <c r="EJ26" s="3">
        <f>_xlfn.XLOOKUP(EJ$1,generator!$B$2:$B$295,generator!$K$2:$K$295,"ARGH")</f>
        <v>0</v>
      </c>
      <c r="EK26" s="3">
        <f>_xlfn.XLOOKUP(EK$1,generator!$B$2:$B$295,generator!$K$2:$K$295,"ARGH")</f>
        <v>0</v>
      </c>
      <c r="EL26" s="3">
        <f>_xlfn.XLOOKUP(EL$1,generator!$B$2:$B$295,generator!$K$2:$K$295,"ARGH")</f>
        <v>0</v>
      </c>
      <c r="EM26" s="3">
        <f>_xlfn.XLOOKUP(EM$1,generator!$B$2:$B$295,generator!$K$2:$K$295,"ARGH")</f>
        <v>0</v>
      </c>
      <c r="EN26" s="3">
        <f>_xlfn.XLOOKUP(EN$1,generator!$B$2:$B$295,generator!$K$2:$K$295,"ARGH")</f>
        <v>0</v>
      </c>
      <c r="EO26" s="3">
        <f>_xlfn.XLOOKUP(EO$1,generator!$B$2:$B$295,generator!$K$2:$K$295,"ARGH")</f>
        <v>0</v>
      </c>
      <c r="EP26" s="3">
        <f>_xlfn.XLOOKUP(EP$1,generator!$B$2:$B$295,generator!$K$2:$K$295,"ARGH")</f>
        <v>0</v>
      </c>
      <c r="EQ26" s="3">
        <f>_xlfn.XLOOKUP(EQ$1,generator!$B$2:$B$295,generator!$K$2:$K$295,"ARGH")</f>
        <v>0</v>
      </c>
      <c r="ER26" s="3">
        <f>_xlfn.XLOOKUP(ER$1,generator!$B$2:$B$295,generator!$K$2:$K$295,"ARGH")</f>
        <v>0</v>
      </c>
      <c r="ES26" s="3">
        <f>_xlfn.XLOOKUP(ES$1,generator!$B$2:$B$295,generator!$K$2:$K$295,"ARGH")</f>
        <v>0</v>
      </c>
      <c r="ET26" s="3">
        <f>_xlfn.XLOOKUP(ET$1,generator!$B$2:$B$295,generator!$K$2:$K$295,"ARGH")</f>
        <v>0</v>
      </c>
      <c r="EU26" s="3">
        <f>_xlfn.XLOOKUP(EU$1,generator!$B$2:$B$295,generator!$K$2:$K$295,"ARGH")</f>
        <v>0</v>
      </c>
      <c r="EV26" s="3">
        <f>_xlfn.XLOOKUP(EV$1,generator!$B$2:$B$295,generator!$K$2:$K$295,"ARGH")</f>
        <v>0</v>
      </c>
      <c r="EW26" s="3">
        <f>_xlfn.XLOOKUP(EW$1,generator!$B$2:$B$295,generator!$K$2:$K$295,"ARGH")</f>
        <v>0</v>
      </c>
      <c r="EX26" s="3">
        <f>_xlfn.XLOOKUP(EX$1,generator!$B$2:$B$295,generator!$K$2:$K$295,"ARGH")</f>
        <v>0</v>
      </c>
      <c r="EY26" s="3">
        <f>_xlfn.XLOOKUP(EY$1,generator!$B$2:$B$295,generator!$K$2:$K$295,"ARGH")</f>
        <v>0</v>
      </c>
      <c r="EZ26" s="3">
        <f>_xlfn.XLOOKUP(EZ$1,generator!$B$2:$B$295,generator!$K$2:$K$295,"ARGH")</f>
        <v>0</v>
      </c>
      <c r="FA26" s="3">
        <f>_xlfn.XLOOKUP(FA$1,generator!$B$2:$B$295,generator!$K$2:$K$295,"ARGH")</f>
        <v>0</v>
      </c>
      <c r="FB26" s="3">
        <f>_xlfn.XLOOKUP(FB$1,generator!$B$2:$B$295,generator!$K$2:$K$295,"ARGH")</f>
        <v>0</v>
      </c>
      <c r="FC26" s="3">
        <f>_xlfn.XLOOKUP(FC$1,generator!$B$2:$B$295,generator!$K$2:$K$295,"ARGH")</f>
        <v>0</v>
      </c>
      <c r="FD26" s="3">
        <f>_xlfn.XLOOKUP(FD$1,generator!$B$2:$B$295,generator!$K$2:$K$295,"ARGH")</f>
        <v>0</v>
      </c>
      <c r="FE26" s="3">
        <f>_xlfn.XLOOKUP(FE$1,generator!$B$2:$B$295,generator!$K$2:$K$295,"ARGH")</f>
        <v>0</v>
      </c>
      <c r="FF26" s="3">
        <f>_xlfn.XLOOKUP(FF$1,generator!$B$2:$B$295,generator!$K$2:$K$295,"ARGH")</f>
        <v>0</v>
      </c>
      <c r="FG26" s="3">
        <f>_xlfn.XLOOKUP(FG$1,generator!$B$2:$B$295,generator!$K$2:$K$295,"ARGH")</f>
        <v>0</v>
      </c>
      <c r="FH26" s="3">
        <f>_xlfn.XLOOKUP(FH$1,generator!$B$2:$B$295,generator!$K$2:$K$295,"ARGH")</f>
        <v>0</v>
      </c>
      <c r="FI26" s="3">
        <f>_xlfn.XLOOKUP(FI$1,generator!$B$2:$B$295,generator!$K$2:$K$295,"ARGH")</f>
        <v>0</v>
      </c>
      <c r="FJ26" s="3">
        <f>_xlfn.XLOOKUP(FJ$1,generator!$B$2:$B$295,generator!$K$2:$K$295,"ARGH")</f>
        <v>0</v>
      </c>
      <c r="FK26" s="3">
        <f>_xlfn.XLOOKUP(FK$1,generator!$B$2:$B$295,generator!$K$2:$K$295,"ARGH")</f>
        <v>0</v>
      </c>
      <c r="FL26" s="3">
        <f>_xlfn.XLOOKUP(FL$1,generator!$B$2:$B$295,generator!$K$2:$K$295,"ARGH")</f>
        <v>0</v>
      </c>
      <c r="FM26" s="3">
        <f>_xlfn.XLOOKUP(FM$1,generator!$B$2:$B$295,generator!$K$2:$K$295,"ARGH")</f>
        <v>0</v>
      </c>
      <c r="FN26" s="3">
        <f>_xlfn.XLOOKUP(FN$1,generator!$B$2:$B$295,generator!$K$2:$K$295,"ARGH")</f>
        <v>0</v>
      </c>
      <c r="FO26" s="3">
        <f>_xlfn.XLOOKUP(FO$1,generator!$B$2:$B$295,generator!$K$2:$K$295,"ARGH")</f>
        <v>0</v>
      </c>
      <c r="FP26" s="3">
        <f>_xlfn.XLOOKUP(FP$1,generator!$B$2:$B$295,generator!$K$2:$K$295,"ARGH")</f>
        <v>0</v>
      </c>
      <c r="FQ26" s="3">
        <f>_xlfn.XLOOKUP(FQ$1,generator!$B$2:$B$295,generator!$K$2:$K$295,"ARGH")</f>
        <v>0</v>
      </c>
      <c r="FR26" s="3">
        <f>_xlfn.XLOOKUP(FR$1,generator!$B$2:$B$295,generator!$K$2:$K$295,"ARGH")</f>
        <v>0</v>
      </c>
      <c r="FS26" s="3">
        <f>_xlfn.XLOOKUP(FS$1,generator!$B$2:$B$295,generator!$K$2:$K$295,"ARGH")</f>
        <v>0</v>
      </c>
      <c r="FT26" s="3">
        <f>_xlfn.XLOOKUP(FT$1,generator!$B$2:$B$295,generator!$K$2:$K$295,"ARGH")</f>
        <v>0</v>
      </c>
      <c r="FU26" s="3">
        <f>_xlfn.XLOOKUP(FU$1,generator!$B$2:$B$295,generator!$K$2:$K$295,"ARGH")</f>
        <v>0</v>
      </c>
      <c r="FV26" s="3">
        <f>_xlfn.XLOOKUP(FV$1,generator!$B$2:$B$295,generator!$K$2:$K$295,"ARGH")</f>
        <v>0</v>
      </c>
      <c r="FW26" s="3">
        <f>_xlfn.XLOOKUP(FW$1,generator!$B$2:$B$295,generator!$K$2:$K$295,"ARGH")</f>
        <v>0</v>
      </c>
      <c r="FX26" s="3">
        <f>_xlfn.XLOOKUP(FX$1,generator!$B$2:$B$295,generator!$K$2:$K$295,"ARGH")</f>
        <v>0</v>
      </c>
      <c r="FY26" s="3">
        <f>_xlfn.XLOOKUP(FY$1,generator!$B$2:$B$295,generator!$K$2:$K$295,"ARGH")</f>
        <v>0</v>
      </c>
      <c r="FZ26" s="3">
        <f>_xlfn.XLOOKUP(FZ$1,generator!$B$2:$B$295,generator!$K$2:$K$295,"ARGH")</f>
        <v>0</v>
      </c>
      <c r="GA26" s="3">
        <f>_xlfn.XLOOKUP(GA$1,generator!$B$2:$B$295,generator!$K$2:$K$295,"ARGH")</f>
        <v>0</v>
      </c>
      <c r="GB26" s="3">
        <f>_xlfn.XLOOKUP(GB$1,generator!$B$2:$B$295,generator!$K$2:$K$295,"ARGH")</f>
        <v>0</v>
      </c>
      <c r="GC26" s="3">
        <f>_xlfn.XLOOKUP(GC$1,generator!$B$2:$B$295,generator!$K$2:$K$295,"ARGH")</f>
        <v>0</v>
      </c>
      <c r="GD26" s="3">
        <f>_xlfn.XLOOKUP(GD$1,generator!$B$2:$B$295,generator!$K$2:$K$295,"ARGH")</f>
        <v>0</v>
      </c>
      <c r="GE26" s="3">
        <f>_xlfn.XLOOKUP(GE$1,generator!$B$2:$B$295,generator!$K$2:$K$295,"ARGH")</f>
        <v>0</v>
      </c>
      <c r="GF26" s="3">
        <f>_xlfn.XLOOKUP(GF$1,generator!$B$2:$B$295,generator!$K$2:$K$295,"ARGH")</f>
        <v>0</v>
      </c>
      <c r="GG26" s="3">
        <f>_xlfn.XLOOKUP(GG$1,generator!$B$2:$B$295,generator!$K$2:$K$295,"ARGH")</f>
        <v>0</v>
      </c>
      <c r="GH26" s="3">
        <f>_xlfn.XLOOKUP(GH$1,generator!$B$2:$B$295,generator!$K$2:$K$295,"ARGH")</f>
        <v>0</v>
      </c>
      <c r="GI26" s="3">
        <f>_xlfn.XLOOKUP(GI$1,generator!$B$2:$B$295,generator!$K$2:$K$295,"ARGH")</f>
        <v>0</v>
      </c>
      <c r="GJ26" s="3">
        <f>_xlfn.XLOOKUP(GJ$1,generator!$B$2:$B$295,generator!$K$2:$K$295,"ARGH")</f>
        <v>0</v>
      </c>
      <c r="GK26" s="3">
        <f>_xlfn.XLOOKUP(GK$1,generator!$B$2:$B$295,generator!$K$2:$K$295,"ARGH")</f>
        <v>0</v>
      </c>
      <c r="GL26" s="3">
        <f>_xlfn.XLOOKUP(GL$1,generator!$B$2:$B$295,generator!$K$2:$K$295,"ARGH")</f>
        <v>0</v>
      </c>
      <c r="GM26" s="3">
        <f>_xlfn.XLOOKUP(GM$1,generator!$B$2:$B$295,generator!$K$2:$K$295,"ARGH")</f>
        <v>0</v>
      </c>
      <c r="GN26" s="3">
        <f>_xlfn.XLOOKUP(GN$1,generator!$B$2:$B$295,generator!$K$2:$K$295,"ARGH")</f>
        <v>0</v>
      </c>
      <c r="GO26" s="3">
        <f>_xlfn.XLOOKUP(GO$1,generator!$B$2:$B$295,generator!$K$2:$K$295,"ARGH")</f>
        <v>0</v>
      </c>
      <c r="GP26" s="3">
        <f>_xlfn.XLOOKUP(GP$1,generator!$B$2:$B$295,generator!$K$2:$K$295,"ARGH")</f>
        <v>0</v>
      </c>
      <c r="GQ26" s="3">
        <f>_xlfn.XLOOKUP(GQ$1,generator!$B$2:$B$295,generator!$K$2:$K$295,"ARGH")</f>
        <v>0</v>
      </c>
      <c r="GR26" s="3">
        <f>_xlfn.XLOOKUP(GR$1,generator!$B$2:$B$295,generator!$K$2:$K$295,"ARGH")</f>
        <v>0</v>
      </c>
      <c r="GS26" s="3">
        <f>_xlfn.XLOOKUP(GS$1,generator!$B$2:$B$295,generator!$K$2:$K$295,"ARGH")</f>
        <v>0</v>
      </c>
      <c r="GT26" s="3">
        <f>_xlfn.XLOOKUP(GT$1,generator!$B$2:$B$295,generator!$K$2:$K$295,"ARGH")</f>
        <v>0</v>
      </c>
      <c r="GU26" s="3">
        <f>_xlfn.XLOOKUP(GU$1,generator!$B$2:$B$295,generator!$K$2:$K$295,"ARGH")</f>
        <v>0</v>
      </c>
      <c r="GV26" s="3">
        <f>_xlfn.XLOOKUP(GV$1,generator!$B$2:$B$295,generator!$K$2:$K$295,"ARGH")</f>
        <v>0</v>
      </c>
      <c r="GW26" s="3">
        <f>_xlfn.XLOOKUP(GW$1,generator!$B$2:$B$295,generator!$K$2:$K$295,"ARGH")</f>
        <v>0</v>
      </c>
      <c r="GX26" s="3">
        <f>_xlfn.XLOOKUP(GX$1,generator!$B$2:$B$295,generator!$K$2:$K$295,"ARGH")</f>
        <v>0</v>
      </c>
      <c r="GY26" s="3">
        <f>_xlfn.XLOOKUP(GY$1,generator!$B$2:$B$295,generator!$K$2:$K$295,"ARGH")</f>
        <v>0</v>
      </c>
      <c r="GZ26" s="3">
        <f>_xlfn.XLOOKUP(GZ$1,generator!$B$2:$B$295,generator!$K$2:$K$295,"ARGH")</f>
        <v>0</v>
      </c>
      <c r="HA26" s="3">
        <f>_xlfn.XLOOKUP(HA$1,generator!$B$2:$B$295,generator!$K$2:$K$295,"ARGH")</f>
        <v>0</v>
      </c>
      <c r="HB26" s="3">
        <f>_xlfn.XLOOKUP(HB$1,generator!$B$2:$B$295,generator!$K$2:$K$295,"ARGH")</f>
        <v>0</v>
      </c>
      <c r="HC26" s="3">
        <f>_xlfn.XLOOKUP(HC$1,generator!$B$2:$B$295,generator!$K$2:$K$295,"ARGH")</f>
        <v>0</v>
      </c>
      <c r="HD26" s="3">
        <f>_xlfn.XLOOKUP(HD$1,generator!$B$2:$B$295,generator!$K$2:$K$295,"ARGH")</f>
        <v>0</v>
      </c>
      <c r="HE26" s="3">
        <f>_xlfn.XLOOKUP(HE$1,generator!$B$2:$B$295,generator!$K$2:$K$295,"ARGH")</f>
        <v>12.74</v>
      </c>
      <c r="HF26" s="3">
        <f>_xlfn.XLOOKUP(HF$1,generator!$B$2:$B$295,generator!$K$2:$K$295,"ARGH")</f>
        <v>99</v>
      </c>
      <c r="HG26" s="3">
        <f>_xlfn.XLOOKUP(HG$1,generator!$B$2:$B$295,generator!$K$2:$K$295,"ARGH")</f>
        <v>99</v>
      </c>
      <c r="HH26" s="3">
        <f>_xlfn.XLOOKUP(HH$1,generator!$B$2:$B$295,generator!$K$2:$K$295,"ARGH")</f>
        <v>99</v>
      </c>
      <c r="HI26" s="3">
        <f>_xlfn.XLOOKUP(HI$1,generator!$B$2:$B$295,generator!$K$2:$K$295,"ARGH")</f>
        <v>8</v>
      </c>
      <c r="HJ26" s="3">
        <f>_xlfn.XLOOKUP(HJ$1,generator!$B$2:$B$295,generator!$K$2:$K$295,"ARGH")</f>
        <v>8</v>
      </c>
      <c r="HK26" s="3">
        <f>_xlfn.XLOOKUP(HK$1,generator!$B$2:$B$295,generator!$K$2:$K$295,"ARGH")</f>
        <v>8</v>
      </c>
      <c r="HL26" s="3">
        <f>_xlfn.XLOOKUP(HL$1,generator!$B$2:$B$295,generator!$K$2:$K$295,"ARGH")</f>
        <v>20</v>
      </c>
      <c r="HM26" s="3">
        <f>_xlfn.XLOOKUP(HM$1,generator!$B$2:$B$295,generator!$K$2:$K$295,"ARGH")</f>
        <v>20</v>
      </c>
      <c r="HN26" s="3">
        <f>_xlfn.XLOOKUP(HN$1,generator!$B$2:$B$295,generator!$K$2:$K$295,"ARGH")</f>
        <v>5</v>
      </c>
      <c r="HO26" s="3">
        <f>_xlfn.XLOOKUP(HO$1,generator!$B$2:$B$295,generator!$K$2:$K$295,"ARGH")</f>
        <v>5</v>
      </c>
      <c r="HP26" s="3">
        <f>_xlfn.XLOOKUP(HP$1,generator!$B$2:$B$295,generator!$K$2:$K$295,"ARGH")</f>
        <v>0.2</v>
      </c>
      <c r="HQ26" s="3">
        <f>_xlfn.XLOOKUP(HQ$1,generator!$B$2:$B$295,generator!$K$2:$K$295,"ARGH")</f>
        <v>5</v>
      </c>
      <c r="HR26" s="3">
        <f>_xlfn.XLOOKUP(HR$1,generator!$B$2:$B$295,generator!$K$2:$K$295,"ARGH")</f>
        <v>5</v>
      </c>
      <c r="HS26" s="3">
        <f>_xlfn.XLOOKUP(HS$1,generator!$B$2:$B$295,generator!$K$2:$K$295,"ARGH")</f>
        <v>12.82</v>
      </c>
      <c r="HT26" s="3">
        <f>_xlfn.XLOOKUP(HT$1,generator!$B$2:$B$295,generator!$K$2:$K$295,"ARGH")</f>
        <v>12.82</v>
      </c>
      <c r="HU26" s="3">
        <f>_xlfn.XLOOKUP(HU$1,generator!$B$2:$B$295,generator!$K$2:$K$295,"ARGH")</f>
        <v>25</v>
      </c>
      <c r="HV26" s="3">
        <f>_xlfn.XLOOKUP(HV$1,generator!$B$2:$B$295,generator!$K$2:$K$295,"ARGH")</f>
        <v>16</v>
      </c>
      <c r="HW26" s="3">
        <f>_xlfn.XLOOKUP(HW$1,generator!$B$2:$B$295,generator!$K$2:$K$295,"ARGH")</f>
        <v>5</v>
      </c>
      <c r="HX26" s="3">
        <f>_xlfn.XLOOKUP(HX$1,generator!$B$2:$B$295,generator!$K$2:$K$295,"ARGH")</f>
        <v>5</v>
      </c>
      <c r="HY26" s="3">
        <f>_xlfn.XLOOKUP(HY$1,generator!$B$2:$B$295,generator!$K$2:$K$295,"ARGH")</f>
        <v>63</v>
      </c>
      <c r="HZ26" s="3">
        <f>_xlfn.XLOOKUP(HZ$1,generator!$B$2:$B$295,generator!$K$2:$K$295,"ARGH")</f>
        <v>18</v>
      </c>
      <c r="IA26" s="3">
        <f>_xlfn.XLOOKUP(IA$1,generator!$B$2:$B$295,generator!$K$2:$K$295,"ARGH")</f>
        <v>121</v>
      </c>
      <c r="IB26" s="3">
        <f>_xlfn.XLOOKUP(IB$1,generator!$B$2:$B$295,generator!$K$2:$K$295,"ARGH")</f>
        <v>120</v>
      </c>
      <c r="IC26" s="3">
        <f>_xlfn.XLOOKUP(IC$1,generator!$B$2:$B$295,generator!$K$2:$K$295,"ARGH")</f>
        <v>0</v>
      </c>
      <c r="ID26" s="3">
        <f>_xlfn.XLOOKUP(ID$1,generator!$B$2:$B$295,generator!$K$2:$K$295,"ARGH")</f>
        <v>17</v>
      </c>
      <c r="IE26" s="3">
        <f>_xlfn.XLOOKUP(IE$1,generator!$B$2:$B$295,generator!$K$2:$K$295,"ARGH")</f>
        <v>194</v>
      </c>
      <c r="IF26" s="3">
        <f>_xlfn.XLOOKUP(IF$1,generator!$B$2:$B$295,generator!$K$2:$K$295,"ARGH")</f>
        <v>11.9</v>
      </c>
      <c r="IG26" s="3">
        <f>_xlfn.XLOOKUP(IG$1,generator!$B$2:$B$295,generator!$K$2:$K$295,"ARGH")</f>
        <v>11.9</v>
      </c>
      <c r="IH26" s="3">
        <f>_xlfn.XLOOKUP(IH$1,generator!$B$2:$B$295,generator!$K$2:$K$295,"ARGH")</f>
        <v>11.9</v>
      </c>
      <c r="II26" s="3">
        <f>_xlfn.XLOOKUP(II$1,generator!$B$2:$B$295,generator!$K$2:$K$295,"ARGH")</f>
        <v>11.9</v>
      </c>
      <c r="IJ26" s="3">
        <f>_xlfn.XLOOKUP(IJ$1,generator!$B$2:$B$295,generator!$K$2:$K$295,"ARGH")</f>
        <v>0</v>
      </c>
      <c r="IK26" s="3">
        <f>_xlfn.XLOOKUP(IK$1,generator!$B$2:$B$295,generator!$K$2:$K$295,"ARGH")</f>
        <v>3</v>
      </c>
      <c r="IL26" s="3">
        <f>_xlfn.XLOOKUP(IL$1,generator!$B$2:$B$295,generator!$K$2:$K$295,"ARGH")</f>
        <v>5</v>
      </c>
      <c r="IM26" s="3">
        <f>_xlfn.XLOOKUP(IM$1,generator!$B$2:$B$295,generator!$K$2:$K$295,"ARGH")</f>
        <v>5</v>
      </c>
      <c r="IN26" s="3">
        <f>_xlfn.XLOOKUP(IN$1,generator!$B$2:$B$295,generator!$K$2:$K$295,"ARGH")</f>
        <v>4</v>
      </c>
      <c r="IO26" s="3">
        <f>_xlfn.XLOOKUP(IO$1,generator!$B$2:$B$295,generator!$K$2:$K$295,"ARGH")</f>
        <v>4</v>
      </c>
      <c r="IP26" s="3">
        <f>_xlfn.XLOOKUP(IP$1,generator!$B$2:$B$295,generator!$K$2:$K$295,"ARGH")</f>
        <v>3</v>
      </c>
      <c r="IQ26" s="3">
        <f>_xlfn.XLOOKUP(IQ$1,generator!$B$2:$B$295,generator!$K$2:$K$295,"ARGH")</f>
        <v>1</v>
      </c>
      <c r="IR26" s="3">
        <f>_xlfn.XLOOKUP(IR$1,generator!$B$2:$B$295,generator!$K$2:$K$295,"ARGH")</f>
        <v>3</v>
      </c>
      <c r="IS26" s="3">
        <f>_xlfn.XLOOKUP(IS$1,generator!$B$2:$B$295,generator!$K$2:$K$295,"ARGH")</f>
        <v>3</v>
      </c>
      <c r="IT26" s="3">
        <f>_xlfn.XLOOKUP(IT$1,generator!$B$2:$B$295,generator!$K$2:$K$295,"ARGH")</f>
        <v>0</v>
      </c>
      <c r="IU26" s="3">
        <f>_xlfn.XLOOKUP(IU$1,generator!$B$2:$B$295,generator!$K$2:$K$295,"ARGH")</f>
        <v>3.99</v>
      </c>
      <c r="IV26" s="3">
        <f>_xlfn.XLOOKUP(IV$1,generator!$B$2:$B$295,generator!$K$2:$K$295,"ARGH")</f>
        <v>0.2</v>
      </c>
      <c r="IW26" s="3">
        <f>_xlfn.XLOOKUP(IW$1,generator!$B$2:$B$295,generator!$K$2:$K$295,"ARGH")</f>
        <v>15</v>
      </c>
      <c r="IX26" s="3">
        <f>_xlfn.XLOOKUP(IX$1,generator!$B$2:$B$295,generator!$K$2:$K$295,"ARGH")</f>
        <v>15</v>
      </c>
      <c r="IY26" s="3">
        <f>_xlfn.XLOOKUP(IY$1,generator!$B$2:$B$295,generator!$K$2:$K$295,"ARGH")</f>
        <v>15</v>
      </c>
      <c r="IZ26" s="3">
        <f>_xlfn.XLOOKUP(IZ$1,generator!$B$2:$B$295,generator!$K$2:$K$295,"ARGH")</f>
        <v>120</v>
      </c>
      <c r="JA26" s="3">
        <f>_xlfn.XLOOKUP(JA$1,generator!$B$2:$B$295,generator!$K$2:$K$295,"ARGH")</f>
        <v>40</v>
      </c>
      <c r="JB26" s="3">
        <f>_xlfn.XLOOKUP(JB$1,generator!$B$2:$B$295,generator!$K$2:$K$295,"ARGH")</f>
        <v>40</v>
      </c>
      <c r="JC26" s="3">
        <f>_xlfn.XLOOKUP(JC$1,generator!$B$2:$B$295,generator!$K$2:$K$295,"ARGH")</f>
        <v>113</v>
      </c>
      <c r="JD26" s="3">
        <f>_xlfn.XLOOKUP(JD$1,generator!$B$2:$B$295,generator!$K$2:$K$295,"ARGH")</f>
        <v>113</v>
      </c>
      <c r="JE26" s="3">
        <f>_xlfn.XLOOKUP(JE$1,generator!$B$2:$B$295,generator!$K$2:$K$295,"ARGH")</f>
        <v>211</v>
      </c>
      <c r="JF26" s="3">
        <f>_xlfn.XLOOKUP(JF$1,generator!$B$2:$B$295,generator!$K$2:$K$295,"ARGH")</f>
        <v>22.5</v>
      </c>
      <c r="JG26" s="3">
        <f>_xlfn.XLOOKUP(JG$1,generator!$B$2:$B$295,generator!$K$2:$K$295,"ARGH")</f>
        <v>1</v>
      </c>
      <c r="JH26" s="3">
        <f>_xlfn.XLOOKUP(JH$1,generator!$B$2:$B$295,generator!$K$2:$K$295,"ARGH")</f>
        <v>160</v>
      </c>
      <c r="JI26" s="3">
        <f>_xlfn.XLOOKUP(JI$1,generator!$B$2:$B$295,generator!$K$2:$K$295,"ARGH")</f>
        <v>165</v>
      </c>
      <c r="JJ26" s="3">
        <f>_xlfn.XLOOKUP(JJ$1,generator!$B$2:$B$295,generator!$K$2:$K$295,"ARGH")</f>
        <v>4.5999999999999996</v>
      </c>
      <c r="JK26" s="3">
        <f>_xlfn.XLOOKUP(JK$1,generator!$B$2:$B$295,generator!$K$2:$K$295,"ARGH")</f>
        <v>4.5999999999999996</v>
      </c>
      <c r="JL26" s="3">
        <f>_xlfn.XLOOKUP(JL$1,generator!$B$2:$B$295,generator!$K$2:$K$295,"ARGH")</f>
        <v>4.5999999999999996</v>
      </c>
      <c r="JM26" s="3">
        <f>_xlfn.XLOOKUP(JM$1,generator!$B$2:$B$295,generator!$K$2:$K$295,"ARGH")</f>
        <v>4.5999999999999996</v>
      </c>
      <c r="JN26" s="3">
        <f>_xlfn.XLOOKUP(JN$1,generator!$B$2:$B$295,generator!$K$2:$K$295,"ARGH")</f>
        <v>4.5999999999999996</v>
      </c>
      <c r="JO26" s="3">
        <f>_xlfn.XLOOKUP(JO$1,generator!$B$2:$B$295,generator!$K$2:$K$295,"ARGH")</f>
        <v>4.5999999999999996</v>
      </c>
      <c r="JP26" s="3">
        <f>_xlfn.XLOOKUP(JP$1,generator!$B$2:$B$295,generator!$K$2:$K$295,"ARGH")</f>
        <v>110</v>
      </c>
      <c r="JQ26" s="3">
        <f>_xlfn.XLOOKUP(JQ$1,generator!$B$2:$B$295,generator!$K$2:$K$295,"ARGH")</f>
        <v>22.7</v>
      </c>
      <c r="JR26" s="3">
        <f>_xlfn.XLOOKUP(JR$1,generator!$B$2:$B$295,generator!$K$2:$K$295,"ARGH")</f>
        <v>147</v>
      </c>
      <c r="JS26" s="3">
        <f>_xlfn.XLOOKUP(JS$1,generator!$B$2:$B$295,generator!$K$2:$K$295,"ARGH")</f>
        <v>147</v>
      </c>
      <c r="JT26" s="3">
        <f>_xlfn.XLOOKUP(JT$1,generator!$B$2:$B$295,generator!$K$2:$K$295,"ARGH")</f>
        <v>22.7</v>
      </c>
      <c r="JU26" s="3">
        <f>_xlfn.XLOOKUP(JU$1,generator!$B$2:$B$295,generator!$K$2:$K$295,"ARGH")</f>
        <v>21.5</v>
      </c>
      <c r="JV26" s="3">
        <f>_xlfn.XLOOKUP(JV$1,generator!$B$2:$B$295,generator!$K$2:$K$295,"ARGH")</f>
        <v>120</v>
      </c>
      <c r="JW26" s="3">
        <f>_xlfn.XLOOKUP(JW$1,generator!$B$2:$B$295,generator!$K$2:$K$295,"ARGH")</f>
        <v>120</v>
      </c>
      <c r="JX26" s="3">
        <f>_xlfn.XLOOKUP(JX$1,generator!$B$2:$B$295,generator!$K$2:$K$295,"ARGH")</f>
        <v>1</v>
      </c>
      <c r="JY26" s="3">
        <f>_xlfn.XLOOKUP(JY$1,generator!$B$2:$B$295,generator!$K$2:$K$295,"ARGH")</f>
        <v>41.15</v>
      </c>
      <c r="JZ26" s="3">
        <f>_xlfn.XLOOKUP(JZ$1,generator!$B$2:$B$295,generator!$K$2:$K$295,"ARGH")</f>
        <v>5</v>
      </c>
      <c r="KA26" s="3">
        <f>_xlfn.XLOOKUP(KA$1,generator!$B$2:$B$295,generator!$K$2:$K$295,"ARGH")</f>
        <v>5</v>
      </c>
      <c r="KB26" s="3">
        <f>_xlfn.XLOOKUP(KB$1,generator!$B$2:$B$295,generator!$K$2:$K$295,"ARGH")</f>
        <v>5</v>
      </c>
      <c r="KC26" s="3">
        <f>_xlfn.XLOOKUP(KC$1,generator!$B$2:$B$295,generator!$K$2:$K$295,"ARGH")</f>
        <v>5</v>
      </c>
    </row>
    <row r="27" spans="1:289" x14ac:dyDescent="0.3">
      <c r="A27" s="4" t="s">
        <v>3022</v>
      </c>
      <c r="B27" s="31">
        <v>406.5</v>
      </c>
      <c r="C27" s="31">
        <v>513</v>
      </c>
      <c r="D27" s="31">
        <v>442</v>
      </c>
      <c r="E27" s="3">
        <f>_xlfn.XLOOKUP(E$1,generator!$B$2:$B$295,generator!$K$2:$K$295,"ARGH")</f>
        <v>0</v>
      </c>
      <c r="F27" s="3">
        <f>_xlfn.XLOOKUP(F$1,generator!$B$2:$B$295,generator!$K$2:$K$295,"ARGH")</f>
        <v>0</v>
      </c>
      <c r="G27" s="3">
        <f>_xlfn.XLOOKUP(G$1,generator!$B$2:$B$295,generator!$K$2:$K$295,"ARGH")</f>
        <v>0</v>
      </c>
      <c r="H27" s="3">
        <f>_xlfn.XLOOKUP(H$1,generator!$B$2:$B$295,generator!$K$2:$K$295,"ARGH")</f>
        <v>0</v>
      </c>
      <c r="I27" s="3">
        <f>_xlfn.XLOOKUP(I$1,generator!$B$2:$B$295,generator!$K$2:$K$295,"ARGH")</f>
        <v>0</v>
      </c>
      <c r="J27" s="3">
        <f>_xlfn.XLOOKUP(J$1,generator!$B$2:$B$295,generator!$K$2:$K$295,"ARGH")</f>
        <v>0</v>
      </c>
      <c r="K27" s="3">
        <f>_xlfn.XLOOKUP(K$1,generator!$B$2:$B$295,generator!$K$2:$K$295,"ARGH")</f>
        <v>0</v>
      </c>
      <c r="L27" s="3">
        <f>_xlfn.XLOOKUP(L$1,generator!$B$2:$B$295,generator!$K$2:$K$295,"ARGH")</f>
        <v>0</v>
      </c>
      <c r="M27" s="3">
        <f>_xlfn.XLOOKUP(M$1,generator!$B$2:$B$295,generator!$K$2:$K$295,"ARGH")</f>
        <v>0</v>
      </c>
      <c r="N27" s="3">
        <f>_xlfn.XLOOKUP(N$1,generator!$B$2:$B$295,generator!$K$2:$K$295,"ARGH")</f>
        <v>0</v>
      </c>
      <c r="O27" s="3">
        <f>_xlfn.XLOOKUP(O$1,generator!$B$2:$B$295,generator!$K$2:$K$295,"ARGH")</f>
        <v>0</v>
      </c>
      <c r="P27" s="3">
        <f>_xlfn.XLOOKUP(P$1,generator!$B$2:$B$295,generator!$K$2:$K$295,"ARGH")</f>
        <v>0</v>
      </c>
      <c r="Q27" s="3">
        <f>_xlfn.XLOOKUP(Q$1,generator!$B$2:$B$295,generator!$K$2:$K$295,"ARGH")</f>
        <v>0</v>
      </c>
      <c r="R27" s="3">
        <f>_xlfn.XLOOKUP(R$1,generator!$B$2:$B$295,generator!$K$2:$K$295,"ARGH")</f>
        <v>0</v>
      </c>
      <c r="S27" s="3">
        <f>_xlfn.XLOOKUP(S$1,generator!$B$2:$B$295,generator!$K$2:$K$295,"ARGH")</f>
        <v>0</v>
      </c>
      <c r="T27" s="3">
        <f>_xlfn.XLOOKUP(T$1,generator!$B$2:$B$295,generator!$K$2:$K$295,"ARGH")</f>
        <v>0</v>
      </c>
      <c r="U27" s="3">
        <f>_xlfn.XLOOKUP(U$1,generator!$B$2:$B$295,generator!$K$2:$K$295,"ARGH")</f>
        <v>0</v>
      </c>
      <c r="V27" s="3">
        <f>_xlfn.XLOOKUP(V$1,generator!$B$2:$B$295,generator!$K$2:$K$295,"ARGH")</f>
        <v>0</v>
      </c>
      <c r="W27" s="3">
        <f>_xlfn.XLOOKUP(W$1,generator!$B$2:$B$295,generator!$K$2:$K$295,"ARGH")</f>
        <v>0</v>
      </c>
      <c r="X27" s="3">
        <f>_xlfn.XLOOKUP(X$1,generator!$B$2:$B$295,generator!$K$2:$K$295,"ARGH")</f>
        <v>0</v>
      </c>
      <c r="Y27" s="3">
        <f>_xlfn.XLOOKUP(Y$1,generator!$B$2:$B$295,generator!$K$2:$K$295,"ARGH")</f>
        <v>0</v>
      </c>
      <c r="Z27" s="3">
        <f>_xlfn.XLOOKUP(Z$1,generator!$B$2:$B$295,generator!$K$2:$K$295,"ARGH")</f>
        <v>0</v>
      </c>
      <c r="AA27" s="3">
        <f>_xlfn.XLOOKUP(AA$1,generator!$B$2:$B$295,generator!$K$2:$K$295,"ARGH")</f>
        <v>0</v>
      </c>
      <c r="AB27" s="3">
        <f>_xlfn.XLOOKUP(AB$1,generator!$B$2:$B$295,generator!$K$2:$K$295,"ARGH")</f>
        <v>0</v>
      </c>
      <c r="AC27" s="3">
        <f>_xlfn.XLOOKUP(AC$1,generator!$B$2:$B$295,generator!$K$2:$K$295,"ARGH")</f>
        <v>0</v>
      </c>
      <c r="AD27" s="3">
        <f>_xlfn.XLOOKUP(AD$1,generator!$B$2:$B$295,generator!$K$2:$K$295,"ARGH")</f>
        <v>0</v>
      </c>
      <c r="AE27" s="3">
        <f>_xlfn.XLOOKUP(AE$1,generator!$B$2:$B$295,generator!$K$2:$K$295,"ARGH")</f>
        <v>0</v>
      </c>
      <c r="AF27" s="3">
        <f>_xlfn.XLOOKUP(AF$1,generator!$B$2:$B$295,generator!$K$2:$K$295,"ARGH")</f>
        <v>0</v>
      </c>
      <c r="AG27" s="3">
        <f>_xlfn.XLOOKUP(AG$1,generator!$B$2:$B$295,generator!$K$2:$K$295,"ARGH")</f>
        <v>0</v>
      </c>
      <c r="AH27" s="3">
        <f>_xlfn.XLOOKUP(AH$1,generator!$B$2:$B$295,generator!$K$2:$K$295,"ARGH")</f>
        <v>0</v>
      </c>
      <c r="AI27" s="3">
        <f>_xlfn.XLOOKUP(AI$1,generator!$B$2:$B$295,generator!$K$2:$K$295,"ARGH")</f>
        <v>0</v>
      </c>
      <c r="AJ27" s="3">
        <f>_xlfn.XLOOKUP(AJ$1,generator!$B$2:$B$295,generator!$K$2:$K$295,"ARGH")</f>
        <v>0</v>
      </c>
      <c r="AK27" s="3">
        <f>_xlfn.XLOOKUP(AK$1,generator!$B$2:$B$295,generator!$K$2:$K$295,"ARGH")</f>
        <v>0</v>
      </c>
      <c r="AL27" s="3">
        <f>_xlfn.XLOOKUP(AL$1,generator!$B$2:$B$295,generator!$K$2:$K$295,"ARGH")</f>
        <v>0</v>
      </c>
      <c r="AM27" s="3">
        <f>_xlfn.XLOOKUP(AM$1,generator!$B$2:$B$295,generator!$K$2:$K$295,"ARGH")</f>
        <v>0</v>
      </c>
      <c r="AN27" s="3">
        <f>_xlfn.XLOOKUP(AN$1,generator!$B$2:$B$295,generator!$K$2:$K$295,"ARGH")</f>
        <v>0</v>
      </c>
      <c r="AO27" s="3">
        <f>_xlfn.XLOOKUP(AO$1,generator!$B$2:$B$295,generator!$K$2:$K$295,"ARGH")</f>
        <v>0</v>
      </c>
      <c r="AP27" s="3">
        <f>_xlfn.XLOOKUP(AP$1,generator!$B$2:$B$295,generator!$K$2:$K$295,"ARGH")</f>
        <v>0</v>
      </c>
      <c r="AQ27" s="3">
        <f>_xlfn.XLOOKUP(AQ$1,generator!$B$2:$B$295,generator!$K$2:$K$295,"ARGH")</f>
        <v>0</v>
      </c>
      <c r="AR27" s="3">
        <f>_xlfn.XLOOKUP(AR$1,generator!$B$2:$B$295,generator!$K$2:$K$295,"ARGH")</f>
        <v>0</v>
      </c>
      <c r="AS27" s="3">
        <f>_xlfn.XLOOKUP(AS$1,generator!$B$2:$B$295,generator!$K$2:$K$295,"ARGH")</f>
        <v>0</v>
      </c>
      <c r="AT27" s="3">
        <f>_xlfn.XLOOKUP(AT$1,generator!$B$2:$B$295,generator!$K$2:$K$295,"ARGH")</f>
        <v>0</v>
      </c>
      <c r="AU27" s="3">
        <f>_xlfn.XLOOKUP(AU$1,generator!$B$2:$B$295,generator!$K$2:$K$295,"ARGH")</f>
        <v>0</v>
      </c>
      <c r="AV27" s="3">
        <f>_xlfn.XLOOKUP(AV$1,generator!$B$2:$B$295,generator!$K$2:$K$295,"ARGH")</f>
        <v>0</v>
      </c>
      <c r="AW27" s="3">
        <f>_xlfn.XLOOKUP(AW$1,generator!$B$2:$B$295,generator!$K$2:$K$295,"ARGH")</f>
        <v>0</v>
      </c>
      <c r="AX27" s="3">
        <f>_xlfn.XLOOKUP(AX$1,generator!$B$2:$B$295,generator!$K$2:$K$295,"ARGH")</f>
        <v>0</v>
      </c>
      <c r="AY27" s="3">
        <f>_xlfn.XLOOKUP(AY$1,generator!$B$2:$B$295,generator!$K$2:$K$295,"ARGH")</f>
        <v>0</v>
      </c>
      <c r="AZ27" s="3">
        <f>_xlfn.XLOOKUP(AZ$1,generator!$B$2:$B$295,generator!$K$2:$K$295,"ARGH")</f>
        <v>0</v>
      </c>
      <c r="BA27" s="3">
        <f>_xlfn.XLOOKUP(BA$1,generator!$B$2:$B$295,generator!$K$2:$K$295,"ARGH")</f>
        <v>0</v>
      </c>
      <c r="BB27" s="3">
        <f>_xlfn.XLOOKUP(BB$1,generator!$B$2:$B$295,generator!$K$2:$K$295,"ARGH")</f>
        <v>0</v>
      </c>
      <c r="BC27" s="3">
        <f>_xlfn.XLOOKUP(BC$1,generator!$B$2:$B$295,generator!$K$2:$K$295,"ARGH")</f>
        <v>0</v>
      </c>
      <c r="BD27" s="3">
        <f>_xlfn.XLOOKUP(BD$1,generator!$B$2:$B$295,generator!$K$2:$K$295,"ARGH")</f>
        <v>0</v>
      </c>
      <c r="BE27" s="3">
        <f>_xlfn.XLOOKUP(BE$1,generator!$B$2:$B$295,generator!$K$2:$K$295,"ARGH")</f>
        <v>0</v>
      </c>
      <c r="BF27" s="3">
        <f>_xlfn.XLOOKUP(BF$1,generator!$B$2:$B$295,generator!$K$2:$K$295,"ARGH")</f>
        <v>0</v>
      </c>
      <c r="BG27" s="3">
        <f>_xlfn.XLOOKUP(BG$1,generator!$B$2:$B$295,generator!$K$2:$K$295,"ARGH")</f>
        <v>0</v>
      </c>
      <c r="BH27" s="3">
        <f>_xlfn.XLOOKUP(BH$1,generator!$B$2:$B$295,generator!$K$2:$K$295,"ARGH")</f>
        <v>0</v>
      </c>
      <c r="BI27" s="3">
        <f>_xlfn.XLOOKUP(BI$1,generator!$B$2:$B$295,generator!$K$2:$K$295,"ARGH")</f>
        <v>0</v>
      </c>
      <c r="BJ27" s="3">
        <f>_xlfn.XLOOKUP(BJ$1,generator!$B$2:$B$295,generator!$K$2:$K$295,"ARGH")</f>
        <v>0</v>
      </c>
      <c r="BK27" s="3">
        <f>_xlfn.XLOOKUP(BK$1,generator!$B$2:$B$295,generator!$K$2:$K$295,"ARGH")</f>
        <v>0</v>
      </c>
      <c r="BL27" s="3">
        <f>_xlfn.XLOOKUP(BL$1,generator!$B$2:$B$295,generator!$K$2:$K$295,"ARGH")</f>
        <v>0</v>
      </c>
      <c r="BM27" s="3">
        <f>_xlfn.XLOOKUP(BM$1,generator!$B$2:$B$295,generator!$K$2:$K$295,"ARGH")</f>
        <v>0</v>
      </c>
      <c r="BN27" s="3">
        <f>_xlfn.XLOOKUP(BN$1,generator!$B$2:$B$295,generator!$K$2:$K$295,"ARGH")</f>
        <v>0</v>
      </c>
      <c r="BO27" s="3">
        <f>_xlfn.XLOOKUP(BO$1,generator!$B$2:$B$295,generator!$K$2:$K$295,"ARGH")</f>
        <v>0</v>
      </c>
      <c r="BP27" s="3">
        <f>_xlfn.XLOOKUP(BP$1,generator!$B$2:$B$295,generator!$K$2:$K$295,"ARGH")</f>
        <v>0</v>
      </c>
      <c r="BQ27" s="3">
        <f>_xlfn.XLOOKUP(BQ$1,generator!$B$2:$B$295,generator!$K$2:$K$295,"ARGH")</f>
        <v>0</v>
      </c>
      <c r="BR27" s="3">
        <f>_xlfn.XLOOKUP(BR$1,generator!$B$2:$B$295,generator!$K$2:$K$295,"ARGH")</f>
        <v>0</v>
      </c>
      <c r="BS27" s="3">
        <f>_xlfn.XLOOKUP(BS$1,generator!$B$2:$B$295,generator!$K$2:$K$295,"ARGH")</f>
        <v>0</v>
      </c>
      <c r="BT27" s="3">
        <f>_xlfn.XLOOKUP(BT$1,generator!$B$2:$B$295,generator!$K$2:$K$295,"ARGH")</f>
        <v>0</v>
      </c>
      <c r="BU27" s="3">
        <f>_xlfn.XLOOKUP(BU$1,generator!$B$2:$B$295,generator!$K$2:$K$295,"ARGH")</f>
        <v>0</v>
      </c>
      <c r="BV27" s="3">
        <f>_xlfn.XLOOKUP(BV$1,generator!$B$2:$B$295,generator!$K$2:$K$295,"ARGH")</f>
        <v>0</v>
      </c>
      <c r="BW27" s="3">
        <f>_xlfn.XLOOKUP(BW$1,generator!$B$2:$B$295,generator!$K$2:$K$295,"ARGH")</f>
        <v>0</v>
      </c>
      <c r="BX27" s="3">
        <f>_xlfn.XLOOKUP(BX$1,generator!$B$2:$B$295,generator!$K$2:$K$295,"ARGH")</f>
        <v>0</v>
      </c>
      <c r="BY27" s="3">
        <f>_xlfn.XLOOKUP(BY$1,generator!$B$2:$B$295,generator!$K$2:$K$295,"ARGH")</f>
        <v>0</v>
      </c>
      <c r="BZ27" s="3">
        <f>_xlfn.XLOOKUP(BZ$1,generator!$B$2:$B$295,generator!$K$2:$K$295,"ARGH")</f>
        <v>0</v>
      </c>
      <c r="CA27" s="3">
        <f>_xlfn.XLOOKUP(CA$1,generator!$B$2:$B$295,generator!$K$2:$K$295,"ARGH")</f>
        <v>0</v>
      </c>
      <c r="CB27" s="3">
        <f>_xlfn.XLOOKUP(CB$1,generator!$B$2:$B$295,generator!$K$2:$K$295,"ARGH")</f>
        <v>0</v>
      </c>
      <c r="CC27" s="3">
        <f>_xlfn.XLOOKUP(CC$1,generator!$B$2:$B$295,generator!$K$2:$K$295,"ARGH")</f>
        <v>0</v>
      </c>
      <c r="CD27" s="3">
        <f>_xlfn.XLOOKUP(CD$1,generator!$B$2:$B$295,generator!$K$2:$K$295,"ARGH")</f>
        <v>0</v>
      </c>
      <c r="CE27" s="3">
        <f>_xlfn.XLOOKUP(CE$1,generator!$B$2:$B$295,generator!$K$2:$K$295,"ARGH")</f>
        <v>0</v>
      </c>
      <c r="CF27" s="3">
        <f>_xlfn.XLOOKUP(CF$1,generator!$B$2:$B$295,generator!$K$2:$K$295,"ARGH")</f>
        <v>0</v>
      </c>
      <c r="CG27" s="3">
        <f>_xlfn.XLOOKUP(CG$1,generator!$B$2:$B$295,generator!$K$2:$K$295,"ARGH")</f>
        <v>0</v>
      </c>
      <c r="CH27" s="3">
        <f>_xlfn.XLOOKUP(CH$1,generator!$B$2:$B$295,generator!$K$2:$K$295,"ARGH")</f>
        <v>0</v>
      </c>
      <c r="CI27" s="3">
        <f>_xlfn.XLOOKUP(CI$1,generator!$B$2:$B$295,generator!$K$2:$K$295,"ARGH")</f>
        <v>0</v>
      </c>
      <c r="CJ27" s="3">
        <f>_xlfn.XLOOKUP(CJ$1,generator!$B$2:$B$295,generator!$K$2:$K$295,"ARGH")</f>
        <v>0</v>
      </c>
      <c r="CK27" s="3">
        <f>_xlfn.XLOOKUP(CK$1,generator!$B$2:$B$295,generator!$K$2:$K$295,"ARGH")</f>
        <v>0</v>
      </c>
      <c r="CL27" s="3">
        <f>_xlfn.XLOOKUP(CL$1,generator!$B$2:$B$295,generator!$K$2:$K$295,"ARGH")</f>
        <v>0</v>
      </c>
      <c r="CM27" s="3">
        <f>_xlfn.XLOOKUP(CM$1,generator!$B$2:$B$295,generator!$K$2:$K$295,"ARGH")</f>
        <v>0</v>
      </c>
      <c r="CN27" s="3">
        <f>_xlfn.XLOOKUP(CN$1,generator!$B$2:$B$295,generator!$K$2:$K$295,"ARGH")</f>
        <v>0</v>
      </c>
      <c r="CO27" s="3">
        <f>_xlfn.XLOOKUP(CO$1,generator!$B$2:$B$295,generator!$K$2:$K$295,"ARGH")</f>
        <v>0</v>
      </c>
      <c r="CP27" s="3">
        <f>_xlfn.XLOOKUP(CP$1,generator!$B$2:$B$295,generator!$K$2:$K$295,"ARGH")</f>
        <v>0</v>
      </c>
      <c r="CQ27" s="3">
        <f>_xlfn.XLOOKUP(CQ$1,generator!$B$2:$B$295,generator!$K$2:$K$295,"ARGH")</f>
        <v>0</v>
      </c>
      <c r="CR27" s="3">
        <f>_xlfn.XLOOKUP(CR$1,generator!$B$2:$B$295,generator!$K$2:$K$295,"ARGH")</f>
        <v>0</v>
      </c>
      <c r="CS27" s="3">
        <f>_xlfn.XLOOKUP(CS$1,generator!$B$2:$B$295,generator!$K$2:$K$295,"ARGH")</f>
        <v>0</v>
      </c>
      <c r="CT27" s="3">
        <f>_xlfn.XLOOKUP(CT$1,generator!$B$2:$B$295,generator!$K$2:$K$295,"ARGH")</f>
        <v>0</v>
      </c>
      <c r="CU27" s="3">
        <f>_xlfn.XLOOKUP(CU$1,generator!$B$2:$B$295,generator!$K$2:$K$295,"ARGH")</f>
        <v>0</v>
      </c>
      <c r="CV27" s="3">
        <f>_xlfn.XLOOKUP(CV$1,generator!$B$2:$B$295,generator!$K$2:$K$295,"ARGH")</f>
        <v>0</v>
      </c>
      <c r="CW27" s="3">
        <f>_xlfn.XLOOKUP(CW$1,generator!$B$2:$B$295,generator!$K$2:$K$295,"ARGH")</f>
        <v>0</v>
      </c>
      <c r="CX27" s="3">
        <f>_xlfn.XLOOKUP(CX$1,generator!$B$2:$B$295,generator!$K$2:$K$295,"ARGH")</f>
        <v>0</v>
      </c>
      <c r="CY27" s="3">
        <f>_xlfn.XLOOKUP(CY$1,generator!$B$2:$B$295,generator!$K$2:$K$295,"ARGH")</f>
        <v>0</v>
      </c>
      <c r="CZ27" s="3">
        <f>_xlfn.XLOOKUP(CZ$1,generator!$B$2:$B$295,generator!$K$2:$K$295,"ARGH")</f>
        <v>0</v>
      </c>
      <c r="DA27" s="3">
        <f>_xlfn.XLOOKUP(DA$1,generator!$B$2:$B$295,generator!$K$2:$K$295,"ARGH")</f>
        <v>0</v>
      </c>
      <c r="DB27" s="3">
        <f>_xlfn.XLOOKUP(DB$1,generator!$B$2:$B$295,generator!$K$2:$K$295,"ARGH")</f>
        <v>0</v>
      </c>
      <c r="DC27" s="3">
        <f>_xlfn.XLOOKUP(DC$1,generator!$B$2:$B$295,generator!$K$2:$K$295,"ARGH")</f>
        <v>0</v>
      </c>
      <c r="DD27" s="3">
        <f>_xlfn.XLOOKUP(DD$1,generator!$B$2:$B$295,generator!$K$2:$K$295,"ARGH")</f>
        <v>0</v>
      </c>
      <c r="DE27" s="3">
        <f>_xlfn.XLOOKUP(DE$1,generator!$B$2:$B$295,generator!$K$2:$K$295,"ARGH")</f>
        <v>0</v>
      </c>
      <c r="DF27" s="3">
        <f>_xlfn.XLOOKUP(DF$1,generator!$B$2:$B$295,generator!$K$2:$K$295,"ARGH")</f>
        <v>0</v>
      </c>
      <c r="DG27" s="3">
        <f>_xlfn.XLOOKUP(DG$1,generator!$B$2:$B$295,generator!$K$2:$K$295,"ARGH")</f>
        <v>0</v>
      </c>
      <c r="DH27" s="3">
        <f>_xlfn.XLOOKUP(DH$1,generator!$B$2:$B$295,generator!$K$2:$K$295,"ARGH")</f>
        <v>0</v>
      </c>
      <c r="DI27" s="3">
        <f>_xlfn.XLOOKUP(DI$1,generator!$B$2:$B$295,generator!$K$2:$K$295,"ARGH")</f>
        <v>0</v>
      </c>
      <c r="DJ27" s="3">
        <f>_xlfn.XLOOKUP(DJ$1,generator!$B$2:$B$295,generator!$K$2:$K$295,"ARGH")</f>
        <v>0</v>
      </c>
      <c r="DK27" s="3">
        <f>_xlfn.XLOOKUP(DK$1,generator!$B$2:$B$295,generator!$K$2:$K$295,"ARGH")</f>
        <v>0</v>
      </c>
      <c r="DL27" s="3">
        <f>_xlfn.XLOOKUP(DL$1,generator!$B$2:$B$295,generator!$K$2:$K$295,"ARGH")</f>
        <v>0</v>
      </c>
      <c r="DM27" s="3">
        <f>_xlfn.XLOOKUP(DM$1,generator!$B$2:$B$295,generator!$K$2:$K$295,"ARGH")</f>
        <v>0</v>
      </c>
      <c r="DN27" s="3">
        <f>_xlfn.XLOOKUP(DN$1,generator!$B$2:$B$295,generator!$K$2:$K$295,"ARGH")</f>
        <v>0</v>
      </c>
      <c r="DO27" s="3">
        <f>_xlfn.XLOOKUP(DO$1,generator!$B$2:$B$295,generator!$K$2:$K$295,"ARGH")</f>
        <v>0</v>
      </c>
      <c r="DP27" s="3">
        <f>_xlfn.XLOOKUP(DP$1,generator!$B$2:$B$295,generator!$K$2:$K$295,"ARGH")</f>
        <v>0</v>
      </c>
      <c r="DQ27" s="3">
        <f>_xlfn.XLOOKUP(DQ$1,generator!$B$2:$B$295,generator!$K$2:$K$295,"ARGH")</f>
        <v>0</v>
      </c>
      <c r="DR27" s="3">
        <f>_xlfn.XLOOKUP(DR$1,generator!$B$2:$B$295,generator!$K$2:$K$295,"ARGH")</f>
        <v>0</v>
      </c>
      <c r="DS27" s="3">
        <f>_xlfn.XLOOKUP(DS$1,generator!$B$2:$B$295,generator!$K$2:$K$295,"ARGH")</f>
        <v>0</v>
      </c>
      <c r="DT27" s="3">
        <f>_xlfn.XLOOKUP(DT$1,generator!$B$2:$B$295,generator!$K$2:$K$295,"ARGH")</f>
        <v>0</v>
      </c>
      <c r="DU27" s="3">
        <f>_xlfn.XLOOKUP(DU$1,generator!$B$2:$B$295,generator!$K$2:$K$295,"ARGH")</f>
        <v>0</v>
      </c>
      <c r="DV27" s="3">
        <f>_xlfn.XLOOKUP(DV$1,generator!$B$2:$B$295,generator!$K$2:$K$295,"ARGH")</f>
        <v>0</v>
      </c>
      <c r="DW27" s="3">
        <f>_xlfn.XLOOKUP(DW$1,generator!$B$2:$B$295,generator!$K$2:$K$295,"ARGH")</f>
        <v>0</v>
      </c>
      <c r="DX27" s="3">
        <f>_xlfn.XLOOKUP(DX$1,generator!$B$2:$B$295,generator!$K$2:$K$295,"ARGH")</f>
        <v>0</v>
      </c>
      <c r="DY27" s="3">
        <f>_xlfn.XLOOKUP(DY$1,generator!$B$2:$B$295,generator!$K$2:$K$295,"ARGH")</f>
        <v>0</v>
      </c>
      <c r="DZ27" s="3">
        <f>_xlfn.XLOOKUP(DZ$1,generator!$B$2:$B$295,generator!$K$2:$K$295,"ARGH")</f>
        <v>0</v>
      </c>
      <c r="EA27" s="3">
        <f>_xlfn.XLOOKUP(EA$1,generator!$B$2:$B$295,generator!$K$2:$K$295,"ARGH")</f>
        <v>0</v>
      </c>
      <c r="EB27" s="3">
        <f>_xlfn.XLOOKUP(EB$1,generator!$B$2:$B$295,generator!$K$2:$K$295,"ARGH")</f>
        <v>0</v>
      </c>
      <c r="EC27" s="3">
        <f>_xlfn.XLOOKUP(EC$1,generator!$B$2:$B$295,generator!$K$2:$K$295,"ARGH")</f>
        <v>0</v>
      </c>
      <c r="ED27" s="3">
        <f>_xlfn.XLOOKUP(ED$1,generator!$B$2:$B$295,generator!$K$2:$K$295,"ARGH")</f>
        <v>0</v>
      </c>
      <c r="EE27" s="3">
        <f>_xlfn.XLOOKUP(EE$1,generator!$B$2:$B$295,generator!$K$2:$K$295,"ARGH")</f>
        <v>0</v>
      </c>
      <c r="EF27" s="3">
        <f>_xlfn.XLOOKUP(EF$1,generator!$B$2:$B$295,generator!$K$2:$K$295,"ARGH")</f>
        <v>0</v>
      </c>
      <c r="EG27" s="3">
        <f>_xlfn.XLOOKUP(EG$1,generator!$B$2:$B$295,generator!$K$2:$K$295,"ARGH")</f>
        <v>0</v>
      </c>
      <c r="EH27" s="3">
        <f>_xlfn.XLOOKUP(EH$1,generator!$B$2:$B$295,generator!$K$2:$K$295,"ARGH")</f>
        <v>0</v>
      </c>
      <c r="EI27" s="3">
        <f>_xlfn.XLOOKUP(EI$1,generator!$B$2:$B$295,generator!$K$2:$K$295,"ARGH")</f>
        <v>0</v>
      </c>
      <c r="EJ27" s="3">
        <f>_xlfn.XLOOKUP(EJ$1,generator!$B$2:$B$295,generator!$K$2:$K$295,"ARGH")</f>
        <v>0</v>
      </c>
      <c r="EK27" s="3">
        <f>_xlfn.XLOOKUP(EK$1,generator!$B$2:$B$295,generator!$K$2:$K$295,"ARGH")</f>
        <v>0</v>
      </c>
      <c r="EL27" s="3">
        <f>_xlfn.XLOOKUP(EL$1,generator!$B$2:$B$295,generator!$K$2:$K$295,"ARGH")</f>
        <v>0</v>
      </c>
      <c r="EM27" s="3">
        <f>_xlfn.XLOOKUP(EM$1,generator!$B$2:$B$295,generator!$K$2:$K$295,"ARGH")</f>
        <v>0</v>
      </c>
      <c r="EN27" s="3">
        <f>_xlfn.XLOOKUP(EN$1,generator!$B$2:$B$295,generator!$K$2:$K$295,"ARGH")</f>
        <v>0</v>
      </c>
      <c r="EO27" s="3">
        <f>_xlfn.XLOOKUP(EO$1,generator!$B$2:$B$295,generator!$K$2:$K$295,"ARGH")</f>
        <v>0</v>
      </c>
      <c r="EP27" s="3">
        <f>_xlfn.XLOOKUP(EP$1,generator!$B$2:$B$295,generator!$K$2:$K$295,"ARGH")</f>
        <v>0</v>
      </c>
      <c r="EQ27" s="3">
        <f>_xlfn.XLOOKUP(EQ$1,generator!$B$2:$B$295,generator!$K$2:$K$295,"ARGH")</f>
        <v>0</v>
      </c>
      <c r="ER27" s="3">
        <f>_xlfn.XLOOKUP(ER$1,generator!$B$2:$B$295,generator!$K$2:$K$295,"ARGH")</f>
        <v>0</v>
      </c>
      <c r="ES27" s="3">
        <f>_xlfn.XLOOKUP(ES$1,generator!$B$2:$B$295,generator!$K$2:$K$295,"ARGH")</f>
        <v>0</v>
      </c>
      <c r="ET27" s="3">
        <f>_xlfn.XLOOKUP(ET$1,generator!$B$2:$B$295,generator!$K$2:$K$295,"ARGH")</f>
        <v>0</v>
      </c>
      <c r="EU27" s="3">
        <f>_xlfn.XLOOKUP(EU$1,generator!$B$2:$B$295,generator!$K$2:$K$295,"ARGH")</f>
        <v>0</v>
      </c>
      <c r="EV27" s="3">
        <f>_xlfn.XLOOKUP(EV$1,generator!$B$2:$B$295,generator!$K$2:$K$295,"ARGH")</f>
        <v>0</v>
      </c>
      <c r="EW27" s="3">
        <f>_xlfn.XLOOKUP(EW$1,generator!$B$2:$B$295,generator!$K$2:$K$295,"ARGH")</f>
        <v>0</v>
      </c>
      <c r="EX27" s="3">
        <f>_xlfn.XLOOKUP(EX$1,generator!$B$2:$B$295,generator!$K$2:$K$295,"ARGH")</f>
        <v>0</v>
      </c>
      <c r="EY27" s="3">
        <f>_xlfn.XLOOKUP(EY$1,generator!$B$2:$B$295,generator!$K$2:$K$295,"ARGH")</f>
        <v>0</v>
      </c>
      <c r="EZ27" s="3">
        <f>_xlfn.XLOOKUP(EZ$1,generator!$B$2:$B$295,generator!$K$2:$K$295,"ARGH")</f>
        <v>0</v>
      </c>
      <c r="FA27" s="3">
        <f>_xlfn.XLOOKUP(FA$1,generator!$B$2:$B$295,generator!$K$2:$K$295,"ARGH")</f>
        <v>0</v>
      </c>
      <c r="FB27" s="3">
        <f>_xlfn.XLOOKUP(FB$1,generator!$B$2:$B$295,generator!$K$2:$K$295,"ARGH")</f>
        <v>0</v>
      </c>
      <c r="FC27" s="3">
        <f>_xlfn.XLOOKUP(FC$1,generator!$B$2:$B$295,generator!$K$2:$K$295,"ARGH")</f>
        <v>0</v>
      </c>
      <c r="FD27" s="3">
        <f>_xlfn.XLOOKUP(FD$1,generator!$B$2:$B$295,generator!$K$2:$K$295,"ARGH")</f>
        <v>0</v>
      </c>
      <c r="FE27" s="3">
        <f>_xlfn.XLOOKUP(FE$1,generator!$B$2:$B$295,generator!$K$2:$K$295,"ARGH")</f>
        <v>0</v>
      </c>
      <c r="FF27" s="3">
        <f>_xlfn.XLOOKUP(FF$1,generator!$B$2:$B$295,generator!$K$2:$K$295,"ARGH")</f>
        <v>0</v>
      </c>
      <c r="FG27" s="3">
        <f>_xlfn.XLOOKUP(FG$1,generator!$B$2:$B$295,generator!$K$2:$K$295,"ARGH")</f>
        <v>0</v>
      </c>
      <c r="FH27" s="3">
        <f>_xlfn.XLOOKUP(FH$1,generator!$B$2:$B$295,generator!$K$2:$K$295,"ARGH")</f>
        <v>0</v>
      </c>
      <c r="FI27" s="3">
        <f>_xlfn.XLOOKUP(FI$1,generator!$B$2:$B$295,generator!$K$2:$K$295,"ARGH")</f>
        <v>0</v>
      </c>
      <c r="FJ27" s="3">
        <f>_xlfn.XLOOKUP(FJ$1,generator!$B$2:$B$295,generator!$K$2:$K$295,"ARGH")</f>
        <v>0</v>
      </c>
      <c r="FK27" s="3">
        <f>_xlfn.XLOOKUP(FK$1,generator!$B$2:$B$295,generator!$K$2:$K$295,"ARGH")</f>
        <v>0</v>
      </c>
      <c r="FL27" s="3">
        <f>_xlfn.XLOOKUP(FL$1,generator!$B$2:$B$295,generator!$K$2:$K$295,"ARGH")</f>
        <v>0</v>
      </c>
      <c r="FM27" s="3">
        <f>_xlfn.XLOOKUP(FM$1,generator!$B$2:$B$295,generator!$K$2:$K$295,"ARGH")</f>
        <v>0</v>
      </c>
      <c r="FN27" s="3">
        <f>_xlfn.XLOOKUP(FN$1,generator!$B$2:$B$295,generator!$K$2:$K$295,"ARGH")</f>
        <v>0</v>
      </c>
      <c r="FO27" s="3">
        <f>_xlfn.XLOOKUP(FO$1,generator!$B$2:$B$295,generator!$K$2:$K$295,"ARGH")</f>
        <v>0</v>
      </c>
      <c r="FP27" s="3">
        <f>_xlfn.XLOOKUP(FP$1,generator!$B$2:$B$295,generator!$K$2:$K$295,"ARGH")</f>
        <v>0</v>
      </c>
      <c r="FQ27" s="3">
        <f>_xlfn.XLOOKUP(FQ$1,generator!$B$2:$B$295,generator!$K$2:$K$295,"ARGH")</f>
        <v>0</v>
      </c>
      <c r="FR27" s="3">
        <f>_xlfn.XLOOKUP(FR$1,generator!$B$2:$B$295,generator!$K$2:$K$295,"ARGH")</f>
        <v>0</v>
      </c>
      <c r="FS27" s="3">
        <f>_xlfn.XLOOKUP(FS$1,generator!$B$2:$B$295,generator!$K$2:$K$295,"ARGH")</f>
        <v>0</v>
      </c>
      <c r="FT27" s="3">
        <f>_xlfn.XLOOKUP(FT$1,generator!$B$2:$B$295,generator!$K$2:$K$295,"ARGH")</f>
        <v>0</v>
      </c>
      <c r="FU27" s="3">
        <f>_xlfn.XLOOKUP(FU$1,generator!$B$2:$B$295,generator!$K$2:$K$295,"ARGH")</f>
        <v>0</v>
      </c>
      <c r="FV27" s="3">
        <f>_xlfn.XLOOKUP(FV$1,generator!$B$2:$B$295,generator!$K$2:$K$295,"ARGH")</f>
        <v>0</v>
      </c>
      <c r="FW27" s="3">
        <f>_xlfn.XLOOKUP(FW$1,generator!$B$2:$B$295,generator!$K$2:$K$295,"ARGH")</f>
        <v>0</v>
      </c>
      <c r="FX27" s="3">
        <f>_xlfn.XLOOKUP(FX$1,generator!$B$2:$B$295,generator!$K$2:$K$295,"ARGH")</f>
        <v>0</v>
      </c>
      <c r="FY27" s="3">
        <f>_xlfn.XLOOKUP(FY$1,generator!$B$2:$B$295,generator!$K$2:$K$295,"ARGH")</f>
        <v>0</v>
      </c>
      <c r="FZ27" s="3">
        <f>_xlfn.XLOOKUP(FZ$1,generator!$B$2:$B$295,generator!$K$2:$K$295,"ARGH")</f>
        <v>0</v>
      </c>
      <c r="GA27" s="3">
        <f>_xlfn.XLOOKUP(GA$1,generator!$B$2:$B$295,generator!$K$2:$K$295,"ARGH")</f>
        <v>0</v>
      </c>
      <c r="GB27" s="3">
        <f>_xlfn.XLOOKUP(GB$1,generator!$B$2:$B$295,generator!$K$2:$K$295,"ARGH")</f>
        <v>0</v>
      </c>
      <c r="GC27" s="3">
        <f>_xlfn.XLOOKUP(GC$1,generator!$B$2:$B$295,generator!$K$2:$K$295,"ARGH")</f>
        <v>0</v>
      </c>
      <c r="GD27" s="3">
        <f>_xlfn.XLOOKUP(GD$1,generator!$B$2:$B$295,generator!$K$2:$K$295,"ARGH")</f>
        <v>0</v>
      </c>
      <c r="GE27" s="3">
        <f>_xlfn.XLOOKUP(GE$1,generator!$B$2:$B$295,generator!$K$2:$K$295,"ARGH")</f>
        <v>0</v>
      </c>
      <c r="GF27" s="3">
        <f>_xlfn.XLOOKUP(GF$1,generator!$B$2:$B$295,generator!$K$2:$K$295,"ARGH")</f>
        <v>0</v>
      </c>
      <c r="GG27" s="3">
        <f>_xlfn.XLOOKUP(GG$1,generator!$B$2:$B$295,generator!$K$2:$K$295,"ARGH")</f>
        <v>0</v>
      </c>
      <c r="GH27" s="3">
        <f>_xlfn.XLOOKUP(GH$1,generator!$B$2:$B$295,generator!$K$2:$K$295,"ARGH")</f>
        <v>0</v>
      </c>
      <c r="GI27" s="3">
        <f>_xlfn.XLOOKUP(GI$1,generator!$B$2:$B$295,generator!$K$2:$K$295,"ARGH")</f>
        <v>0</v>
      </c>
      <c r="GJ27" s="3">
        <f>_xlfn.XLOOKUP(GJ$1,generator!$B$2:$B$295,generator!$K$2:$K$295,"ARGH")</f>
        <v>0</v>
      </c>
      <c r="GK27" s="3">
        <f>_xlfn.XLOOKUP(GK$1,generator!$B$2:$B$295,generator!$K$2:$K$295,"ARGH")</f>
        <v>0</v>
      </c>
      <c r="GL27" s="3">
        <f>_xlfn.XLOOKUP(GL$1,generator!$B$2:$B$295,generator!$K$2:$K$295,"ARGH")</f>
        <v>0</v>
      </c>
      <c r="GM27" s="3">
        <f>_xlfn.XLOOKUP(GM$1,generator!$B$2:$B$295,generator!$K$2:$K$295,"ARGH")</f>
        <v>0</v>
      </c>
      <c r="GN27" s="3">
        <f>_xlfn.XLOOKUP(GN$1,generator!$B$2:$B$295,generator!$K$2:$K$295,"ARGH")</f>
        <v>0</v>
      </c>
      <c r="GO27" s="3">
        <f>_xlfn.XLOOKUP(GO$1,generator!$B$2:$B$295,generator!$K$2:$K$295,"ARGH")</f>
        <v>0</v>
      </c>
      <c r="GP27" s="3">
        <f>_xlfn.XLOOKUP(GP$1,generator!$B$2:$B$295,generator!$K$2:$K$295,"ARGH")</f>
        <v>0</v>
      </c>
      <c r="GQ27" s="3">
        <f>_xlfn.XLOOKUP(GQ$1,generator!$B$2:$B$295,generator!$K$2:$K$295,"ARGH")</f>
        <v>0</v>
      </c>
      <c r="GR27" s="3">
        <f>_xlfn.XLOOKUP(GR$1,generator!$B$2:$B$295,generator!$K$2:$K$295,"ARGH")</f>
        <v>0</v>
      </c>
      <c r="GS27" s="3">
        <f>_xlfn.XLOOKUP(GS$1,generator!$B$2:$B$295,generator!$K$2:$K$295,"ARGH")</f>
        <v>0</v>
      </c>
      <c r="GT27" s="3">
        <f>_xlfn.XLOOKUP(GT$1,generator!$B$2:$B$295,generator!$K$2:$K$295,"ARGH")</f>
        <v>0</v>
      </c>
      <c r="GU27" s="3">
        <f>_xlfn.XLOOKUP(GU$1,generator!$B$2:$B$295,generator!$K$2:$K$295,"ARGH")</f>
        <v>0</v>
      </c>
      <c r="GV27" s="3">
        <f>_xlfn.XLOOKUP(GV$1,generator!$B$2:$B$295,generator!$K$2:$K$295,"ARGH")</f>
        <v>0</v>
      </c>
      <c r="GW27" s="3">
        <f>_xlfn.XLOOKUP(GW$1,generator!$B$2:$B$295,generator!$K$2:$K$295,"ARGH")</f>
        <v>0</v>
      </c>
      <c r="GX27" s="3">
        <f>_xlfn.XLOOKUP(GX$1,generator!$B$2:$B$295,generator!$K$2:$K$295,"ARGH")</f>
        <v>0</v>
      </c>
      <c r="GY27" s="3">
        <f>_xlfn.XLOOKUP(GY$1,generator!$B$2:$B$295,generator!$K$2:$K$295,"ARGH")</f>
        <v>0</v>
      </c>
      <c r="GZ27" s="3">
        <f>_xlfn.XLOOKUP(GZ$1,generator!$B$2:$B$295,generator!$K$2:$K$295,"ARGH")</f>
        <v>0</v>
      </c>
      <c r="HA27" s="3">
        <f>_xlfn.XLOOKUP(HA$1,generator!$B$2:$B$295,generator!$K$2:$K$295,"ARGH")</f>
        <v>0</v>
      </c>
      <c r="HB27" s="3">
        <f>_xlfn.XLOOKUP(HB$1,generator!$B$2:$B$295,generator!$K$2:$K$295,"ARGH")</f>
        <v>0</v>
      </c>
      <c r="HC27" s="3">
        <f>_xlfn.XLOOKUP(HC$1,generator!$B$2:$B$295,generator!$K$2:$K$295,"ARGH")</f>
        <v>0</v>
      </c>
      <c r="HD27" s="3">
        <f>_xlfn.XLOOKUP(HD$1,generator!$B$2:$B$295,generator!$K$2:$K$295,"ARGH")</f>
        <v>0</v>
      </c>
      <c r="HE27" s="3">
        <f>_xlfn.XLOOKUP(HE$1,generator!$B$2:$B$295,generator!$K$2:$K$295,"ARGH")</f>
        <v>12.74</v>
      </c>
      <c r="HF27" s="3">
        <f>_xlfn.XLOOKUP(HF$1,generator!$B$2:$B$295,generator!$K$2:$K$295,"ARGH")</f>
        <v>99</v>
      </c>
      <c r="HG27" s="3">
        <f>_xlfn.XLOOKUP(HG$1,generator!$B$2:$B$295,generator!$K$2:$K$295,"ARGH")</f>
        <v>99</v>
      </c>
      <c r="HH27" s="3">
        <f>_xlfn.XLOOKUP(HH$1,generator!$B$2:$B$295,generator!$K$2:$K$295,"ARGH")</f>
        <v>99</v>
      </c>
      <c r="HI27" s="3">
        <f>_xlfn.XLOOKUP(HI$1,generator!$B$2:$B$295,generator!$K$2:$K$295,"ARGH")</f>
        <v>8</v>
      </c>
      <c r="HJ27" s="3">
        <f>_xlfn.XLOOKUP(HJ$1,generator!$B$2:$B$295,generator!$K$2:$K$295,"ARGH")</f>
        <v>8</v>
      </c>
      <c r="HK27" s="3">
        <f>_xlfn.XLOOKUP(HK$1,generator!$B$2:$B$295,generator!$K$2:$K$295,"ARGH")</f>
        <v>8</v>
      </c>
      <c r="HL27" s="3">
        <f>_xlfn.XLOOKUP(HL$1,generator!$B$2:$B$295,generator!$K$2:$K$295,"ARGH")</f>
        <v>20</v>
      </c>
      <c r="HM27" s="3">
        <f>_xlfn.XLOOKUP(HM$1,generator!$B$2:$B$295,generator!$K$2:$K$295,"ARGH")</f>
        <v>20</v>
      </c>
      <c r="HN27" s="3">
        <f>_xlfn.XLOOKUP(HN$1,generator!$B$2:$B$295,generator!$K$2:$K$295,"ARGH")</f>
        <v>5</v>
      </c>
      <c r="HO27" s="3">
        <f>_xlfn.XLOOKUP(HO$1,generator!$B$2:$B$295,generator!$K$2:$K$295,"ARGH")</f>
        <v>5</v>
      </c>
      <c r="HP27" s="3">
        <f>_xlfn.XLOOKUP(HP$1,generator!$B$2:$B$295,generator!$K$2:$K$295,"ARGH")</f>
        <v>0.2</v>
      </c>
      <c r="HQ27" s="3">
        <f>_xlfn.XLOOKUP(HQ$1,generator!$B$2:$B$295,generator!$K$2:$K$295,"ARGH")</f>
        <v>5</v>
      </c>
      <c r="HR27" s="3">
        <f>_xlfn.XLOOKUP(HR$1,generator!$B$2:$B$295,generator!$K$2:$K$295,"ARGH")</f>
        <v>5</v>
      </c>
      <c r="HS27" s="3">
        <f>_xlfn.XLOOKUP(HS$1,generator!$B$2:$B$295,generator!$K$2:$K$295,"ARGH")</f>
        <v>12.82</v>
      </c>
      <c r="HT27" s="3">
        <f>_xlfn.XLOOKUP(HT$1,generator!$B$2:$B$295,generator!$K$2:$K$295,"ARGH")</f>
        <v>12.82</v>
      </c>
      <c r="HU27" s="3">
        <f>_xlfn.XLOOKUP(HU$1,generator!$B$2:$B$295,generator!$K$2:$K$295,"ARGH")</f>
        <v>25</v>
      </c>
      <c r="HV27" s="3">
        <f>_xlfn.XLOOKUP(HV$1,generator!$B$2:$B$295,generator!$K$2:$K$295,"ARGH")</f>
        <v>16</v>
      </c>
      <c r="HW27" s="3">
        <f>_xlfn.XLOOKUP(HW$1,generator!$B$2:$B$295,generator!$K$2:$K$295,"ARGH")</f>
        <v>5</v>
      </c>
      <c r="HX27" s="3">
        <f>_xlfn.XLOOKUP(HX$1,generator!$B$2:$B$295,generator!$K$2:$K$295,"ARGH")</f>
        <v>5</v>
      </c>
      <c r="HY27" s="3">
        <f>_xlfn.XLOOKUP(HY$1,generator!$B$2:$B$295,generator!$K$2:$K$295,"ARGH")</f>
        <v>63</v>
      </c>
      <c r="HZ27" s="3">
        <f>_xlfn.XLOOKUP(HZ$1,generator!$B$2:$B$295,generator!$K$2:$K$295,"ARGH")</f>
        <v>18</v>
      </c>
      <c r="IA27" s="3">
        <f>_xlfn.XLOOKUP(IA$1,generator!$B$2:$B$295,generator!$K$2:$K$295,"ARGH")</f>
        <v>121</v>
      </c>
      <c r="IB27" s="3">
        <f>_xlfn.XLOOKUP(IB$1,generator!$B$2:$B$295,generator!$K$2:$K$295,"ARGH")</f>
        <v>120</v>
      </c>
      <c r="IC27" s="3">
        <f>_xlfn.XLOOKUP(IC$1,generator!$B$2:$B$295,generator!$K$2:$K$295,"ARGH")</f>
        <v>0</v>
      </c>
      <c r="ID27" s="3">
        <f>_xlfn.XLOOKUP(ID$1,generator!$B$2:$B$295,generator!$K$2:$K$295,"ARGH")</f>
        <v>17</v>
      </c>
      <c r="IE27" s="3">
        <f>_xlfn.XLOOKUP(IE$1,generator!$B$2:$B$295,generator!$K$2:$K$295,"ARGH")</f>
        <v>194</v>
      </c>
      <c r="IF27" s="3">
        <f>_xlfn.XLOOKUP(IF$1,generator!$B$2:$B$295,generator!$K$2:$K$295,"ARGH")</f>
        <v>11.9</v>
      </c>
      <c r="IG27" s="3">
        <f>_xlfn.XLOOKUP(IG$1,generator!$B$2:$B$295,generator!$K$2:$K$295,"ARGH")</f>
        <v>11.9</v>
      </c>
      <c r="IH27" s="3">
        <f>_xlfn.XLOOKUP(IH$1,generator!$B$2:$B$295,generator!$K$2:$K$295,"ARGH")</f>
        <v>11.9</v>
      </c>
      <c r="II27" s="3">
        <f>_xlfn.XLOOKUP(II$1,generator!$B$2:$B$295,generator!$K$2:$K$295,"ARGH")</f>
        <v>11.9</v>
      </c>
      <c r="IJ27" s="3">
        <f>_xlfn.XLOOKUP(IJ$1,generator!$B$2:$B$295,generator!$K$2:$K$295,"ARGH")</f>
        <v>0</v>
      </c>
      <c r="IK27" s="3">
        <f>_xlfn.XLOOKUP(IK$1,generator!$B$2:$B$295,generator!$K$2:$K$295,"ARGH")</f>
        <v>3</v>
      </c>
      <c r="IL27" s="3">
        <f>_xlfn.XLOOKUP(IL$1,generator!$B$2:$B$295,generator!$K$2:$K$295,"ARGH")</f>
        <v>5</v>
      </c>
      <c r="IM27" s="3">
        <f>_xlfn.XLOOKUP(IM$1,generator!$B$2:$B$295,generator!$K$2:$K$295,"ARGH")</f>
        <v>5</v>
      </c>
      <c r="IN27" s="3">
        <f>_xlfn.XLOOKUP(IN$1,generator!$B$2:$B$295,generator!$K$2:$K$295,"ARGH")</f>
        <v>4</v>
      </c>
      <c r="IO27" s="3">
        <f>_xlfn.XLOOKUP(IO$1,generator!$B$2:$B$295,generator!$K$2:$K$295,"ARGH")</f>
        <v>4</v>
      </c>
      <c r="IP27" s="3">
        <f>_xlfn.XLOOKUP(IP$1,generator!$B$2:$B$295,generator!$K$2:$K$295,"ARGH")</f>
        <v>3</v>
      </c>
      <c r="IQ27" s="3">
        <f>_xlfn.XLOOKUP(IQ$1,generator!$B$2:$B$295,generator!$K$2:$K$295,"ARGH")</f>
        <v>1</v>
      </c>
      <c r="IR27" s="3">
        <f>_xlfn.XLOOKUP(IR$1,generator!$B$2:$B$295,generator!$K$2:$K$295,"ARGH")</f>
        <v>3</v>
      </c>
      <c r="IS27" s="3">
        <f>_xlfn.XLOOKUP(IS$1,generator!$B$2:$B$295,generator!$K$2:$K$295,"ARGH")</f>
        <v>3</v>
      </c>
      <c r="IT27" s="3">
        <f>_xlfn.XLOOKUP(IT$1,generator!$B$2:$B$295,generator!$K$2:$K$295,"ARGH")</f>
        <v>0</v>
      </c>
      <c r="IU27" s="3">
        <f>_xlfn.XLOOKUP(IU$1,generator!$B$2:$B$295,generator!$K$2:$K$295,"ARGH")</f>
        <v>3.99</v>
      </c>
      <c r="IV27" s="3">
        <f>_xlfn.XLOOKUP(IV$1,generator!$B$2:$B$295,generator!$K$2:$K$295,"ARGH")</f>
        <v>0.2</v>
      </c>
      <c r="IW27" s="3">
        <f>_xlfn.XLOOKUP(IW$1,generator!$B$2:$B$295,generator!$K$2:$K$295,"ARGH")</f>
        <v>15</v>
      </c>
      <c r="IX27" s="3">
        <f>_xlfn.XLOOKUP(IX$1,generator!$B$2:$B$295,generator!$K$2:$K$295,"ARGH")</f>
        <v>15</v>
      </c>
      <c r="IY27" s="3">
        <f>_xlfn.XLOOKUP(IY$1,generator!$B$2:$B$295,generator!$K$2:$K$295,"ARGH")</f>
        <v>15</v>
      </c>
      <c r="IZ27" s="3">
        <f>_xlfn.XLOOKUP(IZ$1,generator!$B$2:$B$295,generator!$K$2:$K$295,"ARGH")</f>
        <v>120</v>
      </c>
      <c r="JA27" s="3">
        <f>_xlfn.XLOOKUP(JA$1,generator!$B$2:$B$295,generator!$K$2:$K$295,"ARGH")</f>
        <v>40</v>
      </c>
      <c r="JB27" s="3">
        <f>_xlfn.XLOOKUP(JB$1,generator!$B$2:$B$295,generator!$K$2:$K$295,"ARGH")</f>
        <v>40</v>
      </c>
      <c r="JC27" s="3">
        <f>_xlfn.XLOOKUP(JC$1,generator!$B$2:$B$295,generator!$K$2:$K$295,"ARGH")</f>
        <v>113</v>
      </c>
      <c r="JD27" s="3">
        <f>_xlfn.XLOOKUP(JD$1,generator!$B$2:$B$295,generator!$K$2:$K$295,"ARGH")</f>
        <v>113</v>
      </c>
      <c r="JE27" s="3">
        <f>_xlfn.XLOOKUP(JE$1,generator!$B$2:$B$295,generator!$K$2:$K$295,"ARGH")</f>
        <v>211</v>
      </c>
      <c r="JF27" s="3">
        <f>_xlfn.XLOOKUP(JF$1,generator!$B$2:$B$295,generator!$K$2:$K$295,"ARGH")</f>
        <v>22.5</v>
      </c>
      <c r="JG27" s="3">
        <f>_xlfn.XLOOKUP(JG$1,generator!$B$2:$B$295,generator!$K$2:$K$295,"ARGH")</f>
        <v>1</v>
      </c>
      <c r="JH27" s="3">
        <f>_xlfn.XLOOKUP(JH$1,generator!$B$2:$B$295,generator!$K$2:$K$295,"ARGH")</f>
        <v>160</v>
      </c>
      <c r="JI27" s="3">
        <f>_xlfn.XLOOKUP(JI$1,generator!$B$2:$B$295,generator!$K$2:$K$295,"ARGH")</f>
        <v>165</v>
      </c>
      <c r="JJ27" s="3">
        <f>_xlfn.XLOOKUP(JJ$1,generator!$B$2:$B$295,generator!$K$2:$K$295,"ARGH")</f>
        <v>4.5999999999999996</v>
      </c>
      <c r="JK27" s="3">
        <f>_xlfn.XLOOKUP(JK$1,generator!$B$2:$B$295,generator!$K$2:$K$295,"ARGH")</f>
        <v>4.5999999999999996</v>
      </c>
      <c r="JL27" s="3">
        <f>_xlfn.XLOOKUP(JL$1,generator!$B$2:$B$295,generator!$K$2:$K$295,"ARGH")</f>
        <v>4.5999999999999996</v>
      </c>
      <c r="JM27" s="3">
        <f>_xlfn.XLOOKUP(JM$1,generator!$B$2:$B$295,generator!$K$2:$K$295,"ARGH")</f>
        <v>4.5999999999999996</v>
      </c>
      <c r="JN27" s="3">
        <f>_xlfn.XLOOKUP(JN$1,generator!$B$2:$B$295,generator!$K$2:$K$295,"ARGH")</f>
        <v>4.5999999999999996</v>
      </c>
      <c r="JO27" s="3">
        <f>_xlfn.XLOOKUP(JO$1,generator!$B$2:$B$295,generator!$K$2:$K$295,"ARGH")</f>
        <v>4.5999999999999996</v>
      </c>
      <c r="JP27" s="3">
        <f>_xlfn.XLOOKUP(JP$1,generator!$B$2:$B$295,generator!$K$2:$K$295,"ARGH")</f>
        <v>110</v>
      </c>
      <c r="JQ27" s="3">
        <f>_xlfn.XLOOKUP(JQ$1,generator!$B$2:$B$295,generator!$K$2:$K$295,"ARGH")</f>
        <v>22.7</v>
      </c>
      <c r="JR27" s="3">
        <f>_xlfn.XLOOKUP(JR$1,generator!$B$2:$B$295,generator!$K$2:$K$295,"ARGH")</f>
        <v>147</v>
      </c>
      <c r="JS27" s="3">
        <f>_xlfn.XLOOKUP(JS$1,generator!$B$2:$B$295,generator!$K$2:$K$295,"ARGH")</f>
        <v>147</v>
      </c>
      <c r="JT27" s="3">
        <f>_xlfn.XLOOKUP(JT$1,generator!$B$2:$B$295,generator!$K$2:$K$295,"ARGH")</f>
        <v>22.7</v>
      </c>
      <c r="JU27" s="3">
        <f>_xlfn.XLOOKUP(JU$1,generator!$B$2:$B$295,generator!$K$2:$K$295,"ARGH")</f>
        <v>21.5</v>
      </c>
      <c r="JV27" s="3">
        <f>_xlfn.XLOOKUP(JV$1,generator!$B$2:$B$295,generator!$K$2:$K$295,"ARGH")</f>
        <v>120</v>
      </c>
      <c r="JW27" s="3">
        <f>_xlfn.XLOOKUP(JW$1,generator!$B$2:$B$295,generator!$K$2:$K$295,"ARGH")</f>
        <v>120</v>
      </c>
      <c r="JX27" s="3">
        <f>_xlfn.XLOOKUP(JX$1,generator!$B$2:$B$295,generator!$K$2:$K$295,"ARGH")</f>
        <v>1</v>
      </c>
      <c r="JY27" s="3">
        <f>_xlfn.XLOOKUP(JY$1,generator!$B$2:$B$295,generator!$K$2:$K$295,"ARGH")</f>
        <v>41.15</v>
      </c>
      <c r="JZ27" s="3">
        <f>_xlfn.XLOOKUP(JZ$1,generator!$B$2:$B$295,generator!$K$2:$K$295,"ARGH")</f>
        <v>5</v>
      </c>
      <c r="KA27" s="3">
        <f>_xlfn.XLOOKUP(KA$1,generator!$B$2:$B$295,generator!$K$2:$K$295,"ARGH")</f>
        <v>5</v>
      </c>
      <c r="KB27" s="3">
        <f>_xlfn.XLOOKUP(KB$1,generator!$B$2:$B$295,generator!$K$2:$K$295,"ARGH")</f>
        <v>5</v>
      </c>
      <c r="KC27" s="3">
        <f>_xlfn.XLOOKUP(KC$1,generator!$B$2:$B$295,generator!$K$2:$K$295,"ARGH")</f>
        <v>5</v>
      </c>
    </row>
    <row r="28" spans="1:289" x14ac:dyDescent="0.3">
      <c r="A28" s="4" t="s">
        <v>3023</v>
      </c>
      <c r="B28" s="31">
        <v>476</v>
      </c>
      <c r="C28" s="31">
        <v>513</v>
      </c>
      <c r="D28" s="31">
        <v>442</v>
      </c>
      <c r="E28" s="3">
        <f>_xlfn.XLOOKUP(E$1,generator!$B$2:$B$295,generator!$K$2:$K$295,"ARGH")</f>
        <v>0</v>
      </c>
      <c r="F28" s="3">
        <f>_xlfn.XLOOKUP(F$1,generator!$B$2:$B$295,generator!$K$2:$K$295,"ARGH")</f>
        <v>0</v>
      </c>
      <c r="G28" s="3">
        <f>_xlfn.XLOOKUP(G$1,generator!$B$2:$B$295,generator!$K$2:$K$295,"ARGH")</f>
        <v>0</v>
      </c>
      <c r="H28" s="3">
        <f>_xlfn.XLOOKUP(H$1,generator!$B$2:$B$295,generator!$K$2:$K$295,"ARGH")</f>
        <v>0</v>
      </c>
      <c r="I28" s="3">
        <f>_xlfn.XLOOKUP(I$1,generator!$B$2:$B$295,generator!$K$2:$K$295,"ARGH")</f>
        <v>0</v>
      </c>
      <c r="J28" s="3">
        <f>_xlfn.XLOOKUP(J$1,generator!$B$2:$B$295,generator!$K$2:$K$295,"ARGH")</f>
        <v>0</v>
      </c>
      <c r="K28" s="3">
        <f>_xlfn.XLOOKUP(K$1,generator!$B$2:$B$295,generator!$K$2:$K$295,"ARGH")</f>
        <v>0</v>
      </c>
      <c r="L28" s="3">
        <f>_xlfn.XLOOKUP(L$1,generator!$B$2:$B$295,generator!$K$2:$K$295,"ARGH")</f>
        <v>0</v>
      </c>
      <c r="M28" s="3">
        <f>_xlfn.XLOOKUP(M$1,generator!$B$2:$B$295,generator!$K$2:$K$295,"ARGH")</f>
        <v>0</v>
      </c>
      <c r="N28" s="3">
        <f>_xlfn.XLOOKUP(N$1,generator!$B$2:$B$295,generator!$K$2:$K$295,"ARGH")</f>
        <v>0</v>
      </c>
      <c r="O28" s="3">
        <f>_xlfn.XLOOKUP(O$1,generator!$B$2:$B$295,generator!$K$2:$K$295,"ARGH")</f>
        <v>0</v>
      </c>
      <c r="P28" s="3">
        <f>_xlfn.XLOOKUP(P$1,generator!$B$2:$B$295,generator!$K$2:$K$295,"ARGH")</f>
        <v>0</v>
      </c>
      <c r="Q28" s="3">
        <f>_xlfn.XLOOKUP(Q$1,generator!$B$2:$B$295,generator!$K$2:$K$295,"ARGH")</f>
        <v>0</v>
      </c>
      <c r="R28" s="3">
        <f>_xlfn.XLOOKUP(R$1,generator!$B$2:$B$295,generator!$K$2:$K$295,"ARGH")</f>
        <v>0</v>
      </c>
      <c r="S28" s="3">
        <f>_xlfn.XLOOKUP(S$1,generator!$B$2:$B$295,generator!$K$2:$K$295,"ARGH")</f>
        <v>0</v>
      </c>
      <c r="T28" s="3">
        <f>_xlfn.XLOOKUP(T$1,generator!$B$2:$B$295,generator!$K$2:$K$295,"ARGH")</f>
        <v>0</v>
      </c>
      <c r="U28" s="3">
        <f>_xlfn.XLOOKUP(U$1,generator!$B$2:$B$295,generator!$K$2:$K$295,"ARGH")</f>
        <v>0</v>
      </c>
      <c r="V28" s="3">
        <f>_xlfn.XLOOKUP(V$1,generator!$B$2:$B$295,generator!$K$2:$K$295,"ARGH")</f>
        <v>0</v>
      </c>
      <c r="W28" s="3">
        <f>_xlfn.XLOOKUP(W$1,generator!$B$2:$B$295,generator!$K$2:$K$295,"ARGH")</f>
        <v>0</v>
      </c>
      <c r="X28" s="3">
        <f>_xlfn.XLOOKUP(X$1,generator!$B$2:$B$295,generator!$K$2:$K$295,"ARGH")</f>
        <v>0</v>
      </c>
      <c r="Y28" s="3">
        <f>_xlfn.XLOOKUP(Y$1,generator!$B$2:$B$295,generator!$K$2:$K$295,"ARGH")</f>
        <v>0</v>
      </c>
      <c r="Z28" s="3">
        <f>_xlfn.XLOOKUP(Z$1,generator!$B$2:$B$295,generator!$K$2:$K$295,"ARGH")</f>
        <v>0</v>
      </c>
      <c r="AA28" s="3">
        <f>_xlfn.XLOOKUP(AA$1,generator!$B$2:$B$295,generator!$K$2:$K$295,"ARGH")</f>
        <v>0</v>
      </c>
      <c r="AB28" s="3">
        <f>_xlfn.XLOOKUP(AB$1,generator!$B$2:$B$295,generator!$K$2:$K$295,"ARGH")</f>
        <v>0</v>
      </c>
      <c r="AC28" s="3">
        <f>_xlfn.XLOOKUP(AC$1,generator!$B$2:$B$295,generator!$K$2:$K$295,"ARGH")</f>
        <v>0</v>
      </c>
      <c r="AD28" s="3">
        <f>_xlfn.XLOOKUP(AD$1,generator!$B$2:$B$295,generator!$K$2:$K$295,"ARGH")</f>
        <v>0</v>
      </c>
      <c r="AE28" s="3">
        <f>_xlfn.XLOOKUP(AE$1,generator!$B$2:$B$295,generator!$K$2:$K$295,"ARGH")</f>
        <v>0</v>
      </c>
      <c r="AF28" s="3">
        <f>_xlfn.XLOOKUP(AF$1,generator!$B$2:$B$295,generator!$K$2:$K$295,"ARGH")</f>
        <v>0</v>
      </c>
      <c r="AG28" s="3">
        <f>_xlfn.XLOOKUP(AG$1,generator!$B$2:$B$295,generator!$K$2:$K$295,"ARGH")</f>
        <v>0</v>
      </c>
      <c r="AH28" s="3">
        <f>_xlfn.XLOOKUP(AH$1,generator!$B$2:$B$295,generator!$K$2:$K$295,"ARGH")</f>
        <v>0</v>
      </c>
      <c r="AI28" s="3">
        <f>_xlfn.XLOOKUP(AI$1,generator!$B$2:$B$295,generator!$K$2:$K$295,"ARGH")</f>
        <v>0</v>
      </c>
      <c r="AJ28" s="3">
        <f>_xlfn.XLOOKUP(AJ$1,generator!$B$2:$B$295,generator!$K$2:$K$295,"ARGH")</f>
        <v>0</v>
      </c>
      <c r="AK28" s="3">
        <f>_xlfn.XLOOKUP(AK$1,generator!$B$2:$B$295,generator!$K$2:$K$295,"ARGH")</f>
        <v>0</v>
      </c>
      <c r="AL28" s="3">
        <f>_xlfn.XLOOKUP(AL$1,generator!$B$2:$B$295,generator!$K$2:$K$295,"ARGH")</f>
        <v>0</v>
      </c>
      <c r="AM28" s="3">
        <f>_xlfn.XLOOKUP(AM$1,generator!$B$2:$B$295,generator!$K$2:$K$295,"ARGH")</f>
        <v>0</v>
      </c>
      <c r="AN28" s="3">
        <f>_xlfn.XLOOKUP(AN$1,generator!$B$2:$B$295,generator!$K$2:$K$295,"ARGH")</f>
        <v>0</v>
      </c>
      <c r="AO28" s="3">
        <f>_xlfn.XLOOKUP(AO$1,generator!$B$2:$B$295,generator!$K$2:$K$295,"ARGH")</f>
        <v>0</v>
      </c>
      <c r="AP28" s="3">
        <f>_xlfn.XLOOKUP(AP$1,generator!$B$2:$B$295,generator!$K$2:$K$295,"ARGH")</f>
        <v>0</v>
      </c>
      <c r="AQ28" s="3">
        <f>_xlfn.XLOOKUP(AQ$1,generator!$B$2:$B$295,generator!$K$2:$K$295,"ARGH")</f>
        <v>0</v>
      </c>
      <c r="AR28" s="3">
        <f>_xlfn.XLOOKUP(AR$1,generator!$B$2:$B$295,generator!$K$2:$K$295,"ARGH")</f>
        <v>0</v>
      </c>
      <c r="AS28" s="3">
        <f>_xlfn.XLOOKUP(AS$1,generator!$B$2:$B$295,generator!$K$2:$K$295,"ARGH")</f>
        <v>0</v>
      </c>
      <c r="AT28" s="3">
        <f>_xlfn.XLOOKUP(AT$1,generator!$B$2:$B$295,generator!$K$2:$K$295,"ARGH")</f>
        <v>0</v>
      </c>
      <c r="AU28" s="3">
        <f>_xlfn.XLOOKUP(AU$1,generator!$B$2:$B$295,generator!$K$2:$K$295,"ARGH")</f>
        <v>0</v>
      </c>
      <c r="AV28" s="3">
        <f>_xlfn.XLOOKUP(AV$1,generator!$B$2:$B$295,generator!$K$2:$K$295,"ARGH")</f>
        <v>0</v>
      </c>
      <c r="AW28" s="3">
        <f>_xlfn.XLOOKUP(AW$1,generator!$B$2:$B$295,generator!$K$2:$K$295,"ARGH")</f>
        <v>0</v>
      </c>
      <c r="AX28" s="3">
        <f>_xlfn.XLOOKUP(AX$1,generator!$B$2:$B$295,generator!$K$2:$K$295,"ARGH")</f>
        <v>0</v>
      </c>
      <c r="AY28" s="3">
        <f>_xlfn.XLOOKUP(AY$1,generator!$B$2:$B$295,generator!$K$2:$K$295,"ARGH")</f>
        <v>0</v>
      </c>
      <c r="AZ28" s="3">
        <f>_xlfn.XLOOKUP(AZ$1,generator!$B$2:$B$295,generator!$K$2:$K$295,"ARGH")</f>
        <v>0</v>
      </c>
      <c r="BA28" s="3">
        <f>_xlfn.XLOOKUP(BA$1,generator!$B$2:$B$295,generator!$K$2:$K$295,"ARGH")</f>
        <v>0</v>
      </c>
      <c r="BB28" s="3">
        <f>_xlfn.XLOOKUP(BB$1,generator!$B$2:$B$295,generator!$K$2:$K$295,"ARGH")</f>
        <v>0</v>
      </c>
      <c r="BC28" s="3">
        <f>_xlfn.XLOOKUP(BC$1,generator!$B$2:$B$295,generator!$K$2:$K$295,"ARGH")</f>
        <v>0</v>
      </c>
      <c r="BD28" s="3">
        <f>_xlfn.XLOOKUP(BD$1,generator!$B$2:$B$295,generator!$K$2:$K$295,"ARGH")</f>
        <v>0</v>
      </c>
      <c r="BE28" s="3">
        <f>_xlfn.XLOOKUP(BE$1,generator!$B$2:$B$295,generator!$K$2:$K$295,"ARGH")</f>
        <v>0</v>
      </c>
      <c r="BF28" s="3">
        <f>_xlfn.XLOOKUP(BF$1,generator!$B$2:$B$295,generator!$K$2:$K$295,"ARGH")</f>
        <v>0</v>
      </c>
      <c r="BG28" s="3">
        <f>_xlfn.XLOOKUP(BG$1,generator!$B$2:$B$295,generator!$K$2:$K$295,"ARGH")</f>
        <v>0</v>
      </c>
      <c r="BH28" s="3">
        <f>_xlfn.XLOOKUP(BH$1,generator!$B$2:$B$295,generator!$K$2:$K$295,"ARGH")</f>
        <v>0</v>
      </c>
      <c r="BI28" s="3">
        <f>_xlfn.XLOOKUP(BI$1,generator!$B$2:$B$295,generator!$K$2:$K$295,"ARGH")</f>
        <v>0</v>
      </c>
      <c r="BJ28" s="3">
        <f>_xlfn.XLOOKUP(BJ$1,generator!$B$2:$B$295,generator!$K$2:$K$295,"ARGH")</f>
        <v>0</v>
      </c>
      <c r="BK28" s="3">
        <f>_xlfn.XLOOKUP(BK$1,generator!$B$2:$B$295,generator!$K$2:$K$295,"ARGH")</f>
        <v>0</v>
      </c>
      <c r="BL28" s="3">
        <f>_xlfn.XLOOKUP(BL$1,generator!$B$2:$B$295,generator!$K$2:$K$295,"ARGH")</f>
        <v>0</v>
      </c>
      <c r="BM28" s="3">
        <f>_xlfn.XLOOKUP(BM$1,generator!$B$2:$B$295,generator!$K$2:$K$295,"ARGH")</f>
        <v>0</v>
      </c>
      <c r="BN28" s="3">
        <f>_xlfn.XLOOKUP(BN$1,generator!$B$2:$B$295,generator!$K$2:$K$295,"ARGH")</f>
        <v>0</v>
      </c>
      <c r="BO28" s="3">
        <f>_xlfn.XLOOKUP(BO$1,generator!$B$2:$B$295,generator!$K$2:$K$295,"ARGH")</f>
        <v>0</v>
      </c>
      <c r="BP28" s="3">
        <f>_xlfn.XLOOKUP(BP$1,generator!$B$2:$B$295,generator!$K$2:$K$295,"ARGH")</f>
        <v>0</v>
      </c>
      <c r="BQ28" s="3">
        <f>_xlfn.XLOOKUP(BQ$1,generator!$B$2:$B$295,generator!$K$2:$K$295,"ARGH")</f>
        <v>0</v>
      </c>
      <c r="BR28" s="3">
        <f>_xlfn.XLOOKUP(BR$1,generator!$B$2:$B$295,generator!$K$2:$K$295,"ARGH")</f>
        <v>0</v>
      </c>
      <c r="BS28" s="3">
        <f>_xlfn.XLOOKUP(BS$1,generator!$B$2:$B$295,generator!$K$2:$K$295,"ARGH")</f>
        <v>0</v>
      </c>
      <c r="BT28" s="3">
        <f>_xlfn.XLOOKUP(BT$1,generator!$B$2:$B$295,generator!$K$2:$K$295,"ARGH")</f>
        <v>0</v>
      </c>
      <c r="BU28" s="3">
        <f>_xlfn.XLOOKUP(BU$1,generator!$B$2:$B$295,generator!$K$2:$K$295,"ARGH")</f>
        <v>0</v>
      </c>
      <c r="BV28" s="3">
        <f>_xlfn.XLOOKUP(BV$1,generator!$B$2:$B$295,generator!$K$2:$K$295,"ARGH")</f>
        <v>0</v>
      </c>
      <c r="BW28" s="3">
        <f>_xlfn.XLOOKUP(BW$1,generator!$B$2:$B$295,generator!$K$2:$K$295,"ARGH")</f>
        <v>0</v>
      </c>
      <c r="BX28" s="3">
        <f>_xlfn.XLOOKUP(BX$1,generator!$B$2:$B$295,generator!$K$2:$K$295,"ARGH")</f>
        <v>0</v>
      </c>
      <c r="BY28" s="3">
        <f>_xlfn.XLOOKUP(BY$1,generator!$B$2:$B$295,generator!$K$2:$K$295,"ARGH")</f>
        <v>0</v>
      </c>
      <c r="BZ28" s="3">
        <f>_xlfn.XLOOKUP(BZ$1,generator!$B$2:$B$295,generator!$K$2:$K$295,"ARGH")</f>
        <v>0</v>
      </c>
      <c r="CA28" s="3">
        <f>_xlfn.XLOOKUP(CA$1,generator!$B$2:$B$295,generator!$K$2:$K$295,"ARGH")</f>
        <v>0</v>
      </c>
      <c r="CB28" s="3">
        <f>_xlfn.XLOOKUP(CB$1,generator!$B$2:$B$295,generator!$K$2:$K$295,"ARGH")</f>
        <v>0</v>
      </c>
      <c r="CC28" s="3">
        <f>_xlfn.XLOOKUP(CC$1,generator!$B$2:$B$295,generator!$K$2:$K$295,"ARGH")</f>
        <v>0</v>
      </c>
      <c r="CD28" s="3">
        <f>_xlfn.XLOOKUP(CD$1,generator!$B$2:$B$295,generator!$K$2:$K$295,"ARGH")</f>
        <v>0</v>
      </c>
      <c r="CE28" s="3">
        <f>_xlfn.XLOOKUP(CE$1,generator!$B$2:$B$295,generator!$K$2:$K$295,"ARGH")</f>
        <v>0</v>
      </c>
      <c r="CF28" s="3">
        <f>_xlfn.XLOOKUP(CF$1,generator!$B$2:$B$295,generator!$K$2:$K$295,"ARGH")</f>
        <v>0</v>
      </c>
      <c r="CG28" s="3">
        <f>_xlfn.XLOOKUP(CG$1,generator!$B$2:$B$295,generator!$K$2:$K$295,"ARGH")</f>
        <v>0</v>
      </c>
      <c r="CH28" s="3">
        <f>_xlfn.XLOOKUP(CH$1,generator!$B$2:$B$295,generator!$K$2:$K$295,"ARGH")</f>
        <v>0</v>
      </c>
      <c r="CI28" s="3">
        <f>_xlfn.XLOOKUP(CI$1,generator!$B$2:$B$295,generator!$K$2:$K$295,"ARGH")</f>
        <v>0</v>
      </c>
      <c r="CJ28" s="3">
        <f>_xlfn.XLOOKUP(CJ$1,generator!$B$2:$B$295,generator!$K$2:$K$295,"ARGH")</f>
        <v>0</v>
      </c>
      <c r="CK28" s="3">
        <f>_xlfn.XLOOKUP(CK$1,generator!$B$2:$B$295,generator!$K$2:$K$295,"ARGH")</f>
        <v>0</v>
      </c>
      <c r="CL28" s="3">
        <f>_xlfn.XLOOKUP(CL$1,generator!$B$2:$B$295,generator!$K$2:$K$295,"ARGH")</f>
        <v>0</v>
      </c>
      <c r="CM28" s="3">
        <f>_xlfn.XLOOKUP(CM$1,generator!$B$2:$B$295,generator!$K$2:$K$295,"ARGH")</f>
        <v>0</v>
      </c>
      <c r="CN28" s="3">
        <f>_xlfn.XLOOKUP(CN$1,generator!$B$2:$B$295,generator!$K$2:$K$295,"ARGH")</f>
        <v>0</v>
      </c>
      <c r="CO28" s="3">
        <f>_xlfn.XLOOKUP(CO$1,generator!$B$2:$B$295,generator!$K$2:$K$295,"ARGH")</f>
        <v>0</v>
      </c>
      <c r="CP28" s="3">
        <f>_xlfn.XLOOKUP(CP$1,generator!$B$2:$B$295,generator!$K$2:$K$295,"ARGH")</f>
        <v>0</v>
      </c>
      <c r="CQ28" s="3">
        <f>_xlfn.XLOOKUP(CQ$1,generator!$B$2:$B$295,generator!$K$2:$K$295,"ARGH")</f>
        <v>0</v>
      </c>
      <c r="CR28" s="3">
        <f>_xlfn.XLOOKUP(CR$1,generator!$B$2:$B$295,generator!$K$2:$K$295,"ARGH")</f>
        <v>0</v>
      </c>
      <c r="CS28" s="3">
        <f>_xlfn.XLOOKUP(CS$1,generator!$B$2:$B$295,generator!$K$2:$K$295,"ARGH")</f>
        <v>0</v>
      </c>
      <c r="CT28" s="3">
        <f>_xlfn.XLOOKUP(CT$1,generator!$B$2:$B$295,generator!$K$2:$K$295,"ARGH")</f>
        <v>0</v>
      </c>
      <c r="CU28" s="3">
        <f>_xlfn.XLOOKUP(CU$1,generator!$B$2:$B$295,generator!$K$2:$K$295,"ARGH")</f>
        <v>0</v>
      </c>
      <c r="CV28" s="3">
        <f>_xlfn.XLOOKUP(CV$1,generator!$B$2:$B$295,generator!$K$2:$K$295,"ARGH")</f>
        <v>0</v>
      </c>
      <c r="CW28" s="3">
        <f>_xlfn.XLOOKUP(CW$1,generator!$B$2:$B$295,generator!$K$2:$K$295,"ARGH")</f>
        <v>0</v>
      </c>
      <c r="CX28" s="3">
        <f>_xlfn.XLOOKUP(CX$1,generator!$B$2:$B$295,generator!$K$2:$K$295,"ARGH")</f>
        <v>0</v>
      </c>
      <c r="CY28" s="3">
        <f>_xlfn.XLOOKUP(CY$1,generator!$B$2:$B$295,generator!$K$2:$K$295,"ARGH")</f>
        <v>0</v>
      </c>
      <c r="CZ28" s="3">
        <f>_xlfn.XLOOKUP(CZ$1,generator!$B$2:$B$295,generator!$K$2:$K$295,"ARGH")</f>
        <v>0</v>
      </c>
      <c r="DA28" s="3">
        <f>_xlfn.XLOOKUP(DA$1,generator!$B$2:$B$295,generator!$K$2:$K$295,"ARGH")</f>
        <v>0</v>
      </c>
      <c r="DB28" s="3">
        <f>_xlfn.XLOOKUP(DB$1,generator!$B$2:$B$295,generator!$K$2:$K$295,"ARGH")</f>
        <v>0</v>
      </c>
      <c r="DC28" s="3">
        <f>_xlfn.XLOOKUP(DC$1,generator!$B$2:$B$295,generator!$K$2:$K$295,"ARGH")</f>
        <v>0</v>
      </c>
      <c r="DD28" s="3">
        <f>_xlfn.XLOOKUP(DD$1,generator!$B$2:$B$295,generator!$K$2:$K$295,"ARGH")</f>
        <v>0</v>
      </c>
      <c r="DE28" s="3">
        <f>_xlfn.XLOOKUP(DE$1,generator!$B$2:$B$295,generator!$K$2:$K$295,"ARGH")</f>
        <v>0</v>
      </c>
      <c r="DF28" s="3">
        <f>_xlfn.XLOOKUP(DF$1,generator!$B$2:$B$295,generator!$K$2:$K$295,"ARGH")</f>
        <v>0</v>
      </c>
      <c r="DG28" s="3">
        <f>_xlfn.XLOOKUP(DG$1,generator!$B$2:$B$295,generator!$K$2:$K$295,"ARGH")</f>
        <v>0</v>
      </c>
      <c r="DH28" s="3">
        <f>_xlfn.XLOOKUP(DH$1,generator!$B$2:$B$295,generator!$K$2:$K$295,"ARGH")</f>
        <v>0</v>
      </c>
      <c r="DI28" s="3">
        <f>_xlfn.XLOOKUP(DI$1,generator!$B$2:$B$295,generator!$K$2:$K$295,"ARGH")</f>
        <v>0</v>
      </c>
      <c r="DJ28" s="3">
        <f>_xlfn.XLOOKUP(DJ$1,generator!$B$2:$B$295,generator!$K$2:$K$295,"ARGH")</f>
        <v>0</v>
      </c>
      <c r="DK28" s="3">
        <f>_xlfn.XLOOKUP(DK$1,generator!$B$2:$B$295,generator!$K$2:$K$295,"ARGH")</f>
        <v>0</v>
      </c>
      <c r="DL28" s="3">
        <f>_xlfn.XLOOKUP(DL$1,generator!$B$2:$B$295,generator!$K$2:$K$295,"ARGH")</f>
        <v>0</v>
      </c>
      <c r="DM28" s="3">
        <f>_xlfn.XLOOKUP(DM$1,generator!$B$2:$B$295,generator!$K$2:$K$295,"ARGH")</f>
        <v>0</v>
      </c>
      <c r="DN28" s="3">
        <f>_xlfn.XLOOKUP(DN$1,generator!$B$2:$B$295,generator!$K$2:$K$295,"ARGH")</f>
        <v>0</v>
      </c>
      <c r="DO28" s="3">
        <f>_xlfn.XLOOKUP(DO$1,generator!$B$2:$B$295,generator!$K$2:$K$295,"ARGH")</f>
        <v>0</v>
      </c>
      <c r="DP28" s="3">
        <f>_xlfn.XLOOKUP(DP$1,generator!$B$2:$B$295,generator!$K$2:$K$295,"ARGH")</f>
        <v>0</v>
      </c>
      <c r="DQ28" s="3">
        <f>_xlfn.XLOOKUP(DQ$1,generator!$B$2:$B$295,generator!$K$2:$K$295,"ARGH")</f>
        <v>0</v>
      </c>
      <c r="DR28" s="3">
        <f>_xlfn.XLOOKUP(DR$1,generator!$B$2:$B$295,generator!$K$2:$K$295,"ARGH")</f>
        <v>0</v>
      </c>
      <c r="DS28" s="3">
        <f>_xlfn.XLOOKUP(DS$1,generator!$B$2:$B$295,generator!$K$2:$K$295,"ARGH")</f>
        <v>0</v>
      </c>
      <c r="DT28" s="3">
        <f>_xlfn.XLOOKUP(DT$1,generator!$B$2:$B$295,generator!$K$2:$K$295,"ARGH")</f>
        <v>0</v>
      </c>
      <c r="DU28" s="3">
        <f>_xlfn.XLOOKUP(DU$1,generator!$B$2:$B$295,generator!$K$2:$K$295,"ARGH")</f>
        <v>0</v>
      </c>
      <c r="DV28" s="3">
        <f>_xlfn.XLOOKUP(DV$1,generator!$B$2:$B$295,generator!$K$2:$K$295,"ARGH")</f>
        <v>0</v>
      </c>
      <c r="DW28" s="3">
        <f>_xlfn.XLOOKUP(DW$1,generator!$B$2:$B$295,generator!$K$2:$K$295,"ARGH")</f>
        <v>0</v>
      </c>
      <c r="DX28" s="3">
        <f>_xlfn.XLOOKUP(DX$1,generator!$B$2:$B$295,generator!$K$2:$K$295,"ARGH")</f>
        <v>0</v>
      </c>
      <c r="DY28" s="3">
        <f>_xlfn.XLOOKUP(DY$1,generator!$B$2:$B$295,generator!$K$2:$K$295,"ARGH")</f>
        <v>0</v>
      </c>
      <c r="DZ28" s="3">
        <f>_xlfn.XLOOKUP(DZ$1,generator!$B$2:$B$295,generator!$K$2:$K$295,"ARGH")</f>
        <v>0</v>
      </c>
      <c r="EA28" s="3">
        <f>_xlfn.XLOOKUP(EA$1,generator!$B$2:$B$295,generator!$K$2:$K$295,"ARGH")</f>
        <v>0</v>
      </c>
      <c r="EB28" s="3">
        <f>_xlfn.XLOOKUP(EB$1,generator!$B$2:$B$295,generator!$K$2:$K$295,"ARGH")</f>
        <v>0</v>
      </c>
      <c r="EC28" s="3">
        <f>_xlfn.XLOOKUP(EC$1,generator!$B$2:$B$295,generator!$K$2:$K$295,"ARGH")</f>
        <v>0</v>
      </c>
      <c r="ED28" s="3">
        <f>_xlfn.XLOOKUP(ED$1,generator!$B$2:$B$295,generator!$K$2:$K$295,"ARGH")</f>
        <v>0</v>
      </c>
      <c r="EE28" s="3">
        <f>_xlfn.XLOOKUP(EE$1,generator!$B$2:$B$295,generator!$K$2:$K$295,"ARGH")</f>
        <v>0</v>
      </c>
      <c r="EF28" s="3">
        <f>_xlfn.XLOOKUP(EF$1,generator!$B$2:$B$295,generator!$K$2:$K$295,"ARGH")</f>
        <v>0</v>
      </c>
      <c r="EG28" s="3">
        <f>_xlfn.XLOOKUP(EG$1,generator!$B$2:$B$295,generator!$K$2:$K$295,"ARGH")</f>
        <v>0</v>
      </c>
      <c r="EH28" s="3">
        <f>_xlfn.XLOOKUP(EH$1,generator!$B$2:$B$295,generator!$K$2:$K$295,"ARGH")</f>
        <v>0</v>
      </c>
      <c r="EI28" s="3">
        <f>_xlfn.XLOOKUP(EI$1,generator!$B$2:$B$295,generator!$K$2:$K$295,"ARGH")</f>
        <v>0</v>
      </c>
      <c r="EJ28" s="3">
        <f>_xlfn.XLOOKUP(EJ$1,generator!$B$2:$B$295,generator!$K$2:$K$295,"ARGH")</f>
        <v>0</v>
      </c>
      <c r="EK28" s="3">
        <f>_xlfn.XLOOKUP(EK$1,generator!$B$2:$B$295,generator!$K$2:$K$295,"ARGH")</f>
        <v>0</v>
      </c>
      <c r="EL28" s="3">
        <f>_xlfn.XLOOKUP(EL$1,generator!$B$2:$B$295,generator!$K$2:$K$295,"ARGH")</f>
        <v>0</v>
      </c>
      <c r="EM28" s="3">
        <f>_xlfn.XLOOKUP(EM$1,generator!$B$2:$B$295,generator!$K$2:$K$295,"ARGH")</f>
        <v>0</v>
      </c>
      <c r="EN28" s="3">
        <f>_xlfn.XLOOKUP(EN$1,generator!$B$2:$B$295,generator!$K$2:$K$295,"ARGH")</f>
        <v>0</v>
      </c>
      <c r="EO28" s="3">
        <f>_xlfn.XLOOKUP(EO$1,generator!$B$2:$B$295,generator!$K$2:$K$295,"ARGH")</f>
        <v>0</v>
      </c>
      <c r="EP28" s="3">
        <f>_xlfn.XLOOKUP(EP$1,generator!$B$2:$B$295,generator!$K$2:$K$295,"ARGH")</f>
        <v>0</v>
      </c>
      <c r="EQ28" s="3">
        <f>_xlfn.XLOOKUP(EQ$1,generator!$B$2:$B$295,generator!$K$2:$K$295,"ARGH")</f>
        <v>0</v>
      </c>
      <c r="ER28" s="3">
        <f>_xlfn.XLOOKUP(ER$1,generator!$B$2:$B$295,generator!$K$2:$K$295,"ARGH")</f>
        <v>0</v>
      </c>
      <c r="ES28" s="3">
        <f>_xlfn.XLOOKUP(ES$1,generator!$B$2:$B$295,generator!$K$2:$K$295,"ARGH")</f>
        <v>0</v>
      </c>
      <c r="ET28" s="3">
        <f>_xlfn.XLOOKUP(ET$1,generator!$B$2:$B$295,generator!$K$2:$K$295,"ARGH")</f>
        <v>0</v>
      </c>
      <c r="EU28" s="3">
        <f>_xlfn.XLOOKUP(EU$1,generator!$B$2:$B$295,generator!$K$2:$K$295,"ARGH")</f>
        <v>0</v>
      </c>
      <c r="EV28" s="3">
        <f>_xlfn.XLOOKUP(EV$1,generator!$B$2:$B$295,generator!$K$2:$K$295,"ARGH")</f>
        <v>0</v>
      </c>
      <c r="EW28" s="3">
        <f>_xlfn.XLOOKUP(EW$1,generator!$B$2:$B$295,generator!$K$2:$K$295,"ARGH")</f>
        <v>0</v>
      </c>
      <c r="EX28" s="3">
        <f>_xlfn.XLOOKUP(EX$1,generator!$B$2:$B$295,generator!$K$2:$K$295,"ARGH")</f>
        <v>0</v>
      </c>
      <c r="EY28" s="3">
        <f>_xlfn.XLOOKUP(EY$1,generator!$B$2:$B$295,generator!$K$2:$K$295,"ARGH")</f>
        <v>0</v>
      </c>
      <c r="EZ28" s="3">
        <f>_xlfn.XLOOKUP(EZ$1,generator!$B$2:$B$295,generator!$K$2:$K$295,"ARGH")</f>
        <v>0</v>
      </c>
      <c r="FA28" s="3">
        <f>_xlfn.XLOOKUP(FA$1,generator!$B$2:$B$295,generator!$K$2:$K$295,"ARGH")</f>
        <v>0</v>
      </c>
      <c r="FB28" s="3">
        <f>_xlfn.XLOOKUP(FB$1,generator!$B$2:$B$295,generator!$K$2:$K$295,"ARGH")</f>
        <v>0</v>
      </c>
      <c r="FC28" s="3">
        <f>_xlfn.XLOOKUP(FC$1,generator!$B$2:$B$295,generator!$K$2:$K$295,"ARGH")</f>
        <v>0</v>
      </c>
      <c r="FD28" s="3">
        <f>_xlfn.XLOOKUP(FD$1,generator!$B$2:$B$295,generator!$K$2:$K$295,"ARGH")</f>
        <v>0</v>
      </c>
      <c r="FE28" s="3">
        <f>_xlfn.XLOOKUP(FE$1,generator!$B$2:$B$295,generator!$K$2:$K$295,"ARGH")</f>
        <v>0</v>
      </c>
      <c r="FF28" s="3">
        <f>_xlfn.XLOOKUP(FF$1,generator!$B$2:$B$295,generator!$K$2:$K$295,"ARGH")</f>
        <v>0</v>
      </c>
      <c r="FG28" s="3">
        <f>_xlfn.XLOOKUP(FG$1,generator!$B$2:$B$295,generator!$K$2:$K$295,"ARGH")</f>
        <v>0</v>
      </c>
      <c r="FH28" s="3">
        <f>_xlfn.XLOOKUP(FH$1,generator!$B$2:$B$295,generator!$K$2:$K$295,"ARGH")</f>
        <v>0</v>
      </c>
      <c r="FI28" s="3">
        <f>_xlfn.XLOOKUP(FI$1,generator!$B$2:$B$295,generator!$K$2:$K$295,"ARGH")</f>
        <v>0</v>
      </c>
      <c r="FJ28" s="3">
        <f>_xlfn.XLOOKUP(FJ$1,generator!$B$2:$B$295,generator!$K$2:$K$295,"ARGH")</f>
        <v>0</v>
      </c>
      <c r="FK28" s="3">
        <f>_xlfn.XLOOKUP(FK$1,generator!$B$2:$B$295,generator!$K$2:$K$295,"ARGH")</f>
        <v>0</v>
      </c>
      <c r="FL28" s="3">
        <f>_xlfn.XLOOKUP(FL$1,generator!$B$2:$B$295,generator!$K$2:$K$295,"ARGH")</f>
        <v>0</v>
      </c>
      <c r="FM28" s="3">
        <f>_xlfn.XLOOKUP(FM$1,generator!$B$2:$B$295,generator!$K$2:$K$295,"ARGH")</f>
        <v>0</v>
      </c>
      <c r="FN28" s="3">
        <f>_xlfn.XLOOKUP(FN$1,generator!$B$2:$B$295,generator!$K$2:$K$295,"ARGH")</f>
        <v>0</v>
      </c>
      <c r="FO28" s="3">
        <f>_xlfn.XLOOKUP(FO$1,generator!$B$2:$B$295,generator!$K$2:$K$295,"ARGH")</f>
        <v>0</v>
      </c>
      <c r="FP28" s="3">
        <f>_xlfn.XLOOKUP(FP$1,generator!$B$2:$B$295,generator!$K$2:$K$295,"ARGH")</f>
        <v>0</v>
      </c>
      <c r="FQ28" s="3">
        <f>_xlfn.XLOOKUP(FQ$1,generator!$B$2:$B$295,generator!$K$2:$K$295,"ARGH")</f>
        <v>0</v>
      </c>
      <c r="FR28" s="3">
        <f>_xlfn.XLOOKUP(FR$1,generator!$B$2:$B$295,generator!$K$2:$K$295,"ARGH")</f>
        <v>0</v>
      </c>
      <c r="FS28" s="3">
        <f>_xlfn.XLOOKUP(FS$1,generator!$B$2:$B$295,generator!$K$2:$K$295,"ARGH")</f>
        <v>0</v>
      </c>
      <c r="FT28" s="3">
        <f>_xlfn.XLOOKUP(FT$1,generator!$B$2:$B$295,generator!$K$2:$K$295,"ARGH")</f>
        <v>0</v>
      </c>
      <c r="FU28" s="3">
        <f>_xlfn.XLOOKUP(FU$1,generator!$B$2:$B$295,generator!$K$2:$K$295,"ARGH")</f>
        <v>0</v>
      </c>
      <c r="FV28" s="3">
        <f>_xlfn.XLOOKUP(FV$1,generator!$B$2:$B$295,generator!$K$2:$K$295,"ARGH")</f>
        <v>0</v>
      </c>
      <c r="FW28" s="3">
        <f>_xlfn.XLOOKUP(FW$1,generator!$B$2:$B$295,generator!$K$2:$K$295,"ARGH")</f>
        <v>0</v>
      </c>
      <c r="FX28" s="3">
        <f>_xlfn.XLOOKUP(FX$1,generator!$B$2:$B$295,generator!$K$2:$K$295,"ARGH")</f>
        <v>0</v>
      </c>
      <c r="FY28" s="3">
        <f>_xlfn.XLOOKUP(FY$1,generator!$B$2:$B$295,generator!$K$2:$K$295,"ARGH")</f>
        <v>0</v>
      </c>
      <c r="FZ28" s="3">
        <f>_xlfn.XLOOKUP(FZ$1,generator!$B$2:$B$295,generator!$K$2:$K$295,"ARGH")</f>
        <v>0</v>
      </c>
      <c r="GA28" s="3">
        <f>_xlfn.XLOOKUP(GA$1,generator!$B$2:$B$295,generator!$K$2:$K$295,"ARGH")</f>
        <v>0</v>
      </c>
      <c r="GB28" s="3">
        <f>_xlfn.XLOOKUP(GB$1,generator!$B$2:$B$295,generator!$K$2:$K$295,"ARGH")</f>
        <v>0</v>
      </c>
      <c r="GC28" s="3">
        <f>_xlfn.XLOOKUP(GC$1,generator!$B$2:$B$295,generator!$K$2:$K$295,"ARGH")</f>
        <v>0</v>
      </c>
      <c r="GD28" s="3">
        <f>_xlfn.XLOOKUP(GD$1,generator!$B$2:$B$295,generator!$K$2:$K$295,"ARGH")</f>
        <v>0</v>
      </c>
      <c r="GE28" s="3">
        <f>_xlfn.XLOOKUP(GE$1,generator!$B$2:$B$295,generator!$K$2:$K$295,"ARGH")</f>
        <v>0</v>
      </c>
      <c r="GF28" s="3">
        <f>_xlfn.XLOOKUP(GF$1,generator!$B$2:$B$295,generator!$K$2:$K$295,"ARGH")</f>
        <v>0</v>
      </c>
      <c r="GG28" s="3">
        <f>_xlfn.XLOOKUP(GG$1,generator!$B$2:$B$295,generator!$K$2:$K$295,"ARGH")</f>
        <v>0</v>
      </c>
      <c r="GH28" s="3">
        <f>_xlfn.XLOOKUP(GH$1,generator!$B$2:$B$295,generator!$K$2:$K$295,"ARGH")</f>
        <v>0</v>
      </c>
      <c r="GI28" s="3">
        <f>_xlfn.XLOOKUP(GI$1,generator!$B$2:$B$295,generator!$K$2:$K$295,"ARGH")</f>
        <v>0</v>
      </c>
      <c r="GJ28" s="3">
        <f>_xlfn.XLOOKUP(GJ$1,generator!$B$2:$B$295,generator!$K$2:$K$295,"ARGH")</f>
        <v>0</v>
      </c>
      <c r="GK28" s="3">
        <f>_xlfn.XLOOKUP(GK$1,generator!$B$2:$B$295,generator!$K$2:$K$295,"ARGH")</f>
        <v>0</v>
      </c>
      <c r="GL28" s="3">
        <f>_xlfn.XLOOKUP(GL$1,generator!$B$2:$B$295,generator!$K$2:$K$295,"ARGH")</f>
        <v>0</v>
      </c>
      <c r="GM28" s="3">
        <f>_xlfn.XLOOKUP(GM$1,generator!$B$2:$B$295,generator!$K$2:$K$295,"ARGH")</f>
        <v>0</v>
      </c>
      <c r="GN28" s="3">
        <f>_xlfn.XLOOKUP(GN$1,generator!$B$2:$B$295,generator!$K$2:$K$295,"ARGH")</f>
        <v>0</v>
      </c>
      <c r="GO28" s="3">
        <f>_xlfn.XLOOKUP(GO$1,generator!$B$2:$B$295,generator!$K$2:$K$295,"ARGH")</f>
        <v>0</v>
      </c>
      <c r="GP28" s="3">
        <f>_xlfn.XLOOKUP(GP$1,generator!$B$2:$B$295,generator!$K$2:$K$295,"ARGH")</f>
        <v>0</v>
      </c>
      <c r="GQ28" s="3">
        <f>_xlfn.XLOOKUP(GQ$1,generator!$B$2:$B$295,generator!$K$2:$K$295,"ARGH")</f>
        <v>0</v>
      </c>
      <c r="GR28" s="3">
        <f>_xlfn.XLOOKUP(GR$1,generator!$B$2:$B$295,generator!$K$2:$K$295,"ARGH")</f>
        <v>0</v>
      </c>
      <c r="GS28" s="3">
        <f>_xlfn.XLOOKUP(GS$1,generator!$B$2:$B$295,generator!$K$2:$K$295,"ARGH")</f>
        <v>0</v>
      </c>
      <c r="GT28" s="3">
        <f>_xlfn.XLOOKUP(GT$1,generator!$B$2:$B$295,generator!$K$2:$K$295,"ARGH")</f>
        <v>0</v>
      </c>
      <c r="GU28" s="3">
        <f>_xlfn.XLOOKUP(GU$1,generator!$B$2:$B$295,generator!$K$2:$K$295,"ARGH")</f>
        <v>0</v>
      </c>
      <c r="GV28" s="3">
        <f>_xlfn.XLOOKUP(GV$1,generator!$B$2:$B$295,generator!$K$2:$K$295,"ARGH")</f>
        <v>0</v>
      </c>
      <c r="GW28" s="3">
        <f>_xlfn.XLOOKUP(GW$1,generator!$B$2:$B$295,generator!$K$2:$K$295,"ARGH")</f>
        <v>0</v>
      </c>
      <c r="GX28" s="3">
        <f>_xlfn.XLOOKUP(GX$1,generator!$B$2:$B$295,generator!$K$2:$K$295,"ARGH")</f>
        <v>0</v>
      </c>
      <c r="GY28" s="3">
        <f>_xlfn.XLOOKUP(GY$1,generator!$B$2:$B$295,generator!$K$2:$K$295,"ARGH")</f>
        <v>0</v>
      </c>
      <c r="GZ28" s="3">
        <f>_xlfn.XLOOKUP(GZ$1,generator!$B$2:$B$295,generator!$K$2:$K$295,"ARGH")</f>
        <v>0</v>
      </c>
      <c r="HA28" s="3">
        <f>_xlfn.XLOOKUP(HA$1,generator!$B$2:$B$295,generator!$K$2:$K$295,"ARGH")</f>
        <v>0</v>
      </c>
      <c r="HB28" s="3">
        <f>_xlfn.XLOOKUP(HB$1,generator!$B$2:$B$295,generator!$K$2:$K$295,"ARGH")</f>
        <v>0</v>
      </c>
      <c r="HC28" s="3">
        <f>_xlfn.XLOOKUP(HC$1,generator!$B$2:$B$295,generator!$K$2:$K$295,"ARGH")</f>
        <v>0</v>
      </c>
      <c r="HD28" s="3">
        <f>_xlfn.XLOOKUP(HD$1,generator!$B$2:$B$295,generator!$K$2:$K$295,"ARGH")</f>
        <v>0</v>
      </c>
      <c r="HE28" s="3">
        <f>_xlfn.XLOOKUP(HE$1,generator!$B$2:$B$295,generator!$K$2:$K$295,"ARGH")</f>
        <v>12.74</v>
      </c>
      <c r="HF28" s="3">
        <f>_xlfn.XLOOKUP(HF$1,generator!$B$2:$B$295,generator!$K$2:$K$295,"ARGH")</f>
        <v>99</v>
      </c>
      <c r="HG28" s="3">
        <f>_xlfn.XLOOKUP(HG$1,generator!$B$2:$B$295,generator!$K$2:$K$295,"ARGH")</f>
        <v>99</v>
      </c>
      <c r="HH28" s="3">
        <f>_xlfn.XLOOKUP(HH$1,generator!$B$2:$B$295,generator!$K$2:$K$295,"ARGH")</f>
        <v>99</v>
      </c>
      <c r="HI28" s="3">
        <f>_xlfn.XLOOKUP(HI$1,generator!$B$2:$B$295,generator!$K$2:$K$295,"ARGH")</f>
        <v>8</v>
      </c>
      <c r="HJ28" s="3">
        <f>_xlfn.XLOOKUP(HJ$1,generator!$B$2:$B$295,generator!$K$2:$K$295,"ARGH")</f>
        <v>8</v>
      </c>
      <c r="HK28" s="3">
        <f>_xlfn.XLOOKUP(HK$1,generator!$B$2:$B$295,generator!$K$2:$K$295,"ARGH")</f>
        <v>8</v>
      </c>
      <c r="HL28" s="3">
        <f>_xlfn.XLOOKUP(HL$1,generator!$B$2:$B$295,generator!$K$2:$K$295,"ARGH")</f>
        <v>20</v>
      </c>
      <c r="HM28" s="3">
        <f>_xlfn.XLOOKUP(HM$1,generator!$B$2:$B$295,generator!$K$2:$K$295,"ARGH")</f>
        <v>20</v>
      </c>
      <c r="HN28" s="3">
        <f>_xlfn.XLOOKUP(HN$1,generator!$B$2:$B$295,generator!$K$2:$K$295,"ARGH")</f>
        <v>5</v>
      </c>
      <c r="HO28" s="3">
        <f>_xlfn.XLOOKUP(HO$1,generator!$B$2:$B$295,generator!$K$2:$K$295,"ARGH")</f>
        <v>5</v>
      </c>
      <c r="HP28" s="3">
        <f>_xlfn.XLOOKUP(HP$1,generator!$B$2:$B$295,generator!$K$2:$K$295,"ARGH")</f>
        <v>0.2</v>
      </c>
      <c r="HQ28" s="3">
        <f>_xlfn.XLOOKUP(HQ$1,generator!$B$2:$B$295,generator!$K$2:$K$295,"ARGH")</f>
        <v>5</v>
      </c>
      <c r="HR28" s="3">
        <f>_xlfn.XLOOKUP(HR$1,generator!$B$2:$B$295,generator!$K$2:$K$295,"ARGH")</f>
        <v>5</v>
      </c>
      <c r="HS28" s="3">
        <f>_xlfn.XLOOKUP(HS$1,generator!$B$2:$B$295,generator!$K$2:$K$295,"ARGH")</f>
        <v>12.82</v>
      </c>
      <c r="HT28" s="3">
        <f>_xlfn.XLOOKUP(HT$1,generator!$B$2:$B$295,generator!$K$2:$K$295,"ARGH")</f>
        <v>12.82</v>
      </c>
      <c r="HU28" s="3">
        <f>_xlfn.XLOOKUP(HU$1,generator!$B$2:$B$295,generator!$K$2:$K$295,"ARGH")</f>
        <v>25</v>
      </c>
      <c r="HV28" s="3">
        <f>_xlfn.XLOOKUP(HV$1,generator!$B$2:$B$295,generator!$K$2:$K$295,"ARGH")</f>
        <v>16</v>
      </c>
      <c r="HW28" s="3">
        <f>_xlfn.XLOOKUP(HW$1,generator!$B$2:$B$295,generator!$K$2:$K$295,"ARGH")</f>
        <v>5</v>
      </c>
      <c r="HX28" s="3">
        <f>_xlfn.XLOOKUP(HX$1,generator!$B$2:$B$295,generator!$K$2:$K$295,"ARGH")</f>
        <v>5</v>
      </c>
      <c r="HY28" s="3">
        <f>_xlfn.XLOOKUP(HY$1,generator!$B$2:$B$295,generator!$K$2:$K$295,"ARGH")</f>
        <v>63</v>
      </c>
      <c r="HZ28" s="3">
        <f>_xlfn.XLOOKUP(HZ$1,generator!$B$2:$B$295,generator!$K$2:$K$295,"ARGH")</f>
        <v>18</v>
      </c>
      <c r="IA28" s="3">
        <f>_xlfn.XLOOKUP(IA$1,generator!$B$2:$B$295,generator!$K$2:$K$295,"ARGH")</f>
        <v>121</v>
      </c>
      <c r="IB28" s="3">
        <f>_xlfn.XLOOKUP(IB$1,generator!$B$2:$B$295,generator!$K$2:$K$295,"ARGH")</f>
        <v>120</v>
      </c>
      <c r="IC28" s="3">
        <f>_xlfn.XLOOKUP(IC$1,generator!$B$2:$B$295,generator!$K$2:$K$295,"ARGH")</f>
        <v>0</v>
      </c>
      <c r="ID28" s="3">
        <f>_xlfn.XLOOKUP(ID$1,generator!$B$2:$B$295,generator!$K$2:$K$295,"ARGH")</f>
        <v>17</v>
      </c>
      <c r="IE28" s="3">
        <f>_xlfn.XLOOKUP(IE$1,generator!$B$2:$B$295,generator!$K$2:$K$295,"ARGH")</f>
        <v>194</v>
      </c>
      <c r="IF28" s="3">
        <f>_xlfn.XLOOKUP(IF$1,generator!$B$2:$B$295,generator!$K$2:$K$295,"ARGH")</f>
        <v>11.9</v>
      </c>
      <c r="IG28" s="3">
        <f>_xlfn.XLOOKUP(IG$1,generator!$B$2:$B$295,generator!$K$2:$K$295,"ARGH")</f>
        <v>11.9</v>
      </c>
      <c r="IH28" s="3">
        <f>_xlfn.XLOOKUP(IH$1,generator!$B$2:$B$295,generator!$K$2:$K$295,"ARGH")</f>
        <v>11.9</v>
      </c>
      <c r="II28" s="3">
        <f>_xlfn.XLOOKUP(II$1,generator!$B$2:$B$295,generator!$K$2:$K$295,"ARGH")</f>
        <v>11.9</v>
      </c>
      <c r="IJ28" s="3">
        <f>_xlfn.XLOOKUP(IJ$1,generator!$B$2:$B$295,generator!$K$2:$K$295,"ARGH")</f>
        <v>0</v>
      </c>
      <c r="IK28" s="3">
        <f>_xlfn.XLOOKUP(IK$1,generator!$B$2:$B$295,generator!$K$2:$K$295,"ARGH")</f>
        <v>3</v>
      </c>
      <c r="IL28" s="3">
        <f>_xlfn.XLOOKUP(IL$1,generator!$B$2:$B$295,generator!$K$2:$K$295,"ARGH")</f>
        <v>5</v>
      </c>
      <c r="IM28" s="3">
        <f>_xlfn.XLOOKUP(IM$1,generator!$B$2:$B$295,generator!$K$2:$K$295,"ARGH")</f>
        <v>5</v>
      </c>
      <c r="IN28" s="3">
        <f>_xlfn.XLOOKUP(IN$1,generator!$B$2:$B$295,generator!$K$2:$K$295,"ARGH")</f>
        <v>4</v>
      </c>
      <c r="IO28" s="3">
        <f>_xlfn.XLOOKUP(IO$1,generator!$B$2:$B$295,generator!$K$2:$K$295,"ARGH")</f>
        <v>4</v>
      </c>
      <c r="IP28" s="3">
        <f>_xlfn.XLOOKUP(IP$1,generator!$B$2:$B$295,generator!$K$2:$K$295,"ARGH")</f>
        <v>3</v>
      </c>
      <c r="IQ28" s="3">
        <f>_xlfn.XLOOKUP(IQ$1,generator!$B$2:$B$295,generator!$K$2:$K$295,"ARGH")</f>
        <v>1</v>
      </c>
      <c r="IR28" s="3">
        <f>_xlfn.XLOOKUP(IR$1,generator!$B$2:$B$295,generator!$K$2:$K$295,"ARGH")</f>
        <v>3</v>
      </c>
      <c r="IS28" s="3">
        <f>_xlfn.XLOOKUP(IS$1,generator!$B$2:$B$295,generator!$K$2:$K$295,"ARGH")</f>
        <v>3</v>
      </c>
      <c r="IT28" s="3">
        <f>_xlfn.XLOOKUP(IT$1,generator!$B$2:$B$295,generator!$K$2:$K$295,"ARGH")</f>
        <v>0</v>
      </c>
      <c r="IU28" s="3">
        <f>_xlfn.XLOOKUP(IU$1,generator!$B$2:$B$295,generator!$K$2:$K$295,"ARGH")</f>
        <v>3.99</v>
      </c>
      <c r="IV28" s="3">
        <f>_xlfn.XLOOKUP(IV$1,generator!$B$2:$B$295,generator!$K$2:$K$295,"ARGH")</f>
        <v>0.2</v>
      </c>
      <c r="IW28" s="3">
        <f>_xlfn.XLOOKUP(IW$1,generator!$B$2:$B$295,generator!$K$2:$K$295,"ARGH")</f>
        <v>15</v>
      </c>
      <c r="IX28" s="3">
        <f>_xlfn.XLOOKUP(IX$1,generator!$B$2:$B$295,generator!$K$2:$K$295,"ARGH")</f>
        <v>15</v>
      </c>
      <c r="IY28" s="3">
        <f>_xlfn.XLOOKUP(IY$1,generator!$B$2:$B$295,generator!$K$2:$K$295,"ARGH")</f>
        <v>15</v>
      </c>
      <c r="IZ28" s="3">
        <f>_xlfn.XLOOKUP(IZ$1,generator!$B$2:$B$295,generator!$K$2:$K$295,"ARGH")</f>
        <v>120</v>
      </c>
      <c r="JA28" s="3">
        <f>_xlfn.XLOOKUP(JA$1,generator!$B$2:$B$295,generator!$K$2:$K$295,"ARGH")</f>
        <v>40</v>
      </c>
      <c r="JB28" s="3">
        <f>_xlfn.XLOOKUP(JB$1,generator!$B$2:$B$295,generator!$K$2:$K$295,"ARGH")</f>
        <v>40</v>
      </c>
      <c r="JC28" s="3">
        <f>_xlfn.XLOOKUP(JC$1,generator!$B$2:$B$295,generator!$K$2:$K$295,"ARGH")</f>
        <v>113</v>
      </c>
      <c r="JD28" s="3">
        <f>_xlfn.XLOOKUP(JD$1,generator!$B$2:$B$295,generator!$K$2:$K$295,"ARGH")</f>
        <v>113</v>
      </c>
      <c r="JE28" s="3">
        <f>_xlfn.XLOOKUP(JE$1,generator!$B$2:$B$295,generator!$K$2:$K$295,"ARGH")</f>
        <v>211</v>
      </c>
      <c r="JF28" s="3">
        <f>_xlfn.XLOOKUP(JF$1,generator!$B$2:$B$295,generator!$K$2:$K$295,"ARGH")</f>
        <v>22.5</v>
      </c>
      <c r="JG28" s="3">
        <f>_xlfn.XLOOKUP(JG$1,generator!$B$2:$B$295,generator!$K$2:$K$295,"ARGH")</f>
        <v>1</v>
      </c>
      <c r="JH28" s="3">
        <f>_xlfn.XLOOKUP(JH$1,generator!$B$2:$B$295,generator!$K$2:$K$295,"ARGH")</f>
        <v>160</v>
      </c>
      <c r="JI28" s="3">
        <f>_xlfn.XLOOKUP(JI$1,generator!$B$2:$B$295,generator!$K$2:$K$295,"ARGH")</f>
        <v>165</v>
      </c>
      <c r="JJ28" s="3">
        <f>_xlfn.XLOOKUP(JJ$1,generator!$B$2:$B$295,generator!$K$2:$K$295,"ARGH")</f>
        <v>4.5999999999999996</v>
      </c>
      <c r="JK28" s="3">
        <f>_xlfn.XLOOKUP(JK$1,generator!$B$2:$B$295,generator!$K$2:$K$295,"ARGH")</f>
        <v>4.5999999999999996</v>
      </c>
      <c r="JL28" s="3">
        <f>_xlfn.XLOOKUP(JL$1,generator!$B$2:$B$295,generator!$K$2:$K$295,"ARGH")</f>
        <v>4.5999999999999996</v>
      </c>
      <c r="JM28" s="3">
        <f>_xlfn.XLOOKUP(JM$1,generator!$B$2:$B$295,generator!$K$2:$K$295,"ARGH")</f>
        <v>4.5999999999999996</v>
      </c>
      <c r="JN28" s="3">
        <f>_xlfn.XLOOKUP(JN$1,generator!$B$2:$B$295,generator!$K$2:$K$295,"ARGH")</f>
        <v>4.5999999999999996</v>
      </c>
      <c r="JO28" s="3">
        <f>_xlfn.XLOOKUP(JO$1,generator!$B$2:$B$295,generator!$K$2:$K$295,"ARGH")</f>
        <v>4.5999999999999996</v>
      </c>
      <c r="JP28" s="3">
        <f>_xlfn.XLOOKUP(JP$1,generator!$B$2:$B$295,generator!$K$2:$K$295,"ARGH")</f>
        <v>110</v>
      </c>
      <c r="JQ28" s="3">
        <f>_xlfn.XLOOKUP(JQ$1,generator!$B$2:$B$295,generator!$K$2:$K$295,"ARGH")</f>
        <v>22.7</v>
      </c>
      <c r="JR28" s="3">
        <f>_xlfn.XLOOKUP(JR$1,generator!$B$2:$B$295,generator!$K$2:$K$295,"ARGH")</f>
        <v>147</v>
      </c>
      <c r="JS28" s="3">
        <f>_xlfn.XLOOKUP(JS$1,generator!$B$2:$B$295,generator!$K$2:$K$295,"ARGH")</f>
        <v>147</v>
      </c>
      <c r="JT28" s="3">
        <f>_xlfn.XLOOKUP(JT$1,generator!$B$2:$B$295,generator!$K$2:$K$295,"ARGH")</f>
        <v>22.7</v>
      </c>
      <c r="JU28" s="3">
        <f>_xlfn.XLOOKUP(JU$1,generator!$B$2:$B$295,generator!$K$2:$K$295,"ARGH")</f>
        <v>21.5</v>
      </c>
      <c r="JV28" s="3">
        <f>_xlfn.XLOOKUP(JV$1,generator!$B$2:$B$295,generator!$K$2:$K$295,"ARGH")</f>
        <v>120</v>
      </c>
      <c r="JW28" s="3">
        <f>_xlfn.XLOOKUP(JW$1,generator!$B$2:$B$295,generator!$K$2:$K$295,"ARGH")</f>
        <v>120</v>
      </c>
      <c r="JX28" s="3">
        <f>_xlfn.XLOOKUP(JX$1,generator!$B$2:$B$295,generator!$K$2:$K$295,"ARGH")</f>
        <v>1</v>
      </c>
      <c r="JY28" s="3">
        <f>_xlfn.XLOOKUP(JY$1,generator!$B$2:$B$295,generator!$K$2:$K$295,"ARGH")</f>
        <v>41.15</v>
      </c>
      <c r="JZ28" s="3">
        <f>_xlfn.XLOOKUP(JZ$1,generator!$B$2:$B$295,generator!$K$2:$K$295,"ARGH")</f>
        <v>5</v>
      </c>
      <c r="KA28" s="3">
        <f>_xlfn.XLOOKUP(KA$1,generator!$B$2:$B$295,generator!$K$2:$K$295,"ARGH")</f>
        <v>5</v>
      </c>
      <c r="KB28" s="3">
        <f>_xlfn.XLOOKUP(KB$1,generator!$B$2:$B$295,generator!$K$2:$K$295,"ARGH")</f>
        <v>5</v>
      </c>
      <c r="KC28" s="3">
        <f>_xlfn.XLOOKUP(KC$1,generator!$B$2:$B$295,generator!$K$2:$K$295,"ARGH")</f>
        <v>5</v>
      </c>
    </row>
    <row r="29" spans="1:289" x14ac:dyDescent="0.3">
      <c r="A29" s="4" t="s">
        <v>3024</v>
      </c>
      <c r="B29" s="31">
        <v>530</v>
      </c>
      <c r="C29" s="31">
        <v>513</v>
      </c>
      <c r="D29" s="31">
        <v>442</v>
      </c>
      <c r="E29" s="3">
        <f>_xlfn.XLOOKUP(E$1,generator!$B$2:$B$295,generator!$K$2:$K$295,"ARGH")</f>
        <v>0</v>
      </c>
      <c r="F29" s="3">
        <f>_xlfn.XLOOKUP(F$1,generator!$B$2:$B$295,generator!$K$2:$K$295,"ARGH")</f>
        <v>0</v>
      </c>
      <c r="G29" s="3">
        <f>_xlfn.XLOOKUP(G$1,generator!$B$2:$B$295,generator!$K$2:$K$295,"ARGH")</f>
        <v>0</v>
      </c>
      <c r="H29" s="3">
        <f>_xlfn.XLOOKUP(H$1,generator!$B$2:$B$295,generator!$K$2:$K$295,"ARGH")</f>
        <v>0</v>
      </c>
      <c r="I29" s="3">
        <f>_xlfn.XLOOKUP(I$1,generator!$B$2:$B$295,generator!$K$2:$K$295,"ARGH")</f>
        <v>0</v>
      </c>
      <c r="J29" s="3">
        <f>_xlfn.XLOOKUP(J$1,generator!$B$2:$B$295,generator!$K$2:$K$295,"ARGH")</f>
        <v>0</v>
      </c>
      <c r="K29" s="3">
        <f>_xlfn.XLOOKUP(K$1,generator!$B$2:$B$295,generator!$K$2:$K$295,"ARGH")</f>
        <v>0</v>
      </c>
      <c r="L29" s="3">
        <f>_xlfn.XLOOKUP(L$1,generator!$B$2:$B$295,generator!$K$2:$K$295,"ARGH")</f>
        <v>0</v>
      </c>
      <c r="M29" s="3">
        <f>_xlfn.XLOOKUP(M$1,generator!$B$2:$B$295,generator!$K$2:$K$295,"ARGH")</f>
        <v>0</v>
      </c>
      <c r="N29" s="3">
        <f>_xlfn.XLOOKUP(N$1,generator!$B$2:$B$295,generator!$K$2:$K$295,"ARGH")</f>
        <v>0</v>
      </c>
      <c r="O29" s="3">
        <f>_xlfn.XLOOKUP(O$1,generator!$B$2:$B$295,generator!$K$2:$K$295,"ARGH")</f>
        <v>0</v>
      </c>
      <c r="P29" s="3">
        <f>_xlfn.XLOOKUP(P$1,generator!$B$2:$B$295,generator!$K$2:$K$295,"ARGH")</f>
        <v>0</v>
      </c>
      <c r="Q29" s="3">
        <f>_xlfn.XLOOKUP(Q$1,generator!$B$2:$B$295,generator!$K$2:$K$295,"ARGH")</f>
        <v>0</v>
      </c>
      <c r="R29" s="3">
        <f>_xlfn.XLOOKUP(R$1,generator!$B$2:$B$295,generator!$K$2:$K$295,"ARGH")</f>
        <v>0</v>
      </c>
      <c r="S29" s="3">
        <f>_xlfn.XLOOKUP(S$1,generator!$B$2:$B$295,generator!$K$2:$K$295,"ARGH")</f>
        <v>0</v>
      </c>
      <c r="T29" s="3">
        <f>_xlfn.XLOOKUP(T$1,generator!$B$2:$B$295,generator!$K$2:$K$295,"ARGH")</f>
        <v>0</v>
      </c>
      <c r="U29" s="3">
        <f>_xlfn.XLOOKUP(U$1,generator!$B$2:$B$295,generator!$K$2:$K$295,"ARGH")</f>
        <v>0</v>
      </c>
      <c r="V29" s="3">
        <f>_xlfn.XLOOKUP(V$1,generator!$B$2:$B$295,generator!$K$2:$K$295,"ARGH")</f>
        <v>0</v>
      </c>
      <c r="W29" s="3">
        <f>_xlfn.XLOOKUP(W$1,generator!$B$2:$B$295,generator!$K$2:$K$295,"ARGH")</f>
        <v>0</v>
      </c>
      <c r="X29" s="3">
        <f>_xlfn.XLOOKUP(X$1,generator!$B$2:$B$295,generator!$K$2:$K$295,"ARGH")</f>
        <v>0</v>
      </c>
      <c r="Y29" s="3">
        <f>_xlfn.XLOOKUP(Y$1,generator!$B$2:$B$295,generator!$K$2:$K$295,"ARGH")</f>
        <v>0</v>
      </c>
      <c r="Z29" s="3">
        <f>_xlfn.XLOOKUP(Z$1,generator!$B$2:$B$295,generator!$K$2:$K$295,"ARGH")</f>
        <v>0</v>
      </c>
      <c r="AA29" s="3">
        <f>_xlfn.XLOOKUP(AA$1,generator!$B$2:$B$295,generator!$K$2:$K$295,"ARGH")</f>
        <v>0</v>
      </c>
      <c r="AB29" s="3">
        <f>_xlfn.XLOOKUP(AB$1,generator!$B$2:$B$295,generator!$K$2:$K$295,"ARGH")</f>
        <v>0</v>
      </c>
      <c r="AC29" s="3">
        <f>_xlfn.XLOOKUP(AC$1,generator!$B$2:$B$295,generator!$K$2:$K$295,"ARGH")</f>
        <v>0</v>
      </c>
      <c r="AD29" s="3">
        <f>_xlfn.XLOOKUP(AD$1,generator!$B$2:$B$295,generator!$K$2:$K$295,"ARGH")</f>
        <v>0</v>
      </c>
      <c r="AE29" s="3">
        <f>_xlfn.XLOOKUP(AE$1,generator!$B$2:$B$295,generator!$K$2:$K$295,"ARGH")</f>
        <v>0</v>
      </c>
      <c r="AF29" s="3">
        <f>_xlfn.XLOOKUP(AF$1,generator!$B$2:$B$295,generator!$K$2:$K$295,"ARGH")</f>
        <v>0</v>
      </c>
      <c r="AG29" s="3">
        <f>_xlfn.XLOOKUP(AG$1,generator!$B$2:$B$295,generator!$K$2:$K$295,"ARGH")</f>
        <v>0</v>
      </c>
      <c r="AH29" s="3">
        <f>_xlfn.XLOOKUP(AH$1,generator!$B$2:$B$295,generator!$K$2:$K$295,"ARGH")</f>
        <v>0</v>
      </c>
      <c r="AI29" s="3">
        <f>_xlfn.XLOOKUP(AI$1,generator!$B$2:$B$295,generator!$K$2:$K$295,"ARGH")</f>
        <v>0</v>
      </c>
      <c r="AJ29" s="3">
        <f>_xlfn.XLOOKUP(AJ$1,generator!$B$2:$B$295,generator!$K$2:$K$295,"ARGH")</f>
        <v>0</v>
      </c>
      <c r="AK29" s="3">
        <f>_xlfn.XLOOKUP(AK$1,generator!$B$2:$B$295,generator!$K$2:$K$295,"ARGH")</f>
        <v>0</v>
      </c>
      <c r="AL29" s="3">
        <f>_xlfn.XLOOKUP(AL$1,generator!$B$2:$B$295,generator!$K$2:$K$295,"ARGH")</f>
        <v>0</v>
      </c>
      <c r="AM29" s="3">
        <f>_xlfn.XLOOKUP(AM$1,generator!$B$2:$B$295,generator!$K$2:$K$295,"ARGH")</f>
        <v>0</v>
      </c>
      <c r="AN29" s="3">
        <f>_xlfn.XLOOKUP(AN$1,generator!$B$2:$B$295,generator!$K$2:$K$295,"ARGH")</f>
        <v>0</v>
      </c>
      <c r="AO29" s="3">
        <f>_xlfn.XLOOKUP(AO$1,generator!$B$2:$B$295,generator!$K$2:$K$295,"ARGH")</f>
        <v>0</v>
      </c>
      <c r="AP29" s="3">
        <f>_xlfn.XLOOKUP(AP$1,generator!$B$2:$B$295,generator!$K$2:$K$295,"ARGH")</f>
        <v>0</v>
      </c>
      <c r="AQ29" s="3">
        <f>_xlfn.XLOOKUP(AQ$1,generator!$B$2:$B$295,generator!$K$2:$K$295,"ARGH")</f>
        <v>0</v>
      </c>
      <c r="AR29" s="3">
        <f>_xlfn.XLOOKUP(AR$1,generator!$B$2:$B$295,generator!$K$2:$K$295,"ARGH")</f>
        <v>0</v>
      </c>
      <c r="AS29" s="3">
        <f>_xlfn.XLOOKUP(AS$1,generator!$B$2:$B$295,generator!$K$2:$K$295,"ARGH")</f>
        <v>0</v>
      </c>
      <c r="AT29" s="3">
        <f>_xlfn.XLOOKUP(AT$1,generator!$B$2:$B$295,generator!$K$2:$K$295,"ARGH")</f>
        <v>0</v>
      </c>
      <c r="AU29" s="3">
        <f>_xlfn.XLOOKUP(AU$1,generator!$B$2:$B$295,generator!$K$2:$K$295,"ARGH")</f>
        <v>0</v>
      </c>
      <c r="AV29" s="3">
        <f>_xlfn.XLOOKUP(AV$1,generator!$B$2:$B$295,generator!$K$2:$K$295,"ARGH")</f>
        <v>0</v>
      </c>
      <c r="AW29" s="3">
        <f>_xlfn.XLOOKUP(AW$1,generator!$B$2:$B$295,generator!$K$2:$K$295,"ARGH")</f>
        <v>0</v>
      </c>
      <c r="AX29" s="3">
        <f>_xlfn.XLOOKUP(AX$1,generator!$B$2:$B$295,generator!$K$2:$K$295,"ARGH")</f>
        <v>0</v>
      </c>
      <c r="AY29" s="3">
        <f>_xlfn.XLOOKUP(AY$1,generator!$B$2:$B$295,generator!$K$2:$K$295,"ARGH")</f>
        <v>0</v>
      </c>
      <c r="AZ29" s="3">
        <f>_xlfn.XLOOKUP(AZ$1,generator!$B$2:$B$295,generator!$K$2:$K$295,"ARGH")</f>
        <v>0</v>
      </c>
      <c r="BA29" s="3">
        <f>_xlfn.XLOOKUP(BA$1,generator!$B$2:$B$295,generator!$K$2:$K$295,"ARGH")</f>
        <v>0</v>
      </c>
      <c r="BB29" s="3">
        <f>_xlfn.XLOOKUP(BB$1,generator!$B$2:$B$295,generator!$K$2:$K$295,"ARGH")</f>
        <v>0</v>
      </c>
      <c r="BC29" s="3">
        <f>_xlfn.XLOOKUP(BC$1,generator!$B$2:$B$295,generator!$K$2:$K$295,"ARGH")</f>
        <v>0</v>
      </c>
      <c r="BD29" s="3">
        <f>_xlfn.XLOOKUP(BD$1,generator!$B$2:$B$295,generator!$K$2:$K$295,"ARGH")</f>
        <v>0</v>
      </c>
      <c r="BE29" s="3">
        <f>_xlfn.XLOOKUP(BE$1,generator!$B$2:$B$295,generator!$K$2:$K$295,"ARGH")</f>
        <v>0</v>
      </c>
      <c r="BF29" s="3">
        <f>_xlfn.XLOOKUP(BF$1,generator!$B$2:$B$295,generator!$K$2:$K$295,"ARGH")</f>
        <v>0</v>
      </c>
      <c r="BG29" s="3">
        <f>_xlfn.XLOOKUP(BG$1,generator!$B$2:$B$295,generator!$K$2:$K$295,"ARGH")</f>
        <v>0</v>
      </c>
      <c r="BH29" s="3">
        <f>_xlfn.XLOOKUP(BH$1,generator!$B$2:$B$295,generator!$K$2:$K$295,"ARGH")</f>
        <v>0</v>
      </c>
      <c r="BI29" s="3">
        <f>_xlfn.XLOOKUP(BI$1,generator!$B$2:$B$295,generator!$K$2:$K$295,"ARGH")</f>
        <v>0</v>
      </c>
      <c r="BJ29" s="3">
        <f>_xlfn.XLOOKUP(BJ$1,generator!$B$2:$B$295,generator!$K$2:$K$295,"ARGH")</f>
        <v>0</v>
      </c>
      <c r="BK29" s="3">
        <f>_xlfn.XLOOKUP(BK$1,generator!$B$2:$B$295,generator!$K$2:$K$295,"ARGH")</f>
        <v>0</v>
      </c>
      <c r="BL29" s="3">
        <f>_xlfn.XLOOKUP(BL$1,generator!$B$2:$B$295,generator!$K$2:$K$295,"ARGH")</f>
        <v>0</v>
      </c>
      <c r="BM29" s="3">
        <f>_xlfn.XLOOKUP(BM$1,generator!$B$2:$B$295,generator!$K$2:$K$295,"ARGH")</f>
        <v>0</v>
      </c>
      <c r="BN29" s="3">
        <f>_xlfn.XLOOKUP(BN$1,generator!$B$2:$B$295,generator!$K$2:$K$295,"ARGH")</f>
        <v>0</v>
      </c>
      <c r="BO29" s="3">
        <f>_xlfn.XLOOKUP(BO$1,generator!$B$2:$B$295,generator!$K$2:$K$295,"ARGH")</f>
        <v>0</v>
      </c>
      <c r="BP29" s="3">
        <f>_xlfn.XLOOKUP(BP$1,generator!$B$2:$B$295,generator!$K$2:$K$295,"ARGH")</f>
        <v>0</v>
      </c>
      <c r="BQ29" s="3">
        <f>_xlfn.XLOOKUP(BQ$1,generator!$B$2:$B$295,generator!$K$2:$K$295,"ARGH")</f>
        <v>0</v>
      </c>
      <c r="BR29" s="3">
        <f>_xlfn.XLOOKUP(BR$1,generator!$B$2:$B$295,generator!$K$2:$K$295,"ARGH")</f>
        <v>0</v>
      </c>
      <c r="BS29" s="3">
        <f>_xlfn.XLOOKUP(BS$1,generator!$B$2:$B$295,generator!$K$2:$K$295,"ARGH")</f>
        <v>0</v>
      </c>
      <c r="BT29" s="3">
        <f>_xlfn.XLOOKUP(BT$1,generator!$B$2:$B$295,generator!$K$2:$K$295,"ARGH")</f>
        <v>0</v>
      </c>
      <c r="BU29" s="3">
        <f>_xlfn.XLOOKUP(BU$1,generator!$B$2:$B$295,generator!$K$2:$K$295,"ARGH")</f>
        <v>0</v>
      </c>
      <c r="BV29" s="3">
        <f>_xlfn.XLOOKUP(BV$1,generator!$B$2:$B$295,generator!$K$2:$K$295,"ARGH")</f>
        <v>0</v>
      </c>
      <c r="BW29" s="3">
        <f>_xlfn.XLOOKUP(BW$1,generator!$B$2:$B$295,generator!$K$2:$K$295,"ARGH")</f>
        <v>0</v>
      </c>
      <c r="BX29" s="3">
        <f>_xlfn.XLOOKUP(BX$1,generator!$B$2:$B$295,generator!$K$2:$K$295,"ARGH")</f>
        <v>0</v>
      </c>
      <c r="BY29" s="3">
        <f>_xlfn.XLOOKUP(BY$1,generator!$B$2:$B$295,generator!$K$2:$K$295,"ARGH")</f>
        <v>0</v>
      </c>
      <c r="BZ29" s="3">
        <f>_xlfn.XLOOKUP(BZ$1,generator!$B$2:$B$295,generator!$K$2:$K$295,"ARGH")</f>
        <v>0</v>
      </c>
      <c r="CA29" s="3">
        <f>_xlfn.XLOOKUP(CA$1,generator!$B$2:$B$295,generator!$K$2:$K$295,"ARGH")</f>
        <v>0</v>
      </c>
      <c r="CB29" s="3">
        <f>_xlfn.XLOOKUP(CB$1,generator!$B$2:$B$295,generator!$K$2:$K$295,"ARGH")</f>
        <v>0</v>
      </c>
      <c r="CC29" s="3">
        <f>_xlfn.XLOOKUP(CC$1,generator!$B$2:$B$295,generator!$K$2:$K$295,"ARGH")</f>
        <v>0</v>
      </c>
      <c r="CD29" s="3">
        <f>_xlfn.XLOOKUP(CD$1,generator!$B$2:$B$295,generator!$K$2:$K$295,"ARGH")</f>
        <v>0</v>
      </c>
      <c r="CE29" s="3">
        <f>_xlfn.XLOOKUP(CE$1,generator!$B$2:$B$295,generator!$K$2:$K$295,"ARGH")</f>
        <v>0</v>
      </c>
      <c r="CF29" s="3">
        <f>_xlfn.XLOOKUP(CF$1,generator!$B$2:$B$295,generator!$K$2:$K$295,"ARGH")</f>
        <v>0</v>
      </c>
      <c r="CG29" s="3">
        <f>_xlfn.XLOOKUP(CG$1,generator!$B$2:$B$295,generator!$K$2:$K$295,"ARGH")</f>
        <v>0</v>
      </c>
      <c r="CH29" s="3">
        <f>_xlfn.XLOOKUP(CH$1,generator!$B$2:$B$295,generator!$K$2:$K$295,"ARGH")</f>
        <v>0</v>
      </c>
      <c r="CI29" s="3">
        <f>_xlfn.XLOOKUP(CI$1,generator!$B$2:$B$295,generator!$K$2:$K$295,"ARGH")</f>
        <v>0</v>
      </c>
      <c r="CJ29" s="3">
        <f>_xlfn.XLOOKUP(CJ$1,generator!$B$2:$B$295,generator!$K$2:$K$295,"ARGH")</f>
        <v>0</v>
      </c>
      <c r="CK29" s="3">
        <f>_xlfn.XLOOKUP(CK$1,generator!$B$2:$B$295,generator!$K$2:$K$295,"ARGH")</f>
        <v>0</v>
      </c>
      <c r="CL29" s="3">
        <f>_xlfn.XLOOKUP(CL$1,generator!$B$2:$B$295,generator!$K$2:$K$295,"ARGH")</f>
        <v>0</v>
      </c>
      <c r="CM29" s="3">
        <f>_xlfn.XLOOKUP(CM$1,generator!$B$2:$B$295,generator!$K$2:$K$295,"ARGH")</f>
        <v>0</v>
      </c>
      <c r="CN29" s="3">
        <f>_xlfn.XLOOKUP(CN$1,generator!$B$2:$B$295,generator!$K$2:$K$295,"ARGH")</f>
        <v>0</v>
      </c>
      <c r="CO29" s="3">
        <f>_xlfn.XLOOKUP(CO$1,generator!$B$2:$B$295,generator!$K$2:$K$295,"ARGH")</f>
        <v>0</v>
      </c>
      <c r="CP29" s="3">
        <f>_xlfn.XLOOKUP(CP$1,generator!$B$2:$B$295,generator!$K$2:$K$295,"ARGH")</f>
        <v>0</v>
      </c>
      <c r="CQ29" s="3">
        <f>_xlfn.XLOOKUP(CQ$1,generator!$B$2:$B$295,generator!$K$2:$K$295,"ARGH")</f>
        <v>0</v>
      </c>
      <c r="CR29" s="3">
        <f>_xlfn.XLOOKUP(CR$1,generator!$B$2:$B$295,generator!$K$2:$K$295,"ARGH")</f>
        <v>0</v>
      </c>
      <c r="CS29" s="3">
        <f>_xlfn.XLOOKUP(CS$1,generator!$B$2:$B$295,generator!$K$2:$K$295,"ARGH")</f>
        <v>0</v>
      </c>
      <c r="CT29" s="3">
        <f>_xlfn.XLOOKUP(CT$1,generator!$B$2:$B$295,generator!$K$2:$K$295,"ARGH")</f>
        <v>0</v>
      </c>
      <c r="CU29" s="3">
        <f>_xlfn.XLOOKUP(CU$1,generator!$B$2:$B$295,generator!$K$2:$K$295,"ARGH")</f>
        <v>0</v>
      </c>
      <c r="CV29" s="3">
        <f>_xlfn.XLOOKUP(CV$1,generator!$B$2:$B$295,generator!$K$2:$K$295,"ARGH")</f>
        <v>0</v>
      </c>
      <c r="CW29" s="3">
        <f>_xlfn.XLOOKUP(CW$1,generator!$B$2:$B$295,generator!$K$2:$K$295,"ARGH")</f>
        <v>0</v>
      </c>
      <c r="CX29" s="3">
        <f>_xlfn.XLOOKUP(CX$1,generator!$B$2:$B$295,generator!$K$2:$K$295,"ARGH")</f>
        <v>0</v>
      </c>
      <c r="CY29" s="3">
        <f>_xlfn.XLOOKUP(CY$1,generator!$B$2:$B$295,generator!$K$2:$K$295,"ARGH")</f>
        <v>0</v>
      </c>
      <c r="CZ29" s="3">
        <f>_xlfn.XLOOKUP(CZ$1,generator!$B$2:$B$295,generator!$K$2:$K$295,"ARGH")</f>
        <v>0</v>
      </c>
      <c r="DA29" s="3">
        <f>_xlfn.XLOOKUP(DA$1,generator!$B$2:$B$295,generator!$K$2:$K$295,"ARGH")</f>
        <v>0</v>
      </c>
      <c r="DB29" s="3">
        <f>_xlfn.XLOOKUP(DB$1,generator!$B$2:$B$295,generator!$K$2:$K$295,"ARGH")</f>
        <v>0</v>
      </c>
      <c r="DC29" s="3">
        <f>_xlfn.XLOOKUP(DC$1,generator!$B$2:$B$295,generator!$K$2:$K$295,"ARGH")</f>
        <v>0</v>
      </c>
      <c r="DD29" s="3">
        <f>_xlfn.XLOOKUP(DD$1,generator!$B$2:$B$295,generator!$K$2:$K$295,"ARGH")</f>
        <v>0</v>
      </c>
      <c r="DE29" s="3">
        <f>_xlfn.XLOOKUP(DE$1,generator!$B$2:$B$295,generator!$K$2:$K$295,"ARGH")</f>
        <v>0</v>
      </c>
      <c r="DF29" s="3">
        <f>_xlfn.XLOOKUP(DF$1,generator!$B$2:$B$295,generator!$K$2:$K$295,"ARGH")</f>
        <v>0</v>
      </c>
      <c r="DG29" s="3">
        <f>_xlfn.XLOOKUP(DG$1,generator!$B$2:$B$295,generator!$K$2:$K$295,"ARGH")</f>
        <v>0</v>
      </c>
      <c r="DH29" s="3">
        <f>_xlfn.XLOOKUP(DH$1,generator!$B$2:$B$295,generator!$K$2:$K$295,"ARGH")</f>
        <v>0</v>
      </c>
      <c r="DI29" s="3">
        <f>_xlfn.XLOOKUP(DI$1,generator!$B$2:$B$295,generator!$K$2:$K$295,"ARGH")</f>
        <v>0</v>
      </c>
      <c r="DJ29" s="3">
        <f>_xlfn.XLOOKUP(DJ$1,generator!$B$2:$B$295,generator!$K$2:$K$295,"ARGH")</f>
        <v>0</v>
      </c>
      <c r="DK29" s="3">
        <f>_xlfn.XLOOKUP(DK$1,generator!$B$2:$B$295,generator!$K$2:$K$295,"ARGH")</f>
        <v>0</v>
      </c>
      <c r="DL29" s="3">
        <f>_xlfn.XLOOKUP(DL$1,generator!$B$2:$B$295,generator!$K$2:$K$295,"ARGH")</f>
        <v>0</v>
      </c>
      <c r="DM29" s="3">
        <f>_xlfn.XLOOKUP(DM$1,generator!$B$2:$B$295,generator!$K$2:$K$295,"ARGH")</f>
        <v>0</v>
      </c>
      <c r="DN29" s="3">
        <f>_xlfn.XLOOKUP(DN$1,generator!$B$2:$B$295,generator!$K$2:$K$295,"ARGH")</f>
        <v>0</v>
      </c>
      <c r="DO29" s="3">
        <f>_xlfn.XLOOKUP(DO$1,generator!$B$2:$B$295,generator!$K$2:$K$295,"ARGH")</f>
        <v>0</v>
      </c>
      <c r="DP29" s="3">
        <f>_xlfn.XLOOKUP(DP$1,generator!$B$2:$B$295,generator!$K$2:$K$295,"ARGH")</f>
        <v>0</v>
      </c>
      <c r="DQ29" s="3">
        <f>_xlfn.XLOOKUP(DQ$1,generator!$B$2:$B$295,generator!$K$2:$K$295,"ARGH")</f>
        <v>0</v>
      </c>
      <c r="DR29" s="3">
        <f>_xlfn.XLOOKUP(DR$1,generator!$B$2:$B$295,generator!$K$2:$K$295,"ARGH")</f>
        <v>0</v>
      </c>
      <c r="DS29" s="3">
        <f>_xlfn.XLOOKUP(DS$1,generator!$B$2:$B$295,generator!$K$2:$K$295,"ARGH")</f>
        <v>0</v>
      </c>
      <c r="DT29" s="3">
        <f>_xlfn.XLOOKUP(DT$1,generator!$B$2:$B$295,generator!$K$2:$K$295,"ARGH")</f>
        <v>0</v>
      </c>
      <c r="DU29" s="3">
        <f>_xlfn.XLOOKUP(DU$1,generator!$B$2:$B$295,generator!$K$2:$K$295,"ARGH")</f>
        <v>0</v>
      </c>
      <c r="DV29" s="3">
        <f>_xlfn.XLOOKUP(DV$1,generator!$B$2:$B$295,generator!$K$2:$K$295,"ARGH")</f>
        <v>0</v>
      </c>
      <c r="DW29" s="3">
        <f>_xlfn.XLOOKUP(DW$1,generator!$B$2:$B$295,generator!$K$2:$K$295,"ARGH")</f>
        <v>0</v>
      </c>
      <c r="DX29" s="3">
        <f>_xlfn.XLOOKUP(DX$1,generator!$B$2:$B$295,generator!$K$2:$K$295,"ARGH")</f>
        <v>0</v>
      </c>
      <c r="DY29" s="3">
        <f>_xlfn.XLOOKUP(DY$1,generator!$B$2:$B$295,generator!$K$2:$K$295,"ARGH")</f>
        <v>0</v>
      </c>
      <c r="DZ29" s="3">
        <f>_xlfn.XLOOKUP(DZ$1,generator!$B$2:$B$295,generator!$K$2:$K$295,"ARGH")</f>
        <v>0</v>
      </c>
      <c r="EA29" s="3">
        <f>_xlfn.XLOOKUP(EA$1,generator!$B$2:$B$295,generator!$K$2:$K$295,"ARGH")</f>
        <v>0</v>
      </c>
      <c r="EB29" s="3">
        <f>_xlfn.XLOOKUP(EB$1,generator!$B$2:$B$295,generator!$K$2:$K$295,"ARGH")</f>
        <v>0</v>
      </c>
      <c r="EC29" s="3">
        <f>_xlfn.XLOOKUP(EC$1,generator!$B$2:$B$295,generator!$K$2:$K$295,"ARGH")</f>
        <v>0</v>
      </c>
      <c r="ED29" s="3">
        <f>_xlfn.XLOOKUP(ED$1,generator!$B$2:$B$295,generator!$K$2:$K$295,"ARGH")</f>
        <v>0</v>
      </c>
      <c r="EE29" s="3">
        <f>_xlfn.XLOOKUP(EE$1,generator!$B$2:$B$295,generator!$K$2:$K$295,"ARGH")</f>
        <v>0</v>
      </c>
      <c r="EF29" s="3">
        <f>_xlfn.XLOOKUP(EF$1,generator!$B$2:$B$295,generator!$K$2:$K$295,"ARGH")</f>
        <v>0</v>
      </c>
      <c r="EG29" s="3">
        <f>_xlfn.XLOOKUP(EG$1,generator!$B$2:$B$295,generator!$K$2:$K$295,"ARGH")</f>
        <v>0</v>
      </c>
      <c r="EH29" s="3">
        <f>_xlfn.XLOOKUP(EH$1,generator!$B$2:$B$295,generator!$K$2:$K$295,"ARGH")</f>
        <v>0</v>
      </c>
      <c r="EI29" s="3">
        <f>_xlfn.XLOOKUP(EI$1,generator!$B$2:$B$295,generator!$K$2:$K$295,"ARGH")</f>
        <v>0</v>
      </c>
      <c r="EJ29" s="3">
        <f>_xlfn.XLOOKUP(EJ$1,generator!$B$2:$B$295,generator!$K$2:$K$295,"ARGH")</f>
        <v>0</v>
      </c>
      <c r="EK29" s="3">
        <f>_xlfn.XLOOKUP(EK$1,generator!$B$2:$B$295,generator!$K$2:$K$295,"ARGH")</f>
        <v>0</v>
      </c>
      <c r="EL29" s="3">
        <f>_xlfn.XLOOKUP(EL$1,generator!$B$2:$B$295,generator!$K$2:$K$295,"ARGH")</f>
        <v>0</v>
      </c>
      <c r="EM29" s="3">
        <f>_xlfn.XLOOKUP(EM$1,generator!$B$2:$B$295,generator!$K$2:$K$295,"ARGH")</f>
        <v>0</v>
      </c>
      <c r="EN29" s="3">
        <f>_xlfn.XLOOKUP(EN$1,generator!$B$2:$B$295,generator!$K$2:$K$295,"ARGH")</f>
        <v>0</v>
      </c>
      <c r="EO29" s="3">
        <f>_xlfn.XLOOKUP(EO$1,generator!$B$2:$B$295,generator!$K$2:$K$295,"ARGH")</f>
        <v>0</v>
      </c>
      <c r="EP29" s="3">
        <f>_xlfn.XLOOKUP(EP$1,generator!$B$2:$B$295,generator!$K$2:$K$295,"ARGH")</f>
        <v>0</v>
      </c>
      <c r="EQ29" s="3">
        <f>_xlfn.XLOOKUP(EQ$1,generator!$B$2:$B$295,generator!$K$2:$K$295,"ARGH")</f>
        <v>0</v>
      </c>
      <c r="ER29" s="3">
        <f>_xlfn.XLOOKUP(ER$1,generator!$B$2:$B$295,generator!$K$2:$K$295,"ARGH")</f>
        <v>0</v>
      </c>
      <c r="ES29" s="3">
        <f>_xlfn.XLOOKUP(ES$1,generator!$B$2:$B$295,generator!$K$2:$K$295,"ARGH")</f>
        <v>0</v>
      </c>
      <c r="ET29" s="3">
        <f>_xlfn.XLOOKUP(ET$1,generator!$B$2:$B$295,generator!$K$2:$K$295,"ARGH")</f>
        <v>0</v>
      </c>
      <c r="EU29" s="3">
        <f>_xlfn.XLOOKUP(EU$1,generator!$B$2:$B$295,generator!$K$2:$K$295,"ARGH")</f>
        <v>0</v>
      </c>
      <c r="EV29" s="3">
        <f>_xlfn.XLOOKUP(EV$1,generator!$B$2:$B$295,generator!$K$2:$K$295,"ARGH")</f>
        <v>0</v>
      </c>
      <c r="EW29" s="3">
        <f>_xlfn.XLOOKUP(EW$1,generator!$B$2:$B$295,generator!$K$2:$K$295,"ARGH")</f>
        <v>0</v>
      </c>
      <c r="EX29" s="3">
        <f>_xlfn.XLOOKUP(EX$1,generator!$B$2:$B$295,generator!$K$2:$K$295,"ARGH")</f>
        <v>0</v>
      </c>
      <c r="EY29" s="3">
        <f>_xlfn.XLOOKUP(EY$1,generator!$B$2:$B$295,generator!$K$2:$K$295,"ARGH")</f>
        <v>0</v>
      </c>
      <c r="EZ29" s="3">
        <f>_xlfn.XLOOKUP(EZ$1,generator!$B$2:$B$295,generator!$K$2:$K$295,"ARGH")</f>
        <v>0</v>
      </c>
      <c r="FA29" s="3">
        <f>_xlfn.XLOOKUP(FA$1,generator!$B$2:$B$295,generator!$K$2:$K$295,"ARGH")</f>
        <v>0</v>
      </c>
      <c r="FB29" s="3">
        <f>_xlfn.XLOOKUP(FB$1,generator!$B$2:$B$295,generator!$K$2:$K$295,"ARGH")</f>
        <v>0</v>
      </c>
      <c r="FC29" s="3">
        <f>_xlfn.XLOOKUP(FC$1,generator!$B$2:$B$295,generator!$K$2:$K$295,"ARGH")</f>
        <v>0</v>
      </c>
      <c r="FD29" s="3">
        <f>_xlfn.XLOOKUP(FD$1,generator!$B$2:$B$295,generator!$K$2:$K$295,"ARGH")</f>
        <v>0</v>
      </c>
      <c r="FE29" s="3">
        <f>_xlfn.XLOOKUP(FE$1,generator!$B$2:$B$295,generator!$K$2:$K$295,"ARGH")</f>
        <v>0</v>
      </c>
      <c r="FF29" s="3">
        <f>_xlfn.XLOOKUP(FF$1,generator!$B$2:$B$295,generator!$K$2:$K$295,"ARGH")</f>
        <v>0</v>
      </c>
      <c r="FG29" s="3">
        <f>_xlfn.XLOOKUP(FG$1,generator!$B$2:$B$295,generator!$K$2:$K$295,"ARGH")</f>
        <v>0</v>
      </c>
      <c r="FH29" s="3">
        <f>_xlfn.XLOOKUP(FH$1,generator!$B$2:$B$295,generator!$K$2:$K$295,"ARGH")</f>
        <v>0</v>
      </c>
      <c r="FI29" s="3">
        <f>_xlfn.XLOOKUP(FI$1,generator!$B$2:$B$295,generator!$K$2:$K$295,"ARGH")</f>
        <v>0</v>
      </c>
      <c r="FJ29" s="3">
        <f>_xlfn.XLOOKUP(FJ$1,generator!$B$2:$B$295,generator!$K$2:$K$295,"ARGH")</f>
        <v>0</v>
      </c>
      <c r="FK29" s="3">
        <f>_xlfn.XLOOKUP(FK$1,generator!$B$2:$B$295,generator!$K$2:$K$295,"ARGH")</f>
        <v>0</v>
      </c>
      <c r="FL29" s="3">
        <f>_xlfn.XLOOKUP(FL$1,generator!$B$2:$B$295,generator!$K$2:$K$295,"ARGH")</f>
        <v>0</v>
      </c>
      <c r="FM29" s="3">
        <f>_xlfn.XLOOKUP(FM$1,generator!$B$2:$B$295,generator!$K$2:$K$295,"ARGH")</f>
        <v>0</v>
      </c>
      <c r="FN29" s="3">
        <f>_xlfn.XLOOKUP(FN$1,generator!$B$2:$B$295,generator!$K$2:$K$295,"ARGH")</f>
        <v>0</v>
      </c>
      <c r="FO29" s="3">
        <f>_xlfn.XLOOKUP(FO$1,generator!$B$2:$B$295,generator!$K$2:$K$295,"ARGH")</f>
        <v>0</v>
      </c>
      <c r="FP29" s="3">
        <f>_xlfn.XLOOKUP(FP$1,generator!$B$2:$B$295,generator!$K$2:$K$295,"ARGH")</f>
        <v>0</v>
      </c>
      <c r="FQ29" s="3">
        <f>_xlfn.XLOOKUP(FQ$1,generator!$B$2:$B$295,generator!$K$2:$K$295,"ARGH")</f>
        <v>0</v>
      </c>
      <c r="FR29" s="3">
        <f>_xlfn.XLOOKUP(FR$1,generator!$B$2:$B$295,generator!$K$2:$K$295,"ARGH")</f>
        <v>0</v>
      </c>
      <c r="FS29" s="3">
        <f>_xlfn.XLOOKUP(FS$1,generator!$B$2:$B$295,generator!$K$2:$K$295,"ARGH")</f>
        <v>0</v>
      </c>
      <c r="FT29" s="3">
        <f>_xlfn.XLOOKUP(FT$1,generator!$B$2:$B$295,generator!$K$2:$K$295,"ARGH")</f>
        <v>0</v>
      </c>
      <c r="FU29" s="3">
        <f>_xlfn.XLOOKUP(FU$1,generator!$B$2:$B$295,generator!$K$2:$K$295,"ARGH")</f>
        <v>0</v>
      </c>
      <c r="FV29" s="3">
        <f>_xlfn.XLOOKUP(FV$1,generator!$B$2:$B$295,generator!$K$2:$K$295,"ARGH")</f>
        <v>0</v>
      </c>
      <c r="FW29" s="3">
        <f>_xlfn.XLOOKUP(FW$1,generator!$B$2:$B$295,generator!$K$2:$K$295,"ARGH")</f>
        <v>0</v>
      </c>
      <c r="FX29" s="3">
        <f>_xlfn.XLOOKUP(FX$1,generator!$B$2:$B$295,generator!$K$2:$K$295,"ARGH")</f>
        <v>0</v>
      </c>
      <c r="FY29" s="3">
        <f>_xlfn.XLOOKUP(FY$1,generator!$B$2:$B$295,generator!$K$2:$K$295,"ARGH")</f>
        <v>0</v>
      </c>
      <c r="FZ29" s="3">
        <f>_xlfn.XLOOKUP(FZ$1,generator!$B$2:$B$295,generator!$K$2:$K$295,"ARGH")</f>
        <v>0</v>
      </c>
      <c r="GA29" s="3">
        <f>_xlfn.XLOOKUP(GA$1,generator!$B$2:$B$295,generator!$K$2:$K$295,"ARGH")</f>
        <v>0</v>
      </c>
      <c r="GB29" s="3">
        <f>_xlfn.XLOOKUP(GB$1,generator!$B$2:$B$295,generator!$K$2:$K$295,"ARGH")</f>
        <v>0</v>
      </c>
      <c r="GC29" s="3">
        <f>_xlfn.XLOOKUP(GC$1,generator!$B$2:$B$295,generator!$K$2:$K$295,"ARGH")</f>
        <v>0</v>
      </c>
      <c r="GD29" s="3">
        <f>_xlfn.XLOOKUP(GD$1,generator!$B$2:$B$295,generator!$K$2:$K$295,"ARGH")</f>
        <v>0</v>
      </c>
      <c r="GE29" s="3">
        <f>_xlfn.XLOOKUP(GE$1,generator!$B$2:$B$295,generator!$K$2:$K$295,"ARGH")</f>
        <v>0</v>
      </c>
      <c r="GF29" s="3">
        <f>_xlfn.XLOOKUP(GF$1,generator!$B$2:$B$295,generator!$K$2:$K$295,"ARGH")</f>
        <v>0</v>
      </c>
      <c r="GG29" s="3">
        <f>_xlfn.XLOOKUP(GG$1,generator!$B$2:$B$295,generator!$K$2:$K$295,"ARGH")</f>
        <v>0</v>
      </c>
      <c r="GH29" s="3">
        <f>_xlfn.XLOOKUP(GH$1,generator!$B$2:$B$295,generator!$K$2:$K$295,"ARGH")</f>
        <v>0</v>
      </c>
      <c r="GI29" s="3">
        <f>_xlfn.XLOOKUP(GI$1,generator!$B$2:$B$295,generator!$K$2:$K$295,"ARGH")</f>
        <v>0</v>
      </c>
      <c r="GJ29" s="3">
        <f>_xlfn.XLOOKUP(GJ$1,generator!$B$2:$B$295,generator!$K$2:$K$295,"ARGH")</f>
        <v>0</v>
      </c>
      <c r="GK29" s="3">
        <f>_xlfn.XLOOKUP(GK$1,generator!$B$2:$B$295,generator!$K$2:$K$295,"ARGH")</f>
        <v>0</v>
      </c>
      <c r="GL29" s="3">
        <f>_xlfn.XLOOKUP(GL$1,generator!$B$2:$B$295,generator!$K$2:$K$295,"ARGH")</f>
        <v>0</v>
      </c>
      <c r="GM29" s="3">
        <f>_xlfn.XLOOKUP(GM$1,generator!$B$2:$B$295,generator!$K$2:$K$295,"ARGH")</f>
        <v>0</v>
      </c>
      <c r="GN29" s="3">
        <f>_xlfn.XLOOKUP(GN$1,generator!$B$2:$B$295,generator!$K$2:$K$295,"ARGH")</f>
        <v>0</v>
      </c>
      <c r="GO29" s="3">
        <f>_xlfn.XLOOKUP(GO$1,generator!$B$2:$B$295,generator!$K$2:$K$295,"ARGH")</f>
        <v>0</v>
      </c>
      <c r="GP29" s="3">
        <f>_xlfn.XLOOKUP(GP$1,generator!$B$2:$B$295,generator!$K$2:$K$295,"ARGH")</f>
        <v>0</v>
      </c>
      <c r="GQ29" s="3">
        <f>_xlfn.XLOOKUP(GQ$1,generator!$B$2:$B$295,generator!$K$2:$K$295,"ARGH")</f>
        <v>0</v>
      </c>
      <c r="GR29" s="3">
        <f>_xlfn.XLOOKUP(GR$1,generator!$B$2:$B$295,generator!$K$2:$K$295,"ARGH")</f>
        <v>0</v>
      </c>
      <c r="GS29" s="3">
        <f>_xlfn.XLOOKUP(GS$1,generator!$B$2:$B$295,generator!$K$2:$K$295,"ARGH")</f>
        <v>0</v>
      </c>
      <c r="GT29" s="3">
        <f>_xlfn.XLOOKUP(GT$1,generator!$B$2:$B$295,generator!$K$2:$K$295,"ARGH")</f>
        <v>0</v>
      </c>
      <c r="GU29" s="3">
        <f>_xlfn.XLOOKUP(GU$1,generator!$B$2:$B$295,generator!$K$2:$K$295,"ARGH")</f>
        <v>0</v>
      </c>
      <c r="GV29" s="3">
        <f>_xlfn.XLOOKUP(GV$1,generator!$B$2:$B$295,generator!$K$2:$K$295,"ARGH")</f>
        <v>0</v>
      </c>
      <c r="GW29" s="3">
        <f>_xlfn.XLOOKUP(GW$1,generator!$B$2:$B$295,generator!$K$2:$K$295,"ARGH")</f>
        <v>0</v>
      </c>
      <c r="GX29" s="3">
        <f>_xlfn.XLOOKUP(GX$1,generator!$B$2:$B$295,generator!$K$2:$K$295,"ARGH")</f>
        <v>0</v>
      </c>
      <c r="GY29" s="3">
        <f>_xlfn.XLOOKUP(GY$1,generator!$B$2:$B$295,generator!$K$2:$K$295,"ARGH")</f>
        <v>0</v>
      </c>
      <c r="GZ29" s="3">
        <f>_xlfn.XLOOKUP(GZ$1,generator!$B$2:$B$295,generator!$K$2:$K$295,"ARGH")</f>
        <v>0</v>
      </c>
      <c r="HA29" s="3">
        <f>_xlfn.XLOOKUP(HA$1,generator!$B$2:$B$295,generator!$K$2:$K$295,"ARGH")</f>
        <v>0</v>
      </c>
      <c r="HB29" s="3">
        <f>_xlfn.XLOOKUP(HB$1,generator!$B$2:$B$295,generator!$K$2:$K$295,"ARGH")</f>
        <v>0</v>
      </c>
      <c r="HC29" s="3">
        <f>_xlfn.XLOOKUP(HC$1,generator!$B$2:$B$295,generator!$K$2:$K$295,"ARGH")</f>
        <v>0</v>
      </c>
      <c r="HD29" s="3">
        <f>_xlfn.XLOOKUP(HD$1,generator!$B$2:$B$295,generator!$K$2:$K$295,"ARGH")</f>
        <v>0</v>
      </c>
      <c r="HE29" s="3">
        <f>_xlfn.XLOOKUP(HE$1,generator!$B$2:$B$295,generator!$K$2:$K$295,"ARGH")</f>
        <v>12.74</v>
      </c>
      <c r="HF29" s="3">
        <f>_xlfn.XLOOKUP(HF$1,generator!$B$2:$B$295,generator!$K$2:$K$295,"ARGH")</f>
        <v>99</v>
      </c>
      <c r="HG29" s="3">
        <f>_xlfn.XLOOKUP(HG$1,generator!$B$2:$B$295,generator!$K$2:$K$295,"ARGH")</f>
        <v>99</v>
      </c>
      <c r="HH29" s="3">
        <f>_xlfn.XLOOKUP(HH$1,generator!$B$2:$B$295,generator!$K$2:$K$295,"ARGH")</f>
        <v>99</v>
      </c>
      <c r="HI29" s="3">
        <f>_xlfn.XLOOKUP(HI$1,generator!$B$2:$B$295,generator!$K$2:$K$295,"ARGH")</f>
        <v>8</v>
      </c>
      <c r="HJ29" s="3">
        <f>_xlfn.XLOOKUP(HJ$1,generator!$B$2:$B$295,generator!$K$2:$K$295,"ARGH")</f>
        <v>8</v>
      </c>
      <c r="HK29" s="3">
        <f>_xlfn.XLOOKUP(HK$1,generator!$B$2:$B$295,generator!$K$2:$K$295,"ARGH")</f>
        <v>8</v>
      </c>
      <c r="HL29" s="3">
        <f>_xlfn.XLOOKUP(HL$1,generator!$B$2:$B$295,generator!$K$2:$K$295,"ARGH")</f>
        <v>20</v>
      </c>
      <c r="HM29" s="3">
        <f>_xlfn.XLOOKUP(HM$1,generator!$B$2:$B$295,generator!$K$2:$K$295,"ARGH")</f>
        <v>20</v>
      </c>
      <c r="HN29" s="3">
        <f>_xlfn.XLOOKUP(HN$1,generator!$B$2:$B$295,generator!$K$2:$K$295,"ARGH")</f>
        <v>5</v>
      </c>
      <c r="HO29" s="3">
        <f>_xlfn.XLOOKUP(HO$1,generator!$B$2:$B$295,generator!$K$2:$K$295,"ARGH")</f>
        <v>5</v>
      </c>
      <c r="HP29" s="3">
        <f>_xlfn.XLOOKUP(HP$1,generator!$B$2:$B$295,generator!$K$2:$K$295,"ARGH")</f>
        <v>0.2</v>
      </c>
      <c r="HQ29" s="3">
        <f>_xlfn.XLOOKUP(HQ$1,generator!$B$2:$B$295,generator!$K$2:$K$295,"ARGH")</f>
        <v>5</v>
      </c>
      <c r="HR29" s="3">
        <f>_xlfn.XLOOKUP(HR$1,generator!$B$2:$B$295,generator!$K$2:$K$295,"ARGH")</f>
        <v>5</v>
      </c>
      <c r="HS29" s="3">
        <f>_xlfn.XLOOKUP(HS$1,generator!$B$2:$B$295,generator!$K$2:$K$295,"ARGH")</f>
        <v>12.82</v>
      </c>
      <c r="HT29" s="3">
        <f>_xlfn.XLOOKUP(HT$1,generator!$B$2:$B$295,generator!$K$2:$K$295,"ARGH")</f>
        <v>12.82</v>
      </c>
      <c r="HU29" s="3">
        <f>_xlfn.XLOOKUP(HU$1,generator!$B$2:$B$295,generator!$K$2:$K$295,"ARGH")</f>
        <v>25</v>
      </c>
      <c r="HV29" s="3">
        <f>_xlfn.XLOOKUP(HV$1,generator!$B$2:$B$295,generator!$K$2:$K$295,"ARGH")</f>
        <v>16</v>
      </c>
      <c r="HW29" s="3">
        <f>_xlfn.XLOOKUP(HW$1,generator!$B$2:$B$295,generator!$K$2:$K$295,"ARGH")</f>
        <v>5</v>
      </c>
      <c r="HX29" s="3">
        <f>_xlfn.XLOOKUP(HX$1,generator!$B$2:$B$295,generator!$K$2:$K$295,"ARGH")</f>
        <v>5</v>
      </c>
      <c r="HY29" s="3">
        <f>_xlfn.XLOOKUP(HY$1,generator!$B$2:$B$295,generator!$K$2:$K$295,"ARGH")</f>
        <v>63</v>
      </c>
      <c r="HZ29" s="3">
        <f>_xlfn.XLOOKUP(HZ$1,generator!$B$2:$B$295,generator!$K$2:$K$295,"ARGH")</f>
        <v>18</v>
      </c>
      <c r="IA29" s="3">
        <f>_xlfn.XLOOKUP(IA$1,generator!$B$2:$B$295,generator!$K$2:$K$295,"ARGH")</f>
        <v>121</v>
      </c>
      <c r="IB29" s="3">
        <f>_xlfn.XLOOKUP(IB$1,generator!$B$2:$B$295,generator!$K$2:$K$295,"ARGH")</f>
        <v>120</v>
      </c>
      <c r="IC29" s="3">
        <f>_xlfn.XLOOKUP(IC$1,generator!$B$2:$B$295,generator!$K$2:$K$295,"ARGH")</f>
        <v>0</v>
      </c>
      <c r="ID29" s="3">
        <f>_xlfn.XLOOKUP(ID$1,generator!$B$2:$B$295,generator!$K$2:$K$295,"ARGH")</f>
        <v>17</v>
      </c>
      <c r="IE29" s="3">
        <f>_xlfn.XLOOKUP(IE$1,generator!$B$2:$B$295,generator!$K$2:$K$295,"ARGH")</f>
        <v>194</v>
      </c>
      <c r="IF29" s="3">
        <f>_xlfn.XLOOKUP(IF$1,generator!$B$2:$B$295,generator!$K$2:$K$295,"ARGH")</f>
        <v>11.9</v>
      </c>
      <c r="IG29" s="3">
        <f>_xlfn.XLOOKUP(IG$1,generator!$B$2:$B$295,generator!$K$2:$K$295,"ARGH")</f>
        <v>11.9</v>
      </c>
      <c r="IH29" s="3">
        <f>_xlfn.XLOOKUP(IH$1,generator!$B$2:$B$295,generator!$K$2:$K$295,"ARGH")</f>
        <v>11.9</v>
      </c>
      <c r="II29" s="3">
        <f>_xlfn.XLOOKUP(II$1,generator!$B$2:$B$295,generator!$K$2:$K$295,"ARGH")</f>
        <v>11.9</v>
      </c>
      <c r="IJ29" s="3">
        <f>_xlfn.XLOOKUP(IJ$1,generator!$B$2:$B$295,generator!$K$2:$K$295,"ARGH")</f>
        <v>0</v>
      </c>
      <c r="IK29" s="3">
        <f>_xlfn.XLOOKUP(IK$1,generator!$B$2:$B$295,generator!$K$2:$K$295,"ARGH")</f>
        <v>3</v>
      </c>
      <c r="IL29" s="3">
        <f>_xlfn.XLOOKUP(IL$1,generator!$B$2:$B$295,generator!$K$2:$K$295,"ARGH")</f>
        <v>5</v>
      </c>
      <c r="IM29" s="3">
        <f>_xlfn.XLOOKUP(IM$1,generator!$B$2:$B$295,generator!$K$2:$K$295,"ARGH")</f>
        <v>5</v>
      </c>
      <c r="IN29" s="3">
        <f>_xlfn.XLOOKUP(IN$1,generator!$B$2:$B$295,generator!$K$2:$K$295,"ARGH")</f>
        <v>4</v>
      </c>
      <c r="IO29" s="3">
        <f>_xlfn.XLOOKUP(IO$1,generator!$B$2:$B$295,generator!$K$2:$K$295,"ARGH")</f>
        <v>4</v>
      </c>
      <c r="IP29" s="3">
        <f>_xlfn.XLOOKUP(IP$1,generator!$B$2:$B$295,generator!$K$2:$K$295,"ARGH")</f>
        <v>3</v>
      </c>
      <c r="IQ29" s="3">
        <f>_xlfn.XLOOKUP(IQ$1,generator!$B$2:$B$295,generator!$K$2:$K$295,"ARGH")</f>
        <v>1</v>
      </c>
      <c r="IR29" s="3">
        <f>_xlfn.XLOOKUP(IR$1,generator!$B$2:$B$295,generator!$K$2:$K$295,"ARGH")</f>
        <v>3</v>
      </c>
      <c r="IS29" s="3">
        <f>_xlfn.XLOOKUP(IS$1,generator!$B$2:$B$295,generator!$K$2:$K$295,"ARGH")</f>
        <v>3</v>
      </c>
      <c r="IT29" s="3">
        <f>_xlfn.XLOOKUP(IT$1,generator!$B$2:$B$295,generator!$K$2:$K$295,"ARGH")</f>
        <v>0</v>
      </c>
      <c r="IU29" s="3">
        <f>_xlfn.XLOOKUP(IU$1,generator!$B$2:$B$295,generator!$K$2:$K$295,"ARGH")</f>
        <v>3.99</v>
      </c>
      <c r="IV29" s="3">
        <f>_xlfn.XLOOKUP(IV$1,generator!$B$2:$B$295,generator!$K$2:$K$295,"ARGH")</f>
        <v>0.2</v>
      </c>
      <c r="IW29" s="3">
        <f>_xlfn.XLOOKUP(IW$1,generator!$B$2:$B$295,generator!$K$2:$K$295,"ARGH")</f>
        <v>15</v>
      </c>
      <c r="IX29" s="3">
        <f>_xlfn.XLOOKUP(IX$1,generator!$B$2:$B$295,generator!$K$2:$K$295,"ARGH")</f>
        <v>15</v>
      </c>
      <c r="IY29" s="3">
        <f>_xlfn.XLOOKUP(IY$1,generator!$B$2:$B$295,generator!$K$2:$K$295,"ARGH")</f>
        <v>15</v>
      </c>
      <c r="IZ29" s="3">
        <f>_xlfn.XLOOKUP(IZ$1,generator!$B$2:$B$295,generator!$K$2:$K$295,"ARGH")</f>
        <v>120</v>
      </c>
      <c r="JA29" s="3">
        <f>_xlfn.XLOOKUP(JA$1,generator!$B$2:$B$295,generator!$K$2:$K$295,"ARGH")</f>
        <v>40</v>
      </c>
      <c r="JB29" s="3">
        <f>_xlfn.XLOOKUP(JB$1,generator!$B$2:$B$295,generator!$K$2:$K$295,"ARGH")</f>
        <v>40</v>
      </c>
      <c r="JC29" s="3">
        <f>_xlfn.XLOOKUP(JC$1,generator!$B$2:$B$295,generator!$K$2:$K$295,"ARGH")</f>
        <v>113</v>
      </c>
      <c r="JD29" s="3">
        <f>_xlfn.XLOOKUP(JD$1,generator!$B$2:$B$295,generator!$K$2:$K$295,"ARGH")</f>
        <v>113</v>
      </c>
      <c r="JE29" s="3">
        <f>_xlfn.XLOOKUP(JE$1,generator!$B$2:$B$295,generator!$K$2:$K$295,"ARGH")</f>
        <v>211</v>
      </c>
      <c r="JF29" s="3">
        <f>_xlfn.XLOOKUP(JF$1,generator!$B$2:$B$295,generator!$K$2:$K$295,"ARGH")</f>
        <v>22.5</v>
      </c>
      <c r="JG29" s="3">
        <f>_xlfn.XLOOKUP(JG$1,generator!$B$2:$B$295,generator!$K$2:$K$295,"ARGH")</f>
        <v>1</v>
      </c>
      <c r="JH29" s="3">
        <f>_xlfn.XLOOKUP(JH$1,generator!$B$2:$B$295,generator!$K$2:$K$295,"ARGH")</f>
        <v>160</v>
      </c>
      <c r="JI29" s="3">
        <f>_xlfn.XLOOKUP(JI$1,generator!$B$2:$B$295,generator!$K$2:$K$295,"ARGH")</f>
        <v>165</v>
      </c>
      <c r="JJ29" s="3">
        <f>_xlfn.XLOOKUP(JJ$1,generator!$B$2:$B$295,generator!$K$2:$K$295,"ARGH")</f>
        <v>4.5999999999999996</v>
      </c>
      <c r="JK29" s="3">
        <f>_xlfn.XLOOKUP(JK$1,generator!$B$2:$B$295,generator!$K$2:$K$295,"ARGH")</f>
        <v>4.5999999999999996</v>
      </c>
      <c r="JL29" s="3">
        <f>_xlfn.XLOOKUP(JL$1,generator!$B$2:$B$295,generator!$K$2:$K$295,"ARGH")</f>
        <v>4.5999999999999996</v>
      </c>
      <c r="JM29" s="3">
        <f>_xlfn.XLOOKUP(JM$1,generator!$B$2:$B$295,generator!$K$2:$K$295,"ARGH")</f>
        <v>4.5999999999999996</v>
      </c>
      <c r="JN29" s="3">
        <f>_xlfn.XLOOKUP(JN$1,generator!$B$2:$B$295,generator!$K$2:$K$295,"ARGH")</f>
        <v>4.5999999999999996</v>
      </c>
      <c r="JO29" s="3">
        <f>_xlfn.XLOOKUP(JO$1,generator!$B$2:$B$295,generator!$K$2:$K$295,"ARGH")</f>
        <v>4.5999999999999996</v>
      </c>
      <c r="JP29" s="3">
        <f>_xlfn.XLOOKUP(JP$1,generator!$B$2:$B$295,generator!$K$2:$K$295,"ARGH")</f>
        <v>110</v>
      </c>
      <c r="JQ29" s="3">
        <f>_xlfn.XLOOKUP(JQ$1,generator!$B$2:$B$295,generator!$K$2:$K$295,"ARGH")</f>
        <v>22.7</v>
      </c>
      <c r="JR29" s="3">
        <f>_xlfn.XLOOKUP(JR$1,generator!$B$2:$B$295,generator!$K$2:$K$295,"ARGH")</f>
        <v>147</v>
      </c>
      <c r="JS29" s="3">
        <f>_xlfn.XLOOKUP(JS$1,generator!$B$2:$B$295,generator!$K$2:$K$295,"ARGH")</f>
        <v>147</v>
      </c>
      <c r="JT29" s="3">
        <f>_xlfn.XLOOKUP(JT$1,generator!$B$2:$B$295,generator!$K$2:$K$295,"ARGH")</f>
        <v>22.7</v>
      </c>
      <c r="JU29" s="3">
        <f>_xlfn.XLOOKUP(JU$1,generator!$B$2:$B$295,generator!$K$2:$K$295,"ARGH")</f>
        <v>21.5</v>
      </c>
      <c r="JV29" s="3">
        <f>_xlfn.XLOOKUP(JV$1,generator!$B$2:$B$295,generator!$K$2:$K$295,"ARGH")</f>
        <v>120</v>
      </c>
      <c r="JW29" s="3">
        <f>_xlfn.XLOOKUP(JW$1,generator!$B$2:$B$295,generator!$K$2:$K$295,"ARGH")</f>
        <v>120</v>
      </c>
      <c r="JX29" s="3">
        <f>_xlfn.XLOOKUP(JX$1,generator!$B$2:$B$295,generator!$K$2:$K$295,"ARGH")</f>
        <v>1</v>
      </c>
      <c r="JY29" s="3">
        <f>_xlfn.XLOOKUP(JY$1,generator!$B$2:$B$295,generator!$K$2:$K$295,"ARGH")</f>
        <v>41.15</v>
      </c>
      <c r="JZ29" s="3">
        <f>_xlfn.XLOOKUP(JZ$1,generator!$B$2:$B$295,generator!$K$2:$K$295,"ARGH")</f>
        <v>5</v>
      </c>
      <c r="KA29" s="3">
        <f>_xlfn.XLOOKUP(KA$1,generator!$B$2:$B$295,generator!$K$2:$K$295,"ARGH")</f>
        <v>5</v>
      </c>
      <c r="KB29" s="3">
        <f>_xlfn.XLOOKUP(KB$1,generator!$B$2:$B$295,generator!$K$2:$K$295,"ARGH")</f>
        <v>5</v>
      </c>
      <c r="KC29" s="3">
        <f>_xlfn.XLOOKUP(KC$1,generator!$B$2:$B$295,generator!$K$2:$K$295,"ARGH")</f>
        <v>5</v>
      </c>
    </row>
    <row r="30" spans="1:289" x14ac:dyDescent="0.3">
      <c r="A30" s="4" t="s">
        <v>3025</v>
      </c>
      <c r="B30" s="31">
        <v>529.5</v>
      </c>
      <c r="C30" s="31">
        <v>511</v>
      </c>
      <c r="D30" s="31">
        <v>332.5</v>
      </c>
      <c r="E30" s="3">
        <f>_xlfn.XLOOKUP(E$1,generator!$B$2:$B$295,generator!$K$2:$K$295,"ARGH")</f>
        <v>0</v>
      </c>
      <c r="F30" s="3">
        <f>_xlfn.XLOOKUP(F$1,generator!$B$2:$B$295,generator!$K$2:$K$295,"ARGH")</f>
        <v>0</v>
      </c>
      <c r="G30" s="3">
        <f>_xlfn.XLOOKUP(G$1,generator!$B$2:$B$295,generator!$K$2:$K$295,"ARGH")</f>
        <v>0</v>
      </c>
      <c r="H30" s="3">
        <f>_xlfn.XLOOKUP(H$1,generator!$B$2:$B$295,generator!$K$2:$K$295,"ARGH")</f>
        <v>0</v>
      </c>
      <c r="I30" s="3">
        <f>_xlfn.XLOOKUP(I$1,generator!$B$2:$B$295,generator!$K$2:$K$295,"ARGH")</f>
        <v>0</v>
      </c>
      <c r="J30" s="3">
        <f>_xlfn.XLOOKUP(J$1,generator!$B$2:$B$295,generator!$K$2:$K$295,"ARGH")</f>
        <v>0</v>
      </c>
      <c r="K30" s="3">
        <f>_xlfn.XLOOKUP(K$1,generator!$B$2:$B$295,generator!$K$2:$K$295,"ARGH")</f>
        <v>0</v>
      </c>
      <c r="L30" s="3">
        <f>_xlfn.XLOOKUP(L$1,generator!$B$2:$B$295,generator!$K$2:$K$295,"ARGH")</f>
        <v>0</v>
      </c>
      <c r="M30" s="3">
        <f>_xlfn.XLOOKUP(M$1,generator!$B$2:$B$295,generator!$K$2:$K$295,"ARGH")</f>
        <v>0</v>
      </c>
      <c r="N30" s="3">
        <f>_xlfn.XLOOKUP(N$1,generator!$B$2:$B$295,generator!$K$2:$K$295,"ARGH")</f>
        <v>0</v>
      </c>
      <c r="O30" s="3">
        <f>_xlfn.XLOOKUP(O$1,generator!$B$2:$B$295,generator!$K$2:$K$295,"ARGH")</f>
        <v>0</v>
      </c>
      <c r="P30" s="3">
        <f>_xlfn.XLOOKUP(P$1,generator!$B$2:$B$295,generator!$K$2:$K$295,"ARGH")</f>
        <v>0</v>
      </c>
      <c r="Q30" s="3">
        <f>_xlfn.XLOOKUP(Q$1,generator!$B$2:$B$295,generator!$K$2:$K$295,"ARGH")</f>
        <v>0</v>
      </c>
      <c r="R30" s="3">
        <f>_xlfn.XLOOKUP(R$1,generator!$B$2:$B$295,generator!$K$2:$K$295,"ARGH")</f>
        <v>0</v>
      </c>
      <c r="S30" s="3">
        <f>_xlfn.XLOOKUP(S$1,generator!$B$2:$B$295,generator!$K$2:$K$295,"ARGH")</f>
        <v>0</v>
      </c>
      <c r="T30" s="3">
        <f>_xlfn.XLOOKUP(T$1,generator!$B$2:$B$295,generator!$K$2:$K$295,"ARGH")</f>
        <v>0</v>
      </c>
      <c r="U30" s="3">
        <f>_xlfn.XLOOKUP(U$1,generator!$B$2:$B$295,generator!$K$2:$K$295,"ARGH")</f>
        <v>0</v>
      </c>
      <c r="V30" s="3">
        <f>_xlfn.XLOOKUP(V$1,generator!$B$2:$B$295,generator!$K$2:$K$295,"ARGH")</f>
        <v>0</v>
      </c>
      <c r="W30" s="3">
        <f>_xlfn.XLOOKUP(W$1,generator!$B$2:$B$295,generator!$K$2:$K$295,"ARGH")</f>
        <v>0</v>
      </c>
      <c r="X30" s="3">
        <f>_xlfn.XLOOKUP(X$1,generator!$B$2:$B$295,generator!$K$2:$K$295,"ARGH")</f>
        <v>0</v>
      </c>
      <c r="Y30" s="3">
        <f>_xlfn.XLOOKUP(Y$1,generator!$B$2:$B$295,generator!$K$2:$K$295,"ARGH")</f>
        <v>0</v>
      </c>
      <c r="Z30" s="3">
        <f>_xlfn.XLOOKUP(Z$1,generator!$B$2:$B$295,generator!$K$2:$K$295,"ARGH")</f>
        <v>0</v>
      </c>
      <c r="AA30" s="3">
        <f>_xlfn.XLOOKUP(AA$1,generator!$B$2:$B$295,generator!$K$2:$K$295,"ARGH")</f>
        <v>0</v>
      </c>
      <c r="AB30" s="3">
        <f>_xlfn.XLOOKUP(AB$1,generator!$B$2:$B$295,generator!$K$2:$K$295,"ARGH")</f>
        <v>0</v>
      </c>
      <c r="AC30" s="3">
        <f>_xlfn.XLOOKUP(AC$1,generator!$B$2:$B$295,generator!$K$2:$K$295,"ARGH")</f>
        <v>0</v>
      </c>
      <c r="AD30" s="3">
        <f>_xlfn.XLOOKUP(AD$1,generator!$B$2:$B$295,generator!$K$2:$K$295,"ARGH")</f>
        <v>0</v>
      </c>
      <c r="AE30" s="3">
        <f>_xlfn.XLOOKUP(AE$1,generator!$B$2:$B$295,generator!$K$2:$K$295,"ARGH")</f>
        <v>0</v>
      </c>
      <c r="AF30" s="3">
        <f>_xlfn.XLOOKUP(AF$1,generator!$B$2:$B$295,generator!$K$2:$K$295,"ARGH")</f>
        <v>0</v>
      </c>
      <c r="AG30" s="3">
        <f>_xlfn.XLOOKUP(AG$1,generator!$B$2:$B$295,generator!$K$2:$K$295,"ARGH")</f>
        <v>0</v>
      </c>
      <c r="AH30" s="3">
        <f>_xlfn.XLOOKUP(AH$1,generator!$B$2:$B$295,generator!$K$2:$K$295,"ARGH")</f>
        <v>0</v>
      </c>
      <c r="AI30" s="3">
        <f>_xlfn.XLOOKUP(AI$1,generator!$B$2:$B$295,generator!$K$2:$K$295,"ARGH")</f>
        <v>0</v>
      </c>
      <c r="AJ30" s="3">
        <f>_xlfn.XLOOKUP(AJ$1,generator!$B$2:$B$295,generator!$K$2:$K$295,"ARGH")</f>
        <v>0</v>
      </c>
      <c r="AK30" s="3">
        <f>_xlfn.XLOOKUP(AK$1,generator!$B$2:$B$295,generator!$K$2:$K$295,"ARGH")</f>
        <v>0</v>
      </c>
      <c r="AL30" s="3">
        <f>_xlfn.XLOOKUP(AL$1,generator!$B$2:$B$295,generator!$K$2:$K$295,"ARGH")</f>
        <v>0</v>
      </c>
      <c r="AM30" s="3">
        <f>_xlfn.XLOOKUP(AM$1,generator!$B$2:$B$295,generator!$K$2:$K$295,"ARGH")</f>
        <v>0</v>
      </c>
      <c r="AN30" s="3">
        <f>_xlfn.XLOOKUP(AN$1,generator!$B$2:$B$295,generator!$K$2:$K$295,"ARGH")</f>
        <v>0</v>
      </c>
      <c r="AO30" s="3">
        <f>_xlfn.XLOOKUP(AO$1,generator!$B$2:$B$295,generator!$K$2:$K$295,"ARGH")</f>
        <v>0</v>
      </c>
      <c r="AP30" s="3">
        <f>_xlfn.XLOOKUP(AP$1,generator!$B$2:$B$295,generator!$K$2:$K$295,"ARGH")</f>
        <v>0</v>
      </c>
      <c r="AQ30" s="3">
        <f>_xlfn.XLOOKUP(AQ$1,generator!$B$2:$B$295,generator!$K$2:$K$295,"ARGH")</f>
        <v>0</v>
      </c>
      <c r="AR30" s="3">
        <f>_xlfn.XLOOKUP(AR$1,generator!$B$2:$B$295,generator!$K$2:$K$295,"ARGH")</f>
        <v>0</v>
      </c>
      <c r="AS30" s="3">
        <f>_xlfn.XLOOKUP(AS$1,generator!$B$2:$B$295,generator!$K$2:$K$295,"ARGH")</f>
        <v>0</v>
      </c>
      <c r="AT30" s="3">
        <f>_xlfn.XLOOKUP(AT$1,generator!$B$2:$B$295,generator!$K$2:$K$295,"ARGH")</f>
        <v>0</v>
      </c>
      <c r="AU30" s="3">
        <f>_xlfn.XLOOKUP(AU$1,generator!$B$2:$B$295,generator!$K$2:$K$295,"ARGH")</f>
        <v>0</v>
      </c>
      <c r="AV30" s="3">
        <f>_xlfn.XLOOKUP(AV$1,generator!$B$2:$B$295,generator!$K$2:$K$295,"ARGH")</f>
        <v>0</v>
      </c>
      <c r="AW30" s="3">
        <f>_xlfn.XLOOKUP(AW$1,generator!$B$2:$B$295,generator!$K$2:$K$295,"ARGH")</f>
        <v>0</v>
      </c>
      <c r="AX30" s="3">
        <f>_xlfn.XLOOKUP(AX$1,generator!$B$2:$B$295,generator!$K$2:$K$295,"ARGH")</f>
        <v>0</v>
      </c>
      <c r="AY30" s="3">
        <f>_xlfn.XLOOKUP(AY$1,generator!$B$2:$B$295,generator!$K$2:$K$295,"ARGH")</f>
        <v>0</v>
      </c>
      <c r="AZ30" s="3">
        <f>_xlfn.XLOOKUP(AZ$1,generator!$B$2:$B$295,generator!$K$2:$K$295,"ARGH")</f>
        <v>0</v>
      </c>
      <c r="BA30" s="3">
        <f>_xlfn.XLOOKUP(BA$1,generator!$B$2:$B$295,generator!$K$2:$K$295,"ARGH")</f>
        <v>0</v>
      </c>
      <c r="BB30" s="3">
        <f>_xlfn.XLOOKUP(BB$1,generator!$B$2:$B$295,generator!$K$2:$K$295,"ARGH")</f>
        <v>0</v>
      </c>
      <c r="BC30" s="3">
        <f>_xlfn.XLOOKUP(BC$1,generator!$B$2:$B$295,generator!$K$2:$K$295,"ARGH")</f>
        <v>0</v>
      </c>
      <c r="BD30" s="3">
        <f>_xlfn.XLOOKUP(BD$1,generator!$B$2:$B$295,generator!$K$2:$K$295,"ARGH")</f>
        <v>0</v>
      </c>
      <c r="BE30" s="3">
        <f>_xlfn.XLOOKUP(BE$1,generator!$B$2:$B$295,generator!$K$2:$K$295,"ARGH")</f>
        <v>0</v>
      </c>
      <c r="BF30" s="3">
        <f>_xlfn.XLOOKUP(BF$1,generator!$B$2:$B$295,generator!$K$2:$K$295,"ARGH")</f>
        <v>0</v>
      </c>
      <c r="BG30" s="3">
        <f>_xlfn.XLOOKUP(BG$1,generator!$B$2:$B$295,generator!$K$2:$K$295,"ARGH")</f>
        <v>0</v>
      </c>
      <c r="BH30" s="3">
        <f>_xlfn.XLOOKUP(BH$1,generator!$B$2:$B$295,generator!$K$2:$K$295,"ARGH")</f>
        <v>0</v>
      </c>
      <c r="BI30" s="3">
        <f>_xlfn.XLOOKUP(BI$1,generator!$B$2:$B$295,generator!$K$2:$K$295,"ARGH")</f>
        <v>0</v>
      </c>
      <c r="BJ30" s="3">
        <f>_xlfn.XLOOKUP(BJ$1,generator!$B$2:$B$295,generator!$K$2:$K$295,"ARGH")</f>
        <v>0</v>
      </c>
      <c r="BK30" s="3">
        <f>_xlfn.XLOOKUP(BK$1,generator!$B$2:$B$295,generator!$K$2:$K$295,"ARGH")</f>
        <v>0</v>
      </c>
      <c r="BL30" s="3">
        <f>_xlfn.XLOOKUP(BL$1,generator!$B$2:$B$295,generator!$K$2:$K$295,"ARGH")</f>
        <v>0</v>
      </c>
      <c r="BM30" s="3">
        <f>_xlfn.XLOOKUP(BM$1,generator!$B$2:$B$295,generator!$K$2:$K$295,"ARGH")</f>
        <v>0</v>
      </c>
      <c r="BN30" s="3">
        <f>_xlfn.XLOOKUP(BN$1,generator!$B$2:$B$295,generator!$K$2:$K$295,"ARGH")</f>
        <v>0</v>
      </c>
      <c r="BO30" s="3">
        <f>_xlfn.XLOOKUP(BO$1,generator!$B$2:$B$295,generator!$K$2:$K$295,"ARGH")</f>
        <v>0</v>
      </c>
      <c r="BP30" s="3">
        <f>_xlfn.XLOOKUP(BP$1,generator!$B$2:$B$295,generator!$K$2:$K$295,"ARGH")</f>
        <v>0</v>
      </c>
      <c r="BQ30" s="3">
        <f>_xlfn.XLOOKUP(BQ$1,generator!$B$2:$B$295,generator!$K$2:$K$295,"ARGH")</f>
        <v>0</v>
      </c>
      <c r="BR30" s="3">
        <f>_xlfn.XLOOKUP(BR$1,generator!$B$2:$B$295,generator!$K$2:$K$295,"ARGH")</f>
        <v>0</v>
      </c>
      <c r="BS30" s="3">
        <f>_xlfn.XLOOKUP(BS$1,generator!$B$2:$B$295,generator!$K$2:$K$295,"ARGH")</f>
        <v>0</v>
      </c>
      <c r="BT30" s="3">
        <f>_xlfn.XLOOKUP(BT$1,generator!$B$2:$B$295,generator!$K$2:$K$295,"ARGH")</f>
        <v>0</v>
      </c>
      <c r="BU30" s="3">
        <f>_xlfn.XLOOKUP(BU$1,generator!$B$2:$B$295,generator!$K$2:$K$295,"ARGH")</f>
        <v>0</v>
      </c>
      <c r="BV30" s="3">
        <f>_xlfn.XLOOKUP(BV$1,generator!$B$2:$B$295,generator!$K$2:$K$295,"ARGH")</f>
        <v>0</v>
      </c>
      <c r="BW30" s="3">
        <f>_xlfn.XLOOKUP(BW$1,generator!$B$2:$B$295,generator!$K$2:$K$295,"ARGH")</f>
        <v>0</v>
      </c>
      <c r="BX30" s="3">
        <f>_xlfn.XLOOKUP(BX$1,generator!$B$2:$B$295,generator!$K$2:$K$295,"ARGH")</f>
        <v>0</v>
      </c>
      <c r="BY30" s="3">
        <f>_xlfn.XLOOKUP(BY$1,generator!$B$2:$B$295,generator!$K$2:$K$295,"ARGH")</f>
        <v>0</v>
      </c>
      <c r="BZ30" s="3">
        <f>_xlfn.XLOOKUP(BZ$1,generator!$B$2:$B$295,generator!$K$2:$K$295,"ARGH")</f>
        <v>0</v>
      </c>
      <c r="CA30" s="3">
        <f>_xlfn.XLOOKUP(CA$1,generator!$B$2:$B$295,generator!$K$2:$K$295,"ARGH")</f>
        <v>0</v>
      </c>
      <c r="CB30" s="3">
        <f>_xlfn.XLOOKUP(CB$1,generator!$B$2:$B$295,generator!$K$2:$K$295,"ARGH")</f>
        <v>0</v>
      </c>
      <c r="CC30" s="3">
        <f>_xlfn.XLOOKUP(CC$1,generator!$B$2:$B$295,generator!$K$2:$K$295,"ARGH")</f>
        <v>0</v>
      </c>
      <c r="CD30" s="3">
        <f>_xlfn.XLOOKUP(CD$1,generator!$B$2:$B$295,generator!$K$2:$K$295,"ARGH")</f>
        <v>0</v>
      </c>
      <c r="CE30" s="3">
        <f>_xlfn.XLOOKUP(CE$1,generator!$B$2:$B$295,generator!$K$2:$K$295,"ARGH")</f>
        <v>0</v>
      </c>
      <c r="CF30" s="3">
        <f>_xlfn.XLOOKUP(CF$1,generator!$B$2:$B$295,generator!$K$2:$K$295,"ARGH")</f>
        <v>0</v>
      </c>
      <c r="CG30" s="3">
        <f>_xlfn.XLOOKUP(CG$1,generator!$B$2:$B$295,generator!$K$2:$K$295,"ARGH")</f>
        <v>0</v>
      </c>
      <c r="CH30" s="3">
        <f>_xlfn.XLOOKUP(CH$1,generator!$B$2:$B$295,generator!$K$2:$K$295,"ARGH")</f>
        <v>0</v>
      </c>
      <c r="CI30" s="3">
        <f>_xlfn.XLOOKUP(CI$1,generator!$B$2:$B$295,generator!$K$2:$K$295,"ARGH")</f>
        <v>0</v>
      </c>
      <c r="CJ30" s="3">
        <f>_xlfn.XLOOKUP(CJ$1,generator!$B$2:$B$295,generator!$K$2:$K$295,"ARGH")</f>
        <v>0</v>
      </c>
      <c r="CK30" s="3">
        <f>_xlfn.XLOOKUP(CK$1,generator!$B$2:$B$295,generator!$K$2:$K$295,"ARGH")</f>
        <v>0</v>
      </c>
      <c r="CL30" s="3">
        <f>_xlfn.XLOOKUP(CL$1,generator!$B$2:$B$295,generator!$K$2:$K$295,"ARGH")</f>
        <v>0</v>
      </c>
      <c r="CM30" s="3">
        <f>_xlfn.XLOOKUP(CM$1,generator!$B$2:$B$295,generator!$K$2:$K$295,"ARGH")</f>
        <v>0</v>
      </c>
      <c r="CN30" s="3">
        <f>_xlfn.XLOOKUP(CN$1,generator!$B$2:$B$295,generator!$K$2:$K$295,"ARGH")</f>
        <v>0</v>
      </c>
      <c r="CO30" s="3">
        <f>_xlfn.XLOOKUP(CO$1,generator!$B$2:$B$295,generator!$K$2:$K$295,"ARGH")</f>
        <v>0</v>
      </c>
      <c r="CP30" s="3">
        <f>_xlfn.XLOOKUP(CP$1,generator!$B$2:$B$295,generator!$K$2:$K$295,"ARGH")</f>
        <v>0</v>
      </c>
      <c r="CQ30" s="3">
        <f>_xlfn.XLOOKUP(CQ$1,generator!$B$2:$B$295,generator!$K$2:$K$295,"ARGH")</f>
        <v>0</v>
      </c>
      <c r="CR30" s="3">
        <f>_xlfn.XLOOKUP(CR$1,generator!$B$2:$B$295,generator!$K$2:$K$295,"ARGH")</f>
        <v>0</v>
      </c>
      <c r="CS30" s="3">
        <f>_xlfn.XLOOKUP(CS$1,generator!$B$2:$B$295,generator!$K$2:$K$295,"ARGH")</f>
        <v>0</v>
      </c>
      <c r="CT30" s="3">
        <f>_xlfn.XLOOKUP(CT$1,generator!$B$2:$B$295,generator!$K$2:$K$295,"ARGH")</f>
        <v>0</v>
      </c>
      <c r="CU30" s="3">
        <f>_xlfn.XLOOKUP(CU$1,generator!$B$2:$B$295,generator!$K$2:$K$295,"ARGH")</f>
        <v>0</v>
      </c>
      <c r="CV30" s="3">
        <f>_xlfn.XLOOKUP(CV$1,generator!$B$2:$B$295,generator!$K$2:$K$295,"ARGH")</f>
        <v>0</v>
      </c>
      <c r="CW30" s="3">
        <f>_xlfn.XLOOKUP(CW$1,generator!$B$2:$B$295,generator!$K$2:$K$295,"ARGH")</f>
        <v>0</v>
      </c>
      <c r="CX30" s="3">
        <f>_xlfn.XLOOKUP(CX$1,generator!$B$2:$B$295,generator!$K$2:$K$295,"ARGH")</f>
        <v>0</v>
      </c>
      <c r="CY30" s="3">
        <f>_xlfn.XLOOKUP(CY$1,generator!$B$2:$B$295,generator!$K$2:$K$295,"ARGH")</f>
        <v>0</v>
      </c>
      <c r="CZ30" s="3">
        <f>_xlfn.XLOOKUP(CZ$1,generator!$B$2:$B$295,generator!$K$2:$K$295,"ARGH")</f>
        <v>0</v>
      </c>
      <c r="DA30" s="3">
        <f>_xlfn.XLOOKUP(DA$1,generator!$B$2:$B$295,generator!$K$2:$K$295,"ARGH")</f>
        <v>0</v>
      </c>
      <c r="DB30" s="3">
        <f>_xlfn.XLOOKUP(DB$1,generator!$B$2:$B$295,generator!$K$2:$K$295,"ARGH")</f>
        <v>0</v>
      </c>
      <c r="DC30" s="3">
        <f>_xlfn.XLOOKUP(DC$1,generator!$B$2:$B$295,generator!$K$2:$K$295,"ARGH")</f>
        <v>0</v>
      </c>
      <c r="DD30" s="3">
        <f>_xlfn.XLOOKUP(DD$1,generator!$B$2:$B$295,generator!$K$2:$K$295,"ARGH")</f>
        <v>0</v>
      </c>
      <c r="DE30" s="3">
        <f>_xlfn.XLOOKUP(DE$1,generator!$B$2:$B$295,generator!$K$2:$K$295,"ARGH")</f>
        <v>0</v>
      </c>
      <c r="DF30" s="3">
        <f>_xlfn.XLOOKUP(DF$1,generator!$B$2:$B$295,generator!$K$2:$K$295,"ARGH")</f>
        <v>0</v>
      </c>
      <c r="DG30" s="3">
        <f>_xlfn.XLOOKUP(DG$1,generator!$B$2:$B$295,generator!$K$2:$K$295,"ARGH")</f>
        <v>0</v>
      </c>
      <c r="DH30" s="3">
        <f>_xlfn.XLOOKUP(DH$1,generator!$B$2:$B$295,generator!$K$2:$K$295,"ARGH")</f>
        <v>0</v>
      </c>
      <c r="DI30" s="3">
        <f>_xlfn.XLOOKUP(DI$1,generator!$B$2:$B$295,generator!$K$2:$K$295,"ARGH")</f>
        <v>0</v>
      </c>
      <c r="DJ30" s="3">
        <f>_xlfn.XLOOKUP(DJ$1,generator!$B$2:$B$295,generator!$K$2:$K$295,"ARGH")</f>
        <v>0</v>
      </c>
      <c r="DK30" s="3">
        <f>_xlfn.XLOOKUP(DK$1,generator!$B$2:$B$295,generator!$K$2:$K$295,"ARGH")</f>
        <v>0</v>
      </c>
      <c r="DL30" s="3">
        <f>_xlfn.XLOOKUP(DL$1,generator!$B$2:$B$295,generator!$K$2:$K$295,"ARGH")</f>
        <v>0</v>
      </c>
      <c r="DM30" s="3">
        <f>_xlfn.XLOOKUP(DM$1,generator!$B$2:$B$295,generator!$K$2:$K$295,"ARGH")</f>
        <v>0</v>
      </c>
      <c r="DN30" s="3">
        <f>_xlfn.XLOOKUP(DN$1,generator!$B$2:$B$295,generator!$K$2:$K$295,"ARGH")</f>
        <v>0</v>
      </c>
      <c r="DO30" s="3">
        <f>_xlfn.XLOOKUP(DO$1,generator!$B$2:$B$295,generator!$K$2:$K$295,"ARGH")</f>
        <v>0</v>
      </c>
      <c r="DP30" s="3">
        <f>_xlfn.XLOOKUP(DP$1,generator!$B$2:$B$295,generator!$K$2:$K$295,"ARGH")</f>
        <v>0</v>
      </c>
      <c r="DQ30" s="3">
        <f>_xlfn.XLOOKUP(DQ$1,generator!$B$2:$B$295,generator!$K$2:$K$295,"ARGH")</f>
        <v>0</v>
      </c>
      <c r="DR30" s="3">
        <f>_xlfn.XLOOKUP(DR$1,generator!$B$2:$B$295,generator!$K$2:$K$295,"ARGH")</f>
        <v>0</v>
      </c>
      <c r="DS30" s="3">
        <f>_xlfn.XLOOKUP(DS$1,generator!$B$2:$B$295,generator!$K$2:$K$295,"ARGH")</f>
        <v>0</v>
      </c>
      <c r="DT30" s="3">
        <f>_xlfn.XLOOKUP(DT$1,generator!$B$2:$B$295,generator!$K$2:$K$295,"ARGH")</f>
        <v>0</v>
      </c>
      <c r="DU30" s="3">
        <f>_xlfn.XLOOKUP(DU$1,generator!$B$2:$B$295,generator!$K$2:$K$295,"ARGH")</f>
        <v>0</v>
      </c>
      <c r="DV30" s="3">
        <f>_xlfn.XLOOKUP(DV$1,generator!$B$2:$B$295,generator!$K$2:$K$295,"ARGH")</f>
        <v>0</v>
      </c>
      <c r="DW30" s="3">
        <f>_xlfn.XLOOKUP(DW$1,generator!$B$2:$B$295,generator!$K$2:$K$295,"ARGH")</f>
        <v>0</v>
      </c>
      <c r="DX30" s="3">
        <f>_xlfn.XLOOKUP(DX$1,generator!$B$2:$B$295,generator!$K$2:$K$295,"ARGH")</f>
        <v>0</v>
      </c>
      <c r="DY30" s="3">
        <f>_xlfn.XLOOKUP(DY$1,generator!$B$2:$B$295,generator!$K$2:$K$295,"ARGH")</f>
        <v>0</v>
      </c>
      <c r="DZ30" s="3">
        <f>_xlfn.XLOOKUP(DZ$1,generator!$B$2:$B$295,generator!$K$2:$K$295,"ARGH")</f>
        <v>0</v>
      </c>
      <c r="EA30" s="3">
        <f>_xlfn.XLOOKUP(EA$1,generator!$B$2:$B$295,generator!$K$2:$K$295,"ARGH")</f>
        <v>0</v>
      </c>
      <c r="EB30" s="3">
        <f>_xlfn.XLOOKUP(EB$1,generator!$B$2:$B$295,generator!$K$2:$K$295,"ARGH")</f>
        <v>0</v>
      </c>
      <c r="EC30" s="3">
        <f>_xlfn.XLOOKUP(EC$1,generator!$B$2:$B$295,generator!$K$2:$K$295,"ARGH")</f>
        <v>0</v>
      </c>
      <c r="ED30" s="3">
        <f>_xlfn.XLOOKUP(ED$1,generator!$B$2:$B$295,generator!$K$2:$K$295,"ARGH")</f>
        <v>0</v>
      </c>
      <c r="EE30" s="3">
        <f>_xlfn.XLOOKUP(EE$1,generator!$B$2:$B$295,generator!$K$2:$K$295,"ARGH")</f>
        <v>0</v>
      </c>
      <c r="EF30" s="3">
        <f>_xlfn.XLOOKUP(EF$1,generator!$B$2:$B$295,generator!$K$2:$K$295,"ARGH")</f>
        <v>0</v>
      </c>
      <c r="EG30" s="3">
        <f>_xlfn.XLOOKUP(EG$1,generator!$B$2:$B$295,generator!$K$2:$K$295,"ARGH")</f>
        <v>0</v>
      </c>
      <c r="EH30" s="3">
        <f>_xlfn.XLOOKUP(EH$1,generator!$B$2:$B$295,generator!$K$2:$K$295,"ARGH")</f>
        <v>0</v>
      </c>
      <c r="EI30" s="3">
        <f>_xlfn.XLOOKUP(EI$1,generator!$B$2:$B$295,generator!$K$2:$K$295,"ARGH")</f>
        <v>0</v>
      </c>
      <c r="EJ30" s="3">
        <f>_xlfn.XLOOKUP(EJ$1,generator!$B$2:$B$295,generator!$K$2:$K$295,"ARGH")</f>
        <v>0</v>
      </c>
      <c r="EK30" s="3">
        <f>_xlfn.XLOOKUP(EK$1,generator!$B$2:$B$295,generator!$K$2:$K$295,"ARGH")</f>
        <v>0</v>
      </c>
      <c r="EL30" s="3">
        <f>_xlfn.XLOOKUP(EL$1,generator!$B$2:$B$295,generator!$K$2:$K$295,"ARGH")</f>
        <v>0</v>
      </c>
      <c r="EM30" s="3">
        <f>_xlfn.XLOOKUP(EM$1,generator!$B$2:$B$295,generator!$K$2:$K$295,"ARGH")</f>
        <v>0</v>
      </c>
      <c r="EN30" s="3">
        <f>_xlfn.XLOOKUP(EN$1,generator!$B$2:$B$295,generator!$K$2:$K$295,"ARGH")</f>
        <v>0</v>
      </c>
      <c r="EO30" s="3">
        <f>_xlfn.XLOOKUP(EO$1,generator!$B$2:$B$295,generator!$K$2:$K$295,"ARGH")</f>
        <v>0</v>
      </c>
      <c r="EP30" s="3">
        <f>_xlfn.XLOOKUP(EP$1,generator!$B$2:$B$295,generator!$K$2:$K$295,"ARGH")</f>
        <v>0</v>
      </c>
      <c r="EQ30" s="3">
        <f>_xlfn.XLOOKUP(EQ$1,generator!$B$2:$B$295,generator!$K$2:$K$295,"ARGH")</f>
        <v>0</v>
      </c>
      <c r="ER30" s="3">
        <f>_xlfn.XLOOKUP(ER$1,generator!$B$2:$B$295,generator!$K$2:$K$295,"ARGH")</f>
        <v>0</v>
      </c>
      <c r="ES30" s="3">
        <f>_xlfn.XLOOKUP(ES$1,generator!$B$2:$B$295,generator!$K$2:$K$295,"ARGH")</f>
        <v>0</v>
      </c>
      <c r="ET30" s="3">
        <f>_xlfn.XLOOKUP(ET$1,generator!$B$2:$B$295,generator!$K$2:$K$295,"ARGH")</f>
        <v>0</v>
      </c>
      <c r="EU30" s="3">
        <f>_xlfn.XLOOKUP(EU$1,generator!$B$2:$B$295,generator!$K$2:$K$295,"ARGH")</f>
        <v>0</v>
      </c>
      <c r="EV30" s="3">
        <f>_xlfn.XLOOKUP(EV$1,generator!$B$2:$B$295,generator!$K$2:$K$295,"ARGH")</f>
        <v>0</v>
      </c>
      <c r="EW30" s="3">
        <f>_xlfn.XLOOKUP(EW$1,generator!$B$2:$B$295,generator!$K$2:$K$295,"ARGH")</f>
        <v>0</v>
      </c>
      <c r="EX30" s="3">
        <f>_xlfn.XLOOKUP(EX$1,generator!$B$2:$B$295,generator!$K$2:$K$295,"ARGH")</f>
        <v>0</v>
      </c>
      <c r="EY30" s="3">
        <f>_xlfn.XLOOKUP(EY$1,generator!$B$2:$B$295,generator!$K$2:$K$295,"ARGH")</f>
        <v>0</v>
      </c>
      <c r="EZ30" s="3">
        <f>_xlfn.XLOOKUP(EZ$1,generator!$B$2:$B$295,generator!$K$2:$K$295,"ARGH")</f>
        <v>0</v>
      </c>
      <c r="FA30" s="3">
        <f>_xlfn.XLOOKUP(FA$1,generator!$B$2:$B$295,generator!$K$2:$K$295,"ARGH")</f>
        <v>0</v>
      </c>
      <c r="FB30" s="3">
        <f>_xlfn.XLOOKUP(FB$1,generator!$B$2:$B$295,generator!$K$2:$K$295,"ARGH")</f>
        <v>0</v>
      </c>
      <c r="FC30" s="3">
        <f>_xlfn.XLOOKUP(FC$1,generator!$B$2:$B$295,generator!$K$2:$K$295,"ARGH")</f>
        <v>0</v>
      </c>
      <c r="FD30" s="3">
        <f>_xlfn.XLOOKUP(FD$1,generator!$B$2:$B$295,generator!$K$2:$K$295,"ARGH")</f>
        <v>0</v>
      </c>
      <c r="FE30" s="3">
        <f>_xlfn.XLOOKUP(FE$1,generator!$B$2:$B$295,generator!$K$2:$K$295,"ARGH")</f>
        <v>0</v>
      </c>
      <c r="FF30" s="3">
        <f>_xlfn.XLOOKUP(FF$1,generator!$B$2:$B$295,generator!$K$2:$K$295,"ARGH")</f>
        <v>0</v>
      </c>
      <c r="FG30" s="3">
        <f>_xlfn.XLOOKUP(FG$1,generator!$B$2:$B$295,generator!$K$2:$K$295,"ARGH")</f>
        <v>0</v>
      </c>
      <c r="FH30" s="3">
        <f>_xlfn.XLOOKUP(FH$1,generator!$B$2:$B$295,generator!$K$2:$K$295,"ARGH")</f>
        <v>0</v>
      </c>
      <c r="FI30" s="3">
        <f>_xlfn.XLOOKUP(FI$1,generator!$B$2:$B$295,generator!$K$2:$K$295,"ARGH")</f>
        <v>0</v>
      </c>
      <c r="FJ30" s="3">
        <f>_xlfn.XLOOKUP(FJ$1,generator!$B$2:$B$295,generator!$K$2:$K$295,"ARGH")</f>
        <v>0</v>
      </c>
      <c r="FK30" s="3">
        <f>_xlfn.XLOOKUP(FK$1,generator!$B$2:$B$295,generator!$K$2:$K$295,"ARGH")</f>
        <v>0</v>
      </c>
      <c r="FL30" s="3">
        <f>_xlfn.XLOOKUP(FL$1,generator!$B$2:$B$295,generator!$K$2:$K$295,"ARGH")</f>
        <v>0</v>
      </c>
      <c r="FM30" s="3">
        <f>_xlfn.XLOOKUP(FM$1,generator!$B$2:$B$295,generator!$K$2:$K$295,"ARGH")</f>
        <v>0</v>
      </c>
      <c r="FN30" s="3">
        <f>_xlfn.XLOOKUP(FN$1,generator!$B$2:$B$295,generator!$K$2:$K$295,"ARGH")</f>
        <v>0</v>
      </c>
      <c r="FO30" s="3">
        <f>_xlfn.XLOOKUP(FO$1,generator!$B$2:$B$295,generator!$K$2:$K$295,"ARGH")</f>
        <v>0</v>
      </c>
      <c r="FP30" s="3">
        <f>_xlfn.XLOOKUP(FP$1,generator!$B$2:$B$295,generator!$K$2:$K$295,"ARGH")</f>
        <v>0</v>
      </c>
      <c r="FQ30" s="3">
        <f>_xlfn.XLOOKUP(FQ$1,generator!$B$2:$B$295,generator!$K$2:$K$295,"ARGH")</f>
        <v>0</v>
      </c>
      <c r="FR30" s="3">
        <f>_xlfn.XLOOKUP(FR$1,generator!$B$2:$B$295,generator!$K$2:$K$295,"ARGH")</f>
        <v>0</v>
      </c>
      <c r="FS30" s="3">
        <f>_xlfn.XLOOKUP(FS$1,generator!$B$2:$B$295,generator!$K$2:$K$295,"ARGH")</f>
        <v>0</v>
      </c>
      <c r="FT30" s="3">
        <f>_xlfn.XLOOKUP(FT$1,generator!$B$2:$B$295,generator!$K$2:$K$295,"ARGH")</f>
        <v>0</v>
      </c>
      <c r="FU30" s="3">
        <f>_xlfn.XLOOKUP(FU$1,generator!$B$2:$B$295,generator!$K$2:$K$295,"ARGH")</f>
        <v>0</v>
      </c>
      <c r="FV30" s="3">
        <f>_xlfn.XLOOKUP(FV$1,generator!$B$2:$B$295,generator!$K$2:$K$295,"ARGH")</f>
        <v>0</v>
      </c>
      <c r="FW30" s="3">
        <f>_xlfn.XLOOKUP(FW$1,generator!$B$2:$B$295,generator!$K$2:$K$295,"ARGH")</f>
        <v>0</v>
      </c>
      <c r="FX30" s="3">
        <f>_xlfn.XLOOKUP(FX$1,generator!$B$2:$B$295,generator!$K$2:$K$295,"ARGH")</f>
        <v>0</v>
      </c>
      <c r="FY30" s="3">
        <f>_xlfn.XLOOKUP(FY$1,generator!$B$2:$B$295,generator!$K$2:$K$295,"ARGH")</f>
        <v>0</v>
      </c>
      <c r="FZ30" s="3">
        <f>_xlfn.XLOOKUP(FZ$1,generator!$B$2:$B$295,generator!$K$2:$K$295,"ARGH")</f>
        <v>0</v>
      </c>
      <c r="GA30" s="3">
        <f>_xlfn.XLOOKUP(GA$1,generator!$B$2:$B$295,generator!$K$2:$K$295,"ARGH")</f>
        <v>0</v>
      </c>
      <c r="GB30" s="3">
        <f>_xlfn.XLOOKUP(GB$1,generator!$B$2:$B$295,generator!$K$2:$K$295,"ARGH")</f>
        <v>0</v>
      </c>
      <c r="GC30" s="3">
        <f>_xlfn.XLOOKUP(GC$1,generator!$B$2:$B$295,generator!$K$2:$K$295,"ARGH")</f>
        <v>0</v>
      </c>
      <c r="GD30" s="3">
        <f>_xlfn.XLOOKUP(GD$1,generator!$B$2:$B$295,generator!$K$2:$K$295,"ARGH")</f>
        <v>0</v>
      </c>
      <c r="GE30" s="3">
        <f>_xlfn.XLOOKUP(GE$1,generator!$B$2:$B$295,generator!$K$2:$K$295,"ARGH")</f>
        <v>0</v>
      </c>
      <c r="GF30" s="3">
        <f>_xlfn.XLOOKUP(GF$1,generator!$B$2:$B$295,generator!$K$2:$K$295,"ARGH")</f>
        <v>0</v>
      </c>
      <c r="GG30" s="3">
        <f>_xlfn.XLOOKUP(GG$1,generator!$B$2:$B$295,generator!$K$2:$K$295,"ARGH")</f>
        <v>0</v>
      </c>
      <c r="GH30" s="3">
        <f>_xlfn.XLOOKUP(GH$1,generator!$B$2:$B$295,generator!$K$2:$K$295,"ARGH")</f>
        <v>0</v>
      </c>
      <c r="GI30" s="3">
        <f>_xlfn.XLOOKUP(GI$1,generator!$B$2:$B$295,generator!$K$2:$K$295,"ARGH")</f>
        <v>0</v>
      </c>
      <c r="GJ30" s="3">
        <f>_xlfn.XLOOKUP(GJ$1,generator!$B$2:$B$295,generator!$K$2:$K$295,"ARGH")</f>
        <v>0</v>
      </c>
      <c r="GK30" s="3">
        <f>_xlfn.XLOOKUP(GK$1,generator!$B$2:$B$295,generator!$K$2:$K$295,"ARGH")</f>
        <v>0</v>
      </c>
      <c r="GL30" s="3">
        <f>_xlfn.XLOOKUP(GL$1,generator!$B$2:$B$295,generator!$K$2:$K$295,"ARGH")</f>
        <v>0</v>
      </c>
      <c r="GM30" s="3">
        <f>_xlfn.XLOOKUP(GM$1,generator!$B$2:$B$295,generator!$K$2:$K$295,"ARGH")</f>
        <v>0</v>
      </c>
      <c r="GN30" s="3">
        <f>_xlfn.XLOOKUP(GN$1,generator!$B$2:$B$295,generator!$K$2:$K$295,"ARGH")</f>
        <v>0</v>
      </c>
      <c r="GO30" s="3">
        <f>_xlfn.XLOOKUP(GO$1,generator!$B$2:$B$295,generator!$K$2:$K$295,"ARGH")</f>
        <v>0</v>
      </c>
      <c r="GP30" s="3">
        <f>_xlfn.XLOOKUP(GP$1,generator!$B$2:$B$295,generator!$K$2:$K$295,"ARGH")</f>
        <v>0</v>
      </c>
      <c r="GQ30" s="3">
        <f>_xlfn.XLOOKUP(GQ$1,generator!$B$2:$B$295,generator!$K$2:$K$295,"ARGH")</f>
        <v>0</v>
      </c>
      <c r="GR30" s="3">
        <f>_xlfn.XLOOKUP(GR$1,generator!$B$2:$B$295,generator!$K$2:$K$295,"ARGH")</f>
        <v>0</v>
      </c>
      <c r="GS30" s="3">
        <f>_xlfn.XLOOKUP(GS$1,generator!$B$2:$B$295,generator!$K$2:$K$295,"ARGH")</f>
        <v>0</v>
      </c>
      <c r="GT30" s="3">
        <f>_xlfn.XLOOKUP(GT$1,generator!$B$2:$B$295,generator!$K$2:$K$295,"ARGH")</f>
        <v>0</v>
      </c>
      <c r="GU30" s="3">
        <f>_xlfn.XLOOKUP(GU$1,generator!$B$2:$B$295,generator!$K$2:$K$295,"ARGH")</f>
        <v>0</v>
      </c>
      <c r="GV30" s="3">
        <f>_xlfn.XLOOKUP(GV$1,generator!$B$2:$B$295,generator!$K$2:$K$295,"ARGH")</f>
        <v>0</v>
      </c>
      <c r="GW30" s="3">
        <f>_xlfn.XLOOKUP(GW$1,generator!$B$2:$B$295,generator!$K$2:$K$295,"ARGH")</f>
        <v>0</v>
      </c>
      <c r="GX30" s="3">
        <f>_xlfn.XLOOKUP(GX$1,generator!$B$2:$B$295,generator!$K$2:$K$295,"ARGH")</f>
        <v>0</v>
      </c>
      <c r="GY30" s="3">
        <f>_xlfn.XLOOKUP(GY$1,generator!$B$2:$B$295,generator!$K$2:$K$295,"ARGH")</f>
        <v>0</v>
      </c>
      <c r="GZ30" s="3">
        <f>_xlfn.XLOOKUP(GZ$1,generator!$B$2:$B$295,generator!$K$2:$K$295,"ARGH")</f>
        <v>0</v>
      </c>
      <c r="HA30" s="3">
        <f>_xlfn.XLOOKUP(HA$1,generator!$B$2:$B$295,generator!$K$2:$K$295,"ARGH")</f>
        <v>0</v>
      </c>
      <c r="HB30" s="3">
        <f>_xlfn.XLOOKUP(HB$1,generator!$B$2:$B$295,generator!$K$2:$K$295,"ARGH")</f>
        <v>0</v>
      </c>
      <c r="HC30" s="3">
        <f>_xlfn.XLOOKUP(HC$1,generator!$B$2:$B$295,generator!$K$2:$K$295,"ARGH")</f>
        <v>0</v>
      </c>
      <c r="HD30" s="3">
        <f>_xlfn.XLOOKUP(HD$1,generator!$B$2:$B$295,generator!$K$2:$K$295,"ARGH")</f>
        <v>0</v>
      </c>
      <c r="HE30" s="3">
        <f>_xlfn.XLOOKUP(HE$1,generator!$B$2:$B$295,generator!$K$2:$K$295,"ARGH")</f>
        <v>12.74</v>
      </c>
      <c r="HF30" s="3">
        <f>_xlfn.XLOOKUP(HF$1,generator!$B$2:$B$295,generator!$K$2:$K$295,"ARGH")</f>
        <v>99</v>
      </c>
      <c r="HG30" s="3">
        <f>_xlfn.XLOOKUP(HG$1,generator!$B$2:$B$295,generator!$K$2:$K$295,"ARGH")</f>
        <v>99</v>
      </c>
      <c r="HH30" s="3">
        <f>_xlfn.XLOOKUP(HH$1,generator!$B$2:$B$295,generator!$K$2:$K$295,"ARGH")</f>
        <v>99</v>
      </c>
      <c r="HI30" s="3">
        <f>_xlfn.XLOOKUP(HI$1,generator!$B$2:$B$295,generator!$K$2:$K$295,"ARGH")</f>
        <v>8</v>
      </c>
      <c r="HJ30" s="3">
        <f>_xlfn.XLOOKUP(HJ$1,generator!$B$2:$B$295,generator!$K$2:$K$295,"ARGH")</f>
        <v>8</v>
      </c>
      <c r="HK30" s="3">
        <f>_xlfn.XLOOKUP(HK$1,generator!$B$2:$B$295,generator!$K$2:$K$295,"ARGH")</f>
        <v>8</v>
      </c>
      <c r="HL30" s="3">
        <f>_xlfn.XLOOKUP(HL$1,generator!$B$2:$B$295,generator!$K$2:$K$295,"ARGH")</f>
        <v>20</v>
      </c>
      <c r="HM30" s="3">
        <f>_xlfn.XLOOKUP(HM$1,generator!$B$2:$B$295,generator!$K$2:$K$295,"ARGH")</f>
        <v>20</v>
      </c>
      <c r="HN30" s="3">
        <f>_xlfn.XLOOKUP(HN$1,generator!$B$2:$B$295,generator!$K$2:$K$295,"ARGH")</f>
        <v>5</v>
      </c>
      <c r="HO30" s="3">
        <f>_xlfn.XLOOKUP(HO$1,generator!$B$2:$B$295,generator!$K$2:$K$295,"ARGH")</f>
        <v>5</v>
      </c>
      <c r="HP30" s="3">
        <f>_xlfn.XLOOKUP(HP$1,generator!$B$2:$B$295,generator!$K$2:$K$295,"ARGH")</f>
        <v>0.2</v>
      </c>
      <c r="HQ30" s="3">
        <f>_xlfn.XLOOKUP(HQ$1,generator!$B$2:$B$295,generator!$K$2:$K$295,"ARGH")</f>
        <v>5</v>
      </c>
      <c r="HR30" s="3">
        <f>_xlfn.XLOOKUP(HR$1,generator!$B$2:$B$295,generator!$K$2:$K$295,"ARGH")</f>
        <v>5</v>
      </c>
      <c r="HS30" s="3">
        <f>_xlfn.XLOOKUP(HS$1,generator!$B$2:$B$295,generator!$K$2:$K$295,"ARGH")</f>
        <v>12.82</v>
      </c>
      <c r="HT30" s="3">
        <f>_xlfn.XLOOKUP(HT$1,generator!$B$2:$B$295,generator!$K$2:$K$295,"ARGH")</f>
        <v>12.82</v>
      </c>
      <c r="HU30" s="3">
        <f>_xlfn.XLOOKUP(HU$1,generator!$B$2:$B$295,generator!$K$2:$K$295,"ARGH")</f>
        <v>25</v>
      </c>
      <c r="HV30" s="3">
        <f>_xlfn.XLOOKUP(HV$1,generator!$B$2:$B$295,generator!$K$2:$K$295,"ARGH")</f>
        <v>16</v>
      </c>
      <c r="HW30" s="3">
        <f>_xlfn.XLOOKUP(HW$1,generator!$B$2:$B$295,generator!$K$2:$K$295,"ARGH")</f>
        <v>5</v>
      </c>
      <c r="HX30" s="3">
        <f>_xlfn.XLOOKUP(HX$1,generator!$B$2:$B$295,generator!$K$2:$K$295,"ARGH")</f>
        <v>5</v>
      </c>
      <c r="HY30" s="3">
        <f>_xlfn.XLOOKUP(HY$1,generator!$B$2:$B$295,generator!$K$2:$K$295,"ARGH")</f>
        <v>63</v>
      </c>
      <c r="HZ30" s="3">
        <f>_xlfn.XLOOKUP(HZ$1,generator!$B$2:$B$295,generator!$K$2:$K$295,"ARGH")</f>
        <v>18</v>
      </c>
      <c r="IA30" s="3">
        <f>_xlfn.XLOOKUP(IA$1,generator!$B$2:$B$295,generator!$K$2:$K$295,"ARGH")</f>
        <v>121</v>
      </c>
      <c r="IB30" s="3">
        <f>_xlfn.XLOOKUP(IB$1,generator!$B$2:$B$295,generator!$K$2:$K$295,"ARGH")</f>
        <v>120</v>
      </c>
      <c r="IC30" s="3">
        <f>_xlfn.XLOOKUP(IC$1,generator!$B$2:$B$295,generator!$K$2:$K$295,"ARGH")</f>
        <v>0</v>
      </c>
      <c r="ID30" s="3">
        <f>_xlfn.XLOOKUP(ID$1,generator!$B$2:$B$295,generator!$K$2:$K$295,"ARGH")</f>
        <v>17</v>
      </c>
      <c r="IE30" s="3">
        <f>_xlfn.XLOOKUP(IE$1,generator!$B$2:$B$295,generator!$K$2:$K$295,"ARGH")</f>
        <v>194</v>
      </c>
      <c r="IF30" s="3">
        <f>_xlfn.XLOOKUP(IF$1,generator!$B$2:$B$295,generator!$K$2:$K$295,"ARGH")</f>
        <v>11.9</v>
      </c>
      <c r="IG30" s="3">
        <f>_xlfn.XLOOKUP(IG$1,generator!$B$2:$B$295,generator!$K$2:$K$295,"ARGH")</f>
        <v>11.9</v>
      </c>
      <c r="IH30" s="3">
        <f>_xlfn.XLOOKUP(IH$1,generator!$B$2:$B$295,generator!$K$2:$K$295,"ARGH")</f>
        <v>11.9</v>
      </c>
      <c r="II30" s="3">
        <f>_xlfn.XLOOKUP(II$1,generator!$B$2:$B$295,generator!$K$2:$K$295,"ARGH")</f>
        <v>11.9</v>
      </c>
      <c r="IJ30" s="3">
        <f>_xlfn.XLOOKUP(IJ$1,generator!$B$2:$B$295,generator!$K$2:$K$295,"ARGH")</f>
        <v>0</v>
      </c>
      <c r="IK30" s="3">
        <f>_xlfn.XLOOKUP(IK$1,generator!$B$2:$B$295,generator!$K$2:$K$295,"ARGH")</f>
        <v>3</v>
      </c>
      <c r="IL30" s="3">
        <f>_xlfn.XLOOKUP(IL$1,generator!$B$2:$B$295,generator!$K$2:$K$295,"ARGH")</f>
        <v>5</v>
      </c>
      <c r="IM30" s="3">
        <f>_xlfn.XLOOKUP(IM$1,generator!$B$2:$B$295,generator!$K$2:$K$295,"ARGH")</f>
        <v>5</v>
      </c>
      <c r="IN30" s="3">
        <f>_xlfn.XLOOKUP(IN$1,generator!$B$2:$B$295,generator!$K$2:$K$295,"ARGH")</f>
        <v>4</v>
      </c>
      <c r="IO30" s="3">
        <f>_xlfn.XLOOKUP(IO$1,generator!$B$2:$B$295,generator!$K$2:$K$295,"ARGH")</f>
        <v>4</v>
      </c>
      <c r="IP30" s="3">
        <f>_xlfn.XLOOKUP(IP$1,generator!$B$2:$B$295,generator!$K$2:$K$295,"ARGH")</f>
        <v>3</v>
      </c>
      <c r="IQ30" s="3">
        <f>_xlfn.XLOOKUP(IQ$1,generator!$B$2:$B$295,generator!$K$2:$K$295,"ARGH")</f>
        <v>1</v>
      </c>
      <c r="IR30" s="3">
        <f>_xlfn.XLOOKUP(IR$1,generator!$B$2:$B$295,generator!$K$2:$K$295,"ARGH")</f>
        <v>3</v>
      </c>
      <c r="IS30" s="3">
        <f>_xlfn.XLOOKUP(IS$1,generator!$B$2:$B$295,generator!$K$2:$K$295,"ARGH")</f>
        <v>3</v>
      </c>
      <c r="IT30" s="3">
        <f>_xlfn.XLOOKUP(IT$1,generator!$B$2:$B$295,generator!$K$2:$K$295,"ARGH")</f>
        <v>0</v>
      </c>
      <c r="IU30" s="3">
        <f>_xlfn.XLOOKUP(IU$1,generator!$B$2:$B$295,generator!$K$2:$K$295,"ARGH")</f>
        <v>3.99</v>
      </c>
      <c r="IV30" s="3">
        <f>_xlfn.XLOOKUP(IV$1,generator!$B$2:$B$295,generator!$K$2:$K$295,"ARGH")</f>
        <v>0.2</v>
      </c>
      <c r="IW30" s="3">
        <f>_xlfn.XLOOKUP(IW$1,generator!$B$2:$B$295,generator!$K$2:$K$295,"ARGH")</f>
        <v>15</v>
      </c>
      <c r="IX30" s="3">
        <f>_xlfn.XLOOKUP(IX$1,generator!$B$2:$B$295,generator!$K$2:$K$295,"ARGH")</f>
        <v>15</v>
      </c>
      <c r="IY30" s="3">
        <f>_xlfn.XLOOKUP(IY$1,generator!$B$2:$B$295,generator!$K$2:$K$295,"ARGH")</f>
        <v>15</v>
      </c>
      <c r="IZ30" s="3">
        <f>_xlfn.XLOOKUP(IZ$1,generator!$B$2:$B$295,generator!$K$2:$K$295,"ARGH")</f>
        <v>120</v>
      </c>
      <c r="JA30" s="3">
        <f>_xlfn.XLOOKUP(JA$1,generator!$B$2:$B$295,generator!$K$2:$K$295,"ARGH")</f>
        <v>40</v>
      </c>
      <c r="JB30" s="3">
        <f>_xlfn.XLOOKUP(JB$1,generator!$B$2:$B$295,generator!$K$2:$K$295,"ARGH")</f>
        <v>40</v>
      </c>
      <c r="JC30" s="3">
        <f>_xlfn.XLOOKUP(JC$1,generator!$B$2:$B$295,generator!$K$2:$K$295,"ARGH")</f>
        <v>113</v>
      </c>
      <c r="JD30" s="3">
        <f>_xlfn.XLOOKUP(JD$1,generator!$B$2:$B$295,generator!$K$2:$K$295,"ARGH")</f>
        <v>113</v>
      </c>
      <c r="JE30" s="3">
        <f>_xlfn.XLOOKUP(JE$1,generator!$B$2:$B$295,generator!$K$2:$K$295,"ARGH")</f>
        <v>211</v>
      </c>
      <c r="JF30" s="3">
        <f>_xlfn.XLOOKUP(JF$1,generator!$B$2:$B$295,generator!$K$2:$K$295,"ARGH")</f>
        <v>22.5</v>
      </c>
      <c r="JG30" s="3">
        <f>_xlfn.XLOOKUP(JG$1,generator!$B$2:$B$295,generator!$K$2:$K$295,"ARGH")</f>
        <v>1</v>
      </c>
      <c r="JH30" s="3">
        <f>_xlfn.XLOOKUP(JH$1,generator!$B$2:$B$295,generator!$K$2:$K$295,"ARGH")</f>
        <v>160</v>
      </c>
      <c r="JI30" s="3">
        <f>_xlfn.XLOOKUP(JI$1,generator!$B$2:$B$295,generator!$K$2:$K$295,"ARGH")</f>
        <v>165</v>
      </c>
      <c r="JJ30" s="3">
        <f>_xlfn.XLOOKUP(JJ$1,generator!$B$2:$B$295,generator!$K$2:$K$295,"ARGH")</f>
        <v>4.5999999999999996</v>
      </c>
      <c r="JK30" s="3">
        <f>_xlfn.XLOOKUP(JK$1,generator!$B$2:$B$295,generator!$K$2:$K$295,"ARGH")</f>
        <v>4.5999999999999996</v>
      </c>
      <c r="JL30" s="3">
        <f>_xlfn.XLOOKUP(JL$1,generator!$B$2:$B$295,generator!$K$2:$K$295,"ARGH")</f>
        <v>4.5999999999999996</v>
      </c>
      <c r="JM30" s="3">
        <f>_xlfn.XLOOKUP(JM$1,generator!$B$2:$B$295,generator!$K$2:$K$295,"ARGH")</f>
        <v>4.5999999999999996</v>
      </c>
      <c r="JN30" s="3">
        <f>_xlfn.XLOOKUP(JN$1,generator!$B$2:$B$295,generator!$K$2:$K$295,"ARGH")</f>
        <v>4.5999999999999996</v>
      </c>
      <c r="JO30" s="3">
        <f>_xlfn.XLOOKUP(JO$1,generator!$B$2:$B$295,generator!$K$2:$K$295,"ARGH")</f>
        <v>4.5999999999999996</v>
      </c>
      <c r="JP30" s="3">
        <f>_xlfn.XLOOKUP(JP$1,generator!$B$2:$B$295,generator!$K$2:$K$295,"ARGH")</f>
        <v>110</v>
      </c>
      <c r="JQ30" s="3">
        <f>_xlfn.XLOOKUP(JQ$1,generator!$B$2:$B$295,generator!$K$2:$K$295,"ARGH")</f>
        <v>22.7</v>
      </c>
      <c r="JR30" s="3">
        <f>_xlfn.XLOOKUP(JR$1,generator!$B$2:$B$295,generator!$K$2:$K$295,"ARGH")</f>
        <v>147</v>
      </c>
      <c r="JS30" s="3">
        <f>_xlfn.XLOOKUP(JS$1,generator!$B$2:$B$295,generator!$K$2:$K$295,"ARGH")</f>
        <v>147</v>
      </c>
      <c r="JT30" s="3">
        <f>_xlfn.XLOOKUP(JT$1,generator!$B$2:$B$295,generator!$K$2:$K$295,"ARGH")</f>
        <v>22.7</v>
      </c>
      <c r="JU30" s="3">
        <f>_xlfn.XLOOKUP(JU$1,generator!$B$2:$B$295,generator!$K$2:$K$295,"ARGH")</f>
        <v>21.5</v>
      </c>
      <c r="JV30" s="3">
        <f>_xlfn.XLOOKUP(JV$1,generator!$B$2:$B$295,generator!$K$2:$K$295,"ARGH")</f>
        <v>120</v>
      </c>
      <c r="JW30" s="3">
        <f>_xlfn.XLOOKUP(JW$1,generator!$B$2:$B$295,generator!$K$2:$K$295,"ARGH")</f>
        <v>120</v>
      </c>
      <c r="JX30" s="3">
        <f>_xlfn.XLOOKUP(JX$1,generator!$B$2:$B$295,generator!$K$2:$K$295,"ARGH")</f>
        <v>1</v>
      </c>
      <c r="JY30" s="3">
        <f>_xlfn.XLOOKUP(JY$1,generator!$B$2:$B$295,generator!$K$2:$K$295,"ARGH")</f>
        <v>41.15</v>
      </c>
      <c r="JZ30" s="3">
        <f>_xlfn.XLOOKUP(JZ$1,generator!$B$2:$B$295,generator!$K$2:$K$295,"ARGH")</f>
        <v>5</v>
      </c>
      <c r="KA30" s="3">
        <f>_xlfn.XLOOKUP(KA$1,generator!$B$2:$B$295,generator!$K$2:$K$295,"ARGH")</f>
        <v>5</v>
      </c>
      <c r="KB30" s="3">
        <f>_xlfn.XLOOKUP(KB$1,generator!$B$2:$B$295,generator!$K$2:$K$295,"ARGH")</f>
        <v>5</v>
      </c>
      <c r="KC30" s="3">
        <f>_xlfn.XLOOKUP(KC$1,generator!$B$2:$B$295,generator!$K$2:$K$295,"ARGH")</f>
        <v>5</v>
      </c>
    </row>
    <row r="31" spans="1:289" x14ac:dyDescent="0.3">
      <c r="A31" s="4" t="s">
        <v>3026</v>
      </c>
      <c r="B31" s="31">
        <v>416.5</v>
      </c>
      <c r="C31" s="31">
        <v>511</v>
      </c>
      <c r="D31" s="31">
        <v>405</v>
      </c>
      <c r="E31" s="3">
        <f>_xlfn.XLOOKUP(E$1,generator!$B$2:$B$295,generator!$K$2:$K$295,"ARGH")</f>
        <v>0</v>
      </c>
      <c r="F31" s="3">
        <f>_xlfn.XLOOKUP(F$1,generator!$B$2:$B$295,generator!$K$2:$K$295,"ARGH")</f>
        <v>0</v>
      </c>
      <c r="G31" s="3">
        <f>_xlfn.XLOOKUP(G$1,generator!$B$2:$B$295,generator!$K$2:$K$295,"ARGH")</f>
        <v>0</v>
      </c>
      <c r="H31" s="3">
        <f>_xlfn.XLOOKUP(H$1,generator!$B$2:$B$295,generator!$K$2:$K$295,"ARGH")</f>
        <v>0</v>
      </c>
      <c r="I31" s="3">
        <f>_xlfn.XLOOKUP(I$1,generator!$B$2:$B$295,generator!$K$2:$K$295,"ARGH")</f>
        <v>0</v>
      </c>
      <c r="J31" s="3">
        <f>_xlfn.XLOOKUP(J$1,generator!$B$2:$B$295,generator!$K$2:$K$295,"ARGH")</f>
        <v>0</v>
      </c>
      <c r="K31" s="3">
        <f>_xlfn.XLOOKUP(K$1,generator!$B$2:$B$295,generator!$K$2:$K$295,"ARGH")</f>
        <v>0</v>
      </c>
      <c r="L31" s="3">
        <f>_xlfn.XLOOKUP(L$1,generator!$B$2:$B$295,generator!$K$2:$K$295,"ARGH")</f>
        <v>0</v>
      </c>
      <c r="M31" s="3">
        <f>_xlfn.XLOOKUP(M$1,generator!$B$2:$B$295,generator!$K$2:$K$295,"ARGH")</f>
        <v>0</v>
      </c>
      <c r="N31" s="3">
        <f>_xlfn.XLOOKUP(N$1,generator!$B$2:$B$295,generator!$K$2:$K$295,"ARGH")</f>
        <v>0</v>
      </c>
      <c r="O31" s="3">
        <f>_xlfn.XLOOKUP(O$1,generator!$B$2:$B$295,generator!$K$2:$K$295,"ARGH")</f>
        <v>0</v>
      </c>
      <c r="P31" s="3">
        <f>_xlfn.XLOOKUP(P$1,generator!$B$2:$B$295,generator!$K$2:$K$295,"ARGH")</f>
        <v>0</v>
      </c>
      <c r="Q31" s="3">
        <f>_xlfn.XLOOKUP(Q$1,generator!$B$2:$B$295,generator!$K$2:$K$295,"ARGH")</f>
        <v>0</v>
      </c>
      <c r="R31" s="3">
        <f>_xlfn.XLOOKUP(R$1,generator!$B$2:$B$295,generator!$K$2:$K$295,"ARGH")</f>
        <v>0</v>
      </c>
      <c r="S31" s="3">
        <f>_xlfn.XLOOKUP(S$1,generator!$B$2:$B$295,generator!$K$2:$K$295,"ARGH")</f>
        <v>0</v>
      </c>
      <c r="T31" s="3">
        <f>_xlfn.XLOOKUP(T$1,generator!$B$2:$B$295,generator!$K$2:$K$295,"ARGH")</f>
        <v>0</v>
      </c>
      <c r="U31" s="3">
        <f>_xlfn.XLOOKUP(U$1,generator!$B$2:$B$295,generator!$K$2:$K$295,"ARGH")</f>
        <v>0</v>
      </c>
      <c r="V31" s="3">
        <f>_xlfn.XLOOKUP(V$1,generator!$B$2:$B$295,generator!$K$2:$K$295,"ARGH")</f>
        <v>0</v>
      </c>
      <c r="W31" s="3">
        <f>_xlfn.XLOOKUP(W$1,generator!$B$2:$B$295,generator!$K$2:$K$295,"ARGH")</f>
        <v>0</v>
      </c>
      <c r="X31" s="3">
        <f>_xlfn.XLOOKUP(X$1,generator!$B$2:$B$295,generator!$K$2:$K$295,"ARGH")</f>
        <v>0</v>
      </c>
      <c r="Y31" s="3">
        <f>_xlfn.XLOOKUP(Y$1,generator!$B$2:$B$295,generator!$K$2:$K$295,"ARGH")</f>
        <v>0</v>
      </c>
      <c r="Z31" s="3">
        <f>_xlfn.XLOOKUP(Z$1,generator!$B$2:$B$295,generator!$K$2:$K$295,"ARGH")</f>
        <v>0</v>
      </c>
      <c r="AA31" s="3">
        <f>_xlfn.XLOOKUP(AA$1,generator!$B$2:$B$295,generator!$K$2:$K$295,"ARGH")</f>
        <v>0</v>
      </c>
      <c r="AB31" s="3">
        <f>_xlfn.XLOOKUP(AB$1,generator!$B$2:$B$295,generator!$K$2:$K$295,"ARGH")</f>
        <v>0</v>
      </c>
      <c r="AC31" s="3">
        <f>_xlfn.XLOOKUP(AC$1,generator!$B$2:$B$295,generator!$K$2:$K$295,"ARGH")</f>
        <v>0</v>
      </c>
      <c r="AD31" s="3">
        <f>_xlfn.XLOOKUP(AD$1,generator!$B$2:$B$295,generator!$K$2:$K$295,"ARGH")</f>
        <v>0</v>
      </c>
      <c r="AE31" s="3">
        <f>_xlfn.XLOOKUP(AE$1,generator!$B$2:$B$295,generator!$K$2:$K$295,"ARGH")</f>
        <v>0</v>
      </c>
      <c r="AF31" s="3">
        <f>_xlfn.XLOOKUP(AF$1,generator!$B$2:$B$295,generator!$K$2:$K$295,"ARGH")</f>
        <v>0</v>
      </c>
      <c r="AG31" s="3">
        <f>_xlfn.XLOOKUP(AG$1,generator!$B$2:$B$295,generator!$K$2:$K$295,"ARGH")</f>
        <v>0</v>
      </c>
      <c r="AH31" s="3">
        <f>_xlfn.XLOOKUP(AH$1,generator!$B$2:$B$295,generator!$K$2:$K$295,"ARGH")</f>
        <v>0</v>
      </c>
      <c r="AI31" s="3">
        <f>_xlfn.XLOOKUP(AI$1,generator!$B$2:$B$295,generator!$K$2:$K$295,"ARGH")</f>
        <v>0</v>
      </c>
      <c r="AJ31" s="3">
        <f>_xlfn.XLOOKUP(AJ$1,generator!$B$2:$B$295,generator!$K$2:$K$295,"ARGH")</f>
        <v>0</v>
      </c>
      <c r="AK31" s="3">
        <f>_xlfn.XLOOKUP(AK$1,generator!$B$2:$B$295,generator!$K$2:$K$295,"ARGH")</f>
        <v>0</v>
      </c>
      <c r="AL31" s="3">
        <f>_xlfn.XLOOKUP(AL$1,generator!$B$2:$B$295,generator!$K$2:$K$295,"ARGH")</f>
        <v>0</v>
      </c>
      <c r="AM31" s="3">
        <f>_xlfn.XLOOKUP(AM$1,generator!$B$2:$B$295,generator!$K$2:$K$295,"ARGH")</f>
        <v>0</v>
      </c>
      <c r="AN31" s="3">
        <f>_xlfn.XLOOKUP(AN$1,generator!$B$2:$B$295,generator!$K$2:$K$295,"ARGH")</f>
        <v>0</v>
      </c>
      <c r="AO31" s="3">
        <f>_xlfn.XLOOKUP(AO$1,generator!$B$2:$B$295,generator!$K$2:$K$295,"ARGH")</f>
        <v>0</v>
      </c>
      <c r="AP31" s="3">
        <f>_xlfn.XLOOKUP(AP$1,generator!$B$2:$B$295,generator!$K$2:$K$295,"ARGH")</f>
        <v>0</v>
      </c>
      <c r="AQ31" s="3">
        <f>_xlfn.XLOOKUP(AQ$1,generator!$B$2:$B$295,generator!$K$2:$K$295,"ARGH")</f>
        <v>0</v>
      </c>
      <c r="AR31" s="3">
        <f>_xlfn.XLOOKUP(AR$1,generator!$B$2:$B$295,generator!$K$2:$K$295,"ARGH")</f>
        <v>0</v>
      </c>
      <c r="AS31" s="3">
        <f>_xlfn.XLOOKUP(AS$1,generator!$B$2:$B$295,generator!$K$2:$K$295,"ARGH")</f>
        <v>0</v>
      </c>
      <c r="AT31" s="3">
        <f>_xlfn.XLOOKUP(AT$1,generator!$B$2:$B$295,generator!$K$2:$K$295,"ARGH")</f>
        <v>0</v>
      </c>
      <c r="AU31" s="3">
        <f>_xlfn.XLOOKUP(AU$1,generator!$B$2:$B$295,generator!$K$2:$K$295,"ARGH")</f>
        <v>0</v>
      </c>
      <c r="AV31" s="3">
        <f>_xlfn.XLOOKUP(AV$1,generator!$B$2:$B$295,generator!$K$2:$K$295,"ARGH")</f>
        <v>0</v>
      </c>
      <c r="AW31" s="3">
        <f>_xlfn.XLOOKUP(AW$1,generator!$B$2:$B$295,generator!$K$2:$K$295,"ARGH")</f>
        <v>0</v>
      </c>
      <c r="AX31" s="3">
        <f>_xlfn.XLOOKUP(AX$1,generator!$B$2:$B$295,generator!$K$2:$K$295,"ARGH")</f>
        <v>0</v>
      </c>
      <c r="AY31" s="3">
        <f>_xlfn.XLOOKUP(AY$1,generator!$B$2:$B$295,generator!$K$2:$K$295,"ARGH")</f>
        <v>0</v>
      </c>
      <c r="AZ31" s="3">
        <f>_xlfn.XLOOKUP(AZ$1,generator!$B$2:$B$295,generator!$K$2:$K$295,"ARGH")</f>
        <v>0</v>
      </c>
      <c r="BA31" s="3">
        <f>_xlfn.XLOOKUP(BA$1,generator!$B$2:$B$295,generator!$K$2:$K$295,"ARGH")</f>
        <v>0</v>
      </c>
      <c r="BB31" s="3">
        <f>_xlfn.XLOOKUP(BB$1,generator!$B$2:$B$295,generator!$K$2:$K$295,"ARGH")</f>
        <v>0</v>
      </c>
      <c r="BC31" s="3">
        <f>_xlfn.XLOOKUP(BC$1,generator!$B$2:$B$295,generator!$K$2:$K$295,"ARGH")</f>
        <v>0</v>
      </c>
      <c r="BD31" s="3">
        <f>_xlfn.XLOOKUP(BD$1,generator!$B$2:$B$295,generator!$K$2:$K$295,"ARGH")</f>
        <v>0</v>
      </c>
      <c r="BE31" s="3">
        <f>_xlfn.XLOOKUP(BE$1,generator!$B$2:$B$295,generator!$K$2:$K$295,"ARGH")</f>
        <v>0</v>
      </c>
      <c r="BF31" s="3">
        <f>_xlfn.XLOOKUP(BF$1,generator!$B$2:$B$295,generator!$K$2:$K$295,"ARGH")</f>
        <v>0</v>
      </c>
      <c r="BG31" s="3">
        <f>_xlfn.XLOOKUP(BG$1,generator!$B$2:$B$295,generator!$K$2:$K$295,"ARGH")</f>
        <v>0</v>
      </c>
      <c r="BH31" s="3">
        <f>_xlfn.XLOOKUP(BH$1,generator!$B$2:$B$295,generator!$K$2:$K$295,"ARGH")</f>
        <v>0</v>
      </c>
      <c r="BI31" s="3">
        <f>_xlfn.XLOOKUP(BI$1,generator!$B$2:$B$295,generator!$K$2:$K$295,"ARGH")</f>
        <v>0</v>
      </c>
      <c r="BJ31" s="3">
        <f>_xlfn.XLOOKUP(BJ$1,generator!$B$2:$B$295,generator!$K$2:$K$295,"ARGH")</f>
        <v>0</v>
      </c>
      <c r="BK31" s="3">
        <f>_xlfn.XLOOKUP(BK$1,generator!$B$2:$B$295,generator!$K$2:$K$295,"ARGH")</f>
        <v>0</v>
      </c>
      <c r="BL31" s="3">
        <f>_xlfn.XLOOKUP(BL$1,generator!$B$2:$B$295,generator!$K$2:$K$295,"ARGH")</f>
        <v>0</v>
      </c>
      <c r="BM31" s="3">
        <f>_xlfn.XLOOKUP(BM$1,generator!$B$2:$B$295,generator!$K$2:$K$295,"ARGH")</f>
        <v>0</v>
      </c>
      <c r="BN31" s="3">
        <f>_xlfn.XLOOKUP(BN$1,generator!$B$2:$B$295,generator!$K$2:$K$295,"ARGH")</f>
        <v>0</v>
      </c>
      <c r="BO31" s="3">
        <f>_xlfn.XLOOKUP(BO$1,generator!$B$2:$B$295,generator!$K$2:$K$295,"ARGH")</f>
        <v>0</v>
      </c>
      <c r="BP31" s="3">
        <f>_xlfn.XLOOKUP(BP$1,generator!$B$2:$B$295,generator!$K$2:$K$295,"ARGH")</f>
        <v>0</v>
      </c>
      <c r="BQ31" s="3">
        <f>_xlfn.XLOOKUP(BQ$1,generator!$B$2:$B$295,generator!$K$2:$K$295,"ARGH")</f>
        <v>0</v>
      </c>
      <c r="BR31" s="3">
        <f>_xlfn.XLOOKUP(BR$1,generator!$B$2:$B$295,generator!$K$2:$K$295,"ARGH")</f>
        <v>0</v>
      </c>
      <c r="BS31" s="3">
        <f>_xlfn.XLOOKUP(BS$1,generator!$B$2:$B$295,generator!$K$2:$K$295,"ARGH")</f>
        <v>0</v>
      </c>
      <c r="BT31" s="3">
        <f>_xlfn.XLOOKUP(BT$1,generator!$B$2:$B$295,generator!$K$2:$K$295,"ARGH")</f>
        <v>0</v>
      </c>
      <c r="BU31" s="3">
        <f>_xlfn.XLOOKUP(BU$1,generator!$B$2:$B$295,generator!$K$2:$K$295,"ARGH")</f>
        <v>0</v>
      </c>
      <c r="BV31" s="3">
        <f>_xlfn.XLOOKUP(BV$1,generator!$B$2:$B$295,generator!$K$2:$K$295,"ARGH")</f>
        <v>0</v>
      </c>
      <c r="BW31" s="3">
        <f>_xlfn.XLOOKUP(BW$1,generator!$B$2:$B$295,generator!$K$2:$K$295,"ARGH")</f>
        <v>0</v>
      </c>
      <c r="BX31" s="3">
        <f>_xlfn.XLOOKUP(BX$1,generator!$B$2:$B$295,generator!$K$2:$K$295,"ARGH")</f>
        <v>0</v>
      </c>
      <c r="BY31" s="3">
        <f>_xlfn.XLOOKUP(BY$1,generator!$B$2:$B$295,generator!$K$2:$K$295,"ARGH")</f>
        <v>0</v>
      </c>
      <c r="BZ31" s="3">
        <f>_xlfn.XLOOKUP(BZ$1,generator!$B$2:$B$295,generator!$K$2:$K$295,"ARGH")</f>
        <v>0</v>
      </c>
      <c r="CA31" s="3">
        <f>_xlfn.XLOOKUP(CA$1,generator!$B$2:$B$295,generator!$K$2:$K$295,"ARGH")</f>
        <v>0</v>
      </c>
      <c r="CB31" s="3">
        <f>_xlfn.XLOOKUP(CB$1,generator!$B$2:$B$295,generator!$K$2:$K$295,"ARGH")</f>
        <v>0</v>
      </c>
      <c r="CC31" s="3">
        <f>_xlfn.XLOOKUP(CC$1,generator!$B$2:$B$295,generator!$K$2:$K$295,"ARGH")</f>
        <v>0</v>
      </c>
      <c r="CD31" s="3">
        <f>_xlfn.XLOOKUP(CD$1,generator!$B$2:$B$295,generator!$K$2:$K$295,"ARGH")</f>
        <v>0</v>
      </c>
      <c r="CE31" s="3">
        <f>_xlfn.XLOOKUP(CE$1,generator!$B$2:$B$295,generator!$K$2:$K$295,"ARGH")</f>
        <v>0</v>
      </c>
      <c r="CF31" s="3">
        <f>_xlfn.XLOOKUP(CF$1,generator!$B$2:$B$295,generator!$K$2:$K$295,"ARGH")</f>
        <v>0</v>
      </c>
      <c r="CG31" s="3">
        <f>_xlfn.XLOOKUP(CG$1,generator!$B$2:$B$295,generator!$K$2:$K$295,"ARGH")</f>
        <v>0</v>
      </c>
      <c r="CH31" s="3">
        <f>_xlfn.XLOOKUP(CH$1,generator!$B$2:$B$295,generator!$K$2:$K$295,"ARGH")</f>
        <v>0</v>
      </c>
      <c r="CI31" s="3">
        <f>_xlfn.XLOOKUP(CI$1,generator!$B$2:$B$295,generator!$K$2:$K$295,"ARGH")</f>
        <v>0</v>
      </c>
      <c r="CJ31" s="3">
        <f>_xlfn.XLOOKUP(CJ$1,generator!$B$2:$B$295,generator!$K$2:$K$295,"ARGH")</f>
        <v>0</v>
      </c>
      <c r="CK31" s="3">
        <f>_xlfn.XLOOKUP(CK$1,generator!$B$2:$B$295,generator!$K$2:$K$295,"ARGH")</f>
        <v>0</v>
      </c>
      <c r="CL31" s="3">
        <f>_xlfn.XLOOKUP(CL$1,generator!$B$2:$B$295,generator!$K$2:$K$295,"ARGH")</f>
        <v>0</v>
      </c>
      <c r="CM31" s="3">
        <f>_xlfn.XLOOKUP(CM$1,generator!$B$2:$B$295,generator!$K$2:$K$295,"ARGH")</f>
        <v>0</v>
      </c>
      <c r="CN31" s="3">
        <f>_xlfn.XLOOKUP(CN$1,generator!$B$2:$B$295,generator!$K$2:$K$295,"ARGH")</f>
        <v>0</v>
      </c>
      <c r="CO31" s="3">
        <f>_xlfn.XLOOKUP(CO$1,generator!$B$2:$B$295,generator!$K$2:$K$295,"ARGH")</f>
        <v>0</v>
      </c>
      <c r="CP31" s="3">
        <f>_xlfn.XLOOKUP(CP$1,generator!$B$2:$B$295,generator!$K$2:$K$295,"ARGH")</f>
        <v>0</v>
      </c>
      <c r="CQ31" s="3">
        <f>_xlfn.XLOOKUP(CQ$1,generator!$B$2:$B$295,generator!$K$2:$K$295,"ARGH")</f>
        <v>0</v>
      </c>
      <c r="CR31" s="3">
        <f>_xlfn.XLOOKUP(CR$1,generator!$B$2:$B$295,generator!$K$2:$K$295,"ARGH")</f>
        <v>0</v>
      </c>
      <c r="CS31" s="3">
        <f>_xlfn.XLOOKUP(CS$1,generator!$B$2:$B$295,generator!$K$2:$K$295,"ARGH")</f>
        <v>0</v>
      </c>
      <c r="CT31" s="3">
        <f>_xlfn.XLOOKUP(CT$1,generator!$B$2:$B$295,generator!$K$2:$K$295,"ARGH")</f>
        <v>0</v>
      </c>
      <c r="CU31" s="3">
        <f>_xlfn.XLOOKUP(CU$1,generator!$B$2:$B$295,generator!$K$2:$K$295,"ARGH")</f>
        <v>0</v>
      </c>
      <c r="CV31" s="3">
        <f>_xlfn.XLOOKUP(CV$1,generator!$B$2:$B$295,generator!$K$2:$K$295,"ARGH")</f>
        <v>0</v>
      </c>
      <c r="CW31" s="3">
        <f>_xlfn.XLOOKUP(CW$1,generator!$B$2:$B$295,generator!$K$2:$K$295,"ARGH")</f>
        <v>0</v>
      </c>
      <c r="CX31" s="3">
        <f>_xlfn.XLOOKUP(CX$1,generator!$B$2:$B$295,generator!$K$2:$K$295,"ARGH")</f>
        <v>0</v>
      </c>
      <c r="CY31" s="3">
        <f>_xlfn.XLOOKUP(CY$1,generator!$B$2:$B$295,generator!$K$2:$K$295,"ARGH")</f>
        <v>0</v>
      </c>
      <c r="CZ31" s="3">
        <f>_xlfn.XLOOKUP(CZ$1,generator!$B$2:$B$295,generator!$K$2:$K$295,"ARGH")</f>
        <v>0</v>
      </c>
      <c r="DA31" s="3">
        <f>_xlfn.XLOOKUP(DA$1,generator!$B$2:$B$295,generator!$K$2:$K$295,"ARGH")</f>
        <v>0</v>
      </c>
      <c r="DB31" s="3">
        <f>_xlfn.XLOOKUP(DB$1,generator!$B$2:$B$295,generator!$K$2:$K$295,"ARGH")</f>
        <v>0</v>
      </c>
      <c r="DC31" s="3">
        <f>_xlfn.XLOOKUP(DC$1,generator!$B$2:$B$295,generator!$K$2:$K$295,"ARGH")</f>
        <v>0</v>
      </c>
      <c r="DD31" s="3">
        <f>_xlfn.XLOOKUP(DD$1,generator!$B$2:$B$295,generator!$K$2:$K$295,"ARGH")</f>
        <v>0</v>
      </c>
      <c r="DE31" s="3">
        <f>_xlfn.XLOOKUP(DE$1,generator!$B$2:$B$295,generator!$K$2:$K$295,"ARGH")</f>
        <v>0</v>
      </c>
      <c r="DF31" s="3">
        <f>_xlfn.XLOOKUP(DF$1,generator!$B$2:$B$295,generator!$K$2:$K$295,"ARGH")</f>
        <v>0</v>
      </c>
      <c r="DG31" s="3">
        <f>_xlfn.XLOOKUP(DG$1,generator!$B$2:$B$295,generator!$K$2:$K$295,"ARGH")</f>
        <v>0</v>
      </c>
      <c r="DH31" s="3">
        <f>_xlfn.XLOOKUP(DH$1,generator!$B$2:$B$295,generator!$K$2:$K$295,"ARGH")</f>
        <v>0</v>
      </c>
      <c r="DI31" s="3">
        <f>_xlfn.XLOOKUP(DI$1,generator!$B$2:$B$295,generator!$K$2:$K$295,"ARGH")</f>
        <v>0</v>
      </c>
      <c r="DJ31" s="3">
        <f>_xlfn.XLOOKUP(DJ$1,generator!$B$2:$B$295,generator!$K$2:$K$295,"ARGH")</f>
        <v>0</v>
      </c>
      <c r="DK31" s="3">
        <f>_xlfn.XLOOKUP(DK$1,generator!$B$2:$B$295,generator!$K$2:$K$295,"ARGH")</f>
        <v>0</v>
      </c>
      <c r="DL31" s="3">
        <f>_xlfn.XLOOKUP(DL$1,generator!$B$2:$B$295,generator!$K$2:$K$295,"ARGH")</f>
        <v>0</v>
      </c>
      <c r="DM31" s="3">
        <f>_xlfn.XLOOKUP(DM$1,generator!$B$2:$B$295,generator!$K$2:$K$295,"ARGH")</f>
        <v>0</v>
      </c>
      <c r="DN31" s="3">
        <f>_xlfn.XLOOKUP(DN$1,generator!$B$2:$B$295,generator!$K$2:$K$295,"ARGH")</f>
        <v>0</v>
      </c>
      <c r="DO31" s="3">
        <f>_xlfn.XLOOKUP(DO$1,generator!$B$2:$B$295,generator!$K$2:$K$295,"ARGH")</f>
        <v>0</v>
      </c>
      <c r="DP31" s="3">
        <f>_xlfn.XLOOKUP(DP$1,generator!$B$2:$B$295,generator!$K$2:$K$295,"ARGH")</f>
        <v>0</v>
      </c>
      <c r="DQ31" s="3">
        <f>_xlfn.XLOOKUP(DQ$1,generator!$B$2:$B$295,generator!$K$2:$K$295,"ARGH")</f>
        <v>0</v>
      </c>
      <c r="DR31" s="3">
        <f>_xlfn.XLOOKUP(DR$1,generator!$B$2:$B$295,generator!$K$2:$K$295,"ARGH")</f>
        <v>0</v>
      </c>
      <c r="DS31" s="3">
        <f>_xlfn.XLOOKUP(DS$1,generator!$B$2:$B$295,generator!$K$2:$K$295,"ARGH")</f>
        <v>0</v>
      </c>
      <c r="DT31" s="3">
        <f>_xlfn.XLOOKUP(DT$1,generator!$B$2:$B$295,generator!$K$2:$K$295,"ARGH")</f>
        <v>0</v>
      </c>
      <c r="DU31" s="3">
        <f>_xlfn.XLOOKUP(DU$1,generator!$B$2:$B$295,generator!$K$2:$K$295,"ARGH")</f>
        <v>0</v>
      </c>
      <c r="DV31" s="3">
        <f>_xlfn.XLOOKUP(DV$1,generator!$B$2:$B$295,generator!$K$2:$K$295,"ARGH")</f>
        <v>0</v>
      </c>
      <c r="DW31" s="3">
        <f>_xlfn.XLOOKUP(DW$1,generator!$B$2:$B$295,generator!$K$2:$K$295,"ARGH")</f>
        <v>0</v>
      </c>
      <c r="DX31" s="3">
        <f>_xlfn.XLOOKUP(DX$1,generator!$B$2:$B$295,generator!$K$2:$K$295,"ARGH")</f>
        <v>0</v>
      </c>
      <c r="DY31" s="3">
        <f>_xlfn.XLOOKUP(DY$1,generator!$B$2:$B$295,generator!$K$2:$K$295,"ARGH")</f>
        <v>0</v>
      </c>
      <c r="DZ31" s="3">
        <f>_xlfn.XLOOKUP(DZ$1,generator!$B$2:$B$295,generator!$K$2:$K$295,"ARGH")</f>
        <v>0</v>
      </c>
      <c r="EA31" s="3">
        <f>_xlfn.XLOOKUP(EA$1,generator!$B$2:$B$295,generator!$K$2:$K$295,"ARGH")</f>
        <v>0</v>
      </c>
      <c r="EB31" s="3">
        <f>_xlfn.XLOOKUP(EB$1,generator!$B$2:$B$295,generator!$K$2:$K$295,"ARGH")</f>
        <v>0</v>
      </c>
      <c r="EC31" s="3">
        <f>_xlfn.XLOOKUP(EC$1,generator!$B$2:$B$295,generator!$K$2:$K$295,"ARGH")</f>
        <v>0</v>
      </c>
      <c r="ED31" s="3">
        <f>_xlfn.XLOOKUP(ED$1,generator!$B$2:$B$295,generator!$K$2:$K$295,"ARGH")</f>
        <v>0</v>
      </c>
      <c r="EE31" s="3">
        <f>_xlfn.XLOOKUP(EE$1,generator!$B$2:$B$295,generator!$K$2:$K$295,"ARGH")</f>
        <v>0</v>
      </c>
      <c r="EF31" s="3">
        <f>_xlfn.XLOOKUP(EF$1,generator!$B$2:$B$295,generator!$K$2:$K$295,"ARGH")</f>
        <v>0</v>
      </c>
      <c r="EG31" s="3">
        <f>_xlfn.XLOOKUP(EG$1,generator!$B$2:$B$295,generator!$K$2:$K$295,"ARGH")</f>
        <v>0</v>
      </c>
      <c r="EH31" s="3">
        <f>_xlfn.XLOOKUP(EH$1,generator!$B$2:$B$295,generator!$K$2:$K$295,"ARGH")</f>
        <v>0</v>
      </c>
      <c r="EI31" s="3">
        <f>_xlfn.XLOOKUP(EI$1,generator!$B$2:$B$295,generator!$K$2:$K$295,"ARGH")</f>
        <v>0</v>
      </c>
      <c r="EJ31" s="3">
        <f>_xlfn.XLOOKUP(EJ$1,generator!$B$2:$B$295,generator!$K$2:$K$295,"ARGH")</f>
        <v>0</v>
      </c>
      <c r="EK31" s="3">
        <f>_xlfn.XLOOKUP(EK$1,generator!$B$2:$B$295,generator!$K$2:$K$295,"ARGH")</f>
        <v>0</v>
      </c>
      <c r="EL31" s="3">
        <f>_xlfn.XLOOKUP(EL$1,generator!$B$2:$B$295,generator!$K$2:$K$295,"ARGH")</f>
        <v>0</v>
      </c>
      <c r="EM31" s="3">
        <f>_xlfn.XLOOKUP(EM$1,generator!$B$2:$B$295,generator!$K$2:$K$295,"ARGH")</f>
        <v>0</v>
      </c>
      <c r="EN31" s="3">
        <f>_xlfn.XLOOKUP(EN$1,generator!$B$2:$B$295,generator!$K$2:$K$295,"ARGH")</f>
        <v>0</v>
      </c>
      <c r="EO31" s="3">
        <f>_xlfn.XLOOKUP(EO$1,generator!$B$2:$B$295,generator!$K$2:$K$295,"ARGH")</f>
        <v>0</v>
      </c>
      <c r="EP31" s="3">
        <f>_xlfn.XLOOKUP(EP$1,generator!$B$2:$B$295,generator!$K$2:$K$295,"ARGH")</f>
        <v>0</v>
      </c>
      <c r="EQ31" s="3">
        <f>_xlfn.XLOOKUP(EQ$1,generator!$B$2:$B$295,generator!$K$2:$K$295,"ARGH")</f>
        <v>0</v>
      </c>
      <c r="ER31" s="3">
        <f>_xlfn.XLOOKUP(ER$1,generator!$B$2:$B$295,generator!$K$2:$K$295,"ARGH")</f>
        <v>0</v>
      </c>
      <c r="ES31" s="3">
        <f>_xlfn.XLOOKUP(ES$1,generator!$B$2:$B$295,generator!$K$2:$K$295,"ARGH")</f>
        <v>0</v>
      </c>
      <c r="ET31" s="3">
        <f>_xlfn.XLOOKUP(ET$1,generator!$B$2:$B$295,generator!$K$2:$K$295,"ARGH")</f>
        <v>0</v>
      </c>
      <c r="EU31" s="3">
        <f>_xlfn.XLOOKUP(EU$1,generator!$B$2:$B$295,generator!$K$2:$K$295,"ARGH")</f>
        <v>0</v>
      </c>
      <c r="EV31" s="3">
        <f>_xlfn.XLOOKUP(EV$1,generator!$B$2:$B$295,generator!$K$2:$K$295,"ARGH")</f>
        <v>0</v>
      </c>
      <c r="EW31" s="3">
        <f>_xlfn.XLOOKUP(EW$1,generator!$B$2:$B$295,generator!$K$2:$K$295,"ARGH")</f>
        <v>0</v>
      </c>
      <c r="EX31" s="3">
        <f>_xlfn.XLOOKUP(EX$1,generator!$B$2:$B$295,generator!$K$2:$K$295,"ARGH")</f>
        <v>0</v>
      </c>
      <c r="EY31" s="3">
        <f>_xlfn.XLOOKUP(EY$1,generator!$B$2:$B$295,generator!$K$2:$K$295,"ARGH")</f>
        <v>0</v>
      </c>
      <c r="EZ31" s="3">
        <f>_xlfn.XLOOKUP(EZ$1,generator!$B$2:$B$295,generator!$K$2:$K$295,"ARGH")</f>
        <v>0</v>
      </c>
      <c r="FA31" s="3">
        <f>_xlfn.XLOOKUP(FA$1,generator!$B$2:$B$295,generator!$K$2:$K$295,"ARGH")</f>
        <v>0</v>
      </c>
      <c r="FB31" s="3">
        <f>_xlfn.XLOOKUP(FB$1,generator!$B$2:$B$295,generator!$K$2:$K$295,"ARGH")</f>
        <v>0</v>
      </c>
      <c r="FC31" s="3">
        <f>_xlfn.XLOOKUP(FC$1,generator!$B$2:$B$295,generator!$K$2:$K$295,"ARGH")</f>
        <v>0</v>
      </c>
      <c r="FD31" s="3">
        <f>_xlfn.XLOOKUP(FD$1,generator!$B$2:$B$295,generator!$K$2:$K$295,"ARGH")</f>
        <v>0</v>
      </c>
      <c r="FE31" s="3">
        <f>_xlfn.XLOOKUP(FE$1,generator!$B$2:$B$295,generator!$K$2:$K$295,"ARGH")</f>
        <v>0</v>
      </c>
      <c r="FF31" s="3">
        <f>_xlfn.XLOOKUP(FF$1,generator!$B$2:$B$295,generator!$K$2:$K$295,"ARGH")</f>
        <v>0</v>
      </c>
      <c r="FG31" s="3">
        <f>_xlfn.XLOOKUP(FG$1,generator!$B$2:$B$295,generator!$K$2:$K$295,"ARGH")</f>
        <v>0</v>
      </c>
      <c r="FH31" s="3">
        <f>_xlfn.XLOOKUP(FH$1,generator!$B$2:$B$295,generator!$K$2:$K$295,"ARGH")</f>
        <v>0</v>
      </c>
      <c r="FI31" s="3">
        <f>_xlfn.XLOOKUP(FI$1,generator!$B$2:$B$295,generator!$K$2:$K$295,"ARGH")</f>
        <v>0</v>
      </c>
      <c r="FJ31" s="3">
        <f>_xlfn.XLOOKUP(FJ$1,generator!$B$2:$B$295,generator!$K$2:$K$295,"ARGH")</f>
        <v>0</v>
      </c>
      <c r="FK31" s="3">
        <f>_xlfn.XLOOKUP(FK$1,generator!$B$2:$B$295,generator!$K$2:$K$295,"ARGH")</f>
        <v>0</v>
      </c>
      <c r="FL31" s="3">
        <f>_xlfn.XLOOKUP(FL$1,generator!$B$2:$B$295,generator!$K$2:$K$295,"ARGH")</f>
        <v>0</v>
      </c>
      <c r="FM31" s="3">
        <f>_xlfn.XLOOKUP(FM$1,generator!$B$2:$B$295,generator!$K$2:$K$295,"ARGH")</f>
        <v>0</v>
      </c>
      <c r="FN31" s="3">
        <f>_xlfn.XLOOKUP(FN$1,generator!$B$2:$B$295,generator!$K$2:$K$295,"ARGH")</f>
        <v>0</v>
      </c>
      <c r="FO31" s="3">
        <f>_xlfn.XLOOKUP(FO$1,generator!$B$2:$B$295,generator!$K$2:$K$295,"ARGH")</f>
        <v>0</v>
      </c>
      <c r="FP31" s="3">
        <f>_xlfn.XLOOKUP(FP$1,generator!$B$2:$B$295,generator!$K$2:$K$295,"ARGH")</f>
        <v>0</v>
      </c>
      <c r="FQ31" s="3">
        <f>_xlfn.XLOOKUP(FQ$1,generator!$B$2:$B$295,generator!$K$2:$K$295,"ARGH")</f>
        <v>0</v>
      </c>
      <c r="FR31" s="3">
        <f>_xlfn.XLOOKUP(FR$1,generator!$B$2:$B$295,generator!$K$2:$K$295,"ARGH")</f>
        <v>0</v>
      </c>
      <c r="FS31" s="3">
        <f>_xlfn.XLOOKUP(FS$1,generator!$B$2:$B$295,generator!$K$2:$K$295,"ARGH")</f>
        <v>0</v>
      </c>
      <c r="FT31" s="3">
        <f>_xlfn.XLOOKUP(FT$1,generator!$B$2:$B$295,generator!$K$2:$K$295,"ARGH")</f>
        <v>0</v>
      </c>
      <c r="FU31" s="3">
        <f>_xlfn.XLOOKUP(FU$1,generator!$B$2:$B$295,generator!$K$2:$K$295,"ARGH")</f>
        <v>0</v>
      </c>
      <c r="FV31" s="3">
        <f>_xlfn.XLOOKUP(FV$1,generator!$B$2:$B$295,generator!$K$2:$K$295,"ARGH")</f>
        <v>0</v>
      </c>
      <c r="FW31" s="3">
        <f>_xlfn.XLOOKUP(FW$1,generator!$B$2:$B$295,generator!$K$2:$K$295,"ARGH")</f>
        <v>0</v>
      </c>
      <c r="FX31" s="3">
        <f>_xlfn.XLOOKUP(FX$1,generator!$B$2:$B$295,generator!$K$2:$K$295,"ARGH")</f>
        <v>0</v>
      </c>
      <c r="FY31" s="3">
        <f>_xlfn.XLOOKUP(FY$1,generator!$B$2:$B$295,generator!$K$2:$K$295,"ARGH")</f>
        <v>0</v>
      </c>
      <c r="FZ31" s="3">
        <f>_xlfn.XLOOKUP(FZ$1,generator!$B$2:$B$295,generator!$K$2:$K$295,"ARGH")</f>
        <v>0</v>
      </c>
      <c r="GA31" s="3">
        <f>_xlfn.XLOOKUP(GA$1,generator!$B$2:$B$295,generator!$K$2:$K$295,"ARGH")</f>
        <v>0</v>
      </c>
      <c r="GB31" s="3">
        <f>_xlfn.XLOOKUP(GB$1,generator!$B$2:$B$295,generator!$K$2:$K$295,"ARGH")</f>
        <v>0</v>
      </c>
      <c r="GC31" s="3">
        <f>_xlfn.XLOOKUP(GC$1,generator!$B$2:$B$295,generator!$K$2:$K$295,"ARGH")</f>
        <v>0</v>
      </c>
      <c r="GD31" s="3">
        <f>_xlfn.XLOOKUP(GD$1,generator!$B$2:$B$295,generator!$K$2:$K$295,"ARGH")</f>
        <v>0</v>
      </c>
      <c r="GE31" s="3">
        <f>_xlfn.XLOOKUP(GE$1,generator!$B$2:$B$295,generator!$K$2:$K$295,"ARGH")</f>
        <v>0</v>
      </c>
      <c r="GF31" s="3">
        <f>_xlfn.XLOOKUP(GF$1,generator!$B$2:$B$295,generator!$K$2:$K$295,"ARGH")</f>
        <v>0</v>
      </c>
      <c r="GG31" s="3">
        <f>_xlfn.XLOOKUP(GG$1,generator!$B$2:$B$295,generator!$K$2:$K$295,"ARGH")</f>
        <v>0</v>
      </c>
      <c r="GH31" s="3">
        <f>_xlfn.XLOOKUP(GH$1,generator!$B$2:$B$295,generator!$K$2:$K$295,"ARGH")</f>
        <v>0</v>
      </c>
      <c r="GI31" s="3">
        <f>_xlfn.XLOOKUP(GI$1,generator!$B$2:$B$295,generator!$K$2:$K$295,"ARGH")</f>
        <v>0</v>
      </c>
      <c r="GJ31" s="3">
        <f>_xlfn.XLOOKUP(GJ$1,generator!$B$2:$B$295,generator!$K$2:$K$295,"ARGH")</f>
        <v>0</v>
      </c>
      <c r="GK31" s="3">
        <f>_xlfn.XLOOKUP(GK$1,generator!$B$2:$B$295,generator!$K$2:$K$295,"ARGH")</f>
        <v>0</v>
      </c>
      <c r="GL31" s="3">
        <f>_xlfn.XLOOKUP(GL$1,generator!$B$2:$B$295,generator!$K$2:$K$295,"ARGH")</f>
        <v>0</v>
      </c>
      <c r="GM31" s="3">
        <f>_xlfn.XLOOKUP(GM$1,generator!$B$2:$B$295,generator!$K$2:$K$295,"ARGH")</f>
        <v>0</v>
      </c>
      <c r="GN31" s="3">
        <f>_xlfn.XLOOKUP(GN$1,generator!$B$2:$B$295,generator!$K$2:$K$295,"ARGH")</f>
        <v>0</v>
      </c>
      <c r="GO31" s="3">
        <f>_xlfn.XLOOKUP(GO$1,generator!$B$2:$B$295,generator!$K$2:$K$295,"ARGH")</f>
        <v>0</v>
      </c>
      <c r="GP31" s="3">
        <f>_xlfn.XLOOKUP(GP$1,generator!$B$2:$B$295,generator!$K$2:$K$295,"ARGH")</f>
        <v>0</v>
      </c>
      <c r="GQ31" s="3">
        <f>_xlfn.XLOOKUP(GQ$1,generator!$B$2:$B$295,generator!$K$2:$K$295,"ARGH")</f>
        <v>0</v>
      </c>
      <c r="GR31" s="3">
        <f>_xlfn.XLOOKUP(GR$1,generator!$B$2:$B$295,generator!$K$2:$K$295,"ARGH")</f>
        <v>0</v>
      </c>
      <c r="GS31" s="3">
        <f>_xlfn.XLOOKUP(GS$1,generator!$B$2:$B$295,generator!$K$2:$K$295,"ARGH")</f>
        <v>0</v>
      </c>
      <c r="GT31" s="3">
        <f>_xlfn.XLOOKUP(GT$1,generator!$B$2:$B$295,generator!$K$2:$K$295,"ARGH")</f>
        <v>0</v>
      </c>
      <c r="GU31" s="3">
        <f>_xlfn.XLOOKUP(GU$1,generator!$B$2:$B$295,generator!$K$2:$K$295,"ARGH")</f>
        <v>0</v>
      </c>
      <c r="GV31" s="3">
        <f>_xlfn.XLOOKUP(GV$1,generator!$B$2:$B$295,generator!$K$2:$K$295,"ARGH")</f>
        <v>0</v>
      </c>
      <c r="GW31" s="3">
        <f>_xlfn.XLOOKUP(GW$1,generator!$B$2:$B$295,generator!$K$2:$K$295,"ARGH")</f>
        <v>0</v>
      </c>
      <c r="GX31" s="3">
        <f>_xlfn.XLOOKUP(GX$1,generator!$B$2:$B$295,generator!$K$2:$K$295,"ARGH")</f>
        <v>0</v>
      </c>
      <c r="GY31" s="3">
        <f>_xlfn.XLOOKUP(GY$1,generator!$B$2:$B$295,generator!$K$2:$K$295,"ARGH")</f>
        <v>0</v>
      </c>
      <c r="GZ31" s="3">
        <f>_xlfn.XLOOKUP(GZ$1,generator!$B$2:$B$295,generator!$K$2:$K$295,"ARGH")</f>
        <v>0</v>
      </c>
      <c r="HA31" s="3">
        <f>_xlfn.XLOOKUP(HA$1,generator!$B$2:$B$295,generator!$K$2:$K$295,"ARGH")</f>
        <v>0</v>
      </c>
      <c r="HB31" s="3">
        <f>_xlfn.XLOOKUP(HB$1,generator!$B$2:$B$295,generator!$K$2:$K$295,"ARGH")</f>
        <v>0</v>
      </c>
      <c r="HC31" s="3">
        <f>_xlfn.XLOOKUP(HC$1,generator!$B$2:$B$295,generator!$K$2:$K$295,"ARGH")</f>
        <v>0</v>
      </c>
      <c r="HD31" s="3">
        <f>_xlfn.XLOOKUP(HD$1,generator!$B$2:$B$295,generator!$K$2:$K$295,"ARGH")</f>
        <v>0</v>
      </c>
      <c r="HE31" s="3">
        <f>_xlfn.XLOOKUP(HE$1,generator!$B$2:$B$295,generator!$K$2:$K$295,"ARGH")</f>
        <v>12.74</v>
      </c>
      <c r="HF31" s="3">
        <f>_xlfn.XLOOKUP(HF$1,generator!$B$2:$B$295,generator!$K$2:$K$295,"ARGH")</f>
        <v>99</v>
      </c>
      <c r="HG31" s="3">
        <f>_xlfn.XLOOKUP(HG$1,generator!$B$2:$B$295,generator!$K$2:$K$295,"ARGH")</f>
        <v>99</v>
      </c>
      <c r="HH31" s="3">
        <f>_xlfn.XLOOKUP(HH$1,generator!$B$2:$B$295,generator!$K$2:$K$295,"ARGH")</f>
        <v>99</v>
      </c>
      <c r="HI31" s="3">
        <f>_xlfn.XLOOKUP(HI$1,generator!$B$2:$B$295,generator!$K$2:$K$295,"ARGH")</f>
        <v>8</v>
      </c>
      <c r="HJ31" s="3">
        <f>_xlfn.XLOOKUP(HJ$1,generator!$B$2:$B$295,generator!$K$2:$K$295,"ARGH")</f>
        <v>8</v>
      </c>
      <c r="HK31" s="3">
        <f>_xlfn.XLOOKUP(HK$1,generator!$B$2:$B$295,generator!$K$2:$K$295,"ARGH")</f>
        <v>8</v>
      </c>
      <c r="HL31" s="3">
        <f>_xlfn.XLOOKUP(HL$1,generator!$B$2:$B$295,generator!$K$2:$K$295,"ARGH")</f>
        <v>20</v>
      </c>
      <c r="HM31" s="3">
        <f>_xlfn.XLOOKUP(HM$1,generator!$B$2:$B$295,generator!$K$2:$K$295,"ARGH")</f>
        <v>20</v>
      </c>
      <c r="HN31" s="3">
        <f>_xlfn.XLOOKUP(HN$1,generator!$B$2:$B$295,generator!$K$2:$K$295,"ARGH")</f>
        <v>5</v>
      </c>
      <c r="HO31" s="3">
        <f>_xlfn.XLOOKUP(HO$1,generator!$B$2:$B$295,generator!$K$2:$K$295,"ARGH")</f>
        <v>5</v>
      </c>
      <c r="HP31" s="3">
        <f>_xlfn.XLOOKUP(HP$1,generator!$B$2:$B$295,generator!$K$2:$K$295,"ARGH")</f>
        <v>0.2</v>
      </c>
      <c r="HQ31" s="3">
        <f>_xlfn.XLOOKUP(HQ$1,generator!$B$2:$B$295,generator!$K$2:$K$295,"ARGH")</f>
        <v>5</v>
      </c>
      <c r="HR31" s="3">
        <f>_xlfn.XLOOKUP(HR$1,generator!$B$2:$B$295,generator!$K$2:$K$295,"ARGH")</f>
        <v>5</v>
      </c>
      <c r="HS31" s="3">
        <f>_xlfn.XLOOKUP(HS$1,generator!$B$2:$B$295,generator!$K$2:$K$295,"ARGH")</f>
        <v>12.82</v>
      </c>
      <c r="HT31" s="3">
        <f>_xlfn.XLOOKUP(HT$1,generator!$B$2:$B$295,generator!$K$2:$K$295,"ARGH")</f>
        <v>12.82</v>
      </c>
      <c r="HU31" s="3">
        <f>_xlfn.XLOOKUP(HU$1,generator!$B$2:$B$295,generator!$K$2:$K$295,"ARGH")</f>
        <v>25</v>
      </c>
      <c r="HV31" s="3">
        <f>_xlfn.XLOOKUP(HV$1,generator!$B$2:$B$295,generator!$K$2:$K$295,"ARGH")</f>
        <v>16</v>
      </c>
      <c r="HW31" s="3">
        <f>_xlfn.XLOOKUP(HW$1,generator!$B$2:$B$295,generator!$K$2:$K$295,"ARGH")</f>
        <v>5</v>
      </c>
      <c r="HX31" s="3">
        <f>_xlfn.XLOOKUP(HX$1,generator!$B$2:$B$295,generator!$K$2:$K$295,"ARGH")</f>
        <v>5</v>
      </c>
      <c r="HY31" s="3">
        <f>_xlfn.XLOOKUP(HY$1,generator!$B$2:$B$295,generator!$K$2:$K$295,"ARGH")</f>
        <v>63</v>
      </c>
      <c r="HZ31" s="3">
        <f>_xlfn.XLOOKUP(HZ$1,generator!$B$2:$B$295,generator!$K$2:$K$295,"ARGH")</f>
        <v>18</v>
      </c>
      <c r="IA31" s="3">
        <f>_xlfn.XLOOKUP(IA$1,generator!$B$2:$B$295,generator!$K$2:$K$295,"ARGH")</f>
        <v>121</v>
      </c>
      <c r="IB31" s="3">
        <f>_xlfn.XLOOKUP(IB$1,generator!$B$2:$B$295,generator!$K$2:$K$295,"ARGH")</f>
        <v>120</v>
      </c>
      <c r="IC31" s="3">
        <f>_xlfn.XLOOKUP(IC$1,generator!$B$2:$B$295,generator!$K$2:$K$295,"ARGH")</f>
        <v>0</v>
      </c>
      <c r="ID31" s="3">
        <f>_xlfn.XLOOKUP(ID$1,generator!$B$2:$B$295,generator!$K$2:$K$295,"ARGH")</f>
        <v>17</v>
      </c>
      <c r="IE31" s="3">
        <f>_xlfn.XLOOKUP(IE$1,generator!$B$2:$B$295,generator!$K$2:$K$295,"ARGH")</f>
        <v>194</v>
      </c>
      <c r="IF31" s="3">
        <f>_xlfn.XLOOKUP(IF$1,generator!$B$2:$B$295,generator!$K$2:$K$295,"ARGH")</f>
        <v>11.9</v>
      </c>
      <c r="IG31" s="3">
        <f>_xlfn.XLOOKUP(IG$1,generator!$B$2:$B$295,generator!$K$2:$K$295,"ARGH")</f>
        <v>11.9</v>
      </c>
      <c r="IH31" s="3">
        <f>_xlfn.XLOOKUP(IH$1,generator!$B$2:$B$295,generator!$K$2:$K$295,"ARGH")</f>
        <v>11.9</v>
      </c>
      <c r="II31" s="3">
        <f>_xlfn.XLOOKUP(II$1,generator!$B$2:$B$295,generator!$K$2:$K$295,"ARGH")</f>
        <v>11.9</v>
      </c>
      <c r="IJ31" s="3">
        <f>_xlfn.XLOOKUP(IJ$1,generator!$B$2:$B$295,generator!$K$2:$K$295,"ARGH")</f>
        <v>0</v>
      </c>
      <c r="IK31" s="3">
        <f>_xlfn.XLOOKUP(IK$1,generator!$B$2:$B$295,generator!$K$2:$K$295,"ARGH")</f>
        <v>3</v>
      </c>
      <c r="IL31" s="3">
        <f>_xlfn.XLOOKUP(IL$1,generator!$B$2:$B$295,generator!$K$2:$K$295,"ARGH")</f>
        <v>5</v>
      </c>
      <c r="IM31" s="3">
        <f>_xlfn.XLOOKUP(IM$1,generator!$B$2:$B$295,generator!$K$2:$K$295,"ARGH")</f>
        <v>5</v>
      </c>
      <c r="IN31" s="3">
        <f>_xlfn.XLOOKUP(IN$1,generator!$B$2:$B$295,generator!$K$2:$K$295,"ARGH")</f>
        <v>4</v>
      </c>
      <c r="IO31" s="3">
        <f>_xlfn.XLOOKUP(IO$1,generator!$B$2:$B$295,generator!$K$2:$K$295,"ARGH")</f>
        <v>4</v>
      </c>
      <c r="IP31" s="3">
        <f>_xlfn.XLOOKUP(IP$1,generator!$B$2:$B$295,generator!$K$2:$K$295,"ARGH")</f>
        <v>3</v>
      </c>
      <c r="IQ31" s="3">
        <f>_xlfn.XLOOKUP(IQ$1,generator!$B$2:$B$295,generator!$K$2:$K$295,"ARGH")</f>
        <v>1</v>
      </c>
      <c r="IR31" s="3">
        <f>_xlfn.XLOOKUP(IR$1,generator!$B$2:$B$295,generator!$K$2:$K$295,"ARGH")</f>
        <v>3</v>
      </c>
      <c r="IS31" s="3">
        <f>_xlfn.XLOOKUP(IS$1,generator!$B$2:$B$295,generator!$K$2:$K$295,"ARGH")</f>
        <v>3</v>
      </c>
      <c r="IT31" s="3">
        <f>_xlfn.XLOOKUP(IT$1,generator!$B$2:$B$295,generator!$K$2:$K$295,"ARGH")</f>
        <v>0</v>
      </c>
      <c r="IU31" s="3">
        <f>_xlfn.XLOOKUP(IU$1,generator!$B$2:$B$295,generator!$K$2:$K$295,"ARGH")</f>
        <v>3.99</v>
      </c>
      <c r="IV31" s="3">
        <f>_xlfn.XLOOKUP(IV$1,generator!$B$2:$B$295,generator!$K$2:$K$295,"ARGH")</f>
        <v>0.2</v>
      </c>
      <c r="IW31" s="3">
        <f>_xlfn.XLOOKUP(IW$1,generator!$B$2:$B$295,generator!$K$2:$K$295,"ARGH")</f>
        <v>15</v>
      </c>
      <c r="IX31" s="3">
        <f>_xlfn.XLOOKUP(IX$1,generator!$B$2:$B$295,generator!$K$2:$K$295,"ARGH")</f>
        <v>15</v>
      </c>
      <c r="IY31" s="3">
        <f>_xlfn.XLOOKUP(IY$1,generator!$B$2:$B$295,generator!$K$2:$K$295,"ARGH")</f>
        <v>15</v>
      </c>
      <c r="IZ31" s="3">
        <f>_xlfn.XLOOKUP(IZ$1,generator!$B$2:$B$295,generator!$K$2:$K$295,"ARGH")</f>
        <v>120</v>
      </c>
      <c r="JA31" s="3">
        <f>_xlfn.XLOOKUP(JA$1,generator!$B$2:$B$295,generator!$K$2:$K$295,"ARGH")</f>
        <v>40</v>
      </c>
      <c r="JB31" s="3">
        <f>_xlfn.XLOOKUP(JB$1,generator!$B$2:$B$295,generator!$K$2:$K$295,"ARGH")</f>
        <v>40</v>
      </c>
      <c r="JC31" s="3">
        <f>_xlfn.XLOOKUP(JC$1,generator!$B$2:$B$295,generator!$K$2:$K$295,"ARGH")</f>
        <v>113</v>
      </c>
      <c r="JD31" s="3">
        <f>_xlfn.XLOOKUP(JD$1,generator!$B$2:$B$295,generator!$K$2:$K$295,"ARGH")</f>
        <v>113</v>
      </c>
      <c r="JE31" s="3">
        <f>_xlfn.XLOOKUP(JE$1,generator!$B$2:$B$295,generator!$K$2:$K$295,"ARGH")</f>
        <v>211</v>
      </c>
      <c r="JF31" s="3">
        <f>_xlfn.XLOOKUP(JF$1,generator!$B$2:$B$295,generator!$K$2:$K$295,"ARGH")</f>
        <v>22.5</v>
      </c>
      <c r="JG31" s="3">
        <f>_xlfn.XLOOKUP(JG$1,generator!$B$2:$B$295,generator!$K$2:$K$295,"ARGH")</f>
        <v>1</v>
      </c>
      <c r="JH31" s="3">
        <f>_xlfn.XLOOKUP(JH$1,generator!$B$2:$B$295,generator!$K$2:$K$295,"ARGH")</f>
        <v>160</v>
      </c>
      <c r="JI31" s="3">
        <f>_xlfn.XLOOKUP(JI$1,generator!$B$2:$B$295,generator!$K$2:$K$295,"ARGH")</f>
        <v>165</v>
      </c>
      <c r="JJ31" s="3">
        <f>_xlfn.XLOOKUP(JJ$1,generator!$B$2:$B$295,generator!$K$2:$K$295,"ARGH")</f>
        <v>4.5999999999999996</v>
      </c>
      <c r="JK31" s="3">
        <f>_xlfn.XLOOKUP(JK$1,generator!$B$2:$B$295,generator!$K$2:$K$295,"ARGH")</f>
        <v>4.5999999999999996</v>
      </c>
      <c r="JL31" s="3">
        <f>_xlfn.XLOOKUP(JL$1,generator!$B$2:$B$295,generator!$K$2:$K$295,"ARGH")</f>
        <v>4.5999999999999996</v>
      </c>
      <c r="JM31" s="3">
        <f>_xlfn.XLOOKUP(JM$1,generator!$B$2:$B$295,generator!$K$2:$K$295,"ARGH")</f>
        <v>4.5999999999999996</v>
      </c>
      <c r="JN31" s="3">
        <f>_xlfn.XLOOKUP(JN$1,generator!$B$2:$B$295,generator!$K$2:$K$295,"ARGH")</f>
        <v>4.5999999999999996</v>
      </c>
      <c r="JO31" s="3">
        <f>_xlfn.XLOOKUP(JO$1,generator!$B$2:$B$295,generator!$K$2:$K$295,"ARGH")</f>
        <v>4.5999999999999996</v>
      </c>
      <c r="JP31" s="3">
        <f>_xlfn.XLOOKUP(JP$1,generator!$B$2:$B$295,generator!$K$2:$K$295,"ARGH")</f>
        <v>110</v>
      </c>
      <c r="JQ31" s="3">
        <f>_xlfn.XLOOKUP(JQ$1,generator!$B$2:$B$295,generator!$K$2:$K$295,"ARGH")</f>
        <v>22.7</v>
      </c>
      <c r="JR31" s="3">
        <f>_xlfn.XLOOKUP(JR$1,generator!$B$2:$B$295,generator!$K$2:$K$295,"ARGH")</f>
        <v>147</v>
      </c>
      <c r="JS31" s="3">
        <f>_xlfn.XLOOKUP(JS$1,generator!$B$2:$B$295,generator!$K$2:$K$295,"ARGH")</f>
        <v>147</v>
      </c>
      <c r="JT31" s="3">
        <f>_xlfn.XLOOKUP(JT$1,generator!$B$2:$B$295,generator!$K$2:$K$295,"ARGH")</f>
        <v>22.7</v>
      </c>
      <c r="JU31" s="3">
        <f>_xlfn.XLOOKUP(JU$1,generator!$B$2:$B$295,generator!$K$2:$K$295,"ARGH")</f>
        <v>21.5</v>
      </c>
      <c r="JV31" s="3">
        <f>_xlfn.XLOOKUP(JV$1,generator!$B$2:$B$295,generator!$K$2:$K$295,"ARGH")</f>
        <v>120</v>
      </c>
      <c r="JW31" s="3">
        <f>_xlfn.XLOOKUP(JW$1,generator!$B$2:$B$295,generator!$K$2:$K$295,"ARGH")</f>
        <v>120</v>
      </c>
      <c r="JX31" s="3">
        <f>_xlfn.XLOOKUP(JX$1,generator!$B$2:$B$295,generator!$K$2:$K$295,"ARGH")</f>
        <v>1</v>
      </c>
      <c r="JY31" s="3">
        <f>_xlfn.XLOOKUP(JY$1,generator!$B$2:$B$295,generator!$K$2:$K$295,"ARGH")</f>
        <v>41.15</v>
      </c>
      <c r="JZ31" s="3">
        <f>_xlfn.XLOOKUP(JZ$1,generator!$B$2:$B$295,generator!$K$2:$K$295,"ARGH")</f>
        <v>5</v>
      </c>
      <c r="KA31" s="3">
        <f>_xlfn.XLOOKUP(KA$1,generator!$B$2:$B$295,generator!$K$2:$K$295,"ARGH")</f>
        <v>5</v>
      </c>
      <c r="KB31" s="3">
        <f>_xlfn.XLOOKUP(KB$1,generator!$B$2:$B$295,generator!$K$2:$K$295,"ARGH")</f>
        <v>5</v>
      </c>
      <c r="KC31" s="3">
        <f>_xlfn.XLOOKUP(KC$1,generator!$B$2:$B$295,generator!$K$2:$K$295,"ARGH")</f>
        <v>5</v>
      </c>
    </row>
    <row r="32" spans="1:289" x14ac:dyDescent="0.3">
      <c r="A32" s="4" t="s">
        <v>3027</v>
      </c>
      <c r="B32" s="31">
        <v>490.5</v>
      </c>
      <c r="C32" s="31">
        <v>512</v>
      </c>
      <c r="D32" s="31">
        <v>442</v>
      </c>
      <c r="E32" s="3">
        <f>_xlfn.XLOOKUP(E$1,generator!$B$2:$B$295,generator!$K$2:$K$295,"ARGH")</f>
        <v>0</v>
      </c>
      <c r="F32" s="3">
        <f>_xlfn.XLOOKUP(F$1,generator!$B$2:$B$295,generator!$K$2:$K$295,"ARGH")</f>
        <v>0</v>
      </c>
      <c r="G32" s="3">
        <f>_xlfn.XLOOKUP(G$1,generator!$B$2:$B$295,generator!$K$2:$K$295,"ARGH")</f>
        <v>0</v>
      </c>
      <c r="H32" s="3">
        <f>_xlfn.XLOOKUP(H$1,generator!$B$2:$B$295,generator!$K$2:$K$295,"ARGH")</f>
        <v>0</v>
      </c>
      <c r="I32" s="3">
        <f>_xlfn.XLOOKUP(I$1,generator!$B$2:$B$295,generator!$K$2:$K$295,"ARGH")</f>
        <v>0</v>
      </c>
      <c r="J32" s="3">
        <f>_xlfn.XLOOKUP(J$1,generator!$B$2:$B$295,generator!$K$2:$K$295,"ARGH")</f>
        <v>0</v>
      </c>
      <c r="K32" s="3">
        <f>_xlfn.XLOOKUP(K$1,generator!$B$2:$B$295,generator!$K$2:$K$295,"ARGH")</f>
        <v>0</v>
      </c>
      <c r="L32" s="3">
        <f>_xlfn.XLOOKUP(L$1,generator!$B$2:$B$295,generator!$K$2:$K$295,"ARGH")</f>
        <v>0</v>
      </c>
      <c r="M32" s="3">
        <f>_xlfn.XLOOKUP(M$1,generator!$B$2:$B$295,generator!$K$2:$K$295,"ARGH")</f>
        <v>0</v>
      </c>
      <c r="N32" s="3">
        <f>_xlfn.XLOOKUP(N$1,generator!$B$2:$B$295,generator!$K$2:$K$295,"ARGH")</f>
        <v>0</v>
      </c>
      <c r="O32" s="3">
        <f>_xlfn.XLOOKUP(O$1,generator!$B$2:$B$295,generator!$K$2:$K$295,"ARGH")</f>
        <v>0</v>
      </c>
      <c r="P32" s="3">
        <f>_xlfn.XLOOKUP(P$1,generator!$B$2:$B$295,generator!$K$2:$K$295,"ARGH")</f>
        <v>0</v>
      </c>
      <c r="Q32" s="3">
        <f>_xlfn.XLOOKUP(Q$1,generator!$B$2:$B$295,generator!$K$2:$K$295,"ARGH")</f>
        <v>0</v>
      </c>
      <c r="R32" s="3">
        <f>_xlfn.XLOOKUP(R$1,generator!$B$2:$B$295,generator!$K$2:$K$295,"ARGH")</f>
        <v>0</v>
      </c>
      <c r="S32" s="3">
        <f>_xlfn.XLOOKUP(S$1,generator!$B$2:$B$295,generator!$K$2:$K$295,"ARGH")</f>
        <v>0</v>
      </c>
      <c r="T32" s="3">
        <f>_xlfn.XLOOKUP(T$1,generator!$B$2:$B$295,generator!$K$2:$K$295,"ARGH")</f>
        <v>0</v>
      </c>
      <c r="U32" s="3">
        <f>_xlfn.XLOOKUP(U$1,generator!$B$2:$B$295,generator!$K$2:$K$295,"ARGH")</f>
        <v>0</v>
      </c>
      <c r="V32" s="3">
        <f>_xlfn.XLOOKUP(V$1,generator!$B$2:$B$295,generator!$K$2:$K$295,"ARGH")</f>
        <v>0</v>
      </c>
      <c r="W32" s="3">
        <f>_xlfn.XLOOKUP(W$1,generator!$B$2:$B$295,generator!$K$2:$K$295,"ARGH")</f>
        <v>0</v>
      </c>
      <c r="X32" s="3">
        <f>_xlfn.XLOOKUP(X$1,generator!$B$2:$B$295,generator!$K$2:$K$295,"ARGH")</f>
        <v>0</v>
      </c>
      <c r="Y32" s="3">
        <f>_xlfn.XLOOKUP(Y$1,generator!$B$2:$B$295,generator!$K$2:$K$295,"ARGH")</f>
        <v>0</v>
      </c>
      <c r="Z32" s="3">
        <f>_xlfn.XLOOKUP(Z$1,generator!$B$2:$B$295,generator!$K$2:$K$295,"ARGH")</f>
        <v>0</v>
      </c>
      <c r="AA32" s="3">
        <f>_xlfn.XLOOKUP(AA$1,generator!$B$2:$B$295,generator!$K$2:$K$295,"ARGH")</f>
        <v>0</v>
      </c>
      <c r="AB32" s="3">
        <f>_xlfn.XLOOKUP(AB$1,generator!$B$2:$B$295,generator!$K$2:$K$295,"ARGH")</f>
        <v>0</v>
      </c>
      <c r="AC32" s="3">
        <f>_xlfn.XLOOKUP(AC$1,generator!$B$2:$B$295,generator!$K$2:$K$295,"ARGH")</f>
        <v>0</v>
      </c>
      <c r="AD32" s="3">
        <f>_xlfn.XLOOKUP(AD$1,generator!$B$2:$B$295,generator!$K$2:$K$295,"ARGH")</f>
        <v>0</v>
      </c>
      <c r="AE32" s="3">
        <f>_xlfn.XLOOKUP(AE$1,generator!$B$2:$B$295,generator!$K$2:$K$295,"ARGH")</f>
        <v>0</v>
      </c>
      <c r="AF32" s="3">
        <f>_xlfn.XLOOKUP(AF$1,generator!$B$2:$B$295,generator!$K$2:$K$295,"ARGH")</f>
        <v>0</v>
      </c>
      <c r="AG32" s="3">
        <f>_xlfn.XLOOKUP(AG$1,generator!$B$2:$B$295,generator!$K$2:$K$295,"ARGH")</f>
        <v>0</v>
      </c>
      <c r="AH32" s="3">
        <f>_xlfn.XLOOKUP(AH$1,generator!$B$2:$B$295,generator!$K$2:$K$295,"ARGH")</f>
        <v>0</v>
      </c>
      <c r="AI32" s="3">
        <f>_xlfn.XLOOKUP(AI$1,generator!$B$2:$B$295,generator!$K$2:$K$295,"ARGH")</f>
        <v>0</v>
      </c>
      <c r="AJ32" s="3">
        <f>_xlfn.XLOOKUP(AJ$1,generator!$B$2:$B$295,generator!$K$2:$K$295,"ARGH")</f>
        <v>0</v>
      </c>
      <c r="AK32" s="3">
        <f>_xlfn.XLOOKUP(AK$1,generator!$B$2:$B$295,generator!$K$2:$K$295,"ARGH")</f>
        <v>0</v>
      </c>
      <c r="AL32" s="3">
        <f>_xlfn.XLOOKUP(AL$1,generator!$B$2:$B$295,generator!$K$2:$K$295,"ARGH")</f>
        <v>0</v>
      </c>
      <c r="AM32" s="3">
        <f>_xlfn.XLOOKUP(AM$1,generator!$B$2:$B$295,generator!$K$2:$K$295,"ARGH")</f>
        <v>0</v>
      </c>
      <c r="AN32" s="3">
        <f>_xlfn.XLOOKUP(AN$1,generator!$B$2:$B$295,generator!$K$2:$K$295,"ARGH")</f>
        <v>0</v>
      </c>
      <c r="AO32" s="3">
        <f>_xlfn.XLOOKUP(AO$1,generator!$B$2:$B$295,generator!$K$2:$K$295,"ARGH")</f>
        <v>0</v>
      </c>
      <c r="AP32" s="3">
        <f>_xlfn.XLOOKUP(AP$1,generator!$B$2:$B$295,generator!$K$2:$K$295,"ARGH")</f>
        <v>0</v>
      </c>
      <c r="AQ32" s="3">
        <f>_xlfn.XLOOKUP(AQ$1,generator!$B$2:$B$295,generator!$K$2:$K$295,"ARGH")</f>
        <v>0</v>
      </c>
      <c r="AR32" s="3">
        <f>_xlfn.XLOOKUP(AR$1,generator!$B$2:$B$295,generator!$K$2:$K$295,"ARGH")</f>
        <v>0</v>
      </c>
      <c r="AS32" s="3">
        <f>_xlfn.XLOOKUP(AS$1,generator!$B$2:$B$295,generator!$K$2:$K$295,"ARGH")</f>
        <v>0</v>
      </c>
      <c r="AT32" s="3">
        <f>_xlfn.XLOOKUP(AT$1,generator!$B$2:$B$295,generator!$K$2:$K$295,"ARGH")</f>
        <v>0</v>
      </c>
      <c r="AU32" s="3">
        <f>_xlfn.XLOOKUP(AU$1,generator!$B$2:$B$295,generator!$K$2:$K$295,"ARGH")</f>
        <v>0</v>
      </c>
      <c r="AV32" s="3">
        <f>_xlfn.XLOOKUP(AV$1,generator!$B$2:$B$295,generator!$K$2:$K$295,"ARGH")</f>
        <v>0</v>
      </c>
      <c r="AW32" s="3">
        <f>_xlfn.XLOOKUP(AW$1,generator!$B$2:$B$295,generator!$K$2:$K$295,"ARGH")</f>
        <v>0</v>
      </c>
      <c r="AX32" s="3">
        <f>_xlfn.XLOOKUP(AX$1,generator!$B$2:$B$295,generator!$K$2:$K$295,"ARGH")</f>
        <v>0</v>
      </c>
      <c r="AY32" s="3">
        <f>_xlfn.XLOOKUP(AY$1,generator!$B$2:$B$295,generator!$K$2:$K$295,"ARGH")</f>
        <v>0</v>
      </c>
      <c r="AZ32" s="3">
        <f>_xlfn.XLOOKUP(AZ$1,generator!$B$2:$B$295,generator!$K$2:$K$295,"ARGH")</f>
        <v>0</v>
      </c>
      <c r="BA32" s="3">
        <f>_xlfn.XLOOKUP(BA$1,generator!$B$2:$B$295,generator!$K$2:$K$295,"ARGH")</f>
        <v>0</v>
      </c>
      <c r="BB32" s="3">
        <f>_xlfn.XLOOKUP(BB$1,generator!$B$2:$B$295,generator!$K$2:$K$295,"ARGH")</f>
        <v>0</v>
      </c>
      <c r="BC32" s="3">
        <f>_xlfn.XLOOKUP(BC$1,generator!$B$2:$B$295,generator!$K$2:$K$295,"ARGH")</f>
        <v>0</v>
      </c>
      <c r="BD32" s="3">
        <f>_xlfn.XLOOKUP(BD$1,generator!$B$2:$B$295,generator!$K$2:$K$295,"ARGH")</f>
        <v>0</v>
      </c>
      <c r="BE32" s="3">
        <f>_xlfn.XLOOKUP(BE$1,generator!$B$2:$B$295,generator!$K$2:$K$295,"ARGH")</f>
        <v>0</v>
      </c>
      <c r="BF32" s="3">
        <f>_xlfn.XLOOKUP(BF$1,generator!$B$2:$B$295,generator!$K$2:$K$295,"ARGH")</f>
        <v>0</v>
      </c>
      <c r="BG32" s="3">
        <f>_xlfn.XLOOKUP(BG$1,generator!$B$2:$B$295,generator!$K$2:$K$295,"ARGH")</f>
        <v>0</v>
      </c>
      <c r="BH32" s="3">
        <f>_xlfn.XLOOKUP(BH$1,generator!$B$2:$B$295,generator!$K$2:$K$295,"ARGH")</f>
        <v>0</v>
      </c>
      <c r="BI32" s="3">
        <f>_xlfn.XLOOKUP(BI$1,generator!$B$2:$B$295,generator!$K$2:$K$295,"ARGH")</f>
        <v>0</v>
      </c>
      <c r="BJ32" s="3">
        <f>_xlfn.XLOOKUP(BJ$1,generator!$B$2:$B$295,generator!$K$2:$K$295,"ARGH")</f>
        <v>0</v>
      </c>
      <c r="BK32" s="3">
        <f>_xlfn.XLOOKUP(BK$1,generator!$B$2:$B$295,generator!$K$2:$K$295,"ARGH")</f>
        <v>0</v>
      </c>
      <c r="BL32" s="3">
        <f>_xlfn.XLOOKUP(BL$1,generator!$B$2:$B$295,generator!$K$2:$K$295,"ARGH")</f>
        <v>0</v>
      </c>
      <c r="BM32" s="3">
        <f>_xlfn.XLOOKUP(BM$1,generator!$B$2:$B$295,generator!$K$2:$K$295,"ARGH")</f>
        <v>0</v>
      </c>
      <c r="BN32" s="3">
        <f>_xlfn.XLOOKUP(BN$1,generator!$B$2:$B$295,generator!$K$2:$K$295,"ARGH")</f>
        <v>0</v>
      </c>
      <c r="BO32" s="3">
        <f>_xlfn.XLOOKUP(BO$1,generator!$B$2:$B$295,generator!$K$2:$K$295,"ARGH")</f>
        <v>0</v>
      </c>
      <c r="BP32" s="3">
        <f>_xlfn.XLOOKUP(BP$1,generator!$B$2:$B$295,generator!$K$2:$K$295,"ARGH")</f>
        <v>0</v>
      </c>
      <c r="BQ32" s="3">
        <f>_xlfn.XLOOKUP(BQ$1,generator!$B$2:$B$295,generator!$K$2:$K$295,"ARGH")</f>
        <v>0</v>
      </c>
      <c r="BR32" s="3">
        <f>_xlfn.XLOOKUP(BR$1,generator!$B$2:$B$295,generator!$K$2:$K$295,"ARGH")</f>
        <v>0</v>
      </c>
      <c r="BS32" s="3">
        <f>_xlfn.XLOOKUP(BS$1,generator!$B$2:$B$295,generator!$K$2:$K$295,"ARGH")</f>
        <v>0</v>
      </c>
      <c r="BT32" s="3">
        <f>_xlfn.XLOOKUP(BT$1,generator!$B$2:$B$295,generator!$K$2:$K$295,"ARGH")</f>
        <v>0</v>
      </c>
      <c r="BU32" s="3">
        <f>_xlfn.XLOOKUP(BU$1,generator!$B$2:$B$295,generator!$K$2:$K$295,"ARGH")</f>
        <v>0</v>
      </c>
      <c r="BV32" s="3">
        <f>_xlfn.XLOOKUP(BV$1,generator!$B$2:$B$295,generator!$K$2:$K$295,"ARGH")</f>
        <v>0</v>
      </c>
      <c r="BW32" s="3">
        <f>_xlfn.XLOOKUP(BW$1,generator!$B$2:$B$295,generator!$K$2:$K$295,"ARGH")</f>
        <v>0</v>
      </c>
      <c r="BX32" s="3">
        <f>_xlfn.XLOOKUP(BX$1,generator!$B$2:$B$295,generator!$K$2:$K$295,"ARGH")</f>
        <v>0</v>
      </c>
      <c r="BY32" s="3">
        <f>_xlfn.XLOOKUP(BY$1,generator!$B$2:$B$295,generator!$K$2:$K$295,"ARGH")</f>
        <v>0</v>
      </c>
      <c r="BZ32" s="3">
        <f>_xlfn.XLOOKUP(BZ$1,generator!$B$2:$B$295,generator!$K$2:$K$295,"ARGH")</f>
        <v>0</v>
      </c>
      <c r="CA32" s="3">
        <f>_xlfn.XLOOKUP(CA$1,generator!$B$2:$B$295,generator!$K$2:$K$295,"ARGH")</f>
        <v>0</v>
      </c>
      <c r="CB32" s="3">
        <f>_xlfn.XLOOKUP(CB$1,generator!$B$2:$B$295,generator!$K$2:$K$295,"ARGH")</f>
        <v>0</v>
      </c>
      <c r="CC32" s="3">
        <f>_xlfn.XLOOKUP(CC$1,generator!$B$2:$B$295,generator!$K$2:$K$295,"ARGH")</f>
        <v>0</v>
      </c>
      <c r="CD32" s="3">
        <f>_xlfn.XLOOKUP(CD$1,generator!$B$2:$B$295,generator!$K$2:$K$295,"ARGH")</f>
        <v>0</v>
      </c>
      <c r="CE32" s="3">
        <f>_xlfn.XLOOKUP(CE$1,generator!$B$2:$B$295,generator!$K$2:$K$295,"ARGH")</f>
        <v>0</v>
      </c>
      <c r="CF32" s="3">
        <f>_xlfn.XLOOKUP(CF$1,generator!$B$2:$B$295,generator!$K$2:$K$295,"ARGH")</f>
        <v>0</v>
      </c>
      <c r="CG32" s="3">
        <f>_xlfn.XLOOKUP(CG$1,generator!$B$2:$B$295,generator!$K$2:$K$295,"ARGH")</f>
        <v>0</v>
      </c>
      <c r="CH32" s="3">
        <f>_xlfn.XLOOKUP(CH$1,generator!$B$2:$B$295,generator!$K$2:$K$295,"ARGH")</f>
        <v>0</v>
      </c>
      <c r="CI32" s="3">
        <f>_xlfn.XLOOKUP(CI$1,generator!$B$2:$B$295,generator!$K$2:$K$295,"ARGH")</f>
        <v>0</v>
      </c>
      <c r="CJ32" s="3">
        <f>_xlfn.XLOOKUP(CJ$1,generator!$B$2:$B$295,generator!$K$2:$K$295,"ARGH")</f>
        <v>0</v>
      </c>
      <c r="CK32" s="3">
        <f>_xlfn.XLOOKUP(CK$1,generator!$B$2:$B$295,generator!$K$2:$K$295,"ARGH")</f>
        <v>0</v>
      </c>
      <c r="CL32" s="3">
        <f>_xlfn.XLOOKUP(CL$1,generator!$B$2:$B$295,generator!$K$2:$K$295,"ARGH")</f>
        <v>0</v>
      </c>
      <c r="CM32" s="3">
        <f>_xlfn.XLOOKUP(CM$1,generator!$B$2:$B$295,generator!$K$2:$K$295,"ARGH")</f>
        <v>0</v>
      </c>
      <c r="CN32" s="3">
        <f>_xlfn.XLOOKUP(CN$1,generator!$B$2:$B$295,generator!$K$2:$K$295,"ARGH")</f>
        <v>0</v>
      </c>
      <c r="CO32" s="3">
        <f>_xlfn.XLOOKUP(CO$1,generator!$B$2:$B$295,generator!$K$2:$K$295,"ARGH")</f>
        <v>0</v>
      </c>
      <c r="CP32" s="3">
        <f>_xlfn.XLOOKUP(CP$1,generator!$B$2:$B$295,generator!$K$2:$K$295,"ARGH")</f>
        <v>0</v>
      </c>
      <c r="CQ32" s="3">
        <f>_xlfn.XLOOKUP(CQ$1,generator!$B$2:$B$295,generator!$K$2:$K$295,"ARGH")</f>
        <v>0</v>
      </c>
      <c r="CR32" s="3">
        <f>_xlfn.XLOOKUP(CR$1,generator!$B$2:$B$295,generator!$K$2:$K$295,"ARGH")</f>
        <v>0</v>
      </c>
      <c r="CS32" s="3">
        <f>_xlfn.XLOOKUP(CS$1,generator!$B$2:$B$295,generator!$K$2:$K$295,"ARGH")</f>
        <v>0</v>
      </c>
      <c r="CT32" s="3">
        <f>_xlfn.XLOOKUP(CT$1,generator!$B$2:$B$295,generator!$K$2:$K$295,"ARGH")</f>
        <v>0</v>
      </c>
      <c r="CU32" s="3">
        <f>_xlfn.XLOOKUP(CU$1,generator!$B$2:$B$295,generator!$K$2:$K$295,"ARGH")</f>
        <v>0</v>
      </c>
      <c r="CV32" s="3">
        <f>_xlfn.XLOOKUP(CV$1,generator!$B$2:$B$295,generator!$K$2:$K$295,"ARGH")</f>
        <v>0</v>
      </c>
      <c r="CW32" s="3">
        <f>_xlfn.XLOOKUP(CW$1,generator!$B$2:$B$295,generator!$K$2:$K$295,"ARGH")</f>
        <v>0</v>
      </c>
      <c r="CX32" s="3">
        <f>_xlfn.XLOOKUP(CX$1,generator!$B$2:$B$295,generator!$K$2:$K$295,"ARGH")</f>
        <v>0</v>
      </c>
      <c r="CY32" s="3">
        <f>_xlfn.XLOOKUP(CY$1,generator!$B$2:$B$295,generator!$K$2:$K$295,"ARGH")</f>
        <v>0</v>
      </c>
      <c r="CZ32" s="3">
        <f>_xlfn.XLOOKUP(CZ$1,generator!$B$2:$B$295,generator!$K$2:$K$295,"ARGH")</f>
        <v>0</v>
      </c>
      <c r="DA32" s="3">
        <f>_xlfn.XLOOKUP(DA$1,generator!$B$2:$B$295,generator!$K$2:$K$295,"ARGH")</f>
        <v>0</v>
      </c>
      <c r="DB32" s="3">
        <f>_xlfn.XLOOKUP(DB$1,generator!$B$2:$B$295,generator!$K$2:$K$295,"ARGH")</f>
        <v>0</v>
      </c>
      <c r="DC32" s="3">
        <f>_xlfn.XLOOKUP(DC$1,generator!$B$2:$B$295,generator!$K$2:$K$295,"ARGH")</f>
        <v>0</v>
      </c>
      <c r="DD32" s="3">
        <f>_xlfn.XLOOKUP(DD$1,generator!$B$2:$B$295,generator!$K$2:$K$295,"ARGH")</f>
        <v>0</v>
      </c>
      <c r="DE32" s="3">
        <f>_xlfn.XLOOKUP(DE$1,generator!$B$2:$B$295,generator!$K$2:$K$295,"ARGH")</f>
        <v>0</v>
      </c>
      <c r="DF32" s="3">
        <f>_xlfn.XLOOKUP(DF$1,generator!$B$2:$B$295,generator!$K$2:$K$295,"ARGH")</f>
        <v>0</v>
      </c>
      <c r="DG32" s="3">
        <f>_xlfn.XLOOKUP(DG$1,generator!$B$2:$B$295,generator!$K$2:$K$295,"ARGH")</f>
        <v>0</v>
      </c>
      <c r="DH32" s="3">
        <f>_xlfn.XLOOKUP(DH$1,generator!$B$2:$B$295,generator!$K$2:$K$295,"ARGH")</f>
        <v>0</v>
      </c>
      <c r="DI32" s="3">
        <f>_xlfn.XLOOKUP(DI$1,generator!$B$2:$B$295,generator!$K$2:$K$295,"ARGH")</f>
        <v>0</v>
      </c>
      <c r="DJ32" s="3">
        <f>_xlfn.XLOOKUP(DJ$1,generator!$B$2:$B$295,generator!$K$2:$K$295,"ARGH")</f>
        <v>0</v>
      </c>
      <c r="DK32" s="3">
        <f>_xlfn.XLOOKUP(DK$1,generator!$B$2:$B$295,generator!$K$2:$K$295,"ARGH")</f>
        <v>0</v>
      </c>
      <c r="DL32" s="3">
        <f>_xlfn.XLOOKUP(DL$1,generator!$B$2:$B$295,generator!$K$2:$K$295,"ARGH")</f>
        <v>0</v>
      </c>
      <c r="DM32" s="3">
        <f>_xlfn.XLOOKUP(DM$1,generator!$B$2:$B$295,generator!$K$2:$K$295,"ARGH")</f>
        <v>0</v>
      </c>
      <c r="DN32" s="3">
        <f>_xlfn.XLOOKUP(DN$1,generator!$B$2:$B$295,generator!$K$2:$K$295,"ARGH")</f>
        <v>0</v>
      </c>
      <c r="DO32" s="3">
        <f>_xlfn.XLOOKUP(DO$1,generator!$B$2:$B$295,generator!$K$2:$K$295,"ARGH")</f>
        <v>0</v>
      </c>
      <c r="DP32" s="3">
        <f>_xlfn.XLOOKUP(DP$1,generator!$B$2:$B$295,generator!$K$2:$K$295,"ARGH")</f>
        <v>0</v>
      </c>
      <c r="DQ32" s="3">
        <f>_xlfn.XLOOKUP(DQ$1,generator!$B$2:$B$295,generator!$K$2:$K$295,"ARGH")</f>
        <v>0</v>
      </c>
      <c r="DR32" s="3">
        <f>_xlfn.XLOOKUP(DR$1,generator!$B$2:$B$295,generator!$K$2:$K$295,"ARGH")</f>
        <v>0</v>
      </c>
      <c r="DS32" s="3">
        <f>_xlfn.XLOOKUP(DS$1,generator!$B$2:$B$295,generator!$K$2:$K$295,"ARGH")</f>
        <v>0</v>
      </c>
      <c r="DT32" s="3">
        <f>_xlfn.XLOOKUP(DT$1,generator!$B$2:$B$295,generator!$K$2:$K$295,"ARGH")</f>
        <v>0</v>
      </c>
      <c r="DU32" s="3">
        <f>_xlfn.XLOOKUP(DU$1,generator!$B$2:$B$295,generator!$K$2:$K$295,"ARGH")</f>
        <v>0</v>
      </c>
      <c r="DV32" s="3">
        <f>_xlfn.XLOOKUP(DV$1,generator!$B$2:$B$295,generator!$K$2:$K$295,"ARGH")</f>
        <v>0</v>
      </c>
      <c r="DW32" s="3">
        <f>_xlfn.XLOOKUP(DW$1,generator!$B$2:$B$295,generator!$K$2:$K$295,"ARGH")</f>
        <v>0</v>
      </c>
      <c r="DX32" s="3">
        <f>_xlfn.XLOOKUP(DX$1,generator!$B$2:$B$295,generator!$K$2:$K$295,"ARGH")</f>
        <v>0</v>
      </c>
      <c r="DY32" s="3">
        <f>_xlfn.XLOOKUP(DY$1,generator!$B$2:$B$295,generator!$K$2:$K$295,"ARGH")</f>
        <v>0</v>
      </c>
      <c r="DZ32" s="3">
        <f>_xlfn.XLOOKUP(DZ$1,generator!$B$2:$B$295,generator!$K$2:$K$295,"ARGH")</f>
        <v>0</v>
      </c>
      <c r="EA32" s="3">
        <f>_xlfn.XLOOKUP(EA$1,generator!$B$2:$B$295,generator!$K$2:$K$295,"ARGH")</f>
        <v>0</v>
      </c>
      <c r="EB32" s="3">
        <f>_xlfn.XLOOKUP(EB$1,generator!$B$2:$B$295,generator!$K$2:$K$295,"ARGH")</f>
        <v>0</v>
      </c>
      <c r="EC32" s="3">
        <f>_xlfn.XLOOKUP(EC$1,generator!$B$2:$B$295,generator!$K$2:$K$295,"ARGH")</f>
        <v>0</v>
      </c>
      <c r="ED32" s="3">
        <f>_xlfn.XLOOKUP(ED$1,generator!$B$2:$B$295,generator!$K$2:$K$295,"ARGH")</f>
        <v>0</v>
      </c>
      <c r="EE32" s="3">
        <f>_xlfn.XLOOKUP(EE$1,generator!$B$2:$B$295,generator!$K$2:$K$295,"ARGH")</f>
        <v>0</v>
      </c>
      <c r="EF32" s="3">
        <f>_xlfn.XLOOKUP(EF$1,generator!$B$2:$B$295,generator!$K$2:$K$295,"ARGH")</f>
        <v>0</v>
      </c>
      <c r="EG32" s="3">
        <f>_xlfn.XLOOKUP(EG$1,generator!$B$2:$B$295,generator!$K$2:$K$295,"ARGH")</f>
        <v>0</v>
      </c>
      <c r="EH32" s="3">
        <f>_xlfn.XLOOKUP(EH$1,generator!$B$2:$B$295,generator!$K$2:$K$295,"ARGH")</f>
        <v>0</v>
      </c>
      <c r="EI32" s="3">
        <f>_xlfn.XLOOKUP(EI$1,generator!$B$2:$B$295,generator!$K$2:$K$295,"ARGH")</f>
        <v>0</v>
      </c>
      <c r="EJ32" s="3">
        <f>_xlfn.XLOOKUP(EJ$1,generator!$B$2:$B$295,generator!$K$2:$K$295,"ARGH")</f>
        <v>0</v>
      </c>
      <c r="EK32" s="3">
        <f>_xlfn.XLOOKUP(EK$1,generator!$B$2:$B$295,generator!$K$2:$K$295,"ARGH")</f>
        <v>0</v>
      </c>
      <c r="EL32" s="3">
        <f>_xlfn.XLOOKUP(EL$1,generator!$B$2:$B$295,generator!$K$2:$K$295,"ARGH")</f>
        <v>0</v>
      </c>
      <c r="EM32" s="3">
        <f>_xlfn.XLOOKUP(EM$1,generator!$B$2:$B$295,generator!$K$2:$K$295,"ARGH")</f>
        <v>0</v>
      </c>
      <c r="EN32" s="3">
        <f>_xlfn.XLOOKUP(EN$1,generator!$B$2:$B$295,generator!$K$2:$K$295,"ARGH")</f>
        <v>0</v>
      </c>
      <c r="EO32" s="3">
        <f>_xlfn.XLOOKUP(EO$1,generator!$B$2:$B$295,generator!$K$2:$K$295,"ARGH")</f>
        <v>0</v>
      </c>
      <c r="EP32" s="3">
        <f>_xlfn.XLOOKUP(EP$1,generator!$B$2:$B$295,generator!$K$2:$K$295,"ARGH")</f>
        <v>0</v>
      </c>
      <c r="EQ32" s="3">
        <f>_xlfn.XLOOKUP(EQ$1,generator!$B$2:$B$295,generator!$K$2:$K$295,"ARGH")</f>
        <v>0</v>
      </c>
      <c r="ER32" s="3">
        <f>_xlfn.XLOOKUP(ER$1,generator!$B$2:$B$295,generator!$K$2:$K$295,"ARGH")</f>
        <v>0</v>
      </c>
      <c r="ES32" s="3">
        <f>_xlfn.XLOOKUP(ES$1,generator!$B$2:$B$295,generator!$K$2:$K$295,"ARGH")</f>
        <v>0</v>
      </c>
      <c r="ET32" s="3">
        <f>_xlfn.XLOOKUP(ET$1,generator!$B$2:$B$295,generator!$K$2:$K$295,"ARGH")</f>
        <v>0</v>
      </c>
      <c r="EU32" s="3">
        <f>_xlfn.XLOOKUP(EU$1,generator!$B$2:$B$295,generator!$K$2:$K$295,"ARGH")</f>
        <v>0</v>
      </c>
      <c r="EV32" s="3">
        <f>_xlfn.XLOOKUP(EV$1,generator!$B$2:$B$295,generator!$K$2:$K$295,"ARGH")</f>
        <v>0</v>
      </c>
      <c r="EW32" s="3">
        <f>_xlfn.XLOOKUP(EW$1,generator!$B$2:$B$295,generator!$K$2:$K$295,"ARGH")</f>
        <v>0</v>
      </c>
      <c r="EX32" s="3">
        <f>_xlfn.XLOOKUP(EX$1,generator!$B$2:$B$295,generator!$K$2:$K$295,"ARGH")</f>
        <v>0</v>
      </c>
      <c r="EY32" s="3">
        <f>_xlfn.XLOOKUP(EY$1,generator!$B$2:$B$295,generator!$K$2:$K$295,"ARGH")</f>
        <v>0</v>
      </c>
      <c r="EZ32" s="3">
        <f>_xlfn.XLOOKUP(EZ$1,generator!$B$2:$B$295,generator!$K$2:$K$295,"ARGH")</f>
        <v>0</v>
      </c>
      <c r="FA32" s="3">
        <f>_xlfn.XLOOKUP(FA$1,generator!$B$2:$B$295,generator!$K$2:$K$295,"ARGH")</f>
        <v>0</v>
      </c>
      <c r="FB32" s="3">
        <f>_xlfn.XLOOKUP(FB$1,generator!$B$2:$B$295,generator!$K$2:$K$295,"ARGH")</f>
        <v>0</v>
      </c>
      <c r="FC32" s="3">
        <f>_xlfn.XLOOKUP(FC$1,generator!$B$2:$B$295,generator!$K$2:$K$295,"ARGH")</f>
        <v>0</v>
      </c>
      <c r="FD32" s="3">
        <f>_xlfn.XLOOKUP(FD$1,generator!$B$2:$B$295,generator!$K$2:$K$295,"ARGH")</f>
        <v>0</v>
      </c>
      <c r="FE32" s="3">
        <f>_xlfn.XLOOKUP(FE$1,generator!$B$2:$B$295,generator!$K$2:$K$295,"ARGH")</f>
        <v>0</v>
      </c>
      <c r="FF32" s="3">
        <f>_xlfn.XLOOKUP(FF$1,generator!$B$2:$B$295,generator!$K$2:$K$295,"ARGH")</f>
        <v>0</v>
      </c>
      <c r="FG32" s="3">
        <f>_xlfn.XLOOKUP(FG$1,generator!$B$2:$B$295,generator!$K$2:$K$295,"ARGH")</f>
        <v>0</v>
      </c>
      <c r="FH32" s="3">
        <f>_xlfn.XLOOKUP(FH$1,generator!$B$2:$B$295,generator!$K$2:$K$295,"ARGH")</f>
        <v>0</v>
      </c>
      <c r="FI32" s="3">
        <f>_xlfn.XLOOKUP(FI$1,generator!$B$2:$B$295,generator!$K$2:$K$295,"ARGH")</f>
        <v>0</v>
      </c>
      <c r="FJ32" s="3">
        <f>_xlfn.XLOOKUP(FJ$1,generator!$B$2:$B$295,generator!$K$2:$K$295,"ARGH")</f>
        <v>0</v>
      </c>
      <c r="FK32" s="3">
        <f>_xlfn.XLOOKUP(FK$1,generator!$B$2:$B$295,generator!$K$2:$K$295,"ARGH")</f>
        <v>0</v>
      </c>
      <c r="FL32" s="3">
        <f>_xlfn.XLOOKUP(FL$1,generator!$B$2:$B$295,generator!$K$2:$K$295,"ARGH")</f>
        <v>0</v>
      </c>
      <c r="FM32" s="3">
        <f>_xlfn.XLOOKUP(FM$1,generator!$B$2:$B$295,generator!$K$2:$K$295,"ARGH")</f>
        <v>0</v>
      </c>
      <c r="FN32" s="3">
        <f>_xlfn.XLOOKUP(FN$1,generator!$B$2:$B$295,generator!$K$2:$K$295,"ARGH")</f>
        <v>0</v>
      </c>
      <c r="FO32" s="3">
        <f>_xlfn.XLOOKUP(FO$1,generator!$B$2:$B$295,generator!$K$2:$K$295,"ARGH")</f>
        <v>0</v>
      </c>
      <c r="FP32" s="3">
        <f>_xlfn.XLOOKUP(FP$1,generator!$B$2:$B$295,generator!$K$2:$K$295,"ARGH")</f>
        <v>0</v>
      </c>
      <c r="FQ32" s="3">
        <f>_xlfn.XLOOKUP(FQ$1,generator!$B$2:$B$295,generator!$K$2:$K$295,"ARGH")</f>
        <v>0</v>
      </c>
      <c r="FR32" s="3">
        <f>_xlfn.XLOOKUP(FR$1,generator!$B$2:$B$295,generator!$K$2:$K$295,"ARGH")</f>
        <v>0</v>
      </c>
      <c r="FS32" s="3">
        <f>_xlfn.XLOOKUP(FS$1,generator!$B$2:$B$295,generator!$K$2:$K$295,"ARGH")</f>
        <v>0</v>
      </c>
      <c r="FT32" s="3">
        <f>_xlfn.XLOOKUP(FT$1,generator!$B$2:$B$295,generator!$K$2:$K$295,"ARGH")</f>
        <v>0</v>
      </c>
      <c r="FU32" s="3">
        <f>_xlfn.XLOOKUP(FU$1,generator!$B$2:$B$295,generator!$K$2:$K$295,"ARGH")</f>
        <v>0</v>
      </c>
      <c r="FV32" s="3">
        <f>_xlfn.XLOOKUP(FV$1,generator!$B$2:$B$295,generator!$K$2:$K$295,"ARGH")</f>
        <v>0</v>
      </c>
      <c r="FW32" s="3">
        <f>_xlfn.XLOOKUP(FW$1,generator!$B$2:$B$295,generator!$K$2:$K$295,"ARGH")</f>
        <v>0</v>
      </c>
      <c r="FX32" s="3">
        <f>_xlfn.XLOOKUP(FX$1,generator!$B$2:$B$295,generator!$K$2:$K$295,"ARGH")</f>
        <v>0</v>
      </c>
      <c r="FY32" s="3">
        <f>_xlfn.XLOOKUP(FY$1,generator!$B$2:$B$295,generator!$K$2:$K$295,"ARGH")</f>
        <v>0</v>
      </c>
      <c r="FZ32" s="3">
        <f>_xlfn.XLOOKUP(FZ$1,generator!$B$2:$B$295,generator!$K$2:$K$295,"ARGH")</f>
        <v>0</v>
      </c>
      <c r="GA32" s="3">
        <f>_xlfn.XLOOKUP(GA$1,generator!$B$2:$B$295,generator!$K$2:$K$295,"ARGH")</f>
        <v>0</v>
      </c>
      <c r="GB32" s="3">
        <f>_xlfn.XLOOKUP(GB$1,generator!$B$2:$B$295,generator!$K$2:$K$295,"ARGH")</f>
        <v>0</v>
      </c>
      <c r="GC32" s="3">
        <f>_xlfn.XLOOKUP(GC$1,generator!$B$2:$B$295,generator!$K$2:$K$295,"ARGH")</f>
        <v>0</v>
      </c>
      <c r="GD32" s="3">
        <f>_xlfn.XLOOKUP(GD$1,generator!$B$2:$B$295,generator!$K$2:$K$295,"ARGH")</f>
        <v>0</v>
      </c>
      <c r="GE32" s="3">
        <f>_xlfn.XLOOKUP(GE$1,generator!$B$2:$B$295,generator!$K$2:$K$295,"ARGH")</f>
        <v>0</v>
      </c>
      <c r="GF32" s="3">
        <f>_xlfn.XLOOKUP(GF$1,generator!$B$2:$B$295,generator!$K$2:$K$295,"ARGH")</f>
        <v>0</v>
      </c>
      <c r="GG32" s="3">
        <f>_xlfn.XLOOKUP(GG$1,generator!$B$2:$B$295,generator!$K$2:$K$295,"ARGH")</f>
        <v>0</v>
      </c>
      <c r="GH32" s="3">
        <f>_xlfn.XLOOKUP(GH$1,generator!$B$2:$B$295,generator!$K$2:$K$295,"ARGH")</f>
        <v>0</v>
      </c>
      <c r="GI32" s="3">
        <f>_xlfn.XLOOKUP(GI$1,generator!$B$2:$B$295,generator!$K$2:$K$295,"ARGH")</f>
        <v>0</v>
      </c>
      <c r="GJ32" s="3">
        <f>_xlfn.XLOOKUP(GJ$1,generator!$B$2:$B$295,generator!$K$2:$K$295,"ARGH")</f>
        <v>0</v>
      </c>
      <c r="GK32" s="3">
        <f>_xlfn.XLOOKUP(GK$1,generator!$B$2:$B$295,generator!$K$2:$K$295,"ARGH")</f>
        <v>0</v>
      </c>
      <c r="GL32" s="3">
        <f>_xlfn.XLOOKUP(GL$1,generator!$B$2:$B$295,generator!$K$2:$K$295,"ARGH")</f>
        <v>0</v>
      </c>
      <c r="GM32" s="3">
        <f>_xlfn.XLOOKUP(GM$1,generator!$B$2:$B$295,generator!$K$2:$K$295,"ARGH")</f>
        <v>0</v>
      </c>
      <c r="GN32" s="3">
        <f>_xlfn.XLOOKUP(GN$1,generator!$B$2:$B$295,generator!$K$2:$K$295,"ARGH")</f>
        <v>0</v>
      </c>
      <c r="GO32" s="3">
        <f>_xlfn.XLOOKUP(GO$1,generator!$B$2:$B$295,generator!$K$2:$K$295,"ARGH")</f>
        <v>0</v>
      </c>
      <c r="GP32" s="3">
        <f>_xlfn.XLOOKUP(GP$1,generator!$B$2:$B$295,generator!$K$2:$K$295,"ARGH")</f>
        <v>0</v>
      </c>
      <c r="GQ32" s="3">
        <f>_xlfn.XLOOKUP(GQ$1,generator!$B$2:$B$295,generator!$K$2:$K$295,"ARGH")</f>
        <v>0</v>
      </c>
      <c r="GR32" s="3">
        <f>_xlfn.XLOOKUP(GR$1,generator!$B$2:$B$295,generator!$K$2:$K$295,"ARGH")</f>
        <v>0</v>
      </c>
      <c r="GS32" s="3">
        <f>_xlfn.XLOOKUP(GS$1,generator!$B$2:$B$295,generator!$K$2:$K$295,"ARGH")</f>
        <v>0</v>
      </c>
      <c r="GT32" s="3">
        <f>_xlfn.XLOOKUP(GT$1,generator!$B$2:$B$295,generator!$K$2:$K$295,"ARGH")</f>
        <v>0</v>
      </c>
      <c r="GU32" s="3">
        <f>_xlfn.XLOOKUP(GU$1,generator!$B$2:$B$295,generator!$K$2:$K$295,"ARGH")</f>
        <v>0</v>
      </c>
      <c r="GV32" s="3">
        <f>_xlfn.XLOOKUP(GV$1,generator!$B$2:$B$295,generator!$K$2:$K$295,"ARGH")</f>
        <v>0</v>
      </c>
      <c r="GW32" s="3">
        <f>_xlfn.XLOOKUP(GW$1,generator!$B$2:$B$295,generator!$K$2:$K$295,"ARGH")</f>
        <v>0</v>
      </c>
      <c r="GX32" s="3">
        <f>_xlfn.XLOOKUP(GX$1,generator!$B$2:$B$295,generator!$K$2:$K$295,"ARGH")</f>
        <v>0</v>
      </c>
      <c r="GY32" s="3">
        <f>_xlfn.XLOOKUP(GY$1,generator!$B$2:$B$295,generator!$K$2:$K$295,"ARGH")</f>
        <v>0</v>
      </c>
      <c r="GZ32" s="3">
        <f>_xlfn.XLOOKUP(GZ$1,generator!$B$2:$B$295,generator!$K$2:$K$295,"ARGH")</f>
        <v>0</v>
      </c>
      <c r="HA32" s="3">
        <f>_xlfn.XLOOKUP(HA$1,generator!$B$2:$B$295,generator!$K$2:$K$295,"ARGH")</f>
        <v>0</v>
      </c>
      <c r="HB32" s="3">
        <f>_xlfn.XLOOKUP(HB$1,generator!$B$2:$B$295,generator!$K$2:$K$295,"ARGH")</f>
        <v>0</v>
      </c>
      <c r="HC32" s="3">
        <f>_xlfn.XLOOKUP(HC$1,generator!$B$2:$B$295,generator!$K$2:$K$295,"ARGH")</f>
        <v>0</v>
      </c>
      <c r="HD32" s="3">
        <f>_xlfn.XLOOKUP(HD$1,generator!$B$2:$B$295,generator!$K$2:$K$295,"ARGH")</f>
        <v>0</v>
      </c>
      <c r="HE32" s="3">
        <f>_xlfn.XLOOKUP(HE$1,generator!$B$2:$B$295,generator!$K$2:$K$295,"ARGH")</f>
        <v>12.74</v>
      </c>
      <c r="HF32" s="3">
        <f>_xlfn.XLOOKUP(HF$1,generator!$B$2:$B$295,generator!$K$2:$K$295,"ARGH")</f>
        <v>99</v>
      </c>
      <c r="HG32" s="3">
        <f>_xlfn.XLOOKUP(HG$1,generator!$B$2:$B$295,generator!$K$2:$K$295,"ARGH")</f>
        <v>99</v>
      </c>
      <c r="HH32" s="3">
        <f>_xlfn.XLOOKUP(HH$1,generator!$B$2:$B$295,generator!$K$2:$K$295,"ARGH")</f>
        <v>99</v>
      </c>
      <c r="HI32" s="3">
        <f>_xlfn.XLOOKUP(HI$1,generator!$B$2:$B$295,generator!$K$2:$K$295,"ARGH")</f>
        <v>8</v>
      </c>
      <c r="HJ32" s="3">
        <f>_xlfn.XLOOKUP(HJ$1,generator!$B$2:$B$295,generator!$K$2:$K$295,"ARGH")</f>
        <v>8</v>
      </c>
      <c r="HK32" s="3">
        <f>_xlfn.XLOOKUP(HK$1,generator!$B$2:$B$295,generator!$K$2:$K$295,"ARGH")</f>
        <v>8</v>
      </c>
      <c r="HL32" s="3">
        <f>_xlfn.XLOOKUP(HL$1,generator!$B$2:$B$295,generator!$K$2:$K$295,"ARGH")</f>
        <v>20</v>
      </c>
      <c r="HM32" s="3">
        <f>_xlfn.XLOOKUP(HM$1,generator!$B$2:$B$295,generator!$K$2:$K$295,"ARGH")</f>
        <v>20</v>
      </c>
      <c r="HN32" s="3">
        <f>_xlfn.XLOOKUP(HN$1,generator!$B$2:$B$295,generator!$K$2:$K$295,"ARGH")</f>
        <v>5</v>
      </c>
      <c r="HO32" s="3">
        <f>_xlfn.XLOOKUP(HO$1,generator!$B$2:$B$295,generator!$K$2:$K$295,"ARGH")</f>
        <v>5</v>
      </c>
      <c r="HP32" s="3">
        <f>_xlfn.XLOOKUP(HP$1,generator!$B$2:$B$295,generator!$K$2:$K$295,"ARGH")</f>
        <v>0.2</v>
      </c>
      <c r="HQ32" s="3">
        <f>_xlfn.XLOOKUP(HQ$1,generator!$B$2:$B$295,generator!$K$2:$K$295,"ARGH")</f>
        <v>5</v>
      </c>
      <c r="HR32" s="3">
        <f>_xlfn.XLOOKUP(HR$1,generator!$B$2:$B$295,generator!$K$2:$K$295,"ARGH")</f>
        <v>5</v>
      </c>
      <c r="HS32" s="3">
        <f>_xlfn.XLOOKUP(HS$1,generator!$B$2:$B$295,generator!$K$2:$K$295,"ARGH")</f>
        <v>12.82</v>
      </c>
      <c r="HT32" s="3">
        <f>_xlfn.XLOOKUP(HT$1,generator!$B$2:$B$295,generator!$K$2:$K$295,"ARGH")</f>
        <v>12.82</v>
      </c>
      <c r="HU32" s="3">
        <f>_xlfn.XLOOKUP(HU$1,generator!$B$2:$B$295,generator!$K$2:$K$295,"ARGH")</f>
        <v>25</v>
      </c>
      <c r="HV32" s="3">
        <f>_xlfn.XLOOKUP(HV$1,generator!$B$2:$B$295,generator!$K$2:$K$295,"ARGH")</f>
        <v>16</v>
      </c>
      <c r="HW32" s="3">
        <f>_xlfn.XLOOKUP(HW$1,generator!$B$2:$B$295,generator!$K$2:$K$295,"ARGH")</f>
        <v>5</v>
      </c>
      <c r="HX32" s="3">
        <f>_xlfn.XLOOKUP(HX$1,generator!$B$2:$B$295,generator!$K$2:$K$295,"ARGH")</f>
        <v>5</v>
      </c>
      <c r="HY32" s="3">
        <f>_xlfn.XLOOKUP(HY$1,generator!$B$2:$B$295,generator!$K$2:$K$295,"ARGH")</f>
        <v>63</v>
      </c>
      <c r="HZ32" s="3">
        <f>_xlfn.XLOOKUP(HZ$1,generator!$B$2:$B$295,generator!$K$2:$K$295,"ARGH")</f>
        <v>18</v>
      </c>
      <c r="IA32" s="3">
        <f>_xlfn.XLOOKUP(IA$1,generator!$B$2:$B$295,generator!$K$2:$K$295,"ARGH")</f>
        <v>121</v>
      </c>
      <c r="IB32" s="3">
        <f>_xlfn.XLOOKUP(IB$1,generator!$B$2:$B$295,generator!$K$2:$K$295,"ARGH")</f>
        <v>120</v>
      </c>
      <c r="IC32" s="3">
        <f>_xlfn.XLOOKUP(IC$1,generator!$B$2:$B$295,generator!$K$2:$K$295,"ARGH")</f>
        <v>0</v>
      </c>
      <c r="ID32" s="3">
        <f>_xlfn.XLOOKUP(ID$1,generator!$B$2:$B$295,generator!$K$2:$K$295,"ARGH")</f>
        <v>17</v>
      </c>
      <c r="IE32" s="3">
        <f>_xlfn.XLOOKUP(IE$1,generator!$B$2:$B$295,generator!$K$2:$K$295,"ARGH")</f>
        <v>194</v>
      </c>
      <c r="IF32" s="3">
        <f>_xlfn.XLOOKUP(IF$1,generator!$B$2:$B$295,generator!$K$2:$K$295,"ARGH")</f>
        <v>11.9</v>
      </c>
      <c r="IG32" s="3">
        <f>_xlfn.XLOOKUP(IG$1,generator!$B$2:$B$295,generator!$K$2:$K$295,"ARGH")</f>
        <v>11.9</v>
      </c>
      <c r="IH32" s="3">
        <f>_xlfn.XLOOKUP(IH$1,generator!$B$2:$B$295,generator!$K$2:$K$295,"ARGH")</f>
        <v>11.9</v>
      </c>
      <c r="II32" s="3">
        <f>_xlfn.XLOOKUP(II$1,generator!$B$2:$B$295,generator!$K$2:$K$295,"ARGH")</f>
        <v>11.9</v>
      </c>
      <c r="IJ32" s="3">
        <f>_xlfn.XLOOKUP(IJ$1,generator!$B$2:$B$295,generator!$K$2:$K$295,"ARGH")</f>
        <v>0</v>
      </c>
      <c r="IK32" s="3">
        <f>_xlfn.XLOOKUP(IK$1,generator!$B$2:$B$295,generator!$K$2:$K$295,"ARGH")</f>
        <v>3</v>
      </c>
      <c r="IL32" s="3">
        <f>_xlfn.XLOOKUP(IL$1,generator!$B$2:$B$295,generator!$K$2:$K$295,"ARGH")</f>
        <v>5</v>
      </c>
      <c r="IM32" s="3">
        <f>_xlfn.XLOOKUP(IM$1,generator!$B$2:$B$295,generator!$K$2:$K$295,"ARGH")</f>
        <v>5</v>
      </c>
      <c r="IN32" s="3">
        <f>_xlfn.XLOOKUP(IN$1,generator!$B$2:$B$295,generator!$K$2:$K$295,"ARGH")</f>
        <v>4</v>
      </c>
      <c r="IO32" s="3">
        <f>_xlfn.XLOOKUP(IO$1,generator!$B$2:$B$295,generator!$K$2:$K$295,"ARGH")</f>
        <v>4</v>
      </c>
      <c r="IP32" s="3">
        <f>_xlfn.XLOOKUP(IP$1,generator!$B$2:$B$295,generator!$K$2:$K$295,"ARGH")</f>
        <v>3</v>
      </c>
      <c r="IQ32" s="3">
        <f>_xlfn.XLOOKUP(IQ$1,generator!$B$2:$B$295,generator!$K$2:$K$295,"ARGH")</f>
        <v>1</v>
      </c>
      <c r="IR32" s="3">
        <f>_xlfn.XLOOKUP(IR$1,generator!$B$2:$B$295,generator!$K$2:$K$295,"ARGH")</f>
        <v>3</v>
      </c>
      <c r="IS32" s="3">
        <f>_xlfn.XLOOKUP(IS$1,generator!$B$2:$B$295,generator!$K$2:$K$295,"ARGH")</f>
        <v>3</v>
      </c>
      <c r="IT32" s="3">
        <f>_xlfn.XLOOKUP(IT$1,generator!$B$2:$B$295,generator!$K$2:$K$295,"ARGH")</f>
        <v>0</v>
      </c>
      <c r="IU32" s="3">
        <f>_xlfn.XLOOKUP(IU$1,generator!$B$2:$B$295,generator!$K$2:$K$295,"ARGH")</f>
        <v>3.99</v>
      </c>
      <c r="IV32" s="3">
        <f>_xlfn.XLOOKUP(IV$1,generator!$B$2:$B$295,generator!$K$2:$K$295,"ARGH")</f>
        <v>0.2</v>
      </c>
      <c r="IW32" s="3">
        <f>_xlfn.XLOOKUP(IW$1,generator!$B$2:$B$295,generator!$K$2:$K$295,"ARGH")</f>
        <v>15</v>
      </c>
      <c r="IX32" s="3">
        <f>_xlfn.XLOOKUP(IX$1,generator!$B$2:$B$295,generator!$K$2:$K$295,"ARGH")</f>
        <v>15</v>
      </c>
      <c r="IY32" s="3">
        <f>_xlfn.XLOOKUP(IY$1,generator!$B$2:$B$295,generator!$K$2:$K$295,"ARGH")</f>
        <v>15</v>
      </c>
      <c r="IZ32" s="3">
        <f>_xlfn.XLOOKUP(IZ$1,generator!$B$2:$B$295,generator!$K$2:$K$295,"ARGH")</f>
        <v>120</v>
      </c>
      <c r="JA32" s="3">
        <f>_xlfn.XLOOKUP(JA$1,generator!$B$2:$B$295,generator!$K$2:$K$295,"ARGH")</f>
        <v>40</v>
      </c>
      <c r="JB32" s="3">
        <f>_xlfn.XLOOKUP(JB$1,generator!$B$2:$B$295,generator!$K$2:$K$295,"ARGH")</f>
        <v>40</v>
      </c>
      <c r="JC32" s="3">
        <f>_xlfn.XLOOKUP(JC$1,generator!$B$2:$B$295,generator!$K$2:$K$295,"ARGH")</f>
        <v>113</v>
      </c>
      <c r="JD32" s="3">
        <f>_xlfn.XLOOKUP(JD$1,generator!$B$2:$B$295,generator!$K$2:$K$295,"ARGH")</f>
        <v>113</v>
      </c>
      <c r="JE32" s="3">
        <f>_xlfn.XLOOKUP(JE$1,generator!$B$2:$B$295,generator!$K$2:$K$295,"ARGH")</f>
        <v>211</v>
      </c>
      <c r="JF32" s="3">
        <f>_xlfn.XLOOKUP(JF$1,generator!$B$2:$B$295,generator!$K$2:$K$295,"ARGH")</f>
        <v>22.5</v>
      </c>
      <c r="JG32" s="3">
        <f>_xlfn.XLOOKUP(JG$1,generator!$B$2:$B$295,generator!$K$2:$K$295,"ARGH")</f>
        <v>1</v>
      </c>
      <c r="JH32" s="3">
        <f>_xlfn.XLOOKUP(JH$1,generator!$B$2:$B$295,generator!$K$2:$K$295,"ARGH")</f>
        <v>160</v>
      </c>
      <c r="JI32" s="3">
        <f>_xlfn.XLOOKUP(JI$1,generator!$B$2:$B$295,generator!$K$2:$K$295,"ARGH")</f>
        <v>165</v>
      </c>
      <c r="JJ32" s="3">
        <f>_xlfn.XLOOKUP(JJ$1,generator!$B$2:$B$295,generator!$K$2:$K$295,"ARGH")</f>
        <v>4.5999999999999996</v>
      </c>
      <c r="JK32" s="3">
        <f>_xlfn.XLOOKUP(JK$1,generator!$B$2:$B$295,generator!$K$2:$K$295,"ARGH")</f>
        <v>4.5999999999999996</v>
      </c>
      <c r="JL32" s="3">
        <f>_xlfn.XLOOKUP(JL$1,generator!$B$2:$B$295,generator!$K$2:$K$295,"ARGH")</f>
        <v>4.5999999999999996</v>
      </c>
      <c r="JM32" s="3">
        <f>_xlfn.XLOOKUP(JM$1,generator!$B$2:$B$295,generator!$K$2:$K$295,"ARGH")</f>
        <v>4.5999999999999996</v>
      </c>
      <c r="JN32" s="3">
        <f>_xlfn.XLOOKUP(JN$1,generator!$B$2:$B$295,generator!$K$2:$K$295,"ARGH")</f>
        <v>4.5999999999999996</v>
      </c>
      <c r="JO32" s="3">
        <f>_xlfn.XLOOKUP(JO$1,generator!$B$2:$B$295,generator!$K$2:$K$295,"ARGH")</f>
        <v>4.5999999999999996</v>
      </c>
      <c r="JP32" s="3">
        <f>_xlfn.XLOOKUP(JP$1,generator!$B$2:$B$295,generator!$K$2:$K$295,"ARGH")</f>
        <v>110</v>
      </c>
      <c r="JQ32" s="3">
        <f>_xlfn.XLOOKUP(JQ$1,generator!$B$2:$B$295,generator!$K$2:$K$295,"ARGH")</f>
        <v>22.7</v>
      </c>
      <c r="JR32" s="3">
        <f>_xlfn.XLOOKUP(JR$1,generator!$B$2:$B$295,generator!$K$2:$K$295,"ARGH")</f>
        <v>147</v>
      </c>
      <c r="JS32" s="3">
        <f>_xlfn.XLOOKUP(JS$1,generator!$B$2:$B$295,generator!$K$2:$K$295,"ARGH")</f>
        <v>147</v>
      </c>
      <c r="JT32" s="3">
        <f>_xlfn.XLOOKUP(JT$1,generator!$B$2:$B$295,generator!$K$2:$K$295,"ARGH")</f>
        <v>22.7</v>
      </c>
      <c r="JU32" s="3">
        <f>_xlfn.XLOOKUP(JU$1,generator!$B$2:$B$295,generator!$K$2:$K$295,"ARGH")</f>
        <v>21.5</v>
      </c>
      <c r="JV32" s="3">
        <f>_xlfn.XLOOKUP(JV$1,generator!$B$2:$B$295,generator!$K$2:$K$295,"ARGH")</f>
        <v>120</v>
      </c>
      <c r="JW32" s="3">
        <f>_xlfn.XLOOKUP(JW$1,generator!$B$2:$B$295,generator!$K$2:$K$295,"ARGH")</f>
        <v>120</v>
      </c>
      <c r="JX32" s="3">
        <f>_xlfn.XLOOKUP(JX$1,generator!$B$2:$B$295,generator!$K$2:$K$295,"ARGH")</f>
        <v>1</v>
      </c>
      <c r="JY32" s="3">
        <f>_xlfn.XLOOKUP(JY$1,generator!$B$2:$B$295,generator!$K$2:$K$295,"ARGH")</f>
        <v>41.15</v>
      </c>
      <c r="JZ32" s="3">
        <f>_xlfn.XLOOKUP(JZ$1,generator!$B$2:$B$295,generator!$K$2:$K$295,"ARGH")</f>
        <v>5</v>
      </c>
      <c r="KA32" s="3">
        <f>_xlfn.XLOOKUP(KA$1,generator!$B$2:$B$295,generator!$K$2:$K$295,"ARGH")</f>
        <v>5</v>
      </c>
      <c r="KB32" s="3">
        <f>_xlfn.XLOOKUP(KB$1,generator!$B$2:$B$295,generator!$K$2:$K$295,"ARGH")</f>
        <v>5</v>
      </c>
      <c r="KC32" s="3">
        <f>_xlfn.XLOOKUP(KC$1,generator!$B$2:$B$295,generator!$K$2:$K$295,"ARGH")</f>
        <v>5</v>
      </c>
    </row>
    <row r="33" spans="1:289" x14ac:dyDescent="0.3">
      <c r="A33" s="4" t="s">
        <v>3028</v>
      </c>
      <c r="B33" s="31">
        <v>530</v>
      </c>
      <c r="C33" s="31">
        <v>513</v>
      </c>
      <c r="D33" s="31">
        <v>442</v>
      </c>
      <c r="E33" s="3">
        <f>_xlfn.XLOOKUP(E$1,generator!$B$2:$B$295,generator!$K$2:$K$295,"ARGH")</f>
        <v>0</v>
      </c>
      <c r="F33" s="3">
        <f>_xlfn.XLOOKUP(F$1,generator!$B$2:$B$295,generator!$K$2:$K$295,"ARGH")</f>
        <v>0</v>
      </c>
      <c r="G33" s="3">
        <f>_xlfn.XLOOKUP(G$1,generator!$B$2:$B$295,generator!$K$2:$K$295,"ARGH")</f>
        <v>0</v>
      </c>
      <c r="H33" s="3">
        <f>_xlfn.XLOOKUP(H$1,generator!$B$2:$B$295,generator!$K$2:$K$295,"ARGH")</f>
        <v>0</v>
      </c>
      <c r="I33" s="3">
        <f>_xlfn.XLOOKUP(I$1,generator!$B$2:$B$295,generator!$K$2:$K$295,"ARGH")</f>
        <v>0</v>
      </c>
      <c r="J33" s="3">
        <f>_xlfn.XLOOKUP(J$1,generator!$B$2:$B$295,generator!$K$2:$K$295,"ARGH")</f>
        <v>0</v>
      </c>
      <c r="K33" s="3">
        <f>_xlfn.XLOOKUP(K$1,generator!$B$2:$B$295,generator!$K$2:$K$295,"ARGH")</f>
        <v>0</v>
      </c>
      <c r="L33" s="3">
        <f>_xlfn.XLOOKUP(L$1,generator!$B$2:$B$295,generator!$K$2:$K$295,"ARGH")</f>
        <v>0</v>
      </c>
      <c r="M33" s="3">
        <f>_xlfn.XLOOKUP(M$1,generator!$B$2:$B$295,generator!$K$2:$K$295,"ARGH")</f>
        <v>0</v>
      </c>
      <c r="N33" s="3">
        <f>_xlfn.XLOOKUP(N$1,generator!$B$2:$B$295,generator!$K$2:$K$295,"ARGH")</f>
        <v>0</v>
      </c>
      <c r="O33" s="3">
        <f>_xlfn.XLOOKUP(O$1,generator!$B$2:$B$295,generator!$K$2:$K$295,"ARGH")</f>
        <v>0</v>
      </c>
      <c r="P33" s="3">
        <f>_xlfn.XLOOKUP(P$1,generator!$B$2:$B$295,generator!$K$2:$K$295,"ARGH")</f>
        <v>0</v>
      </c>
      <c r="Q33" s="3">
        <f>_xlfn.XLOOKUP(Q$1,generator!$B$2:$B$295,generator!$K$2:$K$295,"ARGH")</f>
        <v>0</v>
      </c>
      <c r="R33" s="3">
        <f>_xlfn.XLOOKUP(R$1,generator!$B$2:$B$295,generator!$K$2:$K$295,"ARGH")</f>
        <v>0</v>
      </c>
      <c r="S33" s="3">
        <f>_xlfn.XLOOKUP(S$1,generator!$B$2:$B$295,generator!$K$2:$K$295,"ARGH")</f>
        <v>0</v>
      </c>
      <c r="T33" s="3">
        <f>_xlfn.XLOOKUP(T$1,generator!$B$2:$B$295,generator!$K$2:$K$295,"ARGH")</f>
        <v>0</v>
      </c>
      <c r="U33" s="3">
        <f>_xlfn.XLOOKUP(U$1,generator!$B$2:$B$295,generator!$K$2:$K$295,"ARGH")</f>
        <v>0</v>
      </c>
      <c r="V33" s="3">
        <f>_xlfn.XLOOKUP(V$1,generator!$B$2:$B$295,generator!$K$2:$K$295,"ARGH")</f>
        <v>0</v>
      </c>
      <c r="W33" s="3">
        <f>_xlfn.XLOOKUP(W$1,generator!$B$2:$B$295,generator!$K$2:$K$295,"ARGH")</f>
        <v>0</v>
      </c>
      <c r="X33" s="3">
        <f>_xlfn.XLOOKUP(X$1,generator!$B$2:$B$295,generator!$K$2:$K$295,"ARGH")</f>
        <v>0</v>
      </c>
      <c r="Y33" s="3">
        <f>_xlfn.XLOOKUP(Y$1,generator!$B$2:$B$295,generator!$K$2:$K$295,"ARGH")</f>
        <v>0</v>
      </c>
      <c r="Z33" s="3">
        <f>_xlfn.XLOOKUP(Z$1,generator!$B$2:$B$295,generator!$K$2:$K$295,"ARGH")</f>
        <v>0</v>
      </c>
      <c r="AA33" s="3">
        <f>_xlfn.XLOOKUP(AA$1,generator!$B$2:$B$295,generator!$K$2:$K$295,"ARGH")</f>
        <v>0</v>
      </c>
      <c r="AB33" s="3">
        <f>_xlfn.XLOOKUP(AB$1,generator!$B$2:$B$295,generator!$K$2:$K$295,"ARGH")</f>
        <v>0</v>
      </c>
      <c r="AC33" s="3">
        <f>_xlfn.XLOOKUP(AC$1,generator!$B$2:$B$295,generator!$K$2:$K$295,"ARGH")</f>
        <v>0</v>
      </c>
      <c r="AD33" s="3">
        <f>_xlfn.XLOOKUP(AD$1,generator!$B$2:$B$295,generator!$K$2:$K$295,"ARGH")</f>
        <v>0</v>
      </c>
      <c r="AE33" s="3">
        <f>_xlfn.XLOOKUP(AE$1,generator!$B$2:$B$295,generator!$K$2:$K$295,"ARGH")</f>
        <v>0</v>
      </c>
      <c r="AF33" s="3">
        <f>_xlfn.XLOOKUP(AF$1,generator!$B$2:$B$295,generator!$K$2:$K$295,"ARGH")</f>
        <v>0</v>
      </c>
      <c r="AG33" s="3">
        <f>_xlfn.XLOOKUP(AG$1,generator!$B$2:$B$295,generator!$K$2:$K$295,"ARGH")</f>
        <v>0</v>
      </c>
      <c r="AH33" s="3">
        <f>_xlfn.XLOOKUP(AH$1,generator!$B$2:$B$295,generator!$K$2:$K$295,"ARGH")</f>
        <v>0</v>
      </c>
      <c r="AI33" s="3">
        <f>_xlfn.XLOOKUP(AI$1,generator!$B$2:$B$295,generator!$K$2:$K$295,"ARGH")</f>
        <v>0</v>
      </c>
      <c r="AJ33" s="3">
        <f>_xlfn.XLOOKUP(AJ$1,generator!$B$2:$B$295,generator!$K$2:$K$295,"ARGH")</f>
        <v>0</v>
      </c>
      <c r="AK33" s="3">
        <f>_xlfn.XLOOKUP(AK$1,generator!$B$2:$B$295,generator!$K$2:$K$295,"ARGH")</f>
        <v>0</v>
      </c>
      <c r="AL33" s="3">
        <f>_xlfn.XLOOKUP(AL$1,generator!$B$2:$B$295,generator!$K$2:$K$295,"ARGH")</f>
        <v>0</v>
      </c>
      <c r="AM33" s="3">
        <f>_xlfn.XLOOKUP(AM$1,generator!$B$2:$B$295,generator!$K$2:$K$295,"ARGH")</f>
        <v>0</v>
      </c>
      <c r="AN33" s="3">
        <f>_xlfn.XLOOKUP(AN$1,generator!$B$2:$B$295,generator!$K$2:$K$295,"ARGH")</f>
        <v>0</v>
      </c>
      <c r="AO33" s="3">
        <f>_xlfn.XLOOKUP(AO$1,generator!$B$2:$B$295,generator!$K$2:$K$295,"ARGH")</f>
        <v>0</v>
      </c>
      <c r="AP33" s="3">
        <f>_xlfn.XLOOKUP(AP$1,generator!$B$2:$B$295,generator!$K$2:$K$295,"ARGH")</f>
        <v>0</v>
      </c>
      <c r="AQ33" s="3">
        <f>_xlfn.XLOOKUP(AQ$1,generator!$B$2:$B$295,generator!$K$2:$K$295,"ARGH")</f>
        <v>0</v>
      </c>
      <c r="AR33" s="3">
        <f>_xlfn.XLOOKUP(AR$1,generator!$B$2:$B$295,generator!$K$2:$K$295,"ARGH")</f>
        <v>0</v>
      </c>
      <c r="AS33" s="3">
        <f>_xlfn.XLOOKUP(AS$1,generator!$B$2:$B$295,generator!$K$2:$K$295,"ARGH")</f>
        <v>0</v>
      </c>
      <c r="AT33" s="3">
        <f>_xlfn.XLOOKUP(AT$1,generator!$B$2:$B$295,generator!$K$2:$K$295,"ARGH")</f>
        <v>0</v>
      </c>
      <c r="AU33" s="3">
        <f>_xlfn.XLOOKUP(AU$1,generator!$B$2:$B$295,generator!$K$2:$K$295,"ARGH")</f>
        <v>0</v>
      </c>
      <c r="AV33" s="3">
        <f>_xlfn.XLOOKUP(AV$1,generator!$B$2:$B$295,generator!$K$2:$K$295,"ARGH")</f>
        <v>0</v>
      </c>
      <c r="AW33" s="3">
        <f>_xlfn.XLOOKUP(AW$1,generator!$B$2:$B$295,generator!$K$2:$K$295,"ARGH")</f>
        <v>0</v>
      </c>
      <c r="AX33" s="3">
        <f>_xlfn.XLOOKUP(AX$1,generator!$B$2:$B$295,generator!$K$2:$K$295,"ARGH")</f>
        <v>0</v>
      </c>
      <c r="AY33" s="3">
        <f>_xlfn.XLOOKUP(AY$1,generator!$B$2:$B$295,generator!$K$2:$K$295,"ARGH")</f>
        <v>0</v>
      </c>
      <c r="AZ33" s="3">
        <f>_xlfn.XLOOKUP(AZ$1,generator!$B$2:$B$295,generator!$K$2:$K$295,"ARGH")</f>
        <v>0</v>
      </c>
      <c r="BA33" s="3">
        <f>_xlfn.XLOOKUP(BA$1,generator!$B$2:$B$295,generator!$K$2:$K$295,"ARGH")</f>
        <v>0</v>
      </c>
      <c r="BB33" s="3">
        <f>_xlfn.XLOOKUP(BB$1,generator!$B$2:$B$295,generator!$K$2:$K$295,"ARGH")</f>
        <v>0</v>
      </c>
      <c r="BC33" s="3">
        <f>_xlfn.XLOOKUP(BC$1,generator!$B$2:$B$295,generator!$K$2:$K$295,"ARGH")</f>
        <v>0</v>
      </c>
      <c r="BD33" s="3">
        <f>_xlfn.XLOOKUP(BD$1,generator!$B$2:$B$295,generator!$K$2:$K$295,"ARGH")</f>
        <v>0</v>
      </c>
      <c r="BE33" s="3">
        <f>_xlfn.XLOOKUP(BE$1,generator!$B$2:$B$295,generator!$K$2:$K$295,"ARGH")</f>
        <v>0</v>
      </c>
      <c r="BF33" s="3">
        <f>_xlfn.XLOOKUP(BF$1,generator!$B$2:$B$295,generator!$K$2:$K$295,"ARGH")</f>
        <v>0</v>
      </c>
      <c r="BG33" s="3">
        <f>_xlfn.XLOOKUP(BG$1,generator!$B$2:$B$295,generator!$K$2:$K$295,"ARGH")</f>
        <v>0</v>
      </c>
      <c r="BH33" s="3">
        <f>_xlfn.XLOOKUP(BH$1,generator!$B$2:$B$295,generator!$K$2:$K$295,"ARGH")</f>
        <v>0</v>
      </c>
      <c r="BI33" s="3">
        <f>_xlfn.XLOOKUP(BI$1,generator!$B$2:$B$295,generator!$K$2:$K$295,"ARGH")</f>
        <v>0</v>
      </c>
      <c r="BJ33" s="3">
        <f>_xlfn.XLOOKUP(BJ$1,generator!$B$2:$B$295,generator!$K$2:$K$295,"ARGH")</f>
        <v>0</v>
      </c>
      <c r="BK33" s="3">
        <f>_xlfn.XLOOKUP(BK$1,generator!$B$2:$B$295,generator!$K$2:$K$295,"ARGH")</f>
        <v>0</v>
      </c>
      <c r="BL33" s="3">
        <f>_xlfn.XLOOKUP(BL$1,generator!$B$2:$B$295,generator!$K$2:$K$295,"ARGH")</f>
        <v>0</v>
      </c>
      <c r="BM33" s="3">
        <f>_xlfn.XLOOKUP(BM$1,generator!$B$2:$B$295,generator!$K$2:$K$295,"ARGH")</f>
        <v>0</v>
      </c>
      <c r="BN33" s="3">
        <f>_xlfn.XLOOKUP(BN$1,generator!$B$2:$B$295,generator!$K$2:$K$295,"ARGH")</f>
        <v>0</v>
      </c>
      <c r="BO33" s="3">
        <f>_xlfn.XLOOKUP(BO$1,generator!$B$2:$B$295,generator!$K$2:$K$295,"ARGH")</f>
        <v>0</v>
      </c>
      <c r="BP33" s="3">
        <f>_xlfn.XLOOKUP(BP$1,generator!$B$2:$B$295,generator!$K$2:$K$295,"ARGH")</f>
        <v>0</v>
      </c>
      <c r="BQ33" s="3">
        <f>_xlfn.XLOOKUP(BQ$1,generator!$B$2:$B$295,generator!$K$2:$K$295,"ARGH")</f>
        <v>0</v>
      </c>
      <c r="BR33" s="3">
        <f>_xlfn.XLOOKUP(BR$1,generator!$B$2:$B$295,generator!$K$2:$K$295,"ARGH")</f>
        <v>0</v>
      </c>
      <c r="BS33" s="3">
        <f>_xlfn.XLOOKUP(BS$1,generator!$B$2:$B$295,generator!$K$2:$K$295,"ARGH")</f>
        <v>0</v>
      </c>
      <c r="BT33" s="3">
        <f>_xlfn.XLOOKUP(BT$1,generator!$B$2:$B$295,generator!$K$2:$K$295,"ARGH")</f>
        <v>0</v>
      </c>
      <c r="BU33" s="3">
        <f>_xlfn.XLOOKUP(BU$1,generator!$B$2:$B$295,generator!$K$2:$K$295,"ARGH")</f>
        <v>0</v>
      </c>
      <c r="BV33" s="3">
        <f>_xlfn.XLOOKUP(BV$1,generator!$B$2:$B$295,generator!$K$2:$K$295,"ARGH")</f>
        <v>0</v>
      </c>
      <c r="BW33" s="3">
        <f>_xlfn.XLOOKUP(BW$1,generator!$B$2:$B$295,generator!$K$2:$K$295,"ARGH")</f>
        <v>0</v>
      </c>
      <c r="BX33" s="3">
        <f>_xlfn.XLOOKUP(BX$1,generator!$B$2:$B$295,generator!$K$2:$K$295,"ARGH")</f>
        <v>0</v>
      </c>
      <c r="BY33" s="3">
        <f>_xlfn.XLOOKUP(BY$1,generator!$B$2:$B$295,generator!$K$2:$K$295,"ARGH")</f>
        <v>0</v>
      </c>
      <c r="BZ33" s="3">
        <f>_xlfn.XLOOKUP(BZ$1,generator!$B$2:$B$295,generator!$K$2:$K$295,"ARGH")</f>
        <v>0</v>
      </c>
      <c r="CA33" s="3">
        <f>_xlfn.XLOOKUP(CA$1,generator!$B$2:$B$295,generator!$K$2:$K$295,"ARGH")</f>
        <v>0</v>
      </c>
      <c r="CB33" s="3">
        <f>_xlfn.XLOOKUP(CB$1,generator!$B$2:$B$295,generator!$K$2:$K$295,"ARGH")</f>
        <v>0</v>
      </c>
      <c r="CC33" s="3">
        <f>_xlfn.XLOOKUP(CC$1,generator!$B$2:$B$295,generator!$K$2:$K$295,"ARGH")</f>
        <v>0</v>
      </c>
      <c r="CD33" s="3">
        <f>_xlfn.XLOOKUP(CD$1,generator!$B$2:$B$295,generator!$K$2:$K$295,"ARGH")</f>
        <v>0</v>
      </c>
      <c r="CE33" s="3">
        <f>_xlfn.XLOOKUP(CE$1,generator!$B$2:$B$295,generator!$K$2:$K$295,"ARGH")</f>
        <v>0</v>
      </c>
      <c r="CF33" s="3">
        <f>_xlfn.XLOOKUP(CF$1,generator!$B$2:$B$295,generator!$K$2:$K$295,"ARGH")</f>
        <v>0</v>
      </c>
      <c r="CG33" s="3">
        <f>_xlfn.XLOOKUP(CG$1,generator!$B$2:$B$295,generator!$K$2:$K$295,"ARGH")</f>
        <v>0</v>
      </c>
      <c r="CH33" s="3">
        <f>_xlfn.XLOOKUP(CH$1,generator!$B$2:$B$295,generator!$K$2:$K$295,"ARGH")</f>
        <v>0</v>
      </c>
      <c r="CI33" s="3">
        <f>_xlfn.XLOOKUP(CI$1,generator!$B$2:$B$295,generator!$K$2:$K$295,"ARGH")</f>
        <v>0</v>
      </c>
      <c r="CJ33" s="3">
        <f>_xlfn.XLOOKUP(CJ$1,generator!$B$2:$B$295,generator!$K$2:$K$295,"ARGH")</f>
        <v>0</v>
      </c>
      <c r="CK33" s="3">
        <f>_xlfn.XLOOKUP(CK$1,generator!$B$2:$B$295,generator!$K$2:$K$295,"ARGH")</f>
        <v>0</v>
      </c>
      <c r="CL33" s="3">
        <f>_xlfn.XLOOKUP(CL$1,generator!$B$2:$B$295,generator!$K$2:$K$295,"ARGH")</f>
        <v>0</v>
      </c>
      <c r="CM33" s="3">
        <f>_xlfn.XLOOKUP(CM$1,generator!$B$2:$B$295,generator!$K$2:$K$295,"ARGH")</f>
        <v>0</v>
      </c>
      <c r="CN33" s="3">
        <f>_xlfn.XLOOKUP(CN$1,generator!$B$2:$B$295,generator!$K$2:$K$295,"ARGH")</f>
        <v>0</v>
      </c>
      <c r="CO33" s="3">
        <f>_xlfn.XLOOKUP(CO$1,generator!$B$2:$B$295,generator!$K$2:$K$295,"ARGH")</f>
        <v>0</v>
      </c>
      <c r="CP33" s="3">
        <f>_xlfn.XLOOKUP(CP$1,generator!$B$2:$B$295,generator!$K$2:$K$295,"ARGH")</f>
        <v>0</v>
      </c>
      <c r="CQ33" s="3">
        <f>_xlfn.XLOOKUP(CQ$1,generator!$B$2:$B$295,generator!$K$2:$K$295,"ARGH")</f>
        <v>0</v>
      </c>
      <c r="CR33" s="3">
        <f>_xlfn.XLOOKUP(CR$1,generator!$B$2:$B$295,generator!$K$2:$K$295,"ARGH")</f>
        <v>0</v>
      </c>
      <c r="CS33" s="3">
        <f>_xlfn.XLOOKUP(CS$1,generator!$B$2:$B$295,generator!$K$2:$K$295,"ARGH")</f>
        <v>0</v>
      </c>
      <c r="CT33" s="3">
        <f>_xlfn.XLOOKUP(CT$1,generator!$B$2:$B$295,generator!$K$2:$K$295,"ARGH")</f>
        <v>0</v>
      </c>
      <c r="CU33" s="3">
        <f>_xlfn.XLOOKUP(CU$1,generator!$B$2:$B$295,generator!$K$2:$K$295,"ARGH")</f>
        <v>0</v>
      </c>
      <c r="CV33" s="3">
        <f>_xlfn.XLOOKUP(CV$1,generator!$B$2:$B$295,generator!$K$2:$K$295,"ARGH")</f>
        <v>0</v>
      </c>
      <c r="CW33" s="3">
        <f>_xlfn.XLOOKUP(CW$1,generator!$B$2:$B$295,generator!$K$2:$K$295,"ARGH")</f>
        <v>0</v>
      </c>
      <c r="CX33" s="3">
        <f>_xlfn.XLOOKUP(CX$1,generator!$B$2:$B$295,generator!$K$2:$K$295,"ARGH")</f>
        <v>0</v>
      </c>
      <c r="CY33" s="3">
        <f>_xlfn.XLOOKUP(CY$1,generator!$B$2:$B$295,generator!$K$2:$K$295,"ARGH")</f>
        <v>0</v>
      </c>
      <c r="CZ33" s="3">
        <f>_xlfn.XLOOKUP(CZ$1,generator!$B$2:$B$295,generator!$K$2:$K$295,"ARGH")</f>
        <v>0</v>
      </c>
      <c r="DA33" s="3">
        <f>_xlfn.XLOOKUP(DA$1,generator!$B$2:$B$295,generator!$K$2:$K$295,"ARGH")</f>
        <v>0</v>
      </c>
      <c r="DB33" s="3">
        <f>_xlfn.XLOOKUP(DB$1,generator!$B$2:$B$295,generator!$K$2:$K$295,"ARGH")</f>
        <v>0</v>
      </c>
      <c r="DC33" s="3">
        <f>_xlfn.XLOOKUP(DC$1,generator!$B$2:$B$295,generator!$K$2:$K$295,"ARGH")</f>
        <v>0</v>
      </c>
      <c r="DD33" s="3">
        <f>_xlfn.XLOOKUP(DD$1,generator!$B$2:$B$295,generator!$K$2:$K$295,"ARGH")</f>
        <v>0</v>
      </c>
      <c r="DE33" s="3">
        <f>_xlfn.XLOOKUP(DE$1,generator!$B$2:$B$295,generator!$K$2:$K$295,"ARGH")</f>
        <v>0</v>
      </c>
      <c r="DF33" s="3">
        <f>_xlfn.XLOOKUP(DF$1,generator!$B$2:$B$295,generator!$K$2:$K$295,"ARGH")</f>
        <v>0</v>
      </c>
      <c r="DG33" s="3">
        <f>_xlfn.XLOOKUP(DG$1,generator!$B$2:$B$295,generator!$K$2:$K$295,"ARGH")</f>
        <v>0</v>
      </c>
      <c r="DH33" s="3">
        <f>_xlfn.XLOOKUP(DH$1,generator!$B$2:$B$295,generator!$K$2:$K$295,"ARGH")</f>
        <v>0</v>
      </c>
      <c r="DI33" s="3">
        <f>_xlfn.XLOOKUP(DI$1,generator!$B$2:$B$295,generator!$K$2:$K$295,"ARGH")</f>
        <v>0</v>
      </c>
      <c r="DJ33" s="3">
        <f>_xlfn.XLOOKUP(DJ$1,generator!$B$2:$B$295,generator!$K$2:$K$295,"ARGH")</f>
        <v>0</v>
      </c>
      <c r="DK33" s="3">
        <f>_xlfn.XLOOKUP(DK$1,generator!$B$2:$B$295,generator!$K$2:$K$295,"ARGH")</f>
        <v>0</v>
      </c>
      <c r="DL33" s="3">
        <f>_xlfn.XLOOKUP(DL$1,generator!$B$2:$B$295,generator!$K$2:$K$295,"ARGH")</f>
        <v>0</v>
      </c>
      <c r="DM33" s="3">
        <f>_xlfn.XLOOKUP(DM$1,generator!$B$2:$B$295,generator!$K$2:$K$295,"ARGH")</f>
        <v>0</v>
      </c>
      <c r="DN33" s="3">
        <f>_xlfn.XLOOKUP(DN$1,generator!$B$2:$B$295,generator!$K$2:$K$295,"ARGH")</f>
        <v>0</v>
      </c>
      <c r="DO33" s="3">
        <f>_xlfn.XLOOKUP(DO$1,generator!$B$2:$B$295,generator!$K$2:$K$295,"ARGH")</f>
        <v>0</v>
      </c>
      <c r="DP33" s="3">
        <f>_xlfn.XLOOKUP(DP$1,generator!$B$2:$B$295,generator!$K$2:$K$295,"ARGH")</f>
        <v>0</v>
      </c>
      <c r="DQ33" s="3">
        <f>_xlfn.XLOOKUP(DQ$1,generator!$B$2:$B$295,generator!$K$2:$K$295,"ARGH")</f>
        <v>0</v>
      </c>
      <c r="DR33" s="3">
        <f>_xlfn.XLOOKUP(DR$1,generator!$B$2:$B$295,generator!$K$2:$K$295,"ARGH")</f>
        <v>0</v>
      </c>
      <c r="DS33" s="3">
        <f>_xlfn.XLOOKUP(DS$1,generator!$B$2:$B$295,generator!$K$2:$K$295,"ARGH")</f>
        <v>0</v>
      </c>
      <c r="DT33" s="3">
        <f>_xlfn.XLOOKUP(DT$1,generator!$B$2:$B$295,generator!$K$2:$K$295,"ARGH")</f>
        <v>0</v>
      </c>
      <c r="DU33" s="3">
        <f>_xlfn.XLOOKUP(DU$1,generator!$B$2:$B$295,generator!$K$2:$K$295,"ARGH")</f>
        <v>0</v>
      </c>
      <c r="DV33" s="3">
        <f>_xlfn.XLOOKUP(DV$1,generator!$B$2:$B$295,generator!$K$2:$K$295,"ARGH")</f>
        <v>0</v>
      </c>
      <c r="DW33" s="3">
        <f>_xlfn.XLOOKUP(DW$1,generator!$B$2:$B$295,generator!$K$2:$K$295,"ARGH")</f>
        <v>0</v>
      </c>
      <c r="DX33" s="3">
        <f>_xlfn.XLOOKUP(DX$1,generator!$B$2:$B$295,generator!$K$2:$K$295,"ARGH")</f>
        <v>0</v>
      </c>
      <c r="DY33" s="3">
        <f>_xlfn.XLOOKUP(DY$1,generator!$B$2:$B$295,generator!$K$2:$K$295,"ARGH")</f>
        <v>0</v>
      </c>
      <c r="DZ33" s="3">
        <f>_xlfn.XLOOKUP(DZ$1,generator!$B$2:$B$295,generator!$K$2:$K$295,"ARGH")</f>
        <v>0</v>
      </c>
      <c r="EA33" s="3">
        <f>_xlfn.XLOOKUP(EA$1,generator!$B$2:$B$295,generator!$K$2:$K$295,"ARGH")</f>
        <v>0</v>
      </c>
      <c r="EB33" s="3">
        <f>_xlfn.XLOOKUP(EB$1,generator!$B$2:$B$295,generator!$K$2:$K$295,"ARGH")</f>
        <v>0</v>
      </c>
      <c r="EC33" s="3">
        <f>_xlfn.XLOOKUP(EC$1,generator!$B$2:$B$295,generator!$K$2:$K$295,"ARGH")</f>
        <v>0</v>
      </c>
      <c r="ED33" s="3">
        <f>_xlfn.XLOOKUP(ED$1,generator!$B$2:$B$295,generator!$K$2:$K$295,"ARGH")</f>
        <v>0</v>
      </c>
      <c r="EE33" s="3">
        <f>_xlfn.XLOOKUP(EE$1,generator!$B$2:$B$295,generator!$K$2:$K$295,"ARGH")</f>
        <v>0</v>
      </c>
      <c r="EF33" s="3">
        <f>_xlfn.XLOOKUP(EF$1,generator!$B$2:$B$295,generator!$K$2:$K$295,"ARGH")</f>
        <v>0</v>
      </c>
      <c r="EG33" s="3">
        <f>_xlfn.XLOOKUP(EG$1,generator!$B$2:$B$295,generator!$K$2:$K$295,"ARGH")</f>
        <v>0</v>
      </c>
      <c r="EH33" s="3">
        <f>_xlfn.XLOOKUP(EH$1,generator!$B$2:$B$295,generator!$K$2:$K$295,"ARGH")</f>
        <v>0</v>
      </c>
      <c r="EI33" s="3">
        <f>_xlfn.XLOOKUP(EI$1,generator!$B$2:$B$295,generator!$K$2:$K$295,"ARGH")</f>
        <v>0</v>
      </c>
      <c r="EJ33" s="3">
        <f>_xlfn.XLOOKUP(EJ$1,generator!$B$2:$B$295,generator!$K$2:$K$295,"ARGH")</f>
        <v>0</v>
      </c>
      <c r="EK33" s="3">
        <f>_xlfn.XLOOKUP(EK$1,generator!$B$2:$B$295,generator!$K$2:$K$295,"ARGH")</f>
        <v>0</v>
      </c>
      <c r="EL33" s="3">
        <f>_xlfn.XLOOKUP(EL$1,generator!$B$2:$B$295,generator!$K$2:$K$295,"ARGH")</f>
        <v>0</v>
      </c>
      <c r="EM33" s="3">
        <f>_xlfn.XLOOKUP(EM$1,generator!$B$2:$B$295,generator!$K$2:$K$295,"ARGH")</f>
        <v>0</v>
      </c>
      <c r="EN33" s="3">
        <f>_xlfn.XLOOKUP(EN$1,generator!$B$2:$B$295,generator!$K$2:$K$295,"ARGH")</f>
        <v>0</v>
      </c>
      <c r="EO33" s="3">
        <f>_xlfn.XLOOKUP(EO$1,generator!$B$2:$B$295,generator!$K$2:$K$295,"ARGH")</f>
        <v>0</v>
      </c>
      <c r="EP33" s="3">
        <f>_xlfn.XLOOKUP(EP$1,generator!$B$2:$B$295,generator!$K$2:$K$295,"ARGH")</f>
        <v>0</v>
      </c>
      <c r="EQ33" s="3">
        <f>_xlfn.XLOOKUP(EQ$1,generator!$B$2:$B$295,generator!$K$2:$K$295,"ARGH")</f>
        <v>0</v>
      </c>
      <c r="ER33" s="3">
        <f>_xlfn.XLOOKUP(ER$1,generator!$B$2:$B$295,generator!$K$2:$K$295,"ARGH")</f>
        <v>0</v>
      </c>
      <c r="ES33" s="3">
        <f>_xlfn.XLOOKUP(ES$1,generator!$B$2:$B$295,generator!$K$2:$K$295,"ARGH")</f>
        <v>0</v>
      </c>
      <c r="ET33" s="3">
        <f>_xlfn.XLOOKUP(ET$1,generator!$B$2:$B$295,generator!$K$2:$K$295,"ARGH")</f>
        <v>0</v>
      </c>
      <c r="EU33" s="3">
        <f>_xlfn.XLOOKUP(EU$1,generator!$B$2:$B$295,generator!$K$2:$K$295,"ARGH")</f>
        <v>0</v>
      </c>
      <c r="EV33" s="3">
        <f>_xlfn.XLOOKUP(EV$1,generator!$B$2:$B$295,generator!$K$2:$K$295,"ARGH")</f>
        <v>0</v>
      </c>
      <c r="EW33" s="3">
        <f>_xlfn.XLOOKUP(EW$1,generator!$B$2:$B$295,generator!$K$2:$K$295,"ARGH")</f>
        <v>0</v>
      </c>
      <c r="EX33" s="3">
        <f>_xlfn.XLOOKUP(EX$1,generator!$B$2:$B$295,generator!$K$2:$K$295,"ARGH")</f>
        <v>0</v>
      </c>
      <c r="EY33" s="3">
        <f>_xlfn.XLOOKUP(EY$1,generator!$B$2:$B$295,generator!$K$2:$K$295,"ARGH")</f>
        <v>0</v>
      </c>
      <c r="EZ33" s="3">
        <f>_xlfn.XLOOKUP(EZ$1,generator!$B$2:$B$295,generator!$K$2:$K$295,"ARGH")</f>
        <v>0</v>
      </c>
      <c r="FA33" s="3">
        <f>_xlfn.XLOOKUP(FA$1,generator!$B$2:$B$295,generator!$K$2:$K$295,"ARGH")</f>
        <v>0</v>
      </c>
      <c r="FB33" s="3">
        <f>_xlfn.XLOOKUP(FB$1,generator!$B$2:$B$295,generator!$K$2:$K$295,"ARGH")</f>
        <v>0</v>
      </c>
      <c r="FC33" s="3">
        <f>_xlfn.XLOOKUP(FC$1,generator!$B$2:$B$295,generator!$K$2:$K$295,"ARGH")</f>
        <v>0</v>
      </c>
      <c r="FD33" s="3">
        <f>_xlfn.XLOOKUP(FD$1,generator!$B$2:$B$295,generator!$K$2:$K$295,"ARGH")</f>
        <v>0</v>
      </c>
      <c r="FE33" s="3">
        <f>_xlfn.XLOOKUP(FE$1,generator!$B$2:$B$295,generator!$K$2:$K$295,"ARGH")</f>
        <v>0</v>
      </c>
      <c r="FF33" s="3">
        <f>_xlfn.XLOOKUP(FF$1,generator!$B$2:$B$295,generator!$K$2:$K$295,"ARGH")</f>
        <v>0</v>
      </c>
      <c r="FG33" s="3">
        <f>_xlfn.XLOOKUP(FG$1,generator!$B$2:$B$295,generator!$K$2:$K$295,"ARGH")</f>
        <v>0</v>
      </c>
      <c r="FH33" s="3">
        <f>_xlfn.XLOOKUP(FH$1,generator!$B$2:$B$295,generator!$K$2:$K$295,"ARGH")</f>
        <v>0</v>
      </c>
      <c r="FI33" s="3">
        <f>_xlfn.XLOOKUP(FI$1,generator!$B$2:$B$295,generator!$K$2:$K$295,"ARGH")</f>
        <v>0</v>
      </c>
      <c r="FJ33" s="3">
        <f>_xlfn.XLOOKUP(FJ$1,generator!$B$2:$B$295,generator!$K$2:$K$295,"ARGH")</f>
        <v>0</v>
      </c>
      <c r="FK33" s="3">
        <f>_xlfn.XLOOKUP(FK$1,generator!$B$2:$B$295,generator!$K$2:$K$295,"ARGH")</f>
        <v>0</v>
      </c>
      <c r="FL33" s="3">
        <f>_xlfn.XLOOKUP(FL$1,generator!$B$2:$B$295,generator!$K$2:$K$295,"ARGH")</f>
        <v>0</v>
      </c>
      <c r="FM33" s="3">
        <f>_xlfn.XLOOKUP(FM$1,generator!$B$2:$B$295,generator!$K$2:$K$295,"ARGH")</f>
        <v>0</v>
      </c>
      <c r="FN33" s="3">
        <f>_xlfn.XLOOKUP(FN$1,generator!$B$2:$B$295,generator!$K$2:$K$295,"ARGH")</f>
        <v>0</v>
      </c>
      <c r="FO33" s="3">
        <f>_xlfn.XLOOKUP(FO$1,generator!$B$2:$B$295,generator!$K$2:$K$295,"ARGH")</f>
        <v>0</v>
      </c>
      <c r="FP33" s="3">
        <f>_xlfn.XLOOKUP(FP$1,generator!$B$2:$B$295,generator!$K$2:$K$295,"ARGH")</f>
        <v>0</v>
      </c>
      <c r="FQ33" s="3">
        <f>_xlfn.XLOOKUP(FQ$1,generator!$B$2:$B$295,generator!$K$2:$K$295,"ARGH")</f>
        <v>0</v>
      </c>
      <c r="FR33" s="3">
        <f>_xlfn.XLOOKUP(FR$1,generator!$B$2:$B$295,generator!$K$2:$K$295,"ARGH")</f>
        <v>0</v>
      </c>
      <c r="FS33" s="3">
        <f>_xlfn.XLOOKUP(FS$1,generator!$B$2:$B$295,generator!$K$2:$K$295,"ARGH")</f>
        <v>0</v>
      </c>
      <c r="FT33" s="3">
        <f>_xlfn.XLOOKUP(FT$1,generator!$B$2:$B$295,generator!$K$2:$K$295,"ARGH")</f>
        <v>0</v>
      </c>
      <c r="FU33" s="3">
        <f>_xlfn.XLOOKUP(FU$1,generator!$B$2:$B$295,generator!$K$2:$K$295,"ARGH")</f>
        <v>0</v>
      </c>
      <c r="FV33" s="3">
        <f>_xlfn.XLOOKUP(FV$1,generator!$B$2:$B$295,generator!$K$2:$K$295,"ARGH")</f>
        <v>0</v>
      </c>
      <c r="FW33" s="3">
        <f>_xlfn.XLOOKUP(FW$1,generator!$B$2:$B$295,generator!$K$2:$K$295,"ARGH")</f>
        <v>0</v>
      </c>
      <c r="FX33" s="3">
        <f>_xlfn.XLOOKUP(FX$1,generator!$B$2:$B$295,generator!$K$2:$K$295,"ARGH")</f>
        <v>0</v>
      </c>
      <c r="FY33" s="3">
        <f>_xlfn.XLOOKUP(FY$1,generator!$B$2:$B$295,generator!$K$2:$K$295,"ARGH")</f>
        <v>0</v>
      </c>
      <c r="FZ33" s="3">
        <f>_xlfn.XLOOKUP(FZ$1,generator!$B$2:$B$295,generator!$K$2:$K$295,"ARGH")</f>
        <v>0</v>
      </c>
      <c r="GA33" s="3">
        <f>_xlfn.XLOOKUP(GA$1,generator!$B$2:$B$295,generator!$K$2:$K$295,"ARGH")</f>
        <v>0</v>
      </c>
      <c r="GB33" s="3">
        <f>_xlfn.XLOOKUP(GB$1,generator!$B$2:$B$295,generator!$K$2:$K$295,"ARGH")</f>
        <v>0</v>
      </c>
      <c r="GC33" s="3">
        <f>_xlfn.XLOOKUP(GC$1,generator!$B$2:$B$295,generator!$K$2:$K$295,"ARGH")</f>
        <v>0</v>
      </c>
      <c r="GD33" s="3">
        <f>_xlfn.XLOOKUP(GD$1,generator!$B$2:$B$295,generator!$K$2:$K$295,"ARGH")</f>
        <v>0</v>
      </c>
      <c r="GE33" s="3">
        <f>_xlfn.XLOOKUP(GE$1,generator!$B$2:$B$295,generator!$K$2:$K$295,"ARGH")</f>
        <v>0</v>
      </c>
      <c r="GF33" s="3">
        <f>_xlfn.XLOOKUP(GF$1,generator!$B$2:$B$295,generator!$K$2:$K$295,"ARGH")</f>
        <v>0</v>
      </c>
      <c r="GG33" s="3">
        <f>_xlfn.XLOOKUP(GG$1,generator!$B$2:$B$295,generator!$K$2:$K$295,"ARGH")</f>
        <v>0</v>
      </c>
      <c r="GH33" s="3">
        <f>_xlfn.XLOOKUP(GH$1,generator!$B$2:$B$295,generator!$K$2:$K$295,"ARGH")</f>
        <v>0</v>
      </c>
      <c r="GI33" s="3">
        <f>_xlfn.XLOOKUP(GI$1,generator!$B$2:$B$295,generator!$K$2:$K$295,"ARGH")</f>
        <v>0</v>
      </c>
      <c r="GJ33" s="3">
        <f>_xlfn.XLOOKUP(GJ$1,generator!$B$2:$B$295,generator!$K$2:$K$295,"ARGH")</f>
        <v>0</v>
      </c>
      <c r="GK33" s="3">
        <f>_xlfn.XLOOKUP(GK$1,generator!$B$2:$B$295,generator!$K$2:$K$295,"ARGH")</f>
        <v>0</v>
      </c>
      <c r="GL33" s="3">
        <f>_xlfn.XLOOKUP(GL$1,generator!$B$2:$B$295,generator!$K$2:$K$295,"ARGH")</f>
        <v>0</v>
      </c>
      <c r="GM33" s="3">
        <f>_xlfn.XLOOKUP(GM$1,generator!$B$2:$B$295,generator!$K$2:$K$295,"ARGH")</f>
        <v>0</v>
      </c>
      <c r="GN33" s="3">
        <f>_xlfn.XLOOKUP(GN$1,generator!$B$2:$B$295,generator!$K$2:$K$295,"ARGH")</f>
        <v>0</v>
      </c>
      <c r="GO33" s="3">
        <f>_xlfn.XLOOKUP(GO$1,generator!$B$2:$B$295,generator!$K$2:$K$295,"ARGH")</f>
        <v>0</v>
      </c>
      <c r="GP33" s="3">
        <f>_xlfn.XLOOKUP(GP$1,generator!$B$2:$B$295,generator!$K$2:$K$295,"ARGH")</f>
        <v>0</v>
      </c>
      <c r="GQ33" s="3">
        <f>_xlfn.XLOOKUP(GQ$1,generator!$B$2:$B$295,generator!$K$2:$K$295,"ARGH")</f>
        <v>0</v>
      </c>
      <c r="GR33" s="3">
        <f>_xlfn.XLOOKUP(GR$1,generator!$B$2:$B$295,generator!$K$2:$K$295,"ARGH")</f>
        <v>0</v>
      </c>
      <c r="GS33" s="3">
        <f>_xlfn.XLOOKUP(GS$1,generator!$B$2:$B$295,generator!$K$2:$K$295,"ARGH")</f>
        <v>0</v>
      </c>
      <c r="GT33" s="3">
        <f>_xlfn.XLOOKUP(GT$1,generator!$B$2:$B$295,generator!$K$2:$K$295,"ARGH")</f>
        <v>0</v>
      </c>
      <c r="GU33" s="3">
        <f>_xlfn.XLOOKUP(GU$1,generator!$B$2:$B$295,generator!$K$2:$K$295,"ARGH")</f>
        <v>0</v>
      </c>
      <c r="GV33" s="3">
        <f>_xlfn.XLOOKUP(GV$1,generator!$B$2:$B$295,generator!$K$2:$K$295,"ARGH")</f>
        <v>0</v>
      </c>
      <c r="GW33" s="3">
        <f>_xlfn.XLOOKUP(GW$1,generator!$B$2:$B$295,generator!$K$2:$K$295,"ARGH")</f>
        <v>0</v>
      </c>
      <c r="GX33" s="3">
        <f>_xlfn.XLOOKUP(GX$1,generator!$B$2:$B$295,generator!$K$2:$K$295,"ARGH")</f>
        <v>0</v>
      </c>
      <c r="GY33" s="3">
        <f>_xlfn.XLOOKUP(GY$1,generator!$B$2:$B$295,generator!$K$2:$K$295,"ARGH")</f>
        <v>0</v>
      </c>
      <c r="GZ33" s="3">
        <f>_xlfn.XLOOKUP(GZ$1,generator!$B$2:$B$295,generator!$K$2:$K$295,"ARGH")</f>
        <v>0</v>
      </c>
      <c r="HA33" s="3">
        <f>_xlfn.XLOOKUP(HA$1,generator!$B$2:$B$295,generator!$K$2:$K$295,"ARGH")</f>
        <v>0</v>
      </c>
      <c r="HB33" s="3">
        <f>_xlfn.XLOOKUP(HB$1,generator!$B$2:$B$295,generator!$K$2:$K$295,"ARGH")</f>
        <v>0</v>
      </c>
      <c r="HC33" s="3">
        <f>_xlfn.XLOOKUP(HC$1,generator!$B$2:$B$295,generator!$K$2:$K$295,"ARGH")</f>
        <v>0</v>
      </c>
      <c r="HD33" s="3">
        <f>_xlfn.XLOOKUP(HD$1,generator!$B$2:$B$295,generator!$K$2:$K$295,"ARGH")</f>
        <v>0</v>
      </c>
      <c r="HE33" s="3">
        <f>_xlfn.XLOOKUP(HE$1,generator!$B$2:$B$295,generator!$K$2:$K$295,"ARGH")</f>
        <v>12.74</v>
      </c>
      <c r="HF33" s="3">
        <f>_xlfn.XLOOKUP(HF$1,generator!$B$2:$B$295,generator!$K$2:$K$295,"ARGH")</f>
        <v>99</v>
      </c>
      <c r="HG33" s="3">
        <f>_xlfn.XLOOKUP(HG$1,generator!$B$2:$B$295,generator!$K$2:$K$295,"ARGH")</f>
        <v>99</v>
      </c>
      <c r="HH33" s="3">
        <f>_xlfn.XLOOKUP(HH$1,generator!$B$2:$B$295,generator!$K$2:$K$295,"ARGH")</f>
        <v>99</v>
      </c>
      <c r="HI33" s="3">
        <f>_xlfn.XLOOKUP(HI$1,generator!$B$2:$B$295,generator!$K$2:$K$295,"ARGH")</f>
        <v>8</v>
      </c>
      <c r="HJ33" s="3">
        <f>_xlfn.XLOOKUP(HJ$1,generator!$B$2:$B$295,generator!$K$2:$K$295,"ARGH")</f>
        <v>8</v>
      </c>
      <c r="HK33" s="3">
        <f>_xlfn.XLOOKUP(HK$1,generator!$B$2:$B$295,generator!$K$2:$K$295,"ARGH")</f>
        <v>8</v>
      </c>
      <c r="HL33" s="3">
        <f>_xlfn.XLOOKUP(HL$1,generator!$B$2:$B$295,generator!$K$2:$K$295,"ARGH")</f>
        <v>20</v>
      </c>
      <c r="HM33" s="3">
        <f>_xlfn.XLOOKUP(HM$1,generator!$B$2:$B$295,generator!$K$2:$K$295,"ARGH")</f>
        <v>20</v>
      </c>
      <c r="HN33" s="3">
        <f>_xlfn.XLOOKUP(HN$1,generator!$B$2:$B$295,generator!$K$2:$K$295,"ARGH")</f>
        <v>5</v>
      </c>
      <c r="HO33" s="3">
        <f>_xlfn.XLOOKUP(HO$1,generator!$B$2:$B$295,generator!$K$2:$K$295,"ARGH")</f>
        <v>5</v>
      </c>
      <c r="HP33" s="3">
        <f>_xlfn.XLOOKUP(HP$1,generator!$B$2:$B$295,generator!$K$2:$K$295,"ARGH")</f>
        <v>0.2</v>
      </c>
      <c r="HQ33" s="3">
        <f>_xlfn.XLOOKUP(HQ$1,generator!$B$2:$B$295,generator!$K$2:$K$295,"ARGH")</f>
        <v>5</v>
      </c>
      <c r="HR33" s="3">
        <f>_xlfn.XLOOKUP(HR$1,generator!$B$2:$B$295,generator!$K$2:$K$295,"ARGH")</f>
        <v>5</v>
      </c>
      <c r="HS33" s="3">
        <f>_xlfn.XLOOKUP(HS$1,generator!$B$2:$B$295,generator!$K$2:$K$295,"ARGH")</f>
        <v>12.82</v>
      </c>
      <c r="HT33" s="3">
        <f>_xlfn.XLOOKUP(HT$1,generator!$B$2:$B$295,generator!$K$2:$K$295,"ARGH")</f>
        <v>12.82</v>
      </c>
      <c r="HU33" s="3">
        <f>_xlfn.XLOOKUP(HU$1,generator!$B$2:$B$295,generator!$K$2:$K$295,"ARGH")</f>
        <v>25</v>
      </c>
      <c r="HV33" s="3">
        <f>_xlfn.XLOOKUP(HV$1,generator!$B$2:$B$295,generator!$K$2:$K$295,"ARGH")</f>
        <v>16</v>
      </c>
      <c r="HW33" s="3">
        <f>_xlfn.XLOOKUP(HW$1,generator!$B$2:$B$295,generator!$K$2:$K$295,"ARGH")</f>
        <v>5</v>
      </c>
      <c r="HX33" s="3">
        <f>_xlfn.XLOOKUP(HX$1,generator!$B$2:$B$295,generator!$K$2:$K$295,"ARGH")</f>
        <v>5</v>
      </c>
      <c r="HY33" s="3">
        <f>_xlfn.XLOOKUP(HY$1,generator!$B$2:$B$295,generator!$K$2:$K$295,"ARGH")</f>
        <v>63</v>
      </c>
      <c r="HZ33" s="3">
        <f>_xlfn.XLOOKUP(HZ$1,generator!$B$2:$B$295,generator!$K$2:$K$295,"ARGH")</f>
        <v>18</v>
      </c>
      <c r="IA33" s="3">
        <f>_xlfn.XLOOKUP(IA$1,generator!$B$2:$B$295,generator!$K$2:$K$295,"ARGH")</f>
        <v>121</v>
      </c>
      <c r="IB33" s="3">
        <f>_xlfn.XLOOKUP(IB$1,generator!$B$2:$B$295,generator!$K$2:$K$295,"ARGH")</f>
        <v>120</v>
      </c>
      <c r="IC33" s="3">
        <f>_xlfn.XLOOKUP(IC$1,generator!$B$2:$B$295,generator!$K$2:$K$295,"ARGH")</f>
        <v>0</v>
      </c>
      <c r="ID33" s="3">
        <f>_xlfn.XLOOKUP(ID$1,generator!$B$2:$B$295,generator!$K$2:$K$295,"ARGH")</f>
        <v>17</v>
      </c>
      <c r="IE33" s="3">
        <f>_xlfn.XLOOKUP(IE$1,generator!$B$2:$B$295,generator!$K$2:$K$295,"ARGH")</f>
        <v>194</v>
      </c>
      <c r="IF33" s="3">
        <f>_xlfn.XLOOKUP(IF$1,generator!$B$2:$B$295,generator!$K$2:$K$295,"ARGH")</f>
        <v>11.9</v>
      </c>
      <c r="IG33" s="3">
        <f>_xlfn.XLOOKUP(IG$1,generator!$B$2:$B$295,generator!$K$2:$K$295,"ARGH")</f>
        <v>11.9</v>
      </c>
      <c r="IH33" s="3">
        <f>_xlfn.XLOOKUP(IH$1,generator!$B$2:$B$295,generator!$K$2:$K$295,"ARGH")</f>
        <v>11.9</v>
      </c>
      <c r="II33" s="3">
        <f>_xlfn.XLOOKUP(II$1,generator!$B$2:$B$295,generator!$K$2:$K$295,"ARGH")</f>
        <v>11.9</v>
      </c>
      <c r="IJ33" s="3">
        <f>_xlfn.XLOOKUP(IJ$1,generator!$B$2:$B$295,generator!$K$2:$K$295,"ARGH")</f>
        <v>0</v>
      </c>
      <c r="IK33" s="3">
        <f>_xlfn.XLOOKUP(IK$1,generator!$B$2:$B$295,generator!$K$2:$K$295,"ARGH")</f>
        <v>3</v>
      </c>
      <c r="IL33" s="3">
        <f>_xlfn.XLOOKUP(IL$1,generator!$B$2:$B$295,generator!$K$2:$K$295,"ARGH")</f>
        <v>5</v>
      </c>
      <c r="IM33" s="3">
        <f>_xlfn.XLOOKUP(IM$1,generator!$B$2:$B$295,generator!$K$2:$K$295,"ARGH")</f>
        <v>5</v>
      </c>
      <c r="IN33" s="3">
        <f>_xlfn.XLOOKUP(IN$1,generator!$B$2:$B$295,generator!$K$2:$K$295,"ARGH")</f>
        <v>4</v>
      </c>
      <c r="IO33" s="3">
        <f>_xlfn.XLOOKUP(IO$1,generator!$B$2:$B$295,generator!$K$2:$K$295,"ARGH")</f>
        <v>4</v>
      </c>
      <c r="IP33" s="3">
        <f>_xlfn.XLOOKUP(IP$1,generator!$B$2:$B$295,generator!$K$2:$K$295,"ARGH")</f>
        <v>3</v>
      </c>
      <c r="IQ33" s="3">
        <f>_xlfn.XLOOKUP(IQ$1,generator!$B$2:$B$295,generator!$K$2:$K$295,"ARGH")</f>
        <v>1</v>
      </c>
      <c r="IR33" s="3">
        <f>_xlfn.XLOOKUP(IR$1,generator!$B$2:$B$295,generator!$K$2:$K$295,"ARGH")</f>
        <v>3</v>
      </c>
      <c r="IS33" s="3">
        <f>_xlfn.XLOOKUP(IS$1,generator!$B$2:$B$295,generator!$K$2:$K$295,"ARGH")</f>
        <v>3</v>
      </c>
      <c r="IT33" s="3">
        <f>_xlfn.XLOOKUP(IT$1,generator!$B$2:$B$295,generator!$K$2:$K$295,"ARGH")</f>
        <v>0</v>
      </c>
      <c r="IU33" s="3">
        <f>_xlfn.XLOOKUP(IU$1,generator!$B$2:$B$295,generator!$K$2:$K$295,"ARGH")</f>
        <v>3.99</v>
      </c>
      <c r="IV33" s="3">
        <f>_xlfn.XLOOKUP(IV$1,generator!$B$2:$B$295,generator!$K$2:$K$295,"ARGH")</f>
        <v>0.2</v>
      </c>
      <c r="IW33" s="3">
        <f>_xlfn.XLOOKUP(IW$1,generator!$B$2:$B$295,generator!$K$2:$K$295,"ARGH")</f>
        <v>15</v>
      </c>
      <c r="IX33" s="3">
        <f>_xlfn.XLOOKUP(IX$1,generator!$B$2:$B$295,generator!$K$2:$K$295,"ARGH")</f>
        <v>15</v>
      </c>
      <c r="IY33" s="3">
        <f>_xlfn.XLOOKUP(IY$1,generator!$B$2:$B$295,generator!$K$2:$K$295,"ARGH")</f>
        <v>15</v>
      </c>
      <c r="IZ33" s="3">
        <f>_xlfn.XLOOKUP(IZ$1,generator!$B$2:$B$295,generator!$K$2:$K$295,"ARGH")</f>
        <v>120</v>
      </c>
      <c r="JA33" s="3">
        <f>_xlfn.XLOOKUP(JA$1,generator!$B$2:$B$295,generator!$K$2:$K$295,"ARGH")</f>
        <v>40</v>
      </c>
      <c r="JB33" s="3">
        <f>_xlfn.XLOOKUP(JB$1,generator!$B$2:$B$295,generator!$K$2:$K$295,"ARGH")</f>
        <v>40</v>
      </c>
      <c r="JC33" s="3">
        <f>_xlfn.XLOOKUP(JC$1,generator!$B$2:$B$295,generator!$K$2:$K$295,"ARGH")</f>
        <v>113</v>
      </c>
      <c r="JD33" s="3">
        <f>_xlfn.XLOOKUP(JD$1,generator!$B$2:$B$295,generator!$K$2:$K$295,"ARGH")</f>
        <v>113</v>
      </c>
      <c r="JE33" s="3">
        <f>_xlfn.XLOOKUP(JE$1,generator!$B$2:$B$295,generator!$K$2:$K$295,"ARGH")</f>
        <v>211</v>
      </c>
      <c r="JF33" s="3">
        <f>_xlfn.XLOOKUP(JF$1,generator!$B$2:$B$295,generator!$K$2:$K$295,"ARGH")</f>
        <v>22.5</v>
      </c>
      <c r="JG33" s="3">
        <f>_xlfn.XLOOKUP(JG$1,generator!$B$2:$B$295,generator!$K$2:$K$295,"ARGH")</f>
        <v>1</v>
      </c>
      <c r="JH33" s="3">
        <f>_xlfn.XLOOKUP(JH$1,generator!$B$2:$B$295,generator!$K$2:$K$295,"ARGH")</f>
        <v>160</v>
      </c>
      <c r="JI33" s="3">
        <f>_xlfn.XLOOKUP(JI$1,generator!$B$2:$B$295,generator!$K$2:$K$295,"ARGH")</f>
        <v>165</v>
      </c>
      <c r="JJ33" s="3">
        <f>_xlfn.XLOOKUP(JJ$1,generator!$B$2:$B$295,generator!$K$2:$K$295,"ARGH")</f>
        <v>4.5999999999999996</v>
      </c>
      <c r="JK33" s="3">
        <f>_xlfn.XLOOKUP(JK$1,generator!$B$2:$B$295,generator!$K$2:$K$295,"ARGH")</f>
        <v>4.5999999999999996</v>
      </c>
      <c r="JL33" s="3">
        <f>_xlfn.XLOOKUP(JL$1,generator!$B$2:$B$295,generator!$K$2:$K$295,"ARGH")</f>
        <v>4.5999999999999996</v>
      </c>
      <c r="JM33" s="3">
        <f>_xlfn.XLOOKUP(JM$1,generator!$B$2:$B$295,generator!$K$2:$K$295,"ARGH")</f>
        <v>4.5999999999999996</v>
      </c>
      <c r="JN33" s="3">
        <f>_xlfn.XLOOKUP(JN$1,generator!$B$2:$B$295,generator!$K$2:$K$295,"ARGH")</f>
        <v>4.5999999999999996</v>
      </c>
      <c r="JO33" s="3">
        <f>_xlfn.XLOOKUP(JO$1,generator!$B$2:$B$295,generator!$K$2:$K$295,"ARGH")</f>
        <v>4.5999999999999996</v>
      </c>
      <c r="JP33" s="3">
        <f>_xlfn.XLOOKUP(JP$1,generator!$B$2:$B$295,generator!$K$2:$K$295,"ARGH")</f>
        <v>110</v>
      </c>
      <c r="JQ33" s="3">
        <f>_xlfn.XLOOKUP(JQ$1,generator!$B$2:$B$295,generator!$K$2:$K$295,"ARGH")</f>
        <v>22.7</v>
      </c>
      <c r="JR33" s="3">
        <f>_xlfn.XLOOKUP(JR$1,generator!$B$2:$B$295,generator!$K$2:$K$295,"ARGH")</f>
        <v>147</v>
      </c>
      <c r="JS33" s="3">
        <f>_xlfn.XLOOKUP(JS$1,generator!$B$2:$B$295,generator!$K$2:$K$295,"ARGH")</f>
        <v>147</v>
      </c>
      <c r="JT33" s="3">
        <f>_xlfn.XLOOKUP(JT$1,generator!$B$2:$B$295,generator!$K$2:$K$295,"ARGH")</f>
        <v>22.7</v>
      </c>
      <c r="JU33" s="3">
        <f>_xlfn.XLOOKUP(JU$1,generator!$B$2:$B$295,generator!$K$2:$K$295,"ARGH")</f>
        <v>21.5</v>
      </c>
      <c r="JV33" s="3">
        <f>_xlfn.XLOOKUP(JV$1,generator!$B$2:$B$295,generator!$K$2:$K$295,"ARGH")</f>
        <v>120</v>
      </c>
      <c r="JW33" s="3">
        <f>_xlfn.XLOOKUP(JW$1,generator!$B$2:$B$295,generator!$K$2:$K$295,"ARGH")</f>
        <v>120</v>
      </c>
      <c r="JX33" s="3">
        <f>_xlfn.XLOOKUP(JX$1,generator!$B$2:$B$295,generator!$K$2:$K$295,"ARGH")</f>
        <v>1</v>
      </c>
      <c r="JY33" s="3">
        <f>_xlfn.XLOOKUP(JY$1,generator!$B$2:$B$295,generator!$K$2:$K$295,"ARGH")</f>
        <v>41.15</v>
      </c>
      <c r="JZ33" s="3">
        <f>_xlfn.XLOOKUP(JZ$1,generator!$B$2:$B$295,generator!$K$2:$K$295,"ARGH")</f>
        <v>5</v>
      </c>
      <c r="KA33" s="3">
        <f>_xlfn.XLOOKUP(KA$1,generator!$B$2:$B$295,generator!$K$2:$K$295,"ARGH")</f>
        <v>5</v>
      </c>
      <c r="KB33" s="3">
        <f>_xlfn.XLOOKUP(KB$1,generator!$B$2:$B$295,generator!$K$2:$K$295,"ARGH")</f>
        <v>5</v>
      </c>
      <c r="KC33" s="3">
        <f>_xlfn.XLOOKUP(KC$1,generator!$B$2:$B$295,generator!$K$2:$K$295,"ARGH")</f>
        <v>5</v>
      </c>
    </row>
    <row r="34" spans="1:289" x14ac:dyDescent="0.3">
      <c r="A34" s="4" t="s">
        <v>3029</v>
      </c>
      <c r="B34" s="31">
        <v>494</v>
      </c>
      <c r="C34" s="31">
        <v>513</v>
      </c>
      <c r="D34" s="31">
        <v>442</v>
      </c>
      <c r="E34" s="3">
        <f>_xlfn.XLOOKUP(E$1,generator!$B$2:$B$295,generator!$K$2:$K$295,"ARGH")</f>
        <v>0</v>
      </c>
      <c r="F34" s="3">
        <f>_xlfn.XLOOKUP(F$1,generator!$B$2:$B$295,generator!$K$2:$K$295,"ARGH")</f>
        <v>0</v>
      </c>
      <c r="G34" s="3">
        <f>_xlfn.XLOOKUP(G$1,generator!$B$2:$B$295,generator!$K$2:$K$295,"ARGH")</f>
        <v>0</v>
      </c>
      <c r="H34" s="3">
        <f>_xlfn.XLOOKUP(H$1,generator!$B$2:$B$295,generator!$K$2:$K$295,"ARGH")</f>
        <v>0</v>
      </c>
      <c r="I34" s="3">
        <f>_xlfn.XLOOKUP(I$1,generator!$B$2:$B$295,generator!$K$2:$K$295,"ARGH")</f>
        <v>0</v>
      </c>
      <c r="J34" s="3">
        <f>_xlfn.XLOOKUP(J$1,generator!$B$2:$B$295,generator!$K$2:$K$295,"ARGH")</f>
        <v>0</v>
      </c>
      <c r="K34" s="3">
        <f>_xlfn.XLOOKUP(K$1,generator!$B$2:$B$295,generator!$K$2:$K$295,"ARGH")</f>
        <v>0</v>
      </c>
      <c r="L34" s="3">
        <f>_xlfn.XLOOKUP(L$1,generator!$B$2:$B$295,generator!$K$2:$K$295,"ARGH")</f>
        <v>0</v>
      </c>
      <c r="M34" s="3">
        <f>_xlfn.XLOOKUP(M$1,generator!$B$2:$B$295,generator!$K$2:$K$295,"ARGH")</f>
        <v>0</v>
      </c>
      <c r="N34" s="3">
        <f>_xlfn.XLOOKUP(N$1,generator!$B$2:$B$295,generator!$K$2:$K$295,"ARGH")</f>
        <v>0</v>
      </c>
      <c r="O34" s="3">
        <f>_xlfn.XLOOKUP(O$1,generator!$B$2:$B$295,generator!$K$2:$K$295,"ARGH")</f>
        <v>0</v>
      </c>
      <c r="P34" s="3">
        <f>_xlfn.XLOOKUP(P$1,generator!$B$2:$B$295,generator!$K$2:$K$295,"ARGH")</f>
        <v>0</v>
      </c>
      <c r="Q34" s="3">
        <f>_xlfn.XLOOKUP(Q$1,generator!$B$2:$B$295,generator!$K$2:$K$295,"ARGH")</f>
        <v>0</v>
      </c>
      <c r="R34" s="3">
        <f>_xlfn.XLOOKUP(R$1,generator!$B$2:$B$295,generator!$K$2:$K$295,"ARGH")</f>
        <v>0</v>
      </c>
      <c r="S34" s="3">
        <f>_xlfn.XLOOKUP(S$1,generator!$B$2:$B$295,generator!$K$2:$K$295,"ARGH")</f>
        <v>0</v>
      </c>
      <c r="T34" s="3">
        <f>_xlfn.XLOOKUP(T$1,generator!$B$2:$B$295,generator!$K$2:$K$295,"ARGH")</f>
        <v>0</v>
      </c>
      <c r="U34" s="3">
        <f>_xlfn.XLOOKUP(U$1,generator!$B$2:$B$295,generator!$K$2:$K$295,"ARGH")</f>
        <v>0</v>
      </c>
      <c r="V34" s="3">
        <f>_xlfn.XLOOKUP(V$1,generator!$B$2:$B$295,generator!$K$2:$K$295,"ARGH")</f>
        <v>0</v>
      </c>
      <c r="W34" s="3">
        <f>_xlfn.XLOOKUP(W$1,generator!$B$2:$B$295,generator!$K$2:$K$295,"ARGH")</f>
        <v>0</v>
      </c>
      <c r="X34" s="3">
        <f>_xlfn.XLOOKUP(X$1,generator!$B$2:$B$295,generator!$K$2:$K$295,"ARGH")</f>
        <v>0</v>
      </c>
      <c r="Y34" s="3">
        <f>_xlfn.XLOOKUP(Y$1,generator!$B$2:$B$295,generator!$K$2:$K$295,"ARGH")</f>
        <v>0</v>
      </c>
      <c r="Z34" s="3">
        <f>_xlfn.XLOOKUP(Z$1,generator!$B$2:$B$295,generator!$K$2:$K$295,"ARGH")</f>
        <v>0</v>
      </c>
      <c r="AA34" s="3">
        <f>_xlfn.XLOOKUP(AA$1,generator!$B$2:$B$295,generator!$K$2:$K$295,"ARGH")</f>
        <v>0</v>
      </c>
      <c r="AB34" s="3">
        <f>_xlfn.XLOOKUP(AB$1,generator!$B$2:$B$295,generator!$K$2:$K$295,"ARGH")</f>
        <v>0</v>
      </c>
      <c r="AC34" s="3">
        <f>_xlfn.XLOOKUP(AC$1,generator!$B$2:$B$295,generator!$K$2:$K$295,"ARGH")</f>
        <v>0</v>
      </c>
      <c r="AD34" s="3">
        <f>_xlfn.XLOOKUP(AD$1,generator!$B$2:$B$295,generator!$K$2:$K$295,"ARGH")</f>
        <v>0</v>
      </c>
      <c r="AE34" s="3">
        <f>_xlfn.XLOOKUP(AE$1,generator!$B$2:$B$295,generator!$K$2:$K$295,"ARGH")</f>
        <v>0</v>
      </c>
      <c r="AF34" s="3">
        <f>_xlfn.XLOOKUP(AF$1,generator!$B$2:$B$295,generator!$K$2:$K$295,"ARGH")</f>
        <v>0</v>
      </c>
      <c r="AG34" s="3">
        <f>_xlfn.XLOOKUP(AG$1,generator!$B$2:$B$295,generator!$K$2:$K$295,"ARGH")</f>
        <v>0</v>
      </c>
      <c r="AH34" s="3">
        <f>_xlfn.XLOOKUP(AH$1,generator!$B$2:$B$295,generator!$K$2:$K$295,"ARGH")</f>
        <v>0</v>
      </c>
      <c r="AI34" s="3">
        <f>_xlfn.XLOOKUP(AI$1,generator!$B$2:$B$295,generator!$K$2:$K$295,"ARGH")</f>
        <v>0</v>
      </c>
      <c r="AJ34" s="3">
        <f>_xlfn.XLOOKUP(AJ$1,generator!$B$2:$B$295,generator!$K$2:$K$295,"ARGH")</f>
        <v>0</v>
      </c>
      <c r="AK34" s="3">
        <f>_xlfn.XLOOKUP(AK$1,generator!$B$2:$B$295,generator!$K$2:$K$295,"ARGH")</f>
        <v>0</v>
      </c>
      <c r="AL34" s="3">
        <f>_xlfn.XLOOKUP(AL$1,generator!$B$2:$B$295,generator!$K$2:$K$295,"ARGH")</f>
        <v>0</v>
      </c>
      <c r="AM34" s="3">
        <f>_xlfn.XLOOKUP(AM$1,generator!$B$2:$B$295,generator!$K$2:$K$295,"ARGH")</f>
        <v>0</v>
      </c>
      <c r="AN34" s="3">
        <f>_xlfn.XLOOKUP(AN$1,generator!$B$2:$B$295,generator!$K$2:$K$295,"ARGH")</f>
        <v>0</v>
      </c>
      <c r="AO34" s="3">
        <f>_xlfn.XLOOKUP(AO$1,generator!$B$2:$B$295,generator!$K$2:$K$295,"ARGH")</f>
        <v>0</v>
      </c>
      <c r="AP34" s="3">
        <f>_xlfn.XLOOKUP(AP$1,generator!$B$2:$B$295,generator!$K$2:$K$295,"ARGH")</f>
        <v>0</v>
      </c>
      <c r="AQ34" s="3">
        <f>_xlfn.XLOOKUP(AQ$1,generator!$B$2:$B$295,generator!$K$2:$K$295,"ARGH")</f>
        <v>0</v>
      </c>
      <c r="AR34" s="3">
        <f>_xlfn.XLOOKUP(AR$1,generator!$B$2:$B$295,generator!$K$2:$K$295,"ARGH")</f>
        <v>0</v>
      </c>
      <c r="AS34" s="3">
        <f>_xlfn.XLOOKUP(AS$1,generator!$B$2:$B$295,generator!$K$2:$K$295,"ARGH")</f>
        <v>0</v>
      </c>
      <c r="AT34" s="3">
        <f>_xlfn.XLOOKUP(AT$1,generator!$B$2:$B$295,generator!$K$2:$K$295,"ARGH")</f>
        <v>0</v>
      </c>
      <c r="AU34" s="3">
        <f>_xlfn.XLOOKUP(AU$1,generator!$B$2:$B$295,generator!$K$2:$K$295,"ARGH")</f>
        <v>0</v>
      </c>
      <c r="AV34" s="3">
        <f>_xlfn.XLOOKUP(AV$1,generator!$B$2:$B$295,generator!$K$2:$K$295,"ARGH")</f>
        <v>0</v>
      </c>
      <c r="AW34" s="3">
        <f>_xlfn.XLOOKUP(AW$1,generator!$B$2:$B$295,generator!$K$2:$K$295,"ARGH")</f>
        <v>0</v>
      </c>
      <c r="AX34" s="3">
        <f>_xlfn.XLOOKUP(AX$1,generator!$B$2:$B$295,generator!$K$2:$K$295,"ARGH")</f>
        <v>0</v>
      </c>
      <c r="AY34" s="3">
        <f>_xlfn.XLOOKUP(AY$1,generator!$B$2:$B$295,generator!$K$2:$K$295,"ARGH")</f>
        <v>0</v>
      </c>
      <c r="AZ34" s="3">
        <f>_xlfn.XLOOKUP(AZ$1,generator!$B$2:$B$295,generator!$K$2:$K$295,"ARGH")</f>
        <v>0</v>
      </c>
      <c r="BA34" s="3">
        <f>_xlfn.XLOOKUP(BA$1,generator!$B$2:$B$295,generator!$K$2:$K$295,"ARGH")</f>
        <v>0</v>
      </c>
      <c r="BB34" s="3">
        <f>_xlfn.XLOOKUP(BB$1,generator!$B$2:$B$295,generator!$K$2:$K$295,"ARGH")</f>
        <v>0</v>
      </c>
      <c r="BC34" s="3">
        <f>_xlfn.XLOOKUP(BC$1,generator!$B$2:$B$295,generator!$K$2:$K$295,"ARGH")</f>
        <v>0</v>
      </c>
      <c r="BD34" s="3">
        <f>_xlfn.XLOOKUP(BD$1,generator!$B$2:$B$295,generator!$K$2:$K$295,"ARGH")</f>
        <v>0</v>
      </c>
      <c r="BE34" s="3">
        <f>_xlfn.XLOOKUP(BE$1,generator!$B$2:$B$295,generator!$K$2:$K$295,"ARGH")</f>
        <v>0</v>
      </c>
      <c r="BF34" s="3">
        <f>_xlfn.XLOOKUP(BF$1,generator!$B$2:$B$295,generator!$K$2:$K$295,"ARGH")</f>
        <v>0</v>
      </c>
      <c r="BG34" s="3">
        <f>_xlfn.XLOOKUP(BG$1,generator!$B$2:$B$295,generator!$K$2:$K$295,"ARGH")</f>
        <v>0</v>
      </c>
      <c r="BH34" s="3">
        <f>_xlfn.XLOOKUP(BH$1,generator!$B$2:$B$295,generator!$K$2:$K$295,"ARGH")</f>
        <v>0</v>
      </c>
      <c r="BI34" s="3">
        <f>_xlfn.XLOOKUP(BI$1,generator!$B$2:$B$295,generator!$K$2:$K$295,"ARGH")</f>
        <v>0</v>
      </c>
      <c r="BJ34" s="3">
        <f>_xlfn.XLOOKUP(BJ$1,generator!$B$2:$B$295,generator!$K$2:$K$295,"ARGH")</f>
        <v>0</v>
      </c>
      <c r="BK34" s="3">
        <f>_xlfn.XLOOKUP(BK$1,generator!$B$2:$B$295,generator!$K$2:$K$295,"ARGH")</f>
        <v>0</v>
      </c>
      <c r="BL34" s="3">
        <f>_xlfn.XLOOKUP(BL$1,generator!$B$2:$B$295,generator!$K$2:$K$295,"ARGH")</f>
        <v>0</v>
      </c>
      <c r="BM34" s="3">
        <f>_xlfn.XLOOKUP(BM$1,generator!$B$2:$B$295,generator!$K$2:$K$295,"ARGH")</f>
        <v>0</v>
      </c>
      <c r="BN34" s="3">
        <f>_xlfn.XLOOKUP(BN$1,generator!$B$2:$B$295,generator!$K$2:$K$295,"ARGH")</f>
        <v>0</v>
      </c>
      <c r="BO34" s="3">
        <f>_xlfn.XLOOKUP(BO$1,generator!$B$2:$B$295,generator!$K$2:$K$295,"ARGH")</f>
        <v>0</v>
      </c>
      <c r="BP34" s="3">
        <f>_xlfn.XLOOKUP(BP$1,generator!$B$2:$B$295,generator!$K$2:$K$295,"ARGH")</f>
        <v>0</v>
      </c>
      <c r="BQ34" s="3">
        <f>_xlfn.XLOOKUP(BQ$1,generator!$B$2:$B$295,generator!$K$2:$K$295,"ARGH")</f>
        <v>0</v>
      </c>
      <c r="BR34" s="3">
        <f>_xlfn.XLOOKUP(BR$1,generator!$B$2:$B$295,generator!$K$2:$K$295,"ARGH")</f>
        <v>0</v>
      </c>
      <c r="BS34" s="3">
        <f>_xlfn.XLOOKUP(BS$1,generator!$B$2:$B$295,generator!$K$2:$K$295,"ARGH")</f>
        <v>0</v>
      </c>
      <c r="BT34" s="3">
        <f>_xlfn.XLOOKUP(BT$1,generator!$B$2:$B$295,generator!$K$2:$K$295,"ARGH")</f>
        <v>0</v>
      </c>
      <c r="BU34" s="3">
        <f>_xlfn.XLOOKUP(BU$1,generator!$B$2:$B$295,generator!$K$2:$K$295,"ARGH")</f>
        <v>0</v>
      </c>
      <c r="BV34" s="3">
        <f>_xlfn.XLOOKUP(BV$1,generator!$B$2:$B$295,generator!$K$2:$K$295,"ARGH")</f>
        <v>0</v>
      </c>
      <c r="BW34" s="3">
        <f>_xlfn.XLOOKUP(BW$1,generator!$B$2:$B$295,generator!$K$2:$K$295,"ARGH")</f>
        <v>0</v>
      </c>
      <c r="BX34" s="3">
        <f>_xlfn.XLOOKUP(BX$1,generator!$B$2:$B$295,generator!$K$2:$K$295,"ARGH")</f>
        <v>0</v>
      </c>
      <c r="BY34" s="3">
        <f>_xlfn.XLOOKUP(BY$1,generator!$B$2:$B$295,generator!$K$2:$K$295,"ARGH")</f>
        <v>0</v>
      </c>
      <c r="BZ34" s="3">
        <f>_xlfn.XLOOKUP(BZ$1,generator!$B$2:$B$295,generator!$K$2:$K$295,"ARGH")</f>
        <v>0</v>
      </c>
      <c r="CA34" s="3">
        <f>_xlfn.XLOOKUP(CA$1,generator!$B$2:$B$295,generator!$K$2:$K$295,"ARGH")</f>
        <v>0</v>
      </c>
      <c r="CB34" s="3">
        <f>_xlfn.XLOOKUP(CB$1,generator!$B$2:$B$295,generator!$K$2:$K$295,"ARGH")</f>
        <v>0</v>
      </c>
      <c r="CC34" s="3">
        <f>_xlfn.XLOOKUP(CC$1,generator!$B$2:$B$295,generator!$K$2:$K$295,"ARGH")</f>
        <v>0</v>
      </c>
      <c r="CD34" s="3">
        <f>_xlfn.XLOOKUP(CD$1,generator!$B$2:$B$295,generator!$K$2:$K$295,"ARGH")</f>
        <v>0</v>
      </c>
      <c r="CE34" s="3">
        <f>_xlfn.XLOOKUP(CE$1,generator!$B$2:$B$295,generator!$K$2:$K$295,"ARGH")</f>
        <v>0</v>
      </c>
      <c r="CF34" s="3">
        <f>_xlfn.XLOOKUP(CF$1,generator!$B$2:$B$295,generator!$K$2:$K$295,"ARGH")</f>
        <v>0</v>
      </c>
      <c r="CG34" s="3">
        <f>_xlfn.XLOOKUP(CG$1,generator!$B$2:$B$295,generator!$K$2:$K$295,"ARGH")</f>
        <v>0</v>
      </c>
      <c r="CH34" s="3">
        <f>_xlfn.XLOOKUP(CH$1,generator!$B$2:$B$295,generator!$K$2:$K$295,"ARGH")</f>
        <v>0</v>
      </c>
      <c r="CI34" s="3">
        <f>_xlfn.XLOOKUP(CI$1,generator!$B$2:$B$295,generator!$K$2:$K$295,"ARGH")</f>
        <v>0</v>
      </c>
      <c r="CJ34" s="3">
        <f>_xlfn.XLOOKUP(CJ$1,generator!$B$2:$B$295,generator!$K$2:$K$295,"ARGH")</f>
        <v>0</v>
      </c>
      <c r="CK34" s="3">
        <f>_xlfn.XLOOKUP(CK$1,generator!$B$2:$B$295,generator!$K$2:$K$295,"ARGH")</f>
        <v>0</v>
      </c>
      <c r="CL34" s="3">
        <f>_xlfn.XLOOKUP(CL$1,generator!$B$2:$B$295,generator!$K$2:$K$295,"ARGH")</f>
        <v>0</v>
      </c>
      <c r="CM34" s="3">
        <f>_xlfn.XLOOKUP(CM$1,generator!$B$2:$B$295,generator!$K$2:$K$295,"ARGH")</f>
        <v>0</v>
      </c>
      <c r="CN34" s="3">
        <f>_xlfn.XLOOKUP(CN$1,generator!$B$2:$B$295,generator!$K$2:$K$295,"ARGH")</f>
        <v>0</v>
      </c>
      <c r="CO34" s="3">
        <f>_xlfn.XLOOKUP(CO$1,generator!$B$2:$B$295,generator!$K$2:$K$295,"ARGH")</f>
        <v>0</v>
      </c>
      <c r="CP34" s="3">
        <f>_xlfn.XLOOKUP(CP$1,generator!$B$2:$B$295,generator!$K$2:$K$295,"ARGH")</f>
        <v>0</v>
      </c>
      <c r="CQ34" s="3">
        <f>_xlfn.XLOOKUP(CQ$1,generator!$B$2:$B$295,generator!$K$2:$K$295,"ARGH")</f>
        <v>0</v>
      </c>
      <c r="CR34" s="3">
        <f>_xlfn.XLOOKUP(CR$1,generator!$B$2:$B$295,generator!$K$2:$K$295,"ARGH")</f>
        <v>0</v>
      </c>
      <c r="CS34" s="3">
        <f>_xlfn.XLOOKUP(CS$1,generator!$B$2:$B$295,generator!$K$2:$K$295,"ARGH")</f>
        <v>0</v>
      </c>
      <c r="CT34" s="3">
        <f>_xlfn.XLOOKUP(CT$1,generator!$B$2:$B$295,generator!$K$2:$K$295,"ARGH")</f>
        <v>0</v>
      </c>
      <c r="CU34" s="3">
        <f>_xlfn.XLOOKUP(CU$1,generator!$B$2:$B$295,generator!$K$2:$K$295,"ARGH")</f>
        <v>0</v>
      </c>
      <c r="CV34" s="3">
        <f>_xlfn.XLOOKUP(CV$1,generator!$B$2:$B$295,generator!$K$2:$K$295,"ARGH")</f>
        <v>0</v>
      </c>
      <c r="CW34" s="3">
        <f>_xlfn.XLOOKUP(CW$1,generator!$B$2:$B$295,generator!$K$2:$K$295,"ARGH")</f>
        <v>0</v>
      </c>
      <c r="CX34" s="3">
        <f>_xlfn.XLOOKUP(CX$1,generator!$B$2:$B$295,generator!$K$2:$K$295,"ARGH")</f>
        <v>0</v>
      </c>
      <c r="CY34" s="3">
        <f>_xlfn.XLOOKUP(CY$1,generator!$B$2:$B$295,generator!$K$2:$K$295,"ARGH")</f>
        <v>0</v>
      </c>
      <c r="CZ34" s="3">
        <f>_xlfn.XLOOKUP(CZ$1,generator!$B$2:$B$295,generator!$K$2:$K$295,"ARGH")</f>
        <v>0</v>
      </c>
      <c r="DA34" s="3">
        <f>_xlfn.XLOOKUP(DA$1,generator!$B$2:$B$295,generator!$K$2:$K$295,"ARGH")</f>
        <v>0</v>
      </c>
      <c r="DB34" s="3">
        <f>_xlfn.XLOOKUP(DB$1,generator!$B$2:$B$295,generator!$K$2:$K$295,"ARGH")</f>
        <v>0</v>
      </c>
      <c r="DC34" s="3">
        <f>_xlfn.XLOOKUP(DC$1,generator!$B$2:$B$295,generator!$K$2:$K$295,"ARGH")</f>
        <v>0</v>
      </c>
      <c r="DD34" s="3">
        <f>_xlfn.XLOOKUP(DD$1,generator!$B$2:$B$295,generator!$K$2:$K$295,"ARGH")</f>
        <v>0</v>
      </c>
      <c r="DE34" s="3">
        <f>_xlfn.XLOOKUP(DE$1,generator!$B$2:$B$295,generator!$K$2:$K$295,"ARGH")</f>
        <v>0</v>
      </c>
      <c r="DF34" s="3">
        <f>_xlfn.XLOOKUP(DF$1,generator!$B$2:$B$295,generator!$K$2:$K$295,"ARGH")</f>
        <v>0</v>
      </c>
      <c r="DG34" s="3">
        <f>_xlfn.XLOOKUP(DG$1,generator!$B$2:$B$295,generator!$K$2:$K$295,"ARGH")</f>
        <v>0</v>
      </c>
      <c r="DH34" s="3">
        <f>_xlfn.XLOOKUP(DH$1,generator!$B$2:$B$295,generator!$K$2:$K$295,"ARGH")</f>
        <v>0</v>
      </c>
      <c r="DI34" s="3">
        <f>_xlfn.XLOOKUP(DI$1,generator!$B$2:$B$295,generator!$K$2:$K$295,"ARGH")</f>
        <v>0</v>
      </c>
      <c r="DJ34" s="3">
        <f>_xlfn.XLOOKUP(DJ$1,generator!$B$2:$B$295,generator!$K$2:$K$295,"ARGH")</f>
        <v>0</v>
      </c>
      <c r="DK34" s="3">
        <f>_xlfn.XLOOKUP(DK$1,generator!$B$2:$B$295,generator!$K$2:$K$295,"ARGH")</f>
        <v>0</v>
      </c>
      <c r="DL34" s="3">
        <f>_xlfn.XLOOKUP(DL$1,generator!$B$2:$B$295,generator!$K$2:$K$295,"ARGH")</f>
        <v>0</v>
      </c>
      <c r="DM34" s="3">
        <f>_xlfn.XLOOKUP(DM$1,generator!$B$2:$B$295,generator!$K$2:$K$295,"ARGH")</f>
        <v>0</v>
      </c>
      <c r="DN34" s="3">
        <f>_xlfn.XLOOKUP(DN$1,generator!$B$2:$B$295,generator!$K$2:$K$295,"ARGH")</f>
        <v>0</v>
      </c>
      <c r="DO34" s="3">
        <f>_xlfn.XLOOKUP(DO$1,generator!$B$2:$B$295,generator!$K$2:$K$295,"ARGH")</f>
        <v>0</v>
      </c>
      <c r="DP34" s="3">
        <f>_xlfn.XLOOKUP(DP$1,generator!$B$2:$B$295,generator!$K$2:$K$295,"ARGH")</f>
        <v>0</v>
      </c>
      <c r="DQ34" s="3">
        <f>_xlfn.XLOOKUP(DQ$1,generator!$B$2:$B$295,generator!$K$2:$K$295,"ARGH")</f>
        <v>0</v>
      </c>
      <c r="DR34" s="3">
        <f>_xlfn.XLOOKUP(DR$1,generator!$B$2:$B$295,generator!$K$2:$K$295,"ARGH")</f>
        <v>0</v>
      </c>
      <c r="DS34" s="3">
        <f>_xlfn.XLOOKUP(DS$1,generator!$B$2:$B$295,generator!$K$2:$K$295,"ARGH")</f>
        <v>0</v>
      </c>
      <c r="DT34" s="3">
        <f>_xlfn.XLOOKUP(DT$1,generator!$B$2:$B$295,generator!$K$2:$K$295,"ARGH")</f>
        <v>0</v>
      </c>
      <c r="DU34" s="3">
        <f>_xlfn.XLOOKUP(DU$1,generator!$B$2:$B$295,generator!$K$2:$K$295,"ARGH")</f>
        <v>0</v>
      </c>
      <c r="DV34" s="3">
        <f>_xlfn.XLOOKUP(DV$1,generator!$B$2:$B$295,generator!$K$2:$K$295,"ARGH")</f>
        <v>0</v>
      </c>
      <c r="DW34" s="3">
        <f>_xlfn.XLOOKUP(DW$1,generator!$B$2:$B$295,generator!$K$2:$K$295,"ARGH")</f>
        <v>0</v>
      </c>
      <c r="DX34" s="3">
        <f>_xlfn.XLOOKUP(DX$1,generator!$B$2:$B$295,generator!$K$2:$K$295,"ARGH")</f>
        <v>0</v>
      </c>
      <c r="DY34" s="3">
        <f>_xlfn.XLOOKUP(DY$1,generator!$B$2:$B$295,generator!$K$2:$K$295,"ARGH")</f>
        <v>0</v>
      </c>
      <c r="DZ34" s="3">
        <f>_xlfn.XLOOKUP(DZ$1,generator!$B$2:$B$295,generator!$K$2:$K$295,"ARGH")</f>
        <v>0</v>
      </c>
      <c r="EA34" s="3">
        <f>_xlfn.XLOOKUP(EA$1,generator!$B$2:$B$295,generator!$K$2:$K$295,"ARGH")</f>
        <v>0</v>
      </c>
      <c r="EB34" s="3">
        <f>_xlfn.XLOOKUP(EB$1,generator!$B$2:$B$295,generator!$K$2:$K$295,"ARGH")</f>
        <v>0</v>
      </c>
      <c r="EC34" s="3">
        <f>_xlfn.XLOOKUP(EC$1,generator!$B$2:$B$295,generator!$K$2:$K$295,"ARGH")</f>
        <v>0</v>
      </c>
      <c r="ED34" s="3">
        <f>_xlfn.XLOOKUP(ED$1,generator!$B$2:$B$295,generator!$K$2:$K$295,"ARGH")</f>
        <v>0</v>
      </c>
      <c r="EE34" s="3">
        <f>_xlfn.XLOOKUP(EE$1,generator!$B$2:$B$295,generator!$K$2:$K$295,"ARGH")</f>
        <v>0</v>
      </c>
      <c r="EF34" s="3">
        <f>_xlfn.XLOOKUP(EF$1,generator!$B$2:$B$295,generator!$K$2:$K$295,"ARGH")</f>
        <v>0</v>
      </c>
      <c r="EG34" s="3">
        <f>_xlfn.XLOOKUP(EG$1,generator!$B$2:$B$295,generator!$K$2:$K$295,"ARGH")</f>
        <v>0</v>
      </c>
      <c r="EH34" s="3">
        <f>_xlfn.XLOOKUP(EH$1,generator!$B$2:$B$295,generator!$K$2:$K$295,"ARGH")</f>
        <v>0</v>
      </c>
      <c r="EI34" s="3">
        <f>_xlfn.XLOOKUP(EI$1,generator!$B$2:$B$295,generator!$K$2:$K$295,"ARGH")</f>
        <v>0</v>
      </c>
      <c r="EJ34" s="3">
        <f>_xlfn.XLOOKUP(EJ$1,generator!$B$2:$B$295,generator!$K$2:$K$295,"ARGH")</f>
        <v>0</v>
      </c>
      <c r="EK34" s="3">
        <f>_xlfn.XLOOKUP(EK$1,generator!$B$2:$B$295,generator!$K$2:$K$295,"ARGH")</f>
        <v>0</v>
      </c>
      <c r="EL34" s="3">
        <f>_xlfn.XLOOKUP(EL$1,generator!$B$2:$B$295,generator!$K$2:$K$295,"ARGH")</f>
        <v>0</v>
      </c>
      <c r="EM34" s="3">
        <f>_xlfn.XLOOKUP(EM$1,generator!$B$2:$B$295,generator!$K$2:$K$295,"ARGH")</f>
        <v>0</v>
      </c>
      <c r="EN34" s="3">
        <f>_xlfn.XLOOKUP(EN$1,generator!$B$2:$B$295,generator!$K$2:$K$295,"ARGH")</f>
        <v>0</v>
      </c>
      <c r="EO34" s="3">
        <f>_xlfn.XLOOKUP(EO$1,generator!$B$2:$B$295,generator!$K$2:$K$295,"ARGH")</f>
        <v>0</v>
      </c>
      <c r="EP34" s="3">
        <f>_xlfn.XLOOKUP(EP$1,generator!$B$2:$B$295,generator!$K$2:$K$295,"ARGH")</f>
        <v>0</v>
      </c>
      <c r="EQ34" s="3">
        <f>_xlfn.XLOOKUP(EQ$1,generator!$B$2:$B$295,generator!$K$2:$K$295,"ARGH")</f>
        <v>0</v>
      </c>
      <c r="ER34" s="3">
        <f>_xlfn.XLOOKUP(ER$1,generator!$B$2:$B$295,generator!$K$2:$K$295,"ARGH")</f>
        <v>0</v>
      </c>
      <c r="ES34" s="3">
        <f>_xlfn.XLOOKUP(ES$1,generator!$B$2:$B$295,generator!$K$2:$K$295,"ARGH")</f>
        <v>0</v>
      </c>
      <c r="ET34" s="3">
        <f>_xlfn.XLOOKUP(ET$1,generator!$B$2:$B$295,generator!$K$2:$K$295,"ARGH")</f>
        <v>0</v>
      </c>
      <c r="EU34" s="3">
        <f>_xlfn.XLOOKUP(EU$1,generator!$B$2:$B$295,generator!$K$2:$K$295,"ARGH")</f>
        <v>0</v>
      </c>
      <c r="EV34" s="3">
        <f>_xlfn.XLOOKUP(EV$1,generator!$B$2:$B$295,generator!$K$2:$K$295,"ARGH")</f>
        <v>0</v>
      </c>
      <c r="EW34" s="3">
        <f>_xlfn.XLOOKUP(EW$1,generator!$B$2:$B$295,generator!$K$2:$K$295,"ARGH")</f>
        <v>0</v>
      </c>
      <c r="EX34" s="3">
        <f>_xlfn.XLOOKUP(EX$1,generator!$B$2:$B$295,generator!$K$2:$K$295,"ARGH")</f>
        <v>0</v>
      </c>
      <c r="EY34" s="3">
        <f>_xlfn.XLOOKUP(EY$1,generator!$B$2:$B$295,generator!$K$2:$K$295,"ARGH")</f>
        <v>0</v>
      </c>
      <c r="EZ34" s="3">
        <f>_xlfn.XLOOKUP(EZ$1,generator!$B$2:$B$295,generator!$K$2:$K$295,"ARGH")</f>
        <v>0</v>
      </c>
      <c r="FA34" s="3">
        <f>_xlfn.XLOOKUP(FA$1,generator!$B$2:$B$295,generator!$K$2:$K$295,"ARGH")</f>
        <v>0</v>
      </c>
      <c r="FB34" s="3">
        <f>_xlfn.XLOOKUP(FB$1,generator!$B$2:$B$295,generator!$K$2:$K$295,"ARGH")</f>
        <v>0</v>
      </c>
      <c r="FC34" s="3">
        <f>_xlfn.XLOOKUP(FC$1,generator!$B$2:$B$295,generator!$K$2:$K$295,"ARGH")</f>
        <v>0</v>
      </c>
      <c r="FD34" s="3">
        <f>_xlfn.XLOOKUP(FD$1,generator!$B$2:$B$295,generator!$K$2:$K$295,"ARGH")</f>
        <v>0</v>
      </c>
      <c r="FE34" s="3">
        <f>_xlfn.XLOOKUP(FE$1,generator!$B$2:$B$295,generator!$K$2:$K$295,"ARGH")</f>
        <v>0</v>
      </c>
      <c r="FF34" s="3">
        <f>_xlfn.XLOOKUP(FF$1,generator!$B$2:$B$295,generator!$K$2:$K$295,"ARGH")</f>
        <v>0</v>
      </c>
      <c r="FG34" s="3">
        <f>_xlfn.XLOOKUP(FG$1,generator!$B$2:$B$295,generator!$K$2:$K$295,"ARGH")</f>
        <v>0</v>
      </c>
      <c r="FH34" s="3">
        <f>_xlfn.XLOOKUP(FH$1,generator!$B$2:$B$295,generator!$K$2:$K$295,"ARGH")</f>
        <v>0</v>
      </c>
      <c r="FI34" s="3">
        <f>_xlfn.XLOOKUP(FI$1,generator!$B$2:$B$295,generator!$K$2:$K$295,"ARGH")</f>
        <v>0</v>
      </c>
      <c r="FJ34" s="3">
        <f>_xlfn.XLOOKUP(FJ$1,generator!$B$2:$B$295,generator!$K$2:$K$295,"ARGH")</f>
        <v>0</v>
      </c>
      <c r="FK34" s="3">
        <f>_xlfn.XLOOKUP(FK$1,generator!$B$2:$B$295,generator!$K$2:$K$295,"ARGH")</f>
        <v>0</v>
      </c>
      <c r="FL34" s="3">
        <f>_xlfn.XLOOKUP(FL$1,generator!$B$2:$B$295,generator!$K$2:$K$295,"ARGH")</f>
        <v>0</v>
      </c>
      <c r="FM34" s="3">
        <f>_xlfn.XLOOKUP(FM$1,generator!$B$2:$B$295,generator!$K$2:$K$295,"ARGH")</f>
        <v>0</v>
      </c>
      <c r="FN34" s="3">
        <f>_xlfn.XLOOKUP(FN$1,generator!$B$2:$B$295,generator!$K$2:$K$295,"ARGH")</f>
        <v>0</v>
      </c>
      <c r="FO34" s="3">
        <f>_xlfn.XLOOKUP(FO$1,generator!$B$2:$B$295,generator!$K$2:$K$295,"ARGH")</f>
        <v>0</v>
      </c>
      <c r="FP34" s="3">
        <f>_xlfn.XLOOKUP(FP$1,generator!$B$2:$B$295,generator!$K$2:$K$295,"ARGH")</f>
        <v>0</v>
      </c>
      <c r="FQ34" s="3">
        <f>_xlfn.XLOOKUP(FQ$1,generator!$B$2:$B$295,generator!$K$2:$K$295,"ARGH")</f>
        <v>0</v>
      </c>
      <c r="FR34" s="3">
        <f>_xlfn.XLOOKUP(FR$1,generator!$B$2:$B$295,generator!$K$2:$K$295,"ARGH")</f>
        <v>0</v>
      </c>
      <c r="FS34" s="3">
        <f>_xlfn.XLOOKUP(FS$1,generator!$B$2:$B$295,generator!$K$2:$K$295,"ARGH")</f>
        <v>0</v>
      </c>
      <c r="FT34" s="3">
        <f>_xlfn.XLOOKUP(FT$1,generator!$B$2:$B$295,generator!$K$2:$K$295,"ARGH")</f>
        <v>0</v>
      </c>
      <c r="FU34" s="3">
        <f>_xlfn.XLOOKUP(FU$1,generator!$B$2:$B$295,generator!$K$2:$K$295,"ARGH")</f>
        <v>0</v>
      </c>
      <c r="FV34" s="3">
        <f>_xlfn.XLOOKUP(FV$1,generator!$B$2:$B$295,generator!$K$2:$K$295,"ARGH")</f>
        <v>0</v>
      </c>
      <c r="FW34" s="3">
        <f>_xlfn.XLOOKUP(FW$1,generator!$B$2:$B$295,generator!$K$2:$K$295,"ARGH")</f>
        <v>0</v>
      </c>
      <c r="FX34" s="3">
        <f>_xlfn.XLOOKUP(FX$1,generator!$B$2:$B$295,generator!$K$2:$K$295,"ARGH")</f>
        <v>0</v>
      </c>
      <c r="FY34" s="3">
        <f>_xlfn.XLOOKUP(FY$1,generator!$B$2:$B$295,generator!$K$2:$K$295,"ARGH")</f>
        <v>0</v>
      </c>
      <c r="FZ34" s="3">
        <f>_xlfn.XLOOKUP(FZ$1,generator!$B$2:$B$295,generator!$K$2:$K$295,"ARGH")</f>
        <v>0</v>
      </c>
      <c r="GA34" s="3">
        <f>_xlfn.XLOOKUP(GA$1,generator!$B$2:$B$295,generator!$K$2:$K$295,"ARGH")</f>
        <v>0</v>
      </c>
      <c r="GB34" s="3">
        <f>_xlfn.XLOOKUP(GB$1,generator!$B$2:$B$295,generator!$K$2:$K$295,"ARGH")</f>
        <v>0</v>
      </c>
      <c r="GC34" s="3">
        <f>_xlfn.XLOOKUP(GC$1,generator!$B$2:$B$295,generator!$K$2:$K$295,"ARGH")</f>
        <v>0</v>
      </c>
      <c r="GD34" s="3">
        <f>_xlfn.XLOOKUP(GD$1,generator!$B$2:$B$295,generator!$K$2:$K$295,"ARGH")</f>
        <v>0</v>
      </c>
      <c r="GE34" s="3">
        <f>_xlfn.XLOOKUP(GE$1,generator!$B$2:$B$295,generator!$K$2:$K$295,"ARGH")</f>
        <v>0</v>
      </c>
      <c r="GF34" s="3">
        <f>_xlfn.XLOOKUP(GF$1,generator!$B$2:$B$295,generator!$K$2:$K$295,"ARGH")</f>
        <v>0</v>
      </c>
      <c r="GG34" s="3">
        <f>_xlfn.XLOOKUP(GG$1,generator!$B$2:$B$295,generator!$K$2:$K$295,"ARGH")</f>
        <v>0</v>
      </c>
      <c r="GH34" s="3">
        <f>_xlfn.XLOOKUP(GH$1,generator!$B$2:$B$295,generator!$K$2:$K$295,"ARGH")</f>
        <v>0</v>
      </c>
      <c r="GI34" s="3">
        <f>_xlfn.XLOOKUP(GI$1,generator!$B$2:$B$295,generator!$K$2:$K$295,"ARGH")</f>
        <v>0</v>
      </c>
      <c r="GJ34" s="3">
        <f>_xlfn.XLOOKUP(GJ$1,generator!$B$2:$B$295,generator!$K$2:$K$295,"ARGH")</f>
        <v>0</v>
      </c>
      <c r="GK34" s="3">
        <f>_xlfn.XLOOKUP(GK$1,generator!$B$2:$B$295,generator!$K$2:$K$295,"ARGH")</f>
        <v>0</v>
      </c>
      <c r="GL34" s="3">
        <f>_xlfn.XLOOKUP(GL$1,generator!$B$2:$B$295,generator!$K$2:$K$295,"ARGH")</f>
        <v>0</v>
      </c>
      <c r="GM34" s="3">
        <f>_xlfn.XLOOKUP(GM$1,generator!$B$2:$B$295,generator!$K$2:$K$295,"ARGH")</f>
        <v>0</v>
      </c>
      <c r="GN34" s="3">
        <f>_xlfn.XLOOKUP(GN$1,generator!$B$2:$B$295,generator!$K$2:$K$295,"ARGH")</f>
        <v>0</v>
      </c>
      <c r="GO34" s="3">
        <f>_xlfn.XLOOKUP(GO$1,generator!$B$2:$B$295,generator!$K$2:$K$295,"ARGH")</f>
        <v>0</v>
      </c>
      <c r="GP34" s="3">
        <f>_xlfn.XLOOKUP(GP$1,generator!$B$2:$B$295,generator!$K$2:$K$295,"ARGH")</f>
        <v>0</v>
      </c>
      <c r="GQ34" s="3">
        <f>_xlfn.XLOOKUP(GQ$1,generator!$B$2:$B$295,generator!$K$2:$K$295,"ARGH")</f>
        <v>0</v>
      </c>
      <c r="GR34" s="3">
        <f>_xlfn.XLOOKUP(GR$1,generator!$B$2:$B$295,generator!$K$2:$K$295,"ARGH")</f>
        <v>0</v>
      </c>
      <c r="GS34" s="3">
        <f>_xlfn.XLOOKUP(GS$1,generator!$B$2:$B$295,generator!$K$2:$K$295,"ARGH")</f>
        <v>0</v>
      </c>
      <c r="GT34" s="3">
        <f>_xlfn.XLOOKUP(GT$1,generator!$B$2:$B$295,generator!$K$2:$K$295,"ARGH")</f>
        <v>0</v>
      </c>
      <c r="GU34" s="3">
        <f>_xlfn.XLOOKUP(GU$1,generator!$B$2:$B$295,generator!$K$2:$K$295,"ARGH")</f>
        <v>0</v>
      </c>
      <c r="GV34" s="3">
        <f>_xlfn.XLOOKUP(GV$1,generator!$B$2:$B$295,generator!$K$2:$K$295,"ARGH")</f>
        <v>0</v>
      </c>
      <c r="GW34" s="3">
        <f>_xlfn.XLOOKUP(GW$1,generator!$B$2:$B$295,generator!$K$2:$K$295,"ARGH")</f>
        <v>0</v>
      </c>
      <c r="GX34" s="3">
        <f>_xlfn.XLOOKUP(GX$1,generator!$B$2:$B$295,generator!$K$2:$K$295,"ARGH")</f>
        <v>0</v>
      </c>
      <c r="GY34" s="3">
        <f>_xlfn.XLOOKUP(GY$1,generator!$B$2:$B$295,generator!$K$2:$K$295,"ARGH")</f>
        <v>0</v>
      </c>
      <c r="GZ34" s="3">
        <f>_xlfn.XLOOKUP(GZ$1,generator!$B$2:$B$295,generator!$K$2:$K$295,"ARGH")</f>
        <v>0</v>
      </c>
      <c r="HA34" s="3">
        <f>_xlfn.XLOOKUP(HA$1,generator!$B$2:$B$295,generator!$K$2:$K$295,"ARGH")</f>
        <v>0</v>
      </c>
      <c r="HB34" s="3">
        <f>_xlfn.XLOOKUP(HB$1,generator!$B$2:$B$295,generator!$K$2:$K$295,"ARGH")</f>
        <v>0</v>
      </c>
      <c r="HC34" s="3">
        <f>_xlfn.XLOOKUP(HC$1,generator!$B$2:$B$295,generator!$K$2:$K$295,"ARGH")</f>
        <v>0</v>
      </c>
      <c r="HD34" s="3">
        <f>_xlfn.XLOOKUP(HD$1,generator!$B$2:$B$295,generator!$K$2:$K$295,"ARGH")</f>
        <v>0</v>
      </c>
      <c r="HE34" s="3">
        <f>_xlfn.XLOOKUP(HE$1,generator!$B$2:$B$295,generator!$K$2:$K$295,"ARGH")</f>
        <v>12.74</v>
      </c>
      <c r="HF34" s="3">
        <f>_xlfn.XLOOKUP(HF$1,generator!$B$2:$B$295,generator!$K$2:$K$295,"ARGH")</f>
        <v>99</v>
      </c>
      <c r="HG34" s="3">
        <f>_xlfn.XLOOKUP(HG$1,generator!$B$2:$B$295,generator!$K$2:$K$295,"ARGH")</f>
        <v>99</v>
      </c>
      <c r="HH34" s="3">
        <f>_xlfn.XLOOKUP(HH$1,generator!$B$2:$B$295,generator!$K$2:$K$295,"ARGH")</f>
        <v>99</v>
      </c>
      <c r="HI34" s="3">
        <f>_xlfn.XLOOKUP(HI$1,generator!$B$2:$B$295,generator!$K$2:$K$295,"ARGH")</f>
        <v>8</v>
      </c>
      <c r="HJ34" s="3">
        <f>_xlfn.XLOOKUP(HJ$1,generator!$B$2:$B$295,generator!$K$2:$K$295,"ARGH")</f>
        <v>8</v>
      </c>
      <c r="HK34" s="3">
        <f>_xlfn.XLOOKUP(HK$1,generator!$B$2:$B$295,generator!$K$2:$K$295,"ARGH")</f>
        <v>8</v>
      </c>
      <c r="HL34" s="3">
        <f>_xlfn.XLOOKUP(HL$1,generator!$B$2:$B$295,generator!$K$2:$K$295,"ARGH")</f>
        <v>20</v>
      </c>
      <c r="HM34" s="3">
        <f>_xlfn.XLOOKUP(HM$1,generator!$B$2:$B$295,generator!$K$2:$K$295,"ARGH")</f>
        <v>20</v>
      </c>
      <c r="HN34" s="3">
        <f>_xlfn.XLOOKUP(HN$1,generator!$B$2:$B$295,generator!$K$2:$K$295,"ARGH")</f>
        <v>5</v>
      </c>
      <c r="HO34" s="3">
        <f>_xlfn.XLOOKUP(HO$1,generator!$B$2:$B$295,generator!$K$2:$K$295,"ARGH")</f>
        <v>5</v>
      </c>
      <c r="HP34" s="3">
        <f>_xlfn.XLOOKUP(HP$1,generator!$B$2:$B$295,generator!$K$2:$K$295,"ARGH")</f>
        <v>0.2</v>
      </c>
      <c r="HQ34" s="3">
        <f>_xlfn.XLOOKUP(HQ$1,generator!$B$2:$B$295,generator!$K$2:$K$295,"ARGH")</f>
        <v>5</v>
      </c>
      <c r="HR34" s="3">
        <f>_xlfn.XLOOKUP(HR$1,generator!$B$2:$B$295,generator!$K$2:$K$295,"ARGH")</f>
        <v>5</v>
      </c>
      <c r="HS34" s="3">
        <f>_xlfn.XLOOKUP(HS$1,generator!$B$2:$B$295,generator!$K$2:$K$295,"ARGH")</f>
        <v>12.82</v>
      </c>
      <c r="HT34" s="3">
        <f>_xlfn.XLOOKUP(HT$1,generator!$B$2:$B$295,generator!$K$2:$K$295,"ARGH")</f>
        <v>12.82</v>
      </c>
      <c r="HU34" s="3">
        <f>_xlfn.XLOOKUP(HU$1,generator!$B$2:$B$295,generator!$K$2:$K$295,"ARGH")</f>
        <v>25</v>
      </c>
      <c r="HV34" s="3">
        <f>_xlfn.XLOOKUP(HV$1,generator!$B$2:$B$295,generator!$K$2:$K$295,"ARGH")</f>
        <v>16</v>
      </c>
      <c r="HW34" s="3">
        <f>_xlfn.XLOOKUP(HW$1,generator!$B$2:$B$295,generator!$K$2:$K$295,"ARGH")</f>
        <v>5</v>
      </c>
      <c r="HX34" s="3">
        <f>_xlfn.XLOOKUP(HX$1,generator!$B$2:$B$295,generator!$K$2:$K$295,"ARGH")</f>
        <v>5</v>
      </c>
      <c r="HY34" s="3">
        <f>_xlfn.XLOOKUP(HY$1,generator!$B$2:$B$295,generator!$K$2:$K$295,"ARGH")</f>
        <v>63</v>
      </c>
      <c r="HZ34" s="3">
        <f>_xlfn.XLOOKUP(HZ$1,generator!$B$2:$B$295,generator!$K$2:$K$295,"ARGH")</f>
        <v>18</v>
      </c>
      <c r="IA34" s="3">
        <f>_xlfn.XLOOKUP(IA$1,generator!$B$2:$B$295,generator!$K$2:$K$295,"ARGH")</f>
        <v>121</v>
      </c>
      <c r="IB34" s="3">
        <f>_xlfn.XLOOKUP(IB$1,generator!$B$2:$B$295,generator!$K$2:$K$295,"ARGH")</f>
        <v>120</v>
      </c>
      <c r="IC34" s="3">
        <f>_xlfn.XLOOKUP(IC$1,generator!$B$2:$B$295,generator!$K$2:$K$295,"ARGH")</f>
        <v>0</v>
      </c>
      <c r="ID34" s="3">
        <f>_xlfn.XLOOKUP(ID$1,generator!$B$2:$B$295,generator!$K$2:$K$295,"ARGH")</f>
        <v>17</v>
      </c>
      <c r="IE34" s="3">
        <f>_xlfn.XLOOKUP(IE$1,generator!$B$2:$B$295,generator!$K$2:$K$295,"ARGH")</f>
        <v>194</v>
      </c>
      <c r="IF34" s="3">
        <f>_xlfn.XLOOKUP(IF$1,generator!$B$2:$B$295,generator!$K$2:$K$295,"ARGH")</f>
        <v>11.9</v>
      </c>
      <c r="IG34" s="3">
        <f>_xlfn.XLOOKUP(IG$1,generator!$B$2:$B$295,generator!$K$2:$K$295,"ARGH")</f>
        <v>11.9</v>
      </c>
      <c r="IH34" s="3">
        <f>_xlfn.XLOOKUP(IH$1,generator!$B$2:$B$295,generator!$K$2:$K$295,"ARGH")</f>
        <v>11.9</v>
      </c>
      <c r="II34" s="3">
        <f>_xlfn.XLOOKUP(II$1,generator!$B$2:$B$295,generator!$K$2:$K$295,"ARGH")</f>
        <v>11.9</v>
      </c>
      <c r="IJ34" s="3">
        <f>_xlfn.XLOOKUP(IJ$1,generator!$B$2:$B$295,generator!$K$2:$K$295,"ARGH")</f>
        <v>0</v>
      </c>
      <c r="IK34" s="3">
        <f>_xlfn.XLOOKUP(IK$1,generator!$B$2:$B$295,generator!$K$2:$K$295,"ARGH")</f>
        <v>3</v>
      </c>
      <c r="IL34" s="3">
        <f>_xlfn.XLOOKUP(IL$1,generator!$B$2:$B$295,generator!$K$2:$K$295,"ARGH")</f>
        <v>5</v>
      </c>
      <c r="IM34" s="3">
        <f>_xlfn.XLOOKUP(IM$1,generator!$B$2:$B$295,generator!$K$2:$K$295,"ARGH")</f>
        <v>5</v>
      </c>
      <c r="IN34" s="3">
        <f>_xlfn.XLOOKUP(IN$1,generator!$B$2:$B$295,generator!$K$2:$K$295,"ARGH")</f>
        <v>4</v>
      </c>
      <c r="IO34" s="3">
        <f>_xlfn.XLOOKUP(IO$1,generator!$B$2:$B$295,generator!$K$2:$K$295,"ARGH")</f>
        <v>4</v>
      </c>
      <c r="IP34" s="3">
        <f>_xlfn.XLOOKUP(IP$1,generator!$B$2:$B$295,generator!$K$2:$K$295,"ARGH")</f>
        <v>3</v>
      </c>
      <c r="IQ34" s="3">
        <f>_xlfn.XLOOKUP(IQ$1,generator!$B$2:$B$295,generator!$K$2:$K$295,"ARGH")</f>
        <v>1</v>
      </c>
      <c r="IR34" s="3">
        <f>_xlfn.XLOOKUP(IR$1,generator!$B$2:$B$295,generator!$K$2:$K$295,"ARGH")</f>
        <v>3</v>
      </c>
      <c r="IS34" s="3">
        <f>_xlfn.XLOOKUP(IS$1,generator!$B$2:$B$295,generator!$K$2:$K$295,"ARGH")</f>
        <v>3</v>
      </c>
      <c r="IT34" s="3">
        <f>_xlfn.XLOOKUP(IT$1,generator!$B$2:$B$295,generator!$K$2:$K$295,"ARGH")</f>
        <v>0</v>
      </c>
      <c r="IU34" s="3">
        <f>_xlfn.XLOOKUP(IU$1,generator!$B$2:$B$295,generator!$K$2:$K$295,"ARGH")</f>
        <v>3.99</v>
      </c>
      <c r="IV34" s="3">
        <f>_xlfn.XLOOKUP(IV$1,generator!$B$2:$B$295,generator!$K$2:$K$295,"ARGH")</f>
        <v>0.2</v>
      </c>
      <c r="IW34" s="3">
        <f>_xlfn.XLOOKUP(IW$1,generator!$B$2:$B$295,generator!$K$2:$K$295,"ARGH")</f>
        <v>15</v>
      </c>
      <c r="IX34" s="3">
        <f>_xlfn.XLOOKUP(IX$1,generator!$B$2:$B$295,generator!$K$2:$K$295,"ARGH")</f>
        <v>15</v>
      </c>
      <c r="IY34" s="3">
        <f>_xlfn.XLOOKUP(IY$1,generator!$B$2:$B$295,generator!$K$2:$K$295,"ARGH")</f>
        <v>15</v>
      </c>
      <c r="IZ34" s="3">
        <f>_xlfn.XLOOKUP(IZ$1,generator!$B$2:$B$295,generator!$K$2:$K$295,"ARGH")</f>
        <v>120</v>
      </c>
      <c r="JA34" s="3">
        <f>_xlfn.XLOOKUP(JA$1,generator!$B$2:$B$295,generator!$K$2:$K$295,"ARGH")</f>
        <v>40</v>
      </c>
      <c r="JB34" s="3">
        <f>_xlfn.XLOOKUP(JB$1,generator!$B$2:$B$295,generator!$K$2:$K$295,"ARGH")</f>
        <v>40</v>
      </c>
      <c r="JC34" s="3">
        <f>_xlfn.XLOOKUP(JC$1,generator!$B$2:$B$295,generator!$K$2:$K$295,"ARGH")</f>
        <v>113</v>
      </c>
      <c r="JD34" s="3">
        <f>_xlfn.XLOOKUP(JD$1,generator!$B$2:$B$295,generator!$K$2:$K$295,"ARGH")</f>
        <v>113</v>
      </c>
      <c r="JE34" s="3">
        <f>_xlfn.XLOOKUP(JE$1,generator!$B$2:$B$295,generator!$K$2:$K$295,"ARGH")</f>
        <v>211</v>
      </c>
      <c r="JF34" s="3">
        <f>_xlfn.XLOOKUP(JF$1,generator!$B$2:$B$295,generator!$K$2:$K$295,"ARGH")</f>
        <v>22.5</v>
      </c>
      <c r="JG34" s="3">
        <f>_xlfn.XLOOKUP(JG$1,generator!$B$2:$B$295,generator!$K$2:$K$295,"ARGH")</f>
        <v>1</v>
      </c>
      <c r="JH34" s="3">
        <f>_xlfn.XLOOKUP(JH$1,generator!$B$2:$B$295,generator!$K$2:$K$295,"ARGH")</f>
        <v>160</v>
      </c>
      <c r="JI34" s="3">
        <f>_xlfn.XLOOKUP(JI$1,generator!$B$2:$B$295,generator!$K$2:$K$295,"ARGH")</f>
        <v>165</v>
      </c>
      <c r="JJ34" s="3">
        <f>_xlfn.XLOOKUP(JJ$1,generator!$B$2:$B$295,generator!$K$2:$K$295,"ARGH")</f>
        <v>4.5999999999999996</v>
      </c>
      <c r="JK34" s="3">
        <f>_xlfn.XLOOKUP(JK$1,generator!$B$2:$B$295,generator!$K$2:$K$295,"ARGH")</f>
        <v>4.5999999999999996</v>
      </c>
      <c r="JL34" s="3">
        <f>_xlfn.XLOOKUP(JL$1,generator!$B$2:$B$295,generator!$K$2:$K$295,"ARGH")</f>
        <v>4.5999999999999996</v>
      </c>
      <c r="JM34" s="3">
        <f>_xlfn.XLOOKUP(JM$1,generator!$B$2:$B$295,generator!$K$2:$K$295,"ARGH")</f>
        <v>4.5999999999999996</v>
      </c>
      <c r="JN34" s="3">
        <f>_xlfn.XLOOKUP(JN$1,generator!$B$2:$B$295,generator!$K$2:$K$295,"ARGH")</f>
        <v>4.5999999999999996</v>
      </c>
      <c r="JO34" s="3">
        <f>_xlfn.XLOOKUP(JO$1,generator!$B$2:$B$295,generator!$K$2:$K$295,"ARGH")</f>
        <v>4.5999999999999996</v>
      </c>
      <c r="JP34" s="3">
        <f>_xlfn.XLOOKUP(JP$1,generator!$B$2:$B$295,generator!$K$2:$K$295,"ARGH")</f>
        <v>110</v>
      </c>
      <c r="JQ34" s="3">
        <f>_xlfn.XLOOKUP(JQ$1,generator!$B$2:$B$295,generator!$K$2:$K$295,"ARGH")</f>
        <v>22.7</v>
      </c>
      <c r="JR34" s="3">
        <f>_xlfn.XLOOKUP(JR$1,generator!$B$2:$B$295,generator!$K$2:$K$295,"ARGH")</f>
        <v>147</v>
      </c>
      <c r="JS34" s="3">
        <f>_xlfn.XLOOKUP(JS$1,generator!$B$2:$B$295,generator!$K$2:$K$295,"ARGH")</f>
        <v>147</v>
      </c>
      <c r="JT34" s="3">
        <f>_xlfn.XLOOKUP(JT$1,generator!$B$2:$B$295,generator!$K$2:$K$295,"ARGH")</f>
        <v>22.7</v>
      </c>
      <c r="JU34" s="3">
        <f>_xlfn.XLOOKUP(JU$1,generator!$B$2:$B$295,generator!$K$2:$K$295,"ARGH")</f>
        <v>21.5</v>
      </c>
      <c r="JV34" s="3">
        <f>_xlfn.XLOOKUP(JV$1,generator!$B$2:$B$295,generator!$K$2:$K$295,"ARGH")</f>
        <v>120</v>
      </c>
      <c r="JW34" s="3">
        <f>_xlfn.XLOOKUP(JW$1,generator!$B$2:$B$295,generator!$K$2:$K$295,"ARGH")</f>
        <v>120</v>
      </c>
      <c r="JX34" s="3">
        <f>_xlfn.XLOOKUP(JX$1,generator!$B$2:$B$295,generator!$K$2:$K$295,"ARGH")</f>
        <v>1</v>
      </c>
      <c r="JY34" s="3">
        <f>_xlfn.XLOOKUP(JY$1,generator!$B$2:$B$295,generator!$K$2:$K$295,"ARGH")</f>
        <v>41.15</v>
      </c>
      <c r="JZ34" s="3">
        <f>_xlfn.XLOOKUP(JZ$1,generator!$B$2:$B$295,generator!$K$2:$K$295,"ARGH")</f>
        <v>5</v>
      </c>
      <c r="KA34" s="3">
        <f>_xlfn.XLOOKUP(KA$1,generator!$B$2:$B$295,generator!$K$2:$K$295,"ARGH")</f>
        <v>5</v>
      </c>
      <c r="KB34" s="3">
        <f>_xlfn.XLOOKUP(KB$1,generator!$B$2:$B$295,generator!$K$2:$K$295,"ARGH")</f>
        <v>5</v>
      </c>
      <c r="KC34" s="3">
        <f>_xlfn.XLOOKUP(KC$1,generator!$B$2:$B$295,generator!$K$2:$K$295,"ARGH")</f>
        <v>5</v>
      </c>
    </row>
    <row r="35" spans="1:289" x14ac:dyDescent="0.3">
      <c r="A35" s="4" t="s">
        <v>3030</v>
      </c>
      <c r="B35" s="31">
        <v>400.5</v>
      </c>
      <c r="C35" s="31">
        <v>512.5</v>
      </c>
      <c r="D35" s="31">
        <v>442</v>
      </c>
      <c r="E35" s="3">
        <f>_xlfn.XLOOKUP(E$1,generator!$B$2:$B$295,generator!$K$2:$K$295,"ARGH")</f>
        <v>0</v>
      </c>
      <c r="F35" s="3">
        <f>_xlfn.XLOOKUP(F$1,generator!$B$2:$B$295,generator!$K$2:$K$295,"ARGH")</f>
        <v>0</v>
      </c>
      <c r="G35" s="3">
        <f>_xlfn.XLOOKUP(G$1,generator!$B$2:$B$295,generator!$K$2:$K$295,"ARGH")</f>
        <v>0</v>
      </c>
      <c r="H35" s="3">
        <f>_xlfn.XLOOKUP(H$1,generator!$B$2:$B$295,generator!$K$2:$K$295,"ARGH")</f>
        <v>0</v>
      </c>
      <c r="I35" s="3">
        <f>_xlfn.XLOOKUP(I$1,generator!$B$2:$B$295,generator!$K$2:$K$295,"ARGH")</f>
        <v>0</v>
      </c>
      <c r="J35" s="3">
        <f>_xlfn.XLOOKUP(J$1,generator!$B$2:$B$295,generator!$K$2:$K$295,"ARGH")</f>
        <v>0</v>
      </c>
      <c r="K35" s="3">
        <f>_xlfn.XLOOKUP(K$1,generator!$B$2:$B$295,generator!$K$2:$K$295,"ARGH")</f>
        <v>0</v>
      </c>
      <c r="L35" s="3">
        <f>_xlfn.XLOOKUP(L$1,generator!$B$2:$B$295,generator!$K$2:$K$295,"ARGH")</f>
        <v>0</v>
      </c>
      <c r="M35" s="3">
        <f>_xlfn.XLOOKUP(M$1,generator!$B$2:$B$295,generator!$K$2:$K$295,"ARGH")</f>
        <v>0</v>
      </c>
      <c r="N35" s="3">
        <f>_xlfn.XLOOKUP(N$1,generator!$B$2:$B$295,generator!$K$2:$K$295,"ARGH")</f>
        <v>0</v>
      </c>
      <c r="O35" s="3">
        <f>_xlfn.XLOOKUP(O$1,generator!$B$2:$B$295,generator!$K$2:$K$295,"ARGH")</f>
        <v>0</v>
      </c>
      <c r="P35" s="3">
        <f>_xlfn.XLOOKUP(P$1,generator!$B$2:$B$295,generator!$K$2:$K$295,"ARGH")</f>
        <v>0</v>
      </c>
      <c r="Q35" s="3">
        <f>_xlfn.XLOOKUP(Q$1,generator!$B$2:$B$295,generator!$K$2:$K$295,"ARGH")</f>
        <v>0</v>
      </c>
      <c r="R35" s="3">
        <f>_xlfn.XLOOKUP(R$1,generator!$B$2:$B$295,generator!$K$2:$K$295,"ARGH")</f>
        <v>0</v>
      </c>
      <c r="S35" s="3">
        <f>_xlfn.XLOOKUP(S$1,generator!$B$2:$B$295,generator!$K$2:$K$295,"ARGH")</f>
        <v>0</v>
      </c>
      <c r="T35" s="3">
        <f>_xlfn.XLOOKUP(T$1,generator!$B$2:$B$295,generator!$K$2:$K$295,"ARGH")</f>
        <v>0</v>
      </c>
      <c r="U35" s="3">
        <f>_xlfn.XLOOKUP(U$1,generator!$B$2:$B$295,generator!$K$2:$K$295,"ARGH")</f>
        <v>0</v>
      </c>
      <c r="V35" s="3">
        <f>_xlfn.XLOOKUP(V$1,generator!$B$2:$B$295,generator!$K$2:$K$295,"ARGH")</f>
        <v>0</v>
      </c>
      <c r="W35" s="3">
        <f>_xlfn.XLOOKUP(W$1,generator!$B$2:$B$295,generator!$K$2:$K$295,"ARGH")</f>
        <v>0</v>
      </c>
      <c r="X35" s="3">
        <f>_xlfn.XLOOKUP(X$1,generator!$B$2:$B$295,generator!$K$2:$K$295,"ARGH")</f>
        <v>0</v>
      </c>
      <c r="Y35" s="3">
        <f>_xlfn.XLOOKUP(Y$1,generator!$B$2:$B$295,generator!$K$2:$K$295,"ARGH")</f>
        <v>0</v>
      </c>
      <c r="Z35" s="3">
        <f>_xlfn.XLOOKUP(Z$1,generator!$B$2:$B$295,generator!$K$2:$K$295,"ARGH")</f>
        <v>0</v>
      </c>
      <c r="AA35" s="3">
        <f>_xlfn.XLOOKUP(AA$1,generator!$B$2:$B$295,generator!$K$2:$K$295,"ARGH")</f>
        <v>0</v>
      </c>
      <c r="AB35" s="3">
        <f>_xlfn.XLOOKUP(AB$1,generator!$B$2:$B$295,generator!$K$2:$K$295,"ARGH")</f>
        <v>0</v>
      </c>
      <c r="AC35" s="3">
        <f>_xlfn.XLOOKUP(AC$1,generator!$B$2:$B$295,generator!$K$2:$K$295,"ARGH")</f>
        <v>0</v>
      </c>
      <c r="AD35" s="3">
        <f>_xlfn.XLOOKUP(AD$1,generator!$B$2:$B$295,generator!$K$2:$K$295,"ARGH")</f>
        <v>0</v>
      </c>
      <c r="AE35" s="3">
        <f>_xlfn.XLOOKUP(AE$1,generator!$B$2:$B$295,generator!$K$2:$K$295,"ARGH")</f>
        <v>0</v>
      </c>
      <c r="AF35" s="3">
        <f>_xlfn.XLOOKUP(AF$1,generator!$B$2:$B$295,generator!$K$2:$K$295,"ARGH")</f>
        <v>0</v>
      </c>
      <c r="AG35" s="3">
        <f>_xlfn.XLOOKUP(AG$1,generator!$B$2:$B$295,generator!$K$2:$K$295,"ARGH")</f>
        <v>0</v>
      </c>
      <c r="AH35" s="3">
        <f>_xlfn.XLOOKUP(AH$1,generator!$B$2:$B$295,generator!$K$2:$K$295,"ARGH")</f>
        <v>0</v>
      </c>
      <c r="AI35" s="3">
        <f>_xlfn.XLOOKUP(AI$1,generator!$B$2:$B$295,generator!$K$2:$K$295,"ARGH")</f>
        <v>0</v>
      </c>
      <c r="AJ35" s="3">
        <f>_xlfn.XLOOKUP(AJ$1,generator!$B$2:$B$295,generator!$K$2:$K$295,"ARGH")</f>
        <v>0</v>
      </c>
      <c r="AK35" s="3">
        <f>_xlfn.XLOOKUP(AK$1,generator!$B$2:$B$295,generator!$K$2:$K$295,"ARGH")</f>
        <v>0</v>
      </c>
      <c r="AL35" s="3">
        <f>_xlfn.XLOOKUP(AL$1,generator!$B$2:$B$295,generator!$K$2:$K$295,"ARGH")</f>
        <v>0</v>
      </c>
      <c r="AM35" s="3">
        <f>_xlfn.XLOOKUP(AM$1,generator!$B$2:$B$295,generator!$K$2:$K$295,"ARGH")</f>
        <v>0</v>
      </c>
      <c r="AN35" s="3">
        <f>_xlfn.XLOOKUP(AN$1,generator!$B$2:$B$295,generator!$K$2:$K$295,"ARGH")</f>
        <v>0</v>
      </c>
      <c r="AO35" s="3">
        <f>_xlfn.XLOOKUP(AO$1,generator!$B$2:$B$295,generator!$K$2:$K$295,"ARGH")</f>
        <v>0</v>
      </c>
      <c r="AP35" s="3">
        <f>_xlfn.XLOOKUP(AP$1,generator!$B$2:$B$295,generator!$K$2:$K$295,"ARGH")</f>
        <v>0</v>
      </c>
      <c r="AQ35" s="3">
        <f>_xlfn.XLOOKUP(AQ$1,generator!$B$2:$B$295,generator!$K$2:$K$295,"ARGH")</f>
        <v>0</v>
      </c>
      <c r="AR35" s="3">
        <f>_xlfn.XLOOKUP(AR$1,generator!$B$2:$B$295,generator!$K$2:$K$295,"ARGH")</f>
        <v>0</v>
      </c>
      <c r="AS35" s="3">
        <f>_xlfn.XLOOKUP(AS$1,generator!$B$2:$B$295,generator!$K$2:$K$295,"ARGH")</f>
        <v>0</v>
      </c>
      <c r="AT35" s="3">
        <f>_xlfn.XLOOKUP(AT$1,generator!$B$2:$B$295,generator!$K$2:$K$295,"ARGH")</f>
        <v>0</v>
      </c>
      <c r="AU35" s="3">
        <f>_xlfn.XLOOKUP(AU$1,generator!$B$2:$B$295,generator!$K$2:$K$295,"ARGH")</f>
        <v>0</v>
      </c>
      <c r="AV35" s="3">
        <f>_xlfn.XLOOKUP(AV$1,generator!$B$2:$B$295,generator!$K$2:$K$295,"ARGH")</f>
        <v>0</v>
      </c>
      <c r="AW35" s="3">
        <f>_xlfn.XLOOKUP(AW$1,generator!$B$2:$B$295,generator!$K$2:$K$295,"ARGH")</f>
        <v>0</v>
      </c>
      <c r="AX35" s="3">
        <f>_xlfn.XLOOKUP(AX$1,generator!$B$2:$B$295,generator!$K$2:$K$295,"ARGH")</f>
        <v>0</v>
      </c>
      <c r="AY35" s="3">
        <f>_xlfn.XLOOKUP(AY$1,generator!$B$2:$B$295,generator!$K$2:$K$295,"ARGH")</f>
        <v>0</v>
      </c>
      <c r="AZ35" s="3">
        <f>_xlfn.XLOOKUP(AZ$1,generator!$B$2:$B$295,generator!$K$2:$K$295,"ARGH")</f>
        <v>0</v>
      </c>
      <c r="BA35" s="3">
        <f>_xlfn.XLOOKUP(BA$1,generator!$B$2:$B$295,generator!$K$2:$K$295,"ARGH")</f>
        <v>0</v>
      </c>
      <c r="BB35" s="3">
        <f>_xlfn.XLOOKUP(BB$1,generator!$B$2:$B$295,generator!$K$2:$K$295,"ARGH")</f>
        <v>0</v>
      </c>
      <c r="BC35" s="3">
        <f>_xlfn.XLOOKUP(BC$1,generator!$B$2:$B$295,generator!$K$2:$K$295,"ARGH")</f>
        <v>0</v>
      </c>
      <c r="BD35" s="3">
        <f>_xlfn.XLOOKUP(BD$1,generator!$B$2:$B$295,generator!$K$2:$K$295,"ARGH")</f>
        <v>0</v>
      </c>
      <c r="BE35" s="3">
        <f>_xlfn.XLOOKUP(BE$1,generator!$B$2:$B$295,generator!$K$2:$K$295,"ARGH")</f>
        <v>0</v>
      </c>
      <c r="BF35" s="3">
        <f>_xlfn.XLOOKUP(BF$1,generator!$B$2:$B$295,generator!$K$2:$K$295,"ARGH")</f>
        <v>0</v>
      </c>
      <c r="BG35" s="3">
        <f>_xlfn.XLOOKUP(BG$1,generator!$B$2:$B$295,generator!$K$2:$K$295,"ARGH")</f>
        <v>0</v>
      </c>
      <c r="BH35" s="3">
        <f>_xlfn.XLOOKUP(BH$1,generator!$B$2:$B$295,generator!$K$2:$K$295,"ARGH")</f>
        <v>0</v>
      </c>
      <c r="BI35" s="3">
        <f>_xlfn.XLOOKUP(BI$1,generator!$B$2:$B$295,generator!$K$2:$K$295,"ARGH")</f>
        <v>0</v>
      </c>
      <c r="BJ35" s="3">
        <f>_xlfn.XLOOKUP(BJ$1,generator!$B$2:$B$295,generator!$K$2:$K$295,"ARGH")</f>
        <v>0</v>
      </c>
      <c r="BK35" s="3">
        <f>_xlfn.XLOOKUP(BK$1,generator!$B$2:$B$295,generator!$K$2:$K$295,"ARGH")</f>
        <v>0</v>
      </c>
      <c r="BL35" s="3">
        <f>_xlfn.XLOOKUP(BL$1,generator!$B$2:$B$295,generator!$K$2:$K$295,"ARGH")</f>
        <v>0</v>
      </c>
      <c r="BM35" s="3">
        <f>_xlfn.XLOOKUP(BM$1,generator!$B$2:$B$295,generator!$K$2:$K$295,"ARGH")</f>
        <v>0</v>
      </c>
      <c r="BN35" s="3">
        <f>_xlfn.XLOOKUP(BN$1,generator!$B$2:$B$295,generator!$K$2:$K$295,"ARGH")</f>
        <v>0</v>
      </c>
      <c r="BO35" s="3">
        <f>_xlfn.XLOOKUP(BO$1,generator!$B$2:$B$295,generator!$K$2:$K$295,"ARGH")</f>
        <v>0</v>
      </c>
      <c r="BP35" s="3">
        <f>_xlfn.XLOOKUP(BP$1,generator!$B$2:$B$295,generator!$K$2:$K$295,"ARGH")</f>
        <v>0</v>
      </c>
      <c r="BQ35" s="3">
        <f>_xlfn.XLOOKUP(BQ$1,generator!$B$2:$B$295,generator!$K$2:$K$295,"ARGH")</f>
        <v>0</v>
      </c>
      <c r="BR35" s="3">
        <f>_xlfn.XLOOKUP(BR$1,generator!$B$2:$B$295,generator!$K$2:$K$295,"ARGH")</f>
        <v>0</v>
      </c>
      <c r="BS35" s="3">
        <f>_xlfn.XLOOKUP(BS$1,generator!$B$2:$B$295,generator!$K$2:$K$295,"ARGH")</f>
        <v>0</v>
      </c>
      <c r="BT35" s="3">
        <f>_xlfn.XLOOKUP(BT$1,generator!$B$2:$B$295,generator!$K$2:$K$295,"ARGH")</f>
        <v>0</v>
      </c>
      <c r="BU35" s="3">
        <f>_xlfn.XLOOKUP(BU$1,generator!$B$2:$B$295,generator!$K$2:$K$295,"ARGH")</f>
        <v>0</v>
      </c>
      <c r="BV35" s="3">
        <f>_xlfn.XLOOKUP(BV$1,generator!$B$2:$B$295,generator!$K$2:$K$295,"ARGH")</f>
        <v>0</v>
      </c>
      <c r="BW35" s="3">
        <f>_xlfn.XLOOKUP(BW$1,generator!$B$2:$B$295,generator!$K$2:$K$295,"ARGH")</f>
        <v>0</v>
      </c>
      <c r="BX35" s="3">
        <f>_xlfn.XLOOKUP(BX$1,generator!$B$2:$B$295,generator!$K$2:$K$295,"ARGH")</f>
        <v>0</v>
      </c>
      <c r="BY35" s="3">
        <f>_xlfn.XLOOKUP(BY$1,generator!$B$2:$B$295,generator!$K$2:$K$295,"ARGH")</f>
        <v>0</v>
      </c>
      <c r="BZ35" s="3">
        <f>_xlfn.XLOOKUP(BZ$1,generator!$B$2:$B$295,generator!$K$2:$K$295,"ARGH")</f>
        <v>0</v>
      </c>
      <c r="CA35" s="3">
        <f>_xlfn.XLOOKUP(CA$1,generator!$B$2:$B$295,generator!$K$2:$K$295,"ARGH")</f>
        <v>0</v>
      </c>
      <c r="CB35" s="3">
        <f>_xlfn.XLOOKUP(CB$1,generator!$B$2:$B$295,generator!$K$2:$K$295,"ARGH")</f>
        <v>0</v>
      </c>
      <c r="CC35" s="3">
        <f>_xlfn.XLOOKUP(CC$1,generator!$B$2:$B$295,generator!$K$2:$K$295,"ARGH")</f>
        <v>0</v>
      </c>
      <c r="CD35" s="3">
        <f>_xlfn.XLOOKUP(CD$1,generator!$B$2:$B$295,generator!$K$2:$K$295,"ARGH")</f>
        <v>0</v>
      </c>
      <c r="CE35" s="3">
        <f>_xlfn.XLOOKUP(CE$1,generator!$B$2:$B$295,generator!$K$2:$K$295,"ARGH")</f>
        <v>0</v>
      </c>
      <c r="CF35" s="3">
        <f>_xlfn.XLOOKUP(CF$1,generator!$B$2:$B$295,generator!$K$2:$K$295,"ARGH")</f>
        <v>0</v>
      </c>
      <c r="CG35" s="3">
        <f>_xlfn.XLOOKUP(CG$1,generator!$B$2:$B$295,generator!$K$2:$K$295,"ARGH")</f>
        <v>0</v>
      </c>
      <c r="CH35" s="3">
        <f>_xlfn.XLOOKUP(CH$1,generator!$B$2:$B$295,generator!$K$2:$K$295,"ARGH")</f>
        <v>0</v>
      </c>
      <c r="CI35" s="3">
        <f>_xlfn.XLOOKUP(CI$1,generator!$B$2:$B$295,generator!$K$2:$K$295,"ARGH")</f>
        <v>0</v>
      </c>
      <c r="CJ35" s="3">
        <f>_xlfn.XLOOKUP(CJ$1,generator!$B$2:$B$295,generator!$K$2:$K$295,"ARGH")</f>
        <v>0</v>
      </c>
      <c r="CK35" s="3">
        <f>_xlfn.XLOOKUP(CK$1,generator!$B$2:$B$295,generator!$K$2:$K$295,"ARGH")</f>
        <v>0</v>
      </c>
      <c r="CL35" s="3">
        <f>_xlfn.XLOOKUP(CL$1,generator!$B$2:$B$295,generator!$K$2:$K$295,"ARGH")</f>
        <v>0</v>
      </c>
      <c r="CM35" s="3">
        <f>_xlfn.XLOOKUP(CM$1,generator!$B$2:$B$295,generator!$K$2:$K$295,"ARGH")</f>
        <v>0</v>
      </c>
      <c r="CN35" s="3">
        <f>_xlfn.XLOOKUP(CN$1,generator!$B$2:$B$295,generator!$K$2:$K$295,"ARGH")</f>
        <v>0</v>
      </c>
      <c r="CO35" s="3">
        <f>_xlfn.XLOOKUP(CO$1,generator!$B$2:$B$295,generator!$K$2:$K$295,"ARGH")</f>
        <v>0</v>
      </c>
      <c r="CP35" s="3">
        <f>_xlfn.XLOOKUP(CP$1,generator!$B$2:$B$295,generator!$K$2:$K$295,"ARGH")</f>
        <v>0</v>
      </c>
      <c r="CQ35" s="3">
        <f>_xlfn.XLOOKUP(CQ$1,generator!$B$2:$B$295,generator!$K$2:$K$295,"ARGH")</f>
        <v>0</v>
      </c>
      <c r="CR35" s="3">
        <f>_xlfn.XLOOKUP(CR$1,generator!$B$2:$B$295,generator!$K$2:$K$295,"ARGH")</f>
        <v>0</v>
      </c>
      <c r="CS35" s="3">
        <f>_xlfn.XLOOKUP(CS$1,generator!$B$2:$B$295,generator!$K$2:$K$295,"ARGH")</f>
        <v>0</v>
      </c>
      <c r="CT35" s="3">
        <f>_xlfn.XLOOKUP(CT$1,generator!$B$2:$B$295,generator!$K$2:$K$295,"ARGH")</f>
        <v>0</v>
      </c>
      <c r="CU35" s="3">
        <f>_xlfn.XLOOKUP(CU$1,generator!$B$2:$B$295,generator!$K$2:$K$295,"ARGH")</f>
        <v>0</v>
      </c>
      <c r="CV35" s="3">
        <f>_xlfn.XLOOKUP(CV$1,generator!$B$2:$B$295,generator!$K$2:$K$295,"ARGH")</f>
        <v>0</v>
      </c>
      <c r="CW35" s="3">
        <f>_xlfn.XLOOKUP(CW$1,generator!$B$2:$B$295,generator!$K$2:$K$295,"ARGH")</f>
        <v>0</v>
      </c>
      <c r="CX35" s="3">
        <f>_xlfn.XLOOKUP(CX$1,generator!$B$2:$B$295,generator!$K$2:$K$295,"ARGH")</f>
        <v>0</v>
      </c>
      <c r="CY35" s="3">
        <f>_xlfn.XLOOKUP(CY$1,generator!$B$2:$B$295,generator!$K$2:$K$295,"ARGH")</f>
        <v>0</v>
      </c>
      <c r="CZ35" s="3">
        <f>_xlfn.XLOOKUP(CZ$1,generator!$B$2:$B$295,generator!$K$2:$K$295,"ARGH")</f>
        <v>0</v>
      </c>
      <c r="DA35" s="3">
        <f>_xlfn.XLOOKUP(DA$1,generator!$B$2:$B$295,generator!$K$2:$K$295,"ARGH")</f>
        <v>0</v>
      </c>
      <c r="DB35" s="3">
        <f>_xlfn.XLOOKUP(DB$1,generator!$B$2:$B$295,generator!$K$2:$K$295,"ARGH")</f>
        <v>0</v>
      </c>
      <c r="DC35" s="3">
        <f>_xlfn.XLOOKUP(DC$1,generator!$B$2:$B$295,generator!$K$2:$K$295,"ARGH")</f>
        <v>0</v>
      </c>
      <c r="DD35" s="3">
        <f>_xlfn.XLOOKUP(DD$1,generator!$B$2:$B$295,generator!$K$2:$K$295,"ARGH")</f>
        <v>0</v>
      </c>
      <c r="DE35" s="3">
        <f>_xlfn.XLOOKUP(DE$1,generator!$B$2:$B$295,generator!$K$2:$K$295,"ARGH")</f>
        <v>0</v>
      </c>
      <c r="DF35" s="3">
        <f>_xlfn.XLOOKUP(DF$1,generator!$B$2:$B$295,generator!$K$2:$K$295,"ARGH")</f>
        <v>0</v>
      </c>
      <c r="DG35" s="3">
        <f>_xlfn.XLOOKUP(DG$1,generator!$B$2:$B$295,generator!$K$2:$K$295,"ARGH")</f>
        <v>0</v>
      </c>
      <c r="DH35" s="3">
        <f>_xlfn.XLOOKUP(DH$1,generator!$B$2:$B$295,generator!$K$2:$K$295,"ARGH")</f>
        <v>0</v>
      </c>
      <c r="DI35" s="3">
        <f>_xlfn.XLOOKUP(DI$1,generator!$B$2:$B$295,generator!$K$2:$K$295,"ARGH")</f>
        <v>0</v>
      </c>
      <c r="DJ35" s="3">
        <f>_xlfn.XLOOKUP(DJ$1,generator!$B$2:$B$295,generator!$K$2:$K$295,"ARGH")</f>
        <v>0</v>
      </c>
      <c r="DK35" s="3">
        <f>_xlfn.XLOOKUP(DK$1,generator!$B$2:$B$295,generator!$K$2:$K$295,"ARGH")</f>
        <v>0</v>
      </c>
      <c r="DL35" s="3">
        <f>_xlfn.XLOOKUP(DL$1,generator!$B$2:$B$295,generator!$K$2:$K$295,"ARGH")</f>
        <v>0</v>
      </c>
      <c r="DM35" s="3">
        <f>_xlfn.XLOOKUP(DM$1,generator!$B$2:$B$295,generator!$K$2:$K$295,"ARGH")</f>
        <v>0</v>
      </c>
      <c r="DN35" s="3">
        <f>_xlfn.XLOOKUP(DN$1,generator!$B$2:$B$295,generator!$K$2:$K$295,"ARGH")</f>
        <v>0</v>
      </c>
      <c r="DO35" s="3">
        <f>_xlfn.XLOOKUP(DO$1,generator!$B$2:$B$295,generator!$K$2:$K$295,"ARGH")</f>
        <v>0</v>
      </c>
      <c r="DP35" s="3">
        <f>_xlfn.XLOOKUP(DP$1,generator!$B$2:$B$295,generator!$K$2:$K$295,"ARGH")</f>
        <v>0</v>
      </c>
      <c r="DQ35" s="3">
        <f>_xlfn.XLOOKUP(DQ$1,generator!$B$2:$B$295,generator!$K$2:$K$295,"ARGH")</f>
        <v>0</v>
      </c>
      <c r="DR35" s="3">
        <f>_xlfn.XLOOKUP(DR$1,generator!$B$2:$B$295,generator!$K$2:$K$295,"ARGH")</f>
        <v>0</v>
      </c>
      <c r="DS35" s="3">
        <f>_xlfn.XLOOKUP(DS$1,generator!$B$2:$B$295,generator!$K$2:$K$295,"ARGH")</f>
        <v>0</v>
      </c>
      <c r="DT35" s="3">
        <f>_xlfn.XLOOKUP(DT$1,generator!$B$2:$B$295,generator!$K$2:$K$295,"ARGH")</f>
        <v>0</v>
      </c>
      <c r="DU35" s="3">
        <f>_xlfn.XLOOKUP(DU$1,generator!$B$2:$B$295,generator!$K$2:$K$295,"ARGH")</f>
        <v>0</v>
      </c>
      <c r="DV35" s="3">
        <f>_xlfn.XLOOKUP(DV$1,generator!$B$2:$B$295,generator!$K$2:$K$295,"ARGH")</f>
        <v>0</v>
      </c>
      <c r="DW35" s="3">
        <f>_xlfn.XLOOKUP(DW$1,generator!$B$2:$B$295,generator!$K$2:$K$295,"ARGH")</f>
        <v>0</v>
      </c>
      <c r="DX35" s="3">
        <f>_xlfn.XLOOKUP(DX$1,generator!$B$2:$B$295,generator!$K$2:$K$295,"ARGH")</f>
        <v>0</v>
      </c>
      <c r="DY35" s="3">
        <f>_xlfn.XLOOKUP(DY$1,generator!$B$2:$B$295,generator!$K$2:$K$295,"ARGH")</f>
        <v>0</v>
      </c>
      <c r="DZ35" s="3">
        <f>_xlfn.XLOOKUP(DZ$1,generator!$B$2:$B$295,generator!$K$2:$K$295,"ARGH")</f>
        <v>0</v>
      </c>
      <c r="EA35" s="3">
        <f>_xlfn.XLOOKUP(EA$1,generator!$B$2:$B$295,generator!$K$2:$K$295,"ARGH")</f>
        <v>0</v>
      </c>
      <c r="EB35" s="3">
        <f>_xlfn.XLOOKUP(EB$1,generator!$B$2:$B$295,generator!$K$2:$K$295,"ARGH")</f>
        <v>0</v>
      </c>
      <c r="EC35" s="3">
        <f>_xlfn.XLOOKUP(EC$1,generator!$B$2:$B$295,generator!$K$2:$K$295,"ARGH")</f>
        <v>0</v>
      </c>
      <c r="ED35" s="3">
        <f>_xlfn.XLOOKUP(ED$1,generator!$B$2:$B$295,generator!$K$2:$K$295,"ARGH")</f>
        <v>0</v>
      </c>
      <c r="EE35" s="3">
        <f>_xlfn.XLOOKUP(EE$1,generator!$B$2:$B$295,generator!$K$2:$K$295,"ARGH")</f>
        <v>0</v>
      </c>
      <c r="EF35" s="3">
        <f>_xlfn.XLOOKUP(EF$1,generator!$B$2:$B$295,generator!$K$2:$K$295,"ARGH")</f>
        <v>0</v>
      </c>
      <c r="EG35" s="3">
        <f>_xlfn.XLOOKUP(EG$1,generator!$B$2:$B$295,generator!$K$2:$K$295,"ARGH")</f>
        <v>0</v>
      </c>
      <c r="EH35" s="3">
        <f>_xlfn.XLOOKUP(EH$1,generator!$B$2:$B$295,generator!$K$2:$K$295,"ARGH")</f>
        <v>0</v>
      </c>
      <c r="EI35" s="3">
        <f>_xlfn.XLOOKUP(EI$1,generator!$B$2:$B$295,generator!$K$2:$K$295,"ARGH")</f>
        <v>0</v>
      </c>
      <c r="EJ35" s="3">
        <f>_xlfn.XLOOKUP(EJ$1,generator!$B$2:$B$295,generator!$K$2:$K$295,"ARGH")</f>
        <v>0</v>
      </c>
      <c r="EK35" s="3">
        <f>_xlfn.XLOOKUP(EK$1,generator!$B$2:$B$295,generator!$K$2:$K$295,"ARGH")</f>
        <v>0</v>
      </c>
      <c r="EL35" s="3">
        <f>_xlfn.XLOOKUP(EL$1,generator!$B$2:$B$295,generator!$K$2:$K$295,"ARGH")</f>
        <v>0</v>
      </c>
      <c r="EM35" s="3">
        <f>_xlfn.XLOOKUP(EM$1,generator!$B$2:$B$295,generator!$K$2:$K$295,"ARGH")</f>
        <v>0</v>
      </c>
      <c r="EN35" s="3">
        <f>_xlfn.XLOOKUP(EN$1,generator!$B$2:$B$295,generator!$K$2:$K$295,"ARGH")</f>
        <v>0</v>
      </c>
      <c r="EO35" s="3">
        <f>_xlfn.XLOOKUP(EO$1,generator!$B$2:$B$295,generator!$K$2:$K$295,"ARGH")</f>
        <v>0</v>
      </c>
      <c r="EP35" s="3">
        <f>_xlfn.XLOOKUP(EP$1,generator!$B$2:$B$295,generator!$K$2:$K$295,"ARGH")</f>
        <v>0</v>
      </c>
      <c r="EQ35" s="3">
        <f>_xlfn.XLOOKUP(EQ$1,generator!$B$2:$B$295,generator!$K$2:$K$295,"ARGH")</f>
        <v>0</v>
      </c>
      <c r="ER35" s="3">
        <f>_xlfn.XLOOKUP(ER$1,generator!$B$2:$B$295,generator!$K$2:$K$295,"ARGH")</f>
        <v>0</v>
      </c>
      <c r="ES35" s="3">
        <f>_xlfn.XLOOKUP(ES$1,generator!$B$2:$B$295,generator!$K$2:$K$295,"ARGH")</f>
        <v>0</v>
      </c>
      <c r="ET35" s="3">
        <f>_xlfn.XLOOKUP(ET$1,generator!$B$2:$B$295,generator!$K$2:$K$295,"ARGH")</f>
        <v>0</v>
      </c>
      <c r="EU35" s="3">
        <f>_xlfn.XLOOKUP(EU$1,generator!$B$2:$B$295,generator!$K$2:$K$295,"ARGH")</f>
        <v>0</v>
      </c>
      <c r="EV35" s="3">
        <f>_xlfn.XLOOKUP(EV$1,generator!$B$2:$B$295,generator!$K$2:$K$295,"ARGH")</f>
        <v>0</v>
      </c>
      <c r="EW35" s="3">
        <f>_xlfn.XLOOKUP(EW$1,generator!$B$2:$B$295,generator!$K$2:$K$295,"ARGH")</f>
        <v>0</v>
      </c>
      <c r="EX35" s="3">
        <f>_xlfn.XLOOKUP(EX$1,generator!$B$2:$B$295,generator!$K$2:$K$295,"ARGH")</f>
        <v>0</v>
      </c>
      <c r="EY35" s="3">
        <f>_xlfn.XLOOKUP(EY$1,generator!$B$2:$B$295,generator!$K$2:$K$295,"ARGH")</f>
        <v>0</v>
      </c>
      <c r="EZ35" s="3">
        <f>_xlfn.XLOOKUP(EZ$1,generator!$B$2:$B$295,generator!$K$2:$K$295,"ARGH")</f>
        <v>0</v>
      </c>
      <c r="FA35" s="3">
        <f>_xlfn.XLOOKUP(FA$1,generator!$B$2:$B$295,generator!$K$2:$K$295,"ARGH")</f>
        <v>0</v>
      </c>
      <c r="FB35" s="3">
        <f>_xlfn.XLOOKUP(FB$1,generator!$B$2:$B$295,generator!$K$2:$K$295,"ARGH")</f>
        <v>0</v>
      </c>
      <c r="FC35" s="3">
        <f>_xlfn.XLOOKUP(FC$1,generator!$B$2:$B$295,generator!$K$2:$K$295,"ARGH")</f>
        <v>0</v>
      </c>
      <c r="FD35" s="3">
        <f>_xlfn.XLOOKUP(FD$1,generator!$B$2:$B$295,generator!$K$2:$K$295,"ARGH")</f>
        <v>0</v>
      </c>
      <c r="FE35" s="3">
        <f>_xlfn.XLOOKUP(FE$1,generator!$B$2:$B$295,generator!$K$2:$K$295,"ARGH")</f>
        <v>0</v>
      </c>
      <c r="FF35" s="3">
        <f>_xlfn.XLOOKUP(FF$1,generator!$B$2:$B$295,generator!$K$2:$K$295,"ARGH")</f>
        <v>0</v>
      </c>
      <c r="FG35" s="3">
        <f>_xlfn.XLOOKUP(FG$1,generator!$B$2:$B$295,generator!$K$2:$K$295,"ARGH")</f>
        <v>0</v>
      </c>
      <c r="FH35" s="3">
        <f>_xlfn.XLOOKUP(FH$1,generator!$B$2:$B$295,generator!$K$2:$K$295,"ARGH")</f>
        <v>0</v>
      </c>
      <c r="FI35" s="3">
        <f>_xlfn.XLOOKUP(FI$1,generator!$B$2:$B$295,generator!$K$2:$K$295,"ARGH")</f>
        <v>0</v>
      </c>
      <c r="FJ35" s="3">
        <f>_xlfn.XLOOKUP(FJ$1,generator!$B$2:$B$295,generator!$K$2:$K$295,"ARGH")</f>
        <v>0</v>
      </c>
      <c r="FK35" s="3">
        <f>_xlfn.XLOOKUP(FK$1,generator!$B$2:$B$295,generator!$K$2:$K$295,"ARGH")</f>
        <v>0</v>
      </c>
      <c r="FL35" s="3">
        <f>_xlfn.XLOOKUP(FL$1,generator!$B$2:$B$295,generator!$K$2:$K$295,"ARGH")</f>
        <v>0</v>
      </c>
      <c r="FM35" s="3">
        <f>_xlfn.XLOOKUP(FM$1,generator!$B$2:$B$295,generator!$K$2:$K$295,"ARGH")</f>
        <v>0</v>
      </c>
      <c r="FN35" s="3">
        <f>_xlfn.XLOOKUP(FN$1,generator!$B$2:$B$295,generator!$K$2:$K$295,"ARGH")</f>
        <v>0</v>
      </c>
      <c r="FO35" s="3">
        <f>_xlfn.XLOOKUP(FO$1,generator!$B$2:$B$295,generator!$K$2:$K$295,"ARGH")</f>
        <v>0</v>
      </c>
      <c r="FP35" s="3">
        <f>_xlfn.XLOOKUP(FP$1,generator!$B$2:$B$295,generator!$K$2:$K$295,"ARGH")</f>
        <v>0</v>
      </c>
      <c r="FQ35" s="3">
        <f>_xlfn.XLOOKUP(FQ$1,generator!$B$2:$B$295,generator!$K$2:$K$295,"ARGH")</f>
        <v>0</v>
      </c>
      <c r="FR35" s="3">
        <f>_xlfn.XLOOKUP(FR$1,generator!$B$2:$B$295,generator!$K$2:$K$295,"ARGH")</f>
        <v>0</v>
      </c>
      <c r="FS35" s="3">
        <f>_xlfn.XLOOKUP(FS$1,generator!$B$2:$B$295,generator!$K$2:$K$295,"ARGH")</f>
        <v>0</v>
      </c>
      <c r="FT35" s="3">
        <f>_xlfn.XLOOKUP(FT$1,generator!$B$2:$B$295,generator!$K$2:$K$295,"ARGH")</f>
        <v>0</v>
      </c>
      <c r="FU35" s="3">
        <f>_xlfn.XLOOKUP(FU$1,generator!$B$2:$B$295,generator!$K$2:$K$295,"ARGH")</f>
        <v>0</v>
      </c>
      <c r="FV35" s="3">
        <f>_xlfn.XLOOKUP(FV$1,generator!$B$2:$B$295,generator!$K$2:$K$295,"ARGH")</f>
        <v>0</v>
      </c>
      <c r="FW35" s="3">
        <f>_xlfn.XLOOKUP(FW$1,generator!$B$2:$B$295,generator!$K$2:$K$295,"ARGH")</f>
        <v>0</v>
      </c>
      <c r="FX35" s="3">
        <f>_xlfn.XLOOKUP(FX$1,generator!$B$2:$B$295,generator!$K$2:$K$295,"ARGH")</f>
        <v>0</v>
      </c>
      <c r="FY35" s="3">
        <f>_xlfn.XLOOKUP(FY$1,generator!$B$2:$B$295,generator!$K$2:$K$295,"ARGH")</f>
        <v>0</v>
      </c>
      <c r="FZ35" s="3">
        <f>_xlfn.XLOOKUP(FZ$1,generator!$B$2:$B$295,generator!$K$2:$K$295,"ARGH")</f>
        <v>0</v>
      </c>
      <c r="GA35" s="3">
        <f>_xlfn.XLOOKUP(GA$1,generator!$B$2:$B$295,generator!$K$2:$K$295,"ARGH")</f>
        <v>0</v>
      </c>
      <c r="GB35" s="3">
        <f>_xlfn.XLOOKUP(GB$1,generator!$B$2:$B$295,generator!$K$2:$K$295,"ARGH")</f>
        <v>0</v>
      </c>
      <c r="GC35" s="3">
        <f>_xlfn.XLOOKUP(GC$1,generator!$B$2:$B$295,generator!$K$2:$K$295,"ARGH")</f>
        <v>0</v>
      </c>
      <c r="GD35" s="3">
        <f>_xlfn.XLOOKUP(GD$1,generator!$B$2:$B$295,generator!$K$2:$K$295,"ARGH")</f>
        <v>0</v>
      </c>
      <c r="GE35" s="3">
        <f>_xlfn.XLOOKUP(GE$1,generator!$B$2:$B$295,generator!$K$2:$K$295,"ARGH")</f>
        <v>0</v>
      </c>
      <c r="GF35" s="3">
        <f>_xlfn.XLOOKUP(GF$1,generator!$B$2:$B$295,generator!$K$2:$K$295,"ARGH")</f>
        <v>0</v>
      </c>
      <c r="GG35" s="3">
        <f>_xlfn.XLOOKUP(GG$1,generator!$B$2:$B$295,generator!$K$2:$K$295,"ARGH")</f>
        <v>0</v>
      </c>
      <c r="GH35" s="3">
        <f>_xlfn.XLOOKUP(GH$1,generator!$B$2:$B$295,generator!$K$2:$K$295,"ARGH")</f>
        <v>0</v>
      </c>
      <c r="GI35" s="3">
        <f>_xlfn.XLOOKUP(GI$1,generator!$B$2:$B$295,generator!$K$2:$K$295,"ARGH")</f>
        <v>0</v>
      </c>
      <c r="GJ35" s="3">
        <f>_xlfn.XLOOKUP(GJ$1,generator!$B$2:$B$295,generator!$K$2:$K$295,"ARGH")</f>
        <v>0</v>
      </c>
      <c r="GK35" s="3">
        <f>_xlfn.XLOOKUP(GK$1,generator!$B$2:$B$295,generator!$K$2:$K$295,"ARGH")</f>
        <v>0</v>
      </c>
      <c r="GL35" s="3">
        <f>_xlfn.XLOOKUP(GL$1,generator!$B$2:$B$295,generator!$K$2:$K$295,"ARGH")</f>
        <v>0</v>
      </c>
      <c r="GM35" s="3">
        <f>_xlfn.XLOOKUP(GM$1,generator!$B$2:$B$295,generator!$K$2:$K$295,"ARGH")</f>
        <v>0</v>
      </c>
      <c r="GN35" s="3">
        <f>_xlfn.XLOOKUP(GN$1,generator!$B$2:$B$295,generator!$K$2:$K$295,"ARGH")</f>
        <v>0</v>
      </c>
      <c r="GO35" s="3">
        <f>_xlfn.XLOOKUP(GO$1,generator!$B$2:$B$295,generator!$K$2:$K$295,"ARGH")</f>
        <v>0</v>
      </c>
      <c r="GP35" s="3">
        <f>_xlfn.XLOOKUP(GP$1,generator!$B$2:$B$295,generator!$K$2:$K$295,"ARGH")</f>
        <v>0</v>
      </c>
      <c r="GQ35" s="3">
        <f>_xlfn.XLOOKUP(GQ$1,generator!$B$2:$B$295,generator!$K$2:$K$295,"ARGH")</f>
        <v>0</v>
      </c>
      <c r="GR35" s="3">
        <f>_xlfn.XLOOKUP(GR$1,generator!$B$2:$B$295,generator!$K$2:$K$295,"ARGH")</f>
        <v>0</v>
      </c>
      <c r="GS35" s="3">
        <f>_xlfn.XLOOKUP(GS$1,generator!$B$2:$B$295,generator!$K$2:$K$295,"ARGH")</f>
        <v>0</v>
      </c>
      <c r="GT35" s="3">
        <f>_xlfn.XLOOKUP(GT$1,generator!$B$2:$B$295,generator!$K$2:$K$295,"ARGH")</f>
        <v>0</v>
      </c>
      <c r="GU35" s="3">
        <f>_xlfn.XLOOKUP(GU$1,generator!$B$2:$B$295,generator!$K$2:$K$295,"ARGH")</f>
        <v>0</v>
      </c>
      <c r="GV35" s="3">
        <f>_xlfn.XLOOKUP(GV$1,generator!$B$2:$B$295,generator!$K$2:$K$295,"ARGH")</f>
        <v>0</v>
      </c>
      <c r="GW35" s="3">
        <f>_xlfn.XLOOKUP(GW$1,generator!$B$2:$B$295,generator!$K$2:$K$295,"ARGH")</f>
        <v>0</v>
      </c>
      <c r="GX35" s="3">
        <f>_xlfn.XLOOKUP(GX$1,generator!$B$2:$B$295,generator!$K$2:$K$295,"ARGH")</f>
        <v>0</v>
      </c>
      <c r="GY35" s="3">
        <f>_xlfn.XLOOKUP(GY$1,generator!$B$2:$B$295,generator!$K$2:$K$295,"ARGH")</f>
        <v>0</v>
      </c>
      <c r="GZ35" s="3">
        <f>_xlfn.XLOOKUP(GZ$1,generator!$B$2:$B$295,generator!$K$2:$K$295,"ARGH")</f>
        <v>0</v>
      </c>
      <c r="HA35" s="3">
        <f>_xlfn.XLOOKUP(HA$1,generator!$B$2:$B$295,generator!$K$2:$K$295,"ARGH")</f>
        <v>0</v>
      </c>
      <c r="HB35" s="3">
        <f>_xlfn.XLOOKUP(HB$1,generator!$B$2:$B$295,generator!$K$2:$K$295,"ARGH")</f>
        <v>0</v>
      </c>
      <c r="HC35" s="3">
        <f>_xlfn.XLOOKUP(HC$1,generator!$B$2:$B$295,generator!$K$2:$K$295,"ARGH")</f>
        <v>0</v>
      </c>
      <c r="HD35" s="3">
        <f>_xlfn.XLOOKUP(HD$1,generator!$B$2:$B$295,generator!$K$2:$K$295,"ARGH")</f>
        <v>0</v>
      </c>
      <c r="HE35" s="3">
        <f>_xlfn.XLOOKUP(HE$1,generator!$B$2:$B$295,generator!$K$2:$K$295,"ARGH")</f>
        <v>12.74</v>
      </c>
      <c r="HF35" s="3">
        <f>_xlfn.XLOOKUP(HF$1,generator!$B$2:$B$295,generator!$K$2:$K$295,"ARGH")</f>
        <v>99</v>
      </c>
      <c r="HG35" s="3">
        <f>_xlfn.XLOOKUP(HG$1,generator!$B$2:$B$295,generator!$K$2:$K$295,"ARGH")</f>
        <v>99</v>
      </c>
      <c r="HH35" s="3">
        <f>_xlfn.XLOOKUP(HH$1,generator!$B$2:$B$295,generator!$K$2:$K$295,"ARGH")</f>
        <v>99</v>
      </c>
      <c r="HI35" s="3">
        <f>_xlfn.XLOOKUP(HI$1,generator!$B$2:$B$295,generator!$K$2:$K$295,"ARGH")</f>
        <v>8</v>
      </c>
      <c r="HJ35" s="3">
        <f>_xlfn.XLOOKUP(HJ$1,generator!$B$2:$B$295,generator!$K$2:$K$295,"ARGH")</f>
        <v>8</v>
      </c>
      <c r="HK35" s="3">
        <f>_xlfn.XLOOKUP(HK$1,generator!$B$2:$B$295,generator!$K$2:$K$295,"ARGH")</f>
        <v>8</v>
      </c>
      <c r="HL35" s="3">
        <f>_xlfn.XLOOKUP(HL$1,generator!$B$2:$B$295,generator!$K$2:$K$295,"ARGH")</f>
        <v>20</v>
      </c>
      <c r="HM35" s="3">
        <f>_xlfn.XLOOKUP(HM$1,generator!$B$2:$B$295,generator!$K$2:$K$295,"ARGH")</f>
        <v>20</v>
      </c>
      <c r="HN35" s="3">
        <f>_xlfn.XLOOKUP(HN$1,generator!$B$2:$B$295,generator!$K$2:$K$295,"ARGH")</f>
        <v>5</v>
      </c>
      <c r="HO35" s="3">
        <f>_xlfn.XLOOKUP(HO$1,generator!$B$2:$B$295,generator!$K$2:$K$295,"ARGH")</f>
        <v>5</v>
      </c>
      <c r="HP35" s="3">
        <f>_xlfn.XLOOKUP(HP$1,generator!$B$2:$B$295,generator!$K$2:$K$295,"ARGH")</f>
        <v>0.2</v>
      </c>
      <c r="HQ35" s="3">
        <f>_xlfn.XLOOKUP(HQ$1,generator!$B$2:$B$295,generator!$K$2:$K$295,"ARGH")</f>
        <v>5</v>
      </c>
      <c r="HR35" s="3">
        <f>_xlfn.XLOOKUP(HR$1,generator!$B$2:$B$295,generator!$K$2:$K$295,"ARGH")</f>
        <v>5</v>
      </c>
      <c r="HS35" s="3">
        <f>_xlfn.XLOOKUP(HS$1,generator!$B$2:$B$295,generator!$K$2:$K$295,"ARGH")</f>
        <v>12.82</v>
      </c>
      <c r="HT35" s="3">
        <f>_xlfn.XLOOKUP(HT$1,generator!$B$2:$B$295,generator!$K$2:$K$295,"ARGH")</f>
        <v>12.82</v>
      </c>
      <c r="HU35" s="3">
        <f>_xlfn.XLOOKUP(HU$1,generator!$B$2:$B$295,generator!$K$2:$K$295,"ARGH")</f>
        <v>25</v>
      </c>
      <c r="HV35" s="3">
        <f>_xlfn.XLOOKUP(HV$1,generator!$B$2:$B$295,generator!$K$2:$K$295,"ARGH")</f>
        <v>16</v>
      </c>
      <c r="HW35" s="3">
        <f>_xlfn.XLOOKUP(HW$1,generator!$B$2:$B$295,generator!$K$2:$K$295,"ARGH")</f>
        <v>5</v>
      </c>
      <c r="HX35" s="3">
        <f>_xlfn.XLOOKUP(HX$1,generator!$B$2:$B$295,generator!$K$2:$K$295,"ARGH")</f>
        <v>5</v>
      </c>
      <c r="HY35" s="3">
        <f>_xlfn.XLOOKUP(HY$1,generator!$B$2:$B$295,generator!$K$2:$K$295,"ARGH")</f>
        <v>63</v>
      </c>
      <c r="HZ35" s="3">
        <f>_xlfn.XLOOKUP(HZ$1,generator!$B$2:$B$295,generator!$K$2:$K$295,"ARGH")</f>
        <v>18</v>
      </c>
      <c r="IA35" s="3">
        <f>_xlfn.XLOOKUP(IA$1,generator!$B$2:$B$295,generator!$K$2:$K$295,"ARGH")</f>
        <v>121</v>
      </c>
      <c r="IB35" s="3">
        <f>_xlfn.XLOOKUP(IB$1,generator!$B$2:$B$295,generator!$K$2:$K$295,"ARGH")</f>
        <v>120</v>
      </c>
      <c r="IC35" s="3">
        <f>_xlfn.XLOOKUP(IC$1,generator!$B$2:$B$295,generator!$K$2:$K$295,"ARGH")</f>
        <v>0</v>
      </c>
      <c r="ID35" s="3">
        <f>_xlfn.XLOOKUP(ID$1,generator!$B$2:$B$295,generator!$K$2:$K$295,"ARGH")</f>
        <v>17</v>
      </c>
      <c r="IE35" s="3">
        <f>_xlfn.XLOOKUP(IE$1,generator!$B$2:$B$295,generator!$K$2:$K$295,"ARGH")</f>
        <v>194</v>
      </c>
      <c r="IF35" s="3">
        <f>_xlfn.XLOOKUP(IF$1,generator!$B$2:$B$295,generator!$K$2:$K$295,"ARGH")</f>
        <v>11.9</v>
      </c>
      <c r="IG35" s="3">
        <f>_xlfn.XLOOKUP(IG$1,generator!$B$2:$B$295,generator!$K$2:$K$295,"ARGH")</f>
        <v>11.9</v>
      </c>
      <c r="IH35" s="3">
        <f>_xlfn.XLOOKUP(IH$1,generator!$B$2:$B$295,generator!$K$2:$K$295,"ARGH")</f>
        <v>11.9</v>
      </c>
      <c r="II35" s="3">
        <f>_xlfn.XLOOKUP(II$1,generator!$B$2:$B$295,generator!$K$2:$K$295,"ARGH")</f>
        <v>11.9</v>
      </c>
      <c r="IJ35" s="3">
        <f>_xlfn.XLOOKUP(IJ$1,generator!$B$2:$B$295,generator!$K$2:$K$295,"ARGH")</f>
        <v>0</v>
      </c>
      <c r="IK35" s="3">
        <f>_xlfn.XLOOKUP(IK$1,generator!$B$2:$B$295,generator!$K$2:$K$295,"ARGH")</f>
        <v>3</v>
      </c>
      <c r="IL35" s="3">
        <f>_xlfn.XLOOKUP(IL$1,generator!$B$2:$B$295,generator!$K$2:$K$295,"ARGH")</f>
        <v>5</v>
      </c>
      <c r="IM35" s="3">
        <f>_xlfn.XLOOKUP(IM$1,generator!$B$2:$B$295,generator!$K$2:$K$295,"ARGH")</f>
        <v>5</v>
      </c>
      <c r="IN35" s="3">
        <f>_xlfn.XLOOKUP(IN$1,generator!$B$2:$B$295,generator!$K$2:$K$295,"ARGH")</f>
        <v>4</v>
      </c>
      <c r="IO35" s="3">
        <f>_xlfn.XLOOKUP(IO$1,generator!$B$2:$B$295,generator!$K$2:$K$295,"ARGH")</f>
        <v>4</v>
      </c>
      <c r="IP35" s="3">
        <f>_xlfn.XLOOKUP(IP$1,generator!$B$2:$B$295,generator!$K$2:$K$295,"ARGH")</f>
        <v>3</v>
      </c>
      <c r="IQ35" s="3">
        <f>_xlfn.XLOOKUP(IQ$1,generator!$B$2:$B$295,generator!$K$2:$K$295,"ARGH")</f>
        <v>1</v>
      </c>
      <c r="IR35" s="3">
        <f>_xlfn.XLOOKUP(IR$1,generator!$B$2:$B$295,generator!$K$2:$K$295,"ARGH")</f>
        <v>3</v>
      </c>
      <c r="IS35" s="3">
        <f>_xlfn.XLOOKUP(IS$1,generator!$B$2:$B$295,generator!$K$2:$K$295,"ARGH")</f>
        <v>3</v>
      </c>
      <c r="IT35" s="3">
        <f>_xlfn.XLOOKUP(IT$1,generator!$B$2:$B$295,generator!$K$2:$K$295,"ARGH")</f>
        <v>0</v>
      </c>
      <c r="IU35" s="3">
        <f>_xlfn.XLOOKUP(IU$1,generator!$B$2:$B$295,generator!$K$2:$K$295,"ARGH")</f>
        <v>3.99</v>
      </c>
      <c r="IV35" s="3">
        <f>_xlfn.XLOOKUP(IV$1,generator!$B$2:$B$295,generator!$K$2:$K$295,"ARGH")</f>
        <v>0.2</v>
      </c>
      <c r="IW35" s="3">
        <f>_xlfn.XLOOKUP(IW$1,generator!$B$2:$B$295,generator!$K$2:$K$295,"ARGH")</f>
        <v>15</v>
      </c>
      <c r="IX35" s="3">
        <f>_xlfn.XLOOKUP(IX$1,generator!$B$2:$B$295,generator!$K$2:$K$295,"ARGH")</f>
        <v>15</v>
      </c>
      <c r="IY35" s="3">
        <f>_xlfn.XLOOKUP(IY$1,generator!$B$2:$B$295,generator!$K$2:$K$295,"ARGH")</f>
        <v>15</v>
      </c>
      <c r="IZ35" s="3">
        <f>_xlfn.XLOOKUP(IZ$1,generator!$B$2:$B$295,generator!$K$2:$K$295,"ARGH")</f>
        <v>120</v>
      </c>
      <c r="JA35" s="3">
        <f>_xlfn.XLOOKUP(JA$1,generator!$B$2:$B$295,generator!$K$2:$K$295,"ARGH")</f>
        <v>40</v>
      </c>
      <c r="JB35" s="3">
        <f>_xlfn.XLOOKUP(JB$1,generator!$B$2:$B$295,generator!$K$2:$K$295,"ARGH")</f>
        <v>40</v>
      </c>
      <c r="JC35" s="3">
        <f>_xlfn.XLOOKUP(JC$1,generator!$B$2:$B$295,generator!$K$2:$K$295,"ARGH")</f>
        <v>113</v>
      </c>
      <c r="JD35" s="3">
        <f>_xlfn.XLOOKUP(JD$1,generator!$B$2:$B$295,generator!$K$2:$K$295,"ARGH")</f>
        <v>113</v>
      </c>
      <c r="JE35" s="3">
        <f>_xlfn.XLOOKUP(JE$1,generator!$B$2:$B$295,generator!$K$2:$K$295,"ARGH")</f>
        <v>211</v>
      </c>
      <c r="JF35" s="3">
        <f>_xlfn.XLOOKUP(JF$1,generator!$B$2:$B$295,generator!$K$2:$K$295,"ARGH")</f>
        <v>22.5</v>
      </c>
      <c r="JG35" s="3">
        <f>_xlfn.XLOOKUP(JG$1,generator!$B$2:$B$295,generator!$K$2:$K$295,"ARGH")</f>
        <v>1</v>
      </c>
      <c r="JH35" s="3">
        <f>_xlfn.XLOOKUP(JH$1,generator!$B$2:$B$295,generator!$K$2:$K$295,"ARGH")</f>
        <v>160</v>
      </c>
      <c r="JI35" s="3">
        <f>_xlfn.XLOOKUP(JI$1,generator!$B$2:$B$295,generator!$K$2:$K$295,"ARGH")</f>
        <v>165</v>
      </c>
      <c r="JJ35" s="3">
        <f>_xlfn.XLOOKUP(JJ$1,generator!$B$2:$B$295,generator!$K$2:$K$295,"ARGH")</f>
        <v>4.5999999999999996</v>
      </c>
      <c r="JK35" s="3">
        <f>_xlfn.XLOOKUP(JK$1,generator!$B$2:$B$295,generator!$K$2:$K$295,"ARGH")</f>
        <v>4.5999999999999996</v>
      </c>
      <c r="JL35" s="3">
        <f>_xlfn.XLOOKUP(JL$1,generator!$B$2:$B$295,generator!$K$2:$K$295,"ARGH")</f>
        <v>4.5999999999999996</v>
      </c>
      <c r="JM35" s="3">
        <f>_xlfn.XLOOKUP(JM$1,generator!$B$2:$B$295,generator!$K$2:$K$295,"ARGH")</f>
        <v>4.5999999999999996</v>
      </c>
      <c r="JN35" s="3">
        <f>_xlfn.XLOOKUP(JN$1,generator!$B$2:$B$295,generator!$K$2:$K$295,"ARGH")</f>
        <v>4.5999999999999996</v>
      </c>
      <c r="JO35" s="3">
        <f>_xlfn.XLOOKUP(JO$1,generator!$B$2:$B$295,generator!$K$2:$K$295,"ARGH")</f>
        <v>4.5999999999999996</v>
      </c>
      <c r="JP35" s="3">
        <f>_xlfn.XLOOKUP(JP$1,generator!$B$2:$B$295,generator!$K$2:$K$295,"ARGH")</f>
        <v>110</v>
      </c>
      <c r="JQ35" s="3">
        <f>_xlfn.XLOOKUP(JQ$1,generator!$B$2:$B$295,generator!$K$2:$K$295,"ARGH")</f>
        <v>22.7</v>
      </c>
      <c r="JR35" s="3">
        <f>_xlfn.XLOOKUP(JR$1,generator!$B$2:$B$295,generator!$K$2:$K$295,"ARGH")</f>
        <v>147</v>
      </c>
      <c r="JS35" s="3">
        <f>_xlfn.XLOOKUP(JS$1,generator!$B$2:$B$295,generator!$K$2:$K$295,"ARGH")</f>
        <v>147</v>
      </c>
      <c r="JT35" s="3">
        <f>_xlfn.XLOOKUP(JT$1,generator!$B$2:$B$295,generator!$K$2:$K$295,"ARGH")</f>
        <v>22.7</v>
      </c>
      <c r="JU35" s="3">
        <f>_xlfn.XLOOKUP(JU$1,generator!$B$2:$B$295,generator!$K$2:$K$295,"ARGH")</f>
        <v>21.5</v>
      </c>
      <c r="JV35" s="3">
        <f>_xlfn.XLOOKUP(JV$1,generator!$B$2:$B$295,generator!$K$2:$K$295,"ARGH")</f>
        <v>120</v>
      </c>
      <c r="JW35" s="3">
        <f>_xlfn.XLOOKUP(JW$1,generator!$B$2:$B$295,generator!$K$2:$K$295,"ARGH")</f>
        <v>120</v>
      </c>
      <c r="JX35" s="3">
        <f>_xlfn.XLOOKUP(JX$1,generator!$B$2:$B$295,generator!$K$2:$K$295,"ARGH")</f>
        <v>1</v>
      </c>
      <c r="JY35" s="3">
        <f>_xlfn.XLOOKUP(JY$1,generator!$B$2:$B$295,generator!$K$2:$K$295,"ARGH")</f>
        <v>41.15</v>
      </c>
      <c r="JZ35" s="3">
        <f>_xlfn.XLOOKUP(JZ$1,generator!$B$2:$B$295,generator!$K$2:$K$295,"ARGH")</f>
        <v>5</v>
      </c>
      <c r="KA35" s="3">
        <f>_xlfn.XLOOKUP(KA$1,generator!$B$2:$B$295,generator!$K$2:$K$295,"ARGH")</f>
        <v>5</v>
      </c>
      <c r="KB35" s="3">
        <f>_xlfn.XLOOKUP(KB$1,generator!$B$2:$B$295,generator!$K$2:$K$295,"ARGH")</f>
        <v>5</v>
      </c>
      <c r="KC35" s="3">
        <f>_xlfn.XLOOKUP(KC$1,generator!$B$2:$B$295,generator!$K$2:$K$295,"ARGH")</f>
        <v>5</v>
      </c>
    </row>
    <row r="36" spans="1:289" x14ac:dyDescent="0.3">
      <c r="A36" s="4" t="s">
        <v>3031</v>
      </c>
      <c r="B36" s="31">
        <v>351</v>
      </c>
      <c r="C36" s="31">
        <v>512.5</v>
      </c>
      <c r="D36" s="31">
        <v>442</v>
      </c>
      <c r="E36" s="3">
        <f>_xlfn.XLOOKUP(E$1,generator!$B$2:$B$295,generator!$K$2:$K$295,"ARGH")</f>
        <v>0</v>
      </c>
      <c r="F36" s="3">
        <f>_xlfn.XLOOKUP(F$1,generator!$B$2:$B$295,generator!$K$2:$K$295,"ARGH")</f>
        <v>0</v>
      </c>
      <c r="G36" s="3">
        <f>_xlfn.XLOOKUP(G$1,generator!$B$2:$B$295,generator!$K$2:$K$295,"ARGH")</f>
        <v>0</v>
      </c>
      <c r="H36" s="3">
        <f>_xlfn.XLOOKUP(H$1,generator!$B$2:$B$295,generator!$K$2:$K$295,"ARGH")</f>
        <v>0</v>
      </c>
      <c r="I36" s="3">
        <f>_xlfn.XLOOKUP(I$1,generator!$B$2:$B$295,generator!$K$2:$K$295,"ARGH")</f>
        <v>0</v>
      </c>
      <c r="J36" s="3">
        <f>_xlfn.XLOOKUP(J$1,generator!$B$2:$B$295,generator!$K$2:$K$295,"ARGH")</f>
        <v>0</v>
      </c>
      <c r="K36" s="3">
        <f>_xlfn.XLOOKUP(K$1,generator!$B$2:$B$295,generator!$K$2:$K$295,"ARGH")</f>
        <v>0</v>
      </c>
      <c r="L36" s="3">
        <f>_xlfn.XLOOKUP(L$1,generator!$B$2:$B$295,generator!$K$2:$K$295,"ARGH")</f>
        <v>0</v>
      </c>
      <c r="M36" s="3">
        <f>_xlfn.XLOOKUP(M$1,generator!$B$2:$B$295,generator!$K$2:$K$295,"ARGH")</f>
        <v>0</v>
      </c>
      <c r="N36" s="3">
        <f>_xlfn.XLOOKUP(N$1,generator!$B$2:$B$295,generator!$K$2:$K$295,"ARGH")</f>
        <v>0</v>
      </c>
      <c r="O36" s="3">
        <f>_xlfn.XLOOKUP(O$1,generator!$B$2:$B$295,generator!$K$2:$K$295,"ARGH")</f>
        <v>0</v>
      </c>
      <c r="P36" s="3">
        <f>_xlfn.XLOOKUP(P$1,generator!$B$2:$B$295,generator!$K$2:$K$295,"ARGH")</f>
        <v>0</v>
      </c>
      <c r="Q36" s="3">
        <f>_xlfn.XLOOKUP(Q$1,generator!$B$2:$B$295,generator!$K$2:$K$295,"ARGH")</f>
        <v>0</v>
      </c>
      <c r="R36" s="3">
        <f>_xlfn.XLOOKUP(R$1,generator!$B$2:$B$295,generator!$K$2:$K$295,"ARGH")</f>
        <v>0</v>
      </c>
      <c r="S36" s="3">
        <f>_xlfn.XLOOKUP(S$1,generator!$B$2:$B$295,generator!$K$2:$K$295,"ARGH")</f>
        <v>0</v>
      </c>
      <c r="T36" s="3">
        <f>_xlfn.XLOOKUP(T$1,generator!$B$2:$B$295,generator!$K$2:$K$295,"ARGH")</f>
        <v>0</v>
      </c>
      <c r="U36" s="3">
        <f>_xlfn.XLOOKUP(U$1,generator!$B$2:$B$295,generator!$K$2:$K$295,"ARGH")</f>
        <v>0</v>
      </c>
      <c r="V36" s="3">
        <f>_xlfn.XLOOKUP(V$1,generator!$B$2:$B$295,generator!$K$2:$K$295,"ARGH")</f>
        <v>0</v>
      </c>
      <c r="W36" s="3">
        <f>_xlfn.XLOOKUP(W$1,generator!$B$2:$B$295,generator!$K$2:$K$295,"ARGH")</f>
        <v>0</v>
      </c>
      <c r="X36" s="3">
        <f>_xlfn.XLOOKUP(X$1,generator!$B$2:$B$295,generator!$K$2:$K$295,"ARGH")</f>
        <v>0</v>
      </c>
      <c r="Y36" s="3">
        <f>_xlfn.XLOOKUP(Y$1,generator!$B$2:$B$295,generator!$K$2:$K$295,"ARGH")</f>
        <v>0</v>
      </c>
      <c r="Z36" s="3">
        <f>_xlfn.XLOOKUP(Z$1,generator!$B$2:$B$295,generator!$K$2:$K$295,"ARGH")</f>
        <v>0</v>
      </c>
      <c r="AA36" s="3">
        <f>_xlfn.XLOOKUP(AA$1,generator!$B$2:$B$295,generator!$K$2:$K$295,"ARGH")</f>
        <v>0</v>
      </c>
      <c r="AB36" s="3">
        <f>_xlfn.XLOOKUP(AB$1,generator!$B$2:$B$295,generator!$K$2:$K$295,"ARGH")</f>
        <v>0</v>
      </c>
      <c r="AC36" s="3">
        <f>_xlfn.XLOOKUP(AC$1,generator!$B$2:$B$295,generator!$K$2:$K$295,"ARGH")</f>
        <v>0</v>
      </c>
      <c r="AD36" s="3">
        <f>_xlfn.XLOOKUP(AD$1,generator!$B$2:$B$295,generator!$K$2:$K$295,"ARGH")</f>
        <v>0</v>
      </c>
      <c r="AE36" s="3">
        <f>_xlfn.XLOOKUP(AE$1,generator!$B$2:$B$295,generator!$K$2:$K$295,"ARGH")</f>
        <v>0</v>
      </c>
      <c r="AF36" s="3">
        <f>_xlfn.XLOOKUP(AF$1,generator!$B$2:$B$295,generator!$K$2:$K$295,"ARGH")</f>
        <v>0</v>
      </c>
      <c r="AG36" s="3">
        <f>_xlfn.XLOOKUP(AG$1,generator!$B$2:$B$295,generator!$K$2:$K$295,"ARGH")</f>
        <v>0</v>
      </c>
      <c r="AH36" s="3">
        <f>_xlfn.XLOOKUP(AH$1,generator!$B$2:$B$295,generator!$K$2:$K$295,"ARGH")</f>
        <v>0</v>
      </c>
      <c r="AI36" s="3">
        <f>_xlfn.XLOOKUP(AI$1,generator!$B$2:$B$295,generator!$K$2:$K$295,"ARGH")</f>
        <v>0</v>
      </c>
      <c r="AJ36" s="3">
        <f>_xlfn.XLOOKUP(AJ$1,generator!$B$2:$B$295,generator!$K$2:$K$295,"ARGH")</f>
        <v>0</v>
      </c>
      <c r="AK36" s="3">
        <f>_xlfn.XLOOKUP(AK$1,generator!$B$2:$B$295,generator!$K$2:$K$295,"ARGH")</f>
        <v>0</v>
      </c>
      <c r="AL36" s="3">
        <f>_xlfn.XLOOKUP(AL$1,generator!$B$2:$B$295,generator!$K$2:$K$295,"ARGH")</f>
        <v>0</v>
      </c>
      <c r="AM36" s="3">
        <f>_xlfn.XLOOKUP(AM$1,generator!$B$2:$B$295,generator!$K$2:$K$295,"ARGH")</f>
        <v>0</v>
      </c>
      <c r="AN36" s="3">
        <f>_xlfn.XLOOKUP(AN$1,generator!$B$2:$B$295,generator!$K$2:$K$295,"ARGH")</f>
        <v>0</v>
      </c>
      <c r="AO36" s="3">
        <f>_xlfn.XLOOKUP(AO$1,generator!$B$2:$B$295,generator!$K$2:$K$295,"ARGH")</f>
        <v>0</v>
      </c>
      <c r="AP36" s="3">
        <f>_xlfn.XLOOKUP(AP$1,generator!$B$2:$B$295,generator!$K$2:$K$295,"ARGH")</f>
        <v>0</v>
      </c>
      <c r="AQ36" s="3">
        <f>_xlfn.XLOOKUP(AQ$1,generator!$B$2:$B$295,generator!$K$2:$K$295,"ARGH")</f>
        <v>0</v>
      </c>
      <c r="AR36" s="3">
        <f>_xlfn.XLOOKUP(AR$1,generator!$B$2:$B$295,generator!$K$2:$K$295,"ARGH")</f>
        <v>0</v>
      </c>
      <c r="AS36" s="3">
        <f>_xlfn.XLOOKUP(AS$1,generator!$B$2:$B$295,generator!$K$2:$K$295,"ARGH")</f>
        <v>0</v>
      </c>
      <c r="AT36" s="3">
        <f>_xlfn.XLOOKUP(AT$1,generator!$B$2:$B$295,generator!$K$2:$K$295,"ARGH")</f>
        <v>0</v>
      </c>
      <c r="AU36" s="3">
        <f>_xlfn.XLOOKUP(AU$1,generator!$B$2:$B$295,generator!$K$2:$K$295,"ARGH")</f>
        <v>0</v>
      </c>
      <c r="AV36" s="3">
        <f>_xlfn.XLOOKUP(AV$1,generator!$B$2:$B$295,generator!$K$2:$K$295,"ARGH")</f>
        <v>0</v>
      </c>
      <c r="AW36" s="3">
        <f>_xlfn.XLOOKUP(AW$1,generator!$B$2:$B$295,generator!$K$2:$K$295,"ARGH")</f>
        <v>0</v>
      </c>
      <c r="AX36" s="3">
        <f>_xlfn.XLOOKUP(AX$1,generator!$B$2:$B$295,generator!$K$2:$K$295,"ARGH")</f>
        <v>0</v>
      </c>
      <c r="AY36" s="3">
        <f>_xlfn.XLOOKUP(AY$1,generator!$B$2:$B$295,generator!$K$2:$K$295,"ARGH")</f>
        <v>0</v>
      </c>
      <c r="AZ36" s="3">
        <f>_xlfn.XLOOKUP(AZ$1,generator!$B$2:$B$295,generator!$K$2:$K$295,"ARGH")</f>
        <v>0</v>
      </c>
      <c r="BA36" s="3">
        <f>_xlfn.XLOOKUP(BA$1,generator!$B$2:$B$295,generator!$K$2:$K$295,"ARGH")</f>
        <v>0</v>
      </c>
      <c r="BB36" s="3">
        <f>_xlfn.XLOOKUP(BB$1,generator!$B$2:$B$295,generator!$K$2:$K$295,"ARGH")</f>
        <v>0</v>
      </c>
      <c r="BC36" s="3">
        <f>_xlfn.XLOOKUP(BC$1,generator!$B$2:$B$295,generator!$K$2:$K$295,"ARGH")</f>
        <v>0</v>
      </c>
      <c r="BD36" s="3">
        <f>_xlfn.XLOOKUP(BD$1,generator!$B$2:$B$295,generator!$K$2:$K$295,"ARGH")</f>
        <v>0</v>
      </c>
      <c r="BE36" s="3">
        <f>_xlfn.XLOOKUP(BE$1,generator!$B$2:$B$295,generator!$K$2:$K$295,"ARGH")</f>
        <v>0</v>
      </c>
      <c r="BF36" s="3">
        <f>_xlfn.XLOOKUP(BF$1,generator!$B$2:$B$295,generator!$K$2:$K$295,"ARGH")</f>
        <v>0</v>
      </c>
      <c r="BG36" s="3">
        <f>_xlfn.XLOOKUP(BG$1,generator!$B$2:$B$295,generator!$K$2:$K$295,"ARGH")</f>
        <v>0</v>
      </c>
      <c r="BH36" s="3">
        <f>_xlfn.XLOOKUP(BH$1,generator!$B$2:$B$295,generator!$K$2:$K$295,"ARGH")</f>
        <v>0</v>
      </c>
      <c r="BI36" s="3">
        <f>_xlfn.XLOOKUP(BI$1,generator!$B$2:$B$295,generator!$K$2:$K$295,"ARGH")</f>
        <v>0</v>
      </c>
      <c r="BJ36" s="3">
        <f>_xlfn.XLOOKUP(BJ$1,generator!$B$2:$B$295,generator!$K$2:$K$295,"ARGH")</f>
        <v>0</v>
      </c>
      <c r="BK36" s="3">
        <f>_xlfn.XLOOKUP(BK$1,generator!$B$2:$B$295,generator!$K$2:$K$295,"ARGH")</f>
        <v>0</v>
      </c>
      <c r="BL36" s="3">
        <f>_xlfn.XLOOKUP(BL$1,generator!$B$2:$B$295,generator!$K$2:$K$295,"ARGH")</f>
        <v>0</v>
      </c>
      <c r="BM36" s="3">
        <f>_xlfn.XLOOKUP(BM$1,generator!$B$2:$B$295,generator!$K$2:$K$295,"ARGH")</f>
        <v>0</v>
      </c>
      <c r="BN36" s="3">
        <f>_xlfn.XLOOKUP(BN$1,generator!$B$2:$B$295,generator!$K$2:$K$295,"ARGH")</f>
        <v>0</v>
      </c>
      <c r="BO36" s="3">
        <f>_xlfn.XLOOKUP(BO$1,generator!$B$2:$B$295,generator!$K$2:$K$295,"ARGH")</f>
        <v>0</v>
      </c>
      <c r="BP36" s="3">
        <f>_xlfn.XLOOKUP(BP$1,generator!$B$2:$B$295,generator!$K$2:$K$295,"ARGH")</f>
        <v>0</v>
      </c>
      <c r="BQ36" s="3">
        <f>_xlfn.XLOOKUP(BQ$1,generator!$B$2:$B$295,generator!$K$2:$K$295,"ARGH")</f>
        <v>0</v>
      </c>
      <c r="BR36" s="3">
        <f>_xlfn.XLOOKUP(BR$1,generator!$B$2:$B$295,generator!$K$2:$K$295,"ARGH")</f>
        <v>0</v>
      </c>
      <c r="BS36" s="3">
        <f>_xlfn.XLOOKUP(BS$1,generator!$B$2:$B$295,generator!$K$2:$K$295,"ARGH")</f>
        <v>0</v>
      </c>
      <c r="BT36" s="3">
        <f>_xlfn.XLOOKUP(BT$1,generator!$B$2:$B$295,generator!$K$2:$K$295,"ARGH")</f>
        <v>0</v>
      </c>
      <c r="BU36" s="3">
        <f>_xlfn.XLOOKUP(BU$1,generator!$B$2:$B$295,generator!$K$2:$K$295,"ARGH")</f>
        <v>0</v>
      </c>
      <c r="BV36" s="3">
        <f>_xlfn.XLOOKUP(BV$1,generator!$B$2:$B$295,generator!$K$2:$K$295,"ARGH")</f>
        <v>0</v>
      </c>
      <c r="BW36" s="3">
        <f>_xlfn.XLOOKUP(BW$1,generator!$B$2:$B$295,generator!$K$2:$K$295,"ARGH")</f>
        <v>0</v>
      </c>
      <c r="BX36" s="3">
        <f>_xlfn.XLOOKUP(BX$1,generator!$B$2:$B$295,generator!$K$2:$K$295,"ARGH")</f>
        <v>0</v>
      </c>
      <c r="BY36" s="3">
        <f>_xlfn.XLOOKUP(BY$1,generator!$B$2:$B$295,generator!$K$2:$K$295,"ARGH")</f>
        <v>0</v>
      </c>
      <c r="BZ36" s="3">
        <f>_xlfn.XLOOKUP(BZ$1,generator!$B$2:$B$295,generator!$K$2:$K$295,"ARGH")</f>
        <v>0</v>
      </c>
      <c r="CA36" s="3">
        <f>_xlfn.XLOOKUP(CA$1,generator!$B$2:$B$295,generator!$K$2:$K$295,"ARGH")</f>
        <v>0</v>
      </c>
      <c r="CB36" s="3">
        <f>_xlfn.XLOOKUP(CB$1,generator!$B$2:$B$295,generator!$K$2:$K$295,"ARGH")</f>
        <v>0</v>
      </c>
      <c r="CC36" s="3">
        <f>_xlfn.XLOOKUP(CC$1,generator!$B$2:$B$295,generator!$K$2:$K$295,"ARGH")</f>
        <v>0</v>
      </c>
      <c r="CD36" s="3">
        <f>_xlfn.XLOOKUP(CD$1,generator!$B$2:$B$295,generator!$K$2:$K$295,"ARGH")</f>
        <v>0</v>
      </c>
      <c r="CE36" s="3">
        <f>_xlfn.XLOOKUP(CE$1,generator!$B$2:$B$295,generator!$K$2:$K$295,"ARGH")</f>
        <v>0</v>
      </c>
      <c r="CF36" s="3">
        <f>_xlfn.XLOOKUP(CF$1,generator!$B$2:$B$295,generator!$K$2:$K$295,"ARGH")</f>
        <v>0</v>
      </c>
      <c r="CG36" s="3">
        <f>_xlfn.XLOOKUP(CG$1,generator!$B$2:$B$295,generator!$K$2:$K$295,"ARGH")</f>
        <v>0</v>
      </c>
      <c r="CH36" s="3">
        <f>_xlfn.XLOOKUP(CH$1,generator!$B$2:$B$295,generator!$K$2:$K$295,"ARGH")</f>
        <v>0</v>
      </c>
      <c r="CI36" s="3">
        <f>_xlfn.XLOOKUP(CI$1,generator!$B$2:$B$295,generator!$K$2:$K$295,"ARGH")</f>
        <v>0</v>
      </c>
      <c r="CJ36" s="3">
        <f>_xlfn.XLOOKUP(CJ$1,generator!$B$2:$B$295,generator!$K$2:$K$295,"ARGH")</f>
        <v>0</v>
      </c>
      <c r="CK36" s="3">
        <f>_xlfn.XLOOKUP(CK$1,generator!$B$2:$B$295,generator!$K$2:$K$295,"ARGH")</f>
        <v>0</v>
      </c>
      <c r="CL36" s="3">
        <f>_xlfn.XLOOKUP(CL$1,generator!$B$2:$B$295,generator!$K$2:$K$295,"ARGH")</f>
        <v>0</v>
      </c>
      <c r="CM36" s="3">
        <f>_xlfn.XLOOKUP(CM$1,generator!$B$2:$B$295,generator!$K$2:$K$295,"ARGH")</f>
        <v>0</v>
      </c>
      <c r="CN36" s="3">
        <f>_xlfn.XLOOKUP(CN$1,generator!$B$2:$B$295,generator!$K$2:$K$295,"ARGH")</f>
        <v>0</v>
      </c>
      <c r="CO36" s="3">
        <f>_xlfn.XLOOKUP(CO$1,generator!$B$2:$B$295,generator!$K$2:$K$295,"ARGH")</f>
        <v>0</v>
      </c>
      <c r="CP36" s="3">
        <f>_xlfn.XLOOKUP(CP$1,generator!$B$2:$B$295,generator!$K$2:$K$295,"ARGH")</f>
        <v>0</v>
      </c>
      <c r="CQ36" s="3">
        <f>_xlfn.XLOOKUP(CQ$1,generator!$B$2:$B$295,generator!$K$2:$K$295,"ARGH")</f>
        <v>0</v>
      </c>
      <c r="CR36" s="3">
        <f>_xlfn.XLOOKUP(CR$1,generator!$B$2:$B$295,generator!$K$2:$K$295,"ARGH")</f>
        <v>0</v>
      </c>
      <c r="CS36" s="3">
        <f>_xlfn.XLOOKUP(CS$1,generator!$B$2:$B$295,generator!$K$2:$K$295,"ARGH")</f>
        <v>0</v>
      </c>
      <c r="CT36" s="3">
        <f>_xlfn.XLOOKUP(CT$1,generator!$B$2:$B$295,generator!$K$2:$K$295,"ARGH")</f>
        <v>0</v>
      </c>
      <c r="CU36" s="3">
        <f>_xlfn.XLOOKUP(CU$1,generator!$B$2:$B$295,generator!$K$2:$K$295,"ARGH")</f>
        <v>0</v>
      </c>
      <c r="CV36" s="3">
        <f>_xlfn.XLOOKUP(CV$1,generator!$B$2:$B$295,generator!$K$2:$K$295,"ARGH")</f>
        <v>0</v>
      </c>
      <c r="CW36" s="3">
        <f>_xlfn.XLOOKUP(CW$1,generator!$B$2:$B$295,generator!$K$2:$K$295,"ARGH")</f>
        <v>0</v>
      </c>
      <c r="CX36" s="3">
        <f>_xlfn.XLOOKUP(CX$1,generator!$B$2:$B$295,generator!$K$2:$K$295,"ARGH")</f>
        <v>0</v>
      </c>
      <c r="CY36" s="3">
        <f>_xlfn.XLOOKUP(CY$1,generator!$B$2:$B$295,generator!$K$2:$K$295,"ARGH")</f>
        <v>0</v>
      </c>
      <c r="CZ36" s="3">
        <f>_xlfn.XLOOKUP(CZ$1,generator!$B$2:$B$295,generator!$K$2:$K$295,"ARGH")</f>
        <v>0</v>
      </c>
      <c r="DA36" s="3">
        <f>_xlfn.XLOOKUP(DA$1,generator!$B$2:$B$295,generator!$K$2:$K$295,"ARGH")</f>
        <v>0</v>
      </c>
      <c r="DB36" s="3">
        <f>_xlfn.XLOOKUP(DB$1,generator!$B$2:$B$295,generator!$K$2:$K$295,"ARGH")</f>
        <v>0</v>
      </c>
      <c r="DC36" s="3">
        <f>_xlfn.XLOOKUP(DC$1,generator!$B$2:$B$295,generator!$K$2:$K$295,"ARGH")</f>
        <v>0</v>
      </c>
      <c r="DD36" s="3">
        <f>_xlfn.XLOOKUP(DD$1,generator!$B$2:$B$295,generator!$K$2:$K$295,"ARGH")</f>
        <v>0</v>
      </c>
      <c r="DE36" s="3">
        <f>_xlfn.XLOOKUP(DE$1,generator!$B$2:$B$295,generator!$K$2:$K$295,"ARGH")</f>
        <v>0</v>
      </c>
      <c r="DF36" s="3">
        <f>_xlfn.XLOOKUP(DF$1,generator!$B$2:$B$295,generator!$K$2:$K$295,"ARGH")</f>
        <v>0</v>
      </c>
      <c r="DG36" s="3">
        <f>_xlfn.XLOOKUP(DG$1,generator!$B$2:$B$295,generator!$K$2:$K$295,"ARGH")</f>
        <v>0</v>
      </c>
      <c r="DH36" s="3">
        <f>_xlfn.XLOOKUP(DH$1,generator!$B$2:$B$295,generator!$K$2:$K$295,"ARGH")</f>
        <v>0</v>
      </c>
      <c r="DI36" s="3">
        <f>_xlfn.XLOOKUP(DI$1,generator!$B$2:$B$295,generator!$K$2:$K$295,"ARGH")</f>
        <v>0</v>
      </c>
      <c r="DJ36" s="3">
        <f>_xlfn.XLOOKUP(DJ$1,generator!$B$2:$B$295,generator!$K$2:$K$295,"ARGH")</f>
        <v>0</v>
      </c>
      <c r="DK36" s="3">
        <f>_xlfn.XLOOKUP(DK$1,generator!$B$2:$B$295,generator!$K$2:$K$295,"ARGH")</f>
        <v>0</v>
      </c>
      <c r="DL36" s="3">
        <f>_xlfn.XLOOKUP(DL$1,generator!$B$2:$B$295,generator!$K$2:$K$295,"ARGH")</f>
        <v>0</v>
      </c>
      <c r="DM36" s="3">
        <f>_xlfn.XLOOKUP(DM$1,generator!$B$2:$B$295,generator!$K$2:$K$295,"ARGH")</f>
        <v>0</v>
      </c>
      <c r="DN36" s="3">
        <f>_xlfn.XLOOKUP(DN$1,generator!$B$2:$B$295,generator!$K$2:$K$295,"ARGH")</f>
        <v>0</v>
      </c>
      <c r="DO36" s="3">
        <f>_xlfn.XLOOKUP(DO$1,generator!$B$2:$B$295,generator!$K$2:$K$295,"ARGH")</f>
        <v>0</v>
      </c>
      <c r="DP36" s="3">
        <f>_xlfn.XLOOKUP(DP$1,generator!$B$2:$B$295,generator!$K$2:$K$295,"ARGH")</f>
        <v>0</v>
      </c>
      <c r="DQ36" s="3">
        <f>_xlfn.XLOOKUP(DQ$1,generator!$B$2:$B$295,generator!$K$2:$K$295,"ARGH")</f>
        <v>0</v>
      </c>
      <c r="DR36" s="3">
        <f>_xlfn.XLOOKUP(DR$1,generator!$B$2:$B$295,generator!$K$2:$K$295,"ARGH")</f>
        <v>0</v>
      </c>
      <c r="DS36" s="3">
        <f>_xlfn.XLOOKUP(DS$1,generator!$B$2:$B$295,generator!$K$2:$K$295,"ARGH")</f>
        <v>0</v>
      </c>
      <c r="DT36" s="3">
        <f>_xlfn.XLOOKUP(DT$1,generator!$B$2:$B$295,generator!$K$2:$K$295,"ARGH")</f>
        <v>0</v>
      </c>
      <c r="DU36" s="3">
        <f>_xlfn.XLOOKUP(DU$1,generator!$B$2:$B$295,generator!$K$2:$K$295,"ARGH")</f>
        <v>0</v>
      </c>
      <c r="DV36" s="3">
        <f>_xlfn.XLOOKUP(DV$1,generator!$B$2:$B$295,generator!$K$2:$K$295,"ARGH")</f>
        <v>0</v>
      </c>
      <c r="DW36" s="3">
        <f>_xlfn.XLOOKUP(DW$1,generator!$B$2:$B$295,generator!$K$2:$K$295,"ARGH")</f>
        <v>0</v>
      </c>
      <c r="DX36" s="3">
        <f>_xlfn.XLOOKUP(DX$1,generator!$B$2:$B$295,generator!$K$2:$K$295,"ARGH")</f>
        <v>0</v>
      </c>
      <c r="DY36" s="3">
        <f>_xlfn.XLOOKUP(DY$1,generator!$B$2:$B$295,generator!$K$2:$K$295,"ARGH")</f>
        <v>0</v>
      </c>
      <c r="DZ36" s="3">
        <f>_xlfn.XLOOKUP(DZ$1,generator!$B$2:$B$295,generator!$K$2:$K$295,"ARGH")</f>
        <v>0</v>
      </c>
      <c r="EA36" s="3">
        <f>_xlfn.XLOOKUP(EA$1,generator!$B$2:$B$295,generator!$K$2:$K$295,"ARGH")</f>
        <v>0</v>
      </c>
      <c r="EB36" s="3">
        <f>_xlfn.XLOOKUP(EB$1,generator!$B$2:$B$295,generator!$K$2:$K$295,"ARGH")</f>
        <v>0</v>
      </c>
      <c r="EC36" s="3">
        <f>_xlfn.XLOOKUP(EC$1,generator!$B$2:$B$295,generator!$K$2:$K$295,"ARGH")</f>
        <v>0</v>
      </c>
      <c r="ED36" s="3">
        <f>_xlfn.XLOOKUP(ED$1,generator!$B$2:$B$295,generator!$K$2:$K$295,"ARGH")</f>
        <v>0</v>
      </c>
      <c r="EE36" s="3">
        <f>_xlfn.XLOOKUP(EE$1,generator!$B$2:$B$295,generator!$K$2:$K$295,"ARGH")</f>
        <v>0</v>
      </c>
      <c r="EF36" s="3">
        <f>_xlfn.XLOOKUP(EF$1,generator!$B$2:$B$295,generator!$K$2:$K$295,"ARGH")</f>
        <v>0</v>
      </c>
      <c r="EG36" s="3">
        <f>_xlfn.XLOOKUP(EG$1,generator!$B$2:$B$295,generator!$K$2:$K$295,"ARGH")</f>
        <v>0</v>
      </c>
      <c r="EH36" s="3">
        <f>_xlfn.XLOOKUP(EH$1,generator!$B$2:$B$295,generator!$K$2:$K$295,"ARGH")</f>
        <v>0</v>
      </c>
      <c r="EI36" s="3">
        <f>_xlfn.XLOOKUP(EI$1,generator!$B$2:$B$295,generator!$K$2:$K$295,"ARGH")</f>
        <v>0</v>
      </c>
      <c r="EJ36" s="3">
        <f>_xlfn.XLOOKUP(EJ$1,generator!$B$2:$B$295,generator!$K$2:$K$295,"ARGH")</f>
        <v>0</v>
      </c>
      <c r="EK36" s="3">
        <f>_xlfn.XLOOKUP(EK$1,generator!$B$2:$B$295,generator!$K$2:$K$295,"ARGH")</f>
        <v>0</v>
      </c>
      <c r="EL36" s="3">
        <f>_xlfn.XLOOKUP(EL$1,generator!$B$2:$B$295,generator!$K$2:$K$295,"ARGH")</f>
        <v>0</v>
      </c>
      <c r="EM36" s="3">
        <f>_xlfn.XLOOKUP(EM$1,generator!$B$2:$B$295,generator!$K$2:$K$295,"ARGH")</f>
        <v>0</v>
      </c>
      <c r="EN36" s="3">
        <f>_xlfn.XLOOKUP(EN$1,generator!$B$2:$B$295,generator!$K$2:$K$295,"ARGH")</f>
        <v>0</v>
      </c>
      <c r="EO36" s="3">
        <f>_xlfn.XLOOKUP(EO$1,generator!$B$2:$B$295,generator!$K$2:$K$295,"ARGH")</f>
        <v>0</v>
      </c>
      <c r="EP36" s="3">
        <f>_xlfn.XLOOKUP(EP$1,generator!$B$2:$B$295,generator!$K$2:$K$295,"ARGH")</f>
        <v>0</v>
      </c>
      <c r="EQ36" s="3">
        <f>_xlfn.XLOOKUP(EQ$1,generator!$B$2:$B$295,generator!$K$2:$K$295,"ARGH")</f>
        <v>0</v>
      </c>
      <c r="ER36" s="3">
        <f>_xlfn.XLOOKUP(ER$1,generator!$B$2:$B$295,generator!$K$2:$K$295,"ARGH")</f>
        <v>0</v>
      </c>
      <c r="ES36" s="3">
        <f>_xlfn.XLOOKUP(ES$1,generator!$B$2:$B$295,generator!$K$2:$K$295,"ARGH")</f>
        <v>0</v>
      </c>
      <c r="ET36" s="3">
        <f>_xlfn.XLOOKUP(ET$1,generator!$B$2:$B$295,generator!$K$2:$K$295,"ARGH")</f>
        <v>0</v>
      </c>
      <c r="EU36" s="3">
        <f>_xlfn.XLOOKUP(EU$1,generator!$B$2:$B$295,generator!$K$2:$K$295,"ARGH")</f>
        <v>0</v>
      </c>
      <c r="EV36" s="3">
        <f>_xlfn.XLOOKUP(EV$1,generator!$B$2:$B$295,generator!$K$2:$K$295,"ARGH")</f>
        <v>0</v>
      </c>
      <c r="EW36" s="3">
        <f>_xlfn.XLOOKUP(EW$1,generator!$B$2:$B$295,generator!$K$2:$K$295,"ARGH")</f>
        <v>0</v>
      </c>
      <c r="EX36" s="3">
        <f>_xlfn.XLOOKUP(EX$1,generator!$B$2:$B$295,generator!$K$2:$K$295,"ARGH")</f>
        <v>0</v>
      </c>
      <c r="EY36" s="3">
        <f>_xlfn.XLOOKUP(EY$1,generator!$B$2:$B$295,generator!$K$2:$K$295,"ARGH")</f>
        <v>0</v>
      </c>
      <c r="EZ36" s="3">
        <f>_xlfn.XLOOKUP(EZ$1,generator!$B$2:$B$295,generator!$K$2:$K$295,"ARGH")</f>
        <v>0</v>
      </c>
      <c r="FA36" s="3">
        <f>_xlfn.XLOOKUP(FA$1,generator!$B$2:$B$295,generator!$K$2:$K$295,"ARGH")</f>
        <v>0</v>
      </c>
      <c r="FB36" s="3">
        <f>_xlfn.XLOOKUP(FB$1,generator!$B$2:$B$295,generator!$K$2:$K$295,"ARGH")</f>
        <v>0</v>
      </c>
      <c r="FC36" s="3">
        <f>_xlfn.XLOOKUP(FC$1,generator!$B$2:$B$295,generator!$K$2:$K$295,"ARGH")</f>
        <v>0</v>
      </c>
      <c r="FD36" s="3">
        <f>_xlfn.XLOOKUP(FD$1,generator!$B$2:$B$295,generator!$K$2:$K$295,"ARGH")</f>
        <v>0</v>
      </c>
      <c r="FE36" s="3">
        <f>_xlfn.XLOOKUP(FE$1,generator!$B$2:$B$295,generator!$K$2:$K$295,"ARGH")</f>
        <v>0</v>
      </c>
      <c r="FF36" s="3">
        <f>_xlfn.XLOOKUP(FF$1,generator!$B$2:$B$295,generator!$K$2:$K$295,"ARGH")</f>
        <v>0</v>
      </c>
      <c r="FG36" s="3">
        <f>_xlfn.XLOOKUP(FG$1,generator!$B$2:$B$295,generator!$K$2:$K$295,"ARGH")</f>
        <v>0</v>
      </c>
      <c r="FH36" s="3">
        <f>_xlfn.XLOOKUP(FH$1,generator!$B$2:$B$295,generator!$K$2:$K$295,"ARGH")</f>
        <v>0</v>
      </c>
      <c r="FI36" s="3">
        <f>_xlfn.XLOOKUP(FI$1,generator!$B$2:$B$295,generator!$K$2:$K$295,"ARGH")</f>
        <v>0</v>
      </c>
      <c r="FJ36" s="3">
        <f>_xlfn.XLOOKUP(FJ$1,generator!$B$2:$B$295,generator!$K$2:$K$295,"ARGH")</f>
        <v>0</v>
      </c>
      <c r="FK36" s="3">
        <f>_xlfn.XLOOKUP(FK$1,generator!$B$2:$B$295,generator!$K$2:$K$295,"ARGH")</f>
        <v>0</v>
      </c>
      <c r="FL36" s="3">
        <f>_xlfn.XLOOKUP(FL$1,generator!$B$2:$B$295,generator!$K$2:$K$295,"ARGH")</f>
        <v>0</v>
      </c>
      <c r="FM36" s="3">
        <f>_xlfn.XLOOKUP(FM$1,generator!$B$2:$B$295,generator!$K$2:$K$295,"ARGH")</f>
        <v>0</v>
      </c>
      <c r="FN36" s="3">
        <f>_xlfn.XLOOKUP(FN$1,generator!$B$2:$B$295,generator!$K$2:$K$295,"ARGH")</f>
        <v>0</v>
      </c>
      <c r="FO36" s="3">
        <f>_xlfn.XLOOKUP(FO$1,generator!$B$2:$B$295,generator!$K$2:$K$295,"ARGH")</f>
        <v>0</v>
      </c>
      <c r="FP36" s="3">
        <f>_xlfn.XLOOKUP(FP$1,generator!$B$2:$B$295,generator!$K$2:$K$295,"ARGH")</f>
        <v>0</v>
      </c>
      <c r="FQ36" s="3">
        <f>_xlfn.XLOOKUP(FQ$1,generator!$B$2:$B$295,generator!$K$2:$K$295,"ARGH")</f>
        <v>0</v>
      </c>
      <c r="FR36" s="3">
        <f>_xlfn.XLOOKUP(FR$1,generator!$B$2:$B$295,generator!$K$2:$K$295,"ARGH")</f>
        <v>0</v>
      </c>
      <c r="FS36" s="3">
        <f>_xlfn.XLOOKUP(FS$1,generator!$B$2:$B$295,generator!$K$2:$K$295,"ARGH")</f>
        <v>0</v>
      </c>
      <c r="FT36" s="3">
        <f>_xlfn.XLOOKUP(FT$1,generator!$B$2:$B$295,generator!$K$2:$K$295,"ARGH")</f>
        <v>0</v>
      </c>
      <c r="FU36" s="3">
        <f>_xlfn.XLOOKUP(FU$1,generator!$B$2:$B$295,generator!$K$2:$K$295,"ARGH")</f>
        <v>0</v>
      </c>
      <c r="FV36" s="3">
        <f>_xlfn.XLOOKUP(FV$1,generator!$B$2:$B$295,generator!$K$2:$K$295,"ARGH")</f>
        <v>0</v>
      </c>
      <c r="FW36" s="3">
        <f>_xlfn.XLOOKUP(FW$1,generator!$B$2:$B$295,generator!$K$2:$K$295,"ARGH")</f>
        <v>0</v>
      </c>
      <c r="FX36" s="3">
        <f>_xlfn.XLOOKUP(FX$1,generator!$B$2:$B$295,generator!$K$2:$K$295,"ARGH")</f>
        <v>0</v>
      </c>
      <c r="FY36" s="3">
        <f>_xlfn.XLOOKUP(FY$1,generator!$B$2:$B$295,generator!$K$2:$K$295,"ARGH")</f>
        <v>0</v>
      </c>
      <c r="FZ36" s="3">
        <f>_xlfn.XLOOKUP(FZ$1,generator!$B$2:$B$295,generator!$K$2:$K$295,"ARGH")</f>
        <v>0</v>
      </c>
      <c r="GA36" s="3">
        <f>_xlfn.XLOOKUP(GA$1,generator!$B$2:$B$295,generator!$K$2:$K$295,"ARGH")</f>
        <v>0</v>
      </c>
      <c r="GB36" s="3">
        <f>_xlfn.XLOOKUP(GB$1,generator!$B$2:$B$295,generator!$K$2:$K$295,"ARGH")</f>
        <v>0</v>
      </c>
      <c r="GC36" s="3">
        <f>_xlfn.XLOOKUP(GC$1,generator!$B$2:$B$295,generator!$K$2:$K$295,"ARGH")</f>
        <v>0</v>
      </c>
      <c r="GD36" s="3">
        <f>_xlfn.XLOOKUP(GD$1,generator!$B$2:$B$295,generator!$K$2:$K$295,"ARGH")</f>
        <v>0</v>
      </c>
      <c r="GE36" s="3">
        <f>_xlfn.XLOOKUP(GE$1,generator!$B$2:$B$295,generator!$K$2:$K$295,"ARGH")</f>
        <v>0</v>
      </c>
      <c r="GF36" s="3">
        <f>_xlfn.XLOOKUP(GF$1,generator!$B$2:$B$295,generator!$K$2:$K$295,"ARGH")</f>
        <v>0</v>
      </c>
      <c r="GG36" s="3">
        <f>_xlfn.XLOOKUP(GG$1,generator!$B$2:$B$295,generator!$K$2:$K$295,"ARGH")</f>
        <v>0</v>
      </c>
      <c r="GH36" s="3">
        <f>_xlfn.XLOOKUP(GH$1,generator!$B$2:$B$295,generator!$K$2:$K$295,"ARGH")</f>
        <v>0</v>
      </c>
      <c r="GI36" s="3">
        <f>_xlfn.XLOOKUP(GI$1,generator!$B$2:$B$295,generator!$K$2:$K$295,"ARGH")</f>
        <v>0</v>
      </c>
      <c r="GJ36" s="3">
        <f>_xlfn.XLOOKUP(GJ$1,generator!$B$2:$B$295,generator!$K$2:$K$295,"ARGH")</f>
        <v>0</v>
      </c>
      <c r="GK36" s="3">
        <f>_xlfn.XLOOKUP(GK$1,generator!$B$2:$B$295,generator!$K$2:$K$295,"ARGH")</f>
        <v>0</v>
      </c>
      <c r="GL36" s="3">
        <f>_xlfn.XLOOKUP(GL$1,generator!$B$2:$B$295,generator!$K$2:$K$295,"ARGH")</f>
        <v>0</v>
      </c>
      <c r="GM36" s="3">
        <f>_xlfn.XLOOKUP(GM$1,generator!$B$2:$B$295,generator!$K$2:$K$295,"ARGH")</f>
        <v>0</v>
      </c>
      <c r="GN36" s="3">
        <f>_xlfn.XLOOKUP(GN$1,generator!$B$2:$B$295,generator!$K$2:$K$295,"ARGH")</f>
        <v>0</v>
      </c>
      <c r="GO36" s="3">
        <f>_xlfn.XLOOKUP(GO$1,generator!$B$2:$B$295,generator!$K$2:$K$295,"ARGH")</f>
        <v>0</v>
      </c>
      <c r="GP36" s="3">
        <f>_xlfn.XLOOKUP(GP$1,generator!$B$2:$B$295,generator!$K$2:$K$295,"ARGH")</f>
        <v>0</v>
      </c>
      <c r="GQ36" s="3">
        <f>_xlfn.XLOOKUP(GQ$1,generator!$B$2:$B$295,generator!$K$2:$K$295,"ARGH")</f>
        <v>0</v>
      </c>
      <c r="GR36" s="3">
        <f>_xlfn.XLOOKUP(GR$1,generator!$B$2:$B$295,generator!$K$2:$K$295,"ARGH")</f>
        <v>0</v>
      </c>
      <c r="GS36" s="3">
        <f>_xlfn.XLOOKUP(GS$1,generator!$B$2:$B$295,generator!$K$2:$K$295,"ARGH")</f>
        <v>0</v>
      </c>
      <c r="GT36" s="3">
        <f>_xlfn.XLOOKUP(GT$1,generator!$B$2:$B$295,generator!$K$2:$K$295,"ARGH")</f>
        <v>0</v>
      </c>
      <c r="GU36" s="3">
        <f>_xlfn.XLOOKUP(GU$1,generator!$B$2:$B$295,generator!$K$2:$K$295,"ARGH")</f>
        <v>0</v>
      </c>
      <c r="GV36" s="3">
        <f>_xlfn.XLOOKUP(GV$1,generator!$B$2:$B$295,generator!$K$2:$K$295,"ARGH")</f>
        <v>0</v>
      </c>
      <c r="GW36" s="3">
        <f>_xlfn.XLOOKUP(GW$1,generator!$B$2:$B$295,generator!$K$2:$K$295,"ARGH")</f>
        <v>0</v>
      </c>
      <c r="GX36" s="3">
        <f>_xlfn.XLOOKUP(GX$1,generator!$B$2:$B$295,generator!$K$2:$K$295,"ARGH")</f>
        <v>0</v>
      </c>
      <c r="GY36" s="3">
        <f>_xlfn.XLOOKUP(GY$1,generator!$B$2:$B$295,generator!$K$2:$K$295,"ARGH")</f>
        <v>0</v>
      </c>
      <c r="GZ36" s="3">
        <f>_xlfn.XLOOKUP(GZ$1,generator!$B$2:$B$295,generator!$K$2:$K$295,"ARGH")</f>
        <v>0</v>
      </c>
      <c r="HA36" s="3">
        <f>_xlfn.XLOOKUP(HA$1,generator!$B$2:$B$295,generator!$K$2:$K$295,"ARGH")</f>
        <v>0</v>
      </c>
      <c r="HB36" s="3">
        <f>_xlfn.XLOOKUP(HB$1,generator!$B$2:$B$295,generator!$K$2:$K$295,"ARGH")</f>
        <v>0</v>
      </c>
      <c r="HC36" s="3">
        <f>_xlfn.XLOOKUP(HC$1,generator!$B$2:$B$295,generator!$K$2:$K$295,"ARGH")</f>
        <v>0</v>
      </c>
      <c r="HD36" s="3">
        <f>_xlfn.XLOOKUP(HD$1,generator!$B$2:$B$295,generator!$K$2:$K$295,"ARGH")</f>
        <v>0</v>
      </c>
      <c r="HE36" s="3">
        <f>_xlfn.XLOOKUP(HE$1,generator!$B$2:$B$295,generator!$K$2:$K$295,"ARGH")</f>
        <v>12.74</v>
      </c>
      <c r="HF36" s="3">
        <f>_xlfn.XLOOKUP(HF$1,generator!$B$2:$B$295,generator!$K$2:$K$295,"ARGH")</f>
        <v>99</v>
      </c>
      <c r="HG36" s="3">
        <f>_xlfn.XLOOKUP(HG$1,generator!$B$2:$B$295,generator!$K$2:$K$295,"ARGH")</f>
        <v>99</v>
      </c>
      <c r="HH36" s="3">
        <f>_xlfn.XLOOKUP(HH$1,generator!$B$2:$B$295,generator!$K$2:$K$295,"ARGH")</f>
        <v>99</v>
      </c>
      <c r="HI36" s="3">
        <f>_xlfn.XLOOKUP(HI$1,generator!$B$2:$B$295,generator!$K$2:$K$295,"ARGH")</f>
        <v>8</v>
      </c>
      <c r="HJ36" s="3">
        <f>_xlfn.XLOOKUP(HJ$1,generator!$B$2:$B$295,generator!$K$2:$K$295,"ARGH")</f>
        <v>8</v>
      </c>
      <c r="HK36" s="3">
        <f>_xlfn.XLOOKUP(HK$1,generator!$B$2:$B$295,generator!$K$2:$K$295,"ARGH")</f>
        <v>8</v>
      </c>
      <c r="HL36" s="3">
        <f>_xlfn.XLOOKUP(HL$1,generator!$B$2:$B$295,generator!$K$2:$K$295,"ARGH")</f>
        <v>20</v>
      </c>
      <c r="HM36" s="3">
        <f>_xlfn.XLOOKUP(HM$1,generator!$B$2:$B$295,generator!$K$2:$K$295,"ARGH")</f>
        <v>20</v>
      </c>
      <c r="HN36" s="3">
        <f>_xlfn.XLOOKUP(HN$1,generator!$B$2:$B$295,generator!$K$2:$K$295,"ARGH")</f>
        <v>5</v>
      </c>
      <c r="HO36" s="3">
        <f>_xlfn.XLOOKUP(HO$1,generator!$B$2:$B$295,generator!$K$2:$K$295,"ARGH")</f>
        <v>5</v>
      </c>
      <c r="HP36" s="3">
        <f>_xlfn.XLOOKUP(HP$1,generator!$B$2:$B$295,generator!$K$2:$K$295,"ARGH")</f>
        <v>0.2</v>
      </c>
      <c r="HQ36" s="3">
        <f>_xlfn.XLOOKUP(HQ$1,generator!$B$2:$B$295,generator!$K$2:$K$295,"ARGH")</f>
        <v>5</v>
      </c>
      <c r="HR36" s="3">
        <f>_xlfn.XLOOKUP(HR$1,generator!$B$2:$B$295,generator!$K$2:$K$295,"ARGH")</f>
        <v>5</v>
      </c>
      <c r="HS36" s="3">
        <f>_xlfn.XLOOKUP(HS$1,generator!$B$2:$B$295,generator!$K$2:$K$295,"ARGH")</f>
        <v>12.82</v>
      </c>
      <c r="HT36" s="3">
        <f>_xlfn.XLOOKUP(HT$1,generator!$B$2:$B$295,generator!$K$2:$K$295,"ARGH")</f>
        <v>12.82</v>
      </c>
      <c r="HU36" s="3">
        <f>_xlfn.XLOOKUP(HU$1,generator!$B$2:$B$295,generator!$K$2:$K$295,"ARGH")</f>
        <v>25</v>
      </c>
      <c r="HV36" s="3">
        <f>_xlfn.XLOOKUP(HV$1,generator!$B$2:$B$295,generator!$K$2:$K$295,"ARGH")</f>
        <v>16</v>
      </c>
      <c r="HW36" s="3">
        <f>_xlfn.XLOOKUP(HW$1,generator!$B$2:$B$295,generator!$K$2:$K$295,"ARGH")</f>
        <v>5</v>
      </c>
      <c r="HX36" s="3">
        <f>_xlfn.XLOOKUP(HX$1,generator!$B$2:$B$295,generator!$K$2:$K$295,"ARGH")</f>
        <v>5</v>
      </c>
      <c r="HY36" s="3">
        <f>_xlfn.XLOOKUP(HY$1,generator!$B$2:$B$295,generator!$K$2:$K$295,"ARGH")</f>
        <v>63</v>
      </c>
      <c r="HZ36" s="3">
        <f>_xlfn.XLOOKUP(HZ$1,generator!$B$2:$B$295,generator!$K$2:$K$295,"ARGH")</f>
        <v>18</v>
      </c>
      <c r="IA36" s="3">
        <f>_xlfn.XLOOKUP(IA$1,generator!$B$2:$B$295,generator!$K$2:$K$295,"ARGH")</f>
        <v>121</v>
      </c>
      <c r="IB36" s="3">
        <f>_xlfn.XLOOKUP(IB$1,generator!$B$2:$B$295,generator!$K$2:$K$295,"ARGH")</f>
        <v>120</v>
      </c>
      <c r="IC36" s="3">
        <f>_xlfn.XLOOKUP(IC$1,generator!$B$2:$B$295,generator!$K$2:$K$295,"ARGH")</f>
        <v>0</v>
      </c>
      <c r="ID36" s="3">
        <f>_xlfn.XLOOKUP(ID$1,generator!$B$2:$B$295,generator!$K$2:$K$295,"ARGH")</f>
        <v>17</v>
      </c>
      <c r="IE36" s="3">
        <f>_xlfn.XLOOKUP(IE$1,generator!$B$2:$B$295,generator!$K$2:$K$295,"ARGH")</f>
        <v>194</v>
      </c>
      <c r="IF36" s="3">
        <f>_xlfn.XLOOKUP(IF$1,generator!$B$2:$B$295,generator!$K$2:$K$295,"ARGH")</f>
        <v>11.9</v>
      </c>
      <c r="IG36" s="3">
        <f>_xlfn.XLOOKUP(IG$1,generator!$B$2:$B$295,generator!$K$2:$K$295,"ARGH")</f>
        <v>11.9</v>
      </c>
      <c r="IH36" s="3">
        <f>_xlfn.XLOOKUP(IH$1,generator!$B$2:$B$295,generator!$K$2:$K$295,"ARGH")</f>
        <v>11.9</v>
      </c>
      <c r="II36" s="3">
        <f>_xlfn.XLOOKUP(II$1,generator!$B$2:$B$295,generator!$K$2:$K$295,"ARGH")</f>
        <v>11.9</v>
      </c>
      <c r="IJ36" s="3">
        <f>_xlfn.XLOOKUP(IJ$1,generator!$B$2:$B$295,generator!$K$2:$K$295,"ARGH")</f>
        <v>0</v>
      </c>
      <c r="IK36" s="3">
        <f>_xlfn.XLOOKUP(IK$1,generator!$B$2:$B$295,generator!$K$2:$K$295,"ARGH")</f>
        <v>3</v>
      </c>
      <c r="IL36" s="3">
        <f>_xlfn.XLOOKUP(IL$1,generator!$B$2:$B$295,generator!$K$2:$K$295,"ARGH")</f>
        <v>5</v>
      </c>
      <c r="IM36" s="3">
        <f>_xlfn.XLOOKUP(IM$1,generator!$B$2:$B$295,generator!$K$2:$K$295,"ARGH")</f>
        <v>5</v>
      </c>
      <c r="IN36" s="3">
        <f>_xlfn.XLOOKUP(IN$1,generator!$B$2:$B$295,generator!$K$2:$K$295,"ARGH")</f>
        <v>4</v>
      </c>
      <c r="IO36" s="3">
        <f>_xlfn.XLOOKUP(IO$1,generator!$B$2:$B$295,generator!$K$2:$K$295,"ARGH")</f>
        <v>4</v>
      </c>
      <c r="IP36" s="3">
        <f>_xlfn.XLOOKUP(IP$1,generator!$B$2:$B$295,generator!$K$2:$K$295,"ARGH")</f>
        <v>3</v>
      </c>
      <c r="IQ36" s="3">
        <f>_xlfn.XLOOKUP(IQ$1,generator!$B$2:$B$295,generator!$K$2:$K$295,"ARGH")</f>
        <v>1</v>
      </c>
      <c r="IR36" s="3">
        <f>_xlfn.XLOOKUP(IR$1,generator!$B$2:$B$295,generator!$K$2:$K$295,"ARGH")</f>
        <v>3</v>
      </c>
      <c r="IS36" s="3">
        <f>_xlfn.XLOOKUP(IS$1,generator!$B$2:$B$295,generator!$K$2:$K$295,"ARGH")</f>
        <v>3</v>
      </c>
      <c r="IT36" s="3">
        <f>_xlfn.XLOOKUP(IT$1,generator!$B$2:$B$295,generator!$K$2:$K$295,"ARGH")</f>
        <v>0</v>
      </c>
      <c r="IU36" s="3">
        <f>_xlfn.XLOOKUP(IU$1,generator!$B$2:$B$295,generator!$K$2:$K$295,"ARGH")</f>
        <v>3.99</v>
      </c>
      <c r="IV36" s="3">
        <f>_xlfn.XLOOKUP(IV$1,generator!$B$2:$B$295,generator!$K$2:$K$295,"ARGH")</f>
        <v>0.2</v>
      </c>
      <c r="IW36" s="3">
        <f>_xlfn.XLOOKUP(IW$1,generator!$B$2:$B$295,generator!$K$2:$K$295,"ARGH")</f>
        <v>15</v>
      </c>
      <c r="IX36" s="3">
        <f>_xlfn.XLOOKUP(IX$1,generator!$B$2:$B$295,generator!$K$2:$K$295,"ARGH")</f>
        <v>15</v>
      </c>
      <c r="IY36" s="3">
        <f>_xlfn.XLOOKUP(IY$1,generator!$B$2:$B$295,generator!$K$2:$K$295,"ARGH")</f>
        <v>15</v>
      </c>
      <c r="IZ36" s="3">
        <f>_xlfn.XLOOKUP(IZ$1,generator!$B$2:$B$295,generator!$K$2:$K$295,"ARGH")</f>
        <v>120</v>
      </c>
      <c r="JA36" s="3">
        <f>_xlfn.XLOOKUP(JA$1,generator!$B$2:$B$295,generator!$K$2:$K$295,"ARGH")</f>
        <v>40</v>
      </c>
      <c r="JB36" s="3">
        <f>_xlfn.XLOOKUP(JB$1,generator!$B$2:$B$295,generator!$K$2:$K$295,"ARGH")</f>
        <v>40</v>
      </c>
      <c r="JC36" s="3">
        <f>_xlfn.XLOOKUP(JC$1,generator!$B$2:$B$295,generator!$K$2:$K$295,"ARGH")</f>
        <v>113</v>
      </c>
      <c r="JD36" s="3">
        <f>_xlfn.XLOOKUP(JD$1,generator!$B$2:$B$295,generator!$K$2:$K$295,"ARGH")</f>
        <v>113</v>
      </c>
      <c r="JE36" s="3">
        <f>_xlfn.XLOOKUP(JE$1,generator!$B$2:$B$295,generator!$K$2:$K$295,"ARGH")</f>
        <v>211</v>
      </c>
      <c r="JF36" s="3">
        <f>_xlfn.XLOOKUP(JF$1,generator!$B$2:$B$295,generator!$K$2:$K$295,"ARGH")</f>
        <v>22.5</v>
      </c>
      <c r="JG36" s="3">
        <f>_xlfn.XLOOKUP(JG$1,generator!$B$2:$B$295,generator!$K$2:$K$295,"ARGH")</f>
        <v>1</v>
      </c>
      <c r="JH36" s="3">
        <f>_xlfn.XLOOKUP(JH$1,generator!$B$2:$B$295,generator!$K$2:$K$295,"ARGH")</f>
        <v>160</v>
      </c>
      <c r="JI36" s="3">
        <f>_xlfn.XLOOKUP(JI$1,generator!$B$2:$B$295,generator!$K$2:$K$295,"ARGH")</f>
        <v>165</v>
      </c>
      <c r="JJ36" s="3">
        <f>_xlfn.XLOOKUP(JJ$1,generator!$B$2:$B$295,generator!$K$2:$K$295,"ARGH")</f>
        <v>4.5999999999999996</v>
      </c>
      <c r="JK36" s="3">
        <f>_xlfn.XLOOKUP(JK$1,generator!$B$2:$B$295,generator!$K$2:$K$295,"ARGH")</f>
        <v>4.5999999999999996</v>
      </c>
      <c r="JL36" s="3">
        <f>_xlfn.XLOOKUP(JL$1,generator!$B$2:$B$295,generator!$K$2:$K$295,"ARGH")</f>
        <v>4.5999999999999996</v>
      </c>
      <c r="JM36" s="3">
        <f>_xlfn.XLOOKUP(JM$1,generator!$B$2:$B$295,generator!$K$2:$K$295,"ARGH")</f>
        <v>4.5999999999999996</v>
      </c>
      <c r="JN36" s="3">
        <f>_xlfn.XLOOKUP(JN$1,generator!$B$2:$B$295,generator!$K$2:$K$295,"ARGH")</f>
        <v>4.5999999999999996</v>
      </c>
      <c r="JO36" s="3">
        <f>_xlfn.XLOOKUP(JO$1,generator!$B$2:$B$295,generator!$K$2:$K$295,"ARGH")</f>
        <v>4.5999999999999996</v>
      </c>
      <c r="JP36" s="3">
        <f>_xlfn.XLOOKUP(JP$1,generator!$B$2:$B$295,generator!$K$2:$K$295,"ARGH")</f>
        <v>110</v>
      </c>
      <c r="JQ36" s="3">
        <f>_xlfn.XLOOKUP(JQ$1,generator!$B$2:$B$295,generator!$K$2:$K$295,"ARGH")</f>
        <v>22.7</v>
      </c>
      <c r="JR36" s="3">
        <f>_xlfn.XLOOKUP(JR$1,generator!$B$2:$B$295,generator!$K$2:$K$295,"ARGH")</f>
        <v>147</v>
      </c>
      <c r="JS36" s="3">
        <f>_xlfn.XLOOKUP(JS$1,generator!$B$2:$B$295,generator!$K$2:$K$295,"ARGH")</f>
        <v>147</v>
      </c>
      <c r="JT36" s="3">
        <f>_xlfn.XLOOKUP(JT$1,generator!$B$2:$B$295,generator!$K$2:$K$295,"ARGH")</f>
        <v>22.7</v>
      </c>
      <c r="JU36" s="3">
        <f>_xlfn.XLOOKUP(JU$1,generator!$B$2:$B$295,generator!$K$2:$K$295,"ARGH")</f>
        <v>21.5</v>
      </c>
      <c r="JV36" s="3">
        <f>_xlfn.XLOOKUP(JV$1,generator!$B$2:$B$295,generator!$K$2:$K$295,"ARGH")</f>
        <v>120</v>
      </c>
      <c r="JW36" s="3">
        <f>_xlfn.XLOOKUP(JW$1,generator!$B$2:$B$295,generator!$K$2:$K$295,"ARGH")</f>
        <v>120</v>
      </c>
      <c r="JX36" s="3">
        <f>_xlfn.XLOOKUP(JX$1,generator!$B$2:$B$295,generator!$K$2:$K$295,"ARGH")</f>
        <v>1</v>
      </c>
      <c r="JY36" s="3">
        <f>_xlfn.XLOOKUP(JY$1,generator!$B$2:$B$295,generator!$K$2:$K$295,"ARGH")</f>
        <v>41.15</v>
      </c>
      <c r="JZ36" s="3">
        <f>_xlfn.XLOOKUP(JZ$1,generator!$B$2:$B$295,generator!$K$2:$K$295,"ARGH")</f>
        <v>5</v>
      </c>
      <c r="KA36" s="3">
        <f>_xlfn.XLOOKUP(KA$1,generator!$B$2:$B$295,generator!$K$2:$K$295,"ARGH")</f>
        <v>5</v>
      </c>
      <c r="KB36" s="3">
        <f>_xlfn.XLOOKUP(KB$1,generator!$B$2:$B$295,generator!$K$2:$K$295,"ARGH")</f>
        <v>5</v>
      </c>
      <c r="KC36" s="3">
        <f>_xlfn.XLOOKUP(KC$1,generator!$B$2:$B$295,generator!$K$2:$K$295,"ARGH")</f>
        <v>5</v>
      </c>
    </row>
    <row r="37" spans="1:289" x14ac:dyDescent="0.3">
      <c r="A37" s="4" t="s">
        <v>3032</v>
      </c>
      <c r="B37" s="31">
        <v>496</v>
      </c>
      <c r="C37" s="31">
        <v>513.5</v>
      </c>
      <c r="D37" s="31">
        <v>442</v>
      </c>
      <c r="E37" s="3">
        <f>_xlfn.XLOOKUP(E$1,generator!$B$2:$B$295,generator!$K$2:$K$295,"ARGH")</f>
        <v>0</v>
      </c>
      <c r="F37" s="3">
        <f>_xlfn.XLOOKUP(F$1,generator!$B$2:$B$295,generator!$K$2:$K$295,"ARGH")</f>
        <v>0</v>
      </c>
      <c r="G37" s="3">
        <f>_xlfn.XLOOKUP(G$1,generator!$B$2:$B$295,generator!$K$2:$K$295,"ARGH")</f>
        <v>0</v>
      </c>
      <c r="H37" s="3">
        <f>_xlfn.XLOOKUP(H$1,generator!$B$2:$B$295,generator!$K$2:$K$295,"ARGH")</f>
        <v>0</v>
      </c>
      <c r="I37" s="3">
        <f>_xlfn.XLOOKUP(I$1,generator!$B$2:$B$295,generator!$K$2:$K$295,"ARGH")</f>
        <v>0</v>
      </c>
      <c r="J37" s="3">
        <f>_xlfn.XLOOKUP(J$1,generator!$B$2:$B$295,generator!$K$2:$K$295,"ARGH")</f>
        <v>0</v>
      </c>
      <c r="K37" s="3">
        <f>_xlfn.XLOOKUP(K$1,generator!$B$2:$B$295,generator!$K$2:$K$295,"ARGH")</f>
        <v>0</v>
      </c>
      <c r="L37" s="3">
        <f>_xlfn.XLOOKUP(L$1,generator!$B$2:$B$295,generator!$K$2:$K$295,"ARGH")</f>
        <v>0</v>
      </c>
      <c r="M37" s="3">
        <f>_xlfn.XLOOKUP(M$1,generator!$B$2:$B$295,generator!$K$2:$K$295,"ARGH")</f>
        <v>0</v>
      </c>
      <c r="N37" s="3">
        <f>_xlfn.XLOOKUP(N$1,generator!$B$2:$B$295,generator!$K$2:$K$295,"ARGH")</f>
        <v>0</v>
      </c>
      <c r="O37" s="3">
        <f>_xlfn.XLOOKUP(O$1,generator!$B$2:$B$295,generator!$K$2:$K$295,"ARGH")</f>
        <v>0</v>
      </c>
      <c r="P37" s="3">
        <f>_xlfn.XLOOKUP(P$1,generator!$B$2:$B$295,generator!$K$2:$K$295,"ARGH")</f>
        <v>0</v>
      </c>
      <c r="Q37" s="3">
        <f>_xlfn.XLOOKUP(Q$1,generator!$B$2:$B$295,generator!$K$2:$K$295,"ARGH")</f>
        <v>0</v>
      </c>
      <c r="R37" s="3">
        <f>_xlfn.XLOOKUP(R$1,generator!$B$2:$B$295,generator!$K$2:$K$295,"ARGH")</f>
        <v>0</v>
      </c>
      <c r="S37" s="3">
        <f>_xlfn.XLOOKUP(S$1,generator!$B$2:$B$295,generator!$K$2:$K$295,"ARGH")</f>
        <v>0</v>
      </c>
      <c r="T37" s="3">
        <f>_xlfn.XLOOKUP(T$1,generator!$B$2:$B$295,generator!$K$2:$K$295,"ARGH")</f>
        <v>0</v>
      </c>
      <c r="U37" s="3">
        <f>_xlfn.XLOOKUP(U$1,generator!$B$2:$B$295,generator!$K$2:$K$295,"ARGH")</f>
        <v>0</v>
      </c>
      <c r="V37" s="3">
        <f>_xlfn.XLOOKUP(V$1,generator!$B$2:$B$295,generator!$K$2:$K$295,"ARGH")</f>
        <v>0</v>
      </c>
      <c r="W37" s="3">
        <f>_xlfn.XLOOKUP(W$1,generator!$B$2:$B$295,generator!$K$2:$K$295,"ARGH")</f>
        <v>0</v>
      </c>
      <c r="X37" s="3">
        <f>_xlfn.XLOOKUP(X$1,generator!$B$2:$B$295,generator!$K$2:$K$295,"ARGH")</f>
        <v>0</v>
      </c>
      <c r="Y37" s="3">
        <f>_xlfn.XLOOKUP(Y$1,generator!$B$2:$B$295,generator!$K$2:$K$295,"ARGH")</f>
        <v>0</v>
      </c>
      <c r="Z37" s="3">
        <f>_xlfn.XLOOKUP(Z$1,generator!$B$2:$B$295,generator!$K$2:$K$295,"ARGH")</f>
        <v>0</v>
      </c>
      <c r="AA37" s="3">
        <f>_xlfn.XLOOKUP(AA$1,generator!$B$2:$B$295,generator!$K$2:$K$295,"ARGH")</f>
        <v>0</v>
      </c>
      <c r="AB37" s="3">
        <f>_xlfn.XLOOKUP(AB$1,generator!$B$2:$B$295,generator!$K$2:$K$295,"ARGH")</f>
        <v>0</v>
      </c>
      <c r="AC37" s="3">
        <f>_xlfn.XLOOKUP(AC$1,generator!$B$2:$B$295,generator!$K$2:$K$295,"ARGH")</f>
        <v>0</v>
      </c>
      <c r="AD37" s="3">
        <f>_xlfn.XLOOKUP(AD$1,generator!$B$2:$B$295,generator!$K$2:$K$295,"ARGH")</f>
        <v>0</v>
      </c>
      <c r="AE37" s="3">
        <f>_xlfn.XLOOKUP(AE$1,generator!$B$2:$B$295,generator!$K$2:$K$295,"ARGH")</f>
        <v>0</v>
      </c>
      <c r="AF37" s="3">
        <f>_xlfn.XLOOKUP(AF$1,generator!$B$2:$B$295,generator!$K$2:$K$295,"ARGH")</f>
        <v>0</v>
      </c>
      <c r="AG37" s="3">
        <f>_xlfn.XLOOKUP(AG$1,generator!$B$2:$B$295,generator!$K$2:$K$295,"ARGH")</f>
        <v>0</v>
      </c>
      <c r="AH37" s="3">
        <f>_xlfn.XLOOKUP(AH$1,generator!$B$2:$B$295,generator!$K$2:$K$295,"ARGH")</f>
        <v>0</v>
      </c>
      <c r="AI37" s="3">
        <f>_xlfn.XLOOKUP(AI$1,generator!$B$2:$B$295,generator!$K$2:$K$295,"ARGH")</f>
        <v>0</v>
      </c>
      <c r="AJ37" s="3">
        <f>_xlfn.XLOOKUP(AJ$1,generator!$B$2:$B$295,generator!$K$2:$K$295,"ARGH")</f>
        <v>0</v>
      </c>
      <c r="AK37" s="3">
        <f>_xlfn.XLOOKUP(AK$1,generator!$B$2:$B$295,generator!$K$2:$K$295,"ARGH")</f>
        <v>0</v>
      </c>
      <c r="AL37" s="3">
        <f>_xlfn.XLOOKUP(AL$1,generator!$B$2:$B$295,generator!$K$2:$K$295,"ARGH")</f>
        <v>0</v>
      </c>
      <c r="AM37" s="3">
        <f>_xlfn.XLOOKUP(AM$1,generator!$B$2:$B$295,generator!$K$2:$K$295,"ARGH")</f>
        <v>0</v>
      </c>
      <c r="AN37" s="3">
        <f>_xlfn.XLOOKUP(AN$1,generator!$B$2:$B$295,generator!$K$2:$K$295,"ARGH")</f>
        <v>0</v>
      </c>
      <c r="AO37" s="3">
        <f>_xlfn.XLOOKUP(AO$1,generator!$B$2:$B$295,generator!$K$2:$K$295,"ARGH")</f>
        <v>0</v>
      </c>
      <c r="AP37" s="3">
        <f>_xlfn.XLOOKUP(AP$1,generator!$B$2:$B$295,generator!$K$2:$K$295,"ARGH")</f>
        <v>0</v>
      </c>
      <c r="AQ37" s="3">
        <f>_xlfn.XLOOKUP(AQ$1,generator!$B$2:$B$295,generator!$K$2:$K$295,"ARGH")</f>
        <v>0</v>
      </c>
      <c r="AR37" s="3">
        <f>_xlfn.XLOOKUP(AR$1,generator!$B$2:$B$295,generator!$K$2:$K$295,"ARGH")</f>
        <v>0</v>
      </c>
      <c r="AS37" s="3">
        <f>_xlfn.XLOOKUP(AS$1,generator!$B$2:$B$295,generator!$K$2:$K$295,"ARGH")</f>
        <v>0</v>
      </c>
      <c r="AT37" s="3">
        <f>_xlfn.XLOOKUP(AT$1,generator!$B$2:$B$295,generator!$K$2:$K$295,"ARGH")</f>
        <v>0</v>
      </c>
      <c r="AU37" s="3">
        <f>_xlfn.XLOOKUP(AU$1,generator!$B$2:$B$295,generator!$K$2:$K$295,"ARGH")</f>
        <v>0</v>
      </c>
      <c r="AV37" s="3">
        <f>_xlfn.XLOOKUP(AV$1,generator!$B$2:$B$295,generator!$K$2:$K$295,"ARGH")</f>
        <v>0</v>
      </c>
      <c r="AW37" s="3">
        <f>_xlfn.XLOOKUP(AW$1,generator!$B$2:$B$295,generator!$K$2:$K$295,"ARGH")</f>
        <v>0</v>
      </c>
      <c r="AX37" s="3">
        <f>_xlfn.XLOOKUP(AX$1,generator!$B$2:$B$295,generator!$K$2:$K$295,"ARGH")</f>
        <v>0</v>
      </c>
      <c r="AY37" s="3">
        <f>_xlfn.XLOOKUP(AY$1,generator!$B$2:$B$295,generator!$K$2:$K$295,"ARGH")</f>
        <v>0</v>
      </c>
      <c r="AZ37" s="3">
        <f>_xlfn.XLOOKUP(AZ$1,generator!$B$2:$B$295,generator!$K$2:$K$295,"ARGH")</f>
        <v>0</v>
      </c>
      <c r="BA37" s="3">
        <f>_xlfn.XLOOKUP(BA$1,generator!$B$2:$B$295,generator!$K$2:$K$295,"ARGH")</f>
        <v>0</v>
      </c>
      <c r="BB37" s="3">
        <f>_xlfn.XLOOKUP(BB$1,generator!$B$2:$B$295,generator!$K$2:$K$295,"ARGH")</f>
        <v>0</v>
      </c>
      <c r="BC37" s="3">
        <f>_xlfn.XLOOKUP(BC$1,generator!$B$2:$B$295,generator!$K$2:$K$295,"ARGH")</f>
        <v>0</v>
      </c>
      <c r="BD37" s="3">
        <f>_xlfn.XLOOKUP(BD$1,generator!$B$2:$B$295,generator!$K$2:$K$295,"ARGH")</f>
        <v>0</v>
      </c>
      <c r="BE37" s="3">
        <f>_xlfn.XLOOKUP(BE$1,generator!$B$2:$B$295,generator!$K$2:$K$295,"ARGH")</f>
        <v>0</v>
      </c>
      <c r="BF37" s="3">
        <f>_xlfn.XLOOKUP(BF$1,generator!$B$2:$B$295,generator!$K$2:$K$295,"ARGH")</f>
        <v>0</v>
      </c>
      <c r="BG37" s="3">
        <f>_xlfn.XLOOKUP(BG$1,generator!$B$2:$B$295,generator!$K$2:$K$295,"ARGH")</f>
        <v>0</v>
      </c>
      <c r="BH37" s="3">
        <f>_xlfn.XLOOKUP(BH$1,generator!$B$2:$B$295,generator!$K$2:$K$295,"ARGH")</f>
        <v>0</v>
      </c>
      <c r="BI37" s="3">
        <f>_xlfn.XLOOKUP(BI$1,generator!$B$2:$B$295,generator!$K$2:$K$295,"ARGH")</f>
        <v>0</v>
      </c>
      <c r="BJ37" s="3">
        <f>_xlfn.XLOOKUP(BJ$1,generator!$B$2:$B$295,generator!$K$2:$K$295,"ARGH")</f>
        <v>0</v>
      </c>
      <c r="BK37" s="3">
        <f>_xlfn.XLOOKUP(BK$1,generator!$B$2:$B$295,generator!$K$2:$K$295,"ARGH")</f>
        <v>0</v>
      </c>
      <c r="BL37" s="3">
        <f>_xlfn.XLOOKUP(BL$1,generator!$B$2:$B$295,generator!$K$2:$K$295,"ARGH")</f>
        <v>0</v>
      </c>
      <c r="BM37" s="3">
        <f>_xlfn.XLOOKUP(BM$1,generator!$B$2:$B$295,generator!$K$2:$K$295,"ARGH")</f>
        <v>0</v>
      </c>
      <c r="BN37" s="3">
        <f>_xlfn.XLOOKUP(BN$1,generator!$B$2:$B$295,generator!$K$2:$K$295,"ARGH")</f>
        <v>0</v>
      </c>
      <c r="BO37" s="3">
        <f>_xlfn.XLOOKUP(BO$1,generator!$B$2:$B$295,generator!$K$2:$K$295,"ARGH")</f>
        <v>0</v>
      </c>
      <c r="BP37" s="3">
        <f>_xlfn.XLOOKUP(BP$1,generator!$B$2:$B$295,generator!$K$2:$K$295,"ARGH")</f>
        <v>0</v>
      </c>
      <c r="BQ37" s="3">
        <f>_xlfn.XLOOKUP(BQ$1,generator!$B$2:$B$295,generator!$K$2:$K$295,"ARGH")</f>
        <v>0</v>
      </c>
      <c r="BR37" s="3">
        <f>_xlfn.XLOOKUP(BR$1,generator!$B$2:$B$295,generator!$K$2:$K$295,"ARGH")</f>
        <v>0</v>
      </c>
      <c r="BS37" s="3">
        <f>_xlfn.XLOOKUP(BS$1,generator!$B$2:$B$295,generator!$K$2:$K$295,"ARGH")</f>
        <v>0</v>
      </c>
      <c r="BT37" s="3">
        <f>_xlfn.XLOOKUP(BT$1,generator!$B$2:$B$295,generator!$K$2:$K$295,"ARGH")</f>
        <v>0</v>
      </c>
      <c r="BU37" s="3">
        <f>_xlfn.XLOOKUP(BU$1,generator!$B$2:$B$295,generator!$K$2:$K$295,"ARGH")</f>
        <v>0</v>
      </c>
      <c r="BV37" s="3">
        <f>_xlfn.XLOOKUP(BV$1,generator!$B$2:$B$295,generator!$K$2:$K$295,"ARGH")</f>
        <v>0</v>
      </c>
      <c r="BW37" s="3">
        <f>_xlfn.XLOOKUP(BW$1,generator!$B$2:$B$295,generator!$K$2:$K$295,"ARGH")</f>
        <v>0</v>
      </c>
      <c r="BX37" s="3">
        <f>_xlfn.XLOOKUP(BX$1,generator!$B$2:$B$295,generator!$K$2:$K$295,"ARGH")</f>
        <v>0</v>
      </c>
      <c r="BY37" s="3">
        <f>_xlfn.XLOOKUP(BY$1,generator!$B$2:$B$295,generator!$K$2:$K$295,"ARGH")</f>
        <v>0</v>
      </c>
      <c r="BZ37" s="3">
        <f>_xlfn.XLOOKUP(BZ$1,generator!$B$2:$B$295,generator!$K$2:$K$295,"ARGH")</f>
        <v>0</v>
      </c>
      <c r="CA37" s="3">
        <f>_xlfn.XLOOKUP(CA$1,generator!$B$2:$B$295,generator!$K$2:$K$295,"ARGH")</f>
        <v>0</v>
      </c>
      <c r="CB37" s="3">
        <f>_xlfn.XLOOKUP(CB$1,generator!$B$2:$B$295,generator!$K$2:$K$295,"ARGH")</f>
        <v>0</v>
      </c>
      <c r="CC37" s="3">
        <f>_xlfn.XLOOKUP(CC$1,generator!$B$2:$B$295,generator!$K$2:$K$295,"ARGH")</f>
        <v>0</v>
      </c>
      <c r="CD37" s="3">
        <f>_xlfn.XLOOKUP(CD$1,generator!$B$2:$B$295,generator!$K$2:$K$295,"ARGH")</f>
        <v>0</v>
      </c>
      <c r="CE37" s="3">
        <f>_xlfn.XLOOKUP(CE$1,generator!$B$2:$B$295,generator!$K$2:$K$295,"ARGH")</f>
        <v>0</v>
      </c>
      <c r="CF37" s="3">
        <f>_xlfn.XLOOKUP(CF$1,generator!$B$2:$B$295,generator!$K$2:$K$295,"ARGH")</f>
        <v>0</v>
      </c>
      <c r="CG37" s="3">
        <f>_xlfn.XLOOKUP(CG$1,generator!$B$2:$B$295,generator!$K$2:$K$295,"ARGH")</f>
        <v>0</v>
      </c>
      <c r="CH37" s="3">
        <f>_xlfn.XLOOKUP(CH$1,generator!$B$2:$B$295,generator!$K$2:$K$295,"ARGH")</f>
        <v>0</v>
      </c>
      <c r="CI37" s="3">
        <f>_xlfn.XLOOKUP(CI$1,generator!$B$2:$B$295,generator!$K$2:$K$295,"ARGH")</f>
        <v>0</v>
      </c>
      <c r="CJ37" s="3">
        <f>_xlfn.XLOOKUP(CJ$1,generator!$B$2:$B$295,generator!$K$2:$K$295,"ARGH")</f>
        <v>0</v>
      </c>
      <c r="CK37" s="3">
        <f>_xlfn.XLOOKUP(CK$1,generator!$B$2:$B$295,generator!$K$2:$K$295,"ARGH")</f>
        <v>0</v>
      </c>
      <c r="CL37" s="3">
        <f>_xlfn.XLOOKUP(CL$1,generator!$B$2:$B$295,generator!$K$2:$K$295,"ARGH")</f>
        <v>0</v>
      </c>
      <c r="CM37" s="3">
        <f>_xlfn.XLOOKUP(CM$1,generator!$B$2:$B$295,generator!$K$2:$K$295,"ARGH")</f>
        <v>0</v>
      </c>
      <c r="CN37" s="3">
        <f>_xlfn.XLOOKUP(CN$1,generator!$B$2:$B$295,generator!$K$2:$K$295,"ARGH")</f>
        <v>0</v>
      </c>
      <c r="CO37" s="3">
        <f>_xlfn.XLOOKUP(CO$1,generator!$B$2:$B$295,generator!$K$2:$K$295,"ARGH")</f>
        <v>0</v>
      </c>
      <c r="CP37" s="3">
        <f>_xlfn.XLOOKUP(CP$1,generator!$B$2:$B$295,generator!$K$2:$K$295,"ARGH")</f>
        <v>0</v>
      </c>
      <c r="CQ37" s="3">
        <f>_xlfn.XLOOKUP(CQ$1,generator!$B$2:$B$295,generator!$K$2:$K$295,"ARGH")</f>
        <v>0</v>
      </c>
      <c r="CR37" s="3">
        <f>_xlfn.XLOOKUP(CR$1,generator!$B$2:$B$295,generator!$K$2:$K$295,"ARGH")</f>
        <v>0</v>
      </c>
      <c r="CS37" s="3">
        <f>_xlfn.XLOOKUP(CS$1,generator!$B$2:$B$295,generator!$K$2:$K$295,"ARGH")</f>
        <v>0</v>
      </c>
      <c r="CT37" s="3">
        <f>_xlfn.XLOOKUP(CT$1,generator!$B$2:$B$295,generator!$K$2:$K$295,"ARGH")</f>
        <v>0</v>
      </c>
      <c r="CU37" s="3">
        <f>_xlfn.XLOOKUP(CU$1,generator!$B$2:$B$295,generator!$K$2:$K$295,"ARGH")</f>
        <v>0</v>
      </c>
      <c r="CV37" s="3">
        <f>_xlfn.XLOOKUP(CV$1,generator!$B$2:$B$295,generator!$K$2:$K$295,"ARGH")</f>
        <v>0</v>
      </c>
      <c r="CW37" s="3">
        <f>_xlfn.XLOOKUP(CW$1,generator!$B$2:$B$295,generator!$K$2:$K$295,"ARGH")</f>
        <v>0</v>
      </c>
      <c r="CX37" s="3">
        <f>_xlfn.XLOOKUP(CX$1,generator!$B$2:$B$295,generator!$K$2:$K$295,"ARGH")</f>
        <v>0</v>
      </c>
      <c r="CY37" s="3">
        <f>_xlfn.XLOOKUP(CY$1,generator!$B$2:$B$295,generator!$K$2:$K$295,"ARGH")</f>
        <v>0</v>
      </c>
      <c r="CZ37" s="3">
        <f>_xlfn.XLOOKUP(CZ$1,generator!$B$2:$B$295,generator!$K$2:$K$295,"ARGH")</f>
        <v>0</v>
      </c>
      <c r="DA37" s="3">
        <f>_xlfn.XLOOKUP(DA$1,generator!$B$2:$B$295,generator!$K$2:$K$295,"ARGH")</f>
        <v>0</v>
      </c>
      <c r="DB37" s="3">
        <f>_xlfn.XLOOKUP(DB$1,generator!$B$2:$B$295,generator!$K$2:$K$295,"ARGH")</f>
        <v>0</v>
      </c>
      <c r="DC37" s="3">
        <f>_xlfn.XLOOKUP(DC$1,generator!$B$2:$B$295,generator!$K$2:$K$295,"ARGH")</f>
        <v>0</v>
      </c>
      <c r="DD37" s="3">
        <f>_xlfn.XLOOKUP(DD$1,generator!$B$2:$B$295,generator!$K$2:$K$295,"ARGH")</f>
        <v>0</v>
      </c>
      <c r="DE37" s="3">
        <f>_xlfn.XLOOKUP(DE$1,generator!$B$2:$B$295,generator!$K$2:$K$295,"ARGH")</f>
        <v>0</v>
      </c>
      <c r="DF37" s="3">
        <f>_xlfn.XLOOKUP(DF$1,generator!$B$2:$B$295,generator!$K$2:$K$295,"ARGH")</f>
        <v>0</v>
      </c>
      <c r="DG37" s="3">
        <f>_xlfn.XLOOKUP(DG$1,generator!$B$2:$B$295,generator!$K$2:$K$295,"ARGH")</f>
        <v>0</v>
      </c>
      <c r="DH37" s="3">
        <f>_xlfn.XLOOKUP(DH$1,generator!$B$2:$B$295,generator!$K$2:$K$295,"ARGH")</f>
        <v>0</v>
      </c>
      <c r="DI37" s="3">
        <f>_xlfn.XLOOKUP(DI$1,generator!$B$2:$B$295,generator!$K$2:$K$295,"ARGH")</f>
        <v>0</v>
      </c>
      <c r="DJ37" s="3">
        <f>_xlfn.XLOOKUP(DJ$1,generator!$B$2:$B$295,generator!$K$2:$K$295,"ARGH")</f>
        <v>0</v>
      </c>
      <c r="DK37" s="3">
        <f>_xlfn.XLOOKUP(DK$1,generator!$B$2:$B$295,generator!$K$2:$K$295,"ARGH")</f>
        <v>0</v>
      </c>
      <c r="DL37" s="3">
        <f>_xlfn.XLOOKUP(DL$1,generator!$B$2:$B$295,generator!$K$2:$K$295,"ARGH")</f>
        <v>0</v>
      </c>
      <c r="DM37" s="3">
        <f>_xlfn.XLOOKUP(DM$1,generator!$B$2:$B$295,generator!$K$2:$K$295,"ARGH")</f>
        <v>0</v>
      </c>
      <c r="DN37" s="3">
        <f>_xlfn.XLOOKUP(DN$1,generator!$B$2:$B$295,generator!$K$2:$K$295,"ARGH")</f>
        <v>0</v>
      </c>
      <c r="DO37" s="3">
        <f>_xlfn.XLOOKUP(DO$1,generator!$B$2:$B$295,generator!$K$2:$K$295,"ARGH")</f>
        <v>0</v>
      </c>
      <c r="DP37" s="3">
        <f>_xlfn.XLOOKUP(DP$1,generator!$B$2:$B$295,generator!$K$2:$K$295,"ARGH")</f>
        <v>0</v>
      </c>
      <c r="DQ37" s="3">
        <f>_xlfn.XLOOKUP(DQ$1,generator!$B$2:$B$295,generator!$K$2:$K$295,"ARGH")</f>
        <v>0</v>
      </c>
      <c r="DR37" s="3">
        <f>_xlfn.XLOOKUP(DR$1,generator!$B$2:$B$295,generator!$K$2:$K$295,"ARGH")</f>
        <v>0</v>
      </c>
      <c r="DS37" s="3">
        <f>_xlfn.XLOOKUP(DS$1,generator!$B$2:$B$295,generator!$K$2:$K$295,"ARGH")</f>
        <v>0</v>
      </c>
      <c r="DT37" s="3">
        <f>_xlfn.XLOOKUP(DT$1,generator!$B$2:$B$295,generator!$K$2:$K$295,"ARGH")</f>
        <v>0</v>
      </c>
      <c r="DU37" s="3">
        <f>_xlfn.XLOOKUP(DU$1,generator!$B$2:$B$295,generator!$K$2:$K$295,"ARGH")</f>
        <v>0</v>
      </c>
      <c r="DV37" s="3">
        <f>_xlfn.XLOOKUP(DV$1,generator!$B$2:$B$295,generator!$K$2:$K$295,"ARGH")</f>
        <v>0</v>
      </c>
      <c r="DW37" s="3">
        <f>_xlfn.XLOOKUP(DW$1,generator!$B$2:$B$295,generator!$K$2:$K$295,"ARGH")</f>
        <v>0</v>
      </c>
      <c r="DX37" s="3">
        <f>_xlfn.XLOOKUP(DX$1,generator!$B$2:$B$295,generator!$K$2:$K$295,"ARGH")</f>
        <v>0</v>
      </c>
      <c r="DY37" s="3">
        <f>_xlfn.XLOOKUP(DY$1,generator!$B$2:$B$295,generator!$K$2:$K$295,"ARGH")</f>
        <v>0</v>
      </c>
      <c r="DZ37" s="3">
        <f>_xlfn.XLOOKUP(DZ$1,generator!$B$2:$B$295,generator!$K$2:$K$295,"ARGH")</f>
        <v>0</v>
      </c>
      <c r="EA37" s="3">
        <f>_xlfn.XLOOKUP(EA$1,generator!$B$2:$B$295,generator!$K$2:$K$295,"ARGH")</f>
        <v>0</v>
      </c>
      <c r="EB37" s="3">
        <f>_xlfn.XLOOKUP(EB$1,generator!$B$2:$B$295,generator!$K$2:$K$295,"ARGH")</f>
        <v>0</v>
      </c>
      <c r="EC37" s="3">
        <f>_xlfn.XLOOKUP(EC$1,generator!$B$2:$B$295,generator!$K$2:$K$295,"ARGH")</f>
        <v>0</v>
      </c>
      <c r="ED37" s="3">
        <f>_xlfn.XLOOKUP(ED$1,generator!$B$2:$B$295,generator!$K$2:$K$295,"ARGH")</f>
        <v>0</v>
      </c>
      <c r="EE37" s="3">
        <f>_xlfn.XLOOKUP(EE$1,generator!$B$2:$B$295,generator!$K$2:$K$295,"ARGH")</f>
        <v>0</v>
      </c>
      <c r="EF37" s="3">
        <f>_xlfn.XLOOKUP(EF$1,generator!$B$2:$B$295,generator!$K$2:$K$295,"ARGH")</f>
        <v>0</v>
      </c>
      <c r="EG37" s="3">
        <f>_xlfn.XLOOKUP(EG$1,generator!$B$2:$B$295,generator!$K$2:$K$295,"ARGH")</f>
        <v>0</v>
      </c>
      <c r="EH37" s="3">
        <f>_xlfn.XLOOKUP(EH$1,generator!$B$2:$B$295,generator!$K$2:$K$295,"ARGH")</f>
        <v>0</v>
      </c>
      <c r="EI37" s="3">
        <f>_xlfn.XLOOKUP(EI$1,generator!$B$2:$B$295,generator!$K$2:$K$295,"ARGH")</f>
        <v>0</v>
      </c>
      <c r="EJ37" s="3">
        <f>_xlfn.XLOOKUP(EJ$1,generator!$B$2:$B$295,generator!$K$2:$K$295,"ARGH")</f>
        <v>0</v>
      </c>
      <c r="EK37" s="3">
        <f>_xlfn.XLOOKUP(EK$1,generator!$B$2:$B$295,generator!$K$2:$K$295,"ARGH")</f>
        <v>0</v>
      </c>
      <c r="EL37" s="3">
        <f>_xlfn.XLOOKUP(EL$1,generator!$B$2:$B$295,generator!$K$2:$K$295,"ARGH")</f>
        <v>0</v>
      </c>
      <c r="EM37" s="3">
        <f>_xlfn.XLOOKUP(EM$1,generator!$B$2:$B$295,generator!$K$2:$K$295,"ARGH")</f>
        <v>0</v>
      </c>
      <c r="EN37" s="3">
        <f>_xlfn.XLOOKUP(EN$1,generator!$B$2:$B$295,generator!$K$2:$K$295,"ARGH")</f>
        <v>0</v>
      </c>
      <c r="EO37" s="3">
        <f>_xlfn.XLOOKUP(EO$1,generator!$B$2:$B$295,generator!$K$2:$K$295,"ARGH")</f>
        <v>0</v>
      </c>
      <c r="EP37" s="3">
        <f>_xlfn.XLOOKUP(EP$1,generator!$B$2:$B$295,generator!$K$2:$K$295,"ARGH")</f>
        <v>0</v>
      </c>
      <c r="EQ37" s="3">
        <f>_xlfn.XLOOKUP(EQ$1,generator!$B$2:$B$295,generator!$K$2:$K$295,"ARGH")</f>
        <v>0</v>
      </c>
      <c r="ER37" s="3">
        <f>_xlfn.XLOOKUP(ER$1,generator!$B$2:$B$295,generator!$K$2:$K$295,"ARGH")</f>
        <v>0</v>
      </c>
      <c r="ES37" s="3">
        <f>_xlfn.XLOOKUP(ES$1,generator!$B$2:$B$295,generator!$K$2:$K$295,"ARGH")</f>
        <v>0</v>
      </c>
      <c r="ET37" s="3">
        <f>_xlfn.XLOOKUP(ET$1,generator!$B$2:$B$295,generator!$K$2:$K$295,"ARGH")</f>
        <v>0</v>
      </c>
      <c r="EU37" s="3">
        <f>_xlfn.XLOOKUP(EU$1,generator!$B$2:$B$295,generator!$K$2:$K$295,"ARGH")</f>
        <v>0</v>
      </c>
      <c r="EV37" s="3">
        <f>_xlfn.XLOOKUP(EV$1,generator!$B$2:$B$295,generator!$K$2:$K$295,"ARGH")</f>
        <v>0</v>
      </c>
      <c r="EW37" s="3">
        <f>_xlfn.XLOOKUP(EW$1,generator!$B$2:$B$295,generator!$K$2:$K$295,"ARGH")</f>
        <v>0</v>
      </c>
      <c r="EX37" s="3">
        <f>_xlfn.XLOOKUP(EX$1,generator!$B$2:$B$295,generator!$K$2:$K$295,"ARGH")</f>
        <v>0</v>
      </c>
      <c r="EY37" s="3">
        <f>_xlfn.XLOOKUP(EY$1,generator!$B$2:$B$295,generator!$K$2:$K$295,"ARGH")</f>
        <v>0</v>
      </c>
      <c r="EZ37" s="3">
        <f>_xlfn.XLOOKUP(EZ$1,generator!$B$2:$B$295,generator!$K$2:$K$295,"ARGH")</f>
        <v>0</v>
      </c>
      <c r="FA37" s="3">
        <f>_xlfn.XLOOKUP(FA$1,generator!$B$2:$B$295,generator!$K$2:$K$295,"ARGH")</f>
        <v>0</v>
      </c>
      <c r="FB37" s="3">
        <f>_xlfn.XLOOKUP(FB$1,generator!$B$2:$B$295,generator!$K$2:$K$295,"ARGH")</f>
        <v>0</v>
      </c>
      <c r="FC37" s="3">
        <f>_xlfn.XLOOKUP(FC$1,generator!$B$2:$B$295,generator!$K$2:$K$295,"ARGH")</f>
        <v>0</v>
      </c>
      <c r="FD37" s="3">
        <f>_xlfn.XLOOKUP(FD$1,generator!$B$2:$B$295,generator!$K$2:$K$295,"ARGH")</f>
        <v>0</v>
      </c>
      <c r="FE37" s="3">
        <f>_xlfn.XLOOKUP(FE$1,generator!$B$2:$B$295,generator!$K$2:$K$295,"ARGH")</f>
        <v>0</v>
      </c>
      <c r="FF37" s="3">
        <f>_xlfn.XLOOKUP(FF$1,generator!$B$2:$B$295,generator!$K$2:$K$295,"ARGH")</f>
        <v>0</v>
      </c>
      <c r="FG37" s="3">
        <f>_xlfn.XLOOKUP(FG$1,generator!$B$2:$B$295,generator!$K$2:$K$295,"ARGH")</f>
        <v>0</v>
      </c>
      <c r="FH37" s="3">
        <f>_xlfn.XLOOKUP(FH$1,generator!$B$2:$B$295,generator!$K$2:$K$295,"ARGH")</f>
        <v>0</v>
      </c>
      <c r="FI37" s="3">
        <f>_xlfn.XLOOKUP(FI$1,generator!$B$2:$B$295,generator!$K$2:$K$295,"ARGH")</f>
        <v>0</v>
      </c>
      <c r="FJ37" s="3">
        <f>_xlfn.XLOOKUP(FJ$1,generator!$B$2:$B$295,generator!$K$2:$K$295,"ARGH")</f>
        <v>0</v>
      </c>
      <c r="FK37" s="3">
        <f>_xlfn.XLOOKUP(FK$1,generator!$B$2:$B$295,generator!$K$2:$K$295,"ARGH")</f>
        <v>0</v>
      </c>
      <c r="FL37" s="3">
        <f>_xlfn.XLOOKUP(FL$1,generator!$B$2:$B$295,generator!$K$2:$K$295,"ARGH")</f>
        <v>0</v>
      </c>
      <c r="FM37" s="3">
        <f>_xlfn.XLOOKUP(FM$1,generator!$B$2:$B$295,generator!$K$2:$K$295,"ARGH")</f>
        <v>0</v>
      </c>
      <c r="FN37" s="3">
        <f>_xlfn.XLOOKUP(FN$1,generator!$B$2:$B$295,generator!$K$2:$K$295,"ARGH")</f>
        <v>0</v>
      </c>
      <c r="FO37" s="3">
        <f>_xlfn.XLOOKUP(FO$1,generator!$B$2:$B$295,generator!$K$2:$K$295,"ARGH")</f>
        <v>0</v>
      </c>
      <c r="FP37" s="3">
        <f>_xlfn.XLOOKUP(FP$1,generator!$B$2:$B$295,generator!$K$2:$K$295,"ARGH")</f>
        <v>0</v>
      </c>
      <c r="FQ37" s="3">
        <f>_xlfn.XLOOKUP(FQ$1,generator!$B$2:$B$295,generator!$K$2:$K$295,"ARGH")</f>
        <v>0</v>
      </c>
      <c r="FR37" s="3">
        <f>_xlfn.XLOOKUP(FR$1,generator!$B$2:$B$295,generator!$K$2:$K$295,"ARGH")</f>
        <v>0</v>
      </c>
      <c r="FS37" s="3">
        <f>_xlfn.XLOOKUP(FS$1,generator!$B$2:$B$295,generator!$K$2:$K$295,"ARGH")</f>
        <v>0</v>
      </c>
      <c r="FT37" s="3">
        <f>_xlfn.XLOOKUP(FT$1,generator!$B$2:$B$295,generator!$K$2:$K$295,"ARGH")</f>
        <v>0</v>
      </c>
      <c r="FU37" s="3">
        <f>_xlfn.XLOOKUP(FU$1,generator!$B$2:$B$295,generator!$K$2:$K$295,"ARGH")</f>
        <v>0</v>
      </c>
      <c r="FV37" s="3">
        <f>_xlfn.XLOOKUP(FV$1,generator!$B$2:$B$295,generator!$K$2:$K$295,"ARGH")</f>
        <v>0</v>
      </c>
      <c r="FW37" s="3">
        <f>_xlfn.XLOOKUP(FW$1,generator!$B$2:$B$295,generator!$K$2:$K$295,"ARGH")</f>
        <v>0</v>
      </c>
      <c r="FX37" s="3">
        <f>_xlfn.XLOOKUP(FX$1,generator!$B$2:$B$295,generator!$K$2:$K$295,"ARGH")</f>
        <v>0</v>
      </c>
      <c r="FY37" s="3">
        <f>_xlfn.XLOOKUP(FY$1,generator!$B$2:$B$295,generator!$K$2:$K$295,"ARGH")</f>
        <v>0</v>
      </c>
      <c r="FZ37" s="3">
        <f>_xlfn.XLOOKUP(FZ$1,generator!$B$2:$B$295,generator!$K$2:$K$295,"ARGH")</f>
        <v>0</v>
      </c>
      <c r="GA37" s="3">
        <f>_xlfn.XLOOKUP(GA$1,generator!$B$2:$B$295,generator!$K$2:$K$295,"ARGH")</f>
        <v>0</v>
      </c>
      <c r="GB37" s="3">
        <f>_xlfn.XLOOKUP(GB$1,generator!$B$2:$B$295,generator!$K$2:$K$295,"ARGH")</f>
        <v>0</v>
      </c>
      <c r="GC37" s="3">
        <f>_xlfn.XLOOKUP(GC$1,generator!$B$2:$B$295,generator!$K$2:$K$295,"ARGH")</f>
        <v>0</v>
      </c>
      <c r="GD37" s="3">
        <f>_xlfn.XLOOKUP(GD$1,generator!$B$2:$B$295,generator!$K$2:$K$295,"ARGH")</f>
        <v>0</v>
      </c>
      <c r="GE37" s="3">
        <f>_xlfn.XLOOKUP(GE$1,generator!$B$2:$B$295,generator!$K$2:$K$295,"ARGH")</f>
        <v>0</v>
      </c>
      <c r="GF37" s="3">
        <f>_xlfn.XLOOKUP(GF$1,generator!$B$2:$B$295,generator!$K$2:$K$295,"ARGH")</f>
        <v>0</v>
      </c>
      <c r="GG37" s="3">
        <f>_xlfn.XLOOKUP(GG$1,generator!$B$2:$B$295,generator!$K$2:$K$295,"ARGH")</f>
        <v>0</v>
      </c>
      <c r="GH37" s="3">
        <f>_xlfn.XLOOKUP(GH$1,generator!$B$2:$B$295,generator!$K$2:$K$295,"ARGH")</f>
        <v>0</v>
      </c>
      <c r="GI37" s="3">
        <f>_xlfn.XLOOKUP(GI$1,generator!$B$2:$B$295,generator!$K$2:$K$295,"ARGH")</f>
        <v>0</v>
      </c>
      <c r="GJ37" s="3">
        <f>_xlfn.XLOOKUP(GJ$1,generator!$B$2:$B$295,generator!$K$2:$K$295,"ARGH")</f>
        <v>0</v>
      </c>
      <c r="GK37" s="3">
        <f>_xlfn.XLOOKUP(GK$1,generator!$B$2:$B$295,generator!$K$2:$K$295,"ARGH")</f>
        <v>0</v>
      </c>
      <c r="GL37" s="3">
        <f>_xlfn.XLOOKUP(GL$1,generator!$B$2:$B$295,generator!$K$2:$K$295,"ARGH")</f>
        <v>0</v>
      </c>
      <c r="GM37" s="3">
        <f>_xlfn.XLOOKUP(GM$1,generator!$B$2:$B$295,generator!$K$2:$K$295,"ARGH")</f>
        <v>0</v>
      </c>
      <c r="GN37" s="3">
        <f>_xlfn.XLOOKUP(GN$1,generator!$B$2:$B$295,generator!$K$2:$K$295,"ARGH")</f>
        <v>0</v>
      </c>
      <c r="GO37" s="3">
        <f>_xlfn.XLOOKUP(GO$1,generator!$B$2:$B$295,generator!$K$2:$K$295,"ARGH")</f>
        <v>0</v>
      </c>
      <c r="GP37" s="3">
        <f>_xlfn.XLOOKUP(GP$1,generator!$B$2:$B$295,generator!$K$2:$K$295,"ARGH")</f>
        <v>0</v>
      </c>
      <c r="GQ37" s="3">
        <f>_xlfn.XLOOKUP(GQ$1,generator!$B$2:$B$295,generator!$K$2:$K$295,"ARGH")</f>
        <v>0</v>
      </c>
      <c r="GR37" s="3">
        <f>_xlfn.XLOOKUP(GR$1,generator!$B$2:$B$295,generator!$K$2:$K$295,"ARGH")</f>
        <v>0</v>
      </c>
      <c r="GS37" s="3">
        <f>_xlfn.XLOOKUP(GS$1,generator!$B$2:$B$295,generator!$K$2:$K$295,"ARGH")</f>
        <v>0</v>
      </c>
      <c r="GT37" s="3">
        <f>_xlfn.XLOOKUP(GT$1,generator!$B$2:$B$295,generator!$K$2:$K$295,"ARGH")</f>
        <v>0</v>
      </c>
      <c r="GU37" s="3">
        <f>_xlfn.XLOOKUP(GU$1,generator!$B$2:$B$295,generator!$K$2:$K$295,"ARGH")</f>
        <v>0</v>
      </c>
      <c r="GV37" s="3">
        <f>_xlfn.XLOOKUP(GV$1,generator!$B$2:$B$295,generator!$K$2:$K$295,"ARGH")</f>
        <v>0</v>
      </c>
      <c r="GW37" s="3">
        <f>_xlfn.XLOOKUP(GW$1,generator!$B$2:$B$295,generator!$K$2:$K$295,"ARGH")</f>
        <v>0</v>
      </c>
      <c r="GX37" s="3">
        <f>_xlfn.XLOOKUP(GX$1,generator!$B$2:$B$295,generator!$K$2:$K$295,"ARGH")</f>
        <v>0</v>
      </c>
      <c r="GY37" s="3">
        <f>_xlfn.XLOOKUP(GY$1,generator!$B$2:$B$295,generator!$K$2:$K$295,"ARGH")</f>
        <v>0</v>
      </c>
      <c r="GZ37" s="3">
        <f>_xlfn.XLOOKUP(GZ$1,generator!$B$2:$B$295,generator!$K$2:$K$295,"ARGH")</f>
        <v>0</v>
      </c>
      <c r="HA37" s="3">
        <f>_xlfn.XLOOKUP(HA$1,generator!$B$2:$B$295,generator!$K$2:$K$295,"ARGH")</f>
        <v>0</v>
      </c>
      <c r="HB37" s="3">
        <f>_xlfn.XLOOKUP(HB$1,generator!$B$2:$B$295,generator!$K$2:$K$295,"ARGH")</f>
        <v>0</v>
      </c>
      <c r="HC37" s="3">
        <f>_xlfn.XLOOKUP(HC$1,generator!$B$2:$B$295,generator!$K$2:$K$295,"ARGH")</f>
        <v>0</v>
      </c>
      <c r="HD37" s="3">
        <f>_xlfn.XLOOKUP(HD$1,generator!$B$2:$B$295,generator!$K$2:$K$295,"ARGH")</f>
        <v>0</v>
      </c>
      <c r="HE37" s="3">
        <f>_xlfn.XLOOKUP(HE$1,generator!$B$2:$B$295,generator!$K$2:$K$295,"ARGH")</f>
        <v>12.74</v>
      </c>
      <c r="HF37" s="3">
        <f>_xlfn.XLOOKUP(HF$1,generator!$B$2:$B$295,generator!$K$2:$K$295,"ARGH")</f>
        <v>99</v>
      </c>
      <c r="HG37" s="3">
        <f>_xlfn.XLOOKUP(HG$1,generator!$B$2:$B$295,generator!$K$2:$K$295,"ARGH")</f>
        <v>99</v>
      </c>
      <c r="HH37" s="3">
        <f>_xlfn.XLOOKUP(HH$1,generator!$B$2:$B$295,generator!$K$2:$K$295,"ARGH")</f>
        <v>99</v>
      </c>
      <c r="HI37" s="3">
        <f>_xlfn.XLOOKUP(HI$1,generator!$B$2:$B$295,generator!$K$2:$K$295,"ARGH")</f>
        <v>8</v>
      </c>
      <c r="HJ37" s="3">
        <f>_xlfn.XLOOKUP(HJ$1,generator!$B$2:$B$295,generator!$K$2:$K$295,"ARGH")</f>
        <v>8</v>
      </c>
      <c r="HK37" s="3">
        <f>_xlfn.XLOOKUP(HK$1,generator!$B$2:$B$295,generator!$K$2:$K$295,"ARGH")</f>
        <v>8</v>
      </c>
      <c r="HL37" s="3">
        <f>_xlfn.XLOOKUP(HL$1,generator!$B$2:$B$295,generator!$K$2:$K$295,"ARGH")</f>
        <v>20</v>
      </c>
      <c r="HM37" s="3">
        <f>_xlfn.XLOOKUP(HM$1,generator!$B$2:$B$295,generator!$K$2:$K$295,"ARGH")</f>
        <v>20</v>
      </c>
      <c r="HN37" s="3">
        <f>_xlfn.XLOOKUP(HN$1,generator!$B$2:$B$295,generator!$K$2:$K$295,"ARGH")</f>
        <v>5</v>
      </c>
      <c r="HO37" s="3">
        <f>_xlfn.XLOOKUP(HO$1,generator!$B$2:$B$295,generator!$K$2:$K$295,"ARGH")</f>
        <v>5</v>
      </c>
      <c r="HP37" s="3">
        <f>_xlfn.XLOOKUP(HP$1,generator!$B$2:$B$295,generator!$K$2:$K$295,"ARGH")</f>
        <v>0.2</v>
      </c>
      <c r="HQ37" s="3">
        <f>_xlfn.XLOOKUP(HQ$1,generator!$B$2:$B$295,generator!$K$2:$K$295,"ARGH")</f>
        <v>5</v>
      </c>
      <c r="HR37" s="3">
        <f>_xlfn.XLOOKUP(HR$1,generator!$B$2:$B$295,generator!$K$2:$K$295,"ARGH")</f>
        <v>5</v>
      </c>
      <c r="HS37" s="3">
        <f>_xlfn.XLOOKUP(HS$1,generator!$B$2:$B$295,generator!$K$2:$K$295,"ARGH")</f>
        <v>12.82</v>
      </c>
      <c r="HT37" s="3">
        <f>_xlfn.XLOOKUP(HT$1,generator!$B$2:$B$295,generator!$K$2:$K$295,"ARGH")</f>
        <v>12.82</v>
      </c>
      <c r="HU37" s="3">
        <f>_xlfn.XLOOKUP(HU$1,generator!$B$2:$B$295,generator!$K$2:$K$295,"ARGH")</f>
        <v>25</v>
      </c>
      <c r="HV37" s="3">
        <f>_xlfn.XLOOKUP(HV$1,generator!$B$2:$B$295,generator!$K$2:$K$295,"ARGH")</f>
        <v>16</v>
      </c>
      <c r="HW37" s="3">
        <f>_xlfn.XLOOKUP(HW$1,generator!$B$2:$B$295,generator!$K$2:$K$295,"ARGH")</f>
        <v>5</v>
      </c>
      <c r="HX37" s="3">
        <f>_xlfn.XLOOKUP(HX$1,generator!$B$2:$B$295,generator!$K$2:$K$295,"ARGH")</f>
        <v>5</v>
      </c>
      <c r="HY37" s="3">
        <f>_xlfn.XLOOKUP(HY$1,generator!$B$2:$B$295,generator!$K$2:$K$295,"ARGH")</f>
        <v>63</v>
      </c>
      <c r="HZ37" s="3">
        <f>_xlfn.XLOOKUP(HZ$1,generator!$B$2:$B$295,generator!$K$2:$K$295,"ARGH")</f>
        <v>18</v>
      </c>
      <c r="IA37" s="3">
        <f>_xlfn.XLOOKUP(IA$1,generator!$B$2:$B$295,generator!$K$2:$K$295,"ARGH")</f>
        <v>121</v>
      </c>
      <c r="IB37" s="3">
        <f>_xlfn.XLOOKUP(IB$1,generator!$B$2:$B$295,generator!$K$2:$K$295,"ARGH")</f>
        <v>120</v>
      </c>
      <c r="IC37" s="3">
        <f>_xlfn.XLOOKUP(IC$1,generator!$B$2:$B$295,generator!$K$2:$K$295,"ARGH")</f>
        <v>0</v>
      </c>
      <c r="ID37" s="3">
        <f>_xlfn.XLOOKUP(ID$1,generator!$B$2:$B$295,generator!$K$2:$K$295,"ARGH")</f>
        <v>17</v>
      </c>
      <c r="IE37" s="3">
        <f>_xlfn.XLOOKUP(IE$1,generator!$B$2:$B$295,generator!$K$2:$K$295,"ARGH")</f>
        <v>194</v>
      </c>
      <c r="IF37" s="3">
        <f>_xlfn.XLOOKUP(IF$1,generator!$B$2:$B$295,generator!$K$2:$K$295,"ARGH")</f>
        <v>11.9</v>
      </c>
      <c r="IG37" s="3">
        <f>_xlfn.XLOOKUP(IG$1,generator!$B$2:$B$295,generator!$K$2:$K$295,"ARGH")</f>
        <v>11.9</v>
      </c>
      <c r="IH37" s="3">
        <f>_xlfn.XLOOKUP(IH$1,generator!$B$2:$B$295,generator!$K$2:$K$295,"ARGH")</f>
        <v>11.9</v>
      </c>
      <c r="II37" s="3">
        <f>_xlfn.XLOOKUP(II$1,generator!$B$2:$B$295,generator!$K$2:$K$295,"ARGH")</f>
        <v>11.9</v>
      </c>
      <c r="IJ37" s="3">
        <f>_xlfn.XLOOKUP(IJ$1,generator!$B$2:$B$295,generator!$K$2:$K$295,"ARGH")</f>
        <v>0</v>
      </c>
      <c r="IK37" s="3">
        <f>_xlfn.XLOOKUP(IK$1,generator!$B$2:$B$295,generator!$K$2:$K$295,"ARGH")</f>
        <v>3</v>
      </c>
      <c r="IL37" s="3">
        <f>_xlfn.XLOOKUP(IL$1,generator!$B$2:$B$295,generator!$K$2:$K$295,"ARGH")</f>
        <v>5</v>
      </c>
      <c r="IM37" s="3">
        <f>_xlfn.XLOOKUP(IM$1,generator!$B$2:$B$295,generator!$K$2:$K$295,"ARGH")</f>
        <v>5</v>
      </c>
      <c r="IN37" s="3">
        <f>_xlfn.XLOOKUP(IN$1,generator!$B$2:$B$295,generator!$K$2:$K$295,"ARGH")</f>
        <v>4</v>
      </c>
      <c r="IO37" s="3">
        <f>_xlfn.XLOOKUP(IO$1,generator!$B$2:$B$295,generator!$K$2:$K$295,"ARGH")</f>
        <v>4</v>
      </c>
      <c r="IP37" s="3">
        <f>_xlfn.XLOOKUP(IP$1,generator!$B$2:$B$295,generator!$K$2:$K$295,"ARGH")</f>
        <v>3</v>
      </c>
      <c r="IQ37" s="3">
        <f>_xlfn.XLOOKUP(IQ$1,generator!$B$2:$B$295,generator!$K$2:$K$295,"ARGH")</f>
        <v>1</v>
      </c>
      <c r="IR37" s="3">
        <f>_xlfn.XLOOKUP(IR$1,generator!$B$2:$B$295,generator!$K$2:$K$295,"ARGH")</f>
        <v>3</v>
      </c>
      <c r="IS37" s="3">
        <f>_xlfn.XLOOKUP(IS$1,generator!$B$2:$B$295,generator!$K$2:$K$295,"ARGH")</f>
        <v>3</v>
      </c>
      <c r="IT37" s="3">
        <f>_xlfn.XLOOKUP(IT$1,generator!$B$2:$B$295,generator!$K$2:$K$295,"ARGH")</f>
        <v>0</v>
      </c>
      <c r="IU37" s="3">
        <f>_xlfn.XLOOKUP(IU$1,generator!$B$2:$B$295,generator!$K$2:$K$295,"ARGH")</f>
        <v>3.99</v>
      </c>
      <c r="IV37" s="3">
        <f>_xlfn.XLOOKUP(IV$1,generator!$B$2:$B$295,generator!$K$2:$K$295,"ARGH")</f>
        <v>0.2</v>
      </c>
      <c r="IW37" s="3">
        <f>_xlfn.XLOOKUP(IW$1,generator!$B$2:$B$295,generator!$K$2:$K$295,"ARGH")</f>
        <v>15</v>
      </c>
      <c r="IX37" s="3">
        <f>_xlfn.XLOOKUP(IX$1,generator!$B$2:$B$295,generator!$K$2:$K$295,"ARGH")</f>
        <v>15</v>
      </c>
      <c r="IY37" s="3">
        <f>_xlfn.XLOOKUP(IY$1,generator!$B$2:$B$295,generator!$K$2:$K$295,"ARGH")</f>
        <v>15</v>
      </c>
      <c r="IZ37" s="3">
        <f>_xlfn.XLOOKUP(IZ$1,generator!$B$2:$B$295,generator!$K$2:$K$295,"ARGH")</f>
        <v>120</v>
      </c>
      <c r="JA37" s="3">
        <f>_xlfn.XLOOKUP(JA$1,generator!$B$2:$B$295,generator!$K$2:$K$295,"ARGH")</f>
        <v>40</v>
      </c>
      <c r="JB37" s="3">
        <f>_xlfn.XLOOKUP(JB$1,generator!$B$2:$B$295,generator!$K$2:$K$295,"ARGH")</f>
        <v>40</v>
      </c>
      <c r="JC37" s="3">
        <f>_xlfn.XLOOKUP(JC$1,generator!$B$2:$B$295,generator!$K$2:$K$295,"ARGH")</f>
        <v>113</v>
      </c>
      <c r="JD37" s="3">
        <f>_xlfn.XLOOKUP(JD$1,generator!$B$2:$B$295,generator!$K$2:$K$295,"ARGH")</f>
        <v>113</v>
      </c>
      <c r="JE37" s="3">
        <f>_xlfn.XLOOKUP(JE$1,generator!$B$2:$B$295,generator!$K$2:$K$295,"ARGH")</f>
        <v>211</v>
      </c>
      <c r="JF37" s="3">
        <f>_xlfn.XLOOKUP(JF$1,generator!$B$2:$B$295,generator!$K$2:$K$295,"ARGH")</f>
        <v>22.5</v>
      </c>
      <c r="JG37" s="3">
        <f>_xlfn.XLOOKUP(JG$1,generator!$B$2:$B$295,generator!$K$2:$K$295,"ARGH")</f>
        <v>1</v>
      </c>
      <c r="JH37" s="3">
        <f>_xlfn.XLOOKUP(JH$1,generator!$B$2:$B$295,generator!$K$2:$K$295,"ARGH")</f>
        <v>160</v>
      </c>
      <c r="JI37" s="3">
        <f>_xlfn.XLOOKUP(JI$1,generator!$B$2:$B$295,generator!$K$2:$K$295,"ARGH")</f>
        <v>165</v>
      </c>
      <c r="JJ37" s="3">
        <f>_xlfn.XLOOKUP(JJ$1,generator!$B$2:$B$295,generator!$K$2:$K$295,"ARGH")</f>
        <v>4.5999999999999996</v>
      </c>
      <c r="JK37" s="3">
        <f>_xlfn.XLOOKUP(JK$1,generator!$B$2:$B$295,generator!$K$2:$K$295,"ARGH")</f>
        <v>4.5999999999999996</v>
      </c>
      <c r="JL37" s="3">
        <f>_xlfn.XLOOKUP(JL$1,generator!$B$2:$B$295,generator!$K$2:$K$295,"ARGH")</f>
        <v>4.5999999999999996</v>
      </c>
      <c r="JM37" s="3">
        <f>_xlfn.XLOOKUP(JM$1,generator!$B$2:$B$295,generator!$K$2:$K$295,"ARGH")</f>
        <v>4.5999999999999996</v>
      </c>
      <c r="JN37" s="3">
        <f>_xlfn.XLOOKUP(JN$1,generator!$B$2:$B$295,generator!$K$2:$K$295,"ARGH")</f>
        <v>4.5999999999999996</v>
      </c>
      <c r="JO37" s="3">
        <f>_xlfn.XLOOKUP(JO$1,generator!$B$2:$B$295,generator!$K$2:$K$295,"ARGH")</f>
        <v>4.5999999999999996</v>
      </c>
      <c r="JP37" s="3">
        <f>_xlfn.XLOOKUP(JP$1,generator!$B$2:$B$295,generator!$K$2:$K$295,"ARGH")</f>
        <v>110</v>
      </c>
      <c r="JQ37" s="3">
        <f>_xlfn.XLOOKUP(JQ$1,generator!$B$2:$B$295,generator!$K$2:$K$295,"ARGH")</f>
        <v>22.7</v>
      </c>
      <c r="JR37" s="3">
        <f>_xlfn.XLOOKUP(JR$1,generator!$B$2:$B$295,generator!$K$2:$K$295,"ARGH")</f>
        <v>147</v>
      </c>
      <c r="JS37" s="3">
        <f>_xlfn.XLOOKUP(JS$1,generator!$B$2:$B$295,generator!$K$2:$K$295,"ARGH")</f>
        <v>147</v>
      </c>
      <c r="JT37" s="3">
        <f>_xlfn.XLOOKUP(JT$1,generator!$B$2:$B$295,generator!$K$2:$K$295,"ARGH")</f>
        <v>22.7</v>
      </c>
      <c r="JU37" s="3">
        <f>_xlfn.XLOOKUP(JU$1,generator!$B$2:$B$295,generator!$K$2:$K$295,"ARGH")</f>
        <v>21.5</v>
      </c>
      <c r="JV37" s="3">
        <f>_xlfn.XLOOKUP(JV$1,generator!$B$2:$B$295,generator!$K$2:$K$295,"ARGH")</f>
        <v>120</v>
      </c>
      <c r="JW37" s="3">
        <f>_xlfn.XLOOKUP(JW$1,generator!$B$2:$B$295,generator!$K$2:$K$295,"ARGH")</f>
        <v>120</v>
      </c>
      <c r="JX37" s="3">
        <f>_xlfn.XLOOKUP(JX$1,generator!$B$2:$B$295,generator!$K$2:$K$295,"ARGH")</f>
        <v>1</v>
      </c>
      <c r="JY37" s="3">
        <f>_xlfn.XLOOKUP(JY$1,generator!$B$2:$B$295,generator!$K$2:$K$295,"ARGH")</f>
        <v>41.15</v>
      </c>
      <c r="JZ37" s="3">
        <f>_xlfn.XLOOKUP(JZ$1,generator!$B$2:$B$295,generator!$K$2:$K$295,"ARGH")</f>
        <v>5</v>
      </c>
      <c r="KA37" s="3">
        <f>_xlfn.XLOOKUP(KA$1,generator!$B$2:$B$295,generator!$K$2:$K$295,"ARGH")</f>
        <v>5</v>
      </c>
      <c r="KB37" s="3">
        <f>_xlfn.XLOOKUP(KB$1,generator!$B$2:$B$295,generator!$K$2:$K$295,"ARGH")</f>
        <v>5</v>
      </c>
      <c r="KC37" s="3">
        <f>_xlfn.XLOOKUP(KC$1,generator!$B$2:$B$295,generator!$K$2:$K$295,"ARGH")</f>
        <v>5</v>
      </c>
    </row>
    <row r="38" spans="1:289" x14ac:dyDescent="0.3">
      <c r="A38" s="4" t="s">
        <v>3033</v>
      </c>
      <c r="B38" s="31">
        <v>503.5</v>
      </c>
      <c r="C38" s="31">
        <v>513</v>
      </c>
      <c r="D38" s="31">
        <v>442</v>
      </c>
      <c r="E38" s="3">
        <f>_xlfn.XLOOKUP(E$1,generator!$B$2:$B$295,generator!$K$2:$K$295,"ARGH")</f>
        <v>0</v>
      </c>
      <c r="F38" s="3">
        <f>_xlfn.XLOOKUP(F$1,generator!$B$2:$B$295,generator!$K$2:$K$295,"ARGH")</f>
        <v>0</v>
      </c>
      <c r="G38" s="3">
        <f>_xlfn.XLOOKUP(G$1,generator!$B$2:$B$295,generator!$K$2:$K$295,"ARGH")</f>
        <v>0</v>
      </c>
      <c r="H38" s="3">
        <f>_xlfn.XLOOKUP(H$1,generator!$B$2:$B$295,generator!$K$2:$K$295,"ARGH")</f>
        <v>0</v>
      </c>
      <c r="I38" s="3">
        <f>_xlfn.XLOOKUP(I$1,generator!$B$2:$B$295,generator!$K$2:$K$295,"ARGH")</f>
        <v>0</v>
      </c>
      <c r="J38" s="3">
        <f>_xlfn.XLOOKUP(J$1,generator!$B$2:$B$295,generator!$K$2:$K$295,"ARGH")</f>
        <v>0</v>
      </c>
      <c r="K38" s="3">
        <f>_xlfn.XLOOKUP(K$1,generator!$B$2:$B$295,generator!$K$2:$K$295,"ARGH")</f>
        <v>0</v>
      </c>
      <c r="L38" s="3">
        <f>_xlfn.XLOOKUP(L$1,generator!$B$2:$B$295,generator!$K$2:$K$295,"ARGH")</f>
        <v>0</v>
      </c>
      <c r="M38" s="3">
        <f>_xlfn.XLOOKUP(M$1,generator!$B$2:$B$295,generator!$K$2:$K$295,"ARGH")</f>
        <v>0</v>
      </c>
      <c r="N38" s="3">
        <f>_xlfn.XLOOKUP(N$1,generator!$B$2:$B$295,generator!$K$2:$K$295,"ARGH")</f>
        <v>0</v>
      </c>
      <c r="O38" s="3">
        <f>_xlfn.XLOOKUP(O$1,generator!$B$2:$B$295,generator!$K$2:$K$295,"ARGH")</f>
        <v>0</v>
      </c>
      <c r="P38" s="3">
        <f>_xlfn.XLOOKUP(P$1,generator!$B$2:$B$295,generator!$K$2:$K$295,"ARGH")</f>
        <v>0</v>
      </c>
      <c r="Q38" s="3">
        <f>_xlfn.XLOOKUP(Q$1,generator!$B$2:$B$295,generator!$K$2:$K$295,"ARGH")</f>
        <v>0</v>
      </c>
      <c r="R38" s="3">
        <f>_xlfn.XLOOKUP(R$1,generator!$B$2:$B$295,generator!$K$2:$K$295,"ARGH")</f>
        <v>0</v>
      </c>
      <c r="S38" s="3">
        <f>_xlfn.XLOOKUP(S$1,generator!$B$2:$B$295,generator!$K$2:$K$295,"ARGH")</f>
        <v>0</v>
      </c>
      <c r="T38" s="3">
        <f>_xlfn.XLOOKUP(T$1,generator!$B$2:$B$295,generator!$K$2:$K$295,"ARGH")</f>
        <v>0</v>
      </c>
      <c r="U38" s="3">
        <f>_xlfn.XLOOKUP(U$1,generator!$B$2:$B$295,generator!$K$2:$K$295,"ARGH")</f>
        <v>0</v>
      </c>
      <c r="V38" s="3">
        <f>_xlfn.XLOOKUP(V$1,generator!$B$2:$B$295,generator!$K$2:$K$295,"ARGH")</f>
        <v>0</v>
      </c>
      <c r="W38" s="3">
        <f>_xlfn.XLOOKUP(W$1,generator!$B$2:$B$295,generator!$K$2:$K$295,"ARGH")</f>
        <v>0</v>
      </c>
      <c r="X38" s="3">
        <f>_xlfn.XLOOKUP(X$1,generator!$B$2:$B$295,generator!$K$2:$K$295,"ARGH")</f>
        <v>0</v>
      </c>
      <c r="Y38" s="3">
        <f>_xlfn.XLOOKUP(Y$1,generator!$B$2:$B$295,generator!$K$2:$K$295,"ARGH")</f>
        <v>0</v>
      </c>
      <c r="Z38" s="3">
        <f>_xlfn.XLOOKUP(Z$1,generator!$B$2:$B$295,generator!$K$2:$K$295,"ARGH")</f>
        <v>0</v>
      </c>
      <c r="AA38" s="3">
        <f>_xlfn.XLOOKUP(AA$1,generator!$B$2:$B$295,generator!$K$2:$K$295,"ARGH")</f>
        <v>0</v>
      </c>
      <c r="AB38" s="3">
        <f>_xlfn.XLOOKUP(AB$1,generator!$B$2:$B$295,generator!$K$2:$K$295,"ARGH")</f>
        <v>0</v>
      </c>
      <c r="AC38" s="3">
        <f>_xlfn.XLOOKUP(AC$1,generator!$B$2:$B$295,generator!$K$2:$K$295,"ARGH")</f>
        <v>0</v>
      </c>
      <c r="AD38" s="3">
        <f>_xlfn.XLOOKUP(AD$1,generator!$B$2:$B$295,generator!$K$2:$K$295,"ARGH")</f>
        <v>0</v>
      </c>
      <c r="AE38" s="3">
        <f>_xlfn.XLOOKUP(AE$1,generator!$B$2:$B$295,generator!$K$2:$K$295,"ARGH")</f>
        <v>0</v>
      </c>
      <c r="AF38" s="3">
        <f>_xlfn.XLOOKUP(AF$1,generator!$B$2:$B$295,generator!$K$2:$K$295,"ARGH")</f>
        <v>0</v>
      </c>
      <c r="AG38" s="3">
        <f>_xlfn.XLOOKUP(AG$1,generator!$B$2:$B$295,generator!$K$2:$K$295,"ARGH")</f>
        <v>0</v>
      </c>
      <c r="AH38" s="3">
        <f>_xlfn.XLOOKUP(AH$1,generator!$B$2:$B$295,generator!$K$2:$K$295,"ARGH")</f>
        <v>0</v>
      </c>
      <c r="AI38" s="3">
        <f>_xlfn.XLOOKUP(AI$1,generator!$B$2:$B$295,generator!$K$2:$K$295,"ARGH")</f>
        <v>0</v>
      </c>
      <c r="AJ38" s="3">
        <f>_xlfn.XLOOKUP(AJ$1,generator!$B$2:$B$295,generator!$K$2:$K$295,"ARGH")</f>
        <v>0</v>
      </c>
      <c r="AK38" s="3">
        <f>_xlfn.XLOOKUP(AK$1,generator!$B$2:$B$295,generator!$K$2:$K$295,"ARGH")</f>
        <v>0</v>
      </c>
      <c r="AL38" s="3">
        <f>_xlfn.XLOOKUP(AL$1,generator!$B$2:$B$295,generator!$K$2:$K$295,"ARGH")</f>
        <v>0</v>
      </c>
      <c r="AM38" s="3">
        <f>_xlfn.XLOOKUP(AM$1,generator!$B$2:$B$295,generator!$K$2:$K$295,"ARGH")</f>
        <v>0</v>
      </c>
      <c r="AN38" s="3">
        <f>_xlfn.XLOOKUP(AN$1,generator!$B$2:$B$295,generator!$K$2:$K$295,"ARGH")</f>
        <v>0</v>
      </c>
      <c r="AO38" s="3">
        <f>_xlfn.XLOOKUP(AO$1,generator!$B$2:$B$295,generator!$K$2:$K$295,"ARGH")</f>
        <v>0</v>
      </c>
      <c r="AP38" s="3">
        <f>_xlfn.XLOOKUP(AP$1,generator!$B$2:$B$295,generator!$K$2:$K$295,"ARGH")</f>
        <v>0</v>
      </c>
      <c r="AQ38" s="3">
        <f>_xlfn.XLOOKUP(AQ$1,generator!$B$2:$B$295,generator!$K$2:$K$295,"ARGH")</f>
        <v>0</v>
      </c>
      <c r="AR38" s="3">
        <f>_xlfn.XLOOKUP(AR$1,generator!$B$2:$B$295,generator!$K$2:$K$295,"ARGH")</f>
        <v>0</v>
      </c>
      <c r="AS38" s="3">
        <f>_xlfn.XLOOKUP(AS$1,generator!$B$2:$B$295,generator!$K$2:$K$295,"ARGH")</f>
        <v>0</v>
      </c>
      <c r="AT38" s="3">
        <f>_xlfn.XLOOKUP(AT$1,generator!$B$2:$B$295,generator!$K$2:$K$295,"ARGH")</f>
        <v>0</v>
      </c>
      <c r="AU38" s="3">
        <f>_xlfn.XLOOKUP(AU$1,generator!$B$2:$B$295,generator!$K$2:$K$295,"ARGH")</f>
        <v>0</v>
      </c>
      <c r="AV38" s="3">
        <f>_xlfn.XLOOKUP(AV$1,generator!$B$2:$B$295,generator!$K$2:$K$295,"ARGH")</f>
        <v>0</v>
      </c>
      <c r="AW38" s="3">
        <f>_xlfn.XLOOKUP(AW$1,generator!$B$2:$B$295,generator!$K$2:$K$295,"ARGH")</f>
        <v>0</v>
      </c>
      <c r="AX38" s="3">
        <f>_xlfn.XLOOKUP(AX$1,generator!$B$2:$B$295,generator!$K$2:$K$295,"ARGH")</f>
        <v>0</v>
      </c>
      <c r="AY38" s="3">
        <f>_xlfn.XLOOKUP(AY$1,generator!$B$2:$B$295,generator!$K$2:$K$295,"ARGH")</f>
        <v>0</v>
      </c>
      <c r="AZ38" s="3">
        <f>_xlfn.XLOOKUP(AZ$1,generator!$B$2:$B$295,generator!$K$2:$K$295,"ARGH")</f>
        <v>0</v>
      </c>
      <c r="BA38" s="3">
        <f>_xlfn.XLOOKUP(BA$1,generator!$B$2:$B$295,generator!$K$2:$K$295,"ARGH")</f>
        <v>0</v>
      </c>
      <c r="BB38" s="3">
        <f>_xlfn.XLOOKUP(BB$1,generator!$B$2:$B$295,generator!$K$2:$K$295,"ARGH")</f>
        <v>0</v>
      </c>
      <c r="BC38" s="3">
        <f>_xlfn.XLOOKUP(BC$1,generator!$B$2:$B$295,generator!$K$2:$K$295,"ARGH")</f>
        <v>0</v>
      </c>
      <c r="BD38" s="3">
        <f>_xlfn.XLOOKUP(BD$1,generator!$B$2:$B$295,generator!$K$2:$K$295,"ARGH")</f>
        <v>0</v>
      </c>
      <c r="BE38" s="3">
        <f>_xlfn.XLOOKUP(BE$1,generator!$B$2:$B$295,generator!$K$2:$K$295,"ARGH")</f>
        <v>0</v>
      </c>
      <c r="BF38" s="3">
        <f>_xlfn.XLOOKUP(BF$1,generator!$B$2:$B$295,generator!$K$2:$K$295,"ARGH")</f>
        <v>0</v>
      </c>
      <c r="BG38" s="3">
        <f>_xlfn.XLOOKUP(BG$1,generator!$B$2:$B$295,generator!$K$2:$K$295,"ARGH")</f>
        <v>0</v>
      </c>
      <c r="BH38" s="3">
        <f>_xlfn.XLOOKUP(BH$1,generator!$B$2:$B$295,generator!$K$2:$K$295,"ARGH")</f>
        <v>0</v>
      </c>
      <c r="BI38" s="3">
        <f>_xlfn.XLOOKUP(BI$1,generator!$B$2:$B$295,generator!$K$2:$K$295,"ARGH")</f>
        <v>0</v>
      </c>
      <c r="BJ38" s="3">
        <f>_xlfn.XLOOKUP(BJ$1,generator!$B$2:$B$295,generator!$K$2:$K$295,"ARGH")</f>
        <v>0</v>
      </c>
      <c r="BK38" s="3">
        <f>_xlfn.XLOOKUP(BK$1,generator!$B$2:$B$295,generator!$K$2:$K$295,"ARGH")</f>
        <v>0</v>
      </c>
      <c r="BL38" s="3">
        <f>_xlfn.XLOOKUP(BL$1,generator!$B$2:$B$295,generator!$K$2:$K$295,"ARGH")</f>
        <v>0</v>
      </c>
      <c r="BM38" s="3">
        <f>_xlfn.XLOOKUP(BM$1,generator!$B$2:$B$295,generator!$K$2:$K$295,"ARGH")</f>
        <v>0</v>
      </c>
      <c r="BN38" s="3">
        <f>_xlfn.XLOOKUP(BN$1,generator!$B$2:$B$295,generator!$K$2:$K$295,"ARGH")</f>
        <v>0</v>
      </c>
      <c r="BO38" s="3">
        <f>_xlfn.XLOOKUP(BO$1,generator!$B$2:$B$295,generator!$K$2:$K$295,"ARGH")</f>
        <v>0</v>
      </c>
      <c r="BP38" s="3">
        <f>_xlfn.XLOOKUP(BP$1,generator!$B$2:$B$295,generator!$K$2:$K$295,"ARGH")</f>
        <v>0</v>
      </c>
      <c r="BQ38" s="3">
        <f>_xlfn.XLOOKUP(BQ$1,generator!$B$2:$B$295,generator!$K$2:$K$295,"ARGH")</f>
        <v>0</v>
      </c>
      <c r="BR38" s="3">
        <f>_xlfn.XLOOKUP(BR$1,generator!$B$2:$B$295,generator!$K$2:$K$295,"ARGH")</f>
        <v>0</v>
      </c>
      <c r="BS38" s="3">
        <f>_xlfn.XLOOKUP(BS$1,generator!$B$2:$B$295,generator!$K$2:$K$295,"ARGH")</f>
        <v>0</v>
      </c>
      <c r="BT38" s="3">
        <f>_xlfn.XLOOKUP(BT$1,generator!$B$2:$B$295,generator!$K$2:$K$295,"ARGH")</f>
        <v>0</v>
      </c>
      <c r="BU38" s="3">
        <f>_xlfn.XLOOKUP(BU$1,generator!$B$2:$B$295,generator!$K$2:$K$295,"ARGH")</f>
        <v>0</v>
      </c>
      <c r="BV38" s="3">
        <f>_xlfn.XLOOKUP(BV$1,generator!$B$2:$B$295,generator!$K$2:$K$295,"ARGH")</f>
        <v>0</v>
      </c>
      <c r="BW38" s="3">
        <f>_xlfn.XLOOKUP(BW$1,generator!$B$2:$B$295,generator!$K$2:$K$295,"ARGH")</f>
        <v>0</v>
      </c>
      <c r="BX38" s="3">
        <f>_xlfn.XLOOKUP(BX$1,generator!$B$2:$B$295,generator!$K$2:$K$295,"ARGH")</f>
        <v>0</v>
      </c>
      <c r="BY38" s="3">
        <f>_xlfn.XLOOKUP(BY$1,generator!$B$2:$B$295,generator!$K$2:$K$295,"ARGH")</f>
        <v>0</v>
      </c>
      <c r="BZ38" s="3">
        <f>_xlfn.XLOOKUP(BZ$1,generator!$B$2:$B$295,generator!$K$2:$K$295,"ARGH")</f>
        <v>0</v>
      </c>
      <c r="CA38" s="3">
        <f>_xlfn.XLOOKUP(CA$1,generator!$B$2:$B$295,generator!$K$2:$K$295,"ARGH")</f>
        <v>0</v>
      </c>
      <c r="CB38" s="3">
        <f>_xlfn.XLOOKUP(CB$1,generator!$B$2:$B$295,generator!$K$2:$K$295,"ARGH")</f>
        <v>0</v>
      </c>
      <c r="CC38" s="3">
        <f>_xlfn.XLOOKUP(CC$1,generator!$B$2:$B$295,generator!$K$2:$K$295,"ARGH")</f>
        <v>0</v>
      </c>
      <c r="CD38" s="3">
        <f>_xlfn.XLOOKUP(CD$1,generator!$B$2:$B$295,generator!$K$2:$K$295,"ARGH")</f>
        <v>0</v>
      </c>
      <c r="CE38" s="3">
        <f>_xlfn.XLOOKUP(CE$1,generator!$B$2:$B$295,generator!$K$2:$K$295,"ARGH")</f>
        <v>0</v>
      </c>
      <c r="CF38" s="3">
        <f>_xlfn.XLOOKUP(CF$1,generator!$B$2:$B$295,generator!$K$2:$K$295,"ARGH")</f>
        <v>0</v>
      </c>
      <c r="CG38" s="3">
        <f>_xlfn.XLOOKUP(CG$1,generator!$B$2:$B$295,generator!$K$2:$K$295,"ARGH")</f>
        <v>0</v>
      </c>
      <c r="CH38" s="3">
        <f>_xlfn.XLOOKUP(CH$1,generator!$B$2:$B$295,generator!$K$2:$K$295,"ARGH")</f>
        <v>0</v>
      </c>
      <c r="CI38" s="3">
        <f>_xlfn.XLOOKUP(CI$1,generator!$B$2:$B$295,generator!$K$2:$K$295,"ARGH")</f>
        <v>0</v>
      </c>
      <c r="CJ38" s="3">
        <f>_xlfn.XLOOKUP(CJ$1,generator!$B$2:$B$295,generator!$K$2:$K$295,"ARGH")</f>
        <v>0</v>
      </c>
      <c r="CK38" s="3">
        <f>_xlfn.XLOOKUP(CK$1,generator!$B$2:$B$295,generator!$K$2:$K$295,"ARGH")</f>
        <v>0</v>
      </c>
      <c r="CL38" s="3">
        <f>_xlfn.XLOOKUP(CL$1,generator!$B$2:$B$295,generator!$K$2:$K$295,"ARGH")</f>
        <v>0</v>
      </c>
      <c r="CM38" s="3">
        <f>_xlfn.XLOOKUP(CM$1,generator!$B$2:$B$295,generator!$K$2:$K$295,"ARGH")</f>
        <v>0</v>
      </c>
      <c r="CN38" s="3">
        <f>_xlfn.XLOOKUP(CN$1,generator!$B$2:$B$295,generator!$K$2:$K$295,"ARGH")</f>
        <v>0</v>
      </c>
      <c r="CO38" s="3">
        <f>_xlfn.XLOOKUP(CO$1,generator!$B$2:$B$295,generator!$K$2:$K$295,"ARGH")</f>
        <v>0</v>
      </c>
      <c r="CP38" s="3">
        <f>_xlfn.XLOOKUP(CP$1,generator!$B$2:$B$295,generator!$K$2:$K$295,"ARGH")</f>
        <v>0</v>
      </c>
      <c r="CQ38" s="3">
        <f>_xlfn.XLOOKUP(CQ$1,generator!$B$2:$B$295,generator!$K$2:$K$295,"ARGH")</f>
        <v>0</v>
      </c>
      <c r="CR38" s="3">
        <f>_xlfn.XLOOKUP(CR$1,generator!$B$2:$B$295,generator!$K$2:$K$295,"ARGH")</f>
        <v>0</v>
      </c>
      <c r="CS38" s="3">
        <f>_xlfn.XLOOKUP(CS$1,generator!$B$2:$B$295,generator!$K$2:$K$295,"ARGH")</f>
        <v>0</v>
      </c>
      <c r="CT38" s="3">
        <f>_xlfn.XLOOKUP(CT$1,generator!$B$2:$B$295,generator!$K$2:$K$295,"ARGH")</f>
        <v>0</v>
      </c>
      <c r="CU38" s="3">
        <f>_xlfn.XLOOKUP(CU$1,generator!$B$2:$B$295,generator!$K$2:$K$295,"ARGH")</f>
        <v>0</v>
      </c>
      <c r="CV38" s="3">
        <f>_xlfn.XLOOKUP(CV$1,generator!$B$2:$B$295,generator!$K$2:$K$295,"ARGH")</f>
        <v>0</v>
      </c>
      <c r="CW38" s="3">
        <f>_xlfn.XLOOKUP(CW$1,generator!$B$2:$B$295,generator!$K$2:$K$295,"ARGH")</f>
        <v>0</v>
      </c>
      <c r="CX38" s="3">
        <f>_xlfn.XLOOKUP(CX$1,generator!$B$2:$B$295,generator!$K$2:$K$295,"ARGH")</f>
        <v>0</v>
      </c>
      <c r="CY38" s="3">
        <f>_xlfn.XLOOKUP(CY$1,generator!$B$2:$B$295,generator!$K$2:$K$295,"ARGH")</f>
        <v>0</v>
      </c>
      <c r="CZ38" s="3">
        <f>_xlfn.XLOOKUP(CZ$1,generator!$B$2:$B$295,generator!$K$2:$K$295,"ARGH")</f>
        <v>0</v>
      </c>
      <c r="DA38" s="3">
        <f>_xlfn.XLOOKUP(DA$1,generator!$B$2:$B$295,generator!$K$2:$K$295,"ARGH")</f>
        <v>0</v>
      </c>
      <c r="DB38" s="3">
        <f>_xlfn.XLOOKUP(DB$1,generator!$B$2:$B$295,generator!$K$2:$K$295,"ARGH")</f>
        <v>0</v>
      </c>
      <c r="DC38" s="3">
        <f>_xlfn.XLOOKUP(DC$1,generator!$B$2:$B$295,generator!$K$2:$K$295,"ARGH")</f>
        <v>0</v>
      </c>
      <c r="DD38" s="3">
        <f>_xlfn.XLOOKUP(DD$1,generator!$B$2:$B$295,generator!$K$2:$K$295,"ARGH")</f>
        <v>0</v>
      </c>
      <c r="DE38" s="3">
        <f>_xlfn.XLOOKUP(DE$1,generator!$B$2:$B$295,generator!$K$2:$K$295,"ARGH")</f>
        <v>0</v>
      </c>
      <c r="DF38" s="3">
        <f>_xlfn.XLOOKUP(DF$1,generator!$B$2:$B$295,generator!$K$2:$K$295,"ARGH")</f>
        <v>0</v>
      </c>
      <c r="DG38" s="3">
        <f>_xlfn.XLOOKUP(DG$1,generator!$B$2:$B$295,generator!$K$2:$K$295,"ARGH")</f>
        <v>0</v>
      </c>
      <c r="DH38" s="3">
        <f>_xlfn.XLOOKUP(DH$1,generator!$B$2:$B$295,generator!$K$2:$K$295,"ARGH")</f>
        <v>0</v>
      </c>
      <c r="DI38" s="3">
        <f>_xlfn.XLOOKUP(DI$1,generator!$B$2:$B$295,generator!$K$2:$K$295,"ARGH")</f>
        <v>0</v>
      </c>
      <c r="DJ38" s="3">
        <f>_xlfn.XLOOKUP(DJ$1,generator!$B$2:$B$295,generator!$K$2:$K$295,"ARGH")</f>
        <v>0</v>
      </c>
      <c r="DK38" s="3">
        <f>_xlfn.XLOOKUP(DK$1,generator!$B$2:$B$295,generator!$K$2:$K$295,"ARGH")</f>
        <v>0</v>
      </c>
      <c r="DL38" s="3">
        <f>_xlfn.XLOOKUP(DL$1,generator!$B$2:$B$295,generator!$K$2:$K$295,"ARGH")</f>
        <v>0</v>
      </c>
      <c r="DM38" s="3">
        <f>_xlfn.XLOOKUP(DM$1,generator!$B$2:$B$295,generator!$K$2:$K$295,"ARGH")</f>
        <v>0</v>
      </c>
      <c r="DN38" s="3">
        <f>_xlfn.XLOOKUP(DN$1,generator!$B$2:$B$295,generator!$K$2:$K$295,"ARGH")</f>
        <v>0</v>
      </c>
      <c r="DO38" s="3">
        <f>_xlfn.XLOOKUP(DO$1,generator!$B$2:$B$295,generator!$K$2:$K$295,"ARGH")</f>
        <v>0</v>
      </c>
      <c r="DP38" s="3">
        <f>_xlfn.XLOOKUP(DP$1,generator!$B$2:$B$295,generator!$K$2:$K$295,"ARGH")</f>
        <v>0</v>
      </c>
      <c r="DQ38" s="3">
        <f>_xlfn.XLOOKUP(DQ$1,generator!$B$2:$B$295,generator!$K$2:$K$295,"ARGH")</f>
        <v>0</v>
      </c>
      <c r="DR38" s="3">
        <f>_xlfn.XLOOKUP(DR$1,generator!$B$2:$B$295,generator!$K$2:$K$295,"ARGH")</f>
        <v>0</v>
      </c>
      <c r="DS38" s="3">
        <f>_xlfn.XLOOKUP(DS$1,generator!$B$2:$B$295,generator!$K$2:$K$295,"ARGH")</f>
        <v>0</v>
      </c>
      <c r="DT38" s="3">
        <f>_xlfn.XLOOKUP(DT$1,generator!$B$2:$B$295,generator!$K$2:$K$295,"ARGH")</f>
        <v>0</v>
      </c>
      <c r="DU38" s="3">
        <f>_xlfn.XLOOKUP(DU$1,generator!$B$2:$B$295,generator!$K$2:$K$295,"ARGH")</f>
        <v>0</v>
      </c>
      <c r="DV38" s="3">
        <f>_xlfn.XLOOKUP(DV$1,generator!$B$2:$B$295,generator!$K$2:$K$295,"ARGH")</f>
        <v>0</v>
      </c>
      <c r="DW38" s="3">
        <f>_xlfn.XLOOKUP(DW$1,generator!$B$2:$B$295,generator!$K$2:$K$295,"ARGH")</f>
        <v>0</v>
      </c>
      <c r="DX38" s="3">
        <f>_xlfn.XLOOKUP(DX$1,generator!$B$2:$B$295,generator!$K$2:$K$295,"ARGH")</f>
        <v>0</v>
      </c>
      <c r="DY38" s="3">
        <f>_xlfn.XLOOKUP(DY$1,generator!$B$2:$B$295,generator!$K$2:$K$295,"ARGH")</f>
        <v>0</v>
      </c>
      <c r="DZ38" s="3">
        <f>_xlfn.XLOOKUP(DZ$1,generator!$B$2:$B$295,generator!$K$2:$K$295,"ARGH")</f>
        <v>0</v>
      </c>
      <c r="EA38" s="3">
        <f>_xlfn.XLOOKUP(EA$1,generator!$B$2:$B$295,generator!$K$2:$K$295,"ARGH")</f>
        <v>0</v>
      </c>
      <c r="EB38" s="3">
        <f>_xlfn.XLOOKUP(EB$1,generator!$B$2:$B$295,generator!$K$2:$K$295,"ARGH")</f>
        <v>0</v>
      </c>
      <c r="EC38" s="3">
        <f>_xlfn.XLOOKUP(EC$1,generator!$B$2:$B$295,generator!$K$2:$K$295,"ARGH")</f>
        <v>0</v>
      </c>
      <c r="ED38" s="3">
        <f>_xlfn.XLOOKUP(ED$1,generator!$B$2:$B$295,generator!$K$2:$K$295,"ARGH")</f>
        <v>0</v>
      </c>
      <c r="EE38" s="3">
        <f>_xlfn.XLOOKUP(EE$1,generator!$B$2:$B$295,generator!$K$2:$K$295,"ARGH")</f>
        <v>0</v>
      </c>
      <c r="EF38" s="3">
        <f>_xlfn.XLOOKUP(EF$1,generator!$B$2:$B$295,generator!$K$2:$K$295,"ARGH")</f>
        <v>0</v>
      </c>
      <c r="EG38" s="3">
        <f>_xlfn.XLOOKUP(EG$1,generator!$B$2:$B$295,generator!$K$2:$K$295,"ARGH")</f>
        <v>0</v>
      </c>
      <c r="EH38" s="3">
        <f>_xlfn.XLOOKUP(EH$1,generator!$B$2:$B$295,generator!$K$2:$K$295,"ARGH")</f>
        <v>0</v>
      </c>
      <c r="EI38" s="3">
        <f>_xlfn.XLOOKUP(EI$1,generator!$B$2:$B$295,generator!$K$2:$K$295,"ARGH")</f>
        <v>0</v>
      </c>
      <c r="EJ38" s="3">
        <f>_xlfn.XLOOKUP(EJ$1,generator!$B$2:$B$295,generator!$K$2:$K$295,"ARGH")</f>
        <v>0</v>
      </c>
      <c r="EK38" s="3">
        <f>_xlfn.XLOOKUP(EK$1,generator!$B$2:$B$295,generator!$K$2:$K$295,"ARGH")</f>
        <v>0</v>
      </c>
      <c r="EL38" s="3">
        <f>_xlfn.XLOOKUP(EL$1,generator!$B$2:$B$295,generator!$K$2:$K$295,"ARGH")</f>
        <v>0</v>
      </c>
      <c r="EM38" s="3">
        <f>_xlfn.XLOOKUP(EM$1,generator!$B$2:$B$295,generator!$K$2:$K$295,"ARGH")</f>
        <v>0</v>
      </c>
      <c r="EN38" s="3">
        <f>_xlfn.XLOOKUP(EN$1,generator!$B$2:$B$295,generator!$K$2:$K$295,"ARGH")</f>
        <v>0</v>
      </c>
      <c r="EO38" s="3">
        <f>_xlfn.XLOOKUP(EO$1,generator!$B$2:$B$295,generator!$K$2:$K$295,"ARGH")</f>
        <v>0</v>
      </c>
      <c r="EP38" s="3">
        <f>_xlfn.XLOOKUP(EP$1,generator!$B$2:$B$295,generator!$K$2:$K$295,"ARGH")</f>
        <v>0</v>
      </c>
      <c r="EQ38" s="3">
        <f>_xlfn.XLOOKUP(EQ$1,generator!$B$2:$B$295,generator!$K$2:$K$295,"ARGH")</f>
        <v>0</v>
      </c>
      <c r="ER38" s="3">
        <f>_xlfn.XLOOKUP(ER$1,generator!$B$2:$B$295,generator!$K$2:$K$295,"ARGH")</f>
        <v>0</v>
      </c>
      <c r="ES38" s="3">
        <f>_xlfn.XLOOKUP(ES$1,generator!$B$2:$B$295,generator!$K$2:$K$295,"ARGH")</f>
        <v>0</v>
      </c>
      <c r="ET38" s="3">
        <f>_xlfn.XLOOKUP(ET$1,generator!$B$2:$B$295,generator!$K$2:$K$295,"ARGH")</f>
        <v>0</v>
      </c>
      <c r="EU38" s="3">
        <f>_xlfn.XLOOKUP(EU$1,generator!$B$2:$B$295,generator!$K$2:$K$295,"ARGH")</f>
        <v>0</v>
      </c>
      <c r="EV38" s="3">
        <f>_xlfn.XLOOKUP(EV$1,generator!$B$2:$B$295,generator!$K$2:$K$295,"ARGH")</f>
        <v>0</v>
      </c>
      <c r="EW38" s="3">
        <f>_xlfn.XLOOKUP(EW$1,generator!$B$2:$B$295,generator!$K$2:$K$295,"ARGH")</f>
        <v>0</v>
      </c>
      <c r="EX38" s="3">
        <f>_xlfn.XLOOKUP(EX$1,generator!$B$2:$B$295,generator!$K$2:$K$295,"ARGH")</f>
        <v>0</v>
      </c>
      <c r="EY38" s="3">
        <f>_xlfn.XLOOKUP(EY$1,generator!$B$2:$B$295,generator!$K$2:$K$295,"ARGH")</f>
        <v>0</v>
      </c>
      <c r="EZ38" s="3">
        <f>_xlfn.XLOOKUP(EZ$1,generator!$B$2:$B$295,generator!$K$2:$K$295,"ARGH")</f>
        <v>0</v>
      </c>
      <c r="FA38" s="3">
        <f>_xlfn.XLOOKUP(FA$1,generator!$B$2:$B$295,generator!$K$2:$K$295,"ARGH")</f>
        <v>0</v>
      </c>
      <c r="FB38" s="3">
        <f>_xlfn.XLOOKUP(FB$1,generator!$B$2:$B$295,generator!$K$2:$K$295,"ARGH")</f>
        <v>0</v>
      </c>
      <c r="FC38" s="3">
        <f>_xlfn.XLOOKUP(FC$1,generator!$B$2:$B$295,generator!$K$2:$K$295,"ARGH")</f>
        <v>0</v>
      </c>
      <c r="FD38" s="3">
        <f>_xlfn.XLOOKUP(FD$1,generator!$B$2:$B$295,generator!$K$2:$K$295,"ARGH")</f>
        <v>0</v>
      </c>
      <c r="FE38" s="3">
        <f>_xlfn.XLOOKUP(FE$1,generator!$B$2:$B$295,generator!$K$2:$K$295,"ARGH")</f>
        <v>0</v>
      </c>
      <c r="FF38" s="3">
        <f>_xlfn.XLOOKUP(FF$1,generator!$B$2:$B$295,generator!$K$2:$K$295,"ARGH")</f>
        <v>0</v>
      </c>
      <c r="FG38" s="3">
        <f>_xlfn.XLOOKUP(FG$1,generator!$B$2:$B$295,generator!$K$2:$K$295,"ARGH")</f>
        <v>0</v>
      </c>
      <c r="FH38" s="3">
        <f>_xlfn.XLOOKUP(FH$1,generator!$B$2:$B$295,generator!$K$2:$K$295,"ARGH")</f>
        <v>0</v>
      </c>
      <c r="FI38" s="3">
        <f>_xlfn.XLOOKUP(FI$1,generator!$B$2:$B$295,generator!$K$2:$K$295,"ARGH")</f>
        <v>0</v>
      </c>
      <c r="FJ38" s="3">
        <f>_xlfn.XLOOKUP(FJ$1,generator!$B$2:$B$295,generator!$K$2:$K$295,"ARGH")</f>
        <v>0</v>
      </c>
      <c r="FK38" s="3">
        <f>_xlfn.XLOOKUP(FK$1,generator!$B$2:$B$295,generator!$K$2:$K$295,"ARGH")</f>
        <v>0</v>
      </c>
      <c r="FL38" s="3">
        <f>_xlfn.XLOOKUP(FL$1,generator!$B$2:$B$295,generator!$K$2:$K$295,"ARGH")</f>
        <v>0</v>
      </c>
      <c r="FM38" s="3">
        <f>_xlfn.XLOOKUP(FM$1,generator!$B$2:$B$295,generator!$K$2:$K$295,"ARGH")</f>
        <v>0</v>
      </c>
      <c r="FN38" s="3">
        <f>_xlfn.XLOOKUP(FN$1,generator!$B$2:$B$295,generator!$K$2:$K$295,"ARGH")</f>
        <v>0</v>
      </c>
      <c r="FO38" s="3">
        <f>_xlfn.XLOOKUP(FO$1,generator!$B$2:$B$295,generator!$K$2:$K$295,"ARGH")</f>
        <v>0</v>
      </c>
      <c r="FP38" s="3">
        <f>_xlfn.XLOOKUP(FP$1,generator!$B$2:$B$295,generator!$K$2:$K$295,"ARGH")</f>
        <v>0</v>
      </c>
      <c r="FQ38" s="3">
        <f>_xlfn.XLOOKUP(FQ$1,generator!$B$2:$B$295,generator!$K$2:$K$295,"ARGH")</f>
        <v>0</v>
      </c>
      <c r="FR38" s="3">
        <f>_xlfn.XLOOKUP(FR$1,generator!$B$2:$B$295,generator!$K$2:$K$295,"ARGH")</f>
        <v>0</v>
      </c>
      <c r="FS38" s="3">
        <f>_xlfn.XLOOKUP(FS$1,generator!$B$2:$B$295,generator!$K$2:$K$295,"ARGH")</f>
        <v>0</v>
      </c>
      <c r="FT38" s="3">
        <f>_xlfn.XLOOKUP(FT$1,generator!$B$2:$B$295,generator!$K$2:$K$295,"ARGH")</f>
        <v>0</v>
      </c>
      <c r="FU38" s="3">
        <f>_xlfn.XLOOKUP(FU$1,generator!$B$2:$B$295,generator!$K$2:$K$295,"ARGH")</f>
        <v>0</v>
      </c>
      <c r="FV38" s="3">
        <f>_xlfn.XLOOKUP(FV$1,generator!$B$2:$B$295,generator!$K$2:$K$295,"ARGH")</f>
        <v>0</v>
      </c>
      <c r="FW38" s="3">
        <f>_xlfn.XLOOKUP(FW$1,generator!$B$2:$B$295,generator!$K$2:$K$295,"ARGH")</f>
        <v>0</v>
      </c>
      <c r="FX38" s="3">
        <f>_xlfn.XLOOKUP(FX$1,generator!$B$2:$B$295,generator!$K$2:$K$295,"ARGH")</f>
        <v>0</v>
      </c>
      <c r="FY38" s="3">
        <f>_xlfn.XLOOKUP(FY$1,generator!$B$2:$B$295,generator!$K$2:$K$295,"ARGH")</f>
        <v>0</v>
      </c>
      <c r="FZ38" s="3">
        <f>_xlfn.XLOOKUP(FZ$1,generator!$B$2:$B$295,generator!$K$2:$K$295,"ARGH")</f>
        <v>0</v>
      </c>
      <c r="GA38" s="3">
        <f>_xlfn.XLOOKUP(GA$1,generator!$B$2:$B$295,generator!$K$2:$K$295,"ARGH")</f>
        <v>0</v>
      </c>
      <c r="GB38" s="3">
        <f>_xlfn.XLOOKUP(GB$1,generator!$B$2:$B$295,generator!$K$2:$K$295,"ARGH")</f>
        <v>0</v>
      </c>
      <c r="GC38" s="3">
        <f>_xlfn.XLOOKUP(GC$1,generator!$B$2:$B$295,generator!$K$2:$K$295,"ARGH")</f>
        <v>0</v>
      </c>
      <c r="GD38" s="3">
        <f>_xlfn.XLOOKUP(GD$1,generator!$B$2:$B$295,generator!$K$2:$K$295,"ARGH")</f>
        <v>0</v>
      </c>
      <c r="GE38" s="3">
        <f>_xlfn.XLOOKUP(GE$1,generator!$B$2:$B$295,generator!$K$2:$K$295,"ARGH")</f>
        <v>0</v>
      </c>
      <c r="GF38" s="3">
        <f>_xlfn.XLOOKUP(GF$1,generator!$B$2:$B$295,generator!$K$2:$K$295,"ARGH")</f>
        <v>0</v>
      </c>
      <c r="GG38" s="3">
        <f>_xlfn.XLOOKUP(GG$1,generator!$B$2:$B$295,generator!$K$2:$K$295,"ARGH")</f>
        <v>0</v>
      </c>
      <c r="GH38" s="3">
        <f>_xlfn.XLOOKUP(GH$1,generator!$B$2:$B$295,generator!$K$2:$K$295,"ARGH")</f>
        <v>0</v>
      </c>
      <c r="GI38" s="3">
        <f>_xlfn.XLOOKUP(GI$1,generator!$B$2:$B$295,generator!$K$2:$K$295,"ARGH")</f>
        <v>0</v>
      </c>
      <c r="GJ38" s="3">
        <f>_xlfn.XLOOKUP(GJ$1,generator!$B$2:$B$295,generator!$K$2:$K$295,"ARGH")</f>
        <v>0</v>
      </c>
      <c r="GK38" s="3">
        <f>_xlfn.XLOOKUP(GK$1,generator!$B$2:$B$295,generator!$K$2:$K$295,"ARGH")</f>
        <v>0</v>
      </c>
      <c r="GL38" s="3">
        <f>_xlfn.XLOOKUP(GL$1,generator!$B$2:$B$295,generator!$K$2:$K$295,"ARGH")</f>
        <v>0</v>
      </c>
      <c r="GM38" s="3">
        <f>_xlfn.XLOOKUP(GM$1,generator!$B$2:$B$295,generator!$K$2:$K$295,"ARGH")</f>
        <v>0</v>
      </c>
      <c r="GN38" s="3">
        <f>_xlfn.XLOOKUP(GN$1,generator!$B$2:$B$295,generator!$K$2:$K$295,"ARGH")</f>
        <v>0</v>
      </c>
      <c r="GO38" s="3">
        <f>_xlfn.XLOOKUP(GO$1,generator!$B$2:$B$295,generator!$K$2:$K$295,"ARGH")</f>
        <v>0</v>
      </c>
      <c r="GP38" s="3">
        <f>_xlfn.XLOOKUP(GP$1,generator!$B$2:$B$295,generator!$K$2:$K$295,"ARGH")</f>
        <v>0</v>
      </c>
      <c r="GQ38" s="3">
        <f>_xlfn.XLOOKUP(GQ$1,generator!$B$2:$B$295,generator!$K$2:$K$295,"ARGH")</f>
        <v>0</v>
      </c>
      <c r="GR38" s="3">
        <f>_xlfn.XLOOKUP(GR$1,generator!$B$2:$B$295,generator!$K$2:$K$295,"ARGH")</f>
        <v>0</v>
      </c>
      <c r="GS38" s="3">
        <f>_xlfn.XLOOKUP(GS$1,generator!$B$2:$B$295,generator!$K$2:$K$295,"ARGH")</f>
        <v>0</v>
      </c>
      <c r="GT38" s="3">
        <f>_xlfn.XLOOKUP(GT$1,generator!$B$2:$B$295,generator!$K$2:$K$295,"ARGH")</f>
        <v>0</v>
      </c>
      <c r="GU38" s="3">
        <f>_xlfn.XLOOKUP(GU$1,generator!$B$2:$B$295,generator!$K$2:$K$295,"ARGH")</f>
        <v>0</v>
      </c>
      <c r="GV38" s="3">
        <f>_xlfn.XLOOKUP(GV$1,generator!$B$2:$B$295,generator!$K$2:$K$295,"ARGH")</f>
        <v>0</v>
      </c>
      <c r="GW38" s="3">
        <f>_xlfn.XLOOKUP(GW$1,generator!$B$2:$B$295,generator!$K$2:$K$295,"ARGH")</f>
        <v>0</v>
      </c>
      <c r="GX38" s="3">
        <f>_xlfn.XLOOKUP(GX$1,generator!$B$2:$B$295,generator!$K$2:$K$295,"ARGH")</f>
        <v>0</v>
      </c>
      <c r="GY38" s="3">
        <f>_xlfn.XLOOKUP(GY$1,generator!$B$2:$B$295,generator!$K$2:$K$295,"ARGH")</f>
        <v>0</v>
      </c>
      <c r="GZ38" s="3">
        <f>_xlfn.XLOOKUP(GZ$1,generator!$B$2:$B$295,generator!$K$2:$K$295,"ARGH")</f>
        <v>0</v>
      </c>
      <c r="HA38" s="3">
        <f>_xlfn.XLOOKUP(HA$1,generator!$B$2:$B$295,generator!$K$2:$K$295,"ARGH")</f>
        <v>0</v>
      </c>
      <c r="HB38" s="3">
        <f>_xlfn.XLOOKUP(HB$1,generator!$B$2:$B$295,generator!$K$2:$K$295,"ARGH")</f>
        <v>0</v>
      </c>
      <c r="HC38" s="3">
        <f>_xlfn.XLOOKUP(HC$1,generator!$B$2:$B$295,generator!$K$2:$K$295,"ARGH")</f>
        <v>0</v>
      </c>
      <c r="HD38" s="3">
        <f>_xlfn.XLOOKUP(HD$1,generator!$B$2:$B$295,generator!$K$2:$K$295,"ARGH")</f>
        <v>0</v>
      </c>
      <c r="HE38" s="3">
        <f>_xlfn.XLOOKUP(HE$1,generator!$B$2:$B$295,generator!$K$2:$K$295,"ARGH")</f>
        <v>12.74</v>
      </c>
      <c r="HF38" s="3">
        <f>_xlfn.XLOOKUP(HF$1,generator!$B$2:$B$295,generator!$K$2:$K$295,"ARGH")</f>
        <v>99</v>
      </c>
      <c r="HG38" s="3">
        <f>_xlfn.XLOOKUP(HG$1,generator!$B$2:$B$295,generator!$K$2:$K$295,"ARGH")</f>
        <v>99</v>
      </c>
      <c r="HH38" s="3">
        <f>_xlfn.XLOOKUP(HH$1,generator!$B$2:$B$295,generator!$K$2:$K$295,"ARGH")</f>
        <v>99</v>
      </c>
      <c r="HI38" s="3">
        <f>_xlfn.XLOOKUP(HI$1,generator!$B$2:$B$295,generator!$K$2:$K$295,"ARGH")</f>
        <v>8</v>
      </c>
      <c r="HJ38" s="3">
        <f>_xlfn.XLOOKUP(HJ$1,generator!$B$2:$B$295,generator!$K$2:$K$295,"ARGH")</f>
        <v>8</v>
      </c>
      <c r="HK38" s="3">
        <f>_xlfn.XLOOKUP(HK$1,generator!$B$2:$B$295,generator!$K$2:$K$295,"ARGH")</f>
        <v>8</v>
      </c>
      <c r="HL38" s="3">
        <f>_xlfn.XLOOKUP(HL$1,generator!$B$2:$B$295,generator!$K$2:$K$295,"ARGH")</f>
        <v>20</v>
      </c>
      <c r="HM38" s="3">
        <f>_xlfn.XLOOKUP(HM$1,generator!$B$2:$B$295,generator!$K$2:$K$295,"ARGH")</f>
        <v>20</v>
      </c>
      <c r="HN38" s="3">
        <f>_xlfn.XLOOKUP(HN$1,generator!$B$2:$B$295,generator!$K$2:$K$295,"ARGH")</f>
        <v>5</v>
      </c>
      <c r="HO38" s="3">
        <f>_xlfn.XLOOKUP(HO$1,generator!$B$2:$B$295,generator!$K$2:$K$295,"ARGH")</f>
        <v>5</v>
      </c>
      <c r="HP38" s="3">
        <f>_xlfn.XLOOKUP(HP$1,generator!$B$2:$B$295,generator!$K$2:$K$295,"ARGH")</f>
        <v>0.2</v>
      </c>
      <c r="HQ38" s="3">
        <f>_xlfn.XLOOKUP(HQ$1,generator!$B$2:$B$295,generator!$K$2:$K$295,"ARGH")</f>
        <v>5</v>
      </c>
      <c r="HR38" s="3">
        <f>_xlfn.XLOOKUP(HR$1,generator!$B$2:$B$295,generator!$K$2:$K$295,"ARGH")</f>
        <v>5</v>
      </c>
      <c r="HS38" s="3">
        <f>_xlfn.XLOOKUP(HS$1,generator!$B$2:$B$295,generator!$K$2:$K$295,"ARGH")</f>
        <v>12.82</v>
      </c>
      <c r="HT38" s="3">
        <f>_xlfn.XLOOKUP(HT$1,generator!$B$2:$B$295,generator!$K$2:$K$295,"ARGH")</f>
        <v>12.82</v>
      </c>
      <c r="HU38" s="3">
        <f>_xlfn.XLOOKUP(HU$1,generator!$B$2:$B$295,generator!$K$2:$K$295,"ARGH")</f>
        <v>25</v>
      </c>
      <c r="HV38" s="3">
        <f>_xlfn.XLOOKUP(HV$1,generator!$B$2:$B$295,generator!$K$2:$K$295,"ARGH")</f>
        <v>16</v>
      </c>
      <c r="HW38" s="3">
        <f>_xlfn.XLOOKUP(HW$1,generator!$B$2:$B$295,generator!$K$2:$K$295,"ARGH")</f>
        <v>5</v>
      </c>
      <c r="HX38" s="3">
        <f>_xlfn.XLOOKUP(HX$1,generator!$B$2:$B$295,generator!$K$2:$K$295,"ARGH")</f>
        <v>5</v>
      </c>
      <c r="HY38" s="3">
        <f>_xlfn.XLOOKUP(HY$1,generator!$B$2:$B$295,generator!$K$2:$K$295,"ARGH")</f>
        <v>63</v>
      </c>
      <c r="HZ38" s="3">
        <f>_xlfn.XLOOKUP(HZ$1,generator!$B$2:$B$295,generator!$K$2:$K$295,"ARGH")</f>
        <v>18</v>
      </c>
      <c r="IA38" s="3">
        <f>_xlfn.XLOOKUP(IA$1,generator!$B$2:$B$295,generator!$K$2:$K$295,"ARGH")</f>
        <v>121</v>
      </c>
      <c r="IB38" s="3">
        <f>_xlfn.XLOOKUP(IB$1,generator!$B$2:$B$295,generator!$K$2:$K$295,"ARGH")</f>
        <v>120</v>
      </c>
      <c r="IC38" s="3">
        <f>_xlfn.XLOOKUP(IC$1,generator!$B$2:$B$295,generator!$K$2:$K$295,"ARGH")</f>
        <v>0</v>
      </c>
      <c r="ID38" s="3">
        <f>_xlfn.XLOOKUP(ID$1,generator!$B$2:$B$295,generator!$K$2:$K$295,"ARGH")</f>
        <v>17</v>
      </c>
      <c r="IE38" s="3">
        <f>_xlfn.XLOOKUP(IE$1,generator!$B$2:$B$295,generator!$K$2:$K$295,"ARGH")</f>
        <v>194</v>
      </c>
      <c r="IF38" s="3">
        <f>_xlfn.XLOOKUP(IF$1,generator!$B$2:$B$295,generator!$K$2:$K$295,"ARGH")</f>
        <v>11.9</v>
      </c>
      <c r="IG38" s="3">
        <f>_xlfn.XLOOKUP(IG$1,generator!$B$2:$B$295,generator!$K$2:$K$295,"ARGH")</f>
        <v>11.9</v>
      </c>
      <c r="IH38" s="3">
        <f>_xlfn.XLOOKUP(IH$1,generator!$B$2:$B$295,generator!$K$2:$K$295,"ARGH")</f>
        <v>11.9</v>
      </c>
      <c r="II38" s="3">
        <f>_xlfn.XLOOKUP(II$1,generator!$B$2:$B$295,generator!$K$2:$K$295,"ARGH")</f>
        <v>11.9</v>
      </c>
      <c r="IJ38" s="3">
        <f>_xlfn.XLOOKUP(IJ$1,generator!$B$2:$B$295,generator!$K$2:$K$295,"ARGH")</f>
        <v>0</v>
      </c>
      <c r="IK38" s="3">
        <f>_xlfn.XLOOKUP(IK$1,generator!$B$2:$B$295,generator!$K$2:$K$295,"ARGH")</f>
        <v>3</v>
      </c>
      <c r="IL38" s="3">
        <f>_xlfn.XLOOKUP(IL$1,generator!$B$2:$B$295,generator!$K$2:$K$295,"ARGH")</f>
        <v>5</v>
      </c>
      <c r="IM38" s="3">
        <f>_xlfn.XLOOKUP(IM$1,generator!$B$2:$B$295,generator!$K$2:$K$295,"ARGH")</f>
        <v>5</v>
      </c>
      <c r="IN38" s="3">
        <f>_xlfn.XLOOKUP(IN$1,generator!$B$2:$B$295,generator!$K$2:$K$295,"ARGH")</f>
        <v>4</v>
      </c>
      <c r="IO38" s="3">
        <f>_xlfn.XLOOKUP(IO$1,generator!$B$2:$B$295,generator!$K$2:$K$295,"ARGH")</f>
        <v>4</v>
      </c>
      <c r="IP38" s="3">
        <f>_xlfn.XLOOKUP(IP$1,generator!$B$2:$B$295,generator!$K$2:$K$295,"ARGH")</f>
        <v>3</v>
      </c>
      <c r="IQ38" s="3">
        <f>_xlfn.XLOOKUP(IQ$1,generator!$B$2:$B$295,generator!$K$2:$K$295,"ARGH")</f>
        <v>1</v>
      </c>
      <c r="IR38" s="3">
        <f>_xlfn.XLOOKUP(IR$1,generator!$B$2:$B$295,generator!$K$2:$K$295,"ARGH")</f>
        <v>3</v>
      </c>
      <c r="IS38" s="3">
        <f>_xlfn.XLOOKUP(IS$1,generator!$B$2:$B$295,generator!$K$2:$K$295,"ARGH")</f>
        <v>3</v>
      </c>
      <c r="IT38" s="3">
        <f>_xlfn.XLOOKUP(IT$1,generator!$B$2:$B$295,generator!$K$2:$K$295,"ARGH")</f>
        <v>0</v>
      </c>
      <c r="IU38" s="3">
        <f>_xlfn.XLOOKUP(IU$1,generator!$B$2:$B$295,generator!$K$2:$K$295,"ARGH")</f>
        <v>3.99</v>
      </c>
      <c r="IV38" s="3">
        <f>_xlfn.XLOOKUP(IV$1,generator!$B$2:$B$295,generator!$K$2:$K$295,"ARGH")</f>
        <v>0.2</v>
      </c>
      <c r="IW38" s="3">
        <f>_xlfn.XLOOKUP(IW$1,generator!$B$2:$B$295,generator!$K$2:$K$295,"ARGH")</f>
        <v>15</v>
      </c>
      <c r="IX38" s="3">
        <f>_xlfn.XLOOKUP(IX$1,generator!$B$2:$B$295,generator!$K$2:$K$295,"ARGH")</f>
        <v>15</v>
      </c>
      <c r="IY38" s="3">
        <f>_xlfn.XLOOKUP(IY$1,generator!$B$2:$B$295,generator!$K$2:$K$295,"ARGH")</f>
        <v>15</v>
      </c>
      <c r="IZ38" s="3">
        <f>_xlfn.XLOOKUP(IZ$1,generator!$B$2:$B$295,generator!$K$2:$K$295,"ARGH")</f>
        <v>120</v>
      </c>
      <c r="JA38" s="3">
        <f>_xlfn.XLOOKUP(JA$1,generator!$B$2:$B$295,generator!$K$2:$K$295,"ARGH")</f>
        <v>40</v>
      </c>
      <c r="JB38" s="3">
        <f>_xlfn.XLOOKUP(JB$1,generator!$B$2:$B$295,generator!$K$2:$K$295,"ARGH")</f>
        <v>40</v>
      </c>
      <c r="JC38" s="3">
        <f>_xlfn.XLOOKUP(JC$1,generator!$B$2:$B$295,generator!$K$2:$K$295,"ARGH")</f>
        <v>113</v>
      </c>
      <c r="JD38" s="3">
        <f>_xlfn.XLOOKUP(JD$1,generator!$B$2:$B$295,generator!$K$2:$K$295,"ARGH")</f>
        <v>113</v>
      </c>
      <c r="JE38" s="3">
        <f>_xlfn.XLOOKUP(JE$1,generator!$B$2:$B$295,generator!$K$2:$K$295,"ARGH")</f>
        <v>211</v>
      </c>
      <c r="JF38" s="3">
        <f>_xlfn.XLOOKUP(JF$1,generator!$B$2:$B$295,generator!$K$2:$K$295,"ARGH")</f>
        <v>22.5</v>
      </c>
      <c r="JG38" s="3">
        <f>_xlfn.XLOOKUP(JG$1,generator!$B$2:$B$295,generator!$K$2:$K$295,"ARGH")</f>
        <v>1</v>
      </c>
      <c r="JH38" s="3">
        <f>_xlfn.XLOOKUP(JH$1,generator!$B$2:$B$295,generator!$K$2:$K$295,"ARGH")</f>
        <v>160</v>
      </c>
      <c r="JI38" s="3">
        <f>_xlfn.XLOOKUP(JI$1,generator!$B$2:$B$295,generator!$K$2:$K$295,"ARGH")</f>
        <v>165</v>
      </c>
      <c r="JJ38" s="3">
        <f>_xlfn.XLOOKUP(JJ$1,generator!$B$2:$B$295,generator!$K$2:$K$295,"ARGH")</f>
        <v>4.5999999999999996</v>
      </c>
      <c r="JK38" s="3">
        <f>_xlfn.XLOOKUP(JK$1,generator!$B$2:$B$295,generator!$K$2:$K$295,"ARGH")</f>
        <v>4.5999999999999996</v>
      </c>
      <c r="JL38" s="3">
        <f>_xlfn.XLOOKUP(JL$1,generator!$B$2:$B$295,generator!$K$2:$K$295,"ARGH")</f>
        <v>4.5999999999999996</v>
      </c>
      <c r="JM38" s="3">
        <f>_xlfn.XLOOKUP(JM$1,generator!$B$2:$B$295,generator!$K$2:$K$295,"ARGH")</f>
        <v>4.5999999999999996</v>
      </c>
      <c r="JN38" s="3">
        <f>_xlfn.XLOOKUP(JN$1,generator!$B$2:$B$295,generator!$K$2:$K$295,"ARGH")</f>
        <v>4.5999999999999996</v>
      </c>
      <c r="JO38" s="3">
        <f>_xlfn.XLOOKUP(JO$1,generator!$B$2:$B$295,generator!$K$2:$K$295,"ARGH")</f>
        <v>4.5999999999999996</v>
      </c>
      <c r="JP38" s="3">
        <f>_xlfn.XLOOKUP(JP$1,generator!$B$2:$B$295,generator!$K$2:$K$295,"ARGH")</f>
        <v>110</v>
      </c>
      <c r="JQ38" s="3">
        <f>_xlfn.XLOOKUP(JQ$1,generator!$B$2:$B$295,generator!$K$2:$K$295,"ARGH")</f>
        <v>22.7</v>
      </c>
      <c r="JR38" s="3">
        <f>_xlfn.XLOOKUP(JR$1,generator!$B$2:$B$295,generator!$K$2:$K$295,"ARGH")</f>
        <v>147</v>
      </c>
      <c r="JS38" s="3">
        <f>_xlfn.XLOOKUP(JS$1,generator!$B$2:$B$295,generator!$K$2:$K$295,"ARGH")</f>
        <v>147</v>
      </c>
      <c r="JT38" s="3">
        <f>_xlfn.XLOOKUP(JT$1,generator!$B$2:$B$295,generator!$K$2:$K$295,"ARGH")</f>
        <v>22.7</v>
      </c>
      <c r="JU38" s="3">
        <f>_xlfn.XLOOKUP(JU$1,generator!$B$2:$B$295,generator!$K$2:$K$295,"ARGH")</f>
        <v>21.5</v>
      </c>
      <c r="JV38" s="3">
        <f>_xlfn.XLOOKUP(JV$1,generator!$B$2:$B$295,generator!$K$2:$K$295,"ARGH")</f>
        <v>120</v>
      </c>
      <c r="JW38" s="3">
        <f>_xlfn.XLOOKUP(JW$1,generator!$B$2:$B$295,generator!$K$2:$K$295,"ARGH")</f>
        <v>120</v>
      </c>
      <c r="JX38" s="3">
        <f>_xlfn.XLOOKUP(JX$1,generator!$B$2:$B$295,generator!$K$2:$K$295,"ARGH")</f>
        <v>1</v>
      </c>
      <c r="JY38" s="3">
        <f>_xlfn.XLOOKUP(JY$1,generator!$B$2:$B$295,generator!$K$2:$K$295,"ARGH")</f>
        <v>41.15</v>
      </c>
      <c r="JZ38" s="3">
        <f>_xlfn.XLOOKUP(JZ$1,generator!$B$2:$B$295,generator!$K$2:$K$295,"ARGH")</f>
        <v>5</v>
      </c>
      <c r="KA38" s="3">
        <f>_xlfn.XLOOKUP(KA$1,generator!$B$2:$B$295,generator!$K$2:$K$295,"ARGH")</f>
        <v>5</v>
      </c>
      <c r="KB38" s="3">
        <f>_xlfn.XLOOKUP(KB$1,generator!$B$2:$B$295,generator!$K$2:$K$295,"ARGH")</f>
        <v>5</v>
      </c>
      <c r="KC38" s="3">
        <f>_xlfn.XLOOKUP(KC$1,generator!$B$2:$B$295,generator!$K$2:$K$295,"ARGH")</f>
        <v>5</v>
      </c>
    </row>
    <row r="39" spans="1:289" x14ac:dyDescent="0.3">
      <c r="A39" s="4" t="s">
        <v>3034</v>
      </c>
      <c r="B39" s="31">
        <v>529.5</v>
      </c>
      <c r="C39" s="31">
        <v>513</v>
      </c>
      <c r="D39" s="31">
        <v>442</v>
      </c>
      <c r="E39" s="3">
        <f>_xlfn.XLOOKUP(E$1,generator!$B$2:$B$295,generator!$K$2:$K$295,"ARGH")</f>
        <v>0</v>
      </c>
      <c r="F39" s="3">
        <f>_xlfn.XLOOKUP(F$1,generator!$B$2:$B$295,generator!$K$2:$K$295,"ARGH")</f>
        <v>0</v>
      </c>
      <c r="G39" s="3">
        <f>_xlfn.XLOOKUP(G$1,generator!$B$2:$B$295,generator!$K$2:$K$295,"ARGH")</f>
        <v>0</v>
      </c>
      <c r="H39" s="3">
        <f>_xlfn.XLOOKUP(H$1,generator!$B$2:$B$295,generator!$K$2:$K$295,"ARGH")</f>
        <v>0</v>
      </c>
      <c r="I39" s="3">
        <f>_xlfn.XLOOKUP(I$1,generator!$B$2:$B$295,generator!$K$2:$K$295,"ARGH")</f>
        <v>0</v>
      </c>
      <c r="J39" s="3">
        <f>_xlfn.XLOOKUP(J$1,generator!$B$2:$B$295,generator!$K$2:$K$295,"ARGH")</f>
        <v>0</v>
      </c>
      <c r="K39" s="3">
        <f>_xlfn.XLOOKUP(K$1,generator!$B$2:$B$295,generator!$K$2:$K$295,"ARGH")</f>
        <v>0</v>
      </c>
      <c r="L39" s="3">
        <f>_xlfn.XLOOKUP(L$1,generator!$B$2:$B$295,generator!$K$2:$K$295,"ARGH")</f>
        <v>0</v>
      </c>
      <c r="M39" s="3">
        <f>_xlfn.XLOOKUP(M$1,generator!$B$2:$B$295,generator!$K$2:$K$295,"ARGH")</f>
        <v>0</v>
      </c>
      <c r="N39" s="3">
        <f>_xlfn.XLOOKUP(N$1,generator!$B$2:$B$295,generator!$K$2:$K$295,"ARGH")</f>
        <v>0</v>
      </c>
      <c r="O39" s="3">
        <f>_xlfn.XLOOKUP(O$1,generator!$B$2:$B$295,generator!$K$2:$K$295,"ARGH")</f>
        <v>0</v>
      </c>
      <c r="P39" s="3">
        <f>_xlfn.XLOOKUP(P$1,generator!$B$2:$B$295,generator!$K$2:$K$295,"ARGH")</f>
        <v>0</v>
      </c>
      <c r="Q39" s="3">
        <f>_xlfn.XLOOKUP(Q$1,generator!$B$2:$B$295,generator!$K$2:$K$295,"ARGH")</f>
        <v>0</v>
      </c>
      <c r="R39" s="3">
        <f>_xlfn.XLOOKUP(R$1,generator!$B$2:$B$295,generator!$K$2:$K$295,"ARGH")</f>
        <v>0</v>
      </c>
      <c r="S39" s="3">
        <f>_xlfn.XLOOKUP(S$1,generator!$B$2:$B$295,generator!$K$2:$K$295,"ARGH")</f>
        <v>0</v>
      </c>
      <c r="T39" s="3">
        <f>_xlfn.XLOOKUP(T$1,generator!$B$2:$B$295,generator!$K$2:$K$295,"ARGH")</f>
        <v>0</v>
      </c>
      <c r="U39" s="3">
        <f>_xlfn.XLOOKUP(U$1,generator!$B$2:$B$295,generator!$K$2:$K$295,"ARGH")</f>
        <v>0</v>
      </c>
      <c r="V39" s="3">
        <f>_xlfn.XLOOKUP(V$1,generator!$B$2:$B$295,generator!$K$2:$K$295,"ARGH")</f>
        <v>0</v>
      </c>
      <c r="W39" s="3">
        <f>_xlfn.XLOOKUP(W$1,generator!$B$2:$B$295,generator!$K$2:$K$295,"ARGH")</f>
        <v>0</v>
      </c>
      <c r="X39" s="3">
        <f>_xlfn.XLOOKUP(X$1,generator!$B$2:$B$295,generator!$K$2:$K$295,"ARGH")</f>
        <v>0</v>
      </c>
      <c r="Y39" s="3">
        <f>_xlfn.XLOOKUP(Y$1,generator!$B$2:$B$295,generator!$K$2:$K$295,"ARGH")</f>
        <v>0</v>
      </c>
      <c r="Z39" s="3">
        <f>_xlfn.XLOOKUP(Z$1,generator!$B$2:$B$295,generator!$K$2:$K$295,"ARGH")</f>
        <v>0</v>
      </c>
      <c r="AA39" s="3">
        <f>_xlfn.XLOOKUP(AA$1,generator!$B$2:$B$295,generator!$K$2:$K$295,"ARGH")</f>
        <v>0</v>
      </c>
      <c r="AB39" s="3">
        <f>_xlfn.XLOOKUP(AB$1,generator!$B$2:$B$295,generator!$K$2:$K$295,"ARGH")</f>
        <v>0</v>
      </c>
      <c r="AC39" s="3">
        <f>_xlfn.XLOOKUP(AC$1,generator!$B$2:$B$295,generator!$K$2:$K$295,"ARGH")</f>
        <v>0</v>
      </c>
      <c r="AD39" s="3">
        <f>_xlfn.XLOOKUP(AD$1,generator!$B$2:$B$295,generator!$K$2:$K$295,"ARGH")</f>
        <v>0</v>
      </c>
      <c r="AE39" s="3">
        <f>_xlfn.XLOOKUP(AE$1,generator!$B$2:$B$295,generator!$K$2:$K$295,"ARGH")</f>
        <v>0</v>
      </c>
      <c r="AF39" s="3">
        <f>_xlfn.XLOOKUP(AF$1,generator!$B$2:$B$295,generator!$K$2:$K$295,"ARGH")</f>
        <v>0</v>
      </c>
      <c r="AG39" s="3">
        <f>_xlfn.XLOOKUP(AG$1,generator!$B$2:$B$295,generator!$K$2:$K$295,"ARGH")</f>
        <v>0</v>
      </c>
      <c r="AH39" s="3">
        <f>_xlfn.XLOOKUP(AH$1,generator!$B$2:$B$295,generator!$K$2:$K$295,"ARGH")</f>
        <v>0</v>
      </c>
      <c r="AI39" s="3">
        <f>_xlfn.XLOOKUP(AI$1,generator!$B$2:$B$295,generator!$K$2:$K$295,"ARGH")</f>
        <v>0</v>
      </c>
      <c r="AJ39" s="3">
        <f>_xlfn.XLOOKUP(AJ$1,generator!$B$2:$B$295,generator!$K$2:$K$295,"ARGH")</f>
        <v>0</v>
      </c>
      <c r="AK39" s="3">
        <f>_xlfn.XLOOKUP(AK$1,generator!$B$2:$B$295,generator!$K$2:$K$295,"ARGH")</f>
        <v>0</v>
      </c>
      <c r="AL39" s="3">
        <f>_xlfn.XLOOKUP(AL$1,generator!$B$2:$B$295,generator!$K$2:$K$295,"ARGH")</f>
        <v>0</v>
      </c>
      <c r="AM39" s="3">
        <f>_xlfn.XLOOKUP(AM$1,generator!$B$2:$B$295,generator!$K$2:$K$295,"ARGH")</f>
        <v>0</v>
      </c>
      <c r="AN39" s="3">
        <f>_xlfn.XLOOKUP(AN$1,generator!$B$2:$B$295,generator!$K$2:$K$295,"ARGH")</f>
        <v>0</v>
      </c>
      <c r="AO39" s="3">
        <f>_xlfn.XLOOKUP(AO$1,generator!$B$2:$B$295,generator!$K$2:$K$295,"ARGH")</f>
        <v>0</v>
      </c>
      <c r="AP39" s="3">
        <f>_xlfn.XLOOKUP(AP$1,generator!$B$2:$B$295,generator!$K$2:$K$295,"ARGH")</f>
        <v>0</v>
      </c>
      <c r="AQ39" s="3">
        <f>_xlfn.XLOOKUP(AQ$1,generator!$B$2:$B$295,generator!$K$2:$K$295,"ARGH")</f>
        <v>0</v>
      </c>
      <c r="AR39" s="3">
        <f>_xlfn.XLOOKUP(AR$1,generator!$B$2:$B$295,generator!$K$2:$K$295,"ARGH")</f>
        <v>0</v>
      </c>
      <c r="AS39" s="3">
        <f>_xlfn.XLOOKUP(AS$1,generator!$B$2:$B$295,generator!$K$2:$K$295,"ARGH")</f>
        <v>0</v>
      </c>
      <c r="AT39" s="3">
        <f>_xlfn.XLOOKUP(AT$1,generator!$B$2:$B$295,generator!$K$2:$K$295,"ARGH")</f>
        <v>0</v>
      </c>
      <c r="AU39" s="3">
        <f>_xlfn.XLOOKUP(AU$1,generator!$B$2:$B$295,generator!$K$2:$K$295,"ARGH")</f>
        <v>0</v>
      </c>
      <c r="AV39" s="3">
        <f>_xlfn.XLOOKUP(AV$1,generator!$B$2:$B$295,generator!$K$2:$K$295,"ARGH")</f>
        <v>0</v>
      </c>
      <c r="AW39" s="3">
        <f>_xlfn.XLOOKUP(AW$1,generator!$B$2:$B$295,generator!$K$2:$K$295,"ARGH")</f>
        <v>0</v>
      </c>
      <c r="AX39" s="3">
        <f>_xlfn.XLOOKUP(AX$1,generator!$B$2:$B$295,generator!$K$2:$K$295,"ARGH")</f>
        <v>0</v>
      </c>
      <c r="AY39" s="3">
        <f>_xlfn.XLOOKUP(AY$1,generator!$B$2:$B$295,generator!$K$2:$K$295,"ARGH")</f>
        <v>0</v>
      </c>
      <c r="AZ39" s="3">
        <f>_xlfn.XLOOKUP(AZ$1,generator!$B$2:$B$295,generator!$K$2:$K$295,"ARGH")</f>
        <v>0</v>
      </c>
      <c r="BA39" s="3">
        <f>_xlfn.XLOOKUP(BA$1,generator!$B$2:$B$295,generator!$K$2:$K$295,"ARGH")</f>
        <v>0</v>
      </c>
      <c r="BB39" s="3">
        <f>_xlfn.XLOOKUP(BB$1,generator!$B$2:$B$295,generator!$K$2:$K$295,"ARGH")</f>
        <v>0</v>
      </c>
      <c r="BC39" s="3">
        <f>_xlfn.XLOOKUP(BC$1,generator!$B$2:$B$295,generator!$K$2:$K$295,"ARGH")</f>
        <v>0</v>
      </c>
      <c r="BD39" s="3">
        <f>_xlfn.XLOOKUP(BD$1,generator!$B$2:$B$295,generator!$K$2:$K$295,"ARGH")</f>
        <v>0</v>
      </c>
      <c r="BE39" s="3">
        <f>_xlfn.XLOOKUP(BE$1,generator!$B$2:$B$295,generator!$K$2:$K$295,"ARGH")</f>
        <v>0</v>
      </c>
      <c r="BF39" s="3">
        <f>_xlfn.XLOOKUP(BF$1,generator!$B$2:$B$295,generator!$K$2:$K$295,"ARGH")</f>
        <v>0</v>
      </c>
      <c r="BG39" s="3">
        <f>_xlfn.XLOOKUP(BG$1,generator!$B$2:$B$295,generator!$K$2:$K$295,"ARGH")</f>
        <v>0</v>
      </c>
      <c r="BH39" s="3">
        <f>_xlfn.XLOOKUP(BH$1,generator!$B$2:$B$295,generator!$K$2:$K$295,"ARGH")</f>
        <v>0</v>
      </c>
      <c r="BI39" s="3">
        <f>_xlfn.XLOOKUP(BI$1,generator!$B$2:$B$295,generator!$K$2:$K$295,"ARGH")</f>
        <v>0</v>
      </c>
      <c r="BJ39" s="3">
        <f>_xlfn.XLOOKUP(BJ$1,generator!$B$2:$B$295,generator!$K$2:$K$295,"ARGH")</f>
        <v>0</v>
      </c>
      <c r="BK39" s="3">
        <f>_xlfn.XLOOKUP(BK$1,generator!$B$2:$B$295,generator!$K$2:$K$295,"ARGH")</f>
        <v>0</v>
      </c>
      <c r="BL39" s="3">
        <f>_xlfn.XLOOKUP(BL$1,generator!$B$2:$B$295,generator!$K$2:$K$295,"ARGH")</f>
        <v>0</v>
      </c>
      <c r="BM39" s="3">
        <f>_xlfn.XLOOKUP(BM$1,generator!$B$2:$B$295,generator!$K$2:$K$295,"ARGH")</f>
        <v>0</v>
      </c>
      <c r="BN39" s="3">
        <f>_xlfn.XLOOKUP(BN$1,generator!$B$2:$B$295,generator!$K$2:$K$295,"ARGH")</f>
        <v>0</v>
      </c>
      <c r="BO39" s="3">
        <f>_xlfn.XLOOKUP(BO$1,generator!$B$2:$B$295,generator!$K$2:$K$295,"ARGH")</f>
        <v>0</v>
      </c>
      <c r="BP39" s="3">
        <f>_xlfn.XLOOKUP(BP$1,generator!$B$2:$B$295,generator!$K$2:$K$295,"ARGH")</f>
        <v>0</v>
      </c>
      <c r="BQ39" s="3">
        <f>_xlfn.XLOOKUP(BQ$1,generator!$B$2:$B$295,generator!$K$2:$K$295,"ARGH")</f>
        <v>0</v>
      </c>
      <c r="BR39" s="3">
        <f>_xlfn.XLOOKUP(BR$1,generator!$B$2:$B$295,generator!$K$2:$K$295,"ARGH")</f>
        <v>0</v>
      </c>
      <c r="BS39" s="3">
        <f>_xlfn.XLOOKUP(BS$1,generator!$B$2:$B$295,generator!$K$2:$K$295,"ARGH")</f>
        <v>0</v>
      </c>
      <c r="BT39" s="3">
        <f>_xlfn.XLOOKUP(BT$1,generator!$B$2:$B$295,generator!$K$2:$K$295,"ARGH")</f>
        <v>0</v>
      </c>
      <c r="BU39" s="3">
        <f>_xlfn.XLOOKUP(BU$1,generator!$B$2:$B$295,generator!$K$2:$K$295,"ARGH")</f>
        <v>0</v>
      </c>
      <c r="BV39" s="3">
        <f>_xlfn.XLOOKUP(BV$1,generator!$B$2:$B$295,generator!$K$2:$K$295,"ARGH")</f>
        <v>0</v>
      </c>
      <c r="BW39" s="3">
        <f>_xlfn.XLOOKUP(BW$1,generator!$B$2:$B$295,generator!$K$2:$K$295,"ARGH")</f>
        <v>0</v>
      </c>
      <c r="BX39" s="3">
        <f>_xlfn.XLOOKUP(BX$1,generator!$B$2:$B$295,generator!$K$2:$K$295,"ARGH")</f>
        <v>0</v>
      </c>
      <c r="BY39" s="3">
        <f>_xlfn.XLOOKUP(BY$1,generator!$B$2:$B$295,generator!$K$2:$K$295,"ARGH")</f>
        <v>0</v>
      </c>
      <c r="BZ39" s="3">
        <f>_xlfn.XLOOKUP(BZ$1,generator!$B$2:$B$295,generator!$K$2:$K$295,"ARGH")</f>
        <v>0</v>
      </c>
      <c r="CA39" s="3">
        <f>_xlfn.XLOOKUP(CA$1,generator!$B$2:$B$295,generator!$K$2:$K$295,"ARGH")</f>
        <v>0</v>
      </c>
      <c r="CB39" s="3">
        <f>_xlfn.XLOOKUP(CB$1,generator!$B$2:$B$295,generator!$K$2:$K$295,"ARGH")</f>
        <v>0</v>
      </c>
      <c r="CC39" s="3">
        <f>_xlfn.XLOOKUP(CC$1,generator!$B$2:$B$295,generator!$K$2:$K$295,"ARGH")</f>
        <v>0</v>
      </c>
      <c r="CD39" s="3">
        <f>_xlfn.XLOOKUP(CD$1,generator!$B$2:$B$295,generator!$K$2:$K$295,"ARGH")</f>
        <v>0</v>
      </c>
      <c r="CE39" s="3">
        <f>_xlfn.XLOOKUP(CE$1,generator!$B$2:$B$295,generator!$K$2:$K$295,"ARGH")</f>
        <v>0</v>
      </c>
      <c r="CF39" s="3">
        <f>_xlfn.XLOOKUP(CF$1,generator!$B$2:$B$295,generator!$K$2:$K$295,"ARGH")</f>
        <v>0</v>
      </c>
      <c r="CG39" s="3">
        <f>_xlfn.XLOOKUP(CG$1,generator!$B$2:$B$295,generator!$K$2:$K$295,"ARGH")</f>
        <v>0</v>
      </c>
      <c r="CH39" s="3">
        <f>_xlfn.XLOOKUP(CH$1,generator!$B$2:$B$295,generator!$K$2:$K$295,"ARGH")</f>
        <v>0</v>
      </c>
      <c r="CI39" s="3">
        <f>_xlfn.XLOOKUP(CI$1,generator!$B$2:$B$295,generator!$K$2:$K$295,"ARGH")</f>
        <v>0</v>
      </c>
      <c r="CJ39" s="3">
        <f>_xlfn.XLOOKUP(CJ$1,generator!$B$2:$B$295,generator!$K$2:$K$295,"ARGH")</f>
        <v>0</v>
      </c>
      <c r="CK39" s="3">
        <f>_xlfn.XLOOKUP(CK$1,generator!$B$2:$B$295,generator!$K$2:$K$295,"ARGH")</f>
        <v>0</v>
      </c>
      <c r="CL39" s="3">
        <f>_xlfn.XLOOKUP(CL$1,generator!$B$2:$B$295,generator!$K$2:$K$295,"ARGH")</f>
        <v>0</v>
      </c>
      <c r="CM39" s="3">
        <f>_xlfn.XLOOKUP(CM$1,generator!$B$2:$B$295,generator!$K$2:$K$295,"ARGH")</f>
        <v>0</v>
      </c>
      <c r="CN39" s="3">
        <f>_xlfn.XLOOKUP(CN$1,generator!$B$2:$B$295,generator!$K$2:$K$295,"ARGH")</f>
        <v>0</v>
      </c>
      <c r="CO39" s="3">
        <f>_xlfn.XLOOKUP(CO$1,generator!$B$2:$B$295,generator!$K$2:$K$295,"ARGH")</f>
        <v>0</v>
      </c>
      <c r="CP39" s="3">
        <f>_xlfn.XLOOKUP(CP$1,generator!$B$2:$B$295,generator!$K$2:$K$295,"ARGH")</f>
        <v>0</v>
      </c>
      <c r="CQ39" s="3">
        <f>_xlfn.XLOOKUP(CQ$1,generator!$B$2:$B$295,generator!$K$2:$K$295,"ARGH")</f>
        <v>0</v>
      </c>
      <c r="CR39" s="3">
        <f>_xlfn.XLOOKUP(CR$1,generator!$B$2:$B$295,generator!$K$2:$K$295,"ARGH")</f>
        <v>0</v>
      </c>
      <c r="CS39" s="3">
        <f>_xlfn.XLOOKUP(CS$1,generator!$B$2:$B$295,generator!$K$2:$K$295,"ARGH")</f>
        <v>0</v>
      </c>
      <c r="CT39" s="3">
        <f>_xlfn.XLOOKUP(CT$1,generator!$B$2:$B$295,generator!$K$2:$K$295,"ARGH")</f>
        <v>0</v>
      </c>
      <c r="CU39" s="3">
        <f>_xlfn.XLOOKUP(CU$1,generator!$B$2:$B$295,generator!$K$2:$K$295,"ARGH")</f>
        <v>0</v>
      </c>
      <c r="CV39" s="3">
        <f>_xlfn.XLOOKUP(CV$1,generator!$B$2:$B$295,generator!$K$2:$K$295,"ARGH")</f>
        <v>0</v>
      </c>
      <c r="CW39" s="3">
        <f>_xlfn.XLOOKUP(CW$1,generator!$B$2:$B$295,generator!$K$2:$K$295,"ARGH")</f>
        <v>0</v>
      </c>
      <c r="CX39" s="3">
        <f>_xlfn.XLOOKUP(CX$1,generator!$B$2:$B$295,generator!$K$2:$K$295,"ARGH")</f>
        <v>0</v>
      </c>
      <c r="CY39" s="3">
        <f>_xlfn.XLOOKUP(CY$1,generator!$B$2:$B$295,generator!$K$2:$K$295,"ARGH")</f>
        <v>0</v>
      </c>
      <c r="CZ39" s="3">
        <f>_xlfn.XLOOKUP(CZ$1,generator!$B$2:$B$295,generator!$K$2:$K$295,"ARGH")</f>
        <v>0</v>
      </c>
      <c r="DA39" s="3">
        <f>_xlfn.XLOOKUP(DA$1,generator!$B$2:$B$295,generator!$K$2:$K$295,"ARGH")</f>
        <v>0</v>
      </c>
      <c r="DB39" s="3">
        <f>_xlfn.XLOOKUP(DB$1,generator!$B$2:$B$295,generator!$K$2:$K$295,"ARGH")</f>
        <v>0</v>
      </c>
      <c r="DC39" s="3">
        <f>_xlfn.XLOOKUP(DC$1,generator!$B$2:$B$295,generator!$K$2:$K$295,"ARGH")</f>
        <v>0</v>
      </c>
      <c r="DD39" s="3">
        <f>_xlfn.XLOOKUP(DD$1,generator!$B$2:$B$295,generator!$K$2:$K$295,"ARGH")</f>
        <v>0</v>
      </c>
      <c r="DE39" s="3">
        <f>_xlfn.XLOOKUP(DE$1,generator!$B$2:$B$295,generator!$K$2:$K$295,"ARGH")</f>
        <v>0</v>
      </c>
      <c r="DF39" s="3">
        <f>_xlfn.XLOOKUP(DF$1,generator!$B$2:$B$295,generator!$K$2:$K$295,"ARGH")</f>
        <v>0</v>
      </c>
      <c r="DG39" s="3">
        <f>_xlfn.XLOOKUP(DG$1,generator!$B$2:$B$295,generator!$K$2:$K$295,"ARGH")</f>
        <v>0</v>
      </c>
      <c r="DH39" s="3">
        <f>_xlfn.XLOOKUP(DH$1,generator!$B$2:$B$295,generator!$K$2:$K$295,"ARGH")</f>
        <v>0</v>
      </c>
      <c r="DI39" s="3">
        <f>_xlfn.XLOOKUP(DI$1,generator!$B$2:$B$295,generator!$K$2:$K$295,"ARGH")</f>
        <v>0</v>
      </c>
      <c r="DJ39" s="3">
        <f>_xlfn.XLOOKUP(DJ$1,generator!$B$2:$B$295,generator!$K$2:$K$295,"ARGH")</f>
        <v>0</v>
      </c>
      <c r="DK39" s="3">
        <f>_xlfn.XLOOKUP(DK$1,generator!$B$2:$B$295,generator!$K$2:$K$295,"ARGH")</f>
        <v>0</v>
      </c>
      <c r="DL39" s="3">
        <f>_xlfn.XLOOKUP(DL$1,generator!$B$2:$B$295,generator!$K$2:$K$295,"ARGH")</f>
        <v>0</v>
      </c>
      <c r="DM39" s="3">
        <f>_xlfn.XLOOKUP(DM$1,generator!$B$2:$B$295,generator!$K$2:$K$295,"ARGH")</f>
        <v>0</v>
      </c>
      <c r="DN39" s="3">
        <f>_xlfn.XLOOKUP(DN$1,generator!$B$2:$B$295,generator!$K$2:$K$295,"ARGH")</f>
        <v>0</v>
      </c>
      <c r="DO39" s="3">
        <f>_xlfn.XLOOKUP(DO$1,generator!$B$2:$B$295,generator!$K$2:$K$295,"ARGH")</f>
        <v>0</v>
      </c>
      <c r="DP39" s="3">
        <f>_xlfn.XLOOKUP(DP$1,generator!$B$2:$B$295,generator!$K$2:$K$295,"ARGH")</f>
        <v>0</v>
      </c>
      <c r="DQ39" s="3">
        <f>_xlfn.XLOOKUP(DQ$1,generator!$B$2:$B$295,generator!$K$2:$K$295,"ARGH")</f>
        <v>0</v>
      </c>
      <c r="DR39" s="3">
        <f>_xlfn.XLOOKUP(DR$1,generator!$B$2:$B$295,generator!$K$2:$K$295,"ARGH")</f>
        <v>0</v>
      </c>
      <c r="DS39" s="3">
        <f>_xlfn.XLOOKUP(DS$1,generator!$B$2:$B$295,generator!$K$2:$K$295,"ARGH")</f>
        <v>0</v>
      </c>
      <c r="DT39" s="3">
        <f>_xlfn.XLOOKUP(DT$1,generator!$B$2:$B$295,generator!$K$2:$K$295,"ARGH")</f>
        <v>0</v>
      </c>
      <c r="DU39" s="3">
        <f>_xlfn.XLOOKUP(DU$1,generator!$B$2:$B$295,generator!$K$2:$K$295,"ARGH")</f>
        <v>0</v>
      </c>
      <c r="DV39" s="3">
        <f>_xlfn.XLOOKUP(DV$1,generator!$B$2:$B$295,generator!$K$2:$K$295,"ARGH")</f>
        <v>0</v>
      </c>
      <c r="DW39" s="3">
        <f>_xlfn.XLOOKUP(DW$1,generator!$B$2:$B$295,generator!$K$2:$K$295,"ARGH")</f>
        <v>0</v>
      </c>
      <c r="DX39" s="3">
        <f>_xlfn.XLOOKUP(DX$1,generator!$B$2:$B$295,generator!$K$2:$K$295,"ARGH")</f>
        <v>0</v>
      </c>
      <c r="DY39" s="3">
        <f>_xlfn.XLOOKUP(DY$1,generator!$B$2:$B$295,generator!$K$2:$K$295,"ARGH")</f>
        <v>0</v>
      </c>
      <c r="DZ39" s="3">
        <f>_xlfn.XLOOKUP(DZ$1,generator!$B$2:$B$295,generator!$K$2:$K$295,"ARGH")</f>
        <v>0</v>
      </c>
      <c r="EA39" s="3">
        <f>_xlfn.XLOOKUP(EA$1,generator!$B$2:$B$295,generator!$K$2:$K$295,"ARGH")</f>
        <v>0</v>
      </c>
      <c r="EB39" s="3">
        <f>_xlfn.XLOOKUP(EB$1,generator!$B$2:$B$295,generator!$K$2:$K$295,"ARGH")</f>
        <v>0</v>
      </c>
      <c r="EC39" s="3">
        <f>_xlfn.XLOOKUP(EC$1,generator!$B$2:$B$295,generator!$K$2:$K$295,"ARGH")</f>
        <v>0</v>
      </c>
      <c r="ED39" s="3">
        <f>_xlfn.XLOOKUP(ED$1,generator!$B$2:$B$295,generator!$K$2:$K$295,"ARGH")</f>
        <v>0</v>
      </c>
      <c r="EE39" s="3">
        <f>_xlfn.XLOOKUP(EE$1,generator!$B$2:$B$295,generator!$K$2:$K$295,"ARGH")</f>
        <v>0</v>
      </c>
      <c r="EF39" s="3">
        <f>_xlfn.XLOOKUP(EF$1,generator!$B$2:$B$295,generator!$K$2:$K$295,"ARGH")</f>
        <v>0</v>
      </c>
      <c r="EG39" s="3">
        <f>_xlfn.XLOOKUP(EG$1,generator!$B$2:$B$295,generator!$K$2:$K$295,"ARGH")</f>
        <v>0</v>
      </c>
      <c r="EH39" s="3">
        <f>_xlfn.XLOOKUP(EH$1,generator!$B$2:$B$295,generator!$K$2:$K$295,"ARGH")</f>
        <v>0</v>
      </c>
      <c r="EI39" s="3">
        <f>_xlfn.XLOOKUP(EI$1,generator!$B$2:$B$295,generator!$K$2:$K$295,"ARGH")</f>
        <v>0</v>
      </c>
      <c r="EJ39" s="3">
        <f>_xlfn.XLOOKUP(EJ$1,generator!$B$2:$B$295,generator!$K$2:$K$295,"ARGH")</f>
        <v>0</v>
      </c>
      <c r="EK39" s="3">
        <f>_xlfn.XLOOKUP(EK$1,generator!$B$2:$B$295,generator!$K$2:$K$295,"ARGH")</f>
        <v>0</v>
      </c>
      <c r="EL39" s="3">
        <f>_xlfn.XLOOKUP(EL$1,generator!$B$2:$B$295,generator!$K$2:$K$295,"ARGH")</f>
        <v>0</v>
      </c>
      <c r="EM39" s="3">
        <f>_xlfn.XLOOKUP(EM$1,generator!$B$2:$B$295,generator!$K$2:$K$295,"ARGH")</f>
        <v>0</v>
      </c>
      <c r="EN39" s="3">
        <f>_xlfn.XLOOKUP(EN$1,generator!$B$2:$B$295,generator!$K$2:$K$295,"ARGH")</f>
        <v>0</v>
      </c>
      <c r="EO39" s="3">
        <f>_xlfn.XLOOKUP(EO$1,generator!$B$2:$B$295,generator!$K$2:$K$295,"ARGH")</f>
        <v>0</v>
      </c>
      <c r="EP39" s="3">
        <f>_xlfn.XLOOKUP(EP$1,generator!$B$2:$B$295,generator!$K$2:$K$295,"ARGH")</f>
        <v>0</v>
      </c>
      <c r="EQ39" s="3">
        <f>_xlfn.XLOOKUP(EQ$1,generator!$B$2:$B$295,generator!$K$2:$K$295,"ARGH")</f>
        <v>0</v>
      </c>
      <c r="ER39" s="3">
        <f>_xlfn.XLOOKUP(ER$1,generator!$B$2:$B$295,generator!$K$2:$K$295,"ARGH")</f>
        <v>0</v>
      </c>
      <c r="ES39" s="3">
        <f>_xlfn.XLOOKUP(ES$1,generator!$B$2:$B$295,generator!$K$2:$K$295,"ARGH")</f>
        <v>0</v>
      </c>
      <c r="ET39" s="3">
        <f>_xlfn.XLOOKUP(ET$1,generator!$B$2:$B$295,generator!$K$2:$K$295,"ARGH")</f>
        <v>0</v>
      </c>
      <c r="EU39" s="3">
        <f>_xlfn.XLOOKUP(EU$1,generator!$B$2:$B$295,generator!$K$2:$K$295,"ARGH")</f>
        <v>0</v>
      </c>
      <c r="EV39" s="3">
        <f>_xlfn.XLOOKUP(EV$1,generator!$B$2:$B$295,generator!$K$2:$K$295,"ARGH")</f>
        <v>0</v>
      </c>
      <c r="EW39" s="3">
        <f>_xlfn.XLOOKUP(EW$1,generator!$B$2:$B$295,generator!$K$2:$K$295,"ARGH")</f>
        <v>0</v>
      </c>
      <c r="EX39" s="3">
        <f>_xlfn.XLOOKUP(EX$1,generator!$B$2:$B$295,generator!$K$2:$K$295,"ARGH")</f>
        <v>0</v>
      </c>
      <c r="EY39" s="3">
        <f>_xlfn.XLOOKUP(EY$1,generator!$B$2:$B$295,generator!$K$2:$K$295,"ARGH")</f>
        <v>0</v>
      </c>
      <c r="EZ39" s="3">
        <f>_xlfn.XLOOKUP(EZ$1,generator!$B$2:$B$295,generator!$K$2:$K$295,"ARGH")</f>
        <v>0</v>
      </c>
      <c r="FA39" s="3">
        <f>_xlfn.XLOOKUP(FA$1,generator!$B$2:$B$295,generator!$K$2:$K$295,"ARGH")</f>
        <v>0</v>
      </c>
      <c r="FB39" s="3">
        <f>_xlfn.XLOOKUP(FB$1,generator!$B$2:$B$295,generator!$K$2:$K$295,"ARGH")</f>
        <v>0</v>
      </c>
      <c r="FC39" s="3">
        <f>_xlfn.XLOOKUP(FC$1,generator!$B$2:$B$295,generator!$K$2:$K$295,"ARGH")</f>
        <v>0</v>
      </c>
      <c r="FD39" s="3">
        <f>_xlfn.XLOOKUP(FD$1,generator!$B$2:$B$295,generator!$K$2:$K$295,"ARGH")</f>
        <v>0</v>
      </c>
      <c r="FE39" s="3">
        <f>_xlfn.XLOOKUP(FE$1,generator!$B$2:$B$295,generator!$K$2:$K$295,"ARGH")</f>
        <v>0</v>
      </c>
      <c r="FF39" s="3">
        <f>_xlfn.XLOOKUP(FF$1,generator!$B$2:$B$295,generator!$K$2:$K$295,"ARGH")</f>
        <v>0</v>
      </c>
      <c r="FG39" s="3">
        <f>_xlfn.XLOOKUP(FG$1,generator!$B$2:$B$295,generator!$K$2:$K$295,"ARGH")</f>
        <v>0</v>
      </c>
      <c r="FH39" s="3">
        <f>_xlfn.XLOOKUP(FH$1,generator!$B$2:$B$295,generator!$K$2:$K$295,"ARGH")</f>
        <v>0</v>
      </c>
      <c r="FI39" s="3">
        <f>_xlfn.XLOOKUP(FI$1,generator!$B$2:$B$295,generator!$K$2:$K$295,"ARGH")</f>
        <v>0</v>
      </c>
      <c r="FJ39" s="3">
        <f>_xlfn.XLOOKUP(FJ$1,generator!$B$2:$B$295,generator!$K$2:$K$295,"ARGH")</f>
        <v>0</v>
      </c>
      <c r="FK39" s="3">
        <f>_xlfn.XLOOKUP(FK$1,generator!$B$2:$B$295,generator!$K$2:$K$295,"ARGH")</f>
        <v>0</v>
      </c>
      <c r="FL39" s="3">
        <f>_xlfn.XLOOKUP(FL$1,generator!$B$2:$B$295,generator!$K$2:$K$295,"ARGH")</f>
        <v>0</v>
      </c>
      <c r="FM39" s="3">
        <f>_xlfn.XLOOKUP(FM$1,generator!$B$2:$B$295,generator!$K$2:$K$295,"ARGH")</f>
        <v>0</v>
      </c>
      <c r="FN39" s="3">
        <f>_xlfn.XLOOKUP(FN$1,generator!$B$2:$B$295,generator!$K$2:$K$295,"ARGH")</f>
        <v>0</v>
      </c>
      <c r="FO39" s="3">
        <f>_xlfn.XLOOKUP(FO$1,generator!$B$2:$B$295,generator!$K$2:$K$295,"ARGH")</f>
        <v>0</v>
      </c>
      <c r="FP39" s="3">
        <f>_xlfn.XLOOKUP(FP$1,generator!$B$2:$B$295,generator!$K$2:$K$295,"ARGH")</f>
        <v>0</v>
      </c>
      <c r="FQ39" s="3">
        <f>_xlfn.XLOOKUP(FQ$1,generator!$B$2:$B$295,generator!$K$2:$K$295,"ARGH")</f>
        <v>0</v>
      </c>
      <c r="FR39" s="3">
        <f>_xlfn.XLOOKUP(FR$1,generator!$B$2:$B$295,generator!$K$2:$K$295,"ARGH")</f>
        <v>0</v>
      </c>
      <c r="FS39" s="3">
        <f>_xlfn.XLOOKUP(FS$1,generator!$B$2:$B$295,generator!$K$2:$K$295,"ARGH")</f>
        <v>0</v>
      </c>
      <c r="FT39" s="3">
        <f>_xlfn.XLOOKUP(FT$1,generator!$B$2:$B$295,generator!$K$2:$K$295,"ARGH")</f>
        <v>0</v>
      </c>
      <c r="FU39" s="3">
        <f>_xlfn.XLOOKUP(FU$1,generator!$B$2:$B$295,generator!$K$2:$K$295,"ARGH")</f>
        <v>0</v>
      </c>
      <c r="FV39" s="3">
        <f>_xlfn.XLOOKUP(FV$1,generator!$B$2:$B$295,generator!$K$2:$K$295,"ARGH")</f>
        <v>0</v>
      </c>
      <c r="FW39" s="3">
        <f>_xlfn.XLOOKUP(FW$1,generator!$B$2:$B$295,generator!$K$2:$K$295,"ARGH")</f>
        <v>0</v>
      </c>
      <c r="FX39" s="3">
        <f>_xlfn.XLOOKUP(FX$1,generator!$B$2:$B$295,generator!$K$2:$K$295,"ARGH")</f>
        <v>0</v>
      </c>
      <c r="FY39" s="3">
        <f>_xlfn.XLOOKUP(FY$1,generator!$B$2:$B$295,generator!$K$2:$K$295,"ARGH")</f>
        <v>0</v>
      </c>
      <c r="FZ39" s="3">
        <f>_xlfn.XLOOKUP(FZ$1,generator!$B$2:$B$295,generator!$K$2:$K$295,"ARGH")</f>
        <v>0</v>
      </c>
      <c r="GA39" s="3">
        <f>_xlfn.XLOOKUP(GA$1,generator!$B$2:$B$295,generator!$K$2:$K$295,"ARGH")</f>
        <v>0</v>
      </c>
      <c r="GB39" s="3">
        <f>_xlfn.XLOOKUP(GB$1,generator!$B$2:$B$295,generator!$K$2:$K$295,"ARGH")</f>
        <v>0</v>
      </c>
      <c r="GC39" s="3">
        <f>_xlfn.XLOOKUP(GC$1,generator!$B$2:$B$295,generator!$K$2:$K$295,"ARGH")</f>
        <v>0</v>
      </c>
      <c r="GD39" s="3">
        <f>_xlfn.XLOOKUP(GD$1,generator!$B$2:$B$295,generator!$K$2:$K$295,"ARGH")</f>
        <v>0</v>
      </c>
      <c r="GE39" s="3">
        <f>_xlfn.XLOOKUP(GE$1,generator!$B$2:$B$295,generator!$K$2:$K$295,"ARGH")</f>
        <v>0</v>
      </c>
      <c r="GF39" s="3">
        <f>_xlfn.XLOOKUP(GF$1,generator!$B$2:$B$295,generator!$K$2:$K$295,"ARGH")</f>
        <v>0</v>
      </c>
      <c r="GG39" s="3">
        <f>_xlfn.XLOOKUP(GG$1,generator!$B$2:$B$295,generator!$K$2:$K$295,"ARGH")</f>
        <v>0</v>
      </c>
      <c r="GH39" s="3">
        <f>_xlfn.XLOOKUP(GH$1,generator!$B$2:$B$295,generator!$K$2:$K$295,"ARGH")</f>
        <v>0</v>
      </c>
      <c r="GI39" s="3">
        <f>_xlfn.XLOOKUP(GI$1,generator!$B$2:$B$295,generator!$K$2:$K$295,"ARGH")</f>
        <v>0</v>
      </c>
      <c r="GJ39" s="3">
        <f>_xlfn.XLOOKUP(GJ$1,generator!$B$2:$B$295,generator!$K$2:$K$295,"ARGH")</f>
        <v>0</v>
      </c>
      <c r="GK39" s="3">
        <f>_xlfn.XLOOKUP(GK$1,generator!$B$2:$B$295,generator!$K$2:$K$295,"ARGH")</f>
        <v>0</v>
      </c>
      <c r="GL39" s="3">
        <f>_xlfn.XLOOKUP(GL$1,generator!$B$2:$B$295,generator!$K$2:$K$295,"ARGH")</f>
        <v>0</v>
      </c>
      <c r="GM39" s="3">
        <f>_xlfn.XLOOKUP(GM$1,generator!$B$2:$B$295,generator!$K$2:$K$295,"ARGH")</f>
        <v>0</v>
      </c>
      <c r="GN39" s="3">
        <f>_xlfn.XLOOKUP(GN$1,generator!$B$2:$B$295,generator!$K$2:$K$295,"ARGH")</f>
        <v>0</v>
      </c>
      <c r="GO39" s="3">
        <f>_xlfn.XLOOKUP(GO$1,generator!$B$2:$B$295,generator!$K$2:$K$295,"ARGH")</f>
        <v>0</v>
      </c>
      <c r="GP39" s="3">
        <f>_xlfn.XLOOKUP(GP$1,generator!$B$2:$B$295,generator!$K$2:$K$295,"ARGH")</f>
        <v>0</v>
      </c>
      <c r="GQ39" s="3">
        <f>_xlfn.XLOOKUP(GQ$1,generator!$B$2:$B$295,generator!$K$2:$K$295,"ARGH")</f>
        <v>0</v>
      </c>
      <c r="GR39" s="3">
        <f>_xlfn.XLOOKUP(GR$1,generator!$B$2:$B$295,generator!$K$2:$K$295,"ARGH")</f>
        <v>0</v>
      </c>
      <c r="GS39" s="3">
        <f>_xlfn.XLOOKUP(GS$1,generator!$B$2:$B$295,generator!$K$2:$K$295,"ARGH")</f>
        <v>0</v>
      </c>
      <c r="GT39" s="3">
        <f>_xlfn.XLOOKUP(GT$1,generator!$B$2:$B$295,generator!$K$2:$K$295,"ARGH")</f>
        <v>0</v>
      </c>
      <c r="GU39" s="3">
        <f>_xlfn.XLOOKUP(GU$1,generator!$B$2:$B$295,generator!$K$2:$K$295,"ARGH")</f>
        <v>0</v>
      </c>
      <c r="GV39" s="3">
        <f>_xlfn.XLOOKUP(GV$1,generator!$B$2:$B$295,generator!$K$2:$K$295,"ARGH")</f>
        <v>0</v>
      </c>
      <c r="GW39" s="3">
        <f>_xlfn.XLOOKUP(GW$1,generator!$B$2:$B$295,generator!$K$2:$K$295,"ARGH")</f>
        <v>0</v>
      </c>
      <c r="GX39" s="3">
        <f>_xlfn.XLOOKUP(GX$1,generator!$B$2:$B$295,generator!$K$2:$K$295,"ARGH")</f>
        <v>0</v>
      </c>
      <c r="GY39" s="3">
        <f>_xlfn.XLOOKUP(GY$1,generator!$B$2:$B$295,generator!$K$2:$K$295,"ARGH")</f>
        <v>0</v>
      </c>
      <c r="GZ39" s="3">
        <f>_xlfn.XLOOKUP(GZ$1,generator!$B$2:$B$295,generator!$K$2:$K$295,"ARGH")</f>
        <v>0</v>
      </c>
      <c r="HA39" s="3">
        <f>_xlfn.XLOOKUP(HA$1,generator!$B$2:$B$295,generator!$K$2:$K$295,"ARGH")</f>
        <v>0</v>
      </c>
      <c r="HB39" s="3">
        <f>_xlfn.XLOOKUP(HB$1,generator!$B$2:$B$295,generator!$K$2:$K$295,"ARGH")</f>
        <v>0</v>
      </c>
      <c r="HC39" s="3">
        <f>_xlfn.XLOOKUP(HC$1,generator!$B$2:$B$295,generator!$K$2:$K$295,"ARGH")</f>
        <v>0</v>
      </c>
      <c r="HD39" s="3">
        <f>_xlfn.XLOOKUP(HD$1,generator!$B$2:$B$295,generator!$K$2:$K$295,"ARGH")</f>
        <v>0</v>
      </c>
      <c r="HE39" s="3">
        <f>_xlfn.XLOOKUP(HE$1,generator!$B$2:$B$295,generator!$K$2:$K$295,"ARGH")</f>
        <v>12.74</v>
      </c>
      <c r="HF39" s="3">
        <f>_xlfn.XLOOKUP(HF$1,generator!$B$2:$B$295,generator!$K$2:$K$295,"ARGH")</f>
        <v>99</v>
      </c>
      <c r="HG39" s="3">
        <f>_xlfn.XLOOKUP(HG$1,generator!$B$2:$B$295,generator!$K$2:$K$295,"ARGH")</f>
        <v>99</v>
      </c>
      <c r="HH39" s="3">
        <f>_xlfn.XLOOKUP(HH$1,generator!$B$2:$B$295,generator!$K$2:$K$295,"ARGH")</f>
        <v>99</v>
      </c>
      <c r="HI39" s="3">
        <f>_xlfn.XLOOKUP(HI$1,generator!$B$2:$B$295,generator!$K$2:$K$295,"ARGH")</f>
        <v>8</v>
      </c>
      <c r="HJ39" s="3">
        <f>_xlfn.XLOOKUP(HJ$1,generator!$B$2:$B$295,generator!$K$2:$K$295,"ARGH")</f>
        <v>8</v>
      </c>
      <c r="HK39" s="3">
        <f>_xlfn.XLOOKUP(HK$1,generator!$B$2:$B$295,generator!$K$2:$K$295,"ARGH")</f>
        <v>8</v>
      </c>
      <c r="HL39" s="3">
        <f>_xlfn.XLOOKUP(HL$1,generator!$B$2:$B$295,generator!$K$2:$K$295,"ARGH")</f>
        <v>20</v>
      </c>
      <c r="HM39" s="3">
        <f>_xlfn.XLOOKUP(HM$1,generator!$B$2:$B$295,generator!$K$2:$K$295,"ARGH")</f>
        <v>20</v>
      </c>
      <c r="HN39" s="3">
        <f>_xlfn.XLOOKUP(HN$1,generator!$B$2:$B$295,generator!$K$2:$K$295,"ARGH")</f>
        <v>5</v>
      </c>
      <c r="HO39" s="3">
        <f>_xlfn.XLOOKUP(HO$1,generator!$B$2:$B$295,generator!$K$2:$K$295,"ARGH")</f>
        <v>5</v>
      </c>
      <c r="HP39" s="3">
        <f>_xlfn.XLOOKUP(HP$1,generator!$B$2:$B$295,generator!$K$2:$K$295,"ARGH")</f>
        <v>0.2</v>
      </c>
      <c r="HQ39" s="3">
        <f>_xlfn.XLOOKUP(HQ$1,generator!$B$2:$B$295,generator!$K$2:$K$295,"ARGH")</f>
        <v>5</v>
      </c>
      <c r="HR39" s="3">
        <f>_xlfn.XLOOKUP(HR$1,generator!$B$2:$B$295,generator!$K$2:$K$295,"ARGH")</f>
        <v>5</v>
      </c>
      <c r="HS39" s="3">
        <f>_xlfn.XLOOKUP(HS$1,generator!$B$2:$B$295,generator!$K$2:$K$295,"ARGH")</f>
        <v>12.82</v>
      </c>
      <c r="HT39" s="3">
        <f>_xlfn.XLOOKUP(HT$1,generator!$B$2:$B$295,generator!$K$2:$K$295,"ARGH")</f>
        <v>12.82</v>
      </c>
      <c r="HU39" s="3">
        <f>_xlfn.XLOOKUP(HU$1,generator!$B$2:$B$295,generator!$K$2:$K$295,"ARGH")</f>
        <v>25</v>
      </c>
      <c r="HV39" s="3">
        <f>_xlfn.XLOOKUP(HV$1,generator!$B$2:$B$295,generator!$K$2:$K$295,"ARGH")</f>
        <v>16</v>
      </c>
      <c r="HW39" s="3">
        <f>_xlfn.XLOOKUP(HW$1,generator!$B$2:$B$295,generator!$K$2:$K$295,"ARGH")</f>
        <v>5</v>
      </c>
      <c r="HX39" s="3">
        <f>_xlfn.XLOOKUP(HX$1,generator!$B$2:$B$295,generator!$K$2:$K$295,"ARGH")</f>
        <v>5</v>
      </c>
      <c r="HY39" s="3">
        <f>_xlfn.XLOOKUP(HY$1,generator!$B$2:$B$295,generator!$K$2:$K$295,"ARGH")</f>
        <v>63</v>
      </c>
      <c r="HZ39" s="3">
        <f>_xlfn.XLOOKUP(HZ$1,generator!$B$2:$B$295,generator!$K$2:$K$295,"ARGH")</f>
        <v>18</v>
      </c>
      <c r="IA39" s="3">
        <f>_xlfn.XLOOKUP(IA$1,generator!$B$2:$B$295,generator!$K$2:$K$295,"ARGH")</f>
        <v>121</v>
      </c>
      <c r="IB39" s="3">
        <f>_xlfn.XLOOKUP(IB$1,generator!$B$2:$B$295,generator!$K$2:$K$295,"ARGH")</f>
        <v>120</v>
      </c>
      <c r="IC39" s="3">
        <f>_xlfn.XLOOKUP(IC$1,generator!$B$2:$B$295,generator!$K$2:$K$295,"ARGH")</f>
        <v>0</v>
      </c>
      <c r="ID39" s="3">
        <f>_xlfn.XLOOKUP(ID$1,generator!$B$2:$B$295,generator!$K$2:$K$295,"ARGH")</f>
        <v>17</v>
      </c>
      <c r="IE39" s="3">
        <f>_xlfn.XLOOKUP(IE$1,generator!$B$2:$B$295,generator!$K$2:$K$295,"ARGH")</f>
        <v>194</v>
      </c>
      <c r="IF39" s="3">
        <f>_xlfn.XLOOKUP(IF$1,generator!$B$2:$B$295,generator!$K$2:$K$295,"ARGH")</f>
        <v>11.9</v>
      </c>
      <c r="IG39" s="3">
        <f>_xlfn.XLOOKUP(IG$1,generator!$B$2:$B$295,generator!$K$2:$K$295,"ARGH")</f>
        <v>11.9</v>
      </c>
      <c r="IH39" s="3">
        <f>_xlfn.XLOOKUP(IH$1,generator!$B$2:$B$295,generator!$K$2:$K$295,"ARGH")</f>
        <v>11.9</v>
      </c>
      <c r="II39" s="3">
        <f>_xlfn.XLOOKUP(II$1,generator!$B$2:$B$295,generator!$K$2:$K$295,"ARGH")</f>
        <v>11.9</v>
      </c>
      <c r="IJ39" s="3">
        <f>_xlfn.XLOOKUP(IJ$1,generator!$B$2:$B$295,generator!$K$2:$K$295,"ARGH")</f>
        <v>0</v>
      </c>
      <c r="IK39" s="3">
        <f>_xlfn.XLOOKUP(IK$1,generator!$B$2:$B$295,generator!$K$2:$K$295,"ARGH")</f>
        <v>3</v>
      </c>
      <c r="IL39" s="3">
        <f>_xlfn.XLOOKUP(IL$1,generator!$B$2:$B$295,generator!$K$2:$K$295,"ARGH")</f>
        <v>5</v>
      </c>
      <c r="IM39" s="3">
        <f>_xlfn.XLOOKUP(IM$1,generator!$B$2:$B$295,generator!$K$2:$K$295,"ARGH")</f>
        <v>5</v>
      </c>
      <c r="IN39" s="3">
        <f>_xlfn.XLOOKUP(IN$1,generator!$B$2:$B$295,generator!$K$2:$K$295,"ARGH")</f>
        <v>4</v>
      </c>
      <c r="IO39" s="3">
        <f>_xlfn.XLOOKUP(IO$1,generator!$B$2:$B$295,generator!$K$2:$K$295,"ARGH")</f>
        <v>4</v>
      </c>
      <c r="IP39" s="3">
        <f>_xlfn.XLOOKUP(IP$1,generator!$B$2:$B$295,generator!$K$2:$K$295,"ARGH")</f>
        <v>3</v>
      </c>
      <c r="IQ39" s="3">
        <f>_xlfn.XLOOKUP(IQ$1,generator!$B$2:$B$295,generator!$K$2:$K$295,"ARGH")</f>
        <v>1</v>
      </c>
      <c r="IR39" s="3">
        <f>_xlfn.XLOOKUP(IR$1,generator!$B$2:$B$295,generator!$K$2:$K$295,"ARGH")</f>
        <v>3</v>
      </c>
      <c r="IS39" s="3">
        <f>_xlfn.XLOOKUP(IS$1,generator!$B$2:$B$295,generator!$K$2:$K$295,"ARGH")</f>
        <v>3</v>
      </c>
      <c r="IT39" s="3">
        <f>_xlfn.XLOOKUP(IT$1,generator!$B$2:$B$295,generator!$K$2:$K$295,"ARGH")</f>
        <v>0</v>
      </c>
      <c r="IU39" s="3">
        <f>_xlfn.XLOOKUP(IU$1,generator!$B$2:$B$295,generator!$K$2:$K$295,"ARGH")</f>
        <v>3.99</v>
      </c>
      <c r="IV39" s="3">
        <f>_xlfn.XLOOKUP(IV$1,generator!$B$2:$B$295,generator!$K$2:$K$295,"ARGH")</f>
        <v>0.2</v>
      </c>
      <c r="IW39" s="3">
        <f>_xlfn.XLOOKUP(IW$1,generator!$B$2:$B$295,generator!$K$2:$K$295,"ARGH")</f>
        <v>15</v>
      </c>
      <c r="IX39" s="3">
        <f>_xlfn.XLOOKUP(IX$1,generator!$B$2:$B$295,generator!$K$2:$K$295,"ARGH")</f>
        <v>15</v>
      </c>
      <c r="IY39" s="3">
        <f>_xlfn.XLOOKUP(IY$1,generator!$B$2:$B$295,generator!$K$2:$K$295,"ARGH")</f>
        <v>15</v>
      </c>
      <c r="IZ39" s="3">
        <f>_xlfn.XLOOKUP(IZ$1,generator!$B$2:$B$295,generator!$K$2:$K$295,"ARGH")</f>
        <v>120</v>
      </c>
      <c r="JA39" s="3">
        <f>_xlfn.XLOOKUP(JA$1,generator!$B$2:$B$295,generator!$K$2:$K$295,"ARGH")</f>
        <v>40</v>
      </c>
      <c r="JB39" s="3">
        <f>_xlfn.XLOOKUP(JB$1,generator!$B$2:$B$295,generator!$K$2:$K$295,"ARGH")</f>
        <v>40</v>
      </c>
      <c r="JC39" s="3">
        <f>_xlfn.XLOOKUP(JC$1,generator!$B$2:$B$295,generator!$K$2:$K$295,"ARGH")</f>
        <v>113</v>
      </c>
      <c r="JD39" s="3">
        <f>_xlfn.XLOOKUP(JD$1,generator!$B$2:$B$295,generator!$K$2:$K$295,"ARGH")</f>
        <v>113</v>
      </c>
      <c r="JE39" s="3">
        <f>_xlfn.XLOOKUP(JE$1,generator!$B$2:$B$295,generator!$K$2:$K$295,"ARGH")</f>
        <v>211</v>
      </c>
      <c r="JF39" s="3">
        <f>_xlfn.XLOOKUP(JF$1,generator!$B$2:$B$295,generator!$K$2:$K$295,"ARGH")</f>
        <v>22.5</v>
      </c>
      <c r="JG39" s="3">
        <f>_xlfn.XLOOKUP(JG$1,generator!$B$2:$B$295,generator!$K$2:$K$295,"ARGH")</f>
        <v>1</v>
      </c>
      <c r="JH39" s="3">
        <f>_xlfn.XLOOKUP(JH$1,generator!$B$2:$B$295,generator!$K$2:$K$295,"ARGH")</f>
        <v>160</v>
      </c>
      <c r="JI39" s="3">
        <f>_xlfn.XLOOKUP(JI$1,generator!$B$2:$B$295,generator!$K$2:$K$295,"ARGH")</f>
        <v>165</v>
      </c>
      <c r="JJ39" s="3">
        <f>_xlfn.XLOOKUP(JJ$1,generator!$B$2:$B$295,generator!$K$2:$K$295,"ARGH")</f>
        <v>4.5999999999999996</v>
      </c>
      <c r="JK39" s="3">
        <f>_xlfn.XLOOKUP(JK$1,generator!$B$2:$B$295,generator!$K$2:$K$295,"ARGH")</f>
        <v>4.5999999999999996</v>
      </c>
      <c r="JL39" s="3">
        <f>_xlfn.XLOOKUP(JL$1,generator!$B$2:$B$295,generator!$K$2:$K$295,"ARGH")</f>
        <v>4.5999999999999996</v>
      </c>
      <c r="JM39" s="3">
        <f>_xlfn.XLOOKUP(JM$1,generator!$B$2:$B$295,generator!$K$2:$K$295,"ARGH")</f>
        <v>4.5999999999999996</v>
      </c>
      <c r="JN39" s="3">
        <f>_xlfn.XLOOKUP(JN$1,generator!$B$2:$B$295,generator!$K$2:$K$295,"ARGH")</f>
        <v>4.5999999999999996</v>
      </c>
      <c r="JO39" s="3">
        <f>_xlfn.XLOOKUP(JO$1,generator!$B$2:$B$295,generator!$K$2:$K$295,"ARGH")</f>
        <v>4.5999999999999996</v>
      </c>
      <c r="JP39" s="3">
        <f>_xlfn.XLOOKUP(JP$1,generator!$B$2:$B$295,generator!$K$2:$K$295,"ARGH")</f>
        <v>110</v>
      </c>
      <c r="JQ39" s="3">
        <f>_xlfn.XLOOKUP(JQ$1,generator!$B$2:$B$295,generator!$K$2:$K$295,"ARGH")</f>
        <v>22.7</v>
      </c>
      <c r="JR39" s="3">
        <f>_xlfn.XLOOKUP(JR$1,generator!$B$2:$B$295,generator!$K$2:$K$295,"ARGH")</f>
        <v>147</v>
      </c>
      <c r="JS39" s="3">
        <f>_xlfn.XLOOKUP(JS$1,generator!$B$2:$B$295,generator!$K$2:$K$295,"ARGH")</f>
        <v>147</v>
      </c>
      <c r="JT39" s="3">
        <f>_xlfn.XLOOKUP(JT$1,generator!$B$2:$B$295,generator!$K$2:$K$295,"ARGH")</f>
        <v>22.7</v>
      </c>
      <c r="JU39" s="3">
        <f>_xlfn.XLOOKUP(JU$1,generator!$B$2:$B$295,generator!$K$2:$K$295,"ARGH")</f>
        <v>21.5</v>
      </c>
      <c r="JV39" s="3">
        <f>_xlfn.XLOOKUP(JV$1,generator!$B$2:$B$295,generator!$K$2:$K$295,"ARGH")</f>
        <v>120</v>
      </c>
      <c r="JW39" s="3">
        <f>_xlfn.XLOOKUP(JW$1,generator!$B$2:$B$295,generator!$K$2:$K$295,"ARGH")</f>
        <v>120</v>
      </c>
      <c r="JX39" s="3">
        <f>_xlfn.XLOOKUP(JX$1,generator!$B$2:$B$295,generator!$K$2:$K$295,"ARGH")</f>
        <v>1</v>
      </c>
      <c r="JY39" s="3">
        <f>_xlfn.XLOOKUP(JY$1,generator!$B$2:$B$295,generator!$K$2:$K$295,"ARGH")</f>
        <v>41.15</v>
      </c>
      <c r="JZ39" s="3">
        <f>_xlfn.XLOOKUP(JZ$1,generator!$B$2:$B$295,generator!$K$2:$K$295,"ARGH")</f>
        <v>5</v>
      </c>
      <c r="KA39" s="3">
        <f>_xlfn.XLOOKUP(KA$1,generator!$B$2:$B$295,generator!$K$2:$K$295,"ARGH")</f>
        <v>5</v>
      </c>
      <c r="KB39" s="3">
        <f>_xlfn.XLOOKUP(KB$1,generator!$B$2:$B$295,generator!$K$2:$K$295,"ARGH")</f>
        <v>5</v>
      </c>
      <c r="KC39" s="3">
        <f>_xlfn.XLOOKUP(KC$1,generator!$B$2:$B$295,generator!$K$2:$K$295,"ARGH")</f>
        <v>5</v>
      </c>
    </row>
    <row r="40" spans="1:289" x14ac:dyDescent="0.3">
      <c r="A40" s="4" t="s">
        <v>3035</v>
      </c>
      <c r="B40" s="31">
        <v>530</v>
      </c>
      <c r="C40" s="31">
        <v>513.5</v>
      </c>
      <c r="D40" s="31">
        <v>442</v>
      </c>
      <c r="E40" s="3">
        <f>_xlfn.XLOOKUP(E$1,generator!$B$2:$B$295,generator!$K$2:$K$295,"ARGH")</f>
        <v>0</v>
      </c>
      <c r="F40" s="3">
        <f>_xlfn.XLOOKUP(F$1,generator!$B$2:$B$295,generator!$K$2:$K$295,"ARGH")</f>
        <v>0</v>
      </c>
      <c r="G40" s="3">
        <f>_xlfn.XLOOKUP(G$1,generator!$B$2:$B$295,generator!$K$2:$K$295,"ARGH")</f>
        <v>0</v>
      </c>
      <c r="H40" s="3">
        <f>_xlfn.XLOOKUP(H$1,generator!$B$2:$B$295,generator!$K$2:$K$295,"ARGH")</f>
        <v>0</v>
      </c>
      <c r="I40" s="3">
        <f>_xlfn.XLOOKUP(I$1,generator!$B$2:$B$295,generator!$K$2:$K$295,"ARGH")</f>
        <v>0</v>
      </c>
      <c r="J40" s="3">
        <f>_xlfn.XLOOKUP(J$1,generator!$B$2:$B$295,generator!$K$2:$K$295,"ARGH")</f>
        <v>0</v>
      </c>
      <c r="K40" s="3">
        <f>_xlfn.XLOOKUP(K$1,generator!$B$2:$B$295,generator!$K$2:$K$295,"ARGH")</f>
        <v>0</v>
      </c>
      <c r="L40" s="3">
        <f>_xlfn.XLOOKUP(L$1,generator!$B$2:$B$295,generator!$K$2:$K$295,"ARGH")</f>
        <v>0</v>
      </c>
      <c r="M40" s="3">
        <f>_xlfn.XLOOKUP(M$1,generator!$B$2:$B$295,generator!$K$2:$K$295,"ARGH")</f>
        <v>0</v>
      </c>
      <c r="N40" s="3">
        <f>_xlfn.XLOOKUP(N$1,generator!$B$2:$B$295,generator!$K$2:$K$295,"ARGH")</f>
        <v>0</v>
      </c>
      <c r="O40" s="3">
        <f>_xlfn.XLOOKUP(O$1,generator!$B$2:$B$295,generator!$K$2:$K$295,"ARGH")</f>
        <v>0</v>
      </c>
      <c r="P40" s="3">
        <f>_xlfn.XLOOKUP(P$1,generator!$B$2:$B$295,generator!$K$2:$K$295,"ARGH")</f>
        <v>0</v>
      </c>
      <c r="Q40" s="3">
        <f>_xlfn.XLOOKUP(Q$1,generator!$B$2:$B$295,generator!$K$2:$K$295,"ARGH")</f>
        <v>0</v>
      </c>
      <c r="R40" s="3">
        <f>_xlfn.XLOOKUP(R$1,generator!$B$2:$B$295,generator!$K$2:$K$295,"ARGH")</f>
        <v>0</v>
      </c>
      <c r="S40" s="3">
        <f>_xlfn.XLOOKUP(S$1,generator!$B$2:$B$295,generator!$K$2:$K$295,"ARGH")</f>
        <v>0</v>
      </c>
      <c r="T40" s="3">
        <f>_xlfn.XLOOKUP(T$1,generator!$B$2:$B$295,generator!$K$2:$K$295,"ARGH")</f>
        <v>0</v>
      </c>
      <c r="U40" s="3">
        <f>_xlfn.XLOOKUP(U$1,generator!$B$2:$B$295,generator!$K$2:$K$295,"ARGH")</f>
        <v>0</v>
      </c>
      <c r="V40" s="3">
        <f>_xlfn.XLOOKUP(V$1,generator!$B$2:$B$295,generator!$K$2:$K$295,"ARGH")</f>
        <v>0</v>
      </c>
      <c r="W40" s="3">
        <f>_xlfn.XLOOKUP(W$1,generator!$B$2:$B$295,generator!$K$2:$K$295,"ARGH")</f>
        <v>0</v>
      </c>
      <c r="X40" s="3">
        <f>_xlfn.XLOOKUP(X$1,generator!$B$2:$B$295,generator!$K$2:$K$295,"ARGH")</f>
        <v>0</v>
      </c>
      <c r="Y40" s="3">
        <f>_xlfn.XLOOKUP(Y$1,generator!$B$2:$B$295,generator!$K$2:$K$295,"ARGH")</f>
        <v>0</v>
      </c>
      <c r="Z40" s="3">
        <f>_xlfn.XLOOKUP(Z$1,generator!$B$2:$B$295,generator!$K$2:$K$295,"ARGH")</f>
        <v>0</v>
      </c>
      <c r="AA40" s="3">
        <f>_xlfn.XLOOKUP(AA$1,generator!$B$2:$B$295,generator!$K$2:$K$295,"ARGH")</f>
        <v>0</v>
      </c>
      <c r="AB40" s="3">
        <f>_xlfn.XLOOKUP(AB$1,generator!$B$2:$B$295,generator!$K$2:$K$295,"ARGH")</f>
        <v>0</v>
      </c>
      <c r="AC40" s="3">
        <f>_xlfn.XLOOKUP(AC$1,generator!$B$2:$B$295,generator!$K$2:$K$295,"ARGH")</f>
        <v>0</v>
      </c>
      <c r="AD40" s="3">
        <f>_xlfn.XLOOKUP(AD$1,generator!$B$2:$B$295,generator!$K$2:$K$295,"ARGH")</f>
        <v>0</v>
      </c>
      <c r="AE40" s="3">
        <f>_xlfn.XLOOKUP(AE$1,generator!$B$2:$B$295,generator!$K$2:$K$295,"ARGH")</f>
        <v>0</v>
      </c>
      <c r="AF40" s="3">
        <f>_xlfn.XLOOKUP(AF$1,generator!$B$2:$B$295,generator!$K$2:$K$295,"ARGH")</f>
        <v>0</v>
      </c>
      <c r="AG40" s="3">
        <f>_xlfn.XLOOKUP(AG$1,generator!$B$2:$B$295,generator!$K$2:$K$295,"ARGH")</f>
        <v>0</v>
      </c>
      <c r="AH40" s="3">
        <f>_xlfn.XLOOKUP(AH$1,generator!$B$2:$B$295,generator!$K$2:$K$295,"ARGH")</f>
        <v>0</v>
      </c>
      <c r="AI40" s="3">
        <f>_xlfn.XLOOKUP(AI$1,generator!$B$2:$B$295,generator!$K$2:$K$295,"ARGH")</f>
        <v>0</v>
      </c>
      <c r="AJ40" s="3">
        <f>_xlfn.XLOOKUP(AJ$1,generator!$B$2:$B$295,generator!$K$2:$K$295,"ARGH")</f>
        <v>0</v>
      </c>
      <c r="AK40" s="3">
        <f>_xlfn.XLOOKUP(AK$1,generator!$B$2:$B$295,generator!$K$2:$K$295,"ARGH")</f>
        <v>0</v>
      </c>
      <c r="AL40" s="3">
        <f>_xlfn.XLOOKUP(AL$1,generator!$B$2:$B$295,generator!$K$2:$K$295,"ARGH")</f>
        <v>0</v>
      </c>
      <c r="AM40" s="3">
        <f>_xlfn.XLOOKUP(AM$1,generator!$B$2:$B$295,generator!$K$2:$K$295,"ARGH")</f>
        <v>0</v>
      </c>
      <c r="AN40" s="3">
        <f>_xlfn.XLOOKUP(AN$1,generator!$B$2:$B$295,generator!$K$2:$K$295,"ARGH")</f>
        <v>0</v>
      </c>
      <c r="AO40" s="3">
        <f>_xlfn.XLOOKUP(AO$1,generator!$B$2:$B$295,generator!$K$2:$K$295,"ARGH")</f>
        <v>0</v>
      </c>
      <c r="AP40" s="3">
        <f>_xlfn.XLOOKUP(AP$1,generator!$B$2:$B$295,generator!$K$2:$K$295,"ARGH")</f>
        <v>0</v>
      </c>
      <c r="AQ40" s="3">
        <f>_xlfn.XLOOKUP(AQ$1,generator!$B$2:$B$295,generator!$K$2:$K$295,"ARGH")</f>
        <v>0</v>
      </c>
      <c r="AR40" s="3">
        <f>_xlfn.XLOOKUP(AR$1,generator!$B$2:$B$295,generator!$K$2:$K$295,"ARGH")</f>
        <v>0</v>
      </c>
      <c r="AS40" s="3">
        <f>_xlfn.XLOOKUP(AS$1,generator!$B$2:$B$295,generator!$K$2:$K$295,"ARGH")</f>
        <v>0</v>
      </c>
      <c r="AT40" s="3">
        <f>_xlfn.XLOOKUP(AT$1,generator!$B$2:$B$295,generator!$K$2:$K$295,"ARGH")</f>
        <v>0</v>
      </c>
      <c r="AU40" s="3">
        <f>_xlfn.XLOOKUP(AU$1,generator!$B$2:$B$295,generator!$K$2:$K$295,"ARGH")</f>
        <v>0</v>
      </c>
      <c r="AV40" s="3">
        <f>_xlfn.XLOOKUP(AV$1,generator!$B$2:$B$295,generator!$K$2:$K$295,"ARGH")</f>
        <v>0</v>
      </c>
      <c r="AW40" s="3">
        <f>_xlfn.XLOOKUP(AW$1,generator!$B$2:$B$295,generator!$K$2:$K$295,"ARGH")</f>
        <v>0</v>
      </c>
      <c r="AX40" s="3">
        <f>_xlfn.XLOOKUP(AX$1,generator!$B$2:$B$295,generator!$K$2:$K$295,"ARGH")</f>
        <v>0</v>
      </c>
      <c r="AY40" s="3">
        <f>_xlfn.XLOOKUP(AY$1,generator!$B$2:$B$295,generator!$K$2:$K$295,"ARGH")</f>
        <v>0</v>
      </c>
      <c r="AZ40" s="3">
        <f>_xlfn.XLOOKUP(AZ$1,generator!$B$2:$B$295,generator!$K$2:$K$295,"ARGH")</f>
        <v>0</v>
      </c>
      <c r="BA40" s="3">
        <f>_xlfn.XLOOKUP(BA$1,generator!$B$2:$B$295,generator!$K$2:$K$295,"ARGH")</f>
        <v>0</v>
      </c>
      <c r="BB40" s="3">
        <f>_xlfn.XLOOKUP(BB$1,generator!$B$2:$B$295,generator!$K$2:$K$295,"ARGH")</f>
        <v>0</v>
      </c>
      <c r="BC40" s="3">
        <f>_xlfn.XLOOKUP(BC$1,generator!$B$2:$B$295,generator!$K$2:$K$295,"ARGH")</f>
        <v>0</v>
      </c>
      <c r="BD40" s="3">
        <f>_xlfn.XLOOKUP(BD$1,generator!$B$2:$B$295,generator!$K$2:$K$295,"ARGH")</f>
        <v>0</v>
      </c>
      <c r="BE40" s="3">
        <f>_xlfn.XLOOKUP(BE$1,generator!$B$2:$B$295,generator!$K$2:$K$295,"ARGH")</f>
        <v>0</v>
      </c>
      <c r="BF40" s="3">
        <f>_xlfn.XLOOKUP(BF$1,generator!$B$2:$B$295,generator!$K$2:$K$295,"ARGH")</f>
        <v>0</v>
      </c>
      <c r="BG40" s="3">
        <f>_xlfn.XLOOKUP(BG$1,generator!$B$2:$B$295,generator!$K$2:$K$295,"ARGH")</f>
        <v>0</v>
      </c>
      <c r="BH40" s="3">
        <f>_xlfn.XLOOKUP(BH$1,generator!$B$2:$B$295,generator!$K$2:$K$295,"ARGH")</f>
        <v>0</v>
      </c>
      <c r="BI40" s="3">
        <f>_xlfn.XLOOKUP(BI$1,generator!$B$2:$B$295,generator!$K$2:$K$295,"ARGH")</f>
        <v>0</v>
      </c>
      <c r="BJ40" s="3">
        <f>_xlfn.XLOOKUP(BJ$1,generator!$B$2:$B$295,generator!$K$2:$K$295,"ARGH")</f>
        <v>0</v>
      </c>
      <c r="BK40" s="3">
        <f>_xlfn.XLOOKUP(BK$1,generator!$B$2:$B$295,generator!$K$2:$K$295,"ARGH")</f>
        <v>0</v>
      </c>
      <c r="BL40" s="3">
        <f>_xlfn.XLOOKUP(BL$1,generator!$B$2:$B$295,generator!$K$2:$K$295,"ARGH")</f>
        <v>0</v>
      </c>
      <c r="BM40" s="3">
        <f>_xlfn.XLOOKUP(BM$1,generator!$B$2:$B$295,generator!$K$2:$K$295,"ARGH")</f>
        <v>0</v>
      </c>
      <c r="BN40" s="3">
        <f>_xlfn.XLOOKUP(BN$1,generator!$B$2:$B$295,generator!$K$2:$K$295,"ARGH")</f>
        <v>0</v>
      </c>
      <c r="BO40" s="3">
        <f>_xlfn.XLOOKUP(BO$1,generator!$B$2:$B$295,generator!$K$2:$K$295,"ARGH")</f>
        <v>0</v>
      </c>
      <c r="BP40" s="3">
        <f>_xlfn.XLOOKUP(BP$1,generator!$B$2:$B$295,generator!$K$2:$K$295,"ARGH")</f>
        <v>0</v>
      </c>
      <c r="BQ40" s="3">
        <f>_xlfn.XLOOKUP(BQ$1,generator!$B$2:$B$295,generator!$K$2:$K$295,"ARGH")</f>
        <v>0</v>
      </c>
      <c r="BR40" s="3">
        <f>_xlfn.XLOOKUP(BR$1,generator!$B$2:$B$295,generator!$K$2:$K$295,"ARGH")</f>
        <v>0</v>
      </c>
      <c r="BS40" s="3">
        <f>_xlfn.XLOOKUP(BS$1,generator!$B$2:$B$295,generator!$K$2:$K$295,"ARGH")</f>
        <v>0</v>
      </c>
      <c r="BT40" s="3">
        <f>_xlfn.XLOOKUP(BT$1,generator!$B$2:$B$295,generator!$K$2:$K$295,"ARGH")</f>
        <v>0</v>
      </c>
      <c r="BU40" s="3">
        <f>_xlfn.XLOOKUP(BU$1,generator!$B$2:$B$295,generator!$K$2:$K$295,"ARGH")</f>
        <v>0</v>
      </c>
      <c r="BV40" s="3">
        <f>_xlfn.XLOOKUP(BV$1,generator!$B$2:$B$295,generator!$K$2:$K$295,"ARGH")</f>
        <v>0</v>
      </c>
      <c r="BW40" s="3">
        <f>_xlfn.XLOOKUP(BW$1,generator!$B$2:$B$295,generator!$K$2:$K$295,"ARGH")</f>
        <v>0</v>
      </c>
      <c r="BX40" s="3">
        <f>_xlfn.XLOOKUP(BX$1,generator!$B$2:$B$295,generator!$K$2:$K$295,"ARGH")</f>
        <v>0</v>
      </c>
      <c r="BY40" s="3">
        <f>_xlfn.XLOOKUP(BY$1,generator!$B$2:$B$295,generator!$K$2:$K$295,"ARGH")</f>
        <v>0</v>
      </c>
      <c r="BZ40" s="3">
        <f>_xlfn.XLOOKUP(BZ$1,generator!$B$2:$B$295,generator!$K$2:$K$295,"ARGH")</f>
        <v>0</v>
      </c>
      <c r="CA40" s="3">
        <f>_xlfn.XLOOKUP(CA$1,generator!$B$2:$B$295,generator!$K$2:$K$295,"ARGH")</f>
        <v>0</v>
      </c>
      <c r="CB40" s="3">
        <f>_xlfn.XLOOKUP(CB$1,generator!$B$2:$B$295,generator!$K$2:$K$295,"ARGH")</f>
        <v>0</v>
      </c>
      <c r="CC40" s="3">
        <f>_xlfn.XLOOKUP(CC$1,generator!$B$2:$B$295,generator!$K$2:$K$295,"ARGH")</f>
        <v>0</v>
      </c>
      <c r="CD40" s="3">
        <f>_xlfn.XLOOKUP(CD$1,generator!$B$2:$B$295,generator!$K$2:$K$295,"ARGH")</f>
        <v>0</v>
      </c>
      <c r="CE40" s="3">
        <f>_xlfn.XLOOKUP(CE$1,generator!$B$2:$B$295,generator!$K$2:$K$295,"ARGH")</f>
        <v>0</v>
      </c>
      <c r="CF40" s="3">
        <f>_xlfn.XLOOKUP(CF$1,generator!$B$2:$B$295,generator!$K$2:$K$295,"ARGH")</f>
        <v>0</v>
      </c>
      <c r="CG40" s="3">
        <f>_xlfn.XLOOKUP(CG$1,generator!$B$2:$B$295,generator!$K$2:$K$295,"ARGH")</f>
        <v>0</v>
      </c>
      <c r="CH40" s="3">
        <f>_xlfn.XLOOKUP(CH$1,generator!$B$2:$B$295,generator!$K$2:$K$295,"ARGH")</f>
        <v>0</v>
      </c>
      <c r="CI40" s="3">
        <f>_xlfn.XLOOKUP(CI$1,generator!$B$2:$B$295,generator!$K$2:$K$295,"ARGH")</f>
        <v>0</v>
      </c>
      <c r="CJ40" s="3">
        <f>_xlfn.XLOOKUP(CJ$1,generator!$B$2:$B$295,generator!$K$2:$K$295,"ARGH")</f>
        <v>0</v>
      </c>
      <c r="CK40" s="3">
        <f>_xlfn.XLOOKUP(CK$1,generator!$B$2:$B$295,generator!$K$2:$K$295,"ARGH")</f>
        <v>0</v>
      </c>
      <c r="CL40" s="3">
        <f>_xlfn.XLOOKUP(CL$1,generator!$B$2:$B$295,generator!$K$2:$K$295,"ARGH")</f>
        <v>0</v>
      </c>
      <c r="CM40" s="3">
        <f>_xlfn.XLOOKUP(CM$1,generator!$B$2:$B$295,generator!$K$2:$K$295,"ARGH")</f>
        <v>0</v>
      </c>
      <c r="CN40" s="3">
        <f>_xlfn.XLOOKUP(CN$1,generator!$B$2:$B$295,generator!$K$2:$K$295,"ARGH")</f>
        <v>0</v>
      </c>
      <c r="CO40" s="3">
        <f>_xlfn.XLOOKUP(CO$1,generator!$B$2:$B$295,generator!$K$2:$K$295,"ARGH")</f>
        <v>0</v>
      </c>
      <c r="CP40" s="3">
        <f>_xlfn.XLOOKUP(CP$1,generator!$B$2:$B$295,generator!$K$2:$K$295,"ARGH")</f>
        <v>0</v>
      </c>
      <c r="CQ40" s="3">
        <f>_xlfn.XLOOKUP(CQ$1,generator!$B$2:$B$295,generator!$K$2:$K$295,"ARGH")</f>
        <v>0</v>
      </c>
      <c r="CR40" s="3">
        <f>_xlfn.XLOOKUP(CR$1,generator!$B$2:$B$295,generator!$K$2:$K$295,"ARGH")</f>
        <v>0</v>
      </c>
      <c r="CS40" s="3">
        <f>_xlfn.XLOOKUP(CS$1,generator!$B$2:$B$295,generator!$K$2:$K$295,"ARGH")</f>
        <v>0</v>
      </c>
      <c r="CT40" s="3">
        <f>_xlfn.XLOOKUP(CT$1,generator!$B$2:$B$295,generator!$K$2:$K$295,"ARGH")</f>
        <v>0</v>
      </c>
      <c r="CU40" s="3">
        <f>_xlfn.XLOOKUP(CU$1,generator!$B$2:$B$295,generator!$K$2:$K$295,"ARGH")</f>
        <v>0</v>
      </c>
      <c r="CV40" s="3">
        <f>_xlfn.XLOOKUP(CV$1,generator!$B$2:$B$295,generator!$K$2:$K$295,"ARGH")</f>
        <v>0</v>
      </c>
      <c r="CW40" s="3">
        <f>_xlfn.XLOOKUP(CW$1,generator!$B$2:$B$295,generator!$K$2:$K$295,"ARGH")</f>
        <v>0</v>
      </c>
      <c r="CX40" s="3">
        <f>_xlfn.XLOOKUP(CX$1,generator!$B$2:$B$295,generator!$K$2:$K$295,"ARGH")</f>
        <v>0</v>
      </c>
      <c r="CY40" s="3">
        <f>_xlfn.XLOOKUP(CY$1,generator!$B$2:$B$295,generator!$K$2:$K$295,"ARGH")</f>
        <v>0</v>
      </c>
      <c r="CZ40" s="3">
        <f>_xlfn.XLOOKUP(CZ$1,generator!$B$2:$B$295,generator!$K$2:$K$295,"ARGH")</f>
        <v>0</v>
      </c>
      <c r="DA40" s="3">
        <f>_xlfn.XLOOKUP(DA$1,generator!$B$2:$B$295,generator!$K$2:$K$295,"ARGH")</f>
        <v>0</v>
      </c>
      <c r="DB40" s="3">
        <f>_xlfn.XLOOKUP(DB$1,generator!$B$2:$B$295,generator!$K$2:$K$295,"ARGH")</f>
        <v>0</v>
      </c>
      <c r="DC40" s="3">
        <f>_xlfn.XLOOKUP(DC$1,generator!$B$2:$B$295,generator!$K$2:$K$295,"ARGH")</f>
        <v>0</v>
      </c>
      <c r="DD40" s="3">
        <f>_xlfn.XLOOKUP(DD$1,generator!$B$2:$B$295,generator!$K$2:$K$295,"ARGH")</f>
        <v>0</v>
      </c>
      <c r="DE40" s="3">
        <f>_xlfn.XLOOKUP(DE$1,generator!$B$2:$B$295,generator!$K$2:$K$295,"ARGH")</f>
        <v>0</v>
      </c>
      <c r="DF40" s="3">
        <f>_xlfn.XLOOKUP(DF$1,generator!$B$2:$B$295,generator!$K$2:$K$295,"ARGH")</f>
        <v>0</v>
      </c>
      <c r="DG40" s="3">
        <f>_xlfn.XLOOKUP(DG$1,generator!$B$2:$B$295,generator!$K$2:$K$295,"ARGH")</f>
        <v>0</v>
      </c>
      <c r="DH40" s="3">
        <f>_xlfn.XLOOKUP(DH$1,generator!$B$2:$B$295,generator!$K$2:$K$295,"ARGH")</f>
        <v>0</v>
      </c>
      <c r="DI40" s="3">
        <f>_xlfn.XLOOKUP(DI$1,generator!$B$2:$B$295,generator!$K$2:$K$295,"ARGH")</f>
        <v>0</v>
      </c>
      <c r="DJ40" s="3">
        <f>_xlfn.XLOOKUP(DJ$1,generator!$B$2:$B$295,generator!$K$2:$K$295,"ARGH")</f>
        <v>0</v>
      </c>
      <c r="DK40" s="3">
        <f>_xlfn.XLOOKUP(DK$1,generator!$B$2:$B$295,generator!$K$2:$K$295,"ARGH")</f>
        <v>0</v>
      </c>
      <c r="DL40" s="3">
        <f>_xlfn.XLOOKUP(DL$1,generator!$B$2:$B$295,generator!$K$2:$K$295,"ARGH")</f>
        <v>0</v>
      </c>
      <c r="DM40" s="3">
        <f>_xlfn.XLOOKUP(DM$1,generator!$B$2:$B$295,generator!$K$2:$K$295,"ARGH")</f>
        <v>0</v>
      </c>
      <c r="DN40" s="3">
        <f>_xlfn.XLOOKUP(DN$1,generator!$B$2:$B$295,generator!$K$2:$K$295,"ARGH")</f>
        <v>0</v>
      </c>
      <c r="DO40" s="3">
        <f>_xlfn.XLOOKUP(DO$1,generator!$B$2:$B$295,generator!$K$2:$K$295,"ARGH")</f>
        <v>0</v>
      </c>
      <c r="DP40" s="3">
        <f>_xlfn.XLOOKUP(DP$1,generator!$B$2:$B$295,generator!$K$2:$K$295,"ARGH")</f>
        <v>0</v>
      </c>
      <c r="DQ40" s="3">
        <f>_xlfn.XLOOKUP(DQ$1,generator!$B$2:$B$295,generator!$K$2:$K$295,"ARGH")</f>
        <v>0</v>
      </c>
      <c r="DR40" s="3">
        <f>_xlfn.XLOOKUP(DR$1,generator!$B$2:$B$295,generator!$K$2:$K$295,"ARGH")</f>
        <v>0</v>
      </c>
      <c r="DS40" s="3">
        <f>_xlfn.XLOOKUP(DS$1,generator!$B$2:$B$295,generator!$K$2:$K$295,"ARGH")</f>
        <v>0</v>
      </c>
      <c r="DT40" s="3">
        <f>_xlfn.XLOOKUP(DT$1,generator!$B$2:$B$295,generator!$K$2:$K$295,"ARGH")</f>
        <v>0</v>
      </c>
      <c r="DU40" s="3">
        <f>_xlfn.XLOOKUP(DU$1,generator!$B$2:$B$295,generator!$K$2:$K$295,"ARGH")</f>
        <v>0</v>
      </c>
      <c r="DV40" s="3">
        <f>_xlfn.XLOOKUP(DV$1,generator!$B$2:$B$295,generator!$K$2:$K$295,"ARGH")</f>
        <v>0</v>
      </c>
      <c r="DW40" s="3">
        <f>_xlfn.XLOOKUP(DW$1,generator!$B$2:$B$295,generator!$K$2:$K$295,"ARGH")</f>
        <v>0</v>
      </c>
      <c r="DX40" s="3">
        <f>_xlfn.XLOOKUP(DX$1,generator!$B$2:$B$295,generator!$K$2:$K$295,"ARGH")</f>
        <v>0</v>
      </c>
      <c r="DY40" s="3">
        <f>_xlfn.XLOOKUP(DY$1,generator!$B$2:$B$295,generator!$K$2:$K$295,"ARGH")</f>
        <v>0</v>
      </c>
      <c r="DZ40" s="3">
        <f>_xlfn.XLOOKUP(DZ$1,generator!$B$2:$B$295,generator!$K$2:$K$295,"ARGH")</f>
        <v>0</v>
      </c>
      <c r="EA40" s="3">
        <f>_xlfn.XLOOKUP(EA$1,generator!$B$2:$B$295,generator!$K$2:$K$295,"ARGH")</f>
        <v>0</v>
      </c>
      <c r="EB40" s="3">
        <f>_xlfn.XLOOKUP(EB$1,generator!$B$2:$B$295,generator!$K$2:$K$295,"ARGH")</f>
        <v>0</v>
      </c>
      <c r="EC40" s="3">
        <f>_xlfn.XLOOKUP(EC$1,generator!$B$2:$B$295,generator!$K$2:$K$295,"ARGH")</f>
        <v>0</v>
      </c>
      <c r="ED40" s="3">
        <f>_xlfn.XLOOKUP(ED$1,generator!$B$2:$B$295,generator!$K$2:$K$295,"ARGH")</f>
        <v>0</v>
      </c>
      <c r="EE40" s="3">
        <f>_xlfn.XLOOKUP(EE$1,generator!$B$2:$B$295,generator!$K$2:$K$295,"ARGH")</f>
        <v>0</v>
      </c>
      <c r="EF40" s="3">
        <f>_xlfn.XLOOKUP(EF$1,generator!$B$2:$B$295,generator!$K$2:$K$295,"ARGH")</f>
        <v>0</v>
      </c>
      <c r="EG40" s="3">
        <f>_xlfn.XLOOKUP(EG$1,generator!$B$2:$B$295,generator!$K$2:$K$295,"ARGH")</f>
        <v>0</v>
      </c>
      <c r="EH40" s="3">
        <f>_xlfn.XLOOKUP(EH$1,generator!$B$2:$B$295,generator!$K$2:$K$295,"ARGH")</f>
        <v>0</v>
      </c>
      <c r="EI40" s="3">
        <f>_xlfn.XLOOKUP(EI$1,generator!$B$2:$B$295,generator!$K$2:$K$295,"ARGH")</f>
        <v>0</v>
      </c>
      <c r="EJ40" s="3">
        <f>_xlfn.XLOOKUP(EJ$1,generator!$B$2:$B$295,generator!$K$2:$K$295,"ARGH")</f>
        <v>0</v>
      </c>
      <c r="EK40" s="3">
        <f>_xlfn.XLOOKUP(EK$1,generator!$B$2:$B$295,generator!$K$2:$K$295,"ARGH")</f>
        <v>0</v>
      </c>
      <c r="EL40" s="3">
        <f>_xlfn.XLOOKUP(EL$1,generator!$B$2:$B$295,generator!$K$2:$K$295,"ARGH")</f>
        <v>0</v>
      </c>
      <c r="EM40" s="3">
        <f>_xlfn.XLOOKUP(EM$1,generator!$B$2:$B$295,generator!$K$2:$K$295,"ARGH")</f>
        <v>0</v>
      </c>
      <c r="EN40" s="3">
        <f>_xlfn.XLOOKUP(EN$1,generator!$B$2:$B$295,generator!$K$2:$K$295,"ARGH")</f>
        <v>0</v>
      </c>
      <c r="EO40" s="3">
        <f>_xlfn.XLOOKUP(EO$1,generator!$B$2:$B$295,generator!$K$2:$K$295,"ARGH")</f>
        <v>0</v>
      </c>
      <c r="EP40" s="3">
        <f>_xlfn.XLOOKUP(EP$1,generator!$B$2:$B$295,generator!$K$2:$K$295,"ARGH")</f>
        <v>0</v>
      </c>
      <c r="EQ40" s="3">
        <f>_xlfn.XLOOKUP(EQ$1,generator!$B$2:$B$295,generator!$K$2:$K$295,"ARGH")</f>
        <v>0</v>
      </c>
      <c r="ER40" s="3">
        <f>_xlfn.XLOOKUP(ER$1,generator!$B$2:$B$295,generator!$K$2:$K$295,"ARGH")</f>
        <v>0</v>
      </c>
      <c r="ES40" s="3">
        <f>_xlfn.XLOOKUP(ES$1,generator!$B$2:$B$295,generator!$K$2:$K$295,"ARGH")</f>
        <v>0</v>
      </c>
      <c r="ET40" s="3">
        <f>_xlfn.XLOOKUP(ET$1,generator!$B$2:$B$295,generator!$K$2:$K$295,"ARGH")</f>
        <v>0</v>
      </c>
      <c r="EU40" s="3">
        <f>_xlfn.XLOOKUP(EU$1,generator!$B$2:$B$295,generator!$K$2:$K$295,"ARGH")</f>
        <v>0</v>
      </c>
      <c r="EV40" s="3">
        <f>_xlfn.XLOOKUP(EV$1,generator!$B$2:$B$295,generator!$K$2:$K$295,"ARGH")</f>
        <v>0</v>
      </c>
      <c r="EW40" s="3">
        <f>_xlfn.XLOOKUP(EW$1,generator!$B$2:$B$295,generator!$K$2:$K$295,"ARGH")</f>
        <v>0</v>
      </c>
      <c r="EX40" s="3">
        <f>_xlfn.XLOOKUP(EX$1,generator!$B$2:$B$295,generator!$K$2:$K$295,"ARGH")</f>
        <v>0</v>
      </c>
      <c r="EY40" s="3">
        <f>_xlfn.XLOOKUP(EY$1,generator!$B$2:$B$295,generator!$K$2:$K$295,"ARGH")</f>
        <v>0</v>
      </c>
      <c r="EZ40" s="3">
        <f>_xlfn.XLOOKUP(EZ$1,generator!$B$2:$B$295,generator!$K$2:$K$295,"ARGH")</f>
        <v>0</v>
      </c>
      <c r="FA40" s="3">
        <f>_xlfn.XLOOKUP(FA$1,generator!$B$2:$B$295,generator!$K$2:$K$295,"ARGH")</f>
        <v>0</v>
      </c>
      <c r="FB40" s="3">
        <f>_xlfn.XLOOKUP(FB$1,generator!$B$2:$B$295,generator!$K$2:$K$295,"ARGH")</f>
        <v>0</v>
      </c>
      <c r="FC40" s="3">
        <f>_xlfn.XLOOKUP(FC$1,generator!$B$2:$B$295,generator!$K$2:$K$295,"ARGH")</f>
        <v>0</v>
      </c>
      <c r="FD40" s="3">
        <f>_xlfn.XLOOKUP(FD$1,generator!$B$2:$B$295,generator!$K$2:$K$295,"ARGH")</f>
        <v>0</v>
      </c>
      <c r="FE40" s="3">
        <f>_xlfn.XLOOKUP(FE$1,generator!$B$2:$B$295,generator!$K$2:$K$295,"ARGH")</f>
        <v>0</v>
      </c>
      <c r="FF40" s="3">
        <f>_xlfn.XLOOKUP(FF$1,generator!$B$2:$B$295,generator!$K$2:$K$295,"ARGH")</f>
        <v>0</v>
      </c>
      <c r="FG40" s="3">
        <f>_xlfn.XLOOKUP(FG$1,generator!$B$2:$B$295,generator!$K$2:$K$295,"ARGH")</f>
        <v>0</v>
      </c>
      <c r="FH40" s="3">
        <f>_xlfn.XLOOKUP(FH$1,generator!$B$2:$B$295,generator!$K$2:$K$295,"ARGH")</f>
        <v>0</v>
      </c>
      <c r="FI40" s="3">
        <f>_xlfn.XLOOKUP(FI$1,generator!$B$2:$B$295,generator!$K$2:$K$295,"ARGH")</f>
        <v>0</v>
      </c>
      <c r="FJ40" s="3">
        <f>_xlfn.XLOOKUP(FJ$1,generator!$B$2:$B$295,generator!$K$2:$K$295,"ARGH")</f>
        <v>0</v>
      </c>
      <c r="FK40" s="3">
        <f>_xlfn.XLOOKUP(FK$1,generator!$B$2:$B$295,generator!$K$2:$K$295,"ARGH")</f>
        <v>0</v>
      </c>
      <c r="FL40" s="3">
        <f>_xlfn.XLOOKUP(FL$1,generator!$B$2:$B$295,generator!$K$2:$K$295,"ARGH")</f>
        <v>0</v>
      </c>
      <c r="FM40" s="3">
        <f>_xlfn.XLOOKUP(FM$1,generator!$B$2:$B$295,generator!$K$2:$K$295,"ARGH")</f>
        <v>0</v>
      </c>
      <c r="FN40" s="3">
        <f>_xlfn.XLOOKUP(FN$1,generator!$B$2:$B$295,generator!$K$2:$K$295,"ARGH")</f>
        <v>0</v>
      </c>
      <c r="FO40" s="3">
        <f>_xlfn.XLOOKUP(FO$1,generator!$B$2:$B$295,generator!$K$2:$K$295,"ARGH")</f>
        <v>0</v>
      </c>
      <c r="FP40" s="3">
        <f>_xlfn.XLOOKUP(FP$1,generator!$B$2:$B$295,generator!$K$2:$K$295,"ARGH")</f>
        <v>0</v>
      </c>
      <c r="FQ40" s="3">
        <f>_xlfn.XLOOKUP(FQ$1,generator!$B$2:$B$295,generator!$K$2:$K$295,"ARGH")</f>
        <v>0</v>
      </c>
      <c r="FR40" s="3">
        <f>_xlfn.XLOOKUP(FR$1,generator!$B$2:$B$295,generator!$K$2:$K$295,"ARGH")</f>
        <v>0</v>
      </c>
      <c r="FS40" s="3">
        <f>_xlfn.XLOOKUP(FS$1,generator!$B$2:$B$295,generator!$K$2:$K$295,"ARGH")</f>
        <v>0</v>
      </c>
      <c r="FT40" s="3">
        <f>_xlfn.XLOOKUP(FT$1,generator!$B$2:$B$295,generator!$K$2:$K$295,"ARGH")</f>
        <v>0</v>
      </c>
      <c r="FU40" s="3">
        <f>_xlfn.XLOOKUP(FU$1,generator!$B$2:$B$295,generator!$K$2:$K$295,"ARGH")</f>
        <v>0</v>
      </c>
      <c r="FV40" s="3">
        <f>_xlfn.XLOOKUP(FV$1,generator!$B$2:$B$295,generator!$K$2:$K$295,"ARGH")</f>
        <v>0</v>
      </c>
      <c r="FW40" s="3">
        <f>_xlfn.XLOOKUP(FW$1,generator!$B$2:$B$295,generator!$K$2:$K$295,"ARGH")</f>
        <v>0</v>
      </c>
      <c r="FX40" s="3">
        <f>_xlfn.XLOOKUP(FX$1,generator!$B$2:$B$295,generator!$K$2:$K$295,"ARGH")</f>
        <v>0</v>
      </c>
      <c r="FY40" s="3">
        <f>_xlfn.XLOOKUP(FY$1,generator!$B$2:$B$295,generator!$K$2:$K$295,"ARGH")</f>
        <v>0</v>
      </c>
      <c r="FZ40" s="3">
        <f>_xlfn.XLOOKUP(FZ$1,generator!$B$2:$B$295,generator!$K$2:$K$295,"ARGH")</f>
        <v>0</v>
      </c>
      <c r="GA40" s="3">
        <f>_xlfn.XLOOKUP(GA$1,generator!$B$2:$B$295,generator!$K$2:$K$295,"ARGH")</f>
        <v>0</v>
      </c>
      <c r="GB40" s="3">
        <f>_xlfn.XLOOKUP(GB$1,generator!$B$2:$B$295,generator!$K$2:$K$295,"ARGH")</f>
        <v>0</v>
      </c>
      <c r="GC40" s="3">
        <f>_xlfn.XLOOKUP(GC$1,generator!$B$2:$B$295,generator!$K$2:$K$295,"ARGH")</f>
        <v>0</v>
      </c>
      <c r="GD40" s="3">
        <f>_xlfn.XLOOKUP(GD$1,generator!$B$2:$B$295,generator!$K$2:$K$295,"ARGH")</f>
        <v>0</v>
      </c>
      <c r="GE40" s="3">
        <f>_xlfn.XLOOKUP(GE$1,generator!$B$2:$B$295,generator!$K$2:$K$295,"ARGH")</f>
        <v>0</v>
      </c>
      <c r="GF40" s="3">
        <f>_xlfn.XLOOKUP(GF$1,generator!$B$2:$B$295,generator!$K$2:$K$295,"ARGH")</f>
        <v>0</v>
      </c>
      <c r="GG40" s="3">
        <f>_xlfn.XLOOKUP(GG$1,generator!$B$2:$B$295,generator!$K$2:$K$295,"ARGH")</f>
        <v>0</v>
      </c>
      <c r="GH40" s="3">
        <f>_xlfn.XLOOKUP(GH$1,generator!$B$2:$B$295,generator!$K$2:$K$295,"ARGH")</f>
        <v>0</v>
      </c>
      <c r="GI40" s="3">
        <f>_xlfn.XLOOKUP(GI$1,generator!$B$2:$B$295,generator!$K$2:$K$295,"ARGH")</f>
        <v>0</v>
      </c>
      <c r="GJ40" s="3">
        <f>_xlfn.XLOOKUP(GJ$1,generator!$B$2:$B$295,generator!$K$2:$K$295,"ARGH")</f>
        <v>0</v>
      </c>
      <c r="GK40" s="3">
        <f>_xlfn.XLOOKUP(GK$1,generator!$B$2:$B$295,generator!$K$2:$K$295,"ARGH")</f>
        <v>0</v>
      </c>
      <c r="GL40" s="3">
        <f>_xlfn.XLOOKUP(GL$1,generator!$B$2:$B$295,generator!$K$2:$K$295,"ARGH")</f>
        <v>0</v>
      </c>
      <c r="GM40" s="3">
        <f>_xlfn.XLOOKUP(GM$1,generator!$B$2:$B$295,generator!$K$2:$K$295,"ARGH")</f>
        <v>0</v>
      </c>
      <c r="GN40" s="3">
        <f>_xlfn.XLOOKUP(GN$1,generator!$B$2:$B$295,generator!$K$2:$K$295,"ARGH")</f>
        <v>0</v>
      </c>
      <c r="GO40" s="3">
        <f>_xlfn.XLOOKUP(GO$1,generator!$B$2:$B$295,generator!$K$2:$K$295,"ARGH")</f>
        <v>0</v>
      </c>
      <c r="GP40" s="3">
        <f>_xlfn.XLOOKUP(GP$1,generator!$B$2:$B$295,generator!$K$2:$K$295,"ARGH")</f>
        <v>0</v>
      </c>
      <c r="GQ40" s="3">
        <f>_xlfn.XLOOKUP(GQ$1,generator!$B$2:$B$295,generator!$K$2:$K$295,"ARGH")</f>
        <v>0</v>
      </c>
      <c r="GR40" s="3">
        <f>_xlfn.XLOOKUP(GR$1,generator!$B$2:$B$295,generator!$K$2:$K$295,"ARGH")</f>
        <v>0</v>
      </c>
      <c r="GS40" s="3">
        <f>_xlfn.XLOOKUP(GS$1,generator!$B$2:$B$295,generator!$K$2:$K$295,"ARGH")</f>
        <v>0</v>
      </c>
      <c r="GT40" s="3">
        <f>_xlfn.XLOOKUP(GT$1,generator!$B$2:$B$295,generator!$K$2:$K$295,"ARGH")</f>
        <v>0</v>
      </c>
      <c r="GU40" s="3">
        <f>_xlfn.XLOOKUP(GU$1,generator!$B$2:$B$295,generator!$K$2:$K$295,"ARGH")</f>
        <v>0</v>
      </c>
      <c r="GV40" s="3">
        <f>_xlfn.XLOOKUP(GV$1,generator!$B$2:$B$295,generator!$K$2:$K$295,"ARGH")</f>
        <v>0</v>
      </c>
      <c r="GW40" s="3">
        <f>_xlfn.XLOOKUP(GW$1,generator!$B$2:$B$295,generator!$K$2:$K$295,"ARGH")</f>
        <v>0</v>
      </c>
      <c r="GX40" s="3">
        <f>_xlfn.XLOOKUP(GX$1,generator!$B$2:$B$295,generator!$K$2:$K$295,"ARGH")</f>
        <v>0</v>
      </c>
      <c r="GY40" s="3">
        <f>_xlfn.XLOOKUP(GY$1,generator!$B$2:$B$295,generator!$K$2:$K$295,"ARGH")</f>
        <v>0</v>
      </c>
      <c r="GZ40" s="3">
        <f>_xlfn.XLOOKUP(GZ$1,generator!$B$2:$B$295,generator!$K$2:$K$295,"ARGH")</f>
        <v>0</v>
      </c>
      <c r="HA40" s="3">
        <f>_xlfn.XLOOKUP(HA$1,generator!$B$2:$B$295,generator!$K$2:$K$295,"ARGH")</f>
        <v>0</v>
      </c>
      <c r="HB40" s="3">
        <f>_xlfn.XLOOKUP(HB$1,generator!$B$2:$B$295,generator!$K$2:$K$295,"ARGH")</f>
        <v>0</v>
      </c>
      <c r="HC40" s="3">
        <f>_xlfn.XLOOKUP(HC$1,generator!$B$2:$B$295,generator!$K$2:$K$295,"ARGH")</f>
        <v>0</v>
      </c>
      <c r="HD40" s="3">
        <f>_xlfn.XLOOKUP(HD$1,generator!$B$2:$B$295,generator!$K$2:$K$295,"ARGH")</f>
        <v>0</v>
      </c>
      <c r="HE40" s="3">
        <f>_xlfn.XLOOKUP(HE$1,generator!$B$2:$B$295,generator!$K$2:$K$295,"ARGH")</f>
        <v>12.74</v>
      </c>
      <c r="HF40" s="3">
        <f>_xlfn.XLOOKUP(HF$1,generator!$B$2:$B$295,generator!$K$2:$K$295,"ARGH")</f>
        <v>99</v>
      </c>
      <c r="HG40" s="3">
        <f>_xlfn.XLOOKUP(HG$1,generator!$B$2:$B$295,generator!$K$2:$K$295,"ARGH")</f>
        <v>99</v>
      </c>
      <c r="HH40" s="3">
        <f>_xlfn.XLOOKUP(HH$1,generator!$B$2:$B$295,generator!$K$2:$K$295,"ARGH")</f>
        <v>99</v>
      </c>
      <c r="HI40" s="3">
        <f>_xlfn.XLOOKUP(HI$1,generator!$B$2:$B$295,generator!$K$2:$K$295,"ARGH")</f>
        <v>8</v>
      </c>
      <c r="HJ40" s="3">
        <f>_xlfn.XLOOKUP(HJ$1,generator!$B$2:$B$295,generator!$K$2:$K$295,"ARGH")</f>
        <v>8</v>
      </c>
      <c r="HK40" s="3">
        <f>_xlfn.XLOOKUP(HK$1,generator!$B$2:$B$295,generator!$K$2:$K$295,"ARGH")</f>
        <v>8</v>
      </c>
      <c r="HL40" s="3">
        <f>_xlfn.XLOOKUP(HL$1,generator!$B$2:$B$295,generator!$K$2:$K$295,"ARGH")</f>
        <v>20</v>
      </c>
      <c r="HM40" s="3">
        <f>_xlfn.XLOOKUP(HM$1,generator!$B$2:$B$295,generator!$K$2:$K$295,"ARGH")</f>
        <v>20</v>
      </c>
      <c r="HN40" s="3">
        <f>_xlfn.XLOOKUP(HN$1,generator!$B$2:$B$295,generator!$K$2:$K$295,"ARGH")</f>
        <v>5</v>
      </c>
      <c r="HO40" s="3">
        <f>_xlfn.XLOOKUP(HO$1,generator!$B$2:$B$295,generator!$K$2:$K$295,"ARGH")</f>
        <v>5</v>
      </c>
      <c r="HP40" s="3">
        <f>_xlfn.XLOOKUP(HP$1,generator!$B$2:$B$295,generator!$K$2:$K$295,"ARGH")</f>
        <v>0.2</v>
      </c>
      <c r="HQ40" s="3">
        <f>_xlfn.XLOOKUP(HQ$1,generator!$B$2:$B$295,generator!$K$2:$K$295,"ARGH")</f>
        <v>5</v>
      </c>
      <c r="HR40" s="3">
        <f>_xlfn.XLOOKUP(HR$1,generator!$B$2:$B$295,generator!$K$2:$K$295,"ARGH")</f>
        <v>5</v>
      </c>
      <c r="HS40" s="3">
        <f>_xlfn.XLOOKUP(HS$1,generator!$B$2:$B$295,generator!$K$2:$K$295,"ARGH")</f>
        <v>12.82</v>
      </c>
      <c r="HT40" s="3">
        <f>_xlfn.XLOOKUP(HT$1,generator!$B$2:$B$295,generator!$K$2:$K$295,"ARGH")</f>
        <v>12.82</v>
      </c>
      <c r="HU40" s="3">
        <f>_xlfn.XLOOKUP(HU$1,generator!$B$2:$B$295,generator!$K$2:$K$295,"ARGH")</f>
        <v>25</v>
      </c>
      <c r="HV40" s="3">
        <f>_xlfn.XLOOKUP(HV$1,generator!$B$2:$B$295,generator!$K$2:$K$295,"ARGH")</f>
        <v>16</v>
      </c>
      <c r="HW40" s="3">
        <f>_xlfn.XLOOKUP(HW$1,generator!$B$2:$B$295,generator!$K$2:$K$295,"ARGH")</f>
        <v>5</v>
      </c>
      <c r="HX40" s="3">
        <f>_xlfn.XLOOKUP(HX$1,generator!$B$2:$B$295,generator!$K$2:$K$295,"ARGH")</f>
        <v>5</v>
      </c>
      <c r="HY40" s="3">
        <f>_xlfn.XLOOKUP(HY$1,generator!$B$2:$B$295,generator!$K$2:$K$295,"ARGH")</f>
        <v>63</v>
      </c>
      <c r="HZ40" s="3">
        <f>_xlfn.XLOOKUP(HZ$1,generator!$B$2:$B$295,generator!$K$2:$K$295,"ARGH")</f>
        <v>18</v>
      </c>
      <c r="IA40" s="3">
        <f>_xlfn.XLOOKUP(IA$1,generator!$B$2:$B$295,generator!$K$2:$K$295,"ARGH")</f>
        <v>121</v>
      </c>
      <c r="IB40" s="3">
        <f>_xlfn.XLOOKUP(IB$1,generator!$B$2:$B$295,generator!$K$2:$K$295,"ARGH")</f>
        <v>120</v>
      </c>
      <c r="IC40" s="3">
        <f>_xlfn.XLOOKUP(IC$1,generator!$B$2:$B$295,generator!$K$2:$K$295,"ARGH")</f>
        <v>0</v>
      </c>
      <c r="ID40" s="3">
        <f>_xlfn.XLOOKUP(ID$1,generator!$B$2:$B$295,generator!$K$2:$K$295,"ARGH")</f>
        <v>17</v>
      </c>
      <c r="IE40" s="3">
        <f>_xlfn.XLOOKUP(IE$1,generator!$B$2:$B$295,generator!$K$2:$K$295,"ARGH")</f>
        <v>194</v>
      </c>
      <c r="IF40" s="3">
        <f>_xlfn.XLOOKUP(IF$1,generator!$B$2:$B$295,generator!$K$2:$K$295,"ARGH")</f>
        <v>11.9</v>
      </c>
      <c r="IG40" s="3">
        <f>_xlfn.XLOOKUP(IG$1,generator!$B$2:$B$295,generator!$K$2:$K$295,"ARGH")</f>
        <v>11.9</v>
      </c>
      <c r="IH40" s="3">
        <f>_xlfn.XLOOKUP(IH$1,generator!$B$2:$B$295,generator!$K$2:$K$295,"ARGH")</f>
        <v>11.9</v>
      </c>
      <c r="II40" s="3">
        <f>_xlfn.XLOOKUP(II$1,generator!$B$2:$B$295,generator!$K$2:$K$295,"ARGH")</f>
        <v>11.9</v>
      </c>
      <c r="IJ40" s="3">
        <f>_xlfn.XLOOKUP(IJ$1,generator!$B$2:$B$295,generator!$K$2:$K$295,"ARGH")</f>
        <v>0</v>
      </c>
      <c r="IK40" s="3">
        <f>_xlfn.XLOOKUP(IK$1,generator!$B$2:$B$295,generator!$K$2:$K$295,"ARGH")</f>
        <v>3</v>
      </c>
      <c r="IL40" s="3">
        <f>_xlfn.XLOOKUP(IL$1,generator!$B$2:$B$295,generator!$K$2:$K$295,"ARGH")</f>
        <v>5</v>
      </c>
      <c r="IM40" s="3">
        <f>_xlfn.XLOOKUP(IM$1,generator!$B$2:$B$295,generator!$K$2:$K$295,"ARGH")</f>
        <v>5</v>
      </c>
      <c r="IN40" s="3">
        <f>_xlfn.XLOOKUP(IN$1,generator!$B$2:$B$295,generator!$K$2:$K$295,"ARGH")</f>
        <v>4</v>
      </c>
      <c r="IO40" s="3">
        <f>_xlfn.XLOOKUP(IO$1,generator!$B$2:$B$295,generator!$K$2:$K$295,"ARGH")</f>
        <v>4</v>
      </c>
      <c r="IP40" s="3">
        <f>_xlfn.XLOOKUP(IP$1,generator!$B$2:$B$295,generator!$K$2:$K$295,"ARGH")</f>
        <v>3</v>
      </c>
      <c r="IQ40" s="3">
        <f>_xlfn.XLOOKUP(IQ$1,generator!$B$2:$B$295,generator!$K$2:$K$295,"ARGH")</f>
        <v>1</v>
      </c>
      <c r="IR40" s="3">
        <f>_xlfn.XLOOKUP(IR$1,generator!$B$2:$B$295,generator!$K$2:$K$295,"ARGH")</f>
        <v>3</v>
      </c>
      <c r="IS40" s="3">
        <f>_xlfn.XLOOKUP(IS$1,generator!$B$2:$B$295,generator!$K$2:$K$295,"ARGH")</f>
        <v>3</v>
      </c>
      <c r="IT40" s="3">
        <f>_xlfn.XLOOKUP(IT$1,generator!$B$2:$B$295,generator!$K$2:$K$295,"ARGH")</f>
        <v>0</v>
      </c>
      <c r="IU40" s="3">
        <f>_xlfn.XLOOKUP(IU$1,generator!$B$2:$B$295,generator!$K$2:$K$295,"ARGH")</f>
        <v>3.99</v>
      </c>
      <c r="IV40" s="3">
        <f>_xlfn.XLOOKUP(IV$1,generator!$B$2:$B$295,generator!$K$2:$K$295,"ARGH")</f>
        <v>0.2</v>
      </c>
      <c r="IW40" s="3">
        <f>_xlfn.XLOOKUP(IW$1,generator!$B$2:$B$295,generator!$K$2:$K$295,"ARGH")</f>
        <v>15</v>
      </c>
      <c r="IX40" s="3">
        <f>_xlfn.XLOOKUP(IX$1,generator!$B$2:$B$295,generator!$K$2:$K$295,"ARGH")</f>
        <v>15</v>
      </c>
      <c r="IY40" s="3">
        <f>_xlfn.XLOOKUP(IY$1,generator!$B$2:$B$295,generator!$K$2:$K$295,"ARGH")</f>
        <v>15</v>
      </c>
      <c r="IZ40" s="3">
        <f>_xlfn.XLOOKUP(IZ$1,generator!$B$2:$B$295,generator!$K$2:$K$295,"ARGH")</f>
        <v>120</v>
      </c>
      <c r="JA40" s="3">
        <f>_xlfn.XLOOKUP(JA$1,generator!$B$2:$B$295,generator!$K$2:$K$295,"ARGH")</f>
        <v>40</v>
      </c>
      <c r="JB40" s="3">
        <f>_xlfn.XLOOKUP(JB$1,generator!$B$2:$B$295,generator!$K$2:$K$295,"ARGH")</f>
        <v>40</v>
      </c>
      <c r="JC40" s="3">
        <f>_xlfn.XLOOKUP(JC$1,generator!$B$2:$B$295,generator!$K$2:$K$295,"ARGH")</f>
        <v>113</v>
      </c>
      <c r="JD40" s="3">
        <f>_xlfn.XLOOKUP(JD$1,generator!$B$2:$B$295,generator!$K$2:$K$295,"ARGH")</f>
        <v>113</v>
      </c>
      <c r="JE40" s="3">
        <f>_xlfn.XLOOKUP(JE$1,generator!$B$2:$B$295,generator!$K$2:$K$295,"ARGH")</f>
        <v>211</v>
      </c>
      <c r="JF40" s="3">
        <f>_xlfn.XLOOKUP(JF$1,generator!$B$2:$B$295,generator!$K$2:$K$295,"ARGH")</f>
        <v>22.5</v>
      </c>
      <c r="JG40" s="3">
        <f>_xlfn.XLOOKUP(JG$1,generator!$B$2:$B$295,generator!$K$2:$K$295,"ARGH")</f>
        <v>1</v>
      </c>
      <c r="JH40" s="3">
        <f>_xlfn.XLOOKUP(JH$1,generator!$B$2:$B$295,generator!$K$2:$K$295,"ARGH")</f>
        <v>160</v>
      </c>
      <c r="JI40" s="3">
        <f>_xlfn.XLOOKUP(JI$1,generator!$B$2:$B$295,generator!$K$2:$K$295,"ARGH")</f>
        <v>165</v>
      </c>
      <c r="JJ40" s="3">
        <f>_xlfn.XLOOKUP(JJ$1,generator!$B$2:$B$295,generator!$K$2:$K$295,"ARGH")</f>
        <v>4.5999999999999996</v>
      </c>
      <c r="JK40" s="3">
        <f>_xlfn.XLOOKUP(JK$1,generator!$B$2:$B$295,generator!$K$2:$K$295,"ARGH")</f>
        <v>4.5999999999999996</v>
      </c>
      <c r="JL40" s="3">
        <f>_xlfn.XLOOKUP(JL$1,generator!$B$2:$B$295,generator!$K$2:$K$295,"ARGH")</f>
        <v>4.5999999999999996</v>
      </c>
      <c r="JM40" s="3">
        <f>_xlfn.XLOOKUP(JM$1,generator!$B$2:$B$295,generator!$K$2:$K$295,"ARGH")</f>
        <v>4.5999999999999996</v>
      </c>
      <c r="JN40" s="3">
        <f>_xlfn.XLOOKUP(JN$1,generator!$B$2:$B$295,generator!$K$2:$K$295,"ARGH")</f>
        <v>4.5999999999999996</v>
      </c>
      <c r="JO40" s="3">
        <f>_xlfn.XLOOKUP(JO$1,generator!$B$2:$B$295,generator!$K$2:$K$295,"ARGH")</f>
        <v>4.5999999999999996</v>
      </c>
      <c r="JP40" s="3">
        <f>_xlfn.XLOOKUP(JP$1,generator!$B$2:$B$295,generator!$K$2:$K$295,"ARGH")</f>
        <v>110</v>
      </c>
      <c r="JQ40" s="3">
        <f>_xlfn.XLOOKUP(JQ$1,generator!$B$2:$B$295,generator!$K$2:$K$295,"ARGH")</f>
        <v>22.7</v>
      </c>
      <c r="JR40" s="3">
        <f>_xlfn.XLOOKUP(JR$1,generator!$B$2:$B$295,generator!$K$2:$K$295,"ARGH")</f>
        <v>147</v>
      </c>
      <c r="JS40" s="3">
        <f>_xlfn.XLOOKUP(JS$1,generator!$B$2:$B$295,generator!$K$2:$K$295,"ARGH")</f>
        <v>147</v>
      </c>
      <c r="JT40" s="3">
        <f>_xlfn.XLOOKUP(JT$1,generator!$B$2:$B$295,generator!$K$2:$K$295,"ARGH")</f>
        <v>22.7</v>
      </c>
      <c r="JU40" s="3">
        <f>_xlfn.XLOOKUP(JU$1,generator!$B$2:$B$295,generator!$K$2:$K$295,"ARGH")</f>
        <v>21.5</v>
      </c>
      <c r="JV40" s="3">
        <f>_xlfn.XLOOKUP(JV$1,generator!$B$2:$B$295,generator!$K$2:$K$295,"ARGH")</f>
        <v>120</v>
      </c>
      <c r="JW40" s="3">
        <f>_xlfn.XLOOKUP(JW$1,generator!$B$2:$B$295,generator!$K$2:$K$295,"ARGH")</f>
        <v>120</v>
      </c>
      <c r="JX40" s="3">
        <f>_xlfn.XLOOKUP(JX$1,generator!$B$2:$B$295,generator!$K$2:$K$295,"ARGH")</f>
        <v>1</v>
      </c>
      <c r="JY40" s="3">
        <f>_xlfn.XLOOKUP(JY$1,generator!$B$2:$B$295,generator!$K$2:$K$295,"ARGH")</f>
        <v>41.15</v>
      </c>
      <c r="JZ40" s="3">
        <f>_xlfn.XLOOKUP(JZ$1,generator!$B$2:$B$295,generator!$K$2:$K$295,"ARGH")</f>
        <v>5</v>
      </c>
      <c r="KA40" s="3">
        <f>_xlfn.XLOOKUP(KA$1,generator!$B$2:$B$295,generator!$K$2:$K$295,"ARGH")</f>
        <v>5</v>
      </c>
      <c r="KB40" s="3">
        <f>_xlfn.XLOOKUP(KB$1,generator!$B$2:$B$295,generator!$K$2:$K$295,"ARGH")</f>
        <v>5</v>
      </c>
      <c r="KC40" s="3">
        <f>_xlfn.XLOOKUP(KC$1,generator!$B$2:$B$295,generator!$K$2:$K$295,"ARGH")</f>
        <v>5</v>
      </c>
    </row>
    <row r="41" spans="1:289" x14ac:dyDescent="0.3">
      <c r="A41" s="4" t="s">
        <v>3036</v>
      </c>
      <c r="B41" s="31">
        <v>530</v>
      </c>
      <c r="C41" s="31">
        <v>513</v>
      </c>
      <c r="D41" s="31">
        <v>442</v>
      </c>
      <c r="E41" s="3">
        <f>_xlfn.XLOOKUP(E$1,generator!$B$2:$B$295,generator!$K$2:$K$295,"ARGH")</f>
        <v>0</v>
      </c>
      <c r="F41" s="3">
        <f>_xlfn.XLOOKUP(F$1,generator!$B$2:$B$295,generator!$K$2:$K$295,"ARGH")</f>
        <v>0</v>
      </c>
      <c r="G41" s="3">
        <f>_xlfn.XLOOKUP(G$1,generator!$B$2:$B$295,generator!$K$2:$K$295,"ARGH")</f>
        <v>0</v>
      </c>
      <c r="H41" s="3">
        <f>_xlfn.XLOOKUP(H$1,generator!$B$2:$B$295,generator!$K$2:$K$295,"ARGH")</f>
        <v>0</v>
      </c>
      <c r="I41" s="3">
        <f>_xlfn.XLOOKUP(I$1,generator!$B$2:$B$295,generator!$K$2:$K$295,"ARGH")</f>
        <v>0</v>
      </c>
      <c r="J41" s="3">
        <f>_xlfn.XLOOKUP(J$1,generator!$B$2:$B$295,generator!$K$2:$K$295,"ARGH")</f>
        <v>0</v>
      </c>
      <c r="K41" s="3">
        <f>_xlfn.XLOOKUP(K$1,generator!$B$2:$B$295,generator!$K$2:$K$295,"ARGH")</f>
        <v>0</v>
      </c>
      <c r="L41" s="3">
        <f>_xlfn.XLOOKUP(L$1,generator!$B$2:$B$295,generator!$K$2:$K$295,"ARGH")</f>
        <v>0</v>
      </c>
      <c r="M41" s="3">
        <f>_xlfn.XLOOKUP(M$1,generator!$B$2:$B$295,generator!$K$2:$K$295,"ARGH")</f>
        <v>0</v>
      </c>
      <c r="N41" s="3">
        <f>_xlfn.XLOOKUP(N$1,generator!$B$2:$B$295,generator!$K$2:$K$295,"ARGH")</f>
        <v>0</v>
      </c>
      <c r="O41" s="3">
        <f>_xlfn.XLOOKUP(O$1,generator!$B$2:$B$295,generator!$K$2:$K$295,"ARGH")</f>
        <v>0</v>
      </c>
      <c r="P41" s="3">
        <f>_xlfn.XLOOKUP(P$1,generator!$B$2:$B$295,generator!$K$2:$K$295,"ARGH")</f>
        <v>0</v>
      </c>
      <c r="Q41" s="3">
        <f>_xlfn.XLOOKUP(Q$1,generator!$B$2:$B$295,generator!$K$2:$K$295,"ARGH")</f>
        <v>0</v>
      </c>
      <c r="R41" s="3">
        <f>_xlfn.XLOOKUP(R$1,generator!$B$2:$B$295,generator!$K$2:$K$295,"ARGH")</f>
        <v>0</v>
      </c>
      <c r="S41" s="3">
        <f>_xlfn.XLOOKUP(S$1,generator!$B$2:$B$295,generator!$K$2:$K$295,"ARGH")</f>
        <v>0</v>
      </c>
      <c r="T41" s="3">
        <f>_xlfn.XLOOKUP(T$1,generator!$B$2:$B$295,generator!$K$2:$K$295,"ARGH")</f>
        <v>0</v>
      </c>
      <c r="U41" s="3">
        <f>_xlfn.XLOOKUP(U$1,generator!$B$2:$B$295,generator!$K$2:$K$295,"ARGH")</f>
        <v>0</v>
      </c>
      <c r="V41" s="3">
        <f>_xlfn.XLOOKUP(V$1,generator!$B$2:$B$295,generator!$K$2:$K$295,"ARGH")</f>
        <v>0</v>
      </c>
      <c r="W41" s="3">
        <f>_xlfn.XLOOKUP(W$1,generator!$B$2:$B$295,generator!$K$2:$K$295,"ARGH")</f>
        <v>0</v>
      </c>
      <c r="X41" s="3">
        <f>_xlfn.XLOOKUP(X$1,generator!$B$2:$B$295,generator!$K$2:$K$295,"ARGH")</f>
        <v>0</v>
      </c>
      <c r="Y41" s="3">
        <f>_xlfn.XLOOKUP(Y$1,generator!$B$2:$B$295,generator!$K$2:$K$295,"ARGH")</f>
        <v>0</v>
      </c>
      <c r="Z41" s="3">
        <f>_xlfn.XLOOKUP(Z$1,generator!$B$2:$B$295,generator!$K$2:$K$295,"ARGH")</f>
        <v>0</v>
      </c>
      <c r="AA41" s="3">
        <f>_xlfn.XLOOKUP(AA$1,generator!$B$2:$B$295,generator!$K$2:$K$295,"ARGH")</f>
        <v>0</v>
      </c>
      <c r="AB41" s="3">
        <f>_xlfn.XLOOKUP(AB$1,generator!$B$2:$B$295,generator!$K$2:$K$295,"ARGH")</f>
        <v>0</v>
      </c>
      <c r="AC41" s="3">
        <f>_xlfn.XLOOKUP(AC$1,generator!$B$2:$B$295,generator!$K$2:$K$295,"ARGH")</f>
        <v>0</v>
      </c>
      <c r="AD41" s="3">
        <f>_xlfn.XLOOKUP(AD$1,generator!$B$2:$B$295,generator!$K$2:$K$295,"ARGH")</f>
        <v>0</v>
      </c>
      <c r="AE41" s="3">
        <f>_xlfn.XLOOKUP(AE$1,generator!$B$2:$B$295,generator!$K$2:$K$295,"ARGH")</f>
        <v>0</v>
      </c>
      <c r="AF41" s="3">
        <f>_xlfn.XLOOKUP(AF$1,generator!$B$2:$B$295,generator!$K$2:$K$295,"ARGH")</f>
        <v>0</v>
      </c>
      <c r="AG41" s="3">
        <f>_xlfn.XLOOKUP(AG$1,generator!$B$2:$B$295,generator!$K$2:$K$295,"ARGH")</f>
        <v>0</v>
      </c>
      <c r="AH41" s="3">
        <f>_xlfn.XLOOKUP(AH$1,generator!$B$2:$B$295,generator!$K$2:$K$295,"ARGH")</f>
        <v>0</v>
      </c>
      <c r="AI41" s="3">
        <f>_xlfn.XLOOKUP(AI$1,generator!$B$2:$B$295,generator!$K$2:$K$295,"ARGH")</f>
        <v>0</v>
      </c>
      <c r="AJ41" s="3">
        <f>_xlfn.XLOOKUP(AJ$1,generator!$B$2:$B$295,generator!$K$2:$K$295,"ARGH")</f>
        <v>0</v>
      </c>
      <c r="AK41" s="3">
        <f>_xlfn.XLOOKUP(AK$1,generator!$B$2:$B$295,generator!$K$2:$K$295,"ARGH")</f>
        <v>0</v>
      </c>
      <c r="AL41" s="3">
        <f>_xlfn.XLOOKUP(AL$1,generator!$B$2:$B$295,generator!$K$2:$K$295,"ARGH")</f>
        <v>0</v>
      </c>
      <c r="AM41" s="3">
        <f>_xlfn.XLOOKUP(AM$1,generator!$B$2:$B$295,generator!$K$2:$K$295,"ARGH")</f>
        <v>0</v>
      </c>
      <c r="AN41" s="3">
        <f>_xlfn.XLOOKUP(AN$1,generator!$B$2:$B$295,generator!$K$2:$K$295,"ARGH")</f>
        <v>0</v>
      </c>
      <c r="AO41" s="3">
        <f>_xlfn.XLOOKUP(AO$1,generator!$B$2:$B$295,generator!$K$2:$K$295,"ARGH")</f>
        <v>0</v>
      </c>
      <c r="AP41" s="3">
        <f>_xlfn.XLOOKUP(AP$1,generator!$B$2:$B$295,generator!$K$2:$K$295,"ARGH")</f>
        <v>0</v>
      </c>
      <c r="AQ41" s="3">
        <f>_xlfn.XLOOKUP(AQ$1,generator!$B$2:$B$295,generator!$K$2:$K$295,"ARGH")</f>
        <v>0</v>
      </c>
      <c r="AR41" s="3">
        <f>_xlfn.XLOOKUP(AR$1,generator!$B$2:$B$295,generator!$K$2:$K$295,"ARGH")</f>
        <v>0</v>
      </c>
      <c r="AS41" s="3">
        <f>_xlfn.XLOOKUP(AS$1,generator!$B$2:$B$295,generator!$K$2:$K$295,"ARGH")</f>
        <v>0</v>
      </c>
      <c r="AT41" s="3">
        <f>_xlfn.XLOOKUP(AT$1,generator!$B$2:$B$295,generator!$K$2:$K$295,"ARGH")</f>
        <v>0</v>
      </c>
      <c r="AU41" s="3">
        <f>_xlfn.XLOOKUP(AU$1,generator!$B$2:$B$295,generator!$K$2:$K$295,"ARGH")</f>
        <v>0</v>
      </c>
      <c r="AV41" s="3">
        <f>_xlfn.XLOOKUP(AV$1,generator!$B$2:$B$295,generator!$K$2:$K$295,"ARGH")</f>
        <v>0</v>
      </c>
      <c r="AW41" s="3">
        <f>_xlfn.XLOOKUP(AW$1,generator!$B$2:$B$295,generator!$K$2:$K$295,"ARGH")</f>
        <v>0</v>
      </c>
      <c r="AX41" s="3">
        <f>_xlfn.XLOOKUP(AX$1,generator!$B$2:$B$295,generator!$K$2:$K$295,"ARGH")</f>
        <v>0</v>
      </c>
      <c r="AY41" s="3">
        <f>_xlfn.XLOOKUP(AY$1,generator!$B$2:$B$295,generator!$K$2:$K$295,"ARGH")</f>
        <v>0</v>
      </c>
      <c r="AZ41" s="3">
        <f>_xlfn.XLOOKUP(AZ$1,generator!$B$2:$B$295,generator!$K$2:$K$295,"ARGH")</f>
        <v>0</v>
      </c>
      <c r="BA41" s="3">
        <f>_xlfn.XLOOKUP(BA$1,generator!$B$2:$B$295,generator!$K$2:$K$295,"ARGH")</f>
        <v>0</v>
      </c>
      <c r="BB41" s="3">
        <f>_xlfn.XLOOKUP(BB$1,generator!$B$2:$B$295,generator!$K$2:$K$295,"ARGH")</f>
        <v>0</v>
      </c>
      <c r="BC41" s="3">
        <f>_xlfn.XLOOKUP(BC$1,generator!$B$2:$B$295,generator!$K$2:$K$295,"ARGH")</f>
        <v>0</v>
      </c>
      <c r="BD41" s="3">
        <f>_xlfn.XLOOKUP(BD$1,generator!$B$2:$B$295,generator!$K$2:$K$295,"ARGH")</f>
        <v>0</v>
      </c>
      <c r="BE41" s="3">
        <f>_xlfn.XLOOKUP(BE$1,generator!$B$2:$B$295,generator!$K$2:$K$295,"ARGH")</f>
        <v>0</v>
      </c>
      <c r="BF41" s="3">
        <f>_xlfn.XLOOKUP(BF$1,generator!$B$2:$B$295,generator!$K$2:$K$295,"ARGH")</f>
        <v>0</v>
      </c>
      <c r="BG41" s="3">
        <f>_xlfn.XLOOKUP(BG$1,generator!$B$2:$B$295,generator!$K$2:$K$295,"ARGH")</f>
        <v>0</v>
      </c>
      <c r="BH41" s="3">
        <f>_xlfn.XLOOKUP(BH$1,generator!$B$2:$B$295,generator!$K$2:$K$295,"ARGH")</f>
        <v>0</v>
      </c>
      <c r="BI41" s="3">
        <f>_xlfn.XLOOKUP(BI$1,generator!$B$2:$B$295,generator!$K$2:$K$295,"ARGH")</f>
        <v>0</v>
      </c>
      <c r="BJ41" s="3">
        <f>_xlfn.XLOOKUP(BJ$1,generator!$B$2:$B$295,generator!$K$2:$K$295,"ARGH")</f>
        <v>0</v>
      </c>
      <c r="BK41" s="3">
        <f>_xlfn.XLOOKUP(BK$1,generator!$B$2:$B$295,generator!$K$2:$K$295,"ARGH")</f>
        <v>0</v>
      </c>
      <c r="BL41" s="3">
        <f>_xlfn.XLOOKUP(BL$1,generator!$B$2:$B$295,generator!$K$2:$K$295,"ARGH")</f>
        <v>0</v>
      </c>
      <c r="BM41" s="3">
        <f>_xlfn.XLOOKUP(BM$1,generator!$B$2:$B$295,generator!$K$2:$K$295,"ARGH")</f>
        <v>0</v>
      </c>
      <c r="BN41" s="3">
        <f>_xlfn.XLOOKUP(BN$1,generator!$B$2:$B$295,generator!$K$2:$K$295,"ARGH")</f>
        <v>0</v>
      </c>
      <c r="BO41" s="3">
        <f>_xlfn.XLOOKUP(BO$1,generator!$B$2:$B$295,generator!$K$2:$K$295,"ARGH")</f>
        <v>0</v>
      </c>
      <c r="BP41" s="3">
        <f>_xlfn.XLOOKUP(BP$1,generator!$B$2:$B$295,generator!$K$2:$K$295,"ARGH")</f>
        <v>0</v>
      </c>
      <c r="BQ41" s="3">
        <f>_xlfn.XLOOKUP(BQ$1,generator!$B$2:$B$295,generator!$K$2:$K$295,"ARGH")</f>
        <v>0</v>
      </c>
      <c r="BR41" s="3">
        <f>_xlfn.XLOOKUP(BR$1,generator!$B$2:$B$295,generator!$K$2:$K$295,"ARGH")</f>
        <v>0</v>
      </c>
      <c r="BS41" s="3">
        <f>_xlfn.XLOOKUP(BS$1,generator!$B$2:$B$295,generator!$K$2:$K$295,"ARGH")</f>
        <v>0</v>
      </c>
      <c r="BT41" s="3">
        <f>_xlfn.XLOOKUP(BT$1,generator!$B$2:$B$295,generator!$K$2:$K$295,"ARGH")</f>
        <v>0</v>
      </c>
      <c r="BU41" s="3">
        <f>_xlfn.XLOOKUP(BU$1,generator!$B$2:$B$295,generator!$K$2:$K$295,"ARGH")</f>
        <v>0</v>
      </c>
      <c r="BV41" s="3">
        <f>_xlfn.XLOOKUP(BV$1,generator!$B$2:$B$295,generator!$K$2:$K$295,"ARGH")</f>
        <v>0</v>
      </c>
      <c r="BW41" s="3">
        <f>_xlfn.XLOOKUP(BW$1,generator!$B$2:$B$295,generator!$K$2:$K$295,"ARGH")</f>
        <v>0</v>
      </c>
      <c r="BX41" s="3">
        <f>_xlfn.XLOOKUP(BX$1,generator!$B$2:$B$295,generator!$K$2:$K$295,"ARGH")</f>
        <v>0</v>
      </c>
      <c r="BY41" s="3">
        <f>_xlfn.XLOOKUP(BY$1,generator!$B$2:$B$295,generator!$K$2:$K$295,"ARGH")</f>
        <v>0</v>
      </c>
      <c r="BZ41" s="3">
        <f>_xlfn.XLOOKUP(BZ$1,generator!$B$2:$B$295,generator!$K$2:$K$295,"ARGH")</f>
        <v>0</v>
      </c>
      <c r="CA41" s="3">
        <f>_xlfn.XLOOKUP(CA$1,generator!$B$2:$B$295,generator!$K$2:$K$295,"ARGH")</f>
        <v>0</v>
      </c>
      <c r="CB41" s="3">
        <f>_xlfn.XLOOKUP(CB$1,generator!$B$2:$B$295,generator!$K$2:$K$295,"ARGH")</f>
        <v>0</v>
      </c>
      <c r="CC41" s="3">
        <f>_xlfn.XLOOKUP(CC$1,generator!$B$2:$B$295,generator!$K$2:$K$295,"ARGH")</f>
        <v>0</v>
      </c>
      <c r="CD41" s="3">
        <f>_xlfn.XLOOKUP(CD$1,generator!$B$2:$B$295,generator!$K$2:$K$295,"ARGH")</f>
        <v>0</v>
      </c>
      <c r="CE41" s="3">
        <f>_xlfn.XLOOKUP(CE$1,generator!$B$2:$B$295,generator!$K$2:$K$295,"ARGH")</f>
        <v>0</v>
      </c>
      <c r="CF41" s="3">
        <f>_xlfn.XLOOKUP(CF$1,generator!$B$2:$B$295,generator!$K$2:$K$295,"ARGH")</f>
        <v>0</v>
      </c>
      <c r="CG41" s="3">
        <f>_xlfn.XLOOKUP(CG$1,generator!$B$2:$B$295,generator!$K$2:$K$295,"ARGH")</f>
        <v>0</v>
      </c>
      <c r="CH41" s="3">
        <f>_xlfn.XLOOKUP(CH$1,generator!$B$2:$B$295,generator!$K$2:$K$295,"ARGH")</f>
        <v>0</v>
      </c>
      <c r="CI41" s="3">
        <f>_xlfn.XLOOKUP(CI$1,generator!$B$2:$B$295,generator!$K$2:$K$295,"ARGH")</f>
        <v>0</v>
      </c>
      <c r="CJ41" s="3">
        <f>_xlfn.XLOOKUP(CJ$1,generator!$B$2:$B$295,generator!$K$2:$K$295,"ARGH")</f>
        <v>0</v>
      </c>
      <c r="CK41" s="3">
        <f>_xlfn.XLOOKUP(CK$1,generator!$B$2:$B$295,generator!$K$2:$K$295,"ARGH")</f>
        <v>0</v>
      </c>
      <c r="CL41" s="3">
        <f>_xlfn.XLOOKUP(CL$1,generator!$B$2:$B$295,generator!$K$2:$K$295,"ARGH")</f>
        <v>0</v>
      </c>
      <c r="CM41" s="3">
        <f>_xlfn.XLOOKUP(CM$1,generator!$B$2:$B$295,generator!$K$2:$K$295,"ARGH")</f>
        <v>0</v>
      </c>
      <c r="CN41" s="3">
        <f>_xlfn.XLOOKUP(CN$1,generator!$B$2:$B$295,generator!$K$2:$K$295,"ARGH")</f>
        <v>0</v>
      </c>
      <c r="CO41" s="3">
        <f>_xlfn.XLOOKUP(CO$1,generator!$B$2:$B$295,generator!$K$2:$K$295,"ARGH")</f>
        <v>0</v>
      </c>
      <c r="CP41" s="3">
        <f>_xlfn.XLOOKUP(CP$1,generator!$B$2:$B$295,generator!$K$2:$K$295,"ARGH")</f>
        <v>0</v>
      </c>
      <c r="CQ41" s="3">
        <f>_xlfn.XLOOKUP(CQ$1,generator!$B$2:$B$295,generator!$K$2:$K$295,"ARGH")</f>
        <v>0</v>
      </c>
      <c r="CR41" s="3">
        <f>_xlfn.XLOOKUP(CR$1,generator!$B$2:$B$295,generator!$K$2:$K$295,"ARGH")</f>
        <v>0</v>
      </c>
      <c r="CS41" s="3">
        <f>_xlfn.XLOOKUP(CS$1,generator!$B$2:$B$295,generator!$K$2:$K$295,"ARGH")</f>
        <v>0</v>
      </c>
      <c r="CT41" s="3">
        <f>_xlfn.XLOOKUP(CT$1,generator!$B$2:$B$295,generator!$K$2:$K$295,"ARGH")</f>
        <v>0</v>
      </c>
      <c r="CU41" s="3">
        <f>_xlfn.XLOOKUP(CU$1,generator!$B$2:$B$295,generator!$K$2:$K$295,"ARGH")</f>
        <v>0</v>
      </c>
      <c r="CV41" s="3">
        <f>_xlfn.XLOOKUP(CV$1,generator!$B$2:$B$295,generator!$K$2:$K$295,"ARGH")</f>
        <v>0</v>
      </c>
      <c r="CW41" s="3">
        <f>_xlfn.XLOOKUP(CW$1,generator!$B$2:$B$295,generator!$K$2:$K$295,"ARGH")</f>
        <v>0</v>
      </c>
      <c r="CX41" s="3">
        <f>_xlfn.XLOOKUP(CX$1,generator!$B$2:$B$295,generator!$K$2:$K$295,"ARGH")</f>
        <v>0</v>
      </c>
      <c r="CY41" s="3">
        <f>_xlfn.XLOOKUP(CY$1,generator!$B$2:$B$295,generator!$K$2:$K$295,"ARGH")</f>
        <v>0</v>
      </c>
      <c r="CZ41" s="3">
        <f>_xlfn.XLOOKUP(CZ$1,generator!$B$2:$B$295,generator!$K$2:$K$295,"ARGH")</f>
        <v>0</v>
      </c>
      <c r="DA41" s="3">
        <f>_xlfn.XLOOKUP(DA$1,generator!$B$2:$B$295,generator!$K$2:$K$295,"ARGH")</f>
        <v>0</v>
      </c>
      <c r="DB41" s="3">
        <f>_xlfn.XLOOKUP(DB$1,generator!$B$2:$B$295,generator!$K$2:$K$295,"ARGH")</f>
        <v>0</v>
      </c>
      <c r="DC41" s="3">
        <f>_xlfn.XLOOKUP(DC$1,generator!$B$2:$B$295,generator!$K$2:$K$295,"ARGH")</f>
        <v>0</v>
      </c>
      <c r="DD41" s="3">
        <f>_xlfn.XLOOKUP(DD$1,generator!$B$2:$B$295,generator!$K$2:$K$295,"ARGH")</f>
        <v>0</v>
      </c>
      <c r="DE41" s="3">
        <f>_xlfn.XLOOKUP(DE$1,generator!$B$2:$B$295,generator!$K$2:$K$295,"ARGH")</f>
        <v>0</v>
      </c>
      <c r="DF41" s="3">
        <f>_xlfn.XLOOKUP(DF$1,generator!$B$2:$B$295,generator!$K$2:$K$295,"ARGH")</f>
        <v>0</v>
      </c>
      <c r="DG41" s="3">
        <f>_xlfn.XLOOKUP(DG$1,generator!$B$2:$B$295,generator!$K$2:$K$295,"ARGH")</f>
        <v>0</v>
      </c>
      <c r="DH41" s="3">
        <f>_xlfn.XLOOKUP(DH$1,generator!$B$2:$B$295,generator!$K$2:$K$295,"ARGH")</f>
        <v>0</v>
      </c>
      <c r="DI41" s="3">
        <f>_xlfn.XLOOKUP(DI$1,generator!$B$2:$B$295,generator!$K$2:$K$295,"ARGH")</f>
        <v>0</v>
      </c>
      <c r="DJ41" s="3">
        <f>_xlfn.XLOOKUP(DJ$1,generator!$B$2:$B$295,generator!$K$2:$K$295,"ARGH")</f>
        <v>0</v>
      </c>
      <c r="DK41" s="3">
        <f>_xlfn.XLOOKUP(DK$1,generator!$B$2:$B$295,generator!$K$2:$K$295,"ARGH")</f>
        <v>0</v>
      </c>
      <c r="DL41" s="3">
        <f>_xlfn.XLOOKUP(DL$1,generator!$B$2:$B$295,generator!$K$2:$K$295,"ARGH")</f>
        <v>0</v>
      </c>
      <c r="DM41" s="3">
        <f>_xlfn.XLOOKUP(DM$1,generator!$B$2:$B$295,generator!$K$2:$K$295,"ARGH")</f>
        <v>0</v>
      </c>
      <c r="DN41" s="3">
        <f>_xlfn.XLOOKUP(DN$1,generator!$B$2:$B$295,generator!$K$2:$K$295,"ARGH")</f>
        <v>0</v>
      </c>
      <c r="DO41" s="3">
        <f>_xlfn.XLOOKUP(DO$1,generator!$B$2:$B$295,generator!$K$2:$K$295,"ARGH")</f>
        <v>0</v>
      </c>
      <c r="DP41" s="3">
        <f>_xlfn.XLOOKUP(DP$1,generator!$B$2:$B$295,generator!$K$2:$K$295,"ARGH")</f>
        <v>0</v>
      </c>
      <c r="DQ41" s="3">
        <f>_xlfn.XLOOKUP(DQ$1,generator!$B$2:$B$295,generator!$K$2:$K$295,"ARGH")</f>
        <v>0</v>
      </c>
      <c r="DR41" s="3">
        <f>_xlfn.XLOOKUP(DR$1,generator!$B$2:$B$295,generator!$K$2:$K$295,"ARGH")</f>
        <v>0</v>
      </c>
      <c r="DS41" s="3">
        <f>_xlfn.XLOOKUP(DS$1,generator!$B$2:$B$295,generator!$K$2:$K$295,"ARGH")</f>
        <v>0</v>
      </c>
      <c r="DT41" s="3">
        <f>_xlfn.XLOOKUP(DT$1,generator!$B$2:$B$295,generator!$K$2:$K$295,"ARGH")</f>
        <v>0</v>
      </c>
      <c r="DU41" s="3">
        <f>_xlfn.XLOOKUP(DU$1,generator!$B$2:$B$295,generator!$K$2:$K$295,"ARGH")</f>
        <v>0</v>
      </c>
      <c r="DV41" s="3">
        <f>_xlfn.XLOOKUP(DV$1,generator!$B$2:$B$295,generator!$K$2:$K$295,"ARGH")</f>
        <v>0</v>
      </c>
      <c r="DW41" s="3">
        <f>_xlfn.XLOOKUP(DW$1,generator!$B$2:$B$295,generator!$K$2:$K$295,"ARGH")</f>
        <v>0</v>
      </c>
      <c r="DX41" s="3">
        <f>_xlfn.XLOOKUP(DX$1,generator!$B$2:$B$295,generator!$K$2:$K$295,"ARGH")</f>
        <v>0</v>
      </c>
      <c r="DY41" s="3">
        <f>_xlfn.XLOOKUP(DY$1,generator!$B$2:$B$295,generator!$K$2:$K$295,"ARGH")</f>
        <v>0</v>
      </c>
      <c r="DZ41" s="3">
        <f>_xlfn.XLOOKUP(DZ$1,generator!$B$2:$B$295,generator!$K$2:$K$295,"ARGH")</f>
        <v>0</v>
      </c>
      <c r="EA41" s="3">
        <f>_xlfn.XLOOKUP(EA$1,generator!$B$2:$B$295,generator!$K$2:$K$295,"ARGH")</f>
        <v>0</v>
      </c>
      <c r="EB41" s="3">
        <f>_xlfn.XLOOKUP(EB$1,generator!$B$2:$B$295,generator!$K$2:$K$295,"ARGH")</f>
        <v>0</v>
      </c>
      <c r="EC41" s="3">
        <f>_xlfn.XLOOKUP(EC$1,generator!$B$2:$B$295,generator!$K$2:$K$295,"ARGH")</f>
        <v>0</v>
      </c>
      <c r="ED41" s="3">
        <f>_xlfn.XLOOKUP(ED$1,generator!$B$2:$B$295,generator!$K$2:$K$295,"ARGH")</f>
        <v>0</v>
      </c>
      <c r="EE41" s="3">
        <f>_xlfn.XLOOKUP(EE$1,generator!$B$2:$B$295,generator!$K$2:$K$295,"ARGH")</f>
        <v>0</v>
      </c>
      <c r="EF41" s="3">
        <f>_xlfn.XLOOKUP(EF$1,generator!$B$2:$B$295,generator!$K$2:$K$295,"ARGH")</f>
        <v>0</v>
      </c>
      <c r="EG41" s="3">
        <f>_xlfn.XLOOKUP(EG$1,generator!$B$2:$B$295,generator!$K$2:$K$295,"ARGH")</f>
        <v>0</v>
      </c>
      <c r="EH41" s="3">
        <f>_xlfn.XLOOKUP(EH$1,generator!$B$2:$B$295,generator!$K$2:$K$295,"ARGH")</f>
        <v>0</v>
      </c>
      <c r="EI41" s="3">
        <f>_xlfn.XLOOKUP(EI$1,generator!$B$2:$B$295,generator!$K$2:$K$295,"ARGH")</f>
        <v>0</v>
      </c>
      <c r="EJ41" s="3">
        <f>_xlfn.XLOOKUP(EJ$1,generator!$B$2:$B$295,generator!$K$2:$K$295,"ARGH")</f>
        <v>0</v>
      </c>
      <c r="EK41" s="3">
        <f>_xlfn.XLOOKUP(EK$1,generator!$B$2:$B$295,generator!$K$2:$K$295,"ARGH")</f>
        <v>0</v>
      </c>
      <c r="EL41" s="3">
        <f>_xlfn.XLOOKUP(EL$1,generator!$B$2:$B$295,generator!$K$2:$K$295,"ARGH")</f>
        <v>0</v>
      </c>
      <c r="EM41" s="3">
        <f>_xlfn.XLOOKUP(EM$1,generator!$B$2:$B$295,generator!$K$2:$K$295,"ARGH")</f>
        <v>0</v>
      </c>
      <c r="EN41" s="3">
        <f>_xlfn.XLOOKUP(EN$1,generator!$B$2:$B$295,generator!$K$2:$K$295,"ARGH")</f>
        <v>0</v>
      </c>
      <c r="EO41" s="3">
        <f>_xlfn.XLOOKUP(EO$1,generator!$B$2:$B$295,generator!$K$2:$K$295,"ARGH")</f>
        <v>0</v>
      </c>
      <c r="EP41" s="3">
        <f>_xlfn.XLOOKUP(EP$1,generator!$B$2:$B$295,generator!$K$2:$K$295,"ARGH")</f>
        <v>0</v>
      </c>
      <c r="EQ41" s="3">
        <f>_xlfn.XLOOKUP(EQ$1,generator!$B$2:$B$295,generator!$K$2:$K$295,"ARGH")</f>
        <v>0</v>
      </c>
      <c r="ER41" s="3">
        <f>_xlfn.XLOOKUP(ER$1,generator!$B$2:$B$295,generator!$K$2:$K$295,"ARGH")</f>
        <v>0</v>
      </c>
      <c r="ES41" s="3">
        <f>_xlfn.XLOOKUP(ES$1,generator!$B$2:$B$295,generator!$K$2:$K$295,"ARGH")</f>
        <v>0</v>
      </c>
      <c r="ET41" s="3">
        <f>_xlfn.XLOOKUP(ET$1,generator!$B$2:$B$295,generator!$K$2:$K$295,"ARGH")</f>
        <v>0</v>
      </c>
      <c r="EU41" s="3">
        <f>_xlfn.XLOOKUP(EU$1,generator!$B$2:$B$295,generator!$K$2:$K$295,"ARGH")</f>
        <v>0</v>
      </c>
      <c r="EV41" s="3">
        <f>_xlfn.XLOOKUP(EV$1,generator!$B$2:$B$295,generator!$K$2:$K$295,"ARGH")</f>
        <v>0</v>
      </c>
      <c r="EW41" s="3">
        <f>_xlfn.XLOOKUP(EW$1,generator!$B$2:$B$295,generator!$K$2:$K$295,"ARGH")</f>
        <v>0</v>
      </c>
      <c r="EX41" s="3">
        <f>_xlfn.XLOOKUP(EX$1,generator!$B$2:$B$295,generator!$K$2:$K$295,"ARGH")</f>
        <v>0</v>
      </c>
      <c r="EY41" s="3">
        <f>_xlfn.XLOOKUP(EY$1,generator!$B$2:$B$295,generator!$K$2:$K$295,"ARGH")</f>
        <v>0</v>
      </c>
      <c r="EZ41" s="3">
        <f>_xlfn.XLOOKUP(EZ$1,generator!$B$2:$B$295,generator!$K$2:$K$295,"ARGH")</f>
        <v>0</v>
      </c>
      <c r="FA41" s="3">
        <f>_xlfn.XLOOKUP(FA$1,generator!$B$2:$B$295,generator!$K$2:$K$295,"ARGH")</f>
        <v>0</v>
      </c>
      <c r="FB41" s="3">
        <f>_xlfn.XLOOKUP(FB$1,generator!$B$2:$B$295,generator!$K$2:$K$295,"ARGH")</f>
        <v>0</v>
      </c>
      <c r="FC41" s="3">
        <f>_xlfn.XLOOKUP(FC$1,generator!$B$2:$B$295,generator!$K$2:$K$295,"ARGH")</f>
        <v>0</v>
      </c>
      <c r="FD41" s="3">
        <f>_xlfn.XLOOKUP(FD$1,generator!$B$2:$B$295,generator!$K$2:$K$295,"ARGH")</f>
        <v>0</v>
      </c>
      <c r="FE41" s="3">
        <f>_xlfn.XLOOKUP(FE$1,generator!$B$2:$B$295,generator!$K$2:$K$295,"ARGH")</f>
        <v>0</v>
      </c>
      <c r="FF41" s="3">
        <f>_xlfn.XLOOKUP(FF$1,generator!$B$2:$B$295,generator!$K$2:$K$295,"ARGH")</f>
        <v>0</v>
      </c>
      <c r="FG41" s="3">
        <f>_xlfn.XLOOKUP(FG$1,generator!$B$2:$B$295,generator!$K$2:$K$295,"ARGH")</f>
        <v>0</v>
      </c>
      <c r="FH41" s="3">
        <f>_xlfn.XLOOKUP(FH$1,generator!$B$2:$B$295,generator!$K$2:$K$295,"ARGH")</f>
        <v>0</v>
      </c>
      <c r="FI41" s="3">
        <f>_xlfn.XLOOKUP(FI$1,generator!$B$2:$B$295,generator!$K$2:$K$295,"ARGH")</f>
        <v>0</v>
      </c>
      <c r="FJ41" s="3">
        <f>_xlfn.XLOOKUP(FJ$1,generator!$B$2:$B$295,generator!$K$2:$K$295,"ARGH")</f>
        <v>0</v>
      </c>
      <c r="FK41" s="3">
        <f>_xlfn.XLOOKUP(FK$1,generator!$B$2:$B$295,generator!$K$2:$K$295,"ARGH")</f>
        <v>0</v>
      </c>
      <c r="FL41" s="3">
        <f>_xlfn.XLOOKUP(FL$1,generator!$B$2:$B$295,generator!$K$2:$K$295,"ARGH")</f>
        <v>0</v>
      </c>
      <c r="FM41" s="3">
        <f>_xlfn.XLOOKUP(FM$1,generator!$B$2:$B$295,generator!$K$2:$K$295,"ARGH")</f>
        <v>0</v>
      </c>
      <c r="FN41" s="3">
        <f>_xlfn.XLOOKUP(FN$1,generator!$B$2:$B$295,generator!$K$2:$K$295,"ARGH")</f>
        <v>0</v>
      </c>
      <c r="FO41" s="3">
        <f>_xlfn.XLOOKUP(FO$1,generator!$B$2:$B$295,generator!$K$2:$K$295,"ARGH")</f>
        <v>0</v>
      </c>
      <c r="FP41" s="3">
        <f>_xlfn.XLOOKUP(FP$1,generator!$B$2:$B$295,generator!$K$2:$K$295,"ARGH")</f>
        <v>0</v>
      </c>
      <c r="FQ41" s="3">
        <f>_xlfn.XLOOKUP(FQ$1,generator!$B$2:$B$295,generator!$K$2:$K$295,"ARGH")</f>
        <v>0</v>
      </c>
      <c r="FR41" s="3">
        <f>_xlfn.XLOOKUP(FR$1,generator!$B$2:$B$295,generator!$K$2:$K$295,"ARGH")</f>
        <v>0</v>
      </c>
      <c r="FS41" s="3">
        <f>_xlfn.XLOOKUP(FS$1,generator!$B$2:$B$295,generator!$K$2:$K$295,"ARGH")</f>
        <v>0</v>
      </c>
      <c r="FT41" s="3">
        <f>_xlfn.XLOOKUP(FT$1,generator!$B$2:$B$295,generator!$K$2:$K$295,"ARGH")</f>
        <v>0</v>
      </c>
      <c r="FU41" s="3">
        <f>_xlfn.XLOOKUP(FU$1,generator!$B$2:$B$295,generator!$K$2:$K$295,"ARGH")</f>
        <v>0</v>
      </c>
      <c r="FV41" s="3">
        <f>_xlfn.XLOOKUP(FV$1,generator!$B$2:$B$295,generator!$K$2:$K$295,"ARGH")</f>
        <v>0</v>
      </c>
      <c r="FW41" s="3">
        <f>_xlfn.XLOOKUP(FW$1,generator!$B$2:$B$295,generator!$K$2:$K$295,"ARGH")</f>
        <v>0</v>
      </c>
      <c r="FX41" s="3">
        <f>_xlfn.XLOOKUP(FX$1,generator!$B$2:$B$295,generator!$K$2:$K$295,"ARGH")</f>
        <v>0</v>
      </c>
      <c r="FY41" s="3">
        <f>_xlfn.XLOOKUP(FY$1,generator!$B$2:$B$295,generator!$K$2:$K$295,"ARGH")</f>
        <v>0</v>
      </c>
      <c r="FZ41" s="3">
        <f>_xlfn.XLOOKUP(FZ$1,generator!$B$2:$B$295,generator!$K$2:$K$295,"ARGH")</f>
        <v>0</v>
      </c>
      <c r="GA41" s="3">
        <f>_xlfn.XLOOKUP(GA$1,generator!$B$2:$B$295,generator!$K$2:$K$295,"ARGH")</f>
        <v>0</v>
      </c>
      <c r="GB41" s="3">
        <f>_xlfn.XLOOKUP(GB$1,generator!$B$2:$B$295,generator!$K$2:$K$295,"ARGH")</f>
        <v>0</v>
      </c>
      <c r="GC41" s="3">
        <f>_xlfn.XLOOKUP(GC$1,generator!$B$2:$B$295,generator!$K$2:$K$295,"ARGH")</f>
        <v>0</v>
      </c>
      <c r="GD41" s="3">
        <f>_xlfn.XLOOKUP(GD$1,generator!$B$2:$B$295,generator!$K$2:$K$295,"ARGH")</f>
        <v>0</v>
      </c>
      <c r="GE41" s="3">
        <f>_xlfn.XLOOKUP(GE$1,generator!$B$2:$B$295,generator!$K$2:$K$295,"ARGH")</f>
        <v>0</v>
      </c>
      <c r="GF41" s="3">
        <f>_xlfn.XLOOKUP(GF$1,generator!$B$2:$B$295,generator!$K$2:$K$295,"ARGH")</f>
        <v>0</v>
      </c>
      <c r="GG41" s="3">
        <f>_xlfn.XLOOKUP(GG$1,generator!$B$2:$B$295,generator!$K$2:$K$295,"ARGH")</f>
        <v>0</v>
      </c>
      <c r="GH41" s="3">
        <f>_xlfn.XLOOKUP(GH$1,generator!$B$2:$B$295,generator!$K$2:$K$295,"ARGH")</f>
        <v>0</v>
      </c>
      <c r="GI41" s="3">
        <f>_xlfn.XLOOKUP(GI$1,generator!$B$2:$B$295,generator!$K$2:$K$295,"ARGH")</f>
        <v>0</v>
      </c>
      <c r="GJ41" s="3">
        <f>_xlfn.XLOOKUP(GJ$1,generator!$B$2:$B$295,generator!$K$2:$K$295,"ARGH")</f>
        <v>0</v>
      </c>
      <c r="GK41" s="3">
        <f>_xlfn.XLOOKUP(GK$1,generator!$B$2:$B$295,generator!$K$2:$K$295,"ARGH")</f>
        <v>0</v>
      </c>
      <c r="GL41" s="3">
        <f>_xlfn.XLOOKUP(GL$1,generator!$B$2:$B$295,generator!$K$2:$K$295,"ARGH")</f>
        <v>0</v>
      </c>
      <c r="GM41" s="3">
        <f>_xlfn.XLOOKUP(GM$1,generator!$B$2:$B$295,generator!$K$2:$K$295,"ARGH")</f>
        <v>0</v>
      </c>
      <c r="GN41" s="3">
        <f>_xlfn.XLOOKUP(GN$1,generator!$B$2:$B$295,generator!$K$2:$K$295,"ARGH")</f>
        <v>0</v>
      </c>
      <c r="GO41" s="3">
        <f>_xlfn.XLOOKUP(GO$1,generator!$B$2:$B$295,generator!$K$2:$K$295,"ARGH")</f>
        <v>0</v>
      </c>
      <c r="GP41" s="3">
        <f>_xlfn.XLOOKUP(GP$1,generator!$B$2:$B$295,generator!$K$2:$K$295,"ARGH")</f>
        <v>0</v>
      </c>
      <c r="GQ41" s="3">
        <f>_xlfn.XLOOKUP(GQ$1,generator!$B$2:$B$295,generator!$K$2:$K$295,"ARGH")</f>
        <v>0</v>
      </c>
      <c r="GR41" s="3">
        <f>_xlfn.XLOOKUP(GR$1,generator!$B$2:$B$295,generator!$K$2:$K$295,"ARGH")</f>
        <v>0</v>
      </c>
      <c r="GS41" s="3">
        <f>_xlfn.XLOOKUP(GS$1,generator!$B$2:$B$295,generator!$K$2:$K$295,"ARGH")</f>
        <v>0</v>
      </c>
      <c r="GT41" s="3">
        <f>_xlfn.XLOOKUP(GT$1,generator!$B$2:$B$295,generator!$K$2:$K$295,"ARGH")</f>
        <v>0</v>
      </c>
      <c r="GU41" s="3">
        <f>_xlfn.XLOOKUP(GU$1,generator!$B$2:$B$295,generator!$K$2:$K$295,"ARGH")</f>
        <v>0</v>
      </c>
      <c r="GV41" s="3">
        <f>_xlfn.XLOOKUP(GV$1,generator!$B$2:$B$295,generator!$K$2:$K$295,"ARGH")</f>
        <v>0</v>
      </c>
      <c r="GW41" s="3">
        <f>_xlfn.XLOOKUP(GW$1,generator!$B$2:$B$295,generator!$K$2:$K$295,"ARGH")</f>
        <v>0</v>
      </c>
      <c r="GX41" s="3">
        <f>_xlfn.XLOOKUP(GX$1,generator!$B$2:$B$295,generator!$K$2:$K$295,"ARGH")</f>
        <v>0</v>
      </c>
      <c r="GY41" s="3">
        <f>_xlfn.XLOOKUP(GY$1,generator!$B$2:$B$295,generator!$K$2:$K$295,"ARGH")</f>
        <v>0</v>
      </c>
      <c r="GZ41" s="3">
        <f>_xlfn.XLOOKUP(GZ$1,generator!$B$2:$B$295,generator!$K$2:$K$295,"ARGH")</f>
        <v>0</v>
      </c>
      <c r="HA41" s="3">
        <f>_xlfn.XLOOKUP(HA$1,generator!$B$2:$B$295,generator!$K$2:$K$295,"ARGH")</f>
        <v>0</v>
      </c>
      <c r="HB41" s="3">
        <f>_xlfn.XLOOKUP(HB$1,generator!$B$2:$B$295,generator!$K$2:$K$295,"ARGH")</f>
        <v>0</v>
      </c>
      <c r="HC41" s="3">
        <f>_xlfn.XLOOKUP(HC$1,generator!$B$2:$B$295,generator!$K$2:$K$295,"ARGH")</f>
        <v>0</v>
      </c>
      <c r="HD41" s="3">
        <f>_xlfn.XLOOKUP(HD$1,generator!$B$2:$B$295,generator!$K$2:$K$295,"ARGH")</f>
        <v>0</v>
      </c>
      <c r="HE41" s="3">
        <f>_xlfn.XLOOKUP(HE$1,generator!$B$2:$B$295,generator!$K$2:$K$295,"ARGH")</f>
        <v>12.74</v>
      </c>
      <c r="HF41" s="3">
        <f>_xlfn.XLOOKUP(HF$1,generator!$B$2:$B$295,generator!$K$2:$K$295,"ARGH")</f>
        <v>99</v>
      </c>
      <c r="HG41" s="3">
        <f>_xlfn.XLOOKUP(HG$1,generator!$B$2:$B$295,generator!$K$2:$K$295,"ARGH")</f>
        <v>99</v>
      </c>
      <c r="HH41" s="3">
        <f>_xlfn.XLOOKUP(HH$1,generator!$B$2:$B$295,generator!$K$2:$K$295,"ARGH")</f>
        <v>99</v>
      </c>
      <c r="HI41" s="3">
        <f>_xlfn.XLOOKUP(HI$1,generator!$B$2:$B$295,generator!$K$2:$K$295,"ARGH")</f>
        <v>8</v>
      </c>
      <c r="HJ41" s="3">
        <f>_xlfn.XLOOKUP(HJ$1,generator!$B$2:$B$295,generator!$K$2:$K$295,"ARGH")</f>
        <v>8</v>
      </c>
      <c r="HK41" s="3">
        <f>_xlfn.XLOOKUP(HK$1,generator!$B$2:$B$295,generator!$K$2:$K$295,"ARGH")</f>
        <v>8</v>
      </c>
      <c r="HL41" s="3">
        <f>_xlfn.XLOOKUP(HL$1,generator!$B$2:$B$295,generator!$K$2:$K$295,"ARGH")</f>
        <v>20</v>
      </c>
      <c r="HM41" s="3">
        <f>_xlfn.XLOOKUP(HM$1,generator!$B$2:$B$295,generator!$K$2:$K$295,"ARGH")</f>
        <v>20</v>
      </c>
      <c r="HN41" s="3">
        <f>_xlfn.XLOOKUP(HN$1,generator!$B$2:$B$295,generator!$K$2:$K$295,"ARGH")</f>
        <v>5</v>
      </c>
      <c r="HO41" s="3">
        <f>_xlfn.XLOOKUP(HO$1,generator!$B$2:$B$295,generator!$K$2:$K$295,"ARGH")</f>
        <v>5</v>
      </c>
      <c r="HP41" s="3">
        <f>_xlfn.XLOOKUP(HP$1,generator!$B$2:$B$295,generator!$K$2:$K$295,"ARGH")</f>
        <v>0.2</v>
      </c>
      <c r="HQ41" s="3">
        <f>_xlfn.XLOOKUP(HQ$1,generator!$B$2:$B$295,generator!$K$2:$K$295,"ARGH")</f>
        <v>5</v>
      </c>
      <c r="HR41" s="3">
        <f>_xlfn.XLOOKUP(HR$1,generator!$B$2:$B$295,generator!$K$2:$K$295,"ARGH")</f>
        <v>5</v>
      </c>
      <c r="HS41" s="3">
        <f>_xlfn.XLOOKUP(HS$1,generator!$B$2:$B$295,generator!$K$2:$K$295,"ARGH")</f>
        <v>12.82</v>
      </c>
      <c r="HT41" s="3">
        <f>_xlfn.XLOOKUP(HT$1,generator!$B$2:$B$295,generator!$K$2:$K$295,"ARGH")</f>
        <v>12.82</v>
      </c>
      <c r="HU41" s="3">
        <f>_xlfn.XLOOKUP(HU$1,generator!$B$2:$B$295,generator!$K$2:$K$295,"ARGH")</f>
        <v>25</v>
      </c>
      <c r="HV41" s="3">
        <f>_xlfn.XLOOKUP(HV$1,generator!$B$2:$B$295,generator!$K$2:$K$295,"ARGH")</f>
        <v>16</v>
      </c>
      <c r="HW41" s="3">
        <f>_xlfn.XLOOKUP(HW$1,generator!$B$2:$B$295,generator!$K$2:$K$295,"ARGH")</f>
        <v>5</v>
      </c>
      <c r="HX41" s="3">
        <f>_xlfn.XLOOKUP(HX$1,generator!$B$2:$B$295,generator!$K$2:$K$295,"ARGH")</f>
        <v>5</v>
      </c>
      <c r="HY41" s="3">
        <f>_xlfn.XLOOKUP(HY$1,generator!$B$2:$B$295,generator!$K$2:$K$295,"ARGH")</f>
        <v>63</v>
      </c>
      <c r="HZ41" s="3">
        <f>_xlfn.XLOOKUP(HZ$1,generator!$B$2:$B$295,generator!$K$2:$K$295,"ARGH")</f>
        <v>18</v>
      </c>
      <c r="IA41" s="3">
        <f>_xlfn.XLOOKUP(IA$1,generator!$B$2:$B$295,generator!$K$2:$K$295,"ARGH")</f>
        <v>121</v>
      </c>
      <c r="IB41" s="3">
        <f>_xlfn.XLOOKUP(IB$1,generator!$B$2:$B$295,generator!$K$2:$K$295,"ARGH")</f>
        <v>120</v>
      </c>
      <c r="IC41" s="3">
        <f>_xlfn.XLOOKUP(IC$1,generator!$B$2:$B$295,generator!$K$2:$K$295,"ARGH")</f>
        <v>0</v>
      </c>
      <c r="ID41" s="3">
        <f>_xlfn.XLOOKUP(ID$1,generator!$B$2:$B$295,generator!$K$2:$K$295,"ARGH")</f>
        <v>17</v>
      </c>
      <c r="IE41" s="3">
        <f>_xlfn.XLOOKUP(IE$1,generator!$B$2:$B$295,generator!$K$2:$K$295,"ARGH")</f>
        <v>194</v>
      </c>
      <c r="IF41" s="3">
        <f>_xlfn.XLOOKUP(IF$1,generator!$B$2:$B$295,generator!$K$2:$K$295,"ARGH")</f>
        <v>11.9</v>
      </c>
      <c r="IG41" s="3">
        <f>_xlfn.XLOOKUP(IG$1,generator!$B$2:$B$295,generator!$K$2:$K$295,"ARGH")</f>
        <v>11.9</v>
      </c>
      <c r="IH41" s="3">
        <f>_xlfn.XLOOKUP(IH$1,generator!$B$2:$B$295,generator!$K$2:$K$295,"ARGH")</f>
        <v>11.9</v>
      </c>
      <c r="II41" s="3">
        <f>_xlfn.XLOOKUP(II$1,generator!$B$2:$B$295,generator!$K$2:$K$295,"ARGH")</f>
        <v>11.9</v>
      </c>
      <c r="IJ41" s="3">
        <f>_xlfn.XLOOKUP(IJ$1,generator!$B$2:$B$295,generator!$K$2:$K$295,"ARGH")</f>
        <v>0</v>
      </c>
      <c r="IK41" s="3">
        <f>_xlfn.XLOOKUP(IK$1,generator!$B$2:$B$295,generator!$K$2:$K$295,"ARGH")</f>
        <v>3</v>
      </c>
      <c r="IL41" s="3">
        <f>_xlfn.XLOOKUP(IL$1,generator!$B$2:$B$295,generator!$K$2:$K$295,"ARGH")</f>
        <v>5</v>
      </c>
      <c r="IM41" s="3">
        <f>_xlfn.XLOOKUP(IM$1,generator!$B$2:$B$295,generator!$K$2:$K$295,"ARGH")</f>
        <v>5</v>
      </c>
      <c r="IN41" s="3">
        <f>_xlfn.XLOOKUP(IN$1,generator!$B$2:$B$295,generator!$K$2:$K$295,"ARGH")</f>
        <v>4</v>
      </c>
      <c r="IO41" s="3">
        <f>_xlfn.XLOOKUP(IO$1,generator!$B$2:$B$295,generator!$K$2:$K$295,"ARGH")</f>
        <v>4</v>
      </c>
      <c r="IP41" s="3">
        <f>_xlfn.XLOOKUP(IP$1,generator!$B$2:$B$295,generator!$K$2:$K$295,"ARGH")</f>
        <v>3</v>
      </c>
      <c r="IQ41" s="3">
        <f>_xlfn.XLOOKUP(IQ$1,generator!$B$2:$B$295,generator!$K$2:$K$295,"ARGH")</f>
        <v>1</v>
      </c>
      <c r="IR41" s="3">
        <f>_xlfn.XLOOKUP(IR$1,generator!$B$2:$B$295,generator!$K$2:$K$295,"ARGH")</f>
        <v>3</v>
      </c>
      <c r="IS41" s="3">
        <f>_xlfn.XLOOKUP(IS$1,generator!$B$2:$B$295,generator!$K$2:$K$295,"ARGH")</f>
        <v>3</v>
      </c>
      <c r="IT41" s="3">
        <f>_xlfn.XLOOKUP(IT$1,generator!$B$2:$B$295,generator!$K$2:$K$295,"ARGH")</f>
        <v>0</v>
      </c>
      <c r="IU41" s="3">
        <f>_xlfn.XLOOKUP(IU$1,generator!$B$2:$B$295,generator!$K$2:$K$295,"ARGH")</f>
        <v>3.99</v>
      </c>
      <c r="IV41" s="3">
        <f>_xlfn.XLOOKUP(IV$1,generator!$B$2:$B$295,generator!$K$2:$K$295,"ARGH")</f>
        <v>0.2</v>
      </c>
      <c r="IW41" s="3">
        <f>_xlfn.XLOOKUP(IW$1,generator!$B$2:$B$295,generator!$K$2:$K$295,"ARGH")</f>
        <v>15</v>
      </c>
      <c r="IX41" s="3">
        <f>_xlfn.XLOOKUP(IX$1,generator!$B$2:$B$295,generator!$K$2:$K$295,"ARGH")</f>
        <v>15</v>
      </c>
      <c r="IY41" s="3">
        <f>_xlfn.XLOOKUP(IY$1,generator!$B$2:$B$295,generator!$K$2:$K$295,"ARGH")</f>
        <v>15</v>
      </c>
      <c r="IZ41" s="3">
        <f>_xlfn.XLOOKUP(IZ$1,generator!$B$2:$B$295,generator!$K$2:$K$295,"ARGH")</f>
        <v>120</v>
      </c>
      <c r="JA41" s="3">
        <f>_xlfn.XLOOKUP(JA$1,generator!$B$2:$B$295,generator!$K$2:$K$295,"ARGH")</f>
        <v>40</v>
      </c>
      <c r="JB41" s="3">
        <f>_xlfn.XLOOKUP(JB$1,generator!$B$2:$B$295,generator!$K$2:$K$295,"ARGH")</f>
        <v>40</v>
      </c>
      <c r="JC41" s="3">
        <f>_xlfn.XLOOKUP(JC$1,generator!$B$2:$B$295,generator!$K$2:$K$295,"ARGH")</f>
        <v>113</v>
      </c>
      <c r="JD41" s="3">
        <f>_xlfn.XLOOKUP(JD$1,generator!$B$2:$B$295,generator!$K$2:$K$295,"ARGH")</f>
        <v>113</v>
      </c>
      <c r="JE41" s="3">
        <f>_xlfn.XLOOKUP(JE$1,generator!$B$2:$B$295,generator!$K$2:$K$295,"ARGH")</f>
        <v>211</v>
      </c>
      <c r="JF41" s="3">
        <f>_xlfn.XLOOKUP(JF$1,generator!$B$2:$B$295,generator!$K$2:$K$295,"ARGH")</f>
        <v>22.5</v>
      </c>
      <c r="JG41" s="3">
        <f>_xlfn.XLOOKUP(JG$1,generator!$B$2:$B$295,generator!$K$2:$K$295,"ARGH")</f>
        <v>1</v>
      </c>
      <c r="JH41" s="3">
        <f>_xlfn.XLOOKUP(JH$1,generator!$B$2:$B$295,generator!$K$2:$K$295,"ARGH")</f>
        <v>160</v>
      </c>
      <c r="JI41" s="3">
        <f>_xlfn.XLOOKUP(JI$1,generator!$B$2:$B$295,generator!$K$2:$K$295,"ARGH")</f>
        <v>165</v>
      </c>
      <c r="JJ41" s="3">
        <f>_xlfn.XLOOKUP(JJ$1,generator!$B$2:$B$295,generator!$K$2:$K$295,"ARGH")</f>
        <v>4.5999999999999996</v>
      </c>
      <c r="JK41" s="3">
        <f>_xlfn.XLOOKUP(JK$1,generator!$B$2:$B$295,generator!$K$2:$K$295,"ARGH")</f>
        <v>4.5999999999999996</v>
      </c>
      <c r="JL41" s="3">
        <f>_xlfn.XLOOKUP(JL$1,generator!$B$2:$B$295,generator!$K$2:$K$295,"ARGH")</f>
        <v>4.5999999999999996</v>
      </c>
      <c r="JM41" s="3">
        <f>_xlfn.XLOOKUP(JM$1,generator!$B$2:$B$295,generator!$K$2:$K$295,"ARGH")</f>
        <v>4.5999999999999996</v>
      </c>
      <c r="JN41" s="3">
        <f>_xlfn.XLOOKUP(JN$1,generator!$B$2:$B$295,generator!$K$2:$K$295,"ARGH")</f>
        <v>4.5999999999999996</v>
      </c>
      <c r="JO41" s="3">
        <f>_xlfn.XLOOKUP(JO$1,generator!$B$2:$B$295,generator!$K$2:$K$295,"ARGH")</f>
        <v>4.5999999999999996</v>
      </c>
      <c r="JP41" s="3">
        <f>_xlfn.XLOOKUP(JP$1,generator!$B$2:$B$295,generator!$K$2:$K$295,"ARGH")</f>
        <v>110</v>
      </c>
      <c r="JQ41" s="3">
        <f>_xlfn.XLOOKUP(JQ$1,generator!$B$2:$B$295,generator!$K$2:$K$295,"ARGH")</f>
        <v>22.7</v>
      </c>
      <c r="JR41" s="3">
        <f>_xlfn.XLOOKUP(JR$1,generator!$B$2:$B$295,generator!$K$2:$K$295,"ARGH")</f>
        <v>147</v>
      </c>
      <c r="JS41" s="3">
        <f>_xlfn.XLOOKUP(JS$1,generator!$B$2:$B$295,generator!$K$2:$K$295,"ARGH")</f>
        <v>147</v>
      </c>
      <c r="JT41" s="3">
        <f>_xlfn.XLOOKUP(JT$1,generator!$B$2:$B$295,generator!$K$2:$K$295,"ARGH")</f>
        <v>22.7</v>
      </c>
      <c r="JU41" s="3">
        <f>_xlfn.XLOOKUP(JU$1,generator!$B$2:$B$295,generator!$K$2:$K$295,"ARGH")</f>
        <v>21.5</v>
      </c>
      <c r="JV41" s="3">
        <f>_xlfn.XLOOKUP(JV$1,generator!$B$2:$B$295,generator!$K$2:$K$295,"ARGH")</f>
        <v>120</v>
      </c>
      <c r="JW41" s="3">
        <f>_xlfn.XLOOKUP(JW$1,generator!$B$2:$B$295,generator!$K$2:$K$295,"ARGH")</f>
        <v>120</v>
      </c>
      <c r="JX41" s="3">
        <f>_xlfn.XLOOKUP(JX$1,generator!$B$2:$B$295,generator!$K$2:$K$295,"ARGH")</f>
        <v>1</v>
      </c>
      <c r="JY41" s="3">
        <f>_xlfn.XLOOKUP(JY$1,generator!$B$2:$B$295,generator!$K$2:$K$295,"ARGH")</f>
        <v>41.15</v>
      </c>
      <c r="JZ41" s="3">
        <f>_xlfn.XLOOKUP(JZ$1,generator!$B$2:$B$295,generator!$K$2:$K$295,"ARGH")</f>
        <v>5</v>
      </c>
      <c r="KA41" s="3">
        <f>_xlfn.XLOOKUP(KA$1,generator!$B$2:$B$295,generator!$K$2:$K$295,"ARGH")</f>
        <v>5</v>
      </c>
      <c r="KB41" s="3">
        <f>_xlfn.XLOOKUP(KB$1,generator!$B$2:$B$295,generator!$K$2:$K$295,"ARGH")</f>
        <v>5</v>
      </c>
      <c r="KC41" s="3">
        <f>_xlfn.XLOOKUP(KC$1,generator!$B$2:$B$295,generator!$K$2:$K$295,"ARGH")</f>
        <v>5</v>
      </c>
    </row>
    <row r="42" spans="1:289" x14ac:dyDescent="0.3">
      <c r="A42" s="4" t="s">
        <v>3037</v>
      </c>
      <c r="B42" s="31">
        <v>530</v>
      </c>
      <c r="C42" s="31">
        <v>513</v>
      </c>
      <c r="D42" s="31">
        <v>442</v>
      </c>
      <c r="E42" s="3">
        <f>_xlfn.XLOOKUP(E$1,generator!$B$2:$B$295,generator!$K$2:$K$295,"ARGH")</f>
        <v>0</v>
      </c>
      <c r="F42" s="3">
        <f>_xlfn.XLOOKUP(F$1,generator!$B$2:$B$295,generator!$K$2:$K$295,"ARGH")</f>
        <v>0</v>
      </c>
      <c r="G42" s="3">
        <f>_xlfn.XLOOKUP(G$1,generator!$B$2:$B$295,generator!$K$2:$K$295,"ARGH")</f>
        <v>0</v>
      </c>
      <c r="H42" s="3">
        <f>_xlfn.XLOOKUP(H$1,generator!$B$2:$B$295,generator!$K$2:$K$295,"ARGH")</f>
        <v>0</v>
      </c>
      <c r="I42" s="3">
        <f>_xlfn.XLOOKUP(I$1,generator!$B$2:$B$295,generator!$K$2:$K$295,"ARGH")</f>
        <v>0</v>
      </c>
      <c r="J42" s="3">
        <f>_xlfn.XLOOKUP(J$1,generator!$B$2:$B$295,generator!$K$2:$K$295,"ARGH")</f>
        <v>0</v>
      </c>
      <c r="K42" s="3">
        <f>_xlfn.XLOOKUP(K$1,generator!$B$2:$B$295,generator!$K$2:$K$295,"ARGH")</f>
        <v>0</v>
      </c>
      <c r="L42" s="3">
        <f>_xlfn.XLOOKUP(L$1,generator!$B$2:$B$295,generator!$K$2:$K$295,"ARGH")</f>
        <v>0</v>
      </c>
      <c r="M42" s="3">
        <f>_xlfn.XLOOKUP(M$1,generator!$B$2:$B$295,generator!$K$2:$K$295,"ARGH")</f>
        <v>0</v>
      </c>
      <c r="N42" s="3">
        <f>_xlfn.XLOOKUP(N$1,generator!$B$2:$B$295,generator!$K$2:$K$295,"ARGH")</f>
        <v>0</v>
      </c>
      <c r="O42" s="3">
        <f>_xlfn.XLOOKUP(O$1,generator!$B$2:$B$295,generator!$K$2:$K$295,"ARGH")</f>
        <v>0</v>
      </c>
      <c r="P42" s="3">
        <f>_xlfn.XLOOKUP(P$1,generator!$B$2:$B$295,generator!$K$2:$K$295,"ARGH")</f>
        <v>0</v>
      </c>
      <c r="Q42" s="3">
        <f>_xlfn.XLOOKUP(Q$1,generator!$B$2:$B$295,generator!$K$2:$K$295,"ARGH")</f>
        <v>0</v>
      </c>
      <c r="R42" s="3">
        <f>_xlfn.XLOOKUP(R$1,generator!$B$2:$B$295,generator!$K$2:$K$295,"ARGH")</f>
        <v>0</v>
      </c>
      <c r="S42" s="3">
        <f>_xlfn.XLOOKUP(S$1,generator!$B$2:$B$295,generator!$K$2:$K$295,"ARGH")</f>
        <v>0</v>
      </c>
      <c r="T42" s="3">
        <f>_xlfn.XLOOKUP(T$1,generator!$B$2:$B$295,generator!$K$2:$K$295,"ARGH")</f>
        <v>0</v>
      </c>
      <c r="U42" s="3">
        <f>_xlfn.XLOOKUP(U$1,generator!$B$2:$B$295,generator!$K$2:$K$295,"ARGH")</f>
        <v>0</v>
      </c>
      <c r="V42" s="3">
        <f>_xlfn.XLOOKUP(V$1,generator!$B$2:$B$295,generator!$K$2:$K$295,"ARGH")</f>
        <v>0</v>
      </c>
      <c r="W42" s="3">
        <f>_xlfn.XLOOKUP(W$1,generator!$B$2:$B$295,generator!$K$2:$K$295,"ARGH")</f>
        <v>0</v>
      </c>
      <c r="X42" s="3">
        <f>_xlfn.XLOOKUP(X$1,generator!$B$2:$B$295,generator!$K$2:$K$295,"ARGH")</f>
        <v>0</v>
      </c>
      <c r="Y42" s="3">
        <f>_xlfn.XLOOKUP(Y$1,generator!$B$2:$B$295,generator!$K$2:$K$295,"ARGH")</f>
        <v>0</v>
      </c>
      <c r="Z42" s="3">
        <f>_xlfn.XLOOKUP(Z$1,generator!$B$2:$B$295,generator!$K$2:$K$295,"ARGH")</f>
        <v>0</v>
      </c>
      <c r="AA42" s="3">
        <f>_xlfn.XLOOKUP(AA$1,generator!$B$2:$B$295,generator!$K$2:$K$295,"ARGH")</f>
        <v>0</v>
      </c>
      <c r="AB42" s="3">
        <f>_xlfn.XLOOKUP(AB$1,generator!$B$2:$B$295,generator!$K$2:$K$295,"ARGH")</f>
        <v>0</v>
      </c>
      <c r="AC42" s="3">
        <f>_xlfn.XLOOKUP(AC$1,generator!$B$2:$B$295,generator!$K$2:$K$295,"ARGH")</f>
        <v>0</v>
      </c>
      <c r="AD42" s="3">
        <f>_xlfn.XLOOKUP(AD$1,generator!$B$2:$B$295,generator!$K$2:$K$295,"ARGH")</f>
        <v>0</v>
      </c>
      <c r="AE42" s="3">
        <f>_xlfn.XLOOKUP(AE$1,generator!$B$2:$B$295,generator!$K$2:$K$295,"ARGH")</f>
        <v>0</v>
      </c>
      <c r="AF42" s="3">
        <f>_xlfn.XLOOKUP(AF$1,generator!$B$2:$B$295,generator!$K$2:$K$295,"ARGH")</f>
        <v>0</v>
      </c>
      <c r="AG42" s="3">
        <f>_xlfn.XLOOKUP(AG$1,generator!$B$2:$B$295,generator!$K$2:$K$295,"ARGH")</f>
        <v>0</v>
      </c>
      <c r="AH42" s="3">
        <f>_xlfn.XLOOKUP(AH$1,generator!$B$2:$B$295,generator!$K$2:$K$295,"ARGH")</f>
        <v>0</v>
      </c>
      <c r="AI42" s="3">
        <f>_xlfn.XLOOKUP(AI$1,generator!$B$2:$B$295,generator!$K$2:$K$295,"ARGH")</f>
        <v>0</v>
      </c>
      <c r="AJ42" s="3">
        <f>_xlfn.XLOOKUP(AJ$1,generator!$B$2:$B$295,generator!$K$2:$K$295,"ARGH")</f>
        <v>0</v>
      </c>
      <c r="AK42" s="3">
        <f>_xlfn.XLOOKUP(AK$1,generator!$B$2:$B$295,generator!$K$2:$K$295,"ARGH")</f>
        <v>0</v>
      </c>
      <c r="AL42" s="3">
        <f>_xlfn.XLOOKUP(AL$1,generator!$B$2:$B$295,generator!$K$2:$K$295,"ARGH")</f>
        <v>0</v>
      </c>
      <c r="AM42" s="3">
        <f>_xlfn.XLOOKUP(AM$1,generator!$B$2:$B$295,generator!$K$2:$K$295,"ARGH")</f>
        <v>0</v>
      </c>
      <c r="AN42" s="3">
        <f>_xlfn.XLOOKUP(AN$1,generator!$B$2:$B$295,generator!$K$2:$K$295,"ARGH")</f>
        <v>0</v>
      </c>
      <c r="AO42" s="3">
        <f>_xlfn.XLOOKUP(AO$1,generator!$B$2:$B$295,generator!$K$2:$K$295,"ARGH")</f>
        <v>0</v>
      </c>
      <c r="AP42" s="3">
        <f>_xlfn.XLOOKUP(AP$1,generator!$B$2:$B$295,generator!$K$2:$K$295,"ARGH")</f>
        <v>0</v>
      </c>
      <c r="AQ42" s="3">
        <f>_xlfn.XLOOKUP(AQ$1,generator!$B$2:$B$295,generator!$K$2:$K$295,"ARGH")</f>
        <v>0</v>
      </c>
      <c r="AR42" s="3">
        <f>_xlfn.XLOOKUP(AR$1,generator!$B$2:$B$295,generator!$K$2:$K$295,"ARGH")</f>
        <v>0</v>
      </c>
      <c r="AS42" s="3">
        <f>_xlfn.XLOOKUP(AS$1,generator!$B$2:$B$295,generator!$K$2:$K$295,"ARGH")</f>
        <v>0</v>
      </c>
      <c r="AT42" s="3">
        <f>_xlfn.XLOOKUP(AT$1,generator!$B$2:$B$295,generator!$K$2:$K$295,"ARGH")</f>
        <v>0</v>
      </c>
      <c r="AU42" s="3">
        <f>_xlfn.XLOOKUP(AU$1,generator!$B$2:$B$295,generator!$K$2:$K$295,"ARGH")</f>
        <v>0</v>
      </c>
      <c r="AV42" s="3">
        <f>_xlfn.XLOOKUP(AV$1,generator!$B$2:$B$295,generator!$K$2:$K$295,"ARGH")</f>
        <v>0</v>
      </c>
      <c r="AW42" s="3">
        <f>_xlfn.XLOOKUP(AW$1,generator!$B$2:$B$295,generator!$K$2:$K$295,"ARGH")</f>
        <v>0</v>
      </c>
      <c r="AX42" s="3">
        <f>_xlfn.XLOOKUP(AX$1,generator!$B$2:$B$295,generator!$K$2:$K$295,"ARGH")</f>
        <v>0</v>
      </c>
      <c r="AY42" s="3">
        <f>_xlfn.XLOOKUP(AY$1,generator!$B$2:$B$295,generator!$K$2:$K$295,"ARGH")</f>
        <v>0</v>
      </c>
      <c r="AZ42" s="3">
        <f>_xlfn.XLOOKUP(AZ$1,generator!$B$2:$B$295,generator!$K$2:$K$295,"ARGH")</f>
        <v>0</v>
      </c>
      <c r="BA42" s="3">
        <f>_xlfn.XLOOKUP(BA$1,generator!$B$2:$B$295,generator!$K$2:$K$295,"ARGH")</f>
        <v>0</v>
      </c>
      <c r="BB42" s="3">
        <f>_xlfn.XLOOKUP(BB$1,generator!$B$2:$B$295,generator!$K$2:$K$295,"ARGH")</f>
        <v>0</v>
      </c>
      <c r="BC42" s="3">
        <f>_xlfn.XLOOKUP(BC$1,generator!$B$2:$B$295,generator!$K$2:$K$295,"ARGH")</f>
        <v>0</v>
      </c>
      <c r="BD42" s="3">
        <f>_xlfn.XLOOKUP(BD$1,generator!$B$2:$B$295,generator!$K$2:$K$295,"ARGH")</f>
        <v>0</v>
      </c>
      <c r="BE42" s="3">
        <f>_xlfn.XLOOKUP(BE$1,generator!$B$2:$B$295,generator!$K$2:$K$295,"ARGH")</f>
        <v>0</v>
      </c>
      <c r="BF42" s="3">
        <f>_xlfn.XLOOKUP(BF$1,generator!$B$2:$B$295,generator!$K$2:$K$295,"ARGH")</f>
        <v>0</v>
      </c>
      <c r="BG42" s="3">
        <f>_xlfn.XLOOKUP(BG$1,generator!$B$2:$B$295,generator!$K$2:$K$295,"ARGH")</f>
        <v>0</v>
      </c>
      <c r="BH42" s="3">
        <f>_xlfn.XLOOKUP(BH$1,generator!$B$2:$B$295,generator!$K$2:$K$295,"ARGH")</f>
        <v>0</v>
      </c>
      <c r="BI42" s="3">
        <f>_xlfn.XLOOKUP(BI$1,generator!$B$2:$B$295,generator!$K$2:$K$295,"ARGH")</f>
        <v>0</v>
      </c>
      <c r="BJ42" s="3">
        <f>_xlfn.XLOOKUP(BJ$1,generator!$B$2:$B$295,generator!$K$2:$K$295,"ARGH")</f>
        <v>0</v>
      </c>
      <c r="BK42" s="3">
        <f>_xlfn.XLOOKUP(BK$1,generator!$B$2:$B$295,generator!$K$2:$K$295,"ARGH")</f>
        <v>0</v>
      </c>
      <c r="BL42" s="3">
        <f>_xlfn.XLOOKUP(BL$1,generator!$B$2:$B$295,generator!$K$2:$K$295,"ARGH")</f>
        <v>0</v>
      </c>
      <c r="BM42" s="3">
        <f>_xlfn.XLOOKUP(BM$1,generator!$B$2:$B$295,generator!$K$2:$K$295,"ARGH")</f>
        <v>0</v>
      </c>
      <c r="BN42" s="3">
        <f>_xlfn.XLOOKUP(BN$1,generator!$B$2:$B$295,generator!$K$2:$K$295,"ARGH")</f>
        <v>0</v>
      </c>
      <c r="BO42" s="3">
        <f>_xlfn.XLOOKUP(BO$1,generator!$B$2:$B$295,generator!$K$2:$K$295,"ARGH")</f>
        <v>0</v>
      </c>
      <c r="BP42" s="3">
        <f>_xlfn.XLOOKUP(BP$1,generator!$B$2:$B$295,generator!$K$2:$K$295,"ARGH")</f>
        <v>0</v>
      </c>
      <c r="BQ42" s="3">
        <f>_xlfn.XLOOKUP(BQ$1,generator!$B$2:$B$295,generator!$K$2:$K$295,"ARGH")</f>
        <v>0</v>
      </c>
      <c r="BR42" s="3">
        <f>_xlfn.XLOOKUP(BR$1,generator!$B$2:$B$295,generator!$K$2:$K$295,"ARGH")</f>
        <v>0</v>
      </c>
      <c r="BS42" s="3">
        <f>_xlfn.XLOOKUP(BS$1,generator!$B$2:$B$295,generator!$K$2:$K$295,"ARGH")</f>
        <v>0</v>
      </c>
      <c r="BT42" s="3">
        <f>_xlfn.XLOOKUP(BT$1,generator!$B$2:$B$295,generator!$K$2:$K$295,"ARGH")</f>
        <v>0</v>
      </c>
      <c r="BU42" s="3">
        <f>_xlfn.XLOOKUP(BU$1,generator!$B$2:$B$295,generator!$K$2:$K$295,"ARGH")</f>
        <v>0</v>
      </c>
      <c r="BV42" s="3">
        <f>_xlfn.XLOOKUP(BV$1,generator!$B$2:$B$295,generator!$K$2:$K$295,"ARGH")</f>
        <v>0</v>
      </c>
      <c r="BW42" s="3">
        <f>_xlfn.XLOOKUP(BW$1,generator!$B$2:$B$295,generator!$K$2:$K$295,"ARGH")</f>
        <v>0</v>
      </c>
      <c r="BX42" s="3">
        <f>_xlfn.XLOOKUP(BX$1,generator!$B$2:$B$295,generator!$K$2:$K$295,"ARGH")</f>
        <v>0</v>
      </c>
      <c r="BY42" s="3">
        <f>_xlfn.XLOOKUP(BY$1,generator!$B$2:$B$295,generator!$K$2:$K$295,"ARGH")</f>
        <v>0</v>
      </c>
      <c r="BZ42" s="3">
        <f>_xlfn.XLOOKUP(BZ$1,generator!$B$2:$B$295,generator!$K$2:$K$295,"ARGH")</f>
        <v>0</v>
      </c>
      <c r="CA42" s="3">
        <f>_xlfn.XLOOKUP(CA$1,generator!$B$2:$B$295,generator!$K$2:$K$295,"ARGH")</f>
        <v>0</v>
      </c>
      <c r="CB42" s="3">
        <f>_xlfn.XLOOKUP(CB$1,generator!$B$2:$B$295,generator!$K$2:$K$295,"ARGH")</f>
        <v>0</v>
      </c>
      <c r="CC42" s="3">
        <f>_xlfn.XLOOKUP(CC$1,generator!$B$2:$B$295,generator!$K$2:$K$295,"ARGH")</f>
        <v>0</v>
      </c>
      <c r="CD42" s="3">
        <f>_xlfn.XLOOKUP(CD$1,generator!$B$2:$B$295,generator!$K$2:$K$295,"ARGH")</f>
        <v>0</v>
      </c>
      <c r="CE42" s="3">
        <f>_xlfn.XLOOKUP(CE$1,generator!$B$2:$B$295,generator!$K$2:$K$295,"ARGH")</f>
        <v>0</v>
      </c>
      <c r="CF42" s="3">
        <f>_xlfn.XLOOKUP(CF$1,generator!$B$2:$B$295,generator!$K$2:$K$295,"ARGH")</f>
        <v>0</v>
      </c>
      <c r="CG42" s="3">
        <f>_xlfn.XLOOKUP(CG$1,generator!$B$2:$B$295,generator!$K$2:$K$295,"ARGH")</f>
        <v>0</v>
      </c>
      <c r="CH42" s="3">
        <f>_xlfn.XLOOKUP(CH$1,generator!$B$2:$B$295,generator!$K$2:$K$295,"ARGH")</f>
        <v>0</v>
      </c>
      <c r="CI42" s="3">
        <f>_xlfn.XLOOKUP(CI$1,generator!$B$2:$B$295,generator!$K$2:$K$295,"ARGH")</f>
        <v>0</v>
      </c>
      <c r="CJ42" s="3">
        <f>_xlfn.XLOOKUP(CJ$1,generator!$B$2:$B$295,generator!$K$2:$K$295,"ARGH")</f>
        <v>0</v>
      </c>
      <c r="CK42" s="3">
        <f>_xlfn.XLOOKUP(CK$1,generator!$B$2:$B$295,generator!$K$2:$K$295,"ARGH")</f>
        <v>0</v>
      </c>
      <c r="CL42" s="3">
        <f>_xlfn.XLOOKUP(CL$1,generator!$B$2:$B$295,generator!$K$2:$K$295,"ARGH")</f>
        <v>0</v>
      </c>
      <c r="CM42" s="3">
        <f>_xlfn.XLOOKUP(CM$1,generator!$B$2:$B$295,generator!$K$2:$K$295,"ARGH")</f>
        <v>0</v>
      </c>
      <c r="CN42" s="3">
        <f>_xlfn.XLOOKUP(CN$1,generator!$B$2:$B$295,generator!$K$2:$K$295,"ARGH")</f>
        <v>0</v>
      </c>
      <c r="CO42" s="3">
        <f>_xlfn.XLOOKUP(CO$1,generator!$B$2:$B$295,generator!$K$2:$K$295,"ARGH")</f>
        <v>0</v>
      </c>
      <c r="CP42" s="3">
        <f>_xlfn.XLOOKUP(CP$1,generator!$B$2:$B$295,generator!$K$2:$K$295,"ARGH")</f>
        <v>0</v>
      </c>
      <c r="CQ42" s="3">
        <f>_xlfn.XLOOKUP(CQ$1,generator!$B$2:$B$295,generator!$K$2:$K$295,"ARGH")</f>
        <v>0</v>
      </c>
      <c r="CR42" s="3">
        <f>_xlfn.XLOOKUP(CR$1,generator!$B$2:$B$295,generator!$K$2:$K$295,"ARGH")</f>
        <v>0</v>
      </c>
      <c r="CS42" s="3">
        <f>_xlfn.XLOOKUP(CS$1,generator!$B$2:$B$295,generator!$K$2:$K$295,"ARGH")</f>
        <v>0</v>
      </c>
      <c r="CT42" s="3">
        <f>_xlfn.XLOOKUP(CT$1,generator!$B$2:$B$295,generator!$K$2:$K$295,"ARGH")</f>
        <v>0</v>
      </c>
      <c r="CU42" s="3">
        <f>_xlfn.XLOOKUP(CU$1,generator!$B$2:$B$295,generator!$K$2:$K$295,"ARGH")</f>
        <v>0</v>
      </c>
      <c r="CV42" s="3">
        <f>_xlfn.XLOOKUP(CV$1,generator!$B$2:$B$295,generator!$K$2:$K$295,"ARGH")</f>
        <v>0</v>
      </c>
      <c r="CW42" s="3">
        <f>_xlfn.XLOOKUP(CW$1,generator!$B$2:$B$295,generator!$K$2:$K$295,"ARGH")</f>
        <v>0</v>
      </c>
      <c r="CX42" s="3">
        <f>_xlfn.XLOOKUP(CX$1,generator!$B$2:$B$295,generator!$K$2:$K$295,"ARGH")</f>
        <v>0</v>
      </c>
      <c r="CY42" s="3">
        <f>_xlfn.XLOOKUP(CY$1,generator!$B$2:$B$295,generator!$K$2:$K$295,"ARGH")</f>
        <v>0</v>
      </c>
      <c r="CZ42" s="3">
        <f>_xlfn.XLOOKUP(CZ$1,generator!$B$2:$B$295,generator!$K$2:$K$295,"ARGH")</f>
        <v>0</v>
      </c>
      <c r="DA42" s="3">
        <f>_xlfn.XLOOKUP(DA$1,generator!$B$2:$B$295,generator!$K$2:$K$295,"ARGH")</f>
        <v>0</v>
      </c>
      <c r="DB42" s="3">
        <f>_xlfn.XLOOKUP(DB$1,generator!$B$2:$B$295,generator!$K$2:$K$295,"ARGH")</f>
        <v>0</v>
      </c>
      <c r="DC42" s="3">
        <f>_xlfn.XLOOKUP(DC$1,generator!$B$2:$B$295,generator!$K$2:$K$295,"ARGH")</f>
        <v>0</v>
      </c>
      <c r="DD42" s="3">
        <f>_xlfn.XLOOKUP(DD$1,generator!$B$2:$B$295,generator!$K$2:$K$295,"ARGH")</f>
        <v>0</v>
      </c>
      <c r="DE42" s="3">
        <f>_xlfn.XLOOKUP(DE$1,generator!$B$2:$B$295,generator!$K$2:$K$295,"ARGH")</f>
        <v>0</v>
      </c>
      <c r="DF42" s="3">
        <f>_xlfn.XLOOKUP(DF$1,generator!$B$2:$B$295,generator!$K$2:$K$295,"ARGH")</f>
        <v>0</v>
      </c>
      <c r="DG42" s="3">
        <f>_xlfn.XLOOKUP(DG$1,generator!$B$2:$B$295,generator!$K$2:$K$295,"ARGH")</f>
        <v>0</v>
      </c>
      <c r="DH42" s="3">
        <f>_xlfn.XLOOKUP(DH$1,generator!$B$2:$B$295,generator!$K$2:$K$295,"ARGH")</f>
        <v>0</v>
      </c>
      <c r="DI42" s="3">
        <f>_xlfn.XLOOKUP(DI$1,generator!$B$2:$B$295,generator!$K$2:$K$295,"ARGH")</f>
        <v>0</v>
      </c>
      <c r="DJ42" s="3">
        <f>_xlfn.XLOOKUP(DJ$1,generator!$B$2:$B$295,generator!$K$2:$K$295,"ARGH")</f>
        <v>0</v>
      </c>
      <c r="DK42" s="3">
        <f>_xlfn.XLOOKUP(DK$1,generator!$B$2:$B$295,generator!$K$2:$K$295,"ARGH")</f>
        <v>0</v>
      </c>
      <c r="DL42" s="3">
        <f>_xlfn.XLOOKUP(DL$1,generator!$B$2:$B$295,generator!$K$2:$K$295,"ARGH")</f>
        <v>0</v>
      </c>
      <c r="DM42" s="3">
        <f>_xlfn.XLOOKUP(DM$1,generator!$B$2:$B$295,generator!$K$2:$K$295,"ARGH")</f>
        <v>0</v>
      </c>
      <c r="DN42" s="3">
        <f>_xlfn.XLOOKUP(DN$1,generator!$B$2:$B$295,generator!$K$2:$K$295,"ARGH")</f>
        <v>0</v>
      </c>
      <c r="DO42" s="3">
        <f>_xlfn.XLOOKUP(DO$1,generator!$B$2:$B$295,generator!$K$2:$K$295,"ARGH")</f>
        <v>0</v>
      </c>
      <c r="DP42" s="3">
        <f>_xlfn.XLOOKUP(DP$1,generator!$B$2:$B$295,generator!$K$2:$K$295,"ARGH")</f>
        <v>0</v>
      </c>
      <c r="DQ42" s="3">
        <f>_xlfn.XLOOKUP(DQ$1,generator!$B$2:$B$295,generator!$K$2:$K$295,"ARGH")</f>
        <v>0</v>
      </c>
      <c r="DR42" s="3">
        <f>_xlfn.XLOOKUP(DR$1,generator!$B$2:$B$295,generator!$K$2:$K$295,"ARGH")</f>
        <v>0</v>
      </c>
      <c r="DS42" s="3">
        <f>_xlfn.XLOOKUP(DS$1,generator!$B$2:$B$295,generator!$K$2:$K$295,"ARGH")</f>
        <v>0</v>
      </c>
      <c r="DT42" s="3">
        <f>_xlfn.XLOOKUP(DT$1,generator!$B$2:$B$295,generator!$K$2:$K$295,"ARGH")</f>
        <v>0</v>
      </c>
      <c r="DU42" s="3">
        <f>_xlfn.XLOOKUP(DU$1,generator!$B$2:$B$295,generator!$K$2:$K$295,"ARGH")</f>
        <v>0</v>
      </c>
      <c r="DV42" s="3">
        <f>_xlfn.XLOOKUP(DV$1,generator!$B$2:$B$295,generator!$K$2:$K$295,"ARGH")</f>
        <v>0</v>
      </c>
      <c r="DW42" s="3">
        <f>_xlfn.XLOOKUP(DW$1,generator!$B$2:$B$295,generator!$K$2:$K$295,"ARGH")</f>
        <v>0</v>
      </c>
      <c r="DX42" s="3">
        <f>_xlfn.XLOOKUP(DX$1,generator!$B$2:$B$295,generator!$K$2:$K$295,"ARGH")</f>
        <v>0</v>
      </c>
      <c r="DY42" s="3">
        <f>_xlfn.XLOOKUP(DY$1,generator!$B$2:$B$295,generator!$K$2:$K$295,"ARGH")</f>
        <v>0</v>
      </c>
      <c r="DZ42" s="3">
        <f>_xlfn.XLOOKUP(DZ$1,generator!$B$2:$B$295,generator!$K$2:$K$295,"ARGH")</f>
        <v>0</v>
      </c>
      <c r="EA42" s="3">
        <f>_xlfn.XLOOKUP(EA$1,generator!$B$2:$B$295,generator!$K$2:$K$295,"ARGH")</f>
        <v>0</v>
      </c>
      <c r="EB42" s="3">
        <f>_xlfn.XLOOKUP(EB$1,generator!$B$2:$B$295,generator!$K$2:$K$295,"ARGH")</f>
        <v>0</v>
      </c>
      <c r="EC42" s="3">
        <f>_xlfn.XLOOKUP(EC$1,generator!$B$2:$B$295,generator!$K$2:$K$295,"ARGH")</f>
        <v>0</v>
      </c>
      <c r="ED42" s="3">
        <f>_xlfn.XLOOKUP(ED$1,generator!$B$2:$B$295,generator!$K$2:$K$295,"ARGH")</f>
        <v>0</v>
      </c>
      <c r="EE42" s="3">
        <f>_xlfn.XLOOKUP(EE$1,generator!$B$2:$B$295,generator!$K$2:$K$295,"ARGH")</f>
        <v>0</v>
      </c>
      <c r="EF42" s="3">
        <f>_xlfn.XLOOKUP(EF$1,generator!$B$2:$B$295,generator!$K$2:$K$295,"ARGH")</f>
        <v>0</v>
      </c>
      <c r="EG42" s="3">
        <f>_xlfn.XLOOKUP(EG$1,generator!$B$2:$B$295,generator!$K$2:$K$295,"ARGH")</f>
        <v>0</v>
      </c>
      <c r="EH42" s="3">
        <f>_xlfn.XLOOKUP(EH$1,generator!$B$2:$B$295,generator!$K$2:$K$295,"ARGH")</f>
        <v>0</v>
      </c>
      <c r="EI42" s="3">
        <f>_xlfn.XLOOKUP(EI$1,generator!$B$2:$B$295,generator!$K$2:$K$295,"ARGH")</f>
        <v>0</v>
      </c>
      <c r="EJ42" s="3">
        <f>_xlfn.XLOOKUP(EJ$1,generator!$B$2:$B$295,generator!$K$2:$K$295,"ARGH")</f>
        <v>0</v>
      </c>
      <c r="EK42" s="3">
        <f>_xlfn.XLOOKUP(EK$1,generator!$B$2:$B$295,generator!$K$2:$K$295,"ARGH")</f>
        <v>0</v>
      </c>
      <c r="EL42" s="3">
        <f>_xlfn.XLOOKUP(EL$1,generator!$B$2:$B$295,generator!$K$2:$K$295,"ARGH")</f>
        <v>0</v>
      </c>
      <c r="EM42" s="3">
        <f>_xlfn.XLOOKUP(EM$1,generator!$B$2:$B$295,generator!$K$2:$K$295,"ARGH")</f>
        <v>0</v>
      </c>
      <c r="EN42" s="3">
        <f>_xlfn.XLOOKUP(EN$1,generator!$B$2:$B$295,generator!$K$2:$K$295,"ARGH")</f>
        <v>0</v>
      </c>
      <c r="EO42" s="3">
        <f>_xlfn.XLOOKUP(EO$1,generator!$B$2:$B$295,generator!$K$2:$K$295,"ARGH")</f>
        <v>0</v>
      </c>
      <c r="EP42" s="3">
        <f>_xlfn.XLOOKUP(EP$1,generator!$B$2:$B$295,generator!$K$2:$K$295,"ARGH")</f>
        <v>0</v>
      </c>
      <c r="EQ42" s="3">
        <f>_xlfn.XLOOKUP(EQ$1,generator!$B$2:$B$295,generator!$K$2:$K$295,"ARGH")</f>
        <v>0</v>
      </c>
      <c r="ER42" s="3">
        <f>_xlfn.XLOOKUP(ER$1,generator!$B$2:$B$295,generator!$K$2:$K$295,"ARGH")</f>
        <v>0</v>
      </c>
      <c r="ES42" s="3">
        <f>_xlfn.XLOOKUP(ES$1,generator!$B$2:$B$295,generator!$K$2:$K$295,"ARGH")</f>
        <v>0</v>
      </c>
      <c r="ET42" s="3">
        <f>_xlfn.XLOOKUP(ET$1,generator!$B$2:$B$295,generator!$K$2:$K$295,"ARGH")</f>
        <v>0</v>
      </c>
      <c r="EU42" s="3">
        <f>_xlfn.XLOOKUP(EU$1,generator!$B$2:$B$295,generator!$K$2:$K$295,"ARGH")</f>
        <v>0</v>
      </c>
      <c r="EV42" s="3">
        <f>_xlfn.XLOOKUP(EV$1,generator!$B$2:$B$295,generator!$K$2:$K$295,"ARGH")</f>
        <v>0</v>
      </c>
      <c r="EW42" s="3">
        <f>_xlfn.XLOOKUP(EW$1,generator!$B$2:$B$295,generator!$K$2:$K$295,"ARGH")</f>
        <v>0</v>
      </c>
      <c r="EX42" s="3">
        <f>_xlfn.XLOOKUP(EX$1,generator!$B$2:$B$295,generator!$K$2:$K$295,"ARGH")</f>
        <v>0</v>
      </c>
      <c r="EY42" s="3">
        <f>_xlfn.XLOOKUP(EY$1,generator!$B$2:$B$295,generator!$K$2:$K$295,"ARGH")</f>
        <v>0</v>
      </c>
      <c r="EZ42" s="3">
        <f>_xlfn.XLOOKUP(EZ$1,generator!$B$2:$B$295,generator!$K$2:$K$295,"ARGH")</f>
        <v>0</v>
      </c>
      <c r="FA42" s="3">
        <f>_xlfn.XLOOKUP(FA$1,generator!$B$2:$B$295,generator!$K$2:$K$295,"ARGH")</f>
        <v>0</v>
      </c>
      <c r="FB42" s="3">
        <f>_xlfn.XLOOKUP(FB$1,generator!$B$2:$B$295,generator!$K$2:$K$295,"ARGH")</f>
        <v>0</v>
      </c>
      <c r="FC42" s="3">
        <f>_xlfn.XLOOKUP(FC$1,generator!$B$2:$B$295,generator!$K$2:$K$295,"ARGH")</f>
        <v>0</v>
      </c>
      <c r="FD42" s="3">
        <f>_xlfn.XLOOKUP(FD$1,generator!$B$2:$B$295,generator!$K$2:$K$295,"ARGH")</f>
        <v>0</v>
      </c>
      <c r="FE42" s="3">
        <f>_xlfn.XLOOKUP(FE$1,generator!$B$2:$B$295,generator!$K$2:$K$295,"ARGH")</f>
        <v>0</v>
      </c>
      <c r="FF42" s="3">
        <f>_xlfn.XLOOKUP(FF$1,generator!$B$2:$B$295,generator!$K$2:$K$295,"ARGH")</f>
        <v>0</v>
      </c>
      <c r="FG42" s="3">
        <f>_xlfn.XLOOKUP(FG$1,generator!$B$2:$B$295,generator!$K$2:$K$295,"ARGH")</f>
        <v>0</v>
      </c>
      <c r="FH42" s="3">
        <f>_xlfn.XLOOKUP(FH$1,generator!$B$2:$B$295,generator!$K$2:$K$295,"ARGH")</f>
        <v>0</v>
      </c>
      <c r="FI42" s="3">
        <f>_xlfn.XLOOKUP(FI$1,generator!$B$2:$B$295,generator!$K$2:$K$295,"ARGH")</f>
        <v>0</v>
      </c>
      <c r="FJ42" s="3">
        <f>_xlfn.XLOOKUP(FJ$1,generator!$B$2:$B$295,generator!$K$2:$K$295,"ARGH")</f>
        <v>0</v>
      </c>
      <c r="FK42" s="3">
        <f>_xlfn.XLOOKUP(FK$1,generator!$B$2:$B$295,generator!$K$2:$K$295,"ARGH")</f>
        <v>0</v>
      </c>
      <c r="FL42" s="3">
        <f>_xlfn.XLOOKUP(FL$1,generator!$B$2:$B$295,generator!$K$2:$K$295,"ARGH")</f>
        <v>0</v>
      </c>
      <c r="FM42" s="3">
        <f>_xlfn.XLOOKUP(FM$1,generator!$B$2:$B$295,generator!$K$2:$K$295,"ARGH")</f>
        <v>0</v>
      </c>
      <c r="FN42" s="3">
        <f>_xlfn.XLOOKUP(FN$1,generator!$B$2:$B$295,generator!$K$2:$K$295,"ARGH")</f>
        <v>0</v>
      </c>
      <c r="FO42" s="3">
        <f>_xlfn.XLOOKUP(FO$1,generator!$B$2:$B$295,generator!$K$2:$K$295,"ARGH")</f>
        <v>0</v>
      </c>
      <c r="FP42" s="3">
        <f>_xlfn.XLOOKUP(FP$1,generator!$B$2:$B$295,generator!$K$2:$K$295,"ARGH")</f>
        <v>0</v>
      </c>
      <c r="FQ42" s="3">
        <f>_xlfn.XLOOKUP(FQ$1,generator!$B$2:$B$295,generator!$K$2:$K$295,"ARGH")</f>
        <v>0</v>
      </c>
      <c r="FR42" s="3">
        <f>_xlfn.XLOOKUP(FR$1,generator!$B$2:$B$295,generator!$K$2:$K$295,"ARGH")</f>
        <v>0</v>
      </c>
      <c r="FS42" s="3">
        <f>_xlfn.XLOOKUP(FS$1,generator!$B$2:$B$295,generator!$K$2:$K$295,"ARGH")</f>
        <v>0</v>
      </c>
      <c r="FT42" s="3">
        <f>_xlfn.XLOOKUP(FT$1,generator!$B$2:$B$295,generator!$K$2:$K$295,"ARGH")</f>
        <v>0</v>
      </c>
      <c r="FU42" s="3">
        <f>_xlfn.XLOOKUP(FU$1,generator!$B$2:$B$295,generator!$K$2:$K$295,"ARGH")</f>
        <v>0</v>
      </c>
      <c r="FV42" s="3">
        <f>_xlfn.XLOOKUP(FV$1,generator!$B$2:$B$295,generator!$K$2:$K$295,"ARGH")</f>
        <v>0</v>
      </c>
      <c r="FW42" s="3">
        <f>_xlfn.XLOOKUP(FW$1,generator!$B$2:$B$295,generator!$K$2:$K$295,"ARGH")</f>
        <v>0</v>
      </c>
      <c r="FX42" s="3">
        <f>_xlfn.XLOOKUP(FX$1,generator!$B$2:$B$295,generator!$K$2:$K$295,"ARGH")</f>
        <v>0</v>
      </c>
      <c r="FY42" s="3">
        <f>_xlfn.XLOOKUP(FY$1,generator!$B$2:$B$295,generator!$K$2:$K$295,"ARGH")</f>
        <v>0</v>
      </c>
      <c r="FZ42" s="3">
        <f>_xlfn.XLOOKUP(FZ$1,generator!$B$2:$B$295,generator!$K$2:$K$295,"ARGH")</f>
        <v>0</v>
      </c>
      <c r="GA42" s="3">
        <f>_xlfn.XLOOKUP(GA$1,generator!$B$2:$B$295,generator!$K$2:$K$295,"ARGH")</f>
        <v>0</v>
      </c>
      <c r="GB42" s="3">
        <f>_xlfn.XLOOKUP(GB$1,generator!$B$2:$B$295,generator!$K$2:$K$295,"ARGH")</f>
        <v>0</v>
      </c>
      <c r="GC42" s="3">
        <f>_xlfn.XLOOKUP(GC$1,generator!$B$2:$B$295,generator!$K$2:$K$295,"ARGH")</f>
        <v>0</v>
      </c>
      <c r="GD42" s="3">
        <f>_xlfn.XLOOKUP(GD$1,generator!$B$2:$B$295,generator!$K$2:$K$295,"ARGH")</f>
        <v>0</v>
      </c>
      <c r="GE42" s="3">
        <f>_xlfn.XLOOKUP(GE$1,generator!$B$2:$B$295,generator!$K$2:$K$295,"ARGH")</f>
        <v>0</v>
      </c>
      <c r="GF42" s="3">
        <f>_xlfn.XLOOKUP(GF$1,generator!$B$2:$B$295,generator!$K$2:$K$295,"ARGH")</f>
        <v>0</v>
      </c>
      <c r="GG42" s="3">
        <f>_xlfn.XLOOKUP(GG$1,generator!$B$2:$B$295,generator!$K$2:$K$295,"ARGH")</f>
        <v>0</v>
      </c>
      <c r="GH42" s="3">
        <f>_xlfn.XLOOKUP(GH$1,generator!$B$2:$B$295,generator!$K$2:$K$295,"ARGH")</f>
        <v>0</v>
      </c>
      <c r="GI42" s="3">
        <f>_xlfn.XLOOKUP(GI$1,generator!$B$2:$B$295,generator!$K$2:$K$295,"ARGH")</f>
        <v>0</v>
      </c>
      <c r="GJ42" s="3">
        <f>_xlfn.XLOOKUP(GJ$1,generator!$B$2:$B$295,generator!$K$2:$K$295,"ARGH")</f>
        <v>0</v>
      </c>
      <c r="GK42" s="3">
        <f>_xlfn.XLOOKUP(GK$1,generator!$B$2:$B$295,generator!$K$2:$K$295,"ARGH")</f>
        <v>0</v>
      </c>
      <c r="GL42" s="3">
        <f>_xlfn.XLOOKUP(GL$1,generator!$B$2:$B$295,generator!$K$2:$K$295,"ARGH")</f>
        <v>0</v>
      </c>
      <c r="GM42" s="3">
        <f>_xlfn.XLOOKUP(GM$1,generator!$B$2:$B$295,generator!$K$2:$K$295,"ARGH")</f>
        <v>0</v>
      </c>
      <c r="GN42" s="3">
        <f>_xlfn.XLOOKUP(GN$1,generator!$B$2:$B$295,generator!$K$2:$K$295,"ARGH")</f>
        <v>0</v>
      </c>
      <c r="GO42" s="3">
        <f>_xlfn.XLOOKUP(GO$1,generator!$B$2:$B$295,generator!$K$2:$K$295,"ARGH")</f>
        <v>0</v>
      </c>
      <c r="GP42" s="3">
        <f>_xlfn.XLOOKUP(GP$1,generator!$B$2:$B$295,generator!$K$2:$K$295,"ARGH")</f>
        <v>0</v>
      </c>
      <c r="GQ42" s="3">
        <f>_xlfn.XLOOKUP(GQ$1,generator!$B$2:$B$295,generator!$K$2:$K$295,"ARGH")</f>
        <v>0</v>
      </c>
      <c r="GR42" s="3">
        <f>_xlfn.XLOOKUP(GR$1,generator!$B$2:$B$295,generator!$K$2:$K$295,"ARGH")</f>
        <v>0</v>
      </c>
      <c r="GS42" s="3">
        <f>_xlfn.XLOOKUP(GS$1,generator!$B$2:$B$295,generator!$K$2:$K$295,"ARGH")</f>
        <v>0</v>
      </c>
      <c r="GT42" s="3">
        <f>_xlfn.XLOOKUP(GT$1,generator!$B$2:$B$295,generator!$K$2:$K$295,"ARGH")</f>
        <v>0</v>
      </c>
      <c r="GU42" s="3">
        <f>_xlfn.XLOOKUP(GU$1,generator!$B$2:$B$295,generator!$K$2:$K$295,"ARGH")</f>
        <v>0</v>
      </c>
      <c r="GV42" s="3">
        <f>_xlfn.XLOOKUP(GV$1,generator!$B$2:$B$295,generator!$K$2:$K$295,"ARGH")</f>
        <v>0</v>
      </c>
      <c r="GW42" s="3">
        <f>_xlfn.XLOOKUP(GW$1,generator!$B$2:$B$295,generator!$K$2:$K$295,"ARGH")</f>
        <v>0</v>
      </c>
      <c r="GX42" s="3">
        <f>_xlfn.XLOOKUP(GX$1,generator!$B$2:$B$295,generator!$K$2:$K$295,"ARGH")</f>
        <v>0</v>
      </c>
      <c r="GY42" s="3">
        <f>_xlfn.XLOOKUP(GY$1,generator!$B$2:$B$295,generator!$K$2:$K$295,"ARGH")</f>
        <v>0</v>
      </c>
      <c r="GZ42" s="3">
        <f>_xlfn.XLOOKUP(GZ$1,generator!$B$2:$B$295,generator!$K$2:$K$295,"ARGH")</f>
        <v>0</v>
      </c>
      <c r="HA42" s="3">
        <f>_xlfn.XLOOKUP(HA$1,generator!$B$2:$B$295,generator!$K$2:$K$295,"ARGH")</f>
        <v>0</v>
      </c>
      <c r="HB42" s="3">
        <f>_xlfn.XLOOKUP(HB$1,generator!$B$2:$B$295,generator!$K$2:$K$295,"ARGH")</f>
        <v>0</v>
      </c>
      <c r="HC42" s="3">
        <f>_xlfn.XLOOKUP(HC$1,generator!$B$2:$B$295,generator!$K$2:$K$295,"ARGH")</f>
        <v>0</v>
      </c>
      <c r="HD42" s="3">
        <f>_xlfn.XLOOKUP(HD$1,generator!$B$2:$B$295,generator!$K$2:$K$295,"ARGH")</f>
        <v>0</v>
      </c>
      <c r="HE42" s="3">
        <f>_xlfn.XLOOKUP(HE$1,generator!$B$2:$B$295,generator!$K$2:$K$295,"ARGH")</f>
        <v>12.74</v>
      </c>
      <c r="HF42" s="3">
        <f>_xlfn.XLOOKUP(HF$1,generator!$B$2:$B$295,generator!$K$2:$K$295,"ARGH")</f>
        <v>99</v>
      </c>
      <c r="HG42" s="3">
        <f>_xlfn.XLOOKUP(HG$1,generator!$B$2:$B$295,generator!$K$2:$K$295,"ARGH")</f>
        <v>99</v>
      </c>
      <c r="HH42" s="3">
        <f>_xlfn.XLOOKUP(HH$1,generator!$B$2:$B$295,generator!$K$2:$K$295,"ARGH")</f>
        <v>99</v>
      </c>
      <c r="HI42" s="3">
        <f>_xlfn.XLOOKUP(HI$1,generator!$B$2:$B$295,generator!$K$2:$K$295,"ARGH")</f>
        <v>8</v>
      </c>
      <c r="HJ42" s="3">
        <f>_xlfn.XLOOKUP(HJ$1,generator!$B$2:$B$295,generator!$K$2:$K$295,"ARGH")</f>
        <v>8</v>
      </c>
      <c r="HK42" s="3">
        <f>_xlfn.XLOOKUP(HK$1,generator!$B$2:$B$295,generator!$K$2:$K$295,"ARGH")</f>
        <v>8</v>
      </c>
      <c r="HL42" s="3">
        <f>_xlfn.XLOOKUP(HL$1,generator!$B$2:$B$295,generator!$K$2:$K$295,"ARGH")</f>
        <v>20</v>
      </c>
      <c r="HM42" s="3">
        <f>_xlfn.XLOOKUP(HM$1,generator!$B$2:$B$295,generator!$K$2:$K$295,"ARGH")</f>
        <v>20</v>
      </c>
      <c r="HN42" s="3">
        <f>_xlfn.XLOOKUP(HN$1,generator!$B$2:$B$295,generator!$K$2:$K$295,"ARGH")</f>
        <v>5</v>
      </c>
      <c r="HO42" s="3">
        <f>_xlfn.XLOOKUP(HO$1,generator!$B$2:$B$295,generator!$K$2:$K$295,"ARGH")</f>
        <v>5</v>
      </c>
      <c r="HP42" s="3">
        <f>_xlfn.XLOOKUP(HP$1,generator!$B$2:$B$295,generator!$K$2:$K$295,"ARGH")</f>
        <v>0.2</v>
      </c>
      <c r="HQ42" s="3">
        <f>_xlfn.XLOOKUP(HQ$1,generator!$B$2:$B$295,generator!$K$2:$K$295,"ARGH")</f>
        <v>5</v>
      </c>
      <c r="HR42" s="3">
        <f>_xlfn.XLOOKUP(HR$1,generator!$B$2:$B$295,generator!$K$2:$K$295,"ARGH")</f>
        <v>5</v>
      </c>
      <c r="HS42" s="3">
        <f>_xlfn.XLOOKUP(HS$1,generator!$B$2:$B$295,generator!$K$2:$K$295,"ARGH")</f>
        <v>12.82</v>
      </c>
      <c r="HT42" s="3">
        <f>_xlfn.XLOOKUP(HT$1,generator!$B$2:$B$295,generator!$K$2:$K$295,"ARGH")</f>
        <v>12.82</v>
      </c>
      <c r="HU42" s="3">
        <f>_xlfn.XLOOKUP(HU$1,generator!$B$2:$B$295,generator!$K$2:$K$295,"ARGH")</f>
        <v>25</v>
      </c>
      <c r="HV42" s="3">
        <f>_xlfn.XLOOKUP(HV$1,generator!$B$2:$B$295,generator!$K$2:$K$295,"ARGH")</f>
        <v>16</v>
      </c>
      <c r="HW42" s="3">
        <f>_xlfn.XLOOKUP(HW$1,generator!$B$2:$B$295,generator!$K$2:$K$295,"ARGH")</f>
        <v>5</v>
      </c>
      <c r="HX42" s="3">
        <f>_xlfn.XLOOKUP(HX$1,generator!$B$2:$B$295,generator!$K$2:$K$295,"ARGH")</f>
        <v>5</v>
      </c>
      <c r="HY42" s="3">
        <f>_xlfn.XLOOKUP(HY$1,generator!$B$2:$B$295,generator!$K$2:$K$295,"ARGH")</f>
        <v>63</v>
      </c>
      <c r="HZ42" s="3">
        <f>_xlfn.XLOOKUP(HZ$1,generator!$B$2:$B$295,generator!$K$2:$K$295,"ARGH")</f>
        <v>18</v>
      </c>
      <c r="IA42" s="3">
        <f>_xlfn.XLOOKUP(IA$1,generator!$B$2:$B$295,generator!$K$2:$K$295,"ARGH")</f>
        <v>121</v>
      </c>
      <c r="IB42" s="3">
        <f>_xlfn.XLOOKUP(IB$1,generator!$B$2:$B$295,generator!$K$2:$K$295,"ARGH")</f>
        <v>120</v>
      </c>
      <c r="IC42" s="3">
        <f>_xlfn.XLOOKUP(IC$1,generator!$B$2:$B$295,generator!$K$2:$K$295,"ARGH")</f>
        <v>0</v>
      </c>
      <c r="ID42" s="3">
        <f>_xlfn.XLOOKUP(ID$1,generator!$B$2:$B$295,generator!$K$2:$K$295,"ARGH")</f>
        <v>17</v>
      </c>
      <c r="IE42" s="3">
        <f>_xlfn.XLOOKUP(IE$1,generator!$B$2:$B$295,generator!$K$2:$K$295,"ARGH")</f>
        <v>194</v>
      </c>
      <c r="IF42" s="3">
        <f>_xlfn.XLOOKUP(IF$1,generator!$B$2:$B$295,generator!$K$2:$K$295,"ARGH")</f>
        <v>11.9</v>
      </c>
      <c r="IG42" s="3">
        <f>_xlfn.XLOOKUP(IG$1,generator!$B$2:$B$295,generator!$K$2:$K$295,"ARGH")</f>
        <v>11.9</v>
      </c>
      <c r="IH42" s="3">
        <f>_xlfn.XLOOKUP(IH$1,generator!$B$2:$B$295,generator!$K$2:$K$295,"ARGH")</f>
        <v>11.9</v>
      </c>
      <c r="II42" s="3">
        <f>_xlfn.XLOOKUP(II$1,generator!$B$2:$B$295,generator!$K$2:$K$295,"ARGH")</f>
        <v>11.9</v>
      </c>
      <c r="IJ42" s="3">
        <f>_xlfn.XLOOKUP(IJ$1,generator!$B$2:$B$295,generator!$K$2:$K$295,"ARGH")</f>
        <v>0</v>
      </c>
      <c r="IK42" s="3">
        <f>_xlfn.XLOOKUP(IK$1,generator!$B$2:$B$295,generator!$K$2:$K$295,"ARGH")</f>
        <v>3</v>
      </c>
      <c r="IL42" s="3">
        <f>_xlfn.XLOOKUP(IL$1,generator!$B$2:$B$295,generator!$K$2:$K$295,"ARGH")</f>
        <v>5</v>
      </c>
      <c r="IM42" s="3">
        <f>_xlfn.XLOOKUP(IM$1,generator!$B$2:$B$295,generator!$K$2:$K$295,"ARGH")</f>
        <v>5</v>
      </c>
      <c r="IN42" s="3">
        <f>_xlfn.XLOOKUP(IN$1,generator!$B$2:$B$295,generator!$K$2:$K$295,"ARGH")</f>
        <v>4</v>
      </c>
      <c r="IO42" s="3">
        <f>_xlfn.XLOOKUP(IO$1,generator!$B$2:$B$295,generator!$K$2:$K$295,"ARGH")</f>
        <v>4</v>
      </c>
      <c r="IP42" s="3">
        <f>_xlfn.XLOOKUP(IP$1,generator!$B$2:$B$295,generator!$K$2:$K$295,"ARGH")</f>
        <v>3</v>
      </c>
      <c r="IQ42" s="3">
        <f>_xlfn.XLOOKUP(IQ$1,generator!$B$2:$B$295,generator!$K$2:$K$295,"ARGH")</f>
        <v>1</v>
      </c>
      <c r="IR42" s="3">
        <f>_xlfn.XLOOKUP(IR$1,generator!$B$2:$B$295,generator!$K$2:$K$295,"ARGH")</f>
        <v>3</v>
      </c>
      <c r="IS42" s="3">
        <f>_xlfn.XLOOKUP(IS$1,generator!$B$2:$B$295,generator!$K$2:$K$295,"ARGH")</f>
        <v>3</v>
      </c>
      <c r="IT42" s="3">
        <f>_xlfn.XLOOKUP(IT$1,generator!$B$2:$B$295,generator!$K$2:$K$295,"ARGH")</f>
        <v>0</v>
      </c>
      <c r="IU42" s="3">
        <f>_xlfn.XLOOKUP(IU$1,generator!$B$2:$B$295,generator!$K$2:$K$295,"ARGH")</f>
        <v>3.99</v>
      </c>
      <c r="IV42" s="3">
        <f>_xlfn.XLOOKUP(IV$1,generator!$B$2:$B$295,generator!$K$2:$K$295,"ARGH")</f>
        <v>0.2</v>
      </c>
      <c r="IW42" s="3">
        <f>_xlfn.XLOOKUP(IW$1,generator!$B$2:$B$295,generator!$K$2:$K$295,"ARGH")</f>
        <v>15</v>
      </c>
      <c r="IX42" s="3">
        <f>_xlfn.XLOOKUP(IX$1,generator!$B$2:$B$295,generator!$K$2:$K$295,"ARGH")</f>
        <v>15</v>
      </c>
      <c r="IY42" s="3">
        <f>_xlfn.XLOOKUP(IY$1,generator!$B$2:$B$295,generator!$K$2:$K$295,"ARGH")</f>
        <v>15</v>
      </c>
      <c r="IZ42" s="3">
        <f>_xlfn.XLOOKUP(IZ$1,generator!$B$2:$B$295,generator!$K$2:$K$295,"ARGH")</f>
        <v>120</v>
      </c>
      <c r="JA42" s="3">
        <f>_xlfn.XLOOKUP(JA$1,generator!$B$2:$B$295,generator!$K$2:$K$295,"ARGH")</f>
        <v>40</v>
      </c>
      <c r="JB42" s="3">
        <f>_xlfn.XLOOKUP(JB$1,generator!$B$2:$B$295,generator!$K$2:$K$295,"ARGH")</f>
        <v>40</v>
      </c>
      <c r="JC42" s="3">
        <f>_xlfn.XLOOKUP(JC$1,generator!$B$2:$B$295,generator!$K$2:$K$295,"ARGH")</f>
        <v>113</v>
      </c>
      <c r="JD42" s="3">
        <f>_xlfn.XLOOKUP(JD$1,generator!$B$2:$B$295,generator!$K$2:$K$295,"ARGH")</f>
        <v>113</v>
      </c>
      <c r="JE42" s="3">
        <f>_xlfn.XLOOKUP(JE$1,generator!$B$2:$B$295,generator!$K$2:$K$295,"ARGH")</f>
        <v>211</v>
      </c>
      <c r="JF42" s="3">
        <f>_xlfn.XLOOKUP(JF$1,generator!$B$2:$B$295,generator!$K$2:$K$295,"ARGH")</f>
        <v>22.5</v>
      </c>
      <c r="JG42" s="3">
        <f>_xlfn.XLOOKUP(JG$1,generator!$B$2:$B$295,generator!$K$2:$K$295,"ARGH")</f>
        <v>1</v>
      </c>
      <c r="JH42" s="3">
        <f>_xlfn.XLOOKUP(JH$1,generator!$B$2:$B$295,generator!$K$2:$K$295,"ARGH")</f>
        <v>160</v>
      </c>
      <c r="JI42" s="3">
        <f>_xlfn.XLOOKUP(JI$1,generator!$B$2:$B$295,generator!$K$2:$K$295,"ARGH")</f>
        <v>165</v>
      </c>
      <c r="JJ42" s="3">
        <f>_xlfn.XLOOKUP(JJ$1,generator!$B$2:$B$295,generator!$K$2:$K$295,"ARGH")</f>
        <v>4.5999999999999996</v>
      </c>
      <c r="JK42" s="3">
        <f>_xlfn.XLOOKUP(JK$1,generator!$B$2:$B$295,generator!$K$2:$K$295,"ARGH")</f>
        <v>4.5999999999999996</v>
      </c>
      <c r="JL42" s="3">
        <f>_xlfn.XLOOKUP(JL$1,generator!$B$2:$B$295,generator!$K$2:$K$295,"ARGH")</f>
        <v>4.5999999999999996</v>
      </c>
      <c r="JM42" s="3">
        <f>_xlfn.XLOOKUP(JM$1,generator!$B$2:$B$295,generator!$K$2:$K$295,"ARGH")</f>
        <v>4.5999999999999996</v>
      </c>
      <c r="JN42" s="3">
        <f>_xlfn.XLOOKUP(JN$1,generator!$B$2:$B$295,generator!$K$2:$K$295,"ARGH")</f>
        <v>4.5999999999999996</v>
      </c>
      <c r="JO42" s="3">
        <f>_xlfn.XLOOKUP(JO$1,generator!$B$2:$B$295,generator!$K$2:$K$295,"ARGH")</f>
        <v>4.5999999999999996</v>
      </c>
      <c r="JP42" s="3">
        <f>_xlfn.XLOOKUP(JP$1,generator!$B$2:$B$295,generator!$K$2:$K$295,"ARGH")</f>
        <v>110</v>
      </c>
      <c r="JQ42" s="3">
        <f>_xlfn.XLOOKUP(JQ$1,generator!$B$2:$B$295,generator!$K$2:$K$295,"ARGH")</f>
        <v>22.7</v>
      </c>
      <c r="JR42" s="3">
        <f>_xlfn.XLOOKUP(JR$1,generator!$B$2:$B$295,generator!$K$2:$K$295,"ARGH")</f>
        <v>147</v>
      </c>
      <c r="JS42" s="3">
        <f>_xlfn.XLOOKUP(JS$1,generator!$B$2:$B$295,generator!$K$2:$K$295,"ARGH")</f>
        <v>147</v>
      </c>
      <c r="JT42" s="3">
        <f>_xlfn.XLOOKUP(JT$1,generator!$B$2:$B$295,generator!$K$2:$K$295,"ARGH")</f>
        <v>22.7</v>
      </c>
      <c r="JU42" s="3">
        <f>_xlfn.XLOOKUP(JU$1,generator!$B$2:$B$295,generator!$K$2:$K$295,"ARGH")</f>
        <v>21.5</v>
      </c>
      <c r="JV42" s="3">
        <f>_xlfn.XLOOKUP(JV$1,generator!$B$2:$B$295,generator!$K$2:$K$295,"ARGH")</f>
        <v>120</v>
      </c>
      <c r="JW42" s="3">
        <f>_xlfn.XLOOKUP(JW$1,generator!$B$2:$B$295,generator!$K$2:$K$295,"ARGH")</f>
        <v>120</v>
      </c>
      <c r="JX42" s="3">
        <f>_xlfn.XLOOKUP(JX$1,generator!$B$2:$B$295,generator!$K$2:$K$295,"ARGH")</f>
        <v>1</v>
      </c>
      <c r="JY42" s="3">
        <f>_xlfn.XLOOKUP(JY$1,generator!$B$2:$B$295,generator!$K$2:$K$295,"ARGH")</f>
        <v>41.15</v>
      </c>
      <c r="JZ42" s="3">
        <f>_xlfn.XLOOKUP(JZ$1,generator!$B$2:$B$295,generator!$K$2:$K$295,"ARGH")</f>
        <v>5</v>
      </c>
      <c r="KA42" s="3">
        <f>_xlfn.XLOOKUP(KA$1,generator!$B$2:$B$295,generator!$K$2:$K$295,"ARGH")</f>
        <v>5</v>
      </c>
      <c r="KB42" s="3">
        <f>_xlfn.XLOOKUP(KB$1,generator!$B$2:$B$295,generator!$K$2:$K$295,"ARGH")</f>
        <v>5</v>
      </c>
      <c r="KC42" s="3">
        <f>_xlfn.XLOOKUP(KC$1,generator!$B$2:$B$295,generator!$K$2:$K$295,"ARGH")</f>
        <v>5</v>
      </c>
    </row>
    <row r="43" spans="1:289" x14ac:dyDescent="0.3">
      <c r="A43" s="4" t="s">
        <v>3038</v>
      </c>
      <c r="B43" s="31">
        <v>530</v>
      </c>
      <c r="C43" s="31">
        <v>513</v>
      </c>
      <c r="D43" s="31">
        <v>442</v>
      </c>
      <c r="E43" s="3">
        <f>_xlfn.XLOOKUP(E$1,generator!$B$2:$B$295,generator!$K$2:$K$295,"ARGH")</f>
        <v>0</v>
      </c>
      <c r="F43" s="3">
        <f>_xlfn.XLOOKUP(F$1,generator!$B$2:$B$295,generator!$K$2:$K$295,"ARGH")</f>
        <v>0</v>
      </c>
      <c r="G43" s="3">
        <f>_xlfn.XLOOKUP(G$1,generator!$B$2:$B$295,generator!$K$2:$K$295,"ARGH")</f>
        <v>0</v>
      </c>
      <c r="H43" s="3">
        <f>_xlfn.XLOOKUP(H$1,generator!$B$2:$B$295,generator!$K$2:$K$295,"ARGH")</f>
        <v>0</v>
      </c>
      <c r="I43" s="3">
        <f>_xlfn.XLOOKUP(I$1,generator!$B$2:$B$295,generator!$K$2:$K$295,"ARGH")</f>
        <v>0</v>
      </c>
      <c r="J43" s="3">
        <f>_xlfn.XLOOKUP(J$1,generator!$B$2:$B$295,generator!$K$2:$K$295,"ARGH")</f>
        <v>0</v>
      </c>
      <c r="K43" s="3">
        <f>_xlfn.XLOOKUP(K$1,generator!$B$2:$B$295,generator!$K$2:$K$295,"ARGH")</f>
        <v>0</v>
      </c>
      <c r="L43" s="3">
        <f>_xlfn.XLOOKUP(L$1,generator!$B$2:$B$295,generator!$K$2:$K$295,"ARGH")</f>
        <v>0</v>
      </c>
      <c r="M43" s="3">
        <f>_xlfn.XLOOKUP(M$1,generator!$B$2:$B$295,generator!$K$2:$K$295,"ARGH")</f>
        <v>0</v>
      </c>
      <c r="N43" s="3">
        <f>_xlfn.XLOOKUP(N$1,generator!$B$2:$B$295,generator!$K$2:$K$295,"ARGH")</f>
        <v>0</v>
      </c>
      <c r="O43" s="3">
        <f>_xlfn.XLOOKUP(O$1,generator!$B$2:$B$295,generator!$K$2:$K$295,"ARGH")</f>
        <v>0</v>
      </c>
      <c r="P43" s="3">
        <f>_xlfn.XLOOKUP(P$1,generator!$B$2:$B$295,generator!$K$2:$K$295,"ARGH")</f>
        <v>0</v>
      </c>
      <c r="Q43" s="3">
        <f>_xlfn.XLOOKUP(Q$1,generator!$B$2:$B$295,generator!$K$2:$K$295,"ARGH")</f>
        <v>0</v>
      </c>
      <c r="R43" s="3">
        <f>_xlfn.XLOOKUP(R$1,generator!$B$2:$B$295,generator!$K$2:$K$295,"ARGH")</f>
        <v>0</v>
      </c>
      <c r="S43" s="3">
        <f>_xlfn.XLOOKUP(S$1,generator!$B$2:$B$295,generator!$K$2:$K$295,"ARGH")</f>
        <v>0</v>
      </c>
      <c r="T43" s="3">
        <f>_xlfn.XLOOKUP(T$1,generator!$B$2:$B$295,generator!$K$2:$K$295,"ARGH")</f>
        <v>0</v>
      </c>
      <c r="U43" s="3">
        <f>_xlfn.XLOOKUP(U$1,generator!$B$2:$B$295,generator!$K$2:$K$295,"ARGH")</f>
        <v>0</v>
      </c>
      <c r="V43" s="3">
        <f>_xlfn.XLOOKUP(V$1,generator!$B$2:$B$295,generator!$K$2:$K$295,"ARGH")</f>
        <v>0</v>
      </c>
      <c r="W43" s="3">
        <f>_xlfn.XLOOKUP(W$1,generator!$B$2:$B$295,generator!$K$2:$K$295,"ARGH")</f>
        <v>0</v>
      </c>
      <c r="X43" s="3">
        <f>_xlfn.XLOOKUP(X$1,generator!$B$2:$B$295,generator!$K$2:$K$295,"ARGH")</f>
        <v>0</v>
      </c>
      <c r="Y43" s="3">
        <f>_xlfn.XLOOKUP(Y$1,generator!$B$2:$B$295,generator!$K$2:$K$295,"ARGH")</f>
        <v>0</v>
      </c>
      <c r="Z43" s="3">
        <f>_xlfn.XLOOKUP(Z$1,generator!$B$2:$B$295,generator!$K$2:$K$295,"ARGH")</f>
        <v>0</v>
      </c>
      <c r="AA43" s="3">
        <f>_xlfn.XLOOKUP(AA$1,generator!$B$2:$B$295,generator!$K$2:$K$295,"ARGH")</f>
        <v>0</v>
      </c>
      <c r="AB43" s="3">
        <f>_xlfn.XLOOKUP(AB$1,generator!$B$2:$B$295,generator!$K$2:$K$295,"ARGH")</f>
        <v>0</v>
      </c>
      <c r="AC43" s="3">
        <f>_xlfn.XLOOKUP(AC$1,generator!$B$2:$B$295,generator!$K$2:$K$295,"ARGH")</f>
        <v>0</v>
      </c>
      <c r="AD43" s="3">
        <f>_xlfn.XLOOKUP(AD$1,generator!$B$2:$B$295,generator!$K$2:$K$295,"ARGH")</f>
        <v>0</v>
      </c>
      <c r="AE43" s="3">
        <f>_xlfn.XLOOKUP(AE$1,generator!$B$2:$B$295,generator!$K$2:$K$295,"ARGH")</f>
        <v>0</v>
      </c>
      <c r="AF43" s="3">
        <f>_xlfn.XLOOKUP(AF$1,generator!$B$2:$B$295,generator!$K$2:$K$295,"ARGH")</f>
        <v>0</v>
      </c>
      <c r="AG43" s="3">
        <f>_xlfn.XLOOKUP(AG$1,generator!$B$2:$B$295,generator!$K$2:$K$295,"ARGH")</f>
        <v>0</v>
      </c>
      <c r="AH43" s="3">
        <f>_xlfn.XLOOKUP(AH$1,generator!$B$2:$B$295,generator!$K$2:$K$295,"ARGH")</f>
        <v>0</v>
      </c>
      <c r="AI43" s="3">
        <f>_xlfn.XLOOKUP(AI$1,generator!$B$2:$B$295,generator!$K$2:$K$295,"ARGH")</f>
        <v>0</v>
      </c>
      <c r="AJ43" s="3">
        <f>_xlfn.XLOOKUP(AJ$1,generator!$B$2:$B$295,generator!$K$2:$K$295,"ARGH")</f>
        <v>0</v>
      </c>
      <c r="AK43" s="3">
        <f>_xlfn.XLOOKUP(AK$1,generator!$B$2:$B$295,generator!$K$2:$K$295,"ARGH")</f>
        <v>0</v>
      </c>
      <c r="AL43" s="3">
        <f>_xlfn.XLOOKUP(AL$1,generator!$B$2:$B$295,generator!$K$2:$K$295,"ARGH")</f>
        <v>0</v>
      </c>
      <c r="AM43" s="3">
        <f>_xlfn.XLOOKUP(AM$1,generator!$B$2:$B$295,generator!$K$2:$K$295,"ARGH")</f>
        <v>0</v>
      </c>
      <c r="AN43" s="3">
        <f>_xlfn.XLOOKUP(AN$1,generator!$B$2:$B$295,generator!$K$2:$K$295,"ARGH")</f>
        <v>0</v>
      </c>
      <c r="AO43" s="3">
        <f>_xlfn.XLOOKUP(AO$1,generator!$B$2:$B$295,generator!$K$2:$K$295,"ARGH")</f>
        <v>0</v>
      </c>
      <c r="AP43" s="3">
        <f>_xlfn.XLOOKUP(AP$1,generator!$B$2:$B$295,generator!$K$2:$K$295,"ARGH")</f>
        <v>0</v>
      </c>
      <c r="AQ43" s="3">
        <f>_xlfn.XLOOKUP(AQ$1,generator!$B$2:$B$295,generator!$K$2:$K$295,"ARGH")</f>
        <v>0</v>
      </c>
      <c r="AR43" s="3">
        <f>_xlfn.XLOOKUP(AR$1,generator!$B$2:$B$295,generator!$K$2:$K$295,"ARGH")</f>
        <v>0</v>
      </c>
      <c r="AS43" s="3">
        <f>_xlfn.XLOOKUP(AS$1,generator!$B$2:$B$295,generator!$K$2:$K$295,"ARGH")</f>
        <v>0</v>
      </c>
      <c r="AT43" s="3">
        <f>_xlfn.XLOOKUP(AT$1,generator!$B$2:$B$295,generator!$K$2:$K$295,"ARGH")</f>
        <v>0</v>
      </c>
      <c r="AU43" s="3">
        <f>_xlfn.XLOOKUP(AU$1,generator!$B$2:$B$295,generator!$K$2:$K$295,"ARGH")</f>
        <v>0</v>
      </c>
      <c r="AV43" s="3">
        <f>_xlfn.XLOOKUP(AV$1,generator!$B$2:$B$295,generator!$K$2:$K$295,"ARGH")</f>
        <v>0</v>
      </c>
      <c r="AW43" s="3">
        <f>_xlfn.XLOOKUP(AW$1,generator!$B$2:$B$295,generator!$K$2:$K$295,"ARGH")</f>
        <v>0</v>
      </c>
      <c r="AX43" s="3">
        <f>_xlfn.XLOOKUP(AX$1,generator!$B$2:$B$295,generator!$K$2:$K$295,"ARGH")</f>
        <v>0</v>
      </c>
      <c r="AY43" s="3">
        <f>_xlfn.XLOOKUP(AY$1,generator!$B$2:$B$295,generator!$K$2:$K$295,"ARGH")</f>
        <v>0</v>
      </c>
      <c r="AZ43" s="3">
        <f>_xlfn.XLOOKUP(AZ$1,generator!$B$2:$B$295,generator!$K$2:$K$295,"ARGH")</f>
        <v>0</v>
      </c>
      <c r="BA43" s="3">
        <f>_xlfn.XLOOKUP(BA$1,generator!$B$2:$B$295,generator!$K$2:$K$295,"ARGH")</f>
        <v>0</v>
      </c>
      <c r="BB43" s="3">
        <f>_xlfn.XLOOKUP(BB$1,generator!$B$2:$B$295,generator!$K$2:$K$295,"ARGH")</f>
        <v>0</v>
      </c>
      <c r="BC43" s="3">
        <f>_xlfn.XLOOKUP(BC$1,generator!$B$2:$B$295,generator!$K$2:$K$295,"ARGH")</f>
        <v>0</v>
      </c>
      <c r="BD43" s="3">
        <f>_xlfn.XLOOKUP(BD$1,generator!$B$2:$B$295,generator!$K$2:$K$295,"ARGH")</f>
        <v>0</v>
      </c>
      <c r="BE43" s="3">
        <f>_xlfn.XLOOKUP(BE$1,generator!$B$2:$B$295,generator!$K$2:$K$295,"ARGH")</f>
        <v>0</v>
      </c>
      <c r="BF43" s="3">
        <f>_xlfn.XLOOKUP(BF$1,generator!$B$2:$B$295,generator!$K$2:$K$295,"ARGH")</f>
        <v>0</v>
      </c>
      <c r="BG43" s="3">
        <f>_xlfn.XLOOKUP(BG$1,generator!$B$2:$B$295,generator!$K$2:$K$295,"ARGH")</f>
        <v>0</v>
      </c>
      <c r="BH43" s="3">
        <f>_xlfn.XLOOKUP(BH$1,generator!$B$2:$B$295,generator!$K$2:$K$295,"ARGH")</f>
        <v>0</v>
      </c>
      <c r="BI43" s="3">
        <f>_xlfn.XLOOKUP(BI$1,generator!$B$2:$B$295,generator!$K$2:$K$295,"ARGH")</f>
        <v>0</v>
      </c>
      <c r="BJ43" s="3">
        <f>_xlfn.XLOOKUP(BJ$1,generator!$B$2:$B$295,generator!$K$2:$K$295,"ARGH")</f>
        <v>0</v>
      </c>
      <c r="BK43" s="3">
        <f>_xlfn.XLOOKUP(BK$1,generator!$B$2:$B$295,generator!$K$2:$K$295,"ARGH")</f>
        <v>0</v>
      </c>
      <c r="BL43" s="3">
        <f>_xlfn.XLOOKUP(BL$1,generator!$B$2:$B$295,generator!$K$2:$K$295,"ARGH")</f>
        <v>0</v>
      </c>
      <c r="BM43" s="3">
        <f>_xlfn.XLOOKUP(BM$1,generator!$B$2:$B$295,generator!$K$2:$K$295,"ARGH")</f>
        <v>0</v>
      </c>
      <c r="BN43" s="3">
        <f>_xlfn.XLOOKUP(BN$1,generator!$B$2:$B$295,generator!$K$2:$K$295,"ARGH")</f>
        <v>0</v>
      </c>
      <c r="BO43" s="3">
        <f>_xlfn.XLOOKUP(BO$1,generator!$B$2:$B$295,generator!$K$2:$K$295,"ARGH")</f>
        <v>0</v>
      </c>
      <c r="BP43" s="3">
        <f>_xlfn.XLOOKUP(BP$1,generator!$B$2:$B$295,generator!$K$2:$K$295,"ARGH")</f>
        <v>0</v>
      </c>
      <c r="BQ43" s="3">
        <f>_xlfn.XLOOKUP(BQ$1,generator!$B$2:$B$295,generator!$K$2:$K$295,"ARGH")</f>
        <v>0</v>
      </c>
      <c r="BR43" s="3">
        <f>_xlfn.XLOOKUP(BR$1,generator!$B$2:$B$295,generator!$K$2:$K$295,"ARGH")</f>
        <v>0</v>
      </c>
      <c r="BS43" s="3">
        <f>_xlfn.XLOOKUP(BS$1,generator!$B$2:$B$295,generator!$K$2:$K$295,"ARGH")</f>
        <v>0</v>
      </c>
      <c r="BT43" s="3">
        <f>_xlfn.XLOOKUP(BT$1,generator!$B$2:$B$295,generator!$K$2:$K$295,"ARGH")</f>
        <v>0</v>
      </c>
      <c r="BU43" s="3">
        <f>_xlfn.XLOOKUP(BU$1,generator!$B$2:$B$295,generator!$K$2:$K$295,"ARGH")</f>
        <v>0</v>
      </c>
      <c r="BV43" s="3">
        <f>_xlfn.XLOOKUP(BV$1,generator!$B$2:$B$295,generator!$K$2:$K$295,"ARGH")</f>
        <v>0</v>
      </c>
      <c r="BW43" s="3">
        <f>_xlfn.XLOOKUP(BW$1,generator!$B$2:$B$295,generator!$K$2:$K$295,"ARGH")</f>
        <v>0</v>
      </c>
      <c r="BX43" s="3">
        <f>_xlfn.XLOOKUP(BX$1,generator!$B$2:$B$295,generator!$K$2:$K$295,"ARGH")</f>
        <v>0</v>
      </c>
      <c r="BY43" s="3">
        <f>_xlfn.XLOOKUP(BY$1,generator!$B$2:$B$295,generator!$K$2:$K$295,"ARGH")</f>
        <v>0</v>
      </c>
      <c r="BZ43" s="3">
        <f>_xlfn.XLOOKUP(BZ$1,generator!$B$2:$B$295,generator!$K$2:$K$295,"ARGH")</f>
        <v>0</v>
      </c>
      <c r="CA43" s="3">
        <f>_xlfn.XLOOKUP(CA$1,generator!$B$2:$B$295,generator!$K$2:$K$295,"ARGH")</f>
        <v>0</v>
      </c>
      <c r="CB43" s="3">
        <f>_xlfn.XLOOKUP(CB$1,generator!$B$2:$B$295,generator!$K$2:$K$295,"ARGH")</f>
        <v>0</v>
      </c>
      <c r="CC43" s="3">
        <f>_xlfn.XLOOKUP(CC$1,generator!$B$2:$B$295,generator!$K$2:$K$295,"ARGH")</f>
        <v>0</v>
      </c>
      <c r="CD43" s="3">
        <f>_xlfn.XLOOKUP(CD$1,generator!$B$2:$B$295,generator!$K$2:$K$295,"ARGH")</f>
        <v>0</v>
      </c>
      <c r="CE43" s="3">
        <f>_xlfn.XLOOKUP(CE$1,generator!$B$2:$B$295,generator!$K$2:$K$295,"ARGH")</f>
        <v>0</v>
      </c>
      <c r="CF43" s="3">
        <f>_xlfn.XLOOKUP(CF$1,generator!$B$2:$B$295,generator!$K$2:$K$295,"ARGH")</f>
        <v>0</v>
      </c>
      <c r="CG43" s="3">
        <f>_xlfn.XLOOKUP(CG$1,generator!$B$2:$B$295,generator!$K$2:$K$295,"ARGH")</f>
        <v>0</v>
      </c>
      <c r="CH43" s="3">
        <f>_xlfn.XLOOKUP(CH$1,generator!$B$2:$B$295,generator!$K$2:$K$295,"ARGH")</f>
        <v>0</v>
      </c>
      <c r="CI43" s="3">
        <f>_xlfn.XLOOKUP(CI$1,generator!$B$2:$B$295,generator!$K$2:$K$295,"ARGH")</f>
        <v>0</v>
      </c>
      <c r="CJ43" s="3">
        <f>_xlfn.XLOOKUP(CJ$1,generator!$B$2:$B$295,generator!$K$2:$K$295,"ARGH")</f>
        <v>0</v>
      </c>
      <c r="CK43" s="3">
        <f>_xlfn.XLOOKUP(CK$1,generator!$B$2:$B$295,generator!$K$2:$K$295,"ARGH")</f>
        <v>0</v>
      </c>
      <c r="CL43" s="3">
        <f>_xlfn.XLOOKUP(CL$1,generator!$B$2:$B$295,generator!$K$2:$K$295,"ARGH")</f>
        <v>0</v>
      </c>
      <c r="CM43" s="3">
        <f>_xlfn.XLOOKUP(CM$1,generator!$B$2:$B$295,generator!$K$2:$K$295,"ARGH")</f>
        <v>0</v>
      </c>
      <c r="CN43" s="3">
        <f>_xlfn.XLOOKUP(CN$1,generator!$B$2:$B$295,generator!$K$2:$K$295,"ARGH")</f>
        <v>0</v>
      </c>
      <c r="CO43" s="3">
        <f>_xlfn.XLOOKUP(CO$1,generator!$B$2:$B$295,generator!$K$2:$K$295,"ARGH")</f>
        <v>0</v>
      </c>
      <c r="CP43" s="3">
        <f>_xlfn.XLOOKUP(CP$1,generator!$B$2:$B$295,generator!$K$2:$K$295,"ARGH")</f>
        <v>0</v>
      </c>
      <c r="CQ43" s="3">
        <f>_xlfn.XLOOKUP(CQ$1,generator!$B$2:$B$295,generator!$K$2:$K$295,"ARGH")</f>
        <v>0</v>
      </c>
      <c r="CR43" s="3">
        <f>_xlfn.XLOOKUP(CR$1,generator!$B$2:$B$295,generator!$K$2:$K$295,"ARGH")</f>
        <v>0</v>
      </c>
      <c r="CS43" s="3">
        <f>_xlfn.XLOOKUP(CS$1,generator!$B$2:$B$295,generator!$K$2:$K$295,"ARGH")</f>
        <v>0</v>
      </c>
      <c r="CT43" s="3">
        <f>_xlfn.XLOOKUP(CT$1,generator!$B$2:$B$295,generator!$K$2:$K$295,"ARGH")</f>
        <v>0</v>
      </c>
      <c r="CU43" s="3">
        <f>_xlfn.XLOOKUP(CU$1,generator!$B$2:$B$295,generator!$K$2:$K$295,"ARGH")</f>
        <v>0</v>
      </c>
      <c r="CV43" s="3">
        <f>_xlfn.XLOOKUP(CV$1,generator!$B$2:$B$295,generator!$K$2:$K$295,"ARGH")</f>
        <v>0</v>
      </c>
      <c r="CW43" s="3">
        <f>_xlfn.XLOOKUP(CW$1,generator!$B$2:$B$295,generator!$K$2:$K$295,"ARGH")</f>
        <v>0</v>
      </c>
      <c r="CX43" s="3">
        <f>_xlfn.XLOOKUP(CX$1,generator!$B$2:$B$295,generator!$K$2:$K$295,"ARGH")</f>
        <v>0</v>
      </c>
      <c r="CY43" s="3">
        <f>_xlfn.XLOOKUP(CY$1,generator!$B$2:$B$295,generator!$K$2:$K$295,"ARGH")</f>
        <v>0</v>
      </c>
      <c r="CZ43" s="3">
        <f>_xlfn.XLOOKUP(CZ$1,generator!$B$2:$B$295,generator!$K$2:$K$295,"ARGH")</f>
        <v>0</v>
      </c>
      <c r="DA43" s="3">
        <f>_xlfn.XLOOKUP(DA$1,generator!$B$2:$B$295,generator!$K$2:$K$295,"ARGH")</f>
        <v>0</v>
      </c>
      <c r="DB43" s="3">
        <f>_xlfn.XLOOKUP(DB$1,generator!$B$2:$B$295,generator!$K$2:$K$295,"ARGH")</f>
        <v>0</v>
      </c>
      <c r="DC43" s="3">
        <f>_xlfn.XLOOKUP(DC$1,generator!$B$2:$B$295,generator!$K$2:$K$295,"ARGH")</f>
        <v>0</v>
      </c>
      <c r="DD43" s="3">
        <f>_xlfn.XLOOKUP(DD$1,generator!$B$2:$B$295,generator!$K$2:$K$295,"ARGH")</f>
        <v>0</v>
      </c>
      <c r="DE43" s="3">
        <f>_xlfn.XLOOKUP(DE$1,generator!$B$2:$B$295,generator!$K$2:$K$295,"ARGH")</f>
        <v>0</v>
      </c>
      <c r="DF43" s="3">
        <f>_xlfn.XLOOKUP(DF$1,generator!$B$2:$B$295,generator!$K$2:$K$295,"ARGH")</f>
        <v>0</v>
      </c>
      <c r="DG43" s="3">
        <f>_xlfn.XLOOKUP(DG$1,generator!$B$2:$B$295,generator!$K$2:$K$295,"ARGH")</f>
        <v>0</v>
      </c>
      <c r="DH43" s="3">
        <f>_xlfn.XLOOKUP(DH$1,generator!$B$2:$B$295,generator!$K$2:$K$295,"ARGH")</f>
        <v>0</v>
      </c>
      <c r="DI43" s="3">
        <f>_xlfn.XLOOKUP(DI$1,generator!$B$2:$B$295,generator!$K$2:$K$295,"ARGH")</f>
        <v>0</v>
      </c>
      <c r="DJ43" s="3">
        <f>_xlfn.XLOOKUP(DJ$1,generator!$B$2:$B$295,generator!$K$2:$K$295,"ARGH")</f>
        <v>0</v>
      </c>
      <c r="DK43" s="3">
        <f>_xlfn.XLOOKUP(DK$1,generator!$B$2:$B$295,generator!$K$2:$K$295,"ARGH")</f>
        <v>0</v>
      </c>
      <c r="DL43" s="3">
        <f>_xlfn.XLOOKUP(DL$1,generator!$B$2:$B$295,generator!$K$2:$K$295,"ARGH")</f>
        <v>0</v>
      </c>
      <c r="DM43" s="3">
        <f>_xlfn.XLOOKUP(DM$1,generator!$B$2:$B$295,generator!$K$2:$K$295,"ARGH")</f>
        <v>0</v>
      </c>
      <c r="DN43" s="3">
        <f>_xlfn.XLOOKUP(DN$1,generator!$B$2:$B$295,generator!$K$2:$K$295,"ARGH")</f>
        <v>0</v>
      </c>
      <c r="DO43" s="3">
        <f>_xlfn.XLOOKUP(DO$1,generator!$B$2:$B$295,generator!$K$2:$K$295,"ARGH")</f>
        <v>0</v>
      </c>
      <c r="DP43" s="3">
        <f>_xlfn.XLOOKUP(DP$1,generator!$B$2:$B$295,generator!$K$2:$K$295,"ARGH")</f>
        <v>0</v>
      </c>
      <c r="DQ43" s="3">
        <f>_xlfn.XLOOKUP(DQ$1,generator!$B$2:$B$295,generator!$K$2:$K$295,"ARGH")</f>
        <v>0</v>
      </c>
      <c r="DR43" s="3">
        <f>_xlfn.XLOOKUP(DR$1,generator!$B$2:$B$295,generator!$K$2:$K$295,"ARGH")</f>
        <v>0</v>
      </c>
      <c r="DS43" s="3">
        <f>_xlfn.XLOOKUP(DS$1,generator!$B$2:$B$295,generator!$K$2:$K$295,"ARGH")</f>
        <v>0</v>
      </c>
      <c r="DT43" s="3">
        <f>_xlfn.XLOOKUP(DT$1,generator!$B$2:$B$295,generator!$K$2:$K$295,"ARGH")</f>
        <v>0</v>
      </c>
      <c r="DU43" s="3">
        <f>_xlfn.XLOOKUP(DU$1,generator!$B$2:$B$295,generator!$K$2:$K$295,"ARGH")</f>
        <v>0</v>
      </c>
      <c r="DV43" s="3">
        <f>_xlfn.XLOOKUP(DV$1,generator!$B$2:$B$295,generator!$K$2:$K$295,"ARGH")</f>
        <v>0</v>
      </c>
      <c r="DW43" s="3">
        <f>_xlfn.XLOOKUP(DW$1,generator!$B$2:$B$295,generator!$K$2:$K$295,"ARGH")</f>
        <v>0</v>
      </c>
      <c r="DX43" s="3">
        <f>_xlfn.XLOOKUP(DX$1,generator!$B$2:$B$295,generator!$K$2:$K$295,"ARGH")</f>
        <v>0</v>
      </c>
      <c r="DY43" s="3">
        <f>_xlfn.XLOOKUP(DY$1,generator!$B$2:$B$295,generator!$K$2:$K$295,"ARGH")</f>
        <v>0</v>
      </c>
      <c r="DZ43" s="3">
        <f>_xlfn.XLOOKUP(DZ$1,generator!$B$2:$B$295,generator!$K$2:$K$295,"ARGH")</f>
        <v>0</v>
      </c>
      <c r="EA43" s="3">
        <f>_xlfn.XLOOKUP(EA$1,generator!$B$2:$B$295,generator!$K$2:$K$295,"ARGH")</f>
        <v>0</v>
      </c>
      <c r="EB43" s="3">
        <f>_xlfn.XLOOKUP(EB$1,generator!$B$2:$B$295,generator!$K$2:$K$295,"ARGH")</f>
        <v>0</v>
      </c>
      <c r="EC43" s="3">
        <f>_xlfn.XLOOKUP(EC$1,generator!$B$2:$B$295,generator!$K$2:$K$295,"ARGH")</f>
        <v>0</v>
      </c>
      <c r="ED43" s="3">
        <f>_xlfn.XLOOKUP(ED$1,generator!$B$2:$B$295,generator!$K$2:$K$295,"ARGH")</f>
        <v>0</v>
      </c>
      <c r="EE43" s="3">
        <f>_xlfn.XLOOKUP(EE$1,generator!$B$2:$B$295,generator!$K$2:$K$295,"ARGH")</f>
        <v>0</v>
      </c>
      <c r="EF43" s="3">
        <f>_xlfn.XLOOKUP(EF$1,generator!$B$2:$B$295,generator!$K$2:$K$295,"ARGH")</f>
        <v>0</v>
      </c>
      <c r="EG43" s="3">
        <f>_xlfn.XLOOKUP(EG$1,generator!$B$2:$B$295,generator!$K$2:$K$295,"ARGH")</f>
        <v>0</v>
      </c>
      <c r="EH43" s="3">
        <f>_xlfn.XLOOKUP(EH$1,generator!$B$2:$B$295,generator!$K$2:$K$295,"ARGH")</f>
        <v>0</v>
      </c>
      <c r="EI43" s="3">
        <f>_xlfn.XLOOKUP(EI$1,generator!$B$2:$B$295,generator!$K$2:$K$295,"ARGH")</f>
        <v>0</v>
      </c>
      <c r="EJ43" s="3">
        <f>_xlfn.XLOOKUP(EJ$1,generator!$B$2:$B$295,generator!$K$2:$K$295,"ARGH")</f>
        <v>0</v>
      </c>
      <c r="EK43" s="3">
        <f>_xlfn.XLOOKUP(EK$1,generator!$B$2:$B$295,generator!$K$2:$K$295,"ARGH")</f>
        <v>0</v>
      </c>
      <c r="EL43" s="3">
        <f>_xlfn.XLOOKUP(EL$1,generator!$B$2:$B$295,generator!$K$2:$K$295,"ARGH")</f>
        <v>0</v>
      </c>
      <c r="EM43" s="3">
        <f>_xlfn.XLOOKUP(EM$1,generator!$B$2:$B$295,generator!$K$2:$K$295,"ARGH")</f>
        <v>0</v>
      </c>
      <c r="EN43" s="3">
        <f>_xlfn.XLOOKUP(EN$1,generator!$B$2:$B$295,generator!$K$2:$K$295,"ARGH")</f>
        <v>0</v>
      </c>
      <c r="EO43" s="3">
        <f>_xlfn.XLOOKUP(EO$1,generator!$B$2:$B$295,generator!$K$2:$K$295,"ARGH")</f>
        <v>0</v>
      </c>
      <c r="EP43" s="3">
        <f>_xlfn.XLOOKUP(EP$1,generator!$B$2:$B$295,generator!$K$2:$K$295,"ARGH")</f>
        <v>0</v>
      </c>
      <c r="EQ43" s="3">
        <f>_xlfn.XLOOKUP(EQ$1,generator!$B$2:$B$295,generator!$K$2:$K$295,"ARGH")</f>
        <v>0</v>
      </c>
      <c r="ER43" s="3">
        <f>_xlfn.XLOOKUP(ER$1,generator!$B$2:$B$295,generator!$K$2:$K$295,"ARGH")</f>
        <v>0</v>
      </c>
      <c r="ES43" s="3">
        <f>_xlfn.XLOOKUP(ES$1,generator!$B$2:$B$295,generator!$K$2:$K$295,"ARGH")</f>
        <v>0</v>
      </c>
      <c r="ET43" s="3">
        <f>_xlfn.XLOOKUP(ET$1,generator!$B$2:$B$295,generator!$K$2:$K$295,"ARGH")</f>
        <v>0</v>
      </c>
      <c r="EU43" s="3">
        <f>_xlfn.XLOOKUP(EU$1,generator!$B$2:$B$295,generator!$K$2:$K$295,"ARGH")</f>
        <v>0</v>
      </c>
      <c r="EV43" s="3">
        <f>_xlfn.XLOOKUP(EV$1,generator!$B$2:$B$295,generator!$K$2:$K$295,"ARGH")</f>
        <v>0</v>
      </c>
      <c r="EW43" s="3">
        <f>_xlfn.XLOOKUP(EW$1,generator!$B$2:$B$295,generator!$K$2:$K$295,"ARGH")</f>
        <v>0</v>
      </c>
      <c r="EX43" s="3">
        <f>_xlfn.XLOOKUP(EX$1,generator!$B$2:$B$295,generator!$K$2:$K$295,"ARGH")</f>
        <v>0</v>
      </c>
      <c r="EY43" s="3">
        <f>_xlfn.XLOOKUP(EY$1,generator!$B$2:$B$295,generator!$K$2:$K$295,"ARGH")</f>
        <v>0</v>
      </c>
      <c r="EZ43" s="3">
        <f>_xlfn.XLOOKUP(EZ$1,generator!$B$2:$B$295,generator!$K$2:$K$295,"ARGH")</f>
        <v>0</v>
      </c>
      <c r="FA43" s="3">
        <f>_xlfn.XLOOKUP(FA$1,generator!$B$2:$B$295,generator!$K$2:$K$295,"ARGH")</f>
        <v>0</v>
      </c>
      <c r="FB43" s="3">
        <f>_xlfn.XLOOKUP(FB$1,generator!$B$2:$B$295,generator!$K$2:$K$295,"ARGH")</f>
        <v>0</v>
      </c>
      <c r="FC43" s="3">
        <f>_xlfn.XLOOKUP(FC$1,generator!$B$2:$B$295,generator!$K$2:$K$295,"ARGH")</f>
        <v>0</v>
      </c>
      <c r="FD43" s="3">
        <f>_xlfn.XLOOKUP(FD$1,generator!$B$2:$B$295,generator!$K$2:$K$295,"ARGH")</f>
        <v>0</v>
      </c>
      <c r="FE43" s="3">
        <f>_xlfn.XLOOKUP(FE$1,generator!$B$2:$B$295,generator!$K$2:$K$295,"ARGH")</f>
        <v>0</v>
      </c>
      <c r="FF43" s="3">
        <f>_xlfn.XLOOKUP(FF$1,generator!$B$2:$B$295,generator!$K$2:$K$295,"ARGH")</f>
        <v>0</v>
      </c>
      <c r="FG43" s="3">
        <f>_xlfn.XLOOKUP(FG$1,generator!$B$2:$B$295,generator!$K$2:$K$295,"ARGH")</f>
        <v>0</v>
      </c>
      <c r="FH43" s="3">
        <f>_xlfn.XLOOKUP(FH$1,generator!$B$2:$B$295,generator!$K$2:$K$295,"ARGH")</f>
        <v>0</v>
      </c>
      <c r="FI43" s="3">
        <f>_xlfn.XLOOKUP(FI$1,generator!$B$2:$B$295,generator!$K$2:$K$295,"ARGH")</f>
        <v>0</v>
      </c>
      <c r="FJ43" s="3">
        <f>_xlfn.XLOOKUP(FJ$1,generator!$B$2:$B$295,generator!$K$2:$K$295,"ARGH")</f>
        <v>0</v>
      </c>
      <c r="FK43" s="3">
        <f>_xlfn.XLOOKUP(FK$1,generator!$B$2:$B$295,generator!$K$2:$K$295,"ARGH")</f>
        <v>0</v>
      </c>
      <c r="FL43" s="3">
        <f>_xlfn.XLOOKUP(FL$1,generator!$B$2:$B$295,generator!$K$2:$K$295,"ARGH")</f>
        <v>0</v>
      </c>
      <c r="FM43" s="3">
        <f>_xlfn.XLOOKUP(FM$1,generator!$B$2:$B$295,generator!$K$2:$K$295,"ARGH")</f>
        <v>0</v>
      </c>
      <c r="FN43" s="3">
        <f>_xlfn.XLOOKUP(FN$1,generator!$B$2:$B$295,generator!$K$2:$K$295,"ARGH")</f>
        <v>0</v>
      </c>
      <c r="FO43" s="3">
        <f>_xlfn.XLOOKUP(FO$1,generator!$B$2:$B$295,generator!$K$2:$K$295,"ARGH")</f>
        <v>0</v>
      </c>
      <c r="FP43" s="3">
        <f>_xlfn.XLOOKUP(FP$1,generator!$B$2:$B$295,generator!$K$2:$K$295,"ARGH")</f>
        <v>0</v>
      </c>
      <c r="FQ43" s="3">
        <f>_xlfn.XLOOKUP(FQ$1,generator!$B$2:$B$295,generator!$K$2:$K$295,"ARGH")</f>
        <v>0</v>
      </c>
      <c r="FR43" s="3">
        <f>_xlfn.XLOOKUP(FR$1,generator!$B$2:$B$295,generator!$K$2:$K$295,"ARGH")</f>
        <v>0</v>
      </c>
      <c r="FS43" s="3">
        <f>_xlfn.XLOOKUP(FS$1,generator!$B$2:$B$295,generator!$K$2:$K$295,"ARGH")</f>
        <v>0</v>
      </c>
      <c r="FT43" s="3">
        <f>_xlfn.XLOOKUP(FT$1,generator!$B$2:$B$295,generator!$K$2:$K$295,"ARGH")</f>
        <v>0</v>
      </c>
      <c r="FU43" s="3">
        <f>_xlfn.XLOOKUP(FU$1,generator!$B$2:$B$295,generator!$K$2:$K$295,"ARGH")</f>
        <v>0</v>
      </c>
      <c r="FV43" s="3">
        <f>_xlfn.XLOOKUP(FV$1,generator!$B$2:$B$295,generator!$K$2:$K$295,"ARGH")</f>
        <v>0</v>
      </c>
      <c r="FW43" s="3">
        <f>_xlfn.XLOOKUP(FW$1,generator!$B$2:$B$295,generator!$K$2:$K$295,"ARGH")</f>
        <v>0</v>
      </c>
      <c r="FX43" s="3">
        <f>_xlfn.XLOOKUP(FX$1,generator!$B$2:$B$295,generator!$K$2:$K$295,"ARGH")</f>
        <v>0</v>
      </c>
      <c r="FY43" s="3">
        <f>_xlfn.XLOOKUP(FY$1,generator!$B$2:$B$295,generator!$K$2:$K$295,"ARGH")</f>
        <v>0</v>
      </c>
      <c r="FZ43" s="3">
        <f>_xlfn.XLOOKUP(FZ$1,generator!$B$2:$B$295,generator!$K$2:$K$295,"ARGH")</f>
        <v>0</v>
      </c>
      <c r="GA43" s="3">
        <f>_xlfn.XLOOKUP(GA$1,generator!$B$2:$B$295,generator!$K$2:$K$295,"ARGH")</f>
        <v>0</v>
      </c>
      <c r="GB43" s="3">
        <f>_xlfn.XLOOKUP(GB$1,generator!$B$2:$B$295,generator!$K$2:$K$295,"ARGH")</f>
        <v>0</v>
      </c>
      <c r="GC43" s="3">
        <f>_xlfn.XLOOKUP(GC$1,generator!$B$2:$B$295,generator!$K$2:$K$295,"ARGH")</f>
        <v>0</v>
      </c>
      <c r="GD43" s="3">
        <f>_xlfn.XLOOKUP(GD$1,generator!$B$2:$B$295,generator!$K$2:$K$295,"ARGH")</f>
        <v>0</v>
      </c>
      <c r="GE43" s="3">
        <f>_xlfn.XLOOKUP(GE$1,generator!$B$2:$B$295,generator!$K$2:$K$295,"ARGH")</f>
        <v>0</v>
      </c>
      <c r="GF43" s="3">
        <f>_xlfn.XLOOKUP(GF$1,generator!$B$2:$B$295,generator!$K$2:$K$295,"ARGH")</f>
        <v>0</v>
      </c>
      <c r="GG43" s="3">
        <f>_xlfn.XLOOKUP(GG$1,generator!$B$2:$B$295,generator!$K$2:$K$295,"ARGH")</f>
        <v>0</v>
      </c>
      <c r="GH43" s="3">
        <f>_xlfn.XLOOKUP(GH$1,generator!$B$2:$B$295,generator!$K$2:$K$295,"ARGH")</f>
        <v>0</v>
      </c>
      <c r="GI43" s="3">
        <f>_xlfn.XLOOKUP(GI$1,generator!$B$2:$B$295,generator!$K$2:$K$295,"ARGH")</f>
        <v>0</v>
      </c>
      <c r="GJ43" s="3">
        <f>_xlfn.XLOOKUP(GJ$1,generator!$B$2:$B$295,generator!$K$2:$K$295,"ARGH")</f>
        <v>0</v>
      </c>
      <c r="GK43" s="3">
        <f>_xlfn.XLOOKUP(GK$1,generator!$B$2:$B$295,generator!$K$2:$K$295,"ARGH")</f>
        <v>0</v>
      </c>
      <c r="GL43" s="3">
        <f>_xlfn.XLOOKUP(GL$1,generator!$B$2:$B$295,generator!$K$2:$K$295,"ARGH")</f>
        <v>0</v>
      </c>
      <c r="GM43" s="3">
        <f>_xlfn.XLOOKUP(GM$1,generator!$B$2:$B$295,generator!$K$2:$K$295,"ARGH")</f>
        <v>0</v>
      </c>
      <c r="GN43" s="3">
        <f>_xlfn.XLOOKUP(GN$1,generator!$B$2:$B$295,generator!$K$2:$K$295,"ARGH")</f>
        <v>0</v>
      </c>
      <c r="GO43" s="3">
        <f>_xlfn.XLOOKUP(GO$1,generator!$B$2:$B$295,generator!$K$2:$K$295,"ARGH")</f>
        <v>0</v>
      </c>
      <c r="GP43" s="3">
        <f>_xlfn.XLOOKUP(GP$1,generator!$B$2:$B$295,generator!$K$2:$K$295,"ARGH")</f>
        <v>0</v>
      </c>
      <c r="GQ43" s="3">
        <f>_xlfn.XLOOKUP(GQ$1,generator!$B$2:$B$295,generator!$K$2:$K$295,"ARGH")</f>
        <v>0</v>
      </c>
      <c r="GR43" s="3">
        <f>_xlfn.XLOOKUP(GR$1,generator!$B$2:$B$295,generator!$K$2:$K$295,"ARGH")</f>
        <v>0</v>
      </c>
      <c r="GS43" s="3">
        <f>_xlfn.XLOOKUP(GS$1,generator!$B$2:$B$295,generator!$K$2:$K$295,"ARGH")</f>
        <v>0</v>
      </c>
      <c r="GT43" s="3">
        <f>_xlfn.XLOOKUP(GT$1,generator!$B$2:$B$295,generator!$K$2:$K$295,"ARGH")</f>
        <v>0</v>
      </c>
      <c r="GU43" s="3">
        <f>_xlfn.XLOOKUP(GU$1,generator!$B$2:$B$295,generator!$K$2:$K$295,"ARGH")</f>
        <v>0</v>
      </c>
      <c r="GV43" s="3">
        <f>_xlfn.XLOOKUP(GV$1,generator!$B$2:$B$295,generator!$K$2:$K$295,"ARGH")</f>
        <v>0</v>
      </c>
      <c r="GW43" s="3">
        <f>_xlfn.XLOOKUP(GW$1,generator!$B$2:$B$295,generator!$K$2:$K$295,"ARGH")</f>
        <v>0</v>
      </c>
      <c r="GX43" s="3">
        <f>_xlfn.XLOOKUP(GX$1,generator!$B$2:$B$295,generator!$K$2:$K$295,"ARGH")</f>
        <v>0</v>
      </c>
      <c r="GY43" s="3">
        <f>_xlfn.XLOOKUP(GY$1,generator!$B$2:$B$295,generator!$K$2:$K$295,"ARGH")</f>
        <v>0</v>
      </c>
      <c r="GZ43" s="3">
        <f>_xlfn.XLOOKUP(GZ$1,generator!$B$2:$B$295,generator!$K$2:$K$295,"ARGH")</f>
        <v>0</v>
      </c>
      <c r="HA43" s="3">
        <f>_xlfn.XLOOKUP(HA$1,generator!$B$2:$B$295,generator!$K$2:$K$295,"ARGH")</f>
        <v>0</v>
      </c>
      <c r="HB43" s="3">
        <f>_xlfn.XLOOKUP(HB$1,generator!$B$2:$B$295,generator!$K$2:$K$295,"ARGH")</f>
        <v>0</v>
      </c>
      <c r="HC43" s="3">
        <f>_xlfn.XLOOKUP(HC$1,generator!$B$2:$B$295,generator!$K$2:$K$295,"ARGH")</f>
        <v>0</v>
      </c>
      <c r="HD43" s="3">
        <f>_xlfn.XLOOKUP(HD$1,generator!$B$2:$B$295,generator!$K$2:$K$295,"ARGH")</f>
        <v>0</v>
      </c>
      <c r="HE43" s="3">
        <f>_xlfn.XLOOKUP(HE$1,generator!$B$2:$B$295,generator!$K$2:$K$295,"ARGH")</f>
        <v>12.74</v>
      </c>
      <c r="HF43" s="3">
        <f>_xlfn.XLOOKUP(HF$1,generator!$B$2:$B$295,generator!$K$2:$K$295,"ARGH")</f>
        <v>99</v>
      </c>
      <c r="HG43" s="3">
        <f>_xlfn.XLOOKUP(HG$1,generator!$B$2:$B$295,generator!$K$2:$K$295,"ARGH")</f>
        <v>99</v>
      </c>
      <c r="HH43" s="3">
        <f>_xlfn.XLOOKUP(HH$1,generator!$B$2:$B$295,generator!$K$2:$K$295,"ARGH")</f>
        <v>99</v>
      </c>
      <c r="HI43" s="3">
        <f>_xlfn.XLOOKUP(HI$1,generator!$B$2:$B$295,generator!$K$2:$K$295,"ARGH")</f>
        <v>8</v>
      </c>
      <c r="HJ43" s="3">
        <f>_xlfn.XLOOKUP(HJ$1,generator!$B$2:$B$295,generator!$K$2:$K$295,"ARGH")</f>
        <v>8</v>
      </c>
      <c r="HK43" s="3">
        <f>_xlfn.XLOOKUP(HK$1,generator!$B$2:$B$295,generator!$K$2:$K$295,"ARGH")</f>
        <v>8</v>
      </c>
      <c r="HL43" s="3">
        <f>_xlfn.XLOOKUP(HL$1,generator!$B$2:$B$295,generator!$K$2:$K$295,"ARGH")</f>
        <v>20</v>
      </c>
      <c r="HM43" s="3">
        <f>_xlfn.XLOOKUP(HM$1,generator!$B$2:$B$295,generator!$K$2:$K$295,"ARGH")</f>
        <v>20</v>
      </c>
      <c r="HN43" s="3">
        <f>_xlfn.XLOOKUP(HN$1,generator!$B$2:$B$295,generator!$K$2:$K$295,"ARGH")</f>
        <v>5</v>
      </c>
      <c r="HO43" s="3">
        <f>_xlfn.XLOOKUP(HO$1,generator!$B$2:$B$295,generator!$K$2:$K$295,"ARGH")</f>
        <v>5</v>
      </c>
      <c r="HP43" s="3">
        <f>_xlfn.XLOOKUP(HP$1,generator!$B$2:$B$295,generator!$K$2:$K$295,"ARGH")</f>
        <v>0.2</v>
      </c>
      <c r="HQ43" s="3">
        <f>_xlfn.XLOOKUP(HQ$1,generator!$B$2:$B$295,generator!$K$2:$K$295,"ARGH")</f>
        <v>5</v>
      </c>
      <c r="HR43" s="3">
        <f>_xlfn.XLOOKUP(HR$1,generator!$B$2:$B$295,generator!$K$2:$K$295,"ARGH")</f>
        <v>5</v>
      </c>
      <c r="HS43" s="3">
        <f>_xlfn.XLOOKUP(HS$1,generator!$B$2:$B$295,generator!$K$2:$K$295,"ARGH")</f>
        <v>12.82</v>
      </c>
      <c r="HT43" s="3">
        <f>_xlfn.XLOOKUP(HT$1,generator!$B$2:$B$295,generator!$K$2:$K$295,"ARGH")</f>
        <v>12.82</v>
      </c>
      <c r="HU43" s="3">
        <f>_xlfn.XLOOKUP(HU$1,generator!$B$2:$B$295,generator!$K$2:$K$295,"ARGH")</f>
        <v>25</v>
      </c>
      <c r="HV43" s="3">
        <f>_xlfn.XLOOKUP(HV$1,generator!$B$2:$B$295,generator!$K$2:$K$295,"ARGH")</f>
        <v>16</v>
      </c>
      <c r="HW43" s="3">
        <f>_xlfn.XLOOKUP(HW$1,generator!$B$2:$B$295,generator!$K$2:$K$295,"ARGH")</f>
        <v>5</v>
      </c>
      <c r="HX43" s="3">
        <f>_xlfn.XLOOKUP(HX$1,generator!$B$2:$B$295,generator!$K$2:$K$295,"ARGH")</f>
        <v>5</v>
      </c>
      <c r="HY43" s="3">
        <f>_xlfn.XLOOKUP(HY$1,generator!$B$2:$B$295,generator!$K$2:$K$295,"ARGH")</f>
        <v>63</v>
      </c>
      <c r="HZ43" s="3">
        <f>_xlfn.XLOOKUP(HZ$1,generator!$B$2:$B$295,generator!$K$2:$K$295,"ARGH")</f>
        <v>18</v>
      </c>
      <c r="IA43" s="3">
        <f>_xlfn.XLOOKUP(IA$1,generator!$B$2:$B$295,generator!$K$2:$K$295,"ARGH")</f>
        <v>121</v>
      </c>
      <c r="IB43" s="3">
        <f>_xlfn.XLOOKUP(IB$1,generator!$B$2:$B$295,generator!$K$2:$K$295,"ARGH")</f>
        <v>120</v>
      </c>
      <c r="IC43" s="3">
        <f>_xlfn.XLOOKUP(IC$1,generator!$B$2:$B$295,generator!$K$2:$K$295,"ARGH")</f>
        <v>0</v>
      </c>
      <c r="ID43" s="3">
        <f>_xlfn.XLOOKUP(ID$1,generator!$B$2:$B$295,generator!$K$2:$K$295,"ARGH")</f>
        <v>17</v>
      </c>
      <c r="IE43" s="3">
        <f>_xlfn.XLOOKUP(IE$1,generator!$B$2:$B$295,generator!$K$2:$K$295,"ARGH")</f>
        <v>194</v>
      </c>
      <c r="IF43" s="3">
        <f>_xlfn.XLOOKUP(IF$1,generator!$B$2:$B$295,generator!$K$2:$K$295,"ARGH")</f>
        <v>11.9</v>
      </c>
      <c r="IG43" s="3">
        <f>_xlfn.XLOOKUP(IG$1,generator!$B$2:$B$295,generator!$K$2:$K$295,"ARGH")</f>
        <v>11.9</v>
      </c>
      <c r="IH43" s="3">
        <f>_xlfn.XLOOKUP(IH$1,generator!$B$2:$B$295,generator!$K$2:$K$295,"ARGH")</f>
        <v>11.9</v>
      </c>
      <c r="II43" s="3">
        <f>_xlfn.XLOOKUP(II$1,generator!$B$2:$B$295,generator!$K$2:$K$295,"ARGH")</f>
        <v>11.9</v>
      </c>
      <c r="IJ43" s="3">
        <f>_xlfn.XLOOKUP(IJ$1,generator!$B$2:$B$295,generator!$K$2:$K$295,"ARGH")</f>
        <v>0</v>
      </c>
      <c r="IK43" s="3">
        <f>_xlfn.XLOOKUP(IK$1,generator!$B$2:$B$295,generator!$K$2:$K$295,"ARGH")</f>
        <v>3</v>
      </c>
      <c r="IL43" s="3">
        <f>_xlfn.XLOOKUP(IL$1,generator!$B$2:$B$295,generator!$K$2:$K$295,"ARGH")</f>
        <v>5</v>
      </c>
      <c r="IM43" s="3">
        <f>_xlfn.XLOOKUP(IM$1,generator!$B$2:$B$295,generator!$K$2:$K$295,"ARGH")</f>
        <v>5</v>
      </c>
      <c r="IN43" s="3">
        <f>_xlfn.XLOOKUP(IN$1,generator!$B$2:$B$295,generator!$K$2:$K$295,"ARGH")</f>
        <v>4</v>
      </c>
      <c r="IO43" s="3">
        <f>_xlfn.XLOOKUP(IO$1,generator!$B$2:$B$295,generator!$K$2:$K$295,"ARGH")</f>
        <v>4</v>
      </c>
      <c r="IP43" s="3">
        <f>_xlfn.XLOOKUP(IP$1,generator!$B$2:$B$295,generator!$K$2:$K$295,"ARGH")</f>
        <v>3</v>
      </c>
      <c r="IQ43" s="3">
        <f>_xlfn.XLOOKUP(IQ$1,generator!$B$2:$B$295,generator!$K$2:$K$295,"ARGH")</f>
        <v>1</v>
      </c>
      <c r="IR43" s="3">
        <f>_xlfn.XLOOKUP(IR$1,generator!$B$2:$B$295,generator!$K$2:$K$295,"ARGH")</f>
        <v>3</v>
      </c>
      <c r="IS43" s="3">
        <f>_xlfn.XLOOKUP(IS$1,generator!$B$2:$B$295,generator!$K$2:$K$295,"ARGH")</f>
        <v>3</v>
      </c>
      <c r="IT43" s="3">
        <f>_xlfn.XLOOKUP(IT$1,generator!$B$2:$B$295,generator!$K$2:$K$295,"ARGH")</f>
        <v>0</v>
      </c>
      <c r="IU43" s="3">
        <f>_xlfn.XLOOKUP(IU$1,generator!$B$2:$B$295,generator!$K$2:$K$295,"ARGH")</f>
        <v>3.99</v>
      </c>
      <c r="IV43" s="3">
        <f>_xlfn.XLOOKUP(IV$1,generator!$B$2:$B$295,generator!$K$2:$K$295,"ARGH")</f>
        <v>0.2</v>
      </c>
      <c r="IW43" s="3">
        <f>_xlfn.XLOOKUP(IW$1,generator!$B$2:$B$295,generator!$K$2:$K$295,"ARGH")</f>
        <v>15</v>
      </c>
      <c r="IX43" s="3">
        <f>_xlfn.XLOOKUP(IX$1,generator!$B$2:$B$295,generator!$K$2:$K$295,"ARGH")</f>
        <v>15</v>
      </c>
      <c r="IY43" s="3">
        <f>_xlfn.XLOOKUP(IY$1,generator!$B$2:$B$295,generator!$K$2:$K$295,"ARGH")</f>
        <v>15</v>
      </c>
      <c r="IZ43" s="3">
        <f>_xlfn.XLOOKUP(IZ$1,generator!$B$2:$B$295,generator!$K$2:$K$295,"ARGH")</f>
        <v>120</v>
      </c>
      <c r="JA43" s="3">
        <f>_xlfn.XLOOKUP(JA$1,generator!$B$2:$B$295,generator!$K$2:$K$295,"ARGH")</f>
        <v>40</v>
      </c>
      <c r="JB43" s="3">
        <f>_xlfn.XLOOKUP(JB$1,generator!$B$2:$B$295,generator!$K$2:$K$295,"ARGH")</f>
        <v>40</v>
      </c>
      <c r="JC43" s="3">
        <f>_xlfn.XLOOKUP(JC$1,generator!$B$2:$B$295,generator!$K$2:$K$295,"ARGH")</f>
        <v>113</v>
      </c>
      <c r="JD43" s="3">
        <f>_xlfn.XLOOKUP(JD$1,generator!$B$2:$B$295,generator!$K$2:$K$295,"ARGH")</f>
        <v>113</v>
      </c>
      <c r="JE43" s="3">
        <f>_xlfn.XLOOKUP(JE$1,generator!$B$2:$B$295,generator!$K$2:$K$295,"ARGH")</f>
        <v>211</v>
      </c>
      <c r="JF43" s="3">
        <f>_xlfn.XLOOKUP(JF$1,generator!$B$2:$B$295,generator!$K$2:$K$295,"ARGH")</f>
        <v>22.5</v>
      </c>
      <c r="JG43" s="3">
        <f>_xlfn.XLOOKUP(JG$1,generator!$B$2:$B$295,generator!$K$2:$K$295,"ARGH")</f>
        <v>1</v>
      </c>
      <c r="JH43" s="3">
        <f>_xlfn.XLOOKUP(JH$1,generator!$B$2:$B$295,generator!$K$2:$K$295,"ARGH")</f>
        <v>160</v>
      </c>
      <c r="JI43" s="3">
        <f>_xlfn.XLOOKUP(JI$1,generator!$B$2:$B$295,generator!$K$2:$K$295,"ARGH")</f>
        <v>165</v>
      </c>
      <c r="JJ43" s="3">
        <f>_xlfn.XLOOKUP(JJ$1,generator!$B$2:$B$295,generator!$K$2:$K$295,"ARGH")</f>
        <v>4.5999999999999996</v>
      </c>
      <c r="JK43" s="3">
        <f>_xlfn.XLOOKUP(JK$1,generator!$B$2:$B$295,generator!$K$2:$K$295,"ARGH")</f>
        <v>4.5999999999999996</v>
      </c>
      <c r="JL43" s="3">
        <f>_xlfn.XLOOKUP(JL$1,generator!$B$2:$B$295,generator!$K$2:$K$295,"ARGH")</f>
        <v>4.5999999999999996</v>
      </c>
      <c r="JM43" s="3">
        <f>_xlfn.XLOOKUP(JM$1,generator!$B$2:$B$295,generator!$K$2:$K$295,"ARGH")</f>
        <v>4.5999999999999996</v>
      </c>
      <c r="JN43" s="3">
        <f>_xlfn.XLOOKUP(JN$1,generator!$B$2:$B$295,generator!$K$2:$K$295,"ARGH")</f>
        <v>4.5999999999999996</v>
      </c>
      <c r="JO43" s="3">
        <f>_xlfn.XLOOKUP(JO$1,generator!$B$2:$B$295,generator!$K$2:$K$295,"ARGH")</f>
        <v>4.5999999999999996</v>
      </c>
      <c r="JP43" s="3">
        <f>_xlfn.XLOOKUP(JP$1,generator!$B$2:$B$295,generator!$K$2:$K$295,"ARGH")</f>
        <v>110</v>
      </c>
      <c r="JQ43" s="3">
        <f>_xlfn.XLOOKUP(JQ$1,generator!$B$2:$B$295,generator!$K$2:$K$295,"ARGH")</f>
        <v>22.7</v>
      </c>
      <c r="JR43" s="3">
        <f>_xlfn.XLOOKUP(JR$1,generator!$B$2:$B$295,generator!$K$2:$K$295,"ARGH")</f>
        <v>147</v>
      </c>
      <c r="JS43" s="3">
        <f>_xlfn.XLOOKUP(JS$1,generator!$B$2:$B$295,generator!$K$2:$K$295,"ARGH")</f>
        <v>147</v>
      </c>
      <c r="JT43" s="3">
        <f>_xlfn.XLOOKUP(JT$1,generator!$B$2:$B$295,generator!$K$2:$K$295,"ARGH")</f>
        <v>22.7</v>
      </c>
      <c r="JU43" s="3">
        <f>_xlfn.XLOOKUP(JU$1,generator!$B$2:$B$295,generator!$K$2:$K$295,"ARGH")</f>
        <v>21.5</v>
      </c>
      <c r="JV43" s="3">
        <f>_xlfn.XLOOKUP(JV$1,generator!$B$2:$B$295,generator!$K$2:$K$295,"ARGH")</f>
        <v>120</v>
      </c>
      <c r="JW43" s="3">
        <f>_xlfn.XLOOKUP(JW$1,generator!$B$2:$B$295,generator!$K$2:$K$295,"ARGH")</f>
        <v>120</v>
      </c>
      <c r="JX43" s="3">
        <f>_xlfn.XLOOKUP(JX$1,generator!$B$2:$B$295,generator!$K$2:$K$295,"ARGH")</f>
        <v>1</v>
      </c>
      <c r="JY43" s="3">
        <f>_xlfn.XLOOKUP(JY$1,generator!$B$2:$B$295,generator!$K$2:$K$295,"ARGH")</f>
        <v>41.15</v>
      </c>
      <c r="JZ43" s="3">
        <f>_xlfn.XLOOKUP(JZ$1,generator!$B$2:$B$295,generator!$K$2:$K$295,"ARGH")</f>
        <v>5</v>
      </c>
      <c r="KA43" s="3">
        <f>_xlfn.XLOOKUP(KA$1,generator!$B$2:$B$295,generator!$K$2:$K$295,"ARGH")</f>
        <v>5</v>
      </c>
      <c r="KB43" s="3">
        <f>_xlfn.XLOOKUP(KB$1,generator!$B$2:$B$295,generator!$K$2:$K$295,"ARGH")</f>
        <v>5</v>
      </c>
      <c r="KC43" s="3">
        <f>_xlfn.XLOOKUP(KC$1,generator!$B$2:$B$295,generator!$K$2:$K$295,"ARGH")</f>
        <v>5</v>
      </c>
    </row>
    <row r="44" spans="1:289" x14ac:dyDescent="0.3">
      <c r="A44" s="4" t="s">
        <v>3039</v>
      </c>
      <c r="B44" s="31">
        <v>530</v>
      </c>
      <c r="C44" s="31">
        <v>513</v>
      </c>
      <c r="D44" s="31">
        <v>442</v>
      </c>
      <c r="E44" s="3">
        <f>_xlfn.XLOOKUP(E$1,generator!$B$2:$B$295,generator!$K$2:$K$295,"ARGH")</f>
        <v>0</v>
      </c>
      <c r="F44" s="3">
        <f>_xlfn.XLOOKUP(F$1,generator!$B$2:$B$295,generator!$K$2:$K$295,"ARGH")</f>
        <v>0</v>
      </c>
      <c r="G44" s="3">
        <f>_xlfn.XLOOKUP(G$1,generator!$B$2:$B$295,generator!$K$2:$K$295,"ARGH")</f>
        <v>0</v>
      </c>
      <c r="H44" s="3">
        <f>_xlfn.XLOOKUP(H$1,generator!$B$2:$B$295,generator!$K$2:$K$295,"ARGH")</f>
        <v>0</v>
      </c>
      <c r="I44" s="3">
        <f>_xlfn.XLOOKUP(I$1,generator!$B$2:$B$295,generator!$K$2:$K$295,"ARGH")</f>
        <v>0</v>
      </c>
      <c r="J44" s="3">
        <f>_xlfn.XLOOKUP(J$1,generator!$B$2:$B$295,generator!$K$2:$K$295,"ARGH")</f>
        <v>0</v>
      </c>
      <c r="K44" s="3">
        <f>_xlfn.XLOOKUP(K$1,generator!$B$2:$B$295,generator!$K$2:$K$295,"ARGH")</f>
        <v>0</v>
      </c>
      <c r="L44" s="3">
        <f>_xlfn.XLOOKUP(L$1,generator!$B$2:$B$295,generator!$K$2:$K$295,"ARGH")</f>
        <v>0</v>
      </c>
      <c r="M44" s="3">
        <f>_xlfn.XLOOKUP(M$1,generator!$B$2:$B$295,generator!$K$2:$K$295,"ARGH")</f>
        <v>0</v>
      </c>
      <c r="N44" s="3">
        <f>_xlfn.XLOOKUP(N$1,generator!$B$2:$B$295,generator!$K$2:$K$295,"ARGH")</f>
        <v>0</v>
      </c>
      <c r="O44" s="3">
        <f>_xlfn.XLOOKUP(O$1,generator!$B$2:$B$295,generator!$K$2:$K$295,"ARGH")</f>
        <v>0</v>
      </c>
      <c r="P44" s="3">
        <f>_xlfn.XLOOKUP(P$1,generator!$B$2:$B$295,generator!$K$2:$K$295,"ARGH")</f>
        <v>0</v>
      </c>
      <c r="Q44" s="3">
        <f>_xlfn.XLOOKUP(Q$1,generator!$B$2:$B$295,generator!$K$2:$K$295,"ARGH")</f>
        <v>0</v>
      </c>
      <c r="R44" s="3">
        <f>_xlfn.XLOOKUP(R$1,generator!$B$2:$B$295,generator!$K$2:$K$295,"ARGH")</f>
        <v>0</v>
      </c>
      <c r="S44" s="3">
        <f>_xlfn.XLOOKUP(S$1,generator!$B$2:$B$295,generator!$K$2:$K$295,"ARGH")</f>
        <v>0</v>
      </c>
      <c r="T44" s="3">
        <f>_xlfn.XLOOKUP(T$1,generator!$B$2:$B$295,generator!$K$2:$K$295,"ARGH")</f>
        <v>0</v>
      </c>
      <c r="U44" s="3">
        <f>_xlfn.XLOOKUP(U$1,generator!$B$2:$B$295,generator!$K$2:$K$295,"ARGH")</f>
        <v>0</v>
      </c>
      <c r="V44" s="3">
        <f>_xlfn.XLOOKUP(V$1,generator!$B$2:$B$295,generator!$K$2:$K$295,"ARGH")</f>
        <v>0</v>
      </c>
      <c r="W44" s="3">
        <f>_xlfn.XLOOKUP(W$1,generator!$B$2:$B$295,generator!$K$2:$K$295,"ARGH")</f>
        <v>0</v>
      </c>
      <c r="X44" s="3">
        <f>_xlfn.XLOOKUP(X$1,generator!$B$2:$B$295,generator!$K$2:$K$295,"ARGH")</f>
        <v>0</v>
      </c>
      <c r="Y44" s="3">
        <f>_xlfn.XLOOKUP(Y$1,generator!$B$2:$B$295,generator!$K$2:$K$295,"ARGH")</f>
        <v>0</v>
      </c>
      <c r="Z44" s="3">
        <f>_xlfn.XLOOKUP(Z$1,generator!$B$2:$B$295,generator!$K$2:$K$295,"ARGH")</f>
        <v>0</v>
      </c>
      <c r="AA44" s="3">
        <f>_xlfn.XLOOKUP(AA$1,generator!$B$2:$B$295,generator!$K$2:$K$295,"ARGH")</f>
        <v>0</v>
      </c>
      <c r="AB44" s="3">
        <f>_xlfn.XLOOKUP(AB$1,generator!$B$2:$B$295,generator!$K$2:$K$295,"ARGH")</f>
        <v>0</v>
      </c>
      <c r="AC44" s="3">
        <f>_xlfn.XLOOKUP(AC$1,generator!$B$2:$B$295,generator!$K$2:$K$295,"ARGH")</f>
        <v>0</v>
      </c>
      <c r="AD44" s="3">
        <f>_xlfn.XLOOKUP(AD$1,generator!$B$2:$B$295,generator!$K$2:$K$295,"ARGH")</f>
        <v>0</v>
      </c>
      <c r="AE44" s="3">
        <f>_xlfn.XLOOKUP(AE$1,generator!$B$2:$B$295,generator!$K$2:$K$295,"ARGH")</f>
        <v>0</v>
      </c>
      <c r="AF44" s="3">
        <f>_xlfn.XLOOKUP(AF$1,generator!$B$2:$B$295,generator!$K$2:$K$295,"ARGH")</f>
        <v>0</v>
      </c>
      <c r="AG44" s="3">
        <f>_xlfn.XLOOKUP(AG$1,generator!$B$2:$B$295,generator!$K$2:$K$295,"ARGH")</f>
        <v>0</v>
      </c>
      <c r="AH44" s="3">
        <f>_xlfn.XLOOKUP(AH$1,generator!$B$2:$B$295,generator!$K$2:$K$295,"ARGH")</f>
        <v>0</v>
      </c>
      <c r="AI44" s="3">
        <f>_xlfn.XLOOKUP(AI$1,generator!$B$2:$B$295,generator!$K$2:$K$295,"ARGH")</f>
        <v>0</v>
      </c>
      <c r="AJ44" s="3">
        <f>_xlfn.XLOOKUP(AJ$1,generator!$B$2:$B$295,generator!$K$2:$K$295,"ARGH")</f>
        <v>0</v>
      </c>
      <c r="AK44" s="3">
        <f>_xlfn.XLOOKUP(AK$1,generator!$B$2:$B$295,generator!$K$2:$K$295,"ARGH")</f>
        <v>0</v>
      </c>
      <c r="AL44" s="3">
        <f>_xlfn.XLOOKUP(AL$1,generator!$B$2:$B$295,generator!$K$2:$K$295,"ARGH")</f>
        <v>0</v>
      </c>
      <c r="AM44" s="3">
        <f>_xlfn.XLOOKUP(AM$1,generator!$B$2:$B$295,generator!$K$2:$K$295,"ARGH")</f>
        <v>0</v>
      </c>
      <c r="AN44" s="3">
        <f>_xlfn.XLOOKUP(AN$1,generator!$B$2:$B$295,generator!$K$2:$K$295,"ARGH")</f>
        <v>0</v>
      </c>
      <c r="AO44" s="3">
        <f>_xlfn.XLOOKUP(AO$1,generator!$B$2:$B$295,generator!$K$2:$K$295,"ARGH")</f>
        <v>0</v>
      </c>
      <c r="AP44" s="3">
        <f>_xlfn.XLOOKUP(AP$1,generator!$B$2:$B$295,generator!$K$2:$K$295,"ARGH")</f>
        <v>0</v>
      </c>
      <c r="AQ44" s="3">
        <f>_xlfn.XLOOKUP(AQ$1,generator!$B$2:$B$295,generator!$K$2:$K$295,"ARGH")</f>
        <v>0</v>
      </c>
      <c r="AR44" s="3">
        <f>_xlfn.XLOOKUP(AR$1,generator!$B$2:$B$295,generator!$K$2:$K$295,"ARGH")</f>
        <v>0</v>
      </c>
      <c r="AS44" s="3">
        <f>_xlfn.XLOOKUP(AS$1,generator!$B$2:$B$295,generator!$K$2:$K$295,"ARGH")</f>
        <v>0</v>
      </c>
      <c r="AT44" s="3">
        <f>_xlfn.XLOOKUP(AT$1,generator!$B$2:$B$295,generator!$K$2:$K$295,"ARGH")</f>
        <v>0</v>
      </c>
      <c r="AU44" s="3">
        <f>_xlfn.XLOOKUP(AU$1,generator!$B$2:$B$295,generator!$K$2:$K$295,"ARGH")</f>
        <v>0</v>
      </c>
      <c r="AV44" s="3">
        <f>_xlfn.XLOOKUP(AV$1,generator!$B$2:$B$295,generator!$K$2:$K$295,"ARGH")</f>
        <v>0</v>
      </c>
      <c r="AW44" s="3">
        <f>_xlfn.XLOOKUP(AW$1,generator!$B$2:$B$295,generator!$K$2:$K$295,"ARGH")</f>
        <v>0</v>
      </c>
      <c r="AX44" s="3">
        <f>_xlfn.XLOOKUP(AX$1,generator!$B$2:$B$295,generator!$K$2:$K$295,"ARGH")</f>
        <v>0</v>
      </c>
      <c r="AY44" s="3">
        <f>_xlfn.XLOOKUP(AY$1,generator!$B$2:$B$295,generator!$K$2:$K$295,"ARGH")</f>
        <v>0</v>
      </c>
      <c r="AZ44" s="3">
        <f>_xlfn.XLOOKUP(AZ$1,generator!$B$2:$B$295,generator!$K$2:$K$295,"ARGH")</f>
        <v>0</v>
      </c>
      <c r="BA44" s="3">
        <f>_xlfn.XLOOKUP(BA$1,generator!$B$2:$B$295,generator!$K$2:$K$295,"ARGH")</f>
        <v>0</v>
      </c>
      <c r="BB44" s="3">
        <f>_xlfn.XLOOKUP(BB$1,generator!$B$2:$B$295,generator!$K$2:$K$295,"ARGH")</f>
        <v>0</v>
      </c>
      <c r="BC44" s="3">
        <f>_xlfn.XLOOKUP(BC$1,generator!$B$2:$B$295,generator!$K$2:$K$295,"ARGH")</f>
        <v>0</v>
      </c>
      <c r="BD44" s="3">
        <f>_xlfn.XLOOKUP(BD$1,generator!$B$2:$B$295,generator!$K$2:$K$295,"ARGH")</f>
        <v>0</v>
      </c>
      <c r="BE44" s="3">
        <f>_xlfn.XLOOKUP(BE$1,generator!$B$2:$B$295,generator!$K$2:$K$295,"ARGH")</f>
        <v>0</v>
      </c>
      <c r="BF44" s="3">
        <f>_xlfn.XLOOKUP(BF$1,generator!$B$2:$B$295,generator!$K$2:$K$295,"ARGH")</f>
        <v>0</v>
      </c>
      <c r="BG44" s="3">
        <f>_xlfn.XLOOKUP(BG$1,generator!$B$2:$B$295,generator!$K$2:$K$295,"ARGH")</f>
        <v>0</v>
      </c>
      <c r="BH44" s="3">
        <f>_xlfn.XLOOKUP(BH$1,generator!$B$2:$B$295,generator!$K$2:$K$295,"ARGH")</f>
        <v>0</v>
      </c>
      <c r="BI44" s="3">
        <f>_xlfn.XLOOKUP(BI$1,generator!$B$2:$B$295,generator!$K$2:$K$295,"ARGH")</f>
        <v>0</v>
      </c>
      <c r="BJ44" s="3">
        <f>_xlfn.XLOOKUP(BJ$1,generator!$B$2:$B$295,generator!$K$2:$K$295,"ARGH")</f>
        <v>0</v>
      </c>
      <c r="BK44" s="3">
        <f>_xlfn.XLOOKUP(BK$1,generator!$B$2:$B$295,generator!$K$2:$K$295,"ARGH")</f>
        <v>0</v>
      </c>
      <c r="BL44" s="3">
        <f>_xlfn.XLOOKUP(BL$1,generator!$B$2:$B$295,generator!$K$2:$K$295,"ARGH")</f>
        <v>0</v>
      </c>
      <c r="BM44" s="3">
        <f>_xlfn.XLOOKUP(BM$1,generator!$B$2:$B$295,generator!$K$2:$K$295,"ARGH")</f>
        <v>0</v>
      </c>
      <c r="BN44" s="3">
        <f>_xlfn.XLOOKUP(BN$1,generator!$B$2:$B$295,generator!$K$2:$K$295,"ARGH")</f>
        <v>0</v>
      </c>
      <c r="BO44" s="3">
        <f>_xlfn.XLOOKUP(BO$1,generator!$B$2:$B$295,generator!$K$2:$K$295,"ARGH")</f>
        <v>0</v>
      </c>
      <c r="BP44" s="3">
        <f>_xlfn.XLOOKUP(BP$1,generator!$B$2:$B$295,generator!$K$2:$K$295,"ARGH")</f>
        <v>0</v>
      </c>
      <c r="BQ44" s="3">
        <f>_xlfn.XLOOKUP(BQ$1,generator!$B$2:$B$295,generator!$K$2:$K$295,"ARGH")</f>
        <v>0</v>
      </c>
      <c r="BR44" s="3">
        <f>_xlfn.XLOOKUP(BR$1,generator!$B$2:$B$295,generator!$K$2:$K$295,"ARGH")</f>
        <v>0</v>
      </c>
      <c r="BS44" s="3">
        <f>_xlfn.XLOOKUP(BS$1,generator!$B$2:$B$295,generator!$K$2:$K$295,"ARGH")</f>
        <v>0</v>
      </c>
      <c r="BT44" s="3">
        <f>_xlfn.XLOOKUP(BT$1,generator!$B$2:$B$295,generator!$K$2:$K$295,"ARGH")</f>
        <v>0</v>
      </c>
      <c r="BU44" s="3">
        <f>_xlfn.XLOOKUP(BU$1,generator!$B$2:$B$295,generator!$K$2:$K$295,"ARGH")</f>
        <v>0</v>
      </c>
      <c r="BV44" s="3">
        <f>_xlfn.XLOOKUP(BV$1,generator!$B$2:$B$295,generator!$K$2:$K$295,"ARGH")</f>
        <v>0</v>
      </c>
      <c r="BW44" s="3">
        <f>_xlfn.XLOOKUP(BW$1,generator!$B$2:$B$295,generator!$K$2:$K$295,"ARGH")</f>
        <v>0</v>
      </c>
      <c r="BX44" s="3">
        <f>_xlfn.XLOOKUP(BX$1,generator!$B$2:$B$295,generator!$K$2:$K$295,"ARGH")</f>
        <v>0</v>
      </c>
      <c r="BY44" s="3">
        <f>_xlfn.XLOOKUP(BY$1,generator!$B$2:$B$295,generator!$K$2:$K$295,"ARGH")</f>
        <v>0</v>
      </c>
      <c r="BZ44" s="3">
        <f>_xlfn.XLOOKUP(BZ$1,generator!$B$2:$B$295,generator!$K$2:$K$295,"ARGH")</f>
        <v>0</v>
      </c>
      <c r="CA44" s="3">
        <f>_xlfn.XLOOKUP(CA$1,generator!$B$2:$B$295,generator!$K$2:$K$295,"ARGH")</f>
        <v>0</v>
      </c>
      <c r="CB44" s="3">
        <f>_xlfn.XLOOKUP(CB$1,generator!$B$2:$B$295,generator!$K$2:$K$295,"ARGH")</f>
        <v>0</v>
      </c>
      <c r="CC44" s="3">
        <f>_xlfn.XLOOKUP(CC$1,generator!$B$2:$B$295,generator!$K$2:$K$295,"ARGH")</f>
        <v>0</v>
      </c>
      <c r="CD44" s="3">
        <f>_xlfn.XLOOKUP(CD$1,generator!$B$2:$B$295,generator!$K$2:$K$295,"ARGH")</f>
        <v>0</v>
      </c>
      <c r="CE44" s="3">
        <f>_xlfn.XLOOKUP(CE$1,generator!$B$2:$B$295,generator!$K$2:$K$295,"ARGH")</f>
        <v>0</v>
      </c>
      <c r="CF44" s="3">
        <f>_xlfn.XLOOKUP(CF$1,generator!$B$2:$B$295,generator!$K$2:$K$295,"ARGH")</f>
        <v>0</v>
      </c>
      <c r="CG44" s="3">
        <f>_xlfn.XLOOKUP(CG$1,generator!$B$2:$B$295,generator!$K$2:$K$295,"ARGH")</f>
        <v>0</v>
      </c>
      <c r="CH44" s="3">
        <f>_xlfn.XLOOKUP(CH$1,generator!$B$2:$B$295,generator!$K$2:$K$295,"ARGH")</f>
        <v>0</v>
      </c>
      <c r="CI44" s="3">
        <f>_xlfn.XLOOKUP(CI$1,generator!$B$2:$B$295,generator!$K$2:$K$295,"ARGH")</f>
        <v>0</v>
      </c>
      <c r="CJ44" s="3">
        <f>_xlfn.XLOOKUP(CJ$1,generator!$B$2:$B$295,generator!$K$2:$K$295,"ARGH")</f>
        <v>0</v>
      </c>
      <c r="CK44" s="3">
        <f>_xlfn.XLOOKUP(CK$1,generator!$B$2:$B$295,generator!$K$2:$K$295,"ARGH")</f>
        <v>0</v>
      </c>
      <c r="CL44" s="3">
        <f>_xlfn.XLOOKUP(CL$1,generator!$B$2:$B$295,generator!$K$2:$K$295,"ARGH")</f>
        <v>0</v>
      </c>
      <c r="CM44" s="3">
        <f>_xlfn.XLOOKUP(CM$1,generator!$B$2:$B$295,generator!$K$2:$K$295,"ARGH")</f>
        <v>0</v>
      </c>
      <c r="CN44" s="3">
        <f>_xlfn.XLOOKUP(CN$1,generator!$B$2:$B$295,generator!$K$2:$K$295,"ARGH")</f>
        <v>0</v>
      </c>
      <c r="CO44" s="3">
        <f>_xlfn.XLOOKUP(CO$1,generator!$B$2:$B$295,generator!$K$2:$K$295,"ARGH")</f>
        <v>0</v>
      </c>
      <c r="CP44" s="3">
        <f>_xlfn.XLOOKUP(CP$1,generator!$B$2:$B$295,generator!$K$2:$K$295,"ARGH")</f>
        <v>0</v>
      </c>
      <c r="CQ44" s="3">
        <f>_xlfn.XLOOKUP(CQ$1,generator!$B$2:$B$295,generator!$K$2:$K$295,"ARGH")</f>
        <v>0</v>
      </c>
      <c r="CR44" s="3">
        <f>_xlfn.XLOOKUP(CR$1,generator!$B$2:$B$295,generator!$K$2:$K$295,"ARGH")</f>
        <v>0</v>
      </c>
      <c r="CS44" s="3">
        <f>_xlfn.XLOOKUP(CS$1,generator!$B$2:$B$295,generator!$K$2:$K$295,"ARGH")</f>
        <v>0</v>
      </c>
      <c r="CT44" s="3">
        <f>_xlfn.XLOOKUP(CT$1,generator!$B$2:$B$295,generator!$K$2:$K$295,"ARGH")</f>
        <v>0</v>
      </c>
      <c r="CU44" s="3">
        <f>_xlfn.XLOOKUP(CU$1,generator!$B$2:$B$295,generator!$K$2:$K$295,"ARGH")</f>
        <v>0</v>
      </c>
      <c r="CV44" s="3">
        <f>_xlfn.XLOOKUP(CV$1,generator!$B$2:$B$295,generator!$K$2:$K$295,"ARGH")</f>
        <v>0</v>
      </c>
      <c r="CW44" s="3">
        <f>_xlfn.XLOOKUP(CW$1,generator!$B$2:$B$295,generator!$K$2:$K$295,"ARGH")</f>
        <v>0</v>
      </c>
      <c r="CX44" s="3">
        <f>_xlfn.XLOOKUP(CX$1,generator!$B$2:$B$295,generator!$K$2:$K$295,"ARGH")</f>
        <v>0</v>
      </c>
      <c r="CY44" s="3">
        <f>_xlfn.XLOOKUP(CY$1,generator!$B$2:$B$295,generator!$K$2:$K$295,"ARGH")</f>
        <v>0</v>
      </c>
      <c r="CZ44" s="3">
        <f>_xlfn.XLOOKUP(CZ$1,generator!$B$2:$B$295,generator!$K$2:$K$295,"ARGH")</f>
        <v>0</v>
      </c>
      <c r="DA44" s="3">
        <f>_xlfn.XLOOKUP(DA$1,generator!$B$2:$B$295,generator!$K$2:$K$295,"ARGH")</f>
        <v>0</v>
      </c>
      <c r="DB44" s="3">
        <f>_xlfn.XLOOKUP(DB$1,generator!$B$2:$B$295,generator!$K$2:$K$295,"ARGH")</f>
        <v>0</v>
      </c>
      <c r="DC44" s="3">
        <f>_xlfn.XLOOKUP(DC$1,generator!$B$2:$B$295,generator!$K$2:$K$295,"ARGH")</f>
        <v>0</v>
      </c>
      <c r="DD44" s="3">
        <f>_xlfn.XLOOKUP(DD$1,generator!$B$2:$B$295,generator!$K$2:$K$295,"ARGH")</f>
        <v>0</v>
      </c>
      <c r="DE44" s="3">
        <f>_xlfn.XLOOKUP(DE$1,generator!$B$2:$B$295,generator!$K$2:$K$295,"ARGH")</f>
        <v>0</v>
      </c>
      <c r="DF44" s="3">
        <f>_xlfn.XLOOKUP(DF$1,generator!$B$2:$B$295,generator!$K$2:$K$295,"ARGH")</f>
        <v>0</v>
      </c>
      <c r="DG44" s="3">
        <f>_xlfn.XLOOKUP(DG$1,generator!$B$2:$B$295,generator!$K$2:$K$295,"ARGH")</f>
        <v>0</v>
      </c>
      <c r="DH44" s="3">
        <f>_xlfn.XLOOKUP(DH$1,generator!$B$2:$B$295,generator!$K$2:$K$295,"ARGH")</f>
        <v>0</v>
      </c>
      <c r="DI44" s="3">
        <f>_xlfn.XLOOKUP(DI$1,generator!$B$2:$B$295,generator!$K$2:$K$295,"ARGH")</f>
        <v>0</v>
      </c>
      <c r="DJ44" s="3">
        <f>_xlfn.XLOOKUP(DJ$1,generator!$B$2:$B$295,generator!$K$2:$K$295,"ARGH")</f>
        <v>0</v>
      </c>
      <c r="DK44" s="3">
        <f>_xlfn.XLOOKUP(DK$1,generator!$B$2:$B$295,generator!$K$2:$K$295,"ARGH")</f>
        <v>0</v>
      </c>
      <c r="DL44" s="3">
        <f>_xlfn.XLOOKUP(DL$1,generator!$B$2:$B$295,generator!$K$2:$K$295,"ARGH")</f>
        <v>0</v>
      </c>
      <c r="DM44" s="3">
        <f>_xlfn.XLOOKUP(DM$1,generator!$B$2:$B$295,generator!$K$2:$K$295,"ARGH")</f>
        <v>0</v>
      </c>
      <c r="DN44" s="3">
        <f>_xlfn.XLOOKUP(DN$1,generator!$B$2:$B$295,generator!$K$2:$K$295,"ARGH")</f>
        <v>0</v>
      </c>
      <c r="DO44" s="3">
        <f>_xlfn.XLOOKUP(DO$1,generator!$B$2:$B$295,generator!$K$2:$K$295,"ARGH")</f>
        <v>0</v>
      </c>
      <c r="DP44" s="3">
        <f>_xlfn.XLOOKUP(DP$1,generator!$B$2:$B$295,generator!$K$2:$K$295,"ARGH")</f>
        <v>0</v>
      </c>
      <c r="DQ44" s="3">
        <f>_xlfn.XLOOKUP(DQ$1,generator!$B$2:$B$295,generator!$K$2:$K$295,"ARGH")</f>
        <v>0</v>
      </c>
      <c r="DR44" s="3">
        <f>_xlfn.XLOOKUP(DR$1,generator!$B$2:$B$295,generator!$K$2:$K$295,"ARGH")</f>
        <v>0</v>
      </c>
      <c r="DS44" s="3">
        <f>_xlfn.XLOOKUP(DS$1,generator!$B$2:$B$295,generator!$K$2:$K$295,"ARGH")</f>
        <v>0</v>
      </c>
      <c r="DT44" s="3">
        <f>_xlfn.XLOOKUP(DT$1,generator!$B$2:$B$295,generator!$K$2:$K$295,"ARGH")</f>
        <v>0</v>
      </c>
      <c r="DU44" s="3">
        <f>_xlfn.XLOOKUP(DU$1,generator!$B$2:$B$295,generator!$K$2:$K$295,"ARGH")</f>
        <v>0</v>
      </c>
      <c r="DV44" s="3">
        <f>_xlfn.XLOOKUP(DV$1,generator!$B$2:$B$295,generator!$K$2:$K$295,"ARGH")</f>
        <v>0</v>
      </c>
      <c r="DW44" s="3">
        <f>_xlfn.XLOOKUP(DW$1,generator!$B$2:$B$295,generator!$K$2:$K$295,"ARGH")</f>
        <v>0</v>
      </c>
      <c r="DX44" s="3">
        <f>_xlfn.XLOOKUP(DX$1,generator!$B$2:$B$295,generator!$K$2:$K$295,"ARGH")</f>
        <v>0</v>
      </c>
      <c r="DY44" s="3">
        <f>_xlfn.XLOOKUP(DY$1,generator!$B$2:$B$295,generator!$K$2:$K$295,"ARGH")</f>
        <v>0</v>
      </c>
      <c r="DZ44" s="3">
        <f>_xlfn.XLOOKUP(DZ$1,generator!$B$2:$B$295,generator!$K$2:$K$295,"ARGH")</f>
        <v>0</v>
      </c>
      <c r="EA44" s="3">
        <f>_xlfn.XLOOKUP(EA$1,generator!$B$2:$B$295,generator!$K$2:$K$295,"ARGH")</f>
        <v>0</v>
      </c>
      <c r="EB44" s="3">
        <f>_xlfn.XLOOKUP(EB$1,generator!$B$2:$B$295,generator!$K$2:$K$295,"ARGH")</f>
        <v>0</v>
      </c>
      <c r="EC44" s="3">
        <f>_xlfn.XLOOKUP(EC$1,generator!$B$2:$B$295,generator!$K$2:$K$295,"ARGH")</f>
        <v>0</v>
      </c>
      <c r="ED44" s="3">
        <f>_xlfn.XLOOKUP(ED$1,generator!$B$2:$B$295,generator!$K$2:$K$295,"ARGH")</f>
        <v>0</v>
      </c>
      <c r="EE44" s="3">
        <f>_xlfn.XLOOKUP(EE$1,generator!$B$2:$B$295,generator!$K$2:$K$295,"ARGH")</f>
        <v>0</v>
      </c>
      <c r="EF44" s="3">
        <f>_xlfn.XLOOKUP(EF$1,generator!$B$2:$B$295,generator!$K$2:$K$295,"ARGH")</f>
        <v>0</v>
      </c>
      <c r="EG44" s="3">
        <f>_xlfn.XLOOKUP(EG$1,generator!$B$2:$B$295,generator!$K$2:$K$295,"ARGH")</f>
        <v>0</v>
      </c>
      <c r="EH44" s="3">
        <f>_xlfn.XLOOKUP(EH$1,generator!$B$2:$B$295,generator!$K$2:$K$295,"ARGH")</f>
        <v>0</v>
      </c>
      <c r="EI44" s="3">
        <f>_xlfn.XLOOKUP(EI$1,generator!$B$2:$B$295,generator!$K$2:$K$295,"ARGH")</f>
        <v>0</v>
      </c>
      <c r="EJ44" s="3">
        <f>_xlfn.XLOOKUP(EJ$1,generator!$B$2:$B$295,generator!$K$2:$K$295,"ARGH")</f>
        <v>0</v>
      </c>
      <c r="EK44" s="3">
        <f>_xlfn.XLOOKUP(EK$1,generator!$B$2:$B$295,generator!$K$2:$K$295,"ARGH")</f>
        <v>0</v>
      </c>
      <c r="EL44" s="3">
        <f>_xlfn.XLOOKUP(EL$1,generator!$B$2:$B$295,generator!$K$2:$K$295,"ARGH")</f>
        <v>0</v>
      </c>
      <c r="EM44" s="3">
        <f>_xlfn.XLOOKUP(EM$1,generator!$B$2:$B$295,generator!$K$2:$K$295,"ARGH")</f>
        <v>0</v>
      </c>
      <c r="EN44" s="3">
        <f>_xlfn.XLOOKUP(EN$1,generator!$B$2:$B$295,generator!$K$2:$K$295,"ARGH")</f>
        <v>0</v>
      </c>
      <c r="EO44" s="3">
        <f>_xlfn.XLOOKUP(EO$1,generator!$B$2:$B$295,generator!$K$2:$K$295,"ARGH")</f>
        <v>0</v>
      </c>
      <c r="EP44" s="3">
        <f>_xlfn.XLOOKUP(EP$1,generator!$B$2:$B$295,generator!$K$2:$K$295,"ARGH")</f>
        <v>0</v>
      </c>
      <c r="EQ44" s="3">
        <f>_xlfn.XLOOKUP(EQ$1,generator!$B$2:$B$295,generator!$K$2:$K$295,"ARGH")</f>
        <v>0</v>
      </c>
      <c r="ER44" s="3">
        <f>_xlfn.XLOOKUP(ER$1,generator!$B$2:$B$295,generator!$K$2:$K$295,"ARGH")</f>
        <v>0</v>
      </c>
      <c r="ES44" s="3">
        <f>_xlfn.XLOOKUP(ES$1,generator!$B$2:$B$295,generator!$K$2:$K$295,"ARGH")</f>
        <v>0</v>
      </c>
      <c r="ET44" s="3">
        <f>_xlfn.XLOOKUP(ET$1,generator!$B$2:$B$295,generator!$K$2:$K$295,"ARGH")</f>
        <v>0</v>
      </c>
      <c r="EU44" s="3">
        <f>_xlfn.XLOOKUP(EU$1,generator!$B$2:$B$295,generator!$K$2:$K$295,"ARGH")</f>
        <v>0</v>
      </c>
      <c r="EV44" s="3">
        <f>_xlfn.XLOOKUP(EV$1,generator!$B$2:$B$295,generator!$K$2:$K$295,"ARGH")</f>
        <v>0</v>
      </c>
      <c r="EW44" s="3">
        <f>_xlfn.XLOOKUP(EW$1,generator!$B$2:$B$295,generator!$K$2:$K$295,"ARGH")</f>
        <v>0</v>
      </c>
      <c r="EX44" s="3">
        <f>_xlfn.XLOOKUP(EX$1,generator!$B$2:$B$295,generator!$K$2:$K$295,"ARGH")</f>
        <v>0</v>
      </c>
      <c r="EY44" s="3">
        <f>_xlfn.XLOOKUP(EY$1,generator!$B$2:$B$295,generator!$K$2:$K$295,"ARGH")</f>
        <v>0</v>
      </c>
      <c r="EZ44" s="3">
        <f>_xlfn.XLOOKUP(EZ$1,generator!$B$2:$B$295,generator!$K$2:$K$295,"ARGH")</f>
        <v>0</v>
      </c>
      <c r="FA44" s="3">
        <f>_xlfn.XLOOKUP(FA$1,generator!$B$2:$B$295,generator!$K$2:$K$295,"ARGH")</f>
        <v>0</v>
      </c>
      <c r="FB44" s="3">
        <f>_xlfn.XLOOKUP(FB$1,generator!$B$2:$B$295,generator!$K$2:$K$295,"ARGH")</f>
        <v>0</v>
      </c>
      <c r="FC44" s="3">
        <f>_xlfn.XLOOKUP(FC$1,generator!$B$2:$B$295,generator!$K$2:$K$295,"ARGH")</f>
        <v>0</v>
      </c>
      <c r="FD44" s="3">
        <f>_xlfn.XLOOKUP(FD$1,generator!$B$2:$B$295,generator!$K$2:$K$295,"ARGH")</f>
        <v>0</v>
      </c>
      <c r="FE44" s="3">
        <f>_xlfn.XLOOKUP(FE$1,generator!$B$2:$B$295,generator!$K$2:$K$295,"ARGH")</f>
        <v>0</v>
      </c>
      <c r="FF44" s="3">
        <f>_xlfn.XLOOKUP(FF$1,generator!$B$2:$B$295,generator!$K$2:$K$295,"ARGH")</f>
        <v>0</v>
      </c>
      <c r="FG44" s="3">
        <f>_xlfn.XLOOKUP(FG$1,generator!$B$2:$B$295,generator!$K$2:$K$295,"ARGH")</f>
        <v>0</v>
      </c>
      <c r="FH44" s="3">
        <f>_xlfn.XLOOKUP(FH$1,generator!$B$2:$B$295,generator!$K$2:$K$295,"ARGH")</f>
        <v>0</v>
      </c>
      <c r="FI44" s="3">
        <f>_xlfn.XLOOKUP(FI$1,generator!$B$2:$B$295,generator!$K$2:$K$295,"ARGH")</f>
        <v>0</v>
      </c>
      <c r="FJ44" s="3">
        <f>_xlfn.XLOOKUP(FJ$1,generator!$B$2:$B$295,generator!$K$2:$K$295,"ARGH")</f>
        <v>0</v>
      </c>
      <c r="FK44" s="3">
        <f>_xlfn.XLOOKUP(FK$1,generator!$B$2:$B$295,generator!$K$2:$K$295,"ARGH")</f>
        <v>0</v>
      </c>
      <c r="FL44" s="3">
        <f>_xlfn.XLOOKUP(FL$1,generator!$B$2:$B$295,generator!$K$2:$K$295,"ARGH")</f>
        <v>0</v>
      </c>
      <c r="FM44" s="3">
        <f>_xlfn.XLOOKUP(FM$1,generator!$B$2:$B$295,generator!$K$2:$K$295,"ARGH")</f>
        <v>0</v>
      </c>
      <c r="FN44" s="3">
        <f>_xlfn.XLOOKUP(FN$1,generator!$B$2:$B$295,generator!$K$2:$K$295,"ARGH")</f>
        <v>0</v>
      </c>
      <c r="FO44" s="3">
        <f>_xlfn.XLOOKUP(FO$1,generator!$B$2:$B$295,generator!$K$2:$K$295,"ARGH")</f>
        <v>0</v>
      </c>
      <c r="FP44" s="3">
        <f>_xlfn.XLOOKUP(FP$1,generator!$B$2:$B$295,generator!$K$2:$K$295,"ARGH")</f>
        <v>0</v>
      </c>
      <c r="FQ44" s="3">
        <f>_xlfn.XLOOKUP(FQ$1,generator!$B$2:$B$295,generator!$K$2:$K$295,"ARGH")</f>
        <v>0</v>
      </c>
      <c r="FR44" s="3">
        <f>_xlfn.XLOOKUP(FR$1,generator!$B$2:$B$295,generator!$K$2:$K$295,"ARGH")</f>
        <v>0</v>
      </c>
      <c r="FS44" s="3">
        <f>_xlfn.XLOOKUP(FS$1,generator!$B$2:$B$295,generator!$K$2:$K$295,"ARGH")</f>
        <v>0</v>
      </c>
      <c r="FT44" s="3">
        <f>_xlfn.XLOOKUP(FT$1,generator!$B$2:$B$295,generator!$K$2:$K$295,"ARGH")</f>
        <v>0</v>
      </c>
      <c r="FU44" s="3">
        <f>_xlfn.XLOOKUP(FU$1,generator!$B$2:$B$295,generator!$K$2:$K$295,"ARGH")</f>
        <v>0</v>
      </c>
      <c r="FV44" s="3">
        <f>_xlfn.XLOOKUP(FV$1,generator!$B$2:$B$295,generator!$K$2:$K$295,"ARGH")</f>
        <v>0</v>
      </c>
      <c r="FW44" s="3">
        <f>_xlfn.XLOOKUP(FW$1,generator!$B$2:$B$295,generator!$K$2:$K$295,"ARGH")</f>
        <v>0</v>
      </c>
      <c r="FX44" s="3">
        <f>_xlfn.XLOOKUP(FX$1,generator!$B$2:$B$295,generator!$K$2:$K$295,"ARGH")</f>
        <v>0</v>
      </c>
      <c r="FY44" s="3">
        <f>_xlfn.XLOOKUP(FY$1,generator!$B$2:$B$295,generator!$K$2:$K$295,"ARGH")</f>
        <v>0</v>
      </c>
      <c r="FZ44" s="3">
        <f>_xlfn.XLOOKUP(FZ$1,generator!$B$2:$B$295,generator!$K$2:$K$295,"ARGH")</f>
        <v>0</v>
      </c>
      <c r="GA44" s="3">
        <f>_xlfn.XLOOKUP(GA$1,generator!$B$2:$B$295,generator!$K$2:$K$295,"ARGH")</f>
        <v>0</v>
      </c>
      <c r="GB44" s="3">
        <f>_xlfn.XLOOKUP(GB$1,generator!$B$2:$B$295,generator!$K$2:$K$295,"ARGH")</f>
        <v>0</v>
      </c>
      <c r="GC44" s="3">
        <f>_xlfn.XLOOKUP(GC$1,generator!$B$2:$B$295,generator!$K$2:$K$295,"ARGH")</f>
        <v>0</v>
      </c>
      <c r="GD44" s="3">
        <f>_xlfn.XLOOKUP(GD$1,generator!$B$2:$B$295,generator!$K$2:$K$295,"ARGH")</f>
        <v>0</v>
      </c>
      <c r="GE44" s="3">
        <f>_xlfn.XLOOKUP(GE$1,generator!$B$2:$B$295,generator!$K$2:$K$295,"ARGH")</f>
        <v>0</v>
      </c>
      <c r="GF44" s="3">
        <f>_xlfn.XLOOKUP(GF$1,generator!$B$2:$B$295,generator!$K$2:$K$295,"ARGH")</f>
        <v>0</v>
      </c>
      <c r="GG44" s="3">
        <f>_xlfn.XLOOKUP(GG$1,generator!$B$2:$B$295,generator!$K$2:$K$295,"ARGH")</f>
        <v>0</v>
      </c>
      <c r="GH44" s="3">
        <f>_xlfn.XLOOKUP(GH$1,generator!$B$2:$B$295,generator!$K$2:$K$295,"ARGH")</f>
        <v>0</v>
      </c>
      <c r="GI44" s="3">
        <f>_xlfn.XLOOKUP(GI$1,generator!$B$2:$B$295,generator!$K$2:$K$295,"ARGH")</f>
        <v>0</v>
      </c>
      <c r="GJ44" s="3">
        <f>_xlfn.XLOOKUP(GJ$1,generator!$B$2:$B$295,generator!$K$2:$K$295,"ARGH")</f>
        <v>0</v>
      </c>
      <c r="GK44" s="3">
        <f>_xlfn.XLOOKUP(GK$1,generator!$B$2:$B$295,generator!$K$2:$K$295,"ARGH")</f>
        <v>0</v>
      </c>
      <c r="GL44" s="3">
        <f>_xlfn.XLOOKUP(GL$1,generator!$B$2:$B$295,generator!$K$2:$K$295,"ARGH")</f>
        <v>0</v>
      </c>
      <c r="GM44" s="3">
        <f>_xlfn.XLOOKUP(GM$1,generator!$B$2:$B$295,generator!$K$2:$K$295,"ARGH")</f>
        <v>0</v>
      </c>
      <c r="GN44" s="3">
        <f>_xlfn.XLOOKUP(GN$1,generator!$B$2:$B$295,generator!$K$2:$K$295,"ARGH")</f>
        <v>0</v>
      </c>
      <c r="GO44" s="3">
        <f>_xlfn.XLOOKUP(GO$1,generator!$B$2:$B$295,generator!$K$2:$K$295,"ARGH")</f>
        <v>0</v>
      </c>
      <c r="GP44" s="3">
        <f>_xlfn.XLOOKUP(GP$1,generator!$B$2:$B$295,generator!$K$2:$K$295,"ARGH")</f>
        <v>0</v>
      </c>
      <c r="GQ44" s="3">
        <f>_xlfn.XLOOKUP(GQ$1,generator!$B$2:$B$295,generator!$K$2:$K$295,"ARGH")</f>
        <v>0</v>
      </c>
      <c r="GR44" s="3">
        <f>_xlfn.XLOOKUP(GR$1,generator!$B$2:$B$295,generator!$K$2:$K$295,"ARGH")</f>
        <v>0</v>
      </c>
      <c r="GS44" s="3">
        <f>_xlfn.XLOOKUP(GS$1,generator!$B$2:$B$295,generator!$K$2:$K$295,"ARGH")</f>
        <v>0</v>
      </c>
      <c r="GT44" s="3">
        <f>_xlfn.XLOOKUP(GT$1,generator!$B$2:$B$295,generator!$K$2:$K$295,"ARGH")</f>
        <v>0</v>
      </c>
      <c r="GU44" s="3">
        <f>_xlfn.XLOOKUP(GU$1,generator!$B$2:$B$295,generator!$K$2:$K$295,"ARGH")</f>
        <v>0</v>
      </c>
      <c r="GV44" s="3">
        <f>_xlfn.XLOOKUP(GV$1,generator!$B$2:$B$295,generator!$K$2:$K$295,"ARGH")</f>
        <v>0</v>
      </c>
      <c r="GW44" s="3">
        <f>_xlfn.XLOOKUP(GW$1,generator!$B$2:$B$295,generator!$K$2:$K$295,"ARGH")</f>
        <v>0</v>
      </c>
      <c r="GX44" s="3">
        <f>_xlfn.XLOOKUP(GX$1,generator!$B$2:$B$295,generator!$K$2:$K$295,"ARGH")</f>
        <v>0</v>
      </c>
      <c r="GY44" s="3">
        <f>_xlfn.XLOOKUP(GY$1,generator!$B$2:$B$295,generator!$K$2:$K$295,"ARGH")</f>
        <v>0</v>
      </c>
      <c r="GZ44" s="3">
        <f>_xlfn.XLOOKUP(GZ$1,generator!$B$2:$B$295,generator!$K$2:$K$295,"ARGH")</f>
        <v>0</v>
      </c>
      <c r="HA44" s="3">
        <f>_xlfn.XLOOKUP(HA$1,generator!$B$2:$B$295,generator!$K$2:$K$295,"ARGH")</f>
        <v>0</v>
      </c>
      <c r="HB44" s="3">
        <f>_xlfn.XLOOKUP(HB$1,generator!$B$2:$B$295,generator!$K$2:$K$295,"ARGH")</f>
        <v>0</v>
      </c>
      <c r="HC44" s="3">
        <f>_xlfn.XLOOKUP(HC$1,generator!$B$2:$B$295,generator!$K$2:$K$295,"ARGH")</f>
        <v>0</v>
      </c>
      <c r="HD44" s="3">
        <f>_xlfn.XLOOKUP(HD$1,generator!$B$2:$B$295,generator!$K$2:$K$295,"ARGH")</f>
        <v>0</v>
      </c>
      <c r="HE44" s="3">
        <f>_xlfn.XLOOKUP(HE$1,generator!$B$2:$B$295,generator!$K$2:$K$295,"ARGH")</f>
        <v>12.74</v>
      </c>
      <c r="HF44" s="3">
        <f>_xlfn.XLOOKUP(HF$1,generator!$B$2:$B$295,generator!$K$2:$K$295,"ARGH")</f>
        <v>99</v>
      </c>
      <c r="HG44" s="3">
        <f>_xlfn.XLOOKUP(HG$1,generator!$B$2:$B$295,generator!$K$2:$K$295,"ARGH")</f>
        <v>99</v>
      </c>
      <c r="HH44" s="3">
        <f>_xlfn.XLOOKUP(HH$1,generator!$B$2:$B$295,generator!$K$2:$K$295,"ARGH")</f>
        <v>99</v>
      </c>
      <c r="HI44" s="3">
        <f>_xlfn.XLOOKUP(HI$1,generator!$B$2:$B$295,generator!$K$2:$K$295,"ARGH")</f>
        <v>8</v>
      </c>
      <c r="HJ44" s="3">
        <f>_xlfn.XLOOKUP(HJ$1,generator!$B$2:$B$295,generator!$K$2:$K$295,"ARGH")</f>
        <v>8</v>
      </c>
      <c r="HK44" s="3">
        <f>_xlfn.XLOOKUP(HK$1,generator!$B$2:$B$295,generator!$K$2:$K$295,"ARGH")</f>
        <v>8</v>
      </c>
      <c r="HL44" s="3">
        <f>_xlfn.XLOOKUP(HL$1,generator!$B$2:$B$295,generator!$K$2:$K$295,"ARGH")</f>
        <v>20</v>
      </c>
      <c r="HM44" s="3">
        <f>_xlfn.XLOOKUP(HM$1,generator!$B$2:$B$295,generator!$K$2:$K$295,"ARGH")</f>
        <v>20</v>
      </c>
      <c r="HN44" s="3">
        <f>_xlfn.XLOOKUP(HN$1,generator!$B$2:$B$295,generator!$K$2:$K$295,"ARGH")</f>
        <v>5</v>
      </c>
      <c r="HO44" s="3">
        <f>_xlfn.XLOOKUP(HO$1,generator!$B$2:$B$295,generator!$K$2:$K$295,"ARGH")</f>
        <v>5</v>
      </c>
      <c r="HP44" s="3">
        <f>_xlfn.XLOOKUP(HP$1,generator!$B$2:$B$295,generator!$K$2:$K$295,"ARGH")</f>
        <v>0.2</v>
      </c>
      <c r="HQ44" s="3">
        <f>_xlfn.XLOOKUP(HQ$1,generator!$B$2:$B$295,generator!$K$2:$K$295,"ARGH")</f>
        <v>5</v>
      </c>
      <c r="HR44" s="3">
        <f>_xlfn.XLOOKUP(HR$1,generator!$B$2:$B$295,generator!$K$2:$K$295,"ARGH")</f>
        <v>5</v>
      </c>
      <c r="HS44" s="3">
        <f>_xlfn.XLOOKUP(HS$1,generator!$B$2:$B$295,generator!$K$2:$K$295,"ARGH")</f>
        <v>12.82</v>
      </c>
      <c r="HT44" s="3">
        <f>_xlfn.XLOOKUP(HT$1,generator!$B$2:$B$295,generator!$K$2:$K$295,"ARGH")</f>
        <v>12.82</v>
      </c>
      <c r="HU44" s="3">
        <f>_xlfn.XLOOKUP(HU$1,generator!$B$2:$B$295,generator!$K$2:$K$295,"ARGH")</f>
        <v>25</v>
      </c>
      <c r="HV44" s="3">
        <f>_xlfn.XLOOKUP(HV$1,generator!$B$2:$B$295,generator!$K$2:$K$295,"ARGH")</f>
        <v>16</v>
      </c>
      <c r="HW44" s="3">
        <f>_xlfn.XLOOKUP(HW$1,generator!$B$2:$B$295,generator!$K$2:$K$295,"ARGH")</f>
        <v>5</v>
      </c>
      <c r="HX44" s="3">
        <f>_xlfn.XLOOKUP(HX$1,generator!$B$2:$B$295,generator!$K$2:$K$295,"ARGH")</f>
        <v>5</v>
      </c>
      <c r="HY44" s="3">
        <f>_xlfn.XLOOKUP(HY$1,generator!$B$2:$B$295,generator!$K$2:$K$295,"ARGH")</f>
        <v>63</v>
      </c>
      <c r="HZ44" s="3">
        <f>_xlfn.XLOOKUP(HZ$1,generator!$B$2:$B$295,generator!$K$2:$K$295,"ARGH")</f>
        <v>18</v>
      </c>
      <c r="IA44" s="3">
        <f>_xlfn.XLOOKUP(IA$1,generator!$B$2:$B$295,generator!$K$2:$K$295,"ARGH")</f>
        <v>121</v>
      </c>
      <c r="IB44" s="3">
        <f>_xlfn.XLOOKUP(IB$1,generator!$B$2:$B$295,generator!$K$2:$K$295,"ARGH")</f>
        <v>120</v>
      </c>
      <c r="IC44" s="3">
        <f>_xlfn.XLOOKUP(IC$1,generator!$B$2:$B$295,generator!$K$2:$K$295,"ARGH")</f>
        <v>0</v>
      </c>
      <c r="ID44" s="3">
        <f>_xlfn.XLOOKUP(ID$1,generator!$B$2:$B$295,generator!$K$2:$K$295,"ARGH")</f>
        <v>17</v>
      </c>
      <c r="IE44" s="3">
        <f>_xlfn.XLOOKUP(IE$1,generator!$B$2:$B$295,generator!$K$2:$K$295,"ARGH")</f>
        <v>194</v>
      </c>
      <c r="IF44" s="3">
        <f>_xlfn.XLOOKUP(IF$1,generator!$B$2:$B$295,generator!$K$2:$K$295,"ARGH")</f>
        <v>11.9</v>
      </c>
      <c r="IG44" s="3">
        <f>_xlfn.XLOOKUP(IG$1,generator!$B$2:$B$295,generator!$K$2:$K$295,"ARGH")</f>
        <v>11.9</v>
      </c>
      <c r="IH44" s="3">
        <f>_xlfn.XLOOKUP(IH$1,generator!$B$2:$B$295,generator!$K$2:$K$295,"ARGH")</f>
        <v>11.9</v>
      </c>
      <c r="II44" s="3">
        <f>_xlfn.XLOOKUP(II$1,generator!$B$2:$B$295,generator!$K$2:$K$295,"ARGH")</f>
        <v>11.9</v>
      </c>
      <c r="IJ44" s="3">
        <f>_xlfn.XLOOKUP(IJ$1,generator!$B$2:$B$295,generator!$K$2:$K$295,"ARGH")</f>
        <v>0</v>
      </c>
      <c r="IK44" s="3">
        <f>_xlfn.XLOOKUP(IK$1,generator!$B$2:$B$295,generator!$K$2:$K$295,"ARGH")</f>
        <v>3</v>
      </c>
      <c r="IL44" s="3">
        <f>_xlfn.XLOOKUP(IL$1,generator!$B$2:$B$295,generator!$K$2:$K$295,"ARGH")</f>
        <v>5</v>
      </c>
      <c r="IM44" s="3">
        <f>_xlfn.XLOOKUP(IM$1,generator!$B$2:$B$295,generator!$K$2:$K$295,"ARGH")</f>
        <v>5</v>
      </c>
      <c r="IN44" s="3">
        <f>_xlfn.XLOOKUP(IN$1,generator!$B$2:$B$295,generator!$K$2:$K$295,"ARGH")</f>
        <v>4</v>
      </c>
      <c r="IO44" s="3">
        <f>_xlfn.XLOOKUP(IO$1,generator!$B$2:$B$295,generator!$K$2:$K$295,"ARGH")</f>
        <v>4</v>
      </c>
      <c r="IP44" s="3">
        <f>_xlfn.XLOOKUP(IP$1,generator!$B$2:$B$295,generator!$K$2:$K$295,"ARGH")</f>
        <v>3</v>
      </c>
      <c r="IQ44" s="3">
        <f>_xlfn.XLOOKUP(IQ$1,generator!$B$2:$B$295,generator!$K$2:$K$295,"ARGH")</f>
        <v>1</v>
      </c>
      <c r="IR44" s="3">
        <f>_xlfn.XLOOKUP(IR$1,generator!$B$2:$B$295,generator!$K$2:$K$295,"ARGH")</f>
        <v>3</v>
      </c>
      <c r="IS44" s="3">
        <f>_xlfn.XLOOKUP(IS$1,generator!$B$2:$B$295,generator!$K$2:$K$295,"ARGH")</f>
        <v>3</v>
      </c>
      <c r="IT44" s="3">
        <f>_xlfn.XLOOKUP(IT$1,generator!$B$2:$B$295,generator!$K$2:$K$295,"ARGH")</f>
        <v>0</v>
      </c>
      <c r="IU44" s="3">
        <f>_xlfn.XLOOKUP(IU$1,generator!$B$2:$B$295,generator!$K$2:$K$295,"ARGH")</f>
        <v>3.99</v>
      </c>
      <c r="IV44" s="3">
        <f>_xlfn.XLOOKUP(IV$1,generator!$B$2:$B$295,generator!$K$2:$K$295,"ARGH")</f>
        <v>0.2</v>
      </c>
      <c r="IW44" s="3">
        <f>_xlfn.XLOOKUP(IW$1,generator!$B$2:$B$295,generator!$K$2:$K$295,"ARGH")</f>
        <v>15</v>
      </c>
      <c r="IX44" s="3">
        <f>_xlfn.XLOOKUP(IX$1,generator!$B$2:$B$295,generator!$K$2:$K$295,"ARGH")</f>
        <v>15</v>
      </c>
      <c r="IY44" s="3">
        <f>_xlfn.XLOOKUP(IY$1,generator!$B$2:$B$295,generator!$K$2:$K$295,"ARGH")</f>
        <v>15</v>
      </c>
      <c r="IZ44" s="3">
        <f>_xlfn.XLOOKUP(IZ$1,generator!$B$2:$B$295,generator!$K$2:$K$295,"ARGH")</f>
        <v>120</v>
      </c>
      <c r="JA44" s="3">
        <f>_xlfn.XLOOKUP(JA$1,generator!$B$2:$B$295,generator!$K$2:$K$295,"ARGH")</f>
        <v>40</v>
      </c>
      <c r="JB44" s="3">
        <f>_xlfn.XLOOKUP(JB$1,generator!$B$2:$B$295,generator!$K$2:$K$295,"ARGH")</f>
        <v>40</v>
      </c>
      <c r="JC44" s="3">
        <f>_xlfn.XLOOKUP(JC$1,generator!$B$2:$B$295,generator!$K$2:$K$295,"ARGH")</f>
        <v>113</v>
      </c>
      <c r="JD44" s="3">
        <f>_xlfn.XLOOKUP(JD$1,generator!$B$2:$B$295,generator!$K$2:$K$295,"ARGH")</f>
        <v>113</v>
      </c>
      <c r="JE44" s="3">
        <f>_xlfn.XLOOKUP(JE$1,generator!$B$2:$B$295,generator!$K$2:$K$295,"ARGH")</f>
        <v>211</v>
      </c>
      <c r="JF44" s="3">
        <f>_xlfn.XLOOKUP(JF$1,generator!$B$2:$B$295,generator!$K$2:$K$295,"ARGH")</f>
        <v>22.5</v>
      </c>
      <c r="JG44" s="3">
        <f>_xlfn.XLOOKUP(JG$1,generator!$B$2:$B$295,generator!$K$2:$K$295,"ARGH")</f>
        <v>1</v>
      </c>
      <c r="JH44" s="3">
        <f>_xlfn.XLOOKUP(JH$1,generator!$B$2:$B$295,generator!$K$2:$K$295,"ARGH")</f>
        <v>160</v>
      </c>
      <c r="JI44" s="3">
        <f>_xlfn.XLOOKUP(JI$1,generator!$B$2:$B$295,generator!$K$2:$K$295,"ARGH")</f>
        <v>165</v>
      </c>
      <c r="JJ44" s="3">
        <f>_xlfn.XLOOKUP(JJ$1,generator!$B$2:$B$295,generator!$K$2:$K$295,"ARGH")</f>
        <v>4.5999999999999996</v>
      </c>
      <c r="JK44" s="3">
        <f>_xlfn.XLOOKUP(JK$1,generator!$B$2:$B$295,generator!$K$2:$K$295,"ARGH")</f>
        <v>4.5999999999999996</v>
      </c>
      <c r="JL44" s="3">
        <f>_xlfn.XLOOKUP(JL$1,generator!$B$2:$B$295,generator!$K$2:$K$295,"ARGH")</f>
        <v>4.5999999999999996</v>
      </c>
      <c r="JM44" s="3">
        <f>_xlfn.XLOOKUP(JM$1,generator!$B$2:$B$295,generator!$K$2:$K$295,"ARGH")</f>
        <v>4.5999999999999996</v>
      </c>
      <c r="JN44" s="3">
        <f>_xlfn.XLOOKUP(JN$1,generator!$B$2:$B$295,generator!$K$2:$K$295,"ARGH")</f>
        <v>4.5999999999999996</v>
      </c>
      <c r="JO44" s="3">
        <f>_xlfn.XLOOKUP(JO$1,generator!$B$2:$B$295,generator!$K$2:$K$295,"ARGH")</f>
        <v>4.5999999999999996</v>
      </c>
      <c r="JP44" s="3">
        <f>_xlfn.XLOOKUP(JP$1,generator!$B$2:$B$295,generator!$K$2:$K$295,"ARGH")</f>
        <v>110</v>
      </c>
      <c r="JQ44" s="3">
        <f>_xlfn.XLOOKUP(JQ$1,generator!$B$2:$B$295,generator!$K$2:$K$295,"ARGH")</f>
        <v>22.7</v>
      </c>
      <c r="JR44" s="3">
        <f>_xlfn.XLOOKUP(JR$1,generator!$B$2:$B$295,generator!$K$2:$K$295,"ARGH")</f>
        <v>147</v>
      </c>
      <c r="JS44" s="3">
        <f>_xlfn.XLOOKUP(JS$1,generator!$B$2:$B$295,generator!$K$2:$K$295,"ARGH")</f>
        <v>147</v>
      </c>
      <c r="JT44" s="3">
        <f>_xlfn.XLOOKUP(JT$1,generator!$B$2:$B$295,generator!$K$2:$K$295,"ARGH")</f>
        <v>22.7</v>
      </c>
      <c r="JU44" s="3">
        <f>_xlfn.XLOOKUP(JU$1,generator!$B$2:$B$295,generator!$K$2:$K$295,"ARGH")</f>
        <v>21.5</v>
      </c>
      <c r="JV44" s="3">
        <f>_xlfn.XLOOKUP(JV$1,generator!$B$2:$B$295,generator!$K$2:$K$295,"ARGH")</f>
        <v>120</v>
      </c>
      <c r="JW44" s="3">
        <f>_xlfn.XLOOKUP(JW$1,generator!$B$2:$B$295,generator!$K$2:$K$295,"ARGH")</f>
        <v>120</v>
      </c>
      <c r="JX44" s="3">
        <f>_xlfn.XLOOKUP(JX$1,generator!$B$2:$B$295,generator!$K$2:$K$295,"ARGH")</f>
        <v>1</v>
      </c>
      <c r="JY44" s="3">
        <f>_xlfn.XLOOKUP(JY$1,generator!$B$2:$B$295,generator!$K$2:$K$295,"ARGH")</f>
        <v>41.15</v>
      </c>
      <c r="JZ44" s="3">
        <f>_xlfn.XLOOKUP(JZ$1,generator!$B$2:$B$295,generator!$K$2:$K$295,"ARGH")</f>
        <v>5</v>
      </c>
      <c r="KA44" s="3">
        <f>_xlfn.XLOOKUP(KA$1,generator!$B$2:$B$295,generator!$K$2:$K$295,"ARGH")</f>
        <v>5</v>
      </c>
      <c r="KB44" s="3">
        <f>_xlfn.XLOOKUP(KB$1,generator!$B$2:$B$295,generator!$K$2:$K$295,"ARGH")</f>
        <v>5</v>
      </c>
      <c r="KC44" s="3">
        <f>_xlfn.XLOOKUP(KC$1,generator!$B$2:$B$295,generator!$K$2:$K$295,"ARGH")</f>
        <v>5</v>
      </c>
    </row>
    <row r="45" spans="1:289" x14ac:dyDescent="0.3">
      <c r="A45" s="4" t="s">
        <v>3040</v>
      </c>
      <c r="B45" s="31">
        <v>530</v>
      </c>
      <c r="C45" s="31">
        <v>513.5</v>
      </c>
      <c r="D45" s="31">
        <v>442</v>
      </c>
      <c r="E45" s="3">
        <f>_xlfn.XLOOKUP(E$1,generator!$B$2:$B$295,generator!$K$2:$K$295,"ARGH")</f>
        <v>0</v>
      </c>
      <c r="F45" s="3">
        <f>_xlfn.XLOOKUP(F$1,generator!$B$2:$B$295,generator!$K$2:$K$295,"ARGH")</f>
        <v>0</v>
      </c>
      <c r="G45" s="3">
        <f>_xlfn.XLOOKUP(G$1,generator!$B$2:$B$295,generator!$K$2:$K$295,"ARGH")</f>
        <v>0</v>
      </c>
      <c r="H45" s="3">
        <f>_xlfn.XLOOKUP(H$1,generator!$B$2:$B$295,generator!$K$2:$K$295,"ARGH")</f>
        <v>0</v>
      </c>
      <c r="I45" s="3">
        <f>_xlfn.XLOOKUP(I$1,generator!$B$2:$B$295,generator!$K$2:$K$295,"ARGH")</f>
        <v>0</v>
      </c>
      <c r="J45" s="3">
        <f>_xlfn.XLOOKUP(J$1,generator!$B$2:$B$295,generator!$K$2:$K$295,"ARGH")</f>
        <v>0</v>
      </c>
      <c r="K45" s="3">
        <f>_xlfn.XLOOKUP(K$1,generator!$B$2:$B$295,generator!$K$2:$K$295,"ARGH")</f>
        <v>0</v>
      </c>
      <c r="L45" s="3">
        <f>_xlfn.XLOOKUP(L$1,generator!$B$2:$B$295,generator!$K$2:$K$295,"ARGH")</f>
        <v>0</v>
      </c>
      <c r="M45" s="3">
        <f>_xlfn.XLOOKUP(M$1,generator!$B$2:$B$295,generator!$K$2:$K$295,"ARGH")</f>
        <v>0</v>
      </c>
      <c r="N45" s="3">
        <f>_xlfn.XLOOKUP(N$1,generator!$B$2:$B$295,generator!$K$2:$K$295,"ARGH")</f>
        <v>0</v>
      </c>
      <c r="O45" s="3">
        <f>_xlfn.XLOOKUP(O$1,generator!$B$2:$B$295,generator!$K$2:$K$295,"ARGH")</f>
        <v>0</v>
      </c>
      <c r="P45" s="3">
        <f>_xlfn.XLOOKUP(P$1,generator!$B$2:$B$295,generator!$K$2:$K$295,"ARGH")</f>
        <v>0</v>
      </c>
      <c r="Q45" s="3">
        <f>_xlfn.XLOOKUP(Q$1,generator!$B$2:$B$295,generator!$K$2:$K$295,"ARGH")</f>
        <v>0</v>
      </c>
      <c r="R45" s="3">
        <f>_xlfn.XLOOKUP(R$1,generator!$B$2:$B$295,generator!$K$2:$K$295,"ARGH")</f>
        <v>0</v>
      </c>
      <c r="S45" s="3">
        <f>_xlfn.XLOOKUP(S$1,generator!$B$2:$B$295,generator!$K$2:$K$295,"ARGH")</f>
        <v>0</v>
      </c>
      <c r="T45" s="3">
        <f>_xlfn.XLOOKUP(T$1,generator!$B$2:$B$295,generator!$K$2:$K$295,"ARGH")</f>
        <v>0</v>
      </c>
      <c r="U45" s="3">
        <f>_xlfn.XLOOKUP(U$1,generator!$B$2:$B$295,generator!$K$2:$K$295,"ARGH")</f>
        <v>0</v>
      </c>
      <c r="V45" s="3">
        <f>_xlfn.XLOOKUP(V$1,generator!$B$2:$B$295,generator!$K$2:$K$295,"ARGH")</f>
        <v>0</v>
      </c>
      <c r="W45" s="3">
        <f>_xlfn.XLOOKUP(W$1,generator!$B$2:$B$295,generator!$K$2:$K$295,"ARGH")</f>
        <v>0</v>
      </c>
      <c r="X45" s="3">
        <f>_xlfn.XLOOKUP(X$1,generator!$B$2:$B$295,generator!$K$2:$K$295,"ARGH")</f>
        <v>0</v>
      </c>
      <c r="Y45" s="3">
        <f>_xlfn.XLOOKUP(Y$1,generator!$B$2:$B$295,generator!$K$2:$K$295,"ARGH")</f>
        <v>0</v>
      </c>
      <c r="Z45" s="3">
        <f>_xlfn.XLOOKUP(Z$1,generator!$B$2:$B$295,generator!$K$2:$K$295,"ARGH")</f>
        <v>0</v>
      </c>
      <c r="AA45" s="3">
        <f>_xlfn.XLOOKUP(AA$1,generator!$B$2:$B$295,generator!$K$2:$K$295,"ARGH")</f>
        <v>0</v>
      </c>
      <c r="AB45" s="3">
        <f>_xlfn.XLOOKUP(AB$1,generator!$B$2:$B$295,generator!$K$2:$K$295,"ARGH")</f>
        <v>0</v>
      </c>
      <c r="AC45" s="3">
        <f>_xlfn.XLOOKUP(AC$1,generator!$B$2:$B$295,generator!$K$2:$K$295,"ARGH")</f>
        <v>0</v>
      </c>
      <c r="AD45" s="3">
        <f>_xlfn.XLOOKUP(AD$1,generator!$B$2:$B$295,generator!$K$2:$K$295,"ARGH")</f>
        <v>0</v>
      </c>
      <c r="AE45" s="3">
        <f>_xlfn.XLOOKUP(AE$1,generator!$B$2:$B$295,generator!$K$2:$K$295,"ARGH")</f>
        <v>0</v>
      </c>
      <c r="AF45" s="3">
        <f>_xlfn.XLOOKUP(AF$1,generator!$B$2:$B$295,generator!$K$2:$K$295,"ARGH")</f>
        <v>0</v>
      </c>
      <c r="AG45" s="3">
        <f>_xlfn.XLOOKUP(AG$1,generator!$B$2:$B$295,generator!$K$2:$K$295,"ARGH")</f>
        <v>0</v>
      </c>
      <c r="AH45" s="3">
        <f>_xlfn.XLOOKUP(AH$1,generator!$B$2:$B$295,generator!$K$2:$K$295,"ARGH")</f>
        <v>0</v>
      </c>
      <c r="AI45" s="3">
        <f>_xlfn.XLOOKUP(AI$1,generator!$B$2:$B$295,generator!$K$2:$K$295,"ARGH")</f>
        <v>0</v>
      </c>
      <c r="AJ45" s="3">
        <f>_xlfn.XLOOKUP(AJ$1,generator!$B$2:$B$295,generator!$K$2:$K$295,"ARGH")</f>
        <v>0</v>
      </c>
      <c r="AK45" s="3">
        <f>_xlfn.XLOOKUP(AK$1,generator!$B$2:$B$295,generator!$K$2:$K$295,"ARGH")</f>
        <v>0</v>
      </c>
      <c r="AL45" s="3">
        <f>_xlfn.XLOOKUP(AL$1,generator!$B$2:$B$295,generator!$K$2:$K$295,"ARGH")</f>
        <v>0</v>
      </c>
      <c r="AM45" s="3">
        <f>_xlfn.XLOOKUP(AM$1,generator!$B$2:$B$295,generator!$K$2:$K$295,"ARGH")</f>
        <v>0</v>
      </c>
      <c r="AN45" s="3">
        <f>_xlfn.XLOOKUP(AN$1,generator!$B$2:$B$295,generator!$K$2:$K$295,"ARGH")</f>
        <v>0</v>
      </c>
      <c r="AO45" s="3">
        <f>_xlfn.XLOOKUP(AO$1,generator!$B$2:$B$295,generator!$K$2:$K$295,"ARGH")</f>
        <v>0</v>
      </c>
      <c r="AP45" s="3">
        <f>_xlfn.XLOOKUP(AP$1,generator!$B$2:$B$295,generator!$K$2:$K$295,"ARGH")</f>
        <v>0</v>
      </c>
      <c r="AQ45" s="3">
        <f>_xlfn.XLOOKUP(AQ$1,generator!$B$2:$B$295,generator!$K$2:$K$295,"ARGH")</f>
        <v>0</v>
      </c>
      <c r="AR45" s="3">
        <f>_xlfn.XLOOKUP(AR$1,generator!$B$2:$B$295,generator!$K$2:$K$295,"ARGH")</f>
        <v>0</v>
      </c>
      <c r="AS45" s="3">
        <f>_xlfn.XLOOKUP(AS$1,generator!$B$2:$B$295,generator!$K$2:$K$295,"ARGH")</f>
        <v>0</v>
      </c>
      <c r="AT45" s="3">
        <f>_xlfn.XLOOKUP(AT$1,generator!$B$2:$B$295,generator!$K$2:$K$295,"ARGH")</f>
        <v>0</v>
      </c>
      <c r="AU45" s="3">
        <f>_xlfn.XLOOKUP(AU$1,generator!$B$2:$B$295,generator!$K$2:$K$295,"ARGH")</f>
        <v>0</v>
      </c>
      <c r="AV45" s="3">
        <f>_xlfn.XLOOKUP(AV$1,generator!$B$2:$B$295,generator!$K$2:$K$295,"ARGH")</f>
        <v>0</v>
      </c>
      <c r="AW45" s="3">
        <f>_xlfn.XLOOKUP(AW$1,generator!$B$2:$B$295,generator!$K$2:$K$295,"ARGH")</f>
        <v>0</v>
      </c>
      <c r="AX45" s="3">
        <f>_xlfn.XLOOKUP(AX$1,generator!$B$2:$B$295,generator!$K$2:$K$295,"ARGH")</f>
        <v>0</v>
      </c>
      <c r="AY45" s="3">
        <f>_xlfn.XLOOKUP(AY$1,generator!$B$2:$B$295,generator!$K$2:$K$295,"ARGH")</f>
        <v>0</v>
      </c>
      <c r="AZ45" s="3">
        <f>_xlfn.XLOOKUP(AZ$1,generator!$B$2:$B$295,generator!$K$2:$K$295,"ARGH")</f>
        <v>0</v>
      </c>
      <c r="BA45" s="3">
        <f>_xlfn.XLOOKUP(BA$1,generator!$B$2:$B$295,generator!$K$2:$K$295,"ARGH")</f>
        <v>0</v>
      </c>
      <c r="BB45" s="3">
        <f>_xlfn.XLOOKUP(BB$1,generator!$B$2:$B$295,generator!$K$2:$K$295,"ARGH")</f>
        <v>0</v>
      </c>
      <c r="BC45" s="3">
        <f>_xlfn.XLOOKUP(BC$1,generator!$B$2:$B$295,generator!$K$2:$K$295,"ARGH")</f>
        <v>0</v>
      </c>
      <c r="BD45" s="3">
        <f>_xlfn.XLOOKUP(BD$1,generator!$B$2:$B$295,generator!$K$2:$K$295,"ARGH")</f>
        <v>0</v>
      </c>
      <c r="BE45" s="3">
        <f>_xlfn.XLOOKUP(BE$1,generator!$B$2:$B$295,generator!$K$2:$K$295,"ARGH")</f>
        <v>0</v>
      </c>
      <c r="BF45" s="3">
        <f>_xlfn.XLOOKUP(BF$1,generator!$B$2:$B$295,generator!$K$2:$K$295,"ARGH")</f>
        <v>0</v>
      </c>
      <c r="BG45" s="3">
        <f>_xlfn.XLOOKUP(BG$1,generator!$B$2:$B$295,generator!$K$2:$K$295,"ARGH")</f>
        <v>0</v>
      </c>
      <c r="BH45" s="3">
        <f>_xlfn.XLOOKUP(BH$1,generator!$B$2:$B$295,generator!$K$2:$K$295,"ARGH")</f>
        <v>0</v>
      </c>
      <c r="BI45" s="3">
        <f>_xlfn.XLOOKUP(BI$1,generator!$B$2:$B$295,generator!$K$2:$K$295,"ARGH")</f>
        <v>0</v>
      </c>
      <c r="BJ45" s="3">
        <f>_xlfn.XLOOKUP(BJ$1,generator!$B$2:$B$295,generator!$K$2:$K$295,"ARGH")</f>
        <v>0</v>
      </c>
      <c r="BK45" s="3">
        <f>_xlfn.XLOOKUP(BK$1,generator!$B$2:$B$295,generator!$K$2:$K$295,"ARGH")</f>
        <v>0</v>
      </c>
      <c r="BL45" s="3">
        <f>_xlfn.XLOOKUP(BL$1,generator!$B$2:$B$295,generator!$K$2:$K$295,"ARGH")</f>
        <v>0</v>
      </c>
      <c r="BM45" s="3">
        <f>_xlfn.XLOOKUP(BM$1,generator!$B$2:$B$295,generator!$K$2:$K$295,"ARGH")</f>
        <v>0</v>
      </c>
      <c r="BN45" s="3">
        <f>_xlfn.XLOOKUP(BN$1,generator!$B$2:$B$295,generator!$K$2:$K$295,"ARGH")</f>
        <v>0</v>
      </c>
      <c r="BO45" s="3">
        <f>_xlfn.XLOOKUP(BO$1,generator!$B$2:$B$295,generator!$K$2:$K$295,"ARGH")</f>
        <v>0</v>
      </c>
      <c r="BP45" s="3">
        <f>_xlfn.XLOOKUP(BP$1,generator!$B$2:$B$295,generator!$K$2:$K$295,"ARGH")</f>
        <v>0</v>
      </c>
      <c r="BQ45" s="3">
        <f>_xlfn.XLOOKUP(BQ$1,generator!$B$2:$B$295,generator!$K$2:$K$295,"ARGH")</f>
        <v>0</v>
      </c>
      <c r="BR45" s="3">
        <f>_xlfn.XLOOKUP(BR$1,generator!$B$2:$B$295,generator!$K$2:$K$295,"ARGH")</f>
        <v>0</v>
      </c>
      <c r="BS45" s="3">
        <f>_xlfn.XLOOKUP(BS$1,generator!$B$2:$B$295,generator!$K$2:$K$295,"ARGH")</f>
        <v>0</v>
      </c>
      <c r="BT45" s="3">
        <f>_xlfn.XLOOKUP(BT$1,generator!$B$2:$B$295,generator!$K$2:$K$295,"ARGH")</f>
        <v>0</v>
      </c>
      <c r="BU45" s="3">
        <f>_xlfn.XLOOKUP(BU$1,generator!$B$2:$B$295,generator!$K$2:$K$295,"ARGH")</f>
        <v>0</v>
      </c>
      <c r="BV45" s="3">
        <f>_xlfn.XLOOKUP(BV$1,generator!$B$2:$B$295,generator!$K$2:$K$295,"ARGH")</f>
        <v>0</v>
      </c>
      <c r="BW45" s="3">
        <f>_xlfn.XLOOKUP(BW$1,generator!$B$2:$B$295,generator!$K$2:$K$295,"ARGH")</f>
        <v>0</v>
      </c>
      <c r="BX45" s="3">
        <f>_xlfn.XLOOKUP(BX$1,generator!$B$2:$B$295,generator!$K$2:$K$295,"ARGH")</f>
        <v>0</v>
      </c>
      <c r="BY45" s="3">
        <f>_xlfn.XLOOKUP(BY$1,generator!$B$2:$B$295,generator!$K$2:$K$295,"ARGH")</f>
        <v>0</v>
      </c>
      <c r="BZ45" s="3">
        <f>_xlfn.XLOOKUP(BZ$1,generator!$B$2:$B$295,generator!$K$2:$K$295,"ARGH")</f>
        <v>0</v>
      </c>
      <c r="CA45" s="3">
        <f>_xlfn.XLOOKUP(CA$1,generator!$B$2:$B$295,generator!$K$2:$K$295,"ARGH")</f>
        <v>0</v>
      </c>
      <c r="CB45" s="3">
        <f>_xlfn.XLOOKUP(CB$1,generator!$B$2:$B$295,generator!$K$2:$K$295,"ARGH")</f>
        <v>0</v>
      </c>
      <c r="CC45" s="3">
        <f>_xlfn.XLOOKUP(CC$1,generator!$B$2:$B$295,generator!$K$2:$K$295,"ARGH")</f>
        <v>0</v>
      </c>
      <c r="CD45" s="3">
        <f>_xlfn.XLOOKUP(CD$1,generator!$B$2:$B$295,generator!$K$2:$K$295,"ARGH")</f>
        <v>0</v>
      </c>
      <c r="CE45" s="3">
        <f>_xlfn.XLOOKUP(CE$1,generator!$B$2:$B$295,generator!$K$2:$K$295,"ARGH")</f>
        <v>0</v>
      </c>
      <c r="CF45" s="3">
        <f>_xlfn.XLOOKUP(CF$1,generator!$B$2:$B$295,generator!$K$2:$K$295,"ARGH")</f>
        <v>0</v>
      </c>
      <c r="CG45" s="3">
        <f>_xlfn.XLOOKUP(CG$1,generator!$B$2:$B$295,generator!$K$2:$K$295,"ARGH")</f>
        <v>0</v>
      </c>
      <c r="CH45" s="3">
        <f>_xlfn.XLOOKUP(CH$1,generator!$B$2:$B$295,generator!$K$2:$K$295,"ARGH")</f>
        <v>0</v>
      </c>
      <c r="CI45" s="3">
        <f>_xlfn.XLOOKUP(CI$1,generator!$B$2:$B$295,generator!$K$2:$K$295,"ARGH")</f>
        <v>0</v>
      </c>
      <c r="CJ45" s="3">
        <f>_xlfn.XLOOKUP(CJ$1,generator!$B$2:$B$295,generator!$K$2:$K$295,"ARGH")</f>
        <v>0</v>
      </c>
      <c r="CK45" s="3">
        <f>_xlfn.XLOOKUP(CK$1,generator!$B$2:$B$295,generator!$K$2:$K$295,"ARGH")</f>
        <v>0</v>
      </c>
      <c r="CL45" s="3">
        <f>_xlfn.XLOOKUP(CL$1,generator!$B$2:$B$295,generator!$K$2:$K$295,"ARGH")</f>
        <v>0</v>
      </c>
      <c r="CM45" s="3">
        <f>_xlfn.XLOOKUP(CM$1,generator!$B$2:$B$295,generator!$K$2:$K$295,"ARGH")</f>
        <v>0</v>
      </c>
      <c r="CN45" s="3">
        <f>_xlfn.XLOOKUP(CN$1,generator!$B$2:$B$295,generator!$K$2:$K$295,"ARGH")</f>
        <v>0</v>
      </c>
      <c r="CO45" s="3">
        <f>_xlfn.XLOOKUP(CO$1,generator!$B$2:$B$295,generator!$K$2:$K$295,"ARGH")</f>
        <v>0</v>
      </c>
      <c r="CP45" s="3">
        <f>_xlfn.XLOOKUP(CP$1,generator!$B$2:$B$295,generator!$K$2:$K$295,"ARGH")</f>
        <v>0</v>
      </c>
      <c r="CQ45" s="3">
        <f>_xlfn.XLOOKUP(CQ$1,generator!$B$2:$B$295,generator!$K$2:$K$295,"ARGH")</f>
        <v>0</v>
      </c>
      <c r="CR45" s="3">
        <f>_xlfn.XLOOKUP(CR$1,generator!$B$2:$B$295,generator!$K$2:$K$295,"ARGH")</f>
        <v>0</v>
      </c>
      <c r="CS45" s="3">
        <f>_xlfn.XLOOKUP(CS$1,generator!$B$2:$B$295,generator!$K$2:$K$295,"ARGH")</f>
        <v>0</v>
      </c>
      <c r="CT45" s="3">
        <f>_xlfn.XLOOKUP(CT$1,generator!$B$2:$B$295,generator!$K$2:$K$295,"ARGH")</f>
        <v>0</v>
      </c>
      <c r="CU45" s="3">
        <f>_xlfn.XLOOKUP(CU$1,generator!$B$2:$B$295,generator!$K$2:$K$295,"ARGH")</f>
        <v>0</v>
      </c>
      <c r="CV45" s="3">
        <f>_xlfn.XLOOKUP(CV$1,generator!$B$2:$B$295,generator!$K$2:$K$295,"ARGH")</f>
        <v>0</v>
      </c>
      <c r="CW45" s="3">
        <f>_xlfn.XLOOKUP(CW$1,generator!$B$2:$B$295,generator!$K$2:$K$295,"ARGH")</f>
        <v>0</v>
      </c>
      <c r="CX45" s="3">
        <f>_xlfn.XLOOKUP(CX$1,generator!$B$2:$B$295,generator!$K$2:$K$295,"ARGH")</f>
        <v>0</v>
      </c>
      <c r="CY45" s="3">
        <f>_xlfn.XLOOKUP(CY$1,generator!$B$2:$B$295,generator!$K$2:$K$295,"ARGH")</f>
        <v>0</v>
      </c>
      <c r="CZ45" s="3">
        <f>_xlfn.XLOOKUP(CZ$1,generator!$B$2:$B$295,generator!$K$2:$K$295,"ARGH")</f>
        <v>0</v>
      </c>
      <c r="DA45" s="3">
        <f>_xlfn.XLOOKUP(DA$1,generator!$B$2:$B$295,generator!$K$2:$K$295,"ARGH")</f>
        <v>0</v>
      </c>
      <c r="DB45" s="3">
        <f>_xlfn.XLOOKUP(DB$1,generator!$B$2:$B$295,generator!$K$2:$K$295,"ARGH")</f>
        <v>0</v>
      </c>
      <c r="DC45" s="3">
        <f>_xlfn.XLOOKUP(DC$1,generator!$B$2:$B$295,generator!$K$2:$K$295,"ARGH")</f>
        <v>0</v>
      </c>
      <c r="DD45" s="3">
        <f>_xlfn.XLOOKUP(DD$1,generator!$B$2:$B$295,generator!$K$2:$K$295,"ARGH")</f>
        <v>0</v>
      </c>
      <c r="DE45" s="3">
        <f>_xlfn.XLOOKUP(DE$1,generator!$B$2:$B$295,generator!$K$2:$K$295,"ARGH")</f>
        <v>0</v>
      </c>
      <c r="DF45" s="3">
        <f>_xlfn.XLOOKUP(DF$1,generator!$B$2:$B$295,generator!$K$2:$K$295,"ARGH")</f>
        <v>0</v>
      </c>
      <c r="DG45" s="3">
        <f>_xlfn.XLOOKUP(DG$1,generator!$B$2:$B$295,generator!$K$2:$K$295,"ARGH")</f>
        <v>0</v>
      </c>
      <c r="DH45" s="3">
        <f>_xlfn.XLOOKUP(DH$1,generator!$B$2:$B$295,generator!$K$2:$K$295,"ARGH")</f>
        <v>0</v>
      </c>
      <c r="DI45" s="3">
        <f>_xlfn.XLOOKUP(DI$1,generator!$B$2:$B$295,generator!$K$2:$K$295,"ARGH")</f>
        <v>0</v>
      </c>
      <c r="DJ45" s="3">
        <f>_xlfn.XLOOKUP(DJ$1,generator!$B$2:$B$295,generator!$K$2:$K$295,"ARGH")</f>
        <v>0</v>
      </c>
      <c r="DK45" s="3">
        <f>_xlfn.XLOOKUP(DK$1,generator!$B$2:$B$295,generator!$K$2:$K$295,"ARGH")</f>
        <v>0</v>
      </c>
      <c r="DL45" s="3">
        <f>_xlfn.XLOOKUP(DL$1,generator!$B$2:$B$295,generator!$K$2:$K$295,"ARGH")</f>
        <v>0</v>
      </c>
      <c r="DM45" s="3">
        <f>_xlfn.XLOOKUP(DM$1,generator!$B$2:$B$295,generator!$K$2:$K$295,"ARGH")</f>
        <v>0</v>
      </c>
      <c r="DN45" s="3">
        <f>_xlfn.XLOOKUP(DN$1,generator!$B$2:$B$295,generator!$K$2:$K$295,"ARGH")</f>
        <v>0</v>
      </c>
      <c r="DO45" s="3">
        <f>_xlfn.XLOOKUP(DO$1,generator!$B$2:$B$295,generator!$K$2:$K$295,"ARGH")</f>
        <v>0</v>
      </c>
      <c r="DP45" s="3">
        <f>_xlfn.XLOOKUP(DP$1,generator!$B$2:$B$295,generator!$K$2:$K$295,"ARGH")</f>
        <v>0</v>
      </c>
      <c r="DQ45" s="3">
        <f>_xlfn.XLOOKUP(DQ$1,generator!$B$2:$B$295,generator!$K$2:$K$295,"ARGH")</f>
        <v>0</v>
      </c>
      <c r="DR45" s="3">
        <f>_xlfn.XLOOKUP(DR$1,generator!$B$2:$B$295,generator!$K$2:$K$295,"ARGH")</f>
        <v>0</v>
      </c>
      <c r="DS45" s="3">
        <f>_xlfn.XLOOKUP(DS$1,generator!$B$2:$B$295,generator!$K$2:$K$295,"ARGH")</f>
        <v>0</v>
      </c>
      <c r="DT45" s="3">
        <f>_xlfn.XLOOKUP(DT$1,generator!$B$2:$B$295,generator!$K$2:$K$295,"ARGH")</f>
        <v>0</v>
      </c>
      <c r="DU45" s="3">
        <f>_xlfn.XLOOKUP(DU$1,generator!$B$2:$B$295,generator!$K$2:$K$295,"ARGH")</f>
        <v>0</v>
      </c>
      <c r="DV45" s="3">
        <f>_xlfn.XLOOKUP(DV$1,generator!$B$2:$B$295,generator!$K$2:$K$295,"ARGH")</f>
        <v>0</v>
      </c>
      <c r="DW45" s="3">
        <f>_xlfn.XLOOKUP(DW$1,generator!$B$2:$B$295,generator!$K$2:$K$295,"ARGH")</f>
        <v>0</v>
      </c>
      <c r="DX45" s="3">
        <f>_xlfn.XLOOKUP(DX$1,generator!$B$2:$B$295,generator!$K$2:$K$295,"ARGH")</f>
        <v>0</v>
      </c>
      <c r="DY45" s="3">
        <f>_xlfn.XLOOKUP(DY$1,generator!$B$2:$B$295,generator!$K$2:$K$295,"ARGH")</f>
        <v>0</v>
      </c>
      <c r="DZ45" s="3">
        <f>_xlfn.XLOOKUP(DZ$1,generator!$B$2:$B$295,generator!$K$2:$K$295,"ARGH")</f>
        <v>0</v>
      </c>
      <c r="EA45" s="3">
        <f>_xlfn.XLOOKUP(EA$1,generator!$B$2:$B$295,generator!$K$2:$K$295,"ARGH")</f>
        <v>0</v>
      </c>
      <c r="EB45" s="3">
        <f>_xlfn.XLOOKUP(EB$1,generator!$B$2:$B$295,generator!$K$2:$K$295,"ARGH")</f>
        <v>0</v>
      </c>
      <c r="EC45" s="3">
        <f>_xlfn.XLOOKUP(EC$1,generator!$B$2:$B$295,generator!$K$2:$K$295,"ARGH")</f>
        <v>0</v>
      </c>
      <c r="ED45" s="3">
        <f>_xlfn.XLOOKUP(ED$1,generator!$B$2:$B$295,generator!$K$2:$K$295,"ARGH")</f>
        <v>0</v>
      </c>
      <c r="EE45" s="3">
        <f>_xlfn.XLOOKUP(EE$1,generator!$B$2:$B$295,generator!$K$2:$K$295,"ARGH")</f>
        <v>0</v>
      </c>
      <c r="EF45" s="3">
        <f>_xlfn.XLOOKUP(EF$1,generator!$B$2:$B$295,generator!$K$2:$K$295,"ARGH")</f>
        <v>0</v>
      </c>
      <c r="EG45" s="3">
        <f>_xlfn.XLOOKUP(EG$1,generator!$B$2:$B$295,generator!$K$2:$K$295,"ARGH")</f>
        <v>0</v>
      </c>
      <c r="EH45" s="3">
        <f>_xlfn.XLOOKUP(EH$1,generator!$B$2:$B$295,generator!$K$2:$K$295,"ARGH")</f>
        <v>0</v>
      </c>
      <c r="EI45" s="3">
        <f>_xlfn.XLOOKUP(EI$1,generator!$B$2:$B$295,generator!$K$2:$K$295,"ARGH")</f>
        <v>0</v>
      </c>
      <c r="EJ45" s="3">
        <f>_xlfn.XLOOKUP(EJ$1,generator!$B$2:$B$295,generator!$K$2:$K$295,"ARGH")</f>
        <v>0</v>
      </c>
      <c r="EK45" s="3">
        <f>_xlfn.XLOOKUP(EK$1,generator!$B$2:$B$295,generator!$K$2:$K$295,"ARGH")</f>
        <v>0</v>
      </c>
      <c r="EL45" s="3">
        <f>_xlfn.XLOOKUP(EL$1,generator!$B$2:$B$295,generator!$K$2:$K$295,"ARGH")</f>
        <v>0</v>
      </c>
      <c r="EM45" s="3">
        <f>_xlfn.XLOOKUP(EM$1,generator!$B$2:$B$295,generator!$K$2:$K$295,"ARGH")</f>
        <v>0</v>
      </c>
      <c r="EN45" s="3">
        <f>_xlfn.XLOOKUP(EN$1,generator!$B$2:$B$295,generator!$K$2:$K$295,"ARGH")</f>
        <v>0</v>
      </c>
      <c r="EO45" s="3">
        <f>_xlfn.XLOOKUP(EO$1,generator!$B$2:$B$295,generator!$K$2:$K$295,"ARGH")</f>
        <v>0</v>
      </c>
      <c r="EP45" s="3">
        <f>_xlfn.XLOOKUP(EP$1,generator!$B$2:$B$295,generator!$K$2:$K$295,"ARGH")</f>
        <v>0</v>
      </c>
      <c r="EQ45" s="3">
        <f>_xlfn.XLOOKUP(EQ$1,generator!$B$2:$B$295,generator!$K$2:$K$295,"ARGH")</f>
        <v>0</v>
      </c>
      <c r="ER45" s="3">
        <f>_xlfn.XLOOKUP(ER$1,generator!$B$2:$B$295,generator!$K$2:$K$295,"ARGH")</f>
        <v>0</v>
      </c>
      <c r="ES45" s="3">
        <f>_xlfn.XLOOKUP(ES$1,generator!$B$2:$B$295,generator!$K$2:$K$295,"ARGH")</f>
        <v>0</v>
      </c>
      <c r="ET45" s="3">
        <f>_xlfn.XLOOKUP(ET$1,generator!$B$2:$B$295,generator!$K$2:$K$295,"ARGH")</f>
        <v>0</v>
      </c>
      <c r="EU45" s="3">
        <f>_xlfn.XLOOKUP(EU$1,generator!$B$2:$B$295,generator!$K$2:$K$295,"ARGH")</f>
        <v>0</v>
      </c>
      <c r="EV45" s="3">
        <f>_xlfn.XLOOKUP(EV$1,generator!$B$2:$B$295,generator!$K$2:$K$295,"ARGH")</f>
        <v>0</v>
      </c>
      <c r="EW45" s="3">
        <f>_xlfn.XLOOKUP(EW$1,generator!$B$2:$B$295,generator!$K$2:$K$295,"ARGH")</f>
        <v>0</v>
      </c>
      <c r="EX45" s="3">
        <f>_xlfn.XLOOKUP(EX$1,generator!$B$2:$B$295,generator!$K$2:$K$295,"ARGH")</f>
        <v>0</v>
      </c>
      <c r="EY45" s="3">
        <f>_xlfn.XLOOKUP(EY$1,generator!$B$2:$B$295,generator!$K$2:$K$295,"ARGH")</f>
        <v>0</v>
      </c>
      <c r="EZ45" s="3">
        <f>_xlfn.XLOOKUP(EZ$1,generator!$B$2:$B$295,generator!$K$2:$K$295,"ARGH")</f>
        <v>0</v>
      </c>
      <c r="FA45" s="3">
        <f>_xlfn.XLOOKUP(FA$1,generator!$B$2:$B$295,generator!$K$2:$K$295,"ARGH")</f>
        <v>0</v>
      </c>
      <c r="FB45" s="3">
        <f>_xlfn.XLOOKUP(FB$1,generator!$B$2:$B$295,generator!$K$2:$K$295,"ARGH")</f>
        <v>0</v>
      </c>
      <c r="FC45" s="3">
        <f>_xlfn.XLOOKUP(FC$1,generator!$B$2:$B$295,generator!$K$2:$K$295,"ARGH")</f>
        <v>0</v>
      </c>
      <c r="FD45" s="3">
        <f>_xlfn.XLOOKUP(FD$1,generator!$B$2:$B$295,generator!$K$2:$K$295,"ARGH")</f>
        <v>0</v>
      </c>
      <c r="FE45" s="3">
        <f>_xlfn.XLOOKUP(FE$1,generator!$B$2:$B$295,generator!$K$2:$K$295,"ARGH")</f>
        <v>0</v>
      </c>
      <c r="FF45" s="3">
        <f>_xlfn.XLOOKUP(FF$1,generator!$B$2:$B$295,generator!$K$2:$K$295,"ARGH")</f>
        <v>0</v>
      </c>
      <c r="FG45" s="3">
        <f>_xlfn.XLOOKUP(FG$1,generator!$B$2:$B$295,generator!$K$2:$K$295,"ARGH")</f>
        <v>0</v>
      </c>
      <c r="FH45" s="3">
        <f>_xlfn.XLOOKUP(FH$1,generator!$B$2:$B$295,generator!$K$2:$K$295,"ARGH")</f>
        <v>0</v>
      </c>
      <c r="FI45" s="3">
        <f>_xlfn.XLOOKUP(FI$1,generator!$B$2:$B$295,generator!$K$2:$K$295,"ARGH")</f>
        <v>0</v>
      </c>
      <c r="FJ45" s="3">
        <f>_xlfn.XLOOKUP(FJ$1,generator!$B$2:$B$295,generator!$K$2:$K$295,"ARGH")</f>
        <v>0</v>
      </c>
      <c r="FK45" s="3">
        <f>_xlfn.XLOOKUP(FK$1,generator!$B$2:$B$295,generator!$K$2:$K$295,"ARGH")</f>
        <v>0</v>
      </c>
      <c r="FL45" s="3">
        <f>_xlfn.XLOOKUP(FL$1,generator!$B$2:$B$295,generator!$K$2:$K$295,"ARGH")</f>
        <v>0</v>
      </c>
      <c r="FM45" s="3">
        <f>_xlfn.XLOOKUP(FM$1,generator!$B$2:$B$295,generator!$K$2:$K$295,"ARGH")</f>
        <v>0</v>
      </c>
      <c r="FN45" s="3">
        <f>_xlfn.XLOOKUP(FN$1,generator!$B$2:$B$295,generator!$K$2:$K$295,"ARGH")</f>
        <v>0</v>
      </c>
      <c r="FO45" s="3">
        <f>_xlfn.XLOOKUP(FO$1,generator!$B$2:$B$295,generator!$K$2:$K$295,"ARGH")</f>
        <v>0</v>
      </c>
      <c r="FP45" s="3">
        <f>_xlfn.XLOOKUP(FP$1,generator!$B$2:$B$295,generator!$K$2:$K$295,"ARGH")</f>
        <v>0</v>
      </c>
      <c r="FQ45" s="3">
        <f>_xlfn.XLOOKUP(FQ$1,generator!$B$2:$B$295,generator!$K$2:$K$295,"ARGH")</f>
        <v>0</v>
      </c>
      <c r="FR45" s="3">
        <f>_xlfn.XLOOKUP(FR$1,generator!$B$2:$B$295,generator!$K$2:$K$295,"ARGH")</f>
        <v>0</v>
      </c>
      <c r="FS45" s="3">
        <f>_xlfn.XLOOKUP(FS$1,generator!$B$2:$B$295,generator!$K$2:$K$295,"ARGH")</f>
        <v>0</v>
      </c>
      <c r="FT45" s="3">
        <f>_xlfn.XLOOKUP(FT$1,generator!$B$2:$B$295,generator!$K$2:$K$295,"ARGH")</f>
        <v>0</v>
      </c>
      <c r="FU45" s="3">
        <f>_xlfn.XLOOKUP(FU$1,generator!$B$2:$B$295,generator!$K$2:$K$295,"ARGH")</f>
        <v>0</v>
      </c>
      <c r="FV45" s="3">
        <f>_xlfn.XLOOKUP(FV$1,generator!$B$2:$B$295,generator!$K$2:$K$295,"ARGH")</f>
        <v>0</v>
      </c>
      <c r="FW45" s="3">
        <f>_xlfn.XLOOKUP(FW$1,generator!$B$2:$B$295,generator!$K$2:$K$295,"ARGH")</f>
        <v>0</v>
      </c>
      <c r="FX45" s="3">
        <f>_xlfn.XLOOKUP(FX$1,generator!$B$2:$B$295,generator!$K$2:$K$295,"ARGH")</f>
        <v>0</v>
      </c>
      <c r="FY45" s="3">
        <f>_xlfn.XLOOKUP(FY$1,generator!$B$2:$B$295,generator!$K$2:$K$295,"ARGH")</f>
        <v>0</v>
      </c>
      <c r="FZ45" s="3">
        <f>_xlfn.XLOOKUP(FZ$1,generator!$B$2:$B$295,generator!$K$2:$K$295,"ARGH")</f>
        <v>0</v>
      </c>
      <c r="GA45" s="3">
        <f>_xlfn.XLOOKUP(GA$1,generator!$B$2:$B$295,generator!$K$2:$K$295,"ARGH")</f>
        <v>0</v>
      </c>
      <c r="GB45" s="3">
        <f>_xlfn.XLOOKUP(GB$1,generator!$B$2:$B$295,generator!$K$2:$K$295,"ARGH")</f>
        <v>0</v>
      </c>
      <c r="GC45" s="3">
        <f>_xlfn.XLOOKUP(GC$1,generator!$B$2:$B$295,generator!$K$2:$K$295,"ARGH")</f>
        <v>0</v>
      </c>
      <c r="GD45" s="3">
        <f>_xlfn.XLOOKUP(GD$1,generator!$B$2:$B$295,generator!$K$2:$K$295,"ARGH")</f>
        <v>0</v>
      </c>
      <c r="GE45" s="3">
        <f>_xlfn.XLOOKUP(GE$1,generator!$B$2:$B$295,generator!$K$2:$K$295,"ARGH")</f>
        <v>0</v>
      </c>
      <c r="GF45" s="3">
        <f>_xlfn.XLOOKUP(GF$1,generator!$B$2:$B$295,generator!$K$2:$K$295,"ARGH")</f>
        <v>0</v>
      </c>
      <c r="GG45" s="3">
        <f>_xlfn.XLOOKUP(GG$1,generator!$B$2:$B$295,generator!$K$2:$K$295,"ARGH")</f>
        <v>0</v>
      </c>
      <c r="GH45" s="3">
        <f>_xlfn.XLOOKUP(GH$1,generator!$B$2:$B$295,generator!$K$2:$K$295,"ARGH")</f>
        <v>0</v>
      </c>
      <c r="GI45" s="3">
        <f>_xlfn.XLOOKUP(GI$1,generator!$B$2:$B$295,generator!$K$2:$K$295,"ARGH")</f>
        <v>0</v>
      </c>
      <c r="GJ45" s="3">
        <f>_xlfn.XLOOKUP(GJ$1,generator!$B$2:$B$295,generator!$K$2:$K$295,"ARGH")</f>
        <v>0</v>
      </c>
      <c r="GK45" s="3">
        <f>_xlfn.XLOOKUP(GK$1,generator!$B$2:$B$295,generator!$K$2:$K$295,"ARGH")</f>
        <v>0</v>
      </c>
      <c r="GL45" s="3">
        <f>_xlfn.XLOOKUP(GL$1,generator!$B$2:$B$295,generator!$K$2:$K$295,"ARGH")</f>
        <v>0</v>
      </c>
      <c r="GM45" s="3">
        <f>_xlfn.XLOOKUP(GM$1,generator!$B$2:$B$295,generator!$K$2:$K$295,"ARGH")</f>
        <v>0</v>
      </c>
      <c r="GN45" s="3">
        <f>_xlfn.XLOOKUP(GN$1,generator!$B$2:$B$295,generator!$K$2:$K$295,"ARGH")</f>
        <v>0</v>
      </c>
      <c r="GO45" s="3">
        <f>_xlfn.XLOOKUP(GO$1,generator!$B$2:$B$295,generator!$K$2:$K$295,"ARGH")</f>
        <v>0</v>
      </c>
      <c r="GP45" s="3">
        <f>_xlfn.XLOOKUP(GP$1,generator!$B$2:$B$295,generator!$K$2:$K$295,"ARGH")</f>
        <v>0</v>
      </c>
      <c r="GQ45" s="3">
        <f>_xlfn.XLOOKUP(GQ$1,generator!$B$2:$B$295,generator!$K$2:$K$295,"ARGH")</f>
        <v>0</v>
      </c>
      <c r="GR45" s="3">
        <f>_xlfn.XLOOKUP(GR$1,generator!$B$2:$B$295,generator!$K$2:$K$295,"ARGH")</f>
        <v>0</v>
      </c>
      <c r="GS45" s="3">
        <f>_xlfn.XLOOKUP(GS$1,generator!$B$2:$B$295,generator!$K$2:$K$295,"ARGH")</f>
        <v>0</v>
      </c>
      <c r="GT45" s="3">
        <f>_xlfn.XLOOKUP(GT$1,generator!$B$2:$B$295,generator!$K$2:$K$295,"ARGH")</f>
        <v>0</v>
      </c>
      <c r="GU45" s="3">
        <f>_xlfn.XLOOKUP(GU$1,generator!$B$2:$B$295,generator!$K$2:$K$295,"ARGH")</f>
        <v>0</v>
      </c>
      <c r="GV45" s="3">
        <f>_xlfn.XLOOKUP(GV$1,generator!$B$2:$B$295,generator!$K$2:$K$295,"ARGH")</f>
        <v>0</v>
      </c>
      <c r="GW45" s="3">
        <f>_xlfn.XLOOKUP(GW$1,generator!$B$2:$B$295,generator!$K$2:$K$295,"ARGH")</f>
        <v>0</v>
      </c>
      <c r="GX45" s="3">
        <f>_xlfn.XLOOKUP(GX$1,generator!$B$2:$B$295,generator!$K$2:$K$295,"ARGH")</f>
        <v>0</v>
      </c>
      <c r="GY45" s="3">
        <f>_xlfn.XLOOKUP(GY$1,generator!$B$2:$B$295,generator!$K$2:$K$295,"ARGH")</f>
        <v>0</v>
      </c>
      <c r="GZ45" s="3">
        <f>_xlfn.XLOOKUP(GZ$1,generator!$B$2:$B$295,generator!$K$2:$K$295,"ARGH")</f>
        <v>0</v>
      </c>
      <c r="HA45" s="3">
        <f>_xlfn.XLOOKUP(HA$1,generator!$B$2:$B$295,generator!$K$2:$K$295,"ARGH")</f>
        <v>0</v>
      </c>
      <c r="HB45" s="3">
        <f>_xlfn.XLOOKUP(HB$1,generator!$B$2:$B$295,generator!$K$2:$K$295,"ARGH")</f>
        <v>0</v>
      </c>
      <c r="HC45" s="3">
        <f>_xlfn.XLOOKUP(HC$1,generator!$B$2:$B$295,generator!$K$2:$K$295,"ARGH")</f>
        <v>0</v>
      </c>
      <c r="HD45" s="3">
        <f>_xlfn.XLOOKUP(HD$1,generator!$B$2:$B$295,generator!$K$2:$K$295,"ARGH")</f>
        <v>0</v>
      </c>
      <c r="HE45" s="3">
        <f>_xlfn.XLOOKUP(HE$1,generator!$B$2:$B$295,generator!$K$2:$K$295,"ARGH")</f>
        <v>12.74</v>
      </c>
      <c r="HF45" s="3">
        <f>_xlfn.XLOOKUP(HF$1,generator!$B$2:$B$295,generator!$K$2:$K$295,"ARGH")</f>
        <v>99</v>
      </c>
      <c r="HG45" s="3">
        <f>_xlfn.XLOOKUP(HG$1,generator!$B$2:$B$295,generator!$K$2:$K$295,"ARGH")</f>
        <v>99</v>
      </c>
      <c r="HH45" s="3">
        <f>_xlfn.XLOOKUP(HH$1,generator!$B$2:$B$295,generator!$K$2:$K$295,"ARGH")</f>
        <v>99</v>
      </c>
      <c r="HI45" s="3">
        <f>_xlfn.XLOOKUP(HI$1,generator!$B$2:$B$295,generator!$K$2:$K$295,"ARGH")</f>
        <v>8</v>
      </c>
      <c r="HJ45" s="3">
        <f>_xlfn.XLOOKUP(HJ$1,generator!$B$2:$B$295,generator!$K$2:$K$295,"ARGH")</f>
        <v>8</v>
      </c>
      <c r="HK45" s="3">
        <f>_xlfn.XLOOKUP(HK$1,generator!$B$2:$B$295,generator!$K$2:$K$295,"ARGH")</f>
        <v>8</v>
      </c>
      <c r="HL45" s="3">
        <f>_xlfn.XLOOKUP(HL$1,generator!$B$2:$B$295,generator!$K$2:$K$295,"ARGH")</f>
        <v>20</v>
      </c>
      <c r="HM45" s="3">
        <f>_xlfn.XLOOKUP(HM$1,generator!$B$2:$B$295,generator!$K$2:$K$295,"ARGH")</f>
        <v>20</v>
      </c>
      <c r="HN45" s="3">
        <f>_xlfn.XLOOKUP(HN$1,generator!$B$2:$B$295,generator!$K$2:$K$295,"ARGH")</f>
        <v>5</v>
      </c>
      <c r="HO45" s="3">
        <f>_xlfn.XLOOKUP(HO$1,generator!$B$2:$B$295,generator!$K$2:$K$295,"ARGH")</f>
        <v>5</v>
      </c>
      <c r="HP45" s="3">
        <f>_xlfn.XLOOKUP(HP$1,generator!$B$2:$B$295,generator!$K$2:$K$295,"ARGH")</f>
        <v>0.2</v>
      </c>
      <c r="HQ45" s="3">
        <f>_xlfn.XLOOKUP(HQ$1,generator!$B$2:$B$295,generator!$K$2:$K$295,"ARGH")</f>
        <v>5</v>
      </c>
      <c r="HR45" s="3">
        <f>_xlfn.XLOOKUP(HR$1,generator!$B$2:$B$295,generator!$K$2:$K$295,"ARGH")</f>
        <v>5</v>
      </c>
      <c r="HS45" s="3">
        <f>_xlfn.XLOOKUP(HS$1,generator!$B$2:$B$295,generator!$K$2:$K$295,"ARGH")</f>
        <v>12.82</v>
      </c>
      <c r="HT45" s="3">
        <f>_xlfn.XLOOKUP(HT$1,generator!$B$2:$B$295,generator!$K$2:$K$295,"ARGH")</f>
        <v>12.82</v>
      </c>
      <c r="HU45" s="3">
        <f>_xlfn.XLOOKUP(HU$1,generator!$B$2:$B$295,generator!$K$2:$K$295,"ARGH")</f>
        <v>25</v>
      </c>
      <c r="HV45" s="3">
        <f>_xlfn.XLOOKUP(HV$1,generator!$B$2:$B$295,generator!$K$2:$K$295,"ARGH")</f>
        <v>16</v>
      </c>
      <c r="HW45" s="3">
        <f>_xlfn.XLOOKUP(HW$1,generator!$B$2:$B$295,generator!$K$2:$K$295,"ARGH")</f>
        <v>5</v>
      </c>
      <c r="HX45" s="3">
        <f>_xlfn.XLOOKUP(HX$1,generator!$B$2:$B$295,generator!$K$2:$K$295,"ARGH")</f>
        <v>5</v>
      </c>
      <c r="HY45" s="3">
        <f>_xlfn.XLOOKUP(HY$1,generator!$B$2:$B$295,generator!$K$2:$K$295,"ARGH")</f>
        <v>63</v>
      </c>
      <c r="HZ45" s="3">
        <f>_xlfn.XLOOKUP(HZ$1,generator!$B$2:$B$295,generator!$K$2:$K$295,"ARGH")</f>
        <v>18</v>
      </c>
      <c r="IA45" s="3">
        <f>_xlfn.XLOOKUP(IA$1,generator!$B$2:$B$295,generator!$K$2:$K$295,"ARGH")</f>
        <v>121</v>
      </c>
      <c r="IB45" s="3">
        <f>_xlfn.XLOOKUP(IB$1,generator!$B$2:$B$295,generator!$K$2:$K$295,"ARGH")</f>
        <v>120</v>
      </c>
      <c r="IC45" s="3">
        <f>_xlfn.XLOOKUP(IC$1,generator!$B$2:$B$295,generator!$K$2:$K$295,"ARGH")</f>
        <v>0</v>
      </c>
      <c r="ID45" s="3">
        <f>_xlfn.XLOOKUP(ID$1,generator!$B$2:$B$295,generator!$K$2:$K$295,"ARGH")</f>
        <v>17</v>
      </c>
      <c r="IE45" s="3">
        <f>_xlfn.XLOOKUP(IE$1,generator!$B$2:$B$295,generator!$K$2:$K$295,"ARGH")</f>
        <v>194</v>
      </c>
      <c r="IF45" s="3">
        <f>_xlfn.XLOOKUP(IF$1,generator!$B$2:$B$295,generator!$K$2:$K$295,"ARGH")</f>
        <v>11.9</v>
      </c>
      <c r="IG45" s="3">
        <f>_xlfn.XLOOKUP(IG$1,generator!$B$2:$B$295,generator!$K$2:$K$295,"ARGH")</f>
        <v>11.9</v>
      </c>
      <c r="IH45" s="3">
        <f>_xlfn.XLOOKUP(IH$1,generator!$B$2:$B$295,generator!$K$2:$K$295,"ARGH")</f>
        <v>11.9</v>
      </c>
      <c r="II45" s="3">
        <f>_xlfn.XLOOKUP(II$1,generator!$B$2:$B$295,generator!$K$2:$K$295,"ARGH")</f>
        <v>11.9</v>
      </c>
      <c r="IJ45" s="3">
        <f>_xlfn.XLOOKUP(IJ$1,generator!$B$2:$B$295,generator!$K$2:$K$295,"ARGH")</f>
        <v>0</v>
      </c>
      <c r="IK45" s="3">
        <f>_xlfn.XLOOKUP(IK$1,generator!$B$2:$B$295,generator!$K$2:$K$295,"ARGH")</f>
        <v>3</v>
      </c>
      <c r="IL45" s="3">
        <f>_xlfn.XLOOKUP(IL$1,generator!$B$2:$B$295,generator!$K$2:$K$295,"ARGH")</f>
        <v>5</v>
      </c>
      <c r="IM45" s="3">
        <f>_xlfn.XLOOKUP(IM$1,generator!$B$2:$B$295,generator!$K$2:$K$295,"ARGH")</f>
        <v>5</v>
      </c>
      <c r="IN45" s="3">
        <f>_xlfn.XLOOKUP(IN$1,generator!$B$2:$B$295,generator!$K$2:$K$295,"ARGH")</f>
        <v>4</v>
      </c>
      <c r="IO45" s="3">
        <f>_xlfn.XLOOKUP(IO$1,generator!$B$2:$B$295,generator!$K$2:$K$295,"ARGH")</f>
        <v>4</v>
      </c>
      <c r="IP45" s="3">
        <f>_xlfn.XLOOKUP(IP$1,generator!$B$2:$B$295,generator!$K$2:$K$295,"ARGH")</f>
        <v>3</v>
      </c>
      <c r="IQ45" s="3">
        <f>_xlfn.XLOOKUP(IQ$1,generator!$B$2:$B$295,generator!$K$2:$K$295,"ARGH")</f>
        <v>1</v>
      </c>
      <c r="IR45" s="3">
        <f>_xlfn.XLOOKUP(IR$1,generator!$B$2:$B$295,generator!$K$2:$K$295,"ARGH")</f>
        <v>3</v>
      </c>
      <c r="IS45" s="3">
        <f>_xlfn.XLOOKUP(IS$1,generator!$B$2:$B$295,generator!$K$2:$K$295,"ARGH")</f>
        <v>3</v>
      </c>
      <c r="IT45" s="3">
        <f>_xlfn.XLOOKUP(IT$1,generator!$B$2:$B$295,generator!$K$2:$K$295,"ARGH")</f>
        <v>0</v>
      </c>
      <c r="IU45" s="3">
        <f>_xlfn.XLOOKUP(IU$1,generator!$B$2:$B$295,generator!$K$2:$K$295,"ARGH")</f>
        <v>3.99</v>
      </c>
      <c r="IV45" s="3">
        <f>_xlfn.XLOOKUP(IV$1,generator!$B$2:$B$295,generator!$K$2:$K$295,"ARGH")</f>
        <v>0.2</v>
      </c>
      <c r="IW45" s="3">
        <f>_xlfn.XLOOKUP(IW$1,generator!$B$2:$B$295,generator!$K$2:$K$295,"ARGH")</f>
        <v>15</v>
      </c>
      <c r="IX45" s="3">
        <f>_xlfn.XLOOKUP(IX$1,generator!$B$2:$B$295,generator!$K$2:$K$295,"ARGH")</f>
        <v>15</v>
      </c>
      <c r="IY45" s="3">
        <f>_xlfn.XLOOKUP(IY$1,generator!$B$2:$B$295,generator!$K$2:$K$295,"ARGH")</f>
        <v>15</v>
      </c>
      <c r="IZ45" s="3">
        <f>_xlfn.XLOOKUP(IZ$1,generator!$B$2:$B$295,generator!$K$2:$K$295,"ARGH")</f>
        <v>120</v>
      </c>
      <c r="JA45" s="3">
        <f>_xlfn.XLOOKUP(JA$1,generator!$B$2:$B$295,generator!$K$2:$K$295,"ARGH")</f>
        <v>40</v>
      </c>
      <c r="JB45" s="3">
        <f>_xlfn.XLOOKUP(JB$1,generator!$B$2:$B$295,generator!$K$2:$K$295,"ARGH")</f>
        <v>40</v>
      </c>
      <c r="JC45" s="3">
        <f>_xlfn.XLOOKUP(JC$1,generator!$B$2:$B$295,generator!$K$2:$K$295,"ARGH")</f>
        <v>113</v>
      </c>
      <c r="JD45" s="3">
        <f>_xlfn.XLOOKUP(JD$1,generator!$B$2:$B$295,generator!$K$2:$K$295,"ARGH")</f>
        <v>113</v>
      </c>
      <c r="JE45" s="3">
        <f>_xlfn.XLOOKUP(JE$1,generator!$B$2:$B$295,generator!$K$2:$K$295,"ARGH")</f>
        <v>211</v>
      </c>
      <c r="JF45" s="3">
        <f>_xlfn.XLOOKUP(JF$1,generator!$B$2:$B$295,generator!$K$2:$K$295,"ARGH")</f>
        <v>22.5</v>
      </c>
      <c r="JG45" s="3">
        <f>_xlfn.XLOOKUP(JG$1,generator!$B$2:$B$295,generator!$K$2:$K$295,"ARGH")</f>
        <v>1</v>
      </c>
      <c r="JH45" s="3">
        <f>_xlfn.XLOOKUP(JH$1,generator!$B$2:$B$295,generator!$K$2:$K$295,"ARGH")</f>
        <v>160</v>
      </c>
      <c r="JI45" s="3">
        <f>_xlfn.XLOOKUP(JI$1,generator!$B$2:$B$295,generator!$K$2:$K$295,"ARGH")</f>
        <v>165</v>
      </c>
      <c r="JJ45" s="3">
        <f>_xlfn.XLOOKUP(JJ$1,generator!$B$2:$B$295,generator!$K$2:$K$295,"ARGH")</f>
        <v>4.5999999999999996</v>
      </c>
      <c r="JK45" s="3">
        <f>_xlfn.XLOOKUP(JK$1,generator!$B$2:$B$295,generator!$K$2:$K$295,"ARGH")</f>
        <v>4.5999999999999996</v>
      </c>
      <c r="JL45" s="3">
        <f>_xlfn.XLOOKUP(JL$1,generator!$B$2:$B$295,generator!$K$2:$K$295,"ARGH")</f>
        <v>4.5999999999999996</v>
      </c>
      <c r="JM45" s="3">
        <f>_xlfn.XLOOKUP(JM$1,generator!$B$2:$B$295,generator!$K$2:$K$295,"ARGH")</f>
        <v>4.5999999999999996</v>
      </c>
      <c r="JN45" s="3">
        <f>_xlfn.XLOOKUP(JN$1,generator!$B$2:$B$295,generator!$K$2:$K$295,"ARGH")</f>
        <v>4.5999999999999996</v>
      </c>
      <c r="JO45" s="3">
        <f>_xlfn.XLOOKUP(JO$1,generator!$B$2:$B$295,generator!$K$2:$K$295,"ARGH")</f>
        <v>4.5999999999999996</v>
      </c>
      <c r="JP45" s="3">
        <f>_xlfn.XLOOKUP(JP$1,generator!$B$2:$B$295,generator!$K$2:$K$295,"ARGH")</f>
        <v>110</v>
      </c>
      <c r="JQ45" s="3">
        <f>_xlfn.XLOOKUP(JQ$1,generator!$B$2:$B$295,generator!$K$2:$K$295,"ARGH")</f>
        <v>22.7</v>
      </c>
      <c r="JR45" s="3">
        <f>_xlfn.XLOOKUP(JR$1,generator!$B$2:$B$295,generator!$K$2:$K$295,"ARGH")</f>
        <v>147</v>
      </c>
      <c r="JS45" s="3">
        <f>_xlfn.XLOOKUP(JS$1,generator!$B$2:$B$295,generator!$K$2:$K$295,"ARGH")</f>
        <v>147</v>
      </c>
      <c r="JT45" s="3">
        <f>_xlfn.XLOOKUP(JT$1,generator!$B$2:$B$295,generator!$K$2:$K$295,"ARGH")</f>
        <v>22.7</v>
      </c>
      <c r="JU45" s="3">
        <f>_xlfn.XLOOKUP(JU$1,generator!$B$2:$B$295,generator!$K$2:$K$295,"ARGH")</f>
        <v>21.5</v>
      </c>
      <c r="JV45" s="3">
        <f>_xlfn.XLOOKUP(JV$1,generator!$B$2:$B$295,generator!$K$2:$K$295,"ARGH")</f>
        <v>120</v>
      </c>
      <c r="JW45" s="3">
        <f>_xlfn.XLOOKUP(JW$1,generator!$B$2:$B$295,generator!$K$2:$K$295,"ARGH")</f>
        <v>120</v>
      </c>
      <c r="JX45" s="3">
        <f>_xlfn.XLOOKUP(JX$1,generator!$B$2:$B$295,generator!$K$2:$K$295,"ARGH")</f>
        <v>1</v>
      </c>
      <c r="JY45" s="3">
        <f>_xlfn.XLOOKUP(JY$1,generator!$B$2:$B$295,generator!$K$2:$K$295,"ARGH")</f>
        <v>41.15</v>
      </c>
      <c r="JZ45" s="3">
        <f>_xlfn.XLOOKUP(JZ$1,generator!$B$2:$B$295,generator!$K$2:$K$295,"ARGH")</f>
        <v>5</v>
      </c>
      <c r="KA45" s="3">
        <f>_xlfn.XLOOKUP(KA$1,generator!$B$2:$B$295,generator!$K$2:$K$295,"ARGH")</f>
        <v>5</v>
      </c>
      <c r="KB45" s="3">
        <f>_xlfn.XLOOKUP(KB$1,generator!$B$2:$B$295,generator!$K$2:$K$295,"ARGH")</f>
        <v>5</v>
      </c>
      <c r="KC45" s="3">
        <f>_xlfn.XLOOKUP(KC$1,generator!$B$2:$B$295,generator!$K$2:$K$295,"ARGH")</f>
        <v>5</v>
      </c>
    </row>
    <row r="46" spans="1:289" x14ac:dyDescent="0.3">
      <c r="A46" s="4" t="s">
        <v>3041</v>
      </c>
      <c r="B46" s="31">
        <v>530</v>
      </c>
      <c r="C46" s="31">
        <v>513</v>
      </c>
      <c r="D46" s="31">
        <v>442</v>
      </c>
      <c r="E46" s="3">
        <f>_xlfn.XLOOKUP(E$1,generator!$B$2:$B$295,generator!$K$2:$K$295,"ARGH")</f>
        <v>0</v>
      </c>
      <c r="F46" s="3">
        <f>_xlfn.XLOOKUP(F$1,generator!$B$2:$B$295,generator!$K$2:$K$295,"ARGH")</f>
        <v>0</v>
      </c>
      <c r="G46" s="3">
        <f>_xlfn.XLOOKUP(G$1,generator!$B$2:$B$295,generator!$K$2:$K$295,"ARGH")</f>
        <v>0</v>
      </c>
      <c r="H46" s="3">
        <f>_xlfn.XLOOKUP(H$1,generator!$B$2:$B$295,generator!$K$2:$K$295,"ARGH")</f>
        <v>0</v>
      </c>
      <c r="I46" s="3">
        <f>_xlfn.XLOOKUP(I$1,generator!$B$2:$B$295,generator!$K$2:$K$295,"ARGH")</f>
        <v>0</v>
      </c>
      <c r="J46" s="3">
        <f>_xlfn.XLOOKUP(J$1,generator!$B$2:$B$295,generator!$K$2:$K$295,"ARGH")</f>
        <v>0</v>
      </c>
      <c r="K46" s="3">
        <f>_xlfn.XLOOKUP(K$1,generator!$B$2:$B$295,generator!$K$2:$K$295,"ARGH")</f>
        <v>0</v>
      </c>
      <c r="L46" s="3">
        <f>_xlfn.XLOOKUP(L$1,generator!$B$2:$B$295,generator!$K$2:$K$295,"ARGH")</f>
        <v>0</v>
      </c>
      <c r="M46" s="3">
        <f>_xlfn.XLOOKUP(M$1,generator!$B$2:$B$295,generator!$K$2:$K$295,"ARGH")</f>
        <v>0</v>
      </c>
      <c r="N46" s="3">
        <f>_xlfn.XLOOKUP(N$1,generator!$B$2:$B$295,generator!$K$2:$K$295,"ARGH")</f>
        <v>0</v>
      </c>
      <c r="O46" s="3">
        <f>_xlfn.XLOOKUP(O$1,generator!$B$2:$B$295,generator!$K$2:$K$295,"ARGH")</f>
        <v>0</v>
      </c>
      <c r="P46" s="3">
        <f>_xlfn.XLOOKUP(P$1,generator!$B$2:$B$295,generator!$K$2:$K$295,"ARGH")</f>
        <v>0</v>
      </c>
      <c r="Q46" s="3">
        <f>_xlfn.XLOOKUP(Q$1,generator!$B$2:$B$295,generator!$K$2:$K$295,"ARGH")</f>
        <v>0</v>
      </c>
      <c r="R46" s="3">
        <f>_xlfn.XLOOKUP(R$1,generator!$B$2:$B$295,generator!$K$2:$K$295,"ARGH")</f>
        <v>0</v>
      </c>
      <c r="S46" s="3">
        <f>_xlfn.XLOOKUP(S$1,generator!$B$2:$B$295,generator!$K$2:$K$295,"ARGH")</f>
        <v>0</v>
      </c>
      <c r="T46" s="3">
        <f>_xlfn.XLOOKUP(T$1,generator!$B$2:$B$295,generator!$K$2:$K$295,"ARGH")</f>
        <v>0</v>
      </c>
      <c r="U46" s="3">
        <f>_xlfn.XLOOKUP(U$1,generator!$B$2:$B$295,generator!$K$2:$K$295,"ARGH")</f>
        <v>0</v>
      </c>
      <c r="V46" s="3">
        <f>_xlfn.XLOOKUP(V$1,generator!$B$2:$B$295,generator!$K$2:$K$295,"ARGH")</f>
        <v>0</v>
      </c>
      <c r="W46" s="3">
        <f>_xlfn.XLOOKUP(W$1,generator!$B$2:$B$295,generator!$K$2:$K$295,"ARGH")</f>
        <v>0</v>
      </c>
      <c r="X46" s="3">
        <f>_xlfn.XLOOKUP(X$1,generator!$B$2:$B$295,generator!$K$2:$K$295,"ARGH")</f>
        <v>0</v>
      </c>
      <c r="Y46" s="3">
        <f>_xlfn.XLOOKUP(Y$1,generator!$B$2:$B$295,generator!$K$2:$K$295,"ARGH")</f>
        <v>0</v>
      </c>
      <c r="Z46" s="3">
        <f>_xlfn.XLOOKUP(Z$1,generator!$B$2:$B$295,generator!$K$2:$K$295,"ARGH")</f>
        <v>0</v>
      </c>
      <c r="AA46" s="3">
        <f>_xlfn.XLOOKUP(AA$1,generator!$B$2:$B$295,generator!$K$2:$K$295,"ARGH")</f>
        <v>0</v>
      </c>
      <c r="AB46" s="3">
        <f>_xlfn.XLOOKUP(AB$1,generator!$B$2:$B$295,generator!$K$2:$K$295,"ARGH")</f>
        <v>0</v>
      </c>
      <c r="AC46" s="3">
        <f>_xlfn.XLOOKUP(AC$1,generator!$B$2:$B$295,generator!$K$2:$K$295,"ARGH")</f>
        <v>0</v>
      </c>
      <c r="AD46" s="3">
        <f>_xlfn.XLOOKUP(AD$1,generator!$B$2:$B$295,generator!$K$2:$K$295,"ARGH")</f>
        <v>0</v>
      </c>
      <c r="AE46" s="3">
        <f>_xlfn.XLOOKUP(AE$1,generator!$B$2:$B$295,generator!$K$2:$K$295,"ARGH")</f>
        <v>0</v>
      </c>
      <c r="AF46" s="3">
        <f>_xlfn.XLOOKUP(AF$1,generator!$B$2:$B$295,generator!$K$2:$K$295,"ARGH")</f>
        <v>0</v>
      </c>
      <c r="AG46" s="3">
        <f>_xlfn.XLOOKUP(AG$1,generator!$B$2:$B$295,generator!$K$2:$K$295,"ARGH")</f>
        <v>0</v>
      </c>
      <c r="AH46" s="3">
        <f>_xlfn.XLOOKUP(AH$1,generator!$B$2:$B$295,generator!$K$2:$K$295,"ARGH")</f>
        <v>0</v>
      </c>
      <c r="AI46" s="3">
        <f>_xlfn.XLOOKUP(AI$1,generator!$B$2:$B$295,generator!$K$2:$K$295,"ARGH")</f>
        <v>0</v>
      </c>
      <c r="AJ46" s="3">
        <f>_xlfn.XLOOKUP(AJ$1,generator!$B$2:$B$295,generator!$K$2:$K$295,"ARGH")</f>
        <v>0</v>
      </c>
      <c r="AK46" s="3">
        <f>_xlfn.XLOOKUP(AK$1,generator!$B$2:$B$295,generator!$K$2:$K$295,"ARGH")</f>
        <v>0</v>
      </c>
      <c r="AL46" s="3">
        <f>_xlfn.XLOOKUP(AL$1,generator!$B$2:$B$295,generator!$K$2:$K$295,"ARGH")</f>
        <v>0</v>
      </c>
      <c r="AM46" s="3">
        <f>_xlfn.XLOOKUP(AM$1,generator!$B$2:$B$295,generator!$K$2:$K$295,"ARGH")</f>
        <v>0</v>
      </c>
      <c r="AN46" s="3">
        <f>_xlfn.XLOOKUP(AN$1,generator!$B$2:$B$295,generator!$K$2:$K$295,"ARGH")</f>
        <v>0</v>
      </c>
      <c r="AO46" s="3">
        <f>_xlfn.XLOOKUP(AO$1,generator!$B$2:$B$295,generator!$K$2:$K$295,"ARGH")</f>
        <v>0</v>
      </c>
      <c r="AP46" s="3">
        <f>_xlfn.XLOOKUP(AP$1,generator!$B$2:$B$295,generator!$K$2:$K$295,"ARGH")</f>
        <v>0</v>
      </c>
      <c r="AQ46" s="3">
        <f>_xlfn.XLOOKUP(AQ$1,generator!$B$2:$B$295,generator!$K$2:$K$295,"ARGH")</f>
        <v>0</v>
      </c>
      <c r="AR46" s="3">
        <f>_xlfn.XLOOKUP(AR$1,generator!$B$2:$B$295,generator!$K$2:$K$295,"ARGH")</f>
        <v>0</v>
      </c>
      <c r="AS46" s="3">
        <f>_xlfn.XLOOKUP(AS$1,generator!$B$2:$B$295,generator!$K$2:$K$295,"ARGH")</f>
        <v>0</v>
      </c>
      <c r="AT46" s="3">
        <f>_xlfn.XLOOKUP(AT$1,generator!$B$2:$B$295,generator!$K$2:$K$295,"ARGH")</f>
        <v>0</v>
      </c>
      <c r="AU46" s="3">
        <f>_xlfn.XLOOKUP(AU$1,generator!$B$2:$B$295,generator!$K$2:$K$295,"ARGH")</f>
        <v>0</v>
      </c>
      <c r="AV46" s="3">
        <f>_xlfn.XLOOKUP(AV$1,generator!$B$2:$B$295,generator!$K$2:$K$295,"ARGH")</f>
        <v>0</v>
      </c>
      <c r="AW46" s="3">
        <f>_xlfn.XLOOKUP(AW$1,generator!$B$2:$B$295,generator!$K$2:$K$295,"ARGH")</f>
        <v>0</v>
      </c>
      <c r="AX46" s="3">
        <f>_xlfn.XLOOKUP(AX$1,generator!$B$2:$B$295,generator!$K$2:$K$295,"ARGH")</f>
        <v>0</v>
      </c>
      <c r="AY46" s="3">
        <f>_xlfn.XLOOKUP(AY$1,generator!$B$2:$B$295,generator!$K$2:$K$295,"ARGH")</f>
        <v>0</v>
      </c>
      <c r="AZ46" s="3">
        <f>_xlfn.XLOOKUP(AZ$1,generator!$B$2:$B$295,generator!$K$2:$K$295,"ARGH")</f>
        <v>0</v>
      </c>
      <c r="BA46" s="3">
        <f>_xlfn.XLOOKUP(BA$1,generator!$B$2:$B$295,generator!$K$2:$K$295,"ARGH")</f>
        <v>0</v>
      </c>
      <c r="BB46" s="3">
        <f>_xlfn.XLOOKUP(BB$1,generator!$B$2:$B$295,generator!$K$2:$K$295,"ARGH")</f>
        <v>0</v>
      </c>
      <c r="BC46" s="3">
        <f>_xlfn.XLOOKUP(BC$1,generator!$B$2:$B$295,generator!$K$2:$K$295,"ARGH")</f>
        <v>0</v>
      </c>
      <c r="BD46" s="3">
        <f>_xlfn.XLOOKUP(BD$1,generator!$B$2:$B$295,generator!$K$2:$K$295,"ARGH")</f>
        <v>0</v>
      </c>
      <c r="BE46" s="3">
        <f>_xlfn.XLOOKUP(BE$1,generator!$B$2:$B$295,generator!$K$2:$K$295,"ARGH")</f>
        <v>0</v>
      </c>
      <c r="BF46" s="3">
        <f>_xlfn.XLOOKUP(BF$1,generator!$B$2:$B$295,generator!$K$2:$K$295,"ARGH")</f>
        <v>0</v>
      </c>
      <c r="BG46" s="3">
        <f>_xlfn.XLOOKUP(BG$1,generator!$B$2:$B$295,generator!$K$2:$K$295,"ARGH")</f>
        <v>0</v>
      </c>
      <c r="BH46" s="3">
        <f>_xlfn.XLOOKUP(BH$1,generator!$B$2:$B$295,generator!$K$2:$K$295,"ARGH")</f>
        <v>0</v>
      </c>
      <c r="BI46" s="3">
        <f>_xlfn.XLOOKUP(BI$1,generator!$B$2:$B$295,generator!$K$2:$K$295,"ARGH")</f>
        <v>0</v>
      </c>
      <c r="BJ46" s="3">
        <f>_xlfn.XLOOKUP(BJ$1,generator!$B$2:$B$295,generator!$K$2:$K$295,"ARGH")</f>
        <v>0</v>
      </c>
      <c r="BK46" s="3">
        <f>_xlfn.XLOOKUP(BK$1,generator!$B$2:$B$295,generator!$K$2:$K$295,"ARGH")</f>
        <v>0</v>
      </c>
      <c r="BL46" s="3">
        <f>_xlfn.XLOOKUP(BL$1,generator!$B$2:$B$295,generator!$K$2:$K$295,"ARGH")</f>
        <v>0</v>
      </c>
      <c r="BM46" s="3">
        <f>_xlfn.XLOOKUP(BM$1,generator!$B$2:$B$295,generator!$K$2:$K$295,"ARGH")</f>
        <v>0</v>
      </c>
      <c r="BN46" s="3">
        <f>_xlfn.XLOOKUP(BN$1,generator!$B$2:$B$295,generator!$K$2:$K$295,"ARGH")</f>
        <v>0</v>
      </c>
      <c r="BO46" s="3">
        <f>_xlfn.XLOOKUP(BO$1,generator!$B$2:$B$295,generator!$K$2:$K$295,"ARGH")</f>
        <v>0</v>
      </c>
      <c r="BP46" s="3">
        <f>_xlfn.XLOOKUP(BP$1,generator!$B$2:$B$295,generator!$K$2:$K$295,"ARGH")</f>
        <v>0</v>
      </c>
      <c r="BQ46" s="3">
        <f>_xlfn.XLOOKUP(BQ$1,generator!$B$2:$B$295,generator!$K$2:$K$295,"ARGH")</f>
        <v>0</v>
      </c>
      <c r="BR46" s="3">
        <f>_xlfn.XLOOKUP(BR$1,generator!$B$2:$B$295,generator!$K$2:$K$295,"ARGH")</f>
        <v>0</v>
      </c>
      <c r="BS46" s="3">
        <f>_xlfn.XLOOKUP(BS$1,generator!$B$2:$B$295,generator!$K$2:$K$295,"ARGH")</f>
        <v>0</v>
      </c>
      <c r="BT46" s="3">
        <f>_xlfn.XLOOKUP(BT$1,generator!$B$2:$B$295,generator!$K$2:$K$295,"ARGH")</f>
        <v>0</v>
      </c>
      <c r="BU46" s="3">
        <f>_xlfn.XLOOKUP(BU$1,generator!$B$2:$B$295,generator!$K$2:$K$295,"ARGH")</f>
        <v>0</v>
      </c>
      <c r="BV46" s="3">
        <f>_xlfn.XLOOKUP(BV$1,generator!$B$2:$B$295,generator!$K$2:$K$295,"ARGH")</f>
        <v>0</v>
      </c>
      <c r="BW46" s="3">
        <f>_xlfn.XLOOKUP(BW$1,generator!$B$2:$B$295,generator!$K$2:$K$295,"ARGH")</f>
        <v>0</v>
      </c>
      <c r="BX46" s="3">
        <f>_xlfn.XLOOKUP(BX$1,generator!$B$2:$B$295,generator!$K$2:$K$295,"ARGH")</f>
        <v>0</v>
      </c>
      <c r="BY46" s="3">
        <f>_xlfn.XLOOKUP(BY$1,generator!$B$2:$B$295,generator!$K$2:$K$295,"ARGH")</f>
        <v>0</v>
      </c>
      <c r="BZ46" s="3">
        <f>_xlfn.XLOOKUP(BZ$1,generator!$B$2:$B$295,generator!$K$2:$K$295,"ARGH")</f>
        <v>0</v>
      </c>
      <c r="CA46" s="3">
        <f>_xlfn.XLOOKUP(CA$1,generator!$B$2:$B$295,generator!$K$2:$K$295,"ARGH")</f>
        <v>0</v>
      </c>
      <c r="CB46" s="3">
        <f>_xlfn.XLOOKUP(CB$1,generator!$B$2:$B$295,generator!$K$2:$K$295,"ARGH")</f>
        <v>0</v>
      </c>
      <c r="CC46" s="3">
        <f>_xlfn.XLOOKUP(CC$1,generator!$B$2:$B$295,generator!$K$2:$K$295,"ARGH")</f>
        <v>0</v>
      </c>
      <c r="CD46" s="3">
        <f>_xlfn.XLOOKUP(CD$1,generator!$B$2:$B$295,generator!$K$2:$K$295,"ARGH")</f>
        <v>0</v>
      </c>
      <c r="CE46" s="3">
        <f>_xlfn.XLOOKUP(CE$1,generator!$B$2:$B$295,generator!$K$2:$K$295,"ARGH")</f>
        <v>0</v>
      </c>
      <c r="CF46" s="3">
        <f>_xlfn.XLOOKUP(CF$1,generator!$B$2:$B$295,generator!$K$2:$K$295,"ARGH")</f>
        <v>0</v>
      </c>
      <c r="CG46" s="3">
        <f>_xlfn.XLOOKUP(CG$1,generator!$B$2:$B$295,generator!$K$2:$K$295,"ARGH")</f>
        <v>0</v>
      </c>
      <c r="CH46" s="3">
        <f>_xlfn.XLOOKUP(CH$1,generator!$B$2:$B$295,generator!$K$2:$K$295,"ARGH")</f>
        <v>0</v>
      </c>
      <c r="CI46" s="3">
        <f>_xlfn.XLOOKUP(CI$1,generator!$B$2:$B$295,generator!$K$2:$K$295,"ARGH")</f>
        <v>0</v>
      </c>
      <c r="CJ46" s="3">
        <f>_xlfn.XLOOKUP(CJ$1,generator!$B$2:$B$295,generator!$K$2:$K$295,"ARGH")</f>
        <v>0</v>
      </c>
      <c r="CK46" s="3">
        <f>_xlfn.XLOOKUP(CK$1,generator!$B$2:$B$295,generator!$K$2:$K$295,"ARGH")</f>
        <v>0</v>
      </c>
      <c r="CL46" s="3">
        <f>_xlfn.XLOOKUP(CL$1,generator!$B$2:$B$295,generator!$K$2:$K$295,"ARGH")</f>
        <v>0</v>
      </c>
      <c r="CM46" s="3">
        <f>_xlfn.XLOOKUP(CM$1,generator!$B$2:$B$295,generator!$K$2:$K$295,"ARGH")</f>
        <v>0</v>
      </c>
      <c r="CN46" s="3">
        <f>_xlfn.XLOOKUP(CN$1,generator!$B$2:$B$295,generator!$K$2:$K$295,"ARGH")</f>
        <v>0</v>
      </c>
      <c r="CO46" s="3">
        <f>_xlfn.XLOOKUP(CO$1,generator!$B$2:$B$295,generator!$K$2:$K$295,"ARGH")</f>
        <v>0</v>
      </c>
      <c r="CP46" s="3">
        <f>_xlfn.XLOOKUP(CP$1,generator!$B$2:$B$295,generator!$K$2:$K$295,"ARGH")</f>
        <v>0</v>
      </c>
      <c r="CQ46" s="3">
        <f>_xlfn.XLOOKUP(CQ$1,generator!$B$2:$B$295,generator!$K$2:$K$295,"ARGH")</f>
        <v>0</v>
      </c>
      <c r="CR46" s="3">
        <f>_xlfn.XLOOKUP(CR$1,generator!$B$2:$B$295,generator!$K$2:$K$295,"ARGH")</f>
        <v>0</v>
      </c>
      <c r="CS46" s="3">
        <f>_xlfn.XLOOKUP(CS$1,generator!$B$2:$B$295,generator!$K$2:$K$295,"ARGH")</f>
        <v>0</v>
      </c>
      <c r="CT46" s="3">
        <f>_xlfn.XLOOKUP(CT$1,generator!$B$2:$B$295,generator!$K$2:$K$295,"ARGH")</f>
        <v>0</v>
      </c>
      <c r="CU46" s="3">
        <f>_xlfn.XLOOKUP(CU$1,generator!$B$2:$B$295,generator!$K$2:$K$295,"ARGH")</f>
        <v>0</v>
      </c>
      <c r="CV46" s="3">
        <f>_xlfn.XLOOKUP(CV$1,generator!$B$2:$B$295,generator!$K$2:$K$295,"ARGH")</f>
        <v>0</v>
      </c>
      <c r="CW46" s="3">
        <f>_xlfn.XLOOKUP(CW$1,generator!$B$2:$B$295,generator!$K$2:$K$295,"ARGH")</f>
        <v>0</v>
      </c>
      <c r="CX46" s="3">
        <f>_xlfn.XLOOKUP(CX$1,generator!$B$2:$B$295,generator!$K$2:$K$295,"ARGH")</f>
        <v>0</v>
      </c>
      <c r="CY46" s="3">
        <f>_xlfn.XLOOKUP(CY$1,generator!$B$2:$B$295,generator!$K$2:$K$295,"ARGH")</f>
        <v>0</v>
      </c>
      <c r="CZ46" s="3">
        <f>_xlfn.XLOOKUP(CZ$1,generator!$B$2:$B$295,generator!$K$2:$K$295,"ARGH")</f>
        <v>0</v>
      </c>
      <c r="DA46" s="3">
        <f>_xlfn.XLOOKUP(DA$1,generator!$B$2:$B$295,generator!$K$2:$K$295,"ARGH")</f>
        <v>0</v>
      </c>
      <c r="DB46" s="3">
        <f>_xlfn.XLOOKUP(DB$1,generator!$B$2:$B$295,generator!$K$2:$K$295,"ARGH")</f>
        <v>0</v>
      </c>
      <c r="DC46" s="3">
        <f>_xlfn.XLOOKUP(DC$1,generator!$B$2:$B$295,generator!$K$2:$K$295,"ARGH")</f>
        <v>0</v>
      </c>
      <c r="DD46" s="3">
        <f>_xlfn.XLOOKUP(DD$1,generator!$B$2:$B$295,generator!$K$2:$K$295,"ARGH")</f>
        <v>0</v>
      </c>
      <c r="DE46" s="3">
        <f>_xlfn.XLOOKUP(DE$1,generator!$B$2:$B$295,generator!$K$2:$K$295,"ARGH")</f>
        <v>0</v>
      </c>
      <c r="DF46" s="3">
        <f>_xlfn.XLOOKUP(DF$1,generator!$B$2:$B$295,generator!$K$2:$K$295,"ARGH")</f>
        <v>0</v>
      </c>
      <c r="DG46" s="3">
        <f>_xlfn.XLOOKUP(DG$1,generator!$B$2:$B$295,generator!$K$2:$K$295,"ARGH")</f>
        <v>0</v>
      </c>
      <c r="DH46" s="3">
        <f>_xlfn.XLOOKUP(DH$1,generator!$B$2:$B$295,generator!$K$2:$K$295,"ARGH")</f>
        <v>0</v>
      </c>
      <c r="DI46" s="3">
        <f>_xlfn.XLOOKUP(DI$1,generator!$B$2:$B$295,generator!$K$2:$K$295,"ARGH")</f>
        <v>0</v>
      </c>
      <c r="DJ46" s="3">
        <f>_xlfn.XLOOKUP(DJ$1,generator!$B$2:$B$295,generator!$K$2:$K$295,"ARGH")</f>
        <v>0</v>
      </c>
      <c r="DK46" s="3">
        <f>_xlfn.XLOOKUP(DK$1,generator!$B$2:$B$295,generator!$K$2:$K$295,"ARGH")</f>
        <v>0</v>
      </c>
      <c r="DL46" s="3">
        <f>_xlfn.XLOOKUP(DL$1,generator!$B$2:$B$295,generator!$K$2:$K$295,"ARGH")</f>
        <v>0</v>
      </c>
      <c r="DM46" s="3">
        <f>_xlfn.XLOOKUP(DM$1,generator!$B$2:$B$295,generator!$K$2:$K$295,"ARGH")</f>
        <v>0</v>
      </c>
      <c r="DN46" s="3">
        <f>_xlfn.XLOOKUP(DN$1,generator!$B$2:$B$295,generator!$K$2:$K$295,"ARGH")</f>
        <v>0</v>
      </c>
      <c r="DO46" s="3">
        <f>_xlfn.XLOOKUP(DO$1,generator!$B$2:$B$295,generator!$K$2:$K$295,"ARGH")</f>
        <v>0</v>
      </c>
      <c r="DP46" s="3">
        <f>_xlfn.XLOOKUP(DP$1,generator!$B$2:$B$295,generator!$K$2:$K$295,"ARGH")</f>
        <v>0</v>
      </c>
      <c r="DQ46" s="3">
        <f>_xlfn.XLOOKUP(DQ$1,generator!$B$2:$B$295,generator!$K$2:$K$295,"ARGH")</f>
        <v>0</v>
      </c>
      <c r="DR46" s="3">
        <f>_xlfn.XLOOKUP(DR$1,generator!$B$2:$B$295,generator!$K$2:$K$295,"ARGH")</f>
        <v>0</v>
      </c>
      <c r="DS46" s="3">
        <f>_xlfn.XLOOKUP(DS$1,generator!$B$2:$B$295,generator!$K$2:$K$295,"ARGH")</f>
        <v>0</v>
      </c>
      <c r="DT46" s="3">
        <f>_xlfn.XLOOKUP(DT$1,generator!$B$2:$B$295,generator!$K$2:$K$295,"ARGH")</f>
        <v>0</v>
      </c>
      <c r="DU46" s="3">
        <f>_xlfn.XLOOKUP(DU$1,generator!$B$2:$B$295,generator!$K$2:$K$295,"ARGH")</f>
        <v>0</v>
      </c>
      <c r="DV46" s="3">
        <f>_xlfn.XLOOKUP(DV$1,generator!$B$2:$B$295,generator!$K$2:$K$295,"ARGH")</f>
        <v>0</v>
      </c>
      <c r="DW46" s="3">
        <f>_xlfn.XLOOKUP(DW$1,generator!$B$2:$B$295,generator!$K$2:$K$295,"ARGH")</f>
        <v>0</v>
      </c>
      <c r="DX46" s="3">
        <f>_xlfn.XLOOKUP(DX$1,generator!$B$2:$B$295,generator!$K$2:$K$295,"ARGH")</f>
        <v>0</v>
      </c>
      <c r="DY46" s="3">
        <f>_xlfn.XLOOKUP(DY$1,generator!$B$2:$B$295,generator!$K$2:$K$295,"ARGH")</f>
        <v>0</v>
      </c>
      <c r="DZ46" s="3">
        <f>_xlfn.XLOOKUP(DZ$1,generator!$B$2:$B$295,generator!$K$2:$K$295,"ARGH")</f>
        <v>0</v>
      </c>
      <c r="EA46" s="3">
        <f>_xlfn.XLOOKUP(EA$1,generator!$B$2:$B$295,generator!$K$2:$K$295,"ARGH")</f>
        <v>0</v>
      </c>
      <c r="EB46" s="3">
        <f>_xlfn.XLOOKUP(EB$1,generator!$B$2:$B$295,generator!$K$2:$K$295,"ARGH")</f>
        <v>0</v>
      </c>
      <c r="EC46" s="3">
        <f>_xlfn.XLOOKUP(EC$1,generator!$B$2:$B$295,generator!$K$2:$K$295,"ARGH")</f>
        <v>0</v>
      </c>
      <c r="ED46" s="3">
        <f>_xlfn.XLOOKUP(ED$1,generator!$B$2:$B$295,generator!$K$2:$K$295,"ARGH")</f>
        <v>0</v>
      </c>
      <c r="EE46" s="3">
        <f>_xlfn.XLOOKUP(EE$1,generator!$B$2:$B$295,generator!$K$2:$K$295,"ARGH")</f>
        <v>0</v>
      </c>
      <c r="EF46" s="3">
        <f>_xlfn.XLOOKUP(EF$1,generator!$B$2:$B$295,generator!$K$2:$K$295,"ARGH")</f>
        <v>0</v>
      </c>
      <c r="EG46" s="3">
        <f>_xlfn.XLOOKUP(EG$1,generator!$B$2:$B$295,generator!$K$2:$K$295,"ARGH")</f>
        <v>0</v>
      </c>
      <c r="EH46" s="3">
        <f>_xlfn.XLOOKUP(EH$1,generator!$B$2:$B$295,generator!$K$2:$K$295,"ARGH")</f>
        <v>0</v>
      </c>
      <c r="EI46" s="3">
        <f>_xlfn.XLOOKUP(EI$1,generator!$B$2:$B$295,generator!$K$2:$K$295,"ARGH")</f>
        <v>0</v>
      </c>
      <c r="EJ46" s="3">
        <f>_xlfn.XLOOKUP(EJ$1,generator!$B$2:$B$295,generator!$K$2:$K$295,"ARGH")</f>
        <v>0</v>
      </c>
      <c r="EK46" s="3">
        <f>_xlfn.XLOOKUP(EK$1,generator!$B$2:$B$295,generator!$K$2:$K$295,"ARGH")</f>
        <v>0</v>
      </c>
      <c r="EL46" s="3">
        <f>_xlfn.XLOOKUP(EL$1,generator!$B$2:$B$295,generator!$K$2:$K$295,"ARGH")</f>
        <v>0</v>
      </c>
      <c r="EM46" s="3">
        <f>_xlfn.XLOOKUP(EM$1,generator!$B$2:$B$295,generator!$K$2:$K$295,"ARGH")</f>
        <v>0</v>
      </c>
      <c r="EN46" s="3">
        <f>_xlfn.XLOOKUP(EN$1,generator!$B$2:$B$295,generator!$K$2:$K$295,"ARGH")</f>
        <v>0</v>
      </c>
      <c r="EO46" s="3">
        <f>_xlfn.XLOOKUP(EO$1,generator!$B$2:$B$295,generator!$K$2:$K$295,"ARGH")</f>
        <v>0</v>
      </c>
      <c r="EP46" s="3">
        <f>_xlfn.XLOOKUP(EP$1,generator!$B$2:$B$295,generator!$K$2:$K$295,"ARGH")</f>
        <v>0</v>
      </c>
      <c r="EQ46" s="3">
        <f>_xlfn.XLOOKUP(EQ$1,generator!$B$2:$B$295,generator!$K$2:$K$295,"ARGH")</f>
        <v>0</v>
      </c>
      <c r="ER46" s="3">
        <f>_xlfn.XLOOKUP(ER$1,generator!$B$2:$B$295,generator!$K$2:$K$295,"ARGH")</f>
        <v>0</v>
      </c>
      <c r="ES46" s="3">
        <f>_xlfn.XLOOKUP(ES$1,generator!$B$2:$B$295,generator!$K$2:$K$295,"ARGH")</f>
        <v>0</v>
      </c>
      <c r="ET46" s="3">
        <f>_xlfn.XLOOKUP(ET$1,generator!$B$2:$B$295,generator!$K$2:$K$295,"ARGH")</f>
        <v>0</v>
      </c>
      <c r="EU46" s="3">
        <f>_xlfn.XLOOKUP(EU$1,generator!$B$2:$B$295,generator!$K$2:$K$295,"ARGH")</f>
        <v>0</v>
      </c>
      <c r="EV46" s="3">
        <f>_xlfn.XLOOKUP(EV$1,generator!$B$2:$B$295,generator!$K$2:$K$295,"ARGH")</f>
        <v>0</v>
      </c>
      <c r="EW46" s="3">
        <f>_xlfn.XLOOKUP(EW$1,generator!$B$2:$B$295,generator!$K$2:$K$295,"ARGH")</f>
        <v>0</v>
      </c>
      <c r="EX46" s="3">
        <f>_xlfn.XLOOKUP(EX$1,generator!$B$2:$B$295,generator!$K$2:$K$295,"ARGH")</f>
        <v>0</v>
      </c>
      <c r="EY46" s="3">
        <f>_xlfn.XLOOKUP(EY$1,generator!$B$2:$B$295,generator!$K$2:$K$295,"ARGH")</f>
        <v>0</v>
      </c>
      <c r="EZ46" s="3">
        <f>_xlfn.XLOOKUP(EZ$1,generator!$B$2:$B$295,generator!$K$2:$K$295,"ARGH")</f>
        <v>0</v>
      </c>
      <c r="FA46" s="3">
        <f>_xlfn.XLOOKUP(FA$1,generator!$B$2:$B$295,generator!$K$2:$K$295,"ARGH")</f>
        <v>0</v>
      </c>
      <c r="FB46" s="3">
        <f>_xlfn.XLOOKUP(FB$1,generator!$B$2:$B$295,generator!$K$2:$K$295,"ARGH")</f>
        <v>0</v>
      </c>
      <c r="FC46" s="3">
        <f>_xlfn.XLOOKUP(FC$1,generator!$B$2:$B$295,generator!$K$2:$K$295,"ARGH")</f>
        <v>0</v>
      </c>
      <c r="FD46" s="3">
        <f>_xlfn.XLOOKUP(FD$1,generator!$B$2:$B$295,generator!$K$2:$K$295,"ARGH")</f>
        <v>0</v>
      </c>
      <c r="FE46" s="3">
        <f>_xlfn.XLOOKUP(FE$1,generator!$B$2:$B$295,generator!$K$2:$K$295,"ARGH")</f>
        <v>0</v>
      </c>
      <c r="FF46" s="3">
        <f>_xlfn.XLOOKUP(FF$1,generator!$B$2:$B$295,generator!$K$2:$K$295,"ARGH")</f>
        <v>0</v>
      </c>
      <c r="FG46" s="3">
        <f>_xlfn.XLOOKUP(FG$1,generator!$B$2:$B$295,generator!$K$2:$K$295,"ARGH")</f>
        <v>0</v>
      </c>
      <c r="FH46" s="3">
        <f>_xlfn.XLOOKUP(FH$1,generator!$B$2:$B$295,generator!$K$2:$K$295,"ARGH")</f>
        <v>0</v>
      </c>
      <c r="FI46" s="3">
        <f>_xlfn.XLOOKUP(FI$1,generator!$B$2:$B$295,generator!$K$2:$K$295,"ARGH")</f>
        <v>0</v>
      </c>
      <c r="FJ46" s="3">
        <f>_xlfn.XLOOKUP(FJ$1,generator!$B$2:$B$295,generator!$K$2:$K$295,"ARGH")</f>
        <v>0</v>
      </c>
      <c r="FK46" s="3">
        <f>_xlfn.XLOOKUP(FK$1,generator!$B$2:$B$295,generator!$K$2:$K$295,"ARGH")</f>
        <v>0</v>
      </c>
      <c r="FL46" s="3">
        <f>_xlfn.XLOOKUP(FL$1,generator!$B$2:$B$295,generator!$K$2:$K$295,"ARGH")</f>
        <v>0</v>
      </c>
      <c r="FM46" s="3">
        <f>_xlfn.XLOOKUP(FM$1,generator!$B$2:$B$295,generator!$K$2:$K$295,"ARGH")</f>
        <v>0</v>
      </c>
      <c r="FN46" s="3">
        <f>_xlfn.XLOOKUP(FN$1,generator!$B$2:$B$295,generator!$K$2:$K$295,"ARGH")</f>
        <v>0</v>
      </c>
      <c r="FO46" s="3">
        <f>_xlfn.XLOOKUP(FO$1,generator!$B$2:$B$295,generator!$K$2:$K$295,"ARGH")</f>
        <v>0</v>
      </c>
      <c r="FP46" s="3">
        <f>_xlfn.XLOOKUP(FP$1,generator!$B$2:$B$295,generator!$K$2:$K$295,"ARGH")</f>
        <v>0</v>
      </c>
      <c r="FQ46" s="3">
        <f>_xlfn.XLOOKUP(FQ$1,generator!$B$2:$B$295,generator!$K$2:$K$295,"ARGH")</f>
        <v>0</v>
      </c>
      <c r="FR46" s="3">
        <f>_xlfn.XLOOKUP(FR$1,generator!$B$2:$B$295,generator!$K$2:$K$295,"ARGH")</f>
        <v>0</v>
      </c>
      <c r="FS46" s="3">
        <f>_xlfn.XLOOKUP(FS$1,generator!$B$2:$B$295,generator!$K$2:$K$295,"ARGH")</f>
        <v>0</v>
      </c>
      <c r="FT46" s="3">
        <f>_xlfn.XLOOKUP(FT$1,generator!$B$2:$B$295,generator!$K$2:$K$295,"ARGH")</f>
        <v>0</v>
      </c>
      <c r="FU46" s="3">
        <f>_xlfn.XLOOKUP(FU$1,generator!$B$2:$B$295,generator!$K$2:$K$295,"ARGH")</f>
        <v>0</v>
      </c>
      <c r="FV46" s="3">
        <f>_xlfn.XLOOKUP(FV$1,generator!$B$2:$B$295,generator!$K$2:$K$295,"ARGH")</f>
        <v>0</v>
      </c>
      <c r="FW46" s="3">
        <f>_xlfn.XLOOKUP(FW$1,generator!$B$2:$B$295,generator!$K$2:$K$295,"ARGH")</f>
        <v>0</v>
      </c>
      <c r="FX46" s="3">
        <f>_xlfn.XLOOKUP(FX$1,generator!$B$2:$B$295,generator!$K$2:$K$295,"ARGH")</f>
        <v>0</v>
      </c>
      <c r="FY46" s="3">
        <f>_xlfn.XLOOKUP(FY$1,generator!$B$2:$B$295,generator!$K$2:$K$295,"ARGH")</f>
        <v>0</v>
      </c>
      <c r="FZ46" s="3">
        <f>_xlfn.XLOOKUP(FZ$1,generator!$B$2:$B$295,generator!$K$2:$K$295,"ARGH")</f>
        <v>0</v>
      </c>
      <c r="GA46" s="3">
        <f>_xlfn.XLOOKUP(GA$1,generator!$B$2:$B$295,generator!$K$2:$K$295,"ARGH")</f>
        <v>0</v>
      </c>
      <c r="GB46" s="3">
        <f>_xlfn.XLOOKUP(GB$1,generator!$B$2:$B$295,generator!$K$2:$K$295,"ARGH")</f>
        <v>0</v>
      </c>
      <c r="GC46" s="3">
        <f>_xlfn.XLOOKUP(GC$1,generator!$B$2:$B$295,generator!$K$2:$K$295,"ARGH")</f>
        <v>0</v>
      </c>
      <c r="GD46" s="3">
        <f>_xlfn.XLOOKUP(GD$1,generator!$B$2:$B$295,generator!$K$2:$K$295,"ARGH")</f>
        <v>0</v>
      </c>
      <c r="GE46" s="3">
        <f>_xlfn.XLOOKUP(GE$1,generator!$B$2:$B$295,generator!$K$2:$K$295,"ARGH")</f>
        <v>0</v>
      </c>
      <c r="GF46" s="3">
        <f>_xlfn.XLOOKUP(GF$1,generator!$B$2:$B$295,generator!$K$2:$K$295,"ARGH")</f>
        <v>0</v>
      </c>
      <c r="GG46" s="3">
        <f>_xlfn.XLOOKUP(GG$1,generator!$B$2:$B$295,generator!$K$2:$K$295,"ARGH")</f>
        <v>0</v>
      </c>
      <c r="GH46" s="3">
        <f>_xlfn.XLOOKUP(GH$1,generator!$B$2:$B$295,generator!$K$2:$K$295,"ARGH")</f>
        <v>0</v>
      </c>
      <c r="GI46" s="3">
        <f>_xlfn.XLOOKUP(GI$1,generator!$B$2:$B$295,generator!$K$2:$K$295,"ARGH")</f>
        <v>0</v>
      </c>
      <c r="GJ46" s="3">
        <f>_xlfn.XLOOKUP(GJ$1,generator!$B$2:$B$295,generator!$K$2:$K$295,"ARGH")</f>
        <v>0</v>
      </c>
      <c r="GK46" s="3">
        <f>_xlfn.XLOOKUP(GK$1,generator!$B$2:$B$295,generator!$K$2:$K$295,"ARGH")</f>
        <v>0</v>
      </c>
      <c r="GL46" s="3">
        <f>_xlfn.XLOOKUP(GL$1,generator!$B$2:$B$295,generator!$K$2:$K$295,"ARGH")</f>
        <v>0</v>
      </c>
      <c r="GM46" s="3">
        <f>_xlfn.XLOOKUP(GM$1,generator!$B$2:$B$295,generator!$K$2:$K$295,"ARGH")</f>
        <v>0</v>
      </c>
      <c r="GN46" s="3">
        <f>_xlfn.XLOOKUP(GN$1,generator!$B$2:$B$295,generator!$K$2:$K$295,"ARGH")</f>
        <v>0</v>
      </c>
      <c r="GO46" s="3">
        <f>_xlfn.XLOOKUP(GO$1,generator!$B$2:$B$295,generator!$K$2:$K$295,"ARGH")</f>
        <v>0</v>
      </c>
      <c r="GP46" s="3">
        <f>_xlfn.XLOOKUP(GP$1,generator!$B$2:$B$295,generator!$K$2:$K$295,"ARGH")</f>
        <v>0</v>
      </c>
      <c r="GQ46" s="3">
        <f>_xlfn.XLOOKUP(GQ$1,generator!$B$2:$B$295,generator!$K$2:$K$295,"ARGH")</f>
        <v>0</v>
      </c>
      <c r="GR46" s="3">
        <f>_xlfn.XLOOKUP(GR$1,generator!$B$2:$B$295,generator!$K$2:$K$295,"ARGH")</f>
        <v>0</v>
      </c>
      <c r="GS46" s="3">
        <f>_xlfn.XLOOKUP(GS$1,generator!$B$2:$B$295,generator!$K$2:$K$295,"ARGH")</f>
        <v>0</v>
      </c>
      <c r="GT46" s="3">
        <f>_xlfn.XLOOKUP(GT$1,generator!$B$2:$B$295,generator!$K$2:$K$295,"ARGH")</f>
        <v>0</v>
      </c>
      <c r="GU46" s="3">
        <f>_xlfn.XLOOKUP(GU$1,generator!$B$2:$B$295,generator!$K$2:$K$295,"ARGH")</f>
        <v>0</v>
      </c>
      <c r="GV46" s="3">
        <f>_xlfn.XLOOKUP(GV$1,generator!$B$2:$B$295,generator!$K$2:$K$295,"ARGH")</f>
        <v>0</v>
      </c>
      <c r="GW46" s="3">
        <f>_xlfn.XLOOKUP(GW$1,generator!$B$2:$B$295,generator!$K$2:$K$295,"ARGH")</f>
        <v>0</v>
      </c>
      <c r="GX46" s="3">
        <f>_xlfn.XLOOKUP(GX$1,generator!$B$2:$B$295,generator!$K$2:$K$295,"ARGH")</f>
        <v>0</v>
      </c>
      <c r="GY46" s="3">
        <f>_xlfn.XLOOKUP(GY$1,generator!$B$2:$B$295,generator!$K$2:$K$295,"ARGH")</f>
        <v>0</v>
      </c>
      <c r="GZ46" s="3">
        <f>_xlfn.XLOOKUP(GZ$1,generator!$B$2:$B$295,generator!$K$2:$K$295,"ARGH")</f>
        <v>0</v>
      </c>
      <c r="HA46" s="3">
        <f>_xlfn.XLOOKUP(HA$1,generator!$B$2:$B$295,generator!$K$2:$K$295,"ARGH")</f>
        <v>0</v>
      </c>
      <c r="HB46" s="3">
        <f>_xlfn.XLOOKUP(HB$1,generator!$B$2:$B$295,generator!$K$2:$K$295,"ARGH")</f>
        <v>0</v>
      </c>
      <c r="HC46" s="3">
        <f>_xlfn.XLOOKUP(HC$1,generator!$B$2:$B$295,generator!$K$2:$K$295,"ARGH")</f>
        <v>0</v>
      </c>
      <c r="HD46" s="3">
        <f>_xlfn.XLOOKUP(HD$1,generator!$B$2:$B$295,generator!$K$2:$K$295,"ARGH")</f>
        <v>0</v>
      </c>
      <c r="HE46" s="3">
        <f>_xlfn.XLOOKUP(HE$1,generator!$B$2:$B$295,generator!$K$2:$K$295,"ARGH")</f>
        <v>12.74</v>
      </c>
      <c r="HF46" s="3">
        <f>_xlfn.XLOOKUP(HF$1,generator!$B$2:$B$295,generator!$K$2:$K$295,"ARGH")</f>
        <v>99</v>
      </c>
      <c r="HG46" s="3">
        <f>_xlfn.XLOOKUP(HG$1,generator!$B$2:$B$295,generator!$K$2:$K$295,"ARGH")</f>
        <v>99</v>
      </c>
      <c r="HH46" s="3">
        <f>_xlfn.XLOOKUP(HH$1,generator!$B$2:$B$295,generator!$K$2:$K$295,"ARGH")</f>
        <v>99</v>
      </c>
      <c r="HI46" s="3">
        <f>_xlfn.XLOOKUP(HI$1,generator!$B$2:$B$295,generator!$K$2:$K$295,"ARGH")</f>
        <v>8</v>
      </c>
      <c r="HJ46" s="3">
        <f>_xlfn.XLOOKUP(HJ$1,generator!$B$2:$B$295,generator!$K$2:$K$295,"ARGH")</f>
        <v>8</v>
      </c>
      <c r="HK46" s="3">
        <f>_xlfn.XLOOKUP(HK$1,generator!$B$2:$B$295,generator!$K$2:$K$295,"ARGH")</f>
        <v>8</v>
      </c>
      <c r="HL46" s="3">
        <f>_xlfn.XLOOKUP(HL$1,generator!$B$2:$B$295,generator!$K$2:$K$295,"ARGH")</f>
        <v>20</v>
      </c>
      <c r="HM46" s="3">
        <f>_xlfn.XLOOKUP(HM$1,generator!$B$2:$B$295,generator!$K$2:$K$295,"ARGH")</f>
        <v>20</v>
      </c>
      <c r="HN46" s="3">
        <f>_xlfn.XLOOKUP(HN$1,generator!$B$2:$B$295,generator!$K$2:$K$295,"ARGH")</f>
        <v>5</v>
      </c>
      <c r="HO46" s="3">
        <f>_xlfn.XLOOKUP(HO$1,generator!$B$2:$B$295,generator!$K$2:$K$295,"ARGH")</f>
        <v>5</v>
      </c>
      <c r="HP46" s="3">
        <f>_xlfn.XLOOKUP(HP$1,generator!$B$2:$B$295,generator!$K$2:$K$295,"ARGH")</f>
        <v>0.2</v>
      </c>
      <c r="HQ46" s="3">
        <f>_xlfn.XLOOKUP(HQ$1,generator!$B$2:$B$295,generator!$K$2:$K$295,"ARGH")</f>
        <v>5</v>
      </c>
      <c r="HR46" s="3">
        <f>_xlfn.XLOOKUP(HR$1,generator!$B$2:$B$295,generator!$K$2:$K$295,"ARGH")</f>
        <v>5</v>
      </c>
      <c r="HS46" s="3">
        <f>_xlfn.XLOOKUP(HS$1,generator!$B$2:$B$295,generator!$K$2:$K$295,"ARGH")</f>
        <v>12.82</v>
      </c>
      <c r="HT46" s="3">
        <f>_xlfn.XLOOKUP(HT$1,generator!$B$2:$B$295,generator!$K$2:$K$295,"ARGH")</f>
        <v>12.82</v>
      </c>
      <c r="HU46" s="3">
        <f>_xlfn.XLOOKUP(HU$1,generator!$B$2:$B$295,generator!$K$2:$K$295,"ARGH")</f>
        <v>25</v>
      </c>
      <c r="HV46" s="3">
        <f>_xlfn.XLOOKUP(HV$1,generator!$B$2:$B$295,generator!$K$2:$K$295,"ARGH")</f>
        <v>16</v>
      </c>
      <c r="HW46" s="3">
        <f>_xlfn.XLOOKUP(HW$1,generator!$B$2:$B$295,generator!$K$2:$K$295,"ARGH")</f>
        <v>5</v>
      </c>
      <c r="HX46" s="3">
        <f>_xlfn.XLOOKUP(HX$1,generator!$B$2:$B$295,generator!$K$2:$K$295,"ARGH")</f>
        <v>5</v>
      </c>
      <c r="HY46" s="3">
        <f>_xlfn.XLOOKUP(HY$1,generator!$B$2:$B$295,generator!$K$2:$K$295,"ARGH")</f>
        <v>63</v>
      </c>
      <c r="HZ46" s="3">
        <f>_xlfn.XLOOKUP(HZ$1,generator!$B$2:$B$295,generator!$K$2:$K$295,"ARGH")</f>
        <v>18</v>
      </c>
      <c r="IA46" s="3">
        <f>_xlfn.XLOOKUP(IA$1,generator!$B$2:$B$295,generator!$K$2:$K$295,"ARGH")</f>
        <v>121</v>
      </c>
      <c r="IB46" s="3">
        <f>_xlfn.XLOOKUP(IB$1,generator!$B$2:$B$295,generator!$K$2:$K$295,"ARGH")</f>
        <v>120</v>
      </c>
      <c r="IC46" s="3">
        <f>_xlfn.XLOOKUP(IC$1,generator!$B$2:$B$295,generator!$K$2:$K$295,"ARGH")</f>
        <v>0</v>
      </c>
      <c r="ID46" s="3">
        <f>_xlfn.XLOOKUP(ID$1,generator!$B$2:$B$295,generator!$K$2:$K$295,"ARGH")</f>
        <v>17</v>
      </c>
      <c r="IE46" s="3">
        <f>_xlfn.XLOOKUP(IE$1,generator!$B$2:$B$295,generator!$K$2:$K$295,"ARGH")</f>
        <v>194</v>
      </c>
      <c r="IF46" s="3">
        <f>_xlfn.XLOOKUP(IF$1,generator!$B$2:$B$295,generator!$K$2:$K$295,"ARGH")</f>
        <v>11.9</v>
      </c>
      <c r="IG46" s="3">
        <f>_xlfn.XLOOKUP(IG$1,generator!$B$2:$B$295,generator!$K$2:$K$295,"ARGH")</f>
        <v>11.9</v>
      </c>
      <c r="IH46" s="3">
        <f>_xlfn.XLOOKUP(IH$1,generator!$B$2:$B$295,generator!$K$2:$K$295,"ARGH")</f>
        <v>11.9</v>
      </c>
      <c r="II46" s="3">
        <f>_xlfn.XLOOKUP(II$1,generator!$B$2:$B$295,generator!$K$2:$K$295,"ARGH")</f>
        <v>11.9</v>
      </c>
      <c r="IJ46" s="3">
        <f>_xlfn.XLOOKUP(IJ$1,generator!$B$2:$B$295,generator!$K$2:$K$295,"ARGH")</f>
        <v>0</v>
      </c>
      <c r="IK46" s="3">
        <f>_xlfn.XLOOKUP(IK$1,generator!$B$2:$B$295,generator!$K$2:$K$295,"ARGH")</f>
        <v>3</v>
      </c>
      <c r="IL46" s="3">
        <f>_xlfn.XLOOKUP(IL$1,generator!$B$2:$B$295,generator!$K$2:$K$295,"ARGH")</f>
        <v>5</v>
      </c>
      <c r="IM46" s="3">
        <f>_xlfn.XLOOKUP(IM$1,generator!$B$2:$B$295,generator!$K$2:$K$295,"ARGH")</f>
        <v>5</v>
      </c>
      <c r="IN46" s="3">
        <f>_xlfn.XLOOKUP(IN$1,generator!$B$2:$B$295,generator!$K$2:$K$295,"ARGH")</f>
        <v>4</v>
      </c>
      <c r="IO46" s="3">
        <f>_xlfn.XLOOKUP(IO$1,generator!$B$2:$B$295,generator!$K$2:$K$295,"ARGH")</f>
        <v>4</v>
      </c>
      <c r="IP46" s="3">
        <f>_xlfn.XLOOKUP(IP$1,generator!$B$2:$B$295,generator!$K$2:$K$295,"ARGH")</f>
        <v>3</v>
      </c>
      <c r="IQ46" s="3">
        <f>_xlfn.XLOOKUP(IQ$1,generator!$B$2:$B$295,generator!$K$2:$K$295,"ARGH")</f>
        <v>1</v>
      </c>
      <c r="IR46" s="3">
        <f>_xlfn.XLOOKUP(IR$1,generator!$B$2:$B$295,generator!$K$2:$K$295,"ARGH")</f>
        <v>3</v>
      </c>
      <c r="IS46" s="3">
        <f>_xlfn.XLOOKUP(IS$1,generator!$B$2:$B$295,generator!$K$2:$K$295,"ARGH")</f>
        <v>3</v>
      </c>
      <c r="IT46" s="3">
        <f>_xlfn.XLOOKUP(IT$1,generator!$B$2:$B$295,generator!$K$2:$K$295,"ARGH")</f>
        <v>0</v>
      </c>
      <c r="IU46" s="3">
        <f>_xlfn.XLOOKUP(IU$1,generator!$B$2:$B$295,generator!$K$2:$K$295,"ARGH")</f>
        <v>3.99</v>
      </c>
      <c r="IV46" s="3">
        <f>_xlfn.XLOOKUP(IV$1,generator!$B$2:$B$295,generator!$K$2:$K$295,"ARGH")</f>
        <v>0.2</v>
      </c>
      <c r="IW46" s="3">
        <f>_xlfn.XLOOKUP(IW$1,generator!$B$2:$B$295,generator!$K$2:$K$295,"ARGH")</f>
        <v>15</v>
      </c>
      <c r="IX46" s="3">
        <f>_xlfn.XLOOKUP(IX$1,generator!$B$2:$B$295,generator!$K$2:$K$295,"ARGH")</f>
        <v>15</v>
      </c>
      <c r="IY46" s="3">
        <f>_xlfn.XLOOKUP(IY$1,generator!$B$2:$B$295,generator!$K$2:$K$295,"ARGH")</f>
        <v>15</v>
      </c>
      <c r="IZ46" s="3">
        <f>_xlfn.XLOOKUP(IZ$1,generator!$B$2:$B$295,generator!$K$2:$K$295,"ARGH")</f>
        <v>120</v>
      </c>
      <c r="JA46" s="3">
        <f>_xlfn.XLOOKUP(JA$1,generator!$B$2:$B$295,generator!$K$2:$K$295,"ARGH")</f>
        <v>40</v>
      </c>
      <c r="JB46" s="3">
        <f>_xlfn.XLOOKUP(JB$1,generator!$B$2:$B$295,generator!$K$2:$K$295,"ARGH")</f>
        <v>40</v>
      </c>
      <c r="JC46" s="3">
        <f>_xlfn.XLOOKUP(JC$1,generator!$B$2:$B$295,generator!$K$2:$K$295,"ARGH")</f>
        <v>113</v>
      </c>
      <c r="JD46" s="3">
        <f>_xlfn.XLOOKUP(JD$1,generator!$B$2:$B$295,generator!$K$2:$K$295,"ARGH")</f>
        <v>113</v>
      </c>
      <c r="JE46" s="3">
        <f>_xlfn.XLOOKUP(JE$1,generator!$B$2:$B$295,generator!$K$2:$K$295,"ARGH")</f>
        <v>211</v>
      </c>
      <c r="JF46" s="3">
        <f>_xlfn.XLOOKUP(JF$1,generator!$B$2:$B$295,generator!$K$2:$K$295,"ARGH")</f>
        <v>22.5</v>
      </c>
      <c r="JG46" s="3">
        <f>_xlfn.XLOOKUP(JG$1,generator!$B$2:$B$295,generator!$K$2:$K$295,"ARGH")</f>
        <v>1</v>
      </c>
      <c r="JH46" s="3">
        <f>_xlfn.XLOOKUP(JH$1,generator!$B$2:$B$295,generator!$K$2:$K$295,"ARGH")</f>
        <v>160</v>
      </c>
      <c r="JI46" s="3">
        <f>_xlfn.XLOOKUP(JI$1,generator!$B$2:$B$295,generator!$K$2:$K$295,"ARGH")</f>
        <v>165</v>
      </c>
      <c r="JJ46" s="3">
        <f>_xlfn.XLOOKUP(JJ$1,generator!$B$2:$B$295,generator!$K$2:$K$295,"ARGH")</f>
        <v>4.5999999999999996</v>
      </c>
      <c r="JK46" s="3">
        <f>_xlfn.XLOOKUP(JK$1,generator!$B$2:$B$295,generator!$K$2:$K$295,"ARGH")</f>
        <v>4.5999999999999996</v>
      </c>
      <c r="JL46" s="3">
        <f>_xlfn.XLOOKUP(JL$1,generator!$B$2:$B$295,generator!$K$2:$K$295,"ARGH")</f>
        <v>4.5999999999999996</v>
      </c>
      <c r="JM46" s="3">
        <f>_xlfn.XLOOKUP(JM$1,generator!$B$2:$B$295,generator!$K$2:$K$295,"ARGH")</f>
        <v>4.5999999999999996</v>
      </c>
      <c r="JN46" s="3">
        <f>_xlfn.XLOOKUP(JN$1,generator!$B$2:$B$295,generator!$K$2:$K$295,"ARGH")</f>
        <v>4.5999999999999996</v>
      </c>
      <c r="JO46" s="3">
        <f>_xlfn.XLOOKUP(JO$1,generator!$B$2:$B$295,generator!$K$2:$K$295,"ARGH")</f>
        <v>4.5999999999999996</v>
      </c>
      <c r="JP46" s="3">
        <f>_xlfn.XLOOKUP(JP$1,generator!$B$2:$B$295,generator!$K$2:$K$295,"ARGH")</f>
        <v>110</v>
      </c>
      <c r="JQ46" s="3">
        <f>_xlfn.XLOOKUP(JQ$1,generator!$B$2:$B$295,generator!$K$2:$K$295,"ARGH")</f>
        <v>22.7</v>
      </c>
      <c r="JR46" s="3">
        <f>_xlfn.XLOOKUP(JR$1,generator!$B$2:$B$295,generator!$K$2:$K$295,"ARGH")</f>
        <v>147</v>
      </c>
      <c r="JS46" s="3">
        <f>_xlfn.XLOOKUP(JS$1,generator!$B$2:$B$295,generator!$K$2:$K$295,"ARGH")</f>
        <v>147</v>
      </c>
      <c r="JT46" s="3">
        <f>_xlfn.XLOOKUP(JT$1,generator!$B$2:$B$295,generator!$K$2:$K$295,"ARGH")</f>
        <v>22.7</v>
      </c>
      <c r="JU46" s="3">
        <f>_xlfn.XLOOKUP(JU$1,generator!$B$2:$B$295,generator!$K$2:$K$295,"ARGH")</f>
        <v>21.5</v>
      </c>
      <c r="JV46" s="3">
        <f>_xlfn.XLOOKUP(JV$1,generator!$B$2:$B$295,generator!$K$2:$K$295,"ARGH")</f>
        <v>120</v>
      </c>
      <c r="JW46" s="3">
        <f>_xlfn.XLOOKUP(JW$1,generator!$B$2:$B$295,generator!$K$2:$K$295,"ARGH")</f>
        <v>120</v>
      </c>
      <c r="JX46" s="3">
        <f>_xlfn.XLOOKUP(JX$1,generator!$B$2:$B$295,generator!$K$2:$K$295,"ARGH")</f>
        <v>1</v>
      </c>
      <c r="JY46" s="3">
        <f>_xlfn.XLOOKUP(JY$1,generator!$B$2:$B$295,generator!$K$2:$K$295,"ARGH")</f>
        <v>41.15</v>
      </c>
      <c r="JZ46" s="3">
        <f>_xlfn.XLOOKUP(JZ$1,generator!$B$2:$B$295,generator!$K$2:$K$295,"ARGH")</f>
        <v>5</v>
      </c>
      <c r="KA46" s="3">
        <f>_xlfn.XLOOKUP(KA$1,generator!$B$2:$B$295,generator!$K$2:$K$295,"ARGH")</f>
        <v>5</v>
      </c>
      <c r="KB46" s="3">
        <f>_xlfn.XLOOKUP(KB$1,generator!$B$2:$B$295,generator!$K$2:$K$295,"ARGH")</f>
        <v>5</v>
      </c>
      <c r="KC46" s="3">
        <f>_xlfn.XLOOKUP(KC$1,generator!$B$2:$B$295,generator!$K$2:$K$295,"ARGH")</f>
        <v>5</v>
      </c>
    </row>
    <row r="47" spans="1:289" x14ac:dyDescent="0.3">
      <c r="A47" s="4" t="s">
        <v>3042</v>
      </c>
      <c r="B47" s="31">
        <v>530</v>
      </c>
      <c r="C47" s="31">
        <v>513.5</v>
      </c>
      <c r="D47" s="31">
        <v>442</v>
      </c>
      <c r="E47" s="3">
        <f>_xlfn.XLOOKUP(E$1,generator!$B$2:$B$295,generator!$K$2:$K$295,"ARGH")</f>
        <v>0</v>
      </c>
      <c r="F47" s="3">
        <f>_xlfn.XLOOKUP(F$1,generator!$B$2:$B$295,generator!$K$2:$K$295,"ARGH")</f>
        <v>0</v>
      </c>
      <c r="G47" s="3">
        <f>_xlfn.XLOOKUP(G$1,generator!$B$2:$B$295,generator!$K$2:$K$295,"ARGH")</f>
        <v>0</v>
      </c>
      <c r="H47" s="3">
        <f>_xlfn.XLOOKUP(H$1,generator!$B$2:$B$295,generator!$K$2:$K$295,"ARGH")</f>
        <v>0</v>
      </c>
      <c r="I47" s="3">
        <f>_xlfn.XLOOKUP(I$1,generator!$B$2:$B$295,generator!$K$2:$K$295,"ARGH")</f>
        <v>0</v>
      </c>
      <c r="J47" s="3">
        <f>_xlfn.XLOOKUP(J$1,generator!$B$2:$B$295,generator!$K$2:$K$295,"ARGH")</f>
        <v>0</v>
      </c>
      <c r="K47" s="3">
        <f>_xlfn.XLOOKUP(K$1,generator!$B$2:$B$295,generator!$K$2:$K$295,"ARGH")</f>
        <v>0</v>
      </c>
      <c r="L47" s="3">
        <f>_xlfn.XLOOKUP(L$1,generator!$B$2:$B$295,generator!$K$2:$K$295,"ARGH")</f>
        <v>0</v>
      </c>
      <c r="M47" s="3">
        <f>_xlfn.XLOOKUP(M$1,generator!$B$2:$B$295,generator!$K$2:$K$295,"ARGH")</f>
        <v>0</v>
      </c>
      <c r="N47" s="3">
        <f>_xlfn.XLOOKUP(N$1,generator!$B$2:$B$295,generator!$K$2:$K$295,"ARGH")</f>
        <v>0</v>
      </c>
      <c r="O47" s="3">
        <f>_xlfn.XLOOKUP(O$1,generator!$B$2:$B$295,generator!$K$2:$K$295,"ARGH")</f>
        <v>0</v>
      </c>
      <c r="P47" s="3">
        <f>_xlfn.XLOOKUP(P$1,generator!$B$2:$B$295,generator!$K$2:$K$295,"ARGH")</f>
        <v>0</v>
      </c>
      <c r="Q47" s="3">
        <f>_xlfn.XLOOKUP(Q$1,generator!$B$2:$B$295,generator!$K$2:$K$295,"ARGH")</f>
        <v>0</v>
      </c>
      <c r="R47" s="3">
        <f>_xlfn.XLOOKUP(R$1,generator!$B$2:$B$295,generator!$K$2:$K$295,"ARGH")</f>
        <v>0</v>
      </c>
      <c r="S47" s="3">
        <f>_xlfn.XLOOKUP(S$1,generator!$B$2:$B$295,generator!$K$2:$K$295,"ARGH")</f>
        <v>0</v>
      </c>
      <c r="T47" s="3">
        <f>_xlfn.XLOOKUP(T$1,generator!$B$2:$B$295,generator!$K$2:$K$295,"ARGH")</f>
        <v>0</v>
      </c>
      <c r="U47" s="3">
        <f>_xlfn.XLOOKUP(U$1,generator!$B$2:$B$295,generator!$K$2:$K$295,"ARGH")</f>
        <v>0</v>
      </c>
      <c r="V47" s="3">
        <f>_xlfn.XLOOKUP(V$1,generator!$B$2:$B$295,generator!$K$2:$K$295,"ARGH")</f>
        <v>0</v>
      </c>
      <c r="W47" s="3">
        <f>_xlfn.XLOOKUP(W$1,generator!$B$2:$B$295,generator!$K$2:$K$295,"ARGH")</f>
        <v>0</v>
      </c>
      <c r="X47" s="3">
        <f>_xlfn.XLOOKUP(X$1,generator!$B$2:$B$295,generator!$K$2:$K$295,"ARGH")</f>
        <v>0</v>
      </c>
      <c r="Y47" s="3">
        <f>_xlfn.XLOOKUP(Y$1,generator!$B$2:$B$295,generator!$K$2:$K$295,"ARGH")</f>
        <v>0</v>
      </c>
      <c r="Z47" s="3">
        <f>_xlfn.XLOOKUP(Z$1,generator!$B$2:$B$295,generator!$K$2:$K$295,"ARGH")</f>
        <v>0</v>
      </c>
      <c r="AA47" s="3">
        <f>_xlfn.XLOOKUP(AA$1,generator!$B$2:$B$295,generator!$K$2:$K$295,"ARGH")</f>
        <v>0</v>
      </c>
      <c r="AB47" s="3">
        <f>_xlfn.XLOOKUP(AB$1,generator!$B$2:$B$295,generator!$K$2:$K$295,"ARGH")</f>
        <v>0</v>
      </c>
      <c r="AC47" s="3">
        <f>_xlfn.XLOOKUP(AC$1,generator!$B$2:$B$295,generator!$K$2:$K$295,"ARGH")</f>
        <v>0</v>
      </c>
      <c r="AD47" s="3">
        <f>_xlfn.XLOOKUP(AD$1,generator!$B$2:$B$295,generator!$K$2:$K$295,"ARGH")</f>
        <v>0</v>
      </c>
      <c r="AE47" s="3">
        <f>_xlfn.XLOOKUP(AE$1,generator!$B$2:$B$295,generator!$K$2:$K$295,"ARGH")</f>
        <v>0</v>
      </c>
      <c r="AF47" s="3">
        <f>_xlfn.XLOOKUP(AF$1,generator!$B$2:$B$295,generator!$K$2:$K$295,"ARGH")</f>
        <v>0</v>
      </c>
      <c r="AG47" s="3">
        <f>_xlfn.XLOOKUP(AG$1,generator!$B$2:$B$295,generator!$K$2:$K$295,"ARGH")</f>
        <v>0</v>
      </c>
      <c r="AH47" s="3">
        <f>_xlfn.XLOOKUP(AH$1,generator!$B$2:$B$295,generator!$K$2:$K$295,"ARGH")</f>
        <v>0</v>
      </c>
      <c r="AI47" s="3">
        <f>_xlfn.XLOOKUP(AI$1,generator!$B$2:$B$295,generator!$K$2:$K$295,"ARGH")</f>
        <v>0</v>
      </c>
      <c r="AJ47" s="3">
        <f>_xlfn.XLOOKUP(AJ$1,generator!$B$2:$B$295,generator!$K$2:$K$295,"ARGH")</f>
        <v>0</v>
      </c>
      <c r="AK47" s="3">
        <f>_xlfn.XLOOKUP(AK$1,generator!$B$2:$B$295,generator!$K$2:$K$295,"ARGH")</f>
        <v>0</v>
      </c>
      <c r="AL47" s="3">
        <f>_xlfn.XLOOKUP(AL$1,generator!$B$2:$B$295,generator!$K$2:$K$295,"ARGH")</f>
        <v>0</v>
      </c>
      <c r="AM47" s="3">
        <f>_xlfn.XLOOKUP(AM$1,generator!$B$2:$B$295,generator!$K$2:$K$295,"ARGH")</f>
        <v>0</v>
      </c>
      <c r="AN47" s="3">
        <f>_xlfn.XLOOKUP(AN$1,generator!$B$2:$B$295,generator!$K$2:$K$295,"ARGH")</f>
        <v>0</v>
      </c>
      <c r="AO47" s="3">
        <f>_xlfn.XLOOKUP(AO$1,generator!$B$2:$B$295,generator!$K$2:$K$295,"ARGH")</f>
        <v>0</v>
      </c>
      <c r="AP47" s="3">
        <f>_xlfn.XLOOKUP(AP$1,generator!$B$2:$B$295,generator!$K$2:$K$295,"ARGH")</f>
        <v>0</v>
      </c>
      <c r="AQ47" s="3">
        <f>_xlfn.XLOOKUP(AQ$1,generator!$B$2:$B$295,generator!$K$2:$K$295,"ARGH")</f>
        <v>0</v>
      </c>
      <c r="AR47" s="3">
        <f>_xlfn.XLOOKUP(AR$1,generator!$B$2:$B$295,generator!$K$2:$K$295,"ARGH")</f>
        <v>0</v>
      </c>
      <c r="AS47" s="3">
        <f>_xlfn.XLOOKUP(AS$1,generator!$B$2:$B$295,generator!$K$2:$K$295,"ARGH")</f>
        <v>0</v>
      </c>
      <c r="AT47" s="3">
        <f>_xlfn.XLOOKUP(AT$1,generator!$B$2:$B$295,generator!$K$2:$K$295,"ARGH")</f>
        <v>0</v>
      </c>
      <c r="AU47" s="3">
        <f>_xlfn.XLOOKUP(AU$1,generator!$B$2:$B$295,generator!$K$2:$K$295,"ARGH")</f>
        <v>0</v>
      </c>
      <c r="AV47" s="3">
        <f>_xlfn.XLOOKUP(AV$1,generator!$B$2:$B$295,generator!$K$2:$K$295,"ARGH")</f>
        <v>0</v>
      </c>
      <c r="AW47" s="3">
        <f>_xlfn.XLOOKUP(AW$1,generator!$B$2:$B$295,generator!$K$2:$K$295,"ARGH")</f>
        <v>0</v>
      </c>
      <c r="AX47" s="3">
        <f>_xlfn.XLOOKUP(AX$1,generator!$B$2:$B$295,generator!$K$2:$K$295,"ARGH")</f>
        <v>0</v>
      </c>
      <c r="AY47" s="3">
        <f>_xlfn.XLOOKUP(AY$1,generator!$B$2:$B$295,generator!$K$2:$K$295,"ARGH")</f>
        <v>0</v>
      </c>
      <c r="AZ47" s="3">
        <f>_xlfn.XLOOKUP(AZ$1,generator!$B$2:$B$295,generator!$K$2:$K$295,"ARGH")</f>
        <v>0</v>
      </c>
      <c r="BA47" s="3">
        <f>_xlfn.XLOOKUP(BA$1,generator!$B$2:$B$295,generator!$K$2:$K$295,"ARGH")</f>
        <v>0</v>
      </c>
      <c r="BB47" s="3">
        <f>_xlfn.XLOOKUP(BB$1,generator!$B$2:$B$295,generator!$K$2:$K$295,"ARGH")</f>
        <v>0</v>
      </c>
      <c r="BC47" s="3">
        <f>_xlfn.XLOOKUP(BC$1,generator!$B$2:$B$295,generator!$K$2:$K$295,"ARGH")</f>
        <v>0</v>
      </c>
      <c r="BD47" s="3">
        <f>_xlfn.XLOOKUP(BD$1,generator!$B$2:$B$295,generator!$K$2:$K$295,"ARGH")</f>
        <v>0</v>
      </c>
      <c r="BE47" s="3">
        <f>_xlfn.XLOOKUP(BE$1,generator!$B$2:$B$295,generator!$K$2:$K$295,"ARGH")</f>
        <v>0</v>
      </c>
      <c r="BF47" s="3">
        <f>_xlfn.XLOOKUP(BF$1,generator!$B$2:$B$295,generator!$K$2:$K$295,"ARGH")</f>
        <v>0</v>
      </c>
      <c r="BG47" s="3">
        <f>_xlfn.XLOOKUP(BG$1,generator!$B$2:$B$295,generator!$K$2:$K$295,"ARGH")</f>
        <v>0</v>
      </c>
      <c r="BH47" s="3">
        <f>_xlfn.XLOOKUP(BH$1,generator!$B$2:$B$295,generator!$K$2:$K$295,"ARGH")</f>
        <v>0</v>
      </c>
      <c r="BI47" s="3">
        <f>_xlfn.XLOOKUP(BI$1,generator!$B$2:$B$295,generator!$K$2:$K$295,"ARGH")</f>
        <v>0</v>
      </c>
      <c r="BJ47" s="3">
        <f>_xlfn.XLOOKUP(BJ$1,generator!$B$2:$B$295,generator!$K$2:$K$295,"ARGH")</f>
        <v>0</v>
      </c>
      <c r="BK47" s="3">
        <f>_xlfn.XLOOKUP(BK$1,generator!$B$2:$B$295,generator!$K$2:$K$295,"ARGH")</f>
        <v>0</v>
      </c>
      <c r="BL47" s="3">
        <f>_xlfn.XLOOKUP(BL$1,generator!$B$2:$B$295,generator!$K$2:$K$295,"ARGH")</f>
        <v>0</v>
      </c>
      <c r="BM47" s="3">
        <f>_xlfn.XLOOKUP(BM$1,generator!$B$2:$B$295,generator!$K$2:$K$295,"ARGH")</f>
        <v>0</v>
      </c>
      <c r="BN47" s="3">
        <f>_xlfn.XLOOKUP(BN$1,generator!$B$2:$B$295,generator!$K$2:$K$295,"ARGH")</f>
        <v>0</v>
      </c>
      <c r="BO47" s="3">
        <f>_xlfn.XLOOKUP(BO$1,generator!$B$2:$B$295,generator!$K$2:$K$295,"ARGH")</f>
        <v>0</v>
      </c>
      <c r="BP47" s="3">
        <f>_xlfn.XLOOKUP(BP$1,generator!$B$2:$B$295,generator!$K$2:$K$295,"ARGH")</f>
        <v>0</v>
      </c>
      <c r="BQ47" s="3">
        <f>_xlfn.XLOOKUP(BQ$1,generator!$B$2:$B$295,generator!$K$2:$K$295,"ARGH")</f>
        <v>0</v>
      </c>
      <c r="BR47" s="3">
        <f>_xlfn.XLOOKUP(BR$1,generator!$B$2:$B$295,generator!$K$2:$K$295,"ARGH")</f>
        <v>0</v>
      </c>
      <c r="BS47" s="3">
        <f>_xlfn.XLOOKUP(BS$1,generator!$B$2:$B$295,generator!$K$2:$K$295,"ARGH")</f>
        <v>0</v>
      </c>
      <c r="BT47" s="3">
        <f>_xlfn.XLOOKUP(BT$1,generator!$B$2:$B$295,generator!$K$2:$K$295,"ARGH")</f>
        <v>0</v>
      </c>
      <c r="BU47" s="3">
        <f>_xlfn.XLOOKUP(BU$1,generator!$B$2:$B$295,generator!$K$2:$K$295,"ARGH")</f>
        <v>0</v>
      </c>
      <c r="BV47" s="3">
        <f>_xlfn.XLOOKUP(BV$1,generator!$B$2:$B$295,generator!$K$2:$K$295,"ARGH")</f>
        <v>0</v>
      </c>
      <c r="BW47" s="3">
        <f>_xlfn.XLOOKUP(BW$1,generator!$B$2:$B$295,generator!$K$2:$K$295,"ARGH")</f>
        <v>0</v>
      </c>
      <c r="BX47" s="3">
        <f>_xlfn.XLOOKUP(BX$1,generator!$B$2:$B$295,generator!$K$2:$K$295,"ARGH")</f>
        <v>0</v>
      </c>
      <c r="BY47" s="3">
        <f>_xlfn.XLOOKUP(BY$1,generator!$B$2:$B$295,generator!$K$2:$K$295,"ARGH")</f>
        <v>0</v>
      </c>
      <c r="BZ47" s="3">
        <f>_xlfn.XLOOKUP(BZ$1,generator!$B$2:$B$295,generator!$K$2:$K$295,"ARGH")</f>
        <v>0</v>
      </c>
      <c r="CA47" s="3">
        <f>_xlfn.XLOOKUP(CA$1,generator!$B$2:$B$295,generator!$K$2:$K$295,"ARGH")</f>
        <v>0</v>
      </c>
      <c r="CB47" s="3">
        <f>_xlfn.XLOOKUP(CB$1,generator!$B$2:$B$295,generator!$K$2:$K$295,"ARGH")</f>
        <v>0</v>
      </c>
      <c r="CC47" s="3">
        <f>_xlfn.XLOOKUP(CC$1,generator!$B$2:$B$295,generator!$K$2:$K$295,"ARGH")</f>
        <v>0</v>
      </c>
      <c r="CD47" s="3">
        <f>_xlfn.XLOOKUP(CD$1,generator!$B$2:$B$295,generator!$K$2:$K$295,"ARGH")</f>
        <v>0</v>
      </c>
      <c r="CE47" s="3">
        <f>_xlfn.XLOOKUP(CE$1,generator!$B$2:$B$295,generator!$K$2:$K$295,"ARGH")</f>
        <v>0</v>
      </c>
      <c r="CF47" s="3">
        <f>_xlfn.XLOOKUP(CF$1,generator!$B$2:$B$295,generator!$K$2:$K$295,"ARGH")</f>
        <v>0</v>
      </c>
      <c r="CG47" s="3">
        <f>_xlfn.XLOOKUP(CG$1,generator!$B$2:$B$295,generator!$K$2:$K$295,"ARGH")</f>
        <v>0</v>
      </c>
      <c r="CH47" s="3">
        <f>_xlfn.XLOOKUP(CH$1,generator!$B$2:$B$295,generator!$K$2:$K$295,"ARGH")</f>
        <v>0</v>
      </c>
      <c r="CI47" s="3">
        <f>_xlfn.XLOOKUP(CI$1,generator!$B$2:$B$295,generator!$K$2:$K$295,"ARGH")</f>
        <v>0</v>
      </c>
      <c r="CJ47" s="3">
        <f>_xlfn.XLOOKUP(CJ$1,generator!$B$2:$B$295,generator!$K$2:$K$295,"ARGH")</f>
        <v>0</v>
      </c>
      <c r="CK47" s="3">
        <f>_xlfn.XLOOKUP(CK$1,generator!$B$2:$B$295,generator!$K$2:$K$295,"ARGH")</f>
        <v>0</v>
      </c>
      <c r="CL47" s="3">
        <f>_xlfn.XLOOKUP(CL$1,generator!$B$2:$B$295,generator!$K$2:$K$295,"ARGH")</f>
        <v>0</v>
      </c>
      <c r="CM47" s="3">
        <f>_xlfn.XLOOKUP(CM$1,generator!$B$2:$B$295,generator!$K$2:$K$295,"ARGH")</f>
        <v>0</v>
      </c>
      <c r="CN47" s="3">
        <f>_xlfn.XLOOKUP(CN$1,generator!$B$2:$B$295,generator!$K$2:$K$295,"ARGH")</f>
        <v>0</v>
      </c>
      <c r="CO47" s="3">
        <f>_xlfn.XLOOKUP(CO$1,generator!$B$2:$B$295,generator!$K$2:$K$295,"ARGH")</f>
        <v>0</v>
      </c>
      <c r="CP47" s="3">
        <f>_xlfn.XLOOKUP(CP$1,generator!$B$2:$B$295,generator!$K$2:$K$295,"ARGH")</f>
        <v>0</v>
      </c>
      <c r="CQ47" s="3">
        <f>_xlfn.XLOOKUP(CQ$1,generator!$B$2:$B$295,generator!$K$2:$K$295,"ARGH")</f>
        <v>0</v>
      </c>
      <c r="CR47" s="3">
        <f>_xlfn.XLOOKUP(CR$1,generator!$B$2:$B$295,generator!$K$2:$K$295,"ARGH")</f>
        <v>0</v>
      </c>
      <c r="CS47" s="3">
        <f>_xlfn.XLOOKUP(CS$1,generator!$B$2:$B$295,generator!$K$2:$K$295,"ARGH")</f>
        <v>0</v>
      </c>
      <c r="CT47" s="3">
        <f>_xlfn.XLOOKUP(CT$1,generator!$B$2:$B$295,generator!$K$2:$K$295,"ARGH")</f>
        <v>0</v>
      </c>
      <c r="CU47" s="3">
        <f>_xlfn.XLOOKUP(CU$1,generator!$B$2:$B$295,generator!$K$2:$K$295,"ARGH")</f>
        <v>0</v>
      </c>
      <c r="CV47" s="3">
        <f>_xlfn.XLOOKUP(CV$1,generator!$B$2:$B$295,generator!$K$2:$K$295,"ARGH")</f>
        <v>0</v>
      </c>
      <c r="CW47" s="3">
        <f>_xlfn.XLOOKUP(CW$1,generator!$B$2:$B$295,generator!$K$2:$K$295,"ARGH")</f>
        <v>0</v>
      </c>
      <c r="CX47" s="3">
        <f>_xlfn.XLOOKUP(CX$1,generator!$B$2:$B$295,generator!$K$2:$K$295,"ARGH")</f>
        <v>0</v>
      </c>
      <c r="CY47" s="3">
        <f>_xlfn.XLOOKUP(CY$1,generator!$B$2:$B$295,generator!$K$2:$K$295,"ARGH")</f>
        <v>0</v>
      </c>
      <c r="CZ47" s="3">
        <f>_xlfn.XLOOKUP(CZ$1,generator!$B$2:$B$295,generator!$K$2:$K$295,"ARGH")</f>
        <v>0</v>
      </c>
      <c r="DA47" s="3">
        <f>_xlfn.XLOOKUP(DA$1,generator!$B$2:$B$295,generator!$K$2:$K$295,"ARGH")</f>
        <v>0</v>
      </c>
      <c r="DB47" s="3">
        <f>_xlfn.XLOOKUP(DB$1,generator!$B$2:$B$295,generator!$K$2:$K$295,"ARGH")</f>
        <v>0</v>
      </c>
      <c r="DC47" s="3">
        <f>_xlfn.XLOOKUP(DC$1,generator!$B$2:$B$295,generator!$K$2:$K$295,"ARGH")</f>
        <v>0</v>
      </c>
      <c r="DD47" s="3">
        <f>_xlfn.XLOOKUP(DD$1,generator!$B$2:$B$295,generator!$K$2:$K$295,"ARGH")</f>
        <v>0</v>
      </c>
      <c r="DE47" s="3">
        <f>_xlfn.XLOOKUP(DE$1,generator!$B$2:$B$295,generator!$K$2:$K$295,"ARGH")</f>
        <v>0</v>
      </c>
      <c r="DF47" s="3">
        <f>_xlfn.XLOOKUP(DF$1,generator!$B$2:$B$295,generator!$K$2:$K$295,"ARGH")</f>
        <v>0</v>
      </c>
      <c r="DG47" s="3">
        <f>_xlfn.XLOOKUP(DG$1,generator!$B$2:$B$295,generator!$K$2:$K$295,"ARGH")</f>
        <v>0</v>
      </c>
      <c r="DH47" s="3">
        <f>_xlfn.XLOOKUP(DH$1,generator!$B$2:$B$295,generator!$K$2:$K$295,"ARGH")</f>
        <v>0</v>
      </c>
      <c r="DI47" s="3">
        <f>_xlfn.XLOOKUP(DI$1,generator!$B$2:$B$295,generator!$K$2:$K$295,"ARGH")</f>
        <v>0</v>
      </c>
      <c r="DJ47" s="3">
        <f>_xlfn.XLOOKUP(DJ$1,generator!$B$2:$B$295,generator!$K$2:$K$295,"ARGH")</f>
        <v>0</v>
      </c>
      <c r="DK47" s="3">
        <f>_xlfn.XLOOKUP(DK$1,generator!$B$2:$B$295,generator!$K$2:$K$295,"ARGH")</f>
        <v>0</v>
      </c>
      <c r="DL47" s="3">
        <f>_xlfn.XLOOKUP(DL$1,generator!$B$2:$B$295,generator!$K$2:$K$295,"ARGH")</f>
        <v>0</v>
      </c>
      <c r="DM47" s="3">
        <f>_xlfn.XLOOKUP(DM$1,generator!$B$2:$B$295,generator!$K$2:$K$295,"ARGH")</f>
        <v>0</v>
      </c>
      <c r="DN47" s="3">
        <f>_xlfn.XLOOKUP(DN$1,generator!$B$2:$B$295,generator!$K$2:$K$295,"ARGH")</f>
        <v>0</v>
      </c>
      <c r="DO47" s="3">
        <f>_xlfn.XLOOKUP(DO$1,generator!$B$2:$B$295,generator!$K$2:$K$295,"ARGH")</f>
        <v>0</v>
      </c>
      <c r="DP47" s="3">
        <f>_xlfn.XLOOKUP(DP$1,generator!$B$2:$B$295,generator!$K$2:$K$295,"ARGH")</f>
        <v>0</v>
      </c>
      <c r="DQ47" s="3">
        <f>_xlfn.XLOOKUP(DQ$1,generator!$B$2:$B$295,generator!$K$2:$K$295,"ARGH")</f>
        <v>0</v>
      </c>
      <c r="DR47" s="3">
        <f>_xlfn.XLOOKUP(DR$1,generator!$B$2:$B$295,generator!$K$2:$K$295,"ARGH")</f>
        <v>0</v>
      </c>
      <c r="DS47" s="3">
        <f>_xlfn.XLOOKUP(DS$1,generator!$B$2:$B$295,generator!$K$2:$K$295,"ARGH")</f>
        <v>0</v>
      </c>
      <c r="DT47" s="3">
        <f>_xlfn.XLOOKUP(DT$1,generator!$B$2:$B$295,generator!$K$2:$K$295,"ARGH")</f>
        <v>0</v>
      </c>
      <c r="DU47" s="3">
        <f>_xlfn.XLOOKUP(DU$1,generator!$B$2:$B$295,generator!$K$2:$K$295,"ARGH")</f>
        <v>0</v>
      </c>
      <c r="DV47" s="3">
        <f>_xlfn.XLOOKUP(DV$1,generator!$B$2:$B$295,generator!$K$2:$K$295,"ARGH")</f>
        <v>0</v>
      </c>
      <c r="DW47" s="3">
        <f>_xlfn.XLOOKUP(DW$1,generator!$B$2:$B$295,generator!$K$2:$K$295,"ARGH")</f>
        <v>0</v>
      </c>
      <c r="DX47" s="3">
        <f>_xlfn.XLOOKUP(DX$1,generator!$B$2:$B$295,generator!$K$2:$K$295,"ARGH")</f>
        <v>0</v>
      </c>
      <c r="DY47" s="3">
        <f>_xlfn.XLOOKUP(DY$1,generator!$B$2:$B$295,generator!$K$2:$K$295,"ARGH")</f>
        <v>0</v>
      </c>
      <c r="DZ47" s="3">
        <f>_xlfn.XLOOKUP(DZ$1,generator!$B$2:$B$295,generator!$K$2:$K$295,"ARGH")</f>
        <v>0</v>
      </c>
      <c r="EA47" s="3">
        <f>_xlfn.XLOOKUP(EA$1,generator!$B$2:$B$295,generator!$K$2:$K$295,"ARGH")</f>
        <v>0</v>
      </c>
      <c r="EB47" s="3">
        <f>_xlfn.XLOOKUP(EB$1,generator!$B$2:$B$295,generator!$K$2:$K$295,"ARGH")</f>
        <v>0</v>
      </c>
      <c r="EC47" s="3">
        <f>_xlfn.XLOOKUP(EC$1,generator!$B$2:$B$295,generator!$K$2:$K$295,"ARGH")</f>
        <v>0</v>
      </c>
      <c r="ED47" s="3">
        <f>_xlfn.XLOOKUP(ED$1,generator!$B$2:$B$295,generator!$K$2:$K$295,"ARGH")</f>
        <v>0</v>
      </c>
      <c r="EE47" s="3">
        <f>_xlfn.XLOOKUP(EE$1,generator!$B$2:$B$295,generator!$K$2:$K$295,"ARGH")</f>
        <v>0</v>
      </c>
      <c r="EF47" s="3">
        <f>_xlfn.XLOOKUP(EF$1,generator!$B$2:$B$295,generator!$K$2:$K$295,"ARGH")</f>
        <v>0</v>
      </c>
      <c r="EG47" s="3">
        <f>_xlfn.XLOOKUP(EG$1,generator!$B$2:$B$295,generator!$K$2:$K$295,"ARGH")</f>
        <v>0</v>
      </c>
      <c r="EH47" s="3">
        <f>_xlfn.XLOOKUP(EH$1,generator!$B$2:$B$295,generator!$K$2:$K$295,"ARGH")</f>
        <v>0</v>
      </c>
      <c r="EI47" s="3">
        <f>_xlfn.XLOOKUP(EI$1,generator!$B$2:$B$295,generator!$K$2:$K$295,"ARGH")</f>
        <v>0</v>
      </c>
      <c r="EJ47" s="3">
        <f>_xlfn.XLOOKUP(EJ$1,generator!$B$2:$B$295,generator!$K$2:$K$295,"ARGH")</f>
        <v>0</v>
      </c>
      <c r="EK47" s="3">
        <f>_xlfn.XLOOKUP(EK$1,generator!$B$2:$B$295,generator!$K$2:$K$295,"ARGH")</f>
        <v>0</v>
      </c>
      <c r="EL47" s="3">
        <f>_xlfn.XLOOKUP(EL$1,generator!$B$2:$B$295,generator!$K$2:$K$295,"ARGH")</f>
        <v>0</v>
      </c>
      <c r="EM47" s="3">
        <f>_xlfn.XLOOKUP(EM$1,generator!$B$2:$B$295,generator!$K$2:$K$295,"ARGH")</f>
        <v>0</v>
      </c>
      <c r="EN47" s="3">
        <f>_xlfn.XLOOKUP(EN$1,generator!$B$2:$B$295,generator!$K$2:$K$295,"ARGH")</f>
        <v>0</v>
      </c>
      <c r="EO47" s="3">
        <f>_xlfn.XLOOKUP(EO$1,generator!$B$2:$B$295,generator!$K$2:$K$295,"ARGH")</f>
        <v>0</v>
      </c>
      <c r="EP47" s="3">
        <f>_xlfn.XLOOKUP(EP$1,generator!$B$2:$B$295,generator!$K$2:$K$295,"ARGH")</f>
        <v>0</v>
      </c>
      <c r="EQ47" s="3">
        <f>_xlfn.XLOOKUP(EQ$1,generator!$B$2:$B$295,generator!$K$2:$K$295,"ARGH")</f>
        <v>0</v>
      </c>
      <c r="ER47" s="3">
        <f>_xlfn.XLOOKUP(ER$1,generator!$B$2:$B$295,generator!$K$2:$K$295,"ARGH")</f>
        <v>0</v>
      </c>
      <c r="ES47" s="3">
        <f>_xlfn.XLOOKUP(ES$1,generator!$B$2:$B$295,generator!$K$2:$K$295,"ARGH")</f>
        <v>0</v>
      </c>
      <c r="ET47" s="3">
        <f>_xlfn.XLOOKUP(ET$1,generator!$B$2:$B$295,generator!$K$2:$K$295,"ARGH")</f>
        <v>0</v>
      </c>
      <c r="EU47" s="3">
        <f>_xlfn.XLOOKUP(EU$1,generator!$B$2:$B$295,generator!$K$2:$K$295,"ARGH")</f>
        <v>0</v>
      </c>
      <c r="EV47" s="3">
        <f>_xlfn.XLOOKUP(EV$1,generator!$B$2:$B$295,generator!$K$2:$K$295,"ARGH")</f>
        <v>0</v>
      </c>
      <c r="EW47" s="3">
        <f>_xlfn.XLOOKUP(EW$1,generator!$B$2:$B$295,generator!$K$2:$K$295,"ARGH")</f>
        <v>0</v>
      </c>
      <c r="EX47" s="3">
        <f>_xlfn.XLOOKUP(EX$1,generator!$B$2:$B$295,generator!$K$2:$K$295,"ARGH")</f>
        <v>0</v>
      </c>
      <c r="EY47" s="3">
        <f>_xlfn.XLOOKUP(EY$1,generator!$B$2:$B$295,generator!$K$2:$K$295,"ARGH")</f>
        <v>0</v>
      </c>
      <c r="EZ47" s="3">
        <f>_xlfn.XLOOKUP(EZ$1,generator!$B$2:$B$295,generator!$K$2:$K$295,"ARGH")</f>
        <v>0</v>
      </c>
      <c r="FA47" s="3">
        <f>_xlfn.XLOOKUP(FA$1,generator!$B$2:$B$295,generator!$K$2:$K$295,"ARGH")</f>
        <v>0</v>
      </c>
      <c r="FB47" s="3">
        <f>_xlfn.XLOOKUP(FB$1,generator!$B$2:$B$295,generator!$K$2:$K$295,"ARGH")</f>
        <v>0</v>
      </c>
      <c r="FC47" s="3">
        <f>_xlfn.XLOOKUP(FC$1,generator!$B$2:$B$295,generator!$K$2:$K$295,"ARGH")</f>
        <v>0</v>
      </c>
      <c r="FD47" s="3">
        <f>_xlfn.XLOOKUP(FD$1,generator!$B$2:$B$295,generator!$K$2:$K$295,"ARGH")</f>
        <v>0</v>
      </c>
      <c r="FE47" s="3">
        <f>_xlfn.XLOOKUP(FE$1,generator!$B$2:$B$295,generator!$K$2:$K$295,"ARGH")</f>
        <v>0</v>
      </c>
      <c r="FF47" s="3">
        <f>_xlfn.XLOOKUP(FF$1,generator!$B$2:$B$295,generator!$K$2:$K$295,"ARGH")</f>
        <v>0</v>
      </c>
      <c r="FG47" s="3">
        <f>_xlfn.XLOOKUP(FG$1,generator!$B$2:$B$295,generator!$K$2:$K$295,"ARGH")</f>
        <v>0</v>
      </c>
      <c r="FH47" s="3">
        <f>_xlfn.XLOOKUP(FH$1,generator!$B$2:$B$295,generator!$K$2:$K$295,"ARGH")</f>
        <v>0</v>
      </c>
      <c r="FI47" s="3">
        <f>_xlfn.XLOOKUP(FI$1,generator!$B$2:$B$295,generator!$K$2:$K$295,"ARGH")</f>
        <v>0</v>
      </c>
      <c r="FJ47" s="3">
        <f>_xlfn.XLOOKUP(FJ$1,generator!$B$2:$B$295,generator!$K$2:$K$295,"ARGH")</f>
        <v>0</v>
      </c>
      <c r="FK47" s="3">
        <f>_xlfn.XLOOKUP(FK$1,generator!$B$2:$B$295,generator!$K$2:$K$295,"ARGH")</f>
        <v>0</v>
      </c>
      <c r="FL47" s="3">
        <f>_xlfn.XLOOKUP(FL$1,generator!$B$2:$B$295,generator!$K$2:$K$295,"ARGH")</f>
        <v>0</v>
      </c>
      <c r="FM47" s="3">
        <f>_xlfn.XLOOKUP(FM$1,generator!$B$2:$B$295,generator!$K$2:$K$295,"ARGH")</f>
        <v>0</v>
      </c>
      <c r="FN47" s="3">
        <f>_xlfn.XLOOKUP(FN$1,generator!$B$2:$B$295,generator!$K$2:$K$295,"ARGH")</f>
        <v>0</v>
      </c>
      <c r="FO47" s="3">
        <f>_xlfn.XLOOKUP(FO$1,generator!$B$2:$B$295,generator!$K$2:$K$295,"ARGH")</f>
        <v>0</v>
      </c>
      <c r="FP47" s="3">
        <f>_xlfn.XLOOKUP(FP$1,generator!$B$2:$B$295,generator!$K$2:$K$295,"ARGH")</f>
        <v>0</v>
      </c>
      <c r="FQ47" s="3">
        <f>_xlfn.XLOOKUP(FQ$1,generator!$B$2:$B$295,generator!$K$2:$K$295,"ARGH")</f>
        <v>0</v>
      </c>
      <c r="FR47" s="3">
        <f>_xlfn.XLOOKUP(FR$1,generator!$B$2:$B$295,generator!$K$2:$K$295,"ARGH")</f>
        <v>0</v>
      </c>
      <c r="FS47" s="3">
        <f>_xlfn.XLOOKUP(FS$1,generator!$B$2:$B$295,generator!$K$2:$K$295,"ARGH")</f>
        <v>0</v>
      </c>
      <c r="FT47" s="3">
        <f>_xlfn.XLOOKUP(FT$1,generator!$B$2:$B$295,generator!$K$2:$K$295,"ARGH")</f>
        <v>0</v>
      </c>
      <c r="FU47" s="3">
        <f>_xlfn.XLOOKUP(FU$1,generator!$B$2:$B$295,generator!$K$2:$K$295,"ARGH")</f>
        <v>0</v>
      </c>
      <c r="FV47" s="3">
        <f>_xlfn.XLOOKUP(FV$1,generator!$B$2:$B$295,generator!$K$2:$K$295,"ARGH")</f>
        <v>0</v>
      </c>
      <c r="FW47" s="3">
        <f>_xlfn.XLOOKUP(FW$1,generator!$B$2:$B$295,generator!$K$2:$K$295,"ARGH")</f>
        <v>0</v>
      </c>
      <c r="FX47" s="3">
        <f>_xlfn.XLOOKUP(FX$1,generator!$B$2:$B$295,generator!$K$2:$K$295,"ARGH")</f>
        <v>0</v>
      </c>
      <c r="FY47" s="3">
        <f>_xlfn.XLOOKUP(FY$1,generator!$B$2:$B$295,generator!$K$2:$K$295,"ARGH")</f>
        <v>0</v>
      </c>
      <c r="FZ47" s="3">
        <f>_xlfn.XLOOKUP(FZ$1,generator!$B$2:$B$295,generator!$K$2:$K$295,"ARGH")</f>
        <v>0</v>
      </c>
      <c r="GA47" s="3">
        <f>_xlfn.XLOOKUP(GA$1,generator!$B$2:$B$295,generator!$K$2:$K$295,"ARGH")</f>
        <v>0</v>
      </c>
      <c r="GB47" s="3">
        <f>_xlfn.XLOOKUP(GB$1,generator!$B$2:$B$295,generator!$K$2:$K$295,"ARGH")</f>
        <v>0</v>
      </c>
      <c r="GC47" s="3">
        <f>_xlfn.XLOOKUP(GC$1,generator!$B$2:$B$295,generator!$K$2:$K$295,"ARGH")</f>
        <v>0</v>
      </c>
      <c r="GD47" s="3">
        <f>_xlfn.XLOOKUP(GD$1,generator!$B$2:$B$295,generator!$K$2:$K$295,"ARGH")</f>
        <v>0</v>
      </c>
      <c r="GE47" s="3">
        <f>_xlfn.XLOOKUP(GE$1,generator!$B$2:$B$295,generator!$K$2:$K$295,"ARGH")</f>
        <v>0</v>
      </c>
      <c r="GF47" s="3">
        <f>_xlfn.XLOOKUP(GF$1,generator!$B$2:$B$295,generator!$K$2:$K$295,"ARGH")</f>
        <v>0</v>
      </c>
      <c r="GG47" s="3">
        <f>_xlfn.XLOOKUP(GG$1,generator!$B$2:$B$295,generator!$K$2:$K$295,"ARGH")</f>
        <v>0</v>
      </c>
      <c r="GH47" s="3">
        <f>_xlfn.XLOOKUP(GH$1,generator!$B$2:$B$295,generator!$K$2:$K$295,"ARGH")</f>
        <v>0</v>
      </c>
      <c r="GI47" s="3">
        <f>_xlfn.XLOOKUP(GI$1,generator!$B$2:$B$295,generator!$K$2:$K$295,"ARGH")</f>
        <v>0</v>
      </c>
      <c r="GJ47" s="3">
        <f>_xlfn.XLOOKUP(GJ$1,generator!$B$2:$B$295,generator!$K$2:$K$295,"ARGH")</f>
        <v>0</v>
      </c>
      <c r="GK47" s="3">
        <f>_xlfn.XLOOKUP(GK$1,generator!$B$2:$B$295,generator!$K$2:$K$295,"ARGH")</f>
        <v>0</v>
      </c>
      <c r="GL47" s="3">
        <f>_xlfn.XLOOKUP(GL$1,generator!$B$2:$B$295,generator!$K$2:$K$295,"ARGH")</f>
        <v>0</v>
      </c>
      <c r="GM47" s="3">
        <f>_xlfn.XLOOKUP(GM$1,generator!$B$2:$B$295,generator!$K$2:$K$295,"ARGH")</f>
        <v>0</v>
      </c>
      <c r="GN47" s="3">
        <f>_xlfn.XLOOKUP(GN$1,generator!$B$2:$B$295,generator!$K$2:$K$295,"ARGH")</f>
        <v>0</v>
      </c>
      <c r="GO47" s="3">
        <f>_xlfn.XLOOKUP(GO$1,generator!$B$2:$B$295,generator!$K$2:$K$295,"ARGH")</f>
        <v>0</v>
      </c>
      <c r="GP47" s="3">
        <f>_xlfn.XLOOKUP(GP$1,generator!$B$2:$B$295,generator!$K$2:$K$295,"ARGH")</f>
        <v>0</v>
      </c>
      <c r="GQ47" s="3">
        <f>_xlfn.XLOOKUP(GQ$1,generator!$B$2:$B$295,generator!$K$2:$K$295,"ARGH")</f>
        <v>0</v>
      </c>
      <c r="GR47" s="3">
        <f>_xlfn.XLOOKUP(GR$1,generator!$B$2:$B$295,generator!$K$2:$K$295,"ARGH")</f>
        <v>0</v>
      </c>
      <c r="GS47" s="3">
        <f>_xlfn.XLOOKUP(GS$1,generator!$B$2:$B$295,generator!$K$2:$K$295,"ARGH")</f>
        <v>0</v>
      </c>
      <c r="GT47" s="3">
        <f>_xlfn.XLOOKUP(GT$1,generator!$B$2:$B$295,generator!$K$2:$K$295,"ARGH")</f>
        <v>0</v>
      </c>
      <c r="GU47" s="3">
        <f>_xlfn.XLOOKUP(GU$1,generator!$B$2:$B$295,generator!$K$2:$K$295,"ARGH")</f>
        <v>0</v>
      </c>
      <c r="GV47" s="3">
        <f>_xlfn.XLOOKUP(GV$1,generator!$B$2:$B$295,generator!$K$2:$K$295,"ARGH")</f>
        <v>0</v>
      </c>
      <c r="GW47" s="3">
        <f>_xlfn.XLOOKUP(GW$1,generator!$B$2:$B$295,generator!$K$2:$K$295,"ARGH")</f>
        <v>0</v>
      </c>
      <c r="GX47" s="3">
        <f>_xlfn.XLOOKUP(GX$1,generator!$B$2:$B$295,generator!$K$2:$K$295,"ARGH")</f>
        <v>0</v>
      </c>
      <c r="GY47" s="3">
        <f>_xlfn.XLOOKUP(GY$1,generator!$B$2:$B$295,generator!$K$2:$K$295,"ARGH")</f>
        <v>0</v>
      </c>
      <c r="GZ47" s="3">
        <f>_xlfn.XLOOKUP(GZ$1,generator!$B$2:$B$295,generator!$K$2:$K$295,"ARGH")</f>
        <v>0</v>
      </c>
      <c r="HA47" s="3">
        <f>_xlfn.XLOOKUP(HA$1,generator!$B$2:$B$295,generator!$K$2:$K$295,"ARGH")</f>
        <v>0</v>
      </c>
      <c r="HB47" s="3">
        <f>_xlfn.XLOOKUP(HB$1,generator!$B$2:$B$295,generator!$K$2:$K$295,"ARGH")</f>
        <v>0</v>
      </c>
      <c r="HC47" s="3">
        <f>_xlfn.XLOOKUP(HC$1,generator!$B$2:$B$295,generator!$K$2:$K$295,"ARGH")</f>
        <v>0</v>
      </c>
      <c r="HD47" s="3">
        <f>_xlfn.XLOOKUP(HD$1,generator!$B$2:$B$295,generator!$K$2:$K$295,"ARGH")</f>
        <v>0</v>
      </c>
      <c r="HE47" s="3">
        <f>_xlfn.XLOOKUP(HE$1,generator!$B$2:$B$295,generator!$K$2:$K$295,"ARGH")</f>
        <v>12.74</v>
      </c>
      <c r="HF47" s="3">
        <f>_xlfn.XLOOKUP(HF$1,generator!$B$2:$B$295,generator!$K$2:$K$295,"ARGH")</f>
        <v>99</v>
      </c>
      <c r="HG47" s="3">
        <f>_xlfn.XLOOKUP(HG$1,generator!$B$2:$B$295,generator!$K$2:$K$295,"ARGH")</f>
        <v>99</v>
      </c>
      <c r="HH47" s="3">
        <f>_xlfn.XLOOKUP(HH$1,generator!$B$2:$B$295,generator!$K$2:$K$295,"ARGH")</f>
        <v>99</v>
      </c>
      <c r="HI47" s="3">
        <f>_xlfn.XLOOKUP(HI$1,generator!$B$2:$B$295,generator!$K$2:$K$295,"ARGH")</f>
        <v>8</v>
      </c>
      <c r="HJ47" s="3">
        <f>_xlfn.XLOOKUP(HJ$1,generator!$B$2:$B$295,generator!$K$2:$K$295,"ARGH")</f>
        <v>8</v>
      </c>
      <c r="HK47" s="3">
        <f>_xlfn.XLOOKUP(HK$1,generator!$B$2:$B$295,generator!$K$2:$K$295,"ARGH")</f>
        <v>8</v>
      </c>
      <c r="HL47" s="3">
        <f>_xlfn.XLOOKUP(HL$1,generator!$B$2:$B$295,generator!$K$2:$K$295,"ARGH")</f>
        <v>20</v>
      </c>
      <c r="HM47" s="3">
        <f>_xlfn.XLOOKUP(HM$1,generator!$B$2:$B$295,generator!$K$2:$K$295,"ARGH")</f>
        <v>20</v>
      </c>
      <c r="HN47" s="3">
        <f>_xlfn.XLOOKUP(HN$1,generator!$B$2:$B$295,generator!$K$2:$K$295,"ARGH")</f>
        <v>5</v>
      </c>
      <c r="HO47" s="3">
        <f>_xlfn.XLOOKUP(HO$1,generator!$B$2:$B$295,generator!$K$2:$K$295,"ARGH")</f>
        <v>5</v>
      </c>
      <c r="HP47" s="3">
        <f>_xlfn.XLOOKUP(HP$1,generator!$B$2:$B$295,generator!$K$2:$K$295,"ARGH")</f>
        <v>0.2</v>
      </c>
      <c r="HQ47" s="3">
        <f>_xlfn.XLOOKUP(HQ$1,generator!$B$2:$B$295,generator!$K$2:$K$295,"ARGH")</f>
        <v>5</v>
      </c>
      <c r="HR47" s="3">
        <f>_xlfn.XLOOKUP(HR$1,generator!$B$2:$B$295,generator!$K$2:$K$295,"ARGH")</f>
        <v>5</v>
      </c>
      <c r="HS47" s="3">
        <f>_xlfn.XLOOKUP(HS$1,generator!$B$2:$B$295,generator!$K$2:$K$295,"ARGH")</f>
        <v>12.82</v>
      </c>
      <c r="HT47" s="3">
        <f>_xlfn.XLOOKUP(HT$1,generator!$B$2:$B$295,generator!$K$2:$K$295,"ARGH")</f>
        <v>12.82</v>
      </c>
      <c r="HU47" s="3">
        <f>_xlfn.XLOOKUP(HU$1,generator!$B$2:$B$295,generator!$K$2:$K$295,"ARGH")</f>
        <v>25</v>
      </c>
      <c r="HV47" s="3">
        <f>_xlfn.XLOOKUP(HV$1,generator!$B$2:$B$295,generator!$K$2:$K$295,"ARGH")</f>
        <v>16</v>
      </c>
      <c r="HW47" s="3">
        <f>_xlfn.XLOOKUP(HW$1,generator!$B$2:$B$295,generator!$K$2:$K$295,"ARGH")</f>
        <v>5</v>
      </c>
      <c r="HX47" s="3">
        <f>_xlfn.XLOOKUP(HX$1,generator!$B$2:$B$295,generator!$K$2:$K$295,"ARGH")</f>
        <v>5</v>
      </c>
      <c r="HY47" s="3">
        <f>_xlfn.XLOOKUP(HY$1,generator!$B$2:$B$295,generator!$K$2:$K$295,"ARGH")</f>
        <v>63</v>
      </c>
      <c r="HZ47" s="3">
        <f>_xlfn.XLOOKUP(HZ$1,generator!$B$2:$B$295,generator!$K$2:$K$295,"ARGH")</f>
        <v>18</v>
      </c>
      <c r="IA47" s="3">
        <f>_xlfn.XLOOKUP(IA$1,generator!$B$2:$B$295,generator!$K$2:$K$295,"ARGH")</f>
        <v>121</v>
      </c>
      <c r="IB47" s="3">
        <f>_xlfn.XLOOKUP(IB$1,generator!$B$2:$B$295,generator!$K$2:$K$295,"ARGH")</f>
        <v>120</v>
      </c>
      <c r="IC47" s="3">
        <f>_xlfn.XLOOKUP(IC$1,generator!$B$2:$B$295,generator!$K$2:$K$295,"ARGH")</f>
        <v>0</v>
      </c>
      <c r="ID47" s="3">
        <f>_xlfn.XLOOKUP(ID$1,generator!$B$2:$B$295,generator!$K$2:$K$295,"ARGH")</f>
        <v>17</v>
      </c>
      <c r="IE47" s="3">
        <f>_xlfn.XLOOKUP(IE$1,generator!$B$2:$B$295,generator!$K$2:$K$295,"ARGH")</f>
        <v>194</v>
      </c>
      <c r="IF47" s="3">
        <f>_xlfn.XLOOKUP(IF$1,generator!$B$2:$B$295,generator!$K$2:$K$295,"ARGH")</f>
        <v>11.9</v>
      </c>
      <c r="IG47" s="3">
        <f>_xlfn.XLOOKUP(IG$1,generator!$B$2:$B$295,generator!$K$2:$K$295,"ARGH")</f>
        <v>11.9</v>
      </c>
      <c r="IH47" s="3">
        <f>_xlfn.XLOOKUP(IH$1,generator!$B$2:$B$295,generator!$K$2:$K$295,"ARGH")</f>
        <v>11.9</v>
      </c>
      <c r="II47" s="3">
        <f>_xlfn.XLOOKUP(II$1,generator!$B$2:$B$295,generator!$K$2:$K$295,"ARGH")</f>
        <v>11.9</v>
      </c>
      <c r="IJ47" s="3">
        <f>_xlfn.XLOOKUP(IJ$1,generator!$B$2:$B$295,generator!$K$2:$K$295,"ARGH")</f>
        <v>0</v>
      </c>
      <c r="IK47" s="3">
        <f>_xlfn.XLOOKUP(IK$1,generator!$B$2:$B$295,generator!$K$2:$K$295,"ARGH")</f>
        <v>3</v>
      </c>
      <c r="IL47" s="3">
        <f>_xlfn.XLOOKUP(IL$1,generator!$B$2:$B$295,generator!$K$2:$K$295,"ARGH")</f>
        <v>5</v>
      </c>
      <c r="IM47" s="3">
        <f>_xlfn.XLOOKUP(IM$1,generator!$B$2:$B$295,generator!$K$2:$K$295,"ARGH")</f>
        <v>5</v>
      </c>
      <c r="IN47" s="3">
        <f>_xlfn.XLOOKUP(IN$1,generator!$B$2:$B$295,generator!$K$2:$K$295,"ARGH")</f>
        <v>4</v>
      </c>
      <c r="IO47" s="3">
        <f>_xlfn.XLOOKUP(IO$1,generator!$B$2:$B$295,generator!$K$2:$K$295,"ARGH")</f>
        <v>4</v>
      </c>
      <c r="IP47" s="3">
        <f>_xlfn.XLOOKUP(IP$1,generator!$B$2:$B$295,generator!$K$2:$K$295,"ARGH")</f>
        <v>3</v>
      </c>
      <c r="IQ47" s="3">
        <f>_xlfn.XLOOKUP(IQ$1,generator!$B$2:$B$295,generator!$K$2:$K$295,"ARGH")</f>
        <v>1</v>
      </c>
      <c r="IR47" s="3">
        <f>_xlfn.XLOOKUP(IR$1,generator!$B$2:$B$295,generator!$K$2:$K$295,"ARGH")</f>
        <v>3</v>
      </c>
      <c r="IS47" s="3">
        <f>_xlfn.XLOOKUP(IS$1,generator!$B$2:$B$295,generator!$K$2:$K$295,"ARGH")</f>
        <v>3</v>
      </c>
      <c r="IT47" s="3">
        <f>_xlfn.XLOOKUP(IT$1,generator!$B$2:$B$295,generator!$K$2:$K$295,"ARGH")</f>
        <v>0</v>
      </c>
      <c r="IU47" s="3">
        <f>_xlfn.XLOOKUP(IU$1,generator!$B$2:$B$295,generator!$K$2:$K$295,"ARGH")</f>
        <v>3.99</v>
      </c>
      <c r="IV47" s="3">
        <f>_xlfn.XLOOKUP(IV$1,generator!$B$2:$B$295,generator!$K$2:$K$295,"ARGH")</f>
        <v>0.2</v>
      </c>
      <c r="IW47" s="3">
        <f>_xlfn.XLOOKUP(IW$1,generator!$B$2:$B$295,generator!$K$2:$K$295,"ARGH")</f>
        <v>15</v>
      </c>
      <c r="IX47" s="3">
        <f>_xlfn.XLOOKUP(IX$1,generator!$B$2:$B$295,generator!$K$2:$K$295,"ARGH")</f>
        <v>15</v>
      </c>
      <c r="IY47" s="3">
        <f>_xlfn.XLOOKUP(IY$1,generator!$B$2:$B$295,generator!$K$2:$K$295,"ARGH")</f>
        <v>15</v>
      </c>
      <c r="IZ47" s="3">
        <f>_xlfn.XLOOKUP(IZ$1,generator!$B$2:$B$295,generator!$K$2:$K$295,"ARGH")</f>
        <v>120</v>
      </c>
      <c r="JA47" s="3">
        <f>_xlfn.XLOOKUP(JA$1,generator!$B$2:$B$295,generator!$K$2:$K$295,"ARGH")</f>
        <v>40</v>
      </c>
      <c r="JB47" s="3">
        <f>_xlfn.XLOOKUP(JB$1,generator!$B$2:$B$295,generator!$K$2:$K$295,"ARGH")</f>
        <v>40</v>
      </c>
      <c r="JC47" s="3">
        <f>_xlfn.XLOOKUP(JC$1,generator!$B$2:$B$295,generator!$K$2:$K$295,"ARGH")</f>
        <v>113</v>
      </c>
      <c r="JD47" s="3">
        <f>_xlfn.XLOOKUP(JD$1,generator!$B$2:$B$295,generator!$K$2:$K$295,"ARGH")</f>
        <v>113</v>
      </c>
      <c r="JE47" s="3">
        <f>_xlfn.XLOOKUP(JE$1,generator!$B$2:$B$295,generator!$K$2:$K$295,"ARGH")</f>
        <v>211</v>
      </c>
      <c r="JF47" s="3">
        <f>_xlfn.XLOOKUP(JF$1,generator!$B$2:$B$295,generator!$K$2:$K$295,"ARGH")</f>
        <v>22.5</v>
      </c>
      <c r="JG47" s="3">
        <f>_xlfn.XLOOKUP(JG$1,generator!$B$2:$B$295,generator!$K$2:$K$295,"ARGH")</f>
        <v>1</v>
      </c>
      <c r="JH47" s="3">
        <f>_xlfn.XLOOKUP(JH$1,generator!$B$2:$B$295,generator!$K$2:$K$295,"ARGH")</f>
        <v>160</v>
      </c>
      <c r="JI47" s="3">
        <f>_xlfn.XLOOKUP(JI$1,generator!$B$2:$B$295,generator!$K$2:$K$295,"ARGH")</f>
        <v>165</v>
      </c>
      <c r="JJ47" s="3">
        <f>_xlfn.XLOOKUP(JJ$1,generator!$B$2:$B$295,generator!$K$2:$K$295,"ARGH")</f>
        <v>4.5999999999999996</v>
      </c>
      <c r="JK47" s="3">
        <f>_xlfn.XLOOKUP(JK$1,generator!$B$2:$B$295,generator!$K$2:$K$295,"ARGH")</f>
        <v>4.5999999999999996</v>
      </c>
      <c r="JL47" s="3">
        <f>_xlfn.XLOOKUP(JL$1,generator!$B$2:$B$295,generator!$K$2:$K$295,"ARGH")</f>
        <v>4.5999999999999996</v>
      </c>
      <c r="JM47" s="3">
        <f>_xlfn.XLOOKUP(JM$1,generator!$B$2:$B$295,generator!$K$2:$K$295,"ARGH")</f>
        <v>4.5999999999999996</v>
      </c>
      <c r="JN47" s="3">
        <f>_xlfn.XLOOKUP(JN$1,generator!$B$2:$B$295,generator!$K$2:$K$295,"ARGH")</f>
        <v>4.5999999999999996</v>
      </c>
      <c r="JO47" s="3">
        <f>_xlfn.XLOOKUP(JO$1,generator!$B$2:$B$295,generator!$K$2:$K$295,"ARGH")</f>
        <v>4.5999999999999996</v>
      </c>
      <c r="JP47" s="3">
        <f>_xlfn.XLOOKUP(JP$1,generator!$B$2:$B$295,generator!$K$2:$K$295,"ARGH")</f>
        <v>110</v>
      </c>
      <c r="JQ47" s="3">
        <f>_xlfn.XLOOKUP(JQ$1,generator!$B$2:$B$295,generator!$K$2:$K$295,"ARGH")</f>
        <v>22.7</v>
      </c>
      <c r="JR47" s="3">
        <f>_xlfn.XLOOKUP(JR$1,generator!$B$2:$B$295,generator!$K$2:$K$295,"ARGH")</f>
        <v>147</v>
      </c>
      <c r="JS47" s="3">
        <f>_xlfn.XLOOKUP(JS$1,generator!$B$2:$B$295,generator!$K$2:$K$295,"ARGH")</f>
        <v>147</v>
      </c>
      <c r="JT47" s="3">
        <f>_xlfn.XLOOKUP(JT$1,generator!$B$2:$B$295,generator!$K$2:$K$295,"ARGH")</f>
        <v>22.7</v>
      </c>
      <c r="JU47" s="3">
        <f>_xlfn.XLOOKUP(JU$1,generator!$B$2:$B$295,generator!$K$2:$K$295,"ARGH")</f>
        <v>21.5</v>
      </c>
      <c r="JV47" s="3">
        <f>_xlfn.XLOOKUP(JV$1,generator!$B$2:$B$295,generator!$K$2:$K$295,"ARGH")</f>
        <v>120</v>
      </c>
      <c r="JW47" s="3">
        <f>_xlfn.XLOOKUP(JW$1,generator!$B$2:$B$295,generator!$K$2:$K$295,"ARGH")</f>
        <v>120</v>
      </c>
      <c r="JX47" s="3">
        <f>_xlfn.XLOOKUP(JX$1,generator!$B$2:$B$295,generator!$K$2:$K$295,"ARGH")</f>
        <v>1</v>
      </c>
      <c r="JY47" s="3">
        <f>_xlfn.XLOOKUP(JY$1,generator!$B$2:$B$295,generator!$K$2:$K$295,"ARGH")</f>
        <v>41.15</v>
      </c>
      <c r="JZ47" s="3">
        <f>_xlfn.XLOOKUP(JZ$1,generator!$B$2:$B$295,generator!$K$2:$K$295,"ARGH")</f>
        <v>5</v>
      </c>
      <c r="KA47" s="3">
        <f>_xlfn.XLOOKUP(KA$1,generator!$B$2:$B$295,generator!$K$2:$K$295,"ARGH")</f>
        <v>5</v>
      </c>
      <c r="KB47" s="3">
        <f>_xlfn.XLOOKUP(KB$1,generator!$B$2:$B$295,generator!$K$2:$K$295,"ARGH")</f>
        <v>5</v>
      </c>
      <c r="KC47" s="3">
        <f>_xlfn.XLOOKUP(KC$1,generator!$B$2:$B$295,generator!$K$2:$K$295,"ARGH")</f>
        <v>5</v>
      </c>
    </row>
    <row r="48" spans="1:289" x14ac:dyDescent="0.3">
      <c r="A48" s="4" t="s">
        <v>3043</v>
      </c>
      <c r="B48" s="31">
        <v>530</v>
      </c>
      <c r="C48" s="31">
        <v>513.5</v>
      </c>
      <c r="D48" s="31">
        <v>442</v>
      </c>
      <c r="E48" s="3">
        <f>_xlfn.XLOOKUP(E$1,generator!$B$2:$B$295,generator!$K$2:$K$295,"ARGH")</f>
        <v>0</v>
      </c>
      <c r="F48" s="3">
        <f>_xlfn.XLOOKUP(F$1,generator!$B$2:$B$295,generator!$K$2:$K$295,"ARGH")</f>
        <v>0</v>
      </c>
      <c r="G48" s="3">
        <f>_xlfn.XLOOKUP(G$1,generator!$B$2:$B$295,generator!$K$2:$K$295,"ARGH")</f>
        <v>0</v>
      </c>
      <c r="H48" s="3">
        <f>_xlfn.XLOOKUP(H$1,generator!$B$2:$B$295,generator!$K$2:$K$295,"ARGH")</f>
        <v>0</v>
      </c>
      <c r="I48" s="3">
        <f>_xlfn.XLOOKUP(I$1,generator!$B$2:$B$295,generator!$K$2:$K$295,"ARGH")</f>
        <v>0</v>
      </c>
      <c r="J48" s="3">
        <f>_xlfn.XLOOKUP(J$1,generator!$B$2:$B$295,generator!$K$2:$K$295,"ARGH")</f>
        <v>0</v>
      </c>
      <c r="K48" s="3">
        <f>_xlfn.XLOOKUP(K$1,generator!$B$2:$B$295,generator!$K$2:$K$295,"ARGH")</f>
        <v>0</v>
      </c>
      <c r="L48" s="3">
        <f>_xlfn.XLOOKUP(L$1,generator!$B$2:$B$295,generator!$K$2:$K$295,"ARGH")</f>
        <v>0</v>
      </c>
      <c r="M48" s="3">
        <f>_xlfn.XLOOKUP(M$1,generator!$B$2:$B$295,generator!$K$2:$K$295,"ARGH")</f>
        <v>0</v>
      </c>
      <c r="N48" s="3">
        <f>_xlfn.XLOOKUP(N$1,generator!$B$2:$B$295,generator!$K$2:$K$295,"ARGH")</f>
        <v>0</v>
      </c>
      <c r="O48" s="3">
        <f>_xlfn.XLOOKUP(O$1,generator!$B$2:$B$295,generator!$K$2:$K$295,"ARGH")</f>
        <v>0</v>
      </c>
      <c r="P48" s="3">
        <f>_xlfn.XLOOKUP(P$1,generator!$B$2:$B$295,generator!$K$2:$K$295,"ARGH")</f>
        <v>0</v>
      </c>
      <c r="Q48" s="3">
        <f>_xlfn.XLOOKUP(Q$1,generator!$B$2:$B$295,generator!$K$2:$K$295,"ARGH")</f>
        <v>0</v>
      </c>
      <c r="R48" s="3">
        <f>_xlfn.XLOOKUP(R$1,generator!$B$2:$B$295,generator!$K$2:$K$295,"ARGH")</f>
        <v>0</v>
      </c>
      <c r="S48" s="3">
        <f>_xlfn.XLOOKUP(S$1,generator!$B$2:$B$295,generator!$K$2:$K$295,"ARGH")</f>
        <v>0</v>
      </c>
      <c r="T48" s="3">
        <f>_xlfn.XLOOKUP(T$1,generator!$B$2:$B$295,generator!$K$2:$K$295,"ARGH")</f>
        <v>0</v>
      </c>
      <c r="U48" s="3">
        <f>_xlfn.XLOOKUP(U$1,generator!$B$2:$B$295,generator!$K$2:$K$295,"ARGH")</f>
        <v>0</v>
      </c>
      <c r="V48" s="3">
        <f>_xlfn.XLOOKUP(V$1,generator!$B$2:$B$295,generator!$K$2:$K$295,"ARGH")</f>
        <v>0</v>
      </c>
      <c r="W48" s="3">
        <f>_xlfn.XLOOKUP(W$1,generator!$B$2:$B$295,generator!$K$2:$K$295,"ARGH")</f>
        <v>0</v>
      </c>
      <c r="X48" s="3">
        <f>_xlfn.XLOOKUP(X$1,generator!$B$2:$B$295,generator!$K$2:$K$295,"ARGH")</f>
        <v>0</v>
      </c>
      <c r="Y48" s="3">
        <f>_xlfn.XLOOKUP(Y$1,generator!$B$2:$B$295,generator!$K$2:$K$295,"ARGH")</f>
        <v>0</v>
      </c>
      <c r="Z48" s="3">
        <f>_xlfn.XLOOKUP(Z$1,generator!$B$2:$B$295,generator!$K$2:$K$295,"ARGH")</f>
        <v>0</v>
      </c>
      <c r="AA48" s="3">
        <f>_xlfn.XLOOKUP(AA$1,generator!$B$2:$B$295,generator!$K$2:$K$295,"ARGH")</f>
        <v>0</v>
      </c>
      <c r="AB48" s="3">
        <f>_xlfn.XLOOKUP(AB$1,generator!$B$2:$B$295,generator!$K$2:$K$295,"ARGH")</f>
        <v>0</v>
      </c>
      <c r="AC48" s="3">
        <f>_xlfn.XLOOKUP(AC$1,generator!$B$2:$B$295,generator!$K$2:$K$295,"ARGH")</f>
        <v>0</v>
      </c>
      <c r="AD48" s="3">
        <f>_xlfn.XLOOKUP(AD$1,generator!$B$2:$B$295,generator!$K$2:$K$295,"ARGH")</f>
        <v>0</v>
      </c>
      <c r="AE48" s="3">
        <f>_xlfn.XLOOKUP(AE$1,generator!$B$2:$B$295,generator!$K$2:$K$295,"ARGH")</f>
        <v>0</v>
      </c>
      <c r="AF48" s="3">
        <f>_xlfn.XLOOKUP(AF$1,generator!$B$2:$B$295,generator!$K$2:$K$295,"ARGH")</f>
        <v>0</v>
      </c>
      <c r="AG48" s="3">
        <f>_xlfn.XLOOKUP(AG$1,generator!$B$2:$B$295,generator!$K$2:$K$295,"ARGH")</f>
        <v>0</v>
      </c>
      <c r="AH48" s="3">
        <f>_xlfn.XLOOKUP(AH$1,generator!$B$2:$B$295,generator!$K$2:$K$295,"ARGH")</f>
        <v>0</v>
      </c>
      <c r="AI48" s="3">
        <f>_xlfn.XLOOKUP(AI$1,generator!$B$2:$B$295,generator!$K$2:$K$295,"ARGH")</f>
        <v>0</v>
      </c>
      <c r="AJ48" s="3">
        <f>_xlfn.XLOOKUP(AJ$1,generator!$B$2:$B$295,generator!$K$2:$K$295,"ARGH")</f>
        <v>0</v>
      </c>
      <c r="AK48" s="3">
        <f>_xlfn.XLOOKUP(AK$1,generator!$B$2:$B$295,generator!$K$2:$K$295,"ARGH")</f>
        <v>0</v>
      </c>
      <c r="AL48" s="3">
        <f>_xlfn.XLOOKUP(AL$1,generator!$B$2:$B$295,generator!$K$2:$K$295,"ARGH")</f>
        <v>0</v>
      </c>
      <c r="AM48" s="3">
        <f>_xlfn.XLOOKUP(AM$1,generator!$B$2:$B$295,generator!$K$2:$K$295,"ARGH")</f>
        <v>0</v>
      </c>
      <c r="AN48" s="3">
        <f>_xlfn.XLOOKUP(AN$1,generator!$B$2:$B$295,generator!$K$2:$K$295,"ARGH")</f>
        <v>0</v>
      </c>
      <c r="AO48" s="3">
        <f>_xlfn.XLOOKUP(AO$1,generator!$B$2:$B$295,generator!$K$2:$K$295,"ARGH")</f>
        <v>0</v>
      </c>
      <c r="AP48" s="3">
        <f>_xlfn.XLOOKUP(AP$1,generator!$B$2:$B$295,generator!$K$2:$K$295,"ARGH")</f>
        <v>0</v>
      </c>
      <c r="AQ48" s="3">
        <f>_xlfn.XLOOKUP(AQ$1,generator!$B$2:$B$295,generator!$K$2:$K$295,"ARGH")</f>
        <v>0</v>
      </c>
      <c r="AR48" s="3">
        <f>_xlfn.XLOOKUP(AR$1,generator!$B$2:$B$295,generator!$K$2:$K$295,"ARGH")</f>
        <v>0</v>
      </c>
      <c r="AS48" s="3">
        <f>_xlfn.XLOOKUP(AS$1,generator!$B$2:$B$295,generator!$K$2:$K$295,"ARGH")</f>
        <v>0</v>
      </c>
      <c r="AT48" s="3">
        <f>_xlfn.XLOOKUP(AT$1,generator!$B$2:$B$295,generator!$K$2:$K$295,"ARGH")</f>
        <v>0</v>
      </c>
      <c r="AU48" s="3">
        <f>_xlfn.XLOOKUP(AU$1,generator!$B$2:$B$295,generator!$K$2:$K$295,"ARGH")</f>
        <v>0</v>
      </c>
      <c r="AV48" s="3">
        <f>_xlfn.XLOOKUP(AV$1,generator!$B$2:$B$295,generator!$K$2:$K$295,"ARGH")</f>
        <v>0</v>
      </c>
      <c r="AW48" s="3">
        <f>_xlfn.XLOOKUP(AW$1,generator!$B$2:$B$295,generator!$K$2:$K$295,"ARGH")</f>
        <v>0</v>
      </c>
      <c r="AX48" s="3">
        <f>_xlfn.XLOOKUP(AX$1,generator!$B$2:$B$295,generator!$K$2:$K$295,"ARGH")</f>
        <v>0</v>
      </c>
      <c r="AY48" s="3">
        <f>_xlfn.XLOOKUP(AY$1,generator!$B$2:$B$295,generator!$K$2:$K$295,"ARGH")</f>
        <v>0</v>
      </c>
      <c r="AZ48" s="3">
        <f>_xlfn.XLOOKUP(AZ$1,generator!$B$2:$B$295,generator!$K$2:$K$295,"ARGH")</f>
        <v>0</v>
      </c>
      <c r="BA48" s="3">
        <f>_xlfn.XLOOKUP(BA$1,generator!$B$2:$B$295,generator!$K$2:$K$295,"ARGH")</f>
        <v>0</v>
      </c>
      <c r="BB48" s="3">
        <f>_xlfn.XLOOKUP(BB$1,generator!$B$2:$B$295,generator!$K$2:$K$295,"ARGH")</f>
        <v>0</v>
      </c>
      <c r="BC48" s="3">
        <f>_xlfn.XLOOKUP(BC$1,generator!$B$2:$B$295,generator!$K$2:$K$295,"ARGH")</f>
        <v>0</v>
      </c>
      <c r="BD48" s="3">
        <f>_xlfn.XLOOKUP(BD$1,generator!$B$2:$B$295,generator!$K$2:$K$295,"ARGH")</f>
        <v>0</v>
      </c>
      <c r="BE48" s="3">
        <f>_xlfn.XLOOKUP(BE$1,generator!$B$2:$B$295,generator!$K$2:$K$295,"ARGH")</f>
        <v>0</v>
      </c>
      <c r="BF48" s="3">
        <f>_xlfn.XLOOKUP(BF$1,generator!$B$2:$B$295,generator!$K$2:$K$295,"ARGH")</f>
        <v>0</v>
      </c>
      <c r="BG48" s="3">
        <f>_xlfn.XLOOKUP(BG$1,generator!$B$2:$B$295,generator!$K$2:$K$295,"ARGH")</f>
        <v>0</v>
      </c>
      <c r="BH48" s="3">
        <f>_xlfn.XLOOKUP(BH$1,generator!$B$2:$B$295,generator!$K$2:$K$295,"ARGH")</f>
        <v>0</v>
      </c>
      <c r="BI48" s="3">
        <f>_xlfn.XLOOKUP(BI$1,generator!$B$2:$B$295,generator!$K$2:$K$295,"ARGH")</f>
        <v>0</v>
      </c>
      <c r="BJ48" s="3">
        <f>_xlfn.XLOOKUP(BJ$1,generator!$B$2:$B$295,generator!$K$2:$K$295,"ARGH")</f>
        <v>0</v>
      </c>
      <c r="BK48" s="3">
        <f>_xlfn.XLOOKUP(BK$1,generator!$B$2:$B$295,generator!$K$2:$K$295,"ARGH")</f>
        <v>0</v>
      </c>
      <c r="BL48" s="3">
        <f>_xlfn.XLOOKUP(BL$1,generator!$B$2:$B$295,generator!$K$2:$K$295,"ARGH")</f>
        <v>0</v>
      </c>
      <c r="BM48" s="3">
        <f>_xlfn.XLOOKUP(BM$1,generator!$B$2:$B$295,generator!$K$2:$K$295,"ARGH")</f>
        <v>0</v>
      </c>
      <c r="BN48" s="3">
        <f>_xlfn.XLOOKUP(BN$1,generator!$B$2:$B$295,generator!$K$2:$K$295,"ARGH")</f>
        <v>0</v>
      </c>
      <c r="BO48" s="3">
        <f>_xlfn.XLOOKUP(BO$1,generator!$B$2:$B$295,generator!$K$2:$K$295,"ARGH")</f>
        <v>0</v>
      </c>
      <c r="BP48" s="3">
        <f>_xlfn.XLOOKUP(BP$1,generator!$B$2:$B$295,generator!$K$2:$K$295,"ARGH")</f>
        <v>0</v>
      </c>
      <c r="BQ48" s="3">
        <f>_xlfn.XLOOKUP(BQ$1,generator!$B$2:$B$295,generator!$K$2:$K$295,"ARGH")</f>
        <v>0</v>
      </c>
      <c r="BR48" s="3">
        <f>_xlfn.XLOOKUP(BR$1,generator!$B$2:$B$295,generator!$K$2:$K$295,"ARGH")</f>
        <v>0</v>
      </c>
      <c r="BS48" s="3">
        <f>_xlfn.XLOOKUP(BS$1,generator!$B$2:$B$295,generator!$K$2:$K$295,"ARGH")</f>
        <v>0</v>
      </c>
      <c r="BT48" s="3">
        <f>_xlfn.XLOOKUP(BT$1,generator!$B$2:$B$295,generator!$K$2:$K$295,"ARGH")</f>
        <v>0</v>
      </c>
      <c r="BU48" s="3">
        <f>_xlfn.XLOOKUP(BU$1,generator!$B$2:$B$295,generator!$K$2:$K$295,"ARGH")</f>
        <v>0</v>
      </c>
      <c r="BV48" s="3">
        <f>_xlfn.XLOOKUP(BV$1,generator!$B$2:$B$295,generator!$K$2:$K$295,"ARGH")</f>
        <v>0</v>
      </c>
      <c r="BW48" s="3">
        <f>_xlfn.XLOOKUP(BW$1,generator!$B$2:$B$295,generator!$K$2:$K$295,"ARGH")</f>
        <v>0</v>
      </c>
      <c r="BX48" s="3">
        <f>_xlfn.XLOOKUP(BX$1,generator!$B$2:$B$295,generator!$K$2:$K$295,"ARGH")</f>
        <v>0</v>
      </c>
      <c r="BY48" s="3">
        <f>_xlfn.XLOOKUP(BY$1,generator!$B$2:$B$295,generator!$K$2:$K$295,"ARGH")</f>
        <v>0</v>
      </c>
      <c r="BZ48" s="3">
        <f>_xlfn.XLOOKUP(BZ$1,generator!$B$2:$B$295,generator!$K$2:$K$295,"ARGH")</f>
        <v>0</v>
      </c>
      <c r="CA48" s="3">
        <f>_xlfn.XLOOKUP(CA$1,generator!$B$2:$B$295,generator!$K$2:$K$295,"ARGH")</f>
        <v>0</v>
      </c>
      <c r="CB48" s="3">
        <f>_xlfn.XLOOKUP(CB$1,generator!$B$2:$B$295,generator!$K$2:$K$295,"ARGH")</f>
        <v>0</v>
      </c>
      <c r="CC48" s="3">
        <f>_xlfn.XLOOKUP(CC$1,generator!$B$2:$B$295,generator!$K$2:$K$295,"ARGH")</f>
        <v>0</v>
      </c>
      <c r="CD48" s="3">
        <f>_xlfn.XLOOKUP(CD$1,generator!$B$2:$B$295,generator!$K$2:$K$295,"ARGH")</f>
        <v>0</v>
      </c>
      <c r="CE48" s="3">
        <f>_xlfn.XLOOKUP(CE$1,generator!$B$2:$B$295,generator!$K$2:$K$295,"ARGH")</f>
        <v>0</v>
      </c>
      <c r="CF48" s="3">
        <f>_xlfn.XLOOKUP(CF$1,generator!$B$2:$B$295,generator!$K$2:$K$295,"ARGH")</f>
        <v>0</v>
      </c>
      <c r="CG48" s="3">
        <f>_xlfn.XLOOKUP(CG$1,generator!$B$2:$B$295,generator!$K$2:$K$295,"ARGH")</f>
        <v>0</v>
      </c>
      <c r="CH48" s="3">
        <f>_xlfn.XLOOKUP(CH$1,generator!$B$2:$B$295,generator!$K$2:$K$295,"ARGH")</f>
        <v>0</v>
      </c>
      <c r="CI48" s="3">
        <f>_xlfn.XLOOKUP(CI$1,generator!$B$2:$B$295,generator!$K$2:$K$295,"ARGH")</f>
        <v>0</v>
      </c>
      <c r="CJ48" s="3">
        <f>_xlfn.XLOOKUP(CJ$1,generator!$B$2:$B$295,generator!$K$2:$K$295,"ARGH")</f>
        <v>0</v>
      </c>
      <c r="CK48" s="3">
        <f>_xlfn.XLOOKUP(CK$1,generator!$B$2:$B$295,generator!$K$2:$K$295,"ARGH")</f>
        <v>0</v>
      </c>
      <c r="CL48" s="3">
        <f>_xlfn.XLOOKUP(CL$1,generator!$B$2:$B$295,generator!$K$2:$K$295,"ARGH")</f>
        <v>0</v>
      </c>
      <c r="CM48" s="3">
        <f>_xlfn.XLOOKUP(CM$1,generator!$B$2:$B$295,generator!$K$2:$K$295,"ARGH")</f>
        <v>0</v>
      </c>
      <c r="CN48" s="3">
        <f>_xlfn.XLOOKUP(CN$1,generator!$B$2:$B$295,generator!$K$2:$K$295,"ARGH")</f>
        <v>0</v>
      </c>
      <c r="CO48" s="3">
        <f>_xlfn.XLOOKUP(CO$1,generator!$B$2:$B$295,generator!$K$2:$K$295,"ARGH")</f>
        <v>0</v>
      </c>
      <c r="CP48" s="3">
        <f>_xlfn.XLOOKUP(CP$1,generator!$B$2:$B$295,generator!$K$2:$K$295,"ARGH")</f>
        <v>0</v>
      </c>
      <c r="CQ48" s="3">
        <f>_xlfn.XLOOKUP(CQ$1,generator!$B$2:$B$295,generator!$K$2:$K$295,"ARGH")</f>
        <v>0</v>
      </c>
      <c r="CR48" s="3">
        <f>_xlfn.XLOOKUP(CR$1,generator!$B$2:$B$295,generator!$K$2:$K$295,"ARGH")</f>
        <v>0</v>
      </c>
      <c r="CS48" s="3">
        <f>_xlfn.XLOOKUP(CS$1,generator!$B$2:$B$295,generator!$K$2:$K$295,"ARGH")</f>
        <v>0</v>
      </c>
      <c r="CT48" s="3">
        <f>_xlfn.XLOOKUP(CT$1,generator!$B$2:$B$295,generator!$K$2:$K$295,"ARGH")</f>
        <v>0</v>
      </c>
      <c r="CU48" s="3">
        <f>_xlfn.XLOOKUP(CU$1,generator!$B$2:$B$295,generator!$K$2:$K$295,"ARGH")</f>
        <v>0</v>
      </c>
      <c r="CV48" s="3">
        <f>_xlfn.XLOOKUP(CV$1,generator!$B$2:$B$295,generator!$K$2:$K$295,"ARGH")</f>
        <v>0</v>
      </c>
      <c r="CW48" s="3">
        <f>_xlfn.XLOOKUP(CW$1,generator!$B$2:$B$295,generator!$K$2:$K$295,"ARGH")</f>
        <v>0</v>
      </c>
      <c r="CX48" s="3">
        <f>_xlfn.XLOOKUP(CX$1,generator!$B$2:$B$295,generator!$K$2:$K$295,"ARGH")</f>
        <v>0</v>
      </c>
      <c r="CY48" s="3">
        <f>_xlfn.XLOOKUP(CY$1,generator!$B$2:$B$295,generator!$K$2:$K$295,"ARGH")</f>
        <v>0</v>
      </c>
      <c r="CZ48" s="3">
        <f>_xlfn.XLOOKUP(CZ$1,generator!$B$2:$B$295,generator!$K$2:$K$295,"ARGH")</f>
        <v>0</v>
      </c>
      <c r="DA48" s="3">
        <f>_xlfn.XLOOKUP(DA$1,generator!$B$2:$B$295,generator!$K$2:$K$295,"ARGH")</f>
        <v>0</v>
      </c>
      <c r="DB48" s="3">
        <f>_xlfn.XLOOKUP(DB$1,generator!$B$2:$B$295,generator!$K$2:$K$295,"ARGH")</f>
        <v>0</v>
      </c>
      <c r="DC48" s="3">
        <f>_xlfn.XLOOKUP(DC$1,generator!$B$2:$B$295,generator!$K$2:$K$295,"ARGH")</f>
        <v>0</v>
      </c>
      <c r="DD48" s="3">
        <f>_xlfn.XLOOKUP(DD$1,generator!$B$2:$B$295,generator!$K$2:$K$295,"ARGH")</f>
        <v>0</v>
      </c>
      <c r="DE48" s="3">
        <f>_xlfn.XLOOKUP(DE$1,generator!$B$2:$B$295,generator!$K$2:$K$295,"ARGH")</f>
        <v>0</v>
      </c>
      <c r="DF48" s="3">
        <f>_xlfn.XLOOKUP(DF$1,generator!$B$2:$B$295,generator!$K$2:$K$295,"ARGH")</f>
        <v>0</v>
      </c>
      <c r="DG48" s="3">
        <f>_xlfn.XLOOKUP(DG$1,generator!$B$2:$B$295,generator!$K$2:$K$295,"ARGH")</f>
        <v>0</v>
      </c>
      <c r="DH48" s="3">
        <f>_xlfn.XLOOKUP(DH$1,generator!$B$2:$B$295,generator!$K$2:$K$295,"ARGH")</f>
        <v>0</v>
      </c>
      <c r="DI48" s="3">
        <f>_xlfn.XLOOKUP(DI$1,generator!$B$2:$B$295,generator!$K$2:$K$295,"ARGH")</f>
        <v>0</v>
      </c>
      <c r="DJ48" s="3">
        <f>_xlfn.XLOOKUP(DJ$1,generator!$B$2:$B$295,generator!$K$2:$K$295,"ARGH")</f>
        <v>0</v>
      </c>
      <c r="DK48" s="3">
        <f>_xlfn.XLOOKUP(DK$1,generator!$B$2:$B$295,generator!$K$2:$K$295,"ARGH")</f>
        <v>0</v>
      </c>
      <c r="DL48" s="3">
        <f>_xlfn.XLOOKUP(DL$1,generator!$B$2:$B$295,generator!$K$2:$K$295,"ARGH")</f>
        <v>0</v>
      </c>
      <c r="DM48" s="3">
        <f>_xlfn.XLOOKUP(DM$1,generator!$B$2:$B$295,generator!$K$2:$K$295,"ARGH")</f>
        <v>0</v>
      </c>
      <c r="DN48" s="3">
        <f>_xlfn.XLOOKUP(DN$1,generator!$B$2:$B$295,generator!$K$2:$K$295,"ARGH")</f>
        <v>0</v>
      </c>
      <c r="DO48" s="3">
        <f>_xlfn.XLOOKUP(DO$1,generator!$B$2:$B$295,generator!$K$2:$K$295,"ARGH")</f>
        <v>0</v>
      </c>
      <c r="DP48" s="3">
        <f>_xlfn.XLOOKUP(DP$1,generator!$B$2:$B$295,generator!$K$2:$K$295,"ARGH")</f>
        <v>0</v>
      </c>
      <c r="DQ48" s="3">
        <f>_xlfn.XLOOKUP(DQ$1,generator!$B$2:$B$295,generator!$K$2:$K$295,"ARGH")</f>
        <v>0</v>
      </c>
      <c r="DR48" s="3">
        <f>_xlfn.XLOOKUP(DR$1,generator!$B$2:$B$295,generator!$K$2:$K$295,"ARGH")</f>
        <v>0</v>
      </c>
      <c r="DS48" s="3">
        <f>_xlfn.XLOOKUP(DS$1,generator!$B$2:$B$295,generator!$K$2:$K$295,"ARGH")</f>
        <v>0</v>
      </c>
      <c r="DT48" s="3">
        <f>_xlfn.XLOOKUP(DT$1,generator!$B$2:$B$295,generator!$K$2:$K$295,"ARGH")</f>
        <v>0</v>
      </c>
      <c r="DU48" s="3">
        <f>_xlfn.XLOOKUP(DU$1,generator!$B$2:$B$295,generator!$K$2:$K$295,"ARGH")</f>
        <v>0</v>
      </c>
      <c r="DV48" s="3">
        <f>_xlfn.XLOOKUP(DV$1,generator!$B$2:$B$295,generator!$K$2:$K$295,"ARGH")</f>
        <v>0</v>
      </c>
      <c r="DW48" s="3">
        <f>_xlfn.XLOOKUP(DW$1,generator!$B$2:$B$295,generator!$K$2:$K$295,"ARGH")</f>
        <v>0</v>
      </c>
      <c r="DX48" s="3">
        <f>_xlfn.XLOOKUP(DX$1,generator!$B$2:$B$295,generator!$K$2:$K$295,"ARGH")</f>
        <v>0</v>
      </c>
      <c r="DY48" s="3">
        <f>_xlfn.XLOOKUP(DY$1,generator!$B$2:$B$295,generator!$K$2:$K$295,"ARGH")</f>
        <v>0</v>
      </c>
      <c r="DZ48" s="3">
        <f>_xlfn.XLOOKUP(DZ$1,generator!$B$2:$B$295,generator!$K$2:$K$295,"ARGH")</f>
        <v>0</v>
      </c>
      <c r="EA48" s="3">
        <f>_xlfn.XLOOKUP(EA$1,generator!$B$2:$B$295,generator!$K$2:$K$295,"ARGH")</f>
        <v>0</v>
      </c>
      <c r="EB48" s="3">
        <f>_xlfn.XLOOKUP(EB$1,generator!$B$2:$B$295,generator!$K$2:$K$295,"ARGH")</f>
        <v>0</v>
      </c>
      <c r="EC48" s="3">
        <f>_xlfn.XLOOKUP(EC$1,generator!$B$2:$B$295,generator!$K$2:$K$295,"ARGH")</f>
        <v>0</v>
      </c>
      <c r="ED48" s="3">
        <f>_xlfn.XLOOKUP(ED$1,generator!$B$2:$B$295,generator!$K$2:$K$295,"ARGH")</f>
        <v>0</v>
      </c>
      <c r="EE48" s="3">
        <f>_xlfn.XLOOKUP(EE$1,generator!$B$2:$B$295,generator!$K$2:$K$295,"ARGH")</f>
        <v>0</v>
      </c>
      <c r="EF48" s="3">
        <f>_xlfn.XLOOKUP(EF$1,generator!$B$2:$B$295,generator!$K$2:$K$295,"ARGH")</f>
        <v>0</v>
      </c>
      <c r="EG48" s="3">
        <f>_xlfn.XLOOKUP(EG$1,generator!$B$2:$B$295,generator!$K$2:$K$295,"ARGH")</f>
        <v>0</v>
      </c>
      <c r="EH48" s="3">
        <f>_xlfn.XLOOKUP(EH$1,generator!$B$2:$B$295,generator!$K$2:$K$295,"ARGH")</f>
        <v>0</v>
      </c>
      <c r="EI48" s="3">
        <f>_xlfn.XLOOKUP(EI$1,generator!$B$2:$B$295,generator!$K$2:$K$295,"ARGH")</f>
        <v>0</v>
      </c>
      <c r="EJ48" s="3">
        <f>_xlfn.XLOOKUP(EJ$1,generator!$B$2:$B$295,generator!$K$2:$K$295,"ARGH")</f>
        <v>0</v>
      </c>
      <c r="EK48" s="3">
        <f>_xlfn.XLOOKUP(EK$1,generator!$B$2:$B$295,generator!$K$2:$K$295,"ARGH")</f>
        <v>0</v>
      </c>
      <c r="EL48" s="3">
        <f>_xlfn.XLOOKUP(EL$1,generator!$B$2:$B$295,generator!$K$2:$K$295,"ARGH")</f>
        <v>0</v>
      </c>
      <c r="EM48" s="3">
        <f>_xlfn.XLOOKUP(EM$1,generator!$B$2:$B$295,generator!$K$2:$K$295,"ARGH")</f>
        <v>0</v>
      </c>
      <c r="EN48" s="3">
        <f>_xlfn.XLOOKUP(EN$1,generator!$B$2:$B$295,generator!$K$2:$K$295,"ARGH")</f>
        <v>0</v>
      </c>
      <c r="EO48" s="3">
        <f>_xlfn.XLOOKUP(EO$1,generator!$B$2:$B$295,generator!$K$2:$K$295,"ARGH")</f>
        <v>0</v>
      </c>
      <c r="EP48" s="3">
        <f>_xlfn.XLOOKUP(EP$1,generator!$B$2:$B$295,generator!$K$2:$K$295,"ARGH")</f>
        <v>0</v>
      </c>
      <c r="EQ48" s="3">
        <f>_xlfn.XLOOKUP(EQ$1,generator!$B$2:$B$295,generator!$K$2:$K$295,"ARGH")</f>
        <v>0</v>
      </c>
      <c r="ER48" s="3">
        <f>_xlfn.XLOOKUP(ER$1,generator!$B$2:$B$295,generator!$K$2:$K$295,"ARGH")</f>
        <v>0</v>
      </c>
      <c r="ES48" s="3">
        <f>_xlfn.XLOOKUP(ES$1,generator!$B$2:$B$295,generator!$K$2:$K$295,"ARGH")</f>
        <v>0</v>
      </c>
      <c r="ET48" s="3">
        <f>_xlfn.XLOOKUP(ET$1,generator!$B$2:$B$295,generator!$K$2:$K$295,"ARGH")</f>
        <v>0</v>
      </c>
      <c r="EU48" s="3">
        <f>_xlfn.XLOOKUP(EU$1,generator!$B$2:$B$295,generator!$K$2:$K$295,"ARGH")</f>
        <v>0</v>
      </c>
      <c r="EV48" s="3">
        <f>_xlfn.XLOOKUP(EV$1,generator!$B$2:$B$295,generator!$K$2:$K$295,"ARGH")</f>
        <v>0</v>
      </c>
      <c r="EW48" s="3">
        <f>_xlfn.XLOOKUP(EW$1,generator!$B$2:$B$295,generator!$K$2:$K$295,"ARGH")</f>
        <v>0</v>
      </c>
      <c r="EX48" s="3">
        <f>_xlfn.XLOOKUP(EX$1,generator!$B$2:$B$295,generator!$K$2:$K$295,"ARGH")</f>
        <v>0</v>
      </c>
      <c r="EY48" s="3">
        <f>_xlfn.XLOOKUP(EY$1,generator!$B$2:$B$295,generator!$K$2:$K$295,"ARGH")</f>
        <v>0</v>
      </c>
      <c r="EZ48" s="3">
        <f>_xlfn.XLOOKUP(EZ$1,generator!$B$2:$B$295,generator!$K$2:$K$295,"ARGH")</f>
        <v>0</v>
      </c>
      <c r="FA48" s="3">
        <f>_xlfn.XLOOKUP(FA$1,generator!$B$2:$B$295,generator!$K$2:$K$295,"ARGH")</f>
        <v>0</v>
      </c>
      <c r="FB48" s="3">
        <f>_xlfn.XLOOKUP(FB$1,generator!$B$2:$B$295,generator!$K$2:$K$295,"ARGH")</f>
        <v>0</v>
      </c>
      <c r="FC48" s="3">
        <f>_xlfn.XLOOKUP(FC$1,generator!$B$2:$B$295,generator!$K$2:$K$295,"ARGH")</f>
        <v>0</v>
      </c>
      <c r="FD48" s="3">
        <f>_xlfn.XLOOKUP(FD$1,generator!$B$2:$B$295,generator!$K$2:$K$295,"ARGH")</f>
        <v>0</v>
      </c>
      <c r="FE48" s="3">
        <f>_xlfn.XLOOKUP(FE$1,generator!$B$2:$B$295,generator!$K$2:$K$295,"ARGH")</f>
        <v>0</v>
      </c>
      <c r="FF48" s="3">
        <f>_xlfn.XLOOKUP(FF$1,generator!$B$2:$B$295,generator!$K$2:$K$295,"ARGH")</f>
        <v>0</v>
      </c>
      <c r="FG48" s="3">
        <f>_xlfn.XLOOKUP(FG$1,generator!$B$2:$B$295,generator!$K$2:$K$295,"ARGH")</f>
        <v>0</v>
      </c>
      <c r="FH48" s="3">
        <f>_xlfn.XLOOKUP(FH$1,generator!$B$2:$B$295,generator!$K$2:$K$295,"ARGH")</f>
        <v>0</v>
      </c>
      <c r="FI48" s="3">
        <f>_xlfn.XLOOKUP(FI$1,generator!$B$2:$B$295,generator!$K$2:$K$295,"ARGH")</f>
        <v>0</v>
      </c>
      <c r="FJ48" s="3">
        <f>_xlfn.XLOOKUP(FJ$1,generator!$B$2:$B$295,generator!$K$2:$K$295,"ARGH")</f>
        <v>0</v>
      </c>
      <c r="FK48" s="3">
        <f>_xlfn.XLOOKUP(FK$1,generator!$B$2:$B$295,generator!$K$2:$K$295,"ARGH")</f>
        <v>0</v>
      </c>
      <c r="FL48" s="3">
        <f>_xlfn.XLOOKUP(FL$1,generator!$B$2:$B$295,generator!$K$2:$K$295,"ARGH")</f>
        <v>0</v>
      </c>
      <c r="FM48" s="3">
        <f>_xlfn.XLOOKUP(FM$1,generator!$B$2:$B$295,generator!$K$2:$K$295,"ARGH")</f>
        <v>0</v>
      </c>
      <c r="FN48" s="3">
        <f>_xlfn.XLOOKUP(FN$1,generator!$B$2:$B$295,generator!$K$2:$K$295,"ARGH")</f>
        <v>0</v>
      </c>
      <c r="FO48" s="3">
        <f>_xlfn.XLOOKUP(FO$1,generator!$B$2:$B$295,generator!$K$2:$K$295,"ARGH")</f>
        <v>0</v>
      </c>
      <c r="FP48" s="3">
        <f>_xlfn.XLOOKUP(FP$1,generator!$B$2:$B$295,generator!$K$2:$K$295,"ARGH")</f>
        <v>0</v>
      </c>
      <c r="FQ48" s="3">
        <f>_xlfn.XLOOKUP(FQ$1,generator!$B$2:$B$295,generator!$K$2:$K$295,"ARGH")</f>
        <v>0</v>
      </c>
      <c r="FR48" s="3">
        <f>_xlfn.XLOOKUP(FR$1,generator!$B$2:$B$295,generator!$K$2:$K$295,"ARGH")</f>
        <v>0</v>
      </c>
      <c r="FS48" s="3">
        <f>_xlfn.XLOOKUP(FS$1,generator!$B$2:$B$295,generator!$K$2:$K$295,"ARGH")</f>
        <v>0</v>
      </c>
      <c r="FT48" s="3">
        <f>_xlfn.XLOOKUP(FT$1,generator!$B$2:$B$295,generator!$K$2:$K$295,"ARGH")</f>
        <v>0</v>
      </c>
      <c r="FU48" s="3">
        <f>_xlfn.XLOOKUP(FU$1,generator!$B$2:$B$295,generator!$K$2:$K$295,"ARGH")</f>
        <v>0</v>
      </c>
      <c r="FV48" s="3">
        <f>_xlfn.XLOOKUP(FV$1,generator!$B$2:$B$295,generator!$K$2:$K$295,"ARGH")</f>
        <v>0</v>
      </c>
      <c r="FW48" s="3">
        <f>_xlfn.XLOOKUP(FW$1,generator!$B$2:$B$295,generator!$K$2:$K$295,"ARGH")</f>
        <v>0</v>
      </c>
      <c r="FX48" s="3">
        <f>_xlfn.XLOOKUP(FX$1,generator!$B$2:$B$295,generator!$K$2:$K$295,"ARGH")</f>
        <v>0</v>
      </c>
      <c r="FY48" s="3">
        <f>_xlfn.XLOOKUP(FY$1,generator!$B$2:$B$295,generator!$K$2:$K$295,"ARGH")</f>
        <v>0</v>
      </c>
      <c r="FZ48" s="3">
        <f>_xlfn.XLOOKUP(FZ$1,generator!$B$2:$B$295,generator!$K$2:$K$295,"ARGH")</f>
        <v>0</v>
      </c>
      <c r="GA48" s="3">
        <f>_xlfn.XLOOKUP(GA$1,generator!$B$2:$B$295,generator!$K$2:$K$295,"ARGH")</f>
        <v>0</v>
      </c>
      <c r="GB48" s="3">
        <f>_xlfn.XLOOKUP(GB$1,generator!$B$2:$B$295,generator!$K$2:$K$295,"ARGH")</f>
        <v>0</v>
      </c>
      <c r="GC48" s="3">
        <f>_xlfn.XLOOKUP(GC$1,generator!$B$2:$B$295,generator!$K$2:$K$295,"ARGH")</f>
        <v>0</v>
      </c>
      <c r="GD48" s="3">
        <f>_xlfn.XLOOKUP(GD$1,generator!$B$2:$B$295,generator!$K$2:$K$295,"ARGH")</f>
        <v>0</v>
      </c>
      <c r="GE48" s="3">
        <f>_xlfn.XLOOKUP(GE$1,generator!$B$2:$B$295,generator!$K$2:$K$295,"ARGH")</f>
        <v>0</v>
      </c>
      <c r="GF48" s="3">
        <f>_xlfn.XLOOKUP(GF$1,generator!$B$2:$B$295,generator!$K$2:$K$295,"ARGH")</f>
        <v>0</v>
      </c>
      <c r="GG48" s="3">
        <f>_xlfn.XLOOKUP(GG$1,generator!$B$2:$B$295,generator!$K$2:$K$295,"ARGH")</f>
        <v>0</v>
      </c>
      <c r="GH48" s="3">
        <f>_xlfn.XLOOKUP(GH$1,generator!$B$2:$B$295,generator!$K$2:$K$295,"ARGH")</f>
        <v>0</v>
      </c>
      <c r="GI48" s="3">
        <f>_xlfn.XLOOKUP(GI$1,generator!$B$2:$B$295,generator!$K$2:$K$295,"ARGH")</f>
        <v>0</v>
      </c>
      <c r="GJ48" s="3">
        <f>_xlfn.XLOOKUP(GJ$1,generator!$B$2:$B$295,generator!$K$2:$K$295,"ARGH")</f>
        <v>0</v>
      </c>
      <c r="GK48" s="3">
        <f>_xlfn.XLOOKUP(GK$1,generator!$B$2:$B$295,generator!$K$2:$K$295,"ARGH")</f>
        <v>0</v>
      </c>
      <c r="GL48" s="3">
        <f>_xlfn.XLOOKUP(GL$1,generator!$B$2:$B$295,generator!$K$2:$K$295,"ARGH")</f>
        <v>0</v>
      </c>
      <c r="GM48" s="3">
        <f>_xlfn.XLOOKUP(GM$1,generator!$B$2:$B$295,generator!$K$2:$K$295,"ARGH")</f>
        <v>0</v>
      </c>
      <c r="GN48" s="3">
        <f>_xlfn.XLOOKUP(GN$1,generator!$B$2:$B$295,generator!$K$2:$K$295,"ARGH")</f>
        <v>0</v>
      </c>
      <c r="GO48" s="3">
        <f>_xlfn.XLOOKUP(GO$1,generator!$B$2:$B$295,generator!$K$2:$K$295,"ARGH")</f>
        <v>0</v>
      </c>
      <c r="GP48" s="3">
        <f>_xlfn.XLOOKUP(GP$1,generator!$B$2:$B$295,generator!$K$2:$K$295,"ARGH")</f>
        <v>0</v>
      </c>
      <c r="GQ48" s="3">
        <f>_xlfn.XLOOKUP(GQ$1,generator!$B$2:$B$295,generator!$K$2:$K$295,"ARGH")</f>
        <v>0</v>
      </c>
      <c r="GR48" s="3">
        <f>_xlfn.XLOOKUP(GR$1,generator!$B$2:$B$295,generator!$K$2:$K$295,"ARGH")</f>
        <v>0</v>
      </c>
      <c r="GS48" s="3">
        <f>_xlfn.XLOOKUP(GS$1,generator!$B$2:$B$295,generator!$K$2:$K$295,"ARGH")</f>
        <v>0</v>
      </c>
      <c r="GT48" s="3">
        <f>_xlfn.XLOOKUP(GT$1,generator!$B$2:$B$295,generator!$K$2:$K$295,"ARGH")</f>
        <v>0</v>
      </c>
      <c r="GU48" s="3">
        <f>_xlfn.XLOOKUP(GU$1,generator!$B$2:$B$295,generator!$K$2:$K$295,"ARGH")</f>
        <v>0</v>
      </c>
      <c r="GV48" s="3">
        <f>_xlfn.XLOOKUP(GV$1,generator!$B$2:$B$295,generator!$K$2:$K$295,"ARGH")</f>
        <v>0</v>
      </c>
      <c r="GW48" s="3">
        <f>_xlfn.XLOOKUP(GW$1,generator!$B$2:$B$295,generator!$K$2:$K$295,"ARGH")</f>
        <v>0</v>
      </c>
      <c r="GX48" s="3">
        <f>_xlfn.XLOOKUP(GX$1,generator!$B$2:$B$295,generator!$K$2:$K$295,"ARGH")</f>
        <v>0</v>
      </c>
      <c r="GY48" s="3">
        <f>_xlfn.XLOOKUP(GY$1,generator!$B$2:$B$295,generator!$K$2:$K$295,"ARGH")</f>
        <v>0</v>
      </c>
      <c r="GZ48" s="3">
        <f>_xlfn.XLOOKUP(GZ$1,generator!$B$2:$B$295,generator!$K$2:$K$295,"ARGH")</f>
        <v>0</v>
      </c>
      <c r="HA48" s="3">
        <f>_xlfn.XLOOKUP(HA$1,generator!$B$2:$B$295,generator!$K$2:$K$295,"ARGH")</f>
        <v>0</v>
      </c>
      <c r="HB48" s="3">
        <f>_xlfn.XLOOKUP(HB$1,generator!$B$2:$B$295,generator!$K$2:$K$295,"ARGH")</f>
        <v>0</v>
      </c>
      <c r="HC48" s="3">
        <f>_xlfn.XLOOKUP(HC$1,generator!$B$2:$B$295,generator!$K$2:$K$295,"ARGH")</f>
        <v>0</v>
      </c>
      <c r="HD48" s="3">
        <f>_xlfn.XLOOKUP(HD$1,generator!$B$2:$B$295,generator!$K$2:$K$295,"ARGH")</f>
        <v>0</v>
      </c>
      <c r="HE48" s="3">
        <f>_xlfn.XLOOKUP(HE$1,generator!$B$2:$B$295,generator!$K$2:$K$295,"ARGH")</f>
        <v>12.74</v>
      </c>
      <c r="HF48" s="3">
        <f>_xlfn.XLOOKUP(HF$1,generator!$B$2:$B$295,generator!$K$2:$K$295,"ARGH")</f>
        <v>99</v>
      </c>
      <c r="HG48" s="3">
        <f>_xlfn.XLOOKUP(HG$1,generator!$B$2:$B$295,generator!$K$2:$K$295,"ARGH")</f>
        <v>99</v>
      </c>
      <c r="HH48" s="3">
        <f>_xlfn.XLOOKUP(HH$1,generator!$B$2:$B$295,generator!$K$2:$K$295,"ARGH")</f>
        <v>99</v>
      </c>
      <c r="HI48" s="3">
        <f>_xlfn.XLOOKUP(HI$1,generator!$B$2:$B$295,generator!$K$2:$K$295,"ARGH")</f>
        <v>8</v>
      </c>
      <c r="HJ48" s="3">
        <f>_xlfn.XLOOKUP(HJ$1,generator!$B$2:$B$295,generator!$K$2:$K$295,"ARGH")</f>
        <v>8</v>
      </c>
      <c r="HK48" s="3">
        <f>_xlfn.XLOOKUP(HK$1,generator!$B$2:$B$295,generator!$K$2:$K$295,"ARGH")</f>
        <v>8</v>
      </c>
      <c r="HL48" s="3">
        <f>_xlfn.XLOOKUP(HL$1,generator!$B$2:$B$295,generator!$K$2:$K$295,"ARGH")</f>
        <v>20</v>
      </c>
      <c r="HM48" s="3">
        <f>_xlfn.XLOOKUP(HM$1,generator!$B$2:$B$295,generator!$K$2:$K$295,"ARGH")</f>
        <v>20</v>
      </c>
      <c r="HN48" s="3">
        <f>_xlfn.XLOOKUP(HN$1,generator!$B$2:$B$295,generator!$K$2:$K$295,"ARGH")</f>
        <v>5</v>
      </c>
      <c r="HO48" s="3">
        <f>_xlfn.XLOOKUP(HO$1,generator!$B$2:$B$295,generator!$K$2:$K$295,"ARGH")</f>
        <v>5</v>
      </c>
      <c r="HP48" s="3">
        <f>_xlfn.XLOOKUP(HP$1,generator!$B$2:$B$295,generator!$K$2:$K$295,"ARGH")</f>
        <v>0.2</v>
      </c>
      <c r="HQ48" s="3">
        <f>_xlfn.XLOOKUP(HQ$1,generator!$B$2:$B$295,generator!$K$2:$K$295,"ARGH")</f>
        <v>5</v>
      </c>
      <c r="HR48" s="3">
        <f>_xlfn.XLOOKUP(HR$1,generator!$B$2:$B$295,generator!$K$2:$K$295,"ARGH")</f>
        <v>5</v>
      </c>
      <c r="HS48" s="3">
        <f>_xlfn.XLOOKUP(HS$1,generator!$B$2:$B$295,generator!$K$2:$K$295,"ARGH")</f>
        <v>12.82</v>
      </c>
      <c r="HT48" s="3">
        <f>_xlfn.XLOOKUP(HT$1,generator!$B$2:$B$295,generator!$K$2:$K$295,"ARGH")</f>
        <v>12.82</v>
      </c>
      <c r="HU48" s="3">
        <f>_xlfn.XLOOKUP(HU$1,generator!$B$2:$B$295,generator!$K$2:$K$295,"ARGH")</f>
        <v>25</v>
      </c>
      <c r="HV48" s="3">
        <f>_xlfn.XLOOKUP(HV$1,generator!$B$2:$B$295,generator!$K$2:$K$295,"ARGH")</f>
        <v>16</v>
      </c>
      <c r="HW48" s="3">
        <f>_xlfn.XLOOKUP(HW$1,generator!$B$2:$B$295,generator!$K$2:$K$295,"ARGH")</f>
        <v>5</v>
      </c>
      <c r="HX48" s="3">
        <f>_xlfn.XLOOKUP(HX$1,generator!$B$2:$B$295,generator!$K$2:$K$295,"ARGH")</f>
        <v>5</v>
      </c>
      <c r="HY48" s="3">
        <f>_xlfn.XLOOKUP(HY$1,generator!$B$2:$B$295,generator!$K$2:$K$295,"ARGH")</f>
        <v>63</v>
      </c>
      <c r="HZ48" s="3">
        <f>_xlfn.XLOOKUP(HZ$1,generator!$B$2:$B$295,generator!$K$2:$K$295,"ARGH")</f>
        <v>18</v>
      </c>
      <c r="IA48" s="3">
        <f>_xlfn.XLOOKUP(IA$1,generator!$B$2:$B$295,generator!$K$2:$K$295,"ARGH")</f>
        <v>121</v>
      </c>
      <c r="IB48" s="3">
        <f>_xlfn.XLOOKUP(IB$1,generator!$B$2:$B$295,generator!$K$2:$K$295,"ARGH")</f>
        <v>120</v>
      </c>
      <c r="IC48" s="3">
        <f>_xlfn.XLOOKUP(IC$1,generator!$B$2:$B$295,generator!$K$2:$K$295,"ARGH")</f>
        <v>0</v>
      </c>
      <c r="ID48" s="3">
        <f>_xlfn.XLOOKUP(ID$1,generator!$B$2:$B$295,generator!$K$2:$K$295,"ARGH")</f>
        <v>17</v>
      </c>
      <c r="IE48" s="3">
        <f>_xlfn.XLOOKUP(IE$1,generator!$B$2:$B$295,generator!$K$2:$K$295,"ARGH")</f>
        <v>194</v>
      </c>
      <c r="IF48" s="3">
        <f>_xlfn.XLOOKUP(IF$1,generator!$B$2:$B$295,generator!$K$2:$K$295,"ARGH")</f>
        <v>11.9</v>
      </c>
      <c r="IG48" s="3">
        <f>_xlfn.XLOOKUP(IG$1,generator!$B$2:$B$295,generator!$K$2:$K$295,"ARGH")</f>
        <v>11.9</v>
      </c>
      <c r="IH48" s="3">
        <f>_xlfn.XLOOKUP(IH$1,generator!$B$2:$B$295,generator!$K$2:$K$295,"ARGH")</f>
        <v>11.9</v>
      </c>
      <c r="II48" s="3">
        <f>_xlfn.XLOOKUP(II$1,generator!$B$2:$B$295,generator!$K$2:$K$295,"ARGH")</f>
        <v>11.9</v>
      </c>
      <c r="IJ48" s="3">
        <f>_xlfn.XLOOKUP(IJ$1,generator!$B$2:$B$295,generator!$K$2:$K$295,"ARGH")</f>
        <v>0</v>
      </c>
      <c r="IK48" s="3">
        <f>_xlfn.XLOOKUP(IK$1,generator!$B$2:$B$295,generator!$K$2:$K$295,"ARGH")</f>
        <v>3</v>
      </c>
      <c r="IL48" s="3">
        <f>_xlfn.XLOOKUP(IL$1,generator!$B$2:$B$295,generator!$K$2:$K$295,"ARGH")</f>
        <v>5</v>
      </c>
      <c r="IM48" s="3">
        <f>_xlfn.XLOOKUP(IM$1,generator!$B$2:$B$295,generator!$K$2:$K$295,"ARGH")</f>
        <v>5</v>
      </c>
      <c r="IN48" s="3">
        <f>_xlfn.XLOOKUP(IN$1,generator!$B$2:$B$295,generator!$K$2:$K$295,"ARGH")</f>
        <v>4</v>
      </c>
      <c r="IO48" s="3">
        <f>_xlfn.XLOOKUP(IO$1,generator!$B$2:$B$295,generator!$K$2:$K$295,"ARGH")</f>
        <v>4</v>
      </c>
      <c r="IP48" s="3">
        <f>_xlfn.XLOOKUP(IP$1,generator!$B$2:$B$295,generator!$K$2:$K$295,"ARGH")</f>
        <v>3</v>
      </c>
      <c r="IQ48" s="3">
        <f>_xlfn.XLOOKUP(IQ$1,generator!$B$2:$B$295,generator!$K$2:$K$295,"ARGH")</f>
        <v>1</v>
      </c>
      <c r="IR48" s="3">
        <f>_xlfn.XLOOKUP(IR$1,generator!$B$2:$B$295,generator!$K$2:$K$295,"ARGH")</f>
        <v>3</v>
      </c>
      <c r="IS48" s="3">
        <f>_xlfn.XLOOKUP(IS$1,generator!$B$2:$B$295,generator!$K$2:$K$295,"ARGH")</f>
        <v>3</v>
      </c>
      <c r="IT48" s="3">
        <f>_xlfn.XLOOKUP(IT$1,generator!$B$2:$B$295,generator!$K$2:$K$295,"ARGH")</f>
        <v>0</v>
      </c>
      <c r="IU48" s="3">
        <f>_xlfn.XLOOKUP(IU$1,generator!$B$2:$B$295,generator!$K$2:$K$295,"ARGH")</f>
        <v>3.99</v>
      </c>
      <c r="IV48" s="3">
        <f>_xlfn.XLOOKUP(IV$1,generator!$B$2:$B$295,generator!$K$2:$K$295,"ARGH")</f>
        <v>0.2</v>
      </c>
      <c r="IW48" s="3">
        <f>_xlfn.XLOOKUP(IW$1,generator!$B$2:$B$295,generator!$K$2:$K$295,"ARGH")</f>
        <v>15</v>
      </c>
      <c r="IX48" s="3">
        <f>_xlfn.XLOOKUP(IX$1,generator!$B$2:$B$295,generator!$K$2:$K$295,"ARGH")</f>
        <v>15</v>
      </c>
      <c r="IY48" s="3">
        <f>_xlfn.XLOOKUP(IY$1,generator!$B$2:$B$295,generator!$K$2:$K$295,"ARGH")</f>
        <v>15</v>
      </c>
      <c r="IZ48" s="3">
        <f>_xlfn.XLOOKUP(IZ$1,generator!$B$2:$B$295,generator!$K$2:$K$295,"ARGH")</f>
        <v>120</v>
      </c>
      <c r="JA48" s="3">
        <f>_xlfn.XLOOKUP(JA$1,generator!$B$2:$B$295,generator!$K$2:$K$295,"ARGH")</f>
        <v>40</v>
      </c>
      <c r="JB48" s="3">
        <f>_xlfn.XLOOKUP(JB$1,generator!$B$2:$B$295,generator!$K$2:$K$295,"ARGH")</f>
        <v>40</v>
      </c>
      <c r="JC48" s="3">
        <f>_xlfn.XLOOKUP(JC$1,generator!$B$2:$B$295,generator!$K$2:$K$295,"ARGH")</f>
        <v>113</v>
      </c>
      <c r="JD48" s="3">
        <f>_xlfn.XLOOKUP(JD$1,generator!$B$2:$B$295,generator!$K$2:$K$295,"ARGH")</f>
        <v>113</v>
      </c>
      <c r="JE48" s="3">
        <f>_xlfn.XLOOKUP(JE$1,generator!$B$2:$B$295,generator!$K$2:$K$295,"ARGH")</f>
        <v>211</v>
      </c>
      <c r="JF48" s="3">
        <f>_xlfn.XLOOKUP(JF$1,generator!$B$2:$B$295,generator!$K$2:$K$295,"ARGH")</f>
        <v>22.5</v>
      </c>
      <c r="JG48" s="3">
        <f>_xlfn.XLOOKUP(JG$1,generator!$B$2:$B$295,generator!$K$2:$K$295,"ARGH")</f>
        <v>1</v>
      </c>
      <c r="JH48" s="3">
        <f>_xlfn.XLOOKUP(JH$1,generator!$B$2:$B$295,generator!$K$2:$K$295,"ARGH")</f>
        <v>160</v>
      </c>
      <c r="JI48" s="3">
        <f>_xlfn.XLOOKUP(JI$1,generator!$B$2:$B$295,generator!$K$2:$K$295,"ARGH")</f>
        <v>165</v>
      </c>
      <c r="JJ48" s="3">
        <f>_xlfn.XLOOKUP(JJ$1,generator!$B$2:$B$295,generator!$K$2:$K$295,"ARGH")</f>
        <v>4.5999999999999996</v>
      </c>
      <c r="JK48" s="3">
        <f>_xlfn.XLOOKUP(JK$1,generator!$B$2:$B$295,generator!$K$2:$K$295,"ARGH")</f>
        <v>4.5999999999999996</v>
      </c>
      <c r="JL48" s="3">
        <f>_xlfn.XLOOKUP(JL$1,generator!$B$2:$B$295,generator!$K$2:$K$295,"ARGH")</f>
        <v>4.5999999999999996</v>
      </c>
      <c r="JM48" s="3">
        <f>_xlfn.XLOOKUP(JM$1,generator!$B$2:$B$295,generator!$K$2:$K$295,"ARGH")</f>
        <v>4.5999999999999996</v>
      </c>
      <c r="JN48" s="3">
        <f>_xlfn.XLOOKUP(JN$1,generator!$B$2:$B$295,generator!$K$2:$K$295,"ARGH")</f>
        <v>4.5999999999999996</v>
      </c>
      <c r="JO48" s="3">
        <f>_xlfn.XLOOKUP(JO$1,generator!$B$2:$B$295,generator!$K$2:$K$295,"ARGH")</f>
        <v>4.5999999999999996</v>
      </c>
      <c r="JP48" s="3">
        <f>_xlfn.XLOOKUP(JP$1,generator!$B$2:$B$295,generator!$K$2:$K$295,"ARGH")</f>
        <v>110</v>
      </c>
      <c r="JQ48" s="3">
        <f>_xlfn.XLOOKUP(JQ$1,generator!$B$2:$B$295,generator!$K$2:$K$295,"ARGH")</f>
        <v>22.7</v>
      </c>
      <c r="JR48" s="3">
        <f>_xlfn.XLOOKUP(JR$1,generator!$B$2:$B$295,generator!$K$2:$K$295,"ARGH")</f>
        <v>147</v>
      </c>
      <c r="JS48" s="3">
        <f>_xlfn.XLOOKUP(JS$1,generator!$B$2:$B$295,generator!$K$2:$K$295,"ARGH")</f>
        <v>147</v>
      </c>
      <c r="JT48" s="3">
        <f>_xlfn.XLOOKUP(JT$1,generator!$B$2:$B$295,generator!$K$2:$K$295,"ARGH")</f>
        <v>22.7</v>
      </c>
      <c r="JU48" s="3">
        <f>_xlfn.XLOOKUP(JU$1,generator!$B$2:$B$295,generator!$K$2:$K$295,"ARGH")</f>
        <v>21.5</v>
      </c>
      <c r="JV48" s="3">
        <f>_xlfn.XLOOKUP(JV$1,generator!$B$2:$B$295,generator!$K$2:$K$295,"ARGH")</f>
        <v>120</v>
      </c>
      <c r="JW48" s="3">
        <f>_xlfn.XLOOKUP(JW$1,generator!$B$2:$B$295,generator!$K$2:$K$295,"ARGH")</f>
        <v>120</v>
      </c>
      <c r="JX48" s="3">
        <f>_xlfn.XLOOKUP(JX$1,generator!$B$2:$B$295,generator!$K$2:$K$295,"ARGH")</f>
        <v>1</v>
      </c>
      <c r="JY48" s="3">
        <f>_xlfn.XLOOKUP(JY$1,generator!$B$2:$B$295,generator!$K$2:$K$295,"ARGH")</f>
        <v>41.15</v>
      </c>
      <c r="JZ48" s="3">
        <f>_xlfn.XLOOKUP(JZ$1,generator!$B$2:$B$295,generator!$K$2:$K$295,"ARGH")</f>
        <v>5</v>
      </c>
      <c r="KA48" s="3">
        <f>_xlfn.XLOOKUP(KA$1,generator!$B$2:$B$295,generator!$K$2:$K$295,"ARGH")</f>
        <v>5</v>
      </c>
      <c r="KB48" s="3">
        <f>_xlfn.XLOOKUP(KB$1,generator!$B$2:$B$295,generator!$K$2:$K$295,"ARGH")</f>
        <v>5</v>
      </c>
      <c r="KC48" s="3">
        <f>_xlfn.XLOOKUP(KC$1,generator!$B$2:$B$295,generator!$K$2:$K$295,"ARGH")</f>
        <v>5</v>
      </c>
    </row>
    <row r="49" spans="1:289" x14ac:dyDescent="0.3">
      <c r="A49" s="4" t="s">
        <v>3044</v>
      </c>
      <c r="B49" s="31">
        <v>448</v>
      </c>
      <c r="C49" s="31">
        <v>513</v>
      </c>
      <c r="D49" s="31">
        <v>442</v>
      </c>
      <c r="E49" s="3">
        <f>_xlfn.XLOOKUP(E$1,generator!$B$2:$B$295,generator!$K$2:$K$295,"ARGH")</f>
        <v>0</v>
      </c>
      <c r="F49" s="3">
        <f>_xlfn.XLOOKUP(F$1,generator!$B$2:$B$295,generator!$K$2:$K$295,"ARGH")</f>
        <v>0</v>
      </c>
      <c r="G49" s="3">
        <f>_xlfn.XLOOKUP(G$1,generator!$B$2:$B$295,generator!$K$2:$K$295,"ARGH")</f>
        <v>0</v>
      </c>
      <c r="H49" s="3">
        <f>_xlfn.XLOOKUP(H$1,generator!$B$2:$B$295,generator!$K$2:$K$295,"ARGH")</f>
        <v>0</v>
      </c>
      <c r="I49" s="3">
        <f>_xlfn.XLOOKUP(I$1,generator!$B$2:$B$295,generator!$K$2:$K$295,"ARGH")</f>
        <v>0</v>
      </c>
      <c r="J49" s="3">
        <f>_xlfn.XLOOKUP(J$1,generator!$B$2:$B$295,generator!$K$2:$K$295,"ARGH")</f>
        <v>0</v>
      </c>
      <c r="K49" s="3">
        <f>_xlfn.XLOOKUP(K$1,generator!$B$2:$B$295,generator!$K$2:$K$295,"ARGH")</f>
        <v>0</v>
      </c>
      <c r="L49" s="3">
        <f>_xlfn.XLOOKUP(L$1,generator!$B$2:$B$295,generator!$K$2:$K$295,"ARGH")</f>
        <v>0</v>
      </c>
      <c r="M49" s="3">
        <f>_xlfn.XLOOKUP(M$1,generator!$B$2:$B$295,generator!$K$2:$K$295,"ARGH")</f>
        <v>0</v>
      </c>
      <c r="N49" s="3">
        <f>_xlfn.XLOOKUP(N$1,generator!$B$2:$B$295,generator!$K$2:$K$295,"ARGH")</f>
        <v>0</v>
      </c>
      <c r="O49" s="3">
        <f>_xlfn.XLOOKUP(O$1,generator!$B$2:$B$295,generator!$K$2:$K$295,"ARGH")</f>
        <v>0</v>
      </c>
      <c r="P49" s="3">
        <f>_xlfn.XLOOKUP(P$1,generator!$B$2:$B$295,generator!$K$2:$K$295,"ARGH")</f>
        <v>0</v>
      </c>
      <c r="Q49" s="3">
        <f>_xlfn.XLOOKUP(Q$1,generator!$B$2:$B$295,generator!$K$2:$K$295,"ARGH")</f>
        <v>0</v>
      </c>
      <c r="R49" s="3">
        <f>_xlfn.XLOOKUP(R$1,generator!$B$2:$B$295,generator!$K$2:$K$295,"ARGH")</f>
        <v>0</v>
      </c>
      <c r="S49" s="3">
        <f>_xlfn.XLOOKUP(S$1,generator!$B$2:$B$295,generator!$K$2:$K$295,"ARGH")</f>
        <v>0</v>
      </c>
      <c r="T49" s="3">
        <f>_xlfn.XLOOKUP(T$1,generator!$B$2:$B$295,generator!$K$2:$K$295,"ARGH")</f>
        <v>0</v>
      </c>
      <c r="U49" s="3">
        <f>_xlfn.XLOOKUP(U$1,generator!$B$2:$B$295,generator!$K$2:$K$295,"ARGH")</f>
        <v>0</v>
      </c>
      <c r="V49" s="3">
        <f>_xlfn.XLOOKUP(V$1,generator!$B$2:$B$295,generator!$K$2:$K$295,"ARGH")</f>
        <v>0</v>
      </c>
      <c r="W49" s="3">
        <f>_xlfn.XLOOKUP(W$1,generator!$B$2:$B$295,generator!$K$2:$K$295,"ARGH")</f>
        <v>0</v>
      </c>
      <c r="X49" s="3">
        <f>_xlfn.XLOOKUP(X$1,generator!$B$2:$B$295,generator!$K$2:$K$295,"ARGH")</f>
        <v>0</v>
      </c>
      <c r="Y49" s="3">
        <f>_xlfn.XLOOKUP(Y$1,generator!$B$2:$B$295,generator!$K$2:$K$295,"ARGH")</f>
        <v>0</v>
      </c>
      <c r="Z49" s="3">
        <f>_xlfn.XLOOKUP(Z$1,generator!$B$2:$B$295,generator!$K$2:$K$295,"ARGH")</f>
        <v>0</v>
      </c>
      <c r="AA49" s="3">
        <f>_xlfn.XLOOKUP(AA$1,generator!$B$2:$B$295,generator!$K$2:$K$295,"ARGH")</f>
        <v>0</v>
      </c>
      <c r="AB49" s="3">
        <f>_xlfn.XLOOKUP(AB$1,generator!$B$2:$B$295,generator!$K$2:$K$295,"ARGH")</f>
        <v>0</v>
      </c>
      <c r="AC49" s="3">
        <f>_xlfn.XLOOKUP(AC$1,generator!$B$2:$B$295,generator!$K$2:$K$295,"ARGH")</f>
        <v>0</v>
      </c>
      <c r="AD49" s="3">
        <f>_xlfn.XLOOKUP(AD$1,generator!$B$2:$B$295,generator!$K$2:$K$295,"ARGH")</f>
        <v>0</v>
      </c>
      <c r="AE49" s="3">
        <f>_xlfn.XLOOKUP(AE$1,generator!$B$2:$B$295,generator!$K$2:$K$295,"ARGH")</f>
        <v>0</v>
      </c>
      <c r="AF49" s="3">
        <f>_xlfn.XLOOKUP(AF$1,generator!$B$2:$B$295,generator!$K$2:$K$295,"ARGH")</f>
        <v>0</v>
      </c>
      <c r="AG49" s="3">
        <f>_xlfn.XLOOKUP(AG$1,generator!$B$2:$B$295,generator!$K$2:$K$295,"ARGH")</f>
        <v>0</v>
      </c>
      <c r="AH49" s="3">
        <f>_xlfn.XLOOKUP(AH$1,generator!$B$2:$B$295,generator!$K$2:$K$295,"ARGH")</f>
        <v>0</v>
      </c>
      <c r="AI49" s="3">
        <f>_xlfn.XLOOKUP(AI$1,generator!$B$2:$B$295,generator!$K$2:$K$295,"ARGH")</f>
        <v>0</v>
      </c>
      <c r="AJ49" s="3">
        <f>_xlfn.XLOOKUP(AJ$1,generator!$B$2:$B$295,generator!$K$2:$K$295,"ARGH")</f>
        <v>0</v>
      </c>
      <c r="AK49" s="3">
        <f>_xlfn.XLOOKUP(AK$1,generator!$B$2:$B$295,generator!$K$2:$K$295,"ARGH")</f>
        <v>0</v>
      </c>
      <c r="AL49" s="3">
        <f>_xlfn.XLOOKUP(AL$1,generator!$B$2:$B$295,generator!$K$2:$K$295,"ARGH")</f>
        <v>0</v>
      </c>
      <c r="AM49" s="3">
        <f>_xlfn.XLOOKUP(AM$1,generator!$B$2:$B$295,generator!$K$2:$K$295,"ARGH")</f>
        <v>0</v>
      </c>
      <c r="AN49" s="3">
        <f>_xlfn.XLOOKUP(AN$1,generator!$B$2:$B$295,generator!$K$2:$K$295,"ARGH")</f>
        <v>0</v>
      </c>
      <c r="AO49" s="3">
        <f>_xlfn.XLOOKUP(AO$1,generator!$B$2:$B$295,generator!$K$2:$K$295,"ARGH")</f>
        <v>0</v>
      </c>
      <c r="AP49" s="3">
        <f>_xlfn.XLOOKUP(AP$1,generator!$B$2:$B$295,generator!$K$2:$K$295,"ARGH")</f>
        <v>0</v>
      </c>
      <c r="AQ49" s="3">
        <f>_xlfn.XLOOKUP(AQ$1,generator!$B$2:$B$295,generator!$K$2:$K$295,"ARGH")</f>
        <v>0</v>
      </c>
      <c r="AR49" s="3">
        <f>_xlfn.XLOOKUP(AR$1,generator!$B$2:$B$295,generator!$K$2:$K$295,"ARGH")</f>
        <v>0</v>
      </c>
      <c r="AS49" s="3">
        <f>_xlfn.XLOOKUP(AS$1,generator!$B$2:$B$295,generator!$K$2:$K$295,"ARGH")</f>
        <v>0</v>
      </c>
      <c r="AT49" s="3">
        <f>_xlfn.XLOOKUP(AT$1,generator!$B$2:$B$295,generator!$K$2:$K$295,"ARGH")</f>
        <v>0</v>
      </c>
      <c r="AU49" s="3">
        <f>_xlfn.XLOOKUP(AU$1,generator!$B$2:$B$295,generator!$K$2:$K$295,"ARGH")</f>
        <v>0</v>
      </c>
      <c r="AV49" s="3">
        <f>_xlfn.XLOOKUP(AV$1,generator!$B$2:$B$295,generator!$K$2:$K$295,"ARGH")</f>
        <v>0</v>
      </c>
      <c r="AW49" s="3">
        <f>_xlfn.XLOOKUP(AW$1,generator!$B$2:$B$295,generator!$K$2:$K$295,"ARGH")</f>
        <v>0</v>
      </c>
      <c r="AX49" s="3">
        <f>_xlfn.XLOOKUP(AX$1,generator!$B$2:$B$295,generator!$K$2:$K$295,"ARGH")</f>
        <v>0</v>
      </c>
      <c r="AY49" s="3">
        <f>_xlfn.XLOOKUP(AY$1,generator!$B$2:$B$295,generator!$K$2:$K$295,"ARGH")</f>
        <v>0</v>
      </c>
      <c r="AZ49" s="3">
        <f>_xlfn.XLOOKUP(AZ$1,generator!$B$2:$B$295,generator!$K$2:$K$295,"ARGH")</f>
        <v>0</v>
      </c>
      <c r="BA49" s="3">
        <f>_xlfn.XLOOKUP(BA$1,generator!$B$2:$B$295,generator!$K$2:$K$295,"ARGH")</f>
        <v>0</v>
      </c>
      <c r="BB49" s="3">
        <f>_xlfn.XLOOKUP(BB$1,generator!$B$2:$B$295,generator!$K$2:$K$295,"ARGH")</f>
        <v>0</v>
      </c>
      <c r="BC49" s="3">
        <f>_xlfn.XLOOKUP(BC$1,generator!$B$2:$B$295,generator!$K$2:$K$295,"ARGH")</f>
        <v>0</v>
      </c>
      <c r="BD49" s="3">
        <f>_xlfn.XLOOKUP(BD$1,generator!$B$2:$B$295,generator!$K$2:$K$295,"ARGH")</f>
        <v>0</v>
      </c>
      <c r="BE49" s="3">
        <f>_xlfn.XLOOKUP(BE$1,generator!$B$2:$B$295,generator!$K$2:$K$295,"ARGH")</f>
        <v>0</v>
      </c>
      <c r="BF49" s="3">
        <f>_xlfn.XLOOKUP(BF$1,generator!$B$2:$B$295,generator!$K$2:$K$295,"ARGH")</f>
        <v>0</v>
      </c>
      <c r="BG49" s="3">
        <f>_xlfn.XLOOKUP(BG$1,generator!$B$2:$B$295,generator!$K$2:$K$295,"ARGH")</f>
        <v>0</v>
      </c>
      <c r="BH49" s="3">
        <f>_xlfn.XLOOKUP(BH$1,generator!$B$2:$B$295,generator!$K$2:$K$295,"ARGH")</f>
        <v>0</v>
      </c>
      <c r="BI49" s="3">
        <f>_xlfn.XLOOKUP(BI$1,generator!$B$2:$B$295,generator!$K$2:$K$295,"ARGH")</f>
        <v>0</v>
      </c>
      <c r="BJ49" s="3">
        <f>_xlfn.XLOOKUP(BJ$1,generator!$B$2:$B$295,generator!$K$2:$K$295,"ARGH")</f>
        <v>0</v>
      </c>
      <c r="BK49" s="3">
        <f>_xlfn.XLOOKUP(BK$1,generator!$B$2:$B$295,generator!$K$2:$K$295,"ARGH")</f>
        <v>0</v>
      </c>
      <c r="BL49" s="3">
        <f>_xlfn.XLOOKUP(BL$1,generator!$B$2:$B$295,generator!$K$2:$K$295,"ARGH")</f>
        <v>0</v>
      </c>
      <c r="BM49" s="3">
        <f>_xlfn.XLOOKUP(BM$1,generator!$B$2:$B$295,generator!$K$2:$K$295,"ARGH")</f>
        <v>0</v>
      </c>
      <c r="BN49" s="3">
        <f>_xlfn.XLOOKUP(BN$1,generator!$B$2:$B$295,generator!$K$2:$K$295,"ARGH")</f>
        <v>0</v>
      </c>
      <c r="BO49" s="3">
        <f>_xlfn.XLOOKUP(BO$1,generator!$B$2:$B$295,generator!$K$2:$K$295,"ARGH")</f>
        <v>0</v>
      </c>
      <c r="BP49" s="3">
        <f>_xlfn.XLOOKUP(BP$1,generator!$B$2:$B$295,generator!$K$2:$K$295,"ARGH")</f>
        <v>0</v>
      </c>
      <c r="BQ49" s="3">
        <f>_xlfn.XLOOKUP(BQ$1,generator!$B$2:$B$295,generator!$K$2:$K$295,"ARGH")</f>
        <v>0</v>
      </c>
      <c r="BR49" s="3">
        <f>_xlfn.XLOOKUP(BR$1,generator!$B$2:$B$295,generator!$K$2:$K$295,"ARGH")</f>
        <v>0</v>
      </c>
      <c r="BS49" s="3">
        <f>_xlfn.XLOOKUP(BS$1,generator!$B$2:$B$295,generator!$K$2:$K$295,"ARGH")</f>
        <v>0</v>
      </c>
      <c r="BT49" s="3">
        <f>_xlfn.XLOOKUP(BT$1,generator!$B$2:$B$295,generator!$K$2:$K$295,"ARGH")</f>
        <v>0</v>
      </c>
      <c r="BU49" s="3">
        <f>_xlfn.XLOOKUP(BU$1,generator!$B$2:$B$295,generator!$K$2:$K$295,"ARGH")</f>
        <v>0</v>
      </c>
      <c r="BV49" s="3">
        <f>_xlfn.XLOOKUP(BV$1,generator!$B$2:$B$295,generator!$K$2:$K$295,"ARGH")</f>
        <v>0</v>
      </c>
      <c r="BW49" s="3">
        <f>_xlfn.XLOOKUP(BW$1,generator!$B$2:$B$295,generator!$K$2:$K$295,"ARGH")</f>
        <v>0</v>
      </c>
      <c r="BX49" s="3">
        <f>_xlfn.XLOOKUP(BX$1,generator!$B$2:$B$295,generator!$K$2:$K$295,"ARGH")</f>
        <v>0</v>
      </c>
      <c r="BY49" s="3">
        <f>_xlfn.XLOOKUP(BY$1,generator!$B$2:$B$295,generator!$K$2:$K$295,"ARGH")</f>
        <v>0</v>
      </c>
      <c r="BZ49" s="3">
        <f>_xlfn.XLOOKUP(BZ$1,generator!$B$2:$B$295,generator!$K$2:$K$295,"ARGH")</f>
        <v>0</v>
      </c>
      <c r="CA49" s="3">
        <f>_xlfn.XLOOKUP(CA$1,generator!$B$2:$B$295,generator!$K$2:$K$295,"ARGH")</f>
        <v>0</v>
      </c>
      <c r="CB49" s="3">
        <f>_xlfn.XLOOKUP(CB$1,generator!$B$2:$B$295,generator!$K$2:$K$295,"ARGH")</f>
        <v>0</v>
      </c>
      <c r="CC49" s="3">
        <f>_xlfn.XLOOKUP(CC$1,generator!$B$2:$B$295,generator!$K$2:$K$295,"ARGH")</f>
        <v>0</v>
      </c>
      <c r="CD49" s="3">
        <f>_xlfn.XLOOKUP(CD$1,generator!$B$2:$B$295,generator!$K$2:$K$295,"ARGH")</f>
        <v>0</v>
      </c>
      <c r="CE49" s="3">
        <f>_xlfn.XLOOKUP(CE$1,generator!$B$2:$B$295,generator!$K$2:$K$295,"ARGH")</f>
        <v>0</v>
      </c>
      <c r="CF49" s="3">
        <f>_xlfn.XLOOKUP(CF$1,generator!$B$2:$B$295,generator!$K$2:$K$295,"ARGH")</f>
        <v>0</v>
      </c>
      <c r="CG49" s="3">
        <f>_xlfn.XLOOKUP(CG$1,generator!$B$2:$B$295,generator!$K$2:$K$295,"ARGH")</f>
        <v>0</v>
      </c>
      <c r="CH49" s="3">
        <f>_xlfn.XLOOKUP(CH$1,generator!$B$2:$B$295,generator!$K$2:$K$295,"ARGH")</f>
        <v>0</v>
      </c>
      <c r="CI49" s="3">
        <f>_xlfn.XLOOKUP(CI$1,generator!$B$2:$B$295,generator!$K$2:$K$295,"ARGH")</f>
        <v>0</v>
      </c>
      <c r="CJ49" s="3">
        <f>_xlfn.XLOOKUP(CJ$1,generator!$B$2:$B$295,generator!$K$2:$K$295,"ARGH")</f>
        <v>0</v>
      </c>
      <c r="CK49" s="3">
        <f>_xlfn.XLOOKUP(CK$1,generator!$B$2:$B$295,generator!$K$2:$K$295,"ARGH")</f>
        <v>0</v>
      </c>
      <c r="CL49" s="3">
        <f>_xlfn.XLOOKUP(CL$1,generator!$B$2:$B$295,generator!$K$2:$K$295,"ARGH")</f>
        <v>0</v>
      </c>
      <c r="CM49" s="3">
        <f>_xlfn.XLOOKUP(CM$1,generator!$B$2:$B$295,generator!$K$2:$K$295,"ARGH")</f>
        <v>0</v>
      </c>
      <c r="CN49" s="3">
        <f>_xlfn.XLOOKUP(CN$1,generator!$B$2:$B$295,generator!$K$2:$K$295,"ARGH")</f>
        <v>0</v>
      </c>
      <c r="CO49" s="3">
        <f>_xlfn.XLOOKUP(CO$1,generator!$B$2:$B$295,generator!$K$2:$K$295,"ARGH")</f>
        <v>0</v>
      </c>
      <c r="CP49" s="3">
        <f>_xlfn.XLOOKUP(CP$1,generator!$B$2:$B$295,generator!$K$2:$K$295,"ARGH")</f>
        <v>0</v>
      </c>
      <c r="CQ49" s="3">
        <f>_xlfn.XLOOKUP(CQ$1,generator!$B$2:$B$295,generator!$K$2:$K$295,"ARGH")</f>
        <v>0</v>
      </c>
      <c r="CR49" s="3">
        <f>_xlfn.XLOOKUP(CR$1,generator!$B$2:$B$295,generator!$K$2:$K$295,"ARGH")</f>
        <v>0</v>
      </c>
      <c r="CS49" s="3">
        <f>_xlfn.XLOOKUP(CS$1,generator!$B$2:$B$295,generator!$K$2:$K$295,"ARGH")</f>
        <v>0</v>
      </c>
      <c r="CT49" s="3">
        <f>_xlfn.XLOOKUP(CT$1,generator!$B$2:$B$295,generator!$K$2:$K$295,"ARGH")</f>
        <v>0</v>
      </c>
      <c r="CU49" s="3">
        <f>_xlfn.XLOOKUP(CU$1,generator!$B$2:$B$295,generator!$K$2:$K$295,"ARGH")</f>
        <v>0</v>
      </c>
      <c r="CV49" s="3">
        <f>_xlfn.XLOOKUP(CV$1,generator!$B$2:$B$295,generator!$K$2:$K$295,"ARGH")</f>
        <v>0</v>
      </c>
      <c r="CW49" s="3">
        <f>_xlfn.XLOOKUP(CW$1,generator!$B$2:$B$295,generator!$K$2:$K$295,"ARGH")</f>
        <v>0</v>
      </c>
      <c r="CX49" s="3">
        <f>_xlfn.XLOOKUP(CX$1,generator!$B$2:$B$295,generator!$K$2:$K$295,"ARGH")</f>
        <v>0</v>
      </c>
      <c r="CY49" s="3">
        <f>_xlfn.XLOOKUP(CY$1,generator!$B$2:$B$295,generator!$K$2:$K$295,"ARGH")</f>
        <v>0</v>
      </c>
      <c r="CZ49" s="3">
        <f>_xlfn.XLOOKUP(CZ$1,generator!$B$2:$B$295,generator!$K$2:$K$295,"ARGH")</f>
        <v>0</v>
      </c>
      <c r="DA49" s="3">
        <f>_xlfn.XLOOKUP(DA$1,generator!$B$2:$B$295,generator!$K$2:$K$295,"ARGH")</f>
        <v>0</v>
      </c>
      <c r="DB49" s="3">
        <f>_xlfn.XLOOKUP(DB$1,generator!$B$2:$B$295,generator!$K$2:$K$295,"ARGH")</f>
        <v>0</v>
      </c>
      <c r="DC49" s="3">
        <f>_xlfn.XLOOKUP(DC$1,generator!$B$2:$B$295,generator!$K$2:$K$295,"ARGH")</f>
        <v>0</v>
      </c>
      <c r="DD49" s="3">
        <f>_xlfn.XLOOKUP(DD$1,generator!$B$2:$B$295,generator!$K$2:$K$295,"ARGH")</f>
        <v>0</v>
      </c>
      <c r="DE49" s="3">
        <f>_xlfn.XLOOKUP(DE$1,generator!$B$2:$B$295,generator!$K$2:$K$295,"ARGH")</f>
        <v>0</v>
      </c>
      <c r="DF49" s="3">
        <f>_xlfn.XLOOKUP(DF$1,generator!$B$2:$B$295,generator!$K$2:$K$295,"ARGH")</f>
        <v>0</v>
      </c>
      <c r="DG49" s="3">
        <f>_xlfn.XLOOKUP(DG$1,generator!$B$2:$B$295,generator!$K$2:$K$295,"ARGH")</f>
        <v>0</v>
      </c>
      <c r="DH49" s="3">
        <f>_xlfn.XLOOKUP(DH$1,generator!$B$2:$B$295,generator!$K$2:$K$295,"ARGH")</f>
        <v>0</v>
      </c>
      <c r="DI49" s="3">
        <f>_xlfn.XLOOKUP(DI$1,generator!$B$2:$B$295,generator!$K$2:$K$295,"ARGH")</f>
        <v>0</v>
      </c>
      <c r="DJ49" s="3">
        <f>_xlfn.XLOOKUP(DJ$1,generator!$B$2:$B$295,generator!$K$2:$K$295,"ARGH")</f>
        <v>0</v>
      </c>
      <c r="DK49" s="3">
        <f>_xlfn.XLOOKUP(DK$1,generator!$B$2:$B$295,generator!$K$2:$K$295,"ARGH")</f>
        <v>0</v>
      </c>
      <c r="DL49" s="3">
        <f>_xlfn.XLOOKUP(DL$1,generator!$B$2:$B$295,generator!$K$2:$K$295,"ARGH")</f>
        <v>0</v>
      </c>
      <c r="DM49" s="3">
        <f>_xlfn.XLOOKUP(DM$1,generator!$B$2:$B$295,generator!$K$2:$K$295,"ARGH")</f>
        <v>0</v>
      </c>
      <c r="DN49" s="3">
        <f>_xlfn.XLOOKUP(DN$1,generator!$B$2:$B$295,generator!$K$2:$K$295,"ARGH")</f>
        <v>0</v>
      </c>
      <c r="DO49" s="3">
        <f>_xlfn.XLOOKUP(DO$1,generator!$B$2:$B$295,generator!$K$2:$K$295,"ARGH")</f>
        <v>0</v>
      </c>
      <c r="DP49" s="3">
        <f>_xlfn.XLOOKUP(DP$1,generator!$B$2:$B$295,generator!$K$2:$K$295,"ARGH")</f>
        <v>0</v>
      </c>
      <c r="DQ49" s="3">
        <f>_xlfn.XLOOKUP(DQ$1,generator!$B$2:$B$295,generator!$K$2:$K$295,"ARGH")</f>
        <v>0</v>
      </c>
      <c r="DR49" s="3">
        <f>_xlfn.XLOOKUP(DR$1,generator!$B$2:$B$295,generator!$K$2:$K$295,"ARGH")</f>
        <v>0</v>
      </c>
      <c r="DS49" s="3">
        <f>_xlfn.XLOOKUP(DS$1,generator!$B$2:$B$295,generator!$K$2:$K$295,"ARGH")</f>
        <v>0</v>
      </c>
      <c r="DT49" s="3">
        <f>_xlfn.XLOOKUP(DT$1,generator!$B$2:$B$295,generator!$K$2:$K$295,"ARGH")</f>
        <v>0</v>
      </c>
      <c r="DU49" s="3">
        <f>_xlfn.XLOOKUP(DU$1,generator!$B$2:$B$295,generator!$K$2:$K$295,"ARGH")</f>
        <v>0</v>
      </c>
      <c r="DV49" s="3">
        <f>_xlfn.XLOOKUP(DV$1,generator!$B$2:$B$295,generator!$K$2:$K$295,"ARGH")</f>
        <v>0</v>
      </c>
      <c r="DW49" s="3">
        <f>_xlfn.XLOOKUP(DW$1,generator!$B$2:$B$295,generator!$K$2:$K$295,"ARGH")</f>
        <v>0</v>
      </c>
      <c r="DX49" s="3">
        <f>_xlfn.XLOOKUP(DX$1,generator!$B$2:$B$295,generator!$K$2:$K$295,"ARGH")</f>
        <v>0</v>
      </c>
      <c r="DY49" s="3">
        <f>_xlfn.XLOOKUP(DY$1,generator!$B$2:$B$295,generator!$K$2:$K$295,"ARGH")</f>
        <v>0</v>
      </c>
      <c r="DZ49" s="3">
        <f>_xlfn.XLOOKUP(DZ$1,generator!$B$2:$B$295,generator!$K$2:$K$295,"ARGH")</f>
        <v>0</v>
      </c>
      <c r="EA49" s="3">
        <f>_xlfn.XLOOKUP(EA$1,generator!$B$2:$B$295,generator!$K$2:$K$295,"ARGH")</f>
        <v>0</v>
      </c>
      <c r="EB49" s="3">
        <f>_xlfn.XLOOKUP(EB$1,generator!$B$2:$B$295,generator!$K$2:$K$295,"ARGH")</f>
        <v>0</v>
      </c>
      <c r="EC49" s="3">
        <f>_xlfn.XLOOKUP(EC$1,generator!$B$2:$B$295,generator!$K$2:$K$295,"ARGH")</f>
        <v>0</v>
      </c>
      <c r="ED49" s="3">
        <f>_xlfn.XLOOKUP(ED$1,generator!$B$2:$B$295,generator!$K$2:$K$295,"ARGH")</f>
        <v>0</v>
      </c>
      <c r="EE49" s="3">
        <f>_xlfn.XLOOKUP(EE$1,generator!$B$2:$B$295,generator!$K$2:$K$295,"ARGH")</f>
        <v>0</v>
      </c>
      <c r="EF49" s="3">
        <f>_xlfn.XLOOKUP(EF$1,generator!$B$2:$B$295,generator!$K$2:$K$295,"ARGH")</f>
        <v>0</v>
      </c>
      <c r="EG49" s="3">
        <f>_xlfn.XLOOKUP(EG$1,generator!$B$2:$B$295,generator!$K$2:$K$295,"ARGH")</f>
        <v>0</v>
      </c>
      <c r="EH49" s="3">
        <f>_xlfn.XLOOKUP(EH$1,generator!$B$2:$B$295,generator!$K$2:$K$295,"ARGH")</f>
        <v>0</v>
      </c>
      <c r="EI49" s="3">
        <f>_xlfn.XLOOKUP(EI$1,generator!$B$2:$B$295,generator!$K$2:$K$295,"ARGH")</f>
        <v>0</v>
      </c>
      <c r="EJ49" s="3">
        <f>_xlfn.XLOOKUP(EJ$1,generator!$B$2:$B$295,generator!$K$2:$K$295,"ARGH")</f>
        <v>0</v>
      </c>
      <c r="EK49" s="3">
        <f>_xlfn.XLOOKUP(EK$1,generator!$B$2:$B$295,generator!$K$2:$K$295,"ARGH")</f>
        <v>0</v>
      </c>
      <c r="EL49" s="3">
        <f>_xlfn.XLOOKUP(EL$1,generator!$B$2:$B$295,generator!$K$2:$K$295,"ARGH")</f>
        <v>0</v>
      </c>
      <c r="EM49" s="3">
        <f>_xlfn.XLOOKUP(EM$1,generator!$B$2:$B$295,generator!$K$2:$K$295,"ARGH")</f>
        <v>0</v>
      </c>
      <c r="EN49" s="3">
        <f>_xlfn.XLOOKUP(EN$1,generator!$B$2:$B$295,generator!$K$2:$K$295,"ARGH")</f>
        <v>0</v>
      </c>
      <c r="EO49" s="3">
        <f>_xlfn.XLOOKUP(EO$1,generator!$B$2:$B$295,generator!$K$2:$K$295,"ARGH")</f>
        <v>0</v>
      </c>
      <c r="EP49" s="3">
        <f>_xlfn.XLOOKUP(EP$1,generator!$B$2:$B$295,generator!$K$2:$K$295,"ARGH")</f>
        <v>0</v>
      </c>
      <c r="EQ49" s="3">
        <f>_xlfn.XLOOKUP(EQ$1,generator!$B$2:$B$295,generator!$K$2:$K$295,"ARGH")</f>
        <v>0</v>
      </c>
      <c r="ER49" s="3">
        <f>_xlfn.XLOOKUP(ER$1,generator!$B$2:$B$295,generator!$K$2:$K$295,"ARGH")</f>
        <v>0</v>
      </c>
      <c r="ES49" s="3">
        <f>_xlfn.XLOOKUP(ES$1,generator!$B$2:$B$295,generator!$K$2:$K$295,"ARGH")</f>
        <v>0</v>
      </c>
      <c r="ET49" s="3">
        <f>_xlfn.XLOOKUP(ET$1,generator!$B$2:$B$295,generator!$K$2:$K$295,"ARGH")</f>
        <v>0</v>
      </c>
      <c r="EU49" s="3">
        <f>_xlfn.XLOOKUP(EU$1,generator!$B$2:$B$295,generator!$K$2:$K$295,"ARGH")</f>
        <v>0</v>
      </c>
      <c r="EV49" s="3">
        <f>_xlfn.XLOOKUP(EV$1,generator!$B$2:$B$295,generator!$K$2:$K$295,"ARGH")</f>
        <v>0</v>
      </c>
      <c r="EW49" s="3">
        <f>_xlfn.XLOOKUP(EW$1,generator!$B$2:$B$295,generator!$K$2:$K$295,"ARGH")</f>
        <v>0</v>
      </c>
      <c r="EX49" s="3">
        <f>_xlfn.XLOOKUP(EX$1,generator!$B$2:$B$295,generator!$K$2:$K$295,"ARGH")</f>
        <v>0</v>
      </c>
      <c r="EY49" s="3">
        <f>_xlfn.XLOOKUP(EY$1,generator!$B$2:$B$295,generator!$K$2:$K$295,"ARGH")</f>
        <v>0</v>
      </c>
      <c r="EZ49" s="3">
        <f>_xlfn.XLOOKUP(EZ$1,generator!$B$2:$B$295,generator!$K$2:$K$295,"ARGH")</f>
        <v>0</v>
      </c>
      <c r="FA49" s="3">
        <f>_xlfn.XLOOKUP(FA$1,generator!$B$2:$B$295,generator!$K$2:$K$295,"ARGH")</f>
        <v>0</v>
      </c>
      <c r="FB49" s="3">
        <f>_xlfn.XLOOKUP(FB$1,generator!$B$2:$B$295,generator!$K$2:$K$295,"ARGH")</f>
        <v>0</v>
      </c>
      <c r="FC49" s="3">
        <f>_xlfn.XLOOKUP(FC$1,generator!$B$2:$B$295,generator!$K$2:$K$295,"ARGH")</f>
        <v>0</v>
      </c>
      <c r="FD49" s="3">
        <f>_xlfn.XLOOKUP(FD$1,generator!$B$2:$B$295,generator!$K$2:$K$295,"ARGH")</f>
        <v>0</v>
      </c>
      <c r="FE49" s="3">
        <f>_xlfn.XLOOKUP(FE$1,generator!$B$2:$B$295,generator!$K$2:$K$295,"ARGH")</f>
        <v>0</v>
      </c>
      <c r="FF49" s="3">
        <f>_xlfn.XLOOKUP(FF$1,generator!$B$2:$B$295,generator!$K$2:$K$295,"ARGH")</f>
        <v>0</v>
      </c>
      <c r="FG49" s="3">
        <f>_xlfn.XLOOKUP(FG$1,generator!$B$2:$B$295,generator!$K$2:$K$295,"ARGH")</f>
        <v>0</v>
      </c>
      <c r="FH49" s="3">
        <f>_xlfn.XLOOKUP(FH$1,generator!$B$2:$B$295,generator!$K$2:$K$295,"ARGH")</f>
        <v>0</v>
      </c>
      <c r="FI49" s="3">
        <f>_xlfn.XLOOKUP(FI$1,generator!$B$2:$B$295,generator!$K$2:$K$295,"ARGH")</f>
        <v>0</v>
      </c>
      <c r="FJ49" s="3">
        <f>_xlfn.XLOOKUP(FJ$1,generator!$B$2:$B$295,generator!$K$2:$K$295,"ARGH")</f>
        <v>0</v>
      </c>
      <c r="FK49" s="3">
        <f>_xlfn.XLOOKUP(FK$1,generator!$B$2:$B$295,generator!$K$2:$K$295,"ARGH")</f>
        <v>0</v>
      </c>
      <c r="FL49" s="3">
        <f>_xlfn.XLOOKUP(FL$1,generator!$B$2:$B$295,generator!$K$2:$K$295,"ARGH")</f>
        <v>0</v>
      </c>
      <c r="FM49" s="3">
        <f>_xlfn.XLOOKUP(FM$1,generator!$B$2:$B$295,generator!$K$2:$K$295,"ARGH")</f>
        <v>0</v>
      </c>
      <c r="FN49" s="3">
        <f>_xlfn.XLOOKUP(FN$1,generator!$B$2:$B$295,generator!$K$2:$K$295,"ARGH")</f>
        <v>0</v>
      </c>
      <c r="FO49" s="3">
        <f>_xlfn.XLOOKUP(FO$1,generator!$B$2:$B$295,generator!$K$2:$K$295,"ARGH")</f>
        <v>0</v>
      </c>
      <c r="FP49" s="3">
        <f>_xlfn.XLOOKUP(FP$1,generator!$B$2:$B$295,generator!$K$2:$K$295,"ARGH")</f>
        <v>0</v>
      </c>
      <c r="FQ49" s="3">
        <f>_xlfn.XLOOKUP(FQ$1,generator!$B$2:$B$295,generator!$K$2:$K$295,"ARGH")</f>
        <v>0</v>
      </c>
      <c r="FR49" s="3">
        <f>_xlfn.XLOOKUP(FR$1,generator!$B$2:$B$295,generator!$K$2:$K$295,"ARGH")</f>
        <v>0</v>
      </c>
      <c r="FS49" s="3">
        <f>_xlfn.XLOOKUP(FS$1,generator!$B$2:$B$295,generator!$K$2:$K$295,"ARGH")</f>
        <v>0</v>
      </c>
      <c r="FT49" s="3">
        <f>_xlfn.XLOOKUP(FT$1,generator!$B$2:$B$295,generator!$K$2:$K$295,"ARGH")</f>
        <v>0</v>
      </c>
      <c r="FU49" s="3">
        <f>_xlfn.XLOOKUP(FU$1,generator!$B$2:$B$295,generator!$K$2:$K$295,"ARGH")</f>
        <v>0</v>
      </c>
      <c r="FV49" s="3">
        <f>_xlfn.XLOOKUP(FV$1,generator!$B$2:$B$295,generator!$K$2:$K$295,"ARGH")</f>
        <v>0</v>
      </c>
      <c r="FW49" s="3">
        <f>_xlfn.XLOOKUP(FW$1,generator!$B$2:$B$295,generator!$K$2:$K$295,"ARGH")</f>
        <v>0</v>
      </c>
      <c r="FX49" s="3">
        <f>_xlfn.XLOOKUP(FX$1,generator!$B$2:$B$295,generator!$K$2:$K$295,"ARGH")</f>
        <v>0</v>
      </c>
      <c r="FY49" s="3">
        <f>_xlfn.XLOOKUP(FY$1,generator!$B$2:$B$295,generator!$K$2:$K$295,"ARGH")</f>
        <v>0</v>
      </c>
      <c r="FZ49" s="3">
        <f>_xlfn.XLOOKUP(FZ$1,generator!$B$2:$B$295,generator!$K$2:$K$295,"ARGH")</f>
        <v>0</v>
      </c>
      <c r="GA49" s="3">
        <f>_xlfn.XLOOKUP(GA$1,generator!$B$2:$B$295,generator!$K$2:$K$295,"ARGH")</f>
        <v>0</v>
      </c>
      <c r="GB49" s="3">
        <f>_xlfn.XLOOKUP(GB$1,generator!$B$2:$B$295,generator!$K$2:$K$295,"ARGH")</f>
        <v>0</v>
      </c>
      <c r="GC49" s="3">
        <f>_xlfn.XLOOKUP(GC$1,generator!$B$2:$B$295,generator!$K$2:$K$295,"ARGH")</f>
        <v>0</v>
      </c>
      <c r="GD49" s="3">
        <f>_xlfn.XLOOKUP(GD$1,generator!$B$2:$B$295,generator!$K$2:$K$295,"ARGH")</f>
        <v>0</v>
      </c>
      <c r="GE49" s="3">
        <f>_xlfn.XLOOKUP(GE$1,generator!$B$2:$B$295,generator!$K$2:$K$295,"ARGH")</f>
        <v>0</v>
      </c>
      <c r="GF49" s="3">
        <f>_xlfn.XLOOKUP(GF$1,generator!$B$2:$B$295,generator!$K$2:$K$295,"ARGH")</f>
        <v>0</v>
      </c>
      <c r="GG49" s="3">
        <f>_xlfn.XLOOKUP(GG$1,generator!$B$2:$B$295,generator!$K$2:$K$295,"ARGH")</f>
        <v>0</v>
      </c>
      <c r="GH49" s="3">
        <f>_xlfn.XLOOKUP(GH$1,generator!$B$2:$B$295,generator!$K$2:$K$295,"ARGH")</f>
        <v>0</v>
      </c>
      <c r="GI49" s="3">
        <f>_xlfn.XLOOKUP(GI$1,generator!$B$2:$B$295,generator!$K$2:$K$295,"ARGH")</f>
        <v>0</v>
      </c>
      <c r="GJ49" s="3">
        <f>_xlfn.XLOOKUP(GJ$1,generator!$B$2:$B$295,generator!$K$2:$K$295,"ARGH")</f>
        <v>0</v>
      </c>
      <c r="GK49" s="3">
        <f>_xlfn.XLOOKUP(GK$1,generator!$B$2:$B$295,generator!$K$2:$K$295,"ARGH")</f>
        <v>0</v>
      </c>
      <c r="GL49" s="3">
        <f>_xlfn.XLOOKUP(GL$1,generator!$B$2:$B$295,generator!$K$2:$K$295,"ARGH")</f>
        <v>0</v>
      </c>
      <c r="GM49" s="3">
        <f>_xlfn.XLOOKUP(GM$1,generator!$B$2:$B$295,generator!$K$2:$K$295,"ARGH")</f>
        <v>0</v>
      </c>
      <c r="GN49" s="3">
        <f>_xlfn.XLOOKUP(GN$1,generator!$B$2:$B$295,generator!$K$2:$K$295,"ARGH")</f>
        <v>0</v>
      </c>
      <c r="GO49" s="3">
        <f>_xlfn.XLOOKUP(GO$1,generator!$B$2:$B$295,generator!$K$2:$K$295,"ARGH")</f>
        <v>0</v>
      </c>
      <c r="GP49" s="3">
        <f>_xlfn.XLOOKUP(GP$1,generator!$B$2:$B$295,generator!$K$2:$K$295,"ARGH")</f>
        <v>0</v>
      </c>
      <c r="GQ49" s="3">
        <f>_xlfn.XLOOKUP(GQ$1,generator!$B$2:$B$295,generator!$K$2:$K$295,"ARGH")</f>
        <v>0</v>
      </c>
      <c r="GR49" s="3">
        <f>_xlfn.XLOOKUP(GR$1,generator!$B$2:$B$295,generator!$K$2:$K$295,"ARGH")</f>
        <v>0</v>
      </c>
      <c r="GS49" s="3">
        <f>_xlfn.XLOOKUP(GS$1,generator!$B$2:$B$295,generator!$K$2:$K$295,"ARGH")</f>
        <v>0</v>
      </c>
      <c r="GT49" s="3">
        <f>_xlfn.XLOOKUP(GT$1,generator!$B$2:$B$295,generator!$K$2:$K$295,"ARGH")</f>
        <v>0</v>
      </c>
      <c r="GU49" s="3">
        <f>_xlfn.XLOOKUP(GU$1,generator!$B$2:$B$295,generator!$K$2:$K$295,"ARGH")</f>
        <v>0</v>
      </c>
      <c r="GV49" s="3">
        <f>_xlfn.XLOOKUP(GV$1,generator!$B$2:$B$295,generator!$K$2:$K$295,"ARGH")</f>
        <v>0</v>
      </c>
      <c r="GW49" s="3">
        <f>_xlfn.XLOOKUP(GW$1,generator!$B$2:$B$295,generator!$K$2:$K$295,"ARGH")</f>
        <v>0</v>
      </c>
      <c r="GX49" s="3">
        <f>_xlfn.XLOOKUP(GX$1,generator!$B$2:$B$295,generator!$K$2:$K$295,"ARGH")</f>
        <v>0</v>
      </c>
      <c r="GY49" s="3">
        <f>_xlfn.XLOOKUP(GY$1,generator!$B$2:$B$295,generator!$K$2:$K$295,"ARGH")</f>
        <v>0</v>
      </c>
      <c r="GZ49" s="3">
        <f>_xlfn.XLOOKUP(GZ$1,generator!$B$2:$B$295,generator!$K$2:$K$295,"ARGH")</f>
        <v>0</v>
      </c>
      <c r="HA49" s="3">
        <f>_xlfn.XLOOKUP(HA$1,generator!$B$2:$B$295,generator!$K$2:$K$295,"ARGH")</f>
        <v>0</v>
      </c>
      <c r="HB49" s="3">
        <f>_xlfn.XLOOKUP(HB$1,generator!$B$2:$B$295,generator!$K$2:$K$295,"ARGH")</f>
        <v>0</v>
      </c>
      <c r="HC49" s="3">
        <f>_xlfn.XLOOKUP(HC$1,generator!$B$2:$B$295,generator!$K$2:$K$295,"ARGH")</f>
        <v>0</v>
      </c>
      <c r="HD49" s="3">
        <f>_xlfn.XLOOKUP(HD$1,generator!$B$2:$B$295,generator!$K$2:$K$295,"ARGH")</f>
        <v>0</v>
      </c>
      <c r="HE49" s="3">
        <f>_xlfn.XLOOKUP(HE$1,generator!$B$2:$B$295,generator!$K$2:$K$295,"ARGH")</f>
        <v>12.74</v>
      </c>
      <c r="HF49" s="3">
        <f>_xlfn.XLOOKUP(HF$1,generator!$B$2:$B$295,generator!$K$2:$K$295,"ARGH")</f>
        <v>99</v>
      </c>
      <c r="HG49" s="3">
        <f>_xlfn.XLOOKUP(HG$1,generator!$B$2:$B$295,generator!$K$2:$K$295,"ARGH")</f>
        <v>99</v>
      </c>
      <c r="HH49" s="3">
        <f>_xlfn.XLOOKUP(HH$1,generator!$B$2:$B$295,generator!$K$2:$K$295,"ARGH")</f>
        <v>99</v>
      </c>
      <c r="HI49" s="3">
        <f>_xlfn.XLOOKUP(HI$1,generator!$B$2:$B$295,generator!$K$2:$K$295,"ARGH")</f>
        <v>8</v>
      </c>
      <c r="HJ49" s="3">
        <f>_xlfn.XLOOKUP(HJ$1,generator!$B$2:$B$295,generator!$K$2:$K$295,"ARGH")</f>
        <v>8</v>
      </c>
      <c r="HK49" s="3">
        <f>_xlfn.XLOOKUP(HK$1,generator!$B$2:$B$295,generator!$K$2:$K$295,"ARGH")</f>
        <v>8</v>
      </c>
      <c r="HL49" s="3">
        <f>_xlfn.XLOOKUP(HL$1,generator!$B$2:$B$295,generator!$K$2:$K$295,"ARGH")</f>
        <v>20</v>
      </c>
      <c r="HM49" s="3">
        <f>_xlfn.XLOOKUP(HM$1,generator!$B$2:$B$295,generator!$K$2:$K$295,"ARGH")</f>
        <v>20</v>
      </c>
      <c r="HN49" s="3">
        <f>_xlfn.XLOOKUP(HN$1,generator!$B$2:$B$295,generator!$K$2:$K$295,"ARGH")</f>
        <v>5</v>
      </c>
      <c r="HO49" s="3">
        <f>_xlfn.XLOOKUP(HO$1,generator!$B$2:$B$295,generator!$K$2:$K$295,"ARGH")</f>
        <v>5</v>
      </c>
      <c r="HP49" s="3">
        <f>_xlfn.XLOOKUP(HP$1,generator!$B$2:$B$295,generator!$K$2:$K$295,"ARGH")</f>
        <v>0.2</v>
      </c>
      <c r="HQ49" s="3">
        <f>_xlfn.XLOOKUP(HQ$1,generator!$B$2:$B$295,generator!$K$2:$K$295,"ARGH")</f>
        <v>5</v>
      </c>
      <c r="HR49" s="3">
        <f>_xlfn.XLOOKUP(HR$1,generator!$B$2:$B$295,generator!$K$2:$K$295,"ARGH")</f>
        <v>5</v>
      </c>
      <c r="HS49" s="3">
        <f>_xlfn.XLOOKUP(HS$1,generator!$B$2:$B$295,generator!$K$2:$K$295,"ARGH")</f>
        <v>12.82</v>
      </c>
      <c r="HT49" s="3">
        <f>_xlfn.XLOOKUP(HT$1,generator!$B$2:$B$295,generator!$K$2:$K$295,"ARGH")</f>
        <v>12.82</v>
      </c>
      <c r="HU49" s="3">
        <f>_xlfn.XLOOKUP(HU$1,generator!$B$2:$B$295,generator!$K$2:$K$295,"ARGH")</f>
        <v>25</v>
      </c>
      <c r="HV49" s="3">
        <f>_xlfn.XLOOKUP(HV$1,generator!$B$2:$B$295,generator!$K$2:$K$295,"ARGH")</f>
        <v>16</v>
      </c>
      <c r="HW49" s="3">
        <f>_xlfn.XLOOKUP(HW$1,generator!$B$2:$B$295,generator!$K$2:$K$295,"ARGH")</f>
        <v>5</v>
      </c>
      <c r="HX49" s="3">
        <f>_xlfn.XLOOKUP(HX$1,generator!$B$2:$B$295,generator!$K$2:$K$295,"ARGH")</f>
        <v>5</v>
      </c>
      <c r="HY49" s="3">
        <f>_xlfn.XLOOKUP(HY$1,generator!$B$2:$B$295,generator!$K$2:$K$295,"ARGH")</f>
        <v>63</v>
      </c>
      <c r="HZ49" s="3">
        <f>_xlfn.XLOOKUP(HZ$1,generator!$B$2:$B$295,generator!$K$2:$K$295,"ARGH")</f>
        <v>18</v>
      </c>
      <c r="IA49" s="3">
        <f>_xlfn.XLOOKUP(IA$1,generator!$B$2:$B$295,generator!$K$2:$K$295,"ARGH")</f>
        <v>121</v>
      </c>
      <c r="IB49" s="3">
        <f>_xlfn.XLOOKUP(IB$1,generator!$B$2:$B$295,generator!$K$2:$K$295,"ARGH")</f>
        <v>120</v>
      </c>
      <c r="IC49" s="3">
        <f>_xlfn.XLOOKUP(IC$1,generator!$B$2:$B$295,generator!$K$2:$K$295,"ARGH")</f>
        <v>0</v>
      </c>
      <c r="ID49" s="3">
        <f>_xlfn.XLOOKUP(ID$1,generator!$B$2:$B$295,generator!$K$2:$K$295,"ARGH")</f>
        <v>17</v>
      </c>
      <c r="IE49" s="3">
        <f>_xlfn.XLOOKUP(IE$1,generator!$B$2:$B$295,generator!$K$2:$K$295,"ARGH")</f>
        <v>194</v>
      </c>
      <c r="IF49" s="3">
        <f>_xlfn.XLOOKUP(IF$1,generator!$B$2:$B$295,generator!$K$2:$K$295,"ARGH")</f>
        <v>11.9</v>
      </c>
      <c r="IG49" s="3">
        <f>_xlfn.XLOOKUP(IG$1,generator!$B$2:$B$295,generator!$K$2:$K$295,"ARGH")</f>
        <v>11.9</v>
      </c>
      <c r="IH49" s="3">
        <f>_xlfn.XLOOKUP(IH$1,generator!$B$2:$B$295,generator!$K$2:$K$295,"ARGH")</f>
        <v>11.9</v>
      </c>
      <c r="II49" s="3">
        <f>_xlfn.XLOOKUP(II$1,generator!$B$2:$B$295,generator!$K$2:$K$295,"ARGH")</f>
        <v>11.9</v>
      </c>
      <c r="IJ49" s="3">
        <f>_xlfn.XLOOKUP(IJ$1,generator!$B$2:$B$295,generator!$K$2:$K$295,"ARGH")</f>
        <v>0</v>
      </c>
      <c r="IK49" s="3">
        <f>_xlfn.XLOOKUP(IK$1,generator!$B$2:$B$295,generator!$K$2:$K$295,"ARGH")</f>
        <v>3</v>
      </c>
      <c r="IL49" s="3">
        <f>_xlfn.XLOOKUP(IL$1,generator!$B$2:$B$295,generator!$K$2:$K$295,"ARGH")</f>
        <v>5</v>
      </c>
      <c r="IM49" s="3">
        <f>_xlfn.XLOOKUP(IM$1,generator!$B$2:$B$295,generator!$K$2:$K$295,"ARGH")</f>
        <v>5</v>
      </c>
      <c r="IN49" s="3">
        <f>_xlfn.XLOOKUP(IN$1,generator!$B$2:$B$295,generator!$K$2:$K$295,"ARGH")</f>
        <v>4</v>
      </c>
      <c r="IO49" s="3">
        <f>_xlfn.XLOOKUP(IO$1,generator!$B$2:$B$295,generator!$K$2:$K$295,"ARGH")</f>
        <v>4</v>
      </c>
      <c r="IP49" s="3">
        <f>_xlfn.XLOOKUP(IP$1,generator!$B$2:$B$295,generator!$K$2:$K$295,"ARGH")</f>
        <v>3</v>
      </c>
      <c r="IQ49" s="3">
        <f>_xlfn.XLOOKUP(IQ$1,generator!$B$2:$B$295,generator!$K$2:$K$295,"ARGH")</f>
        <v>1</v>
      </c>
      <c r="IR49" s="3">
        <f>_xlfn.XLOOKUP(IR$1,generator!$B$2:$B$295,generator!$K$2:$K$295,"ARGH")</f>
        <v>3</v>
      </c>
      <c r="IS49" s="3">
        <f>_xlfn.XLOOKUP(IS$1,generator!$B$2:$B$295,generator!$K$2:$K$295,"ARGH")</f>
        <v>3</v>
      </c>
      <c r="IT49" s="3">
        <f>_xlfn.XLOOKUP(IT$1,generator!$B$2:$B$295,generator!$K$2:$K$295,"ARGH")</f>
        <v>0</v>
      </c>
      <c r="IU49" s="3">
        <f>_xlfn.XLOOKUP(IU$1,generator!$B$2:$B$295,generator!$K$2:$K$295,"ARGH")</f>
        <v>3.99</v>
      </c>
      <c r="IV49" s="3">
        <f>_xlfn.XLOOKUP(IV$1,generator!$B$2:$B$295,generator!$K$2:$K$295,"ARGH")</f>
        <v>0.2</v>
      </c>
      <c r="IW49" s="3">
        <f>_xlfn.XLOOKUP(IW$1,generator!$B$2:$B$295,generator!$K$2:$K$295,"ARGH")</f>
        <v>15</v>
      </c>
      <c r="IX49" s="3">
        <f>_xlfn.XLOOKUP(IX$1,generator!$B$2:$B$295,generator!$K$2:$K$295,"ARGH")</f>
        <v>15</v>
      </c>
      <c r="IY49" s="3">
        <f>_xlfn.XLOOKUP(IY$1,generator!$B$2:$B$295,generator!$K$2:$K$295,"ARGH")</f>
        <v>15</v>
      </c>
      <c r="IZ49" s="3">
        <f>_xlfn.XLOOKUP(IZ$1,generator!$B$2:$B$295,generator!$K$2:$K$295,"ARGH")</f>
        <v>120</v>
      </c>
      <c r="JA49" s="3">
        <f>_xlfn.XLOOKUP(JA$1,generator!$B$2:$B$295,generator!$K$2:$K$295,"ARGH")</f>
        <v>40</v>
      </c>
      <c r="JB49" s="3">
        <f>_xlfn.XLOOKUP(JB$1,generator!$B$2:$B$295,generator!$K$2:$K$295,"ARGH")</f>
        <v>40</v>
      </c>
      <c r="JC49" s="3">
        <f>_xlfn.XLOOKUP(JC$1,generator!$B$2:$B$295,generator!$K$2:$K$295,"ARGH")</f>
        <v>113</v>
      </c>
      <c r="JD49" s="3">
        <f>_xlfn.XLOOKUP(JD$1,generator!$B$2:$B$295,generator!$K$2:$K$295,"ARGH")</f>
        <v>113</v>
      </c>
      <c r="JE49" s="3">
        <f>_xlfn.XLOOKUP(JE$1,generator!$B$2:$B$295,generator!$K$2:$K$295,"ARGH")</f>
        <v>211</v>
      </c>
      <c r="JF49" s="3">
        <f>_xlfn.XLOOKUP(JF$1,generator!$B$2:$B$295,generator!$K$2:$K$295,"ARGH")</f>
        <v>22.5</v>
      </c>
      <c r="JG49" s="3">
        <f>_xlfn.XLOOKUP(JG$1,generator!$B$2:$B$295,generator!$K$2:$K$295,"ARGH")</f>
        <v>1</v>
      </c>
      <c r="JH49" s="3">
        <f>_xlfn.XLOOKUP(JH$1,generator!$B$2:$B$295,generator!$K$2:$K$295,"ARGH")</f>
        <v>160</v>
      </c>
      <c r="JI49" s="3">
        <f>_xlfn.XLOOKUP(JI$1,generator!$B$2:$B$295,generator!$K$2:$K$295,"ARGH")</f>
        <v>165</v>
      </c>
      <c r="JJ49" s="3">
        <f>_xlfn.XLOOKUP(JJ$1,generator!$B$2:$B$295,generator!$K$2:$K$295,"ARGH")</f>
        <v>4.5999999999999996</v>
      </c>
      <c r="JK49" s="3">
        <f>_xlfn.XLOOKUP(JK$1,generator!$B$2:$B$295,generator!$K$2:$K$295,"ARGH")</f>
        <v>4.5999999999999996</v>
      </c>
      <c r="JL49" s="3">
        <f>_xlfn.XLOOKUP(JL$1,generator!$B$2:$B$295,generator!$K$2:$K$295,"ARGH")</f>
        <v>4.5999999999999996</v>
      </c>
      <c r="JM49" s="3">
        <f>_xlfn.XLOOKUP(JM$1,generator!$B$2:$B$295,generator!$K$2:$K$295,"ARGH")</f>
        <v>4.5999999999999996</v>
      </c>
      <c r="JN49" s="3">
        <f>_xlfn.XLOOKUP(JN$1,generator!$B$2:$B$295,generator!$K$2:$K$295,"ARGH")</f>
        <v>4.5999999999999996</v>
      </c>
      <c r="JO49" s="3">
        <f>_xlfn.XLOOKUP(JO$1,generator!$B$2:$B$295,generator!$K$2:$K$295,"ARGH")</f>
        <v>4.5999999999999996</v>
      </c>
      <c r="JP49" s="3">
        <f>_xlfn.XLOOKUP(JP$1,generator!$B$2:$B$295,generator!$K$2:$K$295,"ARGH")</f>
        <v>110</v>
      </c>
      <c r="JQ49" s="3">
        <f>_xlfn.XLOOKUP(JQ$1,generator!$B$2:$B$295,generator!$K$2:$K$295,"ARGH")</f>
        <v>22.7</v>
      </c>
      <c r="JR49" s="3">
        <f>_xlfn.XLOOKUP(JR$1,generator!$B$2:$B$295,generator!$K$2:$K$295,"ARGH")</f>
        <v>147</v>
      </c>
      <c r="JS49" s="3">
        <f>_xlfn.XLOOKUP(JS$1,generator!$B$2:$B$295,generator!$K$2:$K$295,"ARGH")</f>
        <v>147</v>
      </c>
      <c r="JT49" s="3">
        <f>_xlfn.XLOOKUP(JT$1,generator!$B$2:$B$295,generator!$K$2:$K$295,"ARGH")</f>
        <v>22.7</v>
      </c>
      <c r="JU49" s="3">
        <f>_xlfn.XLOOKUP(JU$1,generator!$B$2:$B$295,generator!$K$2:$K$295,"ARGH")</f>
        <v>21.5</v>
      </c>
      <c r="JV49" s="3">
        <f>_xlfn.XLOOKUP(JV$1,generator!$B$2:$B$295,generator!$K$2:$K$295,"ARGH")</f>
        <v>120</v>
      </c>
      <c r="JW49" s="3">
        <f>_xlfn.XLOOKUP(JW$1,generator!$B$2:$B$295,generator!$K$2:$K$295,"ARGH")</f>
        <v>120</v>
      </c>
      <c r="JX49" s="3">
        <f>_xlfn.XLOOKUP(JX$1,generator!$B$2:$B$295,generator!$K$2:$K$295,"ARGH")</f>
        <v>1</v>
      </c>
      <c r="JY49" s="3">
        <f>_xlfn.XLOOKUP(JY$1,generator!$B$2:$B$295,generator!$K$2:$K$295,"ARGH")</f>
        <v>41.15</v>
      </c>
      <c r="JZ49" s="3">
        <f>_xlfn.XLOOKUP(JZ$1,generator!$B$2:$B$295,generator!$K$2:$K$295,"ARGH")</f>
        <v>5</v>
      </c>
      <c r="KA49" s="3">
        <f>_xlfn.XLOOKUP(KA$1,generator!$B$2:$B$295,generator!$K$2:$K$295,"ARGH")</f>
        <v>5</v>
      </c>
      <c r="KB49" s="3">
        <f>_xlfn.XLOOKUP(KB$1,generator!$B$2:$B$295,generator!$K$2:$K$295,"ARGH")</f>
        <v>5</v>
      </c>
      <c r="KC49" s="3">
        <f>_xlfn.XLOOKUP(KC$1,generator!$B$2:$B$295,generator!$K$2:$K$295,"ARGH")</f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7833-C776-4964-8138-2165D62714D7}">
  <sheetPr>
    <tabColor theme="4" tint="-0.249977111117893"/>
  </sheetPr>
  <dimension ref="A1:KC49"/>
  <sheetViews>
    <sheetView workbookViewId="0">
      <selection activeCell="J9" sqref="J9"/>
    </sheetView>
  </sheetViews>
  <sheetFormatPr defaultRowHeight="14.4" x14ac:dyDescent="0.3"/>
  <cols>
    <col min="1" max="1" width="13.6640625" bestFit="1" customWidth="1"/>
  </cols>
  <sheetData>
    <row r="1" spans="1:289" x14ac:dyDescent="0.3">
      <c r="A1" s="2" t="s">
        <v>31</v>
      </c>
      <c r="B1" s="30" t="s">
        <v>1867</v>
      </c>
      <c r="C1" s="30" t="s">
        <v>1876</v>
      </c>
      <c r="D1" s="30" t="s">
        <v>1984</v>
      </c>
      <c r="E1" s="32" t="s">
        <v>1872</v>
      </c>
      <c r="F1" s="32" t="s">
        <v>1879</v>
      </c>
      <c r="G1" s="32" t="s">
        <v>1882</v>
      </c>
      <c r="H1" s="32" t="s">
        <v>1885</v>
      </c>
      <c r="I1" s="32" t="s">
        <v>1888</v>
      </c>
      <c r="J1" s="32" t="s">
        <v>1891</v>
      </c>
      <c r="K1" s="32" t="s">
        <v>1894</v>
      </c>
      <c r="L1" s="32" t="s">
        <v>1897</v>
      </c>
      <c r="M1" s="32" t="s">
        <v>1917</v>
      </c>
      <c r="N1" s="32" t="s">
        <v>1920</v>
      </c>
      <c r="O1" s="32" t="s">
        <v>1923</v>
      </c>
      <c r="P1" s="32" t="s">
        <v>1939</v>
      </c>
      <c r="Q1" s="32" t="s">
        <v>1942</v>
      </c>
      <c r="R1" s="32" t="s">
        <v>1945</v>
      </c>
      <c r="S1" s="32" t="s">
        <v>1948</v>
      </c>
      <c r="T1" s="32" t="s">
        <v>1951</v>
      </c>
      <c r="U1" s="32" t="s">
        <v>1987</v>
      </c>
      <c r="V1" s="32" t="s">
        <v>1994</v>
      </c>
      <c r="W1" s="32" t="s">
        <v>1997</v>
      </c>
      <c r="X1" s="32" t="s">
        <v>2003</v>
      </c>
      <c r="Y1" s="32" t="s">
        <v>2006</v>
      </c>
      <c r="Z1" s="32" t="s">
        <v>2012</v>
      </c>
      <c r="AA1" s="32" t="s">
        <v>2015</v>
      </c>
      <c r="AB1" s="32" t="s">
        <v>2021</v>
      </c>
      <c r="AC1" s="32" t="s">
        <v>2024</v>
      </c>
      <c r="AD1" s="32" t="s">
        <v>2027</v>
      </c>
      <c r="AE1" s="32" t="s">
        <v>2030</v>
      </c>
      <c r="AF1" s="32" t="s">
        <v>2033</v>
      </c>
      <c r="AG1" s="32" t="s">
        <v>2036</v>
      </c>
      <c r="AH1" s="32" t="s">
        <v>2039</v>
      </c>
      <c r="AI1" s="32" t="s">
        <v>2042</v>
      </c>
      <c r="AJ1" s="32" t="s">
        <v>2045</v>
      </c>
      <c r="AK1" s="32" t="s">
        <v>2048</v>
      </c>
      <c r="AL1" s="32" t="s">
        <v>2051</v>
      </c>
      <c r="AM1" s="32" t="s">
        <v>2054</v>
      </c>
      <c r="AN1" s="32" t="s">
        <v>2060</v>
      </c>
      <c r="AO1" s="32" t="s">
        <v>2063</v>
      </c>
      <c r="AP1" s="32" t="s">
        <v>2069</v>
      </c>
      <c r="AQ1" s="32" t="s">
        <v>2072</v>
      </c>
      <c r="AR1" s="32" t="s">
        <v>2075</v>
      </c>
      <c r="AS1" s="32" t="s">
        <v>2084</v>
      </c>
      <c r="AT1" s="32" t="s">
        <v>2087</v>
      </c>
      <c r="AU1" s="32" t="s">
        <v>2090</v>
      </c>
      <c r="AV1" s="32" t="s">
        <v>2093</v>
      </c>
      <c r="AW1" s="32" t="s">
        <v>2096</v>
      </c>
      <c r="AX1" s="32" t="s">
        <v>2099</v>
      </c>
      <c r="AY1" s="32" t="s">
        <v>2102</v>
      </c>
      <c r="AZ1" s="32" t="s">
        <v>2105</v>
      </c>
      <c r="BA1" s="32" t="s">
        <v>2108</v>
      </c>
      <c r="BB1" s="32" t="s">
        <v>2117</v>
      </c>
      <c r="BC1" s="32" t="s">
        <v>2120</v>
      </c>
      <c r="BD1" s="32" t="s">
        <v>2123</v>
      </c>
      <c r="BE1" s="32" t="s">
        <v>2126</v>
      </c>
      <c r="BF1" s="32" t="s">
        <v>2129</v>
      </c>
      <c r="BG1" s="32" t="s">
        <v>2132</v>
      </c>
      <c r="BH1" s="32" t="s">
        <v>2135</v>
      </c>
      <c r="BI1" s="32" t="s">
        <v>2138</v>
      </c>
      <c r="BJ1" s="32" t="s">
        <v>2141</v>
      </c>
      <c r="BK1" s="32" t="s">
        <v>2149</v>
      </c>
      <c r="BL1" s="32" t="s">
        <v>2160</v>
      </c>
      <c r="BM1" s="32" t="s">
        <v>2163</v>
      </c>
      <c r="BN1" s="32" t="s">
        <v>2166</v>
      </c>
      <c r="BO1" s="32" t="s">
        <v>2169</v>
      </c>
      <c r="BP1" s="32" t="s">
        <v>2172</v>
      </c>
      <c r="BQ1" s="32" t="s">
        <v>2175</v>
      </c>
      <c r="BR1" s="32" t="s">
        <v>2178</v>
      </c>
      <c r="BS1" s="32" t="s">
        <v>2181</v>
      </c>
      <c r="BT1" s="32" t="s">
        <v>2184</v>
      </c>
      <c r="BU1" s="32" t="s">
        <v>2187</v>
      </c>
      <c r="BV1" s="32" t="s">
        <v>2190</v>
      </c>
      <c r="BW1" s="32" t="s">
        <v>2193</v>
      </c>
      <c r="BX1" s="32" t="s">
        <v>2201</v>
      </c>
      <c r="BY1" s="32" t="s">
        <v>2204</v>
      </c>
      <c r="BZ1" s="32" t="s">
        <v>2219</v>
      </c>
      <c r="CA1" s="32" t="s">
        <v>2225</v>
      </c>
      <c r="CB1" s="32" t="s">
        <v>2234</v>
      </c>
      <c r="CC1" s="32" t="s">
        <v>2244</v>
      </c>
      <c r="CD1" s="32" t="s">
        <v>2247</v>
      </c>
      <c r="CE1" s="32" t="s">
        <v>2250</v>
      </c>
      <c r="CF1" s="32" t="s">
        <v>2256</v>
      </c>
      <c r="CG1" s="32" t="s">
        <v>2262</v>
      </c>
      <c r="CH1" s="32" t="s">
        <v>2265</v>
      </c>
      <c r="CI1" s="32" t="s">
        <v>2268</v>
      </c>
      <c r="CJ1" s="32" t="s">
        <v>2271</v>
      </c>
      <c r="CK1" s="32" t="s">
        <v>2274</v>
      </c>
      <c r="CL1" s="32" t="s">
        <v>2277</v>
      </c>
      <c r="CM1" s="32" t="s">
        <v>2280</v>
      </c>
      <c r="CN1" s="32" t="s">
        <v>2296</v>
      </c>
      <c r="CO1" s="32" t="s">
        <v>2299</v>
      </c>
      <c r="CP1" s="32" t="s">
        <v>2302</v>
      </c>
      <c r="CQ1" s="32" t="s">
        <v>2305</v>
      </c>
      <c r="CR1" s="32" t="s">
        <v>2308</v>
      </c>
      <c r="CS1" s="32" t="s">
        <v>2311</v>
      </c>
      <c r="CT1" s="32" t="s">
        <v>2318</v>
      </c>
      <c r="CU1" s="32" t="s">
        <v>2321</v>
      </c>
      <c r="CV1" s="32" t="s">
        <v>2324</v>
      </c>
      <c r="CW1" s="32" t="s">
        <v>2327</v>
      </c>
      <c r="CX1" s="32" t="s">
        <v>2330</v>
      </c>
      <c r="CY1" s="32" t="s">
        <v>2333</v>
      </c>
      <c r="CZ1" s="32" t="s">
        <v>2336</v>
      </c>
      <c r="DA1" s="32" t="s">
        <v>2339</v>
      </c>
      <c r="DB1" s="32" t="s">
        <v>2342</v>
      </c>
      <c r="DC1" s="32" t="s">
        <v>2345</v>
      </c>
      <c r="DD1" s="32" t="s">
        <v>2348</v>
      </c>
      <c r="DE1" s="32" t="s">
        <v>2351</v>
      </c>
      <c r="DF1" s="32" t="s">
        <v>2354</v>
      </c>
      <c r="DG1" s="32" t="s">
        <v>2371</v>
      </c>
      <c r="DH1" s="32" t="s">
        <v>2407</v>
      </c>
      <c r="DI1" s="32" t="s">
        <v>2413</v>
      </c>
      <c r="DJ1" s="32" t="s">
        <v>2416</v>
      </c>
      <c r="DK1" s="32" t="s">
        <v>2419</v>
      </c>
      <c r="DL1" s="32" t="s">
        <v>2422</v>
      </c>
      <c r="DM1" s="32" t="s">
        <v>2428</v>
      </c>
      <c r="DN1" s="32" t="s">
        <v>2453</v>
      </c>
      <c r="DO1" s="32" t="s">
        <v>2456</v>
      </c>
      <c r="DP1" s="32" t="s">
        <v>2459</v>
      </c>
      <c r="DQ1" s="32" t="s">
        <v>2462</v>
      </c>
      <c r="DR1" s="32" t="s">
        <v>2465</v>
      </c>
      <c r="DS1" s="32" t="s">
        <v>2471</v>
      </c>
      <c r="DT1" s="32" t="s">
        <v>2474</v>
      </c>
      <c r="DU1" s="32" t="s">
        <v>2477</v>
      </c>
      <c r="DV1" s="32" t="s">
        <v>2480</v>
      </c>
      <c r="DW1" s="32" t="s">
        <v>2483</v>
      </c>
      <c r="DX1" s="32" t="s">
        <v>2486</v>
      </c>
      <c r="DY1" s="32" t="s">
        <v>2489</v>
      </c>
      <c r="DZ1" s="32" t="s">
        <v>2492</v>
      </c>
      <c r="EA1" s="32" t="s">
        <v>2507</v>
      </c>
      <c r="EB1" s="32" t="s">
        <v>2510</v>
      </c>
      <c r="EC1" s="32" t="s">
        <v>2513</v>
      </c>
      <c r="ED1" s="32" t="s">
        <v>2516</v>
      </c>
      <c r="EE1" s="32" t="s">
        <v>2519</v>
      </c>
      <c r="EF1" s="32" t="s">
        <v>2522</v>
      </c>
      <c r="EG1" s="32" t="s">
        <v>2525</v>
      </c>
      <c r="EH1" s="32" t="s">
        <v>2528</v>
      </c>
      <c r="EI1" s="32" t="s">
        <v>2531</v>
      </c>
      <c r="EJ1" s="32" t="s">
        <v>2534</v>
      </c>
      <c r="EK1" s="32" t="s">
        <v>2537</v>
      </c>
      <c r="EL1" s="32" t="s">
        <v>2543</v>
      </c>
      <c r="EM1" s="32" t="s">
        <v>2549</v>
      </c>
      <c r="EN1" s="32" t="s">
        <v>2552</v>
      </c>
      <c r="EO1" s="32" t="s">
        <v>2555</v>
      </c>
      <c r="EP1" s="32" t="s">
        <v>2558</v>
      </c>
      <c r="EQ1" s="32" t="s">
        <v>2561</v>
      </c>
      <c r="ER1" s="32" t="s">
        <v>2564</v>
      </c>
      <c r="ES1" s="32" t="s">
        <v>2567</v>
      </c>
      <c r="ET1" s="32" t="s">
        <v>2570</v>
      </c>
      <c r="EU1" s="32" t="s">
        <v>2573</v>
      </c>
      <c r="EV1" s="32" t="s">
        <v>2586</v>
      </c>
      <c r="EW1" s="32" t="s">
        <v>2592</v>
      </c>
      <c r="EX1" s="32" t="s">
        <v>2595</v>
      </c>
      <c r="EY1" s="32" t="s">
        <v>2598</v>
      </c>
      <c r="EZ1" s="32" t="s">
        <v>2612</v>
      </c>
      <c r="FA1" s="32" t="s">
        <v>2615</v>
      </c>
      <c r="FB1" s="32" t="s">
        <v>2618</v>
      </c>
      <c r="FC1" s="32" t="s">
        <v>2621</v>
      </c>
      <c r="FD1" s="32" t="s">
        <v>2624</v>
      </c>
      <c r="FE1" s="32" t="s">
        <v>2649</v>
      </c>
      <c r="FF1" s="32" t="s">
        <v>2652</v>
      </c>
      <c r="FG1" s="32" t="s">
        <v>2658</v>
      </c>
      <c r="FH1" s="32" t="s">
        <v>2661</v>
      </c>
      <c r="FI1" s="32" t="s">
        <v>2667</v>
      </c>
      <c r="FJ1" s="32" t="s">
        <v>2670</v>
      </c>
      <c r="FK1" s="32" t="s">
        <v>2673</v>
      </c>
      <c r="FL1" s="32" t="s">
        <v>2676</v>
      </c>
      <c r="FM1" s="32" t="s">
        <v>2682</v>
      </c>
      <c r="FN1" s="32" t="s">
        <v>2685</v>
      </c>
      <c r="FO1" s="32" t="s">
        <v>2702</v>
      </c>
      <c r="FP1" s="32" t="s">
        <v>2705</v>
      </c>
      <c r="FQ1" s="32" t="s">
        <v>2712</v>
      </c>
      <c r="FR1" s="32" t="s">
        <v>2722</v>
      </c>
      <c r="FS1" s="32" t="s">
        <v>2725</v>
      </c>
      <c r="FT1" s="32" t="s">
        <v>2728</v>
      </c>
      <c r="FU1" s="32" t="s">
        <v>2731</v>
      </c>
      <c r="FV1" s="32" t="s">
        <v>2734</v>
      </c>
      <c r="FW1" s="32" t="s">
        <v>2737</v>
      </c>
      <c r="FX1" s="32" t="s">
        <v>2740</v>
      </c>
      <c r="FY1" s="32" t="s">
        <v>2743</v>
      </c>
      <c r="FZ1" s="32" t="s">
        <v>2746</v>
      </c>
      <c r="GA1" s="32" t="s">
        <v>2749</v>
      </c>
      <c r="GB1" s="32" t="s">
        <v>2752</v>
      </c>
      <c r="GC1" s="32" t="s">
        <v>2755</v>
      </c>
      <c r="GD1" s="32" t="s">
        <v>2761</v>
      </c>
      <c r="GE1" s="32" t="s">
        <v>2764</v>
      </c>
      <c r="GF1" s="32" t="s">
        <v>2784</v>
      </c>
      <c r="GG1" s="32" t="s">
        <v>2787</v>
      </c>
      <c r="GH1" s="32" t="s">
        <v>2790</v>
      </c>
      <c r="GI1" s="32" t="s">
        <v>2793</v>
      </c>
      <c r="GJ1" s="32" t="s">
        <v>2796</v>
      </c>
      <c r="GK1" s="32" t="s">
        <v>2799</v>
      </c>
      <c r="GL1" s="32" t="s">
        <v>2802</v>
      </c>
      <c r="GM1" s="29" t="s">
        <v>1990</v>
      </c>
      <c r="GN1" s="29" t="s">
        <v>2018</v>
      </c>
      <c r="GO1" s="29" t="s">
        <v>2057</v>
      </c>
      <c r="GP1" s="29" t="s">
        <v>2222</v>
      </c>
      <c r="GQ1" s="29" t="s">
        <v>2259</v>
      </c>
      <c r="GR1" s="29" t="s">
        <v>2287</v>
      </c>
      <c r="GS1" s="29" t="s">
        <v>2290</v>
      </c>
      <c r="GT1" s="29" t="s">
        <v>2293</v>
      </c>
      <c r="GU1" s="29" t="s">
        <v>2498</v>
      </c>
      <c r="GV1" s="29" t="s">
        <v>2501</v>
      </c>
      <c r="GW1" s="29" t="s">
        <v>2504</v>
      </c>
      <c r="GX1" s="29" t="s">
        <v>2540</v>
      </c>
      <c r="GY1" s="29" t="s">
        <v>2546</v>
      </c>
      <c r="GZ1" s="29" t="s">
        <v>2601</v>
      </c>
      <c r="HA1" s="29" t="s">
        <v>2655</v>
      </c>
      <c r="HB1" s="29" t="s">
        <v>2664</v>
      </c>
      <c r="HC1" s="29" t="s">
        <v>2679</v>
      </c>
      <c r="HD1" s="29" t="s">
        <v>2758</v>
      </c>
      <c r="HE1" s="34" t="s">
        <v>2144</v>
      </c>
      <c r="HF1" s="34" t="s">
        <v>2576</v>
      </c>
      <c r="HG1" s="34" t="s">
        <v>2582</v>
      </c>
      <c r="HH1" s="34" t="s">
        <v>2589</v>
      </c>
      <c r="HI1" s="34" t="s">
        <v>1961</v>
      </c>
      <c r="HJ1" s="34" t="s">
        <v>1967</v>
      </c>
      <c r="HK1" s="34" t="s">
        <v>2155</v>
      </c>
      <c r="HL1" s="34" t="s">
        <v>2212</v>
      </c>
      <c r="HM1" s="34" t="s">
        <v>2216</v>
      </c>
      <c r="HN1" s="34" t="s">
        <v>2237</v>
      </c>
      <c r="HO1" s="34" t="s">
        <v>2241</v>
      </c>
      <c r="HP1" s="34" t="s">
        <v>2425</v>
      </c>
      <c r="HQ1" s="34" t="s">
        <v>2431</v>
      </c>
      <c r="HR1" s="34" t="s">
        <v>2435</v>
      </c>
      <c r="HS1" s="34" t="s">
        <v>2438</v>
      </c>
      <c r="HT1" s="34" t="s">
        <v>2442</v>
      </c>
      <c r="HU1" s="34" t="s">
        <v>2608</v>
      </c>
      <c r="HV1" s="34" t="s">
        <v>2691</v>
      </c>
      <c r="HW1" s="34" t="s">
        <v>2715</v>
      </c>
      <c r="HX1" s="34" t="s">
        <v>2719</v>
      </c>
      <c r="HY1" s="34" t="s">
        <v>1971</v>
      </c>
      <c r="HZ1" s="34" t="s">
        <v>2283</v>
      </c>
      <c r="IA1" s="34" t="s">
        <v>2362</v>
      </c>
      <c r="IB1" s="34" t="s">
        <v>2367</v>
      </c>
      <c r="IC1" s="34" t="s">
        <v>2495</v>
      </c>
      <c r="ID1" s="34" t="s">
        <v>2604</v>
      </c>
      <c r="IE1" s="34" t="s">
        <v>2780</v>
      </c>
      <c r="IF1" s="34" t="s">
        <v>1926</v>
      </c>
      <c r="IG1" s="34" t="s">
        <v>1930</v>
      </c>
      <c r="IH1" s="34" t="s">
        <v>1933</v>
      </c>
      <c r="II1" s="34" t="s">
        <v>1936</v>
      </c>
      <c r="IJ1" s="34" t="s">
        <v>2009</v>
      </c>
      <c r="IK1" s="34" t="s">
        <v>2066</v>
      </c>
      <c r="IL1" s="34" t="s">
        <v>2078</v>
      </c>
      <c r="IM1" s="34" t="s">
        <v>2081</v>
      </c>
      <c r="IN1" s="34" t="s">
        <v>2111</v>
      </c>
      <c r="IO1" s="34" t="s">
        <v>2114</v>
      </c>
      <c r="IP1" s="34" t="s">
        <v>2393</v>
      </c>
      <c r="IQ1" s="34" t="s">
        <v>2396</v>
      </c>
      <c r="IR1" s="34" t="s">
        <v>2627</v>
      </c>
      <c r="IS1" s="34" t="s">
        <v>2630</v>
      </c>
      <c r="IT1" s="34" t="s">
        <v>2633</v>
      </c>
      <c r="IU1" s="34" t="s">
        <v>2636</v>
      </c>
      <c r="IV1" s="34" t="s">
        <v>2639</v>
      </c>
      <c r="IW1" s="34" t="s">
        <v>1900</v>
      </c>
      <c r="IX1" s="34" t="s">
        <v>1906</v>
      </c>
      <c r="IY1" s="34" t="s">
        <v>1909</v>
      </c>
      <c r="IZ1" s="34" t="s">
        <v>1912</v>
      </c>
      <c r="JA1" s="34" t="s">
        <v>1954</v>
      </c>
      <c r="JB1" s="34" t="s">
        <v>1958</v>
      </c>
      <c r="JC1" s="34" t="s">
        <v>1977</v>
      </c>
      <c r="JD1" s="34" t="s">
        <v>1981</v>
      </c>
      <c r="JE1" s="34" t="s">
        <v>2152</v>
      </c>
      <c r="JF1" s="34" t="s">
        <v>2196</v>
      </c>
      <c r="JG1" s="34" t="s">
        <v>2253</v>
      </c>
      <c r="JH1" s="34" t="s">
        <v>2314</v>
      </c>
      <c r="JI1" s="34" t="s">
        <v>2357</v>
      </c>
      <c r="JJ1" s="34" t="s">
        <v>2374</v>
      </c>
      <c r="JK1" s="34" t="s">
        <v>2378</v>
      </c>
      <c r="JL1" s="34" t="s">
        <v>2381</v>
      </c>
      <c r="JM1" s="34" t="s">
        <v>2384</v>
      </c>
      <c r="JN1" s="34" t="s">
        <v>2387</v>
      </c>
      <c r="JO1" s="34" t="s">
        <v>2390</v>
      </c>
      <c r="JP1" s="34" t="s">
        <v>2399</v>
      </c>
      <c r="JQ1" s="34" t="s">
        <v>2403</v>
      </c>
      <c r="JR1" s="34" t="s">
        <v>2445</v>
      </c>
      <c r="JS1" s="34" t="s">
        <v>2450</v>
      </c>
      <c r="JT1" s="34" t="s">
        <v>2642</v>
      </c>
      <c r="JU1" s="34" t="s">
        <v>2645</v>
      </c>
      <c r="JV1" s="34" t="s">
        <v>2695</v>
      </c>
      <c r="JW1" s="34" t="s">
        <v>2699</v>
      </c>
      <c r="JX1" s="34" t="s">
        <v>2708</v>
      </c>
      <c r="JY1" s="34" t="s">
        <v>2207</v>
      </c>
      <c r="JZ1" s="34" t="s">
        <v>2767</v>
      </c>
      <c r="KA1" s="34" t="s">
        <v>2771</v>
      </c>
      <c r="KB1" s="34" t="s">
        <v>2774</v>
      </c>
      <c r="KC1" s="34" t="s">
        <v>2777</v>
      </c>
    </row>
    <row r="2" spans="1:289" x14ac:dyDescent="0.3">
      <c r="A2" s="4" t="s">
        <v>2997</v>
      </c>
      <c r="B2" s="31">
        <v>17</v>
      </c>
      <c r="C2" s="31">
        <v>113</v>
      </c>
      <c r="D2" s="31">
        <v>274.5</v>
      </c>
      <c r="E2" s="33">
        <v>17.292999999999999</v>
      </c>
      <c r="F2" s="33">
        <v>37.148000000000003</v>
      </c>
      <c r="G2" s="33">
        <v>17.292999999999999</v>
      </c>
      <c r="H2" s="33">
        <v>28.821000000000002</v>
      </c>
      <c r="I2" s="33">
        <v>57.002000000000002</v>
      </c>
      <c r="J2" s="33">
        <v>53.16</v>
      </c>
      <c r="K2" s="33">
        <v>14.411</v>
      </c>
      <c r="L2" s="33">
        <v>11.016</v>
      </c>
      <c r="M2" s="33">
        <v>9.6069999999999993</v>
      </c>
      <c r="N2" s="33">
        <v>34.585999999999999</v>
      </c>
      <c r="O2" s="33">
        <v>3.4590000000000001</v>
      </c>
      <c r="P2" s="33">
        <v>16.396000000000001</v>
      </c>
      <c r="Q2" s="33">
        <v>22.545000000000002</v>
      </c>
      <c r="R2" s="33">
        <v>11.529</v>
      </c>
      <c r="S2" s="33">
        <v>22</v>
      </c>
      <c r="T2" s="33">
        <v>15.371</v>
      </c>
      <c r="U2" s="33">
        <v>26.9</v>
      </c>
      <c r="V2" s="33">
        <v>13.545999999999999</v>
      </c>
      <c r="W2" s="33">
        <v>14.731</v>
      </c>
      <c r="X2" s="33">
        <v>20.751000000000001</v>
      </c>
      <c r="Y2" s="33">
        <v>10.76</v>
      </c>
      <c r="Z2" s="33">
        <v>7.6219999999999999</v>
      </c>
      <c r="AA2" s="33">
        <v>6.9169999999999998</v>
      </c>
      <c r="AB2" s="33">
        <v>36.506999999999998</v>
      </c>
      <c r="AC2" s="33">
        <v>42.079000000000001</v>
      </c>
      <c r="AD2" s="33">
        <v>14.859</v>
      </c>
      <c r="AE2" s="33">
        <v>12.81</v>
      </c>
      <c r="AF2" s="33">
        <v>36.122999999999998</v>
      </c>
      <c r="AG2" s="33">
        <v>12.81</v>
      </c>
      <c r="AH2" s="33">
        <v>7.6859999999999999</v>
      </c>
      <c r="AI2" s="33">
        <v>8.5820000000000007</v>
      </c>
      <c r="AJ2" s="33">
        <v>15.371</v>
      </c>
      <c r="AK2" s="33">
        <v>5.476</v>
      </c>
      <c r="AL2" s="33">
        <v>23.684999999999999</v>
      </c>
      <c r="AM2" s="33">
        <v>30.422999999999998</v>
      </c>
      <c r="AN2" s="33">
        <v>12.81</v>
      </c>
      <c r="AO2" s="33">
        <v>8.8390000000000004</v>
      </c>
      <c r="AP2" s="33">
        <v>34.777999999999999</v>
      </c>
      <c r="AQ2" s="33">
        <v>11.977</v>
      </c>
      <c r="AR2" s="33">
        <v>11.208</v>
      </c>
      <c r="AS2" s="33">
        <v>33.305</v>
      </c>
      <c r="AT2" s="33">
        <v>9.0510000000000002</v>
      </c>
      <c r="AU2" s="33">
        <v>24.338000000000001</v>
      </c>
      <c r="AV2" s="33">
        <v>20.815000000000001</v>
      </c>
      <c r="AW2" s="33">
        <v>21.135999999999999</v>
      </c>
      <c r="AX2" s="33">
        <v>11.721</v>
      </c>
      <c r="AY2" s="33">
        <v>21.2</v>
      </c>
      <c r="AZ2" s="33">
        <v>24.242000000000001</v>
      </c>
      <c r="BA2" s="33">
        <v>8.9670000000000005</v>
      </c>
      <c r="BB2" s="33">
        <v>29.462</v>
      </c>
      <c r="BC2" s="33">
        <v>12.81</v>
      </c>
      <c r="BD2" s="33">
        <v>7.6859999999999999</v>
      </c>
      <c r="BE2" s="33">
        <v>7.3650000000000002</v>
      </c>
      <c r="BF2" s="33">
        <v>57.643000000000001</v>
      </c>
      <c r="BG2" s="33">
        <v>9.6069999999999993</v>
      </c>
      <c r="BH2" s="33">
        <v>16.012</v>
      </c>
      <c r="BI2" s="33">
        <v>13.45</v>
      </c>
      <c r="BJ2" s="33">
        <v>26.9</v>
      </c>
      <c r="BK2" s="33">
        <v>7.6859999999999999</v>
      </c>
      <c r="BL2" s="33">
        <v>27.22</v>
      </c>
      <c r="BM2" s="33">
        <v>5.444</v>
      </c>
      <c r="BN2" s="33">
        <v>19.213999999999999</v>
      </c>
      <c r="BO2" s="33">
        <v>27.31</v>
      </c>
      <c r="BP2" s="33">
        <v>73.141999999999996</v>
      </c>
      <c r="BQ2" s="33">
        <v>23.056999999999999</v>
      </c>
      <c r="BR2" s="33">
        <v>34.585999999999999</v>
      </c>
      <c r="BS2" s="33">
        <v>11.208</v>
      </c>
      <c r="BT2" s="33">
        <v>22.096</v>
      </c>
      <c r="BU2" s="33">
        <v>3.0739999999999998</v>
      </c>
      <c r="BV2" s="33">
        <v>6.5970000000000004</v>
      </c>
      <c r="BW2" s="33">
        <v>8.6980000000000004</v>
      </c>
      <c r="BX2" s="33">
        <v>7.077</v>
      </c>
      <c r="BY2" s="33">
        <v>16.012</v>
      </c>
      <c r="BZ2" s="33">
        <v>26.131</v>
      </c>
      <c r="CA2" s="33">
        <v>38.107999999999997</v>
      </c>
      <c r="CB2" s="33">
        <v>21.776</v>
      </c>
      <c r="CC2" s="33">
        <v>18.254000000000001</v>
      </c>
      <c r="CD2" s="33">
        <v>24.594000000000001</v>
      </c>
      <c r="CE2" s="33">
        <v>16.012</v>
      </c>
      <c r="CF2" s="33">
        <v>10.311999999999999</v>
      </c>
      <c r="CG2" s="33">
        <v>11.208</v>
      </c>
      <c r="CH2" s="33">
        <v>17.901</v>
      </c>
      <c r="CI2" s="33">
        <v>8.3580000000000005</v>
      </c>
      <c r="CJ2" s="33">
        <v>2.85</v>
      </c>
      <c r="CK2" s="33">
        <v>15.884</v>
      </c>
      <c r="CL2" s="33">
        <v>10.824</v>
      </c>
      <c r="CM2" s="33">
        <v>9.6069999999999993</v>
      </c>
      <c r="CN2" s="33">
        <v>37.932000000000002</v>
      </c>
      <c r="CO2" s="33">
        <v>15.051</v>
      </c>
      <c r="CP2" s="33">
        <v>29.974</v>
      </c>
      <c r="CQ2" s="33">
        <v>20.495000000000001</v>
      </c>
      <c r="CR2" s="33">
        <v>16.652000000000001</v>
      </c>
      <c r="CS2" s="33">
        <v>14.09</v>
      </c>
      <c r="CT2" s="33">
        <v>19.085999999999999</v>
      </c>
      <c r="CU2" s="33">
        <v>8.8390000000000004</v>
      </c>
      <c r="CV2" s="33">
        <v>16.204000000000001</v>
      </c>
      <c r="CW2" s="33">
        <v>17.933</v>
      </c>
      <c r="CX2" s="33">
        <v>8.0060000000000002</v>
      </c>
      <c r="CY2" s="33">
        <v>21.872</v>
      </c>
      <c r="CZ2" s="33">
        <v>7.6859999999999999</v>
      </c>
      <c r="DA2" s="33">
        <v>19.213999999999999</v>
      </c>
      <c r="DB2" s="33">
        <v>12.041</v>
      </c>
      <c r="DC2" s="33">
        <v>9.0310000000000006</v>
      </c>
      <c r="DD2" s="33">
        <v>10.311999999999999</v>
      </c>
      <c r="DE2" s="33">
        <v>8.0060000000000002</v>
      </c>
      <c r="DF2" s="33">
        <v>13.834</v>
      </c>
      <c r="DG2" s="33">
        <v>23.024999999999999</v>
      </c>
      <c r="DH2" s="33">
        <v>48.036000000000001</v>
      </c>
      <c r="DI2" s="33">
        <v>23.056999999999999</v>
      </c>
      <c r="DJ2" s="33">
        <v>9.6069999999999993</v>
      </c>
      <c r="DK2" s="33">
        <v>13.257999999999999</v>
      </c>
      <c r="DL2" s="33">
        <v>23.73</v>
      </c>
      <c r="DM2" s="33">
        <v>11.529</v>
      </c>
      <c r="DN2" s="33">
        <v>64.048000000000002</v>
      </c>
      <c r="DO2" s="33">
        <v>21.52</v>
      </c>
      <c r="DP2" s="33">
        <v>64.688000000000002</v>
      </c>
      <c r="DQ2" s="33">
        <v>1.4990000000000001</v>
      </c>
      <c r="DR2" s="33">
        <v>58.411000000000001</v>
      </c>
      <c r="DS2" s="33">
        <v>10.311999999999999</v>
      </c>
      <c r="DT2" s="33">
        <v>19.277999999999999</v>
      </c>
      <c r="DU2" s="33">
        <v>9.6069999999999993</v>
      </c>
      <c r="DV2" s="33">
        <v>7.609</v>
      </c>
      <c r="DW2" s="33">
        <v>8.9670000000000005</v>
      </c>
      <c r="DX2" s="33">
        <v>24.914999999999999</v>
      </c>
      <c r="DY2" s="33">
        <v>16.652000000000001</v>
      </c>
      <c r="DZ2" s="33">
        <v>7.4939999999999998</v>
      </c>
      <c r="EA2" s="33">
        <v>25.619</v>
      </c>
      <c r="EB2" s="33">
        <v>23.056999999999999</v>
      </c>
      <c r="EC2" s="33">
        <v>14.731</v>
      </c>
      <c r="ED2" s="33">
        <v>18.446000000000002</v>
      </c>
      <c r="EE2" s="33">
        <v>31.254999999999999</v>
      </c>
      <c r="EF2" s="33">
        <v>9.6069999999999993</v>
      </c>
      <c r="EG2" s="33">
        <v>5.8920000000000003</v>
      </c>
      <c r="EH2" s="33">
        <v>26.515999999999998</v>
      </c>
      <c r="EI2" s="33">
        <v>9.4789999999999992</v>
      </c>
      <c r="EJ2" s="33">
        <v>5.8920000000000003</v>
      </c>
      <c r="EK2" s="33">
        <v>9.6069999999999993</v>
      </c>
      <c r="EL2" s="33">
        <v>15.371</v>
      </c>
      <c r="EM2" s="33">
        <v>20.623000000000001</v>
      </c>
      <c r="EN2" s="33">
        <v>11.785</v>
      </c>
      <c r="EO2" s="33">
        <v>12.81</v>
      </c>
      <c r="EP2" s="33">
        <v>9.0310000000000006</v>
      </c>
      <c r="EQ2" s="33">
        <v>22.096</v>
      </c>
      <c r="ER2" s="33">
        <v>6.7249999999999996</v>
      </c>
      <c r="ES2" s="33">
        <v>7.3650000000000002</v>
      </c>
      <c r="ET2" s="33">
        <v>14.795</v>
      </c>
      <c r="EU2" s="33">
        <v>54.414999999999999</v>
      </c>
      <c r="EV2" s="33">
        <v>11.048</v>
      </c>
      <c r="EW2" s="33">
        <v>51.238</v>
      </c>
      <c r="EX2" s="33">
        <v>57.546999999999997</v>
      </c>
      <c r="EY2" s="33">
        <v>3.4590000000000001</v>
      </c>
      <c r="EZ2" s="33">
        <v>4.6500000000000004</v>
      </c>
      <c r="FA2" s="33">
        <v>3.8039999999999998</v>
      </c>
      <c r="FB2" s="33">
        <v>12.81</v>
      </c>
      <c r="FC2" s="33">
        <v>18.254000000000001</v>
      </c>
      <c r="FD2" s="33">
        <v>12.81</v>
      </c>
      <c r="FE2" s="33">
        <v>17.677</v>
      </c>
      <c r="FF2" s="33">
        <v>11.529</v>
      </c>
      <c r="FG2" s="33">
        <v>9.6069999999999993</v>
      </c>
      <c r="FH2" s="33">
        <v>8.0060000000000002</v>
      </c>
      <c r="FI2" s="33">
        <v>30.742999999999999</v>
      </c>
      <c r="FJ2" s="33">
        <v>19.611000000000001</v>
      </c>
      <c r="FK2" s="33">
        <v>28.405000000000001</v>
      </c>
      <c r="FL2" s="33">
        <v>9.4789999999999992</v>
      </c>
      <c r="FM2" s="33">
        <v>26.195</v>
      </c>
      <c r="FN2" s="33">
        <v>13.13</v>
      </c>
      <c r="FO2" s="33">
        <v>47.139000000000003</v>
      </c>
      <c r="FP2" s="33">
        <v>67.25</v>
      </c>
      <c r="FQ2" s="33">
        <v>12.297000000000001</v>
      </c>
      <c r="FR2" s="33">
        <v>7.3650000000000002</v>
      </c>
      <c r="FS2" s="33">
        <v>8.8390000000000004</v>
      </c>
      <c r="FT2" s="33">
        <v>11.048</v>
      </c>
      <c r="FU2" s="33">
        <v>44.832999999999998</v>
      </c>
      <c r="FV2" s="33">
        <v>8.5180000000000007</v>
      </c>
      <c r="FW2" s="33">
        <v>9.7219999999999995</v>
      </c>
      <c r="FX2" s="33">
        <v>9.6069999999999993</v>
      </c>
      <c r="FY2" s="33">
        <v>8.8390000000000004</v>
      </c>
      <c r="FZ2" s="33">
        <v>8.8390000000000004</v>
      </c>
      <c r="GA2" s="33">
        <v>9.6069999999999993</v>
      </c>
      <c r="GB2" s="33">
        <v>8.0060000000000002</v>
      </c>
      <c r="GC2" s="33">
        <v>4.2270000000000003</v>
      </c>
      <c r="GD2" s="33">
        <v>8.07</v>
      </c>
      <c r="GE2" s="33">
        <v>8.8390000000000004</v>
      </c>
      <c r="GF2" s="33">
        <v>67.25</v>
      </c>
      <c r="GG2" s="33">
        <v>40.99</v>
      </c>
      <c r="GH2" s="33">
        <v>3.843</v>
      </c>
      <c r="GI2" s="33">
        <v>5.7640000000000002</v>
      </c>
      <c r="GJ2" s="33">
        <v>7.6219999999999999</v>
      </c>
      <c r="GK2" s="33">
        <v>17.292999999999999</v>
      </c>
      <c r="GL2" s="33">
        <v>12.81</v>
      </c>
      <c r="GM2" s="33">
        <v>5.6000000000000001E-2</v>
      </c>
      <c r="GN2" s="33">
        <v>0.33500000000000002</v>
      </c>
      <c r="GO2" s="33">
        <v>0.11700000000000001</v>
      </c>
      <c r="GP2" s="33">
        <v>0.47399999999999998</v>
      </c>
      <c r="GQ2" s="33">
        <v>7.8E-2</v>
      </c>
      <c r="GR2" s="33">
        <v>0.66400000000000003</v>
      </c>
      <c r="GS2" s="33">
        <v>0.17599999999999999</v>
      </c>
      <c r="GT2" s="33">
        <v>0.53</v>
      </c>
      <c r="GU2" s="33">
        <v>0.14099999999999999</v>
      </c>
      <c r="GV2" s="33">
        <v>9.4E-2</v>
      </c>
      <c r="GW2" s="33">
        <v>0.114</v>
      </c>
      <c r="GX2" s="33">
        <v>0.48599999999999999</v>
      </c>
      <c r="GY2" s="33">
        <v>2.1999999999999999E-2</v>
      </c>
      <c r="GZ2" s="33">
        <v>6.7000000000000004E-2</v>
      </c>
      <c r="HA2" s="33">
        <v>0.16600000000000001</v>
      </c>
      <c r="HB2" s="33">
        <v>0.53</v>
      </c>
      <c r="HC2" s="33">
        <v>0.53</v>
      </c>
      <c r="HD2" s="33">
        <v>0.27900000000000003</v>
      </c>
      <c r="HE2" s="3">
        <f>_xlfn.XLOOKUP(HE$1,generator!$B$2:$B$295,generator!$L$2:$L$295,"ARGH")</f>
        <v>17.600000000000001</v>
      </c>
      <c r="HF2" s="3">
        <f>_xlfn.XLOOKUP(HF$1,generator!$B$2:$B$295,generator!$L$2:$L$295,"ARGH")</f>
        <v>285</v>
      </c>
      <c r="HG2" s="3">
        <f>_xlfn.XLOOKUP(HG$1,generator!$B$2:$B$295,generator!$L$2:$L$295,"ARGH")</f>
        <v>285</v>
      </c>
      <c r="HH2" s="3">
        <f>_xlfn.XLOOKUP(HH$1,generator!$B$2:$B$295,generator!$L$2:$L$295,"ARGH")</f>
        <v>285</v>
      </c>
      <c r="HI2" s="3">
        <f>_xlfn.XLOOKUP(HI$1,generator!$B$2:$B$295,generator!$L$2:$L$295,"ARGH")</f>
        <v>58</v>
      </c>
      <c r="HJ2" s="3">
        <f>_xlfn.XLOOKUP(HJ$1,generator!$B$2:$B$295,generator!$L$2:$L$295,"ARGH")</f>
        <v>58</v>
      </c>
      <c r="HK2" s="3">
        <f>_xlfn.XLOOKUP(HK$1,generator!$B$2:$B$295,generator!$L$2:$L$295,"ARGH")</f>
        <v>53</v>
      </c>
      <c r="HL2" s="3">
        <f>_xlfn.XLOOKUP(HL$1,generator!$B$2:$B$295,generator!$L$2:$L$295,"ARGH")</f>
        <v>58</v>
      </c>
      <c r="HM2" s="3">
        <f>_xlfn.XLOOKUP(HM$1,generator!$B$2:$B$295,generator!$L$2:$L$295,"ARGH")</f>
        <v>58</v>
      </c>
      <c r="HN2" s="3">
        <f>_xlfn.XLOOKUP(HN$1,generator!$B$2:$B$295,generator!$L$2:$L$295,"ARGH")</f>
        <v>52</v>
      </c>
      <c r="HO2" s="3">
        <f>_xlfn.XLOOKUP(HO$1,generator!$B$2:$B$295,generator!$L$2:$L$295,"ARGH")</f>
        <v>52</v>
      </c>
      <c r="HP2" s="3">
        <f>_xlfn.XLOOKUP(HP$1,generator!$B$2:$B$295,generator!$L$2:$L$295,"ARGH")</f>
        <v>2</v>
      </c>
      <c r="HQ2" s="3">
        <f>_xlfn.XLOOKUP(HQ$1,generator!$B$2:$B$295,generator!$L$2:$L$295,"ARGH")</f>
        <v>29.2</v>
      </c>
      <c r="HR2" s="3">
        <f>_xlfn.XLOOKUP(HR$1,generator!$B$2:$B$295,generator!$L$2:$L$295,"ARGH")</f>
        <v>29.2</v>
      </c>
      <c r="HS2" s="3">
        <f>_xlfn.XLOOKUP(HS$1,generator!$B$2:$B$295,generator!$L$2:$L$295,"ARGH")</f>
        <v>41.61</v>
      </c>
      <c r="HT2" s="3">
        <f>_xlfn.XLOOKUP(HT$1,generator!$B$2:$B$295,generator!$L$2:$L$295,"ARGH")</f>
        <v>41.61</v>
      </c>
      <c r="HU2" s="3">
        <f>_xlfn.XLOOKUP(HU$1,generator!$B$2:$B$295,generator!$L$2:$L$295,"ARGH")</f>
        <v>160</v>
      </c>
      <c r="HV2" s="3">
        <f>_xlfn.XLOOKUP(HV$1,generator!$B$2:$B$295,generator!$L$2:$L$295,"ARGH")</f>
        <v>260</v>
      </c>
      <c r="HW2" s="3">
        <f>_xlfn.XLOOKUP(HW$1,generator!$B$2:$B$295,generator!$L$2:$L$295,"ARGH")</f>
        <v>52</v>
      </c>
      <c r="HX2" s="3">
        <f>_xlfn.XLOOKUP(HX$1,generator!$B$2:$B$295,generator!$L$2:$L$295,"ARGH")</f>
        <v>52</v>
      </c>
      <c r="HY2" s="3">
        <f>_xlfn.XLOOKUP(HY$1,generator!$B$2:$B$295,generator!$L$2:$L$295,"ARGH")</f>
        <v>101</v>
      </c>
      <c r="HZ2" s="3">
        <f>_xlfn.XLOOKUP(HZ$1,generator!$B$2:$B$295,generator!$L$2:$L$295,"ARGH")</f>
        <v>50</v>
      </c>
      <c r="IA2" s="3">
        <f>_xlfn.XLOOKUP(IA$1,generator!$B$2:$B$295,generator!$L$2:$L$295,"ARGH")</f>
        <v>400</v>
      </c>
      <c r="IB2" s="3">
        <f>_xlfn.XLOOKUP(IB$1,generator!$B$2:$B$295,generator!$L$2:$L$295,"ARGH")</f>
        <v>342</v>
      </c>
      <c r="IC2" s="3">
        <f>_xlfn.XLOOKUP(IC$1,generator!$B$2:$B$295,generator!$L$2:$L$295,"ARGH")</f>
        <v>3.0209999999999999</v>
      </c>
      <c r="ID2" s="3">
        <f>_xlfn.XLOOKUP(ID$1,generator!$B$2:$B$295,generator!$L$2:$L$295,"ARGH")</f>
        <v>200</v>
      </c>
      <c r="IE2" s="3">
        <f>_xlfn.XLOOKUP(IE$1,generator!$B$2:$B$295,generator!$L$2:$L$295,"ARGH")</f>
        <v>404</v>
      </c>
      <c r="IF2" s="3">
        <f>_xlfn.XLOOKUP(IF$1,generator!$B$2:$B$295,generator!$L$2:$L$295,"ARGH")</f>
        <v>21</v>
      </c>
      <c r="IG2" s="3">
        <f>_xlfn.XLOOKUP(IG$1,generator!$B$2:$B$295,generator!$L$2:$L$295,"ARGH")</f>
        <v>22</v>
      </c>
      <c r="IH2" s="3">
        <f>_xlfn.XLOOKUP(IH$1,generator!$B$2:$B$295,generator!$L$2:$L$295,"ARGH")</f>
        <v>19</v>
      </c>
      <c r="II2" s="3">
        <f>_xlfn.XLOOKUP(II$1,generator!$B$2:$B$295,generator!$L$2:$L$295,"ARGH")</f>
        <v>24</v>
      </c>
      <c r="IJ2" s="3">
        <f>_xlfn.XLOOKUP(IJ$1,generator!$B$2:$B$295,generator!$L$2:$L$295,"ARGH")</f>
        <v>4.3</v>
      </c>
      <c r="IK2" s="3">
        <f>_xlfn.XLOOKUP(IK$1,generator!$B$2:$B$295,generator!$L$2:$L$295,"ARGH")</f>
        <v>8</v>
      </c>
      <c r="IL2" s="3">
        <f>_xlfn.XLOOKUP(IL$1,generator!$B$2:$B$295,generator!$L$2:$L$295,"ARGH")</f>
        <v>22.5</v>
      </c>
      <c r="IM2" s="3">
        <f>_xlfn.XLOOKUP(IM$1,generator!$B$2:$B$295,generator!$L$2:$L$295,"ARGH")</f>
        <v>22.5</v>
      </c>
      <c r="IN2" s="3">
        <f>_xlfn.XLOOKUP(IN$1,generator!$B$2:$B$295,generator!$L$2:$L$295,"ARGH")</f>
        <v>10</v>
      </c>
      <c r="IO2" s="3">
        <f>_xlfn.XLOOKUP(IO$1,generator!$B$2:$B$295,generator!$L$2:$L$295,"ARGH")</f>
        <v>10</v>
      </c>
      <c r="IP2" s="3">
        <f>_xlfn.XLOOKUP(IP$1,generator!$B$2:$B$295,generator!$L$2:$L$295,"ARGH")</f>
        <v>15</v>
      </c>
      <c r="IQ2" s="3">
        <f>_xlfn.XLOOKUP(IQ$1,generator!$B$2:$B$295,generator!$L$2:$L$295,"ARGH")</f>
        <v>4</v>
      </c>
      <c r="IR2" s="3">
        <f>_xlfn.XLOOKUP(IR$1,generator!$B$2:$B$295,generator!$L$2:$L$295,"ARGH")</f>
        <v>15</v>
      </c>
      <c r="IS2" s="3">
        <f>_xlfn.XLOOKUP(IS$1,generator!$B$2:$B$295,generator!$L$2:$L$295,"ARGH")</f>
        <v>15</v>
      </c>
      <c r="IT2" s="3">
        <f>_xlfn.XLOOKUP(IT$1,generator!$B$2:$B$295,generator!$L$2:$L$295,"ARGH")</f>
        <v>0.18</v>
      </c>
      <c r="IU2" s="3">
        <f>_xlfn.XLOOKUP(IU$1,generator!$B$2:$B$295,generator!$L$2:$L$295,"ARGH")</f>
        <v>4</v>
      </c>
      <c r="IV2" s="3">
        <f>_xlfn.XLOOKUP(IV$1,generator!$B$2:$B$295,generator!$L$2:$L$295,"ARGH")</f>
        <v>4</v>
      </c>
      <c r="IW2" s="3">
        <f>_xlfn.XLOOKUP(IW$1,generator!$B$2:$B$295,generator!$L$2:$L$295,"ARGH")</f>
        <v>90</v>
      </c>
      <c r="IX2" s="3">
        <f>_xlfn.XLOOKUP(IX$1,generator!$B$2:$B$295,generator!$L$2:$L$295,"ARGH")</f>
        <v>90</v>
      </c>
      <c r="IY2" s="3">
        <f>_xlfn.XLOOKUP(IY$1,generator!$B$2:$B$295,generator!$L$2:$L$295,"ARGH")</f>
        <v>90</v>
      </c>
      <c r="IZ2" s="3">
        <f>_xlfn.XLOOKUP(IZ$1,generator!$B$2:$B$295,generator!$L$2:$L$295,"ARGH")</f>
        <v>449</v>
      </c>
      <c r="JA2" s="3">
        <f>_xlfn.XLOOKUP(JA$1,generator!$B$2:$B$295,generator!$L$2:$L$295,"ARGH")</f>
        <v>83</v>
      </c>
      <c r="JB2" s="3">
        <f>_xlfn.XLOOKUP(JB$1,generator!$B$2:$B$295,generator!$L$2:$L$295,"ARGH")</f>
        <v>83</v>
      </c>
      <c r="JC2" s="3">
        <f>_xlfn.XLOOKUP(JC$1,generator!$B$2:$B$295,generator!$L$2:$L$295,"ARGH")</f>
        <v>247</v>
      </c>
      <c r="JD2" s="3">
        <f>_xlfn.XLOOKUP(JD$1,generator!$B$2:$B$295,generator!$L$2:$L$295,"ARGH")</f>
        <v>247</v>
      </c>
      <c r="JE2" s="3">
        <f>_xlfn.XLOOKUP(JE$1,generator!$B$2:$B$295,generator!$L$2:$L$295,"ARGH")</f>
        <v>425</v>
      </c>
      <c r="JF2" s="3">
        <f>_xlfn.XLOOKUP(JF$1,generator!$B$2:$B$295,generator!$L$2:$L$295,"ARGH")</f>
        <v>63.5</v>
      </c>
      <c r="JG2" s="3">
        <f>_xlfn.XLOOKUP(JG$1,generator!$B$2:$B$295,generator!$L$2:$L$295,"ARGH")</f>
        <v>17</v>
      </c>
      <c r="JH2" s="3">
        <f>_xlfn.XLOOKUP(JH$1,generator!$B$2:$B$295,generator!$L$2:$L$295,"ARGH")</f>
        <v>444</v>
      </c>
      <c r="JI2" s="3">
        <f>_xlfn.XLOOKUP(JI$1,generator!$B$2:$B$295,generator!$L$2:$L$295,"ARGH")</f>
        <v>464</v>
      </c>
      <c r="JJ2" s="3">
        <f>_xlfn.XLOOKUP(JJ$1,generator!$B$2:$B$295,generator!$L$2:$L$295,"ARGH")</f>
        <v>18.54</v>
      </c>
      <c r="JK2" s="3">
        <f>_xlfn.XLOOKUP(JK$1,generator!$B$2:$B$295,generator!$L$2:$L$295,"ARGH")</f>
        <v>18.54</v>
      </c>
      <c r="JL2" s="3">
        <f>_xlfn.XLOOKUP(JL$1,generator!$B$2:$B$295,generator!$L$2:$L$295,"ARGH")</f>
        <v>18.54</v>
      </c>
      <c r="JM2" s="3">
        <f>_xlfn.XLOOKUP(JM$1,generator!$B$2:$B$295,generator!$L$2:$L$295,"ARGH")</f>
        <v>18.54</v>
      </c>
      <c r="JN2" s="3">
        <f>_xlfn.XLOOKUP(JN$1,generator!$B$2:$B$295,generator!$L$2:$L$295,"ARGH")</f>
        <v>18.54</v>
      </c>
      <c r="JO2" s="3">
        <f>_xlfn.XLOOKUP(JO$1,generator!$B$2:$B$295,generator!$L$2:$L$295,"ARGH")</f>
        <v>18.54</v>
      </c>
      <c r="JP2" s="3">
        <f>_xlfn.XLOOKUP(JP$1,generator!$B$2:$B$295,generator!$L$2:$L$295,"ARGH")</f>
        <v>415</v>
      </c>
      <c r="JQ2" s="3">
        <f>_xlfn.XLOOKUP(JQ$1,generator!$B$2:$B$295,generator!$L$2:$L$295,"ARGH")</f>
        <v>63.5</v>
      </c>
      <c r="JR2" s="3">
        <f>_xlfn.XLOOKUP(JR$1,generator!$B$2:$B$295,generator!$L$2:$L$295,"ARGH")</f>
        <v>350</v>
      </c>
      <c r="JS2" s="3">
        <f>_xlfn.XLOOKUP(JS$1,generator!$B$2:$B$295,generator!$L$2:$L$295,"ARGH")</f>
        <v>350</v>
      </c>
      <c r="JT2" s="3">
        <f>_xlfn.XLOOKUP(JT$1,generator!$B$2:$B$295,generator!$L$2:$L$295,"ARGH")</f>
        <v>63.5</v>
      </c>
      <c r="JU2" s="3">
        <f>_xlfn.XLOOKUP(JU$1,generator!$B$2:$B$295,generator!$L$2:$L$295,"ARGH")</f>
        <v>61.5</v>
      </c>
      <c r="JV2" s="3">
        <f>_xlfn.XLOOKUP(JV$1,generator!$B$2:$B$295,generator!$L$2:$L$295,"ARGH")</f>
        <v>240</v>
      </c>
      <c r="JW2" s="3">
        <f>_xlfn.XLOOKUP(JW$1,generator!$B$2:$B$295,generator!$L$2:$L$295,"ARGH")</f>
        <v>236</v>
      </c>
      <c r="JX2" s="3">
        <f>_xlfn.XLOOKUP(JX$1,generator!$B$2:$B$295,generator!$L$2:$L$295,"ARGH")</f>
        <v>20</v>
      </c>
      <c r="JY2" s="3">
        <f>_xlfn.XLOOKUP(JY$1,generator!$B$2:$B$295,generator!$L$2:$L$295,"ARGH")</f>
        <v>118</v>
      </c>
      <c r="JZ2" s="3">
        <f>_xlfn.XLOOKUP(JZ$1,generator!$B$2:$B$295,generator!$L$2:$L$295,"ARGH")</f>
        <v>73</v>
      </c>
      <c r="KA2" s="3">
        <f>_xlfn.XLOOKUP(KA$1,generator!$B$2:$B$295,generator!$L$2:$L$295,"ARGH")</f>
        <v>73</v>
      </c>
      <c r="KB2" s="3">
        <f>_xlfn.XLOOKUP(KB$1,generator!$B$2:$B$295,generator!$L$2:$L$295,"ARGH")</f>
        <v>73</v>
      </c>
      <c r="KC2" s="3">
        <f>_xlfn.XLOOKUP(KC$1,generator!$B$2:$B$295,generator!$L$2:$L$295,"ARGH")</f>
        <v>73</v>
      </c>
    </row>
    <row r="3" spans="1:289" x14ac:dyDescent="0.3">
      <c r="A3" s="4" t="s">
        <v>2998</v>
      </c>
      <c r="B3" s="31">
        <v>0</v>
      </c>
      <c r="C3" s="31">
        <v>262.5</v>
      </c>
      <c r="D3" s="31">
        <v>220</v>
      </c>
      <c r="E3" s="33">
        <v>16.568000000000001</v>
      </c>
      <c r="F3" s="33">
        <v>35.591000000000001</v>
      </c>
      <c r="G3" s="33">
        <v>16.568000000000001</v>
      </c>
      <c r="H3" s="33">
        <v>27.613</v>
      </c>
      <c r="I3" s="33">
        <v>54.613</v>
      </c>
      <c r="J3" s="33">
        <v>50.930999999999997</v>
      </c>
      <c r="K3" s="33">
        <v>13.807</v>
      </c>
      <c r="L3" s="33">
        <v>10.554</v>
      </c>
      <c r="M3" s="33">
        <v>9.2040000000000006</v>
      </c>
      <c r="N3" s="33">
        <v>33.136000000000003</v>
      </c>
      <c r="O3" s="33">
        <v>3.3140000000000001</v>
      </c>
      <c r="P3" s="33">
        <v>15.709</v>
      </c>
      <c r="Q3" s="33">
        <v>21.6</v>
      </c>
      <c r="R3" s="33">
        <v>11.045</v>
      </c>
      <c r="S3" s="33">
        <v>21.077999999999999</v>
      </c>
      <c r="T3" s="33">
        <v>14.727</v>
      </c>
      <c r="U3" s="33">
        <v>25.771999999999998</v>
      </c>
      <c r="V3" s="33">
        <v>12.978</v>
      </c>
      <c r="W3" s="33">
        <v>14.114000000000001</v>
      </c>
      <c r="X3" s="33">
        <v>19.882000000000001</v>
      </c>
      <c r="Y3" s="33">
        <v>10.308999999999999</v>
      </c>
      <c r="Z3" s="33">
        <v>7.3019999999999996</v>
      </c>
      <c r="AA3" s="33">
        <v>6.6269999999999998</v>
      </c>
      <c r="AB3" s="33">
        <v>34.976999999999997</v>
      </c>
      <c r="AC3" s="33">
        <v>40.316000000000003</v>
      </c>
      <c r="AD3" s="33">
        <v>14.236000000000001</v>
      </c>
      <c r="AE3" s="33">
        <v>12.273</v>
      </c>
      <c r="AF3" s="33">
        <v>34.609000000000002</v>
      </c>
      <c r="AG3" s="33">
        <v>12.273</v>
      </c>
      <c r="AH3" s="33">
        <v>7.3639999999999999</v>
      </c>
      <c r="AI3" s="33">
        <v>8.2230000000000008</v>
      </c>
      <c r="AJ3" s="33">
        <v>14.727</v>
      </c>
      <c r="AK3" s="33">
        <v>5.2469999999999999</v>
      </c>
      <c r="AL3" s="33">
        <v>22.692</v>
      </c>
      <c r="AM3" s="33">
        <v>29.146999999999998</v>
      </c>
      <c r="AN3" s="33">
        <v>12.273</v>
      </c>
      <c r="AO3" s="33">
        <v>8.468</v>
      </c>
      <c r="AP3" s="33">
        <v>33.32</v>
      </c>
      <c r="AQ3" s="33">
        <v>11.475</v>
      </c>
      <c r="AR3" s="33">
        <v>10.739000000000001</v>
      </c>
      <c r="AS3" s="33">
        <v>31.908999999999999</v>
      </c>
      <c r="AT3" s="33">
        <v>8.6720000000000006</v>
      </c>
      <c r="AU3" s="33">
        <v>23.318000000000001</v>
      </c>
      <c r="AV3" s="33">
        <v>19.943000000000001</v>
      </c>
      <c r="AW3" s="33">
        <v>20.25</v>
      </c>
      <c r="AX3" s="33">
        <v>11.228999999999999</v>
      </c>
      <c r="AY3" s="33">
        <v>20.311</v>
      </c>
      <c r="AZ3" s="33">
        <v>23.225999999999999</v>
      </c>
      <c r="BA3" s="33">
        <v>8.5909999999999993</v>
      </c>
      <c r="BB3" s="33">
        <v>28.227</v>
      </c>
      <c r="BC3" s="33">
        <v>12.273</v>
      </c>
      <c r="BD3" s="33">
        <v>7.3639999999999999</v>
      </c>
      <c r="BE3" s="33">
        <v>7.0570000000000004</v>
      </c>
      <c r="BF3" s="33">
        <v>55.226999999999997</v>
      </c>
      <c r="BG3" s="33">
        <v>9.2040000000000006</v>
      </c>
      <c r="BH3" s="33">
        <v>15.340999999999999</v>
      </c>
      <c r="BI3" s="33">
        <v>12.885999999999999</v>
      </c>
      <c r="BJ3" s="33">
        <v>25.771999999999998</v>
      </c>
      <c r="BK3" s="33">
        <v>7.3639999999999999</v>
      </c>
      <c r="BL3" s="33">
        <v>26.079000000000001</v>
      </c>
      <c r="BM3" s="33">
        <v>5.2160000000000002</v>
      </c>
      <c r="BN3" s="33">
        <v>18.408999999999999</v>
      </c>
      <c r="BO3" s="33">
        <v>26.164999999999999</v>
      </c>
      <c r="BP3" s="33">
        <v>70.076999999999998</v>
      </c>
      <c r="BQ3" s="33">
        <v>22.091000000000001</v>
      </c>
      <c r="BR3" s="33">
        <v>33.136000000000003</v>
      </c>
      <c r="BS3" s="33">
        <v>10.739000000000001</v>
      </c>
      <c r="BT3" s="33">
        <v>21.17</v>
      </c>
      <c r="BU3" s="33">
        <v>2.9449999999999998</v>
      </c>
      <c r="BV3" s="33">
        <v>6.32</v>
      </c>
      <c r="BW3" s="33">
        <v>8.3330000000000002</v>
      </c>
      <c r="BX3" s="33">
        <v>6.7809999999999997</v>
      </c>
      <c r="BY3" s="33">
        <v>15.340999999999999</v>
      </c>
      <c r="BZ3" s="33">
        <v>25.036000000000001</v>
      </c>
      <c r="CA3" s="33">
        <v>36.511000000000003</v>
      </c>
      <c r="CB3" s="33">
        <v>20.863</v>
      </c>
      <c r="CC3" s="33">
        <v>17.488</v>
      </c>
      <c r="CD3" s="33">
        <v>23.562999999999999</v>
      </c>
      <c r="CE3" s="33">
        <v>15.340999999999999</v>
      </c>
      <c r="CF3" s="33">
        <v>9.8789999999999996</v>
      </c>
      <c r="CG3" s="33">
        <v>10.739000000000001</v>
      </c>
      <c r="CH3" s="33">
        <v>17.151</v>
      </c>
      <c r="CI3" s="33">
        <v>8.0079999999999991</v>
      </c>
      <c r="CJ3" s="33">
        <v>2.7309999999999999</v>
      </c>
      <c r="CK3" s="33">
        <v>15.218</v>
      </c>
      <c r="CL3" s="33">
        <v>10.37</v>
      </c>
      <c r="CM3" s="33">
        <v>9.2040000000000006</v>
      </c>
      <c r="CN3" s="33">
        <v>36.341999999999999</v>
      </c>
      <c r="CO3" s="33">
        <v>14.42</v>
      </c>
      <c r="CP3" s="33">
        <v>28.718</v>
      </c>
      <c r="CQ3" s="33">
        <v>19.635999999999999</v>
      </c>
      <c r="CR3" s="33">
        <v>15.954000000000001</v>
      </c>
      <c r="CS3" s="33">
        <v>13.5</v>
      </c>
      <c r="CT3" s="33">
        <v>18.286000000000001</v>
      </c>
      <c r="CU3" s="33">
        <v>8.468</v>
      </c>
      <c r="CV3" s="33">
        <v>15.525</v>
      </c>
      <c r="CW3" s="33">
        <v>17.181999999999999</v>
      </c>
      <c r="CX3" s="33">
        <v>7.67</v>
      </c>
      <c r="CY3" s="33">
        <v>20.954999999999998</v>
      </c>
      <c r="CZ3" s="33">
        <v>7.3639999999999999</v>
      </c>
      <c r="DA3" s="33">
        <v>18.408999999999999</v>
      </c>
      <c r="DB3" s="33">
        <v>11.536</v>
      </c>
      <c r="DC3" s="33">
        <v>8.6519999999999992</v>
      </c>
      <c r="DD3" s="33">
        <v>9.8789999999999996</v>
      </c>
      <c r="DE3" s="33">
        <v>7.67</v>
      </c>
      <c r="DF3" s="33">
        <v>13.254</v>
      </c>
      <c r="DG3" s="33">
        <v>22.06</v>
      </c>
      <c r="DH3" s="33">
        <v>46.021999999999998</v>
      </c>
      <c r="DI3" s="33">
        <v>22.091000000000001</v>
      </c>
      <c r="DJ3" s="33">
        <v>9.2040000000000006</v>
      </c>
      <c r="DK3" s="33">
        <v>12.702</v>
      </c>
      <c r="DL3" s="33">
        <v>22.734999999999999</v>
      </c>
      <c r="DM3" s="33">
        <v>11.045</v>
      </c>
      <c r="DN3" s="33">
        <v>61.363</v>
      </c>
      <c r="DO3" s="33">
        <v>20.617999999999999</v>
      </c>
      <c r="DP3" s="33">
        <v>61.976999999999997</v>
      </c>
      <c r="DQ3" s="33">
        <v>1.4359999999999999</v>
      </c>
      <c r="DR3" s="33">
        <v>55.963000000000001</v>
      </c>
      <c r="DS3" s="33">
        <v>9.8789999999999996</v>
      </c>
      <c r="DT3" s="33">
        <v>18.47</v>
      </c>
      <c r="DU3" s="33">
        <v>9.2040000000000006</v>
      </c>
      <c r="DV3" s="33">
        <v>7.29</v>
      </c>
      <c r="DW3" s="33">
        <v>8.5909999999999993</v>
      </c>
      <c r="DX3" s="33">
        <v>23.87</v>
      </c>
      <c r="DY3" s="33">
        <v>15.954000000000001</v>
      </c>
      <c r="DZ3" s="33">
        <v>7.1790000000000003</v>
      </c>
      <c r="EA3" s="33">
        <v>24.545000000000002</v>
      </c>
      <c r="EB3" s="33">
        <v>22.091000000000001</v>
      </c>
      <c r="EC3" s="33">
        <v>14.114000000000001</v>
      </c>
      <c r="ED3" s="33">
        <v>17.672999999999998</v>
      </c>
      <c r="EE3" s="33">
        <v>29.945</v>
      </c>
      <c r="EF3" s="33">
        <v>9.2040000000000006</v>
      </c>
      <c r="EG3" s="33">
        <v>5.6449999999999996</v>
      </c>
      <c r="EH3" s="33">
        <v>25.404</v>
      </c>
      <c r="EI3" s="33">
        <v>9.0820000000000007</v>
      </c>
      <c r="EJ3" s="33">
        <v>5.6449999999999996</v>
      </c>
      <c r="EK3" s="33">
        <v>9.2040000000000006</v>
      </c>
      <c r="EL3" s="33">
        <v>14.727</v>
      </c>
      <c r="EM3" s="33">
        <v>19.759</v>
      </c>
      <c r="EN3" s="33">
        <v>11.291</v>
      </c>
      <c r="EO3" s="33">
        <v>12.273</v>
      </c>
      <c r="EP3" s="33">
        <v>8.6519999999999992</v>
      </c>
      <c r="EQ3" s="33">
        <v>21.17</v>
      </c>
      <c r="ER3" s="33">
        <v>6.4429999999999996</v>
      </c>
      <c r="ES3" s="33">
        <v>7.0570000000000004</v>
      </c>
      <c r="ET3" s="33">
        <v>14.175000000000001</v>
      </c>
      <c r="EU3" s="33">
        <v>52.134</v>
      </c>
      <c r="EV3" s="33">
        <v>10.585000000000001</v>
      </c>
      <c r="EW3" s="33">
        <v>49.09</v>
      </c>
      <c r="EX3" s="33">
        <v>55.134999999999998</v>
      </c>
      <c r="EY3" s="33">
        <v>3.3140000000000001</v>
      </c>
      <c r="EZ3" s="33">
        <v>4.4550000000000001</v>
      </c>
      <c r="FA3" s="33">
        <v>3.645</v>
      </c>
      <c r="FB3" s="33">
        <v>12.273</v>
      </c>
      <c r="FC3" s="33">
        <v>17.488</v>
      </c>
      <c r="FD3" s="33">
        <v>12.273</v>
      </c>
      <c r="FE3" s="33">
        <v>16.936</v>
      </c>
      <c r="FF3" s="33">
        <v>11.045</v>
      </c>
      <c r="FG3" s="33">
        <v>9.2040000000000006</v>
      </c>
      <c r="FH3" s="33">
        <v>7.67</v>
      </c>
      <c r="FI3" s="33">
        <v>29.454000000000001</v>
      </c>
      <c r="FJ3" s="33">
        <v>18.789000000000001</v>
      </c>
      <c r="FK3" s="33">
        <v>27.215</v>
      </c>
      <c r="FL3" s="33">
        <v>9.0820000000000007</v>
      </c>
      <c r="FM3" s="33">
        <v>25.097000000000001</v>
      </c>
      <c r="FN3" s="33">
        <v>12.579000000000001</v>
      </c>
      <c r="FO3" s="33">
        <v>45.162999999999997</v>
      </c>
      <c r="FP3" s="33">
        <v>64.430999999999997</v>
      </c>
      <c r="FQ3" s="33">
        <v>11.782</v>
      </c>
      <c r="FR3" s="33">
        <v>7.0570000000000004</v>
      </c>
      <c r="FS3" s="33">
        <v>8.468</v>
      </c>
      <c r="FT3" s="33">
        <v>10.585000000000001</v>
      </c>
      <c r="FU3" s="33">
        <v>42.954000000000001</v>
      </c>
      <c r="FV3" s="33">
        <v>8.1609999999999996</v>
      </c>
      <c r="FW3" s="33">
        <v>9.3149999999999995</v>
      </c>
      <c r="FX3" s="33">
        <v>9.2040000000000006</v>
      </c>
      <c r="FY3" s="33">
        <v>8.468</v>
      </c>
      <c r="FZ3" s="33">
        <v>8.468</v>
      </c>
      <c r="GA3" s="33">
        <v>9.2040000000000006</v>
      </c>
      <c r="GB3" s="33">
        <v>7.67</v>
      </c>
      <c r="GC3" s="33">
        <v>4.05</v>
      </c>
      <c r="GD3" s="33">
        <v>7.7320000000000002</v>
      </c>
      <c r="GE3" s="33">
        <v>8.468</v>
      </c>
      <c r="GF3" s="33">
        <v>64.430999999999997</v>
      </c>
      <c r="GG3" s="33">
        <v>39.271999999999998</v>
      </c>
      <c r="GH3" s="33">
        <v>3.6819999999999999</v>
      </c>
      <c r="GI3" s="33">
        <v>5.5229999999999997</v>
      </c>
      <c r="GJ3" s="33">
        <v>7.3019999999999996</v>
      </c>
      <c r="GK3" s="33">
        <v>16.568000000000001</v>
      </c>
      <c r="GL3" s="33">
        <v>12.273</v>
      </c>
      <c r="GM3" s="33">
        <v>5.6000000000000001E-2</v>
      </c>
      <c r="GN3" s="33">
        <v>0.33500000000000002</v>
      </c>
      <c r="GO3" s="33">
        <v>0.11700000000000001</v>
      </c>
      <c r="GP3" s="33">
        <v>0.47399999999999998</v>
      </c>
      <c r="GQ3" s="33">
        <v>7.8E-2</v>
      </c>
      <c r="GR3" s="33">
        <v>0.66400000000000003</v>
      </c>
      <c r="GS3" s="33">
        <v>0.17599999999999999</v>
      </c>
      <c r="GT3" s="33">
        <v>0.53</v>
      </c>
      <c r="GU3" s="33">
        <v>0.14099999999999999</v>
      </c>
      <c r="GV3" s="33">
        <v>9.4E-2</v>
      </c>
      <c r="GW3" s="33">
        <v>0.114</v>
      </c>
      <c r="GX3" s="33">
        <v>0.48599999999999999</v>
      </c>
      <c r="GY3" s="33">
        <v>2.1999999999999999E-2</v>
      </c>
      <c r="GZ3" s="33">
        <v>6.7000000000000004E-2</v>
      </c>
      <c r="HA3" s="33">
        <v>0.16600000000000001</v>
      </c>
      <c r="HB3" s="33">
        <v>0.53</v>
      </c>
      <c r="HC3" s="33">
        <v>0.53</v>
      </c>
      <c r="HD3" s="33">
        <v>0.27900000000000003</v>
      </c>
      <c r="HE3" s="3">
        <f>_xlfn.XLOOKUP(HE$1,generator!$B$2:$B$295,generator!$L$2:$L$295,"ARGH")</f>
        <v>17.600000000000001</v>
      </c>
      <c r="HF3" s="3">
        <f>_xlfn.XLOOKUP(HF$1,generator!$B$2:$B$295,generator!$L$2:$L$295,"ARGH")</f>
        <v>285</v>
      </c>
      <c r="HG3" s="3">
        <f>_xlfn.XLOOKUP(HG$1,generator!$B$2:$B$295,generator!$L$2:$L$295,"ARGH")</f>
        <v>285</v>
      </c>
      <c r="HH3" s="3">
        <f>_xlfn.XLOOKUP(HH$1,generator!$B$2:$B$295,generator!$L$2:$L$295,"ARGH")</f>
        <v>285</v>
      </c>
      <c r="HI3" s="3">
        <f>_xlfn.XLOOKUP(HI$1,generator!$B$2:$B$295,generator!$L$2:$L$295,"ARGH")</f>
        <v>58</v>
      </c>
      <c r="HJ3" s="3">
        <f>_xlfn.XLOOKUP(HJ$1,generator!$B$2:$B$295,generator!$L$2:$L$295,"ARGH")</f>
        <v>58</v>
      </c>
      <c r="HK3" s="3">
        <f>_xlfn.XLOOKUP(HK$1,generator!$B$2:$B$295,generator!$L$2:$L$295,"ARGH")</f>
        <v>53</v>
      </c>
      <c r="HL3" s="3">
        <f>_xlfn.XLOOKUP(HL$1,generator!$B$2:$B$295,generator!$L$2:$L$295,"ARGH")</f>
        <v>58</v>
      </c>
      <c r="HM3" s="3">
        <f>_xlfn.XLOOKUP(HM$1,generator!$B$2:$B$295,generator!$L$2:$L$295,"ARGH")</f>
        <v>58</v>
      </c>
      <c r="HN3" s="3">
        <f>_xlfn.XLOOKUP(HN$1,generator!$B$2:$B$295,generator!$L$2:$L$295,"ARGH")</f>
        <v>52</v>
      </c>
      <c r="HO3" s="3">
        <f>_xlfn.XLOOKUP(HO$1,generator!$B$2:$B$295,generator!$L$2:$L$295,"ARGH")</f>
        <v>52</v>
      </c>
      <c r="HP3" s="3">
        <f>_xlfn.XLOOKUP(HP$1,generator!$B$2:$B$295,generator!$L$2:$L$295,"ARGH")</f>
        <v>2</v>
      </c>
      <c r="HQ3" s="3">
        <f>_xlfn.XLOOKUP(HQ$1,generator!$B$2:$B$295,generator!$L$2:$L$295,"ARGH")</f>
        <v>29.2</v>
      </c>
      <c r="HR3" s="3">
        <f>_xlfn.XLOOKUP(HR$1,generator!$B$2:$B$295,generator!$L$2:$L$295,"ARGH")</f>
        <v>29.2</v>
      </c>
      <c r="HS3" s="3">
        <f>_xlfn.XLOOKUP(HS$1,generator!$B$2:$B$295,generator!$L$2:$L$295,"ARGH")</f>
        <v>41.61</v>
      </c>
      <c r="HT3" s="3">
        <f>_xlfn.XLOOKUP(HT$1,generator!$B$2:$B$295,generator!$L$2:$L$295,"ARGH")</f>
        <v>41.61</v>
      </c>
      <c r="HU3" s="3">
        <f>_xlfn.XLOOKUP(HU$1,generator!$B$2:$B$295,generator!$L$2:$L$295,"ARGH")</f>
        <v>160</v>
      </c>
      <c r="HV3" s="3">
        <f>_xlfn.XLOOKUP(HV$1,generator!$B$2:$B$295,generator!$L$2:$L$295,"ARGH")</f>
        <v>260</v>
      </c>
      <c r="HW3" s="3">
        <f>_xlfn.XLOOKUP(HW$1,generator!$B$2:$B$295,generator!$L$2:$L$295,"ARGH")</f>
        <v>52</v>
      </c>
      <c r="HX3" s="3">
        <f>_xlfn.XLOOKUP(HX$1,generator!$B$2:$B$295,generator!$L$2:$L$295,"ARGH")</f>
        <v>52</v>
      </c>
      <c r="HY3" s="3">
        <f>_xlfn.XLOOKUP(HY$1,generator!$B$2:$B$295,generator!$L$2:$L$295,"ARGH")</f>
        <v>101</v>
      </c>
      <c r="HZ3" s="3">
        <f>_xlfn.XLOOKUP(HZ$1,generator!$B$2:$B$295,generator!$L$2:$L$295,"ARGH")</f>
        <v>50</v>
      </c>
      <c r="IA3" s="3">
        <f>_xlfn.XLOOKUP(IA$1,generator!$B$2:$B$295,generator!$L$2:$L$295,"ARGH")</f>
        <v>400</v>
      </c>
      <c r="IB3" s="3">
        <f>_xlfn.XLOOKUP(IB$1,generator!$B$2:$B$295,generator!$L$2:$L$295,"ARGH")</f>
        <v>342</v>
      </c>
      <c r="IC3" s="3">
        <f>_xlfn.XLOOKUP(IC$1,generator!$B$2:$B$295,generator!$L$2:$L$295,"ARGH")</f>
        <v>3.0209999999999999</v>
      </c>
      <c r="ID3" s="3">
        <f>_xlfn.XLOOKUP(ID$1,generator!$B$2:$B$295,generator!$L$2:$L$295,"ARGH")</f>
        <v>200</v>
      </c>
      <c r="IE3" s="3">
        <f>_xlfn.XLOOKUP(IE$1,generator!$B$2:$B$295,generator!$L$2:$L$295,"ARGH")</f>
        <v>404</v>
      </c>
      <c r="IF3" s="3">
        <f>_xlfn.XLOOKUP(IF$1,generator!$B$2:$B$295,generator!$L$2:$L$295,"ARGH")</f>
        <v>21</v>
      </c>
      <c r="IG3" s="3">
        <f>_xlfn.XLOOKUP(IG$1,generator!$B$2:$B$295,generator!$L$2:$L$295,"ARGH")</f>
        <v>22</v>
      </c>
      <c r="IH3" s="3">
        <f>_xlfn.XLOOKUP(IH$1,generator!$B$2:$B$295,generator!$L$2:$L$295,"ARGH")</f>
        <v>19</v>
      </c>
      <c r="II3" s="3">
        <f>_xlfn.XLOOKUP(II$1,generator!$B$2:$B$295,generator!$L$2:$L$295,"ARGH")</f>
        <v>24</v>
      </c>
      <c r="IJ3" s="3">
        <f>_xlfn.XLOOKUP(IJ$1,generator!$B$2:$B$295,generator!$L$2:$L$295,"ARGH")</f>
        <v>4.3</v>
      </c>
      <c r="IK3" s="3">
        <f>_xlfn.XLOOKUP(IK$1,generator!$B$2:$B$295,generator!$L$2:$L$295,"ARGH")</f>
        <v>8</v>
      </c>
      <c r="IL3" s="3">
        <f>_xlfn.XLOOKUP(IL$1,generator!$B$2:$B$295,generator!$L$2:$L$295,"ARGH")</f>
        <v>22.5</v>
      </c>
      <c r="IM3" s="3">
        <f>_xlfn.XLOOKUP(IM$1,generator!$B$2:$B$295,generator!$L$2:$L$295,"ARGH")</f>
        <v>22.5</v>
      </c>
      <c r="IN3" s="3">
        <f>_xlfn.XLOOKUP(IN$1,generator!$B$2:$B$295,generator!$L$2:$L$295,"ARGH")</f>
        <v>10</v>
      </c>
      <c r="IO3" s="3">
        <f>_xlfn.XLOOKUP(IO$1,generator!$B$2:$B$295,generator!$L$2:$L$295,"ARGH")</f>
        <v>10</v>
      </c>
      <c r="IP3" s="3">
        <f>_xlfn.XLOOKUP(IP$1,generator!$B$2:$B$295,generator!$L$2:$L$295,"ARGH")</f>
        <v>15</v>
      </c>
      <c r="IQ3" s="3">
        <f>_xlfn.XLOOKUP(IQ$1,generator!$B$2:$B$295,generator!$L$2:$L$295,"ARGH")</f>
        <v>4</v>
      </c>
      <c r="IR3" s="3">
        <f>_xlfn.XLOOKUP(IR$1,generator!$B$2:$B$295,generator!$L$2:$L$295,"ARGH")</f>
        <v>15</v>
      </c>
      <c r="IS3" s="3">
        <f>_xlfn.XLOOKUP(IS$1,generator!$B$2:$B$295,generator!$L$2:$L$295,"ARGH")</f>
        <v>15</v>
      </c>
      <c r="IT3" s="3">
        <f>_xlfn.XLOOKUP(IT$1,generator!$B$2:$B$295,generator!$L$2:$L$295,"ARGH")</f>
        <v>0.18</v>
      </c>
      <c r="IU3" s="3">
        <f>_xlfn.XLOOKUP(IU$1,generator!$B$2:$B$295,generator!$L$2:$L$295,"ARGH")</f>
        <v>4</v>
      </c>
      <c r="IV3" s="3">
        <f>_xlfn.XLOOKUP(IV$1,generator!$B$2:$B$295,generator!$L$2:$L$295,"ARGH")</f>
        <v>4</v>
      </c>
      <c r="IW3" s="3">
        <f>_xlfn.XLOOKUP(IW$1,generator!$B$2:$B$295,generator!$L$2:$L$295,"ARGH")</f>
        <v>90</v>
      </c>
      <c r="IX3" s="3">
        <f>_xlfn.XLOOKUP(IX$1,generator!$B$2:$B$295,generator!$L$2:$L$295,"ARGH")</f>
        <v>90</v>
      </c>
      <c r="IY3" s="3">
        <f>_xlfn.XLOOKUP(IY$1,generator!$B$2:$B$295,generator!$L$2:$L$295,"ARGH")</f>
        <v>90</v>
      </c>
      <c r="IZ3" s="3">
        <f>_xlfn.XLOOKUP(IZ$1,generator!$B$2:$B$295,generator!$L$2:$L$295,"ARGH")</f>
        <v>449</v>
      </c>
      <c r="JA3" s="3">
        <f>_xlfn.XLOOKUP(JA$1,generator!$B$2:$B$295,generator!$L$2:$L$295,"ARGH")</f>
        <v>83</v>
      </c>
      <c r="JB3" s="3">
        <f>_xlfn.XLOOKUP(JB$1,generator!$B$2:$B$295,generator!$L$2:$L$295,"ARGH")</f>
        <v>83</v>
      </c>
      <c r="JC3" s="3">
        <f>_xlfn.XLOOKUP(JC$1,generator!$B$2:$B$295,generator!$L$2:$L$295,"ARGH")</f>
        <v>247</v>
      </c>
      <c r="JD3" s="3">
        <f>_xlfn.XLOOKUP(JD$1,generator!$B$2:$B$295,generator!$L$2:$L$295,"ARGH")</f>
        <v>247</v>
      </c>
      <c r="JE3" s="3">
        <f>_xlfn.XLOOKUP(JE$1,generator!$B$2:$B$295,generator!$L$2:$L$295,"ARGH")</f>
        <v>425</v>
      </c>
      <c r="JF3" s="3">
        <f>_xlfn.XLOOKUP(JF$1,generator!$B$2:$B$295,generator!$L$2:$L$295,"ARGH")</f>
        <v>63.5</v>
      </c>
      <c r="JG3" s="3">
        <f>_xlfn.XLOOKUP(JG$1,generator!$B$2:$B$295,generator!$L$2:$L$295,"ARGH")</f>
        <v>17</v>
      </c>
      <c r="JH3" s="3">
        <f>_xlfn.XLOOKUP(JH$1,generator!$B$2:$B$295,generator!$L$2:$L$295,"ARGH")</f>
        <v>444</v>
      </c>
      <c r="JI3" s="3">
        <f>_xlfn.XLOOKUP(JI$1,generator!$B$2:$B$295,generator!$L$2:$L$295,"ARGH")</f>
        <v>464</v>
      </c>
      <c r="JJ3" s="3">
        <f>_xlfn.XLOOKUP(JJ$1,generator!$B$2:$B$295,generator!$L$2:$L$295,"ARGH")</f>
        <v>18.54</v>
      </c>
      <c r="JK3" s="3">
        <f>_xlfn.XLOOKUP(JK$1,generator!$B$2:$B$295,generator!$L$2:$L$295,"ARGH")</f>
        <v>18.54</v>
      </c>
      <c r="JL3" s="3">
        <f>_xlfn.XLOOKUP(JL$1,generator!$B$2:$B$295,generator!$L$2:$L$295,"ARGH")</f>
        <v>18.54</v>
      </c>
      <c r="JM3" s="3">
        <f>_xlfn.XLOOKUP(JM$1,generator!$B$2:$B$295,generator!$L$2:$L$295,"ARGH")</f>
        <v>18.54</v>
      </c>
      <c r="JN3" s="3">
        <f>_xlfn.XLOOKUP(JN$1,generator!$B$2:$B$295,generator!$L$2:$L$295,"ARGH")</f>
        <v>18.54</v>
      </c>
      <c r="JO3" s="3">
        <f>_xlfn.XLOOKUP(JO$1,generator!$B$2:$B$295,generator!$L$2:$L$295,"ARGH")</f>
        <v>18.54</v>
      </c>
      <c r="JP3" s="3">
        <f>_xlfn.XLOOKUP(JP$1,generator!$B$2:$B$295,generator!$L$2:$L$295,"ARGH")</f>
        <v>415</v>
      </c>
      <c r="JQ3" s="3">
        <f>_xlfn.XLOOKUP(JQ$1,generator!$B$2:$B$295,generator!$L$2:$L$295,"ARGH")</f>
        <v>63.5</v>
      </c>
      <c r="JR3" s="3">
        <f>_xlfn.XLOOKUP(JR$1,generator!$B$2:$B$295,generator!$L$2:$L$295,"ARGH")</f>
        <v>350</v>
      </c>
      <c r="JS3" s="3">
        <f>_xlfn.XLOOKUP(JS$1,generator!$B$2:$B$295,generator!$L$2:$L$295,"ARGH")</f>
        <v>350</v>
      </c>
      <c r="JT3" s="3">
        <f>_xlfn.XLOOKUP(JT$1,generator!$B$2:$B$295,generator!$L$2:$L$295,"ARGH")</f>
        <v>63.5</v>
      </c>
      <c r="JU3" s="3">
        <f>_xlfn.XLOOKUP(JU$1,generator!$B$2:$B$295,generator!$L$2:$L$295,"ARGH")</f>
        <v>61.5</v>
      </c>
      <c r="JV3" s="3">
        <f>_xlfn.XLOOKUP(JV$1,generator!$B$2:$B$295,generator!$L$2:$L$295,"ARGH")</f>
        <v>240</v>
      </c>
      <c r="JW3" s="3">
        <f>_xlfn.XLOOKUP(JW$1,generator!$B$2:$B$295,generator!$L$2:$L$295,"ARGH")</f>
        <v>236</v>
      </c>
      <c r="JX3" s="3">
        <f>_xlfn.XLOOKUP(JX$1,generator!$B$2:$B$295,generator!$L$2:$L$295,"ARGH")</f>
        <v>20</v>
      </c>
      <c r="JY3" s="3">
        <f>_xlfn.XLOOKUP(JY$1,generator!$B$2:$B$295,generator!$L$2:$L$295,"ARGH")</f>
        <v>118</v>
      </c>
      <c r="JZ3" s="3">
        <f>_xlfn.XLOOKUP(JZ$1,generator!$B$2:$B$295,generator!$L$2:$L$295,"ARGH")</f>
        <v>73</v>
      </c>
      <c r="KA3" s="3">
        <f>_xlfn.XLOOKUP(KA$1,generator!$B$2:$B$295,generator!$L$2:$L$295,"ARGH")</f>
        <v>73</v>
      </c>
      <c r="KB3" s="3">
        <f>_xlfn.XLOOKUP(KB$1,generator!$B$2:$B$295,generator!$L$2:$L$295,"ARGH")</f>
        <v>73</v>
      </c>
      <c r="KC3" s="3">
        <f>_xlfn.XLOOKUP(KC$1,generator!$B$2:$B$295,generator!$L$2:$L$295,"ARGH")</f>
        <v>73</v>
      </c>
    </row>
    <row r="4" spans="1:289" x14ac:dyDescent="0.3">
      <c r="A4" s="4" t="s">
        <v>2999</v>
      </c>
      <c r="B4" s="31">
        <v>0</v>
      </c>
      <c r="C4" s="31">
        <v>412.5</v>
      </c>
      <c r="D4" s="31">
        <v>143</v>
      </c>
      <c r="E4" s="33">
        <v>15.481</v>
      </c>
      <c r="F4" s="33">
        <v>33.256</v>
      </c>
      <c r="G4" s="33">
        <v>15.481</v>
      </c>
      <c r="H4" s="33">
        <v>25.802</v>
      </c>
      <c r="I4" s="33">
        <v>51.03</v>
      </c>
      <c r="J4" s="33">
        <v>47.59</v>
      </c>
      <c r="K4" s="33">
        <v>12.901</v>
      </c>
      <c r="L4" s="33">
        <v>9.8620000000000001</v>
      </c>
      <c r="M4" s="33">
        <v>8.6010000000000009</v>
      </c>
      <c r="N4" s="33">
        <v>30.962</v>
      </c>
      <c r="O4" s="33">
        <v>3.0960000000000001</v>
      </c>
      <c r="P4" s="33">
        <v>14.678000000000001</v>
      </c>
      <c r="Q4" s="33">
        <v>20.183</v>
      </c>
      <c r="R4" s="33">
        <v>10.321</v>
      </c>
      <c r="S4" s="33">
        <v>19.695</v>
      </c>
      <c r="T4" s="33">
        <v>13.760999999999999</v>
      </c>
      <c r="U4" s="33">
        <v>24.082000000000001</v>
      </c>
      <c r="V4" s="33">
        <v>12.127000000000001</v>
      </c>
      <c r="W4" s="33">
        <v>13.188000000000001</v>
      </c>
      <c r="X4" s="33">
        <v>18.577000000000002</v>
      </c>
      <c r="Y4" s="33">
        <v>9.6329999999999991</v>
      </c>
      <c r="Z4" s="33">
        <v>6.8230000000000004</v>
      </c>
      <c r="AA4" s="33">
        <v>6.1920000000000002</v>
      </c>
      <c r="AB4" s="33">
        <v>32.682000000000002</v>
      </c>
      <c r="AC4" s="33">
        <v>37.670999999999999</v>
      </c>
      <c r="AD4" s="33">
        <v>13.302</v>
      </c>
      <c r="AE4" s="33">
        <v>11.468</v>
      </c>
      <c r="AF4" s="33">
        <v>32.338000000000001</v>
      </c>
      <c r="AG4" s="33">
        <v>11.468</v>
      </c>
      <c r="AH4" s="33">
        <v>6.8810000000000002</v>
      </c>
      <c r="AI4" s="33">
        <v>7.6829999999999998</v>
      </c>
      <c r="AJ4" s="33">
        <v>13.760999999999999</v>
      </c>
      <c r="AK4" s="33">
        <v>4.9020000000000001</v>
      </c>
      <c r="AL4" s="33">
        <v>21.202999999999999</v>
      </c>
      <c r="AM4" s="33">
        <v>27.234999999999999</v>
      </c>
      <c r="AN4" s="33">
        <v>11.468</v>
      </c>
      <c r="AO4" s="33">
        <v>7.9130000000000003</v>
      </c>
      <c r="AP4" s="33">
        <v>31.134</v>
      </c>
      <c r="AQ4" s="33">
        <v>10.722</v>
      </c>
      <c r="AR4" s="33">
        <v>10.034000000000001</v>
      </c>
      <c r="AS4" s="33">
        <v>29.815999999999999</v>
      </c>
      <c r="AT4" s="33">
        <v>8.1029999999999998</v>
      </c>
      <c r="AU4" s="33">
        <v>21.788</v>
      </c>
      <c r="AV4" s="33">
        <v>18.635000000000002</v>
      </c>
      <c r="AW4" s="33">
        <v>18.920999999999999</v>
      </c>
      <c r="AX4" s="33">
        <v>10.493</v>
      </c>
      <c r="AY4" s="33">
        <v>18.978999999999999</v>
      </c>
      <c r="AZ4" s="33">
        <v>21.702000000000002</v>
      </c>
      <c r="BA4" s="33">
        <v>8.0269999999999992</v>
      </c>
      <c r="BB4" s="33">
        <v>26.375</v>
      </c>
      <c r="BC4" s="33">
        <v>11.468</v>
      </c>
      <c r="BD4" s="33">
        <v>6.8810000000000002</v>
      </c>
      <c r="BE4" s="33">
        <v>6.5940000000000003</v>
      </c>
      <c r="BF4" s="33">
        <v>51.603999999999999</v>
      </c>
      <c r="BG4" s="33">
        <v>8.6010000000000009</v>
      </c>
      <c r="BH4" s="33">
        <v>14.334</v>
      </c>
      <c r="BI4" s="33">
        <v>12.041</v>
      </c>
      <c r="BJ4" s="33">
        <v>24.082000000000001</v>
      </c>
      <c r="BK4" s="33">
        <v>6.8810000000000002</v>
      </c>
      <c r="BL4" s="33">
        <v>24.367999999999999</v>
      </c>
      <c r="BM4" s="33">
        <v>4.8739999999999997</v>
      </c>
      <c r="BN4" s="33">
        <v>17.201000000000001</v>
      </c>
      <c r="BO4" s="33">
        <v>24.449000000000002</v>
      </c>
      <c r="BP4" s="33">
        <v>65.48</v>
      </c>
      <c r="BQ4" s="33">
        <v>20.641999999999999</v>
      </c>
      <c r="BR4" s="33">
        <v>30.962</v>
      </c>
      <c r="BS4" s="33">
        <v>10.034000000000001</v>
      </c>
      <c r="BT4" s="33">
        <v>19.780999999999999</v>
      </c>
      <c r="BU4" s="33">
        <v>2.7519999999999998</v>
      </c>
      <c r="BV4" s="33">
        <v>5.9059999999999997</v>
      </c>
      <c r="BW4" s="33">
        <v>7.7859999999999996</v>
      </c>
      <c r="BX4" s="33">
        <v>6.3360000000000003</v>
      </c>
      <c r="BY4" s="33">
        <v>14.334</v>
      </c>
      <c r="BZ4" s="33">
        <v>23.393999999999998</v>
      </c>
      <c r="CA4" s="33">
        <v>34.116</v>
      </c>
      <c r="CB4" s="33">
        <v>19.495000000000001</v>
      </c>
      <c r="CC4" s="33">
        <v>16.341000000000001</v>
      </c>
      <c r="CD4" s="33">
        <v>22.018000000000001</v>
      </c>
      <c r="CE4" s="33">
        <v>14.334</v>
      </c>
      <c r="CF4" s="33">
        <v>9.2309999999999999</v>
      </c>
      <c r="CG4" s="33">
        <v>10.034000000000001</v>
      </c>
      <c r="CH4" s="33">
        <v>16.026</v>
      </c>
      <c r="CI4" s="33">
        <v>7.4829999999999997</v>
      </c>
      <c r="CJ4" s="33">
        <v>2.552</v>
      </c>
      <c r="CK4" s="33">
        <v>14.22</v>
      </c>
      <c r="CL4" s="33">
        <v>9.69</v>
      </c>
      <c r="CM4" s="33">
        <v>8.6010000000000009</v>
      </c>
      <c r="CN4" s="33">
        <v>33.957999999999998</v>
      </c>
      <c r="CO4" s="33">
        <v>13.474</v>
      </c>
      <c r="CP4" s="33">
        <v>26.834</v>
      </c>
      <c r="CQ4" s="33">
        <v>18.347999999999999</v>
      </c>
      <c r="CR4" s="33">
        <v>14.907999999999999</v>
      </c>
      <c r="CS4" s="33">
        <v>12.614000000000001</v>
      </c>
      <c r="CT4" s="33">
        <v>17.087</v>
      </c>
      <c r="CU4" s="33">
        <v>7.9130000000000003</v>
      </c>
      <c r="CV4" s="33">
        <v>14.506</v>
      </c>
      <c r="CW4" s="33">
        <v>16.055</v>
      </c>
      <c r="CX4" s="33">
        <v>7.1669999999999998</v>
      </c>
      <c r="CY4" s="33">
        <v>19.581</v>
      </c>
      <c r="CZ4" s="33">
        <v>6.8810000000000002</v>
      </c>
      <c r="DA4" s="33">
        <v>17.201000000000001</v>
      </c>
      <c r="DB4" s="33">
        <v>10.779</v>
      </c>
      <c r="DC4" s="33">
        <v>8.0850000000000009</v>
      </c>
      <c r="DD4" s="33">
        <v>9.2309999999999999</v>
      </c>
      <c r="DE4" s="33">
        <v>7.1669999999999998</v>
      </c>
      <c r="DF4" s="33">
        <v>12.385</v>
      </c>
      <c r="DG4" s="33">
        <v>20.613</v>
      </c>
      <c r="DH4" s="33">
        <v>43.003</v>
      </c>
      <c r="DI4" s="33">
        <v>20.641999999999999</v>
      </c>
      <c r="DJ4" s="33">
        <v>8.6010000000000009</v>
      </c>
      <c r="DK4" s="33">
        <v>11.869</v>
      </c>
      <c r="DL4" s="33">
        <v>21.244</v>
      </c>
      <c r="DM4" s="33">
        <v>10.321</v>
      </c>
      <c r="DN4" s="33">
        <v>57.338000000000001</v>
      </c>
      <c r="DO4" s="33">
        <v>19.265000000000001</v>
      </c>
      <c r="DP4" s="33">
        <v>57.911000000000001</v>
      </c>
      <c r="DQ4" s="33">
        <v>1.3420000000000001</v>
      </c>
      <c r="DR4" s="33">
        <v>52.292000000000002</v>
      </c>
      <c r="DS4" s="33">
        <v>9.2309999999999999</v>
      </c>
      <c r="DT4" s="33">
        <v>17.259</v>
      </c>
      <c r="DU4" s="33">
        <v>8.6010000000000009</v>
      </c>
      <c r="DV4" s="33">
        <v>6.8120000000000003</v>
      </c>
      <c r="DW4" s="33">
        <v>8.0269999999999992</v>
      </c>
      <c r="DX4" s="33">
        <v>22.303999999999998</v>
      </c>
      <c r="DY4" s="33">
        <v>14.907999999999999</v>
      </c>
      <c r="DZ4" s="33">
        <v>6.7089999999999996</v>
      </c>
      <c r="EA4" s="33">
        <v>22.934999999999999</v>
      </c>
      <c r="EB4" s="33">
        <v>20.641999999999999</v>
      </c>
      <c r="EC4" s="33">
        <v>13.188000000000001</v>
      </c>
      <c r="ED4" s="33">
        <v>16.513000000000002</v>
      </c>
      <c r="EE4" s="33">
        <v>27.981000000000002</v>
      </c>
      <c r="EF4" s="33">
        <v>8.6010000000000009</v>
      </c>
      <c r="EG4" s="33">
        <v>5.2750000000000004</v>
      </c>
      <c r="EH4" s="33">
        <v>23.738</v>
      </c>
      <c r="EI4" s="33">
        <v>8.4860000000000007</v>
      </c>
      <c r="EJ4" s="33">
        <v>5.2750000000000004</v>
      </c>
      <c r="EK4" s="33">
        <v>8.6010000000000009</v>
      </c>
      <c r="EL4" s="33">
        <v>13.760999999999999</v>
      </c>
      <c r="EM4" s="33">
        <v>18.463000000000001</v>
      </c>
      <c r="EN4" s="33">
        <v>10.55</v>
      </c>
      <c r="EO4" s="33">
        <v>11.468</v>
      </c>
      <c r="EP4" s="33">
        <v>8.0850000000000009</v>
      </c>
      <c r="EQ4" s="33">
        <v>19.780999999999999</v>
      </c>
      <c r="ER4" s="33">
        <v>6.02</v>
      </c>
      <c r="ES4" s="33">
        <v>6.5940000000000003</v>
      </c>
      <c r="ET4" s="33">
        <v>13.244999999999999</v>
      </c>
      <c r="EU4" s="33">
        <v>48.713999999999999</v>
      </c>
      <c r="EV4" s="33">
        <v>9.891</v>
      </c>
      <c r="EW4" s="33">
        <v>45.87</v>
      </c>
      <c r="EX4" s="33">
        <v>51.518000000000001</v>
      </c>
      <c r="EY4" s="33">
        <v>3.0960000000000001</v>
      </c>
      <c r="EZ4" s="33">
        <v>4.1630000000000003</v>
      </c>
      <c r="FA4" s="33">
        <v>3.4060000000000001</v>
      </c>
      <c r="FB4" s="33">
        <v>11.468</v>
      </c>
      <c r="FC4" s="33">
        <v>16.341000000000001</v>
      </c>
      <c r="FD4" s="33">
        <v>11.468</v>
      </c>
      <c r="FE4" s="33">
        <v>15.824999999999999</v>
      </c>
      <c r="FF4" s="33">
        <v>10.321</v>
      </c>
      <c r="FG4" s="33">
        <v>8.6010000000000009</v>
      </c>
      <c r="FH4" s="33">
        <v>7.1669999999999998</v>
      </c>
      <c r="FI4" s="33">
        <v>27.521999999999998</v>
      </c>
      <c r="FJ4" s="33">
        <v>17.556999999999999</v>
      </c>
      <c r="FK4" s="33">
        <v>25.428999999999998</v>
      </c>
      <c r="FL4" s="33">
        <v>8.4860000000000007</v>
      </c>
      <c r="FM4" s="33">
        <v>23.451000000000001</v>
      </c>
      <c r="FN4" s="33">
        <v>11.754</v>
      </c>
      <c r="FO4" s="33">
        <v>42.2</v>
      </c>
      <c r="FP4" s="33">
        <v>60.204000000000001</v>
      </c>
      <c r="FQ4" s="33">
        <v>11.009</v>
      </c>
      <c r="FR4" s="33">
        <v>6.5940000000000003</v>
      </c>
      <c r="FS4" s="33">
        <v>7.9130000000000003</v>
      </c>
      <c r="FT4" s="33">
        <v>9.891</v>
      </c>
      <c r="FU4" s="33">
        <v>40.136000000000003</v>
      </c>
      <c r="FV4" s="33">
        <v>7.6260000000000003</v>
      </c>
      <c r="FW4" s="33">
        <v>8.7040000000000006</v>
      </c>
      <c r="FX4" s="33">
        <v>8.6010000000000009</v>
      </c>
      <c r="FY4" s="33">
        <v>7.9130000000000003</v>
      </c>
      <c r="FZ4" s="33">
        <v>7.9130000000000003</v>
      </c>
      <c r="GA4" s="33">
        <v>8.6010000000000009</v>
      </c>
      <c r="GB4" s="33">
        <v>7.1669999999999998</v>
      </c>
      <c r="GC4" s="33">
        <v>3.7839999999999998</v>
      </c>
      <c r="GD4" s="33">
        <v>7.2249999999999996</v>
      </c>
      <c r="GE4" s="33">
        <v>7.9130000000000003</v>
      </c>
      <c r="GF4" s="33">
        <v>60.204000000000001</v>
      </c>
      <c r="GG4" s="33">
        <v>36.695999999999998</v>
      </c>
      <c r="GH4" s="33">
        <v>3.44</v>
      </c>
      <c r="GI4" s="33">
        <v>5.16</v>
      </c>
      <c r="GJ4" s="33">
        <v>6.8230000000000004</v>
      </c>
      <c r="GK4" s="33">
        <v>15.481</v>
      </c>
      <c r="GL4" s="33">
        <v>11.468</v>
      </c>
      <c r="GM4" s="33">
        <v>5.6000000000000001E-2</v>
      </c>
      <c r="GN4" s="33">
        <v>0.33500000000000002</v>
      </c>
      <c r="GO4" s="33">
        <v>0.11700000000000001</v>
      </c>
      <c r="GP4" s="33">
        <v>0.47399999999999998</v>
      </c>
      <c r="GQ4" s="33">
        <v>7.8E-2</v>
      </c>
      <c r="GR4" s="33">
        <v>0.66400000000000003</v>
      </c>
      <c r="GS4" s="33">
        <v>0.17599999999999999</v>
      </c>
      <c r="GT4" s="33">
        <v>0.53</v>
      </c>
      <c r="GU4" s="33">
        <v>0.14099999999999999</v>
      </c>
      <c r="GV4" s="33">
        <v>9.4E-2</v>
      </c>
      <c r="GW4" s="33">
        <v>0.114</v>
      </c>
      <c r="GX4" s="33">
        <v>0.48599999999999999</v>
      </c>
      <c r="GY4" s="33">
        <v>2.1999999999999999E-2</v>
      </c>
      <c r="GZ4" s="33">
        <v>6.7000000000000004E-2</v>
      </c>
      <c r="HA4" s="33">
        <v>0.16600000000000001</v>
      </c>
      <c r="HB4" s="33">
        <v>0.53</v>
      </c>
      <c r="HC4" s="33">
        <v>0.53</v>
      </c>
      <c r="HD4" s="33">
        <v>0.27900000000000003</v>
      </c>
      <c r="HE4" s="3">
        <f>_xlfn.XLOOKUP(HE$1,generator!$B$2:$B$295,generator!$L$2:$L$295,"ARGH")</f>
        <v>17.600000000000001</v>
      </c>
      <c r="HF4" s="3">
        <f>_xlfn.XLOOKUP(HF$1,generator!$B$2:$B$295,generator!$L$2:$L$295,"ARGH")</f>
        <v>285</v>
      </c>
      <c r="HG4" s="3">
        <f>_xlfn.XLOOKUP(HG$1,generator!$B$2:$B$295,generator!$L$2:$L$295,"ARGH")</f>
        <v>285</v>
      </c>
      <c r="HH4" s="3">
        <f>_xlfn.XLOOKUP(HH$1,generator!$B$2:$B$295,generator!$L$2:$L$295,"ARGH")</f>
        <v>285</v>
      </c>
      <c r="HI4" s="3">
        <f>_xlfn.XLOOKUP(HI$1,generator!$B$2:$B$295,generator!$L$2:$L$295,"ARGH")</f>
        <v>58</v>
      </c>
      <c r="HJ4" s="3">
        <f>_xlfn.XLOOKUP(HJ$1,generator!$B$2:$B$295,generator!$L$2:$L$295,"ARGH")</f>
        <v>58</v>
      </c>
      <c r="HK4" s="3">
        <f>_xlfn.XLOOKUP(HK$1,generator!$B$2:$B$295,generator!$L$2:$L$295,"ARGH")</f>
        <v>53</v>
      </c>
      <c r="HL4" s="3">
        <f>_xlfn.XLOOKUP(HL$1,generator!$B$2:$B$295,generator!$L$2:$L$295,"ARGH")</f>
        <v>58</v>
      </c>
      <c r="HM4" s="3">
        <f>_xlfn.XLOOKUP(HM$1,generator!$B$2:$B$295,generator!$L$2:$L$295,"ARGH")</f>
        <v>58</v>
      </c>
      <c r="HN4" s="3">
        <f>_xlfn.XLOOKUP(HN$1,generator!$B$2:$B$295,generator!$L$2:$L$295,"ARGH")</f>
        <v>52</v>
      </c>
      <c r="HO4" s="3">
        <f>_xlfn.XLOOKUP(HO$1,generator!$B$2:$B$295,generator!$L$2:$L$295,"ARGH")</f>
        <v>52</v>
      </c>
      <c r="HP4" s="3">
        <f>_xlfn.XLOOKUP(HP$1,generator!$B$2:$B$295,generator!$L$2:$L$295,"ARGH")</f>
        <v>2</v>
      </c>
      <c r="HQ4" s="3">
        <f>_xlfn.XLOOKUP(HQ$1,generator!$B$2:$B$295,generator!$L$2:$L$295,"ARGH")</f>
        <v>29.2</v>
      </c>
      <c r="HR4" s="3">
        <f>_xlfn.XLOOKUP(HR$1,generator!$B$2:$B$295,generator!$L$2:$L$295,"ARGH")</f>
        <v>29.2</v>
      </c>
      <c r="HS4" s="3">
        <f>_xlfn.XLOOKUP(HS$1,generator!$B$2:$B$295,generator!$L$2:$L$295,"ARGH")</f>
        <v>41.61</v>
      </c>
      <c r="HT4" s="3">
        <f>_xlfn.XLOOKUP(HT$1,generator!$B$2:$B$295,generator!$L$2:$L$295,"ARGH")</f>
        <v>41.61</v>
      </c>
      <c r="HU4" s="3">
        <f>_xlfn.XLOOKUP(HU$1,generator!$B$2:$B$295,generator!$L$2:$L$295,"ARGH")</f>
        <v>160</v>
      </c>
      <c r="HV4" s="3">
        <f>_xlfn.XLOOKUP(HV$1,generator!$B$2:$B$295,generator!$L$2:$L$295,"ARGH")</f>
        <v>260</v>
      </c>
      <c r="HW4" s="3">
        <f>_xlfn.XLOOKUP(HW$1,generator!$B$2:$B$295,generator!$L$2:$L$295,"ARGH")</f>
        <v>52</v>
      </c>
      <c r="HX4" s="3">
        <f>_xlfn.XLOOKUP(HX$1,generator!$B$2:$B$295,generator!$L$2:$L$295,"ARGH")</f>
        <v>52</v>
      </c>
      <c r="HY4" s="3">
        <f>_xlfn.XLOOKUP(HY$1,generator!$B$2:$B$295,generator!$L$2:$L$295,"ARGH")</f>
        <v>101</v>
      </c>
      <c r="HZ4" s="3">
        <f>_xlfn.XLOOKUP(HZ$1,generator!$B$2:$B$295,generator!$L$2:$L$295,"ARGH")</f>
        <v>50</v>
      </c>
      <c r="IA4" s="3">
        <f>_xlfn.XLOOKUP(IA$1,generator!$B$2:$B$295,generator!$L$2:$L$295,"ARGH")</f>
        <v>400</v>
      </c>
      <c r="IB4" s="3">
        <f>_xlfn.XLOOKUP(IB$1,generator!$B$2:$B$295,generator!$L$2:$L$295,"ARGH")</f>
        <v>342</v>
      </c>
      <c r="IC4" s="3">
        <f>_xlfn.XLOOKUP(IC$1,generator!$B$2:$B$295,generator!$L$2:$L$295,"ARGH")</f>
        <v>3.0209999999999999</v>
      </c>
      <c r="ID4" s="3">
        <f>_xlfn.XLOOKUP(ID$1,generator!$B$2:$B$295,generator!$L$2:$L$295,"ARGH")</f>
        <v>200</v>
      </c>
      <c r="IE4" s="3">
        <f>_xlfn.XLOOKUP(IE$1,generator!$B$2:$B$295,generator!$L$2:$L$295,"ARGH")</f>
        <v>404</v>
      </c>
      <c r="IF4" s="3">
        <f>_xlfn.XLOOKUP(IF$1,generator!$B$2:$B$295,generator!$L$2:$L$295,"ARGH")</f>
        <v>21</v>
      </c>
      <c r="IG4" s="3">
        <f>_xlfn.XLOOKUP(IG$1,generator!$B$2:$B$295,generator!$L$2:$L$295,"ARGH")</f>
        <v>22</v>
      </c>
      <c r="IH4" s="3">
        <f>_xlfn.XLOOKUP(IH$1,generator!$B$2:$B$295,generator!$L$2:$L$295,"ARGH")</f>
        <v>19</v>
      </c>
      <c r="II4" s="3">
        <f>_xlfn.XLOOKUP(II$1,generator!$B$2:$B$295,generator!$L$2:$L$295,"ARGH")</f>
        <v>24</v>
      </c>
      <c r="IJ4" s="3">
        <f>_xlfn.XLOOKUP(IJ$1,generator!$B$2:$B$295,generator!$L$2:$L$295,"ARGH")</f>
        <v>4.3</v>
      </c>
      <c r="IK4" s="3">
        <f>_xlfn.XLOOKUP(IK$1,generator!$B$2:$B$295,generator!$L$2:$L$295,"ARGH")</f>
        <v>8</v>
      </c>
      <c r="IL4" s="3">
        <f>_xlfn.XLOOKUP(IL$1,generator!$B$2:$B$295,generator!$L$2:$L$295,"ARGH")</f>
        <v>22.5</v>
      </c>
      <c r="IM4" s="3">
        <f>_xlfn.XLOOKUP(IM$1,generator!$B$2:$B$295,generator!$L$2:$L$295,"ARGH")</f>
        <v>22.5</v>
      </c>
      <c r="IN4" s="3">
        <f>_xlfn.XLOOKUP(IN$1,generator!$B$2:$B$295,generator!$L$2:$L$295,"ARGH")</f>
        <v>10</v>
      </c>
      <c r="IO4" s="3">
        <f>_xlfn.XLOOKUP(IO$1,generator!$B$2:$B$295,generator!$L$2:$L$295,"ARGH")</f>
        <v>10</v>
      </c>
      <c r="IP4" s="3">
        <f>_xlfn.XLOOKUP(IP$1,generator!$B$2:$B$295,generator!$L$2:$L$295,"ARGH")</f>
        <v>15</v>
      </c>
      <c r="IQ4" s="3">
        <f>_xlfn.XLOOKUP(IQ$1,generator!$B$2:$B$295,generator!$L$2:$L$295,"ARGH")</f>
        <v>4</v>
      </c>
      <c r="IR4" s="3">
        <f>_xlfn.XLOOKUP(IR$1,generator!$B$2:$B$295,generator!$L$2:$L$295,"ARGH")</f>
        <v>15</v>
      </c>
      <c r="IS4" s="3">
        <f>_xlfn.XLOOKUP(IS$1,generator!$B$2:$B$295,generator!$L$2:$L$295,"ARGH")</f>
        <v>15</v>
      </c>
      <c r="IT4" s="3">
        <f>_xlfn.XLOOKUP(IT$1,generator!$B$2:$B$295,generator!$L$2:$L$295,"ARGH")</f>
        <v>0.18</v>
      </c>
      <c r="IU4" s="3">
        <f>_xlfn.XLOOKUP(IU$1,generator!$B$2:$B$295,generator!$L$2:$L$295,"ARGH")</f>
        <v>4</v>
      </c>
      <c r="IV4" s="3">
        <f>_xlfn.XLOOKUP(IV$1,generator!$B$2:$B$295,generator!$L$2:$L$295,"ARGH")</f>
        <v>4</v>
      </c>
      <c r="IW4" s="3">
        <f>_xlfn.XLOOKUP(IW$1,generator!$B$2:$B$295,generator!$L$2:$L$295,"ARGH")</f>
        <v>90</v>
      </c>
      <c r="IX4" s="3">
        <f>_xlfn.XLOOKUP(IX$1,generator!$B$2:$B$295,generator!$L$2:$L$295,"ARGH")</f>
        <v>90</v>
      </c>
      <c r="IY4" s="3">
        <f>_xlfn.XLOOKUP(IY$1,generator!$B$2:$B$295,generator!$L$2:$L$295,"ARGH")</f>
        <v>90</v>
      </c>
      <c r="IZ4" s="3">
        <f>_xlfn.XLOOKUP(IZ$1,generator!$B$2:$B$295,generator!$L$2:$L$295,"ARGH")</f>
        <v>449</v>
      </c>
      <c r="JA4" s="3">
        <f>_xlfn.XLOOKUP(JA$1,generator!$B$2:$B$295,generator!$L$2:$L$295,"ARGH")</f>
        <v>83</v>
      </c>
      <c r="JB4" s="3">
        <f>_xlfn.XLOOKUP(JB$1,generator!$B$2:$B$295,generator!$L$2:$L$295,"ARGH")</f>
        <v>83</v>
      </c>
      <c r="JC4" s="3">
        <f>_xlfn.XLOOKUP(JC$1,generator!$B$2:$B$295,generator!$L$2:$L$295,"ARGH")</f>
        <v>247</v>
      </c>
      <c r="JD4" s="3">
        <f>_xlfn.XLOOKUP(JD$1,generator!$B$2:$B$295,generator!$L$2:$L$295,"ARGH")</f>
        <v>247</v>
      </c>
      <c r="JE4" s="3">
        <f>_xlfn.XLOOKUP(JE$1,generator!$B$2:$B$295,generator!$L$2:$L$295,"ARGH")</f>
        <v>425</v>
      </c>
      <c r="JF4" s="3">
        <f>_xlfn.XLOOKUP(JF$1,generator!$B$2:$B$295,generator!$L$2:$L$295,"ARGH")</f>
        <v>63.5</v>
      </c>
      <c r="JG4" s="3">
        <f>_xlfn.XLOOKUP(JG$1,generator!$B$2:$B$295,generator!$L$2:$L$295,"ARGH")</f>
        <v>17</v>
      </c>
      <c r="JH4" s="3">
        <f>_xlfn.XLOOKUP(JH$1,generator!$B$2:$B$295,generator!$L$2:$L$295,"ARGH")</f>
        <v>444</v>
      </c>
      <c r="JI4" s="3">
        <f>_xlfn.XLOOKUP(JI$1,generator!$B$2:$B$295,generator!$L$2:$L$295,"ARGH")</f>
        <v>464</v>
      </c>
      <c r="JJ4" s="3">
        <f>_xlfn.XLOOKUP(JJ$1,generator!$B$2:$B$295,generator!$L$2:$L$295,"ARGH")</f>
        <v>18.54</v>
      </c>
      <c r="JK4" s="3">
        <f>_xlfn.XLOOKUP(JK$1,generator!$B$2:$B$295,generator!$L$2:$L$295,"ARGH")</f>
        <v>18.54</v>
      </c>
      <c r="JL4" s="3">
        <f>_xlfn.XLOOKUP(JL$1,generator!$B$2:$B$295,generator!$L$2:$L$295,"ARGH")</f>
        <v>18.54</v>
      </c>
      <c r="JM4" s="3">
        <f>_xlfn.XLOOKUP(JM$1,generator!$B$2:$B$295,generator!$L$2:$L$295,"ARGH")</f>
        <v>18.54</v>
      </c>
      <c r="JN4" s="3">
        <f>_xlfn.XLOOKUP(JN$1,generator!$B$2:$B$295,generator!$L$2:$L$295,"ARGH")</f>
        <v>18.54</v>
      </c>
      <c r="JO4" s="3">
        <f>_xlfn.XLOOKUP(JO$1,generator!$B$2:$B$295,generator!$L$2:$L$295,"ARGH")</f>
        <v>18.54</v>
      </c>
      <c r="JP4" s="3">
        <f>_xlfn.XLOOKUP(JP$1,generator!$B$2:$B$295,generator!$L$2:$L$295,"ARGH")</f>
        <v>415</v>
      </c>
      <c r="JQ4" s="3">
        <f>_xlfn.XLOOKUP(JQ$1,generator!$B$2:$B$295,generator!$L$2:$L$295,"ARGH")</f>
        <v>63.5</v>
      </c>
      <c r="JR4" s="3">
        <f>_xlfn.XLOOKUP(JR$1,generator!$B$2:$B$295,generator!$L$2:$L$295,"ARGH")</f>
        <v>350</v>
      </c>
      <c r="JS4" s="3">
        <f>_xlfn.XLOOKUP(JS$1,generator!$B$2:$B$295,generator!$L$2:$L$295,"ARGH")</f>
        <v>350</v>
      </c>
      <c r="JT4" s="3">
        <f>_xlfn.XLOOKUP(JT$1,generator!$B$2:$B$295,generator!$L$2:$L$295,"ARGH")</f>
        <v>63.5</v>
      </c>
      <c r="JU4" s="3">
        <f>_xlfn.XLOOKUP(JU$1,generator!$B$2:$B$295,generator!$L$2:$L$295,"ARGH")</f>
        <v>61.5</v>
      </c>
      <c r="JV4" s="3">
        <f>_xlfn.XLOOKUP(JV$1,generator!$B$2:$B$295,generator!$L$2:$L$295,"ARGH")</f>
        <v>240</v>
      </c>
      <c r="JW4" s="3">
        <f>_xlfn.XLOOKUP(JW$1,generator!$B$2:$B$295,generator!$L$2:$L$295,"ARGH")</f>
        <v>236</v>
      </c>
      <c r="JX4" s="3">
        <f>_xlfn.XLOOKUP(JX$1,generator!$B$2:$B$295,generator!$L$2:$L$295,"ARGH")</f>
        <v>20</v>
      </c>
      <c r="JY4" s="3">
        <f>_xlfn.XLOOKUP(JY$1,generator!$B$2:$B$295,generator!$L$2:$L$295,"ARGH")</f>
        <v>118</v>
      </c>
      <c r="JZ4" s="3">
        <f>_xlfn.XLOOKUP(JZ$1,generator!$B$2:$B$295,generator!$L$2:$L$295,"ARGH")</f>
        <v>73</v>
      </c>
      <c r="KA4" s="3">
        <f>_xlfn.XLOOKUP(KA$1,generator!$B$2:$B$295,generator!$L$2:$L$295,"ARGH")</f>
        <v>73</v>
      </c>
      <c r="KB4" s="3">
        <f>_xlfn.XLOOKUP(KB$1,generator!$B$2:$B$295,generator!$L$2:$L$295,"ARGH")</f>
        <v>73</v>
      </c>
      <c r="KC4" s="3">
        <f>_xlfn.XLOOKUP(KC$1,generator!$B$2:$B$295,generator!$L$2:$L$295,"ARGH")</f>
        <v>73</v>
      </c>
    </row>
    <row r="5" spans="1:289" x14ac:dyDescent="0.3">
      <c r="A5" s="4" t="s">
        <v>3000</v>
      </c>
      <c r="B5" s="31">
        <v>0</v>
      </c>
      <c r="C5" s="31">
        <v>504</v>
      </c>
      <c r="D5" s="31">
        <v>79</v>
      </c>
      <c r="E5" s="33">
        <v>14.404999999999999</v>
      </c>
      <c r="F5" s="33">
        <v>30.945</v>
      </c>
      <c r="G5" s="33">
        <v>14.404999999999999</v>
      </c>
      <c r="H5" s="33">
        <v>24.009</v>
      </c>
      <c r="I5" s="33">
        <v>47.484000000000002</v>
      </c>
      <c r="J5" s="33">
        <v>44.283000000000001</v>
      </c>
      <c r="K5" s="33">
        <v>12.004</v>
      </c>
      <c r="L5" s="33">
        <v>9.1769999999999996</v>
      </c>
      <c r="M5" s="33">
        <v>8.0030000000000001</v>
      </c>
      <c r="N5" s="33">
        <v>28.811</v>
      </c>
      <c r="O5" s="33">
        <v>2.8809999999999998</v>
      </c>
      <c r="P5" s="33">
        <v>13.657999999999999</v>
      </c>
      <c r="Q5" s="33">
        <v>18.78</v>
      </c>
      <c r="R5" s="33">
        <v>9.6039999999999992</v>
      </c>
      <c r="S5" s="33">
        <v>18.327000000000002</v>
      </c>
      <c r="T5" s="33">
        <v>12.805</v>
      </c>
      <c r="U5" s="33">
        <v>22.408000000000001</v>
      </c>
      <c r="V5" s="33">
        <v>11.284000000000001</v>
      </c>
      <c r="W5" s="33">
        <v>12.271000000000001</v>
      </c>
      <c r="X5" s="33">
        <v>17.286000000000001</v>
      </c>
      <c r="Y5" s="33">
        <v>8.9629999999999992</v>
      </c>
      <c r="Z5" s="33">
        <v>6.3490000000000002</v>
      </c>
      <c r="AA5" s="33">
        <v>5.7619999999999996</v>
      </c>
      <c r="AB5" s="33">
        <v>30.411000000000001</v>
      </c>
      <c r="AC5" s="33">
        <v>35.052999999999997</v>
      </c>
      <c r="AD5" s="33">
        <v>12.378</v>
      </c>
      <c r="AE5" s="33">
        <v>10.670999999999999</v>
      </c>
      <c r="AF5" s="33">
        <v>30.091000000000001</v>
      </c>
      <c r="AG5" s="33">
        <v>10.670999999999999</v>
      </c>
      <c r="AH5" s="33">
        <v>6.4020000000000001</v>
      </c>
      <c r="AI5" s="33">
        <v>7.149</v>
      </c>
      <c r="AJ5" s="33">
        <v>12.805</v>
      </c>
      <c r="AK5" s="33">
        <v>4.5620000000000003</v>
      </c>
      <c r="AL5" s="33">
        <v>19.73</v>
      </c>
      <c r="AM5" s="33">
        <v>25.343</v>
      </c>
      <c r="AN5" s="33">
        <v>10.670999999999999</v>
      </c>
      <c r="AO5" s="33">
        <v>7.3630000000000004</v>
      </c>
      <c r="AP5" s="33">
        <v>28.971</v>
      </c>
      <c r="AQ5" s="33">
        <v>9.9770000000000003</v>
      </c>
      <c r="AR5" s="33">
        <v>9.3369999999999997</v>
      </c>
      <c r="AS5" s="33">
        <v>27.742999999999999</v>
      </c>
      <c r="AT5" s="33">
        <v>7.54</v>
      </c>
      <c r="AU5" s="33">
        <v>20.274000000000001</v>
      </c>
      <c r="AV5" s="33">
        <v>17.34</v>
      </c>
      <c r="AW5" s="33">
        <v>17.606000000000002</v>
      </c>
      <c r="AX5" s="33">
        <v>9.7639999999999993</v>
      </c>
      <c r="AY5" s="33">
        <v>17.66</v>
      </c>
      <c r="AZ5" s="33">
        <v>20.193999999999999</v>
      </c>
      <c r="BA5" s="33">
        <v>7.4690000000000003</v>
      </c>
      <c r="BB5" s="33">
        <v>24.542000000000002</v>
      </c>
      <c r="BC5" s="33">
        <v>10.670999999999999</v>
      </c>
      <c r="BD5" s="33">
        <v>6.4020000000000001</v>
      </c>
      <c r="BE5" s="33">
        <v>6.1360000000000001</v>
      </c>
      <c r="BF5" s="33">
        <v>48.018000000000001</v>
      </c>
      <c r="BG5" s="33">
        <v>8.0030000000000001</v>
      </c>
      <c r="BH5" s="33">
        <v>13.337999999999999</v>
      </c>
      <c r="BI5" s="33">
        <v>11.204000000000001</v>
      </c>
      <c r="BJ5" s="33">
        <v>22.408000000000001</v>
      </c>
      <c r="BK5" s="33">
        <v>6.4020000000000001</v>
      </c>
      <c r="BL5" s="33">
        <v>22.675000000000001</v>
      </c>
      <c r="BM5" s="33">
        <v>4.5350000000000001</v>
      </c>
      <c r="BN5" s="33">
        <v>16.006</v>
      </c>
      <c r="BO5" s="33">
        <v>22.75</v>
      </c>
      <c r="BP5" s="33">
        <v>60.929000000000002</v>
      </c>
      <c r="BQ5" s="33">
        <v>19.207000000000001</v>
      </c>
      <c r="BR5" s="33">
        <v>28.811</v>
      </c>
      <c r="BS5" s="33">
        <v>9.3369999999999997</v>
      </c>
      <c r="BT5" s="33">
        <v>18.407</v>
      </c>
      <c r="BU5" s="33">
        <v>2.5609999999999999</v>
      </c>
      <c r="BV5" s="33">
        <v>5.4950000000000001</v>
      </c>
      <c r="BW5" s="33">
        <v>7.2450000000000001</v>
      </c>
      <c r="BX5" s="33">
        <v>5.8949999999999996</v>
      </c>
      <c r="BY5" s="33">
        <v>13.337999999999999</v>
      </c>
      <c r="BZ5" s="33">
        <v>21.768000000000001</v>
      </c>
      <c r="CA5" s="33">
        <v>31.745000000000001</v>
      </c>
      <c r="CB5" s="33">
        <v>18.14</v>
      </c>
      <c r="CC5" s="33">
        <v>15.206</v>
      </c>
      <c r="CD5" s="33">
        <v>20.486999999999998</v>
      </c>
      <c r="CE5" s="33">
        <v>13.337999999999999</v>
      </c>
      <c r="CF5" s="33">
        <v>8.59</v>
      </c>
      <c r="CG5" s="33">
        <v>9.3369999999999997</v>
      </c>
      <c r="CH5" s="33">
        <v>14.912000000000001</v>
      </c>
      <c r="CI5" s="33">
        <v>6.9630000000000001</v>
      </c>
      <c r="CJ5" s="33">
        <v>2.3740000000000001</v>
      </c>
      <c r="CK5" s="33">
        <v>13.231999999999999</v>
      </c>
      <c r="CL5" s="33">
        <v>9.0169999999999995</v>
      </c>
      <c r="CM5" s="33">
        <v>8.0030000000000001</v>
      </c>
      <c r="CN5" s="33">
        <v>31.597999999999999</v>
      </c>
      <c r="CO5" s="33">
        <v>12.538</v>
      </c>
      <c r="CP5" s="33">
        <v>24.969000000000001</v>
      </c>
      <c r="CQ5" s="33">
        <v>17.073</v>
      </c>
      <c r="CR5" s="33">
        <v>13.872</v>
      </c>
      <c r="CS5" s="33">
        <v>11.738</v>
      </c>
      <c r="CT5" s="33">
        <v>15.898999999999999</v>
      </c>
      <c r="CU5" s="33">
        <v>7.3630000000000004</v>
      </c>
      <c r="CV5" s="33">
        <v>13.497999999999999</v>
      </c>
      <c r="CW5" s="33">
        <v>14.939</v>
      </c>
      <c r="CX5" s="33">
        <v>6.6689999999999996</v>
      </c>
      <c r="CY5" s="33">
        <v>18.22</v>
      </c>
      <c r="CZ5" s="33">
        <v>6.4020000000000001</v>
      </c>
      <c r="DA5" s="33">
        <v>16.006</v>
      </c>
      <c r="DB5" s="33">
        <v>10.029999999999999</v>
      </c>
      <c r="DC5" s="33">
        <v>7.5229999999999997</v>
      </c>
      <c r="DD5" s="33">
        <v>8.59</v>
      </c>
      <c r="DE5" s="33">
        <v>6.6689999999999996</v>
      </c>
      <c r="DF5" s="33">
        <v>11.523999999999999</v>
      </c>
      <c r="DG5" s="33">
        <v>19.18</v>
      </c>
      <c r="DH5" s="33">
        <v>40.015000000000001</v>
      </c>
      <c r="DI5" s="33">
        <v>19.207000000000001</v>
      </c>
      <c r="DJ5" s="33">
        <v>8.0030000000000001</v>
      </c>
      <c r="DK5" s="33">
        <v>11.044</v>
      </c>
      <c r="DL5" s="33">
        <v>19.766999999999999</v>
      </c>
      <c r="DM5" s="33">
        <v>9.6039999999999992</v>
      </c>
      <c r="DN5" s="33">
        <v>53.353000000000002</v>
      </c>
      <c r="DO5" s="33">
        <v>17.927</v>
      </c>
      <c r="DP5" s="33">
        <v>53.886000000000003</v>
      </c>
      <c r="DQ5" s="33">
        <v>1.248</v>
      </c>
      <c r="DR5" s="33">
        <v>48.658000000000001</v>
      </c>
      <c r="DS5" s="33">
        <v>8.59</v>
      </c>
      <c r="DT5" s="33">
        <v>16.059000000000001</v>
      </c>
      <c r="DU5" s="33">
        <v>8.0030000000000001</v>
      </c>
      <c r="DV5" s="33">
        <v>6.3380000000000001</v>
      </c>
      <c r="DW5" s="33">
        <v>7.4690000000000003</v>
      </c>
      <c r="DX5" s="33">
        <v>20.754000000000001</v>
      </c>
      <c r="DY5" s="33">
        <v>13.872</v>
      </c>
      <c r="DZ5" s="33">
        <v>6.242</v>
      </c>
      <c r="EA5" s="33">
        <v>21.341000000000001</v>
      </c>
      <c r="EB5" s="33">
        <v>19.207000000000001</v>
      </c>
      <c r="EC5" s="33">
        <v>12.271000000000001</v>
      </c>
      <c r="ED5" s="33">
        <v>15.366</v>
      </c>
      <c r="EE5" s="33">
        <v>26.036000000000001</v>
      </c>
      <c r="EF5" s="33">
        <v>8.0030000000000001</v>
      </c>
      <c r="EG5" s="33">
        <v>4.9080000000000004</v>
      </c>
      <c r="EH5" s="33">
        <v>22.088000000000001</v>
      </c>
      <c r="EI5" s="33">
        <v>7.8959999999999999</v>
      </c>
      <c r="EJ5" s="33">
        <v>4.9080000000000004</v>
      </c>
      <c r="EK5" s="33">
        <v>8.0030000000000001</v>
      </c>
      <c r="EL5" s="33">
        <v>12.805</v>
      </c>
      <c r="EM5" s="33">
        <v>17.18</v>
      </c>
      <c r="EN5" s="33">
        <v>9.8170000000000002</v>
      </c>
      <c r="EO5" s="33">
        <v>10.670999999999999</v>
      </c>
      <c r="EP5" s="33">
        <v>7.5229999999999997</v>
      </c>
      <c r="EQ5" s="33">
        <v>18.407</v>
      </c>
      <c r="ER5" s="33">
        <v>5.6020000000000003</v>
      </c>
      <c r="ES5" s="33">
        <v>6.1360000000000001</v>
      </c>
      <c r="ET5" s="33">
        <v>12.324999999999999</v>
      </c>
      <c r="EU5" s="33">
        <v>45.329000000000001</v>
      </c>
      <c r="EV5" s="33">
        <v>9.2029999999999994</v>
      </c>
      <c r="EW5" s="33">
        <v>42.682000000000002</v>
      </c>
      <c r="EX5" s="33">
        <v>47.938000000000002</v>
      </c>
      <c r="EY5" s="33">
        <v>2.8809999999999998</v>
      </c>
      <c r="EZ5" s="33">
        <v>3.8730000000000002</v>
      </c>
      <c r="FA5" s="33">
        <v>3.169</v>
      </c>
      <c r="FB5" s="33">
        <v>10.670999999999999</v>
      </c>
      <c r="FC5" s="33">
        <v>15.206</v>
      </c>
      <c r="FD5" s="33">
        <v>10.670999999999999</v>
      </c>
      <c r="FE5" s="33">
        <v>14.725</v>
      </c>
      <c r="FF5" s="33">
        <v>9.6039999999999992</v>
      </c>
      <c r="FG5" s="33">
        <v>8.0030000000000001</v>
      </c>
      <c r="FH5" s="33">
        <v>6.6689999999999996</v>
      </c>
      <c r="FI5" s="33">
        <v>25.609000000000002</v>
      </c>
      <c r="FJ5" s="33">
        <v>16.337</v>
      </c>
      <c r="FK5" s="33">
        <v>23.661999999999999</v>
      </c>
      <c r="FL5" s="33">
        <v>7.8959999999999999</v>
      </c>
      <c r="FM5" s="33">
        <v>21.821000000000002</v>
      </c>
      <c r="FN5" s="33">
        <v>10.936999999999999</v>
      </c>
      <c r="FO5" s="33">
        <v>39.268000000000001</v>
      </c>
      <c r="FP5" s="33">
        <v>56.02</v>
      </c>
      <c r="FQ5" s="33">
        <v>10.244</v>
      </c>
      <c r="FR5" s="33">
        <v>6.1360000000000001</v>
      </c>
      <c r="FS5" s="33">
        <v>7.3630000000000004</v>
      </c>
      <c r="FT5" s="33">
        <v>9.2029999999999994</v>
      </c>
      <c r="FU5" s="33">
        <v>37.347000000000001</v>
      </c>
      <c r="FV5" s="33">
        <v>7.0960000000000001</v>
      </c>
      <c r="FW5" s="33">
        <v>8.0990000000000002</v>
      </c>
      <c r="FX5" s="33">
        <v>8.0030000000000001</v>
      </c>
      <c r="FY5" s="33">
        <v>7.3630000000000004</v>
      </c>
      <c r="FZ5" s="33">
        <v>7.3630000000000004</v>
      </c>
      <c r="GA5" s="33">
        <v>8.0030000000000001</v>
      </c>
      <c r="GB5" s="33">
        <v>6.6689999999999996</v>
      </c>
      <c r="GC5" s="33">
        <v>3.5209999999999999</v>
      </c>
      <c r="GD5" s="33">
        <v>6.7220000000000004</v>
      </c>
      <c r="GE5" s="33">
        <v>7.3630000000000004</v>
      </c>
      <c r="GF5" s="33">
        <v>56.02</v>
      </c>
      <c r="GG5" s="33">
        <v>34.146000000000001</v>
      </c>
      <c r="GH5" s="33">
        <v>3.2010000000000001</v>
      </c>
      <c r="GI5" s="33">
        <v>4.8019999999999996</v>
      </c>
      <c r="GJ5" s="33">
        <v>6.3490000000000002</v>
      </c>
      <c r="GK5" s="33">
        <v>14.404999999999999</v>
      </c>
      <c r="GL5" s="33">
        <v>10.670999999999999</v>
      </c>
      <c r="GM5" s="33">
        <v>5.6000000000000001E-2</v>
      </c>
      <c r="GN5" s="33">
        <v>0.33400000000000002</v>
      </c>
      <c r="GO5" s="33">
        <v>0.11700000000000001</v>
      </c>
      <c r="GP5" s="33">
        <v>0.47299999999999998</v>
      </c>
      <c r="GQ5" s="33">
        <v>7.8E-2</v>
      </c>
      <c r="GR5" s="33">
        <v>0.66200000000000003</v>
      </c>
      <c r="GS5" s="33">
        <v>0.17599999999999999</v>
      </c>
      <c r="GT5" s="33">
        <v>0.52900000000000003</v>
      </c>
      <c r="GU5" s="33">
        <v>0.14000000000000001</v>
      </c>
      <c r="GV5" s="33">
        <v>9.4E-2</v>
      </c>
      <c r="GW5" s="33">
        <v>0.114</v>
      </c>
      <c r="GX5" s="33">
        <v>0.48399999999999999</v>
      </c>
      <c r="GY5" s="33">
        <v>2.1999999999999999E-2</v>
      </c>
      <c r="GZ5" s="33">
        <v>6.7000000000000004E-2</v>
      </c>
      <c r="HA5" s="33">
        <v>0.16600000000000001</v>
      </c>
      <c r="HB5" s="33">
        <v>0.52900000000000003</v>
      </c>
      <c r="HC5" s="33">
        <v>0.52900000000000003</v>
      </c>
      <c r="HD5" s="33">
        <v>0.27800000000000002</v>
      </c>
      <c r="HE5" s="3">
        <f>_xlfn.XLOOKUP(HE$1,generator!$B$2:$B$295,generator!$L$2:$L$295,"ARGH")</f>
        <v>17.600000000000001</v>
      </c>
      <c r="HF5" s="3">
        <f>_xlfn.XLOOKUP(HF$1,generator!$B$2:$B$295,generator!$L$2:$L$295,"ARGH")</f>
        <v>285</v>
      </c>
      <c r="HG5" s="3">
        <f>_xlfn.XLOOKUP(HG$1,generator!$B$2:$B$295,generator!$L$2:$L$295,"ARGH")</f>
        <v>285</v>
      </c>
      <c r="HH5" s="3">
        <f>_xlfn.XLOOKUP(HH$1,generator!$B$2:$B$295,generator!$L$2:$L$295,"ARGH")</f>
        <v>285</v>
      </c>
      <c r="HI5" s="3">
        <f>_xlfn.XLOOKUP(HI$1,generator!$B$2:$B$295,generator!$L$2:$L$295,"ARGH")</f>
        <v>58</v>
      </c>
      <c r="HJ5" s="3">
        <f>_xlfn.XLOOKUP(HJ$1,generator!$B$2:$B$295,generator!$L$2:$L$295,"ARGH")</f>
        <v>58</v>
      </c>
      <c r="HK5" s="3">
        <f>_xlfn.XLOOKUP(HK$1,generator!$B$2:$B$295,generator!$L$2:$L$295,"ARGH")</f>
        <v>53</v>
      </c>
      <c r="HL5" s="3">
        <f>_xlfn.XLOOKUP(HL$1,generator!$B$2:$B$295,generator!$L$2:$L$295,"ARGH")</f>
        <v>58</v>
      </c>
      <c r="HM5" s="3">
        <f>_xlfn.XLOOKUP(HM$1,generator!$B$2:$B$295,generator!$L$2:$L$295,"ARGH")</f>
        <v>58</v>
      </c>
      <c r="HN5" s="3">
        <f>_xlfn.XLOOKUP(HN$1,generator!$B$2:$B$295,generator!$L$2:$L$295,"ARGH")</f>
        <v>52</v>
      </c>
      <c r="HO5" s="3">
        <f>_xlfn.XLOOKUP(HO$1,generator!$B$2:$B$295,generator!$L$2:$L$295,"ARGH")</f>
        <v>52</v>
      </c>
      <c r="HP5" s="3">
        <f>_xlfn.XLOOKUP(HP$1,generator!$B$2:$B$295,generator!$L$2:$L$295,"ARGH")</f>
        <v>2</v>
      </c>
      <c r="HQ5" s="3">
        <f>_xlfn.XLOOKUP(HQ$1,generator!$B$2:$B$295,generator!$L$2:$L$295,"ARGH")</f>
        <v>29.2</v>
      </c>
      <c r="HR5" s="3">
        <f>_xlfn.XLOOKUP(HR$1,generator!$B$2:$B$295,generator!$L$2:$L$295,"ARGH")</f>
        <v>29.2</v>
      </c>
      <c r="HS5" s="3">
        <f>_xlfn.XLOOKUP(HS$1,generator!$B$2:$B$295,generator!$L$2:$L$295,"ARGH")</f>
        <v>41.61</v>
      </c>
      <c r="HT5" s="3">
        <f>_xlfn.XLOOKUP(HT$1,generator!$B$2:$B$295,generator!$L$2:$L$295,"ARGH")</f>
        <v>41.61</v>
      </c>
      <c r="HU5" s="3">
        <f>_xlfn.XLOOKUP(HU$1,generator!$B$2:$B$295,generator!$L$2:$L$295,"ARGH")</f>
        <v>160</v>
      </c>
      <c r="HV5" s="3">
        <f>_xlfn.XLOOKUP(HV$1,generator!$B$2:$B$295,generator!$L$2:$L$295,"ARGH")</f>
        <v>260</v>
      </c>
      <c r="HW5" s="3">
        <f>_xlfn.XLOOKUP(HW$1,generator!$B$2:$B$295,generator!$L$2:$L$295,"ARGH")</f>
        <v>52</v>
      </c>
      <c r="HX5" s="3">
        <f>_xlfn.XLOOKUP(HX$1,generator!$B$2:$B$295,generator!$L$2:$L$295,"ARGH")</f>
        <v>52</v>
      </c>
      <c r="HY5" s="3">
        <f>_xlfn.XLOOKUP(HY$1,generator!$B$2:$B$295,generator!$L$2:$L$295,"ARGH")</f>
        <v>101</v>
      </c>
      <c r="HZ5" s="3">
        <f>_xlfn.XLOOKUP(HZ$1,generator!$B$2:$B$295,generator!$L$2:$L$295,"ARGH")</f>
        <v>50</v>
      </c>
      <c r="IA5" s="3">
        <f>_xlfn.XLOOKUP(IA$1,generator!$B$2:$B$295,generator!$L$2:$L$295,"ARGH")</f>
        <v>400</v>
      </c>
      <c r="IB5" s="3">
        <f>_xlfn.XLOOKUP(IB$1,generator!$B$2:$B$295,generator!$L$2:$L$295,"ARGH")</f>
        <v>342</v>
      </c>
      <c r="IC5" s="3">
        <f>_xlfn.XLOOKUP(IC$1,generator!$B$2:$B$295,generator!$L$2:$L$295,"ARGH")</f>
        <v>3.0209999999999999</v>
      </c>
      <c r="ID5" s="3">
        <f>_xlfn.XLOOKUP(ID$1,generator!$B$2:$B$295,generator!$L$2:$L$295,"ARGH")</f>
        <v>200</v>
      </c>
      <c r="IE5" s="3">
        <f>_xlfn.XLOOKUP(IE$1,generator!$B$2:$B$295,generator!$L$2:$L$295,"ARGH")</f>
        <v>404</v>
      </c>
      <c r="IF5" s="3">
        <f>_xlfn.XLOOKUP(IF$1,generator!$B$2:$B$295,generator!$L$2:$L$295,"ARGH")</f>
        <v>21</v>
      </c>
      <c r="IG5" s="3">
        <f>_xlfn.XLOOKUP(IG$1,generator!$B$2:$B$295,generator!$L$2:$L$295,"ARGH")</f>
        <v>22</v>
      </c>
      <c r="IH5" s="3">
        <f>_xlfn.XLOOKUP(IH$1,generator!$B$2:$B$295,generator!$L$2:$L$295,"ARGH")</f>
        <v>19</v>
      </c>
      <c r="II5" s="3">
        <f>_xlfn.XLOOKUP(II$1,generator!$B$2:$B$295,generator!$L$2:$L$295,"ARGH")</f>
        <v>24</v>
      </c>
      <c r="IJ5" s="3">
        <f>_xlfn.XLOOKUP(IJ$1,generator!$B$2:$B$295,generator!$L$2:$L$295,"ARGH")</f>
        <v>4.3</v>
      </c>
      <c r="IK5" s="3">
        <f>_xlfn.XLOOKUP(IK$1,generator!$B$2:$B$295,generator!$L$2:$L$295,"ARGH")</f>
        <v>8</v>
      </c>
      <c r="IL5" s="3">
        <f>_xlfn.XLOOKUP(IL$1,generator!$B$2:$B$295,generator!$L$2:$L$295,"ARGH")</f>
        <v>22.5</v>
      </c>
      <c r="IM5" s="3">
        <f>_xlfn.XLOOKUP(IM$1,generator!$B$2:$B$295,generator!$L$2:$L$295,"ARGH")</f>
        <v>22.5</v>
      </c>
      <c r="IN5" s="3">
        <f>_xlfn.XLOOKUP(IN$1,generator!$B$2:$B$295,generator!$L$2:$L$295,"ARGH")</f>
        <v>10</v>
      </c>
      <c r="IO5" s="3">
        <f>_xlfn.XLOOKUP(IO$1,generator!$B$2:$B$295,generator!$L$2:$L$295,"ARGH")</f>
        <v>10</v>
      </c>
      <c r="IP5" s="3">
        <f>_xlfn.XLOOKUP(IP$1,generator!$B$2:$B$295,generator!$L$2:$L$295,"ARGH")</f>
        <v>15</v>
      </c>
      <c r="IQ5" s="3">
        <f>_xlfn.XLOOKUP(IQ$1,generator!$B$2:$B$295,generator!$L$2:$L$295,"ARGH")</f>
        <v>4</v>
      </c>
      <c r="IR5" s="3">
        <f>_xlfn.XLOOKUP(IR$1,generator!$B$2:$B$295,generator!$L$2:$L$295,"ARGH")</f>
        <v>15</v>
      </c>
      <c r="IS5" s="3">
        <f>_xlfn.XLOOKUP(IS$1,generator!$B$2:$B$295,generator!$L$2:$L$295,"ARGH")</f>
        <v>15</v>
      </c>
      <c r="IT5" s="3">
        <f>_xlfn.XLOOKUP(IT$1,generator!$B$2:$B$295,generator!$L$2:$L$295,"ARGH")</f>
        <v>0.18</v>
      </c>
      <c r="IU5" s="3">
        <f>_xlfn.XLOOKUP(IU$1,generator!$B$2:$B$295,generator!$L$2:$L$295,"ARGH")</f>
        <v>4</v>
      </c>
      <c r="IV5" s="3">
        <f>_xlfn.XLOOKUP(IV$1,generator!$B$2:$B$295,generator!$L$2:$L$295,"ARGH")</f>
        <v>4</v>
      </c>
      <c r="IW5" s="3">
        <f>_xlfn.XLOOKUP(IW$1,generator!$B$2:$B$295,generator!$L$2:$L$295,"ARGH")</f>
        <v>90</v>
      </c>
      <c r="IX5" s="3">
        <f>_xlfn.XLOOKUP(IX$1,generator!$B$2:$B$295,generator!$L$2:$L$295,"ARGH")</f>
        <v>90</v>
      </c>
      <c r="IY5" s="3">
        <f>_xlfn.XLOOKUP(IY$1,generator!$B$2:$B$295,generator!$L$2:$L$295,"ARGH")</f>
        <v>90</v>
      </c>
      <c r="IZ5" s="3">
        <f>_xlfn.XLOOKUP(IZ$1,generator!$B$2:$B$295,generator!$L$2:$L$295,"ARGH")</f>
        <v>449</v>
      </c>
      <c r="JA5" s="3">
        <f>_xlfn.XLOOKUP(JA$1,generator!$B$2:$B$295,generator!$L$2:$L$295,"ARGH")</f>
        <v>83</v>
      </c>
      <c r="JB5" s="3">
        <f>_xlfn.XLOOKUP(JB$1,generator!$B$2:$B$295,generator!$L$2:$L$295,"ARGH")</f>
        <v>83</v>
      </c>
      <c r="JC5" s="3">
        <f>_xlfn.XLOOKUP(JC$1,generator!$B$2:$B$295,generator!$L$2:$L$295,"ARGH")</f>
        <v>247</v>
      </c>
      <c r="JD5" s="3">
        <f>_xlfn.XLOOKUP(JD$1,generator!$B$2:$B$295,generator!$L$2:$L$295,"ARGH")</f>
        <v>247</v>
      </c>
      <c r="JE5" s="3">
        <f>_xlfn.XLOOKUP(JE$1,generator!$B$2:$B$295,generator!$L$2:$L$295,"ARGH")</f>
        <v>425</v>
      </c>
      <c r="JF5" s="3">
        <f>_xlfn.XLOOKUP(JF$1,generator!$B$2:$B$295,generator!$L$2:$L$295,"ARGH")</f>
        <v>63.5</v>
      </c>
      <c r="JG5" s="3">
        <f>_xlfn.XLOOKUP(JG$1,generator!$B$2:$B$295,generator!$L$2:$L$295,"ARGH")</f>
        <v>17</v>
      </c>
      <c r="JH5" s="3">
        <f>_xlfn.XLOOKUP(JH$1,generator!$B$2:$B$295,generator!$L$2:$L$295,"ARGH")</f>
        <v>444</v>
      </c>
      <c r="JI5" s="3">
        <f>_xlfn.XLOOKUP(JI$1,generator!$B$2:$B$295,generator!$L$2:$L$295,"ARGH")</f>
        <v>464</v>
      </c>
      <c r="JJ5" s="3">
        <f>_xlfn.XLOOKUP(JJ$1,generator!$B$2:$B$295,generator!$L$2:$L$295,"ARGH")</f>
        <v>18.54</v>
      </c>
      <c r="JK5" s="3">
        <f>_xlfn.XLOOKUP(JK$1,generator!$B$2:$B$295,generator!$L$2:$L$295,"ARGH")</f>
        <v>18.54</v>
      </c>
      <c r="JL5" s="3">
        <f>_xlfn.XLOOKUP(JL$1,generator!$B$2:$B$295,generator!$L$2:$L$295,"ARGH")</f>
        <v>18.54</v>
      </c>
      <c r="JM5" s="3">
        <f>_xlfn.XLOOKUP(JM$1,generator!$B$2:$B$295,generator!$L$2:$L$295,"ARGH")</f>
        <v>18.54</v>
      </c>
      <c r="JN5" s="3">
        <f>_xlfn.XLOOKUP(JN$1,generator!$B$2:$B$295,generator!$L$2:$L$295,"ARGH")</f>
        <v>18.54</v>
      </c>
      <c r="JO5" s="3">
        <f>_xlfn.XLOOKUP(JO$1,generator!$B$2:$B$295,generator!$L$2:$L$295,"ARGH")</f>
        <v>18.54</v>
      </c>
      <c r="JP5" s="3">
        <f>_xlfn.XLOOKUP(JP$1,generator!$B$2:$B$295,generator!$L$2:$L$295,"ARGH")</f>
        <v>415</v>
      </c>
      <c r="JQ5" s="3">
        <f>_xlfn.XLOOKUP(JQ$1,generator!$B$2:$B$295,generator!$L$2:$L$295,"ARGH")</f>
        <v>63.5</v>
      </c>
      <c r="JR5" s="3">
        <f>_xlfn.XLOOKUP(JR$1,generator!$B$2:$B$295,generator!$L$2:$L$295,"ARGH")</f>
        <v>350</v>
      </c>
      <c r="JS5" s="3">
        <f>_xlfn.XLOOKUP(JS$1,generator!$B$2:$B$295,generator!$L$2:$L$295,"ARGH")</f>
        <v>350</v>
      </c>
      <c r="JT5" s="3">
        <f>_xlfn.XLOOKUP(JT$1,generator!$B$2:$B$295,generator!$L$2:$L$295,"ARGH")</f>
        <v>63.5</v>
      </c>
      <c r="JU5" s="3">
        <f>_xlfn.XLOOKUP(JU$1,generator!$B$2:$B$295,generator!$L$2:$L$295,"ARGH")</f>
        <v>61.5</v>
      </c>
      <c r="JV5" s="3">
        <f>_xlfn.XLOOKUP(JV$1,generator!$B$2:$B$295,generator!$L$2:$L$295,"ARGH")</f>
        <v>240</v>
      </c>
      <c r="JW5" s="3">
        <f>_xlfn.XLOOKUP(JW$1,generator!$B$2:$B$295,generator!$L$2:$L$295,"ARGH")</f>
        <v>236</v>
      </c>
      <c r="JX5" s="3">
        <f>_xlfn.XLOOKUP(JX$1,generator!$B$2:$B$295,generator!$L$2:$L$295,"ARGH")</f>
        <v>20</v>
      </c>
      <c r="JY5" s="3">
        <f>_xlfn.XLOOKUP(JY$1,generator!$B$2:$B$295,generator!$L$2:$L$295,"ARGH")</f>
        <v>118</v>
      </c>
      <c r="JZ5" s="3">
        <f>_xlfn.XLOOKUP(JZ$1,generator!$B$2:$B$295,generator!$L$2:$L$295,"ARGH")</f>
        <v>73</v>
      </c>
      <c r="KA5" s="3">
        <f>_xlfn.XLOOKUP(KA$1,generator!$B$2:$B$295,generator!$L$2:$L$295,"ARGH")</f>
        <v>73</v>
      </c>
      <c r="KB5" s="3">
        <f>_xlfn.XLOOKUP(KB$1,generator!$B$2:$B$295,generator!$L$2:$L$295,"ARGH")</f>
        <v>73</v>
      </c>
      <c r="KC5" s="3">
        <f>_xlfn.XLOOKUP(KC$1,generator!$B$2:$B$295,generator!$L$2:$L$295,"ARGH")</f>
        <v>73</v>
      </c>
    </row>
    <row r="6" spans="1:289" x14ac:dyDescent="0.3">
      <c r="A6" s="4" t="s">
        <v>3001</v>
      </c>
      <c r="B6" s="31">
        <v>0</v>
      </c>
      <c r="C6" s="31">
        <v>512</v>
      </c>
      <c r="D6" s="31">
        <v>225</v>
      </c>
      <c r="E6" s="33">
        <v>13.667</v>
      </c>
      <c r="F6" s="33">
        <v>29.36</v>
      </c>
      <c r="G6" s="33">
        <v>13.667</v>
      </c>
      <c r="H6" s="33">
        <v>22.779</v>
      </c>
      <c r="I6" s="33">
        <v>45.052</v>
      </c>
      <c r="J6" s="33">
        <v>42.015000000000001</v>
      </c>
      <c r="K6" s="33">
        <v>11.39</v>
      </c>
      <c r="L6" s="33">
        <v>8.7070000000000007</v>
      </c>
      <c r="M6" s="33">
        <v>7.593</v>
      </c>
      <c r="N6" s="33">
        <v>27.335000000000001</v>
      </c>
      <c r="O6" s="33">
        <v>2.7330000000000001</v>
      </c>
      <c r="P6" s="33">
        <v>12.959</v>
      </c>
      <c r="Q6" s="33">
        <v>17.818000000000001</v>
      </c>
      <c r="R6" s="33">
        <v>9.1120000000000001</v>
      </c>
      <c r="S6" s="33">
        <v>17.388000000000002</v>
      </c>
      <c r="T6" s="33">
        <v>12.148999999999999</v>
      </c>
      <c r="U6" s="33">
        <v>21.26</v>
      </c>
      <c r="V6" s="33">
        <v>10.706</v>
      </c>
      <c r="W6" s="33">
        <v>11.643000000000001</v>
      </c>
      <c r="X6" s="33">
        <v>16.401</v>
      </c>
      <c r="Y6" s="33">
        <v>8.5039999999999996</v>
      </c>
      <c r="Z6" s="33">
        <v>6.024</v>
      </c>
      <c r="AA6" s="33">
        <v>5.4669999999999996</v>
      </c>
      <c r="AB6" s="33">
        <v>28.853999999999999</v>
      </c>
      <c r="AC6" s="33">
        <v>33.256999999999998</v>
      </c>
      <c r="AD6" s="33">
        <v>11.744</v>
      </c>
      <c r="AE6" s="33">
        <v>10.124000000000001</v>
      </c>
      <c r="AF6" s="33">
        <v>28.55</v>
      </c>
      <c r="AG6" s="33">
        <v>10.124000000000001</v>
      </c>
      <c r="AH6" s="33">
        <v>6.0739999999999998</v>
      </c>
      <c r="AI6" s="33">
        <v>6.7830000000000004</v>
      </c>
      <c r="AJ6" s="33">
        <v>12.148999999999999</v>
      </c>
      <c r="AK6" s="33">
        <v>4.3280000000000003</v>
      </c>
      <c r="AL6" s="33">
        <v>18.719000000000001</v>
      </c>
      <c r="AM6" s="33">
        <v>24.045000000000002</v>
      </c>
      <c r="AN6" s="33">
        <v>10.124000000000001</v>
      </c>
      <c r="AO6" s="33">
        <v>6.9859999999999998</v>
      </c>
      <c r="AP6" s="33">
        <v>27.486999999999998</v>
      </c>
      <c r="AQ6" s="33">
        <v>9.4659999999999993</v>
      </c>
      <c r="AR6" s="33">
        <v>8.859</v>
      </c>
      <c r="AS6" s="33">
        <v>26.321999999999999</v>
      </c>
      <c r="AT6" s="33">
        <v>7.1539999999999999</v>
      </c>
      <c r="AU6" s="33">
        <v>19.236000000000001</v>
      </c>
      <c r="AV6" s="33">
        <v>16.452000000000002</v>
      </c>
      <c r="AW6" s="33">
        <v>16.704999999999998</v>
      </c>
      <c r="AX6" s="33">
        <v>9.2629999999999999</v>
      </c>
      <c r="AY6" s="33">
        <v>16.754999999999999</v>
      </c>
      <c r="AZ6" s="33">
        <v>19.16</v>
      </c>
      <c r="BA6" s="33">
        <v>7.0869999999999997</v>
      </c>
      <c r="BB6" s="33">
        <v>23.285</v>
      </c>
      <c r="BC6" s="33">
        <v>10.124000000000001</v>
      </c>
      <c r="BD6" s="33">
        <v>6.0739999999999998</v>
      </c>
      <c r="BE6" s="33">
        <v>5.8209999999999997</v>
      </c>
      <c r="BF6" s="33">
        <v>45.558</v>
      </c>
      <c r="BG6" s="33">
        <v>7.593</v>
      </c>
      <c r="BH6" s="33">
        <v>12.654999999999999</v>
      </c>
      <c r="BI6" s="33">
        <v>10.63</v>
      </c>
      <c r="BJ6" s="33">
        <v>21.26</v>
      </c>
      <c r="BK6" s="33">
        <v>6.0739999999999998</v>
      </c>
      <c r="BL6" s="33">
        <v>21.513999999999999</v>
      </c>
      <c r="BM6" s="33">
        <v>4.3029999999999999</v>
      </c>
      <c r="BN6" s="33">
        <v>15.186</v>
      </c>
      <c r="BO6" s="33">
        <v>21.584</v>
      </c>
      <c r="BP6" s="33">
        <v>57.808</v>
      </c>
      <c r="BQ6" s="33">
        <v>18.222999999999999</v>
      </c>
      <c r="BR6" s="33">
        <v>27.335000000000001</v>
      </c>
      <c r="BS6" s="33">
        <v>8.859</v>
      </c>
      <c r="BT6" s="33">
        <v>17.463999999999999</v>
      </c>
      <c r="BU6" s="33">
        <v>2.4300000000000002</v>
      </c>
      <c r="BV6" s="33">
        <v>5.2140000000000004</v>
      </c>
      <c r="BW6" s="33">
        <v>6.8739999999999997</v>
      </c>
      <c r="BX6" s="33">
        <v>5.5940000000000003</v>
      </c>
      <c r="BY6" s="33">
        <v>12.654999999999999</v>
      </c>
      <c r="BZ6" s="33">
        <v>20.652999999999999</v>
      </c>
      <c r="CA6" s="33">
        <v>30.119</v>
      </c>
      <c r="CB6" s="33">
        <v>17.210999999999999</v>
      </c>
      <c r="CC6" s="33">
        <v>14.427</v>
      </c>
      <c r="CD6" s="33">
        <v>19.437999999999999</v>
      </c>
      <c r="CE6" s="33">
        <v>12.654999999999999</v>
      </c>
      <c r="CF6" s="33">
        <v>8.15</v>
      </c>
      <c r="CG6" s="33">
        <v>8.859</v>
      </c>
      <c r="CH6" s="33">
        <v>14.148</v>
      </c>
      <c r="CI6" s="33">
        <v>6.6059999999999999</v>
      </c>
      <c r="CJ6" s="33">
        <v>2.2530000000000001</v>
      </c>
      <c r="CK6" s="33">
        <v>12.554</v>
      </c>
      <c r="CL6" s="33">
        <v>8.5549999999999997</v>
      </c>
      <c r="CM6" s="33">
        <v>7.593</v>
      </c>
      <c r="CN6" s="33">
        <v>29.98</v>
      </c>
      <c r="CO6" s="33">
        <v>11.896000000000001</v>
      </c>
      <c r="CP6" s="33">
        <v>23.69</v>
      </c>
      <c r="CQ6" s="33">
        <v>16.198</v>
      </c>
      <c r="CR6" s="33">
        <v>13.161</v>
      </c>
      <c r="CS6" s="33">
        <v>11.135999999999999</v>
      </c>
      <c r="CT6" s="33">
        <v>15.085000000000001</v>
      </c>
      <c r="CU6" s="33">
        <v>6.9859999999999998</v>
      </c>
      <c r="CV6" s="33">
        <v>12.807</v>
      </c>
      <c r="CW6" s="33">
        <v>14.173999999999999</v>
      </c>
      <c r="CX6" s="33">
        <v>6.3280000000000003</v>
      </c>
      <c r="CY6" s="33">
        <v>17.286999999999999</v>
      </c>
      <c r="CZ6" s="33">
        <v>6.0739999999999998</v>
      </c>
      <c r="DA6" s="33">
        <v>15.186</v>
      </c>
      <c r="DB6" s="33">
        <v>9.5169999999999995</v>
      </c>
      <c r="DC6" s="33">
        <v>7.1369999999999996</v>
      </c>
      <c r="DD6" s="33">
        <v>8.15</v>
      </c>
      <c r="DE6" s="33">
        <v>6.3280000000000003</v>
      </c>
      <c r="DF6" s="33">
        <v>10.933999999999999</v>
      </c>
      <c r="DG6" s="33">
        <v>18.198</v>
      </c>
      <c r="DH6" s="33">
        <v>37.965000000000003</v>
      </c>
      <c r="DI6" s="33">
        <v>18.222999999999999</v>
      </c>
      <c r="DJ6" s="33">
        <v>7.593</v>
      </c>
      <c r="DK6" s="33">
        <v>10.478</v>
      </c>
      <c r="DL6" s="33">
        <v>18.754999999999999</v>
      </c>
      <c r="DM6" s="33">
        <v>9.1120000000000001</v>
      </c>
      <c r="DN6" s="33">
        <v>50.62</v>
      </c>
      <c r="DO6" s="33">
        <v>17.007999999999999</v>
      </c>
      <c r="DP6" s="33">
        <v>51.125999999999998</v>
      </c>
      <c r="DQ6" s="33">
        <v>1.1850000000000001</v>
      </c>
      <c r="DR6" s="33">
        <v>46.165999999999997</v>
      </c>
      <c r="DS6" s="33">
        <v>8.15</v>
      </c>
      <c r="DT6" s="33">
        <v>15.237</v>
      </c>
      <c r="DU6" s="33">
        <v>7.593</v>
      </c>
      <c r="DV6" s="33">
        <v>6.0140000000000002</v>
      </c>
      <c r="DW6" s="33">
        <v>7.0869999999999997</v>
      </c>
      <c r="DX6" s="33">
        <v>19.690999999999999</v>
      </c>
      <c r="DY6" s="33">
        <v>13.161</v>
      </c>
      <c r="DZ6" s="33">
        <v>5.923</v>
      </c>
      <c r="EA6" s="33">
        <v>20.248000000000001</v>
      </c>
      <c r="EB6" s="33">
        <v>18.222999999999999</v>
      </c>
      <c r="EC6" s="33">
        <v>11.643000000000001</v>
      </c>
      <c r="ED6" s="33">
        <v>14.579000000000001</v>
      </c>
      <c r="EE6" s="33">
        <v>24.702999999999999</v>
      </c>
      <c r="EF6" s="33">
        <v>7.593</v>
      </c>
      <c r="EG6" s="33">
        <v>4.657</v>
      </c>
      <c r="EH6" s="33">
        <v>20.957000000000001</v>
      </c>
      <c r="EI6" s="33">
        <v>7.492</v>
      </c>
      <c r="EJ6" s="33">
        <v>4.657</v>
      </c>
      <c r="EK6" s="33">
        <v>7.593</v>
      </c>
      <c r="EL6" s="33">
        <v>12.148999999999999</v>
      </c>
      <c r="EM6" s="33">
        <v>16.3</v>
      </c>
      <c r="EN6" s="33">
        <v>9.3140000000000001</v>
      </c>
      <c r="EO6" s="33">
        <v>10.124000000000001</v>
      </c>
      <c r="EP6" s="33">
        <v>7.1369999999999996</v>
      </c>
      <c r="EQ6" s="33">
        <v>17.463999999999999</v>
      </c>
      <c r="ER6" s="33">
        <v>5.3150000000000004</v>
      </c>
      <c r="ES6" s="33">
        <v>5.8209999999999997</v>
      </c>
      <c r="ET6" s="33">
        <v>11.693</v>
      </c>
      <c r="EU6" s="33">
        <v>43.006999999999998</v>
      </c>
      <c r="EV6" s="33">
        <v>8.7319999999999993</v>
      </c>
      <c r="EW6" s="33">
        <v>40.496000000000002</v>
      </c>
      <c r="EX6" s="33">
        <v>45.481999999999999</v>
      </c>
      <c r="EY6" s="33">
        <v>2.7330000000000001</v>
      </c>
      <c r="EZ6" s="33">
        <v>3.6749999999999998</v>
      </c>
      <c r="FA6" s="33">
        <v>3.0070000000000001</v>
      </c>
      <c r="FB6" s="33">
        <v>10.124000000000001</v>
      </c>
      <c r="FC6" s="33">
        <v>14.427</v>
      </c>
      <c r="FD6" s="33">
        <v>10.124000000000001</v>
      </c>
      <c r="FE6" s="33">
        <v>13.971</v>
      </c>
      <c r="FF6" s="33">
        <v>9.1120000000000001</v>
      </c>
      <c r="FG6" s="33">
        <v>7.593</v>
      </c>
      <c r="FH6" s="33">
        <v>6.3280000000000003</v>
      </c>
      <c r="FI6" s="33">
        <v>24.297999999999998</v>
      </c>
      <c r="FJ6" s="33">
        <v>15.5</v>
      </c>
      <c r="FK6" s="33">
        <v>22.45</v>
      </c>
      <c r="FL6" s="33">
        <v>7.492</v>
      </c>
      <c r="FM6" s="33">
        <v>20.704000000000001</v>
      </c>
      <c r="FN6" s="33">
        <v>10.377000000000001</v>
      </c>
      <c r="FO6" s="33">
        <v>37.256</v>
      </c>
      <c r="FP6" s="33">
        <v>53.151000000000003</v>
      </c>
      <c r="FQ6" s="33">
        <v>9.7189999999999994</v>
      </c>
      <c r="FR6" s="33">
        <v>5.8209999999999997</v>
      </c>
      <c r="FS6" s="33">
        <v>6.9859999999999998</v>
      </c>
      <c r="FT6" s="33">
        <v>8.7319999999999993</v>
      </c>
      <c r="FU6" s="33">
        <v>35.433999999999997</v>
      </c>
      <c r="FV6" s="33">
        <v>6.7320000000000002</v>
      </c>
      <c r="FW6" s="33">
        <v>7.6840000000000002</v>
      </c>
      <c r="FX6" s="33">
        <v>7.593</v>
      </c>
      <c r="FY6" s="33">
        <v>6.9859999999999998</v>
      </c>
      <c r="FZ6" s="33">
        <v>6.9859999999999998</v>
      </c>
      <c r="GA6" s="33">
        <v>7.593</v>
      </c>
      <c r="GB6" s="33">
        <v>6.3280000000000003</v>
      </c>
      <c r="GC6" s="33">
        <v>3.3410000000000002</v>
      </c>
      <c r="GD6" s="33">
        <v>6.3780000000000001</v>
      </c>
      <c r="GE6" s="33">
        <v>6.9859999999999998</v>
      </c>
      <c r="GF6" s="33">
        <v>53.151000000000003</v>
      </c>
      <c r="GG6" s="33">
        <v>32.396999999999998</v>
      </c>
      <c r="GH6" s="33">
        <v>3.0369999999999999</v>
      </c>
      <c r="GI6" s="33">
        <v>4.556</v>
      </c>
      <c r="GJ6" s="33">
        <v>6.024</v>
      </c>
      <c r="GK6" s="33">
        <v>13.667</v>
      </c>
      <c r="GL6" s="33">
        <v>10.124000000000001</v>
      </c>
      <c r="GM6" s="33">
        <v>5.6000000000000001E-2</v>
      </c>
      <c r="GN6" s="33">
        <v>0.33500000000000002</v>
      </c>
      <c r="GO6" s="33">
        <v>0.11700000000000001</v>
      </c>
      <c r="GP6" s="33">
        <v>0.47399999999999998</v>
      </c>
      <c r="GQ6" s="33">
        <v>7.8E-2</v>
      </c>
      <c r="GR6" s="33">
        <v>0.66300000000000003</v>
      </c>
      <c r="GS6" s="33">
        <v>0.17599999999999999</v>
      </c>
      <c r="GT6" s="33">
        <v>0.53</v>
      </c>
      <c r="GU6" s="33">
        <v>0.14099999999999999</v>
      </c>
      <c r="GV6" s="33">
        <v>9.4E-2</v>
      </c>
      <c r="GW6" s="33">
        <v>0.114</v>
      </c>
      <c r="GX6" s="33">
        <v>0.48499999999999999</v>
      </c>
      <c r="GY6" s="33">
        <v>2.1999999999999999E-2</v>
      </c>
      <c r="GZ6" s="33">
        <v>6.7000000000000004E-2</v>
      </c>
      <c r="HA6" s="33">
        <v>0.16600000000000001</v>
      </c>
      <c r="HB6" s="33">
        <v>0.53</v>
      </c>
      <c r="HC6" s="33">
        <v>0.53</v>
      </c>
      <c r="HD6" s="33">
        <v>0.27900000000000003</v>
      </c>
      <c r="HE6" s="3">
        <f>_xlfn.XLOOKUP(HE$1,generator!$B$2:$B$295,generator!$L$2:$L$295,"ARGH")</f>
        <v>17.600000000000001</v>
      </c>
      <c r="HF6" s="3">
        <f>_xlfn.XLOOKUP(HF$1,generator!$B$2:$B$295,generator!$L$2:$L$295,"ARGH")</f>
        <v>285</v>
      </c>
      <c r="HG6" s="3">
        <f>_xlfn.XLOOKUP(HG$1,generator!$B$2:$B$295,generator!$L$2:$L$295,"ARGH")</f>
        <v>285</v>
      </c>
      <c r="HH6" s="3">
        <f>_xlfn.XLOOKUP(HH$1,generator!$B$2:$B$295,generator!$L$2:$L$295,"ARGH")</f>
        <v>285</v>
      </c>
      <c r="HI6" s="3">
        <f>_xlfn.XLOOKUP(HI$1,generator!$B$2:$B$295,generator!$L$2:$L$295,"ARGH")</f>
        <v>58</v>
      </c>
      <c r="HJ6" s="3">
        <f>_xlfn.XLOOKUP(HJ$1,generator!$B$2:$B$295,generator!$L$2:$L$295,"ARGH")</f>
        <v>58</v>
      </c>
      <c r="HK6" s="3">
        <f>_xlfn.XLOOKUP(HK$1,generator!$B$2:$B$295,generator!$L$2:$L$295,"ARGH")</f>
        <v>53</v>
      </c>
      <c r="HL6" s="3">
        <f>_xlfn.XLOOKUP(HL$1,generator!$B$2:$B$295,generator!$L$2:$L$295,"ARGH")</f>
        <v>58</v>
      </c>
      <c r="HM6" s="3">
        <f>_xlfn.XLOOKUP(HM$1,generator!$B$2:$B$295,generator!$L$2:$L$295,"ARGH")</f>
        <v>58</v>
      </c>
      <c r="HN6" s="3">
        <f>_xlfn.XLOOKUP(HN$1,generator!$B$2:$B$295,generator!$L$2:$L$295,"ARGH")</f>
        <v>52</v>
      </c>
      <c r="HO6" s="3">
        <f>_xlfn.XLOOKUP(HO$1,generator!$B$2:$B$295,generator!$L$2:$L$295,"ARGH")</f>
        <v>52</v>
      </c>
      <c r="HP6" s="3">
        <f>_xlfn.XLOOKUP(HP$1,generator!$B$2:$B$295,generator!$L$2:$L$295,"ARGH")</f>
        <v>2</v>
      </c>
      <c r="HQ6" s="3">
        <f>_xlfn.XLOOKUP(HQ$1,generator!$B$2:$B$295,generator!$L$2:$L$295,"ARGH")</f>
        <v>29.2</v>
      </c>
      <c r="HR6" s="3">
        <f>_xlfn.XLOOKUP(HR$1,generator!$B$2:$B$295,generator!$L$2:$L$295,"ARGH")</f>
        <v>29.2</v>
      </c>
      <c r="HS6" s="3">
        <f>_xlfn.XLOOKUP(HS$1,generator!$B$2:$B$295,generator!$L$2:$L$295,"ARGH")</f>
        <v>41.61</v>
      </c>
      <c r="HT6" s="3">
        <f>_xlfn.XLOOKUP(HT$1,generator!$B$2:$B$295,generator!$L$2:$L$295,"ARGH")</f>
        <v>41.61</v>
      </c>
      <c r="HU6" s="3">
        <f>_xlfn.XLOOKUP(HU$1,generator!$B$2:$B$295,generator!$L$2:$L$295,"ARGH")</f>
        <v>160</v>
      </c>
      <c r="HV6" s="3">
        <f>_xlfn.XLOOKUP(HV$1,generator!$B$2:$B$295,generator!$L$2:$L$295,"ARGH")</f>
        <v>260</v>
      </c>
      <c r="HW6" s="3">
        <f>_xlfn.XLOOKUP(HW$1,generator!$B$2:$B$295,generator!$L$2:$L$295,"ARGH")</f>
        <v>52</v>
      </c>
      <c r="HX6" s="3">
        <f>_xlfn.XLOOKUP(HX$1,generator!$B$2:$B$295,generator!$L$2:$L$295,"ARGH")</f>
        <v>52</v>
      </c>
      <c r="HY6" s="3">
        <f>_xlfn.XLOOKUP(HY$1,generator!$B$2:$B$295,generator!$L$2:$L$295,"ARGH")</f>
        <v>101</v>
      </c>
      <c r="HZ6" s="3">
        <f>_xlfn.XLOOKUP(HZ$1,generator!$B$2:$B$295,generator!$L$2:$L$295,"ARGH")</f>
        <v>50</v>
      </c>
      <c r="IA6" s="3">
        <f>_xlfn.XLOOKUP(IA$1,generator!$B$2:$B$295,generator!$L$2:$L$295,"ARGH")</f>
        <v>400</v>
      </c>
      <c r="IB6" s="3">
        <f>_xlfn.XLOOKUP(IB$1,generator!$B$2:$B$295,generator!$L$2:$L$295,"ARGH")</f>
        <v>342</v>
      </c>
      <c r="IC6" s="3">
        <f>_xlfn.XLOOKUP(IC$1,generator!$B$2:$B$295,generator!$L$2:$L$295,"ARGH")</f>
        <v>3.0209999999999999</v>
      </c>
      <c r="ID6" s="3">
        <f>_xlfn.XLOOKUP(ID$1,generator!$B$2:$B$295,generator!$L$2:$L$295,"ARGH")</f>
        <v>200</v>
      </c>
      <c r="IE6" s="3">
        <f>_xlfn.XLOOKUP(IE$1,generator!$B$2:$B$295,generator!$L$2:$L$295,"ARGH")</f>
        <v>404</v>
      </c>
      <c r="IF6" s="3">
        <f>_xlfn.XLOOKUP(IF$1,generator!$B$2:$B$295,generator!$L$2:$L$295,"ARGH")</f>
        <v>21</v>
      </c>
      <c r="IG6" s="3">
        <f>_xlfn.XLOOKUP(IG$1,generator!$B$2:$B$295,generator!$L$2:$L$295,"ARGH")</f>
        <v>22</v>
      </c>
      <c r="IH6" s="3">
        <f>_xlfn.XLOOKUP(IH$1,generator!$B$2:$B$295,generator!$L$2:$L$295,"ARGH")</f>
        <v>19</v>
      </c>
      <c r="II6" s="3">
        <f>_xlfn.XLOOKUP(II$1,generator!$B$2:$B$295,generator!$L$2:$L$295,"ARGH")</f>
        <v>24</v>
      </c>
      <c r="IJ6" s="3">
        <f>_xlfn.XLOOKUP(IJ$1,generator!$B$2:$B$295,generator!$L$2:$L$295,"ARGH")</f>
        <v>4.3</v>
      </c>
      <c r="IK6" s="3">
        <f>_xlfn.XLOOKUP(IK$1,generator!$B$2:$B$295,generator!$L$2:$L$295,"ARGH")</f>
        <v>8</v>
      </c>
      <c r="IL6" s="3">
        <f>_xlfn.XLOOKUP(IL$1,generator!$B$2:$B$295,generator!$L$2:$L$295,"ARGH")</f>
        <v>22.5</v>
      </c>
      <c r="IM6" s="3">
        <f>_xlfn.XLOOKUP(IM$1,generator!$B$2:$B$295,generator!$L$2:$L$295,"ARGH")</f>
        <v>22.5</v>
      </c>
      <c r="IN6" s="3">
        <f>_xlfn.XLOOKUP(IN$1,generator!$B$2:$B$295,generator!$L$2:$L$295,"ARGH")</f>
        <v>10</v>
      </c>
      <c r="IO6" s="3">
        <f>_xlfn.XLOOKUP(IO$1,generator!$B$2:$B$295,generator!$L$2:$L$295,"ARGH")</f>
        <v>10</v>
      </c>
      <c r="IP6" s="3">
        <f>_xlfn.XLOOKUP(IP$1,generator!$B$2:$B$295,generator!$L$2:$L$295,"ARGH")</f>
        <v>15</v>
      </c>
      <c r="IQ6" s="3">
        <f>_xlfn.XLOOKUP(IQ$1,generator!$B$2:$B$295,generator!$L$2:$L$295,"ARGH")</f>
        <v>4</v>
      </c>
      <c r="IR6" s="3">
        <f>_xlfn.XLOOKUP(IR$1,generator!$B$2:$B$295,generator!$L$2:$L$295,"ARGH")</f>
        <v>15</v>
      </c>
      <c r="IS6" s="3">
        <f>_xlfn.XLOOKUP(IS$1,generator!$B$2:$B$295,generator!$L$2:$L$295,"ARGH")</f>
        <v>15</v>
      </c>
      <c r="IT6" s="3">
        <f>_xlfn.XLOOKUP(IT$1,generator!$B$2:$B$295,generator!$L$2:$L$295,"ARGH")</f>
        <v>0.18</v>
      </c>
      <c r="IU6" s="3">
        <f>_xlfn.XLOOKUP(IU$1,generator!$B$2:$B$295,generator!$L$2:$L$295,"ARGH")</f>
        <v>4</v>
      </c>
      <c r="IV6" s="3">
        <f>_xlfn.XLOOKUP(IV$1,generator!$B$2:$B$295,generator!$L$2:$L$295,"ARGH")</f>
        <v>4</v>
      </c>
      <c r="IW6" s="3">
        <f>_xlfn.XLOOKUP(IW$1,generator!$B$2:$B$295,generator!$L$2:$L$295,"ARGH")</f>
        <v>90</v>
      </c>
      <c r="IX6" s="3">
        <f>_xlfn.XLOOKUP(IX$1,generator!$B$2:$B$295,generator!$L$2:$L$295,"ARGH")</f>
        <v>90</v>
      </c>
      <c r="IY6" s="3">
        <f>_xlfn.XLOOKUP(IY$1,generator!$B$2:$B$295,generator!$L$2:$L$295,"ARGH")</f>
        <v>90</v>
      </c>
      <c r="IZ6" s="3">
        <f>_xlfn.XLOOKUP(IZ$1,generator!$B$2:$B$295,generator!$L$2:$L$295,"ARGH")</f>
        <v>449</v>
      </c>
      <c r="JA6" s="3">
        <f>_xlfn.XLOOKUP(JA$1,generator!$B$2:$B$295,generator!$L$2:$L$295,"ARGH")</f>
        <v>83</v>
      </c>
      <c r="JB6" s="3">
        <f>_xlfn.XLOOKUP(JB$1,generator!$B$2:$B$295,generator!$L$2:$L$295,"ARGH")</f>
        <v>83</v>
      </c>
      <c r="JC6" s="3">
        <f>_xlfn.XLOOKUP(JC$1,generator!$B$2:$B$295,generator!$L$2:$L$295,"ARGH")</f>
        <v>247</v>
      </c>
      <c r="JD6" s="3">
        <f>_xlfn.XLOOKUP(JD$1,generator!$B$2:$B$295,generator!$L$2:$L$295,"ARGH")</f>
        <v>247</v>
      </c>
      <c r="JE6" s="3">
        <f>_xlfn.XLOOKUP(JE$1,generator!$B$2:$B$295,generator!$L$2:$L$295,"ARGH")</f>
        <v>425</v>
      </c>
      <c r="JF6" s="3">
        <f>_xlfn.XLOOKUP(JF$1,generator!$B$2:$B$295,generator!$L$2:$L$295,"ARGH")</f>
        <v>63.5</v>
      </c>
      <c r="JG6" s="3">
        <f>_xlfn.XLOOKUP(JG$1,generator!$B$2:$B$295,generator!$L$2:$L$295,"ARGH")</f>
        <v>17</v>
      </c>
      <c r="JH6" s="3">
        <f>_xlfn.XLOOKUP(JH$1,generator!$B$2:$B$295,generator!$L$2:$L$295,"ARGH")</f>
        <v>444</v>
      </c>
      <c r="JI6" s="3">
        <f>_xlfn.XLOOKUP(JI$1,generator!$B$2:$B$295,generator!$L$2:$L$295,"ARGH")</f>
        <v>464</v>
      </c>
      <c r="JJ6" s="3">
        <f>_xlfn.XLOOKUP(JJ$1,generator!$B$2:$B$295,generator!$L$2:$L$295,"ARGH")</f>
        <v>18.54</v>
      </c>
      <c r="JK6" s="3">
        <f>_xlfn.XLOOKUP(JK$1,generator!$B$2:$B$295,generator!$L$2:$L$295,"ARGH")</f>
        <v>18.54</v>
      </c>
      <c r="JL6" s="3">
        <f>_xlfn.XLOOKUP(JL$1,generator!$B$2:$B$295,generator!$L$2:$L$295,"ARGH")</f>
        <v>18.54</v>
      </c>
      <c r="JM6" s="3">
        <f>_xlfn.XLOOKUP(JM$1,generator!$B$2:$B$295,generator!$L$2:$L$295,"ARGH")</f>
        <v>18.54</v>
      </c>
      <c r="JN6" s="3">
        <f>_xlfn.XLOOKUP(JN$1,generator!$B$2:$B$295,generator!$L$2:$L$295,"ARGH")</f>
        <v>18.54</v>
      </c>
      <c r="JO6" s="3">
        <f>_xlfn.XLOOKUP(JO$1,generator!$B$2:$B$295,generator!$L$2:$L$295,"ARGH")</f>
        <v>18.54</v>
      </c>
      <c r="JP6" s="3">
        <f>_xlfn.XLOOKUP(JP$1,generator!$B$2:$B$295,generator!$L$2:$L$295,"ARGH")</f>
        <v>415</v>
      </c>
      <c r="JQ6" s="3">
        <f>_xlfn.XLOOKUP(JQ$1,generator!$B$2:$B$295,generator!$L$2:$L$295,"ARGH")</f>
        <v>63.5</v>
      </c>
      <c r="JR6" s="3">
        <f>_xlfn.XLOOKUP(JR$1,generator!$B$2:$B$295,generator!$L$2:$L$295,"ARGH")</f>
        <v>350</v>
      </c>
      <c r="JS6" s="3">
        <f>_xlfn.XLOOKUP(JS$1,generator!$B$2:$B$295,generator!$L$2:$L$295,"ARGH")</f>
        <v>350</v>
      </c>
      <c r="JT6" s="3">
        <f>_xlfn.XLOOKUP(JT$1,generator!$B$2:$B$295,generator!$L$2:$L$295,"ARGH")</f>
        <v>63.5</v>
      </c>
      <c r="JU6" s="3">
        <f>_xlfn.XLOOKUP(JU$1,generator!$B$2:$B$295,generator!$L$2:$L$295,"ARGH")</f>
        <v>61.5</v>
      </c>
      <c r="JV6" s="3">
        <f>_xlfn.XLOOKUP(JV$1,generator!$B$2:$B$295,generator!$L$2:$L$295,"ARGH")</f>
        <v>240</v>
      </c>
      <c r="JW6" s="3">
        <f>_xlfn.XLOOKUP(JW$1,generator!$B$2:$B$295,generator!$L$2:$L$295,"ARGH")</f>
        <v>236</v>
      </c>
      <c r="JX6" s="3">
        <f>_xlfn.XLOOKUP(JX$1,generator!$B$2:$B$295,generator!$L$2:$L$295,"ARGH")</f>
        <v>20</v>
      </c>
      <c r="JY6" s="3">
        <f>_xlfn.XLOOKUP(JY$1,generator!$B$2:$B$295,generator!$L$2:$L$295,"ARGH")</f>
        <v>118</v>
      </c>
      <c r="JZ6" s="3">
        <f>_xlfn.XLOOKUP(JZ$1,generator!$B$2:$B$295,generator!$L$2:$L$295,"ARGH")</f>
        <v>73</v>
      </c>
      <c r="KA6" s="3">
        <f>_xlfn.XLOOKUP(KA$1,generator!$B$2:$B$295,generator!$L$2:$L$295,"ARGH")</f>
        <v>73</v>
      </c>
      <c r="KB6" s="3">
        <f>_xlfn.XLOOKUP(KB$1,generator!$B$2:$B$295,generator!$L$2:$L$295,"ARGH")</f>
        <v>73</v>
      </c>
      <c r="KC6" s="3">
        <f>_xlfn.XLOOKUP(KC$1,generator!$B$2:$B$295,generator!$L$2:$L$295,"ARGH")</f>
        <v>73</v>
      </c>
    </row>
    <row r="7" spans="1:289" x14ac:dyDescent="0.3">
      <c r="A7" s="4" t="s">
        <v>3002</v>
      </c>
      <c r="B7" s="31">
        <v>0</v>
      </c>
      <c r="C7" s="31">
        <v>513</v>
      </c>
      <c r="D7" s="31">
        <v>315</v>
      </c>
      <c r="E7" s="33">
        <v>13.275</v>
      </c>
      <c r="F7" s="33">
        <v>28.515999999999998</v>
      </c>
      <c r="G7" s="33">
        <v>13.275</v>
      </c>
      <c r="H7" s="33">
        <v>22.125</v>
      </c>
      <c r="I7" s="33">
        <v>43.756999999999998</v>
      </c>
      <c r="J7" s="33">
        <v>40.807000000000002</v>
      </c>
      <c r="K7" s="33">
        <v>11.061999999999999</v>
      </c>
      <c r="L7" s="33">
        <v>8.4559999999999995</v>
      </c>
      <c r="M7" s="33">
        <v>7.375</v>
      </c>
      <c r="N7" s="33">
        <v>26.548999999999999</v>
      </c>
      <c r="O7" s="33">
        <v>2.6549999999999998</v>
      </c>
      <c r="P7" s="33">
        <v>12.586</v>
      </c>
      <c r="Q7" s="33">
        <v>17.306000000000001</v>
      </c>
      <c r="R7" s="33">
        <v>8.85</v>
      </c>
      <c r="S7" s="33">
        <v>16.888000000000002</v>
      </c>
      <c r="T7" s="33">
        <v>11.8</v>
      </c>
      <c r="U7" s="33">
        <v>20.65</v>
      </c>
      <c r="V7" s="33">
        <v>10.398999999999999</v>
      </c>
      <c r="W7" s="33">
        <v>11.308</v>
      </c>
      <c r="X7" s="33">
        <v>15.93</v>
      </c>
      <c r="Y7" s="33">
        <v>8.26</v>
      </c>
      <c r="Z7" s="33">
        <v>5.851</v>
      </c>
      <c r="AA7" s="33">
        <v>5.31</v>
      </c>
      <c r="AB7" s="33">
        <v>28.024000000000001</v>
      </c>
      <c r="AC7" s="33">
        <v>32.302</v>
      </c>
      <c r="AD7" s="33">
        <v>11.406000000000001</v>
      </c>
      <c r="AE7" s="33">
        <v>9.8330000000000002</v>
      </c>
      <c r="AF7" s="33">
        <v>27.728999999999999</v>
      </c>
      <c r="AG7" s="33">
        <v>9.8330000000000002</v>
      </c>
      <c r="AH7" s="33">
        <v>5.9</v>
      </c>
      <c r="AI7" s="33">
        <v>6.5880000000000001</v>
      </c>
      <c r="AJ7" s="33">
        <v>11.8</v>
      </c>
      <c r="AK7" s="33">
        <v>4.2039999999999997</v>
      </c>
      <c r="AL7" s="33">
        <v>18.181000000000001</v>
      </c>
      <c r="AM7" s="33">
        <v>23.353999999999999</v>
      </c>
      <c r="AN7" s="33">
        <v>9.8330000000000002</v>
      </c>
      <c r="AO7" s="33">
        <v>6.7850000000000001</v>
      </c>
      <c r="AP7" s="33">
        <v>26.696999999999999</v>
      </c>
      <c r="AQ7" s="33">
        <v>9.1940000000000008</v>
      </c>
      <c r="AR7" s="33">
        <v>8.6039999999999992</v>
      </c>
      <c r="AS7" s="33">
        <v>25.565999999999999</v>
      </c>
      <c r="AT7" s="33">
        <v>6.9480000000000004</v>
      </c>
      <c r="AU7" s="33">
        <v>18.683</v>
      </c>
      <c r="AV7" s="33">
        <v>15.978999999999999</v>
      </c>
      <c r="AW7" s="33">
        <v>16.225000000000001</v>
      </c>
      <c r="AX7" s="33">
        <v>8.9969999999999999</v>
      </c>
      <c r="AY7" s="33">
        <v>16.274000000000001</v>
      </c>
      <c r="AZ7" s="33">
        <v>18.609000000000002</v>
      </c>
      <c r="BA7" s="33">
        <v>6.883</v>
      </c>
      <c r="BB7" s="33">
        <v>22.616</v>
      </c>
      <c r="BC7" s="33">
        <v>9.8330000000000002</v>
      </c>
      <c r="BD7" s="33">
        <v>5.9</v>
      </c>
      <c r="BE7" s="33">
        <v>5.6539999999999999</v>
      </c>
      <c r="BF7" s="33">
        <v>44.249000000000002</v>
      </c>
      <c r="BG7" s="33">
        <v>7.375</v>
      </c>
      <c r="BH7" s="33">
        <v>12.291</v>
      </c>
      <c r="BI7" s="33">
        <v>10.324999999999999</v>
      </c>
      <c r="BJ7" s="33">
        <v>20.65</v>
      </c>
      <c r="BK7" s="33">
        <v>5.9</v>
      </c>
      <c r="BL7" s="33">
        <v>20.895</v>
      </c>
      <c r="BM7" s="33">
        <v>4.1790000000000003</v>
      </c>
      <c r="BN7" s="33">
        <v>14.75</v>
      </c>
      <c r="BO7" s="33">
        <v>20.963999999999999</v>
      </c>
      <c r="BP7" s="33">
        <v>56.146999999999998</v>
      </c>
      <c r="BQ7" s="33">
        <v>17.7</v>
      </c>
      <c r="BR7" s="33">
        <v>26.548999999999999</v>
      </c>
      <c r="BS7" s="33">
        <v>8.6039999999999992</v>
      </c>
      <c r="BT7" s="33">
        <v>16.962</v>
      </c>
      <c r="BU7" s="33">
        <v>2.36</v>
      </c>
      <c r="BV7" s="33">
        <v>5.0640000000000001</v>
      </c>
      <c r="BW7" s="33">
        <v>6.6769999999999996</v>
      </c>
      <c r="BX7" s="33">
        <v>5.4329999999999998</v>
      </c>
      <c r="BY7" s="33">
        <v>12.291</v>
      </c>
      <c r="BZ7" s="33">
        <v>20.059999999999999</v>
      </c>
      <c r="CA7" s="33">
        <v>29.254000000000001</v>
      </c>
      <c r="CB7" s="33">
        <v>16.716000000000001</v>
      </c>
      <c r="CC7" s="33">
        <v>14.012</v>
      </c>
      <c r="CD7" s="33">
        <v>18.88</v>
      </c>
      <c r="CE7" s="33">
        <v>12.291</v>
      </c>
      <c r="CF7" s="33">
        <v>7.9160000000000004</v>
      </c>
      <c r="CG7" s="33">
        <v>8.6039999999999992</v>
      </c>
      <c r="CH7" s="33">
        <v>13.742000000000001</v>
      </c>
      <c r="CI7" s="33">
        <v>6.4160000000000004</v>
      </c>
      <c r="CJ7" s="33">
        <v>2.1880000000000002</v>
      </c>
      <c r="CK7" s="33">
        <v>12.193</v>
      </c>
      <c r="CL7" s="33">
        <v>8.3089999999999993</v>
      </c>
      <c r="CM7" s="33">
        <v>7.375</v>
      </c>
      <c r="CN7" s="33">
        <v>29.117999999999999</v>
      </c>
      <c r="CO7" s="33">
        <v>11.554</v>
      </c>
      <c r="CP7" s="33">
        <v>23.009</v>
      </c>
      <c r="CQ7" s="33">
        <v>15.733000000000001</v>
      </c>
      <c r="CR7" s="33">
        <v>12.782999999999999</v>
      </c>
      <c r="CS7" s="33">
        <v>10.816000000000001</v>
      </c>
      <c r="CT7" s="33">
        <v>14.651</v>
      </c>
      <c r="CU7" s="33">
        <v>6.7850000000000001</v>
      </c>
      <c r="CV7" s="33">
        <v>12.439</v>
      </c>
      <c r="CW7" s="33">
        <v>13.766</v>
      </c>
      <c r="CX7" s="33">
        <v>6.1459999999999999</v>
      </c>
      <c r="CY7" s="33">
        <v>16.79</v>
      </c>
      <c r="CZ7" s="33">
        <v>5.9</v>
      </c>
      <c r="DA7" s="33">
        <v>14.75</v>
      </c>
      <c r="DB7" s="33">
        <v>9.2430000000000003</v>
      </c>
      <c r="DC7" s="33">
        <v>6.9320000000000004</v>
      </c>
      <c r="DD7" s="33">
        <v>7.9160000000000004</v>
      </c>
      <c r="DE7" s="33">
        <v>6.1459999999999999</v>
      </c>
      <c r="DF7" s="33">
        <v>10.62</v>
      </c>
      <c r="DG7" s="33">
        <v>17.675000000000001</v>
      </c>
      <c r="DH7" s="33">
        <v>36.874000000000002</v>
      </c>
      <c r="DI7" s="33">
        <v>17.7</v>
      </c>
      <c r="DJ7" s="33">
        <v>7.375</v>
      </c>
      <c r="DK7" s="33">
        <v>10.177</v>
      </c>
      <c r="DL7" s="33">
        <v>18.216000000000001</v>
      </c>
      <c r="DM7" s="33">
        <v>8.85</v>
      </c>
      <c r="DN7" s="33">
        <v>49.165999999999997</v>
      </c>
      <c r="DO7" s="33">
        <v>16.52</v>
      </c>
      <c r="DP7" s="33">
        <v>49.656999999999996</v>
      </c>
      <c r="DQ7" s="33">
        <v>1.1499999999999999</v>
      </c>
      <c r="DR7" s="33">
        <v>44.838999999999999</v>
      </c>
      <c r="DS7" s="33">
        <v>7.9160000000000004</v>
      </c>
      <c r="DT7" s="33">
        <v>14.798999999999999</v>
      </c>
      <c r="DU7" s="33">
        <v>7.375</v>
      </c>
      <c r="DV7" s="33">
        <v>5.8410000000000002</v>
      </c>
      <c r="DW7" s="33">
        <v>6.883</v>
      </c>
      <c r="DX7" s="33">
        <v>19.125</v>
      </c>
      <c r="DY7" s="33">
        <v>12.782999999999999</v>
      </c>
      <c r="DZ7" s="33">
        <v>5.7519999999999998</v>
      </c>
      <c r="EA7" s="33">
        <v>19.666</v>
      </c>
      <c r="EB7" s="33">
        <v>17.7</v>
      </c>
      <c r="EC7" s="33">
        <v>11.308</v>
      </c>
      <c r="ED7" s="33">
        <v>14.16</v>
      </c>
      <c r="EE7" s="33">
        <v>23.992999999999999</v>
      </c>
      <c r="EF7" s="33">
        <v>7.375</v>
      </c>
      <c r="EG7" s="33">
        <v>4.5229999999999997</v>
      </c>
      <c r="EH7" s="33">
        <v>20.355</v>
      </c>
      <c r="EI7" s="33">
        <v>7.2770000000000001</v>
      </c>
      <c r="EJ7" s="33">
        <v>4.5229999999999997</v>
      </c>
      <c r="EK7" s="33">
        <v>7.375</v>
      </c>
      <c r="EL7" s="33">
        <v>11.8</v>
      </c>
      <c r="EM7" s="33">
        <v>15.831</v>
      </c>
      <c r="EN7" s="33">
        <v>9.0459999999999994</v>
      </c>
      <c r="EO7" s="33">
        <v>9.8330000000000002</v>
      </c>
      <c r="EP7" s="33">
        <v>6.9320000000000004</v>
      </c>
      <c r="EQ7" s="33">
        <v>16.962</v>
      </c>
      <c r="ER7" s="33">
        <v>5.1619999999999999</v>
      </c>
      <c r="ES7" s="33">
        <v>5.6539999999999999</v>
      </c>
      <c r="ET7" s="33">
        <v>11.356999999999999</v>
      </c>
      <c r="EU7" s="33">
        <v>41.771000000000001</v>
      </c>
      <c r="EV7" s="33">
        <v>8.4809999999999999</v>
      </c>
      <c r="EW7" s="33">
        <v>39.332000000000001</v>
      </c>
      <c r="EX7" s="33">
        <v>44.174999999999997</v>
      </c>
      <c r="EY7" s="33">
        <v>2.6549999999999998</v>
      </c>
      <c r="EZ7" s="33">
        <v>3.569</v>
      </c>
      <c r="FA7" s="33">
        <v>2.92</v>
      </c>
      <c r="FB7" s="33">
        <v>9.8330000000000002</v>
      </c>
      <c r="FC7" s="33">
        <v>14.012</v>
      </c>
      <c r="FD7" s="33">
        <v>9.8330000000000002</v>
      </c>
      <c r="FE7" s="33">
        <v>13.57</v>
      </c>
      <c r="FF7" s="33">
        <v>8.85</v>
      </c>
      <c r="FG7" s="33">
        <v>7.375</v>
      </c>
      <c r="FH7" s="33">
        <v>6.1459999999999999</v>
      </c>
      <c r="FI7" s="33">
        <v>23.599</v>
      </c>
      <c r="FJ7" s="33">
        <v>15.055</v>
      </c>
      <c r="FK7" s="33">
        <v>21.805</v>
      </c>
      <c r="FL7" s="33">
        <v>7.2770000000000001</v>
      </c>
      <c r="FM7" s="33">
        <v>20.109000000000002</v>
      </c>
      <c r="FN7" s="33">
        <v>10.079000000000001</v>
      </c>
      <c r="FO7" s="33">
        <v>36.186</v>
      </c>
      <c r="FP7" s="33">
        <v>51.624000000000002</v>
      </c>
      <c r="FQ7" s="33">
        <v>9.44</v>
      </c>
      <c r="FR7" s="33">
        <v>5.6539999999999999</v>
      </c>
      <c r="FS7" s="33">
        <v>6.7850000000000001</v>
      </c>
      <c r="FT7" s="33">
        <v>8.4809999999999999</v>
      </c>
      <c r="FU7" s="33">
        <v>34.415999999999997</v>
      </c>
      <c r="FV7" s="33">
        <v>6.5389999999999997</v>
      </c>
      <c r="FW7" s="33">
        <v>7.4630000000000001</v>
      </c>
      <c r="FX7" s="33">
        <v>7.375</v>
      </c>
      <c r="FY7" s="33">
        <v>6.7850000000000001</v>
      </c>
      <c r="FZ7" s="33">
        <v>6.7850000000000001</v>
      </c>
      <c r="GA7" s="33">
        <v>7.375</v>
      </c>
      <c r="GB7" s="33">
        <v>6.1459999999999999</v>
      </c>
      <c r="GC7" s="33">
        <v>3.2450000000000001</v>
      </c>
      <c r="GD7" s="33">
        <v>6.1950000000000003</v>
      </c>
      <c r="GE7" s="33">
        <v>6.7850000000000001</v>
      </c>
      <c r="GF7" s="33">
        <v>51.624000000000002</v>
      </c>
      <c r="GG7" s="33">
        <v>31.466000000000001</v>
      </c>
      <c r="GH7" s="33">
        <v>2.95</v>
      </c>
      <c r="GI7" s="33">
        <v>4.4249999999999998</v>
      </c>
      <c r="GJ7" s="33">
        <v>5.851</v>
      </c>
      <c r="GK7" s="33">
        <v>13.275</v>
      </c>
      <c r="GL7" s="33">
        <v>9.8330000000000002</v>
      </c>
      <c r="GM7" s="33">
        <v>5.6000000000000001E-2</v>
      </c>
      <c r="GN7" s="33">
        <v>0.33500000000000002</v>
      </c>
      <c r="GO7" s="33">
        <v>0.11700000000000001</v>
      </c>
      <c r="GP7" s="33">
        <v>0.47399999999999998</v>
      </c>
      <c r="GQ7" s="33">
        <v>7.8E-2</v>
      </c>
      <c r="GR7" s="33">
        <v>0.66400000000000003</v>
      </c>
      <c r="GS7" s="33">
        <v>0.17599999999999999</v>
      </c>
      <c r="GT7" s="33">
        <v>0.53</v>
      </c>
      <c r="GU7" s="33">
        <v>0.14099999999999999</v>
      </c>
      <c r="GV7" s="33">
        <v>9.4E-2</v>
      </c>
      <c r="GW7" s="33">
        <v>0.114</v>
      </c>
      <c r="GX7" s="33">
        <v>0.48599999999999999</v>
      </c>
      <c r="GY7" s="33">
        <v>2.1999999999999999E-2</v>
      </c>
      <c r="GZ7" s="33">
        <v>6.7000000000000004E-2</v>
      </c>
      <c r="HA7" s="33">
        <v>0.16600000000000001</v>
      </c>
      <c r="HB7" s="33">
        <v>0.53</v>
      </c>
      <c r="HC7" s="33">
        <v>0.53</v>
      </c>
      <c r="HD7" s="33">
        <v>0.27900000000000003</v>
      </c>
      <c r="HE7" s="3">
        <f>_xlfn.XLOOKUP(HE$1,generator!$B$2:$B$295,generator!$L$2:$L$295,"ARGH")</f>
        <v>17.600000000000001</v>
      </c>
      <c r="HF7" s="3">
        <f>_xlfn.XLOOKUP(HF$1,generator!$B$2:$B$295,generator!$L$2:$L$295,"ARGH")</f>
        <v>285</v>
      </c>
      <c r="HG7" s="3">
        <f>_xlfn.XLOOKUP(HG$1,generator!$B$2:$B$295,generator!$L$2:$L$295,"ARGH")</f>
        <v>285</v>
      </c>
      <c r="HH7" s="3">
        <f>_xlfn.XLOOKUP(HH$1,generator!$B$2:$B$295,generator!$L$2:$L$295,"ARGH")</f>
        <v>285</v>
      </c>
      <c r="HI7" s="3">
        <f>_xlfn.XLOOKUP(HI$1,generator!$B$2:$B$295,generator!$L$2:$L$295,"ARGH")</f>
        <v>58</v>
      </c>
      <c r="HJ7" s="3">
        <f>_xlfn.XLOOKUP(HJ$1,generator!$B$2:$B$295,generator!$L$2:$L$295,"ARGH")</f>
        <v>58</v>
      </c>
      <c r="HK7" s="3">
        <f>_xlfn.XLOOKUP(HK$1,generator!$B$2:$B$295,generator!$L$2:$L$295,"ARGH")</f>
        <v>53</v>
      </c>
      <c r="HL7" s="3">
        <f>_xlfn.XLOOKUP(HL$1,generator!$B$2:$B$295,generator!$L$2:$L$295,"ARGH")</f>
        <v>58</v>
      </c>
      <c r="HM7" s="3">
        <f>_xlfn.XLOOKUP(HM$1,generator!$B$2:$B$295,generator!$L$2:$L$295,"ARGH")</f>
        <v>58</v>
      </c>
      <c r="HN7" s="3">
        <f>_xlfn.XLOOKUP(HN$1,generator!$B$2:$B$295,generator!$L$2:$L$295,"ARGH")</f>
        <v>52</v>
      </c>
      <c r="HO7" s="3">
        <f>_xlfn.XLOOKUP(HO$1,generator!$B$2:$B$295,generator!$L$2:$L$295,"ARGH")</f>
        <v>52</v>
      </c>
      <c r="HP7" s="3">
        <f>_xlfn.XLOOKUP(HP$1,generator!$B$2:$B$295,generator!$L$2:$L$295,"ARGH")</f>
        <v>2</v>
      </c>
      <c r="HQ7" s="3">
        <f>_xlfn.XLOOKUP(HQ$1,generator!$B$2:$B$295,generator!$L$2:$L$295,"ARGH")</f>
        <v>29.2</v>
      </c>
      <c r="HR7" s="3">
        <f>_xlfn.XLOOKUP(HR$1,generator!$B$2:$B$295,generator!$L$2:$L$295,"ARGH")</f>
        <v>29.2</v>
      </c>
      <c r="HS7" s="3">
        <f>_xlfn.XLOOKUP(HS$1,generator!$B$2:$B$295,generator!$L$2:$L$295,"ARGH")</f>
        <v>41.61</v>
      </c>
      <c r="HT7" s="3">
        <f>_xlfn.XLOOKUP(HT$1,generator!$B$2:$B$295,generator!$L$2:$L$295,"ARGH")</f>
        <v>41.61</v>
      </c>
      <c r="HU7" s="3">
        <f>_xlfn.XLOOKUP(HU$1,generator!$B$2:$B$295,generator!$L$2:$L$295,"ARGH")</f>
        <v>160</v>
      </c>
      <c r="HV7" s="3">
        <f>_xlfn.XLOOKUP(HV$1,generator!$B$2:$B$295,generator!$L$2:$L$295,"ARGH")</f>
        <v>260</v>
      </c>
      <c r="HW7" s="3">
        <f>_xlfn.XLOOKUP(HW$1,generator!$B$2:$B$295,generator!$L$2:$L$295,"ARGH")</f>
        <v>52</v>
      </c>
      <c r="HX7" s="3">
        <f>_xlfn.XLOOKUP(HX$1,generator!$B$2:$B$295,generator!$L$2:$L$295,"ARGH")</f>
        <v>52</v>
      </c>
      <c r="HY7" s="3">
        <f>_xlfn.XLOOKUP(HY$1,generator!$B$2:$B$295,generator!$L$2:$L$295,"ARGH")</f>
        <v>101</v>
      </c>
      <c r="HZ7" s="3">
        <f>_xlfn.XLOOKUP(HZ$1,generator!$B$2:$B$295,generator!$L$2:$L$295,"ARGH")</f>
        <v>50</v>
      </c>
      <c r="IA7" s="3">
        <f>_xlfn.XLOOKUP(IA$1,generator!$B$2:$B$295,generator!$L$2:$L$295,"ARGH")</f>
        <v>400</v>
      </c>
      <c r="IB7" s="3">
        <f>_xlfn.XLOOKUP(IB$1,generator!$B$2:$B$295,generator!$L$2:$L$295,"ARGH")</f>
        <v>342</v>
      </c>
      <c r="IC7" s="3">
        <f>_xlfn.XLOOKUP(IC$1,generator!$B$2:$B$295,generator!$L$2:$L$295,"ARGH")</f>
        <v>3.0209999999999999</v>
      </c>
      <c r="ID7" s="3">
        <f>_xlfn.XLOOKUP(ID$1,generator!$B$2:$B$295,generator!$L$2:$L$295,"ARGH")</f>
        <v>200</v>
      </c>
      <c r="IE7" s="3">
        <f>_xlfn.XLOOKUP(IE$1,generator!$B$2:$B$295,generator!$L$2:$L$295,"ARGH")</f>
        <v>404</v>
      </c>
      <c r="IF7" s="3">
        <f>_xlfn.XLOOKUP(IF$1,generator!$B$2:$B$295,generator!$L$2:$L$295,"ARGH")</f>
        <v>21</v>
      </c>
      <c r="IG7" s="3">
        <f>_xlfn.XLOOKUP(IG$1,generator!$B$2:$B$295,generator!$L$2:$L$295,"ARGH")</f>
        <v>22</v>
      </c>
      <c r="IH7" s="3">
        <f>_xlfn.XLOOKUP(IH$1,generator!$B$2:$B$295,generator!$L$2:$L$295,"ARGH")</f>
        <v>19</v>
      </c>
      <c r="II7" s="3">
        <f>_xlfn.XLOOKUP(II$1,generator!$B$2:$B$295,generator!$L$2:$L$295,"ARGH")</f>
        <v>24</v>
      </c>
      <c r="IJ7" s="3">
        <f>_xlfn.XLOOKUP(IJ$1,generator!$B$2:$B$295,generator!$L$2:$L$295,"ARGH")</f>
        <v>4.3</v>
      </c>
      <c r="IK7" s="3">
        <f>_xlfn.XLOOKUP(IK$1,generator!$B$2:$B$295,generator!$L$2:$L$295,"ARGH")</f>
        <v>8</v>
      </c>
      <c r="IL7" s="3">
        <f>_xlfn.XLOOKUP(IL$1,generator!$B$2:$B$295,generator!$L$2:$L$295,"ARGH")</f>
        <v>22.5</v>
      </c>
      <c r="IM7" s="3">
        <f>_xlfn.XLOOKUP(IM$1,generator!$B$2:$B$295,generator!$L$2:$L$295,"ARGH")</f>
        <v>22.5</v>
      </c>
      <c r="IN7" s="3">
        <f>_xlfn.XLOOKUP(IN$1,generator!$B$2:$B$295,generator!$L$2:$L$295,"ARGH")</f>
        <v>10</v>
      </c>
      <c r="IO7" s="3">
        <f>_xlfn.XLOOKUP(IO$1,generator!$B$2:$B$295,generator!$L$2:$L$295,"ARGH")</f>
        <v>10</v>
      </c>
      <c r="IP7" s="3">
        <f>_xlfn.XLOOKUP(IP$1,generator!$B$2:$B$295,generator!$L$2:$L$295,"ARGH")</f>
        <v>15</v>
      </c>
      <c r="IQ7" s="3">
        <f>_xlfn.XLOOKUP(IQ$1,generator!$B$2:$B$295,generator!$L$2:$L$295,"ARGH")</f>
        <v>4</v>
      </c>
      <c r="IR7" s="3">
        <f>_xlfn.XLOOKUP(IR$1,generator!$B$2:$B$295,generator!$L$2:$L$295,"ARGH")</f>
        <v>15</v>
      </c>
      <c r="IS7" s="3">
        <f>_xlfn.XLOOKUP(IS$1,generator!$B$2:$B$295,generator!$L$2:$L$295,"ARGH")</f>
        <v>15</v>
      </c>
      <c r="IT7" s="3">
        <f>_xlfn.XLOOKUP(IT$1,generator!$B$2:$B$295,generator!$L$2:$L$295,"ARGH")</f>
        <v>0.18</v>
      </c>
      <c r="IU7" s="3">
        <f>_xlfn.XLOOKUP(IU$1,generator!$B$2:$B$295,generator!$L$2:$L$295,"ARGH")</f>
        <v>4</v>
      </c>
      <c r="IV7" s="3">
        <f>_xlfn.XLOOKUP(IV$1,generator!$B$2:$B$295,generator!$L$2:$L$295,"ARGH")</f>
        <v>4</v>
      </c>
      <c r="IW7" s="3">
        <f>_xlfn.XLOOKUP(IW$1,generator!$B$2:$B$295,generator!$L$2:$L$295,"ARGH")</f>
        <v>90</v>
      </c>
      <c r="IX7" s="3">
        <f>_xlfn.XLOOKUP(IX$1,generator!$B$2:$B$295,generator!$L$2:$L$295,"ARGH")</f>
        <v>90</v>
      </c>
      <c r="IY7" s="3">
        <f>_xlfn.XLOOKUP(IY$1,generator!$B$2:$B$295,generator!$L$2:$L$295,"ARGH")</f>
        <v>90</v>
      </c>
      <c r="IZ7" s="3">
        <f>_xlfn.XLOOKUP(IZ$1,generator!$B$2:$B$295,generator!$L$2:$L$295,"ARGH")</f>
        <v>449</v>
      </c>
      <c r="JA7" s="3">
        <f>_xlfn.XLOOKUP(JA$1,generator!$B$2:$B$295,generator!$L$2:$L$295,"ARGH")</f>
        <v>83</v>
      </c>
      <c r="JB7" s="3">
        <f>_xlfn.XLOOKUP(JB$1,generator!$B$2:$B$295,generator!$L$2:$L$295,"ARGH")</f>
        <v>83</v>
      </c>
      <c r="JC7" s="3">
        <f>_xlfn.XLOOKUP(JC$1,generator!$B$2:$B$295,generator!$L$2:$L$295,"ARGH")</f>
        <v>247</v>
      </c>
      <c r="JD7" s="3">
        <f>_xlfn.XLOOKUP(JD$1,generator!$B$2:$B$295,generator!$L$2:$L$295,"ARGH")</f>
        <v>247</v>
      </c>
      <c r="JE7" s="3">
        <f>_xlfn.XLOOKUP(JE$1,generator!$B$2:$B$295,generator!$L$2:$L$295,"ARGH")</f>
        <v>425</v>
      </c>
      <c r="JF7" s="3">
        <f>_xlfn.XLOOKUP(JF$1,generator!$B$2:$B$295,generator!$L$2:$L$295,"ARGH")</f>
        <v>63.5</v>
      </c>
      <c r="JG7" s="3">
        <f>_xlfn.XLOOKUP(JG$1,generator!$B$2:$B$295,generator!$L$2:$L$295,"ARGH")</f>
        <v>17</v>
      </c>
      <c r="JH7" s="3">
        <f>_xlfn.XLOOKUP(JH$1,generator!$B$2:$B$295,generator!$L$2:$L$295,"ARGH")</f>
        <v>444</v>
      </c>
      <c r="JI7" s="3">
        <f>_xlfn.XLOOKUP(JI$1,generator!$B$2:$B$295,generator!$L$2:$L$295,"ARGH")</f>
        <v>464</v>
      </c>
      <c r="JJ7" s="3">
        <f>_xlfn.XLOOKUP(JJ$1,generator!$B$2:$B$295,generator!$L$2:$L$295,"ARGH")</f>
        <v>18.54</v>
      </c>
      <c r="JK7" s="3">
        <f>_xlfn.XLOOKUP(JK$1,generator!$B$2:$B$295,generator!$L$2:$L$295,"ARGH")</f>
        <v>18.54</v>
      </c>
      <c r="JL7" s="3">
        <f>_xlfn.XLOOKUP(JL$1,generator!$B$2:$B$295,generator!$L$2:$L$295,"ARGH")</f>
        <v>18.54</v>
      </c>
      <c r="JM7" s="3">
        <f>_xlfn.XLOOKUP(JM$1,generator!$B$2:$B$295,generator!$L$2:$L$295,"ARGH")</f>
        <v>18.54</v>
      </c>
      <c r="JN7" s="3">
        <f>_xlfn.XLOOKUP(JN$1,generator!$B$2:$B$295,generator!$L$2:$L$295,"ARGH")</f>
        <v>18.54</v>
      </c>
      <c r="JO7" s="3">
        <f>_xlfn.XLOOKUP(JO$1,generator!$B$2:$B$295,generator!$L$2:$L$295,"ARGH")</f>
        <v>18.54</v>
      </c>
      <c r="JP7" s="3">
        <f>_xlfn.XLOOKUP(JP$1,generator!$B$2:$B$295,generator!$L$2:$L$295,"ARGH")</f>
        <v>415</v>
      </c>
      <c r="JQ7" s="3">
        <f>_xlfn.XLOOKUP(JQ$1,generator!$B$2:$B$295,generator!$L$2:$L$295,"ARGH")</f>
        <v>63.5</v>
      </c>
      <c r="JR7" s="3">
        <f>_xlfn.XLOOKUP(JR$1,generator!$B$2:$B$295,generator!$L$2:$L$295,"ARGH")</f>
        <v>350</v>
      </c>
      <c r="JS7" s="3">
        <f>_xlfn.XLOOKUP(JS$1,generator!$B$2:$B$295,generator!$L$2:$L$295,"ARGH")</f>
        <v>350</v>
      </c>
      <c r="JT7" s="3">
        <f>_xlfn.XLOOKUP(JT$1,generator!$B$2:$B$295,generator!$L$2:$L$295,"ARGH")</f>
        <v>63.5</v>
      </c>
      <c r="JU7" s="3">
        <f>_xlfn.XLOOKUP(JU$1,generator!$B$2:$B$295,generator!$L$2:$L$295,"ARGH")</f>
        <v>61.5</v>
      </c>
      <c r="JV7" s="3">
        <f>_xlfn.XLOOKUP(JV$1,generator!$B$2:$B$295,generator!$L$2:$L$295,"ARGH")</f>
        <v>240</v>
      </c>
      <c r="JW7" s="3">
        <f>_xlfn.XLOOKUP(JW$1,generator!$B$2:$B$295,generator!$L$2:$L$295,"ARGH")</f>
        <v>236</v>
      </c>
      <c r="JX7" s="3">
        <f>_xlfn.XLOOKUP(JX$1,generator!$B$2:$B$295,generator!$L$2:$L$295,"ARGH")</f>
        <v>20</v>
      </c>
      <c r="JY7" s="3">
        <f>_xlfn.XLOOKUP(JY$1,generator!$B$2:$B$295,generator!$L$2:$L$295,"ARGH")</f>
        <v>118</v>
      </c>
      <c r="JZ7" s="3">
        <f>_xlfn.XLOOKUP(JZ$1,generator!$B$2:$B$295,generator!$L$2:$L$295,"ARGH")</f>
        <v>73</v>
      </c>
      <c r="KA7" s="3">
        <f>_xlfn.XLOOKUP(KA$1,generator!$B$2:$B$295,generator!$L$2:$L$295,"ARGH")</f>
        <v>73</v>
      </c>
      <c r="KB7" s="3">
        <f>_xlfn.XLOOKUP(KB$1,generator!$B$2:$B$295,generator!$L$2:$L$295,"ARGH")</f>
        <v>73</v>
      </c>
      <c r="KC7" s="3">
        <f>_xlfn.XLOOKUP(KC$1,generator!$B$2:$B$295,generator!$L$2:$L$295,"ARGH")</f>
        <v>73</v>
      </c>
    </row>
    <row r="8" spans="1:289" x14ac:dyDescent="0.3">
      <c r="A8" s="4" t="s">
        <v>3003</v>
      </c>
      <c r="B8" s="31">
        <v>0</v>
      </c>
      <c r="C8" s="31">
        <v>513</v>
      </c>
      <c r="D8" s="31">
        <v>315</v>
      </c>
      <c r="E8" s="33">
        <v>13.519</v>
      </c>
      <c r="F8" s="33">
        <v>29.04</v>
      </c>
      <c r="G8" s="33">
        <v>13.519</v>
      </c>
      <c r="H8" s="33">
        <v>22.530999999999999</v>
      </c>
      <c r="I8" s="33">
        <v>44.561999999999998</v>
      </c>
      <c r="J8" s="33">
        <v>41.558</v>
      </c>
      <c r="K8" s="33">
        <v>11.266</v>
      </c>
      <c r="L8" s="33">
        <v>8.6120000000000001</v>
      </c>
      <c r="M8" s="33">
        <v>7.51</v>
      </c>
      <c r="N8" s="33">
        <v>27.038</v>
      </c>
      <c r="O8" s="33">
        <v>2.7040000000000002</v>
      </c>
      <c r="P8" s="33">
        <v>12.818</v>
      </c>
      <c r="Q8" s="33">
        <v>17.623999999999999</v>
      </c>
      <c r="R8" s="33">
        <v>9.0129999999999999</v>
      </c>
      <c r="S8" s="33">
        <v>17.199000000000002</v>
      </c>
      <c r="T8" s="33">
        <v>12.016999999999999</v>
      </c>
      <c r="U8" s="33">
        <v>21.029</v>
      </c>
      <c r="V8" s="33">
        <v>10.59</v>
      </c>
      <c r="W8" s="33">
        <v>11.516</v>
      </c>
      <c r="X8" s="33">
        <v>16.222999999999999</v>
      </c>
      <c r="Y8" s="33">
        <v>8.4120000000000008</v>
      </c>
      <c r="Z8" s="33">
        <v>5.9580000000000002</v>
      </c>
      <c r="AA8" s="33">
        <v>5.4080000000000004</v>
      </c>
      <c r="AB8" s="33">
        <v>28.54</v>
      </c>
      <c r="AC8" s="33">
        <v>32.896000000000001</v>
      </c>
      <c r="AD8" s="33">
        <v>11.616</v>
      </c>
      <c r="AE8" s="33">
        <v>10.013999999999999</v>
      </c>
      <c r="AF8" s="33">
        <v>28.239000000000001</v>
      </c>
      <c r="AG8" s="33">
        <v>10.013999999999999</v>
      </c>
      <c r="AH8" s="33">
        <v>6.008</v>
      </c>
      <c r="AI8" s="33">
        <v>6.7089999999999996</v>
      </c>
      <c r="AJ8" s="33">
        <v>12.016999999999999</v>
      </c>
      <c r="AK8" s="33">
        <v>4.2809999999999997</v>
      </c>
      <c r="AL8" s="33">
        <v>18.515999999999998</v>
      </c>
      <c r="AM8" s="33">
        <v>23.783000000000001</v>
      </c>
      <c r="AN8" s="33">
        <v>10.013999999999999</v>
      </c>
      <c r="AO8" s="33">
        <v>6.91</v>
      </c>
      <c r="AP8" s="33">
        <v>27.187999999999999</v>
      </c>
      <c r="AQ8" s="33">
        <v>9.3629999999999995</v>
      </c>
      <c r="AR8" s="33">
        <v>8.7620000000000005</v>
      </c>
      <c r="AS8" s="33">
        <v>26.036000000000001</v>
      </c>
      <c r="AT8" s="33">
        <v>7.0759999999999996</v>
      </c>
      <c r="AU8" s="33">
        <v>19.026</v>
      </c>
      <c r="AV8" s="33">
        <v>16.273</v>
      </c>
      <c r="AW8" s="33">
        <v>16.523</v>
      </c>
      <c r="AX8" s="33">
        <v>9.1630000000000003</v>
      </c>
      <c r="AY8" s="33">
        <v>16.573</v>
      </c>
      <c r="AZ8" s="33">
        <v>18.951000000000001</v>
      </c>
      <c r="BA8" s="33">
        <v>7.01</v>
      </c>
      <c r="BB8" s="33">
        <v>23.032</v>
      </c>
      <c r="BC8" s="33">
        <v>10.013999999999999</v>
      </c>
      <c r="BD8" s="33">
        <v>6.008</v>
      </c>
      <c r="BE8" s="33">
        <v>5.758</v>
      </c>
      <c r="BF8" s="33">
        <v>45.063000000000002</v>
      </c>
      <c r="BG8" s="33">
        <v>7.51</v>
      </c>
      <c r="BH8" s="33">
        <v>12.516999999999999</v>
      </c>
      <c r="BI8" s="33">
        <v>10.515000000000001</v>
      </c>
      <c r="BJ8" s="33">
        <v>21.029</v>
      </c>
      <c r="BK8" s="33">
        <v>6.008</v>
      </c>
      <c r="BL8" s="33">
        <v>21.28</v>
      </c>
      <c r="BM8" s="33">
        <v>4.2560000000000002</v>
      </c>
      <c r="BN8" s="33">
        <v>15.021000000000001</v>
      </c>
      <c r="BO8" s="33">
        <v>21.35</v>
      </c>
      <c r="BP8" s="33">
        <v>57.179000000000002</v>
      </c>
      <c r="BQ8" s="33">
        <v>18.024999999999999</v>
      </c>
      <c r="BR8" s="33">
        <v>27.038</v>
      </c>
      <c r="BS8" s="33">
        <v>8.7620000000000005</v>
      </c>
      <c r="BT8" s="33">
        <v>17.274000000000001</v>
      </c>
      <c r="BU8" s="33">
        <v>2.403</v>
      </c>
      <c r="BV8" s="33">
        <v>5.157</v>
      </c>
      <c r="BW8" s="33">
        <v>6.7990000000000004</v>
      </c>
      <c r="BX8" s="33">
        <v>5.5330000000000004</v>
      </c>
      <c r="BY8" s="33">
        <v>12.516999999999999</v>
      </c>
      <c r="BZ8" s="33">
        <v>20.428000000000001</v>
      </c>
      <c r="CA8" s="33">
        <v>29.791</v>
      </c>
      <c r="CB8" s="33">
        <v>17.024000000000001</v>
      </c>
      <c r="CC8" s="33">
        <v>14.27</v>
      </c>
      <c r="CD8" s="33">
        <v>19.227</v>
      </c>
      <c r="CE8" s="33">
        <v>12.516999999999999</v>
      </c>
      <c r="CF8" s="33">
        <v>8.0609999999999999</v>
      </c>
      <c r="CG8" s="33">
        <v>8.7620000000000005</v>
      </c>
      <c r="CH8" s="33">
        <v>13.994</v>
      </c>
      <c r="CI8" s="33">
        <v>6.5339999999999998</v>
      </c>
      <c r="CJ8" s="33">
        <v>2.2280000000000002</v>
      </c>
      <c r="CK8" s="33">
        <v>12.417</v>
      </c>
      <c r="CL8" s="33">
        <v>8.4619999999999997</v>
      </c>
      <c r="CM8" s="33">
        <v>7.51</v>
      </c>
      <c r="CN8" s="33">
        <v>29.654</v>
      </c>
      <c r="CO8" s="33">
        <v>11.766</v>
      </c>
      <c r="CP8" s="33">
        <v>23.433</v>
      </c>
      <c r="CQ8" s="33">
        <v>16.021999999999998</v>
      </c>
      <c r="CR8" s="33">
        <v>13.018000000000001</v>
      </c>
      <c r="CS8" s="33">
        <v>11.015000000000001</v>
      </c>
      <c r="CT8" s="33">
        <v>14.920999999999999</v>
      </c>
      <c r="CU8" s="33">
        <v>6.91</v>
      </c>
      <c r="CV8" s="33">
        <v>12.667999999999999</v>
      </c>
      <c r="CW8" s="33">
        <v>14.019</v>
      </c>
      <c r="CX8" s="33">
        <v>6.2590000000000003</v>
      </c>
      <c r="CY8" s="33">
        <v>17.099</v>
      </c>
      <c r="CZ8" s="33">
        <v>6.008</v>
      </c>
      <c r="DA8" s="33">
        <v>15.021000000000001</v>
      </c>
      <c r="DB8" s="33">
        <v>9.4130000000000003</v>
      </c>
      <c r="DC8" s="33">
        <v>7.06</v>
      </c>
      <c r="DD8" s="33">
        <v>8.0609999999999999</v>
      </c>
      <c r="DE8" s="33">
        <v>6.2590000000000003</v>
      </c>
      <c r="DF8" s="33">
        <v>10.815</v>
      </c>
      <c r="DG8" s="33">
        <v>18</v>
      </c>
      <c r="DH8" s="33">
        <v>37.552</v>
      </c>
      <c r="DI8" s="33">
        <v>18.024999999999999</v>
      </c>
      <c r="DJ8" s="33">
        <v>7.51</v>
      </c>
      <c r="DK8" s="33">
        <v>10.364000000000001</v>
      </c>
      <c r="DL8" s="33">
        <v>18.550999999999998</v>
      </c>
      <c r="DM8" s="33">
        <v>9.0129999999999999</v>
      </c>
      <c r="DN8" s="33">
        <v>50.07</v>
      </c>
      <c r="DO8" s="33">
        <v>16.823</v>
      </c>
      <c r="DP8" s="33">
        <v>50.57</v>
      </c>
      <c r="DQ8" s="33">
        <v>1.1719999999999999</v>
      </c>
      <c r="DR8" s="33">
        <v>45.662999999999997</v>
      </c>
      <c r="DS8" s="33">
        <v>8.0609999999999999</v>
      </c>
      <c r="DT8" s="33">
        <v>15.071</v>
      </c>
      <c r="DU8" s="33">
        <v>7.51</v>
      </c>
      <c r="DV8" s="33">
        <v>5.9480000000000004</v>
      </c>
      <c r="DW8" s="33">
        <v>7.01</v>
      </c>
      <c r="DX8" s="33">
        <v>19.477</v>
      </c>
      <c r="DY8" s="33">
        <v>13.018000000000001</v>
      </c>
      <c r="DZ8" s="33">
        <v>5.8579999999999997</v>
      </c>
      <c r="EA8" s="33">
        <v>20.027999999999999</v>
      </c>
      <c r="EB8" s="33">
        <v>18.024999999999999</v>
      </c>
      <c r="EC8" s="33">
        <v>11.516</v>
      </c>
      <c r="ED8" s="33">
        <v>14.42</v>
      </c>
      <c r="EE8" s="33">
        <v>24.434000000000001</v>
      </c>
      <c r="EF8" s="33">
        <v>7.51</v>
      </c>
      <c r="EG8" s="33">
        <v>4.6059999999999999</v>
      </c>
      <c r="EH8" s="33">
        <v>20.728999999999999</v>
      </c>
      <c r="EI8" s="33">
        <v>7.41</v>
      </c>
      <c r="EJ8" s="33">
        <v>4.6059999999999999</v>
      </c>
      <c r="EK8" s="33">
        <v>7.51</v>
      </c>
      <c r="EL8" s="33">
        <v>12.016999999999999</v>
      </c>
      <c r="EM8" s="33">
        <v>16.122</v>
      </c>
      <c r="EN8" s="33">
        <v>9.2129999999999992</v>
      </c>
      <c r="EO8" s="33">
        <v>10.013999999999999</v>
      </c>
      <c r="EP8" s="33">
        <v>7.06</v>
      </c>
      <c r="EQ8" s="33">
        <v>17.274000000000001</v>
      </c>
      <c r="ER8" s="33">
        <v>5.2569999999999997</v>
      </c>
      <c r="ES8" s="33">
        <v>5.758</v>
      </c>
      <c r="ET8" s="33">
        <v>11.566000000000001</v>
      </c>
      <c r="EU8" s="33">
        <v>42.539000000000001</v>
      </c>
      <c r="EV8" s="33">
        <v>8.6370000000000005</v>
      </c>
      <c r="EW8" s="33">
        <v>40.055999999999997</v>
      </c>
      <c r="EX8" s="33">
        <v>44.988</v>
      </c>
      <c r="EY8" s="33">
        <v>2.7040000000000002</v>
      </c>
      <c r="EZ8" s="33">
        <v>3.6349999999999998</v>
      </c>
      <c r="FA8" s="33">
        <v>2.9740000000000002</v>
      </c>
      <c r="FB8" s="33">
        <v>10.013999999999999</v>
      </c>
      <c r="FC8" s="33">
        <v>14.27</v>
      </c>
      <c r="FD8" s="33">
        <v>10.013999999999999</v>
      </c>
      <c r="FE8" s="33">
        <v>13.819000000000001</v>
      </c>
      <c r="FF8" s="33">
        <v>9.0129999999999999</v>
      </c>
      <c r="FG8" s="33">
        <v>7.51</v>
      </c>
      <c r="FH8" s="33">
        <v>6.2590000000000003</v>
      </c>
      <c r="FI8" s="33">
        <v>24.033000000000001</v>
      </c>
      <c r="FJ8" s="33">
        <v>15.331</v>
      </c>
      <c r="FK8" s="33">
        <v>22.206</v>
      </c>
      <c r="FL8" s="33">
        <v>7.41</v>
      </c>
      <c r="FM8" s="33">
        <v>20.478000000000002</v>
      </c>
      <c r="FN8" s="33">
        <v>10.263999999999999</v>
      </c>
      <c r="FO8" s="33">
        <v>36.850999999999999</v>
      </c>
      <c r="FP8" s="33">
        <v>52.573</v>
      </c>
      <c r="FQ8" s="33">
        <v>9.6129999999999995</v>
      </c>
      <c r="FR8" s="33">
        <v>5.758</v>
      </c>
      <c r="FS8" s="33">
        <v>6.91</v>
      </c>
      <c r="FT8" s="33">
        <v>8.6370000000000005</v>
      </c>
      <c r="FU8" s="33">
        <v>35.048999999999999</v>
      </c>
      <c r="FV8" s="33">
        <v>6.6589999999999998</v>
      </c>
      <c r="FW8" s="33">
        <v>7.601</v>
      </c>
      <c r="FX8" s="33">
        <v>7.51</v>
      </c>
      <c r="FY8" s="33">
        <v>6.91</v>
      </c>
      <c r="FZ8" s="33">
        <v>6.91</v>
      </c>
      <c r="GA8" s="33">
        <v>7.51</v>
      </c>
      <c r="GB8" s="33">
        <v>6.2590000000000003</v>
      </c>
      <c r="GC8" s="33">
        <v>3.3050000000000002</v>
      </c>
      <c r="GD8" s="33">
        <v>6.3090000000000002</v>
      </c>
      <c r="GE8" s="33">
        <v>6.91</v>
      </c>
      <c r="GF8" s="33">
        <v>52.573</v>
      </c>
      <c r="GG8" s="33">
        <v>32.045000000000002</v>
      </c>
      <c r="GH8" s="33">
        <v>3.004</v>
      </c>
      <c r="GI8" s="33">
        <v>4.5060000000000002</v>
      </c>
      <c r="GJ8" s="33">
        <v>5.9580000000000002</v>
      </c>
      <c r="GK8" s="33">
        <v>13.519</v>
      </c>
      <c r="GL8" s="33">
        <v>10.013999999999999</v>
      </c>
      <c r="GM8" s="33">
        <v>5.6000000000000001E-2</v>
      </c>
      <c r="GN8" s="33">
        <v>0.33300000000000002</v>
      </c>
      <c r="GO8" s="33">
        <v>0.11700000000000001</v>
      </c>
      <c r="GP8" s="33">
        <v>0.47199999999999998</v>
      </c>
      <c r="GQ8" s="33">
        <v>7.8E-2</v>
      </c>
      <c r="GR8" s="33">
        <v>0.66100000000000003</v>
      </c>
      <c r="GS8" s="33">
        <v>0.17499999999999999</v>
      </c>
      <c r="GT8" s="33">
        <v>0.52700000000000002</v>
      </c>
      <c r="GU8" s="33">
        <v>0.14000000000000001</v>
      </c>
      <c r="GV8" s="33">
        <v>9.4E-2</v>
      </c>
      <c r="GW8" s="33">
        <v>0.113</v>
      </c>
      <c r="GX8" s="33">
        <v>0.48299999999999998</v>
      </c>
      <c r="GY8" s="33">
        <v>2.1999999999999999E-2</v>
      </c>
      <c r="GZ8" s="33">
        <v>6.7000000000000004E-2</v>
      </c>
      <c r="HA8" s="33">
        <v>0.16600000000000001</v>
      </c>
      <c r="HB8" s="33">
        <v>0.52700000000000002</v>
      </c>
      <c r="HC8" s="33">
        <v>0.52700000000000002</v>
      </c>
      <c r="HD8" s="33">
        <v>0.27800000000000002</v>
      </c>
      <c r="HE8" s="3">
        <f>_xlfn.XLOOKUP(HE$1,generator!$B$2:$B$295,generator!$L$2:$L$295,"ARGH")</f>
        <v>17.600000000000001</v>
      </c>
      <c r="HF8" s="3">
        <f>_xlfn.XLOOKUP(HF$1,generator!$B$2:$B$295,generator!$L$2:$L$295,"ARGH")</f>
        <v>285</v>
      </c>
      <c r="HG8" s="3">
        <f>_xlfn.XLOOKUP(HG$1,generator!$B$2:$B$295,generator!$L$2:$L$295,"ARGH")</f>
        <v>285</v>
      </c>
      <c r="HH8" s="3">
        <f>_xlfn.XLOOKUP(HH$1,generator!$B$2:$B$295,generator!$L$2:$L$295,"ARGH")</f>
        <v>285</v>
      </c>
      <c r="HI8" s="3">
        <f>_xlfn.XLOOKUP(HI$1,generator!$B$2:$B$295,generator!$L$2:$L$295,"ARGH")</f>
        <v>58</v>
      </c>
      <c r="HJ8" s="3">
        <f>_xlfn.XLOOKUP(HJ$1,generator!$B$2:$B$295,generator!$L$2:$L$295,"ARGH")</f>
        <v>58</v>
      </c>
      <c r="HK8" s="3">
        <f>_xlfn.XLOOKUP(HK$1,generator!$B$2:$B$295,generator!$L$2:$L$295,"ARGH")</f>
        <v>53</v>
      </c>
      <c r="HL8" s="3">
        <f>_xlfn.XLOOKUP(HL$1,generator!$B$2:$B$295,generator!$L$2:$L$295,"ARGH")</f>
        <v>58</v>
      </c>
      <c r="HM8" s="3">
        <f>_xlfn.XLOOKUP(HM$1,generator!$B$2:$B$295,generator!$L$2:$L$295,"ARGH")</f>
        <v>58</v>
      </c>
      <c r="HN8" s="3">
        <f>_xlfn.XLOOKUP(HN$1,generator!$B$2:$B$295,generator!$L$2:$L$295,"ARGH")</f>
        <v>52</v>
      </c>
      <c r="HO8" s="3">
        <f>_xlfn.XLOOKUP(HO$1,generator!$B$2:$B$295,generator!$L$2:$L$295,"ARGH")</f>
        <v>52</v>
      </c>
      <c r="HP8" s="3">
        <f>_xlfn.XLOOKUP(HP$1,generator!$B$2:$B$295,generator!$L$2:$L$295,"ARGH")</f>
        <v>2</v>
      </c>
      <c r="HQ8" s="3">
        <f>_xlfn.XLOOKUP(HQ$1,generator!$B$2:$B$295,generator!$L$2:$L$295,"ARGH")</f>
        <v>29.2</v>
      </c>
      <c r="HR8" s="3">
        <f>_xlfn.XLOOKUP(HR$1,generator!$B$2:$B$295,generator!$L$2:$L$295,"ARGH")</f>
        <v>29.2</v>
      </c>
      <c r="HS8" s="3">
        <f>_xlfn.XLOOKUP(HS$1,generator!$B$2:$B$295,generator!$L$2:$L$295,"ARGH")</f>
        <v>41.61</v>
      </c>
      <c r="HT8" s="3">
        <f>_xlfn.XLOOKUP(HT$1,generator!$B$2:$B$295,generator!$L$2:$L$295,"ARGH")</f>
        <v>41.61</v>
      </c>
      <c r="HU8" s="3">
        <f>_xlfn.XLOOKUP(HU$1,generator!$B$2:$B$295,generator!$L$2:$L$295,"ARGH")</f>
        <v>160</v>
      </c>
      <c r="HV8" s="3">
        <f>_xlfn.XLOOKUP(HV$1,generator!$B$2:$B$295,generator!$L$2:$L$295,"ARGH")</f>
        <v>260</v>
      </c>
      <c r="HW8" s="3">
        <f>_xlfn.XLOOKUP(HW$1,generator!$B$2:$B$295,generator!$L$2:$L$295,"ARGH")</f>
        <v>52</v>
      </c>
      <c r="HX8" s="3">
        <f>_xlfn.XLOOKUP(HX$1,generator!$B$2:$B$295,generator!$L$2:$L$295,"ARGH")</f>
        <v>52</v>
      </c>
      <c r="HY8" s="3">
        <f>_xlfn.XLOOKUP(HY$1,generator!$B$2:$B$295,generator!$L$2:$L$295,"ARGH")</f>
        <v>101</v>
      </c>
      <c r="HZ8" s="3">
        <f>_xlfn.XLOOKUP(HZ$1,generator!$B$2:$B$295,generator!$L$2:$L$295,"ARGH")</f>
        <v>50</v>
      </c>
      <c r="IA8" s="3">
        <f>_xlfn.XLOOKUP(IA$1,generator!$B$2:$B$295,generator!$L$2:$L$295,"ARGH")</f>
        <v>400</v>
      </c>
      <c r="IB8" s="3">
        <f>_xlfn.XLOOKUP(IB$1,generator!$B$2:$B$295,generator!$L$2:$L$295,"ARGH")</f>
        <v>342</v>
      </c>
      <c r="IC8" s="3">
        <f>_xlfn.XLOOKUP(IC$1,generator!$B$2:$B$295,generator!$L$2:$L$295,"ARGH")</f>
        <v>3.0209999999999999</v>
      </c>
      <c r="ID8" s="3">
        <f>_xlfn.XLOOKUP(ID$1,generator!$B$2:$B$295,generator!$L$2:$L$295,"ARGH")</f>
        <v>200</v>
      </c>
      <c r="IE8" s="3">
        <f>_xlfn.XLOOKUP(IE$1,generator!$B$2:$B$295,generator!$L$2:$L$295,"ARGH")</f>
        <v>404</v>
      </c>
      <c r="IF8" s="3">
        <f>_xlfn.XLOOKUP(IF$1,generator!$B$2:$B$295,generator!$L$2:$L$295,"ARGH")</f>
        <v>21</v>
      </c>
      <c r="IG8" s="3">
        <f>_xlfn.XLOOKUP(IG$1,generator!$B$2:$B$295,generator!$L$2:$L$295,"ARGH")</f>
        <v>22</v>
      </c>
      <c r="IH8" s="3">
        <f>_xlfn.XLOOKUP(IH$1,generator!$B$2:$B$295,generator!$L$2:$L$295,"ARGH")</f>
        <v>19</v>
      </c>
      <c r="II8" s="3">
        <f>_xlfn.XLOOKUP(II$1,generator!$B$2:$B$295,generator!$L$2:$L$295,"ARGH")</f>
        <v>24</v>
      </c>
      <c r="IJ8" s="3">
        <f>_xlfn.XLOOKUP(IJ$1,generator!$B$2:$B$295,generator!$L$2:$L$295,"ARGH")</f>
        <v>4.3</v>
      </c>
      <c r="IK8" s="3">
        <f>_xlfn.XLOOKUP(IK$1,generator!$B$2:$B$295,generator!$L$2:$L$295,"ARGH")</f>
        <v>8</v>
      </c>
      <c r="IL8" s="3">
        <f>_xlfn.XLOOKUP(IL$1,generator!$B$2:$B$295,generator!$L$2:$L$295,"ARGH")</f>
        <v>22.5</v>
      </c>
      <c r="IM8" s="3">
        <f>_xlfn.XLOOKUP(IM$1,generator!$B$2:$B$295,generator!$L$2:$L$295,"ARGH")</f>
        <v>22.5</v>
      </c>
      <c r="IN8" s="3">
        <f>_xlfn.XLOOKUP(IN$1,generator!$B$2:$B$295,generator!$L$2:$L$295,"ARGH")</f>
        <v>10</v>
      </c>
      <c r="IO8" s="3">
        <f>_xlfn.XLOOKUP(IO$1,generator!$B$2:$B$295,generator!$L$2:$L$295,"ARGH")</f>
        <v>10</v>
      </c>
      <c r="IP8" s="3">
        <f>_xlfn.XLOOKUP(IP$1,generator!$B$2:$B$295,generator!$L$2:$L$295,"ARGH")</f>
        <v>15</v>
      </c>
      <c r="IQ8" s="3">
        <f>_xlfn.XLOOKUP(IQ$1,generator!$B$2:$B$295,generator!$L$2:$L$295,"ARGH")</f>
        <v>4</v>
      </c>
      <c r="IR8" s="3">
        <f>_xlfn.XLOOKUP(IR$1,generator!$B$2:$B$295,generator!$L$2:$L$295,"ARGH")</f>
        <v>15</v>
      </c>
      <c r="IS8" s="3">
        <f>_xlfn.XLOOKUP(IS$1,generator!$B$2:$B$295,generator!$L$2:$L$295,"ARGH")</f>
        <v>15</v>
      </c>
      <c r="IT8" s="3">
        <f>_xlfn.XLOOKUP(IT$1,generator!$B$2:$B$295,generator!$L$2:$L$295,"ARGH")</f>
        <v>0.18</v>
      </c>
      <c r="IU8" s="3">
        <f>_xlfn.XLOOKUP(IU$1,generator!$B$2:$B$295,generator!$L$2:$L$295,"ARGH")</f>
        <v>4</v>
      </c>
      <c r="IV8" s="3">
        <f>_xlfn.XLOOKUP(IV$1,generator!$B$2:$B$295,generator!$L$2:$L$295,"ARGH")</f>
        <v>4</v>
      </c>
      <c r="IW8" s="3">
        <f>_xlfn.XLOOKUP(IW$1,generator!$B$2:$B$295,generator!$L$2:$L$295,"ARGH")</f>
        <v>90</v>
      </c>
      <c r="IX8" s="3">
        <f>_xlfn.XLOOKUP(IX$1,generator!$B$2:$B$295,generator!$L$2:$L$295,"ARGH")</f>
        <v>90</v>
      </c>
      <c r="IY8" s="3">
        <f>_xlfn.XLOOKUP(IY$1,generator!$B$2:$B$295,generator!$L$2:$L$295,"ARGH")</f>
        <v>90</v>
      </c>
      <c r="IZ8" s="3">
        <f>_xlfn.XLOOKUP(IZ$1,generator!$B$2:$B$295,generator!$L$2:$L$295,"ARGH")</f>
        <v>449</v>
      </c>
      <c r="JA8" s="3">
        <f>_xlfn.XLOOKUP(JA$1,generator!$B$2:$B$295,generator!$L$2:$L$295,"ARGH")</f>
        <v>83</v>
      </c>
      <c r="JB8" s="3">
        <f>_xlfn.XLOOKUP(JB$1,generator!$B$2:$B$295,generator!$L$2:$L$295,"ARGH")</f>
        <v>83</v>
      </c>
      <c r="JC8" s="3">
        <f>_xlfn.XLOOKUP(JC$1,generator!$B$2:$B$295,generator!$L$2:$L$295,"ARGH")</f>
        <v>247</v>
      </c>
      <c r="JD8" s="3">
        <f>_xlfn.XLOOKUP(JD$1,generator!$B$2:$B$295,generator!$L$2:$L$295,"ARGH")</f>
        <v>247</v>
      </c>
      <c r="JE8" s="3">
        <f>_xlfn.XLOOKUP(JE$1,generator!$B$2:$B$295,generator!$L$2:$L$295,"ARGH")</f>
        <v>425</v>
      </c>
      <c r="JF8" s="3">
        <f>_xlfn.XLOOKUP(JF$1,generator!$B$2:$B$295,generator!$L$2:$L$295,"ARGH")</f>
        <v>63.5</v>
      </c>
      <c r="JG8" s="3">
        <f>_xlfn.XLOOKUP(JG$1,generator!$B$2:$B$295,generator!$L$2:$L$295,"ARGH")</f>
        <v>17</v>
      </c>
      <c r="JH8" s="3">
        <f>_xlfn.XLOOKUP(JH$1,generator!$B$2:$B$295,generator!$L$2:$L$295,"ARGH")</f>
        <v>444</v>
      </c>
      <c r="JI8" s="3">
        <f>_xlfn.XLOOKUP(JI$1,generator!$B$2:$B$295,generator!$L$2:$L$295,"ARGH")</f>
        <v>464</v>
      </c>
      <c r="JJ8" s="3">
        <f>_xlfn.XLOOKUP(JJ$1,generator!$B$2:$B$295,generator!$L$2:$L$295,"ARGH")</f>
        <v>18.54</v>
      </c>
      <c r="JK8" s="3">
        <f>_xlfn.XLOOKUP(JK$1,generator!$B$2:$B$295,generator!$L$2:$L$295,"ARGH")</f>
        <v>18.54</v>
      </c>
      <c r="JL8" s="3">
        <f>_xlfn.XLOOKUP(JL$1,generator!$B$2:$B$295,generator!$L$2:$L$295,"ARGH")</f>
        <v>18.54</v>
      </c>
      <c r="JM8" s="3">
        <f>_xlfn.XLOOKUP(JM$1,generator!$B$2:$B$295,generator!$L$2:$L$295,"ARGH")</f>
        <v>18.54</v>
      </c>
      <c r="JN8" s="3">
        <f>_xlfn.XLOOKUP(JN$1,generator!$B$2:$B$295,generator!$L$2:$L$295,"ARGH")</f>
        <v>18.54</v>
      </c>
      <c r="JO8" s="3">
        <f>_xlfn.XLOOKUP(JO$1,generator!$B$2:$B$295,generator!$L$2:$L$295,"ARGH")</f>
        <v>18.54</v>
      </c>
      <c r="JP8" s="3">
        <f>_xlfn.XLOOKUP(JP$1,generator!$B$2:$B$295,generator!$L$2:$L$295,"ARGH")</f>
        <v>415</v>
      </c>
      <c r="JQ8" s="3">
        <f>_xlfn.XLOOKUP(JQ$1,generator!$B$2:$B$295,generator!$L$2:$L$295,"ARGH")</f>
        <v>63.5</v>
      </c>
      <c r="JR8" s="3">
        <f>_xlfn.XLOOKUP(JR$1,generator!$B$2:$B$295,generator!$L$2:$L$295,"ARGH")</f>
        <v>350</v>
      </c>
      <c r="JS8" s="3">
        <f>_xlfn.XLOOKUP(JS$1,generator!$B$2:$B$295,generator!$L$2:$L$295,"ARGH")</f>
        <v>350</v>
      </c>
      <c r="JT8" s="3">
        <f>_xlfn.XLOOKUP(JT$1,generator!$B$2:$B$295,generator!$L$2:$L$295,"ARGH")</f>
        <v>63.5</v>
      </c>
      <c r="JU8" s="3">
        <f>_xlfn.XLOOKUP(JU$1,generator!$B$2:$B$295,generator!$L$2:$L$295,"ARGH")</f>
        <v>61.5</v>
      </c>
      <c r="JV8" s="3">
        <f>_xlfn.XLOOKUP(JV$1,generator!$B$2:$B$295,generator!$L$2:$L$295,"ARGH")</f>
        <v>240</v>
      </c>
      <c r="JW8" s="3">
        <f>_xlfn.XLOOKUP(JW$1,generator!$B$2:$B$295,generator!$L$2:$L$295,"ARGH")</f>
        <v>236</v>
      </c>
      <c r="JX8" s="3">
        <f>_xlfn.XLOOKUP(JX$1,generator!$B$2:$B$295,generator!$L$2:$L$295,"ARGH")</f>
        <v>20</v>
      </c>
      <c r="JY8" s="3">
        <f>_xlfn.XLOOKUP(JY$1,generator!$B$2:$B$295,generator!$L$2:$L$295,"ARGH")</f>
        <v>118</v>
      </c>
      <c r="JZ8" s="3">
        <f>_xlfn.XLOOKUP(JZ$1,generator!$B$2:$B$295,generator!$L$2:$L$295,"ARGH")</f>
        <v>73</v>
      </c>
      <c r="KA8" s="3">
        <f>_xlfn.XLOOKUP(KA$1,generator!$B$2:$B$295,generator!$L$2:$L$295,"ARGH")</f>
        <v>73</v>
      </c>
      <c r="KB8" s="3">
        <f>_xlfn.XLOOKUP(KB$1,generator!$B$2:$B$295,generator!$L$2:$L$295,"ARGH")</f>
        <v>73</v>
      </c>
      <c r="KC8" s="3">
        <f>_xlfn.XLOOKUP(KC$1,generator!$B$2:$B$295,generator!$L$2:$L$295,"ARGH")</f>
        <v>73</v>
      </c>
    </row>
    <row r="9" spans="1:289" x14ac:dyDescent="0.3">
      <c r="A9" s="4" t="s">
        <v>3004</v>
      </c>
      <c r="B9" s="31">
        <v>44.5</v>
      </c>
      <c r="C9" s="31">
        <v>513</v>
      </c>
      <c r="D9" s="31">
        <v>315</v>
      </c>
      <c r="E9" s="33">
        <v>13.164999999999999</v>
      </c>
      <c r="F9" s="33">
        <v>28.279</v>
      </c>
      <c r="G9" s="33">
        <v>13.164999999999999</v>
      </c>
      <c r="H9" s="33">
        <v>21.940999999999999</v>
      </c>
      <c r="I9" s="33">
        <v>43.393999999999998</v>
      </c>
      <c r="J9" s="33">
        <v>40.469000000000001</v>
      </c>
      <c r="K9" s="33">
        <v>10.97</v>
      </c>
      <c r="L9" s="33">
        <v>8.3859999999999992</v>
      </c>
      <c r="M9" s="33">
        <v>7.3140000000000001</v>
      </c>
      <c r="N9" s="33">
        <v>26.329000000000001</v>
      </c>
      <c r="O9" s="33">
        <v>2.633</v>
      </c>
      <c r="P9" s="33">
        <v>12.481999999999999</v>
      </c>
      <c r="Q9" s="33">
        <v>17.163</v>
      </c>
      <c r="R9" s="33">
        <v>8.7759999999999998</v>
      </c>
      <c r="S9" s="33">
        <v>16.748000000000001</v>
      </c>
      <c r="T9" s="33">
        <v>11.702</v>
      </c>
      <c r="U9" s="33">
        <v>20.478000000000002</v>
      </c>
      <c r="V9" s="33">
        <v>10.311999999999999</v>
      </c>
      <c r="W9" s="33">
        <v>11.214</v>
      </c>
      <c r="X9" s="33">
        <v>15.797000000000001</v>
      </c>
      <c r="Y9" s="33">
        <v>8.1910000000000007</v>
      </c>
      <c r="Z9" s="33">
        <v>5.8019999999999996</v>
      </c>
      <c r="AA9" s="33">
        <v>5.266</v>
      </c>
      <c r="AB9" s="33">
        <v>27.792000000000002</v>
      </c>
      <c r="AC9" s="33">
        <v>32.033999999999999</v>
      </c>
      <c r="AD9" s="33">
        <v>11.311999999999999</v>
      </c>
      <c r="AE9" s="33">
        <v>9.7520000000000007</v>
      </c>
      <c r="AF9" s="33">
        <v>27.498999999999999</v>
      </c>
      <c r="AG9" s="33">
        <v>9.7520000000000007</v>
      </c>
      <c r="AH9" s="33">
        <v>5.851</v>
      </c>
      <c r="AI9" s="33">
        <v>6.5339999999999998</v>
      </c>
      <c r="AJ9" s="33">
        <v>11.702</v>
      </c>
      <c r="AK9" s="33">
        <v>4.1689999999999996</v>
      </c>
      <c r="AL9" s="33">
        <v>18.030999999999999</v>
      </c>
      <c r="AM9" s="33">
        <v>23.16</v>
      </c>
      <c r="AN9" s="33">
        <v>9.7520000000000007</v>
      </c>
      <c r="AO9" s="33">
        <v>6.7290000000000001</v>
      </c>
      <c r="AP9" s="33">
        <v>26.475000000000001</v>
      </c>
      <c r="AQ9" s="33">
        <v>9.1180000000000003</v>
      </c>
      <c r="AR9" s="33">
        <v>8.5329999999999995</v>
      </c>
      <c r="AS9" s="33">
        <v>25.353999999999999</v>
      </c>
      <c r="AT9" s="33">
        <v>6.89</v>
      </c>
      <c r="AU9" s="33">
        <v>18.527999999999999</v>
      </c>
      <c r="AV9" s="33">
        <v>15.846</v>
      </c>
      <c r="AW9" s="33">
        <v>16.09</v>
      </c>
      <c r="AX9" s="33">
        <v>8.923</v>
      </c>
      <c r="AY9" s="33">
        <v>16.138999999999999</v>
      </c>
      <c r="AZ9" s="33">
        <v>18.454999999999998</v>
      </c>
      <c r="BA9" s="33">
        <v>6.8259999999999996</v>
      </c>
      <c r="BB9" s="33">
        <v>22.428000000000001</v>
      </c>
      <c r="BC9" s="33">
        <v>9.7520000000000007</v>
      </c>
      <c r="BD9" s="33">
        <v>5.851</v>
      </c>
      <c r="BE9" s="33">
        <v>5.6070000000000002</v>
      </c>
      <c r="BF9" s="33">
        <v>43.881999999999998</v>
      </c>
      <c r="BG9" s="33">
        <v>7.3140000000000001</v>
      </c>
      <c r="BH9" s="33">
        <v>12.189</v>
      </c>
      <c r="BI9" s="33">
        <v>10.239000000000001</v>
      </c>
      <c r="BJ9" s="33">
        <v>20.478000000000002</v>
      </c>
      <c r="BK9" s="33">
        <v>5.851</v>
      </c>
      <c r="BL9" s="33">
        <v>20.722000000000001</v>
      </c>
      <c r="BM9" s="33">
        <v>4.1440000000000001</v>
      </c>
      <c r="BN9" s="33">
        <v>14.627000000000001</v>
      </c>
      <c r="BO9" s="33">
        <v>20.79</v>
      </c>
      <c r="BP9" s="33">
        <v>55.680999999999997</v>
      </c>
      <c r="BQ9" s="33">
        <v>17.553000000000001</v>
      </c>
      <c r="BR9" s="33">
        <v>26.329000000000001</v>
      </c>
      <c r="BS9" s="33">
        <v>8.5329999999999995</v>
      </c>
      <c r="BT9" s="33">
        <v>16.821000000000002</v>
      </c>
      <c r="BU9" s="33">
        <v>2.34</v>
      </c>
      <c r="BV9" s="33">
        <v>5.0220000000000002</v>
      </c>
      <c r="BW9" s="33">
        <v>6.6210000000000004</v>
      </c>
      <c r="BX9" s="33">
        <v>5.3879999999999999</v>
      </c>
      <c r="BY9" s="33">
        <v>12.189</v>
      </c>
      <c r="BZ9" s="33">
        <v>19.893000000000001</v>
      </c>
      <c r="CA9" s="33">
        <v>29.010999999999999</v>
      </c>
      <c r="CB9" s="33">
        <v>16.577999999999999</v>
      </c>
      <c r="CC9" s="33">
        <v>13.896000000000001</v>
      </c>
      <c r="CD9" s="33">
        <v>18.722999999999999</v>
      </c>
      <c r="CE9" s="33">
        <v>12.189</v>
      </c>
      <c r="CF9" s="33">
        <v>7.85</v>
      </c>
      <c r="CG9" s="33">
        <v>8.5329999999999995</v>
      </c>
      <c r="CH9" s="33">
        <v>13.628</v>
      </c>
      <c r="CI9" s="33">
        <v>6.3630000000000004</v>
      </c>
      <c r="CJ9" s="33">
        <v>2.17</v>
      </c>
      <c r="CK9" s="33">
        <v>12.092000000000001</v>
      </c>
      <c r="CL9" s="33">
        <v>8.24</v>
      </c>
      <c r="CM9" s="33">
        <v>7.3140000000000001</v>
      </c>
      <c r="CN9" s="33">
        <v>28.876999999999999</v>
      </c>
      <c r="CO9" s="33">
        <v>11.458</v>
      </c>
      <c r="CP9" s="33">
        <v>22.818999999999999</v>
      </c>
      <c r="CQ9" s="33">
        <v>15.602</v>
      </c>
      <c r="CR9" s="33">
        <v>12.677</v>
      </c>
      <c r="CS9" s="33">
        <v>10.727</v>
      </c>
      <c r="CT9" s="33">
        <v>14.53</v>
      </c>
      <c r="CU9" s="33">
        <v>6.7290000000000001</v>
      </c>
      <c r="CV9" s="33">
        <v>12.336</v>
      </c>
      <c r="CW9" s="33">
        <v>13.651999999999999</v>
      </c>
      <c r="CX9" s="33">
        <v>6.0949999999999998</v>
      </c>
      <c r="CY9" s="33">
        <v>16.651</v>
      </c>
      <c r="CZ9" s="33">
        <v>5.851</v>
      </c>
      <c r="DA9" s="33">
        <v>14.627000000000001</v>
      </c>
      <c r="DB9" s="33">
        <v>9.1660000000000004</v>
      </c>
      <c r="DC9" s="33">
        <v>6.875</v>
      </c>
      <c r="DD9" s="33">
        <v>7.85</v>
      </c>
      <c r="DE9" s="33">
        <v>6.0949999999999998</v>
      </c>
      <c r="DF9" s="33">
        <v>10.532</v>
      </c>
      <c r="DG9" s="33">
        <v>17.527999999999999</v>
      </c>
      <c r="DH9" s="33">
        <v>36.567999999999998</v>
      </c>
      <c r="DI9" s="33">
        <v>17.553000000000001</v>
      </c>
      <c r="DJ9" s="33">
        <v>7.3140000000000001</v>
      </c>
      <c r="DK9" s="33">
        <v>10.093</v>
      </c>
      <c r="DL9" s="33">
        <v>18.065000000000001</v>
      </c>
      <c r="DM9" s="33">
        <v>8.7759999999999998</v>
      </c>
      <c r="DN9" s="33">
        <v>48.758000000000003</v>
      </c>
      <c r="DO9" s="33">
        <v>16.382999999999999</v>
      </c>
      <c r="DP9" s="33">
        <v>49.244999999999997</v>
      </c>
      <c r="DQ9" s="33">
        <v>1.141</v>
      </c>
      <c r="DR9" s="33">
        <v>44.466999999999999</v>
      </c>
      <c r="DS9" s="33">
        <v>7.85</v>
      </c>
      <c r="DT9" s="33">
        <v>14.676</v>
      </c>
      <c r="DU9" s="33">
        <v>7.3140000000000001</v>
      </c>
      <c r="DV9" s="33">
        <v>5.7919999999999998</v>
      </c>
      <c r="DW9" s="33">
        <v>6.8259999999999996</v>
      </c>
      <c r="DX9" s="33">
        <v>18.966999999999999</v>
      </c>
      <c r="DY9" s="33">
        <v>12.677</v>
      </c>
      <c r="DZ9" s="33">
        <v>5.7050000000000001</v>
      </c>
      <c r="EA9" s="33">
        <v>19.503</v>
      </c>
      <c r="EB9" s="33">
        <v>17.553000000000001</v>
      </c>
      <c r="EC9" s="33">
        <v>11.214</v>
      </c>
      <c r="ED9" s="33">
        <v>14.042</v>
      </c>
      <c r="EE9" s="33">
        <v>23.794</v>
      </c>
      <c r="EF9" s="33">
        <v>7.3140000000000001</v>
      </c>
      <c r="EG9" s="33">
        <v>4.4859999999999998</v>
      </c>
      <c r="EH9" s="33">
        <v>20.186</v>
      </c>
      <c r="EI9" s="33">
        <v>7.2160000000000002</v>
      </c>
      <c r="EJ9" s="33">
        <v>4.4859999999999998</v>
      </c>
      <c r="EK9" s="33">
        <v>7.3140000000000001</v>
      </c>
      <c r="EL9" s="33">
        <v>11.702</v>
      </c>
      <c r="EM9" s="33">
        <v>15.7</v>
      </c>
      <c r="EN9" s="33">
        <v>8.9710000000000001</v>
      </c>
      <c r="EO9" s="33">
        <v>9.7520000000000007</v>
      </c>
      <c r="EP9" s="33">
        <v>6.875</v>
      </c>
      <c r="EQ9" s="33">
        <v>16.821000000000002</v>
      </c>
      <c r="ER9" s="33">
        <v>5.12</v>
      </c>
      <c r="ES9" s="33">
        <v>5.6070000000000002</v>
      </c>
      <c r="ET9" s="33">
        <v>11.263</v>
      </c>
      <c r="EU9" s="33">
        <v>41.423999999999999</v>
      </c>
      <c r="EV9" s="33">
        <v>8.4109999999999996</v>
      </c>
      <c r="EW9" s="33">
        <v>39.006</v>
      </c>
      <c r="EX9" s="33">
        <v>43.808999999999997</v>
      </c>
      <c r="EY9" s="33">
        <v>2.633</v>
      </c>
      <c r="EZ9" s="33">
        <v>3.54</v>
      </c>
      <c r="FA9" s="33">
        <v>2.8959999999999999</v>
      </c>
      <c r="FB9" s="33">
        <v>9.7520000000000007</v>
      </c>
      <c r="FC9" s="33">
        <v>13.896000000000001</v>
      </c>
      <c r="FD9" s="33">
        <v>9.7520000000000007</v>
      </c>
      <c r="FE9" s="33">
        <v>13.457000000000001</v>
      </c>
      <c r="FF9" s="33">
        <v>8.7759999999999998</v>
      </c>
      <c r="FG9" s="33">
        <v>7.3140000000000001</v>
      </c>
      <c r="FH9" s="33">
        <v>6.0949999999999998</v>
      </c>
      <c r="FI9" s="33">
        <v>23.404</v>
      </c>
      <c r="FJ9" s="33">
        <v>14.93</v>
      </c>
      <c r="FK9" s="33">
        <v>21.623999999999999</v>
      </c>
      <c r="FL9" s="33">
        <v>7.2160000000000002</v>
      </c>
      <c r="FM9" s="33">
        <v>19.942</v>
      </c>
      <c r="FN9" s="33">
        <v>9.9949999999999992</v>
      </c>
      <c r="FO9" s="33">
        <v>35.886000000000003</v>
      </c>
      <c r="FP9" s="33">
        <v>51.195</v>
      </c>
      <c r="FQ9" s="33">
        <v>9.3610000000000007</v>
      </c>
      <c r="FR9" s="33">
        <v>5.6070000000000002</v>
      </c>
      <c r="FS9" s="33">
        <v>6.7290000000000001</v>
      </c>
      <c r="FT9" s="33">
        <v>8.4109999999999996</v>
      </c>
      <c r="FU9" s="33">
        <v>34.130000000000003</v>
      </c>
      <c r="FV9" s="33">
        <v>6.4850000000000003</v>
      </c>
      <c r="FW9" s="33">
        <v>7.4009999999999998</v>
      </c>
      <c r="FX9" s="33">
        <v>7.3140000000000001</v>
      </c>
      <c r="FY9" s="33">
        <v>6.7290000000000001</v>
      </c>
      <c r="FZ9" s="33">
        <v>6.7290000000000001</v>
      </c>
      <c r="GA9" s="33">
        <v>7.3140000000000001</v>
      </c>
      <c r="GB9" s="33">
        <v>6.0949999999999998</v>
      </c>
      <c r="GC9" s="33">
        <v>3.218</v>
      </c>
      <c r="GD9" s="33">
        <v>6.1429999999999998</v>
      </c>
      <c r="GE9" s="33">
        <v>6.7290000000000001</v>
      </c>
      <c r="GF9" s="33">
        <v>51.195</v>
      </c>
      <c r="GG9" s="33">
        <v>31.204999999999998</v>
      </c>
      <c r="GH9" s="33">
        <v>2.9249999999999998</v>
      </c>
      <c r="GI9" s="33">
        <v>4.3879999999999999</v>
      </c>
      <c r="GJ9" s="33">
        <v>5.8019999999999996</v>
      </c>
      <c r="GK9" s="33">
        <v>13.164999999999999</v>
      </c>
      <c r="GL9" s="33">
        <v>9.7520000000000007</v>
      </c>
      <c r="GM9" s="33">
        <v>5.6000000000000001E-2</v>
      </c>
      <c r="GN9" s="33">
        <v>0.33300000000000002</v>
      </c>
      <c r="GO9" s="33">
        <v>0.11700000000000001</v>
      </c>
      <c r="GP9" s="33">
        <v>0.47199999999999998</v>
      </c>
      <c r="GQ9" s="33">
        <v>7.8E-2</v>
      </c>
      <c r="GR9" s="33">
        <v>0.66100000000000003</v>
      </c>
      <c r="GS9" s="33">
        <v>0.17499999999999999</v>
      </c>
      <c r="GT9" s="33">
        <v>0.52700000000000002</v>
      </c>
      <c r="GU9" s="33">
        <v>0.14000000000000001</v>
      </c>
      <c r="GV9" s="33">
        <v>9.4E-2</v>
      </c>
      <c r="GW9" s="33">
        <v>0.113</v>
      </c>
      <c r="GX9" s="33">
        <v>0.48299999999999998</v>
      </c>
      <c r="GY9" s="33">
        <v>2.1999999999999999E-2</v>
      </c>
      <c r="GZ9" s="33">
        <v>6.7000000000000004E-2</v>
      </c>
      <c r="HA9" s="33">
        <v>0.16600000000000001</v>
      </c>
      <c r="HB9" s="33">
        <v>0.52700000000000002</v>
      </c>
      <c r="HC9" s="33">
        <v>0.52700000000000002</v>
      </c>
      <c r="HD9" s="33">
        <v>0.27800000000000002</v>
      </c>
      <c r="HE9" s="3">
        <f>_xlfn.XLOOKUP(HE$1,generator!$B$2:$B$295,generator!$L$2:$L$295,"ARGH")</f>
        <v>17.600000000000001</v>
      </c>
      <c r="HF9" s="3">
        <f>_xlfn.XLOOKUP(HF$1,generator!$B$2:$B$295,generator!$L$2:$L$295,"ARGH")</f>
        <v>285</v>
      </c>
      <c r="HG9" s="3">
        <f>_xlfn.XLOOKUP(HG$1,generator!$B$2:$B$295,generator!$L$2:$L$295,"ARGH")</f>
        <v>285</v>
      </c>
      <c r="HH9" s="3">
        <f>_xlfn.XLOOKUP(HH$1,generator!$B$2:$B$295,generator!$L$2:$L$295,"ARGH")</f>
        <v>285</v>
      </c>
      <c r="HI9" s="3">
        <f>_xlfn.XLOOKUP(HI$1,generator!$B$2:$B$295,generator!$L$2:$L$295,"ARGH")</f>
        <v>58</v>
      </c>
      <c r="HJ9" s="3">
        <f>_xlfn.XLOOKUP(HJ$1,generator!$B$2:$B$295,generator!$L$2:$L$295,"ARGH")</f>
        <v>58</v>
      </c>
      <c r="HK9" s="3">
        <f>_xlfn.XLOOKUP(HK$1,generator!$B$2:$B$295,generator!$L$2:$L$295,"ARGH")</f>
        <v>53</v>
      </c>
      <c r="HL9" s="3">
        <f>_xlfn.XLOOKUP(HL$1,generator!$B$2:$B$295,generator!$L$2:$L$295,"ARGH")</f>
        <v>58</v>
      </c>
      <c r="HM9" s="3">
        <f>_xlfn.XLOOKUP(HM$1,generator!$B$2:$B$295,generator!$L$2:$L$295,"ARGH")</f>
        <v>58</v>
      </c>
      <c r="HN9" s="3">
        <f>_xlfn.XLOOKUP(HN$1,generator!$B$2:$B$295,generator!$L$2:$L$295,"ARGH")</f>
        <v>52</v>
      </c>
      <c r="HO9" s="3">
        <f>_xlfn.XLOOKUP(HO$1,generator!$B$2:$B$295,generator!$L$2:$L$295,"ARGH")</f>
        <v>52</v>
      </c>
      <c r="HP9" s="3">
        <f>_xlfn.XLOOKUP(HP$1,generator!$B$2:$B$295,generator!$L$2:$L$295,"ARGH")</f>
        <v>2</v>
      </c>
      <c r="HQ9" s="3">
        <f>_xlfn.XLOOKUP(HQ$1,generator!$B$2:$B$295,generator!$L$2:$L$295,"ARGH")</f>
        <v>29.2</v>
      </c>
      <c r="HR9" s="3">
        <f>_xlfn.XLOOKUP(HR$1,generator!$B$2:$B$295,generator!$L$2:$L$295,"ARGH")</f>
        <v>29.2</v>
      </c>
      <c r="HS9" s="3">
        <f>_xlfn.XLOOKUP(HS$1,generator!$B$2:$B$295,generator!$L$2:$L$295,"ARGH")</f>
        <v>41.61</v>
      </c>
      <c r="HT9" s="3">
        <f>_xlfn.XLOOKUP(HT$1,generator!$B$2:$B$295,generator!$L$2:$L$295,"ARGH")</f>
        <v>41.61</v>
      </c>
      <c r="HU9" s="3">
        <f>_xlfn.XLOOKUP(HU$1,generator!$B$2:$B$295,generator!$L$2:$L$295,"ARGH")</f>
        <v>160</v>
      </c>
      <c r="HV9" s="3">
        <f>_xlfn.XLOOKUP(HV$1,generator!$B$2:$B$295,generator!$L$2:$L$295,"ARGH")</f>
        <v>260</v>
      </c>
      <c r="HW9" s="3">
        <f>_xlfn.XLOOKUP(HW$1,generator!$B$2:$B$295,generator!$L$2:$L$295,"ARGH")</f>
        <v>52</v>
      </c>
      <c r="HX9" s="3">
        <f>_xlfn.XLOOKUP(HX$1,generator!$B$2:$B$295,generator!$L$2:$L$295,"ARGH")</f>
        <v>52</v>
      </c>
      <c r="HY9" s="3">
        <f>_xlfn.XLOOKUP(HY$1,generator!$B$2:$B$295,generator!$L$2:$L$295,"ARGH")</f>
        <v>101</v>
      </c>
      <c r="HZ9" s="3">
        <f>_xlfn.XLOOKUP(HZ$1,generator!$B$2:$B$295,generator!$L$2:$L$295,"ARGH")</f>
        <v>50</v>
      </c>
      <c r="IA9" s="3">
        <f>_xlfn.XLOOKUP(IA$1,generator!$B$2:$B$295,generator!$L$2:$L$295,"ARGH")</f>
        <v>400</v>
      </c>
      <c r="IB9" s="3">
        <f>_xlfn.XLOOKUP(IB$1,generator!$B$2:$B$295,generator!$L$2:$L$295,"ARGH")</f>
        <v>342</v>
      </c>
      <c r="IC9" s="3">
        <f>_xlfn.XLOOKUP(IC$1,generator!$B$2:$B$295,generator!$L$2:$L$295,"ARGH")</f>
        <v>3.0209999999999999</v>
      </c>
      <c r="ID9" s="3">
        <f>_xlfn.XLOOKUP(ID$1,generator!$B$2:$B$295,generator!$L$2:$L$295,"ARGH")</f>
        <v>200</v>
      </c>
      <c r="IE9" s="3">
        <f>_xlfn.XLOOKUP(IE$1,generator!$B$2:$B$295,generator!$L$2:$L$295,"ARGH")</f>
        <v>404</v>
      </c>
      <c r="IF9" s="3">
        <f>_xlfn.XLOOKUP(IF$1,generator!$B$2:$B$295,generator!$L$2:$L$295,"ARGH")</f>
        <v>21</v>
      </c>
      <c r="IG9" s="3">
        <f>_xlfn.XLOOKUP(IG$1,generator!$B$2:$B$295,generator!$L$2:$L$295,"ARGH")</f>
        <v>22</v>
      </c>
      <c r="IH9" s="3">
        <f>_xlfn.XLOOKUP(IH$1,generator!$B$2:$B$295,generator!$L$2:$L$295,"ARGH")</f>
        <v>19</v>
      </c>
      <c r="II9" s="3">
        <f>_xlfn.XLOOKUP(II$1,generator!$B$2:$B$295,generator!$L$2:$L$295,"ARGH")</f>
        <v>24</v>
      </c>
      <c r="IJ9" s="3">
        <f>_xlfn.XLOOKUP(IJ$1,generator!$B$2:$B$295,generator!$L$2:$L$295,"ARGH")</f>
        <v>4.3</v>
      </c>
      <c r="IK9" s="3">
        <f>_xlfn.XLOOKUP(IK$1,generator!$B$2:$B$295,generator!$L$2:$L$295,"ARGH")</f>
        <v>8</v>
      </c>
      <c r="IL9" s="3">
        <f>_xlfn.XLOOKUP(IL$1,generator!$B$2:$B$295,generator!$L$2:$L$295,"ARGH")</f>
        <v>22.5</v>
      </c>
      <c r="IM9" s="3">
        <f>_xlfn.XLOOKUP(IM$1,generator!$B$2:$B$295,generator!$L$2:$L$295,"ARGH")</f>
        <v>22.5</v>
      </c>
      <c r="IN9" s="3">
        <f>_xlfn.XLOOKUP(IN$1,generator!$B$2:$B$295,generator!$L$2:$L$295,"ARGH")</f>
        <v>10</v>
      </c>
      <c r="IO9" s="3">
        <f>_xlfn.XLOOKUP(IO$1,generator!$B$2:$B$295,generator!$L$2:$L$295,"ARGH")</f>
        <v>10</v>
      </c>
      <c r="IP9" s="3">
        <f>_xlfn.XLOOKUP(IP$1,generator!$B$2:$B$295,generator!$L$2:$L$295,"ARGH")</f>
        <v>15</v>
      </c>
      <c r="IQ9" s="3">
        <f>_xlfn.XLOOKUP(IQ$1,generator!$B$2:$B$295,generator!$L$2:$L$295,"ARGH")</f>
        <v>4</v>
      </c>
      <c r="IR9" s="3">
        <f>_xlfn.XLOOKUP(IR$1,generator!$B$2:$B$295,generator!$L$2:$L$295,"ARGH")</f>
        <v>15</v>
      </c>
      <c r="IS9" s="3">
        <f>_xlfn.XLOOKUP(IS$1,generator!$B$2:$B$295,generator!$L$2:$L$295,"ARGH")</f>
        <v>15</v>
      </c>
      <c r="IT9" s="3">
        <f>_xlfn.XLOOKUP(IT$1,generator!$B$2:$B$295,generator!$L$2:$L$295,"ARGH")</f>
        <v>0.18</v>
      </c>
      <c r="IU9" s="3">
        <f>_xlfn.XLOOKUP(IU$1,generator!$B$2:$B$295,generator!$L$2:$L$295,"ARGH")</f>
        <v>4</v>
      </c>
      <c r="IV9" s="3">
        <f>_xlfn.XLOOKUP(IV$1,generator!$B$2:$B$295,generator!$L$2:$L$295,"ARGH")</f>
        <v>4</v>
      </c>
      <c r="IW9" s="3">
        <f>_xlfn.XLOOKUP(IW$1,generator!$B$2:$B$295,generator!$L$2:$L$295,"ARGH")</f>
        <v>90</v>
      </c>
      <c r="IX9" s="3">
        <f>_xlfn.XLOOKUP(IX$1,generator!$B$2:$B$295,generator!$L$2:$L$295,"ARGH")</f>
        <v>90</v>
      </c>
      <c r="IY9" s="3">
        <f>_xlfn.XLOOKUP(IY$1,generator!$B$2:$B$295,generator!$L$2:$L$295,"ARGH")</f>
        <v>90</v>
      </c>
      <c r="IZ9" s="3">
        <f>_xlfn.XLOOKUP(IZ$1,generator!$B$2:$B$295,generator!$L$2:$L$295,"ARGH")</f>
        <v>449</v>
      </c>
      <c r="JA9" s="3">
        <f>_xlfn.XLOOKUP(JA$1,generator!$B$2:$B$295,generator!$L$2:$L$295,"ARGH")</f>
        <v>83</v>
      </c>
      <c r="JB9" s="3">
        <f>_xlfn.XLOOKUP(JB$1,generator!$B$2:$B$295,generator!$L$2:$L$295,"ARGH")</f>
        <v>83</v>
      </c>
      <c r="JC9" s="3">
        <f>_xlfn.XLOOKUP(JC$1,generator!$B$2:$B$295,generator!$L$2:$L$295,"ARGH")</f>
        <v>247</v>
      </c>
      <c r="JD9" s="3">
        <f>_xlfn.XLOOKUP(JD$1,generator!$B$2:$B$295,generator!$L$2:$L$295,"ARGH")</f>
        <v>247</v>
      </c>
      <c r="JE9" s="3">
        <f>_xlfn.XLOOKUP(JE$1,generator!$B$2:$B$295,generator!$L$2:$L$295,"ARGH")</f>
        <v>425</v>
      </c>
      <c r="JF9" s="3">
        <f>_xlfn.XLOOKUP(JF$1,generator!$B$2:$B$295,generator!$L$2:$L$295,"ARGH")</f>
        <v>63.5</v>
      </c>
      <c r="JG9" s="3">
        <f>_xlfn.XLOOKUP(JG$1,generator!$B$2:$B$295,generator!$L$2:$L$295,"ARGH")</f>
        <v>17</v>
      </c>
      <c r="JH9" s="3">
        <f>_xlfn.XLOOKUP(JH$1,generator!$B$2:$B$295,generator!$L$2:$L$295,"ARGH")</f>
        <v>444</v>
      </c>
      <c r="JI9" s="3">
        <f>_xlfn.XLOOKUP(JI$1,generator!$B$2:$B$295,generator!$L$2:$L$295,"ARGH")</f>
        <v>464</v>
      </c>
      <c r="JJ9" s="3">
        <f>_xlfn.XLOOKUP(JJ$1,generator!$B$2:$B$295,generator!$L$2:$L$295,"ARGH")</f>
        <v>18.54</v>
      </c>
      <c r="JK9" s="3">
        <f>_xlfn.XLOOKUP(JK$1,generator!$B$2:$B$295,generator!$L$2:$L$295,"ARGH")</f>
        <v>18.54</v>
      </c>
      <c r="JL9" s="3">
        <f>_xlfn.XLOOKUP(JL$1,generator!$B$2:$B$295,generator!$L$2:$L$295,"ARGH")</f>
        <v>18.54</v>
      </c>
      <c r="JM9" s="3">
        <f>_xlfn.XLOOKUP(JM$1,generator!$B$2:$B$295,generator!$L$2:$L$295,"ARGH")</f>
        <v>18.54</v>
      </c>
      <c r="JN9" s="3">
        <f>_xlfn.XLOOKUP(JN$1,generator!$B$2:$B$295,generator!$L$2:$L$295,"ARGH")</f>
        <v>18.54</v>
      </c>
      <c r="JO9" s="3">
        <f>_xlfn.XLOOKUP(JO$1,generator!$B$2:$B$295,generator!$L$2:$L$295,"ARGH")</f>
        <v>18.54</v>
      </c>
      <c r="JP9" s="3">
        <f>_xlfn.XLOOKUP(JP$1,generator!$B$2:$B$295,generator!$L$2:$L$295,"ARGH")</f>
        <v>415</v>
      </c>
      <c r="JQ9" s="3">
        <f>_xlfn.XLOOKUP(JQ$1,generator!$B$2:$B$295,generator!$L$2:$L$295,"ARGH")</f>
        <v>63.5</v>
      </c>
      <c r="JR9" s="3">
        <f>_xlfn.XLOOKUP(JR$1,generator!$B$2:$B$295,generator!$L$2:$L$295,"ARGH")</f>
        <v>350</v>
      </c>
      <c r="JS9" s="3">
        <f>_xlfn.XLOOKUP(JS$1,generator!$B$2:$B$295,generator!$L$2:$L$295,"ARGH")</f>
        <v>350</v>
      </c>
      <c r="JT9" s="3">
        <f>_xlfn.XLOOKUP(JT$1,generator!$B$2:$B$295,generator!$L$2:$L$295,"ARGH")</f>
        <v>63.5</v>
      </c>
      <c r="JU9" s="3">
        <f>_xlfn.XLOOKUP(JU$1,generator!$B$2:$B$295,generator!$L$2:$L$295,"ARGH")</f>
        <v>61.5</v>
      </c>
      <c r="JV9" s="3">
        <f>_xlfn.XLOOKUP(JV$1,generator!$B$2:$B$295,generator!$L$2:$L$295,"ARGH")</f>
        <v>240</v>
      </c>
      <c r="JW9" s="3">
        <f>_xlfn.XLOOKUP(JW$1,generator!$B$2:$B$295,generator!$L$2:$L$295,"ARGH")</f>
        <v>236</v>
      </c>
      <c r="JX9" s="3">
        <f>_xlfn.XLOOKUP(JX$1,generator!$B$2:$B$295,generator!$L$2:$L$295,"ARGH")</f>
        <v>20</v>
      </c>
      <c r="JY9" s="3">
        <f>_xlfn.XLOOKUP(JY$1,generator!$B$2:$B$295,generator!$L$2:$L$295,"ARGH")</f>
        <v>118</v>
      </c>
      <c r="JZ9" s="3">
        <f>_xlfn.XLOOKUP(JZ$1,generator!$B$2:$B$295,generator!$L$2:$L$295,"ARGH")</f>
        <v>73</v>
      </c>
      <c r="KA9" s="3">
        <f>_xlfn.XLOOKUP(KA$1,generator!$B$2:$B$295,generator!$L$2:$L$295,"ARGH")</f>
        <v>73</v>
      </c>
      <c r="KB9" s="3">
        <f>_xlfn.XLOOKUP(KB$1,generator!$B$2:$B$295,generator!$L$2:$L$295,"ARGH")</f>
        <v>73</v>
      </c>
      <c r="KC9" s="3">
        <f>_xlfn.XLOOKUP(KC$1,generator!$B$2:$B$295,generator!$L$2:$L$295,"ARGH")</f>
        <v>73</v>
      </c>
    </row>
    <row r="10" spans="1:289" x14ac:dyDescent="0.3">
      <c r="A10" s="4" t="s">
        <v>3005</v>
      </c>
      <c r="B10" s="31">
        <v>14.5</v>
      </c>
      <c r="C10" s="31">
        <v>513</v>
      </c>
      <c r="D10" s="31">
        <v>315</v>
      </c>
      <c r="E10" s="33">
        <v>12.711</v>
      </c>
      <c r="F10" s="33">
        <v>27.306000000000001</v>
      </c>
      <c r="G10" s="33">
        <v>12.711</v>
      </c>
      <c r="H10" s="33">
        <v>21.184999999999999</v>
      </c>
      <c r="I10" s="33">
        <v>41.9</v>
      </c>
      <c r="J10" s="33">
        <v>39.075000000000003</v>
      </c>
      <c r="K10" s="33">
        <v>10.593</v>
      </c>
      <c r="L10" s="33">
        <v>8.0980000000000008</v>
      </c>
      <c r="M10" s="33">
        <v>7.0620000000000003</v>
      </c>
      <c r="N10" s="33">
        <v>25.422999999999998</v>
      </c>
      <c r="O10" s="33">
        <v>2.5419999999999998</v>
      </c>
      <c r="P10" s="33">
        <v>12.052</v>
      </c>
      <c r="Q10" s="33">
        <v>16.571999999999999</v>
      </c>
      <c r="R10" s="33">
        <v>8.4740000000000002</v>
      </c>
      <c r="S10" s="33">
        <v>16.172000000000001</v>
      </c>
      <c r="T10" s="33">
        <v>11.298999999999999</v>
      </c>
      <c r="U10" s="33">
        <v>19.773</v>
      </c>
      <c r="V10" s="33">
        <v>9.9570000000000007</v>
      </c>
      <c r="W10" s="33">
        <v>10.827999999999999</v>
      </c>
      <c r="X10" s="33">
        <v>15.254</v>
      </c>
      <c r="Y10" s="33">
        <v>7.9089999999999998</v>
      </c>
      <c r="Z10" s="33">
        <v>5.6020000000000003</v>
      </c>
      <c r="AA10" s="33">
        <v>5.085</v>
      </c>
      <c r="AB10" s="33">
        <v>26.835000000000001</v>
      </c>
      <c r="AC10" s="33">
        <v>30.931000000000001</v>
      </c>
      <c r="AD10" s="33">
        <v>10.922000000000001</v>
      </c>
      <c r="AE10" s="33">
        <v>9.4160000000000004</v>
      </c>
      <c r="AF10" s="33">
        <v>26.552</v>
      </c>
      <c r="AG10" s="33">
        <v>9.4160000000000004</v>
      </c>
      <c r="AH10" s="33">
        <v>5.649</v>
      </c>
      <c r="AI10" s="33">
        <v>6.3090000000000002</v>
      </c>
      <c r="AJ10" s="33">
        <v>11.298999999999999</v>
      </c>
      <c r="AK10" s="33">
        <v>4.0250000000000004</v>
      </c>
      <c r="AL10" s="33">
        <v>17.41</v>
      </c>
      <c r="AM10" s="33">
        <v>22.361999999999998</v>
      </c>
      <c r="AN10" s="33">
        <v>9.4160000000000004</v>
      </c>
      <c r="AO10" s="33">
        <v>6.4969999999999999</v>
      </c>
      <c r="AP10" s="33">
        <v>25.564</v>
      </c>
      <c r="AQ10" s="33">
        <v>8.8040000000000003</v>
      </c>
      <c r="AR10" s="33">
        <v>8.2390000000000008</v>
      </c>
      <c r="AS10" s="33">
        <v>24.481000000000002</v>
      </c>
      <c r="AT10" s="33">
        <v>6.6529999999999996</v>
      </c>
      <c r="AU10" s="33">
        <v>17.89</v>
      </c>
      <c r="AV10" s="33">
        <v>15.301</v>
      </c>
      <c r="AW10" s="33">
        <v>15.536</v>
      </c>
      <c r="AX10" s="33">
        <v>8.6150000000000002</v>
      </c>
      <c r="AY10" s="33">
        <v>15.583</v>
      </c>
      <c r="AZ10" s="33">
        <v>17.818999999999999</v>
      </c>
      <c r="BA10" s="33">
        <v>6.5910000000000002</v>
      </c>
      <c r="BB10" s="33">
        <v>21.655999999999999</v>
      </c>
      <c r="BC10" s="33">
        <v>9.4160000000000004</v>
      </c>
      <c r="BD10" s="33">
        <v>5.649</v>
      </c>
      <c r="BE10" s="33">
        <v>5.4139999999999997</v>
      </c>
      <c r="BF10" s="33">
        <v>42.371000000000002</v>
      </c>
      <c r="BG10" s="33">
        <v>7.0620000000000003</v>
      </c>
      <c r="BH10" s="33">
        <v>11.77</v>
      </c>
      <c r="BI10" s="33">
        <v>9.8870000000000005</v>
      </c>
      <c r="BJ10" s="33">
        <v>19.773</v>
      </c>
      <c r="BK10" s="33">
        <v>5.649</v>
      </c>
      <c r="BL10" s="33">
        <v>20.007999999999999</v>
      </c>
      <c r="BM10" s="33">
        <v>4.0019999999999998</v>
      </c>
      <c r="BN10" s="33">
        <v>14.124000000000001</v>
      </c>
      <c r="BO10" s="33">
        <v>20.074000000000002</v>
      </c>
      <c r="BP10" s="33">
        <v>53.764000000000003</v>
      </c>
      <c r="BQ10" s="33">
        <v>16.948</v>
      </c>
      <c r="BR10" s="33">
        <v>25.422999999999998</v>
      </c>
      <c r="BS10" s="33">
        <v>8.2390000000000008</v>
      </c>
      <c r="BT10" s="33">
        <v>16.242000000000001</v>
      </c>
      <c r="BU10" s="33">
        <v>2.2599999999999998</v>
      </c>
      <c r="BV10" s="33">
        <v>4.8490000000000002</v>
      </c>
      <c r="BW10" s="33">
        <v>6.3929999999999998</v>
      </c>
      <c r="BX10" s="33">
        <v>5.202</v>
      </c>
      <c r="BY10" s="33">
        <v>11.77</v>
      </c>
      <c r="BZ10" s="33">
        <v>19.207999999999998</v>
      </c>
      <c r="CA10" s="33">
        <v>28.012</v>
      </c>
      <c r="CB10" s="33">
        <v>16.007000000000001</v>
      </c>
      <c r="CC10" s="33">
        <v>13.417</v>
      </c>
      <c r="CD10" s="33">
        <v>18.077999999999999</v>
      </c>
      <c r="CE10" s="33">
        <v>11.77</v>
      </c>
      <c r="CF10" s="33">
        <v>7.58</v>
      </c>
      <c r="CG10" s="33">
        <v>8.2390000000000008</v>
      </c>
      <c r="CH10" s="33">
        <v>13.159000000000001</v>
      </c>
      <c r="CI10" s="33">
        <v>6.1440000000000001</v>
      </c>
      <c r="CJ10" s="33">
        <v>2.0950000000000002</v>
      </c>
      <c r="CK10" s="33">
        <v>11.676</v>
      </c>
      <c r="CL10" s="33">
        <v>7.9560000000000004</v>
      </c>
      <c r="CM10" s="33">
        <v>7.0620000000000003</v>
      </c>
      <c r="CN10" s="33">
        <v>27.882000000000001</v>
      </c>
      <c r="CO10" s="33">
        <v>11.064</v>
      </c>
      <c r="CP10" s="33">
        <v>22.033000000000001</v>
      </c>
      <c r="CQ10" s="33">
        <v>15.065</v>
      </c>
      <c r="CR10" s="33">
        <v>12.24</v>
      </c>
      <c r="CS10" s="33">
        <v>10.356999999999999</v>
      </c>
      <c r="CT10" s="33">
        <v>14.029</v>
      </c>
      <c r="CU10" s="33">
        <v>6.4969999999999999</v>
      </c>
      <c r="CV10" s="33">
        <v>11.911</v>
      </c>
      <c r="CW10" s="33">
        <v>13.182</v>
      </c>
      <c r="CX10" s="33">
        <v>5.8849999999999998</v>
      </c>
      <c r="CY10" s="33">
        <v>16.077000000000002</v>
      </c>
      <c r="CZ10" s="33">
        <v>5.649</v>
      </c>
      <c r="DA10" s="33">
        <v>14.124000000000001</v>
      </c>
      <c r="DB10" s="33">
        <v>8.8510000000000009</v>
      </c>
      <c r="DC10" s="33">
        <v>6.6379999999999999</v>
      </c>
      <c r="DD10" s="33">
        <v>7.58</v>
      </c>
      <c r="DE10" s="33">
        <v>5.8849999999999998</v>
      </c>
      <c r="DF10" s="33">
        <v>10.169</v>
      </c>
      <c r="DG10" s="33">
        <v>16.925000000000001</v>
      </c>
      <c r="DH10" s="33">
        <v>35.308999999999997</v>
      </c>
      <c r="DI10" s="33">
        <v>16.948</v>
      </c>
      <c r="DJ10" s="33">
        <v>7.0620000000000003</v>
      </c>
      <c r="DK10" s="33">
        <v>9.7449999999999992</v>
      </c>
      <c r="DL10" s="33">
        <v>17.443000000000001</v>
      </c>
      <c r="DM10" s="33">
        <v>8.4740000000000002</v>
      </c>
      <c r="DN10" s="33">
        <v>47.079000000000001</v>
      </c>
      <c r="DO10" s="33">
        <v>15.818</v>
      </c>
      <c r="DP10" s="33">
        <v>47.55</v>
      </c>
      <c r="DQ10" s="33">
        <v>1.1020000000000001</v>
      </c>
      <c r="DR10" s="33">
        <v>42.936</v>
      </c>
      <c r="DS10" s="33">
        <v>7.58</v>
      </c>
      <c r="DT10" s="33">
        <v>14.170999999999999</v>
      </c>
      <c r="DU10" s="33">
        <v>7.0620000000000003</v>
      </c>
      <c r="DV10" s="33">
        <v>5.593</v>
      </c>
      <c r="DW10" s="33">
        <v>6.5910000000000002</v>
      </c>
      <c r="DX10" s="33">
        <v>18.314</v>
      </c>
      <c r="DY10" s="33">
        <v>12.24</v>
      </c>
      <c r="DZ10" s="33">
        <v>5.508</v>
      </c>
      <c r="EA10" s="33">
        <v>18.832000000000001</v>
      </c>
      <c r="EB10" s="33">
        <v>16.948</v>
      </c>
      <c r="EC10" s="33">
        <v>10.827999999999999</v>
      </c>
      <c r="ED10" s="33">
        <v>13.558999999999999</v>
      </c>
      <c r="EE10" s="33">
        <v>22.974</v>
      </c>
      <c r="EF10" s="33">
        <v>7.0620000000000003</v>
      </c>
      <c r="EG10" s="33">
        <v>4.3310000000000004</v>
      </c>
      <c r="EH10" s="33">
        <v>19.491</v>
      </c>
      <c r="EI10" s="33">
        <v>6.968</v>
      </c>
      <c r="EJ10" s="33">
        <v>4.3310000000000004</v>
      </c>
      <c r="EK10" s="33">
        <v>7.0620000000000003</v>
      </c>
      <c r="EL10" s="33">
        <v>11.298999999999999</v>
      </c>
      <c r="EM10" s="33">
        <v>15.159000000000001</v>
      </c>
      <c r="EN10" s="33">
        <v>8.6630000000000003</v>
      </c>
      <c r="EO10" s="33">
        <v>9.4160000000000004</v>
      </c>
      <c r="EP10" s="33">
        <v>6.6379999999999999</v>
      </c>
      <c r="EQ10" s="33">
        <v>16.242000000000001</v>
      </c>
      <c r="ER10" s="33">
        <v>4.9429999999999996</v>
      </c>
      <c r="ES10" s="33">
        <v>5.4139999999999997</v>
      </c>
      <c r="ET10" s="33">
        <v>10.875</v>
      </c>
      <c r="EU10" s="33">
        <v>39.997999999999998</v>
      </c>
      <c r="EV10" s="33">
        <v>8.1210000000000004</v>
      </c>
      <c r="EW10" s="33">
        <v>37.662999999999997</v>
      </c>
      <c r="EX10" s="33">
        <v>42.3</v>
      </c>
      <c r="EY10" s="33">
        <v>2.5419999999999998</v>
      </c>
      <c r="EZ10" s="33">
        <v>3.4180000000000001</v>
      </c>
      <c r="FA10" s="33">
        <v>2.7959999999999998</v>
      </c>
      <c r="FB10" s="33">
        <v>9.4160000000000004</v>
      </c>
      <c r="FC10" s="33">
        <v>13.417</v>
      </c>
      <c r="FD10" s="33">
        <v>9.4160000000000004</v>
      </c>
      <c r="FE10" s="33">
        <v>12.994</v>
      </c>
      <c r="FF10" s="33">
        <v>8.4740000000000002</v>
      </c>
      <c r="FG10" s="33">
        <v>7.0620000000000003</v>
      </c>
      <c r="FH10" s="33">
        <v>5.8849999999999998</v>
      </c>
      <c r="FI10" s="33">
        <v>22.597999999999999</v>
      </c>
      <c r="FJ10" s="33">
        <v>14.416</v>
      </c>
      <c r="FK10" s="33">
        <v>20.879000000000001</v>
      </c>
      <c r="FL10" s="33">
        <v>6.968</v>
      </c>
      <c r="FM10" s="33">
        <v>19.254999999999999</v>
      </c>
      <c r="FN10" s="33">
        <v>9.6509999999999998</v>
      </c>
      <c r="FO10" s="33">
        <v>34.65</v>
      </c>
      <c r="FP10" s="33">
        <v>49.433</v>
      </c>
      <c r="FQ10" s="33">
        <v>9.0389999999999997</v>
      </c>
      <c r="FR10" s="33">
        <v>5.4139999999999997</v>
      </c>
      <c r="FS10" s="33">
        <v>6.4969999999999999</v>
      </c>
      <c r="FT10" s="33">
        <v>8.1210000000000004</v>
      </c>
      <c r="FU10" s="33">
        <v>32.954999999999998</v>
      </c>
      <c r="FV10" s="33">
        <v>6.2610000000000001</v>
      </c>
      <c r="FW10" s="33">
        <v>7.1470000000000002</v>
      </c>
      <c r="FX10" s="33">
        <v>7.0620000000000003</v>
      </c>
      <c r="FY10" s="33">
        <v>6.4969999999999999</v>
      </c>
      <c r="FZ10" s="33">
        <v>6.4969999999999999</v>
      </c>
      <c r="GA10" s="33">
        <v>7.0620000000000003</v>
      </c>
      <c r="GB10" s="33">
        <v>5.8849999999999998</v>
      </c>
      <c r="GC10" s="33">
        <v>3.1070000000000002</v>
      </c>
      <c r="GD10" s="33">
        <v>5.9320000000000004</v>
      </c>
      <c r="GE10" s="33">
        <v>6.4969999999999999</v>
      </c>
      <c r="GF10" s="33">
        <v>49.433</v>
      </c>
      <c r="GG10" s="33">
        <v>30.13</v>
      </c>
      <c r="GH10" s="33">
        <v>2.8250000000000002</v>
      </c>
      <c r="GI10" s="33">
        <v>4.2370000000000001</v>
      </c>
      <c r="GJ10" s="33">
        <v>5.6020000000000003</v>
      </c>
      <c r="GK10" s="33">
        <v>12.711</v>
      </c>
      <c r="GL10" s="33">
        <v>9.4160000000000004</v>
      </c>
      <c r="GM10" s="33">
        <v>5.6000000000000001E-2</v>
      </c>
      <c r="GN10" s="33">
        <v>0.33300000000000002</v>
      </c>
      <c r="GO10" s="33">
        <v>0.11700000000000001</v>
      </c>
      <c r="GP10" s="33">
        <v>0.47199999999999998</v>
      </c>
      <c r="GQ10" s="33">
        <v>7.8E-2</v>
      </c>
      <c r="GR10" s="33">
        <v>0.66100000000000003</v>
      </c>
      <c r="GS10" s="33">
        <v>0.17499999999999999</v>
      </c>
      <c r="GT10" s="33">
        <v>0.52700000000000002</v>
      </c>
      <c r="GU10" s="33">
        <v>0.14000000000000001</v>
      </c>
      <c r="GV10" s="33">
        <v>9.4E-2</v>
      </c>
      <c r="GW10" s="33">
        <v>0.113</v>
      </c>
      <c r="GX10" s="33">
        <v>0.48299999999999998</v>
      </c>
      <c r="GY10" s="33">
        <v>2.1999999999999999E-2</v>
      </c>
      <c r="GZ10" s="33">
        <v>6.7000000000000004E-2</v>
      </c>
      <c r="HA10" s="33">
        <v>0.16600000000000001</v>
      </c>
      <c r="HB10" s="33">
        <v>0.52700000000000002</v>
      </c>
      <c r="HC10" s="33">
        <v>0.52700000000000002</v>
      </c>
      <c r="HD10" s="33">
        <v>0.27800000000000002</v>
      </c>
      <c r="HE10" s="3">
        <f>_xlfn.XLOOKUP(HE$1,generator!$B$2:$B$295,generator!$L$2:$L$295,"ARGH")</f>
        <v>17.600000000000001</v>
      </c>
      <c r="HF10" s="3">
        <f>_xlfn.XLOOKUP(HF$1,generator!$B$2:$B$295,generator!$L$2:$L$295,"ARGH")</f>
        <v>285</v>
      </c>
      <c r="HG10" s="3">
        <f>_xlfn.XLOOKUP(HG$1,generator!$B$2:$B$295,generator!$L$2:$L$295,"ARGH")</f>
        <v>285</v>
      </c>
      <c r="HH10" s="3">
        <f>_xlfn.XLOOKUP(HH$1,generator!$B$2:$B$295,generator!$L$2:$L$295,"ARGH")</f>
        <v>285</v>
      </c>
      <c r="HI10" s="3">
        <f>_xlfn.XLOOKUP(HI$1,generator!$B$2:$B$295,generator!$L$2:$L$295,"ARGH")</f>
        <v>58</v>
      </c>
      <c r="HJ10" s="3">
        <f>_xlfn.XLOOKUP(HJ$1,generator!$B$2:$B$295,generator!$L$2:$L$295,"ARGH")</f>
        <v>58</v>
      </c>
      <c r="HK10" s="3">
        <f>_xlfn.XLOOKUP(HK$1,generator!$B$2:$B$295,generator!$L$2:$L$295,"ARGH")</f>
        <v>53</v>
      </c>
      <c r="HL10" s="3">
        <f>_xlfn.XLOOKUP(HL$1,generator!$B$2:$B$295,generator!$L$2:$L$295,"ARGH")</f>
        <v>58</v>
      </c>
      <c r="HM10" s="3">
        <f>_xlfn.XLOOKUP(HM$1,generator!$B$2:$B$295,generator!$L$2:$L$295,"ARGH")</f>
        <v>58</v>
      </c>
      <c r="HN10" s="3">
        <f>_xlfn.XLOOKUP(HN$1,generator!$B$2:$B$295,generator!$L$2:$L$295,"ARGH")</f>
        <v>52</v>
      </c>
      <c r="HO10" s="3">
        <f>_xlfn.XLOOKUP(HO$1,generator!$B$2:$B$295,generator!$L$2:$L$295,"ARGH")</f>
        <v>52</v>
      </c>
      <c r="HP10" s="3">
        <f>_xlfn.XLOOKUP(HP$1,generator!$B$2:$B$295,generator!$L$2:$L$295,"ARGH")</f>
        <v>2</v>
      </c>
      <c r="HQ10" s="3">
        <f>_xlfn.XLOOKUP(HQ$1,generator!$B$2:$B$295,generator!$L$2:$L$295,"ARGH")</f>
        <v>29.2</v>
      </c>
      <c r="HR10" s="3">
        <f>_xlfn.XLOOKUP(HR$1,generator!$B$2:$B$295,generator!$L$2:$L$295,"ARGH")</f>
        <v>29.2</v>
      </c>
      <c r="HS10" s="3">
        <f>_xlfn.XLOOKUP(HS$1,generator!$B$2:$B$295,generator!$L$2:$L$295,"ARGH")</f>
        <v>41.61</v>
      </c>
      <c r="HT10" s="3">
        <f>_xlfn.XLOOKUP(HT$1,generator!$B$2:$B$295,generator!$L$2:$L$295,"ARGH")</f>
        <v>41.61</v>
      </c>
      <c r="HU10" s="3">
        <f>_xlfn.XLOOKUP(HU$1,generator!$B$2:$B$295,generator!$L$2:$L$295,"ARGH")</f>
        <v>160</v>
      </c>
      <c r="HV10" s="3">
        <f>_xlfn.XLOOKUP(HV$1,generator!$B$2:$B$295,generator!$L$2:$L$295,"ARGH")</f>
        <v>260</v>
      </c>
      <c r="HW10" s="3">
        <f>_xlfn.XLOOKUP(HW$1,generator!$B$2:$B$295,generator!$L$2:$L$295,"ARGH")</f>
        <v>52</v>
      </c>
      <c r="HX10" s="3">
        <f>_xlfn.XLOOKUP(HX$1,generator!$B$2:$B$295,generator!$L$2:$L$295,"ARGH")</f>
        <v>52</v>
      </c>
      <c r="HY10" s="3">
        <f>_xlfn.XLOOKUP(HY$1,generator!$B$2:$B$295,generator!$L$2:$L$295,"ARGH")</f>
        <v>101</v>
      </c>
      <c r="HZ10" s="3">
        <f>_xlfn.XLOOKUP(HZ$1,generator!$B$2:$B$295,generator!$L$2:$L$295,"ARGH")</f>
        <v>50</v>
      </c>
      <c r="IA10" s="3">
        <f>_xlfn.XLOOKUP(IA$1,generator!$B$2:$B$295,generator!$L$2:$L$295,"ARGH")</f>
        <v>400</v>
      </c>
      <c r="IB10" s="3">
        <f>_xlfn.XLOOKUP(IB$1,generator!$B$2:$B$295,generator!$L$2:$L$295,"ARGH")</f>
        <v>342</v>
      </c>
      <c r="IC10" s="3">
        <f>_xlfn.XLOOKUP(IC$1,generator!$B$2:$B$295,generator!$L$2:$L$295,"ARGH")</f>
        <v>3.0209999999999999</v>
      </c>
      <c r="ID10" s="3">
        <f>_xlfn.XLOOKUP(ID$1,generator!$B$2:$B$295,generator!$L$2:$L$295,"ARGH")</f>
        <v>200</v>
      </c>
      <c r="IE10" s="3">
        <f>_xlfn.XLOOKUP(IE$1,generator!$B$2:$B$295,generator!$L$2:$L$295,"ARGH")</f>
        <v>404</v>
      </c>
      <c r="IF10" s="3">
        <f>_xlfn.XLOOKUP(IF$1,generator!$B$2:$B$295,generator!$L$2:$L$295,"ARGH")</f>
        <v>21</v>
      </c>
      <c r="IG10" s="3">
        <f>_xlfn.XLOOKUP(IG$1,generator!$B$2:$B$295,generator!$L$2:$L$295,"ARGH")</f>
        <v>22</v>
      </c>
      <c r="IH10" s="3">
        <f>_xlfn.XLOOKUP(IH$1,generator!$B$2:$B$295,generator!$L$2:$L$295,"ARGH")</f>
        <v>19</v>
      </c>
      <c r="II10" s="3">
        <f>_xlfn.XLOOKUP(II$1,generator!$B$2:$B$295,generator!$L$2:$L$295,"ARGH")</f>
        <v>24</v>
      </c>
      <c r="IJ10" s="3">
        <f>_xlfn.XLOOKUP(IJ$1,generator!$B$2:$B$295,generator!$L$2:$L$295,"ARGH")</f>
        <v>4.3</v>
      </c>
      <c r="IK10" s="3">
        <f>_xlfn.XLOOKUP(IK$1,generator!$B$2:$B$295,generator!$L$2:$L$295,"ARGH")</f>
        <v>8</v>
      </c>
      <c r="IL10" s="3">
        <f>_xlfn.XLOOKUP(IL$1,generator!$B$2:$B$295,generator!$L$2:$L$295,"ARGH")</f>
        <v>22.5</v>
      </c>
      <c r="IM10" s="3">
        <f>_xlfn.XLOOKUP(IM$1,generator!$B$2:$B$295,generator!$L$2:$L$295,"ARGH")</f>
        <v>22.5</v>
      </c>
      <c r="IN10" s="3">
        <f>_xlfn.XLOOKUP(IN$1,generator!$B$2:$B$295,generator!$L$2:$L$295,"ARGH")</f>
        <v>10</v>
      </c>
      <c r="IO10" s="3">
        <f>_xlfn.XLOOKUP(IO$1,generator!$B$2:$B$295,generator!$L$2:$L$295,"ARGH")</f>
        <v>10</v>
      </c>
      <c r="IP10" s="3">
        <f>_xlfn.XLOOKUP(IP$1,generator!$B$2:$B$295,generator!$L$2:$L$295,"ARGH")</f>
        <v>15</v>
      </c>
      <c r="IQ10" s="3">
        <f>_xlfn.XLOOKUP(IQ$1,generator!$B$2:$B$295,generator!$L$2:$L$295,"ARGH")</f>
        <v>4</v>
      </c>
      <c r="IR10" s="3">
        <f>_xlfn.XLOOKUP(IR$1,generator!$B$2:$B$295,generator!$L$2:$L$295,"ARGH")</f>
        <v>15</v>
      </c>
      <c r="IS10" s="3">
        <f>_xlfn.XLOOKUP(IS$1,generator!$B$2:$B$295,generator!$L$2:$L$295,"ARGH")</f>
        <v>15</v>
      </c>
      <c r="IT10" s="3">
        <f>_xlfn.XLOOKUP(IT$1,generator!$B$2:$B$295,generator!$L$2:$L$295,"ARGH")</f>
        <v>0.18</v>
      </c>
      <c r="IU10" s="3">
        <f>_xlfn.XLOOKUP(IU$1,generator!$B$2:$B$295,generator!$L$2:$L$295,"ARGH")</f>
        <v>4</v>
      </c>
      <c r="IV10" s="3">
        <f>_xlfn.XLOOKUP(IV$1,generator!$B$2:$B$295,generator!$L$2:$L$295,"ARGH")</f>
        <v>4</v>
      </c>
      <c r="IW10" s="3">
        <f>_xlfn.XLOOKUP(IW$1,generator!$B$2:$B$295,generator!$L$2:$L$295,"ARGH")</f>
        <v>90</v>
      </c>
      <c r="IX10" s="3">
        <f>_xlfn.XLOOKUP(IX$1,generator!$B$2:$B$295,generator!$L$2:$L$295,"ARGH")</f>
        <v>90</v>
      </c>
      <c r="IY10" s="3">
        <f>_xlfn.XLOOKUP(IY$1,generator!$B$2:$B$295,generator!$L$2:$L$295,"ARGH")</f>
        <v>90</v>
      </c>
      <c r="IZ10" s="3">
        <f>_xlfn.XLOOKUP(IZ$1,generator!$B$2:$B$295,generator!$L$2:$L$295,"ARGH")</f>
        <v>449</v>
      </c>
      <c r="JA10" s="3">
        <f>_xlfn.XLOOKUP(JA$1,generator!$B$2:$B$295,generator!$L$2:$L$295,"ARGH")</f>
        <v>83</v>
      </c>
      <c r="JB10" s="3">
        <f>_xlfn.XLOOKUP(JB$1,generator!$B$2:$B$295,generator!$L$2:$L$295,"ARGH")</f>
        <v>83</v>
      </c>
      <c r="JC10" s="3">
        <f>_xlfn.XLOOKUP(JC$1,generator!$B$2:$B$295,generator!$L$2:$L$295,"ARGH")</f>
        <v>247</v>
      </c>
      <c r="JD10" s="3">
        <f>_xlfn.XLOOKUP(JD$1,generator!$B$2:$B$295,generator!$L$2:$L$295,"ARGH")</f>
        <v>247</v>
      </c>
      <c r="JE10" s="3">
        <f>_xlfn.XLOOKUP(JE$1,generator!$B$2:$B$295,generator!$L$2:$L$295,"ARGH")</f>
        <v>425</v>
      </c>
      <c r="JF10" s="3">
        <f>_xlfn.XLOOKUP(JF$1,generator!$B$2:$B$295,generator!$L$2:$L$295,"ARGH")</f>
        <v>63.5</v>
      </c>
      <c r="JG10" s="3">
        <f>_xlfn.XLOOKUP(JG$1,generator!$B$2:$B$295,generator!$L$2:$L$295,"ARGH")</f>
        <v>17</v>
      </c>
      <c r="JH10" s="3">
        <f>_xlfn.XLOOKUP(JH$1,generator!$B$2:$B$295,generator!$L$2:$L$295,"ARGH")</f>
        <v>444</v>
      </c>
      <c r="JI10" s="3">
        <f>_xlfn.XLOOKUP(JI$1,generator!$B$2:$B$295,generator!$L$2:$L$295,"ARGH")</f>
        <v>464</v>
      </c>
      <c r="JJ10" s="3">
        <f>_xlfn.XLOOKUP(JJ$1,generator!$B$2:$B$295,generator!$L$2:$L$295,"ARGH")</f>
        <v>18.54</v>
      </c>
      <c r="JK10" s="3">
        <f>_xlfn.XLOOKUP(JK$1,generator!$B$2:$B$295,generator!$L$2:$L$295,"ARGH")</f>
        <v>18.54</v>
      </c>
      <c r="JL10" s="3">
        <f>_xlfn.XLOOKUP(JL$1,generator!$B$2:$B$295,generator!$L$2:$L$295,"ARGH")</f>
        <v>18.54</v>
      </c>
      <c r="JM10" s="3">
        <f>_xlfn.XLOOKUP(JM$1,generator!$B$2:$B$295,generator!$L$2:$L$295,"ARGH")</f>
        <v>18.54</v>
      </c>
      <c r="JN10" s="3">
        <f>_xlfn.XLOOKUP(JN$1,generator!$B$2:$B$295,generator!$L$2:$L$295,"ARGH")</f>
        <v>18.54</v>
      </c>
      <c r="JO10" s="3">
        <f>_xlfn.XLOOKUP(JO$1,generator!$B$2:$B$295,generator!$L$2:$L$295,"ARGH")</f>
        <v>18.54</v>
      </c>
      <c r="JP10" s="3">
        <f>_xlfn.XLOOKUP(JP$1,generator!$B$2:$B$295,generator!$L$2:$L$295,"ARGH")</f>
        <v>415</v>
      </c>
      <c r="JQ10" s="3">
        <f>_xlfn.XLOOKUP(JQ$1,generator!$B$2:$B$295,generator!$L$2:$L$295,"ARGH")</f>
        <v>63.5</v>
      </c>
      <c r="JR10" s="3">
        <f>_xlfn.XLOOKUP(JR$1,generator!$B$2:$B$295,generator!$L$2:$L$295,"ARGH")</f>
        <v>350</v>
      </c>
      <c r="JS10" s="3">
        <f>_xlfn.XLOOKUP(JS$1,generator!$B$2:$B$295,generator!$L$2:$L$295,"ARGH")</f>
        <v>350</v>
      </c>
      <c r="JT10" s="3">
        <f>_xlfn.XLOOKUP(JT$1,generator!$B$2:$B$295,generator!$L$2:$L$295,"ARGH")</f>
        <v>63.5</v>
      </c>
      <c r="JU10" s="3">
        <f>_xlfn.XLOOKUP(JU$1,generator!$B$2:$B$295,generator!$L$2:$L$295,"ARGH")</f>
        <v>61.5</v>
      </c>
      <c r="JV10" s="3">
        <f>_xlfn.XLOOKUP(JV$1,generator!$B$2:$B$295,generator!$L$2:$L$295,"ARGH")</f>
        <v>240</v>
      </c>
      <c r="JW10" s="3">
        <f>_xlfn.XLOOKUP(JW$1,generator!$B$2:$B$295,generator!$L$2:$L$295,"ARGH")</f>
        <v>236</v>
      </c>
      <c r="JX10" s="3">
        <f>_xlfn.XLOOKUP(JX$1,generator!$B$2:$B$295,generator!$L$2:$L$295,"ARGH")</f>
        <v>20</v>
      </c>
      <c r="JY10" s="3">
        <f>_xlfn.XLOOKUP(JY$1,generator!$B$2:$B$295,generator!$L$2:$L$295,"ARGH")</f>
        <v>118</v>
      </c>
      <c r="JZ10" s="3">
        <f>_xlfn.XLOOKUP(JZ$1,generator!$B$2:$B$295,generator!$L$2:$L$295,"ARGH")</f>
        <v>73</v>
      </c>
      <c r="KA10" s="3">
        <f>_xlfn.XLOOKUP(KA$1,generator!$B$2:$B$295,generator!$L$2:$L$295,"ARGH")</f>
        <v>73</v>
      </c>
      <c r="KB10" s="3">
        <f>_xlfn.XLOOKUP(KB$1,generator!$B$2:$B$295,generator!$L$2:$L$295,"ARGH")</f>
        <v>73</v>
      </c>
      <c r="KC10" s="3">
        <f>_xlfn.XLOOKUP(KC$1,generator!$B$2:$B$295,generator!$L$2:$L$295,"ARGH")</f>
        <v>73</v>
      </c>
    </row>
    <row r="11" spans="1:289" x14ac:dyDescent="0.3">
      <c r="A11" s="4" t="s">
        <v>3006</v>
      </c>
      <c r="B11" s="31">
        <v>0</v>
      </c>
      <c r="C11" s="31">
        <v>513.5</v>
      </c>
      <c r="D11" s="31">
        <v>315</v>
      </c>
      <c r="E11" s="33">
        <v>12.253</v>
      </c>
      <c r="F11" s="33">
        <v>26.321999999999999</v>
      </c>
      <c r="G11" s="33">
        <v>12.253</v>
      </c>
      <c r="H11" s="33">
        <v>20.422000000000001</v>
      </c>
      <c r="I11" s="33">
        <v>40.39</v>
      </c>
      <c r="J11" s="33">
        <v>37.667000000000002</v>
      </c>
      <c r="K11" s="33">
        <v>10.211</v>
      </c>
      <c r="L11" s="33">
        <v>7.806</v>
      </c>
      <c r="M11" s="33">
        <v>6.8070000000000004</v>
      </c>
      <c r="N11" s="33">
        <v>24.507000000000001</v>
      </c>
      <c r="O11" s="33">
        <v>2.4510000000000001</v>
      </c>
      <c r="P11" s="33">
        <v>11.618</v>
      </c>
      <c r="Q11" s="33">
        <v>15.975</v>
      </c>
      <c r="R11" s="33">
        <v>8.1690000000000005</v>
      </c>
      <c r="S11" s="33">
        <v>15.589</v>
      </c>
      <c r="T11" s="33">
        <v>10.891999999999999</v>
      </c>
      <c r="U11" s="33">
        <v>19.061</v>
      </c>
      <c r="V11" s="33">
        <v>9.5980000000000008</v>
      </c>
      <c r="W11" s="33">
        <v>10.438000000000001</v>
      </c>
      <c r="X11" s="33">
        <v>14.704000000000001</v>
      </c>
      <c r="Y11" s="33">
        <v>7.6239999999999997</v>
      </c>
      <c r="Z11" s="33">
        <v>5.4009999999999998</v>
      </c>
      <c r="AA11" s="33">
        <v>4.9009999999999998</v>
      </c>
      <c r="AB11" s="33">
        <v>25.867999999999999</v>
      </c>
      <c r="AC11" s="33">
        <v>29.815999999999999</v>
      </c>
      <c r="AD11" s="33">
        <v>10.529</v>
      </c>
      <c r="AE11" s="33">
        <v>9.0760000000000005</v>
      </c>
      <c r="AF11" s="33">
        <v>25.596</v>
      </c>
      <c r="AG11" s="33">
        <v>9.0760000000000005</v>
      </c>
      <c r="AH11" s="33">
        <v>5.4459999999999997</v>
      </c>
      <c r="AI11" s="33">
        <v>6.0810000000000004</v>
      </c>
      <c r="AJ11" s="33">
        <v>10.891999999999999</v>
      </c>
      <c r="AK11" s="33">
        <v>3.88</v>
      </c>
      <c r="AL11" s="33">
        <v>16.782</v>
      </c>
      <c r="AM11" s="33">
        <v>21.556999999999999</v>
      </c>
      <c r="AN11" s="33">
        <v>9.0760000000000005</v>
      </c>
      <c r="AO11" s="33">
        <v>6.2629999999999999</v>
      </c>
      <c r="AP11" s="33">
        <v>24.643000000000001</v>
      </c>
      <c r="AQ11" s="33">
        <v>8.4870000000000001</v>
      </c>
      <c r="AR11" s="33">
        <v>7.9420000000000002</v>
      </c>
      <c r="AS11" s="33">
        <v>23.599</v>
      </c>
      <c r="AT11" s="33">
        <v>6.4130000000000003</v>
      </c>
      <c r="AU11" s="33">
        <v>17.245000000000001</v>
      </c>
      <c r="AV11" s="33">
        <v>14.749000000000001</v>
      </c>
      <c r="AW11" s="33">
        <v>14.976000000000001</v>
      </c>
      <c r="AX11" s="33">
        <v>8.3049999999999997</v>
      </c>
      <c r="AY11" s="33">
        <v>15.022</v>
      </c>
      <c r="AZ11" s="33">
        <v>17.177</v>
      </c>
      <c r="BA11" s="33">
        <v>6.3540000000000001</v>
      </c>
      <c r="BB11" s="33">
        <v>20.876000000000001</v>
      </c>
      <c r="BC11" s="33">
        <v>9.0760000000000005</v>
      </c>
      <c r="BD11" s="33">
        <v>5.4459999999999997</v>
      </c>
      <c r="BE11" s="33">
        <v>5.2190000000000003</v>
      </c>
      <c r="BF11" s="33">
        <v>40.844000000000001</v>
      </c>
      <c r="BG11" s="33">
        <v>6.8070000000000004</v>
      </c>
      <c r="BH11" s="33">
        <v>11.346</v>
      </c>
      <c r="BI11" s="33">
        <v>9.5299999999999994</v>
      </c>
      <c r="BJ11" s="33">
        <v>19.061</v>
      </c>
      <c r="BK11" s="33">
        <v>5.4459999999999997</v>
      </c>
      <c r="BL11" s="33">
        <v>19.288</v>
      </c>
      <c r="BM11" s="33">
        <v>3.8580000000000001</v>
      </c>
      <c r="BN11" s="33">
        <v>13.615</v>
      </c>
      <c r="BO11" s="33">
        <v>19.350999999999999</v>
      </c>
      <c r="BP11" s="33">
        <v>51.826999999999998</v>
      </c>
      <c r="BQ11" s="33">
        <v>16.338000000000001</v>
      </c>
      <c r="BR11" s="33">
        <v>24.507000000000001</v>
      </c>
      <c r="BS11" s="33">
        <v>7.9420000000000002</v>
      </c>
      <c r="BT11" s="33">
        <v>15.657</v>
      </c>
      <c r="BU11" s="33">
        <v>2.1779999999999999</v>
      </c>
      <c r="BV11" s="33">
        <v>4.6740000000000004</v>
      </c>
      <c r="BW11" s="33">
        <v>6.1630000000000003</v>
      </c>
      <c r="BX11" s="33">
        <v>5.0149999999999997</v>
      </c>
      <c r="BY11" s="33">
        <v>11.346</v>
      </c>
      <c r="BZ11" s="33">
        <v>18.515999999999998</v>
      </c>
      <c r="CA11" s="33">
        <v>27.003</v>
      </c>
      <c r="CB11" s="33">
        <v>15.43</v>
      </c>
      <c r="CC11" s="33">
        <v>12.933999999999999</v>
      </c>
      <c r="CD11" s="33">
        <v>17.427</v>
      </c>
      <c r="CE11" s="33">
        <v>11.346</v>
      </c>
      <c r="CF11" s="33">
        <v>7.3070000000000004</v>
      </c>
      <c r="CG11" s="33">
        <v>7.9420000000000002</v>
      </c>
      <c r="CH11" s="33">
        <v>12.683999999999999</v>
      </c>
      <c r="CI11" s="33">
        <v>5.9219999999999997</v>
      </c>
      <c r="CJ11" s="33">
        <v>2.02</v>
      </c>
      <c r="CK11" s="33">
        <v>11.255000000000001</v>
      </c>
      <c r="CL11" s="33">
        <v>7.67</v>
      </c>
      <c r="CM11" s="33">
        <v>6.8070000000000004</v>
      </c>
      <c r="CN11" s="33">
        <v>26.878</v>
      </c>
      <c r="CO11" s="33">
        <v>10.664999999999999</v>
      </c>
      <c r="CP11" s="33">
        <v>21.239000000000001</v>
      </c>
      <c r="CQ11" s="33">
        <v>14.522</v>
      </c>
      <c r="CR11" s="33">
        <v>11.798999999999999</v>
      </c>
      <c r="CS11" s="33">
        <v>9.984</v>
      </c>
      <c r="CT11" s="33">
        <v>13.523999999999999</v>
      </c>
      <c r="CU11" s="33">
        <v>6.2629999999999999</v>
      </c>
      <c r="CV11" s="33">
        <v>11.481999999999999</v>
      </c>
      <c r="CW11" s="33">
        <v>12.707000000000001</v>
      </c>
      <c r="CX11" s="33">
        <v>5.673</v>
      </c>
      <c r="CY11" s="33">
        <v>15.497999999999999</v>
      </c>
      <c r="CZ11" s="33">
        <v>5.4459999999999997</v>
      </c>
      <c r="DA11" s="33">
        <v>13.615</v>
      </c>
      <c r="DB11" s="33">
        <v>8.532</v>
      </c>
      <c r="DC11" s="33">
        <v>6.399</v>
      </c>
      <c r="DD11" s="33">
        <v>7.3070000000000004</v>
      </c>
      <c r="DE11" s="33">
        <v>5.673</v>
      </c>
      <c r="DF11" s="33">
        <v>9.8030000000000008</v>
      </c>
      <c r="DG11" s="33">
        <v>16.315000000000001</v>
      </c>
      <c r="DH11" s="33">
        <v>34.036999999999999</v>
      </c>
      <c r="DI11" s="33">
        <v>16.338000000000001</v>
      </c>
      <c r="DJ11" s="33">
        <v>6.8070000000000004</v>
      </c>
      <c r="DK11" s="33">
        <v>9.3940000000000001</v>
      </c>
      <c r="DL11" s="33">
        <v>16.814</v>
      </c>
      <c r="DM11" s="33">
        <v>8.1690000000000005</v>
      </c>
      <c r="DN11" s="33">
        <v>45.381999999999998</v>
      </c>
      <c r="DO11" s="33">
        <v>15.249000000000001</v>
      </c>
      <c r="DP11" s="33">
        <v>45.835999999999999</v>
      </c>
      <c r="DQ11" s="33">
        <v>1.0620000000000001</v>
      </c>
      <c r="DR11" s="33">
        <v>41.389000000000003</v>
      </c>
      <c r="DS11" s="33">
        <v>7.3070000000000004</v>
      </c>
      <c r="DT11" s="33">
        <v>13.66</v>
      </c>
      <c r="DU11" s="33">
        <v>6.8070000000000004</v>
      </c>
      <c r="DV11" s="33">
        <v>5.391</v>
      </c>
      <c r="DW11" s="33">
        <v>6.3540000000000001</v>
      </c>
      <c r="DX11" s="33">
        <v>17.654</v>
      </c>
      <c r="DY11" s="33">
        <v>11.798999999999999</v>
      </c>
      <c r="DZ11" s="33">
        <v>5.31</v>
      </c>
      <c r="EA11" s="33">
        <v>18.152999999999999</v>
      </c>
      <c r="EB11" s="33">
        <v>16.338000000000001</v>
      </c>
      <c r="EC11" s="33">
        <v>10.438000000000001</v>
      </c>
      <c r="ED11" s="33">
        <v>13.07</v>
      </c>
      <c r="EE11" s="33">
        <v>22.146999999999998</v>
      </c>
      <c r="EF11" s="33">
        <v>6.8070000000000004</v>
      </c>
      <c r="EG11" s="33">
        <v>4.1749999999999998</v>
      </c>
      <c r="EH11" s="33">
        <v>18.788</v>
      </c>
      <c r="EI11" s="33">
        <v>6.7169999999999996</v>
      </c>
      <c r="EJ11" s="33">
        <v>4.1749999999999998</v>
      </c>
      <c r="EK11" s="33">
        <v>6.8070000000000004</v>
      </c>
      <c r="EL11" s="33">
        <v>10.891999999999999</v>
      </c>
      <c r="EM11" s="33">
        <v>14.613</v>
      </c>
      <c r="EN11" s="33">
        <v>8.35</v>
      </c>
      <c r="EO11" s="33">
        <v>9.0760000000000005</v>
      </c>
      <c r="EP11" s="33">
        <v>6.399</v>
      </c>
      <c r="EQ11" s="33">
        <v>15.657</v>
      </c>
      <c r="ER11" s="33">
        <v>4.7649999999999997</v>
      </c>
      <c r="ES11" s="33">
        <v>5.2190000000000003</v>
      </c>
      <c r="ET11" s="33">
        <v>10.483000000000001</v>
      </c>
      <c r="EU11" s="33">
        <v>38.557000000000002</v>
      </c>
      <c r="EV11" s="33">
        <v>7.8280000000000003</v>
      </c>
      <c r="EW11" s="33">
        <v>36.305999999999997</v>
      </c>
      <c r="EX11" s="33">
        <v>40.776000000000003</v>
      </c>
      <c r="EY11" s="33">
        <v>2.4510000000000001</v>
      </c>
      <c r="EZ11" s="33">
        <v>3.2949999999999999</v>
      </c>
      <c r="FA11" s="33">
        <v>2.6960000000000002</v>
      </c>
      <c r="FB11" s="33">
        <v>9.0760000000000005</v>
      </c>
      <c r="FC11" s="33">
        <v>12.933999999999999</v>
      </c>
      <c r="FD11" s="33">
        <v>9.0760000000000005</v>
      </c>
      <c r="FE11" s="33">
        <v>12.526</v>
      </c>
      <c r="FF11" s="33">
        <v>8.1690000000000005</v>
      </c>
      <c r="FG11" s="33">
        <v>6.8070000000000004</v>
      </c>
      <c r="FH11" s="33">
        <v>5.673</v>
      </c>
      <c r="FI11" s="33">
        <v>21.783999999999999</v>
      </c>
      <c r="FJ11" s="33">
        <v>13.896000000000001</v>
      </c>
      <c r="FK11" s="33">
        <v>20.126999999999999</v>
      </c>
      <c r="FL11" s="33">
        <v>6.7169999999999996</v>
      </c>
      <c r="FM11" s="33">
        <v>18.561</v>
      </c>
      <c r="FN11" s="33">
        <v>9.3030000000000008</v>
      </c>
      <c r="FO11" s="33">
        <v>33.402000000000001</v>
      </c>
      <c r="FP11" s="33">
        <v>47.652000000000001</v>
      </c>
      <c r="FQ11" s="33">
        <v>8.7129999999999992</v>
      </c>
      <c r="FR11" s="33">
        <v>5.2190000000000003</v>
      </c>
      <c r="FS11" s="33">
        <v>6.2629999999999999</v>
      </c>
      <c r="FT11" s="33">
        <v>7.8280000000000003</v>
      </c>
      <c r="FU11" s="33">
        <v>31.768000000000001</v>
      </c>
      <c r="FV11" s="33">
        <v>6.0359999999999996</v>
      </c>
      <c r="FW11" s="33">
        <v>6.8890000000000002</v>
      </c>
      <c r="FX11" s="33">
        <v>6.8070000000000004</v>
      </c>
      <c r="FY11" s="33">
        <v>6.2629999999999999</v>
      </c>
      <c r="FZ11" s="33">
        <v>6.2629999999999999</v>
      </c>
      <c r="GA11" s="33">
        <v>6.8070000000000004</v>
      </c>
      <c r="GB11" s="33">
        <v>5.673</v>
      </c>
      <c r="GC11" s="33">
        <v>2.9950000000000001</v>
      </c>
      <c r="GD11" s="33">
        <v>5.718</v>
      </c>
      <c r="GE11" s="33">
        <v>6.2629999999999999</v>
      </c>
      <c r="GF11" s="33">
        <v>47.652000000000001</v>
      </c>
      <c r="GG11" s="33">
        <v>29.045000000000002</v>
      </c>
      <c r="GH11" s="33">
        <v>2.7229999999999999</v>
      </c>
      <c r="GI11" s="33">
        <v>4.0839999999999996</v>
      </c>
      <c r="GJ11" s="33">
        <v>5.4009999999999998</v>
      </c>
      <c r="GK11" s="33">
        <v>12.253</v>
      </c>
      <c r="GL11" s="33">
        <v>9.0760000000000005</v>
      </c>
      <c r="GM11" s="33">
        <v>5.6000000000000001E-2</v>
      </c>
      <c r="GN11" s="33">
        <v>0.33500000000000002</v>
      </c>
      <c r="GO11" s="33">
        <v>0.11700000000000001</v>
      </c>
      <c r="GP11" s="33">
        <v>0.47499999999999998</v>
      </c>
      <c r="GQ11" s="33">
        <v>7.8E-2</v>
      </c>
      <c r="GR11" s="33">
        <v>0.66500000000000004</v>
      </c>
      <c r="GS11" s="33">
        <v>0.17699999999999999</v>
      </c>
      <c r="GT11" s="33">
        <v>0.53100000000000003</v>
      </c>
      <c r="GU11" s="33">
        <v>0.14099999999999999</v>
      </c>
      <c r="GV11" s="33">
        <v>9.5000000000000001E-2</v>
      </c>
      <c r="GW11" s="33">
        <v>0.114</v>
      </c>
      <c r="GX11" s="33">
        <v>0.48599999999999999</v>
      </c>
      <c r="GY11" s="33">
        <v>2.1999999999999999E-2</v>
      </c>
      <c r="GZ11" s="33">
        <v>6.7000000000000004E-2</v>
      </c>
      <c r="HA11" s="33">
        <v>0.16700000000000001</v>
      </c>
      <c r="HB11" s="33">
        <v>0.53100000000000003</v>
      </c>
      <c r="HC11" s="33">
        <v>0.53100000000000003</v>
      </c>
      <c r="HD11" s="33">
        <v>0.27900000000000003</v>
      </c>
      <c r="HE11" s="3">
        <f>_xlfn.XLOOKUP(HE$1,generator!$B$2:$B$295,generator!$L$2:$L$295,"ARGH")</f>
        <v>17.600000000000001</v>
      </c>
      <c r="HF11" s="3">
        <f>_xlfn.XLOOKUP(HF$1,generator!$B$2:$B$295,generator!$L$2:$L$295,"ARGH")</f>
        <v>285</v>
      </c>
      <c r="HG11" s="3">
        <f>_xlfn.XLOOKUP(HG$1,generator!$B$2:$B$295,generator!$L$2:$L$295,"ARGH")</f>
        <v>285</v>
      </c>
      <c r="HH11" s="3">
        <f>_xlfn.XLOOKUP(HH$1,generator!$B$2:$B$295,generator!$L$2:$L$295,"ARGH")</f>
        <v>285</v>
      </c>
      <c r="HI11" s="3">
        <f>_xlfn.XLOOKUP(HI$1,generator!$B$2:$B$295,generator!$L$2:$L$295,"ARGH")</f>
        <v>58</v>
      </c>
      <c r="HJ11" s="3">
        <f>_xlfn.XLOOKUP(HJ$1,generator!$B$2:$B$295,generator!$L$2:$L$295,"ARGH")</f>
        <v>58</v>
      </c>
      <c r="HK11" s="3">
        <f>_xlfn.XLOOKUP(HK$1,generator!$B$2:$B$295,generator!$L$2:$L$295,"ARGH")</f>
        <v>53</v>
      </c>
      <c r="HL11" s="3">
        <f>_xlfn.XLOOKUP(HL$1,generator!$B$2:$B$295,generator!$L$2:$L$295,"ARGH")</f>
        <v>58</v>
      </c>
      <c r="HM11" s="3">
        <f>_xlfn.XLOOKUP(HM$1,generator!$B$2:$B$295,generator!$L$2:$L$295,"ARGH")</f>
        <v>58</v>
      </c>
      <c r="HN11" s="3">
        <f>_xlfn.XLOOKUP(HN$1,generator!$B$2:$B$295,generator!$L$2:$L$295,"ARGH")</f>
        <v>52</v>
      </c>
      <c r="HO11" s="3">
        <f>_xlfn.XLOOKUP(HO$1,generator!$B$2:$B$295,generator!$L$2:$L$295,"ARGH")</f>
        <v>52</v>
      </c>
      <c r="HP11" s="3">
        <f>_xlfn.XLOOKUP(HP$1,generator!$B$2:$B$295,generator!$L$2:$L$295,"ARGH")</f>
        <v>2</v>
      </c>
      <c r="HQ11" s="3">
        <f>_xlfn.XLOOKUP(HQ$1,generator!$B$2:$B$295,generator!$L$2:$L$295,"ARGH")</f>
        <v>29.2</v>
      </c>
      <c r="HR11" s="3">
        <f>_xlfn.XLOOKUP(HR$1,generator!$B$2:$B$295,generator!$L$2:$L$295,"ARGH")</f>
        <v>29.2</v>
      </c>
      <c r="HS11" s="3">
        <f>_xlfn.XLOOKUP(HS$1,generator!$B$2:$B$295,generator!$L$2:$L$295,"ARGH")</f>
        <v>41.61</v>
      </c>
      <c r="HT11" s="3">
        <f>_xlfn.XLOOKUP(HT$1,generator!$B$2:$B$295,generator!$L$2:$L$295,"ARGH")</f>
        <v>41.61</v>
      </c>
      <c r="HU11" s="3">
        <f>_xlfn.XLOOKUP(HU$1,generator!$B$2:$B$295,generator!$L$2:$L$295,"ARGH")</f>
        <v>160</v>
      </c>
      <c r="HV11" s="3">
        <f>_xlfn.XLOOKUP(HV$1,generator!$B$2:$B$295,generator!$L$2:$L$295,"ARGH")</f>
        <v>260</v>
      </c>
      <c r="HW11" s="3">
        <f>_xlfn.XLOOKUP(HW$1,generator!$B$2:$B$295,generator!$L$2:$L$295,"ARGH")</f>
        <v>52</v>
      </c>
      <c r="HX11" s="3">
        <f>_xlfn.XLOOKUP(HX$1,generator!$B$2:$B$295,generator!$L$2:$L$295,"ARGH")</f>
        <v>52</v>
      </c>
      <c r="HY11" s="3">
        <f>_xlfn.XLOOKUP(HY$1,generator!$B$2:$B$295,generator!$L$2:$L$295,"ARGH")</f>
        <v>101</v>
      </c>
      <c r="HZ11" s="3">
        <f>_xlfn.XLOOKUP(HZ$1,generator!$B$2:$B$295,generator!$L$2:$L$295,"ARGH")</f>
        <v>50</v>
      </c>
      <c r="IA11" s="3">
        <f>_xlfn.XLOOKUP(IA$1,generator!$B$2:$B$295,generator!$L$2:$L$295,"ARGH")</f>
        <v>400</v>
      </c>
      <c r="IB11" s="3">
        <f>_xlfn.XLOOKUP(IB$1,generator!$B$2:$B$295,generator!$L$2:$L$295,"ARGH")</f>
        <v>342</v>
      </c>
      <c r="IC11" s="3">
        <f>_xlfn.XLOOKUP(IC$1,generator!$B$2:$B$295,generator!$L$2:$L$295,"ARGH")</f>
        <v>3.0209999999999999</v>
      </c>
      <c r="ID11" s="3">
        <f>_xlfn.XLOOKUP(ID$1,generator!$B$2:$B$295,generator!$L$2:$L$295,"ARGH")</f>
        <v>200</v>
      </c>
      <c r="IE11" s="3">
        <f>_xlfn.XLOOKUP(IE$1,generator!$B$2:$B$295,generator!$L$2:$L$295,"ARGH")</f>
        <v>404</v>
      </c>
      <c r="IF11" s="3">
        <f>_xlfn.XLOOKUP(IF$1,generator!$B$2:$B$295,generator!$L$2:$L$295,"ARGH")</f>
        <v>21</v>
      </c>
      <c r="IG11" s="3">
        <f>_xlfn.XLOOKUP(IG$1,generator!$B$2:$B$295,generator!$L$2:$L$295,"ARGH")</f>
        <v>22</v>
      </c>
      <c r="IH11" s="3">
        <f>_xlfn.XLOOKUP(IH$1,generator!$B$2:$B$295,generator!$L$2:$L$295,"ARGH")</f>
        <v>19</v>
      </c>
      <c r="II11" s="3">
        <f>_xlfn.XLOOKUP(II$1,generator!$B$2:$B$295,generator!$L$2:$L$295,"ARGH")</f>
        <v>24</v>
      </c>
      <c r="IJ11" s="3">
        <f>_xlfn.XLOOKUP(IJ$1,generator!$B$2:$B$295,generator!$L$2:$L$295,"ARGH")</f>
        <v>4.3</v>
      </c>
      <c r="IK11" s="3">
        <f>_xlfn.XLOOKUP(IK$1,generator!$B$2:$B$295,generator!$L$2:$L$295,"ARGH")</f>
        <v>8</v>
      </c>
      <c r="IL11" s="3">
        <f>_xlfn.XLOOKUP(IL$1,generator!$B$2:$B$295,generator!$L$2:$L$295,"ARGH")</f>
        <v>22.5</v>
      </c>
      <c r="IM11" s="3">
        <f>_xlfn.XLOOKUP(IM$1,generator!$B$2:$B$295,generator!$L$2:$L$295,"ARGH")</f>
        <v>22.5</v>
      </c>
      <c r="IN11" s="3">
        <f>_xlfn.XLOOKUP(IN$1,generator!$B$2:$B$295,generator!$L$2:$L$295,"ARGH")</f>
        <v>10</v>
      </c>
      <c r="IO11" s="3">
        <f>_xlfn.XLOOKUP(IO$1,generator!$B$2:$B$295,generator!$L$2:$L$295,"ARGH")</f>
        <v>10</v>
      </c>
      <c r="IP11" s="3">
        <f>_xlfn.XLOOKUP(IP$1,generator!$B$2:$B$295,generator!$L$2:$L$295,"ARGH")</f>
        <v>15</v>
      </c>
      <c r="IQ11" s="3">
        <f>_xlfn.XLOOKUP(IQ$1,generator!$B$2:$B$295,generator!$L$2:$L$295,"ARGH")</f>
        <v>4</v>
      </c>
      <c r="IR11" s="3">
        <f>_xlfn.XLOOKUP(IR$1,generator!$B$2:$B$295,generator!$L$2:$L$295,"ARGH")</f>
        <v>15</v>
      </c>
      <c r="IS11" s="3">
        <f>_xlfn.XLOOKUP(IS$1,generator!$B$2:$B$295,generator!$L$2:$L$295,"ARGH")</f>
        <v>15</v>
      </c>
      <c r="IT11" s="3">
        <f>_xlfn.XLOOKUP(IT$1,generator!$B$2:$B$295,generator!$L$2:$L$295,"ARGH")</f>
        <v>0.18</v>
      </c>
      <c r="IU11" s="3">
        <f>_xlfn.XLOOKUP(IU$1,generator!$B$2:$B$295,generator!$L$2:$L$295,"ARGH")</f>
        <v>4</v>
      </c>
      <c r="IV11" s="3">
        <f>_xlfn.XLOOKUP(IV$1,generator!$B$2:$B$295,generator!$L$2:$L$295,"ARGH")</f>
        <v>4</v>
      </c>
      <c r="IW11" s="3">
        <f>_xlfn.XLOOKUP(IW$1,generator!$B$2:$B$295,generator!$L$2:$L$295,"ARGH")</f>
        <v>90</v>
      </c>
      <c r="IX11" s="3">
        <f>_xlfn.XLOOKUP(IX$1,generator!$B$2:$B$295,generator!$L$2:$L$295,"ARGH")</f>
        <v>90</v>
      </c>
      <c r="IY11" s="3">
        <f>_xlfn.XLOOKUP(IY$1,generator!$B$2:$B$295,generator!$L$2:$L$295,"ARGH")</f>
        <v>90</v>
      </c>
      <c r="IZ11" s="3">
        <f>_xlfn.XLOOKUP(IZ$1,generator!$B$2:$B$295,generator!$L$2:$L$295,"ARGH")</f>
        <v>449</v>
      </c>
      <c r="JA11" s="3">
        <f>_xlfn.XLOOKUP(JA$1,generator!$B$2:$B$295,generator!$L$2:$L$295,"ARGH")</f>
        <v>83</v>
      </c>
      <c r="JB11" s="3">
        <f>_xlfn.XLOOKUP(JB$1,generator!$B$2:$B$295,generator!$L$2:$L$295,"ARGH")</f>
        <v>83</v>
      </c>
      <c r="JC11" s="3">
        <f>_xlfn.XLOOKUP(JC$1,generator!$B$2:$B$295,generator!$L$2:$L$295,"ARGH")</f>
        <v>247</v>
      </c>
      <c r="JD11" s="3">
        <f>_xlfn.XLOOKUP(JD$1,generator!$B$2:$B$295,generator!$L$2:$L$295,"ARGH")</f>
        <v>247</v>
      </c>
      <c r="JE11" s="3">
        <f>_xlfn.XLOOKUP(JE$1,generator!$B$2:$B$295,generator!$L$2:$L$295,"ARGH")</f>
        <v>425</v>
      </c>
      <c r="JF11" s="3">
        <f>_xlfn.XLOOKUP(JF$1,generator!$B$2:$B$295,generator!$L$2:$L$295,"ARGH")</f>
        <v>63.5</v>
      </c>
      <c r="JG11" s="3">
        <f>_xlfn.XLOOKUP(JG$1,generator!$B$2:$B$295,generator!$L$2:$L$295,"ARGH")</f>
        <v>17</v>
      </c>
      <c r="JH11" s="3">
        <f>_xlfn.XLOOKUP(JH$1,generator!$B$2:$B$295,generator!$L$2:$L$295,"ARGH")</f>
        <v>444</v>
      </c>
      <c r="JI11" s="3">
        <f>_xlfn.XLOOKUP(JI$1,generator!$B$2:$B$295,generator!$L$2:$L$295,"ARGH")</f>
        <v>464</v>
      </c>
      <c r="JJ11" s="3">
        <f>_xlfn.XLOOKUP(JJ$1,generator!$B$2:$B$295,generator!$L$2:$L$295,"ARGH")</f>
        <v>18.54</v>
      </c>
      <c r="JK11" s="3">
        <f>_xlfn.XLOOKUP(JK$1,generator!$B$2:$B$295,generator!$L$2:$L$295,"ARGH")</f>
        <v>18.54</v>
      </c>
      <c r="JL11" s="3">
        <f>_xlfn.XLOOKUP(JL$1,generator!$B$2:$B$295,generator!$L$2:$L$295,"ARGH")</f>
        <v>18.54</v>
      </c>
      <c r="JM11" s="3">
        <f>_xlfn.XLOOKUP(JM$1,generator!$B$2:$B$295,generator!$L$2:$L$295,"ARGH")</f>
        <v>18.54</v>
      </c>
      <c r="JN11" s="3">
        <f>_xlfn.XLOOKUP(JN$1,generator!$B$2:$B$295,generator!$L$2:$L$295,"ARGH")</f>
        <v>18.54</v>
      </c>
      <c r="JO11" s="3">
        <f>_xlfn.XLOOKUP(JO$1,generator!$B$2:$B$295,generator!$L$2:$L$295,"ARGH")</f>
        <v>18.54</v>
      </c>
      <c r="JP11" s="3">
        <f>_xlfn.XLOOKUP(JP$1,generator!$B$2:$B$295,generator!$L$2:$L$295,"ARGH")</f>
        <v>415</v>
      </c>
      <c r="JQ11" s="3">
        <f>_xlfn.XLOOKUP(JQ$1,generator!$B$2:$B$295,generator!$L$2:$L$295,"ARGH")</f>
        <v>63.5</v>
      </c>
      <c r="JR11" s="3">
        <f>_xlfn.XLOOKUP(JR$1,generator!$B$2:$B$295,generator!$L$2:$L$295,"ARGH")</f>
        <v>350</v>
      </c>
      <c r="JS11" s="3">
        <f>_xlfn.XLOOKUP(JS$1,generator!$B$2:$B$295,generator!$L$2:$L$295,"ARGH")</f>
        <v>350</v>
      </c>
      <c r="JT11" s="3">
        <f>_xlfn.XLOOKUP(JT$1,generator!$B$2:$B$295,generator!$L$2:$L$295,"ARGH")</f>
        <v>63.5</v>
      </c>
      <c r="JU11" s="3">
        <f>_xlfn.XLOOKUP(JU$1,generator!$B$2:$B$295,generator!$L$2:$L$295,"ARGH")</f>
        <v>61.5</v>
      </c>
      <c r="JV11" s="3">
        <f>_xlfn.XLOOKUP(JV$1,generator!$B$2:$B$295,generator!$L$2:$L$295,"ARGH")</f>
        <v>240</v>
      </c>
      <c r="JW11" s="3">
        <f>_xlfn.XLOOKUP(JW$1,generator!$B$2:$B$295,generator!$L$2:$L$295,"ARGH")</f>
        <v>236</v>
      </c>
      <c r="JX11" s="3">
        <f>_xlfn.XLOOKUP(JX$1,generator!$B$2:$B$295,generator!$L$2:$L$295,"ARGH")</f>
        <v>20</v>
      </c>
      <c r="JY11" s="3">
        <f>_xlfn.XLOOKUP(JY$1,generator!$B$2:$B$295,generator!$L$2:$L$295,"ARGH")</f>
        <v>118</v>
      </c>
      <c r="JZ11" s="3">
        <f>_xlfn.XLOOKUP(JZ$1,generator!$B$2:$B$295,generator!$L$2:$L$295,"ARGH")</f>
        <v>73</v>
      </c>
      <c r="KA11" s="3">
        <f>_xlfn.XLOOKUP(KA$1,generator!$B$2:$B$295,generator!$L$2:$L$295,"ARGH")</f>
        <v>73</v>
      </c>
      <c r="KB11" s="3">
        <f>_xlfn.XLOOKUP(KB$1,generator!$B$2:$B$295,generator!$L$2:$L$295,"ARGH")</f>
        <v>73</v>
      </c>
      <c r="KC11" s="3">
        <f>_xlfn.XLOOKUP(KC$1,generator!$B$2:$B$295,generator!$L$2:$L$295,"ARGH")</f>
        <v>73</v>
      </c>
    </row>
    <row r="12" spans="1:289" x14ac:dyDescent="0.3">
      <c r="A12" s="4" t="s">
        <v>3007</v>
      </c>
      <c r="B12" s="31">
        <v>0</v>
      </c>
      <c r="C12" s="31">
        <v>507.5</v>
      </c>
      <c r="D12" s="31">
        <v>273</v>
      </c>
      <c r="E12" s="33">
        <v>12.157999999999999</v>
      </c>
      <c r="F12" s="33">
        <v>26.117000000000001</v>
      </c>
      <c r="G12" s="33">
        <v>12.157999999999999</v>
      </c>
      <c r="H12" s="33">
        <v>20.263000000000002</v>
      </c>
      <c r="I12" s="33">
        <v>40.076000000000001</v>
      </c>
      <c r="J12" s="33">
        <v>37.374000000000002</v>
      </c>
      <c r="K12" s="33">
        <v>10.131</v>
      </c>
      <c r="L12" s="33">
        <v>7.7450000000000001</v>
      </c>
      <c r="M12" s="33">
        <v>6.7539999999999996</v>
      </c>
      <c r="N12" s="33">
        <v>24.315999999999999</v>
      </c>
      <c r="O12" s="33">
        <v>2.4319999999999999</v>
      </c>
      <c r="P12" s="33">
        <v>11.526999999999999</v>
      </c>
      <c r="Q12" s="33">
        <v>15.85</v>
      </c>
      <c r="R12" s="33">
        <v>8.1050000000000004</v>
      </c>
      <c r="S12" s="33">
        <v>15.467000000000001</v>
      </c>
      <c r="T12" s="33">
        <v>10.807</v>
      </c>
      <c r="U12" s="33">
        <v>18.911999999999999</v>
      </c>
      <c r="V12" s="33">
        <v>9.5239999999999991</v>
      </c>
      <c r="W12" s="33">
        <v>10.356999999999999</v>
      </c>
      <c r="X12" s="33">
        <v>14.589</v>
      </c>
      <c r="Y12" s="33">
        <v>7.5650000000000004</v>
      </c>
      <c r="Z12" s="33">
        <v>5.3579999999999997</v>
      </c>
      <c r="AA12" s="33">
        <v>4.8630000000000004</v>
      </c>
      <c r="AB12" s="33">
        <v>25.666</v>
      </c>
      <c r="AC12" s="33">
        <v>29.584</v>
      </c>
      <c r="AD12" s="33">
        <v>10.446999999999999</v>
      </c>
      <c r="AE12" s="33">
        <v>9.0060000000000002</v>
      </c>
      <c r="AF12" s="33">
        <v>25.396000000000001</v>
      </c>
      <c r="AG12" s="33">
        <v>9.0060000000000002</v>
      </c>
      <c r="AH12" s="33">
        <v>5.4029999999999996</v>
      </c>
      <c r="AI12" s="33">
        <v>6.0339999999999998</v>
      </c>
      <c r="AJ12" s="33">
        <v>10.807</v>
      </c>
      <c r="AK12" s="33">
        <v>3.85</v>
      </c>
      <c r="AL12" s="33">
        <v>16.652000000000001</v>
      </c>
      <c r="AM12" s="33">
        <v>21.388999999999999</v>
      </c>
      <c r="AN12" s="33">
        <v>9.0060000000000002</v>
      </c>
      <c r="AO12" s="33">
        <v>6.2140000000000004</v>
      </c>
      <c r="AP12" s="33">
        <v>24.451000000000001</v>
      </c>
      <c r="AQ12" s="33">
        <v>8.42</v>
      </c>
      <c r="AR12" s="33">
        <v>7.88</v>
      </c>
      <c r="AS12" s="33">
        <v>23.414999999999999</v>
      </c>
      <c r="AT12" s="33">
        <v>6.3630000000000004</v>
      </c>
      <c r="AU12" s="33">
        <v>17.111000000000001</v>
      </c>
      <c r="AV12" s="33">
        <v>14.634</v>
      </c>
      <c r="AW12" s="33">
        <v>14.86</v>
      </c>
      <c r="AX12" s="33">
        <v>8.24</v>
      </c>
      <c r="AY12" s="33">
        <v>14.904999999999999</v>
      </c>
      <c r="AZ12" s="33">
        <v>17.042999999999999</v>
      </c>
      <c r="BA12" s="33">
        <v>6.3040000000000003</v>
      </c>
      <c r="BB12" s="33">
        <v>20.713000000000001</v>
      </c>
      <c r="BC12" s="33">
        <v>9.0060000000000002</v>
      </c>
      <c r="BD12" s="33">
        <v>5.4029999999999996</v>
      </c>
      <c r="BE12" s="33">
        <v>5.1779999999999999</v>
      </c>
      <c r="BF12" s="33">
        <v>40.526000000000003</v>
      </c>
      <c r="BG12" s="33">
        <v>6.7539999999999996</v>
      </c>
      <c r="BH12" s="33">
        <v>11.257</v>
      </c>
      <c r="BI12" s="33">
        <v>9.4559999999999995</v>
      </c>
      <c r="BJ12" s="33">
        <v>18.911999999999999</v>
      </c>
      <c r="BK12" s="33">
        <v>5.4029999999999996</v>
      </c>
      <c r="BL12" s="33">
        <v>19.137</v>
      </c>
      <c r="BM12" s="33">
        <v>3.827</v>
      </c>
      <c r="BN12" s="33">
        <v>13.509</v>
      </c>
      <c r="BO12" s="33">
        <v>19.2</v>
      </c>
      <c r="BP12" s="33">
        <v>51.423000000000002</v>
      </c>
      <c r="BQ12" s="33">
        <v>16.21</v>
      </c>
      <c r="BR12" s="33">
        <v>24.315999999999999</v>
      </c>
      <c r="BS12" s="33">
        <v>7.88</v>
      </c>
      <c r="BT12" s="33">
        <v>15.535</v>
      </c>
      <c r="BU12" s="33">
        <v>2.161</v>
      </c>
      <c r="BV12" s="33">
        <v>4.6379999999999999</v>
      </c>
      <c r="BW12" s="33">
        <v>6.1150000000000002</v>
      </c>
      <c r="BX12" s="33">
        <v>4.976</v>
      </c>
      <c r="BY12" s="33">
        <v>11.257</v>
      </c>
      <c r="BZ12" s="33">
        <v>18.372</v>
      </c>
      <c r="CA12" s="33">
        <v>26.792000000000002</v>
      </c>
      <c r="CB12" s="33">
        <v>15.31</v>
      </c>
      <c r="CC12" s="33">
        <v>12.833</v>
      </c>
      <c r="CD12" s="33">
        <v>17.291</v>
      </c>
      <c r="CE12" s="33">
        <v>11.257</v>
      </c>
      <c r="CF12" s="33">
        <v>7.25</v>
      </c>
      <c r="CG12" s="33">
        <v>7.88</v>
      </c>
      <c r="CH12" s="33">
        <v>12.586</v>
      </c>
      <c r="CI12" s="33">
        <v>5.8760000000000003</v>
      </c>
      <c r="CJ12" s="33">
        <v>2.004</v>
      </c>
      <c r="CK12" s="33">
        <v>11.167</v>
      </c>
      <c r="CL12" s="33">
        <v>7.61</v>
      </c>
      <c r="CM12" s="33">
        <v>6.7539999999999996</v>
      </c>
      <c r="CN12" s="33">
        <v>26.667999999999999</v>
      </c>
      <c r="CO12" s="33">
        <v>10.582000000000001</v>
      </c>
      <c r="CP12" s="33">
        <v>21.073</v>
      </c>
      <c r="CQ12" s="33">
        <v>14.409000000000001</v>
      </c>
      <c r="CR12" s="33">
        <v>11.707000000000001</v>
      </c>
      <c r="CS12" s="33">
        <v>9.9060000000000006</v>
      </c>
      <c r="CT12" s="33">
        <v>13.419</v>
      </c>
      <c r="CU12" s="33">
        <v>6.2140000000000004</v>
      </c>
      <c r="CV12" s="33">
        <v>11.391999999999999</v>
      </c>
      <c r="CW12" s="33">
        <v>12.608000000000001</v>
      </c>
      <c r="CX12" s="33">
        <v>5.6289999999999996</v>
      </c>
      <c r="CY12" s="33">
        <v>15.377000000000001</v>
      </c>
      <c r="CZ12" s="33">
        <v>5.4029999999999996</v>
      </c>
      <c r="DA12" s="33">
        <v>13.509</v>
      </c>
      <c r="DB12" s="33">
        <v>8.4649999999999999</v>
      </c>
      <c r="DC12" s="33">
        <v>6.3490000000000002</v>
      </c>
      <c r="DD12" s="33">
        <v>7.25</v>
      </c>
      <c r="DE12" s="33">
        <v>5.6289999999999996</v>
      </c>
      <c r="DF12" s="33">
        <v>9.7260000000000009</v>
      </c>
      <c r="DG12" s="33">
        <v>16.187999999999999</v>
      </c>
      <c r="DH12" s="33">
        <v>33.771999999999998</v>
      </c>
      <c r="DI12" s="33">
        <v>16.21</v>
      </c>
      <c r="DJ12" s="33">
        <v>6.7539999999999996</v>
      </c>
      <c r="DK12" s="33">
        <v>9.3209999999999997</v>
      </c>
      <c r="DL12" s="33">
        <v>16.683</v>
      </c>
      <c r="DM12" s="33">
        <v>8.1050000000000004</v>
      </c>
      <c r="DN12" s="33">
        <v>45.029000000000003</v>
      </c>
      <c r="DO12" s="33">
        <v>15.13</v>
      </c>
      <c r="DP12" s="33">
        <v>45.478999999999999</v>
      </c>
      <c r="DQ12" s="33">
        <v>1.054</v>
      </c>
      <c r="DR12" s="33">
        <v>41.066000000000003</v>
      </c>
      <c r="DS12" s="33">
        <v>7.25</v>
      </c>
      <c r="DT12" s="33">
        <v>13.554</v>
      </c>
      <c r="DU12" s="33">
        <v>6.7539999999999996</v>
      </c>
      <c r="DV12" s="33">
        <v>5.3490000000000002</v>
      </c>
      <c r="DW12" s="33">
        <v>6.3040000000000003</v>
      </c>
      <c r="DX12" s="33">
        <v>17.515999999999998</v>
      </c>
      <c r="DY12" s="33">
        <v>11.707000000000001</v>
      </c>
      <c r="DZ12" s="33">
        <v>5.2679999999999998</v>
      </c>
      <c r="EA12" s="33">
        <v>18.012</v>
      </c>
      <c r="EB12" s="33">
        <v>16.21</v>
      </c>
      <c r="EC12" s="33">
        <v>10.356999999999999</v>
      </c>
      <c r="ED12" s="33">
        <v>12.968</v>
      </c>
      <c r="EE12" s="33">
        <v>21.974</v>
      </c>
      <c r="EF12" s="33">
        <v>6.7539999999999996</v>
      </c>
      <c r="EG12" s="33">
        <v>4.1429999999999998</v>
      </c>
      <c r="EH12" s="33">
        <v>18.641999999999999</v>
      </c>
      <c r="EI12" s="33">
        <v>6.6639999999999997</v>
      </c>
      <c r="EJ12" s="33">
        <v>4.1429999999999998</v>
      </c>
      <c r="EK12" s="33">
        <v>6.7539999999999996</v>
      </c>
      <c r="EL12" s="33">
        <v>10.807</v>
      </c>
      <c r="EM12" s="33">
        <v>14.499000000000001</v>
      </c>
      <c r="EN12" s="33">
        <v>8.2850000000000001</v>
      </c>
      <c r="EO12" s="33">
        <v>9.0060000000000002</v>
      </c>
      <c r="EP12" s="33">
        <v>6.3490000000000002</v>
      </c>
      <c r="EQ12" s="33">
        <v>15.535</v>
      </c>
      <c r="ER12" s="33">
        <v>4.7279999999999998</v>
      </c>
      <c r="ES12" s="33">
        <v>5.1779999999999999</v>
      </c>
      <c r="ET12" s="33">
        <v>10.401999999999999</v>
      </c>
      <c r="EU12" s="33">
        <v>38.256999999999998</v>
      </c>
      <c r="EV12" s="33">
        <v>7.7670000000000003</v>
      </c>
      <c r="EW12" s="33">
        <v>36.023000000000003</v>
      </c>
      <c r="EX12" s="33">
        <v>40.457999999999998</v>
      </c>
      <c r="EY12" s="33">
        <v>2.4319999999999999</v>
      </c>
      <c r="EZ12" s="33">
        <v>3.2690000000000001</v>
      </c>
      <c r="FA12" s="33">
        <v>2.6749999999999998</v>
      </c>
      <c r="FB12" s="33">
        <v>9.0060000000000002</v>
      </c>
      <c r="FC12" s="33">
        <v>12.833</v>
      </c>
      <c r="FD12" s="33">
        <v>9.0060000000000002</v>
      </c>
      <c r="FE12" s="33">
        <v>12.428000000000001</v>
      </c>
      <c r="FF12" s="33">
        <v>8.1050000000000004</v>
      </c>
      <c r="FG12" s="33">
        <v>6.7539999999999996</v>
      </c>
      <c r="FH12" s="33">
        <v>5.6289999999999996</v>
      </c>
      <c r="FI12" s="33">
        <v>21.614000000000001</v>
      </c>
      <c r="FJ12" s="33">
        <v>13.788</v>
      </c>
      <c r="FK12" s="33">
        <v>19.97</v>
      </c>
      <c r="FL12" s="33">
        <v>6.6639999999999997</v>
      </c>
      <c r="FM12" s="33">
        <v>18.417000000000002</v>
      </c>
      <c r="FN12" s="33">
        <v>9.2309999999999999</v>
      </c>
      <c r="FO12" s="33">
        <v>33.140999999999998</v>
      </c>
      <c r="FP12" s="33">
        <v>47.28</v>
      </c>
      <c r="FQ12" s="33">
        <v>8.6460000000000008</v>
      </c>
      <c r="FR12" s="33">
        <v>5.1779999999999999</v>
      </c>
      <c r="FS12" s="33">
        <v>6.2140000000000004</v>
      </c>
      <c r="FT12" s="33">
        <v>7.7670000000000003</v>
      </c>
      <c r="FU12" s="33">
        <v>31.52</v>
      </c>
      <c r="FV12" s="33">
        <v>5.9889999999999999</v>
      </c>
      <c r="FW12" s="33">
        <v>6.835</v>
      </c>
      <c r="FX12" s="33">
        <v>6.7539999999999996</v>
      </c>
      <c r="FY12" s="33">
        <v>6.2140000000000004</v>
      </c>
      <c r="FZ12" s="33">
        <v>6.2140000000000004</v>
      </c>
      <c r="GA12" s="33">
        <v>6.7539999999999996</v>
      </c>
      <c r="GB12" s="33">
        <v>5.6289999999999996</v>
      </c>
      <c r="GC12" s="33">
        <v>2.972</v>
      </c>
      <c r="GD12" s="33">
        <v>5.6740000000000004</v>
      </c>
      <c r="GE12" s="33">
        <v>6.2140000000000004</v>
      </c>
      <c r="GF12" s="33">
        <v>47.28</v>
      </c>
      <c r="GG12" s="33">
        <v>28.818000000000001</v>
      </c>
      <c r="GH12" s="33">
        <v>2.702</v>
      </c>
      <c r="GI12" s="33">
        <v>4.0529999999999999</v>
      </c>
      <c r="GJ12" s="33">
        <v>5.3579999999999997</v>
      </c>
      <c r="GK12" s="33">
        <v>12.157999999999999</v>
      </c>
      <c r="GL12" s="33">
        <v>9.0060000000000002</v>
      </c>
      <c r="GM12" s="33">
        <v>0.106</v>
      </c>
      <c r="GN12" s="33">
        <v>0.63600000000000001</v>
      </c>
      <c r="GO12" s="33">
        <v>0.222</v>
      </c>
      <c r="GP12" s="33">
        <v>0.9</v>
      </c>
      <c r="GQ12" s="33">
        <v>0.14799999999999999</v>
      </c>
      <c r="GR12" s="33">
        <v>1.26</v>
      </c>
      <c r="GS12" s="33">
        <v>0.33500000000000002</v>
      </c>
      <c r="GT12" s="33">
        <v>1.006</v>
      </c>
      <c r="GU12" s="33">
        <v>0.26700000000000002</v>
      </c>
      <c r="GV12" s="33">
        <v>0.17899999999999999</v>
      </c>
      <c r="GW12" s="33">
        <v>0.216</v>
      </c>
      <c r="GX12" s="33">
        <v>0.92100000000000004</v>
      </c>
      <c r="GY12" s="33">
        <v>4.2000000000000003E-2</v>
      </c>
      <c r="GZ12" s="33">
        <v>0.127</v>
      </c>
      <c r="HA12" s="33">
        <v>0.316</v>
      </c>
      <c r="HB12" s="33">
        <v>1.006</v>
      </c>
      <c r="HC12" s="33">
        <v>1.006</v>
      </c>
      <c r="HD12" s="33">
        <v>0.53</v>
      </c>
      <c r="HE12" s="3">
        <f>_xlfn.XLOOKUP(HE$1,generator!$B$2:$B$295,generator!$L$2:$L$295,"ARGH")</f>
        <v>17.600000000000001</v>
      </c>
      <c r="HF12" s="3">
        <f>_xlfn.XLOOKUP(HF$1,generator!$B$2:$B$295,generator!$L$2:$L$295,"ARGH")</f>
        <v>285</v>
      </c>
      <c r="HG12" s="3">
        <f>_xlfn.XLOOKUP(HG$1,generator!$B$2:$B$295,generator!$L$2:$L$295,"ARGH")</f>
        <v>285</v>
      </c>
      <c r="HH12" s="3">
        <f>_xlfn.XLOOKUP(HH$1,generator!$B$2:$B$295,generator!$L$2:$L$295,"ARGH")</f>
        <v>285</v>
      </c>
      <c r="HI12" s="3">
        <f>_xlfn.XLOOKUP(HI$1,generator!$B$2:$B$295,generator!$L$2:$L$295,"ARGH")</f>
        <v>58</v>
      </c>
      <c r="HJ12" s="3">
        <f>_xlfn.XLOOKUP(HJ$1,generator!$B$2:$B$295,generator!$L$2:$L$295,"ARGH")</f>
        <v>58</v>
      </c>
      <c r="HK12" s="3">
        <f>_xlfn.XLOOKUP(HK$1,generator!$B$2:$B$295,generator!$L$2:$L$295,"ARGH")</f>
        <v>53</v>
      </c>
      <c r="HL12" s="3">
        <f>_xlfn.XLOOKUP(HL$1,generator!$B$2:$B$295,generator!$L$2:$L$295,"ARGH")</f>
        <v>58</v>
      </c>
      <c r="HM12" s="3">
        <f>_xlfn.XLOOKUP(HM$1,generator!$B$2:$B$295,generator!$L$2:$L$295,"ARGH")</f>
        <v>58</v>
      </c>
      <c r="HN12" s="3">
        <f>_xlfn.XLOOKUP(HN$1,generator!$B$2:$B$295,generator!$L$2:$L$295,"ARGH")</f>
        <v>52</v>
      </c>
      <c r="HO12" s="3">
        <f>_xlfn.XLOOKUP(HO$1,generator!$B$2:$B$295,generator!$L$2:$L$295,"ARGH")</f>
        <v>52</v>
      </c>
      <c r="HP12" s="3">
        <f>_xlfn.XLOOKUP(HP$1,generator!$B$2:$B$295,generator!$L$2:$L$295,"ARGH")</f>
        <v>2</v>
      </c>
      <c r="HQ12" s="3">
        <f>_xlfn.XLOOKUP(HQ$1,generator!$B$2:$B$295,generator!$L$2:$L$295,"ARGH")</f>
        <v>29.2</v>
      </c>
      <c r="HR12" s="3">
        <f>_xlfn.XLOOKUP(HR$1,generator!$B$2:$B$295,generator!$L$2:$L$295,"ARGH")</f>
        <v>29.2</v>
      </c>
      <c r="HS12" s="3">
        <f>_xlfn.XLOOKUP(HS$1,generator!$B$2:$B$295,generator!$L$2:$L$295,"ARGH")</f>
        <v>41.61</v>
      </c>
      <c r="HT12" s="3">
        <f>_xlfn.XLOOKUP(HT$1,generator!$B$2:$B$295,generator!$L$2:$L$295,"ARGH")</f>
        <v>41.61</v>
      </c>
      <c r="HU12" s="3">
        <f>_xlfn.XLOOKUP(HU$1,generator!$B$2:$B$295,generator!$L$2:$L$295,"ARGH")</f>
        <v>160</v>
      </c>
      <c r="HV12" s="3">
        <f>_xlfn.XLOOKUP(HV$1,generator!$B$2:$B$295,generator!$L$2:$L$295,"ARGH")</f>
        <v>260</v>
      </c>
      <c r="HW12" s="3">
        <f>_xlfn.XLOOKUP(HW$1,generator!$B$2:$B$295,generator!$L$2:$L$295,"ARGH")</f>
        <v>52</v>
      </c>
      <c r="HX12" s="3">
        <f>_xlfn.XLOOKUP(HX$1,generator!$B$2:$B$295,generator!$L$2:$L$295,"ARGH")</f>
        <v>52</v>
      </c>
      <c r="HY12" s="3">
        <f>_xlfn.XLOOKUP(HY$1,generator!$B$2:$B$295,generator!$L$2:$L$295,"ARGH")</f>
        <v>101</v>
      </c>
      <c r="HZ12" s="3">
        <f>_xlfn.XLOOKUP(HZ$1,generator!$B$2:$B$295,generator!$L$2:$L$295,"ARGH")</f>
        <v>50</v>
      </c>
      <c r="IA12" s="3">
        <f>_xlfn.XLOOKUP(IA$1,generator!$B$2:$B$295,generator!$L$2:$L$295,"ARGH")</f>
        <v>400</v>
      </c>
      <c r="IB12" s="3">
        <f>_xlfn.XLOOKUP(IB$1,generator!$B$2:$B$295,generator!$L$2:$L$295,"ARGH")</f>
        <v>342</v>
      </c>
      <c r="IC12" s="3">
        <f>_xlfn.XLOOKUP(IC$1,generator!$B$2:$B$295,generator!$L$2:$L$295,"ARGH")</f>
        <v>3.0209999999999999</v>
      </c>
      <c r="ID12" s="3">
        <f>_xlfn.XLOOKUP(ID$1,generator!$B$2:$B$295,generator!$L$2:$L$295,"ARGH")</f>
        <v>200</v>
      </c>
      <c r="IE12" s="3">
        <f>_xlfn.XLOOKUP(IE$1,generator!$B$2:$B$295,generator!$L$2:$L$295,"ARGH")</f>
        <v>404</v>
      </c>
      <c r="IF12" s="3">
        <f>_xlfn.XLOOKUP(IF$1,generator!$B$2:$B$295,generator!$L$2:$L$295,"ARGH")</f>
        <v>21</v>
      </c>
      <c r="IG12" s="3">
        <f>_xlfn.XLOOKUP(IG$1,generator!$B$2:$B$295,generator!$L$2:$L$295,"ARGH")</f>
        <v>22</v>
      </c>
      <c r="IH12" s="3">
        <f>_xlfn.XLOOKUP(IH$1,generator!$B$2:$B$295,generator!$L$2:$L$295,"ARGH")</f>
        <v>19</v>
      </c>
      <c r="II12" s="3">
        <f>_xlfn.XLOOKUP(II$1,generator!$B$2:$B$295,generator!$L$2:$L$295,"ARGH")</f>
        <v>24</v>
      </c>
      <c r="IJ12" s="3">
        <f>_xlfn.XLOOKUP(IJ$1,generator!$B$2:$B$295,generator!$L$2:$L$295,"ARGH")</f>
        <v>4.3</v>
      </c>
      <c r="IK12" s="3">
        <f>_xlfn.XLOOKUP(IK$1,generator!$B$2:$B$295,generator!$L$2:$L$295,"ARGH")</f>
        <v>8</v>
      </c>
      <c r="IL12" s="3">
        <f>_xlfn.XLOOKUP(IL$1,generator!$B$2:$B$295,generator!$L$2:$L$295,"ARGH")</f>
        <v>22.5</v>
      </c>
      <c r="IM12" s="3">
        <f>_xlfn.XLOOKUP(IM$1,generator!$B$2:$B$295,generator!$L$2:$L$295,"ARGH")</f>
        <v>22.5</v>
      </c>
      <c r="IN12" s="3">
        <f>_xlfn.XLOOKUP(IN$1,generator!$B$2:$B$295,generator!$L$2:$L$295,"ARGH")</f>
        <v>10</v>
      </c>
      <c r="IO12" s="3">
        <f>_xlfn.XLOOKUP(IO$1,generator!$B$2:$B$295,generator!$L$2:$L$295,"ARGH")</f>
        <v>10</v>
      </c>
      <c r="IP12" s="3">
        <f>_xlfn.XLOOKUP(IP$1,generator!$B$2:$B$295,generator!$L$2:$L$295,"ARGH")</f>
        <v>15</v>
      </c>
      <c r="IQ12" s="3">
        <f>_xlfn.XLOOKUP(IQ$1,generator!$B$2:$B$295,generator!$L$2:$L$295,"ARGH")</f>
        <v>4</v>
      </c>
      <c r="IR12" s="3">
        <f>_xlfn.XLOOKUP(IR$1,generator!$B$2:$B$295,generator!$L$2:$L$295,"ARGH")</f>
        <v>15</v>
      </c>
      <c r="IS12" s="3">
        <f>_xlfn.XLOOKUP(IS$1,generator!$B$2:$B$295,generator!$L$2:$L$295,"ARGH")</f>
        <v>15</v>
      </c>
      <c r="IT12" s="3">
        <f>_xlfn.XLOOKUP(IT$1,generator!$B$2:$B$295,generator!$L$2:$L$295,"ARGH")</f>
        <v>0.18</v>
      </c>
      <c r="IU12" s="3">
        <f>_xlfn.XLOOKUP(IU$1,generator!$B$2:$B$295,generator!$L$2:$L$295,"ARGH")</f>
        <v>4</v>
      </c>
      <c r="IV12" s="3">
        <f>_xlfn.XLOOKUP(IV$1,generator!$B$2:$B$295,generator!$L$2:$L$295,"ARGH")</f>
        <v>4</v>
      </c>
      <c r="IW12" s="3">
        <f>_xlfn.XLOOKUP(IW$1,generator!$B$2:$B$295,generator!$L$2:$L$295,"ARGH")</f>
        <v>90</v>
      </c>
      <c r="IX12" s="3">
        <f>_xlfn.XLOOKUP(IX$1,generator!$B$2:$B$295,generator!$L$2:$L$295,"ARGH")</f>
        <v>90</v>
      </c>
      <c r="IY12" s="3">
        <f>_xlfn.XLOOKUP(IY$1,generator!$B$2:$B$295,generator!$L$2:$L$295,"ARGH")</f>
        <v>90</v>
      </c>
      <c r="IZ12" s="3">
        <f>_xlfn.XLOOKUP(IZ$1,generator!$B$2:$B$295,generator!$L$2:$L$295,"ARGH")</f>
        <v>449</v>
      </c>
      <c r="JA12" s="3">
        <f>_xlfn.XLOOKUP(JA$1,generator!$B$2:$B$295,generator!$L$2:$L$295,"ARGH")</f>
        <v>83</v>
      </c>
      <c r="JB12" s="3">
        <f>_xlfn.XLOOKUP(JB$1,generator!$B$2:$B$295,generator!$L$2:$L$295,"ARGH")</f>
        <v>83</v>
      </c>
      <c r="JC12" s="3">
        <f>_xlfn.XLOOKUP(JC$1,generator!$B$2:$B$295,generator!$L$2:$L$295,"ARGH")</f>
        <v>247</v>
      </c>
      <c r="JD12" s="3">
        <f>_xlfn.XLOOKUP(JD$1,generator!$B$2:$B$295,generator!$L$2:$L$295,"ARGH")</f>
        <v>247</v>
      </c>
      <c r="JE12" s="3">
        <f>_xlfn.XLOOKUP(JE$1,generator!$B$2:$B$295,generator!$L$2:$L$295,"ARGH")</f>
        <v>425</v>
      </c>
      <c r="JF12" s="3">
        <f>_xlfn.XLOOKUP(JF$1,generator!$B$2:$B$295,generator!$L$2:$L$295,"ARGH")</f>
        <v>63.5</v>
      </c>
      <c r="JG12" s="3">
        <f>_xlfn.XLOOKUP(JG$1,generator!$B$2:$B$295,generator!$L$2:$L$295,"ARGH")</f>
        <v>17</v>
      </c>
      <c r="JH12" s="3">
        <f>_xlfn.XLOOKUP(JH$1,generator!$B$2:$B$295,generator!$L$2:$L$295,"ARGH")</f>
        <v>444</v>
      </c>
      <c r="JI12" s="3">
        <f>_xlfn.XLOOKUP(JI$1,generator!$B$2:$B$295,generator!$L$2:$L$295,"ARGH")</f>
        <v>464</v>
      </c>
      <c r="JJ12" s="3">
        <f>_xlfn.XLOOKUP(JJ$1,generator!$B$2:$B$295,generator!$L$2:$L$295,"ARGH")</f>
        <v>18.54</v>
      </c>
      <c r="JK12" s="3">
        <f>_xlfn.XLOOKUP(JK$1,generator!$B$2:$B$295,generator!$L$2:$L$295,"ARGH")</f>
        <v>18.54</v>
      </c>
      <c r="JL12" s="3">
        <f>_xlfn.XLOOKUP(JL$1,generator!$B$2:$B$295,generator!$L$2:$L$295,"ARGH")</f>
        <v>18.54</v>
      </c>
      <c r="JM12" s="3">
        <f>_xlfn.XLOOKUP(JM$1,generator!$B$2:$B$295,generator!$L$2:$L$295,"ARGH")</f>
        <v>18.54</v>
      </c>
      <c r="JN12" s="3">
        <f>_xlfn.XLOOKUP(JN$1,generator!$B$2:$B$295,generator!$L$2:$L$295,"ARGH")</f>
        <v>18.54</v>
      </c>
      <c r="JO12" s="3">
        <f>_xlfn.XLOOKUP(JO$1,generator!$B$2:$B$295,generator!$L$2:$L$295,"ARGH")</f>
        <v>18.54</v>
      </c>
      <c r="JP12" s="3">
        <f>_xlfn.XLOOKUP(JP$1,generator!$B$2:$B$295,generator!$L$2:$L$295,"ARGH")</f>
        <v>415</v>
      </c>
      <c r="JQ12" s="3">
        <f>_xlfn.XLOOKUP(JQ$1,generator!$B$2:$B$295,generator!$L$2:$L$295,"ARGH")</f>
        <v>63.5</v>
      </c>
      <c r="JR12" s="3">
        <f>_xlfn.XLOOKUP(JR$1,generator!$B$2:$B$295,generator!$L$2:$L$295,"ARGH")</f>
        <v>350</v>
      </c>
      <c r="JS12" s="3">
        <f>_xlfn.XLOOKUP(JS$1,generator!$B$2:$B$295,generator!$L$2:$L$295,"ARGH")</f>
        <v>350</v>
      </c>
      <c r="JT12" s="3">
        <f>_xlfn.XLOOKUP(JT$1,generator!$B$2:$B$295,generator!$L$2:$L$295,"ARGH")</f>
        <v>63.5</v>
      </c>
      <c r="JU12" s="3">
        <f>_xlfn.XLOOKUP(JU$1,generator!$B$2:$B$295,generator!$L$2:$L$295,"ARGH")</f>
        <v>61.5</v>
      </c>
      <c r="JV12" s="3">
        <f>_xlfn.XLOOKUP(JV$1,generator!$B$2:$B$295,generator!$L$2:$L$295,"ARGH")</f>
        <v>240</v>
      </c>
      <c r="JW12" s="3">
        <f>_xlfn.XLOOKUP(JW$1,generator!$B$2:$B$295,generator!$L$2:$L$295,"ARGH")</f>
        <v>236</v>
      </c>
      <c r="JX12" s="3">
        <f>_xlfn.XLOOKUP(JX$1,generator!$B$2:$B$295,generator!$L$2:$L$295,"ARGH")</f>
        <v>20</v>
      </c>
      <c r="JY12" s="3">
        <f>_xlfn.XLOOKUP(JY$1,generator!$B$2:$B$295,generator!$L$2:$L$295,"ARGH")</f>
        <v>118</v>
      </c>
      <c r="JZ12" s="3">
        <f>_xlfn.XLOOKUP(JZ$1,generator!$B$2:$B$295,generator!$L$2:$L$295,"ARGH")</f>
        <v>73</v>
      </c>
      <c r="KA12" s="3">
        <f>_xlfn.XLOOKUP(KA$1,generator!$B$2:$B$295,generator!$L$2:$L$295,"ARGH")</f>
        <v>73</v>
      </c>
      <c r="KB12" s="3">
        <f>_xlfn.XLOOKUP(KB$1,generator!$B$2:$B$295,generator!$L$2:$L$295,"ARGH")</f>
        <v>73</v>
      </c>
      <c r="KC12" s="3">
        <f>_xlfn.XLOOKUP(KC$1,generator!$B$2:$B$295,generator!$L$2:$L$295,"ARGH")</f>
        <v>73</v>
      </c>
    </row>
    <row r="13" spans="1:289" x14ac:dyDescent="0.3">
      <c r="A13" s="4" t="s">
        <v>3008</v>
      </c>
      <c r="B13" s="31">
        <v>0</v>
      </c>
      <c r="C13" s="31">
        <v>512</v>
      </c>
      <c r="D13" s="31">
        <v>243</v>
      </c>
      <c r="E13" s="33">
        <v>12.212</v>
      </c>
      <c r="F13" s="33">
        <v>26.231999999999999</v>
      </c>
      <c r="G13" s="33">
        <v>12.212</v>
      </c>
      <c r="H13" s="33">
        <v>20.353000000000002</v>
      </c>
      <c r="I13" s="33">
        <v>40.253</v>
      </c>
      <c r="J13" s="33">
        <v>37.539000000000001</v>
      </c>
      <c r="K13" s="33">
        <v>10.176</v>
      </c>
      <c r="L13" s="33">
        <v>7.7789999999999999</v>
      </c>
      <c r="M13" s="33">
        <v>6.7839999999999998</v>
      </c>
      <c r="N13" s="33">
        <v>24.422999999999998</v>
      </c>
      <c r="O13" s="33">
        <v>2.4420000000000002</v>
      </c>
      <c r="P13" s="33">
        <v>11.577999999999999</v>
      </c>
      <c r="Q13" s="33">
        <v>15.92</v>
      </c>
      <c r="R13" s="33">
        <v>8.141</v>
      </c>
      <c r="S13" s="33">
        <v>15.536</v>
      </c>
      <c r="T13" s="33">
        <v>10.855</v>
      </c>
      <c r="U13" s="33">
        <v>18.995999999999999</v>
      </c>
      <c r="V13" s="33">
        <v>9.5660000000000007</v>
      </c>
      <c r="W13" s="33">
        <v>10.403</v>
      </c>
      <c r="X13" s="33">
        <v>14.654</v>
      </c>
      <c r="Y13" s="33">
        <v>7.5979999999999999</v>
      </c>
      <c r="Z13" s="33">
        <v>5.3819999999999997</v>
      </c>
      <c r="AA13" s="33">
        <v>4.8849999999999998</v>
      </c>
      <c r="AB13" s="33">
        <v>25.78</v>
      </c>
      <c r="AC13" s="33">
        <v>29.715</v>
      </c>
      <c r="AD13" s="33">
        <v>10.493</v>
      </c>
      <c r="AE13" s="33">
        <v>9.0459999999999994</v>
      </c>
      <c r="AF13" s="33">
        <v>25.509</v>
      </c>
      <c r="AG13" s="33">
        <v>9.0459999999999994</v>
      </c>
      <c r="AH13" s="33">
        <v>5.4269999999999996</v>
      </c>
      <c r="AI13" s="33">
        <v>6.0609999999999999</v>
      </c>
      <c r="AJ13" s="33">
        <v>10.855</v>
      </c>
      <c r="AK13" s="33">
        <v>3.867</v>
      </c>
      <c r="AL13" s="33">
        <v>16.725000000000001</v>
      </c>
      <c r="AM13" s="33">
        <v>21.483000000000001</v>
      </c>
      <c r="AN13" s="33">
        <v>9.0459999999999994</v>
      </c>
      <c r="AO13" s="33">
        <v>6.242</v>
      </c>
      <c r="AP13" s="33">
        <v>24.559000000000001</v>
      </c>
      <c r="AQ13" s="33">
        <v>8.4580000000000002</v>
      </c>
      <c r="AR13" s="33">
        <v>7.915</v>
      </c>
      <c r="AS13" s="33">
        <v>23.518999999999998</v>
      </c>
      <c r="AT13" s="33">
        <v>6.3920000000000003</v>
      </c>
      <c r="AU13" s="33">
        <v>17.187000000000001</v>
      </c>
      <c r="AV13" s="33">
        <v>14.699</v>
      </c>
      <c r="AW13" s="33">
        <v>14.925000000000001</v>
      </c>
      <c r="AX13" s="33">
        <v>8.2769999999999992</v>
      </c>
      <c r="AY13" s="33">
        <v>14.971</v>
      </c>
      <c r="AZ13" s="33">
        <v>17.119</v>
      </c>
      <c r="BA13" s="33">
        <v>6.3319999999999999</v>
      </c>
      <c r="BB13" s="33">
        <v>20.805</v>
      </c>
      <c r="BC13" s="33">
        <v>9.0459999999999994</v>
      </c>
      <c r="BD13" s="33">
        <v>5.4269999999999996</v>
      </c>
      <c r="BE13" s="33">
        <v>5.2009999999999996</v>
      </c>
      <c r="BF13" s="33">
        <v>40.704999999999998</v>
      </c>
      <c r="BG13" s="33">
        <v>6.7839999999999998</v>
      </c>
      <c r="BH13" s="33">
        <v>11.307</v>
      </c>
      <c r="BI13" s="33">
        <v>9.4979999999999993</v>
      </c>
      <c r="BJ13" s="33">
        <v>18.995999999999999</v>
      </c>
      <c r="BK13" s="33">
        <v>5.4269999999999996</v>
      </c>
      <c r="BL13" s="33">
        <v>19.222000000000001</v>
      </c>
      <c r="BM13" s="33">
        <v>3.8439999999999999</v>
      </c>
      <c r="BN13" s="33">
        <v>13.568</v>
      </c>
      <c r="BO13" s="33">
        <v>19.285</v>
      </c>
      <c r="BP13" s="33">
        <v>51.651000000000003</v>
      </c>
      <c r="BQ13" s="33">
        <v>16.282</v>
      </c>
      <c r="BR13" s="33">
        <v>24.422999999999998</v>
      </c>
      <c r="BS13" s="33">
        <v>7.915</v>
      </c>
      <c r="BT13" s="33">
        <v>15.603999999999999</v>
      </c>
      <c r="BU13" s="33">
        <v>2.1709999999999998</v>
      </c>
      <c r="BV13" s="33">
        <v>4.6589999999999998</v>
      </c>
      <c r="BW13" s="33">
        <v>6.1420000000000003</v>
      </c>
      <c r="BX13" s="33">
        <v>4.9980000000000002</v>
      </c>
      <c r="BY13" s="33">
        <v>11.307</v>
      </c>
      <c r="BZ13" s="33">
        <v>18.452999999999999</v>
      </c>
      <c r="CA13" s="33">
        <v>26.911000000000001</v>
      </c>
      <c r="CB13" s="33">
        <v>15.378</v>
      </c>
      <c r="CC13" s="33">
        <v>12.89</v>
      </c>
      <c r="CD13" s="33">
        <v>17.367999999999999</v>
      </c>
      <c r="CE13" s="33">
        <v>11.307</v>
      </c>
      <c r="CF13" s="33">
        <v>7.282</v>
      </c>
      <c r="CG13" s="33">
        <v>7.915</v>
      </c>
      <c r="CH13" s="33">
        <v>12.641</v>
      </c>
      <c r="CI13" s="33">
        <v>5.9020000000000001</v>
      </c>
      <c r="CJ13" s="33">
        <v>2.0129999999999999</v>
      </c>
      <c r="CK13" s="33">
        <v>11.217000000000001</v>
      </c>
      <c r="CL13" s="33">
        <v>7.6440000000000001</v>
      </c>
      <c r="CM13" s="33">
        <v>6.7839999999999998</v>
      </c>
      <c r="CN13" s="33">
        <v>26.786000000000001</v>
      </c>
      <c r="CO13" s="33">
        <v>10.629</v>
      </c>
      <c r="CP13" s="33">
        <v>21.167000000000002</v>
      </c>
      <c r="CQ13" s="33">
        <v>14.473000000000001</v>
      </c>
      <c r="CR13" s="33">
        <v>11.759</v>
      </c>
      <c r="CS13" s="33">
        <v>9.9499999999999993</v>
      </c>
      <c r="CT13" s="33">
        <v>13.478</v>
      </c>
      <c r="CU13" s="33">
        <v>6.242</v>
      </c>
      <c r="CV13" s="33">
        <v>11.443</v>
      </c>
      <c r="CW13" s="33">
        <v>12.664</v>
      </c>
      <c r="CX13" s="33">
        <v>5.6539999999999999</v>
      </c>
      <c r="CY13" s="33">
        <v>15.445</v>
      </c>
      <c r="CZ13" s="33">
        <v>5.4269999999999996</v>
      </c>
      <c r="DA13" s="33">
        <v>13.568</v>
      </c>
      <c r="DB13" s="33">
        <v>8.5030000000000001</v>
      </c>
      <c r="DC13" s="33">
        <v>6.3769999999999998</v>
      </c>
      <c r="DD13" s="33">
        <v>7.282</v>
      </c>
      <c r="DE13" s="33">
        <v>5.6539999999999999</v>
      </c>
      <c r="DF13" s="33">
        <v>9.7690000000000001</v>
      </c>
      <c r="DG13" s="33">
        <v>16.260000000000002</v>
      </c>
      <c r="DH13" s="33">
        <v>33.920999999999999</v>
      </c>
      <c r="DI13" s="33">
        <v>16.282</v>
      </c>
      <c r="DJ13" s="33">
        <v>6.7839999999999998</v>
      </c>
      <c r="DK13" s="33">
        <v>9.3620000000000001</v>
      </c>
      <c r="DL13" s="33">
        <v>16.757000000000001</v>
      </c>
      <c r="DM13" s="33">
        <v>8.141</v>
      </c>
      <c r="DN13" s="33">
        <v>45.228000000000002</v>
      </c>
      <c r="DO13" s="33">
        <v>15.196999999999999</v>
      </c>
      <c r="DP13" s="33">
        <v>45.680999999999997</v>
      </c>
      <c r="DQ13" s="33">
        <v>1.0580000000000001</v>
      </c>
      <c r="DR13" s="33">
        <v>41.247999999999998</v>
      </c>
      <c r="DS13" s="33">
        <v>7.282</v>
      </c>
      <c r="DT13" s="33">
        <v>13.614000000000001</v>
      </c>
      <c r="DU13" s="33">
        <v>6.7839999999999998</v>
      </c>
      <c r="DV13" s="33">
        <v>5.3730000000000002</v>
      </c>
      <c r="DW13" s="33">
        <v>6.3319999999999999</v>
      </c>
      <c r="DX13" s="33">
        <v>17.594000000000001</v>
      </c>
      <c r="DY13" s="33">
        <v>11.759</v>
      </c>
      <c r="DZ13" s="33">
        <v>5.2919999999999998</v>
      </c>
      <c r="EA13" s="33">
        <v>18.091000000000001</v>
      </c>
      <c r="EB13" s="33">
        <v>16.282</v>
      </c>
      <c r="EC13" s="33">
        <v>10.403</v>
      </c>
      <c r="ED13" s="33">
        <v>13.026</v>
      </c>
      <c r="EE13" s="33">
        <v>22.071000000000002</v>
      </c>
      <c r="EF13" s="33">
        <v>6.7839999999999998</v>
      </c>
      <c r="EG13" s="33">
        <v>4.1609999999999996</v>
      </c>
      <c r="EH13" s="33">
        <v>18.725000000000001</v>
      </c>
      <c r="EI13" s="33">
        <v>6.694</v>
      </c>
      <c r="EJ13" s="33">
        <v>4.1609999999999996</v>
      </c>
      <c r="EK13" s="33">
        <v>6.7839999999999998</v>
      </c>
      <c r="EL13" s="33">
        <v>10.855</v>
      </c>
      <c r="EM13" s="33">
        <v>14.564</v>
      </c>
      <c r="EN13" s="33">
        <v>8.3219999999999992</v>
      </c>
      <c r="EO13" s="33">
        <v>9.0459999999999994</v>
      </c>
      <c r="EP13" s="33">
        <v>6.3769999999999998</v>
      </c>
      <c r="EQ13" s="33">
        <v>15.603999999999999</v>
      </c>
      <c r="ER13" s="33">
        <v>4.7489999999999997</v>
      </c>
      <c r="ES13" s="33">
        <v>5.2009999999999996</v>
      </c>
      <c r="ET13" s="33">
        <v>10.448</v>
      </c>
      <c r="EU13" s="33">
        <v>38.426000000000002</v>
      </c>
      <c r="EV13" s="33">
        <v>7.8019999999999996</v>
      </c>
      <c r="EW13" s="33">
        <v>36.183</v>
      </c>
      <c r="EX13" s="33">
        <v>40.637999999999998</v>
      </c>
      <c r="EY13" s="33">
        <v>2.4420000000000002</v>
      </c>
      <c r="EZ13" s="33">
        <v>3.2839999999999998</v>
      </c>
      <c r="FA13" s="33">
        <v>2.6869999999999998</v>
      </c>
      <c r="FB13" s="33">
        <v>9.0459999999999994</v>
      </c>
      <c r="FC13" s="33">
        <v>12.89</v>
      </c>
      <c r="FD13" s="33">
        <v>9.0459999999999994</v>
      </c>
      <c r="FE13" s="33">
        <v>12.483000000000001</v>
      </c>
      <c r="FF13" s="33">
        <v>8.141</v>
      </c>
      <c r="FG13" s="33">
        <v>6.7839999999999998</v>
      </c>
      <c r="FH13" s="33">
        <v>5.6539999999999999</v>
      </c>
      <c r="FI13" s="33">
        <v>21.71</v>
      </c>
      <c r="FJ13" s="33">
        <v>13.849</v>
      </c>
      <c r="FK13" s="33">
        <v>20.059000000000001</v>
      </c>
      <c r="FL13" s="33">
        <v>6.694</v>
      </c>
      <c r="FM13" s="33">
        <v>18.498000000000001</v>
      </c>
      <c r="FN13" s="33">
        <v>9.2720000000000002</v>
      </c>
      <c r="FO13" s="33">
        <v>33.287999999999997</v>
      </c>
      <c r="FP13" s="33">
        <v>47.49</v>
      </c>
      <c r="FQ13" s="33">
        <v>8.6839999999999993</v>
      </c>
      <c r="FR13" s="33">
        <v>5.2009999999999996</v>
      </c>
      <c r="FS13" s="33">
        <v>6.242</v>
      </c>
      <c r="FT13" s="33">
        <v>7.8019999999999996</v>
      </c>
      <c r="FU13" s="33">
        <v>31.66</v>
      </c>
      <c r="FV13" s="33">
        <v>6.0149999999999997</v>
      </c>
      <c r="FW13" s="33">
        <v>6.8659999999999997</v>
      </c>
      <c r="FX13" s="33">
        <v>6.7839999999999998</v>
      </c>
      <c r="FY13" s="33">
        <v>6.242</v>
      </c>
      <c r="FZ13" s="33">
        <v>6.242</v>
      </c>
      <c r="GA13" s="33">
        <v>6.7839999999999998</v>
      </c>
      <c r="GB13" s="33">
        <v>5.6539999999999999</v>
      </c>
      <c r="GC13" s="33">
        <v>2.9849999999999999</v>
      </c>
      <c r="GD13" s="33">
        <v>5.6989999999999998</v>
      </c>
      <c r="GE13" s="33">
        <v>6.242</v>
      </c>
      <c r="GF13" s="33">
        <v>47.49</v>
      </c>
      <c r="GG13" s="33">
        <v>28.946000000000002</v>
      </c>
      <c r="GH13" s="33">
        <v>2.714</v>
      </c>
      <c r="GI13" s="33">
        <v>4.0709999999999997</v>
      </c>
      <c r="GJ13" s="33">
        <v>5.3819999999999997</v>
      </c>
      <c r="GK13" s="33">
        <v>12.212</v>
      </c>
      <c r="GL13" s="33">
        <v>9.0459999999999994</v>
      </c>
      <c r="GM13" s="33">
        <v>0.31900000000000001</v>
      </c>
      <c r="GN13" s="33">
        <v>1.9139999999999999</v>
      </c>
      <c r="GO13" s="33">
        <v>0.67</v>
      </c>
      <c r="GP13" s="33">
        <v>2.7109999999999999</v>
      </c>
      <c r="GQ13" s="33">
        <v>0.44700000000000001</v>
      </c>
      <c r="GR13" s="33">
        <v>3.7959999999999998</v>
      </c>
      <c r="GS13" s="33">
        <v>1.008</v>
      </c>
      <c r="GT13" s="33">
        <v>3.03</v>
      </c>
      <c r="GU13" s="33">
        <v>0.80400000000000005</v>
      </c>
      <c r="GV13" s="33">
        <v>0.54</v>
      </c>
      <c r="GW13" s="33">
        <v>0.65200000000000002</v>
      </c>
      <c r="GX13" s="33">
        <v>2.7749999999999999</v>
      </c>
      <c r="GY13" s="33">
        <v>0.128</v>
      </c>
      <c r="GZ13" s="33">
        <v>0.38300000000000001</v>
      </c>
      <c r="HA13" s="33">
        <v>0.95099999999999996</v>
      </c>
      <c r="HB13" s="33">
        <v>3.03</v>
      </c>
      <c r="HC13" s="33">
        <v>3.03</v>
      </c>
      <c r="HD13" s="33">
        <v>1.595</v>
      </c>
      <c r="HE13" s="3">
        <f>_xlfn.XLOOKUP(HE$1,generator!$B$2:$B$295,generator!$L$2:$L$295,"ARGH")</f>
        <v>17.600000000000001</v>
      </c>
      <c r="HF13" s="3">
        <f>_xlfn.XLOOKUP(HF$1,generator!$B$2:$B$295,generator!$L$2:$L$295,"ARGH")</f>
        <v>285</v>
      </c>
      <c r="HG13" s="3">
        <f>_xlfn.XLOOKUP(HG$1,generator!$B$2:$B$295,generator!$L$2:$L$295,"ARGH")</f>
        <v>285</v>
      </c>
      <c r="HH13" s="3">
        <f>_xlfn.XLOOKUP(HH$1,generator!$B$2:$B$295,generator!$L$2:$L$295,"ARGH")</f>
        <v>285</v>
      </c>
      <c r="HI13" s="3">
        <f>_xlfn.XLOOKUP(HI$1,generator!$B$2:$B$295,generator!$L$2:$L$295,"ARGH")</f>
        <v>58</v>
      </c>
      <c r="HJ13" s="3">
        <f>_xlfn.XLOOKUP(HJ$1,generator!$B$2:$B$295,generator!$L$2:$L$295,"ARGH")</f>
        <v>58</v>
      </c>
      <c r="HK13" s="3">
        <f>_xlfn.XLOOKUP(HK$1,generator!$B$2:$B$295,generator!$L$2:$L$295,"ARGH")</f>
        <v>53</v>
      </c>
      <c r="HL13" s="3">
        <f>_xlfn.XLOOKUP(HL$1,generator!$B$2:$B$295,generator!$L$2:$L$295,"ARGH")</f>
        <v>58</v>
      </c>
      <c r="HM13" s="3">
        <f>_xlfn.XLOOKUP(HM$1,generator!$B$2:$B$295,generator!$L$2:$L$295,"ARGH")</f>
        <v>58</v>
      </c>
      <c r="HN13" s="3">
        <f>_xlfn.XLOOKUP(HN$1,generator!$B$2:$B$295,generator!$L$2:$L$295,"ARGH")</f>
        <v>52</v>
      </c>
      <c r="HO13" s="3">
        <f>_xlfn.XLOOKUP(HO$1,generator!$B$2:$B$295,generator!$L$2:$L$295,"ARGH")</f>
        <v>52</v>
      </c>
      <c r="HP13" s="3">
        <f>_xlfn.XLOOKUP(HP$1,generator!$B$2:$B$295,generator!$L$2:$L$295,"ARGH")</f>
        <v>2</v>
      </c>
      <c r="HQ13" s="3">
        <f>_xlfn.XLOOKUP(HQ$1,generator!$B$2:$B$295,generator!$L$2:$L$295,"ARGH")</f>
        <v>29.2</v>
      </c>
      <c r="HR13" s="3">
        <f>_xlfn.XLOOKUP(HR$1,generator!$B$2:$B$295,generator!$L$2:$L$295,"ARGH")</f>
        <v>29.2</v>
      </c>
      <c r="HS13" s="3">
        <f>_xlfn.XLOOKUP(HS$1,generator!$B$2:$B$295,generator!$L$2:$L$295,"ARGH")</f>
        <v>41.61</v>
      </c>
      <c r="HT13" s="3">
        <f>_xlfn.XLOOKUP(HT$1,generator!$B$2:$B$295,generator!$L$2:$L$295,"ARGH")</f>
        <v>41.61</v>
      </c>
      <c r="HU13" s="3">
        <f>_xlfn.XLOOKUP(HU$1,generator!$B$2:$B$295,generator!$L$2:$L$295,"ARGH")</f>
        <v>160</v>
      </c>
      <c r="HV13" s="3">
        <f>_xlfn.XLOOKUP(HV$1,generator!$B$2:$B$295,generator!$L$2:$L$295,"ARGH")</f>
        <v>260</v>
      </c>
      <c r="HW13" s="3">
        <f>_xlfn.XLOOKUP(HW$1,generator!$B$2:$B$295,generator!$L$2:$L$295,"ARGH")</f>
        <v>52</v>
      </c>
      <c r="HX13" s="3">
        <f>_xlfn.XLOOKUP(HX$1,generator!$B$2:$B$295,generator!$L$2:$L$295,"ARGH")</f>
        <v>52</v>
      </c>
      <c r="HY13" s="3">
        <f>_xlfn.XLOOKUP(HY$1,generator!$B$2:$B$295,generator!$L$2:$L$295,"ARGH")</f>
        <v>101</v>
      </c>
      <c r="HZ13" s="3">
        <f>_xlfn.XLOOKUP(HZ$1,generator!$B$2:$B$295,generator!$L$2:$L$295,"ARGH")</f>
        <v>50</v>
      </c>
      <c r="IA13" s="3">
        <f>_xlfn.XLOOKUP(IA$1,generator!$B$2:$B$295,generator!$L$2:$L$295,"ARGH")</f>
        <v>400</v>
      </c>
      <c r="IB13" s="3">
        <f>_xlfn.XLOOKUP(IB$1,generator!$B$2:$B$295,generator!$L$2:$L$295,"ARGH")</f>
        <v>342</v>
      </c>
      <c r="IC13" s="3">
        <f>_xlfn.XLOOKUP(IC$1,generator!$B$2:$B$295,generator!$L$2:$L$295,"ARGH")</f>
        <v>3.0209999999999999</v>
      </c>
      <c r="ID13" s="3">
        <f>_xlfn.XLOOKUP(ID$1,generator!$B$2:$B$295,generator!$L$2:$L$295,"ARGH")</f>
        <v>200</v>
      </c>
      <c r="IE13" s="3">
        <f>_xlfn.XLOOKUP(IE$1,generator!$B$2:$B$295,generator!$L$2:$L$295,"ARGH")</f>
        <v>404</v>
      </c>
      <c r="IF13" s="3">
        <f>_xlfn.XLOOKUP(IF$1,generator!$B$2:$B$295,generator!$L$2:$L$295,"ARGH")</f>
        <v>21</v>
      </c>
      <c r="IG13" s="3">
        <f>_xlfn.XLOOKUP(IG$1,generator!$B$2:$B$295,generator!$L$2:$L$295,"ARGH")</f>
        <v>22</v>
      </c>
      <c r="IH13" s="3">
        <f>_xlfn.XLOOKUP(IH$1,generator!$B$2:$B$295,generator!$L$2:$L$295,"ARGH")</f>
        <v>19</v>
      </c>
      <c r="II13" s="3">
        <f>_xlfn.XLOOKUP(II$1,generator!$B$2:$B$295,generator!$L$2:$L$295,"ARGH")</f>
        <v>24</v>
      </c>
      <c r="IJ13" s="3">
        <f>_xlfn.XLOOKUP(IJ$1,generator!$B$2:$B$295,generator!$L$2:$L$295,"ARGH")</f>
        <v>4.3</v>
      </c>
      <c r="IK13" s="3">
        <f>_xlfn.XLOOKUP(IK$1,generator!$B$2:$B$295,generator!$L$2:$L$295,"ARGH")</f>
        <v>8</v>
      </c>
      <c r="IL13" s="3">
        <f>_xlfn.XLOOKUP(IL$1,generator!$B$2:$B$295,generator!$L$2:$L$295,"ARGH")</f>
        <v>22.5</v>
      </c>
      <c r="IM13" s="3">
        <f>_xlfn.XLOOKUP(IM$1,generator!$B$2:$B$295,generator!$L$2:$L$295,"ARGH")</f>
        <v>22.5</v>
      </c>
      <c r="IN13" s="3">
        <f>_xlfn.XLOOKUP(IN$1,generator!$B$2:$B$295,generator!$L$2:$L$295,"ARGH")</f>
        <v>10</v>
      </c>
      <c r="IO13" s="3">
        <f>_xlfn.XLOOKUP(IO$1,generator!$B$2:$B$295,generator!$L$2:$L$295,"ARGH")</f>
        <v>10</v>
      </c>
      <c r="IP13" s="3">
        <f>_xlfn.XLOOKUP(IP$1,generator!$B$2:$B$295,generator!$L$2:$L$295,"ARGH")</f>
        <v>15</v>
      </c>
      <c r="IQ13" s="3">
        <f>_xlfn.XLOOKUP(IQ$1,generator!$B$2:$B$295,generator!$L$2:$L$295,"ARGH")</f>
        <v>4</v>
      </c>
      <c r="IR13" s="3">
        <f>_xlfn.XLOOKUP(IR$1,generator!$B$2:$B$295,generator!$L$2:$L$295,"ARGH")</f>
        <v>15</v>
      </c>
      <c r="IS13" s="3">
        <f>_xlfn.XLOOKUP(IS$1,generator!$B$2:$B$295,generator!$L$2:$L$295,"ARGH")</f>
        <v>15</v>
      </c>
      <c r="IT13" s="3">
        <f>_xlfn.XLOOKUP(IT$1,generator!$B$2:$B$295,generator!$L$2:$L$295,"ARGH")</f>
        <v>0.18</v>
      </c>
      <c r="IU13" s="3">
        <f>_xlfn.XLOOKUP(IU$1,generator!$B$2:$B$295,generator!$L$2:$L$295,"ARGH")</f>
        <v>4</v>
      </c>
      <c r="IV13" s="3">
        <f>_xlfn.XLOOKUP(IV$1,generator!$B$2:$B$295,generator!$L$2:$L$295,"ARGH")</f>
        <v>4</v>
      </c>
      <c r="IW13" s="3">
        <f>_xlfn.XLOOKUP(IW$1,generator!$B$2:$B$295,generator!$L$2:$L$295,"ARGH")</f>
        <v>90</v>
      </c>
      <c r="IX13" s="3">
        <f>_xlfn.XLOOKUP(IX$1,generator!$B$2:$B$295,generator!$L$2:$L$295,"ARGH")</f>
        <v>90</v>
      </c>
      <c r="IY13" s="3">
        <f>_xlfn.XLOOKUP(IY$1,generator!$B$2:$B$295,generator!$L$2:$L$295,"ARGH")</f>
        <v>90</v>
      </c>
      <c r="IZ13" s="3">
        <f>_xlfn.XLOOKUP(IZ$1,generator!$B$2:$B$295,generator!$L$2:$L$295,"ARGH")</f>
        <v>449</v>
      </c>
      <c r="JA13" s="3">
        <f>_xlfn.XLOOKUP(JA$1,generator!$B$2:$B$295,generator!$L$2:$L$295,"ARGH")</f>
        <v>83</v>
      </c>
      <c r="JB13" s="3">
        <f>_xlfn.XLOOKUP(JB$1,generator!$B$2:$B$295,generator!$L$2:$L$295,"ARGH")</f>
        <v>83</v>
      </c>
      <c r="JC13" s="3">
        <f>_xlfn.XLOOKUP(JC$1,generator!$B$2:$B$295,generator!$L$2:$L$295,"ARGH")</f>
        <v>247</v>
      </c>
      <c r="JD13" s="3">
        <f>_xlfn.XLOOKUP(JD$1,generator!$B$2:$B$295,generator!$L$2:$L$295,"ARGH")</f>
        <v>247</v>
      </c>
      <c r="JE13" s="3">
        <f>_xlfn.XLOOKUP(JE$1,generator!$B$2:$B$295,generator!$L$2:$L$295,"ARGH")</f>
        <v>425</v>
      </c>
      <c r="JF13" s="3">
        <f>_xlfn.XLOOKUP(JF$1,generator!$B$2:$B$295,generator!$L$2:$L$295,"ARGH")</f>
        <v>63.5</v>
      </c>
      <c r="JG13" s="3">
        <f>_xlfn.XLOOKUP(JG$1,generator!$B$2:$B$295,generator!$L$2:$L$295,"ARGH")</f>
        <v>17</v>
      </c>
      <c r="JH13" s="3">
        <f>_xlfn.XLOOKUP(JH$1,generator!$B$2:$B$295,generator!$L$2:$L$295,"ARGH")</f>
        <v>444</v>
      </c>
      <c r="JI13" s="3">
        <f>_xlfn.XLOOKUP(JI$1,generator!$B$2:$B$295,generator!$L$2:$L$295,"ARGH")</f>
        <v>464</v>
      </c>
      <c r="JJ13" s="3">
        <f>_xlfn.XLOOKUP(JJ$1,generator!$B$2:$B$295,generator!$L$2:$L$295,"ARGH")</f>
        <v>18.54</v>
      </c>
      <c r="JK13" s="3">
        <f>_xlfn.XLOOKUP(JK$1,generator!$B$2:$B$295,generator!$L$2:$L$295,"ARGH")</f>
        <v>18.54</v>
      </c>
      <c r="JL13" s="3">
        <f>_xlfn.XLOOKUP(JL$1,generator!$B$2:$B$295,generator!$L$2:$L$295,"ARGH")</f>
        <v>18.54</v>
      </c>
      <c r="JM13" s="3">
        <f>_xlfn.XLOOKUP(JM$1,generator!$B$2:$B$295,generator!$L$2:$L$295,"ARGH")</f>
        <v>18.54</v>
      </c>
      <c r="JN13" s="3">
        <f>_xlfn.XLOOKUP(JN$1,generator!$B$2:$B$295,generator!$L$2:$L$295,"ARGH")</f>
        <v>18.54</v>
      </c>
      <c r="JO13" s="3">
        <f>_xlfn.XLOOKUP(JO$1,generator!$B$2:$B$295,generator!$L$2:$L$295,"ARGH")</f>
        <v>18.54</v>
      </c>
      <c r="JP13" s="3">
        <f>_xlfn.XLOOKUP(JP$1,generator!$B$2:$B$295,generator!$L$2:$L$295,"ARGH")</f>
        <v>415</v>
      </c>
      <c r="JQ13" s="3">
        <f>_xlfn.XLOOKUP(JQ$1,generator!$B$2:$B$295,generator!$L$2:$L$295,"ARGH")</f>
        <v>63.5</v>
      </c>
      <c r="JR13" s="3">
        <f>_xlfn.XLOOKUP(JR$1,generator!$B$2:$B$295,generator!$L$2:$L$295,"ARGH")</f>
        <v>350</v>
      </c>
      <c r="JS13" s="3">
        <f>_xlfn.XLOOKUP(JS$1,generator!$B$2:$B$295,generator!$L$2:$L$295,"ARGH")</f>
        <v>350</v>
      </c>
      <c r="JT13" s="3">
        <f>_xlfn.XLOOKUP(JT$1,generator!$B$2:$B$295,generator!$L$2:$L$295,"ARGH")</f>
        <v>63.5</v>
      </c>
      <c r="JU13" s="3">
        <f>_xlfn.XLOOKUP(JU$1,generator!$B$2:$B$295,generator!$L$2:$L$295,"ARGH")</f>
        <v>61.5</v>
      </c>
      <c r="JV13" s="3">
        <f>_xlfn.XLOOKUP(JV$1,generator!$B$2:$B$295,generator!$L$2:$L$295,"ARGH")</f>
        <v>240</v>
      </c>
      <c r="JW13" s="3">
        <f>_xlfn.XLOOKUP(JW$1,generator!$B$2:$B$295,generator!$L$2:$L$295,"ARGH")</f>
        <v>236</v>
      </c>
      <c r="JX13" s="3">
        <f>_xlfn.XLOOKUP(JX$1,generator!$B$2:$B$295,generator!$L$2:$L$295,"ARGH")</f>
        <v>20</v>
      </c>
      <c r="JY13" s="3">
        <f>_xlfn.XLOOKUP(JY$1,generator!$B$2:$B$295,generator!$L$2:$L$295,"ARGH")</f>
        <v>118</v>
      </c>
      <c r="JZ13" s="3">
        <f>_xlfn.XLOOKUP(JZ$1,generator!$B$2:$B$295,generator!$L$2:$L$295,"ARGH")</f>
        <v>73</v>
      </c>
      <c r="KA13" s="3">
        <f>_xlfn.XLOOKUP(KA$1,generator!$B$2:$B$295,generator!$L$2:$L$295,"ARGH")</f>
        <v>73</v>
      </c>
      <c r="KB13" s="3">
        <f>_xlfn.XLOOKUP(KB$1,generator!$B$2:$B$295,generator!$L$2:$L$295,"ARGH")</f>
        <v>73</v>
      </c>
      <c r="KC13" s="3">
        <f>_xlfn.XLOOKUP(KC$1,generator!$B$2:$B$295,generator!$L$2:$L$295,"ARGH")</f>
        <v>73</v>
      </c>
    </row>
    <row r="14" spans="1:289" x14ac:dyDescent="0.3">
      <c r="A14" s="4" t="s">
        <v>3009</v>
      </c>
      <c r="B14" s="31">
        <v>0</v>
      </c>
      <c r="C14" s="31">
        <v>513.5</v>
      </c>
      <c r="D14" s="31">
        <v>307</v>
      </c>
      <c r="E14" s="33">
        <v>12.256</v>
      </c>
      <c r="F14" s="33">
        <v>26.327000000000002</v>
      </c>
      <c r="G14" s="33">
        <v>12.256</v>
      </c>
      <c r="H14" s="33">
        <v>20.425999999999998</v>
      </c>
      <c r="I14" s="33">
        <v>40.398000000000003</v>
      </c>
      <c r="J14" s="33">
        <v>37.674999999999997</v>
      </c>
      <c r="K14" s="33">
        <v>10.212999999999999</v>
      </c>
      <c r="L14" s="33">
        <v>7.8070000000000004</v>
      </c>
      <c r="M14" s="33">
        <v>6.8090000000000002</v>
      </c>
      <c r="N14" s="33">
        <v>24.510999999999999</v>
      </c>
      <c r="O14" s="33">
        <v>2.4510000000000001</v>
      </c>
      <c r="P14" s="33">
        <v>11.62</v>
      </c>
      <c r="Q14" s="33">
        <v>15.978</v>
      </c>
      <c r="R14" s="33">
        <v>8.17</v>
      </c>
      <c r="S14" s="33">
        <v>15.592000000000001</v>
      </c>
      <c r="T14" s="33">
        <v>10.894</v>
      </c>
      <c r="U14" s="33">
        <v>19.064</v>
      </c>
      <c r="V14" s="33">
        <v>9.6</v>
      </c>
      <c r="W14" s="33">
        <v>10.44</v>
      </c>
      <c r="X14" s="33">
        <v>14.707000000000001</v>
      </c>
      <c r="Y14" s="33">
        <v>7.6260000000000003</v>
      </c>
      <c r="Z14" s="33">
        <v>5.4020000000000001</v>
      </c>
      <c r="AA14" s="33">
        <v>4.9020000000000001</v>
      </c>
      <c r="AB14" s="33">
        <v>25.873000000000001</v>
      </c>
      <c r="AC14" s="33">
        <v>29.821999999999999</v>
      </c>
      <c r="AD14" s="33">
        <v>10.531000000000001</v>
      </c>
      <c r="AE14" s="33">
        <v>9.0779999999999994</v>
      </c>
      <c r="AF14" s="33">
        <v>25.600999999999999</v>
      </c>
      <c r="AG14" s="33">
        <v>9.0779999999999994</v>
      </c>
      <c r="AH14" s="33">
        <v>5.4470000000000001</v>
      </c>
      <c r="AI14" s="33">
        <v>6.0819999999999999</v>
      </c>
      <c r="AJ14" s="33">
        <v>10.894</v>
      </c>
      <c r="AK14" s="33">
        <v>3.8809999999999998</v>
      </c>
      <c r="AL14" s="33">
        <v>16.786000000000001</v>
      </c>
      <c r="AM14" s="33">
        <v>21.561</v>
      </c>
      <c r="AN14" s="33">
        <v>9.0779999999999994</v>
      </c>
      <c r="AO14" s="33">
        <v>6.2640000000000002</v>
      </c>
      <c r="AP14" s="33">
        <v>24.648</v>
      </c>
      <c r="AQ14" s="33">
        <v>8.4879999999999995</v>
      </c>
      <c r="AR14" s="33">
        <v>7.9429999999999996</v>
      </c>
      <c r="AS14" s="33">
        <v>23.603999999999999</v>
      </c>
      <c r="AT14" s="33">
        <v>6.415</v>
      </c>
      <c r="AU14" s="33">
        <v>17.248999999999999</v>
      </c>
      <c r="AV14" s="33">
        <v>14.752000000000001</v>
      </c>
      <c r="AW14" s="33">
        <v>14.978999999999999</v>
      </c>
      <c r="AX14" s="33">
        <v>8.3070000000000004</v>
      </c>
      <c r="AY14" s="33">
        <v>15.025</v>
      </c>
      <c r="AZ14" s="33">
        <v>17.181000000000001</v>
      </c>
      <c r="BA14" s="33">
        <v>6.3550000000000004</v>
      </c>
      <c r="BB14" s="33">
        <v>20.88</v>
      </c>
      <c r="BC14" s="33">
        <v>9.0779999999999994</v>
      </c>
      <c r="BD14" s="33">
        <v>5.4470000000000001</v>
      </c>
      <c r="BE14" s="33">
        <v>5.22</v>
      </c>
      <c r="BF14" s="33">
        <v>40.851999999999997</v>
      </c>
      <c r="BG14" s="33">
        <v>6.8090000000000002</v>
      </c>
      <c r="BH14" s="33">
        <v>11.348000000000001</v>
      </c>
      <c r="BI14" s="33">
        <v>9.532</v>
      </c>
      <c r="BJ14" s="33">
        <v>19.064</v>
      </c>
      <c r="BK14" s="33">
        <v>5.4470000000000001</v>
      </c>
      <c r="BL14" s="33">
        <v>19.291</v>
      </c>
      <c r="BM14" s="33">
        <v>3.8580000000000001</v>
      </c>
      <c r="BN14" s="33">
        <v>13.617000000000001</v>
      </c>
      <c r="BO14" s="33">
        <v>19.355</v>
      </c>
      <c r="BP14" s="33">
        <v>51.837000000000003</v>
      </c>
      <c r="BQ14" s="33">
        <v>16.341000000000001</v>
      </c>
      <c r="BR14" s="33">
        <v>24.510999999999999</v>
      </c>
      <c r="BS14" s="33">
        <v>7.9429999999999996</v>
      </c>
      <c r="BT14" s="33">
        <v>15.66</v>
      </c>
      <c r="BU14" s="33">
        <v>2.1789999999999998</v>
      </c>
      <c r="BV14" s="33">
        <v>4.6749999999999998</v>
      </c>
      <c r="BW14" s="33">
        <v>6.1639999999999997</v>
      </c>
      <c r="BX14" s="33">
        <v>5.016</v>
      </c>
      <c r="BY14" s="33">
        <v>11.348000000000001</v>
      </c>
      <c r="BZ14" s="33">
        <v>18.52</v>
      </c>
      <c r="CA14" s="33">
        <v>27.007999999999999</v>
      </c>
      <c r="CB14" s="33">
        <v>15.433</v>
      </c>
      <c r="CC14" s="33">
        <v>12.936999999999999</v>
      </c>
      <c r="CD14" s="33">
        <v>17.43</v>
      </c>
      <c r="CE14" s="33">
        <v>11.348000000000001</v>
      </c>
      <c r="CF14" s="33">
        <v>7.3079999999999998</v>
      </c>
      <c r="CG14" s="33">
        <v>7.9429999999999996</v>
      </c>
      <c r="CH14" s="33">
        <v>12.686999999999999</v>
      </c>
      <c r="CI14" s="33">
        <v>5.9240000000000004</v>
      </c>
      <c r="CJ14" s="33">
        <v>2.02</v>
      </c>
      <c r="CK14" s="33">
        <v>11.257</v>
      </c>
      <c r="CL14" s="33">
        <v>7.6710000000000003</v>
      </c>
      <c r="CM14" s="33">
        <v>6.8090000000000002</v>
      </c>
      <c r="CN14" s="33">
        <v>26.882999999999999</v>
      </c>
      <c r="CO14" s="33">
        <v>10.667</v>
      </c>
      <c r="CP14" s="33">
        <v>21.242999999999999</v>
      </c>
      <c r="CQ14" s="33">
        <v>14.525</v>
      </c>
      <c r="CR14" s="33">
        <v>11.802</v>
      </c>
      <c r="CS14" s="33">
        <v>9.9860000000000007</v>
      </c>
      <c r="CT14" s="33">
        <v>13.526999999999999</v>
      </c>
      <c r="CU14" s="33">
        <v>6.2640000000000002</v>
      </c>
      <c r="CV14" s="33">
        <v>11.484</v>
      </c>
      <c r="CW14" s="33">
        <v>12.71</v>
      </c>
      <c r="CX14" s="33">
        <v>5.6740000000000004</v>
      </c>
      <c r="CY14" s="33">
        <v>15.500999999999999</v>
      </c>
      <c r="CZ14" s="33">
        <v>5.4470000000000001</v>
      </c>
      <c r="DA14" s="33">
        <v>13.617000000000001</v>
      </c>
      <c r="DB14" s="33">
        <v>8.5340000000000007</v>
      </c>
      <c r="DC14" s="33">
        <v>6.4</v>
      </c>
      <c r="DD14" s="33">
        <v>7.3079999999999998</v>
      </c>
      <c r="DE14" s="33">
        <v>5.6740000000000004</v>
      </c>
      <c r="DF14" s="33">
        <v>9.8049999999999997</v>
      </c>
      <c r="DG14" s="33">
        <v>16.318000000000001</v>
      </c>
      <c r="DH14" s="33">
        <v>34.043999999999997</v>
      </c>
      <c r="DI14" s="33">
        <v>16.341000000000001</v>
      </c>
      <c r="DJ14" s="33">
        <v>6.8090000000000002</v>
      </c>
      <c r="DK14" s="33">
        <v>9.3960000000000008</v>
      </c>
      <c r="DL14" s="33">
        <v>16.818000000000001</v>
      </c>
      <c r="DM14" s="33">
        <v>8.17</v>
      </c>
      <c r="DN14" s="33">
        <v>45.390999999999998</v>
      </c>
      <c r="DO14" s="33">
        <v>15.252000000000001</v>
      </c>
      <c r="DP14" s="33">
        <v>45.844999999999999</v>
      </c>
      <c r="DQ14" s="33">
        <v>1.0620000000000001</v>
      </c>
      <c r="DR14" s="33">
        <v>41.396999999999998</v>
      </c>
      <c r="DS14" s="33">
        <v>7.3079999999999998</v>
      </c>
      <c r="DT14" s="33">
        <v>13.663</v>
      </c>
      <c r="DU14" s="33">
        <v>6.8090000000000002</v>
      </c>
      <c r="DV14" s="33">
        <v>5.3929999999999998</v>
      </c>
      <c r="DW14" s="33">
        <v>6.3550000000000004</v>
      </c>
      <c r="DX14" s="33">
        <v>17.657</v>
      </c>
      <c r="DY14" s="33">
        <v>11.802</v>
      </c>
      <c r="DZ14" s="33">
        <v>5.3109999999999999</v>
      </c>
      <c r="EA14" s="33">
        <v>18.157</v>
      </c>
      <c r="EB14" s="33">
        <v>16.341000000000001</v>
      </c>
      <c r="EC14" s="33">
        <v>10.44</v>
      </c>
      <c r="ED14" s="33">
        <v>13.073</v>
      </c>
      <c r="EE14" s="33">
        <v>22.151</v>
      </c>
      <c r="EF14" s="33">
        <v>6.8090000000000002</v>
      </c>
      <c r="EG14" s="33">
        <v>4.1760000000000002</v>
      </c>
      <c r="EH14" s="33">
        <v>18.792000000000002</v>
      </c>
      <c r="EI14" s="33">
        <v>6.718</v>
      </c>
      <c r="EJ14" s="33">
        <v>4.1760000000000002</v>
      </c>
      <c r="EK14" s="33">
        <v>6.8090000000000002</v>
      </c>
      <c r="EL14" s="33">
        <v>10.894</v>
      </c>
      <c r="EM14" s="33">
        <v>14.616</v>
      </c>
      <c r="EN14" s="33">
        <v>8.3520000000000003</v>
      </c>
      <c r="EO14" s="33">
        <v>9.0779999999999994</v>
      </c>
      <c r="EP14" s="33">
        <v>6.4</v>
      </c>
      <c r="EQ14" s="33">
        <v>15.66</v>
      </c>
      <c r="ER14" s="33">
        <v>4.766</v>
      </c>
      <c r="ES14" s="33">
        <v>5.22</v>
      </c>
      <c r="ET14" s="33">
        <v>10.484999999999999</v>
      </c>
      <c r="EU14" s="33">
        <v>38.564999999999998</v>
      </c>
      <c r="EV14" s="33">
        <v>7.83</v>
      </c>
      <c r="EW14" s="33">
        <v>36.313000000000002</v>
      </c>
      <c r="EX14" s="33">
        <v>40.783999999999999</v>
      </c>
      <c r="EY14" s="33">
        <v>2.4510000000000001</v>
      </c>
      <c r="EZ14" s="33">
        <v>3.2949999999999999</v>
      </c>
      <c r="FA14" s="33">
        <v>2.6960000000000002</v>
      </c>
      <c r="FB14" s="33">
        <v>9.0779999999999994</v>
      </c>
      <c r="FC14" s="33">
        <v>12.936999999999999</v>
      </c>
      <c r="FD14" s="33">
        <v>9.0779999999999994</v>
      </c>
      <c r="FE14" s="33">
        <v>12.528</v>
      </c>
      <c r="FF14" s="33">
        <v>8.17</v>
      </c>
      <c r="FG14" s="33">
        <v>6.8090000000000002</v>
      </c>
      <c r="FH14" s="33">
        <v>5.6740000000000004</v>
      </c>
      <c r="FI14" s="33">
        <v>21.788</v>
      </c>
      <c r="FJ14" s="33">
        <v>13.898999999999999</v>
      </c>
      <c r="FK14" s="33">
        <v>20.131</v>
      </c>
      <c r="FL14" s="33">
        <v>6.718</v>
      </c>
      <c r="FM14" s="33">
        <v>18.565000000000001</v>
      </c>
      <c r="FN14" s="33">
        <v>9.3049999999999997</v>
      </c>
      <c r="FO14" s="33">
        <v>33.408000000000001</v>
      </c>
      <c r="FP14" s="33">
        <v>47.661000000000001</v>
      </c>
      <c r="FQ14" s="33">
        <v>8.7149999999999999</v>
      </c>
      <c r="FR14" s="33">
        <v>5.22</v>
      </c>
      <c r="FS14" s="33">
        <v>6.2640000000000002</v>
      </c>
      <c r="FT14" s="33">
        <v>7.83</v>
      </c>
      <c r="FU14" s="33">
        <v>31.774000000000001</v>
      </c>
      <c r="FV14" s="33">
        <v>6.0369999999999999</v>
      </c>
      <c r="FW14" s="33">
        <v>6.89</v>
      </c>
      <c r="FX14" s="33">
        <v>6.8090000000000002</v>
      </c>
      <c r="FY14" s="33">
        <v>6.2640000000000002</v>
      </c>
      <c r="FZ14" s="33">
        <v>6.2640000000000002</v>
      </c>
      <c r="GA14" s="33">
        <v>6.8090000000000002</v>
      </c>
      <c r="GB14" s="33">
        <v>5.6740000000000004</v>
      </c>
      <c r="GC14" s="33">
        <v>2.996</v>
      </c>
      <c r="GD14" s="33">
        <v>5.7190000000000003</v>
      </c>
      <c r="GE14" s="33">
        <v>6.2640000000000002</v>
      </c>
      <c r="GF14" s="33">
        <v>47.661000000000001</v>
      </c>
      <c r="GG14" s="33">
        <v>29.050999999999998</v>
      </c>
      <c r="GH14" s="33">
        <v>2.7229999999999999</v>
      </c>
      <c r="GI14" s="33">
        <v>4.085</v>
      </c>
      <c r="GJ14" s="33">
        <v>5.4020000000000001</v>
      </c>
      <c r="GK14" s="33">
        <v>12.256</v>
      </c>
      <c r="GL14" s="33">
        <v>9.0779999999999994</v>
      </c>
      <c r="GM14" s="33">
        <v>0.48599999999999999</v>
      </c>
      <c r="GN14" s="33">
        <v>2.915</v>
      </c>
      <c r="GO14" s="33">
        <v>1.02</v>
      </c>
      <c r="GP14" s="33">
        <v>4.13</v>
      </c>
      <c r="GQ14" s="33">
        <v>0.68</v>
      </c>
      <c r="GR14" s="33">
        <v>5.782</v>
      </c>
      <c r="GS14" s="33">
        <v>1.5349999999999999</v>
      </c>
      <c r="GT14" s="33">
        <v>4.6159999999999997</v>
      </c>
      <c r="GU14" s="33">
        <v>1.224</v>
      </c>
      <c r="GV14" s="33">
        <v>0.82199999999999995</v>
      </c>
      <c r="GW14" s="33">
        <v>0.99299999999999999</v>
      </c>
      <c r="GX14" s="33">
        <v>4.2270000000000003</v>
      </c>
      <c r="GY14" s="33">
        <v>0.19400000000000001</v>
      </c>
      <c r="GZ14" s="33">
        <v>0.58299999999999996</v>
      </c>
      <c r="HA14" s="33">
        <v>1.4490000000000001</v>
      </c>
      <c r="HB14" s="33">
        <v>4.6159999999999997</v>
      </c>
      <c r="HC14" s="33">
        <v>4.6159999999999997</v>
      </c>
      <c r="HD14" s="33">
        <v>2.4300000000000002</v>
      </c>
      <c r="HE14" s="3">
        <f>_xlfn.XLOOKUP(HE$1,generator!$B$2:$B$295,generator!$L$2:$L$295,"ARGH")</f>
        <v>17.600000000000001</v>
      </c>
      <c r="HF14" s="3">
        <f>_xlfn.XLOOKUP(HF$1,generator!$B$2:$B$295,generator!$L$2:$L$295,"ARGH")</f>
        <v>285</v>
      </c>
      <c r="HG14" s="3">
        <f>_xlfn.XLOOKUP(HG$1,generator!$B$2:$B$295,generator!$L$2:$L$295,"ARGH")</f>
        <v>285</v>
      </c>
      <c r="HH14" s="3">
        <f>_xlfn.XLOOKUP(HH$1,generator!$B$2:$B$295,generator!$L$2:$L$295,"ARGH")</f>
        <v>285</v>
      </c>
      <c r="HI14" s="3">
        <f>_xlfn.XLOOKUP(HI$1,generator!$B$2:$B$295,generator!$L$2:$L$295,"ARGH")</f>
        <v>58</v>
      </c>
      <c r="HJ14" s="3">
        <f>_xlfn.XLOOKUP(HJ$1,generator!$B$2:$B$295,generator!$L$2:$L$295,"ARGH")</f>
        <v>58</v>
      </c>
      <c r="HK14" s="3">
        <f>_xlfn.XLOOKUP(HK$1,generator!$B$2:$B$295,generator!$L$2:$L$295,"ARGH")</f>
        <v>53</v>
      </c>
      <c r="HL14" s="3">
        <f>_xlfn.XLOOKUP(HL$1,generator!$B$2:$B$295,generator!$L$2:$L$295,"ARGH")</f>
        <v>58</v>
      </c>
      <c r="HM14" s="3">
        <f>_xlfn.XLOOKUP(HM$1,generator!$B$2:$B$295,generator!$L$2:$L$295,"ARGH")</f>
        <v>58</v>
      </c>
      <c r="HN14" s="3">
        <f>_xlfn.XLOOKUP(HN$1,generator!$B$2:$B$295,generator!$L$2:$L$295,"ARGH")</f>
        <v>52</v>
      </c>
      <c r="HO14" s="3">
        <f>_xlfn.XLOOKUP(HO$1,generator!$B$2:$B$295,generator!$L$2:$L$295,"ARGH")</f>
        <v>52</v>
      </c>
      <c r="HP14" s="3">
        <f>_xlfn.XLOOKUP(HP$1,generator!$B$2:$B$295,generator!$L$2:$L$295,"ARGH")</f>
        <v>2</v>
      </c>
      <c r="HQ14" s="3">
        <f>_xlfn.XLOOKUP(HQ$1,generator!$B$2:$B$295,generator!$L$2:$L$295,"ARGH")</f>
        <v>29.2</v>
      </c>
      <c r="HR14" s="3">
        <f>_xlfn.XLOOKUP(HR$1,generator!$B$2:$B$295,generator!$L$2:$L$295,"ARGH")</f>
        <v>29.2</v>
      </c>
      <c r="HS14" s="3">
        <f>_xlfn.XLOOKUP(HS$1,generator!$B$2:$B$295,generator!$L$2:$L$295,"ARGH")</f>
        <v>41.61</v>
      </c>
      <c r="HT14" s="3">
        <f>_xlfn.XLOOKUP(HT$1,generator!$B$2:$B$295,generator!$L$2:$L$295,"ARGH")</f>
        <v>41.61</v>
      </c>
      <c r="HU14" s="3">
        <f>_xlfn.XLOOKUP(HU$1,generator!$B$2:$B$295,generator!$L$2:$L$295,"ARGH")</f>
        <v>160</v>
      </c>
      <c r="HV14" s="3">
        <f>_xlfn.XLOOKUP(HV$1,generator!$B$2:$B$295,generator!$L$2:$L$295,"ARGH")</f>
        <v>260</v>
      </c>
      <c r="HW14" s="3">
        <f>_xlfn.XLOOKUP(HW$1,generator!$B$2:$B$295,generator!$L$2:$L$295,"ARGH")</f>
        <v>52</v>
      </c>
      <c r="HX14" s="3">
        <f>_xlfn.XLOOKUP(HX$1,generator!$B$2:$B$295,generator!$L$2:$L$295,"ARGH")</f>
        <v>52</v>
      </c>
      <c r="HY14" s="3">
        <f>_xlfn.XLOOKUP(HY$1,generator!$B$2:$B$295,generator!$L$2:$L$295,"ARGH")</f>
        <v>101</v>
      </c>
      <c r="HZ14" s="3">
        <f>_xlfn.XLOOKUP(HZ$1,generator!$B$2:$B$295,generator!$L$2:$L$295,"ARGH")</f>
        <v>50</v>
      </c>
      <c r="IA14" s="3">
        <f>_xlfn.XLOOKUP(IA$1,generator!$B$2:$B$295,generator!$L$2:$L$295,"ARGH")</f>
        <v>400</v>
      </c>
      <c r="IB14" s="3">
        <f>_xlfn.XLOOKUP(IB$1,generator!$B$2:$B$295,generator!$L$2:$L$295,"ARGH")</f>
        <v>342</v>
      </c>
      <c r="IC14" s="3">
        <f>_xlfn.XLOOKUP(IC$1,generator!$B$2:$B$295,generator!$L$2:$L$295,"ARGH")</f>
        <v>3.0209999999999999</v>
      </c>
      <c r="ID14" s="3">
        <f>_xlfn.XLOOKUP(ID$1,generator!$B$2:$B$295,generator!$L$2:$L$295,"ARGH")</f>
        <v>200</v>
      </c>
      <c r="IE14" s="3">
        <f>_xlfn.XLOOKUP(IE$1,generator!$B$2:$B$295,generator!$L$2:$L$295,"ARGH")</f>
        <v>404</v>
      </c>
      <c r="IF14" s="3">
        <f>_xlfn.XLOOKUP(IF$1,generator!$B$2:$B$295,generator!$L$2:$L$295,"ARGH")</f>
        <v>21</v>
      </c>
      <c r="IG14" s="3">
        <f>_xlfn.XLOOKUP(IG$1,generator!$B$2:$B$295,generator!$L$2:$L$295,"ARGH")</f>
        <v>22</v>
      </c>
      <c r="IH14" s="3">
        <f>_xlfn.XLOOKUP(IH$1,generator!$B$2:$B$295,generator!$L$2:$L$295,"ARGH")</f>
        <v>19</v>
      </c>
      <c r="II14" s="3">
        <f>_xlfn.XLOOKUP(II$1,generator!$B$2:$B$295,generator!$L$2:$L$295,"ARGH")</f>
        <v>24</v>
      </c>
      <c r="IJ14" s="3">
        <f>_xlfn.XLOOKUP(IJ$1,generator!$B$2:$B$295,generator!$L$2:$L$295,"ARGH")</f>
        <v>4.3</v>
      </c>
      <c r="IK14" s="3">
        <f>_xlfn.XLOOKUP(IK$1,generator!$B$2:$B$295,generator!$L$2:$L$295,"ARGH")</f>
        <v>8</v>
      </c>
      <c r="IL14" s="3">
        <f>_xlfn.XLOOKUP(IL$1,generator!$B$2:$B$295,generator!$L$2:$L$295,"ARGH")</f>
        <v>22.5</v>
      </c>
      <c r="IM14" s="3">
        <f>_xlfn.XLOOKUP(IM$1,generator!$B$2:$B$295,generator!$L$2:$L$295,"ARGH")</f>
        <v>22.5</v>
      </c>
      <c r="IN14" s="3">
        <f>_xlfn.XLOOKUP(IN$1,generator!$B$2:$B$295,generator!$L$2:$L$295,"ARGH")</f>
        <v>10</v>
      </c>
      <c r="IO14" s="3">
        <f>_xlfn.XLOOKUP(IO$1,generator!$B$2:$B$295,generator!$L$2:$L$295,"ARGH")</f>
        <v>10</v>
      </c>
      <c r="IP14" s="3">
        <f>_xlfn.XLOOKUP(IP$1,generator!$B$2:$B$295,generator!$L$2:$L$295,"ARGH")</f>
        <v>15</v>
      </c>
      <c r="IQ14" s="3">
        <f>_xlfn.XLOOKUP(IQ$1,generator!$B$2:$B$295,generator!$L$2:$L$295,"ARGH")</f>
        <v>4</v>
      </c>
      <c r="IR14" s="3">
        <f>_xlfn.XLOOKUP(IR$1,generator!$B$2:$B$295,generator!$L$2:$L$295,"ARGH")</f>
        <v>15</v>
      </c>
      <c r="IS14" s="3">
        <f>_xlfn.XLOOKUP(IS$1,generator!$B$2:$B$295,generator!$L$2:$L$295,"ARGH")</f>
        <v>15</v>
      </c>
      <c r="IT14" s="3">
        <f>_xlfn.XLOOKUP(IT$1,generator!$B$2:$B$295,generator!$L$2:$L$295,"ARGH")</f>
        <v>0.18</v>
      </c>
      <c r="IU14" s="3">
        <f>_xlfn.XLOOKUP(IU$1,generator!$B$2:$B$295,generator!$L$2:$L$295,"ARGH")</f>
        <v>4</v>
      </c>
      <c r="IV14" s="3">
        <f>_xlfn.XLOOKUP(IV$1,generator!$B$2:$B$295,generator!$L$2:$L$295,"ARGH")</f>
        <v>4</v>
      </c>
      <c r="IW14" s="3">
        <f>_xlfn.XLOOKUP(IW$1,generator!$B$2:$B$295,generator!$L$2:$L$295,"ARGH")</f>
        <v>90</v>
      </c>
      <c r="IX14" s="3">
        <f>_xlfn.XLOOKUP(IX$1,generator!$B$2:$B$295,generator!$L$2:$L$295,"ARGH")</f>
        <v>90</v>
      </c>
      <c r="IY14" s="3">
        <f>_xlfn.XLOOKUP(IY$1,generator!$B$2:$B$295,generator!$L$2:$L$295,"ARGH")</f>
        <v>90</v>
      </c>
      <c r="IZ14" s="3">
        <f>_xlfn.XLOOKUP(IZ$1,generator!$B$2:$B$295,generator!$L$2:$L$295,"ARGH")</f>
        <v>449</v>
      </c>
      <c r="JA14" s="3">
        <f>_xlfn.XLOOKUP(JA$1,generator!$B$2:$B$295,generator!$L$2:$L$295,"ARGH")</f>
        <v>83</v>
      </c>
      <c r="JB14" s="3">
        <f>_xlfn.XLOOKUP(JB$1,generator!$B$2:$B$295,generator!$L$2:$L$295,"ARGH")</f>
        <v>83</v>
      </c>
      <c r="JC14" s="3">
        <f>_xlfn.XLOOKUP(JC$1,generator!$B$2:$B$295,generator!$L$2:$L$295,"ARGH")</f>
        <v>247</v>
      </c>
      <c r="JD14" s="3">
        <f>_xlfn.XLOOKUP(JD$1,generator!$B$2:$B$295,generator!$L$2:$L$295,"ARGH")</f>
        <v>247</v>
      </c>
      <c r="JE14" s="3">
        <f>_xlfn.XLOOKUP(JE$1,generator!$B$2:$B$295,generator!$L$2:$L$295,"ARGH")</f>
        <v>425</v>
      </c>
      <c r="JF14" s="3">
        <f>_xlfn.XLOOKUP(JF$1,generator!$B$2:$B$295,generator!$L$2:$L$295,"ARGH")</f>
        <v>63.5</v>
      </c>
      <c r="JG14" s="3">
        <f>_xlfn.XLOOKUP(JG$1,generator!$B$2:$B$295,generator!$L$2:$L$295,"ARGH")</f>
        <v>17</v>
      </c>
      <c r="JH14" s="3">
        <f>_xlfn.XLOOKUP(JH$1,generator!$B$2:$B$295,generator!$L$2:$L$295,"ARGH")</f>
        <v>444</v>
      </c>
      <c r="JI14" s="3">
        <f>_xlfn.XLOOKUP(JI$1,generator!$B$2:$B$295,generator!$L$2:$L$295,"ARGH")</f>
        <v>464</v>
      </c>
      <c r="JJ14" s="3">
        <f>_xlfn.XLOOKUP(JJ$1,generator!$B$2:$B$295,generator!$L$2:$L$295,"ARGH")</f>
        <v>18.54</v>
      </c>
      <c r="JK14" s="3">
        <f>_xlfn.XLOOKUP(JK$1,generator!$B$2:$B$295,generator!$L$2:$L$295,"ARGH")</f>
        <v>18.54</v>
      </c>
      <c r="JL14" s="3">
        <f>_xlfn.XLOOKUP(JL$1,generator!$B$2:$B$295,generator!$L$2:$L$295,"ARGH")</f>
        <v>18.54</v>
      </c>
      <c r="JM14" s="3">
        <f>_xlfn.XLOOKUP(JM$1,generator!$B$2:$B$295,generator!$L$2:$L$295,"ARGH")</f>
        <v>18.54</v>
      </c>
      <c r="JN14" s="3">
        <f>_xlfn.XLOOKUP(JN$1,generator!$B$2:$B$295,generator!$L$2:$L$295,"ARGH")</f>
        <v>18.54</v>
      </c>
      <c r="JO14" s="3">
        <f>_xlfn.XLOOKUP(JO$1,generator!$B$2:$B$295,generator!$L$2:$L$295,"ARGH")</f>
        <v>18.54</v>
      </c>
      <c r="JP14" s="3">
        <f>_xlfn.XLOOKUP(JP$1,generator!$B$2:$B$295,generator!$L$2:$L$295,"ARGH")</f>
        <v>415</v>
      </c>
      <c r="JQ14" s="3">
        <f>_xlfn.XLOOKUP(JQ$1,generator!$B$2:$B$295,generator!$L$2:$L$295,"ARGH")</f>
        <v>63.5</v>
      </c>
      <c r="JR14" s="3">
        <f>_xlfn.XLOOKUP(JR$1,generator!$B$2:$B$295,generator!$L$2:$L$295,"ARGH")</f>
        <v>350</v>
      </c>
      <c r="JS14" s="3">
        <f>_xlfn.XLOOKUP(JS$1,generator!$B$2:$B$295,generator!$L$2:$L$295,"ARGH")</f>
        <v>350</v>
      </c>
      <c r="JT14" s="3">
        <f>_xlfn.XLOOKUP(JT$1,generator!$B$2:$B$295,generator!$L$2:$L$295,"ARGH")</f>
        <v>63.5</v>
      </c>
      <c r="JU14" s="3">
        <f>_xlfn.XLOOKUP(JU$1,generator!$B$2:$B$295,generator!$L$2:$L$295,"ARGH")</f>
        <v>61.5</v>
      </c>
      <c r="JV14" s="3">
        <f>_xlfn.XLOOKUP(JV$1,generator!$B$2:$B$295,generator!$L$2:$L$295,"ARGH")</f>
        <v>240</v>
      </c>
      <c r="JW14" s="3">
        <f>_xlfn.XLOOKUP(JW$1,generator!$B$2:$B$295,generator!$L$2:$L$295,"ARGH")</f>
        <v>236</v>
      </c>
      <c r="JX14" s="3">
        <f>_xlfn.XLOOKUP(JX$1,generator!$B$2:$B$295,generator!$L$2:$L$295,"ARGH")</f>
        <v>20</v>
      </c>
      <c r="JY14" s="3">
        <f>_xlfn.XLOOKUP(JY$1,generator!$B$2:$B$295,generator!$L$2:$L$295,"ARGH")</f>
        <v>118</v>
      </c>
      <c r="JZ14" s="3">
        <f>_xlfn.XLOOKUP(JZ$1,generator!$B$2:$B$295,generator!$L$2:$L$295,"ARGH")</f>
        <v>73</v>
      </c>
      <c r="KA14" s="3">
        <f>_xlfn.XLOOKUP(KA$1,generator!$B$2:$B$295,generator!$L$2:$L$295,"ARGH")</f>
        <v>73</v>
      </c>
      <c r="KB14" s="3">
        <f>_xlfn.XLOOKUP(KB$1,generator!$B$2:$B$295,generator!$L$2:$L$295,"ARGH")</f>
        <v>73</v>
      </c>
      <c r="KC14" s="3">
        <f>_xlfn.XLOOKUP(KC$1,generator!$B$2:$B$295,generator!$L$2:$L$295,"ARGH")</f>
        <v>73</v>
      </c>
    </row>
    <row r="15" spans="1:289" x14ac:dyDescent="0.3">
      <c r="A15" s="4" t="s">
        <v>3010</v>
      </c>
      <c r="B15" s="31">
        <v>0</v>
      </c>
      <c r="C15" s="31">
        <v>513</v>
      </c>
      <c r="D15" s="31">
        <v>307</v>
      </c>
      <c r="E15" s="33">
        <v>12.803000000000001</v>
      </c>
      <c r="F15" s="33">
        <v>27.501999999999999</v>
      </c>
      <c r="G15" s="33">
        <v>12.803000000000001</v>
      </c>
      <c r="H15" s="33">
        <v>21.338000000000001</v>
      </c>
      <c r="I15" s="33">
        <v>42.201000000000001</v>
      </c>
      <c r="J15" s="33">
        <v>39.356000000000002</v>
      </c>
      <c r="K15" s="33">
        <v>10.669</v>
      </c>
      <c r="L15" s="33">
        <v>8.1560000000000006</v>
      </c>
      <c r="M15" s="33">
        <v>7.1130000000000004</v>
      </c>
      <c r="N15" s="33">
        <v>25.605</v>
      </c>
      <c r="O15" s="33">
        <v>2.5609999999999999</v>
      </c>
      <c r="P15" s="33">
        <v>12.138999999999999</v>
      </c>
      <c r="Q15" s="33">
        <v>16.690999999999999</v>
      </c>
      <c r="R15" s="33">
        <v>8.5350000000000001</v>
      </c>
      <c r="S15" s="33">
        <v>16.288</v>
      </c>
      <c r="T15" s="33">
        <v>11.38</v>
      </c>
      <c r="U15" s="33">
        <v>19.914999999999999</v>
      </c>
      <c r="V15" s="33">
        <v>10.029</v>
      </c>
      <c r="W15" s="33">
        <v>10.906000000000001</v>
      </c>
      <c r="X15" s="33">
        <v>15.363</v>
      </c>
      <c r="Y15" s="33">
        <v>7.9660000000000002</v>
      </c>
      <c r="Z15" s="33">
        <v>5.6429999999999998</v>
      </c>
      <c r="AA15" s="33">
        <v>5.1210000000000004</v>
      </c>
      <c r="AB15" s="33">
        <v>27.027999999999999</v>
      </c>
      <c r="AC15" s="33">
        <v>31.152999999999999</v>
      </c>
      <c r="AD15" s="33">
        <v>11.000999999999999</v>
      </c>
      <c r="AE15" s="33">
        <v>9.4830000000000005</v>
      </c>
      <c r="AF15" s="33">
        <v>26.742999999999999</v>
      </c>
      <c r="AG15" s="33">
        <v>9.4830000000000005</v>
      </c>
      <c r="AH15" s="33">
        <v>5.69</v>
      </c>
      <c r="AI15" s="33">
        <v>6.3540000000000001</v>
      </c>
      <c r="AJ15" s="33">
        <v>11.38</v>
      </c>
      <c r="AK15" s="33">
        <v>4.0540000000000003</v>
      </c>
      <c r="AL15" s="33">
        <v>17.535</v>
      </c>
      <c r="AM15" s="33">
        <v>22.523</v>
      </c>
      <c r="AN15" s="33">
        <v>9.4830000000000005</v>
      </c>
      <c r="AO15" s="33">
        <v>6.5439999999999996</v>
      </c>
      <c r="AP15" s="33">
        <v>25.747</v>
      </c>
      <c r="AQ15" s="33">
        <v>8.8670000000000009</v>
      </c>
      <c r="AR15" s="33">
        <v>8.298</v>
      </c>
      <c r="AS15" s="33">
        <v>24.657</v>
      </c>
      <c r="AT15" s="33">
        <v>6.7009999999999996</v>
      </c>
      <c r="AU15" s="33">
        <v>18.018000000000001</v>
      </c>
      <c r="AV15" s="33">
        <v>15.41</v>
      </c>
      <c r="AW15" s="33">
        <v>15.648</v>
      </c>
      <c r="AX15" s="33">
        <v>8.6769999999999996</v>
      </c>
      <c r="AY15" s="33">
        <v>15.695</v>
      </c>
      <c r="AZ15" s="33">
        <v>17.946999999999999</v>
      </c>
      <c r="BA15" s="33">
        <v>6.6379999999999999</v>
      </c>
      <c r="BB15" s="33">
        <v>21.812000000000001</v>
      </c>
      <c r="BC15" s="33">
        <v>9.4830000000000005</v>
      </c>
      <c r="BD15" s="33">
        <v>5.69</v>
      </c>
      <c r="BE15" s="33">
        <v>5.4530000000000003</v>
      </c>
      <c r="BF15" s="33">
        <v>42.674999999999997</v>
      </c>
      <c r="BG15" s="33">
        <v>7.1130000000000004</v>
      </c>
      <c r="BH15" s="33">
        <v>11.853999999999999</v>
      </c>
      <c r="BI15" s="33">
        <v>9.9580000000000002</v>
      </c>
      <c r="BJ15" s="33">
        <v>19.914999999999999</v>
      </c>
      <c r="BK15" s="33">
        <v>5.69</v>
      </c>
      <c r="BL15" s="33">
        <v>20.152000000000001</v>
      </c>
      <c r="BM15" s="33">
        <v>4.03</v>
      </c>
      <c r="BN15" s="33">
        <v>14.225</v>
      </c>
      <c r="BO15" s="33">
        <v>20.219000000000001</v>
      </c>
      <c r="BP15" s="33">
        <v>54.15</v>
      </c>
      <c r="BQ15" s="33">
        <v>17.07</v>
      </c>
      <c r="BR15" s="33">
        <v>25.605</v>
      </c>
      <c r="BS15" s="33">
        <v>8.298</v>
      </c>
      <c r="BT15" s="33">
        <v>16.359000000000002</v>
      </c>
      <c r="BU15" s="33">
        <v>2.2759999999999998</v>
      </c>
      <c r="BV15" s="33">
        <v>4.8840000000000003</v>
      </c>
      <c r="BW15" s="33">
        <v>6.4390000000000001</v>
      </c>
      <c r="BX15" s="33">
        <v>5.24</v>
      </c>
      <c r="BY15" s="33">
        <v>11.853999999999999</v>
      </c>
      <c r="BZ15" s="33">
        <v>19.346</v>
      </c>
      <c r="CA15" s="33">
        <v>28.213000000000001</v>
      </c>
      <c r="CB15" s="33">
        <v>16.122</v>
      </c>
      <c r="CC15" s="33">
        <v>13.513999999999999</v>
      </c>
      <c r="CD15" s="33">
        <v>18.207999999999998</v>
      </c>
      <c r="CE15" s="33">
        <v>11.853999999999999</v>
      </c>
      <c r="CF15" s="33">
        <v>7.6340000000000003</v>
      </c>
      <c r="CG15" s="33">
        <v>8.298</v>
      </c>
      <c r="CH15" s="33">
        <v>13.253</v>
      </c>
      <c r="CI15" s="33">
        <v>6.1879999999999997</v>
      </c>
      <c r="CJ15" s="33">
        <v>2.11</v>
      </c>
      <c r="CK15" s="33">
        <v>11.759</v>
      </c>
      <c r="CL15" s="33">
        <v>8.0129999999999999</v>
      </c>
      <c r="CM15" s="33">
        <v>7.1130000000000004</v>
      </c>
      <c r="CN15" s="33">
        <v>28.082999999999998</v>
      </c>
      <c r="CO15" s="33">
        <v>11.143000000000001</v>
      </c>
      <c r="CP15" s="33">
        <v>22.190999999999999</v>
      </c>
      <c r="CQ15" s="33">
        <v>15.173</v>
      </c>
      <c r="CR15" s="33">
        <v>12.327999999999999</v>
      </c>
      <c r="CS15" s="33">
        <v>10.432</v>
      </c>
      <c r="CT15" s="33">
        <v>14.13</v>
      </c>
      <c r="CU15" s="33">
        <v>6.5439999999999996</v>
      </c>
      <c r="CV15" s="33">
        <v>11.996</v>
      </c>
      <c r="CW15" s="33">
        <v>13.276999999999999</v>
      </c>
      <c r="CX15" s="33">
        <v>5.9269999999999996</v>
      </c>
      <c r="CY15" s="33">
        <v>16.193000000000001</v>
      </c>
      <c r="CZ15" s="33">
        <v>5.69</v>
      </c>
      <c r="DA15" s="33">
        <v>14.225</v>
      </c>
      <c r="DB15" s="33">
        <v>8.9139999999999997</v>
      </c>
      <c r="DC15" s="33">
        <v>6.6859999999999999</v>
      </c>
      <c r="DD15" s="33">
        <v>7.6340000000000003</v>
      </c>
      <c r="DE15" s="33">
        <v>5.9269999999999996</v>
      </c>
      <c r="DF15" s="33">
        <v>10.242000000000001</v>
      </c>
      <c r="DG15" s="33">
        <v>17.045999999999999</v>
      </c>
      <c r="DH15" s="33">
        <v>35.563000000000002</v>
      </c>
      <c r="DI15" s="33">
        <v>17.07</v>
      </c>
      <c r="DJ15" s="33">
        <v>7.1130000000000004</v>
      </c>
      <c r="DK15" s="33">
        <v>9.8149999999999995</v>
      </c>
      <c r="DL15" s="33">
        <v>17.568000000000001</v>
      </c>
      <c r="DM15" s="33">
        <v>8.5350000000000001</v>
      </c>
      <c r="DN15" s="33">
        <v>47.417000000000002</v>
      </c>
      <c r="DO15" s="33">
        <v>15.932</v>
      </c>
      <c r="DP15" s="33">
        <v>47.890999999999998</v>
      </c>
      <c r="DQ15" s="33">
        <v>1.1100000000000001</v>
      </c>
      <c r="DR15" s="33">
        <v>43.244</v>
      </c>
      <c r="DS15" s="33">
        <v>7.6340000000000003</v>
      </c>
      <c r="DT15" s="33">
        <v>14.272</v>
      </c>
      <c r="DU15" s="33">
        <v>7.1130000000000004</v>
      </c>
      <c r="DV15" s="33">
        <v>5.633</v>
      </c>
      <c r="DW15" s="33">
        <v>6.6379999999999999</v>
      </c>
      <c r="DX15" s="33">
        <v>18.445</v>
      </c>
      <c r="DY15" s="33">
        <v>12.327999999999999</v>
      </c>
      <c r="DZ15" s="33">
        <v>5.548</v>
      </c>
      <c r="EA15" s="33">
        <v>18.966999999999999</v>
      </c>
      <c r="EB15" s="33">
        <v>17.07</v>
      </c>
      <c r="EC15" s="33">
        <v>10.906000000000001</v>
      </c>
      <c r="ED15" s="33">
        <v>13.656000000000001</v>
      </c>
      <c r="EE15" s="33">
        <v>23.138999999999999</v>
      </c>
      <c r="EF15" s="33">
        <v>7.1130000000000004</v>
      </c>
      <c r="EG15" s="33">
        <v>4.3620000000000001</v>
      </c>
      <c r="EH15" s="33">
        <v>19.631</v>
      </c>
      <c r="EI15" s="33">
        <v>7.0179999999999998</v>
      </c>
      <c r="EJ15" s="33">
        <v>4.3620000000000001</v>
      </c>
      <c r="EK15" s="33">
        <v>7.1130000000000004</v>
      </c>
      <c r="EL15" s="33">
        <v>11.38</v>
      </c>
      <c r="EM15" s="33">
        <v>15.268000000000001</v>
      </c>
      <c r="EN15" s="33">
        <v>8.7249999999999996</v>
      </c>
      <c r="EO15" s="33">
        <v>9.4830000000000005</v>
      </c>
      <c r="EP15" s="33">
        <v>6.6859999999999999</v>
      </c>
      <c r="EQ15" s="33">
        <v>16.359000000000002</v>
      </c>
      <c r="ER15" s="33">
        <v>4.9790000000000001</v>
      </c>
      <c r="ES15" s="33">
        <v>5.4530000000000003</v>
      </c>
      <c r="ET15" s="33">
        <v>10.952999999999999</v>
      </c>
      <c r="EU15" s="33">
        <v>40.284999999999997</v>
      </c>
      <c r="EV15" s="33">
        <v>8.1790000000000003</v>
      </c>
      <c r="EW15" s="33">
        <v>37.933999999999997</v>
      </c>
      <c r="EX15" s="33">
        <v>42.603999999999999</v>
      </c>
      <c r="EY15" s="33">
        <v>2.5609999999999999</v>
      </c>
      <c r="EZ15" s="33">
        <v>3.4420000000000002</v>
      </c>
      <c r="FA15" s="33">
        <v>2.8170000000000002</v>
      </c>
      <c r="FB15" s="33">
        <v>9.4830000000000005</v>
      </c>
      <c r="FC15" s="33">
        <v>13.513999999999999</v>
      </c>
      <c r="FD15" s="33">
        <v>9.4830000000000005</v>
      </c>
      <c r="FE15" s="33">
        <v>13.087</v>
      </c>
      <c r="FF15" s="33">
        <v>8.5350000000000001</v>
      </c>
      <c r="FG15" s="33">
        <v>7.1130000000000004</v>
      </c>
      <c r="FH15" s="33">
        <v>5.9269999999999996</v>
      </c>
      <c r="FI15" s="33">
        <v>22.76</v>
      </c>
      <c r="FJ15" s="33">
        <v>14.519</v>
      </c>
      <c r="FK15" s="33">
        <v>21.029</v>
      </c>
      <c r="FL15" s="33">
        <v>7.0179999999999998</v>
      </c>
      <c r="FM15" s="33">
        <v>19.393999999999998</v>
      </c>
      <c r="FN15" s="33">
        <v>9.7200000000000006</v>
      </c>
      <c r="FO15" s="33">
        <v>34.899000000000001</v>
      </c>
      <c r="FP15" s="33">
        <v>49.787999999999997</v>
      </c>
      <c r="FQ15" s="33">
        <v>9.1039999999999992</v>
      </c>
      <c r="FR15" s="33">
        <v>5.4530000000000003</v>
      </c>
      <c r="FS15" s="33">
        <v>6.5439999999999996</v>
      </c>
      <c r="FT15" s="33">
        <v>8.1790000000000003</v>
      </c>
      <c r="FU15" s="33">
        <v>33.192</v>
      </c>
      <c r="FV15" s="33">
        <v>6.306</v>
      </c>
      <c r="FW15" s="33">
        <v>7.1980000000000004</v>
      </c>
      <c r="FX15" s="33">
        <v>7.1130000000000004</v>
      </c>
      <c r="FY15" s="33">
        <v>6.5439999999999996</v>
      </c>
      <c r="FZ15" s="33">
        <v>6.5439999999999996</v>
      </c>
      <c r="GA15" s="33">
        <v>7.1130000000000004</v>
      </c>
      <c r="GB15" s="33">
        <v>5.9269999999999996</v>
      </c>
      <c r="GC15" s="33">
        <v>3.13</v>
      </c>
      <c r="GD15" s="33">
        <v>5.9749999999999996</v>
      </c>
      <c r="GE15" s="33">
        <v>6.5439999999999996</v>
      </c>
      <c r="GF15" s="33">
        <v>49.787999999999997</v>
      </c>
      <c r="GG15" s="33">
        <v>30.347000000000001</v>
      </c>
      <c r="GH15" s="33">
        <v>2.8450000000000002</v>
      </c>
      <c r="GI15" s="33">
        <v>4.2679999999999998</v>
      </c>
      <c r="GJ15" s="33">
        <v>5.6429999999999998</v>
      </c>
      <c r="GK15" s="33">
        <v>12.803000000000001</v>
      </c>
      <c r="GL15" s="33">
        <v>9.4830000000000005</v>
      </c>
      <c r="GM15" s="33">
        <v>0.93</v>
      </c>
      <c r="GN15" s="33">
        <v>5.5819999999999999</v>
      </c>
      <c r="GO15" s="33">
        <v>1.954</v>
      </c>
      <c r="GP15" s="33">
        <v>7.9080000000000004</v>
      </c>
      <c r="GQ15" s="33">
        <v>1.3029999999999999</v>
      </c>
      <c r="GR15" s="33">
        <v>11.071999999999999</v>
      </c>
      <c r="GS15" s="33">
        <v>2.94</v>
      </c>
      <c r="GT15" s="33">
        <v>8.8390000000000004</v>
      </c>
      <c r="GU15" s="33">
        <v>2.3450000000000002</v>
      </c>
      <c r="GV15" s="33">
        <v>1.5740000000000001</v>
      </c>
      <c r="GW15" s="33">
        <v>1.901</v>
      </c>
      <c r="GX15" s="33">
        <v>8.0939999999999994</v>
      </c>
      <c r="GY15" s="33">
        <v>0.372</v>
      </c>
      <c r="GZ15" s="33">
        <v>1.1160000000000001</v>
      </c>
      <c r="HA15" s="33">
        <v>2.774</v>
      </c>
      <c r="HB15" s="33">
        <v>8.8390000000000004</v>
      </c>
      <c r="HC15" s="33">
        <v>8.8390000000000004</v>
      </c>
      <c r="HD15" s="33">
        <v>4.6520000000000001</v>
      </c>
      <c r="HE15" s="3">
        <f>_xlfn.XLOOKUP(HE$1,generator!$B$2:$B$295,generator!$L$2:$L$295,"ARGH")</f>
        <v>17.600000000000001</v>
      </c>
      <c r="HF15" s="3">
        <f>_xlfn.XLOOKUP(HF$1,generator!$B$2:$B$295,generator!$L$2:$L$295,"ARGH")</f>
        <v>285</v>
      </c>
      <c r="HG15" s="3">
        <f>_xlfn.XLOOKUP(HG$1,generator!$B$2:$B$295,generator!$L$2:$L$295,"ARGH")</f>
        <v>285</v>
      </c>
      <c r="HH15" s="3">
        <f>_xlfn.XLOOKUP(HH$1,generator!$B$2:$B$295,generator!$L$2:$L$295,"ARGH")</f>
        <v>285</v>
      </c>
      <c r="HI15" s="3">
        <f>_xlfn.XLOOKUP(HI$1,generator!$B$2:$B$295,generator!$L$2:$L$295,"ARGH")</f>
        <v>58</v>
      </c>
      <c r="HJ15" s="3">
        <f>_xlfn.XLOOKUP(HJ$1,generator!$B$2:$B$295,generator!$L$2:$L$295,"ARGH")</f>
        <v>58</v>
      </c>
      <c r="HK15" s="3">
        <f>_xlfn.XLOOKUP(HK$1,generator!$B$2:$B$295,generator!$L$2:$L$295,"ARGH")</f>
        <v>53</v>
      </c>
      <c r="HL15" s="3">
        <f>_xlfn.XLOOKUP(HL$1,generator!$B$2:$B$295,generator!$L$2:$L$295,"ARGH")</f>
        <v>58</v>
      </c>
      <c r="HM15" s="3">
        <f>_xlfn.XLOOKUP(HM$1,generator!$B$2:$B$295,generator!$L$2:$L$295,"ARGH")</f>
        <v>58</v>
      </c>
      <c r="HN15" s="3">
        <f>_xlfn.XLOOKUP(HN$1,generator!$B$2:$B$295,generator!$L$2:$L$295,"ARGH")</f>
        <v>52</v>
      </c>
      <c r="HO15" s="3">
        <f>_xlfn.XLOOKUP(HO$1,generator!$B$2:$B$295,generator!$L$2:$L$295,"ARGH")</f>
        <v>52</v>
      </c>
      <c r="HP15" s="3">
        <f>_xlfn.XLOOKUP(HP$1,generator!$B$2:$B$295,generator!$L$2:$L$295,"ARGH")</f>
        <v>2</v>
      </c>
      <c r="HQ15" s="3">
        <f>_xlfn.XLOOKUP(HQ$1,generator!$B$2:$B$295,generator!$L$2:$L$295,"ARGH")</f>
        <v>29.2</v>
      </c>
      <c r="HR15" s="3">
        <f>_xlfn.XLOOKUP(HR$1,generator!$B$2:$B$295,generator!$L$2:$L$295,"ARGH")</f>
        <v>29.2</v>
      </c>
      <c r="HS15" s="3">
        <f>_xlfn.XLOOKUP(HS$1,generator!$B$2:$B$295,generator!$L$2:$L$295,"ARGH")</f>
        <v>41.61</v>
      </c>
      <c r="HT15" s="3">
        <f>_xlfn.XLOOKUP(HT$1,generator!$B$2:$B$295,generator!$L$2:$L$295,"ARGH")</f>
        <v>41.61</v>
      </c>
      <c r="HU15" s="3">
        <f>_xlfn.XLOOKUP(HU$1,generator!$B$2:$B$295,generator!$L$2:$L$295,"ARGH")</f>
        <v>160</v>
      </c>
      <c r="HV15" s="3">
        <f>_xlfn.XLOOKUP(HV$1,generator!$B$2:$B$295,generator!$L$2:$L$295,"ARGH")</f>
        <v>260</v>
      </c>
      <c r="HW15" s="3">
        <f>_xlfn.XLOOKUP(HW$1,generator!$B$2:$B$295,generator!$L$2:$L$295,"ARGH")</f>
        <v>52</v>
      </c>
      <c r="HX15" s="3">
        <f>_xlfn.XLOOKUP(HX$1,generator!$B$2:$B$295,generator!$L$2:$L$295,"ARGH")</f>
        <v>52</v>
      </c>
      <c r="HY15" s="3">
        <f>_xlfn.XLOOKUP(HY$1,generator!$B$2:$B$295,generator!$L$2:$L$295,"ARGH")</f>
        <v>101</v>
      </c>
      <c r="HZ15" s="3">
        <f>_xlfn.XLOOKUP(HZ$1,generator!$B$2:$B$295,generator!$L$2:$L$295,"ARGH")</f>
        <v>50</v>
      </c>
      <c r="IA15" s="3">
        <f>_xlfn.XLOOKUP(IA$1,generator!$B$2:$B$295,generator!$L$2:$L$295,"ARGH")</f>
        <v>400</v>
      </c>
      <c r="IB15" s="3">
        <f>_xlfn.XLOOKUP(IB$1,generator!$B$2:$B$295,generator!$L$2:$L$295,"ARGH")</f>
        <v>342</v>
      </c>
      <c r="IC15" s="3">
        <f>_xlfn.XLOOKUP(IC$1,generator!$B$2:$B$295,generator!$L$2:$L$295,"ARGH")</f>
        <v>3.0209999999999999</v>
      </c>
      <c r="ID15" s="3">
        <f>_xlfn.XLOOKUP(ID$1,generator!$B$2:$B$295,generator!$L$2:$L$295,"ARGH")</f>
        <v>200</v>
      </c>
      <c r="IE15" s="3">
        <f>_xlfn.XLOOKUP(IE$1,generator!$B$2:$B$295,generator!$L$2:$L$295,"ARGH")</f>
        <v>404</v>
      </c>
      <c r="IF15" s="3">
        <f>_xlfn.XLOOKUP(IF$1,generator!$B$2:$B$295,generator!$L$2:$L$295,"ARGH")</f>
        <v>21</v>
      </c>
      <c r="IG15" s="3">
        <f>_xlfn.XLOOKUP(IG$1,generator!$B$2:$B$295,generator!$L$2:$L$295,"ARGH")</f>
        <v>22</v>
      </c>
      <c r="IH15" s="3">
        <f>_xlfn.XLOOKUP(IH$1,generator!$B$2:$B$295,generator!$L$2:$L$295,"ARGH")</f>
        <v>19</v>
      </c>
      <c r="II15" s="3">
        <f>_xlfn.XLOOKUP(II$1,generator!$B$2:$B$295,generator!$L$2:$L$295,"ARGH")</f>
        <v>24</v>
      </c>
      <c r="IJ15" s="3">
        <f>_xlfn.XLOOKUP(IJ$1,generator!$B$2:$B$295,generator!$L$2:$L$295,"ARGH")</f>
        <v>4.3</v>
      </c>
      <c r="IK15" s="3">
        <f>_xlfn.XLOOKUP(IK$1,generator!$B$2:$B$295,generator!$L$2:$L$295,"ARGH")</f>
        <v>8</v>
      </c>
      <c r="IL15" s="3">
        <f>_xlfn.XLOOKUP(IL$1,generator!$B$2:$B$295,generator!$L$2:$L$295,"ARGH")</f>
        <v>22.5</v>
      </c>
      <c r="IM15" s="3">
        <f>_xlfn.XLOOKUP(IM$1,generator!$B$2:$B$295,generator!$L$2:$L$295,"ARGH")</f>
        <v>22.5</v>
      </c>
      <c r="IN15" s="3">
        <f>_xlfn.XLOOKUP(IN$1,generator!$B$2:$B$295,generator!$L$2:$L$295,"ARGH")</f>
        <v>10</v>
      </c>
      <c r="IO15" s="3">
        <f>_xlfn.XLOOKUP(IO$1,generator!$B$2:$B$295,generator!$L$2:$L$295,"ARGH")</f>
        <v>10</v>
      </c>
      <c r="IP15" s="3">
        <f>_xlfn.XLOOKUP(IP$1,generator!$B$2:$B$295,generator!$L$2:$L$295,"ARGH")</f>
        <v>15</v>
      </c>
      <c r="IQ15" s="3">
        <f>_xlfn.XLOOKUP(IQ$1,generator!$B$2:$B$295,generator!$L$2:$L$295,"ARGH")</f>
        <v>4</v>
      </c>
      <c r="IR15" s="3">
        <f>_xlfn.XLOOKUP(IR$1,generator!$B$2:$B$295,generator!$L$2:$L$295,"ARGH")</f>
        <v>15</v>
      </c>
      <c r="IS15" s="3">
        <f>_xlfn.XLOOKUP(IS$1,generator!$B$2:$B$295,generator!$L$2:$L$295,"ARGH")</f>
        <v>15</v>
      </c>
      <c r="IT15" s="3">
        <f>_xlfn.XLOOKUP(IT$1,generator!$B$2:$B$295,generator!$L$2:$L$295,"ARGH")</f>
        <v>0.18</v>
      </c>
      <c r="IU15" s="3">
        <f>_xlfn.XLOOKUP(IU$1,generator!$B$2:$B$295,generator!$L$2:$L$295,"ARGH")</f>
        <v>4</v>
      </c>
      <c r="IV15" s="3">
        <f>_xlfn.XLOOKUP(IV$1,generator!$B$2:$B$295,generator!$L$2:$L$295,"ARGH")</f>
        <v>4</v>
      </c>
      <c r="IW15" s="3">
        <f>_xlfn.XLOOKUP(IW$1,generator!$B$2:$B$295,generator!$L$2:$L$295,"ARGH")</f>
        <v>90</v>
      </c>
      <c r="IX15" s="3">
        <f>_xlfn.XLOOKUP(IX$1,generator!$B$2:$B$295,generator!$L$2:$L$295,"ARGH")</f>
        <v>90</v>
      </c>
      <c r="IY15" s="3">
        <f>_xlfn.XLOOKUP(IY$1,generator!$B$2:$B$295,generator!$L$2:$L$295,"ARGH")</f>
        <v>90</v>
      </c>
      <c r="IZ15" s="3">
        <f>_xlfn.XLOOKUP(IZ$1,generator!$B$2:$B$295,generator!$L$2:$L$295,"ARGH")</f>
        <v>449</v>
      </c>
      <c r="JA15" s="3">
        <f>_xlfn.XLOOKUP(JA$1,generator!$B$2:$B$295,generator!$L$2:$L$295,"ARGH")</f>
        <v>83</v>
      </c>
      <c r="JB15" s="3">
        <f>_xlfn.XLOOKUP(JB$1,generator!$B$2:$B$295,generator!$L$2:$L$295,"ARGH")</f>
        <v>83</v>
      </c>
      <c r="JC15" s="3">
        <f>_xlfn.XLOOKUP(JC$1,generator!$B$2:$B$295,generator!$L$2:$L$295,"ARGH")</f>
        <v>247</v>
      </c>
      <c r="JD15" s="3">
        <f>_xlfn.XLOOKUP(JD$1,generator!$B$2:$B$295,generator!$L$2:$L$295,"ARGH")</f>
        <v>247</v>
      </c>
      <c r="JE15" s="3">
        <f>_xlfn.XLOOKUP(JE$1,generator!$B$2:$B$295,generator!$L$2:$L$295,"ARGH")</f>
        <v>425</v>
      </c>
      <c r="JF15" s="3">
        <f>_xlfn.XLOOKUP(JF$1,generator!$B$2:$B$295,generator!$L$2:$L$295,"ARGH")</f>
        <v>63.5</v>
      </c>
      <c r="JG15" s="3">
        <f>_xlfn.XLOOKUP(JG$1,generator!$B$2:$B$295,generator!$L$2:$L$295,"ARGH")</f>
        <v>17</v>
      </c>
      <c r="JH15" s="3">
        <f>_xlfn.XLOOKUP(JH$1,generator!$B$2:$B$295,generator!$L$2:$L$295,"ARGH")</f>
        <v>444</v>
      </c>
      <c r="JI15" s="3">
        <f>_xlfn.XLOOKUP(JI$1,generator!$B$2:$B$295,generator!$L$2:$L$295,"ARGH")</f>
        <v>464</v>
      </c>
      <c r="JJ15" s="3">
        <f>_xlfn.XLOOKUP(JJ$1,generator!$B$2:$B$295,generator!$L$2:$L$295,"ARGH")</f>
        <v>18.54</v>
      </c>
      <c r="JK15" s="3">
        <f>_xlfn.XLOOKUP(JK$1,generator!$B$2:$B$295,generator!$L$2:$L$295,"ARGH")</f>
        <v>18.54</v>
      </c>
      <c r="JL15" s="3">
        <f>_xlfn.XLOOKUP(JL$1,generator!$B$2:$B$295,generator!$L$2:$L$295,"ARGH")</f>
        <v>18.54</v>
      </c>
      <c r="JM15" s="3">
        <f>_xlfn.XLOOKUP(JM$1,generator!$B$2:$B$295,generator!$L$2:$L$295,"ARGH")</f>
        <v>18.54</v>
      </c>
      <c r="JN15" s="3">
        <f>_xlfn.XLOOKUP(JN$1,generator!$B$2:$B$295,generator!$L$2:$L$295,"ARGH")</f>
        <v>18.54</v>
      </c>
      <c r="JO15" s="3">
        <f>_xlfn.XLOOKUP(JO$1,generator!$B$2:$B$295,generator!$L$2:$L$295,"ARGH")</f>
        <v>18.54</v>
      </c>
      <c r="JP15" s="3">
        <f>_xlfn.XLOOKUP(JP$1,generator!$B$2:$B$295,generator!$L$2:$L$295,"ARGH")</f>
        <v>415</v>
      </c>
      <c r="JQ15" s="3">
        <f>_xlfn.XLOOKUP(JQ$1,generator!$B$2:$B$295,generator!$L$2:$L$295,"ARGH")</f>
        <v>63.5</v>
      </c>
      <c r="JR15" s="3">
        <f>_xlfn.XLOOKUP(JR$1,generator!$B$2:$B$295,generator!$L$2:$L$295,"ARGH")</f>
        <v>350</v>
      </c>
      <c r="JS15" s="3">
        <f>_xlfn.XLOOKUP(JS$1,generator!$B$2:$B$295,generator!$L$2:$L$295,"ARGH")</f>
        <v>350</v>
      </c>
      <c r="JT15" s="3">
        <f>_xlfn.XLOOKUP(JT$1,generator!$B$2:$B$295,generator!$L$2:$L$295,"ARGH")</f>
        <v>63.5</v>
      </c>
      <c r="JU15" s="3">
        <f>_xlfn.XLOOKUP(JU$1,generator!$B$2:$B$295,generator!$L$2:$L$295,"ARGH")</f>
        <v>61.5</v>
      </c>
      <c r="JV15" s="3">
        <f>_xlfn.XLOOKUP(JV$1,generator!$B$2:$B$295,generator!$L$2:$L$295,"ARGH")</f>
        <v>240</v>
      </c>
      <c r="JW15" s="3">
        <f>_xlfn.XLOOKUP(JW$1,generator!$B$2:$B$295,generator!$L$2:$L$295,"ARGH")</f>
        <v>236</v>
      </c>
      <c r="JX15" s="3">
        <f>_xlfn.XLOOKUP(JX$1,generator!$B$2:$B$295,generator!$L$2:$L$295,"ARGH")</f>
        <v>20</v>
      </c>
      <c r="JY15" s="3">
        <f>_xlfn.XLOOKUP(JY$1,generator!$B$2:$B$295,generator!$L$2:$L$295,"ARGH")</f>
        <v>118</v>
      </c>
      <c r="JZ15" s="3">
        <f>_xlfn.XLOOKUP(JZ$1,generator!$B$2:$B$295,generator!$L$2:$L$295,"ARGH")</f>
        <v>73</v>
      </c>
      <c r="KA15" s="3">
        <f>_xlfn.XLOOKUP(KA$1,generator!$B$2:$B$295,generator!$L$2:$L$295,"ARGH")</f>
        <v>73</v>
      </c>
      <c r="KB15" s="3">
        <f>_xlfn.XLOOKUP(KB$1,generator!$B$2:$B$295,generator!$L$2:$L$295,"ARGH")</f>
        <v>73</v>
      </c>
      <c r="KC15" s="3">
        <f>_xlfn.XLOOKUP(KC$1,generator!$B$2:$B$295,generator!$L$2:$L$295,"ARGH")</f>
        <v>73</v>
      </c>
    </row>
    <row r="16" spans="1:289" x14ac:dyDescent="0.3">
      <c r="A16" s="4" t="s">
        <v>3011</v>
      </c>
      <c r="B16" s="31">
        <v>96.5</v>
      </c>
      <c r="C16" s="31">
        <v>513.5</v>
      </c>
      <c r="D16" s="31">
        <v>307</v>
      </c>
      <c r="E16" s="33">
        <v>13.016</v>
      </c>
      <c r="F16" s="33">
        <v>27.96</v>
      </c>
      <c r="G16" s="33">
        <v>13.016</v>
      </c>
      <c r="H16" s="33">
        <v>21.693000000000001</v>
      </c>
      <c r="I16" s="33">
        <v>42.904000000000003</v>
      </c>
      <c r="J16" s="33">
        <v>40.011000000000003</v>
      </c>
      <c r="K16" s="33">
        <v>10.846</v>
      </c>
      <c r="L16" s="33">
        <v>8.2910000000000004</v>
      </c>
      <c r="M16" s="33">
        <v>7.2309999999999999</v>
      </c>
      <c r="N16" s="33">
        <v>26.030999999999999</v>
      </c>
      <c r="O16" s="33">
        <v>2.6030000000000002</v>
      </c>
      <c r="P16" s="33">
        <v>12.340999999999999</v>
      </c>
      <c r="Q16" s="33">
        <v>16.969000000000001</v>
      </c>
      <c r="R16" s="33">
        <v>8.6769999999999996</v>
      </c>
      <c r="S16" s="33">
        <v>16.559000000000001</v>
      </c>
      <c r="T16" s="33">
        <v>11.57</v>
      </c>
      <c r="U16" s="33">
        <v>20.247</v>
      </c>
      <c r="V16" s="33">
        <v>10.196</v>
      </c>
      <c r="W16" s="33">
        <v>11.087</v>
      </c>
      <c r="X16" s="33">
        <v>15.619</v>
      </c>
      <c r="Y16" s="33">
        <v>8.0990000000000002</v>
      </c>
      <c r="Z16" s="33">
        <v>5.7370000000000001</v>
      </c>
      <c r="AA16" s="33">
        <v>5.2060000000000004</v>
      </c>
      <c r="AB16" s="33">
        <v>27.478000000000002</v>
      </c>
      <c r="AC16" s="33">
        <v>31.672000000000001</v>
      </c>
      <c r="AD16" s="33">
        <v>11.183999999999999</v>
      </c>
      <c r="AE16" s="33">
        <v>9.641</v>
      </c>
      <c r="AF16" s="33">
        <v>27.187999999999999</v>
      </c>
      <c r="AG16" s="33">
        <v>9.641</v>
      </c>
      <c r="AH16" s="33">
        <v>5.7850000000000001</v>
      </c>
      <c r="AI16" s="33">
        <v>6.46</v>
      </c>
      <c r="AJ16" s="33">
        <v>11.57</v>
      </c>
      <c r="AK16" s="33">
        <v>4.1219999999999999</v>
      </c>
      <c r="AL16" s="33">
        <v>17.827000000000002</v>
      </c>
      <c r="AM16" s="33">
        <v>22.898</v>
      </c>
      <c r="AN16" s="33">
        <v>9.641</v>
      </c>
      <c r="AO16" s="33">
        <v>6.6520000000000001</v>
      </c>
      <c r="AP16" s="33">
        <v>26.175999999999998</v>
      </c>
      <c r="AQ16" s="33">
        <v>9.0150000000000006</v>
      </c>
      <c r="AR16" s="33">
        <v>8.4359999999999999</v>
      </c>
      <c r="AS16" s="33">
        <v>25.067</v>
      </c>
      <c r="AT16" s="33">
        <v>6.8129999999999997</v>
      </c>
      <c r="AU16" s="33">
        <v>18.318000000000001</v>
      </c>
      <c r="AV16" s="33">
        <v>15.667</v>
      </c>
      <c r="AW16" s="33">
        <v>15.907999999999999</v>
      </c>
      <c r="AX16" s="33">
        <v>8.8219999999999992</v>
      </c>
      <c r="AY16" s="33">
        <v>15.956</v>
      </c>
      <c r="AZ16" s="33">
        <v>18.245999999999999</v>
      </c>
      <c r="BA16" s="33">
        <v>6.7489999999999997</v>
      </c>
      <c r="BB16" s="33">
        <v>22.175000000000001</v>
      </c>
      <c r="BC16" s="33">
        <v>9.641</v>
      </c>
      <c r="BD16" s="33">
        <v>5.7850000000000001</v>
      </c>
      <c r="BE16" s="33">
        <v>5.5439999999999996</v>
      </c>
      <c r="BF16" s="33">
        <v>43.386000000000003</v>
      </c>
      <c r="BG16" s="33">
        <v>7.2309999999999999</v>
      </c>
      <c r="BH16" s="33">
        <v>12.052</v>
      </c>
      <c r="BI16" s="33">
        <v>10.122999999999999</v>
      </c>
      <c r="BJ16" s="33">
        <v>20.247</v>
      </c>
      <c r="BK16" s="33">
        <v>5.7850000000000001</v>
      </c>
      <c r="BL16" s="33">
        <v>20.488</v>
      </c>
      <c r="BM16" s="33">
        <v>4.0979999999999999</v>
      </c>
      <c r="BN16" s="33">
        <v>14.462</v>
      </c>
      <c r="BO16" s="33">
        <v>20.555</v>
      </c>
      <c r="BP16" s="33">
        <v>55.052</v>
      </c>
      <c r="BQ16" s="33">
        <v>17.353999999999999</v>
      </c>
      <c r="BR16" s="33">
        <v>26.030999999999999</v>
      </c>
      <c r="BS16" s="33">
        <v>8.4359999999999999</v>
      </c>
      <c r="BT16" s="33">
        <v>16.631</v>
      </c>
      <c r="BU16" s="33">
        <v>2.3140000000000001</v>
      </c>
      <c r="BV16" s="33">
        <v>4.9649999999999999</v>
      </c>
      <c r="BW16" s="33">
        <v>6.5460000000000003</v>
      </c>
      <c r="BX16" s="33">
        <v>5.327</v>
      </c>
      <c r="BY16" s="33">
        <v>12.052</v>
      </c>
      <c r="BZ16" s="33">
        <v>19.667999999999999</v>
      </c>
      <c r="CA16" s="33">
        <v>28.683</v>
      </c>
      <c r="CB16" s="33">
        <v>16.39</v>
      </c>
      <c r="CC16" s="33">
        <v>13.739000000000001</v>
      </c>
      <c r="CD16" s="33">
        <v>18.510999999999999</v>
      </c>
      <c r="CE16" s="33">
        <v>12.052</v>
      </c>
      <c r="CF16" s="33">
        <v>7.7610000000000001</v>
      </c>
      <c r="CG16" s="33">
        <v>8.4359999999999999</v>
      </c>
      <c r="CH16" s="33">
        <v>13.474</v>
      </c>
      <c r="CI16" s="33">
        <v>6.2910000000000004</v>
      </c>
      <c r="CJ16" s="33">
        <v>2.145</v>
      </c>
      <c r="CK16" s="33">
        <v>11.955</v>
      </c>
      <c r="CL16" s="33">
        <v>8.1470000000000002</v>
      </c>
      <c r="CM16" s="33">
        <v>7.2309999999999999</v>
      </c>
      <c r="CN16" s="33">
        <v>28.55</v>
      </c>
      <c r="CO16" s="33">
        <v>11.327999999999999</v>
      </c>
      <c r="CP16" s="33">
        <v>22.561</v>
      </c>
      <c r="CQ16" s="33">
        <v>15.426</v>
      </c>
      <c r="CR16" s="33">
        <v>12.534000000000001</v>
      </c>
      <c r="CS16" s="33">
        <v>10.605</v>
      </c>
      <c r="CT16" s="33">
        <v>14.365</v>
      </c>
      <c r="CU16" s="33">
        <v>6.6520000000000001</v>
      </c>
      <c r="CV16" s="33">
        <v>12.196</v>
      </c>
      <c r="CW16" s="33">
        <v>13.497999999999999</v>
      </c>
      <c r="CX16" s="33">
        <v>6.0259999999999998</v>
      </c>
      <c r="CY16" s="33">
        <v>16.462</v>
      </c>
      <c r="CZ16" s="33">
        <v>5.7850000000000001</v>
      </c>
      <c r="DA16" s="33">
        <v>14.462</v>
      </c>
      <c r="DB16" s="33">
        <v>9.0630000000000006</v>
      </c>
      <c r="DC16" s="33">
        <v>6.7969999999999997</v>
      </c>
      <c r="DD16" s="33">
        <v>7.7610000000000001</v>
      </c>
      <c r="DE16" s="33">
        <v>6.0259999999999998</v>
      </c>
      <c r="DF16" s="33">
        <v>10.413</v>
      </c>
      <c r="DG16" s="33">
        <v>17.329999999999998</v>
      </c>
      <c r="DH16" s="33">
        <v>36.155000000000001</v>
      </c>
      <c r="DI16" s="33">
        <v>17.353999999999999</v>
      </c>
      <c r="DJ16" s="33">
        <v>7.2309999999999999</v>
      </c>
      <c r="DK16" s="33">
        <v>9.9789999999999992</v>
      </c>
      <c r="DL16" s="33">
        <v>17.86</v>
      </c>
      <c r="DM16" s="33">
        <v>8.6769999999999996</v>
      </c>
      <c r="DN16" s="33">
        <v>48.206000000000003</v>
      </c>
      <c r="DO16" s="33">
        <v>16.196999999999999</v>
      </c>
      <c r="DP16" s="33">
        <v>48.688000000000002</v>
      </c>
      <c r="DQ16" s="33">
        <v>1.1279999999999999</v>
      </c>
      <c r="DR16" s="33">
        <v>43.963999999999999</v>
      </c>
      <c r="DS16" s="33">
        <v>7.7610000000000001</v>
      </c>
      <c r="DT16" s="33">
        <v>14.51</v>
      </c>
      <c r="DU16" s="33">
        <v>7.2309999999999999</v>
      </c>
      <c r="DV16" s="33">
        <v>5.7270000000000003</v>
      </c>
      <c r="DW16" s="33">
        <v>6.7489999999999997</v>
      </c>
      <c r="DX16" s="33">
        <v>18.751999999999999</v>
      </c>
      <c r="DY16" s="33">
        <v>12.534000000000001</v>
      </c>
      <c r="DZ16" s="33">
        <v>5.64</v>
      </c>
      <c r="EA16" s="33">
        <v>19.283000000000001</v>
      </c>
      <c r="EB16" s="33">
        <v>17.353999999999999</v>
      </c>
      <c r="EC16" s="33">
        <v>11.087</v>
      </c>
      <c r="ED16" s="33">
        <v>13.882999999999999</v>
      </c>
      <c r="EE16" s="33">
        <v>23.524999999999999</v>
      </c>
      <c r="EF16" s="33">
        <v>7.2309999999999999</v>
      </c>
      <c r="EG16" s="33">
        <v>4.4349999999999996</v>
      </c>
      <c r="EH16" s="33">
        <v>19.957000000000001</v>
      </c>
      <c r="EI16" s="33">
        <v>7.1349999999999998</v>
      </c>
      <c r="EJ16" s="33">
        <v>4.4349999999999996</v>
      </c>
      <c r="EK16" s="33">
        <v>7.2309999999999999</v>
      </c>
      <c r="EL16" s="33">
        <v>11.57</v>
      </c>
      <c r="EM16" s="33">
        <v>15.522</v>
      </c>
      <c r="EN16" s="33">
        <v>8.8699999999999992</v>
      </c>
      <c r="EO16" s="33">
        <v>9.641</v>
      </c>
      <c r="EP16" s="33">
        <v>6.7969999999999997</v>
      </c>
      <c r="EQ16" s="33">
        <v>16.631</v>
      </c>
      <c r="ER16" s="33">
        <v>5.0620000000000003</v>
      </c>
      <c r="ES16" s="33">
        <v>5.5439999999999996</v>
      </c>
      <c r="ET16" s="33">
        <v>11.135999999999999</v>
      </c>
      <c r="EU16" s="33">
        <v>40.956000000000003</v>
      </c>
      <c r="EV16" s="33">
        <v>8.3160000000000007</v>
      </c>
      <c r="EW16" s="33">
        <v>38.564999999999998</v>
      </c>
      <c r="EX16" s="33">
        <v>43.313000000000002</v>
      </c>
      <c r="EY16" s="33">
        <v>2.6030000000000002</v>
      </c>
      <c r="EZ16" s="33">
        <v>3.5</v>
      </c>
      <c r="FA16" s="33">
        <v>2.863</v>
      </c>
      <c r="FB16" s="33">
        <v>9.641</v>
      </c>
      <c r="FC16" s="33">
        <v>13.739000000000001</v>
      </c>
      <c r="FD16" s="33">
        <v>9.641</v>
      </c>
      <c r="FE16" s="33">
        <v>13.305</v>
      </c>
      <c r="FF16" s="33">
        <v>8.6769999999999996</v>
      </c>
      <c r="FG16" s="33">
        <v>7.2309999999999999</v>
      </c>
      <c r="FH16" s="33">
        <v>6.0259999999999998</v>
      </c>
      <c r="FI16" s="33">
        <v>23.138999999999999</v>
      </c>
      <c r="FJ16" s="33">
        <v>14.760999999999999</v>
      </c>
      <c r="FK16" s="33">
        <v>21.38</v>
      </c>
      <c r="FL16" s="33">
        <v>7.1349999999999998</v>
      </c>
      <c r="FM16" s="33">
        <v>19.716000000000001</v>
      </c>
      <c r="FN16" s="33">
        <v>9.8819999999999997</v>
      </c>
      <c r="FO16" s="33">
        <v>35.479999999999997</v>
      </c>
      <c r="FP16" s="33">
        <v>50.616999999999997</v>
      </c>
      <c r="FQ16" s="33">
        <v>9.2560000000000002</v>
      </c>
      <c r="FR16" s="33">
        <v>5.5439999999999996</v>
      </c>
      <c r="FS16" s="33">
        <v>6.6520000000000001</v>
      </c>
      <c r="FT16" s="33">
        <v>8.3160000000000007</v>
      </c>
      <c r="FU16" s="33">
        <v>33.744</v>
      </c>
      <c r="FV16" s="33">
        <v>6.4109999999999996</v>
      </c>
      <c r="FW16" s="33">
        <v>7.3179999999999996</v>
      </c>
      <c r="FX16" s="33">
        <v>7.2309999999999999</v>
      </c>
      <c r="FY16" s="33">
        <v>6.6520000000000001</v>
      </c>
      <c r="FZ16" s="33">
        <v>6.6520000000000001</v>
      </c>
      <c r="GA16" s="33">
        <v>7.2309999999999999</v>
      </c>
      <c r="GB16" s="33">
        <v>6.0259999999999998</v>
      </c>
      <c r="GC16" s="33">
        <v>3.1819999999999999</v>
      </c>
      <c r="GD16" s="33">
        <v>6.0739999999999998</v>
      </c>
      <c r="GE16" s="33">
        <v>6.6520000000000001</v>
      </c>
      <c r="GF16" s="33">
        <v>50.616999999999997</v>
      </c>
      <c r="GG16" s="33">
        <v>30.852</v>
      </c>
      <c r="GH16" s="33">
        <v>2.8919999999999999</v>
      </c>
      <c r="GI16" s="33">
        <v>4.3390000000000004</v>
      </c>
      <c r="GJ16" s="33">
        <v>5.7370000000000001</v>
      </c>
      <c r="GK16" s="33">
        <v>13.016</v>
      </c>
      <c r="GL16" s="33">
        <v>9.641</v>
      </c>
      <c r="GM16" s="33">
        <v>1.3520000000000001</v>
      </c>
      <c r="GN16" s="33">
        <v>8.1150000000000002</v>
      </c>
      <c r="GO16" s="33">
        <v>2.84</v>
      </c>
      <c r="GP16" s="33">
        <v>11.496</v>
      </c>
      <c r="GQ16" s="33">
        <v>1.893</v>
      </c>
      <c r="GR16" s="33">
        <v>16.094999999999999</v>
      </c>
      <c r="GS16" s="33">
        <v>4.274</v>
      </c>
      <c r="GT16" s="33">
        <v>12.849</v>
      </c>
      <c r="GU16" s="33">
        <v>3.4079999999999999</v>
      </c>
      <c r="GV16" s="33">
        <v>2.2879999999999998</v>
      </c>
      <c r="GW16" s="33">
        <v>2.7629999999999999</v>
      </c>
      <c r="GX16" s="33">
        <v>11.766999999999999</v>
      </c>
      <c r="GY16" s="33">
        <v>0.54100000000000004</v>
      </c>
      <c r="GZ16" s="33">
        <v>1.623</v>
      </c>
      <c r="HA16" s="33">
        <v>4.032</v>
      </c>
      <c r="HB16" s="33">
        <v>12.849</v>
      </c>
      <c r="HC16" s="33">
        <v>12.849</v>
      </c>
      <c r="HD16" s="33">
        <v>6.7619999999999996</v>
      </c>
      <c r="HE16" s="3">
        <f>_xlfn.XLOOKUP(HE$1,generator!$B$2:$B$295,generator!$L$2:$L$295,"ARGH")</f>
        <v>17.600000000000001</v>
      </c>
      <c r="HF16" s="3">
        <f>_xlfn.XLOOKUP(HF$1,generator!$B$2:$B$295,generator!$L$2:$L$295,"ARGH")</f>
        <v>285</v>
      </c>
      <c r="HG16" s="3">
        <f>_xlfn.XLOOKUP(HG$1,generator!$B$2:$B$295,generator!$L$2:$L$295,"ARGH")</f>
        <v>285</v>
      </c>
      <c r="HH16" s="3">
        <f>_xlfn.XLOOKUP(HH$1,generator!$B$2:$B$295,generator!$L$2:$L$295,"ARGH")</f>
        <v>285</v>
      </c>
      <c r="HI16" s="3">
        <f>_xlfn.XLOOKUP(HI$1,generator!$B$2:$B$295,generator!$L$2:$L$295,"ARGH")</f>
        <v>58</v>
      </c>
      <c r="HJ16" s="3">
        <f>_xlfn.XLOOKUP(HJ$1,generator!$B$2:$B$295,generator!$L$2:$L$295,"ARGH")</f>
        <v>58</v>
      </c>
      <c r="HK16" s="3">
        <f>_xlfn.XLOOKUP(HK$1,generator!$B$2:$B$295,generator!$L$2:$L$295,"ARGH")</f>
        <v>53</v>
      </c>
      <c r="HL16" s="3">
        <f>_xlfn.XLOOKUP(HL$1,generator!$B$2:$B$295,generator!$L$2:$L$295,"ARGH")</f>
        <v>58</v>
      </c>
      <c r="HM16" s="3">
        <f>_xlfn.XLOOKUP(HM$1,generator!$B$2:$B$295,generator!$L$2:$L$295,"ARGH")</f>
        <v>58</v>
      </c>
      <c r="HN16" s="3">
        <f>_xlfn.XLOOKUP(HN$1,generator!$B$2:$B$295,generator!$L$2:$L$295,"ARGH")</f>
        <v>52</v>
      </c>
      <c r="HO16" s="3">
        <f>_xlfn.XLOOKUP(HO$1,generator!$B$2:$B$295,generator!$L$2:$L$295,"ARGH")</f>
        <v>52</v>
      </c>
      <c r="HP16" s="3">
        <f>_xlfn.XLOOKUP(HP$1,generator!$B$2:$B$295,generator!$L$2:$L$295,"ARGH")</f>
        <v>2</v>
      </c>
      <c r="HQ16" s="3">
        <f>_xlfn.XLOOKUP(HQ$1,generator!$B$2:$B$295,generator!$L$2:$L$295,"ARGH")</f>
        <v>29.2</v>
      </c>
      <c r="HR16" s="3">
        <f>_xlfn.XLOOKUP(HR$1,generator!$B$2:$B$295,generator!$L$2:$L$295,"ARGH")</f>
        <v>29.2</v>
      </c>
      <c r="HS16" s="3">
        <f>_xlfn.XLOOKUP(HS$1,generator!$B$2:$B$295,generator!$L$2:$L$295,"ARGH")</f>
        <v>41.61</v>
      </c>
      <c r="HT16" s="3">
        <f>_xlfn.XLOOKUP(HT$1,generator!$B$2:$B$295,generator!$L$2:$L$295,"ARGH")</f>
        <v>41.61</v>
      </c>
      <c r="HU16" s="3">
        <f>_xlfn.XLOOKUP(HU$1,generator!$B$2:$B$295,generator!$L$2:$L$295,"ARGH")</f>
        <v>160</v>
      </c>
      <c r="HV16" s="3">
        <f>_xlfn.XLOOKUP(HV$1,generator!$B$2:$B$295,generator!$L$2:$L$295,"ARGH")</f>
        <v>260</v>
      </c>
      <c r="HW16" s="3">
        <f>_xlfn.XLOOKUP(HW$1,generator!$B$2:$B$295,generator!$L$2:$L$295,"ARGH")</f>
        <v>52</v>
      </c>
      <c r="HX16" s="3">
        <f>_xlfn.XLOOKUP(HX$1,generator!$B$2:$B$295,generator!$L$2:$L$295,"ARGH")</f>
        <v>52</v>
      </c>
      <c r="HY16" s="3">
        <f>_xlfn.XLOOKUP(HY$1,generator!$B$2:$B$295,generator!$L$2:$L$295,"ARGH")</f>
        <v>101</v>
      </c>
      <c r="HZ16" s="3">
        <f>_xlfn.XLOOKUP(HZ$1,generator!$B$2:$B$295,generator!$L$2:$L$295,"ARGH")</f>
        <v>50</v>
      </c>
      <c r="IA16" s="3">
        <f>_xlfn.XLOOKUP(IA$1,generator!$B$2:$B$295,generator!$L$2:$L$295,"ARGH")</f>
        <v>400</v>
      </c>
      <c r="IB16" s="3">
        <f>_xlfn.XLOOKUP(IB$1,generator!$B$2:$B$295,generator!$L$2:$L$295,"ARGH")</f>
        <v>342</v>
      </c>
      <c r="IC16" s="3">
        <f>_xlfn.XLOOKUP(IC$1,generator!$B$2:$B$295,generator!$L$2:$L$295,"ARGH")</f>
        <v>3.0209999999999999</v>
      </c>
      <c r="ID16" s="3">
        <f>_xlfn.XLOOKUP(ID$1,generator!$B$2:$B$295,generator!$L$2:$L$295,"ARGH")</f>
        <v>200</v>
      </c>
      <c r="IE16" s="3">
        <f>_xlfn.XLOOKUP(IE$1,generator!$B$2:$B$295,generator!$L$2:$L$295,"ARGH")</f>
        <v>404</v>
      </c>
      <c r="IF16" s="3">
        <f>_xlfn.XLOOKUP(IF$1,generator!$B$2:$B$295,generator!$L$2:$L$295,"ARGH")</f>
        <v>21</v>
      </c>
      <c r="IG16" s="3">
        <f>_xlfn.XLOOKUP(IG$1,generator!$B$2:$B$295,generator!$L$2:$L$295,"ARGH")</f>
        <v>22</v>
      </c>
      <c r="IH16" s="3">
        <f>_xlfn.XLOOKUP(IH$1,generator!$B$2:$B$295,generator!$L$2:$L$295,"ARGH")</f>
        <v>19</v>
      </c>
      <c r="II16" s="3">
        <f>_xlfn.XLOOKUP(II$1,generator!$B$2:$B$295,generator!$L$2:$L$295,"ARGH")</f>
        <v>24</v>
      </c>
      <c r="IJ16" s="3">
        <f>_xlfn.XLOOKUP(IJ$1,generator!$B$2:$B$295,generator!$L$2:$L$295,"ARGH")</f>
        <v>4.3</v>
      </c>
      <c r="IK16" s="3">
        <f>_xlfn.XLOOKUP(IK$1,generator!$B$2:$B$295,generator!$L$2:$L$295,"ARGH")</f>
        <v>8</v>
      </c>
      <c r="IL16" s="3">
        <f>_xlfn.XLOOKUP(IL$1,generator!$B$2:$B$295,generator!$L$2:$L$295,"ARGH")</f>
        <v>22.5</v>
      </c>
      <c r="IM16" s="3">
        <f>_xlfn.XLOOKUP(IM$1,generator!$B$2:$B$295,generator!$L$2:$L$295,"ARGH")</f>
        <v>22.5</v>
      </c>
      <c r="IN16" s="3">
        <f>_xlfn.XLOOKUP(IN$1,generator!$B$2:$B$295,generator!$L$2:$L$295,"ARGH")</f>
        <v>10</v>
      </c>
      <c r="IO16" s="3">
        <f>_xlfn.XLOOKUP(IO$1,generator!$B$2:$B$295,generator!$L$2:$L$295,"ARGH")</f>
        <v>10</v>
      </c>
      <c r="IP16" s="3">
        <f>_xlfn.XLOOKUP(IP$1,generator!$B$2:$B$295,generator!$L$2:$L$295,"ARGH")</f>
        <v>15</v>
      </c>
      <c r="IQ16" s="3">
        <f>_xlfn.XLOOKUP(IQ$1,generator!$B$2:$B$295,generator!$L$2:$L$295,"ARGH")</f>
        <v>4</v>
      </c>
      <c r="IR16" s="3">
        <f>_xlfn.XLOOKUP(IR$1,generator!$B$2:$B$295,generator!$L$2:$L$295,"ARGH")</f>
        <v>15</v>
      </c>
      <c r="IS16" s="3">
        <f>_xlfn.XLOOKUP(IS$1,generator!$B$2:$B$295,generator!$L$2:$L$295,"ARGH")</f>
        <v>15</v>
      </c>
      <c r="IT16" s="3">
        <f>_xlfn.XLOOKUP(IT$1,generator!$B$2:$B$295,generator!$L$2:$L$295,"ARGH")</f>
        <v>0.18</v>
      </c>
      <c r="IU16" s="3">
        <f>_xlfn.XLOOKUP(IU$1,generator!$B$2:$B$295,generator!$L$2:$L$295,"ARGH")</f>
        <v>4</v>
      </c>
      <c r="IV16" s="3">
        <f>_xlfn.XLOOKUP(IV$1,generator!$B$2:$B$295,generator!$L$2:$L$295,"ARGH")</f>
        <v>4</v>
      </c>
      <c r="IW16" s="3">
        <f>_xlfn.XLOOKUP(IW$1,generator!$B$2:$B$295,generator!$L$2:$L$295,"ARGH")</f>
        <v>90</v>
      </c>
      <c r="IX16" s="3">
        <f>_xlfn.XLOOKUP(IX$1,generator!$B$2:$B$295,generator!$L$2:$L$295,"ARGH")</f>
        <v>90</v>
      </c>
      <c r="IY16" s="3">
        <f>_xlfn.XLOOKUP(IY$1,generator!$B$2:$B$295,generator!$L$2:$L$295,"ARGH")</f>
        <v>90</v>
      </c>
      <c r="IZ16" s="3">
        <f>_xlfn.XLOOKUP(IZ$1,generator!$B$2:$B$295,generator!$L$2:$L$295,"ARGH")</f>
        <v>449</v>
      </c>
      <c r="JA16" s="3">
        <f>_xlfn.XLOOKUP(JA$1,generator!$B$2:$B$295,generator!$L$2:$L$295,"ARGH")</f>
        <v>83</v>
      </c>
      <c r="JB16" s="3">
        <f>_xlfn.XLOOKUP(JB$1,generator!$B$2:$B$295,generator!$L$2:$L$295,"ARGH")</f>
        <v>83</v>
      </c>
      <c r="JC16" s="3">
        <f>_xlfn.XLOOKUP(JC$1,generator!$B$2:$B$295,generator!$L$2:$L$295,"ARGH")</f>
        <v>247</v>
      </c>
      <c r="JD16" s="3">
        <f>_xlfn.XLOOKUP(JD$1,generator!$B$2:$B$295,generator!$L$2:$L$295,"ARGH")</f>
        <v>247</v>
      </c>
      <c r="JE16" s="3">
        <f>_xlfn.XLOOKUP(JE$1,generator!$B$2:$B$295,generator!$L$2:$L$295,"ARGH")</f>
        <v>425</v>
      </c>
      <c r="JF16" s="3">
        <f>_xlfn.XLOOKUP(JF$1,generator!$B$2:$B$295,generator!$L$2:$L$295,"ARGH")</f>
        <v>63.5</v>
      </c>
      <c r="JG16" s="3">
        <f>_xlfn.XLOOKUP(JG$1,generator!$B$2:$B$295,generator!$L$2:$L$295,"ARGH")</f>
        <v>17</v>
      </c>
      <c r="JH16" s="3">
        <f>_xlfn.XLOOKUP(JH$1,generator!$B$2:$B$295,generator!$L$2:$L$295,"ARGH")</f>
        <v>444</v>
      </c>
      <c r="JI16" s="3">
        <f>_xlfn.XLOOKUP(JI$1,generator!$B$2:$B$295,generator!$L$2:$L$295,"ARGH")</f>
        <v>464</v>
      </c>
      <c r="JJ16" s="3">
        <f>_xlfn.XLOOKUP(JJ$1,generator!$B$2:$B$295,generator!$L$2:$L$295,"ARGH")</f>
        <v>18.54</v>
      </c>
      <c r="JK16" s="3">
        <f>_xlfn.XLOOKUP(JK$1,generator!$B$2:$B$295,generator!$L$2:$L$295,"ARGH")</f>
        <v>18.54</v>
      </c>
      <c r="JL16" s="3">
        <f>_xlfn.XLOOKUP(JL$1,generator!$B$2:$B$295,generator!$L$2:$L$295,"ARGH")</f>
        <v>18.54</v>
      </c>
      <c r="JM16" s="3">
        <f>_xlfn.XLOOKUP(JM$1,generator!$B$2:$B$295,generator!$L$2:$L$295,"ARGH")</f>
        <v>18.54</v>
      </c>
      <c r="JN16" s="3">
        <f>_xlfn.XLOOKUP(JN$1,generator!$B$2:$B$295,generator!$L$2:$L$295,"ARGH")</f>
        <v>18.54</v>
      </c>
      <c r="JO16" s="3">
        <f>_xlfn.XLOOKUP(JO$1,generator!$B$2:$B$295,generator!$L$2:$L$295,"ARGH")</f>
        <v>18.54</v>
      </c>
      <c r="JP16" s="3">
        <f>_xlfn.XLOOKUP(JP$1,generator!$B$2:$B$295,generator!$L$2:$L$295,"ARGH")</f>
        <v>415</v>
      </c>
      <c r="JQ16" s="3">
        <f>_xlfn.XLOOKUP(JQ$1,generator!$B$2:$B$295,generator!$L$2:$L$295,"ARGH")</f>
        <v>63.5</v>
      </c>
      <c r="JR16" s="3">
        <f>_xlfn.XLOOKUP(JR$1,generator!$B$2:$B$295,generator!$L$2:$L$295,"ARGH")</f>
        <v>350</v>
      </c>
      <c r="JS16" s="3">
        <f>_xlfn.XLOOKUP(JS$1,generator!$B$2:$B$295,generator!$L$2:$L$295,"ARGH")</f>
        <v>350</v>
      </c>
      <c r="JT16" s="3">
        <f>_xlfn.XLOOKUP(JT$1,generator!$B$2:$B$295,generator!$L$2:$L$295,"ARGH")</f>
        <v>63.5</v>
      </c>
      <c r="JU16" s="3">
        <f>_xlfn.XLOOKUP(JU$1,generator!$B$2:$B$295,generator!$L$2:$L$295,"ARGH")</f>
        <v>61.5</v>
      </c>
      <c r="JV16" s="3">
        <f>_xlfn.XLOOKUP(JV$1,generator!$B$2:$B$295,generator!$L$2:$L$295,"ARGH")</f>
        <v>240</v>
      </c>
      <c r="JW16" s="3">
        <f>_xlfn.XLOOKUP(JW$1,generator!$B$2:$B$295,generator!$L$2:$L$295,"ARGH")</f>
        <v>236</v>
      </c>
      <c r="JX16" s="3">
        <f>_xlfn.XLOOKUP(JX$1,generator!$B$2:$B$295,generator!$L$2:$L$295,"ARGH")</f>
        <v>20</v>
      </c>
      <c r="JY16" s="3">
        <f>_xlfn.XLOOKUP(JY$1,generator!$B$2:$B$295,generator!$L$2:$L$295,"ARGH")</f>
        <v>118</v>
      </c>
      <c r="JZ16" s="3">
        <f>_xlfn.XLOOKUP(JZ$1,generator!$B$2:$B$295,generator!$L$2:$L$295,"ARGH")</f>
        <v>73</v>
      </c>
      <c r="KA16" s="3">
        <f>_xlfn.XLOOKUP(KA$1,generator!$B$2:$B$295,generator!$L$2:$L$295,"ARGH")</f>
        <v>73</v>
      </c>
      <c r="KB16" s="3">
        <f>_xlfn.XLOOKUP(KB$1,generator!$B$2:$B$295,generator!$L$2:$L$295,"ARGH")</f>
        <v>73</v>
      </c>
      <c r="KC16" s="3">
        <f>_xlfn.XLOOKUP(KC$1,generator!$B$2:$B$295,generator!$L$2:$L$295,"ARGH")</f>
        <v>73</v>
      </c>
    </row>
    <row r="17" spans="1:289" x14ac:dyDescent="0.3">
      <c r="A17" s="4" t="s">
        <v>3012</v>
      </c>
      <c r="B17" s="31">
        <v>184.5</v>
      </c>
      <c r="C17" s="31">
        <v>513.5</v>
      </c>
      <c r="D17" s="31">
        <v>339</v>
      </c>
      <c r="E17" s="33">
        <v>12.491</v>
      </c>
      <c r="F17" s="33">
        <v>26.834</v>
      </c>
      <c r="G17" s="33">
        <v>12.491</v>
      </c>
      <c r="H17" s="33">
        <v>20.818999999999999</v>
      </c>
      <c r="I17" s="33">
        <v>41.176000000000002</v>
      </c>
      <c r="J17" s="33">
        <v>38.4</v>
      </c>
      <c r="K17" s="33">
        <v>10.41</v>
      </c>
      <c r="L17" s="33">
        <v>7.9580000000000002</v>
      </c>
      <c r="M17" s="33">
        <v>6.94</v>
      </c>
      <c r="N17" s="33">
        <v>24.983000000000001</v>
      </c>
      <c r="O17" s="33">
        <v>2.4980000000000002</v>
      </c>
      <c r="P17" s="33">
        <v>11.843999999999999</v>
      </c>
      <c r="Q17" s="33">
        <v>16.285</v>
      </c>
      <c r="R17" s="33">
        <v>8.3279999999999994</v>
      </c>
      <c r="S17" s="33">
        <v>15.891999999999999</v>
      </c>
      <c r="T17" s="33">
        <v>11.103999999999999</v>
      </c>
      <c r="U17" s="33">
        <v>19.431000000000001</v>
      </c>
      <c r="V17" s="33">
        <v>9.7850000000000001</v>
      </c>
      <c r="W17" s="33">
        <v>10.641</v>
      </c>
      <c r="X17" s="33">
        <v>14.99</v>
      </c>
      <c r="Y17" s="33">
        <v>7.7720000000000002</v>
      </c>
      <c r="Z17" s="33">
        <v>5.5060000000000002</v>
      </c>
      <c r="AA17" s="33">
        <v>4.9969999999999999</v>
      </c>
      <c r="AB17" s="33">
        <v>26.370999999999999</v>
      </c>
      <c r="AC17" s="33">
        <v>30.396000000000001</v>
      </c>
      <c r="AD17" s="33">
        <v>10.733000000000001</v>
      </c>
      <c r="AE17" s="33">
        <v>9.2530000000000001</v>
      </c>
      <c r="AF17" s="33">
        <v>26.093</v>
      </c>
      <c r="AG17" s="33">
        <v>9.2530000000000001</v>
      </c>
      <c r="AH17" s="33">
        <v>5.5519999999999996</v>
      </c>
      <c r="AI17" s="33">
        <v>6.1989999999999998</v>
      </c>
      <c r="AJ17" s="33">
        <v>11.103999999999999</v>
      </c>
      <c r="AK17" s="33">
        <v>3.956</v>
      </c>
      <c r="AL17" s="33">
        <v>17.109000000000002</v>
      </c>
      <c r="AM17" s="33">
        <v>21.975999999999999</v>
      </c>
      <c r="AN17" s="33">
        <v>9.2530000000000001</v>
      </c>
      <c r="AO17" s="33">
        <v>6.3849999999999998</v>
      </c>
      <c r="AP17" s="33">
        <v>25.122</v>
      </c>
      <c r="AQ17" s="33">
        <v>8.6519999999999992</v>
      </c>
      <c r="AR17" s="33">
        <v>8.0960000000000001</v>
      </c>
      <c r="AS17" s="33">
        <v>24.058</v>
      </c>
      <c r="AT17" s="33">
        <v>6.5380000000000003</v>
      </c>
      <c r="AU17" s="33">
        <v>17.581</v>
      </c>
      <c r="AV17" s="33">
        <v>15.036</v>
      </c>
      <c r="AW17" s="33">
        <v>15.266999999999999</v>
      </c>
      <c r="AX17" s="33">
        <v>8.4659999999999993</v>
      </c>
      <c r="AY17" s="33">
        <v>15.314</v>
      </c>
      <c r="AZ17" s="33">
        <v>17.510999999999999</v>
      </c>
      <c r="BA17" s="33">
        <v>6.4770000000000003</v>
      </c>
      <c r="BB17" s="33">
        <v>21.282</v>
      </c>
      <c r="BC17" s="33">
        <v>9.2530000000000001</v>
      </c>
      <c r="BD17" s="33">
        <v>5.5519999999999996</v>
      </c>
      <c r="BE17" s="33">
        <v>5.32</v>
      </c>
      <c r="BF17" s="33">
        <v>41.637999999999998</v>
      </c>
      <c r="BG17" s="33">
        <v>6.94</v>
      </c>
      <c r="BH17" s="33">
        <v>11.566000000000001</v>
      </c>
      <c r="BI17" s="33">
        <v>9.7159999999999993</v>
      </c>
      <c r="BJ17" s="33">
        <v>19.431000000000001</v>
      </c>
      <c r="BK17" s="33">
        <v>5.5519999999999996</v>
      </c>
      <c r="BL17" s="33">
        <v>19.663</v>
      </c>
      <c r="BM17" s="33">
        <v>3.9329999999999998</v>
      </c>
      <c r="BN17" s="33">
        <v>13.879</v>
      </c>
      <c r="BO17" s="33">
        <v>19.727</v>
      </c>
      <c r="BP17" s="33">
        <v>52.834000000000003</v>
      </c>
      <c r="BQ17" s="33">
        <v>16.655000000000001</v>
      </c>
      <c r="BR17" s="33">
        <v>24.983000000000001</v>
      </c>
      <c r="BS17" s="33">
        <v>8.0960000000000001</v>
      </c>
      <c r="BT17" s="33">
        <v>15.961</v>
      </c>
      <c r="BU17" s="33">
        <v>2.2210000000000001</v>
      </c>
      <c r="BV17" s="33">
        <v>4.7649999999999997</v>
      </c>
      <c r="BW17" s="33">
        <v>6.2830000000000004</v>
      </c>
      <c r="BX17" s="33">
        <v>5.1120000000000001</v>
      </c>
      <c r="BY17" s="33">
        <v>11.566000000000001</v>
      </c>
      <c r="BZ17" s="33">
        <v>18.876000000000001</v>
      </c>
      <c r="CA17" s="33">
        <v>27.527999999999999</v>
      </c>
      <c r="CB17" s="33">
        <v>15.73</v>
      </c>
      <c r="CC17" s="33">
        <v>13.185</v>
      </c>
      <c r="CD17" s="33">
        <v>17.765999999999998</v>
      </c>
      <c r="CE17" s="33">
        <v>11.566000000000001</v>
      </c>
      <c r="CF17" s="33">
        <v>7.4489999999999998</v>
      </c>
      <c r="CG17" s="33">
        <v>8.0960000000000001</v>
      </c>
      <c r="CH17" s="33">
        <v>12.930999999999999</v>
      </c>
      <c r="CI17" s="33">
        <v>6.0380000000000003</v>
      </c>
      <c r="CJ17" s="33">
        <v>2.0590000000000002</v>
      </c>
      <c r="CK17" s="33">
        <v>11.474</v>
      </c>
      <c r="CL17" s="33">
        <v>7.819</v>
      </c>
      <c r="CM17" s="33">
        <v>6.94</v>
      </c>
      <c r="CN17" s="33">
        <v>27.4</v>
      </c>
      <c r="CO17" s="33">
        <v>10.872</v>
      </c>
      <c r="CP17" s="33">
        <v>21.652000000000001</v>
      </c>
      <c r="CQ17" s="33">
        <v>14.805</v>
      </c>
      <c r="CR17" s="33">
        <v>12.029</v>
      </c>
      <c r="CS17" s="33">
        <v>10.178000000000001</v>
      </c>
      <c r="CT17" s="33">
        <v>13.787000000000001</v>
      </c>
      <c r="CU17" s="33">
        <v>6.3849999999999998</v>
      </c>
      <c r="CV17" s="33">
        <v>11.705</v>
      </c>
      <c r="CW17" s="33">
        <v>12.954000000000001</v>
      </c>
      <c r="CX17" s="33">
        <v>5.7830000000000004</v>
      </c>
      <c r="CY17" s="33">
        <v>15.798999999999999</v>
      </c>
      <c r="CZ17" s="33">
        <v>5.5519999999999996</v>
      </c>
      <c r="DA17" s="33">
        <v>13.879</v>
      </c>
      <c r="DB17" s="33">
        <v>8.6980000000000004</v>
      </c>
      <c r="DC17" s="33">
        <v>6.5229999999999997</v>
      </c>
      <c r="DD17" s="33">
        <v>7.4489999999999998</v>
      </c>
      <c r="DE17" s="33">
        <v>5.7830000000000004</v>
      </c>
      <c r="DF17" s="33">
        <v>9.9930000000000003</v>
      </c>
      <c r="DG17" s="33">
        <v>16.632000000000001</v>
      </c>
      <c r="DH17" s="33">
        <v>34.698999999999998</v>
      </c>
      <c r="DI17" s="33">
        <v>16.655000000000001</v>
      </c>
      <c r="DJ17" s="33">
        <v>6.94</v>
      </c>
      <c r="DK17" s="33">
        <v>9.577</v>
      </c>
      <c r="DL17" s="33">
        <v>17.140999999999998</v>
      </c>
      <c r="DM17" s="33">
        <v>8.3279999999999994</v>
      </c>
      <c r="DN17" s="33">
        <v>46.265000000000001</v>
      </c>
      <c r="DO17" s="33">
        <v>15.545</v>
      </c>
      <c r="DP17" s="33">
        <v>46.726999999999997</v>
      </c>
      <c r="DQ17" s="33">
        <v>1.083</v>
      </c>
      <c r="DR17" s="33">
        <v>42.192999999999998</v>
      </c>
      <c r="DS17" s="33">
        <v>7.4489999999999998</v>
      </c>
      <c r="DT17" s="33">
        <v>13.926</v>
      </c>
      <c r="DU17" s="33">
        <v>6.94</v>
      </c>
      <c r="DV17" s="33">
        <v>5.4960000000000004</v>
      </c>
      <c r="DW17" s="33">
        <v>6.4770000000000003</v>
      </c>
      <c r="DX17" s="33">
        <v>17.997</v>
      </c>
      <c r="DY17" s="33">
        <v>12.029</v>
      </c>
      <c r="DZ17" s="33">
        <v>5.4130000000000003</v>
      </c>
      <c r="EA17" s="33">
        <v>18.506</v>
      </c>
      <c r="EB17" s="33">
        <v>16.655000000000001</v>
      </c>
      <c r="EC17" s="33">
        <v>10.641</v>
      </c>
      <c r="ED17" s="33">
        <v>13.324</v>
      </c>
      <c r="EE17" s="33">
        <v>22.577000000000002</v>
      </c>
      <c r="EF17" s="33">
        <v>6.94</v>
      </c>
      <c r="EG17" s="33">
        <v>4.2560000000000002</v>
      </c>
      <c r="EH17" s="33">
        <v>19.154</v>
      </c>
      <c r="EI17" s="33">
        <v>6.8470000000000004</v>
      </c>
      <c r="EJ17" s="33">
        <v>4.2560000000000002</v>
      </c>
      <c r="EK17" s="33">
        <v>6.94</v>
      </c>
      <c r="EL17" s="33">
        <v>11.103999999999999</v>
      </c>
      <c r="EM17" s="33">
        <v>14.897</v>
      </c>
      <c r="EN17" s="33">
        <v>8.5129999999999999</v>
      </c>
      <c r="EO17" s="33">
        <v>9.2530000000000001</v>
      </c>
      <c r="EP17" s="33">
        <v>6.5229999999999997</v>
      </c>
      <c r="EQ17" s="33">
        <v>15.961</v>
      </c>
      <c r="ER17" s="33">
        <v>4.8579999999999997</v>
      </c>
      <c r="ES17" s="33">
        <v>5.32</v>
      </c>
      <c r="ET17" s="33">
        <v>10.686999999999999</v>
      </c>
      <c r="EU17" s="33">
        <v>39.307000000000002</v>
      </c>
      <c r="EV17" s="33">
        <v>7.9809999999999999</v>
      </c>
      <c r="EW17" s="33">
        <v>37.012</v>
      </c>
      <c r="EX17" s="33">
        <v>41.569000000000003</v>
      </c>
      <c r="EY17" s="33">
        <v>2.4980000000000002</v>
      </c>
      <c r="EZ17" s="33">
        <v>3.359</v>
      </c>
      <c r="FA17" s="33">
        <v>2.7480000000000002</v>
      </c>
      <c r="FB17" s="33">
        <v>9.2530000000000001</v>
      </c>
      <c r="FC17" s="33">
        <v>13.185</v>
      </c>
      <c r="FD17" s="33">
        <v>9.2530000000000001</v>
      </c>
      <c r="FE17" s="33">
        <v>12.769</v>
      </c>
      <c r="FF17" s="33">
        <v>8.3279999999999994</v>
      </c>
      <c r="FG17" s="33">
        <v>6.94</v>
      </c>
      <c r="FH17" s="33">
        <v>5.7830000000000004</v>
      </c>
      <c r="FI17" s="33">
        <v>22.207000000000001</v>
      </c>
      <c r="FJ17" s="33">
        <v>14.166</v>
      </c>
      <c r="FK17" s="33">
        <v>20.518000000000001</v>
      </c>
      <c r="FL17" s="33">
        <v>6.8470000000000004</v>
      </c>
      <c r="FM17" s="33">
        <v>18.922000000000001</v>
      </c>
      <c r="FN17" s="33">
        <v>9.484</v>
      </c>
      <c r="FO17" s="33">
        <v>34.051000000000002</v>
      </c>
      <c r="FP17" s="33">
        <v>48.578000000000003</v>
      </c>
      <c r="FQ17" s="33">
        <v>8.8829999999999991</v>
      </c>
      <c r="FR17" s="33">
        <v>5.32</v>
      </c>
      <c r="FS17" s="33">
        <v>6.3849999999999998</v>
      </c>
      <c r="FT17" s="33">
        <v>7.9809999999999999</v>
      </c>
      <c r="FU17" s="33">
        <v>32.384999999999998</v>
      </c>
      <c r="FV17" s="33">
        <v>6.1529999999999996</v>
      </c>
      <c r="FW17" s="33">
        <v>7.0229999999999997</v>
      </c>
      <c r="FX17" s="33">
        <v>6.94</v>
      </c>
      <c r="FY17" s="33">
        <v>6.3849999999999998</v>
      </c>
      <c r="FZ17" s="33">
        <v>6.3849999999999998</v>
      </c>
      <c r="GA17" s="33">
        <v>6.94</v>
      </c>
      <c r="GB17" s="33">
        <v>5.7830000000000004</v>
      </c>
      <c r="GC17" s="33">
        <v>3.0529999999999999</v>
      </c>
      <c r="GD17" s="33">
        <v>5.8289999999999997</v>
      </c>
      <c r="GE17" s="33">
        <v>6.3849999999999998</v>
      </c>
      <c r="GF17" s="33">
        <v>48.578000000000003</v>
      </c>
      <c r="GG17" s="33">
        <v>29.609000000000002</v>
      </c>
      <c r="GH17" s="33">
        <v>2.7759999999999998</v>
      </c>
      <c r="GI17" s="33">
        <v>4.1639999999999997</v>
      </c>
      <c r="GJ17" s="33">
        <v>5.5060000000000002</v>
      </c>
      <c r="GK17" s="33">
        <v>12.491</v>
      </c>
      <c r="GL17" s="33">
        <v>9.2530000000000001</v>
      </c>
      <c r="GM17" s="33">
        <v>1.508</v>
      </c>
      <c r="GN17" s="33">
        <v>9.0459999999999994</v>
      </c>
      <c r="GO17" s="33">
        <v>3.1659999999999999</v>
      </c>
      <c r="GP17" s="33">
        <v>12.815</v>
      </c>
      <c r="GQ17" s="33">
        <v>2.1110000000000002</v>
      </c>
      <c r="GR17" s="33">
        <v>17.940000000000001</v>
      </c>
      <c r="GS17" s="33">
        <v>4.7640000000000002</v>
      </c>
      <c r="GT17" s="33">
        <v>14.321999999999999</v>
      </c>
      <c r="GU17" s="33">
        <v>3.7989999999999999</v>
      </c>
      <c r="GV17" s="33">
        <v>2.5510000000000002</v>
      </c>
      <c r="GW17" s="33">
        <v>3.08</v>
      </c>
      <c r="GX17" s="33">
        <v>13.116</v>
      </c>
      <c r="GY17" s="33">
        <v>0.60299999999999998</v>
      </c>
      <c r="GZ17" s="33">
        <v>1.8089999999999999</v>
      </c>
      <c r="HA17" s="33">
        <v>4.4939999999999998</v>
      </c>
      <c r="HB17" s="33">
        <v>14.321999999999999</v>
      </c>
      <c r="HC17" s="33">
        <v>14.321999999999999</v>
      </c>
      <c r="HD17" s="33">
        <v>7.5380000000000003</v>
      </c>
      <c r="HE17" s="3">
        <f>_xlfn.XLOOKUP(HE$1,generator!$B$2:$B$295,generator!$L$2:$L$295,"ARGH")</f>
        <v>17.600000000000001</v>
      </c>
      <c r="HF17" s="3">
        <f>_xlfn.XLOOKUP(HF$1,generator!$B$2:$B$295,generator!$L$2:$L$295,"ARGH")</f>
        <v>285</v>
      </c>
      <c r="HG17" s="3">
        <f>_xlfn.XLOOKUP(HG$1,generator!$B$2:$B$295,generator!$L$2:$L$295,"ARGH")</f>
        <v>285</v>
      </c>
      <c r="HH17" s="3">
        <f>_xlfn.XLOOKUP(HH$1,generator!$B$2:$B$295,generator!$L$2:$L$295,"ARGH")</f>
        <v>285</v>
      </c>
      <c r="HI17" s="3">
        <f>_xlfn.XLOOKUP(HI$1,generator!$B$2:$B$295,generator!$L$2:$L$295,"ARGH")</f>
        <v>58</v>
      </c>
      <c r="HJ17" s="3">
        <f>_xlfn.XLOOKUP(HJ$1,generator!$B$2:$B$295,generator!$L$2:$L$295,"ARGH")</f>
        <v>58</v>
      </c>
      <c r="HK17" s="3">
        <f>_xlfn.XLOOKUP(HK$1,generator!$B$2:$B$295,generator!$L$2:$L$295,"ARGH")</f>
        <v>53</v>
      </c>
      <c r="HL17" s="3">
        <f>_xlfn.XLOOKUP(HL$1,generator!$B$2:$B$295,generator!$L$2:$L$295,"ARGH")</f>
        <v>58</v>
      </c>
      <c r="HM17" s="3">
        <f>_xlfn.XLOOKUP(HM$1,generator!$B$2:$B$295,generator!$L$2:$L$295,"ARGH")</f>
        <v>58</v>
      </c>
      <c r="HN17" s="3">
        <f>_xlfn.XLOOKUP(HN$1,generator!$B$2:$B$295,generator!$L$2:$L$295,"ARGH")</f>
        <v>52</v>
      </c>
      <c r="HO17" s="3">
        <f>_xlfn.XLOOKUP(HO$1,generator!$B$2:$B$295,generator!$L$2:$L$295,"ARGH")</f>
        <v>52</v>
      </c>
      <c r="HP17" s="3">
        <f>_xlfn.XLOOKUP(HP$1,generator!$B$2:$B$295,generator!$L$2:$L$295,"ARGH")</f>
        <v>2</v>
      </c>
      <c r="HQ17" s="3">
        <f>_xlfn.XLOOKUP(HQ$1,generator!$B$2:$B$295,generator!$L$2:$L$295,"ARGH")</f>
        <v>29.2</v>
      </c>
      <c r="HR17" s="3">
        <f>_xlfn.XLOOKUP(HR$1,generator!$B$2:$B$295,generator!$L$2:$L$295,"ARGH")</f>
        <v>29.2</v>
      </c>
      <c r="HS17" s="3">
        <f>_xlfn.XLOOKUP(HS$1,generator!$B$2:$B$295,generator!$L$2:$L$295,"ARGH")</f>
        <v>41.61</v>
      </c>
      <c r="HT17" s="3">
        <f>_xlfn.XLOOKUP(HT$1,generator!$B$2:$B$295,generator!$L$2:$L$295,"ARGH")</f>
        <v>41.61</v>
      </c>
      <c r="HU17" s="3">
        <f>_xlfn.XLOOKUP(HU$1,generator!$B$2:$B$295,generator!$L$2:$L$295,"ARGH")</f>
        <v>160</v>
      </c>
      <c r="HV17" s="3">
        <f>_xlfn.XLOOKUP(HV$1,generator!$B$2:$B$295,generator!$L$2:$L$295,"ARGH")</f>
        <v>260</v>
      </c>
      <c r="HW17" s="3">
        <f>_xlfn.XLOOKUP(HW$1,generator!$B$2:$B$295,generator!$L$2:$L$295,"ARGH")</f>
        <v>52</v>
      </c>
      <c r="HX17" s="3">
        <f>_xlfn.XLOOKUP(HX$1,generator!$B$2:$B$295,generator!$L$2:$L$295,"ARGH")</f>
        <v>52</v>
      </c>
      <c r="HY17" s="3">
        <f>_xlfn.XLOOKUP(HY$1,generator!$B$2:$B$295,generator!$L$2:$L$295,"ARGH")</f>
        <v>101</v>
      </c>
      <c r="HZ17" s="3">
        <f>_xlfn.XLOOKUP(HZ$1,generator!$B$2:$B$295,generator!$L$2:$L$295,"ARGH")</f>
        <v>50</v>
      </c>
      <c r="IA17" s="3">
        <f>_xlfn.XLOOKUP(IA$1,generator!$B$2:$B$295,generator!$L$2:$L$295,"ARGH")</f>
        <v>400</v>
      </c>
      <c r="IB17" s="3">
        <f>_xlfn.XLOOKUP(IB$1,generator!$B$2:$B$295,generator!$L$2:$L$295,"ARGH")</f>
        <v>342</v>
      </c>
      <c r="IC17" s="3">
        <f>_xlfn.XLOOKUP(IC$1,generator!$B$2:$B$295,generator!$L$2:$L$295,"ARGH")</f>
        <v>3.0209999999999999</v>
      </c>
      <c r="ID17" s="3">
        <f>_xlfn.XLOOKUP(ID$1,generator!$B$2:$B$295,generator!$L$2:$L$295,"ARGH")</f>
        <v>200</v>
      </c>
      <c r="IE17" s="3">
        <f>_xlfn.XLOOKUP(IE$1,generator!$B$2:$B$295,generator!$L$2:$L$295,"ARGH")</f>
        <v>404</v>
      </c>
      <c r="IF17" s="3">
        <f>_xlfn.XLOOKUP(IF$1,generator!$B$2:$B$295,generator!$L$2:$L$295,"ARGH")</f>
        <v>21</v>
      </c>
      <c r="IG17" s="3">
        <f>_xlfn.XLOOKUP(IG$1,generator!$B$2:$B$295,generator!$L$2:$L$295,"ARGH")</f>
        <v>22</v>
      </c>
      <c r="IH17" s="3">
        <f>_xlfn.XLOOKUP(IH$1,generator!$B$2:$B$295,generator!$L$2:$L$295,"ARGH")</f>
        <v>19</v>
      </c>
      <c r="II17" s="3">
        <f>_xlfn.XLOOKUP(II$1,generator!$B$2:$B$295,generator!$L$2:$L$295,"ARGH")</f>
        <v>24</v>
      </c>
      <c r="IJ17" s="3">
        <f>_xlfn.XLOOKUP(IJ$1,generator!$B$2:$B$295,generator!$L$2:$L$295,"ARGH")</f>
        <v>4.3</v>
      </c>
      <c r="IK17" s="3">
        <f>_xlfn.XLOOKUP(IK$1,generator!$B$2:$B$295,generator!$L$2:$L$295,"ARGH")</f>
        <v>8</v>
      </c>
      <c r="IL17" s="3">
        <f>_xlfn.XLOOKUP(IL$1,generator!$B$2:$B$295,generator!$L$2:$L$295,"ARGH")</f>
        <v>22.5</v>
      </c>
      <c r="IM17" s="3">
        <f>_xlfn.XLOOKUP(IM$1,generator!$B$2:$B$295,generator!$L$2:$L$295,"ARGH")</f>
        <v>22.5</v>
      </c>
      <c r="IN17" s="3">
        <f>_xlfn.XLOOKUP(IN$1,generator!$B$2:$B$295,generator!$L$2:$L$295,"ARGH")</f>
        <v>10</v>
      </c>
      <c r="IO17" s="3">
        <f>_xlfn.XLOOKUP(IO$1,generator!$B$2:$B$295,generator!$L$2:$L$295,"ARGH")</f>
        <v>10</v>
      </c>
      <c r="IP17" s="3">
        <f>_xlfn.XLOOKUP(IP$1,generator!$B$2:$B$295,generator!$L$2:$L$295,"ARGH")</f>
        <v>15</v>
      </c>
      <c r="IQ17" s="3">
        <f>_xlfn.XLOOKUP(IQ$1,generator!$B$2:$B$295,generator!$L$2:$L$295,"ARGH")</f>
        <v>4</v>
      </c>
      <c r="IR17" s="3">
        <f>_xlfn.XLOOKUP(IR$1,generator!$B$2:$B$295,generator!$L$2:$L$295,"ARGH")</f>
        <v>15</v>
      </c>
      <c r="IS17" s="3">
        <f>_xlfn.XLOOKUP(IS$1,generator!$B$2:$B$295,generator!$L$2:$L$295,"ARGH")</f>
        <v>15</v>
      </c>
      <c r="IT17" s="3">
        <f>_xlfn.XLOOKUP(IT$1,generator!$B$2:$B$295,generator!$L$2:$L$295,"ARGH")</f>
        <v>0.18</v>
      </c>
      <c r="IU17" s="3">
        <f>_xlfn.XLOOKUP(IU$1,generator!$B$2:$B$295,generator!$L$2:$L$295,"ARGH")</f>
        <v>4</v>
      </c>
      <c r="IV17" s="3">
        <f>_xlfn.XLOOKUP(IV$1,generator!$B$2:$B$295,generator!$L$2:$L$295,"ARGH")</f>
        <v>4</v>
      </c>
      <c r="IW17" s="3">
        <f>_xlfn.XLOOKUP(IW$1,generator!$B$2:$B$295,generator!$L$2:$L$295,"ARGH")</f>
        <v>90</v>
      </c>
      <c r="IX17" s="3">
        <f>_xlfn.XLOOKUP(IX$1,generator!$B$2:$B$295,generator!$L$2:$L$295,"ARGH")</f>
        <v>90</v>
      </c>
      <c r="IY17" s="3">
        <f>_xlfn.XLOOKUP(IY$1,generator!$B$2:$B$295,generator!$L$2:$L$295,"ARGH")</f>
        <v>90</v>
      </c>
      <c r="IZ17" s="3">
        <f>_xlfn.XLOOKUP(IZ$1,generator!$B$2:$B$295,generator!$L$2:$L$295,"ARGH")</f>
        <v>449</v>
      </c>
      <c r="JA17" s="3">
        <f>_xlfn.XLOOKUP(JA$1,generator!$B$2:$B$295,generator!$L$2:$L$295,"ARGH")</f>
        <v>83</v>
      </c>
      <c r="JB17" s="3">
        <f>_xlfn.XLOOKUP(JB$1,generator!$B$2:$B$295,generator!$L$2:$L$295,"ARGH")</f>
        <v>83</v>
      </c>
      <c r="JC17" s="3">
        <f>_xlfn.XLOOKUP(JC$1,generator!$B$2:$B$295,generator!$L$2:$L$295,"ARGH")</f>
        <v>247</v>
      </c>
      <c r="JD17" s="3">
        <f>_xlfn.XLOOKUP(JD$1,generator!$B$2:$B$295,generator!$L$2:$L$295,"ARGH")</f>
        <v>247</v>
      </c>
      <c r="JE17" s="3">
        <f>_xlfn.XLOOKUP(JE$1,generator!$B$2:$B$295,generator!$L$2:$L$295,"ARGH")</f>
        <v>425</v>
      </c>
      <c r="JF17" s="3">
        <f>_xlfn.XLOOKUP(JF$1,generator!$B$2:$B$295,generator!$L$2:$L$295,"ARGH")</f>
        <v>63.5</v>
      </c>
      <c r="JG17" s="3">
        <f>_xlfn.XLOOKUP(JG$1,generator!$B$2:$B$295,generator!$L$2:$L$295,"ARGH")</f>
        <v>17</v>
      </c>
      <c r="JH17" s="3">
        <f>_xlfn.XLOOKUP(JH$1,generator!$B$2:$B$295,generator!$L$2:$L$295,"ARGH")</f>
        <v>444</v>
      </c>
      <c r="JI17" s="3">
        <f>_xlfn.XLOOKUP(JI$1,generator!$B$2:$B$295,generator!$L$2:$L$295,"ARGH")</f>
        <v>464</v>
      </c>
      <c r="JJ17" s="3">
        <f>_xlfn.XLOOKUP(JJ$1,generator!$B$2:$B$295,generator!$L$2:$L$295,"ARGH")</f>
        <v>18.54</v>
      </c>
      <c r="JK17" s="3">
        <f>_xlfn.XLOOKUP(JK$1,generator!$B$2:$B$295,generator!$L$2:$L$295,"ARGH")</f>
        <v>18.54</v>
      </c>
      <c r="JL17" s="3">
        <f>_xlfn.XLOOKUP(JL$1,generator!$B$2:$B$295,generator!$L$2:$L$295,"ARGH")</f>
        <v>18.54</v>
      </c>
      <c r="JM17" s="3">
        <f>_xlfn.XLOOKUP(JM$1,generator!$B$2:$B$295,generator!$L$2:$L$295,"ARGH")</f>
        <v>18.54</v>
      </c>
      <c r="JN17" s="3">
        <f>_xlfn.XLOOKUP(JN$1,generator!$B$2:$B$295,generator!$L$2:$L$295,"ARGH")</f>
        <v>18.54</v>
      </c>
      <c r="JO17" s="3">
        <f>_xlfn.XLOOKUP(JO$1,generator!$B$2:$B$295,generator!$L$2:$L$295,"ARGH")</f>
        <v>18.54</v>
      </c>
      <c r="JP17" s="3">
        <f>_xlfn.XLOOKUP(JP$1,generator!$B$2:$B$295,generator!$L$2:$L$295,"ARGH")</f>
        <v>415</v>
      </c>
      <c r="JQ17" s="3">
        <f>_xlfn.XLOOKUP(JQ$1,generator!$B$2:$B$295,generator!$L$2:$L$295,"ARGH")</f>
        <v>63.5</v>
      </c>
      <c r="JR17" s="3">
        <f>_xlfn.XLOOKUP(JR$1,generator!$B$2:$B$295,generator!$L$2:$L$295,"ARGH")</f>
        <v>350</v>
      </c>
      <c r="JS17" s="3">
        <f>_xlfn.XLOOKUP(JS$1,generator!$B$2:$B$295,generator!$L$2:$L$295,"ARGH")</f>
        <v>350</v>
      </c>
      <c r="JT17" s="3">
        <f>_xlfn.XLOOKUP(JT$1,generator!$B$2:$B$295,generator!$L$2:$L$295,"ARGH")</f>
        <v>63.5</v>
      </c>
      <c r="JU17" s="3">
        <f>_xlfn.XLOOKUP(JU$1,generator!$B$2:$B$295,generator!$L$2:$L$295,"ARGH")</f>
        <v>61.5</v>
      </c>
      <c r="JV17" s="3">
        <f>_xlfn.XLOOKUP(JV$1,generator!$B$2:$B$295,generator!$L$2:$L$295,"ARGH")</f>
        <v>240</v>
      </c>
      <c r="JW17" s="3">
        <f>_xlfn.XLOOKUP(JW$1,generator!$B$2:$B$295,generator!$L$2:$L$295,"ARGH")</f>
        <v>236</v>
      </c>
      <c r="JX17" s="3">
        <f>_xlfn.XLOOKUP(JX$1,generator!$B$2:$B$295,generator!$L$2:$L$295,"ARGH")</f>
        <v>20</v>
      </c>
      <c r="JY17" s="3">
        <f>_xlfn.XLOOKUP(JY$1,generator!$B$2:$B$295,generator!$L$2:$L$295,"ARGH")</f>
        <v>118</v>
      </c>
      <c r="JZ17" s="3">
        <f>_xlfn.XLOOKUP(JZ$1,generator!$B$2:$B$295,generator!$L$2:$L$295,"ARGH")</f>
        <v>73</v>
      </c>
      <c r="KA17" s="3">
        <f>_xlfn.XLOOKUP(KA$1,generator!$B$2:$B$295,generator!$L$2:$L$295,"ARGH")</f>
        <v>73</v>
      </c>
      <c r="KB17" s="3">
        <f>_xlfn.XLOOKUP(KB$1,generator!$B$2:$B$295,generator!$L$2:$L$295,"ARGH")</f>
        <v>73</v>
      </c>
      <c r="KC17" s="3">
        <f>_xlfn.XLOOKUP(KC$1,generator!$B$2:$B$295,generator!$L$2:$L$295,"ARGH")</f>
        <v>73</v>
      </c>
    </row>
    <row r="18" spans="1:289" x14ac:dyDescent="0.3">
      <c r="A18" s="4" t="s">
        <v>3013</v>
      </c>
      <c r="B18" s="31">
        <v>313.5</v>
      </c>
      <c r="C18" s="31">
        <v>513</v>
      </c>
      <c r="D18" s="31">
        <v>441.5</v>
      </c>
      <c r="E18" s="33">
        <v>12.91</v>
      </c>
      <c r="F18" s="33">
        <v>27.731999999999999</v>
      </c>
      <c r="G18" s="33">
        <v>12.91</v>
      </c>
      <c r="H18" s="33">
        <v>21.515999999999998</v>
      </c>
      <c r="I18" s="33">
        <v>42.554000000000002</v>
      </c>
      <c r="J18" s="33">
        <v>39.685000000000002</v>
      </c>
      <c r="K18" s="33">
        <v>10.757999999999999</v>
      </c>
      <c r="L18" s="33">
        <v>8.2240000000000002</v>
      </c>
      <c r="M18" s="33">
        <v>7.1719999999999997</v>
      </c>
      <c r="N18" s="33">
        <v>25.818999999999999</v>
      </c>
      <c r="O18" s="33">
        <v>2.5819999999999999</v>
      </c>
      <c r="P18" s="33">
        <v>12.24</v>
      </c>
      <c r="Q18" s="33">
        <v>16.829999999999998</v>
      </c>
      <c r="R18" s="33">
        <v>8.6059999999999999</v>
      </c>
      <c r="S18" s="33">
        <v>16.423999999999999</v>
      </c>
      <c r="T18" s="33">
        <v>11.475</v>
      </c>
      <c r="U18" s="33">
        <v>20.081</v>
      </c>
      <c r="V18" s="33">
        <v>10.112</v>
      </c>
      <c r="W18" s="33">
        <v>10.997</v>
      </c>
      <c r="X18" s="33">
        <v>15.491</v>
      </c>
      <c r="Y18" s="33">
        <v>8.0329999999999995</v>
      </c>
      <c r="Z18" s="33">
        <v>5.69</v>
      </c>
      <c r="AA18" s="33">
        <v>5.1639999999999997</v>
      </c>
      <c r="AB18" s="33">
        <v>27.253</v>
      </c>
      <c r="AC18" s="33">
        <v>31.413</v>
      </c>
      <c r="AD18" s="33">
        <v>11.093</v>
      </c>
      <c r="AE18" s="33">
        <v>9.5630000000000006</v>
      </c>
      <c r="AF18" s="33">
        <v>26.966999999999999</v>
      </c>
      <c r="AG18" s="33">
        <v>9.5630000000000006</v>
      </c>
      <c r="AH18" s="33">
        <v>5.7380000000000004</v>
      </c>
      <c r="AI18" s="33">
        <v>6.407</v>
      </c>
      <c r="AJ18" s="33">
        <v>11.475</v>
      </c>
      <c r="AK18" s="33">
        <v>4.0880000000000001</v>
      </c>
      <c r="AL18" s="33">
        <v>17.681000000000001</v>
      </c>
      <c r="AM18" s="33">
        <v>22.710999999999999</v>
      </c>
      <c r="AN18" s="33">
        <v>9.5630000000000006</v>
      </c>
      <c r="AO18" s="33">
        <v>6.5979999999999999</v>
      </c>
      <c r="AP18" s="33">
        <v>25.962</v>
      </c>
      <c r="AQ18" s="33">
        <v>8.9410000000000007</v>
      </c>
      <c r="AR18" s="33">
        <v>8.3670000000000009</v>
      </c>
      <c r="AS18" s="33">
        <v>24.863</v>
      </c>
      <c r="AT18" s="33">
        <v>6.7569999999999997</v>
      </c>
      <c r="AU18" s="33">
        <v>18.169</v>
      </c>
      <c r="AV18" s="33">
        <v>15.539</v>
      </c>
      <c r="AW18" s="33">
        <v>15.778</v>
      </c>
      <c r="AX18" s="33">
        <v>8.75</v>
      </c>
      <c r="AY18" s="33">
        <v>15.826000000000001</v>
      </c>
      <c r="AZ18" s="33">
        <v>18.097000000000001</v>
      </c>
      <c r="BA18" s="33">
        <v>6.694</v>
      </c>
      <c r="BB18" s="33">
        <v>21.994</v>
      </c>
      <c r="BC18" s="33">
        <v>9.5630000000000006</v>
      </c>
      <c r="BD18" s="33">
        <v>5.7380000000000004</v>
      </c>
      <c r="BE18" s="33">
        <v>5.4980000000000002</v>
      </c>
      <c r="BF18" s="33">
        <v>43.031999999999996</v>
      </c>
      <c r="BG18" s="33">
        <v>7.1719999999999997</v>
      </c>
      <c r="BH18" s="33">
        <v>11.952999999999999</v>
      </c>
      <c r="BI18" s="33">
        <v>10.041</v>
      </c>
      <c r="BJ18" s="33">
        <v>20.081</v>
      </c>
      <c r="BK18" s="33">
        <v>5.7380000000000004</v>
      </c>
      <c r="BL18" s="33">
        <v>20.321000000000002</v>
      </c>
      <c r="BM18" s="33">
        <v>4.0640000000000001</v>
      </c>
      <c r="BN18" s="33">
        <v>14.343999999999999</v>
      </c>
      <c r="BO18" s="33">
        <v>20.387</v>
      </c>
      <c r="BP18" s="33">
        <v>54.601999999999997</v>
      </c>
      <c r="BQ18" s="33">
        <v>17.213000000000001</v>
      </c>
      <c r="BR18" s="33">
        <v>25.818999999999999</v>
      </c>
      <c r="BS18" s="33">
        <v>8.3670000000000009</v>
      </c>
      <c r="BT18" s="33">
        <v>16.495000000000001</v>
      </c>
      <c r="BU18" s="33">
        <v>2.2949999999999999</v>
      </c>
      <c r="BV18" s="33">
        <v>4.9249999999999998</v>
      </c>
      <c r="BW18" s="33">
        <v>6.4930000000000003</v>
      </c>
      <c r="BX18" s="33">
        <v>5.2830000000000004</v>
      </c>
      <c r="BY18" s="33">
        <v>11.952999999999999</v>
      </c>
      <c r="BZ18" s="33">
        <v>19.507999999999999</v>
      </c>
      <c r="CA18" s="33">
        <v>28.449000000000002</v>
      </c>
      <c r="CB18" s="33">
        <v>16.256</v>
      </c>
      <c r="CC18" s="33">
        <v>13.627000000000001</v>
      </c>
      <c r="CD18" s="33">
        <v>18.36</v>
      </c>
      <c r="CE18" s="33">
        <v>11.952999999999999</v>
      </c>
      <c r="CF18" s="33">
        <v>7.6980000000000004</v>
      </c>
      <c r="CG18" s="33">
        <v>8.3670000000000009</v>
      </c>
      <c r="CH18" s="33">
        <v>13.364000000000001</v>
      </c>
      <c r="CI18" s="33">
        <v>6.24</v>
      </c>
      <c r="CJ18" s="33">
        <v>2.1280000000000001</v>
      </c>
      <c r="CK18" s="33">
        <v>11.858000000000001</v>
      </c>
      <c r="CL18" s="33">
        <v>8.08</v>
      </c>
      <c r="CM18" s="33">
        <v>7.1719999999999997</v>
      </c>
      <c r="CN18" s="33">
        <v>28.317</v>
      </c>
      <c r="CO18" s="33">
        <v>11.236000000000001</v>
      </c>
      <c r="CP18" s="33">
        <v>22.376000000000001</v>
      </c>
      <c r="CQ18" s="33">
        <v>15.3</v>
      </c>
      <c r="CR18" s="33">
        <v>12.430999999999999</v>
      </c>
      <c r="CS18" s="33">
        <v>10.519</v>
      </c>
      <c r="CT18" s="33">
        <v>14.247999999999999</v>
      </c>
      <c r="CU18" s="33">
        <v>6.5979999999999999</v>
      </c>
      <c r="CV18" s="33">
        <v>12.097</v>
      </c>
      <c r="CW18" s="33">
        <v>13.388</v>
      </c>
      <c r="CX18" s="33">
        <v>5.9770000000000003</v>
      </c>
      <c r="CY18" s="33">
        <v>16.327999999999999</v>
      </c>
      <c r="CZ18" s="33">
        <v>5.7380000000000004</v>
      </c>
      <c r="DA18" s="33">
        <v>14.343999999999999</v>
      </c>
      <c r="DB18" s="33">
        <v>8.9890000000000008</v>
      </c>
      <c r="DC18" s="33">
        <v>6.742</v>
      </c>
      <c r="DD18" s="33">
        <v>7.6980000000000004</v>
      </c>
      <c r="DE18" s="33">
        <v>5.9770000000000003</v>
      </c>
      <c r="DF18" s="33">
        <v>10.327999999999999</v>
      </c>
      <c r="DG18" s="33">
        <v>17.189</v>
      </c>
      <c r="DH18" s="33">
        <v>35.86</v>
      </c>
      <c r="DI18" s="33">
        <v>17.213000000000001</v>
      </c>
      <c r="DJ18" s="33">
        <v>7.1719999999999997</v>
      </c>
      <c r="DK18" s="33">
        <v>9.8970000000000002</v>
      </c>
      <c r="DL18" s="33">
        <v>17.715</v>
      </c>
      <c r="DM18" s="33">
        <v>8.6059999999999999</v>
      </c>
      <c r="DN18" s="33">
        <v>47.813000000000002</v>
      </c>
      <c r="DO18" s="33">
        <v>16.065000000000001</v>
      </c>
      <c r="DP18" s="33">
        <v>48.290999999999997</v>
      </c>
      <c r="DQ18" s="33">
        <v>1.119</v>
      </c>
      <c r="DR18" s="33">
        <v>43.604999999999997</v>
      </c>
      <c r="DS18" s="33">
        <v>7.6980000000000004</v>
      </c>
      <c r="DT18" s="33">
        <v>14.391999999999999</v>
      </c>
      <c r="DU18" s="33">
        <v>7.1719999999999997</v>
      </c>
      <c r="DV18" s="33">
        <v>5.68</v>
      </c>
      <c r="DW18" s="33">
        <v>6.694</v>
      </c>
      <c r="DX18" s="33">
        <v>18.599</v>
      </c>
      <c r="DY18" s="33">
        <v>12.430999999999999</v>
      </c>
      <c r="DZ18" s="33">
        <v>5.5940000000000003</v>
      </c>
      <c r="EA18" s="33">
        <v>19.125</v>
      </c>
      <c r="EB18" s="33">
        <v>17.213000000000001</v>
      </c>
      <c r="EC18" s="33">
        <v>10.997</v>
      </c>
      <c r="ED18" s="33">
        <v>13.77</v>
      </c>
      <c r="EE18" s="33">
        <v>23.332999999999998</v>
      </c>
      <c r="EF18" s="33">
        <v>7.1719999999999997</v>
      </c>
      <c r="EG18" s="33">
        <v>4.399</v>
      </c>
      <c r="EH18" s="33">
        <v>19.795000000000002</v>
      </c>
      <c r="EI18" s="33">
        <v>7.0759999999999996</v>
      </c>
      <c r="EJ18" s="33">
        <v>4.399</v>
      </c>
      <c r="EK18" s="33">
        <v>7.1719999999999997</v>
      </c>
      <c r="EL18" s="33">
        <v>11.475</v>
      </c>
      <c r="EM18" s="33">
        <v>15.396000000000001</v>
      </c>
      <c r="EN18" s="33">
        <v>8.798</v>
      </c>
      <c r="EO18" s="33">
        <v>9.5630000000000006</v>
      </c>
      <c r="EP18" s="33">
        <v>6.742</v>
      </c>
      <c r="EQ18" s="33">
        <v>16.495000000000001</v>
      </c>
      <c r="ER18" s="33">
        <v>5.0199999999999996</v>
      </c>
      <c r="ES18" s="33">
        <v>5.4980000000000002</v>
      </c>
      <c r="ET18" s="33">
        <v>11.045</v>
      </c>
      <c r="EU18" s="33">
        <v>40.622</v>
      </c>
      <c r="EV18" s="33">
        <v>8.2479999999999993</v>
      </c>
      <c r="EW18" s="33">
        <v>38.25</v>
      </c>
      <c r="EX18" s="33">
        <v>42.96</v>
      </c>
      <c r="EY18" s="33">
        <v>2.5819999999999999</v>
      </c>
      <c r="EZ18" s="33">
        <v>3.4710000000000001</v>
      </c>
      <c r="FA18" s="33">
        <v>2.84</v>
      </c>
      <c r="FB18" s="33">
        <v>9.5630000000000006</v>
      </c>
      <c r="FC18" s="33">
        <v>13.627000000000001</v>
      </c>
      <c r="FD18" s="33">
        <v>9.5630000000000006</v>
      </c>
      <c r="FE18" s="33">
        <v>13.196</v>
      </c>
      <c r="FF18" s="33">
        <v>8.6059999999999999</v>
      </c>
      <c r="FG18" s="33">
        <v>7.1719999999999997</v>
      </c>
      <c r="FH18" s="33">
        <v>5.9770000000000003</v>
      </c>
      <c r="FI18" s="33">
        <v>22.95</v>
      </c>
      <c r="FJ18" s="33">
        <v>14.64</v>
      </c>
      <c r="FK18" s="33">
        <v>21.204999999999998</v>
      </c>
      <c r="FL18" s="33">
        <v>7.0759999999999996</v>
      </c>
      <c r="FM18" s="33">
        <v>19.556000000000001</v>
      </c>
      <c r="FN18" s="33">
        <v>9.8019999999999996</v>
      </c>
      <c r="FO18" s="33">
        <v>35.19</v>
      </c>
      <c r="FP18" s="33">
        <v>50.204000000000001</v>
      </c>
      <c r="FQ18" s="33">
        <v>9.18</v>
      </c>
      <c r="FR18" s="33">
        <v>5.4980000000000002</v>
      </c>
      <c r="FS18" s="33">
        <v>6.5979999999999999</v>
      </c>
      <c r="FT18" s="33">
        <v>8.2479999999999993</v>
      </c>
      <c r="FU18" s="33">
        <v>33.469000000000001</v>
      </c>
      <c r="FV18" s="33">
        <v>6.359</v>
      </c>
      <c r="FW18" s="33">
        <v>7.258</v>
      </c>
      <c r="FX18" s="33">
        <v>7.1719999999999997</v>
      </c>
      <c r="FY18" s="33">
        <v>6.5979999999999999</v>
      </c>
      <c r="FZ18" s="33">
        <v>6.5979999999999999</v>
      </c>
      <c r="GA18" s="33">
        <v>7.1719999999999997</v>
      </c>
      <c r="GB18" s="33">
        <v>5.9770000000000003</v>
      </c>
      <c r="GC18" s="33">
        <v>3.1560000000000001</v>
      </c>
      <c r="GD18" s="33">
        <v>6.024</v>
      </c>
      <c r="GE18" s="33">
        <v>6.5979999999999999</v>
      </c>
      <c r="GF18" s="33">
        <v>50.204000000000001</v>
      </c>
      <c r="GG18" s="33">
        <v>30.6</v>
      </c>
      <c r="GH18" s="33">
        <v>2.8690000000000002</v>
      </c>
      <c r="GI18" s="33">
        <v>4.3029999999999999</v>
      </c>
      <c r="GJ18" s="33">
        <v>5.69</v>
      </c>
      <c r="GK18" s="33">
        <v>12.91</v>
      </c>
      <c r="GL18" s="33">
        <v>9.5630000000000006</v>
      </c>
      <c r="GM18" s="33">
        <v>1.974</v>
      </c>
      <c r="GN18" s="33">
        <v>11.843</v>
      </c>
      <c r="GO18" s="33">
        <v>4.1449999999999996</v>
      </c>
      <c r="GP18" s="33">
        <v>16.777999999999999</v>
      </c>
      <c r="GQ18" s="33">
        <v>2.7629999999999999</v>
      </c>
      <c r="GR18" s="33">
        <v>23.489000000000001</v>
      </c>
      <c r="GS18" s="33">
        <v>6.2370000000000001</v>
      </c>
      <c r="GT18" s="33">
        <v>18.751999999999999</v>
      </c>
      <c r="GU18" s="33">
        <v>4.9740000000000002</v>
      </c>
      <c r="GV18" s="33">
        <v>3.34</v>
      </c>
      <c r="GW18" s="33">
        <v>4.0330000000000004</v>
      </c>
      <c r="GX18" s="33">
        <v>17.172999999999998</v>
      </c>
      <c r="GY18" s="33">
        <v>0.79</v>
      </c>
      <c r="GZ18" s="33">
        <v>2.3690000000000002</v>
      </c>
      <c r="HA18" s="33">
        <v>5.8840000000000003</v>
      </c>
      <c r="HB18" s="33">
        <v>18.751999999999999</v>
      </c>
      <c r="HC18" s="33">
        <v>18.751999999999999</v>
      </c>
      <c r="HD18" s="33">
        <v>9.8689999999999998</v>
      </c>
      <c r="HE18" s="3">
        <f>_xlfn.XLOOKUP(HE$1,generator!$B$2:$B$295,generator!$L$2:$L$295,"ARGH")</f>
        <v>17.600000000000001</v>
      </c>
      <c r="HF18" s="3">
        <f>_xlfn.XLOOKUP(HF$1,generator!$B$2:$B$295,generator!$L$2:$L$295,"ARGH")</f>
        <v>285</v>
      </c>
      <c r="HG18" s="3">
        <f>_xlfn.XLOOKUP(HG$1,generator!$B$2:$B$295,generator!$L$2:$L$295,"ARGH")</f>
        <v>285</v>
      </c>
      <c r="HH18" s="3">
        <f>_xlfn.XLOOKUP(HH$1,generator!$B$2:$B$295,generator!$L$2:$L$295,"ARGH")</f>
        <v>285</v>
      </c>
      <c r="HI18" s="3">
        <f>_xlfn.XLOOKUP(HI$1,generator!$B$2:$B$295,generator!$L$2:$L$295,"ARGH")</f>
        <v>58</v>
      </c>
      <c r="HJ18" s="3">
        <f>_xlfn.XLOOKUP(HJ$1,generator!$B$2:$B$295,generator!$L$2:$L$295,"ARGH")</f>
        <v>58</v>
      </c>
      <c r="HK18" s="3">
        <f>_xlfn.XLOOKUP(HK$1,generator!$B$2:$B$295,generator!$L$2:$L$295,"ARGH")</f>
        <v>53</v>
      </c>
      <c r="HL18" s="3">
        <f>_xlfn.XLOOKUP(HL$1,generator!$B$2:$B$295,generator!$L$2:$L$295,"ARGH")</f>
        <v>58</v>
      </c>
      <c r="HM18" s="3">
        <f>_xlfn.XLOOKUP(HM$1,generator!$B$2:$B$295,generator!$L$2:$L$295,"ARGH")</f>
        <v>58</v>
      </c>
      <c r="HN18" s="3">
        <f>_xlfn.XLOOKUP(HN$1,generator!$B$2:$B$295,generator!$L$2:$L$295,"ARGH")</f>
        <v>52</v>
      </c>
      <c r="HO18" s="3">
        <f>_xlfn.XLOOKUP(HO$1,generator!$B$2:$B$295,generator!$L$2:$L$295,"ARGH")</f>
        <v>52</v>
      </c>
      <c r="HP18" s="3">
        <f>_xlfn.XLOOKUP(HP$1,generator!$B$2:$B$295,generator!$L$2:$L$295,"ARGH")</f>
        <v>2</v>
      </c>
      <c r="HQ18" s="3">
        <f>_xlfn.XLOOKUP(HQ$1,generator!$B$2:$B$295,generator!$L$2:$L$295,"ARGH")</f>
        <v>29.2</v>
      </c>
      <c r="HR18" s="3">
        <f>_xlfn.XLOOKUP(HR$1,generator!$B$2:$B$295,generator!$L$2:$L$295,"ARGH")</f>
        <v>29.2</v>
      </c>
      <c r="HS18" s="3">
        <f>_xlfn.XLOOKUP(HS$1,generator!$B$2:$B$295,generator!$L$2:$L$295,"ARGH")</f>
        <v>41.61</v>
      </c>
      <c r="HT18" s="3">
        <f>_xlfn.XLOOKUP(HT$1,generator!$B$2:$B$295,generator!$L$2:$L$295,"ARGH")</f>
        <v>41.61</v>
      </c>
      <c r="HU18" s="3">
        <f>_xlfn.XLOOKUP(HU$1,generator!$B$2:$B$295,generator!$L$2:$L$295,"ARGH")</f>
        <v>160</v>
      </c>
      <c r="HV18" s="3">
        <f>_xlfn.XLOOKUP(HV$1,generator!$B$2:$B$295,generator!$L$2:$L$295,"ARGH")</f>
        <v>260</v>
      </c>
      <c r="HW18" s="3">
        <f>_xlfn.XLOOKUP(HW$1,generator!$B$2:$B$295,generator!$L$2:$L$295,"ARGH")</f>
        <v>52</v>
      </c>
      <c r="HX18" s="3">
        <f>_xlfn.XLOOKUP(HX$1,generator!$B$2:$B$295,generator!$L$2:$L$295,"ARGH")</f>
        <v>52</v>
      </c>
      <c r="HY18" s="3">
        <f>_xlfn.XLOOKUP(HY$1,generator!$B$2:$B$295,generator!$L$2:$L$295,"ARGH")</f>
        <v>101</v>
      </c>
      <c r="HZ18" s="3">
        <f>_xlfn.XLOOKUP(HZ$1,generator!$B$2:$B$295,generator!$L$2:$L$295,"ARGH")</f>
        <v>50</v>
      </c>
      <c r="IA18" s="3">
        <f>_xlfn.XLOOKUP(IA$1,generator!$B$2:$B$295,generator!$L$2:$L$295,"ARGH")</f>
        <v>400</v>
      </c>
      <c r="IB18" s="3">
        <f>_xlfn.XLOOKUP(IB$1,generator!$B$2:$B$295,generator!$L$2:$L$295,"ARGH")</f>
        <v>342</v>
      </c>
      <c r="IC18" s="3">
        <f>_xlfn.XLOOKUP(IC$1,generator!$B$2:$B$295,generator!$L$2:$L$295,"ARGH")</f>
        <v>3.0209999999999999</v>
      </c>
      <c r="ID18" s="3">
        <f>_xlfn.XLOOKUP(ID$1,generator!$B$2:$B$295,generator!$L$2:$L$295,"ARGH")</f>
        <v>200</v>
      </c>
      <c r="IE18" s="3">
        <f>_xlfn.XLOOKUP(IE$1,generator!$B$2:$B$295,generator!$L$2:$L$295,"ARGH")</f>
        <v>404</v>
      </c>
      <c r="IF18" s="3">
        <f>_xlfn.XLOOKUP(IF$1,generator!$B$2:$B$295,generator!$L$2:$L$295,"ARGH")</f>
        <v>21</v>
      </c>
      <c r="IG18" s="3">
        <f>_xlfn.XLOOKUP(IG$1,generator!$B$2:$B$295,generator!$L$2:$L$295,"ARGH")</f>
        <v>22</v>
      </c>
      <c r="IH18" s="3">
        <f>_xlfn.XLOOKUP(IH$1,generator!$B$2:$B$295,generator!$L$2:$L$295,"ARGH")</f>
        <v>19</v>
      </c>
      <c r="II18" s="3">
        <f>_xlfn.XLOOKUP(II$1,generator!$B$2:$B$295,generator!$L$2:$L$295,"ARGH")</f>
        <v>24</v>
      </c>
      <c r="IJ18" s="3">
        <f>_xlfn.XLOOKUP(IJ$1,generator!$B$2:$B$295,generator!$L$2:$L$295,"ARGH")</f>
        <v>4.3</v>
      </c>
      <c r="IK18" s="3">
        <f>_xlfn.XLOOKUP(IK$1,generator!$B$2:$B$295,generator!$L$2:$L$295,"ARGH")</f>
        <v>8</v>
      </c>
      <c r="IL18" s="3">
        <f>_xlfn.XLOOKUP(IL$1,generator!$B$2:$B$295,generator!$L$2:$L$295,"ARGH")</f>
        <v>22.5</v>
      </c>
      <c r="IM18" s="3">
        <f>_xlfn.XLOOKUP(IM$1,generator!$B$2:$B$295,generator!$L$2:$L$295,"ARGH")</f>
        <v>22.5</v>
      </c>
      <c r="IN18" s="3">
        <f>_xlfn.XLOOKUP(IN$1,generator!$B$2:$B$295,generator!$L$2:$L$295,"ARGH")</f>
        <v>10</v>
      </c>
      <c r="IO18" s="3">
        <f>_xlfn.XLOOKUP(IO$1,generator!$B$2:$B$295,generator!$L$2:$L$295,"ARGH")</f>
        <v>10</v>
      </c>
      <c r="IP18" s="3">
        <f>_xlfn.XLOOKUP(IP$1,generator!$B$2:$B$295,generator!$L$2:$L$295,"ARGH")</f>
        <v>15</v>
      </c>
      <c r="IQ18" s="3">
        <f>_xlfn.XLOOKUP(IQ$1,generator!$B$2:$B$295,generator!$L$2:$L$295,"ARGH")</f>
        <v>4</v>
      </c>
      <c r="IR18" s="3">
        <f>_xlfn.XLOOKUP(IR$1,generator!$B$2:$B$295,generator!$L$2:$L$295,"ARGH")</f>
        <v>15</v>
      </c>
      <c r="IS18" s="3">
        <f>_xlfn.XLOOKUP(IS$1,generator!$B$2:$B$295,generator!$L$2:$L$295,"ARGH")</f>
        <v>15</v>
      </c>
      <c r="IT18" s="3">
        <f>_xlfn.XLOOKUP(IT$1,generator!$B$2:$B$295,generator!$L$2:$L$295,"ARGH")</f>
        <v>0.18</v>
      </c>
      <c r="IU18" s="3">
        <f>_xlfn.XLOOKUP(IU$1,generator!$B$2:$B$295,generator!$L$2:$L$295,"ARGH")</f>
        <v>4</v>
      </c>
      <c r="IV18" s="3">
        <f>_xlfn.XLOOKUP(IV$1,generator!$B$2:$B$295,generator!$L$2:$L$295,"ARGH")</f>
        <v>4</v>
      </c>
      <c r="IW18" s="3">
        <f>_xlfn.XLOOKUP(IW$1,generator!$B$2:$B$295,generator!$L$2:$L$295,"ARGH")</f>
        <v>90</v>
      </c>
      <c r="IX18" s="3">
        <f>_xlfn.XLOOKUP(IX$1,generator!$B$2:$B$295,generator!$L$2:$L$295,"ARGH")</f>
        <v>90</v>
      </c>
      <c r="IY18" s="3">
        <f>_xlfn.XLOOKUP(IY$1,generator!$B$2:$B$295,generator!$L$2:$L$295,"ARGH")</f>
        <v>90</v>
      </c>
      <c r="IZ18" s="3">
        <f>_xlfn.XLOOKUP(IZ$1,generator!$B$2:$B$295,generator!$L$2:$L$295,"ARGH")</f>
        <v>449</v>
      </c>
      <c r="JA18" s="3">
        <f>_xlfn.XLOOKUP(JA$1,generator!$B$2:$B$295,generator!$L$2:$L$295,"ARGH")</f>
        <v>83</v>
      </c>
      <c r="JB18" s="3">
        <f>_xlfn.XLOOKUP(JB$1,generator!$B$2:$B$295,generator!$L$2:$L$295,"ARGH")</f>
        <v>83</v>
      </c>
      <c r="JC18" s="3">
        <f>_xlfn.XLOOKUP(JC$1,generator!$B$2:$B$295,generator!$L$2:$L$295,"ARGH")</f>
        <v>247</v>
      </c>
      <c r="JD18" s="3">
        <f>_xlfn.XLOOKUP(JD$1,generator!$B$2:$B$295,generator!$L$2:$L$295,"ARGH")</f>
        <v>247</v>
      </c>
      <c r="JE18" s="3">
        <f>_xlfn.XLOOKUP(JE$1,generator!$B$2:$B$295,generator!$L$2:$L$295,"ARGH")</f>
        <v>425</v>
      </c>
      <c r="JF18" s="3">
        <f>_xlfn.XLOOKUP(JF$1,generator!$B$2:$B$295,generator!$L$2:$L$295,"ARGH")</f>
        <v>63.5</v>
      </c>
      <c r="JG18" s="3">
        <f>_xlfn.XLOOKUP(JG$1,generator!$B$2:$B$295,generator!$L$2:$L$295,"ARGH")</f>
        <v>17</v>
      </c>
      <c r="JH18" s="3">
        <f>_xlfn.XLOOKUP(JH$1,generator!$B$2:$B$295,generator!$L$2:$L$295,"ARGH")</f>
        <v>444</v>
      </c>
      <c r="JI18" s="3">
        <f>_xlfn.XLOOKUP(JI$1,generator!$B$2:$B$295,generator!$L$2:$L$295,"ARGH")</f>
        <v>464</v>
      </c>
      <c r="JJ18" s="3">
        <f>_xlfn.XLOOKUP(JJ$1,generator!$B$2:$B$295,generator!$L$2:$L$295,"ARGH")</f>
        <v>18.54</v>
      </c>
      <c r="JK18" s="3">
        <f>_xlfn.XLOOKUP(JK$1,generator!$B$2:$B$295,generator!$L$2:$L$295,"ARGH")</f>
        <v>18.54</v>
      </c>
      <c r="JL18" s="3">
        <f>_xlfn.XLOOKUP(JL$1,generator!$B$2:$B$295,generator!$L$2:$L$295,"ARGH")</f>
        <v>18.54</v>
      </c>
      <c r="JM18" s="3">
        <f>_xlfn.XLOOKUP(JM$1,generator!$B$2:$B$295,generator!$L$2:$L$295,"ARGH")</f>
        <v>18.54</v>
      </c>
      <c r="JN18" s="3">
        <f>_xlfn.XLOOKUP(JN$1,generator!$B$2:$B$295,generator!$L$2:$L$295,"ARGH")</f>
        <v>18.54</v>
      </c>
      <c r="JO18" s="3">
        <f>_xlfn.XLOOKUP(JO$1,generator!$B$2:$B$295,generator!$L$2:$L$295,"ARGH")</f>
        <v>18.54</v>
      </c>
      <c r="JP18" s="3">
        <f>_xlfn.XLOOKUP(JP$1,generator!$B$2:$B$295,generator!$L$2:$L$295,"ARGH")</f>
        <v>415</v>
      </c>
      <c r="JQ18" s="3">
        <f>_xlfn.XLOOKUP(JQ$1,generator!$B$2:$B$295,generator!$L$2:$L$295,"ARGH")</f>
        <v>63.5</v>
      </c>
      <c r="JR18" s="3">
        <f>_xlfn.XLOOKUP(JR$1,generator!$B$2:$B$295,generator!$L$2:$L$295,"ARGH")</f>
        <v>350</v>
      </c>
      <c r="JS18" s="3">
        <f>_xlfn.XLOOKUP(JS$1,generator!$B$2:$B$295,generator!$L$2:$L$295,"ARGH")</f>
        <v>350</v>
      </c>
      <c r="JT18" s="3">
        <f>_xlfn.XLOOKUP(JT$1,generator!$B$2:$B$295,generator!$L$2:$L$295,"ARGH")</f>
        <v>63.5</v>
      </c>
      <c r="JU18" s="3">
        <f>_xlfn.XLOOKUP(JU$1,generator!$B$2:$B$295,generator!$L$2:$L$295,"ARGH")</f>
        <v>61.5</v>
      </c>
      <c r="JV18" s="3">
        <f>_xlfn.XLOOKUP(JV$1,generator!$B$2:$B$295,generator!$L$2:$L$295,"ARGH")</f>
        <v>240</v>
      </c>
      <c r="JW18" s="3">
        <f>_xlfn.XLOOKUP(JW$1,generator!$B$2:$B$295,generator!$L$2:$L$295,"ARGH")</f>
        <v>236</v>
      </c>
      <c r="JX18" s="3">
        <f>_xlfn.XLOOKUP(JX$1,generator!$B$2:$B$295,generator!$L$2:$L$295,"ARGH")</f>
        <v>20</v>
      </c>
      <c r="JY18" s="3">
        <f>_xlfn.XLOOKUP(JY$1,generator!$B$2:$B$295,generator!$L$2:$L$295,"ARGH")</f>
        <v>118</v>
      </c>
      <c r="JZ18" s="3">
        <f>_xlfn.XLOOKUP(JZ$1,generator!$B$2:$B$295,generator!$L$2:$L$295,"ARGH")</f>
        <v>73</v>
      </c>
      <c r="KA18" s="3">
        <f>_xlfn.XLOOKUP(KA$1,generator!$B$2:$B$295,generator!$L$2:$L$295,"ARGH")</f>
        <v>73</v>
      </c>
      <c r="KB18" s="3">
        <f>_xlfn.XLOOKUP(KB$1,generator!$B$2:$B$295,generator!$L$2:$L$295,"ARGH")</f>
        <v>73</v>
      </c>
      <c r="KC18" s="3">
        <f>_xlfn.XLOOKUP(KC$1,generator!$B$2:$B$295,generator!$L$2:$L$295,"ARGH")</f>
        <v>73</v>
      </c>
    </row>
    <row r="19" spans="1:289" x14ac:dyDescent="0.3">
      <c r="A19" s="4" t="s">
        <v>3014</v>
      </c>
      <c r="B19" s="31">
        <v>418.5</v>
      </c>
      <c r="C19" s="31">
        <v>514</v>
      </c>
      <c r="D19" s="31">
        <v>442</v>
      </c>
      <c r="E19" s="33">
        <v>13.311</v>
      </c>
      <c r="F19" s="33">
        <v>28.594000000000001</v>
      </c>
      <c r="G19" s="33">
        <v>13.311</v>
      </c>
      <c r="H19" s="33">
        <v>22.184999999999999</v>
      </c>
      <c r="I19" s="33">
        <v>43.877000000000002</v>
      </c>
      <c r="J19" s="33">
        <v>40.918999999999997</v>
      </c>
      <c r="K19" s="33">
        <v>11.093</v>
      </c>
      <c r="L19" s="33">
        <v>8.48</v>
      </c>
      <c r="M19" s="33">
        <v>7.3949999999999996</v>
      </c>
      <c r="N19" s="33">
        <v>26.622</v>
      </c>
      <c r="O19" s="33">
        <v>2.6619999999999999</v>
      </c>
      <c r="P19" s="33">
        <v>12.621</v>
      </c>
      <c r="Q19" s="33">
        <v>17.353999999999999</v>
      </c>
      <c r="R19" s="33">
        <v>8.8740000000000006</v>
      </c>
      <c r="S19" s="33">
        <v>16.934999999999999</v>
      </c>
      <c r="T19" s="33">
        <v>11.832000000000001</v>
      </c>
      <c r="U19" s="33">
        <v>20.706</v>
      </c>
      <c r="V19" s="33">
        <v>10.427</v>
      </c>
      <c r="W19" s="33">
        <v>11.339</v>
      </c>
      <c r="X19" s="33">
        <v>15.973000000000001</v>
      </c>
      <c r="Y19" s="33">
        <v>8.282</v>
      </c>
      <c r="Z19" s="33">
        <v>5.867</v>
      </c>
      <c r="AA19" s="33">
        <v>5.3239999999999998</v>
      </c>
      <c r="AB19" s="33">
        <v>28.100999999999999</v>
      </c>
      <c r="AC19" s="33">
        <v>32.39</v>
      </c>
      <c r="AD19" s="33">
        <v>11.438000000000001</v>
      </c>
      <c r="AE19" s="33">
        <v>9.86</v>
      </c>
      <c r="AF19" s="33">
        <v>27.805</v>
      </c>
      <c r="AG19" s="33">
        <v>9.86</v>
      </c>
      <c r="AH19" s="33">
        <v>5.9160000000000004</v>
      </c>
      <c r="AI19" s="33">
        <v>6.6059999999999999</v>
      </c>
      <c r="AJ19" s="33">
        <v>11.832000000000001</v>
      </c>
      <c r="AK19" s="33">
        <v>4.2149999999999999</v>
      </c>
      <c r="AL19" s="33">
        <v>18.231000000000002</v>
      </c>
      <c r="AM19" s="33">
        <v>23.417999999999999</v>
      </c>
      <c r="AN19" s="33">
        <v>9.86</v>
      </c>
      <c r="AO19" s="33">
        <v>6.8029999999999999</v>
      </c>
      <c r="AP19" s="33">
        <v>26.77</v>
      </c>
      <c r="AQ19" s="33">
        <v>9.2189999999999994</v>
      </c>
      <c r="AR19" s="33">
        <v>8.6280000000000001</v>
      </c>
      <c r="AS19" s="33">
        <v>25.635999999999999</v>
      </c>
      <c r="AT19" s="33">
        <v>6.9669999999999996</v>
      </c>
      <c r="AU19" s="33">
        <v>18.734000000000002</v>
      </c>
      <c r="AV19" s="33">
        <v>16.023</v>
      </c>
      <c r="AW19" s="33">
        <v>16.268999999999998</v>
      </c>
      <c r="AX19" s="33">
        <v>9.0220000000000002</v>
      </c>
      <c r="AY19" s="33">
        <v>16.318000000000001</v>
      </c>
      <c r="AZ19" s="33">
        <v>18.66</v>
      </c>
      <c r="BA19" s="33">
        <v>6.9020000000000001</v>
      </c>
      <c r="BB19" s="33">
        <v>22.678000000000001</v>
      </c>
      <c r="BC19" s="33">
        <v>9.86</v>
      </c>
      <c r="BD19" s="33">
        <v>5.9160000000000004</v>
      </c>
      <c r="BE19" s="33">
        <v>5.67</v>
      </c>
      <c r="BF19" s="33">
        <v>44.37</v>
      </c>
      <c r="BG19" s="33">
        <v>7.3949999999999996</v>
      </c>
      <c r="BH19" s="33">
        <v>12.324999999999999</v>
      </c>
      <c r="BI19" s="33">
        <v>10.353</v>
      </c>
      <c r="BJ19" s="33">
        <v>20.706</v>
      </c>
      <c r="BK19" s="33">
        <v>5.9160000000000004</v>
      </c>
      <c r="BL19" s="33">
        <v>20.952999999999999</v>
      </c>
      <c r="BM19" s="33">
        <v>4.1909999999999998</v>
      </c>
      <c r="BN19" s="33">
        <v>14.79</v>
      </c>
      <c r="BO19" s="33">
        <v>21.021999999999998</v>
      </c>
      <c r="BP19" s="33">
        <v>56.301000000000002</v>
      </c>
      <c r="BQ19" s="33">
        <v>17.748000000000001</v>
      </c>
      <c r="BR19" s="33">
        <v>26.622</v>
      </c>
      <c r="BS19" s="33">
        <v>8.6280000000000001</v>
      </c>
      <c r="BT19" s="33">
        <v>17.009</v>
      </c>
      <c r="BU19" s="33">
        <v>2.3660000000000001</v>
      </c>
      <c r="BV19" s="33">
        <v>5.0780000000000003</v>
      </c>
      <c r="BW19" s="33">
        <v>6.6950000000000003</v>
      </c>
      <c r="BX19" s="33">
        <v>5.4480000000000004</v>
      </c>
      <c r="BY19" s="33">
        <v>12.324999999999999</v>
      </c>
      <c r="BZ19" s="33">
        <v>20.114000000000001</v>
      </c>
      <c r="CA19" s="33">
        <v>29.334</v>
      </c>
      <c r="CB19" s="33">
        <v>16.762</v>
      </c>
      <c r="CC19" s="33">
        <v>14.051</v>
      </c>
      <c r="CD19" s="33">
        <v>18.931000000000001</v>
      </c>
      <c r="CE19" s="33">
        <v>12.324999999999999</v>
      </c>
      <c r="CF19" s="33">
        <v>7.9370000000000003</v>
      </c>
      <c r="CG19" s="33">
        <v>8.6280000000000001</v>
      </c>
      <c r="CH19" s="33">
        <v>13.779</v>
      </c>
      <c r="CI19" s="33">
        <v>6.4340000000000002</v>
      </c>
      <c r="CJ19" s="33">
        <v>2.194</v>
      </c>
      <c r="CK19" s="33">
        <v>12.226000000000001</v>
      </c>
      <c r="CL19" s="33">
        <v>8.3320000000000007</v>
      </c>
      <c r="CM19" s="33">
        <v>7.3949999999999996</v>
      </c>
      <c r="CN19" s="33">
        <v>29.198</v>
      </c>
      <c r="CO19" s="33">
        <v>11.586</v>
      </c>
      <c r="CP19" s="33">
        <v>23.071999999999999</v>
      </c>
      <c r="CQ19" s="33">
        <v>15.776</v>
      </c>
      <c r="CR19" s="33">
        <v>12.818</v>
      </c>
      <c r="CS19" s="33">
        <v>10.846</v>
      </c>
      <c r="CT19" s="33">
        <v>14.691000000000001</v>
      </c>
      <c r="CU19" s="33">
        <v>6.8029999999999999</v>
      </c>
      <c r="CV19" s="33">
        <v>12.473000000000001</v>
      </c>
      <c r="CW19" s="33">
        <v>13.804</v>
      </c>
      <c r="CX19" s="33">
        <v>6.1630000000000003</v>
      </c>
      <c r="CY19" s="33">
        <v>16.835999999999999</v>
      </c>
      <c r="CZ19" s="33">
        <v>5.9160000000000004</v>
      </c>
      <c r="DA19" s="33">
        <v>14.79</v>
      </c>
      <c r="DB19" s="33">
        <v>9.2680000000000007</v>
      </c>
      <c r="DC19" s="33">
        <v>6.9509999999999996</v>
      </c>
      <c r="DD19" s="33">
        <v>7.9370000000000003</v>
      </c>
      <c r="DE19" s="33">
        <v>6.1630000000000003</v>
      </c>
      <c r="DF19" s="33">
        <v>10.648999999999999</v>
      </c>
      <c r="DG19" s="33">
        <v>17.722999999999999</v>
      </c>
      <c r="DH19" s="33">
        <v>36.975000000000001</v>
      </c>
      <c r="DI19" s="33">
        <v>17.748000000000001</v>
      </c>
      <c r="DJ19" s="33">
        <v>7.3949999999999996</v>
      </c>
      <c r="DK19" s="33">
        <v>10.205</v>
      </c>
      <c r="DL19" s="33">
        <v>18.265999999999998</v>
      </c>
      <c r="DM19" s="33">
        <v>8.8740000000000006</v>
      </c>
      <c r="DN19" s="33">
        <v>49.3</v>
      </c>
      <c r="DO19" s="33">
        <v>16.565000000000001</v>
      </c>
      <c r="DP19" s="33">
        <v>49.792999999999999</v>
      </c>
      <c r="DQ19" s="33">
        <v>1.1539999999999999</v>
      </c>
      <c r="DR19" s="33">
        <v>44.962000000000003</v>
      </c>
      <c r="DS19" s="33">
        <v>7.9370000000000003</v>
      </c>
      <c r="DT19" s="33">
        <v>14.839</v>
      </c>
      <c r="DU19" s="33">
        <v>7.3949999999999996</v>
      </c>
      <c r="DV19" s="33">
        <v>5.8570000000000002</v>
      </c>
      <c r="DW19" s="33">
        <v>6.9020000000000001</v>
      </c>
      <c r="DX19" s="33">
        <v>19.178000000000001</v>
      </c>
      <c r="DY19" s="33">
        <v>12.818</v>
      </c>
      <c r="DZ19" s="33">
        <v>5.7679999999999998</v>
      </c>
      <c r="EA19" s="33">
        <v>19.72</v>
      </c>
      <c r="EB19" s="33">
        <v>17.748000000000001</v>
      </c>
      <c r="EC19" s="33">
        <v>11.339</v>
      </c>
      <c r="ED19" s="33">
        <v>14.198</v>
      </c>
      <c r="EE19" s="33">
        <v>24.058</v>
      </c>
      <c r="EF19" s="33">
        <v>7.3949999999999996</v>
      </c>
      <c r="EG19" s="33">
        <v>4.5359999999999996</v>
      </c>
      <c r="EH19" s="33">
        <v>20.41</v>
      </c>
      <c r="EI19" s="33">
        <v>7.2960000000000003</v>
      </c>
      <c r="EJ19" s="33">
        <v>4.5359999999999996</v>
      </c>
      <c r="EK19" s="33">
        <v>7.3949999999999996</v>
      </c>
      <c r="EL19" s="33">
        <v>11.832000000000001</v>
      </c>
      <c r="EM19" s="33">
        <v>15.875</v>
      </c>
      <c r="EN19" s="33">
        <v>9.0709999999999997</v>
      </c>
      <c r="EO19" s="33">
        <v>9.86</v>
      </c>
      <c r="EP19" s="33">
        <v>6.9509999999999996</v>
      </c>
      <c r="EQ19" s="33">
        <v>17.009</v>
      </c>
      <c r="ER19" s="33">
        <v>5.1769999999999996</v>
      </c>
      <c r="ES19" s="33">
        <v>5.67</v>
      </c>
      <c r="ET19" s="33">
        <v>11.388</v>
      </c>
      <c r="EU19" s="33">
        <v>41.884999999999998</v>
      </c>
      <c r="EV19" s="33">
        <v>8.5039999999999996</v>
      </c>
      <c r="EW19" s="33">
        <v>39.44</v>
      </c>
      <c r="EX19" s="33">
        <v>44.295999999999999</v>
      </c>
      <c r="EY19" s="33">
        <v>2.6619999999999999</v>
      </c>
      <c r="EZ19" s="33">
        <v>3.5790000000000002</v>
      </c>
      <c r="FA19" s="33">
        <v>2.9279999999999999</v>
      </c>
      <c r="FB19" s="33">
        <v>9.86</v>
      </c>
      <c r="FC19" s="33">
        <v>14.051</v>
      </c>
      <c r="FD19" s="33">
        <v>9.86</v>
      </c>
      <c r="FE19" s="33">
        <v>13.606999999999999</v>
      </c>
      <c r="FF19" s="33">
        <v>8.8740000000000006</v>
      </c>
      <c r="FG19" s="33">
        <v>7.3949999999999996</v>
      </c>
      <c r="FH19" s="33">
        <v>6.1630000000000003</v>
      </c>
      <c r="FI19" s="33">
        <v>23.664000000000001</v>
      </c>
      <c r="FJ19" s="33">
        <v>15.096</v>
      </c>
      <c r="FK19" s="33">
        <v>21.864999999999998</v>
      </c>
      <c r="FL19" s="33">
        <v>7.2960000000000003</v>
      </c>
      <c r="FM19" s="33">
        <v>20.164000000000001</v>
      </c>
      <c r="FN19" s="33">
        <v>10.106999999999999</v>
      </c>
      <c r="FO19" s="33">
        <v>36.284999999999997</v>
      </c>
      <c r="FP19" s="33">
        <v>51.765000000000001</v>
      </c>
      <c r="FQ19" s="33">
        <v>9.4659999999999993</v>
      </c>
      <c r="FR19" s="33">
        <v>5.67</v>
      </c>
      <c r="FS19" s="33">
        <v>6.8029999999999999</v>
      </c>
      <c r="FT19" s="33">
        <v>8.5039999999999996</v>
      </c>
      <c r="FU19" s="33">
        <v>34.51</v>
      </c>
      <c r="FV19" s="33">
        <v>6.5570000000000004</v>
      </c>
      <c r="FW19" s="33">
        <v>7.484</v>
      </c>
      <c r="FX19" s="33">
        <v>7.3949999999999996</v>
      </c>
      <c r="FY19" s="33">
        <v>6.8029999999999999</v>
      </c>
      <c r="FZ19" s="33">
        <v>6.8029999999999999</v>
      </c>
      <c r="GA19" s="33">
        <v>7.3949999999999996</v>
      </c>
      <c r="GB19" s="33">
        <v>6.1630000000000003</v>
      </c>
      <c r="GC19" s="33">
        <v>3.254</v>
      </c>
      <c r="GD19" s="33">
        <v>6.2119999999999997</v>
      </c>
      <c r="GE19" s="33">
        <v>6.8029999999999999</v>
      </c>
      <c r="GF19" s="33">
        <v>51.765000000000001</v>
      </c>
      <c r="GG19" s="33">
        <v>31.552</v>
      </c>
      <c r="GH19" s="33">
        <v>2.9580000000000002</v>
      </c>
      <c r="GI19" s="33">
        <v>4.4370000000000003</v>
      </c>
      <c r="GJ19" s="33">
        <v>5.867</v>
      </c>
      <c r="GK19" s="33">
        <v>13.311</v>
      </c>
      <c r="GL19" s="33">
        <v>9.86</v>
      </c>
      <c r="GM19" s="33">
        <v>2.4380000000000002</v>
      </c>
      <c r="GN19" s="33">
        <v>14.625999999999999</v>
      </c>
      <c r="GO19" s="33">
        <v>5.1189999999999998</v>
      </c>
      <c r="GP19" s="33">
        <v>20.72</v>
      </c>
      <c r="GQ19" s="33">
        <v>3.4129999999999998</v>
      </c>
      <c r="GR19" s="33">
        <v>29.009</v>
      </c>
      <c r="GS19" s="33">
        <v>7.7030000000000003</v>
      </c>
      <c r="GT19" s="33">
        <v>23.158000000000001</v>
      </c>
      <c r="GU19" s="33">
        <v>6.1429999999999998</v>
      </c>
      <c r="GV19" s="33">
        <v>4.125</v>
      </c>
      <c r="GW19" s="33">
        <v>4.9800000000000004</v>
      </c>
      <c r="GX19" s="33">
        <v>21.207999999999998</v>
      </c>
      <c r="GY19" s="33">
        <v>0.97499999999999998</v>
      </c>
      <c r="GZ19" s="33">
        <v>2.9249999999999998</v>
      </c>
      <c r="HA19" s="33">
        <v>7.2670000000000003</v>
      </c>
      <c r="HB19" s="33">
        <v>23.158000000000001</v>
      </c>
      <c r="HC19" s="33">
        <v>23.158000000000001</v>
      </c>
      <c r="HD19" s="33">
        <v>12.188000000000001</v>
      </c>
      <c r="HE19" s="3">
        <f>_xlfn.XLOOKUP(HE$1,generator!$B$2:$B$295,generator!$L$2:$L$295,"ARGH")</f>
        <v>17.600000000000001</v>
      </c>
      <c r="HF19" s="3">
        <f>_xlfn.XLOOKUP(HF$1,generator!$B$2:$B$295,generator!$L$2:$L$295,"ARGH")</f>
        <v>285</v>
      </c>
      <c r="HG19" s="3">
        <f>_xlfn.XLOOKUP(HG$1,generator!$B$2:$B$295,generator!$L$2:$L$295,"ARGH")</f>
        <v>285</v>
      </c>
      <c r="HH19" s="3">
        <f>_xlfn.XLOOKUP(HH$1,generator!$B$2:$B$295,generator!$L$2:$L$295,"ARGH")</f>
        <v>285</v>
      </c>
      <c r="HI19" s="3">
        <f>_xlfn.XLOOKUP(HI$1,generator!$B$2:$B$295,generator!$L$2:$L$295,"ARGH")</f>
        <v>58</v>
      </c>
      <c r="HJ19" s="3">
        <f>_xlfn.XLOOKUP(HJ$1,generator!$B$2:$B$295,generator!$L$2:$L$295,"ARGH")</f>
        <v>58</v>
      </c>
      <c r="HK19" s="3">
        <f>_xlfn.XLOOKUP(HK$1,generator!$B$2:$B$295,generator!$L$2:$L$295,"ARGH")</f>
        <v>53</v>
      </c>
      <c r="HL19" s="3">
        <f>_xlfn.XLOOKUP(HL$1,generator!$B$2:$B$295,generator!$L$2:$L$295,"ARGH")</f>
        <v>58</v>
      </c>
      <c r="HM19" s="3">
        <f>_xlfn.XLOOKUP(HM$1,generator!$B$2:$B$295,generator!$L$2:$L$295,"ARGH")</f>
        <v>58</v>
      </c>
      <c r="HN19" s="3">
        <f>_xlfn.XLOOKUP(HN$1,generator!$B$2:$B$295,generator!$L$2:$L$295,"ARGH")</f>
        <v>52</v>
      </c>
      <c r="HO19" s="3">
        <f>_xlfn.XLOOKUP(HO$1,generator!$B$2:$B$295,generator!$L$2:$L$295,"ARGH")</f>
        <v>52</v>
      </c>
      <c r="HP19" s="3">
        <f>_xlfn.XLOOKUP(HP$1,generator!$B$2:$B$295,generator!$L$2:$L$295,"ARGH")</f>
        <v>2</v>
      </c>
      <c r="HQ19" s="3">
        <f>_xlfn.XLOOKUP(HQ$1,generator!$B$2:$B$295,generator!$L$2:$L$295,"ARGH")</f>
        <v>29.2</v>
      </c>
      <c r="HR19" s="3">
        <f>_xlfn.XLOOKUP(HR$1,generator!$B$2:$B$295,generator!$L$2:$L$295,"ARGH")</f>
        <v>29.2</v>
      </c>
      <c r="HS19" s="3">
        <f>_xlfn.XLOOKUP(HS$1,generator!$B$2:$B$295,generator!$L$2:$L$295,"ARGH")</f>
        <v>41.61</v>
      </c>
      <c r="HT19" s="3">
        <f>_xlfn.XLOOKUP(HT$1,generator!$B$2:$B$295,generator!$L$2:$L$295,"ARGH")</f>
        <v>41.61</v>
      </c>
      <c r="HU19" s="3">
        <f>_xlfn.XLOOKUP(HU$1,generator!$B$2:$B$295,generator!$L$2:$L$295,"ARGH")</f>
        <v>160</v>
      </c>
      <c r="HV19" s="3">
        <f>_xlfn.XLOOKUP(HV$1,generator!$B$2:$B$295,generator!$L$2:$L$295,"ARGH")</f>
        <v>260</v>
      </c>
      <c r="HW19" s="3">
        <f>_xlfn.XLOOKUP(HW$1,generator!$B$2:$B$295,generator!$L$2:$L$295,"ARGH")</f>
        <v>52</v>
      </c>
      <c r="HX19" s="3">
        <f>_xlfn.XLOOKUP(HX$1,generator!$B$2:$B$295,generator!$L$2:$L$295,"ARGH")</f>
        <v>52</v>
      </c>
      <c r="HY19" s="3">
        <f>_xlfn.XLOOKUP(HY$1,generator!$B$2:$B$295,generator!$L$2:$L$295,"ARGH")</f>
        <v>101</v>
      </c>
      <c r="HZ19" s="3">
        <f>_xlfn.XLOOKUP(HZ$1,generator!$B$2:$B$295,generator!$L$2:$L$295,"ARGH")</f>
        <v>50</v>
      </c>
      <c r="IA19" s="3">
        <f>_xlfn.XLOOKUP(IA$1,generator!$B$2:$B$295,generator!$L$2:$L$295,"ARGH")</f>
        <v>400</v>
      </c>
      <c r="IB19" s="3">
        <f>_xlfn.XLOOKUP(IB$1,generator!$B$2:$B$295,generator!$L$2:$L$295,"ARGH")</f>
        <v>342</v>
      </c>
      <c r="IC19" s="3">
        <f>_xlfn.XLOOKUP(IC$1,generator!$B$2:$B$295,generator!$L$2:$L$295,"ARGH")</f>
        <v>3.0209999999999999</v>
      </c>
      <c r="ID19" s="3">
        <f>_xlfn.XLOOKUP(ID$1,generator!$B$2:$B$295,generator!$L$2:$L$295,"ARGH")</f>
        <v>200</v>
      </c>
      <c r="IE19" s="3">
        <f>_xlfn.XLOOKUP(IE$1,generator!$B$2:$B$295,generator!$L$2:$L$295,"ARGH")</f>
        <v>404</v>
      </c>
      <c r="IF19" s="3">
        <f>_xlfn.XLOOKUP(IF$1,generator!$B$2:$B$295,generator!$L$2:$L$295,"ARGH")</f>
        <v>21</v>
      </c>
      <c r="IG19" s="3">
        <f>_xlfn.XLOOKUP(IG$1,generator!$B$2:$B$295,generator!$L$2:$L$295,"ARGH")</f>
        <v>22</v>
      </c>
      <c r="IH19" s="3">
        <f>_xlfn.XLOOKUP(IH$1,generator!$B$2:$B$295,generator!$L$2:$L$295,"ARGH")</f>
        <v>19</v>
      </c>
      <c r="II19" s="3">
        <f>_xlfn.XLOOKUP(II$1,generator!$B$2:$B$295,generator!$L$2:$L$295,"ARGH")</f>
        <v>24</v>
      </c>
      <c r="IJ19" s="3">
        <f>_xlfn.XLOOKUP(IJ$1,generator!$B$2:$B$295,generator!$L$2:$L$295,"ARGH")</f>
        <v>4.3</v>
      </c>
      <c r="IK19" s="3">
        <f>_xlfn.XLOOKUP(IK$1,generator!$B$2:$B$295,generator!$L$2:$L$295,"ARGH")</f>
        <v>8</v>
      </c>
      <c r="IL19" s="3">
        <f>_xlfn.XLOOKUP(IL$1,generator!$B$2:$B$295,generator!$L$2:$L$295,"ARGH")</f>
        <v>22.5</v>
      </c>
      <c r="IM19" s="3">
        <f>_xlfn.XLOOKUP(IM$1,generator!$B$2:$B$295,generator!$L$2:$L$295,"ARGH")</f>
        <v>22.5</v>
      </c>
      <c r="IN19" s="3">
        <f>_xlfn.XLOOKUP(IN$1,generator!$B$2:$B$295,generator!$L$2:$L$295,"ARGH")</f>
        <v>10</v>
      </c>
      <c r="IO19" s="3">
        <f>_xlfn.XLOOKUP(IO$1,generator!$B$2:$B$295,generator!$L$2:$L$295,"ARGH")</f>
        <v>10</v>
      </c>
      <c r="IP19" s="3">
        <f>_xlfn.XLOOKUP(IP$1,generator!$B$2:$B$295,generator!$L$2:$L$295,"ARGH")</f>
        <v>15</v>
      </c>
      <c r="IQ19" s="3">
        <f>_xlfn.XLOOKUP(IQ$1,generator!$B$2:$B$295,generator!$L$2:$L$295,"ARGH")</f>
        <v>4</v>
      </c>
      <c r="IR19" s="3">
        <f>_xlfn.XLOOKUP(IR$1,generator!$B$2:$B$295,generator!$L$2:$L$295,"ARGH")</f>
        <v>15</v>
      </c>
      <c r="IS19" s="3">
        <f>_xlfn.XLOOKUP(IS$1,generator!$B$2:$B$295,generator!$L$2:$L$295,"ARGH")</f>
        <v>15</v>
      </c>
      <c r="IT19" s="3">
        <f>_xlfn.XLOOKUP(IT$1,generator!$B$2:$B$295,generator!$L$2:$L$295,"ARGH")</f>
        <v>0.18</v>
      </c>
      <c r="IU19" s="3">
        <f>_xlfn.XLOOKUP(IU$1,generator!$B$2:$B$295,generator!$L$2:$L$295,"ARGH")</f>
        <v>4</v>
      </c>
      <c r="IV19" s="3">
        <f>_xlfn.XLOOKUP(IV$1,generator!$B$2:$B$295,generator!$L$2:$L$295,"ARGH")</f>
        <v>4</v>
      </c>
      <c r="IW19" s="3">
        <f>_xlfn.XLOOKUP(IW$1,generator!$B$2:$B$295,generator!$L$2:$L$295,"ARGH")</f>
        <v>90</v>
      </c>
      <c r="IX19" s="3">
        <f>_xlfn.XLOOKUP(IX$1,generator!$B$2:$B$295,generator!$L$2:$L$295,"ARGH")</f>
        <v>90</v>
      </c>
      <c r="IY19" s="3">
        <f>_xlfn.XLOOKUP(IY$1,generator!$B$2:$B$295,generator!$L$2:$L$295,"ARGH")</f>
        <v>90</v>
      </c>
      <c r="IZ19" s="3">
        <f>_xlfn.XLOOKUP(IZ$1,generator!$B$2:$B$295,generator!$L$2:$L$295,"ARGH")</f>
        <v>449</v>
      </c>
      <c r="JA19" s="3">
        <f>_xlfn.XLOOKUP(JA$1,generator!$B$2:$B$295,generator!$L$2:$L$295,"ARGH")</f>
        <v>83</v>
      </c>
      <c r="JB19" s="3">
        <f>_xlfn.XLOOKUP(JB$1,generator!$B$2:$B$295,generator!$L$2:$L$295,"ARGH")</f>
        <v>83</v>
      </c>
      <c r="JC19" s="3">
        <f>_xlfn.XLOOKUP(JC$1,generator!$B$2:$B$295,generator!$L$2:$L$295,"ARGH")</f>
        <v>247</v>
      </c>
      <c r="JD19" s="3">
        <f>_xlfn.XLOOKUP(JD$1,generator!$B$2:$B$295,generator!$L$2:$L$295,"ARGH")</f>
        <v>247</v>
      </c>
      <c r="JE19" s="3">
        <f>_xlfn.XLOOKUP(JE$1,generator!$B$2:$B$295,generator!$L$2:$L$295,"ARGH")</f>
        <v>425</v>
      </c>
      <c r="JF19" s="3">
        <f>_xlfn.XLOOKUP(JF$1,generator!$B$2:$B$295,generator!$L$2:$L$295,"ARGH")</f>
        <v>63.5</v>
      </c>
      <c r="JG19" s="3">
        <f>_xlfn.XLOOKUP(JG$1,generator!$B$2:$B$295,generator!$L$2:$L$295,"ARGH")</f>
        <v>17</v>
      </c>
      <c r="JH19" s="3">
        <f>_xlfn.XLOOKUP(JH$1,generator!$B$2:$B$295,generator!$L$2:$L$295,"ARGH")</f>
        <v>444</v>
      </c>
      <c r="JI19" s="3">
        <f>_xlfn.XLOOKUP(JI$1,generator!$B$2:$B$295,generator!$L$2:$L$295,"ARGH")</f>
        <v>464</v>
      </c>
      <c r="JJ19" s="3">
        <f>_xlfn.XLOOKUP(JJ$1,generator!$B$2:$B$295,generator!$L$2:$L$295,"ARGH")</f>
        <v>18.54</v>
      </c>
      <c r="JK19" s="3">
        <f>_xlfn.XLOOKUP(JK$1,generator!$B$2:$B$295,generator!$L$2:$L$295,"ARGH")</f>
        <v>18.54</v>
      </c>
      <c r="JL19" s="3">
        <f>_xlfn.XLOOKUP(JL$1,generator!$B$2:$B$295,generator!$L$2:$L$295,"ARGH")</f>
        <v>18.54</v>
      </c>
      <c r="JM19" s="3">
        <f>_xlfn.XLOOKUP(JM$1,generator!$B$2:$B$295,generator!$L$2:$L$295,"ARGH")</f>
        <v>18.54</v>
      </c>
      <c r="JN19" s="3">
        <f>_xlfn.XLOOKUP(JN$1,generator!$B$2:$B$295,generator!$L$2:$L$295,"ARGH")</f>
        <v>18.54</v>
      </c>
      <c r="JO19" s="3">
        <f>_xlfn.XLOOKUP(JO$1,generator!$B$2:$B$295,generator!$L$2:$L$295,"ARGH")</f>
        <v>18.54</v>
      </c>
      <c r="JP19" s="3">
        <f>_xlfn.XLOOKUP(JP$1,generator!$B$2:$B$295,generator!$L$2:$L$295,"ARGH")</f>
        <v>415</v>
      </c>
      <c r="JQ19" s="3">
        <f>_xlfn.XLOOKUP(JQ$1,generator!$B$2:$B$295,generator!$L$2:$L$295,"ARGH")</f>
        <v>63.5</v>
      </c>
      <c r="JR19" s="3">
        <f>_xlfn.XLOOKUP(JR$1,generator!$B$2:$B$295,generator!$L$2:$L$295,"ARGH")</f>
        <v>350</v>
      </c>
      <c r="JS19" s="3">
        <f>_xlfn.XLOOKUP(JS$1,generator!$B$2:$B$295,generator!$L$2:$L$295,"ARGH")</f>
        <v>350</v>
      </c>
      <c r="JT19" s="3">
        <f>_xlfn.XLOOKUP(JT$1,generator!$B$2:$B$295,generator!$L$2:$L$295,"ARGH")</f>
        <v>63.5</v>
      </c>
      <c r="JU19" s="3">
        <f>_xlfn.XLOOKUP(JU$1,generator!$B$2:$B$295,generator!$L$2:$L$295,"ARGH")</f>
        <v>61.5</v>
      </c>
      <c r="JV19" s="3">
        <f>_xlfn.XLOOKUP(JV$1,generator!$B$2:$B$295,generator!$L$2:$L$295,"ARGH")</f>
        <v>240</v>
      </c>
      <c r="JW19" s="3">
        <f>_xlfn.XLOOKUP(JW$1,generator!$B$2:$B$295,generator!$L$2:$L$295,"ARGH")</f>
        <v>236</v>
      </c>
      <c r="JX19" s="3">
        <f>_xlfn.XLOOKUP(JX$1,generator!$B$2:$B$295,generator!$L$2:$L$295,"ARGH")</f>
        <v>20</v>
      </c>
      <c r="JY19" s="3">
        <f>_xlfn.XLOOKUP(JY$1,generator!$B$2:$B$295,generator!$L$2:$L$295,"ARGH")</f>
        <v>118</v>
      </c>
      <c r="JZ19" s="3">
        <f>_xlfn.XLOOKUP(JZ$1,generator!$B$2:$B$295,generator!$L$2:$L$295,"ARGH")</f>
        <v>73</v>
      </c>
      <c r="KA19" s="3">
        <f>_xlfn.XLOOKUP(KA$1,generator!$B$2:$B$295,generator!$L$2:$L$295,"ARGH")</f>
        <v>73</v>
      </c>
      <c r="KB19" s="3">
        <f>_xlfn.XLOOKUP(KB$1,generator!$B$2:$B$295,generator!$L$2:$L$295,"ARGH")</f>
        <v>73</v>
      </c>
      <c r="KC19" s="3">
        <f>_xlfn.XLOOKUP(KC$1,generator!$B$2:$B$295,generator!$L$2:$L$295,"ARGH")</f>
        <v>73</v>
      </c>
    </row>
    <row r="20" spans="1:289" x14ac:dyDescent="0.3">
      <c r="A20" s="4" t="s">
        <v>3015</v>
      </c>
      <c r="B20" s="31">
        <v>457.5</v>
      </c>
      <c r="C20" s="31">
        <v>513.5</v>
      </c>
      <c r="D20" s="31">
        <v>442</v>
      </c>
      <c r="E20" s="33">
        <v>13.487</v>
      </c>
      <c r="F20" s="33">
        <v>28.972000000000001</v>
      </c>
      <c r="G20" s="33">
        <v>13.487</v>
      </c>
      <c r="H20" s="33">
        <v>22.478000000000002</v>
      </c>
      <c r="I20" s="33">
        <v>44.457000000000001</v>
      </c>
      <c r="J20" s="33">
        <v>41.459000000000003</v>
      </c>
      <c r="K20" s="33">
        <v>11.239000000000001</v>
      </c>
      <c r="L20" s="33">
        <v>8.5920000000000005</v>
      </c>
      <c r="M20" s="33">
        <v>7.4930000000000003</v>
      </c>
      <c r="N20" s="33">
        <v>26.974</v>
      </c>
      <c r="O20" s="33">
        <v>2.6970000000000001</v>
      </c>
      <c r="P20" s="33">
        <v>12.788</v>
      </c>
      <c r="Q20" s="33">
        <v>17.582999999999998</v>
      </c>
      <c r="R20" s="33">
        <v>8.9909999999999997</v>
      </c>
      <c r="S20" s="33">
        <v>17.158000000000001</v>
      </c>
      <c r="T20" s="33">
        <v>11.988</v>
      </c>
      <c r="U20" s="33">
        <v>20.98</v>
      </c>
      <c r="V20" s="33">
        <v>10.565</v>
      </c>
      <c r="W20" s="33">
        <v>11.489000000000001</v>
      </c>
      <c r="X20" s="33">
        <v>16.184000000000001</v>
      </c>
      <c r="Y20" s="33">
        <v>8.3919999999999995</v>
      </c>
      <c r="Z20" s="33">
        <v>5.944</v>
      </c>
      <c r="AA20" s="33">
        <v>5.3949999999999996</v>
      </c>
      <c r="AB20" s="33">
        <v>28.472000000000001</v>
      </c>
      <c r="AC20" s="33">
        <v>32.817999999999998</v>
      </c>
      <c r="AD20" s="33">
        <v>11.589</v>
      </c>
      <c r="AE20" s="33">
        <v>9.99</v>
      </c>
      <c r="AF20" s="33">
        <v>28.172000000000001</v>
      </c>
      <c r="AG20" s="33">
        <v>9.99</v>
      </c>
      <c r="AH20" s="33">
        <v>5.9939999999999998</v>
      </c>
      <c r="AI20" s="33">
        <v>6.6929999999999996</v>
      </c>
      <c r="AJ20" s="33">
        <v>11.988</v>
      </c>
      <c r="AK20" s="33">
        <v>4.2709999999999999</v>
      </c>
      <c r="AL20" s="33">
        <v>18.472000000000001</v>
      </c>
      <c r="AM20" s="33">
        <v>23.727</v>
      </c>
      <c r="AN20" s="33">
        <v>9.99</v>
      </c>
      <c r="AO20" s="33">
        <v>6.8929999999999998</v>
      </c>
      <c r="AP20" s="33">
        <v>27.123999999999999</v>
      </c>
      <c r="AQ20" s="33">
        <v>9.3409999999999993</v>
      </c>
      <c r="AR20" s="33">
        <v>8.7409999999999997</v>
      </c>
      <c r="AS20" s="33">
        <v>25.975000000000001</v>
      </c>
      <c r="AT20" s="33">
        <v>7.0590000000000002</v>
      </c>
      <c r="AU20" s="33">
        <v>18.981000000000002</v>
      </c>
      <c r="AV20" s="33">
        <v>16.234000000000002</v>
      </c>
      <c r="AW20" s="33">
        <v>16.484000000000002</v>
      </c>
      <c r="AX20" s="33">
        <v>9.141</v>
      </c>
      <c r="AY20" s="33">
        <v>16.533999999999999</v>
      </c>
      <c r="AZ20" s="33">
        <v>18.907</v>
      </c>
      <c r="BA20" s="33">
        <v>6.9930000000000003</v>
      </c>
      <c r="BB20" s="33">
        <v>22.978000000000002</v>
      </c>
      <c r="BC20" s="33">
        <v>9.99</v>
      </c>
      <c r="BD20" s="33">
        <v>5.9939999999999998</v>
      </c>
      <c r="BE20" s="33">
        <v>5.7439999999999998</v>
      </c>
      <c r="BF20" s="33">
        <v>44.956000000000003</v>
      </c>
      <c r="BG20" s="33">
        <v>7.4930000000000003</v>
      </c>
      <c r="BH20" s="33">
        <v>12.488</v>
      </c>
      <c r="BI20" s="33">
        <v>10.49</v>
      </c>
      <c r="BJ20" s="33">
        <v>20.98</v>
      </c>
      <c r="BK20" s="33">
        <v>5.9939999999999998</v>
      </c>
      <c r="BL20" s="33">
        <v>21.228999999999999</v>
      </c>
      <c r="BM20" s="33">
        <v>4.2460000000000004</v>
      </c>
      <c r="BN20" s="33">
        <v>14.984999999999999</v>
      </c>
      <c r="BO20" s="33">
        <v>21.298999999999999</v>
      </c>
      <c r="BP20" s="33">
        <v>57.043999999999997</v>
      </c>
      <c r="BQ20" s="33">
        <v>17.981999999999999</v>
      </c>
      <c r="BR20" s="33">
        <v>26.974</v>
      </c>
      <c r="BS20" s="33">
        <v>8.7409999999999997</v>
      </c>
      <c r="BT20" s="33">
        <v>17.233000000000001</v>
      </c>
      <c r="BU20" s="33">
        <v>2.3980000000000001</v>
      </c>
      <c r="BV20" s="33">
        <v>5.1449999999999996</v>
      </c>
      <c r="BW20" s="33">
        <v>6.7830000000000004</v>
      </c>
      <c r="BX20" s="33">
        <v>5.52</v>
      </c>
      <c r="BY20" s="33">
        <v>12.488</v>
      </c>
      <c r="BZ20" s="33">
        <v>20.38</v>
      </c>
      <c r="CA20" s="33">
        <v>29.721</v>
      </c>
      <c r="CB20" s="33">
        <v>16.983000000000001</v>
      </c>
      <c r="CC20" s="33">
        <v>14.236000000000001</v>
      </c>
      <c r="CD20" s="33">
        <v>19.181000000000001</v>
      </c>
      <c r="CE20" s="33">
        <v>12.488</v>
      </c>
      <c r="CF20" s="33">
        <v>8.0419999999999998</v>
      </c>
      <c r="CG20" s="33">
        <v>8.7409999999999997</v>
      </c>
      <c r="CH20" s="33">
        <v>13.961</v>
      </c>
      <c r="CI20" s="33">
        <v>6.5190000000000001</v>
      </c>
      <c r="CJ20" s="33">
        <v>2.2229999999999999</v>
      </c>
      <c r="CK20" s="33">
        <v>12.388</v>
      </c>
      <c r="CL20" s="33">
        <v>8.4420000000000002</v>
      </c>
      <c r="CM20" s="33">
        <v>7.4930000000000003</v>
      </c>
      <c r="CN20" s="33">
        <v>29.584</v>
      </c>
      <c r="CO20" s="33">
        <v>11.739000000000001</v>
      </c>
      <c r="CP20" s="33">
        <v>23.376999999999999</v>
      </c>
      <c r="CQ20" s="33">
        <v>15.984</v>
      </c>
      <c r="CR20" s="33">
        <v>12.987</v>
      </c>
      <c r="CS20" s="33">
        <v>10.989000000000001</v>
      </c>
      <c r="CT20" s="33">
        <v>14.885</v>
      </c>
      <c r="CU20" s="33">
        <v>6.8929999999999998</v>
      </c>
      <c r="CV20" s="33">
        <v>12.638</v>
      </c>
      <c r="CW20" s="33">
        <v>13.986000000000001</v>
      </c>
      <c r="CX20" s="33">
        <v>6.2439999999999998</v>
      </c>
      <c r="CY20" s="33">
        <v>17.058</v>
      </c>
      <c r="CZ20" s="33">
        <v>5.9939999999999998</v>
      </c>
      <c r="DA20" s="33">
        <v>14.984999999999999</v>
      </c>
      <c r="DB20" s="33">
        <v>9.391</v>
      </c>
      <c r="DC20" s="33">
        <v>7.0430000000000001</v>
      </c>
      <c r="DD20" s="33">
        <v>8.0419999999999998</v>
      </c>
      <c r="DE20" s="33">
        <v>6.2439999999999998</v>
      </c>
      <c r="DF20" s="33">
        <v>10.789</v>
      </c>
      <c r="DG20" s="33">
        <v>17.957000000000001</v>
      </c>
      <c r="DH20" s="33">
        <v>37.463000000000001</v>
      </c>
      <c r="DI20" s="33">
        <v>17.981999999999999</v>
      </c>
      <c r="DJ20" s="33">
        <v>7.4930000000000003</v>
      </c>
      <c r="DK20" s="33">
        <v>10.34</v>
      </c>
      <c r="DL20" s="33">
        <v>18.507000000000001</v>
      </c>
      <c r="DM20" s="33">
        <v>8.9909999999999997</v>
      </c>
      <c r="DN20" s="33">
        <v>49.951000000000001</v>
      </c>
      <c r="DO20" s="33">
        <v>16.783999999999999</v>
      </c>
      <c r="DP20" s="33">
        <v>50.451000000000001</v>
      </c>
      <c r="DQ20" s="33">
        <v>1.169</v>
      </c>
      <c r="DR20" s="33">
        <v>45.555</v>
      </c>
      <c r="DS20" s="33">
        <v>8.0419999999999998</v>
      </c>
      <c r="DT20" s="33">
        <v>15.035</v>
      </c>
      <c r="DU20" s="33">
        <v>7.4930000000000003</v>
      </c>
      <c r="DV20" s="33">
        <v>5.9340000000000002</v>
      </c>
      <c r="DW20" s="33">
        <v>6.9930000000000003</v>
      </c>
      <c r="DX20" s="33">
        <v>19.431000000000001</v>
      </c>
      <c r="DY20" s="33">
        <v>12.987</v>
      </c>
      <c r="DZ20" s="33">
        <v>5.8440000000000003</v>
      </c>
      <c r="EA20" s="33">
        <v>19.98</v>
      </c>
      <c r="EB20" s="33">
        <v>17.981999999999999</v>
      </c>
      <c r="EC20" s="33">
        <v>11.489000000000001</v>
      </c>
      <c r="ED20" s="33">
        <v>14.385999999999999</v>
      </c>
      <c r="EE20" s="33">
        <v>24.376000000000001</v>
      </c>
      <c r="EF20" s="33">
        <v>7.4930000000000003</v>
      </c>
      <c r="EG20" s="33">
        <v>4.5960000000000001</v>
      </c>
      <c r="EH20" s="33">
        <v>20.68</v>
      </c>
      <c r="EI20" s="33">
        <v>7.3929999999999998</v>
      </c>
      <c r="EJ20" s="33">
        <v>4.5960000000000001</v>
      </c>
      <c r="EK20" s="33">
        <v>7.4930000000000003</v>
      </c>
      <c r="EL20" s="33">
        <v>11.988</v>
      </c>
      <c r="EM20" s="33">
        <v>16.084</v>
      </c>
      <c r="EN20" s="33">
        <v>9.1910000000000007</v>
      </c>
      <c r="EO20" s="33">
        <v>9.99</v>
      </c>
      <c r="EP20" s="33">
        <v>7.0430000000000001</v>
      </c>
      <c r="EQ20" s="33">
        <v>17.233000000000001</v>
      </c>
      <c r="ER20" s="33">
        <v>5.2450000000000001</v>
      </c>
      <c r="ES20" s="33">
        <v>5.7439999999999998</v>
      </c>
      <c r="ET20" s="33">
        <v>11.539</v>
      </c>
      <c r="EU20" s="33">
        <v>42.439</v>
      </c>
      <c r="EV20" s="33">
        <v>8.6170000000000009</v>
      </c>
      <c r="EW20" s="33">
        <v>39.960999999999999</v>
      </c>
      <c r="EX20" s="33">
        <v>44.881</v>
      </c>
      <c r="EY20" s="33">
        <v>2.6970000000000001</v>
      </c>
      <c r="EZ20" s="33">
        <v>3.6259999999999999</v>
      </c>
      <c r="FA20" s="33">
        <v>2.9670000000000001</v>
      </c>
      <c r="FB20" s="33">
        <v>9.99</v>
      </c>
      <c r="FC20" s="33">
        <v>14.236000000000001</v>
      </c>
      <c r="FD20" s="33">
        <v>9.99</v>
      </c>
      <c r="FE20" s="33">
        <v>13.787000000000001</v>
      </c>
      <c r="FF20" s="33">
        <v>8.9909999999999997</v>
      </c>
      <c r="FG20" s="33">
        <v>7.4930000000000003</v>
      </c>
      <c r="FH20" s="33">
        <v>6.2439999999999998</v>
      </c>
      <c r="FI20" s="33">
        <v>23.977</v>
      </c>
      <c r="FJ20" s="33">
        <v>15.295</v>
      </c>
      <c r="FK20" s="33">
        <v>22.152999999999999</v>
      </c>
      <c r="FL20" s="33">
        <v>7.3929999999999998</v>
      </c>
      <c r="FM20" s="33">
        <v>20.43</v>
      </c>
      <c r="FN20" s="33">
        <v>10.24</v>
      </c>
      <c r="FO20" s="33">
        <v>36.764000000000003</v>
      </c>
      <c r="FP20" s="33">
        <v>52.448999999999998</v>
      </c>
      <c r="FQ20" s="33">
        <v>9.5909999999999993</v>
      </c>
      <c r="FR20" s="33">
        <v>5.7439999999999998</v>
      </c>
      <c r="FS20" s="33">
        <v>6.8929999999999998</v>
      </c>
      <c r="FT20" s="33">
        <v>8.6170000000000009</v>
      </c>
      <c r="FU20" s="33">
        <v>34.966000000000001</v>
      </c>
      <c r="FV20" s="33">
        <v>6.6440000000000001</v>
      </c>
      <c r="FW20" s="33">
        <v>7.5830000000000002</v>
      </c>
      <c r="FX20" s="33">
        <v>7.4930000000000003</v>
      </c>
      <c r="FY20" s="33">
        <v>6.8929999999999998</v>
      </c>
      <c r="FZ20" s="33">
        <v>6.8929999999999998</v>
      </c>
      <c r="GA20" s="33">
        <v>7.4930000000000003</v>
      </c>
      <c r="GB20" s="33">
        <v>6.2439999999999998</v>
      </c>
      <c r="GC20" s="33">
        <v>3.2970000000000002</v>
      </c>
      <c r="GD20" s="33">
        <v>6.2939999999999996</v>
      </c>
      <c r="GE20" s="33">
        <v>6.8929999999999998</v>
      </c>
      <c r="GF20" s="33">
        <v>52.448999999999998</v>
      </c>
      <c r="GG20" s="33">
        <v>31.969000000000001</v>
      </c>
      <c r="GH20" s="33">
        <v>2.9969999999999999</v>
      </c>
      <c r="GI20" s="33">
        <v>4.4960000000000004</v>
      </c>
      <c r="GJ20" s="33">
        <v>5.944</v>
      </c>
      <c r="GK20" s="33">
        <v>13.487</v>
      </c>
      <c r="GL20" s="33">
        <v>9.99</v>
      </c>
      <c r="GM20" s="33">
        <v>3.282</v>
      </c>
      <c r="GN20" s="33">
        <v>19.690000000000001</v>
      </c>
      <c r="GO20" s="33">
        <v>6.891</v>
      </c>
      <c r="GP20" s="33">
        <v>27.893999999999998</v>
      </c>
      <c r="GQ20" s="33">
        <v>4.5940000000000003</v>
      </c>
      <c r="GR20" s="33">
        <v>39.051000000000002</v>
      </c>
      <c r="GS20" s="33">
        <v>10.37</v>
      </c>
      <c r="GT20" s="33">
        <v>31.175000000000001</v>
      </c>
      <c r="GU20" s="33">
        <v>8.27</v>
      </c>
      <c r="GV20" s="33">
        <v>5.5519999999999996</v>
      </c>
      <c r="GW20" s="33">
        <v>6.7039999999999997</v>
      </c>
      <c r="GX20" s="33">
        <v>28.55</v>
      </c>
      <c r="GY20" s="33">
        <v>1.3129999999999999</v>
      </c>
      <c r="GZ20" s="33">
        <v>3.9380000000000002</v>
      </c>
      <c r="HA20" s="33">
        <v>9.782</v>
      </c>
      <c r="HB20" s="33">
        <v>31.175000000000001</v>
      </c>
      <c r="HC20" s="33">
        <v>31.175000000000001</v>
      </c>
      <c r="HD20" s="33">
        <v>16.408000000000001</v>
      </c>
      <c r="HE20" s="3">
        <f>_xlfn.XLOOKUP(HE$1,generator!$B$2:$B$295,generator!$L$2:$L$295,"ARGH")</f>
        <v>17.600000000000001</v>
      </c>
      <c r="HF20" s="3">
        <f>_xlfn.XLOOKUP(HF$1,generator!$B$2:$B$295,generator!$L$2:$L$295,"ARGH")</f>
        <v>285</v>
      </c>
      <c r="HG20" s="3">
        <f>_xlfn.XLOOKUP(HG$1,generator!$B$2:$B$295,generator!$L$2:$L$295,"ARGH")</f>
        <v>285</v>
      </c>
      <c r="HH20" s="3">
        <f>_xlfn.XLOOKUP(HH$1,generator!$B$2:$B$295,generator!$L$2:$L$295,"ARGH")</f>
        <v>285</v>
      </c>
      <c r="HI20" s="3">
        <f>_xlfn.XLOOKUP(HI$1,generator!$B$2:$B$295,generator!$L$2:$L$295,"ARGH")</f>
        <v>58</v>
      </c>
      <c r="HJ20" s="3">
        <f>_xlfn.XLOOKUP(HJ$1,generator!$B$2:$B$295,generator!$L$2:$L$295,"ARGH")</f>
        <v>58</v>
      </c>
      <c r="HK20" s="3">
        <f>_xlfn.XLOOKUP(HK$1,generator!$B$2:$B$295,generator!$L$2:$L$295,"ARGH")</f>
        <v>53</v>
      </c>
      <c r="HL20" s="3">
        <f>_xlfn.XLOOKUP(HL$1,generator!$B$2:$B$295,generator!$L$2:$L$295,"ARGH")</f>
        <v>58</v>
      </c>
      <c r="HM20" s="3">
        <f>_xlfn.XLOOKUP(HM$1,generator!$B$2:$B$295,generator!$L$2:$L$295,"ARGH")</f>
        <v>58</v>
      </c>
      <c r="HN20" s="3">
        <f>_xlfn.XLOOKUP(HN$1,generator!$B$2:$B$295,generator!$L$2:$L$295,"ARGH")</f>
        <v>52</v>
      </c>
      <c r="HO20" s="3">
        <f>_xlfn.XLOOKUP(HO$1,generator!$B$2:$B$295,generator!$L$2:$L$295,"ARGH")</f>
        <v>52</v>
      </c>
      <c r="HP20" s="3">
        <f>_xlfn.XLOOKUP(HP$1,generator!$B$2:$B$295,generator!$L$2:$L$295,"ARGH")</f>
        <v>2</v>
      </c>
      <c r="HQ20" s="3">
        <f>_xlfn.XLOOKUP(HQ$1,generator!$B$2:$B$295,generator!$L$2:$L$295,"ARGH")</f>
        <v>29.2</v>
      </c>
      <c r="HR20" s="3">
        <f>_xlfn.XLOOKUP(HR$1,generator!$B$2:$B$295,generator!$L$2:$L$295,"ARGH")</f>
        <v>29.2</v>
      </c>
      <c r="HS20" s="3">
        <f>_xlfn.XLOOKUP(HS$1,generator!$B$2:$B$295,generator!$L$2:$L$295,"ARGH")</f>
        <v>41.61</v>
      </c>
      <c r="HT20" s="3">
        <f>_xlfn.XLOOKUP(HT$1,generator!$B$2:$B$295,generator!$L$2:$L$295,"ARGH")</f>
        <v>41.61</v>
      </c>
      <c r="HU20" s="3">
        <f>_xlfn.XLOOKUP(HU$1,generator!$B$2:$B$295,generator!$L$2:$L$295,"ARGH")</f>
        <v>160</v>
      </c>
      <c r="HV20" s="3">
        <f>_xlfn.XLOOKUP(HV$1,generator!$B$2:$B$295,generator!$L$2:$L$295,"ARGH")</f>
        <v>260</v>
      </c>
      <c r="HW20" s="3">
        <f>_xlfn.XLOOKUP(HW$1,generator!$B$2:$B$295,generator!$L$2:$L$295,"ARGH")</f>
        <v>52</v>
      </c>
      <c r="HX20" s="3">
        <f>_xlfn.XLOOKUP(HX$1,generator!$B$2:$B$295,generator!$L$2:$L$295,"ARGH")</f>
        <v>52</v>
      </c>
      <c r="HY20" s="3">
        <f>_xlfn.XLOOKUP(HY$1,generator!$B$2:$B$295,generator!$L$2:$L$295,"ARGH")</f>
        <v>101</v>
      </c>
      <c r="HZ20" s="3">
        <f>_xlfn.XLOOKUP(HZ$1,generator!$B$2:$B$295,generator!$L$2:$L$295,"ARGH")</f>
        <v>50</v>
      </c>
      <c r="IA20" s="3">
        <f>_xlfn.XLOOKUP(IA$1,generator!$B$2:$B$295,generator!$L$2:$L$295,"ARGH")</f>
        <v>400</v>
      </c>
      <c r="IB20" s="3">
        <f>_xlfn.XLOOKUP(IB$1,generator!$B$2:$B$295,generator!$L$2:$L$295,"ARGH")</f>
        <v>342</v>
      </c>
      <c r="IC20" s="3">
        <f>_xlfn.XLOOKUP(IC$1,generator!$B$2:$B$295,generator!$L$2:$L$295,"ARGH")</f>
        <v>3.0209999999999999</v>
      </c>
      <c r="ID20" s="3">
        <f>_xlfn.XLOOKUP(ID$1,generator!$B$2:$B$295,generator!$L$2:$L$295,"ARGH")</f>
        <v>200</v>
      </c>
      <c r="IE20" s="3">
        <f>_xlfn.XLOOKUP(IE$1,generator!$B$2:$B$295,generator!$L$2:$L$295,"ARGH")</f>
        <v>404</v>
      </c>
      <c r="IF20" s="3">
        <f>_xlfn.XLOOKUP(IF$1,generator!$B$2:$B$295,generator!$L$2:$L$295,"ARGH")</f>
        <v>21</v>
      </c>
      <c r="IG20" s="3">
        <f>_xlfn.XLOOKUP(IG$1,generator!$B$2:$B$295,generator!$L$2:$L$295,"ARGH")</f>
        <v>22</v>
      </c>
      <c r="IH20" s="3">
        <f>_xlfn.XLOOKUP(IH$1,generator!$B$2:$B$295,generator!$L$2:$L$295,"ARGH")</f>
        <v>19</v>
      </c>
      <c r="II20" s="3">
        <f>_xlfn.XLOOKUP(II$1,generator!$B$2:$B$295,generator!$L$2:$L$295,"ARGH")</f>
        <v>24</v>
      </c>
      <c r="IJ20" s="3">
        <f>_xlfn.XLOOKUP(IJ$1,generator!$B$2:$B$295,generator!$L$2:$L$295,"ARGH")</f>
        <v>4.3</v>
      </c>
      <c r="IK20" s="3">
        <f>_xlfn.XLOOKUP(IK$1,generator!$B$2:$B$295,generator!$L$2:$L$295,"ARGH")</f>
        <v>8</v>
      </c>
      <c r="IL20" s="3">
        <f>_xlfn.XLOOKUP(IL$1,generator!$B$2:$B$295,generator!$L$2:$L$295,"ARGH")</f>
        <v>22.5</v>
      </c>
      <c r="IM20" s="3">
        <f>_xlfn.XLOOKUP(IM$1,generator!$B$2:$B$295,generator!$L$2:$L$295,"ARGH")</f>
        <v>22.5</v>
      </c>
      <c r="IN20" s="3">
        <f>_xlfn.XLOOKUP(IN$1,generator!$B$2:$B$295,generator!$L$2:$L$295,"ARGH")</f>
        <v>10</v>
      </c>
      <c r="IO20" s="3">
        <f>_xlfn.XLOOKUP(IO$1,generator!$B$2:$B$295,generator!$L$2:$L$295,"ARGH")</f>
        <v>10</v>
      </c>
      <c r="IP20" s="3">
        <f>_xlfn.XLOOKUP(IP$1,generator!$B$2:$B$295,generator!$L$2:$L$295,"ARGH")</f>
        <v>15</v>
      </c>
      <c r="IQ20" s="3">
        <f>_xlfn.XLOOKUP(IQ$1,generator!$B$2:$B$295,generator!$L$2:$L$295,"ARGH")</f>
        <v>4</v>
      </c>
      <c r="IR20" s="3">
        <f>_xlfn.XLOOKUP(IR$1,generator!$B$2:$B$295,generator!$L$2:$L$295,"ARGH")</f>
        <v>15</v>
      </c>
      <c r="IS20" s="3">
        <f>_xlfn.XLOOKUP(IS$1,generator!$B$2:$B$295,generator!$L$2:$L$295,"ARGH")</f>
        <v>15</v>
      </c>
      <c r="IT20" s="3">
        <f>_xlfn.XLOOKUP(IT$1,generator!$B$2:$B$295,generator!$L$2:$L$295,"ARGH")</f>
        <v>0.18</v>
      </c>
      <c r="IU20" s="3">
        <f>_xlfn.XLOOKUP(IU$1,generator!$B$2:$B$295,generator!$L$2:$L$295,"ARGH")</f>
        <v>4</v>
      </c>
      <c r="IV20" s="3">
        <f>_xlfn.XLOOKUP(IV$1,generator!$B$2:$B$295,generator!$L$2:$L$295,"ARGH")</f>
        <v>4</v>
      </c>
      <c r="IW20" s="3">
        <f>_xlfn.XLOOKUP(IW$1,generator!$B$2:$B$295,generator!$L$2:$L$295,"ARGH")</f>
        <v>90</v>
      </c>
      <c r="IX20" s="3">
        <f>_xlfn.XLOOKUP(IX$1,generator!$B$2:$B$295,generator!$L$2:$L$295,"ARGH")</f>
        <v>90</v>
      </c>
      <c r="IY20" s="3">
        <f>_xlfn.XLOOKUP(IY$1,generator!$B$2:$B$295,generator!$L$2:$L$295,"ARGH")</f>
        <v>90</v>
      </c>
      <c r="IZ20" s="3">
        <f>_xlfn.XLOOKUP(IZ$1,generator!$B$2:$B$295,generator!$L$2:$L$295,"ARGH")</f>
        <v>449</v>
      </c>
      <c r="JA20" s="3">
        <f>_xlfn.XLOOKUP(JA$1,generator!$B$2:$B$295,generator!$L$2:$L$295,"ARGH")</f>
        <v>83</v>
      </c>
      <c r="JB20" s="3">
        <f>_xlfn.XLOOKUP(JB$1,generator!$B$2:$B$295,generator!$L$2:$L$295,"ARGH")</f>
        <v>83</v>
      </c>
      <c r="JC20" s="3">
        <f>_xlfn.XLOOKUP(JC$1,generator!$B$2:$B$295,generator!$L$2:$L$295,"ARGH")</f>
        <v>247</v>
      </c>
      <c r="JD20" s="3">
        <f>_xlfn.XLOOKUP(JD$1,generator!$B$2:$B$295,generator!$L$2:$L$295,"ARGH")</f>
        <v>247</v>
      </c>
      <c r="JE20" s="3">
        <f>_xlfn.XLOOKUP(JE$1,generator!$B$2:$B$295,generator!$L$2:$L$295,"ARGH")</f>
        <v>425</v>
      </c>
      <c r="JF20" s="3">
        <f>_xlfn.XLOOKUP(JF$1,generator!$B$2:$B$295,generator!$L$2:$L$295,"ARGH")</f>
        <v>63.5</v>
      </c>
      <c r="JG20" s="3">
        <f>_xlfn.XLOOKUP(JG$1,generator!$B$2:$B$295,generator!$L$2:$L$295,"ARGH")</f>
        <v>17</v>
      </c>
      <c r="JH20" s="3">
        <f>_xlfn.XLOOKUP(JH$1,generator!$B$2:$B$295,generator!$L$2:$L$295,"ARGH")</f>
        <v>444</v>
      </c>
      <c r="JI20" s="3">
        <f>_xlfn.XLOOKUP(JI$1,generator!$B$2:$B$295,generator!$L$2:$L$295,"ARGH")</f>
        <v>464</v>
      </c>
      <c r="JJ20" s="3">
        <f>_xlfn.XLOOKUP(JJ$1,generator!$B$2:$B$295,generator!$L$2:$L$295,"ARGH")</f>
        <v>18.54</v>
      </c>
      <c r="JK20" s="3">
        <f>_xlfn.XLOOKUP(JK$1,generator!$B$2:$B$295,generator!$L$2:$L$295,"ARGH")</f>
        <v>18.54</v>
      </c>
      <c r="JL20" s="3">
        <f>_xlfn.XLOOKUP(JL$1,generator!$B$2:$B$295,generator!$L$2:$L$295,"ARGH")</f>
        <v>18.54</v>
      </c>
      <c r="JM20" s="3">
        <f>_xlfn.XLOOKUP(JM$1,generator!$B$2:$B$295,generator!$L$2:$L$295,"ARGH")</f>
        <v>18.54</v>
      </c>
      <c r="JN20" s="3">
        <f>_xlfn.XLOOKUP(JN$1,generator!$B$2:$B$295,generator!$L$2:$L$295,"ARGH")</f>
        <v>18.54</v>
      </c>
      <c r="JO20" s="3">
        <f>_xlfn.XLOOKUP(JO$1,generator!$B$2:$B$295,generator!$L$2:$L$295,"ARGH")</f>
        <v>18.54</v>
      </c>
      <c r="JP20" s="3">
        <f>_xlfn.XLOOKUP(JP$1,generator!$B$2:$B$295,generator!$L$2:$L$295,"ARGH")</f>
        <v>415</v>
      </c>
      <c r="JQ20" s="3">
        <f>_xlfn.XLOOKUP(JQ$1,generator!$B$2:$B$295,generator!$L$2:$L$295,"ARGH")</f>
        <v>63.5</v>
      </c>
      <c r="JR20" s="3">
        <f>_xlfn.XLOOKUP(JR$1,generator!$B$2:$B$295,generator!$L$2:$L$295,"ARGH")</f>
        <v>350</v>
      </c>
      <c r="JS20" s="3">
        <f>_xlfn.XLOOKUP(JS$1,generator!$B$2:$B$295,generator!$L$2:$L$295,"ARGH")</f>
        <v>350</v>
      </c>
      <c r="JT20" s="3">
        <f>_xlfn.XLOOKUP(JT$1,generator!$B$2:$B$295,generator!$L$2:$L$295,"ARGH")</f>
        <v>63.5</v>
      </c>
      <c r="JU20" s="3">
        <f>_xlfn.XLOOKUP(JU$1,generator!$B$2:$B$295,generator!$L$2:$L$295,"ARGH")</f>
        <v>61.5</v>
      </c>
      <c r="JV20" s="3">
        <f>_xlfn.XLOOKUP(JV$1,generator!$B$2:$B$295,generator!$L$2:$L$295,"ARGH")</f>
        <v>240</v>
      </c>
      <c r="JW20" s="3">
        <f>_xlfn.XLOOKUP(JW$1,generator!$B$2:$B$295,generator!$L$2:$L$295,"ARGH")</f>
        <v>236</v>
      </c>
      <c r="JX20" s="3">
        <f>_xlfn.XLOOKUP(JX$1,generator!$B$2:$B$295,generator!$L$2:$L$295,"ARGH")</f>
        <v>20</v>
      </c>
      <c r="JY20" s="3">
        <f>_xlfn.XLOOKUP(JY$1,generator!$B$2:$B$295,generator!$L$2:$L$295,"ARGH")</f>
        <v>118</v>
      </c>
      <c r="JZ20" s="3">
        <f>_xlfn.XLOOKUP(JZ$1,generator!$B$2:$B$295,generator!$L$2:$L$295,"ARGH")</f>
        <v>73</v>
      </c>
      <c r="KA20" s="3">
        <f>_xlfn.XLOOKUP(KA$1,generator!$B$2:$B$295,generator!$L$2:$L$295,"ARGH")</f>
        <v>73</v>
      </c>
      <c r="KB20" s="3">
        <f>_xlfn.XLOOKUP(KB$1,generator!$B$2:$B$295,generator!$L$2:$L$295,"ARGH")</f>
        <v>73</v>
      </c>
      <c r="KC20" s="3">
        <f>_xlfn.XLOOKUP(KC$1,generator!$B$2:$B$295,generator!$L$2:$L$295,"ARGH")</f>
        <v>73</v>
      </c>
    </row>
    <row r="21" spans="1:289" x14ac:dyDescent="0.3">
      <c r="A21" s="4" t="s">
        <v>3016</v>
      </c>
      <c r="B21" s="31">
        <v>448</v>
      </c>
      <c r="C21" s="31">
        <v>513</v>
      </c>
      <c r="D21" s="31">
        <v>442</v>
      </c>
      <c r="E21" s="33">
        <v>13.728</v>
      </c>
      <c r="F21" s="33">
        <v>29.49</v>
      </c>
      <c r="G21" s="33">
        <v>13.728</v>
      </c>
      <c r="H21" s="33">
        <v>22.88</v>
      </c>
      <c r="I21" s="33">
        <v>45.250999999999998</v>
      </c>
      <c r="J21" s="33">
        <v>42.201000000000001</v>
      </c>
      <c r="K21" s="33">
        <v>11.44</v>
      </c>
      <c r="L21" s="33">
        <v>8.7449999999999992</v>
      </c>
      <c r="M21" s="33">
        <v>7.6269999999999998</v>
      </c>
      <c r="N21" s="33">
        <v>27.456</v>
      </c>
      <c r="O21" s="33">
        <v>2.746</v>
      </c>
      <c r="P21" s="33">
        <v>13.016</v>
      </c>
      <c r="Q21" s="33">
        <v>17.896999999999998</v>
      </c>
      <c r="R21" s="33">
        <v>9.1519999999999992</v>
      </c>
      <c r="S21" s="33">
        <v>17.465</v>
      </c>
      <c r="T21" s="33">
        <v>12.202999999999999</v>
      </c>
      <c r="U21" s="33">
        <v>21.355</v>
      </c>
      <c r="V21" s="33">
        <v>10.754</v>
      </c>
      <c r="W21" s="33">
        <v>11.694000000000001</v>
      </c>
      <c r="X21" s="33">
        <v>16.474</v>
      </c>
      <c r="Y21" s="33">
        <v>8.5419999999999998</v>
      </c>
      <c r="Z21" s="33">
        <v>6.05</v>
      </c>
      <c r="AA21" s="33">
        <v>5.4909999999999997</v>
      </c>
      <c r="AB21" s="33">
        <v>28.981000000000002</v>
      </c>
      <c r="AC21" s="33">
        <v>33.405000000000001</v>
      </c>
      <c r="AD21" s="33">
        <v>11.795999999999999</v>
      </c>
      <c r="AE21" s="33">
        <v>10.169</v>
      </c>
      <c r="AF21" s="33">
        <v>28.675999999999998</v>
      </c>
      <c r="AG21" s="33">
        <v>10.169</v>
      </c>
      <c r="AH21" s="33">
        <v>6.101</v>
      </c>
      <c r="AI21" s="33">
        <v>6.8129999999999997</v>
      </c>
      <c r="AJ21" s="33">
        <v>12.202999999999999</v>
      </c>
      <c r="AK21" s="33">
        <v>4.3470000000000004</v>
      </c>
      <c r="AL21" s="33">
        <v>18.802</v>
      </c>
      <c r="AM21" s="33">
        <v>24.151</v>
      </c>
      <c r="AN21" s="33">
        <v>10.169</v>
      </c>
      <c r="AO21" s="33">
        <v>7.0170000000000003</v>
      </c>
      <c r="AP21" s="33">
        <v>27.608000000000001</v>
      </c>
      <c r="AQ21" s="33">
        <v>9.5079999999999991</v>
      </c>
      <c r="AR21" s="33">
        <v>8.8979999999999997</v>
      </c>
      <c r="AS21" s="33">
        <v>26.439</v>
      </c>
      <c r="AT21" s="33">
        <v>7.1849999999999996</v>
      </c>
      <c r="AU21" s="33">
        <v>19.321000000000002</v>
      </c>
      <c r="AV21" s="33">
        <v>16.524000000000001</v>
      </c>
      <c r="AW21" s="33">
        <v>16.779</v>
      </c>
      <c r="AX21" s="33">
        <v>9.3049999999999997</v>
      </c>
      <c r="AY21" s="33">
        <v>16.829000000000001</v>
      </c>
      <c r="AZ21" s="33">
        <v>19.245000000000001</v>
      </c>
      <c r="BA21" s="33">
        <v>7.1180000000000003</v>
      </c>
      <c r="BB21" s="33">
        <v>23.388000000000002</v>
      </c>
      <c r="BC21" s="33">
        <v>10.169</v>
      </c>
      <c r="BD21" s="33">
        <v>6.101</v>
      </c>
      <c r="BE21" s="33">
        <v>5.8470000000000004</v>
      </c>
      <c r="BF21" s="33">
        <v>45.76</v>
      </c>
      <c r="BG21" s="33">
        <v>7.6269999999999998</v>
      </c>
      <c r="BH21" s="33">
        <v>12.711</v>
      </c>
      <c r="BI21" s="33">
        <v>10.677</v>
      </c>
      <c r="BJ21" s="33">
        <v>21.355</v>
      </c>
      <c r="BK21" s="33">
        <v>6.101</v>
      </c>
      <c r="BL21" s="33">
        <v>21.609000000000002</v>
      </c>
      <c r="BM21" s="33">
        <v>4.3220000000000001</v>
      </c>
      <c r="BN21" s="33">
        <v>15.253</v>
      </c>
      <c r="BO21" s="33">
        <v>21.68</v>
      </c>
      <c r="BP21" s="33">
        <v>58.064</v>
      </c>
      <c r="BQ21" s="33">
        <v>18.303999999999998</v>
      </c>
      <c r="BR21" s="33">
        <v>27.456</v>
      </c>
      <c r="BS21" s="33">
        <v>8.8979999999999997</v>
      </c>
      <c r="BT21" s="33">
        <v>17.541</v>
      </c>
      <c r="BU21" s="33">
        <v>2.4409999999999998</v>
      </c>
      <c r="BV21" s="33">
        <v>5.2370000000000001</v>
      </c>
      <c r="BW21" s="33">
        <v>6.9050000000000002</v>
      </c>
      <c r="BX21" s="33">
        <v>5.6180000000000003</v>
      </c>
      <c r="BY21" s="33">
        <v>12.711</v>
      </c>
      <c r="BZ21" s="33">
        <v>20.745000000000001</v>
      </c>
      <c r="CA21" s="33">
        <v>30.251999999999999</v>
      </c>
      <c r="CB21" s="33">
        <v>17.286999999999999</v>
      </c>
      <c r="CC21" s="33">
        <v>14.491</v>
      </c>
      <c r="CD21" s="33">
        <v>19.524000000000001</v>
      </c>
      <c r="CE21" s="33">
        <v>12.711</v>
      </c>
      <c r="CF21" s="33">
        <v>8.1859999999999999</v>
      </c>
      <c r="CG21" s="33">
        <v>8.8979999999999997</v>
      </c>
      <c r="CH21" s="33">
        <v>14.211</v>
      </c>
      <c r="CI21" s="33">
        <v>6.6349999999999998</v>
      </c>
      <c r="CJ21" s="33">
        <v>2.2629999999999999</v>
      </c>
      <c r="CK21" s="33">
        <v>12.609</v>
      </c>
      <c r="CL21" s="33">
        <v>8.593</v>
      </c>
      <c r="CM21" s="33">
        <v>7.6269999999999998</v>
      </c>
      <c r="CN21" s="33">
        <v>30.113</v>
      </c>
      <c r="CO21" s="33">
        <v>11.948</v>
      </c>
      <c r="CP21" s="33">
        <v>23.795000000000002</v>
      </c>
      <c r="CQ21" s="33">
        <v>16.27</v>
      </c>
      <c r="CR21" s="33">
        <v>13.22</v>
      </c>
      <c r="CS21" s="33">
        <v>11.186</v>
      </c>
      <c r="CT21" s="33">
        <v>15.151999999999999</v>
      </c>
      <c r="CU21" s="33">
        <v>7.0170000000000003</v>
      </c>
      <c r="CV21" s="33">
        <v>12.864000000000001</v>
      </c>
      <c r="CW21" s="33">
        <v>14.236000000000001</v>
      </c>
      <c r="CX21" s="33">
        <v>6.3559999999999999</v>
      </c>
      <c r="CY21" s="33">
        <v>17.363</v>
      </c>
      <c r="CZ21" s="33">
        <v>6.101</v>
      </c>
      <c r="DA21" s="33">
        <v>15.253</v>
      </c>
      <c r="DB21" s="33">
        <v>9.5589999999999993</v>
      </c>
      <c r="DC21" s="33">
        <v>7.1689999999999996</v>
      </c>
      <c r="DD21" s="33">
        <v>8.1859999999999999</v>
      </c>
      <c r="DE21" s="33">
        <v>6.3559999999999999</v>
      </c>
      <c r="DF21" s="33">
        <v>10.981999999999999</v>
      </c>
      <c r="DG21" s="33">
        <v>18.279</v>
      </c>
      <c r="DH21" s="33">
        <v>38.133000000000003</v>
      </c>
      <c r="DI21" s="33">
        <v>18.303999999999998</v>
      </c>
      <c r="DJ21" s="33">
        <v>7.6269999999999998</v>
      </c>
      <c r="DK21" s="33">
        <v>10.525</v>
      </c>
      <c r="DL21" s="33">
        <v>18.838000000000001</v>
      </c>
      <c r="DM21" s="33">
        <v>9.1519999999999992</v>
      </c>
      <c r="DN21" s="33">
        <v>50.844000000000001</v>
      </c>
      <c r="DO21" s="33">
        <v>17.084</v>
      </c>
      <c r="DP21" s="33">
        <v>51.353000000000002</v>
      </c>
      <c r="DQ21" s="33">
        <v>1.19</v>
      </c>
      <c r="DR21" s="33">
        <v>46.37</v>
      </c>
      <c r="DS21" s="33">
        <v>8.1859999999999999</v>
      </c>
      <c r="DT21" s="33">
        <v>15.304</v>
      </c>
      <c r="DU21" s="33">
        <v>7.6269999999999998</v>
      </c>
      <c r="DV21" s="33">
        <v>6.04</v>
      </c>
      <c r="DW21" s="33">
        <v>7.1180000000000003</v>
      </c>
      <c r="DX21" s="33">
        <v>19.777999999999999</v>
      </c>
      <c r="DY21" s="33">
        <v>13.22</v>
      </c>
      <c r="DZ21" s="33">
        <v>5.9489999999999998</v>
      </c>
      <c r="EA21" s="33">
        <v>20.338000000000001</v>
      </c>
      <c r="EB21" s="33">
        <v>18.303999999999998</v>
      </c>
      <c r="EC21" s="33">
        <v>11.694000000000001</v>
      </c>
      <c r="ED21" s="33">
        <v>14.643000000000001</v>
      </c>
      <c r="EE21" s="33">
        <v>24.812000000000001</v>
      </c>
      <c r="EF21" s="33">
        <v>7.6269999999999998</v>
      </c>
      <c r="EG21" s="33">
        <v>4.6779999999999999</v>
      </c>
      <c r="EH21" s="33">
        <v>21.05</v>
      </c>
      <c r="EI21" s="33">
        <v>7.5250000000000004</v>
      </c>
      <c r="EJ21" s="33">
        <v>4.6779999999999999</v>
      </c>
      <c r="EK21" s="33">
        <v>7.6269999999999998</v>
      </c>
      <c r="EL21" s="33">
        <v>12.202999999999999</v>
      </c>
      <c r="EM21" s="33">
        <v>16.372</v>
      </c>
      <c r="EN21" s="33">
        <v>9.3550000000000004</v>
      </c>
      <c r="EO21" s="33">
        <v>10.169</v>
      </c>
      <c r="EP21" s="33">
        <v>7.1689999999999996</v>
      </c>
      <c r="EQ21" s="33">
        <v>17.541</v>
      </c>
      <c r="ER21" s="33">
        <v>5.3390000000000004</v>
      </c>
      <c r="ES21" s="33">
        <v>5.8470000000000004</v>
      </c>
      <c r="ET21" s="33">
        <v>11.744999999999999</v>
      </c>
      <c r="EU21" s="33">
        <v>43.197000000000003</v>
      </c>
      <c r="EV21" s="33">
        <v>8.7710000000000008</v>
      </c>
      <c r="EW21" s="33">
        <v>40.674999999999997</v>
      </c>
      <c r="EX21" s="33">
        <v>45.683999999999997</v>
      </c>
      <c r="EY21" s="33">
        <v>2.746</v>
      </c>
      <c r="EZ21" s="33">
        <v>3.6909999999999998</v>
      </c>
      <c r="FA21" s="33">
        <v>3.02</v>
      </c>
      <c r="FB21" s="33">
        <v>10.169</v>
      </c>
      <c r="FC21" s="33">
        <v>14.491</v>
      </c>
      <c r="FD21" s="33">
        <v>10.169</v>
      </c>
      <c r="FE21" s="33">
        <v>14.032999999999999</v>
      </c>
      <c r="FF21" s="33">
        <v>9.1519999999999992</v>
      </c>
      <c r="FG21" s="33">
        <v>7.6269999999999998</v>
      </c>
      <c r="FH21" s="33">
        <v>6.3559999999999999</v>
      </c>
      <c r="FI21" s="33">
        <v>24.405000000000001</v>
      </c>
      <c r="FJ21" s="33">
        <v>15.569000000000001</v>
      </c>
      <c r="FK21" s="33">
        <v>22.548999999999999</v>
      </c>
      <c r="FL21" s="33">
        <v>7.5250000000000004</v>
      </c>
      <c r="FM21" s="33">
        <v>20.795000000000002</v>
      </c>
      <c r="FN21" s="33">
        <v>10.423</v>
      </c>
      <c r="FO21" s="33">
        <v>37.420999999999999</v>
      </c>
      <c r="FP21" s="33">
        <v>53.387</v>
      </c>
      <c r="FQ21" s="33">
        <v>9.7620000000000005</v>
      </c>
      <c r="FR21" s="33">
        <v>5.8470000000000004</v>
      </c>
      <c r="FS21" s="33">
        <v>7.0170000000000003</v>
      </c>
      <c r="FT21" s="33">
        <v>8.7710000000000008</v>
      </c>
      <c r="FU21" s="33">
        <v>35.591000000000001</v>
      </c>
      <c r="FV21" s="33">
        <v>6.7619999999999996</v>
      </c>
      <c r="FW21" s="33">
        <v>7.718</v>
      </c>
      <c r="FX21" s="33">
        <v>7.6269999999999998</v>
      </c>
      <c r="FY21" s="33">
        <v>7.0170000000000003</v>
      </c>
      <c r="FZ21" s="33">
        <v>7.0170000000000003</v>
      </c>
      <c r="GA21" s="33">
        <v>7.6269999999999998</v>
      </c>
      <c r="GB21" s="33">
        <v>6.3559999999999999</v>
      </c>
      <c r="GC21" s="33">
        <v>3.3559999999999999</v>
      </c>
      <c r="GD21" s="33">
        <v>6.4059999999999997</v>
      </c>
      <c r="GE21" s="33">
        <v>7.0170000000000003</v>
      </c>
      <c r="GF21" s="33">
        <v>53.387</v>
      </c>
      <c r="GG21" s="33">
        <v>32.54</v>
      </c>
      <c r="GH21" s="33">
        <v>3.0510000000000002</v>
      </c>
      <c r="GI21" s="33">
        <v>4.5759999999999996</v>
      </c>
      <c r="GJ21" s="33">
        <v>6.05</v>
      </c>
      <c r="GK21" s="33">
        <v>13.728</v>
      </c>
      <c r="GL21" s="33">
        <v>10.169</v>
      </c>
      <c r="GM21" s="33">
        <v>4.0490000000000004</v>
      </c>
      <c r="GN21" s="33">
        <v>24.291</v>
      </c>
      <c r="GO21" s="33">
        <v>8.5020000000000007</v>
      </c>
      <c r="GP21" s="33">
        <v>34.412999999999997</v>
      </c>
      <c r="GQ21" s="33">
        <v>5.6680000000000001</v>
      </c>
      <c r="GR21" s="33">
        <v>48.177999999999997</v>
      </c>
      <c r="GS21" s="33">
        <v>12.792999999999999</v>
      </c>
      <c r="GT21" s="33">
        <v>38.460999999999999</v>
      </c>
      <c r="GU21" s="33">
        <v>10.202</v>
      </c>
      <c r="GV21" s="33">
        <v>6.85</v>
      </c>
      <c r="GW21" s="33">
        <v>8.2710000000000008</v>
      </c>
      <c r="GX21" s="33">
        <v>35.222000000000001</v>
      </c>
      <c r="GY21" s="33">
        <v>1.619</v>
      </c>
      <c r="GZ21" s="33">
        <v>4.8579999999999997</v>
      </c>
      <c r="HA21" s="33">
        <v>12.069000000000001</v>
      </c>
      <c r="HB21" s="33">
        <v>38.460999999999999</v>
      </c>
      <c r="HC21" s="33">
        <v>38.460999999999999</v>
      </c>
      <c r="HD21" s="33">
        <v>20.242999999999999</v>
      </c>
      <c r="HE21" s="3">
        <f>_xlfn.XLOOKUP(HE$1,generator!$B$2:$B$295,generator!$L$2:$L$295,"ARGH")</f>
        <v>17.600000000000001</v>
      </c>
      <c r="HF21" s="3">
        <f>_xlfn.XLOOKUP(HF$1,generator!$B$2:$B$295,generator!$L$2:$L$295,"ARGH")</f>
        <v>285</v>
      </c>
      <c r="HG21" s="3">
        <f>_xlfn.XLOOKUP(HG$1,generator!$B$2:$B$295,generator!$L$2:$L$295,"ARGH")</f>
        <v>285</v>
      </c>
      <c r="HH21" s="3">
        <f>_xlfn.XLOOKUP(HH$1,generator!$B$2:$B$295,generator!$L$2:$L$295,"ARGH")</f>
        <v>285</v>
      </c>
      <c r="HI21" s="3">
        <f>_xlfn.XLOOKUP(HI$1,generator!$B$2:$B$295,generator!$L$2:$L$295,"ARGH")</f>
        <v>58</v>
      </c>
      <c r="HJ21" s="3">
        <f>_xlfn.XLOOKUP(HJ$1,generator!$B$2:$B$295,generator!$L$2:$L$295,"ARGH")</f>
        <v>58</v>
      </c>
      <c r="HK21" s="3">
        <f>_xlfn.XLOOKUP(HK$1,generator!$B$2:$B$295,generator!$L$2:$L$295,"ARGH")</f>
        <v>53</v>
      </c>
      <c r="HL21" s="3">
        <f>_xlfn.XLOOKUP(HL$1,generator!$B$2:$B$295,generator!$L$2:$L$295,"ARGH")</f>
        <v>58</v>
      </c>
      <c r="HM21" s="3">
        <f>_xlfn.XLOOKUP(HM$1,generator!$B$2:$B$295,generator!$L$2:$L$295,"ARGH")</f>
        <v>58</v>
      </c>
      <c r="HN21" s="3">
        <f>_xlfn.XLOOKUP(HN$1,generator!$B$2:$B$295,generator!$L$2:$L$295,"ARGH")</f>
        <v>52</v>
      </c>
      <c r="HO21" s="3">
        <f>_xlfn.XLOOKUP(HO$1,generator!$B$2:$B$295,generator!$L$2:$L$295,"ARGH")</f>
        <v>52</v>
      </c>
      <c r="HP21" s="3">
        <f>_xlfn.XLOOKUP(HP$1,generator!$B$2:$B$295,generator!$L$2:$L$295,"ARGH")</f>
        <v>2</v>
      </c>
      <c r="HQ21" s="3">
        <f>_xlfn.XLOOKUP(HQ$1,generator!$B$2:$B$295,generator!$L$2:$L$295,"ARGH")</f>
        <v>29.2</v>
      </c>
      <c r="HR21" s="3">
        <f>_xlfn.XLOOKUP(HR$1,generator!$B$2:$B$295,generator!$L$2:$L$295,"ARGH")</f>
        <v>29.2</v>
      </c>
      <c r="HS21" s="3">
        <f>_xlfn.XLOOKUP(HS$1,generator!$B$2:$B$295,generator!$L$2:$L$295,"ARGH")</f>
        <v>41.61</v>
      </c>
      <c r="HT21" s="3">
        <f>_xlfn.XLOOKUP(HT$1,generator!$B$2:$B$295,generator!$L$2:$L$295,"ARGH")</f>
        <v>41.61</v>
      </c>
      <c r="HU21" s="3">
        <f>_xlfn.XLOOKUP(HU$1,generator!$B$2:$B$295,generator!$L$2:$L$295,"ARGH")</f>
        <v>160</v>
      </c>
      <c r="HV21" s="3">
        <f>_xlfn.XLOOKUP(HV$1,generator!$B$2:$B$295,generator!$L$2:$L$295,"ARGH")</f>
        <v>260</v>
      </c>
      <c r="HW21" s="3">
        <f>_xlfn.XLOOKUP(HW$1,generator!$B$2:$B$295,generator!$L$2:$L$295,"ARGH")</f>
        <v>52</v>
      </c>
      <c r="HX21" s="3">
        <f>_xlfn.XLOOKUP(HX$1,generator!$B$2:$B$295,generator!$L$2:$L$295,"ARGH")</f>
        <v>52</v>
      </c>
      <c r="HY21" s="3">
        <f>_xlfn.XLOOKUP(HY$1,generator!$B$2:$B$295,generator!$L$2:$L$295,"ARGH")</f>
        <v>101</v>
      </c>
      <c r="HZ21" s="3">
        <f>_xlfn.XLOOKUP(HZ$1,generator!$B$2:$B$295,generator!$L$2:$L$295,"ARGH")</f>
        <v>50</v>
      </c>
      <c r="IA21" s="3">
        <f>_xlfn.XLOOKUP(IA$1,generator!$B$2:$B$295,generator!$L$2:$L$295,"ARGH")</f>
        <v>400</v>
      </c>
      <c r="IB21" s="3">
        <f>_xlfn.XLOOKUP(IB$1,generator!$B$2:$B$295,generator!$L$2:$L$295,"ARGH")</f>
        <v>342</v>
      </c>
      <c r="IC21" s="3">
        <f>_xlfn.XLOOKUP(IC$1,generator!$B$2:$B$295,generator!$L$2:$L$295,"ARGH")</f>
        <v>3.0209999999999999</v>
      </c>
      <c r="ID21" s="3">
        <f>_xlfn.XLOOKUP(ID$1,generator!$B$2:$B$295,generator!$L$2:$L$295,"ARGH")</f>
        <v>200</v>
      </c>
      <c r="IE21" s="3">
        <f>_xlfn.XLOOKUP(IE$1,generator!$B$2:$B$295,generator!$L$2:$L$295,"ARGH")</f>
        <v>404</v>
      </c>
      <c r="IF21" s="3">
        <f>_xlfn.XLOOKUP(IF$1,generator!$B$2:$B$295,generator!$L$2:$L$295,"ARGH")</f>
        <v>21</v>
      </c>
      <c r="IG21" s="3">
        <f>_xlfn.XLOOKUP(IG$1,generator!$B$2:$B$295,generator!$L$2:$L$295,"ARGH")</f>
        <v>22</v>
      </c>
      <c r="IH21" s="3">
        <f>_xlfn.XLOOKUP(IH$1,generator!$B$2:$B$295,generator!$L$2:$L$295,"ARGH")</f>
        <v>19</v>
      </c>
      <c r="II21" s="3">
        <f>_xlfn.XLOOKUP(II$1,generator!$B$2:$B$295,generator!$L$2:$L$295,"ARGH")</f>
        <v>24</v>
      </c>
      <c r="IJ21" s="3">
        <f>_xlfn.XLOOKUP(IJ$1,generator!$B$2:$B$295,generator!$L$2:$L$295,"ARGH")</f>
        <v>4.3</v>
      </c>
      <c r="IK21" s="3">
        <f>_xlfn.XLOOKUP(IK$1,generator!$B$2:$B$295,generator!$L$2:$L$295,"ARGH")</f>
        <v>8</v>
      </c>
      <c r="IL21" s="3">
        <f>_xlfn.XLOOKUP(IL$1,generator!$B$2:$B$295,generator!$L$2:$L$295,"ARGH")</f>
        <v>22.5</v>
      </c>
      <c r="IM21" s="3">
        <f>_xlfn.XLOOKUP(IM$1,generator!$B$2:$B$295,generator!$L$2:$L$295,"ARGH")</f>
        <v>22.5</v>
      </c>
      <c r="IN21" s="3">
        <f>_xlfn.XLOOKUP(IN$1,generator!$B$2:$B$295,generator!$L$2:$L$295,"ARGH")</f>
        <v>10</v>
      </c>
      <c r="IO21" s="3">
        <f>_xlfn.XLOOKUP(IO$1,generator!$B$2:$B$295,generator!$L$2:$L$295,"ARGH")</f>
        <v>10</v>
      </c>
      <c r="IP21" s="3">
        <f>_xlfn.XLOOKUP(IP$1,generator!$B$2:$B$295,generator!$L$2:$L$295,"ARGH")</f>
        <v>15</v>
      </c>
      <c r="IQ21" s="3">
        <f>_xlfn.XLOOKUP(IQ$1,generator!$B$2:$B$295,generator!$L$2:$L$295,"ARGH")</f>
        <v>4</v>
      </c>
      <c r="IR21" s="3">
        <f>_xlfn.XLOOKUP(IR$1,generator!$B$2:$B$295,generator!$L$2:$L$295,"ARGH")</f>
        <v>15</v>
      </c>
      <c r="IS21" s="3">
        <f>_xlfn.XLOOKUP(IS$1,generator!$B$2:$B$295,generator!$L$2:$L$295,"ARGH")</f>
        <v>15</v>
      </c>
      <c r="IT21" s="3">
        <f>_xlfn.XLOOKUP(IT$1,generator!$B$2:$B$295,generator!$L$2:$L$295,"ARGH")</f>
        <v>0.18</v>
      </c>
      <c r="IU21" s="3">
        <f>_xlfn.XLOOKUP(IU$1,generator!$B$2:$B$295,generator!$L$2:$L$295,"ARGH")</f>
        <v>4</v>
      </c>
      <c r="IV21" s="3">
        <f>_xlfn.XLOOKUP(IV$1,generator!$B$2:$B$295,generator!$L$2:$L$295,"ARGH")</f>
        <v>4</v>
      </c>
      <c r="IW21" s="3">
        <f>_xlfn.XLOOKUP(IW$1,generator!$B$2:$B$295,generator!$L$2:$L$295,"ARGH")</f>
        <v>90</v>
      </c>
      <c r="IX21" s="3">
        <f>_xlfn.XLOOKUP(IX$1,generator!$B$2:$B$295,generator!$L$2:$L$295,"ARGH")</f>
        <v>90</v>
      </c>
      <c r="IY21" s="3">
        <f>_xlfn.XLOOKUP(IY$1,generator!$B$2:$B$295,generator!$L$2:$L$295,"ARGH")</f>
        <v>90</v>
      </c>
      <c r="IZ21" s="3">
        <f>_xlfn.XLOOKUP(IZ$1,generator!$B$2:$B$295,generator!$L$2:$L$295,"ARGH")</f>
        <v>449</v>
      </c>
      <c r="JA21" s="3">
        <f>_xlfn.XLOOKUP(JA$1,generator!$B$2:$B$295,generator!$L$2:$L$295,"ARGH")</f>
        <v>83</v>
      </c>
      <c r="JB21" s="3">
        <f>_xlfn.XLOOKUP(JB$1,generator!$B$2:$B$295,generator!$L$2:$L$295,"ARGH")</f>
        <v>83</v>
      </c>
      <c r="JC21" s="3">
        <f>_xlfn.XLOOKUP(JC$1,generator!$B$2:$B$295,generator!$L$2:$L$295,"ARGH")</f>
        <v>247</v>
      </c>
      <c r="JD21" s="3">
        <f>_xlfn.XLOOKUP(JD$1,generator!$B$2:$B$295,generator!$L$2:$L$295,"ARGH")</f>
        <v>247</v>
      </c>
      <c r="JE21" s="3">
        <f>_xlfn.XLOOKUP(JE$1,generator!$B$2:$B$295,generator!$L$2:$L$295,"ARGH")</f>
        <v>425</v>
      </c>
      <c r="JF21" s="3">
        <f>_xlfn.XLOOKUP(JF$1,generator!$B$2:$B$295,generator!$L$2:$L$295,"ARGH")</f>
        <v>63.5</v>
      </c>
      <c r="JG21" s="3">
        <f>_xlfn.XLOOKUP(JG$1,generator!$B$2:$B$295,generator!$L$2:$L$295,"ARGH")</f>
        <v>17</v>
      </c>
      <c r="JH21" s="3">
        <f>_xlfn.XLOOKUP(JH$1,generator!$B$2:$B$295,generator!$L$2:$L$295,"ARGH")</f>
        <v>444</v>
      </c>
      <c r="JI21" s="3">
        <f>_xlfn.XLOOKUP(JI$1,generator!$B$2:$B$295,generator!$L$2:$L$295,"ARGH")</f>
        <v>464</v>
      </c>
      <c r="JJ21" s="3">
        <f>_xlfn.XLOOKUP(JJ$1,generator!$B$2:$B$295,generator!$L$2:$L$295,"ARGH")</f>
        <v>18.54</v>
      </c>
      <c r="JK21" s="3">
        <f>_xlfn.XLOOKUP(JK$1,generator!$B$2:$B$295,generator!$L$2:$L$295,"ARGH")</f>
        <v>18.54</v>
      </c>
      <c r="JL21" s="3">
        <f>_xlfn.XLOOKUP(JL$1,generator!$B$2:$B$295,generator!$L$2:$L$295,"ARGH")</f>
        <v>18.54</v>
      </c>
      <c r="JM21" s="3">
        <f>_xlfn.XLOOKUP(JM$1,generator!$B$2:$B$295,generator!$L$2:$L$295,"ARGH")</f>
        <v>18.54</v>
      </c>
      <c r="JN21" s="3">
        <f>_xlfn.XLOOKUP(JN$1,generator!$B$2:$B$295,generator!$L$2:$L$295,"ARGH")</f>
        <v>18.54</v>
      </c>
      <c r="JO21" s="3">
        <f>_xlfn.XLOOKUP(JO$1,generator!$B$2:$B$295,generator!$L$2:$L$295,"ARGH")</f>
        <v>18.54</v>
      </c>
      <c r="JP21" s="3">
        <f>_xlfn.XLOOKUP(JP$1,generator!$B$2:$B$295,generator!$L$2:$L$295,"ARGH")</f>
        <v>415</v>
      </c>
      <c r="JQ21" s="3">
        <f>_xlfn.XLOOKUP(JQ$1,generator!$B$2:$B$295,generator!$L$2:$L$295,"ARGH")</f>
        <v>63.5</v>
      </c>
      <c r="JR21" s="3">
        <f>_xlfn.XLOOKUP(JR$1,generator!$B$2:$B$295,generator!$L$2:$L$295,"ARGH")</f>
        <v>350</v>
      </c>
      <c r="JS21" s="3">
        <f>_xlfn.XLOOKUP(JS$1,generator!$B$2:$B$295,generator!$L$2:$L$295,"ARGH")</f>
        <v>350</v>
      </c>
      <c r="JT21" s="3">
        <f>_xlfn.XLOOKUP(JT$1,generator!$B$2:$B$295,generator!$L$2:$L$295,"ARGH")</f>
        <v>63.5</v>
      </c>
      <c r="JU21" s="3">
        <f>_xlfn.XLOOKUP(JU$1,generator!$B$2:$B$295,generator!$L$2:$L$295,"ARGH")</f>
        <v>61.5</v>
      </c>
      <c r="JV21" s="3">
        <f>_xlfn.XLOOKUP(JV$1,generator!$B$2:$B$295,generator!$L$2:$L$295,"ARGH")</f>
        <v>240</v>
      </c>
      <c r="JW21" s="3">
        <f>_xlfn.XLOOKUP(JW$1,generator!$B$2:$B$295,generator!$L$2:$L$295,"ARGH")</f>
        <v>236</v>
      </c>
      <c r="JX21" s="3">
        <f>_xlfn.XLOOKUP(JX$1,generator!$B$2:$B$295,generator!$L$2:$L$295,"ARGH")</f>
        <v>20</v>
      </c>
      <c r="JY21" s="3">
        <f>_xlfn.XLOOKUP(JY$1,generator!$B$2:$B$295,generator!$L$2:$L$295,"ARGH")</f>
        <v>118</v>
      </c>
      <c r="JZ21" s="3">
        <f>_xlfn.XLOOKUP(JZ$1,generator!$B$2:$B$295,generator!$L$2:$L$295,"ARGH")</f>
        <v>73</v>
      </c>
      <c r="KA21" s="3">
        <f>_xlfn.XLOOKUP(KA$1,generator!$B$2:$B$295,generator!$L$2:$L$295,"ARGH")</f>
        <v>73</v>
      </c>
      <c r="KB21" s="3">
        <f>_xlfn.XLOOKUP(KB$1,generator!$B$2:$B$295,generator!$L$2:$L$295,"ARGH")</f>
        <v>73</v>
      </c>
      <c r="KC21" s="3">
        <f>_xlfn.XLOOKUP(KC$1,generator!$B$2:$B$295,generator!$L$2:$L$295,"ARGH")</f>
        <v>73</v>
      </c>
    </row>
    <row r="22" spans="1:289" x14ac:dyDescent="0.3">
      <c r="A22" s="4" t="s">
        <v>3017</v>
      </c>
      <c r="B22" s="31">
        <v>427</v>
      </c>
      <c r="C22" s="31">
        <v>513.5</v>
      </c>
      <c r="D22" s="31">
        <v>442</v>
      </c>
      <c r="E22" s="33">
        <v>13.824999999999999</v>
      </c>
      <c r="F22" s="33">
        <v>29.698</v>
      </c>
      <c r="G22" s="33">
        <v>13.824999999999999</v>
      </c>
      <c r="H22" s="33">
        <v>23.042000000000002</v>
      </c>
      <c r="I22" s="33">
        <v>45.572000000000003</v>
      </c>
      <c r="J22" s="33">
        <v>42.499000000000002</v>
      </c>
      <c r="K22" s="33">
        <v>11.521000000000001</v>
      </c>
      <c r="L22" s="33">
        <v>8.8070000000000004</v>
      </c>
      <c r="M22" s="33">
        <v>7.681</v>
      </c>
      <c r="N22" s="33">
        <v>27.65</v>
      </c>
      <c r="O22" s="33">
        <v>2.7650000000000001</v>
      </c>
      <c r="P22" s="33">
        <v>13.108000000000001</v>
      </c>
      <c r="Q22" s="33">
        <v>18.024000000000001</v>
      </c>
      <c r="R22" s="33">
        <v>9.2170000000000005</v>
      </c>
      <c r="S22" s="33">
        <v>17.588999999999999</v>
      </c>
      <c r="T22" s="33">
        <v>12.289</v>
      </c>
      <c r="U22" s="33">
        <v>21.506</v>
      </c>
      <c r="V22" s="33">
        <v>10.83</v>
      </c>
      <c r="W22" s="33">
        <v>11.776999999999999</v>
      </c>
      <c r="X22" s="33">
        <v>16.59</v>
      </c>
      <c r="Y22" s="33">
        <v>8.6020000000000003</v>
      </c>
      <c r="Z22" s="33">
        <v>6.093</v>
      </c>
      <c r="AA22" s="33">
        <v>5.53</v>
      </c>
      <c r="AB22" s="33">
        <v>29.186</v>
      </c>
      <c r="AC22" s="33">
        <v>33.640999999999998</v>
      </c>
      <c r="AD22" s="33">
        <v>11.879</v>
      </c>
      <c r="AE22" s="33">
        <v>10.241</v>
      </c>
      <c r="AF22" s="33">
        <v>28.879000000000001</v>
      </c>
      <c r="AG22" s="33">
        <v>10.241</v>
      </c>
      <c r="AH22" s="33">
        <v>6.1440000000000001</v>
      </c>
      <c r="AI22" s="33">
        <v>6.8609999999999998</v>
      </c>
      <c r="AJ22" s="33">
        <v>12.289</v>
      </c>
      <c r="AK22" s="33">
        <v>4.3780000000000001</v>
      </c>
      <c r="AL22" s="33">
        <v>18.934999999999999</v>
      </c>
      <c r="AM22" s="33">
        <v>24.321999999999999</v>
      </c>
      <c r="AN22" s="33">
        <v>10.241</v>
      </c>
      <c r="AO22" s="33">
        <v>7.0659999999999998</v>
      </c>
      <c r="AP22" s="33">
        <v>27.803999999999998</v>
      </c>
      <c r="AQ22" s="33">
        <v>9.5749999999999993</v>
      </c>
      <c r="AR22" s="33">
        <v>8.9610000000000003</v>
      </c>
      <c r="AS22" s="33">
        <v>26.626000000000001</v>
      </c>
      <c r="AT22" s="33">
        <v>7.2359999999999998</v>
      </c>
      <c r="AU22" s="33">
        <v>19.457999999999998</v>
      </c>
      <c r="AV22" s="33">
        <v>16.640999999999998</v>
      </c>
      <c r="AW22" s="33">
        <v>16.896999999999998</v>
      </c>
      <c r="AX22" s="33">
        <v>9.3699999999999992</v>
      </c>
      <c r="AY22" s="33">
        <v>16.949000000000002</v>
      </c>
      <c r="AZ22" s="33">
        <v>19.381</v>
      </c>
      <c r="BA22" s="33">
        <v>7.1689999999999996</v>
      </c>
      <c r="BB22" s="33">
        <v>23.553999999999998</v>
      </c>
      <c r="BC22" s="33">
        <v>10.241</v>
      </c>
      <c r="BD22" s="33">
        <v>6.1440000000000001</v>
      </c>
      <c r="BE22" s="33">
        <v>5.8879999999999999</v>
      </c>
      <c r="BF22" s="33">
        <v>46.084000000000003</v>
      </c>
      <c r="BG22" s="33">
        <v>7.681</v>
      </c>
      <c r="BH22" s="33">
        <v>12.801</v>
      </c>
      <c r="BI22" s="33">
        <v>10.753</v>
      </c>
      <c r="BJ22" s="33">
        <v>21.506</v>
      </c>
      <c r="BK22" s="33">
        <v>6.1440000000000001</v>
      </c>
      <c r="BL22" s="33">
        <v>21.762</v>
      </c>
      <c r="BM22" s="33">
        <v>4.3520000000000003</v>
      </c>
      <c r="BN22" s="33">
        <v>15.361000000000001</v>
      </c>
      <c r="BO22" s="33">
        <v>21.832999999999998</v>
      </c>
      <c r="BP22" s="33">
        <v>58.475000000000001</v>
      </c>
      <c r="BQ22" s="33">
        <v>18.433</v>
      </c>
      <c r="BR22" s="33">
        <v>27.65</v>
      </c>
      <c r="BS22" s="33">
        <v>8.9610000000000003</v>
      </c>
      <c r="BT22" s="33">
        <v>17.664999999999999</v>
      </c>
      <c r="BU22" s="33">
        <v>2.4580000000000002</v>
      </c>
      <c r="BV22" s="33">
        <v>5.274</v>
      </c>
      <c r="BW22" s="33">
        <v>6.9539999999999997</v>
      </c>
      <c r="BX22" s="33">
        <v>5.6580000000000004</v>
      </c>
      <c r="BY22" s="33">
        <v>12.801</v>
      </c>
      <c r="BZ22" s="33">
        <v>20.890999999999998</v>
      </c>
      <c r="CA22" s="33">
        <v>30.466000000000001</v>
      </c>
      <c r="CB22" s="33">
        <v>17.408999999999999</v>
      </c>
      <c r="CC22" s="33">
        <v>14.593</v>
      </c>
      <c r="CD22" s="33">
        <v>19.661999999999999</v>
      </c>
      <c r="CE22" s="33">
        <v>12.801</v>
      </c>
      <c r="CF22" s="33">
        <v>8.2439999999999998</v>
      </c>
      <c r="CG22" s="33">
        <v>8.9610000000000003</v>
      </c>
      <c r="CH22" s="33">
        <v>14.311999999999999</v>
      </c>
      <c r="CI22" s="33">
        <v>6.6820000000000004</v>
      </c>
      <c r="CJ22" s="33">
        <v>2.2789999999999999</v>
      </c>
      <c r="CK22" s="33">
        <v>12.699</v>
      </c>
      <c r="CL22" s="33">
        <v>8.6530000000000005</v>
      </c>
      <c r="CM22" s="33">
        <v>7.681</v>
      </c>
      <c r="CN22" s="33">
        <v>30.326000000000001</v>
      </c>
      <c r="CO22" s="33">
        <v>12.032999999999999</v>
      </c>
      <c r="CP22" s="33">
        <v>23.963999999999999</v>
      </c>
      <c r="CQ22" s="33">
        <v>16.385000000000002</v>
      </c>
      <c r="CR22" s="33">
        <v>13.313000000000001</v>
      </c>
      <c r="CS22" s="33">
        <v>11.265000000000001</v>
      </c>
      <c r="CT22" s="33">
        <v>15.259</v>
      </c>
      <c r="CU22" s="33">
        <v>7.0659999999999998</v>
      </c>
      <c r="CV22" s="33">
        <v>12.955</v>
      </c>
      <c r="CW22" s="33">
        <v>14.337</v>
      </c>
      <c r="CX22" s="33">
        <v>6.4009999999999998</v>
      </c>
      <c r="CY22" s="33">
        <v>17.486000000000001</v>
      </c>
      <c r="CZ22" s="33">
        <v>6.1440000000000001</v>
      </c>
      <c r="DA22" s="33">
        <v>15.361000000000001</v>
      </c>
      <c r="DB22" s="33">
        <v>9.6259999999999994</v>
      </c>
      <c r="DC22" s="33">
        <v>7.22</v>
      </c>
      <c r="DD22" s="33">
        <v>8.2439999999999998</v>
      </c>
      <c r="DE22" s="33">
        <v>6.4009999999999998</v>
      </c>
      <c r="DF22" s="33">
        <v>11.06</v>
      </c>
      <c r="DG22" s="33">
        <v>18.408000000000001</v>
      </c>
      <c r="DH22" s="33">
        <v>38.402999999999999</v>
      </c>
      <c r="DI22" s="33">
        <v>18.433</v>
      </c>
      <c r="DJ22" s="33">
        <v>7.681</v>
      </c>
      <c r="DK22" s="33">
        <v>10.599</v>
      </c>
      <c r="DL22" s="33">
        <v>18.971</v>
      </c>
      <c r="DM22" s="33">
        <v>9.2170000000000005</v>
      </c>
      <c r="DN22" s="33">
        <v>51.204000000000001</v>
      </c>
      <c r="DO22" s="33">
        <v>17.204999999999998</v>
      </c>
      <c r="DP22" s="33">
        <v>51.716000000000001</v>
      </c>
      <c r="DQ22" s="33">
        <v>1.198</v>
      </c>
      <c r="DR22" s="33">
        <v>46.698</v>
      </c>
      <c r="DS22" s="33">
        <v>8.2439999999999998</v>
      </c>
      <c r="DT22" s="33">
        <v>15.412000000000001</v>
      </c>
      <c r="DU22" s="33">
        <v>7.681</v>
      </c>
      <c r="DV22" s="33">
        <v>6.0830000000000002</v>
      </c>
      <c r="DW22" s="33">
        <v>7.1689999999999996</v>
      </c>
      <c r="DX22" s="33">
        <v>19.917999999999999</v>
      </c>
      <c r="DY22" s="33">
        <v>13.313000000000001</v>
      </c>
      <c r="DZ22" s="33">
        <v>5.9909999999999997</v>
      </c>
      <c r="EA22" s="33">
        <v>20.481999999999999</v>
      </c>
      <c r="EB22" s="33">
        <v>18.433</v>
      </c>
      <c r="EC22" s="33">
        <v>11.776999999999999</v>
      </c>
      <c r="ED22" s="33">
        <v>14.747</v>
      </c>
      <c r="EE22" s="33">
        <v>24.988</v>
      </c>
      <c r="EF22" s="33">
        <v>7.681</v>
      </c>
      <c r="EG22" s="33">
        <v>4.7110000000000003</v>
      </c>
      <c r="EH22" s="33">
        <v>21.199000000000002</v>
      </c>
      <c r="EI22" s="33">
        <v>7.5780000000000003</v>
      </c>
      <c r="EJ22" s="33">
        <v>4.7110000000000003</v>
      </c>
      <c r="EK22" s="33">
        <v>7.681</v>
      </c>
      <c r="EL22" s="33">
        <v>12.289</v>
      </c>
      <c r="EM22" s="33">
        <v>16.488</v>
      </c>
      <c r="EN22" s="33">
        <v>9.4220000000000006</v>
      </c>
      <c r="EO22" s="33">
        <v>10.241</v>
      </c>
      <c r="EP22" s="33">
        <v>7.22</v>
      </c>
      <c r="EQ22" s="33">
        <v>17.664999999999999</v>
      </c>
      <c r="ER22" s="33">
        <v>5.3760000000000003</v>
      </c>
      <c r="ES22" s="33">
        <v>5.8879999999999999</v>
      </c>
      <c r="ET22" s="33">
        <v>11.827999999999999</v>
      </c>
      <c r="EU22" s="33">
        <v>43.503</v>
      </c>
      <c r="EV22" s="33">
        <v>8.8330000000000002</v>
      </c>
      <c r="EW22" s="33">
        <v>40.963000000000001</v>
      </c>
      <c r="EX22" s="33">
        <v>46.006999999999998</v>
      </c>
      <c r="EY22" s="33">
        <v>2.7650000000000001</v>
      </c>
      <c r="EZ22" s="33">
        <v>3.7170000000000001</v>
      </c>
      <c r="FA22" s="33">
        <v>3.0419999999999998</v>
      </c>
      <c r="FB22" s="33">
        <v>10.241</v>
      </c>
      <c r="FC22" s="33">
        <v>14.593</v>
      </c>
      <c r="FD22" s="33">
        <v>10.241</v>
      </c>
      <c r="FE22" s="33">
        <v>14.132</v>
      </c>
      <c r="FF22" s="33">
        <v>9.2170000000000005</v>
      </c>
      <c r="FG22" s="33">
        <v>7.681</v>
      </c>
      <c r="FH22" s="33">
        <v>6.4009999999999998</v>
      </c>
      <c r="FI22" s="33">
        <v>24.577999999999999</v>
      </c>
      <c r="FJ22" s="33">
        <v>15.679</v>
      </c>
      <c r="FK22" s="33">
        <v>22.709</v>
      </c>
      <c r="FL22" s="33">
        <v>7.5780000000000003</v>
      </c>
      <c r="FM22" s="33">
        <v>20.942</v>
      </c>
      <c r="FN22" s="33">
        <v>10.497</v>
      </c>
      <c r="FO22" s="33">
        <v>37.686</v>
      </c>
      <c r="FP22" s="33">
        <v>53.764000000000003</v>
      </c>
      <c r="FQ22" s="33">
        <v>9.8309999999999995</v>
      </c>
      <c r="FR22" s="33">
        <v>5.8879999999999999</v>
      </c>
      <c r="FS22" s="33">
        <v>7.0659999999999998</v>
      </c>
      <c r="FT22" s="33">
        <v>8.8330000000000002</v>
      </c>
      <c r="FU22" s="33">
        <v>35.843000000000004</v>
      </c>
      <c r="FV22" s="33">
        <v>6.81</v>
      </c>
      <c r="FW22" s="33">
        <v>7.7729999999999997</v>
      </c>
      <c r="FX22" s="33">
        <v>7.681</v>
      </c>
      <c r="FY22" s="33">
        <v>7.0659999999999998</v>
      </c>
      <c r="FZ22" s="33">
        <v>7.0659999999999998</v>
      </c>
      <c r="GA22" s="33">
        <v>7.681</v>
      </c>
      <c r="GB22" s="33">
        <v>6.4009999999999998</v>
      </c>
      <c r="GC22" s="33">
        <v>3.379</v>
      </c>
      <c r="GD22" s="33">
        <v>6.452</v>
      </c>
      <c r="GE22" s="33">
        <v>7.0659999999999998</v>
      </c>
      <c r="GF22" s="33">
        <v>53.764000000000003</v>
      </c>
      <c r="GG22" s="33">
        <v>32.771000000000001</v>
      </c>
      <c r="GH22" s="33">
        <v>3.0720000000000001</v>
      </c>
      <c r="GI22" s="33">
        <v>4.6079999999999997</v>
      </c>
      <c r="GJ22" s="33">
        <v>6.093</v>
      </c>
      <c r="GK22" s="33">
        <v>13.824999999999999</v>
      </c>
      <c r="GL22" s="33">
        <v>10.241</v>
      </c>
      <c r="GM22" s="33">
        <v>5.31</v>
      </c>
      <c r="GN22" s="33">
        <v>31.856999999999999</v>
      </c>
      <c r="GO22" s="33">
        <v>11.15</v>
      </c>
      <c r="GP22" s="33">
        <v>45.131</v>
      </c>
      <c r="GQ22" s="33">
        <v>7.4329999999999998</v>
      </c>
      <c r="GR22" s="33">
        <v>63.183999999999997</v>
      </c>
      <c r="GS22" s="33">
        <v>16.777999999999999</v>
      </c>
      <c r="GT22" s="33">
        <v>50.441000000000003</v>
      </c>
      <c r="GU22" s="33">
        <v>13.38</v>
      </c>
      <c r="GV22" s="33">
        <v>8.984</v>
      </c>
      <c r="GW22" s="33">
        <v>10.847</v>
      </c>
      <c r="GX22" s="33">
        <v>46.192999999999998</v>
      </c>
      <c r="GY22" s="33">
        <v>2.1240000000000001</v>
      </c>
      <c r="GZ22" s="33">
        <v>6.3710000000000004</v>
      </c>
      <c r="HA22" s="33">
        <v>15.827999999999999</v>
      </c>
      <c r="HB22" s="33">
        <v>50.441000000000003</v>
      </c>
      <c r="HC22" s="33">
        <v>50.441000000000003</v>
      </c>
      <c r="HD22" s="33">
        <v>26.547999999999998</v>
      </c>
      <c r="HE22" s="3">
        <f>_xlfn.XLOOKUP(HE$1,generator!$B$2:$B$295,generator!$L$2:$L$295,"ARGH")</f>
        <v>17.600000000000001</v>
      </c>
      <c r="HF22" s="3">
        <f>_xlfn.XLOOKUP(HF$1,generator!$B$2:$B$295,generator!$L$2:$L$295,"ARGH")</f>
        <v>285</v>
      </c>
      <c r="HG22" s="3">
        <f>_xlfn.XLOOKUP(HG$1,generator!$B$2:$B$295,generator!$L$2:$L$295,"ARGH")</f>
        <v>285</v>
      </c>
      <c r="HH22" s="3">
        <f>_xlfn.XLOOKUP(HH$1,generator!$B$2:$B$295,generator!$L$2:$L$295,"ARGH")</f>
        <v>285</v>
      </c>
      <c r="HI22" s="3">
        <f>_xlfn.XLOOKUP(HI$1,generator!$B$2:$B$295,generator!$L$2:$L$295,"ARGH")</f>
        <v>58</v>
      </c>
      <c r="HJ22" s="3">
        <f>_xlfn.XLOOKUP(HJ$1,generator!$B$2:$B$295,generator!$L$2:$L$295,"ARGH")</f>
        <v>58</v>
      </c>
      <c r="HK22" s="3">
        <f>_xlfn.XLOOKUP(HK$1,generator!$B$2:$B$295,generator!$L$2:$L$295,"ARGH")</f>
        <v>53</v>
      </c>
      <c r="HL22" s="3">
        <f>_xlfn.XLOOKUP(HL$1,generator!$B$2:$B$295,generator!$L$2:$L$295,"ARGH")</f>
        <v>58</v>
      </c>
      <c r="HM22" s="3">
        <f>_xlfn.XLOOKUP(HM$1,generator!$B$2:$B$295,generator!$L$2:$L$295,"ARGH")</f>
        <v>58</v>
      </c>
      <c r="HN22" s="3">
        <f>_xlfn.XLOOKUP(HN$1,generator!$B$2:$B$295,generator!$L$2:$L$295,"ARGH")</f>
        <v>52</v>
      </c>
      <c r="HO22" s="3">
        <f>_xlfn.XLOOKUP(HO$1,generator!$B$2:$B$295,generator!$L$2:$L$295,"ARGH")</f>
        <v>52</v>
      </c>
      <c r="HP22" s="3">
        <f>_xlfn.XLOOKUP(HP$1,generator!$B$2:$B$295,generator!$L$2:$L$295,"ARGH")</f>
        <v>2</v>
      </c>
      <c r="HQ22" s="3">
        <f>_xlfn.XLOOKUP(HQ$1,generator!$B$2:$B$295,generator!$L$2:$L$295,"ARGH")</f>
        <v>29.2</v>
      </c>
      <c r="HR22" s="3">
        <f>_xlfn.XLOOKUP(HR$1,generator!$B$2:$B$295,generator!$L$2:$L$295,"ARGH")</f>
        <v>29.2</v>
      </c>
      <c r="HS22" s="3">
        <f>_xlfn.XLOOKUP(HS$1,generator!$B$2:$B$295,generator!$L$2:$L$295,"ARGH")</f>
        <v>41.61</v>
      </c>
      <c r="HT22" s="3">
        <f>_xlfn.XLOOKUP(HT$1,generator!$B$2:$B$295,generator!$L$2:$L$295,"ARGH")</f>
        <v>41.61</v>
      </c>
      <c r="HU22" s="3">
        <f>_xlfn.XLOOKUP(HU$1,generator!$B$2:$B$295,generator!$L$2:$L$295,"ARGH")</f>
        <v>160</v>
      </c>
      <c r="HV22" s="3">
        <f>_xlfn.XLOOKUP(HV$1,generator!$B$2:$B$295,generator!$L$2:$L$295,"ARGH")</f>
        <v>260</v>
      </c>
      <c r="HW22" s="3">
        <f>_xlfn.XLOOKUP(HW$1,generator!$B$2:$B$295,generator!$L$2:$L$295,"ARGH")</f>
        <v>52</v>
      </c>
      <c r="HX22" s="3">
        <f>_xlfn.XLOOKUP(HX$1,generator!$B$2:$B$295,generator!$L$2:$L$295,"ARGH")</f>
        <v>52</v>
      </c>
      <c r="HY22" s="3">
        <f>_xlfn.XLOOKUP(HY$1,generator!$B$2:$B$295,generator!$L$2:$L$295,"ARGH")</f>
        <v>101</v>
      </c>
      <c r="HZ22" s="3">
        <f>_xlfn.XLOOKUP(HZ$1,generator!$B$2:$B$295,generator!$L$2:$L$295,"ARGH")</f>
        <v>50</v>
      </c>
      <c r="IA22" s="3">
        <f>_xlfn.XLOOKUP(IA$1,generator!$B$2:$B$295,generator!$L$2:$L$295,"ARGH")</f>
        <v>400</v>
      </c>
      <c r="IB22" s="3">
        <f>_xlfn.XLOOKUP(IB$1,generator!$B$2:$B$295,generator!$L$2:$L$295,"ARGH")</f>
        <v>342</v>
      </c>
      <c r="IC22" s="3">
        <f>_xlfn.XLOOKUP(IC$1,generator!$B$2:$B$295,generator!$L$2:$L$295,"ARGH")</f>
        <v>3.0209999999999999</v>
      </c>
      <c r="ID22" s="3">
        <f>_xlfn.XLOOKUP(ID$1,generator!$B$2:$B$295,generator!$L$2:$L$295,"ARGH")</f>
        <v>200</v>
      </c>
      <c r="IE22" s="3">
        <f>_xlfn.XLOOKUP(IE$1,generator!$B$2:$B$295,generator!$L$2:$L$295,"ARGH")</f>
        <v>404</v>
      </c>
      <c r="IF22" s="3">
        <f>_xlfn.XLOOKUP(IF$1,generator!$B$2:$B$295,generator!$L$2:$L$295,"ARGH")</f>
        <v>21</v>
      </c>
      <c r="IG22" s="3">
        <f>_xlfn.XLOOKUP(IG$1,generator!$B$2:$B$295,generator!$L$2:$L$295,"ARGH")</f>
        <v>22</v>
      </c>
      <c r="IH22" s="3">
        <f>_xlfn.XLOOKUP(IH$1,generator!$B$2:$B$295,generator!$L$2:$L$295,"ARGH")</f>
        <v>19</v>
      </c>
      <c r="II22" s="3">
        <f>_xlfn.XLOOKUP(II$1,generator!$B$2:$B$295,generator!$L$2:$L$295,"ARGH")</f>
        <v>24</v>
      </c>
      <c r="IJ22" s="3">
        <f>_xlfn.XLOOKUP(IJ$1,generator!$B$2:$B$295,generator!$L$2:$L$295,"ARGH")</f>
        <v>4.3</v>
      </c>
      <c r="IK22" s="3">
        <f>_xlfn.XLOOKUP(IK$1,generator!$B$2:$B$295,generator!$L$2:$L$295,"ARGH")</f>
        <v>8</v>
      </c>
      <c r="IL22" s="3">
        <f>_xlfn.XLOOKUP(IL$1,generator!$B$2:$B$295,generator!$L$2:$L$295,"ARGH")</f>
        <v>22.5</v>
      </c>
      <c r="IM22" s="3">
        <f>_xlfn.XLOOKUP(IM$1,generator!$B$2:$B$295,generator!$L$2:$L$295,"ARGH")</f>
        <v>22.5</v>
      </c>
      <c r="IN22" s="3">
        <f>_xlfn.XLOOKUP(IN$1,generator!$B$2:$B$295,generator!$L$2:$L$295,"ARGH")</f>
        <v>10</v>
      </c>
      <c r="IO22" s="3">
        <f>_xlfn.XLOOKUP(IO$1,generator!$B$2:$B$295,generator!$L$2:$L$295,"ARGH")</f>
        <v>10</v>
      </c>
      <c r="IP22" s="3">
        <f>_xlfn.XLOOKUP(IP$1,generator!$B$2:$B$295,generator!$L$2:$L$295,"ARGH")</f>
        <v>15</v>
      </c>
      <c r="IQ22" s="3">
        <f>_xlfn.XLOOKUP(IQ$1,generator!$B$2:$B$295,generator!$L$2:$L$295,"ARGH")</f>
        <v>4</v>
      </c>
      <c r="IR22" s="3">
        <f>_xlfn.XLOOKUP(IR$1,generator!$B$2:$B$295,generator!$L$2:$L$295,"ARGH")</f>
        <v>15</v>
      </c>
      <c r="IS22" s="3">
        <f>_xlfn.XLOOKUP(IS$1,generator!$B$2:$B$295,generator!$L$2:$L$295,"ARGH")</f>
        <v>15</v>
      </c>
      <c r="IT22" s="3">
        <f>_xlfn.XLOOKUP(IT$1,generator!$B$2:$B$295,generator!$L$2:$L$295,"ARGH")</f>
        <v>0.18</v>
      </c>
      <c r="IU22" s="3">
        <f>_xlfn.XLOOKUP(IU$1,generator!$B$2:$B$295,generator!$L$2:$L$295,"ARGH")</f>
        <v>4</v>
      </c>
      <c r="IV22" s="3">
        <f>_xlfn.XLOOKUP(IV$1,generator!$B$2:$B$295,generator!$L$2:$L$295,"ARGH")</f>
        <v>4</v>
      </c>
      <c r="IW22" s="3">
        <f>_xlfn.XLOOKUP(IW$1,generator!$B$2:$B$295,generator!$L$2:$L$295,"ARGH")</f>
        <v>90</v>
      </c>
      <c r="IX22" s="3">
        <f>_xlfn.XLOOKUP(IX$1,generator!$B$2:$B$295,generator!$L$2:$L$295,"ARGH")</f>
        <v>90</v>
      </c>
      <c r="IY22" s="3">
        <f>_xlfn.XLOOKUP(IY$1,generator!$B$2:$B$295,generator!$L$2:$L$295,"ARGH")</f>
        <v>90</v>
      </c>
      <c r="IZ22" s="3">
        <f>_xlfn.XLOOKUP(IZ$1,generator!$B$2:$B$295,generator!$L$2:$L$295,"ARGH")</f>
        <v>449</v>
      </c>
      <c r="JA22" s="3">
        <f>_xlfn.XLOOKUP(JA$1,generator!$B$2:$B$295,generator!$L$2:$L$295,"ARGH")</f>
        <v>83</v>
      </c>
      <c r="JB22" s="3">
        <f>_xlfn.XLOOKUP(JB$1,generator!$B$2:$B$295,generator!$L$2:$L$295,"ARGH")</f>
        <v>83</v>
      </c>
      <c r="JC22" s="3">
        <f>_xlfn.XLOOKUP(JC$1,generator!$B$2:$B$295,generator!$L$2:$L$295,"ARGH")</f>
        <v>247</v>
      </c>
      <c r="JD22" s="3">
        <f>_xlfn.XLOOKUP(JD$1,generator!$B$2:$B$295,generator!$L$2:$L$295,"ARGH")</f>
        <v>247</v>
      </c>
      <c r="JE22" s="3">
        <f>_xlfn.XLOOKUP(JE$1,generator!$B$2:$B$295,generator!$L$2:$L$295,"ARGH")</f>
        <v>425</v>
      </c>
      <c r="JF22" s="3">
        <f>_xlfn.XLOOKUP(JF$1,generator!$B$2:$B$295,generator!$L$2:$L$295,"ARGH")</f>
        <v>63.5</v>
      </c>
      <c r="JG22" s="3">
        <f>_xlfn.XLOOKUP(JG$1,generator!$B$2:$B$295,generator!$L$2:$L$295,"ARGH")</f>
        <v>17</v>
      </c>
      <c r="JH22" s="3">
        <f>_xlfn.XLOOKUP(JH$1,generator!$B$2:$B$295,generator!$L$2:$L$295,"ARGH")</f>
        <v>444</v>
      </c>
      <c r="JI22" s="3">
        <f>_xlfn.XLOOKUP(JI$1,generator!$B$2:$B$295,generator!$L$2:$L$295,"ARGH")</f>
        <v>464</v>
      </c>
      <c r="JJ22" s="3">
        <f>_xlfn.XLOOKUP(JJ$1,generator!$B$2:$B$295,generator!$L$2:$L$295,"ARGH")</f>
        <v>18.54</v>
      </c>
      <c r="JK22" s="3">
        <f>_xlfn.XLOOKUP(JK$1,generator!$B$2:$B$295,generator!$L$2:$L$295,"ARGH")</f>
        <v>18.54</v>
      </c>
      <c r="JL22" s="3">
        <f>_xlfn.XLOOKUP(JL$1,generator!$B$2:$B$295,generator!$L$2:$L$295,"ARGH")</f>
        <v>18.54</v>
      </c>
      <c r="JM22" s="3">
        <f>_xlfn.XLOOKUP(JM$1,generator!$B$2:$B$295,generator!$L$2:$L$295,"ARGH")</f>
        <v>18.54</v>
      </c>
      <c r="JN22" s="3">
        <f>_xlfn.XLOOKUP(JN$1,generator!$B$2:$B$295,generator!$L$2:$L$295,"ARGH")</f>
        <v>18.54</v>
      </c>
      <c r="JO22" s="3">
        <f>_xlfn.XLOOKUP(JO$1,generator!$B$2:$B$295,generator!$L$2:$L$295,"ARGH")</f>
        <v>18.54</v>
      </c>
      <c r="JP22" s="3">
        <f>_xlfn.XLOOKUP(JP$1,generator!$B$2:$B$295,generator!$L$2:$L$295,"ARGH")</f>
        <v>415</v>
      </c>
      <c r="JQ22" s="3">
        <f>_xlfn.XLOOKUP(JQ$1,generator!$B$2:$B$295,generator!$L$2:$L$295,"ARGH")</f>
        <v>63.5</v>
      </c>
      <c r="JR22" s="3">
        <f>_xlfn.XLOOKUP(JR$1,generator!$B$2:$B$295,generator!$L$2:$L$295,"ARGH")</f>
        <v>350</v>
      </c>
      <c r="JS22" s="3">
        <f>_xlfn.XLOOKUP(JS$1,generator!$B$2:$B$295,generator!$L$2:$L$295,"ARGH")</f>
        <v>350</v>
      </c>
      <c r="JT22" s="3">
        <f>_xlfn.XLOOKUP(JT$1,generator!$B$2:$B$295,generator!$L$2:$L$295,"ARGH")</f>
        <v>63.5</v>
      </c>
      <c r="JU22" s="3">
        <f>_xlfn.XLOOKUP(JU$1,generator!$B$2:$B$295,generator!$L$2:$L$295,"ARGH")</f>
        <v>61.5</v>
      </c>
      <c r="JV22" s="3">
        <f>_xlfn.XLOOKUP(JV$1,generator!$B$2:$B$295,generator!$L$2:$L$295,"ARGH")</f>
        <v>240</v>
      </c>
      <c r="JW22" s="3">
        <f>_xlfn.XLOOKUP(JW$1,generator!$B$2:$B$295,generator!$L$2:$L$295,"ARGH")</f>
        <v>236</v>
      </c>
      <c r="JX22" s="3">
        <f>_xlfn.XLOOKUP(JX$1,generator!$B$2:$B$295,generator!$L$2:$L$295,"ARGH")</f>
        <v>20</v>
      </c>
      <c r="JY22" s="3">
        <f>_xlfn.XLOOKUP(JY$1,generator!$B$2:$B$295,generator!$L$2:$L$295,"ARGH")</f>
        <v>118</v>
      </c>
      <c r="JZ22" s="3">
        <f>_xlfn.XLOOKUP(JZ$1,generator!$B$2:$B$295,generator!$L$2:$L$295,"ARGH")</f>
        <v>73</v>
      </c>
      <c r="KA22" s="3">
        <f>_xlfn.XLOOKUP(KA$1,generator!$B$2:$B$295,generator!$L$2:$L$295,"ARGH")</f>
        <v>73</v>
      </c>
      <c r="KB22" s="3">
        <f>_xlfn.XLOOKUP(KB$1,generator!$B$2:$B$295,generator!$L$2:$L$295,"ARGH")</f>
        <v>73</v>
      </c>
      <c r="KC22" s="3">
        <f>_xlfn.XLOOKUP(KC$1,generator!$B$2:$B$295,generator!$L$2:$L$295,"ARGH")</f>
        <v>73</v>
      </c>
    </row>
    <row r="23" spans="1:289" x14ac:dyDescent="0.3">
      <c r="A23" s="4" t="s">
        <v>3018</v>
      </c>
      <c r="B23" s="31">
        <v>510.5</v>
      </c>
      <c r="C23" s="31">
        <v>414</v>
      </c>
      <c r="D23" s="31">
        <v>442</v>
      </c>
      <c r="E23" s="33">
        <v>14.66</v>
      </c>
      <c r="F23" s="33">
        <v>31.492000000000001</v>
      </c>
      <c r="G23" s="33">
        <v>14.66</v>
      </c>
      <c r="H23" s="33">
        <v>24.433</v>
      </c>
      <c r="I23" s="33">
        <v>48.323999999999998</v>
      </c>
      <c r="J23" s="33">
        <v>45.066000000000003</v>
      </c>
      <c r="K23" s="33">
        <v>12.217000000000001</v>
      </c>
      <c r="L23" s="33">
        <v>9.3390000000000004</v>
      </c>
      <c r="M23" s="33">
        <v>8.1440000000000001</v>
      </c>
      <c r="N23" s="33">
        <v>29.32</v>
      </c>
      <c r="O23" s="33">
        <v>2.9319999999999999</v>
      </c>
      <c r="P23" s="33">
        <v>13.9</v>
      </c>
      <c r="Q23" s="33">
        <v>19.111999999999998</v>
      </c>
      <c r="R23" s="33">
        <v>9.7729999999999997</v>
      </c>
      <c r="S23" s="33">
        <v>18.651</v>
      </c>
      <c r="T23" s="33">
        <v>13.031000000000001</v>
      </c>
      <c r="U23" s="33">
        <v>22.805</v>
      </c>
      <c r="V23" s="33">
        <v>11.484</v>
      </c>
      <c r="W23" s="33">
        <v>12.488</v>
      </c>
      <c r="X23" s="33">
        <v>17.591999999999999</v>
      </c>
      <c r="Y23" s="33">
        <v>9.1219999999999999</v>
      </c>
      <c r="Z23" s="33">
        <v>6.4610000000000003</v>
      </c>
      <c r="AA23" s="33">
        <v>5.8639999999999999</v>
      </c>
      <c r="AB23" s="33">
        <v>30.949000000000002</v>
      </c>
      <c r="AC23" s="33">
        <v>35.673000000000002</v>
      </c>
      <c r="AD23" s="33">
        <v>12.597</v>
      </c>
      <c r="AE23" s="33">
        <v>10.859</v>
      </c>
      <c r="AF23" s="33">
        <v>30.623000000000001</v>
      </c>
      <c r="AG23" s="33">
        <v>10.859</v>
      </c>
      <c r="AH23" s="33">
        <v>6.516</v>
      </c>
      <c r="AI23" s="33">
        <v>7.2759999999999998</v>
      </c>
      <c r="AJ23" s="33">
        <v>13.031000000000001</v>
      </c>
      <c r="AK23" s="33">
        <v>4.6420000000000003</v>
      </c>
      <c r="AL23" s="33">
        <v>20.079000000000001</v>
      </c>
      <c r="AM23" s="33">
        <v>25.791</v>
      </c>
      <c r="AN23" s="33">
        <v>10.859</v>
      </c>
      <c r="AO23" s="33">
        <v>7.4930000000000003</v>
      </c>
      <c r="AP23" s="33">
        <v>29.483000000000001</v>
      </c>
      <c r="AQ23" s="33">
        <v>10.153</v>
      </c>
      <c r="AR23" s="33">
        <v>9.5020000000000007</v>
      </c>
      <c r="AS23" s="33">
        <v>28.234000000000002</v>
      </c>
      <c r="AT23" s="33">
        <v>7.673</v>
      </c>
      <c r="AU23" s="33">
        <v>20.632999999999999</v>
      </c>
      <c r="AV23" s="33">
        <v>17.646000000000001</v>
      </c>
      <c r="AW23" s="33">
        <v>17.917999999999999</v>
      </c>
      <c r="AX23" s="33">
        <v>9.9359999999999999</v>
      </c>
      <c r="AY23" s="33">
        <v>17.972000000000001</v>
      </c>
      <c r="AZ23" s="33">
        <v>20.550999999999998</v>
      </c>
      <c r="BA23" s="33">
        <v>7.6020000000000003</v>
      </c>
      <c r="BB23" s="33">
        <v>24.975999999999999</v>
      </c>
      <c r="BC23" s="33">
        <v>10.859</v>
      </c>
      <c r="BD23" s="33">
        <v>6.516</v>
      </c>
      <c r="BE23" s="33">
        <v>6.2439999999999998</v>
      </c>
      <c r="BF23" s="33">
        <v>48.866999999999997</v>
      </c>
      <c r="BG23" s="33">
        <v>8.1440000000000001</v>
      </c>
      <c r="BH23" s="33">
        <v>13.574</v>
      </c>
      <c r="BI23" s="33">
        <v>11.401999999999999</v>
      </c>
      <c r="BJ23" s="33">
        <v>22.805</v>
      </c>
      <c r="BK23" s="33">
        <v>6.516</v>
      </c>
      <c r="BL23" s="33">
        <v>23.076000000000001</v>
      </c>
      <c r="BM23" s="33">
        <v>4.6150000000000002</v>
      </c>
      <c r="BN23" s="33">
        <v>16.289000000000001</v>
      </c>
      <c r="BO23" s="33">
        <v>23.152000000000001</v>
      </c>
      <c r="BP23" s="33">
        <v>62.006999999999998</v>
      </c>
      <c r="BQ23" s="33">
        <v>19.547000000000001</v>
      </c>
      <c r="BR23" s="33">
        <v>29.32</v>
      </c>
      <c r="BS23" s="33">
        <v>9.5020000000000007</v>
      </c>
      <c r="BT23" s="33">
        <v>18.731999999999999</v>
      </c>
      <c r="BU23" s="33">
        <v>2.6059999999999999</v>
      </c>
      <c r="BV23" s="33">
        <v>5.593</v>
      </c>
      <c r="BW23" s="33">
        <v>7.3730000000000002</v>
      </c>
      <c r="BX23" s="33">
        <v>6</v>
      </c>
      <c r="BY23" s="33">
        <v>13.574</v>
      </c>
      <c r="BZ23" s="33">
        <v>22.152999999999999</v>
      </c>
      <c r="CA23" s="33">
        <v>32.305999999999997</v>
      </c>
      <c r="CB23" s="33">
        <v>18.460999999999999</v>
      </c>
      <c r="CC23" s="33">
        <v>15.475</v>
      </c>
      <c r="CD23" s="33">
        <v>20.85</v>
      </c>
      <c r="CE23" s="33">
        <v>13.574</v>
      </c>
      <c r="CF23" s="33">
        <v>8.7420000000000009</v>
      </c>
      <c r="CG23" s="33">
        <v>9.5020000000000007</v>
      </c>
      <c r="CH23" s="33">
        <v>15.176</v>
      </c>
      <c r="CI23" s="33">
        <v>7.0860000000000003</v>
      </c>
      <c r="CJ23" s="33">
        <v>2.4159999999999999</v>
      </c>
      <c r="CK23" s="33">
        <v>13.465999999999999</v>
      </c>
      <c r="CL23" s="33">
        <v>9.1760000000000002</v>
      </c>
      <c r="CM23" s="33">
        <v>8.1440000000000001</v>
      </c>
      <c r="CN23" s="33">
        <v>32.156999999999996</v>
      </c>
      <c r="CO23" s="33">
        <v>12.76</v>
      </c>
      <c r="CP23" s="33">
        <v>25.411000000000001</v>
      </c>
      <c r="CQ23" s="33">
        <v>17.375</v>
      </c>
      <c r="CR23" s="33">
        <v>14.117000000000001</v>
      </c>
      <c r="CS23" s="33">
        <v>11.945</v>
      </c>
      <c r="CT23" s="33">
        <v>16.18</v>
      </c>
      <c r="CU23" s="33">
        <v>7.4930000000000003</v>
      </c>
      <c r="CV23" s="33">
        <v>13.737</v>
      </c>
      <c r="CW23" s="33">
        <v>15.202999999999999</v>
      </c>
      <c r="CX23" s="33">
        <v>6.7869999999999999</v>
      </c>
      <c r="CY23" s="33">
        <v>18.542000000000002</v>
      </c>
      <c r="CZ23" s="33">
        <v>6.516</v>
      </c>
      <c r="DA23" s="33">
        <v>16.289000000000001</v>
      </c>
      <c r="DB23" s="33">
        <v>10.208</v>
      </c>
      <c r="DC23" s="33">
        <v>7.6559999999999997</v>
      </c>
      <c r="DD23" s="33">
        <v>8.7420000000000009</v>
      </c>
      <c r="DE23" s="33">
        <v>6.7869999999999999</v>
      </c>
      <c r="DF23" s="33">
        <v>11.728</v>
      </c>
      <c r="DG23" s="33">
        <v>19.52</v>
      </c>
      <c r="DH23" s="33">
        <v>40.722000000000001</v>
      </c>
      <c r="DI23" s="33">
        <v>19.547000000000001</v>
      </c>
      <c r="DJ23" s="33">
        <v>8.1440000000000001</v>
      </c>
      <c r="DK23" s="33">
        <v>11.239000000000001</v>
      </c>
      <c r="DL23" s="33">
        <v>20.117000000000001</v>
      </c>
      <c r="DM23" s="33">
        <v>9.7729999999999997</v>
      </c>
      <c r="DN23" s="33">
        <v>54.296999999999997</v>
      </c>
      <c r="DO23" s="33">
        <v>18.244</v>
      </c>
      <c r="DP23" s="33">
        <v>54.84</v>
      </c>
      <c r="DQ23" s="33">
        <v>1.2709999999999999</v>
      </c>
      <c r="DR23" s="33">
        <v>49.518000000000001</v>
      </c>
      <c r="DS23" s="33">
        <v>8.7420000000000009</v>
      </c>
      <c r="DT23" s="33">
        <v>16.343</v>
      </c>
      <c r="DU23" s="33">
        <v>8.1440000000000001</v>
      </c>
      <c r="DV23" s="33">
        <v>6.45</v>
      </c>
      <c r="DW23" s="33">
        <v>7.6020000000000003</v>
      </c>
      <c r="DX23" s="33">
        <v>21.120999999999999</v>
      </c>
      <c r="DY23" s="33">
        <v>14.117000000000001</v>
      </c>
      <c r="DZ23" s="33">
        <v>6.3529999999999998</v>
      </c>
      <c r="EA23" s="33">
        <v>21.719000000000001</v>
      </c>
      <c r="EB23" s="33">
        <v>19.547000000000001</v>
      </c>
      <c r="EC23" s="33">
        <v>12.488</v>
      </c>
      <c r="ED23" s="33">
        <v>15.637</v>
      </c>
      <c r="EE23" s="33">
        <v>26.497</v>
      </c>
      <c r="EF23" s="33">
        <v>8.1440000000000001</v>
      </c>
      <c r="EG23" s="33">
        <v>4.9950000000000001</v>
      </c>
      <c r="EH23" s="33">
        <v>22.478999999999999</v>
      </c>
      <c r="EI23" s="33">
        <v>8.0359999999999996</v>
      </c>
      <c r="EJ23" s="33">
        <v>4.9950000000000001</v>
      </c>
      <c r="EK23" s="33">
        <v>8.1440000000000001</v>
      </c>
      <c r="EL23" s="33">
        <v>13.031000000000001</v>
      </c>
      <c r="EM23" s="33">
        <v>17.483000000000001</v>
      </c>
      <c r="EN23" s="33">
        <v>9.9909999999999997</v>
      </c>
      <c r="EO23" s="33">
        <v>10.859</v>
      </c>
      <c r="EP23" s="33">
        <v>7.6559999999999997</v>
      </c>
      <c r="EQ23" s="33">
        <v>18.731999999999999</v>
      </c>
      <c r="ER23" s="33">
        <v>5.7009999999999996</v>
      </c>
      <c r="ES23" s="33">
        <v>6.2439999999999998</v>
      </c>
      <c r="ET23" s="33">
        <v>12.542</v>
      </c>
      <c r="EU23" s="33">
        <v>46.13</v>
      </c>
      <c r="EV23" s="33">
        <v>9.3659999999999997</v>
      </c>
      <c r="EW23" s="33">
        <v>43.436999999999998</v>
      </c>
      <c r="EX23" s="33">
        <v>48.784999999999997</v>
      </c>
      <c r="EY23" s="33">
        <v>2.9319999999999999</v>
      </c>
      <c r="EZ23" s="33">
        <v>3.9420000000000002</v>
      </c>
      <c r="FA23" s="33">
        <v>3.2250000000000001</v>
      </c>
      <c r="FB23" s="33">
        <v>10.859</v>
      </c>
      <c r="FC23" s="33">
        <v>15.475</v>
      </c>
      <c r="FD23" s="33">
        <v>10.859</v>
      </c>
      <c r="FE23" s="33">
        <v>14.986000000000001</v>
      </c>
      <c r="FF23" s="33">
        <v>9.7729999999999997</v>
      </c>
      <c r="FG23" s="33">
        <v>8.1440000000000001</v>
      </c>
      <c r="FH23" s="33">
        <v>6.7869999999999999</v>
      </c>
      <c r="FI23" s="33">
        <v>26.062000000000001</v>
      </c>
      <c r="FJ23" s="33">
        <v>16.626000000000001</v>
      </c>
      <c r="FK23" s="33">
        <v>24.081</v>
      </c>
      <c r="FL23" s="33">
        <v>8.0359999999999996</v>
      </c>
      <c r="FM23" s="33">
        <v>22.207000000000001</v>
      </c>
      <c r="FN23" s="33">
        <v>11.131</v>
      </c>
      <c r="FO23" s="33">
        <v>39.962000000000003</v>
      </c>
      <c r="FP23" s="33">
        <v>57.011000000000003</v>
      </c>
      <c r="FQ23" s="33">
        <v>10.425000000000001</v>
      </c>
      <c r="FR23" s="33">
        <v>6.2439999999999998</v>
      </c>
      <c r="FS23" s="33">
        <v>7.4930000000000003</v>
      </c>
      <c r="FT23" s="33">
        <v>9.3659999999999997</v>
      </c>
      <c r="FU23" s="33">
        <v>38.008000000000003</v>
      </c>
      <c r="FV23" s="33">
        <v>7.2210000000000001</v>
      </c>
      <c r="FW23" s="33">
        <v>8.2420000000000009</v>
      </c>
      <c r="FX23" s="33">
        <v>8.1440000000000001</v>
      </c>
      <c r="FY23" s="33">
        <v>7.4930000000000003</v>
      </c>
      <c r="FZ23" s="33">
        <v>7.4930000000000003</v>
      </c>
      <c r="GA23" s="33">
        <v>8.1440000000000001</v>
      </c>
      <c r="GB23" s="33">
        <v>6.7869999999999999</v>
      </c>
      <c r="GC23" s="33">
        <v>3.5840000000000001</v>
      </c>
      <c r="GD23" s="33">
        <v>6.8410000000000002</v>
      </c>
      <c r="GE23" s="33">
        <v>7.4930000000000003</v>
      </c>
      <c r="GF23" s="33">
        <v>57.011000000000003</v>
      </c>
      <c r="GG23" s="33">
        <v>34.75</v>
      </c>
      <c r="GH23" s="33">
        <v>3.258</v>
      </c>
      <c r="GI23" s="33">
        <v>4.8869999999999996</v>
      </c>
      <c r="GJ23" s="33">
        <v>6.4610000000000003</v>
      </c>
      <c r="GK23" s="33">
        <v>14.66</v>
      </c>
      <c r="GL23" s="33">
        <v>10.859</v>
      </c>
      <c r="GM23" s="33">
        <v>6.0819999999999999</v>
      </c>
      <c r="GN23" s="33">
        <v>36.494</v>
      </c>
      <c r="GO23" s="33">
        <v>12.773</v>
      </c>
      <c r="GP23" s="33">
        <v>51.7</v>
      </c>
      <c r="GQ23" s="33">
        <v>8.5150000000000006</v>
      </c>
      <c r="GR23" s="33">
        <v>72.38</v>
      </c>
      <c r="GS23" s="33">
        <v>19.22</v>
      </c>
      <c r="GT23" s="33">
        <v>57.781999999999996</v>
      </c>
      <c r="GU23" s="33">
        <v>15.327999999999999</v>
      </c>
      <c r="GV23" s="33">
        <v>10.291</v>
      </c>
      <c r="GW23" s="33">
        <v>12.426</v>
      </c>
      <c r="GX23" s="33">
        <v>52.915999999999997</v>
      </c>
      <c r="GY23" s="33">
        <v>2.4329999999999998</v>
      </c>
      <c r="GZ23" s="33">
        <v>7.2990000000000004</v>
      </c>
      <c r="HA23" s="33">
        <v>18.131</v>
      </c>
      <c r="HB23" s="33">
        <v>57.781999999999996</v>
      </c>
      <c r="HC23" s="33">
        <v>57.781999999999996</v>
      </c>
      <c r="HD23" s="33">
        <v>30.411999999999999</v>
      </c>
      <c r="HE23" s="3">
        <f>_xlfn.XLOOKUP(HE$1,generator!$B$2:$B$295,generator!$L$2:$L$295,"ARGH")</f>
        <v>17.600000000000001</v>
      </c>
      <c r="HF23" s="3">
        <f>_xlfn.XLOOKUP(HF$1,generator!$B$2:$B$295,generator!$L$2:$L$295,"ARGH")</f>
        <v>285</v>
      </c>
      <c r="HG23" s="3">
        <f>_xlfn.XLOOKUP(HG$1,generator!$B$2:$B$295,generator!$L$2:$L$295,"ARGH")</f>
        <v>285</v>
      </c>
      <c r="HH23" s="3">
        <f>_xlfn.XLOOKUP(HH$1,generator!$B$2:$B$295,generator!$L$2:$L$295,"ARGH")</f>
        <v>285</v>
      </c>
      <c r="HI23" s="3">
        <f>_xlfn.XLOOKUP(HI$1,generator!$B$2:$B$295,generator!$L$2:$L$295,"ARGH")</f>
        <v>58</v>
      </c>
      <c r="HJ23" s="3">
        <f>_xlfn.XLOOKUP(HJ$1,generator!$B$2:$B$295,generator!$L$2:$L$295,"ARGH")</f>
        <v>58</v>
      </c>
      <c r="HK23" s="3">
        <f>_xlfn.XLOOKUP(HK$1,generator!$B$2:$B$295,generator!$L$2:$L$295,"ARGH")</f>
        <v>53</v>
      </c>
      <c r="HL23" s="3">
        <f>_xlfn.XLOOKUP(HL$1,generator!$B$2:$B$295,generator!$L$2:$L$295,"ARGH")</f>
        <v>58</v>
      </c>
      <c r="HM23" s="3">
        <f>_xlfn.XLOOKUP(HM$1,generator!$B$2:$B$295,generator!$L$2:$L$295,"ARGH")</f>
        <v>58</v>
      </c>
      <c r="HN23" s="3">
        <f>_xlfn.XLOOKUP(HN$1,generator!$B$2:$B$295,generator!$L$2:$L$295,"ARGH")</f>
        <v>52</v>
      </c>
      <c r="HO23" s="3">
        <f>_xlfn.XLOOKUP(HO$1,generator!$B$2:$B$295,generator!$L$2:$L$295,"ARGH")</f>
        <v>52</v>
      </c>
      <c r="HP23" s="3">
        <f>_xlfn.XLOOKUP(HP$1,generator!$B$2:$B$295,generator!$L$2:$L$295,"ARGH")</f>
        <v>2</v>
      </c>
      <c r="HQ23" s="3">
        <f>_xlfn.XLOOKUP(HQ$1,generator!$B$2:$B$295,generator!$L$2:$L$295,"ARGH")</f>
        <v>29.2</v>
      </c>
      <c r="HR23" s="3">
        <f>_xlfn.XLOOKUP(HR$1,generator!$B$2:$B$295,generator!$L$2:$L$295,"ARGH")</f>
        <v>29.2</v>
      </c>
      <c r="HS23" s="3">
        <f>_xlfn.XLOOKUP(HS$1,generator!$B$2:$B$295,generator!$L$2:$L$295,"ARGH")</f>
        <v>41.61</v>
      </c>
      <c r="HT23" s="3">
        <f>_xlfn.XLOOKUP(HT$1,generator!$B$2:$B$295,generator!$L$2:$L$295,"ARGH")</f>
        <v>41.61</v>
      </c>
      <c r="HU23" s="3">
        <f>_xlfn.XLOOKUP(HU$1,generator!$B$2:$B$295,generator!$L$2:$L$295,"ARGH")</f>
        <v>160</v>
      </c>
      <c r="HV23" s="3">
        <f>_xlfn.XLOOKUP(HV$1,generator!$B$2:$B$295,generator!$L$2:$L$295,"ARGH")</f>
        <v>260</v>
      </c>
      <c r="HW23" s="3">
        <f>_xlfn.XLOOKUP(HW$1,generator!$B$2:$B$295,generator!$L$2:$L$295,"ARGH")</f>
        <v>52</v>
      </c>
      <c r="HX23" s="3">
        <f>_xlfn.XLOOKUP(HX$1,generator!$B$2:$B$295,generator!$L$2:$L$295,"ARGH")</f>
        <v>52</v>
      </c>
      <c r="HY23" s="3">
        <f>_xlfn.XLOOKUP(HY$1,generator!$B$2:$B$295,generator!$L$2:$L$295,"ARGH")</f>
        <v>101</v>
      </c>
      <c r="HZ23" s="3">
        <f>_xlfn.XLOOKUP(HZ$1,generator!$B$2:$B$295,generator!$L$2:$L$295,"ARGH")</f>
        <v>50</v>
      </c>
      <c r="IA23" s="3">
        <f>_xlfn.XLOOKUP(IA$1,generator!$B$2:$B$295,generator!$L$2:$L$295,"ARGH")</f>
        <v>400</v>
      </c>
      <c r="IB23" s="3">
        <f>_xlfn.XLOOKUP(IB$1,generator!$B$2:$B$295,generator!$L$2:$L$295,"ARGH")</f>
        <v>342</v>
      </c>
      <c r="IC23" s="3">
        <f>_xlfn.XLOOKUP(IC$1,generator!$B$2:$B$295,generator!$L$2:$L$295,"ARGH")</f>
        <v>3.0209999999999999</v>
      </c>
      <c r="ID23" s="3">
        <f>_xlfn.XLOOKUP(ID$1,generator!$B$2:$B$295,generator!$L$2:$L$295,"ARGH")</f>
        <v>200</v>
      </c>
      <c r="IE23" s="3">
        <f>_xlfn.XLOOKUP(IE$1,generator!$B$2:$B$295,generator!$L$2:$L$295,"ARGH")</f>
        <v>404</v>
      </c>
      <c r="IF23" s="3">
        <f>_xlfn.XLOOKUP(IF$1,generator!$B$2:$B$295,generator!$L$2:$L$295,"ARGH")</f>
        <v>21</v>
      </c>
      <c r="IG23" s="3">
        <f>_xlfn.XLOOKUP(IG$1,generator!$B$2:$B$295,generator!$L$2:$L$295,"ARGH")</f>
        <v>22</v>
      </c>
      <c r="IH23" s="3">
        <f>_xlfn.XLOOKUP(IH$1,generator!$B$2:$B$295,generator!$L$2:$L$295,"ARGH")</f>
        <v>19</v>
      </c>
      <c r="II23" s="3">
        <f>_xlfn.XLOOKUP(II$1,generator!$B$2:$B$295,generator!$L$2:$L$295,"ARGH")</f>
        <v>24</v>
      </c>
      <c r="IJ23" s="3">
        <f>_xlfn.XLOOKUP(IJ$1,generator!$B$2:$B$295,generator!$L$2:$L$295,"ARGH")</f>
        <v>4.3</v>
      </c>
      <c r="IK23" s="3">
        <f>_xlfn.XLOOKUP(IK$1,generator!$B$2:$B$295,generator!$L$2:$L$295,"ARGH")</f>
        <v>8</v>
      </c>
      <c r="IL23" s="3">
        <f>_xlfn.XLOOKUP(IL$1,generator!$B$2:$B$295,generator!$L$2:$L$295,"ARGH")</f>
        <v>22.5</v>
      </c>
      <c r="IM23" s="3">
        <f>_xlfn.XLOOKUP(IM$1,generator!$B$2:$B$295,generator!$L$2:$L$295,"ARGH")</f>
        <v>22.5</v>
      </c>
      <c r="IN23" s="3">
        <f>_xlfn.XLOOKUP(IN$1,generator!$B$2:$B$295,generator!$L$2:$L$295,"ARGH")</f>
        <v>10</v>
      </c>
      <c r="IO23" s="3">
        <f>_xlfn.XLOOKUP(IO$1,generator!$B$2:$B$295,generator!$L$2:$L$295,"ARGH")</f>
        <v>10</v>
      </c>
      <c r="IP23" s="3">
        <f>_xlfn.XLOOKUP(IP$1,generator!$B$2:$B$295,generator!$L$2:$L$295,"ARGH")</f>
        <v>15</v>
      </c>
      <c r="IQ23" s="3">
        <f>_xlfn.XLOOKUP(IQ$1,generator!$B$2:$B$295,generator!$L$2:$L$295,"ARGH")</f>
        <v>4</v>
      </c>
      <c r="IR23" s="3">
        <f>_xlfn.XLOOKUP(IR$1,generator!$B$2:$B$295,generator!$L$2:$L$295,"ARGH")</f>
        <v>15</v>
      </c>
      <c r="IS23" s="3">
        <f>_xlfn.XLOOKUP(IS$1,generator!$B$2:$B$295,generator!$L$2:$L$295,"ARGH")</f>
        <v>15</v>
      </c>
      <c r="IT23" s="3">
        <f>_xlfn.XLOOKUP(IT$1,generator!$B$2:$B$295,generator!$L$2:$L$295,"ARGH")</f>
        <v>0.18</v>
      </c>
      <c r="IU23" s="3">
        <f>_xlfn.XLOOKUP(IU$1,generator!$B$2:$B$295,generator!$L$2:$L$295,"ARGH")</f>
        <v>4</v>
      </c>
      <c r="IV23" s="3">
        <f>_xlfn.XLOOKUP(IV$1,generator!$B$2:$B$295,generator!$L$2:$L$295,"ARGH")</f>
        <v>4</v>
      </c>
      <c r="IW23" s="3">
        <f>_xlfn.XLOOKUP(IW$1,generator!$B$2:$B$295,generator!$L$2:$L$295,"ARGH")</f>
        <v>90</v>
      </c>
      <c r="IX23" s="3">
        <f>_xlfn.XLOOKUP(IX$1,generator!$B$2:$B$295,generator!$L$2:$L$295,"ARGH")</f>
        <v>90</v>
      </c>
      <c r="IY23" s="3">
        <f>_xlfn.XLOOKUP(IY$1,generator!$B$2:$B$295,generator!$L$2:$L$295,"ARGH")</f>
        <v>90</v>
      </c>
      <c r="IZ23" s="3">
        <f>_xlfn.XLOOKUP(IZ$1,generator!$B$2:$B$295,generator!$L$2:$L$295,"ARGH")</f>
        <v>449</v>
      </c>
      <c r="JA23" s="3">
        <f>_xlfn.XLOOKUP(JA$1,generator!$B$2:$B$295,generator!$L$2:$L$295,"ARGH")</f>
        <v>83</v>
      </c>
      <c r="JB23" s="3">
        <f>_xlfn.XLOOKUP(JB$1,generator!$B$2:$B$295,generator!$L$2:$L$295,"ARGH")</f>
        <v>83</v>
      </c>
      <c r="JC23" s="3">
        <f>_xlfn.XLOOKUP(JC$1,generator!$B$2:$B$295,generator!$L$2:$L$295,"ARGH")</f>
        <v>247</v>
      </c>
      <c r="JD23" s="3">
        <f>_xlfn.XLOOKUP(JD$1,generator!$B$2:$B$295,generator!$L$2:$L$295,"ARGH")</f>
        <v>247</v>
      </c>
      <c r="JE23" s="3">
        <f>_xlfn.XLOOKUP(JE$1,generator!$B$2:$B$295,generator!$L$2:$L$295,"ARGH")</f>
        <v>425</v>
      </c>
      <c r="JF23" s="3">
        <f>_xlfn.XLOOKUP(JF$1,generator!$B$2:$B$295,generator!$L$2:$L$295,"ARGH")</f>
        <v>63.5</v>
      </c>
      <c r="JG23" s="3">
        <f>_xlfn.XLOOKUP(JG$1,generator!$B$2:$B$295,generator!$L$2:$L$295,"ARGH")</f>
        <v>17</v>
      </c>
      <c r="JH23" s="3">
        <f>_xlfn.XLOOKUP(JH$1,generator!$B$2:$B$295,generator!$L$2:$L$295,"ARGH")</f>
        <v>444</v>
      </c>
      <c r="JI23" s="3">
        <f>_xlfn.XLOOKUP(JI$1,generator!$B$2:$B$295,generator!$L$2:$L$295,"ARGH")</f>
        <v>464</v>
      </c>
      <c r="JJ23" s="3">
        <f>_xlfn.XLOOKUP(JJ$1,generator!$B$2:$B$295,generator!$L$2:$L$295,"ARGH")</f>
        <v>18.54</v>
      </c>
      <c r="JK23" s="3">
        <f>_xlfn.XLOOKUP(JK$1,generator!$B$2:$B$295,generator!$L$2:$L$295,"ARGH")</f>
        <v>18.54</v>
      </c>
      <c r="JL23" s="3">
        <f>_xlfn.XLOOKUP(JL$1,generator!$B$2:$B$295,generator!$L$2:$L$295,"ARGH")</f>
        <v>18.54</v>
      </c>
      <c r="JM23" s="3">
        <f>_xlfn.XLOOKUP(JM$1,generator!$B$2:$B$295,generator!$L$2:$L$295,"ARGH")</f>
        <v>18.54</v>
      </c>
      <c r="JN23" s="3">
        <f>_xlfn.XLOOKUP(JN$1,generator!$B$2:$B$295,generator!$L$2:$L$295,"ARGH")</f>
        <v>18.54</v>
      </c>
      <c r="JO23" s="3">
        <f>_xlfn.XLOOKUP(JO$1,generator!$B$2:$B$295,generator!$L$2:$L$295,"ARGH")</f>
        <v>18.54</v>
      </c>
      <c r="JP23" s="3">
        <f>_xlfn.XLOOKUP(JP$1,generator!$B$2:$B$295,generator!$L$2:$L$295,"ARGH")</f>
        <v>415</v>
      </c>
      <c r="JQ23" s="3">
        <f>_xlfn.XLOOKUP(JQ$1,generator!$B$2:$B$295,generator!$L$2:$L$295,"ARGH")</f>
        <v>63.5</v>
      </c>
      <c r="JR23" s="3">
        <f>_xlfn.XLOOKUP(JR$1,generator!$B$2:$B$295,generator!$L$2:$L$295,"ARGH")</f>
        <v>350</v>
      </c>
      <c r="JS23" s="3">
        <f>_xlfn.XLOOKUP(JS$1,generator!$B$2:$B$295,generator!$L$2:$L$295,"ARGH")</f>
        <v>350</v>
      </c>
      <c r="JT23" s="3">
        <f>_xlfn.XLOOKUP(JT$1,generator!$B$2:$B$295,generator!$L$2:$L$295,"ARGH")</f>
        <v>63.5</v>
      </c>
      <c r="JU23" s="3">
        <f>_xlfn.XLOOKUP(JU$1,generator!$B$2:$B$295,generator!$L$2:$L$295,"ARGH")</f>
        <v>61.5</v>
      </c>
      <c r="JV23" s="3">
        <f>_xlfn.XLOOKUP(JV$1,generator!$B$2:$B$295,generator!$L$2:$L$295,"ARGH")</f>
        <v>240</v>
      </c>
      <c r="JW23" s="3">
        <f>_xlfn.XLOOKUP(JW$1,generator!$B$2:$B$295,generator!$L$2:$L$295,"ARGH")</f>
        <v>236</v>
      </c>
      <c r="JX23" s="3">
        <f>_xlfn.XLOOKUP(JX$1,generator!$B$2:$B$295,generator!$L$2:$L$295,"ARGH")</f>
        <v>20</v>
      </c>
      <c r="JY23" s="3">
        <f>_xlfn.XLOOKUP(JY$1,generator!$B$2:$B$295,generator!$L$2:$L$295,"ARGH")</f>
        <v>118</v>
      </c>
      <c r="JZ23" s="3">
        <f>_xlfn.XLOOKUP(JZ$1,generator!$B$2:$B$295,generator!$L$2:$L$295,"ARGH")</f>
        <v>73</v>
      </c>
      <c r="KA23" s="3">
        <f>_xlfn.XLOOKUP(KA$1,generator!$B$2:$B$295,generator!$L$2:$L$295,"ARGH")</f>
        <v>73</v>
      </c>
      <c r="KB23" s="3">
        <f>_xlfn.XLOOKUP(KB$1,generator!$B$2:$B$295,generator!$L$2:$L$295,"ARGH")</f>
        <v>73</v>
      </c>
      <c r="KC23" s="3">
        <f>_xlfn.XLOOKUP(KC$1,generator!$B$2:$B$295,generator!$L$2:$L$295,"ARGH")</f>
        <v>73</v>
      </c>
    </row>
    <row r="24" spans="1:289" x14ac:dyDescent="0.3">
      <c r="A24" s="4" t="s">
        <v>3019</v>
      </c>
      <c r="B24" s="31">
        <v>499.5</v>
      </c>
      <c r="C24" s="31">
        <v>438</v>
      </c>
      <c r="D24" s="31">
        <v>442</v>
      </c>
      <c r="E24" s="33">
        <v>14.536</v>
      </c>
      <c r="F24" s="33">
        <v>31.225999999999999</v>
      </c>
      <c r="G24" s="33">
        <v>14.536</v>
      </c>
      <c r="H24" s="33">
        <v>24.227</v>
      </c>
      <c r="I24" s="33">
        <v>47.915999999999997</v>
      </c>
      <c r="J24" s="33">
        <v>44.686</v>
      </c>
      <c r="K24" s="33">
        <v>12.114000000000001</v>
      </c>
      <c r="L24" s="33">
        <v>9.26</v>
      </c>
      <c r="M24" s="33">
        <v>8.0760000000000005</v>
      </c>
      <c r="N24" s="33">
        <v>29.073</v>
      </c>
      <c r="O24" s="33">
        <v>2.907</v>
      </c>
      <c r="P24" s="33">
        <v>13.782999999999999</v>
      </c>
      <c r="Q24" s="33">
        <v>18.951000000000001</v>
      </c>
      <c r="R24" s="33">
        <v>9.6910000000000007</v>
      </c>
      <c r="S24" s="33">
        <v>18.492999999999999</v>
      </c>
      <c r="T24" s="33">
        <v>12.920999999999999</v>
      </c>
      <c r="U24" s="33">
        <v>22.611999999999998</v>
      </c>
      <c r="V24" s="33">
        <v>11.387</v>
      </c>
      <c r="W24" s="33">
        <v>12.382999999999999</v>
      </c>
      <c r="X24" s="33">
        <v>17.443999999999999</v>
      </c>
      <c r="Y24" s="33">
        <v>9.0449999999999999</v>
      </c>
      <c r="Z24" s="33">
        <v>6.407</v>
      </c>
      <c r="AA24" s="33">
        <v>5.8150000000000004</v>
      </c>
      <c r="AB24" s="33">
        <v>30.687999999999999</v>
      </c>
      <c r="AC24" s="33">
        <v>35.372</v>
      </c>
      <c r="AD24" s="33">
        <v>12.491</v>
      </c>
      <c r="AE24" s="33">
        <v>10.768000000000001</v>
      </c>
      <c r="AF24" s="33">
        <v>30.364999999999998</v>
      </c>
      <c r="AG24" s="33">
        <v>10.768000000000001</v>
      </c>
      <c r="AH24" s="33">
        <v>6.4610000000000003</v>
      </c>
      <c r="AI24" s="33">
        <v>7.2140000000000004</v>
      </c>
      <c r="AJ24" s="33">
        <v>12.920999999999999</v>
      </c>
      <c r="AK24" s="33">
        <v>4.6029999999999998</v>
      </c>
      <c r="AL24" s="33">
        <v>19.908999999999999</v>
      </c>
      <c r="AM24" s="33">
        <v>25.573</v>
      </c>
      <c r="AN24" s="33">
        <v>10.768000000000001</v>
      </c>
      <c r="AO24" s="33">
        <v>7.43</v>
      </c>
      <c r="AP24" s="33">
        <v>29.234000000000002</v>
      </c>
      <c r="AQ24" s="33">
        <v>10.068</v>
      </c>
      <c r="AR24" s="33">
        <v>9.4220000000000006</v>
      </c>
      <c r="AS24" s="33">
        <v>27.995999999999999</v>
      </c>
      <c r="AT24" s="33">
        <v>7.6079999999999997</v>
      </c>
      <c r="AU24" s="33">
        <v>20.459</v>
      </c>
      <c r="AV24" s="33">
        <v>17.497</v>
      </c>
      <c r="AW24" s="33">
        <v>17.766999999999999</v>
      </c>
      <c r="AX24" s="33">
        <v>9.8520000000000003</v>
      </c>
      <c r="AY24" s="33">
        <v>17.821000000000002</v>
      </c>
      <c r="AZ24" s="33">
        <v>20.378</v>
      </c>
      <c r="BA24" s="33">
        <v>7.5369999999999999</v>
      </c>
      <c r="BB24" s="33">
        <v>24.765999999999998</v>
      </c>
      <c r="BC24" s="33">
        <v>10.768000000000001</v>
      </c>
      <c r="BD24" s="33">
        <v>6.4610000000000003</v>
      </c>
      <c r="BE24" s="33">
        <v>6.1909999999999998</v>
      </c>
      <c r="BF24" s="33">
        <v>48.454999999999998</v>
      </c>
      <c r="BG24" s="33">
        <v>8.0760000000000005</v>
      </c>
      <c r="BH24" s="33">
        <v>13.46</v>
      </c>
      <c r="BI24" s="33">
        <v>11.305999999999999</v>
      </c>
      <c r="BJ24" s="33">
        <v>22.611999999999998</v>
      </c>
      <c r="BK24" s="33">
        <v>6.4610000000000003</v>
      </c>
      <c r="BL24" s="33">
        <v>22.881</v>
      </c>
      <c r="BM24" s="33">
        <v>4.5759999999999996</v>
      </c>
      <c r="BN24" s="33">
        <v>16.152000000000001</v>
      </c>
      <c r="BO24" s="33">
        <v>22.957000000000001</v>
      </c>
      <c r="BP24" s="33">
        <v>61.482999999999997</v>
      </c>
      <c r="BQ24" s="33">
        <v>19.382000000000001</v>
      </c>
      <c r="BR24" s="33">
        <v>29.073</v>
      </c>
      <c r="BS24" s="33">
        <v>9.4220000000000006</v>
      </c>
      <c r="BT24" s="33">
        <v>18.574000000000002</v>
      </c>
      <c r="BU24" s="33">
        <v>2.5840000000000001</v>
      </c>
      <c r="BV24" s="33">
        <v>5.5449999999999999</v>
      </c>
      <c r="BW24" s="33">
        <v>7.3109999999999999</v>
      </c>
      <c r="BX24" s="33">
        <v>5.9489999999999998</v>
      </c>
      <c r="BY24" s="33">
        <v>13.46</v>
      </c>
      <c r="BZ24" s="33">
        <v>21.966000000000001</v>
      </c>
      <c r="CA24" s="33">
        <v>32.033999999999999</v>
      </c>
      <c r="CB24" s="33">
        <v>18.305</v>
      </c>
      <c r="CC24" s="33">
        <v>15.343999999999999</v>
      </c>
      <c r="CD24" s="33">
        <v>20.673999999999999</v>
      </c>
      <c r="CE24" s="33">
        <v>13.46</v>
      </c>
      <c r="CF24" s="33">
        <v>8.6679999999999993</v>
      </c>
      <c r="CG24" s="33">
        <v>9.4220000000000006</v>
      </c>
      <c r="CH24" s="33">
        <v>15.048</v>
      </c>
      <c r="CI24" s="33">
        <v>7.0259999999999998</v>
      </c>
      <c r="CJ24" s="33">
        <v>2.3959999999999999</v>
      </c>
      <c r="CK24" s="33">
        <v>13.352</v>
      </c>
      <c r="CL24" s="33">
        <v>9.0990000000000002</v>
      </c>
      <c r="CM24" s="33">
        <v>8.0760000000000005</v>
      </c>
      <c r="CN24" s="33">
        <v>31.885999999999999</v>
      </c>
      <c r="CO24" s="33">
        <v>12.651999999999999</v>
      </c>
      <c r="CP24" s="33">
        <v>25.196000000000002</v>
      </c>
      <c r="CQ24" s="33">
        <v>17.228000000000002</v>
      </c>
      <c r="CR24" s="33">
        <v>13.997999999999999</v>
      </c>
      <c r="CS24" s="33">
        <v>11.843999999999999</v>
      </c>
      <c r="CT24" s="33">
        <v>16.044</v>
      </c>
      <c r="CU24" s="33">
        <v>7.43</v>
      </c>
      <c r="CV24" s="33">
        <v>13.621</v>
      </c>
      <c r="CW24" s="33">
        <v>15.074999999999999</v>
      </c>
      <c r="CX24" s="33">
        <v>6.73</v>
      </c>
      <c r="CY24" s="33">
        <v>18.385999999999999</v>
      </c>
      <c r="CZ24" s="33">
        <v>6.4610000000000003</v>
      </c>
      <c r="DA24" s="33">
        <v>16.152000000000001</v>
      </c>
      <c r="DB24" s="33">
        <v>10.122</v>
      </c>
      <c r="DC24" s="33">
        <v>7.5910000000000002</v>
      </c>
      <c r="DD24" s="33">
        <v>8.6679999999999993</v>
      </c>
      <c r="DE24" s="33">
        <v>6.73</v>
      </c>
      <c r="DF24" s="33">
        <v>11.629</v>
      </c>
      <c r="DG24" s="33">
        <v>19.355</v>
      </c>
      <c r="DH24" s="33">
        <v>40.378999999999998</v>
      </c>
      <c r="DI24" s="33">
        <v>19.382000000000001</v>
      </c>
      <c r="DJ24" s="33">
        <v>8.0760000000000005</v>
      </c>
      <c r="DK24" s="33">
        <v>11.145</v>
      </c>
      <c r="DL24" s="33">
        <v>19.946999999999999</v>
      </c>
      <c r="DM24" s="33">
        <v>9.6910000000000007</v>
      </c>
      <c r="DN24" s="33">
        <v>53.838000000000001</v>
      </c>
      <c r="DO24" s="33">
        <v>18.09</v>
      </c>
      <c r="DP24" s="33">
        <v>54.377000000000002</v>
      </c>
      <c r="DQ24" s="33">
        <v>1.26</v>
      </c>
      <c r="DR24" s="33">
        <v>49.100999999999999</v>
      </c>
      <c r="DS24" s="33">
        <v>8.6679999999999993</v>
      </c>
      <c r="DT24" s="33">
        <v>16.204999999999998</v>
      </c>
      <c r="DU24" s="33">
        <v>8.0760000000000005</v>
      </c>
      <c r="DV24" s="33">
        <v>6.3959999999999999</v>
      </c>
      <c r="DW24" s="33">
        <v>7.5369999999999999</v>
      </c>
      <c r="DX24" s="33">
        <v>20.943000000000001</v>
      </c>
      <c r="DY24" s="33">
        <v>13.997999999999999</v>
      </c>
      <c r="DZ24" s="33">
        <v>6.2990000000000004</v>
      </c>
      <c r="EA24" s="33">
        <v>21.535</v>
      </c>
      <c r="EB24" s="33">
        <v>19.382000000000001</v>
      </c>
      <c r="EC24" s="33">
        <v>12.382999999999999</v>
      </c>
      <c r="ED24" s="33">
        <v>15.505000000000001</v>
      </c>
      <c r="EE24" s="33">
        <v>26.273</v>
      </c>
      <c r="EF24" s="33">
        <v>8.0760000000000005</v>
      </c>
      <c r="EG24" s="33">
        <v>4.9530000000000003</v>
      </c>
      <c r="EH24" s="33">
        <v>22.289000000000001</v>
      </c>
      <c r="EI24" s="33">
        <v>7.968</v>
      </c>
      <c r="EJ24" s="33">
        <v>4.9530000000000003</v>
      </c>
      <c r="EK24" s="33">
        <v>8.0760000000000005</v>
      </c>
      <c r="EL24" s="33">
        <v>12.920999999999999</v>
      </c>
      <c r="EM24" s="33">
        <v>17.335999999999999</v>
      </c>
      <c r="EN24" s="33">
        <v>9.9060000000000006</v>
      </c>
      <c r="EO24" s="33">
        <v>10.768000000000001</v>
      </c>
      <c r="EP24" s="33">
        <v>7.5910000000000002</v>
      </c>
      <c r="EQ24" s="33">
        <v>18.574000000000002</v>
      </c>
      <c r="ER24" s="33">
        <v>5.6529999999999996</v>
      </c>
      <c r="ES24" s="33">
        <v>6.1909999999999998</v>
      </c>
      <c r="ET24" s="33">
        <v>12.436999999999999</v>
      </c>
      <c r="EU24" s="33">
        <v>45.741</v>
      </c>
      <c r="EV24" s="33">
        <v>9.2870000000000008</v>
      </c>
      <c r="EW24" s="33">
        <v>43.070999999999998</v>
      </c>
      <c r="EX24" s="33">
        <v>48.374000000000002</v>
      </c>
      <c r="EY24" s="33">
        <v>2.907</v>
      </c>
      <c r="EZ24" s="33">
        <v>3.9089999999999998</v>
      </c>
      <c r="FA24" s="33">
        <v>3.198</v>
      </c>
      <c r="FB24" s="33">
        <v>10.768000000000001</v>
      </c>
      <c r="FC24" s="33">
        <v>15.343999999999999</v>
      </c>
      <c r="FD24" s="33">
        <v>10.768000000000001</v>
      </c>
      <c r="FE24" s="33">
        <v>14.859</v>
      </c>
      <c r="FF24" s="33">
        <v>9.6910000000000007</v>
      </c>
      <c r="FG24" s="33">
        <v>8.0760000000000005</v>
      </c>
      <c r="FH24" s="33">
        <v>6.73</v>
      </c>
      <c r="FI24" s="33">
        <v>25.841999999999999</v>
      </c>
      <c r="FJ24" s="33">
        <v>16.484999999999999</v>
      </c>
      <c r="FK24" s="33">
        <v>23.876999999999999</v>
      </c>
      <c r="FL24" s="33">
        <v>7.968</v>
      </c>
      <c r="FM24" s="33">
        <v>22.02</v>
      </c>
      <c r="FN24" s="33">
        <v>11.037000000000001</v>
      </c>
      <c r="FO24" s="33">
        <v>39.625</v>
      </c>
      <c r="FP24" s="33">
        <v>56.53</v>
      </c>
      <c r="FQ24" s="33">
        <v>10.337</v>
      </c>
      <c r="FR24" s="33">
        <v>6.1909999999999998</v>
      </c>
      <c r="FS24" s="33">
        <v>7.43</v>
      </c>
      <c r="FT24" s="33">
        <v>9.2870000000000008</v>
      </c>
      <c r="FU24" s="33">
        <v>37.686999999999998</v>
      </c>
      <c r="FV24" s="33">
        <v>7.1609999999999996</v>
      </c>
      <c r="FW24" s="33">
        <v>8.173</v>
      </c>
      <c r="FX24" s="33">
        <v>8.0760000000000005</v>
      </c>
      <c r="FY24" s="33">
        <v>7.43</v>
      </c>
      <c r="FZ24" s="33">
        <v>7.43</v>
      </c>
      <c r="GA24" s="33">
        <v>8.0760000000000005</v>
      </c>
      <c r="GB24" s="33">
        <v>6.73</v>
      </c>
      <c r="GC24" s="33">
        <v>3.5529999999999999</v>
      </c>
      <c r="GD24" s="33">
        <v>6.7839999999999998</v>
      </c>
      <c r="GE24" s="33">
        <v>7.43</v>
      </c>
      <c r="GF24" s="33">
        <v>56.53</v>
      </c>
      <c r="GG24" s="33">
        <v>34.457000000000001</v>
      </c>
      <c r="GH24" s="33">
        <v>3.23</v>
      </c>
      <c r="GI24" s="33">
        <v>4.8449999999999998</v>
      </c>
      <c r="GJ24" s="33">
        <v>6.407</v>
      </c>
      <c r="GK24" s="33">
        <v>14.536</v>
      </c>
      <c r="GL24" s="33">
        <v>10.768000000000001</v>
      </c>
      <c r="GM24" s="33">
        <v>7.1349999999999998</v>
      </c>
      <c r="GN24" s="33">
        <v>42.811999999999998</v>
      </c>
      <c r="GO24" s="33">
        <v>14.984</v>
      </c>
      <c r="GP24" s="33">
        <v>60.651000000000003</v>
      </c>
      <c r="GQ24" s="33">
        <v>9.99</v>
      </c>
      <c r="GR24" s="33">
        <v>84.911000000000001</v>
      </c>
      <c r="GS24" s="33">
        <v>22.547999999999998</v>
      </c>
      <c r="GT24" s="33">
        <v>67.786000000000001</v>
      </c>
      <c r="GU24" s="33">
        <v>17.981000000000002</v>
      </c>
      <c r="GV24" s="33">
        <v>12.073</v>
      </c>
      <c r="GW24" s="33">
        <v>14.577999999999999</v>
      </c>
      <c r="GX24" s="33">
        <v>62.078000000000003</v>
      </c>
      <c r="GY24" s="33">
        <v>2.8540000000000001</v>
      </c>
      <c r="GZ24" s="33">
        <v>8.5619999999999994</v>
      </c>
      <c r="HA24" s="33">
        <v>21.271000000000001</v>
      </c>
      <c r="HB24" s="33">
        <v>67.786000000000001</v>
      </c>
      <c r="HC24" s="33">
        <v>67.786000000000001</v>
      </c>
      <c r="HD24" s="33">
        <v>35.677</v>
      </c>
      <c r="HE24" s="3">
        <f>_xlfn.XLOOKUP(HE$1,generator!$B$2:$B$295,generator!$L$2:$L$295,"ARGH")</f>
        <v>17.600000000000001</v>
      </c>
      <c r="HF24" s="3">
        <f>_xlfn.XLOOKUP(HF$1,generator!$B$2:$B$295,generator!$L$2:$L$295,"ARGH")</f>
        <v>285</v>
      </c>
      <c r="HG24" s="3">
        <f>_xlfn.XLOOKUP(HG$1,generator!$B$2:$B$295,generator!$L$2:$L$295,"ARGH")</f>
        <v>285</v>
      </c>
      <c r="HH24" s="3">
        <f>_xlfn.XLOOKUP(HH$1,generator!$B$2:$B$295,generator!$L$2:$L$295,"ARGH")</f>
        <v>285</v>
      </c>
      <c r="HI24" s="3">
        <f>_xlfn.XLOOKUP(HI$1,generator!$B$2:$B$295,generator!$L$2:$L$295,"ARGH")</f>
        <v>58</v>
      </c>
      <c r="HJ24" s="3">
        <f>_xlfn.XLOOKUP(HJ$1,generator!$B$2:$B$295,generator!$L$2:$L$295,"ARGH")</f>
        <v>58</v>
      </c>
      <c r="HK24" s="3">
        <f>_xlfn.XLOOKUP(HK$1,generator!$B$2:$B$295,generator!$L$2:$L$295,"ARGH")</f>
        <v>53</v>
      </c>
      <c r="HL24" s="3">
        <f>_xlfn.XLOOKUP(HL$1,generator!$B$2:$B$295,generator!$L$2:$L$295,"ARGH")</f>
        <v>58</v>
      </c>
      <c r="HM24" s="3">
        <f>_xlfn.XLOOKUP(HM$1,generator!$B$2:$B$295,generator!$L$2:$L$295,"ARGH")</f>
        <v>58</v>
      </c>
      <c r="HN24" s="3">
        <f>_xlfn.XLOOKUP(HN$1,generator!$B$2:$B$295,generator!$L$2:$L$295,"ARGH")</f>
        <v>52</v>
      </c>
      <c r="HO24" s="3">
        <f>_xlfn.XLOOKUP(HO$1,generator!$B$2:$B$295,generator!$L$2:$L$295,"ARGH")</f>
        <v>52</v>
      </c>
      <c r="HP24" s="3">
        <f>_xlfn.XLOOKUP(HP$1,generator!$B$2:$B$295,generator!$L$2:$L$295,"ARGH")</f>
        <v>2</v>
      </c>
      <c r="HQ24" s="3">
        <f>_xlfn.XLOOKUP(HQ$1,generator!$B$2:$B$295,generator!$L$2:$L$295,"ARGH")</f>
        <v>29.2</v>
      </c>
      <c r="HR24" s="3">
        <f>_xlfn.XLOOKUP(HR$1,generator!$B$2:$B$295,generator!$L$2:$L$295,"ARGH")</f>
        <v>29.2</v>
      </c>
      <c r="HS24" s="3">
        <f>_xlfn.XLOOKUP(HS$1,generator!$B$2:$B$295,generator!$L$2:$L$295,"ARGH")</f>
        <v>41.61</v>
      </c>
      <c r="HT24" s="3">
        <f>_xlfn.XLOOKUP(HT$1,generator!$B$2:$B$295,generator!$L$2:$L$295,"ARGH")</f>
        <v>41.61</v>
      </c>
      <c r="HU24" s="3">
        <f>_xlfn.XLOOKUP(HU$1,generator!$B$2:$B$295,generator!$L$2:$L$295,"ARGH")</f>
        <v>160</v>
      </c>
      <c r="HV24" s="3">
        <f>_xlfn.XLOOKUP(HV$1,generator!$B$2:$B$295,generator!$L$2:$L$295,"ARGH")</f>
        <v>260</v>
      </c>
      <c r="HW24" s="3">
        <f>_xlfn.XLOOKUP(HW$1,generator!$B$2:$B$295,generator!$L$2:$L$295,"ARGH")</f>
        <v>52</v>
      </c>
      <c r="HX24" s="3">
        <f>_xlfn.XLOOKUP(HX$1,generator!$B$2:$B$295,generator!$L$2:$L$295,"ARGH")</f>
        <v>52</v>
      </c>
      <c r="HY24" s="3">
        <f>_xlfn.XLOOKUP(HY$1,generator!$B$2:$B$295,generator!$L$2:$L$295,"ARGH")</f>
        <v>101</v>
      </c>
      <c r="HZ24" s="3">
        <f>_xlfn.XLOOKUP(HZ$1,generator!$B$2:$B$295,generator!$L$2:$L$295,"ARGH")</f>
        <v>50</v>
      </c>
      <c r="IA24" s="3">
        <f>_xlfn.XLOOKUP(IA$1,generator!$B$2:$B$295,generator!$L$2:$L$295,"ARGH")</f>
        <v>400</v>
      </c>
      <c r="IB24" s="3">
        <f>_xlfn.XLOOKUP(IB$1,generator!$B$2:$B$295,generator!$L$2:$L$295,"ARGH")</f>
        <v>342</v>
      </c>
      <c r="IC24" s="3">
        <f>_xlfn.XLOOKUP(IC$1,generator!$B$2:$B$295,generator!$L$2:$L$295,"ARGH")</f>
        <v>3.0209999999999999</v>
      </c>
      <c r="ID24" s="3">
        <f>_xlfn.XLOOKUP(ID$1,generator!$B$2:$B$295,generator!$L$2:$L$295,"ARGH")</f>
        <v>200</v>
      </c>
      <c r="IE24" s="3">
        <f>_xlfn.XLOOKUP(IE$1,generator!$B$2:$B$295,generator!$L$2:$L$295,"ARGH")</f>
        <v>404</v>
      </c>
      <c r="IF24" s="3">
        <f>_xlfn.XLOOKUP(IF$1,generator!$B$2:$B$295,generator!$L$2:$L$295,"ARGH")</f>
        <v>21</v>
      </c>
      <c r="IG24" s="3">
        <f>_xlfn.XLOOKUP(IG$1,generator!$B$2:$B$295,generator!$L$2:$L$295,"ARGH")</f>
        <v>22</v>
      </c>
      <c r="IH24" s="3">
        <f>_xlfn.XLOOKUP(IH$1,generator!$B$2:$B$295,generator!$L$2:$L$295,"ARGH")</f>
        <v>19</v>
      </c>
      <c r="II24" s="3">
        <f>_xlfn.XLOOKUP(II$1,generator!$B$2:$B$295,generator!$L$2:$L$295,"ARGH")</f>
        <v>24</v>
      </c>
      <c r="IJ24" s="3">
        <f>_xlfn.XLOOKUP(IJ$1,generator!$B$2:$B$295,generator!$L$2:$L$295,"ARGH")</f>
        <v>4.3</v>
      </c>
      <c r="IK24" s="3">
        <f>_xlfn.XLOOKUP(IK$1,generator!$B$2:$B$295,generator!$L$2:$L$295,"ARGH")</f>
        <v>8</v>
      </c>
      <c r="IL24" s="3">
        <f>_xlfn.XLOOKUP(IL$1,generator!$B$2:$B$295,generator!$L$2:$L$295,"ARGH")</f>
        <v>22.5</v>
      </c>
      <c r="IM24" s="3">
        <f>_xlfn.XLOOKUP(IM$1,generator!$B$2:$B$295,generator!$L$2:$L$295,"ARGH")</f>
        <v>22.5</v>
      </c>
      <c r="IN24" s="3">
        <f>_xlfn.XLOOKUP(IN$1,generator!$B$2:$B$295,generator!$L$2:$L$295,"ARGH")</f>
        <v>10</v>
      </c>
      <c r="IO24" s="3">
        <f>_xlfn.XLOOKUP(IO$1,generator!$B$2:$B$295,generator!$L$2:$L$295,"ARGH")</f>
        <v>10</v>
      </c>
      <c r="IP24" s="3">
        <f>_xlfn.XLOOKUP(IP$1,generator!$B$2:$B$295,generator!$L$2:$L$295,"ARGH")</f>
        <v>15</v>
      </c>
      <c r="IQ24" s="3">
        <f>_xlfn.XLOOKUP(IQ$1,generator!$B$2:$B$295,generator!$L$2:$L$295,"ARGH")</f>
        <v>4</v>
      </c>
      <c r="IR24" s="3">
        <f>_xlfn.XLOOKUP(IR$1,generator!$B$2:$B$295,generator!$L$2:$L$295,"ARGH")</f>
        <v>15</v>
      </c>
      <c r="IS24" s="3">
        <f>_xlfn.XLOOKUP(IS$1,generator!$B$2:$B$295,generator!$L$2:$L$295,"ARGH")</f>
        <v>15</v>
      </c>
      <c r="IT24" s="3">
        <f>_xlfn.XLOOKUP(IT$1,generator!$B$2:$B$295,generator!$L$2:$L$295,"ARGH")</f>
        <v>0.18</v>
      </c>
      <c r="IU24" s="3">
        <f>_xlfn.XLOOKUP(IU$1,generator!$B$2:$B$295,generator!$L$2:$L$295,"ARGH")</f>
        <v>4</v>
      </c>
      <c r="IV24" s="3">
        <f>_xlfn.XLOOKUP(IV$1,generator!$B$2:$B$295,generator!$L$2:$L$295,"ARGH")</f>
        <v>4</v>
      </c>
      <c r="IW24" s="3">
        <f>_xlfn.XLOOKUP(IW$1,generator!$B$2:$B$295,generator!$L$2:$L$295,"ARGH")</f>
        <v>90</v>
      </c>
      <c r="IX24" s="3">
        <f>_xlfn.XLOOKUP(IX$1,generator!$B$2:$B$295,generator!$L$2:$L$295,"ARGH")</f>
        <v>90</v>
      </c>
      <c r="IY24" s="3">
        <f>_xlfn.XLOOKUP(IY$1,generator!$B$2:$B$295,generator!$L$2:$L$295,"ARGH")</f>
        <v>90</v>
      </c>
      <c r="IZ24" s="3">
        <f>_xlfn.XLOOKUP(IZ$1,generator!$B$2:$B$295,generator!$L$2:$L$295,"ARGH")</f>
        <v>449</v>
      </c>
      <c r="JA24" s="3">
        <f>_xlfn.XLOOKUP(JA$1,generator!$B$2:$B$295,generator!$L$2:$L$295,"ARGH")</f>
        <v>83</v>
      </c>
      <c r="JB24" s="3">
        <f>_xlfn.XLOOKUP(JB$1,generator!$B$2:$B$295,generator!$L$2:$L$295,"ARGH")</f>
        <v>83</v>
      </c>
      <c r="JC24" s="3">
        <f>_xlfn.XLOOKUP(JC$1,generator!$B$2:$B$295,generator!$L$2:$L$295,"ARGH")</f>
        <v>247</v>
      </c>
      <c r="JD24" s="3">
        <f>_xlfn.XLOOKUP(JD$1,generator!$B$2:$B$295,generator!$L$2:$L$295,"ARGH")</f>
        <v>247</v>
      </c>
      <c r="JE24" s="3">
        <f>_xlfn.XLOOKUP(JE$1,generator!$B$2:$B$295,generator!$L$2:$L$295,"ARGH")</f>
        <v>425</v>
      </c>
      <c r="JF24" s="3">
        <f>_xlfn.XLOOKUP(JF$1,generator!$B$2:$B$295,generator!$L$2:$L$295,"ARGH")</f>
        <v>63.5</v>
      </c>
      <c r="JG24" s="3">
        <f>_xlfn.XLOOKUP(JG$1,generator!$B$2:$B$295,generator!$L$2:$L$295,"ARGH")</f>
        <v>17</v>
      </c>
      <c r="JH24" s="3">
        <f>_xlfn.XLOOKUP(JH$1,generator!$B$2:$B$295,generator!$L$2:$L$295,"ARGH")</f>
        <v>444</v>
      </c>
      <c r="JI24" s="3">
        <f>_xlfn.XLOOKUP(JI$1,generator!$B$2:$B$295,generator!$L$2:$L$295,"ARGH")</f>
        <v>464</v>
      </c>
      <c r="JJ24" s="3">
        <f>_xlfn.XLOOKUP(JJ$1,generator!$B$2:$B$295,generator!$L$2:$L$295,"ARGH")</f>
        <v>18.54</v>
      </c>
      <c r="JK24" s="3">
        <f>_xlfn.XLOOKUP(JK$1,generator!$B$2:$B$295,generator!$L$2:$L$295,"ARGH")</f>
        <v>18.54</v>
      </c>
      <c r="JL24" s="3">
        <f>_xlfn.XLOOKUP(JL$1,generator!$B$2:$B$295,generator!$L$2:$L$295,"ARGH")</f>
        <v>18.54</v>
      </c>
      <c r="JM24" s="3">
        <f>_xlfn.XLOOKUP(JM$1,generator!$B$2:$B$295,generator!$L$2:$L$295,"ARGH")</f>
        <v>18.54</v>
      </c>
      <c r="JN24" s="3">
        <f>_xlfn.XLOOKUP(JN$1,generator!$B$2:$B$295,generator!$L$2:$L$295,"ARGH")</f>
        <v>18.54</v>
      </c>
      <c r="JO24" s="3">
        <f>_xlfn.XLOOKUP(JO$1,generator!$B$2:$B$295,generator!$L$2:$L$295,"ARGH")</f>
        <v>18.54</v>
      </c>
      <c r="JP24" s="3">
        <f>_xlfn.XLOOKUP(JP$1,generator!$B$2:$B$295,generator!$L$2:$L$295,"ARGH")</f>
        <v>415</v>
      </c>
      <c r="JQ24" s="3">
        <f>_xlfn.XLOOKUP(JQ$1,generator!$B$2:$B$295,generator!$L$2:$L$295,"ARGH")</f>
        <v>63.5</v>
      </c>
      <c r="JR24" s="3">
        <f>_xlfn.XLOOKUP(JR$1,generator!$B$2:$B$295,generator!$L$2:$L$295,"ARGH")</f>
        <v>350</v>
      </c>
      <c r="JS24" s="3">
        <f>_xlfn.XLOOKUP(JS$1,generator!$B$2:$B$295,generator!$L$2:$L$295,"ARGH")</f>
        <v>350</v>
      </c>
      <c r="JT24" s="3">
        <f>_xlfn.XLOOKUP(JT$1,generator!$B$2:$B$295,generator!$L$2:$L$295,"ARGH")</f>
        <v>63.5</v>
      </c>
      <c r="JU24" s="3">
        <f>_xlfn.XLOOKUP(JU$1,generator!$B$2:$B$295,generator!$L$2:$L$295,"ARGH")</f>
        <v>61.5</v>
      </c>
      <c r="JV24" s="3">
        <f>_xlfn.XLOOKUP(JV$1,generator!$B$2:$B$295,generator!$L$2:$L$295,"ARGH")</f>
        <v>240</v>
      </c>
      <c r="JW24" s="3">
        <f>_xlfn.XLOOKUP(JW$1,generator!$B$2:$B$295,generator!$L$2:$L$295,"ARGH")</f>
        <v>236</v>
      </c>
      <c r="JX24" s="3">
        <f>_xlfn.XLOOKUP(JX$1,generator!$B$2:$B$295,generator!$L$2:$L$295,"ARGH")</f>
        <v>20</v>
      </c>
      <c r="JY24" s="3">
        <f>_xlfn.XLOOKUP(JY$1,generator!$B$2:$B$295,generator!$L$2:$L$295,"ARGH")</f>
        <v>118</v>
      </c>
      <c r="JZ24" s="3">
        <f>_xlfn.XLOOKUP(JZ$1,generator!$B$2:$B$295,generator!$L$2:$L$295,"ARGH")</f>
        <v>73</v>
      </c>
      <c r="KA24" s="3">
        <f>_xlfn.XLOOKUP(KA$1,generator!$B$2:$B$295,generator!$L$2:$L$295,"ARGH")</f>
        <v>73</v>
      </c>
      <c r="KB24" s="3">
        <f>_xlfn.XLOOKUP(KB$1,generator!$B$2:$B$295,generator!$L$2:$L$295,"ARGH")</f>
        <v>73</v>
      </c>
      <c r="KC24" s="3">
        <f>_xlfn.XLOOKUP(KC$1,generator!$B$2:$B$295,generator!$L$2:$L$295,"ARGH")</f>
        <v>73</v>
      </c>
    </row>
    <row r="25" spans="1:289" x14ac:dyDescent="0.3">
      <c r="A25" s="4" t="s">
        <v>3020</v>
      </c>
      <c r="B25" s="31">
        <v>422</v>
      </c>
      <c r="C25" s="31">
        <v>513.5</v>
      </c>
      <c r="D25" s="31">
        <v>442</v>
      </c>
      <c r="E25" s="33">
        <v>14.365</v>
      </c>
      <c r="F25" s="33">
        <v>30.858000000000001</v>
      </c>
      <c r="G25" s="33">
        <v>14.365</v>
      </c>
      <c r="H25" s="33">
        <v>23.942</v>
      </c>
      <c r="I25" s="33">
        <v>47.350999999999999</v>
      </c>
      <c r="J25" s="33">
        <v>44.158999999999999</v>
      </c>
      <c r="K25" s="33">
        <v>11.971</v>
      </c>
      <c r="L25" s="33">
        <v>9.1509999999999998</v>
      </c>
      <c r="M25" s="33">
        <v>7.9809999999999999</v>
      </c>
      <c r="N25" s="33">
        <v>28.73</v>
      </c>
      <c r="O25" s="33">
        <v>2.8730000000000002</v>
      </c>
      <c r="P25" s="33">
        <v>13.62</v>
      </c>
      <c r="Q25" s="33">
        <v>18.728000000000002</v>
      </c>
      <c r="R25" s="33">
        <v>9.577</v>
      </c>
      <c r="S25" s="33">
        <v>18.274999999999999</v>
      </c>
      <c r="T25" s="33">
        <v>12.769</v>
      </c>
      <c r="U25" s="33">
        <v>22.346</v>
      </c>
      <c r="V25" s="33">
        <v>11.253</v>
      </c>
      <c r="W25" s="33">
        <v>12.237</v>
      </c>
      <c r="X25" s="33">
        <v>17.238</v>
      </c>
      <c r="Y25" s="33">
        <v>8.9380000000000006</v>
      </c>
      <c r="Z25" s="33">
        <v>6.3310000000000004</v>
      </c>
      <c r="AA25" s="33">
        <v>5.7460000000000004</v>
      </c>
      <c r="AB25" s="33">
        <v>30.326000000000001</v>
      </c>
      <c r="AC25" s="33">
        <v>34.954999999999998</v>
      </c>
      <c r="AD25" s="33">
        <v>12.343</v>
      </c>
      <c r="AE25" s="33">
        <v>10.641</v>
      </c>
      <c r="AF25" s="33">
        <v>30.007000000000001</v>
      </c>
      <c r="AG25" s="33">
        <v>10.641</v>
      </c>
      <c r="AH25" s="33">
        <v>6.3840000000000003</v>
      </c>
      <c r="AI25" s="33">
        <v>7.1289999999999996</v>
      </c>
      <c r="AJ25" s="33">
        <v>12.769</v>
      </c>
      <c r="AK25" s="33">
        <v>4.5490000000000004</v>
      </c>
      <c r="AL25" s="33">
        <v>19.675000000000001</v>
      </c>
      <c r="AM25" s="33">
        <v>25.271999999999998</v>
      </c>
      <c r="AN25" s="33">
        <v>10.641</v>
      </c>
      <c r="AO25" s="33">
        <v>7.3419999999999996</v>
      </c>
      <c r="AP25" s="33">
        <v>28.89</v>
      </c>
      <c r="AQ25" s="33">
        <v>9.9489999999999998</v>
      </c>
      <c r="AR25" s="33">
        <v>9.3109999999999999</v>
      </c>
      <c r="AS25" s="33">
        <v>27.666</v>
      </c>
      <c r="AT25" s="33">
        <v>7.5190000000000001</v>
      </c>
      <c r="AU25" s="33">
        <v>20.216999999999999</v>
      </c>
      <c r="AV25" s="33">
        <v>17.291</v>
      </c>
      <c r="AW25" s="33">
        <v>17.556999999999999</v>
      </c>
      <c r="AX25" s="33">
        <v>9.7360000000000007</v>
      </c>
      <c r="AY25" s="33">
        <v>17.61</v>
      </c>
      <c r="AZ25" s="33">
        <v>20.138000000000002</v>
      </c>
      <c r="BA25" s="33">
        <v>7.4489999999999998</v>
      </c>
      <c r="BB25" s="33">
        <v>24.474</v>
      </c>
      <c r="BC25" s="33">
        <v>10.641</v>
      </c>
      <c r="BD25" s="33">
        <v>6.3840000000000003</v>
      </c>
      <c r="BE25" s="33">
        <v>6.1180000000000003</v>
      </c>
      <c r="BF25" s="33">
        <v>47.883000000000003</v>
      </c>
      <c r="BG25" s="33">
        <v>7.9809999999999999</v>
      </c>
      <c r="BH25" s="33">
        <v>13.301</v>
      </c>
      <c r="BI25" s="33">
        <v>11.173</v>
      </c>
      <c r="BJ25" s="33">
        <v>22.346</v>
      </c>
      <c r="BK25" s="33">
        <v>6.3840000000000003</v>
      </c>
      <c r="BL25" s="33">
        <v>22.611999999999998</v>
      </c>
      <c r="BM25" s="33">
        <v>4.5220000000000002</v>
      </c>
      <c r="BN25" s="33">
        <v>15.961</v>
      </c>
      <c r="BO25" s="33">
        <v>22.686</v>
      </c>
      <c r="BP25" s="33">
        <v>60.759</v>
      </c>
      <c r="BQ25" s="33">
        <v>19.152999999999999</v>
      </c>
      <c r="BR25" s="33">
        <v>28.73</v>
      </c>
      <c r="BS25" s="33">
        <v>9.3109999999999999</v>
      </c>
      <c r="BT25" s="33">
        <v>18.355</v>
      </c>
      <c r="BU25" s="33">
        <v>2.5539999999999998</v>
      </c>
      <c r="BV25" s="33">
        <v>5.48</v>
      </c>
      <c r="BW25" s="33">
        <v>7.2249999999999996</v>
      </c>
      <c r="BX25" s="33">
        <v>5.8789999999999996</v>
      </c>
      <c r="BY25" s="33">
        <v>13.301</v>
      </c>
      <c r="BZ25" s="33">
        <v>21.707000000000001</v>
      </c>
      <c r="CA25" s="33">
        <v>31.655999999999999</v>
      </c>
      <c r="CB25" s="33">
        <v>18.088999999999999</v>
      </c>
      <c r="CC25" s="33">
        <v>15.163</v>
      </c>
      <c r="CD25" s="33">
        <v>20.43</v>
      </c>
      <c r="CE25" s="33">
        <v>13.301</v>
      </c>
      <c r="CF25" s="33">
        <v>8.5660000000000007</v>
      </c>
      <c r="CG25" s="33">
        <v>9.3109999999999999</v>
      </c>
      <c r="CH25" s="33">
        <v>14.87</v>
      </c>
      <c r="CI25" s="33">
        <v>6.9429999999999996</v>
      </c>
      <c r="CJ25" s="33">
        <v>2.3679999999999999</v>
      </c>
      <c r="CK25" s="33">
        <v>13.195</v>
      </c>
      <c r="CL25" s="33">
        <v>8.9909999999999997</v>
      </c>
      <c r="CM25" s="33">
        <v>7.9809999999999999</v>
      </c>
      <c r="CN25" s="33">
        <v>31.51</v>
      </c>
      <c r="CO25" s="33">
        <v>12.503</v>
      </c>
      <c r="CP25" s="33">
        <v>24.899000000000001</v>
      </c>
      <c r="CQ25" s="33">
        <v>17.024999999999999</v>
      </c>
      <c r="CR25" s="33">
        <v>13.833</v>
      </c>
      <c r="CS25" s="33">
        <v>11.705</v>
      </c>
      <c r="CT25" s="33">
        <v>15.855</v>
      </c>
      <c r="CU25" s="33">
        <v>7.3419999999999996</v>
      </c>
      <c r="CV25" s="33">
        <v>13.461</v>
      </c>
      <c r="CW25" s="33">
        <v>14.897</v>
      </c>
      <c r="CX25" s="33">
        <v>6.65</v>
      </c>
      <c r="CY25" s="33">
        <v>18.169</v>
      </c>
      <c r="CZ25" s="33">
        <v>6.3840000000000003</v>
      </c>
      <c r="DA25" s="33">
        <v>15.961</v>
      </c>
      <c r="DB25" s="33">
        <v>10.002000000000001</v>
      </c>
      <c r="DC25" s="33">
        <v>7.5019999999999998</v>
      </c>
      <c r="DD25" s="33">
        <v>8.5660000000000007</v>
      </c>
      <c r="DE25" s="33">
        <v>6.65</v>
      </c>
      <c r="DF25" s="33">
        <v>11.492000000000001</v>
      </c>
      <c r="DG25" s="33">
        <v>19.126999999999999</v>
      </c>
      <c r="DH25" s="33">
        <v>39.902999999999999</v>
      </c>
      <c r="DI25" s="33">
        <v>19.152999999999999</v>
      </c>
      <c r="DJ25" s="33">
        <v>7.9809999999999999</v>
      </c>
      <c r="DK25" s="33">
        <v>11.013</v>
      </c>
      <c r="DL25" s="33">
        <v>19.712</v>
      </c>
      <c r="DM25" s="33">
        <v>9.577</v>
      </c>
      <c r="DN25" s="33">
        <v>53.204000000000001</v>
      </c>
      <c r="DO25" s="33">
        <v>17.876000000000001</v>
      </c>
      <c r="DP25" s="33">
        <v>53.735999999999997</v>
      </c>
      <c r="DQ25" s="33">
        <v>1.2450000000000001</v>
      </c>
      <c r="DR25" s="33">
        <v>48.521999999999998</v>
      </c>
      <c r="DS25" s="33">
        <v>8.5660000000000007</v>
      </c>
      <c r="DT25" s="33">
        <v>16.013999999999999</v>
      </c>
      <c r="DU25" s="33">
        <v>7.9809999999999999</v>
      </c>
      <c r="DV25" s="33">
        <v>6.3209999999999997</v>
      </c>
      <c r="DW25" s="33">
        <v>7.4489999999999998</v>
      </c>
      <c r="DX25" s="33">
        <v>20.696000000000002</v>
      </c>
      <c r="DY25" s="33">
        <v>13.833</v>
      </c>
      <c r="DZ25" s="33">
        <v>6.2249999999999996</v>
      </c>
      <c r="EA25" s="33">
        <v>21.280999999999999</v>
      </c>
      <c r="EB25" s="33">
        <v>19.152999999999999</v>
      </c>
      <c r="EC25" s="33">
        <v>12.237</v>
      </c>
      <c r="ED25" s="33">
        <v>15.323</v>
      </c>
      <c r="EE25" s="33">
        <v>25.963000000000001</v>
      </c>
      <c r="EF25" s="33">
        <v>7.9809999999999999</v>
      </c>
      <c r="EG25" s="33">
        <v>4.8949999999999996</v>
      </c>
      <c r="EH25" s="33">
        <v>22.026</v>
      </c>
      <c r="EI25" s="33">
        <v>7.8739999999999997</v>
      </c>
      <c r="EJ25" s="33">
        <v>4.8949999999999996</v>
      </c>
      <c r="EK25" s="33">
        <v>7.9809999999999999</v>
      </c>
      <c r="EL25" s="33">
        <v>12.769</v>
      </c>
      <c r="EM25" s="33">
        <v>17.132000000000001</v>
      </c>
      <c r="EN25" s="33">
        <v>9.7889999999999997</v>
      </c>
      <c r="EO25" s="33">
        <v>10.641</v>
      </c>
      <c r="EP25" s="33">
        <v>7.5019999999999998</v>
      </c>
      <c r="EQ25" s="33">
        <v>18.355</v>
      </c>
      <c r="ER25" s="33">
        <v>5.5860000000000003</v>
      </c>
      <c r="ES25" s="33">
        <v>6.1180000000000003</v>
      </c>
      <c r="ET25" s="33">
        <v>12.29</v>
      </c>
      <c r="EU25" s="33">
        <v>45.201999999999998</v>
      </c>
      <c r="EV25" s="33">
        <v>9.1780000000000008</v>
      </c>
      <c r="EW25" s="33">
        <v>42.563000000000002</v>
      </c>
      <c r="EX25" s="33">
        <v>47.804000000000002</v>
      </c>
      <c r="EY25" s="33">
        <v>2.8730000000000002</v>
      </c>
      <c r="EZ25" s="33">
        <v>3.863</v>
      </c>
      <c r="FA25" s="33">
        <v>3.16</v>
      </c>
      <c r="FB25" s="33">
        <v>10.641</v>
      </c>
      <c r="FC25" s="33">
        <v>15.163</v>
      </c>
      <c r="FD25" s="33">
        <v>10.641</v>
      </c>
      <c r="FE25" s="33">
        <v>14.683999999999999</v>
      </c>
      <c r="FF25" s="33">
        <v>9.577</v>
      </c>
      <c r="FG25" s="33">
        <v>7.9809999999999999</v>
      </c>
      <c r="FH25" s="33">
        <v>6.65</v>
      </c>
      <c r="FI25" s="33">
        <v>25.538</v>
      </c>
      <c r="FJ25" s="33">
        <v>16.291</v>
      </c>
      <c r="FK25" s="33">
        <v>23.596</v>
      </c>
      <c r="FL25" s="33">
        <v>7.8739999999999997</v>
      </c>
      <c r="FM25" s="33">
        <v>21.76</v>
      </c>
      <c r="FN25" s="33">
        <v>10.907</v>
      </c>
      <c r="FO25" s="33">
        <v>39.158000000000001</v>
      </c>
      <c r="FP25" s="33">
        <v>55.863999999999997</v>
      </c>
      <c r="FQ25" s="33">
        <v>10.215</v>
      </c>
      <c r="FR25" s="33">
        <v>6.1180000000000003</v>
      </c>
      <c r="FS25" s="33">
        <v>7.3419999999999996</v>
      </c>
      <c r="FT25" s="33">
        <v>9.1780000000000008</v>
      </c>
      <c r="FU25" s="33">
        <v>37.243000000000002</v>
      </c>
      <c r="FV25" s="33">
        <v>7.0759999999999996</v>
      </c>
      <c r="FW25" s="33">
        <v>8.0760000000000005</v>
      </c>
      <c r="FX25" s="33">
        <v>7.9809999999999999</v>
      </c>
      <c r="FY25" s="33">
        <v>7.3419999999999996</v>
      </c>
      <c r="FZ25" s="33">
        <v>7.3419999999999996</v>
      </c>
      <c r="GA25" s="33">
        <v>7.9809999999999999</v>
      </c>
      <c r="GB25" s="33">
        <v>6.65</v>
      </c>
      <c r="GC25" s="33">
        <v>3.5110000000000001</v>
      </c>
      <c r="GD25" s="33">
        <v>6.7039999999999997</v>
      </c>
      <c r="GE25" s="33">
        <v>7.3419999999999996</v>
      </c>
      <c r="GF25" s="33">
        <v>55.863999999999997</v>
      </c>
      <c r="GG25" s="33">
        <v>34.049999999999997</v>
      </c>
      <c r="GH25" s="33">
        <v>3.1920000000000002</v>
      </c>
      <c r="GI25" s="33">
        <v>4.7880000000000003</v>
      </c>
      <c r="GJ25" s="33">
        <v>6.3310000000000004</v>
      </c>
      <c r="GK25" s="33">
        <v>14.365</v>
      </c>
      <c r="GL25" s="33">
        <v>10.641</v>
      </c>
      <c r="GM25" s="33">
        <v>7.9180000000000001</v>
      </c>
      <c r="GN25" s="33">
        <v>47.506999999999998</v>
      </c>
      <c r="GO25" s="33">
        <v>16.628</v>
      </c>
      <c r="GP25" s="33">
        <v>67.302000000000007</v>
      </c>
      <c r="GQ25" s="33">
        <v>11.085000000000001</v>
      </c>
      <c r="GR25" s="33">
        <v>94.222999999999999</v>
      </c>
      <c r="GS25" s="33">
        <v>25.021000000000001</v>
      </c>
      <c r="GT25" s="33">
        <v>75.22</v>
      </c>
      <c r="GU25" s="33">
        <v>19.952999999999999</v>
      </c>
      <c r="GV25" s="33">
        <v>13.397</v>
      </c>
      <c r="GW25" s="33">
        <v>16.175999999999998</v>
      </c>
      <c r="GX25" s="33">
        <v>68.885999999999996</v>
      </c>
      <c r="GY25" s="33">
        <v>3.1669999999999998</v>
      </c>
      <c r="GZ25" s="33">
        <v>9.5009999999999994</v>
      </c>
      <c r="HA25" s="33">
        <v>23.603000000000002</v>
      </c>
      <c r="HB25" s="33">
        <v>75.22</v>
      </c>
      <c r="HC25" s="33">
        <v>75.22</v>
      </c>
      <c r="HD25" s="33">
        <v>39.590000000000003</v>
      </c>
      <c r="HE25" s="3">
        <f>_xlfn.XLOOKUP(HE$1,generator!$B$2:$B$295,generator!$L$2:$L$295,"ARGH")</f>
        <v>17.600000000000001</v>
      </c>
      <c r="HF25" s="3">
        <f>_xlfn.XLOOKUP(HF$1,generator!$B$2:$B$295,generator!$L$2:$L$295,"ARGH")</f>
        <v>285</v>
      </c>
      <c r="HG25" s="3">
        <f>_xlfn.XLOOKUP(HG$1,generator!$B$2:$B$295,generator!$L$2:$L$295,"ARGH")</f>
        <v>285</v>
      </c>
      <c r="HH25" s="3">
        <f>_xlfn.XLOOKUP(HH$1,generator!$B$2:$B$295,generator!$L$2:$L$295,"ARGH")</f>
        <v>285</v>
      </c>
      <c r="HI25" s="3">
        <f>_xlfn.XLOOKUP(HI$1,generator!$B$2:$B$295,generator!$L$2:$L$295,"ARGH")</f>
        <v>58</v>
      </c>
      <c r="HJ25" s="3">
        <f>_xlfn.XLOOKUP(HJ$1,generator!$B$2:$B$295,generator!$L$2:$L$295,"ARGH")</f>
        <v>58</v>
      </c>
      <c r="HK25" s="3">
        <f>_xlfn.XLOOKUP(HK$1,generator!$B$2:$B$295,generator!$L$2:$L$295,"ARGH")</f>
        <v>53</v>
      </c>
      <c r="HL25" s="3">
        <f>_xlfn.XLOOKUP(HL$1,generator!$B$2:$B$295,generator!$L$2:$L$295,"ARGH")</f>
        <v>58</v>
      </c>
      <c r="HM25" s="3">
        <f>_xlfn.XLOOKUP(HM$1,generator!$B$2:$B$295,generator!$L$2:$L$295,"ARGH")</f>
        <v>58</v>
      </c>
      <c r="HN25" s="3">
        <f>_xlfn.XLOOKUP(HN$1,generator!$B$2:$B$295,generator!$L$2:$L$295,"ARGH")</f>
        <v>52</v>
      </c>
      <c r="HO25" s="3">
        <f>_xlfn.XLOOKUP(HO$1,generator!$B$2:$B$295,generator!$L$2:$L$295,"ARGH")</f>
        <v>52</v>
      </c>
      <c r="HP25" s="3">
        <f>_xlfn.XLOOKUP(HP$1,generator!$B$2:$B$295,generator!$L$2:$L$295,"ARGH")</f>
        <v>2</v>
      </c>
      <c r="HQ25" s="3">
        <f>_xlfn.XLOOKUP(HQ$1,generator!$B$2:$B$295,generator!$L$2:$L$295,"ARGH")</f>
        <v>29.2</v>
      </c>
      <c r="HR25" s="3">
        <f>_xlfn.XLOOKUP(HR$1,generator!$B$2:$B$295,generator!$L$2:$L$295,"ARGH")</f>
        <v>29.2</v>
      </c>
      <c r="HS25" s="3">
        <f>_xlfn.XLOOKUP(HS$1,generator!$B$2:$B$295,generator!$L$2:$L$295,"ARGH")</f>
        <v>41.61</v>
      </c>
      <c r="HT25" s="3">
        <f>_xlfn.XLOOKUP(HT$1,generator!$B$2:$B$295,generator!$L$2:$L$295,"ARGH")</f>
        <v>41.61</v>
      </c>
      <c r="HU25" s="3">
        <f>_xlfn.XLOOKUP(HU$1,generator!$B$2:$B$295,generator!$L$2:$L$295,"ARGH")</f>
        <v>160</v>
      </c>
      <c r="HV25" s="3">
        <f>_xlfn.XLOOKUP(HV$1,generator!$B$2:$B$295,generator!$L$2:$L$295,"ARGH")</f>
        <v>260</v>
      </c>
      <c r="HW25" s="3">
        <f>_xlfn.XLOOKUP(HW$1,generator!$B$2:$B$295,generator!$L$2:$L$295,"ARGH")</f>
        <v>52</v>
      </c>
      <c r="HX25" s="3">
        <f>_xlfn.XLOOKUP(HX$1,generator!$B$2:$B$295,generator!$L$2:$L$295,"ARGH")</f>
        <v>52</v>
      </c>
      <c r="HY25" s="3">
        <f>_xlfn.XLOOKUP(HY$1,generator!$B$2:$B$295,generator!$L$2:$L$295,"ARGH")</f>
        <v>101</v>
      </c>
      <c r="HZ25" s="3">
        <f>_xlfn.XLOOKUP(HZ$1,generator!$B$2:$B$295,generator!$L$2:$L$295,"ARGH")</f>
        <v>50</v>
      </c>
      <c r="IA25" s="3">
        <f>_xlfn.XLOOKUP(IA$1,generator!$B$2:$B$295,generator!$L$2:$L$295,"ARGH")</f>
        <v>400</v>
      </c>
      <c r="IB25" s="3">
        <f>_xlfn.XLOOKUP(IB$1,generator!$B$2:$B$295,generator!$L$2:$L$295,"ARGH")</f>
        <v>342</v>
      </c>
      <c r="IC25" s="3">
        <f>_xlfn.XLOOKUP(IC$1,generator!$B$2:$B$295,generator!$L$2:$L$295,"ARGH")</f>
        <v>3.0209999999999999</v>
      </c>
      <c r="ID25" s="3">
        <f>_xlfn.XLOOKUP(ID$1,generator!$B$2:$B$295,generator!$L$2:$L$295,"ARGH")</f>
        <v>200</v>
      </c>
      <c r="IE25" s="3">
        <f>_xlfn.XLOOKUP(IE$1,generator!$B$2:$B$295,generator!$L$2:$L$295,"ARGH")</f>
        <v>404</v>
      </c>
      <c r="IF25" s="3">
        <f>_xlfn.XLOOKUP(IF$1,generator!$B$2:$B$295,generator!$L$2:$L$295,"ARGH")</f>
        <v>21</v>
      </c>
      <c r="IG25" s="3">
        <f>_xlfn.XLOOKUP(IG$1,generator!$B$2:$B$295,generator!$L$2:$L$295,"ARGH")</f>
        <v>22</v>
      </c>
      <c r="IH25" s="3">
        <f>_xlfn.XLOOKUP(IH$1,generator!$B$2:$B$295,generator!$L$2:$L$295,"ARGH")</f>
        <v>19</v>
      </c>
      <c r="II25" s="3">
        <f>_xlfn.XLOOKUP(II$1,generator!$B$2:$B$295,generator!$L$2:$L$295,"ARGH")</f>
        <v>24</v>
      </c>
      <c r="IJ25" s="3">
        <f>_xlfn.XLOOKUP(IJ$1,generator!$B$2:$B$295,generator!$L$2:$L$295,"ARGH")</f>
        <v>4.3</v>
      </c>
      <c r="IK25" s="3">
        <f>_xlfn.XLOOKUP(IK$1,generator!$B$2:$B$295,generator!$L$2:$L$295,"ARGH")</f>
        <v>8</v>
      </c>
      <c r="IL25" s="3">
        <f>_xlfn.XLOOKUP(IL$1,generator!$B$2:$B$295,generator!$L$2:$L$295,"ARGH")</f>
        <v>22.5</v>
      </c>
      <c r="IM25" s="3">
        <f>_xlfn.XLOOKUP(IM$1,generator!$B$2:$B$295,generator!$L$2:$L$295,"ARGH")</f>
        <v>22.5</v>
      </c>
      <c r="IN25" s="3">
        <f>_xlfn.XLOOKUP(IN$1,generator!$B$2:$B$295,generator!$L$2:$L$295,"ARGH")</f>
        <v>10</v>
      </c>
      <c r="IO25" s="3">
        <f>_xlfn.XLOOKUP(IO$1,generator!$B$2:$B$295,generator!$L$2:$L$295,"ARGH")</f>
        <v>10</v>
      </c>
      <c r="IP25" s="3">
        <f>_xlfn.XLOOKUP(IP$1,generator!$B$2:$B$295,generator!$L$2:$L$295,"ARGH")</f>
        <v>15</v>
      </c>
      <c r="IQ25" s="3">
        <f>_xlfn.XLOOKUP(IQ$1,generator!$B$2:$B$295,generator!$L$2:$L$295,"ARGH")</f>
        <v>4</v>
      </c>
      <c r="IR25" s="3">
        <f>_xlfn.XLOOKUP(IR$1,generator!$B$2:$B$295,generator!$L$2:$L$295,"ARGH")</f>
        <v>15</v>
      </c>
      <c r="IS25" s="3">
        <f>_xlfn.XLOOKUP(IS$1,generator!$B$2:$B$295,generator!$L$2:$L$295,"ARGH")</f>
        <v>15</v>
      </c>
      <c r="IT25" s="3">
        <f>_xlfn.XLOOKUP(IT$1,generator!$B$2:$B$295,generator!$L$2:$L$295,"ARGH")</f>
        <v>0.18</v>
      </c>
      <c r="IU25" s="3">
        <f>_xlfn.XLOOKUP(IU$1,generator!$B$2:$B$295,generator!$L$2:$L$295,"ARGH")</f>
        <v>4</v>
      </c>
      <c r="IV25" s="3">
        <f>_xlfn.XLOOKUP(IV$1,generator!$B$2:$B$295,generator!$L$2:$L$295,"ARGH")</f>
        <v>4</v>
      </c>
      <c r="IW25" s="3">
        <f>_xlfn.XLOOKUP(IW$1,generator!$B$2:$B$295,generator!$L$2:$L$295,"ARGH")</f>
        <v>90</v>
      </c>
      <c r="IX25" s="3">
        <f>_xlfn.XLOOKUP(IX$1,generator!$B$2:$B$295,generator!$L$2:$L$295,"ARGH")</f>
        <v>90</v>
      </c>
      <c r="IY25" s="3">
        <f>_xlfn.XLOOKUP(IY$1,generator!$B$2:$B$295,generator!$L$2:$L$295,"ARGH")</f>
        <v>90</v>
      </c>
      <c r="IZ25" s="3">
        <f>_xlfn.XLOOKUP(IZ$1,generator!$B$2:$B$295,generator!$L$2:$L$295,"ARGH")</f>
        <v>449</v>
      </c>
      <c r="JA25" s="3">
        <f>_xlfn.XLOOKUP(JA$1,generator!$B$2:$B$295,generator!$L$2:$L$295,"ARGH")</f>
        <v>83</v>
      </c>
      <c r="JB25" s="3">
        <f>_xlfn.XLOOKUP(JB$1,generator!$B$2:$B$295,generator!$L$2:$L$295,"ARGH")</f>
        <v>83</v>
      </c>
      <c r="JC25" s="3">
        <f>_xlfn.XLOOKUP(JC$1,generator!$B$2:$B$295,generator!$L$2:$L$295,"ARGH")</f>
        <v>247</v>
      </c>
      <c r="JD25" s="3">
        <f>_xlfn.XLOOKUP(JD$1,generator!$B$2:$B$295,generator!$L$2:$L$295,"ARGH")</f>
        <v>247</v>
      </c>
      <c r="JE25" s="3">
        <f>_xlfn.XLOOKUP(JE$1,generator!$B$2:$B$295,generator!$L$2:$L$295,"ARGH")</f>
        <v>425</v>
      </c>
      <c r="JF25" s="3">
        <f>_xlfn.XLOOKUP(JF$1,generator!$B$2:$B$295,generator!$L$2:$L$295,"ARGH")</f>
        <v>63.5</v>
      </c>
      <c r="JG25" s="3">
        <f>_xlfn.XLOOKUP(JG$1,generator!$B$2:$B$295,generator!$L$2:$L$295,"ARGH")</f>
        <v>17</v>
      </c>
      <c r="JH25" s="3">
        <f>_xlfn.XLOOKUP(JH$1,generator!$B$2:$B$295,generator!$L$2:$L$295,"ARGH")</f>
        <v>444</v>
      </c>
      <c r="JI25" s="3">
        <f>_xlfn.XLOOKUP(JI$1,generator!$B$2:$B$295,generator!$L$2:$L$295,"ARGH")</f>
        <v>464</v>
      </c>
      <c r="JJ25" s="3">
        <f>_xlfn.XLOOKUP(JJ$1,generator!$B$2:$B$295,generator!$L$2:$L$295,"ARGH")</f>
        <v>18.54</v>
      </c>
      <c r="JK25" s="3">
        <f>_xlfn.XLOOKUP(JK$1,generator!$B$2:$B$295,generator!$L$2:$L$295,"ARGH")</f>
        <v>18.54</v>
      </c>
      <c r="JL25" s="3">
        <f>_xlfn.XLOOKUP(JL$1,generator!$B$2:$B$295,generator!$L$2:$L$295,"ARGH")</f>
        <v>18.54</v>
      </c>
      <c r="JM25" s="3">
        <f>_xlfn.XLOOKUP(JM$1,generator!$B$2:$B$295,generator!$L$2:$L$295,"ARGH")</f>
        <v>18.54</v>
      </c>
      <c r="JN25" s="3">
        <f>_xlfn.XLOOKUP(JN$1,generator!$B$2:$B$295,generator!$L$2:$L$295,"ARGH")</f>
        <v>18.54</v>
      </c>
      <c r="JO25" s="3">
        <f>_xlfn.XLOOKUP(JO$1,generator!$B$2:$B$295,generator!$L$2:$L$295,"ARGH")</f>
        <v>18.54</v>
      </c>
      <c r="JP25" s="3">
        <f>_xlfn.XLOOKUP(JP$1,generator!$B$2:$B$295,generator!$L$2:$L$295,"ARGH")</f>
        <v>415</v>
      </c>
      <c r="JQ25" s="3">
        <f>_xlfn.XLOOKUP(JQ$1,generator!$B$2:$B$295,generator!$L$2:$L$295,"ARGH")</f>
        <v>63.5</v>
      </c>
      <c r="JR25" s="3">
        <f>_xlfn.XLOOKUP(JR$1,generator!$B$2:$B$295,generator!$L$2:$L$295,"ARGH")</f>
        <v>350</v>
      </c>
      <c r="JS25" s="3">
        <f>_xlfn.XLOOKUP(JS$1,generator!$B$2:$B$295,generator!$L$2:$L$295,"ARGH")</f>
        <v>350</v>
      </c>
      <c r="JT25" s="3">
        <f>_xlfn.XLOOKUP(JT$1,generator!$B$2:$B$295,generator!$L$2:$L$295,"ARGH")</f>
        <v>63.5</v>
      </c>
      <c r="JU25" s="3">
        <f>_xlfn.XLOOKUP(JU$1,generator!$B$2:$B$295,generator!$L$2:$L$295,"ARGH")</f>
        <v>61.5</v>
      </c>
      <c r="JV25" s="3">
        <f>_xlfn.XLOOKUP(JV$1,generator!$B$2:$B$295,generator!$L$2:$L$295,"ARGH")</f>
        <v>240</v>
      </c>
      <c r="JW25" s="3">
        <f>_xlfn.XLOOKUP(JW$1,generator!$B$2:$B$295,generator!$L$2:$L$295,"ARGH")</f>
        <v>236</v>
      </c>
      <c r="JX25" s="3">
        <f>_xlfn.XLOOKUP(JX$1,generator!$B$2:$B$295,generator!$L$2:$L$295,"ARGH")</f>
        <v>20</v>
      </c>
      <c r="JY25" s="3">
        <f>_xlfn.XLOOKUP(JY$1,generator!$B$2:$B$295,generator!$L$2:$L$295,"ARGH")</f>
        <v>118</v>
      </c>
      <c r="JZ25" s="3">
        <f>_xlfn.XLOOKUP(JZ$1,generator!$B$2:$B$295,generator!$L$2:$L$295,"ARGH")</f>
        <v>73</v>
      </c>
      <c r="KA25" s="3">
        <f>_xlfn.XLOOKUP(KA$1,generator!$B$2:$B$295,generator!$L$2:$L$295,"ARGH")</f>
        <v>73</v>
      </c>
      <c r="KB25" s="3">
        <f>_xlfn.XLOOKUP(KB$1,generator!$B$2:$B$295,generator!$L$2:$L$295,"ARGH")</f>
        <v>73</v>
      </c>
      <c r="KC25" s="3">
        <f>_xlfn.XLOOKUP(KC$1,generator!$B$2:$B$295,generator!$L$2:$L$295,"ARGH")</f>
        <v>73</v>
      </c>
    </row>
    <row r="26" spans="1:289" x14ac:dyDescent="0.3">
      <c r="A26" s="4" t="s">
        <v>3021</v>
      </c>
      <c r="B26" s="31">
        <v>396</v>
      </c>
      <c r="C26" s="31">
        <v>513.5</v>
      </c>
      <c r="D26" s="31">
        <v>442</v>
      </c>
      <c r="E26" s="33">
        <v>14.132</v>
      </c>
      <c r="F26" s="33">
        <v>30.356999999999999</v>
      </c>
      <c r="G26" s="33">
        <v>14.132</v>
      </c>
      <c r="H26" s="33">
        <v>23.553000000000001</v>
      </c>
      <c r="I26" s="33">
        <v>46.582000000000001</v>
      </c>
      <c r="J26" s="33">
        <v>43.442</v>
      </c>
      <c r="K26" s="33">
        <v>11.776</v>
      </c>
      <c r="L26" s="33">
        <v>9.0020000000000007</v>
      </c>
      <c r="M26" s="33">
        <v>7.851</v>
      </c>
      <c r="N26" s="33">
        <v>28.263000000000002</v>
      </c>
      <c r="O26" s="33">
        <v>2.8260000000000001</v>
      </c>
      <c r="P26" s="33">
        <v>13.398999999999999</v>
      </c>
      <c r="Q26" s="33">
        <v>18.423999999999999</v>
      </c>
      <c r="R26" s="33">
        <v>9.4209999999999994</v>
      </c>
      <c r="S26" s="33">
        <v>17.978999999999999</v>
      </c>
      <c r="T26" s="33">
        <v>12.561</v>
      </c>
      <c r="U26" s="33">
        <v>21.983000000000001</v>
      </c>
      <c r="V26" s="33">
        <v>11.07</v>
      </c>
      <c r="W26" s="33">
        <v>12.038</v>
      </c>
      <c r="X26" s="33">
        <v>16.957999999999998</v>
      </c>
      <c r="Y26" s="33">
        <v>8.7929999999999993</v>
      </c>
      <c r="Z26" s="33">
        <v>6.2279999999999998</v>
      </c>
      <c r="AA26" s="33">
        <v>5.6529999999999996</v>
      </c>
      <c r="AB26" s="33">
        <v>29.834</v>
      </c>
      <c r="AC26" s="33">
        <v>34.387</v>
      </c>
      <c r="AD26" s="33">
        <v>12.143000000000001</v>
      </c>
      <c r="AE26" s="33">
        <v>10.468</v>
      </c>
      <c r="AF26" s="33">
        <v>29.518999999999998</v>
      </c>
      <c r="AG26" s="33">
        <v>10.468</v>
      </c>
      <c r="AH26" s="33">
        <v>6.2809999999999997</v>
      </c>
      <c r="AI26" s="33">
        <v>7.0129999999999999</v>
      </c>
      <c r="AJ26" s="33">
        <v>12.561</v>
      </c>
      <c r="AK26" s="33">
        <v>4.4749999999999996</v>
      </c>
      <c r="AL26" s="33">
        <v>19.355</v>
      </c>
      <c r="AM26" s="33">
        <v>24.861000000000001</v>
      </c>
      <c r="AN26" s="33">
        <v>10.468</v>
      </c>
      <c r="AO26" s="33">
        <v>7.2229999999999999</v>
      </c>
      <c r="AP26" s="33">
        <v>28.42</v>
      </c>
      <c r="AQ26" s="33">
        <v>9.7870000000000008</v>
      </c>
      <c r="AR26" s="33">
        <v>9.1590000000000007</v>
      </c>
      <c r="AS26" s="33">
        <v>27.216999999999999</v>
      </c>
      <c r="AT26" s="33">
        <v>7.3970000000000002</v>
      </c>
      <c r="AU26" s="33">
        <v>19.888999999999999</v>
      </c>
      <c r="AV26" s="33">
        <v>17.010000000000002</v>
      </c>
      <c r="AW26" s="33">
        <v>17.271999999999998</v>
      </c>
      <c r="AX26" s="33">
        <v>9.5779999999999994</v>
      </c>
      <c r="AY26" s="33">
        <v>17.324000000000002</v>
      </c>
      <c r="AZ26" s="33">
        <v>19.811</v>
      </c>
      <c r="BA26" s="33">
        <v>7.3280000000000003</v>
      </c>
      <c r="BB26" s="33">
        <v>24.076000000000001</v>
      </c>
      <c r="BC26" s="33">
        <v>10.468</v>
      </c>
      <c r="BD26" s="33">
        <v>6.2809999999999997</v>
      </c>
      <c r="BE26" s="33">
        <v>6.0190000000000001</v>
      </c>
      <c r="BF26" s="33">
        <v>47.106000000000002</v>
      </c>
      <c r="BG26" s="33">
        <v>7.851</v>
      </c>
      <c r="BH26" s="33">
        <v>13.085000000000001</v>
      </c>
      <c r="BI26" s="33">
        <v>10.991</v>
      </c>
      <c r="BJ26" s="33">
        <v>21.983000000000001</v>
      </c>
      <c r="BK26" s="33">
        <v>6.2809999999999997</v>
      </c>
      <c r="BL26" s="33">
        <v>22.244</v>
      </c>
      <c r="BM26" s="33">
        <v>4.4489999999999998</v>
      </c>
      <c r="BN26" s="33">
        <v>15.702</v>
      </c>
      <c r="BO26" s="33">
        <v>22.318000000000001</v>
      </c>
      <c r="BP26" s="33">
        <v>59.771999999999998</v>
      </c>
      <c r="BQ26" s="33">
        <v>18.841999999999999</v>
      </c>
      <c r="BR26" s="33">
        <v>28.263000000000002</v>
      </c>
      <c r="BS26" s="33">
        <v>9.1590000000000007</v>
      </c>
      <c r="BT26" s="33">
        <v>18.056999999999999</v>
      </c>
      <c r="BU26" s="33">
        <v>2.512</v>
      </c>
      <c r="BV26" s="33">
        <v>5.391</v>
      </c>
      <c r="BW26" s="33">
        <v>7.1079999999999997</v>
      </c>
      <c r="BX26" s="33">
        <v>5.7839999999999998</v>
      </c>
      <c r="BY26" s="33">
        <v>13.085000000000001</v>
      </c>
      <c r="BZ26" s="33">
        <v>21.355</v>
      </c>
      <c r="CA26" s="33">
        <v>31.141999999999999</v>
      </c>
      <c r="CB26" s="33">
        <v>17.795000000000002</v>
      </c>
      <c r="CC26" s="33">
        <v>14.917</v>
      </c>
      <c r="CD26" s="33">
        <v>20.097999999999999</v>
      </c>
      <c r="CE26" s="33">
        <v>13.085000000000001</v>
      </c>
      <c r="CF26" s="33">
        <v>8.4269999999999996</v>
      </c>
      <c r="CG26" s="33">
        <v>9.1590000000000007</v>
      </c>
      <c r="CH26" s="33">
        <v>14.629</v>
      </c>
      <c r="CI26" s="33">
        <v>6.83</v>
      </c>
      <c r="CJ26" s="33">
        <v>2.3290000000000002</v>
      </c>
      <c r="CK26" s="33">
        <v>12.98</v>
      </c>
      <c r="CL26" s="33">
        <v>8.8450000000000006</v>
      </c>
      <c r="CM26" s="33">
        <v>7.851</v>
      </c>
      <c r="CN26" s="33">
        <v>30.998000000000001</v>
      </c>
      <c r="CO26" s="33">
        <v>12.3</v>
      </c>
      <c r="CP26" s="33">
        <v>24.495000000000001</v>
      </c>
      <c r="CQ26" s="33">
        <v>16.748999999999999</v>
      </c>
      <c r="CR26" s="33">
        <v>13.608000000000001</v>
      </c>
      <c r="CS26" s="33">
        <v>11.515000000000001</v>
      </c>
      <c r="CT26" s="33">
        <v>15.597</v>
      </c>
      <c r="CU26" s="33">
        <v>7.2229999999999999</v>
      </c>
      <c r="CV26" s="33">
        <v>13.242000000000001</v>
      </c>
      <c r="CW26" s="33">
        <v>14.654999999999999</v>
      </c>
      <c r="CX26" s="33">
        <v>6.5419999999999998</v>
      </c>
      <c r="CY26" s="33">
        <v>17.873999999999999</v>
      </c>
      <c r="CZ26" s="33">
        <v>6.2809999999999997</v>
      </c>
      <c r="DA26" s="33">
        <v>15.702</v>
      </c>
      <c r="DB26" s="33">
        <v>9.84</v>
      </c>
      <c r="DC26" s="33">
        <v>7.38</v>
      </c>
      <c r="DD26" s="33">
        <v>8.4269999999999996</v>
      </c>
      <c r="DE26" s="33">
        <v>6.5419999999999998</v>
      </c>
      <c r="DF26" s="33">
        <v>11.305</v>
      </c>
      <c r="DG26" s="33">
        <v>18.815999999999999</v>
      </c>
      <c r="DH26" s="33">
        <v>39.255000000000003</v>
      </c>
      <c r="DI26" s="33">
        <v>18.841999999999999</v>
      </c>
      <c r="DJ26" s="33">
        <v>7.851</v>
      </c>
      <c r="DK26" s="33">
        <v>10.834</v>
      </c>
      <c r="DL26" s="33">
        <v>19.391999999999999</v>
      </c>
      <c r="DM26" s="33">
        <v>9.4209999999999994</v>
      </c>
      <c r="DN26" s="33">
        <v>52.338999999999999</v>
      </c>
      <c r="DO26" s="33">
        <v>17.585999999999999</v>
      </c>
      <c r="DP26" s="33">
        <v>52.863</v>
      </c>
      <c r="DQ26" s="33">
        <v>1.2250000000000001</v>
      </c>
      <c r="DR26" s="33">
        <v>47.734000000000002</v>
      </c>
      <c r="DS26" s="33">
        <v>8.4269999999999996</v>
      </c>
      <c r="DT26" s="33">
        <v>15.754</v>
      </c>
      <c r="DU26" s="33">
        <v>7.851</v>
      </c>
      <c r="DV26" s="33">
        <v>6.218</v>
      </c>
      <c r="DW26" s="33">
        <v>7.3280000000000003</v>
      </c>
      <c r="DX26" s="33">
        <v>20.36</v>
      </c>
      <c r="DY26" s="33">
        <v>13.608000000000001</v>
      </c>
      <c r="DZ26" s="33">
        <v>6.1239999999999997</v>
      </c>
      <c r="EA26" s="33">
        <v>20.936</v>
      </c>
      <c r="EB26" s="33">
        <v>18.841999999999999</v>
      </c>
      <c r="EC26" s="33">
        <v>12.038</v>
      </c>
      <c r="ED26" s="33">
        <v>15.074</v>
      </c>
      <c r="EE26" s="33">
        <v>25.542000000000002</v>
      </c>
      <c r="EF26" s="33">
        <v>7.851</v>
      </c>
      <c r="EG26" s="33">
        <v>4.8150000000000004</v>
      </c>
      <c r="EH26" s="33">
        <v>21.669</v>
      </c>
      <c r="EI26" s="33">
        <v>7.7460000000000004</v>
      </c>
      <c r="EJ26" s="33">
        <v>4.8150000000000004</v>
      </c>
      <c r="EK26" s="33">
        <v>7.851</v>
      </c>
      <c r="EL26" s="33">
        <v>12.561</v>
      </c>
      <c r="EM26" s="33">
        <v>16.853000000000002</v>
      </c>
      <c r="EN26" s="33">
        <v>9.6300000000000008</v>
      </c>
      <c r="EO26" s="33">
        <v>10.468</v>
      </c>
      <c r="EP26" s="33">
        <v>7.38</v>
      </c>
      <c r="EQ26" s="33">
        <v>18.056999999999999</v>
      </c>
      <c r="ER26" s="33">
        <v>5.4960000000000004</v>
      </c>
      <c r="ES26" s="33">
        <v>6.0190000000000001</v>
      </c>
      <c r="ET26" s="33">
        <v>12.09</v>
      </c>
      <c r="EU26" s="33">
        <v>44.468000000000004</v>
      </c>
      <c r="EV26" s="33">
        <v>9.0289999999999999</v>
      </c>
      <c r="EW26" s="33">
        <v>41.872</v>
      </c>
      <c r="EX26" s="33">
        <v>47.027000000000001</v>
      </c>
      <c r="EY26" s="33">
        <v>2.8260000000000001</v>
      </c>
      <c r="EZ26" s="33">
        <v>3.8</v>
      </c>
      <c r="FA26" s="33">
        <v>3.109</v>
      </c>
      <c r="FB26" s="33">
        <v>10.468</v>
      </c>
      <c r="FC26" s="33">
        <v>14.917</v>
      </c>
      <c r="FD26" s="33">
        <v>10.468</v>
      </c>
      <c r="FE26" s="33">
        <v>14.446</v>
      </c>
      <c r="FF26" s="33">
        <v>9.4209999999999994</v>
      </c>
      <c r="FG26" s="33">
        <v>7.851</v>
      </c>
      <c r="FH26" s="33">
        <v>6.5419999999999998</v>
      </c>
      <c r="FI26" s="33">
        <v>25.123000000000001</v>
      </c>
      <c r="FJ26" s="33">
        <v>16.026</v>
      </c>
      <c r="FK26" s="33">
        <v>23.213000000000001</v>
      </c>
      <c r="FL26" s="33">
        <v>7.7460000000000004</v>
      </c>
      <c r="FM26" s="33">
        <v>21.407</v>
      </c>
      <c r="FN26" s="33">
        <v>10.73</v>
      </c>
      <c r="FO26" s="33">
        <v>38.521999999999998</v>
      </c>
      <c r="FP26" s="33">
        <v>54.956000000000003</v>
      </c>
      <c r="FQ26" s="33">
        <v>10.048999999999999</v>
      </c>
      <c r="FR26" s="33">
        <v>6.0190000000000001</v>
      </c>
      <c r="FS26" s="33">
        <v>7.2229999999999999</v>
      </c>
      <c r="FT26" s="33">
        <v>9.0289999999999999</v>
      </c>
      <c r="FU26" s="33">
        <v>36.637999999999998</v>
      </c>
      <c r="FV26" s="33">
        <v>6.9610000000000003</v>
      </c>
      <c r="FW26" s="33">
        <v>7.9450000000000003</v>
      </c>
      <c r="FX26" s="33">
        <v>7.851</v>
      </c>
      <c r="FY26" s="33">
        <v>7.2229999999999999</v>
      </c>
      <c r="FZ26" s="33">
        <v>7.2229999999999999</v>
      </c>
      <c r="GA26" s="33">
        <v>7.851</v>
      </c>
      <c r="GB26" s="33">
        <v>6.5419999999999998</v>
      </c>
      <c r="GC26" s="33">
        <v>3.4540000000000002</v>
      </c>
      <c r="GD26" s="33">
        <v>6.5949999999999998</v>
      </c>
      <c r="GE26" s="33">
        <v>7.2229999999999999</v>
      </c>
      <c r="GF26" s="33">
        <v>54.956000000000003</v>
      </c>
      <c r="GG26" s="33">
        <v>33.497</v>
      </c>
      <c r="GH26" s="33">
        <v>3.14</v>
      </c>
      <c r="GI26" s="33">
        <v>4.7110000000000003</v>
      </c>
      <c r="GJ26" s="33">
        <v>6.2279999999999998</v>
      </c>
      <c r="GK26" s="33">
        <v>14.132</v>
      </c>
      <c r="GL26" s="33">
        <v>10.468</v>
      </c>
      <c r="GM26" s="33">
        <v>8.5449999999999999</v>
      </c>
      <c r="GN26" s="33">
        <v>51.271000000000001</v>
      </c>
      <c r="GO26" s="33">
        <v>17.945</v>
      </c>
      <c r="GP26" s="33">
        <v>72.632999999999996</v>
      </c>
      <c r="GQ26" s="33">
        <v>11.962999999999999</v>
      </c>
      <c r="GR26" s="33">
        <v>101.687</v>
      </c>
      <c r="GS26" s="33">
        <v>27.003</v>
      </c>
      <c r="GT26" s="33">
        <v>81.177999999999997</v>
      </c>
      <c r="GU26" s="33">
        <v>21.533999999999999</v>
      </c>
      <c r="GV26" s="33">
        <v>14.458</v>
      </c>
      <c r="GW26" s="33">
        <v>17.457999999999998</v>
      </c>
      <c r="GX26" s="33">
        <v>74.341999999999999</v>
      </c>
      <c r="GY26" s="33">
        <v>3.4180000000000001</v>
      </c>
      <c r="GZ26" s="33">
        <v>10.254</v>
      </c>
      <c r="HA26" s="33">
        <v>25.472999999999999</v>
      </c>
      <c r="HB26" s="33">
        <v>81.177999999999997</v>
      </c>
      <c r="HC26" s="33">
        <v>81.177999999999997</v>
      </c>
      <c r="HD26" s="33">
        <v>42.725000000000001</v>
      </c>
      <c r="HE26" s="3">
        <f>_xlfn.XLOOKUP(HE$1,generator!$B$2:$B$295,generator!$L$2:$L$295,"ARGH")</f>
        <v>17.600000000000001</v>
      </c>
      <c r="HF26" s="3">
        <f>_xlfn.XLOOKUP(HF$1,generator!$B$2:$B$295,generator!$L$2:$L$295,"ARGH")</f>
        <v>285</v>
      </c>
      <c r="HG26" s="3">
        <f>_xlfn.XLOOKUP(HG$1,generator!$B$2:$B$295,generator!$L$2:$L$295,"ARGH")</f>
        <v>285</v>
      </c>
      <c r="HH26" s="3">
        <f>_xlfn.XLOOKUP(HH$1,generator!$B$2:$B$295,generator!$L$2:$L$295,"ARGH")</f>
        <v>285</v>
      </c>
      <c r="HI26" s="3">
        <f>_xlfn.XLOOKUP(HI$1,generator!$B$2:$B$295,generator!$L$2:$L$295,"ARGH")</f>
        <v>58</v>
      </c>
      <c r="HJ26" s="3">
        <f>_xlfn.XLOOKUP(HJ$1,generator!$B$2:$B$295,generator!$L$2:$L$295,"ARGH")</f>
        <v>58</v>
      </c>
      <c r="HK26" s="3">
        <f>_xlfn.XLOOKUP(HK$1,generator!$B$2:$B$295,generator!$L$2:$L$295,"ARGH")</f>
        <v>53</v>
      </c>
      <c r="HL26" s="3">
        <f>_xlfn.XLOOKUP(HL$1,generator!$B$2:$B$295,generator!$L$2:$L$295,"ARGH")</f>
        <v>58</v>
      </c>
      <c r="HM26" s="3">
        <f>_xlfn.XLOOKUP(HM$1,generator!$B$2:$B$295,generator!$L$2:$L$295,"ARGH")</f>
        <v>58</v>
      </c>
      <c r="HN26" s="3">
        <f>_xlfn.XLOOKUP(HN$1,generator!$B$2:$B$295,generator!$L$2:$L$295,"ARGH")</f>
        <v>52</v>
      </c>
      <c r="HO26" s="3">
        <f>_xlfn.XLOOKUP(HO$1,generator!$B$2:$B$295,generator!$L$2:$L$295,"ARGH")</f>
        <v>52</v>
      </c>
      <c r="HP26" s="3">
        <f>_xlfn.XLOOKUP(HP$1,generator!$B$2:$B$295,generator!$L$2:$L$295,"ARGH")</f>
        <v>2</v>
      </c>
      <c r="HQ26" s="3">
        <f>_xlfn.XLOOKUP(HQ$1,generator!$B$2:$B$295,generator!$L$2:$L$295,"ARGH")</f>
        <v>29.2</v>
      </c>
      <c r="HR26" s="3">
        <f>_xlfn.XLOOKUP(HR$1,generator!$B$2:$B$295,generator!$L$2:$L$295,"ARGH")</f>
        <v>29.2</v>
      </c>
      <c r="HS26" s="3">
        <f>_xlfn.XLOOKUP(HS$1,generator!$B$2:$B$295,generator!$L$2:$L$295,"ARGH")</f>
        <v>41.61</v>
      </c>
      <c r="HT26" s="3">
        <f>_xlfn.XLOOKUP(HT$1,generator!$B$2:$B$295,generator!$L$2:$L$295,"ARGH")</f>
        <v>41.61</v>
      </c>
      <c r="HU26" s="3">
        <f>_xlfn.XLOOKUP(HU$1,generator!$B$2:$B$295,generator!$L$2:$L$295,"ARGH")</f>
        <v>160</v>
      </c>
      <c r="HV26" s="3">
        <f>_xlfn.XLOOKUP(HV$1,generator!$B$2:$B$295,generator!$L$2:$L$295,"ARGH")</f>
        <v>260</v>
      </c>
      <c r="HW26" s="3">
        <f>_xlfn.XLOOKUP(HW$1,generator!$B$2:$B$295,generator!$L$2:$L$295,"ARGH")</f>
        <v>52</v>
      </c>
      <c r="HX26" s="3">
        <f>_xlfn.XLOOKUP(HX$1,generator!$B$2:$B$295,generator!$L$2:$L$295,"ARGH")</f>
        <v>52</v>
      </c>
      <c r="HY26" s="3">
        <f>_xlfn.XLOOKUP(HY$1,generator!$B$2:$B$295,generator!$L$2:$L$295,"ARGH")</f>
        <v>101</v>
      </c>
      <c r="HZ26" s="3">
        <f>_xlfn.XLOOKUP(HZ$1,generator!$B$2:$B$295,generator!$L$2:$L$295,"ARGH")</f>
        <v>50</v>
      </c>
      <c r="IA26" s="3">
        <f>_xlfn.XLOOKUP(IA$1,generator!$B$2:$B$295,generator!$L$2:$L$295,"ARGH")</f>
        <v>400</v>
      </c>
      <c r="IB26" s="3">
        <f>_xlfn.XLOOKUP(IB$1,generator!$B$2:$B$295,generator!$L$2:$L$295,"ARGH")</f>
        <v>342</v>
      </c>
      <c r="IC26" s="3">
        <f>_xlfn.XLOOKUP(IC$1,generator!$B$2:$B$295,generator!$L$2:$L$295,"ARGH")</f>
        <v>3.0209999999999999</v>
      </c>
      <c r="ID26" s="3">
        <f>_xlfn.XLOOKUP(ID$1,generator!$B$2:$B$295,generator!$L$2:$L$295,"ARGH")</f>
        <v>200</v>
      </c>
      <c r="IE26" s="3">
        <f>_xlfn.XLOOKUP(IE$1,generator!$B$2:$B$295,generator!$L$2:$L$295,"ARGH")</f>
        <v>404</v>
      </c>
      <c r="IF26" s="3">
        <f>_xlfn.XLOOKUP(IF$1,generator!$B$2:$B$295,generator!$L$2:$L$295,"ARGH")</f>
        <v>21</v>
      </c>
      <c r="IG26" s="3">
        <f>_xlfn.XLOOKUP(IG$1,generator!$B$2:$B$295,generator!$L$2:$L$295,"ARGH")</f>
        <v>22</v>
      </c>
      <c r="IH26" s="3">
        <f>_xlfn.XLOOKUP(IH$1,generator!$B$2:$B$295,generator!$L$2:$L$295,"ARGH")</f>
        <v>19</v>
      </c>
      <c r="II26" s="3">
        <f>_xlfn.XLOOKUP(II$1,generator!$B$2:$B$295,generator!$L$2:$L$295,"ARGH")</f>
        <v>24</v>
      </c>
      <c r="IJ26" s="3">
        <f>_xlfn.XLOOKUP(IJ$1,generator!$B$2:$B$295,generator!$L$2:$L$295,"ARGH")</f>
        <v>4.3</v>
      </c>
      <c r="IK26" s="3">
        <f>_xlfn.XLOOKUP(IK$1,generator!$B$2:$B$295,generator!$L$2:$L$295,"ARGH")</f>
        <v>8</v>
      </c>
      <c r="IL26" s="3">
        <f>_xlfn.XLOOKUP(IL$1,generator!$B$2:$B$295,generator!$L$2:$L$295,"ARGH")</f>
        <v>22.5</v>
      </c>
      <c r="IM26" s="3">
        <f>_xlfn.XLOOKUP(IM$1,generator!$B$2:$B$295,generator!$L$2:$L$295,"ARGH")</f>
        <v>22.5</v>
      </c>
      <c r="IN26" s="3">
        <f>_xlfn.XLOOKUP(IN$1,generator!$B$2:$B$295,generator!$L$2:$L$295,"ARGH")</f>
        <v>10</v>
      </c>
      <c r="IO26" s="3">
        <f>_xlfn.XLOOKUP(IO$1,generator!$B$2:$B$295,generator!$L$2:$L$295,"ARGH")</f>
        <v>10</v>
      </c>
      <c r="IP26" s="3">
        <f>_xlfn.XLOOKUP(IP$1,generator!$B$2:$B$295,generator!$L$2:$L$295,"ARGH")</f>
        <v>15</v>
      </c>
      <c r="IQ26" s="3">
        <f>_xlfn.XLOOKUP(IQ$1,generator!$B$2:$B$295,generator!$L$2:$L$295,"ARGH")</f>
        <v>4</v>
      </c>
      <c r="IR26" s="3">
        <f>_xlfn.XLOOKUP(IR$1,generator!$B$2:$B$295,generator!$L$2:$L$295,"ARGH")</f>
        <v>15</v>
      </c>
      <c r="IS26" s="3">
        <f>_xlfn.XLOOKUP(IS$1,generator!$B$2:$B$295,generator!$L$2:$L$295,"ARGH")</f>
        <v>15</v>
      </c>
      <c r="IT26" s="3">
        <f>_xlfn.XLOOKUP(IT$1,generator!$B$2:$B$295,generator!$L$2:$L$295,"ARGH")</f>
        <v>0.18</v>
      </c>
      <c r="IU26" s="3">
        <f>_xlfn.XLOOKUP(IU$1,generator!$B$2:$B$295,generator!$L$2:$L$295,"ARGH")</f>
        <v>4</v>
      </c>
      <c r="IV26" s="3">
        <f>_xlfn.XLOOKUP(IV$1,generator!$B$2:$B$295,generator!$L$2:$L$295,"ARGH")</f>
        <v>4</v>
      </c>
      <c r="IW26" s="3">
        <f>_xlfn.XLOOKUP(IW$1,generator!$B$2:$B$295,generator!$L$2:$L$295,"ARGH")</f>
        <v>90</v>
      </c>
      <c r="IX26" s="3">
        <f>_xlfn.XLOOKUP(IX$1,generator!$B$2:$B$295,generator!$L$2:$L$295,"ARGH")</f>
        <v>90</v>
      </c>
      <c r="IY26" s="3">
        <f>_xlfn.XLOOKUP(IY$1,generator!$B$2:$B$295,generator!$L$2:$L$295,"ARGH")</f>
        <v>90</v>
      </c>
      <c r="IZ26" s="3">
        <f>_xlfn.XLOOKUP(IZ$1,generator!$B$2:$B$295,generator!$L$2:$L$295,"ARGH")</f>
        <v>449</v>
      </c>
      <c r="JA26" s="3">
        <f>_xlfn.XLOOKUP(JA$1,generator!$B$2:$B$295,generator!$L$2:$L$295,"ARGH")</f>
        <v>83</v>
      </c>
      <c r="JB26" s="3">
        <f>_xlfn.XLOOKUP(JB$1,generator!$B$2:$B$295,generator!$L$2:$L$295,"ARGH")</f>
        <v>83</v>
      </c>
      <c r="JC26" s="3">
        <f>_xlfn.XLOOKUP(JC$1,generator!$B$2:$B$295,generator!$L$2:$L$295,"ARGH")</f>
        <v>247</v>
      </c>
      <c r="JD26" s="3">
        <f>_xlfn.XLOOKUP(JD$1,generator!$B$2:$B$295,generator!$L$2:$L$295,"ARGH")</f>
        <v>247</v>
      </c>
      <c r="JE26" s="3">
        <f>_xlfn.XLOOKUP(JE$1,generator!$B$2:$B$295,generator!$L$2:$L$295,"ARGH")</f>
        <v>425</v>
      </c>
      <c r="JF26" s="3">
        <f>_xlfn.XLOOKUP(JF$1,generator!$B$2:$B$295,generator!$L$2:$L$295,"ARGH")</f>
        <v>63.5</v>
      </c>
      <c r="JG26" s="3">
        <f>_xlfn.XLOOKUP(JG$1,generator!$B$2:$B$295,generator!$L$2:$L$295,"ARGH")</f>
        <v>17</v>
      </c>
      <c r="JH26" s="3">
        <f>_xlfn.XLOOKUP(JH$1,generator!$B$2:$B$295,generator!$L$2:$L$295,"ARGH")</f>
        <v>444</v>
      </c>
      <c r="JI26" s="3">
        <f>_xlfn.XLOOKUP(JI$1,generator!$B$2:$B$295,generator!$L$2:$L$295,"ARGH")</f>
        <v>464</v>
      </c>
      <c r="JJ26" s="3">
        <f>_xlfn.XLOOKUP(JJ$1,generator!$B$2:$B$295,generator!$L$2:$L$295,"ARGH")</f>
        <v>18.54</v>
      </c>
      <c r="JK26" s="3">
        <f>_xlfn.XLOOKUP(JK$1,generator!$B$2:$B$295,generator!$L$2:$L$295,"ARGH")</f>
        <v>18.54</v>
      </c>
      <c r="JL26" s="3">
        <f>_xlfn.XLOOKUP(JL$1,generator!$B$2:$B$295,generator!$L$2:$L$295,"ARGH")</f>
        <v>18.54</v>
      </c>
      <c r="JM26" s="3">
        <f>_xlfn.XLOOKUP(JM$1,generator!$B$2:$B$295,generator!$L$2:$L$295,"ARGH")</f>
        <v>18.54</v>
      </c>
      <c r="JN26" s="3">
        <f>_xlfn.XLOOKUP(JN$1,generator!$B$2:$B$295,generator!$L$2:$L$295,"ARGH")</f>
        <v>18.54</v>
      </c>
      <c r="JO26" s="3">
        <f>_xlfn.XLOOKUP(JO$1,generator!$B$2:$B$295,generator!$L$2:$L$295,"ARGH")</f>
        <v>18.54</v>
      </c>
      <c r="JP26" s="3">
        <f>_xlfn.XLOOKUP(JP$1,generator!$B$2:$B$295,generator!$L$2:$L$295,"ARGH")</f>
        <v>415</v>
      </c>
      <c r="JQ26" s="3">
        <f>_xlfn.XLOOKUP(JQ$1,generator!$B$2:$B$295,generator!$L$2:$L$295,"ARGH")</f>
        <v>63.5</v>
      </c>
      <c r="JR26" s="3">
        <f>_xlfn.XLOOKUP(JR$1,generator!$B$2:$B$295,generator!$L$2:$L$295,"ARGH")</f>
        <v>350</v>
      </c>
      <c r="JS26" s="3">
        <f>_xlfn.XLOOKUP(JS$1,generator!$B$2:$B$295,generator!$L$2:$L$295,"ARGH")</f>
        <v>350</v>
      </c>
      <c r="JT26" s="3">
        <f>_xlfn.XLOOKUP(JT$1,generator!$B$2:$B$295,generator!$L$2:$L$295,"ARGH")</f>
        <v>63.5</v>
      </c>
      <c r="JU26" s="3">
        <f>_xlfn.XLOOKUP(JU$1,generator!$B$2:$B$295,generator!$L$2:$L$295,"ARGH")</f>
        <v>61.5</v>
      </c>
      <c r="JV26" s="3">
        <f>_xlfn.XLOOKUP(JV$1,generator!$B$2:$B$295,generator!$L$2:$L$295,"ARGH")</f>
        <v>240</v>
      </c>
      <c r="JW26" s="3">
        <f>_xlfn.XLOOKUP(JW$1,generator!$B$2:$B$295,generator!$L$2:$L$295,"ARGH")</f>
        <v>236</v>
      </c>
      <c r="JX26" s="3">
        <f>_xlfn.XLOOKUP(JX$1,generator!$B$2:$B$295,generator!$L$2:$L$295,"ARGH")</f>
        <v>20</v>
      </c>
      <c r="JY26" s="3">
        <f>_xlfn.XLOOKUP(JY$1,generator!$B$2:$B$295,generator!$L$2:$L$295,"ARGH")</f>
        <v>118</v>
      </c>
      <c r="JZ26" s="3">
        <f>_xlfn.XLOOKUP(JZ$1,generator!$B$2:$B$295,generator!$L$2:$L$295,"ARGH")</f>
        <v>73</v>
      </c>
      <c r="KA26" s="3">
        <f>_xlfn.XLOOKUP(KA$1,generator!$B$2:$B$295,generator!$L$2:$L$295,"ARGH")</f>
        <v>73</v>
      </c>
      <c r="KB26" s="3">
        <f>_xlfn.XLOOKUP(KB$1,generator!$B$2:$B$295,generator!$L$2:$L$295,"ARGH")</f>
        <v>73</v>
      </c>
      <c r="KC26" s="3">
        <f>_xlfn.XLOOKUP(KC$1,generator!$B$2:$B$295,generator!$L$2:$L$295,"ARGH")</f>
        <v>73</v>
      </c>
    </row>
    <row r="27" spans="1:289" x14ac:dyDescent="0.3">
      <c r="A27" s="4" t="s">
        <v>3022</v>
      </c>
      <c r="B27" s="31">
        <v>406.5</v>
      </c>
      <c r="C27" s="31">
        <v>513</v>
      </c>
      <c r="D27" s="31">
        <v>442</v>
      </c>
      <c r="E27" s="33">
        <v>14.212</v>
      </c>
      <c r="F27" s="33">
        <v>30.529</v>
      </c>
      <c r="G27" s="33">
        <v>14.212</v>
      </c>
      <c r="H27" s="33">
        <v>23.686</v>
      </c>
      <c r="I27" s="33">
        <v>46.845999999999997</v>
      </c>
      <c r="J27" s="33">
        <v>43.688000000000002</v>
      </c>
      <c r="K27" s="33">
        <v>11.843</v>
      </c>
      <c r="L27" s="33">
        <v>9.0530000000000008</v>
      </c>
      <c r="M27" s="33">
        <v>7.8949999999999996</v>
      </c>
      <c r="N27" s="33">
        <v>28.422999999999998</v>
      </c>
      <c r="O27" s="33">
        <v>2.8420000000000001</v>
      </c>
      <c r="P27" s="33">
        <v>13.475</v>
      </c>
      <c r="Q27" s="33">
        <v>18.527999999999999</v>
      </c>
      <c r="R27" s="33">
        <v>9.4740000000000002</v>
      </c>
      <c r="S27" s="33">
        <v>18.079999999999998</v>
      </c>
      <c r="T27" s="33">
        <v>12.632999999999999</v>
      </c>
      <c r="U27" s="33">
        <v>22.106999999999999</v>
      </c>
      <c r="V27" s="33">
        <v>11.132</v>
      </c>
      <c r="W27" s="33">
        <v>12.106</v>
      </c>
      <c r="X27" s="33">
        <v>17.053999999999998</v>
      </c>
      <c r="Y27" s="33">
        <v>8.843</v>
      </c>
      <c r="Z27" s="33">
        <v>6.2640000000000002</v>
      </c>
      <c r="AA27" s="33">
        <v>5.6849999999999996</v>
      </c>
      <c r="AB27" s="33">
        <v>30.001999999999999</v>
      </c>
      <c r="AC27" s="33">
        <v>34.582000000000001</v>
      </c>
      <c r="AD27" s="33">
        <v>12.211</v>
      </c>
      <c r="AE27" s="33">
        <v>10.526999999999999</v>
      </c>
      <c r="AF27" s="33">
        <v>29.686</v>
      </c>
      <c r="AG27" s="33">
        <v>10.526999999999999</v>
      </c>
      <c r="AH27" s="33">
        <v>6.3159999999999998</v>
      </c>
      <c r="AI27" s="33">
        <v>7.0529999999999999</v>
      </c>
      <c r="AJ27" s="33">
        <v>12.632999999999999</v>
      </c>
      <c r="AK27" s="33">
        <v>4.5</v>
      </c>
      <c r="AL27" s="33">
        <v>19.465</v>
      </c>
      <c r="AM27" s="33">
        <v>25.001999999999999</v>
      </c>
      <c r="AN27" s="33">
        <v>10.526999999999999</v>
      </c>
      <c r="AO27" s="33">
        <v>7.2640000000000002</v>
      </c>
      <c r="AP27" s="33">
        <v>28.581</v>
      </c>
      <c r="AQ27" s="33">
        <v>9.843</v>
      </c>
      <c r="AR27" s="33">
        <v>9.2110000000000003</v>
      </c>
      <c r="AS27" s="33">
        <v>27.370999999999999</v>
      </c>
      <c r="AT27" s="33">
        <v>7.4379999999999997</v>
      </c>
      <c r="AU27" s="33">
        <v>20.001999999999999</v>
      </c>
      <c r="AV27" s="33">
        <v>17.106999999999999</v>
      </c>
      <c r="AW27" s="33">
        <v>17.37</v>
      </c>
      <c r="AX27" s="33">
        <v>9.6319999999999997</v>
      </c>
      <c r="AY27" s="33">
        <v>17.422000000000001</v>
      </c>
      <c r="AZ27" s="33">
        <v>19.922999999999998</v>
      </c>
      <c r="BA27" s="33">
        <v>7.3689999999999998</v>
      </c>
      <c r="BB27" s="33">
        <v>24.212</v>
      </c>
      <c r="BC27" s="33">
        <v>10.526999999999999</v>
      </c>
      <c r="BD27" s="33">
        <v>6.3159999999999998</v>
      </c>
      <c r="BE27" s="33">
        <v>6.0529999999999999</v>
      </c>
      <c r="BF27" s="33">
        <v>47.372</v>
      </c>
      <c r="BG27" s="33">
        <v>7.8949999999999996</v>
      </c>
      <c r="BH27" s="33">
        <v>13.159000000000001</v>
      </c>
      <c r="BI27" s="33">
        <v>11.053000000000001</v>
      </c>
      <c r="BJ27" s="33">
        <v>22.106999999999999</v>
      </c>
      <c r="BK27" s="33">
        <v>6.3159999999999998</v>
      </c>
      <c r="BL27" s="33">
        <v>22.37</v>
      </c>
      <c r="BM27" s="33">
        <v>4.4740000000000002</v>
      </c>
      <c r="BN27" s="33">
        <v>15.791</v>
      </c>
      <c r="BO27" s="33">
        <v>22.443999999999999</v>
      </c>
      <c r="BP27" s="33">
        <v>60.11</v>
      </c>
      <c r="BQ27" s="33">
        <v>18.949000000000002</v>
      </c>
      <c r="BR27" s="33">
        <v>28.422999999999998</v>
      </c>
      <c r="BS27" s="33">
        <v>9.2110000000000003</v>
      </c>
      <c r="BT27" s="33">
        <v>18.158999999999999</v>
      </c>
      <c r="BU27" s="33">
        <v>2.5270000000000001</v>
      </c>
      <c r="BV27" s="33">
        <v>5.4210000000000003</v>
      </c>
      <c r="BW27" s="33">
        <v>7.1479999999999997</v>
      </c>
      <c r="BX27" s="33">
        <v>5.8159999999999998</v>
      </c>
      <c r="BY27" s="33">
        <v>13.159000000000001</v>
      </c>
      <c r="BZ27" s="33">
        <v>21.475000000000001</v>
      </c>
      <c r="CA27" s="33">
        <v>31.318000000000001</v>
      </c>
      <c r="CB27" s="33">
        <v>17.896000000000001</v>
      </c>
      <c r="CC27" s="33">
        <v>15.000999999999999</v>
      </c>
      <c r="CD27" s="33">
        <v>20.212</v>
      </c>
      <c r="CE27" s="33">
        <v>13.159000000000001</v>
      </c>
      <c r="CF27" s="33">
        <v>8.4740000000000002</v>
      </c>
      <c r="CG27" s="33">
        <v>9.2110000000000003</v>
      </c>
      <c r="CH27" s="33">
        <v>14.712</v>
      </c>
      <c r="CI27" s="33">
        <v>6.8689999999999998</v>
      </c>
      <c r="CJ27" s="33">
        <v>2.3420000000000001</v>
      </c>
      <c r="CK27" s="33">
        <v>13.054</v>
      </c>
      <c r="CL27" s="33">
        <v>8.8949999999999996</v>
      </c>
      <c r="CM27" s="33">
        <v>7.8949999999999996</v>
      </c>
      <c r="CN27" s="33">
        <v>31.172999999999998</v>
      </c>
      <c r="CO27" s="33">
        <v>12.369</v>
      </c>
      <c r="CP27" s="33">
        <v>24.632999999999999</v>
      </c>
      <c r="CQ27" s="33">
        <v>16.843</v>
      </c>
      <c r="CR27" s="33">
        <v>13.685</v>
      </c>
      <c r="CS27" s="33">
        <v>11.58</v>
      </c>
      <c r="CT27" s="33">
        <v>15.685</v>
      </c>
      <c r="CU27" s="33">
        <v>7.2640000000000002</v>
      </c>
      <c r="CV27" s="33">
        <v>13.317</v>
      </c>
      <c r="CW27" s="33">
        <v>14.738</v>
      </c>
      <c r="CX27" s="33">
        <v>6.5789999999999997</v>
      </c>
      <c r="CY27" s="33">
        <v>17.975000000000001</v>
      </c>
      <c r="CZ27" s="33">
        <v>6.3159999999999998</v>
      </c>
      <c r="DA27" s="33">
        <v>15.791</v>
      </c>
      <c r="DB27" s="33">
        <v>9.8949999999999996</v>
      </c>
      <c r="DC27" s="33">
        <v>7.4219999999999997</v>
      </c>
      <c r="DD27" s="33">
        <v>8.4740000000000002</v>
      </c>
      <c r="DE27" s="33">
        <v>6.5789999999999997</v>
      </c>
      <c r="DF27" s="33">
        <v>11.369</v>
      </c>
      <c r="DG27" s="33">
        <v>18.922999999999998</v>
      </c>
      <c r="DH27" s="33">
        <v>39.476999999999997</v>
      </c>
      <c r="DI27" s="33">
        <v>18.949000000000002</v>
      </c>
      <c r="DJ27" s="33">
        <v>7.8949999999999996</v>
      </c>
      <c r="DK27" s="33">
        <v>10.896000000000001</v>
      </c>
      <c r="DL27" s="33">
        <v>19.501000000000001</v>
      </c>
      <c r="DM27" s="33">
        <v>9.4740000000000002</v>
      </c>
      <c r="DN27" s="33">
        <v>52.636000000000003</v>
      </c>
      <c r="DO27" s="33">
        <v>17.686</v>
      </c>
      <c r="DP27" s="33">
        <v>53.161999999999999</v>
      </c>
      <c r="DQ27" s="33">
        <v>1.232</v>
      </c>
      <c r="DR27" s="33">
        <v>48.003999999999998</v>
      </c>
      <c r="DS27" s="33">
        <v>8.4740000000000002</v>
      </c>
      <c r="DT27" s="33">
        <v>15.843</v>
      </c>
      <c r="DU27" s="33">
        <v>7.8949999999999996</v>
      </c>
      <c r="DV27" s="33">
        <v>6.2530000000000001</v>
      </c>
      <c r="DW27" s="33">
        <v>7.3689999999999998</v>
      </c>
      <c r="DX27" s="33">
        <v>20.475000000000001</v>
      </c>
      <c r="DY27" s="33">
        <v>13.685</v>
      </c>
      <c r="DZ27" s="33">
        <v>6.1580000000000004</v>
      </c>
      <c r="EA27" s="33">
        <v>21.053999999999998</v>
      </c>
      <c r="EB27" s="33">
        <v>18.949000000000002</v>
      </c>
      <c r="EC27" s="33">
        <v>12.106</v>
      </c>
      <c r="ED27" s="33">
        <v>15.159000000000001</v>
      </c>
      <c r="EE27" s="33">
        <v>25.686</v>
      </c>
      <c r="EF27" s="33">
        <v>7.8949999999999996</v>
      </c>
      <c r="EG27" s="33">
        <v>4.8419999999999996</v>
      </c>
      <c r="EH27" s="33">
        <v>21.791</v>
      </c>
      <c r="EI27" s="33">
        <v>7.79</v>
      </c>
      <c r="EJ27" s="33">
        <v>4.8419999999999996</v>
      </c>
      <c r="EK27" s="33">
        <v>7.8949999999999996</v>
      </c>
      <c r="EL27" s="33">
        <v>12.632999999999999</v>
      </c>
      <c r="EM27" s="33">
        <v>16.949000000000002</v>
      </c>
      <c r="EN27" s="33">
        <v>9.6850000000000005</v>
      </c>
      <c r="EO27" s="33">
        <v>10.526999999999999</v>
      </c>
      <c r="EP27" s="33">
        <v>7.4219999999999997</v>
      </c>
      <c r="EQ27" s="33">
        <v>18.158999999999999</v>
      </c>
      <c r="ER27" s="33">
        <v>5.5270000000000001</v>
      </c>
      <c r="ES27" s="33">
        <v>6.0529999999999999</v>
      </c>
      <c r="ET27" s="33">
        <v>12.159000000000001</v>
      </c>
      <c r="EU27" s="33">
        <v>44.719000000000001</v>
      </c>
      <c r="EV27" s="33">
        <v>9.08</v>
      </c>
      <c r="EW27" s="33">
        <v>42.107999999999997</v>
      </c>
      <c r="EX27" s="33">
        <v>47.292999999999999</v>
      </c>
      <c r="EY27" s="33">
        <v>2.8420000000000001</v>
      </c>
      <c r="EZ27" s="33">
        <v>3.8210000000000002</v>
      </c>
      <c r="FA27" s="33">
        <v>3.1269999999999998</v>
      </c>
      <c r="FB27" s="33">
        <v>10.526999999999999</v>
      </c>
      <c r="FC27" s="33">
        <v>15.000999999999999</v>
      </c>
      <c r="FD27" s="33">
        <v>10.526999999999999</v>
      </c>
      <c r="FE27" s="33">
        <v>14.526999999999999</v>
      </c>
      <c r="FF27" s="33">
        <v>9.4740000000000002</v>
      </c>
      <c r="FG27" s="33">
        <v>7.8949999999999996</v>
      </c>
      <c r="FH27" s="33">
        <v>6.5789999999999997</v>
      </c>
      <c r="FI27" s="33">
        <v>25.265000000000001</v>
      </c>
      <c r="FJ27" s="33">
        <v>16.117000000000001</v>
      </c>
      <c r="FK27" s="33">
        <v>23.344000000000001</v>
      </c>
      <c r="FL27" s="33">
        <v>7.79</v>
      </c>
      <c r="FM27" s="33">
        <v>21.527999999999999</v>
      </c>
      <c r="FN27" s="33">
        <v>10.79</v>
      </c>
      <c r="FO27" s="33">
        <v>38.74</v>
      </c>
      <c r="FP27" s="33">
        <v>55.267000000000003</v>
      </c>
      <c r="FQ27" s="33">
        <v>10.106</v>
      </c>
      <c r="FR27" s="33">
        <v>6.0529999999999999</v>
      </c>
      <c r="FS27" s="33">
        <v>7.2640000000000002</v>
      </c>
      <c r="FT27" s="33">
        <v>9.08</v>
      </c>
      <c r="FU27" s="33">
        <v>36.844999999999999</v>
      </c>
      <c r="FV27" s="33">
        <v>7.0010000000000003</v>
      </c>
      <c r="FW27" s="33">
        <v>7.99</v>
      </c>
      <c r="FX27" s="33">
        <v>7.8949999999999996</v>
      </c>
      <c r="FY27" s="33">
        <v>7.2640000000000002</v>
      </c>
      <c r="FZ27" s="33">
        <v>7.2640000000000002</v>
      </c>
      <c r="GA27" s="33">
        <v>7.8949999999999996</v>
      </c>
      <c r="GB27" s="33">
        <v>6.5789999999999997</v>
      </c>
      <c r="GC27" s="33">
        <v>3.4740000000000002</v>
      </c>
      <c r="GD27" s="33">
        <v>6.6319999999999997</v>
      </c>
      <c r="GE27" s="33">
        <v>7.2640000000000002</v>
      </c>
      <c r="GF27" s="33">
        <v>55.267000000000003</v>
      </c>
      <c r="GG27" s="33">
        <v>33.686999999999998</v>
      </c>
      <c r="GH27" s="33">
        <v>3.1579999999999999</v>
      </c>
      <c r="GI27" s="33">
        <v>4.7370000000000001</v>
      </c>
      <c r="GJ27" s="33">
        <v>6.2640000000000002</v>
      </c>
      <c r="GK27" s="33">
        <v>14.212</v>
      </c>
      <c r="GL27" s="33">
        <v>10.526999999999999</v>
      </c>
      <c r="GM27" s="33">
        <v>8.6519999999999992</v>
      </c>
      <c r="GN27" s="33">
        <v>51.914000000000001</v>
      </c>
      <c r="GO27" s="33">
        <v>18.170000000000002</v>
      </c>
      <c r="GP27" s="33">
        <v>73.543999999999997</v>
      </c>
      <c r="GQ27" s="33">
        <v>12.113</v>
      </c>
      <c r="GR27" s="33">
        <v>102.962</v>
      </c>
      <c r="GS27" s="33">
        <v>27.341000000000001</v>
      </c>
      <c r="GT27" s="33">
        <v>82.197000000000003</v>
      </c>
      <c r="GU27" s="33">
        <v>21.803999999999998</v>
      </c>
      <c r="GV27" s="33">
        <v>14.64</v>
      </c>
      <c r="GW27" s="33">
        <v>17.677</v>
      </c>
      <c r="GX27" s="33">
        <v>75.275000000000006</v>
      </c>
      <c r="GY27" s="33">
        <v>3.4609999999999999</v>
      </c>
      <c r="GZ27" s="33">
        <v>10.382999999999999</v>
      </c>
      <c r="HA27" s="33">
        <v>25.792000000000002</v>
      </c>
      <c r="HB27" s="33">
        <v>82.197000000000003</v>
      </c>
      <c r="HC27" s="33">
        <v>82.197000000000003</v>
      </c>
      <c r="HD27" s="33">
        <v>43.261000000000003</v>
      </c>
      <c r="HE27" s="3">
        <f>_xlfn.XLOOKUP(HE$1,generator!$B$2:$B$295,generator!$L$2:$L$295,"ARGH")</f>
        <v>17.600000000000001</v>
      </c>
      <c r="HF27" s="3">
        <f>_xlfn.XLOOKUP(HF$1,generator!$B$2:$B$295,generator!$L$2:$L$295,"ARGH")</f>
        <v>285</v>
      </c>
      <c r="HG27" s="3">
        <f>_xlfn.XLOOKUP(HG$1,generator!$B$2:$B$295,generator!$L$2:$L$295,"ARGH")</f>
        <v>285</v>
      </c>
      <c r="HH27" s="3">
        <f>_xlfn.XLOOKUP(HH$1,generator!$B$2:$B$295,generator!$L$2:$L$295,"ARGH")</f>
        <v>285</v>
      </c>
      <c r="HI27" s="3">
        <f>_xlfn.XLOOKUP(HI$1,generator!$B$2:$B$295,generator!$L$2:$L$295,"ARGH")</f>
        <v>58</v>
      </c>
      <c r="HJ27" s="3">
        <f>_xlfn.XLOOKUP(HJ$1,generator!$B$2:$B$295,generator!$L$2:$L$295,"ARGH")</f>
        <v>58</v>
      </c>
      <c r="HK27" s="3">
        <f>_xlfn.XLOOKUP(HK$1,generator!$B$2:$B$295,generator!$L$2:$L$295,"ARGH")</f>
        <v>53</v>
      </c>
      <c r="HL27" s="3">
        <f>_xlfn.XLOOKUP(HL$1,generator!$B$2:$B$295,generator!$L$2:$L$295,"ARGH")</f>
        <v>58</v>
      </c>
      <c r="HM27" s="3">
        <f>_xlfn.XLOOKUP(HM$1,generator!$B$2:$B$295,generator!$L$2:$L$295,"ARGH")</f>
        <v>58</v>
      </c>
      <c r="HN27" s="3">
        <f>_xlfn.XLOOKUP(HN$1,generator!$B$2:$B$295,generator!$L$2:$L$295,"ARGH")</f>
        <v>52</v>
      </c>
      <c r="HO27" s="3">
        <f>_xlfn.XLOOKUP(HO$1,generator!$B$2:$B$295,generator!$L$2:$L$295,"ARGH")</f>
        <v>52</v>
      </c>
      <c r="HP27" s="3">
        <f>_xlfn.XLOOKUP(HP$1,generator!$B$2:$B$295,generator!$L$2:$L$295,"ARGH")</f>
        <v>2</v>
      </c>
      <c r="HQ27" s="3">
        <f>_xlfn.XLOOKUP(HQ$1,generator!$B$2:$B$295,generator!$L$2:$L$295,"ARGH")</f>
        <v>29.2</v>
      </c>
      <c r="HR27" s="3">
        <f>_xlfn.XLOOKUP(HR$1,generator!$B$2:$B$295,generator!$L$2:$L$295,"ARGH")</f>
        <v>29.2</v>
      </c>
      <c r="HS27" s="3">
        <f>_xlfn.XLOOKUP(HS$1,generator!$B$2:$B$295,generator!$L$2:$L$295,"ARGH")</f>
        <v>41.61</v>
      </c>
      <c r="HT27" s="3">
        <f>_xlfn.XLOOKUP(HT$1,generator!$B$2:$B$295,generator!$L$2:$L$295,"ARGH")</f>
        <v>41.61</v>
      </c>
      <c r="HU27" s="3">
        <f>_xlfn.XLOOKUP(HU$1,generator!$B$2:$B$295,generator!$L$2:$L$295,"ARGH")</f>
        <v>160</v>
      </c>
      <c r="HV27" s="3">
        <f>_xlfn.XLOOKUP(HV$1,generator!$B$2:$B$295,generator!$L$2:$L$295,"ARGH")</f>
        <v>260</v>
      </c>
      <c r="HW27" s="3">
        <f>_xlfn.XLOOKUP(HW$1,generator!$B$2:$B$295,generator!$L$2:$L$295,"ARGH")</f>
        <v>52</v>
      </c>
      <c r="HX27" s="3">
        <f>_xlfn.XLOOKUP(HX$1,generator!$B$2:$B$295,generator!$L$2:$L$295,"ARGH")</f>
        <v>52</v>
      </c>
      <c r="HY27" s="3">
        <f>_xlfn.XLOOKUP(HY$1,generator!$B$2:$B$295,generator!$L$2:$L$295,"ARGH")</f>
        <v>101</v>
      </c>
      <c r="HZ27" s="3">
        <f>_xlfn.XLOOKUP(HZ$1,generator!$B$2:$B$295,generator!$L$2:$L$295,"ARGH")</f>
        <v>50</v>
      </c>
      <c r="IA27" s="3">
        <f>_xlfn.XLOOKUP(IA$1,generator!$B$2:$B$295,generator!$L$2:$L$295,"ARGH")</f>
        <v>400</v>
      </c>
      <c r="IB27" s="3">
        <f>_xlfn.XLOOKUP(IB$1,generator!$B$2:$B$295,generator!$L$2:$L$295,"ARGH")</f>
        <v>342</v>
      </c>
      <c r="IC27" s="3">
        <f>_xlfn.XLOOKUP(IC$1,generator!$B$2:$B$295,generator!$L$2:$L$295,"ARGH")</f>
        <v>3.0209999999999999</v>
      </c>
      <c r="ID27" s="3">
        <f>_xlfn.XLOOKUP(ID$1,generator!$B$2:$B$295,generator!$L$2:$L$295,"ARGH")</f>
        <v>200</v>
      </c>
      <c r="IE27" s="3">
        <f>_xlfn.XLOOKUP(IE$1,generator!$B$2:$B$295,generator!$L$2:$L$295,"ARGH")</f>
        <v>404</v>
      </c>
      <c r="IF27" s="3">
        <f>_xlfn.XLOOKUP(IF$1,generator!$B$2:$B$295,generator!$L$2:$L$295,"ARGH")</f>
        <v>21</v>
      </c>
      <c r="IG27" s="3">
        <f>_xlfn.XLOOKUP(IG$1,generator!$B$2:$B$295,generator!$L$2:$L$295,"ARGH")</f>
        <v>22</v>
      </c>
      <c r="IH27" s="3">
        <f>_xlfn.XLOOKUP(IH$1,generator!$B$2:$B$295,generator!$L$2:$L$295,"ARGH")</f>
        <v>19</v>
      </c>
      <c r="II27" s="3">
        <f>_xlfn.XLOOKUP(II$1,generator!$B$2:$B$295,generator!$L$2:$L$295,"ARGH")</f>
        <v>24</v>
      </c>
      <c r="IJ27" s="3">
        <f>_xlfn.XLOOKUP(IJ$1,generator!$B$2:$B$295,generator!$L$2:$L$295,"ARGH")</f>
        <v>4.3</v>
      </c>
      <c r="IK27" s="3">
        <f>_xlfn.XLOOKUP(IK$1,generator!$B$2:$B$295,generator!$L$2:$L$295,"ARGH")</f>
        <v>8</v>
      </c>
      <c r="IL27" s="3">
        <f>_xlfn.XLOOKUP(IL$1,generator!$B$2:$B$295,generator!$L$2:$L$295,"ARGH")</f>
        <v>22.5</v>
      </c>
      <c r="IM27" s="3">
        <f>_xlfn.XLOOKUP(IM$1,generator!$B$2:$B$295,generator!$L$2:$L$295,"ARGH")</f>
        <v>22.5</v>
      </c>
      <c r="IN27" s="3">
        <f>_xlfn.XLOOKUP(IN$1,generator!$B$2:$B$295,generator!$L$2:$L$295,"ARGH")</f>
        <v>10</v>
      </c>
      <c r="IO27" s="3">
        <f>_xlfn.XLOOKUP(IO$1,generator!$B$2:$B$295,generator!$L$2:$L$295,"ARGH")</f>
        <v>10</v>
      </c>
      <c r="IP27" s="3">
        <f>_xlfn.XLOOKUP(IP$1,generator!$B$2:$B$295,generator!$L$2:$L$295,"ARGH")</f>
        <v>15</v>
      </c>
      <c r="IQ27" s="3">
        <f>_xlfn.XLOOKUP(IQ$1,generator!$B$2:$B$295,generator!$L$2:$L$295,"ARGH")</f>
        <v>4</v>
      </c>
      <c r="IR27" s="3">
        <f>_xlfn.XLOOKUP(IR$1,generator!$B$2:$B$295,generator!$L$2:$L$295,"ARGH")</f>
        <v>15</v>
      </c>
      <c r="IS27" s="3">
        <f>_xlfn.XLOOKUP(IS$1,generator!$B$2:$B$295,generator!$L$2:$L$295,"ARGH")</f>
        <v>15</v>
      </c>
      <c r="IT27" s="3">
        <f>_xlfn.XLOOKUP(IT$1,generator!$B$2:$B$295,generator!$L$2:$L$295,"ARGH")</f>
        <v>0.18</v>
      </c>
      <c r="IU27" s="3">
        <f>_xlfn.XLOOKUP(IU$1,generator!$B$2:$B$295,generator!$L$2:$L$295,"ARGH")</f>
        <v>4</v>
      </c>
      <c r="IV27" s="3">
        <f>_xlfn.XLOOKUP(IV$1,generator!$B$2:$B$295,generator!$L$2:$L$295,"ARGH")</f>
        <v>4</v>
      </c>
      <c r="IW27" s="3">
        <f>_xlfn.XLOOKUP(IW$1,generator!$B$2:$B$295,generator!$L$2:$L$295,"ARGH")</f>
        <v>90</v>
      </c>
      <c r="IX27" s="3">
        <f>_xlfn.XLOOKUP(IX$1,generator!$B$2:$B$295,generator!$L$2:$L$295,"ARGH")</f>
        <v>90</v>
      </c>
      <c r="IY27" s="3">
        <f>_xlfn.XLOOKUP(IY$1,generator!$B$2:$B$295,generator!$L$2:$L$295,"ARGH")</f>
        <v>90</v>
      </c>
      <c r="IZ27" s="3">
        <f>_xlfn.XLOOKUP(IZ$1,generator!$B$2:$B$295,generator!$L$2:$L$295,"ARGH")</f>
        <v>449</v>
      </c>
      <c r="JA27" s="3">
        <f>_xlfn.XLOOKUP(JA$1,generator!$B$2:$B$295,generator!$L$2:$L$295,"ARGH")</f>
        <v>83</v>
      </c>
      <c r="JB27" s="3">
        <f>_xlfn.XLOOKUP(JB$1,generator!$B$2:$B$295,generator!$L$2:$L$295,"ARGH")</f>
        <v>83</v>
      </c>
      <c r="JC27" s="3">
        <f>_xlfn.XLOOKUP(JC$1,generator!$B$2:$B$295,generator!$L$2:$L$295,"ARGH")</f>
        <v>247</v>
      </c>
      <c r="JD27" s="3">
        <f>_xlfn.XLOOKUP(JD$1,generator!$B$2:$B$295,generator!$L$2:$L$295,"ARGH")</f>
        <v>247</v>
      </c>
      <c r="JE27" s="3">
        <f>_xlfn.XLOOKUP(JE$1,generator!$B$2:$B$295,generator!$L$2:$L$295,"ARGH")</f>
        <v>425</v>
      </c>
      <c r="JF27" s="3">
        <f>_xlfn.XLOOKUP(JF$1,generator!$B$2:$B$295,generator!$L$2:$L$295,"ARGH")</f>
        <v>63.5</v>
      </c>
      <c r="JG27" s="3">
        <f>_xlfn.XLOOKUP(JG$1,generator!$B$2:$B$295,generator!$L$2:$L$295,"ARGH")</f>
        <v>17</v>
      </c>
      <c r="JH27" s="3">
        <f>_xlfn.XLOOKUP(JH$1,generator!$B$2:$B$295,generator!$L$2:$L$295,"ARGH")</f>
        <v>444</v>
      </c>
      <c r="JI27" s="3">
        <f>_xlfn.XLOOKUP(JI$1,generator!$B$2:$B$295,generator!$L$2:$L$295,"ARGH")</f>
        <v>464</v>
      </c>
      <c r="JJ27" s="3">
        <f>_xlfn.XLOOKUP(JJ$1,generator!$B$2:$B$295,generator!$L$2:$L$295,"ARGH")</f>
        <v>18.54</v>
      </c>
      <c r="JK27" s="3">
        <f>_xlfn.XLOOKUP(JK$1,generator!$B$2:$B$295,generator!$L$2:$L$295,"ARGH")</f>
        <v>18.54</v>
      </c>
      <c r="JL27" s="3">
        <f>_xlfn.XLOOKUP(JL$1,generator!$B$2:$B$295,generator!$L$2:$L$295,"ARGH")</f>
        <v>18.54</v>
      </c>
      <c r="JM27" s="3">
        <f>_xlfn.XLOOKUP(JM$1,generator!$B$2:$B$295,generator!$L$2:$L$295,"ARGH")</f>
        <v>18.54</v>
      </c>
      <c r="JN27" s="3">
        <f>_xlfn.XLOOKUP(JN$1,generator!$B$2:$B$295,generator!$L$2:$L$295,"ARGH")</f>
        <v>18.54</v>
      </c>
      <c r="JO27" s="3">
        <f>_xlfn.XLOOKUP(JO$1,generator!$B$2:$B$295,generator!$L$2:$L$295,"ARGH")</f>
        <v>18.54</v>
      </c>
      <c r="JP27" s="3">
        <f>_xlfn.XLOOKUP(JP$1,generator!$B$2:$B$295,generator!$L$2:$L$295,"ARGH")</f>
        <v>415</v>
      </c>
      <c r="JQ27" s="3">
        <f>_xlfn.XLOOKUP(JQ$1,generator!$B$2:$B$295,generator!$L$2:$L$295,"ARGH")</f>
        <v>63.5</v>
      </c>
      <c r="JR27" s="3">
        <f>_xlfn.XLOOKUP(JR$1,generator!$B$2:$B$295,generator!$L$2:$L$295,"ARGH")</f>
        <v>350</v>
      </c>
      <c r="JS27" s="3">
        <f>_xlfn.XLOOKUP(JS$1,generator!$B$2:$B$295,generator!$L$2:$L$295,"ARGH")</f>
        <v>350</v>
      </c>
      <c r="JT27" s="3">
        <f>_xlfn.XLOOKUP(JT$1,generator!$B$2:$B$295,generator!$L$2:$L$295,"ARGH")</f>
        <v>63.5</v>
      </c>
      <c r="JU27" s="3">
        <f>_xlfn.XLOOKUP(JU$1,generator!$B$2:$B$295,generator!$L$2:$L$295,"ARGH")</f>
        <v>61.5</v>
      </c>
      <c r="JV27" s="3">
        <f>_xlfn.XLOOKUP(JV$1,generator!$B$2:$B$295,generator!$L$2:$L$295,"ARGH")</f>
        <v>240</v>
      </c>
      <c r="JW27" s="3">
        <f>_xlfn.XLOOKUP(JW$1,generator!$B$2:$B$295,generator!$L$2:$L$295,"ARGH")</f>
        <v>236</v>
      </c>
      <c r="JX27" s="3">
        <f>_xlfn.XLOOKUP(JX$1,generator!$B$2:$B$295,generator!$L$2:$L$295,"ARGH")</f>
        <v>20</v>
      </c>
      <c r="JY27" s="3">
        <f>_xlfn.XLOOKUP(JY$1,generator!$B$2:$B$295,generator!$L$2:$L$295,"ARGH")</f>
        <v>118</v>
      </c>
      <c r="JZ27" s="3">
        <f>_xlfn.XLOOKUP(JZ$1,generator!$B$2:$B$295,generator!$L$2:$L$295,"ARGH")</f>
        <v>73</v>
      </c>
      <c r="KA27" s="3">
        <f>_xlfn.XLOOKUP(KA$1,generator!$B$2:$B$295,generator!$L$2:$L$295,"ARGH")</f>
        <v>73</v>
      </c>
      <c r="KB27" s="3">
        <f>_xlfn.XLOOKUP(KB$1,generator!$B$2:$B$295,generator!$L$2:$L$295,"ARGH")</f>
        <v>73</v>
      </c>
      <c r="KC27" s="3">
        <f>_xlfn.XLOOKUP(KC$1,generator!$B$2:$B$295,generator!$L$2:$L$295,"ARGH")</f>
        <v>73</v>
      </c>
    </row>
    <row r="28" spans="1:289" x14ac:dyDescent="0.3">
      <c r="A28" s="4" t="s">
        <v>3023</v>
      </c>
      <c r="B28" s="31">
        <v>476</v>
      </c>
      <c r="C28" s="31">
        <v>513</v>
      </c>
      <c r="D28" s="31">
        <v>442</v>
      </c>
      <c r="E28" s="33">
        <v>13.957000000000001</v>
      </c>
      <c r="F28" s="33">
        <v>29.983000000000001</v>
      </c>
      <c r="G28" s="33">
        <v>13.957000000000001</v>
      </c>
      <c r="H28" s="33">
        <v>23.262</v>
      </c>
      <c r="I28" s="33">
        <v>46.008000000000003</v>
      </c>
      <c r="J28" s="33">
        <v>42.905999999999999</v>
      </c>
      <c r="K28" s="33">
        <v>11.631</v>
      </c>
      <c r="L28" s="33">
        <v>8.891</v>
      </c>
      <c r="M28" s="33">
        <v>7.7539999999999996</v>
      </c>
      <c r="N28" s="33">
        <v>27.914999999999999</v>
      </c>
      <c r="O28" s="33">
        <v>2.7909999999999999</v>
      </c>
      <c r="P28" s="33">
        <v>13.234</v>
      </c>
      <c r="Q28" s="33">
        <v>18.196000000000002</v>
      </c>
      <c r="R28" s="33">
        <v>9.3049999999999997</v>
      </c>
      <c r="S28" s="33">
        <v>17.757000000000001</v>
      </c>
      <c r="T28" s="33">
        <v>12.407</v>
      </c>
      <c r="U28" s="33">
        <v>21.712</v>
      </c>
      <c r="V28" s="33">
        <v>10.933</v>
      </c>
      <c r="W28" s="33">
        <v>11.89</v>
      </c>
      <c r="X28" s="33">
        <v>16.748999999999999</v>
      </c>
      <c r="Y28" s="33">
        <v>8.6850000000000005</v>
      </c>
      <c r="Z28" s="33">
        <v>6.1520000000000001</v>
      </c>
      <c r="AA28" s="33">
        <v>5.5830000000000002</v>
      </c>
      <c r="AB28" s="33">
        <v>29.466000000000001</v>
      </c>
      <c r="AC28" s="33">
        <v>33.963000000000001</v>
      </c>
      <c r="AD28" s="33">
        <v>11.993</v>
      </c>
      <c r="AE28" s="33">
        <v>10.339</v>
      </c>
      <c r="AF28" s="33">
        <v>29.155999999999999</v>
      </c>
      <c r="AG28" s="33">
        <v>10.339</v>
      </c>
      <c r="AH28" s="33">
        <v>6.2030000000000003</v>
      </c>
      <c r="AI28" s="33">
        <v>6.9269999999999996</v>
      </c>
      <c r="AJ28" s="33">
        <v>12.407</v>
      </c>
      <c r="AK28" s="33">
        <v>4.42</v>
      </c>
      <c r="AL28" s="33">
        <v>19.117000000000001</v>
      </c>
      <c r="AM28" s="33">
        <v>24.555</v>
      </c>
      <c r="AN28" s="33">
        <v>10.339</v>
      </c>
      <c r="AO28" s="33">
        <v>7.1340000000000003</v>
      </c>
      <c r="AP28" s="33">
        <v>28.07</v>
      </c>
      <c r="AQ28" s="33">
        <v>9.6669999999999998</v>
      </c>
      <c r="AR28" s="33">
        <v>9.0459999999999994</v>
      </c>
      <c r="AS28" s="33">
        <v>26.881</v>
      </c>
      <c r="AT28" s="33">
        <v>7.3049999999999997</v>
      </c>
      <c r="AU28" s="33">
        <v>19.643999999999998</v>
      </c>
      <c r="AV28" s="33">
        <v>16.800999999999998</v>
      </c>
      <c r="AW28" s="33">
        <v>17.059000000000001</v>
      </c>
      <c r="AX28" s="33">
        <v>9.4600000000000009</v>
      </c>
      <c r="AY28" s="33">
        <v>17.111000000000001</v>
      </c>
      <c r="AZ28" s="33">
        <v>19.565999999999999</v>
      </c>
      <c r="BA28" s="33">
        <v>7.2370000000000001</v>
      </c>
      <c r="BB28" s="33">
        <v>23.779</v>
      </c>
      <c r="BC28" s="33">
        <v>10.339</v>
      </c>
      <c r="BD28" s="33">
        <v>6.2030000000000003</v>
      </c>
      <c r="BE28" s="33">
        <v>5.9450000000000003</v>
      </c>
      <c r="BF28" s="33">
        <v>46.524999999999999</v>
      </c>
      <c r="BG28" s="33">
        <v>7.7539999999999996</v>
      </c>
      <c r="BH28" s="33">
        <v>12.923999999999999</v>
      </c>
      <c r="BI28" s="33">
        <v>10.856</v>
      </c>
      <c r="BJ28" s="33">
        <v>21.712</v>
      </c>
      <c r="BK28" s="33">
        <v>6.2030000000000003</v>
      </c>
      <c r="BL28" s="33">
        <v>21.97</v>
      </c>
      <c r="BM28" s="33">
        <v>4.3940000000000001</v>
      </c>
      <c r="BN28" s="33">
        <v>15.507999999999999</v>
      </c>
      <c r="BO28" s="33">
        <v>22.042000000000002</v>
      </c>
      <c r="BP28" s="33">
        <v>59.034999999999997</v>
      </c>
      <c r="BQ28" s="33">
        <v>18.61</v>
      </c>
      <c r="BR28" s="33">
        <v>27.914999999999999</v>
      </c>
      <c r="BS28" s="33">
        <v>9.0459999999999994</v>
      </c>
      <c r="BT28" s="33">
        <v>17.835000000000001</v>
      </c>
      <c r="BU28" s="33">
        <v>2.4809999999999999</v>
      </c>
      <c r="BV28" s="33">
        <v>5.3250000000000002</v>
      </c>
      <c r="BW28" s="33">
        <v>7.02</v>
      </c>
      <c r="BX28" s="33">
        <v>5.7119999999999997</v>
      </c>
      <c r="BY28" s="33">
        <v>12.923999999999999</v>
      </c>
      <c r="BZ28" s="33">
        <v>21.091000000000001</v>
      </c>
      <c r="CA28" s="33">
        <v>30.757999999999999</v>
      </c>
      <c r="CB28" s="33">
        <v>17.576000000000001</v>
      </c>
      <c r="CC28" s="33">
        <v>14.733000000000001</v>
      </c>
      <c r="CD28" s="33">
        <v>19.850999999999999</v>
      </c>
      <c r="CE28" s="33">
        <v>12.923999999999999</v>
      </c>
      <c r="CF28" s="33">
        <v>8.3230000000000004</v>
      </c>
      <c r="CG28" s="33">
        <v>9.0459999999999994</v>
      </c>
      <c r="CH28" s="33">
        <v>14.449</v>
      </c>
      <c r="CI28" s="33">
        <v>6.7460000000000004</v>
      </c>
      <c r="CJ28" s="33">
        <v>2.2999999999999998</v>
      </c>
      <c r="CK28" s="33">
        <v>12.82</v>
      </c>
      <c r="CL28" s="33">
        <v>8.7360000000000007</v>
      </c>
      <c r="CM28" s="33">
        <v>7.7539999999999996</v>
      </c>
      <c r="CN28" s="33">
        <v>30.616</v>
      </c>
      <c r="CO28" s="33">
        <v>12.148</v>
      </c>
      <c r="CP28" s="33">
        <v>24.193000000000001</v>
      </c>
      <c r="CQ28" s="33">
        <v>16.542000000000002</v>
      </c>
      <c r="CR28" s="33">
        <v>13.441000000000001</v>
      </c>
      <c r="CS28" s="33">
        <v>11.372999999999999</v>
      </c>
      <c r="CT28" s="33">
        <v>15.404999999999999</v>
      </c>
      <c r="CU28" s="33">
        <v>7.1340000000000003</v>
      </c>
      <c r="CV28" s="33">
        <v>13.079000000000001</v>
      </c>
      <c r="CW28" s="33">
        <v>14.474</v>
      </c>
      <c r="CX28" s="33">
        <v>6.4619999999999997</v>
      </c>
      <c r="CY28" s="33">
        <v>17.654</v>
      </c>
      <c r="CZ28" s="33">
        <v>6.2030000000000003</v>
      </c>
      <c r="DA28" s="33">
        <v>15.507999999999999</v>
      </c>
      <c r="DB28" s="33">
        <v>9.7189999999999994</v>
      </c>
      <c r="DC28" s="33">
        <v>7.2889999999999997</v>
      </c>
      <c r="DD28" s="33">
        <v>8.3230000000000004</v>
      </c>
      <c r="DE28" s="33">
        <v>6.4619999999999997</v>
      </c>
      <c r="DF28" s="33">
        <v>11.166</v>
      </c>
      <c r="DG28" s="33">
        <v>18.584</v>
      </c>
      <c r="DH28" s="33">
        <v>38.771000000000001</v>
      </c>
      <c r="DI28" s="33">
        <v>18.61</v>
      </c>
      <c r="DJ28" s="33">
        <v>7.7539999999999996</v>
      </c>
      <c r="DK28" s="33">
        <v>10.701000000000001</v>
      </c>
      <c r="DL28" s="33">
        <v>19.152999999999999</v>
      </c>
      <c r="DM28" s="33">
        <v>9.3049999999999997</v>
      </c>
      <c r="DN28" s="33">
        <v>51.694000000000003</v>
      </c>
      <c r="DO28" s="33">
        <v>17.369</v>
      </c>
      <c r="DP28" s="33">
        <v>52.210999999999999</v>
      </c>
      <c r="DQ28" s="33">
        <v>1.21</v>
      </c>
      <c r="DR28" s="33">
        <v>47.145000000000003</v>
      </c>
      <c r="DS28" s="33">
        <v>8.3230000000000004</v>
      </c>
      <c r="DT28" s="33">
        <v>15.56</v>
      </c>
      <c r="DU28" s="33">
        <v>7.7539999999999996</v>
      </c>
      <c r="DV28" s="33">
        <v>6.141</v>
      </c>
      <c r="DW28" s="33">
        <v>7.2370000000000001</v>
      </c>
      <c r="DX28" s="33">
        <v>20.109000000000002</v>
      </c>
      <c r="DY28" s="33">
        <v>13.441000000000001</v>
      </c>
      <c r="DZ28" s="33">
        <v>6.048</v>
      </c>
      <c r="EA28" s="33">
        <v>20.678000000000001</v>
      </c>
      <c r="EB28" s="33">
        <v>18.61</v>
      </c>
      <c r="EC28" s="33">
        <v>11.89</v>
      </c>
      <c r="ED28" s="33">
        <v>14.888</v>
      </c>
      <c r="EE28" s="33">
        <v>25.227</v>
      </c>
      <c r="EF28" s="33">
        <v>7.7539999999999996</v>
      </c>
      <c r="EG28" s="33">
        <v>4.7560000000000002</v>
      </c>
      <c r="EH28" s="33">
        <v>21.401</v>
      </c>
      <c r="EI28" s="33">
        <v>7.6509999999999998</v>
      </c>
      <c r="EJ28" s="33">
        <v>4.7560000000000002</v>
      </c>
      <c r="EK28" s="33">
        <v>7.7539999999999996</v>
      </c>
      <c r="EL28" s="33">
        <v>12.407</v>
      </c>
      <c r="EM28" s="33">
        <v>16.646000000000001</v>
      </c>
      <c r="EN28" s="33">
        <v>9.5120000000000005</v>
      </c>
      <c r="EO28" s="33">
        <v>10.339</v>
      </c>
      <c r="EP28" s="33">
        <v>7.2889999999999997</v>
      </c>
      <c r="EQ28" s="33">
        <v>17.835000000000001</v>
      </c>
      <c r="ER28" s="33">
        <v>5.4279999999999999</v>
      </c>
      <c r="ES28" s="33">
        <v>5.9450000000000003</v>
      </c>
      <c r="ET28" s="33">
        <v>11.941000000000001</v>
      </c>
      <c r="EU28" s="33">
        <v>43.918999999999997</v>
      </c>
      <c r="EV28" s="33">
        <v>8.9169999999999998</v>
      </c>
      <c r="EW28" s="33">
        <v>41.354999999999997</v>
      </c>
      <c r="EX28" s="33">
        <v>46.447000000000003</v>
      </c>
      <c r="EY28" s="33">
        <v>2.7909999999999999</v>
      </c>
      <c r="EZ28" s="33">
        <v>3.7530000000000001</v>
      </c>
      <c r="FA28" s="33">
        <v>3.0710000000000002</v>
      </c>
      <c r="FB28" s="33">
        <v>10.339</v>
      </c>
      <c r="FC28" s="33">
        <v>14.733000000000001</v>
      </c>
      <c r="FD28" s="33">
        <v>10.339</v>
      </c>
      <c r="FE28" s="33">
        <v>14.268000000000001</v>
      </c>
      <c r="FF28" s="33">
        <v>9.3049999999999997</v>
      </c>
      <c r="FG28" s="33">
        <v>7.7539999999999996</v>
      </c>
      <c r="FH28" s="33">
        <v>6.4619999999999997</v>
      </c>
      <c r="FI28" s="33">
        <v>24.812999999999999</v>
      </c>
      <c r="FJ28" s="33">
        <v>15.829000000000001</v>
      </c>
      <c r="FK28" s="33">
        <v>22.925999999999998</v>
      </c>
      <c r="FL28" s="33">
        <v>7.6509999999999998</v>
      </c>
      <c r="FM28" s="33">
        <v>21.143000000000001</v>
      </c>
      <c r="FN28" s="33">
        <v>10.597</v>
      </c>
      <c r="FO28" s="33">
        <v>38.046999999999997</v>
      </c>
      <c r="FP28" s="33">
        <v>54.279000000000003</v>
      </c>
      <c r="FQ28" s="33">
        <v>9.9250000000000007</v>
      </c>
      <c r="FR28" s="33">
        <v>5.9450000000000003</v>
      </c>
      <c r="FS28" s="33">
        <v>7.1340000000000003</v>
      </c>
      <c r="FT28" s="33">
        <v>8.9169999999999998</v>
      </c>
      <c r="FU28" s="33">
        <v>36.186</v>
      </c>
      <c r="FV28" s="33">
        <v>6.875</v>
      </c>
      <c r="FW28" s="33">
        <v>7.8470000000000004</v>
      </c>
      <c r="FX28" s="33">
        <v>7.7539999999999996</v>
      </c>
      <c r="FY28" s="33">
        <v>7.1340000000000003</v>
      </c>
      <c r="FZ28" s="33">
        <v>7.1340000000000003</v>
      </c>
      <c r="GA28" s="33">
        <v>7.7539999999999996</v>
      </c>
      <c r="GB28" s="33">
        <v>6.4619999999999997</v>
      </c>
      <c r="GC28" s="33">
        <v>3.4119999999999999</v>
      </c>
      <c r="GD28" s="33">
        <v>6.5129999999999999</v>
      </c>
      <c r="GE28" s="33">
        <v>7.1340000000000003</v>
      </c>
      <c r="GF28" s="33">
        <v>54.279000000000003</v>
      </c>
      <c r="GG28" s="33">
        <v>33.084000000000003</v>
      </c>
      <c r="GH28" s="33">
        <v>3.1019999999999999</v>
      </c>
      <c r="GI28" s="33">
        <v>4.6520000000000001</v>
      </c>
      <c r="GJ28" s="33">
        <v>6.1520000000000001</v>
      </c>
      <c r="GK28" s="33">
        <v>13.957000000000001</v>
      </c>
      <c r="GL28" s="33">
        <v>10.339</v>
      </c>
      <c r="GM28" s="33">
        <v>8.3049999999999997</v>
      </c>
      <c r="GN28" s="33">
        <v>49.83</v>
      </c>
      <c r="GO28" s="33">
        <v>17.440000000000001</v>
      </c>
      <c r="GP28" s="33">
        <v>70.591999999999999</v>
      </c>
      <c r="GQ28" s="33">
        <v>11.627000000000001</v>
      </c>
      <c r="GR28" s="33">
        <v>98.828999999999994</v>
      </c>
      <c r="GS28" s="33">
        <v>26.244</v>
      </c>
      <c r="GT28" s="33">
        <v>78.897000000000006</v>
      </c>
      <c r="GU28" s="33">
        <v>20.928999999999998</v>
      </c>
      <c r="GV28" s="33">
        <v>14.052</v>
      </c>
      <c r="GW28" s="33">
        <v>16.966999999999999</v>
      </c>
      <c r="GX28" s="33">
        <v>72.253</v>
      </c>
      <c r="GY28" s="33">
        <v>3.3220000000000001</v>
      </c>
      <c r="GZ28" s="33">
        <v>9.9659999999999993</v>
      </c>
      <c r="HA28" s="33">
        <v>24.757000000000001</v>
      </c>
      <c r="HB28" s="33">
        <v>78.897000000000006</v>
      </c>
      <c r="HC28" s="33">
        <v>78.897000000000006</v>
      </c>
      <c r="HD28" s="33">
        <v>41.524999999999999</v>
      </c>
      <c r="HE28" s="3">
        <f>_xlfn.XLOOKUP(HE$1,generator!$B$2:$B$295,generator!$L$2:$L$295,"ARGH")</f>
        <v>17.600000000000001</v>
      </c>
      <c r="HF28" s="3">
        <f>_xlfn.XLOOKUP(HF$1,generator!$B$2:$B$295,generator!$L$2:$L$295,"ARGH")</f>
        <v>285</v>
      </c>
      <c r="HG28" s="3">
        <f>_xlfn.XLOOKUP(HG$1,generator!$B$2:$B$295,generator!$L$2:$L$295,"ARGH")</f>
        <v>285</v>
      </c>
      <c r="HH28" s="3">
        <f>_xlfn.XLOOKUP(HH$1,generator!$B$2:$B$295,generator!$L$2:$L$295,"ARGH")</f>
        <v>285</v>
      </c>
      <c r="HI28" s="3">
        <f>_xlfn.XLOOKUP(HI$1,generator!$B$2:$B$295,generator!$L$2:$L$295,"ARGH")</f>
        <v>58</v>
      </c>
      <c r="HJ28" s="3">
        <f>_xlfn.XLOOKUP(HJ$1,generator!$B$2:$B$295,generator!$L$2:$L$295,"ARGH")</f>
        <v>58</v>
      </c>
      <c r="HK28" s="3">
        <f>_xlfn.XLOOKUP(HK$1,generator!$B$2:$B$295,generator!$L$2:$L$295,"ARGH")</f>
        <v>53</v>
      </c>
      <c r="HL28" s="3">
        <f>_xlfn.XLOOKUP(HL$1,generator!$B$2:$B$295,generator!$L$2:$L$295,"ARGH")</f>
        <v>58</v>
      </c>
      <c r="HM28" s="3">
        <f>_xlfn.XLOOKUP(HM$1,generator!$B$2:$B$295,generator!$L$2:$L$295,"ARGH")</f>
        <v>58</v>
      </c>
      <c r="HN28" s="3">
        <f>_xlfn.XLOOKUP(HN$1,generator!$B$2:$B$295,generator!$L$2:$L$295,"ARGH")</f>
        <v>52</v>
      </c>
      <c r="HO28" s="3">
        <f>_xlfn.XLOOKUP(HO$1,generator!$B$2:$B$295,generator!$L$2:$L$295,"ARGH")</f>
        <v>52</v>
      </c>
      <c r="HP28" s="3">
        <f>_xlfn.XLOOKUP(HP$1,generator!$B$2:$B$295,generator!$L$2:$L$295,"ARGH")</f>
        <v>2</v>
      </c>
      <c r="HQ28" s="3">
        <f>_xlfn.XLOOKUP(HQ$1,generator!$B$2:$B$295,generator!$L$2:$L$295,"ARGH")</f>
        <v>29.2</v>
      </c>
      <c r="HR28" s="3">
        <f>_xlfn.XLOOKUP(HR$1,generator!$B$2:$B$295,generator!$L$2:$L$295,"ARGH")</f>
        <v>29.2</v>
      </c>
      <c r="HS28" s="3">
        <f>_xlfn.XLOOKUP(HS$1,generator!$B$2:$B$295,generator!$L$2:$L$295,"ARGH")</f>
        <v>41.61</v>
      </c>
      <c r="HT28" s="3">
        <f>_xlfn.XLOOKUP(HT$1,generator!$B$2:$B$295,generator!$L$2:$L$295,"ARGH")</f>
        <v>41.61</v>
      </c>
      <c r="HU28" s="3">
        <f>_xlfn.XLOOKUP(HU$1,generator!$B$2:$B$295,generator!$L$2:$L$295,"ARGH")</f>
        <v>160</v>
      </c>
      <c r="HV28" s="3">
        <f>_xlfn.XLOOKUP(HV$1,generator!$B$2:$B$295,generator!$L$2:$L$295,"ARGH")</f>
        <v>260</v>
      </c>
      <c r="HW28" s="3">
        <f>_xlfn.XLOOKUP(HW$1,generator!$B$2:$B$295,generator!$L$2:$L$295,"ARGH")</f>
        <v>52</v>
      </c>
      <c r="HX28" s="3">
        <f>_xlfn.XLOOKUP(HX$1,generator!$B$2:$B$295,generator!$L$2:$L$295,"ARGH")</f>
        <v>52</v>
      </c>
      <c r="HY28" s="3">
        <f>_xlfn.XLOOKUP(HY$1,generator!$B$2:$B$295,generator!$L$2:$L$295,"ARGH")</f>
        <v>101</v>
      </c>
      <c r="HZ28" s="3">
        <f>_xlfn.XLOOKUP(HZ$1,generator!$B$2:$B$295,generator!$L$2:$L$295,"ARGH")</f>
        <v>50</v>
      </c>
      <c r="IA28" s="3">
        <f>_xlfn.XLOOKUP(IA$1,generator!$B$2:$B$295,generator!$L$2:$L$295,"ARGH")</f>
        <v>400</v>
      </c>
      <c r="IB28" s="3">
        <f>_xlfn.XLOOKUP(IB$1,generator!$B$2:$B$295,generator!$L$2:$L$295,"ARGH")</f>
        <v>342</v>
      </c>
      <c r="IC28" s="3">
        <f>_xlfn.XLOOKUP(IC$1,generator!$B$2:$B$295,generator!$L$2:$L$295,"ARGH")</f>
        <v>3.0209999999999999</v>
      </c>
      <c r="ID28" s="3">
        <f>_xlfn.XLOOKUP(ID$1,generator!$B$2:$B$295,generator!$L$2:$L$295,"ARGH")</f>
        <v>200</v>
      </c>
      <c r="IE28" s="3">
        <f>_xlfn.XLOOKUP(IE$1,generator!$B$2:$B$295,generator!$L$2:$L$295,"ARGH")</f>
        <v>404</v>
      </c>
      <c r="IF28" s="3">
        <f>_xlfn.XLOOKUP(IF$1,generator!$B$2:$B$295,generator!$L$2:$L$295,"ARGH")</f>
        <v>21</v>
      </c>
      <c r="IG28" s="3">
        <f>_xlfn.XLOOKUP(IG$1,generator!$B$2:$B$295,generator!$L$2:$L$295,"ARGH")</f>
        <v>22</v>
      </c>
      <c r="IH28" s="3">
        <f>_xlfn.XLOOKUP(IH$1,generator!$B$2:$B$295,generator!$L$2:$L$295,"ARGH")</f>
        <v>19</v>
      </c>
      <c r="II28" s="3">
        <f>_xlfn.XLOOKUP(II$1,generator!$B$2:$B$295,generator!$L$2:$L$295,"ARGH")</f>
        <v>24</v>
      </c>
      <c r="IJ28" s="3">
        <f>_xlfn.XLOOKUP(IJ$1,generator!$B$2:$B$295,generator!$L$2:$L$295,"ARGH")</f>
        <v>4.3</v>
      </c>
      <c r="IK28" s="3">
        <f>_xlfn.XLOOKUP(IK$1,generator!$B$2:$B$295,generator!$L$2:$L$295,"ARGH")</f>
        <v>8</v>
      </c>
      <c r="IL28" s="3">
        <f>_xlfn.XLOOKUP(IL$1,generator!$B$2:$B$295,generator!$L$2:$L$295,"ARGH")</f>
        <v>22.5</v>
      </c>
      <c r="IM28" s="3">
        <f>_xlfn.XLOOKUP(IM$1,generator!$B$2:$B$295,generator!$L$2:$L$295,"ARGH")</f>
        <v>22.5</v>
      </c>
      <c r="IN28" s="3">
        <f>_xlfn.XLOOKUP(IN$1,generator!$B$2:$B$295,generator!$L$2:$L$295,"ARGH")</f>
        <v>10</v>
      </c>
      <c r="IO28" s="3">
        <f>_xlfn.XLOOKUP(IO$1,generator!$B$2:$B$295,generator!$L$2:$L$295,"ARGH")</f>
        <v>10</v>
      </c>
      <c r="IP28" s="3">
        <f>_xlfn.XLOOKUP(IP$1,generator!$B$2:$B$295,generator!$L$2:$L$295,"ARGH")</f>
        <v>15</v>
      </c>
      <c r="IQ28" s="3">
        <f>_xlfn.XLOOKUP(IQ$1,generator!$B$2:$B$295,generator!$L$2:$L$295,"ARGH")</f>
        <v>4</v>
      </c>
      <c r="IR28" s="3">
        <f>_xlfn.XLOOKUP(IR$1,generator!$B$2:$B$295,generator!$L$2:$L$295,"ARGH")</f>
        <v>15</v>
      </c>
      <c r="IS28" s="3">
        <f>_xlfn.XLOOKUP(IS$1,generator!$B$2:$B$295,generator!$L$2:$L$295,"ARGH")</f>
        <v>15</v>
      </c>
      <c r="IT28" s="3">
        <f>_xlfn.XLOOKUP(IT$1,generator!$B$2:$B$295,generator!$L$2:$L$295,"ARGH")</f>
        <v>0.18</v>
      </c>
      <c r="IU28" s="3">
        <f>_xlfn.XLOOKUP(IU$1,generator!$B$2:$B$295,generator!$L$2:$L$295,"ARGH")</f>
        <v>4</v>
      </c>
      <c r="IV28" s="3">
        <f>_xlfn.XLOOKUP(IV$1,generator!$B$2:$B$295,generator!$L$2:$L$295,"ARGH")</f>
        <v>4</v>
      </c>
      <c r="IW28" s="3">
        <f>_xlfn.XLOOKUP(IW$1,generator!$B$2:$B$295,generator!$L$2:$L$295,"ARGH")</f>
        <v>90</v>
      </c>
      <c r="IX28" s="3">
        <f>_xlfn.XLOOKUP(IX$1,generator!$B$2:$B$295,generator!$L$2:$L$295,"ARGH")</f>
        <v>90</v>
      </c>
      <c r="IY28" s="3">
        <f>_xlfn.XLOOKUP(IY$1,generator!$B$2:$B$295,generator!$L$2:$L$295,"ARGH")</f>
        <v>90</v>
      </c>
      <c r="IZ28" s="3">
        <f>_xlfn.XLOOKUP(IZ$1,generator!$B$2:$B$295,generator!$L$2:$L$295,"ARGH")</f>
        <v>449</v>
      </c>
      <c r="JA28" s="3">
        <f>_xlfn.XLOOKUP(JA$1,generator!$B$2:$B$295,generator!$L$2:$L$295,"ARGH")</f>
        <v>83</v>
      </c>
      <c r="JB28" s="3">
        <f>_xlfn.XLOOKUP(JB$1,generator!$B$2:$B$295,generator!$L$2:$L$295,"ARGH")</f>
        <v>83</v>
      </c>
      <c r="JC28" s="3">
        <f>_xlfn.XLOOKUP(JC$1,generator!$B$2:$B$295,generator!$L$2:$L$295,"ARGH")</f>
        <v>247</v>
      </c>
      <c r="JD28" s="3">
        <f>_xlfn.XLOOKUP(JD$1,generator!$B$2:$B$295,generator!$L$2:$L$295,"ARGH")</f>
        <v>247</v>
      </c>
      <c r="JE28" s="3">
        <f>_xlfn.XLOOKUP(JE$1,generator!$B$2:$B$295,generator!$L$2:$L$295,"ARGH")</f>
        <v>425</v>
      </c>
      <c r="JF28" s="3">
        <f>_xlfn.XLOOKUP(JF$1,generator!$B$2:$B$295,generator!$L$2:$L$295,"ARGH")</f>
        <v>63.5</v>
      </c>
      <c r="JG28" s="3">
        <f>_xlfn.XLOOKUP(JG$1,generator!$B$2:$B$295,generator!$L$2:$L$295,"ARGH")</f>
        <v>17</v>
      </c>
      <c r="JH28" s="3">
        <f>_xlfn.XLOOKUP(JH$1,generator!$B$2:$B$295,generator!$L$2:$L$295,"ARGH")</f>
        <v>444</v>
      </c>
      <c r="JI28" s="3">
        <f>_xlfn.XLOOKUP(JI$1,generator!$B$2:$B$295,generator!$L$2:$L$295,"ARGH")</f>
        <v>464</v>
      </c>
      <c r="JJ28" s="3">
        <f>_xlfn.XLOOKUP(JJ$1,generator!$B$2:$B$295,generator!$L$2:$L$295,"ARGH")</f>
        <v>18.54</v>
      </c>
      <c r="JK28" s="3">
        <f>_xlfn.XLOOKUP(JK$1,generator!$B$2:$B$295,generator!$L$2:$L$295,"ARGH")</f>
        <v>18.54</v>
      </c>
      <c r="JL28" s="3">
        <f>_xlfn.XLOOKUP(JL$1,generator!$B$2:$B$295,generator!$L$2:$L$295,"ARGH")</f>
        <v>18.54</v>
      </c>
      <c r="JM28" s="3">
        <f>_xlfn.XLOOKUP(JM$1,generator!$B$2:$B$295,generator!$L$2:$L$295,"ARGH")</f>
        <v>18.54</v>
      </c>
      <c r="JN28" s="3">
        <f>_xlfn.XLOOKUP(JN$1,generator!$B$2:$B$295,generator!$L$2:$L$295,"ARGH")</f>
        <v>18.54</v>
      </c>
      <c r="JO28" s="3">
        <f>_xlfn.XLOOKUP(JO$1,generator!$B$2:$B$295,generator!$L$2:$L$295,"ARGH")</f>
        <v>18.54</v>
      </c>
      <c r="JP28" s="3">
        <f>_xlfn.XLOOKUP(JP$1,generator!$B$2:$B$295,generator!$L$2:$L$295,"ARGH")</f>
        <v>415</v>
      </c>
      <c r="JQ28" s="3">
        <f>_xlfn.XLOOKUP(JQ$1,generator!$B$2:$B$295,generator!$L$2:$L$295,"ARGH")</f>
        <v>63.5</v>
      </c>
      <c r="JR28" s="3">
        <f>_xlfn.XLOOKUP(JR$1,generator!$B$2:$B$295,generator!$L$2:$L$295,"ARGH")</f>
        <v>350</v>
      </c>
      <c r="JS28" s="3">
        <f>_xlfn.XLOOKUP(JS$1,generator!$B$2:$B$295,generator!$L$2:$L$295,"ARGH")</f>
        <v>350</v>
      </c>
      <c r="JT28" s="3">
        <f>_xlfn.XLOOKUP(JT$1,generator!$B$2:$B$295,generator!$L$2:$L$295,"ARGH")</f>
        <v>63.5</v>
      </c>
      <c r="JU28" s="3">
        <f>_xlfn.XLOOKUP(JU$1,generator!$B$2:$B$295,generator!$L$2:$L$295,"ARGH")</f>
        <v>61.5</v>
      </c>
      <c r="JV28" s="3">
        <f>_xlfn.XLOOKUP(JV$1,generator!$B$2:$B$295,generator!$L$2:$L$295,"ARGH")</f>
        <v>240</v>
      </c>
      <c r="JW28" s="3">
        <f>_xlfn.XLOOKUP(JW$1,generator!$B$2:$B$295,generator!$L$2:$L$295,"ARGH")</f>
        <v>236</v>
      </c>
      <c r="JX28" s="3">
        <f>_xlfn.XLOOKUP(JX$1,generator!$B$2:$B$295,generator!$L$2:$L$295,"ARGH")</f>
        <v>20</v>
      </c>
      <c r="JY28" s="3">
        <f>_xlfn.XLOOKUP(JY$1,generator!$B$2:$B$295,generator!$L$2:$L$295,"ARGH")</f>
        <v>118</v>
      </c>
      <c r="JZ28" s="3">
        <f>_xlfn.XLOOKUP(JZ$1,generator!$B$2:$B$295,generator!$L$2:$L$295,"ARGH")</f>
        <v>73</v>
      </c>
      <c r="KA28" s="3">
        <f>_xlfn.XLOOKUP(KA$1,generator!$B$2:$B$295,generator!$L$2:$L$295,"ARGH")</f>
        <v>73</v>
      </c>
      <c r="KB28" s="3">
        <f>_xlfn.XLOOKUP(KB$1,generator!$B$2:$B$295,generator!$L$2:$L$295,"ARGH")</f>
        <v>73</v>
      </c>
      <c r="KC28" s="3">
        <f>_xlfn.XLOOKUP(KC$1,generator!$B$2:$B$295,generator!$L$2:$L$295,"ARGH")</f>
        <v>73</v>
      </c>
    </row>
    <row r="29" spans="1:289" x14ac:dyDescent="0.3">
      <c r="A29" s="4" t="s">
        <v>3024</v>
      </c>
      <c r="B29" s="31">
        <v>530</v>
      </c>
      <c r="C29" s="31">
        <v>513</v>
      </c>
      <c r="D29" s="31">
        <v>442</v>
      </c>
      <c r="E29" s="33">
        <v>13.497</v>
      </c>
      <c r="F29" s="33">
        <v>28.994</v>
      </c>
      <c r="G29" s="33">
        <v>13.497</v>
      </c>
      <c r="H29" s="33">
        <v>22.495000000000001</v>
      </c>
      <c r="I29" s="33">
        <v>44.491</v>
      </c>
      <c r="J29" s="33">
        <v>41.491999999999997</v>
      </c>
      <c r="K29" s="33">
        <v>11.247999999999999</v>
      </c>
      <c r="L29" s="33">
        <v>8.5980000000000008</v>
      </c>
      <c r="M29" s="33">
        <v>7.4980000000000002</v>
      </c>
      <c r="N29" s="33">
        <v>26.995000000000001</v>
      </c>
      <c r="O29" s="33">
        <v>2.6989999999999998</v>
      </c>
      <c r="P29" s="33">
        <v>12.797000000000001</v>
      </c>
      <c r="Q29" s="33">
        <v>17.596</v>
      </c>
      <c r="R29" s="33">
        <v>8.9979999999999993</v>
      </c>
      <c r="S29" s="33">
        <v>17.172000000000001</v>
      </c>
      <c r="T29" s="33">
        <v>11.997999999999999</v>
      </c>
      <c r="U29" s="33">
        <v>20.995999999999999</v>
      </c>
      <c r="V29" s="33">
        <v>10.573</v>
      </c>
      <c r="W29" s="33">
        <v>11.497999999999999</v>
      </c>
      <c r="X29" s="33">
        <v>16.196999999999999</v>
      </c>
      <c r="Y29" s="33">
        <v>8.3979999999999997</v>
      </c>
      <c r="Z29" s="33">
        <v>5.9489999999999998</v>
      </c>
      <c r="AA29" s="33">
        <v>5.399</v>
      </c>
      <c r="AB29" s="33">
        <v>28.494</v>
      </c>
      <c r="AC29" s="33">
        <v>32.843000000000004</v>
      </c>
      <c r="AD29" s="33">
        <v>11.598000000000001</v>
      </c>
      <c r="AE29" s="33">
        <v>9.9979999999999993</v>
      </c>
      <c r="AF29" s="33">
        <v>28.193999999999999</v>
      </c>
      <c r="AG29" s="33">
        <v>9.9979999999999993</v>
      </c>
      <c r="AH29" s="33">
        <v>5.9989999999999997</v>
      </c>
      <c r="AI29" s="33">
        <v>6.6989999999999998</v>
      </c>
      <c r="AJ29" s="33">
        <v>11.997999999999999</v>
      </c>
      <c r="AK29" s="33">
        <v>4.274</v>
      </c>
      <c r="AL29" s="33">
        <v>18.486000000000001</v>
      </c>
      <c r="AM29" s="33">
        <v>23.745000000000001</v>
      </c>
      <c r="AN29" s="33">
        <v>9.9979999999999993</v>
      </c>
      <c r="AO29" s="33">
        <v>6.899</v>
      </c>
      <c r="AP29" s="33">
        <v>27.145</v>
      </c>
      <c r="AQ29" s="33">
        <v>9.3480000000000008</v>
      </c>
      <c r="AR29" s="33">
        <v>8.7479999999999993</v>
      </c>
      <c r="AS29" s="33">
        <v>25.995000000000001</v>
      </c>
      <c r="AT29" s="33">
        <v>7.0650000000000004</v>
      </c>
      <c r="AU29" s="33">
        <v>18.995999999999999</v>
      </c>
      <c r="AV29" s="33">
        <v>16.247</v>
      </c>
      <c r="AW29" s="33">
        <v>16.497</v>
      </c>
      <c r="AX29" s="33">
        <v>9.1479999999999997</v>
      </c>
      <c r="AY29" s="33">
        <v>16.547000000000001</v>
      </c>
      <c r="AZ29" s="33">
        <v>18.920999999999999</v>
      </c>
      <c r="BA29" s="33">
        <v>6.9989999999999997</v>
      </c>
      <c r="BB29" s="33">
        <v>22.995000000000001</v>
      </c>
      <c r="BC29" s="33">
        <v>9.9979999999999993</v>
      </c>
      <c r="BD29" s="33">
        <v>5.9989999999999997</v>
      </c>
      <c r="BE29" s="33">
        <v>5.7489999999999997</v>
      </c>
      <c r="BF29" s="33">
        <v>44.991</v>
      </c>
      <c r="BG29" s="33">
        <v>7.4980000000000002</v>
      </c>
      <c r="BH29" s="33">
        <v>12.497</v>
      </c>
      <c r="BI29" s="33">
        <v>10.497999999999999</v>
      </c>
      <c r="BJ29" s="33">
        <v>20.995999999999999</v>
      </c>
      <c r="BK29" s="33">
        <v>5.9989999999999997</v>
      </c>
      <c r="BL29" s="33">
        <v>21.245999999999999</v>
      </c>
      <c r="BM29" s="33">
        <v>4.2489999999999997</v>
      </c>
      <c r="BN29" s="33">
        <v>14.997</v>
      </c>
      <c r="BO29" s="33">
        <v>21.315999999999999</v>
      </c>
      <c r="BP29" s="33">
        <v>57.088999999999999</v>
      </c>
      <c r="BQ29" s="33">
        <v>17.995999999999999</v>
      </c>
      <c r="BR29" s="33">
        <v>26.995000000000001</v>
      </c>
      <c r="BS29" s="33">
        <v>8.7479999999999993</v>
      </c>
      <c r="BT29" s="33">
        <v>17.247</v>
      </c>
      <c r="BU29" s="33">
        <v>2.4</v>
      </c>
      <c r="BV29" s="33">
        <v>5.149</v>
      </c>
      <c r="BW29" s="33">
        <v>6.7889999999999997</v>
      </c>
      <c r="BX29" s="33">
        <v>5.524</v>
      </c>
      <c r="BY29" s="33">
        <v>12.497</v>
      </c>
      <c r="BZ29" s="33">
        <v>20.396000000000001</v>
      </c>
      <c r="CA29" s="33">
        <v>29.744</v>
      </c>
      <c r="CB29" s="33">
        <v>16.997</v>
      </c>
      <c r="CC29" s="33">
        <v>14.247</v>
      </c>
      <c r="CD29" s="33">
        <v>19.196000000000002</v>
      </c>
      <c r="CE29" s="33">
        <v>12.497</v>
      </c>
      <c r="CF29" s="33">
        <v>8.048</v>
      </c>
      <c r="CG29" s="33">
        <v>8.7479999999999993</v>
      </c>
      <c r="CH29" s="33">
        <v>13.972</v>
      </c>
      <c r="CI29" s="33">
        <v>6.524</v>
      </c>
      <c r="CJ29" s="33">
        <v>2.2250000000000001</v>
      </c>
      <c r="CK29" s="33">
        <v>12.398</v>
      </c>
      <c r="CL29" s="33">
        <v>8.4480000000000004</v>
      </c>
      <c r="CM29" s="33">
        <v>7.4980000000000002</v>
      </c>
      <c r="CN29" s="33">
        <v>29.606999999999999</v>
      </c>
      <c r="CO29" s="33">
        <v>11.747999999999999</v>
      </c>
      <c r="CP29" s="33">
        <v>23.395</v>
      </c>
      <c r="CQ29" s="33">
        <v>15.997</v>
      </c>
      <c r="CR29" s="33">
        <v>12.997</v>
      </c>
      <c r="CS29" s="33">
        <v>10.997999999999999</v>
      </c>
      <c r="CT29" s="33">
        <v>14.897</v>
      </c>
      <c r="CU29" s="33">
        <v>6.899</v>
      </c>
      <c r="CV29" s="33">
        <v>12.647</v>
      </c>
      <c r="CW29" s="33">
        <v>13.997</v>
      </c>
      <c r="CX29" s="33">
        <v>6.2489999999999997</v>
      </c>
      <c r="CY29" s="33">
        <v>17.071999999999999</v>
      </c>
      <c r="CZ29" s="33">
        <v>5.9989999999999997</v>
      </c>
      <c r="DA29" s="33">
        <v>14.997</v>
      </c>
      <c r="DB29" s="33">
        <v>9.3979999999999997</v>
      </c>
      <c r="DC29" s="33">
        <v>7.0490000000000004</v>
      </c>
      <c r="DD29" s="33">
        <v>8.048</v>
      </c>
      <c r="DE29" s="33">
        <v>6.2489999999999997</v>
      </c>
      <c r="DF29" s="33">
        <v>10.798</v>
      </c>
      <c r="DG29" s="33">
        <v>17.971</v>
      </c>
      <c r="DH29" s="33">
        <v>37.491999999999997</v>
      </c>
      <c r="DI29" s="33">
        <v>17.995999999999999</v>
      </c>
      <c r="DJ29" s="33">
        <v>7.4980000000000002</v>
      </c>
      <c r="DK29" s="33">
        <v>10.348000000000001</v>
      </c>
      <c r="DL29" s="33">
        <v>18.521000000000001</v>
      </c>
      <c r="DM29" s="33">
        <v>8.9979999999999993</v>
      </c>
      <c r="DN29" s="33">
        <v>49.99</v>
      </c>
      <c r="DO29" s="33">
        <v>16.797000000000001</v>
      </c>
      <c r="DP29" s="33">
        <v>50.49</v>
      </c>
      <c r="DQ29" s="33">
        <v>1.17</v>
      </c>
      <c r="DR29" s="33">
        <v>45.591000000000001</v>
      </c>
      <c r="DS29" s="33">
        <v>8.048</v>
      </c>
      <c r="DT29" s="33">
        <v>15.047000000000001</v>
      </c>
      <c r="DU29" s="33">
        <v>7.4980000000000002</v>
      </c>
      <c r="DV29" s="33">
        <v>5.9390000000000001</v>
      </c>
      <c r="DW29" s="33">
        <v>6.9989999999999997</v>
      </c>
      <c r="DX29" s="33">
        <v>19.446000000000002</v>
      </c>
      <c r="DY29" s="33">
        <v>12.997</v>
      </c>
      <c r="DZ29" s="33">
        <v>5.8490000000000002</v>
      </c>
      <c r="EA29" s="33">
        <v>19.995999999999999</v>
      </c>
      <c r="EB29" s="33">
        <v>17.995999999999999</v>
      </c>
      <c r="EC29" s="33">
        <v>11.497999999999999</v>
      </c>
      <c r="ED29" s="33">
        <v>14.397</v>
      </c>
      <c r="EE29" s="33">
        <v>24.395</v>
      </c>
      <c r="EF29" s="33">
        <v>7.4980000000000002</v>
      </c>
      <c r="EG29" s="33">
        <v>4.5990000000000002</v>
      </c>
      <c r="EH29" s="33">
        <v>20.696000000000002</v>
      </c>
      <c r="EI29" s="33">
        <v>7.399</v>
      </c>
      <c r="EJ29" s="33">
        <v>4.5990000000000002</v>
      </c>
      <c r="EK29" s="33">
        <v>7.4980000000000002</v>
      </c>
      <c r="EL29" s="33">
        <v>11.997999999999999</v>
      </c>
      <c r="EM29" s="33">
        <v>16.097000000000001</v>
      </c>
      <c r="EN29" s="33">
        <v>9.1980000000000004</v>
      </c>
      <c r="EO29" s="33">
        <v>9.9979999999999993</v>
      </c>
      <c r="EP29" s="33">
        <v>7.0490000000000004</v>
      </c>
      <c r="EQ29" s="33">
        <v>17.247</v>
      </c>
      <c r="ER29" s="33">
        <v>5.2489999999999997</v>
      </c>
      <c r="ES29" s="33">
        <v>5.7489999999999997</v>
      </c>
      <c r="ET29" s="33">
        <v>11.548</v>
      </c>
      <c r="EU29" s="33">
        <v>42.470999999999997</v>
      </c>
      <c r="EV29" s="33">
        <v>8.6229999999999993</v>
      </c>
      <c r="EW29" s="33">
        <v>39.991999999999997</v>
      </c>
      <c r="EX29" s="33">
        <v>44.915999999999997</v>
      </c>
      <c r="EY29" s="33">
        <v>2.6989999999999998</v>
      </c>
      <c r="EZ29" s="33">
        <v>3.629</v>
      </c>
      <c r="FA29" s="33">
        <v>2.9689999999999999</v>
      </c>
      <c r="FB29" s="33">
        <v>9.9979999999999993</v>
      </c>
      <c r="FC29" s="33">
        <v>14.247</v>
      </c>
      <c r="FD29" s="33">
        <v>9.9979999999999993</v>
      </c>
      <c r="FE29" s="33">
        <v>13.797000000000001</v>
      </c>
      <c r="FF29" s="33">
        <v>8.9979999999999993</v>
      </c>
      <c r="FG29" s="33">
        <v>7.4980000000000002</v>
      </c>
      <c r="FH29" s="33">
        <v>6.2489999999999997</v>
      </c>
      <c r="FI29" s="33">
        <v>23.995000000000001</v>
      </c>
      <c r="FJ29" s="33">
        <v>15.307</v>
      </c>
      <c r="FK29" s="33">
        <v>22.170999999999999</v>
      </c>
      <c r="FL29" s="33">
        <v>7.399</v>
      </c>
      <c r="FM29" s="33">
        <v>20.446000000000002</v>
      </c>
      <c r="FN29" s="33">
        <v>10.247999999999999</v>
      </c>
      <c r="FO29" s="33">
        <v>36.792999999999999</v>
      </c>
      <c r="FP29" s="33">
        <v>52.488999999999997</v>
      </c>
      <c r="FQ29" s="33">
        <v>9.5980000000000008</v>
      </c>
      <c r="FR29" s="33">
        <v>5.7489999999999997</v>
      </c>
      <c r="FS29" s="33">
        <v>6.899</v>
      </c>
      <c r="FT29" s="33">
        <v>8.6229999999999993</v>
      </c>
      <c r="FU29" s="33">
        <v>34.993000000000002</v>
      </c>
      <c r="FV29" s="33">
        <v>6.649</v>
      </c>
      <c r="FW29" s="33">
        <v>7.5880000000000001</v>
      </c>
      <c r="FX29" s="33">
        <v>7.4980000000000002</v>
      </c>
      <c r="FY29" s="33">
        <v>6.899</v>
      </c>
      <c r="FZ29" s="33">
        <v>6.899</v>
      </c>
      <c r="GA29" s="33">
        <v>7.4980000000000002</v>
      </c>
      <c r="GB29" s="33">
        <v>6.2489999999999997</v>
      </c>
      <c r="GC29" s="33">
        <v>3.2989999999999999</v>
      </c>
      <c r="GD29" s="33">
        <v>6.2990000000000004</v>
      </c>
      <c r="GE29" s="33">
        <v>6.899</v>
      </c>
      <c r="GF29" s="33">
        <v>52.488999999999997</v>
      </c>
      <c r="GG29" s="33">
        <v>31.994</v>
      </c>
      <c r="GH29" s="33">
        <v>2.9990000000000001</v>
      </c>
      <c r="GI29" s="33">
        <v>4.4989999999999997</v>
      </c>
      <c r="GJ29" s="33">
        <v>5.9489999999999998</v>
      </c>
      <c r="GK29" s="33">
        <v>13.497</v>
      </c>
      <c r="GL29" s="33">
        <v>9.9979999999999993</v>
      </c>
      <c r="GM29" s="33">
        <v>8.1910000000000007</v>
      </c>
      <c r="GN29" s="33">
        <v>49.146999999999998</v>
      </c>
      <c r="GO29" s="33">
        <v>17.201000000000001</v>
      </c>
      <c r="GP29" s="33">
        <v>69.625</v>
      </c>
      <c r="GQ29" s="33">
        <v>11.468</v>
      </c>
      <c r="GR29" s="33">
        <v>97.474999999999994</v>
      </c>
      <c r="GS29" s="33">
        <v>25.884</v>
      </c>
      <c r="GT29" s="33">
        <v>77.816000000000003</v>
      </c>
      <c r="GU29" s="33">
        <v>20.641999999999999</v>
      </c>
      <c r="GV29" s="33">
        <v>13.859</v>
      </c>
      <c r="GW29" s="33">
        <v>16.734999999999999</v>
      </c>
      <c r="GX29" s="33">
        <v>71.263000000000005</v>
      </c>
      <c r="GY29" s="33">
        <v>3.2759999999999998</v>
      </c>
      <c r="GZ29" s="33">
        <v>9.8290000000000006</v>
      </c>
      <c r="HA29" s="33">
        <v>24.417999999999999</v>
      </c>
      <c r="HB29" s="33">
        <v>77.816000000000003</v>
      </c>
      <c r="HC29" s="33">
        <v>77.816000000000003</v>
      </c>
      <c r="HD29" s="33">
        <v>40.956000000000003</v>
      </c>
      <c r="HE29" s="3">
        <f>_xlfn.XLOOKUP(HE$1,generator!$B$2:$B$295,generator!$L$2:$L$295,"ARGH")</f>
        <v>17.600000000000001</v>
      </c>
      <c r="HF29" s="3">
        <f>_xlfn.XLOOKUP(HF$1,generator!$B$2:$B$295,generator!$L$2:$L$295,"ARGH")</f>
        <v>285</v>
      </c>
      <c r="HG29" s="3">
        <f>_xlfn.XLOOKUP(HG$1,generator!$B$2:$B$295,generator!$L$2:$L$295,"ARGH")</f>
        <v>285</v>
      </c>
      <c r="HH29" s="3">
        <f>_xlfn.XLOOKUP(HH$1,generator!$B$2:$B$295,generator!$L$2:$L$295,"ARGH")</f>
        <v>285</v>
      </c>
      <c r="HI29" s="3">
        <f>_xlfn.XLOOKUP(HI$1,generator!$B$2:$B$295,generator!$L$2:$L$295,"ARGH")</f>
        <v>58</v>
      </c>
      <c r="HJ29" s="3">
        <f>_xlfn.XLOOKUP(HJ$1,generator!$B$2:$B$295,generator!$L$2:$L$295,"ARGH")</f>
        <v>58</v>
      </c>
      <c r="HK29" s="3">
        <f>_xlfn.XLOOKUP(HK$1,generator!$B$2:$B$295,generator!$L$2:$L$295,"ARGH")</f>
        <v>53</v>
      </c>
      <c r="HL29" s="3">
        <f>_xlfn.XLOOKUP(HL$1,generator!$B$2:$B$295,generator!$L$2:$L$295,"ARGH")</f>
        <v>58</v>
      </c>
      <c r="HM29" s="3">
        <f>_xlfn.XLOOKUP(HM$1,generator!$B$2:$B$295,generator!$L$2:$L$295,"ARGH")</f>
        <v>58</v>
      </c>
      <c r="HN29" s="3">
        <f>_xlfn.XLOOKUP(HN$1,generator!$B$2:$B$295,generator!$L$2:$L$295,"ARGH")</f>
        <v>52</v>
      </c>
      <c r="HO29" s="3">
        <f>_xlfn.XLOOKUP(HO$1,generator!$B$2:$B$295,generator!$L$2:$L$295,"ARGH")</f>
        <v>52</v>
      </c>
      <c r="HP29" s="3">
        <f>_xlfn.XLOOKUP(HP$1,generator!$B$2:$B$295,generator!$L$2:$L$295,"ARGH")</f>
        <v>2</v>
      </c>
      <c r="HQ29" s="3">
        <f>_xlfn.XLOOKUP(HQ$1,generator!$B$2:$B$295,generator!$L$2:$L$295,"ARGH")</f>
        <v>29.2</v>
      </c>
      <c r="HR29" s="3">
        <f>_xlfn.XLOOKUP(HR$1,generator!$B$2:$B$295,generator!$L$2:$L$295,"ARGH")</f>
        <v>29.2</v>
      </c>
      <c r="HS29" s="3">
        <f>_xlfn.XLOOKUP(HS$1,generator!$B$2:$B$295,generator!$L$2:$L$295,"ARGH")</f>
        <v>41.61</v>
      </c>
      <c r="HT29" s="3">
        <f>_xlfn.XLOOKUP(HT$1,generator!$B$2:$B$295,generator!$L$2:$L$295,"ARGH")</f>
        <v>41.61</v>
      </c>
      <c r="HU29" s="3">
        <f>_xlfn.XLOOKUP(HU$1,generator!$B$2:$B$295,generator!$L$2:$L$295,"ARGH")</f>
        <v>160</v>
      </c>
      <c r="HV29" s="3">
        <f>_xlfn.XLOOKUP(HV$1,generator!$B$2:$B$295,generator!$L$2:$L$295,"ARGH")</f>
        <v>260</v>
      </c>
      <c r="HW29" s="3">
        <f>_xlfn.XLOOKUP(HW$1,generator!$B$2:$B$295,generator!$L$2:$L$295,"ARGH")</f>
        <v>52</v>
      </c>
      <c r="HX29" s="3">
        <f>_xlfn.XLOOKUP(HX$1,generator!$B$2:$B$295,generator!$L$2:$L$295,"ARGH")</f>
        <v>52</v>
      </c>
      <c r="HY29" s="3">
        <f>_xlfn.XLOOKUP(HY$1,generator!$B$2:$B$295,generator!$L$2:$L$295,"ARGH")</f>
        <v>101</v>
      </c>
      <c r="HZ29" s="3">
        <f>_xlfn.XLOOKUP(HZ$1,generator!$B$2:$B$295,generator!$L$2:$L$295,"ARGH")</f>
        <v>50</v>
      </c>
      <c r="IA29" s="3">
        <f>_xlfn.XLOOKUP(IA$1,generator!$B$2:$B$295,generator!$L$2:$L$295,"ARGH")</f>
        <v>400</v>
      </c>
      <c r="IB29" s="3">
        <f>_xlfn.XLOOKUP(IB$1,generator!$B$2:$B$295,generator!$L$2:$L$295,"ARGH")</f>
        <v>342</v>
      </c>
      <c r="IC29" s="3">
        <f>_xlfn.XLOOKUP(IC$1,generator!$B$2:$B$295,generator!$L$2:$L$295,"ARGH")</f>
        <v>3.0209999999999999</v>
      </c>
      <c r="ID29" s="3">
        <f>_xlfn.XLOOKUP(ID$1,generator!$B$2:$B$295,generator!$L$2:$L$295,"ARGH")</f>
        <v>200</v>
      </c>
      <c r="IE29" s="3">
        <f>_xlfn.XLOOKUP(IE$1,generator!$B$2:$B$295,generator!$L$2:$L$295,"ARGH")</f>
        <v>404</v>
      </c>
      <c r="IF29" s="3">
        <f>_xlfn.XLOOKUP(IF$1,generator!$B$2:$B$295,generator!$L$2:$L$295,"ARGH")</f>
        <v>21</v>
      </c>
      <c r="IG29" s="3">
        <f>_xlfn.XLOOKUP(IG$1,generator!$B$2:$B$295,generator!$L$2:$L$295,"ARGH")</f>
        <v>22</v>
      </c>
      <c r="IH29" s="3">
        <f>_xlfn.XLOOKUP(IH$1,generator!$B$2:$B$295,generator!$L$2:$L$295,"ARGH")</f>
        <v>19</v>
      </c>
      <c r="II29" s="3">
        <f>_xlfn.XLOOKUP(II$1,generator!$B$2:$B$295,generator!$L$2:$L$295,"ARGH")</f>
        <v>24</v>
      </c>
      <c r="IJ29" s="3">
        <f>_xlfn.XLOOKUP(IJ$1,generator!$B$2:$B$295,generator!$L$2:$L$295,"ARGH")</f>
        <v>4.3</v>
      </c>
      <c r="IK29" s="3">
        <f>_xlfn.XLOOKUP(IK$1,generator!$B$2:$B$295,generator!$L$2:$L$295,"ARGH")</f>
        <v>8</v>
      </c>
      <c r="IL29" s="3">
        <f>_xlfn.XLOOKUP(IL$1,generator!$B$2:$B$295,generator!$L$2:$L$295,"ARGH")</f>
        <v>22.5</v>
      </c>
      <c r="IM29" s="3">
        <f>_xlfn.XLOOKUP(IM$1,generator!$B$2:$B$295,generator!$L$2:$L$295,"ARGH")</f>
        <v>22.5</v>
      </c>
      <c r="IN29" s="3">
        <f>_xlfn.XLOOKUP(IN$1,generator!$B$2:$B$295,generator!$L$2:$L$295,"ARGH")</f>
        <v>10</v>
      </c>
      <c r="IO29" s="3">
        <f>_xlfn.XLOOKUP(IO$1,generator!$B$2:$B$295,generator!$L$2:$L$295,"ARGH")</f>
        <v>10</v>
      </c>
      <c r="IP29" s="3">
        <f>_xlfn.XLOOKUP(IP$1,generator!$B$2:$B$295,generator!$L$2:$L$295,"ARGH")</f>
        <v>15</v>
      </c>
      <c r="IQ29" s="3">
        <f>_xlfn.XLOOKUP(IQ$1,generator!$B$2:$B$295,generator!$L$2:$L$295,"ARGH")</f>
        <v>4</v>
      </c>
      <c r="IR29" s="3">
        <f>_xlfn.XLOOKUP(IR$1,generator!$B$2:$B$295,generator!$L$2:$L$295,"ARGH")</f>
        <v>15</v>
      </c>
      <c r="IS29" s="3">
        <f>_xlfn.XLOOKUP(IS$1,generator!$B$2:$B$295,generator!$L$2:$L$295,"ARGH")</f>
        <v>15</v>
      </c>
      <c r="IT29" s="3">
        <f>_xlfn.XLOOKUP(IT$1,generator!$B$2:$B$295,generator!$L$2:$L$295,"ARGH")</f>
        <v>0.18</v>
      </c>
      <c r="IU29" s="3">
        <f>_xlfn.XLOOKUP(IU$1,generator!$B$2:$B$295,generator!$L$2:$L$295,"ARGH")</f>
        <v>4</v>
      </c>
      <c r="IV29" s="3">
        <f>_xlfn.XLOOKUP(IV$1,generator!$B$2:$B$295,generator!$L$2:$L$295,"ARGH")</f>
        <v>4</v>
      </c>
      <c r="IW29" s="3">
        <f>_xlfn.XLOOKUP(IW$1,generator!$B$2:$B$295,generator!$L$2:$L$295,"ARGH")</f>
        <v>90</v>
      </c>
      <c r="IX29" s="3">
        <f>_xlfn.XLOOKUP(IX$1,generator!$B$2:$B$295,generator!$L$2:$L$295,"ARGH")</f>
        <v>90</v>
      </c>
      <c r="IY29" s="3">
        <f>_xlfn.XLOOKUP(IY$1,generator!$B$2:$B$295,generator!$L$2:$L$295,"ARGH")</f>
        <v>90</v>
      </c>
      <c r="IZ29" s="3">
        <f>_xlfn.XLOOKUP(IZ$1,generator!$B$2:$B$295,generator!$L$2:$L$295,"ARGH")</f>
        <v>449</v>
      </c>
      <c r="JA29" s="3">
        <f>_xlfn.XLOOKUP(JA$1,generator!$B$2:$B$295,generator!$L$2:$L$295,"ARGH")</f>
        <v>83</v>
      </c>
      <c r="JB29" s="3">
        <f>_xlfn.XLOOKUP(JB$1,generator!$B$2:$B$295,generator!$L$2:$L$295,"ARGH")</f>
        <v>83</v>
      </c>
      <c r="JC29" s="3">
        <f>_xlfn.XLOOKUP(JC$1,generator!$B$2:$B$295,generator!$L$2:$L$295,"ARGH")</f>
        <v>247</v>
      </c>
      <c r="JD29" s="3">
        <f>_xlfn.XLOOKUP(JD$1,generator!$B$2:$B$295,generator!$L$2:$L$295,"ARGH")</f>
        <v>247</v>
      </c>
      <c r="JE29" s="3">
        <f>_xlfn.XLOOKUP(JE$1,generator!$B$2:$B$295,generator!$L$2:$L$295,"ARGH")</f>
        <v>425</v>
      </c>
      <c r="JF29" s="3">
        <f>_xlfn.XLOOKUP(JF$1,generator!$B$2:$B$295,generator!$L$2:$L$295,"ARGH")</f>
        <v>63.5</v>
      </c>
      <c r="JG29" s="3">
        <f>_xlfn.XLOOKUP(JG$1,generator!$B$2:$B$295,generator!$L$2:$L$295,"ARGH")</f>
        <v>17</v>
      </c>
      <c r="JH29" s="3">
        <f>_xlfn.XLOOKUP(JH$1,generator!$B$2:$B$295,generator!$L$2:$L$295,"ARGH")</f>
        <v>444</v>
      </c>
      <c r="JI29" s="3">
        <f>_xlfn.XLOOKUP(JI$1,generator!$B$2:$B$295,generator!$L$2:$L$295,"ARGH")</f>
        <v>464</v>
      </c>
      <c r="JJ29" s="3">
        <f>_xlfn.XLOOKUP(JJ$1,generator!$B$2:$B$295,generator!$L$2:$L$295,"ARGH")</f>
        <v>18.54</v>
      </c>
      <c r="JK29" s="3">
        <f>_xlfn.XLOOKUP(JK$1,generator!$B$2:$B$295,generator!$L$2:$L$295,"ARGH")</f>
        <v>18.54</v>
      </c>
      <c r="JL29" s="3">
        <f>_xlfn.XLOOKUP(JL$1,generator!$B$2:$B$295,generator!$L$2:$L$295,"ARGH")</f>
        <v>18.54</v>
      </c>
      <c r="JM29" s="3">
        <f>_xlfn.XLOOKUP(JM$1,generator!$B$2:$B$295,generator!$L$2:$L$295,"ARGH")</f>
        <v>18.54</v>
      </c>
      <c r="JN29" s="3">
        <f>_xlfn.XLOOKUP(JN$1,generator!$B$2:$B$295,generator!$L$2:$L$295,"ARGH")</f>
        <v>18.54</v>
      </c>
      <c r="JO29" s="3">
        <f>_xlfn.XLOOKUP(JO$1,generator!$B$2:$B$295,generator!$L$2:$L$295,"ARGH")</f>
        <v>18.54</v>
      </c>
      <c r="JP29" s="3">
        <f>_xlfn.XLOOKUP(JP$1,generator!$B$2:$B$295,generator!$L$2:$L$295,"ARGH")</f>
        <v>415</v>
      </c>
      <c r="JQ29" s="3">
        <f>_xlfn.XLOOKUP(JQ$1,generator!$B$2:$B$295,generator!$L$2:$L$295,"ARGH")</f>
        <v>63.5</v>
      </c>
      <c r="JR29" s="3">
        <f>_xlfn.XLOOKUP(JR$1,generator!$B$2:$B$295,generator!$L$2:$L$295,"ARGH")</f>
        <v>350</v>
      </c>
      <c r="JS29" s="3">
        <f>_xlfn.XLOOKUP(JS$1,generator!$B$2:$B$295,generator!$L$2:$L$295,"ARGH")</f>
        <v>350</v>
      </c>
      <c r="JT29" s="3">
        <f>_xlfn.XLOOKUP(JT$1,generator!$B$2:$B$295,generator!$L$2:$L$295,"ARGH")</f>
        <v>63.5</v>
      </c>
      <c r="JU29" s="3">
        <f>_xlfn.XLOOKUP(JU$1,generator!$B$2:$B$295,generator!$L$2:$L$295,"ARGH")</f>
        <v>61.5</v>
      </c>
      <c r="JV29" s="3">
        <f>_xlfn.XLOOKUP(JV$1,generator!$B$2:$B$295,generator!$L$2:$L$295,"ARGH")</f>
        <v>240</v>
      </c>
      <c r="JW29" s="3">
        <f>_xlfn.XLOOKUP(JW$1,generator!$B$2:$B$295,generator!$L$2:$L$295,"ARGH")</f>
        <v>236</v>
      </c>
      <c r="JX29" s="3">
        <f>_xlfn.XLOOKUP(JX$1,generator!$B$2:$B$295,generator!$L$2:$L$295,"ARGH")</f>
        <v>20</v>
      </c>
      <c r="JY29" s="3">
        <f>_xlfn.XLOOKUP(JY$1,generator!$B$2:$B$295,generator!$L$2:$L$295,"ARGH")</f>
        <v>118</v>
      </c>
      <c r="JZ29" s="3">
        <f>_xlfn.XLOOKUP(JZ$1,generator!$B$2:$B$295,generator!$L$2:$L$295,"ARGH")</f>
        <v>73</v>
      </c>
      <c r="KA29" s="3">
        <f>_xlfn.XLOOKUP(KA$1,generator!$B$2:$B$295,generator!$L$2:$L$295,"ARGH")</f>
        <v>73</v>
      </c>
      <c r="KB29" s="3">
        <f>_xlfn.XLOOKUP(KB$1,generator!$B$2:$B$295,generator!$L$2:$L$295,"ARGH")</f>
        <v>73</v>
      </c>
      <c r="KC29" s="3">
        <f>_xlfn.XLOOKUP(KC$1,generator!$B$2:$B$295,generator!$L$2:$L$295,"ARGH")</f>
        <v>73</v>
      </c>
    </row>
    <row r="30" spans="1:289" x14ac:dyDescent="0.3">
      <c r="A30" s="4" t="s">
        <v>3025</v>
      </c>
      <c r="B30" s="31">
        <v>529.5</v>
      </c>
      <c r="C30" s="31">
        <v>511</v>
      </c>
      <c r="D30" s="31">
        <v>332.5</v>
      </c>
      <c r="E30" s="33">
        <v>13.564</v>
      </c>
      <c r="F30" s="33">
        <v>29.137</v>
      </c>
      <c r="G30" s="33">
        <v>13.564</v>
      </c>
      <c r="H30" s="33">
        <v>22.606000000000002</v>
      </c>
      <c r="I30" s="33">
        <v>44.71</v>
      </c>
      <c r="J30" s="33">
        <v>41.695999999999998</v>
      </c>
      <c r="K30" s="33">
        <v>11.303000000000001</v>
      </c>
      <c r="L30" s="33">
        <v>8.641</v>
      </c>
      <c r="M30" s="33">
        <v>7.5350000000000001</v>
      </c>
      <c r="N30" s="33">
        <v>27.126999999999999</v>
      </c>
      <c r="O30" s="33">
        <v>2.7130000000000001</v>
      </c>
      <c r="P30" s="33">
        <v>12.86</v>
      </c>
      <c r="Q30" s="33">
        <v>17.683</v>
      </c>
      <c r="R30" s="33">
        <v>9.0419999999999998</v>
      </c>
      <c r="S30" s="33">
        <v>17.256</v>
      </c>
      <c r="T30" s="33">
        <v>12.057</v>
      </c>
      <c r="U30" s="33">
        <v>21.099</v>
      </c>
      <c r="V30" s="33">
        <v>10.625</v>
      </c>
      <c r="W30" s="33">
        <v>11.554</v>
      </c>
      <c r="X30" s="33">
        <v>16.276</v>
      </c>
      <c r="Y30" s="33">
        <v>8.44</v>
      </c>
      <c r="Z30" s="33">
        <v>5.9779999999999998</v>
      </c>
      <c r="AA30" s="33">
        <v>5.4249999999999998</v>
      </c>
      <c r="AB30" s="33">
        <v>28.634</v>
      </c>
      <c r="AC30" s="33">
        <v>33.005000000000003</v>
      </c>
      <c r="AD30" s="33">
        <v>11.654999999999999</v>
      </c>
      <c r="AE30" s="33">
        <v>10.047000000000001</v>
      </c>
      <c r="AF30" s="33">
        <v>28.332999999999998</v>
      </c>
      <c r="AG30" s="33">
        <v>10.047000000000001</v>
      </c>
      <c r="AH30" s="33">
        <v>6.0279999999999996</v>
      </c>
      <c r="AI30" s="33">
        <v>6.7320000000000002</v>
      </c>
      <c r="AJ30" s="33">
        <v>12.057</v>
      </c>
      <c r="AK30" s="33">
        <v>4.2949999999999999</v>
      </c>
      <c r="AL30" s="33">
        <v>18.577000000000002</v>
      </c>
      <c r="AM30" s="33">
        <v>23.861999999999998</v>
      </c>
      <c r="AN30" s="33">
        <v>10.047000000000001</v>
      </c>
      <c r="AO30" s="33">
        <v>6.9329999999999998</v>
      </c>
      <c r="AP30" s="33">
        <v>27.277999999999999</v>
      </c>
      <c r="AQ30" s="33">
        <v>9.3940000000000001</v>
      </c>
      <c r="AR30" s="33">
        <v>8.7910000000000004</v>
      </c>
      <c r="AS30" s="33">
        <v>26.123000000000001</v>
      </c>
      <c r="AT30" s="33">
        <v>7.0990000000000002</v>
      </c>
      <c r="AU30" s="33">
        <v>19.09</v>
      </c>
      <c r="AV30" s="33">
        <v>16.327000000000002</v>
      </c>
      <c r="AW30" s="33">
        <v>16.577999999999999</v>
      </c>
      <c r="AX30" s="33">
        <v>9.1929999999999996</v>
      </c>
      <c r="AY30" s="33">
        <v>16.628</v>
      </c>
      <c r="AZ30" s="33">
        <v>19.013999999999999</v>
      </c>
      <c r="BA30" s="33">
        <v>7.0330000000000004</v>
      </c>
      <c r="BB30" s="33">
        <v>23.108000000000001</v>
      </c>
      <c r="BC30" s="33">
        <v>10.047000000000001</v>
      </c>
      <c r="BD30" s="33">
        <v>6.0279999999999996</v>
      </c>
      <c r="BE30" s="33">
        <v>5.7770000000000001</v>
      </c>
      <c r="BF30" s="33">
        <v>45.212000000000003</v>
      </c>
      <c r="BG30" s="33">
        <v>7.5350000000000001</v>
      </c>
      <c r="BH30" s="33">
        <v>12.558999999999999</v>
      </c>
      <c r="BI30" s="33">
        <v>10.55</v>
      </c>
      <c r="BJ30" s="33">
        <v>21.099</v>
      </c>
      <c r="BK30" s="33">
        <v>6.0279999999999996</v>
      </c>
      <c r="BL30" s="33">
        <v>21.35</v>
      </c>
      <c r="BM30" s="33">
        <v>4.2699999999999996</v>
      </c>
      <c r="BN30" s="33">
        <v>15.071</v>
      </c>
      <c r="BO30" s="33">
        <v>21.420999999999999</v>
      </c>
      <c r="BP30" s="33">
        <v>57.369</v>
      </c>
      <c r="BQ30" s="33">
        <v>18.085000000000001</v>
      </c>
      <c r="BR30" s="33">
        <v>27.126999999999999</v>
      </c>
      <c r="BS30" s="33">
        <v>8.7910000000000004</v>
      </c>
      <c r="BT30" s="33">
        <v>17.331</v>
      </c>
      <c r="BU30" s="33">
        <v>2.411</v>
      </c>
      <c r="BV30" s="33">
        <v>5.1740000000000004</v>
      </c>
      <c r="BW30" s="33">
        <v>6.8220000000000001</v>
      </c>
      <c r="BX30" s="33">
        <v>5.5510000000000002</v>
      </c>
      <c r="BY30" s="33">
        <v>12.558999999999999</v>
      </c>
      <c r="BZ30" s="33">
        <v>20.495999999999999</v>
      </c>
      <c r="CA30" s="33">
        <v>29.89</v>
      </c>
      <c r="CB30" s="33">
        <v>17.079999999999998</v>
      </c>
      <c r="CC30" s="33">
        <v>14.317</v>
      </c>
      <c r="CD30" s="33">
        <v>19.291</v>
      </c>
      <c r="CE30" s="33">
        <v>12.558999999999999</v>
      </c>
      <c r="CF30" s="33">
        <v>8.0879999999999992</v>
      </c>
      <c r="CG30" s="33">
        <v>8.7910000000000004</v>
      </c>
      <c r="CH30" s="33">
        <v>14.041</v>
      </c>
      <c r="CI30" s="33">
        <v>6.556</v>
      </c>
      <c r="CJ30" s="33">
        <v>2.2349999999999999</v>
      </c>
      <c r="CK30" s="33">
        <v>12.458</v>
      </c>
      <c r="CL30" s="33">
        <v>8.49</v>
      </c>
      <c r="CM30" s="33">
        <v>7.5350000000000001</v>
      </c>
      <c r="CN30" s="33">
        <v>29.751999999999999</v>
      </c>
      <c r="CO30" s="33">
        <v>11.805</v>
      </c>
      <c r="CP30" s="33">
        <v>23.51</v>
      </c>
      <c r="CQ30" s="33">
        <v>16.074999999999999</v>
      </c>
      <c r="CR30" s="33">
        <v>13.061</v>
      </c>
      <c r="CS30" s="33">
        <v>11.052</v>
      </c>
      <c r="CT30" s="33">
        <v>14.97</v>
      </c>
      <c r="CU30" s="33">
        <v>6.9329999999999998</v>
      </c>
      <c r="CV30" s="33">
        <v>12.71</v>
      </c>
      <c r="CW30" s="33">
        <v>14.066000000000001</v>
      </c>
      <c r="CX30" s="33">
        <v>6.2789999999999999</v>
      </c>
      <c r="CY30" s="33">
        <v>17.155999999999999</v>
      </c>
      <c r="CZ30" s="33">
        <v>6.0279999999999996</v>
      </c>
      <c r="DA30" s="33">
        <v>15.071</v>
      </c>
      <c r="DB30" s="33">
        <v>9.4440000000000008</v>
      </c>
      <c r="DC30" s="33">
        <v>7.0830000000000002</v>
      </c>
      <c r="DD30" s="33">
        <v>8.0879999999999992</v>
      </c>
      <c r="DE30" s="33">
        <v>6.2789999999999999</v>
      </c>
      <c r="DF30" s="33">
        <v>10.851000000000001</v>
      </c>
      <c r="DG30" s="33">
        <v>18.059999999999999</v>
      </c>
      <c r="DH30" s="33">
        <v>37.677</v>
      </c>
      <c r="DI30" s="33">
        <v>18.085000000000001</v>
      </c>
      <c r="DJ30" s="33">
        <v>7.5350000000000001</v>
      </c>
      <c r="DK30" s="33">
        <v>10.398999999999999</v>
      </c>
      <c r="DL30" s="33">
        <v>18.611999999999998</v>
      </c>
      <c r="DM30" s="33">
        <v>9.0419999999999998</v>
      </c>
      <c r="DN30" s="33">
        <v>50.235999999999997</v>
      </c>
      <c r="DO30" s="33">
        <v>16.879000000000001</v>
      </c>
      <c r="DP30" s="33">
        <v>50.738</v>
      </c>
      <c r="DQ30" s="33">
        <v>1.1759999999999999</v>
      </c>
      <c r="DR30" s="33">
        <v>45.814999999999998</v>
      </c>
      <c r="DS30" s="33">
        <v>8.0879999999999992</v>
      </c>
      <c r="DT30" s="33">
        <v>15.121</v>
      </c>
      <c r="DU30" s="33">
        <v>7.5350000000000001</v>
      </c>
      <c r="DV30" s="33">
        <v>5.968</v>
      </c>
      <c r="DW30" s="33">
        <v>7.0330000000000004</v>
      </c>
      <c r="DX30" s="33">
        <v>19.542000000000002</v>
      </c>
      <c r="DY30" s="33">
        <v>13.061</v>
      </c>
      <c r="DZ30" s="33">
        <v>5.8780000000000001</v>
      </c>
      <c r="EA30" s="33">
        <v>20.094000000000001</v>
      </c>
      <c r="EB30" s="33">
        <v>18.085000000000001</v>
      </c>
      <c r="EC30" s="33">
        <v>11.554</v>
      </c>
      <c r="ED30" s="33">
        <v>14.468</v>
      </c>
      <c r="EE30" s="33">
        <v>24.515000000000001</v>
      </c>
      <c r="EF30" s="33">
        <v>7.5350000000000001</v>
      </c>
      <c r="EG30" s="33">
        <v>4.6219999999999999</v>
      </c>
      <c r="EH30" s="33">
        <v>20.797999999999998</v>
      </c>
      <c r="EI30" s="33">
        <v>7.4349999999999996</v>
      </c>
      <c r="EJ30" s="33">
        <v>4.6219999999999999</v>
      </c>
      <c r="EK30" s="33">
        <v>7.5350000000000001</v>
      </c>
      <c r="EL30" s="33">
        <v>12.057</v>
      </c>
      <c r="EM30" s="33">
        <v>16.175999999999998</v>
      </c>
      <c r="EN30" s="33">
        <v>9.2430000000000003</v>
      </c>
      <c r="EO30" s="33">
        <v>10.047000000000001</v>
      </c>
      <c r="EP30" s="33">
        <v>7.0830000000000002</v>
      </c>
      <c r="EQ30" s="33">
        <v>17.331</v>
      </c>
      <c r="ER30" s="33">
        <v>5.2750000000000004</v>
      </c>
      <c r="ES30" s="33">
        <v>5.7770000000000001</v>
      </c>
      <c r="ET30" s="33">
        <v>11.603999999999999</v>
      </c>
      <c r="EU30" s="33">
        <v>42.68</v>
      </c>
      <c r="EV30" s="33">
        <v>8.6660000000000004</v>
      </c>
      <c r="EW30" s="33">
        <v>40.189</v>
      </c>
      <c r="EX30" s="33">
        <v>45.137</v>
      </c>
      <c r="EY30" s="33">
        <v>2.7130000000000001</v>
      </c>
      <c r="EZ30" s="33">
        <v>3.6469999999999998</v>
      </c>
      <c r="FA30" s="33">
        <v>2.984</v>
      </c>
      <c r="FB30" s="33">
        <v>10.047000000000001</v>
      </c>
      <c r="FC30" s="33">
        <v>14.317</v>
      </c>
      <c r="FD30" s="33">
        <v>10.047000000000001</v>
      </c>
      <c r="FE30" s="33">
        <v>13.865</v>
      </c>
      <c r="FF30" s="33">
        <v>9.0419999999999998</v>
      </c>
      <c r="FG30" s="33">
        <v>7.5350000000000001</v>
      </c>
      <c r="FH30" s="33">
        <v>6.2789999999999999</v>
      </c>
      <c r="FI30" s="33">
        <v>24.113</v>
      </c>
      <c r="FJ30" s="33">
        <v>15.382</v>
      </c>
      <c r="FK30" s="33">
        <v>22.28</v>
      </c>
      <c r="FL30" s="33">
        <v>7.4349999999999996</v>
      </c>
      <c r="FM30" s="33">
        <v>20.545999999999999</v>
      </c>
      <c r="FN30" s="33">
        <v>10.298</v>
      </c>
      <c r="FO30" s="33">
        <v>36.973999999999997</v>
      </c>
      <c r="FP30" s="33">
        <v>52.747999999999998</v>
      </c>
      <c r="FQ30" s="33">
        <v>9.6449999999999996</v>
      </c>
      <c r="FR30" s="33">
        <v>5.7770000000000001</v>
      </c>
      <c r="FS30" s="33">
        <v>6.9329999999999998</v>
      </c>
      <c r="FT30" s="33">
        <v>8.6660000000000004</v>
      </c>
      <c r="FU30" s="33">
        <v>35.164999999999999</v>
      </c>
      <c r="FV30" s="33">
        <v>6.681</v>
      </c>
      <c r="FW30" s="33">
        <v>7.6260000000000003</v>
      </c>
      <c r="FX30" s="33">
        <v>7.5350000000000001</v>
      </c>
      <c r="FY30" s="33">
        <v>6.9329999999999998</v>
      </c>
      <c r="FZ30" s="33">
        <v>6.9329999999999998</v>
      </c>
      <c r="GA30" s="33">
        <v>7.5350000000000001</v>
      </c>
      <c r="GB30" s="33">
        <v>6.2789999999999999</v>
      </c>
      <c r="GC30" s="33">
        <v>3.3159999999999998</v>
      </c>
      <c r="GD30" s="33">
        <v>6.33</v>
      </c>
      <c r="GE30" s="33">
        <v>6.9329999999999998</v>
      </c>
      <c r="GF30" s="33">
        <v>52.747999999999998</v>
      </c>
      <c r="GG30" s="33">
        <v>32.151000000000003</v>
      </c>
      <c r="GH30" s="33">
        <v>3.0139999999999998</v>
      </c>
      <c r="GI30" s="33">
        <v>4.5209999999999999</v>
      </c>
      <c r="GJ30" s="33">
        <v>5.9779999999999998</v>
      </c>
      <c r="GK30" s="33">
        <v>13.564</v>
      </c>
      <c r="GL30" s="33">
        <v>10.047000000000001</v>
      </c>
      <c r="GM30" s="33">
        <v>7.923</v>
      </c>
      <c r="GN30" s="33">
        <v>47.539000000000001</v>
      </c>
      <c r="GO30" s="33">
        <v>16.638999999999999</v>
      </c>
      <c r="GP30" s="33">
        <v>67.346999999999994</v>
      </c>
      <c r="GQ30" s="33">
        <v>11.092000000000001</v>
      </c>
      <c r="GR30" s="33">
        <v>94.284999999999997</v>
      </c>
      <c r="GS30" s="33">
        <v>25.036999999999999</v>
      </c>
      <c r="GT30" s="33">
        <v>75.27</v>
      </c>
      <c r="GU30" s="33">
        <v>19.966000000000001</v>
      </c>
      <c r="GV30" s="33">
        <v>13.406000000000001</v>
      </c>
      <c r="GW30" s="33">
        <v>16.187000000000001</v>
      </c>
      <c r="GX30" s="33">
        <v>68.930999999999997</v>
      </c>
      <c r="GY30" s="33">
        <v>3.169</v>
      </c>
      <c r="GZ30" s="33">
        <v>9.5079999999999991</v>
      </c>
      <c r="HA30" s="33">
        <v>23.619</v>
      </c>
      <c r="HB30" s="33">
        <v>75.27</v>
      </c>
      <c r="HC30" s="33">
        <v>75.27</v>
      </c>
      <c r="HD30" s="33">
        <v>39.616</v>
      </c>
      <c r="HE30" s="3">
        <f>_xlfn.XLOOKUP(HE$1,generator!$B$2:$B$295,generator!$L$2:$L$295,"ARGH")</f>
        <v>17.600000000000001</v>
      </c>
      <c r="HF30" s="3">
        <f>_xlfn.XLOOKUP(HF$1,generator!$B$2:$B$295,generator!$L$2:$L$295,"ARGH")</f>
        <v>285</v>
      </c>
      <c r="HG30" s="3">
        <f>_xlfn.XLOOKUP(HG$1,generator!$B$2:$B$295,generator!$L$2:$L$295,"ARGH")</f>
        <v>285</v>
      </c>
      <c r="HH30" s="3">
        <f>_xlfn.XLOOKUP(HH$1,generator!$B$2:$B$295,generator!$L$2:$L$295,"ARGH")</f>
        <v>285</v>
      </c>
      <c r="HI30" s="3">
        <f>_xlfn.XLOOKUP(HI$1,generator!$B$2:$B$295,generator!$L$2:$L$295,"ARGH")</f>
        <v>58</v>
      </c>
      <c r="HJ30" s="3">
        <f>_xlfn.XLOOKUP(HJ$1,generator!$B$2:$B$295,generator!$L$2:$L$295,"ARGH")</f>
        <v>58</v>
      </c>
      <c r="HK30" s="3">
        <f>_xlfn.XLOOKUP(HK$1,generator!$B$2:$B$295,generator!$L$2:$L$295,"ARGH")</f>
        <v>53</v>
      </c>
      <c r="HL30" s="3">
        <f>_xlfn.XLOOKUP(HL$1,generator!$B$2:$B$295,generator!$L$2:$L$295,"ARGH")</f>
        <v>58</v>
      </c>
      <c r="HM30" s="3">
        <f>_xlfn.XLOOKUP(HM$1,generator!$B$2:$B$295,generator!$L$2:$L$295,"ARGH")</f>
        <v>58</v>
      </c>
      <c r="HN30" s="3">
        <f>_xlfn.XLOOKUP(HN$1,generator!$B$2:$B$295,generator!$L$2:$L$295,"ARGH")</f>
        <v>52</v>
      </c>
      <c r="HO30" s="3">
        <f>_xlfn.XLOOKUP(HO$1,generator!$B$2:$B$295,generator!$L$2:$L$295,"ARGH")</f>
        <v>52</v>
      </c>
      <c r="HP30" s="3">
        <f>_xlfn.XLOOKUP(HP$1,generator!$B$2:$B$295,generator!$L$2:$L$295,"ARGH")</f>
        <v>2</v>
      </c>
      <c r="HQ30" s="3">
        <f>_xlfn.XLOOKUP(HQ$1,generator!$B$2:$B$295,generator!$L$2:$L$295,"ARGH")</f>
        <v>29.2</v>
      </c>
      <c r="HR30" s="3">
        <f>_xlfn.XLOOKUP(HR$1,generator!$B$2:$B$295,generator!$L$2:$L$295,"ARGH")</f>
        <v>29.2</v>
      </c>
      <c r="HS30" s="3">
        <f>_xlfn.XLOOKUP(HS$1,generator!$B$2:$B$295,generator!$L$2:$L$295,"ARGH")</f>
        <v>41.61</v>
      </c>
      <c r="HT30" s="3">
        <f>_xlfn.XLOOKUP(HT$1,generator!$B$2:$B$295,generator!$L$2:$L$295,"ARGH")</f>
        <v>41.61</v>
      </c>
      <c r="HU30" s="3">
        <f>_xlfn.XLOOKUP(HU$1,generator!$B$2:$B$295,generator!$L$2:$L$295,"ARGH")</f>
        <v>160</v>
      </c>
      <c r="HV30" s="3">
        <f>_xlfn.XLOOKUP(HV$1,generator!$B$2:$B$295,generator!$L$2:$L$295,"ARGH")</f>
        <v>260</v>
      </c>
      <c r="HW30" s="3">
        <f>_xlfn.XLOOKUP(HW$1,generator!$B$2:$B$295,generator!$L$2:$L$295,"ARGH")</f>
        <v>52</v>
      </c>
      <c r="HX30" s="3">
        <f>_xlfn.XLOOKUP(HX$1,generator!$B$2:$B$295,generator!$L$2:$L$295,"ARGH")</f>
        <v>52</v>
      </c>
      <c r="HY30" s="3">
        <f>_xlfn.XLOOKUP(HY$1,generator!$B$2:$B$295,generator!$L$2:$L$295,"ARGH")</f>
        <v>101</v>
      </c>
      <c r="HZ30" s="3">
        <f>_xlfn.XLOOKUP(HZ$1,generator!$B$2:$B$295,generator!$L$2:$L$295,"ARGH")</f>
        <v>50</v>
      </c>
      <c r="IA30" s="3">
        <f>_xlfn.XLOOKUP(IA$1,generator!$B$2:$B$295,generator!$L$2:$L$295,"ARGH")</f>
        <v>400</v>
      </c>
      <c r="IB30" s="3">
        <f>_xlfn.XLOOKUP(IB$1,generator!$B$2:$B$295,generator!$L$2:$L$295,"ARGH")</f>
        <v>342</v>
      </c>
      <c r="IC30" s="3">
        <f>_xlfn.XLOOKUP(IC$1,generator!$B$2:$B$295,generator!$L$2:$L$295,"ARGH")</f>
        <v>3.0209999999999999</v>
      </c>
      <c r="ID30" s="3">
        <f>_xlfn.XLOOKUP(ID$1,generator!$B$2:$B$295,generator!$L$2:$L$295,"ARGH")</f>
        <v>200</v>
      </c>
      <c r="IE30" s="3">
        <f>_xlfn.XLOOKUP(IE$1,generator!$B$2:$B$295,generator!$L$2:$L$295,"ARGH")</f>
        <v>404</v>
      </c>
      <c r="IF30" s="3">
        <f>_xlfn.XLOOKUP(IF$1,generator!$B$2:$B$295,generator!$L$2:$L$295,"ARGH")</f>
        <v>21</v>
      </c>
      <c r="IG30" s="3">
        <f>_xlfn.XLOOKUP(IG$1,generator!$B$2:$B$295,generator!$L$2:$L$295,"ARGH")</f>
        <v>22</v>
      </c>
      <c r="IH30" s="3">
        <f>_xlfn.XLOOKUP(IH$1,generator!$B$2:$B$295,generator!$L$2:$L$295,"ARGH")</f>
        <v>19</v>
      </c>
      <c r="II30" s="3">
        <f>_xlfn.XLOOKUP(II$1,generator!$B$2:$B$295,generator!$L$2:$L$295,"ARGH")</f>
        <v>24</v>
      </c>
      <c r="IJ30" s="3">
        <f>_xlfn.XLOOKUP(IJ$1,generator!$B$2:$B$295,generator!$L$2:$L$295,"ARGH")</f>
        <v>4.3</v>
      </c>
      <c r="IK30" s="3">
        <f>_xlfn.XLOOKUP(IK$1,generator!$B$2:$B$295,generator!$L$2:$L$295,"ARGH")</f>
        <v>8</v>
      </c>
      <c r="IL30" s="3">
        <f>_xlfn.XLOOKUP(IL$1,generator!$B$2:$B$295,generator!$L$2:$L$295,"ARGH")</f>
        <v>22.5</v>
      </c>
      <c r="IM30" s="3">
        <f>_xlfn.XLOOKUP(IM$1,generator!$B$2:$B$295,generator!$L$2:$L$295,"ARGH")</f>
        <v>22.5</v>
      </c>
      <c r="IN30" s="3">
        <f>_xlfn.XLOOKUP(IN$1,generator!$B$2:$B$295,generator!$L$2:$L$295,"ARGH")</f>
        <v>10</v>
      </c>
      <c r="IO30" s="3">
        <f>_xlfn.XLOOKUP(IO$1,generator!$B$2:$B$295,generator!$L$2:$L$295,"ARGH")</f>
        <v>10</v>
      </c>
      <c r="IP30" s="3">
        <f>_xlfn.XLOOKUP(IP$1,generator!$B$2:$B$295,generator!$L$2:$L$295,"ARGH")</f>
        <v>15</v>
      </c>
      <c r="IQ30" s="3">
        <f>_xlfn.XLOOKUP(IQ$1,generator!$B$2:$B$295,generator!$L$2:$L$295,"ARGH")</f>
        <v>4</v>
      </c>
      <c r="IR30" s="3">
        <f>_xlfn.XLOOKUP(IR$1,generator!$B$2:$B$295,generator!$L$2:$L$295,"ARGH")</f>
        <v>15</v>
      </c>
      <c r="IS30" s="3">
        <f>_xlfn.XLOOKUP(IS$1,generator!$B$2:$B$295,generator!$L$2:$L$295,"ARGH")</f>
        <v>15</v>
      </c>
      <c r="IT30" s="3">
        <f>_xlfn.XLOOKUP(IT$1,generator!$B$2:$B$295,generator!$L$2:$L$295,"ARGH")</f>
        <v>0.18</v>
      </c>
      <c r="IU30" s="3">
        <f>_xlfn.XLOOKUP(IU$1,generator!$B$2:$B$295,generator!$L$2:$L$295,"ARGH")</f>
        <v>4</v>
      </c>
      <c r="IV30" s="3">
        <f>_xlfn.XLOOKUP(IV$1,generator!$B$2:$B$295,generator!$L$2:$L$295,"ARGH")</f>
        <v>4</v>
      </c>
      <c r="IW30" s="3">
        <f>_xlfn.XLOOKUP(IW$1,generator!$B$2:$B$295,generator!$L$2:$L$295,"ARGH")</f>
        <v>90</v>
      </c>
      <c r="IX30" s="3">
        <f>_xlfn.XLOOKUP(IX$1,generator!$B$2:$B$295,generator!$L$2:$L$295,"ARGH")</f>
        <v>90</v>
      </c>
      <c r="IY30" s="3">
        <f>_xlfn.XLOOKUP(IY$1,generator!$B$2:$B$295,generator!$L$2:$L$295,"ARGH")</f>
        <v>90</v>
      </c>
      <c r="IZ30" s="3">
        <f>_xlfn.XLOOKUP(IZ$1,generator!$B$2:$B$295,generator!$L$2:$L$295,"ARGH")</f>
        <v>449</v>
      </c>
      <c r="JA30" s="3">
        <f>_xlfn.XLOOKUP(JA$1,generator!$B$2:$B$295,generator!$L$2:$L$295,"ARGH")</f>
        <v>83</v>
      </c>
      <c r="JB30" s="3">
        <f>_xlfn.XLOOKUP(JB$1,generator!$B$2:$B$295,generator!$L$2:$L$295,"ARGH")</f>
        <v>83</v>
      </c>
      <c r="JC30" s="3">
        <f>_xlfn.XLOOKUP(JC$1,generator!$B$2:$B$295,generator!$L$2:$L$295,"ARGH")</f>
        <v>247</v>
      </c>
      <c r="JD30" s="3">
        <f>_xlfn.XLOOKUP(JD$1,generator!$B$2:$B$295,generator!$L$2:$L$295,"ARGH")</f>
        <v>247</v>
      </c>
      <c r="JE30" s="3">
        <f>_xlfn.XLOOKUP(JE$1,generator!$B$2:$B$295,generator!$L$2:$L$295,"ARGH")</f>
        <v>425</v>
      </c>
      <c r="JF30" s="3">
        <f>_xlfn.XLOOKUP(JF$1,generator!$B$2:$B$295,generator!$L$2:$L$295,"ARGH")</f>
        <v>63.5</v>
      </c>
      <c r="JG30" s="3">
        <f>_xlfn.XLOOKUP(JG$1,generator!$B$2:$B$295,generator!$L$2:$L$295,"ARGH")</f>
        <v>17</v>
      </c>
      <c r="JH30" s="3">
        <f>_xlfn.XLOOKUP(JH$1,generator!$B$2:$B$295,generator!$L$2:$L$295,"ARGH")</f>
        <v>444</v>
      </c>
      <c r="JI30" s="3">
        <f>_xlfn.XLOOKUP(JI$1,generator!$B$2:$B$295,generator!$L$2:$L$295,"ARGH")</f>
        <v>464</v>
      </c>
      <c r="JJ30" s="3">
        <f>_xlfn.XLOOKUP(JJ$1,generator!$B$2:$B$295,generator!$L$2:$L$295,"ARGH")</f>
        <v>18.54</v>
      </c>
      <c r="JK30" s="3">
        <f>_xlfn.XLOOKUP(JK$1,generator!$B$2:$B$295,generator!$L$2:$L$295,"ARGH")</f>
        <v>18.54</v>
      </c>
      <c r="JL30" s="3">
        <f>_xlfn.XLOOKUP(JL$1,generator!$B$2:$B$295,generator!$L$2:$L$295,"ARGH")</f>
        <v>18.54</v>
      </c>
      <c r="JM30" s="3">
        <f>_xlfn.XLOOKUP(JM$1,generator!$B$2:$B$295,generator!$L$2:$L$295,"ARGH")</f>
        <v>18.54</v>
      </c>
      <c r="JN30" s="3">
        <f>_xlfn.XLOOKUP(JN$1,generator!$B$2:$B$295,generator!$L$2:$L$295,"ARGH")</f>
        <v>18.54</v>
      </c>
      <c r="JO30" s="3">
        <f>_xlfn.XLOOKUP(JO$1,generator!$B$2:$B$295,generator!$L$2:$L$295,"ARGH")</f>
        <v>18.54</v>
      </c>
      <c r="JP30" s="3">
        <f>_xlfn.XLOOKUP(JP$1,generator!$B$2:$B$295,generator!$L$2:$L$295,"ARGH")</f>
        <v>415</v>
      </c>
      <c r="JQ30" s="3">
        <f>_xlfn.XLOOKUP(JQ$1,generator!$B$2:$B$295,generator!$L$2:$L$295,"ARGH")</f>
        <v>63.5</v>
      </c>
      <c r="JR30" s="3">
        <f>_xlfn.XLOOKUP(JR$1,generator!$B$2:$B$295,generator!$L$2:$L$295,"ARGH")</f>
        <v>350</v>
      </c>
      <c r="JS30" s="3">
        <f>_xlfn.XLOOKUP(JS$1,generator!$B$2:$B$295,generator!$L$2:$L$295,"ARGH")</f>
        <v>350</v>
      </c>
      <c r="JT30" s="3">
        <f>_xlfn.XLOOKUP(JT$1,generator!$B$2:$B$295,generator!$L$2:$L$295,"ARGH")</f>
        <v>63.5</v>
      </c>
      <c r="JU30" s="3">
        <f>_xlfn.XLOOKUP(JU$1,generator!$B$2:$B$295,generator!$L$2:$L$295,"ARGH")</f>
        <v>61.5</v>
      </c>
      <c r="JV30" s="3">
        <f>_xlfn.XLOOKUP(JV$1,generator!$B$2:$B$295,generator!$L$2:$L$295,"ARGH")</f>
        <v>240</v>
      </c>
      <c r="JW30" s="3">
        <f>_xlfn.XLOOKUP(JW$1,generator!$B$2:$B$295,generator!$L$2:$L$295,"ARGH")</f>
        <v>236</v>
      </c>
      <c r="JX30" s="3">
        <f>_xlfn.XLOOKUP(JX$1,generator!$B$2:$B$295,generator!$L$2:$L$295,"ARGH")</f>
        <v>20</v>
      </c>
      <c r="JY30" s="3">
        <f>_xlfn.XLOOKUP(JY$1,generator!$B$2:$B$295,generator!$L$2:$L$295,"ARGH")</f>
        <v>118</v>
      </c>
      <c r="JZ30" s="3">
        <f>_xlfn.XLOOKUP(JZ$1,generator!$B$2:$B$295,generator!$L$2:$L$295,"ARGH")</f>
        <v>73</v>
      </c>
      <c r="KA30" s="3">
        <f>_xlfn.XLOOKUP(KA$1,generator!$B$2:$B$295,generator!$L$2:$L$295,"ARGH")</f>
        <v>73</v>
      </c>
      <c r="KB30" s="3">
        <f>_xlfn.XLOOKUP(KB$1,generator!$B$2:$B$295,generator!$L$2:$L$295,"ARGH")</f>
        <v>73</v>
      </c>
      <c r="KC30" s="3">
        <f>_xlfn.XLOOKUP(KC$1,generator!$B$2:$B$295,generator!$L$2:$L$295,"ARGH")</f>
        <v>73</v>
      </c>
    </row>
    <row r="31" spans="1:289" x14ac:dyDescent="0.3">
      <c r="A31" s="4" t="s">
        <v>3026</v>
      </c>
      <c r="B31" s="31">
        <v>416.5</v>
      </c>
      <c r="C31" s="31">
        <v>511</v>
      </c>
      <c r="D31" s="31">
        <v>405</v>
      </c>
      <c r="E31" s="33">
        <v>12.878</v>
      </c>
      <c r="F31" s="33">
        <v>27.663</v>
      </c>
      <c r="G31" s="33">
        <v>12.878</v>
      </c>
      <c r="H31" s="33">
        <v>21.463000000000001</v>
      </c>
      <c r="I31" s="33">
        <v>42.448999999999998</v>
      </c>
      <c r="J31" s="33">
        <v>39.587000000000003</v>
      </c>
      <c r="K31" s="33">
        <v>10.731</v>
      </c>
      <c r="L31" s="33">
        <v>8.2040000000000006</v>
      </c>
      <c r="M31" s="33">
        <v>7.1539999999999999</v>
      </c>
      <c r="N31" s="33">
        <v>25.754999999999999</v>
      </c>
      <c r="O31" s="33">
        <v>2.5760000000000001</v>
      </c>
      <c r="P31" s="33">
        <v>12.21</v>
      </c>
      <c r="Q31" s="33">
        <v>16.789000000000001</v>
      </c>
      <c r="R31" s="33">
        <v>8.5850000000000009</v>
      </c>
      <c r="S31" s="33">
        <v>16.382999999999999</v>
      </c>
      <c r="T31" s="33">
        <v>11.446999999999999</v>
      </c>
      <c r="U31" s="33">
        <v>20.032</v>
      </c>
      <c r="V31" s="33">
        <v>10.087</v>
      </c>
      <c r="W31" s="33">
        <v>10.97</v>
      </c>
      <c r="X31" s="33">
        <v>15.452999999999999</v>
      </c>
      <c r="Y31" s="33">
        <v>8.0129999999999999</v>
      </c>
      <c r="Z31" s="33">
        <v>5.6760000000000002</v>
      </c>
      <c r="AA31" s="33">
        <v>5.1509999999999998</v>
      </c>
      <c r="AB31" s="33">
        <v>27.186</v>
      </c>
      <c r="AC31" s="33">
        <v>31.335999999999999</v>
      </c>
      <c r="AD31" s="33">
        <v>11.065</v>
      </c>
      <c r="AE31" s="33">
        <v>9.5389999999999997</v>
      </c>
      <c r="AF31" s="33">
        <v>26.9</v>
      </c>
      <c r="AG31" s="33">
        <v>9.5389999999999997</v>
      </c>
      <c r="AH31" s="33">
        <v>5.7229999999999999</v>
      </c>
      <c r="AI31" s="33">
        <v>6.391</v>
      </c>
      <c r="AJ31" s="33">
        <v>11.446999999999999</v>
      </c>
      <c r="AK31" s="33">
        <v>4.0780000000000003</v>
      </c>
      <c r="AL31" s="33">
        <v>17.638000000000002</v>
      </c>
      <c r="AM31" s="33">
        <v>22.655000000000001</v>
      </c>
      <c r="AN31" s="33">
        <v>9.5389999999999997</v>
      </c>
      <c r="AO31" s="33">
        <v>6.5819999999999999</v>
      </c>
      <c r="AP31" s="33">
        <v>25.898</v>
      </c>
      <c r="AQ31" s="33">
        <v>8.9190000000000005</v>
      </c>
      <c r="AR31" s="33">
        <v>8.3469999999999995</v>
      </c>
      <c r="AS31" s="33">
        <v>24.800999999999998</v>
      </c>
      <c r="AT31" s="33">
        <v>6.74</v>
      </c>
      <c r="AU31" s="33">
        <v>18.123999999999999</v>
      </c>
      <c r="AV31" s="33">
        <v>15.500999999999999</v>
      </c>
      <c r="AW31" s="33">
        <v>15.739000000000001</v>
      </c>
      <c r="AX31" s="33">
        <v>8.7279999999999998</v>
      </c>
      <c r="AY31" s="33">
        <v>15.787000000000001</v>
      </c>
      <c r="AZ31" s="33">
        <v>18.053000000000001</v>
      </c>
      <c r="BA31" s="33">
        <v>6.6769999999999996</v>
      </c>
      <c r="BB31" s="33">
        <v>21.94</v>
      </c>
      <c r="BC31" s="33">
        <v>9.5389999999999997</v>
      </c>
      <c r="BD31" s="33">
        <v>5.7229999999999999</v>
      </c>
      <c r="BE31" s="33">
        <v>5.4850000000000003</v>
      </c>
      <c r="BF31" s="33">
        <v>42.924999999999997</v>
      </c>
      <c r="BG31" s="33">
        <v>7.1539999999999999</v>
      </c>
      <c r="BH31" s="33">
        <v>11.923999999999999</v>
      </c>
      <c r="BI31" s="33">
        <v>10.016</v>
      </c>
      <c r="BJ31" s="33">
        <v>20.032</v>
      </c>
      <c r="BK31" s="33">
        <v>5.7229999999999999</v>
      </c>
      <c r="BL31" s="33">
        <v>20.27</v>
      </c>
      <c r="BM31" s="33">
        <v>4.0540000000000003</v>
      </c>
      <c r="BN31" s="33">
        <v>14.308</v>
      </c>
      <c r="BO31" s="33">
        <v>20.337</v>
      </c>
      <c r="BP31" s="33">
        <v>54.468000000000004</v>
      </c>
      <c r="BQ31" s="33">
        <v>17.170000000000002</v>
      </c>
      <c r="BR31" s="33">
        <v>25.754999999999999</v>
      </c>
      <c r="BS31" s="33">
        <v>8.3469999999999995</v>
      </c>
      <c r="BT31" s="33">
        <v>16.454999999999998</v>
      </c>
      <c r="BU31" s="33">
        <v>2.2890000000000001</v>
      </c>
      <c r="BV31" s="33">
        <v>4.9130000000000003</v>
      </c>
      <c r="BW31" s="33">
        <v>6.4770000000000003</v>
      </c>
      <c r="BX31" s="33">
        <v>5.27</v>
      </c>
      <c r="BY31" s="33">
        <v>11.923999999999999</v>
      </c>
      <c r="BZ31" s="33">
        <v>19.46</v>
      </c>
      <c r="CA31" s="33">
        <v>28.379000000000001</v>
      </c>
      <c r="CB31" s="33">
        <v>16.216000000000001</v>
      </c>
      <c r="CC31" s="33">
        <v>13.593</v>
      </c>
      <c r="CD31" s="33">
        <v>18.315000000000001</v>
      </c>
      <c r="CE31" s="33">
        <v>11.923999999999999</v>
      </c>
      <c r="CF31" s="33">
        <v>7.6790000000000003</v>
      </c>
      <c r="CG31" s="33">
        <v>8.3469999999999995</v>
      </c>
      <c r="CH31" s="33">
        <v>13.331</v>
      </c>
      <c r="CI31" s="33">
        <v>6.2240000000000002</v>
      </c>
      <c r="CJ31" s="33">
        <v>2.1219999999999999</v>
      </c>
      <c r="CK31" s="33">
        <v>11.827999999999999</v>
      </c>
      <c r="CL31" s="33">
        <v>8.06</v>
      </c>
      <c r="CM31" s="33">
        <v>7.1539999999999999</v>
      </c>
      <c r="CN31" s="33">
        <v>28.247</v>
      </c>
      <c r="CO31" s="33">
        <v>11.208</v>
      </c>
      <c r="CP31" s="33">
        <v>22.321000000000002</v>
      </c>
      <c r="CQ31" s="33">
        <v>15.262</v>
      </c>
      <c r="CR31" s="33">
        <v>12.401</v>
      </c>
      <c r="CS31" s="33">
        <v>10.493</v>
      </c>
      <c r="CT31" s="33">
        <v>14.212999999999999</v>
      </c>
      <c r="CU31" s="33">
        <v>6.5819999999999999</v>
      </c>
      <c r="CV31" s="33">
        <v>12.067</v>
      </c>
      <c r="CW31" s="33">
        <v>13.355</v>
      </c>
      <c r="CX31" s="33">
        <v>5.9619999999999997</v>
      </c>
      <c r="CY31" s="33">
        <v>16.288</v>
      </c>
      <c r="CZ31" s="33">
        <v>5.7229999999999999</v>
      </c>
      <c r="DA31" s="33">
        <v>14.308</v>
      </c>
      <c r="DB31" s="33">
        <v>8.9670000000000005</v>
      </c>
      <c r="DC31" s="33">
        <v>6.7249999999999996</v>
      </c>
      <c r="DD31" s="33">
        <v>7.6790000000000003</v>
      </c>
      <c r="DE31" s="33">
        <v>5.9619999999999997</v>
      </c>
      <c r="DF31" s="33">
        <v>10.302</v>
      </c>
      <c r="DG31" s="33">
        <v>17.146000000000001</v>
      </c>
      <c r="DH31" s="33">
        <v>35.771000000000001</v>
      </c>
      <c r="DI31" s="33">
        <v>17.170000000000002</v>
      </c>
      <c r="DJ31" s="33">
        <v>7.1539999999999999</v>
      </c>
      <c r="DK31" s="33">
        <v>9.8729999999999993</v>
      </c>
      <c r="DL31" s="33">
        <v>17.670999999999999</v>
      </c>
      <c r="DM31" s="33">
        <v>8.5850000000000009</v>
      </c>
      <c r="DN31" s="33">
        <v>47.695</v>
      </c>
      <c r="DO31" s="33">
        <v>16.026</v>
      </c>
      <c r="DP31" s="33">
        <v>48.171999999999997</v>
      </c>
      <c r="DQ31" s="33">
        <v>1.1160000000000001</v>
      </c>
      <c r="DR31" s="33">
        <v>43.497999999999998</v>
      </c>
      <c r="DS31" s="33">
        <v>7.6790000000000003</v>
      </c>
      <c r="DT31" s="33">
        <v>14.356</v>
      </c>
      <c r="DU31" s="33">
        <v>7.1539999999999999</v>
      </c>
      <c r="DV31" s="33">
        <v>5.6660000000000004</v>
      </c>
      <c r="DW31" s="33">
        <v>6.6769999999999996</v>
      </c>
      <c r="DX31" s="33">
        <v>18.553000000000001</v>
      </c>
      <c r="DY31" s="33">
        <v>12.401</v>
      </c>
      <c r="DZ31" s="33">
        <v>5.58</v>
      </c>
      <c r="EA31" s="33">
        <v>19.077999999999999</v>
      </c>
      <c r="EB31" s="33">
        <v>17.170000000000002</v>
      </c>
      <c r="EC31" s="33">
        <v>10.97</v>
      </c>
      <c r="ED31" s="33">
        <v>13.736000000000001</v>
      </c>
      <c r="EE31" s="33">
        <v>23.274999999999999</v>
      </c>
      <c r="EF31" s="33">
        <v>7.1539999999999999</v>
      </c>
      <c r="EG31" s="33">
        <v>4.3879999999999999</v>
      </c>
      <c r="EH31" s="33">
        <v>19.745999999999999</v>
      </c>
      <c r="EI31" s="33">
        <v>7.0590000000000002</v>
      </c>
      <c r="EJ31" s="33">
        <v>4.3879999999999999</v>
      </c>
      <c r="EK31" s="33">
        <v>7.1539999999999999</v>
      </c>
      <c r="EL31" s="33">
        <v>11.446999999999999</v>
      </c>
      <c r="EM31" s="33">
        <v>15.358000000000001</v>
      </c>
      <c r="EN31" s="33">
        <v>8.7759999999999998</v>
      </c>
      <c r="EO31" s="33">
        <v>9.5389999999999997</v>
      </c>
      <c r="EP31" s="33">
        <v>6.7249999999999996</v>
      </c>
      <c r="EQ31" s="33">
        <v>16.454999999999998</v>
      </c>
      <c r="ER31" s="33">
        <v>5.008</v>
      </c>
      <c r="ES31" s="33">
        <v>5.4850000000000003</v>
      </c>
      <c r="ET31" s="33">
        <v>11.018000000000001</v>
      </c>
      <c r="EU31" s="33">
        <v>40.521999999999998</v>
      </c>
      <c r="EV31" s="33">
        <v>8.2270000000000003</v>
      </c>
      <c r="EW31" s="33">
        <v>38.155999999999999</v>
      </c>
      <c r="EX31" s="33">
        <v>42.853999999999999</v>
      </c>
      <c r="EY31" s="33">
        <v>2.5760000000000001</v>
      </c>
      <c r="EZ31" s="33">
        <v>3.4630000000000001</v>
      </c>
      <c r="FA31" s="33">
        <v>2.8330000000000002</v>
      </c>
      <c r="FB31" s="33">
        <v>9.5389999999999997</v>
      </c>
      <c r="FC31" s="33">
        <v>13.593</v>
      </c>
      <c r="FD31" s="33">
        <v>9.5389999999999997</v>
      </c>
      <c r="FE31" s="33">
        <v>13.164</v>
      </c>
      <c r="FF31" s="33">
        <v>8.5850000000000009</v>
      </c>
      <c r="FG31" s="33">
        <v>7.1539999999999999</v>
      </c>
      <c r="FH31" s="33">
        <v>5.9619999999999997</v>
      </c>
      <c r="FI31" s="33">
        <v>22.893999999999998</v>
      </c>
      <c r="FJ31" s="33">
        <v>14.603999999999999</v>
      </c>
      <c r="FK31" s="33">
        <v>21.152999999999999</v>
      </c>
      <c r="FL31" s="33">
        <v>7.0590000000000002</v>
      </c>
      <c r="FM31" s="33">
        <v>19.507000000000001</v>
      </c>
      <c r="FN31" s="33">
        <v>9.7769999999999992</v>
      </c>
      <c r="FO31" s="33">
        <v>35.103999999999999</v>
      </c>
      <c r="FP31" s="33">
        <v>50.08</v>
      </c>
      <c r="FQ31" s="33">
        <v>9.157</v>
      </c>
      <c r="FR31" s="33">
        <v>5.4850000000000003</v>
      </c>
      <c r="FS31" s="33">
        <v>6.5819999999999999</v>
      </c>
      <c r="FT31" s="33">
        <v>8.2270000000000003</v>
      </c>
      <c r="FU31" s="33">
        <v>33.386000000000003</v>
      </c>
      <c r="FV31" s="33">
        <v>6.343</v>
      </c>
      <c r="FW31" s="33">
        <v>7.24</v>
      </c>
      <c r="FX31" s="33">
        <v>7.1539999999999999</v>
      </c>
      <c r="FY31" s="33">
        <v>6.5819999999999999</v>
      </c>
      <c r="FZ31" s="33">
        <v>6.5819999999999999</v>
      </c>
      <c r="GA31" s="33">
        <v>7.1539999999999999</v>
      </c>
      <c r="GB31" s="33">
        <v>5.9619999999999997</v>
      </c>
      <c r="GC31" s="33">
        <v>3.1480000000000001</v>
      </c>
      <c r="GD31" s="33">
        <v>6.01</v>
      </c>
      <c r="GE31" s="33">
        <v>6.5819999999999999</v>
      </c>
      <c r="GF31" s="33">
        <v>50.08</v>
      </c>
      <c r="GG31" s="33">
        <v>30.524999999999999</v>
      </c>
      <c r="GH31" s="33">
        <v>2.8620000000000001</v>
      </c>
      <c r="GI31" s="33">
        <v>4.2930000000000001</v>
      </c>
      <c r="GJ31" s="33">
        <v>5.6760000000000002</v>
      </c>
      <c r="GK31" s="33">
        <v>12.878</v>
      </c>
      <c r="GL31" s="33">
        <v>9.5389999999999997</v>
      </c>
      <c r="GM31" s="33">
        <v>7.9210000000000003</v>
      </c>
      <c r="GN31" s="33">
        <v>47.526000000000003</v>
      </c>
      <c r="GO31" s="33">
        <v>16.634</v>
      </c>
      <c r="GP31" s="33">
        <v>67.328000000000003</v>
      </c>
      <c r="GQ31" s="33">
        <v>11.089</v>
      </c>
      <c r="GR31" s="33">
        <v>94.259</v>
      </c>
      <c r="GS31" s="33">
        <v>25.03</v>
      </c>
      <c r="GT31" s="33">
        <v>75.248999999999995</v>
      </c>
      <c r="GU31" s="33">
        <v>19.960999999999999</v>
      </c>
      <c r="GV31" s="33">
        <v>13.401999999999999</v>
      </c>
      <c r="GW31" s="33">
        <v>16.181999999999999</v>
      </c>
      <c r="GX31" s="33">
        <v>68.912000000000006</v>
      </c>
      <c r="GY31" s="33">
        <v>3.1680000000000001</v>
      </c>
      <c r="GZ31" s="33">
        <v>9.5050000000000008</v>
      </c>
      <c r="HA31" s="33">
        <v>23.611999999999998</v>
      </c>
      <c r="HB31" s="33">
        <v>75.248999999999995</v>
      </c>
      <c r="HC31" s="33">
        <v>75.248999999999995</v>
      </c>
      <c r="HD31" s="33">
        <v>39.604999999999997</v>
      </c>
      <c r="HE31" s="3">
        <f>_xlfn.XLOOKUP(HE$1,generator!$B$2:$B$295,generator!$L$2:$L$295,"ARGH")</f>
        <v>17.600000000000001</v>
      </c>
      <c r="HF31" s="3">
        <f>_xlfn.XLOOKUP(HF$1,generator!$B$2:$B$295,generator!$L$2:$L$295,"ARGH")</f>
        <v>285</v>
      </c>
      <c r="HG31" s="3">
        <f>_xlfn.XLOOKUP(HG$1,generator!$B$2:$B$295,generator!$L$2:$L$295,"ARGH")</f>
        <v>285</v>
      </c>
      <c r="HH31" s="3">
        <f>_xlfn.XLOOKUP(HH$1,generator!$B$2:$B$295,generator!$L$2:$L$295,"ARGH")</f>
        <v>285</v>
      </c>
      <c r="HI31" s="3">
        <f>_xlfn.XLOOKUP(HI$1,generator!$B$2:$B$295,generator!$L$2:$L$295,"ARGH")</f>
        <v>58</v>
      </c>
      <c r="HJ31" s="3">
        <f>_xlfn.XLOOKUP(HJ$1,generator!$B$2:$B$295,generator!$L$2:$L$295,"ARGH")</f>
        <v>58</v>
      </c>
      <c r="HK31" s="3">
        <f>_xlfn.XLOOKUP(HK$1,generator!$B$2:$B$295,generator!$L$2:$L$295,"ARGH")</f>
        <v>53</v>
      </c>
      <c r="HL31" s="3">
        <f>_xlfn.XLOOKUP(HL$1,generator!$B$2:$B$295,generator!$L$2:$L$295,"ARGH")</f>
        <v>58</v>
      </c>
      <c r="HM31" s="3">
        <f>_xlfn.XLOOKUP(HM$1,generator!$B$2:$B$295,generator!$L$2:$L$295,"ARGH")</f>
        <v>58</v>
      </c>
      <c r="HN31" s="3">
        <f>_xlfn.XLOOKUP(HN$1,generator!$B$2:$B$295,generator!$L$2:$L$295,"ARGH")</f>
        <v>52</v>
      </c>
      <c r="HO31" s="3">
        <f>_xlfn.XLOOKUP(HO$1,generator!$B$2:$B$295,generator!$L$2:$L$295,"ARGH")</f>
        <v>52</v>
      </c>
      <c r="HP31" s="3">
        <f>_xlfn.XLOOKUP(HP$1,generator!$B$2:$B$295,generator!$L$2:$L$295,"ARGH")</f>
        <v>2</v>
      </c>
      <c r="HQ31" s="3">
        <f>_xlfn.XLOOKUP(HQ$1,generator!$B$2:$B$295,generator!$L$2:$L$295,"ARGH")</f>
        <v>29.2</v>
      </c>
      <c r="HR31" s="3">
        <f>_xlfn.XLOOKUP(HR$1,generator!$B$2:$B$295,generator!$L$2:$L$295,"ARGH")</f>
        <v>29.2</v>
      </c>
      <c r="HS31" s="3">
        <f>_xlfn.XLOOKUP(HS$1,generator!$B$2:$B$295,generator!$L$2:$L$295,"ARGH")</f>
        <v>41.61</v>
      </c>
      <c r="HT31" s="3">
        <f>_xlfn.XLOOKUP(HT$1,generator!$B$2:$B$295,generator!$L$2:$L$295,"ARGH")</f>
        <v>41.61</v>
      </c>
      <c r="HU31" s="3">
        <f>_xlfn.XLOOKUP(HU$1,generator!$B$2:$B$295,generator!$L$2:$L$295,"ARGH")</f>
        <v>160</v>
      </c>
      <c r="HV31" s="3">
        <f>_xlfn.XLOOKUP(HV$1,generator!$B$2:$B$295,generator!$L$2:$L$295,"ARGH")</f>
        <v>260</v>
      </c>
      <c r="HW31" s="3">
        <f>_xlfn.XLOOKUP(HW$1,generator!$B$2:$B$295,generator!$L$2:$L$295,"ARGH")</f>
        <v>52</v>
      </c>
      <c r="HX31" s="3">
        <f>_xlfn.XLOOKUP(HX$1,generator!$B$2:$B$295,generator!$L$2:$L$295,"ARGH")</f>
        <v>52</v>
      </c>
      <c r="HY31" s="3">
        <f>_xlfn.XLOOKUP(HY$1,generator!$B$2:$B$295,generator!$L$2:$L$295,"ARGH")</f>
        <v>101</v>
      </c>
      <c r="HZ31" s="3">
        <f>_xlfn.XLOOKUP(HZ$1,generator!$B$2:$B$295,generator!$L$2:$L$295,"ARGH")</f>
        <v>50</v>
      </c>
      <c r="IA31" s="3">
        <f>_xlfn.XLOOKUP(IA$1,generator!$B$2:$B$295,generator!$L$2:$L$295,"ARGH")</f>
        <v>400</v>
      </c>
      <c r="IB31" s="3">
        <f>_xlfn.XLOOKUP(IB$1,generator!$B$2:$B$295,generator!$L$2:$L$295,"ARGH")</f>
        <v>342</v>
      </c>
      <c r="IC31" s="3">
        <f>_xlfn.XLOOKUP(IC$1,generator!$B$2:$B$295,generator!$L$2:$L$295,"ARGH")</f>
        <v>3.0209999999999999</v>
      </c>
      <c r="ID31" s="3">
        <f>_xlfn.XLOOKUP(ID$1,generator!$B$2:$B$295,generator!$L$2:$L$295,"ARGH")</f>
        <v>200</v>
      </c>
      <c r="IE31" s="3">
        <f>_xlfn.XLOOKUP(IE$1,generator!$B$2:$B$295,generator!$L$2:$L$295,"ARGH")</f>
        <v>404</v>
      </c>
      <c r="IF31" s="3">
        <f>_xlfn.XLOOKUP(IF$1,generator!$B$2:$B$295,generator!$L$2:$L$295,"ARGH")</f>
        <v>21</v>
      </c>
      <c r="IG31" s="3">
        <f>_xlfn.XLOOKUP(IG$1,generator!$B$2:$B$295,generator!$L$2:$L$295,"ARGH")</f>
        <v>22</v>
      </c>
      <c r="IH31" s="3">
        <f>_xlfn.XLOOKUP(IH$1,generator!$B$2:$B$295,generator!$L$2:$L$295,"ARGH")</f>
        <v>19</v>
      </c>
      <c r="II31" s="3">
        <f>_xlfn.XLOOKUP(II$1,generator!$B$2:$B$295,generator!$L$2:$L$295,"ARGH")</f>
        <v>24</v>
      </c>
      <c r="IJ31" s="3">
        <f>_xlfn.XLOOKUP(IJ$1,generator!$B$2:$B$295,generator!$L$2:$L$295,"ARGH")</f>
        <v>4.3</v>
      </c>
      <c r="IK31" s="3">
        <f>_xlfn.XLOOKUP(IK$1,generator!$B$2:$B$295,generator!$L$2:$L$295,"ARGH")</f>
        <v>8</v>
      </c>
      <c r="IL31" s="3">
        <f>_xlfn.XLOOKUP(IL$1,generator!$B$2:$B$295,generator!$L$2:$L$295,"ARGH")</f>
        <v>22.5</v>
      </c>
      <c r="IM31" s="3">
        <f>_xlfn.XLOOKUP(IM$1,generator!$B$2:$B$295,generator!$L$2:$L$295,"ARGH")</f>
        <v>22.5</v>
      </c>
      <c r="IN31" s="3">
        <f>_xlfn.XLOOKUP(IN$1,generator!$B$2:$B$295,generator!$L$2:$L$295,"ARGH")</f>
        <v>10</v>
      </c>
      <c r="IO31" s="3">
        <f>_xlfn.XLOOKUP(IO$1,generator!$B$2:$B$295,generator!$L$2:$L$295,"ARGH")</f>
        <v>10</v>
      </c>
      <c r="IP31" s="3">
        <f>_xlfn.XLOOKUP(IP$1,generator!$B$2:$B$295,generator!$L$2:$L$295,"ARGH")</f>
        <v>15</v>
      </c>
      <c r="IQ31" s="3">
        <f>_xlfn.XLOOKUP(IQ$1,generator!$B$2:$B$295,generator!$L$2:$L$295,"ARGH")</f>
        <v>4</v>
      </c>
      <c r="IR31" s="3">
        <f>_xlfn.XLOOKUP(IR$1,generator!$B$2:$B$295,generator!$L$2:$L$295,"ARGH")</f>
        <v>15</v>
      </c>
      <c r="IS31" s="3">
        <f>_xlfn.XLOOKUP(IS$1,generator!$B$2:$B$295,generator!$L$2:$L$295,"ARGH")</f>
        <v>15</v>
      </c>
      <c r="IT31" s="3">
        <f>_xlfn.XLOOKUP(IT$1,generator!$B$2:$B$295,generator!$L$2:$L$295,"ARGH")</f>
        <v>0.18</v>
      </c>
      <c r="IU31" s="3">
        <f>_xlfn.XLOOKUP(IU$1,generator!$B$2:$B$295,generator!$L$2:$L$295,"ARGH")</f>
        <v>4</v>
      </c>
      <c r="IV31" s="3">
        <f>_xlfn.XLOOKUP(IV$1,generator!$B$2:$B$295,generator!$L$2:$L$295,"ARGH")</f>
        <v>4</v>
      </c>
      <c r="IW31" s="3">
        <f>_xlfn.XLOOKUP(IW$1,generator!$B$2:$B$295,generator!$L$2:$L$295,"ARGH")</f>
        <v>90</v>
      </c>
      <c r="IX31" s="3">
        <f>_xlfn.XLOOKUP(IX$1,generator!$B$2:$B$295,generator!$L$2:$L$295,"ARGH")</f>
        <v>90</v>
      </c>
      <c r="IY31" s="3">
        <f>_xlfn.XLOOKUP(IY$1,generator!$B$2:$B$295,generator!$L$2:$L$295,"ARGH")</f>
        <v>90</v>
      </c>
      <c r="IZ31" s="3">
        <f>_xlfn.XLOOKUP(IZ$1,generator!$B$2:$B$295,generator!$L$2:$L$295,"ARGH")</f>
        <v>449</v>
      </c>
      <c r="JA31" s="3">
        <f>_xlfn.XLOOKUP(JA$1,generator!$B$2:$B$295,generator!$L$2:$L$295,"ARGH")</f>
        <v>83</v>
      </c>
      <c r="JB31" s="3">
        <f>_xlfn.XLOOKUP(JB$1,generator!$B$2:$B$295,generator!$L$2:$L$295,"ARGH")</f>
        <v>83</v>
      </c>
      <c r="JC31" s="3">
        <f>_xlfn.XLOOKUP(JC$1,generator!$B$2:$B$295,generator!$L$2:$L$295,"ARGH")</f>
        <v>247</v>
      </c>
      <c r="JD31" s="3">
        <f>_xlfn.XLOOKUP(JD$1,generator!$B$2:$B$295,generator!$L$2:$L$295,"ARGH")</f>
        <v>247</v>
      </c>
      <c r="JE31" s="3">
        <f>_xlfn.XLOOKUP(JE$1,generator!$B$2:$B$295,generator!$L$2:$L$295,"ARGH")</f>
        <v>425</v>
      </c>
      <c r="JF31" s="3">
        <f>_xlfn.XLOOKUP(JF$1,generator!$B$2:$B$295,generator!$L$2:$L$295,"ARGH")</f>
        <v>63.5</v>
      </c>
      <c r="JG31" s="3">
        <f>_xlfn.XLOOKUP(JG$1,generator!$B$2:$B$295,generator!$L$2:$L$295,"ARGH")</f>
        <v>17</v>
      </c>
      <c r="JH31" s="3">
        <f>_xlfn.XLOOKUP(JH$1,generator!$B$2:$B$295,generator!$L$2:$L$295,"ARGH")</f>
        <v>444</v>
      </c>
      <c r="JI31" s="3">
        <f>_xlfn.XLOOKUP(JI$1,generator!$B$2:$B$295,generator!$L$2:$L$295,"ARGH")</f>
        <v>464</v>
      </c>
      <c r="JJ31" s="3">
        <f>_xlfn.XLOOKUP(JJ$1,generator!$B$2:$B$295,generator!$L$2:$L$295,"ARGH")</f>
        <v>18.54</v>
      </c>
      <c r="JK31" s="3">
        <f>_xlfn.XLOOKUP(JK$1,generator!$B$2:$B$295,generator!$L$2:$L$295,"ARGH")</f>
        <v>18.54</v>
      </c>
      <c r="JL31" s="3">
        <f>_xlfn.XLOOKUP(JL$1,generator!$B$2:$B$295,generator!$L$2:$L$295,"ARGH")</f>
        <v>18.54</v>
      </c>
      <c r="JM31" s="3">
        <f>_xlfn.XLOOKUP(JM$1,generator!$B$2:$B$295,generator!$L$2:$L$295,"ARGH")</f>
        <v>18.54</v>
      </c>
      <c r="JN31" s="3">
        <f>_xlfn.XLOOKUP(JN$1,generator!$B$2:$B$295,generator!$L$2:$L$295,"ARGH")</f>
        <v>18.54</v>
      </c>
      <c r="JO31" s="3">
        <f>_xlfn.XLOOKUP(JO$1,generator!$B$2:$B$295,generator!$L$2:$L$295,"ARGH")</f>
        <v>18.54</v>
      </c>
      <c r="JP31" s="3">
        <f>_xlfn.XLOOKUP(JP$1,generator!$B$2:$B$295,generator!$L$2:$L$295,"ARGH")</f>
        <v>415</v>
      </c>
      <c r="JQ31" s="3">
        <f>_xlfn.XLOOKUP(JQ$1,generator!$B$2:$B$295,generator!$L$2:$L$295,"ARGH")</f>
        <v>63.5</v>
      </c>
      <c r="JR31" s="3">
        <f>_xlfn.XLOOKUP(JR$1,generator!$B$2:$B$295,generator!$L$2:$L$295,"ARGH")</f>
        <v>350</v>
      </c>
      <c r="JS31" s="3">
        <f>_xlfn.XLOOKUP(JS$1,generator!$B$2:$B$295,generator!$L$2:$L$295,"ARGH")</f>
        <v>350</v>
      </c>
      <c r="JT31" s="3">
        <f>_xlfn.XLOOKUP(JT$1,generator!$B$2:$B$295,generator!$L$2:$L$295,"ARGH")</f>
        <v>63.5</v>
      </c>
      <c r="JU31" s="3">
        <f>_xlfn.XLOOKUP(JU$1,generator!$B$2:$B$295,generator!$L$2:$L$295,"ARGH")</f>
        <v>61.5</v>
      </c>
      <c r="JV31" s="3">
        <f>_xlfn.XLOOKUP(JV$1,generator!$B$2:$B$295,generator!$L$2:$L$295,"ARGH")</f>
        <v>240</v>
      </c>
      <c r="JW31" s="3">
        <f>_xlfn.XLOOKUP(JW$1,generator!$B$2:$B$295,generator!$L$2:$L$295,"ARGH")</f>
        <v>236</v>
      </c>
      <c r="JX31" s="3">
        <f>_xlfn.XLOOKUP(JX$1,generator!$B$2:$B$295,generator!$L$2:$L$295,"ARGH")</f>
        <v>20</v>
      </c>
      <c r="JY31" s="3">
        <f>_xlfn.XLOOKUP(JY$1,generator!$B$2:$B$295,generator!$L$2:$L$295,"ARGH")</f>
        <v>118</v>
      </c>
      <c r="JZ31" s="3">
        <f>_xlfn.XLOOKUP(JZ$1,generator!$B$2:$B$295,generator!$L$2:$L$295,"ARGH")</f>
        <v>73</v>
      </c>
      <c r="KA31" s="3">
        <f>_xlfn.XLOOKUP(KA$1,generator!$B$2:$B$295,generator!$L$2:$L$295,"ARGH")</f>
        <v>73</v>
      </c>
      <c r="KB31" s="3">
        <f>_xlfn.XLOOKUP(KB$1,generator!$B$2:$B$295,generator!$L$2:$L$295,"ARGH")</f>
        <v>73</v>
      </c>
      <c r="KC31" s="3">
        <f>_xlfn.XLOOKUP(KC$1,generator!$B$2:$B$295,generator!$L$2:$L$295,"ARGH")</f>
        <v>73</v>
      </c>
    </row>
    <row r="32" spans="1:289" x14ac:dyDescent="0.3">
      <c r="A32" s="4" t="s">
        <v>3027</v>
      </c>
      <c r="B32" s="31">
        <v>490.5</v>
      </c>
      <c r="C32" s="31">
        <v>512</v>
      </c>
      <c r="D32" s="31">
        <v>442</v>
      </c>
      <c r="E32" s="33">
        <v>12.701000000000001</v>
      </c>
      <c r="F32" s="33">
        <v>27.283999999999999</v>
      </c>
      <c r="G32" s="33">
        <v>12.701000000000001</v>
      </c>
      <c r="H32" s="33">
        <v>21.167999999999999</v>
      </c>
      <c r="I32" s="33">
        <v>41.866</v>
      </c>
      <c r="J32" s="33">
        <v>39.043999999999997</v>
      </c>
      <c r="K32" s="33">
        <v>10.584</v>
      </c>
      <c r="L32" s="33">
        <v>8.0909999999999993</v>
      </c>
      <c r="M32" s="33">
        <v>7.056</v>
      </c>
      <c r="N32" s="33">
        <v>25.402000000000001</v>
      </c>
      <c r="O32" s="33">
        <v>2.54</v>
      </c>
      <c r="P32" s="33">
        <v>12.042</v>
      </c>
      <c r="Q32" s="33">
        <v>16.558</v>
      </c>
      <c r="R32" s="33">
        <v>8.4670000000000005</v>
      </c>
      <c r="S32" s="33">
        <v>16.158000000000001</v>
      </c>
      <c r="T32" s="33">
        <v>11.29</v>
      </c>
      <c r="U32" s="33">
        <v>19.757000000000001</v>
      </c>
      <c r="V32" s="33">
        <v>9.9489999999999998</v>
      </c>
      <c r="W32" s="33">
        <v>10.819000000000001</v>
      </c>
      <c r="X32" s="33">
        <v>15.241</v>
      </c>
      <c r="Y32" s="33">
        <v>7.9029999999999996</v>
      </c>
      <c r="Z32" s="33">
        <v>5.5979999999999999</v>
      </c>
      <c r="AA32" s="33">
        <v>5.08</v>
      </c>
      <c r="AB32" s="33">
        <v>26.812999999999999</v>
      </c>
      <c r="AC32" s="33">
        <v>30.905999999999999</v>
      </c>
      <c r="AD32" s="33">
        <v>10.913</v>
      </c>
      <c r="AE32" s="33">
        <v>9.4079999999999995</v>
      </c>
      <c r="AF32" s="33">
        <v>26.530999999999999</v>
      </c>
      <c r="AG32" s="33">
        <v>9.4079999999999995</v>
      </c>
      <c r="AH32" s="33">
        <v>5.6449999999999996</v>
      </c>
      <c r="AI32" s="33">
        <v>6.3029999999999999</v>
      </c>
      <c r="AJ32" s="33">
        <v>11.29</v>
      </c>
      <c r="AK32" s="33">
        <v>4.0220000000000002</v>
      </c>
      <c r="AL32" s="33">
        <v>17.396000000000001</v>
      </c>
      <c r="AM32" s="33">
        <v>22.344000000000001</v>
      </c>
      <c r="AN32" s="33">
        <v>9.4079999999999995</v>
      </c>
      <c r="AO32" s="33">
        <v>6.492</v>
      </c>
      <c r="AP32" s="33">
        <v>25.542999999999999</v>
      </c>
      <c r="AQ32" s="33">
        <v>8.7970000000000006</v>
      </c>
      <c r="AR32" s="33">
        <v>8.2319999999999993</v>
      </c>
      <c r="AS32" s="33">
        <v>24.460999999999999</v>
      </c>
      <c r="AT32" s="33">
        <v>6.6479999999999997</v>
      </c>
      <c r="AU32" s="33">
        <v>17.875</v>
      </c>
      <c r="AV32" s="33">
        <v>15.288</v>
      </c>
      <c r="AW32" s="33">
        <v>15.523</v>
      </c>
      <c r="AX32" s="33">
        <v>8.6080000000000005</v>
      </c>
      <c r="AY32" s="33">
        <v>15.57</v>
      </c>
      <c r="AZ32" s="33">
        <v>17.805</v>
      </c>
      <c r="BA32" s="33">
        <v>6.5860000000000003</v>
      </c>
      <c r="BB32" s="33">
        <v>21.638999999999999</v>
      </c>
      <c r="BC32" s="33">
        <v>9.4079999999999995</v>
      </c>
      <c r="BD32" s="33">
        <v>5.6449999999999996</v>
      </c>
      <c r="BE32" s="33">
        <v>5.41</v>
      </c>
      <c r="BF32" s="33">
        <v>42.335999999999999</v>
      </c>
      <c r="BG32" s="33">
        <v>7.056</v>
      </c>
      <c r="BH32" s="33">
        <v>11.76</v>
      </c>
      <c r="BI32" s="33">
        <v>9.8789999999999996</v>
      </c>
      <c r="BJ32" s="33">
        <v>19.757000000000001</v>
      </c>
      <c r="BK32" s="33">
        <v>5.6449999999999996</v>
      </c>
      <c r="BL32" s="33">
        <v>19.992000000000001</v>
      </c>
      <c r="BM32" s="33">
        <v>3.9980000000000002</v>
      </c>
      <c r="BN32" s="33">
        <v>14.112</v>
      </c>
      <c r="BO32" s="33">
        <v>20.058</v>
      </c>
      <c r="BP32" s="33">
        <v>53.72</v>
      </c>
      <c r="BQ32" s="33">
        <v>16.934999999999999</v>
      </c>
      <c r="BR32" s="33">
        <v>25.402000000000001</v>
      </c>
      <c r="BS32" s="33">
        <v>8.2319999999999993</v>
      </c>
      <c r="BT32" s="33">
        <v>16.228999999999999</v>
      </c>
      <c r="BU32" s="33">
        <v>2.258</v>
      </c>
      <c r="BV32" s="33">
        <v>4.8449999999999998</v>
      </c>
      <c r="BW32" s="33">
        <v>6.3879999999999999</v>
      </c>
      <c r="BX32" s="33">
        <v>5.1980000000000004</v>
      </c>
      <c r="BY32" s="33">
        <v>11.76</v>
      </c>
      <c r="BZ32" s="33">
        <v>19.193000000000001</v>
      </c>
      <c r="CA32" s="33">
        <v>27.989000000000001</v>
      </c>
      <c r="CB32" s="33">
        <v>15.994</v>
      </c>
      <c r="CC32" s="33">
        <v>13.407</v>
      </c>
      <c r="CD32" s="33">
        <v>18.064</v>
      </c>
      <c r="CE32" s="33">
        <v>11.76</v>
      </c>
      <c r="CF32" s="33">
        <v>7.5739999999999998</v>
      </c>
      <c r="CG32" s="33">
        <v>8.2319999999999993</v>
      </c>
      <c r="CH32" s="33">
        <v>13.148</v>
      </c>
      <c r="CI32" s="33">
        <v>6.1390000000000002</v>
      </c>
      <c r="CJ32" s="33">
        <v>2.093</v>
      </c>
      <c r="CK32" s="33">
        <v>11.666</v>
      </c>
      <c r="CL32" s="33">
        <v>7.95</v>
      </c>
      <c r="CM32" s="33">
        <v>7.056</v>
      </c>
      <c r="CN32" s="33">
        <v>27.86</v>
      </c>
      <c r="CO32" s="33">
        <v>11.055</v>
      </c>
      <c r="CP32" s="33">
        <v>22.015000000000001</v>
      </c>
      <c r="CQ32" s="33">
        <v>15.053000000000001</v>
      </c>
      <c r="CR32" s="33">
        <v>12.231</v>
      </c>
      <c r="CS32" s="33">
        <v>10.349</v>
      </c>
      <c r="CT32" s="33">
        <v>14.018000000000001</v>
      </c>
      <c r="CU32" s="33">
        <v>6.492</v>
      </c>
      <c r="CV32" s="33">
        <v>11.901</v>
      </c>
      <c r="CW32" s="33">
        <v>13.170999999999999</v>
      </c>
      <c r="CX32" s="33">
        <v>5.88</v>
      </c>
      <c r="CY32" s="33">
        <v>16.064</v>
      </c>
      <c r="CZ32" s="33">
        <v>5.6449999999999996</v>
      </c>
      <c r="DA32" s="33">
        <v>14.112</v>
      </c>
      <c r="DB32" s="33">
        <v>8.8439999999999994</v>
      </c>
      <c r="DC32" s="33">
        <v>6.633</v>
      </c>
      <c r="DD32" s="33">
        <v>7.5739999999999998</v>
      </c>
      <c r="DE32" s="33">
        <v>5.88</v>
      </c>
      <c r="DF32" s="33">
        <v>10.161</v>
      </c>
      <c r="DG32" s="33">
        <v>16.911000000000001</v>
      </c>
      <c r="DH32" s="33">
        <v>35.28</v>
      </c>
      <c r="DI32" s="33">
        <v>16.934999999999999</v>
      </c>
      <c r="DJ32" s="33">
        <v>7.056</v>
      </c>
      <c r="DK32" s="33">
        <v>9.7370000000000001</v>
      </c>
      <c r="DL32" s="33">
        <v>17.428999999999998</v>
      </c>
      <c r="DM32" s="33">
        <v>8.4670000000000005</v>
      </c>
      <c r="DN32" s="33">
        <v>47.040999999999997</v>
      </c>
      <c r="DO32" s="33">
        <v>15.805999999999999</v>
      </c>
      <c r="DP32" s="33">
        <v>47.511000000000003</v>
      </c>
      <c r="DQ32" s="33">
        <v>1.101</v>
      </c>
      <c r="DR32" s="33">
        <v>42.901000000000003</v>
      </c>
      <c r="DS32" s="33">
        <v>7.5739999999999998</v>
      </c>
      <c r="DT32" s="33">
        <v>14.159000000000001</v>
      </c>
      <c r="DU32" s="33">
        <v>7.056</v>
      </c>
      <c r="DV32" s="33">
        <v>5.5880000000000001</v>
      </c>
      <c r="DW32" s="33">
        <v>6.5860000000000003</v>
      </c>
      <c r="DX32" s="33">
        <v>18.298999999999999</v>
      </c>
      <c r="DY32" s="33">
        <v>12.231</v>
      </c>
      <c r="DZ32" s="33">
        <v>5.5039999999999996</v>
      </c>
      <c r="EA32" s="33">
        <v>18.815999999999999</v>
      </c>
      <c r="EB32" s="33">
        <v>16.934999999999999</v>
      </c>
      <c r="EC32" s="33">
        <v>10.819000000000001</v>
      </c>
      <c r="ED32" s="33">
        <v>13.548</v>
      </c>
      <c r="EE32" s="33">
        <v>22.956</v>
      </c>
      <c r="EF32" s="33">
        <v>7.056</v>
      </c>
      <c r="EG32" s="33">
        <v>4.3280000000000003</v>
      </c>
      <c r="EH32" s="33">
        <v>19.475000000000001</v>
      </c>
      <c r="EI32" s="33">
        <v>6.9619999999999997</v>
      </c>
      <c r="EJ32" s="33">
        <v>4.3280000000000003</v>
      </c>
      <c r="EK32" s="33">
        <v>7.056</v>
      </c>
      <c r="EL32" s="33">
        <v>11.29</v>
      </c>
      <c r="EM32" s="33">
        <v>15.147</v>
      </c>
      <c r="EN32" s="33">
        <v>8.6549999999999994</v>
      </c>
      <c r="EO32" s="33">
        <v>9.4079999999999995</v>
      </c>
      <c r="EP32" s="33">
        <v>6.633</v>
      </c>
      <c r="EQ32" s="33">
        <v>16.228999999999999</v>
      </c>
      <c r="ER32" s="33">
        <v>4.9390000000000001</v>
      </c>
      <c r="ES32" s="33">
        <v>5.41</v>
      </c>
      <c r="ET32" s="33">
        <v>10.866</v>
      </c>
      <c r="EU32" s="33">
        <v>39.966000000000001</v>
      </c>
      <c r="EV32" s="33">
        <v>8.1140000000000008</v>
      </c>
      <c r="EW32" s="33">
        <v>37.631999999999998</v>
      </c>
      <c r="EX32" s="33">
        <v>42.265999999999998</v>
      </c>
      <c r="EY32" s="33">
        <v>2.54</v>
      </c>
      <c r="EZ32" s="33">
        <v>3.415</v>
      </c>
      <c r="FA32" s="33">
        <v>2.794</v>
      </c>
      <c r="FB32" s="33">
        <v>9.4079999999999995</v>
      </c>
      <c r="FC32" s="33">
        <v>13.407</v>
      </c>
      <c r="FD32" s="33">
        <v>9.4079999999999995</v>
      </c>
      <c r="FE32" s="33">
        <v>12.983000000000001</v>
      </c>
      <c r="FF32" s="33">
        <v>8.4670000000000005</v>
      </c>
      <c r="FG32" s="33">
        <v>7.056</v>
      </c>
      <c r="FH32" s="33">
        <v>5.88</v>
      </c>
      <c r="FI32" s="33">
        <v>22.579000000000001</v>
      </c>
      <c r="FJ32" s="33">
        <v>14.404</v>
      </c>
      <c r="FK32" s="33">
        <v>20.861999999999998</v>
      </c>
      <c r="FL32" s="33">
        <v>6.9619999999999997</v>
      </c>
      <c r="FM32" s="33">
        <v>19.239999999999998</v>
      </c>
      <c r="FN32" s="33">
        <v>9.6430000000000007</v>
      </c>
      <c r="FO32" s="33">
        <v>34.622</v>
      </c>
      <c r="FP32" s="33">
        <v>49.393000000000001</v>
      </c>
      <c r="FQ32" s="33">
        <v>9.032</v>
      </c>
      <c r="FR32" s="33">
        <v>5.41</v>
      </c>
      <c r="FS32" s="33">
        <v>6.492</v>
      </c>
      <c r="FT32" s="33">
        <v>8.1140000000000008</v>
      </c>
      <c r="FU32" s="33">
        <v>32.927999999999997</v>
      </c>
      <c r="FV32" s="33">
        <v>6.2560000000000002</v>
      </c>
      <c r="FW32" s="33">
        <v>7.141</v>
      </c>
      <c r="FX32" s="33">
        <v>7.056</v>
      </c>
      <c r="FY32" s="33">
        <v>6.492</v>
      </c>
      <c r="FZ32" s="33">
        <v>6.492</v>
      </c>
      <c r="GA32" s="33">
        <v>7.056</v>
      </c>
      <c r="GB32" s="33">
        <v>5.88</v>
      </c>
      <c r="GC32" s="33">
        <v>3.105</v>
      </c>
      <c r="GD32" s="33">
        <v>5.9269999999999996</v>
      </c>
      <c r="GE32" s="33">
        <v>6.492</v>
      </c>
      <c r="GF32" s="33">
        <v>49.393000000000001</v>
      </c>
      <c r="GG32" s="33">
        <v>30.106000000000002</v>
      </c>
      <c r="GH32" s="33">
        <v>2.8220000000000001</v>
      </c>
      <c r="GI32" s="33">
        <v>4.234</v>
      </c>
      <c r="GJ32" s="33">
        <v>5.5979999999999999</v>
      </c>
      <c r="GK32" s="33">
        <v>12.701000000000001</v>
      </c>
      <c r="GL32" s="33">
        <v>9.4079999999999995</v>
      </c>
      <c r="GM32" s="33">
        <v>7.9320000000000004</v>
      </c>
      <c r="GN32" s="33">
        <v>47.588999999999999</v>
      </c>
      <c r="GO32" s="33">
        <v>16.655999999999999</v>
      </c>
      <c r="GP32" s="33">
        <v>67.418000000000006</v>
      </c>
      <c r="GQ32" s="33">
        <v>11.103999999999999</v>
      </c>
      <c r="GR32" s="33">
        <v>94.385999999999996</v>
      </c>
      <c r="GS32" s="33">
        <v>25.064</v>
      </c>
      <c r="GT32" s="33">
        <v>75.349999999999994</v>
      </c>
      <c r="GU32" s="33">
        <v>19.988</v>
      </c>
      <c r="GV32" s="33">
        <v>13.42</v>
      </c>
      <c r="GW32" s="33">
        <v>16.204000000000001</v>
      </c>
      <c r="GX32" s="33">
        <v>69.004999999999995</v>
      </c>
      <c r="GY32" s="33">
        <v>3.173</v>
      </c>
      <c r="GZ32" s="33">
        <v>9.5180000000000007</v>
      </c>
      <c r="HA32" s="33">
        <v>23.643999999999998</v>
      </c>
      <c r="HB32" s="33">
        <v>75.349999999999994</v>
      </c>
      <c r="HC32" s="33">
        <v>75.349999999999994</v>
      </c>
      <c r="HD32" s="33">
        <v>39.658000000000001</v>
      </c>
      <c r="HE32" s="3">
        <f>_xlfn.XLOOKUP(HE$1,generator!$B$2:$B$295,generator!$L$2:$L$295,"ARGH")</f>
        <v>17.600000000000001</v>
      </c>
      <c r="HF32" s="3">
        <f>_xlfn.XLOOKUP(HF$1,generator!$B$2:$B$295,generator!$L$2:$L$295,"ARGH")</f>
        <v>285</v>
      </c>
      <c r="HG32" s="3">
        <f>_xlfn.XLOOKUP(HG$1,generator!$B$2:$B$295,generator!$L$2:$L$295,"ARGH")</f>
        <v>285</v>
      </c>
      <c r="HH32" s="3">
        <f>_xlfn.XLOOKUP(HH$1,generator!$B$2:$B$295,generator!$L$2:$L$295,"ARGH")</f>
        <v>285</v>
      </c>
      <c r="HI32" s="3">
        <f>_xlfn.XLOOKUP(HI$1,generator!$B$2:$B$295,generator!$L$2:$L$295,"ARGH")</f>
        <v>58</v>
      </c>
      <c r="HJ32" s="3">
        <f>_xlfn.XLOOKUP(HJ$1,generator!$B$2:$B$295,generator!$L$2:$L$295,"ARGH")</f>
        <v>58</v>
      </c>
      <c r="HK32" s="3">
        <f>_xlfn.XLOOKUP(HK$1,generator!$B$2:$B$295,generator!$L$2:$L$295,"ARGH")</f>
        <v>53</v>
      </c>
      <c r="HL32" s="3">
        <f>_xlfn.XLOOKUP(HL$1,generator!$B$2:$B$295,generator!$L$2:$L$295,"ARGH")</f>
        <v>58</v>
      </c>
      <c r="HM32" s="3">
        <f>_xlfn.XLOOKUP(HM$1,generator!$B$2:$B$295,generator!$L$2:$L$295,"ARGH")</f>
        <v>58</v>
      </c>
      <c r="HN32" s="3">
        <f>_xlfn.XLOOKUP(HN$1,generator!$B$2:$B$295,generator!$L$2:$L$295,"ARGH")</f>
        <v>52</v>
      </c>
      <c r="HO32" s="3">
        <f>_xlfn.XLOOKUP(HO$1,generator!$B$2:$B$295,generator!$L$2:$L$295,"ARGH")</f>
        <v>52</v>
      </c>
      <c r="HP32" s="3">
        <f>_xlfn.XLOOKUP(HP$1,generator!$B$2:$B$295,generator!$L$2:$L$295,"ARGH")</f>
        <v>2</v>
      </c>
      <c r="HQ32" s="3">
        <f>_xlfn.XLOOKUP(HQ$1,generator!$B$2:$B$295,generator!$L$2:$L$295,"ARGH")</f>
        <v>29.2</v>
      </c>
      <c r="HR32" s="3">
        <f>_xlfn.XLOOKUP(HR$1,generator!$B$2:$B$295,generator!$L$2:$L$295,"ARGH")</f>
        <v>29.2</v>
      </c>
      <c r="HS32" s="3">
        <f>_xlfn.XLOOKUP(HS$1,generator!$B$2:$B$295,generator!$L$2:$L$295,"ARGH")</f>
        <v>41.61</v>
      </c>
      <c r="HT32" s="3">
        <f>_xlfn.XLOOKUP(HT$1,generator!$B$2:$B$295,generator!$L$2:$L$295,"ARGH")</f>
        <v>41.61</v>
      </c>
      <c r="HU32" s="3">
        <f>_xlfn.XLOOKUP(HU$1,generator!$B$2:$B$295,generator!$L$2:$L$295,"ARGH")</f>
        <v>160</v>
      </c>
      <c r="HV32" s="3">
        <f>_xlfn.XLOOKUP(HV$1,generator!$B$2:$B$295,generator!$L$2:$L$295,"ARGH")</f>
        <v>260</v>
      </c>
      <c r="HW32" s="3">
        <f>_xlfn.XLOOKUP(HW$1,generator!$B$2:$B$295,generator!$L$2:$L$295,"ARGH")</f>
        <v>52</v>
      </c>
      <c r="HX32" s="3">
        <f>_xlfn.XLOOKUP(HX$1,generator!$B$2:$B$295,generator!$L$2:$L$295,"ARGH")</f>
        <v>52</v>
      </c>
      <c r="HY32" s="3">
        <f>_xlfn.XLOOKUP(HY$1,generator!$B$2:$B$295,generator!$L$2:$L$295,"ARGH")</f>
        <v>101</v>
      </c>
      <c r="HZ32" s="3">
        <f>_xlfn.XLOOKUP(HZ$1,generator!$B$2:$B$295,generator!$L$2:$L$295,"ARGH")</f>
        <v>50</v>
      </c>
      <c r="IA32" s="3">
        <f>_xlfn.XLOOKUP(IA$1,generator!$B$2:$B$295,generator!$L$2:$L$295,"ARGH")</f>
        <v>400</v>
      </c>
      <c r="IB32" s="3">
        <f>_xlfn.XLOOKUP(IB$1,generator!$B$2:$B$295,generator!$L$2:$L$295,"ARGH")</f>
        <v>342</v>
      </c>
      <c r="IC32" s="3">
        <f>_xlfn.XLOOKUP(IC$1,generator!$B$2:$B$295,generator!$L$2:$L$295,"ARGH")</f>
        <v>3.0209999999999999</v>
      </c>
      <c r="ID32" s="3">
        <f>_xlfn.XLOOKUP(ID$1,generator!$B$2:$B$295,generator!$L$2:$L$295,"ARGH")</f>
        <v>200</v>
      </c>
      <c r="IE32" s="3">
        <f>_xlfn.XLOOKUP(IE$1,generator!$B$2:$B$295,generator!$L$2:$L$295,"ARGH")</f>
        <v>404</v>
      </c>
      <c r="IF32" s="3">
        <f>_xlfn.XLOOKUP(IF$1,generator!$B$2:$B$295,generator!$L$2:$L$295,"ARGH")</f>
        <v>21</v>
      </c>
      <c r="IG32" s="3">
        <f>_xlfn.XLOOKUP(IG$1,generator!$B$2:$B$295,generator!$L$2:$L$295,"ARGH")</f>
        <v>22</v>
      </c>
      <c r="IH32" s="3">
        <f>_xlfn.XLOOKUP(IH$1,generator!$B$2:$B$295,generator!$L$2:$L$295,"ARGH")</f>
        <v>19</v>
      </c>
      <c r="II32" s="3">
        <f>_xlfn.XLOOKUP(II$1,generator!$B$2:$B$295,generator!$L$2:$L$295,"ARGH")</f>
        <v>24</v>
      </c>
      <c r="IJ32" s="3">
        <f>_xlfn.XLOOKUP(IJ$1,generator!$B$2:$B$295,generator!$L$2:$L$295,"ARGH")</f>
        <v>4.3</v>
      </c>
      <c r="IK32" s="3">
        <f>_xlfn.XLOOKUP(IK$1,generator!$B$2:$B$295,generator!$L$2:$L$295,"ARGH")</f>
        <v>8</v>
      </c>
      <c r="IL32" s="3">
        <f>_xlfn.XLOOKUP(IL$1,generator!$B$2:$B$295,generator!$L$2:$L$295,"ARGH")</f>
        <v>22.5</v>
      </c>
      <c r="IM32" s="3">
        <f>_xlfn.XLOOKUP(IM$1,generator!$B$2:$B$295,generator!$L$2:$L$295,"ARGH")</f>
        <v>22.5</v>
      </c>
      <c r="IN32" s="3">
        <f>_xlfn.XLOOKUP(IN$1,generator!$B$2:$B$295,generator!$L$2:$L$295,"ARGH")</f>
        <v>10</v>
      </c>
      <c r="IO32" s="3">
        <f>_xlfn.XLOOKUP(IO$1,generator!$B$2:$B$295,generator!$L$2:$L$295,"ARGH")</f>
        <v>10</v>
      </c>
      <c r="IP32" s="3">
        <f>_xlfn.XLOOKUP(IP$1,generator!$B$2:$B$295,generator!$L$2:$L$295,"ARGH")</f>
        <v>15</v>
      </c>
      <c r="IQ32" s="3">
        <f>_xlfn.XLOOKUP(IQ$1,generator!$B$2:$B$295,generator!$L$2:$L$295,"ARGH")</f>
        <v>4</v>
      </c>
      <c r="IR32" s="3">
        <f>_xlfn.XLOOKUP(IR$1,generator!$B$2:$B$295,generator!$L$2:$L$295,"ARGH")</f>
        <v>15</v>
      </c>
      <c r="IS32" s="3">
        <f>_xlfn.XLOOKUP(IS$1,generator!$B$2:$B$295,generator!$L$2:$L$295,"ARGH")</f>
        <v>15</v>
      </c>
      <c r="IT32" s="3">
        <f>_xlfn.XLOOKUP(IT$1,generator!$B$2:$B$295,generator!$L$2:$L$295,"ARGH")</f>
        <v>0.18</v>
      </c>
      <c r="IU32" s="3">
        <f>_xlfn.XLOOKUP(IU$1,generator!$B$2:$B$295,generator!$L$2:$L$295,"ARGH")</f>
        <v>4</v>
      </c>
      <c r="IV32" s="3">
        <f>_xlfn.XLOOKUP(IV$1,generator!$B$2:$B$295,generator!$L$2:$L$295,"ARGH")</f>
        <v>4</v>
      </c>
      <c r="IW32" s="3">
        <f>_xlfn.XLOOKUP(IW$1,generator!$B$2:$B$295,generator!$L$2:$L$295,"ARGH")</f>
        <v>90</v>
      </c>
      <c r="IX32" s="3">
        <f>_xlfn.XLOOKUP(IX$1,generator!$B$2:$B$295,generator!$L$2:$L$295,"ARGH")</f>
        <v>90</v>
      </c>
      <c r="IY32" s="3">
        <f>_xlfn.XLOOKUP(IY$1,generator!$B$2:$B$295,generator!$L$2:$L$295,"ARGH")</f>
        <v>90</v>
      </c>
      <c r="IZ32" s="3">
        <f>_xlfn.XLOOKUP(IZ$1,generator!$B$2:$B$295,generator!$L$2:$L$295,"ARGH")</f>
        <v>449</v>
      </c>
      <c r="JA32" s="3">
        <f>_xlfn.XLOOKUP(JA$1,generator!$B$2:$B$295,generator!$L$2:$L$295,"ARGH")</f>
        <v>83</v>
      </c>
      <c r="JB32" s="3">
        <f>_xlfn.XLOOKUP(JB$1,generator!$B$2:$B$295,generator!$L$2:$L$295,"ARGH")</f>
        <v>83</v>
      </c>
      <c r="JC32" s="3">
        <f>_xlfn.XLOOKUP(JC$1,generator!$B$2:$B$295,generator!$L$2:$L$295,"ARGH")</f>
        <v>247</v>
      </c>
      <c r="JD32" s="3">
        <f>_xlfn.XLOOKUP(JD$1,generator!$B$2:$B$295,generator!$L$2:$L$295,"ARGH")</f>
        <v>247</v>
      </c>
      <c r="JE32" s="3">
        <f>_xlfn.XLOOKUP(JE$1,generator!$B$2:$B$295,generator!$L$2:$L$295,"ARGH")</f>
        <v>425</v>
      </c>
      <c r="JF32" s="3">
        <f>_xlfn.XLOOKUP(JF$1,generator!$B$2:$B$295,generator!$L$2:$L$295,"ARGH")</f>
        <v>63.5</v>
      </c>
      <c r="JG32" s="3">
        <f>_xlfn.XLOOKUP(JG$1,generator!$B$2:$B$295,generator!$L$2:$L$295,"ARGH")</f>
        <v>17</v>
      </c>
      <c r="JH32" s="3">
        <f>_xlfn.XLOOKUP(JH$1,generator!$B$2:$B$295,generator!$L$2:$L$295,"ARGH")</f>
        <v>444</v>
      </c>
      <c r="JI32" s="3">
        <f>_xlfn.XLOOKUP(JI$1,generator!$B$2:$B$295,generator!$L$2:$L$295,"ARGH")</f>
        <v>464</v>
      </c>
      <c r="JJ32" s="3">
        <f>_xlfn.XLOOKUP(JJ$1,generator!$B$2:$B$295,generator!$L$2:$L$295,"ARGH")</f>
        <v>18.54</v>
      </c>
      <c r="JK32" s="3">
        <f>_xlfn.XLOOKUP(JK$1,generator!$B$2:$B$295,generator!$L$2:$L$295,"ARGH")</f>
        <v>18.54</v>
      </c>
      <c r="JL32" s="3">
        <f>_xlfn.XLOOKUP(JL$1,generator!$B$2:$B$295,generator!$L$2:$L$295,"ARGH")</f>
        <v>18.54</v>
      </c>
      <c r="JM32" s="3">
        <f>_xlfn.XLOOKUP(JM$1,generator!$B$2:$B$295,generator!$L$2:$L$295,"ARGH")</f>
        <v>18.54</v>
      </c>
      <c r="JN32" s="3">
        <f>_xlfn.XLOOKUP(JN$1,generator!$B$2:$B$295,generator!$L$2:$L$295,"ARGH")</f>
        <v>18.54</v>
      </c>
      <c r="JO32" s="3">
        <f>_xlfn.XLOOKUP(JO$1,generator!$B$2:$B$295,generator!$L$2:$L$295,"ARGH")</f>
        <v>18.54</v>
      </c>
      <c r="JP32" s="3">
        <f>_xlfn.XLOOKUP(JP$1,generator!$B$2:$B$295,generator!$L$2:$L$295,"ARGH")</f>
        <v>415</v>
      </c>
      <c r="JQ32" s="3">
        <f>_xlfn.XLOOKUP(JQ$1,generator!$B$2:$B$295,generator!$L$2:$L$295,"ARGH")</f>
        <v>63.5</v>
      </c>
      <c r="JR32" s="3">
        <f>_xlfn.XLOOKUP(JR$1,generator!$B$2:$B$295,generator!$L$2:$L$295,"ARGH")</f>
        <v>350</v>
      </c>
      <c r="JS32" s="3">
        <f>_xlfn.XLOOKUP(JS$1,generator!$B$2:$B$295,generator!$L$2:$L$295,"ARGH")</f>
        <v>350</v>
      </c>
      <c r="JT32" s="3">
        <f>_xlfn.XLOOKUP(JT$1,generator!$B$2:$B$295,generator!$L$2:$L$295,"ARGH")</f>
        <v>63.5</v>
      </c>
      <c r="JU32" s="3">
        <f>_xlfn.XLOOKUP(JU$1,generator!$B$2:$B$295,generator!$L$2:$L$295,"ARGH")</f>
        <v>61.5</v>
      </c>
      <c r="JV32" s="3">
        <f>_xlfn.XLOOKUP(JV$1,generator!$B$2:$B$295,generator!$L$2:$L$295,"ARGH")</f>
        <v>240</v>
      </c>
      <c r="JW32" s="3">
        <f>_xlfn.XLOOKUP(JW$1,generator!$B$2:$B$295,generator!$L$2:$L$295,"ARGH")</f>
        <v>236</v>
      </c>
      <c r="JX32" s="3">
        <f>_xlfn.XLOOKUP(JX$1,generator!$B$2:$B$295,generator!$L$2:$L$295,"ARGH")</f>
        <v>20</v>
      </c>
      <c r="JY32" s="3">
        <f>_xlfn.XLOOKUP(JY$1,generator!$B$2:$B$295,generator!$L$2:$L$295,"ARGH")</f>
        <v>118</v>
      </c>
      <c r="JZ32" s="3">
        <f>_xlfn.XLOOKUP(JZ$1,generator!$B$2:$B$295,generator!$L$2:$L$295,"ARGH")</f>
        <v>73</v>
      </c>
      <c r="KA32" s="3">
        <f>_xlfn.XLOOKUP(KA$1,generator!$B$2:$B$295,generator!$L$2:$L$295,"ARGH")</f>
        <v>73</v>
      </c>
      <c r="KB32" s="3">
        <f>_xlfn.XLOOKUP(KB$1,generator!$B$2:$B$295,generator!$L$2:$L$295,"ARGH")</f>
        <v>73</v>
      </c>
      <c r="KC32" s="3">
        <f>_xlfn.XLOOKUP(KC$1,generator!$B$2:$B$295,generator!$L$2:$L$295,"ARGH")</f>
        <v>73</v>
      </c>
    </row>
    <row r="33" spans="1:289" x14ac:dyDescent="0.3">
      <c r="A33" s="4" t="s">
        <v>3028</v>
      </c>
      <c r="B33" s="31">
        <v>530</v>
      </c>
      <c r="C33" s="31">
        <v>513</v>
      </c>
      <c r="D33" s="31">
        <v>442</v>
      </c>
      <c r="E33" s="33">
        <v>12.263999999999999</v>
      </c>
      <c r="F33" s="33">
        <v>26.344999999999999</v>
      </c>
      <c r="G33" s="33">
        <v>12.263999999999999</v>
      </c>
      <c r="H33" s="33">
        <v>20.440000000000001</v>
      </c>
      <c r="I33" s="33">
        <v>40.424999999999997</v>
      </c>
      <c r="J33" s="33">
        <v>37.700000000000003</v>
      </c>
      <c r="K33" s="33">
        <v>10.220000000000001</v>
      </c>
      <c r="L33" s="33">
        <v>7.8129999999999997</v>
      </c>
      <c r="M33" s="33">
        <v>6.8129999999999997</v>
      </c>
      <c r="N33" s="33">
        <v>24.527999999999999</v>
      </c>
      <c r="O33" s="33">
        <v>2.4529999999999998</v>
      </c>
      <c r="P33" s="33">
        <v>11.628</v>
      </c>
      <c r="Q33" s="33">
        <v>15.988</v>
      </c>
      <c r="R33" s="33">
        <v>8.1760000000000002</v>
      </c>
      <c r="S33" s="33">
        <v>15.602</v>
      </c>
      <c r="T33" s="33">
        <v>10.901</v>
      </c>
      <c r="U33" s="33">
        <v>19.077000000000002</v>
      </c>
      <c r="V33" s="33">
        <v>9.6069999999999993</v>
      </c>
      <c r="W33" s="33">
        <v>10.446999999999999</v>
      </c>
      <c r="X33" s="33">
        <v>14.717000000000001</v>
      </c>
      <c r="Y33" s="33">
        <v>7.6310000000000002</v>
      </c>
      <c r="Z33" s="33">
        <v>5.4050000000000002</v>
      </c>
      <c r="AA33" s="33">
        <v>4.9059999999999997</v>
      </c>
      <c r="AB33" s="33">
        <v>25.89</v>
      </c>
      <c r="AC33" s="33">
        <v>29.841999999999999</v>
      </c>
      <c r="AD33" s="33">
        <v>10.538</v>
      </c>
      <c r="AE33" s="33">
        <v>9.0839999999999996</v>
      </c>
      <c r="AF33" s="33">
        <v>25.617999999999999</v>
      </c>
      <c r="AG33" s="33">
        <v>9.0839999999999996</v>
      </c>
      <c r="AH33" s="33">
        <v>5.4509999999999996</v>
      </c>
      <c r="AI33" s="33">
        <v>6.0869999999999997</v>
      </c>
      <c r="AJ33" s="33">
        <v>10.901</v>
      </c>
      <c r="AK33" s="33">
        <v>3.8839999999999999</v>
      </c>
      <c r="AL33" s="33">
        <v>16.797000000000001</v>
      </c>
      <c r="AM33" s="33">
        <v>21.574999999999999</v>
      </c>
      <c r="AN33" s="33">
        <v>9.0839999999999996</v>
      </c>
      <c r="AO33" s="33">
        <v>6.2679999999999998</v>
      </c>
      <c r="AP33" s="33">
        <v>24.664000000000001</v>
      </c>
      <c r="AQ33" s="33">
        <v>8.4939999999999998</v>
      </c>
      <c r="AR33" s="33">
        <v>7.9489999999999998</v>
      </c>
      <c r="AS33" s="33">
        <v>23.619</v>
      </c>
      <c r="AT33" s="33">
        <v>6.4189999999999996</v>
      </c>
      <c r="AU33" s="33">
        <v>17.260000000000002</v>
      </c>
      <c r="AV33" s="33">
        <v>14.762</v>
      </c>
      <c r="AW33" s="33">
        <v>14.989000000000001</v>
      </c>
      <c r="AX33" s="33">
        <v>8.3119999999999994</v>
      </c>
      <c r="AY33" s="33">
        <v>15.035</v>
      </c>
      <c r="AZ33" s="33">
        <v>17.192</v>
      </c>
      <c r="BA33" s="33">
        <v>6.359</v>
      </c>
      <c r="BB33" s="33">
        <v>20.893999999999998</v>
      </c>
      <c r="BC33" s="33">
        <v>9.0839999999999996</v>
      </c>
      <c r="BD33" s="33">
        <v>5.4509999999999996</v>
      </c>
      <c r="BE33" s="33">
        <v>5.2240000000000002</v>
      </c>
      <c r="BF33" s="33">
        <v>40.880000000000003</v>
      </c>
      <c r="BG33" s="33">
        <v>6.8129999999999997</v>
      </c>
      <c r="BH33" s="33">
        <v>11.355</v>
      </c>
      <c r="BI33" s="33">
        <v>9.5389999999999997</v>
      </c>
      <c r="BJ33" s="33">
        <v>19.077000000000002</v>
      </c>
      <c r="BK33" s="33">
        <v>5.4509999999999996</v>
      </c>
      <c r="BL33" s="33">
        <v>19.303999999999998</v>
      </c>
      <c r="BM33" s="33">
        <v>3.8610000000000002</v>
      </c>
      <c r="BN33" s="33">
        <v>13.627000000000001</v>
      </c>
      <c r="BO33" s="33">
        <v>19.367999999999999</v>
      </c>
      <c r="BP33" s="33">
        <v>51.872</v>
      </c>
      <c r="BQ33" s="33">
        <v>16.352</v>
      </c>
      <c r="BR33" s="33">
        <v>24.527999999999999</v>
      </c>
      <c r="BS33" s="33">
        <v>7.9489999999999998</v>
      </c>
      <c r="BT33" s="33">
        <v>15.670999999999999</v>
      </c>
      <c r="BU33" s="33">
        <v>2.1800000000000002</v>
      </c>
      <c r="BV33" s="33">
        <v>4.6779999999999999</v>
      </c>
      <c r="BW33" s="33">
        <v>6.1680000000000001</v>
      </c>
      <c r="BX33" s="33">
        <v>5.0190000000000001</v>
      </c>
      <c r="BY33" s="33">
        <v>11.355</v>
      </c>
      <c r="BZ33" s="33">
        <v>18.532</v>
      </c>
      <c r="CA33" s="33">
        <v>27.026</v>
      </c>
      <c r="CB33" s="33">
        <v>15.443</v>
      </c>
      <c r="CC33" s="33">
        <v>12.945</v>
      </c>
      <c r="CD33" s="33">
        <v>17.442</v>
      </c>
      <c r="CE33" s="33">
        <v>11.355</v>
      </c>
      <c r="CF33" s="33">
        <v>7.3129999999999997</v>
      </c>
      <c r="CG33" s="33">
        <v>7.9489999999999998</v>
      </c>
      <c r="CH33" s="33">
        <v>12.695</v>
      </c>
      <c r="CI33" s="33">
        <v>5.9279999999999999</v>
      </c>
      <c r="CJ33" s="33">
        <v>2.0209999999999999</v>
      </c>
      <c r="CK33" s="33">
        <v>11.265000000000001</v>
      </c>
      <c r="CL33" s="33">
        <v>7.6760000000000002</v>
      </c>
      <c r="CM33" s="33">
        <v>6.8129999999999997</v>
      </c>
      <c r="CN33" s="33">
        <v>26.901</v>
      </c>
      <c r="CO33" s="33">
        <v>10.673999999999999</v>
      </c>
      <c r="CP33" s="33">
        <v>21.257000000000001</v>
      </c>
      <c r="CQ33" s="33">
        <v>14.535</v>
      </c>
      <c r="CR33" s="33">
        <v>11.81</v>
      </c>
      <c r="CS33" s="33">
        <v>9.9930000000000003</v>
      </c>
      <c r="CT33" s="33">
        <v>13.536</v>
      </c>
      <c r="CU33" s="33">
        <v>6.2679999999999998</v>
      </c>
      <c r="CV33" s="33">
        <v>11.492000000000001</v>
      </c>
      <c r="CW33" s="33">
        <v>12.718</v>
      </c>
      <c r="CX33" s="33">
        <v>5.6779999999999999</v>
      </c>
      <c r="CY33" s="33">
        <v>15.512</v>
      </c>
      <c r="CZ33" s="33">
        <v>5.4509999999999996</v>
      </c>
      <c r="DA33" s="33">
        <v>13.627000000000001</v>
      </c>
      <c r="DB33" s="33">
        <v>8.5389999999999997</v>
      </c>
      <c r="DC33" s="33">
        <v>6.4039999999999999</v>
      </c>
      <c r="DD33" s="33">
        <v>7.3129999999999997</v>
      </c>
      <c r="DE33" s="33">
        <v>5.6779999999999999</v>
      </c>
      <c r="DF33" s="33">
        <v>9.8109999999999999</v>
      </c>
      <c r="DG33" s="33">
        <v>16.329000000000001</v>
      </c>
      <c r="DH33" s="33">
        <v>34.066000000000003</v>
      </c>
      <c r="DI33" s="33">
        <v>16.352</v>
      </c>
      <c r="DJ33" s="33">
        <v>6.8129999999999997</v>
      </c>
      <c r="DK33" s="33">
        <v>9.4019999999999992</v>
      </c>
      <c r="DL33" s="33">
        <v>16.829000000000001</v>
      </c>
      <c r="DM33" s="33">
        <v>8.1760000000000002</v>
      </c>
      <c r="DN33" s="33">
        <v>45.421999999999997</v>
      </c>
      <c r="DO33" s="33">
        <v>15.262</v>
      </c>
      <c r="DP33" s="33">
        <v>45.875999999999998</v>
      </c>
      <c r="DQ33" s="33">
        <v>1.0629999999999999</v>
      </c>
      <c r="DR33" s="33">
        <v>41.424999999999997</v>
      </c>
      <c r="DS33" s="33">
        <v>7.3129999999999997</v>
      </c>
      <c r="DT33" s="33">
        <v>13.672000000000001</v>
      </c>
      <c r="DU33" s="33">
        <v>6.8129999999999997</v>
      </c>
      <c r="DV33" s="33">
        <v>5.3959999999999999</v>
      </c>
      <c r="DW33" s="33">
        <v>6.359</v>
      </c>
      <c r="DX33" s="33">
        <v>17.669</v>
      </c>
      <c r="DY33" s="33">
        <v>11.81</v>
      </c>
      <c r="DZ33" s="33">
        <v>5.3140000000000001</v>
      </c>
      <c r="EA33" s="33">
        <v>18.169</v>
      </c>
      <c r="EB33" s="33">
        <v>16.352</v>
      </c>
      <c r="EC33" s="33">
        <v>10.446999999999999</v>
      </c>
      <c r="ED33" s="33">
        <v>13.081</v>
      </c>
      <c r="EE33" s="33">
        <v>22.166</v>
      </c>
      <c r="EF33" s="33">
        <v>6.8129999999999997</v>
      </c>
      <c r="EG33" s="33">
        <v>4.1790000000000003</v>
      </c>
      <c r="EH33" s="33">
        <v>18.805</v>
      </c>
      <c r="EI33" s="33">
        <v>6.7220000000000004</v>
      </c>
      <c r="EJ33" s="33">
        <v>4.1790000000000003</v>
      </c>
      <c r="EK33" s="33">
        <v>6.8129999999999997</v>
      </c>
      <c r="EL33" s="33">
        <v>10.901</v>
      </c>
      <c r="EM33" s="33">
        <v>14.625999999999999</v>
      </c>
      <c r="EN33" s="33">
        <v>8.3580000000000005</v>
      </c>
      <c r="EO33" s="33">
        <v>9.0839999999999996</v>
      </c>
      <c r="EP33" s="33">
        <v>6.4039999999999999</v>
      </c>
      <c r="EQ33" s="33">
        <v>15.670999999999999</v>
      </c>
      <c r="ER33" s="33">
        <v>4.7690000000000001</v>
      </c>
      <c r="ES33" s="33">
        <v>5.2240000000000002</v>
      </c>
      <c r="ET33" s="33">
        <v>10.492000000000001</v>
      </c>
      <c r="EU33" s="33">
        <v>38.590000000000003</v>
      </c>
      <c r="EV33" s="33">
        <v>7.835</v>
      </c>
      <c r="EW33" s="33">
        <v>36.337000000000003</v>
      </c>
      <c r="EX33" s="33">
        <v>40.811999999999998</v>
      </c>
      <c r="EY33" s="33">
        <v>2.4529999999999998</v>
      </c>
      <c r="EZ33" s="33">
        <v>3.298</v>
      </c>
      <c r="FA33" s="33">
        <v>2.698</v>
      </c>
      <c r="FB33" s="33">
        <v>9.0839999999999996</v>
      </c>
      <c r="FC33" s="33">
        <v>12.945</v>
      </c>
      <c r="FD33" s="33">
        <v>9.0839999999999996</v>
      </c>
      <c r="FE33" s="33">
        <v>12.536</v>
      </c>
      <c r="FF33" s="33">
        <v>8.1760000000000002</v>
      </c>
      <c r="FG33" s="33">
        <v>6.8129999999999997</v>
      </c>
      <c r="FH33" s="33">
        <v>5.6779999999999999</v>
      </c>
      <c r="FI33" s="33">
        <v>21.802</v>
      </c>
      <c r="FJ33" s="33">
        <v>13.907999999999999</v>
      </c>
      <c r="FK33" s="33">
        <v>20.145</v>
      </c>
      <c r="FL33" s="33">
        <v>6.7220000000000004</v>
      </c>
      <c r="FM33" s="33">
        <v>18.577999999999999</v>
      </c>
      <c r="FN33" s="33">
        <v>9.3109999999999999</v>
      </c>
      <c r="FO33" s="33">
        <v>33.43</v>
      </c>
      <c r="FP33" s="33">
        <v>47.692999999999998</v>
      </c>
      <c r="FQ33" s="33">
        <v>8.7210000000000001</v>
      </c>
      <c r="FR33" s="33">
        <v>5.2240000000000002</v>
      </c>
      <c r="FS33" s="33">
        <v>6.2679999999999998</v>
      </c>
      <c r="FT33" s="33">
        <v>7.835</v>
      </c>
      <c r="FU33" s="33">
        <v>31.795000000000002</v>
      </c>
      <c r="FV33" s="33">
        <v>6.0410000000000004</v>
      </c>
      <c r="FW33" s="33">
        <v>6.8949999999999996</v>
      </c>
      <c r="FX33" s="33">
        <v>6.8129999999999997</v>
      </c>
      <c r="FY33" s="33">
        <v>6.2679999999999998</v>
      </c>
      <c r="FZ33" s="33">
        <v>6.2679999999999998</v>
      </c>
      <c r="GA33" s="33">
        <v>6.8129999999999997</v>
      </c>
      <c r="GB33" s="33">
        <v>5.6779999999999999</v>
      </c>
      <c r="GC33" s="33">
        <v>2.9980000000000002</v>
      </c>
      <c r="GD33" s="33">
        <v>5.7229999999999999</v>
      </c>
      <c r="GE33" s="33">
        <v>6.2679999999999998</v>
      </c>
      <c r="GF33" s="33">
        <v>47.692999999999998</v>
      </c>
      <c r="GG33" s="33">
        <v>29.07</v>
      </c>
      <c r="GH33" s="33">
        <v>2.7250000000000001</v>
      </c>
      <c r="GI33" s="33">
        <v>4.0880000000000001</v>
      </c>
      <c r="GJ33" s="33">
        <v>5.4050000000000002</v>
      </c>
      <c r="GK33" s="33">
        <v>12.263999999999999</v>
      </c>
      <c r="GL33" s="33">
        <v>9.0839999999999996</v>
      </c>
      <c r="GM33" s="33">
        <v>7.4640000000000004</v>
      </c>
      <c r="GN33" s="33">
        <v>44.784999999999997</v>
      </c>
      <c r="GO33" s="33">
        <v>15.675000000000001</v>
      </c>
      <c r="GP33" s="33">
        <v>63.445</v>
      </c>
      <c r="GQ33" s="33">
        <v>10.45</v>
      </c>
      <c r="GR33" s="33">
        <v>88.823999999999998</v>
      </c>
      <c r="GS33" s="33">
        <v>23.587</v>
      </c>
      <c r="GT33" s="33">
        <v>70.91</v>
      </c>
      <c r="GU33" s="33">
        <v>18.809999999999999</v>
      </c>
      <c r="GV33" s="33">
        <v>12.629</v>
      </c>
      <c r="GW33" s="33">
        <v>15.249000000000001</v>
      </c>
      <c r="GX33" s="33">
        <v>64.938000000000002</v>
      </c>
      <c r="GY33" s="33">
        <v>2.9860000000000002</v>
      </c>
      <c r="GZ33" s="33">
        <v>8.9570000000000007</v>
      </c>
      <c r="HA33" s="33">
        <v>22.251000000000001</v>
      </c>
      <c r="HB33" s="33">
        <v>70.91</v>
      </c>
      <c r="HC33" s="33">
        <v>70.91</v>
      </c>
      <c r="HD33" s="33">
        <v>37.320999999999998</v>
      </c>
      <c r="HE33" s="3">
        <f>_xlfn.XLOOKUP(HE$1,generator!$B$2:$B$295,generator!$L$2:$L$295,"ARGH")</f>
        <v>17.600000000000001</v>
      </c>
      <c r="HF33" s="3">
        <f>_xlfn.XLOOKUP(HF$1,generator!$B$2:$B$295,generator!$L$2:$L$295,"ARGH")</f>
        <v>285</v>
      </c>
      <c r="HG33" s="3">
        <f>_xlfn.XLOOKUP(HG$1,generator!$B$2:$B$295,generator!$L$2:$L$295,"ARGH")</f>
        <v>285</v>
      </c>
      <c r="HH33" s="3">
        <f>_xlfn.XLOOKUP(HH$1,generator!$B$2:$B$295,generator!$L$2:$L$295,"ARGH")</f>
        <v>285</v>
      </c>
      <c r="HI33" s="3">
        <f>_xlfn.XLOOKUP(HI$1,generator!$B$2:$B$295,generator!$L$2:$L$295,"ARGH")</f>
        <v>58</v>
      </c>
      <c r="HJ33" s="3">
        <f>_xlfn.XLOOKUP(HJ$1,generator!$B$2:$B$295,generator!$L$2:$L$295,"ARGH")</f>
        <v>58</v>
      </c>
      <c r="HK33" s="3">
        <f>_xlfn.XLOOKUP(HK$1,generator!$B$2:$B$295,generator!$L$2:$L$295,"ARGH")</f>
        <v>53</v>
      </c>
      <c r="HL33" s="3">
        <f>_xlfn.XLOOKUP(HL$1,generator!$B$2:$B$295,generator!$L$2:$L$295,"ARGH")</f>
        <v>58</v>
      </c>
      <c r="HM33" s="3">
        <f>_xlfn.XLOOKUP(HM$1,generator!$B$2:$B$295,generator!$L$2:$L$295,"ARGH")</f>
        <v>58</v>
      </c>
      <c r="HN33" s="3">
        <f>_xlfn.XLOOKUP(HN$1,generator!$B$2:$B$295,generator!$L$2:$L$295,"ARGH")</f>
        <v>52</v>
      </c>
      <c r="HO33" s="3">
        <f>_xlfn.XLOOKUP(HO$1,generator!$B$2:$B$295,generator!$L$2:$L$295,"ARGH")</f>
        <v>52</v>
      </c>
      <c r="HP33" s="3">
        <f>_xlfn.XLOOKUP(HP$1,generator!$B$2:$B$295,generator!$L$2:$L$295,"ARGH")</f>
        <v>2</v>
      </c>
      <c r="HQ33" s="3">
        <f>_xlfn.XLOOKUP(HQ$1,generator!$B$2:$B$295,generator!$L$2:$L$295,"ARGH")</f>
        <v>29.2</v>
      </c>
      <c r="HR33" s="3">
        <f>_xlfn.XLOOKUP(HR$1,generator!$B$2:$B$295,generator!$L$2:$L$295,"ARGH")</f>
        <v>29.2</v>
      </c>
      <c r="HS33" s="3">
        <f>_xlfn.XLOOKUP(HS$1,generator!$B$2:$B$295,generator!$L$2:$L$295,"ARGH")</f>
        <v>41.61</v>
      </c>
      <c r="HT33" s="3">
        <f>_xlfn.XLOOKUP(HT$1,generator!$B$2:$B$295,generator!$L$2:$L$295,"ARGH")</f>
        <v>41.61</v>
      </c>
      <c r="HU33" s="3">
        <f>_xlfn.XLOOKUP(HU$1,generator!$B$2:$B$295,generator!$L$2:$L$295,"ARGH")</f>
        <v>160</v>
      </c>
      <c r="HV33" s="3">
        <f>_xlfn.XLOOKUP(HV$1,generator!$B$2:$B$295,generator!$L$2:$L$295,"ARGH")</f>
        <v>260</v>
      </c>
      <c r="HW33" s="3">
        <f>_xlfn.XLOOKUP(HW$1,generator!$B$2:$B$295,generator!$L$2:$L$295,"ARGH")</f>
        <v>52</v>
      </c>
      <c r="HX33" s="3">
        <f>_xlfn.XLOOKUP(HX$1,generator!$B$2:$B$295,generator!$L$2:$L$295,"ARGH")</f>
        <v>52</v>
      </c>
      <c r="HY33" s="3">
        <f>_xlfn.XLOOKUP(HY$1,generator!$B$2:$B$295,generator!$L$2:$L$295,"ARGH")</f>
        <v>101</v>
      </c>
      <c r="HZ33" s="3">
        <f>_xlfn.XLOOKUP(HZ$1,generator!$B$2:$B$295,generator!$L$2:$L$295,"ARGH")</f>
        <v>50</v>
      </c>
      <c r="IA33" s="3">
        <f>_xlfn.XLOOKUP(IA$1,generator!$B$2:$B$295,generator!$L$2:$L$295,"ARGH")</f>
        <v>400</v>
      </c>
      <c r="IB33" s="3">
        <f>_xlfn.XLOOKUP(IB$1,generator!$B$2:$B$295,generator!$L$2:$L$295,"ARGH")</f>
        <v>342</v>
      </c>
      <c r="IC33" s="3">
        <f>_xlfn.XLOOKUP(IC$1,generator!$B$2:$B$295,generator!$L$2:$L$295,"ARGH")</f>
        <v>3.0209999999999999</v>
      </c>
      <c r="ID33" s="3">
        <f>_xlfn.XLOOKUP(ID$1,generator!$B$2:$B$295,generator!$L$2:$L$295,"ARGH")</f>
        <v>200</v>
      </c>
      <c r="IE33" s="3">
        <f>_xlfn.XLOOKUP(IE$1,generator!$B$2:$B$295,generator!$L$2:$L$295,"ARGH")</f>
        <v>404</v>
      </c>
      <c r="IF33" s="3">
        <f>_xlfn.XLOOKUP(IF$1,generator!$B$2:$B$295,generator!$L$2:$L$295,"ARGH")</f>
        <v>21</v>
      </c>
      <c r="IG33" s="3">
        <f>_xlfn.XLOOKUP(IG$1,generator!$B$2:$B$295,generator!$L$2:$L$295,"ARGH")</f>
        <v>22</v>
      </c>
      <c r="IH33" s="3">
        <f>_xlfn.XLOOKUP(IH$1,generator!$B$2:$B$295,generator!$L$2:$L$295,"ARGH")</f>
        <v>19</v>
      </c>
      <c r="II33" s="3">
        <f>_xlfn.XLOOKUP(II$1,generator!$B$2:$B$295,generator!$L$2:$L$295,"ARGH")</f>
        <v>24</v>
      </c>
      <c r="IJ33" s="3">
        <f>_xlfn.XLOOKUP(IJ$1,generator!$B$2:$B$295,generator!$L$2:$L$295,"ARGH")</f>
        <v>4.3</v>
      </c>
      <c r="IK33" s="3">
        <f>_xlfn.XLOOKUP(IK$1,generator!$B$2:$B$295,generator!$L$2:$L$295,"ARGH")</f>
        <v>8</v>
      </c>
      <c r="IL33" s="3">
        <f>_xlfn.XLOOKUP(IL$1,generator!$B$2:$B$295,generator!$L$2:$L$295,"ARGH")</f>
        <v>22.5</v>
      </c>
      <c r="IM33" s="3">
        <f>_xlfn.XLOOKUP(IM$1,generator!$B$2:$B$295,generator!$L$2:$L$295,"ARGH")</f>
        <v>22.5</v>
      </c>
      <c r="IN33" s="3">
        <f>_xlfn.XLOOKUP(IN$1,generator!$B$2:$B$295,generator!$L$2:$L$295,"ARGH")</f>
        <v>10</v>
      </c>
      <c r="IO33" s="3">
        <f>_xlfn.XLOOKUP(IO$1,generator!$B$2:$B$295,generator!$L$2:$L$295,"ARGH")</f>
        <v>10</v>
      </c>
      <c r="IP33" s="3">
        <f>_xlfn.XLOOKUP(IP$1,generator!$B$2:$B$295,generator!$L$2:$L$295,"ARGH")</f>
        <v>15</v>
      </c>
      <c r="IQ33" s="3">
        <f>_xlfn.XLOOKUP(IQ$1,generator!$B$2:$B$295,generator!$L$2:$L$295,"ARGH")</f>
        <v>4</v>
      </c>
      <c r="IR33" s="3">
        <f>_xlfn.XLOOKUP(IR$1,generator!$B$2:$B$295,generator!$L$2:$L$295,"ARGH")</f>
        <v>15</v>
      </c>
      <c r="IS33" s="3">
        <f>_xlfn.XLOOKUP(IS$1,generator!$B$2:$B$295,generator!$L$2:$L$295,"ARGH")</f>
        <v>15</v>
      </c>
      <c r="IT33" s="3">
        <f>_xlfn.XLOOKUP(IT$1,generator!$B$2:$B$295,generator!$L$2:$L$295,"ARGH")</f>
        <v>0.18</v>
      </c>
      <c r="IU33" s="3">
        <f>_xlfn.XLOOKUP(IU$1,generator!$B$2:$B$295,generator!$L$2:$L$295,"ARGH")</f>
        <v>4</v>
      </c>
      <c r="IV33" s="3">
        <f>_xlfn.XLOOKUP(IV$1,generator!$B$2:$B$295,generator!$L$2:$L$295,"ARGH")</f>
        <v>4</v>
      </c>
      <c r="IW33" s="3">
        <f>_xlfn.XLOOKUP(IW$1,generator!$B$2:$B$295,generator!$L$2:$L$295,"ARGH")</f>
        <v>90</v>
      </c>
      <c r="IX33" s="3">
        <f>_xlfn.XLOOKUP(IX$1,generator!$B$2:$B$295,generator!$L$2:$L$295,"ARGH")</f>
        <v>90</v>
      </c>
      <c r="IY33" s="3">
        <f>_xlfn.XLOOKUP(IY$1,generator!$B$2:$B$295,generator!$L$2:$L$295,"ARGH")</f>
        <v>90</v>
      </c>
      <c r="IZ33" s="3">
        <f>_xlfn.XLOOKUP(IZ$1,generator!$B$2:$B$295,generator!$L$2:$L$295,"ARGH")</f>
        <v>449</v>
      </c>
      <c r="JA33" s="3">
        <f>_xlfn.XLOOKUP(JA$1,generator!$B$2:$B$295,generator!$L$2:$L$295,"ARGH")</f>
        <v>83</v>
      </c>
      <c r="JB33" s="3">
        <f>_xlfn.XLOOKUP(JB$1,generator!$B$2:$B$295,generator!$L$2:$L$295,"ARGH")</f>
        <v>83</v>
      </c>
      <c r="JC33" s="3">
        <f>_xlfn.XLOOKUP(JC$1,generator!$B$2:$B$295,generator!$L$2:$L$295,"ARGH")</f>
        <v>247</v>
      </c>
      <c r="JD33" s="3">
        <f>_xlfn.XLOOKUP(JD$1,generator!$B$2:$B$295,generator!$L$2:$L$295,"ARGH")</f>
        <v>247</v>
      </c>
      <c r="JE33" s="3">
        <f>_xlfn.XLOOKUP(JE$1,generator!$B$2:$B$295,generator!$L$2:$L$295,"ARGH")</f>
        <v>425</v>
      </c>
      <c r="JF33" s="3">
        <f>_xlfn.XLOOKUP(JF$1,generator!$B$2:$B$295,generator!$L$2:$L$295,"ARGH")</f>
        <v>63.5</v>
      </c>
      <c r="JG33" s="3">
        <f>_xlfn.XLOOKUP(JG$1,generator!$B$2:$B$295,generator!$L$2:$L$295,"ARGH")</f>
        <v>17</v>
      </c>
      <c r="JH33" s="3">
        <f>_xlfn.XLOOKUP(JH$1,generator!$B$2:$B$295,generator!$L$2:$L$295,"ARGH")</f>
        <v>444</v>
      </c>
      <c r="JI33" s="3">
        <f>_xlfn.XLOOKUP(JI$1,generator!$B$2:$B$295,generator!$L$2:$L$295,"ARGH")</f>
        <v>464</v>
      </c>
      <c r="JJ33" s="3">
        <f>_xlfn.XLOOKUP(JJ$1,generator!$B$2:$B$295,generator!$L$2:$L$295,"ARGH")</f>
        <v>18.54</v>
      </c>
      <c r="JK33" s="3">
        <f>_xlfn.XLOOKUP(JK$1,generator!$B$2:$B$295,generator!$L$2:$L$295,"ARGH")</f>
        <v>18.54</v>
      </c>
      <c r="JL33" s="3">
        <f>_xlfn.XLOOKUP(JL$1,generator!$B$2:$B$295,generator!$L$2:$L$295,"ARGH")</f>
        <v>18.54</v>
      </c>
      <c r="JM33" s="3">
        <f>_xlfn.XLOOKUP(JM$1,generator!$B$2:$B$295,generator!$L$2:$L$295,"ARGH")</f>
        <v>18.54</v>
      </c>
      <c r="JN33" s="3">
        <f>_xlfn.XLOOKUP(JN$1,generator!$B$2:$B$295,generator!$L$2:$L$295,"ARGH")</f>
        <v>18.54</v>
      </c>
      <c r="JO33" s="3">
        <f>_xlfn.XLOOKUP(JO$1,generator!$B$2:$B$295,generator!$L$2:$L$295,"ARGH")</f>
        <v>18.54</v>
      </c>
      <c r="JP33" s="3">
        <f>_xlfn.XLOOKUP(JP$1,generator!$B$2:$B$295,generator!$L$2:$L$295,"ARGH")</f>
        <v>415</v>
      </c>
      <c r="JQ33" s="3">
        <f>_xlfn.XLOOKUP(JQ$1,generator!$B$2:$B$295,generator!$L$2:$L$295,"ARGH")</f>
        <v>63.5</v>
      </c>
      <c r="JR33" s="3">
        <f>_xlfn.XLOOKUP(JR$1,generator!$B$2:$B$295,generator!$L$2:$L$295,"ARGH")</f>
        <v>350</v>
      </c>
      <c r="JS33" s="3">
        <f>_xlfn.XLOOKUP(JS$1,generator!$B$2:$B$295,generator!$L$2:$L$295,"ARGH")</f>
        <v>350</v>
      </c>
      <c r="JT33" s="3">
        <f>_xlfn.XLOOKUP(JT$1,generator!$B$2:$B$295,generator!$L$2:$L$295,"ARGH")</f>
        <v>63.5</v>
      </c>
      <c r="JU33" s="3">
        <f>_xlfn.XLOOKUP(JU$1,generator!$B$2:$B$295,generator!$L$2:$L$295,"ARGH")</f>
        <v>61.5</v>
      </c>
      <c r="JV33" s="3">
        <f>_xlfn.XLOOKUP(JV$1,generator!$B$2:$B$295,generator!$L$2:$L$295,"ARGH")</f>
        <v>240</v>
      </c>
      <c r="JW33" s="3">
        <f>_xlfn.XLOOKUP(JW$1,generator!$B$2:$B$295,generator!$L$2:$L$295,"ARGH")</f>
        <v>236</v>
      </c>
      <c r="JX33" s="3">
        <f>_xlfn.XLOOKUP(JX$1,generator!$B$2:$B$295,generator!$L$2:$L$295,"ARGH")</f>
        <v>20</v>
      </c>
      <c r="JY33" s="3">
        <f>_xlfn.XLOOKUP(JY$1,generator!$B$2:$B$295,generator!$L$2:$L$295,"ARGH")</f>
        <v>118</v>
      </c>
      <c r="JZ33" s="3">
        <f>_xlfn.XLOOKUP(JZ$1,generator!$B$2:$B$295,generator!$L$2:$L$295,"ARGH")</f>
        <v>73</v>
      </c>
      <c r="KA33" s="3">
        <f>_xlfn.XLOOKUP(KA$1,generator!$B$2:$B$295,generator!$L$2:$L$295,"ARGH")</f>
        <v>73</v>
      </c>
      <c r="KB33" s="3">
        <f>_xlfn.XLOOKUP(KB$1,generator!$B$2:$B$295,generator!$L$2:$L$295,"ARGH")</f>
        <v>73</v>
      </c>
      <c r="KC33" s="3">
        <f>_xlfn.XLOOKUP(KC$1,generator!$B$2:$B$295,generator!$L$2:$L$295,"ARGH")</f>
        <v>73</v>
      </c>
    </row>
    <row r="34" spans="1:289" x14ac:dyDescent="0.3">
      <c r="A34" s="4" t="s">
        <v>3029</v>
      </c>
      <c r="B34" s="31">
        <v>494</v>
      </c>
      <c r="C34" s="31">
        <v>513</v>
      </c>
      <c r="D34" s="31">
        <v>442</v>
      </c>
      <c r="E34" s="33">
        <v>11.737</v>
      </c>
      <c r="F34" s="33">
        <v>25.212</v>
      </c>
      <c r="G34" s="33">
        <v>11.737</v>
      </c>
      <c r="H34" s="33">
        <v>19.561</v>
      </c>
      <c r="I34" s="33">
        <v>38.688000000000002</v>
      </c>
      <c r="J34" s="33">
        <v>36.08</v>
      </c>
      <c r="K34" s="33">
        <v>9.7810000000000006</v>
      </c>
      <c r="L34" s="33">
        <v>7.4770000000000003</v>
      </c>
      <c r="M34" s="33">
        <v>6.52</v>
      </c>
      <c r="N34" s="33">
        <v>23.474</v>
      </c>
      <c r="O34" s="33">
        <v>2.347</v>
      </c>
      <c r="P34" s="33">
        <v>11.128</v>
      </c>
      <c r="Q34" s="33">
        <v>15.301</v>
      </c>
      <c r="R34" s="33">
        <v>7.8250000000000002</v>
      </c>
      <c r="S34" s="33">
        <v>14.932</v>
      </c>
      <c r="T34" s="33">
        <v>10.433</v>
      </c>
      <c r="U34" s="33">
        <v>18.257000000000001</v>
      </c>
      <c r="V34" s="33">
        <v>9.1940000000000008</v>
      </c>
      <c r="W34" s="33">
        <v>9.9979999999999993</v>
      </c>
      <c r="X34" s="33">
        <v>14.084</v>
      </c>
      <c r="Y34" s="33">
        <v>7.3029999999999999</v>
      </c>
      <c r="Z34" s="33">
        <v>5.173</v>
      </c>
      <c r="AA34" s="33">
        <v>4.6950000000000003</v>
      </c>
      <c r="AB34" s="33">
        <v>24.777999999999999</v>
      </c>
      <c r="AC34" s="33">
        <v>28.56</v>
      </c>
      <c r="AD34" s="33">
        <v>10.085000000000001</v>
      </c>
      <c r="AE34" s="33">
        <v>8.6940000000000008</v>
      </c>
      <c r="AF34" s="33">
        <v>24.516999999999999</v>
      </c>
      <c r="AG34" s="33">
        <v>8.6940000000000008</v>
      </c>
      <c r="AH34" s="33">
        <v>5.2160000000000002</v>
      </c>
      <c r="AI34" s="33">
        <v>5.8250000000000002</v>
      </c>
      <c r="AJ34" s="33">
        <v>10.433</v>
      </c>
      <c r="AK34" s="33">
        <v>3.7170000000000001</v>
      </c>
      <c r="AL34" s="33">
        <v>16.074999999999999</v>
      </c>
      <c r="AM34" s="33">
        <v>20.648</v>
      </c>
      <c r="AN34" s="33">
        <v>8.6940000000000008</v>
      </c>
      <c r="AO34" s="33">
        <v>5.9989999999999997</v>
      </c>
      <c r="AP34" s="33">
        <v>23.603999999999999</v>
      </c>
      <c r="AQ34" s="33">
        <v>8.1289999999999996</v>
      </c>
      <c r="AR34" s="33">
        <v>7.6070000000000002</v>
      </c>
      <c r="AS34" s="33">
        <v>22.603999999999999</v>
      </c>
      <c r="AT34" s="33">
        <v>6.1429999999999998</v>
      </c>
      <c r="AU34" s="33">
        <v>16.518999999999998</v>
      </c>
      <c r="AV34" s="33">
        <v>14.128</v>
      </c>
      <c r="AW34" s="33">
        <v>14.345000000000001</v>
      </c>
      <c r="AX34" s="33">
        <v>7.9550000000000001</v>
      </c>
      <c r="AY34" s="33">
        <v>14.388999999999999</v>
      </c>
      <c r="AZ34" s="33">
        <v>16.452999999999999</v>
      </c>
      <c r="BA34" s="33">
        <v>6.0860000000000003</v>
      </c>
      <c r="BB34" s="33">
        <v>19.995999999999999</v>
      </c>
      <c r="BC34" s="33">
        <v>8.6940000000000008</v>
      </c>
      <c r="BD34" s="33">
        <v>5.2160000000000002</v>
      </c>
      <c r="BE34" s="33">
        <v>4.9989999999999997</v>
      </c>
      <c r="BF34" s="33">
        <v>39.122999999999998</v>
      </c>
      <c r="BG34" s="33">
        <v>6.52</v>
      </c>
      <c r="BH34" s="33">
        <v>10.867000000000001</v>
      </c>
      <c r="BI34" s="33">
        <v>9.1289999999999996</v>
      </c>
      <c r="BJ34" s="33">
        <v>18.257000000000001</v>
      </c>
      <c r="BK34" s="33">
        <v>5.2160000000000002</v>
      </c>
      <c r="BL34" s="33">
        <v>18.475000000000001</v>
      </c>
      <c r="BM34" s="33">
        <v>3.6949999999999998</v>
      </c>
      <c r="BN34" s="33">
        <v>13.041</v>
      </c>
      <c r="BO34" s="33">
        <v>18.536000000000001</v>
      </c>
      <c r="BP34" s="33">
        <v>49.643000000000001</v>
      </c>
      <c r="BQ34" s="33">
        <v>15.648999999999999</v>
      </c>
      <c r="BR34" s="33">
        <v>23.474</v>
      </c>
      <c r="BS34" s="33">
        <v>7.6070000000000002</v>
      </c>
      <c r="BT34" s="33">
        <v>14.997</v>
      </c>
      <c r="BU34" s="33">
        <v>2.0870000000000002</v>
      </c>
      <c r="BV34" s="33">
        <v>4.4770000000000003</v>
      </c>
      <c r="BW34" s="33">
        <v>5.9029999999999996</v>
      </c>
      <c r="BX34" s="33">
        <v>4.8029999999999999</v>
      </c>
      <c r="BY34" s="33">
        <v>10.867000000000001</v>
      </c>
      <c r="BZ34" s="33">
        <v>17.736000000000001</v>
      </c>
      <c r="CA34" s="33">
        <v>25.864999999999998</v>
      </c>
      <c r="CB34" s="33">
        <v>14.78</v>
      </c>
      <c r="CC34" s="33">
        <v>12.388999999999999</v>
      </c>
      <c r="CD34" s="33">
        <v>16.692</v>
      </c>
      <c r="CE34" s="33">
        <v>10.867000000000001</v>
      </c>
      <c r="CF34" s="33">
        <v>6.9989999999999997</v>
      </c>
      <c r="CG34" s="33">
        <v>7.6070000000000002</v>
      </c>
      <c r="CH34" s="33">
        <v>12.15</v>
      </c>
      <c r="CI34" s="33">
        <v>5.673</v>
      </c>
      <c r="CJ34" s="33">
        <v>1.9339999999999999</v>
      </c>
      <c r="CK34" s="33">
        <v>10.781000000000001</v>
      </c>
      <c r="CL34" s="33">
        <v>7.3460000000000001</v>
      </c>
      <c r="CM34" s="33">
        <v>6.52</v>
      </c>
      <c r="CN34" s="33">
        <v>25.745000000000001</v>
      </c>
      <c r="CO34" s="33">
        <v>10.215</v>
      </c>
      <c r="CP34" s="33">
        <v>20.344000000000001</v>
      </c>
      <c r="CQ34" s="33">
        <v>13.91</v>
      </c>
      <c r="CR34" s="33">
        <v>11.302</v>
      </c>
      <c r="CS34" s="33">
        <v>9.5630000000000006</v>
      </c>
      <c r="CT34" s="33">
        <v>12.954000000000001</v>
      </c>
      <c r="CU34" s="33">
        <v>5.9989999999999997</v>
      </c>
      <c r="CV34" s="33">
        <v>10.997999999999999</v>
      </c>
      <c r="CW34" s="33">
        <v>12.172000000000001</v>
      </c>
      <c r="CX34" s="33">
        <v>5.4340000000000002</v>
      </c>
      <c r="CY34" s="33">
        <v>14.845000000000001</v>
      </c>
      <c r="CZ34" s="33">
        <v>5.2160000000000002</v>
      </c>
      <c r="DA34" s="33">
        <v>13.041</v>
      </c>
      <c r="DB34" s="33">
        <v>8.1720000000000006</v>
      </c>
      <c r="DC34" s="33">
        <v>6.1289999999999996</v>
      </c>
      <c r="DD34" s="33">
        <v>6.9989999999999997</v>
      </c>
      <c r="DE34" s="33">
        <v>5.4340000000000002</v>
      </c>
      <c r="DF34" s="33">
        <v>9.3889999999999993</v>
      </c>
      <c r="DG34" s="33">
        <v>15.627000000000001</v>
      </c>
      <c r="DH34" s="33">
        <v>32.601999999999997</v>
      </c>
      <c r="DI34" s="33">
        <v>15.648999999999999</v>
      </c>
      <c r="DJ34" s="33">
        <v>6.52</v>
      </c>
      <c r="DK34" s="33">
        <v>8.9979999999999993</v>
      </c>
      <c r="DL34" s="33">
        <v>16.106000000000002</v>
      </c>
      <c r="DM34" s="33">
        <v>7.8250000000000002</v>
      </c>
      <c r="DN34" s="33">
        <v>43.47</v>
      </c>
      <c r="DO34" s="33">
        <v>14.606</v>
      </c>
      <c r="DP34" s="33">
        <v>43.905000000000001</v>
      </c>
      <c r="DQ34" s="33">
        <v>1.0169999999999999</v>
      </c>
      <c r="DR34" s="33">
        <v>39.643999999999998</v>
      </c>
      <c r="DS34" s="33">
        <v>6.9989999999999997</v>
      </c>
      <c r="DT34" s="33">
        <v>13.084</v>
      </c>
      <c r="DU34" s="33">
        <v>6.52</v>
      </c>
      <c r="DV34" s="33">
        <v>5.1639999999999997</v>
      </c>
      <c r="DW34" s="33">
        <v>6.0860000000000003</v>
      </c>
      <c r="DX34" s="33">
        <v>16.91</v>
      </c>
      <c r="DY34" s="33">
        <v>11.302</v>
      </c>
      <c r="DZ34" s="33">
        <v>5.0860000000000003</v>
      </c>
      <c r="EA34" s="33">
        <v>17.388000000000002</v>
      </c>
      <c r="EB34" s="33">
        <v>15.648999999999999</v>
      </c>
      <c r="EC34" s="33">
        <v>9.9979999999999993</v>
      </c>
      <c r="ED34" s="33">
        <v>12.519</v>
      </c>
      <c r="EE34" s="33">
        <v>21.213000000000001</v>
      </c>
      <c r="EF34" s="33">
        <v>6.52</v>
      </c>
      <c r="EG34" s="33">
        <v>3.9990000000000001</v>
      </c>
      <c r="EH34" s="33">
        <v>17.995999999999999</v>
      </c>
      <c r="EI34" s="33">
        <v>6.4340000000000002</v>
      </c>
      <c r="EJ34" s="33">
        <v>3.9990000000000001</v>
      </c>
      <c r="EK34" s="33">
        <v>6.52</v>
      </c>
      <c r="EL34" s="33">
        <v>10.433</v>
      </c>
      <c r="EM34" s="33">
        <v>13.997</v>
      </c>
      <c r="EN34" s="33">
        <v>7.9980000000000002</v>
      </c>
      <c r="EO34" s="33">
        <v>8.6940000000000008</v>
      </c>
      <c r="EP34" s="33">
        <v>6.1289999999999996</v>
      </c>
      <c r="EQ34" s="33">
        <v>14.997</v>
      </c>
      <c r="ER34" s="33">
        <v>4.5640000000000001</v>
      </c>
      <c r="ES34" s="33">
        <v>4.9989999999999997</v>
      </c>
      <c r="ET34" s="33">
        <v>10.042</v>
      </c>
      <c r="EU34" s="33">
        <v>36.932000000000002</v>
      </c>
      <c r="EV34" s="33">
        <v>7.4989999999999997</v>
      </c>
      <c r="EW34" s="33">
        <v>34.776000000000003</v>
      </c>
      <c r="EX34" s="33">
        <v>39.058</v>
      </c>
      <c r="EY34" s="33">
        <v>2.347</v>
      </c>
      <c r="EZ34" s="33">
        <v>3.1560000000000001</v>
      </c>
      <c r="FA34" s="33">
        <v>2.5819999999999999</v>
      </c>
      <c r="FB34" s="33">
        <v>8.6940000000000008</v>
      </c>
      <c r="FC34" s="33">
        <v>12.388999999999999</v>
      </c>
      <c r="FD34" s="33">
        <v>8.6940000000000008</v>
      </c>
      <c r="FE34" s="33">
        <v>11.997999999999999</v>
      </c>
      <c r="FF34" s="33">
        <v>7.8250000000000002</v>
      </c>
      <c r="FG34" s="33">
        <v>6.52</v>
      </c>
      <c r="FH34" s="33">
        <v>5.4340000000000002</v>
      </c>
      <c r="FI34" s="33">
        <v>20.866</v>
      </c>
      <c r="FJ34" s="33">
        <v>13.31</v>
      </c>
      <c r="FK34" s="33">
        <v>19.279</v>
      </c>
      <c r="FL34" s="33">
        <v>6.4340000000000002</v>
      </c>
      <c r="FM34" s="33">
        <v>17.779</v>
      </c>
      <c r="FN34" s="33">
        <v>8.9109999999999996</v>
      </c>
      <c r="FO34" s="33">
        <v>31.994</v>
      </c>
      <c r="FP34" s="33">
        <v>45.643000000000001</v>
      </c>
      <c r="FQ34" s="33">
        <v>8.3460000000000001</v>
      </c>
      <c r="FR34" s="33">
        <v>4.9989999999999997</v>
      </c>
      <c r="FS34" s="33">
        <v>5.9989999999999997</v>
      </c>
      <c r="FT34" s="33">
        <v>7.4989999999999997</v>
      </c>
      <c r="FU34" s="33">
        <v>30.428999999999998</v>
      </c>
      <c r="FV34" s="33">
        <v>5.7809999999999997</v>
      </c>
      <c r="FW34" s="33">
        <v>6.5990000000000002</v>
      </c>
      <c r="FX34" s="33">
        <v>6.52</v>
      </c>
      <c r="FY34" s="33">
        <v>5.9989999999999997</v>
      </c>
      <c r="FZ34" s="33">
        <v>5.9989999999999997</v>
      </c>
      <c r="GA34" s="33">
        <v>6.52</v>
      </c>
      <c r="GB34" s="33">
        <v>5.4340000000000002</v>
      </c>
      <c r="GC34" s="33">
        <v>2.8690000000000002</v>
      </c>
      <c r="GD34" s="33">
        <v>5.4770000000000003</v>
      </c>
      <c r="GE34" s="33">
        <v>5.9989999999999997</v>
      </c>
      <c r="GF34" s="33">
        <v>45.643000000000001</v>
      </c>
      <c r="GG34" s="33">
        <v>27.821000000000002</v>
      </c>
      <c r="GH34" s="33">
        <v>2.6080000000000001</v>
      </c>
      <c r="GI34" s="33">
        <v>3.9119999999999999</v>
      </c>
      <c r="GJ34" s="33">
        <v>5.173</v>
      </c>
      <c r="GK34" s="33">
        <v>11.737</v>
      </c>
      <c r="GL34" s="33">
        <v>8.6940000000000008</v>
      </c>
      <c r="GM34" s="33">
        <v>7.7539999999999996</v>
      </c>
      <c r="GN34" s="33">
        <v>46.521999999999998</v>
      </c>
      <c r="GO34" s="33">
        <v>16.283000000000001</v>
      </c>
      <c r="GP34" s="33">
        <v>65.906000000000006</v>
      </c>
      <c r="GQ34" s="33">
        <v>10.855</v>
      </c>
      <c r="GR34" s="33">
        <v>92.268000000000001</v>
      </c>
      <c r="GS34" s="33">
        <v>24.501000000000001</v>
      </c>
      <c r="GT34" s="33">
        <v>73.659000000000006</v>
      </c>
      <c r="GU34" s="33">
        <v>19.539000000000001</v>
      </c>
      <c r="GV34" s="33">
        <v>13.119</v>
      </c>
      <c r="GW34" s="33">
        <v>15.840999999999999</v>
      </c>
      <c r="GX34" s="33">
        <v>67.456000000000003</v>
      </c>
      <c r="GY34" s="33">
        <v>3.101</v>
      </c>
      <c r="GZ34" s="33">
        <v>9.3040000000000003</v>
      </c>
      <c r="HA34" s="33">
        <v>23.114000000000001</v>
      </c>
      <c r="HB34" s="33">
        <v>73.659000000000006</v>
      </c>
      <c r="HC34" s="33">
        <v>73.659000000000006</v>
      </c>
      <c r="HD34" s="33">
        <v>38.768000000000001</v>
      </c>
      <c r="HE34" s="3">
        <f>_xlfn.XLOOKUP(HE$1,generator!$B$2:$B$295,generator!$L$2:$L$295,"ARGH")</f>
        <v>17.600000000000001</v>
      </c>
      <c r="HF34" s="3">
        <f>_xlfn.XLOOKUP(HF$1,generator!$B$2:$B$295,generator!$L$2:$L$295,"ARGH")</f>
        <v>285</v>
      </c>
      <c r="HG34" s="3">
        <f>_xlfn.XLOOKUP(HG$1,generator!$B$2:$B$295,generator!$L$2:$L$295,"ARGH")</f>
        <v>285</v>
      </c>
      <c r="HH34" s="3">
        <f>_xlfn.XLOOKUP(HH$1,generator!$B$2:$B$295,generator!$L$2:$L$295,"ARGH")</f>
        <v>285</v>
      </c>
      <c r="HI34" s="3">
        <f>_xlfn.XLOOKUP(HI$1,generator!$B$2:$B$295,generator!$L$2:$L$295,"ARGH")</f>
        <v>58</v>
      </c>
      <c r="HJ34" s="3">
        <f>_xlfn.XLOOKUP(HJ$1,generator!$B$2:$B$295,generator!$L$2:$L$295,"ARGH")</f>
        <v>58</v>
      </c>
      <c r="HK34" s="3">
        <f>_xlfn.XLOOKUP(HK$1,generator!$B$2:$B$295,generator!$L$2:$L$295,"ARGH")</f>
        <v>53</v>
      </c>
      <c r="HL34" s="3">
        <f>_xlfn.XLOOKUP(HL$1,generator!$B$2:$B$295,generator!$L$2:$L$295,"ARGH")</f>
        <v>58</v>
      </c>
      <c r="HM34" s="3">
        <f>_xlfn.XLOOKUP(HM$1,generator!$B$2:$B$295,generator!$L$2:$L$295,"ARGH")</f>
        <v>58</v>
      </c>
      <c r="HN34" s="3">
        <f>_xlfn.XLOOKUP(HN$1,generator!$B$2:$B$295,generator!$L$2:$L$295,"ARGH")</f>
        <v>52</v>
      </c>
      <c r="HO34" s="3">
        <f>_xlfn.XLOOKUP(HO$1,generator!$B$2:$B$295,generator!$L$2:$L$295,"ARGH")</f>
        <v>52</v>
      </c>
      <c r="HP34" s="3">
        <f>_xlfn.XLOOKUP(HP$1,generator!$B$2:$B$295,generator!$L$2:$L$295,"ARGH")</f>
        <v>2</v>
      </c>
      <c r="HQ34" s="3">
        <f>_xlfn.XLOOKUP(HQ$1,generator!$B$2:$B$295,generator!$L$2:$L$295,"ARGH")</f>
        <v>29.2</v>
      </c>
      <c r="HR34" s="3">
        <f>_xlfn.XLOOKUP(HR$1,generator!$B$2:$B$295,generator!$L$2:$L$295,"ARGH")</f>
        <v>29.2</v>
      </c>
      <c r="HS34" s="3">
        <f>_xlfn.XLOOKUP(HS$1,generator!$B$2:$B$295,generator!$L$2:$L$295,"ARGH")</f>
        <v>41.61</v>
      </c>
      <c r="HT34" s="3">
        <f>_xlfn.XLOOKUP(HT$1,generator!$B$2:$B$295,generator!$L$2:$L$295,"ARGH")</f>
        <v>41.61</v>
      </c>
      <c r="HU34" s="3">
        <f>_xlfn.XLOOKUP(HU$1,generator!$B$2:$B$295,generator!$L$2:$L$295,"ARGH")</f>
        <v>160</v>
      </c>
      <c r="HV34" s="3">
        <f>_xlfn.XLOOKUP(HV$1,generator!$B$2:$B$295,generator!$L$2:$L$295,"ARGH")</f>
        <v>260</v>
      </c>
      <c r="HW34" s="3">
        <f>_xlfn.XLOOKUP(HW$1,generator!$B$2:$B$295,generator!$L$2:$L$295,"ARGH")</f>
        <v>52</v>
      </c>
      <c r="HX34" s="3">
        <f>_xlfn.XLOOKUP(HX$1,generator!$B$2:$B$295,generator!$L$2:$L$295,"ARGH")</f>
        <v>52</v>
      </c>
      <c r="HY34" s="3">
        <f>_xlfn.XLOOKUP(HY$1,generator!$B$2:$B$295,generator!$L$2:$L$295,"ARGH")</f>
        <v>101</v>
      </c>
      <c r="HZ34" s="3">
        <f>_xlfn.XLOOKUP(HZ$1,generator!$B$2:$B$295,generator!$L$2:$L$295,"ARGH")</f>
        <v>50</v>
      </c>
      <c r="IA34" s="3">
        <f>_xlfn.XLOOKUP(IA$1,generator!$B$2:$B$295,generator!$L$2:$L$295,"ARGH")</f>
        <v>400</v>
      </c>
      <c r="IB34" s="3">
        <f>_xlfn.XLOOKUP(IB$1,generator!$B$2:$B$295,generator!$L$2:$L$295,"ARGH")</f>
        <v>342</v>
      </c>
      <c r="IC34" s="3">
        <f>_xlfn.XLOOKUP(IC$1,generator!$B$2:$B$295,generator!$L$2:$L$295,"ARGH")</f>
        <v>3.0209999999999999</v>
      </c>
      <c r="ID34" s="3">
        <f>_xlfn.XLOOKUP(ID$1,generator!$B$2:$B$295,generator!$L$2:$L$295,"ARGH")</f>
        <v>200</v>
      </c>
      <c r="IE34" s="3">
        <f>_xlfn.XLOOKUP(IE$1,generator!$B$2:$B$295,generator!$L$2:$L$295,"ARGH")</f>
        <v>404</v>
      </c>
      <c r="IF34" s="3">
        <f>_xlfn.XLOOKUP(IF$1,generator!$B$2:$B$295,generator!$L$2:$L$295,"ARGH")</f>
        <v>21</v>
      </c>
      <c r="IG34" s="3">
        <f>_xlfn.XLOOKUP(IG$1,generator!$B$2:$B$295,generator!$L$2:$L$295,"ARGH")</f>
        <v>22</v>
      </c>
      <c r="IH34" s="3">
        <f>_xlfn.XLOOKUP(IH$1,generator!$B$2:$B$295,generator!$L$2:$L$295,"ARGH")</f>
        <v>19</v>
      </c>
      <c r="II34" s="3">
        <f>_xlfn.XLOOKUP(II$1,generator!$B$2:$B$295,generator!$L$2:$L$295,"ARGH")</f>
        <v>24</v>
      </c>
      <c r="IJ34" s="3">
        <f>_xlfn.XLOOKUP(IJ$1,generator!$B$2:$B$295,generator!$L$2:$L$295,"ARGH")</f>
        <v>4.3</v>
      </c>
      <c r="IK34" s="3">
        <f>_xlfn.XLOOKUP(IK$1,generator!$B$2:$B$295,generator!$L$2:$L$295,"ARGH")</f>
        <v>8</v>
      </c>
      <c r="IL34" s="3">
        <f>_xlfn.XLOOKUP(IL$1,generator!$B$2:$B$295,generator!$L$2:$L$295,"ARGH")</f>
        <v>22.5</v>
      </c>
      <c r="IM34" s="3">
        <f>_xlfn.XLOOKUP(IM$1,generator!$B$2:$B$295,generator!$L$2:$L$295,"ARGH")</f>
        <v>22.5</v>
      </c>
      <c r="IN34" s="3">
        <f>_xlfn.XLOOKUP(IN$1,generator!$B$2:$B$295,generator!$L$2:$L$295,"ARGH")</f>
        <v>10</v>
      </c>
      <c r="IO34" s="3">
        <f>_xlfn.XLOOKUP(IO$1,generator!$B$2:$B$295,generator!$L$2:$L$295,"ARGH")</f>
        <v>10</v>
      </c>
      <c r="IP34" s="3">
        <f>_xlfn.XLOOKUP(IP$1,generator!$B$2:$B$295,generator!$L$2:$L$295,"ARGH")</f>
        <v>15</v>
      </c>
      <c r="IQ34" s="3">
        <f>_xlfn.XLOOKUP(IQ$1,generator!$B$2:$B$295,generator!$L$2:$L$295,"ARGH")</f>
        <v>4</v>
      </c>
      <c r="IR34" s="3">
        <f>_xlfn.XLOOKUP(IR$1,generator!$B$2:$B$295,generator!$L$2:$L$295,"ARGH")</f>
        <v>15</v>
      </c>
      <c r="IS34" s="3">
        <f>_xlfn.XLOOKUP(IS$1,generator!$B$2:$B$295,generator!$L$2:$L$295,"ARGH")</f>
        <v>15</v>
      </c>
      <c r="IT34" s="3">
        <f>_xlfn.XLOOKUP(IT$1,generator!$B$2:$B$295,generator!$L$2:$L$295,"ARGH")</f>
        <v>0.18</v>
      </c>
      <c r="IU34" s="3">
        <f>_xlfn.XLOOKUP(IU$1,generator!$B$2:$B$295,generator!$L$2:$L$295,"ARGH")</f>
        <v>4</v>
      </c>
      <c r="IV34" s="3">
        <f>_xlfn.XLOOKUP(IV$1,generator!$B$2:$B$295,generator!$L$2:$L$295,"ARGH")</f>
        <v>4</v>
      </c>
      <c r="IW34" s="3">
        <f>_xlfn.XLOOKUP(IW$1,generator!$B$2:$B$295,generator!$L$2:$L$295,"ARGH")</f>
        <v>90</v>
      </c>
      <c r="IX34" s="3">
        <f>_xlfn.XLOOKUP(IX$1,generator!$B$2:$B$295,generator!$L$2:$L$295,"ARGH")</f>
        <v>90</v>
      </c>
      <c r="IY34" s="3">
        <f>_xlfn.XLOOKUP(IY$1,generator!$B$2:$B$295,generator!$L$2:$L$295,"ARGH")</f>
        <v>90</v>
      </c>
      <c r="IZ34" s="3">
        <f>_xlfn.XLOOKUP(IZ$1,generator!$B$2:$B$295,generator!$L$2:$L$295,"ARGH")</f>
        <v>449</v>
      </c>
      <c r="JA34" s="3">
        <f>_xlfn.XLOOKUP(JA$1,generator!$B$2:$B$295,generator!$L$2:$L$295,"ARGH")</f>
        <v>83</v>
      </c>
      <c r="JB34" s="3">
        <f>_xlfn.XLOOKUP(JB$1,generator!$B$2:$B$295,generator!$L$2:$L$295,"ARGH")</f>
        <v>83</v>
      </c>
      <c r="JC34" s="3">
        <f>_xlfn.XLOOKUP(JC$1,generator!$B$2:$B$295,generator!$L$2:$L$295,"ARGH")</f>
        <v>247</v>
      </c>
      <c r="JD34" s="3">
        <f>_xlfn.XLOOKUP(JD$1,generator!$B$2:$B$295,generator!$L$2:$L$295,"ARGH")</f>
        <v>247</v>
      </c>
      <c r="JE34" s="3">
        <f>_xlfn.XLOOKUP(JE$1,generator!$B$2:$B$295,generator!$L$2:$L$295,"ARGH")</f>
        <v>425</v>
      </c>
      <c r="JF34" s="3">
        <f>_xlfn.XLOOKUP(JF$1,generator!$B$2:$B$295,generator!$L$2:$L$295,"ARGH")</f>
        <v>63.5</v>
      </c>
      <c r="JG34" s="3">
        <f>_xlfn.XLOOKUP(JG$1,generator!$B$2:$B$295,generator!$L$2:$L$295,"ARGH")</f>
        <v>17</v>
      </c>
      <c r="JH34" s="3">
        <f>_xlfn.XLOOKUP(JH$1,generator!$B$2:$B$295,generator!$L$2:$L$295,"ARGH")</f>
        <v>444</v>
      </c>
      <c r="JI34" s="3">
        <f>_xlfn.XLOOKUP(JI$1,generator!$B$2:$B$295,generator!$L$2:$L$295,"ARGH")</f>
        <v>464</v>
      </c>
      <c r="JJ34" s="3">
        <f>_xlfn.XLOOKUP(JJ$1,generator!$B$2:$B$295,generator!$L$2:$L$295,"ARGH")</f>
        <v>18.54</v>
      </c>
      <c r="JK34" s="3">
        <f>_xlfn.XLOOKUP(JK$1,generator!$B$2:$B$295,generator!$L$2:$L$295,"ARGH")</f>
        <v>18.54</v>
      </c>
      <c r="JL34" s="3">
        <f>_xlfn.XLOOKUP(JL$1,generator!$B$2:$B$295,generator!$L$2:$L$295,"ARGH")</f>
        <v>18.54</v>
      </c>
      <c r="JM34" s="3">
        <f>_xlfn.XLOOKUP(JM$1,generator!$B$2:$B$295,generator!$L$2:$L$295,"ARGH")</f>
        <v>18.54</v>
      </c>
      <c r="JN34" s="3">
        <f>_xlfn.XLOOKUP(JN$1,generator!$B$2:$B$295,generator!$L$2:$L$295,"ARGH")</f>
        <v>18.54</v>
      </c>
      <c r="JO34" s="3">
        <f>_xlfn.XLOOKUP(JO$1,generator!$B$2:$B$295,generator!$L$2:$L$295,"ARGH")</f>
        <v>18.54</v>
      </c>
      <c r="JP34" s="3">
        <f>_xlfn.XLOOKUP(JP$1,generator!$B$2:$B$295,generator!$L$2:$L$295,"ARGH")</f>
        <v>415</v>
      </c>
      <c r="JQ34" s="3">
        <f>_xlfn.XLOOKUP(JQ$1,generator!$B$2:$B$295,generator!$L$2:$L$295,"ARGH")</f>
        <v>63.5</v>
      </c>
      <c r="JR34" s="3">
        <f>_xlfn.XLOOKUP(JR$1,generator!$B$2:$B$295,generator!$L$2:$L$295,"ARGH")</f>
        <v>350</v>
      </c>
      <c r="JS34" s="3">
        <f>_xlfn.XLOOKUP(JS$1,generator!$B$2:$B$295,generator!$L$2:$L$295,"ARGH")</f>
        <v>350</v>
      </c>
      <c r="JT34" s="3">
        <f>_xlfn.XLOOKUP(JT$1,generator!$B$2:$B$295,generator!$L$2:$L$295,"ARGH")</f>
        <v>63.5</v>
      </c>
      <c r="JU34" s="3">
        <f>_xlfn.XLOOKUP(JU$1,generator!$B$2:$B$295,generator!$L$2:$L$295,"ARGH")</f>
        <v>61.5</v>
      </c>
      <c r="JV34" s="3">
        <f>_xlfn.XLOOKUP(JV$1,generator!$B$2:$B$295,generator!$L$2:$L$295,"ARGH")</f>
        <v>240</v>
      </c>
      <c r="JW34" s="3">
        <f>_xlfn.XLOOKUP(JW$1,generator!$B$2:$B$295,generator!$L$2:$L$295,"ARGH")</f>
        <v>236</v>
      </c>
      <c r="JX34" s="3">
        <f>_xlfn.XLOOKUP(JX$1,generator!$B$2:$B$295,generator!$L$2:$L$295,"ARGH")</f>
        <v>20</v>
      </c>
      <c r="JY34" s="3">
        <f>_xlfn.XLOOKUP(JY$1,generator!$B$2:$B$295,generator!$L$2:$L$295,"ARGH")</f>
        <v>118</v>
      </c>
      <c r="JZ34" s="3">
        <f>_xlfn.XLOOKUP(JZ$1,generator!$B$2:$B$295,generator!$L$2:$L$295,"ARGH")</f>
        <v>73</v>
      </c>
      <c r="KA34" s="3">
        <f>_xlfn.XLOOKUP(KA$1,generator!$B$2:$B$295,generator!$L$2:$L$295,"ARGH")</f>
        <v>73</v>
      </c>
      <c r="KB34" s="3">
        <f>_xlfn.XLOOKUP(KB$1,generator!$B$2:$B$295,generator!$L$2:$L$295,"ARGH")</f>
        <v>73</v>
      </c>
      <c r="KC34" s="3">
        <f>_xlfn.XLOOKUP(KC$1,generator!$B$2:$B$295,generator!$L$2:$L$295,"ARGH")</f>
        <v>73</v>
      </c>
    </row>
    <row r="35" spans="1:289" x14ac:dyDescent="0.3">
      <c r="A35" s="4" t="s">
        <v>3030</v>
      </c>
      <c r="B35" s="31">
        <v>400.5</v>
      </c>
      <c r="C35" s="31">
        <v>512.5</v>
      </c>
      <c r="D35" s="31">
        <v>442</v>
      </c>
      <c r="E35" s="33">
        <v>10.906000000000001</v>
      </c>
      <c r="F35" s="33">
        <v>23.428000000000001</v>
      </c>
      <c r="G35" s="33">
        <v>10.906000000000001</v>
      </c>
      <c r="H35" s="33">
        <v>18.177</v>
      </c>
      <c r="I35" s="33">
        <v>35.950000000000003</v>
      </c>
      <c r="J35" s="33">
        <v>33.526000000000003</v>
      </c>
      <c r="K35" s="33">
        <v>9.0879999999999992</v>
      </c>
      <c r="L35" s="33">
        <v>6.9480000000000004</v>
      </c>
      <c r="M35" s="33">
        <v>6.0590000000000002</v>
      </c>
      <c r="N35" s="33">
        <v>21.812000000000001</v>
      </c>
      <c r="O35" s="33">
        <v>2.181</v>
      </c>
      <c r="P35" s="33">
        <v>10.340999999999999</v>
      </c>
      <c r="Q35" s="33">
        <v>14.218</v>
      </c>
      <c r="R35" s="33">
        <v>7.2709999999999999</v>
      </c>
      <c r="S35" s="33">
        <v>13.875</v>
      </c>
      <c r="T35" s="33">
        <v>9.6940000000000008</v>
      </c>
      <c r="U35" s="33">
        <v>16.965</v>
      </c>
      <c r="V35" s="33">
        <v>8.5429999999999993</v>
      </c>
      <c r="W35" s="33">
        <v>9.2899999999999991</v>
      </c>
      <c r="X35" s="33">
        <v>13.087</v>
      </c>
      <c r="Y35" s="33">
        <v>6.7859999999999996</v>
      </c>
      <c r="Z35" s="33">
        <v>4.8070000000000004</v>
      </c>
      <c r="AA35" s="33">
        <v>4.3620000000000001</v>
      </c>
      <c r="AB35" s="33">
        <v>23.024000000000001</v>
      </c>
      <c r="AC35" s="33">
        <v>26.538</v>
      </c>
      <c r="AD35" s="33">
        <v>9.3710000000000004</v>
      </c>
      <c r="AE35" s="33">
        <v>8.0790000000000006</v>
      </c>
      <c r="AF35" s="33">
        <v>22.782</v>
      </c>
      <c r="AG35" s="33">
        <v>8.0790000000000006</v>
      </c>
      <c r="AH35" s="33">
        <v>4.8470000000000004</v>
      </c>
      <c r="AI35" s="33">
        <v>5.4130000000000003</v>
      </c>
      <c r="AJ35" s="33">
        <v>9.6940000000000008</v>
      </c>
      <c r="AK35" s="33">
        <v>3.4540000000000002</v>
      </c>
      <c r="AL35" s="33">
        <v>14.936999999999999</v>
      </c>
      <c r="AM35" s="33">
        <v>19.187000000000001</v>
      </c>
      <c r="AN35" s="33">
        <v>8.0790000000000006</v>
      </c>
      <c r="AO35" s="33">
        <v>5.5739999999999998</v>
      </c>
      <c r="AP35" s="33">
        <v>21.933</v>
      </c>
      <c r="AQ35" s="33">
        <v>7.5529999999999999</v>
      </c>
      <c r="AR35" s="33">
        <v>7.069</v>
      </c>
      <c r="AS35" s="33">
        <v>21.004000000000001</v>
      </c>
      <c r="AT35" s="33">
        <v>5.7080000000000002</v>
      </c>
      <c r="AU35" s="33">
        <v>15.349</v>
      </c>
      <c r="AV35" s="33">
        <v>13.128</v>
      </c>
      <c r="AW35" s="33">
        <v>13.33</v>
      </c>
      <c r="AX35" s="33">
        <v>7.3920000000000003</v>
      </c>
      <c r="AY35" s="33">
        <v>13.37</v>
      </c>
      <c r="AZ35" s="33">
        <v>15.289</v>
      </c>
      <c r="BA35" s="33">
        <v>5.6550000000000002</v>
      </c>
      <c r="BB35" s="33">
        <v>18.581</v>
      </c>
      <c r="BC35" s="33">
        <v>8.0790000000000006</v>
      </c>
      <c r="BD35" s="33">
        <v>4.8470000000000004</v>
      </c>
      <c r="BE35" s="33">
        <v>4.6449999999999996</v>
      </c>
      <c r="BF35" s="33">
        <v>36.353999999999999</v>
      </c>
      <c r="BG35" s="33">
        <v>6.0590000000000002</v>
      </c>
      <c r="BH35" s="33">
        <v>10.098000000000001</v>
      </c>
      <c r="BI35" s="33">
        <v>8.4830000000000005</v>
      </c>
      <c r="BJ35" s="33">
        <v>16.965</v>
      </c>
      <c r="BK35" s="33">
        <v>4.8470000000000004</v>
      </c>
      <c r="BL35" s="33">
        <v>17.167000000000002</v>
      </c>
      <c r="BM35" s="33">
        <v>3.4329999999999998</v>
      </c>
      <c r="BN35" s="33">
        <v>12.118</v>
      </c>
      <c r="BO35" s="33">
        <v>17.224</v>
      </c>
      <c r="BP35" s="33">
        <v>46.128999999999998</v>
      </c>
      <c r="BQ35" s="33">
        <v>14.541</v>
      </c>
      <c r="BR35" s="33">
        <v>21.812000000000001</v>
      </c>
      <c r="BS35" s="33">
        <v>7.069</v>
      </c>
      <c r="BT35" s="33">
        <v>13.936</v>
      </c>
      <c r="BU35" s="33">
        <v>1.9390000000000001</v>
      </c>
      <c r="BV35" s="33">
        <v>4.16</v>
      </c>
      <c r="BW35" s="33">
        <v>5.4850000000000003</v>
      </c>
      <c r="BX35" s="33">
        <v>4.4630000000000001</v>
      </c>
      <c r="BY35" s="33">
        <v>10.098000000000001</v>
      </c>
      <c r="BZ35" s="33">
        <v>16.48</v>
      </c>
      <c r="CA35" s="33">
        <v>24.033999999999999</v>
      </c>
      <c r="CB35" s="33">
        <v>13.734</v>
      </c>
      <c r="CC35" s="33">
        <v>11.512</v>
      </c>
      <c r="CD35" s="33">
        <v>15.510999999999999</v>
      </c>
      <c r="CE35" s="33">
        <v>10.098000000000001</v>
      </c>
      <c r="CF35" s="33">
        <v>6.5030000000000001</v>
      </c>
      <c r="CG35" s="33">
        <v>7.069</v>
      </c>
      <c r="CH35" s="33">
        <v>11.29</v>
      </c>
      <c r="CI35" s="33">
        <v>5.2709999999999999</v>
      </c>
      <c r="CJ35" s="33">
        <v>1.7969999999999999</v>
      </c>
      <c r="CK35" s="33">
        <v>10.016999999999999</v>
      </c>
      <c r="CL35" s="33">
        <v>6.8259999999999996</v>
      </c>
      <c r="CM35" s="33">
        <v>6.0590000000000002</v>
      </c>
      <c r="CN35" s="33">
        <v>23.922999999999998</v>
      </c>
      <c r="CO35" s="33">
        <v>9.4920000000000009</v>
      </c>
      <c r="CP35" s="33">
        <v>18.904</v>
      </c>
      <c r="CQ35" s="33">
        <v>12.926</v>
      </c>
      <c r="CR35" s="33">
        <v>10.502000000000001</v>
      </c>
      <c r="CS35" s="33">
        <v>8.8859999999999992</v>
      </c>
      <c r="CT35" s="33">
        <v>12.037000000000001</v>
      </c>
      <c r="CU35" s="33">
        <v>5.5739999999999998</v>
      </c>
      <c r="CV35" s="33">
        <v>10.218999999999999</v>
      </c>
      <c r="CW35" s="33">
        <v>11.31</v>
      </c>
      <c r="CX35" s="33">
        <v>5.0490000000000004</v>
      </c>
      <c r="CY35" s="33">
        <v>13.794</v>
      </c>
      <c r="CZ35" s="33">
        <v>4.8470000000000004</v>
      </c>
      <c r="DA35" s="33">
        <v>12.118</v>
      </c>
      <c r="DB35" s="33">
        <v>7.5940000000000003</v>
      </c>
      <c r="DC35" s="33">
        <v>5.6950000000000003</v>
      </c>
      <c r="DD35" s="33">
        <v>6.5030000000000001</v>
      </c>
      <c r="DE35" s="33">
        <v>5.0490000000000004</v>
      </c>
      <c r="DF35" s="33">
        <v>8.7249999999999996</v>
      </c>
      <c r="DG35" s="33">
        <v>14.521000000000001</v>
      </c>
      <c r="DH35" s="33">
        <v>30.295000000000002</v>
      </c>
      <c r="DI35" s="33">
        <v>14.541</v>
      </c>
      <c r="DJ35" s="33">
        <v>6.0590000000000002</v>
      </c>
      <c r="DK35" s="33">
        <v>8.3610000000000007</v>
      </c>
      <c r="DL35" s="33">
        <v>14.965999999999999</v>
      </c>
      <c r="DM35" s="33">
        <v>7.2709999999999999</v>
      </c>
      <c r="DN35" s="33">
        <v>40.393000000000001</v>
      </c>
      <c r="DO35" s="33">
        <v>13.571999999999999</v>
      </c>
      <c r="DP35" s="33">
        <v>40.796999999999997</v>
      </c>
      <c r="DQ35" s="33">
        <v>0.94499999999999995</v>
      </c>
      <c r="DR35" s="33">
        <v>36.838000000000001</v>
      </c>
      <c r="DS35" s="33">
        <v>6.5030000000000001</v>
      </c>
      <c r="DT35" s="33">
        <v>12.157999999999999</v>
      </c>
      <c r="DU35" s="33">
        <v>6.0590000000000002</v>
      </c>
      <c r="DV35" s="33">
        <v>4.7990000000000004</v>
      </c>
      <c r="DW35" s="33">
        <v>5.6550000000000002</v>
      </c>
      <c r="DX35" s="33">
        <v>15.712999999999999</v>
      </c>
      <c r="DY35" s="33">
        <v>10.502000000000001</v>
      </c>
      <c r="DZ35" s="33">
        <v>4.726</v>
      </c>
      <c r="EA35" s="33">
        <v>16.157</v>
      </c>
      <c r="EB35" s="33">
        <v>14.541</v>
      </c>
      <c r="EC35" s="33">
        <v>9.2899999999999991</v>
      </c>
      <c r="ED35" s="33">
        <v>11.632999999999999</v>
      </c>
      <c r="EE35" s="33">
        <v>19.712</v>
      </c>
      <c r="EF35" s="33">
        <v>6.0590000000000002</v>
      </c>
      <c r="EG35" s="33">
        <v>3.7160000000000002</v>
      </c>
      <c r="EH35" s="33">
        <v>16.722999999999999</v>
      </c>
      <c r="EI35" s="33">
        <v>5.9779999999999998</v>
      </c>
      <c r="EJ35" s="33">
        <v>3.7160000000000002</v>
      </c>
      <c r="EK35" s="33">
        <v>6.0590000000000002</v>
      </c>
      <c r="EL35" s="33">
        <v>9.6940000000000008</v>
      </c>
      <c r="EM35" s="33">
        <v>13.007</v>
      </c>
      <c r="EN35" s="33">
        <v>7.4320000000000004</v>
      </c>
      <c r="EO35" s="33">
        <v>8.0790000000000006</v>
      </c>
      <c r="EP35" s="33">
        <v>5.6950000000000003</v>
      </c>
      <c r="EQ35" s="33">
        <v>13.936</v>
      </c>
      <c r="ER35" s="33">
        <v>4.2409999999999997</v>
      </c>
      <c r="ES35" s="33">
        <v>4.6449999999999996</v>
      </c>
      <c r="ET35" s="33">
        <v>9.3309999999999995</v>
      </c>
      <c r="EU35" s="33">
        <v>34.317999999999998</v>
      </c>
      <c r="EV35" s="33">
        <v>6.968</v>
      </c>
      <c r="EW35" s="33">
        <v>32.314</v>
      </c>
      <c r="EX35" s="33">
        <v>36.292999999999999</v>
      </c>
      <c r="EY35" s="33">
        <v>2.181</v>
      </c>
      <c r="EZ35" s="33">
        <v>2.9329999999999998</v>
      </c>
      <c r="FA35" s="33">
        <v>2.399</v>
      </c>
      <c r="FB35" s="33">
        <v>8.0790000000000006</v>
      </c>
      <c r="FC35" s="33">
        <v>11.512</v>
      </c>
      <c r="FD35" s="33">
        <v>8.0790000000000006</v>
      </c>
      <c r="FE35" s="33">
        <v>11.148</v>
      </c>
      <c r="FF35" s="33">
        <v>7.2709999999999999</v>
      </c>
      <c r="FG35" s="33">
        <v>6.0590000000000002</v>
      </c>
      <c r="FH35" s="33">
        <v>5.0490000000000004</v>
      </c>
      <c r="FI35" s="33">
        <v>19.388999999999999</v>
      </c>
      <c r="FJ35" s="33">
        <v>12.368</v>
      </c>
      <c r="FK35" s="33">
        <v>17.914000000000001</v>
      </c>
      <c r="FL35" s="33">
        <v>5.9779999999999998</v>
      </c>
      <c r="FM35" s="33">
        <v>16.521000000000001</v>
      </c>
      <c r="FN35" s="33">
        <v>8.2810000000000006</v>
      </c>
      <c r="FO35" s="33">
        <v>29.728999999999999</v>
      </c>
      <c r="FP35" s="33">
        <v>42.412999999999997</v>
      </c>
      <c r="FQ35" s="33">
        <v>7.7549999999999999</v>
      </c>
      <c r="FR35" s="33">
        <v>4.6449999999999996</v>
      </c>
      <c r="FS35" s="33">
        <v>5.5739999999999998</v>
      </c>
      <c r="FT35" s="33">
        <v>6.968</v>
      </c>
      <c r="FU35" s="33">
        <v>28.274999999999999</v>
      </c>
      <c r="FV35" s="33">
        <v>5.3719999999999999</v>
      </c>
      <c r="FW35" s="33">
        <v>6.1319999999999997</v>
      </c>
      <c r="FX35" s="33">
        <v>6.0590000000000002</v>
      </c>
      <c r="FY35" s="33">
        <v>5.5739999999999998</v>
      </c>
      <c r="FZ35" s="33">
        <v>5.5739999999999998</v>
      </c>
      <c r="GA35" s="33">
        <v>6.0590000000000002</v>
      </c>
      <c r="GB35" s="33">
        <v>5.0490000000000004</v>
      </c>
      <c r="GC35" s="33">
        <v>2.6659999999999999</v>
      </c>
      <c r="GD35" s="33">
        <v>5.09</v>
      </c>
      <c r="GE35" s="33">
        <v>5.5739999999999998</v>
      </c>
      <c r="GF35" s="33">
        <v>42.412999999999997</v>
      </c>
      <c r="GG35" s="33">
        <v>25.850999999999999</v>
      </c>
      <c r="GH35" s="33">
        <v>2.4239999999999999</v>
      </c>
      <c r="GI35" s="33">
        <v>3.6349999999999998</v>
      </c>
      <c r="GJ35" s="33">
        <v>4.8070000000000004</v>
      </c>
      <c r="GK35" s="33">
        <v>10.906000000000001</v>
      </c>
      <c r="GL35" s="33">
        <v>8.0790000000000006</v>
      </c>
      <c r="GM35" s="33">
        <v>7.1120000000000001</v>
      </c>
      <c r="GN35" s="33">
        <v>42.670999999999999</v>
      </c>
      <c r="GO35" s="33">
        <v>14.935</v>
      </c>
      <c r="GP35" s="33">
        <v>60.45</v>
      </c>
      <c r="GQ35" s="33">
        <v>9.9559999999999995</v>
      </c>
      <c r="GR35" s="33">
        <v>84.63</v>
      </c>
      <c r="GS35" s="33">
        <v>22.472999999999999</v>
      </c>
      <c r="GT35" s="33">
        <v>67.561999999999998</v>
      </c>
      <c r="GU35" s="33">
        <v>17.922000000000001</v>
      </c>
      <c r="GV35" s="33">
        <v>12.032999999999999</v>
      </c>
      <c r="GW35" s="33">
        <v>14.529</v>
      </c>
      <c r="GX35" s="33">
        <v>61.872</v>
      </c>
      <c r="GY35" s="33">
        <v>2.8450000000000002</v>
      </c>
      <c r="GZ35" s="33">
        <v>8.5340000000000007</v>
      </c>
      <c r="HA35" s="33">
        <v>21.2</v>
      </c>
      <c r="HB35" s="33">
        <v>67.561999999999998</v>
      </c>
      <c r="HC35" s="33">
        <v>67.561999999999998</v>
      </c>
      <c r="HD35" s="33">
        <v>35.558999999999997</v>
      </c>
      <c r="HE35" s="3">
        <f>_xlfn.XLOOKUP(HE$1,generator!$B$2:$B$295,generator!$L$2:$L$295,"ARGH")</f>
        <v>17.600000000000001</v>
      </c>
      <c r="HF35" s="3">
        <f>_xlfn.XLOOKUP(HF$1,generator!$B$2:$B$295,generator!$L$2:$L$295,"ARGH")</f>
        <v>285</v>
      </c>
      <c r="HG35" s="3">
        <f>_xlfn.XLOOKUP(HG$1,generator!$B$2:$B$295,generator!$L$2:$L$295,"ARGH")</f>
        <v>285</v>
      </c>
      <c r="HH35" s="3">
        <f>_xlfn.XLOOKUP(HH$1,generator!$B$2:$B$295,generator!$L$2:$L$295,"ARGH")</f>
        <v>285</v>
      </c>
      <c r="HI35" s="3">
        <f>_xlfn.XLOOKUP(HI$1,generator!$B$2:$B$295,generator!$L$2:$L$295,"ARGH")</f>
        <v>58</v>
      </c>
      <c r="HJ35" s="3">
        <f>_xlfn.XLOOKUP(HJ$1,generator!$B$2:$B$295,generator!$L$2:$L$295,"ARGH")</f>
        <v>58</v>
      </c>
      <c r="HK35" s="3">
        <f>_xlfn.XLOOKUP(HK$1,generator!$B$2:$B$295,generator!$L$2:$L$295,"ARGH")</f>
        <v>53</v>
      </c>
      <c r="HL35" s="3">
        <f>_xlfn.XLOOKUP(HL$1,generator!$B$2:$B$295,generator!$L$2:$L$295,"ARGH")</f>
        <v>58</v>
      </c>
      <c r="HM35" s="3">
        <f>_xlfn.XLOOKUP(HM$1,generator!$B$2:$B$295,generator!$L$2:$L$295,"ARGH")</f>
        <v>58</v>
      </c>
      <c r="HN35" s="3">
        <f>_xlfn.XLOOKUP(HN$1,generator!$B$2:$B$295,generator!$L$2:$L$295,"ARGH")</f>
        <v>52</v>
      </c>
      <c r="HO35" s="3">
        <f>_xlfn.XLOOKUP(HO$1,generator!$B$2:$B$295,generator!$L$2:$L$295,"ARGH")</f>
        <v>52</v>
      </c>
      <c r="HP35" s="3">
        <f>_xlfn.XLOOKUP(HP$1,generator!$B$2:$B$295,generator!$L$2:$L$295,"ARGH")</f>
        <v>2</v>
      </c>
      <c r="HQ35" s="3">
        <f>_xlfn.XLOOKUP(HQ$1,generator!$B$2:$B$295,generator!$L$2:$L$295,"ARGH")</f>
        <v>29.2</v>
      </c>
      <c r="HR35" s="3">
        <f>_xlfn.XLOOKUP(HR$1,generator!$B$2:$B$295,generator!$L$2:$L$295,"ARGH")</f>
        <v>29.2</v>
      </c>
      <c r="HS35" s="3">
        <f>_xlfn.XLOOKUP(HS$1,generator!$B$2:$B$295,generator!$L$2:$L$295,"ARGH")</f>
        <v>41.61</v>
      </c>
      <c r="HT35" s="3">
        <f>_xlfn.XLOOKUP(HT$1,generator!$B$2:$B$295,generator!$L$2:$L$295,"ARGH")</f>
        <v>41.61</v>
      </c>
      <c r="HU35" s="3">
        <f>_xlfn.XLOOKUP(HU$1,generator!$B$2:$B$295,generator!$L$2:$L$295,"ARGH")</f>
        <v>160</v>
      </c>
      <c r="HV35" s="3">
        <f>_xlfn.XLOOKUP(HV$1,generator!$B$2:$B$295,generator!$L$2:$L$295,"ARGH")</f>
        <v>260</v>
      </c>
      <c r="HW35" s="3">
        <f>_xlfn.XLOOKUP(HW$1,generator!$B$2:$B$295,generator!$L$2:$L$295,"ARGH")</f>
        <v>52</v>
      </c>
      <c r="HX35" s="3">
        <f>_xlfn.XLOOKUP(HX$1,generator!$B$2:$B$295,generator!$L$2:$L$295,"ARGH")</f>
        <v>52</v>
      </c>
      <c r="HY35" s="3">
        <f>_xlfn.XLOOKUP(HY$1,generator!$B$2:$B$295,generator!$L$2:$L$295,"ARGH")</f>
        <v>101</v>
      </c>
      <c r="HZ35" s="3">
        <f>_xlfn.XLOOKUP(HZ$1,generator!$B$2:$B$295,generator!$L$2:$L$295,"ARGH")</f>
        <v>50</v>
      </c>
      <c r="IA35" s="3">
        <f>_xlfn.XLOOKUP(IA$1,generator!$B$2:$B$295,generator!$L$2:$L$295,"ARGH")</f>
        <v>400</v>
      </c>
      <c r="IB35" s="3">
        <f>_xlfn.XLOOKUP(IB$1,generator!$B$2:$B$295,generator!$L$2:$L$295,"ARGH")</f>
        <v>342</v>
      </c>
      <c r="IC35" s="3">
        <f>_xlfn.XLOOKUP(IC$1,generator!$B$2:$B$295,generator!$L$2:$L$295,"ARGH")</f>
        <v>3.0209999999999999</v>
      </c>
      <c r="ID35" s="3">
        <f>_xlfn.XLOOKUP(ID$1,generator!$B$2:$B$295,generator!$L$2:$L$295,"ARGH")</f>
        <v>200</v>
      </c>
      <c r="IE35" s="3">
        <f>_xlfn.XLOOKUP(IE$1,generator!$B$2:$B$295,generator!$L$2:$L$295,"ARGH")</f>
        <v>404</v>
      </c>
      <c r="IF35" s="3">
        <f>_xlfn.XLOOKUP(IF$1,generator!$B$2:$B$295,generator!$L$2:$L$295,"ARGH")</f>
        <v>21</v>
      </c>
      <c r="IG35" s="3">
        <f>_xlfn.XLOOKUP(IG$1,generator!$B$2:$B$295,generator!$L$2:$L$295,"ARGH")</f>
        <v>22</v>
      </c>
      <c r="IH35" s="3">
        <f>_xlfn.XLOOKUP(IH$1,generator!$B$2:$B$295,generator!$L$2:$L$295,"ARGH")</f>
        <v>19</v>
      </c>
      <c r="II35" s="3">
        <f>_xlfn.XLOOKUP(II$1,generator!$B$2:$B$295,generator!$L$2:$L$295,"ARGH")</f>
        <v>24</v>
      </c>
      <c r="IJ35" s="3">
        <f>_xlfn.XLOOKUP(IJ$1,generator!$B$2:$B$295,generator!$L$2:$L$295,"ARGH")</f>
        <v>4.3</v>
      </c>
      <c r="IK35" s="3">
        <f>_xlfn.XLOOKUP(IK$1,generator!$B$2:$B$295,generator!$L$2:$L$295,"ARGH")</f>
        <v>8</v>
      </c>
      <c r="IL35" s="3">
        <f>_xlfn.XLOOKUP(IL$1,generator!$B$2:$B$295,generator!$L$2:$L$295,"ARGH")</f>
        <v>22.5</v>
      </c>
      <c r="IM35" s="3">
        <f>_xlfn.XLOOKUP(IM$1,generator!$B$2:$B$295,generator!$L$2:$L$295,"ARGH")</f>
        <v>22.5</v>
      </c>
      <c r="IN35" s="3">
        <f>_xlfn.XLOOKUP(IN$1,generator!$B$2:$B$295,generator!$L$2:$L$295,"ARGH")</f>
        <v>10</v>
      </c>
      <c r="IO35" s="3">
        <f>_xlfn.XLOOKUP(IO$1,generator!$B$2:$B$295,generator!$L$2:$L$295,"ARGH")</f>
        <v>10</v>
      </c>
      <c r="IP35" s="3">
        <f>_xlfn.XLOOKUP(IP$1,generator!$B$2:$B$295,generator!$L$2:$L$295,"ARGH")</f>
        <v>15</v>
      </c>
      <c r="IQ35" s="3">
        <f>_xlfn.XLOOKUP(IQ$1,generator!$B$2:$B$295,generator!$L$2:$L$295,"ARGH")</f>
        <v>4</v>
      </c>
      <c r="IR35" s="3">
        <f>_xlfn.XLOOKUP(IR$1,generator!$B$2:$B$295,generator!$L$2:$L$295,"ARGH")</f>
        <v>15</v>
      </c>
      <c r="IS35" s="3">
        <f>_xlfn.XLOOKUP(IS$1,generator!$B$2:$B$295,generator!$L$2:$L$295,"ARGH")</f>
        <v>15</v>
      </c>
      <c r="IT35" s="3">
        <f>_xlfn.XLOOKUP(IT$1,generator!$B$2:$B$295,generator!$L$2:$L$295,"ARGH")</f>
        <v>0.18</v>
      </c>
      <c r="IU35" s="3">
        <f>_xlfn.XLOOKUP(IU$1,generator!$B$2:$B$295,generator!$L$2:$L$295,"ARGH")</f>
        <v>4</v>
      </c>
      <c r="IV35" s="3">
        <f>_xlfn.XLOOKUP(IV$1,generator!$B$2:$B$295,generator!$L$2:$L$295,"ARGH")</f>
        <v>4</v>
      </c>
      <c r="IW35" s="3">
        <f>_xlfn.XLOOKUP(IW$1,generator!$B$2:$B$295,generator!$L$2:$L$295,"ARGH")</f>
        <v>90</v>
      </c>
      <c r="IX35" s="3">
        <f>_xlfn.XLOOKUP(IX$1,generator!$B$2:$B$295,generator!$L$2:$L$295,"ARGH")</f>
        <v>90</v>
      </c>
      <c r="IY35" s="3">
        <f>_xlfn.XLOOKUP(IY$1,generator!$B$2:$B$295,generator!$L$2:$L$295,"ARGH")</f>
        <v>90</v>
      </c>
      <c r="IZ35" s="3">
        <f>_xlfn.XLOOKUP(IZ$1,generator!$B$2:$B$295,generator!$L$2:$L$295,"ARGH")</f>
        <v>449</v>
      </c>
      <c r="JA35" s="3">
        <f>_xlfn.XLOOKUP(JA$1,generator!$B$2:$B$295,generator!$L$2:$L$295,"ARGH")</f>
        <v>83</v>
      </c>
      <c r="JB35" s="3">
        <f>_xlfn.XLOOKUP(JB$1,generator!$B$2:$B$295,generator!$L$2:$L$295,"ARGH")</f>
        <v>83</v>
      </c>
      <c r="JC35" s="3">
        <f>_xlfn.XLOOKUP(JC$1,generator!$B$2:$B$295,generator!$L$2:$L$295,"ARGH")</f>
        <v>247</v>
      </c>
      <c r="JD35" s="3">
        <f>_xlfn.XLOOKUP(JD$1,generator!$B$2:$B$295,generator!$L$2:$L$295,"ARGH")</f>
        <v>247</v>
      </c>
      <c r="JE35" s="3">
        <f>_xlfn.XLOOKUP(JE$1,generator!$B$2:$B$295,generator!$L$2:$L$295,"ARGH")</f>
        <v>425</v>
      </c>
      <c r="JF35" s="3">
        <f>_xlfn.XLOOKUP(JF$1,generator!$B$2:$B$295,generator!$L$2:$L$295,"ARGH")</f>
        <v>63.5</v>
      </c>
      <c r="JG35" s="3">
        <f>_xlfn.XLOOKUP(JG$1,generator!$B$2:$B$295,generator!$L$2:$L$295,"ARGH")</f>
        <v>17</v>
      </c>
      <c r="JH35" s="3">
        <f>_xlfn.XLOOKUP(JH$1,generator!$B$2:$B$295,generator!$L$2:$L$295,"ARGH")</f>
        <v>444</v>
      </c>
      <c r="JI35" s="3">
        <f>_xlfn.XLOOKUP(JI$1,generator!$B$2:$B$295,generator!$L$2:$L$295,"ARGH")</f>
        <v>464</v>
      </c>
      <c r="JJ35" s="3">
        <f>_xlfn.XLOOKUP(JJ$1,generator!$B$2:$B$295,generator!$L$2:$L$295,"ARGH")</f>
        <v>18.54</v>
      </c>
      <c r="JK35" s="3">
        <f>_xlfn.XLOOKUP(JK$1,generator!$B$2:$B$295,generator!$L$2:$L$295,"ARGH")</f>
        <v>18.54</v>
      </c>
      <c r="JL35" s="3">
        <f>_xlfn.XLOOKUP(JL$1,generator!$B$2:$B$295,generator!$L$2:$L$295,"ARGH")</f>
        <v>18.54</v>
      </c>
      <c r="JM35" s="3">
        <f>_xlfn.XLOOKUP(JM$1,generator!$B$2:$B$295,generator!$L$2:$L$295,"ARGH")</f>
        <v>18.54</v>
      </c>
      <c r="JN35" s="3">
        <f>_xlfn.XLOOKUP(JN$1,generator!$B$2:$B$295,generator!$L$2:$L$295,"ARGH")</f>
        <v>18.54</v>
      </c>
      <c r="JO35" s="3">
        <f>_xlfn.XLOOKUP(JO$1,generator!$B$2:$B$295,generator!$L$2:$L$295,"ARGH")</f>
        <v>18.54</v>
      </c>
      <c r="JP35" s="3">
        <f>_xlfn.XLOOKUP(JP$1,generator!$B$2:$B$295,generator!$L$2:$L$295,"ARGH")</f>
        <v>415</v>
      </c>
      <c r="JQ35" s="3">
        <f>_xlfn.XLOOKUP(JQ$1,generator!$B$2:$B$295,generator!$L$2:$L$295,"ARGH")</f>
        <v>63.5</v>
      </c>
      <c r="JR35" s="3">
        <f>_xlfn.XLOOKUP(JR$1,generator!$B$2:$B$295,generator!$L$2:$L$295,"ARGH")</f>
        <v>350</v>
      </c>
      <c r="JS35" s="3">
        <f>_xlfn.XLOOKUP(JS$1,generator!$B$2:$B$295,generator!$L$2:$L$295,"ARGH")</f>
        <v>350</v>
      </c>
      <c r="JT35" s="3">
        <f>_xlfn.XLOOKUP(JT$1,generator!$B$2:$B$295,generator!$L$2:$L$295,"ARGH")</f>
        <v>63.5</v>
      </c>
      <c r="JU35" s="3">
        <f>_xlfn.XLOOKUP(JU$1,generator!$B$2:$B$295,generator!$L$2:$L$295,"ARGH")</f>
        <v>61.5</v>
      </c>
      <c r="JV35" s="3">
        <f>_xlfn.XLOOKUP(JV$1,generator!$B$2:$B$295,generator!$L$2:$L$295,"ARGH")</f>
        <v>240</v>
      </c>
      <c r="JW35" s="3">
        <f>_xlfn.XLOOKUP(JW$1,generator!$B$2:$B$295,generator!$L$2:$L$295,"ARGH")</f>
        <v>236</v>
      </c>
      <c r="JX35" s="3">
        <f>_xlfn.XLOOKUP(JX$1,generator!$B$2:$B$295,generator!$L$2:$L$295,"ARGH")</f>
        <v>20</v>
      </c>
      <c r="JY35" s="3">
        <f>_xlfn.XLOOKUP(JY$1,generator!$B$2:$B$295,generator!$L$2:$L$295,"ARGH")</f>
        <v>118</v>
      </c>
      <c r="JZ35" s="3">
        <f>_xlfn.XLOOKUP(JZ$1,generator!$B$2:$B$295,generator!$L$2:$L$295,"ARGH")</f>
        <v>73</v>
      </c>
      <c r="KA35" s="3">
        <f>_xlfn.XLOOKUP(KA$1,generator!$B$2:$B$295,generator!$L$2:$L$295,"ARGH")</f>
        <v>73</v>
      </c>
      <c r="KB35" s="3">
        <f>_xlfn.XLOOKUP(KB$1,generator!$B$2:$B$295,generator!$L$2:$L$295,"ARGH")</f>
        <v>73</v>
      </c>
      <c r="KC35" s="3">
        <f>_xlfn.XLOOKUP(KC$1,generator!$B$2:$B$295,generator!$L$2:$L$295,"ARGH")</f>
        <v>73</v>
      </c>
    </row>
    <row r="36" spans="1:289" x14ac:dyDescent="0.3">
      <c r="A36" s="4" t="s">
        <v>3031</v>
      </c>
      <c r="B36" s="31">
        <v>351</v>
      </c>
      <c r="C36" s="31">
        <v>512.5</v>
      </c>
      <c r="D36" s="31">
        <v>442</v>
      </c>
      <c r="E36" s="33">
        <v>10.08</v>
      </c>
      <c r="F36" s="33">
        <v>21.652999999999999</v>
      </c>
      <c r="G36" s="33">
        <v>10.08</v>
      </c>
      <c r="H36" s="33">
        <v>16.8</v>
      </c>
      <c r="I36" s="33">
        <v>33.225999999999999</v>
      </c>
      <c r="J36" s="33">
        <v>30.986000000000001</v>
      </c>
      <c r="K36" s="33">
        <v>8.4</v>
      </c>
      <c r="L36" s="33">
        <v>6.4210000000000003</v>
      </c>
      <c r="M36" s="33">
        <v>5.6</v>
      </c>
      <c r="N36" s="33">
        <v>20.16</v>
      </c>
      <c r="O36" s="33">
        <v>2.016</v>
      </c>
      <c r="P36" s="33">
        <v>9.5570000000000004</v>
      </c>
      <c r="Q36" s="33">
        <v>13.141</v>
      </c>
      <c r="R36" s="33">
        <v>6.72</v>
      </c>
      <c r="S36" s="33">
        <v>12.824</v>
      </c>
      <c r="T36" s="33">
        <v>8.9600000000000009</v>
      </c>
      <c r="U36" s="33">
        <v>15.68</v>
      </c>
      <c r="V36" s="33">
        <v>7.8959999999999999</v>
      </c>
      <c r="W36" s="33">
        <v>8.5869999999999997</v>
      </c>
      <c r="X36" s="33">
        <v>12.096</v>
      </c>
      <c r="Y36" s="33">
        <v>6.2720000000000002</v>
      </c>
      <c r="Z36" s="33">
        <v>4.4429999999999996</v>
      </c>
      <c r="AA36" s="33">
        <v>4.032</v>
      </c>
      <c r="AB36" s="33">
        <v>21.28</v>
      </c>
      <c r="AC36" s="33">
        <v>24.527999999999999</v>
      </c>
      <c r="AD36" s="33">
        <v>8.6609999999999996</v>
      </c>
      <c r="AE36" s="33">
        <v>7.4669999999999996</v>
      </c>
      <c r="AF36" s="33">
        <v>21.056000000000001</v>
      </c>
      <c r="AG36" s="33">
        <v>7.4669999999999996</v>
      </c>
      <c r="AH36" s="33">
        <v>4.4800000000000004</v>
      </c>
      <c r="AI36" s="33">
        <v>5.0030000000000001</v>
      </c>
      <c r="AJ36" s="33">
        <v>8.9600000000000009</v>
      </c>
      <c r="AK36" s="33">
        <v>3.1920000000000002</v>
      </c>
      <c r="AL36" s="33">
        <v>13.805999999999999</v>
      </c>
      <c r="AM36" s="33">
        <v>17.733000000000001</v>
      </c>
      <c r="AN36" s="33">
        <v>7.4669999999999996</v>
      </c>
      <c r="AO36" s="33">
        <v>5.1520000000000001</v>
      </c>
      <c r="AP36" s="33">
        <v>20.271999999999998</v>
      </c>
      <c r="AQ36" s="33">
        <v>6.9809999999999999</v>
      </c>
      <c r="AR36" s="33">
        <v>6.5330000000000004</v>
      </c>
      <c r="AS36" s="33">
        <v>19.413</v>
      </c>
      <c r="AT36" s="33">
        <v>5.2759999999999998</v>
      </c>
      <c r="AU36" s="33">
        <v>14.186</v>
      </c>
      <c r="AV36" s="33">
        <v>12.132999999999999</v>
      </c>
      <c r="AW36" s="33">
        <v>12.32</v>
      </c>
      <c r="AX36" s="33">
        <v>6.8319999999999999</v>
      </c>
      <c r="AY36" s="33">
        <v>12.356999999999999</v>
      </c>
      <c r="AZ36" s="33">
        <v>14.13</v>
      </c>
      <c r="BA36" s="33">
        <v>5.2270000000000003</v>
      </c>
      <c r="BB36" s="33">
        <v>17.172999999999998</v>
      </c>
      <c r="BC36" s="33">
        <v>7.4669999999999996</v>
      </c>
      <c r="BD36" s="33">
        <v>4.4800000000000004</v>
      </c>
      <c r="BE36" s="33">
        <v>4.2930000000000001</v>
      </c>
      <c r="BF36" s="33">
        <v>33.6</v>
      </c>
      <c r="BG36" s="33">
        <v>5.6</v>
      </c>
      <c r="BH36" s="33">
        <v>9.3330000000000002</v>
      </c>
      <c r="BI36" s="33">
        <v>7.84</v>
      </c>
      <c r="BJ36" s="33">
        <v>15.68</v>
      </c>
      <c r="BK36" s="33">
        <v>4.4800000000000004</v>
      </c>
      <c r="BL36" s="33">
        <v>15.866</v>
      </c>
      <c r="BM36" s="33">
        <v>3.173</v>
      </c>
      <c r="BN36" s="33">
        <v>11.2</v>
      </c>
      <c r="BO36" s="33">
        <v>15.919</v>
      </c>
      <c r="BP36" s="33">
        <v>42.634</v>
      </c>
      <c r="BQ36" s="33">
        <v>13.44</v>
      </c>
      <c r="BR36" s="33">
        <v>20.16</v>
      </c>
      <c r="BS36" s="33">
        <v>6.5330000000000004</v>
      </c>
      <c r="BT36" s="33">
        <v>12.88</v>
      </c>
      <c r="BU36" s="33">
        <v>1.792</v>
      </c>
      <c r="BV36" s="33">
        <v>3.8450000000000002</v>
      </c>
      <c r="BW36" s="33">
        <v>5.07</v>
      </c>
      <c r="BX36" s="33">
        <v>4.125</v>
      </c>
      <c r="BY36" s="33">
        <v>9.3330000000000002</v>
      </c>
      <c r="BZ36" s="33">
        <v>15.231999999999999</v>
      </c>
      <c r="CA36" s="33">
        <v>22.213000000000001</v>
      </c>
      <c r="CB36" s="33">
        <v>12.693</v>
      </c>
      <c r="CC36" s="33">
        <v>10.64</v>
      </c>
      <c r="CD36" s="33">
        <v>14.336</v>
      </c>
      <c r="CE36" s="33">
        <v>9.3330000000000002</v>
      </c>
      <c r="CF36" s="33">
        <v>6.0110000000000001</v>
      </c>
      <c r="CG36" s="33">
        <v>6.5330000000000004</v>
      </c>
      <c r="CH36" s="33">
        <v>10.435</v>
      </c>
      <c r="CI36" s="33">
        <v>4.8719999999999999</v>
      </c>
      <c r="CJ36" s="33">
        <v>1.661</v>
      </c>
      <c r="CK36" s="33">
        <v>9.2590000000000003</v>
      </c>
      <c r="CL36" s="33">
        <v>6.3090000000000002</v>
      </c>
      <c r="CM36" s="33">
        <v>5.6</v>
      </c>
      <c r="CN36" s="33">
        <v>22.11</v>
      </c>
      <c r="CO36" s="33">
        <v>8.7729999999999997</v>
      </c>
      <c r="CP36" s="33">
        <v>17.472000000000001</v>
      </c>
      <c r="CQ36" s="33">
        <v>11.946999999999999</v>
      </c>
      <c r="CR36" s="33">
        <v>9.7070000000000007</v>
      </c>
      <c r="CS36" s="33">
        <v>8.2129999999999992</v>
      </c>
      <c r="CT36" s="33">
        <v>11.125</v>
      </c>
      <c r="CU36" s="33">
        <v>5.1520000000000001</v>
      </c>
      <c r="CV36" s="33">
        <v>9.4450000000000003</v>
      </c>
      <c r="CW36" s="33">
        <v>10.452999999999999</v>
      </c>
      <c r="CX36" s="33">
        <v>4.6669999999999998</v>
      </c>
      <c r="CY36" s="33">
        <v>12.749000000000001</v>
      </c>
      <c r="CZ36" s="33">
        <v>4.4800000000000004</v>
      </c>
      <c r="DA36" s="33">
        <v>11.2</v>
      </c>
      <c r="DB36" s="33">
        <v>7.0190000000000001</v>
      </c>
      <c r="DC36" s="33">
        <v>5.2640000000000002</v>
      </c>
      <c r="DD36" s="33">
        <v>6.0110000000000001</v>
      </c>
      <c r="DE36" s="33">
        <v>4.6669999999999998</v>
      </c>
      <c r="DF36" s="33">
        <v>8.0640000000000001</v>
      </c>
      <c r="DG36" s="33">
        <v>13.420999999999999</v>
      </c>
      <c r="DH36" s="33">
        <v>28</v>
      </c>
      <c r="DI36" s="33">
        <v>13.44</v>
      </c>
      <c r="DJ36" s="33">
        <v>5.6</v>
      </c>
      <c r="DK36" s="33">
        <v>7.7279999999999998</v>
      </c>
      <c r="DL36" s="33">
        <v>13.832000000000001</v>
      </c>
      <c r="DM36" s="33">
        <v>6.72</v>
      </c>
      <c r="DN36" s="33">
        <v>37.332999999999998</v>
      </c>
      <c r="DO36" s="33">
        <v>12.544</v>
      </c>
      <c r="DP36" s="33">
        <v>37.706000000000003</v>
      </c>
      <c r="DQ36" s="33">
        <v>0.874</v>
      </c>
      <c r="DR36" s="33">
        <v>34.048000000000002</v>
      </c>
      <c r="DS36" s="33">
        <v>6.0110000000000001</v>
      </c>
      <c r="DT36" s="33">
        <v>11.237</v>
      </c>
      <c r="DU36" s="33">
        <v>5.6</v>
      </c>
      <c r="DV36" s="33">
        <v>4.4349999999999996</v>
      </c>
      <c r="DW36" s="33">
        <v>5.2270000000000003</v>
      </c>
      <c r="DX36" s="33">
        <v>14.522</v>
      </c>
      <c r="DY36" s="33">
        <v>9.7070000000000007</v>
      </c>
      <c r="DZ36" s="33">
        <v>4.3680000000000003</v>
      </c>
      <c r="EA36" s="33">
        <v>14.933</v>
      </c>
      <c r="EB36" s="33">
        <v>13.44</v>
      </c>
      <c r="EC36" s="33">
        <v>8.5869999999999997</v>
      </c>
      <c r="ED36" s="33">
        <v>10.752000000000001</v>
      </c>
      <c r="EE36" s="33">
        <v>18.218</v>
      </c>
      <c r="EF36" s="33">
        <v>5.6</v>
      </c>
      <c r="EG36" s="33">
        <v>3.4350000000000001</v>
      </c>
      <c r="EH36" s="33">
        <v>15.456</v>
      </c>
      <c r="EI36" s="33">
        <v>5.5250000000000004</v>
      </c>
      <c r="EJ36" s="33">
        <v>3.4350000000000001</v>
      </c>
      <c r="EK36" s="33">
        <v>5.6</v>
      </c>
      <c r="EL36" s="33">
        <v>8.9600000000000009</v>
      </c>
      <c r="EM36" s="33">
        <v>12.021000000000001</v>
      </c>
      <c r="EN36" s="33">
        <v>6.8689999999999998</v>
      </c>
      <c r="EO36" s="33">
        <v>7.4669999999999996</v>
      </c>
      <c r="EP36" s="33">
        <v>5.2640000000000002</v>
      </c>
      <c r="EQ36" s="33">
        <v>12.88</v>
      </c>
      <c r="ER36" s="33">
        <v>3.92</v>
      </c>
      <c r="ES36" s="33">
        <v>4.2930000000000001</v>
      </c>
      <c r="ET36" s="33">
        <v>8.6240000000000006</v>
      </c>
      <c r="EU36" s="33">
        <v>31.718</v>
      </c>
      <c r="EV36" s="33">
        <v>6.44</v>
      </c>
      <c r="EW36" s="33">
        <v>29.866</v>
      </c>
      <c r="EX36" s="33">
        <v>33.543999999999997</v>
      </c>
      <c r="EY36" s="33">
        <v>2.016</v>
      </c>
      <c r="EZ36" s="33">
        <v>2.71</v>
      </c>
      <c r="FA36" s="33">
        <v>2.218</v>
      </c>
      <c r="FB36" s="33">
        <v>7.4669999999999996</v>
      </c>
      <c r="FC36" s="33">
        <v>10.64</v>
      </c>
      <c r="FD36" s="33">
        <v>7.4669999999999996</v>
      </c>
      <c r="FE36" s="33">
        <v>10.304</v>
      </c>
      <c r="FF36" s="33">
        <v>6.72</v>
      </c>
      <c r="FG36" s="33">
        <v>5.6</v>
      </c>
      <c r="FH36" s="33">
        <v>4.6669999999999998</v>
      </c>
      <c r="FI36" s="33">
        <v>17.920000000000002</v>
      </c>
      <c r="FJ36" s="33">
        <v>11.430999999999999</v>
      </c>
      <c r="FK36" s="33">
        <v>16.556999999999999</v>
      </c>
      <c r="FL36" s="33">
        <v>5.5250000000000004</v>
      </c>
      <c r="FM36" s="33">
        <v>15.269</v>
      </c>
      <c r="FN36" s="33">
        <v>7.6529999999999996</v>
      </c>
      <c r="FO36" s="33">
        <v>27.477</v>
      </c>
      <c r="FP36" s="33">
        <v>39.200000000000003</v>
      </c>
      <c r="FQ36" s="33">
        <v>7.1680000000000001</v>
      </c>
      <c r="FR36" s="33">
        <v>4.2930000000000001</v>
      </c>
      <c r="FS36" s="33">
        <v>5.1520000000000001</v>
      </c>
      <c r="FT36" s="33">
        <v>6.44</v>
      </c>
      <c r="FU36" s="33">
        <v>26.132999999999999</v>
      </c>
      <c r="FV36" s="33">
        <v>4.9649999999999999</v>
      </c>
      <c r="FW36" s="33">
        <v>5.6669999999999998</v>
      </c>
      <c r="FX36" s="33">
        <v>5.6</v>
      </c>
      <c r="FY36" s="33">
        <v>5.1520000000000001</v>
      </c>
      <c r="FZ36" s="33">
        <v>5.1520000000000001</v>
      </c>
      <c r="GA36" s="33">
        <v>5.6</v>
      </c>
      <c r="GB36" s="33">
        <v>4.6669999999999998</v>
      </c>
      <c r="GC36" s="33">
        <v>2.464</v>
      </c>
      <c r="GD36" s="33">
        <v>4.7039999999999997</v>
      </c>
      <c r="GE36" s="33">
        <v>5.1520000000000001</v>
      </c>
      <c r="GF36" s="33">
        <v>39.200000000000003</v>
      </c>
      <c r="GG36" s="33">
        <v>23.893000000000001</v>
      </c>
      <c r="GH36" s="33">
        <v>2.2400000000000002</v>
      </c>
      <c r="GI36" s="33">
        <v>3.36</v>
      </c>
      <c r="GJ36" s="33">
        <v>4.4429999999999996</v>
      </c>
      <c r="GK36" s="33">
        <v>10.08</v>
      </c>
      <c r="GL36" s="33">
        <v>7.4669999999999996</v>
      </c>
      <c r="GM36" s="33">
        <v>6.8079999999999998</v>
      </c>
      <c r="GN36" s="33">
        <v>40.847000000000001</v>
      </c>
      <c r="GO36" s="33">
        <v>14.295999999999999</v>
      </c>
      <c r="GP36" s="33">
        <v>57.866</v>
      </c>
      <c r="GQ36" s="33">
        <v>9.5310000000000006</v>
      </c>
      <c r="GR36" s="33">
        <v>81.012</v>
      </c>
      <c r="GS36" s="33">
        <v>21.513000000000002</v>
      </c>
      <c r="GT36" s="33">
        <v>64.674000000000007</v>
      </c>
      <c r="GU36" s="33">
        <v>17.155999999999999</v>
      </c>
      <c r="GV36" s="33">
        <v>11.519</v>
      </c>
      <c r="GW36" s="33">
        <v>13.907999999999999</v>
      </c>
      <c r="GX36" s="33">
        <v>59.228000000000002</v>
      </c>
      <c r="GY36" s="33">
        <v>2.7229999999999999</v>
      </c>
      <c r="GZ36" s="33">
        <v>8.1690000000000005</v>
      </c>
      <c r="HA36" s="33">
        <v>20.294</v>
      </c>
      <c r="HB36" s="33">
        <v>64.674000000000007</v>
      </c>
      <c r="HC36" s="33">
        <v>64.674000000000007</v>
      </c>
      <c r="HD36" s="33">
        <v>34.039000000000001</v>
      </c>
      <c r="HE36" s="3">
        <f>_xlfn.XLOOKUP(HE$1,generator!$B$2:$B$295,generator!$L$2:$L$295,"ARGH")</f>
        <v>17.600000000000001</v>
      </c>
      <c r="HF36" s="3">
        <f>_xlfn.XLOOKUP(HF$1,generator!$B$2:$B$295,generator!$L$2:$L$295,"ARGH")</f>
        <v>285</v>
      </c>
      <c r="HG36" s="3">
        <f>_xlfn.XLOOKUP(HG$1,generator!$B$2:$B$295,generator!$L$2:$L$295,"ARGH")</f>
        <v>285</v>
      </c>
      <c r="HH36" s="3">
        <f>_xlfn.XLOOKUP(HH$1,generator!$B$2:$B$295,generator!$L$2:$L$295,"ARGH")</f>
        <v>285</v>
      </c>
      <c r="HI36" s="3">
        <f>_xlfn.XLOOKUP(HI$1,generator!$B$2:$B$295,generator!$L$2:$L$295,"ARGH")</f>
        <v>58</v>
      </c>
      <c r="HJ36" s="3">
        <f>_xlfn.XLOOKUP(HJ$1,generator!$B$2:$B$295,generator!$L$2:$L$295,"ARGH")</f>
        <v>58</v>
      </c>
      <c r="HK36" s="3">
        <f>_xlfn.XLOOKUP(HK$1,generator!$B$2:$B$295,generator!$L$2:$L$295,"ARGH")</f>
        <v>53</v>
      </c>
      <c r="HL36" s="3">
        <f>_xlfn.XLOOKUP(HL$1,generator!$B$2:$B$295,generator!$L$2:$L$295,"ARGH")</f>
        <v>58</v>
      </c>
      <c r="HM36" s="3">
        <f>_xlfn.XLOOKUP(HM$1,generator!$B$2:$B$295,generator!$L$2:$L$295,"ARGH")</f>
        <v>58</v>
      </c>
      <c r="HN36" s="3">
        <f>_xlfn.XLOOKUP(HN$1,generator!$B$2:$B$295,generator!$L$2:$L$295,"ARGH")</f>
        <v>52</v>
      </c>
      <c r="HO36" s="3">
        <f>_xlfn.XLOOKUP(HO$1,generator!$B$2:$B$295,generator!$L$2:$L$295,"ARGH")</f>
        <v>52</v>
      </c>
      <c r="HP36" s="3">
        <f>_xlfn.XLOOKUP(HP$1,generator!$B$2:$B$295,generator!$L$2:$L$295,"ARGH")</f>
        <v>2</v>
      </c>
      <c r="HQ36" s="3">
        <f>_xlfn.XLOOKUP(HQ$1,generator!$B$2:$B$295,generator!$L$2:$L$295,"ARGH")</f>
        <v>29.2</v>
      </c>
      <c r="HR36" s="3">
        <f>_xlfn.XLOOKUP(HR$1,generator!$B$2:$B$295,generator!$L$2:$L$295,"ARGH")</f>
        <v>29.2</v>
      </c>
      <c r="HS36" s="3">
        <f>_xlfn.XLOOKUP(HS$1,generator!$B$2:$B$295,generator!$L$2:$L$295,"ARGH")</f>
        <v>41.61</v>
      </c>
      <c r="HT36" s="3">
        <f>_xlfn.XLOOKUP(HT$1,generator!$B$2:$B$295,generator!$L$2:$L$295,"ARGH")</f>
        <v>41.61</v>
      </c>
      <c r="HU36" s="3">
        <f>_xlfn.XLOOKUP(HU$1,generator!$B$2:$B$295,generator!$L$2:$L$295,"ARGH")</f>
        <v>160</v>
      </c>
      <c r="HV36" s="3">
        <f>_xlfn.XLOOKUP(HV$1,generator!$B$2:$B$295,generator!$L$2:$L$295,"ARGH")</f>
        <v>260</v>
      </c>
      <c r="HW36" s="3">
        <f>_xlfn.XLOOKUP(HW$1,generator!$B$2:$B$295,generator!$L$2:$L$295,"ARGH")</f>
        <v>52</v>
      </c>
      <c r="HX36" s="3">
        <f>_xlfn.XLOOKUP(HX$1,generator!$B$2:$B$295,generator!$L$2:$L$295,"ARGH")</f>
        <v>52</v>
      </c>
      <c r="HY36" s="3">
        <f>_xlfn.XLOOKUP(HY$1,generator!$B$2:$B$295,generator!$L$2:$L$295,"ARGH")</f>
        <v>101</v>
      </c>
      <c r="HZ36" s="3">
        <f>_xlfn.XLOOKUP(HZ$1,generator!$B$2:$B$295,generator!$L$2:$L$295,"ARGH")</f>
        <v>50</v>
      </c>
      <c r="IA36" s="3">
        <f>_xlfn.XLOOKUP(IA$1,generator!$B$2:$B$295,generator!$L$2:$L$295,"ARGH")</f>
        <v>400</v>
      </c>
      <c r="IB36" s="3">
        <f>_xlfn.XLOOKUP(IB$1,generator!$B$2:$B$295,generator!$L$2:$L$295,"ARGH")</f>
        <v>342</v>
      </c>
      <c r="IC36" s="3">
        <f>_xlfn.XLOOKUP(IC$1,generator!$B$2:$B$295,generator!$L$2:$L$295,"ARGH")</f>
        <v>3.0209999999999999</v>
      </c>
      <c r="ID36" s="3">
        <f>_xlfn.XLOOKUP(ID$1,generator!$B$2:$B$295,generator!$L$2:$L$295,"ARGH")</f>
        <v>200</v>
      </c>
      <c r="IE36" s="3">
        <f>_xlfn.XLOOKUP(IE$1,generator!$B$2:$B$295,generator!$L$2:$L$295,"ARGH")</f>
        <v>404</v>
      </c>
      <c r="IF36" s="3">
        <f>_xlfn.XLOOKUP(IF$1,generator!$B$2:$B$295,generator!$L$2:$L$295,"ARGH")</f>
        <v>21</v>
      </c>
      <c r="IG36" s="3">
        <f>_xlfn.XLOOKUP(IG$1,generator!$B$2:$B$295,generator!$L$2:$L$295,"ARGH")</f>
        <v>22</v>
      </c>
      <c r="IH36" s="3">
        <f>_xlfn.XLOOKUP(IH$1,generator!$B$2:$B$295,generator!$L$2:$L$295,"ARGH")</f>
        <v>19</v>
      </c>
      <c r="II36" s="3">
        <f>_xlfn.XLOOKUP(II$1,generator!$B$2:$B$295,generator!$L$2:$L$295,"ARGH")</f>
        <v>24</v>
      </c>
      <c r="IJ36" s="3">
        <f>_xlfn.XLOOKUP(IJ$1,generator!$B$2:$B$295,generator!$L$2:$L$295,"ARGH")</f>
        <v>4.3</v>
      </c>
      <c r="IK36" s="3">
        <f>_xlfn.XLOOKUP(IK$1,generator!$B$2:$B$295,generator!$L$2:$L$295,"ARGH")</f>
        <v>8</v>
      </c>
      <c r="IL36" s="3">
        <f>_xlfn.XLOOKUP(IL$1,generator!$B$2:$B$295,generator!$L$2:$L$295,"ARGH")</f>
        <v>22.5</v>
      </c>
      <c r="IM36" s="3">
        <f>_xlfn.XLOOKUP(IM$1,generator!$B$2:$B$295,generator!$L$2:$L$295,"ARGH")</f>
        <v>22.5</v>
      </c>
      <c r="IN36" s="3">
        <f>_xlfn.XLOOKUP(IN$1,generator!$B$2:$B$295,generator!$L$2:$L$295,"ARGH")</f>
        <v>10</v>
      </c>
      <c r="IO36" s="3">
        <f>_xlfn.XLOOKUP(IO$1,generator!$B$2:$B$295,generator!$L$2:$L$295,"ARGH")</f>
        <v>10</v>
      </c>
      <c r="IP36" s="3">
        <f>_xlfn.XLOOKUP(IP$1,generator!$B$2:$B$295,generator!$L$2:$L$295,"ARGH")</f>
        <v>15</v>
      </c>
      <c r="IQ36" s="3">
        <f>_xlfn.XLOOKUP(IQ$1,generator!$B$2:$B$295,generator!$L$2:$L$295,"ARGH")</f>
        <v>4</v>
      </c>
      <c r="IR36" s="3">
        <f>_xlfn.XLOOKUP(IR$1,generator!$B$2:$B$295,generator!$L$2:$L$295,"ARGH")</f>
        <v>15</v>
      </c>
      <c r="IS36" s="3">
        <f>_xlfn.XLOOKUP(IS$1,generator!$B$2:$B$295,generator!$L$2:$L$295,"ARGH")</f>
        <v>15</v>
      </c>
      <c r="IT36" s="3">
        <f>_xlfn.XLOOKUP(IT$1,generator!$B$2:$B$295,generator!$L$2:$L$295,"ARGH")</f>
        <v>0.18</v>
      </c>
      <c r="IU36" s="3">
        <f>_xlfn.XLOOKUP(IU$1,generator!$B$2:$B$295,generator!$L$2:$L$295,"ARGH")</f>
        <v>4</v>
      </c>
      <c r="IV36" s="3">
        <f>_xlfn.XLOOKUP(IV$1,generator!$B$2:$B$295,generator!$L$2:$L$295,"ARGH")</f>
        <v>4</v>
      </c>
      <c r="IW36" s="3">
        <f>_xlfn.XLOOKUP(IW$1,generator!$B$2:$B$295,generator!$L$2:$L$295,"ARGH")</f>
        <v>90</v>
      </c>
      <c r="IX36" s="3">
        <f>_xlfn.XLOOKUP(IX$1,generator!$B$2:$B$295,generator!$L$2:$L$295,"ARGH")</f>
        <v>90</v>
      </c>
      <c r="IY36" s="3">
        <f>_xlfn.XLOOKUP(IY$1,generator!$B$2:$B$295,generator!$L$2:$L$295,"ARGH")</f>
        <v>90</v>
      </c>
      <c r="IZ36" s="3">
        <f>_xlfn.XLOOKUP(IZ$1,generator!$B$2:$B$295,generator!$L$2:$L$295,"ARGH")</f>
        <v>449</v>
      </c>
      <c r="JA36" s="3">
        <f>_xlfn.XLOOKUP(JA$1,generator!$B$2:$B$295,generator!$L$2:$L$295,"ARGH")</f>
        <v>83</v>
      </c>
      <c r="JB36" s="3">
        <f>_xlfn.XLOOKUP(JB$1,generator!$B$2:$B$295,generator!$L$2:$L$295,"ARGH")</f>
        <v>83</v>
      </c>
      <c r="JC36" s="3">
        <f>_xlfn.XLOOKUP(JC$1,generator!$B$2:$B$295,generator!$L$2:$L$295,"ARGH")</f>
        <v>247</v>
      </c>
      <c r="JD36" s="3">
        <f>_xlfn.XLOOKUP(JD$1,generator!$B$2:$B$295,generator!$L$2:$L$295,"ARGH")</f>
        <v>247</v>
      </c>
      <c r="JE36" s="3">
        <f>_xlfn.XLOOKUP(JE$1,generator!$B$2:$B$295,generator!$L$2:$L$295,"ARGH")</f>
        <v>425</v>
      </c>
      <c r="JF36" s="3">
        <f>_xlfn.XLOOKUP(JF$1,generator!$B$2:$B$295,generator!$L$2:$L$295,"ARGH")</f>
        <v>63.5</v>
      </c>
      <c r="JG36" s="3">
        <f>_xlfn.XLOOKUP(JG$1,generator!$B$2:$B$295,generator!$L$2:$L$295,"ARGH")</f>
        <v>17</v>
      </c>
      <c r="JH36" s="3">
        <f>_xlfn.XLOOKUP(JH$1,generator!$B$2:$B$295,generator!$L$2:$L$295,"ARGH")</f>
        <v>444</v>
      </c>
      <c r="JI36" s="3">
        <f>_xlfn.XLOOKUP(JI$1,generator!$B$2:$B$295,generator!$L$2:$L$295,"ARGH")</f>
        <v>464</v>
      </c>
      <c r="JJ36" s="3">
        <f>_xlfn.XLOOKUP(JJ$1,generator!$B$2:$B$295,generator!$L$2:$L$295,"ARGH")</f>
        <v>18.54</v>
      </c>
      <c r="JK36" s="3">
        <f>_xlfn.XLOOKUP(JK$1,generator!$B$2:$B$295,generator!$L$2:$L$295,"ARGH")</f>
        <v>18.54</v>
      </c>
      <c r="JL36" s="3">
        <f>_xlfn.XLOOKUP(JL$1,generator!$B$2:$B$295,generator!$L$2:$L$295,"ARGH")</f>
        <v>18.54</v>
      </c>
      <c r="JM36" s="3">
        <f>_xlfn.XLOOKUP(JM$1,generator!$B$2:$B$295,generator!$L$2:$L$295,"ARGH")</f>
        <v>18.54</v>
      </c>
      <c r="JN36" s="3">
        <f>_xlfn.XLOOKUP(JN$1,generator!$B$2:$B$295,generator!$L$2:$L$295,"ARGH")</f>
        <v>18.54</v>
      </c>
      <c r="JO36" s="3">
        <f>_xlfn.XLOOKUP(JO$1,generator!$B$2:$B$295,generator!$L$2:$L$295,"ARGH")</f>
        <v>18.54</v>
      </c>
      <c r="JP36" s="3">
        <f>_xlfn.XLOOKUP(JP$1,generator!$B$2:$B$295,generator!$L$2:$L$295,"ARGH")</f>
        <v>415</v>
      </c>
      <c r="JQ36" s="3">
        <f>_xlfn.XLOOKUP(JQ$1,generator!$B$2:$B$295,generator!$L$2:$L$295,"ARGH")</f>
        <v>63.5</v>
      </c>
      <c r="JR36" s="3">
        <f>_xlfn.XLOOKUP(JR$1,generator!$B$2:$B$295,generator!$L$2:$L$295,"ARGH")</f>
        <v>350</v>
      </c>
      <c r="JS36" s="3">
        <f>_xlfn.XLOOKUP(JS$1,generator!$B$2:$B$295,generator!$L$2:$L$295,"ARGH")</f>
        <v>350</v>
      </c>
      <c r="JT36" s="3">
        <f>_xlfn.XLOOKUP(JT$1,generator!$B$2:$B$295,generator!$L$2:$L$295,"ARGH")</f>
        <v>63.5</v>
      </c>
      <c r="JU36" s="3">
        <f>_xlfn.XLOOKUP(JU$1,generator!$B$2:$B$295,generator!$L$2:$L$295,"ARGH")</f>
        <v>61.5</v>
      </c>
      <c r="JV36" s="3">
        <f>_xlfn.XLOOKUP(JV$1,generator!$B$2:$B$295,generator!$L$2:$L$295,"ARGH")</f>
        <v>240</v>
      </c>
      <c r="JW36" s="3">
        <f>_xlfn.XLOOKUP(JW$1,generator!$B$2:$B$295,generator!$L$2:$L$295,"ARGH")</f>
        <v>236</v>
      </c>
      <c r="JX36" s="3">
        <f>_xlfn.XLOOKUP(JX$1,generator!$B$2:$B$295,generator!$L$2:$L$295,"ARGH")</f>
        <v>20</v>
      </c>
      <c r="JY36" s="3">
        <f>_xlfn.XLOOKUP(JY$1,generator!$B$2:$B$295,generator!$L$2:$L$295,"ARGH")</f>
        <v>118</v>
      </c>
      <c r="JZ36" s="3">
        <f>_xlfn.XLOOKUP(JZ$1,generator!$B$2:$B$295,generator!$L$2:$L$295,"ARGH")</f>
        <v>73</v>
      </c>
      <c r="KA36" s="3">
        <f>_xlfn.XLOOKUP(KA$1,generator!$B$2:$B$295,generator!$L$2:$L$295,"ARGH")</f>
        <v>73</v>
      </c>
      <c r="KB36" s="3">
        <f>_xlfn.XLOOKUP(KB$1,generator!$B$2:$B$295,generator!$L$2:$L$295,"ARGH")</f>
        <v>73</v>
      </c>
      <c r="KC36" s="3">
        <f>_xlfn.XLOOKUP(KC$1,generator!$B$2:$B$295,generator!$L$2:$L$295,"ARGH")</f>
        <v>73</v>
      </c>
    </row>
    <row r="37" spans="1:289" x14ac:dyDescent="0.3">
      <c r="A37" s="4" t="s">
        <v>3032</v>
      </c>
      <c r="B37" s="31">
        <v>496</v>
      </c>
      <c r="C37" s="31">
        <v>513.5</v>
      </c>
      <c r="D37" s="31">
        <v>442</v>
      </c>
      <c r="E37" s="33">
        <v>9.375</v>
      </c>
      <c r="F37" s="33">
        <v>20.138999999999999</v>
      </c>
      <c r="G37" s="33">
        <v>9.375</v>
      </c>
      <c r="H37" s="33">
        <v>15.625</v>
      </c>
      <c r="I37" s="33">
        <v>30.904</v>
      </c>
      <c r="J37" s="33">
        <v>28.82</v>
      </c>
      <c r="K37" s="33">
        <v>7.8129999999999997</v>
      </c>
      <c r="L37" s="33">
        <v>5.9720000000000004</v>
      </c>
      <c r="M37" s="33">
        <v>5.2080000000000002</v>
      </c>
      <c r="N37" s="33">
        <v>18.75</v>
      </c>
      <c r="O37" s="33">
        <v>1.875</v>
      </c>
      <c r="P37" s="33">
        <v>8.8889999999999993</v>
      </c>
      <c r="Q37" s="33">
        <v>12.223000000000001</v>
      </c>
      <c r="R37" s="33">
        <v>6.25</v>
      </c>
      <c r="S37" s="33">
        <v>11.927</v>
      </c>
      <c r="T37" s="33">
        <v>8.3339999999999996</v>
      </c>
      <c r="U37" s="33">
        <v>14.584</v>
      </c>
      <c r="V37" s="33">
        <v>7.3440000000000003</v>
      </c>
      <c r="W37" s="33">
        <v>7.9859999999999998</v>
      </c>
      <c r="X37" s="33">
        <v>11.25</v>
      </c>
      <c r="Y37" s="33">
        <v>5.8330000000000002</v>
      </c>
      <c r="Z37" s="33">
        <v>4.1319999999999997</v>
      </c>
      <c r="AA37" s="33">
        <v>3.75</v>
      </c>
      <c r="AB37" s="33">
        <v>19.792000000000002</v>
      </c>
      <c r="AC37" s="33">
        <v>22.812999999999999</v>
      </c>
      <c r="AD37" s="33">
        <v>8.0559999999999992</v>
      </c>
      <c r="AE37" s="33">
        <v>6.9450000000000003</v>
      </c>
      <c r="AF37" s="33">
        <v>19.584</v>
      </c>
      <c r="AG37" s="33">
        <v>6.9450000000000003</v>
      </c>
      <c r="AH37" s="33">
        <v>4.1669999999999998</v>
      </c>
      <c r="AI37" s="33">
        <v>4.6529999999999996</v>
      </c>
      <c r="AJ37" s="33">
        <v>8.3339999999999996</v>
      </c>
      <c r="AK37" s="33">
        <v>2.9689999999999999</v>
      </c>
      <c r="AL37" s="33">
        <v>12.840999999999999</v>
      </c>
      <c r="AM37" s="33">
        <v>16.492999999999999</v>
      </c>
      <c r="AN37" s="33">
        <v>6.9450000000000003</v>
      </c>
      <c r="AO37" s="33">
        <v>4.7919999999999998</v>
      </c>
      <c r="AP37" s="33">
        <v>18.855</v>
      </c>
      <c r="AQ37" s="33">
        <v>6.4930000000000003</v>
      </c>
      <c r="AR37" s="33">
        <v>6.077</v>
      </c>
      <c r="AS37" s="33">
        <v>18.056000000000001</v>
      </c>
      <c r="AT37" s="33">
        <v>4.907</v>
      </c>
      <c r="AU37" s="33">
        <v>13.195</v>
      </c>
      <c r="AV37" s="33">
        <v>11.285</v>
      </c>
      <c r="AW37" s="33">
        <v>11.459</v>
      </c>
      <c r="AX37" s="33">
        <v>6.3540000000000001</v>
      </c>
      <c r="AY37" s="33">
        <v>11.493</v>
      </c>
      <c r="AZ37" s="33">
        <v>13.143000000000001</v>
      </c>
      <c r="BA37" s="33">
        <v>4.8609999999999998</v>
      </c>
      <c r="BB37" s="33">
        <v>15.973000000000001</v>
      </c>
      <c r="BC37" s="33">
        <v>6.9450000000000003</v>
      </c>
      <c r="BD37" s="33">
        <v>4.1669999999999998</v>
      </c>
      <c r="BE37" s="33">
        <v>3.9929999999999999</v>
      </c>
      <c r="BF37" s="33">
        <v>31.251000000000001</v>
      </c>
      <c r="BG37" s="33">
        <v>5.2080000000000002</v>
      </c>
      <c r="BH37" s="33">
        <v>8.6809999999999992</v>
      </c>
      <c r="BI37" s="33">
        <v>7.2919999999999998</v>
      </c>
      <c r="BJ37" s="33">
        <v>14.584</v>
      </c>
      <c r="BK37" s="33">
        <v>4.1669999999999998</v>
      </c>
      <c r="BL37" s="33">
        <v>14.757</v>
      </c>
      <c r="BM37" s="33">
        <v>2.9510000000000001</v>
      </c>
      <c r="BN37" s="33">
        <v>10.417</v>
      </c>
      <c r="BO37" s="33">
        <v>14.805999999999999</v>
      </c>
      <c r="BP37" s="33">
        <v>39.654000000000003</v>
      </c>
      <c r="BQ37" s="33">
        <v>12.5</v>
      </c>
      <c r="BR37" s="33">
        <v>18.75</v>
      </c>
      <c r="BS37" s="33">
        <v>6.077</v>
      </c>
      <c r="BT37" s="33">
        <v>11.978999999999999</v>
      </c>
      <c r="BU37" s="33">
        <v>1.667</v>
      </c>
      <c r="BV37" s="33">
        <v>3.5760000000000001</v>
      </c>
      <c r="BW37" s="33">
        <v>4.7149999999999999</v>
      </c>
      <c r="BX37" s="33">
        <v>3.8370000000000002</v>
      </c>
      <c r="BY37" s="33">
        <v>8.6809999999999992</v>
      </c>
      <c r="BZ37" s="33">
        <v>14.167</v>
      </c>
      <c r="CA37" s="33">
        <v>20.66</v>
      </c>
      <c r="CB37" s="33">
        <v>11.805999999999999</v>
      </c>
      <c r="CC37" s="33">
        <v>9.8960000000000008</v>
      </c>
      <c r="CD37" s="33">
        <v>13.334</v>
      </c>
      <c r="CE37" s="33">
        <v>8.6809999999999992</v>
      </c>
      <c r="CF37" s="33">
        <v>5.59</v>
      </c>
      <c r="CG37" s="33">
        <v>6.077</v>
      </c>
      <c r="CH37" s="33">
        <v>9.7050000000000001</v>
      </c>
      <c r="CI37" s="33">
        <v>4.5309999999999997</v>
      </c>
      <c r="CJ37" s="33">
        <v>1.5449999999999999</v>
      </c>
      <c r="CK37" s="33">
        <v>8.6110000000000007</v>
      </c>
      <c r="CL37" s="33">
        <v>5.8680000000000003</v>
      </c>
      <c r="CM37" s="33">
        <v>5.2080000000000002</v>
      </c>
      <c r="CN37" s="33">
        <v>20.565000000000001</v>
      </c>
      <c r="CO37" s="33">
        <v>8.16</v>
      </c>
      <c r="CP37" s="33">
        <v>16.25</v>
      </c>
      <c r="CQ37" s="33">
        <v>11.111000000000001</v>
      </c>
      <c r="CR37" s="33">
        <v>9.0280000000000005</v>
      </c>
      <c r="CS37" s="33">
        <v>7.6390000000000002</v>
      </c>
      <c r="CT37" s="33">
        <v>10.347</v>
      </c>
      <c r="CU37" s="33">
        <v>4.7919999999999998</v>
      </c>
      <c r="CV37" s="33">
        <v>8.7850000000000001</v>
      </c>
      <c r="CW37" s="33">
        <v>9.7219999999999995</v>
      </c>
      <c r="CX37" s="33">
        <v>4.34</v>
      </c>
      <c r="CY37" s="33">
        <v>11.858000000000001</v>
      </c>
      <c r="CZ37" s="33">
        <v>4.1669999999999998</v>
      </c>
      <c r="DA37" s="33">
        <v>10.417</v>
      </c>
      <c r="DB37" s="33">
        <v>6.5279999999999996</v>
      </c>
      <c r="DC37" s="33">
        <v>4.8959999999999999</v>
      </c>
      <c r="DD37" s="33">
        <v>5.59</v>
      </c>
      <c r="DE37" s="33">
        <v>4.34</v>
      </c>
      <c r="DF37" s="33">
        <v>7.5</v>
      </c>
      <c r="DG37" s="33">
        <v>12.483000000000001</v>
      </c>
      <c r="DH37" s="33">
        <v>26.042000000000002</v>
      </c>
      <c r="DI37" s="33">
        <v>12.5</v>
      </c>
      <c r="DJ37" s="33">
        <v>5.2080000000000002</v>
      </c>
      <c r="DK37" s="33">
        <v>7.1879999999999997</v>
      </c>
      <c r="DL37" s="33">
        <v>12.865</v>
      </c>
      <c r="DM37" s="33">
        <v>6.25</v>
      </c>
      <c r="DN37" s="33">
        <v>34.722999999999999</v>
      </c>
      <c r="DO37" s="33">
        <v>11.667</v>
      </c>
      <c r="DP37" s="33">
        <v>35.07</v>
      </c>
      <c r="DQ37" s="33">
        <v>0.81299999999999994</v>
      </c>
      <c r="DR37" s="33">
        <v>31.667000000000002</v>
      </c>
      <c r="DS37" s="33">
        <v>5.59</v>
      </c>
      <c r="DT37" s="33">
        <v>10.452</v>
      </c>
      <c r="DU37" s="33">
        <v>5.2080000000000002</v>
      </c>
      <c r="DV37" s="33">
        <v>4.125</v>
      </c>
      <c r="DW37" s="33">
        <v>4.8609999999999998</v>
      </c>
      <c r="DX37" s="33">
        <v>13.507</v>
      </c>
      <c r="DY37" s="33">
        <v>9.0280000000000005</v>
      </c>
      <c r="DZ37" s="33">
        <v>4.0629999999999997</v>
      </c>
      <c r="EA37" s="33">
        <v>13.888999999999999</v>
      </c>
      <c r="EB37" s="33">
        <v>12.5</v>
      </c>
      <c r="EC37" s="33">
        <v>7.9859999999999998</v>
      </c>
      <c r="ED37" s="33">
        <v>10</v>
      </c>
      <c r="EE37" s="33">
        <v>16.945</v>
      </c>
      <c r="EF37" s="33">
        <v>5.2080000000000002</v>
      </c>
      <c r="EG37" s="33">
        <v>3.1949999999999998</v>
      </c>
      <c r="EH37" s="33">
        <v>14.375</v>
      </c>
      <c r="EI37" s="33">
        <v>5.1390000000000002</v>
      </c>
      <c r="EJ37" s="33">
        <v>3.1949999999999998</v>
      </c>
      <c r="EK37" s="33">
        <v>5.2080000000000002</v>
      </c>
      <c r="EL37" s="33">
        <v>8.3339999999999996</v>
      </c>
      <c r="EM37" s="33">
        <v>11.180999999999999</v>
      </c>
      <c r="EN37" s="33">
        <v>6.3890000000000002</v>
      </c>
      <c r="EO37" s="33">
        <v>6.9450000000000003</v>
      </c>
      <c r="EP37" s="33">
        <v>4.8959999999999999</v>
      </c>
      <c r="EQ37" s="33">
        <v>11.978999999999999</v>
      </c>
      <c r="ER37" s="33">
        <v>3.6459999999999999</v>
      </c>
      <c r="ES37" s="33">
        <v>3.9929999999999999</v>
      </c>
      <c r="ET37" s="33">
        <v>8.0210000000000008</v>
      </c>
      <c r="EU37" s="33">
        <v>29.501000000000001</v>
      </c>
      <c r="EV37" s="33">
        <v>5.99</v>
      </c>
      <c r="EW37" s="33">
        <v>27.777999999999999</v>
      </c>
      <c r="EX37" s="33">
        <v>31.199000000000002</v>
      </c>
      <c r="EY37" s="33">
        <v>1.875</v>
      </c>
      <c r="EZ37" s="33">
        <v>2.5209999999999999</v>
      </c>
      <c r="FA37" s="33">
        <v>2.0630000000000002</v>
      </c>
      <c r="FB37" s="33">
        <v>6.9450000000000003</v>
      </c>
      <c r="FC37" s="33">
        <v>9.8960000000000008</v>
      </c>
      <c r="FD37" s="33">
        <v>6.9450000000000003</v>
      </c>
      <c r="FE37" s="33">
        <v>9.5839999999999996</v>
      </c>
      <c r="FF37" s="33">
        <v>6.25</v>
      </c>
      <c r="FG37" s="33">
        <v>5.2080000000000002</v>
      </c>
      <c r="FH37" s="33">
        <v>4.34</v>
      </c>
      <c r="FI37" s="33">
        <v>16.667000000000002</v>
      </c>
      <c r="FJ37" s="33">
        <v>10.632</v>
      </c>
      <c r="FK37" s="33">
        <v>15.4</v>
      </c>
      <c r="FL37" s="33">
        <v>5.1390000000000002</v>
      </c>
      <c r="FM37" s="33">
        <v>14.202</v>
      </c>
      <c r="FN37" s="33">
        <v>7.1180000000000003</v>
      </c>
      <c r="FO37" s="33">
        <v>25.556000000000001</v>
      </c>
      <c r="FP37" s="33">
        <v>36.459000000000003</v>
      </c>
      <c r="FQ37" s="33">
        <v>6.6669999999999998</v>
      </c>
      <c r="FR37" s="33">
        <v>3.9929999999999999</v>
      </c>
      <c r="FS37" s="33">
        <v>4.7919999999999998</v>
      </c>
      <c r="FT37" s="33">
        <v>5.99</v>
      </c>
      <c r="FU37" s="33">
        <v>24.306000000000001</v>
      </c>
      <c r="FV37" s="33">
        <v>4.6180000000000003</v>
      </c>
      <c r="FW37" s="33">
        <v>5.2709999999999999</v>
      </c>
      <c r="FX37" s="33">
        <v>5.2080000000000002</v>
      </c>
      <c r="FY37" s="33">
        <v>4.7919999999999998</v>
      </c>
      <c r="FZ37" s="33">
        <v>4.7919999999999998</v>
      </c>
      <c r="GA37" s="33">
        <v>5.2080000000000002</v>
      </c>
      <c r="GB37" s="33">
        <v>4.34</v>
      </c>
      <c r="GC37" s="33">
        <v>2.2919999999999998</v>
      </c>
      <c r="GD37" s="33">
        <v>4.375</v>
      </c>
      <c r="GE37" s="33">
        <v>4.7919999999999998</v>
      </c>
      <c r="GF37" s="33">
        <v>36.459000000000003</v>
      </c>
      <c r="GG37" s="33">
        <v>22.222999999999999</v>
      </c>
      <c r="GH37" s="33">
        <v>2.0830000000000002</v>
      </c>
      <c r="GI37" s="33">
        <v>3.125</v>
      </c>
      <c r="GJ37" s="33">
        <v>4.1319999999999997</v>
      </c>
      <c r="GK37" s="33">
        <v>9.375</v>
      </c>
      <c r="GL37" s="33">
        <v>6.9450000000000003</v>
      </c>
      <c r="GM37" s="33">
        <v>5.5620000000000003</v>
      </c>
      <c r="GN37" s="33">
        <v>33.372999999999998</v>
      </c>
      <c r="GO37" s="33">
        <v>11.680999999999999</v>
      </c>
      <c r="GP37" s="33">
        <v>47.277999999999999</v>
      </c>
      <c r="GQ37" s="33">
        <v>7.7869999999999999</v>
      </c>
      <c r="GR37" s="33">
        <v>66.19</v>
      </c>
      <c r="GS37" s="33">
        <v>17.576000000000001</v>
      </c>
      <c r="GT37" s="33">
        <v>52.84</v>
      </c>
      <c r="GU37" s="33">
        <v>14.016999999999999</v>
      </c>
      <c r="GV37" s="33">
        <v>9.4109999999999996</v>
      </c>
      <c r="GW37" s="33">
        <v>11.363</v>
      </c>
      <c r="GX37" s="33">
        <v>48.390999999999998</v>
      </c>
      <c r="GY37" s="33">
        <v>2.2250000000000001</v>
      </c>
      <c r="GZ37" s="33">
        <v>6.6749999999999998</v>
      </c>
      <c r="HA37" s="33">
        <v>16.581</v>
      </c>
      <c r="HB37" s="33">
        <v>52.84</v>
      </c>
      <c r="HC37" s="33">
        <v>52.84</v>
      </c>
      <c r="HD37" s="33">
        <v>27.811</v>
      </c>
      <c r="HE37" s="3">
        <f>_xlfn.XLOOKUP(HE$1,generator!$B$2:$B$295,generator!$L$2:$L$295,"ARGH")</f>
        <v>17.600000000000001</v>
      </c>
      <c r="HF37" s="3">
        <f>_xlfn.XLOOKUP(HF$1,generator!$B$2:$B$295,generator!$L$2:$L$295,"ARGH")</f>
        <v>285</v>
      </c>
      <c r="HG37" s="3">
        <f>_xlfn.XLOOKUP(HG$1,generator!$B$2:$B$295,generator!$L$2:$L$295,"ARGH")</f>
        <v>285</v>
      </c>
      <c r="HH37" s="3">
        <f>_xlfn.XLOOKUP(HH$1,generator!$B$2:$B$295,generator!$L$2:$L$295,"ARGH")</f>
        <v>285</v>
      </c>
      <c r="HI37" s="3">
        <f>_xlfn.XLOOKUP(HI$1,generator!$B$2:$B$295,generator!$L$2:$L$295,"ARGH")</f>
        <v>58</v>
      </c>
      <c r="HJ37" s="3">
        <f>_xlfn.XLOOKUP(HJ$1,generator!$B$2:$B$295,generator!$L$2:$L$295,"ARGH")</f>
        <v>58</v>
      </c>
      <c r="HK37" s="3">
        <f>_xlfn.XLOOKUP(HK$1,generator!$B$2:$B$295,generator!$L$2:$L$295,"ARGH")</f>
        <v>53</v>
      </c>
      <c r="HL37" s="3">
        <f>_xlfn.XLOOKUP(HL$1,generator!$B$2:$B$295,generator!$L$2:$L$295,"ARGH")</f>
        <v>58</v>
      </c>
      <c r="HM37" s="3">
        <f>_xlfn.XLOOKUP(HM$1,generator!$B$2:$B$295,generator!$L$2:$L$295,"ARGH")</f>
        <v>58</v>
      </c>
      <c r="HN37" s="3">
        <f>_xlfn.XLOOKUP(HN$1,generator!$B$2:$B$295,generator!$L$2:$L$295,"ARGH")</f>
        <v>52</v>
      </c>
      <c r="HO37" s="3">
        <f>_xlfn.XLOOKUP(HO$1,generator!$B$2:$B$295,generator!$L$2:$L$295,"ARGH")</f>
        <v>52</v>
      </c>
      <c r="HP37" s="3">
        <f>_xlfn.XLOOKUP(HP$1,generator!$B$2:$B$295,generator!$L$2:$L$295,"ARGH")</f>
        <v>2</v>
      </c>
      <c r="HQ37" s="3">
        <f>_xlfn.XLOOKUP(HQ$1,generator!$B$2:$B$295,generator!$L$2:$L$295,"ARGH")</f>
        <v>29.2</v>
      </c>
      <c r="HR37" s="3">
        <f>_xlfn.XLOOKUP(HR$1,generator!$B$2:$B$295,generator!$L$2:$L$295,"ARGH")</f>
        <v>29.2</v>
      </c>
      <c r="HS37" s="3">
        <f>_xlfn.XLOOKUP(HS$1,generator!$B$2:$B$295,generator!$L$2:$L$295,"ARGH")</f>
        <v>41.61</v>
      </c>
      <c r="HT37" s="3">
        <f>_xlfn.XLOOKUP(HT$1,generator!$B$2:$B$295,generator!$L$2:$L$295,"ARGH")</f>
        <v>41.61</v>
      </c>
      <c r="HU37" s="3">
        <f>_xlfn.XLOOKUP(HU$1,generator!$B$2:$B$295,generator!$L$2:$L$295,"ARGH")</f>
        <v>160</v>
      </c>
      <c r="HV37" s="3">
        <f>_xlfn.XLOOKUP(HV$1,generator!$B$2:$B$295,generator!$L$2:$L$295,"ARGH")</f>
        <v>260</v>
      </c>
      <c r="HW37" s="3">
        <f>_xlfn.XLOOKUP(HW$1,generator!$B$2:$B$295,generator!$L$2:$L$295,"ARGH")</f>
        <v>52</v>
      </c>
      <c r="HX37" s="3">
        <f>_xlfn.XLOOKUP(HX$1,generator!$B$2:$B$295,generator!$L$2:$L$295,"ARGH")</f>
        <v>52</v>
      </c>
      <c r="HY37" s="3">
        <f>_xlfn.XLOOKUP(HY$1,generator!$B$2:$B$295,generator!$L$2:$L$295,"ARGH")</f>
        <v>101</v>
      </c>
      <c r="HZ37" s="3">
        <f>_xlfn.XLOOKUP(HZ$1,generator!$B$2:$B$295,generator!$L$2:$L$295,"ARGH")</f>
        <v>50</v>
      </c>
      <c r="IA37" s="3">
        <f>_xlfn.XLOOKUP(IA$1,generator!$B$2:$B$295,generator!$L$2:$L$295,"ARGH")</f>
        <v>400</v>
      </c>
      <c r="IB37" s="3">
        <f>_xlfn.XLOOKUP(IB$1,generator!$B$2:$B$295,generator!$L$2:$L$295,"ARGH")</f>
        <v>342</v>
      </c>
      <c r="IC37" s="3">
        <f>_xlfn.XLOOKUP(IC$1,generator!$B$2:$B$295,generator!$L$2:$L$295,"ARGH")</f>
        <v>3.0209999999999999</v>
      </c>
      <c r="ID37" s="3">
        <f>_xlfn.XLOOKUP(ID$1,generator!$B$2:$B$295,generator!$L$2:$L$295,"ARGH")</f>
        <v>200</v>
      </c>
      <c r="IE37" s="3">
        <f>_xlfn.XLOOKUP(IE$1,generator!$B$2:$B$295,generator!$L$2:$L$295,"ARGH")</f>
        <v>404</v>
      </c>
      <c r="IF37" s="3">
        <f>_xlfn.XLOOKUP(IF$1,generator!$B$2:$B$295,generator!$L$2:$L$295,"ARGH")</f>
        <v>21</v>
      </c>
      <c r="IG37" s="3">
        <f>_xlfn.XLOOKUP(IG$1,generator!$B$2:$B$295,generator!$L$2:$L$295,"ARGH")</f>
        <v>22</v>
      </c>
      <c r="IH37" s="3">
        <f>_xlfn.XLOOKUP(IH$1,generator!$B$2:$B$295,generator!$L$2:$L$295,"ARGH")</f>
        <v>19</v>
      </c>
      <c r="II37" s="3">
        <f>_xlfn.XLOOKUP(II$1,generator!$B$2:$B$295,generator!$L$2:$L$295,"ARGH")</f>
        <v>24</v>
      </c>
      <c r="IJ37" s="3">
        <f>_xlfn.XLOOKUP(IJ$1,generator!$B$2:$B$295,generator!$L$2:$L$295,"ARGH")</f>
        <v>4.3</v>
      </c>
      <c r="IK37" s="3">
        <f>_xlfn.XLOOKUP(IK$1,generator!$B$2:$B$295,generator!$L$2:$L$295,"ARGH")</f>
        <v>8</v>
      </c>
      <c r="IL37" s="3">
        <f>_xlfn.XLOOKUP(IL$1,generator!$B$2:$B$295,generator!$L$2:$L$295,"ARGH")</f>
        <v>22.5</v>
      </c>
      <c r="IM37" s="3">
        <f>_xlfn.XLOOKUP(IM$1,generator!$B$2:$B$295,generator!$L$2:$L$295,"ARGH")</f>
        <v>22.5</v>
      </c>
      <c r="IN37" s="3">
        <f>_xlfn.XLOOKUP(IN$1,generator!$B$2:$B$295,generator!$L$2:$L$295,"ARGH")</f>
        <v>10</v>
      </c>
      <c r="IO37" s="3">
        <f>_xlfn.XLOOKUP(IO$1,generator!$B$2:$B$295,generator!$L$2:$L$295,"ARGH")</f>
        <v>10</v>
      </c>
      <c r="IP37" s="3">
        <f>_xlfn.XLOOKUP(IP$1,generator!$B$2:$B$295,generator!$L$2:$L$295,"ARGH")</f>
        <v>15</v>
      </c>
      <c r="IQ37" s="3">
        <f>_xlfn.XLOOKUP(IQ$1,generator!$B$2:$B$295,generator!$L$2:$L$295,"ARGH")</f>
        <v>4</v>
      </c>
      <c r="IR37" s="3">
        <f>_xlfn.XLOOKUP(IR$1,generator!$B$2:$B$295,generator!$L$2:$L$295,"ARGH")</f>
        <v>15</v>
      </c>
      <c r="IS37" s="3">
        <f>_xlfn.XLOOKUP(IS$1,generator!$B$2:$B$295,generator!$L$2:$L$295,"ARGH")</f>
        <v>15</v>
      </c>
      <c r="IT37" s="3">
        <f>_xlfn.XLOOKUP(IT$1,generator!$B$2:$B$295,generator!$L$2:$L$295,"ARGH")</f>
        <v>0.18</v>
      </c>
      <c r="IU37" s="3">
        <f>_xlfn.XLOOKUP(IU$1,generator!$B$2:$B$295,generator!$L$2:$L$295,"ARGH")</f>
        <v>4</v>
      </c>
      <c r="IV37" s="3">
        <f>_xlfn.XLOOKUP(IV$1,generator!$B$2:$B$295,generator!$L$2:$L$295,"ARGH")</f>
        <v>4</v>
      </c>
      <c r="IW37" s="3">
        <f>_xlfn.XLOOKUP(IW$1,generator!$B$2:$B$295,generator!$L$2:$L$295,"ARGH")</f>
        <v>90</v>
      </c>
      <c r="IX37" s="3">
        <f>_xlfn.XLOOKUP(IX$1,generator!$B$2:$B$295,generator!$L$2:$L$295,"ARGH")</f>
        <v>90</v>
      </c>
      <c r="IY37" s="3">
        <f>_xlfn.XLOOKUP(IY$1,generator!$B$2:$B$295,generator!$L$2:$L$295,"ARGH")</f>
        <v>90</v>
      </c>
      <c r="IZ37" s="3">
        <f>_xlfn.XLOOKUP(IZ$1,generator!$B$2:$B$295,generator!$L$2:$L$295,"ARGH")</f>
        <v>449</v>
      </c>
      <c r="JA37" s="3">
        <f>_xlfn.XLOOKUP(JA$1,generator!$B$2:$B$295,generator!$L$2:$L$295,"ARGH")</f>
        <v>83</v>
      </c>
      <c r="JB37" s="3">
        <f>_xlfn.XLOOKUP(JB$1,generator!$B$2:$B$295,generator!$L$2:$L$295,"ARGH")</f>
        <v>83</v>
      </c>
      <c r="JC37" s="3">
        <f>_xlfn.XLOOKUP(JC$1,generator!$B$2:$B$295,generator!$L$2:$L$295,"ARGH")</f>
        <v>247</v>
      </c>
      <c r="JD37" s="3">
        <f>_xlfn.XLOOKUP(JD$1,generator!$B$2:$B$295,generator!$L$2:$L$295,"ARGH")</f>
        <v>247</v>
      </c>
      <c r="JE37" s="3">
        <f>_xlfn.XLOOKUP(JE$1,generator!$B$2:$B$295,generator!$L$2:$L$295,"ARGH")</f>
        <v>425</v>
      </c>
      <c r="JF37" s="3">
        <f>_xlfn.XLOOKUP(JF$1,generator!$B$2:$B$295,generator!$L$2:$L$295,"ARGH")</f>
        <v>63.5</v>
      </c>
      <c r="JG37" s="3">
        <f>_xlfn.XLOOKUP(JG$1,generator!$B$2:$B$295,generator!$L$2:$L$295,"ARGH")</f>
        <v>17</v>
      </c>
      <c r="JH37" s="3">
        <f>_xlfn.XLOOKUP(JH$1,generator!$B$2:$B$295,generator!$L$2:$L$295,"ARGH")</f>
        <v>444</v>
      </c>
      <c r="JI37" s="3">
        <f>_xlfn.XLOOKUP(JI$1,generator!$B$2:$B$295,generator!$L$2:$L$295,"ARGH")</f>
        <v>464</v>
      </c>
      <c r="JJ37" s="3">
        <f>_xlfn.XLOOKUP(JJ$1,generator!$B$2:$B$295,generator!$L$2:$L$295,"ARGH")</f>
        <v>18.54</v>
      </c>
      <c r="JK37" s="3">
        <f>_xlfn.XLOOKUP(JK$1,generator!$B$2:$B$295,generator!$L$2:$L$295,"ARGH")</f>
        <v>18.54</v>
      </c>
      <c r="JL37" s="3">
        <f>_xlfn.XLOOKUP(JL$1,generator!$B$2:$B$295,generator!$L$2:$L$295,"ARGH")</f>
        <v>18.54</v>
      </c>
      <c r="JM37" s="3">
        <f>_xlfn.XLOOKUP(JM$1,generator!$B$2:$B$295,generator!$L$2:$L$295,"ARGH")</f>
        <v>18.54</v>
      </c>
      <c r="JN37" s="3">
        <f>_xlfn.XLOOKUP(JN$1,generator!$B$2:$B$295,generator!$L$2:$L$295,"ARGH")</f>
        <v>18.54</v>
      </c>
      <c r="JO37" s="3">
        <f>_xlfn.XLOOKUP(JO$1,generator!$B$2:$B$295,generator!$L$2:$L$295,"ARGH")</f>
        <v>18.54</v>
      </c>
      <c r="JP37" s="3">
        <f>_xlfn.XLOOKUP(JP$1,generator!$B$2:$B$295,generator!$L$2:$L$295,"ARGH")</f>
        <v>415</v>
      </c>
      <c r="JQ37" s="3">
        <f>_xlfn.XLOOKUP(JQ$1,generator!$B$2:$B$295,generator!$L$2:$L$295,"ARGH")</f>
        <v>63.5</v>
      </c>
      <c r="JR37" s="3">
        <f>_xlfn.XLOOKUP(JR$1,generator!$B$2:$B$295,generator!$L$2:$L$295,"ARGH")</f>
        <v>350</v>
      </c>
      <c r="JS37" s="3">
        <f>_xlfn.XLOOKUP(JS$1,generator!$B$2:$B$295,generator!$L$2:$L$295,"ARGH")</f>
        <v>350</v>
      </c>
      <c r="JT37" s="3">
        <f>_xlfn.XLOOKUP(JT$1,generator!$B$2:$B$295,generator!$L$2:$L$295,"ARGH")</f>
        <v>63.5</v>
      </c>
      <c r="JU37" s="3">
        <f>_xlfn.XLOOKUP(JU$1,generator!$B$2:$B$295,generator!$L$2:$L$295,"ARGH")</f>
        <v>61.5</v>
      </c>
      <c r="JV37" s="3">
        <f>_xlfn.XLOOKUP(JV$1,generator!$B$2:$B$295,generator!$L$2:$L$295,"ARGH")</f>
        <v>240</v>
      </c>
      <c r="JW37" s="3">
        <f>_xlfn.XLOOKUP(JW$1,generator!$B$2:$B$295,generator!$L$2:$L$295,"ARGH")</f>
        <v>236</v>
      </c>
      <c r="JX37" s="3">
        <f>_xlfn.XLOOKUP(JX$1,generator!$B$2:$B$295,generator!$L$2:$L$295,"ARGH")</f>
        <v>20</v>
      </c>
      <c r="JY37" s="3">
        <f>_xlfn.XLOOKUP(JY$1,generator!$B$2:$B$295,generator!$L$2:$L$295,"ARGH")</f>
        <v>118</v>
      </c>
      <c r="JZ37" s="3">
        <f>_xlfn.XLOOKUP(JZ$1,generator!$B$2:$B$295,generator!$L$2:$L$295,"ARGH")</f>
        <v>73</v>
      </c>
      <c r="KA37" s="3">
        <f>_xlfn.XLOOKUP(KA$1,generator!$B$2:$B$295,generator!$L$2:$L$295,"ARGH")</f>
        <v>73</v>
      </c>
      <c r="KB37" s="3">
        <f>_xlfn.XLOOKUP(KB$1,generator!$B$2:$B$295,generator!$L$2:$L$295,"ARGH")</f>
        <v>73</v>
      </c>
      <c r="KC37" s="3">
        <f>_xlfn.XLOOKUP(KC$1,generator!$B$2:$B$295,generator!$L$2:$L$295,"ARGH")</f>
        <v>73</v>
      </c>
    </row>
    <row r="38" spans="1:289" x14ac:dyDescent="0.3">
      <c r="A38" s="4" t="s">
        <v>3033</v>
      </c>
      <c r="B38" s="31">
        <v>503.5</v>
      </c>
      <c r="C38" s="31">
        <v>513</v>
      </c>
      <c r="D38" s="31">
        <v>442</v>
      </c>
      <c r="E38" s="33">
        <v>9.1679999999999993</v>
      </c>
      <c r="F38" s="33">
        <v>19.693000000000001</v>
      </c>
      <c r="G38" s="33">
        <v>9.1679999999999993</v>
      </c>
      <c r="H38" s="33">
        <v>15.279</v>
      </c>
      <c r="I38" s="33">
        <v>30.219000000000001</v>
      </c>
      <c r="J38" s="33">
        <v>28.181999999999999</v>
      </c>
      <c r="K38" s="33">
        <v>7.64</v>
      </c>
      <c r="L38" s="33">
        <v>5.84</v>
      </c>
      <c r="M38" s="33">
        <v>5.093</v>
      </c>
      <c r="N38" s="33">
        <v>18.335000000000001</v>
      </c>
      <c r="O38" s="33">
        <v>1.8340000000000001</v>
      </c>
      <c r="P38" s="33">
        <v>8.6920000000000002</v>
      </c>
      <c r="Q38" s="33">
        <v>11.952</v>
      </c>
      <c r="R38" s="33">
        <v>6.1120000000000001</v>
      </c>
      <c r="S38" s="33">
        <v>11.663</v>
      </c>
      <c r="T38" s="33">
        <v>8.1489999999999991</v>
      </c>
      <c r="U38" s="33">
        <v>14.260999999999999</v>
      </c>
      <c r="V38" s="33">
        <v>7.181</v>
      </c>
      <c r="W38" s="33">
        <v>7.8090000000000002</v>
      </c>
      <c r="X38" s="33">
        <v>11.000999999999999</v>
      </c>
      <c r="Y38" s="33">
        <v>5.7039999999999997</v>
      </c>
      <c r="Z38" s="33">
        <v>4.0410000000000004</v>
      </c>
      <c r="AA38" s="33">
        <v>3.6669999999999998</v>
      </c>
      <c r="AB38" s="33">
        <v>19.353999999999999</v>
      </c>
      <c r="AC38" s="33">
        <v>22.308</v>
      </c>
      <c r="AD38" s="33">
        <v>7.8769999999999998</v>
      </c>
      <c r="AE38" s="33">
        <v>6.7910000000000004</v>
      </c>
      <c r="AF38" s="33">
        <v>19.149999999999999</v>
      </c>
      <c r="AG38" s="33">
        <v>6.7910000000000004</v>
      </c>
      <c r="AH38" s="33">
        <v>4.0750000000000002</v>
      </c>
      <c r="AI38" s="33">
        <v>4.55</v>
      </c>
      <c r="AJ38" s="33">
        <v>8.1489999999999991</v>
      </c>
      <c r="AK38" s="33">
        <v>2.903</v>
      </c>
      <c r="AL38" s="33">
        <v>12.555999999999999</v>
      </c>
      <c r="AM38" s="33">
        <v>16.128</v>
      </c>
      <c r="AN38" s="33">
        <v>6.7910000000000004</v>
      </c>
      <c r="AO38" s="33">
        <v>4.6859999999999999</v>
      </c>
      <c r="AP38" s="33">
        <v>18.437000000000001</v>
      </c>
      <c r="AQ38" s="33">
        <v>6.3490000000000002</v>
      </c>
      <c r="AR38" s="33">
        <v>5.9420000000000002</v>
      </c>
      <c r="AS38" s="33">
        <v>17.655999999999999</v>
      </c>
      <c r="AT38" s="33">
        <v>4.798</v>
      </c>
      <c r="AU38" s="33">
        <v>12.903</v>
      </c>
      <c r="AV38" s="33">
        <v>11.035</v>
      </c>
      <c r="AW38" s="33">
        <v>11.205</v>
      </c>
      <c r="AX38" s="33">
        <v>6.2140000000000004</v>
      </c>
      <c r="AY38" s="33">
        <v>11.239000000000001</v>
      </c>
      <c r="AZ38" s="33">
        <v>12.852</v>
      </c>
      <c r="BA38" s="33">
        <v>4.7539999999999996</v>
      </c>
      <c r="BB38" s="33">
        <v>15.619</v>
      </c>
      <c r="BC38" s="33">
        <v>6.7910000000000004</v>
      </c>
      <c r="BD38" s="33">
        <v>4.0750000000000002</v>
      </c>
      <c r="BE38" s="33">
        <v>3.9049999999999998</v>
      </c>
      <c r="BF38" s="33">
        <v>30.559000000000001</v>
      </c>
      <c r="BG38" s="33">
        <v>5.093</v>
      </c>
      <c r="BH38" s="33">
        <v>8.4890000000000008</v>
      </c>
      <c r="BI38" s="33">
        <v>7.13</v>
      </c>
      <c r="BJ38" s="33">
        <v>14.260999999999999</v>
      </c>
      <c r="BK38" s="33">
        <v>4.0750000000000002</v>
      </c>
      <c r="BL38" s="33">
        <v>14.430999999999999</v>
      </c>
      <c r="BM38" s="33">
        <v>2.8860000000000001</v>
      </c>
      <c r="BN38" s="33">
        <v>10.186</v>
      </c>
      <c r="BO38" s="33">
        <v>14.478</v>
      </c>
      <c r="BP38" s="33">
        <v>38.776000000000003</v>
      </c>
      <c r="BQ38" s="33">
        <v>12.224</v>
      </c>
      <c r="BR38" s="33">
        <v>18.335000000000001</v>
      </c>
      <c r="BS38" s="33">
        <v>5.9420000000000002</v>
      </c>
      <c r="BT38" s="33">
        <v>11.714</v>
      </c>
      <c r="BU38" s="33">
        <v>1.63</v>
      </c>
      <c r="BV38" s="33">
        <v>3.4969999999999999</v>
      </c>
      <c r="BW38" s="33">
        <v>4.6109999999999998</v>
      </c>
      <c r="BX38" s="33">
        <v>3.7519999999999998</v>
      </c>
      <c r="BY38" s="33">
        <v>8.4890000000000008</v>
      </c>
      <c r="BZ38" s="33">
        <v>13.853</v>
      </c>
      <c r="CA38" s="33">
        <v>20.202999999999999</v>
      </c>
      <c r="CB38" s="33">
        <v>11.544</v>
      </c>
      <c r="CC38" s="33">
        <v>9.6769999999999996</v>
      </c>
      <c r="CD38" s="33">
        <v>13.038</v>
      </c>
      <c r="CE38" s="33">
        <v>8.4890000000000008</v>
      </c>
      <c r="CF38" s="33">
        <v>5.4669999999999996</v>
      </c>
      <c r="CG38" s="33">
        <v>5.9420000000000002</v>
      </c>
      <c r="CH38" s="33">
        <v>9.49</v>
      </c>
      <c r="CI38" s="33">
        <v>4.431</v>
      </c>
      <c r="CJ38" s="33">
        <v>1.5109999999999999</v>
      </c>
      <c r="CK38" s="33">
        <v>8.4209999999999994</v>
      </c>
      <c r="CL38" s="33">
        <v>5.7380000000000004</v>
      </c>
      <c r="CM38" s="33">
        <v>5.093</v>
      </c>
      <c r="CN38" s="33">
        <v>20.109000000000002</v>
      </c>
      <c r="CO38" s="33">
        <v>7.9790000000000001</v>
      </c>
      <c r="CP38" s="33">
        <v>15.891</v>
      </c>
      <c r="CQ38" s="33">
        <v>10.865</v>
      </c>
      <c r="CR38" s="33">
        <v>8.8279999999999994</v>
      </c>
      <c r="CS38" s="33">
        <v>7.47</v>
      </c>
      <c r="CT38" s="33">
        <v>10.118</v>
      </c>
      <c r="CU38" s="33">
        <v>4.6859999999999999</v>
      </c>
      <c r="CV38" s="33">
        <v>8.59</v>
      </c>
      <c r="CW38" s="33">
        <v>9.5069999999999997</v>
      </c>
      <c r="CX38" s="33">
        <v>4.2439999999999998</v>
      </c>
      <c r="CY38" s="33">
        <v>11.595000000000001</v>
      </c>
      <c r="CZ38" s="33">
        <v>4.0750000000000002</v>
      </c>
      <c r="DA38" s="33">
        <v>10.186</v>
      </c>
      <c r="DB38" s="33">
        <v>6.383</v>
      </c>
      <c r="DC38" s="33">
        <v>4.7880000000000003</v>
      </c>
      <c r="DD38" s="33">
        <v>5.4669999999999996</v>
      </c>
      <c r="DE38" s="33">
        <v>4.2439999999999998</v>
      </c>
      <c r="DF38" s="33">
        <v>7.3339999999999996</v>
      </c>
      <c r="DG38" s="33">
        <v>12.207000000000001</v>
      </c>
      <c r="DH38" s="33">
        <v>25.466000000000001</v>
      </c>
      <c r="DI38" s="33">
        <v>12.224</v>
      </c>
      <c r="DJ38" s="33">
        <v>5.093</v>
      </c>
      <c r="DK38" s="33">
        <v>7.0289999999999999</v>
      </c>
      <c r="DL38" s="33">
        <v>12.58</v>
      </c>
      <c r="DM38" s="33">
        <v>6.1120000000000001</v>
      </c>
      <c r="DN38" s="33">
        <v>33.954000000000001</v>
      </c>
      <c r="DO38" s="33">
        <v>11.409000000000001</v>
      </c>
      <c r="DP38" s="33">
        <v>34.293999999999997</v>
      </c>
      <c r="DQ38" s="33">
        <v>0.79500000000000004</v>
      </c>
      <c r="DR38" s="33">
        <v>30.966000000000001</v>
      </c>
      <c r="DS38" s="33">
        <v>5.4669999999999996</v>
      </c>
      <c r="DT38" s="33">
        <v>10.220000000000001</v>
      </c>
      <c r="DU38" s="33">
        <v>5.093</v>
      </c>
      <c r="DV38" s="33">
        <v>4.0339999999999998</v>
      </c>
      <c r="DW38" s="33">
        <v>4.7539999999999996</v>
      </c>
      <c r="DX38" s="33">
        <v>13.208</v>
      </c>
      <c r="DY38" s="33">
        <v>8.8279999999999994</v>
      </c>
      <c r="DZ38" s="33">
        <v>3.9729999999999999</v>
      </c>
      <c r="EA38" s="33">
        <v>13.582000000000001</v>
      </c>
      <c r="EB38" s="33">
        <v>12.224</v>
      </c>
      <c r="EC38" s="33">
        <v>7.8090000000000002</v>
      </c>
      <c r="ED38" s="33">
        <v>9.7789999999999999</v>
      </c>
      <c r="EE38" s="33">
        <v>16.57</v>
      </c>
      <c r="EF38" s="33">
        <v>5.093</v>
      </c>
      <c r="EG38" s="33">
        <v>3.1240000000000001</v>
      </c>
      <c r="EH38" s="33">
        <v>14.057</v>
      </c>
      <c r="EI38" s="33">
        <v>5.0250000000000004</v>
      </c>
      <c r="EJ38" s="33">
        <v>3.1240000000000001</v>
      </c>
      <c r="EK38" s="33">
        <v>5.093</v>
      </c>
      <c r="EL38" s="33">
        <v>8.1489999999999991</v>
      </c>
      <c r="EM38" s="33">
        <v>10.933</v>
      </c>
      <c r="EN38" s="33">
        <v>6.2480000000000002</v>
      </c>
      <c r="EO38" s="33">
        <v>6.7910000000000004</v>
      </c>
      <c r="EP38" s="33">
        <v>4.7880000000000003</v>
      </c>
      <c r="EQ38" s="33">
        <v>11.714</v>
      </c>
      <c r="ER38" s="33">
        <v>3.5649999999999999</v>
      </c>
      <c r="ES38" s="33">
        <v>3.9049999999999998</v>
      </c>
      <c r="ET38" s="33">
        <v>7.843</v>
      </c>
      <c r="EU38" s="33">
        <v>28.847999999999999</v>
      </c>
      <c r="EV38" s="33">
        <v>5.8570000000000002</v>
      </c>
      <c r="EW38" s="33">
        <v>27.163</v>
      </c>
      <c r="EX38" s="33">
        <v>30.507999999999999</v>
      </c>
      <c r="EY38" s="33">
        <v>1.8340000000000001</v>
      </c>
      <c r="EZ38" s="33">
        <v>2.4649999999999999</v>
      </c>
      <c r="FA38" s="33">
        <v>2.0169999999999999</v>
      </c>
      <c r="FB38" s="33">
        <v>6.7910000000000004</v>
      </c>
      <c r="FC38" s="33">
        <v>9.6769999999999996</v>
      </c>
      <c r="FD38" s="33">
        <v>6.7910000000000004</v>
      </c>
      <c r="FE38" s="33">
        <v>9.3710000000000004</v>
      </c>
      <c r="FF38" s="33">
        <v>6.1120000000000001</v>
      </c>
      <c r="FG38" s="33">
        <v>5.093</v>
      </c>
      <c r="FH38" s="33">
        <v>4.2439999999999998</v>
      </c>
      <c r="FI38" s="33">
        <v>16.297999999999998</v>
      </c>
      <c r="FJ38" s="33">
        <v>10.397</v>
      </c>
      <c r="FK38" s="33">
        <v>15.058999999999999</v>
      </c>
      <c r="FL38" s="33">
        <v>5.0250000000000004</v>
      </c>
      <c r="FM38" s="33">
        <v>13.887</v>
      </c>
      <c r="FN38" s="33">
        <v>6.9610000000000003</v>
      </c>
      <c r="FO38" s="33">
        <v>24.99</v>
      </c>
      <c r="FP38" s="33">
        <v>35.652000000000001</v>
      </c>
      <c r="FQ38" s="33">
        <v>6.5190000000000001</v>
      </c>
      <c r="FR38" s="33">
        <v>3.9049999999999998</v>
      </c>
      <c r="FS38" s="33">
        <v>4.6859999999999999</v>
      </c>
      <c r="FT38" s="33">
        <v>5.8570000000000002</v>
      </c>
      <c r="FU38" s="33">
        <v>23.768000000000001</v>
      </c>
      <c r="FV38" s="33">
        <v>4.516</v>
      </c>
      <c r="FW38" s="33">
        <v>5.1539999999999999</v>
      </c>
      <c r="FX38" s="33">
        <v>5.093</v>
      </c>
      <c r="FY38" s="33">
        <v>4.6859999999999999</v>
      </c>
      <c r="FZ38" s="33">
        <v>4.6859999999999999</v>
      </c>
      <c r="GA38" s="33">
        <v>5.093</v>
      </c>
      <c r="GB38" s="33">
        <v>4.2439999999999998</v>
      </c>
      <c r="GC38" s="33">
        <v>2.2410000000000001</v>
      </c>
      <c r="GD38" s="33">
        <v>4.2779999999999996</v>
      </c>
      <c r="GE38" s="33">
        <v>4.6859999999999999</v>
      </c>
      <c r="GF38" s="33">
        <v>35.652000000000001</v>
      </c>
      <c r="GG38" s="33">
        <v>21.731000000000002</v>
      </c>
      <c r="GH38" s="33">
        <v>2.0369999999999999</v>
      </c>
      <c r="GI38" s="33">
        <v>3.056</v>
      </c>
      <c r="GJ38" s="33">
        <v>4.0410000000000004</v>
      </c>
      <c r="GK38" s="33">
        <v>9.1679999999999993</v>
      </c>
      <c r="GL38" s="33">
        <v>6.7910000000000004</v>
      </c>
      <c r="GM38" s="33">
        <v>4.968</v>
      </c>
      <c r="GN38" s="33">
        <v>29.808</v>
      </c>
      <c r="GO38" s="33">
        <v>10.433</v>
      </c>
      <c r="GP38" s="33">
        <v>42.228000000000002</v>
      </c>
      <c r="GQ38" s="33">
        <v>6.9550000000000001</v>
      </c>
      <c r="GR38" s="33">
        <v>59.119</v>
      </c>
      <c r="GS38" s="33">
        <v>15.699</v>
      </c>
      <c r="GT38" s="33">
        <v>47.195999999999998</v>
      </c>
      <c r="GU38" s="33">
        <v>12.519</v>
      </c>
      <c r="GV38" s="33">
        <v>8.4060000000000006</v>
      </c>
      <c r="GW38" s="33">
        <v>10.15</v>
      </c>
      <c r="GX38" s="33">
        <v>43.222000000000001</v>
      </c>
      <c r="GY38" s="33">
        <v>1.9870000000000001</v>
      </c>
      <c r="GZ38" s="33">
        <v>5.9619999999999997</v>
      </c>
      <c r="HA38" s="33">
        <v>14.81</v>
      </c>
      <c r="HB38" s="33">
        <v>47.195999999999998</v>
      </c>
      <c r="HC38" s="33">
        <v>47.195999999999998</v>
      </c>
      <c r="HD38" s="33">
        <v>24.84</v>
      </c>
      <c r="HE38" s="3">
        <f>_xlfn.XLOOKUP(HE$1,generator!$B$2:$B$295,generator!$L$2:$L$295,"ARGH")</f>
        <v>17.600000000000001</v>
      </c>
      <c r="HF38" s="3">
        <f>_xlfn.XLOOKUP(HF$1,generator!$B$2:$B$295,generator!$L$2:$L$295,"ARGH")</f>
        <v>285</v>
      </c>
      <c r="HG38" s="3">
        <f>_xlfn.XLOOKUP(HG$1,generator!$B$2:$B$295,generator!$L$2:$L$295,"ARGH")</f>
        <v>285</v>
      </c>
      <c r="HH38" s="3">
        <f>_xlfn.XLOOKUP(HH$1,generator!$B$2:$B$295,generator!$L$2:$L$295,"ARGH")</f>
        <v>285</v>
      </c>
      <c r="HI38" s="3">
        <f>_xlfn.XLOOKUP(HI$1,generator!$B$2:$B$295,generator!$L$2:$L$295,"ARGH")</f>
        <v>58</v>
      </c>
      <c r="HJ38" s="3">
        <f>_xlfn.XLOOKUP(HJ$1,generator!$B$2:$B$295,generator!$L$2:$L$295,"ARGH")</f>
        <v>58</v>
      </c>
      <c r="HK38" s="3">
        <f>_xlfn.XLOOKUP(HK$1,generator!$B$2:$B$295,generator!$L$2:$L$295,"ARGH")</f>
        <v>53</v>
      </c>
      <c r="HL38" s="3">
        <f>_xlfn.XLOOKUP(HL$1,generator!$B$2:$B$295,generator!$L$2:$L$295,"ARGH")</f>
        <v>58</v>
      </c>
      <c r="HM38" s="3">
        <f>_xlfn.XLOOKUP(HM$1,generator!$B$2:$B$295,generator!$L$2:$L$295,"ARGH")</f>
        <v>58</v>
      </c>
      <c r="HN38" s="3">
        <f>_xlfn.XLOOKUP(HN$1,generator!$B$2:$B$295,generator!$L$2:$L$295,"ARGH")</f>
        <v>52</v>
      </c>
      <c r="HO38" s="3">
        <f>_xlfn.XLOOKUP(HO$1,generator!$B$2:$B$295,generator!$L$2:$L$295,"ARGH")</f>
        <v>52</v>
      </c>
      <c r="HP38" s="3">
        <f>_xlfn.XLOOKUP(HP$1,generator!$B$2:$B$295,generator!$L$2:$L$295,"ARGH")</f>
        <v>2</v>
      </c>
      <c r="HQ38" s="3">
        <f>_xlfn.XLOOKUP(HQ$1,generator!$B$2:$B$295,generator!$L$2:$L$295,"ARGH")</f>
        <v>29.2</v>
      </c>
      <c r="HR38" s="3">
        <f>_xlfn.XLOOKUP(HR$1,generator!$B$2:$B$295,generator!$L$2:$L$295,"ARGH")</f>
        <v>29.2</v>
      </c>
      <c r="HS38" s="3">
        <f>_xlfn.XLOOKUP(HS$1,generator!$B$2:$B$295,generator!$L$2:$L$295,"ARGH")</f>
        <v>41.61</v>
      </c>
      <c r="HT38" s="3">
        <f>_xlfn.XLOOKUP(HT$1,generator!$B$2:$B$295,generator!$L$2:$L$295,"ARGH")</f>
        <v>41.61</v>
      </c>
      <c r="HU38" s="3">
        <f>_xlfn.XLOOKUP(HU$1,generator!$B$2:$B$295,generator!$L$2:$L$295,"ARGH")</f>
        <v>160</v>
      </c>
      <c r="HV38" s="3">
        <f>_xlfn.XLOOKUP(HV$1,generator!$B$2:$B$295,generator!$L$2:$L$295,"ARGH")</f>
        <v>260</v>
      </c>
      <c r="HW38" s="3">
        <f>_xlfn.XLOOKUP(HW$1,generator!$B$2:$B$295,generator!$L$2:$L$295,"ARGH")</f>
        <v>52</v>
      </c>
      <c r="HX38" s="3">
        <f>_xlfn.XLOOKUP(HX$1,generator!$B$2:$B$295,generator!$L$2:$L$295,"ARGH")</f>
        <v>52</v>
      </c>
      <c r="HY38" s="3">
        <f>_xlfn.XLOOKUP(HY$1,generator!$B$2:$B$295,generator!$L$2:$L$295,"ARGH")</f>
        <v>101</v>
      </c>
      <c r="HZ38" s="3">
        <f>_xlfn.XLOOKUP(HZ$1,generator!$B$2:$B$295,generator!$L$2:$L$295,"ARGH")</f>
        <v>50</v>
      </c>
      <c r="IA38" s="3">
        <f>_xlfn.XLOOKUP(IA$1,generator!$B$2:$B$295,generator!$L$2:$L$295,"ARGH")</f>
        <v>400</v>
      </c>
      <c r="IB38" s="3">
        <f>_xlfn.XLOOKUP(IB$1,generator!$B$2:$B$295,generator!$L$2:$L$295,"ARGH")</f>
        <v>342</v>
      </c>
      <c r="IC38" s="3">
        <f>_xlfn.XLOOKUP(IC$1,generator!$B$2:$B$295,generator!$L$2:$L$295,"ARGH")</f>
        <v>3.0209999999999999</v>
      </c>
      <c r="ID38" s="3">
        <f>_xlfn.XLOOKUP(ID$1,generator!$B$2:$B$295,generator!$L$2:$L$295,"ARGH")</f>
        <v>200</v>
      </c>
      <c r="IE38" s="3">
        <f>_xlfn.XLOOKUP(IE$1,generator!$B$2:$B$295,generator!$L$2:$L$295,"ARGH")</f>
        <v>404</v>
      </c>
      <c r="IF38" s="3">
        <f>_xlfn.XLOOKUP(IF$1,generator!$B$2:$B$295,generator!$L$2:$L$295,"ARGH")</f>
        <v>21</v>
      </c>
      <c r="IG38" s="3">
        <f>_xlfn.XLOOKUP(IG$1,generator!$B$2:$B$295,generator!$L$2:$L$295,"ARGH")</f>
        <v>22</v>
      </c>
      <c r="IH38" s="3">
        <f>_xlfn.XLOOKUP(IH$1,generator!$B$2:$B$295,generator!$L$2:$L$295,"ARGH")</f>
        <v>19</v>
      </c>
      <c r="II38" s="3">
        <f>_xlfn.XLOOKUP(II$1,generator!$B$2:$B$295,generator!$L$2:$L$295,"ARGH")</f>
        <v>24</v>
      </c>
      <c r="IJ38" s="3">
        <f>_xlfn.XLOOKUP(IJ$1,generator!$B$2:$B$295,generator!$L$2:$L$295,"ARGH")</f>
        <v>4.3</v>
      </c>
      <c r="IK38" s="3">
        <f>_xlfn.XLOOKUP(IK$1,generator!$B$2:$B$295,generator!$L$2:$L$295,"ARGH")</f>
        <v>8</v>
      </c>
      <c r="IL38" s="3">
        <f>_xlfn.XLOOKUP(IL$1,generator!$B$2:$B$295,generator!$L$2:$L$295,"ARGH")</f>
        <v>22.5</v>
      </c>
      <c r="IM38" s="3">
        <f>_xlfn.XLOOKUP(IM$1,generator!$B$2:$B$295,generator!$L$2:$L$295,"ARGH")</f>
        <v>22.5</v>
      </c>
      <c r="IN38" s="3">
        <f>_xlfn.XLOOKUP(IN$1,generator!$B$2:$B$295,generator!$L$2:$L$295,"ARGH")</f>
        <v>10</v>
      </c>
      <c r="IO38" s="3">
        <f>_xlfn.XLOOKUP(IO$1,generator!$B$2:$B$295,generator!$L$2:$L$295,"ARGH")</f>
        <v>10</v>
      </c>
      <c r="IP38" s="3">
        <f>_xlfn.XLOOKUP(IP$1,generator!$B$2:$B$295,generator!$L$2:$L$295,"ARGH")</f>
        <v>15</v>
      </c>
      <c r="IQ38" s="3">
        <f>_xlfn.XLOOKUP(IQ$1,generator!$B$2:$B$295,generator!$L$2:$L$295,"ARGH")</f>
        <v>4</v>
      </c>
      <c r="IR38" s="3">
        <f>_xlfn.XLOOKUP(IR$1,generator!$B$2:$B$295,generator!$L$2:$L$295,"ARGH")</f>
        <v>15</v>
      </c>
      <c r="IS38" s="3">
        <f>_xlfn.XLOOKUP(IS$1,generator!$B$2:$B$295,generator!$L$2:$L$295,"ARGH")</f>
        <v>15</v>
      </c>
      <c r="IT38" s="3">
        <f>_xlfn.XLOOKUP(IT$1,generator!$B$2:$B$295,generator!$L$2:$L$295,"ARGH")</f>
        <v>0.18</v>
      </c>
      <c r="IU38" s="3">
        <f>_xlfn.XLOOKUP(IU$1,generator!$B$2:$B$295,generator!$L$2:$L$295,"ARGH")</f>
        <v>4</v>
      </c>
      <c r="IV38" s="3">
        <f>_xlfn.XLOOKUP(IV$1,generator!$B$2:$B$295,generator!$L$2:$L$295,"ARGH")</f>
        <v>4</v>
      </c>
      <c r="IW38" s="3">
        <f>_xlfn.XLOOKUP(IW$1,generator!$B$2:$B$295,generator!$L$2:$L$295,"ARGH")</f>
        <v>90</v>
      </c>
      <c r="IX38" s="3">
        <f>_xlfn.XLOOKUP(IX$1,generator!$B$2:$B$295,generator!$L$2:$L$295,"ARGH")</f>
        <v>90</v>
      </c>
      <c r="IY38" s="3">
        <f>_xlfn.XLOOKUP(IY$1,generator!$B$2:$B$295,generator!$L$2:$L$295,"ARGH")</f>
        <v>90</v>
      </c>
      <c r="IZ38" s="3">
        <f>_xlfn.XLOOKUP(IZ$1,generator!$B$2:$B$295,generator!$L$2:$L$295,"ARGH")</f>
        <v>449</v>
      </c>
      <c r="JA38" s="3">
        <f>_xlfn.XLOOKUP(JA$1,generator!$B$2:$B$295,generator!$L$2:$L$295,"ARGH")</f>
        <v>83</v>
      </c>
      <c r="JB38" s="3">
        <f>_xlfn.XLOOKUP(JB$1,generator!$B$2:$B$295,generator!$L$2:$L$295,"ARGH")</f>
        <v>83</v>
      </c>
      <c r="JC38" s="3">
        <f>_xlfn.XLOOKUP(JC$1,generator!$B$2:$B$295,generator!$L$2:$L$295,"ARGH")</f>
        <v>247</v>
      </c>
      <c r="JD38" s="3">
        <f>_xlfn.XLOOKUP(JD$1,generator!$B$2:$B$295,generator!$L$2:$L$295,"ARGH")</f>
        <v>247</v>
      </c>
      <c r="JE38" s="3">
        <f>_xlfn.XLOOKUP(JE$1,generator!$B$2:$B$295,generator!$L$2:$L$295,"ARGH")</f>
        <v>425</v>
      </c>
      <c r="JF38" s="3">
        <f>_xlfn.XLOOKUP(JF$1,generator!$B$2:$B$295,generator!$L$2:$L$295,"ARGH")</f>
        <v>63.5</v>
      </c>
      <c r="JG38" s="3">
        <f>_xlfn.XLOOKUP(JG$1,generator!$B$2:$B$295,generator!$L$2:$L$295,"ARGH")</f>
        <v>17</v>
      </c>
      <c r="JH38" s="3">
        <f>_xlfn.XLOOKUP(JH$1,generator!$B$2:$B$295,generator!$L$2:$L$295,"ARGH")</f>
        <v>444</v>
      </c>
      <c r="JI38" s="3">
        <f>_xlfn.XLOOKUP(JI$1,generator!$B$2:$B$295,generator!$L$2:$L$295,"ARGH")</f>
        <v>464</v>
      </c>
      <c r="JJ38" s="3">
        <f>_xlfn.XLOOKUP(JJ$1,generator!$B$2:$B$295,generator!$L$2:$L$295,"ARGH")</f>
        <v>18.54</v>
      </c>
      <c r="JK38" s="3">
        <f>_xlfn.XLOOKUP(JK$1,generator!$B$2:$B$295,generator!$L$2:$L$295,"ARGH")</f>
        <v>18.54</v>
      </c>
      <c r="JL38" s="3">
        <f>_xlfn.XLOOKUP(JL$1,generator!$B$2:$B$295,generator!$L$2:$L$295,"ARGH")</f>
        <v>18.54</v>
      </c>
      <c r="JM38" s="3">
        <f>_xlfn.XLOOKUP(JM$1,generator!$B$2:$B$295,generator!$L$2:$L$295,"ARGH")</f>
        <v>18.54</v>
      </c>
      <c r="JN38" s="3">
        <f>_xlfn.XLOOKUP(JN$1,generator!$B$2:$B$295,generator!$L$2:$L$295,"ARGH")</f>
        <v>18.54</v>
      </c>
      <c r="JO38" s="3">
        <f>_xlfn.XLOOKUP(JO$1,generator!$B$2:$B$295,generator!$L$2:$L$295,"ARGH")</f>
        <v>18.54</v>
      </c>
      <c r="JP38" s="3">
        <f>_xlfn.XLOOKUP(JP$1,generator!$B$2:$B$295,generator!$L$2:$L$295,"ARGH")</f>
        <v>415</v>
      </c>
      <c r="JQ38" s="3">
        <f>_xlfn.XLOOKUP(JQ$1,generator!$B$2:$B$295,generator!$L$2:$L$295,"ARGH")</f>
        <v>63.5</v>
      </c>
      <c r="JR38" s="3">
        <f>_xlfn.XLOOKUP(JR$1,generator!$B$2:$B$295,generator!$L$2:$L$295,"ARGH")</f>
        <v>350</v>
      </c>
      <c r="JS38" s="3">
        <f>_xlfn.XLOOKUP(JS$1,generator!$B$2:$B$295,generator!$L$2:$L$295,"ARGH")</f>
        <v>350</v>
      </c>
      <c r="JT38" s="3">
        <f>_xlfn.XLOOKUP(JT$1,generator!$B$2:$B$295,generator!$L$2:$L$295,"ARGH")</f>
        <v>63.5</v>
      </c>
      <c r="JU38" s="3">
        <f>_xlfn.XLOOKUP(JU$1,generator!$B$2:$B$295,generator!$L$2:$L$295,"ARGH")</f>
        <v>61.5</v>
      </c>
      <c r="JV38" s="3">
        <f>_xlfn.XLOOKUP(JV$1,generator!$B$2:$B$295,generator!$L$2:$L$295,"ARGH")</f>
        <v>240</v>
      </c>
      <c r="JW38" s="3">
        <f>_xlfn.XLOOKUP(JW$1,generator!$B$2:$B$295,generator!$L$2:$L$295,"ARGH")</f>
        <v>236</v>
      </c>
      <c r="JX38" s="3">
        <f>_xlfn.XLOOKUP(JX$1,generator!$B$2:$B$295,generator!$L$2:$L$295,"ARGH")</f>
        <v>20</v>
      </c>
      <c r="JY38" s="3">
        <f>_xlfn.XLOOKUP(JY$1,generator!$B$2:$B$295,generator!$L$2:$L$295,"ARGH")</f>
        <v>118</v>
      </c>
      <c r="JZ38" s="3">
        <f>_xlfn.XLOOKUP(JZ$1,generator!$B$2:$B$295,generator!$L$2:$L$295,"ARGH")</f>
        <v>73</v>
      </c>
      <c r="KA38" s="3">
        <f>_xlfn.XLOOKUP(KA$1,generator!$B$2:$B$295,generator!$L$2:$L$295,"ARGH")</f>
        <v>73</v>
      </c>
      <c r="KB38" s="3">
        <f>_xlfn.XLOOKUP(KB$1,generator!$B$2:$B$295,generator!$L$2:$L$295,"ARGH")</f>
        <v>73</v>
      </c>
      <c r="KC38" s="3">
        <f>_xlfn.XLOOKUP(KC$1,generator!$B$2:$B$295,generator!$L$2:$L$295,"ARGH")</f>
        <v>73</v>
      </c>
    </row>
    <row r="39" spans="1:289" x14ac:dyDescent="0.3">
      <c r="A39" s="4" t="s">
        <v>3034</v>
      </c>
      <c r="B39" s="31">
        <v>529.5</v>
      </c>
      <c r="C39" s="31">
        <v>513</v>
      </c>
      <c r="D39" s="31">
        <v>442</v>
      </c>
      <c r="E39" s="33">
        <v>8.968</v>
      </c>
      <c r="F39" s="33">
        <v>19.265000000000001</v>
      </c>
      <c r="G39" s="33">
        <v>8.968</v>
      </c>
      <c r="H39" s="33">
        <v>14.946999999999999</v>
      </c>
      <c r="I39" s="33">
        <v>29.562000000000001</v>
      </c>
      <c r="J39" s="33">
        <v>27.568999999999999</v>
      </c>
      <c r="K39" s="33">
        <v>7.4740000000000002</v>
      </c>
      <c r="L39" s="33">
        <v>5.7130000000000001</v>
      </c>
      <c r="M39" s="33">
        <v>4.9820000000000002</v>
      </c>
      <c r="N39" s="33">
        <v>17.937000000000001</v>
      </c>
      <c r="O39" s="33">
        <v>1.794</v>
      </c>
      <c r="P39" s="33">
        <v>8.5030000000000001</v>
      </c>
      <c r="Q39" s="33">
        <v>11.692</v>
      </c>
      <c r="R39" s="33">
        <v>5.9790000000000001</v>
      </c>
      <c r="S39" s="33">
        <v>11.41</v>
      </c>
      <c r="T39" s="33">
        <v>7.9720000000000004</v>
      </c>
      <c r="U39" s="33">
        <v>13.951000000000001</v>
      </c>
      <c r="V39" s="33">
        <v>7.0250000000000004</v>
      </c>
      <c r="W39" s="33">
        <v>7.64</v>
      </c>
      <c r="X39" s="33">
        <v>10.762</v>
      </c>
      <c r="Y39" s="33">
        <v>5.58</v>
      </c>
      <c r="Z39" s="33">
        <v>3.9529999999999998</v>
      </c>
      <c r="AA39" s="33">
        <v>3.5870000000000002</v>
      </c>
      <c r="AB39" s="33">
        <v>18.933</v>
      </c>
      <c r="AC39" s="33">
        <v>21.823</v>
      </c>
      <c r="AD39" s="33">
        <v>7.7060000000000004</v>
      </c>
      <c r="AE39" s="33">
        <v>6.6429999999999998</v>
      </c>
      <c r="AF39" s="33">
        <v>18.734000000000002</v>
      </c>
      <c r="AG39" s="33">
        <v>6.6429999999999998</v>
      </c>
      <c r="AH39" s="33">
        <v>3.9860000000000002</v>
      </c>
      <c r="AI39" s="33">
        <v>4.4509999999999996</v>
      </c>
      <c r="AJ39" s="33">
        <v>7.9720000000000004</v>
      </c>
      <c r="AK39" s="33">
        <v>2.84</v>
      </c>
      <c r="AL39" s="33">
        <v>12.282999999999999</v>
      </c>
      <c r="AM39" s="33">
        <v>15.778</v>
      </c>
      <c r="AN39" s="33">
        <v>6.6429999999999998</v>
      </c>
      <c r="AO39" s="33">
        <v>4.5839999999999996</v>
      </c>
      <c r="AP39" s="33">
        <v>18.036000000000001</v>
      </c>
      <c r="AQ39" s="33">
        <v>6.2110000000000003</v>
      </c>
      <c r="AR39" s="33">
        <v>5.8129999999999997</v>
      </c>
      <c r="AS39" s="33">
        <v>17.271999999999998</v>
      </c>
      <c r="AT39" s="33">
        <v>4.694</v>
      </c>
      <c r="AU39" s="33">
        <v>12.622</v>
      </c>
      <c r="AV39" s="33">
        <v>10.795</v>
      </c>
      <c r="AW39" s="33">
        <v>10.961</v>
      </c>
      <c r="AX39" s="33">
        <v>6.0780000000000003</v>
      </c>
      <c r="AY39" s="33">
        <v>10.994</v>
      </c>
      <c r="AZ39" s="33">
        <v>12.571999999999999</v>
      </c>
      <c r="BA39" s="33">
        <v>4.6500000000000004</v>
      </c>
      <c r="BB39" s="33">
        <v>15.279</v>
      </c>
      <c r="BC39" s="33">
        <v>6.6429999999999998</v>
      </c>
      <c r="BD39" s="33">
        <v>3.9860000000000002</v>
      </c>
      <c r="BE39" s="33">
        <v>3.82</v>
      </c>
      <c r="BF39" s="33">
        <v>29.893999999999998</v>
      </c>
      <c r="BG39" s="33">
        <v>4.9820000000000002</v>
      </c>
      <c r="BH39" s="33">
        <v>8.3040000000000003</v>
      </c>
      <c r="BI39" s="33">
        <v>6.9749999999999996</v>
      </c>
      <c r="BJ39" s="33">
        <v>13.951000000000001</v>
      </c>
      <c r="BK39" s="33">
        <v>3.9860000000000002</v>
      </c>
      <c r="BL39" s="33">
        <v>14.117000000000001</v>
      </c>
      <c r="BM39" s="33">
        <v>2.823</v>
      </c>
      <c r="BN39" s="33">
        <v>9.9649999999999999</v>
      </c>
      <c r="BO39" s="33">
        <v>14.163</v>
      </c>
      <c r="BP39" s="33">
        <v>37.932000000000002</v>
      </c>
      <c r="BQ39" s="33">
        <v>11.958</v>
      </c>
      <c r="BR39" s="33">
        <v>17.937000000000001</v>
      </c>
      <c r="BS39" s="33">
        <v>5.8129999999999997</v>
      </c>
      <c r="BT39" s="33">
        <v>11.459</v>
      </c>
      <c r="BU39" s="33">
        <v>1.5940000000000001</v>
      </c>
      <c r="BV39" s="33">
        <v>3.4209999999999998</v>
      </c>
      <c r="BW39" s="33">
        <v>4.5110000000000001</v>
      </c>
      <c r="BX39" s="33">
        <v>3.67</v>
      </c>
      <c r="BY39" s="33">
        <v>8.3040000000000003</v>
      </c>
      <c r="BZ39" s="33">
        <v>13.552</v>
      </c>
      <c r="CA39" s="33">
        <v>19.763000000000002</v>
      </c>
      <c r="CB39" s="33">
        <v>11.292999999999999</v>
      </c>
      <c r="CC39" s="33">
        <v>9.4670000000000005</v>
      </c>
      <c r="CD39" s="33">
        <v>12.755000000000001</v>
      </c>
      <c r="CE39" s="33">
        <v>8.3040000000000003</v>
      </c>
      <c r="CF39" s="33">
        <v>5.3479999999999999</v>
      </c>
      <c r="CG39" s="33">
        <v>5.8129999999999997</v>
      </c>
      <c r="CH39" s="33">
        <v>9.2840000000000007</v>
      </c>
      <c r="CI39" s="33">
        <v>4.335</v>
      </c>
      <c r="CJ39" s="33">
        <v>1.478</v>
      </c>
      <c r="CK39" s="33">
        <v>8.2379999999999995</v>
      </c>
      <c r="CL39" s="33">
        <v>5.6130000000000004</v>
      </c>
      <c r="CM39" s="33">
        <v>4.9820000000000002</v>
      </c>
      <c r="CN39" s="33">
        <v>19.672000000000001</v>
      </c>
      <c r="CO39" s="33">
        <v>7.806</v>
      </c>
      <c r="CP39" s="33">
        <v>15.545</v>
      </c>
      <c r="CQ39" s="33">
        <v>10.629</v>
      </c>
      <c r="CR39" s="33">
        <v>8.6359999999999992</v>
      </c>
      <c r="CS39" s="33">
        <v>7.3070000000000004</v>
      </c>
      <c r="CT39" s="33">
        <v>9.8979999999999997</v>
      </c>
      <c r="CU39" s="33">
        <v>4.5839999999999996</v>
      </c>
      <c r="CV39" s="33">
        <v>8.4039999999999999</v>
      </c>
      <c r="CW39" s="33">
        <v>9.3000000000000007</v>
      </c>
      <c r="CX39" s="33">
        <v>4.1520000000000001</v>
      </c>
      <c r="CY39" s="33">
        <v>11.343</v>
      </c>
      <c r="CZ39" s="33">
        <v>3.9860000000000002</v>
      </c>
      <c r="DA39" s="33">
        <v>9.9649999999999999</v>
      </c>
      <c r="DB39" s="33">
        <v>6.2450000000000001</v>
      </c>
      <c r="DC39" s="33">
        <v>4.6829999999999998</v>
      </c>
      <c r="DD39" s="33">
        <v>5.3479999999999999</v>
      </c>
      <c r="DE39" s="33">
        <v>4.1520000000000001</v>
      </c>
      <c r="DF39" s="33">
        <v>7.1749999999999998</v>
      </c>
      <c r="DG39" s="33">
        <v>11.941000000000001</v>
      </c>
      <c r="DH39" s="33">
        <v>24.911999999999999</v>
      </c>
      <c r="DI39" s="33">
        <v>11.958</v>
      </c>
      <c r="DJ39" s="33">
        <v>4.9820000000000002</v>
      </c>
      <c r="DK39" s="33">
        <v>6.8760000000000003</v>
      </c>
      <c r="DL39" s="33">
        <v>12.305999999999999</v>
      </c>
      <c r="DM39" s="33">
        <v>5.9790000000000001</v>
      </c>
      <c r="DN39" s="33">
        <v>33.216000000000001</v>
      </c>
      <c r="DO39" s="33">
        <v>11.161</v>
      </c>
      <c r="DP39" s="33">
        <v>33.548000000000002</v>
      </c>
      <c r="DQ39" s="33">
        <v>0.77700000000000002</v>
      </c>
      <c r="DR39" s="33">
        <v>30.292999999999999</v>
      </c>
      <c r="DS39" s="33">
        <v>5.3479999999999999</v>
      </c>
      <c r="DT39" s="33">
        <v>9.9979999999999993</v>
      </c>
      <c r="DU39" s="33">
        <v>4.9820000000000002</v>
      </c>
      <c r="DV39" s="33">
        <v>3.9460000000000002</v>
      </c>
      <c r="DW39" s="33">
        <v>4.6500000000000004</v>
      </c>
      <c r="DX39" s="33">
        <v>12.920999999999999</v>
      </c>
      <c r="DY39" s="33">
        <v>8.6359999999999992</v>
      </c>
      <c r="DZ39" s="33">
        <v>3.8860000000000001</v>
      </c>
      <c r="EA39" s="33">
        <v>13.286</v>
      </c>
      <c r="EB39" s="33">
        <v>11.958</v>
      </c>
      <c r="EC39" s="33">
        <v>7.64</v>
      </c>
      <c r="ED39" s="33">
        <v>9.5660000000000007</v>
      </c>
      <c r="EE39" s="33">
        <v>16.209</v>
      </c>
      <c r="EF39" s="33">
        <v>4.9820000000000002</v>
      </c>
      <c r="EG39" s="33">
        <v>3.056</v>
      </c>
      <c r="EH39" s="33">
        <v>13.750999999999999</v>
      </c>
      <c r="EI39" s="33">
        <v>4.9160000000000004</v>
      </c>
      <c r="EJ39" s="33">
        <v>3.056</v>
      </c>
      <c r="EK39" s="33">
        <v>4.9820000000000002</v>
      </c>
      <c r="EL39" s="33">
        <v>7.9720000000000004</v>
      </c>
      <c r="EM39" s="33">
        <v>10.696</v>
      </c>
      <c r="EN39" s="33">
        <v>6.1120000000000001</v>
      </c>
      <c r="EO39" s="33">
        <v>6.6429999999999998</v>
      </c>
      <c r="EP39" s="33">
        <v>4.6829999999999998</v>
      </c>
      <c r="EQ39" s="33">
        <v>11.459</v>
      </c>
      <c r="ER39" s="33">
        <v>3.488</v>
      </c>
      <c r="ES39" s="33">
        <v>3.82</v>
      </c>
      <c r="ET39" s="33">
        <v>7.673</v>
      </c>
      <c r="EU39" s="33">
        <v>28.22</v>
      </c>
      <c r="EV39" s="33">
        <v>5.73</v>
      </c>
      <c r="EW39" s="33">
        <v>26.573</v>
      </c>
      <c r="EX39" s="33">
        <v>29.844000000000001</v>
      </c>
      <c r="EY39" s="33">
        <v>1.794</v>
      </c>
      <c r="EZ39" s="33">
        <v>2.411</v>
      </c>
      <c r="FA39" s="33">
        <v>1.9730000000000001</v>
      </c>
      <c r="FB39" s="33">
        <v>6.6429999999999998</v>
      </c>
      <c r="FC39" s="33">
        <v>9.4670000000000005</v>
      </c>
      <c r="FD39" s="33">
        <v>6.6429999999999998</v>
      </c>
      <c r="FE39" s="33">
        <v>9.1679999999999993</v>
      </c>
      <c r="FF39" s="33">
        <v>5.9790000000000001</v>
      </c>
      <c r="FG39" s="33">
        <v>4.9820000000000002</v>
      </c>
      <c r="FH39" s="33">
        <v>4.1520000000000001</v>
      </c>
      <c r="FI39" s="33">
        <v>15.944000000000001</v>
      </c>
      <c r="FJ39" s="33">
        <v>10.170999999999999</v>
      </c>
      <c r="FK39" s="33">
        <v>14.731</v>
      </c>
      <c r="FL39" s="33">
        <v>4.9160000000000004</v>
      </c>
      <c r="FM39" s="33">
        <v>13.585000000000001</v>
      </c>
      <c r="FN39" s="33">
        <v>6.8090000000000002</v>
      </c>
      <c r="FO39" s="33">
        <v>24.446999999999999</v>
      </c>
      <c r="FP39" s="33">
        <v>34.877000000000002</v>
      </c>
      <c r="FQ39" s="33">
        <v>6.3769999999999998</v>
      </c>
      <c r="FR39" s="33">
        <v>3.82</v>
      </c>
      <c r="FS39" s="33">
        <v>4.5839999999999996</v>
      </c>
      <c r="FT39" s="33">
        <v>5.73</v>
      </c>
      <c r="FU39" s="33">
        <v>23.251000000000001</v>
      </c>
      <c r="FV39" s="33">
        <v>4.4180000000000001</v>
      </c>
      <c r="FW39" s="33">
        <v>5.0419999999999998</v>
      </c>
      <c r="FX39" s="33">
        <v>4.9820000000000002</v>
      </c>
      <c r="FY39" s="33">
        <v>4.5839999999999996</v>
      </c>
      <c r="FZ39" s="33">
        <v>4.5839999999999996</v>
      </c>
      <c r="GA39" s="33">
        <v>4.9820000000000002</v>
      </c>
      <c r="GB39" s="33">
        <v>4.1520000000000001</v>
      </c>
      <c r="GC39" s="33">
        <v>2.1920000000000002</v>
      </c>
      <c r="GD39" s="33">
        <v>4.1849999999999996</v>
      </c>
      <c r="GE39" s="33">
        <v>4.5839999999999996</v>
      </c>
      <c r="GF39" s="33">
        <v>34.877000000000002</v>
      </c>
      <c r="GG39" s="33">
        <v>21.257999999999999</v>
      </c>
      <c r="GH39" s="33">
        <v>1.9930000000000001</v>
      </c>
      <c r="GI39" s="33">
        <v>2.9889999999999999</v>
      </c>
      <c r="GJ39" s="33">
        <v>3.9529999999999998</v>
      </c>
      <c r="GK39" s="33">
        <v>8.968</v>
      </c>
      <c r="GL39" s="33">
        <v>6.6429999999999998</v>
      </c>
      <c r="GM39" s="33">
        <v>4.3929999999999998</v>
      </c>
      <c r="GN39" s="33">
        <v>26.356000000000002</v>
      </c>
      <c r="GO39" s="33">
        <v>9.2249999999999996</v>
      </c>
      <c r="GP39" s="33">
        <v>37.338000000000001</v>
      </c>
      <c r="GQ39" s="33">
        <v>6.15</v>
      </c>
      <c r="GR39" s="33">
        <v>52.273000000000003</v>
      </c>
      <c r="GS39" s="33">
        <v>13.881</v>
      </c>
      <c r="GT39" s="33">
        <v>41.73</v>
      </c>
      <c r="GU39" s="33">
        <v>11.07</v>
      </c>
      <c r="GV39" s="33">
        <v>7.4320000000000004</v>
      </c>
      <c r="GW39" s="33">
        <v>8.9740000000000002</v>
      </c>
      <c r="GX39" s="33">
        <v>38.216000000000001</v>
      </c>
      <c r="GY39" s="33">
        <v>1.7569999999999999</v>
      </c>
      <c r="GZ39" s="33">
        <v>5.2709999999999999</v>
      </c>
      <c r="HA39" s="33">
        <v>13.095000000000001</v>
      </c>
      <c r="HB39" s="33">
        <v>41.73</v>
      </c>
      <c r="HC39" s="33">
        <v>41.73</v>
      </c>
      <c r="HD39" s="33">
        <v>21.963000000000001</v>
      </c>
      <c r="HE39" s="3">
        <f>_xlfn.XLOOKUP(HE$1,generator!$B$2:$B$295,generator!$L$2:$L$295,"ARGH")</f>
        <v>17.600000000000001</v>
      </c>
      <c r="HF39" s="3">
        <f>_xlfn.XLOOKUP(HF$1,generator!$B$2:$B$295,generator!$L$2:$L$295,"ARGH")</f>
        <v>285</v>
      </c>
      <c r="HG39" s="3">
        <f>_xlfn.XLOOKUP(HG$1,generator!$B$2:$B$295,generator!$L$2:$L$295,"ARGH")</f>
        <v>285</v>
      </c>
      <c r="HH39" s="3">
        <f>_xlfn.XLOOKUP(HH$1,generator!$B$2:$B$295,generator!$L$2:$L$295,"ARGH")</f>
        <v>285</v>
      </c>
      <c r="HI39" s="3">
        <f>_xlfn.XLOOKUP(HI$1,generator!$B$2:$B$295,generator!$L$2:$L$295,"ARGH")</f>
        <v>58</v>
      </c>
      <c r="HJ39" s="3">
        <f>_xlfn.XLOOKUP(HJ$1,generator!$B$2:$B$295,generator!$L$2:$L$295,"ARGH")</f>
        <v>58</v>
      </c>
      <c r="HK39" s="3">
        <f>_xlfn.XLOOKUP(HK$1,generator!$B$2:$B$295,generator!$L$2:$L$295,"ARGH")</f>
        <v>53</v>
      </c>
      <c r="HL39" s="3">
        <f>_xlfn.XLOOKUP(HL$1,generator!$B$2:$B$295,generator!$L$2:$L$295,"ARGH")</f>
        <v>58</v>
      </c>
      <c r="HM39" s="3">
        <f>_xlfn.XLOOKUP(HM$1,generator!$B$2:$B$295,generator!$L$2:$L$295,"ARGH")</f>
        <v>58</v>
      </c>
      <c r="HN39" s="3">
        <f>_xlfn.XLOOKUP(HN$1,generator!$B$2:$B$295,generator!$L$2:$L$295,"ARGH")</f>
        <v>52</v>
      </c>
      <c r="HO39" s="3">
        <f>_xlfn.XLOOKUP(HO$1,generator!$B$2:$B$295,generator!$L$2:$L$295,"ARGH")</f>
        <v>52</v>
      </c>
      <c r="HP39" s="3">
        <f>_xlfn.XLOOKUP(HP$1,generator!$B$2:$B$295,generator!$L$2:$L$295,"ARGH")</f>
        <v>2</v>
      </c>
      <c r="HQ39" s="3">
        <f>_xlfn.XLOOKUP(HQ$1,generator!$B$2:$B$295,generator!$L$2:$L$295,"ARGH")</f>
        <v>29.2</v>
      </c>
      <c r="HR39" s="3">
        <f>_xlfn.XLOOKUP(HR$1,generator!$B$2:$B$295,generator!$L$2:$L$295,"ARGH")</f>
        <v>29.2</v>
      </c>
      <c r="HS39" s="3">
        <f>_xlfn.XLOOKUP(HS$1,generator!$B$2:$B$295,generator!$L$2:$L$295,"ARGH")</f>
        <v>41.61</v>
      </c>
      <c r="HT39" s="3">
        <f>_xlfn.XLOOKUP(HT$1,generator!$B$2:$B$295,generator!$L$2:$L$295,"ARGH")</f>
        <v>41.61</v>
      </c>
      <c r="HU39" s="3">
        <f>_xlfn.XLOOKUP(HU$1,generator!$B$2:$B$295,generator!$L$2:$L$295,"ARGH")</f>
        <v>160</v>
      </c>
      <c r="HV39" s="3">
        <f>_xlfn.XLOOKUP(HV$1,generator!$B$2:$B$295,generator!$L$2:$L$295,"ARGH")</f>
        <v>260</v>
      </c>
      <c r="HW39" s="3">
        <f>_xlfn.XLOOKUP(HW$1,generator!$B$2:$B$295,generator!$L$2:$L$295,"ARGH")</f>
        <v>52</v>
      </c>
      <c r="HX39" s="3">
        <f>_xlfn.XLOOKUP(HX$1,generator!$B$2:$B$295,generator!$L$2:$L$295,"ARGH")</f>
        <v>52</v>
      </c>
      <c r="HY39" s="3">
        <f>_xlfn.XLOOKUP(HY$1,generator!$B$2:$B$295,generator!$L$2:$L$295,"ARGH")</f>
        <v>101</v>
      </c>
      <c r="HZ39" s="3">
        <f>_xlfn.XLOOKUP(HZ$1,generator!$B$2:$B$295,generator!$L$2:$L$295,"ARGH")</f>
        <v>50</v>
      </c>
      <c r="IA39" s="3">
        <f>_xlfn.XLOOKUP(IA$1,generator!$B$2:$B$295,generator!$L$2:$L$295,"ARGH")</f>
        <v>400</v>
      </c>
      <c r="IB39" s="3">
        <f>_xlfn.XLOOKUP(IB$1,generator!$B$2:$B$295,generator!$L$2:$L$295,"ARGH")</f>
        <v>342</v>
      </c>
      <c r="IC39" s="3">
        <f>_xlfn.XLOOKUP(IC$1,generator!$B$2:$B$295,generator!$L$2:$L$295,"ARGH")</f>
        <v>3.0209999999999999</v>
      </c>
      <c r="ID39" s="3">
        <f>_xlfn.XLOOKUP(ID$1,generator!$B$2:$B$295,generator!$L$2:$L$295,"ARGH")</f>
        <v>200</v>
      </c>
      <c r="IE39" s="3">
        <f>_xlfn.XLOOKUP(IE$1,generator!$B$2:$B$295,generator!$L$2:$L$295,"ARGH")</f>
        <v>404</v>
      </c>
      <c r="IF39" s="3">
        <f>_xlfn.XLOOKUP(IF$1,generator!$B$2:$B$295,generator!$L$2:$L$295,"ARGH")</f>
        <v>21</v>
      </c>
      <c r="IG39" s="3">
        <f>_xlfn.XLOOKUP(IG$1,generator!$B$2:$B$295,generator!$L$2:$L$295,"ARGH")</f>
        <v>22</v>
      </c>
      <c r="IH39" s="3">
        <f>_xlfn.XLOOKUP(IH$1,generator!$B$2:$B$295,generator!$L$2:$L$295,"ARGH")</f>
        <v>19</v>
      </c>
      <c r="II39" s="3">
        <f>_xlfn.XLOOKUP(II$1,generator!$B$2:$B$295,generator!$L$2:$L$295,"ARGH")</f>
        <v>24</v>
      </c>
      <c r="IJ39" s="3">
        <f>_xlfn.XLOOKUP(IJ$1,generator!$B$2:$B$295,generator!$L$2:$L$295,"ARGH")</f>
        <v>4.3</v>
      </c>
      <c r="IK39" s="3">
        <f>_xlfn.XLOOKUP(IK$1,generator!$B$2:$B$295,generator!$L$2:$L$295,"ARGH")</f>
        <v>8</v>
      </c>
      <c r="IL39" s="3">
        <f>_xlfn.XLOOKUP(IL$1,generator!$B$2:$B$295,generator!$L$2:$L$295,"ARGH")</f>
        <v>22.5</v>
      </c>
      <c r="IM39" s="3">
        <f>_xlfn.XLOOKUP(IM$1,generator!$B$2:$B$295,generator!$L$2:$L$295,"ARGH")</f>
        <v>22.5</v>
      </c>
      <c r="IN39" s="3">
        <f>_xlfn.XLOOKUP(IN$1,generator!$B$2:$B$295,generator!$L$2:$L$295,"ARGH")</f>
        <v>10</v>
      </c>
      <c r="IO39" s="3">
        <f>_xlfn.XLOOKUP(IO$1,generator!$B$2:$B$295,generator!$L$2:$L$295,"ARGH")</f>
        <v>10</v>
      </c>
      <c r="IP39" s="3">
        <f>_xlfn.XLOOKUP(IP$1,generator!$B$2:$B$295,generator!$L$2:$L$295,"ARGH")</f>
        <v>15</v>
      </c>
      <c r="IQ39" s="3">
        <f>_xlfn.XLOOKUP(IQ$1,generator!$B$2:$B$295,generator!$L$2:$L$295,"ARGH")</f>
        <v>4</v>
      </c>
      <c r="IR39" s="3">
        <f>_xlfn.XLOOKUP(IR$1,generator!$B$2:$B$295,generator!$L$2:$L$295,"ARGH")</f>
        <v>15</v>
      </c>
      <c r="IS39" s="3">
        <f>_xlfn.XLOOKUP(IS$1,generator!$B$2:$B$295,generator!$L$2:$L$295,"ARGH")</f>
        <v>15</v>
      </c>
      <c r="IT39" s="3">
        <f>_xlfn.XLOOKUP(IT$1,generator!$B$2:$B$295,generator!$L$2:$L$295,"ARGH")</f>
        <v>0.18</v>
      </c>
      <c r="IU39" s="3">
        <f>_xlfn.XLOOKUP(IU$1,generator!$B$2:$B$295,generator!$L$2:$L$295,"ARGH")</f>
        <v>4</v>
      </c>
      <c r="IV39" s="3">
        <f>_xlfn.XLOOKUP(IV$1,generator!$B$2:$B$295,generator!$L$2:$L$295,"ARGH")</f>
        <v>4</v>
      </c>
      <c r="IW39" s="3">
        <f>_xlfn.XLOOKUP(IW$1,generator!$B$2:$B$295,generator!$L$2:$L$295,"ARGH")</f>
        <v>90</v>
      </c>
      <c r="IX39" s="3">
        <f>_xlfn.XLOOKUP(IX$1,generator!$B$2:$B$295,generator!$L$2:$L$295,"ARGH")</f>
        <v>90</v>
      </c>
      <c r="IY39" s="3">
        <f>_xlfn.XLOOKUP(IY$1,generator!$B$2:$B$295,generator!$L$2:$L$295,"ARGH")</f>
        <v>90</v>
      </c>
      <c r="IZ39" s="3">
        <f>_xlfn.XLOOKUP(IZ$1,generator!$B$2:$B$295,generator!$L$2:$L$295,"ARGH")</f>
        <v>449</v>
      </c>
      <c r="JA39" s="3">
        <f>_xlfn.XLOOKUP(JA$1,generator!$B$2:$B$295,generator!$L$2:$L$295,"ARGH")</f>
        <v>83</v>
      </c>
      <c r="JB39" s="3">
        <f>_xlfn.XLOOKUP(JB$1,generator!$B$2:$B$295,generator!$L$2:$L$295,"ARGH")</f>
        <v>83</v>
      </c>
      <c r="JC39" s="3">
        <f>_xlfn.XLOOKUP(JC$1,generator!$B$2:$B$295,generator!$L$2:$L$295,"ARGH")</f>
        <v>247</v>
      </c>
      <c r="JD39" s="3">
        <f>_xlfn.XLOOKUP(JD$1,generator!$B$2:$B$295,generator!$L$2:$L$295,"ARGH")</f>
        <v>247</v>
      </c>
      <c r="JE39" s="3">
        <f>_xlfn.XLOOKUP(JE$1,generator!$B$2:$B$295,generator!$L$2:$L$295,"ARGH")</f>
        <v>425</v>
      </c>
      <c r="JF39" s="3">
        <f>_xlfn.XLOOKUP(JF$1,generator!$B$2:$B$295,generator!$L$2:$L$295,"ARGH")</f>
        <v>63.5</v>
      </c>
      <c r="JG39" s="3">
        <f>_xlfn.XLOOKUP(JG$1,generator!$B$2:$B$295,generator!$L$2:$L$295,"ARGH")</f>
        <v>17</v>
      </c>
      <c r="JH39" s="3">
        <f>_xlfn.XLOOKUP(JH$1,generator!$B$2:$B$295,generator!$L$2:$L$295,"ARGH")</f>
        <v>444</v>
      </c>
      <c r="JI39" s="3">
        <f>_xlfn.XLOOKUP(JI$1,generator!$B$2:$B$295,generator!$L$2:$L$295,"ARGH")</f>
        <v>464</v>
      </c>
      <c r="JJ39" s="3">
        <f>_xlfn.XLOOKUP(JJ$1,generator!$B$2:$B$295,generator!$L$2:$L$295,"ARGH")</f>
        <v>18.54</v>
      </c>
      <c r="JK39" s="3">
        <f>_xlfn.XLOOKUP(JK$1,generator!$B$2:$B$295,generator!$L$2:$L$295,"ARGH")</f>
        <v>18.54</v>
      </c>
      <c r="JL39" s="3">
        <f>_xlfn.XLOOKUP(JL$1,generator!$B$2:$B$295,generator!$L$2:$L$295,"ARGH")</f>
        <v>18.54</v>
      </c>
      <c r="JM39" s="3">
        <f>_xlfn.XLOOKUP(JM$1,generator!$B$2:$B$295,generator!$L$2:$L$295,"ARGH")</f>
        <v>18.54</v>
      </c>
      <c r="JN39" s="3">
        <f>_xlfn.XLOOKUP(JN$1,generator!$B$2:$B$295,generator!$L$2:$L$295,"ARGH")</f>
        <v>18.54</v>
      </c>
      <c r="JO39" s="3">
        <f>_xlfn.XLOOKUP(JO$1,generator!$B$2:$B$295,generator!$L$2:$L$295,"ARGH")</f>
        <v>18.54</v>
      </c>
      <c r="JP39" s="3">
        <f>_xlfn.XLOOKUP(JP$1,generator!$B$2:$B$295,generator!$L$2:$L$295,"ARGH")</f>
        <v>415</v>
      </c>
      <c r="JQ39" s="3">
        <f>_xlfn.XLOOKUP(JQ$1,generator!$B$2:$B$295,generator!$L$2:$L$295,"ARGH")</f>
        <v>63.5</v>
      </c>
      <c r="JR39" s="3">
        <f>_xlfn.XLOOKUP(JR$1,generator!$B$2:$B$295,generator!$L$2:$L$295,"ARGH")</f>
        <v>350</v>
      </c>
      <c r="JS39" s="3">
        <f>_xlfn.XLOOKUP(JS$1,generator!$B$2:$B$295,generator!$L$2:$L$295,"ARGH")</f>
        <v>350</v>
      </c>
      <c r="JT39" s="3">
        <f>_xlfn.XLOOKUP(JT$1,generator!$B$2:$B$295,generator!$L$2:$L$295,"ARGH")</f>
        <v>63.5</v>
      </c>
      <c r="JU39" s="3">
        <f>_xlfn.XLOOKUP(JU$1,generator!$B$2:$B$295,generator!$L$2:$L$295,"ARGH")</f>
        <v>61.5</v>
      </c>
      <c r="JV39" s="3">
        <f>_xlfn.XLOOKUP(JV$1,generator!$B$2:$B$295,generator!$L$2:$L$295,"ARGH")</f>
        <v>240</v>
      </c>
      <c r="JW39" s="3">
        <f>_xlfn.XLOOKUP(JW$1,generator!$B$2:$B$295,generator!$L$2:$L$295,"ARGH")</f>
        <v>236</v>
      </c>
      <c r="JX39" s="3">
        <f>_xlfn.XLOOKUP(JX$1,generator!$B$2:$B$295,generator!$L$2:$L$295,"ARGH")</f>
        <v>20</v>
      </c>
      <c r="JY39" s="3">
        <f>_xlfn.XLOOKUP(JY$1,generator!$B$2:$B$295,generator!$L$2:$L$295,"ARGH")</f>
        <v>118</v>
      </c>
      <c r="JZ39" s="3">
        <f>_xlfn.XLOOKUP(JZ$1,generator!$B$2:$B$295,generator!$L$2:$L$295,"ARGH")</f>
        <v>73</v>
      </c>
      <c r="KA39" s="3">
        <f>_xlfn.XLOOKUP(KA$1,generator!$B$2:$B$295,generator!$L$2:$L$295,"ARGH")</f>
        <v>73</v>
      </c>
      <c r="KB39" s="3">
        <f>_xlfn.XLOOKUP(KB$1,generator!$B$2:$B$295,generator!$L$2:$L$295,"ARGH")</f>
        <v>73</v>
      </c>
      <c r="KC39" s="3">
        <f>_xlfn.XLOOKUP(KC$1,generator!$B$2:$B$295,generator!$L$2:$L$295,"ARGH")</f>
        <v>73</v>
      </c>
    </row>
    <row r="40" spans="1:289" x14ac:dyDescent="0.3">
      <c r="A40" s="4" t="s">
        <v>3035</v>
      </c>
      <c r="B40" s="31">
        <v>530</v>
      </c>
      <c r="C40" s="31">
        <v>513.5</v>
      </c>
      <c r="D40" s="31">
        <v>442</v>
      </c>
      <c r="E40" s="33">
        <v>8.9280000000000008</v>
      </c>
      <c r="F40" s="33">
        <v>19.178000000000001</v>
      </c>
      <c r="G40" s="33">
        <v>8.9280000000000008</v>
      </c>
      <c r="H40" s="33">
        <v>14.88</v>
      </c>
      <c r="I40" s="33">
        <v>29.428999999999998</v>
      </c>
      <c r="J40" s="33">
        <v>27.445</v>
      </c>
      <c r="K40" s="33">
        <v>7.44</v>
      </c>
      <c r="L40" s="33">
        <v>5.6870000000000003</v>
      </c>
      <c r="M40" s="33">
        <v>4.96</v>
      </c>
      <c r="N40" s="33">
        <v>17.856000000000002</v>
      </c>
      <c r="O40" s="33">
        <v>1.786</v>
      </c>
      <c r="P40" s="33">
        <v>8.4649999999999999</v>
      </c>
      <c r="Q40" s="33">
        <v>11.638999999999999</v>
      </c>
      <c r="R40" s="33">
        <v>5.952</v>
      </c>
      <c r="S40" s="33">
        <v>11.358000000000001</v>
      </c>
      <c r="T40" s="33">
        <v>7.9359999999999999</v>
      </c>
      <c r="U40" s="33">
        <v>13.888</v>
      </c>
      <c r="V40" s="33">
        <v>6.9939999999999998</v>
      </c>
      <c r="W40" s="33">
        <v>7.6050000000000004</v>
      </c>
      <c r="X40" s="33">
        <v>10.712999999999999</v>
      </c>
      <c r="Y40" s="33">
        <v>5.5549999999999997</v>
      </c>
      <c r="Z40" s="33">
        <v>3.9350000000000001</v>
      </c>
      <c r="AA40" s="33">
        <v>3.5710000000000002</v>
      </c>
      <c r="AB40" s="33">
        <v>18.847999999999999</v>
      </c>
      <c r="AC40" s="33">
        <v>21.725000000000001</v>
      </c>
      <c r="AD40" s="33">
        <v>7.6710000000000003</v>
      </c>
      <c r="AE40" s="33">
        <v>6.6130000000000004</v>
      </c>
      <c r="AF40" s="33">
        <v>18.649000000000001</v>
      </c>
      <c r="AG40" s="33">
        <v>6.6130000000000004</v>
      </c>
      <c r="AH40" s="33">
        <v>3.968</v>
      </c>
      <c r="AI40" s="33">
        <v>4.431</v>
      </c>
      <c r="AJ40" s="33">
        <v>7.9359999999999999</v>
      </c>
      <c r="AK40" s="33">
        <v>2.827</v>
      </c>
      <c r="AL40" s="33">
        <v>12.228</v>
      </c>
      <c r="AM40" s="33">
        <v>15.707000000000001</v>
      </c>
      <c r="AN40" s="33">
        <v>6.6130000000000004</v>
      </c>
      <c r="AO40" s="33">
        <v>4.5629999999999997</v>
      </c>
      <c r="AP40" s="33">
        <v>17.954999999999998</v>
      </c>
      <c r="AQ40" s="33">
        <v>6.1829999999999998</v>
      </c>
      <c r="AR40" s="33">
        <v>5.7869999999999999</v>
      </c>
      <c r="AS40" s="33">
        <v>17.195</v>
      </c>
      <c r="AT40" s="33">
        <v>4.673</v>
      </c>
      <c r="AU40" s="33">
        <v>12.565</v>
      </c>
      <c r="AV40" s="33">
        <v>10.747</v>
      </c>
      <c r="AW40" s="33">
        <v>10.912000000000001</v>
      </c>
      <c r="AX40" s="33">
        <v>6.0510000000000002</v>
      </c>
      <c r="AY40" s="33">
        <v>10.945</v>
      </c>
      <c r="AZ40" s="33">
        <v>12.516</v>
      </c>
      <c r="BA40" s="33">
        <v>4.6289999999999996</v>
      </c>
      <c r="BB40" s="33">
        <v>15.211</v>
      </c>
      <c r="BC40" s="33">
        <v>6.6130000000000004</v>
      </c>
      <c r="BD40" s="33">
        <v>3.968</v>
      </c>
      <c r="BE40" s="33">
        <v>3.8029999999999999</v>
      </c>
      <c r="BF40" s="33">
        <v>29.76</v>
      </c>
      <c r="BG40" s="33">
        <v>4.96</v>
      </c>
      <c r="BH40" s="33">
        <v>8.2669999999999995</v>
      </c>
      <c r="BI40" s="33">
        <v>6.944</v>
      </c>
      <c r="BJ40" s="33">
        <v>13.888</v>
      </c>
      <c r="BK40" s="33">
        <v>3.968</v>
      </c>
      <c r="BL40" s="33">
        <v>14.053000000000001</v>
      </c>
      <c r="BM40" s="33">
        <v>2.8109999999999999</v>
      </c>
      <c r="BN40" s="33">
        <v>9.92</v>
      </c>
      <c r="BO40" s="33">
        <v>14.099</v>
      </c>
      <c r="BP40" s="33">
        <v>37.762</v>
      </c>
      <c r="BQ40" s="33">
        <v>11.904</v>
      </c>
      <c r="BR40" s="33">
        <v>17.856000000000002</v>
      </c>
      <c r="BS40" s="33">
        <v>5.7869999999999999</v>
      </c>
      <c r="BT40" s="33">
        <v>11.407999999999999</v>
      </c>
      <c r="BU40" s="33">
        <v>1.587</v>
      </c>
      <c r="BV40" s="33">
        <v>3.4060000000000001</v>
      </c>
      <c r="BW40" s="33">
        <v>4.49</v>
      </c>
      <c r="BX40" s="33">
        <v>3.6539999999999999</v>
      </c>
      <c r="BY40" s="33">
        <v>8.2669999999999995</v>
      </c>
      <c r="BZ40" s="33">
        <v>13.491</v>
      </c>
      <c r="CA40" s="33">
        <v>19.673999999999999</v>
      </c>
      <c r="CB40" s="33">
        <v>11.243</v>
      </c>
      <c r="CC40" s="33">
        <v>9.4239999999999995</v>
      </c>
      <c r="CD40" s="33">
        <v>12.696999999999999</v>
      </c>
      <c r="CE40" s="33">
        <v>8.2669999999999995</v>
      </c>
      <c r="CF40" s="33">
        <v>5.3239999999999998</v>
      </c>
      <c r="CG40" s="33">
        <v>5.7869999999999999</v>
      </c>
      <c r="CH40" s="33">
        <v>9.2420000000000009</v>
      </c>
      <c r="CI40" s="33">
        <v>4.3150000000000004</v>
      </c>
      <c r="CJ40" s="33">
        <v>1.4710000000000001</v>
      </c>
      <c r="CK40" s="33">
        <v>8.1999999999999993</v>
      </c>
      <c r="CL40" s="33">
        <v>5.5880000000000001</v>
      </c>
      <c r="CM40" s="33">
        <v>4.96</v>
      </c>
      <c r="CN40" s="33">
        <v>19.584</v>
      </c>
      <c r="CO40" s="33">
        <v>7.7709999999999999</v>
      </c>
      <c r="CP40" s="33">
        <v>15.475</v>
      </c>
      <c r="CQ40" s="33">
        <v>10.581</v>
      </c>
      <c r="CR40" s="33">
        <v>8.5969999999999995</v>
      </c>
      <c r="CS40" s="33">
        <v>7.2750000000000004</v>
      </c>
      <c r="CT40" s="33">
        <v>9.8539999999999992</v>
      </c>
      <c r="CU40" s="33">
        <v>4.5629999999999997</v>
      </c>
      <c r="CV40" s="33">
        <v>8.3659999999999997</v>
      </c>
      <c r="CW40" s="33">
        <v>9.2590000000000003</v>
      </c>
      <c r="CX40" s="33">
        <v>4.133</v>
      </c>
      <c r="CY40" s="33">
        <v>11.292</v>
      </c>
      <c r="CZ40" s="33">
        <v>3.968</v>
      </c>
      <c r="DA40" s="33">
        <v>9.92</v>
      </c>
      <c r="DB40" s="33">
        <v>6.2160000000000002</v>
      </c>
      <c r="DC40" s="33">
        <v>4.6619999999999999</v>
      </c>
      <c r="DD40" s="33">
        <v>5.3239999999999998</v>
      </c>
      <c r="DE40" s="33">
        <v>4.133</v>
      </c>
      <c r="DF40" s="33">
        <v>7.1420000000000003</v>
      </c>
      <c r="DG40" s="33">
        <v>11.887</v>
      </c>
      <c r="DH40" s="33">
        <v>24.8</v>
      </c>
      <c r="DI40" s="33">
        <v>11.904</v>
      </c>
      <c r="DJ40" s="33">
        <v>4.96</v>
      </c>
      <c r="DK40" s="33">
        <v>6.8449999999999998</v>
      </c>
      <c r="DL40" s="33">
        <v>12.250999999999999</v>
      </c>
      <c r="DM40" s="33">
        <v>5.952</v>
      </c>
      <c r="DN40" s="33">
        <v>33.066000000000003</v>
      </c>
      <c r="DO40" s="33">
        <v>11.11</v>
      </c>
      <c r="DP40" s="33">
        <v>33.396999999999998</v>
      </c>
      <c r="DQ40" s="33">
        <v>0.77400000000000002</v>
      </c>
      <c r="DR40" s="33">
        <v>30.157</v>
      </c>
      <c r="DS40" s="33">
        <v>5.3239999999999998</v>
      </c>
      <c r="DT40" s="33">
        <v>9.9529999999999994</v>
      </c>
      <c r="DU40" s="33">
        <v>4.96</v>
      </c>
      <c r="DV40" s="33">
        <v>3.9279999999999999</v>
      </c>
      <c r="DW40" s="33">
        <v>4.6289999999999996</v>
      </c>
      <c r="DX40" s="33">
        <v>12.863</v>
      </c>
      <c r="DY40" s="33">
        <v>8.5969999999999995</v>
      </c>
      <c r="DZ40" s="33">
        <v>3.8690000000000002</v>
      </c>
      <c r="EA40" s="33">
        <v>13.227</v>
      </c>
      <c r="EB40" s="33">
        <v>11.904</v>
      </c>
      <c r="EC40" s="33">
        <v>7.6050000000000004</v>
      </c>
      <c r="ED40" s="33">
        <v>9.5229999999999997</v>
      </c>
      <c r="EE40" s="33">
        <v>16.135999999999999</v>
      </c>
      <c r="EF40" s="33">
        <v>4.96</v>
      </c>
      <c r="EG40" s="33">
        <v>3.0419999999999998</v>
      </c>
      <c r="EH40" s="33">
        <v>13.689</v>
      </c>
      <c r="EI40" s="33">
        <v>4.8940000000000001</v>
      </c>
      <c r="EJ40" s="33">
        <v>3.0419999999999998</v>
      </c>
      <c r="EK40" s="33">
        <v>4.96</v>
      </c>
      <c r="EL40" s="33">
        <v>7.9359999999999999</v>
      </c>
      <c r="EM40" s="33">
        <v>10.647</v>
      </c>
      <c r="EN40" s="33">
        <v>6.0839999999999996</v>
      </c>
      <c r="EO40" s="33">
        <v>6.6130000000000004</v>
      </c>
      <c r="EP40" s="33">
        <v>4.6619999999999999</v>
      </c>
      <c r="EQ40" s="33">
        <v>11.407999999999999</v>
      </c>
      <c r="ER40" s="33">
        <v>3.472</v>
      </c>
      <c r="ES40" s="33">
        <v>3.8029999999999999</v>
      </c>
      <c r="ET40" s="33">
        <v>7.6379999999999999</v>
      </c>
      <c r="EU40" s="33">
        <v>28.093</v>
      </c>
      <c r="EV40" s="33">
        <v>5.7039999999999997</v>
      </c>
      <c r="EW40" s="33">
        <v>26.452999999999999</v>
      </c>
      <c r="EX40" s="33">
        <v>29.71</v>
      </c>
      <c r="EY40" s="33">
        <v>1.786</v>
      </c>
      <c r="EZ40" s="33">
        <v>2.4009999999999998</v>
      </c>
      <c r="FA40" s="33">
        <v>1.964</v>
      </c>
      <c r="FB40" s="33">
        <v>6.6130000000000004</v>
      </c>
      <c r="FC40" s="33">
        <v>9.4239999999999995</v>
      </c>
      <c r="FD40" s="33">
        <v>6.6130000000000004</v>
      </c>
      <c r="FE40" s="33">
        <v>9.1259999999999994</v>
      </c>
      <c r="FF40" s="33">
        <v>5.952</v>
      </c>
      <c r="FG40" s="33">
        <v>4.96</v>
      </c>
      <c r="FH40" s="33">
        <v>4.133</v>
      </c>
      <c r="FI40" s="33">
        <v>15.872</v>
      </c>
      <c r="FJ40" s="33">
        <v>10.125</v>
      </c>
      <c r="FK40" s="33">
        <v>14.664999999999999</v>
      </c>
      <c r="FL40" s="33">
        <v>4.8940000000000001</v>
      </c>
      <c r="FM40" s="33">
        <v>13.523999999999999</v>
      </c>
      <c r="FN40" s="33">
        <v>6.7789999999999999</v>
      </c>
      <c r="FO40" s="33">
        <v>24.337</v>
      </c>
      <c r="FP40" s="33">
        <v>34.72</v>
      </c>
      <c r="FQ40" s="33">
        <v>6.3490000000000002</v>
      </c>
      <c r="FR40" s="33">
        <v>3.8029999999999999</v>
      </c>
      <c r="FS40" s="33">
        <v>4.5629999999999997</v>
      </c>
      <c r="FT40" s="33">
        <v>5.7039999999999997</v>
      </c>
      <c r="FU40" s="33">
        <v>23.146000000000001</v>
      </c>
      <c r="FV40" s="33">
        <v>4.3979999999999997</v>
      </c>
      <c r="FW40" s="33">
        <v>5.0190000000000001</v>
      </c>
      <c r="FX40" s="33">
        <v>4.96</v>
      </c>
      <c r="FY40" s="33">
        <v>4.5629999999999997</v>
      </c>
      <c r="FZ40" s="33">
        <v>4.5629999999999997</v>
      </c>
      <c r="GA40" s="33">
        <v>4.96</v>
      </c>
      <c r="GB40" s="33">
        <v>4.133</v>
      </c>
      <c r="GC40" s="33">
        <v>2.1819999999999999</v>
      </c>
      <c r="GD40" s="33">
        <v>4.1660000000000004</v>
      </c>
      <c r="GE40" s="33">
        <v>4.5629999999999997</v>
      </c>
      <c r="GF40" s="33">
        <v>34.72</v>
      </c>
      <c r="GG40" s="33">
        <v>21.161999999999999</v>
      </c>
      <c r="GH40" s="33">
        <v>1.984</v>
      </c>
      <c r="GI40" s="33">
        <v>2.976</v>
      </c>
      <c r="GJ40" s="33">
        <v>3.9350000000000001</v>
      </c>
      <c r="GK40" s="33">
        <v>8.9280000000000008</v>
      </c>
      <c r="GL40" s="33">
        <v>6.6130000000000004</v>
      </c>
      <c r="GM40" s="33">
        <v>2.9550000000000001</v>
      </c>
      <c r="GN40" s="33">
        <v>17.73</v>
      </c>
      <c r="GO40" s="33">
        <v>6.2050000000000001</v>
      </c>
      <c r="GP40" s="33">
        <v>25.117000000000001</v>
      </c>
      <c r="GQ40" s="33">
        <v>4.1369999999999996</v>
      </c>
      <c r="GR40" s="33">
        <v>35.164000000000001</v>
      </c>
      <c r="GS40" s="33">
        <v>9.3379999999999992</v>
      </c>
      <c r="GT40" s="33">
        <v>28.071999999999999</v>
      </c>
      <c r="GU40" s="33">
        <v>7.4459999999999997</v>
      </c>
      <c r="GV40" s="33">
        <v>5</v>
      </c>
      <c r="GW40" s="33">
        <v>6.0369999999999999</v>
      </c>
      <c r="GX40" s="33">
        <v>25.707999999999998</v>
      </c>
      <c r="GY40" s="33">
        <v>1.1819999999999999</v>
      </c>
      <c r="GZ40" s="33">
        <v>3.5459999999999998</v>
      </c>
      <c r="HA40" s="33">
        <v>8.8089999999999993</v>
      </c>
      <c r="HB40" s="33">
        <v>28.071999999999999</v>
      </c>
      <c r="HC40" s="33">
        <v>28.071999999999999</v>
      </c>
      <c r="HD40" s="33">
        <v>14.775</v>
      </c>
      <c r="HE40" s="3">
        <f>_xlfn.XLOOKUP(HE$1,generator!$B$2:$B$295,generator!$L$2:$L$295,"ARGH")</f>
        <v>17.600000000000001</v>
      </c>
      <c r="HF40" s="3">
        <f>_xlfn.XLOOKUP(HF$1,generator!$B$2:$B$295,generator!$L$2:$L$295,"ARGH")</f>
        <v>285</v>
      </c>
      <c r="HG40" s="3">
        <f>_xlfn.XLOOKUP(HG$1,generator!$B$2:$B$295,generator!$L$2:$L$295,"ARGH")</f>
        <v>285</v>
      </c>
      <c r="HH40" s="3">
        <f>_xlfn.XLOOKUP(HH$1,generator!$B$2:$B$295,generator!$L$2:$L$295,"ARGH")</f>
        <v>285</v>
      </c>
      <c r="HI40" s="3">
        <f>_xlfn.XLOOKUP(HI$1,generator!$B$2:$B$295,generator!$L$2:$L$295,"ARGH")</f>
        <v>58</v>
      </c>
      <c r="HJ40" s="3">
        <f>_xlfn.XLOOKUP(HJ$1,generator!$B$2:$B$295,generator!$L$2:$L$295,"ARGH")</f>
        <v>58</v>
      </c>
      <c r="HK40" s="3">
        <f>_xlfn.XLOOKUP(HK$1,generator!$B$2:$B$295,generator!$L$2:$L$295,"ARGH")</f>
        <v>53</v>
      </c>
      <c r="HL40" s="3">
        <f>_xlfn.XLOOKUP(HL$1,generator!$B$2:$B$295,generator!$L$2:$L$295,"ARGH")</f>
        <v>58</v>
      </c>
      <c r="HM40" s="3">
        <f>_xlfn.XLOOKUP(HM$1,generator!$B$2:$B$295,generator!$L$2:$L$295,"ARGH")</f>
        <v>58</v>
      </c>
      <c r="HN40" s="3">
        <f>_xlfn.XLOOKUP(HN$1,generator!$B$2:$B$295,generator!$L$2:$L$295,"ARGH")</f>
        <v>52</v>
      </c>
      <c r="HO40" s="3">
        <f>_xlfn.XLOOKUP(HO$1,generator!$B$2:$B$295,generator!$L$2:$L$295,"ARGH")</f>
        <v>52</v>
      </c>
      <c r="HP40" s="3">
        <f>_xlfn.XLOOKUP(HP$1,generator!$B$2:$B$295,generator!$L$2:$L$295,"ARGH")</f>
        <v>2</v>
      </c>
      <c r="HQ40" s="3">
        <f>_xlfn.XLOOKUP(HQ$1,generator!$B$2:$B$295,generator!$L$2:$L$295,"ARGH")</f>
        <v>29.2</v>
      </c>
      <c r="HR40" s="3">
        <f>_xlfn.XLOOKUP(HR$1,generator!$B$2:$B$295,generator!$L$2:$L$295,"ARGH")</f>
        <v>29.2</v>
      </c>
      <c r="HS40" s="3">
        <f>_xlfn.XLOOKUP(HS$1,generator!$B$2:$B$295,generator!$L$2:$L$295,"ARGH")</f>
        <v>41.61</v>
      </c>
      <c r="HT40" s="3">
        <f>_xlfn.XLOOKUP(HT$1,generator!$B$2:$B$295,generator!$L$2:$L$295,"ARGH")</f>
        <v>41.61</v>
      </c>
      <c r="HU40" s="3">
        <f>_xlfn.XLOOKUP(HU$1,generator!$B$2:$B$295,generator!$L$2:$L$295,"ARGH")</f>
        <v>160</v>
      </c>
      <c r="HV40" s="3">
        <f>_xlfn.XLOOKUP(HV$1,generator!$B$2:$B$295,generator!$L$2:$L$295,"ARGH")</f>
        <v>260</v>
      </c>
      <c r="HW40" s="3">
        <f>_xlfn.XLOOKUP(HW$1,generator!$B$2:$B$295,generator!$L$2:$L$295,"ARGH")</f>
        <v>52</v>
      </c>
      <c r="HX40" s="3">
        <f>_xlfn.XLOOKUP(HX$1,generator!$B$2:$B$295,generator!$L$2:$L$295,"ARGH")</f>
        <v>52</v>
      </c>
      <c r="HY40" s="3">
        <f>_xlfn.XLOOKUP(HY$1,generator!$B$2:$B$295,generator!$L$2:$L$295,"ARGH")</f>
        <v>101</v>
      </c>
      <c r="HZ40" s="3">
        <f>_xlfn.XLOOKUP(HZ$1,generator!$B$2:$B$295,generator!$L$2:$L$295,"ARGH")</f>
        <v>50</v>
      </c>
      <c r="IA40" s="3">
        <f>_xlfn.XLOOKUP(IA$1,generator!$B$2:$B$295,generator!$L$2:$L$295,"ARGH")</f>
        <v>400</v>
      </c>
      <c r="IB40" s="3">
        <f>_xlfn.XLOOKUP(IB$1,generator!$B$2:$B$295,generator!$L$2:$L$295,"ARGH")</f>
        <v>342</v>
      </c>
      <c r="IC40" s="3">
        <f>_xlfn.XLOOKUP(IC$1,generator!$B$2:$B$295,generator!$L$2:$L$295,"ARGH")</f>
        <v>3.0209999999999999</v>
      </c>
      <c r="ID40" s="3">
        <f>_xlfn.XLOOKUP(ID$1,generator!$B$2:$B$295,generator!$L$2:$L$295,"ARGH")</f>
        <v>200</v>
      </c>
      <c r="IE40" s="3">
        <f>_xlfn.XLOOKUP(IE$1,generator!$B$2:$B$295,generator!$L$2:$L$295,"ARGH")</f>
        <v>404</v>
      </c>
      <c r="IF40" s="3">
        <f>_xlfn.XLOOKUP(IF$1,generator!$B$2:$B$295,generator!$L$2:$L$295,"ARGH")</f>
        <v>21</v>
      </c>
      <c r="IG40" s="3">
        <f>_xlfn.XLOOKUP(IG$1,generator!$B$2:$B$295,generator!$L$2:$L$295,"ARGH")</f>
        <v>22</v>
      </c>
      <c r="IH40" s="3">
        <f>_xlfn.XLOOKUP(IH$1,generator!$B$2:$B$295,generator!$L$2:$L$295,"ARGH")</f>
        <v>19</v>
      </c>
      <c r="II40" s="3">
        <f>_xlfn.XLOOKUP(II$1,generator!$B$2:$B$295,generator!$L$2:$L$295,"ARGH")</f>
        <v>24</v>
      </c>
      <c r="IJ40" s="3">
        <f>_xlfn.XLOOKUP(IJ$1,generator!$B$2:$B$295,generator!$L$2:$L$295,"ARGH")</f>
        <v>4.3</v>
      </c>
      <c r="IK40" s="3">
        <f>_xlfn.XLOOKUP(IK$1,generator!$B$2:$B$295,generator!$L$2:$L$295,"ARGH")</f>
        <v>8</v>
      </c>
      <c r="IL40" s="3">
        <f>_xlfn.XLOOKUP(IL$1,generator!$B$2:$B$295,generator!$L$2:$L$295,"ARGH")</f>
        <v>22.5</v>
      </c>
      <c r="IM40" s="3">
        <f>_xlfn.XLOOKUP(IM$1,generator!$B$2:$B$295,generator!$L$2:$L$295,"ARGH")</f>
        <v>22.5</v>
      </c>
      <c r="IN40" s="3">
        <f>_xlfn.XLOOKUP(IN$1,generator!$B$2:$B$295,generator!$L$2:$L$295,"ARGH")</f>
        <v>10</v>
      </c>
      <c r="IO40" s="3">
        <f>_xlfn.XLOOKUP(IO$1,generator!$B$2:$B$295,generator!$L$2:$L$295,"ARGH")</f>
        <v>10</v>
      </c>
      <c r="IP40" s="3">
        <f>_xlfn.XLOOKUP(IP$1,generator!$B$2:$B$295,generator!$L$2:$L$295,"ARGH")</f>
        <v>15</v>
      </c>
      <c r="IQ40" s="3">
        <f>_xlfn.XLOOKUP(IQ$1,generator!$B$2:$B$295,generator!$L$2:$L$295,"ARGH")</f>
        <v>4</v>
      </c>
      <c r="IR40" s="3">
        <f>_xlfn.XLOOKUP(IR$1,generator!$B$2:$B$295,generator!$L$2:$L$295,"ARGH")</f>
        <v>15</v>
      </c>
      <c r="IS40" s="3">
        <f>_xlfn.XLOOKUP(IS$1,generator!$B$2:$B$295,generator!$L$2:$L$295,"ARGH")</f>
        <v>15</v>
      </c>
      <c r="IT40" s="3">
        <f>_xlfn.XLOOKUP(IT$1,generator!$B$2:$B$295,generator!$L$2:$L$295,"ARGH")</f>
        <v>0.18</v>
      </c>
      <c r="IU40" s="3">
        <f>_xlfn.XLOOKUP(IU$1,generator!$B$2:$B$295,generator!$L$2:$L$295,"ARGH")</f>
        <v>4</v>
      </c>
      <c r="IV40" s="3">
        <f>_xlfn.XLOOKUP(IV$1,generator!$B$2:$B$295,generator!$L$2:$L$295,"ARGH")</f>
        <v>4</v>
      </c>
      <c r="IW40" s="3">
        <f>_xlfn.XLOOKUP(IW$1,generator!$B$2:$B$295,generator!$L$2:$L$295,"ARGH")</f>
        <v>90</v>
      </c>
      <c r="IX40" s="3">
        <f>_xlfn.XLOOKUP(IX$1,generator!$B$2:$B$295,generator!$L$2:$L$295,"ARGH")</f>
        <v>90</v>
      </c>
      <c r="IY40" s="3">
        <f>_xlfn.XLOOKUP(IY$1,generator!$B$2:$B$295,generator!$L$2:$L$295,"ARGH")</f>
        <v>90</v>
      </c>
      <c r="IZ40" s="3">
        <f>_xlfn.XLOOKUP(IZ$1,generator!$B$2:$B$295,generator!$L$2:$L$295,"ARGH")</f>
        <v>449</v>
      </c>
      <c r="JA40" s="3">
        <f>_xlfn.XLOOKUP(JA$1,generator!$B$2:$B$295,generator!$L$2:$L$295,"ARGH")</f>
        <v>83</v>
      </c>
      <c r="JB40" s="3">
        <f>_xlfn.XLOOKUP(JB$1,generator!$B$2:$B$295,generator!$L$2:$L$295,"ARGH")</f>
        <v>83</v>
      </c>
      <c r="JC40" s="3">
        <f>_xlfn.XLOOKUP(JC$1,generator!$B$2:$B$295,generator!$L$2:$L$295,"ARGH")</f>
        <v>247</v>
      </c>
      <c r="JD40" s="3">
        <f>_xlfn.XLOOKUP(JD$1,generator!$B$2:$B$295,generator!$L$2:$L$295,"ARGH")</f>
        <v>247</v>
      </c>
      <c r="JE40" s="3">
        <f>_xlfn.XLOOKUP(JE$1,generator!$B$2:$B$295,generator!$L$2:$L$295,"ARGH")</f>
        <v>425</v>
      </c>
      <c r="JF40" s="3">
        <f>_xlfn.XLOOKUP(JF$1,generator!$B$2:$B$295,generator!$L$2:$L$295,"ARGH")</f>
        <v>63.5</v>
      </c>
      <c r="JG40" s="3">
        <f>_xlfn.XLOOKUP(JG$1,generator!$B$2:$B$295,generator!$L$2:$L$295,"ARGH")</f>
        <v>17</v>
      </c>
      <c r="JH40" s="3">
        <f>_xlfn.XLOOKUP(JH$1,generator!$B$2:$B$295,generator!$L$2:$L$295,"ARGH")</f>
        <v>444</v>
      </c>
      <c r="JI40" s="3">
        <f>_xlfn.XLOOKUP(JI$1,generator!$B$2:$B$295,generator!$L$2:$L$295,"ARGH")</f>
        <v>464</v>
      </c>
      <c r="JJ40" s="3">
        <f>_xlfn.XLOOKUP(JJ$1,generator!$B$2:$B$295,generator!$L$2:$L$295,"ARGH")</f>
        <v>18.54</v>
      </c>
      <c r="JK40" s="3">
        <f>_xlfn.XLOOKUP(JK$1,generator!$B$2:$B$295,generator!$L$2:$L$295,"ARGH")</f>
        <v>18.54</v>
      </c>
      <c r="JL40" s="3">
        <f>_xlfn.XLOOKUP(JL$1,generator!$B$2:$B$295,generator!$L$2:$L$295,"ARGH")</f>
        <v>18.54</v>
      </c>
      <c r="JM40" s="3">
        <f>_xlfn.XLOOKUP(JM$1,generator!$B$2:$B$295,generator!$L$2:$L$295,"ARGH")</f>
        <v>18.54</v>
      </c>
      <c r="JN40" s="3">
        <f>_xlfn.XLOOKUP(JN$1,generator!$B$2:$B$295,generator!$L$2:$L$295,"ARGH")</f>
        <v>18.54</v>
      </c>
      <c r="JO40" s="3">
        <f>_xlfn.XLOOKUP(JO$1,generator!$B$2:$B$295,generator!$L$2:$L$295,"ARGH")</f>
        <v>18.54</v>
      </c>
      <c r="JP40" s="3">
        <f>_xlfn.XLOOKUP(JP$1,generator!$B$2:$B$295,generator!$L$2:$L$295,"ARGH")</f>
        <v>415</v>
      </c>
      <c r="JQ40" s="3">
        <f>_xlfn.XLOOKUP(JQ$1,generator!$B$2:$B$295,generator!$L$2:$L$295,"ARGH")</f>
        <v>63.5</v>
      </c>
      <c r="JR40" s="3">
        <f>_xlfn.XLOOKUP(JR$1,generator!$B$2:$B$295,generator!$L$2:$L$295,"ARGH")</f>
        <v>350</v>
      </c>
      <c r="JS40" s="3">
        <f>_xlfn.XLOOKUP(JS$1,generator!$B$2:$B$295,generator!$L$2:$L$295,"ARGH")</f>
        <v>350</v>
      </c>
      <c r="JT40" s="3">
        <f>_xlfn.XLOOKUP(JT$1,generator!$B$2:$B$295,generator!$L$2:$L$295,"ARGH")</f>
        <v>63.5</v>
      </c>
      <c r="JU40" s="3">
        <f>_xlfn.XLOOKUP(JU$1,generator!$B$2:$B$295,generator!$L$2:$L$295,"ARGH")</f>
        <v>61.5</v>
      </c>
      <c r="JV40" s="3">
        <f>_xlfn.XLOOKUP(JV$1,generator!$B$2:$B$295,generator!$L$2:$L$295,"ARGH")</f>
        <v>240</v>
      </c>
      <c r="JW40" s="3">
        <f>_xlfn.XLOOKUP(JW$1,generator!$B$2:$B$295,generator!$L$2:$L$295,"ARGH")</f>
        <v>236</v>
      </c>
      <c r="JX40" s="3">
        <f>_xlfn.XLOOKUP(JX$1,generator!$B$2:$B$295,generator!$L$2:$L$295,"ARGH")</f>
        <v>20</v>
      </c>
      <c r="JY40" s="3">
        <f>_xlfn.XLOOKUP(JY$1,generator!$B$2:$B$295,generator!$L$2:$L$295,"ARGH")</f>
        <v>118</v>
      </c>
      <c r="JZ40" s="3">
        <f>_xlfn.XLOOKUP(JZ$1,generator!$B$2:$B$295,generator!$L$2:$L$295,"ARGH")</f>
        <v>73</v>
      </c>
      <c r="KA40" s="3">
        <f>_xlfn.XLOOKUP(KA$1,generator!$B$2:$B$295,generator!$L$2:$L$295,"ARGH")</f>
        <v>73</v>
      </c>
      <c r="KB40" s="3">
        <f>_xlfn.XLOOKUP(KB$1,generator!$B$2:$B$295,generator!$L$2:$L$295,"ARGH")</f>
        <v>73</v>
      </c>
      <c r="KC40" s="3">
        <f>_xlfn.XLOOKUP(KC$1,generator!$B$2:$B$295,generator!$L$2:$L$295,"ARGH")</f>
        <v>73</v>
      </c>
    </row>
    <row r="41" spans="1:289" x14ac:dyDescent="0.3">
      <c r="A41" s="4" t="s">
        <v>3036</v>
      </c>
      <c r="B41" s="31">
        <v>530</v>
      </c>
      <c r="C41" s="31">
        <v>513</v>
      </c>
      <c r="D41" s="31">
        <v>442</v>
      </c>
      <c r="E41" s="33">
        <v>8.5730000000000004</v>
      </c>
      <c r="F41" s="33">
        <v>18.416</v>
      </c>
      <c r="G41" s="33">
        <v>8.5730000000000004</v>
      </c>
      <c r="H41" s="33">
        <v>14.289</v>
      </c>
      <c r="I41" s="33">
        <v>28.26</v>
      </c>
      <c r="J41" s="33">
        <v>26.355</v>
      </c>
      <c r="K41" s="33">
        <v>7.1440000000000001</v>
      </c>
      <c r="L41" s="33">
        <v>5.4610000000000003</v>
      </c>
      <c r="M41" s="33">
        <v>4.7629999999999999</v>
      </c>
      <c r="N41" s="33">
        <v>17.146000000000001</v>
      </c>
      <c r="O41" s="33">
        <v>1.7150000000000001</v>
      </c>
      <c r="P41" s="33">
        <v>8.1289999999999996</v>
      </c>
      <c r="Q41" s="33">
        <v>11.177</v>
      </c>
      <c r="R41" s="33">
        <v>5.7149999999999999</v>
      </c>
      <c r="S41" s="33">
        <v>10.907</v>
      </c>
      <c r="T41" s="33">
        <v>7.6210000000000004</v>
      </c>
      <c r="U41" s="33">
        <v>13.336</v>
      </c>
      <c r="V41" s="33">
        <v>6.7160000000000002</v>
      </c>
      <c r="W41" s="33">
        <v>7.3029999999999999</v>
      </c>
      <c r="X41" s="33">
        <v>10.288</v>
      </c>
      <c r="Y41" s="33">
        <v>5.3339999999999996</v>
      </c>
      <c r="Z41" s="33">
        <v>3.7789999999999999</v>
      </c>
      <c r="AA41" s="33">
        <v>3.4289999999999998</v>
      </c>
      <c r="AB41" s="33">
        <v>18.099</v>
      </c>
      <c r="AC41" s="33">
        <v>20.861000000000001</v>
      </c>
      <c r="AD41" s="33">
        <v>7.367</v>
      </c>
      <c r="AE41" s="33">
        <v>6.351</v>
      </c>
      <c r="AF41" s="33">
        <v>17.908000000000001</v>
      </c>
      <c r="AG41" s="33">
        <v>6.351</v>
      </c>
      <c r="AH41" s="33">
        <v>3.81</v>
      </c>
      <c r="AI41" s="33">
        <v>4.2549999999999999</v>
      </c>
      <c r="AJ41" s="33">
        <v>7.6210000000000004</v>
      </c>
      <c r="AK41" s="33">
        <v>2.7149999999999999</v>
      </c>
      <c r="AL41" s="33">
        <v>11.742000000000001</v>
      </c>
      <c r="AM41" s="33">
        <v>15.082000000000001</v>
      </c>
      <c r="AN41" s="33">
        <v>6.351</v>
      </c>
      <c r="AO41" s="33">
        <v>4.3819999999999997</v>
      </c>
      <c r="AP41" s="33">
        <v>17.242000000000001</v>
      </c>
      <c r="AQ41" s="33">
        <v>5.9379999999999997</v>
      </c>
      <c r="AR41" s="33">
        <v>5.5570000000000004</v>
      </c>
      <c r="AS41" s="33">
        <v>16.510999999999999</v>
      </c>
      <c r="AT41" s="33">
        <v>4.4870000000000001</v>
      </c>
      <c r="AU41" s="33">
        <v>12.066000000000001</v>
      </c>
      <c r="AV41" s="33">
        <v>10.32</v>
      </c>
      <c r="AW41" s="33">
        <v>10.478</v>
      </c>
      <c r="AX41" s="33">
        <v>5.8109999999999999</v>
      </c>
      <c r="AY41" s="33">
        <v>10.51</v>
      </c>
      <c r="AZ41" s="33">
        <v>12.018000000000001</v>
      </c>
      <c r="BA41" s="33">
        <v>4.4450000000000003</v>
      </c>
      <c r="BB41" s="33">
        <v>14.606</v>
      </c>
      <c r="BC41" s="33">
        <v>6.351</v>
      </c>
      <c r="BD41" s="33">
        <v>3.81</v>
      </c>
      <c r="BE41" s="33">
        <v>3.6520000000000001</v>
      </c>
      <c r="BF41" s="33">
        <v>28.577000000000002</v>
      </c>
      <c r="BG41" s="33">
        <v>4.7629999999999999</v>
      </c>
      <c r="BH41" s="33">
        <v>7.9379999999999997</v>
      </c>
      <c r="BI41" s="33">
        <v>6.6680000000000001</v>
      </c>
      <c r="BJ41" s="33">
        <v>13.336</v>
      </c>
      <c r="BK41" s="33">
        <v>3.81</v>
      </c>
      <c r="BL41" s="33">
        <v>13.494999999999999</v>
      </c>
      <c r="BM41" s="33">
        <v>2.6989999999999998</v>
      </c>
      <c r="BN41" s="33">
        <v>9.5259999999999998</v>
      </c>
      <c r="BO41" s="33">
        <v>13.539</v>
      </c>
      <c r="BP41" s="33">
        <v>36.261000000000003</v>
      </c>
      <c r="BQ41" s="33">
        <v>11.430999999999999</v>
      </c>
      <c r="BR41" s="33">
        <v>17.146000000000001</v>
      </c>
      <c r="BS41" s="33">
        <v>5.5570000000000004</v>
      </c>
      <c r="BT41" s="33">
        <v>10.955</v>
      </c>
      <c r="BU41" s="33">
        <v>1.524</v>
      </c>
      <c r="BV41" s="33">
        <v>3.2709999999999999</v>
      </c>
      <c r="BW41" s="33">
        <v>4.3120000000000003</v>
      </c>
      <c r="BX41" s="33">
        <v>3.5089999999999999</v>
      </c>
      <c r="BY41" s="33">
        <v>7.9379999999999997</v>
      </c>
      <c r="BZ41" s="33">
        <v>12.955</v>
      </c>
      <c r="CA41" s="33">
        <v>18.893000000000001</v>
      </c>
      <c r="CB41" s="33">
        <v>10.795999999999999</v>
      </c>
      <c r="CC41" s="33">
        <v>9.0489999999999995</v>
      </c>
      <c r="CD41" s="33">
        <v>12.193</v>
      </c>
      <c r="CE41" s="33">
        <v>7.9379999999999997</v>
      </c>
      <c r="CF41" s="33">
        <v>5.1120000000000001</v>
      </c>
      <c r="CG41" s="33">
        <v>5.5570000000000004</v>
      </c>
      <c r="CH41" s="33">
        <v>8.875</v>
      </c>
      <c r="CI41" s="33">
        <v>4.1440000000000001</v>
      </c>
      <c r="CJ41" s="33">
        <v>1.413</v>
      </c>
      <c r="CK41" s="33">
        <v>7.875</v>
      </c>
      <c r="CL41" s="33">
        <v>5.3659999999999997</v>
      </c>
      <c r="CM41" s="33">
        <v>4.7629999999999999</v>
      </c>
      <c r="CN41" s="33">
        <v>18.805</v>
      </c>
      <c r="CO41" s="33">
        <v>7.4619999999999997</v>
      </c>
      <c r="CP41" s="33">
        <v>14.86</v>
      </c>
      <c r="CQ41" s="33">
        <v>10.161</v>
      </c>
      <c r="CR41" s="33">
        <v>8.2560000000000002</v>
      </c>
      <c r="CS41" s="33">
        <v>6.9859999999999998</v>
      </c>
      <c r="CT41" s="33">
        <v>9.4619999999999997</v>
      </c>
      <c r="CU41" s="33">
        <v>4.3819999999999997</v>
      </c>
      <c r="CV41" s="33">
        <v>8.0329999999999995</v>
      </c>
      <c r="CW41" s="33">
        <v>8.891</v>
      </c>
      <c r="CX41" s="33">
        <v>3.9689999999999999</v>
      </c>
      <c r="CY41" s="33">
        <v>10.843</v>
      </c>
      <c r="CZ41" s="33">
        <v>3.81</v>
      </c>
      <c r="DA41" s="33">
        <v>9.5259999999999998</v>
      </c>
      <c r="DB41" s="33">
        <v>5.9690000000000003</v>
      </c>
      <c r="DC41" s="33">
        <v>4.4770000000000003</v>
      </c>
      <c r="DD41" s="33">
        <v>5.1120000000000001</v>
      </c>
      <c r="DE41" s="33">
        <v>3.9689999999999999</v>
      </c>
      <c r="DF41" s="33">
        <v>6.859</v>
      </c>
      <c r="DG41" s="33">
        <v>11.414999999999999</v>
      </c>
      <c r="DH41" s="33">
        <v>23.814</v>
      </c>
      <c r="DI41" s="33">
        <v>11.430999999999999</v>
      </c>
      <c r="DJ41" s="33">
        <v>4.7629999999999999</v>
      </c>
      <c r="DK41" s="33">
        <v>6.5730000000000004</v>
      </c>
      <c r="DL41" s="33">
        <v>11.763999999999999</v>
      </c>
      <c r="DM41" s="33">
        <v>5.7149999999999999</v>
      </c>
      <c r="DN41" s="33">
        <v>31.753</v>
      </c>
      <c r="DO41" s="33">
        <v>10.669</v>
      </c>
      <c r="DP41" s="33">
        <v>32.07</v>
      </c>
      <c r="DQ41" s="33">
        <v>0.74299999999999999</v>
      </c>
      <c r="DR41" s="33">
        <v>28.957999999999998</v>
      </c>
      <c r="DS41" s="33">
        <v>5.1120000000000001</v>
      </c>
      <c r="DT41" s="33">
        <v>9.5579999999999998</v>
      </c>
      <c r="DU41" s="33">
        <v>4.7629999999999999</v>
      </c>
      <c r="DV41" s="33">
        <v>3.7719999999999998</v>
      </c>
      <c r="DW41" s="33">
        <v>4.4450000000000003</v>
      </c>
      <c r="DX41" s="33">
        <v>12.352</v>
      </c>
      <c r="DY41" s="33">
        <v>8.2560000000000002</v>
      </c>
      <c r="DZ41" s="33">
        <v>3.7149999999999999</v>
      </c>
      <c r="EA41" s="33">
        <v>12.701000000000001</v>
      </c>
      <c r="EB41" s="33">
        <v>11.430999999999999</v>
      </c>
      <c r="EC41" s="33">
        <v>7.3029999999999999</v>
      </c>
      <c r="ED41" s="33">
        <v>9.1449999999999996</v>
      </c>
      <c r="EE41" s="33">
        <v>15.494999999999999</v>
      </c>
      <c r="EF41" s="33">
        <v>4.7629999999999999</v>
      </c>
      <c r="EG41" s="33">
        <v>2.9209999999999998</v>
      </c>
      <c r="EH41" s="33">
        <v>13.146000000000001</v>
      </c>
      <c r="EI41" s="33">
        <v>4.6989999999999998</v>
      </c>
      <c r="EJ41" s="33">
        <v>2.9209999999999998</v>
      </c>
      <c r="EK41" s="33">
        <v>4.7629999999999999</v>
      </c>
      <c r="EL41" s="33">
        <v>7.6210000000000004</v>
      </c>
      <c r="EM41" s="33">
        <v>10.224</v>
      </c>
      <c r="EN41" s="33">
        <v>5.8419999999999996</v>
      </c>
      <c r="EO41" s="33">
        <v>6.351</v>
      </c>
      <c r="EP41" s="33">
        <v>4.4770000000000003</v>
      </c>
      <c r="EQ41" s="33">
        <v>10.955</v>
      </c>
      <c r="ER41" s="33">
        <v>3.3340000000000001</v>
      </c>
      <c r="ES41" s="33">
        <v>3.6520000000000001</v>
      </c>
      <c r="ET41" s="33">
        <v>7.335</v>
      </c>
      <c r="EU41" s="33">
        <v>26.977</v>
      </c>
      <c r="EV41" s="33">
        <v>5.4770000000000003</v>
      </c>
      <c r="EW41" s="33">
        <v>25.402000000000001</v>
      </c>
      <c r="EX41" s="33">
        <v>28.53</v>
      </c>
      <c r="EY41" s="33">
        <v>1.7150000000000001</v>
      </c>
      <c r="EZ41" s="33">
        <v>2.3050000000000002</v>
      </c>
      <c r="FA41" s="33">
        <v>1.8859999999999999</v>
      </c>
      <c r="FB41" s="33">
        <v>6.351</v>
      </c>
      <c r="FC41" s="33">
        <v>9.0489999999999995</v>
      </c>
      <c r="FD41" s="33">
        <v>6.351</v>
      </c>
      <c r="FE41" s="33">
        <v>8.7639999999999993</v>
      </c>
      <c r="FF41" s="33">
        <v>5.7149999999999999</v>
      </c>
      <c r="FG41" s="33">
        <v>4.7629999999999999</v>
      </c>
      <c r="FH41" s="33">
        <v>3.9689999999999999</v>
      </c>
      <c r="FI41" s="33">
        <v>15.241</v>
      </c>
      <c r="FJ41" s="33">
        <v>9.7230000000000008</v>
      </c>
      <c r="FK41" s="33">
        <v>14.082000000000001</v>
      </c>
      <c r="FL41" s="33">
        <v>4.6989999999999998</v>
      </c>
      <c r="FM41" s="33">
        <v>12.987</v>
      </c>
      <c r="FN41" s="33">
        <v>6.5090000000000003</v>
      </c>
      <c r="FO41" s="33">
        <v>23.37</v>
      </c>
      <c r="FP41" s="33">
        <v>33.340000000000003</v>
      </c>
      <c r="FQ41" s="33">
        <v>6.0960000000000001</v>
      </c>
      <c r="FR41" s="33">
        <v>3.6520000000000001</v>
      </c>
      <c r="FS41" s="33">
        <v>4.3819999999999997</v>
      </c>
      <c r="FT41" s="33">
        <v>5.4770000000000003</v>
      </c>
      <c r="FU41" s="33">
        <v>22.227</v>
      </c>
      <c r="FV41" s="33">
        <v>4.2229999999999999</v>
      </c>
      <c r="FW41" s="33">
        <v>4.82</v>
      </c>
      <c r="FX41" s="33">
        <v>4.7629999999999999</v>
      </c>
      <c r="FY41" s="33">
        <v>4.3819999999999997</v>
      </c>
      <c r="FZ41" s="33">
        <v>4.3819999999999997</v>
      </c>
      <c r="GA41" s="33">
        <v>4.7629999999999999</v>
      </c>
      <c r="GB41" s="33">
        <v>3.9689999999999999</v>
      </c>
      <c r="GC41" s="33">
        <v>2.0960000000000001</v>
      </c>
      <c r="GD41" s="33">
        <v>4.0010000000000003</v>
      </c>
      <c r="GE41" s="33">
        <v>4.3819999999999997</v>
      </c>
      <c r="GF41" s="33">
        <v>33.340000000000003</v>
      </c>
      <c r="GG41" s="33">
        <v>20.321999999999999</v>
      </c>
      <c r="GH41" s="33">
        <v>1.905</v>
      </c>
      <c r="GI41" s="33">
        <v>2.8580000000000001</v>
      </c>
      <c r="GJ41" s="33">
        <v>3.7789999999999999</v>
      </c>
      <c r="GK41" s="33">
        <v>8.5730000000000004</v>
      </c>
      <c r="GL41" s="33">
        <v>6.351</v>
      </c>
      <c r="GM41" s="33">
        <v>2.4279999999999999</v>
      </c>
      <c r="GN41" s="33">
        <v>14.569000000000001</v>
      </c>
      <c r="GO41" s="33">
        <v>5.0990000000000002</v>
      </c>
      <c r="GP41" s="33">
        <v>20.64</v>
      </c>
      <c r="GQ41" s="33">
        <v>3.399</v>
      </c>
      <c r="GR41" s="33">
        <v>28.895</v>
      </c>
      <c r="GS41" s="33">
        <v>7.673</v>
      </c>
      <c r="GT41" s="33">
        <v>23.068000000000001</v>
      </c>
      <c r="GU41" s="33">
        <v>6.1189999999999998</v>
      </c>
      <c r="GV41" s="33">
        <v>4.1079999999999997</v>
      </c>
      <c r="GW41" s="33">
        <v>4.9610000000000003</v>
      </c>
      <c r="GX41" s="33">
        <v>21.125</v>
      </c>
      <c r="GY41" s="33">
        <v>0.97099999999999997</v>
      </c>
      <c r="GZ41" s="33">
        <v>2.9140000000000001</v>
      </c>
      <c r="HA41" s="33">
        <v>7.2380000000000004</v>
      </c>
      <c r="HB41" s="33">
        <v>23.068000000000001</v>
      </c>
      <c r="HC41" s="33">
        <v>23.068000000000001</v>
      </c>
      <c r="HD41" s="33">
        <v>12.141</v>
      </c>
      <c r="HE41" s="3">
        <f>_xlfn.XLOOKUP(HE$1,generator!$B$2:$B$295,generator!$L$2:$L$295,"ARGH")</f>
        <v>17.600000000000001</v>
      </c>
      <c r="HF41" s="3">
        <f>_xlfn.XLOOKUP(HF$1,generator!$B$2:$B$295,generator!$L$2:$L$295,"ARGH")</f>
        <v>285</v>
      </c>
      <c r="HG41" s="3">
        <f>_xlfn.XLOOKUP(HG$1,generator!$B$2:$B$295,generator!$L$2:$L$295,"ARGH")</f>
        <v>285</v>
      </c>
      <c r="HH41" s="3">
        <f>_xlfn.XLOOKUP(HH$1,generator!$B$2:$B$295,generator!$L$2:$L$295,"ARGH")</f>
        <v>285</v>
      </c>
      <c r="HI41" s="3">
        <f>_xlfn.XLOOKUP(HI$1,generator!$B$2:$B$295,generator!$L$2:$L$295,"ARGH")</f>
        <v>58</v>
      </c>
      <c r="HJ41" s="3">
        <f>_xlfn.XLOOKUP(HJ$1,generator!$B$2:$B$295,generator!$L$2:$L$295,"ARGH")</f>
        <v>58</v>
      </c>
      <c r="HK41" s="3">
        <f>_xlfn.XLOOKUP(HK$1,generator!$B$2:$B$295,generator!$L$2:$L$295,"ARGH")</f>
        <v>53</v>
      </c>
      <c r="HL41" s="3">
        <f>_xlfn.XLOOKUP(HL$1,generator!$B$2:$B$295,generator!$L$2:$L$295,"ARGH")</f>
        <v>58</v>
      </c>
      <c r="HM41" s="3">
        <f>_xlfn.XLOOKUP(HM$1,generator!$B$2:$B$295,generator!$L$2:$L$295,"ARGH")</f>
        <v>58</v>
      </c>
      <c r="HN41" s="3">
        <f>_xlfn.XLOOKUP(HN$1,generator!$B$2:$B$295,generator!$L$2:$L$295,"ARGH")</f>
        <v>52</v>
      </c>
      <c r="HO41" s="3">
        <f>_xlfn.XLOOKUP(HO$1,generator!$B$2:$B$295,generator!$L$2:$L$295,"ARGH")</f>
        <v>52</v>
      </c>
      <c r="HP41" s="3">
        <f>_xlfn.XLOOKUP(HP$1,generator!$B$2:$B$295,generator!$L$2:$L$295,"ARGH")</f>
        <v>2</v>
      </c>
      <c r="HQ41" s="3">
        <f>_xlfn.XLOOKUP(HQ$1,generator!$B$2:$B$295,generator!$L$2:$L$295,"ARGH")</f>
        <v>29.2</v>
      </c>
      <c r="HR41" s="3">
        <f>_xlfn.XLOOKUP(HR$1,generator!$B$2:$B$295,generator!$L$2:$L$295,"ARGH")</f>
        <v>29.2</v>
      </c>
      <c r="HS41" s="3">
        <f>_xlfn.XLOOKUP(HS$1,generator!$B$2:$B$295,generator!$L$2:$L$295,"ARGH")</f>
        <v>41.61</v>
      </c>
      <c r="HT41" s="3">
        <f>_xlfn.XLOOKUP(HT$1,generator!$B$2:$B$295,generator!$L$2:$L$295,"ARGH")</f>
        <v>41.61</v>
      </c>
      <c r="HU41" s="3">
        <f>_xlfn.XLOOKUP(HU$1,generator!$B$2:$B$295,generator!$L$2:$L$295,"ARGH")</f>
        <v>160</v>
      </c>
      <c r="HV41" s="3">
        <f>_xlfn.XLOOKUP(HV$1,generator!$B$2:$B$295,generator!$L$2:$L$295,"ARGH")</f>
        <v>260</v>
      </c>
      <c r="HW41" s="3">
        <f>_xlfn.XLOOKUP(HW$1,generator!$B$2:$B$295,generator!$L$2:$L$295,"ARGH")</f>
        <v>52</v>
      </c>
      <c r="HX41" s="3">
        <f>_xlfn.XLOOKUP(HX$1,generator!$B$2:$B$295,generator!$L$2:$L$295,"ARGH")</f>
        <v>52</v>
      </c>
      <c r="HY41" s="3">
        <f>_xlfn.XLOOKUP(HY$1,generator!$B$2:$B$295,generator!$L$2:$L$295,"ARGH")</f>
        <v>101</v>
      </c>
      <c r="HZ41" s="3">
        <f>_xlfn.XLOOKUP(HZ$1,generator!$B$2:$B$295,generator!$L$2:$L$295,"ARGH")</f>
        <v>50</v>
      </c>
      <c r="IA41" s="3">
        <f>_xlfn.XLOOKUP(IA$1,generator!$B$2:$B$295,generator!$L$2:$L$295,"ARGH")</f>
        <v>400</v>
      </c>
      <c r="IB41" s="3">
        <f>_xlfn.XLOOKUP(IB$1,generator!$B$2:$B$295,generator!$L$2:$L$295,"ARGH")</f>
        <v>342</v>
      </c>
      <c r="IC41" s="3">
        <f>_xlfn.XLOOKUP(IC$1,generator!$B$2:$B$295,generator!$L$2:$L$295,"ARGH")</f>
        <v>3.0209999999999999</v>
      </c>
      <c r="ID41" s="3">
        <f>_xlfn.XLOOKUP(ID$1,generator!$B$2:$B$295,generator!$L$2:$L$295,"ARGH")</f>
        <v>200</v>
      </c>
      <c r="IE41" s="3">
        <f>_xlfn.XLOOKUP(IE$1,generator!$B$2:$B$295,generator!$L$2:$L$295,"ARGH")</f>
        <v>404</v>
      </c>
      <c r="IF41" s="3">
        <f>_xlfn.XLOOKUP(IF$1,generator!$B$2:$B$295,generator!$L$2:$L$295,"ARGH")</f>
        <v>21</v>
      </c>
      <c r="IG41" s="3">
        <f>_xlfn.XLOOKUP(IG$1,generator!$B$2:$B$295,generator!$L$2:$L$295,"ARGH")</f>
        <v>22</v>
      </c>
      <c r="IH41" s="3">
        <f>_xlfn.XLOOKUP(IH$1,generator!$B$2:$B$295,generator!$L$2:$L$295,"ARGH")</f>
        <v>19</v>
      </c>
      <c r="II41" s="3">
        <f>_xlfn.XLOOKUP(II$1,generator!$B$2:$B$295,generator!$L$2:$L$295,"ARGH")</f>
        <v>24</v>
      </c>
      <c r="IJ41" s="3">
        <f>_xlfn.XLOOKUP(IJ$1,generator!$B$2:$B$295,generator!$L$2:$L$295,"ARGH")</f>
        <v>4.3</v>
      </c>
      <c r="IK41" s="3">
        <f>_xlfn.XLOOKUP(IK$1,generator!$B$2:$B$295,generator!$L$2:$L$295,"ARGH")</f>
        <v>8</v>
      </c>
      <c r="IL41" s="3">
        <f>_xlfn.XLOOKUP(IL$1,generator!$B$2:$B$295,generator!$L$2:$L$295,"ARGH")</f>
        <v>22.5</v>
      </c>
      <c r="IM41" s="3">
        <f>_xlfn.XLOOKUP(IM$1,generator!$B$2:$B$295,generator!$L$2:$L$295,"ARGH")</f>
        <v>22.5</v>
      </c>
      <c r="IN41" s="3">
        <f>_xlfn.XLOOKUP(IN$1,generator!$B$2:$B$295,generator!$L$2:$L$295,"ARGH")</f>
        <v>10</v>
      </c>
      <c r="IO41" s="3">
        <f>_xlfn.XLOOKUP(IO$1,generator!$B$2:$B$295,generator!$L$2:$L$295,"ARGH")</f>
        <v>10</v>
      </c>
      <c r="IP41" s="3">
        <f>_xlfn.XLOOKUP(IP$1,generator!$B$2:$B$295,generator!$L$2:$L$295,"ARGH")</f>
        <v>15</v>
      </c>
      <c r="IQ41" s="3">
        <f>_xlfn.XLOOKUP(IQ$1,generator!$B$2:$B$295,generator!$L$2:$L$295,"ARGH")</f>
        <v>4</v>
      </c>
      <c r="IR41" s="3">
        <f>_xlfn.XLOOKUP(IR$1,generator!$B$2:$B$295,generator!$L$2:$L$295,"ARGH")</f>
        <v>15</v>
      </c>
      <c r="IS41" s="3">
        <f>_xlfn.XLOOKUP(IS$1,generator!$B$2:$B$295,generator!$L$2:$L$295,"ARGH")</f>
        <v>15</v>
      </c>
      <c r="IT41" s="3">
        <f>_xlfn.XLOOKUP(IT$1,generator!$B$2:$B$295,generator!$L$2:$L$295,"ARGH")</f>
        <v>0.18</v>
      </c>
      <c r="IU41" s="3">
        <f>_xlfn.XLOOKUP(IU$1,generator!$B$2:$B$295,generator!$L$2:$L$295,"ARGH")</f>
        <v>4</v>
      </c>
      <c r="IV41" s="3">
        <f>_xlfn.XLOOKUP(IV$1,generator!$B$2:$B$295,generator!$L$2:$L$295,"ARGH")</f>
        <v>4</v>
      </c>
      <c r="IW41" s="3">
        <f>_xlfn.XLOOKUP(IW$1,generator!$B$2:$B$295,generator!$L$2:$L$295,"ARGH")</f>
        <v>90</v>
      </c>
      <c r="IX41" s="3">
        <f>_xlfn.XLOOKUP(IX$1,generator!$B$2:$B$295,generator!$L$2:$L$295,"ARGH")</f>
        <v>90</v>
      </c>
      <c r="IY41" s="3">
        <f>_xlfn.XLOOKUP(IY$1,generator!$B$2:$B$295,generator!$L$2:$L$295,"ARGH")</f>
        <v>90</v>
      </c>
      <c r="IZ41" s="3">
        <f>_xlfn.XLOOKUP(IZ$1,generator!$B$2:$B$295,generator!$L$2:$L$295,"ARGH")</f>
        <v>449</v>
      </c>
      <c r="JA41" s="3">
        <f>_xlfn.XLOOKUP(JA$1,generator!$B$2:$B$295,generator!$L$2:$L$295,"ARGH")</f>
        <v>83</v>
      </c>
      <c r="JB41" s="3">
        <f>_xlfn.XLOOKUP(JB$1,generator!$B$2:$B$295,generator!$L$2:$L$295,"ARGH")</f>
        <v>83</v>
      </c>
      <c r="JC41" s="3">
        <f>_xlfn.XLOOKUP(JC$1,generator!$B$2:$B$295,generator!$L$2:$L$295,"ARGH")</f>
        <v>247</v>
      </c>
      <c r="JD41" s="3">
        <f>_xlfn.XLOOKUP(JD$1,generator!$B$2:$B$295,generator!$L$2:$L$295,"ARGH")</f>
        <v>247</v>
      </c>
      <c r="JE41" s="3">
        <f>_xlfn.XLOOKUP(JE$1,generator!$B$2:$B$295,generator!$L$2:$L$295,"ARGH")</f>
        <v>425</v>
      </c>
      <c r="JF41" s="3">
        <f>_xlfn.XLOOKUP(JF$1,generator!$B$2:$B$295,generator!$L$2:$L$295,"ARGH")</f>
        <v>63.5</v>
      </c>
      <c r="JG41" s="3">
        <f>_xlfn.XLOOKUP(JG$1,generator!$B$2:$B$295,generator!$L$2:$L$295,"ARGH")</f>
        <v>17</v>
      </c>
      <c r="JH41" s="3">
        <f>_xlfn.XLOOKUP(JH$1,generator!$B$2:$B$295,generator!$L$2:$L$295,"ARGH")</f>
        <v>444</v>
      </c>
      <c r="JI41" s="3">
        <f>_xlfn.XLOOKUP(JI$1,generator!$B$2:$B$295,generator!$L$2:$L$295,"ARGH")</f>
        <v>464</v>
      </c>
      <c r="JJ41" s="3">
        <f>_xlfn.XLOOKUP(JJ$1,generator!$B$2:$B$295,generator!$L$2:$L$295,"ARGH")</f>
        <v>18.54</v>
      </c>
      <c r="JK41" s="3">
        <f>_xlfn.XLOOKUP(JK$1,generator!$B$2:$B$295,generator!$L$2:$L$295,"ARGH")</f>
        <v>18.54</v>
      </c>
      <c r="JL41" s="3">
        <f>_xlfn.XLOOKUP(JL$1,generator!$B$2:$B$295,generator!$L$2:$L$295,"ARGH")</f>
        <v>18.54</v>
      </c>
      <c r="JM41" s="3">
        <f>_xlfn.XLOOKUP(JM$1,generator!$B$2:$B$295,generator!$L$2:$L$295,"ARGH")</f>
        <v>18.54</v>
      </c>
      <c r="JN41" s="3">
        <f>_xlfn.XLOOKUP(JN$1,generator!$B$2:$B$295,generator!$L$2:$L$295,"ARGH")</f>
        <v>18.54</v>
      </c>
      <c r="JO41" s="3">
        <f>_xlfn.XLOOKUP(JO$1,generator!$B$2:$B$295,generator!$L$2:$L$295,"ARGH")</f>
        <v>18.54</v>
      </c>
      <c r="JP41" s="3">
        <f>_xlfn.XLOOKUP(JP$1,generator!$B$2:$B$295,generator!$L$2:$L$295,"ARGH")</f>
        <v>415</v>
      </c>
      <c r="JQ41" s="3">
        <f>_xlfn.XLOOKUP(JQ$1,generator!$B$2:$B$295,generator!$L$2:$L$295,"ARGH")</f>
        <v>63.5</v>
      </c>
      <c r="JR41" s="3">
        <f>_xlfn.XLOOKUP(JR$1,generator!$B$2:$B$295,generator!$L$2:$L$295,"ARGH")</f>
        <v>350</v>
      </c>
      <c r="JS41" s="3">
        <f>_xlfn.XLOOKUP(JS$1,generator!$B$2:$B$295,generator!$L$2:$L$295,"ARGH")</f>
        <v>350</v>
      </c>
      <c r="JT41" s="3">
        <f>_xlfn.XLOOKUP(JT$1,generator!$B$2:$B$295,generator!$L$2:$L$295,"ARGH")</f>
        <v>63.5</v>
      </c>
      <c r="JU41" s="3">
        <f>_xlfn.XLOOKUP(JU$1,generator!$B$2:$B$295,generator!$L$2:$L$295,"ARGH")</f>
        <v>61.5</v>
      </c>
      <c r="JV41" s="3">
        <f>_xlfn.XLOOKUP(JV$1,generator!$B$2:$B$295,generator!$L$2:$L$295,"ARGH")</f>
        <v>240</v>
      </c>
      <c r="JW41" s="3">
        <f>_xlfn.XLOOKUP(JW$1,generator!$B$2:$B$295,generator!$L$2:$L$295,"ARGH")</f>
        <v>236</v>
      </c>
      <c r="JX41" s="3">
        <f>_xlfn.XLOOKUP(JX$1,generator!$B$2:$B$295,generator!$L$2:$L$295,"ARGH")</f>
        <v>20</v>
      </c>
      <c r="JY41" s="3">
        <f>_xlfn.XLOOKUP(JY$1,generator!$B$2:$B$295,generator!$L$2:$L$295,"ARGH")</f>
        <v>118</v>
      </c>
      <c r="JZ41" s="3">
        <f>_xlfn.XLOOKUP(JZ$1,generator!$B$2:$B$295,generator!$L$2:$L$295,"ARGH")</f>
        <v>73</v>
      </c>
      <c r="KA41" s="3">
        <f>_xlfn.XLOOKUP(KA$1,generator!$B$2:$B$295,generator!$L$2:$L$295,"ARGH")</f>
        <v>73</v>
      </c>
      <c r="KB41" s="3">
        <f>_xlfn.XLOOKUP(KB$1,generator!$B$2:$B$295,generator!$L$2:$L$295,"ARGH")</f>
        <v>73</v>
      </c>
      <c r="KC41" s="3">
        <f>_xlfn.XLOOKUP(KC$1,generator!$B$2:$B$295,generator!$L$2:$L$295,"ARGH")</f>
        <v>73</v>
      </c>
    </row>
    <row r="42" spans="1:289" x14ac:dyDescent="0.3">
      <c r="A42" s="4" t="s">
        <v>3037</v>
      </c>
      <c r="B42" s="31">
        <v>530</v>
      </c>
      <c r="C42" s="31">
        <v>513</v>
      </c>
      <c r="D42" s="31">
        <v>442</v>
      </c>
      <c r="E42" s="33">
        <v>8.23</v>
      </c>
      <c r="F42" s="33">
        <v>17.68</v>
      </c>
      <c r="G42" s="33">
        <v>8.23</v>
      </c>
      <c r="H42" s="33">
        <v>13.717000000000001</v>
      </c>
      <c r="I42" s="33">
        <v>27.129000000000001</v>
      </c>
      <c r="J42" s="33">
        <v>25.3</v>
      </c>
      <c r="K42" s="33">
        <v>6.8579999999999997</v>
      </c>
      <c r="L42" s="33">
        <v>5.2430000000000003</v>
      </c>
      <c r="M42" s="33">
        <v>4.5720000000000001</v>
      </c>
      <c r="N42" s="33">
        <v>16.46</v>
      </c>
      <c r="O42" s="33">
        <v>1.6459999999999999</v>
      </c>
      <c r="P42" s="33">
        <v>7.8029999999999999</v>
      </c>
      <c r="Q42" s="33">
        <v>10.73</v>
      </c>
      <c r="R42" s="33">
        <v>5.4870000000000001</v>
      </c>
      <c r="S42" s="33">
        <v>10.471</v>
      </c>
      <c r="T42" s="33">
        <v>7.3159999999999998</v>
      </c>
      <c r="U42" s="33">
        <v>12.802</v>
      </c>
      <c r="V42" s="33">
        <v>6.4470000000000001</v>
      </c>
      <c r="W42" s="33">
        <v>7.0110000000000001</v>
      </c>
      <c r="X42" s="33">
        <v>9.8759999999999994</v>
      </c>
      <c r="Y42" s="33">
        <v>5.1210000000000004</v>
      </c>
      <c r="Z42" s="33">
        <v>3.6269999999999998</v>
      </c>
      <c r="AA42" s="33">
        <v>3.2919999999999998</v>
      </c>
      <c r="AB42" s="33">
        <v>17.375</v>
      </c>
      <c r="AC42" s="33">
        <v>20.027000000000001</v>
      </c>
      <c r="AD42" s="33">
        <v>7.0720000000000001</v>
      </c>
      <c r="AE42" s="33">
        <v>6.0960000000000001</v>
      </c>
      <c r="AF42" s="33">
        <v>17.192</v>
      </c>
      <c r="AG42" s="33">
        <v>6.0960000000000001</v>
      </c>
      <c r="AH42" s="33">
        <v>3.6579999999999999</v>
      </c>
      <c r="AI42" s="33">
        <v>4.085</v>
      </c>
      <c r="AJ42" s="33">
        <v>7.3159999999999998</v>
      </c>
      <c r="AK42" s="33">
        <v>2.6059999999999999</v>
      </c>
      <c r="AL42" s="33">
        <v>11.272</v>
      </c>
      <c r="AM42" s="33">
        <v>14.478999999999999</v>
      </c>
      <c r="AN42" s="33">
        <v>6.0960000000000001</v>
      </c>
      <c r="AO42" s="33">
        <v>4.2069999999999999</v>
      </c>
      <c r="AP42" s="33">
        <v>16.552</v>
      </c>
      <c r="AQ42" s="33">
        <v>5.7</v>
      </c>
      <c r="AR42" s="33">
        <v>5.3339999999999996</v>
      </c>
      <c r="AS42" s="33">
        <v>15.851000000000001</v>
      </c>
      <c r="AT42" s="33">
        <v>4.3079999999999998</v>
      </c>
      <c r="AU42" s="33">
        <v>11.583</v>
      </c>
      <c r="AV42" s="33">
        <v>9.907</v>
      </c>
      <c r="AW42" s="33">
        <v>10.058999999999999</v>
      </c>
      <c r="AX42" s="33">
        <v>5.5780000000000003</v>
      </c>
      <c r="AY42" s="33">
        <v>10.09</v>
      </c>
      <c r="AZ42" s="33">
        <v>11.537000000000001</v>
      </c>
      <c r="BA42" s="33">
        <v>4.2670000000000003</v>
      </c>
      <c r="BB42" s="33">
        <v>14.022</v>
      </c>
      <c r="BC42" s="33">
        <v>6.0960000000000001</v>
      </c>
      <c r="BD42" s="33">
        <v>3.6579999999999999</v>
      </c>
      <c r="BE42" s="33">
        <v>3.5049999999999999</v>
      </c>
      <c r="BF42" s="33">
        <v>27.434000000000001</v>
      </c>
      <c r="BG42" s="33">
        <v>4.5720000000000001</v>
      </c>
      <c r="BH42" s="33">
        <v>7.62</v>
      </c>
      <c r="BI42" s="33">
        <v>6.4009999999999998</v>
      </c>
      <c r="BJ42" s="33">
        <v>12.802</v>
      </c>
      <c r="BK42" s="33">
        <v>3.6579999999999999</v>
      </c>
      <c r="BL42" s="33">
        <v>12.955</v>
      </c>
      <c r="BM42" s="33">
        <v>2.5910000000000002</v>
      </c>
      <c r="BN42" s="33">
        <v>9.1449999999999996</v>
      </c>
      <c r="BO42" s="33">
        <v>12.997999999999999</v>
      </c>
      <c r="BP42" s="33">
        <v>34.81</v>
      </c>
      <c r="BQ42" s="33">
        <v>10.974</v>
      </c>
      <c r="BR42" s="33">
        <v>16.46</v>
      </c>
      <c r="BS42" s="33">
        <v>5.3339999999999996</v>
      </c>
      <c r="BT42" s="33">
        <v>10.516</v>
      </c>
      <c r="BU42" s="33">
        <v>1.4630000000000001</v>
      </c>
      <c r="BV42" s="33">
        <v>3.14</v>
      </c>
      <c r="BW42" s="33">
        <v>4.1390000000000002</v>
      </c>
      <c r="BX42" s="33">
        <v>3.3679999999999999</v>
      </c>
      <c r="BY42" s="33">
        <v>7.62</v>
      </c>
      <c r="BZ42" s="33">
        <v>12.436999999999999</v>
      </c>
      <c r="CA42" s="33">
        <v>18.137</v>
      </c>
      <c r="CB42" s="33">
        <v>10.364000000000001</v>
      </c>
      <c r="CC42" s="33">
        <v>8.6869999999999994</v>
      </c>
      <c r="CD42" s="33">
        <v>11.705</v>
      </c>
      <c r="CE42" s="33">
        <v>7.62</v>
      </c>
      <c r="CF42" s="33">
        <v>4.9080000000000004</v>
      </c>
      <c r="CG42" s="33">
        <v>5.3339999999999996</v>
      </c>
      <c r="CH42" s="33">
        <v>8.52</v>
      </c>
      <c r="CI42" s="33">
        <v>3.9780000000000002</v>
      </c>
      <c r="CJ42" s="33">
        <v>1.3560000000000001</v>
      </c>
      <c r="CK42" s="33">
        <v>7.56</v>
      </c>
      <c r="CL42" s="33">
        <v>5.1509999999999998</v>
      </c>
      <c r="CM42" s="33">
        <v>4.5720000000000001</v>
      </c>
      <c r="CN42" s="33">
        <v>18.053000000000001</v>
      </c>
      <c r="CO42" s="33">
        <v>7.1630000000000003</v>
      </c>
      <c r="CP42" s="33">
        <v>14.266</v>
      </c>
      <c r="CQ42" s="33">
        <v>9.7539999999999996</v>
      </c>
      <c r="CR42" s="33">
        <v>7.9249999999999998</v>
      </c>
      <c r="CS42" s="33">
        <v>6.7060000000000004</v>
      </c>
      <c r="CT42" s="33">
        <v>9.0839999999999996</v>
      </c>
      <c r="CU42" s="33">
        <v>4.2069999999999999</v>
      </c>
      <c r="CV42" s="33">
        <v>7.7119999999999997</v>
      </c>
      <c r="CW42" s="33">
        <v>8.5350000000000001</v>
      </c>
      <c r="CX42" s="33">
        <v>3.81</v>
      </c>
      <c r="CY42" s="33">
        <v>10.41</v>
      </c>
      <c r="CZ42" s="33">
        <v>3.6579999999999999</v>
      </c>
      <c r="DA42" s="33">
        <v>9.1449999999999996</v>
      </c>
      <c r="DB42" s="33">
        <v>5.7309999999999999</v>
      </c>
      <c r="DC42" s="33">
        <v>4.298</v>
      </c>
      <c r="DD42" s="33">
        <v>4.9080000000000004</v>
      </c>
      <c r="DE42" s="33">
        <v>3.81</v>
      </c>
      <c r="DF42" s="33">
        <v>6.5839999999999996</v>
      </c>
      <c r="DG42" s="33">
        <v>10.958</v>
      </c>
      <c r="DH42" s="33">
        <v>22.861000000000001</v>
      </c>
      <c r="DI42" s="33">
        <v>10.974</v>
      </c>
      <c r="DJ42" s="33">
        <v>4.5720000000000001</v>
      </c>
      <c r="DK42" s="33">
        <v>6.31</v>
      </c>
      <c r="DL42" s="33">
        <v>11.294</v>
      </c>
      <c r="DM42" s="33">
        <v>5.4870000000000001</v>
      </c>
      <c r="DN42" s="33">
        <v>30.481999999999999</v>
      </c>
      <c r="DO42" s="33">
        <v>10.242000000000001</v>
      </c>
      <c r="DP42" s="33">
        <v>30.786999999999999</v>
      </c>
      <c r="DQ42" s="33">
        <v>0.71299999999999997</v>
      </c>
      <c r="DR42" s="33">
        <v>27.8</v>
      </c>
      <c r="DS42" s="33">
        <v>4.9080000000000004</v>
      </c>
      <c r="DT42" s="33">
        <v>9.1750000000000007</v>
      </c>
      <c r="DU42" s="33">
        <v>4.5720000000000001</v>
      </c>
      <c r="DV42" s="33">
        <v>3.621</v>
      </c>
      <c r="DW42" s="33">
        <v>4.2670000000000003</v>
      </c>
      <c r="DX42" s="33">
        <v>11.856999999999999</v>
      </c>
      <c r="DY42" s="33">
        <v>7.9249999999999998</v>
      </c>
      <c r="DZ42" s="33">
        <v>3.5659999999999998</v>
      </c>
      <c r="EA42" s="33">
        <v>12.193</v>
      </c>
      <c r="EB42" s="33">
        <v>10.974</v>
      </c>
      <c r="EC42" s="33">
        <v>7.0110000000000001</v>
      </c>
      <c r="ED42" s="33">
        <v>8.7789999999999999</v>
      </c>
      <c r="EE42" s="33">
        <v>14.875</v>
      </c>
      <c r="EF42" s="33">
        <v>4.5720000000000001</v>
      </c>
      <c r="EG42" s="33">
        <v>2.8039999999999998</v>
      </c>
      <c r="EH42" s="33">
        <v>12.62</v>
      </c>
      <c r="EI42" s="33">
        <v>4.5110000000000001</v>
      </c>
      <c r="EJ42" s="33">
        <v>2.8039999999999998</v>
      </c>
      <c r="EK42" s="33">
        <v>4.5720000000000001</v>
      </c>
      <c r="EL42" s="33">
        <v>7.3159999999999998</v>
      </c>
      <c r="EM42" s="33">
        <v>9.8149999999999995</v>
      </c>
      <c r="EN42" s="33">
        <v>5.609</v>
      </c>
      <c r="EO42" s="33">
        <v>6.0960000000000001</v>
      </c>
      <c r="EP42" s="33">
        <v>4.298</v>
      </c>
      <c r="EQ42" s="33">
        <v>10.516</v>
      </c>
      <c r="ER42" s="33">
        <v>3.2010000000000001</v>
      </c>
      <c r="ES42" s="33">
        <v>3.5049999999999999</v>
      </c>
      <c r="ET42" s="33">
        <v>7.0410000000000004</v>
      </c>
      <c r="EU42" s="33">
        <v>25.896999999999998</v>
      </c>
      <c r="EV42" s="33">
        <v>5.258</v>
      </c>
      <c r="EW42" s="33">
        <v>24.385999999999999</v>
      </c>
      <c r="EX42" s="33">
        <v>27.388000000000002</v>
      </c>
      <c r="EY42" s="33">
        <v>1.6459999999999999</v>
      </c>
      <c r="EZ42" s="33">
        <v>2.2130000000000001</v>
      </c>
      <c r="FA42" s="33">
        <v>1.8109999999999999</v>
      </c>
      <c r="FB42" s="33">
        <v>6.0960000000000001</v>
      </c>
      <c r="FC42" s="33">
        <v>8.6869999999999994</v>
      </c>
      <c r="FD42" s="33">
        <v>6.0960000000000001</v>
      </c>
      <c r="FE42" s="33">
        <v>8.4130000000000003</v>
      </c>
      <c r="FF42" s="33">
        <v>5.4870000000000001</v>
      </c>
      <c r="FG42" s="33">
        <v>4.5720000000000001</v>
      </c>
      <c r="FH42" s="33">
        <v>3.81</v>
      </c>
      <c r="FI42" s="33">
        <v>14.631</v>
      </c>
      <c r="FJ42" s="33">
        <v>9.3339999999999996</v>
      </c>
      <c r="FK42" s="33">
        <v>13.519</v>
      </c>
      <c r="FL42" s="33">
        <v>4.5110000000000001</v>
      </c>
      <c r="FM42" s="33">
        <v>12.467000000000001</v>
      </c>
      <c r="FN42" s="33">
        <v>6.2489999999999997</v>
      </c>
      <c r="FO42" s="33">
        <v>22.434999999999999</v>
      </c>
      <c r="FP42" s="33">
        <v>32.006</v>
      </c>
      <c r="FQ42" s="33">
        <v>5.8529999999999998</v>
      </c>
      <c r="FR42" s="33">
        <v>3.5049999999999999</v>
      </c>
      <c r="FS42" s="33">
        <v>4.2069999999999999</v>
      </c>
      <c r="FT42" s="33">
        <v>5.258</v>
      </c>
      <c r="FU42" s="33">
        <v>21.337</v>
      </c>
      <c r="FV42" s="33">
        <v>4.0540000000000003</v>
      </c>
      <c r="FW42" s="33">
        <v>4.6269999999999998</v>
      </c>
      <c r="FX42" s="33">
        <v>4.5720000000000001</v>
      </c>
      <c r="FY42" s="33">
        <v>4.2069999999999999</v>
      </c>
      <c r="FZ42" s="33">
        <v>4.2069999999999999</v>
      </c>
      <c r="GA42" s="33">
        <v>4.5720000000000001</v>
      </c>
      <c r="GB42" s="33">
        <v>3.81</v>
      </c>
      <c r="GC42" s="33">
        <v>2.012</v>
      </c>
      <c r="GD42" s="33">
        <v>3.8410000000000002</v>
      </c>
      <c r="GE42" s="33">
        <v>4.2069999999999999</v>
      </c>
      <c r="GF42" s="33">
        <v>32.006</v>
      </c>
      <c r="GG42" s="33">
        <v>19.507999999999999</v>
      </c>
      <c r="GH42" s="33">
        <v>1.829</v>
      </c>
      <c r="GI42" s="33">
        <v>2.7429999999999999</v>
      </c>
      <c r="GJ42" s="33">
        <v>3.6269999999999998</v>
      </c>
      <c r="GK42" s="33">
        <v>8.23</v>
      </c>
      <c r="GL42" s="33">
        <v>6.0960000000000001</v>
      </c>
      <c r="GM42" s="33">
        <v>1.254</v>
      </c>
      <c r="GN42" s="33">
        <v>7.5220000000000002</v>
      </c>
      <c r="GO42" s="33">
        <v>2.633</v>
      </c>
      <c r="GP42" s="33">
        <v>10.656000000000001</v>
      </c>
      <c r="GQ42" s="33">
        <v>1.7549999999999999</v>
      </c>
      <c r="GR42" s="33">
        <v>14.917999999999999</v>
      </c>
      <c r="GS42" s="33">
        <v>3.9609999999999999</v>
      </c>
      <c r="GT42" s="33">
        <v>11.909000000000001</v>
      </c>
      <c r="GU42" s="33">
        <v>3.1589999999999998</v>
      </c>
      <c r="GV42" s="33">
        <v>2.121</v>
      </c>
      <c r="GW42" s="33">
        <v>2.5609999999999999</v>
      </c>
      <c r="GX42" s="33">
        <v>10.906000000000001</v>
      </c>
      <c r="GY42" s="33">
        <v>0.501</v>
      </c>
      <c r="GZ42" s="33">
        <v>1.504</v>
      </c>
      <c r="HA42" s="33">
        <v>3.7370000000000001</v>
      </c>
      <c r="HB42" s="33">
        <v>11.909000000000001</v>
      </c>
      <c r="HC42" s="33">
        <v>11.909000000000001</v>
      </c>
      <c r="HD42" s="33">
        <v>6.2679999999999998</v>
      </c>
      <c r="HE42" s="3">
        <f>_xlfn.XLOOKUP(HE$1,generator!$B$2:$B$295,generator!$L$2:$L$295,"ARGH")</f>
        <v>17.600000000000001</v>
      </c>
      <c r="HF42" s="3">
        <f>_xlfn.XLOOKUP(HF$1,generator!$B$2:$B$295,generator!$L$2:$L$295,"ARGH")</f>
        <v>285</v>
      </c>
      <c r="HG42" s="3">
        <f>_xlfn.XLOOKUP(HG$1,generator!$B$2:$B$295,generator!$L$2:$L$295,"ARGH")</f>
        <v>285</v>
      </c>
      <c r="HH42" s="3">
        <f>_xlfn.XLOOKUP(HH$1,generator!$B$2:$B$295,generator!$L$2:$L$295,"ARGH")</f>
        <v>285</v>
      </c>
      <c r="HI42" s="3">
        <f>_xlfn.XLOOKUP(HI$1,generator!$B$2:$B$295,generator!$L$2:$L$295,"ARGH")</f>
        <v>58</v>
      </c>
      <c r="HJ42" s="3">
        <f>_xlfn.XLOOKUP(HJ$1,generator!$B$2:$B$295,generator!$L$2:$L$295,"ARGH")</f>
        <v>58</v>
      </c>
      <c r="HK42" s="3">
        <f>_xlfn.XLOOKUP(HK$1,generator!$B$2:$B$295,generator!$L$2:$L$295,"ARGH")</f>
        <v>53</v>
      </c>
      <c r="HL42" s="3">
        <f>_xlfn.XLOOKUP(HL$1,generator!$B$2:$B$295,generator!$L$2:$L$295,"ARGH")</f>
        <v>58</v>
      </c>
      <c r="HM42" s="3">
        <f>_xlfn.XLOOKUP(HM$1,generator!$B$2:$B$295,generator!$L$2:$L$295,"ARGH")</f>
        <v>58</v>
      </c>
      <c r="HN42" s="3">
        <f>_xlfn.XLOOKUP(HN$1,generator!$B$2:$B$295,generator!$L$2:$L$295,"ARGH")</f>
        <v>52</v>
      </c>
      <c r="HO42" s="3">
        <f>_xlfn.XLOOKUP(HO$1,generator!$B$2:$B$295,generator!$L$2:$L$295,"ARGH")</f>
        <v>52</v>
      </c>
      <c r="HP42" s="3">
        <f>_xlfn.XLOOKUP(HP$1,generator!$B$2:$B$295,generator!$L$2:$L$295,"ARGH")</f>
        <v>2</v>
      </c>
      <c r="HQ42" s="3">
        <f>_xlfn.XLOOKUP(HQ$1,generator!$B$2:$B$295,generator!$L$2:$L$295,"ARGH")</f>
        <v>29.2</v>
      </c>
      <c r="HR42" s="3">
        <f>_xlfn.XLOOKUP(HR$1,generator!$B$2:$B$295,generator!$L$2:$L$295,"ARGH")</f>
        <v>29.2</v>
      </c>
      <c r="HS42" s="3">
        <f>_xlfn.XLOOKUP(HS$1,generator!$B$2:$B$295,generator!$L$2:$L$295,"ARGH")</f>
        <v>41.61</v>
      </c>
      <c r="HT42" s="3">
        <f>_xlfn.XLOOKUP(HT$1,generator!$B$2:$B$295,generator!$L$2:$L$295,"ARGH")</f>
        <v>41.61</v>
      </c>
      <c r="HU42" s="3">
        <f>_xlfn.XLOOKUP(HU$1,generator!$B$2:$B$295,generator!$L$2:$L$295,"ARGH")</f>
        <v>160</v>
      </c>
      <c r="HV42" s="3">
        <f>_xlfn.XLOOKUP(HV$1,generator!$B$2:$B$295,generator!$L$2:$L$295,"ARGH")</f>
        <v>260</v>
      </c>
      <c r="HW42" s="3">
        <f>_xlfn.XLOOKUP(HW$1,generator!$B$2:$B$295,generator!$L$2:$L$295,"ARGH")</f>
        <v>52</v>
      </c>
      <c r="HX42" s="3">
        <f>_xlfn.XLOOKUP(HX$1,generator!$B$2:$B$295,generator!$L$2:$L$295,"ARGH")</f>
        <v>52</v>
      </c>
      <c r="HY42" s="3">
        <f>_xlfn.XLOOKUP(HY$1,generator!$B$2:$B$295,generator!$L$2:$L$295,"ARGH")</f>
        <v>101</v>
      </c>
      <c r="HZ42" s="3">
        <f>_xlfn.XLOOKUP(HZ$1,generator!$B$2:$B$295,generator!$L$2:$L$295,"ARGH")</f>
        <v>50</v>
      </c>
      <c r="IA42" s="3">
        <f>_xlfn.XLOOKUP(IA$1,generator!$B$2:$B$295,generator!$L$2:$L$295,"ARGH")</f>
        <v>400</v>
      </c>
      <c r="IB42" s="3">
        <f>_xlfn.XLOOKUP(IB$1,generator!$B$2:$B$295,generator!$L$2:$L$295,"ARGH")</f>
        <v>342</v>
      </c>
      <c r="IC42" s="3">
        <f>_xlfn.XLOOKUP(IC$1,generator!$B$2:$B$295,generator!$L$2:$L$295,"ARGH")</f>
        <v>3.0209999999999999</v>
      </c>
      <c r="ID42" s="3">
        <f>_xlfn.XLOOKUP(ID$1,generator!$B$2:$B$295,generator!$L$2:$L$295,"ARGH")</f>
        <v>200</v>
      </c>
      <c r="IE42" s="3">
        <f>_xlfn.XLOOKUP(IE$1,generator!$B$2:$B$295,generator!$L$2:$L$295,"ARGH")</f>
        <v>404</v>
      </c>
      <c r="IF42" s="3">
        <f>_xlfn.XLOOKUP(IF$1,generator!$B$2:$B$295,generator!$L$2:$L$295,"ARGH")</f>
        <v>21</v>
      </c>
      <c r="IG42" s="3">
        <f>_xlfn.XLOOKUP(IG$1,generator!$B$2:$B$295,generator!$L$2:$L$295,"ARGH")</f>
        <v>22</v>
      </c>
      <c r="IH42" s="3">
        <f>_xlfn.XLOOKUP(IH$1,generator!$B$2:$B$295,generator!$L$2:$L$295,"ARGH")</f>
        <v>19</v>
      </c>
      <c r="II42" s="3">
        <f>_xlfn.XLOOKUP(II$1,generator!$B$2:$B$295,generator!$L$2:$L$295,"ARGH")</f>
        <v>24</v>
      </c>
      <c r="IJ42" s="3">
        <f>_xlfn.XLOOKUP(IJ$1,generator!$B$2:$B$295,generator!$L$2:$L$295,"ARGH")</f>
        <v>4.3</v>
      </c>
      <c r="IK42" s="3">
        <f>_xlfn.XLOOKUP(IK$1,generator!$B$2:$B$295,generator!$L$2:$L$295,"ARGH")</f>
        <v>8</v>
      </c>
      <c r="IL42" s="3">
        <f>_xlfn.XLOOKUP(IL$1,generator!$B$2:$B$295,generator!$L$2:$L$295,"ARGH")</f>
        <v>22.5</v>
      </c>
      <c r="IM42" s="3">
        <f>_xlfn.XLOOKUP(IM$1,generator!$B$2:$B$295,generator!$L$2:$L$295,"ARGH")</f>
        <v>22.5</v>
      </c>
      <c r="IN42" s="3">
        <f>_xlfn.XLOOKUP(IN$1,generator!$B$2:$B$295,generator!$L$2:$L$295,"ARGH")</f>
        <v>10</v>
      </c>
      <c r="IO42" s="3">
        <f>_xlfn.XLOOKUP(IO$1,generator!$B$2:$B$295,generator!$L$2:$L$295,"ARGH")</f>
        <v>10</v>
      </c>
      <c r="IP42" s="3">
        <f>_xlfn.XLOOKUP(IP$1,generator!$B$2:$B$295,generator!$L$2:$L$295,"ARGH")</f>
        <v>15</v>
      </c>
      <c r="IQ42" s="3">
        <f>_xlfn.XLOOKUP(IQ$1,generator!$B$2:$B$295,generator!$L$2:$L$295,"ARGH")</f>
        <v>4</v>
      </c>
      <c r="IR42" s="3">
        <f>_xlfn.XLOOKUP(IR$1,generator!$B$2:$B$295,generator!$L$2:$L$295,"ARGH")</f>
        <v>15</v>
      </c>
      <c r="IS42" s="3">
        <f>_xlfn.XLOOKUP(IS$1,generator!$B$2:$B$295,generator!$L$2:$L$295,"ARGH")</f>
        <v>15</v>
      </c>
      <c r="IT42" s="3">
        <f>_xlfn.XLOOKUP(IT$1,generator!$B$2:$B$295,generator!$L$2:$L$295,"ARGH")</f>
        <v>0.18</v>
      </c>
      <c r="IU42" s="3">
        <f>_xlfn.XLOOKUP(IU$1,generator!$B$2:$B$295,generator!$L$2:$L$295,"ARGH")</f>
        <v>4</v>
      </c>
      <c r="IV42" s="3">
        <f>_xlfn.XLOOKUP(IV$1,generator!$B$2:$B$295,generator!$L$2:$L$295,"ARGH")</f>
        <v>4</v>
      </c>
      <c r="IW42" s="3">
        <f>_xlfn.XLOOKUP(IW$1,generator!$B$2:$B$295,generator!$L$2:$L$295,"ARGH")</f>
        <v>90</v>
      </c>
      <c r="IX42" s="3">
        <f>_xlfn.XLOOKUP(IX$1,generator!$B$2:$B$295,generator!$L$2:$L$295,"ARGH")</f>
        <v>90</v>
      </c>
      <c r="IY42" s="3">
        <f>_xlfn.XLOOKUP(IY$1,generator!$B$2:$B$295,generator!$L$2:$L$295,"ARGH")</f>
        <v>90</v>
      </c>
      <c r="IZ42" s="3">
        <f>_xlfn.XLOOKUP(IZ$1,generator!$B$2:$B$295,generator!$L$2:$L$295,"ARGH")</f>
        <v>449</v>
      </c>
      <c r="JA42" s="3">
        <f>_xlfn.XLOOKUP(JA$1,generator!$B$2:$B$295,generator!$L$2:$L$295,"ARGH")</f>
        <v>83</v>
      </c>
      <c r="JB42" s="3">
        <f>_xlfn.XLOOKUP(JB$1,generator!$B$2:$B$295,generator!$L$2:$L$295,"ARGH")</f>
        <v>83</v>
      </c>
      <c r="JC42" s="3">
        <f>_xlfn.XLOOKUP(JC$1,generator!$B$2:$B$295,generator!$L$2:$L$295,"ARGH")</f>
        <v>247</v>
      </c>
      <c r="JD42" s="3">
        <f>_xlfn.XLOOKUP(JD$1,generator!$B$2:$B$295,generator!$L$2:$L$295,"ARGH")</f>
        <v>247</v>
      </c>
      <c r="JE42" s="3">
        <f>_xlfn.XLOOKUP(JE$1,generator!$B$2:$B$295,generator!$L$2:$L$295,"ARGH")</f>
        <v>425</v>
      </c>
      <c r="JF42" s="3">
        <f>_xlfn.XLOOKUP(JF$1,generator!$B$2:$B$295,generator!$L$2:$L$295,"ARGH")</f>
        <v>63.5</v>
      </c>
      <c r="JG42" s="3">
        <f>_xlfn.XLOOKUP(JG$1,generator!$B$2:$B$295,generator!$L$2:$L$295,"ARGH")</f>
        <v>17</v>
      </c>
      <c r="JH42" s="3">
        <f>_xlfn.XLOOKUP(JH$1,generator!$B$2:$B$295,generator!$L$2:$L$295,"ARGH")</f>
        <v>444</v>
      </c>
      <c r="JI42" s="3">
        <f>_xlfn.XLOOKUP(JI$1,generator!$B$2:$B$295,generator!$L$2:$L$295,"ARGH")</f>
        <v>464</v>
      </c>
      <c r="JJ42" s="3">
        <f>_xlfn.XLOOKUP(JJ$1,generator!$B$2:$B$295,generator!$L$2:$L$295,"ARGH")</f>
        <v>18.54</v>
      </c>
      <c r="JK42" s="3">
        <f>_xlfn.XLOOKUP(JK$1,generator!$B$2:$B$295,generator!$L$2:$L$295,"ARGH")</f>
        <v>18.54</v>
      </c>
      <c r="JL42" s="3">
        <f>_xlfn.XLOOKUP(JL$1,generator!$B$2:$B$295,generator!$L$2:$L$295,"ARGH")</f>
        <v>18.54</v>
      </c>
      <c r="JM42" s="3">
        <f>_xlfn.XLOOKUP(JM$1,generator!$B$2:$B$295,generator!$L$2:$L$295,"ARGH")</f>
        <v>18.54</v>
      </c>
      <c r="JN42" s="3">
        <f>_xlfn.XLOOKUP(JN$1,generator!$B$2:$B$295,generator!$L$2:$L$295,"ARGH")</f>
        <v>18.54</v>
      </c>
      <c r="JO42" s="3">
        <f>_xlfn.XLOOKUP(JO$1,generator!$B$2:$B$295,generator!$L$2:$L$295,"ARGH")</f>
        <v>18.54</v>
      </c>
      <c r="JP42" s="3">
        <f>_xlfn.XLOOKUP(JP$1,generator!$B$2:$B$295,generator!$L$2:$L$295,"ARGH")</f>
        <v>415</v>
      </c>
      <c r="JQ42" s="3">
        <f>_xlfn.XLOOKUP(JQ$1,generator!$B$2:$B$295,generator!$L$2:$L$295,"ARGH")</f>
        <v>63.5</v>
      </c>
      <c r="JR42" s="3">
        <f>_xlfn.XLOOKUP(JR$1,generator!$B$2:$B$295,generator!$L$2:$L$295,"ARGH")</f>
        <v>350</v>
      </c>
      <c r="JS42" s="3">
        <f>_xlfn.XLOOKUP(JS$1,generator!$B$2:$B$295,generator!$L$2:$L$295,"ARGH")</f>
        <v>350</v>
      </c>
      <c r="JT42" s="3">
        <f>_xlfn.XLOOKUP(JT$1,generator!$B$2:$B$295,generator!$L$2:$L$295,"ARGH")</f>
        <v>63.5</v>
      </c>
      <c r="JU42" s="3">
        <f>_xlfn.XLOOKUP(JU$1,generator!$B$2:$B$295,generator!$L$2:$L$295,"ARGH")</f>
        <v>61.5</v>
      </c>
      <c r="JV42" s="3">
        <f>_xlfn.XLOOKUP(JV$1,generator!$B$2:$B$295,generator!$L$2:$L$295,"ARGH")</f>
        <v>240</v>
      </c>
      <c r="JW42" s="3">
        <f>_xlfn.XLOOKUP(JW$1,generator!$B$2:$B$295,generator!$L$2:$L$295,"ARGH")</f>
        <v>236</v>
      </c>
      <c r="JX42" s="3">
        <f>_xlfn.XLOOKUP(JX$1,generator!$B$2:$B$295,generator!$L$2:$L$295,"ARGH")</f>
        <v>20</v>
      </c>
      <c r="JY42" s="3">
        <f>_xlfn.XLOOKUP(JY$1,generator!$B$2:$B$295,generator!$L$2:$L$295,"ARGH")</f>
        <v>118</v>
      </c>
      <c r="JZ42" s="3">
        <f>_xlfn.XLOOKUP(JZ$1,generator!$B$2:$B$295,generator!$L$2:$L$295,"ARGH")</f>
        <v>73</v>
      </c>
      <c r="KA42" s="3">
        <f>_xlfn.XLOOKUP(KA$1,generator!$B$2:$B$295,generator!$L$2:$L$295,"ARGH")</f>
        <v>73</v>
      </c>
      <c r="KB42" s="3">
        <f>_xlfn.XLOOKUP(KB$1,generator!$B$2:$B$295,generator!$L$2:$L$295,"ARGH")</f>
        <v>73</v>
      </c>
      <c r="KC42" s="3">
        <f>_xlfn.XLOOKUP(KC$1,generator!$B$2:$B$295,generator!$L$2:$L$295,"ARGH")</f>
        <v>73</v>
      </c>
    </row>
    <row r="43" spans="1:289" x14ac:dyDescent="0.3">
      <c r="A43" s="4" t="s">
        <v>3038</v>
      </c>
      <c r="B43" s="31">
        <v>530</v>
      </c>
      <c r="C43" s="31">
        <v>513</v>
      </c>
      <c r="D43" s="31">
        <v>442</v>
      </c>
      <c r="E43" s="33">
        <v>7.98</v>
      </c>
      <c r="F43" s="33">
        <v>17.141999999999999</v>
      </c>
      <c r="G43" s="33">
        <v>7.98</v>
      </c>
      <c r="H43" s="33">
        <v>13.3</v>
      </c>
      <c r="I43" s="33">
        <v>26.303999999999998</v>
      </c>
      <c r="J43" s="33">
        <v>24.53</v>
      </c>
      <c r="K43" s="33">
        <v>6.65</v>
      </c>
      <c r="L43" s="33">
        <v>5.0830000000000002</v>
      </c>
      <c r="M43" s="33">
        <v>4.4329999999999998</v>
      </c>
      <c r="N43" s="33">
        <v>15.96</v>
      </c>
      <c r="O43" s="33">
        <v>1.5960000000000001</v>
      </c>
      <c r="P43" s="33">
        <v>7.5659999999999998</v>
      </c>
      <c r="Q43" s="33">
        <v>10.403</v>
      </c>
      <c r="R43" s="33">
        <v>5.32</v>
      </c>
      <c r="S43" s="33">
        <v>10.151999999999999</v>
      </c>
      <c r="T43" s="33">
        <v>7.093</v>
      </c>
      <c r="U43" s="33">
        <v>12.413</v>
      </c>
      <c r="V43" s="33">
        <v>6.2510000000000003</v>
      </c>
      <c r="W43" s="33">
        <v>6.798</v>
      </c>
      <c r="X43" s="33">
        <v>9.5760000000000005</v>
      </c>
      <c r="Y43" s="33">
        <v>4.9649999999999999</v>
      </c>
      <c r="Z43" s="33">
        <v>3.5169999999999999</v>
      </c>
      <c r="AA43" s="33">
        <v>3.1920000000000002</v>
      </c>
      <c r="AB43" s="33">
        <v>16.846</v>
      </c>
      <c r="AC43" s="33">
        <v>19.417000000000002</v>
      </c>
      <c r="AD43" s="33">
        <v>6.8570000000000002</v>
      </c>
      <c r="AE43" s="33">
        <v>5.9109999999999996</v>
      </c>
      <c r="AF43" s="33">
        <v>16.669</v>
      </c>
      <c r="AG43" s="33">
        <v>5.9109999999999996</v>
      </c>
      <c r="AH43" s="33">
        <v>3.5470000000000002</v>
      </c>
      <c r="AI43" s="33">
        <v>3.96</v>
      </c>
      <c r="AJ43" s="33">
        <v>7.093</v>
      </c>
      <c r="AK43" s="33">
        <v>2.5270000000000001</v>
      </c>
      <c r="AL43" s="33">
        <v>10.929</v>
      </c>
      <c r="AM43" s="33">
        <v>14.039</v>
      </c>
      <c r="AN43" s="33">
        <v>5.9109999999999996</v>
      </c>
      <c r="AO43" s="33">
        <v>4.0789999999999997</v>
      </c>
      <c r="AP43" s="33">
        <v>16.047999999999998</v>
      </c>
      <c r="AQ43" s="33">
        <v>5.5270000000000001</v>
      </c>
      <c r="AR43" s="33">
        <v>5.1719999999999997</v>
      </c>
      <c r="AS43" s="33">
        <v>15.368</v>
      </c>
      <c r="AT43" s="33">
        <v>4.1769999999999996</v>
      </c>
      <c r="AU43" s="33">
        <v>11.231</v>
      </c>
      <c r="AV43" s="33">
        <v>9.6050000000000004</v>
      </c>
      <c r="AW43" s="33">
        <v>9.7530000000000001</v>
      </c>
      <c r="AX43" s="33">
        <v>5.4089999999999998</v>
      </c>
      <c r="AY43" s="33">
        <v>9.7829999999999995</v>
      </c>
      <c r="AZ43" s="33">
        <v>11.186</v>
      </c>
      <c r="BA43" s="33">
        <v>4.1379999999999999</v>
      </c>
      <c r="BB43" s="33">
        <v>13.595000000000001</v>
      </c>
      <c r="BC43" s="33">
        <v>5.9109999999999996</v>
      </c>
      <c r="BD43" s="33">
        <v>3.5470000000000002</v>
      </c>
      <c r="BE43" s="33">
        <v>3.399</v>
      </c>
      <c r="BF43" s="33">
        <v>26.599</v>
      </c>
      <c r="BG43" s="33">
        <v>4.4329999999999998</v>
      </c>
      <c r="BH43" s="33">
        <v>7.3890000000000002</v>
      </c>
      <c r="BI43" s="33">
        <v>6.2060000000000004</v>
      </c>
      <c r="BJ43" s="33">
        <v>12.413</v>
      </c>
      <c r="BK43" s="33">
        <v>3.5470000000000002</v>
      </c>
      <c r="BL43" s="33">
        <v>12.561</v>
      </c>
      <c r="BM43" s="33">
        <v>2.512</v>
      </c>
      <c r="BN43" s="33">
        <v>8.8659999999999997</v>
      </c>
      <c r="BO43" s="33">
        <v>12.602</v>
      </c>
      <c r="BP43" s="33">
        <v>33.752000000000002</v>
      </c>
      <c r="BQ43" s="33">
        <v>10.64</v>
      </c>
      <c r="BR43" s="33">
        <v>15.96</v>
      </c>
      <c r="BS43" s="33">
        <v>5.1719999999999997</v>
      </c>
      <c r="BT43" s="33">
        <v>10.196</v>
      </c>
      <c r="BU43" s="33">
        <v>1.419</v>
      </c>
      <c r="BV43" s="33">
        <v>3.044</v>
      </c>
      <c r="BW43" s="33">
        <v>4.0140000000000002</v>
      </c>
      <c r="BX43" s="33">
        <v>3.266</v>
      </c>
      <c r="BY43" s="33">
        <v>7.3890000000000002</v>
      </c>
      <c r="BZ43" s="33">
        <v>12.058</v>
      </c>
      <c r="CA43" s="33">
        <v>17.585000000000001</v>
      </c>
      <c r="CB43" s="33">
        <v>10.048999999999999</v>
      </c>
      <c r="CC43" s="33">
        <v>8.423</v>
      </c>
      <c r="CD43" s="33">
        <v>11.349</v>
      </c>
      <c r="CE43" s="33">
        <v>7.3890000000000002</v>
      </c>
      <c r="CF43" s="33">
        <v>4.758</v>
      </c>
      <c r="CG43" s="33">
        <v>5.1719999999999997</v>
      </c>
      <c r="CH43" s="33">
        <v>8.2609999999999992</v>
      </c>
      <c r="CI43" s="33">
        <v>3.8570000000000002</v>
      </c>
      <c r="CJ43" s="33">
        <v>1.3149999999999999</v>
      </c>
      <c r="CK43" s="33">
        <v>7.33</v>
      </c>
      <c r="CL43" s="33">
        <v>4.9950000000000001</v>
      </c>
      <c r="CM43" s="33">
        <v>4.4329999999999998</v>
      </c>
      <c r="CN43" s="33">
        <v>17.504000000000001</v>
      </c>
      <c r="CO43" s="33">
        <v>6.9450000000000003</v>
      </c>
      <c r="CP43" s="33">
        <v>13.832000000000001</v>
      </c>
      <c r="CQ43" s="33">
        <v>9.4580000000000002</v>
      </c>
      <c r="CR43" s="33">
        <v>7.6840000000000002</v>
      </c>
      <c r="CS43" s="33">
        <v>6.5019999999999998</v>
      </c>
      <c r="CT43" s="33">
        <v>8.8070000000000004</v>
      </c>
      <c r="CU43" s="33">
        <v>4.0789999999999997</v>
      </c>
      <c r="CV43" s="33">
        <v>7.4770000000000003</v>
      </c>
      <c r="CW43" s="33">
        <v>8.2750000000000004</v>
      </c>
      <c r="CX43" s="33">
        <v>3.694</v>
      </c>
      <c r="CY43" s="33">
        <v>10.093</v>
      </c>
      <c r="CZ43" s="33">
        <v>3.5470000000000002</v>
      </c>
      <c r="DA43" s="33">
        <v>8.8659999999999997</v>
      </c>
      <c r="DB43" s="33">
        <v>5.556</v>
      </c>
      <c r="DC43" s="33">
        <v>4.1669999999999998</v>
      </c>
      <c r="DD43" s="33">
        <v>4.758</v>
      </c>
      <c r="DE43" s="33">
        <v>3.694</v>
      </c>
      <c r="DF43" s="33">
        <v>6.3840000000000003</v>
      </c>
      <c r="DG43" s="33">
        <v>10.625</v>
      </c>
      <c r="DH43" s="33">
        <v>22.166</v>
      </c>
      <c r="DI43" s="33">
        <v>10.64</v>
      </c>
      <c r="DJ43" s="33">
        <v>4.4329999999999998</v>
      </c>
      <c r="DK43" s="33">
        <v>6.1180000000000003</v>
      </c>
      <c r="DL43" s="33">
        <v>10.95</v>
      </c>
      <c r="DM43" s="33">
        <v>5.32</v>
      </c>
      <c r="DN43" s="33">
        <v>29.555</v>
      </c>
      <c r="DO43" s="33">
        <v>9.93</v>
      </c>
      <c r="DP43" s="33">
        <v>29.85</v>
      </c>
      <c r="DQ43" s="33">
        <v>0.69199999999999995</v>
      </c>
      <c r="DR43" s="33">
        <v>26.954000000000001</v>
      </c>
      <c r="DS43" s="33">
        <v>4.758</v>
      </c>
      <c r="DT43" s="33">
        <v>8.8960000000000008</v>
      </c>
      <c r="DU43" s="33">
        <v>4.4329999999999998</v>
      </c>
      <c r="DV43" s="33">
        <v>3.5110000000000001</v>
      </c>
      <c r="DW43" s="33">
        <v>4.1379999999999999</v>
      </c>
      <c r="DX43" s="33">
        <v>11.497</v>
      </c>
      <c r="DY43" s="33">
        <v>7.6840000000000002</v>
      </c>
      <c r="DZ43" s="33">
        <v>3.4580000000000002</v>
      </c>
      <c r="EA43" s="33">
        <v>11.821999999999999</v>
      </c>
      <c r="EB43" s="33">
        <v>10.64</v>
      </c>
      <c r="EC43" s="33">
        <v>6.798</v>
      </c>
      <c r="ED43" s="33">
        <v>8.5120000000000005</v>
      </c>
      <c r="EE43" s="33">
        <v>14.423</v>
      </c>
      <c r="EF43" s="33">
        <v>4.4329999999999998</v>
      </c>
      <c r="EG43" s="33">
        <v>2.7189999999999999</v>
      </c>
      <c r="EH43" s="33">
        <v>12.236000000000001</v>
      </c>
      <c r="EI43" s="33">
        <v>4.3739999999999997</v>
      </c>
      <c r="EJ43" s="33">
        <v>2.7189999999999999</v>
      </c>
      <c r="EK43" s="33">
        <v>4.4329999999999998</v>
      </c>
      <c r="EL43" s="33">
        <v>7.093</v>
      </c>
      <c r="EM43" s="33">
        <v>9.5169999999999995</v>
      </c>
      <c r="EN43" s="33">
        <v>5.4379999999999997</v>
      </c>
      <c r="EO43" s="33">
        <v>5.9109999999999996</v>
      </c>
      <c r="EP43" s="33">
        <v>4.1669999999999998</v>
      </c>
      <c r="EQ43" s="33">
        <v>10.196</v>
      </c>
      <c r="ER43" s="33">
        <v>3.1030000000000002</v>
      </c>
      <c r="ES43" s="33">
        <v>3.399</v>
      </c>
      <c r="ET43" s="33">
        <v>6.827</v>
      </c>
      <c r="EU43" s="33">
        <v>25.11</v>
      </c>
      <c r="EV43" s="33">
        <v>5.0979999999999999</v>
      </c>
      <c r="EW43" s="33">
        <v>23.643999999999998</v>
      </c>
      <c r="EX43" s="33">
        <v>26.555</v>
      </c>
      <c r="EY43" s="33">
        <v>1.5960000000000001</v>
      </c>
      <c r="EZ43" s="33">
        <v>2.1459999999999999</v>
      </c>
      <c r="FA43" s="33">
        <v>1.756</v>
      </c>
      <c r="FB43" s="33">
        <v>5.9109999999999996</v>
      </c>
      <c r="FC43" s="33">
        <v>8.423</v>
      </c>
      <c r="FD43" s="33">
        <v>5.9109999999999996</v>
      </c>
      <c r="FE43" s="33">
        <v>8.157</v>
      </c>
      <c r="FF43" s="33">
        <v>5.32</v>
      </c>
      <c r="FG43" s="33">
        <v>4.4329999999999998</v>
      </c>
      <c r="FH43" s="33">
        <v>3.694</v>
      </c>
      <c r="FI43" s="33">
        <v>14.186</v>
      </c>
      <c r="FJ43" s="33">
        <v>9.0500000000000007</v>
      </c>
      <c r="FK43" s="33">
        <v>13.108000000000001</v>
      </c>
      <c r="FL43" s="33">
        <v>4.3739999999999997</v>
      </c>
      <c r="FM43" s="33">
        <v>12.087999999999999</v>
      </c>
      <c r="FN43" s="33">
        <v>6.0590000000000002</v>
      </c>
      <c r="FO43" s="33">
        <v>21.751999999999999</v>
      </c>
      <c r="FP43" s="33">
        <v>31.032</v>
      </c>
      <c r="FQ43" s="33">
        <v>5.6749999999999998</v>
      </c>
      <c r="FR43" s="33">
        <v>3.399</v>
      </c>
      <c r="FS43" s="33">
        <v>4.0789999999999997</v>
      </c>
      <c r="FT43" s="33">
        <v>5.0979999999999999</v>
      </c>
      <c r="FU43" s="33">
        <v>20.687999999999999</v>
      </c>
      <c r="FV43" s="33">
        <v>3.931</v>
      </c>
      <c r="FW43" s="33">
        <v>4.4859999999999998</v>
      </c>
      <c r="FX43" s="33">
        <v>4.4329999999999998</v>
      </c>
      <c r="FY43" s="33">
        <v>4.0789999999999997</v>
      </c>
      <c r="FZ43" s="33">
        <v>4.0789999999999997</v>
      </c>
      <c r="GA43" s="33">
        <v>4.4329999999999998</v>
      </c>
      <c r="GB43" s="33">
        <v>3.694</v>
      </c>
      <c r="GC43" s="33">
        <v>1.9510000000000001</v>
      </c>
      <c r="GD43" s="33">
        <v>3.7240000000000002</v>
      </c>
      <c r="GE43" s="33">
        <v>4.0789999999999997</v>
      </c>
      <c r="GF43" s="33">
        <v>31.032</v>
      </c>
      <c r="GG43" s="33">
        <v>18.914999999999999</v>
      </c>
      <c r="GH43" s="33">
        <v>1.7729999999999999</v>
      </c>
      <c r="GI43" s="33">
        <v>2.66</v>
      </c>
      <c r="GJ43" s="33">
        <v>3.5169999999999999</v>
      </c>
      <c r="GK43" s="33">
        <v>7.98</v>
      </c>
      <c r="GL43" s="33">
        <v>5.9109999999999996</v>
      </c>
      <c r="GM43" s="33">
        <v>0.69699999999999995</v>
      </c>
      <c r="GN43" s="33">
        <v>4.1840000000000002</v>
      </c>
      <c r="GO43" s="33">
        <v>1.4650000000000001</v>
      </c>
      <c r="GP43" s="33">
        <v>5.9279999999999999</v>
      </c>
      <c r="GQ43" s="33">
        <v>0.97599999999999998</v>
      </c>
      <c r="GR43" s="33">
        <v>8.2989999999999995</v>
      </c>
      <c r="GS43" s="33">
        <v>2.2040000000000002</v>
      </c>
      <c r="GT43" s="33">
        <v>6.625</v>
      </c>
      <c r="GU43" s="33">
        <v>1.7569999999999999</v>
      </c>
      <c r="GV43" s="33">
        <v>1.18</v>
      </c>
      <c r="GW43" s="33">
        <v>1.425</v>
      </c>
      <c r="GX43" s="33">
        <v>6.0679999999999996</v>
      </c>
      <c r="GY43" s="33">
        <v>0.27900000000000003</v>
      </c>
      <c r="GZ43" s="33">
        <v>0.83699999999999997</v>
      </c>
      <c r="HA43" s="33">
        <v>2.0790000000000002</v>
      </c>
      <c r="HB43" s="33">
        <v>6.625</v>
      </c>
      <c r="HC43" s="33">
        <v>6.625</v>
      </c>
      <c r="HD43" s="33">
        <v>3.4870000000000001</v>
      </c>
      <c r="HE43" s="3">
        <f>_xlfn.XLOOKUP(HE$1,generator!$B$2:$B$295,generator!$L$2:$L$295,"ARGH")</f>
        <v>17.600000000000001</v>
      </c>
      <c r="HF43" s="3">
        <f>_xlfn.XLOOKUP(HF$1,generator!$B$2:$B$295,generator!$L$2:$L$295,"ARGH")</f>
        <v>285</v>
      </c>
      <c r="HG43" s="3">
        <f>_xlfn.XLOOKUP(HG$1,generator!$B$2:$B$295,generator!$L$2:$L$295,"ARGH")</f>
        <v>285</v>
      </c>
      <c r="HH43" s="3">
        <f>_xlfn.XLOOKUP(HH$1,generator!$B$2:$B$295,generator!$L$2:$L$295,"ARGH")</f>
        <v>285</v>
      </c>
      <c r="HI43" s="3">
        <f>_xlfn.XLOOKUP(HI$1,generator!$B$2:$B$295,generator!$L$2:$L$295,"ARGH")</f>
        <v>58</v>
      </c>
      <c r="HJ43" s="3">
        <f>_xlfn.XLOOKUP(HJ$1,generator!$B$2:$B$295,generator!$L$2:$L$295,"ARGH")</f>
        <v>58</v>
      </c>
      <c r="HK43" s="3">
        <f>_xlfn.XLOOKUP(HK$1,generator!$B$2:$B$295,generator!$L$2:$L$295,"ARGH")</f>
        <v>53</v>
      </c>
      <c r="HL43" s="3">
        <f>_xlfn.XLOOKUP(HL$1,generator!$B$2:$B$295,generator!$L$2:$L$295,"ARGH")</f>
        <v>58</v>
      </c>
      <c r="HM43" s="3">
        <f>_xlfn.XLOOKUP(HM$1,generator!$B$2:$B$295,generator!$L$2:$L$295,"ARGH")</f>
        <v>58</v>
      </c>
      <c r="HN43" s="3">
        <f>_xlfn.XLOOKUP(HN$1,generator!$B$2:$B$295,generator!$L$2:$L$295,"ARGH")</f>
        <v>52</v>
      </c>
      <c r="HO43" s="3">
        <f>_xlfn.XLOOKUP(HO$1,generator!$B$2:$B$295,generator!$L$2:$L$295,"ARGH")</f>
        <v>52</v>
      </c>
      <c r="HP43" s="3">
        <f>_xlfn.XLOOKUP(HP$1,generator!$B$2:$B$295,generator!$L$2:$L$295,"ARGH")</f>
        <v>2</v>
      </c>
      <c r="HQ43" s="3">
        <f>_xlfn.XLOOKUP(HQ$1,generator!$B$2:$B$295,generator!$L$2:$L$295,"ARGH")</f>
        <v>29.2</v>
      </c>
      <c r="HR43" s="3">
        <f>_xlfn.XLOOKUP(HR$1,generator!$B$2:$B$295,generator!$L$2:$L$295,"ARGH")</f>
        <v>29.2</v>
      </c>
      <c r="HS43" s="3">
        <f>_xlfn.XLOOKUP(HS$1,generator!$B$2:$B$295,generator!$L$2:$L$295,"ARGH")</f>
        <v>41.61</v>
      </c>
      <c r="HT43" s="3">
        <f>_xlfn.XLOOKUP(HT$1,generator!$B$2:$B$295,generator!$L$2:$L$295,"ARGH")</f>
        <v>41.61</v>
      </c>
      <c r="HU43" s="3">
        <f>_xlfn.XLOOKUP(HU$1,generator!$B$2:$B$295,generator!$L$2:$L$295,"ARGH")</f>
        <v>160</v>
      </c>
      <c r="HV43" s="3">
        <f>_xlfn.XLOOKUP(HV$1,generator!$B$2:$B$295,generator!$L$2:$L$295,"ARGH")</f>
        <v>260</v>
      </c>
      <c r="HW43" s="3">
        <f>_xlfn.XLOOKUP(HW$1,generator!$B$2:$B$295,generator!$L$2:$L$295,"ARGH")</f>
        <v>52</v>
      </c>
      <c r="HX43" s="3">
        <f>_xlfn.XLOOKUP(HX$1,generator!$B$2:$B$295,generator!$L$2:$L$295,"ARGH")</f>
        <v>52</v>
      </c>
      <c r="HY43" s="3">
        <f>_xlfn.XLOOKUP(HY$1,generator!$B$2:$B$295,generator!$L$2:$L$295,"ARGH")</f>
        <v>101</v>
      </c>
      <c r="HZ43" s="3">
        <f>_xlfn.XLOOKUP(HZ$1,generator!$B$2:$B$295,generator!$L$2:$L$295,"ARGH")</f>
        <v>50</v>
      </c>
      <c r="IA43" s="3">
        <f>_xlfn.XLOOKUP(IA$1,generator!$B$2:$B$295,generator!$L$2:$L$295,"ARGH")</f>
        <v>400</v>
      </c>
      <c r="IB43" s="3">
        <f>_xlfn.XLOOKUP(IB$1,generator!$B$2:$B$295,generator!$L$2:$L$295,"ARGH")</f>
        <v>342</v>
      </c>
      <c r="IC43" s="3">
        <f>_xlfn.XLOOKUP(IC$1,generator!$B$2:$B$295,generator!$L$2:$L$295,"ARGH")</f>
        <v>3.0209999999999999</v>
      </c>
      <c r="ID43" s="3">
        <f>_xlfn.XLOOKUP(ID$1,generator!$B$2:$B$295,generator!$L$2:$L$295,"ARGH")</f>
        <v>200</v>
      </c>
      <c r="IE43" s="3">
        <f>_xlfn.XLOOKUP(IE$1,generator!$B$2:$B$295,generator!$L$2:$L$295,"ARGH")</f>
        <v>404</v>
      </c>
      <c r="IF43" s="3">
        <f>_xlfn.XLOOKUP(IF$1,generator!$B$2:$B$295,generator!$L$2:$L$295,"ARGH")</f>
        <v>21</v>
      </c>
      <c r="IG43" s="3">
        <f>_xlfn.XLOOKUP(IG$1,generator!$B$2:$B$295,generator!$L$2:$L$295,"ARGH")</f>
        <v>22</v>
      </c>
      <c r="IH43" s="3">
        <f>_xlfn.XLOOKUP(IH$1,generator!$B$2:$B$295,generator!$L$2:$L$295,"ARGH")</f>
        <v>19</v>
      </c>
      <c r="II43" s="3">
        <f>_xlfn.XLOOKUP(II$1,generator!$B$2:$B$295,generator!$L$2:$L$295,"ARGH")</f>
        <v>24</v>
      </c>
      <c r="IJ43" s="3">
        <f>_xlfn.XLOOKUP(IJ$1,generator!$B$2:$B$295,generator!$L$2:$L$295,"ARGH")</f>
        <v>4.3</v>
      </c>
      <c r="IK43" s="3">
        <f>_xlfn.XLOOKUP(IK$1,generator!$B$2:$B$295,generator!$L$2:$L$295,"ARGH")</f>
        <v>8</v>
      </c>
      <c r="IL43" s="3">
        <f>_xlfn.XLOOKUP(IL$1,generator!$B$2:$B$295,generator!$L$2:$L$295,"ARGH")</f>
        <v>22.5</v>
      </c>
      <c r="IM43" s="3">
        <f>_xlfn.XLOOKUP(IM$1,generator!$B$2:$B$295,generator!$L$2:$L$295,"ARGH")</f>
        <v>22.5</v>
      </c>
      <c r="IN43" s="3">
        <f>_xlfn.XLOOKUP(IN$1,generator!$B$2:$B$295,generator!$L$2:$L$295,"ARGH")</f>
        <v>10</v>
      </c>
      <c r="IO43" s="3">
        <f>_xlfn.XLOOKUP(IO$1,generator!$B$2:$B$295,generator!$L$2:$L$295,"ARGH")</f>
        <v>10</v>
      </c>
      <c r="IP43" s="3">
        <f>_xlfn.XLOOKUP(IP$1,generator!$B$2:$B$295,generator!$L$2:$L$295,"ARGH")</f>
        <v>15</v>
      </c>
      <c r="IQ43" s="3">
        <f>_xlfn.XLOOKUP(IQ$1,generator!$B$2:$B$295,generator!$L$2:$L$295,"ARGH")</f>
        <v>4</v>
      </c>
      <c r="IR43" s="3">
        <f>_xlfn.XLOOKUP(IR$1,generator!$B$2:$B$295,generator!$L$2:$L$295,"ARGH")</f>
        <v>15</v>
      </c>
      <c r="IS43" s="3">
        <f>_xlfn.XLOOKUP(IS$1,generator!$B$2:$B$295,generator!$L$2:$L$295,"ARGH")</f>
        <v>15</v>
      </c>
      <c r="IT43" s="3">
        <f>_xlfn.XLOOKUP(IT$1,generator!$B$2:$B$295,generator!$L$2:$L$295,"ARGH")</f>
        <v>0.18</v>
      </c>
      <c r="IU43" s="3">
        <f>_xlfn.XLOOKUP(IU$1,generator!$B$2:$B$295,generator!$L$2:$L$295,"ARGH")</f>
        <v>4</v>
      </c>
      <c r="IV43" s="3">
        <f>_xlfn.XLOOKUP(IV$1,generator!$B$2:$B$295,generator!$L$2:$L$295,"ARGH")</f>
        <v>4</v>
      </c>
      <c r="IW43" s="3">
        <f>_xlfn.XLOOKUP(IW$1,generator!$B$2:$B$295,generator!$L$2:$L$295,"ARGH")</f>
        <v>90</v>
      </c>
      <c r="IX43" s="3">
        <f>_xlfn.XLOOKUP(IX$1,generator!$B$2:$B$295,generator!$L$2:$L$295,"ARGH")</f>
        <v>90</v>
      </c>
      <c r="IY43" s="3">
        <f>_xlfn.XLOOKUP(IY$1,generator!$B$2:$B$295,generator!$L$2:$L$295,"ARGH")</f>
        <v>90</v>
      </c>
      <c r="IZ43" s="3">
        <f>_xlfn.XLOOKUP(IZ$1,generator!$B$2:$B$295,generator!$L$2:$L$295,"ARGH")</f>
        <v>449</v>
      </c>
      <c r="JA43" s="3">
        <f>_xlfn.XLOOKUP(JA$1,generator!$B$2:$B$295,generator!$L$2:$L$295,"ARGH")</f>
        <v>83</v>
      </c>
      <c r="JB43" s="3">
        <f>_xlfn.XLOOKUP(JB$1,generator!$B$2:$B$295,generator!$L$2:$L$295,"ARGH")</f>
        <v>83</v>
      </c>
      <c r="JC43" s="3">
        <f>_xlfn.XLOOKUP(JC$1,generator!$B$2:$B$295,generator!$L$2:$L$295,"ARGH")</f>
        <v>247</v>
      </c>
      <c r="JD43" s="3">
        <f>_xlfn.XLOOKUP(JD$1,generator!$B$2:$B$295,generator!$L$2:$L$295,"ARGH")</f>
        <v>247</v>
      </c>
      <c r="JE43" s="3">
        <f>_xlfn.XLOOKUP(JE$1,generator!$B$2:$B$295,generator!$L$2:$L$295,"ARGH")</f>
        <v>425</v>
      </c>
      <c r="JF43" s="3">
        <f>_xlfn.XLOOKUP(JF$1,generator!$B$2:$B$295,generator!$L$2:$L$295,"ARGH")</f>
        <v>63.5</v>
      </c>
      <c r="JG43" s="3">
        <f>_xlfn.XLOOKUP(JG$1,generator!$B$2:$B$295,generator!$L$2:$L$295,"ARGH")</f>
        <v>17</v>
      </c>
      <c r="JH43" s="3">
        <f>_xlfn.XLOOKUP(JH$1,generator!$B$2:$B$295,generator!$L$2:$L$295,"ARGH")</f>
        <v>444</v>
      </c>
      <c r="JI43" s="3">
        <f>_xlfn.XLOOKUP(JI$1,generator!$B$2:$B$295,generator!$L$2:$L$295,"ARGH")</f>
        <v>464</v>
      </c>
      <c r="JJ43" s="3">
        <f>_xlfn.XLOOKUP(JJ$1,generator!$B$2:$B$295,generator!$L$2:$L$295,"ARGH")</f>
        <v>18.54</v>
      </c>
      <c r="JK43" s="3">
        <f>_xlfn.XLOOKUP(JK$1,generator!$B$2:$B$295,generator!$L$2:$L$295,"ARGH")</f>
        <v>18.54</v>
      </c>
      <c r="JL43" s="3">
        <f>_xlfn.XLOOKUP(JL$1,generator!$B$2:$B$295,generator!$L$2:$L$295,"ARGH")</f>
        <v>18.54</v>
      </c>
      <c r="JM43" s="3">
        <f>_xlfn.XLOOKUP(JM$1,generator!$B$2:$B$295,generator!$L$2:$L$295,"ARGH")</f>
        <v>18.54</v>
      </c>
      <c r="JN43" s="3">
        <f>_xlfn.XLOOKUP(JN$1,generator!$B$2:$B$295,generator!$L$2:$L$295,"ARGH")</f>
        <v>18.54</v>
      </c>
      <c r="JO43" s="3">
        <f>_xlfn.XLOOKUP(JO$1,generator!$B$2:$B$295,generator!$L$2:$L$295,"ARGH")</f>
        <v>18.54</v>
      </c>
      <c r="JP43" s="3">
        <f>_xlfn.XLOOKUP(JP$1,generator!$B$2:$B$295,generator!$L$2:$L$295,"ARGH")</f>
        <v>415</v>
      </c>
      <c r="JQ43" s="3">
        <f>_xlfn.XLOOKUP(JQ$1,generator!$B$2:$B$295,generator!$L$2:$L$295,"ARGH")</f>
        <v>63.5</v>
      </c>
      <c r="JR43" s="3">
        <f>_xlfn.XLOOKUP(JR$1,generator!$B$2:$B$295,generator!$L$2:$L$295,"ARGH")</f>
        <v>350</v>
      </c>
      <c r="JS43" s="3">
        <f>_xlfn.XLOOKUP(JS$1,generator!$B$2:$B$295,generator!$L$2:$L$295,"ARGH")</f>
        <v>350</v>
      </c>
      <c r="JT43" s="3">
        <f>_xlfn.XLOOKUP(JT$1,generator!$B$2:$B$295,generator!$L$2:$L$295,"ARGH")</f>
        <v>63.5</v>
      </c>
      <c r="JU43" s="3">
        <f>_xlfn.XLOOKUP(JU$1,generator!$B$2:$B$295,generator!$L$2:$L$295,"ARGH")</f>
        <v>61.5</v>
      </c>
      <c r="JV43" s="3">
        <f>_xlfn.XLOOKUP(JV$1,generator!$B$2:$B$295,generator!$L$2:$L$295,"ARGH")</f>
        <v>240</v>
      </c>
      <c r="JW43" s="3">
        <f>_xlfn.XLOOKUP(JW$1,generator!$B$2:$B$295,generator!$L$2:$L$295,"ARGH")</f>
        <v>236</v>
      </c>
      <c r="JX43" s="3">
        <f>_xlfn.XLOOKUP(JX$1,generator!$B$2:$B$295,generator!$L$2:$L$295,"ARGH")</f>
        <v>20</v>
      </c>
      <c r="JY43" s="3">
        <f>_xlfn.XLOOKUP(JY$1,generator!$B$2:$B$295,generator!$L$2:$L$295,"ARGH")</f>
        <v>118</v>
      </c>
      <c r="JZ43" s="3">
        <f>_xlfn.XLOOKUP(JZ$1,generator!$B$2:$B$295,generator!$L$2:$L$295,"ARGH")</f>
        <v>73</v>
      </c>
      <c r="KA43" s="3">
        <f>_xlfn.XLOOKUP(KA$1,generator!$B$2:$B$295,generator!$L$2:$L$295,"ARGH")</f>
        <v>73</v>
      </c>
      <c r="KB43" s="3">
        <f>_xlfn.XLOOKUP(KB$1,generator!$B$2:$B$295,generator!$L$2:$L$295,"ARGH")</f>
        <v>73</v>
      </c>
      <c r="KC43" s="3">
        <f>_xlfn.XLOOKUP(KC$1,generator!$B$2:$B$295,generator!$L$2:$L$295,"ARGH")</f>
        <v>73</v>
      </c>
    </row>
    <row r="44" spans="1:289" x14ac:dyDescent="0.3">
      <c r="A44" s="4" t="s">
        <v>3039</v>
      </c>
      <c r="B44" s="31">
        <v>530</v>
      </c>
      <c r="C44" s="31">
        <v>513</v>
      </c>
      <c r="D44" s="31">
        <v>442</v>
      </c>
      <c r="E44" s="33">
        <v>7.8419999999999996</v>
      </c>
      <c r="F44" s="33">
        <v>16.847000000000001</v>
      </c>
      <c r="G44" s="33">
        <v>7.8419999999999996</v>
      </c>
      <c r="H44" s="33">
        <v>13.071</v>
      </c>
      <c r="I44" s="33">
        <v>25.850999999999999</v>
      </c>
      <c r="J44" s="33">
        <v>24.108000000000001</v>
      </c>
      <c r="K44" s="33">
        <v>6.5350000000000001</v>
      </c>
      <c r="L44" s="33">
        <v>4.9960000000000004</v>
      </c>
      <c r="M44" s="33">
        <v>4.3570000000000002</v>
      </c>
      <c r="N44" s="33">
        <v>15.685</v>
      </c>
      <c r="O44" s="33">
        <v>1.5680000000000001</v>
      </c>
      <c r="P44" s="33">
        <v>7.4359999999999999</v>
      </c>
      <c r="Q44" s="33">
        <v>10.224</v>
      </c>
      <c r="R44" s="33">
        <v>5.2279999999999998</v>
      </c>
      <c r="S44" s="33">
        <v>9.9770000000000003</v>
      </c>
      <c r="T44" s="33">
        <v>6.9710000000000001</v>
      </c>
      <c r="U44" s="33">
        <v>12.199</v>
      </c>
      <c r="V44" s="33">
        <v>6.1429999999999998</v>
      </c>
      <c r="W44" s="33">
        <v>6.681</v>
      </c>
      <c r="X44" s="33">
        <v>9.4109999999999996</v>
      </c>
      <c r="Y44" s="33">
        <v>4.88</v>
      </c>
      <c r="Z44" s="33">
        <v>3.4569999999999999</v>
      </c>
      <c r="AA44" s="33">
        <v>3.137</v>
      </c>
      <c r="AB44" s="33">
        <v>16.556000000000001</v>
      </c>
      <c r="AC44" s="33">
        <v>19.082999999999998</v>
      </c>
      <c r="AD44" s="33">
        <v>6.7389999999999999</v>
      </c>
      <c r="AE44" s="33">
        <v>5.8090000000000002</v>
      </c>
      <c r="AF44" s="33">
        <v>16.382000000000001</v>
      </c>
      <c r="AG44" s="33">
        <v>5.8090000000000002</v>
      </c>
      <c r="AH44" s="33">
        <v>3.4860000000000002</v>
      </c>
      <c r="AI44" s="33">
        <v>3.8919999999999999</v>
      </c>
      <c r="AJ44" s="33">
        <v>6.9710000000000001</v>
      </c>
      <c r="AK44" s="33">
        <v>2.4830000000000001</v>
      </c>
      <c r="AL44" s="33">
        <v>10.741</v>
      </c>
      <c r="AM44" s="33">
        <v>13.797000000000001</v>
      </c>
      <c r="AN44" s="33">
        <v>5.8090000000000002</v>
      </c>
      <c r="AO44" s="33">
        <v>4.008</v>
      </c>
      <c r="AP44" s="33">
        <v>15.772</v>
      </c>
      <c r="AQ44" s="33">
        <v>5.4320000000000004</v>
      </c>
      <c r="AR44" s="33">
        <v>5.0830000000000002</v>
      </c>
      <c r="AS44" s="33">
        <v>15.103999999999999</v>
      </c>
      <c r="AT44" s="33">
        <v>4.1050000000000004</v>
      </c>
      <c r="AU44" s="33">
        <v>11.038</v>
      </c>
      <c r="AV44" s="33">
        <v>9.44</v>
      </c>
      <c r="AW44" s="33">
        <v>9.5850000000000009</v>
      </c>
      <c r="AX44" s="33">
        <v>5.3150000000000004</v>
      </c>
      <c r="AY44" s="33">
        <v>9.6140000000000008</v>
      </c>
      <c r="AZ44" s="33">
        <v>10.994</v>
      </c>
      <c r="BA44" s="33">
        <v>4.0659999999999998</v>
      </c>
      <c r="BB44" s="33">
        <v>13.361000000000001</v>
      </c>
      <c r="BC44" s="33">
        <v>5.8090000000000002</v>
      </c>
      <c r="BD44" s="33">
        <v>3.4860000000000002</v>
      </c>
      <c r="BE44" s="33">
        <v>3.34</v>
      </c>
      <c r="BF44" s="33">
        <v>26.141999999999999</v>
      </c>
      <c r="BG44" s="33">
        <v>4.3570000000000002</v>
      </c>
      <c r="BH44" s="33">
        <v>7.2619999999999996</v>
      </c>
      <c r="BI44" s="33">
        <v>6.1</v>
      </c>
      <c r="BJ44" s="33">
        <v>12.199</v>
      </c>
      <c r="BK44" s="33">
        <v>3.4860000000000002</v>
      </c>
      <c r="BL44" s="33">
        <v>12.345000000000001</v>
      </c>
      <c r="BM44" s="33">
        <v>2.4689999999999999</v>
      </c>
      <c r="BN44" s="33">
        <v>8.7140000000000004</v>
      </c>
      <c r="BO44" s="33">
        <v>12.385</v>
      </c>
      <c r="BP44" s="33">
        <v>33.170999999999999</v>
      </c>
      <c r="BQ44" s="33">
        <v>10.457000000000001</v>
      </c>
      <c r="BR44" s="33">
        <v>15.685</v>
      </c>
      <c r="BS44" s="33">
        <v>5.0830000000000002</v>
      </c>
      <c r="BT44" s="33">
        <v>10.021000000000001</v>
      </c>
      <c r="BU44" s="33">
        <v>1.3939999999999999</v>
      </c>
      <c r="BV44" s="33">
        <v>2.992</v>
      </c>
      <c r="BW44" s="33">
        <v>3.944</v>
      </c>
      <c r="BX44" s="33">
        <v>3.21</v>
      </c>
      <c r="BY44" s="33">
        <v>7.2619999999999996</v>
      </c>
      <c r="BZ44" s="33">
        <v>11.851000000000001</v>
      </c>
      <c r="CA44" s="33">
        <v>17.283000000000001</v>
      </c>
      <c r="CB44" s="33">
        <v>9.8759999999999994</v>
      </c>
      <c r="CC44" s="33">
        <v>8.2780000000000005</v>
      </c>
      <c r="CD44" s="33">
        <v>11.154</v>
      </c>
      <c r="CE44" s="33">
        <v>7.2619999999999996</v>
      </c>
      <c r="CF44" s="33">
        <v>4.6760000000000002</v>
      </c>
      <c r="CG44" s="33">
        <v>5.0830000000000002</v>
      </c>
      <c r="CH44" s="33">
        <v>8.1180000000000003</v>
      </c>
      <c r="CI44" s="33">
        <v>3.7909999999999999</v>
      </c>
      <c r="CJ44" s="33">
        <v>1.2929999999999999</v>
      </c>
      <c r="CK44" s="33">
        <v>7.2030000000000003</v>
      </c>
      <c r="CL44" s="33">
        <v>4.9089999999999998</v>
      </c>
      <c r="CM44" s="33">
        <v>4.3570000000000002</v>
      </c>
      <c r="CN44" s="33">
        <v>17.202999999999999</v>
      </c>
      <c r="CO44" s="33">
        <v>6.8259999999999996</v>
      </c>
      <c r="CP44" s="33">
        <v>13.593999999999999</v>
      </c>
      <c r="CQ44" s="33">
        <v>9.2949999999999999</v>
      </c>
      <c r="CR44" s="33">
        <v>7.5519999999999996</v>
      </c>
      <c r="CS44" s="33">
        <v>6.39</v>
      </c>
      <c r="CT44" s="33">
        <v>8.6560000000000006</v>
      </c>
      <c r="CU44" s="33">
        <v>4.008</v>
      </c>
      <c r="CV44" s="33">
        <v>7.3490000000000002</v>
      </c>
      <c r="CW44" s="33">
        <v>8.1329999999999991</v>
      </c>
      <c r="CX44" s="33">
        <v>3.6309999999999998</v>
      </c>
      <c r="CY44" s="33">
        <v>9.9190000000000005</v>
      </c>
      <c r="CZ44" s="33">
        <v>3.4860000000000002</v>
      </c>
      <c r="DA44" s="33">
        <v>8.7140000000000004</v>
      </c>
      <c r="DB44" s="33">
        <v>5.4610000000000003</v>
      </c>
      <c r="DC44" s="33">
        <v>4.0960000000000001</v>
      </c>
      <c r="DD44" s="33">
        <v>4.6760000000000002</v>
      </c>
      <c r="DE44" s="33">
        <v>3.6309999999999998</v>
      </c>
      <c r="DF44" s="33">
        <v>6.274</v>
      </c>
      <c r="DG44" s="33">
        <v>10.442</v>
      </c>
      <c r="DH44" s="33">
        <v>21.785</v>
      </c>
      <c r="DI44" s="33">
        <v>10.457000000000001</v>
      </c>
      <c r="DJ44" s="33">
        <v>4.3570000000000002</v>
      </c>
      <c r="DK44" s="33">
        <v>6.0129999999999999</v>
      </c>
      <c r="DL44" s="33">
        <v>10.762</v>
      </c>
      <c r="DM44" s="33">
        <v>5.2279999999999998</v>
      </c>
      <c r="DN44" s="33">
        <v>29.045999999999999</v>
      </c>
      <c r="DO44" s="33">
        <v>9.76</v>
      </c>
      <c r="DP44" s="33">
        <v>29.337</v>
      </c>
      <c r="DQ44" s="33">
        <v>0.68</v>
      </c>
      <c r="DR44" s="33">
        <v>26.49</v>
      </c>
      <c r="DS44" s="33">
        <v>4.6760000000000002</v>
      </c>
      <c r="DT44" s="33">
        <v>8.7430000000000003</v>
      </c>
      <c r="DU44" s="33">
        <v>4.3570000000000002</v>
      </c>
      <c r="DV44" s="33">
        <v>3.4510000000000001</v>
      </c>
      <c r="DW44" s="33">
        <v>4.0659999999999998</v>
      </c>
      <c r="DX44" s="33">
        <v>11.298999999999999</v>
      </c>
      <c r="DY44" s="33">
        <v>7.5519999999999996</v>
      </c>
      <c r="DZ44" s="33">
        <v>3.3980000000000001</v>
      </c>
      <c r="EA44" s="33">
        <v>11.619</v>
      </c>
      <c r="EB44" s="33">
        <v>10.457000000000001</v>
      </c>
      <c r="EC44" s="33">
        <v>6.681</v>
      </c>
      <c r="ED44" s="33">
        <v>8.3650000000000002</v>
      </c>
      <c r="EE44" s="33">
        <v>14.175000000000001</v>
      </c>
      <c r="EF44" s="33">
        <v>4.3570000000000002</v>
      </c>
      <c r="EG44" s="33">
        <v>2.6720000000000002</v>
      </c>
      <c r="EH44" s="33">
        <v>12.025</v>
      </c>
      <c r="EI44" s="33">
        <v>4.2990000000000004</v>
      </c>
      <c r="EJ44" s="33">
        <v>2.6720000000000002</v>
      </c>
      <c r="EK44" s="33">
        <v>4.3570000000000002</v>
      </c>
      <c r="EL44" s="33">
        <v>6.9710000000000001</v>
      </c>
      <c r="EM44" s="33">
        <v>9.3529999999999998</v>
      </c>
      <c r="EN44" s="33">
        <v>5.3449999999999998</v>
      </c>
      <c r="EO44" s="33">
        <v>5.8090000000000002</v>
      </c>
      <c r="EP44" s="33">
        <v>4.0960000000000001</v>
      </c>
      <c r="EQ44" s="33">
        <v>10.021000000000001</v>
      </c>
      <c r="ER44" s="33">
        <v>3.05</v>
      </c>
      <c r="ES44" s="33">
        <v>3.34</v>
      </c>
      <c r="ET44" s="33">
        <v>6.71</v>
      </c>
      <c r="EU44" s="33">
        <v>24.678000000000001</v>
      </c>
      <c r="EV44" s="33">
        <v>5.01</v>
      </c>
      <c r="EW44" s="33">
        <v>23.236999999999998</v>
      </c>
      <c r="EX44" s="33">
        <v>26.097999999999999</v>
      </c>
      <c r="EY44" s="33">
        <v>1.5680000000000001</v>
      </c>
      <c r="EZ44" s="33">
        <v>2.109</v>
      </c>
      <c r="FA44" s="33">
        <v>1.7250000000000001</v>
      </c>
      <c r="FB44" s="33">
        <v>5.8090000000000002</v>
      </c>
      <c r="FC44" s="33">
        <v>8.2780000000000005</v>
      </c>
      <c r="FD44" s="33">
        <v>5.8090000000000002</v>
      </c>
      <c r="FE44" s="33">
        <v>8.0169999999999995</v>
      </c>
      <c r="FF44" s="33">
        <v>5.2279999999999998</v>
      </c>
      <c r="FG44" s="33">
        <v>4.3570000000000002</v>
      </c>
      <c r="FH44" s="33">
        <v>3.6309999999999998</v>
      </c>
      <c r="FI44" s="33">
        <v>13.942</v>
      </c>
      <c r="FJ44" s="33">
        <v>8.8940000000000001</v>
      </c>
      <c r="FK44" s="33">
        <v>12.882</v>
      </c>
      <c r="FL44" s="33">
        <v>4.2990000000000004</v>
      </c>
      <c r="FM44" s="33">
        <v>11.88</v>
      </c>
      <c r="FN44" s="33">
        <v>5.9539999999999997</v>
      </c>
      <c r="FO44" s="33">
        <v>21.378</v>
      </c>
      <c r="FP44" s="33">
        <v>30.498999999999999</v>
      </c>
      <c r="FQ44" s="33">
        <v>5.577</v>
      </c>
      <c r="FR44" s="33">
        <v>3.34</v>
      </c>
      <c r="FS44" s="33">
        <v>4.008</v>
      </c>
      <c r="FT44" s="33">
        <v>5.01</v>
      </c>
      <c r="FU44" s="33">
        <v>20.332000000000001</v>
      </c>
      <c r="FV44" s="33">
        <v>3.863</v>
      </c>
      <c r="FW44" s="33">
        <v>4.4089999999999998</v>
      </c>
      <c r="FX44" s="33">
        <v>4.3570000000000002</v>
      </c>
      <c r="FY44" s="33">
        <v>4.008</v>
      </c>
      <c r="FZ44" s="33">
        <v>4.008</v>
      </c>
      <c r="GA44" s="33">
        <v>4.3570000000000002</v>
      </c>
      <c r="GB44" s="33">
        <v>3.6309999999999998</v>
      </c>
      <c r="GC44" s="33">
        <v>1.917</v>
      </c>
      <c r="GD44" s="33">
        <v>3.66</v>
      </c>
      <c r="GE44" s="33">
        <v>4.008</v>
      </c>
      <c r="GF44" s="33">
        <v>30.498999999999999</v>
      </c>
      <c r="GG44" s="33">
        <v>18.59</v>
      </c>
      <c r="GH44" s="33">
        <v>1.7430000000000001</v>
      </c>
      <c r="GI44" s="33">
        <v>2.6139999999999999</v>
      </c>
      <c r="GJ44" s="33">
        <v>3.4569999999999999</v>
      </c>
      <c r="GK44" s="33">
        <v>7.8419999999999996</v>
      </c>
      <c r="GL44" s="33">
        <v>5.8090000000000002</v>
      </c>
      <c r="GM44" s="33">
        <v>0.45400000000000001</v>
      </c>
      <c r="GN44" s="33">
        <v>2.7229999999999999</v>
      </c>
      <c r="GO44" s="33">
        <v>0.95299999999999996</v>
      </c>
      <c r="GP44" s="33">
        <v>3.8580000000000001</v>
      </c>
      <c r="GQ44" s="33">
        <v>0.63500000000000001</v>
      </c>
      <c r="GR44" s="33">
        <v>5.4009999999999998</v>
      </c>
      <c r="GS44" s="33">
        <v>1.4339999999999999</v>
      </c>
      <c r="GT44" s="33">
        <v>4.3120000000000003</v>
      </c>
      <c r="GU44" s="33">
        <v>1.1439999999999999</v>
      </c>
      <c r="GV44" s="33">
        <v>0.76800000000000002</v>
      </c>
      <c r="GW44" s="33">
        <v>0.92700000000000005</v>
      </c>
      <c r="GX44" s="33">
        <v>3.9489999999999998</v>
      </c>
      <c r="GY44" s="33">
        <v>0.182</v>
      </c>
      <c r="GZ44" s="33">
        <v>0.54500000000000004</v>
      </c>
      <c r="HA44" s="33">
        <v>1.353</v>
      </c>
      <c r="HB44" s="33">
        <v>4.3120000000000003</v>
      </c>
      <c r="HC44" s="33">
        <v>4.3120000000000003</v>
      </c>
      <c r="HD44" s="33">
        <v>2.2690000000000001</v>
      </c>
      <c r="HE44" s="3">
        <f>_xlfn.XLOOKUP(HE$1,generator!$B$2:$B$295,generator!$L$2:$L$295,"ARGH")</f>
        <v>17.600000000000001</v>
      </c>
      <c r="HF44" s="3">
        <f>_xlfn.XLOOKUP(HF$1,generator!$B$2:$B$295,generator!$L$2:$L$295,"ARGH")</f>
        <v>285</v>
      </c>
      <c r="HG44" s="3">
        <f>_xlfn.XLOOKUP(HG$1,generator!$B$2:$B$295,generator!$L$2:$L$295,"ARGH")</f>
        <v>285</v>
      </c>
      <c r="HH44" s="3">
        <f>_xlfn.XLOOKUP(HH$1,generator!$B$2:$B$295,generator!$L$2:$L$295,"ARGH")</f>
        <v>285</v>
      </c>
      <c r="HI44" s="3">
        <f>_xlfn.XLOOKUP(HI$1,generator!$B$2:$B$295,generator!$L$2:$L$295,"ARGH")</f>
        <v>58</v>
      </c>
      <c r="HJ44" s="3">
        <f>_xlfn.XLOOKUP(HJ$1,generator!$B$2:$B$295,generator!$L$2:$L$295,"ARGH")</f>
        <v>58</v>
      </c>
      <c r="HK44" s="3">
        <f>_xlfn.XLOOKUP(HK$1,generator!$B$2:$B$295,generator!$L$2:$L$295,"ARGH")</f>
        <v>53</v>
      </c>
      <c r="HL44" s="3">
        <f>_xlfn.XLOOKUP(HL$1,generator!$B$2:$B$295,generator!$L$2:$L$295,"ARGH")</f>
        <v>58</v>
      </c>
      <c r="HM44" s="3">
        <f>_xlfn.XLOOKUP(HM$1,generator!$B$2:$B$295,generator!$L$2:$L$295,"ARGH")</f>
        <v>58</v>
      </c>
      <c r="HN44" s="3">
        <f>_xlfn.XLOOKUP(HN$1,generator!$B$2:$B$295,generator!$L$2:$L$295,"ARGH")</f>
        <v>52</v>
      </c>
      <c r="HO44" s="3">
        <f>_xlfn.XLOOKUP(HO$1,generator!$B$2:$B$295,generator!$L$2:$L$295,"ARGH")</f>
        <v>52</v>
      </c>
      <c r="HP44" s="3">
        <f>_xlfn.XLOOKUP(HP$1,generator!$B$2:$B$295,generator!$L$2:$L$295,"ARGH")</f>
        <v>2</v>
      </c>
      <c r="HQ44" s="3">
        <f>_xlfn.XLOOKUP(HQ$1,generator!$B$2:$B$295,generator!$L$2:$L$295,"ARGH")</f>
        <v>29.2</v>
      </c>
      <c r="HR44" s="3">
        <f>_xlfn.XLOOKUP(HR$1,generator!$B$2:$B$295,generator!$L$2:$L$295,"ARGH")</f>
        <v>29.2</v>
      </c>
      <c r="HS44" s="3">
        <f>_xlfn.XLOOKUP(HS$1,generator!$B$2:$B$295,generator!$L$2:$L$295,"ARGH")</f>
        <v>41.61</v>
      </c>
      <c r="HT44" s="3">
        <f>_xlfn.XLOOKUP(HT$1,generator!$B$2:$B$295,generator!$L$2:$L$295,"ARGH")</f>
        <v>41.61</v>
      </c>
      <c r="HU44" s="3">
        <f>_xlfn.XLOOKUP(HU$1,generator!$B$2:$B$295,generator!$L$2:$L$295,"ARGH")</f>
        <v>160</v>
      </c>
      <c r="HV44" s="3">
        <f>_xlfn.XLOOKUP(HV$1,generator!$B$2:$B$295,generator!$L$2:$L$295,"ARGH")</f>
        <v>260</v>
      </c>
      <c r="HW44" s="3">
        <f>_xlfn.XLOOKUP(HW$1,generator!$B$2:$B$295,generator!$L$2:$L$295,"ARGH")</f>
        <v>52</v>
      </c>
      <c r="HX44" s="3">
        <f>_xlfn.XLOOKUP(HX$1,generator!$B$2:$B$295,generator!$L$2:$L$295,"ARGH")</f>
        <v>52</v>
      </c>
      <c r="HY44" s="3">
        <f>_xlfn.XLOOKUP(HY$1,generator!$B$2:$B$295,generator!$L$2:$L$295,"ARGH")</f>
        <v>101</v>
      </c>
      <c r="HZ44" s="3">
        <f>_xlfn.XLOOKUP(HZ$1,generator!$B$2:$B$295,generator!$L$2:$L$295,"ARGH")</f>
        <v>50</v>
      </c>
      <c r="IA44" s="3">
        <f>_xlfn.XLOOKUP(IA$1,generator!$B$2:$B$295,generator!$L$2:$L$295,"ARGH")</f>
        <v>400</v>
      </c>
      <c r="IB44" s="3">
        <f>_xlfn.XLOOKUP(IB$1,generator!$B$2:$B$295,generator!$L$2:$L$295,"ARGH")</f>
        <v>342</v>
      </c>
      <c r="IC44" s="3">
        <f>_xlfn.XLOOKUP(IC$1,generator!$B$2:$B$295,generator!$L$2:$L$295,"ARGH")</f>
        <v>3.0209999999999999</v>
      </c>
      <c r="ID44" s="3">
        <f>_xlfn.XLOOKUP(ID$1,generator!$B$2:$B$295,generator!$L$2:$L$295,"ARGH")</f>
        <v>200</v>
      </c>
      <c r="IE44" s="3">
        <f>_xlfn.XLOOKUP(IE$1,generator!$B$2:$B$295,generator!$L$2:$L$295,"ARGH")</f>
        <v>404</v>
      </c>
      <c r="IF44" s="3">
        <f>_xlfn.XLOOKUP(IF$1,generator!$B$2:$B$295,generator!$L$2:$L$295,"ARGH")</f>
        <v>21</v>
      </c>
      <c r="IG44" s="3">
        <f>_xlfn.XLOOKUP(IG$1,generator!$B$2:$B$295,generator!$L$2:$L$295,"ARGH")</f>
        <v>22</v>
      </c>
      <c r="IH44" s="3">
        <f>_xlfn.XLOOKUP(IH$1,generator!$B$2:$B$295,generator!$L$2:$L$295,"ARGH")</f>
        <v>19</v>
      </c>
      <c r="II44" s="3">
        <f>_xlfn.XLOOKUP(II$1,generator!$B$2:$B$295,generator!$L$2:$L$295,"ARGH")</f>
        <v>24</v>
      </c>
      <c r="IJ44" s="3">
        <f>_xlfn.XLOOKUP(IJ$1,generator!$B$2:$B$295,generator!$L$2:$L$295,"ARGH")</f>
        <v>4.3</v>
      </c>
      <c r="IK44" s="3">
        <f>_xlfn.XLOOKUP(IK$1,generator!$B$2:$B$295,generator!$L$2:$L$295,"ARGH")</f>
        <v>8</v>
      </c>
      <c r="IL44" s="3">
        <f>_xlfn.XLOOKUP(IL$1,generator!$B$2:$B$295,generator!$L$2:$L$295,"ARGH")</f>
        <v>22.5</v>
      </c>
      <c r="IM44" s="3">
        <f>_xlfn.XLOOKUP(IM$1,generator!$B$2:$B$295,generator!$L$2:$L$295,"ARGH")</f>
        <v>22.5</v>
      </c>
      <c r="IN44" s="3">
        <f>_xlfn.XLOOKUP(IN$1,generator!$B$2:$B$295,generator!$L$2:$L$295,"ARGH")</f>
        <v>10</v>
      </c>
      <c r="IO44" s="3">
        <f>_xlfn.XLOOKUP(IO$1,generator!$B$2:$B$295,generator!$L$2:$L$295,"ARGH")</f>
        <v>10</v>
      </c>
      <c r="IP44" s="3">
        <f>_xlfn.XLOOKUP(IP$1,generator!$B$2:$B$295,generator!$L$2:$L$295,"ARGH")</f>
        <v>15</v>
      </c>
      <c r="IQ44" s="3">
        <f>_xlfn.XLOOKUP(IQ$1,generator!$B$2:$B$295,generator!$L$2:$L$295,"ARGH")</f>
        <v>4</v>
      </c>
      <c r="IR44" s="3">
        <f>_xlfn.XLOOKUP(IR$1,generator!$B$2:$B$295,generator!$L$2:$L$295,"ARGH")</f>
        <v>15</v>
      </c>
      <c r="IS44" s="3">
        <f>_xlfn.XLOOKUP(IS$1,generator!$B$2:$B$295,generator!$L$2:$L$295,"ARGH")</f>
        <v>15</v>
      </c>
      <c r="IT44" s="3">
        <f>_xlfn.XLOOKUP(IT$1,generator!$B$2:$B$295,generator!$L$2:$L$295,"ARGH")</f>
        <v>0.18</v>
      </c>
      <c r="IU44" s="3">
        <f>_xlfn.XLOOKUP(IU$1,generator!$B$2:$B$295,generator!$L$2:$L$295,"ARGH")</f>
        <v>4</v>
      </c>
      <c r="IV44" s="3">
        <f>_xlfn.XLOOKUP(IV$1,generator!$B$2:$B$295,generator!$L$2:$L$295,"ARGH")</f>
        <v>4</v>
      </c>
      <c r="IW44" s="3">
        <f>_xlfn.XLOOKUP(IW$1,generator!$B$2:$B$295,generator!$L$2:$L$295,"ARGH")</f>
        <v>90</v>
      </c>
      <c r="IX44" s="3">
        <f>_xlfn.XLOOKUP(IX$1,generator!$B$2:$B$295,generator!$L$2:$L$295,"ARGH")</f>
        <v>90</v>
      </c>
      <c r="IY44" s="3">
        <f>_xlfn.XLOOKUP(IY$1,generator!$B$2:$B$295,generator!$L$2:$L$295,"ARGH")</f>
        <v>90</v>
      </c>
      <c r="IZ44" s="3">
        <f>_xlfn.XLOOKUP(IZ$1,generator!$B$2:$B$295,generator!$L$2:$L$295,"ARGH")</f>
        <v>449</v>
      </c>
      <c r="JA44" s="3">
        <f>_xlfn.XLOOKUP(JA$1,generator!$B$2:$B$295,generator!$L$2:$L$295,"ARGH")</f>
        <v>83</v>
      </c>
      <c r="JB44" s="3">
        <f>_xlfn.XLOOKUP(JB$1,generator!$B$2:$B$295,generator!$L$2:$L$295,"ARGH")</f>
        <v>83</v>
      </c>
      <c r="JC44" s="3">
        <f>_xlfn.XLOOKUP(JC$1,generator!$B$2:$B$295,generator!$L$2:$L$295,"ARGH")</f>
        <v>247</v>
      </c>
      <c r="JD44" s="3">
        <f>_xlfn.XLOOKUP(JD$1,generator!$B$2:$B$295,generator!$L$2:$L$295,"ARGH")</f>
        <v>247</v>
      </c>
      <c r="JE44" s="3">
        <f>_xlfn.XLOOKUP(JE$1,generator!$B$2:$B$295,generator!$L$2:$L$295,"ARGH")</f>
        <v>425</v>
      </c>
      <c r="JF44" s="3">
        <f>_xlfn.XLOOKUP(JF$1,generator!$B$2:$B$295,generator!$L$2:$L$295,"ARGH")</f>
        <v>63.5</v>
      </c>
      <c r="JG44" s="3">
        <f>_xlfn.XLOOKUP(JG$1,generator!$B$2:$B$295,generator!$L$2:$L$295,"ARGH")</f>
        <v>17</v>
      </c>
      <c r="JH44" s="3">
        <f>_xlfn.XLOOKUP(JH$1,generator!$B$2:$B$295,generator!$L$2:$L$295,"ARGH")</f>
        <v>444</v>
      </c>
      <c r="JI44" s="3">
        <f>_xlfn.XLOOKUP(JI$1,generator!$B$2:$B$295,generator!$L$2:$L$295,"ARGH")</f>
        <v>464</v>
      </c>
      <c r="JJ44" s="3">
        <f>_xlfn.XLOOKUP(JJ$1,generator!$B$2:$B$295,generator!$L$2:$L$295,"ARGH")</f>
        <v>18.54</v>
      </c>
      <c r="JK44" s="3">
        <f>_xlfn.XLOOKUP(JK$1,generator!$B$2:$B$295,generator!$L$2:$L$295,"ARGH")</f>
        <v>18.54</v>
      </c>
      <c r="JL44" s="3">
        <f>_xlfn.XLOOKUP(JL$1,generator!$B$2:$B$295,generator!$L$2:$L$295,"ARGH")</f>
        <v>18.54</v>
      </c>
      <c r="JM44" s="3">
        <f>_xlfn.XLOOKUP(JM$1,generator!$B$2:$B$295,generator!$L$2:$L$295,"ARGH")</f>
        <v>18.54</v>
      </c>
      <c r="JN44" s="3">
        <f>_xlfn.XLOOKUP(JN$1,generator!$B$2:$B$295,generator!$L$2:$L$295,"ARGH")</f>
        <v>18.54</v>
      </c>
      <c r="JO44" s="3">
        <f>_xlfn.XLOOKUP(JO$1,generator!$B$2:$B$295,generator!$L$2:$L$295,"ARGH")</f>
        <v>18.54</v>
      </c>
      <c r="JP44" s="3">
        <f>_xlfn.XLOOKUP(JP$1,generator!$B$2:$B$295,generator!$L$2:$L$295,"ARGH")</f>
        <v>415</v>
      </c>
      <c r="JQ44" s="3">
        <f>_xlfn.XLOOKUP(JQ$1,generator!$B$2:$B$295,generator!$L$2:$L$295,"ARGH")</f>
        <v>63.5</v>
      </c>
      <c r="JR44" s="3">
        <f>_xlfn.XLOOKUP(JR$1,generator!$B$2:$B$295,generator!$L$2:$L$295,"ARGH")</f>
        <v>350</v>
      </c>
      <c r="JS44" s="3">
        <f>_xlfn.XLOOKUP(JS$1,generator!$B$2:$B$295,generator!$L$2:$L$295,"ARGH")</f>
        <v>350</v>
      </c>
      <c r="JT44" s="3">
        <f>_xlfn.XLOOKUP(JT$1,generator!$B$2:$B$295,generator!$L$2:$L$295,"ARGH")</f>
        <v>63.5</v>
      </c>
      <c r="JU44" s="3">
        <f>_xlfn.XLOOKUP(JU$1,generator!$B$2:$B$295,generator!$L$2:$L$295,"ARGH")</f>
        <v>61.5</v>
      </c>
      <c r="JV44" s="3">
        <f>_xlfn.XLOOKUP(JV$1,generator!$B$2:$B$295,generator!$L$2:$L$295,"ARGH")</f>
        <v>240</v>
      </c>
      <c r="JW44" s="3">
        <f>_xlfn.XLOOKUP(JW$1,generator!$B$2:$B$295,generator!$L$2:$L$295,"ARGH")</f>
        <v>236</v>
      </c>
      <c r="JX44" s="3">
        <f>_xlfn.XLOOKUP(JX$1,generator!$B$2:$B$295,generator!$L$2:$L$295,"ARGH")</f>
        <v>20</v>
      </c>
      <c r="JY44" s="3">
        <f>_xlfn.XLOOKUP(JY$1,generator!$B$2:$B$295,generator!$L$2:$L$295,"ARGH")</f>
        <v>118</v>
      </c>
      <c r="JZ44" s="3">
        <f>_xlfn.XLOOKUP(JZ$1,generator!$B$2:$B$295,generator!$L$2:$L$295,"ARGH")</f>
        <v>73</v>
      </c>
      <c r="KA44" s="3">
        <f>_xlfn.XLOOKUP(KA$1,generator!$B$2:$B$295,generator!$L$2:$L$295,"ARGH")</f>
        <v>73</v>
      </c>
      <c r="KB44" s="3">
        <f>_xlfn.XLOOKUP(KB$1,generator!$B$2:$B$295,generator!$L$2:$L$295,"ARGH")</f>
        <v>73</v>
      </c>
      <c r="KC44" s="3">
        <f>_xlfn.XLOOKUP(KC$1,generator!$B$2:$B$295,generator!$L$2:$L$295,"ARGH")</f>
        <v>73</v>
      </c>
    </row>
    <row r="45" spans="1:289" x14ac:dyDescent="0.3">
      <c r="A45" s="4" t="s">
        <v>3040</v>
      </c>
      <c r="B45" s="31">
        <v>530</v>
      </c>
      <c r="C45" s="31">
        <v>513.5</v>
      </c>
      <c r="D45" s="31">
        <v>442</v>
      </c>
      <c r="E45" s="33">
        <v>7.5279999999999996</v>
      </c>
      <c r="F45" s="33">
        <v>16.170999999999999</v>
      </c>
      <c r="G45" s="33">
        <v>7.5279999999999996</v>
      </c>
      <c r="H45" s="33">
        <v>12.547000000000001</v>
      </c>
      <c r="I45" s="33">
        <v>24.815000000000001</v>
      </c>
      <c r="J45" s="33">
        <v>23.141999999999999</v>
      </c>
      <c r="K45" s="33">
        <v>6.2729999999999997</v>
      </c>
      <c r="L45" s="33">
        <v>4.7960000000000003</v>
      </c>
      <c r="M45" s="33">
        <v>4.1820000000000004</v>
      </c>
      <c r="N45" s="33">
        <v>15.055999999999999</v>
      </c>
      <c r="O45" s="33">
        <v>1.506</v>
      </c>
      <c r="P45" s="33">
        <v>7.1379999999999999</v>
      </c>
      <c r="Q45" s="33">
        <v>9.8140000000000001</v>
      </c>
      <c r="R45" s="33">
        <v>5.0190000000000001</v>
      </c>
      <c r="S45" s="33">
        <v>9.577</v>
      </c>
      <c r="T45" s="33">
        <v>6.6920000000000002</v>
      </c>
      <c r="U45" s="33">
        <v>11.71</v>
      </c>
      <c r="V45" s="33">
        <v>5.8970000000000002</v>
      </c>
      <c r="W45" s="33">
        <v>6.4130000000000003</v>
      </c>
      <c r="X45" s="33">
        <v>9.0340000000000007</v>
      </c>
      <c r="Y45" s="33">
        <v>4.6840000000000002</v>
      </c>
      <c r="Z45" s="33">
        <v>3.3180000000000001</v>
      </c>
      <c r="AA45" s="33">
        <v>3.0110000000000001</v>
      </c>
      <c r="AB45" s="33">
        <v>15.893000000000001</v>
      </c>
      <c r="AC45" s="33">
        <v>18.318000000000001</v>
      </c>
      <c r="AD45" s="33">
        <v>6.4690000000000003</v>
      </c>
      <c r="AE45" s="33">
        <v>5.5759999999999996</v>
      </c>
      <c r="AF45" s="33">
        <v>15.725</v>
      </c>
      <c r="AG45" s="33">
        <v>5.5759999999999996</v>
      </c>
      <c r="AH45" s="33">
        <v>3.3460000000000001</v>
      </c>
      <c r="AI45" s="33">
        <v>3.7360000000000002</v>
      </c>
      <c r="AJ45" s="33">
        <v>6.6920000000000002</v>
      </c>
      <c r="AK45" s="33">
        <v>2.3839999999999999</v>
      </c>
      <c r="AL45" s="33">
        <v>10.311</v>
      </c>
      <c r="AM45" s="33">
        <v>13.244</v>
      </c>
      <c r="AN45" s="33">
        <v>5.5759999999999996</v>
      </c>
      <c r="AO45" s="33">
        <v>3.8479999999999999</v>
      </c>
      <c r="AP45" s="33">
        <v>15.14</v>
      </c>
      <c r="AQ45" s="33">
        <v>5.2140000000000004</v>
      </c>
      <c r="AR45" s="33">
        <v>4.8789999999999996</v>
      </c>
      <c r="AS45" s="33">
        <v>14.497999999999999</v>
      </c>
      <c r="AT45" s="33">
        <v>3.94</v>
      </c>
      <c r="AU45" s="33">
        <v>10.595000000000001</v>
      </c>
      <c r="AV45" s="33">
        <v>9.0619999999999994</v>
      </c>
      <c r="AW45" s="33">
        <v>9.2010000000000005</v>
      </c>
      <c r="AX45" s="33">
        <v>5.1020000000000003</v>
      </c>
      <c r="AY45" s="33">
        <v>9.2289999999999992</v>
      </c>
      <c r="AZ45" s="33">
        <v>10.553000000000001</v>
      </c>
      <c r="BA45" s="33">
        <v>3.903</v>
      </c>
      <c r="BB45" s="33">
        <v>12.826000000000001</v>
      </c>
      <c r="BC45" s="33">
        <v>5.5759999999999996</v>
      </c>
      <c r="BD45" s="33">
        <v>3.3460000000000001</v>
      </c>
      <c r="BE45" s="33">
        <v>3.206</v>
      </c>
      <c r="BF45" s="33">
        <v>25.093</v>
      </c>
      <c r="BG45" s="33">
        <v>4.1820000000000004</v>
      </c>
      <c r="BH45" s="33">
        <v>6.97</v>
      </c>
      <c r="BI45" s="33">
        <v>5.8550000000000004</v>
      </c>
      <c r="BJ45" s="33">
        <v>11.71</v>
      </c>
      <c r="BK45" s="33">
        <v>3.3460000000000001</v>
      </c>
      <c r="BL45" s="33">
        <v>11.85</v>
      </c>
      <c r="BM45" s="33">
        <v>2.37</v>
      </c>
      <c r="BN45" s="33">
        <v>8.3640000000000008</v>
      </c>
      <c r="BO45" s="33">
        <v>11.888999999999999</v>
      </c>
      <c r="BP45" s="33">
        <v>31.841000000000001</v>
      </c>
      <c r="BQ45" s="33">
        <v>10.037000000000001</v>
      </c>
      <c r="BR45" s="33">
        <v>15.055999999999999</v>
      </c>
      <c r="BS45" s="33">
        <v>4.8789999999999996</v>
      </c>
      <c r="BT45" s="33">
        <v>9.6189999999999998</v>
      </c>
      <c r="BU45" s="33">
        <v>1.3380000000000001</v>
      </c>
      <c r="BV45" s="33">
        <v>2.8719999999999999</v>
      </c>
      <c r="BW45" s="33">
        <v>3.786</v>
      </c>
      <c r="BX45" s="33">
        <v>3.081</v>
      </c>
      <c r="BY45" s="33">
        <v>6.97</v>
      </c>
      <c r="BZ45" s="33">
        <v>11.375999999999999</v>
      </c>
      <c r="CA45" s="33">
        <v>16.59</v>
      </c>
      <c r="CB45" s="33">
        <v>9.48</v>
      </c>
      <c r="CC45" s="33">
        <v>7.9459999999999997</v>
      </c>
      <c r="CD45" s="33">
        <v>10.707000000000001</v>
      </c>
      <c r="CE45" s="33">
        <v>6.97</v>
      </c>
      <c r="CF45" s="33">
        <v>4.4889999999999999</v>
      </c>
      <c r="CG45" s="33">
        <v>4.8789999999999996</v>
      </c>
      <c r="CH45" s="33">
        <v>7.7930000000000001</v>
      </c>
      <c r="CI45" s="33">
        <v>3.6389999999999998</v>
      </c>
      <c r="CJ45" s="33">
        <v>1.2410000000000001</v>
      </c>
      <c r="CK45" s="33">
        <v>6.915</v>
      </c>
      <c r="CL45" s="33">
        <v>4.7119999999999997</v>
      </c>
      <c r="CM45" s="33">
        <v>4.1820000000000004</v>
      </c>
      <c r="CN45" s="33">
        <v>16.513000000000002</v>
      </c>
      <c r="CO45" s="33">
        <v>6.5519999999999996</v>
      </c>
      <c r="CP45" s="33">
        <v>13.048999999999999</v>
      </c>
      <c r="CQ45" s="33">
        <v>8.9220000000000006</v>
      </c>
      <c r="CR45" s="33">
        <v>7.2489999999999997</v>
      </c>
      <c r="CS45" s="33">
        <v>6.1340000000000003</v>
      </c>
      <c r="CT45" s="33">
        <v>8.3089999999999993</v>
      </c>
      <c r="CU45" s="33">
        <v>3.8479999999999999</v>
      </c>
      <c r="CV45" s="33">
        <v>7.0540000000000003</v>
      </c>
      <c r="CW45" s="33">
        <v>7.8070000000000004</v>
      </c>
      <c r="CX45" s="33">
        <v>3.4849999999999999</v>
      </c>
      <c r="CY45" s="33">
        <v>9.5220000000000002</v>
      </c>
      <c r="CZ45" s="33">
        <v>3.3460000000000001</v>
      </c>
      <c r="DA45" s="33">
        <v>8.3640000000000008</v>
      </c>
      <c r="DB45" s="33">
        <v>5.242</v>
      </c>
      <c r="DC45" s="33">
        <v>3.931</v>
      </c>
      <c r="DD45" s="33">
        <v>4.4889999999999999</v>
      </c>
      <c r="DE45" s="33">
        <v>3.4849999999999999</v>
      </c>
      <c r="DF45" s="33">
        <v>6.0220000000000002</v>
      </c>
      <c r="DG45" s="33">
        <v>10.023</v>
      </c>
      <c r="DH45" s="33">
        <v>20.911000000000001</v>
      </c>
      <c r="DI45" s="33">
        <v>10.037000000000001</v>
      </c>
      <c r="DJ45" s="33">
        <v>4.1820000000000004</v>
      </c>
      <c r="DK45" s="33">
        <v>5.7720000000000002</v>
      </c>
      <c r="DL45" s="33">
        <v>10.33</v>
      </c>
      <c r="DM45" s="33">
        <v>5.0190000000000001</v>
      </c>
      <c r="DN45" s="33">
        <v>27.882000000000001</v>
      </c>
      <c r="DO45" s="33">
        <v>9.3680000000000003</v>
      </c>
      <c r="DP45" s="33">
        <v>28.16</v>
      </c>
      <c r="DQ45" s="33">
        <v>0.65200000000000002</v>
      </c>
      <c r="DR45" s="33">
        <v>25.428000000000001</v>
      </c>
      <c r="DS45" s="33">
        <v>4.4889999999999999</v>
      </c>
      <c r="DT45" s="33">
        <v>8.3919999999999995</v>
      </c>
      <c r="DU45" s="33">
        <v>4.1820000000000004</v>
      </c>
      <c r="DV45" s="33">
        <v>3.3119999999999998</v>
      </c>
      <c r="DW45" s="33">
        <v>3.903</v>
      </c>
      <c r="DX45" s="33">
        <v>10.846</v>
      </c>
      <c r="DY45" s="33">
        <v>7.2489999999999997</v>
      </c>
      <c r="DZ45" s="33">
        <v>3.262</v>
      </c>
      <c r="EA45" s="33">
        <v>11.153</v>
      </c>
      <c r="EB45" s="33">
        <v>10.037000000000001</v>
      </c>
      <c r="EC45" s="33">
        <v>6.4130000000000003</v>
      </c>
      <c r="ED45" s="33">
        <v>8.0299999999999994</v>
      </c>
      <c r="EE45" s="33">
        <v>13.606</v>
      </c>
      <c r="EF45" s="33">
        <v>4.1820000000000004</v>
      </c>
      <c r="EG45" s="33">
        <v>2.5649999999999999</v>
      </c>
      <c r="EH45" s="33">
        <v>11.542999999999999</v>
      </c>
      <c r="EI45" s="33">
        <v>4.1260000000000003</v>
      </c>
      <c r="EJ45" s="33">
        <v>2.5649999999999999</v>
      </c>
      <c r="EK45" s="33">
        <v>4.1820000000000004</v>
      </c>
      <c r="EL45" s="33">
        <v>6.6920000000000002</v>
      </c>
      <c r="EM45" s="33">
        <v>8.9779999999999998</v>
      </c>
      <c r="EN45" s="33">
        <v>5.13</v>
      </c>
      <c r="EO45" s="33">
        <v>5.5759999999999996</v>
      </c>
      <c r="EP45" s="33">
        <v>3.931</v>
      </c>
      <c r="EQ45" s="33">
        <v>9.6189999999999998</v>
      </c>
      <c r="ER45" s="33">
        <v>2.9279999999999999</v>
      </c>
      <c r="ES45" s="33">
        <v>3.206</v>
      </c>
      <c r="ET45" s="33">
        <v>6.4409999999999998</v>
      </c>
      <c r="EU45" s="33">
        <v>23.687999999999999</v>
      </c>
      <c r="EV45" s="33">
        <v>4.8099999999999996</v>
      </c>
      <c r="EW45" s="33">
        <v>22.305</v>
      </c>
      <c r="EX45" s="33">
        <v>25.052</v>
      </c>
      <c r="EY45" s="33">
        <v>1.506</v>
      </c>
      <c r="EZ45" s="33">
        <v>2.024</v>
      </c>
      <c r="FA45" s="33">
        <v>1.6559999999999999</v>
      </c>
      <c r="FB45" s="33">
        <v>5.5759999999999996</v>
      </c>
      <c r="FC45" s="33">
        <v>7.9459999999999997</v>
      </c>
      <c r="FD45" s="33">
        <v>5.5759999999999996</v>
      </c>
      <c r="FE45" s="33">
        <v>7.6950000000000003</v>
      </c>
      <c r="FF45" s="33">
        <v>5.0190000000000001</v>
      </c>
      <c r="FG45" s="33">
        <v>4.1820000000000004</v>
      </c>
      <c r="FH45" s="33">
        <v>3.4849999999999999</v>
      </c>
      <c r="FI45" s="33">
        <v>13.382999999999999</v>
      </c>
      <c r="FJ45" s="33">
        <v>8.5370000000000008</v>
      </c>
      <c r="FK45" s="33">
        <v>12.366</v>
      </c>
      <c r="FL45" s="33">
        <v>4.1260000000000003</v>
      </c>
      <c r="FM45" s="33">
        <v>11.404</v>
      </c>
      <c r="FN45" s="33">
        <v>5.7160000000000002</v>
      </c>
      <c r="FO45" s="33">
        <v>20.521000000000001</v>
      </c>
      <c r="FP45" s="33">
        <v>29.276</v>
      </c>
      <c r="FQ45" s="33">
        <v>5.3529999999999998</v>
      </c>
      <c r="FR45" s="33">
        <v>3.206</v>
      </c>
      <c r="FS45" s="33">
        <v>3.8479999999999999</v>
      </c>
      <c r="FT45" s="33">
        <v>4.8099999999999996</v>
      </c>
      <c r="FU45" s="33">
        <v>19.516999999999999</v>
      </c>
      <c r="FV45" s="33">
        <v>3.7080000000000002</v>
      </c>
      <c r="FW45" s="33">
        <v>4.2320000000000002</v>
      </c>
      <c r="FX45" s="33">
        <v>4.1820000000000004</v>
      </c>
      <c r="FY45" s="33">
        <v>3.8479999999999999</v>
      </c>
      <c r="FZ45" s="33">
        <v>3.8479999999999999</v>
      </c>
      <c r="GA45" s="33">
        <v>4.1820000000000004</v>
      </c>
      <c r="GB45" s="33">
        <v>3.4849999999999999</v>
      </c>
      <c r="GC45" s="33">
        <v>1.84</v>
      </c>
      <c r="GD45" s="33">
        <v>3.5129999999999999</v>
      </c>
      <c r="GE45" s="33">
        <v>3.8479999999999999</v>
      </c>
      <c r="GF45" s="33">
        <v>29.276</v>
      </c>
      <c r="GG45" s="33">
        <v>17.844000000000001</v>
      </c>
      <c r="GH45" s="33">
        <v>1.673</v>
      </c>
      <c r="GI45" s="33">
        <v>2.5089999999999999</v>
      </c>
      <c r="GJ45" s="33">
        <v>3.3180000000000001</v>
      </c>
      <c r="GK45" s="33">
        <v>7.5279999999999996</v>
      </c>
      <c r="GL45" s="33">
        <v>5.5759999999999996</v>
      </c>
      <c r="GM45" s="33">
        <v>0.126</v>
      </c>
      <c r="GN45" s="33">
        <v>0.75800000000000001</v>
      </c>
      <c r="GO45" s="33">
        <v>0.26500000000000001</v>
      </c>
      <c r="GP45" s="33">
        <v>1.0740000000000001</v>
      </c>
      <c r="GQ45" s="33">
        <v>0.17699999999999999</v>
      </c>
      <c r="GR45" s="33">
        <v>1.5029999999999999</v>
      </c>
      <c r="GS45" s="33">
        <v>0.39900000000000002</v>
      </c>
      <c r="GT45" s="33">
        <v>1.2</v>
      </c>
      <c r="GU45" s="33">
        <v>0.318</v>
      </c>
      <c r="GV45" s="33">
        <v>0.214</v>
      </c>
      <c r="GW45" s="33">
        <v>0.25800000000000001</v>
      </c>
      <c r="GX45" s="33">
        <v>1.099</v>
      </c>
      <c r="GY45" s="33">
        <v>5.0999999999999997E-2</v>
      </c>
      <c r="GZ45" s="33">
        <v>0.152</v>
      </c>
      <c r="HA45" s="33">
        <v>0.376</v>
      </c>
      <c r="HB45" s="33">
        <v>1.2</v>
      </c>
      <c r="HC45" s="33">
        <v>1.2</v>
      </c>
      <c r="HD45" s="33">
        <v>0.63100000000000001</v>
      </c>
      <c r="HE45" s="3">
        <f>_xlfn.XLOOKUP(HE$1,generator!$B$2:$B$295,generator!$L$2:$L$295,"ARGH")</f>
        <v>17.600000000000001</v>
      </c>
      <c r="HF45" s="3">
        <f>_xlfn.XLOOKUP(HF$1,generator!$B$2:$B$295,generator!$L$2:$L$295,"ARGH")</f>
        <v>285</v>
      </c>
      <c r="HG45" s="3">
        <f>_xlfn.XLOOKUP(HG$1,generator!$B$2:$B$295,generator!$L$2:$L$295,"ARGH")</f>
        <v>285</v>
      </c>
      <c r="HH45" s="3">
        <f>_xlfn.XLOOKUP(HH$1,generator!$B$2:$B$295,generator!$L$2:$L$295,"ARGH")</f>
        <v>285</v>
      </c>
      <c r="HI45" s="3">
        <f>_xlfn.XLOOKUP(HI$1,generator!$B$2:$B$295,generator!$L$2:$L$295,"ARGH")</f>
        <v>58</v>
      </c>
      <c r="HJ45" s="3">
        <f>_xlfn.XLOOKUP(HJ$1,generator!$B$2:$B$295,generator!$L$2:$L$295,"ARGH")</f>
        <v>58</v>
      </c>
      <c r="HK45" s="3">
        <f>_xlfn.XLOOKUP(HK$1,generator!$B$2:$B$295,generator!$L$2:$L$295,"ARGH")</f>
        <v>53</v>
      </c>
      <c r="HL45" s="3">
        <f>_xlfn.XLOOKUP(HL$1,generator!$B$2:$B$295,generator!$L$2:$L$295,"ARGH")</f>
        <v>58</v>
      </c>
      <c r="HM45" s="3">
        <f>_xlfn.XLOOKUP(HM$1,generator!$B$2:$B$295,generator!$L$2:$L$295,"ARGH")</f>
        <v>58</v>
      </c>
      <c r="HN45" s="3">
        <f>_xlfn.XLOOKUP(HN$1,generator!$B$2:$B$295,generator!$L$2:$L$295,"ARGH")</f>
        <v>52</v>
      </c>
      <c r="HO45" s="3">
        <f>_xlfn.XLOOKUP(HO$1,generator!$B$2:$B$295,generator!$L$2:$L$295,"ARGH")</f>
        <v>52</v>
      </c>
      <c r="HP45" s="3">
        <f>_xlfn.XLOOKUP(HP$1,generator!$B$2:$B$295,generator!$L$2:$L$295,"ARGH")</f>
        <v>2</v>
      </c>
      <c r="HQ45" s="3">
        <f>_xlfn.XLOOKUP(HQ$1,generator!$B$2:$B$295,generator!$L$2:$L$295,"ARGH")</f>
        <v>29.2</v>
      </c>
      <c r="HR45" s="3">
        <f>_xlfn.XLOOKUP(HR$1,generator!$B$2:$B$295,generator!$L$2:$L$295,"ARGH")</f>
        <v>29.2</v>
      </c>
      <c r="HS45" s="3">
        <f>_xlfn.XLOOKUP(HS$1,generator!$B$2:$B$295,generator!$L$2:$L$295,"ARGH")</f>
        <v>41.61</v>
      </c>
      <c r="HT45" s="3">
        <f>_xlfn.XLOOKUP(HT$1,generator!$B$2:$B$295,generator!$L$2:$L$295,"ARGH")</f>
        <v>41.61</v>
      </c>
      <c r="HU45" s="3">
        <f>_xlfn.XLOOKUP(HU$1,generator!$B$2:$B$295,generator!$L$2:$L$295,"ARGH")</f>
        <v>160</v>
      </c>
      <c r="HV45" s="3">
        <f>_xlfn.XLOOKUP(HV$1,generator!$B$2:$B$295,generator!$L$2:$L$295,"ARGH")</f>
        <v>260</v>
      </c>
      <c r="HW45" s="3">
        <f>_xlfn.XLOOKUP(HW$1,generator!$B$2:$B$295,generator!$L$2:$L$295,"ARGH")</f>
        <v>52</v>
      </c>
      <c r="HX45" s="3">
        <f>_xlfn.XLOOKUP(HX$1,generator!$B$2:$B$295,generator!$L$2:$L$295,"ARGH")</f>
        <v>52</v>
      </c>
      <c r="HY45" s="3">
        <f>_xlfn.XLOOKUP(HY$1,generator!$B$2:$B$295,generator!$L$2:$L$295,"ARGH")</f>
        <v>101</v>
      </c>
      <c r="HZ45" s="3">
        <f>_xlfn.XLOOKUP(HZ$1,generator!$B$2:$B$295,generator!$L$2:$L$295,"ARGH")</f>
        <v>50</v>
      </c>
      <c r="IA45" s="3">
        <f>_xlfn.XLOOKUP(IA$1,generator!$B$2:$B$295,generator!$L$2:$L$295,"ARGH")</f>
        <v>400</v>
      </c>
      <c r="IB45" s="3">
        <f>_xlfn.XLOOKUP(IB$1,generator!$B$2:$B$295,generator!$L$2:$L$295,"ARGH")</f>
        <v>342</v>
      </c>
      <c r="IC45" s="3">
        <f>_xlfn.XLOOKUP(IC$1,generator!$B$2:$B$295,generator!$L$2:$L$295,"ARGH")</f>
        <v>3.0209999999999999</v>
      </c>
      <c r="ID45" s="3">
        <f>_xlfn.XLOOKUP(ID$1,generator!$B$2:$B$295,generator!$L$2:$L$295,"ARGH")</f>
        <v>200</v>
      </c>
      <c r="IE45" s="3">
        <f>_xlfn.XLOOKUP(IE$1,generator!$B$2:$B$295,generator!$L$2:$L$295,"ARGH")</f>
        <v>404</v>
      </c>
      <c r="IF45" s="3">
        <f>_xlfn.XLOOKUP(IF$1,generator!$B$2:$B$295,generator!$L$2:$L$295,"ARGH")</f>
        <v>21</v>
      </c>
      <c r="IG45" s="3">
        <f>_xlfn.XLOOKUP(IG$1,generator!$B$2:$B$295,generator!$L$2:$L$295,"ARGH")</f>
        <v>22</v>
      </c>
      <c r="IH45" s="3">
        <f>_xlfn.XLOOKUP(IH$1,generator!$B$2:$B$295,generator!$L$2:$L$295,"ARGH")</f>
        <v>19</v>
      </c>
      <c r="II45" s="3">
        <f>_xlfn.XLOOKUP(II$1,generator!$B$2:$B$295,generator!$L$2:$L$295,"ARGH")</f>
        <v>24</v>
      </c>
      <c r="IJ45" s="3">
        <f>_xlfn.XLOOKUP(IJ$1,generator!$B$2:$B$295,generator!$L$2:$L$295,"ARGH")</f>
        <v>4.3</v>
      </c>
      <c r="IK45" s="3">
        <f>_xlfn.XLOOKUP(IK$1,generator!$B$2:$B$295,generator!$L$2:$L$295,"ARGH")</f>
        <v>8</v>
      </c>
      <c r="IL45" s="3">
        <f>_xlfn.XLOOKUP(IL$1,generator!$B$2:$B$295,generator!$L$2:$L$295,"ARGH")</f>
        <v>22.5</v>
      </c>
      <c r="IM45" s="3">
        <f>_xlfn.XLOOKUP(IM$1,generator!$B$2:$B$295,generator!$L$2:$L$295,"ARGH")</f>
        <v>22.5</v>
      </c>
      <c r="IN45" s="3">
        <f>_xlfn.XLOOKUP(IN$1,generator!$B$2:$B$295,generator!$L$2:$L$295,"ARGH")</f>
        <v>10</v>
      </c>
      <c r="IO45" s="3">
        <f>_xlfn.XLOOKUP(IO$1,generator!$B$2:$B$295,generator!$L$2:$L$295,"ARGH")</f>
        <v>10</v>
      </c>
      <c r="IP45" s="3">
        <f>_xlfn.XLOOKUP(IP$1,generator!$B$2:$B$295,generator!$L$2:$L$295,"ARGH")</f>
        <v>15</v>
      </c>
      <c r="IQ45" s="3">
        <f>_xlfn.XLOOKUP(IQ$1,generator!$B$2:$B$295,generator!$L$2:$L$295,"ARGH")</f>
        <v>4</v>
      </c>
      <c r="IR45" s="3">
        <f>_xlfn.XLOOKUP(IR$1,generator!$B$2:$B$295,generator!$L$2:$L$295,"ARGH")</f>
        <v>15</v>
      </c>
      <c r="IS45" s="3">
        <f>_xlfn.XLOOKUP(IS$1,generator!$B$2:$B$295,generator!$L$2:$L$295,"ARGH")</f>
        <v>15</v>
      </c>
      <c r="IT45" s="3">
        <f>_xlfn.XLOOKUP(IT$1,generator!$B$2:$B$295,generator!$L$2:$L$295,"ARGH")</f>
        <v>0.18</v>
      </c>
      <c r="IU45" s="3">
        <f>_xlfn.XLOOKUP(IU$1,generator!$B$2:$B$295,generator!$L$2:$L$295,"ARGH")</f>
        <v>4</v>
      </c>
      <c r="IV45" s="3">
        <f>_xlfn.XLOOKUP(IV$1,generator!$B$2:$B$295,generator!$L$2:$L$295,"ARGH")</f>
        <v>4</v>
      </c>
      <c r="IW45" s="3">
        <f>_xlfn.XLOOKUP(IW$1,generator!$B$2:$B$295,generator!$L$2:$L$295,"ARGH")</f>
        <v>90</v>
      </c>
      <c r="IX45" s="3">
        <f>_xlfn.XLOOKUP(IX$1,generator!$B$2:$B$295,generator!$L$2:$L$295,"ARGH")</f>
        <v>90</v>
      </c>
      <c r="IY45" s="3">
        <f>_xlfn.XLOOKUP(IY$1,generator!$B$2:$B$295,generator!$L$2:$L$295,"ARGH")</f>
        <v>90</v>
      </c>
      <c r="IZ45" s="3">
        <f>_xlfn.XLOOKUP(IZ$1,generator!$B$2:$B$295,generator!$L$2:$L$295,"ARGH")</f>
        <v>449</v>
      </c>
      <c r="JA45" s="3">
        <f>_xlfn.XLOOKUP(JA$1,generator!$B$2:$B$295,generator!$L$2:$L$295,"ARGH")</f>
        <v>83</v>
      </c>
      <c r="JB45" s="3">
        <f>_xlfn.XLOOKUP(JB$1,generator!$B$2:$B$295,generator!$L$2:$L$295,"ARGH")</f>
        <v>83</v>
      </c>
      <c r="JC45" s="3">
        <f>_xlfn.XLOOKUP(JC$1,generator!$B$2:$B$295,generator!$L$2:$L$295,"ARGH")</f>
        <v>247</v>
      </c>
      <c r="JD45" s="3">
        <f>_xlfn.XLOOKUP(JD$1,generator!$B$2:$B$295,generator!$L$2:$L$295,"ARGH")</f>
        <v>247</v>
      </c>
      <c r="JE45" s="3">
        <f>_xlfn.XLOOKUP(JE$1,generator!$B$2:$B$295,generator!$L$2:$L$295,"ARGH")</f>
        <v>425</v>
      </c>
      <c r="JF45" s="3">
        <f>_xlfn.XLOOKUP(JF$1,generator!$B$2:$B$295,generator!$L$2:$L$295,"ARGH")</f>
        <v>63.5</v>
      </c>
      <c r="JG45" s="3">
        <f>_xlfn.XLOOKUP(JG$1,generator!$B$2:$B$295,generator!$L$2:$L$295,"ARGH")</f>
        <v>17</v>
      </c>
      <c r="JH45" s="3">
        <f>_xlfn.XLOOKUP(JH$1,generator!$B$2:$B$295,generator!$L$2:$L$295,"ARGH")</f>
        <v>444</v>
      </c>
      <c r="JI45" s="3">
        <f>_xlfn.XLOOKUP(JI$1,generator!$B$2:$B$295,generator!$L$2:$L$295,"ARGH")</f>
        <v>464</v>
      </c>
      <c r="JJ45" s="3">
        <f>_xlfn.XLOOKUP(JJ$1,generator!$B$2:$B$295,generator!$L$2:$L$295,"ARGH")</f>
        <v>18.54</v>
      </c>
      <c r="JK45" s="3">
        <f>_xlfn.XLOOKUP(JK$1,generator!$B$2:$B$295,generator!$L$2:$L$295,"ARGH")</f>
        <v>18.54</v>
      </c>
      <c r="JL45" s="3">
        <f>_xlfn.XLOOKUP(JL$1,generator!$B$2:$B$295,generator!$L$2:$L$295,"ARGH")</f>
        <v>18.54</v>
      </c>
      <c r="JM45" s="3">
        <f>_xlfn.XLOOKUP(JM$1,generator!$B$2:$B$295,generator!$L$2:$L$295,"ARGH")</f>
        <v>18.54</v>
      </c>
      <c r="JN45" s="3">
        <f>_xlfn.XLOOKUP(JN$1,generator!$B$2:$B$295,generator!$L$2:$L$295,"ARGH")</f>
        <v>18.54</v>
      </c>
      <c r="JO45" s="3">
        <f>_xlfn.XLOOKUP(JO$1,generator!$B$2:$B$295,generator!$L$2:$L$295,"ARGH")</f>
        <v>18.54</v>
      </c>
      <c r="JP45" s="3">
        <f>_xlfn.XLOOKUP(JP$1,generator!$B$2:$B$295,generator!$L$2:$L$295,"ARGH")</f>
        <v>415</v>
      </c>
      <c r="JQ45" s="3">
        <f>_xlfn.XLOOKUP(JQ$1,generator!$B$2:$B$295,generator!$L$2:$L$295,"ARGH")</f>
        <v>63.5</v>
      </c>
      <c r="JR45" s="3">
        <f>_xlfn.XLOOKUP(JR$1,generator!$B$2:$B$295,generator!$L$2:$L$295,"ARGH")</f>
        <v>350</v>
      </c>
      <c r="JS45" s="3">
        <f>_xlfn.XLOOKUP(JS$1,generator!$B$2:$B$295,generator!$L$2:$L$295,"ARGH")</f>
        <v>350</v>
      </c>
      <c r="JT45" s="3">
        <f>_xlfn.XLOOKUP(JT$1,generator!$B$2:$B$295,generator!$L$2:$L$295,"ARGH")</f>
        <v>63.5</v>
      </c>
      <c r="JU45" s="3">
        <f>_xlfn.XLOOKUP(JU$1,generator!$B$2:$B$295,generator!$L$2:$L$295,"ARGH")</f>
        <v>61.5</v>
      </c>
      <c r="JV45" s="3">
        <f>_xlfn.XLOOKUP(JV$1,generator!$B$2:$B$295,generator!$L$2:$L$295,"ARGH")</f>
        <v>240</v>
      </c>
      <c r="JW45" s="3">
        <f>_xlfn.XLOOKUP(JW$1,generator!$B$2:$B$295,generator!$L$2:$L$295,"ARGH")</f>
        <v>236</v>
      </c>
      <c r="JX45" s="3">
        <f>_xlfn.XLOOKUP(JX$1,generator!$B$2:$B$295,generator!$L$2:$L$295,"ARGH")</f>
        <v>20</v>
      </c>
      <c r="JY45" s="3">
        <f>_xlfn.XLOOKUP(JY$1,generator!$B$2:$B$295,generator!$L$2:$L$295,"ARGH")</f>
        <v>118</v>
      </c>
      <c r="JZ45" s="3">
        <f>_xlfn.XLOOKUP(JZ$1,generator!$B$2:$B$295,generator!$L$2:$L$295,"ARGH")</f>
        <v>73</v>
      </c>
      <c r="KA45" s="3">
        <f>_xlfn.XLOOKUP(KA$1,generator!$B$2:$B$295,generator!$L$2:$L$295,"ARGH")</f>
        <v>73</v>
      </c>
      <c r="KB45" s="3">
        <f>_xlfn.XLOOKUP(KB$1,generator!$B$2:$B$295,generator!$L$2:$L$295,"ARGH")</f>
        <v>73</v>
      </c>
      <c r="KC45" s="3">
        <f>_xlfn.XLOOKUP(KC$1,generator!$B$2:$B$295,generator!$L$2:$L$295,"ARGH")</f>
        <v>73</v>
      </c>
    </row>
    <row r="46" spans="1:289" x14ac:dyDescent="0.3">
      <c r="A46" s="4" t="s">
        <v>3041</v>
      </c>
      <c r="B46" s="31">
        <v>530</v>
      </c>
      <c r="C46" s="31">
        <v>513</v>
      </c>
      <c r="D46" s="31">
        <v>442</v>
      </c>
      <c r="E46" s="33">
        <v>7.4829999999999997</v>
      </c>
      <c r="F46" s="33">
        <v>16.074999999999999</v>
      </c>
      <c r="G46" s="33">
        <v>7.4829999999999997</v>
      </c>
      <c r="H46" s="33">
        <v>12.472</v>
      </c>
      <c r="I46" s="33">
        <v>24.667000000000002</v>
      </c>
      <c r="J46" s="33">
        <v>23.004000000000001</v>
      </c>
      <c r="K46" s="33">
        <v>6.2359999999999998</v>
      </c>
      <c r="L46" s="33">
        <v>4.7670000000000003</v>
      </c>
      <c r="M46" s="33">
        <v>4.157</v>
      </c>
      <c r="N46" s="33">
        <v>14.965999999999999</v>
      </c>
      <c r="O46" s="33">
        <v>1.4970000000000001</v>
      </c>
      <c r="P46" s="33">
        <v>7.0949999999999998</v>
      </c>
      <c r="Q46" s="33">
        <v>9.7560000000000002</v>
      </c>
      <c r="R46" s="33">
        <v>4.9889999999999999</v>
      </c>
      <c r="S46" s="33">
        <v>9.52</v>
      </c>
      <c r="T46" s="33">
        <v>6.6520000000000001</v>
      </c>
      <c r="U46" s="33">
        <v>11.64</v>
      </c>
      <c r="V46" s="33">
        <v>5.8620000000000001</v>
      </c>
      <c r="W46" s="33">
        <v>6.375</v>
      </c>
      <c r="X46" s="33">
        <v>8.98</v>
      </c>
      <c r="Y46" s="33">
        <v>4.6559999999999997</v>
      </c>
      <c r="Z46" s="33">
        <v>3.298</v>
      </c>
      <c r="AA46" s="33">
        <v>2.9929999999999999</v>
      </c>
      <c r="AB46" s="33">
        <v>15.798</v>
      </c>
      <c r="AC46" s="33">
        <v>18.209</v>
      </c>
      <c r="AD46" s="33">
        <v>6.43</v>
      </c>
      <c r="AE46" s="33">
        <v>5.5430000000000001</v>
      </c>
      <c r="AF46" s="33">
        <v>15.631</v>
      </c>
      <c r="AG46" s="33">
        <v>5.5430000000000001</v>
      </c>
      <c r="AH46" s="33">
        <v>3.3260000000000001</v>
      </c>
      <c r="AI46" s="33">
        <v>3.714</v>
      </c>
      <c r="AJ46" s="33">
        <v>6.6520000000000001</v>
      </c>
      <c r="AK46" s="33">
        <v>2.37</v>
      </c>
      <c r="AL46" s="33">
        <v>10.249000000000001</v>
      </c>
      <c r="AM46" s="33">
        <v>13.164999999999999</v>
      </c>
      <c r="AN46" s="33">
        <v>5.5430000000000001</v>
      </c>
      <c r="AO46" s="33">
        <v>3.8250000000000002</v>
      </c>
      <c r="AP46" s="33">
        <v>15.048999999999999</v>
      </c>
      <c r="AQ46" s="33">
        <v>5.1829999999999998</v>
      </c>
      <c r="AR46" s="33">
        <v>4.8499999999999996</v>
      </c>
      <c r="AS46" s="33">
        <v>14.412000000000001</v>
      </c>
      <c r="AT46" s="33">
        <v>3.9169999999999998</v>
      </c>
      <c r="AU46" s="33">
        <v>10.532</v>
      </c>
      <c r="AV46" s="33">
        <v>9.0069999999999997</v>
      </c>
      <c r="AW46" s="33">
        <v>9.1460000000000008</v>
      </c>
      <c r="AX46" s="33">
        <v>5.0720000000000001</v>
      </c>
      <c r="AY46" s="33">
        <v>9.1739999999999995</v>
      </c>
      <c r="AZ46" s="33">
        <v>10.49</v>
      </c>
      <c r="BA46" s="33">
        <v>3.88</v>
      </c>
      <c r="BB46" s="33">
        <v>12.749000000000001</v>
      </c>
      <c r="BC46" s="33">
        <v>5.5430000000000001</v>
      </c>
      <c r="BD46" s="33">
        <v>3.3260000000000001</v>
      </c>
      <c r="BE46" s="33">
        <v>3.1869999999999998</v>
      </c>
      <c r="BF46" s="33">
        <v>24.943999999999999</v>
      </c>
      <c r="BG46" s="33">
        <v>4.157</v>
      </c>
      <c r="BH46" s="33">
        <v>6.9290000000000003</v>
      </c>
      <c r="BI46" s="33">
        <v>5.82</v>
      </c>
      <c r="BJ46" s="33">
        <v>11.64</v>
      </c>
      <c r="BK46" s="33">
        <v>3.3260000000000001</v>
      </c>
      <c r="BL46" s="33">
        <v>11.779</v>
      </c>
      <c r="BM46" s="33">
        <v>2.3559999999999999</v>
      </c>
      <c r="BN46" s="33">
        <v>8.3149999999999995</v>
      </c>
      <c r="BO46" s="33">
        <v>11.818</v>
      </c>
      <c r="BP46" s="33">
        <v>31.651</v>
      </c>
      <c r="BQ46" s="33">
        <v>9.9779999999999998</v>
      </c>
      <c r="BR46" s="33">
        <v>14.965999999999999</v>
      </c>
      <c r="BS46" s="33">
        <v>4.8499999999999996</v>
      </c>
      <c r="BT46" s="33">
        <v>9.5619999999999994</v>
      </c>
      <c r="BU46" s="33">
        <v>1.33</v>
      </c>
      <c r="BV46" s="33">
        <v>2.855</v>
      </c>
      <c r="BW46" s="33">
        <v>3.7639999999999998</v>
      </c>
      <c r="BX46" s="33">
        <v>3.0630000000000002</v>
      </c>
      <c r="BY46" s="33">
        <v>6.9290000000000003</v>
      </c>
      <c r="BZ46" s="33">
        <v>11.308</v>
      </c>
      <c r="CA46" s="33">
        <v>16.491</v>
      </c>
      <c r="CB46" s="33">
        <v>9.423</v>
      </c>
      <c r="CC46" s="33">
        <v>7.899</v>
      </c>
      <c r="CD46" s="33">
        <v>10.643000000000001</v>
      </c>
      <c r="CE46" s="33">
        <v>6.9290000000000003</v>
      </c>
      <c r="CF46" s="33">
        <v>4.4619999999999997</v>
      </c>
      <c r="CG46" s="33">
        <v>4.8499999999999996</v>
      </c>
      <c r="CH46" s="33">
        <v>7.7460000000000004</v>
      </c>
      <c r="CI46" s="33">
        <v>3.617</v>
      </c>
      <c r="CJ46" s="33">
        <v>1.2330000000000001</v>
      </c>
      <c r="CK46" s="33">
        <v>6.8730000000000002</v>
      </c>
      <c r="CL46" s="33">
        <v>4.6840000000000002</v>
      </c>
      <c r="CM46" s="33">
        <v>4.157</v>
      </c>
      <c r="CN46" s="33">
        <v>16.414000000000001</v>
      </c>
      <c r="CO46" s="33">
        <v>6.5129999999999999</v>
      </c>
      <c r="CP46" s="33">
        <v>12.971</v>
      </c>
      <c r="CQ46" s="33">
        <v>8.8689999999999998</v>
      </c>
      <c r="CR46" s="33">
        <v>7.2060000000000004</v>
      </c>
      <c r="CS46" s="33">
        <v>6.0970000000000004</v>
      </c>
      <c r="CT46" s="33">
        <v>8.2590000000000003</v>
      </c>
      <c r="CU46" s="33">
        <v>3.8250000000000002</v>
      </c>
      <c r="CV46" s="33">
        <v>7.0119999999999996</v>
      </c>
      <c r="CW46" s="33">
        <v>7.76</v>
      </c>
      <c r="CX46" s="33">
        <v>3.464</v>
      </c>
      <c r="CY46" s="33">
        <v>9.4649999999999999</v>
      </c>
      <c r="CZ46" s="33">
        <v>3.3260000000000001</v>
      </c>
      <c r="DA46" s="33">
        <v>8.3149999999999995</v>
      </c>
      <c r="DB46" s="33">
        <v>5.21</v>
      </c>
      <c r="DC46" s="33">
        <v>3.9079999999999999</v>
      </c>
      <c r="DD46" s="33">
        <v>4.4619999999999997</v>
      </c>
      <c r="DE46" s="33">
        <v>3.464</v>
      </c>
      <c r="DF46" s="33">
        <v>5.9870000000000001</v>
      </c>
      <c r="DG46" s="33">
        <v>9.9640000000000004</v>
      </c>
      <c r="DH46" s="33">
        <v>20.786000000000001</v>
      </c>
      <c r="DI46" s="33">
        <v>9.9779999999999998</v>
      </c>
      <c r="DJ46" s="33">
        <v>4.157</v>
      </c>
      <c r="DK46" s="33">
        <v>5.7370000000000001</v>
      </c>
      <c r="DL46" s="33">
        <v>10.269</v>
      </c>
      <c r="DM46" s="33">
        <v>4.9889999999999999</v>
      </c>
      <c r="DN46" s="33">
        <v>27.715</v>
      </c>
      <c r="DO46" s="33">
        <v>9.3119999999999994</v>
      </c>
      <c r="DP46" s="33">
        <v>27.992000000000001</v>
      </c>
      <c r="DQ46" s="33">
        <v>0.64900000000000002</v>
      </c>
      <c r="DR46" s="33">
        <v>25.276</v>
      </c>
      <c r="DS46" s="33">
        <v>4.4619999999999997</v>
      </c>
      <c r="DT46" s="33">
        <v>8.3420000000000005</v>
      </c>
      <c r="DU46" s="33">
        <v>4.157</v>
      </c>
      <c r="DV46" s="33">
        <v>3.2930000000000001</v>
      </c>
      <c r="DW46" s="33">
        <v>3.88</v>
      </c>
      <c r="DX46" s="33">
        <v>10.781000000000001</v>
      </c>
      <c r="DY46" s="33">
        <v>7.2060000000000004</v>
      </c>
      <c r="DZ46" s="33">
        <v>3.2429999999999999</v>
      </c>
      <c r="EA46" s="33">
        <v>11.086</v>
      </c>
      <c r="EB46" s="33">
        <v>9.9779999999999998</v>
      </c>
      <c r="EC46" s="33">
        <v>6.375</v>
      </c>
      <c r="ED46" s="33">
        <v>7.9820000000000002</v>
      </c>
      <c r="EE46" s="33">
        <v>13.525</v>
      </c>
      <c r="EF46" s="33">
        <v>4.157</v>
      </c>
      <c r="EG46" s="33">
        <v>2.5499999999999998</v>
      </c>
      <c r="EH46" s="33">
        <v>11.474</v>
      </c>
      <c r="EI46" s="33">
        <v>4.1020000000000003</v>
      </c>
      <c r="EJ46" s="33">
        <v>2.5499999999999998</v>
      </c>
      <c r="EK46" s="33">
        <v>4.157</v>
      </c>
      <c r="EL46" s="33">
        <v>6.6520000000000001</v>
      </c>
      <c r="EM46" s="33">
        <v>8.9239999999999995</v>
      </c>
      <c r="EN46" s="33">
        <v>5.0999999999999996</v>
      </c>
      <c r="EO46" s="33">
        <v>5.5430000000000001</v>
      </c>
      <c r="EP46" s="33">
        <v>3.9079999999999999</v>
      </c>
      <c r="EQ46" s="33">
        <v>9.5619999999999994</v>
      </c>
      <c r="ER46" s="33">
        <v>2.91</v>
      </c>
      <c r="ES46" s="33">
        <v>3.1869999999999998</v>
      </c>
      <c r="ET46" s="33">
        <v>6.4020000000000001</v>
      </c>
      <c r="EU46" s="33">
        <v>23.547000000000001</v>
      </c>
      <c r="EV46" s="33">
        <v>4.7809999999999997</v>
      </c>
      <c r="EW46" s="33">
        <v>22.172000000000001</v>
      </c>
      <c r="EX46" s="33">
        <v>24.902000000000001</v>
      </c>
      <c r="EY46" s="33">
        <v>1.4970000000000001</v>
      </c>
      <c r="EZ46" s="33">
        <v>2.012</v>
      </c>
      <c r="FA46" s="33">
        <v>1.6459999999999999</v>
      </c>
      <c r="FB46" s="33">
        <v>5.5430000000000001</v>
      </c>
      <c r="FC46" s="33">
        <v>7.899</v>
      </c>
      <c r="FD46" s="33">
        <v>5.5430000000000001</v>
      </c>
      <c r="FE46" s="33">
        <v>7.649</v>
      </c>
      <c r="FF46" s="33">
        <v>4.9889999999999999</v>
      </c>
      <c r="FG46" s="33">
        <v>4.157</v>
      </c>
      <c r="FH46" s="33">
        <v>3.464</v>
      </c>
      <c r="FI46" s="33">
        <v>13.303000000000001</v>
      </c>
      <c r="FJ46" s="33">
        <v>8.4860000000000007</v>
      </c>
      <c r="FK46" s="33">
        <v>12.292</v>
      </c>
      <c r="FL46" s="33">
        <v>4.1020000000000003</v>
      </c>
      <c r="FM46" s="33">
        <v>11.336</v>
      </c>
      <c r="FN46" s="33">
        <v>5.6820000000000004</v>
      </c>
      <c r="FO46" s="33">
        <v>20.398</v>
      </c>
      <c r="FP46" s="33">
        <v>29.100999999999999</v>
      </c>
      <c r="FQ46" s="33">
        <v>5.3209999999999997</v>
      </c>
      <c r="FR46" s="33">
        <v>3.1869999999999998</v>
      </c>
      <c r="FS46" s="33">
        <v>3.8250000000000002</v>
      </c>
      <c r="FT46" s="33">
        <v>4.7809999999999997</v>
      </c>
      <c r="FU46" s="33">
        <v>19.401</v>
      </c>
      <c r="FV46" s="33">
        <v>3.6859999999999999</v>
      </c>
      <c r="FW46" s="33">
        <v>4.2069999999999999</v>
      </c>
      <c r="FX46" s="33">
        <v>4.157</v>
      </c>
      <c r="FY46" s="33">
        <v>3.8250000000000002</v>
      </c>
      <c r="FZ46" s="33">
        <v>3.8250000000000002</v>
      </c>
      <c r="GA46" s="33">
        <v>4.157</v>
      </c>
      <c r="GB46" s="33">
        <v>3.464</v>
      </c>
      <c r="GC46" s="33">
        <v>1.829</v>
      </c>
      <c r="GD46" s="33">
        <v>3.492</v>
      </c>
      <c r="GE46" s="33">
        <v>3.8250000000000002</v>
      </c>
      <c r="GF46" s="33">
        <v>29.100999999999999</v>
      </c>
      <c r="GG46" s="33">
        <v>17.738</v>
      </c>
      <c r="GH46" s="33">
        <v>1.663</v>
      </c>
      <c r="GI46" s="33">
        <v>2.4940000000000002</v>
      </c>
      <c r="GJ46" s="33">
        <v>3.298</v>
      </c>
      <c r="GK46" s="33">
        <v>7.4829999999999997</v>
      </c>
      <c r="GL46" s="33">
        <v>5.5430000000000001</v>
      </c>
      <c r="GM46" s="33">
        <v>5.8999999999999997E-2</v>
      </c>
      <c r="GN46" s="33">
        <v>0.35399999999999998</v>
      </c>
      <c r="GO46" s="33">
        <v>0.124</v>
      </c>
      <c r="GP46" s="33">
        <v>0.501</v>
      </c>
      <c r="GQ46" s="33">
        <v>8.3000000000000004E-2</v>
      </c>
      <c r="GR46" s="33">
        <v>0.70199999999999996</v>
      </c>
      <c r="GS46" s="33">
        <v>0.186</v>
      </c>
      <c r="GT46" s="33">
        <v>0.56000000000000005</v>
      </c>
      <c r="GU46" s="33">
        <v>0.14899999999999999</v>
      </c>
      <c r="GV46" s="33">
        <v>0.1</v>
      </c>
      <c r="GW46" s="33">
        <v>0.12</v>
      </c>
      <c r="GX46" s="33">
        <v>0.51300000000000001</v>
      </c>
      <c r="GY46" s="33">
        <v>2.4E-2</v>
      </c>
      <c r="GZ46" s="33">
        <v>7.0999999999999994E-2</v>
      </c>
      <c r="HA46" s="33">
        <v>0.17599999999999999</v>
      </c>
      <c r="HB46" s="33">
        <v>0.56000000000000005</v>
      </c>
      <c r="HC46" s="33">
        <v>0.56000000000000005</v>
      </c>
      <c r="HD46" s="33">
        <v>0.29499999999999998</v>
      </c>
      <c r="HE46" s="3">
        <f>_xlfn.XLOOKUP(HE$1,generator!$B$2:$B$295,generator!$L$2:$L$295,"ARGH")</f>
        <v>17.600000000000001</v>
      </c>
      <c r="HF46" s="3">
        <f>_xlfn.XLOOKUP(HF$1,generator!$B$2:$B$295,generator!$L$2:$L$295,"ARGH")</f>
        <v>285</v>
      </c>
      <c r="HG46" s="3">
        <f>_xlfn.XLOOKUP(HG$1,generator!$B$2:$B$295,generator!$L$2:$L$295,"ARGH")</f>
        <v>285</v>
      </c>
      <c r="HH46" s="3">
        <f>_xlfn.XLOOKUP(HH$1,generator!$B$2:$B$295,generator!$L$2:$L$295,"ARGH")</f>
        <v>285</v>
      </c>
      <c r="HI46" s="3">
        <f>_xlfn.XLOOKUP(HI$1,generator!$B$2:$B$295,generator!$L$2:$L$295,"ARGH")</f>
        <v>58</v>
      </c>
      <c r="HJ46" s="3">
        <f>_xlfn.XLOOKUP(HJ$1,generator!$B$2:$B$295,generator!$L$2:$L$295,"ARGH")</f>
        <v>58</v>
      </c>
      <c r="HK46" s="3">
        <f>_xlfn.XLOOKUP(HK$1,generator!$B$2:$B$295,generator!$L$2:$L$295,"ARGH")</f>
        <v>53</v>
      </c>
      <c r="HL46" s="3">
        <f>_xlfn.XLOOKUP(HL$1,generator!$B$2:$B$295,generator!$L$2:$L$295,"ARGH")</f>
        <v>58</v>
      </c>
      <c r="HM46" s="3">
        <f>_xlfn.XLOOKUP(HM$1,generator!$B$2:$B$295,generator!$L$2:$L$295,"ARGH")</f>
        <v>58</v>
      </c>
      <c r="HN46" s="3">
        <f>_xlfn.XLOOKUP(HN$1,generator!$B$2:$B$295,generator!$L$2:$L$295,"ARGH")</f>
        <v>52</v>
      </c>
      <c r="HO46" s="3">
        <f>_xlfn.XLOOKUP(HO$1,generator!$B$2:$B$295,generator!$L$2:$L$295,"ARGH")</f>
        <v>52</v>
      </c>
      <c r="HP46" s="3">
        <f>_xlfn.XLOOKUP(HP$1,generator!$B$2:$B$295,generator!$L$2:$L$295,"ARGH")</f>
        <v>2</v>
      </c>
      <c r="HQ46" s="3">
        <f>_xlfn.XLOOKUP(HQ$1,generator!$B$2:$B$295,generator!$L$2:$L$295,"ARGH")</f>
        <v>29.2</v>
      </c>
      <c r="HR46" s="3">
        <f>_xlfn.XLOOKUP(HR$1,generator!$B$2:$B$295,generator!$L$2:$L$295,"ARGH")</f>
        <v>29.2</v>
      </c>
      <c r="HS46" s="3">
        <f>_xlfn.XLOOKUP(HS$1,generator!$B$2:$B$295,generator!$L$2:$L$295,"ARGH")</f>
        <v>41.61</v>
      </c>
      <c r="HT46" s="3">
        <f>_xlfn.XLOOKUP(HT$1,generator!$B$2:$B$295,generator!$L$2:$L$295,"ARGH")</f>
        <v>41.61</v>
      </c>
      <c r="HU46" s="3">
        <f>_xlfn.XLOOKUP(HU$1,generator!$B$2:$B$295,generator!$L$2:$L$295,"ARGH")</f>
        <v>160</v>
      </c>
      <c r="HV46" s="3">
        <f>_xlfn.XLOOKUP(HV$1,generator!$B$2:$B$295,generator!$L$2:$L$295,"ARGH")</f>
        <v>260</v>
      </c>
      <c r="HW46" s="3">
        <f>_xlfn.XLOOKUP(HW$1,generator!$B$2:$B$295,generator!$L$2:$L$295,"ARGH")</f>
        <v>52</v>
      </c>
      <c r="HX46" s="3">
        <f>_xlfn.XLOOKUP(HX$1,generator!$B$2:$B$295,generator!$L$2:$L$295,"ARGH")</f>
        <v>52</v>
      </c>
      <c r="HY46" s="3">
        <f>_xlfn.XLOOKUP(HY$1,generator!$B$2:$B$295,generator!$L$2:$L$295,"ARGH")</f>
        <v>101</v>
      </c>
      <c r="HZ46" s="3">
        <f>_xlfn.XLOOKUP(HZ$1,generator!$B$2:$B$295,generator!$L$2:$L$295,"ARGH")</f>
        <v>50</v>
      </c>
      <c r="IA46" s="3">
        <f>_xlfn.XLOOKUP(IA$1,generator!$B$2:$B$295,generator!$L$2:$L$295,"ARGH")</f>
        <v>400</v>
      </c>
      <c r="IB46" s="3">
        <f>_xlfn.XLOOKUP(IB$1,generator!$B$2:$B$295,generator!$L$2:$L$295,"ARGH")</f>
        <v>342</v>
      </c>
      <c r="IC46" s="3">
        <f>_xlfn.XLOOKUP(IC$1,generator!$B$2:$B$295,generator!$L$2:$L$295,"ARGH")</f>
        <v>3.0209999999999999</v>
      </c>
      <c r="ID46" s="3">
        <f>_xlfn.XLOOKUP(ID$1,generator!$B$2:$B$295,generator!$L$2:$L$295,"ARGH")</f>
        <v>200</v>
      </c>
      <c r="IE46" s="3">
        <f>_xlfn.XLOOKUP(IE$1,generator!$B$2:$B$295,generator!$L$2:$L$295,"ARGH")</f>
        <v>404</v>
      </c>
      <c r="IF46" s="3">
        <f>_xlfn.XLOOKUP(IF$1,generator!$B$2:$B$295,generator!$L$2:$L$295,"ARGH")</f>
        <v>21</v>
      </c>
      <c r="IG46" s="3">
        <f>_xlfn.XLOOKUP(IG$1,generator!$B$2:$B$295,generator!$L$2:$L$295,"ARGH")</f>
        <v>22</v>
      </c>
      <c r="IH46" s="3">
        <f>_xlfn.XLOOKUP(IH$1,generator!$B$2:$B$295,generator!$L$2:$L$295,"ARGH")</f>
        <v>19</v>
      </c>
      <c r="II46" s="3">
        <f>_xlfn.XLOOKUP(II$1,generator!$B$2:$B$295,generator!$L$2:$L$295,"ARGH")</f>
        <v>24</v>
      </c>
      <c r="IJ46" s="3">
        <f>_xlfn.XLOOKUP(IJ$1,generator!$B$2:$B$295,generator!$L$2:$L$295,"ARGH")</f>
        <v>4.3</v>
      </c>
      <c r="IK46" s="3">
        <f>_xlfn.XLOOKUP(IK$1,generator!$B$2:$B$295,generator!$L$2:$L$295,"ARGH")</f>
        <v>8</v>
      </c>
      <c r="IL46" s="3">
        <f>_xlfn.XLOOKUP(IL$1,generator!$B$2:$B$295,generator!$L$2:$L$295,"ARGH")</f>
        <v>22.5</v>
      </c>
      <c r="IM46" s="3">
        <f>_xlfn.XLOOKUP(IM$1,generator!$B$2:$B$295,generator!$L$2:$L$295,"ARGH")</f>
        <v>22.5</v>
      </c>
      <c r="IN46" s="3">
        <f>_xlfn.XLOOKUP(IN$1,generator!$B$2:$B$295,generator!$L$2:$L$295,"ARGH")</f>
        <v>10</v>
      </c>
      <c r="IO46" s="3">
        <f>_xlfn.XLOOKUP(IO$1,generator!$B$2:$B$295,generator!$L$2:$L$295,"ARGH")</f>
        <v>10</v>
      </c>
      <c r="IP46" s="3">
        <f>_xlfn.XLOOKUP(IP$1,generator!$B$2:$B$295,generator!$L$2:$L$295,"ARGH")</f>
        <v>15</v>
      </c>
      <c r="IQ46" s="3">
        <f>_xlfn.XLOOKUP(IQ$1,generator!$B$2:$B$295,generator!$L$2:$L$295,"ARGH")</f>
        <v>4</v>
      </c>
      <c r="IR46" s="3">
        <f>_xlfn.XLOOKUP(IR$1,generator!$B$2:$B$295,generator!$L$2:$L$295,"ARGH")</f>
        <v>15</v>
      </c>
      <c r="IS46" s="3">
        <f>_xlfn.XLOOKUP(IS$1,generator!$B$2:$B$295,generator!$L$2:$L$295,"ARGH")</f>
        <v>15</v>
      </c>
      <c r="IT46" s="3">
        <f>_xlfn.XLOOKUP(IT$1,generator!$B$2:$B$295,generator!$L$2:$L$295,"ARGH")</f>
        <v>0.18</v>
      </c>
      <c r="IU46" s="3">
        <f>_xlfn.XLOOKUP(IU$1,generator!$B$2:$B$295,generator!$L$2:$L$295,"ARGH")</f>
        <v>4</v>
      </c>
      <c r="IV46" s="3">
        <f>_xlfn.XLOOKUP(IV$1,generator!$B$2:$B$295,generator!$L$2:$L$295,"ARGH")</f>
        <v>4</v>
      </c>
      <c r="IW46" s="3">
        <f>_xlfn.XLOOKUP(IW$1,generator!$B$2:$B$295,generator!$L$2:$L$295,"ARGH")</f>
        <v>90</v>
      </c>
      <c r="IX46" s="3">
        <f>_xlfn.XLOOKUP(IX$1,generator!$B$2:$B$295,generator!$L$2:$L$295,"ARGH")</f>
        <v>90</v>
      </c>
      <c r="IY46" s="3">
        <f>_xlfn.XLOOKUP(IY$1,generator!$B$2:$B$295,generator!$L$2:$L$295,"ARGH")</f>
        <v>90</v>
      </c>
      <c r="IZ46" s="3">
        <f>_xlfn.XLOOKUP(IZ$1,generator!$B$2:$B$295,generator!$L$2:$L$295,"ARGH")</f>
        <v>449</v>
      </c>
      <c r="JA46" s="3">
        <f>_xlfn.XLOOKUP(JA$1,generator!$B$2:$B$295,generator!$L$2:$L$295,"ARGH")</f>
        <v>83</v>
      </c>
      <c r="JB46" s="3">
        <f>_xlfn.XLOOKUP(JB$1,generator!$B$2:$B$295,generator!$L$2:$L$295,"ARGH")</f>
        <v>83</v>
      </c>
      <c r="JC46" s="3">
        <f>_xlfn.XLOOKUP(JC$1,generator!$B$2:$B$295,generator!$L$2:$L$295,"ARGH")</f>
        <v>247</v>
      </c>
      <c r="JD46" s="3">
        <f>_xlfn.XLOOKUP(JD$1,generator!$B$2:$B$295,generator!$L$2:$L$295,"ARGH")</f>
        <v>247</v>
      </c>
      <c r="JE46" s="3">
        <f>_xlfn.XLOOKUP(JE$1,generator!$B$2:$B$295,generator!$L$2:$L$295,"ARGH")</f>
        <v>425</v>
      </c>
      <c r="JF46" s="3">
        <f>_xlfn.XLOOKUP(JF$1,generator!$B$2:$B$295,generator!$L$2:$L$295,"ARGH")</f>
        <v>63.5</v>
      </c>
      <c r="JG46" s="3">
        <f>_xlfn.XLOOKUP(JG$1,generator!$B$2:$B$295,generator!$L$2:$L$295,"ARGH")</f>
        <v>17</v>
      </c>
      <c r="JH46" s="3">
        <f>_xlfn.XLOOKUP(JH$1,generator!$B$2:$B$295,generator!$L$2:$L$295,"ARGH")</f>
        <v>444</v>
      </c>
      <c r="JI46" s="3">
        <f>_xlfn.XLOOKUP(JI$1,generator!$B$2:$B$295,generator!$L$2:$L$295,"ARGH")</f>
        <v>464</v>
      </c>
      <c r="JJ46" s="3">
        <f>_xlfn.XLOOKUP(JJ$1,generator!$B$2:$B$295,generator!$L$2:$L$295,"ARGH")</f>
        <v>18.54</v>
      </c>
      <c r="JK46" s="3">
        <f>_xlfn.XLOOKUP(JK$1,generator!$B$2:$B$295,generator!$L$2:$L$295,"ARGH")</f>
        <v>18.54</v>
      </c>
      <c r="JL46" s="3">
        <f>_xlfn.XLOOKUP(JL$1,generator!$B$2:$B$295,generator!$L$2:$L$295,"ARGH")</f>
        <v>18.54</v>
      </c>
      <c r="JM46" s="3">
        <f>_xlfn.XLOOKUP(JM$1,generator!$B$2:$B$295,generator!$L$2:$L$295,"ARGH")</f>
        <v>18.54</v>
      </c>
      <c r="JN46" s="3">
        <f>_xlfn.XLOOKUP(JN$1,generator!$B$2:$B$295,generator!$L$2:$L$295,"ARGH")</f>
        <v>18.54</v>
      </c>
      <c r="JO46" s="3">
        <f>_xlfn.XLOOKUP(JO$1,generator!$B$2:$B$295,generator!$L$2:$L$295,"ARGH")</f>
        <v>18.54</v>
      </c>
      <c r="JP46" s="3">
        <f>_xlfn.XLOOKUP(JP$1,generator!$B$2:$B$295,generator!$L$2:$L$295,"ARGH")</f>
        <v>415</v>
      </c>
      <c r="JQ46" s="3">
        <f>_xlfn.XLOOKUP(JQ$1,generator!$B$2:$B$295,generator!$L$2:$L$295,"ARGH")</f>
        <v>63.5</v>
      </c>
      <c r="JR46" s="3">
        <f>_xlfn.XLOOKUP(JR$1,generator!$B$2:$B$295,generator!$L$2:$L$295,"ARGH")</f>
        <v>350</v>
      </c>
      <c r="JS46" s="3">
        <f>_xlfn.XLOOKUP(JS$1,generator!$B$2:$B$295,generator!$L$2:$L$295,"ARGH")</f>
        <v>350</v>
      </c>
      <c r="JT46" s="3">
        <f>_xlfn.XLOOKUP(JT$1,generator!$B$2:$B$295,generator!$L$2:$L$295,"ARGH")</f>
        <v>63.5</v>
      </c>
      <c r="JU46" s="3">
        <f>_xlfn.XLOOKUP(JU$1,generator!$B$2:$B$295,generator!$L$2:$L$295,"ARGH")</f>
        <v>61.5</v>
      </c>
      <c r="JV46" s="3">
        <f>_xlfn.XLOOKUP(JV$1,generator!$B$2:$B$295,generator!$L$2:$L$295,"ARGH")</f>
        <v>240</v>
      </c>
      <c r="JW46" s="3">
        <f>_xlfn.XLOOKUP(JW$1,generator!$B$2:$B$295,generator!$L$2:$L$295,"ARGH")</f>
        <v>236</v>
      </c>
      <c r="JX46" s="3">
        <f>_xlfn.XLOOKUP(JX$1,generator!$B$2:$B$295,generator!$L$2:$L$295,"ARGH")</f>
        <v>20</v>
      </c>
      <c r="JY46" s="3">
        <f>_xlfn.XLOOKUP(JY$1,generator!$B$2:$B$295,generator!$L$2:$L$295,"ARGH")</f>
        <v>118</v>
      </c>
      <c r="JZ46" s="3">
        <f>_xlfn.XLOOKUP(JZ$1,generator!$B$2:$B$295,generator!$L$2:$L$295,"ARGH")</f>
        <v>73</v>
      </c>
      <c r="KA46" s="3">
        <f>_xlfn.XLOOKUP(KA$1,generator!$B$2:$B$295,generator!$L$2:$L$295,"ARGH")</f>
        <v>73</v>
      </c>
      <c r="KB46" s="3">
        <f>_xlfn.XLOOKUP(KB$1,generator!$B$2:$B$295,generator!$L$2:$L$295,"ARGH")</f>
        <v>73</v>
      </c>
      <c r="KC46" s="3">
        <f>_xlfn.XLOOKUP(KC$1,generator!$B$2:$B$295,generator!$L$2:$L$295,"ARGH")</f>
        <v>73</v>
      </c>
    </row>
    <row r="47" spans="1:289" x14ac:dyDescent="0.3">
      <c r="A47" s="4" t="s">
        <v>3042</v>
      </c>
      <c r="B47" s="31">
        <v>530</v>
      </c>
      <c r="C47" s="31">
        <v>513.5</v>
      </c>
      <c r="D47" s="31">
        <v>442</v>
      </c>
      <c r="E47" s="33">
        <v>7.3090000000000002</v>
      </c>
      <c r="F47" s="33">
        <v>15.701000000000001</v>
      </c>
      <c r="G47" s="33">
        <v>7.3090000000000002</v>
      </c>
      <c r="H47" s="33">
        <v>12.182</v>
      </c>
      <c r="I47" s="33">
        <v>24.093</v>
      </c>
      <c r="J47" s="33">
        <v>22.469000000000001</v>
      </c>
      <c r="K47" s="33">
        <v>6.0910000000000002</v>
      </c>
      <c r="L47" s="33">
        <v>4.6559999999999997</v>
      </c>
      <c r="M47" s="33">
        <v>4.0609999999999999</v>
      </c>
      <c r="N47" s="33">
        <v>14.619</v>
      </c>
      <c r="O47" s="33">
        <v>1.462</v>
      </c>
      <c r="P47" s="33">
        <v>6.93</v>
      </c>
      <c r="Q47" s="33">
        <v>9.5289999999999999</v>
      </c>
      <c r="R47" s="33">
        <v>4.8730000000000002</v>
      </c>
      <c r="S47" s="33">
        <v>9.2989999999999995</v>
      </c>
      <c r="T47" s="33">
        <v>6.4969999999999999</v>
      </c>
      <c r="U47" s="33">
        <v>11.37</v>
      </c>
      <c r="V47" s="33">
        <v>5.726</v>
      </c>
      <c r="W47" s="33">
        <v>6.226</v>
      </c>
      <c r="X47" s="33">
        <v>8.7710000000000008</v>
      </c>
      <c r="Y47" s="33">
        <v>4.548</v>
      </c>
      <c r="Z47" s="33">
        <v>3.2210000000000001</v>
      </c>
      <c r="AA47" s="33">
        <v>2.9239999999999999</v>
      </c>
      <c r="AB47" s="33">
        <v>15.430999999999999</v>
      </c>
      <c r="AC47" s="33">
        <v>17.786000000000001</v>
      </c>
      <c r="AD47" s="33">
        <v>6.2809999999999997</v>
      </c>
      <c r="AE47" s="33">
        <v>5.4139999999999997</v>
      </c>
      <c r="AF47" s="33">
        <v>15.268000000000001</v>
      </c>
      <c r="AG47" s="33">
        <v>5.4139999999999997</v>
      </c>
      <c r="AH47" s="33">
        <v>3.2490000000000001</v>
      </c>
      <c r="AI47" s="33">
        <v>3.6280000000000001</v>
      </c>
      <c r="AJ47" s="33">
        <v>6.4969999999999999</v>
      </c>
      <c r="AK47" s="33">
        <v>2.3149999999999999</v>
      </c>
      <c r="AL47" s="33">
        <v>10.010999999999999</v>
      </c>
      <c r="AM47" s="33">
        <v>12.859</v>
      </c>
      <c r="AN47" s="33">
        <v>5.4139999999999997</v>
      </c>
      <c r="AO47" s="33">
        <v>3.7360000000000002</v>
      </c>
      <c r="AP47" s="33">
        <v>14.7</v>
      </c>
      <c r="AQ47" s="33">
        <v>5.0620000000000003</v>
      </c>
      <c r="AR47" s="33">
        <v>4.7370000000000001</v>
      </c>
      <c r="AS47" s="33">
        <v>14.077</v>
      </c>
      <c r="AT47" s="33">
        <v>3.8260000000000001</v>
      </c>
      <c r="AU47" s="33">
        <v>10.287000000000001</v>
      </c>
      <c r="AV47" s="33">
        <v>8.798</v>
      </c>
      <c r="AW47" s="33">
        <v>8.9339999999999993</v>
      </c>
      <c r="AX47" s="33">
        <v>4.9539999999999997</v>
      </c>
      <c r="AY47" s="33">
        <v>8.9610000000000003</v>
      </c>
      <c r="AZ47" s="33">
        <v>10.247</v>
      </c>
      <c r="BA47" s="33">
        <v>3.79</v>
      </c>
      <c r="BB47" s="33">
        <v>12.452999999999999</v>
      </c>
      <c r="BC47" s="33">
        <v>5.4139999999999997</v>
      </c>
      <c r="BD47" s="33">
        <v>3.2490000000000001</v>
      </c>
      <c r="BE47" s="33">
        <v>3.113</v>
      </c>
      <c r="BF47" s="33">
        <v>24.364000000000001</v>
      </c>
      <c r="BG47" s="33">
        <v>4.0609999999999999</v>
      </c>
      <c r="BH47" s="33">
        <v>6.7679999999999998</v>
      </c>
      <c r="BI47" s="33">
        <v>5.6849999999999996</v>
      </c>
      <c r="BJ47" s="33">
        <v>11.37</v>
      </c>
      <c r="BK47" s="33">
        <v>3.2490000000000001</v>
      </c>
      <c r="BL47" s="33">
        <v>11.505000000000001</v>
      </c>
      <c r="BM47" s="33">
        <v>2.3010000000000002</v>
      </c>
      <c r="BN47" s="33">
        <v>8.1210000000000004</v>
      </c>
      <c r="BO47" s="33">
        <v>11.542999999999999</v>
      </c>
      <c r="BP47" s="33">
        <v>30.914999999999999</v>
      </c>
      <c r="BQ47" s="33">
        <v>9.7460000000000004</v>
      </c>
      <c r="BR47" s="33">
        <v>14.619</v>
      </c>
      <c r="BS47" s="33">
        <v>4.7370000000000001</v>
      </c>
      <c r="BT47" s="33">
        <v>9.34</v>
      </c>
      <c r="BU47" s="33">
        <v>1.2989999999999999</v>
      </c>
      <c r="BV47" s="33">
        <v>2.7879999999999998</v>
      </c>
      <c r="BW47" s="33">
        <v>3.6760000000000002</v>
      </c>
      <c r="BX47" s="33">
        <v>2.9910000000000001</v>
      </c>
      <c r="BY47" s="33">
        <v>6.7679999999999998</v>
      </c>
      <c r="BZ47" s="33">
        <v>11.045</v>
      </c>
      <c r="CA47" s="33">
        <v>16.106999999999999</v>
      </c>
      <c r="CB47" s="33">
        <v>9.2040000000000006</v>
      </c>
      <c r="CC47" s="33">
        <v>7.7149999999999999</v>
      </c>
      <c r="CD47" s="33">
        <v>10.395</v>
      </c>
      <c r="CE47" s="33">
        <v>6.7679999999999998</v>
      </c>
      <c r="CF47" s="33">
        <v>4.3579999999999997</v>
      </c>
      <c r="CG47" s="33">
        <v>4.7370000000000001</v>
      </c>
      <c r="CH47" s="33">
        <v>7.5659999999999998</v>
      </c>
      <c r="CI47" s="33">
        <v>3.5329999999999999</v>
      </c>
      <c r="CJ47" s="33">
        <v>1.2050000000000001</v>
      </c>
      <c r="CK47" s="33">
        <v>6.7140000000000004</v>
      </c>
      <c r="CL47" s="33">
        <v>4.5750000000000002</v>
      </c>
      <c r="CM47" s="33">
        <v>4.0609999999999999</v>
      </c>
      <c r="CN47" s="33">
        <v>16.033000000000001</v>
      </c>
      <c r="CO47" s="33">
        <v>6.3620000000000001</v>
      </c>
      <c r="CP47" s="33">
        <v>12.669</v>
      </c>
      <c r="CQ47" s="33">
        <v>8.6630000000000003</v>
      </c>
      <c r="CR47" s="33">
        <v>7.0389999999999997</v>
      </c>
      <c r="CS47" s="33">
        <v>5.9560000000000004</v>
      </c>
      <c r="CT47" s="33">
        <v>8.0670000000000002</v>
      </c>
      <c r="CU47" s="33">
        <v>3.7360000000000002</v>
      </c>
      <c r="CV47" s="33">
        <v>6.8490000000000002</v>
      </c>
      <c r="CW47" s="33">
        <v>7.58</v>
      </c>
      <c r="CX47" s="33">
        <v>3.3839999999999999</v>
      </c>
      <c r="CY47" s="33">
        <v>9.2449999999999992</v>
      </c>
      <c r="CZ47" s="33">
        <v>3.2490000000000001</v>
      </c>
      <c r="DA47" s="33">
        <v>8.1210000000000004</v>
      </c>
      <c r="DB47" s="33">
        <v>5.0890000000000004</v>
      </c>
      <c r="DC47" s="33">
        <v>3.8170000000000002</v>
      </c>
      <c r="DD47" s="33">
        <v>4.3579999999999997</v>
      </c>
      <c r="DE47" s="33">
        <v>3.3839999999999999</v>
      </c>
      <c r="DF47" s="33">
        <v>5.8470000000000004</v>
      </c>
      <c r="DG47" s="33">
        <v>9.7319999999999993</v>
      </c>
      <c r="DH47" s="33">
        <v>20.303999999999998</v>
      </c>
      <c r="DI47" s="33">
        <v>9.7460000000000004</v>
      </c>
      <c r="DJ47" s="33">
        <v>4.0609999999999999</v>
      </c>
      <c r="DK47" s="33">
        <v>5.6040000000000001</v>
      </c>
      <c r="DL47" s="33">
        <v>10.029999999999999</v>
      </c>
      <c r="DM47" s="33">
        <v>4.8730000000000002</v>
      </c>
      <c r="DN47" s="33">
        <v>27.071000000000002</v>
      </c>
      <c r="DO47" s="33">
        <v>9.0960000000000001</v>
      </c>
      <c r="DP47" s="33">
        <v>27.341999999999999</v>
      </c>
      <c r="DQ47" s="33">
        <v>0.63300000000000001</v>
      </c>
      <c r="DR47" s="33">
        <v>24.689</v>
      </c>
      <c r="DS47" s="33">
        <v>4.3579999999999997</v>
      </c>
      <c r="DT47" s="33">
        <v>8.1479999999999997</v>
      </c>
      <c r="DU47" s="33">
        <v>4.0609999999999999</v>
      </c>
      <c r="DV47" s="33">
        <v>3.2160000000000002</v>
      </c>
      <c r="DW47" s="33">
        <v>3.79</v>
      </c>
      <c r="DX47" s="33">
        <v>10.531000000000001</v>
      </c>
      <c r="DY47" s="33">
        <v>7.0389999999999997</v>
      </c>
      <c r="DZ47" s="33">
        <v>3.1669999999999998</v>
      </c>
      <c r="EA47" s="33">
        <v>10.829000000000001</v>
      </c>
      <c r="EB47" s="33">
        <v>9.7460000000000004</v>
      </c>
      <c r="EC47" s="33">
        <v>6.226</v>
      </c>
      <c r="ED47" s="33">
        <v>7.7969999999999997</v>
      </c>
      <c r="EE47" s="33">
        <v>13.211</v>
      </c>
      <c r="EF47" s="33">
        <v>4.0609999999999999</v>
      </c>
      <c r="EG47" s="33">
        <v>2.4910000000000001</v>
      </c>
      <c r="EH47" s="33">
        <v>11.208</v>
      </c>
      <c r="EI47" s="33">
        <v>4.0069999999999997</v>
      </c>
      <c r="EJ47" s="33">
        <v>2.4910000000000001</v>
      </c>
      <c r="EK47" s="33">
        <v>4.0609999999999999</v>
      </c>
      <c r="EL47" s="33">
        <v>6.4969999999999999</v>
      </c>
      <c r="EM47" s="33">
        <v>8.7170000000000005</v>
      </c>
      <c r="EN47" s="33">
        <v>4.9809999999999999</v>
      </c>
      <c r="EO47" s="33">
        <v>5.4139999999999997</v>
      </c>
      <c r="EP47" s="33">
        <v>3.8170000000000002</v>
      </c>
      <c r="EQ47" s="33">
        <v>9.34</v>
      </c>
      <c r="ER47" s="33">
        <v>2.8420000000000001</v>
      </c>
      <c r="ES47" s="33">
        <v>3.113</v>
      </c>
      <c r="ET47" s="33">
        <v>6.2530000000000001</v>
      </c>
      <c r="EU47" s="33">
        <v>23</v>
      </c>
      <c r="EV47" s="33">
        <v>4.67</v>
      </c>
      <c r="EW47" s="33">
        <v>21.657</v>
      </c>
      <c r="EX47" s="33">
        <v>24.324000000000002</v>
      </c>
      <c r="EY47" s="33">
        <v>1.462</v>
      </c>
      <c r="EZ47" s="33">
        <v>1.9650000000000001</v>
      </c>
      <c r="FA47" s="33">
        <v>1.6080000000000001</v>
      </c>
      <c r="FB47" s="33">
        <v>5.4139999999999997</v>
      </c>
      <c r="FC47" s="33">
        <v>7.7149999999999999</v>
      </c>
      <c r="FD47" s="33">
        <v>5.4139999999999997</v>
      </c>
      <c r="FE47" s="33">
        <v>7.4720000000000004</v>
      </c>
      <c r="FF47" s="33">
        <v>4.8730000000000002</v>
      </c>
      <c r="FG47" s="33">
        <v>4.0609999999999999</v>
      </c>
      <c r="FH47" s="33">
        <v>3.3839999999999999</v>
      </c>
      <c r="FI47" s="33">
        <v>12.994</v>
      </c>
      <c r="FJ47" s="33">
        <v>8.2889999999999997</v>
      </c>
      <c r="FK47" s="33">
        <v>12.006</v>
      </c>
      <c r="FL47" s="33">
        <v>4.0069999999999997</v>
      </c>
      <c r="FM47" s="33">
        <v>11.071999999999999</v>
      </c>
      <c r="FN47" s="33">
        <v>5.55</v>
      </c>
      <c r="FO47" s="33">
        <v>19.925000000000001</v>
      </c>
      <c r="FP47" s="33">
        <v>28.425000000000001</v>
      </c>
      <c r="FQ47" s="33">
        <v>5.1980000000000004</v>
      </c>
      <c r="FR47" s="33">
        <v>3.113</v>
      </c>
      <c r="FS47" s="33">
        <v>3.7360000000000002</v>
      </c>
      <c r="FT47" s="33">
        <v>4.67</v>
      </c>
      <c r="FU47" s="33">
        <v>18.95</v>
      </c>
      <c r="FV47" s="33">
        <v>3.6</v>
      </c>
      <c r="FW47" s="33">
        <v>4.109</v>
      </c>
      <c r="FX47" s="33">
        <v>4.0609999999999999</v>
      </c>
      <c r="FY47" s="33">
        <v>3.7360000000000002</v>
      </c>
      <c r="FZ47" s="33">
        <v>3.7360000000000002</v>
      </c>
      <c r="GA47" s="33">
        <v>4.0609999999999999</v>
      </c>
      <c r="GB47" s="33">
        <v>3.3839999999999999</v>
      </c>
      <c r="GC47" s="33">
        <v>1.7869999999999999</v>
      </c>
      <c r="GD47" s="33">
        <v>3.411</v>
      </c>
      <c r="GE47" s="33">
        <v>3.7360000000000002</v>
      </c>
      <c r="GF47" s="33">
        <v>28.425000000000001</v>
      </c>
      <c r="GG47" s="33">
        <v>17.326000000000001</v>
      </c>
      <c r="GH47" s="33">
        <v>1.6240000000000001</v>
      </c>
      <c r="GI47" s="33">
        <v>2.4359999999999999</v>
      </c>
      <c r="GJ47" s="33">
        <v>3.2210000000000001</v>
      </c>
      <c r="GK47" s="33">
        <v>7.3090000000000002</v>
      </c>
      <c r="GL47" s="33">
        <v>5.4139999999999997</v>
      </c>
      <c r="GM47" s="33">
        <v>5.8000000000000003E-2</v>
      </c>
      <c r="GN47" s="33">
        <v>0.34799999999999998</v>
      </c>
      <c r="GO47" s="33">
        <v>0.122</v>
      </c>
      <c r="GP47" s="33">
        <v>0.49199999999999999</v>
      </c>
      <c r="GQ47" s="33">
        <v>8.1000000000000003E-2</v>
      </c>
      <c r="GR47" s="33">
        <v>0.68899999999999995</v>
      </c>
      <c r="GS47" s="33">
        <v>0.183</v>
      </c>
      <c r="GT47" s="33">
        <v>0.55000000000000004</v>
      </c>
      <c r="GU47" s="33">
        <v>0.14599999999999999</v>
      </c>
      <c r="GV47" s="33">
        <v>9.8000000000000004E-2</v>
      </c>
      <c r="GW47" s="33">
        <v>0.11799999999999999</v>
      </c>
      <c r="GX47" s="33">
        <v>0.504</v>
      </c>
      <c r="GY47" s="33">
        <v>2.3E-2</v>
      </c>
      <c r="GZ47" s="33">
        <v>7.0000000000000007E-2</v>
      </c>
      <c r="HA47" s="33">
        <v>0.17299999999999999</v>
      </c>
      <c r="HB47" s="33">
        <v>0.55000000000000004</v>
      </c>
      <c r="HC47" s="33">
        <v>0.55000000000000004</v>
      </c>
      <c r="HD47" s="33">
        <v>0.28999999999999998</v>
      </c>
      <c r="HE47" s="3">
        <f>_xlfn.XLOOKUP(HE$1,generator!$B$2:$B$295,generator!$L$2:$L$295,"ARGH")</f>
        <v>17.600000000000001</v>
      </c>
      <c r="HF47" s="3">
        <f>_xlfn.XLOOKUP(HF$1,generator!$B$2:$B$295,generator!$L$2:$L$295,"ARGH")</f>
        <v>285</v>
      </c>
      <c r="HG47" s="3">
        <f>_xlfn.XLOOKUP(HG$1,generator!$B$2:$B$295,generator!$L$2:$L$295,"ARGH")</f>
        <v>285</v>
      </c>
      <c r="HH47" s="3">
        <f>_xlfn.XLOOKUP(HH$1,generator!$B$2:$B$295,generator!$L$2:$L$295,"ARGH")</f>
        <v>285</v>
      </c>
      <c r="HI47" s="3">
        <f>_xlfn.XLOOKUP(HI$1,generator!$B$2:$B$295,generator!$L$2:$L$295,"ARGH")</f>
        <v>58</v>
      </c>
      <c r="HJ47" s="3">
        <f>_xlfn.XLOOKUP(HJ$1,generator!$B$2:$B$295,generator!$L$2:$L$295,"ARGH")</f>
        <v>58</v>
      </c>
      <c r="HK47" s="3">
        <f>_xlfn.XLOOKUP(HK$1,generator!$B$2:$B$295,generator!$L$2:$L$295,"ARGH")</f>
        <v>53</v>
      </c>
      <c r="HL47" s="3">
        <f>_xlfn.XLOOKUP(HL$1,generator!$B$2:$B$295,generator!$L$2:$L$295,"ARGH")</f>
        <v>58</v>
      </c>
      <c r="HM47" s="3">
        <f>_xlfn.XLOOKUP(HM$1,generator!$B$2:$B$295,generator!$L$2:$L$295,"ARGH")</f>
        <v>58</v>
      </c>
      <c r="HN47" s="3">
        <f>_xlfn.XLOOKUP(HN$1,generator!$B$2:$B$295,generator!$L$2:$L$295,"ARGH")</f>
        <v>52</v>
      </c>
      <c r="HO47" s="3">
        <f>_xlfn.XLOOKUP(HO$1,generator!$B$2:$B$295,generator!$L$2:$L$295,"ARGH")</f>
        <v>52</v>
      </c>
      <c r="HP47" s="3">
        <f>_xlfn.XLOOKUP(HP$1,generator!$B$2:$B$295,generator!$L$2:$L$295,"ARGH")</f>
        <v>2</v>
      </c>
      <c r="HQ47" s="3">
        <f>_xlfn.XLOOKUP(HQ$1,generator!$B$2:$B$295,generator!$L$2:$L$295,"ARGH")</f>
        <v>29.2</v>
      </c>
      <c r="HR47" s="3">
        <f>_xlfn.XLOOKUP(HR$1,generator!$B$2:$B$295,generator!$L$2:$L$295,"ARGH")</f>
        <v>29.2</v>
      </c>
      <c r="HS47" s="3">
        <f>_xlfn.XLOOKUP(HS$1,generator!$B$2:$B$295,generator!$L$2:$L$295,"ARGH")</f>
        <v>41.61</v>
      </c>
      <c r="HT47" s="3">
        <f>_xlfn.XLOOKUP(HT$1,generator!$B$2:$B$295,generator!$L$2:$L$295,"ARGH")</f>
        <v>41.61</v>
      </c>
      <c r="HU47" s="3">
        <f>_xlfn.XLOOKUP(HU$1,generator!$B$2:$B$295,generator!$L$2:$L$295,"ARGH")</f>
        <v>160</v>
      </c>
      <c r="HV47" s="3">
        <f>_xlfn.XLOOKUP(HV$1,generator!$B$2:$B$295,generator!$L$2:$L$295,"ARGH")</f>
        <v>260</v>
      </c>
      <c r="HW47" s="3">
        <f>_xlfn.XLOOKUP(HW$1,generator!$B$2:$B$295,generator!$L$2:$L$295,"ARGH")</f>
        <v>52</v>
      </c>
      <c r="HX47" s="3">
        <f>_xlfn.XLOOKUP(HX$1,generator!$B$2:$B$295,generator!$L$2:$L$295,"ARGH")</f>
        <v>52</v>
      </c>
      <c r="HY47" s="3">
        <f>_xlfn.XLOOKUP(HY$1,generator!$B$2:$B$295,generator!$L$2:$L$295,"ARGH")</f>
        <v>101</v>
      </c>
      <c r="HZ47" s="3">
        <f>_xlfn.XLOOKUP(HZ$1,generator!$B$2:$B$295,generator!$L$2:$L$295,"ARGH")</f>
        <v>50</v>
      </c>
      <c r="IA47" s="3">
        <f>_xlfn.XLOOKUP(IA$1,generator!$B$2:$B$295,generator!$L$2:$L$295,"ARGH")</f>
        <v>400</v>
      </c>
      <c r="IB47" s="3">
        <f>_xlfn.XLOOKUP(IB$1,generator!$B$2:$B$295,generator!$L$2:$L$295,"ARGH")</f>
        <v>342</v>
      </c>
      <c r="IC47" s="3">
        <f>_xlfn.XLOOKUP(IC$1,generator!$B$2:$B$295,generator!$L$2:$L$295,"ARGH")</f>
        <v>3.0209999999999999</v>
      </c>
      <c r="ID47" s="3">
        <f>_xlfn.XLOOKUP(ID$1,generator!$B$2:$B$295,generator!$L$2:$L$295,"ARGH")</f>
        <v>200</v>
      </c>
      <c r="IE47" s="3">
        <f>_xlfn.XLOOKUP(IE$1,generator!$B$2:$B$295,generator!$L$2:$L$295,"ARGH")</f>
        <v>404</v>
      </c>
      <c r="IF47" s="3">
        <f>_xlfn.XLOOKUP(IF$1,generator!$B$2:$B$295,generator!$L$2:$L$295,"ARGH")</f>
        <v>21</v>
      </c>
      <c r="IG47" s="3">
        <f>_xlfn.XLOOKUP(IG$1,generator!$B$2:$B$295,generator!$L$2:$L$295,"ARGH")</f>
        <v>22</v>
      </c>
      <c r="IH47" s="3">
        <f>_xlfn.XLOOKUP(IH$1,generator!$B$2:$B$295,generator!$L$2:$L$295,"ARGH")</f>
        <v>19</v>
      </c>
      <c r="II47" s="3">
        <f>_xlfn.XLOOKUP(II$1,generator!$B$2:$B$295,generator!$L$2:$L$295,"ARGH")</f>
        <v>24</v>
      </c>
      <c r="IJ47" s="3">
        <f>_xlfn.XLOOKUP(IJ$1,generator!$B$2:$B$295,generator!$L$2:$L$295,"ARGH")</f>
        <v>4.3</v>
      </c>
      <c r="IK47" s="3">
        <f>_xlfn.XLOOKUP(IK$1,generator!$B$2:$B$295,generator!$L$2:$L$295,"ARGH")</f>
        <v>8</v>
      </c>
      <c r="IL47" s="3">
        <f>_xlfn.XLOOKUP(IL$1,generator!$B$2:$B$295,generator!$L$2:$L$295,"ARGH")</f>
        <v>22.5</v>
      </c>
      <c r="IM47" s="3">
        <f>_xlfn.XLOOKUP(IM$1,generator!$B$2:$B$295,generator!$L$2:$L$295,"ARGH")</f>
        <v>22.5</v>
      </c>
      <c r="IN47" s="3">
        <f>_xlfn.XLOOKUP(IN$1,generator!$B$2:$B$295,generator!$L$2:$L$295,"ARGH")</f>
        <v>10</v>
      </c>
      <c r="IO47" s="3">
        <f>_xlfn.XLOOKUP(IO$1,generator!$B$2:$B$295,generator!$L$2:$L$295,"ARGH")</f>
        <v>10</v>
      </c>
      <c r="IP47" s="3">
        <f>_xlfn.XLOOKUP(IP$1,generator!$B$2:$B$295,generator!$L$2:$L$295,"ARGH")</f>
        <v>15</v>
      </c>
      <c r="IQ47" s="3">
        <f>_xlfn.XLOOKUP(IQ$1,generator!$B$2:$B$295,generator!$L$2:$L$295,"ARGH")</f>
        <v>4</v>
      </c>
      <c r="IR47" s="3">
        <f>_xlfn.XLOOKUP(IR$1,generator!$B$2:$B$295,generator!$L$2:$L$295,"ARGH")</f>
        <v>15</v>
      </c>
      <c r="IS47" s="3">
        <f>_xlfn.XLOOKUP(IS$1,generator!$B$2:$B$295,generator!$L$2:$L$295,"ARGH")</f>
        <v>15</v>
      </c>
      <c r="IT47" s="3">
        <f>_xlfn.XLOOKUP(IT$1,generator!$B$2:$B$295,generator!$L$2:$L$295,"ARGH")</f>
        <v>0.18</v>
      </c>
      <c r="IU47" s="3">
        <f>_xlfn.XLOOKUP(IU$1,generator!$B$2:$B$295,generator!$L$2:$L$295,"ARGH")</f>
        <v>4</v>
      </c>
      <c r="IV47" s="3">
        <f>_xlfn.XLOOKUP(IV$1,generator!$B$2:$B$295,generator!$L$2:$L$295,"ARGH")</f>
        <v>4</v>
      </c>
      <c r="IW47" s="3">
        <f>_xlfn.XLOOKUP(IW$1,generator!$B$2:$B$295,generator!$L$2:$L$295,"ARGH")</f>
        <v>90</v>
      </c>
      <c r="IX47" s="3">
        <f>_xlfn.XLOOKUP(IX$1,generator!$B$2:$B$295,generator!$L$2:$L$295,"ARGH")</f>
        <v>90</v>
      </c>
      <c r="IY47" s="3">
        <f>_xlfn.XLOOKUP(IY$1,generator!$B$2:$B$295,generator!$L$2:$L$295,"ARGH")</f>
        <v>90</v>
      </c>
      <c r="IZ47" s="3">
        <f>_xlfn.XLOOKUP(IZ$1,generator!$B$2:$B$295,generator!$L$2:$L$295,"ARGH")</f>
        <v>449</v>
      </c>
      <c r="JA47" s="3">
        <f>_xlfn.XLOOKUP(JA$1,generator!$B$2:$B$295,generator!$L$2:$L$295,"ARGH")</f>
        <v>83</v>
      </c>
      <c r="JB47" s="3">
        <f>_xlfn.XLOOKUP(JB$1,generator!$B$2:$B$295,generator!$L$2:$L$295,"ARGH")</f>
        <v>83</v>
      </c>
      <c r="JC47" s="3">
        <f>_xlfn.XLOOKUP(JC$1,generator!$B$2:$B$295,generator!$L$2:$L$295,"ARGH")</f>
        <v>247</v>
      </c>
      <c r="JD47" s="3">
        <f>_xlfn.XLOOKUP(JD$1,generator!$B$2:$B$295,generator!$L$2:$L$295,"ARGH")</f>
        <v>247</v>
      </c>
      <c r="JE47" s="3">
        <f>_xlfn.XLOOKUP(JE$1,generator!$B$2:$B$295,generator!$L$2:$L$295,"ARGH")</f>
        <v>425</v>
      </c>
      <c r="JF47" s="3">
        <f>_xlfn.XLOOKUP(JF$1,generator!$B$2:$B$295,generator!$L$2:$L$295,"ARGH")</f>
        <v>63.5</v>
      </c>
      <c r="JG47" s="3">
        <f>_xlfn.XLOOKUP(JG$1,generator!$B$2:$B$295,generator!$L$2:$L$295,"ARGH")</f>
        <v>17</v>
      </c>
      <c r="JH47" s="3">
        <f>_xlfn.XLOOKUP(JH$1,generator!$B$2:$B$295,generator!$L$2:$L$295,"ARGH")</f>
        <v>444</v>
      </c>
      <c r="JI47" s="3">
        <f>_xlfn.XLOOKUP(JI$1,generator!$B$2:$B$295,generator!$L$2:$L$295,"ARGH")</f>
        <v>464</v>
      </c>
      <c r="JJ47" s="3">
        <f>_xlfn.XLOOKUP(JJ$1,generator!$B$2:$B$295,generator!$L$2:$L$295,"ARGH")</f>
        <v>18.54</v>
      </c>
      <c r="JK47" s="3">
        <f>_xlfn.XLOOKUP(JK$1,generator!$B$2:$B$295,generator!$L$2:$L$295,"ARGH")</f>
        <v>18.54</v>
      </c>
      <c r="JL47" s="3">
        <f>_xlfn.XLOOKUP(JL$1,generator!$B$2:$B$295,generator!$L$2:$L$295,"ARGH")</f>
        <v>18.54</v>
      </c>
      <c r="JM47" s="3">
        <f>_xlfn.XLOOKUP(JM$1,generator!$B$2:$B$295,generator!$L$2:$L$295,"ARGH")</f>
        <v>18.54</v>
      </c>
      <c r="JN47" s="3">
        <f>_xlfn.XLOOKUP(JN$1,generator!$B$2:$B$295,generator!$L$2:$L$295,"ARGH")</f>
        <v>18.54</v>
      </c>
      <c r="JO47" s="3">
        <f>_xlfn.XLOOKUP(JO$1,generator!$B$2:$B$295,generator!$L$2:$L$295,"ARGH")</f>
        <v>18.54</v>
      </c>
      <c r="JP47" s="3">
        <f>_xlfn.XLOOKUP(JP$1,generator!$B$2:$B$295,generator!$L$2:$L$295,"ARGH")</f>
        <v>415</v>
      </c>
      <c r="JQ47" s="3">
        <f>_xlfn.XLOOKUP(JQ$1,generator!$B$2:$B$295,generator!$L$2:$L$295,"ARGH")</f>
        <v>63.5</v>
      </c>
      <c r="JR47" s="3">
        <f>_xlfn.XLOOKUP(JR$1,generator!$B$2:$B$295,generator!$L$2:$L$295,"ARGH")</f>
        <v>350</v>
      </c>
      <c r="JS47" s="3">
        <f>_xlfn.XLOOKUP(JS$1,generator!$B$2:$B$295,generator!$L$2:$L$295,"ARGH")</f>
        <v>350</v>
      </c>
      <c r="JT47" s="3">
        <f>_xlfn.XLOOKUP(JT$1,generator!$B$2:$B$295,generator!$L$2:$L$295,"ARGH")</f>
        <v>63.5</v>
      </c>
      <c r="JU47" s="3">
        <f>_xlfn.XLOOKUP(JU$1,generator!$B$2:$B$295,generator!$L$2:$L$295,"ARGH")</f>
        <v>61.5</v>
      </c>
      <c r="JV47" s="3">
        <f>_xlfn.XLOOKUP(JV$1,generator!$B$2:$B$295,generator!$L$2:$L$295,"ARGH")</f>
        <v>240</v>
      </c>
      <c r="JW47" s="3">
        <f>_xlfn.XLOOKUP(JW$1,generator!$B$2:$B$295,generator!$L$2:$L$295,"ARGH")</f>
        <v>236</v>
      </c>
      <c r="JX47" s="3">
        <f>_xlfn.XLOOKUP(JX$1,generator!$B$2:$B$295,generator!$L$2:$L$295,"ARGH")</f>
        <v>20</v>
      </c>
      <c r="JY47" s="3">
        <f>_xlfn.XLOOKUP(JY$1,generator!$B$2:$B$295,generator!$L$2:$L$295,"ARGH")</f>
        <v>118</v>
      </c>
      <c r="JZ47" s="3">
        <f>_xlfn.XLOOKUP(JZ$1,generator!$B$2:$B$295,generator!$L$2:$L$295,"ARGH")</f>
        <v>73</v>
      </c>
      <c r="KA47" s="3">
        <f>_xlfn.XLOOKUP(KA$1,generator!$B$2:$B$295,generator!$L$2:$L$295,"ARGH")</f>
        <v>73</v>
      </c>
      <c r="KB47" s="3">
        <f>_xlfn.XLOOKUP(KB$1,generator!$B$2:$B$295,generator!$L$2:$L$295,"ARGH")</f>
        <v>73</v>
      </c>
      <c r="KC47" s="3">
        <f>_xlfn.XLOOKUP(KC$1,generator!$B$2:$B$295,generator!$L$2:$L$295,"ARGH")</f>
        <v>73</v>
      </c>
    </row>
    <row r="48" spans="1:289" x14ac:dyDescent="0.3">
      <c r="A48" s="4" t="s">
        <v>3043</v>
      </c>
      <c r="B48" s="31">
        <v>530</v>
      </c>
      <c r="C48" s="31">
        <v>513.5</v>
      </c>
      <c r="D48" s="31">
        <v>442</v>
      </c>
      <c r="E48" s="33">
        <v>7.3259999999999996</v>
      </c>
      <c r="F48" s="33">
        <v>15.738</v>
      </c>
      <c r="G48" s="33">
        <v>7.3259999999999996</v>
      </c>
      <c r="H48" s="33">
        <v>12.21</v>
      </c>
      <c r="I48" s="33">
        <v>24.149000000000001</v>
      </c>
      <c r="J48" s="33">
        <v>22.521000000000001</v>
      </c>
      <c r="K48" s="33">
        <v>6.1050000000000004</v>
      </c>
      <c r="L48" s="33">
        <v>4.6669999999999998</v>
      </c>
      <c r="M48" s="33">
        <v>4.07</v>
      </c>
      <c r="N48" s="33">
        <v>14.651999999999999</v>
      </c>
      <c r="O48" s="33">
        <v>1.4650000000000001</v>
      </c>
      <c r="P48" s="33">
        <v>6.9459999999999997</v>
      </c>
      <c r="Q48" s="33">
        <v>9.5510000000000002</v>
      </c>
      <c r="R48" s="33">
        <v>4.8840000000000003</v>
      </c>
      <c r="S48" s="33">
        <v>9.3209999999999997</v>
      </c>
      <c r="T48" s="33">
        <v>6.5119999999999996</v>
      </c>
      <c r="U48" s="33">
        <v>11.396000000000001</v>
      </c>
      <c r="V48" s="33">
        <v>5.7389999999999999</v>
      </c>
      <c r="W48" s="33">
        <v>6.2409999999999997</v>
      </c>
      <c r="X48" s="33">
        <v>8.7910000000000004</v>
      </c>
      <c r="Y48" s="33">
        <v>4.5590000000000002</v>
      </c>
      <c r="Z48" s="33">
        <v>3.2290000000000001</v>
      </c>
      <c r="AA48" s="33">
        <v>2.93</v>
      </c>
      <c r="AB48" s="33">
        <v>15.465999999999999</v>
      </c>
      <c r="AC48" s="33">
        <v>17.827000000000002</v>
      </c>
      <c r="AD48" s="33">
        <v>6.2949999999999999</v>
      </c>
      <c r="AE48" s="33">
        <v>5.4269999999999996</v>
      </c>
      <c r="AF48" s="33">
        <v>15.304</v>
      </c>
      <c r="AG48" s="33">
        <v>5.4269999999999996</v>
      </c>
      <c r="AH48" s="33">
        <v>3.2559999999999998</v>
      </c>
      <c r="AI48" s="33">
        <v>3.6360000000000001</v>
      </c>
      <c r="AJ48" s="33">
        <v>6.5119999999999996</v>
      </c>
      <c r="AK48" s="33">
        <v>2.3199999999999998</v>
      </c>
      <c r="AL48" s="33">
        <v>10.034000000000001</v>
      </c>
      <c r="AM48" s="33">
        <v>12.888999999999999</v>
      </c>
      <c r="AN48" s="33">
        <v>5.4269999999999996</v>
      </c>
      <c r="AO48" s="33">
        <v>3.7450000000000001</v>
      </c>
      <c r="AP48" s="33">
        <v>14.734</v>
      </c>
      <c r="AQ48" s="33">
        <v>5.0739999999999998</v>
      </c>
      <c r="AR48" s="33">
        <v>4.7480000000000002</v>
      </c>
      <c r="AS48" s="33">
        <v>14.11</v>
      </c>
      <c r="AT48" s="33">
        <v>3.835</v>
      </c>
      <c r="AU48" s="33">
        <v>10.311</v>
      </c>
      <c r="AV48" s="33">
        <v>8.8190000000000008</v>
      </c>
      <c r="AW48" s="33">
        <v>8.9540000000000006</v>
      </c>
      <c r="AX48" s="33">
        <v>4.9660000000000002</v>
      </c>
      <c r="AY48" s="33">
        <v>8.9809999999999999</v>
      </c>
      <c r="AZ48" s="33">
        <v>10.27</v>
      </c>
      <c r="BA48" s="33">
        <v>3.7989999999999999</v>
      </c>
      <c r="BB48" s="33">
        <v>12.481999999999999</v>
      </c>
      <c r="BC48" s="33">
        <v>5.4269999999999996</v>
      </c>
      <c r="BD48" s="33">
        <v>3.2559999999999998</v>
      </c>
      <c r="BE48" s="33">
        <v>3.12</v>
      </c>
      <c r="BF48" s="33">
        <v>24.420999999999999</v>
      </c>
      <c r="BG48" s="33">
        <v>4.07</v>
      </c>
      <c r="BH48" s="33">
        <v>6.7839999999999998</v>
      </c>
      <c r="BI48" s="33">
        <v>5.6980000000000004</v>
      </c>
      <c r="BJ48" s="33">
        <v>11.396000000000001</v>
      </c>
      <c r="BK48" s="33">
        <v>3.2559999999999998</v>
      </c>
      <c r="BL48" s="33">
        <v>11.532</v>
      </c>
      <c r="BM48" s="33">
        <v>2.306</v>
      </c>
      <c r="BN48" s="33">
        <v>8.14</v>
      </c>
      <c r="BO48" s="33">
        <v>11.57</v>
      </c>
      <c r="BP48" s="33">
        <v>30.986999999999998</v>
      </c>
      <c r="BQ48" s="33">
        <v>9.7680000000000007</v>
      </c>
      <c r="BR48" s="33">
        <v>14.651999999999999</v>
      </c>
      <c r="BS48" s="33">
        <v>4.7480000000000002</v>
      </c>
      <c r="BT48" s="33">
        <v>9.3610000000000007</v>
      </c>
      <c r="BU48" s="33">
        <v>1.302</v>
      </c>
      <c r="BV48" s="33">
        <v>2.7949999999999999</v>
      </c>
      <c r="BW48" s="33">
        <v>3.6850000000000001</v>
      </c>
      <c r="BX48" s="33">
        <v>2.9980000000000002</v>
      </c>
      <c r="BY48" s="33">
        <v>6.7839999999999998</v>
      </c>
      <c r="BZ48" s="33">
        <v>11.071</v>
      </c>
      <c r="CA48" s="33">
        <v>16.145</v>
      </c>
      <c r="CB48" s="33">
        <v>9.2260000000000009</v>
      </c>
      <c r="CC48" s="33">
        <v>7.7329999999999997</v>
      </c>
      <c r="CD48" s="33">
        <v>10.42</v>
      </c>
      <c r="CE48" s="33">
        <v>6.7839999999999998</v>
      </c>
      <c r="CF48" s="33">
        <v>4.3689999999999998</v>
      </c>
      <c r="CG48" s="33">
        <v>4.7480000000000002</v>
      </c>
      <c r="CH48" s="33">
        <v>7.5839999999999996</v>
      </c>
      <c r="CI48" s="33">
        <v>3.5409999999999999</v>
      </c>
      <c r="CJ48" s="33">
        <v>1.2070000000000001</v>
      </c>
      <c r="CK48" s="33">
        <v>6.7290000000000001</v>
      </c>
      <c r="CL48" s="33">
        <v>4.5860000000000003</v>
      </c>
      <c r="CM48" s="33">
        <v>4.07</v>
      </c>
      <c r="CN48" s="33">
        <v>16.07</v>
      </c>
      <c r="CO48" s="33">
        <v>6.3769999999999998</v>
      </c>
      <c r="CP48" s="33">
        <v>12.699</v>
      </c>
      <c r="CQ48" s="33">
        <v>8.6829999999999998</v>
      </c>
      <c r="CR48" s="33">
        <v>7.0549999999999997</v>
      </c>
      <c r="CS48" s="33">
        <v>5.97</v>
      </c>
      <c r="CT48" s="33">
        <v>8.0860000000000003</v>
      </c>
      <c r="CU48" s="33">
        <v>3.7450000000000001</v>
      </c>
      <c r="CV48" s="33">
        <v>6.8650000000000002</v>
      </c>
      <c r="CW48" s="33">
        <v>7.5979999999999999</v>
      </c>
      <c r="CX48" s="33">
        <v>3.3919999999999999</v>
      </c>
      <c r="CY48" s="33">
        <v>9.266</v>
      </c>
      <c r="CZ48" s="33">
        <v>3.2559999999999998</v>
      </c>
      <c r="DA48" s="33">
        <v>8.14</v>
      </c>
      <c r="DB48" s="33">
        <v>5.101</v>
      </c>
      <c r="DC48" s="33">
        <v>3.8260000000000001</v>
      </c>
      <c r="DD48" s="33">
        <v>4.3689999999999998</v>
      </c>
      <c r="DE48" s="33">
        <v>3.3919999999999999</v>
      </c>
      <c r="DF48" s="33">
        <v>5.8609999999999998</v>
      </c>
      <c r="DG48" s="33">
        <v>9.7550000000000008</v>
      </c>
      <c r="DH48" s="33">
        <v>20.350999999999999</v>
      </c>
      <c r="DI48" s="33">
        <v>9.7680000000000007</v>
      </c>
      <c r="DJ48" s="33">
        <v>4.07</v>
      </c>
      <c r="DK48" s="33">
        <v>5.617</v>
      </c>
      <c r="DL48" s="33">
        <v>10.053000000000001</v>
      </c>
      <c r="DM48" s="33">
        <v>4.8840000000000003</v>
      </c>
      <c r="DN48" s="33">
        <v>27.134</v>
      </c>
      <c r="DO48" s="33">
        <v>9.1170000000000009</v>
      </c>
      <c r="DP48" s="33">
        <v>27.405999999999999</v>
      </c>
      <c r="DQ48" s="33">
        <v>0.63500000000000001</v>
      </c>
      <c r="DR48" s="33">
        <v>24.745999999999999</v>
      </c>
      <c r="DS48" s="33">
        <v>4.3689999999999998</v>
      </c>
      <c r="DT48" s="33">
        <v>8.1669999999999998</v>
      </c>
      <c r="DU48" s="33">
        <v>4.07</v>
      </c>
      <c r="DV48" s="33">
        <v>3.2240000000000002</v>
      </c>
      <c r="DW48" s="33">
        <v>3.7989999999999999</v>
      </c>
      <c r="DX48" s="33">
        <v>10.555</v>
      </c>
      <c r="DY48" s="33">
        <v>7.0549999999999997</v>
      </c>
      <c r="DZ48" s="33">
        <v>3.1749999999999998</v>
      </c>
      <c r="EA48" s="33">
        <v>10.853999999999999</v>
      </c>
      <c r="EB48" s="33">
        <v>9.7680000000000007</v>
      </c>
      <c r="EC48" s="33">
        <v>6.2409999999999997</v>
      </c>
      <c r="ED48" s="33">
        <v>7.8150000000000004</v>
      </c>
      <c r="EE48" s="33">
        <v>13.241</v>
      </c>
      <c r="EF48" s="33">
        <v>4.07</v>
      </c>
      <c r="EG48" s="33">
        <v>2.496</v>
      </c>
      <c r="EH48" s="33">
        <v>11.234</v>
      </c>
      <c r="EI48" s="33">
        <v>4.016</v>
      </c>
      <c r="EJ48" s="33">
        <v>2.496</v>
      </c>
      <c r="EK48" s="33">
        <v>4.07</v>
      </c>
      <c r="EL48" s="33">
        <v>6.5119999999999996</v>
      </c>
      <c r="EM48" s="33">
        <v>8.7370000000000001</v>
      </c>
      <c r="EN48" s="33">
        <v>4.9930000000000003</v>
      </c>
      <c r="EO48" s="33">
        <v>5.4269999999999996</v>
      </c>
      <c r="EP48" s="33">
        <v>3.8260000000000001</v>
      </c>
      <c r="EQ48" s="33">
        <v>9.3610000000000007</v>
      </c>
      <c r="ER48" s="33">
        <v>2.8490000000000002</v>
      </c>
      <c r="ES48" s="33">
        <v>3.12</v>
      </c>
      <c r="ET48" s="33">
        <v>6.2679999999999998</v>
      </c>
      <c r="EU48" s="33">
        <v>23.053000000000001</v>
      </c>
      <c r="EV48" s="33">
        <v>4.681</v>
      </c>
      <c r="EW48" s="33">
        <v>21.707000000000001</v>
      </c>
      <c r="EX48" s="33">
        <v>24.38</v>
      </c>
      <c r="EY48" s="33">
        <v>1.4650000000000001</v>
      </c>
      <c r="EZ48" s="33">
        <v>1.97</v>
      </c>
      <c r="FA48" s="33">
        <v>1.6120000000000001</v>
      </c>
      <c r="FB48" s="33">
        <v>5.4269999999999996</v>
      </c>
      <c r="FC48" s="33">
        <v>7.7329999999999997</v>
      </c>
      <c r="FD48" s="33">
        <v>5.4269999999999996</v>
      </c>
      <c r="FE48" s="33">
        <v>7.4889999999999999</v>
      </c>
      <c r="FF48" s="33">
        <v>4.8840000000000003</v>
      </c>
      <c r="FG48" s="33">
        <v>4.07</v>
      </c>
      <c r="FH48" s="33">
        <v>3.3919999999999999</v>
      </c>
      <c r="FI48" s="33">
        <v>13.023999999999999</v>
      </c>
      <c r="FJ48" s="33">
        <v>8.3079999999999998</v>
      </c>
      <c r="FK48" s="33">
        <v>12.034000000000001</v>
      </c>
      <c r="FL48" s="33">
        <v>4.016</v>
      </c>
      <c r="FM48" s="33">
        <v>11.098000000000001</v>
      </c>
      <c r="FN48" s="33">
        <v>5.5629999999999997</v>
      </c>
      <c r="FO48" s="33">
        <v>19.971</v>
      </c>
      <c r="FP48" s="33">
        <v>28.491</v>
      </c>
      <c r="FQ48" s="33">
        <v>5.21</v>
      </c>
      <c r="FR48" s="33">
        <v>3.12</v>
      </c>
      <c r="FS48" s="33">
        <v>3.7450000000000001</v>
      </c>
      <c r="FT48" s="33">
        <v>4.681</v>
      </c>
      <c r="FU48" s="33">
        <v>18.994</v>
      </c>
      <c r="FV48" s="33">
        <v>3.609</v>
      </c>
      <c r="FW48" s="33">
        <v>4.1189999999999998</v>
      </c>
      <c r="FX48" s="33">
        <v>4.07</v>
      </c>
      <c r="FY48" s="33">
        <v>3.7450000000000001</v>
      </c>
      <c r="FZ48" s="33">
        <v>3.7450000000000001</v>
      </c>
      <c r="GA48" s="33">
        <v>4.07</v>
      </c>
      <c r="GB48" s="33">
        <v>3.3919999999999999</v>
      </c>
      <c r="GC48" s="33">
        <v>1.7909999999999999</v>
      </c>
      <c r="GD48" s="33">
        <v>3.419</v>
      </c>
      <c r="GE48" s="33">
        <v>3.7450000000000001</v>
      </c>
      <c r="GF48" s="33">
        <v>28.491</v>
      </c>
      <c r="GG48" s="33">
        <v>17.366</v>
      </c>
      <c r="GH48" s="33">
        <v>1.6279999999999999</v>
      </c>
      <c r="GI48" s="33">
        <v>2.4420000000000002</v>
      </c>
      <c r="GJ48" s="33">
        <v>3.2290000000000001</v>
      </c>
      <c r="GK48" s="33">
        <v>7.3259999999999996</v>
      </c>
      <c r="GL48" s="33">
        <v>5.4269999999999996</v>
      </c>
      <c r="GM48" s="33">
        <v>5.8000000000000003E-2</v>
      </c>
      <c r="GN48" s="33">
        <v>0.35</v>
      </c>
      <c r="GO48" s="33">
        <v>0.123</v>
      </c>
      <c r="GP48" s="33">
        <v>0.496</v>
      </c>
      <c r="GQ48" s="33">
        <v>8.2000000000000003E-2</v>
      </c>
      <c r="GR48" s="33">
        <v>0.69499999999999995</v>
      </c>
      <c r="GS48" s="33">
        <v>0.185</v>
      </c>
      <c r="GT48" s="33">
        <v>0.55500000000000005</v>
      </c>
      <c r="GU48" s="33">
        <v>0.14699999999999999</v>
      </c>
      <c r="GV48" s="33">
        <v>9.9000000000000005E-2</v>
      </c>
      <c r="GW48" s="33">
        <v>0.11899999999999999</v>
      </c>
      <c r="GX48" s="33">
        <v>0.50800000000000001</v>
      </c>
      <c r="GY48" s="33">
        <v>2.3E-2</v>
      </c>
      <c r="GZ48" s="33">
        <v>7.0000000000000007E-2</v>
      </c>
      <c r="HA48" s="33">
        <v>0.17399999999999999</v>
      </c>
      <c r="HB48" s="33">
        <v>0.55500000000000005</v>
      </c>
      <c r="HC48" s="33">
        <v>0.55500000000000005</v>
      </c>
      <c r="HD48" s="33">
        <v>0.29199999999999998</v>
      </c>
      <c r="HE48" s="3">
        <f>_xlfn.XLOOKUP(HE$1,generator!$B$2:$B$295,generator!$L$2:$L$295,"ARGH")</f>
        <v>17.600000000000001</v>
      </c>
      <c r="HF48" s="3">
        <f>_xlfn.XLOOKUP(HF$1,generator!$B$2:$B$295,generator!$L$2:$L$295,"ARGH")</f>
        <v>285</v>
      </c>
      <c r="HG48" s="3">
        <f>_xlfn.XLOOKUP(HG$1,generator!$B$2:$B$295,generator!$L$2:$L$295,"ARGH")</f>
        <v>285</v>
      </c>
      <c r="HH48" s="3">
        <f>_xlfn.XLOOKUP(HH$1,generator!$B$2:$B$295,generator!$L$2:$L$295,"ARGH")</f>
        <v>285</v>
      </c>
      <c r="HI48" s="3">
        <f>_xlfn.XLOOKUP(HI$1,generator!$B$2:$B$295,generator!$L$2:$L$295,"ARGH")</f>
        <v>58</v>
      </c>
      <c r="HJ48" s="3">
        <f>_xlfn.XLOOKUP(HJ$1,generator!$B$2:$B$295,generator!$L$2:$L$295,"ARGH")</f>
        <v>58</v>
      </c>
      <c r="HK48" s="3">
        <f>_xlfn.XLOOKUP(HK$1,generator!$B$2:$B$295,generator!$L$2:$L$295,"ARGH")</f>
        <v>53</v>
      </c>
      <c r="HL48" s="3">
        <f>_xlfn.XLOOKUP(HL$1,generator!$B$2:$B$295,generator!$L$2:$L$295,"ARGH")</f>
        <v>58</v>
      </c>
      <c r="HM48" s="3">
        <f>_xlfn.XLOOKUP(HM$1,generator!$B$2:$B$295,generator!$L$2:$L$295,"ARGH")</f>
        <v>58</v>
      </c>
      <c r="HN48" s="3">
        <f>_xlfn.XLOOKUP(HN$1,generator!$B$2:$B$295,generator!$L$2:$L$295,"ARGH")</f>
        <v>52</v>
      </c>
      <c r="HO48" s="3">
        <f>_xlfn.XLOOKUP(HO$1,generator!$B$2:$B$295,generator!$L$2:$L$295,"ARGH")</f>
        <v>52</v>
      </c>
      <c r="HP48" s="3">
        <f>_xlfn.XLOOKUP(HP$1,generator!$B$2:$B$295,generator!$L$2:$L$295,"ARGH")</f>
        <v>2</v>
      </c>
      <c r="HQ48" s="3">
        <f>_xlfn.XLOOKUP(HQ$1,generator!$B$2:$B$295,generator!$L$2:$L$295,"ARGH")</f>
        <v>29.2</v>
      </c>
      <c r="HR48" s="3">
        <f>_xlfn.XLOOKUP(HR$1,generator!$B$2:$B$295,generator!$L$2:$L$295,"ARGH")</f>
        <v>29.2</v>
      </c>
      <c r="HS48" s="3">
        <f>_xlfn.XLOOKUP(HS$1,generator!$B$2:$B$295,generator!$L$2:$L$295,"ARGH")</f>
        <v>41.61</v>
      </c>
      <c r="HT48" s="3">
        <f>_xlfn.XLOOKUP(HT$1,generator!$B$2:$B$295,generator!$L$2:$L$295,"ARGH")</f>
        <v>41.61</v>
      </c>
      <c r="HU48" s="3">
        <f>_xlfn.XLOOKUP(HU$1,generator!$B$2:$B$295,generator!$L$2:$L$295,"ARGH")</f>
        <v>160</v>
      </c>
      <c r="HV48" s="3">
        <f>_xlfn.XLOOKUP(HV$1,generator!$B$2:$B$295,generator!$L$2:$L$295,"ARGH")</f>
        <v>260</v>
      </c>
      <c r="HW48" s="3">
        <f>_xlfn.XLOOKUP(HW$1,generator!$B$2:$B$295,generator!$L$2:$L$295,"ARGH")</f>
        <v>52</v>
      </c>
      <c r="HX48" s="3">
        <f>_xlfn.XLOOKUP(HX$1,generator!$B$2:$B$295,generator!$L$2:$L$295,"ARGH")</f>
        <v>52</v>
      </c>
      <c r="HY48" s="3">
        <f>_xlfn.XLOOKUP(HY$1,generator!$B$2:$B$295,generator!$L$2:$L$295,"ARGH")</f>
        <v>101</v>
      </c>
      <c r="HZ48" s="3">
        <f>_xlfn.XLOOKUP(HZ$1,generator!$B$2:$B$295,generator!$L$2:$L$295,"ARGH")</f>
        <v>50</v>
      </c>
      <c r="IA48" s="3">
        <f>_xlfn.XLOOKUP(IA$1,generator!$B$2:$B$295,generator!$L$2:$L$295,"ARGH")</f>
        <v>400</v>
      </c>
      <c r="IB48" s="3">
        <f>_xlfn.XLOOKUP(IB$1,generator!$B$2:$B$295,generator!$L$2:$L$295,"ARGH")</f>
        <v>342</v>
      </c>
      <c r="IC48" s="3">
        <f>_xlfn.XLOOKUP(IC$1,generator!$B$2:$B$295,generator!$L$2:$L$295,"ARGH")</f>
        <v>3.0209999999999999</v>
      </c>
      <c r="ID48" s="3">
        <f>_xlfn.XLOOKUP(ID$1,generator!$B$2:$B$295,generator!$L$2:$L$295,"ARGH")</f>
        <v>200</v>
      </c>
      <c r="IE48" s="3">
        <f>_xlfn.XLOOKUP(IE$1,generator!$B$2:$B$295,generator!$L$2:$L$295,"ARGH")</f>
        <v>404</v>
      </c>
      <c r="IF48" s="3">
        <f>_xlfn.XLOOKUP(IF$1,generator!$B$2:$B$295,generator!$L$2:$L$295,"ARGH")</f>
        <v>21</v>
      </c>
      <c r="IG48" s="3">
        <f>_xlfn.XLOOKUP(IG$1,generator!$B$2:$B$295,generator!$L$2:$L$295,"ARGH")</f>
        <v>22</v>
      </c>
      <c r="IH48" s="3">
        <f>_xlfn.XLOOKUP(IH$1,generator!$B$2:$B$295,generator!$L$2:$L$295,"ARGH")</f>
        <v>19</v>
      </c>
      <c r="II48" s="3">
        <f>_xlfn.XLOOKUP(II$1,generator!$B$2:$B$295,generator!$L$2:$L$295,"ARGH")</f>
        <v>24</v>
      </c>
      <c r="IJ48" s="3">
        <f>_xlfn.XLOOKUP(IJ$1,generator!$B$2:$B$295,generator!$L$2:$L$295,"ARGH")</f>
        <v>4.3</v>
      </c>
      <c r="IK48" s="3">
        <f>_xlfn.XLOOKUP(IK$1,generator!$B$2:$B$295,generator!$L$2:$L$295,"ARGH")</f>
        <v>8</v>
      </c>
      <c r="IL48" s="3">
        <f>_xlfn.XLOOKUP(IL$1,generator!$B$2:$B$295,generator!$L$2:$L$295,"ARGH")</f>
        <v>22.5</v>
      </c>
      <c r="IM48" s="3">
        <f>_xlfn.XLOOKUP(IM$1,generator!$B$2:$B$295,generator!$L$2:$L$295,"ARGH")</f>
        <v>22.5</v>
      </c>
      <c r="IN48" s="3">
        <f>_xlfn.XLOOKUP(IN$1,generator!$B$2:$B$295,generator!$L$2:$L$295,"ARGH")</f>
        <v>10</v>
      </c>
      <c r="IO48" s="3">
        <f>_xlfn.XLOOKUP(IO$1,generator!$B$2:$B$295,generator!$L$2:$L$295,"ARGH")</f>
        <v>10</v>
      </c>
      <c r="IP48" s="3">
        <f>_xlfn.XLOOKUP(IP$1,generator!$B$2:$B$295,generator!$L$2:$L$295,"ARGH")</f>
        <v>15</v>
      </c>
      <c r="IQ48" s="3">
        <f>_xlfn.XLOOKUP(IQ$1,generator!$B$2:$B$295,generator!$L$2:$L$295,"ARGH")</f>
        <v>4</v>
      </c>
      <c r="IR48" s="3">
        <f>_xlfn.XLOOKUP(IR$1,generator!$B$2:$B$295,generator!$L$2:$L$295,"ARGH")</f>
        <v>15</v>
      </c>
      <c r="IS48" s="3">
        <f>_xlfn.XLOOKUP(IS$1,generator!$B$2:$B$295,generator!$L$2:$L$295,"ARGH")</f>
        <v>15</v>
      </c>
      <c r="IT48" s="3">
        <f>_xlfn.XLOOKUP(IT$1,generator!$B$2:$B$295,generator!$L$2:$L$295,"ARGH")</f>
        <v>0.18</v>
      </c>
      <c r="IU48" s="3">
        <f>_xlfn.XLOOKUP(IU$1,generator!$B$2:$B$295,generator!$L$2:$L$295,"ARGH")</f>
        <v>4</v>
      </c>
      <c r="IV48" s="3">
        <f>_xlfn.XLOOKUP(IV$1,generator!$B$2:$B$295,generator!$L$2:$L$295,"ARGH")</f>
        <v>4</v>
      </c>
      <c r="IW48" s="3">
        <f>_xlfn.XLOOKUP(IW$1,generator!$B$2:$B$295,generator!$L$2:$L$295,"ARGH")</f>
        <v>90</v>
      </c>
      <c r="IX48" s="3">
        <f>_xlfn.XLOOKUP(IX$1,generator!$B$2:$B$295,generator!$L$2:$L$295,"ARGH")</f>
        <v>90</v>
      </c>
      <c r="IY48" s="3">
        <f>_xlfn.XLOOKUP(IY$1,generator!$B$2:$B$295,generator!$L$2:$L$295,"ARGH")</f>
        <v>90</v>
      </c>
      <c r="IZ48" s="3">
        <f>_xlfn.XLOOKUP(IZ$1,generator!$B$2:$B$295,generator!$L$2:$L$295,"ARGH")</f>
        <v>449</v>
      </c>
      <c r="JA48" s="3">
        <f>_xlfn.XLOOKUP(JA$1,generator!$B$2:$B$295,generator!$L$2:$L$295,"ARGH")</f>
        <v>83</v>
      </c>
      <c r="JB48" s="3">
        <f>_xlfn.XLOOKUP(JB$1,generator!$B$2:$B$295,generator!$L$2:$L$295,"ARGH")</f>
        <v>83</v>
      </c>
      <c r="JC48" s="3">
        <f>_xlfn.XLOOKUP(JC$1,generator!$B$2:$B$295,generator!$L$2:$L$295,"ARGH")</f>
        <v>247</v>
      </c>
      <c r="JD48" s="3">
        <f>_xlfn.XLOOKUP(JD$1,generator!$B$2:$B$295,generator!$L$2:$L$295,"ARGH")</f>
        <v>247</v>
      </c>
      <c r="JE48" s="3">
        <f>_xlfn.XLOOKUP(JE$1,generator!$B$2:$B$295,generator!$L$2:$L$295,"ARGH")</f>
        <v>425</v>
      </c>
      <c r="JF48" s="3">
        <f>_xlfn.XLOOKUP(JF$1,generator!$B$2:$B$295,generator!$L$2:$L$295,"ARGH")</f>
        <v>63.5</v>
      </c>
      <c r="JG48" s="3">
        <f>_xlfn.XLOOKUP(JG$1,generator!$B$2:$B$295,generator!$L$2:$L$295,"ARGH")</f>
        <v>17</v>
      </c>
      <c r="JH48" s="3">
        <f>_xlfn.XLOOKUP(JH$1,generator!$B$2:$B$295,generator!$L$2:$L$295,"ARGH")</f>
        <v>444</v>
      </c>
      <c r="JI48" s="3">
        <f>_xlfn.XLOOKUP(JI$1,generator!$B$2:$B$295,generator!$L$2:$L$295,"ARGH")</f>
        <v>464</v>
      </c>
      <c r="JJ48" s="3">
        <f>_xlfn.XLOOKUP(JJ$1,generator!$B$2:$B$295,generator!$L$2:$L$295,"ARGH")</f>
        <v>18.54</v>
      </c>
      <c r="JK48" s="3">
        <f>_xlfn.XLOOKUP(JK$1,generator!$B$2:$B$295,generator!$L$2:$L$295,"ARGH")</f>
        <v>18.54</v>
      </c>
      <c r="JL48" s="3">
        <f>_xlfn.XLOOKUP(JL$1,generator!$B$2:$B$295,generator!$L$2:$L$295,"ARGH")</f>
        <v>18.54</v>
      </c>
      <c r="JM48" s="3">
        <f>_xlfn.XLOOKUP(JM$1,generator!$B$2:$B$295,generator!$L$2:$L$295,"ARGH")</f>
        <v>18.54</v>
      </c>
      <c r="JN48" s="3">
        <f>_xlfn.XLOOKUP(JN$1,generator!$B$2:$B$295,generator!$L$2:$L$295,"ARGH")</f>
        <v>18.54</v>
      </c>
      <c r="JO48" s="3">
        <f>_xlfn.XLOOKUP(JO$1,generator!$B$2:$B$295,generator!$L$2:$L$295,"ARGH")</f>
        <v>18.54</v>
      </c>
      <c r="JP48" s="3">
        <f>_xlfn.XLOOKUP(JP$1,generator!$B$2:$B$295,generator!$L$2:$L$295,"ARGH")</f>
        <v>415</v>
      </c>
      <c r="JQ48" s="3">
        <f>_xlfn.XLOOKUP(JQ$1,generator!$B$2:$B$295,generator!$L$2:$L$295,"ARGH")</f>
        <v>63.5</v>
      </c>
      <c r="JR48" s="3">
        <f>_xlfn.XLOOKUP(JR$1,generator!$B$2:$B$295,generator!$L$2:$L$295,"ARGH")</f>
        <v>350</v>
      </c>
      <c r="JS48" s="3">
        <f>_xlfn.XLOOKUP(JS$1,generator!$B$2:$B$295,generator!$L$2:$L$295,"ARGH")</f>
        <v>350</v>
      </c>
      <c r="JT48" s="3">
        <f>_xlfn.XLOOKUP(JT$1,generator!$B$2:$B$295,generator!$L$2:$L$295,"ARGH")</f>
        <v>63.5</v>
      </c>
      <c r="JU48" s="3">
        <f>_xlfn.XLOOKUP(JU$1,generator!$B$2:$B$295,generator!$L$2:$L$295,"ARGH")</f>
        <v>61.5</v>
      </c>
      <c r="JV48" s="3">
        <f>_xlfn.XLOOKUP(JV$1,generator!$B$2:$B$295,generator!$L$2:$L$295,"ARGH")</f>
        <v>240</v>
      </c>
      <c r="JW48" s="3">
        <f>_xlfn.XLOOKUP(JW$1,generator!$B$2:$B$295,generator!$L$2:$L$295,"ARGH")</f>
        <v>236</v>
      </c>
      <c r="JX48" s="3">
        <f>_xlfn.XLOOKUP(JX$1,generator!$B$2:$B$295,generator!$L$2:$L$295,"ARGH")</f>
        <v>20</v>
      </c>
      <c r="JY48" s="3">
        <f>_xlfn.XLOOKUP(JY$1,generator!$B$2:$B$295,generator!$L$2:$L$295,"ARGH")</f>
        <v>118</v>
      </c>
      <c r="JZ48" s="3">
        <f>_xlfn.XLOOKUP(JZ$1,generator!$B$2:$B$295,generator!$L$2:$L$295,"ARGH")</f>
        <v>73</v>
      </c>
      <c r="KA48" s="3">
        <f>_xlfn.XLOOKUP(KA$1,generator!$B$2:$B$295,generator!$L$2:$L$295,"ARGH")</f>
        <v>73</v>
      </c>
      <c r="KB48" s="3">
        <f>_xlfn.XLOOKUP(KB$1,generator!$B$2:$B$295,generator!$L$2:$L$295,"ARGH")</f>
        <v>73</v>
      </c>
      <c r="KC48" s="3">
        <f>_xlfn.XLOOKUP(KC$1,generator!$B$2:$B$295,generator!$L$2:$L$295,"ARGH")</f>
        <v>73</v>
      </c>
    </row>
    <row r="49" spans="1:289" x14ac:dyDescent="0.3">
      <c r="A49" s="4" t="s">
        <v>3044</v>
      </c>
      <c r="B49" s="31">
        <v>448</v>
      </c>
      <c r="C49" s="31">
        <v>513</v>
      </c>
      <c r="D49" s="31">
        <v>442</v>
      </c>
      <c r="E49" s="33">
        <v>7.3819999999999997</v>
      </c>
      <c r="F49" s="33">
        <v>15.859</v>
      </c>
      <c r="G49" s="33">
        <v>7.3819999999999997</v>
      </c>
      <c r="H49" s="33">
        <v>12.304</v>
      </c>
      <c r="I49" s="33">
        <v>24.335000000000001</v>
      </c>
      <c r="J49" s="33">
        <v>22.693999999999999</v>
      </c>
      <c r="K49" s="33">
        <v>6.1520000000000001</v>
      </c>
      <c r="L49" s="33">
        <v>4.7030000000000003</v>
      </c>
      <c r="M49" s="33">
        <v>4.101</v>
      </c>
      <c r="N49" s="33">
        <v>14.765000000000001</v>
      </c>
      <c r="O49" s="33">
        <v>1.476</v>
      </c>
      <c r="P49" s="33">
        <v>7</v>
      </c>
      <c r="Q49" s="33">
        <v>9.625</v>
      </c>
      <c r="R49" s="33">
        <v>4.9219999999999997</v>
      </c>
      <c r="S49" s="33">
        <v>9.3919999999999995</v>
      </c>
      <c r="T49" s="33">
        <v>6.5620000000000003</v>
      </c>
      <c r="U49" s="33">
        <v>11.484</v>
      </c>
      <c r="V49" s="33">
        <v>5.7830000000000004</v>
      </c>
      <c r="W49" s="33">
        <v>6.2889999999999997</v>
      </c>
      <c r="X49" s="33">
        <v>8.859</v>
      </c>
      <c r="Y49" s="33">
        <v>4.5940000000000003</v>
      </c>
      <c r="Z49" s="33">
        <v>3.254</v>
      </c>
      <c r="AA49" s="33">
        <v>2.9529999999999998</v>
      </c>
      <c r="AB49" s="33">
        <v>15.585000000000001</v>
      </c>
      <c r="AC49" s="33">
        <v>17.963999999999999</v>
      </c>
      <c r="AD49" s="33">
        <v>6.343</v>
      </c>
      <c r="AE49" s="33">
        <v>5.4690000000000003</v>
      </c>
      <c r="AF49" s="33">
        <v>15.420999999999999</v>
      </c>
      <c r="AG49" s="33">
        <v>5.4690000000000003</v>
      </c>
      <c r="AH49" s="33">
        <v>3.2810000000000001</v>
      </c>
      <c r="AI49" s="33">
        <v>3.6640000000000001</v>
      </c>
      <c r="AJ49" s="33">
        <v>6.5620000000000003</v>
      </c>
      <c r="AK49" s="33">
        <v>2.3380000000000001</v>
      </c>
      <c r="AL49" s="33">
        <v>10.111000000000001</v>
      </c>
      <c r="AM49" s="33">
        <v>12.988</v>
      </c>
      <c r="AN49" s="33">
        <v>5.4690000000000003</v>
      </c>
      <c r="AO49" s="33">
        <v>3.7730000000000001</v>
      </c>
      <c r="AP49" s="33">
        <v>14.847</v>
      </c>
      <c r="AQ49" s="33">
        <v>5.1130000000000004</v>
      </c>
      <c r="AR49" s="33">
        <v>4.7850000000000001</v>
      </c>
      <c r="AS49" s="33">
        <v>14.218</v>
      </c>
      <c r="AT49" s="33">
        <v>3.8639999999999999</v>
      </c>
      <c r="AU49" s="33">
        <v>10.39</v>
      </c>
      <c r="AV49" s="33">
        <v>8.8859999999999992</v>
      </c>
      <c r="AW49" s="33">
        <v>9.0229999999999997</v>
      </c>
      <c r="AX49" s="33">
        <v>5.0039999999999996</v>
      </c>
      <c r="AY49" s="33">
        <v>9.0500000000000007</v>
      </c>
      <c r="AZ49" s="33">
        <v>10.349</v>
      </c>
      <c r="BA49" s="33">
        <v>3.8279999999999998</v>
      </c>
      <c r="BB49" s="33">
        <v>12.577999999999999</v>
      </c>
      <c r="BC49" s="33">
        <v>5.4690000000000003</v>
      </c>
      <c r="BD49" s="33">
        <v>3.2810000000000001</v>
      </c>
      <c r="BE49" s="33">
        <v>3.1440000000000001</v>
      </c>
      <c r="BF49" s="33">
        <v>24.608000000000001</v>
      </c>
      <c r="BG49" s="33">
        <v>4.101</v>
      </c>
      <c r="BH49" s="33">
        <v>6.8360000000000003</v>
      </c>
      <c r="BI49" s="33">
        <v>5.742</v>
      </c>
      <c r="BJ49" s="33">
        <v>11.484</v>
      </c>
      <c r="BK49" s="33">
        <v>3.2810000000000001</v>
      </c>
      <c r="BL49" s="33">
        <v>11.621</v>
      </c>
      <c r="BM49" s="33">
        <v>2.3239999999999998</v>
      </c>
      <c r="BN49" s="33">
        <v>8.2029999999999994</v>
      </c>
      <c r="BO49" s="33">
        <v>11.659000000000001</v>
      </c>
      <c r="BP49" s="33">
        <v>31.225000000000001</v>
      </c>
      <c r="BQ49" s="33">
        <v>9.843</v>
      </c>
      <c r="BR49" s="33">
        <v>14.765000000000001</v>
      </c>
      <c r="BS49" s="33">
        <v>4.7850000000000001</v>
      </c>
      <c r="BT49" s="33">
        <v>9.4329999999999998</v>
      </c>
      <c r="BU49" s="33">
        <v>1.3120000000000001</v>
      </c>
      <c r="BV49" s="33">
        <v>2.8159999999999998</v>
      </c>
      <c r="BW49" s="33">
        <v>3.7130000000000001</v>
      </c>
      <c r="BX49" s="33">
        <v>3.0209999999999999</v>
      </c>
      <c r="BY49" s="33">
        <v>6.8360000000000003</v>
      </c>
      <c r="BZ49" s="33">
        <v>11.156000000000001</v>
      </c>
      <c r="CA49" s="33">
        <v>16.268999999999998</v>
      </c>
      <c r="CB49" s="33">
        <v>9.2959999999999994</v>
      </c>
      <c r="CC49" s="33">
        <v>7.7930000000000001</v>
      </c>
      <c r="CD49" s="33">
        <v>10.5</v>
      </c>
      <c r="CE49" s="33">
        <v>6.8360000000000003</v>
      </c>
      <c r="CF49" s="33">
        <v>4.4020000000000001</v>
      </c>
      <c r="CG49" s="33">
        <v>4.7850000000000001</v>
      </c>
      <c r="CH49" s="33">
        <v>7.6420000000000003</v>
      </c>
      <c r="CI49" s="33">
        <v>3.5680000000000001</v>
      </c>
      <c r="CJ49" s="33">
        <v>1.2170000000000001</v>
      </c>
      <c r="CK49" s="33">
        <v>6.7809999999999997</v>
      </c>
      <c r="CL49" s="33">
        <v>4.6210000000000004</v>
      </c>
      <c r="CM49" s="33">
        <v>4.101</v>
      </c>
      <c r="CN49" s="33">
        <v>16.193999999999999</v>
      </c>
      <c r="CO49" s="33">
        <v>6.4249999999999998</v>
      </c>
      <c r="CP49" s="33">
        <v>12.795999999999999</v>
      </c>
      <c r="CQ49" s="33">
        <v>8.75</v>
      </c>
      <c r="CR49" s="33">
        <v>7.109</v>
      </c>
      <c r="CS49" s="33">
        <v>6.0149999999999997</v>
      </c>
      <c r="CT49" s="33">
        <v>8.1479999999999997</v>
      </c>
      <c r="CU49" s="33">
        <v>3.7730000000000001</v>
      </c>
      <c r="CV49" s="33">
        <v>6.9180000000000001</v>
      </c>
      <c r="CW49" s="33">
        <v>7.6559999999999997</v>
      </c>
      <c r="CX49" s="33">
        <v>3.4180000000000001</v>
      </c>
      <c r="CY49" s="33">
        <v>9.3369999999999997</v>
      </c>
      <c r="CZ49" s="33">
        <v>3.2810000000000001</v>
      </c>
      <c r="DA49" s="33">
        <v>8.2029999999999994</v>
      </c>
      <c r="DB49" s="33">
        <v>5.14</v>
      </c>
      <c r="DC49" s="33">
        <v>3.855</v>
      </c>
      <c r="DD49" s="33">
        <v>4.4020000000000001</v>
      </c>
      <c r="DE49" s="33">
        <v>3.4180000000000001</v>
      </c>
      <c r="DF49" s="33">
        <v>5.9059999999999997</v>
      </c>
      <c r="DG49" s="33">
        <v>9.83</v>
      </c>
      <c r="DH49" s="33">
        <v>20.507000000000001</v>
      </c>
      <c r="DI49" s="33">
        <v>9.843</v>
      </c>
      <c r="DJ49" s="33">
        <v>4.101</v>
      </c>
      <c r="DK49" s="33">
        <v>5.66</v>
      </c>
      <c r="DL49" s="33">
        <v>10.130000000000001</v>
      </c>
      <c r="DM49" s="33">
        <v>4.9219999999999997</v>
      </c>
      <c r="DN49" s="33">
        <v>27.343</v>
      </c>
      <c r="DO49" s="33">
        <v>9.1869999999999994</v>
      </c>
      <c r="DP49" s="33">
        <v>27.616</v>
      </c>
      <c r="DQ49" s="33">
        <v>0.64</v>
      </c>
      <c r="DR49" s="33">
        <v>24.936</v>
      </c>
      <c r="DS49" s="33">
        <v>4.4020000000000001</v>
      </c>
      <c r="DT49" s="33">
        <v>8.23</v>
      </c>
      <c r="DU49" s="33">
        <v>4.101</v>
      </c>
      <c r="DV49" s="33">
        <v>3.2480000000000002</v>
      </c>
      <c r="DW49" s="33">
        <v>3.8279999999999998</v>
      </c>
      <c r="DX49" s="33">
        <v>10.635999999999999</v>
      </c>
      <c r="DY49" s="33">
        <v>7.109</v>
      </c>
      <c r="DZ49" s="33">
        <v>3.1989999999999998</v>
      </c>
      <c r="EA49" s="33">
        <v>10.936999999999999</v>
      </c>
      <c r="EB49" s="33">
        <v>9.843</v>
      </c>
      <c r="EC49" s="33">
        <v>6.2889999999999997</v>
      </c>
      <c r="ED49" s="33">
        <v>7.875</v>
      </c>
      <c r="EE49" s="33">
        <v>13.343</v>
      </c>
      <c r="EF49" s="33">
        <v>4.101</v>
      </c>
      <c r="EG49" s="33">
        <v>2.516</v>
      </c>
      <c r="EH49" s="33">
        <v>11.32</v>
      </c>
      <c r="EI49" s="33">
        <v>4.0469999999999997</v>
      </c>
      <c r="EJ49" s="33">
        <v>2.516</v>
      </c>
      <c r="EK49" s="33">
        <v>4.101</v>
      </c>
      <c r="EL49" s="33">
        <v>6.5620000000000003</v>
      </c>
      <c r="EM49" s="33">
        <v>8.8040000000000003</v>
      </c>
      <c r="EN49" s="33">
        <v>5.0309999999999997</v>
      </c>
      <c r="EO49" s="33">
        <v>5.4690000000000003</v>
      </c>
      <c r="EP49" s="33">
        <v>3.855</v>
      </c>
      <c r="EQ49" s="33">
        <v>9.4329999999999998</v>
      </c>
      <c r="ER49" s="33">
        <v>2.871</v>
      </c>
      <c r="ES49" s="33">
        <v>3.1440000000000001</v>
      </c>
      <c r="ET49" s="33">
        <v>6.3159999999999998</v>
      </c>
      <c r="EU49" s="33">
        <v>23.23</v>
      </c>
      <c r="EV49" s="33">
        <v>4.7169999999999996</v>
      </c>
      <c r="EW49" s="33">
        <v>21.873999999999999</v>
      </c>
      <c r="EX49" s="33">
        <v>24.567</v>
      </c>
      <c r="EY49" s="33">
        <v>1.476</v>
      </c>
      <c r="EZ49" s="33">
        <v>1.9850000000000001</v>
      </c>
      <c r="FA49" s="33">
        <v>1.6240000000000001</v>
      </c>
      <c r="FB49" s="33">
        <v>5.4690000000000003</v>
      </c>
      <c r="FC49" s="33">
        <v>7.7930000000000001</v>
      </c>
      <c r="FD49" s="33">
        <v>5.4690000000000003</v>
      </c>
      <c r="FE49" s="33">
        <v>7.5469999999999997</v>
      </c>
      <c r="FF49" s="33">
        <v>4.9219999999999997</v>
      </c>
      <c r="FG49" s="33">
        <v>4.101</v>
      </c>
      <c r="FH49" s="33">
        <v>3.4180000000000001</v>
      </c>
      <c r="FI49" s="33">
        <v>13.124000000000001</v>
      </c>
      <c r="FJ49" s="33">
        <v>8.3719999999999999</v>
      </c>
      <c r="FK49" s="33">
        <v>12.125999999999999</v>
      </c>
      <c r="FL49" s="33">
        <v>4.0469999999999997</v>
      </c>
      <c r="FM49" s="33">
        <v>11.183</v>
      </c>
      <c r="FN49" s="33">
        <v>5.6050000000000004</v>
      </c>
      <c r="FO49" s="33">
        <v>20.123999999999999</v>
      </c>
      <c r="FP49" s="33">
        <v>28.71</v>
      </c>
      <c r="FQ49" s="33">
        <v>5.25</v>
      </c>
      <c r="FR49" s="33">
        <v>3.1440000000000001</v>
      </c>
      <c r="FS49" s="33">
        <v>3.7730000000000001</v>
      </c>
      <c r="FT49" s="33">
        <v>4.7169999999999996</v>
      </c>
      <c r="FU49" s="33">
        <v>19.14</v>
      </c>
      <c r="FV49" s="33">
        <v>3.637</v>
      </c>
      <c r="FW49" s="33">
        <v>4.1509999999999998</v>
      </c>
      <c r="FX49" s="33">
        <v>4.101</v>
      </c>
      <c r="FY49" s="33">
        <v>3.7730000000000001</v>
      </c>
      <c r="FZ49" s="33">
        <v>3.7730000000000001</v>
      </c>
      <c r="GA49" s="33">
        <v>4.101</v>
      </c>
      <c r="GB49" s="33">
        <v>3.4180000000000001</v>
      </c>
      <c r="GC49" s="33">
        <v>1.8049999999999999</v>
      </c>
      <c r="GD49" s="33">
        <v>3.4449999999999998</v>
      </c>
      <c r="GE49" s="33">
        <v>3.7730000000000001</v>
      </c>
      <c r="GF49" s="33">
        <v>28.71</v>
      </c>
      <c r="GG49" s="33">
        <v>17.498999999999999</v>
      </c>
      <c r="GH49" s="33">
        <v>1.641</v>
      </c>
      <c r="GI49" s="33">
        <v>2.4609999999999999</v>
      </c>
      <c r="GJ49" s="33">
        <v>3.254</v>
      </c>
      <c r="GK49" s="33">
        <v>7.3819999999999997</v>
      </c>
      <c r="GL49" s="33">
        <v>5.4690000000000003</v>
      </c>
      <c r="GM49" s="33">
        <v>5.8000000000000003E-2</v>
      </c>
      <c r="GN49" s="33">
        <v>0.35</v>
      </c>
      <c r="GO49" s="33">
        <v>0.123</v>
      </c>
      <c r="GP49" s="33">
        <v>0.496</v>
      </c>
      <c r="GQ49" s="33">
        <v>8.2000000000000003E-2</v>
      </c>
      <c r="GR49" s="33">
        <v>0.69499999999999995</v>
      </c>
      <c r="GS49" s="33">
        <v>0.185</v>
      </c>
      <c r="GT49" s="33">
        <v>0.55500000000000005</v>
      </c>
      <c r="GU49" s="33">
        <v>0.14699999999999999</v>
      </c>
      <c r="GV49" s="33">
        <v>9.9000000000000005E-2</v>
      </c>
      <c r="GW49" s="33">
        <v>0.11899999999999999</v>
      </c>
      <c r="GX49" s="33">
        <v>0.50800000000000001</v>
      </c>
      <c r="GY49" s="33">
        <v>2.3E-2</v>
      </c>
      <c r="GZ49" s="33">
        <v>7.0000000000000007E-2</v>
      </c>
      <c r="HA49" s="33">
        <v>0.17399999999999999</v>
      </c>
      <c r="HB49" s="33">
        <v>0.55500000000000005</v>
      </c>
      <c r="HC49" s="33">
        <v>0.55500000000000005</v>
      </c>
      <c r="HD49" s="33">
        <v>0.29199999999999998</v>
      </c>
      <c r="HE49" s="3">
        <f>_xlfn.XLOOKUP(HE$1,generator!$B$2:$B$295,generator!$L$2:$L$295,"ARGH")</f>
        <v>17.600000000000001</v>
      </c>
      <c r="HF49" s="3">
        <f>_xlfn.XLOOKUP(HF$1,generator!$B$2:$B$295,generator!$L$2:$L$295,"ARGH")</f>
        <v>285</v>
      </c>
      <c r="HG49" s="3">
        <f>_xlfn.XLOOKUP(HG$1,generator!$B$2:$B$295,generator!$L$2:$L$295,"ARGH")</f>
        <v>285</v>
      </c>
      <c r="HH49" s="3">
        <f>_xlfn.XLOOKUP(HH$1,generator!$B$2:$B$295,generator!$L$2:$L$295,"ARGH")</f>
        <v>285</v>
      </c>
      <c r="HI49" s="3">
        <f>_xlfn.XLOOKUP(HI$1,generator!$B$2:$B$295,generator!$L$2:$L$295,"ARGH")</f>
        <v>58</v>
      </c>
      <c r="HJ49" s="3">
        <f>_xlfn.XLOOKUP(HJ$1,generator!$B$2:$B$295,generator!$L$2:$L$295,"ARGH")</f>
        <v>58</v>
      </c>
      <c r="HK49" s="3">
        <f>_xlfn.XLOOKUP(HK$1,generator!$B$2:$B$295,generator!$L$2:$L$295,"ARGH")</f>
        <v>53</v>
      </c>
      <c r="HL49" s="3">
        <f>_xlfn.XLOOKUP(HL$1,generator!$B$2:$B$295,generator!$L$2:$L$295,"ARGH")</f>
        <v>58</v>
      </c>
      <c r="HM49" s="3">
        <f>_xlfn.XLOOKUP(HM$1,generator!$B$2:$B$295,generator!$L$2:$L$295,"ARGH")</f>
        <v>58</v>
      </c>
      <c r="HN49" s="3">
        <f>_xlfn.XLOOKUP(HN$1,generator!$B$2:$B$295,generator!$L$2:$L$295,"ARGH")</f>
        <v>52</v>
      </c>
      <c r="HO49" s="3">
        <f>_xlfn.XLOOKUP(HO$1,generator!$B$2:$B$295,generator!$L$2:$L$295,"ARGH")</f>
        <v>52</v>
      </c>
      <c r="HP49" s="3">
        <f>_xlfn.XLOOKUP(HP$1,generator!$B$2:$B$295,generator!$L$2:$L$295,"ARGH")</f>
        <v>2</v>
      </c>
      <c r="HQ49" s="3">
        <f>_xlfn.XLOOKUP(HQ$1,generator!$B$2:$B$295,generator!$L$2:$L$295,"ARGH")</f>
        <v>29.2</v>
      </c>
      <c r="HR49" s="3">
        <f>_xlfn.XLOOKUP(HR$1,generator!$B$2:$B$295,generator!$L$2:$L$295,"ARGH")</f>
        <v>29.2</v>
      </c>
      <c r="HS49" s="3">
        <f>_xlfn.XLOOKUP(HS$1,generator!$B$2:$B$295,generator!$L$2:$L$295,"ARGH")</f>
        <v>41.61</v>
      </c>
      <c r="HT49" s="3">
        <f>_xlfn.XLOOKUP(HT$1,generator!$B$2:$B$295,generator!$L$2:$L$295,"ARGH")</f>
        <v>41.61</v>
      </c>
      <c r="HU49" s="3">
        <f>_xlfn.XLOOKUP(HU$1,generator!$B$2:$B$295,generator!$L$2:$L$295,"ARGH")</f>
        <v>160</v>
      </c>
      <c r="HV49" s="3">
        <f>_xlfn.XLOOKUP(HV$1,generator!$B$2:$B$295,generator!$L$2:$L$295,"ARGH")</f>
        <v>260</v>
      </c>
      <c r="HW49" s="3">
        <f>_xlfn.XLOOKUP(HW$1,generator!$B$2:$B$295,generator!$L$2:$L$295,"ARGH")</f>
        <v>52</v>
      </c>
      <c r="HX49" s="3">
        <f>_xlfn.XLOOKUP(HX$1,generator!$B$2:$B$295,generator!$L$2:$L$295,"ARGH")</f>
        <v>52</v>
      </c>
      <c r="HY49" s="3">
        <f>_xlfn.XLOOKUP(HY$1,generator!$B$2:$B$295,generator!$L$2:$L$295,"ARGH")</f>
        <v>101</v>
      </c>
      <c r="HZ49" s="3">
        <f>_xlfn.XLOOKUP(HZ$1,generator!$B$2:$B$295,generator!$L$2:$L$295,"ARGH")</f>
        <v>50</v>
      </c>
      <c r="IA49" s="3">
        <f>_xlfn.XLOOKUP(IA$1,generator!$B$2:$B$295,generator!$L$2:$L$295,"ARGH")</f>
        <v>400</v>
      </c>
      <c r="IB49" s="3">
        <f>_xlfn.XLOOKUP(IB$1,generator!$B$2:$B$295,generator!$L$2:$L$295,"ARGH")</f>
        <v>342</v>
      </c>
      <c r="IC49" s="3">
        <f>_xlfn.XLOOKUP(IC$1,generator!$B$2:$B$295,generator!$L$2:$L$295,"ARGH")</f>
        <v>3.0209999999999999</v>
      </c>
      <c r="ID49" s="3">
        <f>_xlfn.XLOOKUP(ID$1,generator!$B$2:$B$295,generator!$L$2:$L$295,"ARGH")</f>
        <v>200</v>
      </c>
      <c r="IE49" s="3">
        <f>_xlfn.XLOOKUP(IE$1,generator!$B$2:$B$295,generator!$L$2:$L$295,"ARGH")</f>
        <v>404</v>
      </c>
      <c r="IF49" s="3">
        <f>_xlfn.XLOOKUP(IF$1,generator!$B$2:$B$295,generator!$L$2:$L$295,"ARGH")</f>
        <v>21</v>
      </c>
      <c r="IG49" s="3">
        <f>_xlfn.XLOOKUP(IG$1,generator!$B$2:$B$295,generator!$L$2:$L$295,"ARGH")</f>
        <v>22</v>
      </c>
      <c r="IH49" s="3">
        <f>_xlfn.XLOOKUP(IH$1,generator!$B$2:$B$295,generator!$L$2:$L$295,"ARGH")</f>
        <v>19</v>
      </c>
      <c r="II49" s="3">
        <f>_xlfn.XLOOKUP(II$1,generator!$B$2:$B$295,generator!$L$2:$L$295,"ARGH")</f>
        <v>24</v>
      </c>
      <c r="IJ49" s="3">
        <f>_xlfn.XLOOKUP(IJ$1,generator!$B$2:$B$295,generator!$L$2:$L$295,"ARGH")</f>
        <v>4.3</v>
      </c>
      <c r="IK49" s="3">
        <f>_xlfn.XLOOKUP(IK$1,generator!$B$2:$B$295,generator!$L$2:$L$295,"ARGH")</f>
        <v>8</v>
      </c>
      <c r="IL49" s="3">
        <f>_xlfn.XLOOKUP(IL$1,generator!$B$2:$B$295,generator!$L$2:$L$295,"ARGH")</f>
        <v>22.5</v>
      </c>
      <c r="IM49" s="3">
        <f>_xlfn.XLOOKUP(IM$1,generator!$B$2:$B$295,generator!$L$2:$L$295,"ARGH")</f>
        <v>22.5</v>
      </c>
      <c r="IN49" s="3">
        <f>_xlfn.XLOOKUP(IN$1,generator!$B$2:$B$295,generator!$L$2:$L$295,"ARGH")</f>
        <v>10</v>
      </c>
      <c r="IO49" s="3">
        <f>_xlfn.XLOOKUP(IO$1,generator!$B$2:$B$295,generator!$L$2:$L$295,"ARGH")</f>
        <v>10</v>
      </c>
      <c r="IP49" s="3">
        <f>_xlfn.XLOOKUP(IP$1,generator!$B$2:$B$295,generator!$L$2:$L$295,"ARGH")</f>
        <v>15</v>
      </c>
      <c r="IQ49" s="3">
        <f>_xlfn.XLOOKUP(IQ$1,generator!$B$2:$B$295,generator!$L$2:$L$295,"ARGH")</f>
        <v>4</v>
      </c>
      <c r="IR49" s="3">
        <f>_xlfn.XLOOKUP(IR$1,generator!$B$2:$B$295,generator!$L$2:$L$295,"ARGH")</f>
        <v>15</v>
      </c>
      <c r="IS49" s="3">
        <f>_xlfn.XLOOKUP(IS$1,generator!$B$2:$B$295,generator!$L$2:$L$295,"ARGH")</f>
        <v>15</v>
      </c>
      <c r="IT49" s="3">
        <f>_xlfn.XLOOKUP(IT$1,generator!$B$2:$B$295,generator!$L$2:$L$295,"ARGH")</f>
        <v>0.18</v>
      </c>
      <c r="IU49" s="3">
        <f>_xlfn.XLOOKUP(IU$1,generator!$B$2:$B$295,generator!$L$2:$L$295,"ARGH")</f>
        <v>4</v>
      </c>
      <c r="IV49" s="3">
        <f>_xlfn.XLOOKUP(IV$1,generator!$B$2:$B$295,generator!$L$2:$L$295,"ARGH")</f>
        <v>4</v>
      </c>
      <c r="IW49" s="3">
        <f>_xlfn.XLOOKUP(IW$1,generator!$B$2:$B$295,generator!$L$2:$L$295,"ARGH")</f>
        <v>90</v>
      </c>
      <c r="IX49" s="3">
        <f>_xlfn.XLOOKUP(IX$1,generator!$B$2:$B$295,generator!$L$2:$L$295,"ARGH")</f>
        <v>90</v>
      </c>
      <c r="IY49" s="3">
        <f>_xlfn.XLOOKUP(IY$1,generator!$B$2:$B$295,generator!$L$2:$L$295,"ARGH")</f>
        <v>90</v>
      </c>
      <c r="IZ49" s="3">
        <f>_xlfn.XLOOKUP(IZ$1,generator!$B$2:$B$295,generator!$L$2:$L$295,"ARGH")</f>
        <v>449</v>
      </c>
      <c r="JA49" s="3">
        <f>_xlfn.XLOOKUP(JA$1,generator!$B$2:$B$295,generator!$L$2:$L$295,"ARGH")</f>
        <v>83</v>
      </c>
      <c r="JB49" s="3">
        <f>_xlfn.XLOOKUP(JB$1,generator!$B$2:$B$295,generator!$L$2:$L$295,"ARGH")</f>
        <v>83</v>
      </c>
      <c r="JC49" s="3">
        <f>_xlfn.XLOOKUP(JC$1,generator!$B$2:$B$295,generator!$L$2:$L$295,"ARGH")</f>
        <v>247</v>
      </c>
      <c r="JD49" s="3">
        <f>_xlfn.XLOOKUP(JD$1,generator!$B$2:$B$295,generator!$L$2:$L$295,"ARGH")</f>
        <v>247</v>
      </c>
      <c r="JE49" s="3">
        <f>_xlfn.XLOOKUP(JE$1,generator!$B$2:$B$295,generator!$L$2:$L$295,"ARGH")</f>
        <v>425</v>
      </c>
      <c r="JF49" s="3">
        <f>_xlfn.XLOOKUP(JF$1,generator!$B$2:$B$295,generator!$L$2:$L$295,"ARGH")</f>
        <v>63.5</v>
      </c>
      <c r="JG49" s="3">
        <f>_xlfn.XLOOKUP(JG$1,generator!$B$2:$B$295,generator!$L$2:$L$295,"ARGH")</f>
        <v>17</v>
      </c>
      <c r="JH49" s="3">
        <f>_xlfn.XLOOKUP(JH$1,generator!$B$2:$B$295,generator!$L$2:$L$295,"ARGH")</f>
        <v>444</v>
      </c>
      <c r="JI49" s="3">
        <f>_xlfn.XLOOKUP(JI$1,generator!$B$2:$B$295,generator!$L$2:$L$295,"ARGH")</f>
        <v>464</v>
      </c>
      <c r="JJ49" s="3">
        <f>_xlfn.XLOOKUP(JJ$1,generator!$B$2:$B$295,generator!$L$2:$L$295,"ARGH")</f>
        <v>18.54</v>
      </c>
      <c r="JK49" s="3">
        <f>_xlfn.XLOOKUP(JK$1,generator!$B$2:$B$295,generator!$L$2:$L$295,"ARGH")</f>
        <v>18.54</v>
      </c>
      <c r="JL49" s="3">
        <f>_xlfn.XLOOKUP(JL$1,generator!$B$2:$B$295,generator!$L$2:$L$295,"ARGH")</f>
        <v>18.54</v>
      </c>
      <c r="JM49" s="3">
        <f>_xlfn.XLOOKUP(JM$1,generator!$B$2:$B$295,generator!$L$2:$L$295,"ARGH")</f>
        <v>18.54</v>
      </c>
      <c r="JN49" s="3">
        <f>_xlfn.XLOOKUP(JN$1,generator!$B$2:$B$295,generator!$L$2:$L$295,"ARGH")</f>
        <v>18.54</v>
      </c>
      <c r="JO49" s="3">
        <f>_xlfn.XLOOKUP(JO$1,generator!$B$2:$B$295,generator!$L$2:$L$295,"ARGH")</f>
        <v>18.54</v>
      </c>
      <c r="JP49" s="3">
        <f>_xlfn.XLOOKUP(JP$1,generator!$B$2:$B$295,generator!$L$2:$L$295,"ARGH")</f>
        <v>415</v>
      </c>
      <c r="JQ49" s="3">
        <f>_xlfn.XLOOKUP(JQ$1,generator!$B$2:$B$295,generator!$L$2:$L$295,"ARGH")</f>
        <v>63.5</v>
      </c>
      <c r="JR49" s="3">
        <f>_xlfn.XLOOKUP(JR$1,generator!$B$2:$B$295,generator!$L$2:$L$295,"ARGH")</f>
        <v>350</v>
      </c>
      <c r="JS49" s="3">
        <f>_xlfn.XLOOKUP(JS$1,generator!$B$2:$B$295,generator!$L$2:$L$295,"ARGH")</f>
        <v>350</v>
      </c>
      <c r="JT49" s="3">
        <f>_xlfn.XLOOKUP(JT$1,generator!$B$2:$B$295,generator!$L$2:$L$295,"ARGH")</f>
        <v>63.5</v>
      </c>
      <c r="JU49" s="3">
        <f>_xlfn.XLOOKUP(JU$1,generator!$B$2:$B$295,generator!$L$2:$L$295,"ARGH")</f>
        <v>61.5</v>
      </c>
      <c r="JV49" s="3">
        <f>_xlfn.XLOOKUP(JV$1,generator!$B$2:$B$295,generator!$L$2:$L$295,"ARGH")</f>
        <v>240</v>
      </c>
      <c r="JW49" s="3">
        <f>_xlfn.XLOOKUP(JW$1,generator!$B$2:$B$295,generator!$L$2:$L$295,"ARGH")</f>
        <v>236</v>
      </c>
      <c r="JX49" s="3">
        <f>_xlfn.XLOOKUP(JX$1,generator!$B$2:$B$295,generator!$L$2:$L$295,"ARGH")</f>
        <v>20</v>
      </c>
      <c r="JY49" s="3">
        <f>_xlfn.XLOOKUP(JY$1,generator!$B$2:$B$295,generator!$L$2:$L$295,"ARGH")</f>
        <v>118</v>
      </c>
      <c r="JZ49" s="3">
        <f>_xlfn.XLOOKUP(JZ$1,generator!$B$2:$B$295,generator!$L$2:$L$295,"ARGH")</f>
        <v>73</v>
      </c>
      <c r="KA49" s="3">
        <f>_xlfn.XLOOKUP(KA$1,generator!$B$2:$B$295,generator!$L$2:$L$295,"ARGH")</f>
        <v>73</v>
      </c>
      <c r="KB49" s="3">
        <f>_xlfn.XLOOKUP(KB$1,generator!$B$2:$B$295,generator!$L$2:$L$295,"ARGH")</f>
        <v>73</v>
      </c>
      <c r="KC49" s="3">
        <f>_xlfn.XLOOKUP(KC$1,generator!$B$2:$B$295,generator!$L$2:$L$295,"ARGH")</f>
        <v>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398-09FE-49BA-A21A-74211A2B9B00}">
  <sheetPr>
    <tabColor theme="4" tint="-0.249977111117893"/>
  </sheetPr>
  <dimension ref="A1:KC49"/>
  <sheetViews>
    <sheetView workbookViewId="0">
      <selection activeCell="B2" sqref="B2:D49"/>
    </sheetView>
  </sheetViews>
  <sheetFormatPr defaultRowHeight="14.4" x14ac:dyDescent="0.3"/>
  <cols>
    <col min="1" max="1" width="13.6640625" bestFit="1" customWidth="1"/>
  </cols>
  <sheetData>
    <row r="1" spans="1:289" x14ac:dyDescent="0.3">
      <c r="A1" s="2" t="s">
        <v>31</v>
      </c>
      <c r="B1" s="30" t="s">
        <v>1867</v>
      </c>
      <c r="C1" s="30" t="s">
        <v>1876</v>
      </c>
      <c r="D1" s="30" t="s">
        <v>1984</v>
      </c>
      <c r="E1" s="32" t="s">
        <v>1872</v>
      </c>
      <c r="F1" s="32" t="s">
        <v>1879</v>
      </c>
      <c r="G1" s="32" t="s">
        <v>1882</v>
      </c>
      <c r="H1" s="32" t="s">
        <v>1885</v>
      </c>
      <c r="I1" s="32" t="s">
        <v>1888</v>
      </c>
      <c r="J1" s="32" t="s">
        <v>1891</v>
      </c>
      <c r="K1" s="32" t="s">
        <v>1894</v>
      </c>
      <c r="L1" s="32" t="s">
        <v>1897</v>
      </c>
      <c r="M1" s="32" t="s">
        <v>1917</v>
      </c>
      <c r="N1" s="32" t="s">
        <v>1920</v>
      </c>
      <c r="O1" s="32" t="s">
        <v>1923</v>
      </c>
      <c r="P1" s="32" t="s">
        <v>1939</v>
      </c>
      <c r="Q1" s="32" t="s">
        <v>1942</v>
      </c>
      <c r="R1" s="32" t="s">
        <v>1945</v>
      </c>
      <c r="S1" s="32" t="s">
        <v>1948</v>
      </c>
      <c r="T1" s="32" t="s">
        <v>1951</v>
      </c>
      <c r="U1" s="32" t="s">
        <v>1987</v>
      </c>
      <c r="V1" s="32" t="s">
        <v>1994</v>
      </c>
      <c r="W1" s="32" t="s">
        <v>1997</v>
      </c>
      <c r="X1" s="32" t="s">
        <v>2003</v>
      </c>
      <c r="Y1" s="32" t="s">
        <v>2006</v>
      </c>
      <c r="Z1" s="32" t="s">
        <v>2012</v>
      </c>
      <c r="AA1" s="32" t="s">
        <v>2015</v>
      </c>
      <c r="AB1" s="32" t="s">
        <v>2021</v>
      </c>
      <c r="AC1" s="32" t="s">
        <v>2024</v>
      </c>
      <c r="AD1" s="32" t="s">
        <v>2027</v>
      </c>
      <c r="AE1" s="32" t="s">
        <v>2030</v>
      </c>
      <c r="AF1" s="32" t="s">
        <v>2033</v>
      </c>
      <c r="AG1" s="32" t="s">
        <v>2036</v>
      </c>
      <c r="AH1" s="32" t="s">
        <v>2039</v>
      </c>
      <c r="AI1" s="32" t="s">
        <v>2042</v>
      </c>
      <c r="AJ1" s="32" t="s">
        <v>2045</v>
      </c>
      <c r="AK1" s="32" t="s">
        <v>2048</v>
      </c>
      <c r="AL1" s="32" t="s">
        <v>2051</v>
      </c>
      <c r="AM1" s="32" t="s">
        <v>2054</v>
      </c>
      <c r="AN1" s="32" t="s">
        <v>2060</v>
      </c>
      <c r="AO1" s="32" t="s">
        <v>2063</v>
      </c>
      <c r="AP1" s="32" t="s">
        <v>2069</v>
      </c>
      <c r="AQ1" s="32" t="s">
        <v>2072</v>
      </c>
      <c r="AR1" s="32" t="s">
        <v>2075</v>
      </c>
      <c r="AS1" s="32" t="s">
        <v>2084</v>
      </c>
      <c r="AT1" s="32" t="s">
        <v>2087</v>
      </c>
      <c r="AU1" s="32" t="s">
        <v>2090</v>
      </c>
      <c r="AV1" s="32" t="s">
        <v>2093</v>
      </c>
      <c r="AW1" s="32" t="s">
        <v>2096</v>
      </c>
      <c r="AX1" s="32" t="s">
        <v>2099</v>
      </c>
      <c r="AY1" s="32" t="s">
        <v>2102</v>
      </c>
      <c r="AZ1" s="32" t="s">
        <v>2105</v>
      </c>
      <c r="BA1" s="32" t="s">
        <v>2108</v>
      </c>
      <c r="BB1" s="32" t="s">
        <v>2117</v>
      </c>
      <c r="BC1" s="32" t="s">
        <v>2120</v>
      </c>
      <c r="BD1" s="32" t="s">
        <v>2123</v>
      </c>
      <c r="BE1" s="32" t="s">
        <v>2126</v>
      </c>
      <c r="BF1" s="32" t="s">
        <v>2129</v>
      </c>
      <c r="BG1" s="32" t="s">
        <v>2132</v>
      </c>
      <c r="BH1" s="32" t="s">
        <v>2135</v>
      </c>
      <c r="BI1" s="32" t="s">
        <v>2138</v>
      </c>
      <c r="BJ1" s="32" t="s">
        <v>2141</v>
      </c>
      <c r="BK1" s="32" t="s">
        <v>2149</v>
      </c>
      <c r="BL1" s="32" t="s">
        <v>2160</v>
      </c>
      <c r="BM1" s="32" t="s">
        <v>2163</v>
      </c>
      <c r="BN1" s="32" t="s">
        <v>2166</v>
      </c>
      <c r="BO1" s="32" t="s">
        <v>2169</v>
      </c>
      <c r="BP1" s="32" t="s">
        <v>2172</v>
      </c>
      <c r="BQ1" s="32" t="s">
        <v>2175</v>
      </c>
      <c r="BR1" s="32" t="s">
        <v>2178</v>
      </c>
      <c r="BS1" s="32" t="s">
        <v>2181</v>
      </c>
      <c r="BT1" s="32" t="s">
        <v>2184</v>
      </c>
      <c r="BU1" s="32" t="s">
        <v>2187</v>
      </c>
      <c r="BV1" s="32" t="s">
        <v>2190</v>
      </c>
      <c r="BW1" s="32" t="s">
        <v>2193</v>
      </c>
      <c r="BX1" s="32" t="s">
        <v>2201</v>
      </c>
      <c r="BY1" s="32" t="s">
        <v>2204</v>
      </c>
      <c r="BZ1" s="32" t="s">
        <v>2219</v>
      </c>
      <c r="CA1" s="32" t="s">
        <v>2225</v>
      </c>
      <c r="CB1" s="32" t="s">
        <v>2234</v>
      </c>
      <c r="CC1" s="32" t="s">
        <v>2244</v>
      </c>
      <c r="CD1" s="32" t="s">
        <v>2247</v>
      </c>
      <c r="CE1" s="32" t="s">
        <v>2250</v>
      </c>
      <c r="CF1" s="32" t="s">
        <v>2256</v>
      </c>
      <c r="CG1" s="32" t="s">
        <v>2262</v>
      </c>
      <c r="CH1" s="32" t="s">
        <v>2265</v>
      </c>
      <c r="CI1" s="32" t="s">
        <v>2268</v>
      </c>
      <c r="CJ1" s="32" t="s">
        <v>2271</v>
      </c>
      <c r="CK1" s="32" t="s">
        <v>2274</v>
      </c>
      <c r="CL1" s="32" t="s">
        <v>2277</v>
      </c>
      <c r="CM1" s="32" t="s">
        <v>2280</v>
      </c>
      <c r="CN1" s="32" t="s">
        <v>2296</v>
      </c>
      <c r="CO1" s="32" t="s">
        <v>2299</v>
      </c>
      <c r="CP1" s="32" t="s">
        <v>2302</v>
      </c>
      <c r="CQ1" s="32" t="s">
        <v>2305</v>
      </c>
      <c r="CR1" s="32" t="s">
        <v>2308</v>
      </c>
      <c r="CS1" s="32" t="s">
        <v>2311</v>
      </c>
      <c r="CT1" s="32" t="s">
        <v>2318</v>
      </c>
      <c r="CU1" s="32" t="s">
        <v>2321</v>
      </c>
      <c r="CV1" s="32" t="s">
        <v>2324</v>
      </c>
      <c r="CW1" s="32" t="s">
        <v>2327</v>
      </c>
      <c r="CX1" s="32" t="s">
        <v>2330</v>
      </c>
      <c r="CY1" s="32" t="s">
        <v>2333</v>
      </c>
      <c r="CZ1" s="32" t="s">
        <v>2336</v>
      </c>
      <c r="DA1" s="32" t="s">
        <v>2339</v>
      </c>
      <c r="DB1" s="32" t="s">
        <v>2342</v>
      </c>
      <c r="DC1" s="32" t="s">
        <v>2345</v>
      </c>
      <c r="DD1" s="32" t="s">
        <v>2348</v>
      </c>
      <c r="DE1" s="32" t="s">
        <v>2351</v>
      </c>
      <c r="DF1" s="32" t="s">
        <v>2354</v>
      </c>
      <c r="DG1" s="32" t="s">
        <v>2371</v>
      </c>
      <c r="DH1" s="32" t="s">
        <v>2407</v>
      </c>
      <c r="DI1" s="32" t="s">
        <v>2413</v>
      </c>
      <c r="DJ1" s="32" t="s">
        <v>2416</v>
      </c>
      <c r="DK1" s="32" t="s">
        <v>2419</v>
      </c>
      <c r="DL1" s="32" t="s">
        <v>2422</v>
      </c>
      <c r="DM1" s="32" t="s">
        <v>2428</v>
      </c>
      <c r="DN1" s="32" t="s">
        <v>2453</v>
      </c>
      <c r="DO1" s="32" t="s">
        <v>2456</v>
      </c>
      <c r="DP1" s="32" t="s">
        <v>2459</v>
      </c>
      <c r="DQ1" s="32" t="s">
        <v>2462</v>
      </c>
      <c r="DR1" s="32" t="s">
        <v>2465</v>
      </c>
      <c r="DS1" s="32" t="s">
        <v>2471</v>
      </c>
      <c r="DT1" s="32" t="s">
        <v>2474</v>
      </c>
      <c r="DU1" s="32" t="s">
        <v>2477</v>
      </c>
      <c r="DV1" s="32" t="s">
        <v>2480</v>
      </c>
      <c r="DW1" s="32" t="s">
        <v>2483</v>
      </c>
      <c r="DX1" s="32" t="s">
        <v>2486</v>
      </c>
      <c r="DY1" s="32" t="s">
        <v>2489</v>
      </c>
      <c r="DZ1" s="32" t="s">
        <v>2492</v>
      </c>
      <c r="EA1" s="32" t="s">
        <v>2507</v>
      </c>
      <c r="EB1" s="32" t="s">
        <v>2510</v>
      </c>
      <c r="EC1" s="32" t="s">
        <v>2513</v>
      </c>
      <c r="ED1" s="32" t="s">
        <v>2516</v>
      </c>
      <c r="EE1" s="32" t="s">
        <v>2519</v>
      </c>
      <c r="EF1" s="32" t="s">
        <v>2522</v>
      </c>
      <c r="EG1" s="32" t="s">
        <v>2525</v>
      </c>
      <c r="EH1" s="32" t="s">
        <v>2528</v>
      </c>
      <c r="EI1" s="32" t="s">
        <v>2531</v>
      </c>
      <c r="EJ1" s="32" t="s">
        <v>2534</v>
      </c>
      <c r="EK1" s="32" t="s">
        <v>2537</v>
      </c>
      <c r="EL1" s="32" t="s">
        <v>2543</v>
      </c>
      <c r="EM1" s="32" t="s">
        <v>2549</v>
      </c>
      <c r="EN1" s="32" t="s">
        <v>2552</v>
      </c>
      <c r="EO1" s="32" t="s">
        <v>2555</v>
      </c>
      <c r="EP1" s="32" t="s">
        <v>2558</v>
      </c>
      <c r="EQ1" s="32" t="s">
        <v>2561</v>
      </c>
      <c r="ER1" s="32" t="s">
        <v>2564</v>
      </c>
      <c r="ES1" s="32" t="s">
        <v>2567</v>
      </c>
      <c r="ET1" s="32" t="s">
        <v>2570</v>
      </c>
      <c r="EU1" s="32" t="s">
        <v>2573</v>
      </c>
      <c r="EV1" s="32" t="s">
        <v>2586</v>
      </c>
      <c r="EW1" s="32" t="s">
        <v>2592</v>
      </c>
      <c r="EX1" s="32" t="s">
        <v>2595</v>
      </c>
      <c r="EY1" s="32" t="s">
        <v>2598</v>
      </c>
      <c r="EZ1" s="32" t="s">
        <v>2612</v>
      </c>
      <c r="FA1" s="32" t="s">
        <v>2615</v>
      </c>
      <c r="FB1" s="32" t="s">
        <v>2618</v>
      </c>
      <c r="FC1" s="32" t="s">
        <v>2621</v>
      </c>
      <c r="FD1" s="32" t="s">
        <v>2624</v>
      </c>
      <c r="FE1" s="32" t="s">
        <v>2649</v>
      </c>
      <c r="FF1" s="32" t="s">
        <v>2652</v>
      </c>
      <c r="FG1" s="32" t="s">
        <v>2658</v>
      </c>
      <c r="FH1" s="32" t="s">
        <v>2661</v>
      </c>
      <c r="FI1" s="32" t="s">
        <v>2667</v>
      </c>
      <c r="FJ1" s="32" t="s">
        <v>2670</v>
      </c>
      <c r="FK1" s="32" t="s">
        <v>2673</v>
      </c>
      <c r="FL1" s="32" t="s">
        <v>2676</v>
      </c>
      <c r="FM1" s="32" t="s">
        <v>2682</v>
      </c>
      <c r="FN1" s="32" t="s">
        <v>2685</v>
      </c>
      <c r="FO1" s="32" t="s">
        <v>2702</v>
      </c>
      <c r="FP1" s="32" t="s">
        <v>2705</v>
      </c>
      <c r="FQ1" s="32" t="s">
        <v>2712</v>
      </c>
      <c r="FR1" s="32" t="s">
        <v>2722</v>
      </c>
      <c r="FS1" s="32" t="s">
        <v>2725</v>
      </c>
      <c r="FT1" s="32" t="s">
        <v>2728</v>
      </c>
      <c r="FU1" s="32" t="s">
        <v>2731</v>
      </c>
      <c r="FV1" s="32" t="s">
        <v>2734</v>
      </c>
      <c r="FW1" s="32" t="s">
        <v>2737</v>
      </c>
      <c r="FX1" s="32" t="s">
        <v>2740</v>
      </c>
      <c r="FY1" s="32" t="s">
        <v>2743</v>
      </c>
      <c r="FZ1" s="32" t="s">
        <v>2746</v>
      </c>
      <c r="GA1" s="32" t="s">
        <v>2749</v>
      </c>
      <c r="GB1" s="32" t="s">
        <v>2752</v>
      </c>
      <c r="GC1" s="32" t="s">
        <v>2755</v>
      </c>
      <c r="GD1" s="32" t="s">
        <v>2761</v>
      </c>
      <c r="GE1" s="32" t="s">
        <v>2764</v>
      </c>
      <c r="GF1" s="32" t="s">
        <v>2784</v>
      </c>
      <c r="GG1" s="32" t="s">
        <v>2787</v>
      </c>
      <c r="GH1" s="32" t="s">
        <v>2790</v>
      </c>
      <c r="GI1" s="32" t="s">
        <v>2793</v>
      </c>
      <c r="GJ1" s="32" t="s">
        <v>2796</v>
      </c>
      <c r="GK1" s="32" t="s">
        <v>2799</v>
      </c>
      <c r="GL1" s="32" t="s">
        <v>2802</v>
      </c>
      <c r="GM1" s="29" t="s">
        <v>1990</v>
      </c>
      <c r="GN1" s="29" t="s">
        <v>2018</v>
      </c>
      <c r="GO1" s="29" t="s">
        <v>2057</v>
      </c>
      <c r="GP1" s="29" t="s">
        <v>2222</v>
      </c>
      <c r="GQ1" s="29" t="s">
        <v>2259</v>
      </c>
      <c r="GR1" s="29" t="s">
        <v>2287</v>
      </c>
      <c r="GS1" s="29" t="s">
        <v>2290</v>
      </c>
      <c r="GT1" s="29" t="s">
        <v>2293</v>
      </c>
      <c r="GU1" s="29" t="s">
        <v>2498</v>
      </c>
      <c r="GV1" s="29" t="s">
        <v>2501</v>
      </c>
      <c r="GW1" s="29" t="s">
        <v>2504</v>
      </c>
      <c r="GX1" s="29" t="s">
        <v>2540</v>
      </c>
      <c r="GY1" s="29" t="s">
        <v>2546</v>
      </c>
      <c r="GZ1" s="29" t="s">
        <v>2601</v>
      </c>
      <c r="HA1" s="29" t="s">
        <v>2655</v>
      </c>
      <c r="HB1" s="29" t="s">
        <v>2664</v>
      </c>
      <c r="HC1" s="29" t="s">
        <v>2679</v>
      </c>
      <c r="HD1" s="29" t="s">
        <v>2758</v>
      </c>
      <c r="HE1" s="34" t="s">
        <v>2144</v>
      </c>
      <c r="HF1" s="34" t="s">
        <v>2576</v>
      </c>
      <c r="HG1" s="34" t="s">
        <v>2582</v>
      </c>
      <c r="HH1" s="34" t="s">
        <v>2589</v>
      </c>
      <c r="HI1" s="34" t="s">
        <v>1961</v>
      </c>
      <c r="HJ1" s="34" t="s">
        <v>1967</v>
      </c>
      <c r="HK1" s="34" t="s">
        <v>2155</v>
      </c>
      <c r="HL1" s="34" t="s">
        <v>2212</v>
      </c>
      <c r="HM1" s="34" t="s">
        <v>2216</v>
      </c>
      <c r="HN1" s="34" t="s">
        <v>2237</v>
      </c>
      <c r="HO1" s="34" t="s">
        <v>2241</v>
      </c>
      <c r="HP1" s="34" t="s">
        <v>2425</v>
      </c>
      <c r="HQ1" s="34" t="s">
        <v>2431</v>
      </c>
      <c r="HR1" s="34" t="s">
        <v>2435</v>
      </c>
      <c r="HS1" s="34" t="s">
        <v>2438</v>
      </c>
      <c r="HT1" s="34" t="s">
        <v>2442</v>
      </c>
      <c r="HU1" s="34" t="s">
        <v>2608</v>
      </c>
      <c r="HV1" s="34" t="s">
        <v>2691</v>
      </c>
      <c r="HW1" s="34" t="s">
        <v>2715</v>
      </c>
      <c r="HX1" s="34" t="s">
        <v>2719</v>
      </c>
      <c r="HY1" s="34" t="s">
        <v>1971</v>
      </c>
      <c r="HZ1" s="34" t="s">
        <v>2283</v>
      </c>
      <c r="IA1" s="34" t="s">
        <v>2362</v>
      </c>
      <c r="IB1" s="34" t="s">
        <v>2367</v>
      </c>
      <c r="IC1" s="34" t="s">
        <v>2495</v>
      </c>
      <c r="ID1" s="34" t="s">
        <v>2604</v>
      </c>
      <c r="IE1" s="34" t="s">
        <v>2780</v>
      </c>
      <c r="IF1" s="34" t="s">
        <v>1926</v>
      </c>
      <c r="IG1" s="34" t="s">
        <v>1930</v>
      </c>
      <c r="IH1" s="34" t="s">
        <v>1933</v>
      </c>
      <c r="II1" s="34" t="s">
        <v>1936</v>
      </c>
      <c r="IJ1" s="34" t="s">
        <v>2009</v>
      </c>
      <c r="IK1" s="34" t="s">
        <v>2066</v>
      </c>
      <c r="IL1" s="34" t="s">
        <v>2078</v>
      </c>
      <c r="IM1" s="34" t="s">
        <v>2081</v>
      </c>
      <c r="IN1" s="34" t="s">
        <v>2111</v>
      </c>
      <c r="IO1" s="34" t="s">
        <v>2114</v>
      </c>
      <c r="IP1" s="34" t="s">
        <v>2393</v>
      </c>
      <c r="IQ1" s="34" t="s">
        <v>2396</v>
      </c>
      <c r="IR1" s="34" t="s">
        <v>2627</v>
      </c>
      <c r="IS1" s="34" t="s">
        <v>2630</v>
      </c>
      <c r="IT1" s="34" t="s">
        <v>2633</v>
      </c>
      <c r="IU1" s="34" t="s">
        <v>2636</v>
      </c>
      <c r="IV1" s="34" t="s">
        <v>2639</v>
      </c>
      <c r="IW1" s="34" t="s">
        <v>1900</v>
      </c>
      <c r="IX1" s="34" t="s">
        <v>1906</v>
      </c>
      <c r="IY1" s="34" t="s">
        <v>1909</v>
      </c>
      <c r="IZ1" s="34" t="s">
        <v>1912</v>
      </c>
      <c r="JA1" s="34" t="s">
        <v>1954</v>
      </c>
      <c r="JB1" s="34" t="s">
        <v>1958</v>
      </c>
      <c r="JC1" s="34" t="s">
        <v>1977</v>
      </c>
      <c r="JD1" s="34" t="s">
        <v>1981</v>
      </c>
      <c r="JE1" s="34" t="s">
        <v>2152</v>
      </c>
      <c r="JF1" s="34" t="s">
        <v>2196</v>
      </c>
      <c r="JG1" s="34" t="s">
        <v>2253</v>
      </c>
      <c r="JH1" s="34" t="s">
        <v>2314</v>
      </c>
      <c r="JI1" s="34" t="s">
        <v>2357</v>
      </c>
      <c r="JJ1" s="34" t="s">
        <v>2374</v>
      </c>
      <c r="JK1" s="34" t="s">
        <v>2378</v>
      </c>
      <c r="JL1" s="34" t="s">
        <v>2381</v>
      </c>
      <c r="JM1" s="34" t="s">
        <v>2384</v>
      </c>
      <c r="JN1" s="34" t="s">
        <v>2387</v>
      </c>
      <c r="JO1" s="34" t="s">
        <v>2390</v>
      </c>
      <c r="JP1" s="34" t="s">
        <v>2399</v>
      </c>
      <c r="JQ1" s="34" t="s">
        <v>2403</v>
      </c>
      <c r="JR1" s="34" t="s">
        <v>2445</v>
      </c>
      <c r="JS1" s="34" t="s">
        <v>2450</v>
      </c>
      <c r="JT1" s="34" t="s">
        <v>2642</v>
      </c>
      <c r="JU1" s="34" t="s">
        <v>2645</v>
      </c>
      <c r="JV1" s="34" t="s">
        <v>2695</v>
      </c>
      <c r="JW1" s="34" t="s">
        <v>2699</v>
      </c>
      <c r="JX1" s="34" t="s">
        <v>2708</v>
      </c>
      <c r="JY1" s="34" t="s">
        <v>2207</v>
      </c>
      <c r="JZ1" s="34" t="s">
        <v>2767</v>
      </c>
      <c r="KA1" s="34" t="s">
        <v>2771</v>
      </c>
      <c r="KB1" s="34" t="s">
        <v>2774</v>
      </c>
      <c r="KC1" s="34" t="s">
        <v>2777</v>
      </c>
    </row>
    <row r="2" spans="1:289" ht="15" customHeight="1" x14ac:dyDescent="0.3">
      <c r="A2" s="4" t="s">
        <v>2997</v>
      </c>
      <c r="B2" s="3">
        <v>15000</v>
      </c>
      <c r="C2" s="3">
        <v>15000</v>
      </c>
      <c r="D2" s="3">
        <v>15000</v>
      </c>
      <c r="E2" s="3">
        <f>_xlfn.XLOOKUP(E$1,generator!$B$2:$B$295,generator!$Q$2:$Q$295,"ARGH")</f>
        <v>9000</v>
      </c>
      <c r="F2" s="3">
        <f>_xlfn.XLOOKUP(F$1,generator!$B$2:$B$295,generator!$Q$2:$Q$295,"ARGH")</f>
        <v>9000</v>
      </c>
      <c r="G2" s="3">
        <f>_xlfn.XLOOKUP(G$1,generator!$B$2:$B$295,generator!$Q$2:$Q$295,"ARGH")</f>
        <v>9000</v>
      </c>
      <c r="H2" s="3">
        <f>_xlfn.XLOOKUP(H$1,generator!$B$2:$B$295,generator!$Q$2:$Q$295,"ARGH")</f>
        <v>9000</v>
      </c>
      <c r="I2" s="3">
        <f>_xlfn.XLOOKUP(I$1,generator!$B$2:$B$295,generator!$Q$2:$Q$295,"ARGH")</f>
        <v>9000</v>
      </c>
      <c r="J2" s="3">
        <f>_xlfn.XLOOKUP(J$1,generator!$B$2:$B$295,generator!$Q$2:$Q$295,"ARGH")</f>
        <v>9000</v>
      </c>
      <c r="K2" s="3">
        <f>_xlfn.XLOOKUP(K$1,generator!$B$2:$B$295,generator!$Q$2:$Q$295,"ARGH")</f>
        <v>9000</v>
      </c>
      <c r="L2" s="3">
        <f>_xlfn.XLOOKUP(L$1,generator!$B$2:$B$295,generator!$Q$2:$Q$295,"ARGH")</f>
        <v>9000</v>
      </c>
      <c r="M2" s="3">
        <f>_xlfn.XLOOKUP(M$1,generator!$B$2:$B$295,generator!$Q$2:$Q$295,"ARGH")</f>
        <v>9000</v>
      </c>
      <c r="N2" s="3">
        <f>_xlfn.XLOOKUP(N$1,generator!$B$2:$B$295,generator!$Q$2:$Q$295,"ARGH")</f>
        <v>9000</v>
      </c>
      <c r="O2" s="3">
        <f>_xlfn.XLOOKUP(O$1,generator!$B$2:$B$295,generator!$Q$2:$Q$295,"ARGH")</f>
        <v>9000</v>
      </c>
      <c r="P2" s="3">
        <f>_xlfn.XLOOKUP(P$1,generator!$B$2:$B$295,generator!$Q$2:$Q$295,"ARGH")</f>
        <v>9000</v>
      </c>
      <c r="Q2" s="3">
        <f>_xlfn.XLOOKUP(Q$1,generator!$B$2:$B$295,generator!$Q$2:$Q$295,"ARGH")</f>
        <v>9000</v>
      </c>
      <c r="R2" s="3">
        <f>_xlfn.XLOOKUP(R$1,generator!$B$2:$B$295,generator!$Q$2:$Q$295,"ARGH")</f>
        <v>9000</v>
      </c>
      <c r="S2" s="3">
        <f>_xlfn.XLOOKUP(S$1,generator!$B$2:$B$295,generator!$Q$2:$Q$295,"ARGH")</f>
        <v>9000</v>
      </c>
      <c r="T2" s="3">
        <f>_xlfn.XLOOKUP(T$1,generator!$B$2:$B$295,generator!$Q$2:$Q$295,"ARGH")</f>
        <v>9000</v>
      </c>
      <c r="U2" s="3">
        <f>_xlfn.XLOOKUP(U$1,generator!$B$2:$B$295,generator!$Q$2:$Q$295,"ARGH")</f>
        <v>9000</v>
      </c>
      <c r="V2" s="3">
        <f>_xlfn.XLOOKUP(V$1,generator!$B$2:$B$295,generator!$Q$2:$Q$295,"ARGH")</f>
        <v>9000</v>
      </c>
      <c r="W2" s="3">
        <f>_xlfn.XLOOKUP(W$1,generator!$B$2:$B$295,generator!$Q$2:$Q$295,"ARGH")</f>
        <v>9000</v>
      </c>
      <c r="X2" s="3">
        <f>_xlfn.XLOOKUP(X$1,generator!$B$2:$B$295,generator!$Q$2:$Q$295,"ARGH")</f>
        <v>9000</v>
      </c>
      <c r="Y2" s="3">
        <f>_xlfn.XLOOKUP(Y$1,generator!$B$2:$B$295,generator!$Q$2:$Q$295,"ARGH")</f>
        <v>9000</v>
      </c>
      <c r="Z2" s="3">
        <f>_xlfn.XLOOKUP(Z$1,generator!$B$2:$B$295,generator!$Q$2:$Q$295,"ARGH")</f>
        <v>9000</v>
      </c>
      <c r="AA2" s="3">
        <f>_xlfn.XLOOKUP(AA$1,generator!$B$2:$B$295,generator!$Q$2:$Q$295,"ARGH")</f>
        <v>9000</v>
      </c>
      <c r="AB2" s="3">
        <f>_xlfn.XLOOKUP(AB$1,generator!$B$2:$B$295,generator!$Q$2:$Q$295,"ARGH")</f>
        <v>9000</v>
      </c>
      <c r="AC2" s="3">
        <f>_xlfn.XLOOKUP(AC$1,generator!$B$2:$B$295,generator!$Q$2:$Q$295,"ARGH")</f>
        <v>9000</v>
      </c>
      <c r="AD2" s="3">
        <f>_xlfn.XLOOKUP(AD$1,generator!$B$2:$B$295,generator!$Q$2:$Q$295,"ARGH")</f>
        <v>9000</v>
      </c>
      <c r="AE2" s="3">
        <f>_xlfn.XLOOKUP(AE$1,generator!$B$2:$B$295,generator!$Q$2:$Q$295,"ARGH")</f>
        <v>9000</v>
      </c>
      <c r="AF2" s="3">
        <f>_xlfn.XLOOKUP(AF$1,generator!$B$2:$B$295,generator!$Q$2:$Q$295,"ARGH")</f>
        <v>9000</v>
      </c>
      <c r="AG2" s="3">
        <f>_xlfn.XLOOKUP(AG$1,generator!$B$2:$B$295,generator!$Q$2:$Q$295,"ARGH")</f>
        <v>9000</v>
      </c>
      <c r="AH2" s="3">
        <f>_xlfn.XLOOKUP(AH$1,generator!$B$2:$B$295,generator!$Q$2:$Q$295,"ARGH")</f>
        <v>9000</v>
      </c>
      <c r="AI2" s="3">
        <f>_xlfn.XLOOKUP(AI$1,generator!$B$2:$B$295,generator!$Q$2:$Q$295,"ARGH")</f>
        <v>9000</v>
      </c>
      <c r="AJ2" s="3">
        <f>_xlfn.XLOOKUP(AJ$1,generator!$B$2:$B$295,generator!$Q$2:$Q$295,"ARGH")</f>
        <v>9000</v>
      </c>
      <c r="AK2" s="3">
        <f>_xlfn.XLOOKUP(AK$1,generator!$B$2:$B$295,generator!$Q$2:$Q$295,"ARGH")</f>
        <v>9000</v>
      </c>
      <c r="AL2" s="3">
        <f>_xlfn.XLOOKUP(AL$1,generator!$B$2:$B$295,generator!$Q$2:$Q$295,"ARGH")</f>
        <v>9000</v>
      </c>
      <c r="AM2" s="3">
        <f>_xlfn.XLOOKUP(AM$1,generator!$B$2:$B$295,generator!$Q$2:$Q$295,"ARGH")</f>
        <v>9000</v>
      </c>
      <c r="AN2" s="3">
        <f>_xlfn.XLOOKUP(AN$1,generator!$B$2:$B$295,generator!$Q$2:$Q$295,"ARGH")</f>
        <v>9000</v>
      </c>
      <c r="AO2" s="3">
        <f>_xlfn.XLOOKUP(AO$1,generator!$B$2:$B$295,generator!$Q$2:$Q$295,"ARGH")</f>
        <v>9000</v>
      </c>
      <c r="AP2" s="3">
        <f>_xlfn.XLOOKUP(AP$1,generator!$B$2:$B$295,generator!$Q$2:$Q$295,"ARGH")</f>
        <v>9000</v>
      </c>
      <c r="AQ2" s="3">
        <f>_xlfn.XLOOKUP(AQ$1,generator!$B$2:$B$295,generator!$Q$2:$Q$295,"ARGH")</f>
        <v>9000</v>
      </c>
      <c r="AR2" s="3">
        <f>_xlfn.XLOOKUP(AR$1,generator!$B$2:$B$295,generator!$Q$2:$Q$295,"ARGH")</f>
        <v>9000</v>
      </c>
      <c r="AS2" s="3">
        <f>_xlfn.XLOOKUP(AS$1,generator!$B$2:$B$295,generator!$Q$2:$Q$295,"ARGH")</f>
        <v>9000</v>
      </c>
      <c r="AT2" s="3">
        <f>_xlfn.XLOOKUP(AT$1,generator!$B$2:$B$295,generator!$Q$2:$Q$295,"ARGH")</f>
        <v>9000</v>
      </c>
      <c r="AU2" s="3">
        <f>_xlfn.XLOOKUP(AU$1,generator!$B$2:$B$295,generator!$Q$2:$Q$295,"ARGH")</f>
        <v>9000</v>
      </c>
      <c r="AV2" s="3">
        <f>_xlfn.XLOOKUP(AV$1,generator!$B$2:$B$295,generator!$Q$2:$Q$295,"ARGH")</f>
        <v>9000</v>
      </c>
      <c r="AW2" s="3">
        <f>_xlfn.XLOOKUP(AW$1,generator!$B$2:$B$295,generator!$Q$2:$Q$295,"ARGH")</f>
        <v>9000</v>
      </c>
      <c r="AX2" s="3">
        <f>_xlfn.XLOOKUP(AX$1,generator!$B$2:$B$295,generator!$Q$2:$Q$295,"ARGH")</f>
        <v>9000</v>
      </c>
      <c r="AY2" s="3">
        <f>_xlfn.XLOOKUP(AY$1,generator!$B$2:$B$295,generator!$Q$2:$Q$295,"ARGH")</f>
        <v>9000</v>
      </c>
      <c r="AZ2" s="3">
        <f>_xlfn.XLOOKUP(AZ$1,generator!$B$2:$B$295,generator!$Q$2:$Q$295,"ARGH")</f>
        <v>9000</v>
      </c>
      <c r="BA2" s="3">
        <f>_xlfn.XLOOKUP(BA$1,generator!$B$2:$B$295,generator!$Q$2:$Q$295,"ARGH")</f>
        <v>9000</v>
      </c>
      <c r="BB2" s="3">
        <f>_xlfn.XLOOKUP(BB$1,generator!$B$2:$B$295,generator!$Q$2:$Q$295,"ARGH")</f>
        <v>9000</v>
      </c>
      <c r="BC2" s="3">
        <f>_xlfn.XLOOKUP(BC$1,generator!$B$2:$B$295,generator!$Q$2:$Q$295,"ARGH")</f>
        <v>9000</v>
      </c>
      <c r="BD2" s="3">
        <f>_xlfn.XLOOKUP(BD$1,generator!$B$2:$B$295,generator!$Q$2:$Q$295,"ARGH")</f>
        <v>9000</v>
      </c>
      <c r="BE2" s="3">
        <f>_xlfn.XLOOKUP(BE$1,generator!$B$2:$B$295,generator!$Q$2:$Q$295,"ARGH")</f>
        <v>9000</v>
      </c>
      <c r="BF2" s="3">
        <f>_xlfn.XLOOKUP(BF$1,generator!$B$2:$B$295,generator!$Q$2:$Q$295,"ARGH")</f>
        <v>9000</v>
      </c>
      <c r="BG2" s="3">
        <f>_xlfn.XLOOKUP(BG$1,generator!$B$2:$B$295,generator!$Q$2:$Q$295,"ARGH")</f>
        <v>9000</v>
      </c>
      <c r="BH2" s="3">
        <f>_xlfn.XLOOKUP(BH$1,generator!$B$2:$B$295,generator!$Q$2:$Q$295,"ARGH")</f>
        <v>9000</v>
      </c>
      <c r="BI2" s="3">
        <f>_xlfn.XLOOKUP(BI$1,generator!$B$2:$B$295,generator!$Q$2:$Q$295,"ARGH")</f>
        <v>9000</v>
      </c>
      <c r="BJ2" s="3">
        <f>_xlfn.XLOOKUP(BJ$1,generator!$B$2:$B$295,generator!$Q$2:$Q$295,"ARGH")</f>
        <v>9000</v>
      </c>
      <c r="BK2" s="3">
        <f>_xlfn.XLOOKUP(BK$1,generator!$B$2:$B$295,generator!$Q$2:$Q$295,"ARGH")</f>
        <v>9000</v>
      </c>
      <c r="BL2" s="3">
        <f>_xlfn.XLOOKUP(BL$1,generator!$B$2:$B$295,generator!$Q$2:$Q$295,"ARGH")</f>
        <v>9000</v>
      </c>
      <c r="BM2" s="3">
        <f>_xlfn.XLOOKUP(BM$1,generator!$B$2:$B$295,generator!$Q$2:$Q$295,"ARGH")</f>
        <v>9000</v>
      </c>
      <c r="BN2" s="3">
        <f>_xlfn.XLOOKUP(BN$1,generator!$B$2:$B$295,generator!$Q$2:$Q$295,"ARGH")</f>
        <v>9000</v>
      </c>
      <c r="BO2" s="3">
        <f>_xlfn.XLOOKUP(BO$1,generator!$B$2:$B$295,generator!$Q$2:$Q$295,"ARGH")</f>
        <v>9000</v>
      </c>
      <c r="BP2" s="3">
        <f>_xlfn.XLOOKUP(BP$1,generator!$B$2:$B$295,generator!$Q$2:$Q$295,"ARGH")</f>
        <v>9000</v>
      </c>
      <c r="BQ2" s="3">
        <f>_xlfn.XLOOKUP(BQ$1,generator!$B$2:$B$295,generator!$Q$2:$Q$295,"ARGH")</f>
        <v>9000</v>
      </c>
      <c r="BR2" s="3">
        <f>_xlfn.XLOOKUP(BR$1,generator!$B$2:$B$295,generator!$Q$2:$Q$295,"ARGH")</f>
        <v>9000</v>
      </c>
      <c r="BS2" s="3">
        <f>_xlfn.XLOOKUP(BS$1,generator!$B$2:$B$295,generator!$Q$2:$Q$295,"ARGH")</f>
        <v>9000</v>
      </c>
      <c r="BT2" s="3">
        <f>_xlfn.XLOOKUP(BT$1,generator!$B$2:$B$295,generator!$Q$2:$Q$295,"ARGH")</f>
        <v>9000</v>
      </c>
      <c r="BU2" s="3">
        <f>_xlfn.XLOOKUP(BU$1,generator!$B$2:$B$295,generator!$Q$2:$Q$295,"ARGH")</f>
        <v>9000</v>
      </c>
      <c r="BV2" s="3">
        <f>_xlfn.XLOOKUP(BV$1,generator!$B$2:$B$295,generator!$Q$2:$Q$295,"ARGH")</f>
        <v>9000</v>
      </c>
      <c r="BW2" s="3">
        <f>_xlfn.XLOOKUP(BW$1,generator!$B$2:$B$295,generator!$Q$2:$Q$295,"ARGH")</f>
        <v>9000</v>
      </c>
      <c r="BX2" s="3">
        <f>_xlfn.XLOOKUP(BX$1,generator!$B$2:$B$295,generator!$Q$2:$Q$295,"ARGH")</f>
        <v>9000</v>
      </c>
      <c r="BY2" s="3">
        <f>_xlfn.XLOOKUP(BY$1,generator!$B$2:$B$295,generator!$Q$2:$Q$295,"ARGH")</f>
        <v>9000</v>
      </c>
      <c r="BZ2" s="3">
        <f>_xlfn.XLOOKUP(BZ$1,generator!$B$2:$B$295,generator!$Q$2:$Q$295,"ARGH")</f>
        <v>9000</v>
      </c>
      <c r="CA2" s="3">
        <f>_xlfn.XLOOKUP(CA$1,generator!$B$2:$B$295,generator!$Q$2:$Q$295,"ARGH")</f>
        <v>9000</v>
      </c>
      <c r="CB2" s="3">
        <f>_xlfn.XLOOKUP(CB$1,generator!$B$2:$B$295,generator!$Q$2:$Q$295,"ARGH")</f>
        <v>9000</v>
      </c>
      <c r="CC2" s="3">
        <f>_xlfn.XLOOKUP(CC$1,generator!$B$2:$B$295,generator!$Q$2:$Q$295,"ARGH")</f>
        <v>9000</v>
      </c>
      <c r="CD2" s="3">
        <f>_xlfn.XLOOKUP(CD$1,generator!$B$2:$B$295,generator!$Q$2:$Q$295,"ARGH")</f>
        <v>9000</v>
      </c>
      <c r="CE2" s="3">
        <f>_xlfn.XLOOKUP(CE$1,generator!$B$2:$B$295,generator!$Q$2:$Q$295,"ARGH")</f>
        <v>9000</v>
      </c>
      <c r="CF2" s="3">
        <f>_xlfn.XLOOKUP(CF$1,generator!$B$2:$B$295,generator!$Q$2:$Q$295,"ARGH")</f>
        <v>9000</v>
      </c>
      <c r="CG2" s="3">
        <f>_xlfn.XLOOKUP(CG$1,generator!$B$2:$B$295,generator!$Q$2:$Q$295,"ARGH")</f>
        <v>9000</v>
      </c>
      <c r="CH2" s="3">
        <f>_xlfn.XLOOKUP(CH$1,generator!$B$2:$B$295,generator!$Q$2:$Q$295,"ARGH")</f>
        <v>9000</v>
      </c>
      <c r="CI2" s="3">
        <f>_xlfn.XLOOKUP(CI$1,generator!$B$2:$B$295,generator!$Q$2:$Q$295,"ARGH")</f>
        <v>9000</v>
      </c>
      <c r="CJ2" s="3">
        <f>_xlfn.XLOOKUP(CJ$1,generator!$B$2:$B$295,generator!$Q$2:$Q$295,"ARGH")</f>
        <v>9000</v>
      </c>
      <c r="CK2" s="3">
        <f>_xlfn.XLOOKUP(CK$1,generator!$B$2:$B$295,generator!$Q$2:$Q$295,"ARGH")</f>
        <v>9000</v>
      </c>
      <c r="CL2" s="3">
        <f>_xlfn.XLOOKUP(CL$1,generator!$B$2:$B$295,generator!$Q$2:$Q$295,"ARGH")</f>
        <v>9000</v>
      </c>
      <c r="CM2" s="3">
        <f>_xlfn.XLOOKUP(CM$1,generator!$B$2:$B$295,generator!$Q$2:$Q$295,"ARGH")</f>
        <v>9000</v>
      </c>
      <c r="CN2" s="3">
        <f>_xlfn.XLOOKUP(CN$1,generator!$B$2:$B$295,generator!$Q$2:$Q$295,"ARGH")</f>
        <v>9000</v>
      </c>
      <c r="CO2" s="3">
        <f>_xlfn.XLOOKUP(CO$1,generator!$B$2:$B$295,generator!$Q$2:$Q$295,"ARGH")</f>
        <v>9000</v>
      </c>
      <c r="CP2" s="3">
        <f>_xlfn.XLOOKUP(CP$1,generator!$B$2:$B$295,generator!$Q$2:$Q$295,"ARGH")</f>
        <v>9000</v>
      </c>
      <c r="CQ2" s="3">
        <f>_xlfn.XLOOKUP(CQ$1,generator!$B$2:$B$295,generator!$Q$2:$Q$295,"ARGH")</f>
        <v>9000</v>
      </c>
      <c r="CR2" s="3">
        <f>_xlfn.XLOOKUP(CR$1,generator!$B$2:$B$295,generator!$Q$2:$Q$295,"ARGH")</f>
        <v>9000</v>
      </c>
      <c r="CS2" s="3">
        <f>_xlfn.XLOOKUP(CS$1,generator!$B$2:$B$295,generator!$Q$2:$Q$295,"ARGH")</f>
        <v>9000</v>
      </c>
      <c r="CT2" s="3">
        <f>_xlfn.XLOOKUP(CT$1,generator!$B$2:$B$295,generator!$Q$2:$Q$295,"ARGH")</f>
        <v>9000</v>
      </c>
      <c r="CU2" s="3">
        <f>_xlfn.XLOOKUP(CU$1,generator!$B$2:$B$295,generator!$Q$2:$Q$295,"ARGH")</f>
        <v>9000</v>
      </c>
      <c r="CV2" s="3">
        <f>_xlfn.XLOOKUP(CV$1,generator!$B$2:$B$295,generator!$Q$2:$Q$295,"ARGH")</f>
        <v>9000</v>
      </c>
      <c r="CW2" s="3">
        <f>_xlfn.XLOOKUP(CW$1,generator!$B$2:$B$295,generator!$Q$2:$Q$295,"ARGH")</f>
        <v>9000</v>
      </c>
      <c r="CX2" s="3">
        <f>_xlfn.XLOOKUP(CX$1,generator!$B$2:$B$295,generator!$Q$2:$Q$295,"ARGH")</f>
        <v>9000</v>
      </c>
      <c r="CY2" s="3">
        <f>_xlfn.XLOOKUP(CY$1,generator!$B$2:$B$295,generator!$Q$2:$Q$295,"ARGH")</f>
        <v>9000</v>
      </c>
      <c r="CZ2" s="3">
        <f>_xlfn.XLOOKUP(CZ$1,generator!$B$2:$B$295,generator!$Q$2:$Q$295,"ARGH")</f>
        <v>9000</v>
      </c>
      <c r="DA2" s="3">
        <f>_xlfn.XLOOKUP(DA$1,generator!$B$2:$B$295,generator!$Q$2:$Q$295,"ARGH")</f>
        <v>9000</v>
      </c>
      <c r="DB2" s="3">
        <f>_xlfn.XLOOKUP(DB$1,generator!$B$2:$B$295,generator!$Q$2:$Q$295,"ARGH")</f>
        <v>9000</v>
      </c>
      <c r="DC2" s="3">
        <f>_xlfn.XLOOKUP(DC$1,generator!$B$2:$B$295,generator!$Q$2:$Q$295,"ARGH")</f>
        <v>9000</v>
      </c>
      <c r="DD2" s="3">
        <f>_xlfn.XLOOKUP(DD$1,generator!$B$2:$B$295,generator!$Q$2:$Q$295,"ARGH")</f>
        <v>9000</v>
      </c>
      <c r="DE2" s="3">
        <f>_xlfn.XLOOKUP(DE$1,generator!$B$2:$B$295,generator!$Q$2:$Q$295,"ARGH")</f>
        <v>9000</v>
      </c>
      <c r="DF2" s="3">
        <f>_xlfn.XLOOKUP(DF$1,generator!$B$2:$B$295,generator!$Q$2:$Q$295,"ARGH")</f>
        <v>9000</v>
      </c>
      <c r="DG2" s="3">
        <f>_xlfn.XLOOKUP(DG$1,generator!$B$2:$B$295,generator!$Q$2:$Q$295,"ARGH")</f>
        <v>9000</v>
      </c>
      <c r="DH2" s="3">
        <f>_xlfn.XLOOKUP(DH$1,generator!$B$2:$B$295,generator!$Q$2:$Q$295,"ARGH")</f>
        <v>9000</v>
      </c>
      <c r="DI2" s="3">
        <f>_xlfn.XLOOKUP(DI$1,generator!$B$2:$B$295,generator!$Q$2:$Q$295,"ARGH")</f>
        <v>9000</v>
      </c>
      <c r="DJ2" s="3">
        <f>_xlfn.XLOOKUP(DJ$1,generator!$B$2:$B$295,generator!$Q$2:$Q$295,"ARGH")</f>
        <v>9000</v>
      </c>
      <c r="DK2" s="3">
        <f>_xlfn.XLOOKUP(DK$1,generator!$B$2:$B$295,generator!$Q$2:$Q$295,"ARGH")</f>
        <v>9000</v>
      </c>
      <c r="DL2" s="3">
        <f>_xlfn.XLOOKUP(DL$1,generator!$B$2:$B$295,generator!$Q$2:$Q$295,"ARGH")</f>
        <v>9000</v>
      </c>
      <c r="DM2" s="3">
        <f>_xlfn.XLOOKUP(DM$1,generator!$B$2:$B$295,generator!$Q$2:$Q$295,"ARGH")</f>
        <v>9000</v>
      </c>
      <c r="DN2" s="3">
        <f>_xlfn.XLOOKUP(DN$1,generator!$B$2:$B$295,generator!$Q$2:$Q$295,"ARGH")</f>
        <v>9000</v>
      </c>
      <c r="DO2" s="3">
        <f>_xlfn.XLOOKUP(DO$1,generator!$B$2:$B$295,generator!$Q$2:$Q$295,"ARGH")</f>
        <v>9000</v>
      </c>
      <c r="DP2" s="3">
        <f>_xlfn.XLOOKUP(DP$1,generator!$B$2:$B$295,generator!$Q$2:$Q$295,"ARGH")</f>
        <v>9000</v>
      </c>
      <c r="DQ2" s="3">
        <f>_xlfn.XLOOKUP(DQ$1,generator!$B$2:$B$295,generator!$Q$2:$Q$295,"ARGH")</f>
        <v>9000</v>
      </c>
      <c r="DR2" s="3">
        <f>_xlfn.XLOOKUP(DR$1,generator!$B$2:$B$295,generator!$Q$2:$Q$295,"ARGH")</f>
        <v>9000</v>
      </c>
      <c r="DS2" s="3">
        <f>_xlfn.XLOOKUP(DS$1,generator!$B$2:$B$295,generator!$Q$2:$Q$295,"ARGH")</f>
        <v>9000</v>
      </c>
      <c r="DT2" s="3">
        <f>_xlfn.XLOOKUP(DT$1,generator!$B$2:$B$295,generator!$Q$2:$Q$295,"ARGH")</f>
        <v>9000</v>
      </c>
      <c r="DU2" s="3">
        <f>_xlfn.XLOOKUP(DU$1,generator!$B$2:$B$295,generator!$Q$2:$Q$295,"ARGH")</f>
        <v>9000</v>
      </c>
      <c r="DV2" s="3">
        <f>_xlfn.XLOOKUP(DV$1,generator!$B$2:$B$295,generator!$Q$2:$Q$295,"ARGH")</f>
        <v>9000</v>
      </c>
      <c r="DW2" s="3">
        <f>_xlfn.XLOOKUP(DW$1,generator!$B$2:$B$295,generator!$Q$2:$Q$295,"ARGH")</f>
        <v>9000</v>
      </c>
      <c r="DX2" s="3">
        <f>_xlfn.XLOOKUP(DX$1,generator!$B$2:$B$295,generator!$Q$2:$Q$295,"ARGH")</f>
        <v>9000</v>
      </c>
      <c r="DY2" s="3">
        <f>_xlfn.XLOOKUP(DY$1,generator!$B$2:$B$295,generator!$Q$2:$Q$295,"ARGH")</f>
        <v>9000</v>
      </c>
      <c r="DZ2" s="3">
        <f>_xlfn.XLOOKUP(DZ$1,generator!$B$2:$B$295,generator!$Q$2:$Q$295,"ARGH")</f>
        <v>9000</v>
      </c>
      <c r="EA2" s="3">
        <f>_xlfn.XLOOKUP(EA$1,generator!$B$2:$B$295,generator!$Q$2:$Q$295,"ARGH")</f>
        <v>9000</v>
      </c>
      <c r="EB2" s="3">
        <f>_xlfn.XLOOKUP(EB$1,generator!$B$2:$B$295,generator!$Q$2:$Q$295,"ARGH")</f>
        <v>9000</v>
      </c>
      <c r="EC2" s="3">
        <f>_xlfn.XLOOKUP(EC$1,generator!$B$2:$B$295,generator!$Q$2:$Q$295,"ARGH")</f>
        <v>9000</v>
      </c>
      <c r="ED2" s="3">
        <f>_xlfn.XLOOKUP(ED$1,generator!$B$2:$B$295,generator!$Q$2:$Q$295,"ARGH")</f>
        <v>9000</v>
      </c>
      <c r="EE2" s="3">
        <f>_xlfn.XLOOKUP(EE$1,generator!$B$2:$B$295,generator!$Q$2:$Q$295,"ARGH")</f>
        <v>9000</v>
      </c>
      <c r="EF2" s="3">
        <f>_xlfn.XLOOKUP(EF$1,generator!$B$2:$B$295,generator!$Q$2:$Q$295,"ARGH")</f>
        <v>9000</v>
      </c>
      <c r="EG2" s="3">
        <f>_xlfn.XLOOKUP(EG$1,generator!$B$2:$B$295,generator!$Q$2:$Q$295,"ARGH")</f>
        <v>9000</v>
      </c>
      <c r="EH2" s="3">
        <f>_xlfn.XLOOKUP(EH$1,generator!$B$2:$B$295,generator!$Q$2:$Q$295,"ARGH")</f>
        <v>9000</v>
      </c>
      <c r="EI2" s="3">
        <f>_xlfn.XLOOKUP(EI$1,generator!$B$2:$B$295,generator!$Q$2:$Q$295,"ARGH")</f>
        <v>9000</v>
      </c>
      <c r="EJ2" s="3">
        <f>_xlfn.XLOOKUP(EJ$1,generator!$B$2:$B$295,generator!$Q$2:$Q$295,"ARGH")</f>
        <v>9000</v>
      </c>
      <c r="EK2" s="3">
        <f>_xlfn.XLOOKUP(EK$1,generator!$B$2:$B$295,generator!$Q$2:$Q$295,"ARGH")</f>
        <v>9000</v>
      </c>
      <c r="EL2" s="3">
        <f>_xlfn.XLOOKUP(EL$1,generator!$B$2:$B$295,generator!$Q$2:$Q$295,"ARGH")</f>
        <v>9000</v>
      </c>
      <c r="EM2" s="3">
        <f>_xlfn.XLOOKUP(EM$1,generator!$B$2:$B$295,generator!$Q$2:$Q$295,"ARGH")</f>
        <v>9000</v>
      </c>
      <c r="EN2" s="3">
        <f>_xlfn.XLOOKUP(EN$1,generator!$B$2:$B$295,generator!$Q$2:$Q$295,"ARGH")</f>
        <v>9000</v>
      </c>
      <c r="EO2" s="3">
        <f>_xlfn.XLOOKUP(EO$1,generator!$B$2:$B$295,generator!$Q$2:$Q$295,"ARGH")</f>
        <v>9000</v>
      </c>
      <c r="EP2" s="3">
        <f>_xlfn.XLOOKUP(EP$1,generator!$B$2:$B$295,generator!$Q$2:$Q$295,"ARGH")</f>
        <v>9000</v>
      </c>
      <c r="EQ2" s="3">
        <f>_xlfn.XLOOKUP(EQ$1,generator!$B$2:$B$295,generator!$Q$2:$Q$295,"ARGH")</f>
        <v>9000</v>
      </c>
      <c r="ER2" s="3">
        <f>_xlfn.XLOOKUP(ER$1,generator!$B$2:$B$295,generator!$Q$2:$Q$295,"ARGH")</f>
        <v>9000</v>
      </c>
      <c r="ES2" s="3">
        <f>_xlfn.XLOOKUP(ES$1,generator!$B$2:$B$295,generator!$Q$2:$Q$295,"ARGH")</f>
        <v>9000</v>
      </c>
      <c r="ET2" s="3">
        <f>_xlfn.XLOOKUP(ET$1,generator!$B$2:$B$295,generator!$Q$2:$Q$295,"ARGH")</f>
        <v>9000</v>
      </c>
      <c r="EU2" s="3">
        <f>_xlfn.XLOOKUP(EU$1,generator!$B$2:$B$295,generator!$Q$2:$Q$295,"ARGH")</f>
        <v>9000</v>
      </c>
      <c r="EV2" s="3">
        <f>_xlfn.XLOOKUP(EV$1,generator!$B$2:$B$295,generator!$Q$2:$Q$295,"ARGH")</f>
        <v>9000</v>
      </c>
      <c r="EW2" s="3">
        <f>_xlfn.XLOOKUP(EW$1,generator!$B$2:$B$295,generator!$Q$2:$Q$295,"ARGH")</f>
        <v>9000</v>
      </c>
      <c r="EX2" s="3">
        <f>_xlfn.XLOOKUP(EX$1,generator!$B$2:$B$295,generator!$Q$2:$Q$295,"ARGH")</f>
        <v>9000</v>
      </c>
      <c r="EY2" s="3">
        <f>_xlfn.XLOOKUP(EY$1,generator!$B$2:$B$295,generator!$Q$2:$Q$295,"ARGH")</f>
        <v>9000</v>
      </c>
      <c r="EZ2" s="3">
        <f>_xlfn.XLOOKUP(EZ$1,generator!$B$2:$B$295,generator!$Q$2:$Q$295,"ARGH")</f>
        <v>9000</v>
      </c>
      <c r="FA2" s="3">
        <f>_xlfn.XLOOKUP(FA$1,generator!$B$2:$B$295,generator!$Q$2:$Q$295,"ARGH")</f>
        <v>9000</v>
      </c>
      <c r="FB2" s="3">
        <f>_xlfn.XLOOKUP(FB$1,generator!$B$2:$B$295,generator!$Q$2:$Q$295,"ARGH")</f>
        <v>9000</v>
      </c>
      <c r="FC2" s="3">
        <f>_xlfn.XLOOKUP(FC$1,generator!$B$2:$B$295,generator!$Q$2:$Q$295,"ARGH")</f>
        <v>9000</v>
      </c>
      <c r="FD2" s="3">
        <f>_xlfn.XLOOKUP(FD$1,generator!$B$2:$B$295,generator!$Q$2:$Q$295,"ARGH")</f>
        <v>9000</v>
      </c>
      <c r="FE2" s="3">
        <f>_xlfn.XLOOKUP(FE$1,generator!$B$2:$B$295,generator!$Q$2:$Q$295,"ARGH")</f>
        <v>9000</v>
      </c>
      <c r="FF2" s="3">
        <f>_xlfn.XLOOKUP(FF$1,generator!$B$2:$B$295,generator!$Q$2:$Q$295,"ARGH")</f>
        <v>9000</v>
      </c>
      <c r="FG2" s="3">
        <f>_xlfn.XLOOKUP(FG$1,generator!$B$2:$B$295,generator!$Q$2:$Q$295,"ARGH")</f>
        <v>9000</v>
      </c>
      <c r="FH2" s="3">
        <f>_xlfn.XLOOKUP(FH$1,generator!$B$2:$B$295,generator!$Q$2:$Q$295,"ARGH")</f>
        <v>9000</v>
      </c>
      <c r="FI2" s="3">
        <f>_xlfn.XLOOKUP(FI$1,generator!$B$2:$B$295,generator!$Q$2:$Q$295,"ARGH")</f>
        <v>9000</v>
      </c>
      <c r="FJ2" s="3">
        <f>_xlfn.XLOOKUP(FJ$1,generator!$B$2:$B$295,generator!$Q$2:$Q$295,"ARGH")</f>
        <v>9000</v>
      </c>
      <c r="FK2" s="3">
        <f>_xlfn.XLOOKUP(FK$1,generator!$B$2:$B$295,generator!$Q$2:$Q$295,"ARGH")</f>
        <v>9000</v>
      </c>
      <c r="FL2" s="3">
        <f>_xlfn.XLOOKUP(FL$1,generator!$B$2:$B$295,generator!$Q$2:$Q$295,"ARGH")</f>
        <v>9000</v>
      </c>
      <c r="FM2" s="3">
        <f>_xlfn.XLOOKUP(FM$1,generator!$B$2:$B$295,generator!$Q$2:$Q$295,"ARGH")</f>
        <v>9000</v>
      </c>
      <c r="FN2" s="3">
        <f>_xlfn.XLOOKUP(FN$1,generator!$B$2:$B$295,generator!$Q$2:$Q$295,"ARGH")</f>
        <v>9000</v>
      </c>
      <c r="FO2" s="3">
        <f>_xlfn.XLOOKUP(FO$1,generator!$B$2:$B$295,generator!$Q$2:$Q$295,"ARGH")</f>
        <v>9000</v>
      </c>
      <c r="FP2" s="3">
        <f>_xlfn.XLOOKUP(FP$1,generator!$B$2:$B$295,generator!$Q$2:$Q$295,"ARGH")</f>
        <v>9000</v>
      </c>
      <c r="FQ2" s="3">
        <f>_xlfn.XLOOKUP(FQ$1,generator!$B$2:$B$295,generator!$Q$2:$Q$295,"ARGH")</f>
        <v>9000</v>
      </c>
      <c r="FR2" s="3">
        <f>_xlfn.XLOOKUP(FR$1,generator!$B$2:$B$295,generator!$Q$2:$Q$295,"ARGH")</f>
        <v>9000</v>
      </c>
      <c r="FS2" s="3">
        <f>_xlfn.XLOOKUP(FS$1,generator!$B$2:$B$295,generator!$Q$2:$Q$295,"ARGH")</f>
        <v>9000</v>
      </c>
      <c r="FT2" s="3">
        <f>_xlfn.XLOOKUP(FT$1,generator!$B$2:$B$295,generator!$Q$2:$Q$295,"ARGH")</f>
        <v>9000</v>
      </c>
      <c r="FU2" s="3">
        <f>_xlfn.XLOOKUP(FU$1,generator!$B$2:$B$295,generator!$Q$2:$Q$295,"ARGH")</f>
        <v>9000</v>
      </c>
      <c r="FV2" s="3">
        <f>_xlfn.XLOOKUP(FV$1,generator!$B$2:$B$295,generator!$Q$2:$Q$295,"ARGH")</f>
        <v>9000</v>
      </c>
      <c r="FW2" s="3">
        <f>_xlfn.XLOOKUP(FW$1,generator!$B$2:$B$295,generator!$Q$2:$Q$295,"ARGH")</f>
        <v>9000</v>
      </c>
      <c r="FX2" s="3">
        <f>_xlfn.XLOOKUP(FX$1,generator!$B$2:$B$295,generator!$Q$2:$Q$295,"ARGH")</f>
        <v>9000</v>
      </c>
      <c r="FY2" s="3">
        <f>_xlfn.XLOOKUP(FY$1,generator!$B$2:$B$295,generator!$Q$2:$Q$295,"ARGH")</f>
        <v>9000</v>
      </c>
      <c r="FZ2" s="3">
        <f>_xlfn.XLOOKUP(FZ$1,generator!$B$2:$B$295,generator!$Q$2:$Q$295,"ARGH")</f>
        <v>9000</v>
      </c>
      <c r="GA2" s="3">
        <f>_xlfn.XLOOKUP(GA$1,generator!$B$2:$B$295,generator!$Q$2:$Q$295,"ARGH")</f>
        <v>9000</v>
      </c>
      <c r="GB2" s="3">
        <f>_xlfn.XLOOKUP(GB$1,generator!$B$2:$B$295,generator!$Q$2:$Q$295,"ARGH")</f>
        <v>9000</v>
      </c>
      <c r="GC2" s="3">
        <f>_xlfn.XLOOKUP(GC$1,generator!$B$2:$B$295,generator!$Q$2:$Q$295,"ARGH")</f>
        <v>9000</v>
      </c>
      <c r="GD2" s="3">
        <f>_xlfn.XLOOKUP(GD$1,generator!$B$2:$B$295,generator!$Q$2:$Q$295,"ARGH")</f>
        <v>9000</v>
      </c>
      <c r="GE2" s="3">
        <f>_xlfn.XLOOKUP(GE$1,generator!$B$2:$B$295,generator!$Q$2:$Q$295,"ARGH")</f>
        <v>9000</v>
      </c>
      <c r="GF2" s="3">
        <f>_xlfn.XLOOKUP(GF$1,generator!$B$2:$B$295,generator!$Q$2:$Q$295,"ARGH")</f>
        <v>9000</v>
      </c>
      <c r="GG2" s="3">
        <f>_xlfn.XLOOKUP(GG$1,generator!$B$2:$B$295,generator!$Q$2:$Q$295,"ARGH")</f>
        <v>9000</v>
      </c>
      <c r="GH2" s="3">
        <f>_xlfn.XLOOKUP(GH$1,generator!$B$2:$B$295,generator!$Q$2:$Q$295,"ARGH")</f>
        <v>9000</v>
      </c>
      <c r="GI2" s="3">
        <f>_xlfn.XLOOKUP(GI$1,generator!$B$2:$B$295,generator!$Q$2:$Q$295,"ARGH")</f>
        <v>9000</v>
      </c>
      <c r="GJ2" s="3">
        <f>_xlfn.XLOOKUP(GJ$1,generator!$B$2:$B$295,generator!$Q$2:$Q$295,"ARGH")</f>
        <v>9000</v>
      </c>
      <c r="GK2" s="3">
        <f>_xlfn.XLOOKUP(GK$1,generator!$B$2:$B$295,generator!$Q$2:$Q$295,"ARGH")</f>
        <v>9000</v>
      </c>
      <c r="GL2" s="3">
        <f>_xlfn.XLOOKUP(GL$1,generator!$B$2:$B$295,generator!$Q$2:$Q$295,"ARGH")</f>
        <v>9000</v>
      </c>
      <c r="GM2" s="3">
        <f>_xlfn.XLOOKUP(GM$1,generator!$B$2:$B$295,generator!$Q$2:$Q$295,"ARGH")</f>
        <v>9000</v>
      </c>
      <c r="GN2" s="3">
        <f>_xlfn.XLOOKUP(GN$1,generator!$B$2:$B$295,generator!$Q$2:$Q$295,"ARGH")</f>
        <v>9000</v>
      </c>
      <c r="GO2" s="3">
        <f>_xlfn.XLOOKUP(GO$1,generator!$B$2:$B$295,generator!$Q$2:$Q$295,"ARGH")</f>
        <v>9000</v>
      </c>
      <c r="GP2" s="3">
        <f>_xlfn.XLOOKUP(GP$1,generator!$B$2:$B$295,generator!$Q$2:$Q$295,"ARGH")</f>
        <v>9000</v>
      </c>
      <c r="GQ2" s="3">
        <f>_xlfn.XLOOKUP(GQ$1,generator!$B$2:$B$295,generator!$Q$2:$Q$295,"ARGH")</f>
        <v>9000</v>
      </c>
      <c r="GR2" s="3">
        <f>_xlfn.XLOOKUP(GR$1,generator!$B$2:$B$295,generator!$Q$2:$Q$295,"ARGH")</f>
        <v>9000</v>
      </c>
      <c r="GS2" s="3">
        <f>_xlfn.XLOOKUP(GS$1,generator!$B$2:$B$295,generator!$Q$2:$Q$295,"ARGH")</f>
        <v>9000</v>
      </c>
      <c r="GT2" s="3">
        <f>_xlfn.XLOOKUP(GT$1,generator!$B$2:$B$295,generator!$Q$2:$Q$295,"ARGH")</f>
        <v>9000</v>
      </c>
      <c r="GU2" s="3">
        <f>_xlfn.XLOOKUP(GU$1,generator!$B$2:$B$295,generator!$Q$2:$Q$295,"ARGH")</f>
        <v>9000</v>
      </c>
      <c r="GV2" s="3">
        <f>_xlfn.XLOOKUP(GV$1,generator!$B$2:$B$295,generator!$Q$2:$Q$295,"ARGH")</f>
        <v>9000</v>
      </c>
      <c r="GW2" s="3">
        <f>_xlfn.XLOOKUP(GW$1,generator!$B$2:$B$295,generator!$Q$2:$Q$295,"ARGH")</f>
        <v>9000</v>
      </c>
      <c r="GX2" s="3">
        <f>_xlfn.XLOOKUP(GX$1,generator!$B$2:$B$295,generator!$Q$2:$Q$295,"ARGH")</f>
        <v>9000</v>
      </c>
      <c r="GY2" s="3">
        <f>_xlfn.XLOOKUP(GY$1,generator!$B$2:$B$295,generator!$Q$2:$Q$295,"ARGH")</f>
        <v>9000</v>
      </c>
      <c r="GZ2" s="3">
        <f>_xlfn.XLOOKUP(GZ$1,generator!$B$2:$B$295,generator!$Q$2:$Q$295,"ARGH")</f>
        <v>9000</v>
      </c>
      <c r="HA2" s="3">
        <f>_xlfn.XLOOKUP(HA$1,generator!$B$2:$B$295,generator!$Q$2:$Q$295,"ARGH")</f>
        <v>9000</v>
      </c>
      <c r="HB2" s="3">
        <f>_xlfn.XLOOKUP(HB$1,generator!$B$2:$B$295,generator!$Q$2:$Q$295,"ARGH")</f>
        <v>9000</v>
      </c>
      <c r="HC2" s="3">
        <f>_xlfn.XLOOKUP(HC$1,generator!$B$2:$B$295,generator!$Q$2:$Q$295,"ARGH")</f>
        <v>9000</v>
      </c>
      <c r="HD2" s="3">
        <f>_xlfn.XLOOKUP(HD$1,generator!$B$2:$B$295,generator!$Q$2:$Q$295,"ARGH")</f>
        <v>9000</v>
      </c>
      <c r="HE2" s="3">
        <f>_xlfn.XLOOKUP(HE$1,generator!$B$2:$B$295,generator!$Q$2:$Q$295,"ARGH")</f>
        <v>8000</v>
      </c>
      <c r="HF2" s="3" t="str">
        <f>_xlfn.XLOOKUP(HF$1,generator!$B$2:$B$295,generator!$Q$2:$Q$295,"ARGH")</f>
        <v>143</v>
      </c>
      <c r="HG2" s="3" t="str">
        <f>_xlfn.XLOOKUP(HG$1,generator!$B$2:$B$295,generator!$Q$2:$Q$295,"ARGH")</f>
        <v>143</v>
      </c>
      <c r="HH2" s="3" t="str">
        <f>_xlfn.XLOOKUP(HH$1,generator!$B$2:$B$295,generator!$Q$2:$Q$295,"ARGH")</f>
        <v>143</v>
      </c>
      <c r="HI2" s="3" t="str">
        <f>_xlfn.XLOOKUP(HI$1,generator!$B$2:$B$295,generator!$Q$2:$Q$295,"ARGH")</f>
        <v>246.74</v>
      </c>
      <c r="HJ2" s="3" t="str">
        <f>_xlfn.XLOOKUP(HJ$1,generator!$B$2:$B$295,generator!$Q$2:$Q$295,"ARGH")</f>
        <v>246.74</v>
      </c>
      <c r="HK2" s="3" t="str">
        <f>_xlfn.XLOOKUP(HK$1,generator!$B$2:$B$295,generator!$Q$2:$Q$295,"ARGH")</f>
        <v>206.04</v>
      </c>
      <c r="HL2" s="3" t="str">
        <f>_xlfn.XLOOKUP(HL$1,generator!$B$2:$B$295,generator!$Q$2:$Q$295,"ARGH")</f>
        <v>506.96</v>
      </c>
      <c r="HM2" s="3" t="str">
        <f>_xlfn.XLOOKUP(HM$1,generator!$B$2:$B$295,generator!$Q$2:$Q$295,"ARGH")</f>
        <v>506.95</v>
      </c>
      <c r="HN2" s="3" t="str">
        <f>_xlfn.XLOOKUP(HN$1,generator!$B$2:$B$295,generator!$Q$2:$Q$295,"ARGH")</f>
        <v>190.97</v>
      </c>
      <c r="HO2" s="3" t="str">
        <f>_xlfn.XLOOKUP(HO$1,generator!$B$2:$B$295,generator!$Q$2:$Q$295,"ARGH")</f>
        <v>190.97</v>
      </c>
      <c r="HP2" s="3" t="str">
        <f>_xlfn.XLOOKUP(HP$1,generator!$B$2:$B$295,generator!$Q$2:$Q$295,"ARGH")</f>
        <v>424.84</v>
      </c>
      <c r="HQ2" s="3" t="str">
        <f>_xlfn.XLOOKUP(HQ$1,generator!$B$2:$B$295,generator!$Q$2:$Q$295,"ARGH")</f>
        <v>425.9</v>
      </c>
      <c r="HR2" s="3" t="str">
        <f>_xlfn.XLOOKUP(HR$1,generator!$B$2:$B$295,generator!$Q$2:$Q$295,"ARGH")</f>
        <v>425.9</v>
      </c>
      <c r="HS2" s="3" t="str">
        <f>_xlfn.XLOOKUP(HS$1,generator!$B$2:$B$295,generator!$Q$2:$Q$295,"ARGH")</f>
        <v>196.54</v>
      </c>
      <c r="HT2" s="3" t="str">
        <f>_xlfn.XLOOKUP(HT$1,generator!$B$2:$B$295,generator!$Q$2:$Q$295,"ARGH")</f>
        <v>196.54</v>
      </c>
      <c r="HU2" s="3" t="str">
        <f>_xlfn.XLOOKUP(HU$1,generator!$B$2:$B$295,generator!$Q$2:$Q$295,"ARGH")</f>
        <v>145.57</v>
      </c>
      <c r="HV2" s="3" t="str">
        <f>_xlfn.XLOOKUP(HV$1,generator!$B$2:$B$295,generator!$Q$2:$Q$295,"ARGH")</f>
        <v>132.62</v>
      </c>
      <c r="HW2" s="3" t="str">
        <f>_xlfn.XLOOKUP(HW$1,generator!$B$2:$B$295,generator!$Q$2:$Q$295,"ARGH")</f>
        <v>193.76</v>
      </c>
      <c r="HX2" s="3" t="str">
        <f>_xlfn.XLOOKUP(HX$1,generator!$B$2:$B$295,generator!$Q$2:$Q$295,"ARGH")</f>
        <v>193.76</v>
      </c>
      <c r="HY2" s="3" t="str">
        <f>_xlfn.XLOOKUP(HY$1,generator!$B$2:$B$295,generator!$Q$2:$Q$295,"ARGH")</f>
        <v>79.19</v>
      </c>
      <c r="HZ2" s="3" t="str">
        <f>_xlfn.XLOOKUP(HZ$1,generator!$B$2:$B$295,generator!$Q$2:$Q$295,"ARGH")</f>
        <v>125.79</v>
      </c>
      <c r="IA2" s="3" t="str">
        <f>_xlfn.XLOOKUP(IA$1,generator!$B$2:$B$295,generator!$Q$2:$Q$295,"ARGH")</f>
        <v>54.19</v>
      </c>
      <c r="IB2" s="3" t="str">
        <f>_xlfn.XLOOKUP(IB$1,generator!$B$2:$B$295,generator!$Q$2:$Q$295,"ARGH")</f>
        <v>59.7</v>
      </c>
      <c r="IC2" s="3">
        <f>_xlfn.XLOOKUP(IC$1,generator!$B$2:$B$295,generator!$Q$2:$Q$295,"ARGH")</f>
        <v>0</v>
      </c>
      <c r="ID2" s="3" t="str">
        <f>_xlfn.XLOOKUP(ID$1,generator!$B$2:$B$295,generator!$Q$2:$Q$295,"ARGH")</f>
        <v>121.14</v>
      </c>
      <c r="IE2" s="3" t="str">
        <f>_xlfn.XLOOKUP(IE$1,generator!$B$2:$B$295,generator!$Q$2:$Q$295,"ARGH")</f>
        <v>26.6</v>
      </c>
      <c r="IF2" s="3">
        <f>_xlfn.XLOOKUP(IF$1,generator!$B$2:$B$295,generator!$Q$2:$Q$295,"ARGH")</f>
        <v>8000</v>
      </c>
      <c r="IG2" s="3">
        <f>_xlfn.XLOOKUP(IG$1,generator!$B$2:$B$295,generator!$Q$2:$Q$295,"ARGH")</f>
        <v>8000</v>
      </c>
      <c r="IH2" s="3">
        <f>_xlfn.XLOOKUP(IH$1,generator!$B$2:$B$295,generator!$Q$2:$Q$295,"ARGH")</f>
        <v>8000</v>
      </c>
      <c r="II2" s="3">
        <f>_xlfn.XLOOKUP(II$1,generator!$B$2:$B$295,generator!$Q$2:$Q$295,"ARGH")</f>
        <v>8000</v>
      </c>
      <c r="IJ2" s="3">
        <f>_xlfn.XLOOKUP(IJ$1,generator!$B$2:$B$295,generator!$Q$2:$Q$295,"ARGH")</f>
        <v>8000</v>
      </c>
      <c r="IK2" s="3">
        <f>_xlfn.XLOOKUP(IK$1,generator!$B$2:$B$295,generator!$Q$2:$Q$295,"ARGH")</f>
        <v>8000</v>
      </c>
      <c r="IL2" s="3">
        <f>_xlfn.XLOOKUP(IL$1,generator!$B$2:$B$295,generator!$Q$2:$Q$295,"ARGH")</f>
        <v>8000</v>
      </c>
      <c r="IM2" s="3">
        <f>_xlfn.XLOOKUP(IM$1,generator!$B$2:$B$295,generator!$Q$2:$Q$295,"ARGH")</f>
        <v>8000</v>
      </c>
      <c r="IN2" s="3">
        <f>_xlfn.XLOOKUP(IN$1,generator!$B$2:$B$295,generator!$Q$2:$Q$295,"ARGH")</f>
        <v>8000</v>
      </c>
      <c r="IO2" s="3">
        <f>_xlfn.XLOOKUP(IO$1,generator!$B$2:$B$295,generator!$Q$2:$Q$295,"ARGH")</f>
        <v>8000</v>
      </c>
      <c r="IP2" s="3">
        <f>_xlfn.XLOOKUP(IP$1,generator!$B$2:$B$295,generator!$Q$2:$Q$295,"ARGH")</f>
        <v>8000</v>
      </c>
      <c r="IQ2" s="3">
        <f>_xlfn.XLOOKUP(IQ$1,generator!$B$2:$B$295,generator!$Q$2:$Q$295,"ARGH")</f>
        <v>8000</v>
      </c>
      <c r="IR2" s="3">
        <f>_xlfn.XLOOKUP(IR$1,generator!$B$2:$B$295,generator!$Q$2:$Q$295,"ARGH")</f>
        <v>8000</v>
      </c>
      <c r="IS2" s="3">
        <f>_xlfn.XLOOKUP(IS$1,generator!$B$2:$B$295,generator!$Q$2:$Q$295,"ARGH")</f>
        <v>8000</v>
      </c>
      <c r="IT2" s="3">
        <f>_xlfn.XLOOKUP(IT$1,generator!$B$2:$B$295,generator!$Q$2:$Q$295,"ARGH")</f>
        <v>8000</v>
      </c>
      <c r="IU2" s="3">
        <f>_xlfn.XLOOKUP(IU$1,generator!$B$2:$B$295,generator!$Q$2:$Q$295,"ARGH")</f>
        <v>8000</v>
      </c>
      <c r="IV2" s="3">
        <f>_xlfn.XLOOKUP(IV$1,generator!$B$2:$B$295,generator!$Q$2:$Q$295,"ARGH")</f>
        <v>8000</v>
      </c>
      <c r="IW2" s="3" t="str">
        <f>_xlfn.XLOOKUP(IW$1,generator!$B$2:$B$295,generator!$Q$2:$Q$295,"ARGH")</f>
        <v>108.19</v>
      </c>
      <c r="IX2" s="3" t="str">
        <f>_xlfn.XLOOKUP(IX$1,generator!$B$2:$B$295,generator!$Q$2:$Q$295,"ARGH")</f>
        <v>108.18</v>
      </c>
      <c r="IY2" s="3" t="str">
        <f>_xlfn.XLOOKUP(IY$1,generator!$B$2:$B$295,generator!$Q$2:$Q$295,"ARGH")</f>
        <v>108.17</v>
      </c>
      <c r="IZ2" s="3" t="str">
        <f>_xlfn.XLOOKUP(IZ$1,generator!$B$2:$B$295,generator!$Q$2:$Q$295,"ARGH")</f>
        <v>40.96</v>
      </c>
      <c r="JA2" s="3">
        <f>_xlfn.XLOOKUP(JA$1,generator!$B$2:$B$295,generator!$Q$2:$Q$295,"ARGH")</f>
        <v>0</v>
      </c>
      <c r="JB2" s="3">
        <f>_xlfn.XLOOKUP(JB$1,generator!$B$2:$B$295,generator!$Q$2:$Q$295,"ARGH")</f>
        <v>0</v>
      </c>
      <c r="JC2" s="3" t="str">
        <f>_xlfn.XLOOKUP(JC$1,generator!$B$2:$B$295,generator!$Q$2:$Q$295,"ARGH")</f>
        <v>75.91</v>
      </c>
      <c r="JD2" s="3" t="str">
        <f>_xlfn.XLOOKUP(JD$1,generator!$B$2:$B$295,generator!$Q$2:$Q$295,"ARGH")</f>
        <v>75.91</v>
      </c>
      <c r="JE2" s="3" t="str">
        <f>_xlfn.XLOOKUP(JE$1,generator!$B$2:$B$295,generator!$Q$2:$Q$295,"ARGH")</f>
        <v>51.59</v>
      </c>
      <c r="JF2" s="3" t="str">
        <f>_xlfn.XLOOKUP(JF$1,generator!$B$2:$B$295,generator!$Q$2:$Q$295,"ARGH")</f>
        <v>111.57</v>
      </c>
      <c r="JG2" s="3">
        <f>_xlfn.XLOOKUP(JG$1,generator!$B$2:$B$295,generator!$Q$2:$Q$295,"ARGH")</f>
        <v>0</v>
      </c>
      <c r="JH2" s="3" t="str">
        <f>_xlfn.XLOOKUP(JH$1,generator!$B$2:$B$295,generator!$Q$2:$Q$295,"ARGH")</f>
        <v>48.65</v>
      </c>
      <c r="JI2" s="3" t="str">
        <f>_xlfn.XLOOKUP(JI$1,generator!$B$2:$B$295,generator!$Q$2:$Q$295,"ARGH")</f>
        <v>71.88</v>
      </c>
      <c r="JJ2" s="3" t="str">
        <f>_xlfn.XLOOKUP(JJ$1,generator!$B$2:$B$295,generator!$Q$2:$Q$295,"ARGH")</f>
        <v>98.17</v>
      </c>
      <c r="JK2" s="3" t="str">
        <f>_xlfn.XLOOKUP(JK$1,generator!$B$2:$B$295,generator!$Q$2:$Q$295,"ARGH")</f>
        <v>98.17</v>
      </c>
      <c r="JL2" s="3" t="str">
        <f>_xlfn.XLOOKUP(JL$1,generator!$B$2:$B$295,generator!$Q$2:$Q$295,"ARGH")</f>
        <v>98.17</v>
      </c>
      <c r="JM2" s="3" t="str">
        <f>_xlfn.XLOOKUP(JM$1,generator!$B$2:$B$295,generator!$Q$2:$Q$295,"ARGH")</f>
        <v>98.17</v>
      </c>
      <c r="JN2" s="3" t="str">
        <f>_xlfn.XLOOKUP(JN$1,generator!$B$2:$B$295,generator!$Q$2:$Q$295,"ARGH")</f>
        <v>98.17</v>
      </c>
      <c r="JO2" s="3" t="str">
        <f>_xlfn.XLOOKUP(JO$1,generator!$B$2:$B$295,generator!$Q$2:$Q$295,"ARGH")</f>
        <v>98.17</v>
      </c>
      <c r="JP2" s="3" t="str">
        <f>_xlfn.XLOOKUP(JP$1,generator!$B$2:$B$295,generator!$Q$2:$Q$295,"ARGH")</f>
        <v>47.53</v>
      </c>
      <c r="JQ2" s="3" t="str">
        <f>_xlfn.XLOOKUP(JQ$1,generator!$B$2:$B$295,generator!$Q$2:$Q$295,"ARGH")</f>
        <v>108.86</v>
      </c>
      <c r="JR2" s="3" t="str">
        <f>_xlfn.XLOOKUP(JR$1,generator!$B$2:$B$295,generator!$Q$2:$Q$295,"ARGH")</f>
        <v>83.15</v>
      </c>
      <c r="JS2" s="3" t="str">
        <f>_xlfn.XLOOKUP(JS$1,generator!$B$2:$B$295,generator!$Q$2:$Q$295,"ARGH")</f>
        <v>83.15</v>
      </c>
      <c r="JT2" s="3" t="str">
        <f>_xlfn.XLOOKUP(JT$1,generator!$B$2:$B$295,generator!$Q$2:$Q$295,"ARGH")</f>
        <v>108.86</v>
      </c>
      <c r="JU2" s="3">
        <f>_xlfn.XLOOKUP(JU$1,generator!$B$2:$B$295,generator!$Q$2:$Q$295,"ARGH")</f>
        <v>0</v>
      </c>
      <c r="JV2" s="3" t="str">
        <f>_xlfn.XLOOKUP(JV$1,generator!$B$2:$B$295,generator!$Q$2:$Q$295,"ARGH")</f>
        <v>77.63</v>
      </c>
      <c r="JW2" s="3" t="str">
        <f>_xlfn.XLOOKUP(JW$1,generator!$B$2:$B$295,generator!$Q$2:$Q$295,"ARGH")</f>
        <v>77.64</v>
      </c>
      <c r="JX2" s="3" t="str">
        <f>_xlfn.XLOOKUP(JX$1,generator!$B$2:$B$295,generator!$Q$2:$Q$295,"ARGH")</f>
        <v>331.49</v>
      </c>
      <c r="JY2" s="3">
        <f>_xlfn.XLOOKUP(JY$1,generator!$B$2:$B$295,generator!$Q$2:$Q$295,"ARGH")</f>
        <v>7000</v>
      </c>
      <c r="JZ2" s="3">
        <f>_xlfn.XLOOKUP(JZ$1,generator!$B$2:$B$295,generator!$Q$2:$Q$295,"ARGH")</f>
        <v>0</v>
      </c>
      <c r="KA2" s="3">
        <f>_xlfn.XLOOKUP(KA$1,generator!$B$2:$B$295,generator!$Q$2:$Q$295,"ARGH")</f>
        <v>0</v>
      </c>
      <c r="KB2" s="3">
        <f>_xlfn.XLOOKUP(KB$1,generator!$B$2:$B$295,generator!$Q$2:$Q$295,"ARGH")</f>
        <v>0</v>
      </c>
      <c r="KC2" s="3">
        <f>_xlfn.XLOOKUP(KC$1,generator!$B$2:$B$295,generator!$Q$2:$Q$295,"ARGH")</f>
        <v>0</v>
      </c>
    </row>
    <row r="3" spans="1:289" x14ac:dyDescent="0.3">
      <c r="A3" s="4" t="s">
        <v>2998</v>
      </c>
      <c r="B3" s="3">
        <v>15000</v>
      </c>
      <c r="C3" s="3">
        <v>15000</v>
      </c>
      <c r="D3" s="3">
        <v>15000</v>
      </c>
      <c r="E3" s="3">
        <f>_xlfn.XLOOKUP(E$1,generator!$B$2:$B$295,generator!$Q$2:$Q$295,"ARGH")</f>
        <v>9000</v>
      </c>
      <c r="F3" s="3">
        <f>_xlfn.XLOOKUP(F$1,generator!$B$2:$B$295,generator!$Q$2:$Q$295,"ARGH")</f>
        <v>9000</v>
      </c>
      <c r="G3" s="3">
        <f>_xlfn.XLOOKUP(G$1,generator!$B$2:$B$295,generator!$Q$2:$Q$295,"ARGH")</f>
        <v>9000</v>
      </c>
      <c r="H3" s="3">
        <f>_xlfn.XLOOKUP(H$1,generator!$B$2:$B$295,generator!$Q$2:$Q$295,"ARGH")</f>
        <v>9000</v>
      </c>
      <c r="I3" s="3">
        <f>_xlfn.XLOOKUP(I$1,generator!$B$2:$B$295,generator!$Q$2:$Q$295,"ARGH")</f>
        <v>9000</v>
      </c>
      <c r="J3" s="3">
        <f>_xlfn.XLOOKUP(J$1,generator!$B$2:$B$295,generator!$Q$2:$Q$295,"ARGH")</f>
        <v>9000</v>
      </c>
      <c r="K3" s="3">
        <f>_xlfn.XLOOKUP(K$1,generator!$B$2:$B$295,generator!$Q$2:$Q$295,"ARGH")</f>
        <v>9000</v>
      </c>
      <c r="L3" s="3">
        <f>_xlfn.XLOOKUP(L$1,generator!$B$2:$B$295,generator!$Q$2:$Q$295,"ARGH")</f>
        <v>9000</v>
      </c>
      <c r="M3" s="3">
        <f>_xlfn.XLOOKUP(M$1,generator!$B$2:$B$295,generator!$Q$2:$Q$295,"ARGH")</f>
        <v>9000</v>
      </c>
      <c r="N3" s="3">
        <f>_xlfn.XLOOKUP(N$1,generator!$B$2:$B$295,generator!$Q$2:$Q$295,"ARGH")</f>
        <v>9000</v>
      </c>
      <c r="O3" s="3">
        <f>_xlfn.XLOOKUP(O$1,generator!$B$2:$B$295,generator!$Q$2:$Q$295,"ARGH")</f>
        <v>9000</v>
      </c>
      <c r="P3" s="3">
        <f>_xlfn.XLOOKUP(P$1,generator!$B$2:$B$295,generator!$Q$2:$Q$295,"ARGH")</f>
        <v>9000</v>
      </c>
      <c r="Q3" s="3">
        <f>_xlfn.XLOOKUP(Q$1,generator!$B$2:$B$295,generator!$Q$2:$Q$295,"ARGH")</f>
        <v>9000</v>
      </c>
      <c r="R3" s="3">
        <f>_xlfn.XLOOKUP(R$1,generator!$B$2:$B$295,generator!$Q$2:$Q$295,"ARGH")</f>
        <v>9000</v>
      </c>
      <c r="S3" s="3">
        <f>_xlfn.XLOOKUP(S$1,generator!$B$2:$B$295,generator!$Q$2:$Q$295,"ARGH")</f>
        <v>9000</v>
      </c>
      <c r="T3" s="3">
        <f>_xlfn.XLOOKUP(T$1,generator!$B$2:$B$295,generator!$Q$2:$Q$295,"ARGH")</f>
        <v>9000</v>
      </c>
      <c r="U3" s="3">
        <f>_xlfn.XLOOKUP(U$1,generator!$B$2:$B$295,generator!$Q$2:$Q$295,"ARGH")</f>
        <v>9000</v>
      </c>
      <c r="V3" s="3">
        <f>_xlfn.XLOOKUP(V$1,generator!$B$2:$B$295,generator!$Q$2:$Q$295,"ARGH")</f>
        <v>9000</v>
      </c>
      <c r="W3" s="3">
        <f>_xlfn.XLOOKUP(W$1,generator!$B$2:$B$295,generator!$Q$2:$Q$295,"ARGH")</f>
        <v>9000</v>
      </c>
      <c r="X3" s="3">
        <f>_xlfn.XLOOKUP(X$1,generator!$B$2:$B$295,generator!$Q$2:$Q$295,"ARGH")</f>
        <v>9000</v>
      </c>
      <c r="Y3" s="3">
        <f>_xlfn.XLOOKUP(Y$1,generator!$B$2:$B$295,generator!$Q$2:$Q$295,"ARGH")</f>
        <v>9000</v>
      </c>
      <c r="Z3" s="3">
        <f>_xlfn.XLOOKUP(Z$1,generator!$B$2:$B$295,generator!$Q$2:$Q$295,"ARGH")</f>
        <v>9000</v>
      </c>
      <c r="AA3" s="3">
        <f>_xlfn.XLOOKUP(AA$1,generator!$B$2:$B$295,generator!$Q$2:$Q$295,"ARGH")</f>
        <v>9000</v>
      </c>
      <c r="AB3" s="3">
        <f>_xlfn.XLOOKUP(AB$1,generator!$B$2:$B$295,generator!$Q$2:$Q$295,"ARGH")</f>
        <v>9000</v>
      </c>
      <c r="AC3" s="3">
        <f>_xlfn.XLOOKUP(AC$1,generator!$B$2:$B$295,generator!$Q$2:$Q$295,"ARGH")</f>
        <v>9000</v>
      </c>
      <c r="AD3" s="3">
        <f>_xlfn.XLOOKUP(AD$1,generator!$B$2:$B$295,generator!$Q$2:$Q$295,"ARGH")</f>
        <v>9000</v>
      </c>
      <c r="AE3" s="3">
        <f>_xlfn.XLOOKUP(AE$1,generator!$B$2:$B$295,generator!$Q$2:$Q$295,"ARGH")</f>
        <v>9000</v>
      </c>
      <c r="AF3" s="3">
        <f>_xlfn.XLOOKUP(AF$1,generator!$B$2:$B$295,generator!$Q$2:$Q$295,"ARGH")</f>
        <v>9000</v>
      </c>
      <c r="AG3" s="3">
        <f>_xlfn.XLOOKUP(AG$1,generator!$B$2:$B$295,generator!$Q$2:$Q$295,"ARGH")</f>
        <v>9000</v>
      </c>
      <c r="AH3" s="3">
        <f>_xlfn.XLOOKUP(AH$1,generator!$B$2:$B$295,generator!$Q$2:$Q$295,"ARGH")</f>
        <v>9000</v>
      </c>
      <c r="AI3" s="3">
        <f>_xlfn.XLOOKUP(AI$1,generator!$B$2:$B$295,generator!$Q$2:$Q$295,"ARGH")</f>
        <v>9000</v>
      </c>
      <c r="AJ3" s="3">
        <f>_xlfn.XLOOKUP(AJ$1,generator!$B$2:$B$295,generator!$Q$2:$Q$295,"ARGH")</f>
        <v>9000</v>
      </c>
      <c r="AK3" s="3">
        <f>_xlfn.XLOOKUP(AK$1,generator!$B$2:$B$295,generator!$Q$2:$Q$295,"ARGH")</f>
        <v>9000</v>
      </c>
      <c r="AL3" s="3">
        <f>_xlfn.XLOOKUP(AL$1,generator!$B$2:$B$295,generator!$Q$2:$Q$295,"ARGH")</f>
        <v>9000</v>
      </c>
      <c r="AM3" s="3">
        <f>_xlfn.XLOOKUP(AM$1,generator!$B$2:$B$295,generator!$Q$2:$Q$295,"ARGH")</f>
        <v>9000</v>
      </c>
      <c r="AN3" s="3">
        <f>_xlfn.XLOOKUP(AN$1,generator!$B$2:$B$295,generator!$Q$2:$Q$295,"ARGH")</f>
        <v>9000</v>
      </c>
      <c r="AO3" s="3">
        <f>_xlfn.XLOOKUP(AO$1,generator!$B$2:$B$295,generator!$Q$2:$Q$295,"ARGH")</f>
        <v>9000</v>
      </c>
      <c r="AP3" s="3">
        <f>_xlfn.XLOOKUP(AP$1,generator!$B$2:$B$295,generator!$Q$2:$Q$295,"ARGH")</f>
        <v>9000</v>
      </c>
      <c r="AQ3" s="3">
        <f>_xlfn.XLOOKUP(AQ$1,generator!$B$2:$B$295,generator!$Q$2:$Q$295,"ARGH")</f>
        <v>9000</v>
      </c>
      <c r="AR3" s="3">
        <f>_xlfn.XLOOKUP(AR$1,generator!$B$2:$B$295,generator!$Q$2:$Q$295,"ARGH")</f>
        <v>9000</v>
      </c>
      <c r="AS3" s="3">
        <f>_xlfn.XLOOKUP(AS$1,generator!$B$2:$B$295,generator!$Q$2:$Q$295,"ARGH")</f>
        <v>9000</v>
      </c>
      <c r="AT3" s="3">
        <f>_xlfn.XLOOKUP(AT$1,generator!$B$2:$B$295,generator!$Q$2:$Q$295,"ARGH")</f>
        <v>9000</v>
      </c>
      <c r="AU3" s="3">
        <f>_xlfn.XLOOKUP(AU$1,generator!$B$2:$B$295,generator!$Q$2:$Q$295,"ARGH")</f>
        <v>9000</v>
      </c>
      <c r="AV3" s="3">
        <f>_xlfn.XLOOKUP(AV$1,generator!$B$2:$B$295,generator!$Q$2:$Q$295,"ARGH")</f>
        <v>9000</v>
      </c>
      <c r="AW3" s="3">
        <f>_xlfn.XLOOKUP(AW$1,generator!$B$2:$B$295,generator!$Q$2:$Q$295,"ARGH")</f>
        <v>9000</v>
      </c>
      <c r="AX3" s="3">
        <f>_xlfn.XLOOKUP(AX$1,generator!$B$2:$B$295,generator!$Q$2:$Q$295,"ARGH")</f>
        <v>9000</v>
      </c>
      <c r="AY3" s="3">
        <f>_xlfn.XLOOKUP(AY$1,generator!$B$2:$B$295,generator!$Q$2:$Q$295,"ARGH")</f>
        <v>9000</v>
      </c>
      <c r="AZ3" s="3">
        <f>_xlfn.XLOOKUP(AZ$1,generator!$B$2:$B$295,generator!$Q$2:$Q$295,"ARGH")</f>
        <v>9000</v>
      </c>
      <c r="BA3" s="3">
        <f>_xlfn.XLOOKUP(BA$1,generator!$B$2:$B$295,generator!$Q$2:$Q$295,"ARGH")</f>
        <v>9000</v>
      </c>
      <c r="BB3" s="3">
        <f>_xlfn.XLOOKUP(BB$1,generator!$B$2:$B$295,generator!$Q$2:$Q$295,"ARGH")</f>
        <v>9000</v>
      </c>
      <c r="BC3" s="3">
        <f>_xlfn.XLOOKUP(BC$1,generator!$B$2:$B$295,generator!$Q$2:$Q$295,"ARGH")</f>
        <v>9000</v>
      </c>
      <c r="BD3" s="3">
        <f>_xlfn.XLOOKUP(BD$1,generator!$B$2:$B$295,generator!$Q$2:$Q$295,"ARGH")</f>
        <v>9000</v>
      </c>
      <c r="BE3" s="3">
        <f>_xlfn.XLOOKUP(BE$1,generator!$B$2:$B$295,generator!$Q$2:$Q$295,"ARGH")</f>
        <v>9000</v>
      </c>
      <c r="BF3" s="3">
        <f>_xlfn.XLOOKUP(BF$1,generator!$B$2:$B$295,generator!$Q$2:$Q$295,"ARGH")</f>
        <v>9000</v>
      </c>
      <c r="BG3" s="3">
        <f>_xlfn.XLOOKUP(BG$1,generator!$B$2:$B$295,generator!$Q$2:$Q$295,"ARGH")</f>
        <v>9000</v>
      </c>
      <c r="BH3" s="3">
        <f>_xlfn.XLOOKUP(BH$1,generator!$B$2:$B$295,generator!$Q$2:$Q$295,"ARGH")</f>
        <v>9000</v>
      </c>
      <c r="BI3" s="3">
        <f>_xlfn.XLOOKUP(BI$1,generator!$B$2:$B$295,generator!$Q$2:$Q$295,"ARGH")</f>
        <v>9000</v>
      </c>
      <c r="BJ3" s="3">
        <f>_xlfn.XLOOKUP(BJ$1,generator!$B$2:$B$295,generator!$Q$2:$Q$295,"ARGH")</f>
        <v>9000</v>
      </c>
      <c r="BK3" s="3">
        <f>_xlfn.XLOOKUP(BK$1,generator!$B$2:$B$295,generator!$Q$2:$Q$295,"ARGH")</f>
        <v>9000</v>
      </c>
      <c r="BL3" s="3">
        <f>_xlfn.XLOOKUP(BL$1,generator!$B$2:$B$295,generator!$Q$2:$Q$295,"ARGH")</f>
        <v>9000</v>
      </c>
      <c r="BM3" s="3">
        <f>_xlfn.XLOOKUP(BM$1,generator!$B$2:$B$295,generator!$Q$2:$Q$295,"ARGH")</f>
        <v>9000</v>
      </c>
      <c r="BN3" s="3">
        <f>_xlfn.XLOOKUP(BN$1,generator!$B$2:$B$295,generator!$Q$2:$Q$295,"ARGH")</f>
        <v>9000</v>
      </c>
      <c r="BO3" s="3">
        <f>_xlfn.XLOOKUP(BO$1,generator!$B$2:$B$295,generator!$Q$2:$Q$295,"ARGH")</f>
        <v>9000</v>
      </c>
      <c r="BP3" s="3">
        <f>_xlfn.XLOOKUP(BP$1,generator!$B$2:$B$295,generator!$Q$2:$Q$295,"ARGH")</f>
        <v>9000</v>
      </c>
      <c r="BQ3" s="3">
        <f>_xlfn.XLOOKUP(BQ$1,generator!$B$2:$B$295,generator!$Q$2:$Q$295,"ARGH")</f>
        <v>9000</v>
      </c>
      <c r="BR3" s="3">
        <f>_xlfn.XLOOKUP(BR$1,generator!$B$2:$B$295,generator!$Q$2:$Q$295,"ARGH")</f>
        <v>9000</v>
      </c>
      <c r="BS3" s="3">
        <f>_xlfn.XLOOKUP(BS$1,generator!$B$2:$B$295,generator!$Q$2:$Q$295,"ARGH")</f>
        <v>9000</v>
      </c>
      <c r="BT3" s="3">
        <f>_xlfn.XLOOKUP(BT$1,generator!$B$2:$B$295,generator!$Q$2:$Q$295,"ARGH")</f>
        <v>9000</v>
      </c>
      <c r="BU3" s="3">
        <f>_xlfn.XLOOKUP(BU$1,generator!$B$2:$B$295,generator!$Q$2:$Q$295,"ARGH")</f>
        <v>9000</v>
      </c>
      <c r="BV3" s="3">
        <f>_xlfn.XLOOKUP(BV$1,generator!$B$2:$B$295,generator!$Q$2:$Q$295,"ARGH")</f>
        <v>9000</v>
      </c>
      <c r="BW3" s="3">
        <f>_xlfn.XLOOKUP(BW$1,generator!$B$2:$B$295,generator!$Q$2:$Q$295,"ARGH")</f>
        <v>9000</v>
      </c>
      <c r="BX3" s="3">
        <f>_xlfn.XLOOKUP(BX$1,generator!$B$2:$B$295,generator!$Q$2:$Q$295,"ARGH")</f>
        <v>9000</v>
      </c>
      <c r="BY3" s="3">
        <f>_xlfn.XLOOKUP(BY$1,generator!$B$2:$B$295,generator!$Q$2:$Q$295,"ARGH")</f>
        <v>9000</v>
      </c>
      <c r="BZ3" s="3">
        <f>_xlfn.XLOOKUP(BZ$1,generator!$B$2:$B$295,generator!$Q$2:$Q$295,"ARGH")</f>
        <v>9000</v>
      </c>
      <c r="CA3" s="3">
        <f>_xlfn.XLOOKUP(CA$1,generator!$B$2:$B$295,generator!$Q$2:$Q$295,"ARGH")</f>
        <v>9000</v>
      </c>
      <c r="CB3" s="3">
        <f>_xlfn.XLOOKUP(CB$1,generator!$B$2:$B$295,generator!$Q$2:$Q$295,"ARGH")</f>
        <v>9000</v>
      </c>
      <c r="CC3" s="3">
        <f>_xlfn.XLOOKUP(CC$1,generator!$B$2:$B$295,generator!$Q$2:$Q$295,"ARGH")</f>
        <v>9000</v>
      </c>
      <c r="CD3" s="3">
        <f>_xlfn.XLOOKUP(CD$1,generator!$B$2:$B$295,generator!$Q$2:$Q$295,"ARGH")</f>
        <v>9000</v>
      </c>
      <c r="CE3" s="3">
        <f>_xlfn.XLOOKUP(CE$1,generator!$B$2:$B$295,generator!$Q$2:$Q$295,"ARGH")</f>
        <v>9000</v>
      </c>
      <c r="CF3" s="3">
        <f>_xlfn.XLOOKUP(CF$1,generator!$B$2:$B$295,generator!$Q$2:$Q$295,"ARGH")</f>
        <v>9000</v>
      </c>
      <c r="CG3" s="3">
        <f>_xlfn.XLOOKUP(CG$1,generator!$B$2:$B$295,generator!$Q$2:$Q$295,"ARGH")</f>
        <v>9000</v>
      </c>
      <c r="CH3" s="3">
        <f>_xlfn.XLOOKUP(CH$1,generator!$B$2:$B$295,generator!$Q$2:$Q$295,"ARGH")</f>
        <v>9000</v>
      </c>
      <c r="CI3" s="3">
        <f>_xlfn.XLOOKUP(CI$1,generator!$B$2:$B$295,generator!$Q$2:$Q$295,"ARGH")</f>
        <v>9000</v>
      </c>
      <c r="CJ3" s="3">
        <f>_xlfn.XLOOKUP(CJ$1,generator!$B$2:$B$295,generator!$Q$2:$Q$295,"ARGH")</f>
        <v>9000</v>
      </c>
      <c r="CK3" s="3">
        <f>_xlfn.XLOOKUP(CK$1,generator!$B$2:$B$295,generator!$Q$2:$Q$295,"ARGH")</f>
        <v>9000</v>
      </c>
      <c r="CL3" s="3">
        <f>_xlfn.XLOOKUP(CL$1,generator!$B$2:$B$295,generator!$Q$2:$Q$295,"ARGH")</f>
        <v>9000</v>
      </c>
      <c r="CM3" s="3">
        <f>_xlfn.XLOOKUP(CM$1,generator!$B$2:$B$295,generator!$Q$2:$Q$295,"ARGH")</f>
        <v>9000</v>
      </c>
      <c r="CN3" s="3">
        <f>_xlfn.XLOOKUP(CN$1,generator!$B$2:$B$295,generator!$Q$2:$Q$295,"ARGH")</f>
        <v>9000</v>
      </c>
      <c r="CO3" s="3">
        <f>_xlfn.XLOOKUP(CO$1,generator!$B$2:$B$295,generator!$Q$2:$Q$295,"ARGH")</f>
        <v>9000</v>
      </c>
      <c r="CP3" s="3">
        <f>_xlfn.XLOOKUP(CP$1,generator!$B$2:$B$295,generator!$Q$2:$Q$295,"ARGH")</f>
        <v>9000</v>
      </c>
      <c r="CQ3" s="3">
        <f>_xlfn.XLOOKUP(CQ$1,generator!$B$2:$B$295,generator!$Q$2:$Q$295,"ARGH")</f>
        <v>9000</v>
      </c>
      <c r="CR3" s="3">
        <f>_xlfn.XLOOKUP(CR$1,generator!$B$2:$B$295,generator!$Q$2:$Q$295,"ARGH")</f>
        <v>9000</v>
      </c>
      <c r="CS3" s="3">
        <f>_xlfn.XLOOKUP(CS$1,generator!$B$2:$B$295,generator!$Q$2:$Q$295,"ARGH")</f>
        <v>9000</v>
      </c>
      <c r="CT3" s="3">
        <f>_xlfn.XLOOKUP(CT$1,generator!$B$2:$B$295,generator!$Q$2:$Q$295,"ARGH")</f>
        <v>9000</v>
      </c>
      <c r="CU3" s="3">
        <f>_xlfn.XLOOKUP(CU$1,generator!$B$2:$B$295,generator!$Q$2:$Q$295,"ARGH")</f>
        <v>9000</v>
      </c>
      <c r="CV3" s="3">
        <f>_xlfn.XLOOKUP(CV$1,generator!$B$2:$B$295,generator!$Q$2:$Q$295,"ARGH")</f>
        <v>9000</v>
      </c>
      <c r="CW3" s="3">
        <f>_xlfn.XLOOKUP(CW$1,generator!$B$2:$B$295,generator!$Q$2:$Q$295,"ARGH")</f>
        <v>9000</v>
      </c>
      <c r="CX3" s="3">
        <f>_xlfn.XLOOKUP(CX$1,generator!$B$2:$B$295,generator!$Q$2:$Q$295,"ARGH")</f>
        <v>9000</v>
      </c>
      <c r="CY3" s="3">
        <f>_xlfn.XLOOKUP(CY$1,generator!$B$2:$B$295,generator!$Q$2:$Q$295,"ARGH")</f>
        <v>9000</v>
      </c>
      <c r="CZ3" s="3">
        <f>_xlfn.XLOOKUP(CZ$1,generator!$B$2:$B$295,generator!$Q$2:$Q$295,"ARGH")</f>
        <v>9000</v>
      </c>
      <c r="DA3" s="3">
        <f>_xlfn.XLOOKUP(DA$1,generator!$B$2:$B$295,generator!$Q$2:$Q$295,"ARGH")</f>
        <v>9000</v>
      </c>
      <c r="DB3" s="3">
        <f>_xlfn.XLOOKUP(DB$1,generator!$B$2:$B$295,generator!$Q$2:$Q$295,"ARGH")</f>
        <v>9000</v>
      </c>
      <c r="DC3" s="3">
        <f>_xlfn.XLOOKUP(DC$1,generator!$B$2:$B$295,generator!$Q$2:$Q$295,"ARGH")</f>
        <v>9000</v>
      </c>
      <c r="DD3" s="3">
        <f>_xlfn.XLOOKUP(DD$1,generator!$B$2:$B$295,generator!$Q$2:$Q$295,"ARGH")</f>
        <v>9000</v>
      </c>
      <c r="DE3" s="3">
        <f>_xlfn.XLOOKUP(DE$1,generator!$B$2:$B$295,generator!$Q$2:$Q$295,"ARGH")</f>
        <v>9000</v>
      </c>
      <c r="DF3" s="3">
        <f>_xlfn.XLOOKUP(DF$1,generator!$B$2:$B$295,generator!$Q$2:$Q$295,"ARGH")</f>
        <v>9000</v>
      </c>
      <c r="DG3" s="3">
        <f>_xlfn.XLOOKUP(DG$1,generator!$B$2:$B$295,generator!$Q$2:$Q$295,"ARGH")</f>
        <v>9000</v>
      </c>
      <c r="DH3" s="3">
        <f>_xlfn.XLOOKUP(DH$1,generator!$B$2:$B$295,generator!$Q$2:$Q$295,"ARGH")</f>
        <v>9000</v>
      </c>
      <c r="DI3" s="3">
        <f>_xlfn.XLOOKUP(DI$1,generator!$B$2:$B$295,generator!$Q$2:$Q$295,"ARGH")</f>
        <v>9000</v>
      </c>
      <c r="DJ3" s="3">
        <f>_xlfn.XLOOKUP(DJ$1,generator!$B$2:$B$295,generator!$Q$2:$Q$295,"ARGH")</f>
        <v>9000</v>
      </c>
      <c r="DK3" s="3">
        <f>_xlfn.XLOOKUP(DK$1,generator!$B$2:$B$295,generator!$Q$2:$Q$295,"ARGH")</f>
        <v>9000</v>
      </c>
      <c r="DL3" s="3">
        <f>_xlfn.XLOOKUP(DL$1,generator!$B$2:$B$295,generator!$Q$2:$Q$295,"ARGH")</f>
        <v>9000</v>
      </c>
      <c r="DM3" s="3">
        <f>_xlfn.XLOOKUP(DM$1,generator!$B$2:$B$295,generator!$Q$2:$Q$295,"ARGH")</f>
        <v>9000</v>
      </c>
      <c r="DN3" s="3">
        <f>_xlfn.XLOOKUP(DN$1,generator!$B$2:$B$295,generator!$Q$2:$Q$295,"ARGH")</f>
        <v>9000</v>
      </c>
      <c r="DO3" s="3">
        <f>_xlfn.XLOOKUP(DO$1,generator!$B$2:$B$295,generator!$Q$2:$Q$295,"ARGH")</f>
        <v>9000</v>
      </c>
      <c r="DP3" s="3">
        <f>_xlfn.XLOOKUP(DP$1,generator!$B$2:$B$295,generator!$Q$2:$Q$295,"ARGH")</f>
        <v>9000</v>
      </c>
      <c r="DQ3" s="3">
        <f>_xlfn.XLOOKUP(DQ$1,generator!$B$2:$B$295,generator!$Q$2:$Q$295,"ARGH")</f>
        <v>9000</v>
      </c>
      <c r="DR3" s="3">
        <f>_xlfn.XLOOKUP(DR$1,generator!$B$2:$B$295,generator!$Q$2:$Q$295,"ARGH")</f>
        <v>9000</v>
      </c>
      <c r="DS3" s="3">
        <f>_xlfn.XLOOKUP(DS$1,generator!$B$2:$B$295,generator!$Q$2:$Q$295,"ARGH")</f>
        <v>9000</v>
      </c>
      <c r="DT3" s="3">
        <f>_xlfn.XLOOKUP(DT$1,generator!$B$2:$B$295,generator!$Q$2:$Q$295,"ARGH")</f>
        <v>9000</v>
      </c>
      <c r="DU3" s="3">
        <f>_xlfn.XLOOKUP(DU$1,generator!$B$2:$B$295,generator!$Q$2:$Q$295,"ARGH")</f>
        <v>9000</v>
      </c>
      <c r="DV3" s="3">
        <f>_xlfn.XLOOKUP(DV$1,generator!$B$2:$B$295,generator!$Q$2:$Q$295,"ARGH")</f>
        <v>9000</v>
      </c>
      <c r="DW3" s="3">
        <f>_xlfn.XLOOKUP(DW$1,generator!$B$2:$B$295,generator!$Q$2:$Q$295,"ARGH")</f>
        <v>9000</v>
      </c>
      <c r="DX3" s="3">
        <f>_xlfn.XLOOKUP(DX$1,generator!$B$2:$B$295,generator!$Q$2:$Q$295,"ARGH")</f>
        <v>9000</v>
      </c>
      <c r="DY3" s="3">
        <f>_xlfn.XLOOKUP(DY$1,generator!$B$2:$B$295,generator!$Q$2:$Q$295,"ARGH")</f>
        <v>9000</v>
      </c>
      <c r="DZ3" s="3">
        <f>_xlfn.XLOOKUP(DZ$1,generator!$B$2:$B$295,generator!$Q$2:$Q$295,"ARGH")</f>
        <v>9000</v>
      </c>
      <c r="EA3" s="3">
        <f>_xlfn.XLOOKUP(EA$1,generator!$B$2:$B$295,generator!$Q$2:$Q$295,"ARGH")</f>
        <v>9000</v>
      </c>
      <c r="EB3" s="3">
        <f>_xlfn.XLOOKUP(EB$1,generator!$B$2:$B$295,generator!$Q$2:$Q$295,"ARGH")</f>
        <v>9000</v>
      </c>
      <c r="EC3" s="3">
        <f>_xlfn.XLOOKUP(EC$1,generator!$B$2:$B$295,generator!$Q$2:$Q$295,"ARGH")</f>
        <v>9000</v>
      </c>
      <c r="ED3" s="3">
        <f>_xlfn.XLOOKUP(ED$1,generator!$B$2:$B$295,generator!$Q$2:$Q$295,"ARGH")</f>
        <v>9000</v>
      </c>
      <c r="EE3" s="3">
        <f>_xlfn.XLOOKUP(EE$1,generator!$B$2:$B$295,generator!$Q$2:$Q$295,"ARGH")</f>
        <v>9000</v>
      </c>
      <c r="EF3" s="3">
        <f>_xlfn.XLOOKUP(EF$1,generator!$B$2:$B$295,generator!$Q$2:$Q$295,"ARGH")</f>
        <v>9000</v>
      </c>
      <c r="EG3" s="3">
        <f>_xlfn.XLOOKUP(EG$1,generator!$B$2:$B$295,generator!$Q$2:$Q$295,"ARGH")</f>
        <v>9000</v>
      </c>
      <c r="EH3" s="3">
        <f>_xlfn.XLOOKUP(EH$1,generator!$B$2:$B$295,generator!$Q$2:$Q$295,"ARGH")</f>
        <v>9000</v>
      </c>
      <c r="EI3" s="3">
        <f>_xlfn.XLOOKUP(EI$1,generator!$B$2:$B$295,generator!$Q$2:$Q$295,"ARGH")</f>
        <v>9000</v>
      </c>
      <c r="EJ3" s="3">
        <f>_xlfn.XLOOKUP(EJ$1,generator!$B$2:$B$295,generator!$Q$2:$Q$295,"ARGH")</f>
        <v>9000</v>
      </c>
      <c r="EK3" s="3">
        <f>_xlfn.XLOOKUP(EK$1,generator!$B$2:$B$295,generator!$Q$2:$Q$295,"ARGH")</f>
        <v>9000</v>
      </c>
      <c r="EL3" s="3">
        <f>_xlfn.XLOOKUP(EL$1,generator!$B$2:$B$295,generator!$Q$2:$Q$295,"ARGH")</f>
        <v>9000</v>
      </c>
      <c r="EM3" s="3">
        <f>_xlfn.XLOOKUP(EM$1,generator!$B$2:$B$295,generator!$Q$2:$Q$295,"ARGH")</f>
        <v>9000</v>
      </c>
      <c r="EN3" s="3">
        <f>_xlfn.XLOOKUP(EN$1,generator!$B$2:$B$295,generator!$Q$2:$Q$295,"ARGH")</f>
        <v>9000</v>
      </c>
      <c r="EO3" s="3">
        <f>_xlfn.XLOOKUP(EO$1,generator!$B$2:$B$295,generator!$Q$2:$Q$295,"ARGH")</f>
        <v>9000</v>
      </c>
      <c r="EP3" s="3">
        <f>_xlfn.XLOOKUP(EP$1,generator!$B$2:$B$295,generator!$Q$2:$Q$295,"ARGH")</f>
        <v>9000</v>
      </c>
      <c r="EQ3" s="3">
        <f>_xlfn.XLOOKUP(EQ$1,generator!$B$2:$B$295,generator!$Q$2:$Q$295,"ARGH")</f>
        <v>9000</v>
      </c>
      <c r="ER3" s="3">
        <f>_xlfn.XLOOKUP(ER$1,generator!$B$2:$B$295,generator!$Q$2:$Q$295,"ARGH")</f>
        <v>9000</v>
      </c>
      <c r="ES3" s="3">
        <f>_xlfn.XLOOKUP(ES$1,generator!$B$2:$B$295,generator!$Q$2:$Q$295,"ARGH")</f>
        <v>9000</v>
      </c>
      <c r="ET3" s="3">
        <f>_xlfn.XLOOKUP(ET$1,generator!$B$2:$B$295,generator!$Q$2:$Q$295,"ARGH")</f>
        <v>9000</v>
      </c>
      <c r="EU3" s="3">
        <f>_xlfn.XLOOKUP(EU$1,generator!$B$2:$B$295,generator!$Q$2:$Q$295,"ARGH")</f>
        <v>9000</v>
      </c>
      <c r="EV3" s="3">
        <f>_xlfn.XLOOKUP(EV$1,generator!$B$2:$B$295,generator!$Q$2:$Q$295,"ARGH")</f>
        <v>9000</v>
      </c>
      <c r="EW3" s="3">
        <f>_xlfn.XLOOKUP(EW$1,generator!$B$2:$B$295,generator!$Q$2:$Q$295,"ARGH")</f>
        <v>9000</v>
      </c>
      <c r="EX3" s="3">
        <f>_xlfn.XLOOKUP(EX$1,generator!$B$2:$B$295,generator!$Q$2:$Q$295,"ARGH")</f>
        <v>9000</v>
      </c>
      <c r="EY3" s="3">
        <f>_xlfn.XLOOKUP(EY$1,generator!$B$2:$B$295,generator!$Q$2:$Q$295,"ARGH")</f>
        <v>9000</v>
      </c>
      <c r="EZ3" s="3">
        <f>_xlfn.XLOOKUP(EZ$1,generator!$B$2:$B$295,generator!$Q$2:$Q$295,"ARGH")</f>
        <v>9000</v>
      </c>
      <c r="FA3" s="3">
        <f>_xlfn.XLOOKUP(FA$1,generator!$B$2:$B$295,generator!$Q$2:$Q$295,"ARGH")</f>
        <v>9000</v>
      </c>
      <c r="FB3" s="3">
        <f>_xlfn.XLOOKUP(FB$1,generator!$B$2:$B$295,generator!$Q$2:$Q$295,"ARGH")</f>
        <v>9000</v>
      </c>
      <c r="FC3" s="3">
        <f>_xlfn.XLOOKUP(FC$1,generator!$B$2:$B$295,generator!$Q$2:$Q$295,"ARGH")</f>
        <v>9000</v>
      </c>
      <c r="FD3" s="3">
        <f>_xlfn.XLOOKUP(FD$1,generator!$B$2:$B$295,generator!$Q$2:$Q$295,"ARGH")</f>
        <v>9000</v>
      </c>
      <c r="FE3" s="3">
        <f>_xlfn.XLOOKUP(FE$1,generator!$B$2:$B$295,generator!$Q$2:$Q$295,"ARGH")</f>
        <v>9000</v>
      </c>
      <c r="FF3" s="3">
        <f>_xlfn.XLOOKUP(FF$1,generator!$B$2:$B$295,generator!$Q$2:$Q$295,"ARGH")</f>
        <v>9000</v>
      </c>
      <c r="FG3" s="3">
        <f>_xlfn.XLOOKUP(FG$1,generator!$B$2:$B$295,generator!$Q$2:$Q$295,"ARGH")</f>
        <v>9000</v>
      </c>
      <c r="FH3" s="3">
        <f>_xlfn.XLOOKUP(FH$1,generator!$B$2:$B$295,generator!$Q$2:$Q$295,"ARGH")</f>
        <v>9000</v>
      </c>
      <c r="FI3" s="3">
        <f>_xlfn.XLOOKUP(FI$1,generator!$B$2:$B$295,generator!$Q$2:$Q$295,"ARGH")</f>
        <v>9000</v>
      </c>
      <c r="FJ3" s="3">
        <f>_xlfn.XLOOKUP(FJ$1,generator!$B$2:$B$295,generator!$Q$2:$Q$295,"ARGH")</f>
        <v>9000</v>
      </c>
      <c r="FK3" s="3">
        <f>_xlfn.XLOOKUP(FK$1,generator!$B$2:$B$295,generator!$Q$2:$Q$295,"ARGH")</f>
        <v>9000</v>
      </c>
      <c r="FL3" s="3">
        <f>_xlfn.XLOOKUP(FL$1,generator!$B$2:$B$295,generator!$Q$2:$Q$295,"ARGH")</f>
        <v>9000</v>
      </c>
      <c r="FM3" s="3">
        <f>_xlfn.XLOOKUP(FM$1,generator!$B$2:$B$295,generator!$Q$2:$Q$295,"ARGH")</f>
        <v>9000</v>
      </c>
      <c r="FN3" s="3">
        <f>_xlfn.XLOOKUP(FN$1,generator!$B$2:$B$295,generator!$Q$2:$Q$295,"ARGH")</f>
        <v>9000</v>
      </c>
      <c r="FO3" s="3">
        <f>_xlfn.XLOOKUP(FO$1,generator!$B$2:$B$295,generator!$Q$2:$Q$295,"ARGH")</f>
        <v>9000</v>
      </c>
      <c r="FP3" s="3">
        <f>_xlfn.XLOOKUP(FP$1,generator!$B$2:$B$295,generator!$Q$2:$Q$295,"ARGH")</f>
        <v>9000</v>
      </c>
      <c r="FQ3" s="3">
        <f>_xlfn.XLOOKUP(FQ$1,generator!$B$2:$B$295,generator!$Q$2:$Q$295,"ARGH")</f>
        <v>9000</v>
      </c>
      <c r="FR3" s="3">
        <f>_xlfn.XLOOKUP(FR$1,generator!$B$2:$B$295,generator!$Q$2:$Q$295,"ARGH")</f>
        <v>9000</v>
      </c>
      <c r="FS3" s="3">
        <f>_xlfn.XLOOKUP(FS$1,generator!$B$2:$B$295,generator!$Q$2:$Q$295,"ARGH")</f>
        <v>9000</v>
      </c>
      <c r="FT3" s="3">
        <f>_xlfn.XLOOKUP(FT$1,generator!$B$2:$B$295,generator!$Q$2:$Q$295,"ARGH")</f>
        <v>9000</v>
      </c>
      <c r="FU3" s="3">
        <f>_xlfn.XLOOKUP(FU$1,generator!$B$2:$B$295,generator!$Q$2:$Q$295,"ARGH")</f>
        <v>9000</v>
      </c>
      <c r="FV3" s="3">
        <f>_xlfn.XLOOKUP(FV$1,generator!$B$2:$B$295,generator!$Q$2:$Q$295,"ARGH")</f>
        <v>9000</v>
      </c>
      <c r="FW3" s="3">
        <f>_xlfn.XLOOKUP(FW$1,generator!$B$2:$B$295,generator!$Q$2:$Q$295,"ARGH")</f>
        <v>9000</v>
      </c>
      <c r="FX3" s="3">
        <f>_xlfn.XLOOKUP(FX$1,generator!$B$2:$B$295,generator!$Q$2:$Q$295,"ARGH")</f>
        <v>9000</v>
      </c>
      <c r="FY3" s="3">
        <f>_xlfn.XLOOKUP(FY$1,generator!$B$2:$B$295,generator!$Q$2:$Q$295,"ARGH")</f>
        <v>9000</v>
      </c>
      <c r="FZ3" s="3">
        <f>_xlfn.XLOOKUP(FZ$1,generator!$B$2:$B$295,generator!$Q$2:$Q$295,"ARGH")</f>
        <v>9000</v>
      </c>
      <c r="GA3" s="3">
        <f>_xlfn.XLOOKUP(GA$1,generator!$B$2:$B$295,generator!$Q$2:$Q$295,"ARGH")</f>
        <v>9000</v>
      </c>
      <c r="GB3" s="3">
        <f>_xlfn.XLOOKUP(GB$1,generator!$B$2:$B$295,generator!$Q$2:$Q$295,"ARGH")</f>
        <v>9000</v>
      </c>
      <c r="GC3" s="3">
        <f>_xlfn.XLOOKUP(GC$1,generator!$B$2:$B$295,generator!$Q$2:$Q$295,"ARGH")</f>
        <v>9000</v>
      </c>
      <c r="GD3" s="3">
        <f>_xlfn.XLOOKUP(GD$1,generator!$B$2:$B$295,generator!$Q$2:$Q$295,"ARGH")</f>
        <v>9000</v>
      </c>
      <c r="GE3" s="3">
        <f>_xlfn.XLOOKUP(GE$1,generator!$B$2:$B$295,generator!$Q$2:$Q$295,"ARGH")</f>
        <v>9000</v>
      </c>
      <c r="GF3" s="3">
        <f>_xlfn.XLOOKUP(GF$1,generator!$B$2:$B$295,generator!$Q$2:$Q$295,"ARGH")</f>
        <v>9000</v>
      </c>
      <c r="GG3" s="3">
        <f>_xlfn.XLOOKUP(GG$1,generator!$B$2:$B$295,generator!$Q$2:$Q$295,"ARGH")</f>
        <v>9000</v>
      </c>
      <c r="GH3" s="3">
        <f>_xlfn.XLOOKUP(GH$1,generator!$B$2:$B$295,generator!$Q$2:$Q$295,"ARGH")</f>
        <v>9000</v>
      </c>
      <c r="GI3" s="3">
        <f>_xlfn.XLOOKUP(GI$1,generator!$B$2:$B$295,generator!$Q$2:$Q$295,"ARGH")</f>
        <v>9000</v>
      </c>
      <c r="GJ3" s="3">
        <f>_xlfn.XLOOKUP(GJ$1,generator!$B$2:$B$295,generator!$Q$2:$Q$295,"ARGH")</f>
        <v>9000</v>
      </c>
      <c r="GK3" s="3">
        <f>_xlfn.XLOOKUP(GK$1,generator!$B$2:$B$295,generator!$Q$2:$Q$295,"ARGH")</f>
        <v>9000</v>
      </c>
      <c r="GL3" s="3">
        <f>_xlfn.XLOOKUP(GL$1,generator!$B$2:$B$295,generator!$Q$2:$Q$295,"ARGH")</f>
        <v>9000</v>
      </c>
      <c r="GM3" s="3">
        <f>_xlfn.XLOOKUP(GM$1,generator!$B$2:$B$295,generator!$Q$2:$Q$295,"ARGH")</f>
        <v>9000</v>
      </c>
      <c r="GN3" s="3">
        <f>_xlfn.XLOOKUP(GN$1,generator!$B$2:$B$295,generator!$Q$2:$Q$295,"ARGH")</f>
        <v>9000</v>
      </c>
      <c r="GO3" s="3">
        <f>_xlfn.XLOOKUP(GO$1,generator!$B$2:$B$295,generator!$Q$2:$Q$295,"ARGH")</f>
        <v>9000</v>
      </c>
      <c r="GP3" s="3">
        <f>_xlfn.XLOOKUP(GP$1,generator!$B$2:$B$295,generator!$Q$2:$Q$295,"ARGH")</f>
        <v>9000</v>
      </c>
      <c r="GQ3" s="3">
        <f>_xlfn.XLOOKUP(GQ$1,generator!$B$2:$B$295,generator!$Q$2:$Q$295,"ARGH")</f>
        <v>9000</v>
      </c>
      <c r="GR3" s="3">
        <f>_xlfn.XLOOKUP(GR$1,generator!$B$2:$B$295,generator!$Q$2:$Q$295,"ARGH")</f>
        <v>9000</v>
      </c>
      <c r="GS3" s="3">
        <f>_xlfn.XLOOKUP(GS$1,generator!$B$2:$B$295,generator!$Q$2:$Q$295,"ARGH")</f>
        <v>9000</v>
      </c>
      <c r="GT3" s="3">
        <f>_xlfn.XLOOKUP(GT$1,generator!$B$2:$B$295,generator!$Q$2:$Q$295,"ARGH")</f>
        <v>9000</v>
      </c>
      <c r="GU3" s="3">
        <f>_xlfn.XLOOKUP(GU$1,generator!$B$2:$B$295,generator!$Q$2:$Q$295,"ARGH")</f>
        <v>9000</v>
      </c>
      <c r="GV3" s="3">
        <f>_xlfn.XLOOKUP(GV$1,generator!$B$2:$B$295,generator!$Q$2:$Q$295,"ARGH")</f>
        <v>9000</v>
      </c>
      <c r="GW3" s="3">
        <f>_xlfn.XLOOKUP(GW$1,generator!$B$2:$B$295,generator!$Q$2:$Q$295,"ARGH")</f>
        <v>9000</v>
      </c>
      <c r="GX3" s="3">
        <f>_xlfn.XLOOKUP(GX$1,generator!$B$2:$B$295,generator!$Q$2:$Q$295,"ARGH")</f>
        <v>9000</v>
      </c>
      <c r="GY3" s="3">
        <f>_xlfn.XLOOKUP(GY$1,generator!$B$2:$B$295,generator!$Q$2:$Q$295,"ARGH")</f>
        <v>9000</v>
      </c>
      <c r="GZ3" s="3">
        <f>_xlfn.XLOOKUP(GZ$1,generator!$B$2:$B$295,generator!$Q$2:$Q$295,"ARGH")</f>
        <v>9000</v>
      </c>
      <c r="HA3" s="3">
        <f>_xlfn.XLOOKUP(HA$1,generator!$B$2:$B$295,generator!$Q$2:$Q$295,"ARGH")</f>
        <v>9000</v>
      </c>
      <c r="HB3" s="3">
        <f>_xlfn.XLOOKUP(HB$1,generator!$B$2:$B$295,generator!$Q$2:$Q$295,"ARGH")</f>
        <v>9000</v>
      </c>
      <c r="HC3" s="3">
        <f>_xlfn.XLOOKUP(HC$1,generator!$B$2:$B$295,generator!$Q$2:$Q$295,"ARGH")</f>
        <v>9000</v>
      </c>
      <c r="HD3" s="3">
        <f>_xlfn.XLOOKUP(HD$1,generator!$B$2:$B$295,generator!$Q$2:$Q$295,"ARGH")</f>
        <v>9000</v>
      </c>
      <c r="HE3" s="3">
        <f>_xlfn.XLOOKUP(HE$1,generator!$B$2:$B$295,generator!$Q$2:$Q$295,"ARGH")</f>
        <v>8000</v>
      </c>
      <c r="HF3" s="3" t="str">
        <f>_xlfn.XLOOKUP(HF$1,generator!$B$2:$B$295,generator!$Q$2:$Q$295,"ARGH")</f>
        <v>143</v>
      </c>
      <c r="HG3" s="3" t="str">
        <f>_xlfn.XLOOKUP(HG$1,generator!$B$2:$B$295,generator!$Q$2:$Q$295,"ARGH")</f>
        <v>143</v>
      </c>
      <c r="HH3" s="3" t="str">
        <f>_xlfn.XLOOKUP(HH$1,generator!$B$2:$B$295,generator!$Q$2:$Q$295,"ARGH")</f>
        <v>143</v>
      </c>
      <c r="HI3" s="3" t="str">
        <f>_xlfn.XLOOKUP(HI$1,generator!$B$2:$B$295,generator!$Q$2:$Q$295,"ARGH")</f>
        <v>246.74</v>
      </c>
      <c r="HJ3" s="3" t="str">
        <f>_xlfn.XLOOKUP(HJ$1,generator!$B$2:$B$295,generator!$Q$2:$Q$295,"ARGH")</f>
        <v>246.74</v>
      </c>
      <c r="HK3" s="3" t="str">
        <f>_xlfn.XLOOKUP(HK$1,generator!$B$2:$B$295,generator!$Q$2:$Q$295,"ARGH")</f>
        <v>206.04</v>
      </c>
      <c r="HL3" s="3" t="str">
        <f>_xlfn.XLOOKUP(HL$1,generator!$B$2:$B$295,generator!$Q$2:$Q$295,"ARGH")</f>
        <v>506.96</v>
      </c>
      <c r="HM3" s="3" t="str">
        <f>_xlfn.XLOOKUP(HM$1,generator!$B$2:$B$295,generator!$Q$2:$Q$295,"ARGH")</f>
        <v>506.95</v>
      </c>
      <c r="HN3" s="3" t="str">
        <f>_xlfn.XLOOKUP(HN$1,generator!$B$2:$B$295,generator!$Q$2:$Q$295,"ARGH")</f>
        <v>190.97</v>
      </c>
      <c r="HO3" s="3" t="str">
        <f>_xlfn.XLOOKUP(HO$1,generator!$B$2:$B$295,generator!$Q$2:$Q$295,"ARGH")</f>
        <v>190.97</v>
      </c>
      <c r="HP3" s="3" t="str">
        <f>_xlfn.XLOOKUP(HP$1,generator!$B$2:$B$295,generator!$Q$2:$Q$295,"ARGH")</f>
        <v>424.84</v>
      </c>
      <c r="HQ3" s="3" t="str">
        <f>_xlfn.XLOOKUP(HQ$1,generator!$B$2:$B$295,generator!$Q$2:$Q$295,"ARGH")</f>
        <v>425.9</v>
      </c>
      <c r="HR3" s="3" t="str">
        <f>_xlfn.XLOOKUP(HR$1,generator!$B$2:$B$295,generator!$Q$2:$Q$295,"ARGH")</f>
        <v>425.9</v>
      </c>
      <c r="HS3" s="3" t="str">
        <f>_xlfn.XLOOKUP(HS$1,generator!$B$2:$B$295,generator!$Q$2:$Q$295,"ARGH")</f>
        <v>196.54</v>
      </c>
      <c r="HT3" s="3" t="str">
        <f>_xlfn.XLOOKUP(HT$1,generator!$B$2:$B$295,generator!$Q$2:$Q$295,"ARGH")</f>
        <v>196.54</v>
      </c>
      <c r="HU3" s="3" t="str">
        <f>_xlfn.XLOOKUP(HU$1,generator!$B$2:$B$295,generator!$Q$2:$Q$295,"ARGH")</f>
        <v>145.57</v>
      </c>
      <c r="HV3" s="3" t="str">
        <f>_xlfn.XLOOKUP(HV$1,generator!$B$2:$B$295,generator!$Q$2:$Q$295,"ARGH")</f>
        <v>132.62</v>
      </c>
      <c r="HW3" s="3" t="str">
        <f>_xlfn.XLOOKUP(HW$1,generator!$B$2:$B$295,generator!$Q$2:$Q$295,"ARGH")</f>
        <v>193.76</v>
      </c>
      <c r="HX3" s="3" t="str">
        <f>_xlfn.XLOOKUP(HX$1,generator!$B$2:$B$295,generator!$Q$2:$Q$295,"ARGH")</f>
        <v>193.76</v>
      </c>
      <c r="HY3" s="3" t="str">
        <f>_xlfn.XLOOKUP(HY$1,generator!$B$2:$B$295,generator!$Q$2:$Q$295,"ARGH")</f>
        <v>79.19</v>
      </c>
      <c r="HZ3" s="3" t="str">
        <f>_xlfn.XLOOKUP(HZ$1,generator!$B$2:$B$295,generator!$Q$2:$Q$295,"ARGH")</f>
        <v>125.79</v>
      </c>
      <c r="IA3" s="3" t="str">
        <f>_xlfn.XLOOKUP(IA$1,generator!$B$2:$B$295,generator!$Q$2:$Q$295,"ARGH")</f>
        <v>54.19</v>
      </c>
      <c r="IB3" s="3" t="str">
        <f>_xlfn.XLOOKUP(IB$1,generator!$B$2:$B$295,generator!$Q$2:$Q$295,"ARGH")</f>
        <v>59.7</v>
      </c>
      <c r="IC3" s="3">
        <f>_xlfn.XLOOKUP(IC$1,generator!$B$2:$B$295,generator!$Q$2:$Q$295,"ARGH")</f>
        <v>0</v>
      </c>
      <c r="ID3" s="3" t="str">
        <f>_xlfn.XLOOKUP(ID$1,generator!$B$2:$B$295,generator!$Q$2:$Q$295,"ARGH")</f>
        <v>121.14</v>
      </c>
      <c r="IE3" s="3" t="str">
        <f>_xlfn.XLOOKUP(IE$1,generator!$B$2:$B$295,generator!$Q$2:$Q$295,"ARGH")</f>
        <v>26.6</v>
      </c>
      <c r="IF3" s="3">
        <f>_xlfn.XLOOKUP(IF$1,generator!$B$2:$B$295,generator!$Q$2:$Q$295,"ARGH")</f>
        <v>8000</v>
      </c>
      <c r="IG3" s="3">
        <f>_xlfn.XLOOKUP(IG$1,generator!$B$2:$B$295,generator!$Q$2:$Q$295,"ARGH")</f>
        <v>8000</v>
      </c>
      <c r="IH3" s="3">
        <f>_xlfn.XLOOKUP(IH$1,generator!$B$2:$B$295,generator!$Q$2:$Q$295,"ARGH")</f>
        <v>8000</v>
      </c>
      <c r="II3" s="3">
        <f>_xlfn.XLOOKUP(II$1,generator!$B$2:$B$295,generator!$Q$2:$Q$295,"ARGH")</f>
        <v>8000</v>
      </c>
      <c r="IJ3" s="3">
        <f>_xlfn.XLOOKUP(IJ$1,generator!$B$2:$B$295,generator!$Q$2:$Q$295,"ARGH")</f>
        <v>8000</v>
      </c>
      <c r="IK3" s="3">
        <f>_xlfn.XLOOKUP(IK$1,generator!$B$2:$B$295,generator!$Q$2:$Q$295,"ARGH")</f>
        <v>8000</v>
      </c>
      <c r="IL3" s="3">
        <f>_xlfn.XLOOKUP(IL$1,generator!$B$2:$B$295,generator!$Q$2:$Q$295,"ARGH")</f>
        <v>8000</v>
      </c>
      <c r="IM3" s="3">
        <f>_xlfn.XLOOKUP(IM$1,generator!$B$2:$B$295,generator!$Q$2:$Q$295,"ARGH")</f>
        <v>8000</v>
      </c>
      <c r="IN3" s="3">
        <f>_xlfn.XLOOKUP(IN$1,generator!$B$2:$B$295,generator!$Q$2:$Q$295,"ARGH")</f>
        <v>8000</v>
      </c>
      <c r="IO3" s="3">
        <f>_xlfn.XLOOKUP(IO$1,generator!$B$2:$B$295,generator!$Q$2:$Q$295,"ARGH")</f>
        <v>8000</v>
      </c>
      <c r="IP3" s="3">
        <f>_xlfn.XLOOKUP(IP$1,generator!$B$2:$B$295,generator!$Q$2:$Q$295,"ARGH")</f>
        <v>8000</v>
      </c>
      <c r="IQ3" s="3">
        <f>_xlfn.XLOOKUP(IQ$1,generator!$B$2:$B$295,generator!$Q$2:$Q$295,"ARGH")</f>
        <v>8000</v>
      </c>
      <c r="IR3" s="3">
        <f>_xlfn.XLOOKUP(IR$1,generator!$B$2:$B$295,generator!$Q$2:$Q$295,"ARGH")</f>
        <v>8000</v>
      </c>
      <c r="IS3" s="3">
        <f>_xlfn.XLOOKUP(IS$1,generator!$B$2:$B$295,generator!$Q$2:$Q$295,"ARGH")</f>
        <v>8000</v>
      </c>
      <c r="IT3" s="3">
        <f>_xlfn.XLOOKUP(IT$1,generator!$B$2:$B$295,generator!$Q$2:$Q$295,"ARGH")</f>
        <v>8000</v>
      </c>
      <c r="IU3" s="3">
        <f>_xlfn.XLOOKUP(IU$1,generator!$B$2:$B$295,generator!$Q$2:$Q$295,"ARGH")</f>
        <v>8000</v>
      </c>
      <c r="IV3" s="3">
        <f>_xlfn.XLOOKUP(IV$1,generator!$B$2:$B$295,generator!$Q$2:$Q$295,"ARGH")</f>
        <v>8000</v>
      </c>
      <c r="IW3" s="3" t="str">
        <f>_xlfn.XLOOKUP(IW$1,generator!$B$2:$B$295,generator!$Q$2:$Q$295,"ARGH")</f>
        <v>108.19</v>
      </c>
      <c r="IX3" s="3" t="str">
        <f>_xlfn.XLOOKUP(IX$1,generator!$B$2:$B$295,generator!$Q$2:$Q$295,"ARGH")</f>
        <v>108.18</v>
      </c>
      <c r="IY3" s="3" t="str">
        <f>_xlfn.XLOOKUP(IY$1,generator!$B$2:$B$295,generator!$Q$2:$Q$295,"ARGH")</f>
        <v>108.17</v>
      </c>
      <c r="IZ3" s="3" t="str">
        <f>_xlfn.XLOOKUP(IZ$1,generator!$B$2:$B$295,generator!$Q$2:$Q$295,"ARGH")</f>
        <v>40.96</v>
      </c>
      <c r="JA3" s="3">
        <f>_xlfn.XLOOKUP(JA$1,generator!$B$2:$B$295,generator!$Q$2:$Q$295,"ARGH")</f>
        <v>0</v>
      </c>
      <c r="JB3" s="3">
        <f>_xlfn.XLOOKUP(JB$1,generator!$B$2:$B$295,generator!$Q$2:$Q$295,"ARGH")</f>
        <v>0</v>
      </c>
      <c r="JC3" s="3" t="str">
        <f>_xlfn.XLOOKUP(JC$1,generator!$B$2:$B$295,generator!$Q$2:$Q$295,"ARGH")</f>
        <v>75.91</v>
      </c>
      <c r="JD3" s="3" t="str">
        <f>_xlfn.XLOOKUP(JD$1,generator!$B$2:$B$295,generator!$Q$2:$Q$295,"ARGH")</f>
        <v>75.91</v>
      </c>
      <c r="JE3" s="3" t="str">
        <f>_xlfn.XLOOKUP(JE$1,generator!$B$2:$B$295,generator!$Q$2:$Q$295,"ARGH")</f>
        <v>51.59</v>
      </c>
      <c r="JF3" s="3" t="str">
        <f>_xlfn.XLOOKUP(JF$1,generator!$B$2:$B$295,generator!$Q$2:$Q$295,"ARGH")</f>
        <v>111.57</v>
      </c>
      <c r="JG3" s="3">
        <f>_xlfn.XLOOKUP(JG$1,generator!$B$2:$B$295,generator!$Q$2:$Q$295,"ARGH")</f>
        <v>0</v>
      </c>
      <c r="JH3" s="3" t="str">
        <f>_xlfn.XLOOKUP(JH$1,generator!$B$2:$B$295,generator!$Q$2:$Q$295,"ARGH")</f>
        <v>48.65</v>
      </c>
      <c r="JI3" s="3" t="str">
        <f>_xlfn.XLOOKUP(JI$1,generator!$B$2:$B$295,generator!$Q$2:$Q$295,"ARGH")</f>
        <v>71.88</v>
      </c>
      <c r="JJ3" s="3" t="str">
        <f>_xlfn.XLOOKUP(JJ$1,generator!$B$2:$B$295,generator!$Q$2:$Q$295,"ARGH")</f>
        <v>98.17</v>
      </c>
      <c r="JK3" s="3" t="str">
        <f>_xlfn.XLOOKUP(JK$1,generator!$B$2:$B$295,generator!$Q$2:$Q$295,"ARGH")</f>
        <v>98.17</v>
      </c>
      <c r="JL3" s="3" t="str">
        <f>_xlfn.XLOOKUP(JL$1,generator!$B$2:$B$295,generator!$Q$2:$Q$295,"ARGH")</f>
        <v>98.17</v>
      </c>
      <c r="JM3" s="3" t="str">
        <f>_xlfn.XLOOKUP(JM$1,generator!$B$2:$B$295,generator!$Q$2:$Q$295,"ARGH")</f>
        <v>98.17</v>
      </c>
      <c r="JN3" s="3" t="str">
        <f>_xlfn.XLOOKUP(JN$1,generator!$B$2:$B$295,generator!$Q$2:$Q$295,"ARGH")</f>
        <v>98.17</v>
      </c>
      <c r="JO3" s="3" t="str">
        <f>_xlfn.XLOOKUP(JO$1,generator!$B$2:$B$295,generator!$Q$2:$Q$295,"ARGH")</f>
        <v>98.17</v>
      </c>
      <c r="JP3" s="3" t="str">
        <f>_xlfn.XLOOKUP(JP$1,generator!$B$2:$B$295,generator!$Q$2:$Q$295,"ARGH")</f>
        <v>47.53</v>
      </c>
      <c r="JQ3" s="3" t="str">
        <f>_xlfn.XLOOKUP(JQ$1,generator!$B$2:$B$295,generator!$Q$2:$Q$295,"ARGH")</f>
        <v>108.86</v>
      </c>
      <c r="JR3" s="3" t="str">
        <f>_xlfn.XLOOKUP(JR$1,generator!$B$2:$B$295,generator!$Q$2:$Q$295,"ARGH")</f>
        <v>83.15</v>
      </c>
      <c r="JS3" s="3" t="str">
        <f>_xlfn.XLOOKUP(JS$1,generator!$B$2:$B$295,generator!$Q$2:$Q$295,"ARGH")</f>
        <v>83.15</v>
      </c>
      <c r="JT3" s="3" t="str">
        <f>_xlfn.XLOOKUP(JT$1,generator!$B$2:$B$295,generator!$Q$2:$Q$295,"ARGH")</f>
        <v>108.86</v>
      </c>
      <c r="JU3" s="3">
        <f>_xlfn.XLOOKUP(JU$1,generator!$B$2:$B$295,generator!$Q$2:$Q$295,"ARGH")</f>
        <v>0</v>
      </c>
      <c r="JV3" s="3" t="str">
        <f>_xlfn.XLOOKUP(JV$1,generator!$B$2:$B$295,generator!$Q$2:$Q$295,"ARGH")</f>
        <v>77.63</v>
      </c>
      <c r="JW3" s="3" t="str">
        <f>_xlfn.XLOOKUP(JW$1,generator!$B$2:$B$295,generator!$Q$2:$Q$295,"ARGH")</f>
        <v>77.64</v>
      </c>
      <c r="JX3" s="3" t="str">
        <f>_xlfn.XLOOKUP(JX$1,generator!$B$2:$B$295,generator!$Q$2:$Q$295,"ARGH")</f>
        <v>331.49</v>
      </c>
      <c r="JY3" s="3">
        <f>_xlfn.XLOOKUP(JY$1,generator!$B$2:$B$295,generator!$Q$2:$Q$295,"ARGH")</f>
        <v>7000</v>
      </c>
      <c r="JZ3" s="3">
        <f>_xlfn.XLOOKUP(JZ$1,generator!$B$2:$B$295,generator!$Q$2:$Q$295,"ARGH")</f>
        <v>0</v>
      </c>
      <c r="KA3" s="3">
        <f>_xlfn.XLOOKUP(KA$1,generator!$B$2:$B$295,generator!$Q$2:$Q$295,"ARGH")</f>
        <v>0</v>
      </c>
      <c r="KB3" s="3">
        <f>_xlfn.XLOOKUP(KB$1,generator!$B$2:$B$295,generator!$Q$2:$Q$295,"ARGH")</f>
        <v>0</v>
      </c>
      <c r="KC3" s="3">
        <f>_xlfn.XLOOKUP(KC$1,generator!$B$2:$B$295,generator!$Q$2:$Q$295,"ARGH")</f>
        <v>0</v>
      </c>
    </row>
    <row r="4" spans="1:289" x14ac:dyDescent="0.3">
      <c r="A4" s="4" t="s">
        <v>2999</v>
      </c>
      <c r="B4" s="3">
        <v>15000</v>
      </c>
      <c r="C4" s="3">
        <v>15000</v>
      </c>
      <c r="D4" s="3">
        <v>15000</v>
      </c>
      <c r="E4" s="3">
        <f>_xlfn.XLOOKUP(E$1,generator!$B$2:$B$295,generator!$Q$2:$Q$295,"ARGH")</f>
        <v>9000</v>
      </c>
      <c r="F4" s="3">
        <f>_xlfn.XLOOKUP(F$1,generator!$B$2:$B$295,generator!$Q$2:$Q$295,"ARGH")</f>
        <v>9000</v>
      </c>
      <c r="G4" s="3">
        <f>_xlfn.XLOOKUP(G$1,generator!$B$2:$B$295,generator!$Q$2:$Q$295,"ARGH")</f>
        <v>9000</v>
      </c>
      <c r="H4" s="3">
        <f>_xlfn.XLOOKUP(H$1,generator!$B$2:$B$295,generator!$Q$2:$Q$295,"ARGH")</f>
        <v>9000</v>
      </c>
      <c r="I4" s="3">
        <f>_xlfn.XLOOKUP(I$1,generator!$B$2:$B$295,generator!$Q$2:$Q$295,"ARGH")</f>
        <v>9000</v>
      </c>
      <c r="J4" s="3">
        <f>_xlfn.XLOOKUP(J$1,generator!$B$2:$B$295,generator!$Q$2:$Q$295,"ARGH")</f>
        <v>9000</v>
      </c>
      <c r="K4" s="3">
        <f>_xlfn.XLOOKUP(K$1,generator!$B$2:$B$295,generator!$Q$2:$Q$295,"ARGH")</f>
        <v>9000</v>
      </c>
      <c r="L4" s="3">
        <f>_xlfn.XLOOKUP(L$1,generator!$B$2:$B$295,generator!$Q$2:$Q$295,"ARGH")</f>
        <v>9000</v>
      </c>
      <c r="M4" s="3">
        <f>_xlfn.XLOOKUP(M$1,generator!$B$2:$B$295,generator!$Q$2:$Q$295,"ARGH")</f>
        <v>9000</v>
      </c>
      <c r="N4" s="3">
        <f>_xlfn.XLOOKUP(N$1,generator!$B$2:$B$295,generator!$Q$2:$Q$295,"ARGH")</f>
        <v>9000</v>
      </c>
      <c r="O4" s="3">
        <f>_xlfn.XLOOKUP(O$1,generator!$B$2:$B$295,generator!$Q$2:$Q$295,"ARGH")</f>
        <v>9000</v>
      </c>
      <c r="P4" s="3">
        <f>_xlfn.XLOOKUP(P$1,generator!$B$2:$B$295,generator!$Q$2:$Q$295,"ARGH")</f>
        <v>9000</v>
      </c>
      <c r="Q4" s="3">
        <f>_xlfn.XLOOKUP(Q$1,generator!$B$2:$B$295,generator!$Q$2:$Q$295,"ARGH")</f>
        <v>9000</v>
      </c>
      <c r="R4" s="3">
        <f>_xlfn.XLOOKUP(R$1,generator!$B$2:$B$295,generator!$Q$2:$Q$295,"ARGH")</f>
        <v>9000</v>
      </c>
      <c r="S4" s="3">
        <f>_xlfn.XLOOKUP(S$1,generator!$B$2:$B$295,generator!$Q$2:$Q$295,"ARGH")</f>
        <v>9000</v>
      </c>
      <c r="T4" s="3">
        <f>_xlfn.XLOOKUP(T$1,generator!$B$2:$B$295,generator!$Q$2:$Q$295,"ARGH")</f>
        <v>9000</v>
      </c>
      <c r="U4" s="3">
        <f>_xlfn.XLOOKUP(U$1,generator!$B$2:$B$295,generator!$Q$2:$Q$295,"ARGH")</f>
        <v>9000</v>
      </c>
      <c r="V4" s="3">
        <f>_xlfn.XLOOKUP(V$1,generator!$B$2:$B$295,generator!$Q$2:$Q$295,"ARGH")</f>
        <v>9000</v>
      </c>
      <c r="W4" s="3">
        <f>_xlfn.XLOOKUP(W$1,generator!$B$2:$B$295,generator!$Q$2:$Q$295,"ARGH")</f>
        <v>9000</v>
      </c>
      <c r="X4" s="3">
        <f>_xlfn.XLOOKUP(X$1,generator!$B$2:$B$295,generator!$Q$2:$Q$295,"ARGH")</f>
        <v>9000</v>
      </c>
      <c r="Y4" s="3">
        <f>_xlfn.XLOOKUP(Y$1,generator!$B$2:$B$295,generator!$Q$2:$Q$295,"ARGH")</f>
        <v>9000</v>
      </c>
      <c r="Z4" s="3">
        <f>_xlfn.XLOOKUP(Z$1,generator!$B$2:$B$295,generator!$Q$2:$Q$295,"ARGH")</f>
        <v>9000</v>
      </c>
      <c r="AA4" s="3">
        <f>_xlfn.XLOOKUP(AA$1,generator!$B$2:$B$295,generator!$Q$2:$Q$295,"ARGH")</f>
        <v>9000</v>
      </c>
      <c r="AB4" s="3">
        <f>_xlfn.XLOOKUP(AB$1,generator!$B$2:$B$295,generator!$Q$2:$Q$295,"ARGH")</f>
        <v>9000</v>
      </c>
      <c r="AC4" s="3">
        <f>_xlfn.XLOOKUP(AC$1,generator!$B$2:$B$295,generator!$Q$2:$Q$295,"ARGH")</f>
        <v>9000</v>
      </c>
      <c r="AD4" s="3">
        <f>_xlfn.XLOOKUP(AD$1,generator!$B$2:$B$295,generator!$Q$2:$Q$295,"ARGH")</f>
        <v>9000</v>
      </c>
      <c r="AE4" s="3">
        <f>_xlfn.XLOOKUP(AE$1,generator!$B$2:$B$295,generator!$Q$2:$Q$295,"ARGH")</f>
        <v>9000</v>
      </c>
      <c r="AF4" s="3">
        <f>_xlfn.XLOOKUP(AF$1,generator!$B$2:$B$295,generator!$Q$2:$Q$295,"ARGH")</f>
        <v>9000</v>
      </c>
      <c r="AG4" s="3">
        <f>_xlfn.XLOOKUP(AG$1,generator!$B$2:$B$295,generator!$Q$2:$Q$295,"ARGH")</f>
        <v>9000</v>
      </c>
      <c r="AH4" s="3">
        <f>_xlfn.XLOOKUP(AH$1,generator!$B$2:$B$295,generator!$Q$2:$Q$295,"ARGH")</f>
        <v>9000</v>
      </c>
      <c r="AI4" s="3">
        <f>_xlfn.XLOOKUP(AI$1,generator!$B$2:$B$295,generator!$Q$2:$Q$295,"ARGH")</f>
        <v>9000</v>
      </c>
      <c r="AJ4" s="3">
        <f>_xlfn.XLOOKUP(AJ$1,generator!$B$2:$B$295,generator!$Q$2:$Q$295,"ARGH")</f>
        <v>9000</v>
      </c>
      <c r="AK4" s="3">
        <f>_xlfn.XLOOKUP(AK$1,generator!$B$2:$B$295,generator!$Q$2:$Q$295,"ARGH")</f>
        <v>9000</v>
      </c>
      <c r="AL4" s="3">
        <f>_xlfn.XLOOKUP(AL$1,generator!$B$2:$B$295,generator!$Q$2:$Q$295,"ARGH")</f>
        <v>9000</v>
      </c>
      <c r="AM4" s="3">
        <f>_xlfn.XLOOKUP(AM$1,generator!$B$2:$B$295,generator!$Q$2:$Q$295,"ARGH")</f>
        <v>9000</v>
      </c>
      <c r="AN4" s="3">
        <f>_xlfn.XLOOKUP(AN$1,generator!$B$2:$B$295,generator!$Q$2:$Q$295,"ARGH")</f>
        <v>9000</v>
      </c>
      <c r="AO4" s="3">
        <f>_xlfn.XLOOKUP(AO$1,generator!$B$2:$B$295,generator!$Q$2:$Q$295,"ARGH")</f>
        <v>9000</v>
      </c>
      <c r="AP4" s="3">
        <f>_xlfn.XLOOKUP(AP$1,generator!$B$2:$B$295,generator!$Q$2:$Q$295,"ARGH")</f>
        <v>9000</v>
      </c>
      <c r="AQ4" s="3">
        <f>_xlfn.XLOOKUP(AQ$1,generator!$B$2:$B$295,generator!$Q$2:$Q$295,"ARGH")</f>
        <v>9000</v>
      </c>
      <c r="AR4" s="3">
        <f>_xlfn.XLOOKUP(AR$1,generator!$B$2:$B$295,generator!$Q$2:$Q$295,"ARGH")</f>
        <v>9000</v>
      </c>
      <c r="AS4" s="3">
        <f>_xlfn.XLOOKUP(AS$1,generator!$B$2:$B$295,generator!$Q$2:$Q$295,"ARGH")</f>
        <v>9000</v>
      </c>
      <c r="AT4" s="3">
        <f>_xlfn.XLOOKUP(AT$1,generator!$B$2:$B$295,generator!$Q$2:$Q$295,"ARGH")</f>
        <v>9000</v>
      </c>
      <c r="AU4" s="3">
        <f>_xlfn.XLOOKUP(AU$1,generator!$B$2:$B$295,generator!$Q$2:$Q$295,"ARGH")</f>
        <v>9000</v>
      </c>
      <c r="AV4" s="3">
        <f>_xlfn.XLOOKUP(AV$1,generator!$B$2:$B$295,generator!$Q$2:$Q$295,"ARGH")</f>
        <v>9000</v>
      </c>
      <c r="AW4" s="3">
        <f>_xlfn.XLOOKUP(AW$1,generator!$B$2:$B$295,generator!$Q$2:$Q$295,"ARGH")</f>
        <v>9000</v>
      </c>
      <c r="AX4" s="3">
        <f>_xlfn.XLOOKUP(AX$1,generator!$B$2:$B$295,generator!$Q$2:$Q$295,"ARGH")</f>
        <v>9000</v>
      </c>
      <c r="AY4" s="3">
        <f>_xlfn.XLOOKUP(AY$1,generator!$B$2:$B$295,generator!$Q$2:$Q$295,"ARGH")</f>
        <v>9000</v>
      </c>
      <c r="AZ4" s="3">
        <f>_xlfn.XLOOKUP(AZ$1,generator!$B$2:$B$295,generator!$Q$2:$Q$295,"ARGH")</f>
        <v>9000</v>
      </c>
      <c r="BA4" s="3">
        <f>_xlfn.XLOOKUP(BA$1,generator!$B$2:$B$295,generator!$Q$2:$Q$295,"ARGH")</f>
        <v>9000</v>
      </c>
      <c r="BB4" s="3">
        <f>_xlfn.XLOOKUP(BB$1,generator!$B$2:$B$295,generator!$Q$2:$Q$295,"ARGH")</f>
        <v>9000</v>
      </c>
      <c r="BC4" s="3">
        <f>_xlfn.XLOOKUP(BC$1,generator!$B$2:$B$295,generator!$Q$2:$Q$295,"ARGH")</f>
        <v>9000</v>
      </c>
      <c r="BD4" s="3">
        <f>_xlfn.XLOOKUP(BD$1,generator!$B$2:$B$295,generator!$Q$2:$Q$295,"ARGH")</f>
        <v>9000</v>
      </c>
      <c r="BE4" s="3">
        <f>_xlfn.XLOOKUP(BE$1,generator!$B$2:$B$295,generator!$Q$2:$Q$295,"ARGH")</f>
        <v>9000</v>
      </c>
      <c r="BF4" s="3">
        <f>_xlfn.XLOOKUP(BF$1,generator!$B$2:$B$295,generator!$Q$2:$Q$295,"ARGH")</f>
        <v>9000</v>
      </c>
      <c r="BG4" s="3">
        <f>_xlfn.XLOOKUP(BG$1,generator!$B$2:$B$295,generator!$Q$2:$Q$295,"ARGH")</f>
        <v>9000</v>
      </c>
      <c r="BH4" s="3">
        <f>_xlfn.XLOOKUP(BH$1,generator!$B$2:$B$295,generator!$Q$2:$Q$295,"ARGH")</f>
        <v>9000</v>
      </c>
      <c r="BI4" s="3">
        <f>_xlfn.XLOOKUP(BI$1,generator!$B$2:$B$295,generator!$Q$2:$Q$295,"ARGH")</f>
        <v>9000</v>
      </c>
      <c r="BJ4" s="3">
        <f>_xlfn.XLOOKUP(BJ$1,generator!$B$2:$B$295,generator!$Q$2:$Q$295,"ARGH")</f>
        <v>9000</v>
      </c>
      <c r="BK4" s="3">
        <f>_xlfn.XLOOKUP(BK$1,generator!$B$2:$B$295,generator!$Q$2:$Q$295,"ARGH")</f>
        <v>9000</v>
      </c>
      <c r="BL4" s="3">
        <f>_xlfn.XLOOKUP(BL$1,generator!$B$2:$B$295,generator!$Q$2:$Q$295,"ARGH")</f>
        <v>9000</v>
      </c>
      <c r="BM4" s="3">
        <f>_xlfn.XLOOKUP(BM$1,generator!$B$2:$B$295,generator!$Q$2:$Q$295,"ARGH")</f>
        <v>9000</v>
      </c>
      <c r="BN4" s="3">
        <f>_xlfn.XLOOKUP(BN$1,generator!$B$2:$B$295,generator!$Q$2:$Q$295,"ARGH")</f>
        <v>9000</v>
      </c>
      <c r="BO4" s="3">
        <f>_xlfn.XLOOKUP(BO$1,generator!$B$2:$B$295,generator!$Q$2:$Q$295,"ARGH")</f>
        <v>9000</v>
      </c>
      <c r="BP4" s="3">
        <f>_xlfn.XLOOKUP(BP$1,generator!$B$2:$B$295,generator!$Q$2:$Q$295,"ARGH")</f>
        <v>9000</v>
      </c>
      <c r="BQ4" s="3">
        <f>_xlfn.XLOOKUP(BQ$1,generator!$B$2:$B$295,generator!$Q$2:$Q$295,"ARGH")</f>
        <v>9000</v>
      </c>
      <c r="BR4" s="3">
        <f>_xlfn.XLOOKUP(BR$1,generator!$B$2:$B$295,generator!$Q$2:$Q$295,"ARGH")</f>
        <v>9000</v>
      </c>
      <c r="BS4" s="3">
        <f>_xlfn.XLOOKUP(BS$1,generator!$B$2:$B$295,generator!$Q$2:$Q$295,"ARGH")</f>
        <v>9000</v>
      </c>
      <c r="BT4" s="3">
        <f>_xlfn.XLOOKUP(BT$1,generator!$B$2:$B$295,generator!$Q$2:$Q$295,"ARGH")</f>
        <v>9000</v>
      </c>
      <c r="BU4" s="3">
        <f>_xlfn.XLOOKUP(BU$1,generator!$B$2:$B$295,generator!$Q$2:$Q$295,"ARGH")</f>
        <v>9000</v>
      </c>
      <c r="BV4" s="3">
        <f>_xlfn.XLOOKUP(BV$1,generator!$B$2:$B$295,generator!$Q$2:$Q$295,"ARGH")</f>
        <v>9000</v>
      </c>
      <c r="BW4" s="3">
        <f>_xlfn.XLOOKUP(BW$1,generator!$B$2:$B$295,generator!$Q$2:$Q$295,"ARGH")</f>
        <v>9000</v>
      </c>
      <c r="BX4" s="3">
        <f>_xlfn.XLOOKUP(BX$1,generator!$B$2:$B$295,generator!$Q$2:$Q$295,"ARGH")</f>
        <v>9000</v>
      </c>
      <c r="BY4" s="3">
        <f>_xlfn.XLOOKUP(BY$1,generator!$B$2:$B$295,generator!$Q$2:$Q$295,"ARGH")</f>
        <v>9000</v>
      </c>
      <c r="BZ4" s="3">
        <f>_xlfn.XLOOKUP(BZ$1,generator!$B$2:$B$295,generator!$Q$2:$Q$295,"ARGH")</f>
        <v>9000</v>
      </c>
      <c r="CA4" s="3">
        <f>_xlfn.XLOOKUP(CA$1,generator!$B$2:$B$295,generator!$Q$2:$Q$295,"ARGH")</f>
        <v>9000</v>
      </c>
      <c r="CB4" s="3">
        <f>_xlfn.XLOOKUP(CB$1,generator!$B$2:$B$295,generator!$Q$2:$Q$295,"ARGH")</f>
        <v>9000</v>
      </c>
      <c r="CC4" s="3">
        <f>_xlfn.XLOOKUP(CC$1,generator!$B$2:$B$295,generator!$Q$2:$Q$295,"ARGH")</f>
        <v>9000</v>
      </c>
      <c r="CD4" s="3">
        <f>_xlfn.XLOOKUP(CD$1,generator!$B$2:$B$295,generator!$Q$2:$Q$295,"ARGH")</f>
        <v>9000</v>
      </c>
      <c r="CE4" s="3">
        <f>_xlfn.XLOOKUP(CE$1,generator!$B$2:$B$295,generator!$Q$2:$Q$295,"ARGH")</f>
        <v>9000</v>
      </c>
      <c r="CF4" s="3">
        <f>_xlfn.XLOOKUP(CF$1,generator!$B$2:$B$295,generator!$Q$2:$Q$295,"ARGH")</f>
        <v>9000</v>
      </c>
      <c r="CG4" s="3">
        <f>_xlfn.XLOOKUP(CG$1,generator!$B$2:$B$295,generator!$Q$2:$Q$295,"ARGH")</f>
        <v>9000</v>
      </c>
      <c r="CH4" s="3">
        <f>_xlfn.XLOOKUP(CH$1,generator!$B$2:$B$295,generator!$Q$2:$Q$295,"ARGH")</f>
        <v>9000</v>
      </c>
      <c r="CI4" s="3">
        <f>_xlfn.XLOOKUP(CI$1,generator!$B$2:$B$295,generator!$Q$2:$Q$295,"ARGH")</f>
        <v>9000</v>
      </c>
      <c r="CJ4" s="3">
        <f>_xlfn.XLOOKUP(CJ$1,generator!$B$2:$B$295,generator!$Q$2:$Q$295,"ARGH")</f>
        <v>9000</v>
      </c>
      <c r="CK4" s="3">
        <f>_xlfn.XLOOKUP(CK$1,generator!$B$2:$B$295,generator!$Q$2:$Q$295,"ARGH")</f>
        <v>9000</v>
      </c>
      <c r="CL4" s="3">
        <f>_xlfn.XLOOKUP(CL$1,generator!$B$2:$B$295,generator!$Q$2:$Q$295,"ARGH")</f>
        <v>9000</v>
      </c>
      <c r="CM4" s="3">
        <f>_xlfn.XLOOKUP(CM$1,generator!$B$2:$B$295,generator!$Q$2:$Q$295,"ARGH")</f>
        <v>9000</v>
      </c>
      <c r="CN4" s="3">
        <f>_xlfn.XLOOKUP(CN$1,generator!$B$2:$B$295,generator!$Q$2:$Q$295,"ARGH")</f>
        <v>9000</v>
      </c>
      <c r="CO4" s="3">
        <f>_xlfn.XLOOKUP(CO$1,generator!$B$2:$B$295,generator!$Q$2:$Q$295,"ARGH")</f>
        <v>9000</v>
      </c>
      <c r="CP4" s="3">
        <f>_xlfn.XLOOKUP(CP$1,generator!$B$2:$B$295,generator!$Q$2:$Q$295,"ARGH")</f>
        <v>9000</v>
      </c>
      <c r="CQ4" s="3">
        <f>_xlfn.XLOOKUP(CQ$1,generator!$B$2:$B$295,generator!$Q$2:$Q$295,"ARGH")</f>
        <v>9000</v>
      </c>
      <c r="CR4" s="3">
        <f>_xlfn.XLOOKUP(CR$1,generator!$B$2:$B$295,generator!$Q$2:$Q$295,"ARGH")</f>
        <v>9000</v>
      </c>
      <c r="CS4" s="3">
        <f>_xlfn.XLOOKUP(CS$1,generator!$B$2:$B$295,generator!$Q$2:$Q$295,"ARGH")</f>
        <v>9000</v>
      </c>
      <c r="CT4" s="3">
        <f>_xlfn.XLOOKUP(CT$1,generator!$B$2:$B$295,generator!$Q$2:$Q$295,"ARGH")</f>
        <v>9000</v>
      </c>
      <c r="CU4" s="3">
        <f>_xlfn.XLOOKUP(CU$1,generator!$B$2:$B$295,generator!$Q$2:$Q$295,"ARGH")</f>
        <v>9000</v>
      </c>
      <c r="CV4" s="3">
        <f>_xlfn.XLOOKUP(CV$1,generator!$B$2:$B$295,generator!$Q$2:$Q$295,"ARGH")</f>
        <v>9000</v>
      </c>
      <c r="CW4" s="3">
        <f>_xlfn.XLOOKUP(CW$1,generator!$B$2:$B$295,generator!$Q$2:$Q$295,"ARGH")</f>
        <v>9000</v>
      </c>
      <c r="CX4" s="3">
        <f>_xlfn.XLOOKUP(CX$1,generator!$B$2:$B$295,generator!$Q$2:$Q$295,"ARGH")</f>
        <v>9000</v>
      </c>
      <c r="CY4" s="3">
        <f>_xlfn.XLOOKUP(CY$1,generator!$B$2:$B$295,generator!$Q$2:$Q$295,"ARGH")</f>
        <v>9000</v>
      </c>
      <c r="CZ4" s="3">
        <f>_xlfn.XLOOKUP(CZ$1,generator!$B$2:$B$295,generator!$Q$2:$Q$295,"ARGH")</f>
        <v>9000</v>
      </c>
      <c r="DA4" s="3">
        <f>_xlfn.XLOOKUP(DA$1,generator!$B$2:$B$295,generator!$Q$2:$Q$295,"ARGH")</f>
        <v>9000</v>
      </c>
      <c r="DB4" s="3">
        <f>_xlfn.XLOOKUP(DB$1,generator!$B$2:$B$295,generator!$Q$2:$Q$295,"ARGH")</f>
        <v>9000</v>
      </c>
      <c r="DC4" s="3">
        <f>_xlfn.XLOOKUP(DC$1,generator!$B$2:$B$295,generator!$Q$2:$Q$295,"ARGH")</f>
        <v>9000</v>
      </c>
      <c r="DD4" s="3">
        <f>_xlfn.XLOOKUP(DD$1,generator!$B$2:$B$295,generator!$Q$2:$Q$295,"ARGH")</f>
        <v>9000</v>
      </c>
      <c r="DE4" s="3">
        <f>_xlfn.XLOOKUP(DE$1,generator!$B$2:$B$295,generator!$Q$2:$Q$295,"ARGH")</f>
        <v>9000</v>
      </c>
      <c r="DF4" s="3">
        <f>_xlfn.XLOOKUP(DF$1,generator!$B$2:$B$295,generator!$Q$2:$Q$295,"ARGH")</f>
        <v>9000</v>
      </c>
      <c r="DG4" s="3">
        <f>_xlfn.XLOOKUP(DG$1,generator!$B$2:$B$295,generator!$Q$2:$Q$295,"ARGH")</f>
        <v>9000</v>
      </c>
      <c r="DH4" s="3">
        <f>_xlfn.XLOOKUP(DH$1,generator!$B$2:$B$295,generator!$Q$2:$Q$295,"ARGH")</f>
        <v>9000</v>
      </c>
      <c r="DI4" s="3">
        <f>_xlfn.XLOOKUP(DI$1,generator!$B$2:$B$295,generator!$Q$2:$Q$295,"ARGH")</f>
        <v>9000</v>
      </c>
      <c r="DJ4" s="3">
        <f>_xlfn.XLOOKUP(DJ$1,generator!$B$2:$B$295,generator!$Q$2:$Q$295,"ARGH")</f>
        <v>9000</v>
      </c>
      <c r="DK4" s="3">
        <f>_xlfn.XLOOKUP(DK$1,generator!$B$2:$B$295,generator!$Q$2:$Q$295,"ARGH")</f>
        <v>9000</v>
      </c>
      <c r="DL4" s="3">
        <f>_xlfn.XLOOKUP(DL$1,generator!$B$2:$B$295,generator!$Q$2:$Q$295,"ARGH")</f>
        <v>9000</v>
      </c>
      <c r="DM4" s="3">
        <f>_xlfn.XLOOKUP(DM$1,generator!$B$2:$B$295,generator!$Q$2:$Q$295,"ARGH")</f>
        <v>9000</v>
      </c>
      <c r="DN4" s="3">
        <f>_xlfn.XLOOKUP(DN$1,generator!$B$2:$B$295,generator!$Q$2:$Q$295,"ARGH")</f>
        <v>9000</v>
      </c>
      <c r="DO4" s="3">
        <f>_xlfn.XLOOKUP(DO$1,generator!$B$2:$B$295,generator!$Q$2:$Q$295,"ARGH")</f>
        <v>9000</v>
      </c>
      <c r="DP4" s="3">
        <f>_xlfn.XLOOKUP(DP$1,generator!$B$2:$B$295,generator!$Q$2:$Q$295,"ARGH")</f>
        <v>9000</v>
      </c>
      <c r="DQ4" s="3">
        <f>_xlfn.XLOOKUP(DQ$1,generator!$B$2:$B$295,generator!$Q$2:$Q$295,"ARGH")</f>
        <v>9000</v>
      </c>
      <c r="DR4" s="3">
        <f>_xlfn.XLOOKUP(DR$1,generator!$B$2:$B$295,generator!$Q$2:$Q$295,"ARGH")</f>
        <v>9000</v>
      </c>
      <c r="DS4" s="3">
        <f>_xlfn.XLOOKUP(DS$1,generator!$B$2:$B$295,generator!$Q$2:$Q$295,"ARGH")</f>
        <v>9000</v>
      </c>
      <c r="DT4" s="3">
        <f>_xlfn.XLOOKUP(DT$1,generator!$B$2:$B$295,generator!$Q$2:$Q$295,"ARGH")</f>
        <v>9000</v>
      </c>
      <c r="DU4" s="3">
        <f>_xlfn.XLOOKUP(DU$1,generator!$B$2:$B$295,generator!$Q$2:$Q$295,"ARGH")</f>
        <v>9000</v>
      </c>
      <c r="DV4" s="3">
        <f>_xlfn.XLOOKUP(DV$1,generator!$B$2:$B$295,generator!$Q$2:$Q$295,"ARGH")</f>
        <v>9000</v>
      </c>
      <c r="DW4" s="3">
        <f>_xlfn.XLOOKUP(DW$1,generator!$B$2:$B$295,generator!$Q$2:$Q$295,"ARGH")</f>
        <v>9000</v>
      </c>
      <c r="DX4" s="3">
        <f>_xlfn.XLOOKUP(DX$1,generator!$B$2:$B$295,generator!$Q$2:$Q$295,"ARGH")</f>
        <v>9000</v>
      </c>
      <c r="DY4" s="3">
        <f>_xlfn.XLOOKUP(DY$1,generator!$B$2:$B$295,generator!$Q$2:$Q$295,"ARGH")</f>
        <v>9000</v>
      </c>
      <c r="DZ4" s="3">
        <f>_xlfn.XLOOKUP(DZ$1,generator!$B$2:$B$295,generator!$Q$2:$Q$295,"ARGH")</f>
        <v>9000</v>
      </c>
      <c r="EA4" s="3">
        <f>_xlfn.XLOOKUP(EA$1,generator!$B$2:$B$295,generator!$Q$2:$Q$295,"ARGH")</f>
        <v>9000</v>
      </c>
      <c r="EB4" s="3">
        <f>_xlfn.XLOOKUP(EB$1,generator!$B$2:$B$295,generator!$Q$2:$Q$295,"ARGH")</f>
        <v>9000</v>
      </c>
      <c r="EC4" s="3">
        <f>_xlfn.XLOOKUP(EC$1,generator!$B$2:$B$295,generator!$Q$2:$Q$295,"ARGH")</f>
        <v>9000</v>
      </c>
      <c r="ED4" s="3">
        <f>_xlfn.XLOOKUP(ED$1,generator!$B$2:$B$295,generator!$Q$2:$Q$295,"ARGH")</f>
        <v>9000</v>
      </c>
      <c r="EE4" s="3">
        <f>_xlfn.XLOOKUP(EE$1,generator!$B$2:$B$295,generator!$Q$2:$Q$295,"ARGH")</f>
        <v>9000</v>
      </c>
      <c r="EF4" s="3">
        <f>_xlfn.XLOOKUP(EF$1,generator!$B$2:$B$295,generator!$Q$2:$Q$295,"ARGH")</f>
        <v>9000</v>
      </c>
      <c r="EG4" s="3">
        <f>_xlfn.XLOOKUP(EG$1,generator!$B$2:$B$295,generator!$Q$2:$Q$295,"ARGH")</f>
        <v>9000</v>
      </c>
      <c r="EH4" s="3">
        <f>_xlfn.XLOOKUP(EH$1,generator!$B$2:$B$295,generator!$Q$2:$Q$295,"ARGH")</f>
        <v>9000</v>
      </c>
      <c r="EI4" s="3">
        <f>_xlfn.XLOOKUP(EI$1,generator!$B$2:$B$295,generator!$Q$2:$Q$295,"ARGH")</f>
        <v>9000</v>
      </c>
      <c r="EJ4" s="3">
        <f>_xlfn.XLOOKUP(EJ$1,generator!$B$2:$B$295,generator!$Q$2:$Q$295,"ARGH")</f>
        <v>9000</v>
      </c>
      <c r="EK4" s="3">
        <f>_xlfn.XLOOKUP(EK$1,generator!$B$2:$B$295,generator!$Q$2:$Q$295,"ARGH")</f>
        <v>9000</v>
      </c>
      <c r="EL4" s="3">
        <f>_xlfn.XLOOKUP(EL$1,generator!$B$2:$B$295,generator!$Q$2:$Q$295,"ARGH")</f>
        <v>9000</v>
      </c>
      <c r="EM4" s="3">
        <f>_xlfn.XLOOKUP(EM$1,generator!$B$2:$B$295,generator!$Q$2:$Q$295,"ARGH")</f>
        <v>9000</v>
      </c>
      <c r="EN4" s="3">
        <f>_xlfn.XLOOKUP(EN$1,generator!$B$2:$B$295,generator!$Q$2:$Q$295,"ARGH")</f>
        <v>9000</v>
      </c>
      <c r="EO4" s="3">
        <f>_xlfn.XLOOKUP(EO$1,generator!$B$2:$B$295,generator!$Q$2:$Q$295,"ARGH")</f>
        <v>9000</v>
      </c>
      <c r="EP4" s="3">
        <f>_xlfn.XLOOKUP(EP$1,generator!$B$2:$B$295,generator!$Q$2:$Q$295,"ARGH")</f>
        <v>9000</v>
      </c>
      <c r="EQ4" s="3">
        <f>_xlfn.XLOOKUP(EQ$1,generator!$B$2:$B$295,generator!$Q$2:$Q$295,"ARGH")</f>
        <v>9000</v>
      </c>
      <c r="ER4" s="3">
        <f>_xlfn.XLOOKUP(ER$1,generator!$B$2:$B$295,generator!$Q$2:$Q$295,"ARGH")</f>
        <v>9000</v>
      </c>
      <c r="ES4" s="3">
        <f>_xlfn.XLOOKUP(ES$1,generator!$B$2:$B$295,generator!$Q$2:$Q$295,"ARGH")</f>
        <v>9000</v>
      </c>
      <c r="ET4" s="3">
        <f>_xlfn.XLOOKUP(ET$1,generator!$B$2:$B$295,generator!$Q$2:$Q$295,"ARGH")</f>
        <v>9000</v>
      </c>
      <c r="EU4" s="3">
        <f>_xlfn.XLOOKUP(EU$1,generator!$B$2:$B$295,generator!$Q$2:$Q$295,"ARGH")</f>
        <v>9000</v>
      </c>
      <c r="EV4" s="3">
        <f>_xlfn.XLOOKUP(EV$1,generator!$B$2:$B$295,generator!$Q$2:$Q$295,"ARGH")</f>
        <v>9000</v>
      </c>
      <c r="EW4" s="3">
        <f>_xlfn.XLOOKUP(EW$1,generator!$B$2:$B$295,generator!$Q$2:$Q$295,"ARGH")</f>
        <v>9000</v>
      </c>
      <c r="EX4" s="3">
        <f>_xlfn.XLOOKUP(EX$1,generator!$B$2:$B$295,generator!$Q$2:$Q$295,"ARGH")</f>
        <v>9000</v>
      </c>
      <c r="EY4" s="3">
        <f>_xlfn.XLOOKUP(EY$1,generator!$B$2:$B$295,generator!$Q$2:$Q$295,"ARGH")</f>
        <v>9000</v>
      </c>
      <c r="EZ4" s="3">
        <f>_xlfn.XLOOKUP(EZ$1,generator!$B$2:$B$295,generator!$Q$2:$Q$295,"ARGH")</f>
        <v>9000</v>
      </c>
      <c r="FA4" s="3">
        <f>_xlfn.XLOOKUP(FA$1,generator!$B$2:$B$295,generator!$Q$2:$Q$295,"ARGH")</f>
        <v>9000</v>
      </c>
      <c r="FB4" s="3">
        <f>_xlfn.XLOOKUP(FB$1,generator!$B$2:$B$295,generator!$Q$2:$Q$295,"ARGH")</f>
        <v>9000</v>
      </c>
      <c r="FC4" s="3">
        <f>_xlfn.XLOOKUP(FC$1,generator!$B$2:$B$295,generator!$Q$2:$Q$295,"ARGH")</f>
        <v>9000</v>
      </c>
      <c r="FD4" s="3">
        <f>_xlfn.XLOOKUP(FD$1,generator!$B$2:$B$295,generator!$Q$2:$Q$295,"ARGH")</f>
        <v>9000</v>
      </c>
      <c r="FE4" s="3">
        <f>_xlfn.XLOOKUP(FE$1,generator!$B$2:$B$295,generator!$Q$2:$Q$295,"ARGH")</f>
        <v>9000</v>
      </c>
      <c r="FF4" s="3">
        <f>_xlfn.XLOOKUP(FF$1,generator!$B$2:$B$295,generator!$Q$2:$Q$295,"ARGH")</f>
        <v>9000</v>
      </c>
      <c r="FG4" s="3">
        <f>_xlfn.XLOOKUP(FG$1,generator!$B$2:$B$295,generator!$Q$2:$Q$295,"ARGH")</f>
        <v>9000</v>
      </c>
      <c r="FH4" s="3">
        <f>_xlfn.XLOOKUP(FH$1,generator!$B$2:$B$295,generator!$Q$2:$Q$295,"ARGH")</f>
        <v>9000</v>
      </c>
      <c r="FI4" s="3">
        <f>_xlfn.XLOOKUP(FI$1,generator!$B$2:$B$295,generator!$Q$2:$Q$295,"ARGH")</f>
        <v>9000</v>
      </c>
      <c r="FJ4" s="3">
        <f>_xlfn.XLOOKUP(FJ$1,generator!$B$2:$B$295,generator!$Q$2:$Q$295,"ARGH")</f>
        <v>9000</v>
      </c>
      <c r="FK4" s="3">
        <f>_xlfn.XLOOKUP(FK$1,generator!$B$2:$B$295,generator!$Q$2:$Q$295,"ARGH")</f>
        <v>9000</v>
      </c>
      <c r="FL4" s="3">
        <f>_xlfn.XLOOKUP(FL$1,generator!$B$2:$B$295,generator!$Q$2:$Q$295,"ARGH")</f>
        <v>9000</v>
      </c>
      <c r="FM4" s="3">
        <f>_xlfn.XLOOKUP(FM$1,generator!$B$2:$B$295,generator!$Q$2:$Q$295,"ARGH")</f>
        <v>9000</v>
      </c>
      <c r="FN4" s="3">
        <f>_xlfn.XLOOKUP(FN$1,generator!$B$2:$B$295,generator!$Q$2:$Q$295,"ARGH")</f>
        <v>9000</v>
      </c>
      <c r="FO4" s="3">
        <f>_xlfn.XLOOKUP(FO$1,generator!$B$2:$B$295,generator!$Q$2:$Q$295,"ARGH")</f>
        <v>9000</v>
      </c>
      <c r="FP4" s="3">
        <f>_xlfn.XLOOKUP(FP$1,generator!$B$2:$B$295,generator!$Q$2:$Q$295,"ARGH")</f>
        <v>9000</v>
      </c>
      <c r="FQ4" s="3">
        <f>_xlfn.XLOOKUP(FQ$1,generator!$B$2:$B$295,generator!$Q$2:$Q$295,"ARGH")</f>
        <v>9000</v>
      </c>
      <c r="FR4" s="3">
        <f>_xlfn.XLOOKUP(FR$1,generator!$B$2:$B$295,generator!$Q$2:$Q$295,"ARGH")</f>
        <v>9000</v>
      </c>
      <c r="FS4" s="3">
        <f>_xlfn.XLOOKUP(FS$1,generator!$B$2:$B$295,generator!$Q$2:$Q$295,"ARGH")</f>
        <v>9000</v>
      </c>
      <c r="FT4" s="3">
        <f>_xlfn.XLOOKUP(FT$1,generator!$B$2:$B$295,generator!$Q$2:$Q$295,"ARGH")</f>
        <v>9000</v>
      </c>
      <c r="FU4" s="3">
        <f>_xlfn.XLOOKUP(FU$1,generator!$B$2:$B$295,generator!$Q$2:$Q$295,"ARGH")</f>
        <v>9000</v>
      </c>
      <c r="FV4" s="3">
        <f>_xlfn.XLOOKUP(FV$1,generator!$B$2:$B$295,generator!$Q$2:$Q$295,"ARGH")</f>
        <v>9000</v>
      </c>
      <c r="FW4" s="3">
        <f>_xlfn.XLOOKUP(FW$1,generator!$B$2:$B$295,generator!$Q$2:$Q$295,"ARGH")</f>
        <v>9000</v>
      </c>
      <c r="FX4" s="3">
        <f>_xlfn.XLOOKUP(FX$1,generator!$B$2:$B$295,generator!$Q$2:$Q$295,"ARGH")</f>
        <v>9000</v>
      </c>
      <c r="FY4" s="3">
        <f>_xlfn.XLOOKUP(FY$1,generator!$B$2:$B$295,generator!$Q$2:$Q$295,"ARGH")</f>
        <v>9000</v>
      </c>
      <c r="FZ4" s="3">
        <f>_xlfn.XLOOKUP(FZ$1,generator!$B$2:$B$295,generator!$Q$2:$Q$295,"ARGH")</f>
        <v>9000</v>
      </c>
      <c r="GA4" s="3">
        <f>_xlfn.XLOOKUP(GA$1,generator!$B$2:$B$295,generator!$Q$2:$Q$295,"ARGH")</f>
        <v>9000</v>
      </c>
      <c r="GB4" s="3">
        <f>_xlfn.XLOOKUP(GB$1,generator!$B$2:$B$295,generator!$Q$2:$Q$295,"ARGH")</f>
        <v>9000</v>
      </c>
      <c r="GC4" s="3">
        <f>_xlfn.XLOOKUP(GC$1,generator!$B$2:$B$295,generator!$Q$2:$Q$295,"ARGH")</f>
        <v>9000</v>
      </c>
      <c r="GD4" s="3">
        <f>_xlfn.XLOOKUP(GD$1,generator!$B$2:$B$295,generator!$Q$2:$Q$295,"ARGH")</f>
        <v>9000</v>
      </c>
      <c r="GE4" s="3">
        <f>_xlfn.XLOOKUP(GE$1,generator!$B$2:$B$295,generator!$Q$2:$Q$295,"ARGH")</f>
        <v>9000</v>
      </c>
      <c r="GF4" s="3">
        <f>_xlfn.XLOOKUP(GF$1,generator!$B$2:$B$295,generator!$Q$2:$Q$295,"ARGH")</f>
        <v>9000</v>
      </c>
      <c r="GG4" s="3">
        <f>_xlfn.XLOOKUP(GG$1,generator!$B$2:$B$295,generator!$Q$2:$Q$295,"ARGH")</f>
        <v>9000</v>
      </c>
      <c r="GH4" s="3">
        <f>_xlfn.XLOOKUP(GH$1,generator!$B$2:$B$295,generator!$Q$2:$Q$295,"ARGH")</f>
        <v>9000</v>
      </c>
      <c r="GI4" s="3">
        <f>_xlfn.XLOOKUP(GI$1,generator!$B$2:$B$295,generator!$Q$2:$Q$295,"ARGH")</f>
        <v>9000</v>
      </c>
      <c r="GJ4" s="3">
        <f>_xlfn.XLOOKUP(GJ$1,generator!$B$2:$B$295,generator!$Q$2:$Q$295,"ARGH")</f>
        <v>9000</v>
      </c>
      <c r="GK4" s="3">
        <f>_xlfn.XLOOKUP(GK$1,generator!$B$2:$B$295,generator!$Q$2:$Q$295,"ARGH")</f>
        <v>9000</v>
      </c>
      <c r="GL4" s="3">
        <f>_xlfn.XLOOKUP(GL$1,generator!$B$2:$B$295,generator!$Q$2:$Q$295,"ARGH")</f>
        <v>9000</v>
      </c>
      <c r="GM4" s="3">
        <f>_xlfn.XLOOKUP(GM$1,generator!$B$2:$B$295,generator!$Q$2:$Q$295,"ARGH")</f>
        <v>9000</v>
      </c>
      <c r="GN4" s="3">
        <f>_xlfn.XLOOKUP(GN$1,generator!$B$2:$B$295,generator!$Q$2:$Q$295,"ARGH")</f>
        <v>9000</v>
      </c>
      <c r="GO4" s="3">
        <f>_xlfn.XLOOKUP(GO$1,generator!$B$2:$B$295,generator!$Q$2:$Q$295,"ARGH")</f>
        <v>9000</v>
      </c>
      <c r="GP4" s="3">
        <f>_xlfn.XLOOKUP(GP$1,generator!$B$2:$B$295,generator!$Q$2:$Q$295,"ARGH")</f>
        <v>9000</v>
      </c>
      <c r="GQ4" s="3">
        <f>_xlfn.XLOOKUP(GQ$1,generator!$B$2:$B$295,generator!$Q$2:$Q$295,"ARGH")</f>
        <v>9000</v>
      </c>
      <c r="GR4" s="3">
        <f>_xlfn.XLOOKUP(GR$1,generator!$B$2:$B$295,generator!$Q$2:$Q$295,"ARGH")</f>
        <v>9000</v>
      </c>
      <c r="GS4" s="3">
        <f>_xlfn.XLOOKUP(GS$1,generator!$B$2:$B$295,generator!$Q$2:$Q$295,"ARGH")</f>
        <v>9000</v>
      </c>
      <c r="GT4" s="3">
        <f>_xlfn.XLOOKUP(GT$1,generator!$B$2:$B$295,generator!$Q$2:$Q$295,"ARGH")</f>
        <v>9000</v>
      </c>
      <c r="GU4" s="3">
        <f>_xlfn.XLOOKUP(GU$1,generator!$B$2:$B$295,generator!$Q$2:$Q$295,"ARGH")</f>
        <v>9000</v>
      </c>
      <c r="GV4" s="3">
        <f>_xlfn.XLOOKUP(GV$1,generator!$B$2:$B$295,generator!$Q$2:$Q$295,"ARGH")</f>
        <v>9000</v>
      </c>
      <c r="GW4" s="3">
        <f>_xlfn.XLOOKUP(GW$1,generator!$B$2:$B$295,generator!$Q$2:$Q$295,"ARGH")</f>
        <v>9000</v>
      </c>
      <c r="GX4" s="3">
        <f>_xlfn.XLOOKUP(GX$1,generator!$B$2:$B$295,generator!$Q$2:$Q$295,"ARGH")</f>
        <v>9000</v>
      </c>
      <c r="GY4" s="3">
        <f>_xlfn.XLOOKUP(GY$1,generator!$B$2:$B$295,generator!$Q$2:$Q$295,"ARGH")</f>
        <v>9000</v>
      </c>
      <c r="GZ4" s="3">
        <f>_xlfn.XLOOKUP(GZ$1,generator!$B$2:$B$295,generator!$Q$2:$Q$295,"ARGH")</f>
        <v>9000</v>
      </c>
      <c r="HA4" s="3">
        <f>_xlfn.XLOOKUP(HA$1,generator!$B$2:$B$295,generator!$Q$2:$Q$295,"ARGH")</f>
        <v>9000</v>
      </c>
      <c r="HB4" s="3">
        <f>_xlfn.XLOOKUP(HB$1,generator!$B$2:$B$295,generator!$Q$2:$Q$295,"ARGH")</f>
        <v>9000</v>
      </c>
      <c r="HC4" s="3">
        <f>_xlfn.XLOOKUP(HC$1,generator!$B$2:$B$295,generator!$Q$2:$Q$295,"ARGH")</f>
        <v>9000</v>
      </c>
      <c r="HD4" s="3">
        <f>_xlfn.XLOOKUP(HD$1,generator!$B$2:$B$295,generator!$Q$2:$Q$295,"ARGH")</f>
        <v>9000</v>
      </c>
      <c r="HE4" s="3">
        <f>_xlfn.XLOOKUP(HE$1,generator!$B$2:$B$295,generator!$Q$2:$Q$295,"ARGH")</f>
        <v>8000</v>
      </c>
      <c r="HF4" s="3" t="str">
        <f>_xlfn.XLOOKUP(HF$1,generator!$B$2:$B$295,generator!$Q$2:$Q$295,"ARGH")</f>
        <v>143</v>
      </c>
      <c r="HG4" s="3" t="str">
        <f>_xlfn.XLOOKUP(HG$1,generator!$B$2:$B$295,generator!$Q$2:$Q$295,"ARGH")</f>
        <v>143</v>
      </c>
      <c r="HH4" s="3" t="str">
        <f>_xlfn.XLOOKUP(HH$1,generator!$B$2:$B$295,generator!$Q$2:$Q$295,"ARGH")</f>
        <v>143</v>
      </c>
      <c r="HI4" s="3" t="str">
        <f>_xlfn.XLOOKUP(HI$1,generator!$B$2:$B$295,generator!$Q$2:$Q$295,"ARGH")</f>
        <v>246.74</v>
      </c>
      <c r="HJ4" s="3" t="str">
        <f>_xlfn.XLOOKUP(HJ$1,generator!$B$2:$B$295,generator!$Q$2:$Q$295,"ARGH")</f>
        <v>246.74</v>
      </c>
      <c r="HK4" s="3" t="str">
        <f>_xlfn.XLOOKUP(HK$1,generator!$B$2:$B$295,generator!$Q$2:$Q$295,"ARGH")</f>
        <v>206.04</v>
      </c>
      <c r="HL4" s="3" t="str">
        <f>_xlfn.XLOOKUP(HL$1,generator!$B$2:$B$295,generator!$Q$2:$Q$295,"ARGH")</f>
        <v>506.96</v>
      </c>
      <c r="HM4" s="3" t="str">
        <f>_xlfn.XLOOKUP(HM$1,generator!$B$2:$B$295,generator!$Q$2:$Q$295,"ARGH")</f>
        <v>506.95</v>
      </c>
      <c r="HN4" s="3" t="str">
        <f>_xlfn.XLOOKUP(HN$1,generator!$B$2:$B$295,generator!$Q$2:$Q$295,"ARGH")</f>
        <v>190.97</v>
      </c>
      <c r="HO4" s="3" t="str">
        <f>_xlfn.XLOOKUP(HO$1,generator!$B$2:$B$295,generator!$Q$2:$Q$295,"ARGH")</f>
        <v>190.97</v>
      </c>
      <c r="HP4" s="3" t="str">
        <f>_xlfn.XLOOKUP(HP$1,generator!$B$2:$B$295,generator!$Q$2:$Q$295,"ARGH")</f>
        <v>424.84</v>
      </c>
      <c r="HQ4" s="3" t="str">
        <f>_xlfn.XLOOKUP(HQ$1,generator!$B$2:$B$295,generator!$Q$2:$Q$295,"ARGH")</f>
        <v>425.9</v>
      </c>
      <c r="HR4" s="3" t="str">
        <f>_xlfn.XLOOKUP(HR$1,generator!$B$2:$B$295,generator!$Q$2:$Q$295,"ARGH")</f>
        <v>425.9</v>
      </c>
      <c r="HS4" s="3" t="str">
        <f>_xlfn.XLOOKUP(HS$1,generator!$B$2:$B$295,generator!$Q$2:$Q$295,"ARGH")</f>
        <v>196.54</v>
      </c>
      <c r="HT4" s="3" t="str">
        <f>_xlfn.XLOOKUP(HT$1,generator!$B$2:$B$295,generator!$Q$2:$Q$295,"ARGH")</f>
        <v>196.54</v>
      </c>
      <c r="HU4" s="3" t="str">
        <f>_xlfn.XLOOKUP(HU$1,generator!$B$2:$B$295,generator!$Q$2:$Q$295,"ARGH")</f>
        <v>145.57</v>
      </c>
      <c r="HV4" s="3" t="str">
        <f>_xlfn.XLOOKUP(HV$1,generator!$B$2:$B$295,generator!$Q$2:$Q$295,"ARGH")</f>
        <v>132.62</v>
      </c>
      <c r="HW4" s="3" t="str">
        <f>_xlfn.XLOOKUP(HW$1,generator!$B$2:$B$295,generator!$Q$2:$Q$295,"ARGH")</f>
        <v>193.76</v>
      </c>
      <c r="HX4" s="3" t="str">
        <f>_xlfn.XLOOKUP(HX$1,generator!$B$2:$B$295,generator!$Q$2:$Q$295,"ARGH")</f>
        <v>193.76</v>
      </c>
      <c r="HY4" s="3" t="str">
        <f>_xlfn.XLOOKUP(HY$1,generator!$B$2:$B$295,generator!$Q$2:$Q$295,"ARGH")</f>
        <v>79.19</v>
      </c>
      <c r="HZ4" s="3" t="str">
        <f>_xlfn.XLOOKUP(HZ$1,generator!$B$2:$B$295,generator!$Q$2:$Q$295,"ARGH")</f>
        <v>125.79</v>
      </c>
      <c r="IA4" s="3" t="str">
        <f>_xlfn.XLOOKUP(IA$1,generator!$B$2:$B$295,generator!$Q$2:$Q$295,"ARGH")</f>
        <v>54.19</v>
      </c>
      <c r="IB4" s="3" t="str">
        <f>_xlfn.XLOOKUP(IB$1,generator!$B$2:$B$295,generator!$Q$2:$Q$295,"ARGH")</f>
        <v>59.7</v>
      </c>
      <c r="IC4" s="3">
        <f>_xlfn.XLOOKUP(IC$1,generator!$B$2:$B$295,generator!$Q$2:$Q$295,"ARGH")</f>
        <v>0</v>
      </c>
      <c r="ID4" s="3" t="str">
        <f>_xlfn.XLOOKUP(ID$1,generator!$B$2:$B$295,generator!$Q$2:$Q$295,"ARGH")</f>
        <v>121.14</v>
      </c>
      <c r="IE4" s="3" t="str">
        <f>_xlfn.XLOOKUP(IE$1,generator!$B$2:$B$295,generator!$Q$2:$Q$295,"ARGH")</f>
        <v>26.6</v>
      </c>
      <c r="IF4" s="3">
        <f>_xlfn.XLOOKUP(IF$1,generator!$B$2:$B$295,generator!$Q$2:$Q$295,"ARGH")</f>
        <v>8000</v>
      </c>
      <c r="IG4" s="3">
        <f>_xlfn.XLOOKUP(IG$1,generator!$B$2:$B$295,generator!$Q$2:$Q$295,"ARGH")</f>
        <v>8000</v>
      </c>
      <c r="IH4" s="3">
        <f>_xlfn.XLOOKUP(IH$1,generator!$B$2:$B$295,generator!$Q$2:$Q$295,"ARGH")</f>
        <v>8000</v>
      </c>
      <c r="II4" s="3">
        <f>_xlfn.XLOOKUP(II$1,generator!$B$2:$B$295,generator!$Q$2:$Q$295,"ARGH")</f>
        <v>8000</v>
      </c>
      <c r="IJ4" s="3">
        <f>_xlfn.XLOOKUP(IJ$1,generator!$B$2:$B$295,generator!$Q$2:$Q$295,"ARGH")</f>
        <v>8000</v>
      </c>
      <c r="IK4" s="3">
        <f>_xlfn.XLOOKUP(IK$1,generator!$B$2:$B$295,generator!$Q$2:$Q$295,"ARGH")</f>
        <v>8000</v>
      </c>
      <c r="IL4" s="3">
        <f>_xlfn.XLOOKUP(IL$1,generator!$B$2:$B$295,generator!$Q$2:$Q$295,"ARGH")</f>
        <v>8000</v>
      </c>
      <c r="IM4" s="3">
        <f>_xlfn.XLOOKUP(IM$1,generator!$B$2:$B$295,generator!$Q$2:$Q$295,"ARGH")</f>
        <v>8000</v>
      </c>
      <c r="IN4" s="3">
        <f>_xlfn.XLOOKUP(IN$1,generator!$B$2:$B$295,generator!$Q$2:$Q$295,"ARGH")</f>
        <v>8000</v>
      </c>
      <c r="IO4" s="3">
        <f>_xlfn.XLOOKUP(IO$1,generator!$B$2:$B$295,generator!$Q$2:$Q$295,"ARGH")</f>
        <v>8000</v>
      </c>
      <c r="IP4" s="3">
        <f>_xlfn.XLOOKUP(IP$1,generator!$B$2:$B$295,generator!$Q$2:$Q$295,"ARGH")</f>
        <v>8000</v>
      </c>
      <c r="IQ4" s="3">
        <f>_xlfn.XLOOKUP(IQ$1,generator!$B$2:$B$295,generator!$Q$2:$Q$295,"ARGH")</f>
        <v>8000</v>
      </c>
      <c r="IR4" s="3">
        <f>_xlfn.XLOOKUP(IR$1,generator!$B$2:$B$295,generator!$Q$2:$Q$295,"ARGH")</f>
        <v>8000</v>
      </c>
      <c r="IS4" s="3">
        <f>_xlfn.XLOOKUP(IS$1,generator!$B$2:$B$295,generator!$Q$2:$Q$295,"ARGH")</f>
        <v>8000</v>
      </c>
      <c r="IT4" s="3">
        <f>_xlfn.XLOOKUP(IT$1,generator!$B$2:$B$295,generator!$Q$2:$Q$295,"ARGH")</f>
        <v>8000</v>
      </c>
      <c r="IU4" s="3">
        <f>_xlfn.XLOOKUP(IU$1,generator!$B$2:$B$295,generator!$Q$2:$Q$295,"ARGH")</f>
        <v>8000</v>
      </c>
      <c r="IV4" s="3">
        <f>_xlfn.XLOOKUP(IV$1,generator!$B$2:$B$295,generator!$Q$2:$Q$295,"ARGH")</f>
        <v>8000</v>
      </c>
      <c r="IW4" s="3" t="str">
        <f>_xlfn.XLOOKUP(IW$1,generator!$B$2:$B$295,generator!$Q$2:$Q$295,"ARGH")</f>
        <v>108.19</v>
      </c>
      <c r="IX4" s="3" t="str">
        <f>_xlfn.XLOOKUP(IX$1,generator!$B$2:$B$295,generator!$Q$2:$Q$295,"ARGH")</f>
        <v>108.18</v>
      </c>
      <c r="IY4" s="3" t="str">
        <f>_xlfn.XLOOKUP(IY$1,generator!$B$2:$B$295,generator!$Q$2:$Q$295,"ARGH")</f>
        <v>108.17</v>
      </c>
      <c r="IZ4" s="3" t="str">
        <f>_xlfn.XLOOKUP(IZ$1,generator!$B$2:$B$295,generator!$Q$2:$Q$295,"ARGH")</f>
        <v>40.96</v>
      </c>
      <c r="JA4" s="3">
        <f>_xlfn.XLOOKUP(JA$1,generator!$B$2:$B$295,generator!$Q$2:$Q$295,"ARGH")</f>
        <v>0</v>
      </c>
      <c r="JB4" s="3">
        <f>_xlfn.XLOOKUP(JB$1,generator!$B$2:$B$295,generator!$Q$2:$Q$295,"ARGH")</f>
        <v>0</v>
      </c>
      <c r="JC4" s="3" t="str">
        <f>_xlfn.XLOOKUP(JC$1,generator!$B$2:$B$295,generator!$Q$2:$Q$295,"ARGH")</f>
        <v>75.91</v>
      </c>
      <c r="JD4" s="3" t="str">
        <f>_xlfn.XLOOKUP(JD$1,generator!$B$2:$B$295,generator!$Q$2:$Q$295,"ARGH")</f>
        <v>75.91</v>
      </c>
      <c r="JE4" s="3" t="str">
        <f>_xlfn.XLOOKUP(JE$1,generator!$B$2:$B$295,generator!$Q$2:$Q$295,"ARGH")</f>
        <v>51.59</v>
      </c>
      <c r="JF4" s="3" t="str">
        <f>_xlfn.XLOOKUP(JF$1,generator!$B$2:$B$295,generator!$Q$2:$Q$295,"ARGH")</f>
        <v>111.57</v>
      </c>
      <c r="JG4" s="3">
        <f>_xlfn.XLOOKUP(JG$1,generator!$B$2:$B$295,generator!$Q$2:$Q$295,"ARGH")</f>
        <v>0</v>
      </c>
      <c r="JH4" s="3" t="str">
        <f>_xlfn.XLOOKUP(JH$1,generator!$B$2:$B$295,generator!$Q$2:$Q$295,"ARGH")</f>
        <v>48.65</v>
      </c>
      <c r="JI4" s="3" t="str">
        <f>_xlfn.XLOOKUP(JI$1,generator!$B$2:$B$295,generator!$Q$2:$Q$295,"ARGH")</f>
        <v>71.88</v>
      </c>
      <c r="JJ4" s="3" t="str">
        <f>_xlfn.XLOOKUP(JJ$1,generator!$B$2:$B$295,generator!$Q$2:$Q$295,"ARGH")</f>
        <v>98.17</v>
      </c>
      <c r="JK4" s="3" t="str">
        <f>_xlfn.XLOOKUP(JK$1,generator!$B$2:$B$295,generator!$Q$2:$Q$295,"ARGH")</f>
        <v>98.17</v>
      </c>
      <c r="JL4" s="3" t="str">
        <f>_xlfn.XLOOKUP(JL$1,generator!$B$2:$B$295,generator!$Q$2:$Q$295,"ARGH")</f>
        <v>98.17</v>
      </c>
      <c r="JM4" s="3" t="str">
        <f>_xlfn.XLOOKUP(JM$1,generator!$B$2:$B$295,generator!$Q$2:$Q$295,"ARGH")</f>
        <v>98.17</v>
      </c>
      <c r="JN4" s="3" t="str">
        <f>_xlfn.XLOOKUP(JN$1,generator!$B$2:$B$295,generator!$Q$2:$Q$295,"ARGH")</f>
        <v>98.17</v>
      </c>
      <c r="JO4" s="3" t="str">
        <f>_xlfn.XLOOKUP(JO$1,generator!$B$2:$B$295,generator!$Q$2:$Q$295,"ARGH")</f>
        <v>98.17</v>
      </c>
      <c r="JP4" s="3" t="str">
        <f>_xlfn.XLOOKUP(JP$1,generator!$B$2:$B$295,generator!$Q$2:$Q$295,"ARGH")</f>
        <v>47.53</v>
      </c>
      <c r="JQ4" s="3" t="str">
        <f>_xlfn.XLOOKUP(JQ$1,generator!$B$2:$B$295,generator!$Q$2:$Q$295,"ARGH")</f>
        <v>108.86</v>
      </c>
      <c r="JR4" s="3" t="str">
        <f>_xlfn.XLOOKUP(JR$1,generator!$B$2:$B$295,generator!$Q$2:$Q$295,"ARGH")</f>
        <v>83.15</v>
      </c>
      <c r="JS4" s="3" t="str">
        <f>_xlfn.XLOOKUP(JS$1,generator!$B$2:$B$295,generator!$Q$2:$Q$295,"ARGH")</f>
        <v>83.15</v>
      </c>
      <c r="JT4" s="3" t="str">
        <f>_xlfn.XLOOKUP(JT$1,generator!$B$2:$B$295,generator!$Q$2:$Q$295,"ARGH")</f>
        <v>108.86</v>
      </c>
      <c r="JU4" s="3">
        <f>_xlfn.XLOOKUP(JU$1,generator!$B$2:$B$295,generator!$Q$2:$Q$295,"ARGH")</f>
        <v>0</v>
      </c>
      <c r="JV4" s="3" t="str">
        <f>_xlfn.XLOOKUP(JV$1,generator!$B$2:$B$295,generator!$Q$2:$Q$295,"ARGH")</f>
        <v>77.63</v>
      </c>
      <c r="JW4" s="3" t="str">
        <f>_xlfn.XLOOKUP(JW$1,generator!$B$2:$B$295,generator!$Q$2:$Q$295,"ARGH")</f>
        <v>77.64</v>
      </c>
      <c r="JX4" s="3" t="str">
        <f>_xlfn.XLOOKUP(JX$1,generator!$B$2:$B$295,generator!$Q$2:$Q$295,"ARGH")</f>
        <v>331.49</v>
      </c>
      <c r="JY4" s="3">
        <f>_xlfn.XLOOKUP(JY$1,generator!$B$2:$B$295,generator!$Q$2:$Q$295,"ARGH")</f>
        <v>7000</v>
      </c>
      <c r="JZ4" s="3">
        <f>_xlfn.XLOOKUP(JZ$1,generator!$B$2:$B$295,generator!$Q$2:$Q$295,"ARGH")</f>
        <v>0</v>
      </c>
      <c r="KA4" s="3">
        <f>_xlfn.XLOOKUP(KA$1,generator!$B$2:$B$295,generator!$Q$2:$Q$295,"ARGH")</f>
        <v>0</v>
      </c>
      <c r="KB4" s="3">
        <f>_xlfn.XLOOKUP(KB$1,generator!$B$2:$B$295,generator!$Q$2:$Q$295,"ARGH")</f>
        <v>0</v>
      </c>
      <c r="KC4" s="3">
        <f>_xlfn.XLOOKUP(KC$1,generator!$B$2:$B$295,generator!$Q$2:$Q$295,"ARGH")</f>
        <v>0</v>
      </c>
    </row>
    <row r="5" spans="1:289" x14ac:dyDescent="0.3">
      <c r="A5" s="4" t="s">
        <v>3000</v>
      </c>
      <c r="B5" s="3">
        <v>15000</v>
      </c>
      <c r="C5" s="3">
        <v>15000</v>
      </c>
      <c r="D5" s="3">
        <v>15000</v>
      </c>
      <c r="E5" s="3">
        <f>_xlfn.XLOOKUP(E$1,generator!$B$2:$B$295,generator!$Q$2:$Q$295,"ARGH")</f>
        <v>9000</v>
      </c>
      <c r="F5" s="3">
        <f>_xlfn.XLOOKUP(F$1,generator!$B$2:$B$295,generator!$Q$2:$Q$295,"ARGH")</f>
        <v>9000</v>
      </c>
      <c r="G5" s="3">
        <f>_xlfn.XLOOKUP(G$1,generator!$B$2:$B$295,generator!$Q$2:$Q$295,"ARGH")</f>
        <v>9000</v>
      </c>
      <c r="H5" s="3">
        <f>_xlfn.XLOOKUP(H$1,generator!$B$2:$B$295,generator!$Q$2:$Q$295,"ARGH")</f>
        <v>9000</v>
      </c>
      <c r="I5" s="3">
        <f>_xlfn.XLOOKUP(I$1,generator!$B$2:$B$295,generator!$Q$2:$Q$295,"ARGH")</f>
        <v>9000</v>
      </c>
      <c r="J5" s="3">
        <f>_xlfn.XLOOKUP(J$1,generator!$B$2:$B$295,generator!$Q$2:$Q$295,"ARGH")</f>
        <v>9000</v>
      </c>
      <c r="K5" s="3">
        <f>_xlfn.XLOOKUP(K$1,generator!$B$2:$B$295,generator!$Q$2:$Q$295,"ARGH")</f>
        <v>9000</v>
      </c>
      <c r="L5" s="3">
        <f>_xlfn.XLOOKUP(L$1,generator!$B$2:$B$295,generator!$Q$2:$Q$295,"ARGH")</f>
        <v>9000</v>
      </c>
      <c r="M5" s="3">
        <f>_xlfn.XLOOKUP(M$1,generator!$B$2:$B$295,generator!$Q$2:$Q$295,"ARGH")</f>
        <v>9000</v>
      </c>
      <c r="N5" s="3">
        <f>_xlfn.XLOOKUP(N$1,generator!$B$2:$B$295,generator!$Q$2:$Q$295,"ARGH")</f>
        <v>9000</v>
      </c>
      <c r="O5" s="3">
        <f>_xlfn.XLOOKUP(O$1,generator!$B$2:$B$295,generator!$Q$2:$Q$295,"ARGH")</f>
        <v>9000</v>
      </c>
      <c r="P5" s="3">
        <f>_xlfn.XLOOKUP(P$1,generator!$B$2:$B$295,generator!$Q$2:$Q$295,"ARGH")</f>
        <v>9000</v>
      </c>
      <c r="Q5" s="3">
        <f>_xlfn.XLOOKUP(Q$1,generator!$B$2:$B$295,generator!$Q$2:$Q$295,"ARGH")</f>
        <v>9000</v>
      </c>
      <c r="R5" s="3">
        <f>_xlfn.XLOOKUP(R$1,generator!$B$2:$B$295,generator!$Q$2:$Q$295,"ARGH")</f>
        <v>9000</v>
      </c>
      <c r="S5" s="3">
        <f>_xlfn.XLOOKUP(S$1,generator!$B$2:$B$295,generator!$Q$2:$Q$295,"ARGH")</f>
        <v>9000</v>
      </c>
      <c r="T5" s="3">
        <f>_xlfn.XLOOKUP(T$1,generator!$B$2:$B$295,generator!$Q$2:$Q$295,"ARGH")</f>
        <v>9000</v>
      </c>
      <c r="U5" s="3">
        <f>_xlfn.XLOOKUP(U$1,generator!$B$2:$B$295,generator!$Q$2:$Q$295,"ARGH")</f>
        <v>9000</v>
      </c>
      <c r="V5" s="3">
        <f>_xlfn.XLOOKUP(V$1,generator!$B$2:$B$295,generator!$Q$2:$Q$295,"ARGH")</f>
        <v>9000</v>
      </c>
      <c r="W5" s="3">
        <f>_xlfn.XLOOKUP(W$1,generator!$B$2:$B$295,generator!$Q$2:$Q$295,"ARGH")</f>
        <v>9000</v>
      </c>
      <c r="X5" s="3">
        <f>_xlfn.XLOOKUP(X$1,generator!$B$2:$B$295,generator!$Q$2:$Q$295,"ARGH")</f>
        <v>9000</v>
      </c>
      <c r="Y5" s="3">
        <f>_xlfn.XLOOKUP(Y$1,generator!$B$2:$B$295,generator!$Q$2:$Q$295,"ARGH")</f>
        <v>9000</v>
      </c>
      <c r="Z5" s="3">
        <f>_xlfn.XLOOKUP(Z$1,generator!$B$2:$B$295,generator!$Q$2:$Q$295,"ARGH")</f>
        <v>9000</v>
      </c>
      <c r="AA5" s="3">
        <f>_xlfn.XLOOKUP(AA$1,generator!$B$2:$B$295,generator!$Q$2:$Q$295,"ARGH")</f>
        <v>9000</v>
      </c>
      <c r="AB5" s="3">
        <f>_xlfn.XLOOKUP(AB$1,generator!$B$2:$B$295,generator!$Q$2:$Q$295,"ARGH")</f>
        <v>9000</v>
      </c>
      <c r="AC5" s="3">
        <f>_xlfn.XLOOKUP(AC$1,generator!$B$2:$B$295,generator!$Q$2:$Q$295,"ARGH")</f>
        <v>9000</v>
      </c>
      <c r="AD5" s="3">
        <f>_xlfn.XLOOKUP(AD$1,generator!$B$2:$B$295,generator!$Q$2:$Q$295,"ARGH")</f>
        <v>9000</v>
      </c>
      <c r="AE5" s="3">
        <f>_xlfn.XLOOKUP(AE$1,generator!$B$2:$B$295,generator!$Q$2:$Q$295,"ARGH")</f>
        <v>9000</v>
      </c>
      <c r="AF5" s="3">
        <f>_xlfn.XLOOKUP(AF$1,generator!$B$2:$B$295,generator!$Q$2:$Q$295,"ARGH")</f>
        <v>9000</v>
      </c>
      <c r="AG5" s="3">
        <f>_xlfn.XLOOKUP(AG$1,generator!$B$2:$B$295,generator!$Q$2:$Q$295,"ARGH")</f>
        <v>9000</v>
      </c>
      <c r="AH5" s="3">
        <f>_xlfn.XLOOKUP(AH$1,generator!$B$2:$B$295,generator!$Q$2:$Q$295,"ARGH")</f>
        <v>9000</v>
      </c>
      <c r="AI5" s="3">
        <f>_xlfn.XLOOKUP(AI$1,generator!$B$2:$B$295,generator!$Q$2:$Q$295,"ARGH")</f>
        <v>9000</v>
      </c>
      <c r="AJ5" s="3">
        <f>_xlfn.XLOOKUP(AJ$1,generator!$B$2:$B$295,generator!$Q$2:$Q$295,"ARGH")</f>
        <v>9000</v>
      </c>
      <c r="AK5" s="3">
        <f>_xlfn.XLOOKUP(AK$1,generator!$B$2:$B$295,generator!$Q$2:$Q$295,"ARGH")</f>
        <v>9000</v>
      </c>
      <c r="AL5" s="3">
        <f>_xlfn.XLOOKUP(AL$1,generator!$B$2:$B$295,generator!$Q$2:$Q$295,"ARGH")</f>
        <v>9000</v>
      </c>
      <c r="AM5" s="3">
        <f>_xlfn.XLOOKUP(AM$1,generator!$B$2:$B$295,generator!$Q$2:$Q$295,"ARGH")</f>
        <v>9000</v>
      </c>
      <c r="AN5" s="3">
        <f>_xlfn.XLOOKUP(AN$1,generator!$B$2:$B$295,generator!$Q$2:$Q$295,"ARGH")</f>
        <v>9000</v>
      </c>
      <c r="AO5" s="3">
        <f>_xlfn.XLOOKUP(AO$1,generator!$B$2:$B$295,generator!$Q$2:$Q$295,"ARGH")</f>
        <v>9000</v>
      </c>
      <c r="AP5" s="3">
        <f>_xlfn.XLOOKUP(AP$1,generator!$B$2:$B$295,generator!$Q$2:$Q$295,"ARGH")</f>
        <v>9000</v>
      </c>
      <c r="AQ5" s="3">
        <f>_xlfn.XLOOKUP(AQ$1,generator!$B$2:$B$295,generator!$Q$2:$Q$295,"ARGH")</f>
        <v>9000</v>
      </c>
      <c r="AR5" s="3">
        <f>_xlfn.XLOOKUP(AR$1,generator!$B$2:$B$295,generator!$Q$2:$Q$295,"ARGH")</f>
        <v>9000</v>
      </c>
      <c r="AS5" s="3">
        <f>_xlfn.XLOOKUP(AS$1,generator!$B$2:$B$295,generator!$Q$2:$Q$295,"ARGH")</f>
        <v>9000</v>
      </c>
      <c r="AT5" s="3">
        <f>_xlfn.XLOOKUP(AT$1,generator!$B$2:$B$295,generator!$Q$2:$Q$295,"ARGH")</f>
        <v>9000</v>
      </c>
      <c r="AU5" s="3">
        <f>_xlfn.XLOOKUP(AU$1,generator!$B$2:$B$295,generator!$Q$2:$Q$295,"ARGH")</f>
        <v>9000</v>
      </c>
      <c r="AV5" s="3">
        <f>_xlfn.XLOOKUP(AV$1,generator!$B$2:$B$295,generator!$Q$2:$Q$295,"ARGH")</f>
        <v>9000</v>
      </c>
      <c r="AW5" s="3">
        <f>_xlfn.XLOOKUP(AW$1,generator!$B$2:$B$295,generator!$Q$2:$Q$295,"ARGH")</f>
        <v>9000</v>
      </c>
      <c r="AX5" s="3">
        <f>_xlfn.XLOOKUP(AX$1,generator!$B$2:$B$295,generator!$Q$2:$Q$295,"ARGH")</f>
        <v>9000</v>
      </c>
      <c r="AY5" s="3">
        <f>_xlfn.XLOOKUP(AY$1,generator!$B$2:$B$295,generator!$Q$2:$Q$295,"ARGH")</f>
        <v>9000</v>
      </c>
      <c r="AZ5" s="3">
        <f>_xlfn.XLOOKUP(AZ$1,generator!$B$2:$B$295,generator!$Q$2:$Q$295,"ARGH")</f>
        <v>9000</v>
      </c>
      <c r="BA5" s="3">
        <f>_xlfn.XLOOKUP(BA$1,generator!$B$2:$B$295,generator!$Q$2:$Q$295,"ARGH")</f>
        <v>9000</v>
      </c>
      <c r="BB5" s="3">
        <f>_xlfn.XLOOKUP(BB$1,generator!$B$2:$B$295,generator!$Q$2:$Q$295,"ARGH")</f>
        <v>9000</v>
      </c>
      <c r="BC5" s="3">
        <f>_xlfn.XLOOKUP(BC$1,generator!$B$2:$B$295,generator!$Q$2:$Q$295,"ARGH")</f>
        <v>9000</v>
      </c>
      <c r="BD5" s="3">
        <f>_xlfn.XLOOKUP(BD$1,generator!$B$2:$B$295,generator!$Q$2:$Q$295,"ARGH")</f>
        <v>9000</v>
      </c>
      <c r="BE5" s="3">
        <f>_xlfn.XLOOKUP(BE$1,generator!$B$2:$B$295,generator!$Q$2:$Q$295,"ARGH")</f>
        <v>9000</v>
      </c>
      <c r="BF5" s="3">
        <f>_xlfn.XLOOKUP(BF$1,generator!$B$2:$B$295,generator!$Q$2:$Q$295,"ARGH")</f>
        <v>9000</v>
      </c>
      <c r="BG5" s="3">
        <f>_xlfn.XLOOKUP(BG$1,generator!$B$2:$B$295,generator!$Q$2:$Q$295,"ARGH")</f>
        <v>9000</v>
      </c>
      <c r="BH5" s="3">
        <f>_xlfn.XLOOKUP(BH$1,generator!$B$2:$B$295,generator!$Q$2:$Q$295,"ARGH")</f>
        <v>9000</v>
      </c>
      <c r="BI5" s="3">
        <f>_xlfn.XLOOKUP(BI$1,generator!$B$2:$B$295,generator!$Q$2:$Q$295,"ARGH")</f>
        <v>9000</v>
      </c>
      <c r="BJ5" s="3">
        <f>_xlfn.XLOOKUP(BJ$1,generator!$B$2:$B$295,generator!$Q$2:$Q$295,"ARGH")</f>
        <v>9000</v>
      </c>
      <c r="BK5" s="3">
        <f>_xlfn.XLOOKUP(BK$1,generator!$B$2:$B$295,generator!$Q$2:$Q$295,"ARGH")</f>
        <v>9000</v>
      </c>
      <c r="BL5" s="3">
        <f>_xlfn.XLOOKUP(BL$1,generator!$B$2:$B$295,generator!$Q$2:$Q$295,"ARGH")</f>
        <v>9000</v>
      </c>
      <c r="BM5" s="3">
        <f>_xlfn.XLOOKUP(BM$1,generator!$B$2:$B$295,generator!$Q$2:$Q$295,"ARGH")</f>
        <v>9000</v>
      </c>
      <c r="BN5" s="3">
        <f>_xlfn.XLOOKUP(BN$1,generator!$B$2:$B$295,generator!$Q$2:$Q$295,"ARGH")</f>
        <v>9000</v>
      </c>
      <c r="BO5" s="3">
        <f>_xlfn.XLOOKUP(BO$1,generator!$B$2:$B$295,generator!$Q$2:$Q$295,"ARGH")</f>
        <v>9000</v>
      </c>
      <c r="BP5" s="3">
        <f>_xlfn.XLOOKUP(BP$1,generator!$B$2:$B$295,generator!$Q$2:$Q$295,"ARGH")</f>
        <v>9000</v>
      </c>
      <c r="BQ5" s="3">
        <f>_xlfn.XLOOKUP(BQ$1,generator!$B$2:$B$295,generator!$Q$2:$Q$295,"ARGH")</f>
        <v>9000</v>
      </c>
      <c r="BR5" s="3">
        <f>_xlfn.XLOOKUP(BR$1,generator!$B$2:$B$295,generator!$Q$2:$Q$295,"ARGH")</f>
        <v>9000</v>
      </c>
      <c r="BS5" s="3">
        <f>_xlfn.XLOOKUP(BS$1,generator!$B$2:$B$295,generator!$Q$2:$Q$295,"ARGH")</f>
        <v>9000</v>
      </c>
      <c r="BT5" s="3">
        <f>_xlfn.XLOOKUP(BT$1,generator!$B$2:$B$295,generator!$Q$2:$Q$295,"ARGH")</f>
        <v>9000</v>
      </c>
      <c r="BU5" s="3">
        <f>_xlfn.XLOOKUP(BU$1,generator!$B$2:$B$295,generator!$Q$2:$Q$295,"ARGH")</f>
        <v>9000</v>
      </c>
      <c r="BV5" s="3">
        <f>_xlfn.XLOOKUP(BV$1,generator!$B$2:$B$295,generator!$Q$2:$Q$295,"ARGH")</f>
        <v>9000</v>
      </c>
      <c r="BW5" s="3">
        <f>_xlfn.XLOOKUP(BW$1,generator!$B$2:$B$295,generator!$Q$2:$Q$295,"ARGH")</f>
        <v>9000</v>
      </c>
      <c r="BX5" s="3">
        <f>_xlfn.XLOOKUP(BX$1,generator!$B$2:$B$295,generator!$Q$2:$Q$295,"ARGH")</f>
        <v>9000</v>
      </c>
      <c r="BY5" s="3">
        <f>_xlfn.XLOOKUP(BY$1,generator!$B$2:$B$295,generator!$Q$2:$Q$295,"ARGH")</f>
        <v>9000</v>
      </c>
      <c r="BZ5" s="3">
        <f>_xlfn.XLOOKUP(BZ$1,generator!$B$2:$B$295,generator!$Q$2:$Q$295,"ARGH")</f>
        <v>9000</v>
      </c>
      <c r="CA5" s="3">
        <f>_xlfn.XLOOKUP(CA$1,generator!$B$2:$B$295,generator!$Q$2:$Q$295,"ARGH")</f>
        <v>9000</v>
      </c>
      <c r="CB5" s="3">
        <f>_xlfn.XLOOKUP(CB$1,generator!$B$2:$B$295,generator!$Q$2:$Q$295,"ARGH")</f>
        <v>9000</v>
      </c>
      <c r="CC5" s="3">
        <f>_xlfn.XLOOKUP(CC$1,generator!$B$2:$B$295,generator!$Q$2:$Q$295,"ARGH")</f>
        <v>9000</v>
      </c>
      <c r="CD5" s="3">
        <f>_xlfn.XLOOKUP(CD$1,generator!$B$2:$B$295,generator!$Q$2:$Q$295,"ARGH")</f>
        <v>9000</v>
      </c>
      <c r="CE5" s="3">
        <f>_xlfn.XLOOKUP(CE$1,generator!$B$2:$B$295,generator!$Q$2:$Q$295,"ARGH")</f>
        <v>9000</v>
      </c>
      <c r="CF5" s="3">
        <f>_xlfn.XLOOKUP(CF$1,generator!$B$2:$B$295,generator!$Q$2:$Q$295,"ARGH")</f>
        <v>9000</v>
      </c>
      <c r="CG5" s="3">
        <f>_xlfn.XLOOKUP(CG$1,generator!$B$2:$B$295,generator!$Q$2:$Q$295,"ARGH")</f>
        <v>9000</v>
      </c>
      <c r="CH5" s="3">
        <f>_xlfn.XLOOKUP(CH$1,generator!$B$2:$B$295,generator!$Q$2:$Q$295,"ARGH")</f>
        <v>9000</v>
      </c>
      <c r="CI5" s="3">
        <f>_xlfn.XLOOKUP(CI$1,generator!$B$2:$B$295,generator!$Q$2:$Q$295,"ARGH")</f>
        <v>9000</v>
      </c>
      <c r="CJ5" s="3">
        <f>_xlfn.XLOOKUP(CJ$1,generator!$B$2:$B$295,generator!$Q$2:$Q$295,"ARGH")</f>
        <v>9000</v>
      </c>
      <c r="CK5" s="3">
        <f>_xlfn.XLOOKUP(CK$1,generator!$B$2:$B$295,generator!$Q$2:$Q$295,"ARGH")</f>
        <v>9000</v>
      </c>
      <c r="CL5" s="3">
        <f>_xlfn.XLOOKUP(CL$1,generator!$B$2:$B$295,generator!$Q$2:$Q$295,"ARGH")</f>
        <v>9000</v>
      </c>
      <c r="CM5" s="3">
        <f>_xlfn.XLOOKUP(CM$1,generator!$B$2:$B$295,generator!$Q$2:$Q$295,"ARGH")</f>
        <v>9000</v>
      </c>
      <c r="CN5" s="3">
        <f>_xlfn.XLOOKUP(CN$1,generator!$B$2:$B$295,generator!$Q$2:$Q$295,"ARGH")</f>
        <v>9000</v>
      </c>
      <c r="CO5" s="3">
        <f>_xlfn.XLOOKUP(CO$1,generator!$B$2:$B$295,generator!$Q$2:$Q$295,"ARGH")</f>
        <v>9000</v>
      </c>
      <c r="CP5" s="3">
        <f>_xlfn.XLOOKUP(CP$1,generator!$B$2:$B$295,generator!$Q$2:$Q$295,"ARGH")</f>
        <v>9000</v>
      </c>
      <c r="CQ5" s="3">
        <f>_xlfn.XLOOKUP(CQ$1,generator!$B$2:$B$295,generator!$Q$2:$Q$295,"ARGH")</f>
        <v>9000</v>
      </c>
      <c r="CR5" s="3">
        <f>_xlfn.XLOOKUP(CR$1,generator!$B$2:$B$295,generator!$Q$2:$Q$295,"ARGH")</f>
        <v>9000</v>
      </c>
      <c r="CS5" s="3">
        <f>_xlfn.XLOOKUP(CS$1,generator!$B$2:$B$295,generator!$Q$2:$Q$295,"ARGH")</f>
        <v>9000</v>
      </c>
      <c r="CT5" s="3">
        <f>_xlfn.XLOOKUP(CT$1,generator!$B$2:$B$295,generator!$Q$2:$Q$295,"ARGH")</f>
        <v>9000</v>
      </c>
      <c r="CU5" s="3">
        <f>_xlfn.XLOOKUP(CU$1,generator!$B$2:$B$295,generator!$Q$2:$Q$295,"ARGH")</f>
        <v>9000</v>
      </c>
      <c r="CV5" s="3">
        <f>_xlfn.XLOOKUP(CV$1,generator!$B$2:$B$295,generator!$Q$2:$Q$295,"ARGH")</f>
        <v>9000</v>
      </c>
      <c r="CW5" s="3">
        <f>_xlfn.XLOOKUP(CW$1,generator!$B$2:$B$295,generator!$Q$2:$Q$295,"ARGH")</f>
        <v>9000</v>
      </c>
      <c r="CX5" s="3">
        <f>_xlfn.XLOOKUP(CX$1,generator!$B$2:$B$295,generator!$Q$2:$Q$295,"ARGH")</f>
        <v>9000</v>
      </c>
      <c r="CY5" s="3">
        <f>_xlfn.XLOOKUP(CY$1,generator!$B$2:$B$295,generator!$Q$2:$Q$295,"ARGH")</f>
        <v>9000</v>
      </c>
      <c r="CZ5" s="3">
        <f>_xlfn.XLOOKUP(CZ$1,generator!$B$2:$B$295,generator!$Q$2:$Q$295,"ARGH")</f>
        <v>9000</v>
      </c>
      <c r="DA5" s="3">
        <f>_xlfn.XLOOKUP(DA$1,generator!$B$2:$B$295,generator!$Q$2:$Q$295,"ARGH")</f>
        <v>9000</v>
      </c>
      <c r="DB5" s="3">
        <f>_xlfn.XLOOKUP(DB$1,generator!$B$2:$B$295,generator!$Q$2:$Q$295,"ARGH")</f>
        <v>9000</v>
      </c>
      <c r="DC5" s="3">
        <f>_xlfn.XLOOKUP(DC$1,generator!$B$2:$B$295,generator!$Q$2:$Q$295,"ARGH")</f>
        <v>9000</v>
      </c>
      <c r="DD5" s="3">
        <f>_xlfn.XLOOKUP(DD$1,generator!$B$2:$B$295,generator!$Q$2:$Q$295,"ARGH")</f>
        <v>9000</v>
      </c>
      <c r="DE5" s="3">
        <f>_xlfn.XLOOKUP(DE$1,generator!$B$2:$B$295,generator!$Q$2:$Q$295,"ARGH")</f>
        <v>9000</v>
      </c>
      <c r="DF5" s="3">
        <f>_xlfn.XLOOKUP(DF$1,generator!$B$2:$B$295,generator!$Q$2:$Q$295,"ARGH")</f>
        <v>9000</v>
      </c>
      <c r="DG5" s="3">
        <f>_xlfn.XLOOKUP(DG$1,generator!$B$2:$B$295,generator!$Q$2:$Q$295,"ARGH")</f>
        <v>9000</v>
      </c>
      <c r="DH5" s="3">
        <f>_xlfn.XLOOKUP(DH$1,generator!$B$2:$B$295,generator!$Q$2:$Q$295,"ARGH")</f>
        <v>9000</v>
      </c>
      <c r="DI5" s="3">
        <f>_xlfn.XLOOKUP(DI$1,generator!$B$2:$B$295,generator!$Q$2:$Q$295,"ARGH")</f>
        <v>9000</v>
      </c>
      <c r="DJ5" s="3">
        <f>_xlfn.XLOOKUP(DJ$1,generator!$B$2:$B$295,generator!$Q$2:$Q$295,"ARGH")</f>
        <v>9000</v>
      </c>
      <c r="DK5" s="3">
        <f>_xlfn.XLOOKUP(DK$1,generator!$B$2:$B$295,generator!$Q$2:$Q$295,"ARGH")</f>
        <v>9000</v>
      </c>
      <c r="DL5" s="3">
        <f>_xlfn.XLOOKUP(DL$1,generator!$B$2:$B$295,generator!$Q$2:$Q$295,"ARGH")</f>
        <v>9000</v>
      </c>
      <c r="DM5" s="3">
        <f>_xlfn.XLOOKUP(DM$1,generator!$B$2:$B$295,generator!$Q$2:$Q$295,"ARGH")</f>
        <v>9000</v>
      </c>
      <c r="DN5" s="3">
        <f>_xlfn.XLOOKUP(DN$1,generator!$B$2:$B$295,generator!$Q$2:$Q$295,"ARGH")</f>
        <v>9000</v>
      </c>
      <c r="DO5" s="3">
        <f>_xlfn.XLOOKUP(DO$1,generator!$B$2:$B$295,generator!$Q$2:$Q$295,"ARGH")</f>
        <v>9000</v>
      </c>
      <c r="DP5" s="3">
        <f>_xlfn.XLOOKUP(DP$1,generator!$B$2:$B$295,generator!$Q$2:$Q$295,"ARGH")</f>
        <v>9000</v>
      </c>
      <c r="DQ5" s="3">
        <f>_xlfn.XLOOKUP(DQ$1,generator!$B$2:$B$295,generator!$Q$2:$Q$295,"ARGH")</f>
        <v>9000</v>
      </c>
      <c r="DR5" s="3">
        <f>_xlfn.XLOOKUP(DR$1,generator!$B$2:$B$295,generator!$Q$2:$Q$295,"ARGH")</f>
        <v>9000</v>
      </c>
      <c r="DS5" s="3">
        <f>_xlfn.XLOOKUP(DS$1,generator!$B$2:$B$295,generator!$Q$2:$Q$295,"ARGH")</f>
        <v>9000</v>
      </c>
      <c r="DT5" s="3">
        <f>_xlfn.XLOOKUP(DT$1,generator!$B$2:$B$295,generator!$Q$2:$Q$295,"ARGH")</f>
        <v>9000</v>
      </c>
      <c r="DU5" s="3">
        <f>_xlfn.XLOOKUP(DU$1,generator!$B$2:$B$295,generator!$Q$2:$Q$295,"ARGH")</f>
        <v>9000</v>
      </c>
      <c r="DV5" s="3">
        <f>_xlfn.XLOOKUP(DV$1,generator!$B$2:$B$295,generator!$Q$2:$Q$295,"ARGH")</f>
        <v>9000</v>
      </c>
      <c r="DW5" s="3">
        <f>_xlfn.XLOOKUP(DW$1,generator!$B$2:$B$295,generator!$Q$2:$Q$295,"ARGH")</f>
        <v>9000</v>
      </c>
      <c r="DX5" s="3">
        <f>_xlfn.XLOOKUP(DX$1,generator!$B$2:$B$295,generator!$Q$2:$Q$295,"ARGH")</f>
        <v>9000</v>
      </c>
      <c r="DY5" s="3">
        <f>_xlfn.XLOOKUP(DY$1,generator!$B$2:$B$295,generator!$Q$2:$Q$295,"ARGH")</f>
        <v>9000</v>
      </c>
      <c r="DZ5" s="3">
        <f>_xlfn.XLOOKUP(DZ$1,generator!$B$2:$B$295,generator!$Q$2:$Q$295,"ARGH")</f>
        <v>9000</v>
      </c>
      <c r="EA5" s="3">
        <f>_xlfn.XLOOKUP(EA$1,generator!$B$2:$B$295,generator!$Q$2:$Q$295,"ARGH")</f>
        <v>9000</v>
      </c>
      <c r="EB5" s="3">
        <f>_xlfn.XLOOKUP(EB$1,generator!$B$2:$B$295,generator!$Q$2:$Q$295,"ARGH")</f>
        <v>9000</v>
      </c>
      <c r="EC5" s="3">
        <f>_xlfn.XLOOKUP(EC$1,generator!$B$2:$B$295,generator!$Q$2:$Q$295,"ARGH")</f>
        <v>9000</v>
      </c>
      <c r="ED5" s="3">
        <f>_xlfn.XLOOKUP(ED$1,generator!$B$2:$B$295,generator!$Q$2:$Q$295,"ARGH")</f>
        <v>9000</v>
      </c>
      <c r="EE5" s="3">
        <f>_xlfn.XLOOKUP(EE$1,generator!$B$2:$B$295,generator!$Q$2:$Q$295,"ARGH")</f>
        <v>9000</v>
      </c>
      <c r="EF5" s="3">
        <f>_xlfn.XLOOKUP(EF$1,generator!$B$2:$B$295,generator!$Q$2:$Q$295,"ARGH")</f>
        <v>9000</v>
      </c>
      <c r="EG5" s="3">
        <f>_xlfn.XLOOKUP(EG$1,generator!$B$2:$B$295,generator!$Q$2:$Q$295,"ARGH")</f>
        <v>9000</v>
      </c>
      <c r="EH5" s="3">
        <f>_xlfn.XLOOKUP(EH$1,generator!$B$2:$B$295,generator!$Q$2:$Q$295,"ARGH")</f>
        <v>9000</v>
      </c>
      <c r="EI5" s="3">
        <f>_xlfn.XLOOKUP(EI$1,generator!$B$2:$B$295,generator!$Q$2:$Q$295,"ARGH")</f>
        <v>9000</v>
      </c>
      <c r="EJ5" s="3">
        <f>_xlfn.XLOOKUP(EJ$1,generator!$B$2:$B$295,generator!$Q$2:$Q$295,"ARGH")</f>
        <v>9000</v>
      </c>
      <c r="EK5" s="3">
        <f>_xlfn.XLOOKUP(EK$1,generator!$B$2:$B$295,generator!$Q$2:$Q$295,"ARGH")</f>
        <v>9000</v>
      </c>
      <c r="EL5" s="3">
        <f>_xlfn.XLOOKUP(EL$1,generator!$B$2:$B$295,generator!$Q$2:$Q$295,"ARGH")</f>
        <v>9000</v>
      </c>
      <c r="EM5" s="3">
        <f>_xlfn.XLOOKUP(EM$1,generator!$B$2:$B$295,generator!$Q$2:$Q$295,"ARGH")</f>
        <v>9000</v>
      </c>
      <c r="EN5" s="3">
        <f>_xlfn.XLOOKUP(EN$1,generator!$B$2:$B$295,generator!$Q$2:$Q$295,"ARGH")</f>
        <v>9000</v>
      </c>
      <c r="EO5" s="3">
        <f>_xlfn.XLOOKUP(EO$1,generator!$B$2:$B$295,generator!$Q$2:$Q$295,"ARGH")</f>
        <v>9000</v>
      </c>
      <c r="EP5" s="3">
        <f>_xlfn.XLOOKUP(EP$1,generator!$B$2:$B$295,generator!$Q$2:$Q$295,"ARGH")</f>
        <v>9000</v>
      </c>
      <c r="EQ5" s="3">
        <f>_xlfn.XLOOKUP(EQ$1,generator!$B$2:$B$295,generator!$Q$2:$Q$295,"ARGH")</f>
        <v>9000</v>
      </c>
      <c r="ER5" s="3">
        <f>_xlfn.XLOOKUP(ER$1,generator!$B$2:$B$295,generator!$Q$2:$Q$295,"ARGH")</f>
        <v>9000</v>
      </c>
      <c r="ES5" s="3">
        <f>_xlfn.XLOOKUP(ES$1,generator!$B$2:$B$295,generator!$Q$2:$Q$295,"ARGH")</f>
        <v>9000</v>
      </c>
      <c r="ET5" s="3">
        <f>_xlfn.XLOOKUP(ET$1,generator!$B$2:$B$295,generator!$Q$2:$Q$295,"ARGH")</f>
        <v>9000</v>
      </c>
      <c r="EU5" s="3">
        <f>_xlfn.XLOOKUP(EU$1,generator!$B$2:$B$295,generator!$Q$2:$Q$295,"ARGH")</f>
        <v>9000</v>
      </c>
      <c r="EV5" s="3">
        <f>_xlfn.XLOOKUP(EV$1,generator!$B$2:$B$295,generator!$Q$2:$Q$295,"ARGH")</f>
        <v>9000</v>
      </c>
      <c r="EW5" s="3">
        <f>_xlfn.XLOOKUP(EW$1,generator!$B$2:$B$295,generator!$Q$2:$Q$295,"ARGH")</f>
        <v>9000</v>
      </c>
      <c r="EX5" s="3">
        <f>_xlfn.XLOOKUP(EX$1,generator!$B$2:$B$295,generator!$Q$2:$Q$295,"ARGH")</f>
        <v>9000</v>
      </c>
      <c r="EY5" s="3">
        <f>_xlfn.XLOOKUP(EY$1,generator!$B$2:$B$295,generator!$Q$2:$Q$295,"ARGH")</f>
        <v>9000</v>
      </c>
      <c r="EZ5" s="3">
        <f>_xlfn.XLOOKUP(EZ$1,generator!$B$2:$B$295,generator!$Q$2:$Q$295,"ARGH")</f>
        <v>9000</v>
      </c>
      <c r="FA5" s="3">
        <f>_xlfn.XLOOKUP(FA$1,generator!$B$2:$B$295,generator!$Q$2:$Q$295,"ARGH")</f>
        <v>9000</v>
      </c>
      <c r="FB5" s="3">
        <f>_xlfn.XLOOKUP(FB$1,generator!$B$2:$B$295,generator!$Q$2:$Q$295,"ARGH")</f>
        <v>9000</v>
      </c>
      <c r="FC5" s="3">
        <f>_xlfn.XLOOKUP(FC$1,generator!$B$2:$B$295,generator!$Q$2:$Q$295,"ARGH")</f>
        <v>9000</v>
      </c>
      <c r="FD5" s="3">
        <f>_xlfn.XLOOKUP(FD$1,generator!$B$2:$B$295,generator!$Q$2:$Q$295,"ARGH")</f>
        <v>9000</v>
      </c>
      <c r="FE5" s="3">
        <f>_xlfn.XLOOKUP(FE$1,generator!$B$2:$B$295,generator!$Q$2:$Q$295,"ARGH")</f>
        <v>9000</v>
      </c>
      <c r="FF5" s="3">
        <f>_xlfn.XLOOKUP(FF$1,generator!$B$2:$B$295,generator!$Q$2:$Q$295,"ARGH")</f>
        <v>9000</v>
      </c>
      <c r="FG5" s="3">
        <f>_xlfn.XLOOKUP(FG$1,generator!$B$2:$B$295,generator!$Q$2:$Q$295,"ARGH")</f>
        <v>9000</v>
      </c>
      <c r="FH5" s="3">
        <f>_xlfn.XLOOKUP(FH$1,generator!$B$2:$B$295,generator!$Q$2:$Q$295,"ARGH")</f>
        <v>9000</v>
      </c>
      <c r="FI5" s="3">
        <f>_xlfn.XLOOKUP(FI$1,generator!$B$2:$B$295,generator!$Q$2:$Q$295,"ARGH")</f>
        <v>9000</v>
      </c>
      <c r="FJ5" s="3">
        <f>_xlfn.XLOOKUP(FJ$1,generator!$B$2:$B$295,generator!$Q$2:$Q$295,"ARGH")</f>
        <v>9000</v>
      </c>
      <c r="FK5" s="3">
        <f>_xlfn.XLOOKUP(FK$1,generator!$B$2:$B$295,generator!$Q$2:$Q$295,"ARGH")</f>
        <v>9000</v>
      </c>
      <c r="FL5" s="3">
        <f>_xlfn.XLOOKUP(FL$1,generator!$B$2:$B$295,generator!$Q$2:$Q$295,"ARGH")</f>
        <v>9000</v>
      </c>
      <c r="FM5" s="3">
        <f>_xlfn.XLOOKUP(FM$1,generator!$B$2:$B$295,generator!$Q$2:$Q$295,"ARGH")</f>
        <v>9000</v>
      </c>
      <c r="FN5" s="3">
        <f>_xlfn.XLOOKUP(FN$1,generator!$B$2:$B$295,generator!$Q$2:$Q$295,"ARGH")</f>
        <v>9000</v>
      </c>
      <c r="FO5" s="3">
        <f>_xlfn.XLOOKUP(FO$1,generator!$B$2:$B$295,generator!$Q$2:$Q$295,"ARGH")</f>
        <v>9000</v>
      </c>
      <c r="FP5" s="3">
        <f>_xlfn.XLOOKUP(FP$1,generator!$B$2:$B$295,generator!$Q$2:$Q$295,"ARGH")</f>
        <v>9000</v>
      </c>
      <c r="FQ5" s="3">
        <f>_xlfn.XLOOKUP(FQ$1,generator!$B$2:$B$295,generator!$Q$2:$Q$295,"ARGH")</f>
        <v>9000</v>
      </c>
      <c r="FR5" s="3">
        <f>_xlfn.XLOOKUP(FR$1,generator!$B$2:$B$295,generator!$Q$2:$Q$295,"ARGH")</f>
        <v>9000</v>
      </c>
      <c r="FS5" s="3">
        <f>_xlfn.XLOOKUP(FS$1,generator!$B$2:$B$295,generator!$Q$2:$Q$295,"ARGH")</f>
        <v>9000</v>
      </c>
      <c r="FT5" s="3">
        <f>_xlfn.XLOOKUP(FT$1,generator!$B$2:$B$295,generator!$Q$2:$Q$295,"ARGH")</f>
        <v>9000</v>
      </c>
      <c r="FU5" s="3">
        <f>_xlfn.XLOOKUP(FU$1,generator!$B$2:$B$295,generator!$Q$2:$Q$295,"ARGH")</f>
        <v>9000</v>
      </c>
      <c r="FV5" s="3">
        <f>_xlfn.XLOOKUP(FV$1,generator!$B$2:$B$295,generator!$Q$2:$Q$295,"ARGH")</f>
        <v>9000</v>
      </c>
      <c r="FW5" s="3">
        <f>_xlfn.XLOOKUP(FW$1,generator!$B$2:$B$295,generator!$Q$2:$Q$295,"ARGH")</f>
        <v>9000</v>
      </c>
      <c r="FX5" s="3">
        <f>_xlfn.XLOOKUP(FX$1,generator!$B$2:$B$295,generator!$Q$2:$Q$295,"ARGH")</f>
        <v>9000</v>
      </c>
      <c r="FY5" s="3">
        <f>_xlfn.XLOOKUP(FY$1,generator!$B$2:$B$295,generator!$Q$2:$Q$295,"ARGH")</f>
        <v>9000</v>
      </c>
      <c r="FZ5" s="3">
        <f>_xlfn.XLOOKUP(FZ$1,generator!$B$2:$B$295,generator!$Q$2:$Q$295,"ARGH")</f>
        <v>9000</v>
      </c>
      <c r="GA5" s="3">
        <f>_xlfn.XLOOKUP(GA$1,generator!$B$2:$B$295,generator!$Q$2:$Q$295,"ARGH")</f>
        <v>9000</v>
      </c>
      <c r="GB5" s="3">
        <f>_xlfn.XLOOKUP(GB$1,generator!$B$2:$B$295,generator!$Q$2:$Q$295,"ARGH")</f>
        <v>9000</v>
      </c>
      <c r="GC5" s="3">
        <f>_xlfn.XLOOKUP(GC$1,generator!$B$2:$B$295,generator!$Q$2:$Q$295,"ARGH")</f>
        <v>9000</v>
      </c>
      <c r="GD5" s="3">
        <f>_xlfn.XLOOKUP(GD$1,generator!$B$2:$B$295,generator!$Q$2:$Q$295,"ARGH")</f>
        <v>9000</v>
      </c>
      <c r="GE5" s="3">
        <f>_xlfn.XLOOKUP(GE$1,generator!$B$2:$B$295,generator!$Q$2:$Q$295,"ARGH")</f>
        <v>9000</v>
      </c>
      <c r="GF5" s="3">
        <f>_xlfn.XLOOKUP(GF$1,generator!$B$2:$B$295,generator!$Q$2:$Q$295,"ARGH")</f>
        <v>9000</v>
      </c>
      <c r="GG5" s="3">
        <f>_xlfn.XLOOKUP(GG$1,generator!$B$2:$B$295,generator!$Q$2:$Q$295,"ARGH")</f>
        <v>9000</v>
      </c>
      <c r="GH5" s="3">
        <f>_xlfn.XLOOKUP(GH$1,generator!$B$2:$B$295,generator!$Q$2:$Q$295,"ARGH")</f>
        <v>9000</v>
      </c>
      <c r="GI5" s="3">
        <f>_xlfn.XLOOKUP(GI$1,generator!$B$2:$B$295,generator!$Q$2:$Q$295,"ARGH")</f>
        <v>9000</v>
      </c>
      <c r="GJ5" s="3">
        <f>_xlfn.XLOOKUP(GJ$1,generator!$B$2:$B$295,generator!$Q$2:$Q$295,"ARGH")</f>
        <v>9000</v>
      </c>
      <c r="GK5" s="3">
        <f>_xlfn.XLOOKUP(GK$1,generator!$B$2:$B$295,generator!$Q$2:$Q$295,"ARGH")</f>
        <v>9000</v>
      </c>
      <c r="GL5" s="3">
        <f>_xlfn.XLOOKUP(GL$1,generator!$B$2:$B$295,generator!$Q$2:$Q$295,"ARGH")</f>
        <v>9000</v>
      </c>
      <c r="GM5" s="3">
        <f>_xlfn.XLOOKUP(GM$1,generator!$B$2:$B$295,generator!$Q$2:$Q$295,"ARGH")</f>
        <v>9000</v>
      </c>
      <c r="GN5" s="3">
        <f>_xlfn.XLOOKUP(GN$1,generator!$B$2:$B$295,generator!$Q$2:$Q$295,"ARGH")</f>
        <v>9000</v>
      </c>
      <c r="GO5" s="3">
        <f>_xlfn.XLOOKUP(GO$1,generator!$B$2:$B$295,generator!$Q$2:$Q$295,"ARGH")</f>
        <v>9000</v>
      </c>
      <c r="GP5" s="3">
        <f>_xlfn.XLOOKUP(GP$1,generator!$B$2:$B$295,generator!$Q$2:$Q$295,"ARGH")</f>
        <v>9000</v>
      </c>
      <c r="GQ5" s="3">
        <f>_xlfn.XLOOKUP(GQ$1,generator!$B$2:$B$295,generator!$Q$2:$Q$295,"ARGH")</f>
        <v>9000</v>
      </c>
      <c r="GR5" s="3">
        <f>_xlfn.XLOOKUP(GR$1,generator!$B$2:$B$295,generator!$Q$2:$Q$295,"ARGH")</f>
        <v>9000</v>
      </c>
      <c r="GS5" s="3">
        <f>_xlfn.XLOOKUP(GS$1,generator!$B$2:$B$295,generator!$Q$2:$Q$295,"ARGH")</f>
        <v>9000</v>
      </c>
      <c r="GT5" s="3">
        <f>_xlfn.XLOOKUP(GT$1,generator!$B$2:$B$295,generator!$Q$2:$Q$295,"ARGH")</f>
        <v>9000</v>
      </c>
      <c r="GU5" s="3">
        <f>_xlfn.XLOOKUP(GU$1,generator!$B$2:$B$295,generator!$Q$2:$Q$295,"ARGH")</f>
        <v>9000</v>
      </c>
      <c r="GV5" s="3">
        <f>_xlfn.XLOOKUP(GV$1,generator!$B$2:$B$295,generator!$Q$2:$Q$295,"ARGH")</f>
        <v>9000</v>
      </c>
      <c r="GW5" s="3">
        <f>_xlfn.XLOOKUP(GW$1,generator!$B$2:$B$295,generator!$Q$2:$Q$295,"ARGH")</f>
        <v>9000</v>
      </c>
      <c r="GX5" s="3">
        <f>_xlfn.XLOOKUP(GX$1,generator!$B$2:$B$295,generator!$Q$2:$Q$295,"ARGH")</f>
        <v>9000</v>
      </c>
      <c r="GY5" s="3">
        <f>_xlfn.XLOOKUP(GY$1,generator!$B$2:$B$295,generator!$Q$2:$Q$295,"ARGH")</f>
        <v>9000</v>
      </c>
      <c r="GZ5" s="3">
        <f>_xlfn.XLOOKUP(GZ$1,generator!$B$2:$B$295,generator!$Q$2:$Q$295,"ARGH")</f>
        <v>9000</v>
      </c>
      <c r="HA5" s="3">
        <f>_xlfn.XLOOKUP(HA$1,generator!$B$2:$B$295,generator!$Q$2:$Q$295,"ARGH")</f>
        <v>9000</v>
      </c>
      <c r="HB5" s="3">
        <f>_xlfn.XLOOKUP(HB$1,generator!$B$2:$B$295,generator!$Q$2:$Q$295,"ARGH")</f>
        <v>9000</v>
      </c>
      <c r="HC5" s="3">
        <f>_xlfn.XLOOKUP(HC$1,generator!$B$2:$B$295,generator!$Q$2:$Q$295,"ARGH")</f>
        <v>9000</v>
      </c>
      <c r="HD5" s="3">
        <f>_xlfn.XLOOKUP(HD$1,generator!$B$2:$B$295,generator!$Q$2:$Q$295,"ARGH")</f>
        <v>9000</v>
      </c>
      <c r="HE5" s="3">
        <f>_xlfn.XLOOKUP(HE$1,generator!$B$2:$B$295,generator!$Q$2:$Q$295,"ARGH")</f>
        <v>8000</v>
      </c>
      <c r="HF5" s="3" t="str">
        <f>_xlfn.XLOOKUP(HF$1,generator!$B$2:$B$295,generator!$Q$2:$Q$295,"ARGH")</f>
        <v>143</v>
      </c>
      <c r="HG5" s="3" t="str">
        <f>_xlfn.XLOOKUP(HG$1,generator!$B$2:$B$295,generator!$Q$2:$Q$295,"ARGH")</f>
        <v>143</v>
      </c>
      <c r="HH5" s="3" t="str">
        <f>_xlfn.XLOOKUP(HH$1,generator!$B$2:$B$295,generator!$Q$2:$Q$295,"ARGH")</f>
        <v>143</v>
      </c>
      <c r="HI5" s="3" t="str">
        <f>_xlfn.XLOOKUP(HI$1,generator!$B$2:$B$295,generator!$Q$2:$Q$295,"ARGH")</f>
        <v>246.74</v>
      </c>
      <c r="HJ5" s="3" t="str">
        <f>_xlfn.XLOOKUP(HJ$1,generator!$B$2:$B$295,generator!$Q$2:$Q$295,"ARGH")</f>
        <v>246.74</v>
      </c>
      <c r="HK5" s="3" t="str">
        <f>_xlfn.XLOOKUP(HK$1,generator!$B$2:$B$295,generator!$Q$2:$Q$295,"ARGH")</f>
        <v>206.04</v>
      </c>
      <c r="HL5" s="3" t="str">
        <f>_xlfn.XLOOKUP(HL$1,generator!$B$2:$B$295,generator!$Q$2:$Q$295,"ARGH")</f>
        <v>506.96</v>
      </c>
      <c r="HM5" s="3" t="str">
        <f>_xlfn.XLOOKUP(HM$1,generator!$B$2:$B$295,generator!$Q$2:$Q$295,"ARGH")</f>
        <v>506.95</v>
      </c>
      <c r="HN5" s="3" t="str">
        <f>_xlfn.XLOOKUP(HN$1,generator!$B$2:$B$295,generator!$Q$2:$Q$295,"ARGH")</f>
        <v>190.97</v>
      </c>
      <c r="HO5" s="3" t="str">
        <f>_xlfn.XLOOKUP(HO$1,generator!$B$2:$B$295,generator!$Q$2:$Q$295,"ARGH")</f>
        <v>190.97</v>
      </c>
      <c r="HP5" s="3" t="str">
        <f>_xlfn.XLOOKUP(HP$1,generator!$B$2:$B$295,generator!$Q$2:$Q$295,"ARGH")</f>
        <v>424.84</v>
      </c>
      <c r="HQ5" s="3" t="str">
        <f>_xlfn.XLOOKUP(HQ$1,generator!$B$2:$B$295,generator!$Q$2:$Q$295,"ARGH")</f>
        <v>425.9</v>
      </c>
      <c r="HR5" s="3" t="str">
        <f>_xlfn.XLOOKUP(HR$1,generator!$B$2:$B$295,generator!$Q$2:$Q$295,"ARGH")</f>
        <v>425.9</v>
      </c>
      <c r="HS5" s="3" t="str">
        <f>_xlfn.XLOOKUP(HS$1,generator!$B$2:$B$295,generator!$Q$2:$Q$295,"ARGH")</f>
        <v>196.54</v>
      </c>
      <c r="HT5" s="3" t="str">
        <f>_xlfn.XLOOKUP(HT$1,generator!$B$2:$B$295,generator!$Q$2:$Q$295,"ARGH")</f>
        <v>196.54</v>
      </c>
      <c r="HU5" s="3" t="str">
        <f>_xlfn.XLOOKUP(HU$1,generator!$B$2:$B$295,generator!$Q$2:$Q$295,"ARGH")</f>
        <v>145.57</v>
      </c>
      <c r="HV5" s="3" t="str">
        <f>_xlfn.XLOOKUP(HV$1,generator!$B$2:$B$295,generator!$Q$2:$Q$295,"ARGH")</f>
        <v>132.62</v>
      </c>
      <c r="HW5" s="3" t="str">
        <f>_xlfn.XLOOKUP(HW$1,generator!$B$2:$B$295,generator!$Q$2:$Q$295,"ARGH")</f>
        <v>193.76</v>
      </c>
      <c r="HX5" s="3" t="str">
        <f>_xlfn.XLOOKUP(HX$1,generator!$B$2:$B$295,generator!$Q$2:$Q$295,"ARGH")</f>
        <v>193.76</v>
      </c>
      <c r="HY5" s="3" t="str">
        <f>_xlfn.XLOOKUP(HY$1,generator!$B$2:$B$295,generator!$Q$2:$Q$295,"ARGH")</f>
        <v>79.19</v>
      </c>
      <c r="HZ5" s="3" t="str">
        <f>_xlfn.XLOOKUP(HZ$1,generator!$B$2:$B$295,generator!$Q$2:$Q$295,"ARGH")</f>
        <v>125.79</v>
      </c>
      <c r="IA5" s="3" t="str">
        <f>_xlfn.XLOOKUP(IA$1,generator!$B$2:$B$295,generator!$Q$2:$Q$295,"ARGH")</f>
        <v>54.19</v>
      </c>
      <c r="IB5" s="3" t="str">
        <f>_xlfn.XLOOKUP(IB$1,generator!$B$2:$B$295,generator!$Q$2:$Q$295,"ARGH")</f>
        <v>59.7</v>
      </c>
      <c r="IC5" s="3">
        <f>_xlfn.XLOOKUP(IC$1,generator!$B$2:$B$295,generator!$Q$2:$Q$295,"ARGH")</f>
        <v>0</v>
      </c>
      <c r="ID5" s="3" t="str">
        <f>_xlfn.XLOOKUP(ID$1,generator!$B$2:$B$295,generator!$Q$2:$Q$295,"ARGH")</f>
        <v>121.14</v>
      </c>
      <c r="IE5" s="3" t="str">
        <f>_xlfn.XLOOKUP(IE$1,generator!$B$2:$B$295,generator!$Q$2:$Q$295,"ARGH")</f>
        <v>26.6</v>
      </c>
      <c r="IF5" s="3">
        <f>_xlfn.XLOOKUP(IF$1,generator!$B$2:$B$295,generator!$Q$2:$Q$295,"ARGH")</f>
        <v>8000</v>
      </c>
      <c r="IG5" s="3">
        <f>_xlfn.XLOOKUP(IG$1,generator!$B$2:$B$295,generator!$Q$2:$Q$295,"ARGH")</f>
        <v>8000</v>
      </c>
      <c r="IH5" s="3">
        <f>_xlfn.XLOOKUP(IH$1,generator!$B$2:$B$295,generator!$Q$2:$Q$295,"ARGH")</f>
        <v>8000</v>
      </c>
      <c r="II5" s="3">
        <f>_xlfn.XLOOKUP(II$1,generator!$B$2:$B$295,generator!$Q$2:$Q$295,"ARGH")</f>
        <v>8000</v>
      </c>
      <c r="IJ5" s="3">
        <f>_xlfn.XLOOKUP(IJ$1,generator!$B$2:$B$295,generator!$Q$2:$Q$295,"ARGH")</f>
        <v>8000</v>
      </c>
      <c r="IK5" s="3">
        <f>_xlfn.XLOOKUP(IK$1,generator!$B$2:$B$295,generator!$Q$2:$Q$295,"ARGH")</f>
        <v>8000</v>
      </c>
      <c r="IL5" s="3">
        <f>_xlfn.XLOOKUP(IL$1,generator!$B$2:$B$295,generator!$Q$2:$Q$295,"ARGH")</f>
        <v>8000</v>
      </c>
      <c r="IM5" s="3">
        <f>_xlfn.XLOOKUP(IM$1,generator!$B$2:$B$295,generator!$Q$2:$Q$295,"ARGH")</f>
        <v>8000</v>
      </c>
      <c r="IN5" s="3">
        <f>_xlfn.XLOOKUP(IN$1,generator!$B$2:$B$295,generator!$Q$2:$Q$295,"ARGH")</f>
        <v>8000</v>
      </c>
      <c r="IO5" s="3">
        <f>_xlfn.XLOOKUP(IO$1,generator!$B$2:$B$295,generator!$Q$2:$Q$295,"ARGH")</f>
        <v>8000</v>
      </c>
      <c r="IP5" s="3">
        <f>_xlfn.XLOOKUP(IP$1,generator!$B$2:$B$295,generator!$Q$2:$Q$295,"ARGH")</f>
        <v>8000</v>
      </c>
      <c r="IQ5" s="3">
        <f>_xlfn.XLOOKUP(IQ$1,generator!$B$2:$B$295,generator!$Q$2:$Q$295,"ARGH")</f>
        <v>8000</v>
      </c>
      <c r="IR5" s="3">
        <f>_xlfn.XLOOKUP(IR$1,generator!$B$2:$B$295,generator!$Q$2:$Q$295,"ARGH")</f>
        <v>8000</v>
      </c>
      <c r="IS5" s="3">
        <f>_xlfn.XLOOKUP(IS$1,generator!$B$2:$B$295,generator!$Q$2:$Q$295,"ARGH")</f>
        <v>8000</v>
      </c>
      <c r="IT5" s="3">
        <f>_xlfn.XLOOKUP(IT$1,generator!$B$2:$B$295,generator!$Q$2:$Q$295,"ARGH")</f>
        <v>8000</v>
      </c>
      <c r="IU5" s="3">
        <f>_xlfn.XLOOKUP(IU$1,generator!$B$2:$B$295,generator!$Q$2:$Q$295,"ARGH")</f>
        <v>8000</v>
      </c>
      <c r="IV5" s="3">
        <f>_xlfn.XLOOKUP(IV$1,generator!$B$2:$B$295,generator!$Q$2:$Q$295,"ARGH")</f>
        <v>8000</v>
      </c>
      <c r="IW5" s="3" t="str">
        <f>_xlfn.XLOOKUP(IW$1,generator!$B$2:$B$295,generator!$Q$2:$Q$295,"ARGH")</f>
        <v>108.19</v>
      </c>
      <c r="IX5" s="3" t="str">
        <f>_xlfn.XLOOKUP(IX$1,generator!$B$2:$B$295,generator!$Q$2:$Q$295,"ARGH")</f>
        <v>108.18</v>
      </c>
      <c r="IY5" s="3" t="str">
        <f>_xlfn.XLOOKUP(IY$1,generator!$B$2:$B$295,generator!$Q$2:$Q$295,"ARGH")</f>
        <v>108.17</v>
      </c>
      <c r="IZ5" s="3" t="str">
        <f>_xlfn.XLOOKUP(IZ$1,generator!$B$2:$B$295,generator!$Q$2:$Q$295,"ARGH")</f>
        <v>40.96</v>
      </c>
      <c r="JA5" s="3">
        <f>_xlfn.XLOOKUP(JA$1,generator!$B$2:$B$295,generator!$Q$2:$Q$295,"ARGH")</f>
        <v>0</v>
      </c>
      <c r="JB5" s="3">
        <f>_xlfn.XLOOKUP(JB$1,generator!$B$2:$B$295,generator!$Q$2:$Q$295,"ARGH")</f>
        <v>0</v>
      </c>
      <c r="JC5" s="3" t="str">
        <f>_xlfn.XLOOKUP(JC$1,generator!$B$2:$B$295,generator!$Q$2:$Q$295,"ARGH")</f>
        <v>75.91</v>
      </c>
      <c r="JD5" s="3" t="str">
        <f>_xlfn.XLOOKUP(JD$1,generator!$B$2:$B$295,generator!$Q$2:$Q$295,"ARGH")</f>
        <v>75.91</v>
      </c>
      <c r="JE5" s="3" t="str">
        <f>_xlfn.XLOOKUP(JE$1,generator!$B$2:$B$295,generator!$Q$2:$Q$295,"ARGH")</f>
        <v>51.59</v>
      </c>
      <c r="JF5" s="3" t="str">
        <f>_xlfn.XLOOKUP(JF$1,generator!$B$2:$B$295,generator!$Q$2:$Q$295,"ARGH")</f>
        <v>111.57</v>
      </c>
      <c r="JG5" s="3">
        <f>_xlfn.XLOOKUP(JG$1,generator!$B$2:$B$295,generator!$Q$2:$Q$295,"ARGH")</f>
        <v>0</v>
      </c>
      <c r="JH5" s="3" t="str">
        <f>_xlfn.XLOOKUP(JH$1,generator!$B$2:$B$295,generator!$Q$2:$Q$295,"ARGH")</f>
        <v>48.65</v>
      </c>
      <c r="JI5" s="3" t="str">
        <f>_xlfn.XLOOKUP(JI$1,generator!$B$2:$B$295,generator!$Q$2:$Q$295,"ARGH")</f>
        <v>71.88</v>
      </c>
      <c r="JJ5" s="3" t="str">
        <f>_xlfn.XLOOKUP(JJ$1,generator!$B$2:$B$295,generator!$Q$2:$Q$295,"ARGH")</f>
        <v>98.17</v>
      </c>
      <c r="JK5" s="3" t="str">
        <f>_xlfn.XLOOKUP(JK$1,generator!$B$2:$B$295,generator!$Q$2:$Q$295,"ARGH")</f>
        <v>98.17</v>
      </c>
      <c r="JL5" s="3" t="str">
        <f>_xlfn.XLOOKUP(JL$1,generator!$B$2:$B$295,generator!$Q$2:$Q$295,"ARGH")</f>
        <v>98.17</v>
      </c>
      <c r="JM5" s="3" t="str">
        <f>_xlfn.XLOOKUP(JM$1,generator!$B$2:$B$295,generator!$Q$2:$Q$295,"ARGH")</f>
        <v>98.17</v>
      </c>
      <c r="JN5" s="3" t="str">
        <f>_xlfn.XLOOKUP(JN$1,generator!$B$2:$B$295,generator!$Q$2:$Q$295,"ARGH")</f>
        <v>98.17</v>
      </c>
      <c r="JO5" s="3" t="str">
        <f>_xlfn.XLOOKUP(JO$1,generator!$B$2:$B$295,generator!$Q$2:$Q$295,"ARGH")</f>
        <v>98.17</v>
      </c>
      <c r="JP5" s="3" t="str">
        <f>_xlfn.XLOOKUP(JP$1,generator!$B$2:$B$295,generator!$Q$2:$Q$295,"ARGH")</f>
        <v>47.53</v>
      </c>
      <c r="JQ5" s="3" t="str">
        <f>_xlfn.XLOOKUP(JQ$1,generator!$B$2:$B$295,generator!$Q$2:$Q$295,"ARGH")</f>
        <v>108.86</v>
      </c>
      <c r="JR5" s="3" t="str">
        <f>_xlfn.XLOOKUP(JR$1,generator!$B$2:$B$295,generator!$Q$2:$Q$295,"ARGH")</f>
        <v>83.15</v>
      </c>
      <c r="JS5" s="3" t="str">
        <f>_xlfn.XLOOKUP(JS$1,generator!$B$2:$B$295,generator!$Q$2:$Q$295,"ARGH")</f>
        <v>83.15</v>
      </c>
      <c r="JT5" s="3" t="str">
        <f>_xlfn.XLOOKUP(JT$1,generator!$B$2:$B$295,generator!$Q$2:$Q$295,"ARGH")</f>
        <v>108.86</v>
      </c>
      <c r="JU5" s="3">
        <f>_xlfn.XLOOKUP(JU$1,generator!$B$2:$B$295,generator!$Q$2:$Q$295,"ARGH")</f>
        <v>0</v>
      </c>
      <c r="JV5" s="3" t="str">
        <f>_xlfn.XLOOKUP(JV$1,generator!$B$2:$B$295,generator!$Q$2:$Q$295,"ARGH")</f>
        <v>77.63</v>
      </c>
      <c r="JW5" s="3" t="str">
        <f>_xlfn.XLOOKUP(JW$1,generator!$B$2:$B$295,generator!$Q$2:$Q$295,"ARGH")</f>
        <v>77.64</v>
      </c>
      <c r="JX5" s="3" t="str">
        <f>_xlfn.XLOOKUP(JX$1,generator!$B$2:$B$295,generator!$Q$2:$Q$295,"ARGH")</f>
        <v>331.49</v>
      </c>
      <c r="JY5" s="3">
        <f>_xlfn.XLOOKUP(JY$1,generator!$B$2:$B$295,generator!$Q$2:$Q$295,"ARGH")</f>
        <v>7000</v>
      </c>
      <c r="JZ5" s="3">
        <f>_xlfn.XLOOKUP(JZ$1,generator!$B$2:$B$295,generator!$Q$2:$Q$295,"ARGH")</f>
        <v>0</v>
      </c>
      <c r="KA5" s="3">
        <f>_xlfn.XLOOKUP(KA$1,generator!$B$2:$B$295,generator!$Q$2:$Q$295,"ARGH")</f>
        <v>0</v>
      </c>
      <c r="KB5" s="3">
        <f>_xlfn.XLOOKUP(KB$1,generator!$B$2:$B$295,generator!$Q$2:$Q$295,"ARGH")</f>
        <v>0</v>
      </c>
      <c r="KC5" s="3">
        <f>_xlfn.XLOOKUP(KC$1,generator!$B$2:$B$295,generator!$Q$2:$Q$295,"ARGH")</f>
        <v>0</v>
      </c>
    </row>
    <row r="6" spans="1:289" x14ac:dyDescent="0.3">
      <c r="A6" s="4" t="s">
        <v>3001</v>
      </c>
      <c r="B6" s="3">
        <v>15000</v>
      </c>
      <c r="C6" s="3">
        <v>15000</v>
      </c>
      <c r="D6" s="3">
        <v>15000</v>
      </c>
      <c r="E6" s="3">
        <f>_xlfn.XLOOKUP(E$1,generator!$B$2:$B$295,generator!$Q$2:$Q$295,"ARGH")</f>
        <v>9000</v>
      </c>
      <c r="F6" s="3">
        <f>_xlfn.XLOOKUP(F$1,generator!$B$2:$B$295,generator!$Q$2:$Q$295,"ARGH")</f>
        <v>9000</v>
      </c>
      <c r="G6" s="3">
        <f>_xlfn.XLOOKUP(G$1,generator!$B$2:$B$295,generator!$Q$2:$Q$295,"ARGH")</f>
        <v>9000</v>
      </c>
      <c r="H6" s="3">
        <f>_xlfn.XLOOKUP(H$1,generator!$B$2:$B$295,generator!$Q$2:$Q$295,"ARGH")</f>
        <v>9000</v>
      </c>
      <c r="I6" s="3">
        <f>_xlfn.XLOOKUP(I$1,generator!$B$2:$B$295,generator!$Q$2:$Q$295,"ARGH")</f>
        <v>9000</v>
      </c>
      <c r="J6" s="3">
        <f>_xlfn.XLOOKUP(J$1,generator!$B$2:$B$295,generator!$Q$2:$Q$295,"ARGH")</f>
        <v>9000</v>
      </c>
      <c r="K6" s="3">
        <f>_xlfn.XLOOKUP(K$1,generator!$B$2:$B$295,generator!$Q$2:$Q$295,"ARGH")</f>
        <v>9000</v>
      </c>
      <c r="L6" s="3">
        <f>_xlfn.XLOOKUP(L$1,generator!$B$2:$B$295,generator!$Q$2:$Q$295,"ARGH")</f>
        <v>9000</v>
      </c>
      <c r="M6" s="3">
        <f>_xlfn.XLOOKUP(M$1,generator!$B$2:$B$295,generator!$Q$2:$Q$295,"ARGH")</f>
        <v>9000</v>
      </c>
      <c r="N6" s="3">
        <f>_xlfn.XLOOKUP(N$1,generator!$B$2:$B$295,generator!$Q$2:$Q$295,"ARGH")</f>
        <v>9000</v>
      </c>
      <c r="O6" s="3">
        <f>_xlfn.XLOOKUP(O$1,generator!$B$2:$B$295,generator!$Q$2:$Q$295,"ARGH")</f>
        <v>9000</v>
      </c>
      <c r="P6" s="3">
        <f>_xlfn.XLOOKUP(P$1,generator!$B$2:$B$295,generator!$Q$2:$Q$295,"ARGH")</f>
        <v>9000</v>
      </c>
      <c r="Q6" s="3">
        <f>_xlfn.XLOOKUP(Q$1,generator!$B$2:$B$295,generator!$Q$2:$Q$295,"ARGH")</f>
        <v>9000</v>
      </c>
      <c r="R6" s="3">
        <f>_xlfn.XLOOKUP(R$1,generator!$B$2:$B$295,generator!$Q$2:$Q$295,"ARGH")</f>
        <v>9000</v>
      </c>
      <c r="S6" s="3">
        <f>_xlfn.XLOOKUP(S$1,generator!$B$2:$B$295,generator!$Q$2:$Q$295,"ARGH")</f>
        <v>9000</v>
      </c>
      <c r="T6" s="3">
        <f>_xlfn.XLOOKUP(T$1,generator!$B$2:$B$295,generator!$Q$2:$Q$295,"ARGH")</f>
        <v>9000</v>
      </c>
      <c r="U6" s="3">
        <f>_xlfn.XLOOKUP(U$1,generator!$B$2:$B$295,generator!$Q$2:$Q$295,"ARGH")</f>
        <v>9000</v>
      </c>
      <c r="V6" s="3">
        <f>_xlfn.XLOOKUP(V$1,generator!$B$2:$B$295,generator!$Q$2:$Q$295,"ARGH")</f>
        <v>9000</v>
      </c>
      <c r="W6" s="3">
        <f>_xlfn.XLOOKUP(W$1,generator!$B$2:$B$295,generator!$Q$2:$Q$295,"ARGH")</f>
        <v>9000</v>
      </c>
      <c r="X6" s="3">
        <f>_xlfn.XLOOKUP(X$1,generator!$B$2:$B$295,generator!$Q$2:$Q$295,"ARGH")</f>
        <v>9000</v>
      </c>
      <c r="Y6" s="3">
        <f>_xlfn.XLOOKUP(Y$1,generator!$B$2:$B$295,generator!$Q$2:$Q$295,"ARGH")</f>
        <v>9000</v>
      </c>
      <c r="Z6" s="3">
        <f>_xlfn.XLOOKUP(Z$1,generator!$B$2:$B$295,generator!$Q$2:$Q$295,"ARGH")</f>
        <v>9000</v>
      </c>
      <c r="AA6" s="3">
        <f>_xlfn.XLOOKUP(AA$1,generator!$B$2:$B$295,generator!$Q$2:$Q$295,"ARGH")</f>
        <v>9000</v>
      </c>
      <c r="AB6" s="3">
        <f>_xlfn.XLOOKUP(AB$1,generator!$B$2:$B$295,generator!$Q$2:$Q$295,"ARGH")</f>
        <v>9000</v>
      </c>
      <c r="AC6" s="3">
        <f>_xlfn.XLOOKUP(AC$1,generator!$B$2:$B$295,generator!$Q$2:$Q$295,"ARGH")</f>
        <v>9000</v>
      </c>
      <c r="AD6" s="3">
        <f>_xlfn.XLOOKUP(AD$1,generator!$B$2:$B$295,generator!$Q$2:$Q$295,"ARGH")</f>
        <v>9000</v>
      </c>
      <c r="AE6" s="3">
        <f>_xlfn.XLOOKUP(AE$1,generator!$B$2:$B$295,generator!$Q$2:$Q$295,"ARGH")</f>
        <v>9000</v>
      </c>
      <c r="AF6" s="3">
        <f>_xlfn.XLOOKUP(AF$1,generator!$B$2:$B$295,generator!$Q$2:$Q$295,"ARGH")</f>
        <v>9000</v>
      </c>
      <c r="AG6" s="3">
        <f>_xlfn.XLOOKUP(AG$1,generator!$B$2:$B$295,generator!$Q$2:$Q$295,"ARGH")</f>
        <v>9000</v>
      </c>
      <c r="AH6" s="3">
        <f>_xlfn.XLOOKUP(AH$1,generator!$B$2:$B$295,generator!$Q$2:$Q$295,"ARGH")</f>
        <v>9000</v>
      </c>
      <c r="AI6" s="3">
        <f>_xlfn.XLOOKUP(AI$1,generator!$B$2:$B$295,generator!$Q$2:$Q$295,"ARGH")</f>
        <v>9000</v>
      </c>
      <c r="AJ6" s="3">
        <f>_xlfn.XLOOKUP(AJ$1,generator!$B$2:$B$295,generator!$Q$2:$Q$295,"ARGH")</f>
        <v>9000</v>
      </c>
      <c r="AK6" s="3">
        <f>_xlfn.XLOOKUP(AK$1,generator!$B$2:$B$295,generator!$Q$2:$Q$295,"ARGH")</f>
        <v>9000</v>
      </c>
      <c r="AL6" s="3">
        <f>_xlfn.XLOOKUP(AL$1,generator!$B$2:$B$295,generator!$Q$2:$Q$295,"ARGH")</f>
        <v>9000</v>
      </c>
      <c r="AM6" s="3">
        <f>_xlfn.XLOOKUP(AM$1,generator!$B$2:$B$295,generator!$Q$2:$Q$295,"ARGH")</f>
        <v>9000</v>
      </c>
      <c r="AN6" s="3">
        <f>_xlfn.XLOOKUP(AN$1,generator!$B$2:$B$295,generator!$Q$2:$Q$295,"ARGH")</f>
        <v>9000</v>
      </c>
      <c r="AO6" s="3">
        <f>_xlfn.XLOOKUP(AO$1,generator!$B$2:$B$295,generator!$Q$2:$Q$295,"ARGH")</f>
        <v>9000</v>
      </c>
      <c r="AP6" s="3">
        <f>_xlfn.XLOOKUP(AP$1,generator!$B$2:$B$295,generator!$Q$2:$Q$295,"ARGH")</f>
        <v>9000</v>
      </c>
      <c r="AQ6" s="3">
        <f>_xlfn.XLOOKUP(AQ$1,generator!$B$2:$B$295,generator!$Q$2:$Q$295,"ARGH")</f>
        <v>9000</v>
      </c>
      <c r="AR6" s="3">
        <f>_xlfn.XLOOKUP(AR$1,generator!$B$2:$B$295,generator!$Q$2:$Q$295,"ARGH")</f>
        <v>9000</v>
      </c>
      <c r="AS6" s="3">
        <f>_xlfn.XLOOKUP(AS$1,generator!$B$2:$B$295,generator!$Q$2:$Q$295,"ARGH")</f>
        <v>9000</v>
      </c>
      <c r="AT6" s="3">
        <f>_xlfn.XLOOKUP(AT$1,generator!$B$2:$B$295,generator!$Q$2:$Q$295,"ARGH")</f>
        <v>9000</v>
      </c>
      <c r="AU6" s="3">
        <f>_xlfn.XLOOKUP(AU$1,generator!$B$2:$B$295,generator!$Q$2:$Q$295,"ARGH")</f>
        <v>9000</v>
      </c>
      <c r="AV6" s="3">
        <f>_xlfn.XLOOKUP(AV$1,generator!$B$2:$B$295,generator!$Q$2:$Q$295,"ARGH")</f>
        <v>9000</v>
      </c>
      <c r="AW6" s="3">
        <f>_xlfn.XLOOKUP(AW$1,generator!$B$2:$B$295,generator!$Q$2:$Q$295,"ARGH")</f>
        <v>9000</v>
      </c>
      <c r="AX6" s="3">
        <f>_xlfn.XLOOKUP(AX$1,generator!$B$2:$B$295,generator!$Q$2:$Q$295,"ARGH")</f>
        <v>9000</v>
      </c>
      <c r="AY6" s="3">
        <f>_xlfn.XLOOKUP(AY$1,generator!$B$2:$B$295,generator!$Q$2:$Q$295,"ARGH")</f>
        <v>9000</v>
      </c>
      <c r="AZ6" s="3">
        <f>_xlfn.XLOOKUP(AZ$1,generator!$B$2:$B$295,generator!$Q$2:$Q$295,"ARGH")</f>
        <v>9000</v>
      </c>
      <c r="BA6" s="3">
        <f>_xlfn.XLOOKUP(BA$1,generator!$B$2:$B$295,generator!$Q$2:$Q$295,"ARGH")</f>
        <v>9000</v>
      </c>
      <c r="BB6" s="3">
        <f>_xlfn.XLOOKUP(BB$1,generator!$B$2:$B$295,generator!$Q$2:$Q$295,"ARGH")</f>
        <v>9000</v>
      </c>
      <c r="BC6" s="3">
        <f>_xlfn.XLOOKUP(BC$1,generator!$B$2:$B$295,generator!$Q$2:$Q$295,"ARGH")</f>
        <v>9000</v>
      </c>
      <c r="BD6" s="3">
        <f>_xlfn.XLOOKUP(BD$1,generator!$B$2:$B$295,generator!$Q$2:$Q$295,"ARGH")</f>
        <v>9000</v>
      </c>
      <c r="BE6" s="3">
        <f>_xlfn.XLOOKUP(BE$1,generator!$B$2:$B$295,generator!$Q$2:$Q$295,"ARGH")</f>
        <v>9000</v>
      </c>
      <c r="BF6" s="3">
        <f>_xlfn.XLOOKUP(BF$1,generator!$B$2:$B$295,generator!$Q$2:$Q$295,"ARGH")</f>
        <v>9000</v>
      </c>
      <c r="BG6" s="3">
        <f>_xlfn.XLOOKUP(BG$1,generator!$B$2:$B$295,generator!$Q$2:$Q$295,"ARGH")</f>
        <v>9000</v>
      </c>
      <c r="BH6" s="3">
        <f>_xlfn.XLOOKUP(BH$1,generator!$B$2:$B$295,generator!$Q$2:$Q$295,"ARGH")</f>
        <v>9000</v>
      </c>
      <c r="BI6" s="3">
        <f>_xlfn.XLOOKUP(BI$1,generator!$B$2:$B$295,generator!$Q$2:$Q$295,"ARGH")</f>
        <v>9000</v>
      </c>
      <c r="BJ6" s="3">
        <f>_xlfn.XLOOKUP(BJ$1,generator!$B$2:$B$295,generator!$Q$2:$Q$295,"ARGH")</f>
        <v>9000</v>
      </c>
      <c r="BK6" s="3">
        <f>_xlfn.XLOOKUP(BK$1,generator!$B$2:$B$295,generator!$Q$2:$Q$295,"ARGH")</f>
        <v>9000</v>
      </c>
      <c r="BL6" s="3">
        <f>_xlfn.XLOOKUP(BL$1,generator!$B$2:$B$295,generator!$Q$2:$Q$295,"ARGH")</f>
        <v>9000</v>
      </c>
      <c r="BM6" s="3">
        <f>_xlfn.XLOOKUP(BM$1,generator!$B$2:$B$295,generator!$Q$2:$Q$295,"ARGH")</f>
        <v>9000</v>
      </c>
      <c r="BN6" s="3">
        <f>_xlfn.XLOOKUP(BN$1,generator!$B$2:$B$295,generator!$Q$2:$Q$295,"ARGH")</f>
        <v>9000</v>
      </c>
      <c r="BO6" s="3">
        <f>_xlfn.XLOOKUP(BO$1,generator!$B$2:$B$295,generator!$Q$2:$Q$295,"ARGH")</f>
        <v>9000</v>
      </c>
      <c r="BP6" s="3">
        <f>_xlfn.XLOOKUP(BP$1,generator!$B$2:$B$295,generator!$Q$2:$Q$295,"ARGH")</f>
        <v>9000</v>
      </c>
      <c r="BQ6" s="3">
        <f>_xlfn.XLOOKUP(BQ$1,generator!$B$2:$B$295,generator!$Q$2:$Q$295,"ARGH")</f>
        <v>9000</v>
      </c>
      <c r="BR6" s="3">
        <f>_xlfn.XLOOKUP(BR$1,generator!$B$2:$B$295,generator!$Q$2:$Q$295,"ARGH")</f>
        <v>9000</v>
      </c>
      <c r="BS6" s="3">
        <f>_xlfn.XLOOKUP(BS$1,generator!$B$2:$B$295,generator!$Q$2:$Q$295,"ARGH")</f>
        <v>9000</v>
      </c>
      <c r="BT6" s="3">
        <f>_xlfn.XLOOKUP(BT$1,generator!$B$2:$B$295,generator!$Q$2:$Q$295,"ARGH")</f>
        <v>9000</v>
      </c>
      <c r="BU6" s="3">
        <f>_xlfn.XLOOKUP(BU$1,generator!$B$2:$B$295,generator!$Q$2:$Q$295,"ARGH")</f>
        <v>9000</v>
      </c>
      <c r="BV6" s="3">
        <f>_xlfn.XLOOKUP(BV$1,generator!$B$2:$B$295,generator!$Q$2:$Q$295,"ARGH")</f>
        <v>9000</v>
      </c>
      <c r="BW6" s="3">
        <f>_xlfn.XLOOKUP(BW$1,generator!$B$2:$B$295,generator!$Q$2:$Q$295,"ARGH")</f>
        <v>9000</v>
      </c>
      <c r="BX6" s="3">
        <f>_xlfn.XLOOKUP(BX$1,generator!$B$2:$B$295,generator!$Q$2:$Q$295,"ARGH")</f>
        <v>9000</v>
      </c>
      <c r="BY6" s="3">
        <f>_xlfn.XLOOKUP(BY$1,generator!$B$2:$B$295,generator!$Q$2:$Q$295,"ARGH")</f>
        <v>9000</v>
      </c>
      <c r="BZ6" s="3">
        <f>_xlfn.XLOOKUP(BZ$1,generator!$B$2:$B$295,generator!$Q$2:$Q$295,"ARGH")</f>
        <v>9000</v>
      </c>
      <c r="CA6" s="3">
        <f>_xlfn.XLOOKUP(CA$1,generator!$B$2:$B$295,generator!$Q$2:$Q$295,"ARGH")</f>
        <v>9000</v>
      </c>
      <c r="CB6" s="3">
        <f>_xlfn.XLOOKUP(CB$1,generator!$B$2:$B$295,generator!$Q$2:$Q$295,"ARGH")</f>
        <v>9000</v>
      </c>
      <c r="CC6" s="3">
        <f>_xlfn.XLOOKUP(CC$1,generator!$B$2:$B$295,generator!$Q$2:$Q$295,"ARGH")</f>
        <v>9000</v>
      </c>
      <c r="CD6" s="3">
        <f>_xlfn.XLOOKUP(CD$1,generator!$B$2:$B$295,generator!$Q$2:$Q$295,"ARGH")</f>
        <v>9000</v>
      </c>
      <c r="CE6" s="3">
        <f>_xlfn.XLOOKUP(CE$1,generator!$B$2:$B$295,generator!$Q$2:$Q$295,"ARGH")</f>
        <v>9000</v>
      </c>
      <c r="CF6" s="3">
        <f>_xlfn.XLOOKUP(CF$1,generator!$B$2:$B$295,generator!$Q$2:$Q$295,"ARGH")</f>
        <v>9000</v>
      </c>
      <c r="CG6" s="3">
        <f>_xlfn.XLOOKUP(CG$1,generator!$B$2:$B$295,generator!$Q$2:$Q$295,"ARGH")</f>
        <v>9000</v>
      </c>
      <c r="CH6" s="3">
        <f>_xlfn.XLOOKUP(CH$1,generator!$B$2:$B$295,generator!$Q$2:$Q$295,"ARGH")</f>
        <v>9000</v>
      </c>
      <c r="CI6" s="3">
        <f>_xlfn.XLOOKUP(CI$1,generator!$B$2:$B$295,generator!$Q$2:$Q$295,"ARGH")</f>
        <v>9000</v>
      </c>
      <c r="CJ6" s="3">
        <f>_xlfn.XLOOKUP(CJ$1,generator!$B$2:$B$295,generator!$Q$2:$Q$295,"ARGH")</f>
        <v>9000</v>
      </c>
      <c r="CK6" s="3">
        <f>_xlfn.XLOOKUP(CK$1,generator!$B$2:$B$295,generator!$Q$2:$Q$295,"ARGH")</f>
        <v>9000</v>
      </c>
      <c r="CL6" s="3">
        <f>_xlfn.XLOOKUP(CL$1,generator!$B$2:$B$295,generator!$Q$2:$Q$295,"ARGH")</f>
        <v>9000</v>
      </c>
      <c r="CM6" s="3">
        <f>_xlfn.XLOOKUP(CM$1,generator!$B$2:$B$295,generator!$Q$2:$Q$295,"ARGH")</f>
        <v>9000</v>
      </c>
      <c r="CN6" s="3">
        <f>_xlfn.XLOOKUP(CN$1,generator!$B$2:$B$295,generator!$Q$2:$Q$295,"ARGH")</f>
        <v>9000</v>
      </c>
      <c r="CO6" s="3">
        <f>_xlfn.XLOOKUP(CO$1,generator!$B$2:$B$295,generator!$Q$2:$Q$295,"ARGH")</f>
        <v>9000</v>
      </c>
      <c r="CP6" s="3">
        <f>_xlfn.XLOOKUP(CP$1,generator!$B$2:$B$295,generator!$Q$2:$Q$295,"ARGH")</f>
        <v>9000</v>
      </c>
      <c r="CQ6" s="3">
        <f>_xlfn.XLOOKUP(CQ$1,generator!$B$2:$B$295,generator!$Q$2:$Q$295,"ARGH")</f>
        <v>9000</v>
      </c>
      <c r="CR6" s="3">
        <f>_xlfn.XLOOKUP(CR$1,generator!$B$2:$B$295,generator!$Q$2:$Q$295,"ARGH")</f>
        <v>9000</v>
      </c>
      <c r="CS6" s="3">
        <f>_xlfn.XLOOKUP(CS$1,generator!$B$2:$B$295,generator!$Q$2:$Q$295,"ARGH")</f>
        <v>9000</v>
      </c>
      <c r="CT6" s="3">
        <f>_xlfn.XLOOKUP(CT$1,generator!$B$2:$B$295,generator!$Q$2:$Q$295,"ARGH")</f>
        <v>9000</v>
      </c>
      <c r="CU6" s="3">
        <f>_xlfn.XLOOKUP(CU$1,generator!$B$2:$B$295,generator!$Q$2:$Q$295,"ARGH")</f>
        <v>9000</v>
      </c>
      <c r="CV6" s="3">
        <f>_xlfn.XLOOKUP(CV$1,generator!$B$2:$B$295,generator!$Q$2:$Q$295,"ARGH")</f>
        <v>9000</v>
      </c>
      <c r="CW6" s="3">
        <f>_xlfn.XLOOKUP(CW$1,generator!$B$2:$B$295,generator!$Q$2:$Q$295,"ARGH")</f>
        <v>9000</v>
      </c>
      <c r="CX6" s="3">
        <f>_xlfn.XLOOKUP(CX$1,generator!$B$2:$B$295,generator!$Q$2:$Q$295,"ARGH")</f>
        <v>9000</v>
      </c>
      <c r="CY6" s="3">
        <f>_xlfn.XLOOKUP(CY$1,generator!$B$2:$B$295,generator!$Q$2:$Q$295,"ARGH")</f>
        <v>9000</v>
      </c>
      <c r="CZ6" s="3">
        <f>_xlfn.XLOOKUP(CZ$1,generator!$B$2:$B$295,generator!$Q$2:$Q$295,"ARGH")</f>
        <v>9000</v>
      </c>
      <c r="DA6" s="3">
        <f>_xlfn.XLOOKUP(DA$1,generator!$B$2:$B$295,generator!$Q$2:$Q$295,"ARGH")</f>
        <v>9000</v>
      </c>
      <c r="DB6" s="3">
        <f>_xlfn.XLOOKUP(DB$1,generator!$B$2:$B$295,generator!$Q$2:$Q$295,"ARGH")</f>
        <v>9000</v>
      </c>
      <c r="DC6" s="3">
        <f>_xlfn.XLOOKUP(DC$1,generator!$B$2:$B$295,generator!$Q$2:$Q$295,"ARGH")</f>
        <v>9000</v>
      </c>
      <c r="DD6" s="3">
        <f>_xlfn.XLOOKUP(DD$1,generator!$B$2:$B$295,generator!$Q$2:$Q$295,"ARGH")</f>
        <v>9000</v>
      </c>
      <c r="DE6" s="3">
        <f>_xlfn.XLOOKUP(DE$1,generator!$B$2:$B$295,generator!$Q$2:$Q$295,"ARGH")</f>
        <v>9000</v>
      </c>
      <c r="DF6" s="3">
        <f>_xlfn.XLOOKUP(DF$1,generator!$B$2:$B$295,generator!$Q$2:$Q$295,"ARGH")</f>
        <v>9000</v>
      </c>
      <c r="DG6" s="3">
        <f>_xlfn.XLOOKUP(DG$1,generator!$B$2:$B$295,generator!$Q$2:$Q$295,"ARGH")</f>
        <v>9000</v>
      </c>
      <c r="DH6" s="3">
        <f>_xlfn.XLOOKUP(DH$1,generator!$B$2:$B$295,generator!$Q$2:$Q$295,"ARGH")</f>
        <v>9000</v>
      </c>
      <c r="DI6" s="3">
        <f>_xlfn.XLOOKUP(DI$1,generator!$B$2:$B$295,generator!$Q$2:$Q$295,"ARGH")</f>
        <v>9000</v>
      </c>
      <c r="DJ6" s="3">
        <f>_xlfn.XLOOKUP(DJ$1,generator!$B$2:$B$295,generator!$Q$2:$Q$295,"ARGH")</f>
        <v>9000</v>
      </c>
      <c r="DK6" s="3">
        <f>_xlfn.XLOOKUP(DK$1,generator!$B$2:$B$295,generator!$Q$2:$Q$295,"ARGH")</f>
        <v>9000</v>
      </c>
      <c r="DL6" s="3">
        <f>_xlfn.XLOOKUP(DL$1,generator!$B$2:$B$295,generator!$Q$2:$Q$295,"ARGH")</f>
        <v>9000</v>
      </c>
      <c r="DM6" s="3">
        <f>_xlfn.XLOOKUP(DM$1,generator!$B$2:$B$295,generator!$Q$2:$Q$295,"ARGH")</f>
        <v>9000</v>
      </c>
      <c r="DN6" s="3">
        <f>_xlfn.XLOOKUP(DN$1,generator!$B$2:$B$295,generator!$Q$2:$Q$295,"ARGH")</f>
        <v>9000</v>
      </c>
      <c r="DO6" s="3">
        <f>_xlfn.XLOOKUP(DO$1,generator!$B$2:$B$295,generator!$Q$2:$Q$295,"ARGH")</f>
        <v>9000</v>
      </c>
      <c r="DP6" s="3">
        <f>_xlfn.XLOOKUP(DP$1,generator!$B$2:$B$295,generator!$Q$2:$Q$295,"ARGH")</f>
        <v>9000</v>
      </c>
      <c r="DQ6" s="3">
        <f>_xlfn.XLOOKUP(DQ$1,generator!$B$2:$B$295,generator!$Q$2:$Q$295,"ARGH")</f>
        <v>9000</v>
      </c>
      <c r="DR6" s="3">
        <f>_xlfn.XLOOKUP(DR$1,generator!$B$2:$B$295,generator!$Q$2:$Q$295,"ARGH")</f>
        <v>9000</v>
      </c>
      <c r="DS6" s="3">
        <f>_xlfn.XLOOKUP(DS$1,generator!$B$2:$B$295,generator!$Q$2:$Q$295,"ARGH")</f>
        <v>9000</v>
      </c>
      <c r="DT6" s="3">
        <f>_xlfn.XLOOKUP(DT$1,generator!$B$2:$B$295,generator!$Q$2:$Q$295,"ARGH")</f>
        <v>9000</v>
      </c>
      <c r="DU6" s="3">
        <f>_xlfn.XLOOKUP(DU$1,generator!$B$2:$B$295,generator!$Q$2:$Q$295,"ARGH")</f>
        <v>9000</v>
      </c>
      <c r="DV6" s="3">
        <f>_xlfn.XLOOKUP(DV$1,generator!$B$2:$B$295,generator!$Q$2:$Q$295,"ARGH")</f>
        <v>9000</v>
      </c>
      <c r="DW6" s="3">
        <f>_xlfn.XLOOKUP(DW$1,generator!$B$2:$B$295,generator!$Q$2:$Q$295,"ARGH")</f>
        <v>9000</v>
      </c>
      <c r="DX6" s="3">
        <f>_xlfn.XLOOKUP(DX$1,generator!$B$2:$B$295,generator!$Q$2:$Q$295,"ARGH")</f>
        <v>9000</v>
      </c>
      <c r="DY6" s="3">
        <f>_xlfn.XLOOKUP(DY$1,generator!$B$2:$B$295,generator!$Q$2:$Q$295,"ARGH")</f>
        <v>9000</v>
      </c>
      <c r="DZ6" s="3">
        <f>_xlfn.XLOOKUP(DZ$1,generator!$B$2:$B$295,generator!$Q$2:$Q$295,"ARGH")</f>
        <v>9000</v>
      </c>
      <c r="EA6" s="3">
        <f>_xlfn.XLOOKUP(EA$1,generator!$B$2:$B$295,generator!$Q$2:$Q$295,"ARGH")</f>
        <v>9000</v>
      </c>
      <c r="EB6" s="3">
        <f>_xlfn.XLOOKUP(EB$1,generator!$B$2:$B$295,generator!$Q$2:$Q$295,"ARGH")</f>
        <v>9000</v>
      </c>
      <c r="EC6" s="3">
        <f>_xlfn.XLOOKUP(EC$1,generator!$B$2:$B$295,generator!$Q$2:$Q$295,"ARGH")</f>
        <v>9000</v>
      </c>
      <c r="ED6" s="3">
        <f>_xlfn.XLOOKUP(ED$1,generator!$B$2:$B$295,generator!$Q$2:$Q$295,"ARGH")</f>
        <v>9000</v>
      </c>
      <c r="EE6" s="3">
        <f>_xlfn.XLOOKUP(EE$1,generator!$B$2:$B$295,generator!$Q$2:$Q$295,"ARGH")</f>
        <v>9000</v>
      </c>
      <c r="EF6" s="3">
        <f>_xlfn.XLOOKUP(EF$1,generator!$B$2:$B$295,generator!$Q$2:$Q$295,"ARGH")</f>
        <v>9000</v>
      </c>
      <c r="EG6" s="3">
        <f>_xlfn.XLOOKUP(EG$1,generator!$B$2:$B$295,generator!$Q$2:$Q$295,"ARGH")</f>
        <v>9000</v>
      </c>
      <c r="EH6" s="3">
        <f>_xlfn.XLOOKUP(EH$1,generator!$B$2:$B$295,generator!$Q$2:$Q$295,"ARGH")</f>
        <v>9000</v>
      </c>
      <c r="EI6" s="3">
        <f>_xlfn.XLOOKUP(EI$1,generator!$B$2:$B$295,generator!$Q$2:$Q$295,"ARGH")</f>
        <v>9000</v>
      </c>
      <c r="EJ6" s="3">
        <f>_xlfn.XLOOKUP(EJ$1,generator!$B$2:$B$295,generator!$Q$2:$Q$295,"ARGH")</f>
        <v>9000</v>
      </c>
      <c r="EK6" s="3">
        <f>_xlfn.XLOOKUP(EK$1,generator!$B$2:$B$295,generator!$Q$2:$Q$295,"ARGH")</f>
        <v>9000</v>
      </c>
      <c r="EL6" s="3">
        <f>_xlfn.XLOOKUP(EL$1,generator!$B$2:$B$295,generator!$Q$2:$Q$295,"ARGH")</f>
        <v>9000</v>
      </c>
      <c r="EM6" s="3">
        <f>_xlfn.XLOOKUP(EM$1,generator!$B$2:$B$295,generator!$Q$2:$Q$295,"ARGH")</f>
        <v>9000</v>
      </c>
      <c r="EN6" s="3">
        <f>_xlfn.XLOOKUP(EN$1,generator!$B$2:$B$295,generator!$Q$2:$Q$295,"ARGH")</f>
        <v>9000</v>
      </c>
      <c r="EO6" s="3">
        <f>_xlfn.XLOOKUP(EO$1,generator!$B$2:$B$295,generator!$Q$2:$Q$295,"ARGH")</f>
        <v>9000</v>
      </c>
      <c r="EP6" s="3">
        <f>_xlfn.XLOOKUP(EP$1,generator!$B$2:$B$295,generator!$Q$2:$Q$295,"ARGH")</f>
        <v>9000</v>
      </c>
      <c r="EQ6" s="3">
        <f>_xlfn.XLOOKUP(EQ$1,generator!$B$2:$B$295,generator!$Q$2:$Q$295,"ARGH")</f>
        <v>9000</v>
      </c>
      <c r="ER6" s="3">
        <f>_xlfn.XLOOKUP(ER$1,generator!$B$2:$B$295,generator!$Q$2:$Q$295,"ARGH")</f>
        <v>9000</v>
      </c>
      <c r="ES6" s="3">
        <f>_xlfn.XLOOKUP(ES$1,generator!$B$2:$B$295,generator!$Q$2:$Q$295,"ARGH")</f>
        <v>9000</v>
      </c>
      <c r="ET6" s="3">
        <f>_xlfn.XLOOKUP(ET$1,generator!$B$2:$B$295,generator!$Q$2:$Q$295,"ARGH")</f>
        <v>9000</v>
      </c>
      <c r="EU6" s="3">
        <f>_xlfn.XLOOKUP(EU$1,generator!$B$2:$B$295,generator!$Q$2:$Q$295,"ARGH")</f>
        <v>9000</v>
      </c>
      <c r="EV6" s="3">
        <f>_xlfn.XLOOKUP(EV$1,generator!$B$2:$B$295,generator!$Q$2:$Q$295,"ARGH")</f>
        <v>9000</v>
      </c>
      <c r="EW6" s="3">
        <f>_xlfn.XLOOKUP(EW$1,generator!$B$2:$B$295,generator!$Q$2:$Q$295,"ARGH")</f>
        <v>9000</v>
      </c>
      <c r="EX6" s="3">
        <f>_xlfn.XLOOKUP(EX$1,generator!$B$2:$B$295,generator!$Q$2:$Q$295,"ARGH")</f>
        <v>9000</v>
      </c>
      <c r="EY6" s="3">
        <f>_xlfn.XLOOKUP(EY$1,generator!$B$2:$B$295,generator!$Q$2:$Q$295,"ARGH")</f>
        <v>9000</v>
      </c>
      <c r="EZ6" s="3">
        <f>_xlfn.XLOOKUP(EZ$1,generator!$B$2:$B$295,generator!$Q$2:$Q$295,"ARGH")</f>
        <v>9000</v>
      </c>
      <c r="FA6" s="3">
        <f>_xlfn.XLOOKUP(FA$1,generator!$B$2:$B$295,generator!$Q$2:$Q$295,"ARGH")</f>
        <v>9000</v>
      </c>
      <c r="FB6" s="3">
        <f>_xlfn.XLOOKUP(FB$1,generator!$B$2:$B$295,generator!$Q$2:$Q$295,"ARGH")</f>
        <v>9000</v>
      </c>
      <c r="FC6" s="3">
        <f>_xlfn.XLOOKUP(FC$1,generator!$B$2:$B$295,generator!$Q$2:$Q$295,"ARGH")</f>
        <v>9000</v>
      </c>
      <c r="FD6" s="3">
        <f>_xlfn.XLOOKUP(FD$1,generator!$B$2:$B$295,generator!$Q$2:$Q$295,"ARGH")</f>
        <v>9000</v>
      </c>
      <c r="FE6" s="3">
        <f>_xlfn.XLOOKUP(FE$1,generator!$B$2:$B$295,generator!$Q$2:$Q$295,"ARGH")</f>
        <v>9000</v>
      </c>
      <c r="FF6" s="3">
        <f>_xlfn.XLOOKUP(FF$1,generator!$B$2:$B$295,generator!$Q$2:$Q$295,"ARGH")</f>
        <v>9000</v>
      </c>
      <c r="FG6" s="3">
        <f>_xlfn.XLOOKUP(FG$1,generator!$B$2:$B$295,generator!$Q$2:$Q$295,"ARGH")</f>
        <v>9000</v>
      </c>
      <c r="FH6" s="3">
        <f>_xlfn.XLOOKUP(FH$1,generator!$B$2:$B$295,generator!$Q$2:$Q$295,"ARGH")</f>
        <v>9000</v>
      </c>
      <c r="FI6" s="3">
        <f>_xlfn.XLOOKUP(FI$1,generator!$B$2:$B$295,generator!$Q$2:$Q$295,"ARGH")</f>
        <v>9000</v>
      </c>
      <c r="FJ6" s="3">
        <f>_xlfn.XLOOKUP(FJ$1,generator!$B$2:$B$295,generator!$Q$2:$Q$295,"ARGH")</f>
        <v>9000</v>
      </c>
      <c r="FK6" s="3">
        <f>_xlfn.XLOOKUP(FK$1,generator!$B$2:$B$295,generator!$Q$2:$Q$295,"ARGH")</f>
        <v>9000</v>
      </c>
      <c r="FL6" s="3">
        <f>_xlfn.XLOOKUP(FL$1,generator!$B$2:$B$295,generator!$Q$2:$Q$295,"ARGH")</f>
        <v>9000</v>
      </c>
      <c r="FM6" s="3">
        <f>_xlfn.XLOOKUP(FM$1,generator!$B$2:$B$295,generator!$Q$2:$Q$295,"ARGH")</f>
        <v>9000</v>
      </c>
      <c r="FN6" s="3">
        <f>_xlfn.XLOOKUP(FN$1,generator!$B$2:$B$295,generator!$Q$2:$Q$295,"ARGH")</f>
        <v>9000</v>
      </c>
      <c r="FO6" s="3">
        <f>_xlfn.XLOOKUP(FO$1,generator!$B$2:$B$295,generator!$Q$2:$Q$295,"ARGH")</f>
        <v>9000</v>
      </c>
      <c r="FP6" s="3">
        <f>_xlfn.XLOOKUP(FP$1,generator!$B$2:$B$295,generator!$Q$2:$Q$295,"ARGH")</f>
        <v>9000</v>
      </c>
      <c r="FQ6" s="3">
        <f>_xlfn.XLOOKUP(FQ$1,generator!$B$2:$B$295,generator!$Q$2:$Q$295,"ARGH")</f>
        <v>9000</v>
      </c>
      <c r="FR6" s="3">
        <f>_xlfn.XLOOKUP(FR$1,generator!$B$2:$B$295,generator!$Q$2:$Q$295,"ARGH")</f>
        <v>9000</v>
      </c>
      <c r="FS6" s="3">
        <f>_xlfn.XLOOKUP(FS$1,generator!$B$2:$B$295,generator!$Q$2:$Q$295,"ARGH")</f>
        <v>9000</v>
      </c>
      <c r="FT6" s="3">
        <f>_xlfn.XLOOKUP(FT$1,generator!$B$2:$B$295,generator!$Q$2:$Q$295,"ARGH")</f>
        <v>9000</v>
      </c>
      <c r="FU6" s="3">
        <f>_xlfn.XLOOKUP(FU$1,generator!$B$2:$B$295,generator!$Q$2:$Q$295,"ARGH")</f>
        <v>9000</v>
      </c>
      <c r="FV6" s="3">
        <f>_xlfn.XLOOKUP(FV$1,generator!$B$2:$B$295,generator!$Q$2:$Q$295,"ARGH")</f>
        <v>9000</v>
      </c>
      <c r="FW6" s="3">
        <f>_xlfn.XLOOKUP(FW$1,generator!$B$2:$B$295,generator!$Q$2:$Q$295,"ARGH")</f>
        <v>9000</v>
      </c>
      <c r="FX6" s="3">
        <f>_xlfn.XLOOKUP(FX$1,generator!$B$2:$B$295,generator!$Q$2:$Q$295,"ARGH")</f>
        <v>9000</v>
      </c>
      <c r="FY6" s="3">
        <f>_xlfn.XLOOKUP(FY$1,generator!$B$2:$B$295,generator!$Q$2:$Q$295,"ARGH")</f>
        <v>9000</v>
      </c>
      <c r="FZ6" s="3">
        <f>_xlfn.XLOOKUP(FZ$1,generator!$B$2:$B$295,generator!$Q$2:$Q$295,"ARGH")</f>
        <v>9000</v>
      </c>
      <c r="GA6" s="3">
        <f>_xlfn.XLOOKUP(GA$1,generator!$B$2:$B$295,generator!$Q$2:$Q$295,"ARGH")</f>
        <v>9000</v>
      </c>
      <c r="GB6" s="3">
        <f>_xlfn.XLOOKUP(GB$1,generator!$B$2:$B$295,generator!$Q$2:$Q$295,"ARGH")</f>
        <v>9000</v>
      </c>
      <c r="GC6" s="3">
        <f>_xlfn.XLOOKUP(GC$1,generator!$B$2:$B$295,generator!$Q$2:$Q$295,"ARGH")</f>
        <v>9000</v>
      </c>
      <c r="GD6" s="3">
        <f>_xlfn.XLOOKUP(GD$1,generator!$B$2:$B$295,generator!$Q$2:$Q$295,"ARGH")</f>
        <v>9000</v>
      </c>
      <c r="GE6" s="3">
        <f>_xlfn.XLOOKUP(GE$1,generator!$B$2:$B$295,generator!$Q$2:$Q$295,"ARGH")</f>
        <v>9000</v>
      </c>
      <c r="GF6" s="3">
        <f>_xlfn.XLOOKUP(GF$1,generator!$B$2:$B$295,generator!$Q$2:$Q$295,"ARGH")</f>
        <v>9000</v>
      </c>
      <c r="GG6" s="3">
        <f>_xlfn.XLOOKUP(GG$1,generator!$B$2:$B$295,generator!$Q$2:$Q$295,"ARGH")</f>
        <v>9000</v>
      </c>
      <c r="GH6" s="3">
        <f>_xlfn.XLOOKUP(GH$1,generator!$B$2:$B$295,generator!$Q$2:$Q$295,"ARGH")</f>
        <v>9000</v>
      </c>
      <c r="GI6" s="3">
        <f>_xlfn.XLOOKUP(GI$1,generator!$B$2:$B$295,generator!$Q$2:$Q$295,"ARGH")</f>
        <v>9000</v>
      </c>
      <c r="GJ6" s="3">
        <f>_xlfn.XLOOKUP(GJ$1,generator!$B$2:$B$295,generator!$Q$2:$Q$295,"ARGH")</f>
        <v>9000</v>
      </c>
      <c r="GK6" s="3">
        <f>_xlfn.XLOOKUP(GK$1,generator!$B$2:$B$295,generator!$Q$2:$Q$295,"ARGH")</f>
        <v>9000</v>
      </c>
      <c r="GL6" s="3">
        <f>_xlfn.XLOOKUP(GL$1,generator!$B$2:$B$295,generator!$Q$2:$Q$295,"ARGH")</f>
        <v>9000</v>
      </c>
      <c r="GM6" s="3">
        <f>_xlfn.XLOOKUP(GM$1,generator!$B$2:$B$295,generator!$Q$2:$Q$295,"ARGH")</f>
        <v>9000</v>
      </c>
      <c r="GN6" s="3">
        <f>_xlfn.XLOOKUP(GN$1,generator!$B$2:$B$295,generator!$Q$2:$Q$295,"ARGH")</f>
        <v>9000</v>
      </c>
      <c r="GO6" s="3">
        <f>_xlfn.XLOOKUP(GO$1,generator!$B$2:$B$295,generator!$Q$2:$Q$295,"ARGH")</f>
        <v>9000</v>
      </c>
      <c r="GP6" s="3">
        <f>_xlfn.XLOOKUP(GP$1,generator!$B$2:$B$295,generator!$Q$2:$Q$295,"ARGH")</f>
        <v>9000</v>
      </c>
      <c r="GQ6" s="3">
        <f>_xlfn.XLOOKUP(GQ$1,generator!$B$2:$B$295,generator!$Q$2:$Q$295,"ARGH")</f>
        <v>9000</v>
      </c>
      <c r="GR6" s="3">
        <f>_xlfn.XLOOKUP(GR$1,generator!$B$2:$B$295,generator!$Q$2:$Q$295,"ARGH")</f>
        <v>9000</v>
      </c>
      <c r="GS6" s="3">
        <f>_xlfn.XLOOKUP(GS$1,generator!$B$2:$B$295,generator!$Q$2:$Q$295,"ARGH")</f>
        <v>9000</v>
      </c>
      <c r="GT6" s="3">
        <f>_xlfn.XLOOKUP(GT$1,generator!$B$2:$B$295,generator!$Q$2:$Q$295,"ARGH")</f>
        <v>9000</v>
      </c>
      <c r="GU6" s="3">
        <f>_xlfn.XLOOKUP(GU$1,generator!$B$2:$B$295,generator!$Q$2:$Q$295,"ARGH")</f>
        <v>9000</v>
      </c>
      <c r="GV6" s="3">
        <f>_xlfn.XLOOKUP(GV$1,generator!$B$2:$B$295,generator!$Q$2:$Q$295,"ARGH")</f>
        <v>9000</v>
      </c>
      <c r="GW6" s="3">
        <f>_xlfn.XLOOKUP(GW$1,generator!$B$2:$B$295,generator!$Q$2:$Q$295,"ARGH")</f>
        <v>9000</v>
      </c>
      <c r="GX6" s="3">
        <f>_xlfn.XLOOKUP(GX$1,generator!$B$2:$B$295,generator!$Q$2:$Q$295,"ARGH")</f>
        <v>9000</v>
      </c>
      <c r="GY6" s="3">
        <f>_xlfn.XLOOKUP(GY$1,generator!$B$2:$B$295,generator!$Q$2:$Q$295,"ARGH")</f>
        <v>9000</v>
      </c>
      <c r="GZ6" s="3">
        <f>_xlfn.XLOOKUP(GZ$1,generator!$B$2:$B$295,generator!$Q$2:$Q$295,"ARGH")</f>
        <v>9000</v>
      </c>
      <c r="HA6" s="3">
        <f>_xlfn.XLOOKUP(HA$1,generator!$B$2:$B$295,generator!$Q$2:$Q$295,"ARGH")</f>
        <v>9000</v>
      </c>
      <c r="HB6" s="3">
        <f>_xlfn.XLOOKUP(HB$1,generator!$B$2:$B$295,generator!$Q$2:$Q$295,"ARGH")</f>
        <v>9000</v>
      </c>
      <c r="HC6" s="3">
        <f>_xlfn.XLOOKUP(HC$1,generator!$B$2:$B$295,generator!$Q$2:$Q$295,"ARGH")</f>
        <v>9000</v>
      </c>
      <c r="HD6" s="3">
        <f>_xlfn.XLOOKUP(HD$1,generator!$B$2:$B$295,generator!$Q$2:$Q$295,"ARGH")</f>
        <v>9000</v>
      </c>
      <c r="HE6" s="3">
        <f>_xlfn.XLOOKUP(HE$1,generator!$B$2:$B$295,generator!$Q$2:$Q$295,"ARGH")</f>
        <v>8000</v>
      </c>
      <c r="HF6" s="3" t="str">
        <f>_xlfn.XLOOKUP(HF$1,generator!$B$2:$B$295,generator!$Q$2:$Q$295,"ARGH")</f>
        <v>143</v>
      </c>
      <c r="HG6" s="3" t="str">
        <f>_xlfn.XLOOKUP(HG$1,generator!$B$2:$B$295,generator!$Q$2:$Q$295,"ARGH")</f>
        <v>143</v>
      </c>
      <c r="HH6" s="3" t="str">
        <f>_xlfn.XLOOKUP(HH$1,generator!$B$2:$B$295,generator!$Q$2:$Q$295,"ARGH")</f>
        <v>143</v>
      </c>
      <c r="HI6" s="3" t="str">
        <f>_xlfn.XLOOKUP(HI$1,generator!$B$2:$B$295,generator!$Q$2:$Q$295,"ARGH")</f>
        <v>246.74</v>
      </c>
      <c r="HJ6" s="3" t="str">
        <f>_xlfn.XLOOKUP(HJ$1,generator!$B$2:$B$295,generator!$Q$2:$Q$295,"ARGH")</f>
        <v>246.74</v>
      </c>
      <c r="HK6" s="3" t="str">
        <f>_xlfn.XLOOKUP(HK$1,generator!$B$2:$B$295,generator!$Q$2:$Q$295,"ARGH")</f>
        <v>206.04</v>
      </c>
      <c r="HL6" s="3" t="str">
        <f>_xlfn.XLOOKUP(HL$1,generator!$B$2:$B$295,generator!$Q$2:$Q$295,"ARGH")</f>
        <v>506.96</v>
      </c>
      <c r="HM6" s="3" t="str">
        <f>_xlfn.XLOOKUP(HM$1,generator!$B$2:$B$295,generator!$Q$2:$Q$295,"ARGH")</f>
        <v>506.95</v>
      </c>
      <c r="HN6" s="3" t="str">
        <f>_xlfn.XLOOKUP(HN$1,generator!$B$2:$B$295,generator!$Q$2:$Q$295,"ARGH")</f>
        <v>190.97</v>
      </c>
      <c r="HO6" s="3" t="str">
        <f>_xlfn.XLOOKUP(HO$1,generator!$B$2:$B$295,generator!$Q$2:$Q$295,"ARGH")</f>
        <v>190.97</v>
      </c>
      <c r="HP6" s="3" t="str">
        <f>_xlfn.XLOOKUP(HP$1,generator!$B$2:$B$295,generator!$Q$2:$Q$295,"ARGH")</f>
        <v>424.84</v>
      </c>
      <c r="HQ6" s="3" t="str">
        <f>_xlfn.XLOOKUP(HQ$1,generator!$B$2:$B$295,generator!$Q$2:$Q$295,"ARGH")</f>
        <v>425.9</v>
      </c>
      <c r="HR6" s="3" t="str">
        <f>_xlfn.XLOOKUP(HR$1,generator!$B$2:$B$295,generator!$Q$2:$Q$295,"ARGH")</f>
        <v>425.9</v>
      </c>
      <c r="HS6" s="3" t="str">
        <f>_xlfn.XLOOKUP(HS$1,generator!$B$2:$B$295,generator!$Q$2:$Q$295,"ARGH")</f>
        <v>196.54</v>
      </c>
      <c r="HT6" s="3" t="str">
        <f>_xlfn.XLOOKUP(HT$1,generator!$B$2:$B$295,generator!$Q$2:$Q$295,"ARGH")</f>
        <v>196.54</v>
      </c>
      <c r="HU6" s="3" t="str">
        <f>_xlfn.XLOOKUP(HU$1,generator!$B$2:$B$295,generator!$Q$2:$Q$295,"ARGH")</f>
        <v>145.57</v>
      </c>
      <c r="HV6" s="3" t="str">
        <f>_xlfn.XLOOKUP(HV$1,generator!$B$2:$B$295,generator!$Q$2:$Q$295,"ARGH")</f>
        <v>132.62</v>
      </c>
      <c r="HW6" s="3" t="str">
        <f>_xlfn.XLOOKUP(HW$1,generator!$B$2:$B$295,generator!$Q$2:$Q$295,"ARGH")</f>
        <v>193.76</v>
      </c>
      <c r="HX6" s="3" t="str">
        <f>_xlfn.XLOOKUP(HX$1,generator!$B$2:$B$295,generator!$Q$2:$Q$295,"ARGH")</f>
        <v>193.76</v>
      </c>
      <c r="HY6" s="3" t="str">
        <f>_xlfn.XLOOKUP(HY$1,generator!$B$2:$B$295,generator!$Q$2:$Q$295,"ARGH")</f>
        <v>79.19</v>
      </c>
      <c r="HZ6" s="3" t="str">
        <f>_xlfn.XLOOKUP(HZ$1,generator!$B$2:$B$295,generator!$Q$2:$Q$295,"ARGH")</f>
        <v>125.79</v>
      </c>
      <c r="IA6" s="3" t="str">
        <f>_xlfn.XLOOKUP(IA$1,generator!$B$2:$B$295,generator!$Q$2:$Q$295,"ARGH")</f>
        <v>54.19</v>
      </c>
      <c r="IB6" s="3" t="str">
        <f>_xlfn.XLOOKUP(IB$1,generator!$B$2:$B$295,generator!$Q$2:$Q$295,"ARGH")</f>
        <v>59.7</v>
      </c>
      <c r="IC6" s="3">
        <f>_xlfn.XLOOKUP(IC$1,generator!$B$2:$B$295,generator!$Q$2:$Q$295,"ARGH")</f>
        <v>0</v>
      </c>
      <c r="ID6" s="3" t="str">
        <f>_xlfn.XLOOKUP(ID$1,generator!$B$2:$B$295,generator!$Q$2:$Q$295,"ARGH")</f>
        <v>121.14</v>
      </c>
      <c r="IE6" s="3" t="str">
        <f>_xlfn.XLOOKUP(IE$1,generator!$B$2:$B$295,generator!$Q$2:$Q$295,"ARGH")</f>
        <v>26.6</v>
      </c>
      <c r="IF6" s="3">
        <f>_xlfn.XLOOKUP(IF$1,generator!$B$2:$B$295,generator!$Q$2:$Q$295,"ARGH")</f>
        <v>8000</v>
      </c>
      <c r="IG6" s="3">
        <f>_xlfn.XLOOKUP(IG$1,generator!$B$2:$B$295,generator!$Q$2:$Q$295,"ARGH")</f>
        <v>8000</v>
      </c>
      <c r="IH6" s="3">
        <f>_xlfn.XLOOKUP(IH$1,generator!$B$2:$B$295,generator!$Q$2:$Q$295,"ARGH")</f>
        <v>8000</v>
      </c>
      <c r="II6" s="3">
        <f>_xlfn.XLOOKUP(II$1,generator!$B$2:$B$295,generator!$Q$2:$Q$295,"ARGH")</f>
        <v>8000</v>
      </c>
      <c r="IJ6" s="3">
        <f>_xlfn.XLOOKUP(IJ$1,generator!$B$2:$B$295,generator!$Q$2:$Q$295,"ARGH")</f>
        <v>8000</v>
      </c>
      <c r="IK6" s="3">
        <f>_xlfn.XLOOKUP(IK$1,generator!$B$2:$B$295,generator!$Q$2:$Q$295,"ARGH")</f>
        <v>8000</v>
      </c>
      <c r="IL6" s="3">
        <f>_xlfn.XLOOKUP(IL$1,generator!$B$2:$B$295,generator!$Q$2:$Q$295,"ARGH")</f>
        <v>8000</v>
      </c>
      <c r="IM6" s="3">
        <f>_xlfn.XLOOKUP(IM$1,generator!$B$2:$B$295,generator!$Q$2:$Q$295,"ARGH")</f>
        <v>8000</v>
      </c>
      <c r="IN6" s="3">
        <f>_xlfn.XLOOKUP(IN$1,generator!$B$2:$B$295,generator!$Q$2:$Q$295,"ARGH")</f>
        <v>8000</v>
      </c>
      <c r="IO6" s="3">
        <f>_xlfn.XLOOKUP(IO$1,generator!$B$2:$B$295,generator!$Q$2:$Q$295,"ARGH")</f>
        <v>8000</v>
      </c>
      <c r="IP6" s="3">
        <f>_xlfn.XLOOKUP(IP$1,generator!$B$2:$B$295,generator!$Q$2:$Q$295,"ARGH")</f>
        <v>8000</v>
      </c>
      <c r="IQ6" s="3">
        <f>_xlfn.XLOOKUP(IQ$1,generator!$B$2:$B$295,generator!$Q$2:$Q$295,"ARGH")</f>
        <v>8000</v>
      </c>
      <c r="IR6" s="3">
        <f>_xlfn.XLOOKUP(IR$1,generator!$B$2:$B$295,generator!$Q$2:$Q$295,"ARGH")</f>
        <v>8000</v>
      </c>
      <c r="IS6" s="3">
        <f>_xlfn.XLOOKUP(IS$1,generator!$B$2:$B$295,generator!$Q$2:$Q$295,"ARGH")</f>
        <v>8000</v>
      </c>
      <c r="IT6" s="3">
        <f>_xlfn.XLOOKUP(IT$1,generator!$B$2:$B$295,generator!$Q$2:$Q$295,"ARGH")</f>
        <v>8000</v>
      </c>
      <c r="IU6" s="3">
        <f>_xlfn.XLOOKUP(IU$1,generator!$B$2:$B$295,generator!$Q$2:$Q$295,"ARGH")</f>
        <v>8000</v>
      </c>
      <c r="IV6" s="3">
        <f>_xlfn.XLOOKUP(IV$1,generator!$B$2:$B$295,generator!$Q$2:$Q$295,"ARGH")</f>
        <v>8000</v>
      </c>
      <c r="IW6" s="3" t="str">
        <f>_xlfn.XLOOKUP(IW$1,generator!$B$2:$B$295,generator!$Q$2:$Q$295,"ARGH")</f>
        <v>108.19</v>
      </c>
      <c r="IX6" s="3" t="str">
        <f>_xlfn.XLOOKUP(IX$1,generator!$B$2:$B$295,generator!$Q$2:$Q$295,"ARGH")</f>
        <v>108.18</v>
      </c>
      <c r="IY6" s="3" t="str">
        <f>_xlfn.XLOOKUP(IY$1,generator!$B$2:$B$295,generator!$Q$2:$Q$295,"ARGH")</f>
        <v>108.17</v>
      </c>
      <c r="IZ6" s="3" t="str">
        <f>_xlfn.XLOOKUP(IZ$1,generator!$B$2:$B$295,generator!$Q$2:$Q$295,"ARGH")</f>
        <v>40.96</v>
      </c>
      <c r="JA6" s="3">
        <f>_xlfn.XLOOKUP(JA$1,generator!$B$2:$B$295,generator!$Q$2:$Q$295,"ARGH")</f>
        <v>0</v>
      </c>
      <c r="JB6" s="3">
        <f>_xlfn.XLOOKUP(JB$1,generator!$B$2:$B$295,generator!$Q$2:$Q$295,"ARGH")</f>
        <v>0</v>
      </c>
      <c r="JC6" s="3" t="str">
        <f>_xlfn.XLOOKUP(JC$1,generator!$B$2:$B$295,generator!$Q$2:$Q$295,"ARGH")</f>
        <v>75.91</v>
      </c>
      <c r="JD6" s="3" t="str">
        <f>_xlfn.XLOOKUP(JD$1,generator!$B$2:$B$295,generator!$Q$2:$Q$295,"ARGH")</f>
        <v>75.91</v>
      </c>
      <c r="JE6" s="3" t="str">
        <f>_xlfn.XLOOKUP(JE$1,generator!$B$2:$B$295,generator!$Q$2:$Q$295,"ARGH")</f>
        <v>51.59</v>
      </c>
      <c r="JF6" s="3" t="str">
        <f>_xlfn.XLOOKUP(JF$1,generator!$B$2:$B$295,generator!$Q$2:$Q$295,"ARGH")</f>
        <v>111.57</v>
      </c>
      <c r="JG6" s="3">
        <f>_xlfn.XLOOKUP(JG$1,generator!$B$2:$B$295,generator!$Q$2:$Q$295,"ARGH")</f>
        <v>0</v>
      </c>
      <c r="JH6" s="3" t="str">
        <f>_xlfn.XLOOKUP(JH$1,generator!$B$2:$B$295,generator!$Q$2:$Q$295,"ARGH")</f>
        <v>48.65</v>
      </c>
      <c r="JI6" s="3" t="str">
        <f>_xlfn.XLOOKUP(JI$1,generator!$B$2:$B$295,generator!$Q$2:$Q$295,"ARGH")</f>
        <v>71.88</v>
      </c>
      <c r="JJ6" s="3" t="str">
        <f>_xlfn.XLOOKUP(JJ$1,generator!$B$2:$B$295,generator!$Q$2:$Q$295,"ARGH")</f>
        <v>98.17</v>
      </c>
      <c r="JK6" s="3" t="str">
        <f>_xlfn.XLOOKUP(JK$1,generator!$B$2:$B$295,generator!$Q$2:$Q$295,"ARGH")</f>
        <v>98.17</v>
      </c>
      <c r="JL6" s="3" t="str">
        <f>_xlfn.XLOOKUP(JL$1,generator!$B$2:$B$295,generator!$Q$2:$Q$295,"ARGH")</f>
        <v>98.17</v>
      </c>
      <c r="JM6" s="3" t="str">
        <f>_xlfn.XLOOKUP(JM$1,generator!$B$2:$B$295,generator!$Q$2:$Q$295,"ARGH")</f>
        <v>98.17</v>
      </c>
      <c r="JN6" s="3" t="str">
        <f>_xlfn.XLOOKUP(JN$1,generator!$B$2:$B$295,generator!$Q$2:$Q$295,"ARGH")</f>
        <v>98.17</v>
      </c>
      <c r="JO6" s="3" t="str">
        <f>_xlfn.XLOOKUP(JO$1,generator!$B$2:$B$295,generator!$Q$2:$Q$295,"ARGH")</f>
        <v>98.17</v>
      </c>
      <c r="JP6" s="3" t="str">
        <f>_xlfn.XLOOKUP(JP$1,generator!$B$2:$B$295,generator!$Q$2:$Q$295,"ARGH")</f>
        <v>47.53</v>
      </c>
      <c r="JQ6" s="3" t="str">
        <f>_xlfn.XLOOKUP(JQ$1,generator!$B$2:$B$295,generator!$Q$2:$Q$295,"ARGH")</f>
        <v>108.86</v>
      </c>
      <c r="JR6" s="3" t="str">
        <f>_xlfn.XLOOKUP(JR$1,generator!$B$2:$B$295,generator!$Q$2:$Q$295,"ARGH")</f>
        <v>83.15</v>
      </c>
      <c r="JS6" s="3" t="str">
        <f>_xlfn.XLOOKUP(JS$1,generator!$B$2:$B$295,generator!$Q$2:$Q$295,"ARGH")</f>
        <v>83.15</v>
      </c>
      <c r="JT6" s="3" t="str">
        <f>_xlfn.XLOOKUP(JT$1,generator!$B$2:$B$295,generator!$Q$2:$Q$295,"ARGH")</f>
        <v>108.86</v>
      </c>
      <c r="JU6" s="3">
        <f>_xlfn.XLOOKUP(JU$1,generator!$B$2:$B$295,generator!$Q$2:$Q$295,"ARGH")</f>
        <v>0</v>
      </c>
      <c r="JV6" s="3" t="str">
        <f>_xlfn.XLOOKUP(JV$1,generator!$B$2:$B$295,generator!$Q$2:$Q$295,"ARGH")</f>
        <v>77.63</v>
      </c>
      <c r="JW6" s="3" t="str">
        <f>_xlfn.XLOOKUP(JW$1,generator!$B$2:$B$295,generator!$Q$2:$Q$295,"ARGH")</f>
        <v>77.64</v>
      </c>
      <c r="JX6" s="3" t="str">
        <f>_xlfn.XLOOKUP(JX$1,generator!$B$2:$B$295,generator!$Q$2:$Q$295,"ARGH")</f>
        <v>331.49</v>
      </c>
      <c r="JY6" s="3">
        <f>_xlfn.XLOOKUP(JY$1,generator!$B$2:$B$295,generator!$Q$2:$Q$295,"ARGH")</f>
        <v>7000</v>
      </c>
      <c r="JZ6" s="3">
        <f>_xlfn.XLOOKUP(JZ$1,generator!$B$2:$B$295,generator!$Q$2:$Q$295,"ARGH")</f>
        <v>0</v>
      </c>
      <c r="KA6" s="3">
        <f>_xlfn.XLOOKUP(KA$1,generator!$B$2:$B$295,generator!$Q$2:$Q$295,"ARGH")</f>
        <v>0</v>
      </c>
      <c r="KB6" s="3">
        <f>_xlfn.XLOOKUP(KB$1,generator!$B$2:$B$295,generator!$Q$2:$Q$295,"ARGH")</f>
        <v>0</v>
      </c>
      <c r="KC6" s="3">
        <f>_xlfn.XLOOKUP(KC$1,generator!$B$2:$B$295,generator!$Q$2:$Q$295,"ARGH")</f>
        <v>0</v>
      </c>
    </row>
    <row r="7" spans="1:289" x14ac:dyDescent="0.3">
      <c r="A7" s="4" t="s">
        <v>3002</v>
      </c>
      <c r="B7" s="3">
        <v>15000</v>
      </c>
      <c r="C7" s="3">
        <v>15000</v>
      </c>
      <c r="D7" s="3">
        <v>15000</v>
      </c>
      <c r="E7" s="3">
        <f>_xlfn.XLOOKUP(E$1,generator!$B$2:$B$295,generator!$Q$2:$Q$295,"ARGH")</f>
        <v>9000</v>
      </c>
      <c r="F7" s="3">
        <f>_xlfn.XLOOKUP(F$1,generator!$B$2:$B$295,generator!$Q$2:$Q$295,"ARGH")</f>
        <v>9000</v>
      </c>
      <c r="G7" s="3">
        <f>_xlfn.XLOOKUP(G$1,generator!$B$2:$B$295,generator!$Q$2:$Q$295,"ARGH")</f>
        <v>9000</v>
      </c>
      <c r="H7" s="3">
        <f>_xlfn.XLOOKUP(H$1,generator!$B$2:$B$295,generator!$Q$2:$Q$295,"ARGH")</f>
        <v>9000</v>
      </c>
      <c r="I7" s="3">
        <f>_xlfn.XLOOKUP(I$1,generator!$B$2:$B$295,generator!$Q$2:$Q$295,"ARGH")</f>
        <v>9000</v>
      </c>
      <c r="J7" s="3">
        <f>_xlfn.XLOOKUP(J$1,generator!$B$2:$B$295,generator!$Q$2:$Q$295,"ARGH")</f>
        <v>9000</v>
      </c>
      <c r="K7" s="3">
        <f>_xlfn.XLOOKUP(K$1,generator!$B$2:$B$295,generator!$Q$2:$Q$295,"ARGH")</f>
        <v>9000</v>
      </c>
      <c r="L7" s="3">
        <f>_xlfn.XLOOKUP(L$1,generator!$B$2:$B$295,generator!$Q$2:$Q$295,"ARGH")</f>
        <v>9000</v>
      </c>
      <c r="M7" s="3">
        <f>_xlfn.XLOOKUP(M$1,generator!$B$2:$B$295,generator!$Q$2:$Q$295,"ARGH")</f>
        <v>9000</v>
      </c>
      <c r="N7" s="3">
        <f>_xlfn.XLOOKUP(N$1,generator!$B$2:$B$295,generator!$Q$2:$Q$295,"ARGH")</f>
        <v>9000</v>
      </c>
      <c r="O7" s="3">
        <f>_xlfn.XLOOKUP(O$1,generator!$B$2:$B$295,generator!$Q$2:$Q$295,"ARGH")</f>
        <v>9000</v>
      </c>
      <c r="P7" s="3">
        <f>_xlfn.XLOOKUP(P$1,generator!$B$2:$B$295,generator!$Q$2:$Q$295,"ARGH")</f>
        <v>9000</v>
      </c>
      <c r="Q7" s="3">
        <f>_xlfn.XLOOKUP(Q$1,generator!$B$2:$B$295,generator!$Q$2:$Q$295,"ARGH")</f>
        <v>9000</v>
      </c>
      <c r="R7" s="3">
        <f>_xlfn.XLOOKUP(R$1,generator!$B$2:$B$295,generator!$Q$2:$Q$295,"ARGH")</f>
        <v>9000</v>
      </c>
      <c r="S7" s="3">
        <f>_xlfn.XLOOKUP(S$1,generator!$B$2:$B$295,generator!$Q$2:$Q$295,"ARGH")</f>
        <v>9000</v>
      </c>
      <c r="T7" s="3">
        <f>_xlfn.XLOOKUP(T$1,generator!$B$2:$B$295,generator!$Q$2:$Q$295,"ARGH")</f>
        <v>9000</v>
      </c>
      <c r="U7" s="3">
        <f>_xlfn.XLOOKUP(U$1,generator!$B$2:$B$295,generator!$Q$2:$Q$295,"ARGH")</f>
        <v>9000</v>
      </c>
      <c r="V7" s="3">
        <f>_xlfn.XLOOKUP(V$1,generator!$B$2:$B$295,generator!$Q$2:$Q$295,"ARGH")</f>
        <v>9000</v>
      </c>
      <c r="W7" s="3">
        <f>_xlfn.XLOOKUP(W$1,generator!$B$2:$B$295,generator!$Q$2:$Q$295,"ARGH")</f>
        <v>9000</v>
      </c>
      <c r="X7" s="3">
        <f>_xlfn.XLOOKUP(X$1,generator!$B$2:$B$295,generator!$Q$2:$Q$295,"ARGH")</f>
        <v>9000</v>
      </c>
      <c r="Y7" s="3">
        <f>_xlfn.XLOOKUP(Y$1,generator!$B$2:$B$295,generator!$Q$2:$Q$295,"ARGH")</f>
        <v>9000</v>
      </c>
      <c r="Z7" s="3">
        <f>_xlfn.XLOOKUP(Z$1,generator!$B$2:$B$295,generator!$Q$2:$Q$295,"ARGH")</f>
        <v>9000</v>
      </c>
      <c r="AA7" s="3">
        <f>_xlfn.XLOOKUP(AA$1,generator!$B$2:$B$295,generator!$Q$2:$Q$295,"ARGH")</f>
        <v>9000</v>
      </c>
      <c r="AB7" s="3">
        <f>_xlfn.XLOOKUP(AB$1,generator!$B$2:$B$295,generator!$Q$2:$Q$295,"ARGH")</f>
        <v>9000</v>
      </c>
      <c r="AC7" s="3">
        <f>_xlfn.XLOOKUP(AC$1,generator!$B$2:$B$295,generator!$Q$2:$Q$295,"ARGH")</f>
        <v>9000</v>
      </c>
      <c r="AD7" s="3">
        <f>_xlfn.XLOOKUP(AD$1,generator!$B$2:$B$295,generator!$Q$2:$Q$295,"ARGH")</f>
        <v>9000</v>
      </c>
      <c r="AE7" s="3">
        <f>_xlfn.XLOOKUP(AE$1,generator!$B$2:$B$295,generator!$Q$2:$Q$295,"ARGH")</f>
        <v>9000</v>
      </c>
      <c r="AF7" s="3">
        <f>_xlfn.XLOOKUP(AF$1,generator!$B$2:$B$295,generator!$Q$2:$Q$295,"ARGH")</f>
        <v>9000</v>
      </c>
      <c r="AG7" s="3">
        <f>_xlfn.XLOOKUP(AG$1,generator!$B$2:$B$295,generator!$Q$2:$Q$295,"ARGH")</f>
        <v>9000</v>
      </c>
      <c r="AH7" s="3">
        <f>_xlfn.XLOOKUP(AH$1,generator!$B$2:$B$295,generator!$Q$2:$Q$295,"ARGH")</f>
        <v>9000</v>
      </c>
      <c r="AI7" s="3">
        <f>_xlfn.XLOOKUP(AI$1,generator!$B$2:$B$295,generator!$Q$2:$Q$295,"ARGH")</f>
        <v>9000</v>
      </c>
      <c r="AJ7" s="3">
        <f>_xlfn.XLOOKUP(AJ$1,generator!$B$2:$B$295,generator!$Q$2:$Q$295,"ARGH")</f>
        <v>9000</v>
      </c>
      <c r="AK7" s="3">
        <f>_xlfn.XLOOKUP(AK$1,generator!$B$2:$B$295,generator!$Q$2:$Q$295,"ARGH")</f>
        <v>9000</v>
      </c>
      <c r="AL7" s="3">
        <f>_xlfn.XLOOKUP(AL$1,generator!$B$2:$B$295,generator!$Q$2:$Q$295,"ARGH")</f>
        <v>9000</v>
      </c>
      <c r="AM7" s="3">
        <f>_xlfn.XLOOKUP(AM$1,generator!$B$2:$B$295,generator!$Q$2:$Q$295,"ARGH")</f>
        <v>9000</v>
      </c>
      <c r="AN7" s="3">
        <f>_xlfn.XLOOKUP(AN$1,generator!$B$2:$B$295,generator!$Q$2:$Q$295,"ARGH")</f>
        <v>9000</v>
      </c>
      <c r="AO7" s="3">
        <f>_xlfn.XLOOKUP(AO$1,generator!$B$2:$B$295,generator!$Q$2:$Q$295,"ARGH")</f>
        <v>9000</v>
      </c>
      <c r="AP7" s="3">
        <f>_xlfn.XLOOKUP(AP$1,generator!$B$2:$B$295,generator!$Q$2:$Q$295,"ARGH")</f>
        <v>9000</v>
      </c>
      <c r="AQ7" s="3">
        <f>_xlfn.XLOOKUP(AQ$1,generator!$B$2:$B$295,generator!$Q$2:$Q$295,"ARGH")</f>
        <v>9000</v>
      </c>
      <c r="AR7" s="3">
        <f>_xlfn.XLOOKUP(AR$1,generator!$B$2:$B$295,generator!$Q$2:$Q$295,"ARGH")</f>
        <v>9000</v>
      </c>
      <c r="AS7" s="3">
        <f>_xlfn.XLOOKUP(AS$1,generator!$B$2:$B$295,generator!$Q$2:$Q$295,"ARGH")</f>
        <v>9000</v>
      </c>
      <c r="AT7" s="3">
        <f>_xlfn.XLOOKUP(AT$1,generator!$B$2:$B$295,generator!$Q$2:$Q$295,"ARGH")</f>
        <v>9000</v>
      </c>
      <c r="AU7" s="3">
        <f>_xlfn.XLOOKUP(AU$1,generator!$B$2:$B$295,generator!$Q$2:$Q$295,"ARGH")</f>
        <v>9000</v>
      </c>
      <c r="AV7" s="3">
        <f>_xlfn.XLOOKUP(AV$1,generator!$B$2:$B$295,generator!$Q$2:$Q$295,"ARGH")</f>
        <v>9000</v>
      </c>
      <c r="AW7" s="3">
        <f>_xlfn.XLOOKUP(AW$1,generator!$B$2:$B$295,generator!$Q$2:$Q$295,"ARGH")</f>
        <v>9000</v>
      </c>
      <c r="AX7" s="3">
        <f>_xlfn.XLOOKUP(AX$1,generator!$B$2:$B$295,generator!$Q$2:$Q$295,"ARGH")</f>
        <v>9000</v>
      </c>
      <c r="AY7" s="3">
        <f>_xlfn.XLOOKUP(AY$1,generator!$B$2:$B$295,generator!$Q$2:$Q$295,"ARGH")</f>
        <v>9000</v>
      </c>
      <c r="AZ7" s="3">
        <f>_xlfn.XLOOKUP(AZ$1,generator!$B$2:$B$295,generator!$Q$2:$Q$295,"ARGH")</f>
        <v>9000</v>
      </c>
      <c r="BA7" s="3">
        <f>_xlfn.XLOOKUP(BA$1,generator!$B$2:$B$295,generator!$Q$2:$Q$295,"ARGH")</f>
        <v>9000</v>
      </c>
      <c r="BB7" s="3">
        <f>_xlfn.XLOOKUP(BB$1,generator!$B$2:$B$295,generator!$Q$2:$Q$295,"ARGH")</f>
        <v>9000</v>
      </c>
      <c r="BC7" s="3">
        <f>_xlfn.XLOOKUP(BC$1,generator!$B$2:$B$295,generator!$Q$2:$Q$295,"ARGH")</f>
        <v>9000</v>
      </c>
      <c r="BD7" s="3">
        <f>_xlfn.XLOOKUP(BD$1,generator!$B$2:$B$295,generator!$Q$2:$Q$295,"ARGH")</f>
        <v>9000</v>
      </c>
      <c r="BE7" s="3">
        <f>_xlfn.XLOOKUP(BE$1,generator!$B$2:$B$295,generator!$Q$2:$Q$295,"ARGH")</f>
        <v>9000</v>
      </c>
      <c r="BF7" s="3">
        <f>_xlfn.XLOOKUP(BF$1,generator!$B$2:$B$295,generator!$Q$2:$Q$295,"ARGH")</f>
        <v>9000</v>
      </c>
      <c r="BG7" s="3">
        <f>_xlfn.XLOOKUP(BG$1,generator!$B$2:$B$295,generator!$Q$2:$Q$295,"ARGH")</f>
        <v>9000</v>
      </c>
      <c r="BH7" s="3">
        <f>_xlfn.XLOOKUP(BH$1,generator!$B$2:$B$295,generator!$Q$2:$Q$295,"ARGH")</f>
        <v>9000</v>
      </c>
      <c r="BI7" s="3">
        <f>_xlfn.XLOOKUP(BI$1,generator!$B$2:$B$295,generator!$Q$2:$Q$295,"ARGH")</f>
        <v>9000</v>
      </c>
      <c r="BJ7" s="3">
        <f>_xlfn.XLOOKUP(BJ$1,generator!$B$2:$B$295,generator!$Q$2:$Q$295,"ARGH")</f>
        <v>9000</v>
      </c>
      <c r="BK7" s="3">
        <f>_xlfn.XLOOKUP(BK$1,generator!$B$2:$B$295,generator!$Q$2:$Q$295,"ARGH")</f>
        <v>9000</v>
      </c>
      <c r="BL7" s="3">
        <f>_xlfn.XLOOKUP(BL$1,generator!$B$2:$B$295,generator!$Q$2:$Q$295,"ARGH")</f>
        <v>9000</v>
      </c>
      <c r="BM7" s="3">
        <f>_xlfn.XLOOKUP(BM$1,generator!$B$2:$B$295,generator!$Q$2:$Q$295,"ARGH")</f>
        <v>9000</v>
      </c>
      <c r="BN7" s="3">
        <f>_xlfn.XLOOKUP(BN$1,generator!$B$2:$B$295,generator!$Q$2:$Q$295,"ARGH")</f>
        <v>9000</v>
      </c>
      <c r="BO7" s="3">
        <f>_xlfn.XLOOKUP(BO$1,generator!$B$2:$B$295,generator!$Q$2:$Q$295,"ARGH")</f>
        <v>9000</v>
      </c>
      <c r="BP7" s="3">
        <f>_xlfn.XLOOKUP(BP$1,generator!$B$2:$B$295,generator!$Q$2:$Q$295,"ARGH")</f>
        <v>9000</v>
      </c>
      <c r="BQ7" s="3">
        <f>_xlfn.XLOOKUP(BQ$1,generator!$B$2:$B$295,generator!$Q$2:$Q$295,"ARGH")</f>
        <v>9000</v>
      </c>
      <c r="BR7" s="3">
        <f>_xlfn.XLOOKUP(BR$1,generator!$B$2:$B$295,generator!$Q$2:$Q$295,"ARGH")</f>
        <v>9000</v>
      </c>
      <c r="BS7" s="3">
        <f>_xlfn.XLOOKUP(BS$1,generator!$B$2:$B$295,generator!$Q$2:$Q$295,"ARGH")</f>
        <v>9000</v>
      </c>
      <c r="BT7" s="3">
        <f>_xlfn.XLOOKUP(BT$1,generator!$B$2:$B$295,generator!$Q$2:$Q$295,"ARGH")</f>
        <v>9000</v>
      </c>
      <c r="BU7" s="3">
        <f>_xlfn.XLOOKUP(BU$1,generator!$B$2:$B$295,generator!$Q$2:$Q$295,"ARGH")</f>
        <v>9000</v>
      </c>
      <c r="BV7" s="3">
        <f>_xlfn.XLOOKUP(BV$1,generator!$B$2:$B$295,generator!$Q$2:$Q$295,"ARGH")</f>
        <v>9000</v>
      </c>
      <c r="BW7" s="3">
        <f>_xlfn.XLOOKUP(BW$1,generator!$B$2:$B$295,generator!$Q$2:$Q$295,"ARGH")</f>
        <v>9000</v>
      </c>
      <c r="BX7" s="3">
        <f>_xlfn.XLOOKUP(BX$1,generator!$B$2:$B$295,generator!$Q$2:$Q$295,"ARGH")</f>
        <v>9000</v>
      </c>
      <c r="BY7" s="3">
        <f>_xlfn.XLOOKUP(BY$1,generator!$B$2:$B$295,generator!$Q$2:$Q$295,"ARGH")</f>
        <v>9000</v>
      </c>
      <c r="BZ7" s="3">
        <f>_xlfn.XLOOKUP(BZ$1,generator!$B$2:$B$295,generator!$Q$2:$Q$295,"ARGH")</f>
        <v>9000</v>
      </c>
      <c r="CA7" s="3">
        <f>_xlfn.XLOOKUP(CA$1,generator!$B$2:$B$295,generator!$Q$2:$Q$295,"ARGH")</f>
        <v>9000</v>
      </c>
      <c r="CB7" s="3">
        <f>_xlfn.XLOOKUP(CB$1,generator!$B$2:$B$295,generator!$Q$2:$Q$295,"ARGH")</f>
        <v>9000</v>
      </c>
      <c r="CC7" s="3">
        <f>_xlfn.XLOOKUP(CC$1,generator!$B$2:$B$295,generator!$Q$2:$Q$295,"ARGH")</f>
        <v>9000</v>
      </c>
      <c r="CD7" s="3">
        <f>_xlfn.XLOOKUP(CD$1,generator!$B$2:$B$295,generator!$Q$2:$Q$295,"ARGH")</f>
        <v>9000</v>
      </c>
      <c r="CE7" s="3">
        <f>_xlfn.XLOOKUP(CE$1,generator!$B$2:$B$295,generator!$Q$2:$Q$295,"ARGH")</f>
        <v>9000</v>
      </c>
      <c r="CF7" s="3">
        <f>_xlfn.XLOOKUP(CF$1,generator!$B$2:$B$295,generator!$Q$2:$Q$295,"ARGH")</f>
        <v>9000</v>
      </c>
      <c r="CG7" s="3">
        <f>_xlfn.XLOOKUP(CG$1,generator!$B$2:$B$295,generator!$Q$2:$Q$295,"ARGH")</f>
        <v>9000</v>
      </c>
      <c r="CH7" s="3">
        <f>_xlfn.XLOOKUP(CH$1,generator!$B$2:$B$295,generator!$Q$2:$Q$295,"ARGH")</f>
        <v>9000</v>
      </c>
      <c r="CI7" s="3">
        <f>_xlfn.XLOOKUP(CI$1,generator!$B$2:$B$295,generator!$Q$2:$Q$295,"ARGH")</f>
        <v>9000</v>
      </c>
      <c r="CJ7" s="3">
        <f>_xlfn.XLOOKUP(CJ$1,generator!$B$2:$B$295,generator!$Q$2:$Q$295,"ARGH")</f>
        <v>9000</v>
      </c>
      <c r="CK7" s="3">
        <f>_xlfn.XLOOKUP(CK$1,generator!$B$2:$B$295,generator!$Q$2:$Q$295,"ARGH")</f>
        <v>9000</v>
      </c>
      <c r="CL7" s="3">
        <f>_xlfn.XLOOKUP(CL$1,generator!$B$2:$B$295,generator!$Q$2:$Q$295,"ARGH")</f>
        <v>9000</v>
      </c>
      <c r="CM7" s="3">
        <f>_xlfn.XLOOKUP(CM$1,generator!$B$2:$B$295,generator!$Q$2:$Q$295,"ARGH")</f>
        <v>9000</v>
      </c>
      <c r="CN7" s="3">
        <f>_xlfn.XLOOKUP(CN$1,generator!$B$2:$B$295,generator!$Q$2:$Q$295,"ARGH")</f>
        <v>9000</v>
      </c>
      <c r="CO7" s="3">
        <f>_xlfn.XLOOKUP(CO$1,generator!$B$2:$B$295,generator!$Q$2:$Q$295,"ARGH")</f>
        <v>9000</v>
      </c>
      <c r="CP7" s="3">
        <f>_xlfn.XLOOKUP(CP$1,generator!$B$2:$B$295,generator!$Q$2:$Q$295,"ARGH")</f>
        <v>9000</v>
      </c>
      <c r="CQ7" s="3">
        <f>_xlfn.XLOOKUP(CQ$1,generator!$B$2:$B$295,generator!$Q$2:$Q$295,"ARGH")</f>
        <v>9000</v>
      </c>
      <c r="CR7" s="3">
        <f>_xlfn.XLOOKUP(CR$1,generator!$B$2:$B$295,generator!$Q$2:$Q$295,"ARGH")</f>
        <v>9000</v>
      </c>
      <c r="CS7" s="3">
        <f>_xlfn.XLOOKUP(CS$1,generator!$B$2:$B$295,generator!$Q$2:$Q$295,"ARGH")</f>
        <v>9000</v>
      </c>
      <c r="CT7" s="3">
        <f>_xlfn.XLOOKUP(CT$1,generator!$B$2:$B$295,generator!$Q$2:$Q$295,"ARGH")</f>
        <v>9000</v>
      </c>
      <c r="CU7" s="3">
        <f>_xlfn.XLOOKUP(CU$1,generator!$B$2:$B$295,generator!$Q$2:$Q$295,"ARGH")</f>
        <v>9000</v>
      </c>
      <c r="CV7" s="3">
        <f>_xlfn.XLOOKUP(CV$1,generator!$B$2:$B$295,generator!$Q$2:$Q$295,"ARGH")</f>
        <v>9000</v>
      </c>
      <c r="CW7" s="3">
        <f>_xlfn.XLOOKUP(CW$1,generator!$B$2:$B$295,generator!$Q$2:$Q$295,"ARGH")</f>
        <v>9000</v>
      </c>
      <c r="CX7" s="3">
        <f>_xlfn.XLOOKUP(CX$1,generator!$B$2:$B$295,generator!$Q$2:$Q$295,"ARGH")</f>
        <v>9000</v>
      </c>
      <c r="CY7" s="3">
        <f>_xlfn.XLOOKUP(CY$1,generator!$B$2:$B$295,generator!$Q$2:$Q$295,"ARGH")</f>
        <v>9000</v>
      </c>
      <c r="CZ7" s="3">
        <f>_xlfn.XLOOKUP(CZ$1,generator!$B$2:$B$295,generator!$Q$2:$Q$295,"ARGH")</f>
        <v>9000</v>
      </c>
      <c r="DA7" s="3">
        <f>_xlfn.XLOOKUP(DA$1,generator!$B$2:$B$295,generator!$Q$2:$Q$295,"ARGH")</f>
        <v>9000</v>
      </c>
      <c r="DB7" s="3">
        <f>_xlfn.XLOOKUP(DB$1,generator!$B$2:$B$295,generator!$Q$2:$Q$295,"ARGH")</f>
        <v>9000</v>
      </c>
      <c r="DC7" s="3">
        <f>_xlfn.XLOOKUP(DC$1,generator!$B$2:$B$295,generator!$Q$2:$Q$295,"ARGH")</f>
        <v>9000</v>
      </c>
      <c r="DD7" s="3">
        <f>_xlfn.XLOOKUP(DD$1,generator!$B$2:$B$295,generator!$Q$2:$Q$295,"ARGH")</f>
        <v>9000</v>
      </c>
      <c r="DE7" s="3">
        <f>_xlfn.XLOOKUP(DE$1,generator!$B$2:$B$295,generator!$Q$2:$Q$295,"ARGH")</f>
        <v>9000</v>
      </c>
      <c r="DF7" s="3">
        <f>_xlfn.XLOOKUP(DF$1,generator!$B$2:$B$295,generator!$Q$2:$Q$295,"ARGH")</f>
        <v>9000</v>
      </c>
      <c r="DG7" s="3">
        <f>_xlfn.XLOOKUP(DG$1,generator!$B$2:$B$295,generator!$Q$2:$Q$295,"ARGH")</f>
        <v>9000</v>
      </c>
      <c r="DH7" s="3">
        <f>_xlfn.XLOOKUP(DH$1,generator!$B$2:$B$295,generator!$Q$2:$Q$295,"ARGH")</f>
        <v>9000</v>
      </c>
      <c r="DI7" s="3">
        <f>_xlfn.XLOOKUP(DI$1,generator!$B$2:$B$295,generator!$Q$2:$Q$295,"ARGH")</f>
        <v>9000</v>
      </c>
      <c r="DJ7" s="3">
        <f>_xlfn.XLOOKUP(DJ$1,generator!$B$2:$B$295,generator!$Q$2:$Q$295,"ARGH")</f>
        <v>9000</v>
      </c>
      <c r="DK7" s="3">
        <f>_xlfn.XLOOKUP(DK$1,generator!$B$2:$B$295,generator!$Q$2:$Q$295,"ARGH")</f>
        <v>9000</v>
      </c>
      <c r="DL7" s="3">
        <f>_xlfn.XLOOKUP(DL$1,generator!$B$2:$B$295,generator!$Q$2:$Q$295,"ARGH")</f>
        <v>9000</v>
      </c>
      <c r="DM7" s="3">
        <f>_xlfn.XLOOKUP(DM$1,generator!$B$2:$B$295,generator!$Q$2:$Q$295,"ARGH")</f>
        <v>9000</v>
      </c>
      <c r="DN7" s="3">
        <f>_xlfn.XLOOKUP(DN$1,generator!$B$2:$B$295,generator!$Q$2:$Q$295,"ARGH")</f>
        <v>9000</v>
      </c>
      <c r="DO7" s="3">
        <f>_xlfn.XLOOKUP(DO$1,generator!$B$2:$B$295,generator!$Q$2:$Q$295,"ARGH")</f>
        <v>9000</v>
      </c>
      <c r="DP7" s="3">
        <f>_xlfn.XLOOKUP(DP$1,generator!$B$2:$B$295,generator!$Q$2:$Q$295,"ARGH")</f>
        <v>9000</v>
      </c>
      <c r="DQ7" s="3">
        <f>_xlfn.XLOOKUP(DQ$1,generator!$B$2:$B$295,generator!$Q$2:$Q$295,"ARGH")</f>
        <v>9000</v>
      </c>
      <c r="DR7" s="3">
        <f>_xlfn.XLOOKUP(DR$1,generator!$B$2:$B$295,generator!$Q$2:$Q$295,"ARGH")</f>
        <v>9000</v>
      </c>
      <c r="DS7" s="3">
        <f>_xlfn.XLOOKUP(DS$1,generator!$B$2:$B$295,generator!$Q$2:$Q$295,"ARGH")</f>
        <v>9000</v>
      </c>
      <c r="DT7" s="3">
        <f>_xlfn.XLOOKUP(DT$1,generator!$B$2:$B$295,generator!$Q$2:$Q$295,"ARGH")</f>
        <v>9000</v>
      </c>
      <c r="DU7" s="3">
        <f>_xlfn.XLOOKUP(DU$1,generator!$B$2:$B$295,generator!$Q$2:$Q$295,"ARGH")</f>
        <v>9000</v>
      </c>
      <c r="DV7" s="3">
        <f>_xlfn.XLOOKUP(DV$1,generator!$B$2:$B$295,generator!$Q$2:$Q$295,"ARGH")</f>
        <v>9000</v>
      </c>
      <c r="DW7" s="3">
        <f>_xlfn.XLOOKUP(DW$1,generator!$B$2:$B$295,generator!$Q$2:$Q$295,"ARGH")</f>
        <v>9000</v>
      </c>
      <c r="DX7" s="3">
        <f>_xlfn.XLOOKUP(DX$1,generator!$B$2:$B$295,generator!$Q$2:$Q$295,"ARGH")</f>
        <v>9000</v>
      </c>
      <c r="DY7" s="3">
        <f>_xlfn.XLOOKUP(DY$1,generator!$B$2:$B$295,generator!$Q$2:$Q$295,"ARGH")</f>
        <v>9000</v>
      </c>
      <c r="DZ7" s="3">
        <f>_xlfn.XLOOKUP(DZ$1,generator!$B$2:$B$295,generator!$Q$2:$Q$295,"ARGH")</f>
        <v>9000</v>
      </c>
      <c r="EA7" s="3">
        <f>_xlfn.XLOOKUP(EA$1,generator!$B$2:$B$295,generator!$Q$2:$Q$295,"ARGH")</f>
        <v>9000</v>
      </c>
      <c r="EB7" s="3">
        <f>_xlfn.XLOOKUP(EB$1,generator!$B$2:$B$295,generator!$Q$2:$Q$295,"ARGH")</f>
        <v>9000</v>
      </c>
      <c r="EC7" s="3">
        <f>_xlfn.XLOOKUP(EC$1,generator!$B$2:$B$295,generator!$Q$2:$Q$295,"ARGH")</f>
        <v>9000</v>
      </c>
      <c r="ED7" s="3">
        <f>_xlfn.XLOOKUP(ED$1,generator!$B$2:$B$295,generator!$Q$2:$Q$295,"ARGH")</f>
        <v>9000</v>
      </c>
      <c r="EE7" s="3">
        <f>_xlfn.XLOOKUP(EE$1,generator!$B$2:$B$295,generator!$Q$2:$Q$295,"ARGH")</f>
        <v>9000</v>
      </c>
      <c r="EF7" s="3">
        <f>_xlfn.XLOOKUP(EF$1,generator!$B$2:$B$295,generator!$Q$2:$Q$295,"ARGH")</f>
        <v>9000</v>
      </c>
      <c r="EG7" s="3">
        <f>_xlfn.XLOOKUP(EG$1,generator!$B$2:$B$295,generator!$Q$2:$Q$295,"ARGH")</f>
        <v>9000</v>
      </c>
      <c r="EH7" s="3">
        <f>_xlfn.XLOOKUP(EH$1,generator!$B$2:$B$295,generator!$Q$2:$Q$295,"ARGH")</f>
        <v>9000</v>
      </c>
      <c r="EI7" s="3">
        <f>_xlfn.XLOOKUP(EI$1,generator!$B$2:$B$295,generator!$Q$2:$Q$295,"ARGH")</f>
        <v>9000</v>
      </c>
      <c r="EJ7" s="3">
        <f>_xlfn.XLOOKUP(EJ$1,generator!$B$2:$B$295,generator!$Q$2:$Q$295,"ARGH")</f>
        <v>9000</v>
      </c>
      <c r="EK7" s="3">
        <f>_xlfn.XLOOKUP(EK$1,generator!$B$2:$B$295,generator!$Q$2:$Q$295,"ARGH")</f>
        <v>9000</v>
      </c>
      <c r="EL7" s="3">
        <f>_xlfn.XLOOKUP(EL$1,generator!$B$2:$B$295,generator!$Q$2:$Q$295,"ARGH")</f>
        <v>9000</v>
      </c>
      <c r="EM7" s="3">
        <f>_xlfn.XLOOKUP(EM$1,generator!$B$2:$B$295,generator!$Q$2:$Q$295,"ARGH")</f>
        <v>9000</v>
      </c>
      <c r="EN7" s="3">
        <f>_xlfn.XLOOKUP(EN$1,generator!$B$2:$B$295,generator!$Q$2:$Q$295,"ARGH")</f>
        <v>9000</v>
      </c>
      <c r="EO7" s="3">
        <f>_xlfn.XLOOKUP(EO$1,generator!$B$2:$B$295,generator!$Q$2:$Q$295,"ARGH")</f>
        <v>9000</v>
      </c>
      <c r="EP7" s="3">
        <f>_xlfn.XLOOKUP(EP$1,generator!$B$2:$B$295,generator!$Q$2:$Q$295,"ARGH")</f>
        <v>9000</v>
      </c>
      <c r="EQ7" s="3">
        <f>_xlfn.XLOOKUP(EQ$1,generator!$B$2:$B$295,generator!$Q$2:$Q$295,"ARGH")</f>
        <v>9000</v>
      </c>
      <c r="ER7" s="3">
        <f>_xlfn.XLOOKUP(ER$1,generator!$B$2:$B$295,generator!$Q$2:$Q$295,"ARGH")</f>
        <v>9000</v>
      </c>
      <c r="ES7" s="3">
        <f>_xlfn.XLOOKUP(ES$1,generator!$B$2:$B$295,generator!$Q$2:$Q$295,"ARGH")</f>
        <v>9000</v>
      </c>
      <c r="ET7" s="3">
        <f>_xlfn.XLOOKUP(ET$1,generator!$B$2:$B$295,generator!$Q$2:$Q$295,"ARGH")</f>
        <v>9000</v>
      </c>
      <c r="EU7" s="3">
        <f>_xlfn.XLOOKUP(EU$1,generator!$B$2:$B$295,generator!$Q$2:$Q$295,"ARGH")</f>
        <v>9000</v>
      </c>
      <c r="EV7" s="3">
        <f>_xlfn.XLOOKUP(EV$1,generator!$B$2:$B$295,generator!$Q$2:$Q$295,"ARGH")</f>
        <v>9000</v>
      </c>
      <c r="EW7" s="3">
        <f>_xlfn.XLOOKUP(EW$1,generator!$B$2:$B$295,generator!$Q$2:$Q$295,"ARGH")</f>
        <v>9000</v>
      </c>
      <c r="EX7" s="3">
        <f>_xlfn.XLOOKUP(EX$1,generator!$B$2:$B$295,generator!$Q$2:$Q$295,"ARGH")</f>
        <v>9000</v>
      </c>
      <c r="EY7" s="3">
        <f>_xlfn.XLOOKUP(EY$1,generator!$B$2:$B$295,generator!$Q$2:$Q$295,"ARGH")</f>
        <v>9000</v>
      </c>
      <c r="EZ7" s="3">
        <f>_xlfn.XLOOKUP(EZ$1,generator!$B$2:$B$295,generator!$Q$2:$Q$295,"ARGH")</f>
        <v>9000</v>
      </c>
      <c r="FA7" s="3">
        <f>_xlfn.XLOOKUP(FA$1,generator!$B$2:$B$295,generator!$Q$2:$Q$295,"ARGH")</f>
        <v>9000</v>
      </c>
      <c r="FB7" s="3">
        <f>_xlfn.XLOOKUP(FB$1,generator!$B$2:$B$295,generator!$Q$2:$Q$295,"ARGH")</f>
        <v>9000</v>
      </c>
      <c r="FC7" s="3">
        <f>_xlfn.XLOOKUP(FC$1,generator!$B$2:$B$295,generator!$Q$2:$Q$295,"ARGH")</f>
        <v>9000</v>
      </c>
      <c r="FD7" s="3">
        <f>_xlfn.XLOOKUP(FD$1,generator!$B$2:$B$295,generator!$Q$2:$Q$295,"ARGH")</f>
        <v>9000</v>
      </c>
      <c r="FE7" s="3">
        <f>_xlfn.XLOOKUP(FE$1,generator!$B$2:$B$295,generator!$Q$2:$Q$295,"ARGH")</f>
        <v>9000</v>
      </c>
      <c r="FF7" s="3">
        <f>_xlfn.XLOOKUP(FF$1,generator!$B$2:$B$295,generator!$Q$2:$Q$295,"ARGH")</f>
        <v>9000</v>
      </c>
      <c r="FG7" s="3">
        <f>_xlfn.XLOOKUP(FG$1,generator!$B$2:$B$295,generator!$Q$2:$Q$295,"ARGH")</f>
        <v>9000</v>
      </c>
      <c r="FH7" s="3">
        <f>_xlfn.XLOOKUP(FH$1,generator!$B$2:$B$295,generator!$Q$2:$Q$295,"ARGH")</f>
        <v>9000</v>
      </c>
      <c r="FI7" s="3">
        <f>_xlfn.XLOOKUP(FI$1,generator!$B$2:$B$295,generator!$Q$2:$Q$295,"ARGH")</f>
        <v>9000</v>
      </c>
      <c r="FJ7" s="3">
        <f>_xlfn.XLOOKUP(FJ$1,generator!$B$2:$B$295,generator!$Q$2:$Q$295,"ARGH")</f>
        <v>9000</v>
      </c>
      <c r="FK7" s="3">
        <f>_xlfn.XLOOKUP(FK$1,generator!$B$2:$B$295,generator!$Q$2:$Q$295,"ARGH")</f>
        <v>9000</v>
      </c>
      <c r="FL7" s="3">
        <f>_xlfn.XLOOKUP(FL$1,generator!$B$2:$B$295,generator!$Q$2:$Q$295,"ARGH")</f>
        <v>9000</v>
      </c>
      <c r="FM7" s="3">
        <f>_xlfn.XLOOKUP(FM$1,generator!$B$2:$B$295,generator!$Q$2:$Q$295,"ARGH")</f>
        <v>9000</v>
      </c>
      <c r="FN7" s="3">
        <f>_xlfn.XLOOKUP(FN$1,generator!$B$2:$B$295,generator!$Q$2:$Q$295,"ARGH")</f>
        <v>9000</v>
      </c>
      <c r="FO7" s="3">
        <f>_xlfn.XLOOKUP(FO$1,generator!$B$2:$B$295,generator!$Q$2:$Q$295,"ARGH")</f>
        <v>9000</v>
      </c>
      <c r="FP7" s="3">
        <f>_xlfn.XLOOKUP(FP$1,generator!$B$2:$B$295,generator!$Q$2:$Q$295,"ARGH")</f>
        <v>9000</v>
      </c>
      <c r="FQ7" s="3">
        <f>_xlfn.XLOOKUP(FQ$1,generator!$B$2:$B$295,generator!$Q$2:$Q$295,"ARGH")</f>
        <v>9000</v>
      </c>
      <c r="FR7" s="3">
        <f>_xlfn.XLOOKUP(FR$1,generator!$B$2:$B$295,generator!$Q$2:$Q$295,"ARGH")</f>
        <v>9000</v>
      </c>
      <c r="FS7" s="3">
        <f>_xlfn.XLOOKUP(FS$1,generator!$B$2:$B$295,generator!$Q$2:$Q$295,"ARGH")</f>
        <v>9000</v>
      </c>
      <c r="FT7" s="3">
        <f>_xlfn.XLOOKUP(FT$1,generator!$B$2:$B$295,generator!$Q$2:$Q$295,"ARGH")</f>
        <v>9000</v>
      </c>
      <c r="FU7" s="3">
        <f>_xlfn.XLOOKUP(FU$1,generator!$B$2:$B$295,generator!$Q$2:$Q$295,"ARGH")</f>
        <v>9000</v>
      </c>
      <c r="FV7" s="3">
        <f>_xlfn.XLOOKUP(FV$1,generator!$B$2:$B$295,generator!$Q$2:$Q$295,"ARGH")</f>
        <v>9000</v>
      </c>
      <c r="FW7" s="3">
        <f>_xlfn.XLOOKUP(FW$1,generator!$B$2:$B$295,generator!$Q$2:$Q$295,"ARGH")</f>
        <v>9000</v>
      </c>
      <c r="FX7" s="3">
        <f>_xlfn.XLOOKUP(FX$1,generator!$B$2:$B$295,generator!$Q$2:$Q$295,"ARGH")</f>
        <v>9000</v>
      </c>
      <c r="FY7" s="3">
        <f>_xlfn.XLOOKUP(FY$1,generator!$B$2:$B$295,generator!$Q$2:$Q$295,"ARGH")</f>
        <v>9000</v>
      </c>
      <c r="FZ7" s="3">
        <f>_xlfn.XLOOKUP(FZ$1,generator!$B$2:$B$295,generator!$Q$2:$Q$295,"ARGH")</f>
        <v>9000</v>
      </c>
      <c r="GA7" s="3">
        <f>_xlfn.XLOOKUP(GA$1,generator!$B$2:$B$295,generator!$Q$2:$Q$295,"ARGH")</f>
        <v>9000</v>
      </c>
      <c r="GB7" s="3">
        <f>_xlfn.XLOOKUP(GB$1,generator!$B$2:$B$295,generator!$Q$2:$Q$295,"ARGH")</f>
        <v>9000</v>
      </c>
      <c r="GC7" s="3">
        <f>_xlfn.XLOOKUP(GC$1,generator!$B$2:$B$295,generator!$Q$2:$Q$295,"ARGH")</f>
        <v>9000</v>
      </c>
      <c r="GD7" s="3">
        <f>_xlfn.XLOOKUP(GD$1,generator!$B$2:$B$295,generator!$Q$2:$Q$295,"ARGH")</f>
        <v>9000</v>
      </c>
      <c r="GE7" s="3">
        <f>_xlfn.XLOOKUP(GE$1,generator!$B$2:$B$295,generator!$Q$2:$Q$295,"ARGH")</f>
        <v>9000</v>
      </c>
      <c r="GF7" s="3">
        <f>_xlfn.XLOOKUP(GF$1,generator!$B$2:$B$295,generator!$Q$2:$Q$295,"ARGH")</f>
        <v>9000</v>
      </c>
      <c r="GG7" s="3">
        <f>_xlfn.XLOOKUP(GG$1,generator!$B$2:$B$295,generator!$Q$2:$Q$295,"ARGH")</f>
        <v>9000</v>
      </c>
      <c r="GH7" s="3">
        <f>_xlfn.XLOOKUP(GH$1,generator!$B$2:$B$295,generator!$Q$2:$Q$295,"ARGH")</f>
        <v>9000</v>
      </c>
      <c r="GI7" s="3">
        <f>_xlfn.XLOOKUP(GI$1,generator!$B$2:$B$295,generator!$Q$2:$Q$295,"ARGH")</f>
        <v>9000</v>
      </c>
      <c r="GJ7" s="3">
        <f>_xlfn.XLOOKUP(GJ$1,generator!$B$2:$B$295,generator!$Q$2:$Q$295,"ARGH")</f>
        <v>9000</v>
      </c>
      <c r="GK7" s="3">
        <f>_xlfn.XLOOKUP(GK$1,generator!$B$2:$B$295,generator!$Q$2:$Q$295,"ARGH")</f>
        <v>9000</v>
      </c>
      <c r="GL7" s="3">
        <f>_xlfn.XLOOKUP(GL$1,generator!$B$2:$B$295,generator!$Q$2:$Q$295,"ARGH")</f>
        <v>9000</v>
      </c>
      <c r="GM7" s="3">
        <f>_xlfn.XLOOKUP(GM$1,generator!$B$2:$B$295,generator!$Q$2:$Q$295,"ARGH")</f>
        <v>9000</v>
      </c>
      <c r="GN7" s="3">
        <f>_xlfn.XLOOKUP(GN$1,generator!$B$2:$B$295,generator!$Q$2:$Q$295,"ARGH")</f>
        <v>9000</v>
      </c>
      <c r="GO7" s="3">
        <f>_xlfn.XLOOKUP(GO$1,generator!$B$2:$B$295,generator!$Q$2:$Q$295,"ARGH")</f>
        <v>9000</v>
      </c>
      <c r="GP7" s="3">
        <f>_xlfn.XLOOKUP(GP$1,generator!$B$2:$B$295,generator!$Q$2:$Q$295,"ARGH")</f>
        <v>9000</v>
      </c>
      <c r="GQ7" s="3">
        <f>_xlfn.XLOOKUP(GQ$1,generator!$B$2:$B$295,generator!$Q$2:$Q$295,"ARGH")</f>
        <v>9000</v>
      </c>
      <c r="GR7" s="3">
        <f>_xlfn.XLOOKUP(GR$1,generator!$B$2:$B$295,generator!$Q$2:$Q$295,"ARGH")</f>
        <v>9000</v>
      </c>
      <c r="GS7" s="3">
        <f>_xlfn.XLOOKUP(GS$1,generator!$B$2:$B$295,generator!$Q$2:$Q$295,"ARGH")</f>
        <v>9000</v>
      </c>
      <c r="GT7" s="3">
        <f>_xlfn.XLOOKUP(GT$1,generator!$B$2:$B$295,generator!$Q$2:$Q$295,"ARGH")</f>
        <v>9000</v>
      </c>
      <c r="GU7" s="3">
        <f>_xlfn.XLOOKUP(GU$1,generator!$B$2:$B$295,generator!$Q$2:$Q$295,"ARGH")</f>
        <v>9000</v>
      </c>
      <c r="GV7" s="3">
        <f>_xlfn.XLOOKUP(GV$1,generator!$B$2:$B$295,generator!$Q$2:$Q$295,"ARGH")</f>
        <v>9000</v>
      </c>
      <c r="GW7" s="3">
        <f>_xlfn.XLOOKUP(GW$1,generator!$B$2:$B$295,generator!$Q$2:$Q$295,"ARGH")</f>
        <v>9000</v>
      </c>
      <c r="GX7" s="3">
        <f>_xlfn.XLOOKUP(GX$1,generator!$B$2:$B$295,generator!$Q$2:$Q$295,"ARGH")</f>
        <v>9000</v>
      </c>
      <c r="GY7" s="3">
        <f>_xlfn.XLOOKUP(GY$1,generator!$B$2:$B$295,generator!$Q$2:$Q$295,"ARGH")</f>
        <v>9000</v>
      </c>
      <c r="GZ7" s="3">
        <f>_xlfn.XLOOKUP(GZ$1,generator!$B$2:$B$295,generator!$Q$2:$Q$295,"ARGH")</f>
        <v>9000</v>
      </c>
      <c r="HA7" s="3">
        <f>_xlfn.XLOOKUP(HA$1,generator!$B$2:$B$295,generator!$Q$2:$Q$295,"ARGH")</f>
        <v>9000</v>
      </c>
      <c r="HB7" s="3">
        <f>_xlfn.XLOOKUP(HB$1,generator!$B$2:$B$295,generator!$Q$2:$Q$295,"ARGH")</f>
        <v>9000</v>
      </c>
      <c r="HC7" s="3">
        <f>_xlfn.XLOOKUP(HC$1,generator!$B$2:$B$295,generator!$Q$2:$Q$295,"ARGH")</f>
        <v>9000</v>
      </c>
      <c r="HD7" s="3">
        <f>_xlfn.XLOOKUP(HD$1,generator!$B$2:$B$295,generator!$Q$2:$Q$295,"ARGH")</f>
        <v>9000</v>
      </c>
      <c r="HE7" s="3">
        <f>_xlfn.XLOOKUP(HE$1,generator!$B$2:$B$295,generator!$Q$2:$Q$295,"ARGH")</f>
        <v>8000</v>
      </c>
      <c r="HF7" s="3" t="str">
        <f>_xlfn.XLOOKUP(HF$1,generator!$B$2:$B$295,generator!$Q$2:$Q$295,"ARGH")</f>
        <v>143</v>
      </c>
      <c r="HG7" s="3" t="str">
        <f>_xlfn.XLOOKUP(HG$1,generator!$B$2:$B$295,generator!$Q$2:$Q$295,"ARGH")</f>
        <v>143</v>
      </c>
      <c r="HH7" s="3" t="str">
        <f>_xlfn.XLOOKUP(HH$1,generator!$B$2:$B$295,generator!$Q$2:$Q$295,"ARGH")</f>
        <v>143</v>
      </c>
      <c r="HI7" s="3" t="str">
        <f>_xlfn.XLOOKUP(HI$1,generator!$B$2:$B$295,generator!$Q$2:$Q$295,"ARGH")</f>
        <v>246.74</v>
      </c>
      <c r="HJ7" s="3" t="str">
        <f>_xlfn.XLOOKUP(HJ$1,generator!$B$2:$B$295,generator!$Q$2:$Q$295,"ARGH")</f>
        <v>246.74</v>
      </c>
      <c r="HK7" s="3" t="str">
        <f>_xlfn.XLOOKUP(HK$1,generator!$B$2:$B$295,generator!$Q$2:$Q$295,"ARGH")</f>
        <v>206.04</v>
      </c>
      <c r="HL7" s="3" t="str">
        <f>_xlfn.XLOOKUP(HL$1,generator!$B$2:$B$295,generator!$Q$2:$Q$295,"ARGH")</f>
        <v>506.96</v>
      </c>
      <c r="HM7" s="3" t="str">
        <f>_xlfn.XLOOKUP(HM$1,generator!$B$2:$B$295,generator!$Q$2:$Q$295,"ARGH")</f>
        <v>506.95</v>
      </c>
      <c r="HN7" s="3" t="str">
        <f>_xlfn.XLOOKUP(HN$1,generator!$B$2:$B$295,generator!$Q$2:$Q$295,"ARGH")</f>
        <v>190.97</v>
      </c>
      <c r="HO7" s="3" t="str">
        <f>_xlfn.XLOOKUP(HO$1,generator!$B$2:$B$295,generator!$Q$2:$Q$295,"ARGH")</f>
        <v>190.97</v>
      </c>
      <c r="HP7" s="3" t="str">
        <f>_xlfn.XLOOKUP(HP$1,generator!$B$2:$B$295,generator!$Q$2:$Q$295,"ARGH")</f>
        <v>424.84</v>
      </c>
      <c r="HQ7" s="3" t="str">
        <f>_xlfn.XLOOKUP(HQ$1,generator!$B$2:$B$295,generator!$Q$2:$Q$295,"ARGH")</f>
        <v>425.9</v>
      </c>
      <c r="HR7" s="3" t="str">
        <f>_xlfn.XLOOKUP(HR$1,generator!$B$2:$B$295,generator!$Q$2:$Q$295,"ARGH")</f>
        <v>425.9</v>
      </c>
      <c r="HS7" s="3" t="str">
        <f>_xlfn.XLOOKUP(HS$1,generator!$B$2:$B$295,generator!$Q$2:$Q$295,"ARGH")</f>
        <v>196.54</v>
      </c>
      <c r="HT7" s="3" t="str">
        <f>_xlfn.XLOOKUP(HT$1,generator!$B$2:$B$295,generator!$Q$2:$Q$295,"ARGH")</f>
        <v>196.54</v>
      </c>
      <c r="HU7" s="3" t="str">
        <f>_xlfn.XLOOKUP(HU$1,generator!$B$2:$B$295,generator!$Q$2:$Q$295,"ARGH")</f>
        <v>145.57</v>
      </c>
      <c r="HV7" s="3" t="str">
        <f>_xlfn.XLOOKUP(HV$1,generator!$B$2:$B$295,generator!$Q$2:$Q$295,"ARGH")</f>
        <v>132.62</v>
      </c>
      <c r="HW7" s="3" t="str">
        <f>_xlfn.XLOOKUP(HW$1,generator!$B$2:$B$295,generator!$Q$2:$Q$295,"ARGH")</f>
        <v>193.76</v>
      </c>
      <c r="HX7" s="3" t="str">
        <f>_xlfn.XLOOKUP(HX$1,generator!$B$2:$B$295,generator!$Q$2:$Q$295,"ARGH")</f>
        <v>193.76</v>
      </c>
      <c r="HY7" s="3" t="str">
        <f>_xlfn.XLOOKUP(HY$1,generator!$B$2:$B$295,generator!$Q$2:$Q$295,"ARGH")</f>
        <v>79.19</v>
      </c>
      <c r="HZ7" s="3" t="str">
        <f>_xlfn.XLOOKUP(HZ$1,generator!$B$2:$B$295,generator!$Q$2:$Q$295,"ARGH")</f>
        <v>125.79</v>
      </c>
      <c r="IA7" s="3" t="str">
        <f>_xlfn.XLOOKUP(IA$1,generator!$B$2:$B$295,generator!$Q$2:$Q$295,"ARGH")</f>
        <v>54.19</v>
      </c>
      <c r="IB7" s="3" t="str">
        <f>_xlfn.XLOOKUP(IB$1,generator!$B$2:$B$295,generator!$Q$2:$Q$295,"ARGH")</f>
        <v>59.7</v>
      </c>
      <c r="IC7" s="3">
        <f>_xlfn.XLOOKUP(IC$1,generator!$B$2:$B$295,generator!$Q$2:$Q$295,"ARGH")</f>
        <v>0</v>
      </c>
      <c r="ID7" s="3" t="str">
        <f>_xlfn.XLOOKUP(ID$1,generator!$B$2:$B$295,generator!$Q$2:$Q$295,"ARGH")</f>
        <v>121.14</v>
      </c>
      <c r="IE7" s="3" t="str">
        <f>_xlfn.XLOOKUP(IE$1,generator!$B$2:$B$295,generator!$Q$2:$Q$295,"ARGH")</f>
        <v>26.6</v>
      </c>
      <c r="IF7" s="3">
        <f>_xlfn.XLOOKUP(IF$1,generator!$B$2:$B$295,generator!$Q$2:$Q$295,"ARGH")</f>
        <v>8000</v>
      </c>
      <c r="IG7" s="3">
        <f>_xlfn.XLOOKUP(IG$1,generator!$B$2:$B$295,generator!$Q$2:$Q$295,"ARGH")</f>
        <v>8000</v>
      </c>
      <c r="IH7" s="3">
        <f>_xlfn.XLOOKUP(IH$1,generator!$B$2:$B$295,generator!$Q$2:$Q$295,"ARGH")</f>
        <v>8000</v>
      </c>
      <c r="II7" s="3">
        <f>_xlfn.XLOOKUP(II$1,generator!$B$2:$B$295,generator!$Q$2:$Q$295,"ARGH")</f>
        <v>8000</v>
      </c>
      <c r="IJ7" s="3">
        <f>_xlfn.XLOOKUP(IJ$1,generator!$B$2:$B$295,generator!$Q$2:$Q$295,"ARGH")</f>
        <v>8000</v>
      </c>
      <c r="IK7" s="3">
        <f>_xlfn.XLOOKUP(IK$1,generator!$B$2:$B$295,generator!$Q$2:$Q$295,"ARGH")</f>
        <v>8000</v>
      </c>
      <c r="IL7" s="3">
        <f>_xlfn.XLOOKUP(IL$1,generator!$B$2:$B$295,generator!$Q$2:$Q$295,"ARGH")</f>
        <v>8000</v>
      </c>
      <c r="IM7" s="3">
        <f>_xlfn.XLOOKUP(IM$1,generator!$B$2:$B$295,generator!$Q$2:$Q$295,"ARGH")</f>
        <v>8000</v>
      </c>
      <c r="IN7" s="3">
        <f>_xlfn.XLOOKUP(IN$1,generator!$B$2:$B$295,generator!$Q$2:$Q$295,"ARGH")</f>
        <v>8000</v>
      </c>
      <c r="IO7" s="3">
        <f>_xlfn.XLOOKUP(IO$1,generator!$B$2:$B$295,generator!$Q$2:$Q$295,"ARGH")</f>
        <v>8000</v>
      </c>
      <c r="IP7" s="3">
        <f>_xlfn.XLOOKUP(IP$1,generator!$B$2:$B$295,generator!$Q$2:$Q$295,"ARGH")</f>
        <v>8000</v>
      </c>
      <c r="IQ7" s="3">
        <f>_xlfn.XLOOKUP(IQ$1,generator!$B$2:$B$295,generator!$Q$2:$Q$295,"ARGH")</f>
        <v>8000</v>
      </c>
      <c r="IR7" s="3">
        <f>_xlfn.XLOOKUP(IR$1,generator!$B$2:$B$295,generator!$Q$2:$Q$295,"ARGH")</f>
        <v>8000</v>
      </c>
      <c r="IS7" s="3">
        <f>_xlfn.XLOOKUP(IS$1,generator!$B$2:$B$295,generator!$Q$2:$Q$295,"ARGH")</f>
        <v>8000</v>
      </c>
      <c r="IT7" s="3">
        <f>_xlfn.XLOOKUP(IT$1,generator!$B$2:$B$295,generator!$Q$2:$Q$295,"ARGH")</f>
        <v>8000</v>
      </c>
      <c r="IU7" s="3">
        <f>_xlfn.XLOOKUP(IU$1,generator!$B$2:$B$295,generator!$Q$2:$Q$295,"ARGH")</f>
        <v>8000</v>
      </c>
      <c r="IV7" s="3">
        <f>_xlfn.XLOOKUP(IV$1,generator!$B$2:$B$295,generator!$Q$2:$Q$295,"ARGH")</f>
        <v>8000</v>
      </c>
      <c r="IW7" s="3" t="str">
        <f>_xlfn.XLOOKUP(IW$1,generator!$B$2:$B$295,generator!$Q$2:$Q$295,"ARGH")</f>
        <v>108.19</v>
      </c>
      <c r="IX7" s="3" t="str">
        <f>_xlfn.XLOOKUP(IX$1,generator!$B$2:$B$295,generator!$Q$2:$Q$295,"ARGH")</f>
        <v>108.18</v>
      </c>
      <c r="IY7" s="3" t="str">
        <f>_xlfn.XLOOKUP(IY$1,generator!$B$2:$B$295,generator!$Q$2:$Q$295,"ARGH")</f>
        <v>108.17</v>
      </c>
      <c r="IZ7" s="3" t="str">
        <f>_xlfn.XLOOKUP(IZ$1,generator!$B$2:$B$295,generator!$Q$2:$Q$295,"ARGH")</f>
        <v>40.96</v>
      </c>
      <c r="JA7" s="3">
        <f>_xlfn.XLOOKUP(JA$1,generator!$B$2:$B$295,generator!$Q$2:$Q$295,"ARGH")</f>
        <v>0</v>
      </c>
      <c r="JB7" s="3">
        <f>_xlfn.XLOOKUP(JB$1,generator!$B$2:$B$295,generator!$Q$2:$Q$295,"ARGH")</f>
        <v>0</v>
      </c>
      <c r="JC7" s="3" t="str">
        <f>_xlfn.XLOOKUP(JC$1,generator!$B$2:$B$295,generator!$Q$2:$Q$295,"ARGH")</f>
        <v>75.91</v>
      </c>
      <c r="JD7" s="3" t="str">
        <f>_xlfn.XLOOKUP(JD$1,generator!$B$2:$B$295,generator!$Q$2:$Q$295,"ARGH")</f>
        <v>75.91</v>
      </c>
      <c r="JE7" s="3" t="str">
        <f>_xlfn.XLOOKUP(JE$1,generator!$B$2:$B$295,generator!$Q$2:$Q$295,"ARGH")</f>
        <v>51.59</v>
      </c>
      <c r="JF7" s="3" t="str">
        <f>_xlfn.XLOOKUP(JF$1,generator!$B$2:$B$295,generator!$Q$2:$Q$295,"ARGH")</f>
        <v>111.57</v>
      </c>
      <c r="JG7" s="3">
        <f>_xlfn.XLOOKUP(JG$1,generator!$B$2:$B$295,generator!$Q$2:$Q$295,"ARGH")</f>
        <v>0</v>
      </c>
      <c r="JH7" s="3" t="str">
        <f>_xlfn.XLOOKUP(JH$1,generator!$B$2:$B$295,generator!$Q$2:$Q$295,"ARGH")</f>
        <v>48.65</v>
      </c>
      <c r="JI7" s="3" t="str">
        <f>_xlfn.XLOOKUP(JI$1,generator!$B$2:$B$295,generator!$Q$2:$Q$295,"ARGH")</f>
        <v>71.88</v>
      </c>
      <c r="JJ7" s="3" t="str">
        <f>_xlfn.XLOOKUP(JJ$1,generator!$B$2:$B$295,generator!$Q$2:$Q$295,"ARGH")</f>
        <v>98.17</v>
      </c>
      <c r="JK7" s="3" t="str">
        <f>_xlfn.XLOOKUP(JK$1,generator!$B$2:$B$295,generator!$Q$2:$Q$295,"ARGH")</f>
        <v>98.17</v>
      </c>
      <c r="JL7" s="3" t="str">
        <f>_xlfn.XLOOKUP(JL$1,generator!$B$2:$B$295,generator!$Q$2:$Q$295,"ARGH")</f>
        <v>98.17</v>
      </c>
      <c r="JM7" s="3" t="str">
        <f>_xlfn.XLOOKUP(JM$1,generator!$B$2:$B$295,generator!$Q$2:$Q$295,"ARGH")</f>
        <v>98.17</v>
      </c>
      <c r="JN7" s="3" t="str">
        <f>_xlfn.XLOOKUP(JN$1,generator!$B$2:$B$295,generator!$Q$2:$Q$295,"ARGH")</f>
        <v>98.17</v>
      </c>
      <c r="JO7" s="3" t="str">
        <f>_xlfn.XLOOKUP(JO$1,generator!$B$2:$B$295,generator!$Q$2:$Q$295,"ARGH")</f>
        <v>98.17</v>
      </c>
      <c r="JP7" s="3" t="str">
        <f>_xlfn.XLOOKUP(JP$1,generator!$B$2:$B$295,generator!$Q$2:$Q$295,"ARGH")</f>
        <v>47.53</v>
      </c>
      <c r="JQ7" s="3" t="str">
        <f>_xlfn.XLOOKUP(JQ$1,generator!$B$2:$B$295,generator!$Q$2:$Q$295,"ARGH")</f>
        <v>108.86</v>
      </c>
      <c r="JR7" s="3" t="str">
        <f>_xlfn.XLOOKUP(JR$1,generator!$B$2:$B$295,generator!$Q$2:$Q$295,"ARGH")</f>
        <v>83.15</v>
      </c>
      <c r="JS7" s="3" t="str">
        <f>_xlfn.XLOOKUP(JS$1,generator!$B$2:$B$295,generator!$Q$2:$Q$295,"ARGH")</f>
        <v>83.15</v>
      </c>
      <c r="JT7" s="3" t="str">
        <f>_xlfn.XLOOKUP(JT$1,generator!$B$2:$B$295,generator!$Q$2:$Q$295,"ARGH")</f>
        <v>108.86</v>
      </c>
      <c r="JU7" s="3">
        <f>_xlfn.XLOOKUP(JU$1,generator!$B$2:$B$295,generator!$Q$2:$Q$295,"ARGH")</f>
        <v>0</v>
      </c>
      <c r="JV7" s="3" t="str">
        <f>_xlfn.XLOOKUP(JV$1,generator!$B$2:$B$295,generator!$Q$2:$Q$295,"ARGH")</f>
        <v>77.63</v>
      </c>
      <c r="JW7" s="3" t="str">
        <f>_xlfn.XLOOKUP(JW$1,generator!$B$2:$B$295,generator!$Q$2:$Q$295,"ARGH")</f>
        <v>77.64</v>
      </c>
      <c r="JX7" s="3" t="str">
        <f>_xlfn.XLOOKUP(JX$1,generator!$B$2:$B$295,generator!$Q$2:$Q$295,"ARGH")</f>
        <v>331.49</v>
      </c>
      <c r="JY7" s="3">
        <f>_xlfn.XLOOKUP(JY$1,generator!$B$2:$B$295,generator!$Q$2:$Q$295,"ARGH")</f>
        <v>7000</v>
      </c>
      <c r="JZ7" s="3">
        <f>_xlfn.XLOOKUP(JZ$1,generator!$B$2:$B$295,generator!$Q$2:$Q$295,"ARGH")</f>
        <v>0</v>
      </c>
      <c r="KA7" s="3">
        <f>_xlfn.XLOOKUP(KA$1,generator!$B$2:$B$295,generator!$Q$2:$Q$295,"ARGH")</f>
        <v>0</v>
      </c>
      <c r="KB7" s="3">
        <f>_xlfn.XLOOKUP(KB$1,generator!$B$2:$B$295,generator!$Q$2:$Q$295,"ARGH")</f>
        <v>0</v>
      </c>
      <c r="KC7" s="3">
        <f>_xlfn.XLOOKUP(KC$1,generator!$B$2:$B$295,generator!$Q$2:$Q$295,"ARGH")</f>
        <v>0</v>
      </c>
    </row>
    <row r="8" spans="1:289" x14ac:dyDescent="0.3">
      <c r="A8" s="4" t="s">
        <v>3003</v>
      </c>
      <c r="B8" s="3">
        <v>15000</v>
      </c>
      <c r="C8" s="3">
        <v>15000</v>
      </c>
      <c r="D8" s="3">
        <v>15000</v>
      </c>
      <c r="E8" s="3">
        <f>_xlfn.XLOOKUP(E$1,generator!$B$2:$B$295,generator!$Q$2:$Q$295,"ARGH")</f>
        <v>9000</v>
      </c>
      <c r="F8" s="3">
        <f>_xlfn.XLOOKUP(F$1,generator!$B$2:$B$295,generator!$Q$2:$Q$295,"ARGH")</f>
        <v>9000</v>
      </c>
      <c r="G8" s="3">
        <f>_xlfn.XLOOKUP(G$1,generator!$B$2:$B$295,generator!$Q$2:$Q$295,"ARGH")</f>
        <v>9000</v>
      </c>
      <c r="H8" s="3">
        <f>_xlfn.XLOOKUP(H$1,generator!$B$2:$B$295,generator!$Q$2:$Q$295,"ARGH")</f>
        <v>9000</v>
      </c>
      <c r="I8" s="3">
        <f>_xlfn.XLOOKUP(I$1,generator!$B$2:$B$295,generator!$Q$2:$Q$295,"ARGH")</f>
        <v>9000</v>
      </c>
      <c r="J8" s="3">
        <f>_xlfn.XLOOKUP(J$1,generator!$B$2:$B$295,generator!$Q$2:$Q$295,"ARGH")</f>
        <v>9000</v>
      </c>
      <c r="K8" s="3">
        <f>_xlfn.XLOOKUP(K$1,generator!$B$2:$B$295,generator!$Q$2:$Q$295,"ARGH")</f>
        <v>9000</v>
      </c>
      <c r="L8" s="3">
        <f>_xlfn.XLOOKUP(L$1,generator!$B$2:$B$295,generator!$Q$2:$Q$295,"ARGH")</f>
        <v>9000</v>
      </c>
      <c r="M8" s="3">
        <f>_xlfn.XLOOKUP(M$1,generator!$B$2:$B$295,generator!$Q$2:$Q$295,"ARGH")</f>
        <v>9000</v>
      </c>
      <c r="N8" s="3">
        <f>_xlfn.XLOOKUP(N$1,generator!$B$2:$B$295,generator!$Q$2:$Q$295,"ARGH")</f>
        <v>9000</v>
      </c>
      <c r="O8" s="3">
        <f>_xlfn.XLOOKUP(O$1,generator!$B$2:$B$295,generator!$Q$2:$Q$295,"ARGH")</f>
        <v>9000</v>
      </c>
      <c r="P8" s="3">
        <f>_xlfn.XLOOKUP(P$1,generator!$B$2:$B$295,generator!$Q$2:$Q$295,"ARGH")</f>
        <v>9000</v>
      </c>
      <c r="Q8" s="3">
        <f>_xlfn.XLOOKUP(Q$1,generator!$B$2:$B$295,generator!$Q$2:$Q$295,"ARGH")</f>
        <v>9000</v>
      </c>
      <c r="R8" s="3">
        <f>_xlfn.XLOOKUP(R$1,generator!$B$2:$B$295,generator!$Q$2:$Q$295,"ARGH")</f>
        <v>9000</v>
      </c>
      <c r="S8" s="3">
        <f>_xlfn.XLOOKUP(S$1,generator!$B$2:$B$295,generator!$Q$2:$Q$295,"ARGH")</f>
        <v>9000</v>
      </c>
      <c r="T8" s="3">
        <f>_xlfn.XLOOKUP(T$1,generator!$B$2:$B$295,generator!$Q$2:$Q$295,"ARGH")</f>
        <v>9000</v>
      </c>
      <c r="U8" s="3">
        <f>_xlfn.XLOOKUP(U$1,generator!$B$2:$B$295,generator!$Q$2:$Q$295,"ARGH")</f>
        <v>9000</v>
      </c>
      <c r="V8" s="3">
        <f>_xlfn.XLOOKUP(V$1,generator!$B$2:$B$295,generator!$Q$2:$Q$295,"ARGH")</f>
        <v>9000</v>
      </c>
      <c r="W8" s="3">
        <f>_xlfn.XLOOKUP(W$1,generator!$B$2:$B$295,generator!$Q$2:$Q$295,"ARGH")</f>
        <v>9000</v>
      </c>
      <c r="X8" s="3">
        <f>_xlfn.XLOOKUP(X$1,generator!$B$2:$B$295,generator!$Q$2:$Q$295,"ARGH")</f>
        <v>9000</v>
      </c>
      <c r="Y8" s="3">
        <f>_xlfn.XLOOKUP(Y$1,generator!$B$2:$B$295,generator!$Q$2:$Q$295,"ARGH")</f>
        <v>9000</v>
      </c>
      <c r="Z8" s="3">
        <f>_xlfn.XLOOKUP(Z$1,generator!$B$2:$B$295,generator!$Q$2:$Q$295,"ARGH")</f>
        <v>9000</v>
      </c>
      <c r="AA8" s="3">
        <f>_xlfn.XLOOKUP(AA$1,generator!$B$2:$B$295,generator!$Q$2:$Q$295,"ARGH")</f>
        <v>9000</v>
      </c>
      <c r="AB8" s="3">
        <f>_xlfn.XLOOKUP(AB$1,generator!$B$2:$B$295,generator!$Q$2:$Q$295,"ARGH")</f>
        <v>9000</v>
      </c>
      <c r="AC8" s="3">
        <f>_xlfn.XLOOKUP(AC$1,generator!$B$2:$B$295,generator!$Q$2:$Q$295,"ARGH")</f>
        <v>9000</v>
      </c>
      <c r="AD8" s="3">
        <f>_xlfn.XLOOKUP(AD$1,generator!$B$2:$B$295,generator!$Q$2:$Q$295,"ARGH")</f>
        <v>9000</v>
      </c>
      <c r="AE8" s="3">
        <f>_xlfn.XLOOKUP(AE$1,generator!$B$2:$B$295,generator!$Q$2:$Q$295,"ARGH")</f>
        <v>9000</v>
      </c>
      <c r="AF8" s="3">
        <f>_xlfn.XLOOKUP(AF$1,generator!$B$2:$B$295,generator!$Q$2:$Q$295,"ARGH")</f>
        <v>9000</v>
      </c>
      <c r="AG8" s="3">
        <f>_xlfn.XLOOKUP(AG$1,generator!$B$2:$B$295,generator!$Q$2:$Q$295,"ARGH")</f>
        <v>9000</v>
      </c>
      <c r="AH8" s="3">
        <f>_xlfn.XLOOKUP(AH$1,generator!$B$2:$B$295,generator!$Q$2:$Q$295,"ARGH")</f>
        <v>9000</v>
      </c>
      <c r="AI8" s="3">
        <f>_xlfn.XLOOKUP(AI$1,generator!$B$2:$B$295,generator!$Q$2:$Q$295,"ARGH")</f>
        <v>9000</v>
      </c>
      <c r="AJ8" s="3">
        <f>_xlfn.XLOOKUP(AJ$1,generator!$B$2:$B$295,generator!$Q$2:$Q$295,"ARGH")</f>
        <v>9000</v>
      </c>
      <c r="AK8" s="3">
        <f>_xlfn.XLOOKUP(AK$1,generator!$B$2:$B$295,generator!$Q$2:$Q$295,"ARGH")</f>
        <v>9000</v>
      </c>
      <c r="AL8" s="3">
        <f>_xlfn.XLOOKUP(AL$1,generator!$B$2:$B$295,generator!$Q$2:$Q$295,"ARGH")</f>
        <v>9000</v>
      </c>
      <c r="AM8" s="3">
        <f>_xlfn.XLOOKUP(AM$1,generator!$B$2:$B$295,generator!$Q$2:$Q$295,"ARGH")</f>
        <v>9000</v>
      </c>
      <c r="AN8" s="3">
        <f>_xlfn.XLOOKUP(AN$1,generator!$B$2:$B$295,generator!$Q$2:$Q$295,"ARGH")</f>
        <v>9000</v>
      </c>
      <c r="AO8" s="3">
        <f>_xlfn.XLOOKUP(AO$1,generator!$B$2:$B$295,generator!$Q$2:$Q$295,"ARGH")</f>
        <v>9000</v>
      </c>
      <c r="AP8" s="3">
        <f>_xlfn.XLOOKUP(AP$1,generator!$B$2:$B$295,generator!$Q$2:$Q$295,"ARGH")</f>
        <v>9000</v>
      </c>
      <c r="AQ8" s="3">
        <f>_xlfn.XLOOKUP(AQ$1,generator!$B$2:$B$295,generator!$Q$2:$Q$295,"ARGH")</f>
        <v>9000</v>
      </c>
      <c r="AR8" s="3">
        <f>_xlfn.XLOOKUP(AR$1,generator!$B$2:$B$295,generator!$Q$2:$Q$295,"ARGH")</f>
        <v>9000</v>
      </c>
      <c r="AS8" s="3">
        <f>_xlfn.XLOOKUP(AS$1,generator!$B$2:$B$295,generator!$Q$2:$Q$295,"ARGH")</f>
        <v>9000</v>
      </c>
      <c r="AT8" s="3">
        <f>_xlfn.XLOOKUP(AT$1,generator!$B$2:$B$295,generator!$Q$2:$Q$295,"ARGH")</f>
        <v>9000</v>
      </c>
      <c r="AU8" s="3">
        <f>_xlfn.XLOOKUP(AU$1,generator!$B$2:$B$295,generator!$Q$2:$Q$295,"ARGH")</f>
        <v>9000</v>
      </c>
      <c r="AV8" s="3">
        <f>_xlfn.XLOOKUP(AV$1,generator!$B$2:$B$295,generator!$Q$2:$Q$295,"ARGH")</f>
        <v>9000</v>
      </c>
      <c r="AW8" s="3">
        <f>_xlfn.XLOOKUP(AW$1,generator!$B$2:$B$295,generator!$Q$2:$Q$295,"ARGH")</f>
        <v>9000</v>
      </c>
      <c r="AX8" s="3">
        <f>_xlfn.XLOOKUP(AX$1,generator!$B$2:$B$295,generator!$Q$2:$Q$295,"ARGH")</f>
        <v>9000</v>
      </c>
      <c r="AY8" s="3">
        <f>_xlfn.XLOOKUP(AY$1,generator!$B$2:$B$295,generator!$Q$2:$Q$295,"ARGH")</f>
        <v>9000</v>
      </c>
      <c r="AZ8" s="3">
        <f>_xlfn.XLOOKUP(AZ$1,generator!$B$2:$B$295,generator!$Q$2:$Q$295,"ARGH")</f>
        <v>9000</v>
      </c>
      <c r="BA8" s="3">
        <f>_xlfn.XLOOKUP(BA$1,generator!$B$2:$B$295,generator!$Q$2:$Q$295,"ARGH")</f>
        <v>9000</v>
      </c>
      <c r="BB8" s="3">
        <f>_xlfn.XLOOKUP(BB$1,generator!$B$2:$B$295,generator!$Q$2:$Q$295,"ARGH")</f>
        <v>9000</v>
      </c>
      <c r="BC8" s="3">
        <f>_xlfn.XLOOKUP(BC$1,generator!$B$2:$B$295,generator!$Q$2:$Q$295,"ARGH")</f>
        <v>9000</v>
      </c>
      <c r="BD8" s="3">
        <f>_xlfn.XLOOKUP(BD$1,generator!$B$2:$B$295,generator!$Q$2:$Q$295,"ARGH")</f>
        <v>9000</v>
      </c>
      <c r="BE8" s="3">
        <f>_xlfn.XLOOKUP(BE$1,generator!$B$2:$B$295,generator!$Q$2:$Q$295,"ARGH")</f>
        <v>9000</v>
      </c>
      <c r="BF8" s="3">
        <f>_xlfn.XLOOKUP(BF$1,generator!$B$2:$B$295,generator!$Q$2:$Q$295,"ARGH")</f>
        <v>9000</v>
      </c>
      <c r="BG8" s="3">
        <f>_xlfn.XLOOKUP(BG$1,generator!$B$2:$B$295,generator!$Q$2:$Q$295,"ARGH")</f>
        <v>9000</v>
      </c>
      <c r="BH8" s="3">
        <f>_xlfn.XLOOKUP(BH$1,generator!$B$2:$B$295,generator!$Q$2:$Q$295,"ARGH")</f>
        <v>9000</v>
      </c>
      <c r="BI8" s="3">
        <f>_xlfn.XLOOKUP(BI$1,generator!$B$2:$B$295,generator!$Q$2:$Q$295,"ARGH")</f>
        <v>9000</v>
      </c>
      <c r="BJ8" s="3">
        <f>_xlfn.XLOOKUP(BJ$1,generator!$B$2:$B$295,generator!$Q$2:$Q$295,"ARGH")</f>
        <v>9000</v>
      </c>
      <c r="BK8" s="3">
        <f>_xlfn.XLOOKUP(BK$1,generator!$B$2:$B$295,generator!$Q$2:$Q$295,"ARGH")</f>
        <v>9000</v>
      </c>
      <c r="BL8" s="3">
        <f>_xlfn.XLOOKUP(BL$1,generator!$B$2:$B$295,generator!$Q$2:$Q$295,"ARGH")</f>
        <v>9000</v>
      </c>
      <c r="BM8" s="3">
        <f>_xlfn.XLOOKUP(BM$1,generator!$B$2:$B$295,generator!$Q$2:$Q$295,"ARGH")</f>
        <v>9000</v>
      </c>
      <c r="BN8" s="3">
        <f>_xlfn.XLOOKUP(BN$1,generator!$B$2:$B$295,generator!$Q$2:$Q$295,"ARGH")</f>
        <v>9000</v>
      </c>
      <c r="BO8" s="3">
        <f>_xlfn.XLOOKUP(BO$1,generator!$B$2:$B$295,generator!$Q$2:$Q$295,"ARGH")</f>
        <v>9000</v>
      </c>
      <c r="BP8" s="3">
        <f>_xlfn.XLOOKUP(BP$1,generator!$B$2:$B$295,generator!$Q$2:$Q$295,"ARGH")</f>
        <v>9000</v>
      </c>
      <c r="BQ8" s="3">
        <f>_xlfn.XLOOKUP(BQ$1,generator!$B$2:$B$295,generator!$Q$2:$Q$295,"ARGH")</f>
        <v>9000</v>
      </c>
      <c r="BR8" s="3">
        <f>_xlfn.XLOOKUP(BR$1,generator!$B$2:$B$295,generator!$Q$2:$Q$295,"ARGH")</f>
        <v>9000</v>
      </c>
      <c r="BS8" s="3">
        <f>_xlfn.XLOOKUP(BS$1,generator!$B$2:$B$295,generator!$Q$2:$Q$295,"ARGH")</f>
        <v>9000</v>
      </c>
      <c r="BT8" s="3">
        <f>_xlfn.XLOOKUP(BT$1,generator!$B$2:$B$295,generator!$Q$2:$Q$295,"ARGH")</f>
        <v>9000</v>
      </c>
      <c r="BU8" s="3">
        <f>_xlfn.XLOOKUP(BU$1,generator!$B$2:$B$295,generator!$Q$2:$Q$295,"ARGH")</f>
        <v>9000</v>
      </c>
      <c r="BV8" s="3">
        <f>_xlfn.XLOOKUP(BV$1,generator!$B$2:$B$295,generator!$Q$2:$Q$295,"ARGH")</f>
        <v>9000</v>
      </c>
      <c r="BW8" s="3">
        <f>_xlfn.XLOOKUP(BW$1,generator!$B$2:$B$295,generator!$Q$2:$Q$295,"ARGH")</f>
        <v>9000</v>
      </c>
      <c r="BX8" s="3">
        <f>_xlfn.XLOOKUP(BX$1,generator!$B$2:$B$295,generator!$Q$2:$Q$295,"ARGH")</f>
        <v>9000</v>
      </c>
      <c r="BY8" s="3">
        <f>_xlfn.XLOOKUP(BY$1,generator!$B$2:$B$295,generator!$Q$2:$Q$295,"ARGH")</f>
        <v>9000</v>
      </c>
      <c r="BZ8" s="3">
        <f>_xlfn.XLOOKUP(BZ$1,generator!$B$2:$B$295,generator!$Q$2:$Q$295,"ARGH")</f>
        <v>9000</v>
      </c>
      <c r="CA8" s="3">
        <f>_xlfn.XLOOKUP(CA$1,generator!$B$2:$B$295,generator!$Q$2:$Q$295,"ARGH")</f>
        <v>9000</v>
      </c>
      <c r="CB8" s="3">
        <f>_xlfn.XLOOKUP(CB$1,generator!$B$2:$B$295,generator!$Q$2:$Q$295,"ARGH")</f>
        <v>9000</v>
      </c>
      <c r="CC8" s="3">
        <f>_xlfn.XLOOKUP(CC$1,generator!$B$2:$B$295,generator!$Q$2:$Q$295,"ARGH")</f>
        <v>9000</v>
      </c>
      <c r="CD8" s="3">
        <f>_xlfn.XLOOKUP(CD$1,generator!$B$2:$B$295,generator!$Q$2:$Q$295,"ARGH")</f>
        <v>9000</v>
      </c>
      <c r="CE8" s="3">
        <f>_xlfn.XLOOKUP(CE$1,generator!$B$2:$B$295,generator!$Q$2:$Q$295,"ARGH")</f>
        <v>9000</v>
      </c>
      <c r="CF8" s="3">
        <f>_xlfn.XLOOKUP(CF$1,generator!$B$2:$B$295,generator!$Q$2:$Q$295,"ARGH")</f>
        <v>9000</v>
      </c>
      <c r="CG8" s="3">
        <f>_xlfn.XLOOKUP(CG$1,generator!$B$2:$B$295,generator!$Q$2:$Q$295,"ARGH")</f>
        <v>9000</v>
      </c>
      <c r="CH8" s="3">
        <f>_xlfn.XLOOKUP(CH$1,generator!$B$2:$B$295,generator!$Q$2:$Q$295,"ARGH")</f>
        <v>9000</v>
      </c>
      <c r="CI8" s="3">
        <f>_xlfn.XLOOKUP(CI$1,generator!$B$2:$B$295,generator!$Q$2:$Q$295,"ARGH")</f>
        <v>9000</v>
      </c>
      <c r="CJ8" s="3">
        <f>_xlfn.XLOOKUP(CJ$1,generator!$B$2:$B$295,generator!$Q$2:$Q$295,"ARGH")</f>
        <v>9000</v>
      </c>
      <c r="CK8" s="3">
        <f>_xlfn.XLOOKUP(CK$1,generator!$B$2:$B$295,generator!$Q$2:$Q$295,"ARGH")</f>
        <v>9000</v>
      </c>
      <c r="CL8" s="3">
        <f>_xlfn.XLOOKUP(CL$1,generator!$B$2:$B$295,generator!$Q$2:$Q$295,"ARGH")</f>
        <v>9000</v>
      </c>
      <c r="CM8" s="3">
        <f>_xlfn.XLOOKUP(CM$1,generator!$B$2:$B$295,generator!$Q$2:$Q$295,"ARGH")</f>
        <v>9000</v>
      </c>
      <c r="CN8" s="3">
        <f>_xlfn.XLOOKUP(CN$1,generator!$B$2:$B$295,generator!$Q$2:$Q$295,"ARGH")</f>
        <v>9000</v>
      </c>
      <c r="CO8" s="3">
        <f>_xlfn.XLOOKUP(CO$1,generator!$B$2:$B$295,generator!$Q$2:$Q$295,"ARGH")</f>
        <v>9000</v>
      </c>
      <c r="CP8" s="3">
        <f>_xlfn.XLOOKUP(CP$1,generator!$B$2:$B$295,generator!$Q$2:$Q$295,"ARGH")</f>
        <v>9000</v>
      </c>
      <c r="CQ8" s="3">
        <f>_xlfn.XLOOKUP(CQ$1,generator!$B$2:$B$295,generator!$Q$2:$Q$295,"ARGH")</f>
        <v>9000</v>
      </c>
      <c r="CR8" s="3">
        <f>_xlfn.XLOOKUP(CR$1,generator!$B$2:$B$295,generator!$Q$2:$Q$295,"ARGH")</f>
        <v>9000</v>
      </c>
      <c r="CS8" s="3">
        <f>_xlfn.XLOOKUP(CS$1,generator!$B$2:$B$295,generator!$Q$2:$Q$295,"ARGH")</f>
        <v>9000</v>
      </c>
      <c r="CT8" s="3">
        <f>_xlfn.XLOOKUP(CT$1,generator!$B$2:$B$295,generator!$Q$2:$Q$295,"ARGH")</f>
        <v>9000</v>
      </c>
      <c r="CU8" s="3">
        <f>_xlfn.XLOOKUP(CU$1,generator!$B$2:$B$295,generator!$Q$2:$Q$295,"ARGH")</f>
        <v>9000</v>
      </c>
      <c r="CV8" s="3">
        <f>_xlfn.XLOOKUP(CV$1,generator!$B$2:$B$295,generator!$Q$2:$Q$295,"ARGH")</f>
        <v>9000</v>
      </c>
      <c r="CW8" s="3">
        <f>_xlfn.XLOOKUP(CW$1,generator!$B$2:$B$295,generator!$Q$2:$Q$295,"ARGH")</f>
        <v>9000</v>
      </c>
      <c r="CX8" s="3">
        <f>_xlfn.XLOOKUP(CX$1,generator!$B$2:$B$295,generator!$Q$2:$Q$295,"ARGH")</f>
        <v>9000</v>
      </c>
      <c r="CY8" s="3">
        <f>_xlfn.XLOOKUP(CY$1,generator!$B$2:$B$295,generator!$Q$2:$Q$295,"ARGH")</f>
        <v>9000</v>
      </c>
      <c r="CZ8" s="3">
        <f>_xlfn.XLOOKUP(CZ$1,generator!$B$2:$B$295,generator!$Q$2:$Q$295,"ARGH")</f>
        <v>9000</v>
      </c>
      <c r="DA8" s="3">
        <f>_xlfn.XLOOKUP(DA$1,generator!$B$2:$B$295,generator!$Q$2:$Q$295,"ARGH")</f>
        <v>9000</v>
      </c>
      <c r="DB8" s="3">
        <f>_xlfn.XLOOKUP(DB$1,generator!$B$2:$B$295,generator!$Q$2:$Q$295,"ARGH")</f>
        <v>9000</v>
      </c>
      <c r="DC8" s="3">
        <f>_xlfn.XLOOKUP(DC$1,generator!$B$2:$B$295,generator!$Q$2:$Q$295,"ARGH")</f>
        <v>9000</v>
      </c>
      <c r="DD8" s="3">
        <f>_xlfn.XLOOKUP(DD$1,generator!$B$2:$B$295,generator!$Q$2:$Q$295,"ARGH")</f>
        <v>9000</v>
      </c>
      <c r="DE8" s="3">
        <f>_xlfn.XLOOKUP(DE$1,generator!$B$2:$B$295,generator!$Q$2:$Q$295,"ARGH")</f>
        <v>9000</v>
      </c>
      <c r="DF8" s="3">
        <f>_xlfn.XLOOKUP(DF$1,generator!$B$2:$B$295,generator!$Q$2:$Q$295,"ARGH")</f>
        <v>9000</v>
      </c>
      <c r="DG8" s="3">
        <f>_xlfn.XLOOKUP(DG$1,generator!$B$2:$B$295,generator!$Q$2:$Q$295,"ARGH")</f>
        <v>9000</v>
      </c>
      <c r="DH8" s="3">
        <f>_xlfn.XLOOKUP(DH$1,generator!$B$2:$B$295,generator!$Q$2:$Q$295,"ARGH")</f>
        <v>9000</v>
      </c>
      <c r="DI8" s="3">
        <f>_xlfn.XLOOKUP(DI$1,generator!$B$2:$B$295,generator!$Q$2:$Q$295,"ARGH")</f>
        <v>9000</v>
      </c>
      <c r="DJ8" s="3">
        <f>_xlfn.XLOOKUP(DJ$1,generator!$B$2:$B$295,generator!$Q$2:$Q$295,"ARGH")</f>
        <v>9000</v>
      </c>
      <c r="DK8" s="3">
        <f>_xlfn.XLOOKUP(DK$1,generator!$B$2:$B$295,generator!$Q$2:$Q$295,"ARGH")</f>
        <v>9000</v>
      </c>
      <c r="DL8" s="3">
        <f>_xlfn.XLOOKUP(DL$1,generator!$B$2:$B$295,generator!$Q$2:$Q$295,"ARGH")</f>
        <v>9000</v>
      </c>
      <c r="DM8" s="3">
        <f>_xlfn.XLOOKUP(DM$1,generator!$B$2:$B$295,generator!$Q$2:$Q$295,"ARGH")</f>
        <v>9000</v>
      </c>
      <c r="DN8" s="3">
        <f>_xlfn.XLOOKUP(DN$1,generator!$B$2:$B$295,generator!$Q$2:$Q$295,"ARGH")</f>
        <v>9000</v>
      </c>
      <c r="DO8" s="3">
        <f>_xlfn.XLOOKUP(DO$1,generator!$B$2:$B$295,generator!$Q$2:$Q$295,"ARGH")</f>
        <v>9000</v>
      </c>
      <c r="DP8" s="3">
        <f>_xlfn.XLOOKUP(DP$1,generator!$B$2:$B$295,generator!$Q$2:$Q$295,"ARGH")</f>
        <v>9000</v>
      </c>
      <c r="DQ8" s="3">
        <f>_xlfn.XLOOKUP(DQ$1,generator!$B$2:$B$295,generator!$Q$2:$Q$295,"ARGH")</f>
        <v>9000</v>
      </c>
      <c r="DR8" s="3">
        <f>_xlfn.XLOOKUP(DR$1,generator!$B$2:$B$295,generator!$Q$2:$Q$295,"ARGH")</f>
        <v>9000</v>
      </c>
      <c r="DS8" s="3">
        <f>_xlfn.XLOOKUP(DS$1,generator!$B$2:$B$295,generator!$Q$2:$Q$295,"ARGH")</f>
        <v>9000</v>
      </c>
      <c r="DT8" s="3">
        <f>_xlfn.XLOOKUP(DT$1,generator!$B$2:$B$295,generator!$Q$2:$Q$295,"ARGH")</f>
        <v>9000</v>
      </c>
      <c r="DU8" s="3">
        <f>_xlfn.XLOOKUP(DU$1,generator!$B$2:$B$295,generator!$Q$2:$Q$295,"ARGH")</f>
        <v>9000</v>
      </c>
      <c r="DV8" s="3">
        <f>_xlfn.XLOOKUP(DV$1,generator!$B$2:$B$295,generator!$Q$2:$Q$295,"ARGH")</f>
        <v>9000</v>
      </c>
      <c r="DW8" s="3">
        <f>_xlfn.XLOOKUP(DW$1,generator!$B$2:$B$295,generator!$Q$2:$Q$295,"ARGH")</f>
        <v>9000</v>
      </c>
      <c r="DX8" s="3">
        <f>_xlfn.XLOOKUP(DX$1,generator!$B$2:$B$295,generator!$Q$2:$Q$295,"ARGH")</f>
        <v>9000</v>
      </c>
      <c r="DY8" s="3">
        <f>_xlfn.XLOOKUP(DY$1,generator!$B$2:$B$295,generator!$Q$2:$Q$295,"ARGH")</f>
        <v>9000</v>
      </c>
      <c r="DZ8" s="3">
        <f>_xlfn.XLOOKUP(DZ$1,generator!$B$2:$B$295,generator!$Q$2:$Q$295,"ARGH")</f>
        <v>9000</v>
      </c>
      <c r="EA8" s="3">
        <f>_xlfn.XLOOKUP(EA$1,generator!$B$2:$B$295,generator!$Q$2:$Q$295,"ARGH")</f>
        <v>9000</v>
      </c>
      <c r="EB8" s="3">
        <f>_xlfn.XLOOKUP(EB$1,generator!$B$2:$B$295,generator!$Q$2:$Q$295,"ARGH")</f>
        <v>9000</v>
      </c>
      <c r="EC8" s="3">
        <f>_xlfn.XLOOKUP(EC$1,generator!$B$2:$B$295,generator!$Q$2:$Q$295,"ARGH")</f>
        <v>9000</v>
      </c>
      <c r="ED8" s="3">
        <f>_xlfn.XLOOKUP(ED$1,generator!$B$2:$B$295,generator!$Q$2:$Q$295,"ARGH")</f>
        <v>9000</v>
      </c>
      <c r="EE8" s="3">
        <f>_xlfn.XLOOKUP(EE$1,generator!$B$2:$B$295,generator!$Q$2:$Q$295,"ARGH")</f>
        <v>9000</v>
      </c>
      <c r="EF8" s="3">
        <f>_xlfn.XLOOKUP(EF$1,generator!$B$2:$B$295,generator!$Q$2:$Q$295,"ARGH")</f>
        <v>9000</v>
      </c>
      <c r="EG8" s="3">
        <f>_xlfn.XLOOKUP(EG$1,generator!$B$2:$B$295,generator!$Q$2:$Q$295,"ARGH")</f>
        <v>9000</v>
      </c>
      <c r="EH8" s="3">
        <f>_xlfn.XLOOKUP(EH$1,generator!$B$2:$B$295,generator!$Q$2:$Q$295,"ARGH")</f>
        <v>9000</v>
      </c>
      <c r="EI8" s="3">
        <f>_xlfn.XLOOKUP(EI$1,generator!$B$2:$B$295,generator!$Q$2:$Q$295,"ARGH")</f>
        <v>9000</v>
      </c>
      <c r="EJ8" s="3">
        <f>_xlfn.XLOOKUP(EJ$1,generator!$B$2:$B$295,generator!$Q$2:$Q$295,"ARGH")</f>
        <v>9000</v>
      </c>
      <c r="EK8" s="3">
        <f>_xlfn.XLOOKUP(EK$1,generator!$B$2:$B$295,generator!$Q$2:$Q$295,"ARGH")</f>
        <v>9000</v>
      </c>
      <c r="EL8" s="3">
        <f>_xlfn.XLOOKUP(EL$1,generator!$B$2:$B$295,generator!$Q$2:$Q$295,"ARGH")</f>
        <v>9000</v>
      </c>
      <c r="EM8" s="3">
        <f>_xlfn.XLOOKUP(EM$1,generator!$B$2:$B$295,generator!$Q$2:$Q$295,"ARGH")</f>
        <v>9000</v>
      </c>
      <c r="EN8" s="3">
        <f>_xlfn.XLOOKUP(EN$1,generator!$B$2:$B$295,generator!$Q$2:$Q$295,"ARGH")</f>
        <v>9000</v>
      </c>
      <c r="EO8" s="3">
        <f>_xlfn.XLOOKUP(EO$1,generator!$B$2:$B$295,generator!$Q$2:$Q$295,"ARGH")</f>
        <v>9000</v>
      </c>
      <c r="EP8" s="3">
        <f>_xlfn.XLOOKUP(EP$1,generator!$B$2:$B$295,generator!$Q$2:$Q$295,"ARGH")</f>
        <v>9000</v>
      </c>
      <c r="EQ8" s="3">
        <f>_xlfn.XLOOKUP(EQ$1,generator!$B$2:$B$295,generator!$Q$2:$Q$295,"ARGH")</f>
        <v>9000</v>
      </c>
      <c r="ER8" s="3">
        <f>_xlfn.XLOOKUP(ER$1,generator!$B$2:$B$295,generator!$Q$2:$Q$295,"ARGH")</f>
        <v>9000</v>
      </c>
      <c r="ES8" s="3">
        <f>_xlfn.XLOOKUP(ES$1,generator!$B$2:$B$295,generator!$Q$2:$Q$295,"ARGH")</f>
        <v>9000</v>
      </c>
      <c r="ET8" s="3">
        <f>_xlfn.XLOOKUP(ET$1,generator!$B$2:$B$295,generator!$Q$2:$Q$295,"ARGH")</f>
        <v>9000</v>
      </c>
      <c r="EU8" s="3">
        <f>_xlfn.XLOOKUP(EU$1,generator!$B$2:$B$295,generator!$Q$2:$Q$295,"ARGH")</f>
        <v>9000</v>
      </c>
      <c r="EV8" s="3">
        <f>_xlfn.XLOOKUP(EV$1,generator!$B$2:$B$295,generator!$Q$2:$Q$295,"ARGH")</f>
        <v>9000</v>
      </c>
      <c r="EW8" s="3">
        <f>_xlfn.XLOOKUP(EW$1,generator!$B$2:$B$295,generator!$Q$2:$Q$295,"ARGH")</f>
        <v>9000</v>
      </c>
      <c r="EX8" s="3">
        <f>_xlfn.XLOOKUP(EX$1,generator!$B$2:$B$295,generator!$Q$2:$Q$295,"ARGH")</f>
        <v>9000</v>
      </c>
      <c r="EY8" s="3">
        <f>_xlfn.XLOOKUP(EY$1,generator!$B$2:$B$295,generator!$Q$2:$Q$295,"ARGH")</f>
        <v>9000</v>
      </c>
      <c r="EZ8" s="3">
        <f>_xlfn.XLOOKUP(EZ$1,generator!$B$2:$B$295,generator!$Q$2:$Q$295,"ARGH")</f>
        <v>9000</v>
      </c>
      <c r="FA8" s="3">
        <f>_xlfn.XLOOKUP(FA$1,generator!$B$2:$B$295,generator!$Q$2:$Q$295,"ARGH")</f>
        <v>9000</v>
      </c>
      <c r="FB8" s="3">
        <f>_xlfn.XLOOKUP(FB$1,generator!$B$2:$B$295,generator!$Q$2:$Q$295,"ARGH")</f>
        <v>9000</v>
      </c>
      <c r="FC8" s="3">
        <f>_xlfn.XLOOKUP(FC$1,generator!$B$2:$B$295,generator!$Q$2:$Q$295,"ARGH")</f>
        <v>9000</v>
      </c>
      <c r="FD8" s="3">
        <f>_xlfn.XLOOKUP(FD$1,generator!$B$2:$B$295,generator!$Q$2:$Q$295,"ARGH")</f>
        <v>9000</v>
      </c>
      <c r="FE8" s="3">
        <f>_xlfn.XLOOKUP(FE$1,generator!$B$2:$B$295,generator!$Q$2:$Q$295,"ARGH")</f>
        <v>9000</v>
      </c>
      <c r="FF8" s="3">
        <f>_xlfn.XLOOKUP(FF$1,generator!$B$2:$B$295,generator!$Q$2:$Q$295,"ARGH")</f>
        <v>9000</v>
      </c>
      <c r="FG8" s="3">
        <f>_xlfn.XLOOKUP(FG$1,generator!$B$2:$B$295,generator!$Q$2:$Q$295,"ARGH")</f>
        <v>9000</v>
      </c>
      <c r="FH8" s="3">
        <f>_xlfn.XLOOKUP(FH$1,generator!$B$2:$B$295,generator!$Q$2:$Q$295,"ARGH")</f>
        <v>9000</v>
      </c>
      <c r="FI8" s="3">
        <f>_xlfn.XLOOKUP(FI$1,generator!$B$2:$B$295,generator!$Q$2:$Q$295,"ARGH")</f>
        <v>9000</v>
      </c>
      <c r="FJ8" s="3">
        <f>_xlfn.XLOOKUP(FJ$1,generator!$B$2:$B$295,generator!$Q$2:$Q$295,"ARGH")</f>
        <v>9000</v>
      </c>
      <c r="FK8" s="3">
        <f>_xlfn.XLOOKUP(FK$1,generator!$B$2:$B$295,generator!$Q$2:$Q$295,"ARGH")</f>
        <v>9000</v>
      </c>
      <c r="FL8" s="3">
        <f>_xlfn.XLOOKUP(FL$1,generator!$B$2:$B$295,generator!$Q$2:$Q$295,"ARGH")</f>
        <v>9000</v>
      </c>
      <c r="FM8" s="3">
        <f>_xlfn.XLOOKUP(FM$1,generator!$B$2:$B$295,generator!$Q$2:$Q$295,"ARGH")</f>
        <v>9000</v>
      </c>
      <c r="FN8" s="3">
        <f>_xlfn.XLOOKUP(FN$1,generator!$B$2:$B$295,generator!$Q$2:$Q$295,"ARGH")</f>
        <v>9000</v>
      </c>
      <c r="FO8" s="3">
        <f>_xlfn.XLOOKUP(FO$1,generator!$B$2:$B$295,generator!$Q$2:$Q$295,"ARGH")</f>
        <v>9000</v>
      </c>
      <c r="FP8" s="3">
        <f>_xlfn.XLOOKUP(FP$1,generator!$B$2:$B$295,generator!$Q$2:$Q$295,"ARGH")</f>
        <v>9000</v>
      </c>
      <c r="FQ8" s="3">
        <f>_xlfn.XLOOKUP(FQ$1,generator!$B$2:$B$295,generator!$Q$2:$Q$295,"ARGH")</f>
        <v>9000</v>
      </c>
      <c r="FR8" s="3">
        <f>_xlfn.XLOOKUP(FR$1,generator!$B$2:$B$295,generator!$Q$2:$Q$295,"ARGH")</f>
        <v>9000</v>
      </c>
      <c r="FS8" s="3">
        <f>_xlfn.XLOOKUP(FS$1,generator!$B$2:$B$295,generator!$Q$2:$Q$295,"ARGH")</f>
        <v>9000</v>
      </c>
      <c r="FT8" s="3">
        <f>_xlfn.XLOOKUP(FT$1,generator!$B$2:$B$295,generator!$Q$2:$Q$295,"ARGH")</f>
        <v>9000</v>
      </c>
      <c r="FU8" s="3">
        <f>_xlfn.XLOOKUP(FU$1,generator!$B$2:$B$295,generator!$Q$2:$Q$295,"ARGH")</f>
        <v>9000</v>
      </c>
      <c r="FV8" s="3">
        <f>_xlfn.XLOOKUP(FV$1,generator!$B$2:$B$295,generator!$Q$2:$Q$295,"ARGH")</f>
        <v>9000</v>
      </c>
      <c r="FW8" s="3">
        <f>_xlfn.XLOOKUP(FW$1,generator!$B$2:$B$295,generator!$Q$2:$Q$295,"ARGH")</f>
        <v>9000</v>
      </c>
      <c r="FX8" s="3">
        <f>_xlfn.XLOOKUP(FX$1,generator!$B$2:$B$295,generator!$Q$2:$Q$295,"ARGH")</f>
        <v>9000</v>
      </c>
      <c r="FY8" s="3">
        <f>_xlfn.XLOOKUP(FY$1,generator!$B$2:$B$295,generator!$Q$2:$Q$295,"ARGH")</f>
        <v>9000</v>
      </c>
      <c r="FZ8" s="3">
        <f>_xlfn.XLOOKUP(FZ$1,generator!$B$2:$B$295,generator!$Q$2:$Q$295,"ARGH")</f>
        <v>9000</v>
      </c>
      <c r="GA8" s="3">
        <f>_xlfn.XLOOKUP(GA$1,generator!$B$2:$B$295,generator!$Q$2:$Q$295,"ARGH")</f>
        <v>9000</v>
      </c>
      <c r="GB8" s="3">
        <f>_xlfn.XLOOKUP(GB$1,generator!$B$2:$B$295,generator!$Q$2:$Q$295,"ARGH")</f>
        <v>9000</v>
      </c>
      <c r="GC8" s="3">
        <f>_xlfn.XLOOKUP(GC$1,generator!$B$2:$B$295,generator!$Q$2:$Q$295,"ARGH")</f>
        <v>9000</v>
      </c>
      <c r="GD8" s="3">
        <f>_xlfn.XLOOKUP(GD$1,generator!$B$2:$B$295,generator!$Q$2:$Q$295,"ARGH")</f>
        <v>9000</v>
      </c>
      <c r="GE8" s="3">
        <f>_xlfn.XLOOKUP(GE$1,generator!$B$2:$B$295,generator!$Q$2:$Q$295,"ARGH")</f>
        <v>9000</v>
      </c>
      <c r="GF8" s="3">
        <f>_xlfn.XLOOKUP(GF$1,generator!$B$2:$B$295,generator!$Q$2:$Q$295,"ARGH")</f>
        <v>9000</v>
      </c>
      <c r="GG8" s="3">
        <f>_xlfn.XLOOKUP(GG$1,generator!$B$2:$B$295,generator!$Q$2:$Q$295,"ARGH")</f>
        <v>9000</v>
      </c>
      <c r="GH8" s="3">
        <f>_xlfn.XLOOKUP(GH$1,generator!$B$2:$B$295,generator!$Q$2:$Q$295,"ARGH")</f>
        <v>9000</v>
      </c>
      <c r="GI8" s="3">
        <f>_xlfn.XLOOKUP(GI$1,generator!$B$2:$B$295,generator!$Q$2:$Q$295,"ARGH")</f>
        <v>9000</v>
      </c>
      <c r="GJ8" s="3">
        <f>_xlfn.XLOOKUP(GJ$1,generator!$B$2:$B$295,generator!$Q$2:$Q$295,"ARGH")</f>
        <v>9000</v>
      </c>
      <c r="GK8" s="3">
        <f>_xlfn.XLOOKUP(GK$1,generator!$B$2:$B$295,generator!$Q$2:$Q$295,"ARGH")</f>
        <v>9000</v>
      </c>
      <c r="GL8" s="3">
        <f>_xlfn.XLOOKUP(GL$1,generator!$B$2:$B$295,generator!$Q$2:$Q$295,"ARGH")</f>
        <v>9000</v>
      </c>
      <c r="GM8" s="3">
        <f>_xlfn.XLOOKUP(GM$1,generator!$B$2:$B$295,generator!$Q$2:$Q$295,"ARGH")</f>
        <v>9000</v>
      </c>
      <c r="GN8" s="3">
        <f>_xlfn.XLOOKUP(GN$1,generator!$B$2:$B$295,generator!$Q$2:$Q$295,"ARGH")</f>
        <v>9000</v>
      </c>
      <c r="GO8" s="3">
        <f>_xlfn.XLOOKUP(GO$1,generator!$B$2:$B$295,generator!$Q$2:$Q$295,"ARGH")</f>
        <v>9000</v>
      </c>
      <c r="GP8" s="3">
        <f>_xlfn.XLOOKUP(GP$1,generator!$B$2:$B$295,generator!$Q$2:$Q$295,"ARGH")</f>
        <v>9000</v>
      </c>
      <c r="GQ8" s="3">
        <f>_xlfn.XLOOKUP(GQ$1,generator!$B$2:$B$295,generator!$Q$2:$Q$295,"ARGH")</f>
        <v>9000</v>
      </c>
      <c r="GR8" s="3">
        <f>_xlfn.XLOOKUP(GR$1,generator!$B$2:$B$295,generator!$Q$2:$Q$295,"ARGH")</f>
        <v>9000</v>
      </c>
      <c r="GS8" s="3">
        <f>_xlfn.XLOOKUP(GS$1,generator!$B$2:$B$295,generator!$Q$2:$Q$295,"ARGH")</f>
        <v>9000</v>
      </c>
      <c r="GT8" s="3">
        <f>_xlfn.XLOOKUP(GT$1,generator!$B$2:$B$295,generator!$Q$2:$Q$295,"ARGH")</f>
        <v>9000</v>
      </c>
      <c r="GU8" s="3">
        <f>_xlfn.XLOOKUP(GU$1,generator!$B$2:$B$295,generator!$Q$2:$Q$295,"ARGH")</f>
        <v>9000</v>
      </c>
      <c r="GV8" s="3">
        <f>_xlfn.XLOOKUP(GV$1,generator!$B$2:$B$295,generator!$Q$2:$Q$295,"ARGH")</f>
        <v>9000</v>
      </c>
      <c r="GW8" s="3">
        <f>_xlfn.XLOOKUP(GW$1,generator!$B$2:$B$295,generator!$Q$2:$Q$295,"ARGH")</f>
        <v>9000</v>
      </c>
      <c r="GX8" s="3">
        <f>_xlfn.XLOOKUP(GX$1,generator!$B$2:$B$295,generator!$Q$2:$Q$295,"ARGH")</f>
        <v>9000</v>
      </c>
      <c r="GY8" s="3">
        <f>_xlfn.XLOOKUP(GY$1,generator!$B$2:$B$295,generator!$Q$2:$Q$295,"ARGH")</f>
        <v>9000</v>
      </c>
      <c r="GZ8" s="3">
        <f>_xlfn.XLOOKUP(GZ$1,generator!$B$2:$B$295,generator!$Q$2:$Q$295,"ARGH")</f>
        <v>9000</v>
      </c>
      <c r="HA8" s="3">
        <f>_xlfn.XLOOKUP(HA$1,generator!$B$2:$B$295,generator!$Q$2:$Q$295,"ARGH")</f>
        <v>9000</v>
      </c>
      <c r="HB8" s="3">
        <f>_xlfn.XLOOKUP(HB$1,generator!$B$2:$B$295,generator!$Q$2:$Q$295,"ARGH")</f>
        <v>9000</v>
      </c>
      <c r="HC8" s="3">
        <f>_xlfn.XLOOKUP(HC$1,generator!$B$2:$B$295,generator!$Q$2:$Q$295,"ARGH")</f>
        <v>9000</v>
      </c>
      <c r="HD8" s="3">
        <f>_xlfn.XLOOKUP(HD$1,generator!$B$2:$B$295,generator!$Q$2:$Q$295,"ARGH")</f>
        <v>9000</v>
      </c>
      <c r="HE8" s="3">
        <f>_xlfn.XLOOKUP(HE$1,generator!$B$2:$B$295,generator!$Q$2:$Q$295,"ARGH")</f>
        <v>8000</v>
      </c>
      <c r="HF8" s="3" t="str">
        <f>_xlfn.XLOOKUP(HF$1,generator!$B$2:$B$295,generator!$Q$2:$Q$295,"ARGH")</f>
        <v>143</v>
      </c>
      <c r="HG8" s="3" t="str">
        <f>_xlfn.XLOOKUP(HG$1,generator!$B$2:$B$295,generator!$Q$2:$Q$295,"ARGH")</f>
        <v>143</v>
      </c>
      <c r="HH8" s="3" t="str">
        <f>_xlfn.XLOOKUP(HH$1,generator!$B$2:$B$295,generator!$Q$2:$Q$295,"ARGH")</f>
        <v>143</v>
      </c>
      <c r="HI8" s="3" t="str">
        <f>_xlfn.XLOOKUP(HI$1,generator!$B$2:$B$295,generator!$Q$2:$Q$295,"ARGH")</f>
        <v>246.74</v>
      </c>
      <c r="HJ8" s="3" t="str">
        <f>_xlfn.XLOOKUP(HJ$1,generator!$B$2:$B$295,generator!$Q$2:$Q$295,"ARGH")</f>
        <v>246.74</v>
      </c>
      <c r="HK8" s="3" t="str">
        <f>_xlfn.XLOOKUP(HK$1,generator!$B$2:$B$295,generator!$Q$2:$Q$295,"ARGH")</f>
        <v>206.04</v>
      </c>
      <c r="HL8" s="3" t="str">
        <f>_xlfn.XLOOKUP(HL$1,generator!$B$2:$B$295,generator!$Q$2:$Q$295,"ARGH")</f>
        <v>506.96</v>
      </c>
      <c r="HM8" s="3" t="str">
        <f>_xlfn.XLOOKUP(HM$1,generator!$B$2:$B$295,generator!$Q$2:$Q$295,"ARGH")</f>
        <v>506.95</v>
      </c>
      <c r="HN8" s="3" t="str">
        <f>_xlfn.XLOOKUP(HN$1,generator!$B$2:$B$295,generator!$Q$2:$Q$295,"ARGH")</f>
        <v>190.97</v>
      </c>
      <c r="HO8" s="3" t="str">
        <f>_xlfn.XLOOKUP(HO$1,generator!$B$2:$B$295,generator!$Q$2:$Q$295,"ARGH")</f>
        <v>190.97</v>
      </c>
      <c r="HP8" s="3" t="str">
        <f>_xlfn.XLOOKUP(HP$1,generator!$B$2:$B$295,generator!$Q$2:$Q$295,"ARGH")</f>
        <v>424.84</v>
      </c>
      <c r="HQ8" s="3" t="str">
        <f>_xlfn.XLOOKUP(HQ$1,generator!$B$2:$B$295,generator!$Q$2:$Q$295,"ARGH")</f>
        <v>425.9</v>
      </c>
      <c r="HR8" s="3" t="str">
        <f>_xlfn.XLOOKUP(HR$1,generator!$B$2:$B$295,generator!$Q$2:$Q$295,"ARGH")</f>
        <v>425.9</v>
      </c>
      <c r="HS8" s="3" t="str">
        <f>_xlfn.XLOOKUP(HS$1,generator!$B$2:$B$295,generator!$Q$2:$Q$295,"ARGH")</f>
        <v>196.54</v>
      </c>
      <c r="HT8" s="3" t="str">
        <f>_xlfn.XLOOKUP(HT$1,generator!$B$2:$B$295,generator!$Q$2:$Q$295,"ARGH")</f>
        <v>196.54</v>
      </c>
      <c r="HU8" s="3" t="str">
        <f>_xlfn.XLOOKUP(HU$1,generator!$B$2:$B$295,generator!$Q$2:$Q$295,"ARGH")</f>
        <v>145.57</v>
      </c>
      <c r="HV8" s="3" t="str">
        <f>_xlfn.XLOOKUP(HV$1,generator!$B$2:$B$295,generator!$Q$2:$Q$295,"ARGH")</f>
        <v>132.62</v>
      </c>
      <c r="HW8" s="3" t="str">
        <f>_xlfn.XLOOKUP(HW$1,generator!$B$2:$B$295,generator!$Q$2:$Q$295,"ARGH")</f>
        <v>193.76</v>
      </c>
      <c r="HX8" s="3" t="str">
        <f>_xlfn.XLOOKUP(HX$1,generator!$B$2:$B$295,generator!$Q$2:$Q$295,"ARGH")</f>
        <v>193.76</v>
      </c>
      <c r="HY8" s="3" t="str">
        <f>_xlfn.XLOOKUP(HY$1,generator!$B$2:$B$295,generator!$Q$2:$Q$295,"ARGH")</f>
        <v>79.19</v>
      </c>
      <c r="HZ8" s="3" t="str">
        <f>_xlfn.XLOOKUP(HZ$1,generator!$B$2:$B$295,generator!$Q$2:$Q$295,"ARGH")</f>
        <v>125.79</v>
      </c>
      <c r="IA8" s="3" t="str">
        <f>_xlfn.XLOOKUP(IA$1,generator!$B$2:$B$295,generator!$Q$2:$Q$295,"ARGH")</f>
        <v>54.19</v>
      </c>
      <c r="IB8" s="3" t="str">
        <f>_xlfn.XLOOKUP(IB$1,generator!$B$2:$B$295,generator!$Q$2:$Q$295,"ARGH")</f>
        <v>59.7</v>
      </c>
      <c r="IC8" s="3">
        <f>_xlfn.XLOOKUP(IC$1,generator!$B$2:$B$295,generator!$Q$2:$Q$295,"ARGH")</f>
        <v>0</v>
      </c>
      <c r="ID8" s="3" t="str">
        <f>_xlfn.XLOOKUP(ID$1,generator!$B$2:$B$295,generator!$Q$2:$Q$295,"ARGH")</f>
        <v>121.14</v>
      </c>
      <c r="IE8" s="3" t="str">
        <f>_xlfn.XLOOKUP(IE$1,generator!$B$2:$B$295,generator!$Q$2:$Q$295,"ARGH")</f>
        <v>26.6</v>
      </c>
      <c r="IF8" s="3">
        <f>_xlfn.XLOOKUP(IF$1,generator!$B$2:$B$295,generator!$Q$2:$Q$295,"ARGH")</f>
        <v>8000</v>
      </c>
      <c r="IG8" s="3">
        <f>_xlfn.XLOOKUP(IG$1,generator!$B$2:$B$295,generator!$Q$2:$Q$295,"ARGH")</f>
        <v>8000</v>
      </c>
      <c r="IH8" s="3">
        <f>_xlfn.XLOOKUP(IH$1,generator!$B$2:$B$295,generator!$Q$2:$Q$295,"ARGH")</f>
        <v>8000</v>
      </c>
      <c r="II8" s="3">
        <f>_xlfn.XLOOKUP(II$1,generator!$B$2:$B$295,generator!$Q$2:$Q$295,"ARGH")</f>
        <v>8000</v>
      </c>
      <c r="IJ8" s="3">
        <f>_xlfn.XLOOKUP(IJ$1,generator!$B$2:$B$295,generator!$Q$2:$Q$295,"ARGH")</f>
        <v>8000</v>
      </c>
      <c r="IK8" s="3">
        <f>_xlfn.XLOOKUP(IK$1,generator!$B$2:$B$295,generator!$Q$2:$Q$295,"ARGH")</f>
        <v>8000</v>
      </c>
      <c r="IL8" s="3">
        <f>_xlfn.XLOOKUP(IL$1,generator!$B$2:$B$295,generator!$Q$2:$Q$295,"ARGH")</f>
        <v>8000</v>
      </c>
      <c r="IM8" s="3">
        <f>_xlfn.XLOOKUP(IM$1,generator!$B$2:$B$295,generator!$Q$2:$Q$295,"ARGH")</f>
        <v>8000</v>
      </c>
      <c r="IN8" s="3">
        <f>_xlfn.XLOOKUP(IN$1,generator!$B$2:$B$295,generator!$Q$2:$Q$295,"ARGH")</f>
        <v>8000</v>
      </c>
      <c r="IO8" s="3">
        <f>_xlfn.XLOOKUP(IO$1,generator!$B$2:$B$295,generator!$Q$2:$Q$295,"ARGH")</f>
        <v>8000</v>
      </c>
      <c r="IP8" s="3">
        <f>_xlfn.XLOOKUP(IP$1,generator!$B$2:$B$295,generator!$Q$2:$Q$295,"ARGH")</f>
        <v>8000</v>
      </c>
      <c r="IQ8" s="3">
        <f>_xlfn.XLOOKUP(IQ$1,generator!$B$2:$B$295,generator!$Q$2:$Q$295,"ARGH")</f>
        <v>8000</v>
      </c>
      <c r="IR8" s="3">
        <f>_xlfn.XLOOKUP(IR$1,generator!$B$2:$B$295,generator!$Q$2:$Q$295,"ARGH")</f>
        <v>8000</v>
      </c>
      <c r="IS8" s="3">
        <f>_xlfn.XLOOKUP(IS$1,generator!$B$2:$B$295,generator!$Q$2:$Q$295,"ARGH")</f>
        <v>8000</v>
      </c>
      <c r="IT8" s="3">
        <f>_xlfn.XLOOKUP(IT$1,generator!$B$2:$B$295,generator!$Q$2:$Q$295,"ARGH")</f>
        <v>8000</v>
      </c>
      <c r="IU8" s="3">
        <f>_xlfn.XLOOKUP(IU$1,generator!$B$2:$B$295,generator!$Q$2:$Q$295,"ARGH")</f>
        <v>8000</v>
      </c>
      <c r="IV8" s="3">
        <f>_xlfn.XLOOKUP(IV$1,generator!$B$2:$B$295,generator!$Q$2:$Q$295,"ARGH")</f>
        <v>8000</v>
      </c>
      <c r="IW8" s="3" t="str">
        <f>_xlfn.XLOOKUP(IW$1,generator!$B$2:$B$295,generator!$Q$2:$Q$295,"ARGH")</f>
        <v>108.19</v>
      </c>
      <c r="IX8" s="3" t="str">
        <f>_xlfn.XLOOKUP(IX$1,generator!$B$2:$B$295,generator!$Q$2:$Q$295,"ARGH")</f>
        <v>108.18</v>
      </c>
      <c r="IY8" s="3" t="str">
        <f>_xlfn.XLOOKUP(IY$1,generator!$B$2:$B$295,generator!$Q$2:$Q$295,"ARGH")</f>
        <v>108.17</v>
      </c>
      <c r="IZ8" s="3" t="str">
        <f>_xlfn.XLOOKUP(IZ$1,generator!$B$2:$B$295,generator!$Q$2:$Q$295,"ARGH")</f>
        <v>40.96</v>
      </c>
      <c r="JA8" s="3">
        <f>_xlfn.XLOOKUP(JA$1,generator!$B$2:$B$295,generator!$Q$2:$Q$295,"ARGH")</f>
        <v>0</v>
      </c>
      <c r="JB8" s="3">
        <f>_xlfn.XLOOKUP(JB$1,generator!$B$2:$B$295,generator!$Q$2:$Q$295,"ARGH")</f>
        <v>0</v>
      </c>
      <c r="JC8" s="3" t="str">
        <f>_xlfn.XLOOKUP(JC$1,generator!$B$2:$B$295,generator!$Q$2:$Q$295,"ARGH")</f>
        <v>75.91</v>
      </c>
      <c r="JD8" s="3" t="str">
        <f>_xlfn.XLOOKUP(JD$1,generator!$B$2:$B$295,generator!$Q$2:$Q$295,"ARGH")</f>
        <v>75.91</v>
      </c>
      <c r="JE8" s="3" t="str">
        <f>_xlfn.XLOOKUP(JE$1,generator!$B$2:$B$295,generator!$Q$2:$Q$295,"ARGH")</f>
        <v>51.59</v>
      </c>
      <c r="JF8" s="3" t="str">
        <f>_xlfn.XLOOKUP(JF$1,generator!$B$2:$B$295,generator!$Q$2:$Q$295,"ARGH")</f>
        <v>111.57</v>
      </c>
      <c r="JG8" s="3">
        <f>_xlfn.XLOOKUP(JG$1,generator!$B$2:$B$295,generator!$Q$2:$Q$295,"ARGH")</f>
        <v>0</v>
      </c>
      <c r="JH8" s="3" t="str">
        <f>_xlfn.XLOOKUP(JH$1,generator!$B$2:$B$295,generator!$Q$2:$Q$295,"ARGH")</f>
        <v>48.65</v>
      </c>
      <c r="JI8" s="3" t="str">
        <f>_xlfn.XLOOKUP(JI$1,generator!$B$2:$B$295,generator!$Q$2:$Q$295,"ARGH")</f>
        <v>71.88</v>
      </c>
      <c r="JJ8" s="3" t="str">
        <f>_xlfn.XLOOKUP(JJ$1,generator!$B$2:$B$295,generator!$Q$2:$Q$295,"ARGH")</f>
        <v>98.17</v>
      </c>
      <c r="JK8" s="3" t="str">
        <f>_xlfn.XLOOKUP(JK$1,generator!$B$2:$B$295,generator!$Q$2:$Q$295,"ARGH")</f>
        <v>98.17</v>
      </c>
      <c r="JL8" s="3" t="str">
        <f>_xlfn.XLOOKUP(JL$1,generator!$B$2:$B$295,generator!$Q$2:$Q$295,"ARGH")</f>
        <v>98.17</v>
      </c>
      <c r="JM8" s="3" t="str">
        <f>_xlfn.XLOOKUP(JM$1,generator!$B$2:$B$295,generator!$Q$2:$Q$295,"ARGH")</f>
        <v>98.17</v>
      </c>
      <c r="JN8" s="3" t="str">
        <f>_xlfn.XLOOKUP(JN$1,generator!$B$2:$B$295,generator!$Q$2:$Q$295,"ARGH")</f>
        <v>98.17</v>
      </c>
      <c r="JO8" s="3" t="str">
        <f>_xlfn.XLOOKUP(JO$1,generator!$B$2:$B$295,generator!$Q$2:$Q$295,"ARGH")</f>
        <v>98.17</v>
      </c>
      <c r="JP8" s="3" t="str">
        <f>_xlfn.XLOOKUP(JP$1,generator!$B$2:$B$295,generator!$Q$2:$Q$295,"ARGH")</f>
        <v>47.53</v>
      </c>
      <c r="JQ8" s="3" t="str">
        <f>_xlfn.XLOOKUP(JQ$1,generator!$B$2:$B$295,generator!$Q$2:$Q$295,"ARGH")</f>
        <v>108.86</v>
      </c>
      <c r="JR8" s="3" t="str">
        <f>_xlfn.XLOOKUP(JR$1,generator!$B$2:$B$295,generator!$Q$2:$Q$295,"ARGH")</f>
        <v>83.15</v>
      </c>
      <c r="JS8" s="3" t="str">
        <f>_xlfn.XLOOKUP(JS$1,generator!$B$2:$B$295,generator!$Q$2:$Q$295,"ARGH")</f>
        <v>83.15</v>
      </c>
      <c r="JT8" s="3" t="str">
        <f>_xlfn.XLOOKUP(JT$1,generator!$B$2:$B$295,generator!$Q$2:$Q$295,"ARGH")</f>
        <v>108.86</v>
      </c>
      <c r="JU8" s="3">
        <f>_xlfn.XLOOKUP(JU$1,generator!$B$2:$B$295,generator!$Q$2:$Q$295,"ARGH")</f>
        <v>0</v>
      </c>
      <c r="JV8" s="3" t="str">
        <f>_xlfn.XLOOKUP(JV$1,generator!$B$2:$B$295,generator!$Q$2:$Q$295,"ARGH")</f>
        <v>77.63</v>
      </c>
      <c r="JW8" s="3" t="str">
        <f>_xlfn.XLOOKUP(JW$1,generator!$B$2:$B$295,generator!$Q$2:$Q$295,"ARGH")</f>
        <v>77.64</v>
      </c>
      <c r="JX8" s="3" t="str">
        <f>_xlfn.XLOOKUP(JX$1,generator!$B$2:$B$295,generator!$Q$2:$Q$295,"ARGH")</f>
        <v>331.49</v>
      </c>
      <c r="JY8" s="3">
        <f>_xlfn.XLOOKUP(JY$1,generator!$B$2:$B$295,generator!$Q$2:$Q$295,"ARGH")</f>
        <v>7000</v>
      </c>
      <c r="JZ8" s="3">
        <f>_xlfn.XLOOKUP(JZ$1,generator!$B$2:$B$295,generator!$Q$2:$Q$295,"ARGH")</f>
        <v>0</v>
      </c>
      <c r="KA8" s="3">
        <f>_xlfn.XLOOKUP(KA$1,generator!$B$2:$B$295,generator!$Q$2:$Q$295,"ARGH")</f>
        <v>0</v>
      </c>
      <c r="KB8" s="3">
        <f>_xlfn.XLOOKUP(KB$1,generator!$B$2:$B$295,generator!$Q$2:$Q$295,"ARGH")</f>
        <v>0</v>
      </c>
      <c r="KC8" s="3">
        <f>_xlfn.XLOOKUP(KC$1,generator!$B$2:$B$295,generator!$Q$2:$Q$295,"ARGH")</f>
        <v>0</v>
      </c>
    </row>
    <row r="9" spans="1:289" x14ac:dyDescent="0.3">
      <c r="A9" s="4" t="s">
        <v>3004</v>
      </c>
      <c r="B9" s="3">
        <v>15000</v>
      </c>
      <c r="C9" s="3">
        <v>15000</v>
      </c>
      <c r="D9" s="3">
        <v>15000</v>
      </c>
      <c r="E9" s="3">
        <f>_xlfn.XLOOKUP(E$1,generator!$B$2:$B$295,generator!$Q$2:$Q$295,"ARGH")</f>
        <v>9000</v>
      </c>
      <c r="F9" s="3">
        <f>_xlfn.XLOOKUP(F$1,generator!$B$2:$B$295,generator!$Q$2:$Q$295,"ARGH")</f>
        <v>9000</v>
      </c>
      <c r="G9" s="3">
        <f>_xlfn.XLOOKUP(G$1,generator!$B$2:$B$295,generator!$Q$2:$Q$295,"ARGH")</f>
        <v>9000</v>
      </c>
      <c r="H9" s="3">
        <f>_xlfn.XLOOKUP(H$1,generator!$B$2:$B$295,generator!$Q$2:$Q$295,"ARGH")</f>
        <v>9000</v>
      </c>
      <c r="I9" s="3">
        <f>_xlfn.XLOOKUP(I$1,generator!$B$2:$B$295,generator!$Q$2:$Q$295,"ARGH")</f>
        <v>9000</v>
      </c>
      <c r="J9" s="3">
        <f>_xlfn.XLOOKUP(J$1,generator!$B$2:$B$295,generator!$Q$2:$Q$295,"ARGH")</f>
        <v>9000</v>
      </c>
      <c r="K9" s="3">
        <f>_xlfn.XLOOKUP(K$1,generator!$B$2:$B$295,generator!$Q$2:$Q$295,"ARGH")</f>
        <v>9000</v>
      </c>
      <c r="L9" s="3">
        <f>_xlfn.XLOOKUP(L$1,generator!$B$2:$B$295,generator!$Q$2:$Q$295,"ARGH")</f>
        <v>9000</v>
      </c>
      <c r="M9" s="3">
        <f>_xlfn.XLOOKUP(M$1,generator!$B$2:$B$295,generator!$Q$2:$Q$295,"ARGH")</f>
        <v>9000</v>
      </c>
      <c r="N9" s="3">
        <f>_xlfn.XLOOKUP(N$1,generator!$B$2:$B$295,generator!$Q$2:$Q$295,"ARGH")</f>
        <v>9000</v>
      </c>
      <c r="O9" s="3">
        <f>_xlfn.XLOOKUP(O$1,generator!$B$2:$B$295,generator!$Q$2:$Q$295,"ARGH")</f>
        <v>9000</v>
      </c>
      <c r="P9" s="3">
        <f>_xlfn.XLOOKUP(P$1,generator!$B$2:$B$295,generator!$Q$2:$Q$295,"ARGH")</f>
        <v>9000</v>
      </c>
      <c r="Q9" s="3">
        <f>_xlfn.XLOOKUP(Q$1,generator!$B$2:$B$295,generator!$Q$2:$Q$295,"ARGH")</f>
        <v>9000</v>
      </c>
      <c r="R9" s="3">
        <f>_xlfn.XLOOKUP(R$1,generator!$B$2:$B$295,generator!$Q$2:$Q$295,"ARGH")</f>
        <v>9000</v>
      </c>
      <c r="S9" s="3">
        <f>_xlfn.XLOOKUP(S$1,generator!$B$2:$B$295,generator!$Q$2:$Q$295,"ARGH")</f>
        <v>9000</v>
      </c>
      <c r="T9" s="3">
        <f>_xlfn.XLOOKUP(T$1,generator!$B$2:$B$295,generator!$Q$2:$Q$295,"ARGH")</f>
        <v>9000</v>
      </c>
      <c r="U9" s="3">
        <f>_xlfn.XLOOKUP(U$1,generator!$B$2:$B$295,generator!$Q$2:$Q$295,"ARGH")</f>
        <v>9000</v>
      </c>
      <c r="V9" s="3">
        <f>_xlfn.XLOOKUP(V$1,generator!$B$2:$B$295,generator!$Q$2:$Q$295,"ARGH")</f>
        <v>9000</v>
      </c>
      <c r="W9" s="3">
        <f>_xlfn.XLOOKUP(W$1,generator!$B$2:$B$295,generator!$Q$2:$Q$295,"ARGH")</f>
        <v>9000</v>
      </c>
      <c r="X9" s="3">
        <f>_xlfn.XLOOKUP(X$1,generator!$B$2:$B$295,generator!$Q$2:$Q$295,"ARGH")</f>
        <v>9000</v>
      </c>
      <c r="Y9" s="3">
        <f>_xlfn.XLOOKUP(Y$1,generator!$B$2:$B$295,generator!$Q$2:$Q$295,"ARGH")</f>
        <v>9000</v>
      </c>
      <c r="Z9" s="3">
        <f>_xlfn.XLOOKUP(Z$1,generator!$B$2:$B$295,generator!$Q$2:$Q$295,"ARGH")</f>
        <v>9000</v>
      </c>
      <c r="AA9" s="3">
        <f>_xlfn.XLOOKUP(AA$1,generator!$B$2:$B$295,generator!$Q$2:$Q$295,"ARGH")</f>
        <v>9000</v>
      </c>
      <c r="AB9" s="3">
        <f>_xlfn.XLOOKUP(AB$1,generator!$B$2:$B$295,generator!$Q$2:$Q$295,"ARGH")</f>
        <v>9000</v>
      </c>
      <c r="AC9" s="3">
        <f>_xlfn.XLOOKUP(AC$1,generator!$B$2:$B$295,generator!$Q$2:$Q$295,"ARGH")</f>
        <v>9000</v>
      </c>
      <c r="AD9" s="3">
        <f>_xlfn.XLOOKUP(AD$1,generator!$B$2:$B$295,generator!$Q$2:$Q$295,"ARGH")</f>
        <v>9000</v>
      </c>
      <c r="AE9" s="3">
        <f>_xlfn.XLOOKUP(AE$1,generator!$B$2:$B$295,generator!$Q$2:$Q$295,"ARGH")</f>
        <v>9000</v>
      </c>
      <c r="AF9" s="3">
        <f>_xlfn.XLOOKUP(AF$1,generator!$B$2:$B$295,generator!$Q$2:$Q$295,"ARGH")</f>
        <v>9000</v>
      </c>
      <c r="AG9" s="3">
        <f>_xlfn.XLOOKUP(AG$1,generator!$B$2:$B$295,generator!$Q$2:$Q$295,"ARGH")</f>
        <v>9000</v>
      </c>
      <c r="AH9" s="3">
        <f>_xlfn.XLOOKUP(AH$1,generator!$B$2:$B$295,generator!$Q$2:$Q$295,"ARGH")</f>
        <v>9000</v>
      </c>
      <c r="AI9" s="3">
        <f>_xlfn.XLOOKUP(AI$1,generator!$B$2:$B$295,generator!$Q$2:$Q$295,"ARGH")</f>
        <v>9000</v>
      </c>
      <c r="AJ9" s="3">
        <f>_xlfn.XLOOKUP(AJ$1,generator!$B$2:$B$295,generator!$Q$2:$Q$295,"ARGH")</f>
        <v>9000</v>
      </c>
      <c r="AK9" s="3">
        <f>_xlfn.XLOOKUP(AK$1,generator!$B$2:$B$295,generator!$Q$2:$Q$295,"ARGH")</f>
        <v>9000</v>
      </c>
      <c r="AL9" s="3">
        <f>_xlfn.XLOOKUP(AL$1,generator!$B$2:$B$295,generator!$Q$2:$Q$295,"ARGH")</f>
        <v>9000</v>
      </c>
      <c r="AM9" s="3">
        <f>_xlfn.XLOOKUP(AM$1,generator!$B$2:$B$295,generator!$Q$2:$Q$295,"ARGH")</f>
        <v>9000</v>
      </c>
      <c r="AN9" s="3">
        <f>_xlfn.XLOOKUP(AN$1,generator!$B$2:$B$295,generator!$Q$2:$Q$295,"ARGH")</f>
        <v>9000</v>
      </c>
      <c r="AO9" s="3">
        <f>_xlfn.XLOOKUP(AO$1,generator!$B$2:$B$295,generator!$Q$2:$Q$295,"ARGH")</f>
        <v>9000</v>
      </c>
      <c r="AP9" s="3">
        <f>_xlfn.XLOOKUP(AP$1,generator!$B$2:$B$295,generator!$Q$2:$Q$295,"ARGH")</f>
        <v>9000</v>
      </c>
      <c r="AQ9" s="3">
        <f>_xlfn.XLOOKUP(AQ$1,generator!$B$2:$B$295,generator!$Q$2:$Q$295,"ARGH")</f>
        <v>9000</v>
      </c>
      <c r="AR9" s="3">
        <f>_xlfn.XLOOKUP(AR$1,generator!$B$2:$B$295,generator!$Q$2:$Q$295,"ARGH")</f>
        <v>9000</v>
      </c>
      <c r="AS9" s="3">
        <f>_xlfn.XLOOKUP(AS$1,generator!$B$2:$B$295,generator!$Q$2:$Q$295,"ARGH")</f>
        <v>9000</v>
      </c>
      <c r="AT9" s="3">
        <f>_xlfn.XLOOKUP(AT$1,generator!$B$2:$B$295,generator!$Q$2:$Q$295,"ARGH")</f>
        <v>9000</v>
      </c>
      <c r="AU9" s="3">
        <f>_xlfn.XLOOKUP(AU$1,generator!$B$2:$B$295,generator!$Q$2:$Q$295,"ARGH")</f>
        <v>9000</v>
      </c>
      <c r="AV9" s="3">
        <f>_xlfn.XLOOKUP(AV$1,generator!$B$2:$B$295,generator!$Q$2:$Q$295,"ARGH")</f>
        <v>9000</v>
      </c>
      <c r="AW9" s="3">
        <f>_xlfn.XLOOKUP(AW$1,generator!$B$2:$B$295,generator!$Q$2:$Q$295,"ARGH")</f>
        <v>9000</v>
      </c>
      <c r="AX9" s="3">
        <f>_xlfn.XLOOKUP(AX$1,generator!$B$2:$B$295,generator!$Q$2:$Q$295,"ARGH")</f>
        <v>9000</v>
      </c>
      <c r="AY9" s="3">
        <f>_xlfn.XLOOKUP(AY$1,generator!$B$2:$B$295,generator!$Q$2:$Q$295,"ARGH")</f>
        <v>9000</v>
      </c>
      <c r="AZ9" s="3">
        <f>_xlfn.XLOOKUP(AZ$1,generator!$B$2:$B$295,generator!$Q$2:$Q$295,"ARGH")</f>
        <v>9000</v>
      </c>
      <c r="BA9" s="3">
        <f>_xlfn.XLOOKUP(BA$1,generator!$B$2:$B$295,generator!$Q$2:$Q$295,"ARGH")</f>
        <v>9000</v>
      </c>
      <c r="BB9" s="3">
        <f>_xlfn.XLOOKUP(BB$1,generator!$B$2:$B$295,generator!$Q$2:$Q$295,"ARGH")</f>
        <v>9000</v>
      </c>
      <c r="BC9" s="3">
        <f>_xlfn.XLOOKUP(BC$1,generator!$B$2:$B$295,generator!$Q$2:$Q$295,"ARGH")</f>
        <v>9000</v>
      </c>
      <c r="BD9" s="3">
        <f>_xlfn.XLOOKUP(BD$1,generator!$B$2:$B$295,generator!$Q$2:$Q$295,"ARGH")</f>
        <v>9000</v>
      </c>
      <c r="BE9" s="3">
        <f>_xlfn.XLOOKUP(BE$1,generator!$B$2:$B$295,generator!$Q$2:$Q$295,"ARGH")</f>
        <v>9000</v>
      </c>
      <c r="BF9" s="3">
        <f>_xlfn.XLOOKUP(BF$1,generator!$B$2:$B$295,generator!$Q$2:$Q$295,"ARGH")</f>
        <v>9000</v>
      </c>
      <c r="BG9" s="3">
        <f>_xlfn.XLOOKUP(BG$1,generator!$B$2:$B$295,generator!$Q$2:$Q$295,"ARGH")</f>
        <v>9000</v>
      </c>
      <c r="BH9" s="3">
        <f>_xlfn.XLOOKUP(BH$1,generator!$B$2:$B$295,generator!$Q$2:$Q$295,"ARGH")</f>
        <v>9000</v>
      </c>
      <c r="BI9" s="3">
        <f>_xlfn.XLOOKUP(BI$1,generator!$B$2:$B$295,generator!$Q$2:$Q$295,"ARGH")</f>
        <v>9000</v>
      </c>
      <c r="BJ9" s="3">
        <f>_xlfn.XLOOKUP(BJ$1,generator!$B$2:$B$295,generator!$Q$2:$Q$295,"ARGH")</f>
        <v>9000</v>
      </c>
      <c r="BK9" s="3">
        <f>_xlfn.XLOOKUP(BK$1,generator!$B$2:$B$295,generator!$Q$2:$Q$295,"ARGH")</f>
        <v>9000</v>
      </c>
      <c r="BL9" s="3">
        <f>_xlfn.XLOOKUP(BL$1,generator!$B$2:$B$295,generator!$Q$2:$Q$295,"ARGH")</f>
        <v>9000</v>
      </c>
      <c r="BM9" s="3">
        <f>_xlfn.XLOOKUP(BM$1,generator!$B$2:$B$295,generator!$Q$2:$Q$295,"ARGH")</f>
        <v>9000</v>
      </c>
      <c r="BN9" s="3">
        <f>_xlfn.XLOOKUP(BN$1,generator!$B$2:$B$295,generator!$Q$2:$Q$295,"ARGH")</f>
        <v>9000</v>
      </c>
      <c r="BO9" s="3">
        <f>_xlfn.XLOOKUP(BO$1,generator!$B$2:$B$295,generator!$Q$2:$Q$295,"ARGH")</f>
        <v>9000</v>
      </c>
      <c r="BP9" s="3">
        <f>_xlfn.XLOOKUP(BP$1,generator!$B$2:$B$295,generator!$Q$2:$Q$295,"ARGH")</f>
        <v>9000</v>
      </c>
      <c r="BQ9" s="3">
        <f>_xlfn.XLOOKUP(BQ$1,generator!$B$2:$B$295,generator!$Q$2:$Q$295,"ARGH")</f>
        <v>9000</v>
      </c>
      <c r="BR9" s="3">
        <f>_xlfn.XLOOKUP(BR$1,generator!$B$2:$B$295,generator!$Q$2:$Q$295,"ARGH")</f>
        <v>9000</v>
      </c>
      <c r="BS9" s="3">
        <f>_xlfn.XLOOKUP(BS$1,generator!$B$2:$B$295,generator!$Q$2:$Q$295,"ARGH")</f>
        <v>9000</v>
      </c>
      <c r="BT9" s="3">
        <f>_xlfn.XLOOKUP(BT$1,generator!$B$2:$B$295,generator!$Q$2:$Q$295,"ARGH")</f>
        <v>9000</v>
      </c>
      <c r="BU9" s="3">
        <f>_xlfn.XLOOKUP(BU$1,generator!$B$2:$B$295,generator!$Q$2:$Q$295,"ARGH")</f>
        <v>9000</v>
      </c>
      <c r="BV9" s="3">
        <f>_xlfn.XLOOKUP(BV$1,generator!$B$2:$B$295,generator!$Q$2:$Q$295,"ARGH")</f>
        <v>9000</v>
      </c>
      <c r="BW9" s="3">
        <f>_xlfn.XLOOKUP(BW$1,generator!$B$2:$B$295,generator!$Q$2:$Q$295,"ARGH")</f>
        <v>9000</v>
      </c>
      <c r="BX9" s="3">
        <f>_xlfn.XLOOKUP(BX$1,generator!$B$2:$B$295,generator!$Q$2:$Q$295,"ARGH")</f>
        <v>9000</v>
      </c>
      <c r="BY9" s="3">
        <f>_xlfn.XLOOKUP(BY$1,generator!$B$2:$B$295,generator!$Q$2:$Q$295,"ARGH")</f>
        <v>9000</v>
      </c>
      <c r="BZ9" s="3">
        <f>_xlfn.XLOOKUP(BZ$1,generator!$B$2:$B$295,generator!$Q$2:$Q$295,"ARGH")</f>
        <v>9000</v>
      </c>
      <c r="CA9" s="3">
        <f>_xlfn.XLOOKUP(CA$1,generator!$B$2:$B$295,generator!$Q$2:$Q$295,"ARGH")</f>
        <v>9000</v>
      </c>
      <c r="CB9" s="3">
        <f>_xlfn.XLOOKUP(CB$1,generator!$B$2:$B$295,generator!$Q$2:$Q$295,"ARGH")</f>
        <v>9000</v>
      </c>
      <c r="CC9" s="3">
        <f>_xlfn.XLOOKUP(CC$1,generator!$B$2:$B$295,generator!$Q$2:$Q$295,"ARGH")</f>
        <v>9000</v>
      </c>
      <c r="CD9" s="3">
        <f>_xlfn.XLOOKUP(CD$1,generator!$B$2:$B$295,generator!$Q$2:$Q$295,"ARGH")</f>
        <v>9000</v>
      </c>
      <c r="CE9" s="3">
        <f>_xlfn.XLOOKUP(CE$1,generator!$B$2:$B$295,generator!$Q$2:$Q$295,"ARGH")</f>
        <v>9000</v>
      </c>
      <c r="CF9" s="3">
        <f>_xlfn.XLOOKUP(CF$1,generator!$B$2:$B$295,generator!$Q$2:$Q$295,"ARGH")</f>
        <v>9000</v>
      </c>
      <c r="CG9" s="3">
        <f>_xlfn.XLOOKUP(CG$1,generator!$B$2:$B$295,generator!$Q$2:$Q$295,"ARGH")</f>
        <v>9000</v>
      </c>
      <c r="CH9" s="3">
        <f>_xlfn.XLOOKUP(CH$1,generator!$B$2:$B$295,generator!$Q$2:$Q$295,"ARGH")</f>
        <v>9000</v>
      </c>
      <c r="CI9" s="3">
        <f>_xlfn.XLOOKUP(CI$1,generator!$B$2:$B$295,generator!$Q$2:$Q$295,"ARGH")</f>
        <v>9000</v>
      </c>
      <c r="CJ9" s="3">
        <f>_xlfn.XLOOKUP(CJ$1,generator!$B$2:$B$295,generator!$Q$2:$Q$295,"ARGH")</f>
        <v>9000</v>
      </c>
      <c r="CK9" s="3">
        <f>_xlfn.XLOOKUP(CK$1,generator!$B$2:$B$295,generator!$Q$2:$Q$295,"ARGH")</f>
        <v>9000</v>
      </c>
      <c r="CL9" s="3">
        <f>_xlfn.XLOOKUP(CL$1,generator!$B$2:$B$295,generator!$Q$2:$Q$295,"ARGH")</f>
        <v>9000</v>
      </c>
      <c r="CM9" s="3">
        <f>_xlfn.XLOOKUP(CM$1,generator!$B$2:$B$295,generator!$Q$2:$Q$295,"ARGH")</f>
        <v>9000</v>
      </c>
      <c r="CN9" s="3">
        <f>_xlfn.XLOOKUP(CN$1,generator!$B$2:$B$295,generator!$Q$2:$Q$295,"ARGH")</f>
        <v>9000</v>
      </c>
      <c r="CO9" s="3">
        <f>_xlfn.XLOOKUP(CO$1,generator!$B$2:$B$295,generator!$Q$2:$Q$295,"ARGH")</f>
        <v>9000</v>
      </c>
      <c r="CP9" s="3">
        <f>_xlfn.XLOOKUP(CP$1,generator!$B$2:$B$295,generator!$Q$2:$Q$295,"ARGH")</f>
        <v>9000</v>
      </c>
      <c r="CQ9" s="3">
        <f>_xlfn.XLOOKUP(CQ$1,generator!$B$2:$B$295,generator!$Q$2:$Q$295,"ARGH")</f>
        <v>9000</v>
      </c>
      <c r="CR9" s="3">
        <f>_xlfn.XLOOKUP(CR$1,generator!$B$2:$B$295,generator!$Q$2:$Q$295,"ARGH")</f>
        <v>9000</v>
      </c>
      <c r="CS9" s="3">
        <f>_xlfn.XLOOKUP(CS$1,generator!$B$2:$B$295,generator!$Q$2:$Q$295,"ARGH")</f>
        <v>9000</v>
      </c>
      <c r="CT9" s="3">
        <f>_xlfn.XLOOKUP(CT$1,generator!$B$2:$B$295,generator!$Q$2:$Q$295,"ARGH")</f>
        <v>9000</v>
      </c>
      <c r="CU9" s="3">
        <f>_xlfn.XLOOKUP(CU$1,generator!$B$2:$B$295,generator!$Q$2:$Q$295,"ARGH")</f>
        <v>9000</v>
      </c>
      <c r="CV9" s="3">
        <f>_xlfn.XLOOKUP(CV$1,generator!$B$2:$B$295,generator!$Q$2:$Q$295,"ARGH")</f>
        <v>9000</v>
      </c>
      <c r="CW9" s="3">
        <f>_xlfn.XLOOKUP(CW$1,generator!$B$2:$B$295,generator!$Q$2:$Q$295,"ARGH")</f>
        <v>9000</v>
      </c>
      <c r="CX9" s="3">
        <f>_xlfn.XLOOKUP(CX$1,generator!$B$2:$B$295,generator!$Q$2:$Q$295,"ARGH")</f>
        <v>9000</v>
      </c>
      <c r="CY9" s="3">
        <f>_xlfn.XLOOKUP(CY$1,generator!$B$2:$B$295,generator!$Q$2:$Q$295,"ARGH")</f>
        <v>9000</v>
      </c>
      <c r="CZ9" s="3">
        <f>_xlfn.XLOOKUP(CZ$1,generator!$B$2:$B$295,generator!$Q$2:$Q$295,"ARGH")</f>
        <v>9000</v>
      </c>
      <c r="DA9" s="3">
        <f>_xlfn.XLOOKUP(DA$1,generator!$B$2:$B$295,generator!$Q$2:$Q$295,"ARGH")</f>
        <v>9000</v>
      </c>
      <c r="DB9" s="3">
        <f>_xlfn.XLOOKUP(DB$1,generator!$B$2:$B$295,generator!$Q$2:$Q$295,"ARGH")</f>
        <v>9000</v>
      </c>
      <c r="DC9" s="3">
        <f>_xlfn.XLOOKUP(DC$1,generator!$B$2:$B$295,generator!$Q$2:$Q$295,"ARGH")</f>
        <v>9000</v>
      </c>
      <c r="DD9" s="3">
        <f>_xlfn.XLOOKUP(DD$1,generator!$B$2:$B$295,generator!$Q$2:$Q$295,"ARGH")</f>
        <v>9000</v>
      </c>
      <c r="DE9" s="3">
        <f>_xlfn.XLOOKUP(DE$1,generator!$B$2:$B$295,generator!$Q$2:$Q$295,"ARGH")</f>
        <v>9000</v>
      </c>
      <c r="DF9" s="3">
        <f>_xlfn.XLOOKUP(DF$1,generator!$B$2:$B$295,generator!$Q$2:$Q$295,"ARGH")</f>
        <v>9000</v>
      </c>
      <c r="DG9" s="3">
        <f>_xlfn.XLOOKUP(DG$1,generator!$B$2:$B$295,generator!$Q$2:$Q$295,"ARGH")</f>
        <v>9000</v>
      </c>
      <c r="DH9" s="3">
        <f>_xlfn.XLOOKUP(DH$1,generator!$B$2:$B$295,generator!$Q$2:$Q$295,"ARGH")</f>
        <v>9000</v>
      </c>
      <c r="DI9" s="3">
        <f>_xlfn.XLOOKUP(DI$1,generator!$B$2:$B$295,generator!$Q$2:$Q$295,"ARGH")</f>
        <v>9000</v>
      </c>
      <c r="DJ9" s="3">
        <f>_xlfn.XLOOKUP(DJ$1,generator!$B$2:$B$295,generator!$Q$2:$Q$295,"ARGH")</f>
        <v>9000</v>
      </c>
      <c r="DK9" s="3">
        <f>_xlfn.XLOOKUP(DK$1,generator!$B$2:$B$295,generator!$Q$2:$Q$295,"ARGH")</f>
        <v>9000</v>
      </c>
      <c r="DL9" s="3">
        <f>_xlfn.XLOOKUP(DL$1,generator!$B$2:$B$295,generator!$Q$2:$Q$295,"ARGH")</f>
        <v>9000</v>
      </c>
      <c r="DM9" s="3">
        <f>_xlfn.XLOOKUP(DM$1,generator!$B$2:$B$295,generator!$Q$2:$Q$295,"ARGH")</f>
        <v>9000</v>
      </c>
      <c r="DN9" s="3">
        <f>_xlfn.XLOOKUP(DN$1,generator!$B$2:$B$295,generator!$Q$2:$Q$295,"ARGH")</f>
        <v>9000</v>
      </c>
      <c r="DO9" s="3">
        <f>_xlfn.XLOOKUP(DO$1,generator!$B$2:$B$295,generator!$Q$2:$Q$295,"ARGH")</f>
        <v>9000</v>
      </c>
      <c r="DP9" s="3">
        <f>_xlfn.XLOOKUP(DP$1,generator!$B$2:$B$295,generator!$Q$2:$Q$295,"ARGH")</f>
        <v>9000</v>
      </c>
      <c r="DQ9" s="3">
        <f>_xlfn.XLOOKUP(DQ$1,generator!$B$2:$B$295,generator!$Q$2:$Q$295,"ARGH")</f>
        <v>9000</v>
      </c>
      <c r="DR9" s="3">
        <f>_xlfn.XLOOKUP(DR$1,generator!$B$2:$B$295,generator!$Q$2:$Q$295,"ARGH")</f>
        <v>9000</v>
      </c>
      <c r="DS9" s="3">
        <f>_xlfn.XLOOKUP(DS$1,generator!$B$2:$B$295,generator!$Q$2:$Q$295,"ARGH")</f>
        <v>9000</v>
      </c>
      <c r="DT9" s="3">
        <f>_xlfn.XLOOKUP(DT$1,generator!$B$2:$B$295,generator!$Q$2:$Q$295,"ARGH")</f>
        <v>9000</v>
      </c>
      <c r="DU9" s="3">
        <f>_xlfn.XLOOKUP(DU$1,generator!$B$2:$B$295,generator!$Q$2:$Q$295,"ARGH")</f>
        <v>9000</v>
      </c>
      <c r="DV9" s="3">
        <f>_xlfn.XLOOKUP(DV$1,generator!$B$2:$B$295,generator!$Q$2:$Q$295,"ARGH")</f>
        <v>9000</v>
      </c>
      <c r="DW9" s="3">
        <f>_xlfn.XLOOKUP(DW$1,generator!$B$2:$B$295,generator!$Q$2:$Q$295,"ARGH")</f>
        <v>9000</v>
      </c>
      <c r="DX9" s="3">
        <f>_xlfn.XLOOKUP(DX$1,generator!$B$2:$B$295,generator!$Q$2:$Q$295,"ARGH")</f>
        <v>9000</v>
      </c>
      <c r="DY9" s="3">
        <f>_xlfn.XLOOKUP(DY$1,generator!$B$2:$B$295,generator!$Q$2:$Q$295,"ARGH")</f>
        <v>9000</v>
      </c>
      <c r="DZ9" s="3">
        <f>_xlfn.XLOOKUP(DZ$1,generator!$B$2:$B$295,generator!$Q$2:$Q$295,"ARGH")</f>
        <v>9000</v>
      </c>
      <c r="EA9" s="3">
        <f>_xlfn.XLOOKUP(EA$1,generator!$B$2:$B$295,generator!$Q$2:$Q$295,"ARGH")</f>
        <v>9000</v>
      </c>
      <c r="EB9" s="3">
        <f>_xlfn.XLOOKUP(EB$1,generator!$B$2:$B$295,generator!$Q$2:$Q$295,"ARGH")</f>
        <v>9000</v>
      </c>
      <c r="EC9" s="3">
        <f>_xlfn.XLOOKUP(EC$1,generator!$B$2:$B$295,generator!$Q$2:$Q$295,"ARGH")</f>
        <v>9000</v>
      </c>
      <c r="ED9" s="3">
        <f>_xlfn.XLOOKUP(ED$1,generator!$B$2:$B$295,generator!$Q$2:$Q$295,"ARGH")</f>
        <v>9000</v>
      </c>
      <c r="EE9" s="3">
        <f>_xlfn.XLOOKUP(EE$1,generator!$B$2:$B$295,generator!$Q$2:$Q$295,"ARGH")</f>
        <v>9000</v>
      </c>
      <c r="EF9" s="3">
        <f>_xlfn.XLOOKUP(EF$1,generator!$B$2:$B$295,generator!$Q$2:$Q$295,"ARGH")</f>
        <v>9000</v>
      </c>
      <c r="EG9" s="3">
        <f>_xlfn.XLOOKUP(EG$1,generator!$B$2:$B$295,generator!$Q$2:$Q$295,"ARGH")</f>
        <v>9000</v>
      </c>
      <c r="EH9" s="3">
        <f>_xlfn.XLOOKUP(EH$1,generator!$B$2:$B$295,generator!$Q$2:$Q$295,"ARGH")</f>
        <v>9000</v>
      </c>
      <c r="EI9" s="3">
        <f>_xlfn.XLOOKUP(EI$1,generator!$B$2:$B$295,generator!$Q$2:$Q$295,"ARGH")</f>
        <v>9000</v>
      </c>
      <c r="EJ9" s="3">
        <f>_xlfn.XLOOKUP(EJ$1,generator!$B$2:$B$295,generator!$Q$2:$Q$295,"ARGH")</f>
        <v>9000</v>
      </c>
      <c r="EK9" s="3">
        <f>_xlfn.XLOOKUP(EK$1,generator!$B$2:$B$295,generator!$Q$2:$Q$295,"ARGH")</f>
        <v>9000</v>
      </c>
      <c r="EL9" s="3">
        <f>_xlfn.XLOOKUP(EL$1,generator!$B$2:$B$295,generator!$Q$2:$Q$295,"ARGH")</f>
        <v>9000</v>
      </c>
      <c r="EM9" s="3">
        <f>_xlfn.XLOOKUP(EM$1,generator!$B$2:$B$295,generator!$Q$2:$Q$295,"ARGH")</f>
        <v>9000</v>
      </c>
      <c r="EN9" s="3">
        <f>_xlfn.XLOOKUP(EN$1,generator!$B$2:$B$295,generator!$Q$2:$Q$295,"ARGH")</f>
        <v>9000</v>
      </c>
      <c r="EO9" s="3">
        <f>_xlfn.XLOOKUP(EO$1,generator!$B$2:$B$295,generator!$Q$2:$Q$295,"ARGH")</f>
        <v>9000</v>
      </c>
      <c r="EP9" s="3">
        <f>_xlfn.XLOOKUP(EP$1,generator!$B$2:$B$295,generator!$Q$2:$Q$295,"ARGH")</f>
        <v>9000</v>
      </c>
      <c r="EQ9" s="3">
        <f>_xlfn.XLOOKUP(EQ$1,generator!$B$2:$B$295,generator!$Q$2:$Q$295,"ARGH")</f>
        <v>9000</v>
      </c>
      <c r="ER9" s="3">
        <f>_xlfn.XLOOKUP(ER$1,generator!$B$2:$B$295,generator!$Q$2:$Q$295,"ARGH")</f>
        <v>9000</v>
      </c>
      <c r="ES9" s="3">
        <f>_xlfn.XLOOKUP(ES$1,generator!$B$2:$B$295,generator!$Q$2:$Q$295,"ARGH")</f>
        <v>9000</v>
      </c>
      <c r="ET9" s="3">
        <f>_xlfn.XLOOKUP(ET$1,generator!$B$2:$B$295,generator!$Q$2:$Q$295,"ARGH")</f>
        <v>9000</v>
      </c>
      <c r="EU9" s="3">
        <f>_xlfn.XLOOKUP(EU$1,generator!$B$2:$B$295,generator!$Q$2:$Q$295,"ARGH")</f>
        <v>9000</v>
      </c>
      <c r="EV9" s="3">
        <f>_xlfn.XLOOKUP(EV$1,generator!$B$2:$B$295,generator!$Q$2:$Q$295,"ARGH")</f>
        <v>9000</v>
      </c>
      <c r="EW9" s="3">
        <f>_xlfn.XLOOKUP(EW$1,generator!$B$2:$B$295,generator!$Q$2:$Q$295,"ARGH")</f>
        <v>9000</v>
      </c>
      <c r="EX9" s="3">
        <f>_xlfn.XLOOKUP(EX$1,generator!$B$2:$B$295,generator!$Q$2:$Q$295,"ARGH")</f>
        <v>9000</v>
      </c>
      <c r="EY9" s="3">
        <f>_xlfn.XLOOKUP(EY$1,generator!$B$2:$B$295,generator!$Q$2:$Q$295,"ARGH")</f>
        <v>9000</v>
      </c>
      <c r="EZ9" s="3">
        <f>_xlfn.XLOOKUP(EZ$1,generator!$B$2:$B$295,generator!$Q$2:$Q$295,"ARGH")</f>
        <v>9000</v>
      </c>
      <c r="FA9" s="3">
        <f>_xlfn.XLOOKUP(FA$1,generator!$B$2:$B$295,generator!$Q$2:$Q$295,"ARGH")</f>
        <v>9000</v>
      </c>
      <c r="FB9" s="3">
        <f>_xlfn.XLOOKUP(FB$1,generator!$B$2:$B$295,generator!$Q$2:$Q$295,"ARGH")</f>
        <v>9000</v>
      </c>
      <c r="FC9" s="3">
        <f>_xlfn.XLOOKUP(FC$1,generator!$B$2:$B$295,generator!$Q$2:$Q$295,"ARGH")</f>
        <v>9000</v>
      </c>
      <c r="FD9" s="3">
        <f>_xlfn.XLOOKUP(FD$1,generator!$B$2:$B$295,generator!$Q$2:$Q$295,"ARGH")</f>
        <v>9000</v>
      </c>
      <c r="FE9" s="3">
        <f>_xlfn.XLOOKUP(FE$1,generator!$B$2:$B$295,generator!$Q$2:$Q$295,"ARGH")</f>
        <v>9000</v>
      </c>
      <c r="FF9" s="3">
        <f>_xlfn.XLOOKUP(FF$1,generator!$B$2:$B$295,generator!$Q$2:$Q$295,"ARGH")</f>
        <v>9000</v>
      </c>
      <c r="FG9" s="3">
        <f>_xlfn.XLOOKUP(FG$1,generator!$B$2:$B$295,generator!$Q$2:$Q$295,"ARGH")</f>
        <v>9000</v>
      </c>
      <c r="FH9" s="3">
        <f>_xlfn.XLOOKUP(FH$1,generator!$B$2:$B$295,generator!$Q$2:$Q$295,"ARGH")</f>
        <v>9000</v>
      </c>
      <c r="FI9" s="3">
        <f>_xlfn.XLOOKUP(FI$1,generator!$B$2:$B$295,generator!$Q$2:$Q$295,"ARGH")</f>
        <v>9000</v>
      </c>
      <c r="FJ9" s="3">
        <f>_xlfn.XLOOKUP(FJ$1,generator!$B$2:$B$295,generator!$Q$2:$Q$295,"ARGH")</f>
        <v>9000</v>
      </c>
      <c r="FK9" s="3">
        <f>_xlfn.XLOOKUP(FK$1,generator!$B$2:$B$295,generator!$Q$2:$Q$295,"ARGH")</f>
        <v>9000</v>
      </c>
      <c r="FL9" s="3">
        <f>_xlfn.XLOOKUP(FL$1,generator!$B$2:$B$295,generator!$Q$2:$Q$295,"ARGH")</f>
        <v>9000</v>
      </c>
      <c r="FM9" s="3">
        <f>_xlfn.XLOOKUP(FM$1,generator!$B$2:$B$295,generator!$Q$2:$Q$295,"ARGH")</f>
        <v>9000</v>
      </c>
      <c r="FN9" s="3">
        <f>_xlfn.XLOOKUP(FN$1,generator!$B$2:$B$295,generator!$Q$2:$Q$295,"ARGH")</f>
        <v>9000</v>
      </c>
      <c r="FO9" s="3">
        <f>_xlfn.XLOOKUP(FO$1,generator!$B$2:$B$295,generator!$Q$2:$Q$295,"ARGH")</f>
        <v>9000</v>
      </c>
      <c r="FP9" s="3">
        <f>_xlfn.XLOOKUP(FP$1,generator!$B$2:$B$295,generator!$Q$2:$Q$295,"ARGH")</f>
        <v>9000</v>
      </c>
      <c r="FQ9" s="3">
        <f>_xlfn.XLOOKUP(FQ$1,generator!$B$2:$B$295,generator!$Q$2:$Q$295,"ARGH")</f>
        <v>9000</v>
      </c>
      <c r="FR9" s="3">
        <f>_xlfn.XLOOKUP(FR$1,generator!$B$2:$B$295,generator!$Q$2:$Q$295,"ARGH")</f>
        <v>9000</v>
      </c>
      <c r="FS9" s="3">
        <f>_xlfn.XLOOKUP(FS$1,generator!$B$2:$B$295,generator!$Q$2:$Q$295,"ARGH")</f>
        <v>9000</v>
      </c>
      <c r="FT9" s="3">
        <f>_xlfn.XLOOKUP(FT$1,generator!$B$2:$B$295,generator!$Q$2:$Q$295,"ARGH")</f>
        <v>9000</v>
      </c>
      <c r="FU9" s="3">
        <f>_xlfn.XLOOKUP(FU$1,generator!$B$2:$B$295,generator!$Q$2:$Q$295,"ARGH")</f>
        <v>9000</v>
      </c>
      <c r="FV9" s="3">
        <f>_xlfn.XLOOKUP(FV$1,generator!$B$2:$B$295,generator!$Q$2:$Q$295,"ARGH")</f>
        <v>9000</v>
      </c>
      <c r="FW9" s="3">
        <f>_xlfn.XLOOKUP(FW$1,generator!$B$2:$B$295,generator!$Q$2:$Q$295,"ARGH")</f>
        <v>9000</v>
      </c>
      <c r="FX9" s="3">
        <f>_xlfn.XLOOKUP(FX$1,generator!$B$2:$B$295,generator!$Q$2:$Q$295,"ARGH")</f>
        <v>9000</v>
      </c>
      <c r="FY9" s="3">
        <f>_xlfn.XLOOKUP(FY$1,generator!$B$2:$B$295,generator!$Q$2:$Q$295,"ARGH")</f>
        <v>9000</v>
      </c>
      <c r="FZ9" s="3">
        <f>_xlfn.XLOOKUP(FZ$1,generator!$B$2:$B$295,generator!$Q$2:$Q$295,"ARGH")</f>
        <v>9000</v>
      </c>
      <c r="GA9" s="3">
        <f>_xlfn.XLOOKUP(GA$1,generator!$B$2:$B$295,generator!$Q$2:$Q$295,"ARGH")</f>
        <v>9000</v>
      </c>
      <c r="GB9" s="3">
        <f>_xlfn.XLOOKUP(GB$1,generator!$B$2:$B$295,generator!$Q$2:$Q$295,"ARGH")</f>
        <v>9000</v>
      </c>
      <c r="GC9" s="3">
        <f>_xlfn.XLOOKUP(GC$1,generator!$B$2:$B$295,generator!$Q$2:$Q$295,"ARGH")</f>
        <v>9000</v>
      </c>
      <c r="GD9" s="3">
        <f>_xlfn.XLOOKUP(GD$1,generator!$B$2:$B$295,generator!$Q$2:$Q$295,"ARGH")</f>
        <v>9000</v>
      </c>
      <c r="GE9" s="3">
        <f>_xlfn.XLOOKUP(GE$1,generator!$B$2:$B$295,generator!$Q$2:$Q$295,"ARGH")</f>
        <v>9000</v>
      </c>
      <c r="GF9" s="3">
        <f>_xlfn.XLOOKUP(GF$1,generator!$B$2:$B$295,generator!$Q$2:$Q$295,"ARGH")</f>
        <v>9000</v>
      </c>
      <c r="GG9" s="3">
        <f>_xlfn.XLOOKUP(GG$1,generator!$B$2:$B$295,generator!$Q$2:$Q$295,"ARGH")</f>
        <v>9000</v>
      </c>
      <c r="GH9" s="3">
        <f>_xlfn.XLOOKUP(GH$1,generator!$B$2:$B$295,generator!$Q$2:$Q$295,"ARGH")</f>
        <v>9000</v>
      </c>
      <c r="GI9" s="3">
        <f>_xlfn.XLOOKUP(GI$1,generator!$B$2:$B$295,generator!$Q$2:$Q$295,"ARGH")</f>
        <v>9000</v>
      </c>
      <c r="GJ9" s="3">
        <f>_xlfn.XLOOKUP(GJ$1,generator!$B$2:$B$295,generator!$Q$2:$Q$295,"ARGH")</f>
        <v>9000</v>
      </c>
      <c r="GK9" s="3">
        <f>_xlfn.XLOOKUP(GK$1,generator!$B$2:$B$295,generator!$Q$2:$Q$295,"ARGH")</f>
        <v>9000</v>
      </c>
      <c r="GL9" s="3">
        <f>_xlfn.XLOOKUP(GL$1,generator!$B$2:$B$295,generator!$Q$2:$Q$295,"ARGH")</f>
        <v>9000</v>
      </c>
      <c r="GM9" s="3">
        <f>_xlfn.XLOOKUP(GM$1,generator!$B$2:$B$295,generator!$Q$2:$Q$295,"ARGH")</f>
        <v>9000</v>
      </c>
      <c r="GN9" s="3">
        <f>_xlfn.XLOOKUP(GN$1,generator!$B$2:$B$295,generator!$Q$2:$Q$295,"ARGH")</f>
        <v>9000</v>
      </c>
      <c r="GO9" s="3">
        <f>_xlfn.XLOOKUP(GO$1,generator!$B$2:$B$295,generator!$Q$2:$Q$295,"ARGH")</f>
        <v>9000</v>
      </c>
      <c r="GP9" s="3">
        <f>_xlfn.XLOOKUP(GP$1,generator!$B$2:$B$295,generator!$Q$2:$Q$295,"ARGH")</f>
        <v>9000</v>
      </c>
      <c r="GQ9" s="3">
        <f>_xlfn.XLOOKUP(GQ$1,generator!$B$2:$B$295,generator!$Q$2:$Q$295,"ARGH")</f>
        <v>9000</v>
      </c>
      <c r="GR9" s="3">
        <f>_xlfn.XLOOKUP(GR$1,generator!$B$2:$B$295,generator!$Q$2:$Q$295,"ARGH")</f>
        <v>9000</v>
      </c>
      <c r="GS9" s="3">
        <f>_xlfn.XLOOKUP(GS$1,generator!$B$2:$B$295,generator!$Q$2:$Q$295,"ARGH")</f>
        <v>9000</v>
      </c>
      <c r="GT9" s="3">
        <f>_xlfn.XLOOKUP(GT$1,generator!$B$2:$B$295,generator!$Q$2:$Q$295,"ARGH")</f>
        <v>9000</v>
      </c>
      <c r="GU9" s="3">
        <f>_xlfn.XLOOKUP(GU$1,generator!$B$2:$B$295,generator!$Q$2:$Q$295,"ARGH")</f>
        <v>9000</v>
      </c>
      <c r="GV9" s="3">
        <f>_xlfn.XLOOKUP(GV$1,generator!$B$2:$B$295,generator!$Q$2:$Q$295,"ARGH")</f>
        <v>9000</v>
      </c>
      <c r="GW9" s="3">
        <f>_xlfn.XLOOKUP(GW$1,generator!$B$2:$B$295,generator!$Q$2:$Q$295,"ARGH")</f>
        <v>9000</v>
      </c>
      <c r="GX9" s="3">
        <f>_xlfn.XLOOKUP(GX$1,generator!$B$2:$B$295,generator!$Q$2:$Q$295,"ARGH")</f>
        <v>9000</v>
      </c>
      <c r="GY9" s="3">
        <f>_xlfn.XLOOKUP(GY$1,generator!$B$2:$B$295,generator!$Q$2:$Q$295,"ARGH")</f>
        <v>9000</v>
      </c>
      <c r="GZ9" s="3">
        <f>_xlfn.XLOOKUP(GZ$1,generator!$B$2:$B$295,generator!$Q$2:$Q$295,"ARGH")</f>
        <v>9000</v>
      </c>
      <c r="HA9" s="3">
        <f>_xlfn.XLOOKUP(HA$1,generator!$B$2:$B$295,generator!$Q$2:$Q$295,"ARGH")</f>
        <v>9000</v>
      </c>
      <c r="HB9" s="3">
        <f>_xlfn.XLOOKUP(HB$1,generator!$B$2:$B$295,generator!$Q$2:$Q$295,"ARGH")</f>
        <v>9000</v>
      </c>
      <c r="HC9" s="3">
        <f>_xlfn.XLOOKUP(HC$1,generator!$B$2:$B$295,generator!$Q$2:$Q$295,"ARGH")</f>
        <v>9000</v>
      </c>
      <c r="HD9" s="3">
        <f>_xlfn.XLOOKUP(HD$1,generator!$B$2:$B$295,generator!$Q$2:$Q$295,"ARGH")</f>
        <v>9000</v>
      </c>
      <c r="HE9" s="3">
        <f>_xlfn.XLOOKUP(HE$1,generator!$B$2:$B$295,generator!$Q$2:$Q$295,"ARGH")</f>
        <v>8000</v>
      </c>
      <c r="HF9" s="3" t="str">
        <f>_xlfn.XLOOKUP(HF$1,generator!$B$2:$B$295,generator!$Q$2:$Q$295,"ARGH")</f>
        <v>143</v>
      </c>
      <c r="HG9" s="3" t="str">
        <f>_xlfn.XLOOKUP(HG$1,generator!$B$2:$B$295,generator!$Q$2:$Q$295,"ARGH")</f>
        <v>143</v>
      </c>
      <c r="HH9" s="3" t="str">
        <f>_xlfn.XLOOKUP(HH$1,generator!$B$2:$B$295,generator!$Q$2:$Q$295,"ARGH")</f>
        <v>143</v>
      </c>
      <c r="HI9" s="3" t="str">
        <f>_xlfn.XLOOKUP(HI$1,generator!$B$2:$B$295,generator!$Q$2:$Q$295,"ARGH")</f>
        <v>246.74</v>
      </c>
      <c r="HJ9" s="3" t="str">
        <f>_xlfn.XLOOKUP(HJ$1,generator!$B$2:$B$295,generator!$Q$2:$Q$295,"ARGH")</f>
        <v>246.74</v>
      </c>
      <c r="HK9" s="3" t="str">
        <f>_xlfn.XLOOKUP(HK$1,generator!$B$2:$B$295,generator!$Q$2:$Q$295,"ARGH")</f>
        <v>206.04</v>
      </c>
      <c r="HL9" s="3" t="str">
        <f>_xlfn.XLOOKUP(HL$1,generator!$B$2:$B$295,generator!$Q$2:$Q$295,"ARGH")</f>
        <v>506.96</v>
      </c>
      <c r="HM9" s="3" t="str">
        <f>_xlfn.XLOOKUP(HM$1,generator!$B$2:$B$295,generator!$Q$2:$Q$295,"ARGH")</f>
        <v>506.95</v>
      </c>
      <c r="HN9" s="3" t="str">
        <f>_xlfn.XLOOKUP(HN$1,generator!$B$2:$B$295,generator!$Q$2:$Q$295,"ARGH")</f>
        <v>190.97</v>
      </c>
      <c r="HO9" s="3" t="str">
        <f>_xlfn.XLOOKUP(HO$1,generator!$B$2:$B$295,generator!$Q$2:$Q$295,"ARGH")</f>
        <v>190.97</v>
      </c>
      <c r="HP9" s="3" t="str">
        <f>_xlfn.XLOOKUP(HP$1,generator!$B$2:$B$295,generator!$Q$2:$Q$295,"ARGH")</f>
        <v>424.84</v>
      </c>
      <c r="HQ9" s="3" t="str">
        <f>_xlfn.XLOOKUP(HQ$1,generator!$B$2:$B$295,generator!$Q$2:$Q$295,"ARGH")</f>
        <v>425.9</v>
      </c>
      <c r="HR9" s="3" t="str">
        <f>_xlfn.XLOOKUP(HR$1,generator!$B$2:$B$295,generator!$Q$2:$Q$295,"ARGH")</f>
        <v>425.9</v>
      </c>
      <c r="HS9" s="3" t="str">
        <f>_xlfn.XLOOKUP(HS$1,generator!$B$2:$B$295,generator!$Q$2:$Q$295,"ARGH")</f>
        <v>196.54</v>
      </c>
      <c r="HT9" s="3" t="str">
        <f>_xlfn.XLOOKUP(HT$1,generator!$B$2:$B$295,generator!$Q$2:$Q$295,"ARGH")</f>
        <v>196.54</v>
      </c>
      <c r="HU9" s="3" t="str">
        <f>_xlfn.XLOOKUP(HU$1,generator!$B$2:$B$295,generator!$Q$2:$Q$295,"ARGH")</f>
        <v>145.57</v>
      </c>
      <c r="HV9" s="3" t="str">
        <f>_xlfn.XLOOKUP(HV$1,generator!$B$2:$B$295,generator!$Q$2:$Q$295,"ARGH")</f>
        <v>132.62</v>
      </c>
      <c r="HW9" s="3" t="str">
        <f>_xlfn.XLOOKUP(HW$1,generator!$B$2:$B$295,generator!$Q$2:$Q$295,"ARGH")</f>
        <v>193.76</v>
      </c>
      <c r="HX9" s="3" t="str">
        <f>_xlfn.XLOOKUP(HX$1,generator!$B$2:$B$295,generator!$Q$2:$Q$295,"ARGH")</f>
        <v>193.76</v>
      </c>
      <c r="HY9" s="3" t="str">
        <f>_xlfn.XLOOKUP(HY$1,generator!$B$2:$B$295,generator!$Q$2:$Q$295,"ARGH")</f>
        <v>79.19</v>
      </c>
      <c r="HZ9" s="3" t="str">
        <f>_xlfn.XLOOKUP(HZ$1,generator!$B$2:$B$295,generator!$Q$2:$Q$295,"ARGH")</f>
        <v>125.79</v>
      </c>
      <c r="IA9" s="3" t="str">
        <f>_xlfn.XLOOKUP(IA$1,generator!$B$2:$B$295,generator!$Q$2:$Q$295,"ARGH")</f>
        <v>54.19</v>
      </c>
      <c r="IB9" s="3" t="str">
        <f>_xlfn.XLOOKUP(IB$1,generator!$B$2:$B$295,generator!$Q$2:$Q$295,"ARGH")</f>
        <v>59.7</v>
      </c>
      <c r="IC9" s="3">
        <f>_xlfn.XLOOKUP(IC$1,generator!$B$2:$B$295,generator!$Q$2:$Q$295,"ARGH")</f>
        <v>0</v>
      </c>
      <c r="ID9" s="3" t="str">
        <f>_xlfn.XLOOKUP(ID$1,generator!$B$2:$B$295,generator!$Q$2:$Q$295,"ARGH")</f>
        <v>121.14</v>
      </c>
      <c r="IE9" s="3" t="str">
        <f>_xlfn.XLOOKUP(IE$1,generator!$B$2:$B$295,generator!$Q$2:$Q$295,"ARGH")</f>
        <v>26.6</v>
      </c>
      <c r="IF9" s="3">
        <f>_xlfn.XLOOKUP(IF$1,generator!$B$2:$B$295,generator!$Q$2:$Q$295,"ARGH")</f>
        <v>8000</v>
      </c>
      <c r="IG9" s="3">
        <f>_xlfn.XLOOKUP(IG$1,generator!$B$2:$B$295,generator!$Q$2:$Q$295,"ARGH")</f>
        <v>8000</v>
      </c>
      <c r="IH9" s="3">
        <f>_xlfn.XLOOKUP(IH$1,generator!$B$2:$B$295,generator!$Q$2:$Q$295,"ARGH")</f>
        <v>8000</v>
      </c>
      <c r="II9" s="3">
        <f>_xlfn.XLOOKUP(II$1,generator!$B$2:$B$295,generator!$Q$2:$Q$295,"ARGH")</f>
        <v>8000</v>
      </c>
      <c r="IJ9" s="3">
        <f>_xlfn.XLOOKUP(IJ$1,generator!$B$2:$B$295,generator!$Q$2:$Q$295,"ARGH")</f>
        <v>8000</v>
      </c>
      <c r="IK9" s="3">
        <f>_xlfn.XLOOKUP(IK$1,generator!$B$2:$B$295,generator!$Q$2:$Q$295,"ARGH")</f>
        <v>8000</v>
      </c>
      <c r="IL9" s="3">
        <f>_xlfn.XLOOKUP(IL$1,generator!$B$2:$B$295,generator!$Q$2:$Q$295,"ARGH")</f>
        <v>8000</v>
      </c>
      <c r="IM9" s="3">
        <f>_xlfn.XLOOKUP(IM$1,generator!$B$2:$B$295,generator!$Q$2:$Q$295,"ARGH")</f>
        <v>8000</v>
      </c>
      <c r="IN9" s="3">
        <f>_xlfn.XLOOKUP(IN$1,generator!$B$2:$B$295,generator!$Q$2:$Q$295,"ARGH")</f>
        <v>8000</v>
      </c>
      <c r="IO9" s="3">
        <f>_xlfn.XLOOKUP(IO$1,generator!$B$2:$B$295,generator!$Q$2:$Q$295,"ARGH")</f>
        <v>8000</v>
      </c>
      <c r="IP9" s="3">
        <f>_xlfn.XLOOKUP(IP$1,generator!$B$2:$B$295,generator!$Q$2:$Q$295,"ARGH")</f>
        <v>8000</v>
      </c>
      <c r="IQ9" s="3">
        <f>_xlfn.XLOOKUP(IQ$1,generator!$B$2:$B$295,generator!$Q$2:$Q$295,"ARGH")</f>
        <v>8000</v>
      </c>
      <c r="IR9" s="3">
        <f>_xlfn.XLOOKUP(IR$1,generator!$B$2:$B$295,generator!$Q$2:$Q$295,"ARGH")</f>
        <v>8000</v>
      </c>
      <c r="IS9" s="3">
        <f>_xlfn.XLOOKUP(IS$1,generator!$B$2:$B$295,generator!$Q$2:$Q$295,"ARGH")</f>
        <v>8000</v>
      </c>
      <c r="IT9" s="3">
        <f>_xlfn.XLOOKUP(IT$1,generator!$B$2:$B$295,generator!$Q$2:$Q$295,"ARGH")</f>
        <v>8000</v>
      </c>
      <c r="IU9" s="3">
        <f>_xlfn.XLOOKUP(IU$1,generator!$B$2:$B$295,generator!$Q$2:$Q$295,"ARGH")</f>
        <v>8000</v>
      </c>
      <c r="IV9" s="3">
        <f>_xlfn.XLOOKUP(IV$1,generator!$B$2:$B$295,generator!$Q$2:$Q$295,"ARGH")</f>
        <v>8000</v>
      </c>
      <c r="IW9" s="3" t="str">
        <f>_xlfn.XLOOKUP(IW$1,generator!$B$2:$B$295,generator!$Q$2:$Q$295,"ARGH")</f>
        <v>108.19</v>
      </c>
      <c r="IX9" s="3" t="str">
        <f>_xlfn.XLOOKUP(IX$1,generator!$B$2:$B$295,generator!$Q$2:$Q$295,"ARGH")</f>
        <v>108.18</v>
      </c>
      <c r="IY9" s="3" t="str">
        <f>_xlfn.XLOOKUP(IY$1,generator!$B$2:$B$295,generator!$Q$2:$Q$295,"ARGH")</f>
        <v>108.17</v>
      </c>
      <c r="IZ9" s="3" t="str">
        <f>_xlfn.XLOOKUP(IZ$1,generator!$B$2:$B$295,generator!$Q$2:$Q$295,"ARGH")</f>
        <v>40.96</v>
      </c>
      <c r="JA9" s="3">
        <f>_xlfn.XLOOKUP(JA$1,generator!$B$2:$B$295,generator!$Q$2:$Q$295,"ARGH")</f>
        <v>0</v>
      </c>
      <c r="JB9" s="3">
        <f>_xlfn.XLOOKUP(JB$1,generator!$B$2:$B$295,generator!$Q$2:$Q$295,"ARGH")</f>
        <v>0</v>
      </c>
      <c r="JC9" s="3" t="str">
        <f>_xlfn.XLOOKUP(JC$1,generator!$B$2:$B$295,generator!$Q$2:$Q$295,"ARGH")</f>
        <v>75.91</v>
      </c>
      <c r="JD9" s="3" t="str">
        <f>_xlfn.XLOOKUP(JD$1,generator!$B$2:$B$295,generator!$Q$2:$Q$295,"ARGH")</f>
        <v>75.91</v>
      </c>
      <c r="JE9" s="3" t="str">
        <f>_xlfn.XLOOKUP(JE$1,generator!$B$2:$B$295,generator!$Q$2:$Q$295,"ARGH")</f>
        <v>51.59</v>
      </c>
      <c r="JF9" s="3" t="str">
        <f>_xlfn.XLOOKUP(JF$1,generator!$B$2:$B$295,generator!$Q$2:$Q$295,"ARGH")</f>
        <v>111.57</v>
      </c>
      <c r="JG9" s="3">
        <f>_xlfn.XLOOKUP(JG$1,generator!$B$2:$B$295,generator!$Q$2:$Q$295,"ARGH")</f>
        <v>0</v>
      </c>
      <c r="JH9" s="3" t="str">
        <f>_xlfn.XLOOKUP(JH$1,generator!$B$2:$B$295,generator!$Q$2:$Q$295,"ARGH")</f>
        <v>48.65</v>
      </c>
      <c r="JI9" s="3" t="str">
        <f>_xlfn.XLOOKUP(JI$1,generator!$B$2:$B$295,generator!$Q$2:$Q$295,"ARGH")</f>
        <v>71.88</v>
      </c>
      <c r="JJ9" s="3" t="str">
        <f>_xlfn.XLOOKUP(JJ$1,generator!$B$2:$B$295,generator!$Q$2:$Q$295,"ARGH")</f>
        <v>98.17</v>
      </c>
      <c r="JK9" s="3" t="str">
        <f>_xlfn.XLOOKUP(JK$1,generator!$B$2:$B$295,generator!$Q$2:$Q$295,"ARGH")</f>
        <v>98.17</v>
      </c>
      <c r="JL9" s="3" t="str">
        <f>_xlfn.XLOOKUP(JL$1,generator!$B$2:$B$295,generator!$Q$2:$Q$295,"ARGH")</f>
        <v>98.17</v>
      </c>
      <c r="JM9" s="3" t="str">
        <f>_xlfn.XLOOKUP(JM$1,generator!$B$2:$B$295,generator!$Q$2:$Q$295,"ARGH")</f>
        <v>98.17</v>
      </c>
      <c r="JN9" s="3" t="str">
        <f>_xlfn.XLOOKUP(JN$1,generator!$B$2:$B$295,generator!$Q$2:$Q$295,"ARGH")</f>
        <v>98.17</v>
      </c>
      <c r="JO9" s="3" t="str">
        <f>_xlfn.XLOOKUP(JO$1,generator!$B$2:$B$295,generator!$Q$2:$Q$295,"ARGH")</f>
        <v>98.17</v>
      </c>
      <c r="JP9" s="3" t="str">
        <f>_xlfn.XLOOKUP(JP$1,generator!$B$2:$B$295,generator!$Q$2:$Q$295,"ARGH")</f>
        <v>47.53</v>
      </c>
      <c r="JQ9" s="3" t="str">
        <f>_xlfn.XLOOKUP(JQ$1,generator!$B$2:$B$295,generator!$Q$2:$Q$295,"ARGH")</f>
        <v>108.86</v>
      </c>
      <c r="JR9" s="3" t="str">
        <f>_xlfn.XLOOKUP(JR$1,generator!$B$2:$B$295,generator!$Q$2:$Q$295,"ARGH")</f>
        <v>83.15</v>
      </c>
      <c r="JS9" s="3" t="str">
        <f>_xlfn.XLOOKUP(JS$1,generator!$B$2:$B$295,generator!$Q$2:$Q$295,"ARGH")</f>
        <v>83.15</v>
      </c>
      <c r="JT9" s="3" t="str">
        <f>_xlfn.XLOOKUP(JT$1,generator!$B$2:$B$295,generator!$Q$2:$Q$295,"ARGH")</f>
        <v>108.86</v>
      </c>
      <c r="JU9" s="3">
        <f>_xlfn.XLOOKUP(JU$1,generator!$B$2:$B$295,generator!$Q$2:$Q$295,"ARGH")</f>
        <v>0</v>
      </c>
      <c r="JV9" s="3" t="str">
        <f>_xlfn.XLOOKUP(JV$1,generator!$B$2:$B$295,generator!$Q$2:$Q$295,"ARGH")</f>
        <v>77.63</v>
      </c>
      <c r="JW9" s="3" t="str">
        <f>_xlfn.XLOOKUP(JW$1,generator!$B$2:$B$295,generator!$Q$2:$Q$295,"ARGH")</f>
        <v>77.64</v>
      </c>
      <c r="JX9" s="3" t="str">
        <f>_xlfn.XLOOKUP(JX$1,generator!$B$2:$B$295,generator!$Q$2:$Q$295,"ARGH")</f>
        <v>331.49</v>
      </c>
      <c r="JY9" s="3">
        <f>_xlfn.XLOOKUP(JY$1,generator!$B$2:$B$295,generator!$Q$2:$Q$295,"ARGH")</f>
        <v>7000</v>
      </c>
      <c r="JZ9" s="3">
        <f>_xlfn.XLOOKUP(JZ$1,generator!$B$2:$B$295,generator!$Q$2:$Q$295,"ARGH")</f>
        <v>0</v>
      </c>
      <c r="KA9" s="3">
        <f>_xlfn.XLOOKUP(KA$1,generator!$B$2:$B$295,generator!$Q$2:$Q$295,"ARGH")</f>
        <v>0</v>
      </c>
      <c r="KB9" s="3">
        <f>_xlfn.XLOOKUP(KB$1,generator!$B$2:$B$295,generator!$Q$2:$Q$295,"ARGH")</f>
        <v>0</v>
      </c>
      <c r="KC9" s="3">
        <f>_xlfn.XLOOKUP(KC$1,generator!$B$2:$B$295,generator!$Q$2:$Q$295,"ARGH")</f>
        <v>0</v>
      </c>
    </row>
    <row r="10" spans="1:289" x14ac:dyDescent="0.3">
      <c r="A10" s="4" t="s">
        <v>3005</v>
      </c>
      <c r="B10" s="3">
        <v>15000</v>
      </c>
      <c r="C10" s="3">
        <v>15000</v>
      </c>
      <c r="D10" s="3">
        <v>15000</v>
      </c>
      <c r="E10" s="3">
        <f>_xlfn.XLOOKUP(E$1,generator!$B$2:$B$295,generator!$Q$2:$Q$295,"ARGH")</f>
        <v>9000</v>
      </c>
      <c r="F10" s="3">
        <f>_xlfn.XLOOKUP(F$1,generator!$B$2:$B$295,generator!$Q$2:$Q$295,"ARGH")</f>
        <v>9000</v>
      </c>
      <c r="G10" s="3">
        <f>_xlfn.XLOOKUP(G$1,generator!$B$2:$B$295,generator!$Q$2:$Q$295,"ARGH")</f>
        <v>9000</v>
      </c>
      <c r="H10" s="3">
        <f>_xlfn.XLOOKUP(H$1,generator!$B$2:$B$295,generator!$Q$2:$Q$295,"ARGH")</f>
        <v>9000</v>
      </c>
      <c r="I10" s="3">
        <f>_xlfn.XLOOKUP(I$1,generator!$B$2:$B$295,generator!$Q$2:$Q$295,"ARGH")</f>
        <v>9000</v>
      </c>
      <c r="J10" s="3">
        <f>_xlfn.XLOOKUP(J$1,generator!$B$2:$B$295,generator!$Q$2:$Q$295,"ARGH")</f>
        <v>9000</v>
      </c>
      <c r="K10" s="3">
        <f>_xlfn.XLOOKUP(K$1,generator!$B$2:$B$295,generator!$Q$2:$Q$295,"ARGH")</f>
        <v>9000</v>
      </c>
      <c r="L10" s="3">
        <f>_xlfn.XLOOKUP(L$1,generator!$B$2:$B$295,generator!$Q$2:$Q$295,"ARGH")</f>
        <v>9000</v>
      </c>
      <c r="M10" s="3">
        <f>_xlfn.XLOOKUP(M$1,generator!$B$2:$B$295,generator!$Q$2:$Q$295,"ARGH")</f>
        <v>9000</v>
      </c>
      <c r="N10" s="3">
        <f>_xlfn.XLOOKUP(N$1,generator!$B$2:$B$295,generator!$Q$2:$Q$295,"ARGH")</f>
        <v>9000</v>
      </c>
      <c r="O10" s="3">
        <f>_xlfn.XLOOKUP(O$1,generator!$B$2:$B$295,generator!$Q$2:$Q$295,"ARGH")</f>
        <v>9000</v>
      </c>
      <c r="P10" s="3">
        <f>_xlfn.XLOOKUP(P$1,generator!$B$2:$B$295,generator!$Q$2:$Q$295,"ARGH")</f>
        <v>9000</v>
      </c>
      <c r="Q10" s="3">
        <f>_xlfn.XLOOKUP(Q$1,generator!$B$2:$B$295,generator!$Q$2:$Q$295,"ARGH")</f>
        <v>9000</v>
      </c>
      <c r="R10" s="3">
        <f>_xlfn.XLOOKUP(R$1,generator!$B$2:$B$295,generator!$Q$2:$Q$295,"ARGH")</f>
        <v>9000</v>
      </c>
      <c r="S10" s="3">
        <f>_xlfn.XLOOKUP(S$1,generator!$B$2:$B$295,generator!$Q$2:$Q$295,"ARGH")</f>
        <v>9000</v>
      </c>
      <c r="T10" s="3">
        <f>_xlfn.XLOOKUP(T$1,generator!$B$2:$B$295,generator!$Q$2:$Q$295,"ARGH")</f>
        <v>9000</v>
      </c>
      <c r="U10" s="3">
        <f>_xlfn.XLOOKUP(U$1,generator!$B$2:$B$295,generator!$Q$2:$Q$295,"ARGH")</f>
        <v>9000</v>
      </c>
      <c r="V10" s="3">
        <f>_xlfn.XLOOKUP(V$1,generator!$B$2:$B$295,generator!$Q$2:$Q$295,"ARGH")</f>
        <v>9000</v>
      </c>
      <c r="W10" s="3">
        <f>_xlfn.XLOOKUP(W$1,generator!$B$2:$B$295,generator!$Q$2:$Q$295,"ARGH")</f>
        <v>9000</v>
      </c>
      <c r="X10" s="3">
        <f>_xlfn.XLOOKUP(X$1,generator!$B$2:$B$295,generator!$Q$2:$Q$295,"ARGH")</f>
        <v>9000</v>
      </c>
      <c r="Y10" s="3">
        <f>_xlfn.XLOOKUP(Y$1,generator!$B$2:$B$295,generator!$Q$2:$Q$295,"ARGH")</f>
        <v>9000</v>
      </c>
      <c r="Z10" s="3">
        <f>_xlfn.XLOOKUP(Z$1,generator!$B$2:$B$295,generator!$Q$2:$Q$295,"ARGH")</f>
        <v>9000</v>
      </c>
      <c r="AA10" s="3">
        <f>_xlfn.XLOOKUP(AA$1,generator!$B$2:$B$295,generator!$Q$2:$Q$295,"ARGH")</f>
        <v>9000</v>
      </c>
      <c r="AB10" s="3">
        <f>_xlfn.XLOOKUP(AB$1,generator!$B$2:$B$295,generator!$Q$2:$Q$295,"ARGH")</f>
        <v>9000</v>
      </c>
      <c r="AC10" s="3">
        <f>_xlfn.XLOOKUP(AC$1,generator!$B$2:$B$295,generator!$Q$2:$Q$295,"ARGH")</f>
        <v>9000</v>
      </c>
      <c r="AD10" s="3">
        <f>_xlfn.XLOOKUP(AD$1,generator!$B$2:$B$295,generator!$Q$2:$Q$295,"ARGH")</f>
        <v>9000</v>
      </c>
      <c r="AE10" s="3">
        <f>_xlfn.XLOOKUP(AE$1,generator!$B$2:$B$295,generator!$Q$2:$Q$295,"ARGH")</f>
        <v>9000</v>
      </c>
      <c r="AF10" s="3">
        <f>_xlfn.XLOOKUP(AF$1,generator!$B$2:$B$295,generator!$Q$2:$Q$295,"ARGH")</f>
        <v>9000</v>
      </c>
      <c r="AG10" s="3">
        <f>_xlfn.XLOOKUP(AG$1,generator!$B$2:$B$295,generator!$Q$2:$Q$295,"ARGH")</f>
        <v>9000</v>
      </c>
      <c r="AH10" s="3">
        <f>_xlfn.XLOOKUP(AH$1,generator!$B$2:$B$295,generator!$Q$2:$Q$295,"ARGH")</f>
        <v>9000</v>
      </c>
      <c r="AI10" s="3">
        <f>_xlfn.XLOOKUP(AI$1,generator!$B$2:$B$295,generator!$Q$2:$Q$295,"ARGH")</f>
        <v>9000</v>
      </c>
      <c r="AJ10" s="3">
        <f>_xlfn.XLOOKUP(AJ$1,generator!$B$2:$B$295,generator!$Q$2:$Q$295,"ARGH")</f>
        <v>9000</v>
      </c>
      <c r="AK10" s="3">
        <f>_xlfn.XLOOKUP(AK$1,generator!$B$2:$B$295,generator!$Q$2:$Q$295,"ARGH")</f>
        <v>9000</v>
      </c>
      <c r="AL10" s="3">
        <f>_xlfn.XLOOKUP(AL$1,generator!$B$2:$B$295,generator!$Q$2:$Q$295,"ARGH")</f>
        <v>9000</v>
      </c>
      <c r="AM10" s="3">
        <f>_xlfn.XLOOKUP(AM$1,generator!$B$2:$B$295,generator!$Q$2:$Q$295,"ARGH")</f>
        <v>9000</v>
      </c>
      <c r="AN10" s="3">
        <f>_xlfn.XLOOKUP(AN$1,generator!$B$2:$B$295,generator!$Q$2:$Q$295,"ARGH")</f>
        <v>9000</v>
      </c>
      <c r="AO10" s="3">
        <f>_xlfn.XLOOKUP(AO$1,generator!$B$2:$B$295,generator!$Q$2:$Q$295,"ARGH")</f>
        <v>9000</v>
      </c>
      <c r="AP10" s="3">
        <f>_xlfn.XLOOKUP(AP$1,generator!$B$2:$B$295,generator!$Q$2:$Q$295,"ARGH")</f>
        <v>9000</v>
      </c>
      <c r="AQ10" s="3">
        <f>_xlfn.XLOOKUP(AQ$1,generator!$B$2:$B$295,generator!$Q$2:$Q$295,"ARGH")</f>
        <v>9000</v>
      </c>
      <c r="AR10" s="3">
        <f>_xlfn.XLOOKUP(AR$1,generator!$B$2:$B$295,generator!$Q$2:$Q$295,"ARGH")</f>
        <v>9000</v>
      </c>
      <c r="AS10" s="3">
        <f>_xlfn.XLOOKUP(AS$1,generator!$B$2:$B$295,generator!$Q$2:$Q$295,"ARGH")</f>
        <v>9000</v>
      </c>
      <c r="AT10" s="3">
        <f>_xlfn.XLOOKUP(AT$1,generator!$B$2:$B$295,generator!$Q$2:$Q$295,"ARGH")</f>
        <v>9000</v>
      </c>
      <c r="AU10" s="3">
        <f>_xlfn.XLOOKUP(AU$1,generator!$B$2:$B$295,generator!$Q$2:$Q$295,"ARGH")</f>
        <v>9000</v>
      </c>
      <c r="AV10" s="3">
        <f>_xlfn.XLOOKUP(AV$1,generator!$B$2:$B$295,generator!$Q$2:$Q$295,"ARGH")</f>
        <v>9000</v>
      </c>
      <c r="AW10" s="3">
        <f>_xlfn.XLOOKUP(AW$1,generator!$B$2:$B$295,generator!$Q$2:$Q$295,"ARGH")</f>
        <v>9000</v>
      </c>
      <c r="AX10" s="3">
        <f>_xlfn.XLOOKUP(AX$1,generator!$B$2:$B$295,generator!$Q$2:$Q$295,"ARGH")</f>
        <v>9000</v>
      </c>
      <c r="AY10" s="3">
        <f>_xlfn.XLOOKUP(AY$1,generator!$B$2:$B$295,generator!$Q$2:$Q$295,"ARGH")</f>
        <v>9000</v>
      </c>
      <c r="AZ10" s="3">
        <f>_xlfn.XLOOKUP(AZ$1,generator!$B$2:$B$295,generator!$Q$2:$Q$295,"ARGH")</f>
        <v>9000</v>
      </c>
      <c r="BA10" s="3">
        <f>_xlfn.XLOOKUP(BA$1,generator!$B$2:$B$295,generator!$Q$2:$Q$295,"ARGH")</f>
        <v>9000</v>
      </c>
      <c r="BB10" s="3">
        <f>_xlfn.XLOOKUP(BB$1,generator!$B$2:$B$295,generator!$Q$2:$Q$295,"ARGH")</f>
        <v>9000</v>
      </c>
      <c r="BC10" s="3">
        <f>_xlfn.XLOOKUP(BC$1,generator!$B$2:$B$295,generator!$Q$2:$Q$295,"ARGH")</f>
        <v>9000</v>
      </c>
      <c r="BD10" s="3">
        <f>_xlfn.XLOOKUP(BD$1,generator!$B$2:$B$295,generator!$Q$2:$Q$295,"ARGH")</f>
        <v>9000</v>
      </c>
      <c r="BE10" s="3">
        <f>_xlfn.XLOOKUP(BE$1,generator!$B$2:$B$295,generator!$Q$2:$Q$295,"ARGH")</f>
        <v>9000</v>
      </c>
      <c r="BF10" s="3">
        <f>_xlfn.XLOOKUP(BF$1,generator!$B$2:$B$295,generator!$Q$2:$Q$295,"ARGH")</f>
        <v>9000</v>
      </c>
      <c r="BG10" s="3">
        <f>_xlfn.XLOOKUP(BG$1,generator!$B$2:$B$295,generator!$Q$2:$Q$295,"ARGH")</f>
        <v>9000</v>
      </c>
      <c r="BH10" s="3">
        <f>_xlfn.XLOOKUP(BH$1,generator!$B$2:$B$295,generator!$Q$2:$Q$295,"ARGH")</f>
        <v>9000</v>
      </c>
      <c r="BI10" s="3">
        <f>_xlfn.XLOOKUP(BI$1,generator!$B$2:$B$295,generator!$Q$2:$Q$295,"ARGH")</f>
        <v>9000</v>
      </c>
      <c r="BJ10" s="3">
        <f>_xlfn.XLOOKUP(BJ$1,generator!$B$2:$B$295,generator!$Q$2:$Q$295,"ARGH")</f>
        <v>9000</v>
      </c>
      <c r="BK10" s="3">
        <f>_xlfn.XLOOKUP(BK$1,generator!$B$2:$B$295,generator!$Q$2:$Q$295,"ARGH")</f>
        <v>9000</v>
      </c>
      <c r="BL10" s="3">
        <f>_xlfn.XLOOKUP(BL$1,generator!$B$2:$B$295,generator!$Q$2:$Q$295,"ARGH")</f>
        <v>9000</v>
      </c>
      <c r="BM10" s="3">
        <f>_xlfn.XLOOKUP(BM$1,generator!$B$2:$B$295,generator!$Q$2:$Q$295,"ARGH")</f>
        <v>9000</v>
      </c>
      <c r="BN10" s="3">
        <f>_xlfn.XLOOKUP(BN$1,generator!$B$2:$B$295,generator!$Q$2:$Q$295,"ARGH")</f>
        <v>9000</v>
      </c>
      <c r="BO10" s="3">
        <f>_xlfn.XLOOKUP(BO$1,generator!$B$2:$B$295,generator!$Q$2:$Q$295,"ARGH")</f>
        <v>9000</v>
      </c>
      <c r="BP10" s="3">
        <f>_xlfn.XLOOKUP(BP$1,generator!$B$2:$B$295,generator!$Q$2:$Q$295,"ARGH")</f>
        <v>9000</v>
      </c>
      <c r="BQ10" s="3">
        <f>_xlfn.XLOOKUP(BQ$1,generator!$B$2:$B$295,generator!$Q$2:$Q$295,"ARGH")</f>
        <v>9000</v>
      </c>
      <c r="BR10" s="3">
        <f>_xlfn.XLOOKUP(BR$1,generator!$B$2:$B$295,generator!$Q$2:$Q$295,"ARGH")</f>
        <v>9000</v>
      </c>
      <c r="BS10" s="3">
        <f>_xlfn.XLOOKUP(BS$1,generator!$B$2:$B$295,generator!$Q$2:$Q$295,"ARGH")</f>
        <v>9000</v>
      </c>
      <c r="BT10" s="3">
        <f>_xlfn.XLOOKUP(BT$1,generator!$B$2:$B$295,generator!$Q$2:$Q$295,"ARGH")</f>
        <v>9000</v>
      </c>
      <c r="BU10" s="3">
        <f>_xlfn.XLOOKUP(BU$1,generator!$B$2:$B$295,generator!$Q$2:$Q$295,"ARGH")</f>
        <v>9000</v>
      </c>
      <c r="BV10" s="3">
        <f>_xlfn.XLOOKUP(BV$1,generator!$B$2:$B$295,generator!$Q$2:$Q$295,"ARGH")</f>
        <v>9000</v>
      </c>
      <c r="BW10" s="3">
        <f>_xlfn.XLOOKUP(BW$1,generator!$B$2:$B$295,generator!$Q$2:$Q$295,"ARGH")</f>
        <v>9000</v>
      </c>
      <c r="BX10" s="3">
        <f>_xlfn.XLOOKUP(BX$1,generator!$B$2:$B$295,generator!$Q$2:$Q$295,"ARGH")</f>
        <v>9000</v>
      </c>
      <c r="BY10" s="3">
        <f>_xlfn.XLOOKUP(BY$1,generator!$B$2:$B$295,generator!$Q$2:$Q$295,"ARGH")</f>
        <v>9000</v>
      </c>
      <c r="BZ10" s="3">
        <f>_xlfn.XLOOKUP(BZ$1,generator!$B$2:$B$295,generator!$Q$2:$Q$295,"ARGH")</f>
        <v>9000</v>
      </c>
      <c r="CA10" s="3">
        <f>_xlfn.XLOOKUP(CA$1,generator!$B$2:$B$295,generator!$Q$2:$Q$295,"ARGH")</f>
        <v>9000</v>
      </c>
      <c r="CB10" s="3">
        <f>_xlfn.XLOOKUP(CB$1,generator!$B$2:$B$295,generator!$Q$2:$Q$295,"ARGH")</f>
        <v>9000</v>
      </c>
      <c r="CC10" s="3">
        <f>_xlfn.XLOOKUP(CC$1,generator!$B$2:$B$295,generator!$Q$2:$Q$295,"ARGH")</f>
        <v>9000</v>
      </c>
      <c r="CD10" s="3">
        <f>_xlfn.XLOOKUP(CD$1,generator!$B$2:$B$295,generator!$Q$2:$Q$295,"ARGH")</f>
        <v>9000</v>
      </c>
      <c r="CE10" s="3">
        <f>_xlfn.XLOOKUP(CE$1,generator!$B$2:$B$295,generator!$Q$2:$Q$295,"ARGH")</f>
        <v>9000</v>
      </c>
      <c r="CF10" s="3">
        <f>_xlfn.XLOOKUP(CF$1,generator!$B$2:$B$295,generator!$Q$2:$Q$295,"ARGH")</f>
        <v>9000</v>
      </c>
      <c r="CG10" s="3">
        <f>_xlfn.XLOOKUP(CG$1,generator!$B$2:$B$295,generator!$Q$2:$Q$295,"ARGH")</f>
        <v>9000</v>
      </c>
      <c r="CH10" s="3">
        <f>_xlfn.XLOOKUP(CH$1,generator!$B$2:$B$295,generator!$Q$2:$Q$295,"ARGH")</f>
        <v>9000</v>
      </c>
      <c r="CI10" s="3">
        <f>_xlfn.XLOOKUP(CI$1,generator!$B$2:$B$295,generator!$Q$2:$Q$295,"ARGH")</f>
        <v>9000</v>
      </c>
      <c r="CJ10" s="3">
        <f>_xlfn.XLOOKUP(CJ$1,generator!$B$2:$B$295,generator!$Q$2:$Q$295,"ARGH")</f>
        <v>9000</v>
      </c>
      <c r="CK10" s="3">
        <f>_xlfn.XLOOKUP(CK$1,generator!$B$2:$B$295,generator!$Q$2:$Q$295,"ARGH")</f>
        <v>9000</v>
      </c>
      <c r="CL10" s="3">
        <f>_xlfn.XLOOKUP(CL$1,generator!$B$2:$B$295,generator!$Q$2:$Q$295,"ARGH")</f>
        <v>9000</v>
      </c>
      <c r="CM10" s="3">
        <f>_xlfn.XLOOKUP(CM$1,generator!$B$2:$B$295,generator!$Q$2:$Q$295,"ARGH")</f>
        <v>9000</v>
      </c>
      <c r="CN10" s="3">
        <f>_xlfn.XLOOKUP(CN$1,generator!$B$2:$B$295,generator!$Q$2:$Q$295,"ARGH")</f>
        <v>9000</v>
      </c>
      <c r="CO10" s="3">
        <f>_xlfn.XLOOKUP(CO$1,generator!$B$2:$B$295,generator!$Q$2:$Q$295,"ARGH")</f>
        <v>9000</v>
      </c>
      <c r="CP10" s="3">
        <f>_xlfn.XLOOKUP(CP$1,generator!$B$2:$B$295,generator!$Q$2:$Q$295,"ARGH")</f>
        <v>9000</v>
      </c>
      <c r="CQ10" s="3">
        <f>_xlfn.XLOOKUP(CQ$1,generator!$B$2:$B$295,generator!$Q$2:$Q$295,"ARGH")</f>
        <v>9000</v>
      </c>
      <c r="CR10" s="3">
        <f>_xlfn.XLOOKUP(CR$1,generator!$B$2:$B$295,generator!$Q$2:$Q$295,"ARGH")</f>
        <v>9000</v>
      </c>
      <c r="CS10" s="3">
        <f>_xlfn.XLOOKUP(CS$1,generator!$B$2:$B$295,generator!$Q$2:$Q$295,"ARGH")</f>
        <v>9000</v>
      </c>
      <c r="CT10" s="3">
        <f>_xlfn.XLOOKUP(CT$1,generator!$B$2:$B$295,generator!$Q$2:$Q$295,"ARGH")</f>
        <v>9000</v>
      </c>
      <c r="CU10" s="3">
        <f>_xlfn.XLOOKUP(CU$1,generator!$B$2:$B$295,generator!$Q$2:$Q$295,"ARGH")</f>
        <v>9000</v>
      </c>
      <c r="CV10" s="3">
        <f>_xlfn.XLOOKUP(CV$1,generator!$B$2:$B$295,generator!$Q$2:$Q$295,"ARGH")</f>
        <v>9000</v>
      </c>
      <c r="CW10" s="3">
        <f>_xlfn.XLOOKUP(CW$1,generator!$B$2:$B$295,generator!$Q$2:$Q$295,"ARGH")</f>
        <v>9000</v>
      </c>
      <c r="CX10" s="3">
        <f>_xlfn.XLOOKUP(CX$1,generator!$B$2:$B$295,generator!$Q$2:$Q$295,"ARGH")</f>
        <v>9000</v>
      </c>
      <c r="CY10" s="3">
        <f>_xlfn.XLOOKUP(CY$1,generator!$B$2:$B$295,generator!$Q$2:$Q$295,"ARGH")</f>
        <v>9000</v>
      </c>
      <c r="CZ10" s="3">
        <f>_xlfn.XLOOKUP(CZ$1,generator!$B$2:$B$295,generator!$Q$2:$Q$295,"ARGH")</f>
        <v>9000</v>
      </c>
      <c r="DA10" s="3">
        <f>_xlfn.XLOOKUP(DA$1,generator!$B$2:$B$295,generator!$Q$2:$Q$295,"ARGH")</f>
        <v>9000</v>
      </c>
      <c r="DB10" s="3">
        <f>_xlfn.XLOOKUP(DB$1,generator!$B$2:$B$295,generator!$Q$2:$Q$295,"ARGH")</f>
        <v>9000</v>
      </c>
      <c r="DC10" s="3">
        <f>_xlfn.XLOOKUP(DC$1,generator!$B$2:$B$295,generator!$Q$2:$Q$295,"ARGH")</f>
        <v>9000</v>
      </c>
      <c r="DD10" s="3">
        <f>_xlfn.XLOOKUP(DD$1,generator!$B$2:$B$295,generator!$Q$2:$Q$295,"ARGH")</f>
        <v>9000</v>
      </c>
      <c r="DE10" s="3">
        <f>_xlfn.XLOOKUP(DE$1,generator!$B$2:$B$295,generator!$Q$2:$Q$295,"ARGH")</f>
        <v>9000</v>
      </c>
      <c r="DF10" s="3">
        <f>_xlfn.XLOOKUP(DF$1,generator!$B$2:$B$295,generator!$Q$2:$Q$295,"ARGH")</f>
        <v>9000</v>
      </c>
      <c r="DG10" s="3">
        <f>_xlfn.XLOOKUP(DG$1,generator!$B$2:$B$295,generator!$Q$2:$Q$295,"ARGH")</f>
        <v>9000</v>
      </c>
      <c r="DH10" s="3">
        <f>_xlfn.XLOOKUP(DH$1,generator!$B$2:$B$295,generator!$Q$2:$Q$295,"ARGH")</f>
        <v>9000</v>
      </c>
      <c r="DI10" s="3">
        <f>_xlfn.XLOOKUP(DI$1,generator!$B$2:$B$295,generator!$Q$2:$Q$295,"ARGH")</f>
        <v>9000</v>
      </c>
      <c r="DJ10" s="3">
        <f>_xlfn.XLOOKUP(DJ$1,generator!$B$2:$B$295,generator!$Q$2:$Q$295,"ARGH")</f>
        <v>9000</v>
      </c>
      <c r="DK10" s="3">
        <f>_xlfn.XLOOKUP(DK$1,generator!$B$2:$B$295,generator!$Q$2:$Q$295,"ARGH")</f>
        <v>9000</v>
      </c>
      <c r="DL10" s="3">
        <f>_xlfn.XLOOKUP(DL$1,generator!$B$2:$B$295,generator!$Q$2:$Q$295,"ARGH")</f>
        <v>9000</v>
      </c>
      <c r="DM10" s="3">
        <f>_xlfn.XLOOKUP(DM$1,generator!$B$2:$B$295,generator!$Q$2:$Q$295,"ARGH")</f>
        <v>9000</v>
      </c>
      <c r="DN10" s="3">
        <f>_xlfn.XLOOKUP(DN$1,generator!$B$2:$B$295,generator!$Q$2:$Q$295,"ARGH")</f>
        <v>9000</v>
      </c>
      <c r="DO10" s="3">
        <f>_xlfn.XLOOKUP(DO$1,generator!$B$2:$B$295,generator!$Q$2:$Q$295,"ARGH")</f>
        <v>9000</v>
      </c>
      <c r="DP10" s="3">
        <f>_xlfn.XLOOKUP(DP$1,generator!$B$2:$B$295,generator!$Q$2:$Q$295,"ARGH")</f>
        <v>9000</v>
      </c>
      <c r="DQ10" s="3">
        <f>_xlfn.XLOOKUP(DQ$1,generator!$B$2:$B$295,generator!$Q$2:$Q$295,"ARGH")</f>
        <v>9000</v>
      </c>
      <c r="DR10" s="3">
        <f>_xlfn.XLOOKUP(DR$1,generator!$B$2:$B$295,generator!$Q$2:$Q$295,"ARGH")</f>
        <v>9000</v>
      </c>
      <c r="DS10" s="3">
        <f>_xlfn.XLOOKUP(DS$1,generator!$B$2:$B$295,generator!$Q$2:$Q$295,"ARGH")</f>
        <v>9000</v>
      </c>
      <c r="DT10" s="3">
        <f>_xlfn.XLOOKUP(DT$1,generator!$B$2:$B$295,generator!$Q$2:$Q$295,"ARGH")</f>
        <v>9000</v>
      </c>
      <c r="DU10" s="3">
        <f>_xlfn.XLOOKUP(DU$1,generator!$B$2:$B$295,generator!$Q$2:$Q$295,"ARGH")</f>
        <v>9000</v>
      </c>
      <c r="DV10" s="3">
        <f>_xlfn.XLOOKUP(DV$1,generator!$B$2:$B$295,generator!$Q$2:$Q$295,"ARGH")</f>
        <v>9000</v>
      </c>
      <c r="DW10" s="3">
        <f>_xlfn.XLOOKUP(DW$1,generator!$B$2:$B$295,generator!$Q$2:$Q$295,"ARGH")</f>
        <v>9000</v>
      </c>
      <c r="DX10" s="3">
        <f>_xlfn.XLOOKUP(DX$1,generator!$B$2:$B$295,generator!$Q$2:$Q$295,"ARGH")</f>
        <v>9000</v>
      </c>
      <c r="DY10" s="3">
        <f>_xlfn.XLOOKUP(DY$1,generator!$B$2:$B$295,generator!$Q$2:$Q$295,"ARGH")</f>
        <v>9000</v>
      </c>
      <c r="DZ10" s="3">
        <f>_xlfn.XLOOKUP(DZ$1,generator!$B$2:$B$295,generator!$Q$2:$Q$295,"ARGH")</f>
        <v>9000</v>
      </c>
      <c r="EA10" s="3">
        <f>_xlfn.XLOOKUP(EA$1,generator!$B$2:$B$295,generator!$Q$2:$Q$295,"ARGH")</f>
        <v>9000</v>
      </c>
      <c r="EB10" s="3">
        <f>_xlfn.XLOOKUP(EB$1,generator!$B$2:$B$295,generator!$Q$2:$Q$295,"ARGH")</f>
        <v>9000</v>
      </c>
      <c r="EC10" s="3">
        <f>_xlfn.XLOOKUP(EC$1,generator!$B$2:$B$295,generator!$Q$2:$Q$295,"ARGH")</f>
        <v>9000</v>
      </c>
      <c r="ED10" s="3">
        <f>_xlfn.XLOOKUP(ED$1,generator!$B$2:$B$295,generator!$Q$2:$Q$295,"ARGH")</f>
        <v>9000</v>
      </c>
      <c r="EE10" s="3">
        <f>_xlfn.XLOOKUP(EE$1,generator!$B$2:$B$295,generator!$Q$2:$Q$295,"ARGH")</f>
        <v>9000</v>
      </c>
      <c r="EF10" s="3">
        <f>_xlfn.XLOOKUP(EF$1,generator!$B$2:$B$295,generator!$Q$2:$Q$295,"ARGH")</f>
        <v>9000</v>
      </c>
      <c r="EG10" s="3">
        <f>_xlfn.XLOOKUP(EG$1,generator!$B$2:$B$295,generator!$Q$2:$Q$295,"ARGH")</f>
        <v>9000</v>
      </c>
      <c r="EH10" s="3">
        <f>_xlfn.XLOOKUP(EH$1,generator!$B$2:$B$295,generator!$Q$2:$Q$295,"ARGH")</f>
        <v>9000</v>
      </c>
      <c r="EI10" s="3">
        <f>_xlfn.XLOOKUP(EI$1,generator!$B$2:$B$295,generator!$Q$2:$Q$295,"ARGH")</f>
        <v>9000</v>
      </c>
      <c r="EJ10" s="3">
        <f>_xlfn.XLOOKUP(EJ$1,generator!$B$2:$B$295,generator!$Q$2:$Q$295,"ARGH")</f>
        <v>9000</v>
      </c>
      <c r="EK10" s="3">
        <f>_xlfn.XLOOKUP(EK$1,generator!$B$2:$B$295,generator!$Q$2:$Q$295,"ARGH")</f>
        <v>9000</v>
      </c>
      <c r="EL10" s="3">
        <f>_xlfn.XLOOKUP(EL$1,generator!$B$2:$B$295,generator!$Q$2:$Q$295,"ARGH")</f>
        <v>9000</v>
      </c>
      <c r="EM10" s="3">
        <f>_xlfn.XLOOKUP(EM$1,generator!$B$2:$B$295,generator!$Q$2:$Q$295,"ARGH")</f>
        <v>9000</v>
      </c>
      <c r="EN10" s="3">
        <f>_xlfn.XLOOKUP(EN$1,generator!$B$2:$B$295,generator!$Q$2:$Q$295,"ARGH")</f>
        <v>9000</v>
      </c>
      <c r="EO10" s="3">
        <f>_xlfn.XLOOKUP(EO$1,generator!$B$2:$B$295,generator!$Q$2:$Q$295,"ARGH")</f>
        <v>9000</v>
      </c>
      <c r="EP10" s="3">
        <f>_xlfn.XLOOKUP(EP$1,generator!$B$2:$B$295,generator!$Q$2:$Q$295,"ARGH")</f>
        <v>9000</v>
      </c>
      <c r="EQ10" s="3">
        <f>_xlfn.XLOOKUP(EQ$1,generator!$B$2:$B$295,generator!$Q$2:$Q$295,"ARGH")</f>
        <v>9000</v>
      </c>
      <c r="ER10" s="3">
        <f>_xlfn.XLOOKUP(ER$1,generator!$B$2:$B$295,generator!$Q$2:$Q$295,"ARGH")</f>
        <v>9000</v>
      </c>
      <c r="ES10" s="3">
        <f>_xlfn.XLOOKUP(ES$1,generator!$B$2:$B$295,generator!$Q$2:$Q$295,"ARGH")</f>
        <v>9000</v>
      </c>
      <c r="ET10" s="3">
        <f>_xlfn.XLOOKUP(ET$1,generator!$B$2:$B$295,generator!$Q$2:$Q$295,"ARGH")</f>
        <v>9000</v>
      </c>
      <c r="EU10" s="3">
        <f>_xlfn.XLOOKUP(EU$1,generator!$B$2:$B$295,generator!$Q$2:$Q$295,"ARGH")</f>
        <v>9000</v>
      </c>
      <c r="EV10" s="3">
        <f>_xlfn.XLOOKUP(EV$1,generator!$B$2:$B$295,generator!$Q$2:$Q$295,"ARGH")</f>
        <v>9000</v>
      </c>
      <c r="EW10" s="3">
        <f>_xlfn.XLOOKUP(EW$1,generator!$B$2:$B$295,generator!$Q$2:$Q$295,"ARGH")</f>
        <v>9000</v>
      </c>
      <c r="EX10" s="3">
        <f>_xlfn.XLOOKUP(EX$1,generator!$B$2:$B$295,generator!$Q$2:$Q$295,"ARGH")</f>
        <v>9000</v>
      </c>
      <c r="EY10" s="3">
        <f>_xlfn.XLOOKUP(EY$1,generator!$B$2:$B$295,generator!$Q$2:$Q$295,"ARGH")</f>
        <v>9000</v>
      </c>
      <c r="EZ10" s="3">
        <f>_xlfn.XLOOKUP(EZ$1,generator!$B$2:$B$295,generator!$Q$2:$Q$295,"ARGH")</f>
        <v>9000</v>
      </c>
      <c r="FA10" s="3">
        <f>_xlfn.XLOOKUP(FA$1,generator!$B$2:$B$295,generator!$Q$2:$Q$295,"ARGH")</f>
        <v>9000</v>
      </c>
      <c r="FB10" s="3">
        <f>_xlfn.XLOOKUP(FB$1,generator!$B$2:$B$295,generator!$Q$2:$Q$295,"ARGH")</f>
        <v>9000</v>
      </c>
      <c r="FC10" s="3">
        <f>_xlfn.XLOOKUP(FC$1,generator!$B$2:$B$295,generator!$Q$2:$Q$295,"ARGH")</f>
        <v>9000</v>
      </c>
      <c r="FD10" s="3">
        <f>_xlfn.XLOOKUP(FD$1,generator!$B$2:$B$295,generator!$Q$2:$Q$295,"ARGH")</f>
        <v>9000</v>
      </c>
      <c r="FE10" s="3">
        <f>_xlfn.XLOOKUP(FE$1,generator!$B$2:$B$295,generator!$Q$2:$Q$295,"ARGH")</f>
        <v>9000</v>
      </c>
      <c r="FF10" s="3">
        <f>_xlfn.XLOOKUP(FF$1,generator!$B$2:$B$295,generator!$Q$2:$Q$295,"ARGH")</f>
        <v>9000</v>
      </c>
      <c r="FG10" s="3">
        <f>_xlfn.XLOOKUP(FG$1,generator!$B$2:$B$295,generator!$Q$2:$Q$295,"ARGH")</f>
        <v>9000</v>
      </c>
      <c r="FH10" s="3">
        <f>_xlfn.XLOOKUP(FH$1,generator!$B$2:$B$295,generator!$Q$2:$Q$295,"ARGH")</f>
        <v>9000</v>
      </c>
      <c r="FI10" s="3">
        <f>_xlfn.XLOOKUP(FI$1,generator!$B$2:$B$295,generator!$Q$2:$Q$295,"ARGH")</f>
        <v>9000</v>
      </c>
      <c r="FJ10" s="3">
        <f>_xlfn.XLOOKUP(FJ$1,generator!$B$2:$B$295,generator!$Q$2:$Q$295,"ARGH")</f>
        <v>9000</v>
      </c>
      <c r="FK10" s="3">
        <f>_xlfn.XLOOKUP(FK$1,generator!$B$2:$B$295,generator!$Q$2:$Q$295,"ARGH")</f>
        <v>9000</v>
      </c>
      <c r="FL10" s="3">
        <f>_xlfn.XLOOKUP(FL$1,generator!$B$2:$B$295,generator!$Q$2:$Q$295,"ARGH")</f>
        <v>9000</v>
      </c>
      <c r="FM10" s="3">
        <f>_xlfn.XLOOKUP(FM$1,generator!$B$2:$B$295,generator!$Q$2:$Q$295,"ARGH")</f>
        <v>9000</v>
      </c>
      <c r="FN10" s="3">
        <f>_xlfn.XLOOKUP(FN$1,generator!$B$2:$B$295,generator!$Q$2:$Q$295,"ARGH")</f>
        <v>9000</v>
      </c>
      <c r="FO10" s="3">
        <f>_xlfn.XLOOKUP(FO$1,generator!$B$2:$B$295,generator!$Q$2:$Q$295,"ARGH")</f>
        <v>9000</v>
      </c>
      <c r="FP10" s="3">
        <f>_xlfn.XLOOKUP(FP$1,generator!$B$2:$B$295,generator!$Q$2:$Q$295,"ARGH")</f>
        <v>9000</v>
      </c>
      <c r="FQ10" s="3">
        <f>_xlfn.XLOOKUP(FQ$1,generator!$B$2:$B$295,generator!$Q$2:$Q$295,"ARGH")</f>
        <v>9000</v>
      </c>
      <c r="FR10" s="3">
        <f>_xlfn.XLOOKUP(FR$1,generator!$B$2:$B$295,generator!$Q$2:$Q$295,"ARGH")</f>
        <v>9000</v>
      </c>
      <c r="FS10" s="3">
        <f>_xlfn.XLOOKUP(FS$1,generator!$B$2:$B$295,generator!$Q$2:$Q$295,"ARGH")</f>
        <v>9000</v>
      </c>
      <c r="FT10" s="3">
        <f>_xlfn.XLOOKUP(FT$1,generator!$B$2:$B$295,generator!$Q$2:$Q$295,"ARGH")</f>
        <v>9000</v>
      </c>
      <c r="FU10" s="3">
        <f>_xlfn.XLOOKUP(FU$1,generator!$B$2:$B$295,generator!$Q$2:$Q$295,"ARGH")</f>
        <v>9000</v>
      </c>
      <c r="FV10" s="3">
        <f>_xlfn.XLOOKUP(FV$1,generator!$B$2:$B$295,generator!$Q$2:$Q$295,"ARGH")</f>
        <v>9000</v>
      </c>
      <c r="FW10" s="3">
        <f>_xlfn.XLOOKUP(FW$1,generator!$B$2:$B$295,generator!$Q$2:$Q$295,"ARGH")</f>
        <v>9000</v>
      </c>
      <c r="FX10" s="3">
        <f>_xlfn.XLOOKUP(FX$1,generator!$B$2:$B$295,generator!$Q$2:$Q$295,"ARGH")</f>
        <v>9000</v>
      </c>
      <c r="FY10" s="3">
        <f>_xlfn.XLOOKUP(FY$1,generator!$B$2:$B$295,generator!$Q$2:$Q$295,"ARGH")</f>
        <v>9000</v>
      </c>
      <c r="FZ10" s="3">
        <f>_xlfn.XLOOKUP(FZ$1,generator!$B$2:$B$295,generator!$Q$2:$Q$295,"ARGH")</f>
        <v>9000</v>
      </c>
      <c r="GA10" s="3">
        <f>_xlfn.XLOOKUP(GA$1,generator!$B$2:$B$295,generator!$Q$2:$Q$295,"ARGH")</f>
        <v>9000</v>
      </c>
      <c r="GB10" s="3">
        <f>_xlfn.XLOOKUP(GB$1,generator!$B$2:$B$295,generator!$Q$2:$Q$295,"ARGH")</f>
        <v>9000</v>
      </c>
      <c r="GC10" s="3">
        <f>_xlfn.XLOOKUP(GC$1,generator!$B$2:$B$295,generator!$Q$2:$Q$295,"ARGH")</f>
        <v>9000</v>
      </c>
      <c r="GD10" s="3">
        <f>_xlfn.XLOOKUP(GD$1,generator!$B$2:$B$295,generator!$Q$2:$Q$295,"ARGH")</f>
        <v>9000</v>
      </c>
      <c r="GE10" s="3">
        <f>_xlfn.XLOOKUP(GE$1,generator!$B$2:$B$295,generator!$Q$2:$Q$295,"ARGH")</f>
        <v>9000</v>
      </c>
      <c r="GF10" s="3">
        <f>_xlfn.XLOOKUP(GF$1,generator!$B$2:$B$295,generator!$Q$2:$Q$295,"ARGH")</f>
        <v>9000</v>
      </c>
      <c r="GG10" s="3">
        <f>_xlfn.XLOOKUP(GG$1,generator!$B$2:$B$295,generator!$Q$2:$Q$295,"ARGH")</f>
        <v>9000</v>
      </c>
      <c r="GH10" s="3">
        <f>_xlfn.XLOOKUP(GH$1,generator!$B$2:$B$295,generator!$Q$2:$Q$295,"ARGH")</f>
        <v>9000</v>
      </c>
      <c r="GI10" s="3">
        <f>_xlfn.XLOOKUP(GI$1,generator!$B$2:$B$295,generator!$Q$2:$Q$295,"ARGH")</f>
        <v>9000</v>
      </c>
      <c r="GJ10" s="3">
        <f>_xlfn.XLOOKUP(GJ$1,generator!$B$2:$B$295,generator!$Q$2:$Q$295,"ARGH")</f>
        <v>9000</v>
      </c>
      <c r="GK10" s="3">
        <f>_xlfn.XLOOKUP(GK$1,generator!$B$2:$B$295,generator!$Q$2:$Q$295,"ARGH")</f>
        <v>9000</v>
      </c>
      <c r="GL10" s="3">
        <f>_xlfn.XLOOKUP(GL$1,generator!$B$2:$B$295,generator!$Q$2:$Q$295,"ARGH")</f>
        <v>9000</v>
      </c>
      <c r="GM10" s="3">
        <f>_xlfn.XLOOKUP(GM$1,generator!$B$2:$B$295,generator!$Q$2:$Q$295,"ARGH")</f>
        <v>9000</v>
      </c>
      <c r="GN10" s="3">
        <f>_xlfn.XLOOKUP(GN$1,generator!$B$2:$B$295,generator!$Q$2:$Q$295,"ARGH")</f>
        <v>9000</v>
      </c>
      <c r="GO10" s="3">
        <f>_xlfn.XLOOKUP(GO$1,generator!$B$2:$B$295,generator!$Q$2:$Q$295,"ARGH")</f>
        <v>9000</v>
      </c>
      <c r="GP10" s="3">
        <f>_xlfn.XLOOKUP(GP$1,generator!$B$2:$B$295,generator!$Q$2:$Q$295,"ARGH")</f>
        <v>9000</v>
      </c>
      <c r="GQ10" s="3">
        <f>_xlfn.XLOOKUP(GQ$1,generator!$B$2:$B$295,generator!$Q$2:$Q$295,"ARGH")</f>
        <v>9000</v>
      </c>
      <c r="GR10" s="3">
        <f>_xlfn.XLOOKUP(GR$1,generator!$B$2:$B$295,generator!$Q$2:$Q$295,"ARGH")</f>
        <v>9000</v>
      </c>
      <c r="GS10" s="3">
        <f>_xlfn.XLOOKUP(GS$1,generator!$B$2:$B$295,generator!$Q$2:$Q$295,"ARGH")</f>
        <v>9000</v>
      </c>
      <c r="GT10" s="3">
        <f>_xlfn.XLOOKUP(GT$1,generator!$B$2:$B$295,generator!$Q$2:$Q$295,"ARGH")</f>
        <v>9000</v>
      </c>
      <c r="GU10" s="3">
        <f>_xlfn.XLOOKUP(GU$1,generator!$B$2:$B$295,generator!$Q$2:$Q$295,"ARGH")</f>
        <v>9000</v>
      </c>
      <c r="GV10" s="3">
        <f>_xlfn.XLOOKUP(GV$1,generator!$B$2:$B$295,generator!$Q$2:$Q$295,"ARGH")</f>
        <v>9000</v>
      </c>
      <c r="GW10" s="3">
        <f>_xlfn.XLOOKUP(GW$1,generator!$B$2:$B$295,generator!$Q$2:$Q$295,"ARGH")</f>
        <v>9000</v>
      </c>
      <c r="GX10" s="3">
        <f>_xlfn.XLOOKUP(GX$1,generator!$B$2:$B$295,generator!$Q$2:$Q$295,"ARGH")</f>
        <v>9000</v>
      </c>
      <c r="GY10" s="3">
        <f>_xlfn.XLOOKUP(GY$1,generator!$B$2:$B$295,generator!$Q$2:$Q$295,"ARGH")</f>
        <v>9000</v>
      </c>
      <c r="GZ10" s="3">
        <f>_xlfn.XLOOKUP(GZ$1,generator!$B$2:$B$295,generator!$Q$2:$Q$295,"ARGH")</f>
        <v>9000</v>
      </c>
      <c r="HA10" s="3">
        <f>_xlfn.XLOOKUP(HA$1,generator!$B$2:$B$295,generator!$Q$2:$Q$295,"ARGH")</f>
        <v>9000</v>
      </c>
      <c r="HB10" s="3">
        <f>_xlfn.XLOOKUP(HB$1,generator!$B$2:$B$295,generator!$Q$2:$Q$295,"ARGH")</f>
        <v>9000</v>
      </c>
      <c r="HC10" s="3">
        <f>_xlfn.XLOOKUP(HC$1,generator!$B$2:$B$295,generator!$Q$2:$Q$295,"ARGH")</f>
        <v>9000</v>
      </c>
      <c r="HD10" s="3">
        <f>_xlfn.XLOOKUP(HD$1,generator!$B$2:$B$295,generator!$Q$2:$Q$295,"ARGH")</f>
        <v>9000</v>
      </c>
      <c r="HE10" s="3">
        <f>_xlfn.XLOOKUP(HE$1,generator!$B$2:$B$295,generator!$Q$2:$Q$295,"ARGH")</f>
        <v>8000</v>
      </c>
      <c r="HF10" s="3" t="str">
        <f>_xlfn.XLOOKUP(HF$1,generator!$B$2:$B$295,generator!$Q$2:$Q$295,"ARGH")</f>
        <v>143</v>
      </c>
      <c r="HG10" s="3" t="str">
        <f>_xlfn.XLOOKUP(HG$1,generator!$B$2:$B$295,generator!$Q$2:$Q$295,"ARGH")</f>
        <v>143</v>
      </c>
      <c r="HH10" s="3" t="str">
        <f>_xlfn.XLOOKUP(HH$1,generator!$B$2:$B$295,generator!$Q$2:$Q$295,"ARGH")</f>
        <v>143</v>
      </c>
      <c r="HI10" s="3" t="str">
        <f>_xlfn.XLOOKUP(HI$1,generator!$B$2:$B$295,generator!$Q$2:$Q$295,"ARGH")</f>
        <v>246.74</v>
      </c>
      <c r="HJ10" s="3" t="str">
        <f>_xlfn.XLOOKUP(HJ$1,generator!$B$2:$B$295,generator!$Q$2:$Q$295,"ARGH")</f>
        <v>246.74</v>
      </c>
      <c r="HK10" s="3" t="str">
        <f>_xlfn.XLOOKUP(HK$1,generator!$B$2:$B$295,generator!$Q$2:$Q$295,"ARGH")</f>
        <v>206.04</v>
      </c>
      <c r="HL10" s="3" t="str">
        <f>_xlfn.XLOOKUP(HL$1,generator!$B$2:$B$295,generator!$Q$2:$Q$295,"ARGH")</f>
        <v>506.96</v>
      </c>
      <c r="HM10" s="3" t="str">
        <f>_xlfn.XLOOKUP(HM$1,generator!$B$2:$B$295,generator!$Q$2:$Q$295,"ARGH")</f>
        <v>506.95</v>
      </c>
      <c r="HN10" s="3" t="str">
        <f>_xlfn.XLOOKUP(HN$1,generator!$B$2:$B$295,generator!$Q$2:$Q$295,"ARGH")</f>
        <v>190.97</v>
      </c>
      <c r="HO10" s="3" t="str">
        <f>_xlfn.XLOOKUP(HO$1,generator!$B$2:$B$295,generator!$Q$2:$Q$295,"ARGH")</f>
        <v>190.97</v>
      </c>
      <c r="HP10" s="3" t="str">
        <f>_xlfn.XLOOKUP(HP$1,generator!$B$2:$B$295,generator!$Q$2:$Q$295,"ARGH")</f>
        <v>424.84</v>
      </c>
      <c r="HQ10" s="3" t="str">
        <f>_xlfn.XLOOKUP(HQ$1,generator!$B$2:$B$295,generator!$Q$2:$Q$295,"ARGH")</f>
        <v>425.9</v>
      </c>
      <c r="HR10" s="3" t="str">
        <f>_xlfn.XLOOKUP(HR$1,generator!$B$2:$B$295,generator!$Q$2:$Q$295,"ARGH")</f>
        <v>425.9</v>
      </c>
      <c r="HS10" s="3" t="str">
        <f>_xlfn.XLOOKUP(HS$1,generator!$B$2:$B$295,generator!$Q$2:$Q$295,"ARGH")</f>
        <v>196.54</v>
      </c>
      <c r="HT10" s="3" t="str">
        <f>_xlfn.XLOOKUP(HT$1,generator!$B$2:$B$295,generator!$Q$2:$Q$295,"ARGH")</f>
        <v>196.54</v>
      </c>
      <c r="HU10" s="3" t="str">
        <f>_xlfn.XLOOKUP(HU$1,generator!$B$2:$B$295,generator!$Q$2:$Q$295,"ARGH")</f>
        <v>145.57</v>
      </c>
      <c r="HV10" s="3" t="str">
        <f>_xlfn.XLOOKUP(HV$1,generator!$B$2:$B$295,generator!$Q$2:$Q$295,"ARGH")</f>
        <v>132.62</v>
      </c>
      <c r="HW10" s="3" t="str">
        <f>_xlfn.XLOOKUP(HW$1,generator!$B$2:$B$295,generator!$Q$2:$Q$295,"ARGH")</f>
        <v>193.76</v>
      </c>
      <c r="HX10" s="3" t="str">
        <f>_xlfn.XLOOKUP(HX$1,generator!$B$2:$B$295,generator!$Q$2:$Q$295,"ARGH")</f>
        <v>193.76</v>
      </c>
      <c r="HY10" s="3" t="str">
        <f>_xlfn.XLOOKUP(HY$1,generator!$B$2:$B$295,generator!$Q$2:$Q$295,"ARGH")</f>
        <v>79.19</v>
      </c>
      <c r="HZ10" s="3" t="str">
        <f>_xlfn.XLOOKUP(HZ$1,generator!$B$2:$B$295,generator!$Q$2:$Q$295,"ARGH")</f>
        <v>125.79</v>
      </c>
      <c r="IA10" s="3" t="str">
        <f>_xlfn.XLOOKUP(IA$1,generator!$B$2:$B$295,generator!$Q$2:$Q$295,"ARGH")</f>
        <v>54.19</v>
      </c>
      <c r="IB10" s="3" t="str">
        <f>_xlfn.XLOOKUP(IB$1,generator!$B$2:$B$295,generator!$Q$2:$Q$295,"ARGH")</f>
        <v>59.7</v>
      </c>
      <c r="IC10" s="3">
        <f>_xlfn.XLOOKUP(IC$1,generator!$B$2:$B$295,generator!$Q$2:$Q$295,"ARGH")</f>
        <v>0</v>
      </c>
      <c r="ID10" s="3" t="str">
        <f>_xlfn.XLOOKUP(ID$1,generator!$B$2:$B$295,generator!$Q$2:$Q$295,"ARGH")</f>
        <v>121.14</v>
      </c>
      <c r="IE10" s="3" t="str">
        <f>_xlfn.XLOOKUP(IE$1,generator!$B$2:$B$295,generator!$Q$2:$Q$295,"ARGH")</f>
        <v>26.6</v>
      </c>
      <c r="IF10" s="3">
        <f>_xlfn.XLOOKUP(IF$1,generator!$B$2:$B$295,generator!$Q$2:$Q$295,"ARGH")</f>
        <v>8000</v>
      </c>
      <c r="IG10" s="3">
        <f>_xlfn.XLOOKUP(IG$1,generator!$B$2:$B$295,generator!$Q$2:$Q$295,"ARGH")</f>
        <v>8000</v>
      </c>
      <c r="IH10" s="3">
        <f>_xlfn.XLOOKUP(IH$1,generator!$B$2:$B$295,generator!$Q$2:$Q$295,"ARGH")</f>
        <v>8000</v>
      </c>
      <c r="II10" s="3">
        <f>_xlfn.XLOOKUP(II$1,generator!$B$2:$B$295,generator!$Q$2:$Q$295,"ARGH")</f>
        <v>8000</v>
      </c>
      <c r="IJ10" s="3">
        <f>_xlfn.XLOOKUP(IJ$1,generator!$B$2:$B$295,generator!$Q$2:$Q$295,"ARGH")</f>
        <v>8000</v>
      </c>
      <c r="IK10" s="3">
        <f>_xlfn.XLOOKUP(IK$1,generator!$B$2:$B$295,generator!$Q$2:$Q$295,"ARGH")</f>
        <v>8000</v>
      </c>
      <c r="IL10" s="3">
        <f>_xlfn.XLOOKUP(IL$1,generator!$B$2:$B$295,generator!$Q$2:$Q$295,"ARGH")</f>
        <v>8000</v>
      </c>
      <c r="IM10" s="3">
        <f>_xlfn.XLOOKUP(IM$1,generator!$B$2:$B$295,generator!$Q$2:$Q$295,"ARGH")</f>
        <v>8000</v>
      </c>
      <c r="IN10" s="3">
        <f>_xlfn.XLOOKUP(IN$1,generator!$B$2:$B$295,generator!$Q$2:$Q$295,"ARGH")</f>
        <v>8000</v>
      </c>
      <c r="IO10" s="3">
        <f>_xlfn.XLOOKUP(IO$1,generator!$B$2:$B$295,generator!$Q$2:$Q$295,"ARGH")</f>
        <v>8000</v>
      </c>
      <c r="IP10" s="3">
        <f>_xlfn.XLOOKUP(IP$1,generator!$B$2:$B$295,generator!$Q$2:$Q$295,"ARGH")</f>
        <v>8000</v>
      </c>
      <c r="IQ10" s="3">
        <f>_xlfn.XLOOKUP(IQ$1,generator!$B$2:$B$295,generator!$Q$2:$Q$295,"ARGH")</f>
        <v>8000</v>
      </c>
      <c r="IR10" s="3">
        <f>_xlfn.XLOOKUP(IR$1,generator!$B$2:$B$295,generator!$Q$2:$Q$295,"ARGH")</f>
        <v>8000</v>
      </c>
      <c r="IS10" s="3">
        <f>_xlfn.XLOOKUP(IS$1,generator!$B$2:$B$295,generator!$Q$2:$Q$295,"ARGH")</f>
        <v>8000</v>
      </c>
      <c r="IT10" s="3">
        <f>_xlfn.XLOOKUP(IT$1,generator!$B$2:$B$295,generator!$Q$2:$Q$295,"ARGH")</f>
        <v>8000</v>
      </c>
      <c r="IU10" s="3">
        <f>_xlfn.XLOOKUP(IU$1,generator!$B$2:$B$295,generator!$Q$2:$Q$295,"ARGH")</f>
        <v>8000</v>
      </c>
      <c r="IV10" s="3">
        <f>_xlfn.XLOOKUP(IV$1,generator!$B$2:$B$295,generator!$Q$2:$Q$295,"ARGH")</f>
        <v>8000</v>
      </c>
      <c r="IW10" s="3" t="str">
        <f>_xlfn.XLOOKUP(IW$1,generator!$B$2:$B$295,generator!$Q$2:$Q$295,"ARGH")</f>
        <v>108.19</v>
      </c>
      <c r="IX10" s="3" t="str">
        <f>_xlfn.XLOOKUP(IX$1,generator!$B$2:$B$295,generator!$Q$2:$Q$295,"ARGH")</f>
        <v>108.18</v>
      </c>
      <c r="IY10" s="3" t="str">
        <f>_xlfn.XLOOKUP(IY$1,generator!$B$2:$B$295,generator!$Q$2:$Q$295,"ARGH")</f>
        <v>108.17</v>
      </c>
      <c r="IZ10" s="3" t="str">
        <f>_xlfn.XLOOKUP(IZ$1,generator!$B$2:$B$295,generator!$Q$2:$Q$295,"ARGH")</f>
        <v>40.96</v>
      </c>
      <c r="JA10" s="3">
        <f>_xlfn.XLOOKUP(JA$1,generator!$B$2:$B$295,generator!$Q$2:$Q$295,"ARGH")</f>
        <v>0</v>
      </c>
      <c r="JB10" s="3">
        <f>_xlfn.XLOOKUP(JB$1,generator!$B$2:$B$295,generator!$Q$2:$Q$295,"ARGH")</f>
        <v>0</v>
      </c>
      <c r="JC10" s="3" t="str">
        <f>_xlfn.XLOOKUP(JC$1,generator!$B$2:$B$295,generator!$Q$2:$Q$295,"ARGH")</f>
        <v>75.91</v>
      </c>
      <c r="JD10" s="3" t="str">
        <f>_xlfn.XLOOKUP(JD$1,generator!$B$2:$B$295,generator!$Q$2:$Q$295,"ARGH")</f>
        <v>75.91</v>
      </c>
      <c r="JE10" s="3" t="str">
        <f>_xlfn.XLOOKUP(JE$1,generator!$B$2:$B$295,generator!$Q$2:$Q$295,"ARGH")</f>
        <v>51.59</v>
      </c>
      <c r="JF10" s="3" t="str">
        <f>_xlfn.XLOOKUP(JF$1,generator!$B$2:$B$295,generator!$Q$2:$Q$295,"ARGH")</f>
        <v>111.57</v>
      </c>
      <c r="JG10" s="3">
        <f>_xlfn.XLOOKUP(JG$1,generator!$B$2:$B$295,generator!$Q$2:$Q$295,"ARGH")</f>
        <v>0</v>
      </c>
      <c r="JH10" s="3" t="str">
        <f>_xlfn.XLOOKUP(JH$1,generator!$B$2:$B$295,generator!$Q$2:$Q$295,"ARGH")</f>
        <v>48.65</v>
      </c>
      <c r="JI10" s="3" t="str">
        <f>_xlfn.XLOOKUP(JI$1,generator!$B$2:$B$295,generator!$Q$2:$Q$295,"ARGH")</f>
        <v>71.88</v>
      </c>
      <c r="JJ10" s="3" t="str">
        <f>_xlfn.XLOOKUP(JJ$1,generator!$B$2:$B$295,generator!$Q$2:$Q$295,"ARGH")</f>
        <v>98.17</v>
      </c>
      <c r="JK10" s="3" t="str">
        <f>_xlfn.XLOOKUP(JK$1,generator!$B$2:$B$295,generator!$Q$2:$Q$295,"ARGH")</f>
        <v>98.17</v>
      </c>
      <c r="JL10" s="3" t="str">
        <f>_xlfn.XLOOKUP(JL$1,generator!$B$2:$B$295,generator!$Q$2:$Q$295,"ARGH")</f>
        <v>98.17</v>
      </c>
      <c r="JM10" s="3" t="str">
        <f>_xlfn.XLOOKUP(JM$1,generator!$B$2:$B$295,generator!$Q$2:$Q$295,"ARGH")</f>
        <v>98.17</v>
      </c>
      <c r="JN10" s="3" t="str">
        <f>_xlfn.XLOOKUP(JN$1,generator!$B$2:$B$295,generator!$Q$2:$Q$295,"ARGH")</f>
        <v>98.17</v>
      </c>
      <c r="JO10" s="3" t="str">
        <f>_xlfn.XLOOKUP(JO$1,generator!$B$2:$B$295,generator!$Q$2:$Q$295,"ARGH")</f>
        <v>98.17</v>
      </c>
      <c r="JP10" s="3" t="str">
        <f>_xlfn.XLOOKUP(JP$1,generator!$B$2:$B$295,generator!$Q$2:$Q$295,"ARGH")</f>
        <v>47.53</v>
      </c>
      <c r="JQ10" s="3" t="str">
        <f>_xlfn.XLOOKUP(JQ$1,generator!$B$2:$B$295,generator!$Q$2:$Q$295,"ARGH")</f>
        <v>108.86</v>
      </c>
      <c r="JR10" s="3" t="str">
        <f>_xlfn.XLOOKUP(JR$1,generator!$B$2:$B$295,generator!$Q$2:$Q$295,"ARGH")</f>
        <v>83.15</v>
      </c>
      <c r="JS10" s="3" t="str">
        <f>_xlfn.XLOOKUP(JS$1,generator!$B$2:$B$295,generator!$Q$2:$Q$295,"ARGH")</f>
        <v>83.15</v>
      </c>
      <c r="JT10" s="3" t="str">
        <f>_xlfn.XLOOKUP(JT$1,generator!$B$2:$B$295,generator!$Q$2:$Q$295,"ARGH")</f>
        <v>108.86</v>
      </c>
      <c r="JU10" s="3">
        <f>_xlfn.XLOOKUP(JU$1,generator!$B$2:$B$295,generator!$Q$2:$Q$295,"ARGH")</f>
        <v>0</v>
      </c>
      <c r="JV10" s="3" t="str">
        <f>_xlfn.XLOOKUP(JV$1,generator!$B$2:$B$295,generator!$Q$2:$Q$295,"ARGH")</f>
        <v>77.63</v>
      </c>
      <c r="JW10" s="3" t="str">
        <f>_xlfn.XLOOKUP(JW$1,generator!$B$2:$B$295,generator!$Q$2:$Q$295,"ARGH")</f>
        <v>77.64</v>
      </c>
      <c r="JX10" s="3" t="str">
        <f>_xlfn.XLOOKUP(JX$1,generator!$B$2:$B$295,generator!$Q$2:$Q$295,"ARGH")</f>
        <v>331.49</v>
      </c>
      <c r="JY10" s="3">
        <f>_xlfn.XLOOKUP(JY$1,generator!$B$2:$B$295,generator!$Q$2:$Q$295,"ARGH")</f>
        <v>7000</v>
      </c>
      <c r="JZ10" s="3">
        <f>_xlfn.XLOOKUP(JZ$1,generator!$B$2:$B$295,generator!$Q$2:$Q$295,"ARGH")</f>
        <v>0</v>
      </c>
      <c r="KA10" s="3">
        <f>_xlfn.XLOOKUP(KA$1,generator!$B$2:$B$295,generator!$Q$2:$Q$295,"ARGH")</f>
        <v>0</v>
      </c>
      <c r="KB10" s="3">
        <f>_xlfn.XLOOKUP(KB$1,generator!$B$2:$B$295,generator!$Q$2:$Q$295,"ARGH")</f>
        <v>0</v>
      </c>
      <c r="KC10" s="3">
        <f>_xlfn.XLOOKUP(KC$1,generator!$B$2:$B$295,generator!$Q$2:$Q$295,"ARGH")</f>
        <v>0</v>
      </c>
    </row>
    <row r="11" spans="1:289" x14ac:dyDescent="0.3">
      <c r="A11" s="4" t="s">
        <v>3006</v>
      </c>
      <c r="B11" s="3">
        <v>15000</v>
      </c>
      <c r="C11" s="3">
        <v>15000</v>
      </c>
      <c r="D11" s="3">
        <v>15000</v>
      </c>
      <c r="E11" s="3">
        <f>_xlfn.XLOOKUP(E$1,generator!$B$2:$B$295,generator!$Q$2:$Q$295,"ARGH")</f>
        <v>9000</v>
      </c>
      <c r="F11" s="3">
        <f>_xlfn.XLOOKUP(F$1,generator!$B$2:$B$295,generator!$Q$2:$Q$295,"ARGH")</f>
        <v>9000</v>
      </c>
      <c r="G11" s="3">
        <f>_xlfn.XLOOKUP(G$1,generator!$B$2:$B$295,generator!$Q$2:$Q$295,"ARGH")</f>
        <v>9000</v>
      </c>
      <c r="H11" s="3">
        <f>_xlfn.XLOOKUP(H$1,generator!$B$2:$B$295,generator!$Q$2:$Q$295,"ARGH")</f>
        <v>9000</v>
      </c>
      <c r="I11" s="3">
        <f>_xlfn.XLOOKUP(I$1,generator!$B$2:$B$295,generator!$Q$2:$Q$295,"ARGH")</f>
        <v>9000</v>
      </c>
      <c r="J11" s="3">
        <f>_xlfn.XLOOKUP(J$1,generator!$B$2:$B$295,generator!$Q$2:$Q$295,"ARGH")</f>
        <v>9000</v>
      </c>
      <c r="K11" s="3">
        <f>_xlfn.XLOOKUP(K$1,generator!$B$2:$B$295,generator!$Q$2:$Q$295,"ARGH")</f>
        <v>9000</v>
      </c>
      <c r="L11" s="3">
        <f>_xlfn.XLOOKUP(L$1,generator!$B$2:$B$295,generator!$Q$2:$Q$295,"ARGH")</f>
        <v>9000</v>
      </c>
      <c r="M11" s="3">
        <f>_xlfn.XLOOKUP(M$1,generator!$B$2:$B$295,generator!$Q$2:$Q$295,"ARGH")</f>
        <v>9000</v>
      </c>
      <c r="N11" s="3">
        <f>_xlfn.XLOOKUP(N$1,generator!$B$2:$B$295,generator!$Q$2:$Q$295,"ARGH")</f>
        <v>9000</v>
      </c>
      <c r="O11" s="3">
        <f>_xlfn.XLOOKUP(O$1,generator!$B$2:$B$295,generator!$Q$2:$Q$295,"ARGH")</f>
        <v>9000</v>
      </c>
      <c r="P11" s="3">
        <f>_xlfn.XLOOKUP(P$1,generator!$B$2:$B$295,generator!$Q$2:$Q$295,"ARGH")</f>
        <v>9000</v>
      </c>
      <c r="Q11" s="3">
        <f>_xlfn.XLOOKUP(Q$1,generator!$B$2:$B$295,generator!$Q$2:$Q$295,"ARGH")</f>
        <v>9000</v>
      </c>
      <c r="R11" s="3">
        <f>_xlfn.XLOOKUP(R$1,generator!$B$2:$B$295,generator!$Q$2:$Q$295,"ARGH")</f>
        <v>9000</v>
      </c>
      <c r="S11" s="3">
        <f>_xlfn.XLOOKUP(S$1,generator!$B$2:$B$295,generator!$Q$2:$Q$295,"ARGH")</f>
        <v>9000</v>
      </c>
      <c r="T11" s="3">
        <f>_xlfn.XLOOKUP(T$1,generator!$B$2:$B$295,generator!$Q$2:$Q$295,"ARGH")</f>
        <v>9000</v>
      </c>
      <c r="U11" s="3">
        <f>_xlfn.XLOOKUP(U$1,generator!$B$2:$B$295,generator!$Q$2:$Q$295,"ARGH")</f>
        <v>9000</v>
      </c>
      <c r="V11" s="3">
        <f>_xlfn.XLOOKUP(V$1,generator!$B$2:$B$295,generator!$Q$2:$Q$295,"ARGH")</f>
        <v>9000</v>
      </c>
      <c r="W11" s="3">
        <f>_xlfn.XLOOKUP(W$1,generator!$B$2:$B$295,generator!$Q$2:$Q$295,"ARGH")</f>
        <v>9000</v>
      </c>
      <c r="X11" s="3">
        <f>_xlfn.XLOOKUP(X$1,generator!$B$2:$B$295,generator!$Q$2:$Q$295,"ARGH")</f>
        <v>9000</v>
      </c>
      <c r="Y11" s="3">
        <f>_xlfn.XLOOKUP(Y$1,generator!$B$2:$B$295,generator!$Q$2:$Q$295,"ARGH")</f>
        <v>9000</v>
      </c>
      <c r="Z11" s="3">
        <f>_xlfn.XLOOKUP(Z$1,generator!$B$2:$B$295,generator!$Q$2:$Q$295,"ARGH")</f>
        <v>9000</v>
      </c>
      <c r="AA11" s="3">
        <f>_xlfn.XLOOKUP(AA$1,generator!$B$2:$B$295,generator!$Q$2:$Q$295,"ARGH")</f>
        <v>9000</v>
      </c>
      <c r="AB11" s="3">
        <f>_xlfn.XLOOKUP(AB$1,generator!$B$2:$B$295,generator!$Q$2:$Q$295,"ARGH")</f>
        <v>9000</v>
      </c>
      <c r="AC11" s="3">
        <f>_xlfn.XLOOKUP(AC$1,generator!$B$2:$B$295,generator!$Q$2:$Q$295,"ARGH")</f>
        <v>9000</v>
      </c>
      <c r="AD11" s="3">
        <f>_xlfn.XLOOKUP(AD$1,generator!$B$2:$B$295,generator!$Q$2:$Q$295,"ARGH")</f>
        <v>9000</v>
      </c>
      <c r="AE11" s="3">
        <f>_xlfn.XLOOKUP(AE$1,generator!$B$2:$B$295,generator!$Q$2:$Q$295,"ARGH")</f>
        <v>9000</v>
      </c>
      <c r="AF11" s="3">
        <f>_xlfn.XLOOKUP(AF$1,generator!$B$2:$B$295,generator!$Q$2:$Q$295,"ARGH")</f>
        <v>9000</v>
      </c>
      <c r="AG11" s="3">
        <f>_xlfn.XLOOKUP(AG$1,generator!$B$2:$B$295,generator!$Q$2:$Q$295,"ARGH")</f>
        <v>9000</v>
      </c>
      <c r="AH11" s="3">
        <f>_xlfn.XLOOKUP(AH$1,generator!$B$2:$B$295,generator!$Q$2:$Q$295,"ARGH")</f>
        <v>9000</v>
      </c>
      <c r="AI11" s="3">
        <f>_xlfn.XLOOKUP(AI$1,generator!$B$2:$B$295,generator!$Q$2:$Q$295,"ARGH")</f>
        <v>9000</v>
      </c>
      <c r="AJ11" s="3">
        <f>_xlfn.XLOOKUP(AJ$1,generator!$B$2:$B$295,generator!$Q$2:$Q$295,"ARGH")</f>
        <v>9000</v>
      </c>
      <c r="AK11" s="3">
        <f>_xlfn.XLOOKUP(AK$1,generator!$B$2:$B$295,generator!$Q$2:$Q$295,"ARGH")</f>
        <v>9000</v>
      </c>
      <c r="AL11" s="3">
        <f>_xlfn.XLOOKUP(AL$1,generator!$B$2:$B$295,generator!$Q$2:$Q$295,"ARGH")</f>
        <v>9000</v>
      </c>
      <c r="AM11" s="3">
        <f>_xlfn.XLOOKUP(AM$1,generator!$B$2:$B$295,generator!$Q$2:$Q$295,"ARGH")</f>
        <v>9000</v>
      </c>
      <c r="AN11" s="3">
        <f>_xlfn.XLOOKUP(AN$1,generator!$B$2:$B$295,generator!$Q$2:$Q$295,"ARGH")</f>
        <v>9000</v>
      </c>
      <c r="AO11" s="3">
        <f>_xlfn.XLOOKUP(AO$1,generator!$B$2:$B$295,generator!$Q$2:$Q$295,"ARGH")</f>
        <v>9000</v>
      </c>
      <c r="AP11" s="3">
        <f>_xlfn.XLOOKUP(AP$1,generator!$B$2:$B$295,generator!$Q$2:$Q$295,"ARGH")</f>
        <v>9000</v>
      </c>
      <c r="AQ11" s="3">
        <f>_xlfn.XLOOKUP(AQ$1,generator!$B$2:$B$295,generator!$Q$2:$Q$295,"ARGH")</f>
        <v>9000</v>
      </c>
      <c r="AR11" s="3">
        <f>_xlfn.XLOOKUP(AR$1,generator!$B$2:$B$295,generator!$Q$2:$Q$295,"ARGH")</f>
        <v>9000</v>
      </c>
      <c r="AS11" s="3">
        <f>_xlfn.XLOOKUP(AS$1,generator!$B$2:$B$295,generator!$Q$2:$Q$295,"ARGH")</f>
        <v>9000</v>
      </c>
      <c r="AT11" s="3">
        <f>_xlfn.XLOOKUP(AT$1,generator!$B$2:$B$295,generator!$Q$2:$Q$295,"ARGH")</f>
        <v>9000</v>
      </c>
      <c r="AU11" s="3">
        <f>_xlfn.XLOOKUP(AU$1,generator!$B$2:$B$295,generator!$Q$2:$Q$295,"ARGH")</f>
        <v>9000</v>
      </c>
      <c r="AV11" s="3">
        <f>_xlfn.XLOOKUP(AV$1,generator!$B$2:$B$295,generator!$Q$2:$Q$295,"ARGH")</f>
        <v>9000</v>
      </c>
      <c r="AW11" s="3">
        <f>_xlfn.XLOOKUP(AW$1,generator!$B$2:$B$295,generator!$Q$2:$Q$295,"ARGH")</f>
        <v>9000</v>
      </c>
      <c r="AX11" s="3">
        <f>_xlfn.XLOOKUP(AX$1,generator!$B$2:$B$295,generator!$Q$2:$Q$295,"ARGH")</f>
        <v>9000</v>
      </c>
      <c r="AY11" s="3">
        <f>_xlfn.XLOOKUP(AY$1,generator!$B$2:$B$295,generator!$Q$2:$Q$295,"ARGH")</f>
        <v>9000</v>
      </c>
      <c r="AZ11" s="3">
        <f>_xlfn.XLOOKUP(AZ$1,generator!$B$2:$B$295,generator!$Q$2:$Q$295,"ARGH")</f>
        <v>9000</v>
      </c>
      <c r="BA11" s="3">
        <f>_xlfn.XLOOKUP(BA$1,generator!$B$2:$B$295,generator!$Q$2:$Q$295,"ARGH")</f>
        <v>9000</v>
      </c>
      <c r="BB11" s="3">
        <f>_xlfn.XLOOKUP(BB$1,generator!$B$2:$B$295,generator!$Q$2:$Q$295,"ARGH")</f>
        <v>9000</v>
      </c>
      <c r="BC11" s="3">
        <f>_xlfn.XLOOKUP(BC$1,generator!$B$2:$B$295,generator!$Q$2:$Q$295,"ARGH")</f>
        <v>9000</v>
      </c>
      <c r="BD11" s="3">
        <f>_xlfn.XLOOKUP(BD$1,generator!$B$2:$B$295,generator!$Q$2:$Q$295,"ARGH")</f>
        <v>9000</v>
      </c>
      <c r="BE11" s="3">
        <f>_xlfn.XLOOKUP(BE$1,generator!$B$2:$B$295,generator!$Q$2:$Q$295,"ARGH")</f>
        <v>9000</v>
      </c>
      <c r="BF11" s="3">
        <f>_xlfn.XLOOKUP(BF$1,generator!$B$2:$B$295,generator!$Q$2:$Q$295,"ARGH")</f>
        <v>9000</v>
      </c>
      <c r="BG11" s="3">
        <f>_xlfn.XLOOKUP(BG$1,generator!$B$2:$B$295,generator!$Q$2:$Q$295,"ARGH")</f>
        <v>9000</v>
      </c>
      <c r="BH11" s="3">
        <f>_xlfn.XLOOKUP(BH$1,generator!$B$2:$B$295,generator!$Q$2:$Q$295,"ARGH")</f>
        <v>9000</v>
      </c>
      <c r="BI11" s="3">
        <f>_xlfn.XLOOKUP(BI$1,generator!$B$2:$B$295,generator!$Q$2:$Q$295,"ARGH")</f>
        <v>9000</v>
      </c>
      <c r="BJ11" s="3">
        <f>_xlfn.XLOOKUP(BJ$1,generator!$B$2:$B$295,generator!$Q$2:$Q$295,"ARGH")</f>
        <v>9000</v>
      </c>
      <c r="BK11" s="3">
        <f>_xlfn.XLOOKUP(BK$1,generator!$B$2:$B$295,generator!$Q$2:$Q$295,"ARGH")</f>
        <v>9000</v>
      </c>
      <c r="BL11" s="3">
        <f>_xlfn.XLOOKUP(BL$1,generator!$B$2:$B$295,generator!$Q$2:$Q$295,"ARGH")</f>
        <v>9000</v>
      </c>
      <c r="BM11" s="3">
        <f>_xlfn.XLOOKUP(BM$1,generator!$B$2:$B$295,generator!$Q$2:$Q$295,"ARGH")</f>
        <v>9000</v>
      </c>
      <c r="BN11" s="3">
        <f>_xlfn.XLOOKUP(BN$1,generator!$B$2:$B$295,generator!$Q$2:$Q$295,"ARGH")</f>
        <v>9000</v>
      </c>
      <c r="BO11" s="3">
        <f>_xlfn.XLOOKUP(BO$1,generator!$B$2:$B$295,generator!$Q$2:$Q$295,"ARGH")</f>
        <v>9000</v>
      </c>
      <c r="BP11" s="3">
        <f>_xlfn.XLOOKUP(BP$1,generator!$B$2:$B$295,generator!$Q$2:$Q$295,"ARGH")</f>
        <v>9000</v>
      </c>
      <c r="BQ11" s="3">
        <f>_xlfn.XLOOKUP(BQ$1,generator!$B$2:$B$295,generator!$Q$2:$Q$295,"ARGH")</f>
        <v>9000</v>
      </c>
      <c r="BR11" s="3">
        <f>_xlfn.XLOOKUP(BR$1,generator!$B$2:$B$295,generator!$Q$2:$Q$295,"ARGH")</f>
        <v>9000</v>
      </c>
      <c r="BS11" s="3">
        <f>_xlfn.XLOOKUP(BS$1,generator!$B$2:$B$295,generator!$Q$2:$Q$295,"ARGH")</f>
        <v>9000</v>
      </c>
      <c r="BT11" s="3">
        <f>_xlfn.XLOOKUP(BT$1,generator!$B$2:$B$295,generator!$Q$2:$Q$295,"ARGH")</f>
        <v>9000</v>
      </c>
      <c r="BU11" s="3">
        <f>_xlfn.XLOOKUP(BU$1,generator!$B$2:$B$295,generator!$Q$2:$Q$295,"ARGH")</f>
        <v>9000</v>
      </c>
      <c r="BV11" s="3">
        <f>_xlfn.XLOOKUP(BV$1,generator!$B$2:$B$295,generator!$Q$2:$Q$295,"ARGH")</f>
        <v>9000</v>
      </c>
      <c r="BW11" s="3">
        <f>_xlfn.XLOOKUP(BW$1,generator!$B$2:$B$295,generator!$Q$2:$Q$295,"ARGH")</f>
        <v>9000</v>
      </c>
      <c r="BX11" s="3">
        <f>_xlfn.XLOOKUP(BX$1,generator!$B$2:$B$295,generator!$Q$2:$Q$295,"ARGH")</f>
        <v>9000</v>
      </c>
      <c r="BY11" s="3">
        <f>_xlfn.XLOOKUP(BY$1,generator!$B$2:$B$295,generator!$Q$2:$Q$295,"ARGH")</f>
        <v>9000</v>
      </c>
      <c r="BZ11" s="3">
        <f>_xlfn.XLOOKUP(BZ$1,generator!$B$2:$B$295,generator!$Q$2:$Q$295,"ARGH")</f>
        <v>9000</v>
      </c>
      <c r="CA11" s="3">
        <f>_xlfn.XLOOKUP(CA$1,generator!$B$2:$B$295,generator!$Q$2:$Q$295,"ARGH")</f>
        <v>9000</v>
      </c>
      <c r="CB11" s="3">
        <f>_xlfn.XLOOKUP(CB$1,generator!$B$2:$B$295,generator!$Q$2:$Q$295,"ARGH")</f>
        <v>9000</v>
      </c>
      <c r="CC11" s="3">
        <f>_xlfn.XLOOKUP(CC$1,generator!$B$2:$B$295,generator!$Q$2:$Q$295,"ARGH")</f>
        <v>9000</v>
      </c>
      <c r="CD11" s="3">
        <f>_xlfn.XLOOKUP(CD$1,generator!$B$2:$B$295,generator!$Q$2:$Q$295,"ARGH")</f>
        <v>9000</v>
      </c>
      <c r="CE11" s="3">
        <f>_xlfn.XLOOKUP(CE$1,generator!$B$2:$B$295,generator!$Q$2:$Q$295,"ARGH")</f>
        <v>9000</v>
      </c>
      <c r="CF11" s="3">
        <f>_xlfn.XLOOKUP(CF$1,generator!$B$2:$B$295,generator!$Q$2:$Q$295,"ARGH")</f>
        <v>9000</v>
      </c>
      <c r="CG11" s="3">
        <f>_xlfn.XLOOKUP(CG$1,generator!$B$2:$B$295,generator!$Q$2:$Q$295,"ARGH")</f>
        <v>9000</v>
      </c>
      <c r="CH11" s="3">
        <f>_xlfn.XLOOKUP(CH$1,generator!$B$2:$B$295,generator!$Q$2:$Q$295,"ARGH")</f>
        <v>9000</v>
      </c>
      <c r="CI11" s="3">
        <f>_xlfn.XLOOKUP(CI$1,generator!$B$2:$B$295,generator!$Q$2:$Q$295,"ARGH")</f>
        <v>9000</v>
      </c>
      <c r="CJ11" s="3">
        <f>_xlfn.XLOOKUP(CJ$1,generator!$B$2:$B$295,generator!$Q$2:$Q$295,"ARGH")</f>
        <v>9000</v>
      </c>
      <c r="CK11" s="3">
        <f>_xlfn.XLOOKUP(CK$1,generator!$B$2:$B$295,generator!$Q$2:$Q$295,"ARGH")</f>
        <v>9000</v>
      </c>
      <c r="CL11" s="3">
        <f>_xlfn.XLOOKUP(CL$1,generator!$B$2:$B$295,generator!$Q$2:$Q$295,"ARGH")</f>
        <v>9000</v>
      </c>
      <c r="CM11" s="3">
        <f>_xlfn.XLOOKUP(CM$1,generator!$B$2:$B$295,generator!$Q$2:$Q$295,"ARGH")</f>
        <v>9000</v>
      </c>
      <c r="CN11" s="3">
        <f>_xlfn.XLOOKUP(CN$1,generator!$B$2:$B$295,generator!$Q$2:$Q$295,"ARGH")</f>
        <v>9000</v>
      </c>
      <c r="CO11" s="3">
        <f>_xlfn.XLOOKUP(CO$1,generator!$B$2:$B$295,generator!$Q$2:$Q$295,"ARGH")</f>
        <v>9000</v>
      </c>
      <c r="CP11" s="3">
        <f>_xlfn.XLOOKUP(CP$1,generator!$B$2:$B$295,generator!$Q$2:$Q$295,"ARGH")</f>
        <v>9000</v>
      </c>
      <c r="CQ11" s="3">
        <f>_xlfn.XLOOKUP(CQ$1,generator!$B$2:$B$295,generator!$Q$2:$Q$295,"ARGH")</f>
        <v>9000</v>
      </c>
      <c r="CR11" s="3">
        <f>_xlfn.XLOOKUP(CR$1,generator!$B$2:$B$295,generator!$Q$2:$Q$295,"ARGH")</f>
        <v>9000</v>
      </c>
      <c r="CS11" s="3">
        <f>_xlfn.XLOOKUP(CS$1,generator!$B$2:$B$295,generator!$Q$2:$Q$295,"ARGH")</f>
        <v>9000</v>
      </c>
      <c r="CT11" s="3">
        <f>_xlfn.XLOOKUP(CT$1,generator!$B$2:$B$295,generator!$Q$2:$Q$295,"ARGH")</f>
        <v>9000</v>
      </c>
      <c r="CU11" s="3">
        <f>_xlfn.XLOOKUP(CU$1,generator!$B$2:$B$295,generator!$Q$2:$Q$295,"ARGH")</f>
        <v>9000</v>
      </c>
      <c r="CV11" s="3">
        <f>_xlfn.XLOOKUP(CV$1,generator!$B$2:$B$295,generator!$Q$2:$Q$295,"ARGH")</f>
        <v>9000</v>
      </c>
      <c r="CW11" s="3">
        <f>_xlfn.XLOOKUP(CW$1,generator!$B$2:$B$295,generator!$Q$2:$Q$295,"ARGH")</f>
        <v>9000</v>
      </c>
      <c r="CX11" s="3">
        <f>_xlfn.XLOOKUP(CX$1,generator!$B$2:$B$295,generator!$Q$2:$Q$295,"ARGH")</f>
        <v>9000</v>
      </c>
      <c r="CY11" s="3">
        <f>_xlfn.XLOOKUP(CY$1,generator!$B$2:$B$295,generator!$Q$2:$Q$295,"ARGH")</f>
        <v>9000</v>
      </c>
      <c r="CZ11" s="3">
        <f>_xlfn.XLOOKUP(CZ$1,generator!$B$2:$B$295,generator!$Q$2:$Q$295,"ARGH")</f>
        <v>9000</v>
      </c>
      <c r="DA11" s="3">
        <f>_xlfn.XLOOKUP(DA$1,generator!$B$2:$B$295,generator!$Q$2:$Q$295,"ARGH")</f>
        <v>9000</v>
      </c>
      <c r="DB11" s="3">
        <f>_xlfn.XLOOKUP(DB$1,generator!$B$2:$B$295,generator!$Q$2:$Q$295,"ARGH")</f>
        <v>9000</v>
      </c>
      <c r="DC11" s="3">
        <f>_xlfn.XLOOKUP(DC$1,generator!$B$2:$B$295,generator!$Q$2:$Q$295,"ARGH")</f>
        <v>9000</v>
      </c>
      <c r="DD11" s="3">
        <f>_xlfn.XLOOKUP(DD$1,generator!$B$2:$B$295,generator!$Q$2:$Q$295,"ARGH")</f>
        <v>9000</v>
      </c>
      <c r="DE11" s="3">
        <f>_xlfn.XLOOKUP(DE$1,generator!$B$2:$B$295,generator!$Q$2:$Q$295,"ARGH")</f>
        <v>9000</v>
      </c>
      <c r="DF11" s="3">
        <f>_xlfn.XLOOKUP(DF$1,generator!$B$2:$B$295,generator!$Q$2:$Q$295,"ARGH")</f>
        <v>9000</v>
      </c>
      <c r="DG11" s="3">
        <f>_xlfn.XLOOKUP(DG$1,generator!$B$2:$B$295,generator!$Q$2:$Q$295,"ARGH")</f>
        <v>9000</v>
      </c>
      <c r="DH11" s="3">
        <f>_xlfn.XLOOKUP(DH$1,generator!$B$2:$B$295,generator!$Q$2:$Q$295,"ARGH")</f>
        <v>9000</v>
      </c>
      <c r="DI11" s="3">
        <f>_xlfn.XLOOKUP(DI$1,generator!$B$2:$B$295,generator!$Q$2:$Q$295,"ARGH")</f>
        <v>9000</v>
      </c>
      <c r="DJ11" s="3">
        <f>_xlfn.XLOOKUP(DJ$1,generator!$B$2:$B$295,generator!$Q$2:$Q$295,"ARGH")</f>
        <v>9000</v>
      </c>
      <c r="DK11" s="3">
        <f>_xlfn.XLOOKUP(DK$1,generator!$B$2:$B$295,generator!$Q$2:$Q$295,"ARGH")</f>
        <v>9000</v>
      </c>
      <c r="DL11" s="3">
        <f>_xlfn.XLOOKUP(DL$1,generator!$B$2:$B$295,generator!$Q$2:$Q$295,"ARGH")</f>
        <v>9000</v>
      </c>
      <c r="DM11" s="3">
        <f>_xlfn.XLOOKUP(DM$1,generator!$B$2:$B$295,generator!$Q$2:$Q$295,"ARGH")</f>
        <v>9000</v>
      </c>
      <c r="DN11" s="3">
        <f>_xlfn.XLOOKUP(DN$1,generator!$B$2:$B$295,generator!$Q$2:$Q$295,"ARGH")</f>
        <v>9000</v>
      </c>
      <c r="DO11" s="3">
        <f>_xlfn.XLOOKUP(DO$1,generator!$B$2:$B$295,generator!$Q$2:$Q$295,"ARGH")</f>
        <v>9000</v>
      </c>
      <c r="DP11" s="3">
        <f>_xlfn.XLOOKUP(DP$1,generator!$B$2:$B$295,generator!$Q$2:$Q$295,"ARGH")</f>
        <v>9000</v>
      </c>
      <c r="DQ11" s="3">
        <f>_xlfn.XLOOKUP(DQ$1,generator!$B$2:$B$295,generator!$Q$2:$Q$295,"ARGH")</f>
        <v>9000</v>
      </c>
      <c r="DR11" s="3">
        <f>_xlfn.XLOOKUP(DR$1,generator!$B$2:$B$295,generator!$Q$2:$Q$295,"ARGH")</f>
        <v>9000</v>
      </c>
      <c r="DS11" s="3">
        <f>_xlfn.XLOOKUP(DS$1,generator!$B$2:$B$295,generator!$Q$2:$Q$295,"ARGH")</f>
        <v>9000</v>
      </c>
      <c r="DT11" s="3">
        <f>_xlfn.XLOOKUP(DT$1,generator!$B$2:$B$295,generator!$Q$2:$Q$295,"ARGH")</f>
        <v>9000</v>
      </c>
      <c r="DU11" s="3">
        <f>_xlfn.XLOOKUP(DU$1,generator!$B$2:$B$295,generator!$Q$2:$Q$295,"ARGH")</f>
        <v>9000</v>
      </c>
      <c r="DV11" s="3">
        <f>_xlfn.XLOOKUP(DV$1,generator!$B$2:$B$295,generator!$Q$2:$Q$295,"ARGH")</f>
        <v>9000</v>
      </c>
      <c r="DW11" s="3">
        <f>_xlfn.XLOOKUP(DW$1,generator!$B$2:$B$295,generator!$Q$2:$Q$295,"ARGH")</f>
        <v>9000</v>
      </c>
      <c r="DX11" s="3">
        <f>_xlfn.XLOOKUP(DX$1,generator!$B$2:$B$295,generator!$Q$2:$Q$295,"ARGH")</f>
        <v>9000</v>
      </c>
      <c r="DY11" s="3">
        <f>_xlfn.XLOOKUP(DY$1,generator!$B$2:$B$295,generator!$Q$2:$Q$295,"ARGH")</f>
        <v>9000</v>
      </c>
      <c r="DZ11" s="3">
        <f>_xlfn.XLOOKUP(DZ$1,generator!$B$2:$B$295,generator!$Q$2:$Q$295,"ARGH")</f>
        <v>9000</v>
      </c>
      <c r="EA11" s="3">
        <f>_xlfn.XLOOKUP(EA$1,generator!$B$2:$B$295,generator!$Q$2:$Q$295,"ARGH")</f>
        <v>9000</v>
      </c>
      <c r="EB11" s="3">
        <f>_xlfn.XLOOKUP(EB$1,generator!$B$2:$B$295,generator!$Q$2:$Q$295,"ARGH")</f>
        <v>9000</v>
      </c>
      <c r="EC11" s="3">
        <f>_xlfn.XLOOKUP(EC$1,generator!$B$2:$B$295,generator!$Q$2:$Q$295,"ARGH")</f>
        <v>9000</v>
      </c>
      <c r="ED11" s="3">
        <f>_xlfn.XLOOKUP(ED$1,generator!$B$2:$B$295,generator!$Q$2:$Q$295,"ARGH")</f>
        <v>9000</v>
      </c>
      <c r="EE11" s="3">
        <f>_xlfn.XLOOKUP(EE$1,generator!$B$2:$B$295,generator!$Q$2:$Q$295,"ARGH")</f>
        <v>9000</v>
      </c>
      <c r="EF11" s="3">
        <f>_xlfn.XLOOKUP(EF$1,generator!$B$2:$B$295,generator!$Q$2:$Q$295,"ARGH")</f>
        <v>9000</v>
      </c>
      <c r="EG11" s="3">
        <f>_xlfn.XLOOKUP(EG$1,generator!$B$2:$B$295,generator!$Q$2:$Q$295,"ARGH")</f>
        <v>9000</v>
      </c>
      <c r="EH11" s="3">
        <f>_xlfn.XLOOKUP(EH$1,generator!$B$2:$B$295,generator!$Q$2:$Q$295,"ARGH")</f>
        <v>9000</v>
      </c>
      <c r="EI11" s="3">
        <f>_xlfn.XLOOKUP(EI$1,generator!$B$2:$B$295,generator!$Q$2:$Q$295,"ARGH")</f>
        <v>9000</v>
      </c>
      <c r="EJ11" s="3">
        <f>_xlfn.XLOOKUP(EJ$1,generator!$B$2:$B$295,generator!$Q$2:$Q$295,"ARGH")</f>
        <v>9000</v>
      </c>
      <c r="EK11" s="3">
        <f>_xlfn.XLOOKUP(EK$1,generator!$B$2:$B$295,generator!$Q$2:$Q$295,"ARGH")</f>
        <v>9000</v>
      </c>
      <c r="EL11" s="3">
        <f>_xlfn.XLOOKUP(EL$1,generator!$B$2:$B$295,generator!$Q$2:$Q$295,"ARGH")</f>
        <v>9000</v>
      </c>
      <c r="EM11" s="3">
        <f>_xlfn.XLOOKUP(EM$1,generator!$B$2:$B$295,generator!$Q$2:$Q$295,"ARGH")</f>
        <v>9000</v>
      </c>
      <c r="EN11" s="3">
        <f>_xlfn.XLOOKUP(EN$1,generator!$B$2:$B$295,generator!$Q$2:$Q$295,"ARGH")</f>
        <v>9000</v>
      </c>
      <c r="EO11" s="3">
        <f>_xlfn.XLOOKUP(EO$1,generator!$B$2:$B$295,generator!$Q$2:$Q$295,"ARGH")</f>
        <v>9000</v>
      </c>
      <c r="EP11" s="3">
        <f>_xlfn.XLOOKUP(EP$1,generator!$B$2:$B$295,generator!$Q$2:$Q$295,"ARGH")</f>
        <v>9000</v>
      </c>
      <c r="EQ11" s="3">
        <f>_xlfn.XLOOKUP(EQ$1,generator!$B$2:$B$295,generator!$Q$2:$Q$295,"ARGH")</f>
        <v>9000</v>
      </c>
      <c r="ER11" s="3">
        <f>_xlfn.XLOOKUP(ER$1,generator!$B$2:$B$295,generator!$Q$2:$Q$295,"ARGH")</f>
        <v>9000</v>
      </c>
      <c r="ES11" s="3">
        <f>_xlfn.XLOOKUP(ES$1,generator!$B$2:$B$295,generator!$Q$2:$Q$295,"ARGH")</f>
        <v>9000</v>
      </c>
      <c r="ET11" s="3">
        <f>_xlfn.XLOOKUP(ET$1,generator!$B$2:$B$295,generator!$Q$2:$Q$295,"ARGH")</f>
        <v>9000</v>
      </c>
      <c r="EU11" s="3">
        <f>_xlfn.XLOOKUP(EU$1,generator!$B$2:$B$295,generator!$Q$2:$Q$295,"ARGH")</f>
        <v>9000</v>
      </c>
      <c r="EV11" s="3">
        <f>_xlfn.XLOOKUP(EV$1,generator!$B$2:$B$295,generator!$Q$2:$Q$295,"ARGH")</f>
        <v>9000</v>
      </c>
      <c r="EW11" s="3">
        <f>_xlfn.XLOOKUP(EW$1,generator!$B$2:$B$295,generator!$Q$2:$Q$295,"ARGH")</f>
        <v>9000</v>
      </c>
      <c r="EX11" s="3">
        <f>_xlfn.XLOOKUP(EX$1,generator!$B$2:$B$295,generator!$Q$2:$Q$295,"ARGH")</f>
        <v>9000</v>
      </c>
      <c r="EY11" s="3">
        <f>_xlfn.XLOOKUP(EY$1,generator!$B$2:$B$295,generator!$Q$2:$Q$295,"ARGH")</f>
        <v>9000</v>
      </c>
      <c r="EZ11" s="3">
        <f>_xlfn.XLOOKUP(EZ$1,generator!$B$2:$B$295,generator!$Q$2:$Q$295,"ARGH")</f>
        <v>9000</v>
      </c>
      <c r="FA11" s="3">
        <f>_xlfn.XLOOKUP(FA$1,generator!$B$2:$B$295,generator!$Q$2:$Q$295,"ARGH")</f>
        <v>9000</v>
      </c>
      <c r="FB11" s="3">
        <f>_xlfn.XLOOKUP(FB$1,generator!$B$2:$B$295,generator!$Q$2:$Q$295,"ARGH")</f>
        <v>9000</v>
      </c>
      <c r="FC11" s="3">
        <f>_xlfn.XLOOKUP(FC$1,generator!$B$2:$B$295,generator!$Q$2:$Q$295,"ARGH")</f>
        <v>9000</v>
      </c>
      <c r="FD11" s="3">
        <f>_xlfn.XLOOKUP(FD$1,generator!$B$2:$B$295,generator!$Q$2:$Q$295,"ARGH")</f>
        <v>9000</v>
      </c>
      <c r="FE11" s="3">
        <f>_xlfn.XLOOKUP(FE$1,generator!$B$2:$B$295,generator!$Q$2:$Q$295,"ARGH")</f>
        <v>9000</v>
      </c>
      <c r="FF11" s="3">
        <f>_xlfn.XLOOKUP(FF$1,generator!$B$2:$B$295,generator!$Q$2:$Q$295,"ARGH")</f>
        <v>9000</v>
      </c>
      <c r="FG11" s="3">
        <f>_xlfn.XLOOKUP(FG$1,generator!$B$2:$B$295,generator!$Q$2:$Q$295,"ARGH")</f>
        <v>9000</v>
      </c>
      <c r="FH11" s="3">
        <f>_xlfn.XLOOKUP(FH$1,generator!$B$2:$B$295,generator!$Q$2:$Q$295,"ARGH")</f>
        <v>9000</v>
      </c>
      <c r="FI11" s="3">
        <f>_xlfn.XLOOKUP(FI$1,generator!$B$2:$B$295,generator!$Q$2:$Q$295,"ARGH")</f>
        <v>9000</v>
      </c>
      <c r="FJ11" s="3">
        <f>_xlfn.XLOOKUP(FJ$1,generator!$B$2:$B$295,generator!$Q$2:$Q$295,"ARGH")</f>
        <v>9000</v>
      </c>
      <c r="FK11" s="3">
        <f>_xlfn.XLOOKUP(FK$1,generator!$B$2:$B$295,generator!$Q$2:$Q$295,"ARGH")</f>
        <v>9000</v>
      </c>
      <c r="FL11" s="3">
        <f>_xlfn.XLOOKUP(FL$1,generator!$B$2:$B$295,generator!$Q$2:$Q$295,"ARGH")</f>
        <v>9000</v>
      </c>
      <c r="FM11" s="3">
        <f>_xlfn.XLOOKUP(FM$1,generator!$B$2:$B$295,generator!$Q$2:$Q$295,"ARGH")</f>
        <v>9000</v>
      </c>
      <c r="FN11" s="3">
        <f>_xlfn.XLOOKUP(FN$1,generator!$B$2:$B$295,generator!$Q$2:$Q$295,"ARGH")</f>
        <v>9000</v>
      </c>
      <c r="FO11" s="3">
        <f>_xlfn.XLOOKUP(FO$1,generator!$B$2:$B$295,generator!$Q$2:$Q$295,"ARGH")</f>
        <v>9000</v>
      </c>
      <c r="FP11" s="3">
        <f>_xlfn.XLOOKUP(FP$1,generator!$B$2:$B$295,generator!$Q$2:$Q$295,"ARGH")</f>
        <v>9000</v>
      </c>
      <c r="FQ11" s="3">
        <f>_xlfn.XLOOKUP(FQ$1,generator!$B$2:$B$295,generator!$Q$2:$Q$295,"ARGH")</f>
        <v>9000</v>
      </c>
      <c r="FR11" s="3">
        <f>_xlfn.XLOOKUP(FR$1,generator!$B$2:$B$295,generator!$Q$2:$Q$295,"ARGH")</f>
        <v>9000</v>
      </c>
      <c r="FS11" s="3">
        <f>_xlfn.XLOOKUP(FS$1,generator!$B$2:$B$295,generator!$Q$2:$Q$295,"ARGH")</f>
        <v>9000</v>
      </c>
      <c r="FT11" s="3">
        <f>_xlfn.XLOOKUP(FT$1,generator!$B$2:$B$295,generator!$Q$2:$Q$295,"ARGH")</f>
        <v>9000</v>
      </c>
      <c r="FU11" s="3">
        <f>_xlfn.XLOOKUP(FU$1,generator!$B$2:$B$295,generator!$Q$2:$Q$295,"ARGH")</f>
        <v>9000</v>
      </c>
      <c r="FV11" s="3">
        <f>_xlfn.XLOOKUP(FV$1,generator!$B$2:$B$295,generator!$Q$2:$Q$295,"ARGH")</f>
        <v>9000</v>
      </c>
      <c r="FW11" s="3">
        <f>_xlfn.XLOOKUP(FW$1,generator!$B$2:$B$295,generator!$Q$2:$Q$295,"ARGH")</f>
        <v>9000</v>
      </c>
      <c r="FX11" s="3">
        <f>_xlfn.XLOOKUP(FX$1,generator!$B$2:$B$295,generator!$Q$2:$Q$295,"ARGH")</f>
        <v>9000</v>
      </c>
      <c r="FY11" s="3">
        <f>_xlfn.XLOOKUP(FY$1,generator!$B$2:$B$295,generator!$Q$2:$Q$295,"ARGH")</f>
        <v>9000</v>
      </c>
      <c r="FZ11" s="3">
        <f>_xlfn.XLOOKUP(FZ$1,generator!$B$2:$B$295,generator!$Q$2:$Q$295,"ARGH")</f>
        <v>9000</v>
      </c>
      <c r="GA11" s="3">
        <f>_xlfn.XLOOKUP(GA$1,generator!$B$2:$B$295,generator!$Q$2:$Q$295,"ARGH")</f>
        <v>9000</v>
      </c>
      <c r="GB11" s="3">
        <f>_xlfn.XLOOKUP(GB$1,generator!$B$2:$B$295,generator!$Q$2:$Q$295,"ARGH")</f>
        <v>9000</v>
      </c>
      <c r="GC11" s="3">
        <f>_xlfn.XLOOKUP(GC$1,generator!$B$2:$B$295,generator!$Q$2:$Q$295,"ARGH")</f>
        <v>9000</v>
      </c>
      <c r="GD11" s="3">
        <f>_xlfn.XLOOKUP(GD$1,generator!$B$2:$B$295,generator!$Q$2:$Q$295,"ARGH")</f>
        <v>9000</v>
      </c>
      <c r="GE11" s="3">
        <f>_xlfn.XLOOKUP(GE$1,generator!$B$2:$B$295,generator!$Q$2:$Q$295,"ARGH")</f>
        <v>9000</v>
      </c>
      <c r="GF11" s="3">
        <f>_xlfn.XLOOKUP(GF$1,generator!$B$2:$B$295,generator!$Q$2:$Q$295,"ARGH")</f>
        <v>9000</v>
      </c>
      <c r="GG11" s="3">
        <f>_xlfn.XLOOKUP(GG$1,generator!$B$2:$B$295,generator!$Q$2:$Q$295,"ARGH")</f>
        <v>9000</v>
      </c>
      <c r="GH11" s="3">
        <f>_xlfn.XLOOKUP(GH$1,generator!$B$2:$B$295,generator!$Q$2:$Q$295,"ARGH")</f>
        <v>9000</v>
      </c>
      <c r="GI11" s="3">
        <f>_xlfn.XLOOKUP(GI$1,generator!$B$2:$B$295,generator!$Q$2:$Q$295,"ARGH")</f>
        <v>9000</v>
      </c>
      <c r="GJ11" s="3">
        <f>_xlfn.XLOOKUP(GJ$1,generator!$B$2:$B$295,generator!$Q$2:$Q$295,"ARGH")</f>
        <v>9000</v>
      </c>
      <c r="GK11" s="3">
        <f>_xlfn.XLOOKUP(GK$1,generator!$B$2:$B$295,generator!$Q$2:$Q$295,"ARGH")</f>
        <v>9000</v>
      </c>
      <c r="GL11" s="3">
        <f>_xlfn.XLOOKUP(GL$1,generator!$B$2:$B$295,generator!$Q$2:$Q$295,"ARGH")</f>
        <v>9000</v>
      </c>
      <c r="GM11" s="3">
        <f>_xlfn.XLOOKUP(GM$1,generator!$B$2:$B$295,generator!$Q$2:$Q$295,"ARGH")</f>
        <v>9000</v>
      </c>
      <c r="GN11" s="3">
        <f>_xlfn.XLOOKUP(GN$1,generator!$B$2:$B$295,generator!$Q$2:$Q$295,"ARGH")</f>
        <v>9000</v>
      </c>
      <c r="GO11" s="3">
        <f>_xlfn.XLOOKUP(GO$1,generator!$B$2:$B$295,generator!$Q$2:$Q$295,"ARGH")</f>
        <v>9000</v>
      </c>
      <c r="GP11" s="3">
        <f>_xlfn.XLOOKUP(GP$1,generator!$B$2:$B$295,generator!$Q$2:$Q$295,"ARGH")</f>
        <v>9000</v>
      </c>
      <c r="GQ11" s="3">
        <f>_xlfn.XLOOKUP(GQ$1,generator!$B$2:$B$295,generator!$Q$2:$Q$295,"ARGH")</f>
        <v>9000</v>
      </c>
      <c r="GR11" s="3">
        <f>_xlfn.XLOOKUP(GR$1,generator!$B$2:$B$295,generator!$Q$2:$Q$295,"ARGH")</f>
        <v>9000</v>
      </c>
      <c r="GS11" s="3">
        <f>_xlfn.XLOOKUP(GS$1,generator!$B$2:$B$295,generator!$Q$2:$Q$295,"ARGH")</f>
        <v>9000</v>
      </c>
      <c r="GT11" s="3">
        <f>_xlfn.XLOOKUP(GT$1,generator!$B$2:$B$295,generator!$Q$2:$Q$295,"ARGH")</f>
        <v>9000</v>
      </c>
      <c r="GU11" s="3">
        <f>_xlfn.XLOOKUP(GU$1,generator!$B$2:$B$295,generator!$Q$2:$Q$295,"ARGH")</f>
        <v>9000</v>
      </c>
      <c r="GV11" s="3">
        <f>_xlfn.XLOOKUP(GV$1,generator!$B$2:$B$295,generator!$Q$2:$Q$295,"ARGH")</f>
        <v>9000</v>
      </c>
      <c r="GW11" s="3">
        <f>_xlfn.XLOOKUP(GW$1,generator!$B$2:$B$295,generator!$Q$2:$Q$295,"ARGH")</f>
        <v>9000</v>
      </c>
      <c r="GX11" s="3">
        <f>_xlfn.XLOOKUP(GX$1,generator!$B$2:$B$295,generator!$Q$2:$Q$295,"ARGH")</f>
        <v>9000</v>
      </c>
      <c r="GY11" s="3">
        <f>_xlfn.XLOOKUP(GY$1,generator!$B$2:$B$295,generator!$Q$2:$Q$295,"ARGH")</f>
        <v>9000</v>
      </c>
      <c r="GZ11" s="3">
        <f>_xlfn.XLOOKUP(GZ$1,generator!$B$2:$B$295,generator!$Q$2:$Q$295,"ARGH")</f>
        <v>9000</v>
      </c>
      <c r="HA11" s="3">
        <f>_xlfn.XLOOKUP(HA$1,generator!$B$2:$B$295,generator!$Q$2:$Q$295,"ARGH")</f>
        <v>9000</v>
      </c>
      <c r="HB11" s="3">
        <f>_xlfn.XLOOKUP(HB$1,generator!$B$2:$B$295,generator!$Q$2:$Q$295,"ARGH")</f>
        <v>9000</v>
      </c>
      <c r="HC11" s="3">
        <f>_xlfn.XLOOKUP(HC$1,generator!$B$2:$B$295,generator!$Q$2:$Q$295,"ARGH")</f>
        <v>9000</v>
      </c>
      <c r="HD11" s="3">
        <f>_xlfn.XLOOKUP(HD$1,generator!$B$2:$B$295,generator!$Q$2:$Q$295,"ARGH")</f>
        <v>9000</v>
      </c>
      <c r="HE11" s="3">
        <f>_xlfn.XLOOKUP(HE$1,generator!$B$2:$B$295,generator!$Q$2:$Q$295,"ARGH")</f>
        <v>8000</v>
      </c>
      <c r="HF11" s="3" t="str">
        <f>_xlfn.XLOOKUP(HF$1,generator!$B$2:$B$295,generator!$Q$2:$Q$295,"ARGH")</f>
        <v>143</v>
      </c>
      <c r="HG11" s="3" t="str">
        <f>_xlfn.XLOOKUP(HG$1,generator!$B$2:$B$295,generator!$Q$2:$Q$295,"ARGH")</f>
        <v>143</v>
      </c>
      <c r="HH11" s="3" t="str">
        <f>_xlfn.XLOOKUP(HH$1,generator!$B$2:$B$295,generator!$Q$2:$Q$295,"ARGH")</f>
        <v>143</v>
      </c>
      <c r="HI11" s="3" t="str">
        <f>_xlfn.XLOOKUP(HI$1,generator!$B$2:$B$295,generator!$Q$2:$Q$295,"ARGH")</f>
        <v>246.74</v>
      </c>
      <c r="HJ11" s="3" t="str">
        <f>_xlfn.XLOOKUP(HJ$1,generator!$B$2:$B$295,generator!$Q$2:$Q$295,"ARGH")</f>
        <v>246.74</v>
      </c>
      <c r="HK11" s="3" t="str">
        <f>_xlfn.XLOOKUP(HK$1,generator!$B$2:$B$295,generator!$Q$2:$Q$295,"ARGH")</f>
        <v>206.04</v>
      </c>
      <c r="HL11" s="3" t="str">
        <f>_xlfn.XLOOKUP(HL$1,generator!$B$2:$B$295,generator!$Q$2:$Q$295,"ARGH")</f>
        <v>506.96</v>
      </c>
      <c r="HM11" s="3" t="str">
        <f>_xlfn.XLOOKUP(HM$1,generator!$B$2:$B$295,generator!$Q$2:$Q$295,"ARGH")</f>
        <v>506.95</v>
      </c>
      <c r="HN11" s="3" t="str">
        <f>_xlfn.XLOOKUP(HN$1,generator!$B$2:$B$295,generator!$Q$2:$Q$295,"ARGH")</f>
        <v>190.97</v>
      </c>
      <c r="HO11" s="3" t="str">
        <f>_xlfn.XLOOKUP(HO$1,generator!$B$2:$B$295,generator!$Q$2:$Q$295,"ARGH")</f>
        <v>190.97</v>
      </c>
      <c r="HP11" s="3" t="str">
        <f>_xlfn.XLOOKUP(HP$1,generator!$B$2:$B$295,generator!$Q$2:$Q$295,"ARGH")</f>
        <v>424.84</v>
      </c>
      <c r="HQ11" s="3" t="str">
        <f>_xlfn.XLOOKUP(HQ$1,generator!$B$2:$B$295,generator!$Q$2:$Q$295,"ARGH")</f>
        <v>425.9</v>
      </c>
      <c r="HR11" s="3" t="str">
        <f>_xlfn.XLOOKUP(HR$1,generator!$B$2:$B$295,generator!$Q$2:$Q$295,"ARGH")</f>
        <v>425.9</v>
      </c>
      <c r="HS11" s="3" t="str">
        <f>_xlfn.XLOOKUP(HS$1,generator!$B$2:$B$295,generator!$Q$2:$Q$295,"ARGH")</f>
        <v>196.54</v>
      </c>
      <c r="HT11" s="3" t="str">
        <f>_xlfn.XLOOKUP(HT$1,generator!$B$2:$B$295,generator!$Q$2:$Q$295,"ARGH")</f>
        <v>196.54</v>
      </c>
      <c r="HU11" s="3" t="str">
        <f>_xlfn.XLOOKUP(HU$1,generator!$B$2:$B$295,generator!$Q$2:$Q$295,"ARGH")</f>
        <v>145.57</v>
      </c>
      <c r="HV11" s="3" t="str">
        <f>_xlfn.XLOOKUP(HV$1,generator!$B$2:$B$295,generator!$Q$2:$Q$295,"ARGH")</f>
        <v>132.62</v>
      </c>
      <c r="HW11" s="3" t="str">
        <f>_xlfn.XLOOKUP(HW$1,generator!$B$2:$B$295,generator!$Q$2:$Q$295,"ARGH")</f>
        <v>193.76</v>
      </c>
      <c r="HX11" s="3" t="str">
        <f>_xlfn.XLOOKUP(HX$1,generator!$B$2:$B$295,generator!$Q$2:$Q$295,"ARGH")</f>
        <v>193.76</v>
      </c>
      <c r="HY11" s="3" t="str">
        <f>_xlfn.XLOOKUP(HY$1,generator!$B$2:$B$295,generator!$Q$2:$Q$295,"ARGH")</f>
        <v>79.19</v>
      </c>
      <c r="HZ11" s="3" t="str">
        <f>_xlfn.XLOOKUP(HZ$1,generator!$B$2:$B$295,generator!$Q$2:$Q$295,"ARGH")</f>
        <v>125.79</v>
      </c>
      <c r="IA11" s="3" t="str">
        <f>_xlfn.XLOOKUP(IA$1,generator!$B$2:$B$295,generator!$Q$2:$Q$295,"ARGH")</f>
        <v>54.19</v>
      </c>
      <c r="IB11" s="3" t="str">
        <f>_xlfn.XLOOKUP(IB$1,generator!$B$2:$B$295,generator!$Q$2:$Q$295,"ARGH")</f>
        <v>59.7</v>
      </c>
      <c r="IC11" s="3">
        <f>_xlfn.XLOOKUP(IC$1,generator!$B$2:$B$295,generator!$Q$2:$Q$295,"ARGH")</f>
        <v>0</v>
      </c>
      <c r="ID11" s="3" t="str">
        <f>_xlfn.XLOOKUP(ID$1,generator!$B$2:$B$295,generator!$Q$2:$Q$295,"ARGH")</f>
        <v>121.14</v>
      </c>
      <c r="IE11" s="3" t="str">
        <f>_xlfn.XLOOKUP(IE$1,generator!$B$2:$B$295,generator!$Q$2:$Q$295,"ARGH")</f>
        <v>26.6</v>
      </c>
      <c r="IF11" s="3">
        <f>_xlfn.XLOOKUP(IF$1,generator!$B$2:$B$295,generator!$Q$2:$Q$295,"ARGH")</f>
        <v>8000</v>
      </c>
      <c r="IG11" s="3">
        <f>_xlfn.XLOOKUP(IG$1,generator!$B$2:$B$295,generator!$Q$2:$Q$295,"ARGH")</f>
        <v>8000</v>
      </c>
      <c r="IH11" s="3">
        <f>_xlfn.XLOOKUP(IH$1,generator!$B$2:$B$295,generator!$Q$2:$Q$295,"ARGH")</f>
        <v>8000</v>
      </c>
      <c r="II11" s="3">
        <f>_xlfn.XLOOKUP(II$1,generator!$B$2:$B$295,generator!$Q$2:$Q$295,"ARGH")</f>
        <v>8000</v>
      </c>
      <c r="IJ11" s="3">
        <f>_xlfn.XLOOKUP(IJ$1,generator!$B$2:$B$295,generator!$Q$2:$Q$295,"ARGH")</f>
        <v>8000</v>
      </c>
      <c r="IK11" s="3">
        <f>_xlfn.XLOOKUP(IK$1,generator!$B$2:$B$295,generator!$Q$2:$Q$295,"ARGH")</f>
        <v>8000</v>
      </c>
      <c r="IL11" s="3">
        <f>_xlfn.XLOOKUP(IL$1,generator!$B$2:$B$295,generator!$Q$2:$Q$295,"ARGH")</f>
        <v>8000</v>
      </c>
      <c r="IM11" s="3">
        <f>_xlfn.XLOOKUP(IM$1,generator!$B$2:$B$295,generator!$Q$2:$Q$295,"ARGH")</f>
        <v>8000</v>
      </c>
      <c r="IN11" s="3">
        <f>_xlfn.XLOOKUP(IN$1,generator!$B$2:$B$295,generator!$Q$2:$Q$295,"ARGH")</f>
        <v>8000</v>
      </c>
      <c r="IO11" s="3">
        <f>_xlfn.XLOOKUP(IO$1,generator!$B$2:$B$295,generator!$Q$2:$Q$295,"ARGH")</f>
        <v>8000</v>
      </c>
      <c r="IP11" s="3">
        <f>_xlfn.XLOOKUP(IP$1,generator!$B$2:$B$295,generator!$Q$2:$Q$295,"ARGH")</f>
        <v>8000</v>
      </c>
      <c r="IQ11" s="3">
        <f>_xlfn.XLOOKUP(IQ$1,generator!$B$2:$B$295,generator!$Q$2:$Q$295,"ARGH")</f>
        <v>8000</v>
      </c>
      <c r="IR11" s="3">
        <f>_xlfn.XLOOKUP(IR$1,generator!$B$2:$B$295,generator!$Q$2:$Q$295,"ARGH")</f>
        <v>8000</v>
      </c>
      <c r="IS11" s="3">
        <f>_xlfn.XLOOKUP(IS$1,generator!$B$2:$B$295,generator!$Q$2:$Q$295,"ARGH")</f>
        <v>8000</v>
      </c>
      <c r="IT11" s="3">
        <f>_xlfn.XLOOKUP(IT$1,generator!$B$2:$B$295,generator!$Q$2:$Q$295,"ARGH")</f>
        <v>8000</v>
      </c>
      <c r="IU11" s="3">
        <f>_xlfn.XLOOKUP(IU$1,generator!$B$2:$B$295,generator!$Q$2:$Q$295,"ARGH")</f>
        <v>8000</v>
      </c>
      <c r="IV11" s="3">
        <f>_xlfn.XLOOKUP(IV$1,generator!$B$2:$B$295,generator!$Q$2:$Q$295,"ARGH")</f>
        <v>8000</v>
      </c>
      <c r="IW11" s="3" t="str">
        <f>_xlfn.XLOOKUP(IW$1,generator!$B$2:$B$295,generator!$Q$2:$Q$295,"ARGH")</f>
        <v>108.19</v>
      </c>
      <c r="IX11" s="3" t="str">
        <f>_xlfn.XLOOKUP(IX$1,generator!$B$2:$B$295,generator!$Q$2:$Q$295,"ARGH")</f>
        <v>108.18</v>
      </c>
      <c r="IY11" s="3" t="str">
        <f>_xlfn.XLOOKUP(IY$1,generator!$B$2:$B$295,generator!$Q$2:$Q$295,"ARGH")</f>
        <v>108.17</v>
      </c>
      <c r="IZ11" s="3" t="str">
        <f>_xlfn.XLOOKUP(IZ$1,generator!$B$2:$B$295,generator!$Q$2:$Q$295,"ARGH")</f>
        <v>40.96</v>
      </c>
      <c r="JA11" s="3">
        <f>_xlfn.XLOOKUP(JA$1,generator!$B$2:$B$295,generator!$Q$2:$Q$295,"ARGH")</f>
        <v>0</v>
      </c>
      <c r="JB11" s="3">
        <f>_xlfn.XLOOKUP(JB$1,generator!$B$2:$B$295,generator!$Q$2:$Q$295,"ARGH")</f>
        <v>0</v>
      </c>
      <c r="JC11" s="3" t="str">
        <f>_xlfn.XLOOKUP(JC$1,generator!$B$2:$B$295,generator!$Q$2:$Q$295,"ARGH")</f>
        <v>75.91</v>
      </c>
      <c r="JD11" s="3" t="str">
        <f>_xlfn.XLOOKUP(JD$1,generator!$B$2:$B$295,generator!$Q$2:$Q$295,"ARGH")</f>
        <v>75.91</v>
      </c>
      <c r="JE11" s="3" t="str">
        <f>_xlfn.XLOOKUP(JE$1,generator!$B$2:$B$295,generator!$Q$2:$Q$295,"ARGH")</f>
        <v>51.59</v>
      </c>
      <c r="JF11" s="3" t="str">
        <f>_xlfn.XLOOKUP(JF$1,generator!$B$2:$B$295,generator!$Q$2:$Q$295,"ARGH")</f>
        <v>111.57</v>
      </c>
      <c r="JG11" s="3">
        <f>_xlfn.XLOOKUP(JG$1,generator!$B$2:$B$295,generator!$Q$2:$Q$295,"ARGH")</f>
        <v>0</v>
      </c>
      <c r="JH11" s="3" t="str">
        <f>_xlfn.XLOOKUP(JH$1,generator!$B$2:$B$295,generator!$Q$2:$Q$295,"ARGH")</f>
        <v>48.65</v>
      </c>
      <c r="JI11" s="3" t="str">
        <f>_xlfn.XLOOKUP(JI$1,generator!$B$2:$B$295,generator!$Q$2:$Q$295,"ARGH")</f>
        <v>71.88</v>
      </c>
      <c r="JJ11" s="3" t="str">
        <f>_xlfn.XLOOKUP(JJ$1,generator!$B$2:$B$295,generator!$Q$2:$Q$295,"ARGH")</f>
        <v>98.17</v>
      </c>
      <c r="JK11" s="3" t="str">
        <f>_xlfn.XLOOKUP(JK$1,generator!$B$2:$B$295,generator!$Q$2:$Q$295,"ARGH")</f>
        <v>98.17</v>
      </c>
      <c r="JL11" s="3" t="str">
        <f>_xlfn.XLOOKUP(JL$1,generator!$B$2:$B$295,generator!$Q$2:$Q$295,"ARGH")</f>
        <v>98.17</v>
      </c>
      <c r="JM11" s="3" t="str">
        <f>_xlfn.XLOOKUP(JM$1,generator!$B$2:$B$295,generator!$Q$2:$Q$295,"ARGH")</f>
        <v>98.17</v>
      </c>
      <c r="JN11" s="3" t="str">
        <f>_xlfn.XLOOKUP(JN$1,generator!$B$2:$B$295,generator!$Q$2:$Q$295,"ARGH")</f>
        <v>98.17</v>
      </c>
      <c r="JO11" s="3" t="str">
        <f>_xlfn.XLOOKUP(JO$1,generator!$B$2:$B$295,generator!$Q$2:$Q$295,"ARGH")</f>
        <v>98.17</v>
      </c>
      <c r="JP11" s="3" t="str">
        <f>_xlfn.XLOOKUP(JP$1,generator!$B$2:$B$295,generator!$Q$2:$Q$295,"ARGH")</f>
        <v>47.53</v>
      </c>
      <c r="JQ11" s="3" t="str">
        <f>_xlfn.XLOOKUP(JQ$1,generator!$B$2:$B$295,generator!$Q$2:$Q$295,"ARGH")</f>
        <v>108.86</v>
      </c>
      <c r="JR11" s="3" t="str">
        <f>_xlfn.XLOOKUP(JR$1,generator!$B$2:$B$295,generator!$Q$2:$Q$295,"ARGH")</f>
        <v>83.15</v>
      </c>
      <c r="JS11" s="3" t="str">
        <f>_xlfn.XLOOKUP(JS$1,generator!$B$2:$B$295,generator!$Q$2:$Q$295,"ARGH")</f>
        <v>83.15</v>
      </c>
      <c r="JT11" s="3" t="str">
        <f>_xlfn.XLOOKUP(JT$1,generator!$B$2:$B$295,generator!$Q$2:$Q$295,"ARGH")</f>
        <v>108.86</v>
      </c>
      <c r="JU11" s="3">
        <f>_xlfn.XLOOKUP(JU$1,generator!$B$2:$B$295,generator!$Q$2:$Q$295,"ARGH")</f>
        <v>0</v>
      </c>
      <c r="JV11" s="3" t="str">
        <f>_xlfn.XLOOKUP(JV$1,generator!$B$2:$B$295,generator!$Q$2:$Q$295,"ARGH")</f>
        <v>77.63</v>
      </c>
      <c r="JW11" s="3" t="str">
        <f>_xlfn.XLOOKUP(JW$1,generator!$B$2:$B$295,generator!$Q$2:$Q$295,"ARGH")</f>
        <v>77.64</v>
      </c>
      <c r="JX11" s="3" t="str">
        <f>_xlfn.XLOOKUP(JX$1,generator!$B$2:$B$295,generator!$Q$2:$Q$295,"ARGH")</f>
        <v>331.49</v>
      </c>
      <c r="JY11" s="3">
        <f>_xlfn.XLOOKUP(JY$1,generator!$B$2:$B$295,generator!$Q$2:$Q$295,"ARGH")</f>
        <v>7000</v>
      </c>
      <c r="JZ11" s="3">
        <f>_xlfn.XLOOKUP(JZ$1,generator!$B$2:$B$295,generator!$Q$2:$Q$295,"ARGH")</f>
        <v>0</v>
      </c>
      <c r="KA11" s="3">
        <f>_xlfn.XLOOKUP(KA$1,generator!$B$2:$B$295,generator!$Q$2:$Q$295,"ARGH")</f>
        <v>0</v>
      </c>
      <c r="KB11" s="3">
        <f>_xlfn.XLOOKUP(KB$1,generator!$B$2:$B$295,generator!$Q$2:$Q$295,"ARGH")</f>
        <v>0</v>
      </c>
      <c r="KC11" s="3">
        <f>_xlfn.XLOOKUP(KC$1,generator!$B$2:$B$295,generator!$Q$2:$Q$295,"ARGH")</f>
        <v>0</v>
      </c>
    </row>
    <row r="12" spans="1:289" x14ac:dyDescent="0.3">
      <c r="A12" s="4" t="s">
        <v>3007</v>
      </c>
      <c r="B12" s="3">
        <v>15000</v>
      </c>
      <c r="C12" s="3">
        <v>15000</v>
      </c>
      <c r="D12" s="3">
        <v>15000</v>
      </c>
      <c r="E12" s="3">
        <f>_xlfn.XLOOKUP(E$1,generator!$B$2:$B$295,generator!$Q$2:$Q$295,"ARGH")</f>
        <v>9000</v>
      </c>
      <c r="F12" s="3">
        <f>_xlfn.XLOOKUP(F$1,generator!$B$2:$B$295,generator!$Q$2:$Q$295,"ARGH")</f>
        <v>9000</v>
      </c>
      <c r="G12" s="3">
        <f>_xlfn.XLOOKUP(G$1,generator!$B$2:$B$295,generator!$Q$2:$Q$295,"ARGH")</f>
        <v>9000</v>
      </c>
      <c r="H12" s="3">
        <f>_xlfn.XLOOKUP(H$1,generator!$B$2:$B$295,generator!$Q$2:$Q$295,"ARGH")</f>
        <v>9000</v>
      </c>
      <c r="I12" s="3">
        <f>_xlfn.XLOOKUP(I$1,generator!$B$2:$B$295,generator!$Q$2:$Q$295,"ARGH")</f>
        <v>9000</v>
      </c>
      <c r="J12" s="3">
        <f>_xlfn.XLOOKUP(J$1,generator!$B$2:$B$295,generator!$Q$2:$Q$295,"ARGH")</f>
        <v>9000</v>
      </c>
      <c r="K12" s="3">
        <f>_xlfn.XLOOKUP(K$1,generator!$B$2:$B$295,generator!$Q$2:$Q$295,"ARGH")</f>
        <v>9000</v>
      </c>
      <c r="L12" s="3">
        <f>_xlfn.XLOOKUP(L$1,generator!$B$2:$B$295,generator!$Q$2:$Q$295,"ARGH")</f>
        <v>9000</v>
      </c>
      <c r="M12" s="3">
        <f>_xlfn.XLOOKUP(M$1,generator!$B$2:$B$295,generator!$Q$2:$Q$295,"ARGH")</f>
        <v>9000</v>
      </c>
      <c r="N12" s="3">
        <f>_xlfn.XLOOKUP(N$1,generator!$B$2:$B$295,generator!$Q$2:$Q$295,"ARGH")</f>
        <v>9000</v>
      </c>
      <c r="O12" s="3">
        <f>_xlfn.XLOOKUP(O$1,generator!$B$2:$B$295,generator!$Q$2:$Q$295,"ARGH")</f>
        <v>9000</v>
      </c>
      <c r="P12" s="3">
        <f>_xlfn.XLOOKUP(P$1,generator!$B$2:$B$295,generator!$Q$2:$Q$295,"ARGH")</f>
        <v>9000</v>
      </c>
      <c r="Q12" s="3">
        <f>_xlfn.XLOOKUP(Q$1,generator!$B$2:$B$295,generator!$Q$2:$Q$295,"ARGH")</f>
        <v>9000</v>
      </c>
      <c r="R12" s="3">
        <f>_xlfn.XLOOKUP(R$1,generator!$B$2:$B$295,generator!$Q$2:$Q$295,"ARGH")</f>
        <v>9000</v>
      </c>
      <c r="S12" s="3">
        <f>_xlfn.XLOOKUP(S$1,generator!$B$2:$B$295,generator!$Q$2:$Q$295,"ARGH")</f>
        <v>9000</v>
      </c>
      <c r="T12" s="3">
        <f>_xlfn.XLOOKUP(T$1,generator!$B$2:$B$295,generator!$Q$2:$Q$295,"ARGH")</f>
        <v>9000</v>
      </c>
      <c r="U12" s="3">
        <f>_xlfn.XLOOKUP(U$1,generator!$B$2:$B$295,generator!$Q$2:$Q$295,"ARGH")</f>
        <v>9000</v>
      </c>
      <c r="V12" s="3">
        <f>_xlfn.XLOOKUP(V$1,generator!$B$2:$B$295,generator!$Q$2:$Q$295,"ARGH")</f>
        <v>9000</v>
      </c>
      <c r="W12" s="3">
        <f>_xlfn.XLOOKUP(W$1,generator!$B$2:$B$295,generator!$Q$2:$Q$295,"ARGH")</f>
        <v>9000</v>
      </c>
      <c r="X12" s="3">
        <f>_xlfn.XLOOKUP(X$1,generator!$B$2:$B$295,generator!$Q$2:$Q$295,"ARGH")</f>
        <v>9000</v>
      </c>
      <c r="Y12" s="3">
        <f>_xlfn.XLOOKUP(Y$1,generator!$B$2:$B$295,generator!$Q$2:$Q$295,"ARGH")</f>
        <v>9000</v>
      </c>
      <c r="Z12" s="3">
        <f>_xlfn.XLOOKUP(Z$1,generator!$B$2:$B$295,generator!$Q$2:$Q$295,"ARGH")</f>
        <v>9000</v>
      </c>
      <c r="AA12" s="3">
        <f>_xlfn.XLOOKUP(AA$1,generator!$B$2:$B$295,generator!$Q$2:$Q$295,"ARGH")</f>
        <v>9000</v>
      </c>
      <c r="AB12" s="3">
        <f>_xlfn.XLOOKUP(AB$1,generator!$B$2:$B$295,generator!$Q$2:$Q$295,"ARGH")</f>
        <v>9000</v>
      </c>
      <c r="AC12" s="3">
        <f>_xlfn.XLOOKUP(AC$1,generator!$B$2:$B$295,generator!$Q$2:$Q$295,"ARGH")</f>
        <v>9000</v>
      </c>
      <c r="AD12" s="3">
        <f>_xlfn.XLOOKUP(AD$1,generator!$B$2:$B$295,generator!$Q$2:$Q$295,"ARGH")</f>
        <v>9000</v>
      </c>
      <c r="AE12" s="3">
        <f>_xlfn.XLOOKUP(AE$1,generator!$B$2:$B$295,generator!$Q$2:$Q$295,"ARGH")</f>
        <v>9000</v>
      </c>
      <c r="AF12" s="3">
        <f>_xlfn.XLOOKUP(AF$1,generator!$B$2:$B$295,generator!$Q$2:$Q$295,"ARGH")</f>
        <v>9000</v>
      </c>
      <c r="AG12" s="3">
        <f>_xlfn.XLOOKUP(AG$1,generator!$B$2:$B$295,generator!$Q$2:$Q$295,"ARGH")</f>
        <v>9000</v>
      </c>
      <c r="AH12" s="3">
        <f>_xlfn.XLOOKUP(AH$1,generator!$B$2:$B$295,generator!$Q$2:$Q$295,"ARGH")</f>
        <v>9000</v>
      </c>
      <c r="AI12" s="3">
        <f>_xlfn.XLOOKUP(AI$1,generator!$B$2:$B$295,generator!$Q$2:$Q$295,"ARGH")</f>
        <v>9000</v>
      </c>
      <c r="AJ12" s="3">
        <f>_xlfn.XLOOKUP(AJ$1,generator!$B$2:$B$295,generator!$Q$2:$Q$295,"ARGH")</f>
        <v>9000</v>
      </c>
      <c r="AK12" s="3">
        <f>_xlfn.XLOOKUP(AK$1,generator!$B$2:$B$295,generator!$Q$2:$Q$295,"ARGH")</f>
        <v>9000</v>
      </c>
      <c r="AL12" s="3">
        <f>_xlfn.XLOOKUP(AL$1,generator!$B$2:$B$295,generator!$Q$2:$Q$295,"ARGH")</f>
        <v>9000</v>
      </c>
      <c r="AM12" s="3">
        <f>_xlfn.XLOOKUP(AM$1,generator!$B$2:$B$295,generator!$Q$2:$Q$295,"ARGH")</f>
        <v>9000</v>
      </c>
      <c r="AN12" s="3">
        <f>_xlfn.XLOOKUP(AN$1,generator!$B$2:$B$295,generator!$Q$2:$Q$295,"ARGH")</f>
        <v>9000</v>
      </c>
      <c r="AO12" s="3">
        <f>_xlfn.XLOOKUP(AO$1,generator!$B$2:$B$295,generator!$Q$2:$Q$295,"ARGH")</f>
        <v>9000</v>
      </c>
      <c r="AP12" s="3">
        <f>_xlfn.XLOOKUP(AP$1,generator!$B$2:$B$295,generator!$Q$2:$Q$295,"ARGH")</f>
        <v>9000</v>
      </c>
      <c r="AQ12" s="3">
        <f>_xlfn.XLOOKUP(AQ$1,generator!$B$2:$B$295,generator!$Q$2:$Q$295,"ARGH")</f>
        <v>9000</v>
      </c>
      <c r="AR12" s="3">
        <f>_xlfn.XLOOKUP(AR$1,generator!$B$2:$B$295,generator!$Q$2:$Q$295,"ARGH")</f>
        <v>9000</v>
      </c>
      <c r="AS12" s="3">
        <f>_xlfn.XLOOKUP(AS$1,generator!$B$2:$B$295,generator!$Q$2:$Q$295,"ARGH")</f>
        <v>9000</v>
      </c>
      <c r="AT12" s="3">
        <f>_xlfn.XLOOKUP(AT$1,generator!$B$2:$B$295,generator!$Q$2:$Q$295,"ARGH")</f>
        <v>9000</v>
      </c>
      <c r="AU12" s="3">
        <f>_xlfn.XLOOKUP(AU$1,generator!$B$2:$B$295,generator!$Q$2:$Q$295,"ARGH")</f>
        <v>9000</v>
      </c>
      <c r="AV12" s="3">
        <f>_xlfn.XLOOKUP(AV$1,generator!$B$2:$B$295,generator!$Q$2:$Q$295,"ARGH")</f>
        <v>9000</v>
      </c>
      <c r="AW12" s="3">
        <f>_xlfn.XLOOKUP(AW$1,generator!$B$2:$B$295,generator!$Q$2:$Q$295,"ARGH")</f>
        <v>9000</v>
      </c>
      <c r="AX12" s="3">
        <f>_xlfn.XLOOKUP(AX$1,generator!$B$2:$B$295,generator!$Q$2:$Q$295,"ARGH")</f>
        <v>9000</v>
      </c>
      <c r="AY12" s="3">
        <f>_xlfn.XLOOKUP(AY$1,generator!$B$2:$B$295,generator!$Q$2:$Q$295,"ARGH")</f>
        <v>9000</v>
      </c>
      <c r="AZ12" s="3">
        <f>_xlfn.XLOOKUP(AZ$1,generator!$B$2:$B$295,generator!$Q$2:$Q$295,"ARGH")</f>
        <v>9000</v>
      </c>
      <c r="BA12" s="3">
        <f>_xlfn.XLOOKUP(BA$1,generator!$B$2:$B$295,generator!$Q$2:$Q$295,"ARGH")</f>
        <v>9000</v>
      </c>
      <c r="BB12" s="3">
        <f>_xlfn.XLOOKUP(BB$1,generator!$B$2:$B$295,generator!$Q$2:$Q$295,"ARGH")</f>
        <v>9000</v>
      </c>
      <c r="BC12" s="3">
        <f>_xlfn.XLOOKUP(BC$1,generator!$B$2:$B$295,generator!$Q$2:$Q$295,"ARGH")</f>
        <v>9000</v>
      </c>
      <c r="BD12" s="3">
        <f>_xlfn.XLOOKUP(BD$1,generator!$B$2:$B$295,generator!$Q$2:$Q$295,"ARGH")</f>
        <v>9000</v>
      </c>
      <c r="BE12" s="3">
        <f>_xlfn.XLOOKUP(BE$1,generator!$B$2:$B$295,generator!$Q$2:$Q$295,"ARGH")</f>
        <v>9000</v>
      </c>
      <c r="BF12" s="3">
        <f>_xlfn.XLOOKUP(BF$1,generator!$B$2:$B$295,generator!$Q$2:$Q$295,"ARGH")</f>
        <v>9000</v>
      </c>
      <c r="BG12" s="3">
        <f>_xlfn.XLOOKUP(BG$1,generator!$B$2:$B$295,generator!$Q$2:$Q$295,"ARGH")</f>
        <v>9000</v>
      </c>
      <c r="BH12" s="3">
        <f>_xlfn.XLOOKUP(BH$1,generator!$B$2:$B$295,generator!$Q$2:$Q$295,"ARGH")</f>
        <v>9000</v>
      </c>
      <c r="BI12" s="3">
        <f>_xlfn.XLOOKUP(BI$1,generator!$B$2:$B$295,generator!$Q$2:$Q$295,"ARGH")</f>
        <v>9000</v>
      </c>
      <c r="BJ12" s="3">
        <f>_xlfn.XLOOKUP(BJ$1,generator!$B$2:$B$295,generator!$Q$2:$Q$295,"ARGH")</f>
        <v>9000</v>
      </c>
      <c r="BK12" s="3">
        <f>_xlfn.XLOOKUP(BK$1,generator!$B$2:$B$295,generator!$Q$2:$Q$295,"ARGH")</f>
        <v>9000</v>
      </c>
      <c r="BL12" s="3">
        <f>_xlfn.XLOOKUP(BL$1,generator!$B$2:$B$295,generator!$Q$2:$Q$295,"ARGH")</f>
        <v>9000</v>
      </c>
      <c r="BM12" s="3">
        <f>_xlfn.XLOOKUP(BM$1,generator!$B$2:$B$295,generator!$Q$2:$Q$295,"ARGH")</f>
        <v>9000</v>
      </c>
      <c r="BN12" s="3">
        <f>_xlfn.XLOOKUP(BN$1,generator!$B$2:$B$295,generator!$Q$2:$Q$295,"ARGH")</f>
        <v>9000</v>
      </c>
      <c r="BO12" s="3">
        <f>_xlfn.XLOOKUP(BO$1,generator!$B$2:$B$295,generator!$Q$2:$Q$295,"ARGH")</f>
        <v>9000</v>
      </c>
      <c r="BP12" s="3">
        <f>_xlfn.XLOOKUP(BP$1,generator!$B$2:$B$295,generator!$Q$2:$Q$295,"ARGH")</f>
        <v>9000</v>
      </c>
      <c r="BQ12" s="3">
        <f>_xlfn.XLOOKUP(BQ$1,generator!$B$2:$B$295,generator!$Q$2:$Q$295,"ARGH")</f>
        <v>9000</v>
      </c>
      <c r="BR12" s="3">
        <f>_xlfn.XLOOKUP(BR$1,generator!$B$2:$B$295,generator!$Q$2:$Q$295,"ARGH")</f>
        <v>9000</v>
      </c>
      <c r="BS12" s="3">
        <f>_xlfn.XLOOKUP(BS$1,generator!$B$2:$B$295,generator!$Q$2:$Q$295,"ARGH")</f>
        <v>9000</v>
      </c>
      <c r="BT12" s="3">
        <f>_xlfn.XLOOKUP(BT$1,generator!$B$2:$B$295,generator!$Q$2:$Q$295,"ARGH")</f>
        <v>9000</v>
      </c>
      <c r="BU12" s="3">
        <f>_xlfn.XLOOKUP(BU$1,generator!$B$2:$B$295,generator!$Q$2:$Q$295,"ARGH")</f>
        <v>9000</v>
      </c>
      <c r="BV12" s="3">
        <f>_xlfn.XLOOKUP(BV$1,generator!$B$2:$B$295,generator!$Q$2:$Q$295,"ARGH")</f>
        <v>9000</v>
      </c>
      <c r="BW12" s="3">
        <f>_xlfn.XLOOKUP(BW$1,generator!$B$2:$B$295,generator!$Q$2:$Q$295,"ARGH")</f>
        <v>9000</v>
      </c>
      <c r="BX12" s="3">
        <f>_xlfn.XLOOKUP(BX$1,generator!$B$2:$B$295,generator!$Q$2:$Q$295,"ARGH")</f>
        <v>9000</v>
      </c>
      <c r="BY12" s="3">
        <f>_xlfn.XLOOKUP(BY$1,generator!$B$2:$B$295,generator!$Q$2:$Q$295,"ARGH")</f>
        <v>9000</v>
      </c>
      <c r="BZ12" s="3">
        <f>_xlfn.XLOOKUP(BZ$1,generator!$B$2:$B$295,generator!$Q$2:$Q$295,"ARGH")</f>
        <v>9000</v>
      </c>
      <c r="CA12" s="3">
        <f>_xlfn.XLOOKUP(CA$1,generator!$B$2:$B$295,generator!$Q$2:$Q$295,"ARGH")</f>
        <v>9000</v>
      </c>
      <c r="CB12" s="3">
        <f>_xlfn.XLOOKUP(CB$1,generator!$B$2:$B$295,generator!$Q$2:$Q$295,"ARGH")</f>
        <v>9000</v>
      </c>
      <c r="CC12" s="3">
        <f>_xlfn.XLOOKUP(CC$1,generator!$B$2:$B$295,generator!$Q$2:$Q$295,"ARGH")</f>
        <v>9000</v>
      </c>
      <c r="CD12" s="3">
        <f>_xlfn.XLOOKUP(CD$1,generator!$B$2:$B$295,generator!$Q$2:$Q$295,"ARGH")</f>
        <v>9000</v>
      </c>
      <c r="CE12" s="3">
        <f>_xlfn.XLOOKUP(CE$1,generator!$B$2:$B$295,generator!$Q$2:$Q$295,"ARGH")</f>
        <v>9000</v>
      </c>
      <c r="CF12" s="3">
        <f>_xlfn.XLOOKUP(CF$1,generator!$B$2:$B$295,generator!$Q$2:$Q$295,"ARGH")</f>
        <v>9000</v>
      </c>
      <c r="CG12" s="3">
        <f>_xlfn.XLOOKUP(CG$1,generator!$B$2:$B$295,generator!$Q$2:$Q$295,"ARGH")</f>
        <v>9000</v>
      </c>
      <c r="CH12" s="3">
        <f>_xlfn.XLOOKUP(CH$1,generator!$B$2:$B$295,generator!$Q$2:$Q$295,"ARGH")</f>
        <v>9000</v>
      </c>
      <c r="CI12" s="3">
        <f>_xlfn.XLOOKUP(CI$1,generator!$B$2:$B$295,generator!$Q$2:$Q$295,"ARGH")</f>
        <v>9000</v>
      </c>
      <c r="CJ12" s="3">
        <f>_xlfn.XLOOKUP(CJ$1,generator!$B$2:$B$295,generator!$Q$2:$Q$295,"ARGH")</f>
        <v>9000</v>
      </c>
      <c r="CK12" s="3">
        <f>_xlfn.XLOOKUP(CK$1,generator!$B$2:$B$295,generator!$Q$2:$Q$295,"ARGH")</f>
        <v>9000</v>
      </c>
      <c r="CL12" s="3">
        <f>_xlfn.XLOOKUP(CL$1,generator!$B$2:$B$295,generator!$Q$2:$Q$295,"ARGH")</f>
        <v>9000</v>
      </c>
      <c r="CM12" s="3">
        <f>_xlfn.XLOOKUP(CM$1,generator!$B$2:$B$295,generator!$Q$2:$Q$295,"ARGH")</f>
        <v>9000</v>
      </c>
      <c r="CN12" s="3">
        <f>_xlfn.XLOOKUP(CN$1,generator!$B$2:$B$295,generator!$Q$2:$Q$295,"ARGH")</f>
        <v>9000</v>
      </c>
      <c r="CO12" s="3">
        <f>_xlfn.XLOOKUP(CO$1,generator!$B$2:$B$295,generator!$Q$2:$Q$295,"ARGH")</f>
        <v>9000</v>
      </c>
      <c r="CP12" s="3">
        <f>_xlfn.XLOOKUP(CP$1,generator!$B$2:$B$295,generator!$Q$2:$Q$295,"ARGH")</f>
        <v>9000</v>
      </c>
      <c r="CQ12" s="3">
        <f>_xlfn.XLOOKUP(CQ$1,generator!$B$2:$B$295,generator!$Q$2:$Q$295,"ARGH")</f>
        <v>9000</v>
      </c>
      <c r="CR12" s="3">
        <f>_xlfn.XLOOKUP(CR$1,generator!$B$2:$B$295,generator!$Q$2:$Q$295,"ARGH")</f>
        <v>9000</v>
      </c>
      <c r="CS12" s="3">
        <f>_xlfn.XLOOKUP(CS$1,generator!$B$2:$B$295,generator!$Q$2:$Q$295,"ARGH")</f>
        <v>9000</v>
      </c>
      <c r="CT12" s="3">
        <f>_xlfn.XLOOKUP(CT$1,generator!$B$2:$B$295,generator!$Q$2:$Q$295,"ARGH")</f>
        <v>9000</v>
      </c>
      <c r="CU12" s="3">
        <f>_xlfn.XLOOKUP(CU$1,generator!$B$2:$B$295,generator!$Q$2:$Q$295,"ARGH")</f>
        <v>9000</v>
      </c>
      <c r="CV12" s="3">
        <f>_xlfn.XLOOKUP(CV$1,generator!$B$2:$B$295,generator!$Q$2:$Q$295,"ARGH")</f>
        <v>9000</v>
      </c>
      <c r="CW12" s="3">
        <f>_xlfn.XLOOKUP(CW$1,generator!$B$2:$B$295,generator!$Q$2:$Q$295,"ARGH")</f>
        <v>9000</v>
      </c>
      <c r="CX12" s="3">
        <f>_xlfn.XLOOKUP(CX$1,generator!$B$2:$B$295,generator!$Q$2:$Q$295,"ARGH")</f>
        <v>9000</v>
      </c>
      <c r="CY12" s="3">
        <f>_xlfn.XLOOKUP(CY$1,generator!$B$2:$B$295,generator!$Q$2:$Q$295,"ARGH")</f>
        <v>9000</v>
      </c>
      <c r="CZ12" s="3">
        <f>_xlfn.XLOOKUP(CZ$1,generator!$B$2:$B$295,generator!$Q$2:$Q$295,"ARGH")</f>
        <v>9000</v>
      </c>
      <c r="DA12" s="3">
        <f>_xlfn.XLOOKUP(DA$1,generator!$B$2:$B$295,generator!$Q$2:$Q$295,"ARGH")</f>
        <v>9000</v>
      </c>
      <c r="DB12" s="3">
        <f>_xlfn.XLOOKUP(DB$1,generator!$B$2:$B$295,generator!$Q$2:$Q$295,"ARGH")</f>
        <v>9000</v>
      </c>
      <c r="DC12" s="3">
        <f>_xlfn.XLOOKUP(DC$1,generator!$B$2:$B$295,generator!$Q$2:$Q$295,"ARGH")</f>
        <v>9000</v>
      </c>
      <c r="DD12" s="3">
        <f>_xlfn.XLOOKUP(DD$1,generator!$B$2:$B$295,generator!$Q$2:$Q$295,"ARGH")</f>
        <v>9000</v>
      </c>
      <c r="DE12" s="3">
        <f>_xlfn.XLOOKUP(DE$1,generator!$B$2:$B$295,generator!$Q$2:$Q$295,"ARGH")</f>
        <v>9000</v>
      </c>
      <c r="DF12" s="3">
        <f>_xlfn.XLOOKUP(DF$1,generator!$B$2:$B$295,generator!$Q$2:$Q$295,"ARGH")</f>
        <v>9000</v>
      </c>
      <c r="DG12" s="3">
        <f>_xlfn.XLOOKUP(DG$1,generator!$B$2:$B$295,generator!$Q$2:$Q$295,"ARGH")</f>
        <v>9000</v>
      </c>
      <c r="DH12" s="3">
        <f>_xlfn.XLOOKUP(DH$1,generator!$B$2:$B$295,generator!$Q$2:$Q$295,"ARGH")</f>
        <v>9000</v>
      </c>
      <c r="DI12" s="3">
        <f>_xlfn.XLOOKUP(DI$1,generator!$B$2:$B$295,generator!$Q$2:$Q$295,"ARGH")</f>
        <v>9000</v>
      </c>
      <c r="DJ12" s="3">
        <f>_xlfn.XLOOKUP(DJ$1,generator!$B$2:$B$295,generator!$Q$2:$Q$295,"ARGH")</f>
        <v>9000</v>
      </c>
      <c r="DK12" s="3">
        <f>_xlfn.XLOOKUP(DK$1,generator!$B$2:$B$295,generator!$Q$2:$Q$295,"ARGH")</f>
        <v>9000</v>
      </c>
      <c r="DL12" s="3">
        <f>_xlfn.XLOOKUP(DL$1,generator!$B$2:$B$295,generator!$Q$2:$Q$295,"ARGH")</f>
        <v>9000</v>
      </c>
      <c r="DM12" s="3">
        <f>_xlfn.XLOOKUP(DM$1,generator!$B$2:$B$295,generator!$Q$2:$Q$295,"ARGH")</f>
        <v>9000</v>
      </c>
      <c r="DN12" s="3">
        <f>_xlfn.XLOOKUP(DN$1,generator!$B$2:$B$295,generator!$Q$2:$Q$295,"ARGH")</f>
        <v>9000</v>
      </c>
      <c r="DO12" s="3">
        <f>_xlfn.XLOOKUP(DO$1,generator!$B$2:$B$295,generator!$Q$2:$Q$295,"ARGH")</f>
        <v>9000</v>
      </c>
      <c r="DP12" s="3">
        <f>_xlfn.XLOOKUP(DP$1,generator!$B$2:$B$295,generator!$Q$2:$Q$295,"ARGH")</f>
        <v>9000</v>
      </c>
      <c r="DQ12" s="3">
        <f>_xlfn.XLOOKUP(DQ$1,generator!$B$2:$B$295,generator!$Q$2:$Q$295,"ARGH")</f>
        <v>9000</v>
      </c>
      <c r="DR12" s="3">
        <f>_xlfn.XLOOKUP(DR$1,generator!$B$2:$B$295,generator!$Q$2:$Q$295,"ARGH")</f>
        <v>9000</v>
      </c>
      <c r="DS12" s="3">
        <f>_xlfn.XLOOKUP(DS$1,generator!$B$2:$B$295,generator!$Q$2:$Q$295,"ARGH")</f>
        <v>9000</v>
      </c>
      <c r="DT12" s="3">
        <f>_xlfn.XLOOKUP(DT$1,generator!$B$2:$B$295,generator!$Q$2:$Q$295,"ARGH")</f>
        <v>9000</v>
      </c>
      <c r="DU12" s="3">
        <f>_xlfn.XLOOKUP(DU$1,generator!$B$2:$B$295,generator!$Q$2:$Q$295,"ARGH")</f>
        <v>9000</v>
      </c>
      <c r="DV12" s="3">
        <f>_xlfn.XLOOKUP(DV$1,generator!$B$2:$B$295,generator!$Q$2:$Q$295,"ARGH")</f>
        <v>9000</v>
      </c>
      <c r="DW12" s="3">
        <f>_xlfn.XLOOKUP(DW$1,generator!$B$2:$B$295,generator!$Q$2:$Q$295,"ARGH")</f>
        <v>9000</v>
      </c>
      <c r="DX12" s="3">
        <f>_xlfn.XLOOKUP(DX$1,generator!$B$2:$B$295,generator!$Q$2:$Q$295,"ARGH")</f>
        <v>9000</v>
      </c>
      <c r="DY12" s="3">
        <f>_xlfn.XLOOKUP(DY$1,generator!$B$2:$B$295,generator!$Q$2:$Q$295,"ARGH")</f>
        <v>9000</v>
      </c>
      <c r="DZ12" s="3">
        <f>_xlfn.XLOOKUP(DZ$1,generator!$B$2:$B$295,generator!$Q$2:$Q$295,"ARGH")</f>
        <v>9000</v>
      </c>
      <c r="EA12" s="3">
        <f>_xlfn.XLOOKUP(EA$1,generator!$B$2:$B$295,generator!$Q$2:$Q$295,"ARGH")</f>
        <v>9000</v>
      </c>
      <c r="EB12" s="3">
        <f>_xlfn.XLOOKUP(EB$1,generator!$B$2:$B$295,generator!$Q$2:$Q$295,"ARGH")</f>
        <v>9000</v>
      </c>
      <c r="EC12" s="3">
        <f>_xlfn.XLOOKUP(EC$1,generator!$B$2:$B$295,generator!$Q$2:$Q$295,"ARGH")</f>
        <v>9000</v>
      </c>
      <c r="ED12" s="3">
        <f>_xlfn.XLOOKUP(ED$1,generator!$B$2:$B$295,generator!$Q$2:$Q$295,"ARGH")</f>
        <v>9000</v>
      </c>
      <c r="EE12" s="3">
        <f>_xlfn.XLOOKUP(EE$1,generator!$B$2:$B$295,generator!$Q$2:$Q$295,"ARGH")</f>
        <v>9000</v>
      </c>
      <c r="EF12" s="3">
        <f>_xlfn.XLOOKUP(EF$1,generator!$B$2:$B$295,generator!$Q$2:$Q$295,"ARGH")</f>
        <v>9000</v>
      </c>
      <c r="EG12" s="3">
        <f>_xlfn.XLOOKUP(EG$1,generator!$B$2:$B$295,generator!$Q$2:$Q$295,"ARGH")</f>
        <v>9000</v>
      </c>
      <c r="EH12" s="3">
        <f>_xlfn.XLOOKUP(EH$1,generator!$B$2:$B$295,generator!$Q$2:$Q$295,"ARGH")</f>
        <v>9000</v>
      </c>
      <c r="EI12" s="3">
        <f>_xlfn.XLOOKUP(EI$1,generator!$B$2:$B$295,generator!$Q$2:$Q$295,"ARGH")</f>
        <v>9000</v>
      </c>
      <c r="EJ12" s="3">
        <f>_xlfn.XLOOKUP(EJ$1,generator!$B$2:$B$295,generator!$Q$2:$Q$295,"ARGH")</f>
        <v>9000</v>
      </c>
      <c r="EK12" s="3">
        <f>_xlfn.XLOOKUP(EK$1,generator!$B$2:$B$295,generator!$Q$2:$Q$295,"ARGH")</f>
        <v>9000</v>
      </c>
      <c r="EL12" s="3">
        <f>_xlfn.XLOOKUP(EL$1,generator!$B$2:$B$295,generator!$Q$2:$Q$295,"ARGH")</f>
        <v>9000</v>
      </c>
      <c r="EM12" s="3">
        <f>_xlfn.XLOOKUP(EM$1,generator!$B$2:$B$295,generator!$Q$2:$Q$295,"ARGH")</f>
        <v>9000</v>
      </c>
      <c r="EN12" s="3">
        <f>_xlfn.XLOOKUP(EN$1,generator!$B$2:$B$295,generator!$Q$2:$Q$295,"ARGH")</f>
        <v>9000</v>
      </c>
      <c r="EO12" s="3">
        <f>_xlfn.XLOOKUP(EO$1,generator!$B$2:$B$295,generator!$Q$2:$Q$295,"ARGH")</f>
        <v>9000</v>
      </c>
      <c r="EP12" s="3">
        <f>_xlfn.XLOOKUP(EP$1,generator!$B$2:$B$295,generator!$Q$2:$Q$295,"ARGH")</f>
        <v>9000</v>
      </c>
      <c r="EQ12" s="3">
        <f>_xlfn.XLOOKUP(EQ$1,generator!$B$2:$B$295,generator!$Q$2:$Q$295,"ARGH")</f>
        <v>9000</v>
      </c>
      <c r="ER12" s="3">
        <f>_xlfn.XLOOKUP(ER$1,generator!$B$2:$B$295,generator!$Q$2:$Q$295,"ARGH")</f>
        <v>9000</v>
      </c>
      <c r="ES12" s="3">
        <f>_xlfn.XLOOKUP(ES$1,generator!$B$2:$B$295,generator!$Q$2:$Q$295,"ARGH")</f>
        <v>9000</v>
      </c>
      <c r="ET12" s="3">
        <f>_xlfn.XLOOKUP(ET$1,generator!$B$2:$B$295,generator!$Q$2:$Q$295,"ARGH")</f>
        <v>9000</v>
      </c>
      <c r="EU12" s="3">
        <f>_xlfn.XLOOKUP(EU$1,generator!$B$2:$B$295,generator!$Q$2:$Q$295,"ARGH")</f>
        <v>9000</v>
      </c>
      <c r="EV12" s="3">
        <f>_xlfn.XLOOKUP(EV$1,generator!$B$2:$B$295,generator!$Q$2:$Q$295,"ARGH")</f>
        <v>9000</v>
      </c>
      <c r="EW12" s="3">
        <f>_xlfn.XLOOKUP(EW$1,generator!$B$2:$B$295,generator!$Q$2:$Q$295,"ARGH")</f>
        <v>9000</v>
      </c>
      <c r="EX12" s="3">
        <f>_xlfn.XLOOKUP(EX$1,generator!$B$2:$B$295,generator!$Q$2:$Q$295,"ARGH")</f>
        <v>9000</v>
      </c>
      <c r="EY12" s="3">
        <f>_xlfn.XLOOKUP(EY$1,generator!$B$2:$B$295,generator!$Q$2:$Q$295,"ARGH")</f>
        <v>9000</v>
      </c>
      <c r="EZ12" s="3">
        <f>_xlfn.XLOOKUP(EZ$1,generator!$B$2:$B$295,generator!$Q$2:$Q$295,"ARGH")</f>
        <v>9000</v>
      </c>
      <c r="FA12" s="3">
        <f>_xlfn.XLOOKUP(FA$1,generator!$B$2:$B$295,generator!$Q$2:$Q$295,"ARGH")</f>
        <v>9000</v>
      </c>
      <c r="FB12" s="3">
        <f>_xlfn.XLOOKUP(FB$1,generator!$B$2:$B$295,generator!$Q$2:$Q$295,"ARGH")</f>
        <v>9000</v>
      </c>
      <c r="FC12" s="3">
        <f>_xlfn.XLOOKUP(FC$1,generator!$B$2:$B$295,generator!$Q$2:$Q$295,"ARGH")</f>
        <v>9000</v>
      </c>
      <c r="FD12" s="3">
        <f>_xlfn.XLOOKUP(FD$1,generator!$B$2:$B$295,generator!$Q$2:$Q$295,"ARGH")</f>
        <v>9000</v>
      </c>
      <c r="FE12" s="3">
        <f>_xlfn.XLOOKUP(FE$1,generator!$B$2:$B$295,generator!$Q$2:$Q$295,"ARGH")</f>
        <v>9000</v>
      </c>
      <c r="FF12" s="3">
        <f>_xlfn.XLOOKUP(FF$1,generator!$B$2:$B$295,generator!$Q$2:$Q$295,"ARGH")</f>
        <v>9000</v>
      </c>
      <c r="FG12" s="3">
        <f>_xlfn.XLOOKUP(FG$1,generator!$B$2:$B$295,generator!$Q$2:$Q$295,"ARGH")</f>
        <v>9000</v>
      </c>
      <c r="FH12" s="3">
        <f>_xlfn.XLOOKUP(FH$1,generator!$B$2:$B$295,generator!$Q$2:$Q$295,"ARGH")</f>
        <v>9000</v>
      </c>
      <c r="FI12" s="3">
        <f>_xlfn.XLOOKUP(FI$1,generator!$B$2:$B$295,generator!$Q$2:$Q$295,"ARGH")</f>
        <v>9000</v>
      </c>
      <c r="FJ12" s="3">
        <f>_xlfn.XLOOKUP(FJ$1,generator!$B$2:$B$295,generator!$Q$2:$Q$295,"ARGH")</f>
        <v>9000</v>
      </c>
      <c r="FK12" s="3">
        <f>_xlfn.XLOOKUP(FK$1,generator!$B$2:$B$295,generator!$Q$2:$Q$295,"ARGH")</f>
        <v>9000</v>
      </c>
      <c r="FL12" s="3">
        <f>_xlfn.XLOOKUP(FL$1,generator!$B$2:$B$295,generator!$Q$2:$Q$295,"ARGH")</f>
        <v>9000</v>
      </c>
      <c r="FM12" s="3">
        <f>_xlfn.XLOOKUP(FM$1,generator!$B$2:$B$295,generator!$Q$2:$Q$295,"ARGH")</f>
        <v>9000</v>
      </c>
      <c r="FN12" s="3">
        <f>_xlfn.XLOOKUP(FN$1,generator!$B$2:$B$295,generator!$Q$2:$Q$295,"ARGH")</f>
        <v>9000</v>
      </c>
      <c r="FO12" s="3">
        <f>_xlfn.XLOOKUP(FO$1,generator!$B$2:$B$295,generator!$Q$2:$Q$295,"ARGH")</f>
        <v>9000</v>
      </c>
      <c r="FP12" s="3">
        <f>_xlfn.XLOOKUP(FP$1,generator!$B$2:$B$295,generator!$Q$2:$Q$295,"ARGH")</f>
        <v>9000</v>
      </c>
      <c r="FQ12" s="3">
        <f>_xlfn.XLOOKUP(FQ$1,generator!$B$2:$B$295,generator!$Q$2:$Q$295,"ARGH")</f>
        <v>9000</v>
      </c>
      <c r="FR12" s="3">
        <f>_xlfn.XLOOKUP(FR$1,generator!$B$2:$B$295,generator!$Q$2:$Q$295,"ARGH")</f>
        <v>9000</v>
      </c>
      <c r="FS12" s="3">
        <f>_xlfn.XLOOKUP(FS$1,generator!$B$2:$B$295,generator!$Q$2:$Q$295,"ARGH")</f>
        <v>9000</v>
      </c>
      <c r="FT12" s="3">
        <f>_xlfn.XLOOKUP(FT$1,generator!$B$2:$B$295,generator!$Q$2:$Q$295,"ARGH")</f>
        <v>9000</v>
      </c>
      <c r="FU12" s="3">
        <f>_xlfn.XLOOKUP(FU$1,generator!$B$2:$B$295,generator!$Q$2:$Q$295,"ARGH")</f>
        <v>9000</v>
      </c>
      <c r="FV12" s="3">
        <f>_xlfn.XLOOKUP(FV$1,generator!$B$2:$B$295,generator!$Q$2:$Q$295,"ARGH")</f>
        <v>9000</v>
      </c>
      <c r="FW12" s="3">
        <f>_xlfn.XLOOKUP(FW$1,generator!$B$2:$B$295,generator!$Q$2:$Q$295,"ARGH")</f>
        <v>9000</v>
      </c>
      <c r="FX12" s="3">
        <f>_xlfn.XLOOKUP(FX$1,generator!$B$2:$B$295,generator!$Q$2:$Q$295,"ARGH")</f>
        <v>9000</v>
      </c>
      <c r="FY12" s="3">
        <f>_xlfn.XLOOKUP(FY$1,generator!$B$2:$B$295,generator!$Q$2:$Q$295,"ARGH")</f>
        <v>9000</v>
      </c>
      <c r="FZ12" s="3">
        <f>_xlfn.XLOOKUP(FZ$1,generator!$B$2:$B$295,generator!$Q$2:$Q$295,"ARGH")</f>
        <v>9000</v>
      </c>
      <c r="GA12" s="3">
        <f>_xlfn.XLOOKUP(GA$1,generator!$B$2:$B$295,generator!$Q$2:$Q$295,"ARGH")</f>
        <v>9000</v>
      </c>
      <c r="GB12" s="3">
        <f>_xlfn.XLOOKUP(GB$1,generator!$B$2:$B$295,generator!$Q$2:$Q$295,"ARGH")</f>
        <v>9000</v>
      </c>
      <c r="GC12" s="3">
        <f>_xlfn.XLOOKUP(GC$1,generator!$B$2:$B$295,generator!$Q$2:$Q$295,"ARGH")</f>
        <v>9000</v>
      </c>
      <c r="GD12" s="3">
        <f>_xlfn.XLOOKUP(GD$1,generator!$B$2:$B$295,generator!$Q$2:$Q$295,"ARGH")</f>
        <v>9000</v>
      </c>
      <c r="GE12" s="3">
        <f>_xlfn.XLOOKUP(GE$1,generator!$B$2:$B$295,generator!$Q$2:$Q$295,"ARGH")</f>
        <v>9000</v>
      </c>
      <c r="GF12" s="3">
        <f>_xlfn.XLOOKUP(GF$1,generator!$B$2:$B$295,generator!$Q$2:$Q$295,"ARGH")</f>
        <v>9000</v>
      </c>
      <c r="GG12" s="3">
        <f>_xlfn.XLOOKUP(GG$1,generator!$B$2:$B$295,generator!$Q$2:$Q$295,"ARGH")</f>
        <v>9000</v>
      </c>
      <c r="GH12" s="3">
        <f>_xlfn.XLOOKUP(GH$1,generator!$B$2:$B$295,generator!$Q$2:$Q$295,"ARGH")</f>
        <v>9000</v>
      </c>
      <c r="GI12" s="3">
        <f>_xlfn.XLOOKUP(GI$1,generator!$B$2:$B$295,generator!$Q$2:$Q$295,"ARGH")</f>
        <v>9000</v>
      </c>
      <c r="GJ12" s="3">
        <f>_xlfn.XLOOKUP(GJ$1,generator!$B$2:$B$295,generator!$Q$2:$Q$295,"ARGH")</f>
        <v>9000</v>
      </c>
      <c r="GK12" s="3">
        <f>_xlfn.XLOOKUP(GK$1,generator!$B$2:$B$295,generator!$Q$2:$Q$295,"ARGH")</f>
        <v>9000</v>
      </c>
      <c r="GL12" s="3">
        <f>_xlfn.XLOOKUP(GL$1,generator!$B$2:$B$295,generator!$Q$2:$Q$295,"ARGH")</f>
        <v>9000</v>
      </c>
      <c r="GM12" s="3">
        <f>_xlfn.XLOOKUP(GM$1,generator!$B$2:$B$295,generator!$Q$2:$Q$295,"ARGH")</f>
        <v>9000</v>
      </c>
      <c r="GN12" s="3">
        <f>_xlfn.XLOOKUP(GN$1,generator!$B$2:$B$295,generator!$Q$2:$Q$295,"ARGH")</f>
        <v>9000</v>
      </c>
      <c r="GO12" s="3">
        <f>_xlfn.XLOOKUP(GO$1,generator!$B$2:$B$295,generator!$Q$2:$Q$295,"ARGH")</f>
        <v>9000</v>
      </c>
      <c r="GP12" s="3">
        <f>_xlfn.XLOOKUP(GP$1,generator!$B$2:$B$295,generator!$Q$2:$Q$295,"ARGH")</f>
        <v>9000</v>
      </c>
      <c r="GQ12" s="3">
        <f>_xlfn.XLOOKUP(GQ$1,generator!$B$2:$B$295,generator!$Q$2:$Q$295,"ARGH")</f>
        <v>9000</v>
      </c>
      <c r="GR12" s="3">
        <f>_xlfn.XLOOKUP(GR$1,generator!$B$2:$B$295,generator!$Q$2:$Q$295,"ARGH")</f>
        <v>9000</v>
      </c>
      <c r="GS12" s="3">
        <f>_xlfn.XLOOKUP(GS$1,generator!$B$2:$B$295,generator!$Q$2:$Q$295,"ARGH")</f>
        <v>9000</v>
      </c>
      <c r="GT12" s="3">
        <f>_xlfn.XLOOKUP(GT$1,generator!$B$2:$B$295,generator!$Q$2:$Q$295,"ARGH")</f>
        <v>9000</v>
      </c>
      <c r="GU12" s="3">
        <f>_xlfn.XLOOKUP(GU$1,generator!$B$2:$B$295,generator!$Q$2:$Q$295,"ARGH")</f>
        <v>9000</v>
      </c>
      <c r="GV12" s="3">
        <f>_xlfn.XLOOKUP(GV$1,generator!$B$2:$B$295,generator!$Q$2:$Q$295,"ARGH")</f>
        <v>9000</v>
      </c>
      <c r="GW12" s="3">
        <f>_xlfn.XLOOKUP(GW$1,generator!$B$2:$B$295,generator!$Q$2:$Q$295,"ARGH")</f>
        <v>9000</v>
      </c>
      <c r="GX12" s="3">
        <f>_xlfn.XLOOKUP(GX$1,generator!$B$2:$B$295,generator!$Q$2:$Q$295,"ARGH")</f>
        <v>9000</v>
      </c>
      <c r="GY12" s="3">
        <f>_xlfn.XLOOKUP(GY$1,generator!$B$2:$B$295,generator!$Q$2:$Q$295,"ARGH")</f>
        <v>9000</v>
      </c>
      <c r="GZ12" s="3">
        <f>_xlfn.XLOOKUP(GZ$1,generator!$B$2:$B$295,generator!$Q$2:$Q$295,"ARGH")</f>
        <v>9000</v>
      </c>
      <c r="HA12" s="3">
        <f>_xlfn.XLOOKUP(HA$1,generator!$B$2:$B$295,generator!$Q$2:$Q$295,"ARGH")</f>
        <v>9000</v>
      </c>
      <c r="HB12" s="3">
        <f>_xlfn.XLOOKUP(HB$1,generator!$B$2:$B$295,generator!$Q$2:$Q$295,"ARGH")</f>
        <v>9000</v>
      </c>
      <c r="HC12" s="3">
        <f>_xlfn.XLOOKUP(HC$1,generator!$B$2:$B$295,generator!$Q$2:$Q$295,"ARGH")</f>
        <v>9000</v>
      </c>
      <c r="HD12" s="3">
        <f>_xlfn.XLOOKUP(HD$1,generator!$B$2:$B$295,generator!$Q$2:$Q$295,"ARGH")</f>
        <v>9000</v>
      </c>
      <c r="HE12" s="3">
        <f>_xlfn.XLOOKUP(HE$1,generator!$B$2:$B$295,generator!$Q$2:$Q$295,"ARGH")</f>
        <v>8000</v>
      </c>
      <c r="HF12" s="3" t="str">
        <f>_xlfn.XLOOKUP(HF$1,generator!$B$2:$B$295,generator!$Q$2:$Q$295,"ARGH")</f>
        <v>143</v>
      </c>
      <c r="HG12" s="3" t="str">
        <f>_xlfn.XLOOKUP(HG$1,generator!$B$2:$B$295,generator!$Q$2:$Q$295,"ARGH")</f>
        <v>143</v>
      </c>
      <c r="HH12" s="3" t="str">
        <f>_xlfn.XLOOKUP(HH$1,generator!$B$2:$B$295,generator!$Q$2:$Q$295,"ARGH")</f>
        <v>143</v>
      </c>
      <c r="HI12" s="3" t="str">
        <f>_xlfn.XLOOKUP(HI$1,generator!$B$2:$B$295,generator!$Q$2:$Q$295,"ARGH")</f>
        <v>246.74</v>
      </c>
      <c r="HJ12" s="3" t="str">
        <f>_xlfn.XLOOKUP(HJ$1,generator!$B$2:$B$295,generator!$Q$2:$Q$295,"ARGH")</f>
        <v>246.74</v>
      </c>
      <c r="HK12" s="3" t="str">
        <f>_xlfn.XLOOKUP(HK$1,generator!$B$2:$B$295,generator!$Q$2:$Q$295,"ARGH")</f>
        <v>206.04</v>
      </c>
      <c r="HL12" s="3" t="str">
        <f>_xlfn.XLOOKUP(HL$1,generator!$B$2:$B$295,generator!$Q$2:$Q$295,"ARGH")</f>
        <v>506.96</v>
      </c>
      <c r="HM12" s="3" t="str">
        <f>_xlfn.XLOOKUP(HM$1,generator!$B$2:$B$295,generator!$Q$2:$Q$295,"ARGH")</f>
        <v>506.95</v>
      </c>
      <c r="HN12" s="3" t="str">
        <f>_xlfn.XLOOKUP(HN$1,generator!$B$2:$B$295,generator!$Q$2:$Q$295,"ARGH")</f>
        <v>190.97</v>
      </c>
      <c r="HO12" s="3" t="str">
        <f>_xlfn.XLOOKUP(HO$1,generator!$B$2:$B$295,generator!$Q$2:$Q$295,"ARGH")</f>
        <v>190.97</v>
      </c>
      <c r="HP12" s="3" t="str">
        <f>_xlfn.XLOOKUP(HP$1,generator!$B$2:$B$295,generator!$Q$2:$Q$295,"ARGH")</f>
        <v>424.84</v>
      </c>
      <c r="HQ12" s="3" t="str">
        <f>_xlfn.XLOOKUP(HQ$1,generator!$B$2:$B$295,generator!$Q$2:$Q$295,"ARGH")</f>
        <v>425.9</v>
      </c>
      <c r="HR12" s="3" t="str">
        <f>_xlfn.XLOOKUP(HR$1,generator!$B$2:$B$295,generator!$Q$2:$Q$295,"ARGH")</f>
        <v>425.9</v>
      </c>
      <c r="HS12" s="3" t="str">
        <f>_xlfn.XLOOKUP(HS$1,generator!$B$2:$B$295,generator!$Q$2:$Q$295,"ARGH")</f>
        <v>196.54</v>
      </c>
      <c r="HT12" s="3" t="str">
        <f>_xlfn.XLOOKUP(HT$1,generator!$B$2:$B$295,generator!$Q$2:$Q$295,"ARGH")</f>
        <v>196.54</v>
      </c>
      <c r="HU12" s="3" t="str">
        <f>_xlfn.XLOOKUP(HU$1,generator!$B$2:$B$295,generator!$Q$2:$Q$295,"ARGH")</f>
        <v>145.57</v>
      </c>
      <c r="HV12" s="3" t="str">
        <f>_xlfn.XLOOKUP(HV$1,generator!$B$2:$B$295,generator!$Q$2:$Q$295,"ARGH")</f>
        <v>132.62</v>
      </c>
      <c r="HW12" s="3" t="str">
        <f>_xlfn.XLOOKUP(HW$1,generator!$B$2:$B$295,generator!$Q$2:$Q$295,"ARGH")</f>
        <v>193.76</v>
      </c>
      <c r="HX12" s="3" t="str">
        <f>_xlfn.XLOOKUP(HX$1,generator!$B$2:$B$295,generator!$Q$2:$Q$295,"ARGH")</f>
        <v>193.76</v>
      </c>
      <c r="HY12" s="3" t="str">
        <f>_xlfn.XLOOKUP(HY$1,generator!$B$2:$B$295,generator!$Q$2:$Q$295,"ARGH")</f>
        <v>79.19</v>
      </c>
      <c r="HZ12" s="3" t="str">
        <f>_xlfn.XLOOKUP(HZ$1,generator!$B$2:$B$295,generator!$Q$2:$Q$295,"ARGH")</f>
        <v>125.79</v>
      </c>
      <c r="IA12" s="3" t="str">
        <f>_xlfn.XLOOKUP(IA$1,generator!$B$2:$B$295,generator!$Q$2:$Q$295,"ARGH")</f>
        <v>54.19</v>
      </c>
      <c r="IB12" s="3" t="str">
        <f>_xlfn.XLOOKUP(IB$1,generator!$B$2:$B$295,generator!$Q$2:$Q$295,"ARGH")</f>
        <v>59.7</v>
      </c>
      <c r="IC12" s="3">
        <f>_xlfn.XLOOKUP(IC$1,generator!$B$2:$B$295,generator!$Q$2:$Q$295,"ARGH")</f>
        <v>0</v>
      </c>
      <c r="ID12" s="3" t="str">
        <f>_xlfn.XLOOKUP(ID$1,generator!$B$2:$B$295,generator!$Q$2:$Q$295,"ARGH")</f>
        <v>121.14</v>
      </c>
      <c r="IE12" s="3" t="str">
        <f>_xlfn.XLOOKUP(IE$1,generator!$B$2:$B$295,generator!$Q$2:$Q$295,"ARGH")</f>
        <v>26.6</v>
      </c>
      <c r="IF12" s="3">
        <f>_xlfn.XLOOKUP(IF$1,generator!$B$2:$B$295,generator!$Q$2:$Q$295,"ARGH")</f>
        <v>8000</v>
      </c>
      <c r="IG12" s="3">
        <f>_xlfn.XLOOKUP(IG$1,generator!$B$2:$B$295,generator!$Q$2:$Q$295,"ARGH")</f>
        <v>8000</v>
      </c>
      <c r="IH12" s="3">
        <f>_xlfn.XLOOKUP(IH$1,generator!$B$2:$B$295,generator!$Q$2:$Q$295,"ARGH")</f>
        <v>8000</v>
      </c>
      <c r="II12" s="3">
        <f>_xlfn.XLOOKUP(II$1,generator!$B$2:$B$295,generator!$Q$2:$Q$295,"ARGH")</f>
        <v>8000</v>
      </c>
      <c r="IJ12" s="3">
        <f>_xlfn.XLOOKUP(IJ$1,generator!$B$2:$B$295,generator!$Q$2:$Q$295,"ARGH")</f>
        <v>8000</v>
      </c>
      <c r="IK12" s="3">
        <f>_xlfn.XLOOKUP(IK$1,generator!$B$2:$B$295,generator!$Q$2:$Q$295,"ARGH")</f>
        <v>8000</v>
      </c>
      <c r="IL12" s="3">
        <f>_xlfn.XLOOKUP(IL$1,generator!$B$2:$B$295,generator!$Q$2:$Q$295,"ARGH")</f>
        <v>8000</v>
      </c>
      <c r="IM12" s="3">
        <f>_xlfn.XLOOKUP(IM$1,generator!$B$2:$B$295,generator!$Q$2:$Q$295,"ARGH")</f>
        <v>8000</v>
      </c>
      <c r="IN12" s="3">
        <f>_xlfn.XLOOKUP(IN$1,generator!$B$2:$B$295,generator!$Q$2:$Q$295,"ARGH")</f>
        <v>8000</v>
      </c>
      <c r="IO12" s="3">
        <f>_xlfn.XLOOKUP(IO$1,generator!$B$2:$B$295,generator!$Q$2:$Q$295,"ARGH")</f>
        <v>8000</v>
      </c>
      <c r="IP12" s="3">
        <f>_xlfn.XLOOKUP(IP$1,generator!$B$2:$B$295,generator!$Q$2:$Q$295,"ARGH")</f>
        <v>8000</v>
      </c>
      <c r="IQ12" s="3">
        <f>_xlfn.XLOOKUP(IQ$1,generator!$B$2:$B$295,generator!$Q$2:$Q$295,"ARGH")</f>
        <v>8000</v>
      </c>
      <c r="IR12" s="3">
        <f>_xlfn.XLOOKUP(IR$1,generator!$B$2:$B$295,generator!$Q$2:$Q$295,"ARGH")</f>
        <v>8000</v>
      </c>
      <c r="IS12" s="3">
        <f>_xlfn.XLOOKUP(IS$1,generator!$B$2:$B$295,generator!$Q$2:$Q$295,"ARGH")</f>
        <v>8000</v>
      </c>
      <c r="IT12" s="3">
        <f>_xlfn.XLOOKUP(IT$1,generator!$B$2:$B$295,generator!$Q$2:$Q$295,"ARGH")</f>
        <v>8000</v>
      </c>
      <c r="IU12" s="3">
        <f>_xlfn.XLOOKUP(IU$1,generator!$B$2:$B$295,generator!$Q$2:$Q$295,"ARGH")</f>
        <v>8000</v>
      </c>
      <c r="IV12" s="3">
        <f>_xlfn.XLOOKUP(IV$1,generator!$B$2:$B$295,generator!$Q$2:$Q$295,"ARGH")</f>
        <v>8000</v>
      </c>
      <c r="IW12" s="3" t="str">
        <f>_xlfn.XLOOKUP(IW$1,generator!$B$2:$B$295,generator!$Q$2:$Q$295,"ARGH")</f>
        <v>108.19</v>
      </c>
      <c r="IX12" s="3" t="str">
        <f>_xlfn.XLOOKUP(IX$1,generator!$B$2:$B$295,generator!$Q$2:$Q$295,"ARGH")</f>
        <v>108.18</v>
      </c>
      <c r="IY12" s="3" t="str">
        <f>_xlfn.XLOOKUP(IY$1,generator!$B$2:$B$295,generator!$Q$2:$Q$295,"ARGH")</f>
        <v>108.17</v>
      </c>
      <c r="IZ12" s="3" t="str">
        <f>_xlfn.XLOOKUP(IZ$1,generator!$B$2:$B$295,generator!$Q$2:$Q$295,"ARGH")</f>
        <v>40.96</v>
      </c>
      <c r="JA12" s="3">
        <f>_xlfn.XLOOKUP(JA$1,generator!$B$2:$B$295,generator!$Q$2:$Q$295,"ARGH")</f>
        <v>0</v>
      </c>
      <c r="JB12" s="3">
        <f>_xlfn.XLOOKUP(JB$1,generator!$B$2:$B$295,generator!$Q$2:$Q$295,"ARGH")</f>
        <v>0</v>
      </c>
      <c r="JC12" s="3" t="str">
        <f>_xlfn.XLOOKUP(JC$1,generator!$B$2:$B$295,generator!$Q$2:$Q$295,"ARGH")</f>
        <v>75.91</v>
      </c>
      <c r="JD12" s="3" t="str">
        <f>_xlfn.XLOOKUP(JD$1,generator!$B$2:$B$295,generator!$Q$2:$Q$295,"ARGH")</f>
        <v>75.91</v>
      </c>
      <c r="JE12" s="3" t="str">
        <f>_xlfn.XLOOKUP(JE$1,generator!$B$2:$B$295,generator!$Q$2:$Q$295,"ARGH")</f>
        <v>51.59</v>
      </c>
      <c r="JF12" s="3" t="str">
        <f>_xlfn.XLOOKUP(JF$1,generator!$B$2:$B$295,generator!$Q$2:$Q$295,"ARGH")</f>
        <v>111.57</v>
      </c>
      <c r="JG12" s="3">
        <f>_xlfn.XLOOKUP(JG$1,generator!$B$2:$B$295,generator!$Q$2:$Q$295,"ARGH")</f>
        <v>0</v>
      </c>
      <c r="JH12" s="3" t="str">
        <f>_xlfn.XLOOKUP(JH$1,generator!$B$2:$B$295,generator!$Q$2:$Q$295,"ARGH")</f>
        <v>48.65</v>
      </c>
      <c r="JI12" s="3" t="str">
        <f>_xlfn.XLOOKUP(JI$1,generator!$B$2:$B$295,generator!$Q$2:$Q$295,"ARGH")</f>
        <v>71.88</v>
      </c>
      <c r="JJ12" s="3" t="str">
        <f>_xlfn.XLOOKUP(JJ$1,generator!$B$2:$B$295,generator!$Q$2:$Q$295,"ARGH")</f>
        <v>98.17</v>
      </c>
      <c r="JK12" s="3" t="str">
        <f>_xlfn.XLOOKUP(JK$1,generator!$B$2:$B$295,generator!$Q$2:$Q$295,"ARGH")</f>
        <v>98.17</v>
      </c>
      <c r="JL12" s="3" t="str">
        <f>_xlfn.XLOOKUP(JL$1,generator!$B$2:$B$295,generator!$Q$2:$Q$295,"ARGH")</f>
        <v>98.17</v>
      </c>
      <c r="JM12" s="3" t="str">
        <f>_xlfn.XLOOKUP(JM$1,generator!$B$2:$B$295,generator!$Q$2:$Q$295,"ARGH")</f>
        <v>98.17</v>
      </c>
      <c r="JN12" s="3" t="str">
        <f>_xlfn.XLOOKUP(JN$1,generator!$B$2:$B$295,generator!$Q$2:$Q$295,"ARGH")</f>
        <v>98.17</v>
      </c>
      <c r="JO12" s="3" t="str">
        <f>_xlfn.XLOOKUP(JO$1,generator!$B$2:$B$295,generator!$Q$2:$Q$295,"ARGH")</f>
        <v>98.17</v>
      </c>
      <c r="JP12" s="3" t="str">
        <f>_xlfn.XLOOKUP(JP$1,generator!$B$2:$B$295,generator!$Q$2:$Q$295,"ARGH")</f>
        <v>47.53</v>
      </c>
      <c r="JQ12" s="3" t="str">
        <f>_xlfn.XLOOKUP(JQ$1,generator!$B$2:$B$295,generator!$Q$2:$Q$295,"ARGH")</f>
        <v>108.86</v>
      </c>
      <c r="JR12" s="3" t="str">
        <f>_xlfn.XLOOKUP(JR$1,generator!$B$2:$B$295,generator!$Q$2:$Q$295,"ARGH")</f>
        <v>83.15</v>
      </c>
      <c r="JS12" s="3" t="str">
        <f>_xlfn.XLOOKUP(JS$1,generator!$B$2:$B$295,generator!$Q$2:$Q$295,"ARGH")</f>
        <v>83.15</v>
      </c>
      <c r="JT12" s="3" t="str">
        <f>_xlfn.XLOOKUP(JT$1,generator!$B$2:$B$295,generator!$Q$2:$Q$295,"ARGH")</f>
        <v>108.86</v>
      </c>
      <c r="JU12" s="3">
        <f>_xlfn.XLOOKUP(JU$1,generator!$B$2:$B$295,generator!$Q$2:$Q$295,"ARGH")</f>
        <v>0</v>
      </c>
      <c r="JV12" s="3" t="str">
        <f>_xlfn.XLOOKUP(JV$1,generator!$B$2:$B$295,generator!$Q$2:$Q$295,"ARGH")</f>
        <v>77.63</v>
      </c>
      <c r="JW12" s="3" t="str">
        <f>_xlfn.XLOOKUP(JW$1,generator!$B$2:$B$295,generator!$Q$2:$Q$295,"ARGH")</f>
        <v>77.64</v>
      </c>
      <c r="JX12" s="3" t="str">
        <f>_xlfn.XLOOKUP(JX$1,generator!$B$2:$B$295,generator!$Q$2:$Q$295,"ARGH")</f>
        <v>331.49</v>
      </c>
      <c r="JY12" s="3">
        <f>_xlfn.XLOOKUP(JY$1,generator!$B$2:$B$295,generator!$Q$2:$Q$295,"ARGH")</f>
        <v>7000</v>
      </c>
      <c r="JZ12" s="3">
        <f>_xlfn.XLOOKUP(JZ$1,generator!$B$2:$B$295,generator!$Q$2:$Q$295,"ARGH")</f>
        <v>0</v>
      </c>
      <c r="KA12" s="3">
        <f>_xlfn.XLOOKUP(KA$1,generator!$B$2:$B$295,generator!$Q$2:$Q$295,"ARGH")</f>
        <v>0</v>
      </c>
      <c r="KB12" s="3">
        <f>_xlfn.XLOOKUP(KB$1,generator!$B$2:$B$295,generator!$Q$2:$Q$295,"ARGH")</f>
        <v>0</v>
      </c>
      <c r="KC12" s="3">
        <f>_xlfn.XLOOKUP(KC$1,generator!$B$2:$B$295,generator!$Q$2:$Q$295,"ARGH")</f>
        <v>0</v>
      </c>
    </row>
    <row r="13" spans="1:289" x14ac:dyDescent="0.3">
      <c r="A13" s="4" t="s">
        <v>3008</v>
      </c>
      <c r="B13" s="3">
        <v>15000</v>
      </c>
      <c r="C13" s="3">
        <v>15000</v>
      </c>
      <c r="D13" s="3">
        <v>15000</v>
      </c>
      <c r="E13" s="3">
        <f>_xlfn.XLOOKUP(E$1,generator!$B$2:$B$295,generator!$Q$2:$Q$295,"ARGH")</f>
        <v>9000</v>
      </c>
      <c r="F13" s="3">
        <f>_xlfn.XLOOKUP(F$1,generator!$B$2:$B$295,generator!$Q$2:$Q$295,"ARGH")</f>
        <v>9000</v>
      </c>
      <c r="G13" s="3">
        <f>_xlfn.XLOOKUP(G$1,generator!$B$2:$B$295,generator!$Q$2:$Q$295,"ARGH")</f>
        <v>9000</v>
      </c>
      <c r="H13" s="3">
        <f>_xlfn.XLOOKUP(H$1,generator!$B$2:$B$295,generator!$Q$2:$Q$295,"ARGH")</f>
        <v>9000</v>
      </c>
      <c r="I13" s="3">
        <f>_xlfn.XLOOKUP(I$1,generator!$B$2:$B$295,generator!$Q$2:$Q$295,"ARGH")</f>
        <v>9000</v>
      </c>
      <c r="J13" s="3">
        <f>_xlfn.XLOOKUP(J$1,generator!$B$2:$B$295,generator!$Q$2:$Q$295,"ARGH")</f>
        <v>9000</v>
      </c>
      <c r="K13" s="3">
        <f>_xlfn.XLOOKUP(K$1,generator!$B$2:$B$295,generator!$Q$2:$Q$295,"ARGH")</f>
        <v>9000</v>
      </c>
      <c r="L13" s="3">
        <f>_xlfn.XLOOKUP(L$1,generator!$B$2:$B$295,generator!$Q$2:$Q$295,"ARGH")</f>
        <v>9000</v>
      </c>
      <c r="M13" s="3">
        <f>_xlfn.XLOOKUP(M$1,generator!$B$2:$B$295,generator!$Q$2:$Q$295,"ARGH")</f>
        <v>9000</v>
      </c>
      <c r="N13" s="3">
        <f>_xlfn.XLOOKUP(N$1,generator!$B$2:$B$295,generator!$Q$2:$Q$295,"ARGH")</f>
        <v>9000</v>
      </c>
      <c r="O13" s="3">
        <f>_xlfn.XLOOKUP(O$1,generator!$B$2:$B$295,generator!$Q$2:$Q$295,"ARGH")</f>
        <v>9000</v>
      </c>
      <c r="P13" s="3">
        <f>_xlfn.XLOOKUP(P$1,generator!$B$2:$B$295,generator!$Q$2:$Q$295,"ARGH")</f>
        <v>9000</v>
      </c>
      <c r="Q13" s="3">
        <f>_xlfn.XLOOKUP(Q$1,generator!$B$2:$B$295,generator!$Q$2:$Q$295,"ARGH")</f>
        <v>9000</v>
      </c>
      <c r="R13" s="3">
        <f>_xlfn.XLOOKUP(R$1,generator!$B$2:$B$295,generator!$Q$2:$Q$295,"ARGH")</f>
        <v>9000</v>
      </c>
      <c r="S13" s="3">
        <f>_xlfn.XLOOKUP(S$1,generator!$B$2:$B$295,generator!$Q$2:$Q$295,"ARGH")</f>
        <v>9000</v>
      </c>
      <c r="T13" s="3">
        <f>_xlfn.XLOOKUP(T$1,generator!$B$2:$B$295,generator!$Q$2:$Q$295,"ARGH")</f>
        <v>9000</v>
      </c>
      <c r="U13" s="3">
        <f>_xlfn.XLOOKUP(U$1,generator!$B$2:$B$295,generator!$Q$2:$Q$295,"ARGH")</f>
        <v>9000</v>
      </c>
      <c r="V13" s="3">
        <f>_xlfn.XLOOKUP(V$1,generator!$B$2:$B$295,generator!$Q$2:$Q$295,"ARGH")</f>
        <v>9000</v>
      </c>
      <c r="W13" s="3">
        <f>_xlfn.XLOOKUP(W$1,generator!$B$2:$B$295,generator!$Q$2:$Q$295,"ARGH")</f>
        <v>9000</v>
      </c>
      <c r="X13" s="3">
        <f>_xlfn.XLOOKUP(X$1,generator!$B$2:$B$295,generator!$Q$2:$Q$295,"ARGH")</f>
        <v>9000</v>
      </c>
      <c r="Y13" s="3">
        <f>_xlfn.XLOOKUP(Y$1,generator!$B$2:$B$295,generator!$Q$2:$Q$295,"ARGH")</f>
        <v>9000</v>
      </c>
      <c r="Z13" s="3">
        <f>_xlfn.XLOOKUP(Z$1,generator!$B$2:$B$295,generator!$Q$2:$Q$295,"ARGH")</f>
        <v>9000</v>
      </c>
      <c r="AA13" s="3">
        <f>_xlfn.XLOOKUP(AA$1,generator!$B$2:$B$295,generator!$Q$2:$Q$295,"ARGH")</f>
        <v>9000</v>
      </c>
      <c r="AB13" s="3">
        <f>_xlfn.XLOOKUP(AB$1,generator!$B$2:$B$295,generator!$Q$2:$Q$295,"ARGH")</f>
        <v>9000</v>
      </c>
      <c r="AC13" s="3">
        <f>_xlfn.XLOOKUP(AC$1,generator!$B$2:$B$295,generator!$Q$2:$Q$295,"ARGH")</f>
        <v>9000</v>
      </c>
      <c r="AD13" s="3">
        <f>_xlfn.XLOOKUP(AD$1,generator!$B$2:$B$295,generator!$Q$2:$Q$295,"ARGH")</f>
        <v>9000</v>
      </c>
      <c r="AE13" s="3">
        <f>_xlfn.XLOOKUP(AE$1,generator!$B$2:$B$295,generator!$Q$2:$Q$295,"ARGH")</f>
        <v>9000</v>
      </c>
      <c r="AF13" s="3">
        <f>_xlfn.XLOOKUP(AF$1,generator!$B$2:$B$295,generator!$Q$2:$Q$295,"ARGH")</f>
        <v>9000</v>
      </c>
      <c r="AG13" s="3">
        <f>_xlfn.XLOOKUP(AG$1,generator!$B$2:$B$295,generator!$Q$2:$Q$295,"ARGH")</f>
        <v>9000</v>
      </c>
      <c r="AH13" s="3">
        <f>_xlfn.XLOOKUP(AH$1,generator!$B$2:$B$295,generator!$Q$2:$Q$295,"ARGH")</f>
        <v>9000</v>
      </c>
      <c r="AI13" s="3">
        <f>_xlfn.XLOOKUP(AI$1,generator!$B$2:$B$295,generator!$Q$2:$Q$295,"ARGH")</f>
        <v>9000</v>
      </c>
      <c r="AJ13" s="3">
        <f>_xlfn.XLOOKUP(AJ$1,generator!$B$2:$B$295,generator!$Q$2:$Q$295,"ARGH")</f>
        <v>9000</v>
      </c>
      <c r="AK13" s="3">
        <f>_xlfn.XLOOKUP(AK$1,generator!$B$2:$B$295,generator!$Q$2:$Q$295,"ARGH")</f>
        <v>9000</v>
      </c>
      <c r="AL13" s="3">
        <f>_xlfn.XLOOKUP(AL$1,generator!$B$2:$B$295,generator!$Q$2:$Q$295,"ARGH")</f>
        <v>9000</v>
      </c>
      <c r="AM13" s="3">
        <f>_xlfn.XLOOKUP(AM$1,generator!$B$2:$B$295,generator!$Q$2:$Q$295,"ARGH")</f>
        <v>9000</v>
      </c>
      <c r="AN13" s="3">
        <f>_xlfn.XLOOKUP(AN$1,generator!$B$2:$B$295,generator!$Q$2:$Q$295,"ARGH")</f>
        <v>9000</v>
      </c>
      <c r="AO13" s="3">
        <f>_xlfn.XLOOKUP(AO$1,generator!$B$2:$B$295,generator!$Q$2:$Q$295,"ARGH")</f>
        <v>9000</v>
      </c>
      <c r="AP13" s="3">
        <f>_xlfn.XLOOKUP(AP$1,generator!$B$2:$B$295,generator!$Q$2:$Q$295,"ARGH")</f>
        <v>9000</v>
      </c>
      <c r="AQ13" s="3">
        <f>_xlfn.XLOOKUP(AQ$1,generator!$B$2:$B$295,generator!$Q$2:$Q$295,"ARGH")</f>
        <v>9000</v>
      </c>
      <c r="AR13" s="3">
        <f>_xlfn.XLOOKUP(AR$1,generator!$B$2:$B$295,generator!$Q$2:$Q$295,"ARGH")</f>
        <v>9000</v>
      </c>
      <c r="AS13" s="3">
        <f>_xlfn.XLOOKUP(AS$1,generator!$B$2:$B$295,generator!$Q$2:$Q$295,"ARGH")</f>
        <v>9000</v>
      </c>
      <c r="AT13" s="3">
        <f>_xlfn.XLOOKUP(AT$1,generator!$B$2:$B$295,generator!$Q$2:$Q$295,"ARGH")</f>
        <v>9000</v>
      </c>
      <c r="AU13" s="3">
        <f>_xlfn.XLOOKUP(AU$1,generator!$B$2:$B$295,generator!$Q$2:$Q$295,"ARGH")</f>
        <v>9000</v>
      </c>
      <c r="AV13" s="3">
        <f>_xlfn.XLOOKUP(AV$1,generator!$B$2:$B$295,generator!$Q$2:$Q$295,"ARGH")</f>
        <v>9000</v>
      </c>
      <c r="AW13" s="3">
        <f>_xlfn.XLOOKUP(AW$1,generator!$B$2:$B$295,generator!$Q$2:$Q$295,"ARGH")</f>
        <v>9000</v>
      </c>
      <c r="AX13" s="3">
        <f>_xlfn.XLOOKUP(AX$1,generator!$B$2:$B$295,generator!$Q$2:$Q$295,"ARGH")</f>
        <v>9000</v>
      </c>
      <c r="AY13" s="3">
        <f>_xlfn.XLOOKUP(AY$1,generator!$B$2:$B$295,generator!$Q$2:$Q$295,"ARGH")</f>
        <v>9000</v>
      </c>
      <c r="AZ13" s="3">
        <f>_xlfn.XLOOKUP(AZ$1,generator!$B$2:$B$295,generator!$Q$2:$Q$295,"ARGH")</f>
        <v>9000</v>
      </c>
      <c r="BA13" s="3">
        <f>_xlfn.XLOOKUP(BA$1,generator!$B$2:$B$295,generator!$Q$2:$Q$295,"ARGH")</f>
        <v>9000</v>
      </c>
      <c r="BB13" s="3">
        <f>_xlfn.XLOOKUP(BB$1,generator!$B$2:$B$295,generator!$Q$2:$Q$295,"ARGH")</f>
        <v>9000</v>
      </c>
      <c r="BC13" s="3">
        <f>_xlfn.XLOOKUP(BC$1,generator!$B$2:$B$295,generator!$Q$2:$Q$295,"ARGH")</f>
        <v>9000</v>
      </c>
      <c r="BD13" s="3">
        <f>_xlfn.XLOOKUP(BD$1,generator!$B$2:$B$295,generator!$Q$2:$Q$295,"ARGH")</f>
        <v>9000</v>
      </c>
      <c r="BE13" s="3">
        <f>_xlfn.XLOOKUP(BE$1,generator!$B$2:$B$295,generator!$Q$2:$Q$295,"ARGH")</f>
        <v>9000</v>
      </c>
      <c r="BF13" s="3">
        <f>_xlfn.XLOOKUP(BF$1,generator!$B$2:$B$295,generator!$Q$2:$Q$295,"ARGH")</f>
        <v>9000</v>
      </c>
      <c r="BG13" s="3">
        <f>_xlfn.XLOOKUP(BG$1,generator!$B$2:$B$295,generator!$Q$2:$Q$295,"ARGH")</f>
        <v>9000</v>
      </c>
      <c r="BH13" s="3">
        <f>_xlfn.XLOOKUP(BH$1,generator!$B$2:$B$295,generator!$Q$2:$Q$295,"ARGH")</f>
        <v>9000</v>
      </c>
      <c r="BI13" s="3">
        <f>_xlfn.XLOOKUP(BI$1,generator!$B$2:$B$295,generator!$Q$2:$Q$295,"ARGH")</f>
        <v>9000</v>
      </c>
      <c r="BJ13" s="3">
        <f>_xlfn.XLOOKUP(BJ$1,generator!$B$2:$B$295,generator!$Q$2:$Q$295,"ARGH")</f>
        <v>9000</v>
      </c>
      <c r="BK13" s="3">
        <f>_xlfn.XLOOKUP(BK$1,generator!$B$2:$B$295,generator!$Q$2:$Q$295,"ARGH")</f>
        <v>9000</v>
      </c>
      <c r="BL13" s="3">
        <f>_xlfn.XLOOKUP(BL$1,generator!$B$2:$B$295,generator!$Q$2:$Q$295,"ARGH")</f>
        <v>9000</v>
      </c>
      <c r="BM13" s="3">
        <f>_xlfn.XLOOKUP(BM$1,generator!$B$2:$B$295,generator!$Q$2:$Q$295,"ARGH")</f>
        <v>9000</v>
      </c>
      <c r="BN13" s="3">
        <f>_xlfn.XLOOKUP(BN$1,generator!$B$2:$B$295,generator!$Q$2:$Q$295,"ARGH")</f>
        <v>9000</v>
      </c>
      <c r="BO13" s="3">
        <f>_xlfn.XLOOKUP(BO$1,generator!$B$2:$B$295,generator!$Q$2:$Q$295,"ARGH")</f>
        <v>9000</v>
      </c>
      <c r="BP13" s="3">
        <f>_xlfn.XLOOKUP(BP$1,generator!$B$2:$B$295,generator!$Q$2:$Q$295,"ARGH")</f>
        <v>9000</v>
      </c>
      <c r="BQ13" s="3">
        <f>_xlfn.XLOOKUP(BQ$1,generator!$B$2:$B$295,generator!$Q$2:$Q$295,"ARGH")</f>
        <v>9000</v>
      </c>
      <c r="BR13" s="3">
        <f>_xlfn.XLOOKUP(BR$1,generator!$B$2:$B$295,generator!$Q$2:$Q$295,"ARGH")</f>
        <v>9000</v>
      </c>
      <c r="BS13" s="3">
        <f>_xlfn.XLOOKUP(BS$1,generator!$B$2:$B$295,generator!$Q$2:$Q$295,"ARGH")</f>
        <v>9000</v>
      </c>
      <c r="BT13" s="3">
        <f>_xlfn.XLOOKUP(BT$1,generator!$B$2:$B$295,generator!$Q$2:$Q$295,"ARGH")</f>
        <v>9000</v>
      </c>
      <c r="BU13" s="3">
        <f>_xlfn.XLOOKUP(BU$1,generator!$B$2:$B$295,generator!$Q$2:$Q$295,"ARGH")</f>
        <v>9000</v>
      </c>
      <c r="BV13" s="3">
        <f>_xlfn.XLOOKUP(BV$1,generator!$B$2:$B$295,generator!$Q$2:$Q$295,"ARGH")</f>
        <v>9000</v>
      </c>
      <c r="BW13" s="3">
        <f>_xlfn.XLOOKUP(BW$1,generator!$B$2:$B$295,generator!$Q$2:$Q$295,"ARGH")</f>
        <v>9000</v>
      </c>
      <c r="BX13" s="3">
        <f>_xlfn.XLOOKUP(BX$1,generator!$B$2:$B$295,generator!$Q$2:$Q$295,"ARGH")</f>
        <v>9000</v>
      </c>
      <c r="BY13" s="3">
        <f>_xlfn.XLOOKUP(BY$1,generator!$B$2:$B$295,generator!$Q$2:$Q$295,"ARGH")</f>
        <v>9000</v>
      </c>
      <c r="BZ13" s="3">
        <f>_xlfn.XLOOKUP(BZ$1,generator!$B$2:$B$295,generator!$Q$2:$Q$295,"ARGH")</f>
        <v>9000</v>
      </c>
      <c r="CA13" s="3">
        <f>_xlfn.XLOOKUP(CA$1,generator!$B$2:$B$295,generator!$Q$2:$Q$295,"ARGH")</f>
        <v>9000</v>
      </c>
      <c r="CB13" s="3">
        <f>_xlfn.XLOOKUP(CB$1,generator!$B$2:$B$295,generator!$Q$2:$Q$295,"ARGH")</f>
        <v>9000</v>
      </c>
      <c r="CC13" s="3">
        <f>_xlfn.XLOOKUP(CC$1,generator!$B$2:$B$295,generator!$Q$2:$Q$295,"ARGH")</f>
        <v>9000</v>
      </c>
      <c r="CD13" s="3">
        <f>_xlfn.XLOOKUP(CD$1,generator!$B$2:$B$295,generator!$Q$2:$Q$295,"ARGH")</f>
        <v>9000</v>
      </c>
      <c r="CE13" s="3">
        <f>_xlfn.XLOOKUP(CE$1,generator!$B$2:$B$295,generator!$Q$2:$Q$295,"ARGH")</f>
        <v>9000</v>
      </c>
      <c r="CF13" s="3">
        <f>_xlfn.XLOOKUP(CF$1,generator!$B$2:$B$295,generator!$Q$2:$Q$295,"ARGH")</f>
        <v>9000</v>
      </c>
      <c r="CG13" s="3">
        <f>_xlfn.XLOOKUP(CG$1,generator!$B$2:$B$295,generator!$Q$2:$Q$295,"ARGH")</f>
        <v>9000</v>
      </c>
      <c r="CH13" s="3">
        <f>_xlfn.XLOOKUP(CH$1,generator!$B$2:$B$295,generator!$Q$2:$Q$295,"ARGH")</f>
        <v>9000</v>
      </c>
      <c r="CI13" s="3">
        <f>_xlfn.XLOOKUP(CI$1,generator!$B$2:$B$295,generator!$Q$2:$Q$295,"ARGH")</f>
        <v>9000</v>
      </c>
      <c r="CJ13" s="3">
        <f>_xlfn.XLOOKUP(CJ$1,generator!$B$2:$B$295,generator!$Q$2:$Q$295,"ARGH")</f>
        <v>9000</v>
      </c>
      <c r="CK13" s="3">
        <f>_xlfn.XLOOKUP(CK$1,generator!$B$2:$B$295,generator!$Q$2:$Q$295,"ARGH")</f>
        <v>9000</v>
      </c>
      <c r="CL13" s="3">
        <f>_xlfn.XLOOKUP(CL$1,generator!$B$2:$B$295,generator!$Q$2:$Q$295,"ARGH")</f>
        <v>9000</v>
      </c>
      <c r="CM13" s="3">
        <f>_xlfn.XLOOKUP(CM$1,generator!$B$2:$B$295,generator!$Q$2:$Q$295,"ARGH")</f>
        <v>9000</v>
      </c>
      <c r="CN13" s="3">
        <f>_xlfn.XLOOKUP(CN$1,generator!$B$2:$B$295,generator!$Q$2:$Q$295,"ARGH")</f>
        <v>9000</v>
      </c>
      <c r="CO13" s="3">
        <f>_xlfn.XLOOKUP(CO$1,generator!$B$2:$B$295,generator!$Q$2:$Q$295,"ARGH")</f>
        <v>9000</v>
      </c>
      <c r="CP13" s="3">
        <f>_xlfn.XLOOKUP(CP$1,generator!$B$2:$B$295,generator!$Q$2:$Q$295,"ARGH")</f>
        <v>9000</v>
      </c>
      <c r="CQ13" s="3">
        <f>_xlfn.XLOOKUP(CQ$1,generator!$B$2:$B$295,generator!$Q$2:$Q$295,"ARGH")</f>
        <v>9000</v>
      </c>
      <c r="CR13" s="3">
        <f>_xlfn.XLOOKUP(CR$1,generator!$B$2:$B$295,generator!$Q$2:$Q$295,"ARGH")</f>
        <v>9000</v>
      </c>
      <c r="CS13" s="3">
        <f>_xlfn.XLOOKUP(CS$1,generator!$B$2:$B$295,generator!$Q$2:$Q$295,"ARGH")</f>
        <v>9000</v>
      </c>
      <c r="CT13" s="3">
        <f>_xlfn.XLOOKUP(CT$1,generator!$B$2:$B$295,generator!$Q$2:$Q$295,"ARGH")</f>
        <v>9000</v>
      </c>
      <c r="CU13" s="3">
        <f>_xlfn.XLOOKUP(CU$1,generator!$B$2:$B$295,generator!$Q$2:$Q$295,"ARGH")</f>
        <v>9000</v>
      </c>
      <c r="CV13" s="3">
        <f>_xlfn.XLOOKUP(CV$1,generator!$B$2:$B$295,generator!$Q$2:$Q$295,"ARGH")</f>
        <v>9000</v>
      </c>
      <c r="CW13" s="3">
        <f>_xlfn.XLOOKUP(CW$1,generator!$B$2:$B$295,generator!$Q$2:$Q$295,"ARGH")</f>
        <v>9000</v>
      </c>
      <c r="CX13" s="3">
        <f>_xlfn.XLOOKUP(CX$1,generator!$B$2:$B$295,generator!$Q$2:$Q$295,"ARGH")</f>
        <v>9000</v>
      </c>
      <c r="CY13" s="3">
        <f>_xlfn.XLOOKUP(CY$1,generator!$B$2:$B$295,generator!$Q$2:$Q$295,"ARGH")</f>
        <v>9000</v>
      </c>
      <c r="CZ13" s="3">
        <f>_xlfn.XLOOKUP(CZ$1,generator!$B$2:$B$295,generator!$Q$2:$Q$295,"ARGH")</f>
        <v>9000</v>
      </c>
      <c r="DA13" s="3">
        <f>_xlfn.XLOOKUP(DA$1,generator!$B$2:$B$295,generator!$Q$2:$Q$295,"ARGH")</f>
        <v>9000</v>
      </c>
      <c r="DB13" s="3">
        <f>_xlfn.XLOOKUP(DB$1,generator!$B$2:$B$295,generator!$Q$2:$Q$295,"ARGH")</f>
        <v>9000</v>
      </c>
      <c r="DC13" s="3">
        <f>_xlfn.XLOOKUP(DC$1,generator!$B$2:$B$295,generator!$Q$2:$Q$295,"ARGH")</f>
        <v>9000</v>
      </c>
      <c r="DD13" s="3">
        <f>_xlfn.XLOOKUP(DD$1,generator!$B$2:$B$295,generator!$Q$2:$Q$295,"ARGH")</f>
        <v>9000</v>
      </c>
      <c r="DE13" s="3">
        <f>_xlfn.XLOOKUP(DE$1,generator!$B$2:$B$295,generator!$Q$2:$Q$295,"ARGH")</f>
        <v>9000</v>
      </c>
      <c r="DF13" s="3">
        <f>_xlfn.XLOOKUP(DF$1,generator!$B$2:$B$295,generator!$Q$2:$Q$295,"ARGH")</f>
        <v>9000</v>
      </c>
      <c r="DG13" s="3">
        <f>_xlfn.XLOOKUP(DG$1,generator!$B$2:$B$295,generator!$Q$2:$Q$295,"ARGH")</f>
        <v>9000</v>
      </c>
      <c r="DH13" s="3">
        <f>_xlfn.XLOOKUP(DH$1,generator!$B$2:$B$295,generator!$Q$2:$Q$295,"ARGH")</f>
        <v>9000</v>
      </c>
      <c r="DI13" s="3">
        <f>_xlfn.XLOOKUP(DI$1,generator!$B$2:$B$295,generator!$Q$2:$Q$295,"ARGH")</f>
        <v>9000</v>
      </c>
      <c r="DJ13" s="3">
        <f>_xlfn.XLOOKUP(DJ$1,generator!$B$2:$B$295,generator!$Q$2:$Q$295,"ARGH")</f>
        <v>9000</v>
      </c>
      <c r="DK13" s="3">
        <f>_xlfn.XLOOKUP(DK$1,generator!$B$2:$B$295,generator!$Q$2:$Q$295,"ARGH")</f>
        <v>9000</v>
      </c>
      <c r="DL13" s="3">
        <f>_xlfn.XLOOKUP(DL$1,generator!$B$2:$B$295,generator!$Q$2:$Q$295,"ARGH")</f>
        <v>9000</v>
      </c>
      <c r="DM13" s="3">
        <f>_xlfn.XLOOKUP(DM$1,generator!$B$2:$B$295,generator!$Q$2:$Q$295,"ARGH")</f>
        <v>9000</v>
      </c>
      <c r="DN13" s="3">
        <f>_xlfn.XLOOKUP(DN$1,generator!$B$2:$B$295,generator!$Q$2:$Q$295,"ARGH")</f>
        <v>9000</v>
      </c>
      <c r="DO13" s="3">
        <f>_xlfn.XLOOKUP(DO$1,generator!$B$2:$B$295,generator!$Q$2:$Q$295,"ARGH")</f>
        <v>9000</v>
      </c>
      <c r="DP13" s="3">
        <f>_xlfn.XLOOKUP(DP$1,generator!$B$2:$B$295,generator!$Q$2:$Q$295,"ARGH")</f>
        <v>9000</v>
      </c>
      <c r="DQ13" s="3">
        <f>_xlfn.XLOOKUP(DQ$1,generator!$B$2:$B$295,generator!$Q$2:$Q$295,"ARGH")</f>
        <v>9000</v>
      </c>
      <c r="DR13" s="3">
        <f>_xlfn.XLOOKUP(DR$1,generator!$B$2:$B$295,generator!$Q$2:$Q$295,"ARGH")</f>
        <v>9000</v>
      </c>
      <c r="DS13" s="3">
        <f>_xlfn.XLOOKUP(DS$1,generator!$B$2:$B$295,generator!$Q$2:$Q$295,"ARGH")</f>
        <v>9000</v>
      </c>
      <c r="DT13" s="3">
        <f>_xlfn.XLOOKUP(DT$1,generator!$B$2:$B$295,generator!$Q$2:$Q$295,"ARGH")</f>
        <v>9000</v>
      </c>
      <c r="DU13" s="3">
        <f>_xlfn.XLOOKUP(DU$1,generator!$B$2:$B$295,generator!$Q$2:$Q$295,"ARGH")</f>
        <v>9000</v>
      </c>
      <c r="DV13" s="3">
        <f>_xlfn.XLOOKUP(DV$1,generator!$B$2:$B$295,generator!$Q$2:$Q$295,"ARGH")</f>
        <v>9000</v>
      </c>
      <c r="DW13" s="3">
        <f>_xlfn.XLOOKUP(DW$1,generator!$B$2:$B$295,generator!$Q$2:$Q$295,"ARGH")</f>
        <v>9000</v>
      </c>
      <c r="DX13" s="3">
        <f>_xlfn.XLOOKUP(DX$1,generator!$B$2:$B$295,generator!$Q$2:$Q$295,"ARGH")</f>
        <v>9000</v>
      </c>
      <c r="DY13" s="3">
        <f>_xlfn.XLOOKUP(DY$1,generator!$B$2:$B$295,generator!$Q$2:$Q$295,"ARGH")</f>
        <v>9000</v>
      </c>
      <c r="DZ13" s="3">
        <f>_xlfn.XLOOKUP(DZ$1,generator!$B$2:$B$295,generator!$Q$2:$Q$295,"ARGH")</f>
        <v>9000</v>
      </c>
      <c r="EA13" s="3">
        <f>_xlfn.XLOOKUP(EA$1,generator!$B$2:$B$295,generator!$Q$2:$Q$295,"ARGH")</f>
        <v>9000</v>
      </c>
      <c r="EB13" s="3">
        <f>_xlfn.XLOOKUP(EB$1,generator!$B$2:$B$295,generator!$Q$2:$Q$295,"ARGH")</f>
        <v>9000</v>
      </c>
      <c r="EC13" s="3">
        <f>_xlfn.XLOOKUP(EC$1,generator!$B$2:$B$295,generator!$Q$2:$Q$295,"ARGH")</f>
        <v>9000</v>
      </c>
      <c r="ED13" s="3">
        <f>_xlfn.XLOOKUP(ED$1,generator!$B$2:$B$295,generator!$Q$2:$Q$295,"ARGH")</f>
        <v>9000</v>
      </c>
      <c r="EE13" s="3">
        <f>_xlfn.XLOOKUP(EE$1,generator!$B$2:$B$295,generator!$Q$2:$Q$295,"ARGH")</f>
        <v>9000</v>
      </c>
      <c r="EF13" s="3">
        <f>_xlfn.XLOOKUP(EF$1,generator!$B$2:$B$295,generator!$Q$2:$Q$295,"ARGH")</f>
        <v>9000</v>
      </c>
      <c r="EG13" s="3">
        <f>_xlfn.XLOOKUP(EG$1,generator!$B$2:$B$295,generator!$Q$2:$Q$295,"ARGH")</f>
        <v>9000</v>
      </c>
      <c r="EH13" s="3">
        <f>_xlfn.XLOOKUP(EH$1,generator!$B$2:$B$295,generator!$Q$2:$Q$295,"ARGH")</f>
        <v>9000</v>
      </c>
      <c r="EI13" s="3">
        <f>_xlfn.XLOOKUP(EI$1,generator!$B$2:$B$295,generator!$Q$2:$Q$295,"ARGH")</f>
        <v>9000</v>
      </c>
      <c r="EJ13" s="3">
        <f>_xlfn.XLOOKUP(EJ$1,generator!$B$2:$B$295,generator!$Q$2:$Q$295,"ARGH")</f>
        <v>9000</v>
      </c>
      <c r="EK13" s="3">
        <f>_xlfn.XLOOKUP(EK$1,generator!$B$2:$B$295,generator!$Q$2:$Q$295,"ARGH")</f>
        <v>9000</v>
      </c>
      <c r="EL13" s="3">
        <f>_xlfn.XLOOKUP(EL$1,generator!$B$2:$B$295,generator!$Q$2:$Q$295,"ARGH")</f>
        <v>9000</v>
      </c>
      <c r="EM13" s="3">
        <f>_xlfn.XLOOKUP(EM$1,generator!$B$2:$B$295,generator!$Q$2:$Q$295,"ARGH")</f>
        <v>9000</v>
      </c>
      <c r="EN13" s="3">
        <f>_xlfn.XLOOKUP(EN$1,generator!$B$2:$B$295,generator!$Q$2:$Q$295,"ARGH")</f>
        <v>9000</v>
      </c>
      <c r="EO13" s="3">
        <f>_xlfn.XLOOKUP(EO$1,generator!$B$2:$B$295,generator!$Q$2:$Q$295,"ARGH")</f>
        <v>9000</v>
      </c>
      <c r="EP13" s="3">
        <f>_xlfn.XLOOKUP(EP$1,generator!$B$2:$B$295,generator!$Q$2:$Q$295,"ARGH")</f>
        <v>9000</v>
      </c>
      <c r="EQ13" s="3">
        <f>_xlfn.XLOOKUP(EQ$1,generator!$B$2:$B$295,generator!$Q$2:$Q$295,"ARGH")</f>
        <v>9000</v>
      </c>
      <c r="ER13" s="3">
        <f>_xlfn.XLOOKUP(ER$1,generator!$B$2:$B$295,generator!$Q$2:$Q$295,"ARGH")</f>
        <v>9000</v>
      </c>
      <c r="ES13" s="3">
        <f>_xlfn.XLOOKUP(ES$1,generator!$B$2:$B$295,generator!$Q$2:$Q$295,"ARGH")</f>
        <v>9000</v>
      </c>
      <c r="ET13" s="3">
        <f>_xlfn.XLOOKUP(ET$1,generator!$B$2:$B$295,generator!$Q$2:$Q$295,"ARGH")</f>
        <v>9000</v>
      </c>
      <c r="EU13" s="3">
        <f>_xlfn.XLOOKUP(EU$1,generator!$B$2:$B$295,generator!$Q$2:$Q$295,"ARGH")</f>
        <v>9000</v>
      </c>
      <c r="EV13" s="3">
        <f>_xlfn.XLOOKUP(EV$1,generator!$B$2:$B$295,generator!$Q$2:$Q$295,"ARGH")</f>
        <v>9000</v>
      </c>
      <c r="EW13" s="3">
        <f>_xlfn.XLOOKUP(EW$1,generator!$B$2:$B$295,generator!$Q$2:$Q$295,"ARGH")</f>
        <v>9000</v>
      </c>
      <c r="EX13" s="3">
        <f>_xlfn.XLOOKUP(EX$1,generator!$B$2:$B$295,generator!$Q$2:$Q$295,"ARGH")</f>
        <v>9000</v>
      </c>
      <c r="EY13" s="3">
        <f>_xlfn.XLOOKUP(EY$1,generator!$B$2:$B$295,generator!$Q$2:$Q$295,"ARGH")</f>
        <v>9000</v>
      </c>
      <c r="EZ13" s="3">
        <f>_xlfn.XLOOKUP(EZ$1,generator!$B$2:$B$295,generator!$Q$2:$Q$295,"ARGH")</f>
        <v>9000</v>
      </c>
      <c r="FA13" s="3">
        <f>_xlfn.XLOOKUP(FA$1,generator!$B$2:$B$295,generator!$Q$2:$Q$295,"ARGH")</f>
        <v>9000</v>
      </c>
      <c r="FB13" s="3">
        <f>_xlfn.XLOOKUP(FB$1,generator!$B$2:$B$295,generator!$Q$2:$Q$295,"ARGH")</f>
        <v>9000</v>
      </c>
      <c r="FC13" s="3">
        <f>_xlfn.XLOOKUP(FC$1,generator!$B$2:$B$295,generator!$Q$2:$Q$295,"ARGH")</f>
        <v>9000</v>
      </c>
      <c r="FD13" s="3">
        <f>_xlfn.XLOOKUP(FD$1,generator!$B$2:$B$295,generator!$Q$2:$Q$295,"ARGH")</f>
        <v>9000</v>
      </c>
      <c r="FE13" s="3">
        <f>_xlfn.XLOOKUP(FE$1,generator!$B$2:$B$295,generator!$Q$2:$Q$295,"ARGH")</f>
        <v>9000</v>
      </c>
      <c r="FF13" s="3">
        <f>_xlfn.XLOOKUP(FF$1,generator!$B$2:$B$295,generator!$Q$2:$Q$295,"ARGH")</f>
        <v>9000</v>
      </c>
      <c r="FG13" s="3">
        <f>_xlfn.XLOOKUP(FG$1,generator!$B$2:$B$295,generator!$Q$2:$Q$295,"ARGH")</f>
        <v>9000</v>
      </c>
      <c r="FH13" s="3">
        <f>_xlfn.XLOOKUP(FH$1,generator!$B$2:$B$295,generator!$Q$2:$Q$295,"ARGH")</f>
        <v>9000</v>
      </c>
      <c r="FI13" s="3">
        <f>_xlfn.XLOOKUP(FI$1,generator!$B$2:$B$295,generator!$Q$2:$Q$295,"ARGH")</f>
        <v>9000</v>
      </c>
      <c r="FJ13" s="3">
        <f>_xlfn.XLOOKUP(FJ$1,generator!$B$2:$B$295,generator!$Q$2:$Q$295,"ARGH")</f>
        <v>9000</v>
      </c>
      <c r="FK13" s="3">
        <f>_xlfn.XLOOKUP(FK$1,generator!$B$2:$B$295,generator!$Q$2:$Q$295,"ARGH")</f>
        <v>9000</v>
      </c>
      <c r="FL13" s="3">
        <f>_xlfn.XLOOKUP(FL$1,generator!$B$2:$B$295,generator!$Q$2:$Q$295,"ARGH")</f>
        <v>9000</v>
      </c>
      <c r="FM13" s="3">
        <f>_xlfn.XLOOKUP(FM$1,generator!$B$2:$B$295,generator!$Q$2:$Q$295,"ARGH")</f>
        <v>9000</v>
      </c>
      <c r="FN13" s="3">
        <f>_xlfn.XLOOKUP(FN$1,generator!$B$2:$B$295,generator!$Q$2:$Q$295,"ARGH")</f>
        <v>9000</v>
      </c>
      <c r="FO13" s="3">
        <f>_xlfn.XLOOKUP(FO$1,generator!$B$2:$B$295,generator!$Q$2:$Q$295,"ARGH")</f>
        <v>9000</v>
      </c>
      <c r="FP13" s="3">
        <f>_xlfn.XLOOKUP(FP$1,generator!$B$2:$B$295,generator!$Q$2:$Q$295,"ARGH")</f>
        <v>9000</v>
      </c>
      <c r="FQ13" s="3">
        <f>_xlfn.XLOOKUP(FQ$1,generator!$B$2:$B$295,generator!$Q$2:$Q$295,"ARGH")</f>
        <v>9000</v>
      </c>
      <c r="FR13" s="3">
        <f>_xlfn.XLOOKUP(FR$1,generator!$B$2:$B$295,generator!$Q$2:$Q$295,"ARGH")</f>
        <v>9000</v>
      </c>
      <c r="FS13" s="3">
        <f>_xlfn.XLOOKUP(FS$1,generator!$B$2:$B$295,generator!$Q$2:$Q$295,"ARGH")</f>
        <v>9000</v>
      </c>
      <c r="FT13" s="3">
        <f>_xlfn.XLOOKUP(FT$1,generator!$B$2:$B$295,generator!$Q$2:$Q$295,"ARGH")</f>
        <v>9000</v>
      </c>
      <c r="FU13" s="3">
        <f>_xlfn.XLOOKUP(FU$1,generator!$B$2:$B$295,generator!$Q$2:$Q$295,"ARGH")</f>
        <v>9000</v>
      </c>
      <c r="FV13" s="3">
        <f>_xlfn.XLOOKUP(FV$1,generator!$B$2:$B$295,generator!$Q$2:$Q$295,"ARGH")</f>
        <v>9000</v>
      </c>
      <c r="FW13" s="3">
        <f>_xlfn.XLOOKUP(FW$1,generator!$B$2:$B$295,generator!$Q$2:$Q$295,"ARGH")</f>
        <v>9000</v>
      </c>
      <c r="FX13" s="3">
        <f>_xlfn.XLOOKUP(FX$1,generator!$B$2:$B$295,generator!$Q$2:$Q$295,"ARGH")</f>
        <v>9000</v>
      </c>
      <c r="FY13" s="3">
        <f>_xlfn.XLOOKUP(FY$1,generator!$B$2:$B$295,generator!$Q$2:$Q$295,"ARGH")</f>
        <v>9000</v>
      </c>
      <c r="FZ13" s="3">
        <f>_xlfn.XLOOKUP(FZ$1,generator!$B$2:$B$295,generator!$Q$2:$Q$295,"ARGH")</f>
        <v>9000</v>
      </c>
      <c r="GA13" s="3">
        <f>_xlfn.XLOOKUP(GA$1,generator!$B$2:$B$295,generator!$Q$2:$Q$295,"ARGH")</f>
        <v>9000</v>
      </c>
      <c r="GB13" s="3">
        <f>_xlfn.XLOOKUP(GB$1,generator!$B$2:$B$295,generator!$Q$2:$Q$295,"ARGH")</f>
        <v>9000</v>
      </c>
      <c r="GC13" s="3">
        <f>_xlfn.XLOOKUP(GC$1,generator!$B$2:$B$295,generator!$Q$2:$Q$295,"ARGH")</f>
        <v>9000</v>
      </c>
      <c r="GD13" s="3">
        <f>_xlfn.XLOOKUP(GD$1,generator!$B$2:$B$295,generator!$Q$2:$Q$295,"ARGH")</f>
        <v>9000</v>
      </c>
      <c r="GE13" s="3">
        <f>_xlfn.XLOOKUP(GE$1,generator!$B$2:$B$295,generator!$Q$2:$Q$295,"ARGH")</f>
        <v>9000</v>
      </c>
      <c r="GF13" s="3">
        <f>_xlfn.XLOOKUP(GF$1,generator!$B$2:$B$295,generator!$Q$2:$Q$295,"ARGH")</f>
        <v>9000</v>
      </c>
      <c r="GG13" s="3">
        <f>_xlfn.XLOOKUP(GG$1,generator!$B$2:$B$295,generator!$Q$2:$Q$295,"ARGH")</f>
        <v>9000</v>
      </c>
      <c r="GH13" s="3">
        <f>_xlfn.XLOOKUP(GH$1,generator!$B$2:$B$295,generator!$Q$2:$Q$295,"ARGH")</f>
        <v>9000</v>
      </c>
      <c r="GI13" s="3">
        <f>_xlfn.XLOOKUP(GI$1,generator!$B$2:$B$295,generator!$Q$2:$Q$295,"ARGH")</f>
        <v>9000</v>
      </c>
      <c r="GJ13" s="3">
        <f>_xlfn.XLOOKUP(GJ$1,generator!$B$2:$B$295,generator!$Q$2:$Q$295,"ARGH")</f>
        <v>9000</v>
      </c>
      <c r="GK13" s="3">
        <f>_xlfn.XLOOKUP(GK$1,generator!$B$2:$B$295,generator!$Q$2:$Q$295,"ARGH")</f>
        <v>9000</v>
      </c>
      <c r="GL13" s="3">
        <f>_xlfn.XLOOKUP(GL$1,generator!$B$2:$B$295,generator!$Q$2:$Q$295,"ARGH")</f>
        <v>9000</v>
      </c>
      <c r="GM13" s="3">
        <f>_xlfn.XLOOKUP(GM$1,generator!$B$2:$B$295,generator!$Q$2:$Q$295,"ARGH")</f>
        <v>9000</v>
      </c>
      <c r="GN13" s="3">
        <f>_xlfn.XLOOKUP(GN$1,generator!$B$2:$B$295,generator!$Q$2:$Q$295,"ARGH")</f>
        <v>9000</v>
      </c>
      <c r="GO13" s="3">
        <f>_xlfn.XLOOKUP(GO$1,generator!$B$2:$B$295,generator!$Q$2:$Q$295,"ARGH")</f>
        <v>9000</v>
      </c>
      <c r="GP13" s="3">
        <f>_xlfn.XLOOKUP(GP$1,generator!$B$2:$B$295,generator!$Q$2:$Q$295,"ARGH")</f>
        <v>9000</v>
      </c>
      <c r="GQ13" s="3">
        <f>_xlfn.XLOOKUP(GQ$1,generator!$B$2:$B$295,generator!$Q$2:$Q$295,"ARGH")</f>
        <v>9000</v>
      </c>
      <c r="GR13" s="3">
        <f>_xlfn.XLOOKUP(GR$1,generator!$B$2:$B$295,generator!$Q$2:$Q$295,"ARGH")</f>
        <v>9000</v>
      </c>
      <c r="GS13" s="3">
        <f>_xlfn.XLOOKUP(GS$1,generator!$B$2:$B$295,generator!$Q$2:$Q$295,"ARGH")</f>
        <v>9000</v>
      </c>
      <c r="GT13" s="3">
        <f>_xlfn.XLOOKUP(GT$1,generator!$B$2:$B$295,generator!$Q$2:$Q$295,"ARGH")</f>
        <v>9000</v>
      </c>
      <c r="GU13" s="3">
        <f>_xlfn.XLOOKUP(GU$1,generator!$B$2:$B$295,generator!$Q$2:$Q$295,"ARGH")</f>
        <v>9000</v>
      </c>
      <c r="GV13" s="3">
        <f>_xlfn.XLOOKUP(GV$1,generator!$B$2:$B$295,generator!$Q$2:$Q$295,"ARGH")</f>
        <v>9000</v>
      </c>
      <c r="GW13" s="3">
        <f>_xlfn.XLOOKUP(GW$1,generator!$B$2:$B$295,generator!$Q$2:$Q$295,"ARGH")</f>
        <v>9000</v>
      </c>
      <c r="GX13" s="3">
        <f>_xlfn.XLOOKUP(GX$1,generator!$B$2:$B$295,generator!$Q$2:$Q$295,"ARGH")</f>
        <v>9000</v>
      </c>
      <c r="GY13" s="3">
        <f>_xlfn.XLOOKUP(GY$1,generator!$B$2:$B$295,generator!$Q$2:$Q$295,"ARGH")</f>
        <v>9000</v>
      </c>
      <c r="GZ13" s="3">
        <f>_xlfn.XLOOKUP(GZ$1,generator!$B$2:$B$295,generator!$Q$2:$Q$295,"ARGH")</f>
        <v>9000</v>
      </c>
      <c r="HA13" s="3">
        <f>_xlfn.XLOOKUP(HA$1,generator!$B$2:$B$295,generator!$Q$2:$Q$295,"ARGH")</f>
        <v>9000</v>
      </c>
      <c r="HB13" s="3">
        <f>_xlfn.XLOOKUP(HB$1,generator!$B$2:$B$295,generator!$Q$2:$Q$295,"ARGH")</f>
        <v>9000</v>
      </c>
      <c r="HC13" s="3">
        <f>_xlfn.XLOOKUP(HC$1,generator!$B$2:$B$295,generator!$Q$2:$Q$295,"ARGH")</f>
        <v>9000</v>
      </c>
      <c r="HD13" s="3">
        <f>_xlfn.XLOOKUP(HD$1,generator!$B$2:$B$295,generator!$Q$2:$Q$295,"ARGH")</f>
        <v>9000</v>
      </c>
      <c r="HE13" s="3">
        <f>_xlfn.XLOOKUP(HE$1,generator!$B$2:$B$295,generator!$Q$2:$Q$295,"ARGH")</f>
        <v>8000</v>
      </c>
      <c r="HF13" s="3" t="str">
        <f>_xlfn.XLOOKUP(HF$1,generator!$B$2:$B$295,generator!$Q$2:$Q$295,"ARGH")</f>
        <v>143</v>
      </c>
      <c r="HG13" s="3" t="str">
        <f>_xlfn.XLOOKUP(HG$1,generator!$B$2:$B$295,generator!$Q$2:$Q$295,"ARGH")</f>
        <v>143</v>
      </c>
      <c r="HH13" s="3" t="str">
        <f>_xlfn.XLOOKUP(HH$1,generator!$B$2:$B$295,generator!$Q$2:$Q$295,"ARGH")</f>
        <v>143</v>
      </c>
      <c r="HI13" s="3" t="str">
        <f>_xlfn.XLOOKUP(HI$1,generator!$B$2:$B$295,generator!$Q$2:$Q$295,"ARGH")</f>
        <v>246.74</v>
      </c>
      <c r="HJ13" s="3" t="str">
        <f>_xlfn.XLOOKUP(HJ$1,generator!$B$2:$B$295,generator!$Q$2:$Q$295,"ARGH")</f>
        <v>246.74</v>
      </c>
      <c r="HK13" s="3" t="str">
        <f>_xlfn.XLOOKUP(HK$1,generator!$B$2:$B$295,generator!$Q$2:$Q$295,"ARGH")</f>
        <v>206.04</v>
      </c>
      <c r="HL13" s="3" t="str">
        <f>_xlfn.XLOOKUP(HL$1,generator!$B$2:$B$295,generator!$Q$2:$Q$295,"ARGH")</f>
        <v>506.96</v>
      </c>
      <c r="HM13" s="3" t="str">
        <f>_xlfn.XLOOKUP(HM$1,generator!$B$2:$B$295,generator!$Q$2:$Q$295,"ARGH")</f>
        <v>506.95</v>
      </c>
      <c r="HN13" s="3" t="str">
        <f>_xlfn.XLOOKUP(HN$1,generator!$B$2:$B$295,generator!$Q$2:$Q$295,"ARGH")</f>
        <v>190.97</v>
      </c>
      <c r="HO13" s="3" t="str">
        <f>_xlfn.XLOOKUP(HO$1,generator!$B$2:$B$295,generator!$Q$2:$Q$295,"ARGH")</f>
        <v>190.97</v>
      </c>
      <c r="HP13" s="3" t="str">
        <f>_xlfn.XLOOKUP(HP$1,generator!$B$2:$B$295,generator!$Q$2:$Q$295,"ARGH")</f>
        <v>424.84</v>
      </c>
      <c r="HQ13" s="3" t="str">
        <f>_xlfn.XLOOKUP(HQ$1,generator!$B$2:$B$295,generator!$Q$2:$Q$295,"ARGH")</f>
        <v>425.9</v>
      </c>
      <c r="HR13" s="3" t="str">
        <f>_xlfn.XLOOKUP(HR$1,generator!$B$2:$B$295,generator!$Q$2:$Q$295,"ARGH")</f>
        <v>425.9</v>
      </c>
      <c r="HS13" s="3" t="str">
        <f>_xlfn.XLOOKUP(HS$1,generator!$B$2:$B$295,generator!$Q$2:$Q$295,"ARGH")</f>
        <v>196.54</v>
      </c>
      <c r="HT13" s="3" t="str">
        <f>_xlfn.XLOOKUP(HT$1,generator!$B$2:$B$295,generator!$Q$2:$Q$295,"ARGH")</f>
        <v>196.54</v>
      </c>
      <c r="HU13" s="3" t="str">
        <f>_xlfn.XLOOKUP(HU$1,generator!$B$2:$B$295,generator!$Q$2:$Q$295,"ARGH")</f>
        <v>145.57</v>
      </c>
      <c r="HV13" s="3" t="str">
        <f>_xlfn.XLOOKUP(HV$1,generator!$B$2:$B$295,generator!$Q$2:$Q$295,"ARGH")</f>
        <v>132.62</v>
      </c>
      <c r="HW13" s="3" t="str">
        <f>_xlfn.XLOOKUP(HW$1,generator!$B$2:$B$295,generator!$Q$2:$Q$295,"ARGH")</f>
        <v>193.76</v>
      </c>
      <c r="HX13" s="3" t="str">
        <f>_xlfn.XLOOKUP(HX$1,generator!$B$2:$B$295,generator!$Q$2:$Q$295,"ARGH")</f>
        <v>193.76</v>
      </c>
      <c r="HY13" s="3" t="str">
        <f>_xlfn.XLOOKUP(HY$1,generator!$B$2:$B$295,generator!$Q$2:$Q$295,"ARGH")</f>
        <v>79.19</v>
      </c>
      <c r="HZ13" s="3" t="str">
        <f>_xlfn.XLOOKUP(HZ$1,generator!$B$2:$B$295,generator!$Q$2:$Q$295,"ARGH")</f>
        <v>125.79</v>
      </c>
      <c r="IA13" s="3" t="str">
        <f>_xlfn.XLOOKUP(IA$1,generator!$B$2:$B$295,generator!$Q$2:$Q$295,"ARGH")</f>
        <v>54.19</v>
      </c>
      <c r="IB13" s="3" t="str">
        <f>_xlfn.XLOOKUP(IB$1,generator!$B$2:$B$295,generator!$Q$2:$Q$295,"ARGH")</f>
        <v>59.7</v>
      </c>
      <c r="IC13" s="3">
        <f>_xlfn.XLOOKUP(IC$1,generator!$B$2:$B$295,generator!$Q$2:$Q$295,"ARGH")</f>
        <v>0</v>
      </c>
      <c r="ID13" s="3" t="str">
        <f>_xlfn.XLOOKUP(ID$1,generator!$B$2:$B$295,generator!$Q$2:$Q$295,"ARGH")</f>
        <v>121.14</v>
      </c>
      <c r="IE13" s="3" t="str">
        <f>_xlfn.XLOOKUP(IE$1,generator!$B$2:$B$295,generator!$Q$2:$Q$295,"ARGH")</f>
        <v>26.6</v>
      </c>
      <c r="IF13" s="3">
        <f>_xlfn.XLOOKUP(IF$1,generator!$B$2:$B$295,generator!$Q$2:$Q$295,"ARGH")</f>
        <v>8000</v>
      </c>
      <c r="IG13" s="3">
        <f>_xlfn.XLOOKUP(IG$1,generator!$B$2:$B$295,generator!$Q$2:$Q$295,"ARGH")</f>
        <v>8000</v>
      </c>
      <c r="IH13" s="3">
        <f>_xlfn.XLOOKUP(IH$1,generator!$B$2:$B$295,generator!$Q$2:$Q$295,"ARGH")</f>
        <v>8000</v>
      </c>
      <c r="II13" s="3">
        <f>_xlfn.XLOOKUP(II$1,generator!$B$2:$B$295,generator!$Q$2:$Q$295,"ARGH")</f>
        <v>8000</v>
      </c>
      <c r="IJ13" s="3">
        <f>_xlfn.XLOOKUP(IJ$1,generator!$B$2:$B$295,generator!$Q$2:$Q$295,"ARGH")</f>
        <v>8000</v>
      </c>
      <c r="IK13" s="3">
        <f>_xlfn.XLOOKUP(IK$1,generator!$B$2:$B$295,generator!$Q$2:$Q$295,"ARGH")</f>
        <v>8000</v>
      </c>
      <c r="IL13" s="3">
        <f>_xlfn.XLOOKUP(IL$1,generator!$B$2:$B$295,generator!$Q$2:$Q$295,"ARGH")</f>
        <v>8000</v>
      </c>
      <c r="IM13" s="3">
        <f>_xlfn.XLOOKUP(IM$1,generator!$B$2:$B$295,generator!$Q$2:$Q$295,"ARGH")</f>
        <v>8000</v>
      </c>
      <c r="IN13" s="3">
        <f>_xlfn.XLOOKUP(IN$1,generator!$B$2:$B$295,generator!$Q$2:$Q$295,"ARGH")</f>
        <v>8000</v>
      </c>
      <c r="IO13" s="3">
        <f>_xlfn.XLOOKUP(IO$1,generator!$B$2:$B$295,generator!$Q$2:$Q$295,"ARGH")</f>
        <v>8000</v>
      </c>
      <c r="IP13" s="3">
        <f>_xlfn.XLOOKUP(IP$1,generator!$B$2:$B$295,generator!$Q$2:$Q$295,"ARGH")</f>
        <v>8000</v>
      </c>
      <c r="IQ13" s="3">
        <f>_xlfn.XLOOKUP(IQ$1,generator!$B$2:$B$295,generator!$Q$2:$Q$295,"ARGH")</f>
        <v>8000</v>
      </c>
      <c r="IR13" s="3">
        <f>_xlfn.XLOOKUP(IR$1,generator!$B$2:$B$295,generator!$Q$2:$Q$295,"ARGH")</f>
        <v>8000</v>
      </c>
      <c r="IS13" s="3">
        <f>_xlfn.XLOOKUP(IS$1,generator!$B$2:$B$295,generator!$Q$2:$Q$295,"ARGH")</f>
        <v>8000</v>
      </c>
      <c r="IT13" s="3">
        <f>_xlfn.XLOOKUP(IT$1,generator!$B$2:$B$295,generator!$Q$2:$Q$295,"ARGH")</f>
        <v>8000</v>
      </c>
      <c r="IU13" s="3">
        <f>_xlfn.XLOOKUP(IU$1,generator!$B$2:$B$295,generator!$Q$2:$Q$295,"ARGH")</f>
        <v>8000</v>
      </c>
      <c r="IV13" s="3">
        <f>_xlfn.XLOOKUP(IV$1,generator!$B$2:$B$295,generator!$Q$2:$Q$295,"ARGH")</f>
        <v>8000</v>
      </c>
      <c r="IW13" s="3" t="str">
        <f>_xlfn.XLOOKUP(IW$1,generator!$B$2:$B$295,generator!$Q$2:$Q$295,"ARGH")</f>
        <v>108.19</v>
      </c>
      <c r="IX13" s="3" t="str">
        <f>_xlfn.XLOOKUP(IX$1,generator!$B$2:$B$295,generator!$Q$2:$Q$295,"ARGH")</f>
        <v>108.18</v>
      </c>
      <c r="IY13" s="3" t="str">
        <f>_xlfn.XLOOKUP(IY$1,generator!$B$2:$B$295,generator!$Q$2:$Q$295,"ARGH")</f>
        <v>108.17</v>
      </c>
      <c r="IZ13" s="3" t="str">
        <f>_xlfn.XLOOKUP(IZ$1,generator!$B$2:$B$295,generator!$Q$2:$Q$295,"ARGH")</f>
        <v>40.96</v>
      </c>
      <c r="JA13" s="3">
        <f>_xlfn.XLOOKUP(JA$1,generator!$B$2:$B$295,generator!$Q$2:$Q$295,"ARGH")</f>
        <v>0</v>
      </c>
      <c r="JB13" s="3">
        <f>_xlfn.XLOOKUP(JB$1,generator!$B$2:$B$295,generator!$Q$2:$Q$295,"ARGH")</f>
        <v>0</v>
      </c>
      <c r="JC13" s="3" t="str">
        <f>_xlfn.XLOOKUP(JC$1,generator!$B$2:$B$295,generator!$Q$2:$Q$295,"ARGH")</f>
        <v>75.91</v>
      </c>
      <c r="JD13" s="3" t="str">
        <f>_xlfn.XLOOKUP(JD$1,generator!$B$2:$B$295,generator!$Q$2:$Q$295,"ARGH")</f>
        <v>75.91</v>
      </c>
      <c r="JE13" s="3" t="str">
        <f>_xlfn.XLOOKUP(JE$1,generator!$B$2:$B$295,generator!$Q$2:$Q$295,"ARGH")</f>
        <v>51.59</v>
      </c>
      <c r="JF13" s="3" t="str">
        <f>_xlfn.XLOOKUP(JF$1,generator!$B$2:$B$295,generator!$Q$2:$Q$295,"ARGH")</f>
        <v>111.57</v>
      </c>
      <c r="JG13" s="3">
        <f>_xlfn.XLOOKUP(JG$1,generator!$B$2:$B$295,generator!$Q$2:$Q$295,"ARGH")</f>
        <v>0</v>
      </c>
      <c r="JH13" s="3" t="str">
        <f>_xlfn.XLOOKUP(JH$1,generator!$B$2:$B$295,generator!$Q$2:$Q$295,"ARGH")</f>
        <v>48.65</v>
      </c>
      <c r="JI13" s="3" t="str">
        <f>_xlfn.XLOOKUP(JI$1,generator!$B$2:$B$295,generator!$Q$2:$Q$295,"ARGH")</f>
        <v>71.88</v>
      </c>
      <c r="JJ13" s="3" t="str">
        <f>_xlfn.XLOOKUP(JJ$1,generator!$B$2:$B$295,generator!$Q$2:$Q$295,"ARGH")</f>
        <v>98.17</v>
      </c>
      <c r="JK13" s="3" t="str">
        <f>_xlfn.XLOOKUP(JK$1,generator!$B$2:$B$295,generator!$Q$2:$Q$295,"ARGH")</f>
        <v>98.17</v>
      </c>
      <c r="JL13" s="3" t="str">
        <f>_xlfn.XLOOKUP(JL$1,generator!$B$2:$B$295,generator!$Q$2:$Q$295,"ARGH")</f>
        <v>98.17</v>
      </c>
      <c r="JM13" s="3" t="str">
        <f>_xlfn.XLOOKUP(JM$1,generator!$B$2:$B$295,generator!$Q$2:$Q$295,"ARGH")</f>
        <v>98.17</v>
      </c>
      <c r="JN13" s="3" t="str">
        <f>_xlfn.XLOOKUP(JN$1,generator!$B$2:$B$295,generator!$Q$2:$Q$295,"ARGH")</f>
        <v>98.17</v>
      </c>
      <c r="JO13" s="3" t="str">
        <f>_xlfn.XLOOKUP(JO$1,generator!$B$2:$B$295,generator!$Q$2:$Q$295,"ARGH")</f>
        <v>98.17</v>
      </c>
      <c r="JP13" s="3" t="str">
        <f>_xlfn.XLOOKUP(JP$1,generator!$B$2:$B$295,generator!$Q$2:$Q$295,"ARGH")</f>
        <v>47.53</v>
      </c>
      <c r="JQ13" s="3" t="str">
        <f>_xlfn.XLOOKUP(JQ$1,generator!$B$2:$B$295,generator!$Q$2:$Q$295,"ARGH")</f>
        <v>108.86</v>
      </c>
      <c r="JR13" s="3" t="str">
        <f>_xlfn.XLOOKUP(JR$1,generator!$B$2:$B$295,generator!$Q$2:$Q$295,"ARGH")</f>
        <v>83.15</v>
      </c>
      <c r="JS13" s="3" t="str">
        <f>_xlfn.XLOOKUP(JS$1,generator!$B$2:$B$295,generator!$Q$2:$Q$295,"ARGH")</f>
        <v>83.15</v>
      </c>
      <c r="JT13" s="3" t="str">
        <f>_xlfn.XLOOKUP(JT$1,generator!$B$2:$B$295,generator!$Q$2:$Q$295,"ARGH")</f>
        <v>108.86</v>
      </c>
      <c r="JU13" s="3">
        <f>_xlfn.XLOOKUP(JU$1,generator!$B$2:$B$295,generator!$Q$2:$Q$295,"ARGH")</f>
        <v>0</v>
      </c>
      <c r="JV13" s="3" t="str">
        <f>_xlfn.XLOOKUP(JV$1,generator!$B$2:$B$295,generator!$Q$2:$Q$295,"ARGH")</f>
        <v>77.63</v>
      </c>
      <c r="JW13" s="3" t="str">
        <f>_xlfn.XLOOKUP(JW$1,generator!$B$2:$B$295,generator!$Q$2:$Q$295,"ARGH")</f>
        <v>77.64</v>
      </c>
      <c r="JX13" s="3" t="str">
        <f>_xlfn.XLOOKUP(JX$1,generator!$B$2:$B$295,generator!$Q$2:$Q$295,"ARGH")</f>
        <v>331.49</v>
      </c>
      <c r="JY13" s="3">
        <f>_xlfn.XLOOKUP(JY$1,generator!$B$2:$B$295,generator!$Q$2:$Q$295,"ARGH")</f>
        <v>7000</v>
      </c>
      <c r="JZ13" s="3">
        <f>_xlfn.XLOOKUP(JZ$1,generator!$B$2:$B$295,generator!$Q$2:$Q$295,"ARGH")</f>
        <v>0</v>
      </c>
      <c r="KA13" s="3">
        <f>_xlfn.XLOOKUP(KA$1,generator!$B$2:$B$295,generator!$Q$2:$Q$295,"ARGH")</f>
        <v>0</v>
      </c>
      <c r="KB13" s="3">
        <f>_xlfn.XLOOKUP(KB$1,generator!$B$2:$B$295,generator!$Q$2:$Q$295,"ARGH")</f>
        <v>0</v>
      </c>
      <c r="KC13" s="3">
        <f>_xlfn.XLOOKUP(KC$1,generator!$B$2:$B$295,generator!$Q$2:$Q$295,"ARGH")</f>
        <v>0</v>
      </c>
    </row>
    <row r="14" spans="1:289" x14ac:dyDescent="0.3">
      <c r="A14" s="4" t="s">
        <v>3009</v>
      </c>
      <c r="B14" s="3">
        <v>15000</v>
      </c>
      <c r="C14" s="3">
        <v>15000</v>
      </c>
      <c r="D14" s="3">
        <v>15000</v>
      </c>
      <c r="E14" s="3">
        <f>_xlfn.XLOOKUP(E$1,generator!$B$2:$B$295,generator!$Q$2:$Q$295,"ARGH")</f>
        <v>9000</v>
      </c>
      <c r="F14" s="3">
        <f>_xlfn.XLOOKUP(F$1,generator!$B$2:$B$295,generator!$Q$2:$Q$295,"ARGH")</f>
        <v>9000</v>
      </c>
      <c r="G14" s="3">
        <f>_xlfn.XLOOKUP(G$1,generator!$B$2:$B$295,generator!$Q$2:$Q$295,"ARGH")</f>
        <v>9000</v>
      </c>
      <c r="H14" s="3">
        <f>_xlfn.XLOOKUP(H$1,generator!$B$2:$B$295,generator!$Q$2:$Q$295,"ARGH")</f>
        <v>9000</v>
      </c>
      <c r="I14" s="3">
        <f>_xlfn.XLOOKUP(I$1,generator!$B$2:$B$295,generator!$Q$2:$Q$295,"ARGH")</f>
        <v>9000</v>
      </c>
      <c r="J14" s="3">
        <f>_xlfn.XLOOKUP(J$1,generator!$B$2:$B$295,generator!$Q$2:$Q$295,"ARGH")</f>
        <v>9000</v>
      </c>
      <c r="K14" s="3">
        <f>_xlfn.XLOOKUP(K$1,generator!$B$2:$B$295,generator!$Q$2:$Q$295,"ARGH")</f>
        <v>9000</v>
      </c>
      <c r="L14" s="3">
        <f>_xlfn.XLOOKUP(L$1,generator!$B$2:$B$295,generator!$Q$2:$Q$295,"ARGH")</f>
        <v>9000</v>
      </c>
      <c r="M14" s="3">
        <f>_xlfn.XLOOKUP(M$1,generator!$B$2:$B$295,generator!$Q$2:$Q$295,"ARGH")</f>
        <v>9000</v>
      </c>
      <c r="N14" s="3">
        <f>_xlfn.XLOOKUP(N$1,generator!$B$2:$B$295,generator!$Q$2:$Q$295,"ARGH")</f>
        <v>9000</v>
      </c>
      <c r="O14" s="3">
        <f>_xlfn.XLOOKUP(O$1,generator!$B$2:$B$295,generator!$Q$2:$Q$295,"ARGH")</f>
        <v>9000</v>
      </c>
      <c r="P14" s="3">
        <f>_xlfn.XLOOKUP(P$1,generator!$B$2:$B$295,generator!$Q$2:$Q$295,"ARGH")</f>
        <v>9000</v>
      </c>
      <c r="Q14" s="3">
        <f>_xlfn.XLOOKUP(Q$1,generator!$B$2:$B$295,generator!$Q$2:$Q$295,"ARGH")</f>
        <v>9000</v>
      </c>
      <c r="R14" s="3">
        <f>_xlfn.XLOOKUP(R$1,generator!$B$2:$B$295,generator!$Q$2:$Q$295,"ARGH")</f>
        <v>9000</v>
      </c>
      <c r="S14" s="3">
        <f>_xlfn.XLOOKUP(S$1,generator!$B$2:$B$295,generator!$Q$2:$Q$295,"ARGH")</f>
        <v>9000</v>
      </c>
      <c r="T14" s="3">
        <f>_xlfn.XLOOKUP(T$1,generator!$B$2:$B$295,generator!$Q$2:$Q$295,"ARGH")</f>
        <v>9000</v>
      </c>
      <c r="U14" s="3">
        <f>_xlfn.XLOOKUP(U$1,generator!$B$2:$B$295,generator!$Q$2:$Q$295,"ARGH")</f>
        <v>9000</v>
      </c>
      <c r="V14" s="3">
        <f>_xlfn.XLOOKUP(V$1,generator!$B$2:$B$295,generator!$Q$2:$Q$295,"ARGH")</f>
        <v>9000</v>
      </c>
      <c r="W14" s="3">
        <f>_xlfn.XLOOKUP(W$1,generator!$B$2:$B$295,generator!$Q$2:$Q$295,"ARGH")</f>
        <v>9000</v>
      </c>
      <c r="X14" s="3">
        <f>_xlfn.XLOOKUP(X$1,generator!$B$2:$B$295,generator!$Q$2:$Q$295,"ARGH")</f>
        <v>9000</v>
      </c>
      <c r="Y14" s="3">
        <f>_xlfn.XLOOKUP(Y$1,generator!$B$2:$B$295,generator!$Q$2:$Q$295,"ARGH")</f>
        <v>9000</v>
      </c>
      <c r="Z14" s="3">
        <f>_xlfn.XLOOKUP(Z$1,generator!$B$2:$B$295,generator!$Q$2:$Q$295,"ARGH")</f>
        <v>9000</v>
      </c>
      <c r="AA14" s="3">
        <f>_xlfn.XLOOKUP(AA$1,generator!$B$2:$B$295,generator!$Q$2:$Q$295,"ARGH")</f>
        <v>9000</v>
      </c>
      <c r="AB14" s="3">
        <f>_xlfn.XLOOKUP(AB$1,generator!$B$2:$B$295,generator!$Q$2:$Q$295,"ARGH")</f>
        <v>9000</v>
      </c>
      <c r="AC14" s="3">
        <f>_xlfn.XLOOKUP(AC$1,generator!$B$2:$B$295,generator!$Q$2:$Q$295,"ARGH")</f>
        <v>9000</v>
      </c>
      <c r="AD14" s="3">
        <f>_xlfn.XLOOKUP(AD$1,generator!$B$2:$B$295,generator!$Q$2:$Q$295,"ARGH")</f>
        <v>9000</v>
      </c>
      <c r="AE14" s="3">
        <f>_xlfn.XLOOKUP(AE$1,generator!$B$2:$B$295,generator!$Q$2:$Q$295,"ARGH")</f>
        <v>9000</v>
      </c>
      <c r="AF14" s="3">
        <f>_xlfn.XLOOKUP(AF$1,generator!$B$2:$B$295,generator!$Q$2:$Q$295,"ARGH")</f>
        <v>9000</v>
      </c>
      <c r="AG14" s="3">
        <f>_xlfn.XLOOKUP(AG$1,generator!$B$2:$B$295,generator!$Q$2:$Q$295,"ARGH")</f>
        <v>9000</v>
      </c>
      <c r="AH14" s="3">
        <f>_xlfn.XLOOKUP(AH$1,generator!$B$2:$B$295,generator!$Q$2:$Q$295,"ARGH")</f>
        <v>9000</v>
      </c>
      <c r="AI14" s="3">
        <f>_xlfn.XLOOKUP(AI$1,generator!$B$2:$B$295,generator!$Q$2:$Q$295,"ARGH")</f>
        <v>9000</v>
      </c>
      <c r="AJ14" s="3">
        <f>_xlfn.XLOOKUP(AJ$1,generator!$B$2:$B$295,generator!$Q$2:$Q$295,"ARGH")</f>
        <v>9000</v>
      </c>
      <c r="AK14" s="3">
        <f>_xlfn.XLOOKUP(AK$1,generator!$B$2:$B$295,generator!$Q$2:$Q$295,"ARGH")</f>
        <v>9000</v>
      </c>
      <c r="AL14" s="3">
        <f>_xlfn.XLOOKUP(AL$1,generator!$B$2:$B$295,generator!$Q$2:$Q$295,"ARGH")</f>
        <v>9000</v>
      </c>
      <c r="AM14" s="3">
        <f>_xlfn.XLOOKUP(AM$1,generator!$B$2:$B$295,generator!$Q$2:$Q$295,"ARGH")</f>
        <v>9000</v>
      </c>
      <c r="AN14" s="3">
        <f>_xlfn.XLOOKUP(AN$1,generator!$B$2:$B$295,generator!$Q$2:$Q$295,"ARGH")</f>
        <v>9000</v>
      </c>
      <c r="AO14" s="3">
        <f>_xlfn.XLOOKUP(AO$1,generator!$B$2:$B$295,generator!$Q$2:$Q$295,"ARGH")</f>
        <v>9000</v>
      </c>
      <c r="AP14" s="3">
        <f>_xlfn.XLOOKUP(AP$1,generator!$B$2:$B$295,generator!$Q$2:$Q$295,"ARGH")</f>
        <v>9000</v>
      </c>
      <c r="AQ14" s="3">
        <f>_xlfn.XLOOKUP(AQ$1,generator!$B$2:$B$295,generator!$Q$2:$Q$295,"ARGH")</f>
        <v>9000</v>
      </c>
      <c r="AR14" s="3">
        <f>_xlfn.XLOOKUP(AR$1,generator!$B$2:$B$295,generator!$Q$2:$Q$295,"ARGH")</f>
        <v>9000</v>
      </c>
      <c r="AS14" s="3">
        <f>_xlfn.XLOOKUP(AS$1,generator!$B$2:$B$295,generator!$Q$2:$Q$295,"ARGH")</f>
        <v>9000</v>
      </c>
      <c r="AT14" s="3">
        <f>_xlfn.XLOOKUP(AT$1,generator!$B$2:$B$295,generator!$Q$2:$Q$295,"ARGH")</f>
        <v>9000</v>
      </c>
      <c r="AU14" s="3">
        <f>_xlfn.XLOOKUP(AU$1,generator!$B$2:$B$295,generator!$Q$2:$Q$295,"ARGH")</f>
        <v>9000</v>
      </c>
      <c r="AV14" s="3">
        <f>_xlfn.XLOOKUP(AV$1,generator!$B$2:$B$295,generator!$Q$2:$Q$295,"ARGH")</f>
        <v>9000</v>
      </c>
      <c r="AW14" s="3">
        <f>_xlfn.XLOOKUP(AW$1,generator!$B$2:$B$295,generator!$Q$2:$Q$295,"ARGH")</f>
        <v>9000</v>
      </c>
      <c r="AX14" s="3">
        <f>_xlfn.XLOOKUP(AX$1,generator!$B$2:$B$295,generator!$Q$2:$Q$295,"ARGH")</f>
        <v>9000</v>
      </c>
      <c r="AY14" s="3">
        <f>_xlfn.XLOOKUP(AY$1,generator!$B$2:$B$295,generator!$Q$2:$Q$295,"ARGH")</f>
        <v>9000</v>
      </c>
      <c r="AZ14" s="3">
        <f>_xlfn.XLOOKUP(AZ$1,generator!$B$2:$B$295,generator!$Q$2:$Q$295,"ARGH")</f>
        <v>9000</v>
      </c>
      <c r="BA14" s="3">
        <f>_xlfn.XLOOKUP(BA$1,generator!$B$2:$B$295,generator!$Q$2:$Q$295,"ARGH")</f>
        <v>9000</v>
      </c>
      <c r="BB14" s="3">
        <f>_xlfn.XLOOKUP(BB$1,generator!$B$2:$B$295,generator!$Q$2:$Q$295,"ARGH")</f>
        <v>9000</v>
      </c>
      <c r="BC14" s="3">
        <f>_xlfn.XLOOKUP(BC$1,generator!$B$2:$B$295,generator!$Q$2:$Q$295,"ARGH")</f>
        <v>9000</v>
      </c>
      <c r="BD14" s="3">
        <f>_xlfn.XLOOKUP(BD$1,generator!$B$2:$B$295,generator!$Q$2:$Q$295,"ARGH")</f>
        <v>9000</v>
      </c>
      <c r="BE14" s="3">
        <f>_xlfn.XLOOKUP(BE$1,generator!$B$2:$B$295,generator!$Q$2:$Q$295,"ARGH")</f>
        <v>9000</v>
      </c>
      <c r="BF14" s="3">
        <f>_xlfn.XLOOKUP(BF$1,generator!$B$2:$B$295,generator!$Q$2:$Q$295,"ARGH")</f>
        <v>9000</v>
      </c>
      <c r="BG14" s="3">
        <f>_xlfn.XLOOKUP(BG$1,generator!$B$2:$B$295,generator!$Q$2:$Q$295,"ARGH")</f>
        <v>9000</v>
      </c>
      <c r="BH14" s="3">
        <f>_xlfn.XLOOKUP(BH$1,generator!$B$2:$B$295,generator!$Q$2:$Q$295,"ARGH")</f>
        <v>9000</v>
      </c>
      <c r="BI14" s="3">
        <f>_xlfn.XLOOKUP(BI$1,generator!$B$2:$B$295,generator!$Q$2:$Q$295,"ARGH")</f>
        <v>9000</v>
      </c>
      <c r="BJ14" s="3">
        <f>_xlfn.XLOOKUP(BJ$1,generator!$B$2:$B$295,generator!$Q$2:$Q$295,"ARGH")</f>
        <v>9000</v>
      </c>
      <c r="BK14" s="3">
        <f>_xlfn.XLOOKUP(BK$1,generator!$B$2:$B$295,generator!$Q$2:$Q$295,"ARGH")</f>
        <v>9000</v>
      </c>
      <c r="BL14" s="3">
        <f>_xlfn.XLOOKUP(BL$1,generator!$B$2:$B$295,generator!$Q$2:$Q$295,"ARGH")</f>
        <v>9000</v>
      </c>
      <c r="BM14" s="3">
        <f>_xlfn.XLOOKUP(BM$1,generator!$B$2:$B$295,generator!$Q$2:$Q$295,"ARGH")</f>
        <v>9000</v>
      </c>
      <c r="BN14" s="3">
        <f>_xlfn.XLOOKUP(BN$1,generator!$B$2:$B$295,generator!$Q$2:$Q$295,"ARGH")</f>
        <v>9000</v>
      </c>
      <c r="BO14" s="3">
        <f>_xlfn.XLOOKUP(BO$1,generator!$B$2:$B$295,generator!$Q$2:$Q$295,"ARGH")</f>
        <v>9000</v>
      </c>
      <c r="BP14" s="3">
        <f>_xlfn.XLOOKUP(BP$1,generator!$B$2:$B$295,generator!$Q$2:$Q$295,"ARGH")</f>
        <v>9000</v>
      </c>
      <c r="BQ14" s="3">
        <f>_xlfn.XLOOKUP(BQ$1,generator!$B$2:$B$295,generator!$Q$2:$Q$295,"ARGH")</f>
        <v>9000</v>
      </c>
      <c r="BR14" s="3">
        <f>_xlfn.XLOOKUP(BR$1,generator!$B$2:$B$295,generator!$Q$2:$Q$295,"ARGH")</f>
        <v>9000</v>
      </c>
      <c r="BS14" s="3">
        <f>_xlfn.XLOOKUP(BS$1,generator!$B$2:$B$295,generator!$Q$2:$Q$295,"ARGH")</f>
        <v>9000</v>
      </c>
      <c r="BT14" s="3">
        <f>_xlfn.XLOOKUP(BT$1,generator!$B$2:$B$295,generator!$Q$2:$Q$295,"ARGH")</f>
        <v>9000</v>
      </c>
      <c r="BU14" s="3">
        <f>_xlfn.XLOOKUP(BU$1,generator!$B$2:$B$295,generator!$Q$2:$Q$295,"ARGH")</f>
        <v>9000</v>
      </c>
      <c r="BV14" s="3">
        <f>_xlfn.XLOOKUP(BV$1,generator!$B$2:$B$295,generator!$Q$2:$Q$295,"ARGH")</f>
        <v>9000</v>
      </c>
      <c r="BW14" s="3">
        <f>_xlfn.XLOOKUP(BW$1,generator!$B$2:$B$295,generator!$Q$2:$Q$295,"ARGH")</f>
        <v>9000</v>
      </c>
      <c r="BX14" s="3">
        <f>_xlfn.XLOOKUP(BX$1,generator!$B$2:$B$295,generator!$Q$2:$Q$295,"ARGH")</f>
        <v>9000</v>
      </c>
      <c r="BY14" s="3">
        <f>_xlfn.XLOOKUP(BY$1,generator!$B$2:$B$295,generator!$Q$2:$Q$295,"ARGH")</f>
        <v>9000</v>
      </c>
      <c r="BZ14" s="3">
        <f>_xlfn.XLOOKUP(BZ$1,generator!$B$2:$B$295,generator!$Q$2:$Q$295,"ARGH")</f>
        <v>9000</v>
      </c>
      <c r="CA14" s="3">
        <f>_xlfn.XLOOKUP(CA$1,generator!$B$2:$B$295,generator!$Q$2:$Q$295,"ARGH")</f>
        <v>9000</v>
      </c>
      <c r="CB14" s="3">
        <f>_xlfn.XLOOKUP(CB$1,generator!$B$2:$B$295,generator!$Q$2:$Q$295,"ARGH")</f>
        <v>9000</v>
      </c>
      <c r="CC14" s="3">
        <f>_xlfn.XLOOKUP(CC$1,generator!$B$2:$B$295,generator!$Q$2:$Q$295,"ARGH")</f>
        <v>9000</v>
      </c>
      <c r="CD14" s="3">
        <f>_xlfn.XLOOKUP(CD$1,generator!$B$2:$B$295,generator!$Q$2:$Q$295,"ARGH")</f>
        <v>9000</v>
      </c>
      <c r="CE14" s="3">
        <f>_xlfn.XLOOKUP(CE$1,generator!$B$2:$B$295,generator!$Q$2:$Q$295,"ARGH")</f>
        <v>9000</v>
      </c>
      <c r="CF14" s="3">
        <f>_xlfn.XLOOKUP(CF$1,generator!$B$2:$B$295,generator!$Q$2:$Q$295,"ARGH")</f>
        <v>9000</v>
      </c>
      <c r="CG14" s="3">
        <f>_xlfn.XLOOKUP(CG$1,generator!$B$2:$B$295,generator!$Q$2:$Q$295,"ARGH")</f>
        <v>9000</v>
      </c>
      <c r="CH14" s="3">
        <f>_xlfn.XLOOKUP(CH$1,generator!$B$2:$B$295,generator!$Q$2:$Q$295,"ARGH")</f>
        <v>9000</v>
      </c>
      <c r="CI14" s="3">
        <f>_xlfn.XLOOKUP(CI$1,generator!$B$2:$B$295,generator!$Q$2:$Q$295,"ARGH")</f>
        <v>9000</v>
      </c>
      <c r="CJ14" s="3">
        <f>_xlfn.XLOOKUP(CJ$1,generator!$B$2:$B$295,generator!$Q$2:$Q$295,"ARGH")</f>
        <v>9000</v>
      </c>
      <c r="CK14" s="3">
        <f>_xlfn.XLOOKUP(CK$1,generator!$B$2:$B$295,generator!$Q$2:$Q$295,"ARGH")</f>
        <v>9000</v>
      </c>
      <c r="CL14" s="3">
        <f>_xlfn.XLOOKUP(CL$1,generator!$B$2:$B$295,generator!$Q$2:$Q$295,"ARGH")</f>
        <v>9000</v>
      </c>
      <c r="CM14" s="3">
        <f>_xlfn.XLOOKUP(CM$1,generator!$B$2:$B$295,generator!$Q$2:$Q$295,"ARGH")</f>
        <v>9000</v>
      </c>
      <c r="CN14" s="3">
        <f>_xlfn.XLOOKUP(CN$1,generator!$B$2:$B$295,generator!$Q$2:$Q$295,"ARGH")</f>
        <v>9000</v>
      </c>
      <c r="CO14" s="3">
        <f>_xlfn.XLOOKUP(CO$1,generator!$B$2:$B$295,generator!$Q$2:$Q$295,"ARGH")</f>
        <v>9000</v>
      </c>
      <c r="CP14" s="3">
        <f>_xlfn.XLOOKUP(CP$1,generator!$B$2:$B$295,generator!$Q$2:$Q$295,"ARGH")</f>
        <v>9000</v>
      </c>
      <c r="CQ14" s="3">
        <f>_xlfn.XLOOKUP(CQ$1,generator!$B$2:$B$295,generator!$Q$2:$Q$295,"ARGH")</f>
        <v>9000</v>
      </c>
      <c r="CR14" s="3">
        <f>_xlfn.XLOOKUP(CR$1,generator!$B$2:$B$295,generator!$Q$2:$Q$295,"ARGH")</f>
        <v>9000</v>
      </c>
      <c r="CS14" s="3">
        <f>_xlfn.XLOOKUP(CS$1,generator!$B$2:$B$295,generator!$Q$2:$Q$295,"ARGH")</f>
        <v>9000</v>
      </c>
      <c r="CT14" s="3">
        <f>_xlfn.XLOOKUP(CT$1,generator!$B$2:$B$295,generator!$Q$2:$Q$295,"ARGH")</f>
        <v>9000</v>
      </c>
      <c r="CU14" s="3">
        <f>_xlfn.XLOOKUP(CU$1,generator!$B$2:$B$295,generator!$Q$2:$Q$295,"ARGH")</f>
        <v>9000</v>
      </c>
      <c r="CV14" s="3">
        <f>_xlfn.XLOOKUP(CV$1,generator!$B$2:$B$295,generator!$Q$2:$Q$295,"ARGH")</f>
        <v>9000</v>
      </c>
      <c r="CW14" s="3">
        <f>_xlfn.XLOOKUP(CW$1,generator!$B$2:$B$295,generator!$Q$2:$Q$295,"ARGH")</f>
        <v>9000</v>
      </c>
      <c r="CX14" s="3">
        <f>_xlfn.XLOOKUP(CX$1,generator!$B$2:$B$295,generator!$Q$2:$Q$295,"ARGH")</f>
        <v>9000</v>
      </c>
      <c r="CY14" s="3">
        <f>_xlfn.XLOOKUP(CY$1,generator!$B$2:$B$295,generator!$Q$2:$Q$295,"ARGH")</f>
        <v>9000</v>
      </c>
      <c r="CZ14" s="3">
        <f>_xlfn.XLOOKUP(CZ$1,generator!$B$2:$B$295,generator!$Q$2:$Q$295,"ARGH")</f>
        <v>9000</v>
      </c>
      <c r="DA14" s="3">
        <f>_xlfn.XLOOKUP(DA$1,generator!$B$2:$B$295,generator!$Q$2:$Q$295,"ARGH")</f>
        <v>9000</v>
      </c>
      <c r="DB14" s="3">
        <f>_xlfn.XLOOKUP(DB$1,generator!$B$2:$B$295,generator!$Q$2:$Q$295,"ARGH")</f>
        <v>9000</v>
      </c>
      <c r="DC14" s="3">
        <f>_xlfn.XLOOKUP(DC$1,generator!$B$2:$B$295,generator!$Q$2:$Q$295,"ARGH")</f>
        <v>9000</v>
      </c>
      <c r="DD14" s="3">
        <f>_xlfn.XLOOKUP(DD$1,generator!$B$2:$B$295,generator!$Q$2:$Q$295,"ARGH")</f>
        <v>9000</v>
      </c>
      <c r="DE14" s="3">
        <f>_xlfn.XLOOKUP(DE$1,generator!$B$2:$B$295,generator!$Q$2:$Q$295,"ARGH")</f>
        <v>9000</v>
      </c>
      <c r="DF14" s="3">
        <f>_xlfn.XLOOKUP(DF$1,generator!$B$2:$B$295,generator!$Q$2:$Q$295,"ARGH")</f>
        <v>9000</v>
      </c>
      <c r="DG14" s="3">
        <f>_xlfn.XLOOKUP(DG$1,generator!$B$2:$B$295,generator!$Q$2:$Q$295,"ARGH")</f>
        <v>9000</v>
      </c>
      <c r="DH14" s="3">
        <f>_xlfn.XLOOKUP(DH$1,generator!$B$2:$B$295,generator!$Q$2:$Q$295,"ARGH")</f>
        <v>9000</v>
      </c>
      <c r="DI14" s="3">
        <f>_xlfn.XLOOKUP(DI$1,generator!$B$2:$B$295,generator!$Q$2:$Q$295,"ARGH")</f>
        <v>9000</v>
      </c>
      <c r="DJ14" s="3">
        <f>_xlfn.XLOOKUP(DJ$1,generator!$B$2:$B$295,generator!$Q$2:$Q$295,"ARGH")</f>
        <v>9000</v>
      </c>
      <c r="DK14" s="3">
        <f>_xlfn.XLOOKUP(DK$1,generator!$B$2:$B$295,generator!$Q$2:$Q$295,"ARGH")</f>
        <v>9000</v>
      </c>
      <c r="DL14" s="3">
        <f>_xlfn.XLOOKUP(DL$1,generator!$B$2:$B$295,generator!$Q$2:$Q$295,"ARGH")</f>
        <v>9000</v>
      </c>
      <c r="DM14" s="3">
        <f>_xlfn.XLOOKUP(DM$1,generator!$B$2:$B$295,generator!$Q$2:$Q$295,"ARGH")</f>
        <v>9000</v>
      </c>
      <c r="DN14" s="3">
        <f>_xlfn.XLOOKUP(DN$1,generator!$B$2:$B$295,generator!$Q$2:$Q$295,"ARGH")</f>
        <v>9000</v>
      </c>
      <c r="DO14" s="3">
        <f>_xlfn.XLOOKUP(DO$1,generator!$B$2:$B$295,generator!$Q$2:$Q$295,"ARGH")</f>
        <v>9000</v>
      </c>
      <c r="DP14" s="3">
        <f>_xlfn.XLOOKUP(DP$1,generator!$B$2:$B$295,generator!$Q$2:$Q$295,"ARGH")</f>
        <v>9000</v>
      </c>
      <c r="DQ14" s="3">
        <f>_xlfn.XLOOKUP(DQ$1,generator!$B$2:$B$295,generator!$Q$2:$Q$295,"ARGH")</f>
        <v>9000</v>
      </c>
      <c r="DR14" s="3">
        <f>_xlfn.XLOOKUP(DR$1,generator!$B$2:$B$295,generator!$Q$2:$Q$295,"ARGH")</f>
        <v>9000</v>
      </c>
      <c r="DS14" s="3">
        <f>_xlfn.XLOOKUP(DS$1,generator!$B$2:$B$295,generator!$Q$2:$Q$295,"ARGH")</f>
        <v>9000</v>
      </c>
      <c r="DT14" s="3">
        <f>_xlfn.XLOOKUP(DT$1,generator!$B$2:$B$295,generator!$Q$2:$Q$295,"ARGH")</f>
        <v>9000</v>
      </c>
      <c r="DU14" s="3">
        <f>_xlfn.XLOOKUP(DU$1,generator!$B$2:$B$295,generator!$Q$2:$Q$295,"ARGH")</f>
        <v>9000</v>
      </c>
      <c r="DV14" s="3">
        <f>_xlfn.XLOOKUP(DV$1,generator!$B$2:$B$295,generator!$Q$2:$Q$295,"ARGH")</f>
        <v>9000</v>
      </c>
      <c r="DW14" s="3">
        <f>_xlfn.XLOOKUP(DW$1,generator!$B$2:$B$295,generator!$Q$2:$Q$295,"ARGH")</f>
        <v>9000</v>
      </c>
      <c r="DX14" s="3">
        <f>_xlfn.XLOOKUP(DX$1,generator!$B$2:$B$295,generator!$Q$2:$Q$295,"ARGH")</f>
        <v>9000</v>
      </c>
      <c r="DY14" s="3">
        <f>_xlfn.XLOOKUP(DY$1,generator!$B$2:$B$295,generator!$Q$2:$Q$295,"ARGH")</f>
        <v>9000</v>
      </c>
      <c r="DZ14" s="3">
        <f>_xlfn.XLOOKUP(DZ$1,generator!$B$2:$B$295,generator!$Q$2:$Q$295,"ARGH")</f>
        <v>9000</v>
      </c>
      <c r="EA14" s="3">
        <f>_xlfn.XLOOKUP(EA$1,generator!$B$2:$B$295,generator!$Q$2:$Q$295,"ARGH")</f>
        <v>9000</v>
      </c>
      <c r="EB14" s="3">
        <f>_xlfn.XLOOKUP(EB$1,generator!$B$2:$B$295,generator!$Q$2:$Q$295,"ARGH")</f>
        <v>9000</v>
      </c>
      <c r="EC14" s="3">
        <f>_xlfn.XLOOKUP(EC$1,generator!$B$2:$B$295,generator!$Q$2:$Q$295,"ARGH")</f>
        <v>9000</v>
      </c>
      <c r="ED14" s="3">
        <f>_xlfn.XLOOKUP(ED$1,generator!$B$2:$B$295,generator!$Q$2:$Q$295,"ARGH")</f>
        <v>9000</v>
      </c>
      <c r="EE14" s="3">
        <f>_xlfn.XLOOKUP(EE$1,generator!$B$2:$B$295,generator!$Q$2:$Q$295,"ARGH")</f>
        <v>9000</v>
      </c>
      <c r="EF14" s="3">
        <f>_xlfn.XLOOKUP(EF$1,generator!$B$2:$B$295,generator!$Q$2:$Q$295,"ARGH")</f>
        <v>9000</v>
      </c>
      <c r="EG14" s="3">
        <f>_xlfn.XLOOKUP(EG$1,generator!$B$2:$B$295,generator!$Q$2:$Q$295,"ARGH")</f>
        <v>9000</v>
      </c>
      <c r="EH14" s="3">
        <f>_xlfn.XLOOKUP(EH$1,generator!$B$2:$B$295,generator!$Q$2:$Q$295,"ARGH")</f>
        <v>9000</v>
      </c>
      <c r="EI14" s="3">
        <f>_xlfn.XLOOKUP(EI$1,generator!$B$2:$B$295,generator!$Q$2:$Q$295,"ARGH")</f>
        <v>9000</v>
      </c>
      <c r="EJ14" s="3">
        <f>_xlfn.XLOOKUP(EJ$1,generator!$B$2:$B$295,generator!$Q$2:$Q$295,"ARGH")</f>
        <v>9000</v>
      </c>
      <c r="EK14" s="3">
        <f>_xlfn.XLOOKUP(EK$1,generator!$B$2:$B$295,generator!$Q$2:$Q$295,"ARGH")</f>
        <v>9000</v>
      </c>
      <c r="EL14" s="3">
        <f>_xlfn.XLOOKUP(EL$1,generator!$B$2:$B$295,generator!$Q$2:$Q$295,"ARGH")</f>
        <v>9000</v>
      </c>
      <c r="EM14" s="3">
        <f>_xlfn.XLOOKUP(EM$1,generator!$B$2:$B$295,generator!$Q$2:$Q$295,"ARGH")</f>
        <v>9000</v>
      </c>
      <c r="EN14" s="3">
        <f>_xlfn.XLOOKUP(EN$1,generator!$B$2:$B$295,generator!$Q$2:$Q$295,"ARGH")</f>
        <v>9000</v>
      </c>
      <c r="EO14" s="3">
        <f>_xlfn.XLOOKUP(EO$1,generator!$B$2:$B$295,generator!$Q$2:$Q$295,"ARGH")</f>
        <v>9000</v>
      </c>
      <c r="EP14" s="3">
        <f>_xlfn.XLOOKUP(EP$1,generator!$B$2:$B$295,generator!$Q$2:$Q$295,"ARGH")</f>
        <v>9000</v>
      </c>
      <c r="EQ14" s="3">
        <f>_xlfn.XLOOKUP(EQ$1,generator!$B$2:$B$295,generator!$Q$2:$Q$295,"ARGH")</f>
        <v>9000</v>
      </c>
      <c r="ER14" s="3">
        <f>_xlfn.XLOOKUP(ER$1,generator!$B$2:$B$295,generator!$Q$2:$Q$295,"ARGH")</f>
        <v>9000</v>
      </c>
      <c r="ES14" s="3">
        <f>_xlfn.XLOOKUP(ES$1,generator!$B$2:$B$295,generator!$Q$2:$Q$295,"ARGH")</f>
        <v>9000</v>
      </c>
      <c r="ET14" s="3">
        <f>_xlfn.XLOOKUP(ET$1,generator!$B$2:$B$295,generator!$Q$2:$Q$295,"ARGH")</f>
        <v>9000</v>
      </c>
      <c r="EU14" s="3">
        <f>_xlfn.XLOOKUP(EU$1,generator!$B$2:$B$295,generator!$Q$2:$Q$295,"ARGH")</f>
        <v>9000</v>
      </c>
      <c r="EV14" s="3">
        <f>_xlfn.XLOOKUP(EV$1,generator!$B$2:$B$295,generator!$Q$2:$Q$295,"ARGH")</f>
        <v>9000</v>
      </c>
      <c r="EW14" s="3">
        <f>_xlfn.XLOOKUP(EW$1,generator!$B$2:$B$295,generator!$Q$2:$Q$295,"ARGH")</f>
        <v>9000</v>
      </c>
      <c r="EX14" s="3">
        <f>_xlfn.XLOOKUP(EX$1,generator!$B$2:$B$295,generator!$Q$2:$Q$295,"ARGH")</f>
        <v>9000</v>
      </c>
      <c r="EY14" s="3">
        <f>_xlfn.XLOOKUP(EY$1,generator!$B$2:$B$295,generator!$Q$2:$Q$295,"ARGH")</f>
        <v>9000</v>
      </c>
      <c r="EZ14" s="3">
        <f>_xlfn.XLOOKUP(EZ$1,generator!$B$2:$B$295,generator!$Q$2:$Q$295,"ARGH")</f>
        <v>9000</v>
      </c>
      <c r="FA14" s="3">
        <f>_xlfn.XLOOKUP(FA$1,generator!$B$2:$B$295,generator!$Q$2:$Q$295,"ARGH")</f>
        <v>9000</v>
      </c>
      <c r="FB14" s="3">
        <f>_xlfn.XLOOKUP(FB$1,generator!$B$2:$B$295,generator!$Q$2:$Q$295,"ARGH")</f>
        <v>9000</v>
      </c>
      <c r="FC14" s="3">
        <f>_xlfn.XLOOKUP(FC$1,generator!$B$2:$B$295,generator!$Q$2:$Q$295,"ARGH")</f>
        <v>9000</v>
      </c>
      <c r="FD14" s="3">
        <f>_xlfn.XLOOKUP(FD$1,generator!$B$2:$B$295,generator!$Q$2:$Q$295,"ARGH")</f>
        <v>9000</v>
      </c>
      <c r="FE14" s="3">
        <f>_xlfn.XLOOKUP(FE$1,generator!$B$2:$B$295,generator!$Q$2:$Q$295,"ARGH")</f>
        <v>9000</v>
      </c>
      <c r="FF14" s="3">
        <f>_xlfn.XLOOKUP(FF$1,generator!$B$2:$B$295,generator!$Q$2:$Q$295,"ARGH")</f>
        <v>9000</v>
      </c>
      <c r="FG14" s="3">
        <f>_xlfn.XLOOKUP(FG$1,generator!$B$2:$B$295,generator!$Q$2:$Q$295,"ARGH")</f>
        <v>9000</v>
      </c>
      <c r="FH14" s="3">
        <f>_xlfn.XLOOKUP(FH$1,generator!$B$2:$B$295,generator!$Q$2:$Q$295,"ARGH")</f>
        <v>9000</v>
      </c>
      <c r="FI14" s="3">
        <f>_xlfn.XLOOKUP(FI$1,generator!$B$2:$B$295,generator!$Q$2:$Q$295,"ARGH")</f>
        <v>9000</v>
      </c>
      <c r="FJ14" s="3">
        <f>_xlfn.XLOOKUP(FJ$1,generator!$B$2:$B$295,generator!$Q$2:$Q$295,"ARGH")</f>
        <v>9000</v>
      </c>
      <c r="FK14" s="3">
        <f>_xlfn.XLOOKUP(FK$1,generator!$B$2:$B$295,generator!$Q$2:$Q$295,"ARGH")</f>
        <v>9000</v>
      </c>
      <c r="FL14" s="3">
        <f>_xlfn.XLOOKUP(FL$1,generator!$B$2:$B$295,generator!$Q$2:$Q$295,"ARGH")</f>
        <v>9000</v>
      </c>
      <c r="FM14" s="3">
        <f>_xlfn.XLOOKUP(FM$1,generator!$B$2:$B$295,generator!$Q$2:$Q$295,"ARGH")</f>
        <v>9000</v>
      </c>
      <c r="FN14" s="3">
        <f>_xlfn.XLOOKUP(FN$1,generator!$B$2:$B$295,generator!$Q$2:$Q$295,"ARGH")</f>
        <v>9000</v>
      </c>
      <c r="FO14" s="3">
        <f>_xlfn.XLOOKUP(FO$1,generator!$B$2:$B$295,generator!$Q$2:$Q$295,"ARGH")</f>
        <v>9000</v>
      </c>
      <c r="FP14" s="3">
        <f>_xlfn.XLOOKUP(FP$1,generator!$B$2:$B$295,generator!$Q$2:$Q$295,"ARGH")</f>
        <v>9000</v>
      </c>
      <c r="FQ14" s="3">
        <f>_xlfn.XLOOKUP(FQ$1,generator!$B$2:$B$295,generator!$Q$2:$Q$295,"ARGH")</f>
        <v>9000</v>
      </c>
      <c r="FR14" s="3">
        <f>_xlfn.XLOOKUP(FR$1,generator!$B$2:$B$295,generator!$Q$2:$Q$295,"ARGH")</f>
        <v>9000</v>
      </c>
      <c r="FS14" s="3">
        <f>_xlfn.XLOOKUP(FS$1,generator!$B$2:$B$295,generator!$Q$2:$Q$295,"ARGH")</f>
        <v>9000</v>
      </c>
      <c r="FT14" s="3">
        <f>_xlfn.XLOOKUP(FT$1,generator!$B$2:$B$295,generator!$Q$2:$Q$295,"ARGH")</f>
        <v>9000</v>
      </c>
      <c r="FU14" s="3">
        <f>_xlfn.XLOOKUP(FU$1,generator!$B$2:$B$295,generator!$Q$2:$Q$295,"ARGH")</f>
        <v>9000</v>
      </c>
      <c r="FV14" s="3">
        <f>_xlfn.XLOOKUP(FV$1,generator!$B$2:$B$295,generator!$Q$2:$Q$295,"ARGH")</f>
        <v>9000</v>
      </c>
      <c r="FW14" s="3">
        <f>_xlfn.XLOOKUP(FW$1,generator!$B$2:$B$295,generator!$Q$2:$Q$295,"ARGH")</f>
        <v>9000</v>
      </c>
      <c r="FX14" s="3">
        <f>_xlfn.XLOOKUP(FX$1,generator!$B$2:$B$295,generator!$Q$2:$Q$295,"ARGH")</f>
        <v>9000</v>
      </c>
      <c r="FY14" s="3">
        <f>_xlfn.XLOOKUP(FY$1,generator!$B$2:$B$295,generator!$Q$2:$Q$295,"ARGH")</f>
        <v>9000</v>
      </c>
      <c r="FZ14" s="3">
        <f>_xlfn.XLOOKUP(FZ$1,generator!$B$2:$B$295,generator!$Q$2:$Q$295,"ARGH")</f>
        <v>9000</v>
      </c>
      <c r="GA14" s="3">
        <f>_xlfn.XLOOKUP(GA$1,generator!$B$2:$B$295,generator!$Q$2:$Q$295,"ARGH")</f>
        <v>9000</v>
      </c>
      <c r="GB14" s="3">
        <f>_xlfn.XLOOKUP(GB$1,generator!$B$2:$B$295,generator!$Q$2:$Q$295,"ARGH")</f>
        <v>9000</v>
      </c>
      <c r="GC14" s="3">
        <f>_xlfn.XLOOKUP(GC$1,generator!$B$2:$B$295,generator!$Q$2:$Q$295,"ARGH")</f>
        <v>9000</v>
      </c>
      <c r="GD14" s="3">
        <f>_xlfn.XLOOKUP(GD$1,generator!$B$2:$B$295,generator!$Q$2:$Q$295,"ARGH")</f>
        <v>9000</v>
      </c>
      <c r="GE14" s="3">
        <f>_xlfn.XLOOKUP(GE$1,generator!$B$2:$B$295,generator!$Q$2:$Q$295,"ARGH")</f>
        <v>9000</v>
      </c>
      <c r="GF14" s="3">
        <f>_xlfn.XLOOKUP(GF$1,generator!$B$2:$B$295,generator!$Q$2:$Q$295,"ARGH")</f>
        <v>9000</v>
      </c>
      <c r="GG14" s="3">
        <f>_xlfn.XLOOKUP(GG$1,generator!$B$2:$B$295,generator!$Q$2:$Q$295,"ARGH")</f>
        <v>9000</v>
      </c>
      <c r="GH14" s="3">
        <f>_xlfn.XLOOKUP(GH$1,generator!$B$2:$B$295,generator!$Q$2:$Q$295,"ARGH")</f>
        <v>9000</v>
      </c>
      <c r="GI14" s="3">
        <f>_xlfn.XLOOKUP(GI$1,generator!$B$2:$B$295,generator!$Q$2:$Q$295,"ARGH")</f>
        <v>9000</v>
      </c>
      <c r="GJ14" s="3">
        <f>_xlfn.XLOOKUP(GJ$1,generator!$B$2:$B$295,generator!$Q$2:$Q$295,"ARGH")</f>
        <v>9000</v>
      </c>
      <c r="GK14" s="3">
        <f>_xlfn.XLOOKUP(GK$1,generator!$B$2:$B$295,generator!$Q$2:$Q$295,"ARGH")</f>
        <v>9000</v>
      </c>
      <c r="GL14" s="3">
        <f>_xlfn.XLOOKUP(GL$1,generator!$B$2:$B$295,generator!$Q$2:$Q$295,"ARGH")</f>
        <v>9000</v>
      </c>
      <c r="GM14" s="3">
        <f>_xlfn.XLOOKUP(GM$1,generator!$B$2:$B$295,generator!$Q$2:$Q$295,"ARGH")</f>
        <v>9000</v>
      </c>
      <c r="GN14" s="3">
        <f>_xlfn.XLOOKUP(GN$1,generator!$B$2:$B$295,generator!$Q$2:$Q$295,"ARGH")</f>
        <v>9000</v>
      </c>
      <c r="GO14" s="3">
        <f>_xlfn.XLOOKUP(GO$1,generator!$B$2:$B$295,generator!$Q$2:$Q$295,"ARGH")</f>
        <v>9000</v>
      </c>
      <c r="GP14" s="3">
        <f>_xlfn.XLOOKUP(GP$1,generator!$B$2:$B$295,generator!$Q$2:$Q$295,"ARGH")</f>
        <v>9000</v>
      </c>
      <c r="GQ14" s="3">
        <f>_xlfn.XLOOKUP(GQ$1,generator!$B$2:$B$295,generator!$Q$2:$Q$295,"ARGH")</f>
        <v>9000</v>
      </c>
      <c r="GR14" s="3">
        <f>_xlfn.XLOOKUP(GR$1,generator!$B$2:$B$295,generator!$Q$2:$Q$295,"ARGH")</f>
        <v>9000</v>
      </c>
      <c r="GS14" s="3">
        <f>_xlfn.XLOOKUP(GS$1,generator!$B$2:$B$295,generator!$Q$2:$Q$295,"ARGH")</f>
        <v>9000</v>
      </c>
      <c r="GT14" s="3">
        <f>_xlfn.XLOOKUP(GT$1,generator!$B$2:$B$295,generator!$Q$2:$Q$295,"ARGH")</f>
        <v>9000</v>
      </c>
      <c r="GU14" s="3">
        <f>_xlfn.XLOOKUP(GU$1,generator!$B$2:$B$295,generator!$Q$2:$Q$295,"ARGH")</f>
        <v>9000</v>
      </c>
      <c r="GV14" s="3">
        <f>_xlfn.XLOOKUP(GV$1,generator!$B$2:$B$295,generator!$Q$2:$Q$295,"ARGH")</f>
        <v>9000</v>
      </c>
      <c r="GW14" s="3">
        <f>_xlfn.XLOOKUP(GW$1,generator!$B$2:$B$295,generator!$Q$2:$Q$295,"ARGH")</f>
        <v>9000</v>
      </c>
      <c r="GX14" s="3">
        <f>_xlfn.XLOOKUP(GX$1,generator!$B$2:$B$295,generator!$Q$2:$Q$295,"ARGH")</f>
        <v>9000</v>
      </c>
      <c r="GY14" s="3">
        <f>_xlfn.XLOOKUP(GY$1,generator!$B$2:$B$295,generator!$Q$2:$Q$295,"ARGH")</f>
        <v>9000</v>
      </c>
      <c r="GZ14" s="3">
        <f>_xlfn.XLOOKUP(GZ$1,generator!$B$2:$B$295,generator!$Q$2:$Q$295,"ARGH")</f>
        <v>9000</v>
      </c>
      <c r="HA14" s="3">
        <f>_xlfn.XLOOKUP(HA$1,generator!$B$2:$B$295,generator!$Q$2:$Q$295,"ARGH")</f>
        <v>9000</v>
      </c>
      <c r="HB14" s="3">
        <f>_xlfn.XLOOKUP(HB$1,generator!$B$2:$B$295,generator!$Q$2:$Q$295,"ARGH")</f>
        <v>9000</v>
      </c>
      <c r="HC14" s="3">
        <f>_xlfn.XLOOKUP(HC$1,generator!$B$2:$B$295,generator!$Q$2:$Q$295,"ARGH")</f>
        <v>9000</v>
      </c>
      <c r="HD14" s="3">
        <f>_xlfn.XLOOKUP(HD$1,generator!$B$2:$B$295,generator!$Q$2:$Q$295,"ARGH")</f>
        <v>9000</v>
      </c>
      <c r="HE14" s="3">
        <f>_xlfn.XLOOKUP(HE$1,generator!$B$2:$B$295,generator!$Q$2:$Q$295,"ARGH")</f>
        <v>8000</v>
      </c>
      <c r="HF14" s="3" t="str">
        <f>_xlfn.XLOOKUP(HF$1,generator!$B$2:$B$295,generator!$Q$2:$Q$295,"ARGH")</f>
        <v>143</v>
      </c>
      <c r="HG14" s="3" t="str">
        <f>_xlfn.XLOOKUP(HG$1,generator!$B$2:$B$295,generator!$Q$2:$Q$295,"ARGH")</f>
        <v>143</v>
      </c>
      <c r="HH14" s="3" t="str">
        <f>_xlfn.XLOOKUP(HH$1,generator!$B$2:$B$295,generator!$Q$2:$Q$295,"ARGH")</f>
        <v>143</v>
      </c>
      <c r="HI14" s="3" t="str">
        <f>_xlfn.XLOOKUP(HI$1,generator!$B$2:$B$295,generator!$Q$2:$Q$295,"ARGH")</f>
        <v>246.74</v>
      </c>
      <c r="HJ14" s="3" t="str">
        <f>_xlfn.XLOOKUP(HJ$1,generator!$B$2:$B$295,generator!$Q$2:$Q$295,"ARGH")</f>
        <v>246.74</v>
      </c>
      <c r="HK14" s="3" t="str">
        <f>_xlfn.XLOOKUP(HK$1,generator!$B$2:$B$295,generator!$Q$2:$Q$295,"ARGH")</f>
        <v>206.04</v>
      </c>
      <c r="HL14" s="3" t="str">
        <f>_xlfn.XLOOKUP(HL$1,generator!$B$2:$B$295,generator!$Q$2:$Q$295,"ARGH")</f>
        <v>506.96</v>
      </c>
      <c r="HM14" s="3" t="str">
        <f>_xlfn.XLOOKUP(HM$1,generator!$B$2:$B$295,generator!$Q$2:$Q$295,"ARGH")</f>
        <v>506.95</v>
      </c>
      <c r="HN14" s="3" t="str">
        <f>_xlfn.XLOOKUP(HN$1,generator!$B$2:$B$295,generator!$Q$2:$Q$295,"ARGH")</f>
        <v>190.97</v>
      </c>
      <c r="HO14" s="3" t="str">
        <f>_xlfn.XLOOKUP(HO$1,generator!$B$2:$B$295,generator!$Q$2:$Q$295,"ARGH")</f>
        <v>190.97</v>
      </c>
      <c r="HP14" s="3" t="str">
        <f>_xlfn.XLOOKUP(HP$1,generator!$B$2:$B$295,generator!$Q$2:$Q$295,"ARGH")</f>
        <v>424.84</v>
      </c>
      <c r="HQ14" s="3" t="str">
        <f>_xlfn.XLOOKUP(HQ$1,generator!$B$2:$B$295,generator!$Q$2:$Q$295,"ARGH")</f>
        <v>425.9</v>
      </c>
      <c r="HR14" s="3" t="str">
        <f>_xlfn.XLOOKUP(HR$1,generator!$B$2:$B$295,generator!$Q$2:$Q$295,"ARGH")</f>
        <v>425.9</v>
      </c>
      <c r="HS14" s="3" t="str">
        <f>_xlfn.XLOOKUP(HS$1,generator!$B$2:$B$295,generator!$Q$2:$Q$295,"ARGH")</f>
        <v>196.54</v>
      </c>
      <c r="HT14" s="3" t="str">
        <f>_xlfn.XLOOKUP(HT$1,generator!$B$2:$B$295,generator!$Q$2:$Q$295,"ARGH")</f>
        <v>196.54</v>
      </c>
      <c r="HU14" s="3" t="str">
        <f>_xlfn.XLOOKUP(HU$1,generator!$B$2:$B$295,generator!$Q$2:$Q$295,"ARGH")</f>
        <v>145.57</v>
      </c>
      <c r="HV14" s="3" t="str">
        <f>_xlfn.XLOOKUP(HV$1,generator!$B$2:$B$295,generator!$Q$2:$Q$295,"ARGH")</f>
        <v>132.62</v>
      </c>
      <c r="HW14" s="3" t="str">
        <f>_xlfn.XLOOKUP(HW$1,generator!$B$2:$B$295,generator!$Q$2:$Q$295,"ARGH")</f>
        <v>193.76</v>
      </c>
      <c r="HX14" s="3" t="str">
        <f>_xlfn.XLOOKUP(HX$1,generator!$B$2:$B$295,generator!$Q$2:$Q$295,"ARGH")</f>
        <v>193.76</v>
      </c>
      <c r="HY14" s="3" t="str">
        <f>_xlfn.XLOOKUP(HY$1,generator!$B$2:$B$295,generator!$Q$2:$Q$295,"ARGH")</f>
        <v>79.19</v>
      </c>
      <c r="HZ14" s="3" t="str">
        <f>_xlfn.XLOOKUP(HZ$1,generator!$B$2:$B$295,generator!$Q$2:$Q$295,"ARGH")</f>
        <v>125.79</v>
      </c>
      <c r="IA14" s="3" t="str">
        <f>_xlfn.XLOOKUP(IA$1,generator!$B$2:$B$295,generator!$Q$2:$Q$295,"ARGH")</f>
        <v>54.19</v>
      </c>
      <c r="IB14" s="3" t="str">
        <f>_xlfn.XLOOKUP(IB$1,generator!$B$2:$B$295,generator!$Q$2:$Q$295,"ARGH")</f>
        <v>59.7</v>
      </c>
      <c r="IC14" s="3">
        <f>_xlfn.XLOOKUP(IC$1,generator!$B$2:$B$295,generator!$Q$2:$Q$295,"ARGH")</f>
        <v>0</v>
      </c>
      <c r="ID14" s="3" t="str">
        <f>_xlfn.XLOOKUP(ID$1,generator!$B$2:$B$295,generator!$Q$2:$Q$295,"ARGH")</f>
        <v>121.14</v>
      </c>
      <c r="IE14" s="3" t="str">
        <f>_xlfn.XLOOKUP(IE$1,generator!$B$2:$B$295,generator!$Q$2:$Q$295,"ARGH")</f>
        <v>26.6</v>
      </c>
      <c r="IF14" s="3">
        <f>_xlfn.XLOOKUP(IF$1,generator!$B$2:$B$295,generator!$Q$2:$Q$295,"ARGH")</f>
        <v>8000</v>
      </c>
      <c r="IG14" s="3">
        <f>_xlfn.XLOOKUP(IG$1,generator!$B$2:$B$295,generator!$Q$2:$Q$295,"ARGH")</f>
        <v>8000</v>
      </c>
      <c r="IH14" s="3">
        <f>_xlfn.XLOOKUP(IH$1,generator!$B$2:$B$295,generator!$Q$2:$Q$295,"ARGH")</f>
        <v>8000</v>
      </c>
      <c r="II14" s="3">
        <f>_xlfn.XLOOKUP(II$1,generator!$B$2:$B$295,generator!$Q$2:$Q$295,"ARGH")</f>
        <v>8000</v>
      </c>
      <c r="IJ14" s="3">
        <f>_xlfn.XLOOKUP(IJ$1,generator!$B$2:$B$295,generator!$Q$2:$Q$295,"ARGH")</f>
        <v>8000</v>
      </c>
      <c r="IK14" s="3">
        <f>_xlfn.XLOOKUP(IK$1,generator!$B$2:$B$295,generator!$Q$2:$Q$295,"ARGH")</f>
        <v>8000</v>
      </c>
      <c r="IL14" s="3">
        <f>_xlfn.XLOOKUP(IL$1,generator!$B$2:$B$295,generator!$Q$2:$Q$295,"ARGH")</f>
        <v>8000</v>
      </c>
      <c r="IM14" s="3">
        <f>_xlfn.XLOOKUP(IM$1,generator!$B$2:$B$295,generator!$Q$2:$Q$295,"ARGH")</f>
        <v>8000</v>
      </c>
      <c r="IN14" s="3">
        <f>_xlfn.XLOOKUP(IN$1,generator!$B$2:$B$295,generator!$Q$2:$Q$295,"ARGH")</f>
        <v>8000</v>
      </c>
      <c r="IO14" s="3">
        <f>_xlfn.XLOOKUP(IO$1,generator!$B$2:$B$295,generator!$Q$2:$Q$295,"ARGH")</f>
        <v>8000</v>
      </c>
      <c r="IP14" s="3">
        <f>_xlfn.XLOOKUP(IP$1,generator!$B$2:$B$295,generator!$Q$2:$Q$295,"ARGH")</f>
        <v>8000</v>
      </c>
      <c r="IQ14" s="3">
        <f>_xlfn.XLOOKUP(IQ$1,generator!$B$2:$B$295,generator!$Q$2:$Q$295,"ARGH")</f>
        <v>8000</v>
      </c>
      <c r="IR14" s="3">
        <f>_xlfn.XLOOKUP(IR$1,generator!$B$2:$B$295,generator!$Q$2:$Q$295,"ARGH")</f>
        <v>8000</v>
      </c>
      <c r="IS14" s="3">
        <f>_xlfn.XLOOKUP(IS$1,generator!$B$2:$B$295,generator!$Q$2:$Q$295,"ARGH")</f>
        <v>8000</v>
      </c>
      <c r="IT14" s="3">
        <f>_xlfn.XLOOKUP(IT$1,generator!$B$2:$B$295,generator!$Q$2:$Q$295,"ARGH")</f>
        <v>8000</v>
      </c>
      <c r="IU14" s="3">
        <f>_xlfn.XLOOKUP(IU$1,generator!$B$2:$B$295,generator!$Q$2:$Q$295,"ARGH")</f>
        <v>8000</v>
      </c>
      <c r="IV14" s="3">
        <f>_xlfn.XLOOKUP(IV$1,generator!$B$2:$B$295,generator!$Q$2:$Q$295,"ARGH")</f>
        <v>8000</v>
      </c>
      <c r="IW14" s="3" t="str">
        <f>_xlfn.XLOOKUP(IW$1,generator!$B$2:$B$295,generator!$Q$2:$Q$295,"ARGH")</f>
        <v>108.19</v>
      </c>
      <c r="IX14" s="3" t="str">
        <f>_xlfn.XLOOKUP(IX$1,generator!$B$2:$B$295,generator!$Q$2:$Q$295,"ARGH")</f>
        <v>108.18</v>
      </c>
      <c r="IY14" s="3" t="str">
        <f>_xlfn.XLOOKUP(IY$1,generator!$B$2:$B$295,generator!$Q$2:$Q$295,"ARGH")</f>
        <v>108.17</v>
      </c>
      <c r="IZ14" s="3" t="str">
        <f>_xlfn.XLOOKUP(IZ$1,generator!$B$2:$B$295,generator!$Q$2:$Q$295,"ARGH")</f>
        <v>40.96</v>
      </c>
      <c r="JA14" s="3">
        <f>_xlfn.XLOOKUP(JA$1,generator!$B$2:$B$295,generator!$Q$2:$Q$295,"ARGH")</f>
        <v>0</v>
      </c>
      <c r="JB14" s="3">
        <f>_xlfn.XLOOKUP(JB$1,generator!$B$2:$B$295,generator!$Q$2:$Q$295,"ARGH")</f>
        <v>0</v>
      </c>
      <c r="JC14" s="3" t="str">
        <f>_xlfn.XLOOKUP(JC$1,generator!$B$2:$B$295,generator!$Q$2:$Q$295,"ARGH")</f>
        <v>75.91</v>
      </c>
      <c r="JD14" s="3" t="str">
        <f>_xlfn.XLOOKUP(JD$1,generator!$B$2:$B$295,generator!$Q$2:$Q$295,"ARGH")</f>
        <v>75.91</v>
      </c>
      <c r="JE14" s="3" t="str">
        <f>_xlfn.XLOOKUP(JE$1,generator!$B$2:$B$295,generator!$Q$2:$Q$295,"ARGH")</f>
        <v>51.59</v>
      </c>
      <c r="JF14" s="3" t="str">
        <f>_xlfn.XLOOKUP(JF$1,generator!$B$2:$B$295,generator!$Q$2:$Q$295,"ARGH")</f>
        <v>111.57</v>
      </c>
      <c r="JG14" s="3">
        <f>_xlfn.XLOOKUP(JG$1,generator!$B$2:$B$295,generator!$Q$2:$Q$295,"ARGH")</f>
        <v>0</v>
      </c>
      <c r="JH14" s="3" t="str">
        <f>_xlfn.XLOOKUP(JH$1,generator!$B$2:$B$295,generator!$Q$2:$Q$295,"ARGH")</f>
        <v>48.65</v>
      </c>
      <c r="JI14" s="3" t="str">
        <f>_xlfn.XLOOKUP(JI$1,generator!$B$2:$B$295,generator!$Q$2:$Q$295,"ARGH")</f>
        <v>71.88</v>
      </c>
      <c r="JJ14" s="3" t="str">
        <f>_xlfn.XLOOKUP(JJ$1,generator!$B$2:$B$295,generator!$Q$2:$Q$295,"ARGH")</f>
        <v>98.17</v>
      </c>
      <c r="JK14" s="3" t="str">
        <f>_xlfn.XLOOKUP(JK$1,generator!$B$2:$B$295,generator!$Q$2:$Q$295,"ARGH")</f>
        <v>98.17</v>
      </c>
      <c r="JL14" s="3" t="str">
        <f>_xlfn.XLOOKUP(JL$1,generator!$B$2:$B$295,generator!$Q$2:$Q$295,"ARGH")</f>
        <v>98.17</v>
      </c>
      <c r="JM14" s="3" t="str">
        <f>_xlfn.XLOOKUP(JM$1,generator!$B$2:$B$295,generator!$Q$2:$Q$295,"ARGH")</f>
        <v>98.17</v>
      </c>
      <c r="JN14" s="3" t="str">
        <f>_xlfn.XLOOKUP(JN$1,generator!$B$2:$B$295,generator!$Q$2:$Q$295,"ARGH")</f>
        <v>98.17</v>
      </c>
      <c r="JO14" s="3" t="str">
        <f>_xlfn.XLOOKUP(JO$1,generator!$B$2:$B$295,generator!$Q$2:$Q$295,"ARGH")</f>
        <v>98.17</v>
      </c>
      <c r="JP14" s="3" t="str">
        <f>_xlfn.XLOOKUP(JP$1,generator!$B$2:$B$295,generator!$Q$2:$Q$295,"ARGH")</f>
        <v>47.53</v>
      </c>
      <c r="JQ14" s="3" t="str">
        <f>_xlfn.XLOOKUP(JQ$1,generator!$B$2:$B$295,generator!$Q$2:$Q$295,"ARGH")</f>
        <v>108.86</v>
      </c>
      <c r="JR14" s="3" t="str">
        <f>_xlfn.XLOOKUP(JR$1,generator!$B$2:$B$295,generator!$Q$2:$Q$295,"ARGH")</f>
        <v>83.15</v>
      </c>
      <c r="JS14" s="3" t="str">
        <f>_xlfn.XLOOKUP(JS$1,generator!$B$2:$B$295,generator!$Q$2:$Q$295,"ARGH")</f>
        <v>83.15</v>
      </c>
      <c r="JT14" s="3" t="str">
        <f>_xlfn.XLOOKUP(JT$1,generator!$B$2:$B$295,generator!$Q$2:$Q$295,"ARGH")</f>
        <v>108.86</v>
      </c>
      <c r="JU14" s="3">
        <f>_xlfn.XLOOKUP(JU$1,generator!$B$2:$B$295,generator!$Q$2:$Q$295,"ARGH")</f>
        <v>0</v>
      </c>
      <c r="JV14" s="3" t="str">
        <f>_xlfn.XLOOKUP(JV$1,generator!$B$2:$B$295,generator!$Q$2:$Q$295,"ARGH")</f>
        <v>77.63</v>
      </c>
      <c r="JW14" s="3" t="str">
        <f>_xlfn.XLOOKUP(JW$1,generator!$B$2:$B$295,generator!$Q$2:$Q$295,"ARGH")</f>
        <v>77.64</v>
      </c>
      <c r="JX14" s="3" t="str">
        <f>_xlfn.XLOOKUP(JX$1,generator!$B$2:$B$295,generator!$Q$2:$Q$295,"ARGH")</f>
        <v>331.49</v>
      </c>
      <c r="JY14" s="3">
        <f>_xlfn.XLOOKUP(JY$1,generator!$B$2:$B$295,generator!$Q$2:$Q$295,"ARGH")</f>
        <v>7000</v>
      </c>
      <c r="JZ14" s="3">
        <f>_xlfn.XLOOKUP(JZ$1,generator!$B$2:$B$295,generator!$Q$2:$Q$295,"ARGH")</f>
        <v>0</v>
      </c>
      <c r="KA14" s="3">
        <f>_xlfn.XLOOKUP(KA$1,generator!$B$2:$B$295,generator!$Q$2:$Q$295,"ARGH")</f>
        <v>0</v>
      </c>
      <c r="KB14" s="3">
        <f>_xlfn.XLOOKUP(KB$1,generator!$B$2:$B$295,generator!$Q$2:$Q$295,"ARGH")</f>
        <v>0</v>
      </c>
      <c r="KC14" s="3">
        <f>_xlfn.XLOOKUP(KC$1,generator!$B$2:$B$295,generator!$Q$2:$Q$295,"ARGH")</f>
        <v>0</v>
      </c>
    </row>
    <row r="15" spans="1:289" x14ac:dyDescent="0.3">
      <c r="A15" s="4" t="s">
        <v>3010</v>
      </c>
      <c r="B15" s="3">
        <v>15000</v>
      </c>
      <c r="C15" s="3">
        <v>15000</v>
      </c>
      <c r="D15" s="3">
        <v>15000</v>
      </c>
      <c r="E15" s="3">
        <f>_xlfn.XLOOKUP(E$1,generator!$B$2:$B$295,generator!$Q$2:$Q$295,"ARGH")</f>
        <v>9000</v>
      </c>
      <c r="F15" s="3">
        <f>_xlfn.XLOOKUP(F$1,generator!$B$2:$B$295,generator!$Q$2:$Q$295,"ARGH")</f>
        <v>9000</v>
      </c>
      <c r="G15" s="3">
        <f>_xlfn.XLOOKUP(G$1,generator!$B$2:$B$295,generator!$Q$2:$Q$295,"ARGH")</f>
        <v>9000</v>
      </c>
      <c r="H15" s="3">
        <f>_xlfn.XLOOKUP(H$1,generator!$B$2:$B$295,generator!$Q$2:$Q$295,"ARGH")</f>
        <v>9000</v>
      </c>
      <c r="I15" s="3">
        <f>_xlfn.XLOOKUP(I$1,generator!$B$2:$B$295,generator!$Q$2:$Q$295,"ARGH")</f>
        <v>9000</v>
      </c>
      <c r="J15" s="3">
        <f>_xlfn.XLOOKUP(J$1,generator!$B$2:$B$295,generator!$Q$2:$Q$295,"ARGH")</f>
        <v>9000</v>
      </c>
      <c r="K15" s="3">
        <f>_xlfn.XLOOKUP(K$1,generator!$B$2:$B$295,generator!$Q$2:$Q$295,"ARGH")</f>
        <v>9000</v>
      </c>
      <c r="L15" s="3">
        <f>_xlfn.XLOOKUP(L$1,generator!$B$2:$B$295,generator!$Q$2:$Q$295,"ARGH")</f>
        <v>9000</v>
      </c>
      <c r="M15" s="3">
        <f>_xlfn.XLOOKUP(M$1,generator!$B$2:$B$295,generator!$Q$2:$Q$295,"ARGH")</f>
        <v>9000</v>
      </c>
      <c r="N15" s="3">
        <f>_xlfn.XLOOKUP(N$1,generator!$B$2:$B$295,generator!$Q$2:$Q$295,"ARGH")</f>
        <v>9000</v>
      </c>
      <c r="O15" s="3">
        <f>_xlfn.XLOOKUP(O$1,generator!$B$2:$B$295,generator!$Q$2:$Q$295,"ARGH")</f>
        <v>9000</v>
      </c>
      <c r="P15" s="3">
        <f>_xlfn.XLOOKUP(P$1,generator!$B$2:$B$295,generator!$Q$2:$Q$295,"ARGH")</f>
        <v>9000</v>
      </c>
      <c r="Q15" s="3">
        <f>_xlfn.XLOOKUP(Q$1,generator!$B$2:$B$295,generator!$Q$2:$Q$295,"ARGH")</f>
        <v>9000</v>
      </c>
      <c r="R15" s="3">
        <f>_xlfn.XLOOKUP(R$1,generator!$B$2:$B$295,generator!$Q$2:$Q$295,"ARGH")</f>
        <v>9000</v>
      </c>
      <c r="S15" s="3">
        <f>_xlfn.XLOOKUP(S$1,generator!$B$2:$B$295,generator!$Q$2:$Q$295,"ARGH")</f>
        <v>9000</v>
      </c>
      <c r="T15" s="3">
        <f>_xlfn.XLOOKUP(T$1,generator!$B$2:$B$295,generator!$Q$2:$Q$295,"ARGH")</f>
        <v>9000</v>
      </c>
      <c r="U15" s="3">
        <f>_xlfn.XLOOKUP(U$1,generator!$B$2:$B$295,generator!$Q$2:$Q$295,"ARGH")</f>
        <v>9000</v>
      </c>
      <c r="V15" s="3">
        <f>_xlfn.XLOOKUP(V$1,generator!$B$2:$B$295,generator!$Q$2:$Q$295,"ARGH")</f>
        <v>9000</v>
      </c>
      <c r="W15" s="3">
        <f>_xlfn.XLOOKUP(W$1,generator!$B$2:$B$295,generator!$Q$2:$Q$295,"ARGH")</f>
        <v>9000</v>
      </c>
      <c r="X15" s="3">
        <f>_xlfn.XLOOKUP(X$1,generator!$B$2:$B$295,generator!$Q$2:$Q$295,"ARGH")</f>
        <v>9000</v>
      </c>
      <c r="Y15" s="3">
        <f>_xlfn.XLOOKUP(Y$1,generator!$B$2:$B$295,generator!$Q$2:$Q$295,"ARGH")</f>
        <v>9000</v>
      </c>
      <c r="Z15" s="3">
        <f>_xlfn.XLOOKUP(Z$1,generator!$B$2:$B$295,generator!$Q$2:$Q$295,"ARGH")</f>
        <v>9000</v>
      </c>
      <c r="AA15" s="3">
        <f>_xlfn.XLOOKUP(AA$1,generator!$B$2:$B$295,generator!$Q$2:$Q$295,"ARGH")</f>
        <v>9000</v>
      </c>
      <c r="AB15" s="3">
        <f>_xlfn.XLOOKUP(AB$1,generator!$B$2:$B$295,generator!$Q$2:$Q$295,"ARGH")</f>
        <v>9000</v>
      </c>
      <c r="AC15" s="3">
        <f>_xlfn.XLOOKUP(AC$1,generator!$B$2:$B$295,generator!$Q$2:$Q$295,"ARGH")</f>
        <v>9000</v>
      </c>
      <c r="AD15" s="3">
        <f>_xlfn.XLOOKUP(AD$1,generator!$B$2:$B$295,generator!$Q$2:$Q$295,"ARGH")</f>
        <v>9000</v>
      </c>
      <c r="AE15" s="3">
        <f>_xlfn.XLOOKUP(AE$1,generator!$B$2:$B$295,generator!$Q$2:$Q$295,"ARGH")</f>
        <v>9000</v>
      </c>
      <c r="AF15" s="3">
        <f>_xlfn.XLOOKUP(AF$1,generator!$B$2:$B$295,generator!$Q$2:$Q$295,"ARGH")</f>
        <v>9000</v>
      </c>
      <c r="AG15" s="3">
        <f>_xlfn.XLOOKUP(AG$1,generator!$B$2:$B$295,generator!$Q$2:$Q$295,"ARGH")</f>
        <v>9000</v>
      </c>
      <c r="AH15" s="3">
        <f>_xlfn.XLOOKUP(AH$1,generator!$B$2:$B$295,generator!$Q$2:$Q$295,"ARGH")</f>
        <v>9000</v>
      </c>
      <c r="AI15" s="3">
        <f>_xlfn.XLOOKUP(AI$1,generator!$B$2:$B$295,generator!$Q$2:$Q$295,"ARGH")</f>
        <v>9000</v>
      </c>
      <c r="AJ15" s="3">
        <f>_xlfn.XLOOKUP(AJ$1,generator!$B$2:$B$295,generator!$Q$2:$Q$295,"ARGH")</f>
        <v>9000</v>
      </c>
      <c r="AK15" s="3">
        <f>_xlfn.XLOOKUP(AK$1,generator!$B$2:$B$295,generator!$Q$2:$Q$295,"ARGH")</f>
        <v>9000</v>
      </c>
      <c r="AL15" s="3">
        <f>_xlfn.XLOOKUP(AL$1,generator!$B$2:$B$295,generator!$Q$2:$Q$295,"ARGH")</f>
        <v>9000</v>
      </c>
      <c r="AM15" s="3">
        <f>_xlfn.XLOOKUP(AM$1,generator!$B$2:$B$295,generator!$Q$2:$Q$295,"ARGH")</f>
        <v>9000</v>
      </c>
      <c r="AN15" s="3">
        <f>_xlfn.XLOOKUP(AN$1,generator!$B$2:$B$295,generator!$Q$2:$Q$295,"ARGH")</f>
        <v>9000</v>
      </c>
      <c r="AO15" s="3">
        <f>_xlfn.XLOOKUP(AO$1,generator!$B$2:$B$295,generator!$Q$2:$Q$295,"ARGH")</f>
        <v>9000</v>
      </c>
      <c r="AP15" s="3">
        <f>_xlfn.XLOOKUP(AP$1,generator!$B$2:$B$295,generator!$Q$2:$Q$295,"ARGH")</f>
        <v>9000</v>
      </c>
      <c r="AQ15" s="3">
        <f>_xlfn.XLOOKUP(AQ$1,generator!$B$2:$B$295,generator!$Q$2:$Q$295,"ARGH")</f>
        <v>9000</v>
      </c>
      <c r="AR15" s="3">
        <f>_xlfn.XLOOKUP(AR$1,generator!$B$2:$B$295,generator!$Q$2:$Q$295,"ARGH")</f>
        <v>9000</v>
      </c>
      <c r="AS15" s="3">
        <f>_xlfn.XLOOKUP(AS$1,generator!$B$2:$B$295,generator!$Q$2:$Q$295,"ARGH")</f>
        <v>9000</v>
      </c>
      <c r="AT15" s="3">
        <f>_xlfn.XLOOKUP(AT$1,generator!$B$2:$B$295,generator!$Q$2:$Q$295,"ARGH")</f>
        <v>9000</v>
      </c>
      <c r="AU15" s="3">
        <f>_xlfn.XLOOKUP(AU$1,generator!$B$2:$B$295,generator!$Q$2:$Q$295,"ARGH")</f>
        <v>9000</v>
      </c>
      <c r="AV15" s="3">
        <f>_xlfn.XLOOKUP(AV$1,generator!$B$2:$B$295,generator!$Q$2:$Q$295,"ARGH")</f>
        <v>9000</v>
      </c>
      <c r="AW15" s="3">
        <f>_xlfn.XLOOKUP(AW$1,generator!$B$2:$B$295,generator!$Q$2:$Q$295,"ARGH")</f>
        <v>9000</v>
      </c>
      <c r="AX15" s="3">
        <f>_xlfn.XLOOKUP(AX$1,generator!$B$2:$B$295,generator!$Q$2:$Q$295,"ARGH")</f>
        <v>9000</v>
      </c>
      <c r="AY15" s="3">
        <f>_xlfn.XLOOKUP(AY$1,generator!$B$2:$B$295,generator!$Q$2:$Q$295,"ARGH")</f>
        <v>9000</v>
      </c>
      <c r="AZ15" s="3">
        <f>_xlfn.XLOOKUP(AZ$1,generator!$B$2:$B$295,generator!$Q$2:$Q$295,"ARGH")</f>
        <v>9000</v>
      </c>
      <c r="BA15" s="3">
        <f>_xlfn.XLOOKUP(BA$1,generator!$B$2:$B$295,generator!$Q$2:$Q$295,"ARGH")</f>
        <v>9000</v>
      </c>
      <c r="BB15" s="3">
        <f>_xlfn.XLOOKUP(BB$1,generator!$B$2:$B$295,generator!$Q$2:$Q$295,"ARGH")</f>
        <v>9000</v>
      </c>
      <c r="BC15" s="3">
        <f>_xlfn.XLOOKUP(BC$1,generator!$B$2:$B$295,generator!$Q$2:$Q$295,"ARGH")</f>
        <v>9000</v>
      </c>
      <c r="BD15" s="3">
        <f>_xlfn.XLOOKUP(BD$1,generator!$B$2:$B$295,generator!$Q$2:$Q$295,"ARGH")</f>
        <v>9000</v>
      </c>
      <c r="BE15" s="3">
        <f>_xlfn.XLOOKUP(BE$1,generator!$B$2:$B$295,generator!$Q$2:$Q$295,"ARGH")</f>
        <v>9000</v>
      </c>
      <c r="BF15" s="3">
        <f>_xlfn.XLOOKUP(BF$1,generator!$B$2:$B$295,generator!$Q$2:$Q$295,"ARGH")</f>
        <v>9000</v>
      </c>
      <c r="BG15" s="3">
        <f>_xlfn.XLOOKUP(BG$1,generator!$B$2:$B$295,generator!$Q$2:$Q$295,"ARGH")</f>
        <v>9000</v>
      </c>
      <c r="BH15" s="3">
        <f>_xlfn.XLOOKUP(BH$1,generator!$B$2:$B$295,generator!$Q$2:$Q$295,"ARGH")</f>
        <v>9000</v>
      </c>
      <c r="BI15" s="3">
        <f>_xlfn.XLOOKUP(BI$1,generator!$B$2:$B$295,generator!$Q$2:$Q$295,"ARGH")</f>
        <v>9000</v>
      </c>
      <c r="BJ15" s="3">
        <f>_xlfn.XLOOKUP(BJ$1,generator!$B$2:$B$295,generator!$Q$2:$Q$295,"ARGH")</f>
        <v>9000</v>
      </c>
      <c r="BK15" s="3">
        <f>_xlfn.XLOOKUP(BK$1,generator!$B$2:$B$295,generator!$Q$2:$Q$295,"ARGH")</f>
        <v>9000</v>
      </c>
      <c r="BL15" s="3">
        <f>_xlfn.XLOOKUP(BL$1,generator!$B$2:$B$295,generator!$Q$2:$Q$295,"ARGH")</f>
        <v>9000</v>
      </c>
      <c r="BM15" s="3">
        <f>_xlfn.XLOOKUP(BM$1,generator!$B$2:$B$295,generator!$Q$2:$Q$295,"ARGH")</f>
        <v>9000</v>
      </c>
      <c r="BN15" s="3">
        <f>_xlfn.XLOOKUP(BN$1,generator!$B$2:$B$295,generator!$Q$2:$Q$295,"ARGH")</f>
        <v>9000</v>
      </c>
      <c r="BO15" s="3">
        <f>_xlfn.XLOOKUP(BO$1,generator!$B$2:$B$295,generator!$Q$2:$Q$295,"ARGH")</f>
        <v>9000</v>
      </c>
      <c r="BP15" s="3">
        <f>_xlfn.XLOOKUP(BP$1,generator!$B$2:$B$295,generator!$Q$2:$Q$295,"ARGH")</f>
        <v>9000</v>
      </c>
      <c r="BQ15" s="3">
        <f>_xlfn.XLOOKUP(BQ$1,generator!$B$2:$B$295,generator!$Q$2:$Q$295,"ARGH")</f>
        <v>9000</v>
      </c>
      <c r="BR15" s="3">
        <f>_xlfn.XLOOKUP(BR$1,generator!$B$2:$B$295,generator!$Q$2:$Q$295,"ARGH")</f>
        <v>9000</v>
      </c>
      <c r="BS15" s="3">
        <f>_xlfn.XLOOKUP(BS$1,generator!$B$2:$B$295,generator!$Q$2:$Q$295,"ARGH")</f>
        <v>9000</v>
      </c>
      <c r="BT15" s="3">
        <f>_xlfn.XLOOKUP(BT$1,generator!$B$2:$B$295,generator!$Q$2:$Q$295,"ARGH")</f>
        <v>9000</v>
      </c>
      <c r="BU15" s="3">
        <f>_xlfn.XLOOKUP(BU$1,generator!$B$2:$B$295,generator!$Q$2:$Q$295,"ARGH")</f>
        <v>9000</v>
      </c>
      <c r="BV15" s="3">
        <f>_xlfn.XLOOKUP(BV$1,generator!$B$2:$B$295,generator!$Q$2:$Q$295,"ARGH")</f>
        <v>9000</v>
      </c>
      <c r="BW15" s="3">
        <f>_xlfn.XLOOKUP(BW$1,generator!$B$2:$B$295,generator!$Q$2:$Q$295,"ARGH")</f>
        <v>9000</v>
      </c>
      <c r="BX15" s="3">
        <f>_xlfn.XLOOKUP(BX$1,generator!$B$2:$B$295,generator!$Q$2:$Q$295,"ARGH")</f>
        <v>9000</v>
      </c>
      <c r="BY15" s="3">
        <f>_xlfn.XLOOKUP(BY$1,generator!$B$2:$B$295,generator!$Q$2:$Q$295,"ARGH")</f>
        <v>9000</v>
      </c>
      <c r="BZ15" s="3">
        <f>_xlfn.XLOOKUP(BZ$1,generator!$B$2:$B$295,generator!$Q$2:$Q$295,"ARGH")</f>
        <v>9000</v>
      </c>
      <c r="CA15" s="3">
        <f>_xlfn.XLOOKUP(CA$1,generator!$B$2:$B$295,generator!$Q$2:$Q$295,"ARGH")</f>
        <v>9000</v>
      </c>
      <c r="CB15" s="3">
        <f>_xlfn.XLOOKUP(CB$1,generator!$B$2:$B$295,generator!$Q$2:$Q$295,"ARGH")</f>
        <v>9000</v>
      </c>
      <c r="CC15" s="3">
        <f>_xlfn.XLOOKUP(CC$1,generator!$B$2:$B$295,generator!$Q$2:$Q$295,"ARGH")</f>
        <v>9000</v>
      </c>
      <c r="CD15" s="3">
        <f>_xlfn.XLOOKUP(CD$1,generator!$B$2:$B$295,generator!$Q$2:$Q$295,"ARGH")</f>
        <v>9000</v>
      </c>
      <c r="CE15" s="3">
        <f>_xlfn.XLOOKUP(CE$1,generator!$B$2:$B$295,generator!$Q$2:$Q$295,"ARGH")</f>
        <v>9000</v>
      </c>
      <c r="CF15" s="3">
        <f>_xlfn.XLOOKUP(CF$1,generator!$B$2:$B$295,generator!$Q$2:$Q$295,"ARGH")</f>
        <v>9000</v>
      </c>
      <c r="CG15" s="3">
        <f>_xlfn.XLOOKUP(CG$1,generator!$B$2:$B$295,generator!$Q$2:$Q$295,"ARGH")</f>
        <v>9000</v>
      </c>
      <c r="CH15" s="3">
        <f>_xlfn.XLOOKUP(CH$1,generator!$B$2:$B$295,generator!$Q$2:$Q$295,"ARGH")</f>
        <v>9000</v>
      </c>
      <c r="CI15" s="3">
        <f>_xlfn.XLOOKUP(CI$1,generator!$B$2:$B$295,generator!$Q$2:$Q$295,"ARGH")</f>
        <v>9000</v>
      </c>
      <c r="CJ15" s="3">
        <f>_xlfn.XLOOKUP(CJ$1,generator!$B$2:$B$295,generator!$Q$2:$Q$295,"ARGH")</f>
        <v>9000</v>
      </c>
      <c r="CK15" s="3">
        <f>_xlfn.XLOOKUP(CK$1,generator!$B$2:$B$295,generator!$Q$2:$Q$295,"ARGH")</f>
        <v>9000</v>
      </c>
      <c r="CL15" s="3">
        <f>_xlfn.XLOOKUP(CL$1,generator!$B$2:$B$295,generator!$Q$2:$Q$295,"ARGH")</f>
        <v>9000</v>
      </c>
      <c r="CM15" s="3">
        <f>_xlfn.XLOOKUP(CM$1,generator!$B$2:$B$295,generator!$Q$2:$Q$295,"ARGH")</f>
        <v>9000</v>
      </c>
      <c r="CN15" s="3">
        <f>_xlfn.XLOOKUP(CN$1,generator!$B$2:$B$295,generator!$Q$2:$Q$295,"ARGH")</f>
        <v>9000</v>
      </c>
      <c r="CO15" s="3">
        <f>_xlfn.XLOOKUP(CO$1,generator!$B$2:$B$295,generator!$Q$2:$Q$295,"ARGH")</f>
        <v>9000</v>
      </c>
      <c r="CP15" s="3">
        <f>_xlfn.XLOOKUP(CP$1,generator!$B$2:$B$295,generator!$Q$2:$Q$295,"ARGH")</f>
        <v>9000</v>
      </c>
      <c r="CQ15" s="3">
        <f>_xlfn.XLOOKUP(CQ$1,generator!$B$2:$B$295,generator!$Q$2:$Q$295,"ARGH")</f>
        <v>9000</v>
      </c>
      <c r="CR15" s="3">
        <f>_xlfn.XLOOKUP(CR$1,generator!$B$2:$B$295,generator!$Q$2:$Q$295,"ARGH")</f>
        <v>9000</v>
      </c>
      <c r="CS15" s="3">
        <f>_xlfn.XLOOKUP(CS$1,generator!$B$2:$B$295,generator!$Q$2:$Q$295,"ARGH")</f>
        <v>9000</v>
      </c>
      <c r="CT15" s="3">
        <f>_xlfn.XLOOKUP(CT$1,generator!$B$2:$B$295,generator!$Q$2:$Q$295,"ARGH")</f>
        <v>9000</v>
      </c>
      <c r="CU15" s="3">
        <f>_xlfn.XLOOKUP(CU$1,generator!$B$2:$B$295,generator!$Q$2:$Q$295,"ARGH")</f>
        <v>9000</v>
      </c>
      <c r="CV15" s="3">
        <f>_xlfn.XLOOKUP(CV$1,generator!$B$2:$B$295,generator!$Q$2:$Q$295,"ARGH")</f>
        <v>9000</v>
      </c>
      <c r="CW15" s="3">
        <f>_xlfn.XLOOKUP(CW$1,generator!$B$2:$B$295,generator!$Q$2:$Q$295,"ARGH")</f>
        <v>9000</v>
      </c>
      <c r="CX15" s="3">
        <f>_xlfn.XLOOKUP(CX$1,generator!$B$2:$B$295,generator!$Q$2:$Q$295,"ARGH")</f>
        <v>9000</v>
      </c>
      <c r="CY15" s="3">
        <f>_xlfn.XLOOKUP(CY$1,generator!$B$2:$B$295,generator!$Q$2:$Q$295,"ARGH")</f>
        <v>9000</v>
      </c>
      <c r="CZ15" s="3">
        <f>_xlfn.XLOOKUP(CZ$1,generator!$B$2:$B$295,generator!$Q$2:$Q$295,"ARGH")</f>
        <v>9000</v>
      </c>
      <c r="DA15" s="3">
        <f>_xlfn.XLOOKUP(DA$1,generator!$B$2:$B$295,generator!$Q$2:$Q$295,"ARGH")</f>
        <v>9000</v>
      </c>
      <c r="DB15" s="3">
        <f>_xlfn.XLOOKUP(DB$1,generator!$B$2:$B$295,generator!$Q$2:$Q$295,"ARGH")</f>
        <v>9000</v>
      </c>
      <c r="DC15" s="3">
        <f>_xlfn.XLOOKUP(DC$1,generator!$B$2:$B$295,generator!$Q$2:$Q$295,"ARGH")</f>
        <v>9000</v>
      </c>
      <c r="DD15" s="3">
        <f>_xlfn.XLOOKUP(DD$1,generator!$B$2:$B$295,generator!$Q$2:$Q$295,"ARGH")</f>
        <v>9000</v>
      </c>
      <c r="DE15" s="3">
        <f>_xlfn.XLOOKUP(DE$1,generator!$B$2:$B$295,generator!$Q$2:$Q$295,"ARGH")</f>
        <v>9000</v>
      </c>
      <c r="DF15" s="3">
        <f>_xlfn.XLOOKUP(DF$1,generator!$B$2:$B$295,generator!$Q$2:$Q$295,"ARGH")</f>
        <v>9000</v>
      </c>
      <c r="DG15" s="3">
        <f>_xlfn.XLOOKUP(DG$1,generator!$B$2:$B$295,generator!$Q$2:$Q$295,"ARGH")</f>
        <v>9000</v>
      </c>
      <c r="DH15" s="3">
        <f>_xlfn.XLOOKUP(DH$1,generator!$B$2:$B$295,generator!$Q$2:$Q$295,"ARGH")</f>
        <v>9000</v>
      </c>
      <c r="DI15" s="3">
        <f>_xlfn.XLOOKUP(DI$1,generator!$B$2:$B$295,generator!$Q$2:$Q$295,"ARGH")</f>
        <v>9000</v>
      </c>
      <c r="DJ15" s="3">
        <f>_xlfn.XLOOKUP(DJ$1,generator!$B$2:$B$295,generator!$Q$2:$Q$295,"ARGH")</f>
        <v>9000</v>
      </c>
      <c r="DK15" s="3">
        <f>_xlfn.XLOOKUP(DK$1,generator!$B$2:$B$295,generator!$Q$2:$Q$295,"ARGH")</f>
        <v>9000</v>
      </c>
      <c r="DL15" s="3">
        <f>_xlfn.XLOOKUP(DL$1,generator!$B$2:$B$295,generator!$Q$2:$Q$295,"ARGH")</f>
        <v>9000</v>
      </c>
      <c r="DM15" s="3">
        <f>_xlfn.XLOOKUP(DM$1,generator!$B$2:$B$295,generator!$Q$2:$Q$295,"ARGH")</f>
        <v>9000</v>
      </c>
      <c r="DN15" s="3">
        <f>_xlfn.XLOOKUP(DN$1,generator!$B$2:$B$295,generator!$Q$2:$Q$295,"ARGH")</f>
        <v>9000</v>
      </c>
      <c r="DO15" s="3">
        <f>_xlfn.XLOOKUP(DO$1,generator!$B$2:$B$295,generator!$Q$2:$Q$295,"ARGH")</f>
        <v>9000</v>
      </c>
      <c r="DP15" s="3">
        <f>_xlfn.XLOOKUP(DP$1,generator!$B$2:$B$295,generator!$Q$2:$Q$295,"ARGH")</f>
        <v>9000</v>
      </c>
      <c r="DQ15" s="3">
        <f>_xlfn.XLOOKUP(DQ$1,generator!$B$2:$B$295,generator!$Q$2:$Q$295,"ARGH")</f>
        <v>9000</v>
      </c>
      <c r="DR15" s="3">
        <f>_xlfn.XLOOKUP(DR$1,generator!$B$2:$B$295,generator!$Q$2:$Q$295,"ARGH")</f>
        <v>9000</v>
      </c>
      <c r="DS15" s="3">
        <f>_xlfn.XLOOKUP(DS$1,generator!$B$2:$B$295,generator!$Q$2:$Q$295,"ARGH")</f>
        <v>9000</v>
      </c>
      <c r="DT15" s="3">
        <f>_xlfn.XLOOKUP(DT$1,generator!$B$2:$B$295,generator!$Q$2:$Q$295,"ARGH")</f>
        <v>9000</v>
      </c>
      <c r="DU15" s="3">
        <f>_xlfn.XLOOKUP(DU$1,generator!$B$2:$B$295,generator!$Q$2:$Q$295,"ARGH")</f>
        <v>9000</v>
      </c>
      <c r="DV15" s="3">
        <f>_xlfn.XLOOKUP(DV$1,generator!$B$2:$B$295,generator!$Q$2:$Q$295,"ARGH")</f>
        <v>9000</v>
      </c>
      <c r="DW15" s="3">
        <f>_xlfn.XLOOKUP(DW$1,generator!$B$2:$B$295,generator!$Q$2:$Q$295,"ARGH")</f>
        <v>9000</v>
      </c>
      <c r="DX15" s="3">
        <f>_xlfn.XLOOKUP(DX$1,generator!$B$2:$B$295,generator!$Q$2:$Q$295,"ARGH")</f>
        <v>9000</v>
      </c>
      <c r="DY15" s="3">
        <f>_xlfn.XLOOKUP(DY$1,generator!$B$2:$B$295,generator!$Q$2:$Q$295,"ARGH")</f>
        <v>9000</v>
      </c>
      <c r="DZ15" s="3">
        <f>_xlfn.XLOOKUP(DZ$1,generator!$B$2:$B$295,generator!$Q$2:$Q$295,"ARGH")</f>
        <v>9000</v>
      </c>
      <c r="EA15" s="3">
        <f>_xlfn.XLOOKUP(EA$1,generator!$B$2:$B$295,generator!$Q$2:$Q$295,"ARGH")</f>
        <v>9000</v>
      </c>
      <c r="EB15" s="3">
        <f>_xlfn.XLOOKUP(EB$1,generator!$B$2:$B$295,generator!$Q$2:$Q$295,"ARGH")</f>
        <v>9000</v>
      </c>
      <c r="EC15" s="3">
        <f>_xlfn.XLOOKUP(EC$1,generator!$B$2:$B$295,generator!$Q$2:$Q$295,"ARGH")</f>
        <v>9000</v>
      </c>
      <c r="ED15" s="3">
        <f>_xlfn.XLOOKUP(ED$1,generator!$B$2:$B$295,generator!$Q$2:$Q$295,"ARGH")</f>
        <v>9000</v>
      </c>
      <c r="EE15" s="3">
        <f>_xlfn.XLOOKUP(EE$1,generator!$B$2:$B$295,generator!$Q$2:$Q$295,"ARGH")</f>
        <v>9000</v>
      </c>
      <c r="EF15" s="3">
        <f>_xlfn.XLOOKUP(EF$1,generator!$B$2:$B$295,generator!$Q$2:$Q$295,"ARGH")</f>
        <v>9000</v>
      </c>
      <c r="EG15" s="3">
        <f>_xlfn.XLOOKUP(EG$1,generator!$B$2:$B$295,generator!$Q$2:$Q$295,"ARGH")</f>
        <v>9000</v>
      </c>
      <c r="EH15" s="3">
        <f>_xlfn.XLOOKUP(EH$1,generator!$B$2:$B$295,generator!$Q$2:$Q$295,"ARGH")</f>
        <v>9000</v>
      </c>
      <c r="EI15" s="3">
        <f>_xlfn.XLOOKUP(EI$1,generator!$B$2:$B$295,generator!$Q$2:$Q$295,"ARGH")</f>
        <v>9000</v>
      </c>
      <c r="EJ15" s="3">
        <f>_xlfn.XLOOKUP(EJ$1,generator!$B$2:$B$295,generator!$Q$2:$Q$295,"ARGH")</f>
        <v>9000</v>
      </c>
      <c r="EK15" s="3">
        <f>_xlfn.XLOOKUP(EK$1,generator!$B$2:$B$295,generator!$Q$2:$Q$295,"ARGH")</f>
        <v>9000</v>
      </c>
      <c r="EL15" s="3">
        <f>_xlfn.XLOOKUP(EL$1,generator!$B$2:$B$295,generator!$Q$2:$Q$295,"ARGH")</f>
        <v>9000</v>
      </c>
      <c r="EM15" s="3">
        <f>_xlfn.XLOOKUP(EM$1,generator!$B$2:$B$295,generator!$Q$2:$Q$295,"ARGH")</f>
        <v>9000</v>
      </c>
      <c r="EN15" s="3">
        <f>_xlfn.XLOOKUP(EN$1,generator!$B$2:$B$295,generator!$Q$2:$Q$295,"ARGH")</f>
        <v>9000</v>
      </c>
      <c r="EO15" s="3">
        <f>_xlfn.XLOOKUP(EO$1,generator!$B$2:$B$295,generator!$Q$2:$Q$295,"ARGH")</f>
        <v>9000</v>
      </c>
      <c r="EP15" s="3">
        <f>_xlfn.XLOOKUP(EP$1,generator!$B$2:$B$295,generator!$Q$2:$Q$295,"ARGH")</f>
        <v>9000</v>
      </c>
      <c r="EQ15" s="3">
        <f>_xlfn.XLOOKUP(EQ$1,generator!$B$2:$B$295,generator!$Q$2:$Q$295,"ARGH")</f>
        <v>9000</v>
      </c>
      <c r="ER15" s="3">
        <f>_xlfn.XLOOKUP(ER$1,generator!$B$2:$B$295,generator!$Q$2:$Q$295,"ARGH")</f>
        <v>9000</v>
      </c>
      <c r="ES15" s="3">
        <f>_xlfn.XLOOKUP(ES$1,generator!$B$2:$B$295,generator!$Q$2:$Q$295,"ARGH")</f>
        <v>9000</v>
      </c>
      <c r="ET15" s="3">
        <f>_xlfn.XLOOKUP(ET$1,generator!$B$2:$B$295,generator!$Q$2:$Q$295,"ARGH")</f>
        <v>9000</v>
      </c>
      <c r="EU15" s="3">
        <f>_xlfn.XLOOKUP(EU$1,generator!$B$2:$B$295,generator!$Q$2:$Q$295,"ARGH")</f>
        <v>9000</v>
      </c>
      <c r="EV15" s="3">
        <f>_xlfn.XLOOKUP(EV$1,generator!$B$2:$B$295,generator!$Q$2:$Q$295,"ARGH")</f>
        <v>9000</v>
      </c>
      <c r="EW15" s="3">
        <f>_xlfn.XLOOKUP(EW$1,generator!$B$2:$B$295,generator!$Q$2:$Q$295,"ARGH")</f>
        <v>9000</v>
      </c>
      <c r="EX15" s="3">
        <f>_xlfn.XLOOKUP(EX$1,generator!$B$2:$B$295,generator!$Q$2:$Q$295,"ARGH")</f>
        <v>9000</v>
      </c>
      <c r="EY15" s="3">
        <f>_xlfn.XLOOKUP(EY$1,generator!$B$2:$B$295,generator!$Q$2:$Q$295,"ARGH")</f>
        <v>9000</v>
      </c>
      <c r="EZ15" s="3">
        <f>_xlfn.XLOOKUP(EZ$1,generator!$B$2:$B$295,generator!$Q$2:$Q$295,"ARGH")</f>
        <v>9000</v>
      </c>
      <c r="FA15" s="3">
        <f>_xlfn.XLOOKUP(FA$1,generator!$B$2:$B$295,generator!$Q$2:$Q$295,"ARGH")</f>
        <v>9000</v>
      </c>
      <c r="FB15" s="3">
        <f>_xlfn.XLOOKUP(FB$1,generator!$B$2:$B$295,generator!$Q$2:$Q$295,"ARGH")</f>
        <v>9000</v>
      </c>
      <c r="FC15" s="3">
        <f>_xlfn.XLOOKUP(FC$1,generator!$B$2:$B$295,generator!$Q$2:$Q$295,"ARGH")</f>
        <v>9000</v>
      </c>
      <c r="FD15" s="3">
        <f>_xlfn.XLOOKUP(FD$1,generator!$B$2:$B$295,generator!$Q$2:$Q$295,"ARGH")</f>
        <v>9000</v>
      </c>
      <c r="FE15" s="3">
        <f>_xlfn.XLOOKUP(FE$1,generator!$B$2:$B$295,generator!$Q$2:$Q$295,"ARGH")</f>
        <v>9000</v>
      </c>
      <c r="FF15" s="3">
        <f>_xlfn.XLOOKUP(FF$1,generator!$B$2:$B$295,generator!$Q$2:$Q$295,"ARGH")</f>
        <v>9000</v>
      </c>
      <c r="FG15" s="3">
        <f>_xlfn.XLOOKUP(FG$1,generator!$B$2:$B$295,generator!$Q$2:$Q$295,"ARGH")</f>
        <v>9000</v>
      </c>
      <c r="FH15" s="3">
        <f>_xlfn.XLOOKUP(FH$1,generator!$B$2:$B$295,generator!$Q$2:$Q$295,"ARGH")</f>
        <v>9000</v>
      </c>
      <c r="FI15" s="3">
        <f>_xlfn.XLOOKUP(FI$1,generator!$B$2:$B$295,generator!$Q$2:$Q$295,"ARGH")</f>
        <v>9000</v>
      </c>
      <c r="FJ15" s="3">
        <f>_xlfn.XLOOKUP(FJ$1,generator!$B$2:$B$295,generator!$Q$2:$Q$295,"ARGH")</f>
        <v>9000</v>
      </c>
      <c r="FK15" s="3">
        <f>_xlfn.XLOOKUP(FK$1,generator!$B$2:$B$295,generator!$Q$2:$Q$295,"ARGH")</f>
        <v>9000</v>
      </c>
      <c r="FL15" s="3">
        <f>_xlfn.XLOOKUP(FL$1,generator!$B$2:$B$295,generator!$Q$2:$Q$295,"ARGH")</f>
        <v>9000</v>
      </c>
      <c r="FM15" s="3">
        <f>_xlfn.XLOOKUP(FM$1,generator!$B$2:$B$295,generator!$Q$2:$Q$295,"ARGH")</f>
        <v>9000</v>
      </c>
      <c r="FN15" s="3">
        <f>_xlfn.XLOOKUP(FN$1,generator!$B$2:$B$295,generator!$Q$2:$Q$295,"ARGH")</f>
        <v>9000</v>
      </c>
      <c r="FO15" s="3">
        <f>_xlfn.XLOOKUP(FO$1,generator!$B$2:$B$295,generator!$Q$2:$Q$295,"ARGH")</f>
        <v>9000</v>
      </c>
      <c r="FP15" s="3">
        <f>_xlfn.XLOOKUP(FP$1,generator!$B$2:$B$295,generator!$Q$2:$Q$295,"ARGH")</f>
        <v>9000</v>
      </c>
      <c r="FQ15" s="3">
        <f>_xlfn.XLOOKUP(FQ$1,generator!$B$2:$B$295,generator!$Q$2:$Q$295,"ARGH")</f>
        <v>9000</v>
      </c>
      <c r="FR15" s="3">
        <f>_xlfn.XLOOKUP(FR$1,generator!$B$2:$B$295,generator!$Q$2:$Q$295,"ARGH")</f>
        <v>9000</v>
      </c>
      <c r="FS15" s="3">
        <f>_xlfn.XLOOKUP(FS$1,generator!$B$2:$B$295,generator!$Q$2:$Q$295,"ARGH")</f>
        <v>9000</v>
      </c>
      <c r="FT15" s="3">
        <f>_xlfn.XLOOKUP(FT$1,generator!$B$2:$B$295,generator!$Q$2:$Q$295,"ARGH")</f>
        <v>9000</v>
      </c>
      <c r="FU15" s="3">
        <f>_xlfn.XLOOKUP(FU$1,generator!$B$2:$B$295,generator!$Q$2:$Q$295,"ARGH")</f>
        <v>9000</v>
      </c>
      <c r="FV15" s="3">
        <f>_xlfn.XLOOKUP(FV$1,generator!$B$2:$B$295,generator!$Q$2:$Q$295,"ARGH")</f>
        <v>9000</v>
      </c>
      <c r="FW15" s="3">
        <f>_xlfn.XLOOKUP(FW$1,generator!$B$2:$B$295,generator!$Q$2:$Q$295,"ARGH")</f>
        <v>9000</v>
      </c>
      <c r="FX15" s="3">
        <f>_xlfn.XLOOKUP(FX$1,generator!$B$2:$B$295,generator!$Q$2:$Q$295,"ARGH")</f>
        <v>9000</v>
      </c>
      <c r="FY15" s="3">
        <f>_xlfn.XLOOKUP(FY$1,generator!$B$2:$B$295,generator!$Q$2:$Q$295,"ARGH")</f>
        <v>9000</v>
      </c>
      <c r="FZ15" s="3">
        <f>_xlfn.XLOOKUP(FZ$1,generator!$B$2:$B$295,generator!$Q$2:$Q$295,"ARGH")</f>
        <v>9000</v>
      </c>
      <c r="GA15" s="3">
        <f>_xlfn.XLOOKUP(GA$1,generator!$B$2:$B$295,generator!$Q$2:$Q$295,"ARGH")</f>
        <v>9000</v>
      </c>
      <c r="GB15" s="3">
        <f>_xlfn.XLOOKUP(GB$1,generator!$B$2:$B$295,generator!$Q$2:$Q$295,"ARGH")</f>
        <v>9000</v>
      </c>
      <c r="GC15" s="3">
        <f>_xlfn.XLOOKUP(GC$1,generator!$B$2:$B$295,generator!$Q$2:$Q$295,"ARGH")</f>
        <v>9000</v>
      </c>
      <c r="GD15" s="3">
        <f>_xlfn.XLOOKUP(GD$1,generator!$B$2:$B$295,generator!$Q$2:$Q$295,"ARGH")</f>
        <v>9000</v>
      </c>
      <c r="GE15" s="3">
        <f>_xlfn.XLOOKUP(GE$1,generator!$B$2:$B$295,generator!$Q$2:$Q$295,"ARGH")</f>
        <v>9000</v>
      </c>
      <c r="GF15" s="3">
        <f>_xlfn.XLOOKUP(GF$1,generator!$B$2:$B$295,generator!$Q$2:$Q$295,"ARGH")</f>
        <v>9000</v>
      </c>
      <c r="GG15" s="3">
        <f>_xlfn.XLOOKUP(GG$1,generator!$B$2:$B$295,generator!$Q$2:$Q$295,"ARGH")</f>
        <v>9000</v>
      </c>
      <c r="GH15" s="3">
        <f>_xlfn.XLOOKUP(GH$1,generator!$B$2:$B$295,generator!$Q$2:$Q$295,"ARGH")</f>
        <v>9000</v>
      </c>
      <c r="GI15" s="3">
        <f>_xlfn.XLOOKUP(GI$1,generator!$B$2:$B$295,generator!$Q$2:$Q$295,"ARGH")</f>
        <v>9000</v>
      </c>
      <c r="GJ15" s="3">
        <f>_xlfn.XLOOKUP(GJ$1,generator!$B$2:$B$295,generator!$Q$2:$Q$295,"ARGH")</f>
        <v>9000</v>
      </c>
      <c r="GK15" s="3">
        <f>_xlfn.XLOOKUP(GK$1,generator!$B$2:$B$295,generator!$Q$2:$Q$295,"ARGH")</f>
        <v>9000</v>
      </c>
      <c r="GL15" s="3">
        <f>_xlfn.XLOOKUP(GL$1,generator!$B$2:$B$295,generator!$Q$2:$Q$295,"ARGH")</f>
        <v>9000</v>
      </c>
      <c r="GM15" s="3">
        <f>_xlfn.XLOOKUP(GM$1,generator!$B$2:$B$295,generator!$Q$2:$Q$295,"ARGH")</f>
        <v>9000</v>
      </c>
      <c r="GN15" s="3">
        <f>_xlfn.XLOOKUP(GN$1,generator!$B$2:$B$295,generator!$Q$2:$Q$295,"ARGH")</f>
        <v>9000</v>
      </c>
      <c r="GO15" s="3">
        <f>_xlfn.XLOOKUP(GO$1,generator!$B$2:$B$295,generator!$Q$2:$Q$295,"ARGH")</f>
        <v>9000</v>
      </c>
      <c r="GP15" s="3">
        <f>_xlfn.XLOOKUP(GP$1,generator!$B$2:$B$295,generator!$Q$2:$Q$295,"ARGH")</f>
        <v>9000</v>
      </c>
      <c r="GQ15" s="3">
        <f>_xlfn.XLOOKUP(GQ$1,generator!$B$2:$B$295,generator!$Q$2:$Q$295,"ARGH")</f>
        <v>9000</v>
      </c>
      <c r="GR15" s="3">
        <f>_xlfn.XLOOKUP(GR$1,generator!$B$2:$B$295,generator!$Q$2:$Q$295,"ARGH")</f>
        <v>9000</v>
      </c>
      <c r="GS15" s="3">
        <f>_xlfn.XLOOKUP(GS$1,generator!$B$2:$B$295,generator!$Q$2:$Q$295,"ARGH")</f>
        <v>9000</v>
      </c>
      <c r="GT15" s="3">
        <f>_xlfn.XLOOKUP(GT$1,generator!$B$2:$B$295,generator!$Q$2:$Q$295,"ARGH")</f>
        <v>9000</v>
      </c>
      <c r="GU15" s="3">
        <f>_xlfn.XLOOKUP(GU$1,generator!$B$2:$B$295,generator!$Q$2:$Q$295,"ARGH")</f>
        <v>9000</v>
      </c>
      <c r="GV15" s="3">
        <f>_xlfn.XLOOKUP(GV$1,generator!$B$2:$B$295,generator!$Q$2:$Q$295,"ARGH")</f>
        <v>9000</v>
      </c>
      <c r="GW15" s="3">
        <f>_xlfn.XLOOKUP(GW$1,generator!$B$2:$B$295,generator!$Q$2:$Q$295,"ARGH")</f>
        <v>9000</v>
      </c>
      <c r="GX15" s="3">
        <f>_xlfn.XLOOKUP(GX$1,generator!$B$2:$B$295,generator!$Q$2:$Q$295,"ARGH")</f>
        <v>9000</v>
      </c>
      <c r="GY15" s="3">
        <f>_xlfn.XLOOKUP(GY$1,generator!$B$2:$B$295,generator!$Q$2:$Q$295,"ARGH")</f>
        <v>9000</v>
      </c>
      <c r="GZ15" s="3">
        <f>_xlfn.XLOOKUP(GZ$1,generator!$B$2:$B$295,generator!$Q$2:$Q$295,"ARGH")</f>
        <v>9000</v>
      </c>
      <c r="HA15" s="3">
        <f>_xlfn.XLOOKUP(HA$1,generator!$B$2:$B$295,generator!$Q$2:$Q$295,"ARGH")</f>
        <v>9000</v>
      </c>
      <c r="HB15" s="3">
        <f>_xlfn.XLOOKUP(HB$1,generator!$B$2:$B$295,generator!$Q$2:$Q$295,"ARGH")</f>
        <v>9000</v>
      </c>
      <c r="HC15" s="3">
        <f>_xlfn.XLOOKUP(HC$1,generator!$B$2:$B$295,generator!$Q$2:$Q$295,"ARGH")</f>
        <v>9000</v>
      </c>
      <c r="HD15" s="3">
        <f>_xlfn.XLOOKUP(HD$1,generator!$B$2:$B$295,generator!$Q$2:$Q$295,"ARGH")</f>
        <v>9000</v>
      </c>
      <c r="HE15" s="3">
        <f>_xlfn.XLOOKUP(HE$1,generator!$B$2:$B$295,generator!$Q$2:$Q$295,"ARGH")</f>
        <v>8000</v>
      </c>
      <c r="HF15" s="3" t="str">
        <f>_xlfn.XLOOKUP(HF$1,generator!$B$2:$B$295,generator!$Q$2:$Q$295,"ARGH")</f>
        <v>143</v>
      </c>
      <c r="HG15" s="3" t="str">
        <f>_xlfn.XLOOKUP(HG$1,generator!$B$2:$B$295,generator!$Q$2:$Q$295,"ARGH")</f>
        <v>143</v>
      </c>
      <c r="HH15" s="3" t="str">
        <f>_xlfn.XLOOKUP(HH$1,generator!$B$2:$B$295,generator!$Q$2:$Q$295,"ARGH")</f>
        <v>143</v>
      </c>
      <c r="HI15" s="3" t="str">
        <f>_xlfn.XLOOKUP(HI$1,generator!$B$2:$B$295,generator!$Q$2:$Q$295,"ARGH")</f>
        <v>246.74</v>
      </c>
      <c r="HJ15" s="3" t="str">
        <f>_xlfn.XLOOKUP(HJ$1,generator!$B$2:$B$295,generator!$Q$2:$Q$295,"ARGH")</f>
        <v>246.74</v>
      </c>
      <c r="HK15" s="3" t="str">
        <f>_xlfn.XLOOKUP(HK$1,generator!$B$2:$B$295,generator!$Q$2:$Q$295,"ARGH")</f>
        <v>206.04</v>
      </c>
      <c r="HL15" s="3" t="str">
        <f>_xlfn.XLOOKUP(HL$1,generator!$B$2:$B$295,generator!$Q$2:$Q$295,"ARGH")</f>
        <v>506.96</v>
      </c>
      <c r="HM15" s="3" t="str">
        <f>_xlfn.XLOOKUP(HM$1,generator!$B$2:$B$295,generator!$Q$2:$Q$295,"ARGH")</f>
        <v>506.95</v>
      </c>
      <c r="HN15" s="3" t="str">
        <f>_xlfn.XLOOKUP(HN$1,generator!$B$2:$B$295,generator!$Q$2:$Q$295,"ARGH")</f>
        <v>190.97</v>
      </c>
      <c r="HO15" s="3" t="str">
        <f>_xlfn.XLOOKUP(HO$1,generator!$B$2:$B$295,generator!$Q$2:$Q$295,"ARGH")</f>
        <v>190.97</v>
      </c>
      <c r="HP15" s="3" t="str">
        <f>_xlfn.XLOOKUP(HP$1,generator!$B$2:$B$295,generator!$Q$2:$Q$295,"ARGH")</f>
        <v>424.84</v>
      </c>
      <c r="HQ15" s="3" t="str">
        <f>_xlfn.XLOOKUP(HQ$1,generator!$B$2:$B$295,generator!$Q$2:$Q$295,"ARGH")</f>
        <v>425.9</v>
      </c>
      <c r="HR15" s="3" t="str">
        <f>_xlfn.XLOOKUP(HR$1,generator!$B$2:$B$295,generator!$Q$2:$Q$295,"ARGH")</f>
        <v>425.9</v>
      </c>
      <c r="HS15" s="3" t="str">
        <f>_xlfn.XLOOKUP(HS$1,generator!$B$2:$B$295,generator!$Q$2:$Q$295,"ARGH")</f>
        <v>196.54</v>
      </c>
      <c r="HT15" s="3" t="str">
        <f>_xlfn.XLOOKUP(HT$1,generator!$B$2:$B$295,generator!$Q$2:$Q$295,"ARGH")</f>
        <v>196.54</v>
      </c>
      <c r="HU15" s="3" t="str">
        <f>_xlfn.XLOOKUP(HU$1,generator!$B$2:$B$295,generator!$Q$2:$Q$295,"ARGH")</f>
        <v>145.57</v>
      </c>
      <c r="HV15" s="3" t="str">
        <f>_xlfn.XLOOKUP(HV$1,generator!$B$2:$B$295,generator!$Q$2:$Q$295,"ARGH")</f>
        <v>132.62</v>
      </c>
      <c r="HW15" s="3" t="str">
        <f>_xlfn.XLOOKUP(HW$1,generator!$B$2:$B$295,generator!$Q$2:$Q$295,"ARGH")</f>
        <v>193.76</v>
      </c>
      <c r="HX15" s="3" t="str">
        <f>_xlfn.XLOOKUP(HX$1,generator!$B$2:$B$295,generator!$Q$2:$Q$295,"ARGH")</f>
        <v>193.76</v>
      </c>
      <c r="HY15" s="3" t="str">
        <f>_xlfn.XLOOKUP(HY$1,generator!$B$2:$B$295,generator!$Q$2:$Q$295,"ARGH")</f>
        <v>79.19</v>
      </c>
      <c r="HZ15" s="3" t="str">
        <f>_xlfn.XLOOKUP(HZ$1,generator!$B$2:$B$295,generator!$Q$2:$Q$295,"ARGH")</f>
        <v>125.79</v>
      </c>
      <c r="IA15" s="3" t="str">
        <f>_xlfn.XLOOKUP(IA$1,generator!$B$2:$B$295,generator!$Q$2:$Q$295,"ARGH")</f>
        <v>54.19</v>
      </c>
      <c r="IB15" s="3" t="str">
        <f>_xlfn.XLOOKUP(IB$1,generator!$B$2:$B$295,generator!$Q$2:$Q$295,"ARGH")</f>
        <v>59.7</v>
      </c>
      <c r="IC15" s="3">
        <f>_xlfn.XLOOKUP(IC$1,generator!$B$2:$B$295,generator!$Q$2:$Q$295,"ARGH")</f>
        <v>0</v>
      </c>
      <c r="ID15" s="3" t="str">
        <f>_xlfn.XLOOKUP(ID$1,generator!$B$2:$B$295,generator!$Q$2:$Q$295,"ARGH")</f>
        <v>121.14</v>
      </c>
      <c r="IE15" s="3" t="str">
        <f>_xlfn.XLOOKUP(IE$1,generator!$B$2:$B$295,generator!$Q$2:$Q$295,"ARGH")</f>
        <v>26.6</v>
      </c>
      <c r="IF15" s="3">
        <f>_xlfn.XLOOKUP(IF$1,generator!$B$2:$B$295,generator!$Q$2:$Q$295,"ARGH")</f>
        <v>8000</v>
      </c>
      <c r="IG15" s="3">
        <f>_xlfn.XLOOKUP(IG$1,generator!$B$2:$B$295,generator!$Q$2:$Q$295,"ARGH")</f>
        <v>8000</v>
      </c>
      <c r="IH15" s="3">
        <f>_xlfn.XLOOKUP(IH$1,generator!$B$2:$B$295,generator!$Q$2:$Q$295,"ARGH")</f>
        <v>8000</v>
      </c>
      <c r="II15" s="3">
        <f>_xlfn.XLOOKUP(II$1,generator!$B$2:$B$295,generator!$Q$2:$Q$295,"ARGH")</f>
        <v>8000</v>
      </c>
      <c r="IJ15" s="3">
        <f>_xlfn.XLOOKUP(IJ$1,generator!$B$2:$B$295,generator!$Q$2:$Q$295,"ARGH")</f>
        <v>8000</v>
      </c>
      <c r="IK15" s="3">
        <f>_xlfn.XLOOKUP(IK$1,generator!$B$2:$B$295,generator!$Q$2:$Q$295,"ARGH")</f>
        <v>8000</v>
      </c>
      <c r="IL15" s="3">
        <f>_xlfn.XLOOKUP(IL$1,generator!$B$2:$B$295,generator!$Q$2:$Q$295,"ARGH")</f>
        <v>8000</v>
      </c>
      <c r="IM15" s="3">
        <f>_xlfn.XLOOKUP(IM$1,generator!$B$2:$B$295,generator!$Q$2:$Q$295,"ARGH")</f>
        <v>8000</v>
      </c>
      <c r="IN15" s="3">
        <f>_xlfn.XLOOKUP(IN$1,generator!$B$2:$B$295,generator!$Q$2:$Q$295,"ARGH")</f>
        <v>8000</v>
      </c>
      <c r="IO15" s="3">
        <f>_xlfn.XLOOKUP(IO$1,generator!$B$2:$B$295,generator!$Q$2:$Q$295,"ARGH")</f>
        <v>8000</v>
      </c>
      <c r="IP15" s="3">
        <f>_xlfn.XLOOKUP(IP$1,generator!$B$2:$B$295,generator!$Q$2:$Q$295,"ARGH")</f>
        <v>8000</v>
      </c>
      <c r="IQ15" s="3">
        <f>_xlfn.XLOOKUP(IQ$1,generator!$B$2:$B$295,generator!$Q$2:$Q$295,"ARGH")</f>
        <v>8000</v>
      </c>
      <c r="IR15" s="3">
        <f>_xlfn.XLOOKUP(IR$1,generator!$B$2:$B$295,generator!$Q$2:$Q$295,"ARGH")</f>
        <v>8000</v>
      </c>
      <c r="IS15" s="3">
        <f>_xlfn.XLOOKUP(IS$1,generator!$B$2:$B$295,generator!$Q$2:$Q$295,"ARGH")</f>
        <v>8000</v>
      </c>
      <c r="IT15" s="3">
        <f>_xlfn.XLOOKUP(IT$1,generator!$B$2:$B$295,generator!$Q$2:$Q$295,"ARGH")</f>
        <v>8000</v>
      </c>
      <c r="IU15" s="3">
        <f>_xlfn.XLOOKUP(IU$1,generator!$B$2:$B$295,generator!$Q$2:$Q$295,"ARGH")</f>
        <v>8000</v>
      </c>
      <c r="IV15" s="3">
        <f>_xlfn.XLOOKUP(IV$1,generator!$B$2:$B$295,generator!$Q$2:$Q$295,"ARGH")</f>
        <v>8000</v>
      </c>
      <c r="IW15" s="3" t="str">
        <f>_xlfn.XLOOKUP(IW$1,generator!$B$2:$B$295,generator!$Q$2:$Q$295,"ARGH")</f>
        <v>108.19</v>
      </c>
      <c r="IX15" s="3" t="str">
        <f>_xlfn.XLOOKUP(IX$1,generator!$B$2:$B$295,generator!$Q$2:$Q$295,"ARGH")</f>
        <v>108.18</v>
      </c>
      <c r="IY15" s="3" t="str">
        <f>_xlfn.XLOOKUP(IY$1,generator!$B$2:$B$295,generator!$Q$2:$Q$295,"ARGH")</f>
        <v>108.17</v>
      </c>
      <c r="IZ15" s="3" t="str">
        <f>_xlfn.XLOOKUP(IZ$1,generator!$B$2:$B$295,generator!$Q$2:$Q$295,"ARGH")</f>
        <v>40.96</v>
      </c>
      <c r="JA15" s="3">
        <f>_xlfn.XLOOKUP(JA$1,generator!$B$2:$B$295,generator!$Q$2:$Q$295,"ARGH")</f>
        <v>0</v>
      </c>
      <c r="JB15" s="3">
        <f>_xlfn.XLOOKUP(JB$1,generator!$B$2:$B$295,generator!$Q$2:$Q$295,"ARGH")</f>
        <v>0</v>
      </c>
      <c r="JC15" s="3" t="str">
        <f>_xlfn.XLOOKUP(JC$1,generator!$B$2:$B$295,generator!$Q$2:$Q$295,"ARGH")</f>
        <v>75.91</v>
      </c>
      <c r="JD15" s="3" t="str">
        <f>_xlfn.XLOOKUP(JD$1,generator!$B$2:$B$295,generator!$Q$2:$Q$295,"ARGH")</f>
        <v>75.91</v>
      </c>
      <c r="JE15" s="3" t="str">
        <f>_xlfn.XLOOKUP(JE$1,generator!$B$2:$B$295,generator!$Q$2:$Q$295,"ARGH")</f>
        <v>51.59</v>
      </c>
      <c r="JF15" s="3" t="str">
        <f>_xlfn.XLOOKUP(JF$1,generator!$B$2:$B$295,generator!$Q$2:$Q$295,"ARGH")</f>
        <v>111.57</v>
      </c>
      <c r="JG15" s="3">
        <f>_xlfn.XLOOKUP(JG$1,generator!$B$2:$B$295,generator!$Q$2:$Q$295,"ARGH")</f>
        <v>0</v>
      </c>
      <c r="JH15" s="3" t="str">
        <f>_xlfn.XLOOKUP(JH$1,generator!$B$2:$B$295,generator!$Q$2:$Q$295,"ARGH")</f>
        <v>48.65</v>
      </c>
      <c r="JI15" s="3" t="str">
        <f>_xlfn.XLOOKUP(JI$1,generator!$B$2:$B$295,generator!$Q$2:$Q$295,"ARGH")</f>
        <v>71.88</v>
      </c>
      <c r="JJ15" s="3" t="str">
        <f>_xlfn.XLOOKUP(JJ$1,generator!$B$2:$B$295,generator!$Q$2:$Q$295,"ARGH")</f>
        <v>98.17</v>
      </c>
      <c r="JK15" s="3" t="str">
        <f>_xlfn.XLOOKUP(JK$1,generator!$B$2:$B$295,generator!$Q$2:$Q$295,"ARGH")</f>
        <v>98.17</v>
      </c>
      <c r="JL15" s="3" t="str">
        <f>_xlfn.XLOOKUP(JL$1,generator!$B$2:$B$295,generator!$Q$2:$Q$295,"ARGH")</f>
        <v>98.17</v>
      </c>
      <c r="JM15" s="3" t="str">
        <f>_xlfn.XLOOKUP(JM$1,generator!$B$2:$B$295,generator!$Q$2:$Q$295,"ARGH")</f>
        <v>98.17</v>
      </c>
      <c r="JN15" s="3" t="str">
        <f>_xlfn.XLOOKUP(JN$1,generator!$B$2:$B$295,generator!$Q$2:$Q$295,"ARGH")</f>
        <v>98.17</v>
      </c>
      <c r="JO15" s="3" t="str">
        <f>_xlfn.XLOOKUP(JO$1,generator!$B$2:$B$295,generator!$Q$2:$Q$295,"ARGH")</f>
        <v>98.17</v>
      </c>
      <c r="JP15" s="3" t="str">
        <f>_xlfn.XLOOKUP(JP$1,generator!$B$2:$B$295,generator!$Q$2:$Q$295,"ARGH")</f>
        <v>47.53</v>
      </c>
      <c r="JQ15" s="3" t="str">
        <f>_xlfn.XLOOKUP(JQ$1,generator!$B$2:$B$295,generator!$Q$2:$Q$295,"ARGH")</f>
        <v>108.86</v>
      </c>
      <c r="JR15" s="3" t="str">
        <f>_xlfn.XLOOKUP(JR$1,generator!$B$2:$B$295,generator!$Q$2:$Q$295,"ARGH")</f>
        <v>83.15</v>
      </c>
      <c r="JS15" s="3" t="str">
        <f>_xlfn.XLOOKUP(JS$1,generator!$B$2:$B$295,generator!$Q$2:$Q$295,"ARGH")</f>
        <v>83.15</v>
      </c>
      <c r="JT15" s="3" t="str">
        <f>_xlfn.XLOOKUP(JT$1,generator!$B$2:$B$295,generator!$Q$2:$Q$295,"ARGH")</f>
        <v>108.86</v>
      </c>
      <c r="JU15" s="3">
        <f>_xlfn.XLOOKUP(JU$1,generator!$B$2:$B$295,generator!$Q$2:$Q$295,"ARGH")</f>
        <v>0</v>
      </c>
      <c r="JV15" s="3" t="str">
        <f>_xlfn.XLOOKUP(JV$1,generator!$B$2:$B$295,generator!$Q$2:$Q$295,"ARGH")</f>
        <v>77.63</v>
      </c>
      <c r="JW15" s="3" t="str">
        <f>_xlfn.XLOOKUP(JW$1,generator!$B$2:$B$295,generator!$Q$2:$Q$295,"ARGH")</f>
        <v>77.64</v>
      </c>
      <c r="JX15" s="3" t="str">
        <f>_xlfn.XLOOKUP(JX$1,generator!$B$2:$B$295,generator!$Q$2:$Q$295,"ARGH")</f>
        <v>331.49</v>
      </c>
      <c r="JY15" s="3">
        <f>_xlfn.XLOOKUP(JY$1,generator!$B$2:$B$295,generator!$Q$2:$Q$295,"ARGH")</f>
        <v>7000</v>
      </c>
      <c r="JZ15" s="3">
        <f>_xlfn.XLOOKUP(JZ$1,generator!$B$2:$B$295,generator!$Q$2:$Q$295,"ARGH")</f>
        <v>0</v>
      </c>
      <c r="KA15" s="3">
        <f>_xlfn.XLOOKUP(KA$1,generator!$B$2:$B$295,generator!$Q$2:$Q$295,"ARGH")</f>
        <v>0</v>
      </c>
      <c r="KB15" s="3">
        <f>_xlfn.XLOOKUP(KB$1,generator!$B$2:$B$295,generator!$Q$2:$Q$295,"ARGH")</f>
        <v>0</v>
      </c>
      <c r="KC15" s="3">
        <f>_xlfn.XLOOKUP(KC$1,generator!$B$2:$B$295,generator!$Q$2:$Q$295,"ARGH")</f>
        <v>0</v>
      </c>
    </row>
    <row r="16" spans="1:289" x14ac:dyDescent="0.3">
      <c r="A16" s="4" t="s">
        <v>3011</v>
      </c>
      <c r="B16" s="3">
        <v>15000</v>
      </c>
      <c r="C16" s="3">
        <v>15000</v>
      </c>
      <c r="D16" s="3">
        <v>15000</v>
      </c>
      <c r="E16" s="3">
        <f>_xlfn.XLOOKUP(E$1,generator!$B$2:$B$295,generator!$Q$2:$Q$295,"ARGH")</f>
        <v>9000</v>
      </c>
      <c r="F16" s="3">
        <f>_xlfn.XLOOKUP(F$1,generator!$B$2:$B$295,generator!$Q$2:$Q$295,"ARGH")</f>
        <v>9000</v>
      </c>
      <c r="G16" s="3">
        <f>_xlfn.XLOOKUP(G$1,generator!$B$2:$B$295,generator!$Q$2:$Q$295,"ARGH")</f>
        <v>9000</v>
      </c>
      <c r="H16" s="3">
        <f>_xlfn.XLOOKUP(H$1,generator!$B$2:$B$295,generator!$Q$2:$Q$295,"ARGH")</f>
        <v>9000</v>
      </c>
      <c r="I16" s="3">
        <f>_xlfn.XLOOKUP(I$1,generator!$B$2:$B$295,generator!$Q$2:$Q$295,"ARGH")</f>
        <v>9000</v>
      </c>
      <c r="J16" s="3">
        <f>_xlfn.XLOOKUP(J$1,generator!$B$2:$B$295,generator!$Q$2:$Q$295,"ARGH")</f>
        <v>9000</v>
      </c>
      <c r="K16" s="3">
        <f>_xlfn.XLOOKUP(K$1,generator!$B$2:$B$295,generator!$Q$2:$Q$295,"ARGH")</f>
        <v>9000</v>
      </c>
      <c r="L16" s="3">
        <f>_xlfn.XLOOKUP(L$1,generator!$B$2:$B$295,generator!$Q$2:$Q$295,"ARGH")</f>
        <v>9000</v>
      </c>
      <c r="M16" s="3">
        <f>_xlfn.XLOOKUP(M$1,generator!$B$2:$B$295,generator!$Q$2:$Q$295,"ARGH")</f>
        <v>9000</v>
      </c>
      <c r="N16" s="3">
        <f>_xlfn.XLOOKUP(N$1,generator!$B$2:$B$295,generator!$Q$2:$Q$295,"ARGH")</f>
        <v>9000</v>
      </c>
      <c r="O16" s="3">
        <f>_xlfn.XLOOKUP(O$1,generator!$B$2:$B$295,generator!$Q$2:$Q$295,"ARGH")</f>
        <v>9000</v>
      </c>
      <c r="P16" s="3">
        <f>_xlfn.XLOOKUP(P$1,generator!$B$2:$B$295,generator!$Q$2:$Q$295,"ARGH")</f>
        <v>9000</v>
      </c>
      <c r="Q16" s="3">
        <f>_xlfn.XLOOKUP(Q$1,generator!$B$2:$B$295,generator!$Q$2:$Q$295,"ARGH")</f>
        <v>9000</v>
      </c>
      <c r="R16" s="3">
        <f>_xlfn.XLOOKUP(R$1,generator!$B$2:$B$295,generator!$Q$2:$Q$295,"ARGH")</f>
        <v>9000</v>
      </c>
      <c r="S16" s="3">
        <f>_xlfn.XLOOKUP(S$1,generator!$B$2:$B$295,generator!$Q$2:$Q$295,"ARGH")</f>
        <v>9000</v>
      </c>
      <c r="T16" s="3">
        <f>_xlfn.XLOOKUP(T$1,generator!$B$2:$B$295,generator!$Q$2:$Q$295,"ARGH")</f>
        <v>9000</v>
      </c>
      <c r="U16" s="3">
        <f>_xlfn.XLOOKUP(U$1,generator!$B$2:$B$295,generator!$Q$2:$Q$295,"ARGH")</f>
        <v>9000</v>
      </c>
      <c r="V16" s="3">
        <f>_xlfn.XLOOKUP(V$1,generator!$B$2:$B$295,generator!$Q$2:$Q$295,"ARGH")</f>
        <v>9000</v>
      </c>
      <c r="W16" s="3">
        <f>_xlfn.XLOOKUP(W$1,generator!$B$2:$B$295,generator!$Q$2:$Q$295,"ARGH")</f>
        <v>9000</v>
      </c>
      <c r="X16" s="3">
        <f>_xlfn.XLOOKUP(X$1,generator!$B$2:$B$295,generator!$Q$2:$Q$295,"ARGH")</f>
        <v>9000</v>
      </c>
      <c r="Y16" s="3">
        <f>_xlfn.XLOOKUP(Y$1,generator!$B$2:$B$295,generator!$Q$2:$Q$295,"ARGH")</f>
        <v>9000</v>
      </c>
      <c r="Z16" s="3">
        <f>_xlfn.XLOOKUP(Z$1,generator!$B$2:$B$295,generator!$Q$2:$Q$295,"ARGH")</f>
        <v>9000</v>
      </c>
      <c r="AA16" s="3">
        <f>_xlfn.XLOOKUP(AA$1,generator!$B$2:$B$295,generator!$Q$2:$Q$295,"ARGH")</f>
        <v>9000</v>
      </c>
      <c r="AB16" s="3">
        <f>_xlfn.XLOOKUP(AB$1,generator!$B$2:$B$295,generator!$Q$2:$Q$295,"ARGH")</f>
        <v>9000</v>
      </c>
      <c r="AC16" s="3">
        <f>_xlfn.XLOOKUP(AC$1,generator!$B$2:$B$295,generator!$Q$2:$Q$295,"ARGH")</f>
        <v>9000</v>
      </c>
      <c r="AD16" s="3">
        <f>_xlfn.XLOOKUP(AD$1,generator!$B$2:$B$295,generator!$Q$2:$Q$295,"ARGH")</f>
        <v>9000</v>
      </c>
      <c r="AE16" s="3">
        <f>_xlfn.XLOOKUP(AE$1,generator!$B$2:$B$295,generator!$Q$2:$Q$295,"ARGH")</f>
        <v>9000</v>
      </c>
      <c r="AF16" s="3">
        <f>_xlfn.XLOOKUP(AF$1,generator!$B$2:$B$295,generator!$Q$2:$Q$295,"ARGH")</f>
        <v>9000</v>
      </c>
      <c r="AG16" s="3">
        <f>_xlfn.XLOOKUP(AG$1,generator!$B$2:$B$295,generator!$Q$2:$Q$295,"ARGH")</f>
        <v>9000</v>
      </c>
      <c r="AH16" s="3">
        <f>_xlfn.XLOOKUP(AH$1,generator!$B$2:$B$295,generator!$Q$2:$Q$295,"ARGH")</f>
        <v>9000</v>
      </c>
      <c r="AI16" s="3">
        <f>_xlfn.XLOOKUP(AI$1,generator!$B$2:$B$295,generator!$Q$2:$Q$295,"ARGH")</f>
        <v>9000</v>
      </c>
      <c r="AJ16" s="3">
        <f>_xlfn.XLOOKUP(AJ$1,generator!$B$2:$B$295,generator!$Q$2:$Q$295,"ARGH")</f>
        <v>9000</v>
      </c>
      <c r="AK16" s="3">
        <f>_xlfn.XLOOKUP(AK$1,generator!$B$2:$B$295,generator!$Q$2:$Q$295,"ARGH")</f>
        <v>9000</v>
      </c>
      <c r="AL16" s="3">
        <f>_xlfn.XLOOKUP(AL$1,generator!$B$2:$B$295,generator!$Q$2:$Q$295,"ARGH")</f>
        <v>9000</v>
      </c>
      <c r="AM16" s="3">
        <f>_xlfn.XLOOKUP(AM$1,generator!$B$2:$B$295,generator!$Q$2:$Q$295,"ARGH")</f>
        <v>9000</v>
      </c>
      <c r="AN16" s="3">
        <f>_xlfn.XLOOKUP(AN$1,generator!$B$2:$B$295,generator!$Q$2:$Q$295,"ARGH")</f>
        <v>9000</v>
      </c>
      <c r="AO16" s="3">
        <f>_xlfn.XLOOKUP(AO$1,generator!$B$2:$B$295,generator!$Q$2:$Q$295,"ARGH")</f>
        <v>9000</v>
      </c>
      <c r="AP16" s="3">
        <f>_xlfn.XLOOKUP(AP$1,generator!$B$2:$B$295,generator!$Q$2:$Q$295,"ARGH")</f>
        <v>9000</v>
      </c>
      <c r="AQ16" s="3">
        <f>_xlfn.XLOOKUP(AQ$1,generator!$B$2:$B$295,generator!$Q$2:$Q$295,"ARGH")</f>
        <v>9000</v>
      </c>
      <c r="AR16" s="3">
        <f>_xlfn.XLOOKUP(AR$1,generator!$B$2:$B$295,generator!$Q$2:$Q$295,"ARGH")</f>
        <v>9000</v>
      </c>
      <c r="AS16" s="3">
        <f>_xlfn.XLOOKUP(AS$1,generator!$B$2:$B$295,generator!$Q$2:$Q$295,"ARGH")</f>
        <v>9000</v>
      </c>
      <c r="AT16" s="3">
        <f>_xlfn.XLOOKUP(AT$1,generator!$B$2:$B$295,generator!$Q$2:$Q$295,"ARGH")</f>
        <v>9000</v>
      </c>
      <c r="AU16" s="3">
        <f>_xlfn.XLOOKUP(AU$1,generator!$B$2:$B$295,generator!$Q$2:$Q$295,"ARGH")</f>
        <v>9000</v>
      </c>
      <c r="AV16" s="3">
        <f>_xlfn.XLOOKUP(AV$1,generator!$B$2:$B$295,generator!$Q$2:$Q$295,"ARGH")</f>
        <v>9000</v>
      </c>
      <c r="AW16" s="3">
        <f>_xlfn.XLOOKUP(AW$1,generator!$B$2:$B$295,generator!$Q$2:$Q$295,"ARGH")</f>
        <v>9000</v>
      </c>
      <c r="AX16" s="3">
        <f>_xlfn.XLOOKUP(AX$1,generator!$B$2:$B$295,generator!$Q$2:$Q$295,"ARGH")</f>
        <v>9000</v>
      </c>
      <c r="AY16" s="3">
        <f>_xlfn.XLOOKUP(AY$1,generator!$B$2:$B$295,generator!$Q$2:$Q$295,"ARGH")</f>
        <v>9000</v>
      </c>
      <c r="AZ16" s="3">
        <f>_xlfn.XLOOKUP(AZ$1,generator!$B$2:$B$295,generator!$Q$2:$Q$295,"ARGH")</f>
        <v>9000</v>
      </c>
      <c r="BA16" s="3">
        <f>_xlfn.XLOOKUP(BA$1,generator!$B$2:$B$295,generator!$Q$2:$Q$295,"ARGH")</f>
        <v>9000</v>
      </c>
      <c r="BB16" s="3">
        <f>_xlfn.XLOOKUP(BB$1,generator!$B$2:$B$295,generator!$Q$2:$Q$295,"ARGH")</f>
        <v>9000</v>
      </c>
      <c r="BC16" s="3">
        <f>_xlfn.XLOOKUP(BC$1,generator!$B$2:$B$295,generator!$Q$2:$Q$295,"ARGH")</f>
        <v>9000</v>
      </c>
      <c r="BD16" s="3">
        <f>_xlfn.XLOOKUP(BD$1,generator!$B$2:$B$295,generator!$Q$2:$Q$295,"ARGH")</f>
        <v>9000</v>
      </c>
      <c r="BE16" s="3">
        <f>_xlfn.XLOOKUP(BE$1,generator!$B$2:$B$295,generator!$Q$2:$Q$295,"ARGH")</f>
        <v>9000</v>
      </c>
      <c r="BF16" s="3">
        <f>_xlfn.XLOOKUP(BF$1,generator!$B$2:$B$295,generator!$Q$2:$Q$295,"ARGH")</f>
        <v>9000</v>
      </c>
      <c r="BG16" s="3">
        <f>_xlfn.XLOOKUP(BG$1,generator!$B$2:$B$295,generator!$Q$2:$Q$295,"ARGH")</f>
        <v>9000</v>
      </c>
      <c r="BH16" s="3">
        <f>_xlfn.XLOOKUP(BH$1,generator!$B$2:$B$295,generator!$Q$2:$Q$295,"ARGH")</f>
        <v>9000</v>
      </c>
      <c r="BI16" s="3">
        <f>_xlfn.XLOOKUP(BI$1,generator!$B$2:$B$295,generator!$Q$2:$Q$295,"ARGH")</f>
        <v>9000</v>
      </c>
      <c r="BJ16" s="3">
        <f>_xlfn.XLOOKUP(BJ$1,generator!$B$2:$B$295,generator!$Q$2:$Q$295,"ARGH")</f>
        <v>9000</v>
      </c>
      <c r="BK16" s="3">
        <f>_xlfn.XLOOKUP(BK$1,generator!$B$2:$B$295,generator!$Q$2:$Q$295,"ARGH")</f>
        <v>9000</v>
      </c>
      <c r="BL16" s="3">
        <f>_xlfn.XLOOKUP(BL$1,generator!$B$2:$B$295,generator!$Q$2:$Q$295,"ARGH")</f>
        <v>9000</v>
      </c>
      <c r="BM16" s="3">
        <f>_xlfn.XLOOKUP(BM$1,generator!$B$2:$B$295,generator!$Q$2:$Q$295,"ARGH")</f>
        <v>9000</v>
      </c>
      <c r="BN16" s="3">
        <f>_xlfn.XLOOKUP(BN$1,generator!$B$2:$B$295,generator!$Q$2:$Q$295,"ARGH")</f>
        <v>9000</v>
      </c>
      <c r="BO16" s="3">
        <f>_xlfn.XLOOKUP(BO$1,generator!$B$2:$B$295,generator!$Q$2:$Q$295,"ARGH")</f>
        <v>9000</v>
      </c>
      <c r="BP16" s="3">
        <f>_xlfn.XLOOKUP(BP$1,generator!$B$2:$B$295,generator!$Q$2:$Q$295,"ARGH")</f>
        <v>9000</v>
      </c>
      <c r="BQ16" s="3">
        <f>_xlfn.XLOOKUP(BQ$1,generator!$B$2:$B$295,generator!$Q$2:$Q$295,"ARGH")</f>
        <v>9000</v>
      </c>
      <c r="BR16" s="3">
        <f>_xlfn.XLOOKUP(BR$1,generator!$B$2:$B$295,generator!$Q$2:$Q$295,"ARGH")</f>
        <v>9000</v>
      </c>
      <c r="BS16" s="3">
        <f>_xlfn.XLOOKUP(BS$1,generator!$B$2:$B$295,generator!$Q$2:$Q$295,"ARGH")</f>
        <v>9000</v>
      </c>
      <c r="BT16" s="3">
        <f>_xlfn.XLOOKUP(BT$1,generator!$B$2:$B$295,generator!$Q$2:$Q$295,"ARGH")</f>
        <v>9000</v>
      </c>
      <c r="BU16" s="3">
        <f>_xlfn.XLOOKUP(BU$1,generator!$B$2:$B$295,generator!$Q$2:$Q$295,"ARGH")</f>
        <v>9000</v>
      </c>
      <c r="BV16" s="3">
        <f>_xlfn.XLOOKUP(BV$1,generator!$B$2:$B$295,generator!$Q$2:$Q$295,"ARGH")</f>
        <v>9000</v>
      </c>
      <c r="BW16" s="3">
        <f>_xlfn.XLOOKUP(BW$1,generator!$B$2:$B$295,generator!$Q$2:$Q$295,"ARGH")</f>
        <v>9000</v>
      </c>
      <c r="BX16" s="3">
        <f>_xlfn.XLOOKUP(BX$1,generator!$B$2:$B$295,generator!$Q$2:$Q$295,"ARGH")</f>
        <v>9000</v>
      </c>
      <c r="BY16" s="3">
        <f>_xlfn.XLOOKUP(BY$1,generator!$B$2:$B$295,generator!$Q$2:$Q$295,"ARGH")</f>
        <v>9000</v>
      </c>
      <c r="BZ16" s="3">
        <f>_xlfn.XLOOKUP(BZ$1,generator!$B$2:$B$295,generator!$Q$2:$Q$295,"ARGH")</f>
        <v>9000</v>
      </c>
      <c r="CA16" s="3">
        <f>_xlfn.XLOOKUP(CA$1,generator!$B$2:$B$295,generator!$Q$2:$Q$295,"ARGH")</f>
        <v>9000</v>
      </c>
      <c r="CB16" s="3">
        <f>_xlfn.XLOOKUP(CB$1,generator!$B$2:$B$295,generator!$Q$2:$Q$295,"ARGH")</f>
        <v>9000</v>
      </c>
      <c r="CC16" s="3">
        <f>_xlfn.XLOOKUP(CC$1,generator!$B$2:$B$295,generator!$Q$2:$Q$295,"ARGH")</f>
        <v>9000</v>
      </c>
      <c r="CD16" s="3">
        <f>_xlfn.XLOOKUP(CD$1,generator!$B$2:$B$295,generator!$Q$2:$Q$295,"ARGH")</f>
        <v>9000</v>
      </c>
      <c r="CE16" s="3">
        <f>_xlfn.XLOOKUP(CE$1,generator!$B$2:$B$295,generator!$Q$2:$Q$295,"ARGH")</f>
        <v>9000</v>
      </c>
      <c r="CF16" s="3">
        <f>_xlfn.XLOOKUP(CF$1,generator!$B$2:$B$295,generator!$Q$2:$Q$295,"ARGH")</f>
        <v>9000</v>
      </c>
      <c r="CG16" s="3">
        <f>_xlfn.XLOOKUP(CG$1,generator!$B$2:$B$295,generator!$Q$2:$Q$295,"ARGH")</f>
        <v>9000</v>
      </c>
      <c r="CH16" s="3">
        <f>_xlfn.XLOOKUP(CH$1,generator!$B$2:$B$295,generator!$Q$2:$Q$295,"ARGH")</f>
        <v>9000</v>
      </c>
      <c r="CI16" s="3">
        <f>_xlfn.XLOOKUP(CI$1,generator!$B$2:$B$295,generator!$Q$2:$Q$295,"ARGH")</f>
        <v>9000</v>
      </c>
      <c r="CJ16" s="3">
        <f>_xlfn.XLOOKUP(CJ$1,generator!$B$2:$B$295,generator!$Q$2:$Q$295,"ARGH")</f>
        <v>9000</v>
      </c>
      <c r="CK16" s="3">
        <f>_xlfn.XLOOKUP(CK$1,generator!$B$2:$B$295,generator!$Q$2:$Q$295,"ARGH")</f>
        <v>9000</v>
      </c>
      <c r="CL16" s="3">
        <f>_xlfn.XLOOKUP(CL$1,generator!$B$2:$B$295,generator!$Q$2:$Q$295,"ARGH")</f>
        <v>9000</v>
      </c>
      <c r="CM16" s="3">
        <f>_xlfn.XLOOKUP(CM$1,generator!$B$2:$B$295,generator!$Q$2:$Q$295,"ARGH")</f>
        <v>9000</v>
      </c>
      <c r="CN16" s="3">
        <f>_xlfn.XLOOKUP(CN$1,generator!$B$2:$B$295,generator!$Q$2:$Q$295,"ARGH")</f>
        <v>9000</v>
      </c>
      <c r="CO16" s="3">
        <f>_xlfn.XLOOKUP(CO$1,generator!$B$2:$B$295,generator!$Q$2:$Q$295,"ARGH")</f>
        <v>9000</v>
      </c>
      <c r="CP16" s="3">
        <f>_xlfn.XLOOKUP(CP$1,generator!$B$2:$B$295,generator!$Q$2:$Q$295,"ARGH")</f>
        <v>9000</v>
      </c>
      <c r="CQ16" s="3">
        <f>_xlfn.XLOOKUP(CQ$1,generator!$B$2:$B$295,generator!$Q$2:$Q$295,"ARGH")</f>
        <v>9000</v>
      </c>
      <c r="CR16" s="3">
        <f>_xlfn.XLOOKUP(CR$1,generator!$B$2:$B$295,generator!$Q$2:$Q$295,"ARGH")</f>
        <v>9000</v>
      </c>
      <c r="CS16" s="3">
        <f>_xlfn.XLOOKUP(CS$1,generator!$B$2:$B$295,generator!$Q$2:$Q$295,"ARGH")</f>
        <v>9000</v>
      </c>
      <c r="CT16" s="3">
        <f>_xlfn.XLOOKUP(CT$1,generator!$B$2:$B$295,generator!$Q$2:$Q$295,"ARGH")</f>
        <v>9000</v>
      </c>
      <c r="CU16" s="3">
        <f>_xlfn.XLOOKUP(CU$1,generator!$B$2:$B$295,generator!$Q$2:$Q$295,"ARGH")</f>
        <v>9000</v>
      </c>
      <c r="CV16" s="3">
        <f>_xlfn.XLOOKUP(CV$1,generator!$B$2:$B$295,generator!$Q$2:$Q$295,"ARGH")</f>
        <v>9000</v>
      </c>
      <c r="CW16" s="3">
        <f>_xlfn.XLOOKUP(CW$1,generator!$B$2:$B$295,generator!$Q$2:$Q$295,"ARGH")</f>
        <v>9000</v>
      </c>
      <c r="CX16" s="3">
        <f>_xlfn.XLOOKUP(CX$1,generator!$B$2:$B$295,generator!$Q$2:$Q$295,"ARGH")</f>
        <v>9000</v>
      </c>
      <c r="CY16" s="3">
        <f>_xlfn.XLOOKUP(CY$1,generator!$B$2:$B$295,generator!$Q$2:$Q$295,"ARGH")</f>
        <v>9000</v>
      </c>
      <c r="CZ16" s="3">
        <f>_xlfn.XLOOKUP(CZ$1,generator!$B$2:$B$295,generator!$Q$2:$Q$295,"ARGH")</f>
        <v>9000</v>
      </c>
      <c r="DA16" s="3">
        <f>_xlfn.XLOOKUP(DA$1,generator!$B$2:$B$295,generator!$Q$2:$Q$295,"ARGH")</f>
        <v>9000</v>
      </c>
      <c r="DB16" s="3">
        <f>_xlfn.XLOOKUP(DB$1,generator!$B$2:$B$295,generator!$Q$2:$Q$295,"ARGH")</f>
        <v>9000</v>
      </c>
      <c r="DC16" s="3">
        <f>_xlfn.XLOOKUP(DC$1,generator!$B$2:$B$295,generator!$Q$2:$Q$295,"ARGH")</f>
        <v>9000</v>
      </c>
      <c r="DD16" s="3">
        <f>_xlfn.XLOOKUP(DD$1,generator!$B$2:$B$295,generator!$Q$2:$Q$295,"ARGH")</f>
        <v>9000</v>
      </c>
      <c r="DE16" s="3">
        <f>_xlfn.XLOOKUP(DE$1,generator!$B$2:$B$295,generator!$Q$2:$Q$295,"ARGH")</f>
        <v>9000</v>
      </c>
      <c r="DF16" s="3">
        <f>_xlfn.XLOOKUP(DF$1,generator!$B$2:$B$295,generator!$Q$2:$Q$295,"ARGH")</f>
        <v>9000</v>
      </c>
      <c r="DG16" s="3">
        <f>_xlfn.XLOOKUP(DG$1,generator!$B$2:$B$295,generator!$Q$2:$Q$295,"ARGH")</f>
        <v>9000</v>
      </c>
      <c r="DH16" s="3">
        <f>_xlfn.XLOOKUP(DH$1,generator!$B$2:$B$295,generator!$Q$2:$Q$295,"ARGH")</f>
        <v>9000</v>
      </c>
      <c r="DI16" s="3">
        <f>_xlfn.XLOOKUP(DI$1,generator!$B$2:$B$295,generator!$Q$2:$Q$295,"ARGH")</f>
        <v>9000</v>
      </c>
      <c r="DJ16" s="3">
        <f>_xlfn.XLOOKUP(DJ$1,generator!$B$2:$B$295,generator!$Q$2:$Q$295,"ARGH")</f>
        <v>9000</v>
      </c>
      <c r="DK16" s="3">
        <f>_xlfn.XLOOKUP(DK$1,generator!$B$2:$B$295,generator!$Q$2:$Q$295,"ARGH")</f>
        <v>9000</v>
      </c>
      <c r="DL16" s="3">
        <f>_xlfn.XLOOKUP(DL$1,generator!$B$2:$B$295,generator!$Q$2:$Q$295,"ARGH")</f>
        <v>9000</v>
      </c>
      <c r="DM16" s="3">
        <f>_xlfn.XLOOKUP(DM$1,generator!$B$2:$B$295,generator!$Q$2:$Q$295,"ARGH")</f>
        <v>9000</v>
      </c>
      <c r="DN16" s="3">
        <f>_xlfn.XLOOKUP(DN$1,generator!$B$2:$B$295,generator!$Q$2:$Q$295,"ARGH")</f>
        <v>9000</v>
      </c>
      <c r="DO16" s="3">
        <f>_xlfn.XLOOKUP(DO$1,generator!$B$2:$B$295,generator!$Q$2:$Q$295,"ARGH")</f>
        <v>9000</v>
      </c>
      <c r="DP16" s="3">
        <f>_xlfn.XLOOKUP(DP$1,generator!$B$2:$B$295,generator!$Q$2:$Q$295,"ARGH")</f>
        <v>9000</v>
      </c>
      <c r="DQ16" s="3">
        <f>_xlfn.XLOOKUP(DQ$1,generator!$B$2:$B$295,generator!$Q$2:$Q$295,"ARGH")</f>
        <v>9000</v>
      </c>
      <c r="DR16" s="3">
        <f>_xlfn.XLOOKUP(DR$1,generator!$B$2:$B$295,generator!$Q$2:$Q$295,"ARGH")</f>
        <v>9000</v>
      </c>
      <c r="DS16" s="3">
        <f>_xlfn.XLOOKUP(DS$1,generator!$B$2:$B$295,generator!$Q$2:$Q$295,"ARGH")</f>
        <v>9000</v>
      </c>
      <c r="DT16" s="3">
        <f>_xlfn.XLOOKUP(DT$1,generator!$B$2:$B$295,generator!$Q$2:$Q$295,"ARGH")</f>
        <v>9000</v>
      </c>
      <c r="DU16" s="3">
        <f>_xlfn.XLOOKUP(DU$1,generator!$B$2:$B$295,generator!$Q$2:$Q$295,"ARGH")</f>
        <v>9000</v>
      </c>
      <c r="DV16" s="3">
        <f>_xlfn.XLOOKUP(DV$1,generator!$B$2:$B$295,generator!$Q$2:$Q$295,"ARGH")</f>
        <v>9000</v>
      </c>
      <c r="DW16" s="3">
        <f>_xlfn.XLOOKUP(DW$1,generator!$B$2:$B$295,generator!$Q$2:$Q$295,"ARGH")</f>
        <v>9000</v>
      </c>
      <c r="DX16" s="3">
        <f>_xlfn.XLOOKUP(DX$1,generator!$B$2:$B$295,generator!$Q$2:$Q$295,"ARGH")</f>
        <v>9000</v>
      </c>
      <c r="DY16" s="3">
        <f>_xlfn.XLOOKUP(DY$1,generator!$B$2:$B$295,generator!$Q$2:$Q$295,"ARGH")</f>
        <v>9000</v>
      </c>
      <c r="DZ16" s="3">
        <f>_xlfn.XLOOKUP(DZ$1,generator!$B$2:$B$295,generator!$Q$2:$Q$295,"ARGH")</f>
        <v>9000</v>
      </c>
      <c r="EA16" s="3">
        <f>_xlfn.XLOOKUP(EA$1,generator!$B$2:$B$295,generator!$Q$2:$Q$295,"ARGH")</f>
        <v>9000</v>
      </c>
      <c r="EB16" s="3">
        <f>_xlfn.XLOOKUP(EB$1,generator!$B$2:$B$295,generator!$Q$2:$Q$295,"ARGH")</f>
        <v>9000</v>
      </c>
      <c r="EC16" s="3">
        <f>_xlfn.XLOOKUP(EC$1,generator!$B$2:$B$295,generator!$Q$2:$Q$295,"ARGH")</f>
        <v>9000</v>
      </c>
      <c r="ED16" s="3">
        <f>_xlfn.XLOOKUP(ED$1,generator!$B$2:$B$295,generator!$Q$2:$Q$295,"ARGH")</f>
        <v>9000</v>
      </c>
      <c r="EE16" s="3">
        <f>_xlfn.XLOOKUP(EE$1,generator!$B$2:$B$295,generator!$Q$2:$Q$295,"ARGH")</f>
        <v>9000</v>
      </c>
      <c r="EF16" s="3">
        <f>_xlfn.XLOOKUP(EF$1,generator!$B$2:$B$295,generator!$Q$2:$Q$295,"ARGH")</f>
        <v>9000</v>
      </c>
      <c r="EG16" s="3">
        <f>_xlfn.XLOOKUP(EG$1,generator!$B$2:$B$295,generator!$Q$2:$Q$295,"ARGH")</f>
        <v>9000</v>
      </c>
      <c r="EH16" s="3">
        <f>_xlfn.XLOOKUP(EH$1,generator!$B$2:$B$295,generator!$Q$2:$Q$295,"ARGH")</f>
        <v>9000</v>
      </c>
      <c r="EI16" s="3">
        <f>_xlfn.XLOOKUP(EI$1,generator!$B$2:$B$295,generator!$Q$2:$Q$295,"ARGH")</f>
        <v>9000</v>
      </c>
      <c r="EJ16" s="3">
        <f>_xlfn.XLOOKUP(EJ$1,generator!$B$2:$B$295,generator!$Q$2:$Q$295,"ARGH")</f>
        <v>9000</v>
      </c>
      <c r="EK16" s="3">
        <f>_xlfn.XLOOKUP(EK$1,generator!$B$2:$B$295,generator!$Q$2:$Q$295,"ARGH")</f>
        <v>9000</v>
      </c>
      <c r="EL16" s="3">
        <f>_xlfn.XLOOKUP(EL$1,generator!$B$2:$B$295,generator!$Q$2:$Q$295,"ARGH")</f>
        <v>9000</v>
      </c>
      <c r="EM16" s="3">
        <f>_xlfn.XLOOKUP(EM$1,generator!$B$2:$B$295,generator!$Q$2:$Q$295,"ARGH")</f>
        <v>9000</v>
      </c>
      <c r="EN16" s="3">
        <f>_xlfn.XLOOKUP(EN$1,generator!$B$2:$B$295,generator!$Q$2:$Q$295,"ARGH")</f>
        <v>9000</v>
      </c>
      <c r="EO16" s="3">
        <f>_xlfn.XLOOKUP(EO$1,generator!$B$2:$B$295,generator!$Q$2:$Q$295,"ARGH")</f>
        <v>9000</v>
      </c>
      <c r="EP16" s="3">
        <f>_xlfn.XLOOKUP(EP$1,generator!$B$2:$B$295,generator!$Q$2:$Q$295,"ARGH")</f>
        <v>9000</v>
      </c>
      <c r="EQ16" s="3">
        <f>_xlfn.XLOOKUP(EQ$1,generator!$B$2:$B$295,generator!$Q$2:$Q$295,"ARGH")</f>
        <v>9000</v>
      </c>
      <c r="ER16" s="3">
        <f>_xlfn.XLOOKUP(ER$1,generator!$B$2:$B$295,generator!$Q$2:$Q$295,"ARGH")</f>
        <v>9000</v>
      </c>
      <c r="ES16" s="3">
        <f>_xlfn.XLOOKUP(ES$1,generator!$B$2:$B$295,generator!$Q$2:$Q$295,"ARGH")</f>
        <v>9000</v>
      </c>
      <c r="ET16" s="3">
        <f>_xlfn.XLOOKUP(ET$1,generator!$B$2:$B$295,generator!$Q$2:$Q$295,"ARGH")</f>
        <v>9000</v>
      </c>
      <c r="EU16" s="3">
        <f>_xlfn.XLOOKUP(EU$1,generator!$B$2:$B$295,generator!$Q$2:$Q$295,"ARGH")</f>
        <v>9000</v>
      </c>
      <c r="EV16" s="3">
        <f>_xlfn.XLOOKUP(EV$1,generator!$B$2:$B$295,generator!$Q$2:$Q$295,"ARGH")</f>
        <v>9000</v>
      </c>
      <c r="EW16" s="3">
        <f>_xlfn.XLOOKUP(EW$1,generator!$B$2:$B$295,generator!$Q$2:$Q$295,"ARGH")</f>
        <v>9000</v>
      </c>
      <c r="EX16" s="3">
        <f>_xlfn.XLOOKUP(EX$1,generator!$B$2:$B$295,generator!$Q$2:$Q$295,"ARGH")</f>
        <v>9000</v>
      </c>
      <c r="EY16" s="3">
        <f>_xlfn.XLOOKUP(EY$1,generator!$B$2:$B$295,generator!$Q$2:$Q$295,"ARGH")</f>
        <v>9000</v>
      </c>
      <c r="EZ16" s="3">
        <f>_xlfn.XLOOKUP(EZ$1,generator!$B$2:$B$295,generator!$Q$2:$Q$295,"ARGH")</f>
        <v>9000</v>
      </c>
      <c r="FA16" s="3">
        <f>_xlfn.XLOOKUP(FA$1,generator!$B$2:$B$295,generator!$Q$2:$Q$295,"ARGH")</f>
        <v>9000</v>
      </c>
      <c r="FB16" s="3">
        <f>_xlfn.XLOOKUP(FB$1,generator!$B$2:$B$295,generator!$Q$2:$Q$295,"ARGH")</f>
        <v>9000</v>
      </c>
      <c r="FC16" s="3">
        <f>_xlfn.XLOOKUP(FC$1,generator!$B$2:$B$295,generator!$Q$2:$Q$295,"ARGH")</f>
        <v>9000</v>
      </c>
      <c r="FD16" s="3">
        <f>_xlfn.XLOOKUP(FD$1,generator!$B$2:$B$295,generator!$Q$2:$Q$295,"ARGH")</f>
        <v>9000</v>
      </c>
      <c r="FE16" s="3">
        <f>_xlfn.XLOOKUP(FE$1,generator!$B$2:$B$295,generator!$Q$2:$Q$295,"ARGH")</f>
        <v>9000</v>
      </c>
      <c r="FF16" s="3">
        <f>_xlfn.XLOOKUP(FF$1,generator!$B$2:$B$295,generator!$Q$2:$Q$295,"ARGH")</f>
        <v>9000</v>
      </c>
      <c r="FG16" s="3">
        <f>_xlfn.XLOOKUP(FG$1,generator!$B$2:$B$295,generator!$Q$2:$Q$295,"ARGH")</f>
        <v>9000</v>
      </c>
      <c r="FH16" s="3">
        <f>_xlfn.XLOOKUP(FH$1,generator!$B$2:$B$295,generator!$Q$2:$Q$295,"ARGH")</f>
        <v>9000</v>
      </c>
      <c r="FI16" s="3">
        <f>_xlfn.XLOOKUP(FI$1,generator!$B$2:$B$295,generator!$Q$2:$Q$295,"ARGH")</f>
        <v>9000</v>
      </c>
      <c r="FJ16" s="3">
        <f>_xlfn.XLOOKUP(FJ$1,generator!$B$2:$B$295,generator!$Q$2:$Q$295,"ARGH")</f>
        <v>9000</v>
      </c>
      <c r="FK16" s="3">
        <f>_xlfn.XLOOKUP(FK$1,generator!$B$2:$B$295,generator!$Q$2:$Q$295,"ARGH")</f>
        <v>9000</v>
      </c>
      <c r="FL16" s="3">
        <f>_xlfn.XLOOKUP(FL$1,generator!$B$2:$B$295,generator!$Q$2:$Q$295,"ARGH")</f>
        <v>9000</v>
      </c>
      <c r="FM16" s="3">
        <f>_xlfn.XLOOKUP(FM$1,generator!$B$2:$B$295,generator!$Q$2:$Q$295,"ARGH")</f>
        <v>9000</v>
      </c>
      <c r="FN16" s="3">
        <f>_xlfn.XLOOKUP(FN$1,generator!$B$2:$B$295,generator!$Q$2:$Q$295,"ARGH")</f>
        <v>9000</v>
      </c>
      <c r="FO16" s="3">
        <f>_xlfn.XLOOKUP(FO$1,generator!$B$2:$B$295,generator!$Q$2:$Q$295,"ARGH")</f>
        <v>9000</v>
      </c>
      <c r="FP16" s="3">
        <f>_xlfn.XLOOKUP(FP$1,generator!$B$2:$B$295,generator!$Q$2:$Q$295,"ARGH")</f>
        <v>9000</v>
      </c>
      <c r="FQ16" s="3">
        <f>_xlfn.XLOOKUP(FQ$1,generator!$B$2:$B$295,generator!$Q$2:$Q$295,"ARGH")</f>
        <v>9000</v>
      </c>
      <c r="FR16" s="3">
        <f>_xlfn.XLOOKUP(FR$1,generator!$B$2:$B$295,generator!$Q$2:$Q$295,"ARGH")</f>
        <v>9000</v>
      </c>
      <c r="FS16" s="3">
        <f>_xlfn.XLOOKUP(FS$1,generator!$B$2:$B$295,generator!$Q$2:$Q$295,"ARGH")</f>
        <v>9000</v>
      </c>
      <c r="FT16" s="3">
        <f>_xlfn.XLOOKUP(FT$1,generator!$B$2:$B$295,generator!$Q$2:$Q$295,"ARGH")</f>
        <v>9000</v>
      </c>
      <c r="FU16" s="3">
        <f>_xlfn.XLOOKUP(FU$1,generator!$B$2:$B$295,generator!$Q$2:$Q$295,"ARGH")</f>
        <v>9000</v>
      </c>
      <c r="FV16" s="3">
        <f>_xlfn.XLOOKUP(FV$1,generator!$B$2:$B$295,generator!$Q$2:$Q$295,"ARGH")</f>
        <v>9000</v>
      </c>
      <c r="FW16" s="3">
        <f>_xlfn.XLOOKUP(FW$1,generator!$B$2:$B$295,generator!$Q$2:$Q$295,"ARGH")</f>
        <v>9000</v>
      </c>
      <c r="FX16" s="3">
        <f>_xlfn.XLOOKUP(FX$1,generator!$B$2:$B$295,generator!$Q$2:$Q$295,"ARGH")</f>
        <v>9000</v>
      </c>
      <c r="FY16" s="3">
        <f>_xlfn.XLOOKUP(FY$1,generator!$B$2:$B$295,generator!$Q$2:$Q$295,"ARGH")</f>
        <v>9000</v>
      </c>
      <c r="FZ16" s="3">
        <f>_xlfn.XLOOKUP(FZ$1,generator!$B$2:$B$295,generator!$Q$2:$Q$295,"ARGH")</f>
        <v>9000</v>
      </c>
      <c r="GA16" s="3">
        <f>_xlfn.XLOOKUP(GA$1,generator!$B$2:$B$295,generator!$Q$2:$Q$295,"ARGH")</f>
        <v>9000</v>
      </c>
      <c r="GB16" s="3">
        <f>_xlfn.XLOOKUP(GB$1,generator!$B$2:$B$295,generator!$Q$2:$Q$295,"ARGH")</f>
        <v>9000</v>
      </c>
      <c r="GC16" s="3">
        <f>_xlfn.XLOOKUP(GC$1,generator!$B$2:$B$295,generator!$Q$2:$Q$295,"ARGH")</f>
        <v>9000</v>
      </c>
      <c r="GD16" s="3">
        <f>_xlfn.XLOOKUP(GD$1,generator!$B$2:$B$295,generator!$Q$2:$Q$295,"ARGH")</f>
        <v>9000</v>
      </c>
      <c r="GE16" s="3">
        <f>_xlfn.XLOOKUP(GE$1,generator!$B$2:$B$295,generator!$Q$2:$Q$295,"ARGH")</f>
        <v>9000</v>
      </c>
      <c r="GF16" s="3">
        <f>_xlfn.XLOOKUP(GF$1,generator!$B$2:$B$295,generator!$Q$2:$Q$295,"ARGH")</f>
        <v>9000</v>
      </c>
      <c r="GG16" s="3">
        <f>_xlfn.XLOOKUP(GG$1,generator!$B$2:$B$295,generator!$Q$2:$Q$295,"ARGH")</f>
        <v>9000</v>
      </c>
      <c r="GH16" s="3">
        <f>_xlfn.XLOOKUP(GH$1,generator!$B$2:$B$295,generator!$Q$2:$Q$295,"ARGH")</f>
        <v>9000</v>
      </c>
      <c r="GI16" s="3">
        <f>_xlfn.XLOOKUP(GI$1,generator!$B$2:$B$295,generator!$Q$2:$Q$295,"ARGH")</f>
        <v>9000</v>
      </c>
      <c r="GJ16" s="3">
        <f>_xlfn.XLOOKUP(GJ$1,generator!$B$2:$B$295,generator!$Q$2:$Q$295,"ARGH")</f>
        <v>9000</v>
      </c>
      <c r="GK16" s="3">
        <f>_xlfn.XLOOKUP(GK$1,generator!$B$2:$B$295,generator!$Q$2:$Q$295,"ARGH")</f>
        <v>9000</v>
      </c>
      <c r="GL16" s="3">
        <f>_xlfn.XLOOKUP(GL$1,generator!$B$2:$B$295,generator!$Q$2:$Q$295,"ARGH")</f>
        <v>9000</v>
      </c>
      <c r="GM16" s="3">
        <f>_xlfn.XLOOKUP(GM$1,generator!$B$2:$B$295,generator!$Q$2:$Q$295,"ARGH")</f>
        <v>9000</v>
      </c>
      <c r="GN16" s="3">
        <f>_xlfn.XLOOKUP(GN$1,generator!$B$2:$B$295,generator!$Q$2:$Q$295,"ARGH")</f>
        <v>9000</v>
      </c>
      <c r="GO16" s="3">
        <f>_xlfn.XLOOKUP(GO$1,generator!$B$2:$B$295,generator!$Q$2:$Q$295,"ARGH")</f>
        <v>9000</v>
      </c>
      <c r="GP16" s="3">
        <f>_xlfn.XLOOKUP(GP$1,generator!$B$2:$B$295,generator!$Q$2:$Q$295,"ARGH")</f>
        <v>9000</v>
      </c>
      <c r="GQ16" s="3">
        <f>_xlfn.XLOOKUP(GQ$1,generator!$B$2:$B$295,generator!$Q$2:$Q$295,"ARGH")</f>
        <v>9000</v>
      </c>
      <c r="GR16" s="3">
        <f>_xlfn.XLOOKUP(GR$1,generator!$B$2:$B$295,generator!$Q$2:$Q$295,"ARGH")</f>
        <v>9000</v>
      </c>
      <c r="GS16" s="3">
        <f>_xlfn.XLOOKUP(GS$1,generator!$B$2:$B$295,generator!$Q$2:$Q$295,"ARGH")</f>
        <v>9000</v>
      </c>
      <c r="GT16" s="3">
        <f>_xlfn.XLOOKUP(GT$1,generator!$B$2:$B$295,generator!$Q$2:$Q$295,"ARGH")</f>
        <v>9000</v>
      </c>
      <c r="GU16" s="3">
        <f>_xlfn.XLOOKUP(GU$1,generator!$B$2:$B$295,generator!$Q$2:$Q$295,"ARGH")</f>
        <v>9000</v>
      </c>
      <c r="GV16" s="3">
        <f>_xlfn.XLOOKUP(GV$1,generator!$B$2:$B$295,generator!$Q$2:$Q$295,"ARGH")</f>
        <v>9000</v>
      </c>
      <c r="GW16" s="3">
        <f>_xlfn.XLOOKUP(GW$1,generator!$B$2:$B$295,generator!$Q$2:$Q$295,"ARGH")</f>
        <v>9000</v>
      </c>
      <c r="GX16" s="3">
        <f>_xlfn.XLOOKUP(GX$1,generator!$B$2:$B$295,generator!$Q$2:$Q$295,"ARGH")</f>
        <v>9000</v>
      </c>
      <c r="GY16" s="3">
        <f>_xlfn.XLOOKUP(GY$1,generator!$B$2:$B$295,generator!$Q$2:$Q$295,"ARGH")</f>
        <v>9000</v>
      </c>
      <c r="GZ16" s="3">
        <f>_xlfn.XLOOKUP(GZ$1,generator!$B$2:$B$295,generator!$Q$2:$Q$295,"ARGH")</f>
        <v>9000</v>
      </c>
      <c r="HA16" s="3">
        <f>_xlfn.XLOOKUP(HA$1,generator!$B$2:$B$295,generator!$Q$2:$Q$295,"ARGH")</f>
        <v>9000</v>
      </c>
      <c r="HB16" s="3">
        <f>_xlfn.XLOOKUP(HB$1,generator!$B$2:$B$295,generator!$Q$2:$Q$295,"ARGH")</f>
        <v>9000</v>
      </c>
      <c r="HC16" s="3">
        <f>_xlfn.XLOOKUP(HC$1,generator!$B$2:$B$295,generator!$Q$2:$Q$295,"ARGH")</f>
        <v>9000</v>
      </c>
      <c r="HD16" s="3">
        <f>_xlfn.XLOOKUP(HD$1,generator!$B$2:$B$295,generator!$Q$2:$Q$295,"ARGH")</f>
        <v>9000</v>
      </c>
      <c r="HE16" s="3">
        <f>_xlfn.XLOOKUP(HE$1,generator!$B$2:$B$295,generator!$Q$2:$Q$295,"ARGH")</f>
        <v>8000</v>
      </c>
      <c r="HF16" s="3" t="str">
        <f>_xlfn.XLOOKUP(HF$1,generator!$B$2:$B$295,generator!$Q$2:$Q$295,"ARGH")</f>
        <v>143</v>
      </c>
      <c r="HG16" s="3" t="str">
        <f>_xlfn.XLOOKUP(HG$1,generator!$B$2:$B$295,generator!$Q$2:$Q$295,"ARGH")</f>
        <v>143</v>
      </c>
      <c r="HH16" s="3" t="str">
        <f>_xlfn.XLOOKUP(HH$1,generator!$B$2:$B$295,generator!$Q$2:$Q$295,"ARGH")</f>
        <v>143</v>
      </c>
      <c r="HI16" s="3" t="str">
        <f>_xlfn.XLOOKUP(HI$1,generator!$B$2:$B$295,generator!$Q$2:$Q$295,"ARGH")</f>
        <v>246.74</v>
      </c>
      <c r="HJ16" s="3" t="str">
        <f>_xlfn.XLOOKUP(HJ$1,generator!$B$2:$B$295,generator!$Q$2:$Q$295,"ARGH")</f>
        <v>246.74</v>
      </c>
      <c r="HK16" s="3" t="str">
        <f>_xlfn.XLOOKUP(HK$1,generator!$B$2:$B$295,generator!$Q$2:$Q$295,"ARGH")</f>
        <v>206.04</v>
      </c>
      <c r="HL16" s="3" t="str">
        <f>_xlfn.XLOOKUP(HL$1,generator!$B$2:$B$295,generator!$Q$2:$Q$295,"ARGH")</f>
        <v>506.96</v>
      </c>
      <c r="HM16" s="3" t="str">
        <f>_xlfn.XLOOKUP(HM$1,generator!$B$2:$B$295,generator!$Q$2:$Q$295,"ARGH")</f>
        <v>506.95</v>
      </c>
      <c r="HN16" s="3" t="str">
        <f>_xlfn.XLOOKUP(HN$1,generator!$B$2:$B$295,generator!$Q$2:$Q$295,"ARGH")</f>
        <v>190.97</v>
      </c>
      <c r="HO16" s="3" t="str">
        <f>_xlfn.XLOOKUP(HO$1,generator!$B$2:$B$295,generator!$Q$2:$Q$295,"ARGH")</f>
        <v>190.97</v>
      </c>
      <c r="HP16" s="3" t="str">
        <f>_xlfn.XLOOKUP(HP$1,generator!$B$2:$B$295,generator!$Q$2:$Q$295,"ARGH")</f>
        <v>424.84</v>
      </c>
      <c r="HQ16" s="3" t="str">
        <f>_xlfn.XLOOKUP(HQ$1,generator!$B$2:$B$295,generator!$Q$2:$Q$295,"ARGH")</f>
        <v>425.9</v>
      </c>
      <c r="HR16" s="3" t="str">
        <f>_xlfn.XLOOKUP(HR$1,generator!$B$2:$B$295,generator!$Q$2:$Q$295,"ARGH")</f>
        <v>425.9</v>
      </c>
      <c r="HS16" s="3" t="str">
        <f>_xlfn.XLOOKUP(HS$1,generator!$B$2:$B$295,generator!$Q$2:$Q$295,"ARGH")</f>
        <v>196.54</v>
      </c>
      <c r="HT16" s="3" t="str">
        <f>_xlfn.XLOOKUP(HT$1,generator!$B$2:$B$295,generator!$Q$2:$Q$295,"ARGH")</f>
        <v>196.54</v>
      </c>
      <c r="HU16" s="3" t="str">
        <f>_xlfn.XLOOKUP(HU$1,generator!$B$2:$B$295,generator!$Q$2:$Q$295,"ARGH")</f>
        <v>145.57</v>
      </c>
      <c r="HV16" s="3" t="str">
        <f>_xlfn.XLOOKUP(HV$1,generator!$B$2:$B$295,generator!$Q$2:$Q$295,"ARGH")</f>
        <v>132.62</v>
      </c>
      <c r="HW16" s="3" t="str">
        <f>_xlfn.XLOOKUP(HW$1,generator!$B$2:$B$295,generator!$Q$2:$Q$295,"ARGH")</f>
        <v>193.76</v>
      </c>
      <c r="HX16" s="3" t="str">
        <f>_xlfn.XLOOKUP(HX$1,generator!$B$2:$B$295,generator!$Q$2:$Q$295,"ARGH")</f>
        <v>193.76</v>
      </c>
      <c r="HY16" s="3" t="str">
        <f>_xlfn.XLOOKUP(HY$1,generator!$B$2:$B$295,generator!$Q$2:$Q$295,"ARGH")</f>
        <v>79.19</v>
      </c>
      <c r="HZ16" s="3" t="str">
        <f>_xlfn.XLOOKUP(HZ$1,generator!$B$2:$B$295,generator!$Q$2:$Q$295,"ARGH")</f>
        <v>125.79</v>
      </c>
      <c r="IA16" s="3" t="str">
        <f>_xlfn.XLOOKUP(IA$1,generator!$B$2:$B$295,generator!$Q$2:$Q$295,"ARGH")</f>
        <v>54.19</v>
      </c>
      <c r="IB16" s="3" t="str">
        <f>_xlfn.XLOOKUP(IB$1,generator!$B$2:$B$295,generator!$Q$2:$Q$295,"ARGH")</f>
        <v>59.7</v>
      </c>
      <c r="IC16" s="3">
        <f>_xlfn.XLOOKUP(IC$1,generator!$B$2:$B$295,generator!$Q$2:$Q$295,"ARGH")</f>
        <v>0</v>
      </c>
      <c r="ID16" s="3" t="str">
        <f>_xlfn.XLOOKUP(ID$1,generator!$B$2:$B$295,generator!$Q$2:$Q$295,"ARGH")</f>
        <v>121.14</v>
      </c>
      <c r="IE16" s="3" t="str">
        <f>_xlfn.XLOOKUP(IE$1,generator!$B$2:$B$295,generator!$Q$2:$Q$295,"ARGH")</f>
        <v>26.6</v>
      </c>
      <c r="IF16" s="3">
        <f>_xlfn.XLOOKUP(IF$1,generator!$B$2:$B$295,generator!$Q$2:$Q$295,"ARGH")</f>
        <v>8000</v>
      </c>
      <c r="IG16" s="3">
        <f>_xlfn.XLOOKUP(IG$1,generator!$B$2:$B$295,generator!$Q$2:$Q$295,"ARGH")</f>
        <v>8000</v>
      </c>
      <c r="IH16" s="3">
        <f>_xlfn.XLOOKUP(IH$1,generator!$B$2:$B$295,generator!$Q$2:$Q$295,"ARGH")</f>
        <v>8000</v>
      </c>
      <c r="II16" s="3">
        <f>_xlfn.XLOOKUP(II$1,generator!$B$2:$B$295,generator!$Q$2:$Q$295,"ARGH")</f>
        <v>8000</v>
      </c>
      <c r="IJ16" s="3">
        <f>_xlfn.XLOOKUP(IJ$1,generator!$B$2:$B$295,generator!$Q$2:$Q$295,"ARGH")</f>
        <v>8000</v>
      </c>
      <c r="IK16" s="3">
        <f>_xlfn.XLOOKUP(IK$1,generator!$B$2:$B$295,generator!$Q$2:$Q$295,"ARGH")</f>
        <v>8000</v>
      </c>
      <c r="IL16" s="3">
        <f>_xlfn.XLOOKUP(IL$1,generator!$B$2:$B$295,generator!$Q$2:$Q$295,"ARGH")</f>
        <v>8000</v>
      </c>
      <c r="IM16" s="3">
        <f>_xlfn.XLOOKUP(IM$1,generator!$B$2:$B$295,generator!$Q$2:$Q$295,"ARGH")</f>
        <v>8000</v>
      </c>
      <c r="IN16" s="3">
        <f>_xlfn.XLOOKUP(IN$1,generator!$B$2:$B$295,generator!$Q$2:$Q$295,"ARGH")</f>
        <v>8000</v>
      </c>
      <c r="IO16" s="3">
        <f>_xlfn.XLOOKUP(IO$1,generator!$B$2:$B$295,generator!$Q$2:$Q$295,"ARGH")</f>
        <v>8000</v>
      </c>
      <c r="IP16" s="3">
        <f>_xlfn.XLOOKUP(IP$1,generator!$B$2:$B$295,generator!$Q$2:$Q$295,"ARGH")</f>
        <v>8000</v>
      </c>
      <c r="IQ16" s="3">
        <f>_xlfn.XLOOKUP(IQ$1,generator!$B$2:$B$295,generator!$Q$2:$Q$295,"ARGH")</f>
        <v>8000</v>
      </c>
      <c r="IR16" s="3">
        <f>_xlfn.XLOOKUP(IR$1,generator!$B$2:$B$295,generator!$Q$2:$Q$295,"ARGH")</f>
        <v>8000</v>
      </c>
      <c r="IS16" s="3">
        <f>_xlfn.XLOOKUP(IS$1,generator!$B$2:$B$295,generator!$Q$2:$Q$295,"ARGH")</f>
        <v>8000</v>
      </c>
      <c r="IT16" s="3">
        <f>_xlfn.XLOOKUP(IT$1,generator!$B$2:$B$295,generator!$Q$2:$Q$295,"ARGH")</f>
        <v>8000</v>
      </c>
      <c r="IU16" s="3">
        <f>_xlfn.XLOOKUP(IU$1,generator!$B$2:$B$295,generator!$Q$2:$Q$295,"ARGH")</f>
        <v>8000</v>
      </c>
      <c r="IV16" s="3">
        <f>_xlfn.XLOOKUP(IV$1,generator!$B$2:$B$295,generator!$Q$2:$Q$295,"ARGH")</f>
        <v>8000</v>
      </c>
      <c r="IW16" s="3" t="str">
        <f>_xlfn.XLOOKUP(IW$1,generator!$B$2:$B$295,generator!$Q$2:$Q$295,"ARGH")</f>
        <v>108.19</v>
      </c>
      <c r="IX16" s="3" t="str">
        <f>_xlfn.XLOOKUP(IX$1,generator!$B$2:$B$295,generator!$Q$2:$Q$295,"ARGH")</f>
        <v>108.18</v>
      </c>
      <c r="IY16" s="3" t="str">
        <f>_xlfn.XLOOKUP(IY$1,generator!$B$2:$B$295,generator!$Q$2:$Q$295,"ARGH")</f>
        <v>108.17</v>
      </c>
      <c r="IZ16" s="3" t="str">
        <f>_xlfn.XLOOKUP(IZ$1,generator!$B$2:$B$295,generator!$Q$2:$Q$295,"ARGH")</f>
        <v>40.96</v>
      </c>
      <c r="JA16" s="3">
        <f>_xlfn.XLOOKUP(JA$1,generator!$B$2:$B$295,generator!$Q$2:$Q$295,"ARGH")</f>
        <v>0</v>
      </c>
      <c r="JB16" s="3">
        <f>_xlfn.XLOOKUP(JB$1,generator!$B$2:$B$295,generator!$Q$2:$Q$295,"ARGH")</f>
        <v>0</v>
      </c>
      <c r="JC16" s="3" t="str">
        <f>_xlfn.XLOOKUP(JC$1,generator!$B$2:$B$295,generator!$Q$2:$Q$295,"ARGH")</f>
        <v>75.91</v>
      </c>
      <c r="JD16" s="3" t="str">
        <f>_xlfn.XLOOKUP(JD$1,generator!$B$2:$B$295,generator!$Q$2:$Q$295,"ARGH")</f>
        <v>75.91</v>
      </c>
      <c r="JE16" s="3" t="str">
        <f>_xlfn.XLOOKUP(JE$1,generator!$B$2:$B$295,generator!$Q$2:$Q$295,"ARGH")</f>
        <v>51.59</v>
      </c>
      <c r="JF16" s="3" t="str">
        <f>_xlfn.XLOOKUP(JF$1,generator!$B$2:$B$295,generator!$Q$2:$Q$295,"ARGH")</f>
        <v>111.57</v>
      </c>
      <c r="JG16" s="3">
        <f>_xlfn.XLOOKUP(JG$1,generator!$B$2:$B$295,generator!$Q$2:$Q$295,"ARGH")</f>
        <v>0</v>
      </c>
      <c r="JH16" s="3" t="str">
        <f>_xlfn.XLOOKUP(JH$1,generator!$B$2:$B$295,generator!$Q$2:$Q$295,"ARGH")</f>
        <v>48.65</v>
      </c>
      <c r="JI16" s="3" t="str">
        <f>_xlfn.XLOOKUP(JI$1,generator!$B$2:$B$295,generator!$Q$2:$Q$295,"ARGH")</f>
        <v>71.88</v>
      </c>
      <c r="JJ16" s="3" t="str">
        <f>_xlfn.XLOOKUP(JJ$1,generator!$B$2:$B$295,generator!$Q$2:$Q$295,"ARGH")</f>
        <v>98.17</v>
      </c>
      <c r="JK16" s="3" t="str">
        <f>_xlfn.XLOOKUP(JK$1,generator!$B$2:$B$295,generator!$Q$2:$Q$295,"ARGH")</f>
        <v>98.17</v>
      </c>
      <c r="JL16" s="3" t="str">
        <f>_xlfn.XLOOKUP(JL$1,generator!$B$2:$B$295,generator!$Q$2:$Q$295,"ARGH")</f>
        <v>98.17</v>
      </c>
      <c r="JM16" s="3" t="str">
        <f>_xlfn.XLOOKUP(JM$1,generator!$B$2:$B$295,generator!$Q$2:$Q$295,"ARGH")</f>
        <v>98.17</v>
      </c>
      <c r="JN16" s="3" t="str">
        <f>_xlfn.XLOOKUP(JN$1,generator!$B$2:$B$295,generator!$Q$2:$Q$295,"ARGH")</f>
        <v>98.17</v>
      </c>
      <c r="JO16" s="3" t="str">
        <f>_xlfn.XLOOKUP(JO$1,generator!$B$2:$B$295,generator!$Q$2:$Q$295,"ARGH")</f>
        <v>98.17</v>
      </c>
      <c r="JP16" s="3" t="str">
        <f>_xlfn.XLOOKUP(JP$1,generator!$B$2:$B$295,generator!$Q$2:$Q$295,"ARGH")</f>
        <v>47.53</v>
      </c>
      <c r="JQ16" s="3" t="str">
        <f>_xlfn.XLOOKUP(JQ$1,generator!$B$2:$B$295,generator!$Q$2:$Q$295,"ARGH")</f>
        <v>108.86</v>
      </c>
      <c r="JR16" s="3" t="str">
        <f>_xlfn.XLOOKUP(JR$1,generator!$B$2:$B$295,generator!$Q$2:$Q$295,"ARGH")</f>
        <v>83.15</v>
      </c>
      <c r="JS16" s="3" t="str">
        <f>_xlfn.XLOOKUP(JS$1,generator!$B$2:$B$295,generator!$Q$2:$Q$295,"ARGH")</f>
        <v>83.15</v>
      </c>
      <c r="JT16" s="3" t="str">
        <f>_xlfn.XLOOKUP(JT$1,generator!$B$2:$B$295,generator!$Q$2:$Q$295,"ARGH")</f>
        <v>108.86</v>
      </c>
      <c r="JU16" s="3">
        <f>_xlfn.XLOOKUP(JU$1,generator!$B$2:$B$295,generator!$Q$2:$Q$295,"ARGH")</f>
        <v>0</v>
      </c>
      <c r="JV16" s="3" t="str">
        <f>_xlfn.XLOOKUP(JV$1,generator!$B$2:$B$295,generator!$Q$2:$Q$295,"ARGH")</f>
        <v>77.63</v>
      </c>
      <c r="JW16" s="3" t="str">
        <f>_xlfn.XLOOKUP(JW$1,generator!$B$2:$B$295,generator!$Q$2:$Q$295,"ARGH")</f>
        <v>77.64</v>
      </c>
      <c r="JX16" s="3" t="str">
        <f>_xlfn.XLOOKUP(JX$1,generator!$B$2:$B$295,generator!$Q$2:$Q$295,"ARGH")</f>
        <v>331.49</v>
      </c>
      <c r="JY16" s="3">
        <f>_xlfn.XLOOKUP(JY$1,generator!$B$2:$B$295,generator!$Q$2:$Q$295,"ARGH")</f>
        <v>7000</v>
      </c>
      <c r="JZ16" s="3">
        <f>_xlfn.XLOOKUP(JZ$1,generator!$B$2:$B$295,generator!$Q$2:$Q$295,"ARGH")</f>
        <v>0</v>
      </c>
      <c r="KA16" s="3">
        <f>_xlfn.XLOOKUP(KA$1,generator!$B$2:$B$295,generator!$Q$2:$Q$295,"ARGH")</f>
        <v>0</v>
      </c>
      <c r="KB16" s="3">
        <f>_xlfn.XLOOKUP(KB$1,generator!$B$2:$B$295,generator!$Q$2:$Q$295,"ARGH")</f>
        <v>0</v>
      </c>
      <c r="KC16" s="3">
        <f>_xlfn.XLOOKUP(KC$1,generator!$B$2:$B$295,generator!$Q$2:$Q$295,"ARGH")</f>
        <v>0</v>
      </c>
    </row>
    <row r="17" spans="1:289" x14ac:dyDescent="0.3">
      <c r="A17" s="4" t="s">
        <v>3012</v>
      </c>
      <c r="B17" s="3">
        <v>15000</v>
      </c>
      <c r="C17" s="3">
        <v>15000</v>
      </c>
      <c r="D17" s="3">
        <v>15000</v>
      </c>
      <c r="E17" s="3">
        <f>_xlfn.XLOOKUP(E$1,generator!$B$2:$B$295,generator!$Q$2:$Q$295,"ARGH")</f>
        <v>9000</v>
      </c>
      <c r="F17" s="3">
        <f>_xlfn.XLOOKUP(F$1,generator!$B$2:$B$295,generator!$Q$2:$Q$295,"ARGH")</f>
        <v>9000</v>
      </c>
      <c r="G17" s="3">
        <f>_xlfn.XLOOKUP(G$1,generator!$B$2:$B$295,generator!$Q$2:$Q$295,"ARGH")</f>
        <v>9000</v>
      </c>
      <c r="H17" s="3">
        <f>_xlfn.XLOOKUP(H$1,generator!$B$2:$B$295,generator!$Q$2:$Q$295,"ARGH")</f>
        <v>9000</v>
      </c>
      <c r="I17" s="3">
        <f>_xlfn.XLOOKUP(I$1,generator!$B$2:$B$295,generator!$Q$2:$Q$295,"ARGH")</f>
        <v>9000</v>
      </c>
      <c r="J17" s="3">
        <f>_xlfn.XLOOKUP(J$1,generator!$B$2:$B$295,generator!$Q$2:$Q$295,"ARGH")</f>
        <v>9000</v>
      </c>
      <c r="K17" s="3">
        <f>_xlfn.XLOOKUP(K$1,generator!$B$2:$B$295,generator!$Q$2:$Q$295,"ARGH")</f>
        <v>9000</v>
      </c>
      <c r="L17" s="3">
        <f>_xlfn.XLOOKUP(L$1,generator!$B$2:$B$295,generator!$Q$2:$Q$295,"ARGH")</f>
        <v>9000</v>
      </c>
      <c r="M17" s="3">
        <f>_xlfn.XLOOKUP(M$1,generator!$B$2:$B$295,generator!$Q$2:$Q$295,"ARGH")</f>
        <v>9000</v>
      </c>
      <c r="N17" s="3">
        <f>_xlfn.XLOOKUP(N$1,generator!$B$2:$B$295,generator!$Q$2:$Q$295,"ARGH")</f>
        <v>9000</v>
      </c>
      <c r="O17" s="3">
        <f>_xlfn.XLOOKUP(O$1,generator!$B$2:$B$295,generator!$Q$2:$Q$295,"ARGH")</f>
        <v>9000</v>
      </c>
      <c r="P17" s="3">
        <f>_xlfn.XLOOKUP(P$1,generator!$B$2:$B$295,generator!$Q$2:$Q$295,"ARGH")</f>
        <v>9000</v>
      </c>
      <c r="Q17" s="3">
        <f>_xlfn.XLOOKUP(Q$1,generator!$B$2:$B$295,generator!$Q$2:$Q$295,"ARGH")</f>
        <v>9000</v>
      </c>
      <c r="R17" s="3">
        <f>_xlfn.XLOOKUP(R$1,generator!$B$2:$B$295,generator!$Q$2:$Q$295,"ARGH")</f>
        <v>9000</v>
      </c>
      <c r="S17" s="3">
        <f>_xlfn.XLOOKUP(S$1,generator!$B$2:$B$295,generator!$Q$2:$Q$295,"ARGH")</f>
        <v>9000</v>
      </c>
      <c r="T17" s="3">
        <f>_xlfn.XLOOKUP(T$1,generator!$B$2:$B$295,generator!$Q$2:$Q$295,"ARGH")</f>
        <v>9000</v>
      </c>
      <c r="U17" s="3">
        <f>_xlfn.XLOOKUP(U$1,generator!$B$2:$B$295,generator!$Q$2:$Q$295,"ARGH")</f>
        <v>9000</v>
      </c>
      <c r="V17" s="3">
        <f>_xlfn.XLOOKUP(V$1,generator!$B$2:$B$295,generator!$Q$2:$Q$295,"ARGH")</f>
        <v>9000</v>
      </c>
      <c r="W17" s="3">
        <f>_xlfn.XLOOKUP(W$1,generator!$B$2:$B$295,generator!$Q$2:$Q$295,"ARGH")</f>
        <v>9000</v>
      </c>
      <c r="X17" s="3">
        <f>_xlfn.XLOOKUP(X$1,generator!$B$2:$B$295,generator!$Q$2:$Q$295,"ARGH")</f>
        <v>9000</v>
      </c>
      <c r="Y17" s="3">
        <f>_xlfn.XLOOKUP(Y$1,generator!$B$2:$B$295,generator!$Q$2:$Q$295,"ARGH")</f>
        <v>9000</v>
      </c>
      <c r="Z17" s="3">
        <f>_xlfn.XLOOKUP(Z$1,generator!$B$2:$B$295,generator!$Q$2:$Q$295,"ARGH")</f>
        <v>9000</v>
      </c>
      <c r="AA17" s="3">
        <f>_xlfn.XLOOKUP(AA$1,generator!$B$2:$B$295,generator!$Q$2:$Q$295,"ARGH")</f>
        <v>9000</v>
      </c>
      <c r="AB17" s="3">
        <f>_xlfn.XLOOKUP(AB$1,generator!$B$2:$B$295,generator!$Q$2:$Q$295,"ARGH")</f>
        <v>9000</v>
      </c>
      <c r="AC17" s="3">
        <f>_xlfn.XLOOKUP(AC$1,generator!$B$2:$B$295,generator!$Q$2:$Q$295,"ARGH")</f>
        <v>9000</v>
      </c>
      <c r="AD17" s="3">
        <f>_xlfn.XLOOKUP(AD$1,generator!$B$2:$B$295,generator!$Q$2:$Q$295,"ARGH")</f>
        <v>9000</v>
      </c>
      <c r="AE17" s="3">
        <f>_xlfn.XLOOKUP(AE$1,generator!$B$2:$B$295,generator!$Q$2:$Q$295,"ARGH")</f>
        <v>9000</v>
      </c>
      <c r="AF17" s="3">
        <f>_xlfn.XLOOKUP(AF$1,generator!$B$2:$B$295,generator!$Q$2:$Q$295,"ARGH")</f>
        <v>9000</v>
      </c>
      <c r="AG17" s="3">
        <f>_xlfn.XLOOKUP(AG$1,generator!$B$2:$B$295,generator!$Q$2:$Q$295,"ARGH")</f>
        <v>9000</v>
      </c>
      <c r="AH17" s="3">
        <f>_xlfn.XLOOKUP(AH$1,generator!$B$2:$B$295,generator!$Q$2:$Q$295,"ARGH")</f>
        <v>9000</v>
      </c>
      <c r="AI17" s="3">
        <f>_xlfn.XLOOKUP(AI$1,generator!$B$2:$B$295,generator!$Q$2:$Q$295,"ARGH")</f>
        <v>9000</v>
      </c>
      <c r="AJ17" s="3">
        <f>_xlfn.XLOOKUP(AJ$1,generator!$B$2:$B$295,generator!$Q$2:$Q$295,"ARGH")</f>
        <v>9000</v>
      </c>
      <c r="AK17" s="3">
        <f>_xlfn.XLOOKUP(AK$1,generator!$B$2:$B$295,generator!$Q$2:$Q$295,"ARGH")</f>
        <v>9000</v>
      </c>
      <c r="AL17" s="3">
        <f>_xlfn.XLOOKUP(AL$1,generator!$B$2:$B$295,generator!$Q$2:$Q$295,"ARGH")</f>
        <v>9000</v>
      </c>
      <c r="AM17" s="3">
        <f>_xlfn.XLOOKUP(AM$1,generator!$B$2:$B$295,generator!$Q$2:$Q$295,"ARGH")</f>
        <v>9000</v>
      </c>
      <c r="AN17" s="3">
        <f>_xlfn.XLOOKUP(AN$1,generator!$B$2:$B$295,generator!$Q$2:$Q$295,"ARGH")</f>
        <v>9000</v>
      </c>
      <c r="AO17" s="3">
        <f>_xlfn.XLOOKUP(AO$1,generator!$B$2:$B$295,generator!$Q$2:$Q$295,"ARGH")</f>
        <v>9000</v>
      </c>
      <c r="AP17" s="3">
        <f>_xlfn.XLOOKUP(AP$1,generator!$B$2:$B$295,generator!$Q$2:$Q$295,"ARGH")</f>
        <v>9000</v>
      </c>
      <c r="AQ17" s="3">
        <f>_xlfn.XLOOKUP(AQ$1,generator!$B$2:$B$295,generator!$Q$2:$Q$295,"ARGH")</f>
        <v>9000</v>
      </c>
      <c r="AR17" s="3">
        <f>_xlfn.XLOOKUP(AR$1,generator!$B$2:$B$295,generator!$Q$2:$Q$295,"ARGH")</f>
        <v>9000</v>
      </c>
      <c r="AS17" s="3">
        <f>_xlfn.XLOOKUP(AS$1,generator!$B$2:$B$295,generator!$Q$2:$Q$295,"ARGH")</f>
        <v>9000</v>
      </c>
      <c r="AT17" s="3">
        <f>_xlfn.XLOOKUP(AT$1,generator!$B$2:$B$295,generator!$Q$2:$Q$295,"ARGH")</f>
        <v>9000</v>
      </c>
      <c r="AU17" s="3">
        <f>_xlfn.XLOOKUP(AU$1,generator!$B$2:$B$295,generator!$Q$2:$Q$295,"ARGH")</f>
        <v>9000</v>
      </c>
      <c r="AV17" s="3">
        <f>_xlfn.XLOOKUP(AV$1,generator!$B$2:$B$295,generator!$Q$2:$Q$295,"ARGH")</f>
        <v>9000</v>
      </c>
      <c r="AW17" s="3">
        <f>_xlfn.XLOOKUP(AW$1,generator!$B$2:$B$295,generator!$Q$2:$Q$295,"ARGH")</f>
        <v>9000</v>
      </c>
      <c r="AX17" s="3">
        <f>_xlfn.XLOOKUP(AX$1,generator!$B$2:$B$295,generator!$Q$2:$Q$295,"ARGH")</f>
        <v>9000</v>
      </c>
      <c r="AY17" s="3">
        <f>_xlfn.XLOOKUP(AY$1,generator!$B$2:$B$295,generator!$Q$2:$Q$295,"ARGH")</f>
        <v>9000</v>
      </c>
      <c r="AZ17" s="3">
        <f>_xlfn.XLOOKUP(AZ$1,generator!$B$2:$B$295,generator!$Q$2:$Q$295,"ARGH")</f>
        <v>9000</v>
      </c>
      <c r="BA17" s="3">
        <f>_xlfn.XLOOKUP(BA$1,generator!$B$2:$B$295,generator!$Q$2:$Q$295,"ARGH")</f>
        <v>9000</v>
      </c>
      <c r="BB17" s="3">
        <f>_xlfn.XLOOKUP(BB$1,generator!$B$2:$B$295,generator!$Q$2:$Q$295,"ARGH")</f>
        <v>9000</v>
      </c>
      <c r="BC17" s="3">
        <f>_xlfn.XLOOKUP(BC$1,generator!$B$2:$B$295,generator!$Q$2:$Q$295,"ARGH")</f>
        <v>9000</v>
      </c>
      <c r="BD17" s="3">
        <f>_xlfn.XLOOKUP(BD$1,generator!$B$2:$B$295,generator!$Q$2:$Q$295,"ARGH")</f>
        <v>9000</v>
      </c>
      <c r="BE17" s="3">
        <f>_xlfn.XLOOKUP(BE$1,generator!$B$2:$B$295,generator!$Q$2:$Q$295,"ARGH")</f>
        <v>9000</v>
      </c>
      <c r="BF17" s="3">
        <f>_xlfn.XLOOKUP(BF$1,generator!$B$2:$B$295,generator!$Q$2:$Q$295,"ARGH")</f>
        <v>9000</v>
      </c>
      <c r="BG17" s="3">
        <f>_xlfn.XLOOKUP(BG$1,generator!$B$2:$B$295,generator!$Q$2:$Q$295,"ARGH")</f>
        <v>9000</v>
      </c>
      <c r="BH17" s="3">
        <f>_xlfn.XLOOKUP(BH$1,generator!$B$2:$B$295,generator!$Q$2:$Q$295,"ARGH")</f>
        <v>9000</v>
      </c>
      <c r="BI17" s="3">
        <f>_xlfn.XLOOKUP(BI$1,generator!$B$2:$B$295,generator!$Q$2:$Q$295,"ARGH")</f>
        <v>9000</v>
      </c>
      <c r="BJ17" s="3">
        <f>_xlfn.XLOOKUP(BJ$1,generator!$B$2:$B$295,generator!$Q$2:$Q$295,"ARGH")</f>
        <v>9000</v>
      </c>
      <c r="BK17" s="3">
        <f>_xlfn.XLOOKUP(BK$1,generator!$B$2:$B$295,generator!$Q$2:$Q$295,"ARGH")</f>
        <v>9000</v>
      </c>
      <c r="BL17" s="3">
        <f>_xlfn.XLOOKUP(BL$1,generator!$B$2:$B$295,generator!$Q$2:$Q$295,"ARGH")</f>
        <v>9000</v>
      </c>
      <c r="BM17" s="3">
        <f>_xlfn.XLOOKUP(BM$1,generator!$B$2:$B$295,generator!$Q$2:$Q$295,"ARGH")</f>
        <v>9000</v>
      </c>
      <c r="BN17" s="3">
        <f>_xlfn.XLOOKUP(BN$1,generator!$B$2:$B$295,generator!$Q$2:$Q$295,"ARGH")</f>
        <v>9000</v>
      </c>
      <c r="BO17" s="3">
        <f>_xlfn.XLOOKUP(BO$1,generator!$B$2:$B$295,generator!$Q$2:$Q$295,"ARGH")</f>
        <v>9000</v>
      </c>
      <c r="BP17" s="3">
        <f>_xlfn.XLOOKUP(BP$1,generator!$B$2:$B$295,generator!$Q$2:$Q$295,"ARGH")</f>
        <v>9000</v>
      </c>
      <c r="BQ17" s="3">
        <f>_xlfn.XLOOKUP(BQ$1,generator!$B$2:$B$295,generator!$Q$2:$Q$295,"ARGH")</f>
        <v>9000</v>
      </c>
      <c r="BR17" s="3">
        <f>_xlfn.XLOOKUP(BR$1,generator!$B$2:$B$295,generator!$Q$2:$Q$295,"ARGH")</f>
        <v>9000</v>
      </c>
      <c r="BS17" s="3">
        <f>_xlfn.XLOOKUP(BS$1,generator!$B$2:$B$295,generator!$Q$2:$Q$295,"ARGH")</f>
        <v>9000</v>
      </c>
      <c r="BT17" s="3">
        <f>_xlfn.XLOOKUP(BT$1,generator!$B$2:$B$295,generator!$Q$2:$Q$295,"ARGH")</f>
        <v>9000</v>
      </c>
      <c r="BU17" s="3">
        <f>_xlfn.XLOOKUP(BU$1,generator!$B$2:$B$295,generator!$Q$2:$Q$295,"ARGH")</f>
        <v>9000</v>
      </c>
      <c r="BV17" s="3">
        <f>_xlfn.XLOOKUP(BV$1,generator!$B$2:$B$295,generator!$Q$2:$Q$295,"ARGH")</f>
        <v>9000</v>
      </c>
      <c r="BW17" s="3">
        <f>_xlfn.XLOOKUP(BW$1,generator!$B$2:$B$295,generator!$Q$2:$Q$295,"ARGH")</f>
        <v>9000</v>
      </c>
      <c r="BX17" s="3">
        <f>_xlfn.XLOOKUP(BX$1,generator!$B$2:$B$295,generator!$Q$2:$Q$295,"ARGH")</f>
        <v>9000</v>
      </c>
      <c r="BY17" s="3">
        <f>_xlfn.XLOOKUP(BY$1,generator!$B$2:$B$295,generator!$Q$2:$Q$295,"ARGH")</f>
        <v>9000</v>
      </c>
      <c r="BZ17" s="3">
        <f>_xlfn.XLOOKUP(BZ$1,generator!$B$2:$B$295,generator!$Q$2:$Q$295,"ARGH")</f>
        <v>9000</v>
      </c>
      <c r="CA17" s="3">
        <f>_xlfn.XLOOKUP(CA$1,generator!$B$2:$B$295,generator!$Q$2:$Q$295,"ARGH")</f>
        <v>9000</v>
      </c>
      <c r="CB17" s="3">
        <f>_xlfn.XLOOKUP(CB$1,generator!$B$2:$B$295,generator!$Q$2:$Q$295,"ARGH")</f>
        <v>9000</v>
      </c>
      <c r="CC17" s="3">
        <f>_xlfn.XLOOKUP(CC$1,generator!$B$2:$B$295,generator!$Q$2:$Q$295,"ARGH")</f>
        <v>9000</v>
      </c>
      <c r="CD17" s="3">
        <f>_xlfn.XLOOKUP(CD$1,generator!$B$2:$B$295,generator!$Q$2:$Q$295,"ARGH")</f>
        <v>9000</v>
      </c>
      <c r="CE17" s="3">
        <f>_xlfn.XLOOKUP(CE$1,generator!$B$2:$B$295,generator!$Q$2:$Q$295,"ARGH")</f>
        <v>9000</v>
      </c>
      <c r="CF17" s="3">
        <f>_xlfn.XLOOKUP(CF$1,generator!$B$2:$B$295,generator!$Q$2:$Q$295,"ARGH")</f>
        <v>9000</v>
      </c>
      <c r="CG17" s="3">
        <f>_xlfn.XLOOKUP(CG$1,generator!$B$2:$B$295,generator!$Q$2:$Q$295,"ARGH")</f>
        <v>9000</v>
      </c>
      <c r="CH17" s="3">
        <f>_xlfn.XLOOKUP(CH$1,generator!$B$2:$B$295,generator!$Q$2:$Q$295,"ARGH")</f>
        <v>9000</v>
      </c>
      <c r="CI17" s="3">
        <f>_xlfn.XLOOKUP(CI$1,generator!$B$2:$B$295,generator!$Q$2:$Q$295,"ARGH")</f>
        <v>9000</v>
      </c>
      <c r="CJ17" s="3">
        <f>_xlfn.XLOOKUP(CJ$1,generator!$B$2:$B$295,generator!$Q$2:$Q$295,"ARGH")</f>
        <v>9000</v>
      </c>
      <c r="CK17" s="3">
        <f>_xlfn.XLOOKUP(CK$1,generator!$B$2:$B$295,generator!$Q$2:$Q$295,"ARGH")</f>
        <v>9000</v>
      </c>
      <c r="CL17" s="3">
        <f>_xlfn.XLOOKUP(CL$1,generator!$B$2:$B$295,generator!$Q$2:$Q$295,"ARGH")</f>
        <v>9000</v>
      </c>
      <c r="CM17" s="3">
        <f>_xlfn.XLOOKUP(CM$1,generator!$B$2:$B$295,generator!$Q$2:$Q$295,"ARGH")</f>
        <v>9000</v>
      </c>
      <c r="CN17" s="3">
        <f>_xlfn.XLOOKUP(CN$1,generator!$B$2:$B$295,generator!$Q$2:$Q$295,"ARGH")</f>
        <v>9000</v>
      </c>
      <c r="CO17" s="3">
        <f>_xlfn.XLOOKUP(CO$1,generator!$B$2:$B$295,generator!$Q$2:$Q$295,"ARGH")</f>
        <v>9000</v>
      </c>
      <c r="CP17" s="3">
        <f>_xlfn.XLOOKUP(CP$1,generator!$B$2:$B$295,generator!$Q$2:$Q$295,"ARGH")</f>
        <v>9000</v>
      </c>
      <c r="CQ17" s="3">
        <f>_xlfn.XLOOKUP(CQ$1,generator!$B$2:$B$295,generator!$Q$2:$Q$295,"ARGH")</f>
        <v>9000</v>
      </c>
      <c r="CR17" s="3">
        <f>_xlfn.XLOOKUP(CR$1,generator!$B$2:$B$295,generator!$Q$2:$Q$295,"ARGH")</f>
        <v>9000</v>
      </c>
      <c r="CS17" s="3">
        <f>_xlfn.XLOOKUP(CS$1,generator!$B$2:$B$295,generator!$Q$2:$Q$295,"ARGH")</f>
        <v>9000</v>
      </c>
      <c r="CT17" s="3">
        <f>_xlfn.XLOOKUP(CT$1,generator!$B$2:$B$295,generator!$Q$2:$Q$295,"ARGH")</f>
        <v>9000</v>
      </c>
      <c r="CU17" s="3">
        <f>_xlfn.XLOOKUP(CU$1,generator!$B$2:$B$295,generator!$Q$2:$Q$295,"ARGH")</f>
        <v>9000</v>
      </c>
      <c r="CV17" s="3">
        <f>_xlfn.XLOOKUP(CV$1,generator!$B$2:$B$295,generator!$Q$2:$Q$295,"ARGH")</f>
        <v>9000</v>
      </c>
      <c r="CW17" s="3">
        <f>_xlfn.XLOOKUP(CW$1,generator!$B$2:$B$295,generator!$Q$2:$Q$295,"ARGH")</f>
        <v>9000</v>
      </c>
      <c r="CX17" s="3">
        <f>_xlfn.XLOOKUP(CX$1,generator!$B$2:$B$295,generator!$Q$2:$Q$295,"ARGH")</f>
        <v>9000</v>
      </c>
      <c r="CY17" s="3">
        <f>_xlfn.XLOOKUP(CY$1,generator!$B$2:$B$295,generator!$Q$2:$Q$295,"ARGH")</f>
        <v>9000</v>
      </c>
      <c r="CZ17" s="3">
        <f>_xlfn.XLOOKUP(CZ$1,generator!$B$2:$B$295,generator!$Q$2:$Q$295,"ARGH")</f>
        <v>9000</v>
      </c>
      <c r="DA17" s="3">
        <f>_xlfn.XLOOKUP(DA$1,generator!$B$2:$B$295,generator!$Q$2:$Q$295,"ARGH")</f>
        <v>9000</v>
      </c>
      <c r="DB17" s="3">
        <f>_xlfn.XLOOKUP(DB$1,generator!$B$2:$B$295,generator!$Q$2:$Q$295,"ARGH")</f>
        <v>9000</v>
      </c>
      <c r="DC17" s="3">
        <f>_xlfn.XLOOKUP(DC$1,generator!$B$2:$B$295,generator!$Q$2:$Q$295,"ARGH")</f>
        <v>9000</v>
      </c>
      <c r="DD17" s="3">
        <f>_xlfn.XLOOKUP(DD$1,generator!$B$2:$B$295,generator!$Q$2:$Q$295,"ARGH")</f>
        <v>9000</v>
      </c>
      <c r="DE17" s="3">
        <f>_xlfn.XLOOKUP(DE$1,generator!$B$2:$B$295,generator!$Q$2:$Q$295,"ARGH")</f>
        <v>9000</v>
      </c>
      <c r="DF17" s="3">
        <f>_xlfn.XLOOKUP(DF$1,generator!$B$2:$B$295,generator!$Q$2:$Q$295,"ARGH")</f>
        <v>9000</v>
      </c>
      <c r="DG17" s="3">
        <f>_xlfn.XLOOKUP(DG$1,generator!$B$2:$B$295,generator!$Q$2:$Q$295,"ARGH")</f>
        <v>9000</v>
      </c>
      <c r="DH17" s="3">
        <f>_xlfn.XLOOKUP(DH$1,generator!$B$2:$B$295,generator!$Q$2:$Q$295,"ARGH")</f>
        <v>9000</v>
      </c>
      <c r="DI17" s="3">
        <f>_xlfn.XLOOKUP(DI$1,generator!$B$2:$B$295,generator!$Q$2:$Q$295,"ARGH")</f>
        <v>9000</v>
      </c>
      <c r="DJ17" s="3">
        <f>_xlfn.XLOOKUP(DJ$1,generator!$B$2:$B$295,generator!$Q$2:$Q$295,"ARGH")</f>
        <v>9000</v>
      </c>
      <c r="DK17" s="3">
        <f>_xlfn.XLOOKUP(DK$1,generator!$B$2:$B$295,generator!$Q$2:$Q$295,"ARGH")</f>
        <v>9000</v>
      </c>
      <c r="DL17" s="3">
        <f>_xlfn.XLOOKUP(DL$1,generator!$B$2:$B$295,generator!$Q$2:$Q$295,"ARGH")</f>
        <v>9000</v>
      </c>
      <c r="DM17" s="3">
        <f>_xlfn.XLOOKUP(DM$1,generator!$B$2:$B$295,generator!$Q$2:$Q$295,"ARGH")</f>
        <v>9000</v>
      </c>
      <c r="DN17" s="3">
        <f>_xlfn.XLOOKUP(DN$1,generator!$B$2:$B$295,generator!$Q$2:$Q$295,"ARGH")</f>
        <v>9000</v>
      </c>
      <c r="DO17" s="3">
        <f>_xlfn.XLOOKUP(DO$1,generator!$B$2:$B$295,generator!$Q$2:$Q$295,"ARGH")</f>
        <v>9000</v>
      </c>
      <c r="DP17" s="3">
        <f>_xlfn.XLOOKUP(DP$1,generator!$B$2:$B$295,generator!$Q$2:$Q$295,"ARGH")</f>
        <v>9000</v>
      </c>
      <c r="DQ17" s="3">
        <f>_xlfn.XLOOKUP(DQ$1,generator!$B$2:$B$295,generator!$Q$2:$Q$295,"ARGH")</f>
        <v>9000</v>
      </c>
      <c r="DR17" s="3">
        <f>_xlfn.XLOOKUP(DR$1,generator!$B$2:$B$295,generator!$Q$2:$Q$295,"ARGH")</f>
        <v>9000</v>
      </c>
      <c r="DS17" s="3">
        <f>_xlfn.XLOOKUP(DS$1,generator!$B$2:$B$295,generator!$Q$2:$Q$295,"ARGH")</f>
        <v>9000</v>
      </c>
      <c r="DT17" s="3">
        <f>_xlfn.XLOOKUP(DT$1,generator!$B$2:$B$295,generator!$Q$2:$Q$295,"ARGH")</f>
        <v>9000</v>
      </c>
      <c r="DU17" s="3">
        <f>_xlfn.XLOOKUP(DU$1,generator!$B$2:$B$295,generator!$Q$2:$Q$295,"ARGH")</f>
        <v>9000</v>
      </c>
      <c r="DV17" s="3">
        <f>_xlfn.XLOOKUP(DV$1,generator!$B$2:$B$295,generator!$Q$2:$Q$295,"ARGH")</f>
        <v>9000</v>
      </c>
      <c r="DW17" s="3">
        <f>_xlfn.XLOOKUP(DW$1,generator!$B$2:$B$295,generator!$Q$2:$Q$295,"ARGH")</f>
        <v>9000</v>
      </c>
      <c r="DX17" s="3">
        <f>_xlfn.XLOOKUP(DX$1,generator!$B$2:$B$295,generator!$Q$2:$Q$295,"ARGH")</f>
        <v>9000</v>
      </c>
      <c r="DY17" s="3">
        <f>_xlfn.XLOOKUP(DY$1,generator!$B$2:$B$295,generator!$Q$2:$Q$295,"ARGH")</f>
        <v>9000</v>
      </c>
      <c r="DZ17" s="3">
        <f>_xlfn.XLOOKUP(DZ$1,generator!$B$2:$B$295,generator!$Q$2:$Q$295,"ARGH")</f>
        <v>9000</v>
      </c>
      <c r="EA17" s="3">
        <f>_xlfn.XLOOKUP(EA$1,generator!$B$2:$B$295,generator!$Q$2:$Q$295,"ARGH")</f>
        <v>9000</v>
      </c>
      <c r="EB17" s="3">
        <f>_xlfn.XLOOKUP(EB$1,generator!$B$2:$B$295,generator!$Q$2:$Q$295,"ARGH")</f>
        <v>9000</v>
      </c>
      <c r="EC17" s="3">
        <f>_xlfn.XLOOKUP(EC$1,generator!$B$2:$B$295,generator!$Q$2:$Q$295,"ARGH")</f>
        <v>9000</v>
      </c>
      <c r="ED17" s="3">
        <f>_xlfn.XLOOKUP(ED$1,generator!$B$2:$B$295,generator!$Q$2:$Q$295,"ARGH")</f>
        <v>9000</v>
      </c>
      <c r="EE17" s="3">
        <f>_xlfn.XLOOKUP(EE$1,generator!$B$2:$B$295,generator!$Q$2:$Q$295,"ARGH")</f>
        <v>9000</v>
      </c>
      <c r="EF17" s="3">
        <f>_xlfn.XLOOKUP(EF$1,generator!$B$2:$B$295,generator!$Q$2:$Q$295,"ARGH")</f>
        <v>9000</v>
      </c>
      <c r="EG17" s="3">
        <f>_xlfn.XLOOKUP(EG$1,generator!$B$2:$B$295,generator!$Q$2:$Q$295,"ARGH")</f>
        <v>9000</v>
      </c>
      <c r="EH17" s="3">
        <f>_xlfn.XLOOKUP(EH$1,generator!$B$2:$B$295,generator!$Q$2:$Q$295,"ARGH")</f>
        <v>9000</v>
      </c>
      <c r="EI17" s="3">
        <f>_xlfn.XLOOKUP(EI$1,generator!$B$2:$B$295,generator!$Q$2:$Q$295,"ARGH")</f>
        <v>9000</v>
      </c>
      <c r="EJ17" s="3">
        <f>_xlfn.XLOOKUP(EJ$1,generator!$B$2:$B$295,generator!$Q$2:$Q$295,"ARGH")</f>
        <v>9000</v>
      </c>
      <c r="EK17" s="3">
        <f>_xlfn.XLOOKUP(EK$1,generator!$B$2:$B$295,generator!$Q$2:$Q$295,"ARGH")</f>
        <v>9000</v>
      </c>
      <c r="EL17" s="3">
        <f>_xlfn.XLOOKUP(EL$1,generator!$B$2:$B$295,generator!$Q$2:$Q$295,"ARGH")</f>
        <v>9000</v>
      </c>
      <c r="EM17" s="3">
        <f>_xlfn.XLOOKUP(EM$1,generator!$B$2:$B$295,generator!$Q$2:$Q$295,"ARGH")</f>
        <v>9000</v>
      </c>
      <c r="EN17" s="3">
        <f>_xlfn.XLOOKUP(EN$1,generator!$B$2:$B$295,generator!$Q$2:$Q$295,"ARGH")</f>
        <v>9000</v>
      </c>
      <c r="EO17" s="3">
        <f>_xlfn.XLOOKUP(EO$1,generator!$B$2:$B$295,generator!$Q$2:$Q$295,"ARGH")</f>
        <v>9000</v>
      </c>
      <c r="EP17" s="3">
        <f>_xlfn.XLOOKUP(EP$1,generator!$B$2:$B$295,generator!$Q$2:$Q$295,"ARGH")</f>
        <v>9000</v>
      </c>
      <c r="EQ17" s="3">
        <f>_xlfn.XLOOKUP(EQ$1,generator!$B$2:$B$295,generator!$Q$2:$Q$295,"ARGH")</f>
        <v>9000</v>
      </c>
      <c r="ER17" s="3">
        <f>_xlfn.XLOOKUP(ER$1,generator!$B$2:$B$295,generator!$Q$2:$Q$295,"ARGH")</f>
        <v>9000</v>
      </c>
      <c r="ES17" s="3">
        <f>_xlfn.XLOOKUP(ES$1,generator!$B$2:$B$295,generator!$Q$2:$Q$295,"ARGH")</f>
        <v>9000</v>
      </c>
      <c r="ET17" s="3">
        <f>_xlfn.XLOOKUP(ET$1,generator!$B$2:$B$295,generator!$Q$2:$Q$295,"ARGH")</f>
        <v>9000</v>
      </c>
      <c r="EU17" s="3">
        <f>_xlfn.XLOOKUP(EU$1,generator!$B$2:$B$295,generator!$Q$2:$Q$295,"ARGH")</f>
        <v>9000</v>
      </c>
      <c r="EV17" s="3">
        <f>_xlfn.XLOOKUP(EV$1,generator!$B$2:$B$295,generator!$Q$2:$Q$295,"ARGH")</f>
        <v>9000</v>
      </c>
      <c r="EW17" s="3">
        <f>_xlfn.XLOOKUP(EW$1,generator!$B$2:$B$295,generator!$Q$2:$Q$295,"ARGH")</f>
        <v>9000</v>
      </c>
      <c r="EX17" s="3">
        <f>_xlfn.XLOOKUP(EX$1,generator!$B$2:$B$295,generator!$Q$2:$Q$295,"ARGH")</f>
        <v>9000</v>
      </c>
      <c r="EY17" s="3">
        <f>_xlfn.XLOOKUP(EY$1,generator!$B$2:$B$295,generator!$Q$2:$Q$295,"ARGH")</f>
        <v>9000</v>
      </c>
      <c r="EZ17" s="3">
        <f>_xlfn.XLOOKUP(EZ$1,generator!$B$2:$B$295,generator!$Q$2:$Q$295,"ARGH")</f>
        <v>9000</v>
      </c>
      <c r="FA17" s="3">
        <f>_xlfn.XLOOKUP(FA$1,generator!$B$2:$B$295,generator!$Q$2:$Q$295,"ARGH")</f>
        <v>9000</v>
      </c>
      <c r="FB17" s="3">
        <f>_xlfn.XLOOKUP(FB$1,generator!$B$2:$B$295,generator!$Q$2:$Q$295,"ARGH")</f>
        <v>9000</v>
      </c>
      <c r="FC17" s="3">
        <f>_xlfn.XLOOKUP(FC$1,generator!$B$2:$B$295,generator!$Q$2:$Q$295,"ARGH")</f>
        <v>9000</v>
      </c>
      <c r="FD17" s="3">
        <f>_xlfn.XLOOKUP(FD$1,generator!$B$2:$B$295,generator!$Q$2:$Q$295,"ARGH")</f>
        <v>9000</v>
      </c>
      <c r="FE17" s="3">
        <f>_xlfn.XLOOKUP(FE$1,generator!$B$2:$B$295,generator!$Q$2:$Q$295,"ARGH")</f>
        <v>9000</v>
      </c>
      <c r="FF17" s="3">
        <f>_xlfn.XLOOKUP(FF$1,generator!$B$2:$B$295,generator!$Q$2:$Q$295,"ARGH")</f>
        <v>9000</v>
      </c>
      <c r="FG17" s="3">
        <f>_xlfn.XLOOKUP(FG$1,generator!$B$2:$B$295,generator!$Q$2:$Q$295,"ARGH")</f>
        <v>9000</v>
      </c>
      <c r="FH17" s="3">
        <f>_xlfn.XLOOKUP(FH$1,generator!$B$2:$B$295,generator!$Q$2:$Q$295,"ARGH")</f>
        <v>9000</v>
      </c>
      <c r="FI17" s="3">
        <f>_xlfn.XLOOKUP(FI$1,generator!$B$2:$B$295,generator!$Q$2:$Q$295,"ARGH")</f>
        <v>9000</v>
      </c>
      <c r="FJ17" s="3">
        <f>_xlfn.XLOOKUP(FJ$1,generator!$B$2:$B$295,generator!$Q$2:$Q$295,"ARGH")</f>
        <v>9000</v>
      </c>
      <c r="FK17" s="3">
        <f>_xlfn.XLOOKUP(FK$1,generator!$B$2:$B$295,generator!$Q$2:$Q$295,"ARGH")</f>
        <v>9000</v>
      </c>
      <c r="FL17" s="3">
        <f>_xlfn.XLOOKUP(FL$1,generator!$B$2:$B$295,generator!$Q$2:$Q$295,"ARGH")</f>
        <v>9000</v>
      </c>
      <c r="FM17" s="3">
        <f>_xlfn.XLOOKUP(FM$1,generator!$B$2:$B$295,generator!$Q$2:$Q$295,"ARGH")</f>
        <v>9000</v>
      </c>
      <c r="FN17" s="3">
        <f>_xlfn.XLOOKUP(FN$1,generator!$B$2:$B$295,generator!$Q$2:$Q$295,"ARGH")</f>
        <v>9000</v>
      </c>
      <c r="FO17" s="3">
        <f>_xlfn.XLOOKUP(FO$1,generator!$B$2:$B$295,generator!$Q$2:$Q$295,"ARGH")</f>
        <v>9000</v>
      </c>
      <c r="FP17" s="3">
        <f>_xlfn.XLOOKUP(FP$1,generator!$B$2:$B$295,generator!$Q$2:$Q$295,"ARGH")</f>
        <v>9000</v>
      </c>
      <c r="FQ17" s="3">
        <f>_xlfn.XLOOKUP(FQ$1,generator!$B$2:$B$295,generator!$Q$2:$Q$295,"ARGH")</f>
        <v>9000</v>
      </c>
      <c r="FR17" s="3">
        <f>_xlfn.XLOOKUP(FR$1,generator!$B$2:$B$295,generator!$Q$2:$Q$295,"ARGH")</f>
        <v>9000</v>
      </c>
      <c r="FS17" s="3">
        <f>_xlfn.XLOOKUP(FS$1,generator!$B$2:$B$295,generator!$Q$2:$Q$295,"ARGH")</f>
        <v>9000</v>
      </c>
      <c r="FT17" s="3">
        <f>_xlfn.XLOOKUP(FT$1,generator!$B$2:$B$295,generator!$Q$2:$Q$295,"ARGH")</f>
        <v>9000</v>
      </c>
      <c r="FU17" s="3">
        <f>_xlfn.XLOOKUP(FU$1,generator!$B$2:$B$295,generator!$Q$2:$Q$295,"ARGH")</f>
        <v>9000</v>
      </c>
      <c r="FV17" s="3">
        <f>_xlfn.XLOOKUP(FV$1,generator!$B$2:$B$295,generator!$Q$2:$Q$295,"ARGH")</f>
        <v>9000</v>
      </c>
      <c r="FW17" s="3">
        <f>_xlfn.XLOOKUP(FW$1,generator!$B$2:$B$295,generator!$Q$2:$Q$295,"ARGH")</f>
        <v>9000</v>
      </c>
      <c r="FX17" s="3">
        <f>_xlfn.XLOOKUP(FX$1,generator!$B$2:$B$295,generator!$Q$2:$Q$295,"ARGH")</f>
        <v>9000</v>
      </c>
      <c r="FY17" s="3">
        <f>_xlfn.XLOOKUP(FY$1,generator!$B$2:$B$295,generator!$Q$2:$Q$295,"ARGH")</f>
        <v>9000</v>
      </c>
      <c r="FZ17" s="3">
        <f>_xlfn.XLOOKUP(FZ$1,generator!$B$2:$B$295,generator!$Q$2:$Q$295,"ARGH")</f>
        <v>9000</v>
      </c>
      <c r="GA17" s="3">
        <f>_xlfn.XLOOKUP(GA$1,generator!$B$2:$B$295,generator!$Q$2:$Q$295,"ARGH")</f>
        <v>9000</v>
      </c>
      <c r="GB17" s="3">
        <f>_xlfn.XLOOKUP(GB$1,generator!$B$2:$B$295,generator!$Q$2:$Q$295,"ARGH")</f>
        <v>9000</v>
      </c>
      <c r="GC17" s="3">
        <f>_xlfn.XLOOKUP(GC$1,generator!$B$2:$B$295,generator!$Q$2:$Q$295,"ARGH")</f>
        <v>9000</v>
      </c>
      <c r="GD17" s="3">
        <f>_xlfn.XLOOKUP(GD$1,generator!$B$2:$B$295,generator!$Q$2:$Q$295,"ARGH")</f>
        <v>9000</v>
      </c>
      <c r="GE17" s="3">
        <f>_xlfn.XLOOKUP(GE$1,generator!$B$2:$B$295,generator!$Q$2:$Q$295,"ARGH")</f>
        <v>9000</v>
      </c>
      <c r="GF17" s="3">
        <f>_xlfn.XLOOKUP(GF$1,generator!$B$2:$B$295,generator!$Q$2:$Q$295,"ARGH")</f>
        <v>9000</v>
      </c>
      <c r="GG17" s="3">
        <f>_xlfn.XLOOKUP(GG$1,generator!$B$2:$B$295,generator!$Q$2:$Q$295,"ARGH")</f>
        <v>9000</v>
      </c>
      <c r="GH17" s="3">
        <f>_xlfn.XLOOKUP(GH$1,generator!$B$2:$B$295,generator!$Q$2:$Q$295,"ARGH")</f>
        <v>9000</v>
      </c>
      <c r="GI17" s="3">
        <f>_xlfn.XLOOKUP(GI$1,generator!$B$2:$B$295,generator!$Q$2:$Q$295,"ARGH")</f>
        <v>9000</v>
      </c>
      <c r="GJ17" s="3">
        <f>_xlfn.XLOOKUP(GJ$1,generator!$B$2:$B$295,generator!$Q$2:$Q$295,"ARGH")</f>
        <v>9000</v>
      </c>
      <c r="GK17" s="3">
        <f>_xlfn.XLOOKUP(GK$1,generator!$B$2:$B$295,generator!$Q$2:$Q$295,"ARGH")</f>
        <v>9000</v>
      </c>
      <c r="GL17" s="3">
        <f>_xlfn.XLOOKUP(GL$1,generator!$B$2:$B$295,generator!$Q$2:$Q$295,"ARGH")</f>
        <v>9000</v>
      </c>
      <c r="GM17" s="3">
        <f>_xlfn.XLOOKUP(GM$1,generator!$B$2:$B$295,generator!$Q$2:$Q$295,"ARGH")</f>
        <v>9000</v>
      </c>
      <c r="GN17" s="3">
        <f>_xlfn.XLOOKUP(GN$1,generator!$B$2:$B$295,generator!$Q$2:$Q$295,"ARGH")</f>
        <v>9000</v>
      </c>
      <c r="GO17" s="3">
        <f>_xlfn.XLOOKUP(GO$1,generator!$B$2:$B$295,generator!$Q$2:$Q$295,"ARGH")</f>
        <v>9000</v>
      </c>
      <c r="GP17" s="3">
        <f>_xlfn.XLOOKUP(GP$1,generator!$B$2:$B$295,generator!$Q$2:$Q$295,"ARGH")</f>
        <v>9000</v>
      </c>
      <c r="GQ17" s="3">
        <f>_xlfn.XLOOKUP(GQ$1,generator!$B$2:$B$295,generator!$Q$2:$Q$295,"ARGH")</f>
        <v>9000</v>
      </c>
      <c r="GR17" s="3">
        <f>_xlfn.XLOOKUP(GR$1,generator!$B$2:$B$295,generator!$Q$2:$Q$295,"ARGH")</f>
        <v>9000</v>
      </c>
      <c r="GS17" s="3">
        <f>_xlfn.XLOOKUP(GS$1,generator!$B$2:$B$295,generator!$Q$2:$Q$295,"ARGH")</f>
        <v>9000</v>
      </c>
      <c r="GT17" s="3">
        <f>_xlfn.XLOOKUP(GT$1,generator!$B$2:$B$295,generator!$Q$2:$Q$295,"ARGH")</f>
        <v>9000</v>
      </c>
      <c r="GU17" s="3">
        <f>_xlfn.XLOOKUP(GU$1,generator!$B$2:$B$295,generator!$Q$2:$Q$295,"ARGH")</f>
        <v>9000</v>
      </c>
      <c r="GV17" s="3">
        <f>_xlfn.XLOOKUP(GV$1,generator!$B$2:$B$295,generator!$Q$2:$Q$295,"ARGH")</f>
        <v>9000</v>
      </c>
      <c r="GW17" s="3">
        <f>_xlfn.XLOOKUP(GW$1,generator!$B$2:$B$295,generator!$Q$2:$Q$295,"ARGH")</f>
        <v>9000</v>
      </c>
      <c r="GX17" s="3">
        <f>_xlfn.XLOOKUP(GX$1,generator!$B$2:$B$295,generator!$Q$2:$Q$295,"ARGH")</f>
        <v>9000</v>
      </c>
      <c r="GY17" s="3">
        <f>_xlfn.XLOOKUP(GY$1,generator!$B$2:$B$295,generator!$Q$2:$Q$295,"ARGH")</f>
        <v>9000</v>
      </c>
      <c r="GZ17" s="3">
        <f>_xlfn.XLOOKUP(GZ$1,generator!$B$2:$B$295,generator!$Q$2:$Q$295,"ARGH")</f>
        <v>9000</v>
      </c>
      <c r="HA17" s="3">
        <f>_xlfn.XLOOKUP(HA$1,generator!$B$2:$B$295,generator!$Q$2:$Q$295,"ARGH")</f>
        <v>9000</v>
      </c>
      <c r="HB17" s="3">
        <f>_xlfn.XLOOKUP(HB$1,generator!$B$2:$B$295,generator!$Q$2:$Q$295,"ARGH")</f>
        <v>9000</v>
      </c>
      <c r="HC17" s="3">
        <f>_xlfn.XLOOKUP(HC$1,generator!$B$2:$B$295,generator!$Q$2:$Q$295,"ARGH")</f>
        <v>9000</v>
      </c>
      <c r="HD17" s="3">
        <f>_xlfn.XLOOKUP(HD$1,generator!$B$2:$B$295,generator!$Q$2:$Q$295,"ARGH")</f>
        <v>9000</v>
      </c>
      <c r="HE17" s="3">
        <f>_xlfn.XLOOKUP(HE$1,generator!$B$2:$B$295,generator!$Q$2:$Q$295,"ARGH")</f>
        <v>8000</v>
      </c>
      <c r="HF17" s="3" t="str">
        <f>_xlfn.XLOOKUP(HF$1,generator!$B$2:$B$295,generator!$Q$2:$Q$295,"ARGH")</f>
        <v>143</v>
      </c>
      <c r="HG17" s="3" t="str">
        <f>_xlfn.XLOOKUP(HG$1,generator!$B$2:$B$295,generator!$Q$2:$Q$295,"ARGH")</f>
        <v>143</v>
      </c>
      <c r="HH17" s="3" t="str">
        <f>_xlfn.XLOOKUP(HH$1,generator!$B$2:$B$295,generator!$Q$2:$Q$295,"ARGH")</f>
        <v>143</v>
      </c>
      <c r="HI17" s="3" t="str">
        <f>_xlfn.XLOOKUP(HI$1,generator!$B$2:$B$295,generator!$Q$2:$Q$295,"ARGH")</f>
        <v>246.74</v>
      </c>
      <c r="HJ17" s="3" t="str">
        <f>_xlfn.XLOOKUP(HJ$1,generator!$B$2:$B$295,generator!$Q$2:$Q$295,"ARGH")</f>
        <v>246.74</v>
      </c>
      <c r="HK17" s="3" t="str">
        <f>_xlfn.XLOOKUP(HK$1,generator!$B$2:$B$295,generator!$Q$2:$Q$295,"ARGH")</f>
        <v>206.04</v>
      </c>
      <c r="HL17" s="3" t="str">
        <f>_xlfn.XLOOKUP(HL$1,generator!$B$2:$B$295,generator!$Q$2:$Q$295,"ARGH")</f>
        <v>506.96</v>
      </c>
      <c r="HM17" s="3" t="str">
        <f>_xlfn.XLOOKUP(HM$1,generator!$B$2:$B$295,generator!$Q$2:$Q$295,"ARGH")</f>
        <v>506.95</v>
      </c>
      <c r="HN17" s="3" t="str">
        <f>_xlfn.XLOOKUP(HN$1,generator!$B$2:$B$295,generator!$Q$2:$Q$295,"ARGH")</f>
        <v>190.97</v>
      </c>
      <c r="HO17" s="3" t="str">
        <f>_xlfn.XLOOKUP(HO$1,generator!$B$2:$B$295,generator!$Q$2:$Q$295,"ARGH")</f>
        <v>190.97</v>
      </c>
      <c r="HP17" s="3" t="str">
        <f>_xlfn.XLOOKUP(HP$1,generator!$B$2:$B$295,generator!$Q$2:$Q$295,"ARGH")</f>
        <v>424.84</v>
      </c>
      <c r="HQ17" s="3" t="str">
        <f>_xlfn.XLOOKUP(HQ$1,generator!$B$2:$B$295,generator!$Q$2:$Q$295,"ARGH")</f>
        <v>425.9</v>
      </c>
      <c r="HR17" s="3" t="str">
        <f>_xlfn.XLOOKUP(HR$1,generator!$B$2:$B$295,generator!$Q$2:$Q$295,"ARGH")</f>
        <v>425.9</v>
      </c>
      <c r="HS17" s="3" t="str">
        <f>_xlfn.XLOOKUP(HS$1,generator!$B$2:$B$295,generator!$Q$2:$Q$295,"ARGH")</f>
        <v>196.54</v>
      </c>
      <c r="HT17" s="3" t="str">
        <f>_xlfn.XLOOKUP(HT$1,generator!$B$2:$B$295,generator!$Q$2:$Q$295,"ARGH")</f>
        <v>196.54</v>
      </c>
      <c r="HU17" s="3" t="str">
        <f>_xlfn.XLOOKUP(HU$1,generator!$B$2:$B$295,generator!$Q$2:$Q$295,"ARGH")</f>
        <v>145.57</v>
      </c>
      <c r="HV17" s="3" t="str">
        <f>_xlfn.XLOOKUP(HV$1,generator!$B$2:$B$295,generator!$Q$2:$Q$295,"ARGH")</f>
        <v>132.62</v>
      </c>
      <c r="HW17" s="3" t="str">
        <f>_xlfn.XLOOKUP(HW$1,generator!$B$2:$B$295,generator!$Q$2:$Q$295,"ARGH")</f>
        <v>193.76</v>
      </c>
      <c r="HX17" s="3" t="str">
        <f>_xlfn.XLOOKUP(HX$1,generator!$B$2:$B$295,generator!$Q$2:$Q$295,"ARGH")</f>
        <v>193.76</v>
      </c>
      <c r="HY17" s="3" t="str">
        <f>_xlfn.XLOOKUP(HY$1,generator!$B$2:$B$295,generator!$Q$2:$Q$295,"ARGH")</f>
        <v>79.19</v>
      </c>
      <c r="HZ17" s="3" t="str">
        <f>_xlfn.XLOOKUP(HZ$1,generator!$B$2:$B$295,generator!$Q$2:$Q$295,"ARGH")</f>
        <v>125.79</v>
      </c>
      <c r="IA17" s="3" t="str">
        <f>_xlfn.XLOOKUP(IA$1,generator!$B$2:$B$295,generator!$Q$2:$Q$295,"ARGH")</f>
        <v>54.19</v>
      </c>
      <c r="IB17" s="3" t="str">
        <f>_xlfn.XLOOKUP(IB$1,generator!$B$2:$B$295,generator!$Q$2:$Q$295,"ARGH")</f>
        <v>59.7</v>
      </c>
      <c r="IC17" s="3">
        <f>_xlfn.XLOOKUP(IC$1,generator!$B$2:$B$295,generator!$Q$2:$Q$295,"ARGH")</f>
        <v>0</v>
      </c>
      <c r="ID17" s="3" t="str">
        <f>_xlfn.XLOOKUP(ID$1,generator!$B$2:$B$295,generator!$Q$2:$Q$295,"ARGH")</f>
        <v>121.14</v>
      </c>
      <c r="IE17" s="3" t="str">
        <f>_xlfn.XLOOKUP(IE$1,generator!$B$2:$B$295,generator!$Q$2:$Q$295,"ARGH")</f>
        <v>26.6</v>
      </c>
      <c r="IF17" s="3">
        <f>_xlfn.XLOOKUP(IF$1,generator!$B$2:$B$295,generator!$Q$2:$Q$295,"ARGH")</f>
        <v>8000</v>
      </c>
      <c r="IG17" s="3">
        <f>_xlfn.XLOOKUP(IG$1,generator!$B$2:$B$295,generator!$Q$2:$Q$295,"ARGH")</f>
        <v>8000</v>
      </c>
      <c r="IH17" s="3">
        <f>_xlfn.XLOOKUP(IH$1,generator!$B$2:$B$295,generator!$Q$2:$Q$295,"ARGH")</f>
        <v>8000</v>
      </c>
      <c r="II17" s="3">
        <f>_xlfn.XLOOKUP(II$1,generator!$B$2:$B$295,generator!$Q$2:$Q$295,"ARGH")</f>
        <v>8000</v>
      </c>
      <c r="IJ17" s="3">
        <f>_xlfn.XLOOKUP(IJ$1,generator!$B$2:$B$295,generator!$Q$2:$Q$295,"ARGH")</f>
        <v>8000</v>
      </c>
      <c r="IK17" s="3">
        <f>_xlfn.XLOOKUP(IK$1,generator!$B$2:$B$295,generator!$Q$2:$Q$295,"ARGH")</f>
        <v>8000</v>
      </c>
      <c r="IL17" s="3">
        <f>_xlfn.XLOOKUP(IL$1,generator!$B$2:$B$295,generator!$Q$2:$Q$295,"ARGH")</f>
        <v>8000</v>
      </c>
      <c r="IM17" s="3">
        <f>_xlfn.XLOOKUP(IM$1,generator!$B$2:$B$295,generator!$Q$2:$Q$295,"ARGH")</f>
        <v>8000</v>
      </c>
      <c r="IN17" s="3">
        <f>_xlfn.XLOOKUP(IN$1,generator!$B$2:$B$295,generator!$Q$2:$Q$295,"ARGH")</f>
        <v>8000</v>
      </c>
      <c r="IO17" s="3">
        <f>_xlfn.XLOOKUP(IO$1,generator!$B$2:$B$295,generator!$Q$2:$Q$295,"ARGH")</f>
        <v>8000</v>
      </c>
      <c r="IP17" s="3">
        <f>_xlfn.XLOOKUP(IP$1,generator!$B$2:$B$295,generator!$Q$2:$Q$295,"ARGH")</f>
        <v>8000</v>
      </c>
      <c r="IQ17" s="3">
        <f>_xlfn.XLOOKUP(IQ$1,generator!$B$2:$B$295,generator!$Q$2:$Q$295,"ARGH")</f>
        <v>8000</v>
      </c>
      <c r="IR17" s="3">
        <f>_xlfn.XLOOKUP(IR$1,generator!$B$2:$B$295,generator!$Q$2:$Q$295,"ARGH")</f>
        <v>8000</v>
      </c>
      <c r="IS17" s="3">
        <f>_xlfn.XLOOKUP(IS$1,generator!$B$2:$B$295,generator!$Q$2:$Q$295,"ARGH")</f>
        <v>8000</v>
      </c>
      <c r="IT17" s="3">
        <f>_xlfn.XLOOKUP(IT$1,generator!$B$2:$B$295,generator!$Q$2:$Q$295,"ARGH")</f>
        <v>8000</v>
      </c>
      <c r="IU17" s="3">
        <f>_xlfn.XLOOKUP(IU$1,generator!$B$2:$B$295,generator!$Q$2:$Q$295,"ARGH")</f>
        <v>8000</v>
      </c>
      <c r="IV17" s="3">
        <f>_xlfn.XLOOKUP(IV$1,generator!$B$2:$B$295,generator!$Q$2:$Q$295,"ARGH")</f>
        <v>8000</v>
      </c>
      <c r="IW17" s="3" t="str">
        <f>_xlfn.XLOOKUP(IW$1,generator!$B$2:$B$295,generator!$Q$2:$Q$295,"ARGH")</f>
        <v>108.19</v>
      </c>
      <c r="IX17" s="3" t="str">
        <f>_xlfn.XLOOKUP(IX$1,generator!$B$2:$B$295,generator!$Q$2:$Q$295,"ARGH")</f>
        <v>108.18</v>
      </c>
      <c r="IY17" s="3" t="str">
        <f>_xlfn.XLOOKUP(IY$1,generator!$B$2:$B$295,generator!$Q$2:$Q$295,"ARGH")</f>
        <v>108.17</v>
      </c>
      <c r="IZ17" s="3" t="str">
        <f>_xlfn.XLOOKUP(IZ$1,generator!$B$2:$B$295,generator!$Q$2:$Q$295,"ARGH")</f>
        <v>40.96</v>
      </c>
      <c r="JA17" s="3">
        <f>_xlfn.XLOOKUP(JA$1,generator!$B$2:$B$295,generator!$Q$2:$Q$295,"ARGH")</f>
        <v>0</v>
      </c>
      <c r="JB17" s="3">
        <f>_xlfn.XLOOKUP(JB$1,generator!$B$2:$B$295,generator!$Q$2:$Q$295,"ARGH")</f>
        <v>0</v>
      </c>
      <c r="JC17" s="3" t="str">
        <f>_xlfn.XLOOKUP(JC$1,generator!$B$2:$B$295,generator!$Q$2:$Q$295,"ARGH")</f>
        <v>75.91</v>
      </c>
      <c r="JD17" s="3" t="str">
        <f>_xlfn.XLOOKUP(JD$1,generator!$B$2:$B$295,generator!$Q$2:$Q$295,"ARGH")</f>
        <v>75.91</v>
      </c>
      <c r="JE17" s="3" t="str">
        <f>_xlfn.XLOOKUP(JE$1,generator!$B$2:$B$295,generator!$Q$2:$Q$295,"ARGH")</f>
        <v>51.59</v>
      </c>
      <c r="JF17" s="3" t="str">
        <f>_xlfn.XLOOKUP(JF$1,generator!$B$2:$B$295,generator!$Q$2:$Q$295,"ARGH")</f>
        <v>111.57</v>
      </c>
      <c r="JG17" s="3">
        <f>_xlfn.XLOOKUP(JG$1,generator!$B$2:$B$295,generator!$Q$2:$Q$295,"ARGH")</f>
        <v>0</v>
      </c>
      <c r="JH17" s="3" t="str">
        <f>_xlfn.XLOOKUP(JH$1,generator!$B$2:$B$295,generator!$Q$2:$Q$295,"ARGH")</f>
        <v>48.65</v>
      </c>
      <c r="JI17" s="3" t="str">
        <f>_xlfn.XLOOKUP(JI$1,generator!$B$2:$B$295,generator!$Q$2:$Q$295,"ARGH")</f>
        <v>71.88</v>
      </c>
      <c r="JJ17" s="3" t="str">
        <f>_xlfn.XLOOKUP(JJ$1,generator!$B$2:$B$295,generator!$Q$2:$Q$295,"ARGH")</f>
        <v>98.17</v>
      </c>
      <c r="JK17" s="3" t="str">
        <f>_xlfn.XLOOKUP(JK$1,generator!$B$2:$B$295,generator!$Q$2:$Q$295,"ARGH")</f>
        <v>98.17</v>
      </c>
      <c r="JL17" s="3" t="str">
        <f>_xlfn.XLOOKUP(JL$1,generator!$B$2:$B$295,generator!$Q$2:$Q$295,"ARGH")</f>
        <v>98.17</v>
      </c>
      <c r="JM17" s="3" t="str">
        <f>_xlfn.XLOOKUP(JM$1,generator!$B$2:$B$295,generator!$Q$2:$Q$295,"ARGH")</f>
        <v>98.17</v>
      </c>
      <c r="JN17" s="3" t="str">
        <f>_xlfn.XLOOKUP(JN$1,generator!$B$2:$B$295,generator!$Q$2:$Q$295,"ARGH")</f>
        <v>98.17</v>
      </c>
      <c r="JO17" s="3" t="str">
        <f>_xlfn.XLOOKUP(JO$1,generator!$B$2:$B$295,generator!$Q$2:$Q$295,"ARGH")</f>
        <v>98.17</v>
      </c>
      <c r="JP17" s="3" t="str">
        <f>_xlfn.XLOOKUP(JP$1,generator!$B$2:$B$295,generator!$Q$2:$Q$295,"ARGH")</f>
        <v>47.53</v>
      </c>
      <c r="JQ17" s="3" t="str">
        <f>_xlfn.XLOOKUP(JQ$1,generator!$B$2:$B$295,generator!$Q$2:$Q$295,"ARGH")</f>
        <v>108.86</v>
      </c>
      <c r="JR17" s="3" t="str">
        <f>_xlfn.XLOOKUP(JR$1,generator!$B$2:$B$295,generator!$Q$2:$Q$295,"ARGH")</f>
        <v>83.15</v>
      </c>
      <c r="JS17" s="3" t="str">
        <f>_xlfn.XLOOKUP(JS$1,generator!$B$2:$B$295,generator!$Q$2:$Q$295,"ARGH")</f>
        <v>83.15</v>
      </c>
      <c r="JT17" s="3" t="str">
        <f>_xlfn.XLOOKUP(JT$1,generator!$B$2:$B$295,generator!$Q$2:$Q$295,"ARGH")</f>
        <v>108.86</v>
      </c>
      <c r="JU17" s="3">
        <f>_xlfn.XLOOKUP(JU$1,generator!$B$2:$B$295,generator!$Q$2:$Q$295,"ARGH")</f>
        <v>0</v>
      </c>
      <c r="JV17" s="3" t="str">
        <f>_xlfn.XLOOKUP(JV$1,generator!$B$2:$B$295,generator!$Q$2:$Q$295,"ARGH")</f>
        <v>77.63</v>
      </c>
      <c r="JW17" s="3" t="str">
        <f>_xlfn.XLOOKUP(JW$1,generator!$B$2:$B$295,generator!$Q$2:$Q$295,"ARGH")</f>
        <v>77.64</v>
      </c>
      <c r="JX17" s="3" t="str">
        <f>_xlfn.XLOOKUP(JX$1,generator!$B$2:$B$295,generator!$Q$2:$Q$295,"ARGH")</f>
        <v>331.49</v>
      </c>
      <c r="JY17" s="3">
        <f>_xlfn.XLOOKUP(JY$1,generator!$B$2:$B$295,generator!$Q$2:$Q$295,"ARGH")</f>
        <v>7000</v>
      </c>
      <c r="JZ17" s="3">
        <f>_xlfn.XLOOKUP(JZ$1,generator!$B$2:$B$295,generator!$Q$2:$Q$295,"ARGH")</f>
        <v>0</v>
      </c>
      <c r="KA17" s="3">
        <f>_xlfn.XLOOKUP(KA$1,generator!$B$2:$B$295,generator!$Q$2:$Q$295,"ARGH")</f>
        <v>0</v>
      </c>
      <c r="KB17" s="3">
        <f>_xlfn.XLOOKUP(KB$1,generator!$B$2:$B$295,generator!$Q$2:$Q$295,"ARGH")</f>
        <v>0</v>
      </c>
      <c r="KC17" s="3">
        <f>_xlfn.XLOOKUP(KC$1,generator!$B$2:$B$295,generator!$Q$2:$Q$295,"ARGH")</f>
        <v>0</v>
      </c>
    </row>
    <row r="18" spans="1:289" x14ac:dyDescent="0.3">
      <c r="A18" s="4" t="s">
        <v>3013</v>
      </c>
      <c r="B18" s="3">
        <v>15000</v>
      </c>
      <c r="C18" s="3">
        <v>15000</v>
      </c>
      <c r="D18" s="3">
        <v>15000</v>
      </c>
      <c r="E18" s="3">
        <f>_xlfn.XLOOKUP(E$1,generator!$B$2:$B$295,generator!$Q$2:$Q$295,"ARGH")</f>
        <v>9000</v>
      </c>
      <c r="F18" s="3">
        <f>_xlfn.XLOOKUP(F$1,generator!$B$2:$B$295,generator!$Q$2:$Q$295,"ARGH")</f>
        <v>9000</v>
      </c>
      <c r="G18" s="3">
        <f>_xlfn.XLOOKUP(G$1,generator!$B$2:$B$295,generator!$Q$2:$Q$295,"ARGH")</f>
        <v>9000</v>
      </c>
      <c r="H18" s="3">
        <f>_xlfn.XLOOKUP(H$1,generator!$B$2:$B$295,generator!$Q$2:$Q$295,"ARGH")</f>
        <v>9000</v>
      </c>
      <c r="I18" s="3">
        <f>_xlfn.XLOOKUP(I$1,generator!$B$2:$B$295,generator!$Q$2:$Q$295,"ARGH")</f>
        <v>9000</v>
      </c>
      <c r="J18" s="3">
        <f>_xlfn.XLOOKUP(J$1,generator!$B$2:$B$295,generator!$Q$2:$Q$295,"ARGH")</f>
        <v>9000</v>
      </c>
      <c r="K18" s="3">
        <f>_xlfn.XLOOKUP(K$1,generator!$B$2:$B$295,generator!$Q$2:$Q$295,"ARGH")</f>
        <v>9000</v>
      </c>
      <c r="L18" s="3">
        <f>_xlfn.XLOOKUP(L$1,generator!$B$2:$B$295,generator!$Q$2:$Q$295,"ARGH")</f>
        <v>9000</v>
      </c>
      <c r="M18" s="3">
        <f>_xlfn.XLOOKUP(M$1,generator!$B$2:$B$295,generator!$Q$2:$Q$295,"ARGH")</f>
        <v>9000</v>
      </c>
      <c r="N18" s="3">
        <f>_xlfn.XLOOKUP(N$1,generator!$B$2:$B$295,generator!$Q$2:$Q$295,"ARGH")</f>
        <v>9000</v>
      </c>
      <c r="O18" s="3">
        <f>_xlfn.XLOOKUP(O$1,generator!$B$2:$B$295,generator!$Q$2:$Q$295,"ARGH")</f>
        <v>9000</v>
      </c>
      <c r="P18" s="3">
        <f>_xlfn.XLOOKUP(P$1,generator!$B$2:$B$295,generator!$Q$2:$Q$295,"ARGH")</f>
        <v>9000</v>
      </c>
      <c r="Q18" s="3">
        <f>_xlfn.XLOOKUP(Q$1,generator!$B$2:$B$295,generator!$Q$2:$Q$295,"ARGH")</f>
        <v>9000</v>
      </c>
      <c r="R18" s="3">
        <f>_xlfn.XLOOKUP(R$1,generator!$B$2:$B$295,generator!$Q$2:$Q$295,"ARGH")</f>
        <v>9000</v>
      </c>
      <c r="S18" s="3">
        <f>_xlfn.XLOOKUP(S$1,generator!$B$2:$B$295,generator!$Q$2:$Q$295,"ARGH")</f>
        <v>9000</v>
      </c>
      <c r="T18" s="3">
        <f>_xlfn.XLOOKUP(T$1,generator!$B$2:$B$295,generator!$Q$2:$Q$295,"ARGH")</f>
        <v>9000</v>
      </c>
      <c r="U18" s="3">
        <f>_xlfn.XLOOKUP(U$1,generator!$B$2:$B$295,generator!$Q$2:$Q$295,"ARGH")</f>
        <v>9000</v>
      </c>
      <c r="V18" s="3">
        <f>_xlfn.XLOOKUP(V$1,generator!$B$2:$B$295,generator!$Q$2:$Q$295,"ARGH")</f>
        <v>9000</v>
      </c>
      <c r="W18" s="3">
        <f>_xlfn.XLOOKUP(W$1,generator!$B$2:$B$295,generator!$Q$2:$Q$295,"ARGH")</f>
        <v>9000</v>
      </c>
      <c r="X18" s="3">
        <f>_xlfn.XLOOKUP(X$1,generator!$B$2:$B$295,generator!$Q$2:$Q$295,"ARGH")</f>
        <v>9000</v>
      </c>
      <c r="Y18" s="3">
        <f>_xlfn.XLOOKUP(Y$1,generator!$B$2:$B$295,generator!$Q$2:$Q$295,"ARGH")</f>
        <v>9000</v>
      </c>
      <c r="Z18" s="3">
        <f>_xlfn.XLOOKUP(Z$1,generator!$B$2:$B$295,generator!$Q$2:$Q$295,"ARGH")</f>
        <v>9000</v>
      </c>
      <c r="AA18" s="3">
        <f>_xlfn.XLOOKUP(AA$1,generator!$B$2:$B$295,generator!$Q$2:$Q$295,"ARGH")</f>
        <v>9000</v>
      </c>
      <c r="AB18" s="3">
        <f>_xlfn.XLOOKUP(AB$1,generator!$B$2:$B$295,generator!$Q$2:$Q$295,"ARGH")</f>
        <v>9000</v>
      </c>
      <c r="AC18" s="3">
        <f>_xlfn.XLOOKUP(AC$1,generator!$B$2:$B$295,generator!$Q$2:$Q$295,"ARGH")</f>
        <v>9000</v>
      </c>
      <c r="AD18" s="3">
        <f>_xlfn.XLOOKUP(AD$1,generator!$B$2:$B$295,generator!$Q$2:$Q$295,"ARGH")</f>
        <v>9000</v>
      </c>
      <c r="AE18" s="3">
        <f>_xlfn.XLOOKUP(AE$1,generator!$B$2:$B$295,generator!$Q$2:$Q$295,"ARGH")</f>
        <v>9000</v>
      </c>
      <c r="AF18" s="3">
        <f>_xlfn.XLOOKUP(AF$1,generator!$B$2:$B$295,generator!$Q$2:$Q$295,"ARGH")</f>
        <v>9000</v>
      </c>
      <c r="AG18" s="3">
        <f>_xlfn.XLOOKUP(AG$1,generator!$B$2:$B$295,generator!$Q$2:$Q$295,"ARGH")</f>
        <v>9000</v>
      </c>
      <c r="AH18" s="3">
        <f>_xlfn.XLOOKUP(AH$1,generator!$B$2:$B$295,generator!$Q$2:$Q$295,"ARGH")</f>
        <v>9000</v>
      </c>
      <c r="AI18" s="3">
        <f>_xlfn.XLOOKUP(AI$1,generator!$B$2:$B$295,generator!$Q$2:$Q$295,"ARGH")</f>
        <v>9000</v>
      </c>
      <c r="AJ18" s="3">
        <f>_xlfn.XLOOKUP(AJ$1,generator!$B$2:$B$295,generator!$Q$2:$Q$295,"ARGH")</f>
        <v>9000</v>
      </c>
      <c r="AK18" s="3">
        <f>_xlfn.XLOOKUP(AK$1,generator!$B$2:$B$295,generator!$Q$2:$Q$295,"ARGH")</f>
        <v>9000</v>
      </c>
      <c r="AL18" s="3">
        <f>_xlfn.XLOOKUP(AL$1,generator!$B$2:$B$295,generator!$Q$2:$Q$295,"ARGH")</f>
        <v>9000</v>
      </c>
      <c r="AM18" s="3">
        <f>_xlfn.XLOOKUP(AM$1,generator!$B$2:$B$295,generator!$Q$2:$Q$295,"ARGH")</f>
        <v>9000</v>
      </c>
      <c r="AN18" s="3">
        <f>_xlfn.XLOOKUP(AN$1,generator!$B$2:$B$295,generator!$Q$2:$Q$295,"ARGH")</f>
        <v>9000</v>
      </c>
      <c r="AO18" s="3">
        <f>_xlfn.XLOOKUP(AO$1,generator!$B$2:$B$295,generator!$Q$2:$Q$295,"ARGH")</f>
        <v>9000</v>
      </c>
      <c r="AP18" s="3">
        <f>_xlfn.XLOOKUP(AP$1,generator!$B$2:$B$295,generator!$Q$2:$Q$295,"ARGH")</f>
        <v>9000</v>
      </c>
      <c r="AQ18" s="3">
        <f>_xlfn.XLOOKUP(AQ$1,generator!$B$2:$B$295,generator!$Q$2:$Q$295,"ARGH")</f>
        <v>9000</v>
      </c>
      <c r="AR18" s="3">
        <f>_xlfn.XLOOKUP(AR$1,generator!$B$2:$B$295,generator!$Q$2:$Q$295,"ARGH")</f>
        <v>9000</v>
      </c>
      <c r="AS18" s="3">
        <f>_xlfn.XLOOKUP(AS$1,generator!$B$2:$B$295,generator!$Q$2:$Q$295,"ARGH")</f>
        <v>9000</v>
      </c>
      <c r="AT18" s="3">
        <f>_xlfn.XLOOKUP(AT$1,generator!$B$2:$B$295,generator!$Q$2:$Q$295,"ARGH")</f>
        <v>9000</v>
      </c>
      <c r="AU18" s="3">
        <f>_xlfn.XLOOKUP(AU$1,generator!$B$2:$B$295,generator!$Q$2:$Q$295,"ARGH")</f>
        <v>9000</v>
      </c>
      <c r="AV18" s="3">
        <f>_xlfn.XLOOKUP(AV$1,generator!$B$2:$B$295,generator!$Q$2:$Q$295,"ARGH")</f>
        <v>9000</v>
      </c>
      <c r="AW18" s="3">
        <f>_xlfn.XLOOKUP(AW$1,generator!$B$2:$B$295,generator!$Q$2:$Q$295,"ARGH")</f>
        <v>9000</v>
      </c>
      <c r="AX18" s="3">
        <f>_xlfn.XLOOKUP(AX$1,generator!$B$2:$B$295,generator!$Q$2:$Q$295,"ARGH")</f>
        <v>9000</v>
      </c>
      <c r="AY18" s="3">
        <f>_xlfn.XLOOKUP(AY$1,generator!$B$2:$B$295,generator!$Q$2:$Q$295,"ARGH")</f>
        <v>9000</v>
      </c>
      <c r="AZ18" s="3">
        <f>_xlfn.XLOOKUP(AZ$1,generator!$B$2:$B$295,generator!$Q$2:$Q$295,"ARGH")</f>
        <v>9000</v>
      </c>
      <c r="BA18" s="3">
        <f>_xlfn.XLOOKUP(BA$1,generator!$B$2:$B$295,generator!$Q$2:$Q$295,"ARGH")</f>
        <v>9000</v>
      </c>
      <c r="BB18" s="3">
        <f>_xlfn.XLOOKUP(BB$1,generator!$B$2:$B$295,generator!$Q$2:$Q$295,"ARGH")</f>
        <v>9000</v>
      </c>
      <c r="BC18" s="3">
        <f>_xlfn.XLOOKUP(BC$1,generator!$B$2:$B$295,generator!$Q$2:$Q$295,"ARGH")</f>
        <v>9000</v>
      </c>
      <c r="BD18" s="3">
        <f>_xlfn.XLOOKUP(BD$1,generator!$B$2:$B$295,generator!$Q$2:$Q$295,"ARGH")</f>
        <v>9000</v>
      </c>
      <c r="BE18" s="3">
        <f>_xlfn.XLOOKUP(BE$1,generator!$B$2:$B$295,generator!$Q$2:$Q$295,"ARGH")</f>
        <v>9000</v>
      </c>
      <c r="BF18" s="3">
        <f>_xlfn.XLOOKUP(BF$1,generator!$B$2:$B$295,generator!$Q$2:$Q$295,"ARGH")</f>
        <v>9000</v>
      </c>
      <c r="BG18" s="3">
        <f>_xlfn.XLOOKUP(BG$1,generator!$B$2:$B$295,generator!$Q$2:$Q$295,"ARGH")</f>
        <v>9000</v>
      </c>
      <c r="BH18" s="3">
        <f>_xlfn.XLOOKUP(BH$1,generator!$B$2:$B$295,generator!$Q$2:$Q$295,"ARGH")</f>
        <v>9000</v>
      </c>
      <c r="BI18" s="3">
        <f>_xlfn.XLOOKUP(BI$1,generator!$B$2:$B$295,generator!$Q$2:$Q$295,"ARGH")</f>
        <v>9000</v>
      </c>
      <c r="BJ18" s="3">
        <f>_xlfn.XLOOKUP(BJ$1,generator!$B$2:$B$295,generator!$Q$2:$Q$295,"ARGH")</f>
        <v>9000</v>
      </c>
      <c r="BK18" s="3">
        <f>_xlfn.XLOOKUP(BK$1,generator!$B$2:$B$295,generator!$Q$2:$Q$295,"ARGH")</f>
        <v>9000</v>
      </c>
      <c r="BL18" s="3">
        <f>_xlfn.XLOOKUP(BL$1,generator!$B$2:$B$295,generator!$Q$2:$Q$295,"ARGH")</f>
        <v>9000</v>
      </c>
      <c r="BM18" s="3">
        <f>_xlfn.XLOOKUP(BM$1,generator!$B$2:$B$295,generator!$Q$2:$Q$295,"ARGH")</f>
        <v>9000</v>
      </c>
      <c r="BN18" s="3">
        <f>_xlfn.XLOOKUP(BN$1,generator!$B$2:$B$295,generator!$Q$2:$Q$295,"ARGH")</f>
        <v>9000</v>
      </c>
      <c r="BO18" s="3">
        <f>_xlfn.XLOOKUP(BO$1,generator!$B$2:$B$295,generator!$Q$2:$Q$295,"ARGH")</f>
        <v>9000</v>
      </c>
      <c r="BP18" s="3">
        <f>_xlfn.XLOOKUP(BP$1,generator!$B$2:$B$295,generator!$Q$2:$Q$295,"ARGH")</f>
        <v>9000</v>
      </c>
      <c r="BQ18" s="3">
        <f>_xlfn.XLOOKUP(BQ$1,generator!$B$2:$B$295,generator!$Q$2:$Q$295,"ARGH")</f>
        <v>9000</v>
      </c>
      <c r="BR18" s="3">
        <f>_xlfn.XLOOKUP(BR$1,generator!$B$2:$B$295,generator!$Q$2:$Q$295,"ARGH")</f>
        <v>9000</v>
      </c>
      <c r="BS18" s="3">
        <f>_xlfn.XLOOKUP(BS$1,generator!$B$2:$B$295,generator!$Q$2:$Q$295,"ARGH")</f>
        <v>9000</v>
      </c>
      <c r="BT18" s="3">
        <f>_xlfn.XLOOKUP(BT$1,generator!$B$2:$B$295,generator!$Q$2:$Q$295,"ARGH")</f>
        <v>9000</v>
      </c>
      <c r="BU18" s="3">
        <f>_xlfn.XLOOKUP(BU$1,generator!$B$2:$B$295,generator!$Q$2:$Q$295,"ARGH")</f>
        <v>9000</v>
      </c>
      <c r="BV18" s="3">
        <f>_xlfn.XLOOKUP(BV$1,generator!$B$2:$B$295,generator!$Q$2:$Q$295,"ARGH")</f>
        <v>9000</v>
      </c>
      <c r="BW18" s="3">
        <f>_xlfn.XLOOKUP(BW$1,generator!$B$2:$B$295,generator!$Q$2:$Q$295,"ARGH")</f>
        <v>9000</v>
      </c>
      <c r="BX18" s="3">
        <f>_xlfn.XLOOKUP(BX$1,generator!$B$2:$B$295,generator!$Q$2:$Q$295,"ARGH")</f>
        <v>9000</v>
      </c>
      <c r="BY18" s="3">
        <f>_xlfn.XLOOKUP(BY$1,generator!$B$2:$B$295,generator!$Q$2:$Q$295,"ARGH")</f>
        <v>9000</v>
      </c>
      <c r="BZ18" s="3">
        <f>_xlfn.XLOOKUP(BZ$1,generator!$B$2:$B$295,generator!$Q$2:$Q$295,"ARGH")</f>
        <v>9000</v>
      </c>
      <c r="CA18" s="3">
        <f>_xlfn.XLOOKUP(CA$1,generator!$B$2:$B$295,generator!$Q$2:$Q$295,"ARGH")</f>
        <v>9000</v>
      </c>
      <c r="CB18" s="3">
        <f>_xlfn.XLOOKUP(CB$1,generator!$B$2:$B$295,generator!$Q$2:$Q$295,"ARGH")</f>
        <v>9000</v>
      </c>
      <c r="CC18" s="3">
        <f>_xlfn.XLOOKUP(CC$1,generator!$B$2:$B$295,generator!$Q$2:$Q$295,"ARGH")</f>
        <v>9000</v>
      </c>
      <c r="CD18" s="3">
        <f>_xlfn.XLOOKUP(CD$1,generator!$B$2:$B$295,generator!$Q$2:$Q$295,"ARGH")</f>
        <v>9000</v>
      </c>
      <c r="CE18" s="3">
        <f>_xlfn.XLOOKUP(CE$1,generator!$B$2:$B$295,generator!$Q$2:$Q$295,"ARGH")</f>
        <v>9000</v>
      </c>
      <c r="CF18" s="3">
        <f>_xlfn.XLOOKUP(CF$1,generator!$B$2:$B$295,generator!$Q$2:$Q$295,"ARGH")</f>
        <v>9000</v>
      </c>
      <c r="CG18" s="3">
        <f>_xlfn.XLOOKUP(CG$1,generator!$B$2:$B$295,generator!$Q$2:$Q$295,"ARGH")</f>
        <v>9000</v>
      </c>
      <c r="CH18" s="3">
        <f>_xlfn.XLOOKUP(CH$1,generator!$B$2:$B$295,generator!$Q$2:$Q$295,"ARGH")</f>
        <v>9000</v>
      </c>
      <c r="CI18" s="3">
        <f>_xlfn.XLOOKUP(CI$1,generator!$B$2:$B$295,generator!$Q$2:$Q$295,"ARGH")</f>
        <v>9000</v>
      </c>
      <c r="CJ18" s="3">
        <f>_xlfn.XLOOKUP(CJ$1,generator!$B$2:$B$295,generator!$Q$2:$Q$295,"ARGH")</f>
        <v>9000</v>
      </c>
      <c r="CK18" s="3">
        <f>_xlfn.XLOOKUP(CK$1,generator!$B$2:$B$295,generator!$Q$2:$Q$295,"ARGH")</f>
        <v>9000</v>
      </c>
      <c r="CL18" s="3">
        <f>_xlfn.XLOOKUP(CL$1,generator!$B$2:$B$295,generator!$Q$2:$Q$295,"ARGH")</f>
        <v>9000</v>
      </c>
      <c r="CM18" s="3">
        <f>_xlfn.XLOOKUP(CM$1,generator!$B$2:$B$295,generator!$Q$2:$Q$295,"ARGH")</f>
        <v>9000</v>
      </c>
      <c r="CN18" s="3">
        <f>_xlfn.XLOOKUP(CN$1,generator!$B$2:$B$295,generator!$Q$2:$Q$295,"ARGH")</f>
        <v>9000</v>
      </c>
      <c r="CO18" s="3">
        <f>_xlfn.XLOOKUP(CO$1,generator!$B$2:$B$295,generator!$Q$2:$Q$295,"ARGH")</f>
        <v>9000</v>
      </c>
      <c r="CP18" s="3">
        <f>_xlfn.XLOOKUP(CP$1,generator!$B$2:$B$295,generator!$Q$2:$Q$295,"ARGH")</f>
        <v>9000</v>
      </c>
      <c r="CQ18" s="3">
        <f>_xlfn.XLOOKUP(CQ$1,generator!$B$2:$B$295,generator!$Q$2:$Q$295,"ARGH")</f>
        <v>9000</v>
      </c>
      <c r="CR18" s="3">
        <f>_xlfn.XLOOKUP(CR$1,generator!$B$2:$B$295,generator!$Q$2:$Q$295,"ARGH")</f>
        <v>9000</v>
      </c>
      <c r="CS18" s="3">
        <f>_xlfn.XLOOKUP(CS$1,generator!$B$2:$B$295,generator!$Q$2:$Q$295,"ARGH")</f>
        <v>9000</v>
      </c>
      <c r="CT18" s="3">
        <f>_xlfn.XLOOKUP(CT$1,generator!$B$2:$B$295,generator!$Q$2:$Q$295,"ARGH")</f>
        <v>9000</v>
      </c>
      <c r="CU18" s="3">
        <f>_xlfn.XLOOKUP(CU$1,generator!$B$2:$B$295,generator!$Q$2:$Q$295,"ARGH")</f>
        <v>9000</v>
      </c>
      <c r="CV18" s="3">
        <f>_xlfn.XLOOKUP(CV$1,generator!$B$2:$B$295,generator!$Q$2:$Q$295,"ARGH")</f>
        <v>9000</v>
      </c>
      <c r="CW18" s="3">
        <f>_xlfn.XLOOKUP(CW$1,generator!$B$2:$B$295,generator!$Q$2:$Q$295,"ARGH")</f>
        <v>9000</v>
      </c>
      <c r="CX18" s="3">
        <f>_xlfn.XLOOKUP(CX$1,generator!$B$2:$B$295,generator!$Q$2:$Q$295,"ARGH")</f>
        <v>9000</v>
      </c>
      <c r="CY18" s="3">
        <f>_xlfn.XLOOKUP(CY$1,generator!$B$2:$B$295,generator!$Q$2:$Q$295,"ARGH")</f>
        <v>9000</v>
      </c>
      <c r="CZ18" s="3">
        <f>_xlfn.XLOOKUP(CZ$1,generator!$B$2:$B$295,generator!$Q$2:$Q$295,"ARGH")</f>
        <v>9000</v>
      </c>
      <c r="DA18" s="3">
        <f>_xlfn.XLOOKUP(DA$1,generator!$B$2:$B$295,generator!$Q$2:$Q$295,"ARGH")</f>
        <v>9000</v>
      </c>
      <c r="DB18" s="3">
        <f>_xlfn.XLOOKUP(DB$1,generator!$B$2:$B$295,generator!$Q$2:$Q$295,"ARGH")</f>
        <v>9000</v>
      </c>
      <c r="DC18" s="3">
        <f>_xlfn.XLOOKUP(DC$1,generator!$B$2:$B$295,generator!$Q$2:$Q$295,"ARGH")</f>
        <v>9000</v>
      </c>
      <c r="DD18" s="3">
        <f>_xlfn.XLOOKUP(DD$1,generator!$B$2:$B$295,generator!$Q$2:$Q$295,"ARGH")</f>
        <v>9000</v>
      </c>
      <c r="DE18" s="3">
        <f>_xlfn.XLOOKUP(DE$1,generator!$B$2:$B$295,generator!$Q$2:$Q$295,"ARGH")</f>
        <v>9000</v>
      </c>
      <c r="DF18" s="3">
        <f>_xlfn.XLOOKUP(DF$1,generator!$B$2:$B$295,generator!$Q$2:$Q$295,"ARGH")</f>
        <v>9000</v>
      </c>
      <c r="DG18" s="3">
        <f>_xlfn.XLOOKUP(DG$1,generator!$B$2:$B$295,generator!$Q$2:$Q$295,"ARGH")</f>
        <v>9000</v>
      </c>
      <c r="DH18" s="3">
        <f>_xlfn.XLOOKUP(DH$1,generator!$B$2:$B$295,generator!$Q$2:$Q$295,"ARGH")</f>
        <v>9000</v>
      </c>
      <c r="DI18" s="3">
        <f>_xlfn.XLOOKUP(DI$1,generator!$B$2:$B$295,generator!$Q$2:$Q$295,"ARGH")</f>
        <v>9000</v>
      </c>
      <c r="DJ18" s="3">
        <f>_xlfn.XLOOKUP(DJ$1,generator!$B$2:$B$295,generator!$Q$2:$Q$295,"ARGH")</f>
        <v>9000</v>
      </c>
      <c r="DK18" s="3">
        <f>_xlfn.XLOOKUP(DK$1,generator!$B$2:$B$295,generator!$Q$2:$Q$295,"ARGH")</f>
        <v>9000</v>
      </c>
      <c r="DL18" s="3">
        <f>_xlfn.XLOOKUP(DL$1,generator!$B$2:$B$295,generator!$Q$2:$Q$295,"ARGH")</f>
        <v>9000</v>
      </c>
      <c r="DM18" s="3">
        <f>_xlfn.XLOOKUP(DM$1,generator!$B$2:$B$295,generator!$Q$2:$Q$295,"ARGH")</f>
        <v>9000</v>
      </c>
      <c r="DN18" s="3">
        <f>_xlfn.XLOOKUP(DN$1,generator!$B$2:$B$295,generator!$Q$2:$Q$295,"ARGH")</f>
        <v>9000</v>
      </c>
      <c r="DO18" s="3">
        <f>_xlfn.XLOOKUP(DO$1,generator!$B$2:$B$295,generator!$Q$2:$Q$295,"ARGH")</f>
        <v>9000</v>
      </c>
      <c r="DP18" s="3">
        <f>_xlfn.XLOOKUP(DP$1,generator!$B$2:$B$295,generator!$Q$2:$Q$295,"ARGH")</f>
        <v>9000</v>
      </c>
      <c r="DQ18" s="3">
        <f>_xlfn.XLOOKUP(DQ$1,generator!$B$2:$B$295,generator!$Q$2:$Q$295,"ARGH")</f>
        <v>9000</v>
      </c>
      <c r="DR18" s="3">
        <f>_xlfn.XLOOKUP(DR$1,generator!$B$2:$B$295,generator!$Q$2:$Q$295,"ARGH")</f>
        <v>9000</v>
      </c>
      <c r="DS18" s="3">
        <f>_xlfn.XLOOKUP(DS$1,generator!$B$2:$B$295,generator!$Q$2:$Q$295,"ARGH")</f>
        <v>9000</v>
      </c>
      <c r="DT18" s="3">
        <f>_xlfn.XLOOKUP(DT$1,generator!$B$2:$B$295,generator!$Q$2:$Q$295,"ARGH")</f>
        <v>9000</v>
      </c>
      <c r="DU18" s="3">
        <f>_xlfn.XLOOKUP(DU$1,generator!$B$2:$B$295,generator!$Q$2:$Q$295,"ARGH")</f>
        <v>9000</v>
      </c>
      <c r="DV18" s="3">
        <f>_xlfn.XLOOKUP(DV$1,generator!$B$2:$B$295,generator!$Q$2:$Q$295,"ARGH")</f>
        <v>9000</v>
      </c>
      <c r="DW18" s="3">
        <f>_xlfn.XLOOKUP(DW$1,generator!$B$2:$B$295,generator!$Q$2:$Q$295,"ARGH")</f>
        <v>9000</v>
      </c>
      <c r="DX18" s="3">
        <f>_xlfn.XLOOKUP(DX$1,generator!$B$2:$B$295,generator!$Q$2:$Q$295,"ARGH")</f>
        <v>9000</v>
      </c>
      <c r="DY18" s="3">
        <f>_xlfn.XLOOKUP(DY$1,generator!$B$2:$B$295,generator!$Q$2:$Q$295,"ARGH")</f>
        <v>9000</v>
      </c>
      <c r="DZ18" s="3">
        <f>_xlfn.XLOOKUP(DZ$1,generator!$B$2:$B$295,generator!$Q$2:$Q$295,"ARGH")</f>
        <v>9000</v>
      </c>
      <c r="EA18" s="3">
        <f>_xlfn.XLOOKUP(EA$1,generator!$B$2:$B$295,generator!$Q$2:$Q$295,"ARGH")</f>
        <v>9000</v>
      </c>
      <c r="EB18" s="3">
        <f>_xlfn.XLOOKUP(EB$1,generator!$B$2:$B$295,generator!$Q$2:$Q$295,"ARGH")</f>
        <v>9000</v>
      </c>
      <c r="EC18" s="3">
        <f>_xlfn.XLOOKUP(EC$1,generator!$B$2:$B$295,generator!$Q$2:$Q$295,"ARGH")</f>
        <v>9000</v>
      </c>
      <c r="ED18" s="3">
        <f>_xlfn.XLOOKUP(ED$1,generator!$B$2:$B$295,generator!$Q$2:$Q$295,"ARGH")</f>
        <v>9000</v>
      </c>
      <c r="EE18" s="3">
        <f>_xlfn.XLOOKUP(EE$1,generator!$B$2:$B$295,generator!$Q$2:$Q$295,"ARGH")</f>
        <v>9000</v>
      </c>
      <c r="EF18" s="3">
        <f>_xlfn.XLOOKUP(EF$1,generator!$B$2:$B$295,generator!$Q$2:$Q$295,"ARGH")</f>
        <v>9000</v>
      </c>
      <c r="EG18" s="3">
        <f>_xlfn.XLOOKUP(EG$1,generator!$B$2:$B$295,generator!$Q$2:$Q$295,"ARGH")</f>
        <v>9000</v>
      </c>
      <c r="EH18" s="3">
        <f>_xlfn.XLOOKUP(EH$1,generator!$B$2:$B$295,generator!$Q$2:$Q$295,"ARGH")</f>
        <v>9000</v>
      </c>
      <c r="EI18" s="3">
        <f>_xlfn.XLOOKUP(EI$1,generator!$B$2:$B$295,generator!$Q$2:$Q$295,"ARGH")</f>
        <v>9000</v>
      </c>
      <c r="EJ18" s="3">
        <f>_xlfn.XLOOKUP(EJ$1,generator!$B$2:$B$295,generator!$Q$2:$Q$295,"ARGH")</f>
        <v>9000</v>
      </c>
      <c r="EK18" s="3">
        <f>_xlfn.XLOOKUP(EK$1,generator!$B$2:$B$295,generator!$Q$2:$Q$295,"ARGH")</f>
        <v>9000</v>
      </c>
      <c r="EL18" s="3">
        <f>_xlfn.XLOOKUP(EL$1,generator!$B$2:$B$295,generator!$Q$2:$Q$295,"ARGH")</f>
        <v>9000</v>
      </c>
      <c r="EM18" s="3">
        <f>_xlfn.XLOOKUP(EM$1,generator!$B$2:$B$295,generator!$Q$2:$Q$295,"ARGH")</f>
        <v>9000</v>
      </c>
      <c r="EN18" s="3">
        <f>_xlfn.XLOOKUP(EN$1,generator!$B$2:$B$295,generator!$Q$2:$Q$295,"ARGH")</f>
        <v>9000</v>
      </c>
      <c r="EO18" s="3">
        <f>_xlfn.XLOOKUP(EO$1,generator!$B$2:$B$295,generator!$Q$2:$Q$295,"ARGH")</f>
        <v>9000</v>
      </c>
      <c r="EP18" s="3">
        <f>_xlfn.XLOOKUP(EP$1,generator!$B$2:$B$295,generator!$Q$2:$Q$295,"ARGH")</f>
        <v>9000</v>
      </c>
      <c r="EQ18" s="3">
        <f>_xlfn.XLOOKUP(EQ$1,generator!$B$2:$B$295,generator!$Q$2:$Q$295,"ARGH")</f>
        <v>9000</v>
      </c>
      <c r="ER18" s="3">
        <f>_xlfn.XLOOKUP(ER$1,generator!$B$2:$B$295,generator!$Q$2:$Q$295,"ARGH")</f>
        <v>9000</v>
      </c>
      <c r="ES18" s="3">
        <f>_xlfn.XLOOKUP(ES$1,generator!$B$2:$B$295,generator!$Q$2:$Q$295,"ARGH")</f>
        <v>9000</v>
      </c>
      <c r="ET18" s="3">
        <f>_xlfn.XLOOKUP(ET$1,generator!$B$2:$B$295,generator!$Q$2:$Q$295,"ARGH")</f>
        <v>9000</v>
      </c>
      <c r="EU18" s="3">
        <f>_xlfn.XLOOKUP(EU$1,generator!$B$2:$B$295,generator!$Q$2:$Q$295,"ARGH")</f>
        <v>9000</v>
      </c>
      <c r="EV18" s="3">
        <f>_xlfn.XLOOKUP(EV$1,generator!$B$2:$B$295,generator!$Q$2:$Q$295,"ARGH")</f>
        <v>9000</v>
      </c>
      <c r="EW18" s="3">
        <f>_xlfn.XLOOKUP(EW$1,generator!$B$2:$B$295,generator!$Q$2:$Q$295,"ARGH")</f>
        <v>9000</v>
      </c>
      <c r="EX18" s="3">
        <f>_xlfn.XLOOKUP(EX$1,generator!$B$2:$B$295,generator!$Q$2:$Q$295,"ARGH")</f>
        <v>9000</v>
      </c>
      <c r="EY18" s="3">
        <f>_xlfn.XLOOKUP(EY$1,generator!$B$2:$B$295,generator!$Q$2:$Q$295,"ARGH")</f>
        <v>9000</v>
      </c>
      <c r="EZ18" s="3">
        <f>_xlfn.XLOOKUP(EZ$1,generator!$B$2:$B$295,generator!$Q$2:$Q$295,"ARGH")</f>
        <v>9000</v>
      </c>
      <c r="FA18" s="3">
        <f>_xlfn.XLOOKUP(FA$1,generator!$B$2:$B$295,generator!$Q$2:$Q$295,"ARGH")</f>
        <v>9000</v>
      </c>
      <c r="FB18" s="3">
        <f>_xlfn.XLOOKUP(FB$1,generator!$B$2:$B$295,generator!$Q$2:$Q$295,"ARGH")</f>
        <v>9000</v>
      </c>
      <c r="FC18" s="3">
        <f>_xlfn.XLOOKUP(FC$1,generator!$B$2:$B$295,generator!$Q$2:$Q$295,"ARGH")</f>
        <v>9000</v>
      </c>
      <c r="FD18" s="3">
        <f>_xlfn.XLOOKUP(FD$1,generator!$B$2:$B$295,generator!$Q$2:$Q$295,"ARGH")</f>
        <v>9000</v>
      </c>
      <c r="FE18" s="3">
        <f>_xlfn.XLOOKUP(FE$1,generator!$B$2:$B$295,generator!$Q$2:$Q$295,"ARGH")</f>
        <v>9000</v>
      </c>
      <c r="FF18" s="3">
        <f>_xlfn.XLOOKUP(FF$1,generator!$B$2:$B$295,generator!$Q$2:$Q$295,"ARGH")</f>
        <v>9000</v>
      </c>
      <c r="FG18" s="3">
        <f>_xlfn.XLOOKUP(FG$1,generator!$B$2:$B$295,generator!$Q$2:$Q$295,"ARGH")</f>
        <v>9000</v>
      </c>
      <c r="FH18" s="3">
        <f>_xlfn.XLOOKUP(FH$1,generator!$B$2:$B$295,generator!$Q$2:$Q$295,"ARGH")</f>
        <v>9000</v>
      </c>
      <c r="FI18" s="3">
        <f>_xlfn.XLOOKUP(FI$1,generator!$B$2:$B$295,generator!$Q$2:$Q$295,"ARGH")</f>
        <v>9000</v>
      </c>
      <c r="FJ18" s="3">
        <f>_xlfn.XLOOKUP(FJ$1,generator!$B$2:$B$295,generator!$Q$2:$Q$295,"ARGH")</f>
        <v>9000</v>
      </c>
      <c r="FK18" s="3">
        <f>_xlfn.XLOOKUP(FK$1,generator!$B$2:$B$295,generator!$Q$2:$Q$295,"ARGH")</f>
        <v>9000</v>
      </c>
      <c r="FL18" s="3">
        <f>_xlfn.XLOOKUP(FL$1,generator!$B$2:$B$295,generator!$Q$2:$Q$295,"ARGH")</f>
        <v>9000</v>
      </c>
      <c r="FM18" s="3">
        <f>_xlfn.XLOOKUP(FM$1,generator!$B$2:$B$295,generator!$Q$2:$Q$295,"ARGH")</f>
        <v>9000</v>
      </c>
      <c r="FN18" s="3">
        <f>_xlfn.XLOOKUP(FN$1,generator!$B$2:$B$295,generator!$Q$2:$Q$295,"ARGH")</f>
        <v>9000</v>
      </c>
      <c r="FO18" s="3">
        <f>_xlfn.XLOOKUP(FO$1,generator!$B$2:$B$295,generator!$Q$2:$Q$295,"ARGH")</f>
        <v>9000</v>
      </c>
      <c r="FP18" s="3">
        <f>_xlfn.XLOOKUP(FP$1,generator!$B$2:$B$295,generator!$Q$2:$Q$295,"ARGH")</f>
        <v>9000</v>
      </c>
      <c r="FQ18" s="3">
        <f>_xlfn.XLOOKUP(FQ$1,generator!$B$2:$B$295,generator!$Q$2:$Q$295,"ARGH")</f>
        <v>9000</v>
      </c>
      <c r="FR18" s="3">
        <f>_xlfn.XLOOKUP(FR$1,generator!$B$2:$B$295,generator!$Q$2:$Q$295,"ARGH")</f>
        <v>9000</v>
      </c>
      <c r="FS18" s="3">
        <f>_xlfn.XLOOKUP(FS$1,generator!$B$2:$B$295,generator!$Q$2:$Q$295,"ARGH")</f>
        <v>9000</v>
      </c>
      <c r="FT18" s="3">
        <f>_xlfn.XLOOKUP(FT$1,generator!$B$2:$B$295,generator!$Q$2:$Q$295,"ARGH")</f>
        <v>9000</v>
      </c>
      <c r="FU18" s="3">
        <f>_xlfn.XLOOKUP(FU$1,generator!$B$2:$B$295,generator!$Q$2:$Q$295,"ARGH")</f>
        <v>9000</v>
      </c>
      <c r="FV18" s="3">
        <f>_xlfn.XLOOKUP(FV$1,generator!$B$2:$B$295,generator!$Q$2:$Q$295,"ARGH")</f>
        <v>9000</v>
      </c>
      <c r="FW18" s="3">
        <f>_xlfn.XLOOKUP(FW$1,generator!$B$2:$B$295,generator!$Q$2:$Q$295,"ARGH")</f>
        <v>9000</v>
      </c>
      <c r="FX18" s="3">
        <f>_xlfn.XLOOKUP(FX$1,generator!$B$2:$B$295,generator!$Q$2:$Q$295,"ARGH")</f>
        <v>9000</v>
      </c>
      <c r="FY18" s="3">
        <f>_xlfn.XLOOKUP(FY$1,generator!$B$2:$B$295,generator!$Q$2:$Q$295,"ARGH")</f>
        <v>9000</v>
      </c>
      <c r="FZ18" s="3">
        <f>_xlfn.XLOOKUP(FZ$1,generator!$B$2:$B$295,generator!$Q$2:$Q$295,"ARGH")</f>
        <v>9000</v>
      </c>
      <c r="GA18" s="3">
        <f>_xlfn.XLOOKUP(GA$1,generator!$B$2:$B$295,generator!$Q$2:$Q$295,"ARGH")</f>
        <v>9000</v>
      </c>
      <c r="GB18" s="3">
        <f>_xlfn.XLOOKUP(GB$1,generator!$B$2:$B$295,generator!$Q$2:$Q$295,"ARGH")</f>
        <v>9000</v>
      </c>
      <c r="GC18" s="3">
        <f>_xlfn.XLOOKUP(GC$1,generator!$B$2:$B$295,generator!$Q$2:$Q$295,"ARGH")</f>
        <v>9000</v>
      </c>
      <c r="GD18" s="3">
        <f>_xlfn.XLOOKUP(GD$1,generator!$B$2:$B$295,generator!$Q$2:$Q$295,"ARGH")</f>
        <v>9000</v>
      </c>
      <c r="GE18" s="3">
        <f>_xlfn.XLOOKUP(GE$1,generator!$B$2:$B$295,generator!$Q$2:$Q$295,"ARGH")</f>
        <v>9000</v>
      </c>
      <c r="GF18" s="3">
        <f>_xlfn.XLOOKUP(GF$1,generator!$B$2:$B$295,generator!$Q$2:$Q$295,"ARGH")</f>
        <v>9000</v>
      </c>
      <c r="GG18" s="3">
        <f>_xlfn.XLOOKUP(GG$1,generator!$B$2:$B$295,generator!$Q$2:$Q$295,"ARGH")</f>
        <v>9000</v>
      </c>
      <c r="GH18" s="3">
        <f>_xlfn.XLOOKUP(GH$1,generator!$B$2:$B$295,generator!$Q$2:$Q$295,"ARGH")</f>
        <v>9000</v>
      </c>
      <c r="GI18" s="3">
        <f>_xlfn.XLOOKUP(GI$1,generator!$B$2:$B$295,generator!$Q$2:$Q$295,"ARGH")</f>
        <v>9000</v>
      </c>
      <c r="GJ18" s="3">
        <f>_xlfn.XLOOKUP(GJ$1,generator!$B$2:$B$295,generator!$Q$2:$Q$295,"ARGH")</f>
        <v>9000</v>
      </c>
      <c r="GK18" s="3">
        <f>_xlfn.XLOOKUP(GK$1,generator!$B$2:$B$295,generator!$Q$2:$Q$295,"ARGH")</f>
        <v>9000</v>
      </c>
      <c r="GL18" s="3">
        <f>_xlfn.XLOOKUP(GL$1,generator!$B$2:$B$295,generator!$Q$2:$Q$295,"ARGH")</f>
        <v>9000</v>
      </c>
      <c r="GM18" s="3">
        <f>_xlfn.XLOOKUP(GM$1,generator!$B$2:$B$295,generator!$Q$2:$Q$295,"ARGH")</f>
        <v>9000</v>
      </c>
      <c r="GN18" s="3">
        <f>_xlfn.XLOOKUP(GN$1,generator!$B$2:$B$295,generator!$Q$2:$Q$295,"ARGH")</f>
        <v>9000</v>
      </c>
      <c r="GO18" s="3">
        <f>_xlfn.XLOOKUP(GO$1,generator!$B$2:$B$295,generator!$Q$2:$Q$295,"ARGH")</f>
        <v>9000</v>
      </c>
      <c r="GP18" s="3">
        <f>_xlfn.XLOOKUP(GP$1,generator!$B$2:$B$295,generator!$Q$2:$Q$295,"ARGH")</f>
        <v>9000</v>
      </c>
      <c r="GQ18" s="3">
        <f>_xlfn.XLOOKUP(GQ$1,generator!$B$2:$B$295,generator!$Q$2:$Q$295,"ARGH")</f>
        <v>9000</v>
      </c>
      <c r="GR18" s="3">
        <f>_xlfn.XLOOKUP(GR$1,generator!$B$2:$B$295,generator!$Q$2:$Q$295,"ARGH")</f>
        <v>9000</v>
      </c>
      <c r="GS18" s="3">
        <f>_xlfn.XLOOKUP(GS$1,generator!$B$2:$B$295,generator!$Q$2:$Q$295,"ARGH")</f>
        <v>9000</v>
      </c>
      <c r="GT18" s="3">
        <f>_xlfn.XLOOKUP(GT$1,generator!$B$2:$B$295,generator!$Q$2:$Q$295,"ARGH")</f>
        <v>9000</v>
      </c>
      <c r="GU18" s="3">
        <f>_xlfn.XLOOKUP(GU$1,generator!$B$2:$B$295,generator!$Q$2:$Q$295,"ARGH")</f>
        <v>9000</v>
      </c>
      <c r="GV18" s="3">
        <f>_xlfn.XLOOKUP(GV$1,generator!$B$2:$B$295,generator!$Q$2:$Q$295,"ARGH")</f>
        <v>9000</v>
      </c>
      <c r="GW18" s="3">
        <f>_xlfn.XLOOKUP(GW$1,generator!$B$2:$B$295,generator!$Q$2:$Q$295,"ARGH")</f>
        <v>9000</v>
      </c>
      <c r="GX18" s="3">
        <f>_xlfn.XLOOKUP(GX$1,generator!$B$2:$B$295,generator!$Q$2:$Q$295,"ARGH")</f>
        <v>9000</v>
      </c>
      <c r="GY18" s="3">
        <f>_xlfn.XLOOKUP(GY$1,generator!$B$2:$B$295,generator!$Q$2:$Q$295,"ARGH")</f>
        <v>9000</v>
      </c>
      <c r="GZ18" s="3">
        <f>_xlfn.XLOOKUP(GZ$1,generator!$B$2:$B$295,generator!$Q$2:$Q$295,"ARGH")</f>
        <v>9000</v>
      </c>
      <c r="HA18" s="3">
        <f>_xlfn.XLOOKUP(HA$1,generator!$B$2:$B$295,generator!$Q$2:$Q$295,"ARGH")</f>
        <v>9000</v>
      </c>
      <c r="HB18" s="3">
        <f>_xlfn.XLOOKUP(HB$1,generator!$B$2:$B$295,generator!$Q$2:$Q$295,"ARGH")</f>
        <v>9000</v>
      </c>
      <c r="HC18" s="3">
        <f>_xlfn.XLOOKUP(HC$1,generator!$B$2:$B$295,generator!$Q$2:$Q$295,"ARGH")</f>
        <v>9000</v>
      </c>
      <c r="HD18" s="3">
        <f>_xlfn.XLOOKUP(HD$1,generator!$B$2:$B$295,generator!$Q$2:$Q$295,"ARGH")</f>
        <v>9000</v>
      </c>
      <c r="HE18" s="3">
        <f>_xlfn.XLOOKUP(HE$1,generator!$B$2:$B$295,generator!$Q$2:$Q$295,"ARGH")</f>
        <v>8000</v>
      </c>
      <c r="HF18" s="3" t="str">
        <f>_xlfn.XLOOKUP(HF$1,generator!$B$2:$B$295,generator!$Q$2:$Q$295,"ARGH")</f>
        <v>143</v>
      </c>
      <c r="HG18" s="3" t="str">
        <f>_xlfn.XLOOKUP(HG$1,generator!$B$2:$B$295,generator!$Q$2:$Q$295,"ARGH")</f>
        <v>143</v>
      </c>
      <c r="HH18" s="3" t="str">
        <f>_xlfn.XLOOKUP(HH$1,generator!$B$2:$B$295,generator!$Q$2:$Q$295,"ARGH")</f>
        <v>143</v>
      </c>
      <c r="HI18" s="3" t="str">
        <f>_xlfn.XLOOKUP(HI$1,generator!$B$2:$B$295,generator!$Q$2:$Q$295,"ARGH")</f>
        <v>246.74</v>
      </c>
      <c r="HJ18" s="3" t="str">
        <f>_xlfn.XLOOKUP(HJ$1,generator!$B$2:$B$295,generator!$Q$2:$Q$295,"ARGH")</f>
        <v>246.74</v>
      </c>
      <c r="HK18" s="3" t="str">
        <f>_xlfn.XLOOKUP(HK$1,generator!$B$2:$B$295,generator!$Q$2:$Q$295,"ARGH")</f>
        <v>206.04</v>
      </c>
      <c r="HL18" s="3" t="str">
        <f>_xlfn.XLOOKUP(HL$1,generator!$B$2:$B$295,generator!$Q$2:$Q$295,"ARGH")</f>
        <v>506.96</v>
      </c>
      <c r="HM18" s="3" t="str">
        <f>_xlfn.XLOOKUP(HM$1,generator!$B$2:$B$295,generator!$Q$2:$Q$295,"ARGH")</f>
        <v>506.95</v>
      </c>
      <c r="HN18" s="3" t="str">
        <f>_xlfn.XLOOKUP(HN$1,generator!$B$2:$B$295,generator!$Q$2:$Q$295,"ARGH")</f>
        <v>190.97</v>
      </c>
      <c r="HO18" s="3" t="str">
        <f>_xlfn.XLOOKUP(HO$1,generator!$B$2:$B$295,generator!$Q$2:$Q$295,"ARGH")</f>
        <v>190.97</v>
      </c>
      <c r="HP18" s="3" t="str">
        <f>_xlfn.XLOOKUP(HP$1,generator!$B$2:$B$295,generator!$Q$2:$Q$295,"ARGH")</f>
        <v>424.84</v>
      </c>
      <c r="HQ18" s="3" t="str">
        <f>_xlfn.XLOOKUP(HQ$1,generator!$B$2:$B$295,generator!$Q$2:$Q$295,"ARGH")</f>
        <v>425.9</v>
      </c>
      <c r="HR18" s="3" t="str">
        <f>_xlfn.XLOOKUP(HR$1,generator!$B$2:$B$295,generator!$Q$2:$Q$295,"ARGH")</f>
        <v>425.9</v>
      </c>
      <c r="HS18" s="3" t="str">
        <f>_xlfn.XLOOKUP(HS$1,generator!$B$2:$B$295,generator!$Q$2:$Q$295,"ARGH")</f>
        <v>196.54</v>
      </c>
      <c r="HT18" s="3" t="str">
        <f>_xlfn.XLOOKUP(HT$1,generator!$B$2:$B$295,generator!$Q$2:$Q$295,"ARGH")</f>
        <v>196.54</v>
      </c>
      <c r="HU18" s="3" t="str">
        <f>_xlfn.XLOOKUP(HU$1,generator!$B$2:$B$295,generator!$Q$2:$Q$295,"ARGH")</f>
        <v>145.57</v>
      </c>
      <c r="HV18" s="3" t="str">
        <f>_xlfn.XLOOKUP(HV$1,generator!$B$2:$B$295,generator!$Q$2:$Q$295,"ARGH")</f>
        <v>132.62</v>
      </c>
      <c r="HW18" s="3" t="str">
        <f>_xlfn.XLOOKUP(HW$1,generator!$B$2:$B$295,generator!$Q$2:$Q$295,"ARGH")</f>
        <v>193.76</v>
      </c>
      <c r="HX18" s="3" t="str">
        <f>_xlfn.XLOOKUP(HX$1,generator!$B$2:$B$295,generator!$Q$2:$Q$295,"ARGH")</f>
        <v>193.76</v>
      </c>
      <c r="HY18" s="3" t="str">
        <f>_xlfn.XLOOKUP(HY$1,generator!$B$2:$B$295,generator!$Q$2:$Q$295,"ARGH")</f>
        <v>79.19</v>
      </c>
      <c r="HZ18" s="3" t="str">
        <f>_xlfn.XLOOKUP(HZ$1,generator!$B$2:$B$295,generator!$Q$2:$Q$295,"ARGH")</f>
        <v>125.79</v>
      </c>
      <c r="IA18" s="3" t="str">
        <f>_xlfn.XLOOKUP(IA$1,generator!$B$2:$B$295,generator!$Q$2:$Q$295,"ARGH")</f>
        <v>54.19</v>
      </c>
      <c r="IB18" s="3" t="str">
        <f>_xlfn.XLOOKUP(IB$1,generator!$B$2:$B$295,generator!$Q$2:$Q$295,"ARGH")</f>
        <v>59.7</v>
      </c>
      <c r="IC18" s="3">
        <f>_xlfn.XLOOKUP(IC$1,generator!$B$2:$B$295,generator!$Q$2:$Q$295,"ARGH")</f>
        <v>0</v>
      </c>
      <c r="ID18" s="3" t="str">
        <f>_xlfn.XLOOKUP(ID$1,generator!$B$2:$B$295,generator!$Q$2:$Q$295,"ARGH")</f>
        <v>121.14</v>
      </c>
      <c r="IE18" s="3" t="str">
        <f>_xlfn.XLOOKUP(IE$1,generator!$B$2:$B$295,generator!$Q$2:$Q$295,"ARGH")</f>
        <v>26.6</v>
      </c>
      <c r="IF18" s="3">
        <f>_xlfn.XLOOKUP(IF$1,generator!$B$2:$B$295,generator!$Q$2:$Q$295,"ARGH")</f>
        <v>8000</v>
      </c>
      <c r="IG18" s="3">
        <f>_xlfn.XLOOKUP(IG$1,generator!$B$2:$B$295,generator!$Q$2:$Q$295,"ARGH")</f>
        <v>8000</v>
      </c>
      <c r="IH18" s="3">
        <f>_xlfn.XLOOKUP(IH$1,generator!$B$2:$B$295,generator!$Q$2:$Q$295,"ARGH")</f>
        <v>8000</v>
      </c>
      <c r="II18" s="3">
        <f>_xlfn.XLOOKUP(II$1,generator!$B$2:$B$295,generator!$Q$2:$Q$295,"ARGH")</f>
        <v>8000</v>
      </c>
      <c r="IJ18" s="3">
        <f>_xlfn.XLOOKUP(IJ$1,generator!$B$2:$B$295,generator!$Q$2:$Q$295,"ARGH")</f>
        <v>8000</v>
      </c>
      <c r="IK18" s="3">
        <f>_xlfn.XLOOKUP(IK$1,generator!$B$2:$B$295,generator!$Q$2:$Q$295,"ARGH")</f>
        <v>8000</v>
      </c>
      <c r="IL18" s="3">
        <f>_xlfn.XLOOKUP(IL$1,generator!$B$2:$B$295,generator!$Q$2:$Q$295,"ARGH")</f>
        <v>8000</v>
      </c>
      <c r="IM18" s="3">
        <f>_xlfn.XLOOKUP(IM$1,generator!$B$2:$B$295,generator!$Q$2:$Q$295,"ARGH")</f>
        <v>8000</v>
      </c>
      <c r="IN18" s="3">
        <f>_xlfn.XLOOKUP(IN$1,generator!$B$2:$B$295,generator!$Q$2:$Q$295,"ARGH")</f>
        <v>8000</v>
      </c>
      <c r="IO18" s="3">
        <f>_xlfn.XLOOKUP(IO$1,generator!$B$2:$B$295,generator!$Q$2:$Q$295,"ARGH")</f>
        <v>8000</v>
      </c>
      <c r="IP18" s="3">
        <f>_xlfn.XLOOKUP(IP$1,generator!$B$2:$B$295,generator!$Q$2:$Q$295,"ARGH")</f>
        <v>8000</v>
      </c>
      <c r="IQ18" s="3">
        <f>_xlfn.XLOOKUP(IQ$1,generator!$B$2:$B$295,generator!$Q$2:$Q$295,"ARGH")</f>
        <v>8000</v>
      </c>
      <c r="IR18" s="3">
        <f>_xlfn.XLOOKUP(IR$1,generator!$B$2:$B$295,generator!$Q$2:$Q$295,"ARGH")</f>
        <v>8000</v>
      </c>
      <c r="IS18" s="3">
        <f>_xlfn.XLOOKUP(IS$1,generator!$B$2:$B$295,generator!$Q$2:$Q$295,"ARGH")</f>
        <v>8000</v>
      </c>
      <c r="IT18" s="3">
        <f>_xlfn.XLOOKUP(IT$1,generator!$B$2:$B$295,generator!$Q$2:$Q$295,"ARGH")</f>
        <v>8000</v>
      </c>
      <c r="IU18" s="3">
        <f>_xlfn.XLOOKUP(IU$1,generator!$B$2:$B$295,generator!$Q$2:$Q$295,"ARGH")</f>
        <v>8000</v>
      </c>
      <c r="IV18" s="3">
        <f>_xlfn.XLOOKUP(IV$1,generator!$B$2:$B$295,generator!$Q$2:$Q$295,"ARGH")</f>
        <v>8000</v>
      </c>
      <c r="IW18" s="3" t="str">
        <f>_xlfn.XLOOKUP(IW$1,generator!$B$2:$B$295,generator!$Q$2:$Q$295,"ARGH")</f>
        <v>108.19</v>
      </c>
      <c r="IX18" s="3" t="str">
        <f>_xlfn.XLOOKUP(IX$1,generator!$B$2:$B$295,generator!$Q$2:$Q$295,"ARGH")</f>
        <v>108.18</v>
      </c>
      <c r="IY18" s="3" t="str">
        <f>_xlfn.XLOOKUP(IY$1,generator!$B$2:$B$295,generator!$Q$2:$Q$295,"ARGH")</f>
        <v>108.17</v>
      </c>
      <c r="IZ18" s="3" t="str">
        <f>_xlfn.XLOOKUP(IZ$1,generator!$B$2:$B$295,generator!$Q$2:$Q$295,"ARGH")</f>
        <v>40.96</v>
      </c>
      <c r="JA18" s="3">
        <f>_xlfn.XLOOKUP(JA$1,generator!$B$2:$B$295,generator!$Q$2:$Q$295,"ARGH")</f>
        <v>0</v>
      </c>
      <c r="JB18" s="3">
        <f>_xlfn.XLOOKUP(JB$1,generator!$B$2:$B$295,generator!$Q$2:$Q$295,"ARGH")</f>
        <v>0</v>
      </c>
      <c r="JC18" s="3" t="str">
        <f>_xlfn.XLOOKUP(JC$1,generator!$B$2:$B$295,generator!$Q$2:$Q$295,"ARGH")</f>
        <v>75.91</v>
      </c>
      <c r="JD18" s="3" t="str">
        <f>_xlfn.XLOOKUP(JD$1,generator!$B$2:$B$295,generator!$Q$2:$Q$295,"ARGH")</f>
        <v>75.91</v>
      </c>
      <c r="JE18" s="3" t="str">
        <f>_xlfn.XLOOKUP(JE$1,generator!$B$2:$B$295,generator!$Q$2:$Q$295,"ARGH")</f>
        <v>51.59</v>
      </c>
      <c r="JF18" s="3" t="str">
        <f>_xlfn.XLOOKUP(JF$1,generator!$B$2:$B$295,generator!$Q$2:$Q$295,"ARGH")</f>
        <v>111.57</v>
      </c>
      <c r="JG18" s="3">
        <f>_xlfn.XLOOKUP(JG$1,generator!$B$2:$B$295,generator!$Q$2:$Q$295,"ARGH")</f>
        <v>0</v>
      </c>
      <c r="JH18" s="3" t="str">
        <f>_xlfn.XLOOKUP(JH$1,generator!$B$2:$B$295,generator!$Q$2:$Q$295,"ARGH")</f>
        <v>48.65</v>
      </c>
      <c r="JI18" s="3" t="str">
        <f>_xlfn.XLOOKUP(JI$1,generator!$B$2:$B$295,generator!$Q$2:$Q$295,"ARGH")</f>
        <v>71.88</v>
      </c>
      <c r="JJ18" s="3" t="str">
        <f>_xlfn.XLOOKUP(JJ$1,generator!$B$2:$B$295,generator!$Q$2:$Q$295,"ARGH")</f>
        <v>98.17</v>
      </c>
      <c r="JK18" s="3" t="str">
        <f>_xlfn.XLOOKUP(JK$1,generator!$B$2:$B$295,generator!$Q$2:$Q$295,"ARGH")</f>
        <v>98.17</v>
      </c>
      <c r="JL18" s="3" t="str">
        <f>_xlfn.XLOOKUP(JL$1,generator!$B$2:$B$295,generator!$Q$2:$Q$295,"ARGH")</f>
        <v>98.17</v>
      </c>
      <c r="JM18" s="3" t="str">
        <f>_xlfn.XLOOKUP(JM$1,generator!$B$2:$B$295,generator!$Q$2:$Q$295,"ARGH")</f>
        <v>98.17</v>
      </c>
      <c r="JN18" s="3" t="str">
        <f>_xlfn.XLOOKUP(JN$1,generator!$B$2:$B$295,generator!$Q$2:$Q$295,"ARGH")</f>
        <v>98.17</v>
      </c>
      <c r="JO18" s="3" t="str">
        <f>_xlfn.XLOOKUP(JO$1,generator!$B$2:$B$295,generator!$Q$2:$Q$295,"ARGH")</f>
        <v>98.17</v>
      </c>
      <c r="JP18" s="3" t="str">
        <f>_xlfn.XLOOKUP(JP$1,generator!$B$2:$B$295,generator!$Q$2:$Q$295,"ARGH")</f>
        <v>47.53</v>
      </c>
      <c r="JQ18" s="3" t="str">
        <f>_xlfn.XLOOKUP(JQ$1,generator!$B$2:$B$295,generator!$Q$2:$Q$295,"ARGH")</f>
        <v>108.86</v>
      </c>
      <c r="JR18" s="3" t="str">
        <f>_xlfn.XLOOKUP(JR$1,generator!$B$2:$B$295,generator!$Q$2:$Q$295,"ARGH")</f>
        <v>83.15</v>
      </c>
      <c r="JS18" s="3" t="str">
        <f>_xlfn.XLOOKUP(JS$1,generator!$B$2:$B$295,generator!$Q$2:$Q$295,"ARGH")</f>
        <v>83.15</v>
      </c>
      <c r="JT18" s="3" t="str">
        <f>_xlfn.XLOOKUP(JT$1,generator!$B$2:$B$295,generator!$Q$2:$Q$295,"ARGH")</f>
        <v>108.86</v>
      </c>
      <c r="JU18" s="3">
        <f>_xlfn.XLOOKUP(JU$1,generator!$B$2:$B$295,generator!$Q$2:$Q$295,"ARGH")</f>
        <v>0</v>
      </c>
      <c r="JV18" s="3" t="str">
        <f>_xlfn.XLOOKUP(JV$1,generator!$B$2:$B$295,generator!$Q$2:$Q$295,"ARGH")</f>
        <v>77.63</v>
      </c>
      <c r="JW18" s="3" t="str">
        <f>_xlfn.XLOOKUP(JW$1,generator!$B$2:$B$295,generator!$Q$2:$Q$295,"ARGH")</f>
        <v>77.64</v>
      </c>
      <c r="JX18" s="3" t="str">
        <f>_xlfn.XLOOKUP(JX$1,generator!$B$2:$B$295,generator!$Q$2:$Q$295,"ARGH")</f>
        <v>331.49</v>
      </c>
      <c r="JY18" s="3">
        <f>_xlfn.XLOOKUP(JY$1,generator!$B$2:$B$295,generator!$Q$2:$Q$295,"ARGH")</f>
        <v>7000</v>
      </c>
      <c r="JZ18" s="3">
        <f>_xlfn.XLOOKUP(JZ$1,generator!$B$2:$B$295,generator!$Q$2:$Q$295,"ARGH")</f>
        <v>0</v>
      </c>
      <c r="KA18" s="3">
        <f>_xlfn.XLOOKUP(KA$1,generator!$B$2:$B$295,generator!$Q$2:$Q$295,"ARGH")</f>
        <v>0</v>
      </c>
      <c r="KB18" s="3">
        <f>_xlfn.XLOOKUP(KB$1,generator!$B$2:$B$295,generator!$Q$2:$Q$295,"ARGH")</f>
        <v>0</v>
      </c>
      <c r="KC18" s="3">
        <f>_xlfn.XLOOKUP(KC$1,generator!$B$2:$B$295,generator!$Q$2:$Q$295,"ARGH")</f>
        <v>0</v>
      </c>
    </row>
    <row r="19" spans="1:289" x14ac:dyDescent="0.3">
      <c r="A19" s="4" t="s">
        <v>3014</v>
      </c>
      <c r="B19" s="3">
        <v>15000</v>
      </c>
      <c r="C19" s="3">
        <v>15000</v>
      </c>
      <c r="D19" s="3">
        <v>15000</v>
      </c>
      <c r="E19" s="3">
        <f>_xlfn.XLOOKUP(E$1,generator!$B$2:$B$295,generator!$Q$2:$Q$295,"ARGH")</f>
        <v>9000</v>
      </c>
      <c r="F19" s="3">
        <f>_xlfn.XLOOKUP(F$1,generator!$B$2:$B$295,generator!$Q$2:$Q$295,"ARGH")</f>
        <v>9000</v>
      </c>
      <c r="G19" s="3">
        <f>_xlfn.XLOOKUP(G$1,generator!$B$2:$B$295,generator!$Q$2:$Q$295,"ARGH")</f>
        <v>9000</v>
      </c>
      <c r="H19" s="3">
        <f>_xlfn.XLOOKUP(H$1,generator!$B$2:$B$295,generator!$Q$2:$Q$295,"ARGH")</f>
        <v>9000</v>
      </c>
      <c r="I19" s="3">
        <f>_xlfn.XLOOKUP(I$1,generator!$B$2:$B$295,generator!$Q$2:$Q$295,"ARGH")</f>
        <v>9000</v>
      </c>
      <c r="J19" s="3">
        <f>_xlfn.XLOOKUP(J$1,generator!$B$2:$B$295,generator!$Q$2:$Q$295,"ARGH")</f>
        <v>9000</v>
      </c>
      <c r="K19" s="3">
        <f>_xlfn.XLOOKUP(K$1,generator!$B$2:$B$295,generator!$Q$2:$Q$295,"ARGH")</f>
        <v>9000</v>
      </c>
      <c r="L19" s="3">
        <f>_xlfn.XLOOKUP(L$1,generator!$B$2:$B$295,generator!$Q$2:$Q$295,"ARGH")</f>
        <v>9000</v>
      </c>
      <c r="M19" s="3">
        <f>_xlfn.XLOOKUP(M$1,generator!$B$2:$B$295,generator!$Q$2:$Q$295,"ARGH")</f>
        <v>9000</v>
      </c>
      <c r="N19" s="3">
        <f>_xlfn.XLOOKUP(N$1,generator!$B$2:$B$295,generator!$Q$2:$Q$295,"ARGH")</f>
        <v>9000</v>
      </c>
      <c r="O19" s="3">
        <f>_xlfn.XLOOKUP(O$1,generator!$B$2:$B$295,generator!$Q$2:$Q$295,"ARGH")</f>
        <v>9000</v>
      </c>
      <c r="P19" s="3">
        <f>_xlfn.XLOOKUP(P$1,generator!$B$2:$B$295,generator!$Q$2:$Q$295,"ARGH")</f>
        <v>9000</v>
      </c>
      <c r="Q19" s="3">
        <f>_xlfn.XLOOKUP(Q$1,generator!$B$2:$B$295,generator!$Q$2:$Q$295,"ARGH")</f>
        <v>9000</v>
      </c>
      <c r="R19" s="3">
        <f>_xlfn.XLOOKUP(R$1,generator!$B$2:$B$295,generator!$Q$2:$Q$295,"ARGH")</f>
        <v>9000</v>
      </c>
      <c r="S19" s="3">
        <f>_xlfn.XLOOKUP(S$1,generator!$B$2:$B$295,generator!$Q$2:$Q$295,"ARGH")</f>
        <v>9000</v>
      </c>
      <c r="T19" s="3">
        <f>_xlfn.XLOOKUP(T$1,generator!$B$2:$B$295,generator!$Q$2:$Q$295,"ARGH")</f>
        <v>9000</v>
      </c>
      <c r="U19" s="3">
        <f>_xlfn.XLOOKUP(U$1,generator!$B$2:$B$295,generator!$Q$2:$Q$295,"ARGH")</f>
        <v>9000</v>
      </c>
      <c r="V19" s="3">
        <f>_xlfn.XLOOKUP(V$1,generator!$B$2:$B$295,generator!$Q$2:$Q$295,"ARGH")</f>
        <v>9000</v>
      </c>
      <c r="W19" s="3">
        <f>_xlfn.XLOOKUP(W$1,generator!$B$2:$B$295,generator!$Q$2:$Q$295,"ARGH")</f>
        <v>9000</v>
      </c>
      <c r="X19" s="3">
        <f>_xlfn.XLOOKUP(X$1,generator!$B$2:$B$295,generator!$Q$2:$Q$295,"ARGH")</f>
        <v>9000</v>
      </c>
      <c r="Y19" s="3">
        <f>_xlfn.XLOOKUP(Y$1,generator!$B$2:$B$295,generator!$Q$2:$Q$295,"ARGH")</f>
        <v>9000</v>
      </c>
      <c r="Z19" s="3">
        <f>_xlfn.XLOOKUP(Z$1,generator!$B$2:$B$295,generator!$Q$2:$Q$295,"ARGH")</f>
        <v>9000</v>
      </c>
      <c r="AA19" s="3">
        <f>_xlfn.XLOOKUP(AA$1,generator!$B$2:$B$295,generator!$Q$2:$Q$295,"ARGH")</f>
        <v>9000</v>
      </c>
      <c r="AB19" s="3">
        <f>_xlfn.XLOOKUP(AB$1,generator!$B$2:$B$295,generator!$Q$2:$Q$295,"ARGH")</f>
        <v>9000</v>
      </c>
      <c r="AC19" s="3">
        <f>_xlfn.XLOOKUP(AC$1,generator!$B$2:$B$295,generator!$Q$2:$Q$295,"ARGH")</f>
        <v>9000</v>
      </c>
      <c r="AD19" s="3">
        <f>_xlfn.XLOOKUP(AD$1,generator!$B$2:$B$295,generator!$Q$2:$Q$295,"ARGH")</f>
        <v>9000</v>
      </c>
      <c r="AE19" s="3">
        <f>_xlfn.XLOOKUP(AE$1,generator!$B$2:$B$295,generator!$Q$2:$Q$295,"ARGH")</f>
        <v>9000</v>
      </c>
      <c r="AF19" s="3">
        <f>_xlfn.XLOOKUP(AF$1,generator!$B$2:$B$295,generator!$Q$2:$Q$295,"ARGH")</f>
        <v>9000</v>
      </c>
      <c r="AG19" s="3">
        <f>_xlfn.XLOOKUP(AG$1,generator!$B$2:$B$295,generator!$Q$2:$Q$295,"ARGH")</f>
        <v>9000</v>
      </c>
      <c r="AH19" s="3">
        <f>_xlfn.XLOOKUP(AH$1,generator!$B$2:$B$295,generator!$Q$2:$Q$295,"ARGH")</f>
        <v>9000</v>
      </c>
      <c r="AI19" s="3">
        <f>_xlfn.XLOOKUP(AI$1,generator!$B$2:$B$295,generator!$Q$2:$Q$295,"ARGH")</f>
        <v>9000</v>
      </c>
      <c r="AJ19" s="3">
        <f>_xlfn.XLOOKUP(AJ$1,generator!$B$2:$B$295,generator!$Q$2:$Q$295,"ARGH")</f>
        <v>9000</v>
      </c>
      <c r="AK19" s="3">
        <f>_xlfn.XLOOKUP(AK$1,generator!$B$2:$B$295,generator!$Q$2:$Q$295,"ARGH")</f>
        <v>9000</v>
      </c>
      <c r="AL19" s="3">
        <f>_xlfn.XLOOKUP(AL$1,generator!$B$2:$B$295,generator!$Q$2:$Q$295,"ARGH")</f>
        <v>9000</v>
      </c>
      <c r="AM19" s="3">
        <f>_xlfn.XLOOKUP(AM$1,generator!$B$2:$B$295,generator!$Q$2:$Q$295,"ARGH")</f>
        <v>9000</v>
      </c>
      <c r="AN19" s="3">
        <f>_xlfn.XLOOKUP(AN$1,generator!$B$2:$B$295,generator!$Q$2:$Q$295,"ARGH")</f>
        <v>9000</v>
      </c>
      <c r="AO19" s="3">
        <f>_xlfn.XLOOKUP(AO$1,generator!$B$2:$B$295,generator!$Q$2:$Q$295,"ARGH")</f>
        <v>9000</v>
      </c>
      <c r="AP19" s="3">
        <f>_xlfn.XLOOKUP(AP$1,generator!$B$2:$B$295,generator!$Q$2:$Q$295,"ARGH")</f>
        <v>9000</v>
      </c>
      <c r="AQ19" s="3">
        <f>_xlfn.XLOOKUP(AQ$1,generator!$B$2:$B$295,generator!$Q$2:$Q$295,"ARGH")</f>
        <v>9000</v>
      </c>
      <c r="AR19" s="3">
        <f>_xlfn.XLOOKUP(AR$1,generator!$B$2:$B$295,generator!$Q$2:$Q$295,"ARGH")</f>
        <v>9000</v>
      </c>
      <c r="AS19" s="3">
        <f>_xlfn.XLOOKUP(AS$1,generator!$B$2:$B$295,generator!$Q$2:$Q$295,"ARGH")</f>
        <v>9000</v>
      </c>
      <c r="AT19" s="3">
        <f>_xlfn.XLOOKUP(AT$1,generator!$B$2:$B$295,generator!$Q$2:$Q$295,"ARGH")</f>
        <v>9000</v>
      </c>
      <c r="AU19" s="3">
        <f>_xlfn.XLOOKUP(AU$1,generator!$B$2:$B$295,generator!$Q$2:$Q$295,"ARGH")</f>
        <v>9000</v>
      </c>
      <c r="AV19" s="3">
        <f>_xlfn.XLOOKUP(AV$1,generator!$B$2:$B$295,generator!$Q$2:$Q$295,"ARGH")</f>
        <v>9000</v>
      </c>
      <c r="AW19" s="3">
        <f>_xlfn.XLOOKUP(AW$1,generator!$B$2:$B$295,generator!$Q$2:$Q$295,"ARGH")</f>
        <v>9000</v>
      </c>
      <c r="AX19" s="3">
        <f>_xlfn.XLOOKUP(AX$1,generator!$B$2:$B$295,generator!$Q$2:$Q$295,"ARGH")</f>
        <v>9000</v>
      </c>
      <c r="AY19" s="3">
        <f>_xlfn.XLOOKUP(AY$1,generator!$B$2:$B$295,generator!$Q$2:$Q$295,"ARGH")</f>
        <v>9000</v>
      </c>
      <c r="AZ19" s="3">
        <f>_xlfn.XLOOKUP(AZ$1,generator!$B$2:$B$295,generator!$Q$2:$Q$295,"ARGH")</f>
        <v>9000</v>
      </c>
      <c r="BA19" s="3">
        <f>_xlfn.XLOOKUP(BA$1,generator!$B$2:$B$295,generator!$Q$2:$Q$295,"ARGH")</f>
        <v>9000</v>
      </c>
      <c r="BB19" s="3">
        <f>_xlfn.XLOOKUP(BB$1,generator!$B$2:$B$295,generator!$Q$2:$Q$295,"ARGH")</f>
        <v>9000</v>
      </c>
      <c r="BC19" s="3">
        <f>_xlfn.XLOOKUP(BC$1,generator!$B$2:$B$295,generator!$Q$2:$Q$295,"ARGH")</f>
        <v>9000</v>
      </c>
      <c r="BD19" s="3">
        <f>_xlfn.XLOOKUP(BD$1,generator!$B$2:$B$295,generator!$Q$2:$Q$295,"ARGH")</f>
        <v>9000</v>
      </c>
      <c r="BE19" s="3">
        <f>_xlfn.XLOOKUP(BE$1,generator!$B$2:$B$295,generator!$Q$2:$Q$295,"ARGH")</f>
        <v>9000</v>
      </c>
      <c r="BF19" s="3">
        <f>_xlfn.XLOOKUP(BF$1,generator!$B$2:$B$295,generator!$Q$2:$Q$295,"ARGH")</f>
        <v>9000</v>
      </c>
      <c r="BG19" s="3">
        <f>_xlfn.XLOOKUP(BG$1,generator!$B$2:$B$295,generator!$Q$2:$Q$295,"ARGH")</f>
        <v>9000</v>
      </c>
      <c r="BH19" s="3">
        <f>_xlfn.XLOOKUP(BH$1,generator!$B$2:$B$295,generator!$Q$2:$Q$295,"ARGH")</f>
        <v>9000</v>
      </c>
      <c r="BI19" s="3">
        <f>_xlfn.XLOOKUP(BI$1,generator!$B$2:$B$295,generator!$Q$2:$Q$295,"ARGH")</f>
        <v>9000</v>
      </c>
      <c r="BJ19" s="3">
        <f>_xlfn.XLOOKUP(BJ$1,generator!$B$2:$B$295,generator!$Q$2:$Q$295,"ARGH")</f>
        <v>9000</v>
      </c>
      <c r="BK19" s="3">
        <f>_xlfn.XLOOKUP(BK$1,generator!$B$2:$B$295,generator!$Q$2:$Q$295,"ARGH")</f>
        <v>9000</v>
      </c>
      <c r="BL19" s="3">
        <f>_xlfn.XLOOKUP(BL$1,generator!$B$2:$B$295,generator!$Q$2:$Q$295,"ARGH")</f>
        <v>9000</v>
      </c>
      <c r="BM19" s="3">
        <f>_xlfn.XLOOKUP(BM$1,generator!$B$2:$B$295,generator!$Q$2:$Q$295,"ARGH")</f>
        <v>9000</v>
      </c>
      <c r="BN19" s="3">
        <f>_xlfn.XLOOKUP(BN$1,generator!$B$2:$B$295,generator!$Q$2:$Q$295,"ARGH")</f>
        <v>9000</v>
      </c>
      <c r="BO19" s="3">
        <f>_xlfn.XLOOKUP(BO$1,generator!$B$2:$B$295,generator!$Q$2:$Q$295,"ARGH")</f>
        <v>9000</v>
      </c>
      <c r="BP19" s="3">
        <f>_xlfn.XLOOKUP(BP$1,generator!$B$2:$B$295,generator!$Q$2:$Q$295,"ARGH")</f>
        <v>9000</v>
      </c>
      <c r="BQ19" s="3">
        <f>_xlfn.XLOOKUP(BQ$1,generator!$B$2:$B$295,generator!$Q$2:$Q$295,"ARGH")</f>
        <v>9000</v>
      </c>
      <c r="BR19" s="3">
        <f>_xlfn.XLOOKUP(BR$1,generator!$B$2:$B$295,generator!$Q$2:$Q$295,"ARGH")</f>
        <v>9000</v>
      </c>
      <c r="BS19" s="3">
        <f>_xlfn.XLOOKUP(BS$1,generator!$B$2:$B$295,generator!$Q$2:$Q$295,"ARGH")</f>
        <v>9000</v>
      </c>
      <c r="BT19" s="3">
        <f>_xlfn.XLOOKUP(BT$1,generator!$B$2:$B$295,generator!$Q$2:$Q$295,"ARGH")</f>
        <v>9000</v>
      </c>
      <c r="BU19" s="3">
        <f>_xlfn.XLOOKUP(BU$1,generator!$B$2:$B$295,generator!$Q$2:$Q$295,"ARGH")</f>
        <v>9000</v>
      </c>
      <c r="BV19" s="3">
        <f>_xlfn.XLOOKUP(BV$1,generator!$B$2:$B$295,generator!$Q$2:$Q$295,"ARGH")</f>
        <v>9000</v>
      </c>
      <c r="BW19" s="3">
        <f>_xlfn.XLOOKUP(BW$1,generator!$B$2:$B$295,generator!$Q$2:$Q$295,"ARGH")</f>
        <v>9000</v>
      </c>
      <c r="BX19" s="3">
        <f>_xlfn.XLOOKUP(BX$1,generator!$B$2:$B$295,generator!$Q$2:$Q$295,"ARGH")</f>
        <v>9000</v>
      </c>
      <c r="BY19" s="3">
        <f>_xlfn.XLOOKUP(BY$1,generator!$B$2:$B$295,generator!$Q$2:$Q$295,"ARGH")</f>
        <v>9000</v>
      </c>
      <c r="BZ19" s="3">
        <f>_xlfn.XLOOKUP(BZ$1,generator!$B$2:$B$295,generator!$Q$2:$Q$295,"ARGH")</f>
        <v>9000</v>
      </c>
      <c r="CA19" s="3">
        <f>_xlfn.XLOOKUP(CA$1,generator!$B$2:$B$295,generator!$Q$2:$Q$295,"ARGH")</f>
        <v>9000</v>
      </c>
      <c r="CB19" s="3">
        <f>_xlfn.XLOOKUP(CB$1,generator!$B$2:$B$295,generator!$Q$2:$Q$295,"ARGH")</f>
        <v>9000</v>
      </c>
      <c r="CC19" s="3">
        <f>_xlfn.XLOOKUP(CC$1,generator!$B$2:$B$295,generator!$Q$2:$Q$295,"ARGH")</f>
        <v>9000</v>
      </c>
      <c r="CD19" s="3">
        <f>_xlfn.XLOOKUP(CD$1,generator!$B$2:$B$295,generator!$Q$2:$Q$295,"ARGH")</f>
        <v>9000</v>
      </c>
      <c r="CE19" s="3">
        <f>_xlfn.XLOOKUP(CE$1,generator!$B$2:$B$295,generator!$Q$2:$Q$295,"ARGH")</f>
        <v>9000</v>
      </c>
      <c r="CF19" s="3">
        <f>_xlfn.XLOOKUP(CF$1,generator!$B$2:$B$295,generator!$Q$2:$Q$295,"ARGH")</f>
        <v>9000</v>
      </c>
      <c r="CG19" s="3">
        <f>_xlfn.XLOOKUP(CG$1,generator!$B$2:$B$295,generator!$Q$2:$Q$295,"ARGH")</f>
        <v>9000</v>
      </c>
      <c r="CH19" s="3">
        <f>_xlfn.XLOOKUP(CH$1,generator!$B$2:$B$295,generator!$Q$2:$Q$295,"ARGH")</f>
        <v>9000</v>
      </c>
      <c r="CI19" s="3">
        <f>_xlfn.XLOOKUP(CI$1,generator!$B$2:$B$295,generator!$Q$2:$Q$295,"ARGH")</f>
        <v>9000</v>
      </c>
      <c r="CJ19" s="3">
        <f>_xlfn.XLOOKUP(CJ$1,generator!$B$2:$B$295,generator!$Q$2:$Q$295,"ARGH")</f>
        <v>9000</v>
      </c>
      <c r="CK19" s="3">
        <f>_xlfn.XLOOKUP(CK$1,generator!$B$2:$B$295,generator!$Q$2:$Q$295,"ARGH")</f>
        <v>9000</v>
      </c>
      <c r="CL19" s="3">
        <f>_xlfn.XLOOKUP(CL$1,generator!$B$2:$B$295,generator!$Q$2:$Q$295,"ARGH")</f>
        <v>9000</v>
      </c>
      <c r="CM19" s="3">
        <f>_xlfn.XLOOKUP(CM$1,generator!$B$2:$B$295,generator!$Q$2:$Q$295,"ARGH")</f>
        <v>9000</v>
      </c>
      <c r="CN19" s="3">
        <f>_xlfn.XLOOKUP(CN$1,generator!$B$2:$B$295,generator!$Q$2:$Q$295,"ARGH")</f>
        <v>9000</v>
      </c>
      <c r="CO19" s="3">
        <f>_xlfn.XLOOKUP(CO$1,generator!$B$2:$B$295,generator!$Q$2:$Q$295,"ARGH")</f>
        <v>9000</v>
      </c>
      <c r="CP19" s="3">
        <f>_xlfn.XLOOKUP(CP$1,generator!$B$2:$B$295,generator!$Q$2:$Q$295,"ARGH")</f>
        <v>9000</v>
      </c>
      <c r="CQ19" s="3">
        <f>_xlfn.XLOOKUP(CQ$1,generator!$B$2:$B$295,generator!$Q$2:$Q$295,"ARGH")</f>
        <v>9000</v>
      </c>
      <c r="CR19" s="3">
        <f>_xlfn.XLOOKUP(CR$1,generator!$B$2:$B$295,generator!$Q$2:$Q$295,"ARGH")</f>
        <v>9000</v>
      </c>
      <c r="CS19" s="3">
        <f>_xlfn.XLOOKUP(CS$1,generator!$B$2:$B$295,generator!$Q$2:$Q$295,"ARGH")</f>
        <v>9000</v>
      </c>
      <c r="CT19" s="3">
        <f>_xlfn.XLOOKUP(CT$1,generator!$B$2:$B$295,generator!$Q$2:$Q$295,"ARGH")</f>
        <v>9000</v>
      </c>
      <c r="CU19" s="3">
        <f>_xlfn.XLOOKUP(CU$1,generator!$B$2:$B$295,generator!$Q$2:$Q$295,"ARGH")</f>
        <v>9000</v>
      </c>
      <c r="CV19" s="3">
        <f>_xlfn.XLOOKUP(CV$1,generator!$B$2:$B$295,generator!$Q$2:$Q$295,"ARGH")</f>
        <v>9000</v>
      </c>
      <c r="CW19" s="3">
        <f>_xlfn.XLOOKUP(CW$1,generator!$B$2:$B$295,generator!$Q$2:$Q$295,"ARGH")</f>
        <v>9000</v>
      </c>
      <c r="CX19" s="3">
        <f>_xlfn.XLOOKUP(CX$1,generator!$B$2:$B$295,generator!$Q$2:$Q$295,"ARGH")</f>
        <v>9000</v>
      </c>
      <c r="CY19" s="3">
        <f>_xlfn.XLOOKUP(CY$1,generator!$B$2:$B$295,generator!$Q$2:$Q$295,"ARGH")</f>
        <v>9000</v>
      </c>
      <c r="CZ19" s="3">
        <f>_xlfn.XLOOKUP(CZ$1,generator!$B$2:$B$295,generator!$Q$2:$Q$295,"ARGH")</f>
        <v>9000</v>
      </c>
      <c r="DA19" s="3">
        <f>_xlfn.XLOOKUP(DA$1,generator!$B$2:$B$295,generator!$Q$2:$Q$295,"ARGH")</f>
        <v>9000</v>
      </c>
      <c r="DB19" s="3">
        <f>_xlfn.XLOOKUP(DB$1,generator!$B$2:$B$295,generator!$Q$2:$Q$295,"ARGH")</f>
        <v>9000</v>
      </c>
      <c r="DC19" s="3">
        <f>_xlfn.XLOOKUP(DC$1,generator!$B$2:$B$295,generator!$Q$2:$Q$295,"ARGH")</f>
        <v>9000</v>
      </c>
      <c r="DD19" s="3">
        <f>_xlfn.XLOOKUP(DD$1,generator!$B$2:$B$295,generator!$Q$2:$Q$295,"ARGH")</f>
        <v>9000</v>
      </c>
      <c r="DE19" s="3">
        <f>_xlfn.XLOOKUP(DE$1,generator!$B$2:$B$295,generator!$Q$2:$Q$295,"ARGH")</f>
        <v>9000</v>
      </c>
      <c r="DF19" s="3">
        <f>_xlfn.XLOOKUP(DF$1,generator!$B$2:$B$295,generator!$Q$2:$Q$295,"ARGH")</f>
        <v>9000</v>
      </c>
      <c r="DG19" s="3">
        <f>_xlfn.XLOOKUP(DG$1,generator!$B$2:$B$295,generator!$Q$2:$Q$295,"ARGH")</f>
        <v>9000</v>
      </c>
      <c r="DH19" s="3">
        <f>_xlfn.XLOOKUP(DH$1,generator!$B$2:$B$295,generator!$Q$2:$Q$295,"ARGH")</f>
        <v>9000</v>
      </c>
      <c r="DI19" s="3">
        <f>_xlfn.XLOOKUP(DI$1,generator!$B$2:$B$295,generator!$Q$2:$Q$295,"ARGH")</f>
        <v>9000</v>
      </c>
      <c r="DJ19" s="3">
        <f>_xlfn.XLOOKUP(DJ$1,generator!$B$2:$B$295,generator!$Q$2:$Q$295,"ARGH")</f>
        <v>9000</v>
      </c>
      <c r="DK19" s="3">
        <f>_xlfn.XLOOKUP(DK$1,generator!$B$2:$B$295,generator!$Q$2:$Q$295,"ARGH")</f>
        <v>9000</v>
      </c>
      <c r="DL19" s="3">
        <f>_xlfn.XLOOKUP(DL$1,generator!$B$2:$B$295,generator!$Q$2:$Q$295,"ARGH")</f>
        <v>9000</v>
      </c>
      <c r="DM19" s="3">
        <f>_xlfn.XLOOKUP(DM$1,generator!$B$2:$B$295,generator!$Q$2:$Q$295,"ARGH")</f>
        <v>9000</v>
      </c>
      <c r="DN19" s="3">
        <f>_xlfn.XLOOKUP(DN$1,generator!$B$2:$B$295,generator!$Q$2:$Q$295,"ARGH")</f>
        <v>9000</v>
      </c>
      <c r="DO19" s="3">
        <f>_xlfn.XLOOKUP(DO$1,generator!$B$2:$B$295,generator!$Q$2:$Q$295,"ARGH")</f>
        <v>9000</v>
      </c>
      <c r="DP19" s="3">
        <f>_xlfn.XLOOKUP(DP$1,generator!$B$2:$B$295,generator!$Q$2:$Q$295,"ARGH")</f>
        <v>9000</v>
      </c>
      <c r="DQ19" s="3">
        <f>_xlfn.XLOOKUP(DQ$1,generator!$B$2:$B$295,generator!$Q$2:$Q$295,"ARGH")</f>
        <v>9000</v>
      </c>
      <c r="DR19" s="3">
        <f>_xlfn.XLOOKUP(DR$1,generator!$B$2:$B$295,generator!$Q$2:$Q$295,"ARGH")</f>
        <v>9000</v>
      </c>
      <c r="DS19" s="3">
        <f>_xlfn.XLOOKUP(DS$1,generator!$B$2:$B$295,generator!$Q$2:$Q$295,"ARGH")</f>
        <v>9000</v>
      </c>
      <c r="DT19" s="3">
        <f>_xlfn.XLOOKUP(DT$1,generator!$B$2:$B$295,generator!$Q$2:$Q$295,"ARGH")</f>
        <v>9000</v>
      </c>
      <c r="DU19" s="3">
        <f>_xlfn.XLOOKUP(DU$1,generator!$B$2:$B$295,generator!$Q$2:$Q$295,"ARGH")</f>
        <v>9000</v>
      </c>
      <c r="DV19" s="3">
        <f>_xlfn.XLOOKUP(DV$1,generator!$B$2:$B$295,generator!$Q$2:$Q$295,"ARGH")</f>
        <v>9000</v>
      </c>
      <c r="DW19" s="3">
        <f>_xlfn.XLOOKUP(DW$1,generator!$B$2:$B$295,generator!$Q$2:$Q$295,"ARGH")</f>
        <v>9000</v>
      </c>
      <c r="DX19" s="3">
        <f>_xlfn.XLOOKUP(DX$1,generator!$B$2:$B$295,generator!$Q$2:$Q$295,"ARGH")</f>
        <v>9000</v>
      </c>
      <c r="DY19" s="3">
        <f>_xlfn.XLOOKUP(DY$1,generator!$B$2:$B$295,generator!$Q$2:$Q$295,"ARGH")</f>
        <v>9000</v>
      </c>
      <c r="DZ19" s="3">
        <f>_xlfn.XLOOKUP(DZ$1,generator!$B$2:$B$295,generator!$Q$2:$Q$295,"ARGH")</f>
        <v>9000</v>
      </c>
      <c r="EA19" s="3">
        <f>_xlfn.XLOOKUP(EA$1,generator!$B$2:$B$295,generator!$Q$2:$Q$295,"ARGH")</f>
        <v>9000</v>
      </c>
      <c r="EB19" s="3">
        <f>_xlfn.XLOOKUP(EB$1,generator!$B$2:$B$295,generator!$Q$2:$Q$295,"ARGH")</f>
        <v>9000</v>
      </c>
      <c r="EC19" s="3">
        <f>_xlfn.XLOOKUP(EC$1,generator!$B$2:$B$295,generator!$Q$2:$Q$295,"ARGH")</f>
        <v>9000</v>
      </c>
      <c r="ED19" s="3">
        <f>_xlfn.XLOOKUP(ED$1,generator!$B$2:$B$295,generator!$Q$2:$Q$295,"ARGH")</f>
        <v>9000</v>
      </c>
      <c r="EE19" s="3">
        <f>_xlfn.XLOOKUP(EE$1,generator!$B$2:$B$295,generator!$Q$2:$Q$295,"ARGH")</f>
        <v>9000</v>
      </c>
      <c r="EF19" s="3">
        <f>_xlfn.XLOOKUP(EF$1,generator!$B$2:$B$295,generator!$Q$2:$Q$295,"ARGH")</f>
        <v>9000</v>
      </c>
      <c r="EG19" s="3">
        <f>_xlfn.XLOOKUP(EG$1,generator!$B$2:$B$295,generator!$Q$2:$Q$295,"ARGH")</f>
        <v>9000</v>
      </c>
      <c r="EH19" s="3">
        <f>_xlfn.XLOOKUP(EH$1,generator!$B$2:$B$295,generator!$Q$2:$Q$295,"ARGH")</f>
        <v>9000</v>
      </c>
      <c r="EI19" s="3">
        <f>_xlfn.XLOOKUP(EI$1,generator!$B$2:$B$295,generator!$Q$2:$Q$295,"ARGH")</f>
        <v>9000</v>
      </c>
      <c r="EJ19" s="3">
        <f>_xlfn.XLOOKUP(EJ$1,generator!$B$2:$B$295,generator!$Q$2:$Q$295,"ARGH")</f>
        <v>9000</v>
      </c>
      <c r="EK19" s="3">
        <f>_xlfn.XLOOKUP(EK$1,generator!$B$2:$B$295,generator!$Q$2:$Q$295,"ARGH")</f>
        <v>9000</v>
      </c>
      <c r="EL19" s="3">
        <f>_xlfn.XLOOKUP(EL$1,generator!$B$2:$B$295,generator!$Q$2:$Q$295,"ARGH")</f>
        <v>9000</v>
      </c>
      <c r="EM19" s="3">
        <f>_xlfn.XLOOKUP(EM$1,generator!$B$2:$B$295,generator!$Q$2:$Q$295,"ARGH")</f>
        <v>9000</v>
      </c>
      <c r="EN19" s="3">
        <f>_xlfn.XLOOKUP(EN$1,generator!$B$2:$B$295,generator!$Q$2:$Q$295,"ARGH")</f>
        <v>9000</v>
      </c>
      <c r="EO19" s="3">
        <f>_xlfn.XLOOKUP(EO$1,generator!$B$2:$B$295,generator!$Q$2:$Q$295,"ARGH")</f>
        <v>9000</v>
      </c>
      <c r="EP19" s="3">
        <f>_xlfn.XLOOKUP(EP$1,generator!$B$2:$B$295,generator!$Q$2:$Q$295,"ARGH")</f>
        <v>9000</v>
      </c>
      <c r="EQ19" s="3">
        <f>_xlfn.XLOOKUP(EQ$1,generator!$B$2:$B$295,generator!$Q$2:$Q$295,"ARGH")</f>
        <v>9000</v>
      </c>
      <c r="ER19" s="3">
        <f>_xlfn.XLOOKUP(ER$1,generator!$B$2:$B$295,generator!$Q$2:$Q$295,"ARGH")</f>
        <v>9000</v>
      </c>
      <c r="ES19" s="3">
        <f>_xlfn.XLOOKUP(ES$1,generator!$B$2:$B$295,generator!$Q$2:$Q$295,"ARGH")</f>
        <v>9000</v>
      </c>
      <c r="ET19" s="3">
        <f>_xlfn.XLOOKUP(ET$1,generator!$B$2:$B$295,generator!$Q$2:$Q$295,"ARGH")</f>
        <v>9000</v>
      </c>
      <c r="EU19" s="3">
        <f>_xlfn.XLOOKUP(EU$1,generator!$B$2:$B$295,generator!$Q$2:$Q$295,"ARGH")</f>
        <v>9000</v>
      </c>
      <c r="EV19" s="3">
        <f>_xlfn.XLOOKUP(EV$1,generator!$B$2:$B$295,generator!$Q$2:$Q$295,"ARGH")</f>
        <v>9000</v>
      </c>
      <c r="EW19" s="3">
        <f>_xlfn.XLOOKUP(EW$1,generator!$B$2:$B$295,generator!$Q$2:$Q$295,"ARGH")</f>
        <v>9000</v>
      </c>
      <c r="EX19" s="3">
        <f>_xlfn.XLOOKUP(EX$1,generator!$B$2:$B$295,generator!$Q$2:$Q$295,"ARGH")</f>
        <v>9000</v>
      </c>
      <c r="EY19" s="3">
        <f>_xlfn.XLOOKUP(EY$1,generator!$B$2:$B$295,generator!$Q$2:$Q$295,"ARGH")</f>
        <v>9000</v>
      </c>
      <c r="EZ19" s="3">
        <f>_xlfn.XLOOKUP(EZ$1,generator!$B$2:$B$295,generator!$Q$2:$Q$295,"ARGH")</f>
        <v>9000</v>
      </c>
      <c r="FA19" s="3">
        <f>_xlfn.XLOOKUP(FA$1,generator!$B$2:$B$295,generator!$Q$2:$Q$295,"ARGH")</f>
        <v>9000</v>
      </c>
      <c r="FB19" s="3">
        <f>_xlfn.XLOOKUP(FB$1,generator!$B$2:$B$295,generator!$Q$2:$Q$295,"ARGH")</f>
        <v>9000</v>
      </c>
      <c r="FC19" s="3">
        <f>_xlfn.XLOOKUP(FC$1,generator!$B$2:$B$295,generator!$Q$2:$Q$295,"ARGH")</f>
        <v>9000</v>
      </c>
      <c r="FD19" s="3">
        <f>_xlfn.XLOOKUP(FD$1,generator!$B$2:$B$295,generator!$Q$2:$Q$295,"ARGH")</f>
        <v>9000</v>
      </c>
      <c r="FE19" s="3">
        <f>_xlfn.XLOOKUP(FE$1,generator!$B$2:$B$295,generator!$Q$2:$Q$295,"ARGH")</f>
        <v>9000</v>
      </c>
      <c r="FF19" s="3">
        <f>_xlfn.XLOOKUP(FF$1,generator!$B$2:$B$295,generator!$Q$2:$Q$295,"ARGH")</f>
        <v>9000</v>
      </c>
      <c r="FG19" s="3">
        <f>_xlfn.XLOOKUP(FG$1,generator!$B$2:$B$295,generator!$Q$2:$Q$295,"ARGH")</f>
        <v>9000</v>
      </c>
      <c r="FH19" s="3">
        <f>_xlfn.XLOOKUP(FH$1,generator!$B$2:$B$295,generator!$Q$2:$Q$295,"ARGH")</f>
        <v>9000</v>
      </c>
      <c r="FI19" s="3">
        <f>_xlfn.XLOOKUP(FI$1,generator!$B$2:$B$295,generator!$Q$2:$Q$295,"ARGH")</f>
        <v>9000</v>
      </c>
      <c r="FJ19" s="3">
        <f>_xlfn.XLOOKUP(FJ$1,generator!$B$2:$B$295,generator!$Q$2:$Q$295,"ARGH")</f>
        <v>9000</v>
      </c>
      <c r="FK19" s="3">
        <f>_xlfn.XLOOKUP(FK$1,generator!$B$2:$B$295,generator!$Q$2:$Q$295,"ARGH")</f>
        <v>9000</v>
      </c>
      <c r="FL19" s="3">
        <f>_xlfn.XLOOKUP(FL$1,generator!$B$2:$B$295,generator!$Q$2:$Q$295,"ARGH")</f>
        <v>9000</v>
      </c>
      <c r="FM19" s="3">
        <f>_xlfn.XLOOKUP(FM$1,generator!$B$2:$B$295,generator!$Q$2:$Q$295,"ARGH")</f>
        <v>9000</v>
      </c>
      <c r="FN19" s="3">
        <f>_xlfn.XLOOKUP(FN$1,generator!$B$2:$B$295,generator!$Q$2:$Q$295,"ARGH")</f>
        <v>9000</v>
      </c>
      <c r="FO19" s="3">
        <f>_xlfn.XLOOKUP(FO$1,generator!$B$2:$B$295,generator!$Q$2:$Q$295,"ARGH")</f>
        <v>9000</v>
      </c>
      <c r="FP19" s="3">
        <f>_xlfn.XLOOKUP(FP$1,generator!$B$2:$B$295,generator!$Q$2:$Q$295,"ARGH")</f>
        <v>9000</v>
      </c>
      <c r="FQ19" s="3">
        <f>_xlfn.XLOOKUP(FQ$1,generator!$B$2:$B$295,generator!$Q$2:$Q$295,"ARGH")</f>
        <v>9000</v>
      </c>
      <c r="FR19" s="3">
        <f>_xlfn.XLOOKUP(FR$1,generator!$B$2:$B$295,generator!$Q$2:$Q$295,"ARGH")</f>
        <v>9000</v>
      </c>
      <c r="FS19" s="3">
        <f>_xlfn.XLOOKUP(FS$1,generator!$B$2:$B$295,generator!$Q$2:$Q$295,"ARGH")</f>
        <v>9000</v>
      </c>
      <c r="FT19" s="3">
        <f>_xlfn.XLOOKUP(FT$1,generator!$B$2:$B$295,generator!$Q$2:$Q$295,"ARGH")</f>
        <v>9000</v>
      </c>
      <c r="FU19" s="3">
        <f>_xlfn.XLOOKUP(FU$1,generator!$B$2:$B$295,generator!$Q$2:$Q$295,"ARGH")</f>
        <v>9000</v>
      </c>
      <c r="FV19" s="3">
        <f>_xlfn.XLOOKUP(FV$1,generator!$B$2:$B$295,generator!$Q$2:$Q$295,"ARGH")</f>
        <v>9000</v>
      </c>
      <c r="FW19" s="3">
        <f>_xlfn.XLOOKUP(FW$1,generator!$B$2:$B$295,generator!$Q$2:$Q$295,"ARGH")</f>
        <v>9000</v>
      </c>
      <c r="FX19" s="3">
        <f>_xlfn.XLOOKUP(FX$1,generator!$B$2:$B$295,generator!$Q$2:$Q$295,"ARGH")</f>
        <v>9000</v>
      </c>
      <c r="FY19" s="3">
        <f>_xlfn.XLOOKUP(FY$1,generator!$B$2:$B$295,generator!$Q$2:$Q$295,"ARGH")</f>
        <v>9000</v>
      </c>
      <c r="FZ19" s="3">
        <f>_xlfn.XLOOKUP(FZ$1,generator!$B$2:$B$295,generator!$Q$2:$Q$295,"ARGH")</f>
        <v>9000</v>
      </c>
      <c r="GA19" s="3">
        <f>_xlfn.XLOOKUP(GA$1,generator!$B$2:$B$295,generator!$Q$2:$Q$295,"ARGH")</f>
        <v>9000</v>
      </c>
      <c r="GB19" s="3">
        <f>_xlfn.XLOOKUP(GB$1,generator!$B$2:$B$295,generator!$Q$2:$Q$295,"ARGH")</f>
        <v>9000</v>
      </c>
      <c r="GC19" s="3">
        <f>_xlfn.XLOOKUP(GC$1,generator!$B$2:$B$295,generator!$Q$2:$Q$295,"ARGH")</f>
        <v>9000</v>
      </c>
      <c r="GD19" s="3">
        <f>_xlfn.XLOOKUP(GD$1,generator!$B$2:$B$295,generator!$Q$2:$Q$295,"ARGH")</f>
        <v>9000</v>
      </c>
      <c r="GE19" s="3">
        <f>_xlfn.XLOOKUP(GE$1,generator!$B$2:$B$295,generator!$Q$2:$Q$295,"ARGH")</f>
        <v>9000</v>
      </c>
      <c r="GF19" s="3">
        <f>_xlfn.XLOOKUP(GF$1,generator!$B$2:$B$295,generator!$Q$2:$Q$295,"ARGH")</f>
        <v>9000</v>
      </c>
      <c r="GG19" s="3">
        <f>_xlfn.XLOOKUP(GG$1,generator!$B$2:$B$295,generator!$Q$2:$Q$295,"ARGH")</f>
        <v>9000</v>
      </c>
      <c r="GH19" s="3">
        <f>_xlfn.XLOOKUP(GH$1,generator!$B$2:$B$295,generator!$Q$2:$Q$295,"ARGH")</f>
        <v>9000</v>
      </c>
      <c r="GI19" s="3">
        <f>_xlfn.XLOOKUP(GI$1,generator!$B$2:$B$295,generator!$Q$2:$Q$295,"ARGH")</f>
        <v>9000</v>
      </c>
      <c r="GJ19" s="3">
        <f>_xlfn.XLOOKUP(GJ$1,generator!$B$2:$B$295,generator!$Q$2:$Q$295,"ARGH")</f>
        <v>9000</v>
      </c>
      <c r="GK19" s="3">
        <f>_xlfn.XLOOKUP(GK$1,generator!$B$2:$B$295,generator!$Q$2:$Q$295,"ARGH")</f>
        <v>9000</v>
      </c>
      <c r="GL19" s="3">
        <f>_xlfn.XLOOKUP(GL$1,generator!$B$2:$B$295,generator!$Q$2:$Q$295,"ARGH")</f>
        <v>9000</v>
      </c>
      <c r="GM19" s="3">
        <f>_xlfn.XLOOKUP(GM$1,generator!$B$2:$B$295,generator!$Q$2:$Q$295,"ARGH")</f>
        <v>9000</v>
      </c>
      <c r="GN19" s="3">
        <f>_xlfn.XLOOKUP(GN$1,generator!$B$2:$B$295,generator!$Q$2:$Q$295,"ARGH")</f>
        <v>9000</v>
      </c>
      <c r="GO19" s="3">
        <f>_xlfn.XLOOKUP(GO$1,generator!$B$2:$B$295,generator!$Q$2:$Q$295,"ARGH")</f>
        <v>9000</v>
      </c>
      <c r="GP19" s="3">
        <f>_xlfn.XLOOKUP(GP$1,generator!$B$2:$B$295,generator!$Q$2:$Q$295,"ARGH")</f>
        <v>9000</v>
      </c>
      <c r="GQ19" s="3">
        <f>_xlfn.XLOOKUP(GQ$1,generator!$B$2:$B$295,generator!$Q$2:$Q$295,"ARGH")</f>
        <v>9000</v>
      </c>
      <c r="GR19" s="3">
        <f>_xlfn.XLOOKUP(GR$1,generator!$B$2:$B$295,generator!$Q$2:$Q$295,"ARGH")</f>
        <v>9000</v>
      </c>
      <c r="GS19" s="3">
        <f>_xlfn.XLOOKUP(GS$1,generator!$B$2:$B$295,generator!$Q$2:$Q$295,"ARGH")</f>
        <v>9000</v>
      </c>
      <c r="GT19" s="3">
        <f>_xlfn.XLOOKUP(GT$1,generator!$B$2:$B$295,generator!$Q$2:$Q$295,"ARGH")</f>
        <v>9000</v>
      </c>
      <c r="GU19" s="3">
        <f>_xlfn.XLOOKUP(GU$1,generator!$B$2:$B$295,generator!$Q$2:$Q$295,"ARGH")</f>
        <v>9000</v>
      </c>
      <c r="GV19" s="3">
        <f>_xlfn.XLOOKUP(GV$1,generator!$B$2:$B$295,generator!$Q$2:$Q$295,"ARGH")</f>
        <v>9000</v>
      </c>
      <c r="GW19" s="3">
        <f>_xlfn.XLOOKUP(GW$1,generator!$B$2:$B$295,generator!$Q$2:$Q$295,"ARGH")</f>
        <v>9000</v>
      </c>
      <c r="GX19" s="3">
        <f>_xlfn.XLOOKUP(GX$1,generator!$B$2:$B$295,generator!$Q$2:$Q$295,"ARGH")</f>
        <v>9000</v>
      </c>
      <c r="GY19" s="3">
        <f>_xlfn.XLOOKUP(GY$1,generator!$B$2:$B$295,generator!$Q$2:$Q$295,"ARGH")</f>
        <v>9000</v>
      </c>
      <c r="GZ19" s="3">
        <f>_xlfn.XLOOKUP(GZ$1,generator!$B$2:$B$295,generator!$Q$2:$Q$295,"ARGH")</f>
        <v>9000</v>
      </c>
      <c r="HA19" s="3">
        <f>_xlfn.XLOOKUP(HA$1,generator!$B$2:$B$295,generator!$Q$2:$Q$295,"ARGH")</f>
        <v>9000</v>
      </c>
      <c r="HB19" s="3">
        <f>_xlfn.XLOOKUP(HB$1,generator!$B$2:$B$295,generator!$Q$2:$Q$295,"ARGH")</f>
        <v>9000</v>
      </c>
      <c r="HC19" s="3">
        <f>_xlfn.XLOOKUP(HC$1,generator!$B$2:$B$295,generator!$Q$2:$Q$295,"ARGH")</f>
        <v>9000</v>
      </c>
      <c r="HD19" s="3">
        <f>_xlfn.XLOOKUP(HD$1,generator!$B$2:$B$295,generator!$Q$2:$Q$295,"ARGH")</f>
        <v>9000</v>
      </c>
      <c r="HE19" s="3">
        <f>_xlfn.XLOOKUP(HE$1,generator!$B$2:$B$295,generator!$Q$2:$Q$295,"ARGH")</f>
        <v>8000</v>
      </c>
      <c r="HF19" s="3" t="str">
        <f>_xlfn.XLOOKUP(HF$1,generator!$B$2:$B$295,generator!$Q$2:$Q$295,"ARGH")</f>
        <v>143</v>
      </c>
      <c r="HG19" s="3" t="str">
        <f>_xlfn.XLOOKUP(HG$1,generator!$B$2:$B$295,generator!$Q$2:$Q$295,"ARGH")</f>
        <v>143</v>
      </c>
      <c r="HH19" s="3" t="str">
        <f>_xlfn.XLOOKUP(HH$1,generator!$B$2:$B$295,generator!$Q$2:$Q$295,"ARGH")</f>
        <v>143</v>
      </c>
      <c r="HI19" s="3" t="str">
        <f>_xlfn.XLOOKUP(HI$1,generator!$B$2:$B$295,generator!$Q$2:$Q$295,"ARGH")</f>
        <v>246.74</v>
      </c>
      <c r="HJ19" s="3" t="str">
        <f>_xlfn.XLOOKUP(HJ$1,generator!$B$2:$B$295,generator!$Q$2:$Q$295,"ARGH")</f>
        <v>246.74</v>
      </c>
      <c r="HK19" s="3" t="str">
        <f>_xlfn.XLOOKUP(HK$1,generator!$B$2:$B$295,generator!$Q$2:$Q$295,"ARGH")</f>
        <v>206.04</v>
      </c>
      <c r="HL19" s="3" t="str">
        <f>_xlfn.XLOOKUP(HL$1,generator!$B$2:$B$295,generator!$Q$2:$Q$295,"ARGH")</f>
        <v>506.96</v>
      </c>
      <c r="HM19" s="3" t="str">
        <f>_xlfn.XLOOKUP(HM$1,generator!$B$2:$B$295,generator!$Q$2:$Q$295,"ARGH")</f>
        <v>506.95</v>
      </c>
      <c r="HN19" s="3" t="str">
        <f>_xlfn.XLOOKUP(HN$1,generator!$B$2:$B$295,generator!$Q$2:$Q$295,"ARGH")</f>
        <v>190.97</v>
      </c>
      <c r="HO19" s="3" t="str">
        <f>_xlfn.XLOOKUP(HO$1,generator!$B$2:$B$295,generator!$Q$2:$Q$295,"ARGH")</f>
        <v>190.97</v>
      </c>
      <c r="HP19" s="3" t="str">
        <f>_xlfn.XLOOKUP(HP$1,generator!$B$2:$B$295,generator!$Q$2:$Q$295,"ARGH")</f>
        <v>424.84</v>
      </c>
      <c r="HQ19" s="3" t="str">
        <f>_xlfn.XLOOKUP(HQ$1,generator!$B$2:$B$295,generator!$Q$2:$Q$295,"ARGH")</f>
        <v>425.9</v>
      </c>
      <c r="HR19" s="3" t="str">
        <f>_xlfn.XLOOKUP(HR$1,generator!$B$2:$B$295,generator!$Q$2:$Q$295,"ARGH")</f>
        <v>425.9</v>
      </c>
      <c r="HS19" s="3" t="str">
        <f>_xlfn.XLOOKUP(HS$1,generator!$B$2:$B$295,generator!$Q$2:$Q$295,"ARGH")</f>
        <v>196.54</v>
      </c>
      <c r="HT19" s="3" t="str">
        <f>_xlfn.XLOOKUP(HT$1,generator!$B$2:$B$295,generator!$Q$2:$Q$295,"ARGH")</f>
        <v>196.54</v>
      </c>
      <c r="HU19" s="3" t="str">
        <f>_xlfn.XLOOKUP(HU$1,generator!$B$2:$B$295,generator!$Q$2:$Q$295,"ARGH")</f>
        <v>145.57</v>
      </c>
      <c r="HV19" s="3" t="str">
        <f>_xlfn.XLOOKUP(HV$1,generator!$B$2:$B$295,generator!$Q$2:$Q$295,"ARGH")</f>
        <v>132.62</v>
      </c>
      <c r="HW19" s="3" t="str">
        <f>_xlfn.XLOOKUP(HW$1,generator!$B$2:$B$295,generator!$Q$2:$Q$295,"ARGH")</f>
        <v>193.76</v>
      </c>
      <c r="HX19" s="3" t="str">
        <f>_xlfn.XLOOKUP(HX$1,generator!$B$2:$B$295,generator!$Q$2:$Q$295,"ARGH")</f>
        <v>193.76</v>
      </c>
      <c r="HY19" s="3" t="str">
        <f>_xlfn.XLOOKUP(HY$1,generator!$B$2:$B$295,generator!$Q$2:$Q$295,"ARGH")</f>
        <v>79.19</v>
      </c>
      <c r="HZ19" s="3" t="str">
        <f>_xlfn.XLOOKUP(HZ$1,generator!$B$2:$B$295,generator!$Q$2:$Q$295,"ARGH")</f>
        <v>125.79</v>
      </c>
      <c r="IA19" s="3" t="str">
        <f>_xlfn.XLOOKUP(IA$1,generator!$B$2:$B$295,generator!$Q$2:$Q$295,"ARGH")</f>
        <v>54.19</v>
      </c>
      <c r="IB19" s="3" t="str">
        <f>_xlfn.XLOOKUP(IB$1,generator!$B$2:$B$295,generator!$Q$2:$Q$295,"ARGH")</f>
        <v>59.7</v>
      </c>
      <c r="IC19" s="3">
        <f>_xlfn.XLOOKUP(IC$1,generator!$B$2:$B$295,generator!$Q$2:$Q$295,"ARGH")</f>
        <v>0</v>
      </c>
      <c r="ID19" s="3" t="str">
        <f>_xlfn.XLOOKUP(ID$1,generator!$B$2:$B$295,generator!$Q$2:$Q$295,"ARGH")</f>
        <v>121.14</v>
      </c>
      <c r="IE19" s="3" t="str">
        <f>_xlfn.XLOOKUP(IE$1,generator!$B$2:$B$295,generator!$Q$2:$Q$295,"ARGH")</f>
        <v>26.6</v>
      </c>
      <c r="IF19" s="3">
        <f>_xlfn.XLOOKUP(IF$1,generator!$B$2:$B$295,generator!$Q$2:$Q$295,"ARGH")</f>
        <v>8000</v>
      </c>
      <c r="IG19" s="3">
        <f>_xlfn.XLOOKUP(IG$1,generator!$B$2:$B$295,generator!$Q$2:$Q$295,"ARGH")</f>
        <v>8000</v>
      </c>
      <c r="IH19" s="3">
        <f>_xlfn.XLOOKUP(IH$1,generator!$B$2:$B$295,generator!$Q$2:$Q$295,"ARGH")</f>
        <v>8000</v>
      </c>
      <c r="II19" s="3">
        <f>_xlfn.XLOOKUP(II$1,generator!$B$2:$B$295,generator!$Q$2:$Q$295,"ARGH")</f>
        <v>8000</v>
      </c>
      <c r="IJ19" s="3">
        <f>_xlfn.XLOOKUP(IJ$1,generator!$B$2:$B$295,generator!$Q$2:$Q$295,"ARGH")</f>
        <v>8000</v>
      </c>
      <c r="IK19" s="3">
        <f>_xlfn.XLOOKUP(IK$1,generator!$B$2:$B$295,generator!$Q$2:$Q$295,"ARGH")</f>
        <v>8000</v>
      </c>
      <c r="IL19" s="3">
        <f>_xlfn.XLOOKUP(IL$1,generator!$B$2:$B$295,generator!$Q$2:$Q$295,"ARGH")</f>
        <v>8000</v>
      </c>
      <c r="IM19" s="3">
        <f>_xlfn.XLOOKUP(IM$1,generator!$B$2:$B$295,generator!$Q$2:$Q$295,"ARGH")</f>
        <v>8000</v>
      </c>
      <c r="IN19" s="3">
        <f>_xlfn.XLOOKUP(IN$1,generator!$B$2:$B$295,generator!$Q$2:$Q$295,"ARGH")</f>
        <v>8000</v>
      </c>
      <c r="IO19" s="3">
        <f>_xlfn.XLOOKUP(IO$1,generator!$B$2:$B$295,generator!$Q$2:$Q$295,"ARGH")</f>
        <v>8000</v>
      </c>
      <c r="IP19" s="3">
        <f>_xlfn.XLOOKUP(IP$1,generator!$B$2:$B$295,generator!$Q$2:$Q$295,"ARGH")</f>
        <v>8000</v>
      </c>
      <c r="IQ19" s="3">
        <f>_xlfn.XLOOKUP(IQ$1,generator!$B$2:$B$295,generator!$Q$2:$Q$295,"ARGH")</f>
        <v>8000</v>
      </c>
      <c r="IR19" s="3">
        <f>_xlfn.XLOOKUP(IR$1,generator!$B$2:$B$295,generator!$Q$2:$Q$295,"ARGH")</f>
        <v>8000</v>
      </c>
      <c r="IS19" s="3">
        <f>_xlfn.XLOOKUP(IS$1,generator!$B$2:$B$295,generator!$Q$2:$Q$295,"ARGH")</f>
        <v>8000</v>
      </c>
      <c r="IT19" s="3">
        <f>_xlfn.XLOOKUP(IT$1,generator!$B$2:$B$295,generator!$Q$2:$Q$295,"ARGH")</f>
        <v>8000</v>
      </c>
      <c r="IU19" s="3">
        <f>_xlfn.XLOOKUP(IU$1,generator!$B$2:$B$295,generator!$Q$2:$Q$295,"ARGH")</f>
        <v>8000</v>
      </c>
      <c r="IV19" s="3">
        <f>_xlfn.XLOOKUP(IV$1,generator!$B$2:$B$295,generator!$Q$2:$Q$295,"ARGH")</f>
        <v>8000</v>
      </c>
      <c r="IW19" s="3" t="str">
        <f>_xlfn.XLOOKUP(IW$1,generator!$B$2:$B$295,generator!$Q$2:$Q$295,"ARGH")</f>
        <v>108.19</v>
      </c>
      <c r="IX19" s="3" t="str">
        <f>_xlfn.XLOOKUP(IX$1,generator!$B$2:$B$295,generator!$Q$2:$Q$295,"ARGH")</f>
        <v>108.18</v>
      </c>
      <c r="IY19" s="3" t="str">
        <f>_xlfn.XLOOKUP(IY$1,generator!$B$2:$B$295,generator!$Q$2:$Q$295,"ARGH")</f>
        <v>108.17</v>
      </c>
      <c r="IZ19" s="3" t="str">
        <f>_xlfn.XLOOKUP(IZ$1,generator!$B$2:$B$295,generator!$Q$2:$Q$295,"ARGH")</f>
        <v>40.96</v>
      </c>
      <c r="JA19" s="3">
        <f>_xlfn.XLOOKUP(JA$1,generator!$B$2:$B$295,generator!$Q$2:$Q$295,"ARGH")</f>
        <v>0</v>
      </c>
      <c r="JB19" s="3">
        <f>_xlfn.XLOOKUP(JB$1,generator!$B$2:$B$295,generator!$Q$2:$Q$295,"ARGH")</f>
        <v>0</v>
      </c>
      <c r="JC19" s="3" t="str">
        <f>_xlfn.XLOOKUP(JC$1,generator!$B$2:$B$295,generator!$Q$2:$Q$295,"ARGH")</f>
        <v>75.91</v>
      </c>
      <c r="JD19" s="3" t="str">
        <f>_xlfn.XLOOKUP(JD$1,generator!$B$2:$B$295,generator!$Q$2:$Q$295,"ARGH")</f>
        <v>75.91</v>
      </c>
      <c r="JE19" s="3" t="str">
        <f>_xlfn.XLOOKUP(JE$1,generator!$B$2:$B$295,generator!$Q$2:$Q$295,"ARGH")</f>
        <v>51.59</v>
      </c>
      <c r="JF19" s="3" t="str">
        <f>_xlfn.XLOOKUP(JF$1,generator!$B$2:$B$295,generator!$Q$2:$Q$295,"ARGH")</f>
        <v>111.57</v>
      </c>
      <c r="JG19" s="3">
        <f>_xlfn.XLOOKUP(JG$1,generator!$B$2:$B$295,generator!$Q$2:$Q$295,"ARGH")</f>
        <v>0</v>
      </c>
      <c r="JH19" s="3" t="str">
        <f>_xlfn.XLOOKUP(JH$1,generator!$B$2:$B$295,generator!$Q$2:$Q$295,"ARGH")</f>
        <v>48.65</v>
      </c>
      <c r="JI19" s="3" t="str">
        <f>_xlfn.XLOOKUP(JI$1,generator!$B$2:$B$295,generator!$Q$2:$Q$295,"ARGH")</f>
        <v>71.88</v>
      </c>
      <c r="JJ19" s="3" t="str">
        <f>_xlfn.XLOOKUP(JJ$1,generator!$B$2:$B$295,generator!$Q$2:$Q$295,"ARGH")</f>
        <v>98.17</v>
      </c>
      <c r="JK19" s="3" t="str">
        <f>_xlfn.XLOOKUP(JK$1,generator!$B$2:$B$295,generator!$Q$2:$Q$295,"ARGH")</f>
        <v>98.17</v>
      </c>
      <c r="JL19" s="3" t="str">
        <f>_xlfn.XLOOKUP(JL$1,generator!$B$2:$B$295,generator!$Q$2:$Q$295,"ARGH")</f>
        <v>98.17</v>
      </c>
      <c r="JM19" s="3" t="str">
        <f>_xlfn.XLOOKUP(JM$1,generator!$B$2:$B$295,generator!$Q$2:$Q$295,"ARGH")</f>
        <v>98.17</v>
      </c>
      <c r="JN19" s="3" t="str">
        <f>_xlfn.XLOOKUP(JN$1,generator!$B$2:$B$295,generator!$Q$2:$Q$295,"ARGH")</f>
        <v>98.17</v>
      </c>
      <c r="JO19" s="3" t="str">
        <f>_xlfn.XLOOKUP(JO$1,generator!$B$2:$B$295,generator!$Q$2:$Q$295,"ARGH")</f>
        <v>98.17</v>
      </c>
      <c r="JP19" s="3" t="str">
        <f>_xlfn.XLOOKUP(JP$1,generator!$B$2:$B$295,generator!$Q$2:$Q$295,"ARGH")</f>
        <v>47.53</v>
      </c>
      <c r="JQ19" s="3" t="str">
        <f>_xlfn.XLOOKUP(JQ$1,generator!$B$2:$B$295,generator!$Q$2:$Q$295,"ARGH")</f>
        <v>108.86</v>
      </c>
      <c r="JR19" s="3" t="str">
        <f>_xlfn.XLOOKUP(JR$1,generator!$B$2:$B$295,generator!$Q$2:$Q$295,"ARGH")</f>
        <v>83.15</v>
      </c>
      <c r="JS19" s="3" t="str">
        <f>_xlfn.XLOOKUP(JS$1,generator!$B$2:$B$295,generator!$Q$2:$Q$295,"ARGH")</f>
        <v>83.15</v>
      </c>
      <c r="JT19" s="3" t="str">
        <f>_xlfn.XLOOKUP(JT$1,generator!$B$2:$B$295,generator!$Q$2:$Q$295,"ARGH")</f>
        <v>108.86</v>
      </c>
      <c r="JU19" s="3">
        <f>_xlfn.XLOOKUP(JU$1,generator!$B$2:$B$295,generator!$Q$2:$Q$295,"ARGH")</f>
        <v>0</v>
      </c>
      <c r="JV19" s="3" t="str">
        <f>_xlfn.XLOOKUP(JV$1,generator!$B$2:$B$295,generator!$Q$2:$Q$295,"ARGH")</f>
        <v>77.63</v>
      </c>
      <c r="JW19" s="3" t="str">
        <f>_xlfn.XLOOKUP(JW$1,generator!$B$2:$B$295,generator!$Q$2:$Q$295,"ARGH")</f>
        <v>77.64</v>
      </c>
      <c r="JX19" s="3" t="str">
        <f>_xlfn.XLOOKUP(JX$1,generator!$B$2:$B$295,generator!$Q$2:$Q$295,"ARGH")</f>
        <v>331.49</v>
      </c>
      <c r="JY19" s="3">
        <f>_xlfn.XLOOKUP(JY$1,generator!$B$2:$B$295,generator!$Q$2:$Q$295,"ARGH")</f>
        <v>7000</v>
      </c>
      <c r="JZ19" s="3">
        <f>_xlfn.XLOOKUP(JZ$1,generator!$B$2:$B$295,generator!$Q$2:$Q$295,"ARGH")</f>
        <v>0</v>
      </c>
      <c r="KA19" s="3">
        <f>_xlfn.XLOOKUP(KA$1,generator!$B$2:$B$295,generator!$Q$2:$Q$295,"ARGH")</f>
        <v>0</v>
      </c>
      <c r="KB19" s="3">
        <f>_xlfn.XLOOKUP(KB$1,generator!$B$2:$B$295,generator!$Q$2:$Q$295,"ARGH")</f>
        <v>0</v>
      </c>
      <c r="KC19" s="3">
        <f>_xlfn.XLOOKUP(KC$1,generator!$B$2:$B$295,generator!$Q$2:$Q$295,"ARGH")</f>
        <v>0</v>
      </c>
    </row>
    <row r="20" spans="1:289" x14ac:dyDescent="0.3">
      <c r="A20" s="4" t="s">
        <v>3015</v>
      </c>
      <c r="B20" s="3">
        <v>15000</v>
      </c>
      <c r="C20" s="3">
        <v>15000</v>
      </c>
      <c r="D20" s="3">
        <v>15000</v>
      </c>
      <c r="E20" s="3">
        <f>_xlfn.XLOOKUP(E$1,generator!$B$2:$B$295,generator!$Q$2:$Q$295,"ARGH")</f>
        <v>9000</v>
      </c>
      <c r="F20" s="3">
        <f>_xlfn.XLOOKUP(F$1,generator!$B$2:$B$295,generator!$Q$2:$Q$295,"ARGH")</f>
        <v>9000</v>
      </c>
      <c r="G20" s="3">
        <f>_xlfn.XLOOKUP(G$1,generator!$B$2:$B$295,generator!$Q$2:$Q$295,"ARGH")</f>
        <v>9000</v>
      </c>
      <c r="H20" s="3">
        <f>_xlfn.XLOOKUP(H$1,generator!$B$2:$B$295,generator!$Q$2:$Q$295,"ARGH")</f>
        <v>9000</v>
      </c>
      <c r="I20" s="3">
        <f>_xlfn.XLOOKUP(I$1,generator!$B$2:$B$295,generator!$Q$2:$Q$295,"ARGH")</f>
        <v>9000</v>
      </c>
      <c r="J20" s="3">
        <f>_xlfn.XLOOKUP(J$1,generator!$B$2:$B$295,generator!$Q$2:$Q$295,"ARGH")</f>
        <v>9000</v>
      </c>
      <c r="K20" s="3">
        <f>_xlfn.XLOOKUP(K$1,generator!$B$2:$B$295,generator!$Q$2:$Q$295,"ARGH")</f>
        <v>9000</v>
      </c>
      <c r="L20" s="3">
        <f>_xlfn.XLOOKUP(L$1,generator!$B$2:$B$295,generator!$Q$2:$Q$295,"ARGH")</f>
        <v>9000</v>
      </c>
      <c r="M20" s="3">
        <f>_xlfn.XLOOKUP(M$1,generator!$B$2:$B$295,generator!$Q$2:$Q$295,"ARGH")</f>
        <v>9000</v>
      </c>
      <c r="N20" s="3">
        <f>_xlfn.XLOOKUP(N$1,generator!$B$2:$B$295,generator!$Q$2:$Q$295,"ARGH")</f>
        <v>9000</v>
      </c>
      <c r="O20" s="3">
        <f>_xlfn.XLOOKUP(O$1,generator!$B$2:$B$295,generator!$Q$2:$Q$295,"ARGH")</f>
        <v>9000</v>
      </c>
      <c r="P20" s="3">
        <f>_xlfn.XLOOKUP(P$1,generator!$B$2:$B$295,generator!$Q$2:$Q$295,"ARGH")</f>
        <v>9000</v>
      </c>
      <c r="Q20" s="3">
        <f>_xlfn.XLOOKUP(Q$1,generator!$B$2:$B$295,generator!$Q$2:$Q$295,"ARGH")</f>
        <v>9000</v>
      </c>
      <c r="R20" s="3">
        <f>_xlfn.XLOOKUP(R$1,generator!$B$2:$B$295,generator!$Q$2:$Q$295,"ARGH")</f>
        <v>9000</v>
      </c>
      <c r="S20" s="3">
        <f>_xlfn.XLOOKUP(S$1,generator!$B$2:$B$295,generator!$Q$2:$Q$295,"ARGH")</f>
        <v>9000</v>
      </c>
      <c r="T20" s="3">
        <f>_xlfn.XLOOKUP(T$1,generator!$B$2:$B$295,generator!$Q$2:$Q$295,"ARGH")</f>
        <v>9000</v>
      </c>
      <c r="U20" s="3">
        <f>_xlfn.XLOOKUP(U$1,generator!$B$2:$B$295,generator!$Q$2:$Q$295,"ARGH")</f>
        <v>9000</v>
      </c>
      <c r="V20" s="3">
        <f>_xlfn.XLOOKUP(V$1,generator!$B$2:$B$295,generator!$Q$2:$Q$295,"ARGH")</f>
        <v>9000</v>
      </c>
      <c r="W20" s="3">
        <f>_xlfn.XLOOKUP(W$1,generator!$B$2:$B$295,generator!$Q$2:$Q$295,"ARGH")</f>
        <v>9000</v>
      </c>
      <c r="X20" s="3">
        <f>_xlfn.XLOOKUP(X$1,generator!$B$2:$B$295,generator!$Q$2:$Q$295,"ARGH")</f>
        <v>9000</v>
      </c>
      <c r="Y20" s="3">
        <f>_xlfn.XLOOKUP(Y$1,generator!$B$2:$B$295,generator!$Q$2:$Q$295,"ARGH")</f>
        <v>9000</v>
      </c>
      <c r="Z20" s="3">
        <f>_xlfn.XLOOKUP(Z$1,generator!$B$2:$B$295,generator!$Q$2:$Q$295,"ARGH")</f>
        <v>9000</v>
      </c>
      <c r="AA20" s="3">
        <f>_xlfn.XLOOKUP(AA$1,generator!$B$2:$B$295,generator!$Q$2:$Q$295,"ARGH")</f>
        <v>9000</v>
      </c>
      <c r="AB20" s="3">
        <f>_xlfn.XLOOKUP(AB$1,generator!$B$2:$B$295,generator!$Q$2:$Q$295,"ARGH")</f>
        <v>9000</v>
      </c>
      <c r="AC20" s="3">
        <f>_xlfn.XLOOKUP(AC$1,generator!$B$2:$B$295,generator!$Q$2:$Q$295,"ARGH")</f>
        <v>9000</v>
      </c>
      <c r="AD20" s="3">
        <f>_xlfn.XLOOKUP(AD$1,generator!$B$2:$B$295,generator!$Q$2:$Q$295,"ARGH")</f>
        <v>9000</v>
      </c>
      <c r="AE20" s="3">
        <f>_xlfn.XLOOKUP(AE$1,generator!$B$2:$B$295,generator!$Q$2:$Q$295,"ARGH")</f>
        <v>9000</v>
      </c>
      <c r="AF20" s="3">
        <f>_xlfn.XLOOKUP(AF$1,generator!$B$2:$B$295,generator!$Q$2:$Q$295,"ARGH")</f>
        <v>9000</v>
      </c>
      <c r="AG20" s="3">
        <f>_xlfn.XLOOKUP(AG$1,generator!$B$2:$B$295,generator!$Q$2:$Q$295,"ARGH")</f>
        <v>9000</v>
      </c>
      <c r="AH20" s="3">
        <f>_xlfn.XLOOKUP(AH$1,generator!$B$2:$B$295,generator!$Q$2:$Q$295,"ARGH")</f>
        <v>9000</v>
      </c>
      <c r="AI20" s="3">
        <f>_xlfn.XLOOKUP(AI$1,generator!$B$2:$B$295,generator!$Q$2:$Q$295,"ARGH")</f>
        <v>9000</v>
      </c>
      <c r="AJ20" s="3">
        <f>_xlfn.XLOOKUP(AJ$1,generator!$B$2:$B$295,generator!$Q$2:$Q$295,"ARGH")</f>
        <v>9000</v>
      </c>
      <c r="AK20" s="3">
        <f>_xlfn.XLOOKUP(AK$1,generator!$B$2:$B$295,generator!$Q$2:$Q$295,"ARGH")</f>
        <v>9000</v>
      </c>
      <c r="AL20" s="3">
        <f>_xlfn.XLOOKUP(AL$1,generator!$B$2:$B$295,generator!$Q$2:$Q$295,"ARGH")</f>
        <v>9000</v>
      </c>
      <c r="AM20" s="3">
        <f>_xlfn.XLOOKUP(AM$1,generator!$B$2:$B$295,generator!$Q$2:$Q$295,"ARGH")</f>
        <v>9000</v>
      </c>
      <c r="AN20" s="3">
        <f>_xlfn.XLOOKUP(AN$1,generator!$B$2:$B$295,generator!$Q$2:$Q$295,"ARGH")</f>
        <v>9000</v>
      </c>
      <c r="AO20" s="3">
        <f>_xlfn.XLOOKUP(AO$1,generator!$B$2:$B$295,generator!$Q$2:$Q$295,"ARGH")</f>
        <v>9000</v>
      </c>
      <c r="AP20" s="3">
        <f>_xlfn.XLOOKUP(AP$1,generator!$B$2:$B$295,generator!$Q$2:$Q$295,"ARGH")</f>
        <v>9000</v>
      </c>
      <c r="AQ20" s="3">
        <f>_xlfn.XLOOKUP(AQ$1,generator!$B$2:$B$295,generator!$Q$2:$Q$295,"ARGH")</f>
        <v>9000</v>
      </c>
      <c r="AR20" s="3">
        <f>_xlfn.XLOOKUP(AR$1,generator!$B$2:$B$295,generator!$Q$2:$Q$295,"ARGH")</f>
        <v>9000</v>
      </c>
      <c r="AS20" s="3">
        <f>_xlfn.XLOOKUP(AS$1,generator!$B$2:$B$295,generator!$Q$2:$Q$295,"ARGH")</f>
        <v>9000</v>
      </c>
      <c r="AT20" s="3">
        <f>_xlfn.XLOOKUP(AT$1,generator!$B$2:$B$295,generator!$Q$2:$Q$295,"ARGH")</f>
        <v>9000</v>
      </c>
      <c r="AU20" s="3">
        <f>_xlfn.XLOOKUP(AU$1,generator!$B$2:$B$295,generator!$Q$2:$Q$295,"ARGH")</f>
        <v>9000</v>
      </c>
      <c r="AV20" s="3">
        <f>_xlfn.XLOOKUP(AV$1,generator!$B$2:$B$295,generator!$Q$2:$Q$295,"ARGH")</f>
        <v>9000</v>
      </c>
      <c r="AW20" s="3">
        <f>_xlfn.XLOOKUP(AW$1,generator!$B$2:$B$295,generator!$Q$2:$Q$295,"ARGH")</f>
        <v>9000</v>
      </c>
      <c r="AX20" s="3">
        <f>_xlfn.XLOOKUP(AX$1,generator!$B$2:$B$295,generator!$Q$2:$Q$295,"ARGH")</f>
        <v>9000</v>
      </c>
      <c r="AY20" s="3">
        <f>_xlfn.XLOOKUP(AY$1,generator!$B$2:$B$295,generator!$Q$2:$Q$295,"ARGH")</f>
        <v>9000</v>
      </c>
      <c r="AZ20" s="3">
        <f>_xlfn.XLOOKUP(AZ$1,generator!$B$2:$B$295,generator!$Q$2:$Q$295,"ARGH")</f>
        <v>9000</v>
      </c>
      <c r="BA20" s="3">
        <f>_xlfn.XLOOKUP(BA$1,generator!$B$2:$B$295,generator!$Q$2:$Q$295,"ARGH")</f>
        <v>9000</v>
      </c>
      <c r="BB20" s="3">
        <f>_xlfn.XLOOKUP(BB$1,generator!$B$2:$B$295,generator!$Q$2:$Q$295,"ARGH")</f>
        <v>9000</v>
      </c>
      <c r="BC20" s="3">
        <f>_xlfn.XLOOKUP(BC$1,generator!$B$2:$B$295,generator!$Q$2:$Q$295,"ARGH")</f>
        <v>9000</v>
      </c>
      <c r="BD20" s="3">
        <f>_xlfn.XLOOKUP(BD$1,generator!$B$2:$B$295,generator!$Q$2:$Q$295,"ARGH")</f>
        <v>9000</v>
      </c>
      <c r="BE20" s="3">
        <f>_xlfn.XLOOKUP(BE$1,generator!$B$2:$B$295,generator!$Q$2:$Q$295,"ARGH")</f>
        <v>9000</v>
      </c>
      <c r="BF20" s="3">
        <f>_xlfn.XLOOKUP(BF$1,generator!$B$2:$B$295,generator!$Q$2:$Q$295,"ARGH")</f>
        <v>9000</v>
      </c>
      <c r="BG20" s="3">
        <f>_xlfn.XLOOKUP(BG$1,generator!$B$2:$B$295,generator!$Q$2:$Q$295,"ARGH")</f>
        <v>9000</v>
      </c>
      <c r="BH20" s="3">
        <f>_xlfn.XLOOKUP(BH$1,generator!$B$2:$B$295,generator!$Q$2:$Q$295,"ARGH")</f>
        <v>9000</v>
      </c>
      <c r="BI20" s="3">
        <f>_xlfn.XLOOKUP(BI$1,generator!$B$2:$B$295,generator!$Q$2:$Q$295,"ARGH")</f>
        <v>9000</v>
      </c>
      <c r="BJ20" s="3">
        <f>_xlfn.XLOOKUP(BJ$1,generator!$B$2:$B$295,generator!$Q$2:$Q$295,"ARGH")</f>
        <v>9000</v>
      </c>
      <c r="BK20" s="3">
        <f>_xlfn.XLOOKUP(BK$1,generator!$B$2:$B$295,generator!$Q$2:$Q$295,"ARGH")</f>
        <v>9000</v>
      </c>
      <c r="BL20" s="3">
        <f>_xlfn.XLOOKUP(BL$1,generator!$B$2:$B$295,generator!$Q$2:$Q$295,"ARGH")</f>
        <v>9000</v>
      </c>
      <c r="BM20" s="3">
        <f>_xlfn.XLOOKUP(BM$1,generator!$B$2:$B$295,generator!$Q$2:$Q$295,"ARGH")</f>
        <v>9000</v>
      </c>
      <c r="BN20" s="3">
        <f>_xlfn.XLOOKUP(BN$1,generator!$B$2:$B$295,generator!$Q$2:$Q$295,"ARGH")</f>
        <v>9000</v>
      </c>
      <c r="BO20" s="3">
        <f>_xlfn.XLOOKUP(BO$1,generator!$B$2:$B$295,generator!$Q$2:$Q$295,"ARGH")</f>
        <v>9000</v>
      </c>
      <c r="BP20" s="3">
        <f>_xlfn.XLOOKUP(BP$1,generator!$B$2:$B$295,generator!$Q$2:$Q$295,"ARGH")</f>
        <v>9000</v>
      </c>
      <c r="BQ20" s="3">
        <f>_xlfn.XLOOKUP(BQ$1,generator!$B$2:$B$295,generator!$Q$2:$Q$295,"ARGH")</f>
        <v>9000</v>
      </c>
      <c r="BR20" s="3">
        <f>_xlfn.XLOOKUP(BR$1,generator!$B$2:$B$295,generator!$Q$2:$Q$295,"ARGH")</f>
        <v>9000</v>
      </c>
      <c r="BS20" s="3">
        <f>_xlfn.XLOOKUP(BS$1,generator!$B$2:$B$295,generator!$Q$2:$Q$295,"ARGH")</f>
        <v>9000</v>
      </c>
      <c r="BT20" s="3">
        <f>_xlfn.XLOOKUP(BT$1,generator!$B$2:$B$295,generator!$Q$2:$Q$295,"ARGH")</f>
        <v>9000</v>
      </c>
      <c r="BU20" s="3">
        <f>_xlfn.XLOOKUP(BU$1,generator!$B$2:$B$295,generator!$Q$2:$Q$295,"ARGH")</f>
        <v>9000</v>
      </c>
      <c r="BV20" s="3">
        <f>_xlfn.XLOOKUP(BV$1,generator!$B$2:$B$295,generator!$Q$2:$Q$295,"ARGH")</f>
        <v>9000</v>
      </c>
      <c r="BW20" s="3">
        <f>_xlfn.XLOOKUP(BW$1,generator!$B$2:$B$295,generator!$Q$2:$Q$295,"ARGH")</f>
        <v>9000</v>
      </c>
      <c r="BX20" s="3">
        <f>_xlfn.XLOOKUP(BX$1,generator!$B$2:$B$295,generator!$Q$2:$Q$295,"ARGH")</f>
        <v>9000</v>
      </c>
      <c r="BY20" s="3">
        <f>_xlfn.XLOOKUP(BY$1,generator!$B$2:$B$295,generator!$Q$2:$Q$295,"ARGH")</f>
        <v>9000</v>
      </c>
      <c r="BZ20" s="3">
        <f>_xlfn.XLOOKUP(BZ$1,generator!$B$2:$B$295,generator!$Q$2:$Q$295,"ARGH")</f>
        <v>9000</v>
      </c>
      <c r="CA20" s="3">
        <f>_xlfn.XLOOKUP(CA$1,generator!$B$2:$B$295,generator!$Q$2:$Q$295,"ARGH")</f>
        <v>9000</v>
      </c>
      <c r="CB20" s="3">
        <f>_xlfn.XLOOKUP(CB$1,generator!$B$2:$B$295,generator!$Q$2:$Q$295,"ARGH")</f>
        <v>9000</v>
      </c>
      <c r="CC20" s="3">
        <f>_xlfn.XLOOKUP(CC$1,generator!$B$2:$B$295,generator!$Q$2:$Q$295,"ARGH")</f>
        <v>9000</v>
      </c>
      <c r="CD20" s="3">
        <f>_xlfn.XLOOKUP(CD$1,generator!$B$2:$B$295,generator!$Q$2:$Q$295,"ARGH")</f>
        <v>9000</v>
      </c>
      <c r="CE20" s="3">
        <f>_xlfn.XLOOKUP(CE$1,generator!$B$2:$B$295,generator!$Q$2:$Q$295,"ARGH")</f>
        <v>9000</v>
      </c>
      <c r="CF20" s="3">
        <f>_xlfn.XLOOKUP(CF$1,generator!$B$2:$B$295,generator!$Q$2:$Q$295,"ARGH")</f>
        <v>9000</v>
      </c>
      <c r="CG20" s="3">
        <f>_xlfn.XLOOKUP(CG$1,generator!$B$2:$B$295,generator!$Q$2:$Q$295,"ARGH")</f>
        <v>9000</v>
      </c>
      <c r="CH20" s="3">
        <f>_xlfn.XLOOKUP(CH$1,generator!$B$2:$B$295,generator!$Q$2:$Q$295,"ARGH")</f>
        <v>9000</v>
      </c>
      <c r="CI20" s="3">
        <f>_xlfn.XLOOKUP(CI$1,generator!$B$2:$B$295,generator!$Q$2:$Q$295,"ARGH")</f>
        <v>9000</v>
      </c>
      <c r="CJ20" s="3">
        <f>_xlfn.XLOOKUP(CJ$1,generator!$B$2:$B$295,generator!$Q$2:$Q$295,"ARGH")</f>
        <v>9000</v>
      </c>
      <c r="CK20" s="3">
        <f>_xlfn.XLOOKUP(CK$1,generator!$B$2:$B$295,generator!$Q$2:$Q$295,"ARGH")</f>
        <v>9000</v>
      </c>
      <c r="CL20" s="3">
        <f>_xlfn.XLOOKUP(CL$1,generator!$B$2:$B$295,generator!$Q$2:$Q$295,"ARGH")</f>
        <v>9000</v>
      </c>
      <c r="CM20" s="3">
        <f>_xlfn.XLOOKUP(CM$1,generator!$B$2:$B$295,generator!$Q$2:$Q$295,"ARGH")</f>
        <v>9000</v>
      </c>
      <c r="CN20" s="3">
        <f>_xlfn.XLOOKUP(CN$1,generator!$B$2:$B$295,generator!$Q$2:$Q$295,"ARGH")</f>
        <v>9000</v>
      </c>
      <c r="CO20" s="3">
        <f>_xlfn.XLOOKUP(CO$1,generator!$B$2:$B$295,generator!$Q$2:$Q$295,"ARGH")</f>
        <v>9000</v>
      </c>
      <c r="CP20" s="3">
        <f>_xlfn.XLOOKUP(CP$1,generator!$B$2:$B$295,generator!$Q$2:$Q$295,"ARGH")</f>
        <v>9000</v>
      </c>
      <c r="CQ20" s="3">
        <f>_xlfn.XLOOKUP(CQ$1,generator!$B$2:$B$295,generator!$Q$2:$Q$295,"ARGH")</f>
        <v>9000</v>
      </c>
      <c r="CR20" s="3">
        <f>_xlfn.XLOOKUP(CR$1,generator!$B$2:$B$295,generator!$Q$2:$Q$295,"ARGH")</f>
        <v>9000</v>
      </c>
      <c r="CS20" s="3">
        <f>_xlfn.XLOOKUP(CS$1,generator!$B$2:$B$295,generator!$Q$2:$Q$295,"ARGH")</f>
        <v>9000</v>
      </c>
      <c r="CT20" s="3">
        <f>_xlfn.XLOOKUP(CT$1,generator!$B$2:$B$295,generator!$Q$2:$Q$295,"ARGH")</f>
        <v>9000</v>
      </c>
      <c r="CU20" s="3">
        <f>_xlfn.XLOOKUP(CU$1,generator!$B$2:$B$295,generator!$Q$2:$Q$295,"ARGH")</f>
        <v>9000</v>
      </c>
      <c r="CV20" s="3">
        <f>_xlfn.XLOOKUP(CV$1,generator!$B$2:$B$295,generator!$Q$2:$Q$295,"ARGH")</f>
        <v>9000</v>
      </c>
      <c r="CW20" s="3">
        <f>_xlfn.XLOOKUP(CW$1,generator!$B$2:$B$295,generator!$Q$2:$Q$295,"ARGH")</f>
        <v>9000</v>
      </c>
      <c r="CX20" s="3">
        <f>_xlfn.XLOOKUP(CX$1,generator!$B$2:$B$295,generator!$Q$2:$Q$295,"ARGH")</f>
        <v>9000</v>
      </c>
      <c r="CY20" s="3">
        <f>_xlfn.XLOOKUP(CY$1,generator!$B$2:$B$295,generator!$Q$2:$Q$295,"ARGH")</f>
        <v>9000</v>
      </c>
      <c r="CZ20" s="3">
        <f>_xlfn.XLOOKUP(CZ$1,generator!$B$2:$B$295,generator!$Q$2:$Q$295,"ARGH")</f>
        <v>9000</v>
      </c>
      <c r="DA20" s="3">
        <f>_xlfn.XLOOKUP(DA$1,generator!$B$2:$B$295,generator!$Q$2:$Q$295,"ARGH")</f>
        <v>9000</v>
      </c>
      <c r="DB20" s="3">
        <f>_xlfn.XLOOKUP(DB$1,generator!$B$2:$B$295,generator!$Q$2:$Q$295,"ARGH")</f>
        <v>9000</v>
      </c>
      <c r="DC20" s="3">
        <f>_xlfn.XLOOKUP(DC$1,generator!$B$2:$B$295,generator!$Q$2:$Q$295,"ARGH")</f>
        <v>9000</v>
      </c>
      <c r="DD20" s="3">
        <f>_xlfn.XLOOKUP(DD$1,generator!$B$2:$B$295,generator!$Q$2:$Q$295,"ARGH")</f>
        <v>9000</v>
      </c>
      <c r="DE20" s="3">
        <f>_xlfn.XLOOKUP(DE$1,generator!$B$2:$B$295,generator!$Q$2:$Q$295,"ARGH")</f>
        <v>9000</v>
      </c>
      <c r="DF20" s="3">
        <f>_xlfn.XLOOKUP(DF$1,generator!$B$2:$B$295,generator!$Q$2:$Q$295,"ARGH")</f>
        <v>9000</v>
      </c>
      <c r="DG20" s="3">
        <f>_xlfn.XLOOKUP(DG$1,generator!$B$2:$B$295,generator!$Q$2:$Q$295,"ARGH")</f>
        <v>9000</v>
      </c>
      <c r="DH20" s="3">
        <f>_xlfn.XLOOKUP(DH$1,generator!$B$2:$B$295,generator!$Q$2:$Q$295,"ARGH")</f>
        <v>9000</v>
      </c>
      <c r="DI20" s="3">
        <f>_xlfn.XLOOKUP(DI$1,generator!$B$2:$B$295,generator!$Q$2:$Q$295,"ARGH")</f>
        <v>9000</v>
      </c>
      <c r="DJ20" s="3">
        <f>_xlfn.XLOOKUP(DJ$1,generator!$B$2:$B$295,generator!$Q$2:$Q$295,"ARGH")</f>
        <v>9000</v>
      </c>
      <c r="DK20" s="3">
        <f>_xlfn.XLOOKUP(DK$1,generator!$B$2:$B$295,generator!$Q$2:$Q$295,"ARGH")</f>
        <v>9000</v>
      </c>
      <c r="DL20" s="3">
        <f>_xlfn.XLOOKUP(DL$1,generator!$B$2:$B$295,generator!$Q$2:$Q$295,"ARGH")</f>
        <v>9000</v>
      </c>
      <c r="DM20" s="3">
        <f>_xlfn.XLOOKUP(DM$1,generator!$B$2:$B$295,generator!$Q$2:$Q$295,"ARGH")</f>
        <v>9000</v>
      </c>
      <c r="DN20" s="3">
        <f>_xlfn.XLOOKUP(DN$1,generator!$B$2:$B$295,generator!$Q$2:$Q$295,"ARGH")</f>
        <v>9000</v>
      </c>
      <c r="DO20" s="3">
        <f>_xlfn.XLOOKUP(DO$1,generator!$B$2:$B$295,generator!$Q$2:$Q$295,"ARGH")</f>
        <v>9000</v>
      </c>
      <c r="DP20" s="3">
        <f>_xlfn.XLOOKUP(DP$1,generator!$B$2:$B$295,generator!$Q$2:$Q$295,"ARGH")</f>
        <v>9000</v>
      </c>
      <c r="DQ20" s="3">
        <f>_xlfn.XLOOKUP(DQ$1,generator!$B$2:$B$295,generator!$Q$2:$Q$295,"ARGH")</f>
        <v>9000</v>
      </c>
      <c r="DR20" s="3">
        <f>_xlfn.XLOOKUP(DR$1,generator!$B$2:$B$295,generator!$Q$2:$Q$295,"ARGH")</f>
        <v>9000</v>
      </c>
      <c r="DS20" s="3">
        <f>_xlfn.XLOOKUP(DS$1,generator!$B$2:$B$295,generator!$Q$2:$Q$295,"ARGH")</f>
        <v>9000</v>
      </c>
      <c r="DT20" s="3">
        <f>_xlfn.XLOOKUP(DT$1,generator!$B$2:$B$295,generator!$Q$2:$Q$295,"ARGH")</f>
        <v>9000</v>
      </c>
      <c r="DU20" s="3">
        <f>_xlfn.XLOOKUP(DU$1,generator!$B$2:$B$295,generator!$Q$2:$Q$295,"ARGH")</f>
        <v>9000</v>
      </c>
      <c r="DV20" s="3">
        <f>_xlfn.XLOOKUP(DV$1,generator!$B$2:$B$295,generator!$Q$2:$Q$295,"ARGH")</f>
        <v>9000</v>
      </c>
      <c r="DW20" s="3">
        <f>_xlfn.XLOOKUP(DW$1,generator!$B$2:$B$295,generator!$Q$2:$Q$295,"ARGH")</f>
        <v>9000</v>
      </c>
      <c r="DX20" s="3">
        <f>_xlfn.XLOOKUP(DX$1,generator!$B$2:$B$295,generator!$Q$2:$Q$295,"ARGH")</f>
        <v>9000</v>
      </c>
      <c r="DY20" s="3">
        <f>_xlfn.XLOOKUP(DY$1,generator!$B$2:$B$295,generator!$Q$2:$Q$295,"ARGH")</f>
        <v>9000</v>
      </c>
      <c r="DZ20" s="3">
        <f>_xlfn.XLOOKUP(DZ$1,generator!$B$2:$B$295,generator!$Q$2:$Q$295,"ARGH")</f>
        <v>9000</v>
      </c>
      <c r="EA20" s="3">
        <f>_xlfn.XLOOKUP(EA$1,generator!$B$2:$B$295,generator!$Q$2:$Q$295,"ARGH")</f>
        <v>9000</v>
      </c>
      <c r="EB20" s="3">
        <f>_xlfn.XLOOKUP(EB$1,generator!$B$2:$B$295,generator!$Q$2:$Q$295,"ARGH")</f>
        <v>9000</v>
      </c>
      <c r="EC20" s="3">
        <f>_xlfn.XLOOKUP(EC$1,generator!$B$2:$B$295,generator!$Q$2:$Q$295,"ARGH")</f>
        <v>9000</v>
      </c>
      <c r="ED20" s="3">
        <f>_xlfn.XLOOKUP(ED$1,generator!$B$2:$B$295,generator!$Q$2:$Q$295,"ARGH")</f>
        <v>9000</v>
      </c>
      <c r="EE20" s="3">
        <f>_xlfn.XLOOKUP(EE$1,generator!$B$2:$B$295,generator!$Q$2:$Q$295,"ARGH")</f>
        <v>9000</v>
      </c>
      <c r="EF20" s="3">
        <f>_xlfn.XLOOKUP(EF$1,generator!$B$2:$B$295,generator!$Q$2:$Q$295,"ARGH")</f>
        <v>9000</v>
      </c>
      <c r="EG20" s="3">
        <f>_xlfn.XLOOKUP(EG$1,generator!$B$2:$B$295,generator!$Q$2:$Q$295,"ARGH")</f>
        <v>9000</v>
      </c>
      <c r="EH20" s="3">
        <f>_xlfn.XLOOKUP(EH$1,generator!$B$2:$B$295,generator!$Q$2:$Q$295,"ARGH")</f>
        <v>9000</v>
      </c>
      <c r="EI20" s="3">
        <f>_xlfn.XLOOKUP(EI$1,generator!$B$2:$B$295,generator!$Q$2:$Q$295,"ARGH")</f>
        <v>9000</v>
      </c>
      <c r="EJ20" s="3">
        <f>_xlfn.XLOOKUP(EJ$1,generator!$B$2:$B$295,generator!$Q$2:$Q$295,"ARGH")</f>
        <v>9000</v>
      </c>
      <c r="EK20" s="3">
        <f>_xlfn.XLOOKUP(EK$1,generator!$B$2:$B$295,generator!$Q$2:$Q$295,"ARGH")</f>
        <v>9000</v>
      </c>
      <c r="EL20" s="3">
        <f>_xlfn.XLOOKUP(EL$1,generator!$B$2:$B$295,generator!$Q$2:$Q$295,"ARGH")</f>
        <v>9000</v>
      </c>
      <c r="EM20" s="3">
        <f>_xlfn.XLOOKUP(EM$1,generator!$B$2:$B$295,generator!$Q$2:$Q$295,"ARGH")</f>
        <v>9000</v>
      </c>
      <c r="EN20" s="3">
        <f>_xlfn.XLOOKUP(EN$1,generator!$B$2:$B$295,generator!$Q$2:$Q$295,"ARGH")</f>
        <v>9000</v>
      </c>
      <c r="EO20" s="3">
        <f>_xlfn.XLOOKUP(EO$1,generator!$B$2:$B$295,generator!$Q$2:$Q$295,"ARGH")</f>
        <v>9000</v>
      </c>
      <c r="EP20" s="3">
        <f>_xlfn.XLOOKUP(EP$1,generator!$B$2:$B$295,generator!$Q$2:$Q$295,"ARGH")</f>
        <v>9000</v>
      </c>
      <c r="EQ20" s="3">
        <f>_xlfn.XLOOKUP(EQ$1,generator!$B$2:$B$295,generator!$Q$2:$Q$295,"ARGH")</f>
        <v>9000</v>
      </c>
      <c r="ER20" s="3">
        <f>_xlfn.XLOOKUP(ER$1,generator!$B$2:$B$295,generator!$Q$2:$Q$295,"ARGH")</f>
        <v>9000</v>
      </c>
      <c r="ES20" s="3">
        <f>_xlfn.XLOOKUP(ES$1,generator!$B$2:$B$295,generator!$Q$2:$Q$295,"ARGH")</f>
        <v>9000</v>
      </c>
      <c r="ET20" s="3">
        <f>_xlfn.XLOOKUP(ET$1,generator!$B$2:$B$295,generator!$Q$2:$Q$295,"ARGH")</f>
        <v>9000</v>
      </c>
      <c r="EU20" s="3">
        <f>_xlfn.XLOOKUP(EU$1,generator!$B$2:$B$295,generator!$Q$2:$Q$295,"ARGH")</f>
        <v>9000</v>
      </c>
      <c r="EV20" s="3">
        <f>_xlfn.XLOOKUP(EV$1,generator!$B$2:$B$295,generator!$Q$2:$Q$295,"ARGH")</f>
        <v>9000</v>
      </c>
      <c r="EW20" s="3">
        <f>_xlfn.XLOOKUP(EW$1,generator!$B$2:$B$295,generator!$Q$2:$Q$295,"ARGH")</f>
        <v>9000</v>
      </c>
      <c r="EX20" s="3">
        <f>_xlfn.XLOOKUP(EX$1,generator!$B$2:$B$295,generator!$Q$2:$Q$295,"ARGH")</f>
        <v>9000</v>
      </c>
      <c r="EY20" s="3">
        <f>_xlfn.XLOOKUP(EY$1,generator!$B$2:$B$295,generator!$Q$2:$Q$295,"ARGH")</f>
        <v>9000</v>
      </c>
      <c r="EZ20" s="3">
        <f>_xlfn.XLOOKUP(EZ$1,generator!$B$2:$B$295,generator!$Q$2:$Q$295,"ARGH")</f>
        <v>9000</v>
      </c>
      <c r="FA20" s="3">
        <f>_xlfn.XLOOKUP(FA$1,generator!$B$2:$B$295,generator!$Q$2:$Q$295,"ARGH")</f>
        <v>9000</v>
      </c>
      <c r="FB20" s="3">
        <f>_xlfn.XLOOKUP(FB$1,generator!$B$2:$B$295,generator!$Q$2:$Q$295,"ARGH")</f>
        <v>9000</v>
      </c>
      <c r="FC20" s="3">
        <f>_xlfn.XLOOKUP(FC$1,generator!$B$2:$B$295,generator!$Q$2:$Q$295,"ARGH")</f>
        <v>9000</v>
      </c>
      <c r="FD20" s="3">
        <f>_xlfn.XLOOKUP(FD$1,generator!$B$2:$B$295,generator!$Q$2:$Q$295,"ARGH")</f>
        <v>9000</v>
      </c>
      <c r="FE20" s="3">
        <f>_xlfn.XLOOKUP(FE$1,generator!$B$2:$B$295,generator!$Q$2:$Q$295,"ARGH")</f>
        <v>9000</v>
      </c>
      <c r="FF20" s="3">
        <f>_xlfn.XLOOKUP(FF$1,generator!$B$2:$B$295,generator!$Q$2:$Q$295,"ARGH")</f>
        <v>9000</v>
      </c>
      <c r="FG20" s="3">
        <f>_xlfn.XLOOKUP(FG$1,generator!$B$2:$B$295,generator!$Q$2:$Q$295,"ARGH")</f>
        <v>9000</v>
      </c>
      <c r="FH20" s="3">
        <f>_xlfn.XLOOKUP(FH$1,generator!$B$2:$B$295,generator!$Q$2:$Q$295,"ARGH")</f>
        <v>9000</v>
      </c>
      <c r="FI20" s="3">
        <f>_xlfn.XLOOKUP(FI$1,generator!$B$2:$B$295,generator!$Q$2:$Q$295,"ARGH")</f>
        <v>9000</v>
      </c>
      <c r="FJ20" s="3">
        <f>_xlfn.XLOOKUP(FJ$1,generator!$B$2:$B$295,generator!$Q$2:$Q$295,"ARGH")</f>
        <v>9000</v>
      </c>
      <c r="FK20" s="3">
        <f>_xlfn.XLOOKUP(FK$1,generator!$B$2:$B$295,generator!$Q$2:$Q$295,"ARGH")</f>
        <v>9000</v>
      </c>
      <c r="FL20" s="3">
        <f>_xlfn.XLOOKUP(FL$1,generator!$B$2:$B$295,generator!$Q$2:$Q$295,"ARGH")</f>
        <v>9000</v>
      </c>
      <c r="FM20" s="3">
        <f>_xlfn.XLOOKUP(FM$1,generator!$B$2:$B$295,generator!$Q$2:$Q$295,"ARGH")</f>
        <v>9000</v>
      </c>
      <c r="FN20" s="3">
        <f>_xlfn.XLOOKUP(FN$1,generator!$B$2:$B$295,generator!$Q$2:$Q$295,"ARGH")</f>
        <v>9000</v>
      </c>
      <c r="FO20" s="3">
        <f>_xlfn.XLOOKUP(FO$1,generator!$B$2:$B$295,generator!$Q$2:$Q$295,"ARGH")</f>
        <v>9000</v>
      </c>
      <c r="FP20" s="3">
        <f>_xlfn.XLOOKUP(FP$1,generator!$B$2:$B$295,generator!$Q$2:$Q$295,"ARGH")</f>
        <v>9000</v>
      </c>
      <c r="FQ20" s="3">
        <f>_xlfn.XLOOKUP(FQ$1,generator!$B$2:$B$295,generator!$Q$2:$Q$295,"ARGH")</f>
        <v>9000</v>
      </c>
      <c r="FR20" s="3">
        <f>_xlfn.XLOOKUP(FR$1,generator!$B$2:$B$295,generator!$Q$2:$Q$295,"ARGH")</f>
        <v>9000</v>
      </c>
      <c r="FS20" s="3">
        <f>_xlfn.XLOOKUP(FS$1,generator!$B$2:$B$295,generator!$Q$2:$Q$295,"ARGH")</f>
        <v>9000</v>
      </c>
      <c r="FT20" s="3">
        <f>_xlfn.XLOOKUP(FT$1,generator!$B$2:$B$295,generator!$Q$2:$Q$295,"ARGH")</f>
        <v>9000</v>
      </c>
      <c r="FU20" s="3">
        <f>_xlfn.XLOOKUP(FU$1,generator!$B$2:$B$295,generator!$Q$2:$Q$295,"ARGH")</f>
        <v>9000</v>
      </c>
      <c r="FV20" s="3">
        <f>_xlfn.XLOOKUP(FV$1,generator!$B$2:$B$295,generator!$Q$2:$Q$295,"ARGH")</f>
        <v>9000</v>
      </c>
      <c r="FW20" s="3">
        <f>_xlfn.XLOOKUP(FW$1,generator!$B$2:$B$295,generator!$Q$2:$Q$295,"ARGH")</f>
        <v>9000</v>
      </c>
      <c r="FX20" s="3">
        <f>_xlfn.XLOOKUP(FX$1,generator!$B$2:$B$295,generator!$Q$2:$Q$295,"ARGH")</f>
        <v>9000</v>
      </c>
      <c r="FY20" s="3">
        <f>_xlfn.XLOOKUP(FY$1,generator!$B$2:$B$295,generator!$Q$2:$Q$295,"ARGH")</f>
        <v>9000</v>
      </c>
      <c r="FZ20" s="3">
        <f>_xlfn.XLOOKUP(FZ$1,generator!$B$2:$B$295,generator!$Q$2:$Q$295,"ARGH")</f>
        <v>9000</v>
      </c>
      <c r="GA20" s="3">
        <f>_xlfn.XLOOKUP(GA$1,generator!$B$2:$B$295,generator!$Q$2:$Q$295,"ARGH")</f>
        <v>9000</v>
      </c>
      <c r="GB20" s="3">
        <f>_xlfn.XLOOKUP(GB$1,generator!$B$2:$B$295,generator!$Q$2:$Q$295,"ARGH")</f>
        <v>9000</v>
      </c>
      <c r="GC20" s="3">
        <f>_xlfn.XLOOKUP(GC$1,generator!$B$2:$B$295,generator!$Q$2:$Q$295,"ARGH")</f>
        <v>9000</v>
      </c>
      <c r="GD20" s="3">
        <f>_xlfn.XLOOKUP(GD$1,generator!$B$2:$B$295,generator!$Q$2:$Q$295,"ARGH")</f>
        <v>9000</v>
      </c>
      <c r="GE20" s="3">
        <f>_xlfn.XLOOKUP(GE$1,generator!$B$2:$B$295,generator!$Q$2:$Q$295,"ARGH")</f>
        <v>9000</v>
      </c>
      <c r="GF20" s="3">
        <f>_xlfn.XLOOKUP(GF$1,generator!$B$2:$B$295,generator!$Q$2:$Q$295,"ARGH")</f>
        <v>9000</v>
      </c>
      <c r="GG20" s="3">
        <f>_xlfn.XLOOKUP(GG$1,generator!$B$2:$B$295,generator!$Q$2:$Q$295,"ARGH")</f>
        <v>9000</v>
      </c>
      <c r="GH20" s="3">
        <f>_xlfn.XLOOKUP(GH$1,generator!$B$2:$B$295,generator!$Q$2:$Q$295,"ARGH")</f>
        <v>9000</v>
      </c>
      <c r="GI20" s="3">
        <f>_xlfn.XLOOKUP(GI$1,generator!$B$2:$B$295,generator!$Q$2:$Q$295,"ARGH")</f>
        <v>9000</v>
      </c>
      <c r="GJ20" s="3">
        <f>_xlfn.XLOOKUP(GJ$1,generator!$B$2:$B$295,generator!$Q$2:$Q$295,"ARGH")</f>
        <v>9000</v>
      </c>
      <c r="GK20" s="3">
        <f>_xlfn.XLOOKUP(GK$1,generator!$B$2:$B$295,generator!$Q$2:$Q$295,"ARGH")</f>
        <v>9000</v>
      </c>
      <c r="GL20" s="3">
        <f>_xlfn.XLOOKUP(GL$1,generator!$B$2:$B$295,generator!$Q$2:$Q$295,"ARGH")</f>
        <v>9000</v>
      </c>
      <c r="GM20" s="3">
        <f>_xlfn.XLOOKUP(GM$1,generator!$B$2:$B$295,generator!$Q$2:$Q$295,"ARGH")</f>
        <v>9000</v>
      </c>
      <c r="GN20" s="3">
        <f>_xlfn.XLOOKUP(GN$1,generator!$B$2:$B$295,generator!$Q$2:$Q$295,"ARGH")</f>
        <v>9000</v>
      </c>
      <c r="GO20" s="3">
        <f>_xlfn.XLOOKUP(GO$1,generator!$B$2:$B$295,generator!$Q$2:$Q$295,"ARGH")</f>
        <v>9000</v>
      </c>
      <c r="GP20" s="3">
        <f>_xlfn.XLOOKUP(GP$1,generator!$B$2:$B$295,generator!$Q$2:$Q$295,"ARGH")</f>
        <v>9000</v>
      </c>
      <c r="GQ20" s="3">
        <f>_xlfn.XLOOKUP(GQ$1,generator!$B$2:$B$295,generator!$Q$2:$Q$295,"ARGH")</f>
        <v>9000</v>
      </c>
      <c r="GR20" s="3">
        <f>_xlfn.XLOOKUP(GR$1,generator!$B$2:$B$295,generator!$Q$2:$Q$295,"ARGH")</f>
        <v>9000</v>
      </c>
      <c r="GS20" s="3">
        <f>_xlfn.XLOOKUP(GS$1,generator!$B$2:$B$295,generator!$Q$2:$Q$295,"ARGH")</f>
        <v>9000</v>
      </c>
      <c r="GT20" s="3">
        <f>_xlfn.XLOOKUP(GT$1,generator!$B$2:$B$295,generator!$Q$2:$Q$295,"ARGH")</f>
        <v>9000</v>
      </c>
      <c r="GU20" s="3">
        <f>_xlfn.XLOOKUP(GU$1,generator!$B$2:$B$295,generator!$Q$2:$Q$295,"ARGH")</f>
        <v>9000</v>
      </c>
      <c r="GV20" s="3">
        <f>_xlfn.XLOOKUP(GV$1,generator!$B$2:$B$295,generator!$Q$2:$Q$295,"ARGH")</f>
        <v>9000</v>
      </c>
      <c r="GW20" s="3">
        <f>_xlfn.XLOOKUP(GW$1,generator!$B$2:$B$295,generator!$Q$2:$Q$295,"ARGH")</f>
        <v>9000</v>
      </c>
      <c r="GX20" s="3">
        <f>_xlfn.XLOOKUP(GX$1,generator!$B$2:$B$295,generator!$Q$2:$Q$295,"ARGH")</f>
        <v>9000</v>
      </c>
      <c r="GY20" s="3">
        <f>_xlfn.XLOOKUP(GY$1,generator!$B$2:$B$295,generator!$Q$2:$Q$295,"ARGH")</f>
        <v>9000</v>
      </c>
      <c r="GZ20" s="3">
        <f>_xlfn.XLOOKUP(GZ$1,generator!$B$2:$B$295,generator!$Q$2:$Q$295,"ARGH")</f>
        <v>9000</v>
      </c>
      <c r="HA20" s="3">
        <f>_xlfn.XLOOKUP(HA$1,generator!$B$2:$B$295,generator!$Q$2:$Q$295,"ARGH")</f>
        <v>9000</v>
      </c>
      <c r="HB20" s="3">
        <f>_xlfn.XLOOKUP(HB$1,generator!$B$2:$B$295,generator!$Q$2:$Q$295,"ARGH")</f>
        <v>9000</v>
      </c>
      <c r="HC20" s="3">
        <f>_xlfn.XLOOKUP(HC$1,generator!$B$2:$B$295,generator!$Q$2:$Q$295,"ARGH")</f>
        <v>9000</v>
      </c>
      <c r="HD20" s="3">
        <f>_xlfn.XLOOKUP(HD$1,generator!$B$2:$B$295,generator!$Q$2:$Q$295,"ARGH")</f>
        <v>9000</v>
      </c>
      <c r="HE20" s="3">
        <f>_xlfn.XLOOKUP(HE$1,generator!$B$2:$B$295,generator!$Q$2:$Q$295,"ARGH")</f>
        <v>8000</v>
      </c>
      <c r="HF20" s="3" t="str">
        <f>_xlfn.XLOOKUP(HF$1,generator!$B$2:$B$295,generator!$Q$2:$Q$295,"ARGH")</f>
        <v>143</v>
      </c>
      <c r="HG20" s="3" t="str">
        <f>_xlfn.XLOOKUP(HG$1,generator!$B$2:$B$295,generator!$Q$2:$Q$295,"ARGH")</f>
        <v>143</v>
      </c>
      <c r="HH20" s="3" t="str">
        <f>_xlfn.XLOOKUP(HH$1,generator!$B$2:$B$295,generator!$Q$2:$Q$295,"ARGH")</f>
        <v>143</v>
      </c>
      <c r="HI20" s="3" t="str">
        <f>_xlfn.XLOOKUP(HI$1,generator!$B$2:$B$295,generator!$Q$2:$Q$295,"ARGH")</f>
        <v>246.74</v>
      </c>
      <c r="HJ20" s="3" t="str">
        <f>_xlfn.XLOOKUP(HJ$1,generator!$B$2:$B$295,generator!$Q$2:$Q$295,"ARGH")</f>
        <v>246.74</v>
      </c>
      <c r="HK20" s="3" t="str">
        <f>_xlfn.XLOOKUP(HK$1,generator!$B$2:$B$295,generator!$Q$2:$Q$295,"ARGH")</f>
        <v>206.04</v>
      </c>
      <c r="HL20" s="3" t="str">
        <f>_xlfn.XLOOKUP(HL$1,generator!$B$2:$B$295,generator!$Q$2:$Q$295,"ARGH")</f>
        <v>506.96</v>
      </c>
      <c r="HM20" s="3" t="str">
        <f>_xlfn.XLOOKUP(HM$1,generator!$B$2:$B$295,generator!$Q$2:$Q$295,"ARGH")</f>
        <v>506.95</v>
      </c>
      <c r="HN20" s="3" t="str">
        <f>_xlfn.XLOOKUP(HN$1,generator!$B$2:$B$295,generator!$Q$2:$Q$295,"ARGH")</f>
        <v>190.97</v>
      </c>
      <c r="HO20" s="3" t="str">
        <f>_xlfn.XLOOKUP(HO$1,generator!$B$2:$B$295,generator!$Q$2:$Q$295,"ARGH")</f>
        <v>190.97</v>
      </c>
      <c r="HP20" s="3" t="str">
        <f>_xlfn.XLOOKUP(HP$1,generator!$B$2:$B$295,generator!$Q$2:$Q$295,"ARGH")</f>
        <v>424.84</v>
      </c>
      <c r="HQ20" s="3" t="str">
        <f>_xlfn.XLOOKUP(HQ$1,generator!$B$2:$B$295,generator!$Q$2:$Q$295,"ARGH")</f>
        <v>425.9</v>
      </c>
      <c r="HR20" s="3" t="str">
        <f>_xlfn.XLOOKUP(HR$1,generator!$B$2:$B$295,generator!$Q$2:$Q$295,"ARGH")</f>
        <v>425.9</v>
      </c>
      <c r="HS20" s="3" t="str">
        <f>_xlfn.XLOOKUP(HS$1,generator!$B$2:$B$295,generator!$Q$2:$Q$295,"ARGH")</f>
        <v>196.54</v>
      </c>
      <c r="HT20" s="3" t="str">
        <f>_xlfn.XLOOKUP(HT$1,generator!$B$2:$B$295,generator!$Q$2:$Q$295,"ARGH")</f>
        <v>196.54</v>
      </c>
      <c r="HU20" s="3" t="str">
        <f>_xlfn.XLOOKUP(HU$1,generator!$B$2:$B$295,generator!$Q$2:$Q$295,"ARGH")</f>
        <v>145.57</v>
      </c>
      <c r="HV20" s="3" t="str">
        <f>_xlfn.XLOOKUP(HV$1,generator!$B$2:$B$295,generator!$Q$2:$Q$295,"ARGH")</f>
        <v>132.62</v>
      </c>
      <c r="HW20" s="3" t="str">
        <f>_xlfn.XLOOKUP(HW$1,generator!$B$2:$B$295,generator!$Q$2:$Q$295,"ARGH")</f>
        <v>193.76</v>
      </c>
      <c r="HX20" s="3" t="str">
        <f>_xlfn.XLOOKUP(HX$1,generator!$B$2:$B$295,generator!$Q$2:$Q$295,"ARGH")</f>
        <v>193.76</v>
      </c>
      <c r="HY20" s="3" t="str">
        <f>_xlfn.XLOOKUP(HY$1,generator!$B$2:$B$295,generator!$Q$2:$Q$295,"ARGH")</f>
        <v>79.19</v>
      </c>
      <c r="HZ20" s="3" t="str">
        <f>_xlfn.XLOOKUP(HZ$1,generator!$B$2:$B$295,generator!$Q$2:$Q$295,"ARGH")</f>
        <v>125.79</v>
      </c>
      <c r="IA20" s="3" t="str">
        <f>_xlfn.XLOOKUP(IA$1,generator!$B$2:$B$295,generator!$Q$2:$Q$295,"ARGH")</f>
        <v>54.19</v>
      </c>
      <c r="IB20" s="3" t="str">
        <f>_xlfn.XLOOKUP(IB$1,generator!$B$2:$B$295,generator!$Q$2:$Q$295,"ARGH")</f>
        <v>59.7</v>
      </c>
      <c r="IC20" s="3">
        <f>_xlfn.XLOOKUP(IC$1,generator!$B$2:$B$295,generator!$Q$2:$Q$295,"ARGH")</f>
        <v>0</v>
      </c>
      <c r="ID20" s="3" t="str">
        <f>_xlfn.XLOOKUP(ID$1,generator!$B$2:$B$295,generator!$Q$2:$Q$295,"ARGH")</f>
        <v>121.14</v>
      </c>
      <c r="IE20" s="3" t="str">
        <f>_xlfn.XLOOKUP(IE$1,generator!$B$2:$B$295,generator!$Q$2:$Q$295,"ARGH")</f>
        <v>26.6</v>
      </c>
      <c r="IF20" s="3">
        <f>_xlfn.XLOOKUP(IF$1,generator!$B$2:$B$295,generator!$Q$2:$Q$295,"ARGH")</f>
        <v>8000</v>
      </c>
      <c r="IG20" s="3">
        <f>_xlfn.XLOOKUP(IG$1,generator!$B$2:$B$295,generator!$Q$2:$Q$295,"ARGH")</f>
        <v>8000</v>
      </c>
      <c r="IH20" s="3">
        <f>_xlfn.XLOOKUP(IH$1,generator!$B$2:$B$295,generator!$Q$2:$Q$295,"ARGH")</f>
        <v>8000</v>
      </c>
      <c r="II20" s="3">
        <f>_xlfn.XLOOKUP(II$1,generator!$B$2:$B$295,generator!$Q$2:$Q$295,"ARGH")</f>
        <v>8000</v>
      </c>
      <c r="IJ20" s="3">
        <f>_xlfn.XLOOKUP(IJ$1,generator!$B$2:$B$295,generator!$Q$2:$Q$295,"ARGH")</f>
        <v>8000</v>
      </c>
      <c r="IK20" s="3">
        <f>_xlfn.XLOOKUP(IK$1,generator!$B$2:$B$295,generator!$Q$2:$Q$295,"ARGH")</f>
        <v>8000</v>
      </c>
      <c r="IL20" s="3">
        <f>_xlfn.XLOOKUP(IL$1,generator!$B$2:$B$295,generator!$Q$2:$Q$295,"ARGH")</f>
        <v>8000</v>
      </c>
      <c r="IM20" s="3">
        <f>_xlfn.XLOOKUP(IM$1,generator!$B$2:$B$295,generator!$Q$2:$Q$295,"ARGH")</f>
        <v>8000</v>
      </c>
      <c r="IN20" s="3">
        <f>_xlfn.XLOOKUP(IN$1,generator!$B$2:$B$295,generator!$Q$2:$Q$295,"ARGH")</f>
        <v>8000</v>
      </c>
      <c r="IO20" s="3">
        <f>_xlfn.XLOOKUP(IO$1,generator!$B$2:$B$295,generator!$Q$2:$Q$295,"ARGH")</f>
        <v>8000</v>
      </c>
      <c r="IP20" s="3">
        <f>_xlfn.XLOOKUP(IP$1,generator!$B$2:$B$295,generator!$Q$2:$Q$295,"ARGH")</f>
        <v>8000</v>
      </c>
      <c r="IQ20" s="3">
        <f>_xlfn.XLOOKUP(IQ$1,generator!$B$2:$B$295,generator!$Q$2:$Q$295,"ARGH")</f>
        <v>8000</v>
      </c>
      <c r="IR20" s="3">
        <f>_xlfn.XLOOKUP(IR$1,generator!$B$2:$B$295,generator!$Q$2:$Q$295,"ARGH")</f>
        <v>8000</v>
      </c>
      <c r="IS20" s="3">
        <f>_xlfn.XLOOKUP(IS$1,generator!$B$2:$B$295,generator!$Q$2:$Q$295,"ARGH")</f>
        <v>8000</v>
      </c>
      <c r="IT20" s="3">
        <f>_xlfn.XLOOKUP(IT$1,generator!$B$2:$B$295,generator!$Q$2:$Q$295,"ARGH")</f>
        <v>8000</v>
      </c>
      <c r="IU20" s="3">
        <f>_xlfn.XLOOKUP(IU$1,generator!$B$2:$B$295,generator!$Q$2:$Q$295,"ARGH")</f>
        <v>8000</v>
      </c>
      <c r="IV20" s="3">
        <f>_xlfn.XLOOKUP(IV$1,generator!$B$2:$B$295,generator!$Q$2:$Q$295,"ARGH")</f>
        <v>8000</v>
      </c>
      <c r="IW20" s="3" t="str">
        <f>_xlfn.XLOOKUP(IW$1,generator!$B$2:$B$295,generator!$Q$2:$Q$295,"ARGH")</f>
        <v>108.19</v>
      </c>
      <c r="IX20" s="3" t="str">
        <f>_xlfn.XLOOKUP(IX$1,generator!$B$2:$B$295,generator!$Q$2:$Q$295,"ARGH")</f>
        <v>108.18</v>
      </c>
      <c r="IY20" s="3" t="str">
        <f>_xlfn.XLOOKUP(IY$1,generator!$B$2:$B$295,generator!$Q$2:$Q$295,"ARGH")</f>
        <v>108.17</v>
      </c>
      <c r="IZ20" s="3" t="str">
        <f>_xlfn.XLOOKUP(IZ$1,generator!$B$2:$B$295,generator!$Q$2:$Q$295,"ARGH")</f>
        <v>40.96</v>
      </c>
      <c r="JA20" s="3">
        <f>_xlfn.XLOOKUP(JA$1,generator!$B$2:$B$295,generator!$Q$2:$Q$295,"ARGH")</f>
        <v>0</v>
      </c>
      <c r="JB20" s="3">
        <f>_xlfn.XLOOKUP(JB$1,generator!$B$2:$B$295,generator!$Q$2:$Q$295,"ARGH")</f>
        <v>0</v>
      </c>
      <c r="JC20" s="3" t="str">
        <f>_xlfn.XLOOKUP(JC$1,generator!$B$2:$B$295,generator!$Q$2:$Q$295,"ARGH")</f>
        <v>75.91</v>
      </c>
      <c r="JD20" s="3" t="str">
        <f>_xlfn.XLOOKUP(JD$1,generator!$B$2:$B$295,generator!$Q$2:$Q$295,"ARGH")</f>
        <v>75.91</v>
      </c>
      <c r="JE20" s="3" t="str">
        <f>_xlfn.XLOOKUP(JE$1,generator!$B$2:$B$295,generator!$Q$2:$Q$295,"ARGH")</f>
        <v>51.59</v>
      </c>
      <c r="JF20" s="3" t="str">
        <f>_xlfn.XLOOKUP(JF$1,generator!$B$2:$B$295,generator!$Q$2:$Q$295,"ARGH")</f>
        <v>111.57</v>
      </c>
      <c r="JG20" s="3">
        <f>_xlfn.XLOOKUP(JG$1,generator!$B$2:$B$295,generator!$Q$2:$Q$295,"ARGH")</f>
        <v>0</v>
      </c>
      <c r="JH20" s="3" t="str">
        <f>_xlfn.XLOOKUP(JH$1,generator!$B$2:$B$295,generator!$Q$2:$Q$295,"ARGH")</f>
        <v>48.65</v>
      </c>
      <c r="JI20" s="3" t="str">
        <f>_xlfn.XLOOKUP(JI$1,generator!$B$2:$B$295,generator!$Q$2:$Q$295,"ARGH")</f>
        <v>71.88</v>
      </c>
      <c r="JJ20" s="3" t="str">
        <f>_xlfn.XLOOKUP(JJ$1,generator!$B$2:$B$295,generator!$Q$2:$Q$295,"ARGH")</f>
        <v>98.17</v>
      </c>
      <c r="JK20" s="3" t="str">
        <f>_xlfn.XLOOKUP(JK$1,generator!$B$2:$B$295,generator!$Q$2:$Q$295,"ARGH")</f>
        <v>98.17</v>
      </c>
      <c r="JL20" s="3" t="str">
        <f>_xlfn.XLOOKUP(JL$1,generator!$B$2:$B$295,generator!$Q$2:$Q$295,"ARGH")</f>
        <v>98.17</v>
      </c>
      <c r="JM20" s="3" t="str">
        <f>_xlfn.XLOOKUP(JM$1,generator!$B$2:$B$295,generator!$Q$2:$Q$295,"ARGH")</f>
        <v>98.17</v>
      </c>
      <c r="JN20" s="3" t="str">
        <f>_xlfn.XLOOKUP(JN$1,generator!$B$2:$B$295,generator!$Q$2:$Q$295,"ARGH")</f>
        <v>98.17</v>
      </c>
      <c r="JO20" s="3" t="str">
        <f>_xlfn.XLOOKUP(JO$1,generator!$B$2:$B$295,generator!$Q$2:$Q$295,"ARGH")</f>
        <v>98.17</v>
      </c>
      <c r="JP20" s="3" t="str">
        <f>_xlfn.XLOOKUP(JP$1,generator!$B$2:$B$295,generator!$Q$2:$Q$295,"ARGH")</f>
        <v>47.53</v>
      </c>
      <c r="JQ20" s="3" t="str">
        <f>_xlfn.XLOOKUP(JQ$1,generator!$B$2:$B$295,generator!$Q$2:$Q$295,"ARGH")</f>
        <v>108.86</v>
      </c>
      <c r="JR20" s="3" t="str">
        <f>_xlfn.XLOOKUP(JR$1,generator!$B$2:$B$295,generator!$Q$2:$Q$295,"ARGH")</f>
        <v>83.15</v>
      </c>
      <c r="JS20" s="3" t="str">
        <f>_xlfn.XLOOKUP(JS$1,generator!$B$2:$B$295,generator!$Q$2:$Q$295,"ARGH")</f>
        <v>83.15</v>
      </c>
      <c r="JT20" s="3" t="str">
        <f>_xlfn.XLOOKUP(JT$1,generator!$B$2:$B$295,generator!$Q$2:$Q$295,"ARGH")</f>
        <v>108.86</v>
      </c>
      <c r="JU20" s="3">
        <f>_xlfn.XLOOKUP(JU$1,generator!$B$2:$B$295,generator!$Q$2:$Q$295,"ARGH")</f>
        <v>0</v>
      </c>
      <c r="JV20" s="3" t="str">
        <f>_xlfn.XLOOKUP(JV$1,generator!$B$2:$B$295,generator!$Q$2:$Q$295,"ARGH")</f>
        <v>77.63</v>
      </c>
      <c r="JW20" s="3" t="str">
        <f>_xlfn.XLOOKUP(JW$1,generator!$B$2:$B$295,generator!$Q$2:$Q$295,"ARGH")</f>
        <v>77.64</v>
      </c>
      <c r="JX20" s="3" t="str">
        <f>_xlfn.XLOOKUP(JX$1,generator!$B$2:$B$295,generator!$Q$2:$Q$295,"ARGH")</f>
        <v>331.49</v>
      </c>
      <c r="JY20" s="3">
        <f>_xlfn.XLOOKUP(JY$1,generator!$B$2:$B$295,generator!$Q$2:$Q$295,"ARGH")</f>
        <v>7000</v>
      </c>
      <c r="JZ20" s="3">
        <f>_xlfn.XLOOKUP(JZ$1,generator!$B$2:$B$295,generator!$Q$2:$Q$295,"ARGH")</f>
        <v>0</v>
      </c>
      <c r="KA20" s="3">
        <f>_xlfn.XLOOKUP(KA$1,generator!$B$2:$B$295,generator!$Q$2:$Q$295,"ARGH")</f>
        <v>0</v>
      </c>
      <c r="KB20" s="3">
        <f>_xlfn.XLOOKUP(KB$1,generator!$B$2:$B$295,generator!$Q$2:$Q$295,"ARGH")</f>
        <v>0</v>
      </c>
      <c r="KC20" s="3">
        <f>_xlfn.XLOOKUP(KC$1,generator!$B$2:$B$295,generator!$Q$2:$Q$295,"ARGH")</f>
        <v>0</v>
      </c>
    </row>
    <row r="21" spans="1:289" x14ac:dyDescent="0.3">
      <c r="A21" s="4" t="s">
        <v>3016</v>
      </c>
      <c r="B21" s="3">
        <v>15000</v>
      </c>
      <c r="C21" s="3">
        <v>15000</v>
      </c>
      <c r="D21" s="3">
        <v>15000</v>
      </c>
      <c r="E21" s="3">
        <f>_xlfn.XLOOKUP(E$1,generator!$B$2:$B$295,generator!$Q$2:$Q$295,"ARGH")</f>
        <v>9000</v>
      </c>
      <c r="F21" s="3">
        <f>_xlfn.XLOOKUP(F$1,generator!$B$2:$B$295,generator!$Q$2:$Q$295,"ARGH")</f>
        <v>9000</v>
      </c>
      <c r="G21" s="3">
        <f>_xlfn.XLOOKUP(G$1,generator!$B$2:$B$295,generator!$Q$2:$Q$295,"ARGH")</f>
        <v>9000</v>
      </c>
      <c r="H21" s="3">
        <f>_xlfn.XLOOKUP(H$1,generator!$B$2:$B$295,generator!$Q$2:$Q$295,"ARGH")</f>
        <v>9000</v>
      </c>
      <c r="I21" s="3">
        <f>_xlfn.XLOOKUP(I$1,generator!$B$2:$B$295,generator!$Q$2:$Q$295,"ARGH")</f>
        <v>9000</v>
      </c>
      <c r="J21" s="3">
        <f>_xlfn.XLOOKUP(J$1,generator!$B$2:$B$295,generator!$Q$2:$Q$295,"ARGH")</f>
        <v>9000</v>
      </c>
      <c r="K21" s="3">
        <f>_xlfn.XLOOKUP(K$1,generator!$B$2:$B$295,generator!$Q$2:$Q$295,"ARGH")</f>
        <v>9000</v>
      </c>
      <c r="L21" s="3">
        <f>_xlfn.XLOOKUP(L$1,generator!$B$2:$B$295,generator!$Q$2:$Q$295,"ARGH")</f>
        <v>9000</v>
      </c>
      <c r="M21" s="3">
        <f>_xlfn.XLOOKUP(M$1,generator!$B$2:$B$295,generator!$Q$2:$Q$295,"ARGH")</f>
        <v>9000</v>
      </c>
      <c r="N21" s="3">
        <f>_xlfn.XLOOKUP(N$1,generator!$B$2:$B$295,generator!$Q$2:$Q$295,"ARGH")</f>
        <v>9000</v>
      </c>
      <c r="O21" s="3">
        <f>_xlfn.XLOOKUP(O$1,generator!$B$2:$B$295,generator!$Q$2:$Q$295,"ARGH")</f>
        <v>9000</v>
      </c>
      <c r="P21" s="3">
        <f>_xlfn.XLOOKUP(P$1,generator!$B$2:$B$295,generator!$Q$2:$Q$295,"ARGH")</f>
        <v>9000</v>
      </c>
      <c r="Q21" s="3">
        <f>_xlfn.XLOOKUP(Q$1,generator!$B$2:$B$295,generator!$Q$2:$Q$295,"ARGH")</f>
        <v>9000</v>
      </c>
      <c r="R21" s="3">
        <f>_xlfn.XLOOKUP(R$1,generator!$B$2:$B$295,generator!$Q$2:$Q$295,"ARGH")</f>
        <v>9000</v>
      </c>
      <c r="S21" s="3">
        <f>_xlfn.XLOOKUP(S$1,generator!$B$2:$B$295,generator!$Q$2:$Q$295,"ARGH")</f>
        <v>9000</v>
      </c>
      <c r="T21" s="3">
        <f>_xlfn.XLOOKUP(T$1,generator!$B$2:$B$295,generator!$Q$2:$Q$295,"ARGH")</f>
        <v>9000</v>
      </c>
      <c r="U21" s="3">
        <f>_xlfn.XLOOKUP(U$1,generator!$B$2:$B$295,generator!$Q$2:$Q$295,"ARGH")</f>
        <v>9000</v>
      </c>
      <c r="V21" s="3">
        <f>_xlfn.XLOOKUP(V$1,generator!$B$2:$B$295,generator!$Q$2:$Q$295,"ARGH")</f>
        <v>9000</v>
      </c>
      <c r="W21" s="3">
        <f>_xlfn.XLOOKUP(W$1,generator!$B$2:$B$295,generator!$Q$2:$Q$295,"ARGH")</f>
        <v>9000</v>
      </c>
      <c r="X21" s="3">
        <f>_xlfn.XLOOKUP(X$1,generator!$B$2:$B$295,generator!$Q$2:$Q$295,"ARGH")</f>
        <v>9000</v>
      </c>
      <c r="Y21" s="3">
        <f>_xlfn.XLOOKUP(Y$1,generator!$B$2:$B$295,generator!$Q$2:$Q$295,"ARGH")</f>
        <v>9000</v>
      </c>
      <c r="Z21" s="3">
        <f>_xlfn.XLOOKUP(Z$1,generator!$B$2:$B$295,generator!$Q$2:$Q$295,"ARGH")</f>
        <v>9000</v>
      </c>
      <c r="AA21" s="3">
        <f>_xlfn.XLOOKUP(AA$1,generator!$B$2:$B$295,generator!$Q$2:$Q$295,"ARGH")</f>
        <v>9000</v>
      </c>
      <c r="AB21" s="3">
        <f>_xlfn.XLOOKUP(AB$1,generator!$B$2:$B$295,generator!$Q$2:$Q$295,"ARGH")</f>
        <v>9000</v>
      </c>
      <c r="AC21" s="3">
        <f>_xlfn.XLOOKUP(AC$1,generator!$B$2:$B$295,generator!$Q$2:$Q$295,"ARGH")</f>
        <v>9000</v>
      </c>
      <c r="AD21" s="3">
        <f>_xlfn.XLOOKUP(AD$1,generator!$B$2:$B$295,generator!$Q$2:$Q$295,"ARGH")</f>
        <v>9000</v>
      </c>
      <c r="AE21" s="3">
        <f>_xlfn.XLOOKUP(AE$1,generator!$B$2:$B$295,generator!$Q$2:$Q$295,"ARGH")</f>
        <v>9000</v>
      </c>
      <c r="AF21" s="3">
        <f>_xlfn.XLOOKUP(AF$1,generator!$B$2:$B$295,generator!$Q$2:$Q$295,"ARGH")</f>
        <v>9000</v>
      </c>
      <c r="AG21" s="3">
        <f>_xlfn.XLOOKUP(AG$1,generator!$B$2:$B$295,generator!$Q$2:$Q$295,"ARGH")</f>
        <v>9000</v>
      </c>
      <c r="AH21" s="3">
        <f>_xlfn.XLOOKUP(AH$1,generator!$B$2:$B$295,generator!$Q$2:$Q$295,"ARGH")</f>
        <v>9000</v>
      </c>
      <c r="AI21" s="3">
        <f>_xlfn.XLOOKUP(AI$1,generator!$B$2:$B$295,generator!$Q$2:$Q$295,"ARGH")</f>
        <v>9000</v>
      </c>
      <c r="AJ21" s="3">
        <f>_xlfn.XLOOKUP(AJ$1,generator!$B$2:$B$295,generator!$Q$2:$Q$295,"ARGH")</f>
        <v>9000</v>
      </c>
      <c r="AK21" s="3">
        <f>_xlfn.XLOOKUP(AK$1,generator!$B$2:$B$295,generator!$Q$2:$Q$295,"ARGH")</f>
        <v>9000</v>
      </c>
      <c r="AL21" s="3">
        <f>_xlfn.XLOOKUP(AL$1,generator!$B$2:$B$295,generator!$Q$2:$Q$295,"ARGH")</f>
        <v>9000</v>
      </c>
      <c r="AM21" s="3">
        <f>_xlfn.XLOOKUP(AM$1,generator!$B$2:$B$295,generator!$Q$2:$Q$295,"ARGH")</f>
        <v>9000</v>
      </c>
      <c r="AN21" s="3">
        <f>_xlfn.XLOOKUP(AN$1,generator!$B$2:$B$295,generator!$Q$2:$Q$295,"ARGH")</f>
        <v>9000</v>
      </c>
      <c r="AO21" s="3">
        <f>_xlfn.XLOOKUP(AO$1,generator!$B$2:$B$295,generator!$Q$2:$Q$295,"ARGH")</f>
        <v>9000</v>
      </c>
      <c r="AP21" s="3">
        <f>_xlfn.XLOOKUP(AP$1,generator!$B$2:$B$295,generator!$Q$2:$Q$295,"ARGH")</f>
        <v>9000</v>
      </c>
      <c r="AQ21" s="3">
        <f>_xlfn.XLOOKUP(AQ$1,generator!$B$2:$B$295,generator!$Q$2:$Q$295,"ARGH")</f>
        <v>9000</v>
      </c>
      <c r="AR21" s="3">
        <f>_xlfn.XLOOKUP(AR$1,generator!$B$2:$B$295,generator!$Q$2:$Q$295,"ARGH")</f>
        <v>9000</v>
      </c>
      <c r="AS21" s="3">
        <f>_xlfn.XLOOKUP(AS$1,generator!$B$2:$B$295,generator!$Q$2:$Q$295,"ARGH")</f>
        <v>9000</v>
      </c>
      <c r="AT21" s="3">
        <f>_xlfn.XLOOKUP(AT$1,generator!$B$2:$B$295,generator!$Q$2:$Q$295,"ARGH")</f>
        <v>9000</v>
      </c>
      <c r="AU21" s="3">
        <f>_xlfn.XLOOKUP(AU$1,generator!$B$2:$B$295,generator!$Q$2:$Q$295,"ARGH")</f>
        <v>9000</v>
      </c>
      <c r="AV21" s="3">
        <f>_xlfn.XLOOKUP(AV$1,generator!$B$2:$B$295,generator!$Q$2:$Q$295,"ARGH")</f>
        <v>9000</v>
      </c>
      <c r="AW21" s="3">
        <f>_xlfn.XLOOKUP(AW$1,generator!$B$2:$B$295,generator!$Q$2:$Q$295,"ARGH")</f>
        <v>9000</v>
      </c>
      <c r="AX21" s="3">
        <f>_xlfn.XLOOKUP(AX$1,generator!$B$2:$B$295,generator!$Q$2:$Q$295,"ARGH")</f>
        <v>9000</v>
      </c>
      <c r="AY21" s="3">
        <f>_xlfn.XLOOKUP(AY$1,generator!$B$2:$B$295,generator!$Q$2:$Q$295,"ARGH")</f>
        <v>9000</v>
      </c>
      <c r="AZ21" s="3">
        <f>_xlfn.XLOOKUP(AZ$1,generator!$B$2:$B$295,generator!$Q$2:$Q$295,"ARGH")</f>
        <v>9000</v>
      </c>
      <c r="BA21" s="3">
        <f>_xlfn.XLOOKUP(BA$1,generator!$B$2:$B$295,generator!$Q$2:$Q$295,"ARGH")</f>
        <v>9000</v>
      </c>
      <c r="BB21" s="3">
        <f>_xlfn.XLOOKUP(BB$1,generator!$B$2:$B$295,generator!$Q$2:$Q$295,"ARGH")</f>
        <v>9000</v>
      </c>
      <c r="BC21" s="3">
        <f>_xlfn.XLOOKUP(BC$1,generator!$B$2:$B$295,generator!$Q$2:$Q$295,"ARGH")</f>
        <v>9000</v>
      </c>
      <c r="BD21" s="3">
        <f>_xlfn.XLOOKUP(BD$1,generator!$B$2:$B$295,generator!$Q$2:$Q$295,"ARGH")</f>
        <v>9000</v>
      </c>
      <c r="BE21" s="3">
        <f>_xlfn.XLOOKUP(BE$1,generator!$B$2:$B$295,generator!$Q$2:$Q$295,"ARGH")</f>
        <v>9000</v>
      </c>
      <c r="BF21" s="3">
        <f>_xlfn.XLOOKUP(BF$1,generator!$B$2:$B$295,generator!$Q$2:$Q$295,"ARGH")</f>
        <v>9000</v>
      </c>
      <c r="BG21" s="3">
        <f>_xlfn.XLOOKUP(BG$1,generator!$B$2:$B$295,generator!$Q$2:$Q$295,"ARGH")</f>
        <v>9000</v>
      </c>
      <c r="BH21" s="3">
        <f>_xlfn.XLOOKUP(BH$1,generator!$B$2:$B$295,generator!$Q$2:$Q$295,"ARGH")</f>
        <v>9000</v>
      </c>
      <c r="BI21" s="3">
        <f>_xlfn.XLOOKUP(BI$1,generator!$B$2:$B$295,generator!$Q$2:$Q$295,"ARGH")</f>
        <v>9000</v>
      </c>
      <c r="BJ21" s="3">
        <f>_xlfn.XLOOKUP(BJ$1,generator!$B$2:$B$295,generator!$Q$2:$Q$295,"ARGH")</f>
        <v>9000</v>
      </c>
      <c r="BK21" s="3">
        <f>_xlfn.XLOOKUP(BK$1,generator!$B$2:$B$295,generator!$Q$2:$Q$295,"ARGH")</f>
        <v>9000</v>
      </c>
      <c r="BL21" s="3">
        <f>_xlfn.XLOOKUP(BL$1,generator!$B$2:$B$295,generator!$Q$2:$Q$295,"ARGH")</f>
        <v>9000</v>
      </c>
      <c r="BM21" s="3">
        <f>_xlfn.XLOOKUP(BM$1,generator!$B$2:$B$295,generator!$Q$2:$Q$295,"ARGH")</f>
        <v>9000</v>
      </c>
      <c r="BN21" s="3">
        <f>_xlfn.XLOOKUP(BN$1,generator!$B$2:$B$295,generator!$Q$2:$Q$295,"ARGH")</f>
        <v>9000</v>
      </c>
      <c r="BO21" s="3">
        <f>_xlfn.XLOOKUP(BO$1,generator!$B$2:$B$295,generator!$Q$2:$Q$295,"ARGH")</f>
        <v>9000</v>
      </c>
      <c r="BP21" s="3">
        <f>_xlfn.XLOOKUP(BP$1,generator!$B$2:$B$295,generator!$Q$2:$Q$295,"ARGH")</f>
        <v>9000</v>
      </c>
      <c r="BQ21" s="3">
        <f>_xlfn.XLOOKUP(BQ$1,generator!$B$2:$B$295,generator!$Q$2:$Q$295,"ARGH")</f>
        <v>9000</v>
      </c>
      <c r="BR21" s="3">
        <f>_xlfn.XLOOKUP(BR$1,generator!$B$2:$B$295,generator!$Q$2:$Q$295,"ARGH")</f>
        <v>9000</v>
      </c>
      <c r="BS21" s="3">
        <f>_xlfn.XLOOKUP(BS$1,generator!$B$2:$B$295,generator!$Q$2:$Q$295,"ARGH")</f>
        <v>9000</v>
      </c>
      <c r="BT21" s="3">
        <f>_xlfn.XLOOKUP(BT$1,generator!$B$2:$B$295,generator!$Q$2:$Q$295,"ARGH")</f>
        <v>9000</v>
      </c>
      <c r="BU21" s="3">
        <f>_xlfn.XLOOKUP(BU$1,generator!$B$2:$B$295,generator!$Q$2:$Q$295,"ARGH")</f>
        <v>9000</v>
      </c>
      <c r="BV21" s="3">
        <f>_xlfn.XLOOKUP(BV$1,generator!$B$2:$B$295,generator!$Q$2:$Q$295,"ARGH")</f>
        <v>9000</v>
      </c>
      <c r="BW21" s="3">
        <f>_xlfn.XLOOKUP(BW$1,generator!$B$2:$B$295,generator!$Q$2:$Q$295,"ARGH")</f>
        <v>9000</v>
      </c>
      <c r="BX21" s="3">
        <f>_xlfn.XLOOKUP(BX$1,generator!$B$2:$B$295,generator!$Q$2:$Q$295,"ARGH")</f>
        <v>9000</v>
      </c>
      <c r="BY21" s="3">
        <f>_xlfn.XLOOKUP(BY$1,generator!$B$2:$B$295,generator!$Q$2:$Q$295,"ARGH")</f>
        <v>9000</v>
      </c>
      <c r="BZ21" s="3">
        <f>_xlfn.XLOOKUP(BZ$1,generator!$B$2:$B$295,generator!$Q$2:$Q$295,"ARGH")</f>
        <v>9000</v>
      </c>
      <c r="CA21" s="3">
        <f>_xlfn.XLOOKUP(CA$1,generator!$B$2:$B$295,generator!$Q$2:$Q$295,"ARGH")</f>
        <v>9000</v>
      </c>
      <c r="CB21" s="3">
        <f>_xlfn.XLOOKUP(CB$1,generator!$B$2:$B$295,generator!$Q$2:$Q$295,"ARGH")</f>
        <v>9000</v>
      </c>
      <c r="CC21" s="3">
        <f>_xlfn.XLOOKUP(CC$1,generator!$B$2:$B$295,generator!$Q$2:$Q$295,"ARGH")</f>
        <v>9000</v>
      </c>
      <c r="CD21" s="3">
        <f>_xlfn.XLOOKUP(CD$1,generator!$B$2:$B$295,generator!$Q$2:$Q$295,"ARGH")</f>
        <v>9000</v>
      </c>
      <c r="CE21" s="3">
        <f>_xlfn.XLOOKUP(CE$1,generator!$B$2:$B$295,generator!$Q$2:$Q$295,"ARGH")</f>
        <v>9000</v>
      </c>
      <c r="CF21" s="3">
        <f>_xlfn.XLOOKUP(CF$1,generator!$B$2:$B$295,generator!$Q$2:$Q$295,"ARGH")</f>
        <v>9000</v>
      </c>
      <c r="CG21" s="3">
        <f>_xlfn.XLOOKUP(CG$1,generator!$B$2:$B$295,generator!$Q$2:$Q$295,"ARGH")</f>
        <v>9000</v>
      </c>
      <c r="CH21" s="3">
        <f>_xlfn.XLOOKUP(CH$1,generator!$B$2:$B$295,generator!$Q$2:$Q$295,"ARGH")</f>
        <v>9000</v>
      </c>
      <c r="CI21" s="3">
        <f>_xlfn.XLOOKUP(CI$1,generator!$B$2:$B$295,generator!$Q$2:$Q$295,"ARGH")</f>
        <v>9000</v>
      </c>
      <c r="CJ21" s="3">
        <f>_xlfn.XLOOKUP(CJ$1,generator!$B$2:$B$295,generator!$Q$2:$Q$295,"ARGH")</f>
        <v>9000</v>
      </c>
      <c r="CK21" s="3">
        <f>_xlfn.XLOOKUP(CK$1,generator!$B$2:$B$295,generator!$Q$2:$Q$295,"ARGH")</f>
        <v>9000</v>
      </c>
      <c r="CL21" s="3">
        <f>_xlfn.XLOOKUP(CL$1,generator!$B$2:$B$295,generator!$Q$2:$Q$295,"ARGH")</f>
        <v>9000</v>
      </c>
      <c r="CM21" s="3">
        <f>_xlfn.XLOOKUP(CM$1,generator!$B$2:$B$295,generator!$Q$2:$Q$295,"ARGH")</f>
        <v>9000</v>
      </c>
      <c r="CN21" s="3">
        <f>_xlfn.XLOOKUP(CN$1,generator!$B$2:$B$295,generator!$Q$2:$Q$295,"ARGH")</f>
        <v>9000</v>
      </c>
      <c r="CO21" s="3">
        <f>_xlfn.XLOOKUP(CO$1,generator!$B$2:$B$295,generator!$Q$2:$Q$295,"ARGH")</f>
        <v>9000</v>
      </c>
      <c r="CP21" s="3">
        <f>_xlfn.XLOOKUP(CP$1,generator!$B$2:$B$295,generator!$Q$2:$Q$295,"ARGH")</f>
        <v>9000</v>
      </c>
      <c r="CQ21" s="3">
        <f>_xlfn.XLOOKUP(CQ$1,generator!$B$2:$B$295,generator!$Q$2:$Q$295,"ARGH")</f>
        <v>9000</v>
      </c>
      <c r="CR21" s="3">
        <f>_xlfn.XLOOKUP(CR$1,generator!$B$2:$B$295,generator!$Q$2:$Q$295,"ARGH")</f>
        <v>9000</v>
      </c>
      <c r="CS21" s="3">
        <f>_xlfn.XLOOKUP(CS$1,generator!$B$2:$B$295,generator!$Q$2:$Q$295,"ARGH")</f>
        <v>9000</v>
      </c>
      <c r="CT21" s="3">
        <f>_xlfn.XLOOKUP(CT$1,generator!$B$2:$B$295,generator!$Q$2:$Q$295,"ARGH")</f>
        <v>9000</v>
      </c>
      <c r="CU21" s="3">
        <f>_xlfn.XLOOKUP(CU$1,generator!$B$2:$B$295,generator!$Q$2:$Q$295,"ARGH")</f>
        <v>9000</v>
      </c>
      <c r="CV21" s="3">
        <f>_xlfn.XLOOKUP(CV$1,generator!$B$2:$B$295,generator!$Q$2:$Q$295,"ARGH")</f>
        <v>9000</v>
      </c>
      <c r="CW21" s="3">
        <f>_xlfn.XLOOKUP(CW$1,generator!$B$2:$B$295,generator!$Q$2:$Q$295,"ARGH")</f>
        <v>9000</v>
      </c>
      <c r="CX21" s="3">
        <f>_xlfn.XLOOKUP(CX$1,generator!$B$2:$B$295,generator!$Q$2:$Q$295,"ARGH")</f>
        <v>9000</v>
      </c>
      <c r="CY21" s="3">
        <f>_xlfn.XLOOKUP(CY$1,generator!$B$2:$B$295,generator!$Q$2:$Q$295,"ARGH")</f>
        <v>9000</v>
      </c>
      <c r="CZ21" s="3">
        <f>_xlfn.XLOOKUP(CZ$1,generator!$B$2:$B$295,generator!$Q$2:$Q$295,"ARGH")</f>
        <v>9000</v>
      </c>
      <c r="DA21" s="3">
        <f>_xlfn.XLOOKUP(DA$1,generator!$B$2:$B$295,generator!$Q$2:$Q$295,"ARGH")</f>
        <v>9000</v>
      </c>
      <c r="DB21" s="3">
        <f>_xlfn.XLOOKUP(DB$1,generator!$B$2:$B$295,generator!$Q$2:$Q$295,"ARGH")</f>
        <v>9000</v>
      </c>
      <c r="DC21" s="3">
        <f>_xlfn.XLOOKUP(DC$1,generator!$B$2:$B$295,generator!$Q$2:$Q$295,"ARGH")</f>
        <v>9000</v>
      </c>
      <c r="DD21" s="3">
        <f>_xlfn.XLOOKUP(DD$1,generator!$B$2:$B$295,generator!$Q$2:$Q$295,"ARGH")</f>
        <v>9000</v>
      </c>
      <c r="DE21" s="3">
        <f>_xlfn.XLOOKUP(DE$1,generator!$B$2:$B$295,generator!$Q$2:$Q$295,"ARGH")</f>
        <v>9000</v>
      </c>
      <c r="DF21" s="3">
        <f>_xlfn.XLOOKUP(DF$1,generator!$B$2:$B$295,generator!$Q$2:$Q$295,"ARGH")</f>
        <v>9000</v>
      </c>
      <c r="DG21" s="3">
        <f>_xlfn.XLOOKUP(DG$1,generator!$B$2:$B$295,generator!$Q$2:$Q$295,"ARGH")</f>
        <v>9000</v>
      </c>
      <c r="DH21" s="3">
        <f>_xlfn.XLOOKUP(DH$1,generator!$B$2:$B$295,generator!$Q$2:$Q$295,"ARGH")</f>
        <v>9000</v>
      </c>
      <c r="DI21" s="3">
        <f>_xlfn.XLOOKUP(DI$1,generator!$B$2:$B$295,generator!$Q$2:$Q$295,"ARGH")</f>
        <v>9000</v>
      </c>
      <c r="DJ21" s="3">
        <f>_xlfn.XLOOKUP(DJ$1,generator!$B$2:$B$295,generator!$Q$2:$Q$295,"ARGH")</f>
        <v>9000</v>
      </c>
      <c r="DK21" s="3">
        <f>_xlfn.XLOOKUP(DK$1,generator!$B$2:$B$295,generator!$Q$2:$Q$295,"ARGH")</f>
        <v>9000</v>
      </c>
      <c r="DL21" s="3">
        <f>_xlfn.XLOOKUP(DL$1,generator!$B$2:$B$295,generator!$Q$2:$Q$295,"ARGH")</f>
        <v>9000</v>
      </c>
      <c r="DM21" s="3">
        <f>_xlfn.XLOOKUP(DM$1,generator!$B$2:$B$295,generator!$Q$2:$Q$295,"ARGH")</f>
        <v>9000</v>
      </c>
      <c r="DN21" s="3">
        <f>_xlfn.XLOOKUP(DN$1,generator!$B$2:$B$295,generator!$Q$2:$Q$295,"ARGH")</f>
        <v>9000</v>
      </c>
      <c r="DO21" s="3">
        <f>_xlfn.XLOOKUP(DO$1,generator!$B$2:$B$295,generator!$Q$2:$Q$295,"ARGH")</f>
        <v>9000</v>
      </c>
      <c r="DP21" s="3">
        <f>_xlfn.XLOOKUP(DP$1,generator!$B$2:$B$295,generator!$Q$2:$Q$295,"ARGH")</f>
        <v>9000</v>
      </c>
      <c r="DQ21" s="3">
        <f>_xlfn.XLOOKUP(DQ$1,generator!$B$2:$B$295,generator!$Q$2:$Q$295,"ARGH")</f>
        <v>9000</v>
      </c>
      <c r="DR21" s="3">
        <f>_xlfn.XLOOKUP(DR$1,generator!$B$2:$B$295,generator!$Q$2:$Q$295,"ARGH")</f>
        <v>9000</v>
      </c>
      <c r="DS21" s="3">
        <f>_xlfn.XLOOKUP(DS$1,generator!$B$2:$B$295,generator!$Q$2:$Q$295,"ARGH")</f>
        <v>9000</v>
      </c>
      <c r="DT21" s="3">
        <f>_xlfn.XLOOKUP(DT$1,generator!$B$2:$B$295,generator!$Q$2:$Q$295,"ARGH")</f>
        <v>9000</v>
      </c>
      <c r="DU21" s="3">
        <f>_xlfn.XLOOKUP(DU$1,generator!$B$2:$B$295,generator!$Q$2:$Q$295,"ARGH")</f>
        <v>9000</v>
      </c>
      <c r="DV21" s="3">
        <f>_xlfn.XLOOKUP(DV$1,generator!$B$2:$B$295,generator!$Q$2:$Q$295,"ARGH")</f>
        <v>9000</v>
      </c>
      <c r="DW21" s="3">
        <f>_xlfn.XLOOKUP(DW$1,generator!$B$2:$B$295,generator!$Q$2:$Q$295,"ARGH")</f>
        <v>9000</v>
      </c>
      <c r="DX21" s="3">
        <f>_xlfn.XLOOKUP(DX$1,generator!$B$2:$B$295,generator!$Q$2:$Q$295,"ARGH")</f>
        <v>9000</v>
      </c>
      <c r="DY21" s="3">
        <f>_xlfn.XLOOKUP(DY$1,generator!$B$2:$B$295,generator!$Q$2:$Q$295,"ARGH")</f>
        <v>9000</v>
      </c>
      <c r="DZ21" s="3">
        <f>_xlfn.XLOOKUP(DZ$1,generator!$B$2:$B$295,generator!$Q$2:$Q$295,"ARGH")</f>
        <v>9000</v>
      </c>
      <c r="EA21" s="3">
        <f>_xlfn.XLOOKUP(EA$1,generator!$B$2:$B$295,generator!$Q$2:$Q$295,"ARGH")</f>
        <v>9000</v>
      </c>
      <c r="EB21" s="3">
        <f>_xlfn.XLOOKUP(EB$1,generator!$B$2:$B$295,generator!$Q$2:$Q$295,"ARGH")</f>
        <v>9000</v>
      </c>
      <c r="EC21" s="3">
        <f>_xlfn.XLOOKUP(EC$1,generator!$B$2:$B$295,generator!$Q$2:$Q$295,"ARGH")</f>
        <v>9000</v>
      </c>
      <c r="ED21" s="3">
        <f>_xlfn.XLOOKUP(ED$1,generator!$B$2:$B$295,generator!$Q$2:$Q$295,"ARGH")</f>
        <v>9000</v>
      </c>
      <c r="EE21" s="3">
        <f>_xlfn.XLOOKUP(EE$1,generator!$B$2:$B$295,generator!$Q$2:$Q$295,"ARGH")</f>
        <v>9000</v>
      </c>
      <c r="EF21" s="3">
        <f>_xlfn.XLOOKUP(EF$1,generator!$B$2:$B$295,generator!$Q$2:$Q$295,"ARGH")</f>
        <v>9000</v>
      </c>
      <c r="EG21" s="3">
        <f>_xlfn.XLOOKUP(EG$1,generator!$B$2:$B$295,generator!$Q$2:$Q$295,"ARGH")</f>
        <v>9000</v>
      </c>
      <c r="EH21" s="3">
        <f>_xlfn.XLOOKUP(EH$1,generator!$B$2:$B$295,generator!$Q$2:$Q$295,"ARGH")</f>
        <v>9000</v>
      </c>
      <c r="EI21" s="3">
        <f>_xlfn.XLOOKUP(EI$1,generator!$B$2:$B$295,generator!$Q$2:$Q$295,"ARGH")</f>
        <v>9000</v>
      </c>
      <c r="EJ21" s="3">
        <f>_xlfn.XLOOKUP(EJ$1,generator!$B$2:$B$295,generator!$Q$2:$Q$295,"ARGH")</f>
        <v>9000</v>
      </c>
      <c r="EK21" s="3">
        <f>_xlfn.XLOOKUP(EK$1,generator!$B$2:$B$295,generator!$Q$2:$Q$295,"ARGH")</f>
        <v>9000</v>
      </c>
      <c r="EL21" s="3">
        <f>_xlfn.XLOOKUP(EL$1,generator!$B$2:$B$295,generator!$Q$2:$Q$295,"ARGH")</f>
        <v>9000</v>
      </c>
      <c r="EM21" s="3">
        <f>_xlfn.XLOOKUP(EM$1,generator!$B$2:$B$295,generator!$Q$2:$Q$295,"ARGH")</f>
        <v>9000</v>
      </c>
      <c r="EN21" s="3">
        <f>_xlfn.XLOOKUP(EN$1,generator!$B$2:$B$295,generator!$Q$2:$Q$295,"ARGH")</f>
        <v>9000</v>
      </c>
      <c r="EO21" s="3">
        <f>_xlfn.XLOOKUP(EO$1,generator!$B$2:$B$295,generator!$Q$2:$Q$295,"ARGH")</f>
        <v>9000</v>
      </c>
      <c r="EP21" s="3">
        <f>_xlfn.XLOOKUP(EP$1,generator!$B$2:$B$295,generator!$Q$2:$Q$295,"ARGH")</f>
        <v>9000</v>
      </c>
      <c r="EQ21" s="3">
        <f>_xlfn.XLOOKUP(EQ$1,generator!$B$2:$B$295,generator!$Q$2:$Q$295,"ARGH")</f>
        <v>9000</v>
      </c>
      <c r="ER21" s="3">
        <f>_xlfn.XLOOKUP(ER$1,generator!$B$2:$B$295,generator!$Q$2:$Q$295,"ARGH")</f>
        <v>9000</v>
      </c>
      <c r="ES21" s="3">
        <f>_xlfn.XLOOKUP(ES$1,generator!$B$2:$B$295,generator!$Q$2:$Q$295,"ARGH")</f>
        <v>9000</v>
      </c>
      <c r="ET21" s="3">
        <f>_xlfn.XLOOKUP(ET$1,generator!$B$2:$B$295,generator!$Q$2:$Q$295,"ARGH")</f>
        <v>9000</v>
      </c>
      <c r="EU21" s="3">
        <f>_xlfn.XLOOKUP(EU$1,generator!$B$2:$B$295,generator!$Q$2:$Q$295,"ARGH")</f>
        <v>9000</v>
      </c>
      <c r="EV21" s="3">
        <f>_xlfn.XLOOKUP(EV$1,generator!$B$2:$B$295,generator!$Q$2:$Q$295,"ARGH")</f>
        <v>9000</v>
      </c>
      <c r="EW21" s="3">
        <f>_xlfn.XLOOKUP(EW$1,generator!$B$2:$B$295,generator!$Q$2:$Q$295,"ARGH")</f>
        <v>9000</v>
      </c>
      <c r="EX21" s="3">
        <f>_xlfn.XLOOKUP(EX$1,generator!$B$2:$B$295,generator!$Q$2:$Q$295,"ARGH")</f>
        <v>9000</v>
      </c>
      <c r="EY21" s="3">
        <f>_xlfn.XLOOKUP(EY$1,generator!$B$2:$B$295,generator!$Q$2:$Q$295,"ARGH")</f>
        <v>9000</v>
      </c>
      <c r="EZ21" s="3">
        <f>_xlfn.XLOOKUP(EZ$1,generator!$B$2:$B$295,generator!$Q$2:$Q$295,"ARGH")</f>
        <v>9000</v>
      </c>
      <c r="FA21" s="3">
        <f>_xlfn.XLOOKUP(FA$1,generator!$B$2:$B$295,generator!$Q$2:$Q$295,"ARGH")</f>
        <v>9000</v>
      </c>
      <c r="FB21" s="3">
        <f>_xlfn.XLOOKUP(FB$1,generator!$B$2:$B$295,generator!$Q$2:$Q$295,"ARGH")</f>
        <v>9000</v>
      </c>
      <c r="FC21" s="3">
        <f>_xlfn.XLOOKUP(FC$1,generator!$B$2:$B$295,generator!$Q$2:$Q$295,"ARGH")</f>
        <v>9000</v>
      </c>
      <c r="FD21" s="3">
        <f>_xlfn.XLOOKUP(FD$1,generator!$B$2:$B$295,generator!$Q$2:$Q$295,"ARGH")</f>
        <v>9000</v>
      </c>
      <c r="FE21" s="3">
        <f>_xlfn.XLOOKUP(FE$1,generator!$B$2:$B$295,generator!$Q$2:$Q$295,"ARGH")</f>
        <v>9000</v>
      </c>
      <c r="FF21" s="3">
        <f>_xlfn.XLOOKUP(FF$1,generator!$B$2:$B$295,generator!$Q$2:$Q$295,"ARGH")</f>
        <v>9000</v>
      </c>
      <c r="FG21" s="3">
        <f>_xlfn.XLOOKUP(FG$1,generator!$B$2:$B$295,generator!$Q$2:$Q$295,"ARGH")</f>
        <v>9000</v>
      </c>
      <c r="FH21" s="3">
        <f>_xlfn.XLOOKUP(FH$1,generator!$B$2:$B$295,generator!$Q$2:$Q$295,"ARGH")</f>
        <v>9000</v>
      </c>
      <c r="FI21" s="3">
        <f>_xlfn.XLOOKUP(FI$1,generator!$B$2:$B$295,generator!$Q$2:$Q$295,"ARGH")</f>
        <v>9000</v>
      </c>
      <c r="FJ21" s="3">
        <f>_xlfn.XLOOKUP(FJ$1,generator!$B$2:$B$295,generator!$Q$2:$Q$295,"ARGH")</f>
        <v>9000</v>
      </c>
      <c r="FK21" s="3">
        <f>_xlfn.XLOOKUP(FK$1,generator!$B$2:$B$295,generator!$Q$2:$Q$295,"ARGH")</f>
        <v>9000</v>
      </c>
      <c r="FL21" s="3">
        <f>_xlfn.XLOOKUP(FL$1,generator!$B$2:$B$295,generator!$Q$2:$Q$295,"ARGH")</f>
        <v>9000</v>
      </c>
      <c r="FM21" s="3">
        <f>_xlfn.XLOOKUP(FM$1,generator!$B$2:$B$295,generator!$Q$2:$Q$295,"ARGH")</f>
        <v>9000</v>
      </c>
      <c r="FN21" s="3">
        <f>_xlfn.XLOOKUP(FN$1,generator!$B$2:$B$295,generator!$Q$2:$Q$295,"ARGH")</f>
        <v>9000</v>
      </c>
      <c r="FO21" s="3">
        <f>_xlfn.XLOOKUP(FO$1,generator!$B$2:$B$295,generator!$Q$2:$Q$295,"ARGH")</f>
        <v>9000</v>
      </c>
      <c r="FP21" s="3">
        <f>_xlfn.XLOOKUP(FP$1,generator!$B$2:$B$295,generator!$Q$2:$Q$295,"ARGH")</f>
        <v>9000</v>
      </c>
      <c r="FQ21" s="3">
        <f>_xlfn.XLOOKUP(FQ$1,generator!$B$2:$B$295,generator!$Q$2:$Q$295,"ARGH")</f>
        <v>9000</v>
      </c>
      <c r="FR21" s="3">
        <f>_xlfn.XLOOKUP(FR$1,generator!$B$2:$B$295,generator!$Q$2:$Q$295,"ARGH")</f>
        <v>9000</v>
      </c>
      <c r="FS21" s="3">
        <f>_xlfn.XLOOKUP(FS$1,generator!$B$2:$B$295,generator!$Q$2:$Q$295,"ARGH")</f>
        <v>9000</v>
      </c>
      <c r="FT21" s="3">
        <f>_xlfn.XLOOKUP(FT$1,generator!$B$2:$B$295,generator!$Q$2:$Q$295,"ARGH")</f>
        <v>9000</v>
      </c>
      <c r="FU21" s="3">
        <f>_xlfn.XLOOKUP(FU$1,generator!$B$2:$B$295,generator!$Q$2:$Q$295,"ARGH")</f>
        <v>9000</v>
      </c>
      <c r="FV21" s="3">
        <f>_xlfn.XLOOKUP(FV$1,generator!$B$2:$B$295,generator!$Q$2:$Q$295,"ARGH")</f>
        <v>9000</v>
      </c>
      <c r="FW21" s="3">
        <f>_xlfn.XLOOKUP(FW$1,generator!$B$2:$B$295,generator!$Q$2:$Q$295,"ARGH")</f>
        <v>9000</v>
      </c>
      <c r="FX21" s="3">
        <f>_xlfn.XLOOKUP(FX$1,generator!$B$2:$B$295,generator!$Q$2:$Q$295,"ARGH")</f>
        <v>9000</v>
      </c>
      <c r="FY21" s="3">
        <f>_xlfn.XLOOKUP(FY$1,generator!$B$2:$B$295,generator!$Q$2:$Q$295,"ARGH")</f>
        <v>9000</v>
      </c>
      <c r="FZ21" s="3">
        <f>_xlfn.XLOOKUP(FZ$1,generator!$B$2:$B$295,generator!$Q$2:$Q$295,"ARGH")</f>
        <v>9000</v>
      </c>
      <c r="GA21" s="3">
        <f>_xlfn.XLOOKUP(GA$1,generator!$B$2:$B$295,generator!$Q$2:$Q$295,"ARGH")</f>
        <v>9000</v>
      </c>
      <c r="GB21" s="3">
        <f>_xlfn.XLOOKUP(GB$1,generator!$B$2:$B$295,generator!$Q$2:$Q$295,"ARGH")</f>
        <v>9000</v>
      </c>
      <c r="GC21" s="3">
        <f>_xlfn.XLOOKUP(GC$1,generator!$B$2:$B$295,generator!$Q$2:$Q$295,"ARGH")</f>
        <v>9000</v>
      </c>
      <c r="GD21" s="3">
        <f>_xlfn.XLOOKUP(GD$1,generator!$B$2:$B$295,generator!$Q$2:$Q$295,"ARGH")</f>
        <v>9000</v>
      </c>
      <c r="GE21" s="3">
        <f>_xlfn.XLOOKUP(GE$1,generator!$B$2:$B$295,generator!$Q$2:$Q$295,"ARGH")</f>
        <v>9000</v>
      </c>
      <c r="GF21" s="3">
        <f>_xlfn.XLOOKUP(GF$1,generator!$B$2:$B$295,generator!$Q$2:$Q$295,"ARGH")</f>
        <v>9000</v>
      </c>
      <c r="GG21" s="3">
        <f>_xlfn.XLOOKUP(GG$1,generator!$B$2:$B$295,generator!$Q$2:$Q$295,"ARGH")</f>
        <v>9000</v>
      </c>
      <c r="GH21" s="3">
        <f>_xlfn.XLOOKUP(GH$1,generator!$B$2:$B$295,generator!$Q$2:$Q$295,"ARGH")</f>
        <v>9000</v>
      </c>
      <c r="GI21" s="3">
        <f>_xlfn.XLOOKUP(GI$1,generator!$B$2:$B$295,generator!$Q$2:$Q$295,"ARGH")</f>
        <v>9000</v>
      </c>
      <c r="GJ21" s="3">
        <f>_xlfn.XLOOKUP(GJ$1,generator!$B$2:$B$295,generator!$Q$2:$Q$295,"ARGH")</f>
        <v>9000</v>
      </c>
      <c r="GK21" s="3">
        <f>_xlfn.XLOOKUP(GK$1,generator!$B$2:$B$295,generator!$Q$2:$Q$295,"ARGH")</f>
        <v>9000</v>
      </c>
      <c r="GL21" s="3">
        <f>_xlfn.XLOOKUP(GL$1,generator!$B$2:$B$295,generator!$Q$2:$Q$295,"ARGH")</f>
        <v>9000</v>
      </c>
      <c r="GM21" s="3">
        <f>_xlfn.XLOOKUP(GM$1,generator!$B$2:$B$295,generator!$Q$2:$Q$295,"ARGH")</f>
        <v>9000</v>
      </c>
      <c r="GN21" s="3">
        <f>_xlfn.XLOOKUP(GN$1,generator!$B$2:$B$295,generator!$Q$2:$Q$295,"ARGH")</f>
        <v>9000</v>
      </c>
      <c r="GO21" s="3">
        <f>_xlfn.XLOOKUP(GO$1,generator!$B$2:$B$295,generator!$Q$2:$Q$295,"ARGH")</f>
        <v>9000</v>
      </c>
      <c r="GP21" s="3">
        <f>_xlfn.XLOOKUP(GP$1,generator!$B$2:$B$295,generator!$Q$2:$Q$295,"ARGH")</f>
        <v>9000</v>
      </c>
      <c r="GQ21" s="3">
        <f>_xlfn.XLOOKUP(GQ$1,generator!$B$2:$B$295,generator!$Q$2:$Q$295,"ARGH")</f>
        <v>9000</v>
      </c>
      <c r="GR21" s="3">
        <f>_xlfn.XLOOKUP(GR$1,generator!$B$2:$B$295,generator!$Q$2:$Q$295,"ARGH")</f>
        <v>9000</v>
      </c>
      <c r="GS21" s="3">
        <f>_xlfn.XLOOKUP(GS$1,generator!$B$2:$B$295,generator!$Q$2:$Q$295,"ARGH")</f>
        <v>9000</v>
      </c>
      <c r="GT21" s="3">
        <f>_xlfn.XLOOKUP(GT$1,generator!$B$2:$B$295,generator!$Q$2:$Q$295,"ARGH")</f>
        <v>9000</v>
      </c>
      <c r="GU21" s="3">
        <f>_xlfn.XLOOKUP(GU$1,generator!$B$2:$B$295,generator!$Q$2:$Q$295,"ARGH")</f>
        <v>9000</v>
      </c>
      <c r="GV21" s="3">
        <f>_xlfn.XLOOKUP(GV$1,generator!$B$2:$B$295,generator!$Q$2:$Q$295,"ARGH")</f>
        <v>9000</v>
      </c>
      <c r="GW21" s="3">
        <f>_xlfn.XLOOKUP(GW$1,generator!$B$2:$B$295,generator!$Q$2:$Q$295,"ARGH")</f>
        <v>9000</v>
      </c>
      <c r="GX21" s="3">
        <f>_xlfn.XLOOKUP(GX$1,generator!$B$2:$B$295,generator!$Q$2:$Q$295,"ARGH")</f>
        <v>9000</v>
      </c>
      <c r="GY21" s="3">
        <f>_xlfn.XLOOKUP(GY$1,generator!$B$2:$B$295,generator!$Q$2:$Q$295,"ARGH")</f>
        <v>9000</v>
      </c>
      <c r="GZ21" s="3">
        <f>_xlfn.XLOOKUP(GZ$1,generator!$B$2:$B$295,generator!$Q$2:$Q$295,"ARGH")</f>
        <v>9000</v>
      </c>
      <c r="HA21" s="3">
        <f>_xlfn.XLOOKUP(HA$1,generator!$B$2:$B$295,generator!$Q$2:$Q$295,"ARGH")</f>
        <v>9000</v>
      </c>
      <c r="HB21" s="3">
        <f>_xlfn.XLOOKUP(HB$1,generator!$B$2:$B$295,generator!$Q$2:$Q$295,"ARGH")</f>
        <v>9000</v>
      </c>
      <c r="HC21" s="3">
        <f>_xlfn.XLOOKUP(HC$1,generator!$B$2:$B$295,generator!$Q$2:$Q$295,"ARGH")</f>
        <v>9000</v>
      </c>
      <c r="HD21" s="3">
        <f>_xlfn.XLOOKUP(HD$1,generator!$B$2:$B$295,generator!$Q$2:$Q$295,"ARGH")</f>
        <v>9000</v>
      </c>
      <c r="HE21" s="3">
        <f>_xlfn.XLOOKUP(HE$1,generator!$B$2:$B$295,generator!$Q$2:$Q$295,"ARGH")</f>
        <v>8000</v>
      </c>
      <c r="HF21" s="3" t="str">
        <f>_xlfn.XLOOKUP(HF$1,generator!$B$2:$B$295,generator!$Q$2:$Q$295,"ARGH")</f>
        <v>143</v>
      </c>
      <c r="HG21" s="3" t="str">
        <f>_xlfn.XLOOKUP(HG$1,generator!$B$2:$B$295,generator!$Q$2:$Q$295,"ARGH")</f>
        <v>143</v>
      </c>
      <c r="HH21" s="3" t="str">
        <f>_xlfn.XLOOKUP(HH$1,generator!$B$2:$B$295,generator!$Q$2:$Q$295,"ARGH")</f>
        <v>143</v>
      </c>
      <c r="HI21" s="3" t="str">
        <f>_xlfn.XLOOKUP(HI$1,generator!$B$2:$B$295,generator!$Q$2:$Q$295,"ARGH")</f>
        <v>246.74</v>
      </c>
      <c r="HJ21" s="3" t="str">
        <f>_xlfn.XLOOKUP(HJ$1,generator!$B$2:$B$295,generator!$Q$2:$Q$295,"ARGH")</f>
        <v>246.74</v>
      </c>
      <c r="HK21" s="3" t="str">
        <f>_xlfn.XLOOKUP(HK$1,generator!$B$2:$B$295,generator!$Q$2:$Q$295,"ARGH")</f>
        <v>206.04</v>
      </c>
      <c r="HL21" s="3" t="str">
        <f>_xlfn.XLOOKUP(HL$1,generator!$B$2:$B$295,generator!$Q$2:$Q$295,"ARGH")</f>
        <v>506.96</v>
      </c>
      <c r="HM21" s="3" t="str">
        <f>_xlfn.XLOOKUP(HM$1,generator!$B$2:$B$295,generator!$Q$2:$Q$295,"ARGH")</f>
        <v>506.95</v>
      </c>
      <c r="HN21" s="3" t="str">
        <f>_xlfn.XLOOKUP(HN$1,generator!$B$2:$B$295,generator!$Q$2:$Q$295,"ARGH")</f>
        <v>190.97</v>
      </c>
      <c r="HO21" s="3" t="str">
        <f>_xlfn.XLOOKUP(HO$1,generator!$B$2:$B$295,generator!$Q$2:$Q$295,"ARGH")</f>
        <v>190.97</v>
      </c>
      <c r="HP21" s="3" t="str">
        <f>_xlfn.XLOOKUP(HP$1,generator!$B$2:$B$295,generator!$Q$2:$Q$295,"ARGH")</f>
        <v>424.84</v>
      </c>
      <c r="HQ21" s="3" t="str">
        <f>_xlfn.XLOOKUP(HQ$1,generator!$B$2:$B$295,generator!$Q$2:$Q$295,"ARGH")</f>
        <v>425.9</v>
      </c>
      <c r="HR21" s="3" t="str">
        <f>_xlfn.XLOOKUP(HR$1,generator!$B$2:$B$295,generator!$Q$2:$Q$295,"ARGH")</f>
        <v>425.9</v>
      </c>
      <c r="HS21" s="3" t="str">
        <f>_xlfn.XLOOKUP(HS$1,generator!$B$2:$B$295,generator!$Q$2:$Q$295,"ARGH")</f>
        <v>196.54</v>
      </c>
      <c r="HT21" s="3" t="str">
        <f>_xlfn.XLOOKUP(HT$1,generator!$B$2:$B$295,generator!$Q$2:$Q$295,"ARGH")</f>
        <v>196.54</v>
      </c>
      <c r="HU21" s="3" t="str">
        <f>_xlfn.XLOOKUP(HU$1,generator!$B$2:$B$295,generator!$Q$2:$Q$295,"ARGH")</f>
        <v>145.57</v>
      </c>
      <c r="HV21" s="3" t="str">
        <f>_xlfn.XLOOKUP(HV$1,generator!$B$2:$B$295,generator!$Q$2:$Q$295,"ARGH")</f>
        <v>132.62</v>
      </c>
      <c r="HW21" s="3" t="str">
        <f>_xlfn.XLOOKUP(HW$1,generator!$B$2:$B$295,generator!$Q$2:$Q$295,"ARGH")</f>
        <v>193.76</v>
      </c>
      <c r="HX21" s="3" t="str">
        <f>_xlfn.XLOOKUP(HX$1,generator!$B$2:$B$295,generator!$Q$2:$Q$295,"ARGH")</f>
        <v>193.76</v>
      </c>
      <c r="HY21" s="3" t="str">
        <f>_xlfn.XLOOKUP(HY$1,generator!$B$2:$B$295,generator!$Q$2:$Q$295,"ARGH")</f>
        <v>79.19</v>
      </c>
      <c r="HZ21" s="3" t="str">
        <f>_xlfn.XLOOKUP(HZ$1,generator!$B$2:$B$295,generator!$Q$2:$Q$295,"ARGH")</f>
        <v>125.79</v>
      </c>
      <c r="IA21" s="3" t="str">
        <f>_xlfn.XLOOKUP(IA$1,generator!$B$2:$B$295,generator!$Q$2:$Q$295,"ARGH")</f>
        <v>54.19</v>
      </c>
      <c r="IB21" s="3" t="str">
        <f>_xlfn.XLOOKUP(IB$1,generator!$B$2:$B$295,generator!$Q$2:$Q$295,"ARGH")</f>
        <v>59.7</v>
      </c>
      <c r="IC21" s="3">
        <f>_xlfn.XLOOKUP(IC$1,generator!$B$2:$B$295,generator!$Q$2:$Q$295,"ARGH")</f>
        <v>0</v>
      </c>
      <c r="ID21" s="3" t="str">
        <f>_xlfn.XLOOKUP(ID$1,generator!$B$2:$B$295,generator!$Q$2:$Q$295,"ARGH")</f>
        <v>121.14</v>
      </c>
      <c r="IE21" s="3" t="str">
        <f>_xlfn.XLOOKUP(IE$1,generator!$B$2:$B$295,generator!$Q$2:$Q$295,"ARGH")</f>
        <v>26.6</v>
      </c>
      <c r="IF21" s="3">
        <f>_xlfn.XLOOKUP(IF$1,generator!$B$2:$B$295,generator!$Q$2:$Q$295,"ARGH")</f>
        <v>8000</v>
      </c>
      <c r="IG21" s="3">
        <f>_xlfn.XLOOKUP(IG$1,generator!$B$2:$B$295,generator!$Q$2:$Q$295,"ARGH")</f>
        <v>8000</v>
      </c>
      <c r="IH21" s="3">
        <f>_xlfn.XLOOKUP(IH$1,generator!$B$2:$B$295,generator!$Q$2:$Q$295,"ARGH")</f>
        <v>8000</v>
      </c>
      <c r="II21" s="3">
        <f>_xlfn.XLOOKUP(II$1,generator!$B$2:$B$295,generator!$Q$2:$Q$295,"ARGH")</f>
        <v>8000</v>
      </c>
      <c r="IJ21" s="3">
        <f>_xlfn.XLOOKUP(IJ$1,generator!$B$2:$B$295,generator!$Q$2:$Q$295,"ARGH")</f>
        <v>8000</v>
      </c>
      <c r="IK21" s="3">
        <f>_xlfn.XLOOKUP(IK$1,generator!$B$2:$B$295,generator!$Q$2:$Q$295,"ARGH")</f>
        <v>8000</v>
      </c>
      <c r="IL21" s="3">
        <f>_xlfn.XLOOKUP(IL$1,generator!$B$2:$B$295,generator!$Q$2:$Q$295,"ARGH")</f>
        <v>8000</v>
      </c>
      <c r="IM21" s="3">
        <f>_xlfn.XLOOKUP(IM$1,generator!$B$2:$B$295,generator!$Q$2:$Q$295,"ARGH")</f>
        <v>8000</v>
      </c>
      <c r="IN21" s="3">
        <f>_xlfn.XLOOKUP(IN$1,generator!$B$2:$B$295,generator!$Q$2:$Q$295,"ARGH")</f>
        <v>8000</v>
      </c>
      <c r="IO21" s="3">
        <f>_xlfn.XLOOKUP(IO$1,generator!$B$2:$B$295,generator!$Q$2:$Q$295,"ARGH")</f>
        <v>8000</v>
      </c>
      <c r="IP21" s="3">
        <f>_xlfn.XLOOKUP(IP$1,generator!$B$2:$B$295,generator!$Q$2:$Q$295,"ARGH")</f>
        <v>8000</v>
      </c>
      <c r="IQ21" s="3">
        <f>_xlfn.XLOOKUP(IQ$1,generator!$B$2:$B$295,generator!$Q$2:$Q$295,"ARGH")</f>
        <v>8000</v>
      </c>
      <c r="IR21" s="3">
        <f>_xlfn.XLOOKUP(IR$1,generator!$B$2:$B$295,generator!$Q$2:$Q$295,"ARGH")</f>
        <v>8000</v>
      </c>
      <c r="IS21" s="3">
        <f>_xlfn.XLOOKUP(IS$1,generator!$B$2:$B$295,generator!$Q$2:$Q$295,"ARGH")</f>
        <v>8000</v>
      </c>
      <c r="IT21" s="3">
        <f>_xlfn.XLOOKUP(IT$1,generator!$B$2:$B$295,generator!$Q$2:$Q$295,"ARGH")</f>
        <v>8000</v>
      </c>
      <c r="IU21" s="3">
        <f>_xlfn.XLOOKUP(IU$1,generator!$B$2:$B$295,generator!$Q$2:$Q$295,"ARGH")</f>
        <v>8000</v>
      </c>
      <c r="IV21" s="3">
        <f>_xlfn.XLOOKUP(IV$1,generator!$B$2:$B$295,generator!$Q$2:$Q$295,"ARGH")</f>
        <v>8000</v>
      </c>
      <c r="IW21" s="3" t="str">
        <f>_xlfn.XLOOKUP(IW$1,generator!$B$2:$B$295,generator!$Q$2:$Q$295,"ARGH")</f>
        <v>108.19</v>
      </c>
      <c r="IX21" s="3" t="str">
        <f>_xlfn.XLOOKUP(IX$1,generator!$B$2:$B$295,generator!$Q$2:$Q$295,"ARGH")</f>
        <v>108.18</v>
      </c>
      <c r="IY21" s="3" t="str">
        <f>_xlfn.XLOOKUP(IY$1,generator!$B$2:$B$295,generator!$Q$2:$Q$295,"ARGH")</f>
        <v>108.17</v>
      </c>
      <c r="IZ21" s="3" t="str">
        <f>_xlfn.XLOOKUP(IZ$1,generator!$B$2:$B$295,generator!$Q$2:$Q$295,"ARGH")</f>
        <v>40.96</v>
      </c>
      <c r="JA21" s="3">
        <f>_xlfn.XLOOKUP(JA$1,generator!$B$2:$B$295,generator!$Q$2:$Q$295,"ARGH")</f>
        <v>0</v>
      </c>
      <c r="JB21" s="3">
        <f>_xlfn.XLOOKUP(JB$1,generator!$B$2:$B$295,generator!$Q$2:$Q$295,"ARGH")</f>
        <v>0</v>
      </c>
      <c r="JC21" s="3" t="str">
        <f>_xlfn.XLOOKUP(JC$1,generator!$B$2:$B$295,generator!$Q$2:$Q$295,"ARGH")</f>
        <v>75.91</v>
      </c>
      <c r="JD21" s="3" t="str">
        <f>_xlfn.XLOOKUP(JD$1,generator!$B$2:$B$295,generator!$Q$2:$Q$295,"ARGH")</f>
        <v>75.91</v>
      </c>
      <c r="JE21" s="3" t="str">
        <f>_xlfn.XLOOKUP(JE$1,generator!$B$2:$B$295,generator!$Q$2:$Q$295,"ARGH")</f>
        <v>51.59</v>
      </c>
      <c r="JF21" s="3" t="str">
        <f>_xlfn.XLOOKUP(JF$1,generator!$B$2:$B$295,generator!$Q$2:$Q$295,"ARGH")</f>
        <v>111.57</v>
      </c>
      <c r="JG21" s="3">
        <f>_xlfn.XLOOKUP(JG$1,generator!$B$2:$B$295,generator!$Q$2:$Q$295,"ARGH")</f>
        <v>0</v>
      </c>
      <c r="JH21" s="3" t="str">
        <f>_xlfn.XLOOKUP(JH$1,generator!$B$2:$B$295,generator!$Q$2:$Q$295,"ARGH")</f>
        <v>48.65</v>
      </c>
      <c r="JI21" s="3" t="str">
        <f>_xlfn.XLOOKUP(JI$1,generator!$B$2:$B$295,generator!$Q$2:$Q$295,"ARGH")</f>
        <v>71.88</v>
      </c>
      <c r="JJ21" s="3" t="str">
        <f>_xlfn.XLOOKUP(JJ$1,generator!$B$2:$B$295,generator!$Q$2:$Q$295,"ARGH")</f>
        <v>98.17</v>
      </c>
      <c r="JK21" s="3" t="str">
        <f>_xlfn.XLOOKUP(JK$1,generator!$B$2:$B$295,generator!$Q$2:$Q$295,"ARGH")</f>
        <v>98.17</v>
      </c>
      <c r="JL21" s="3" t="str">
        <f>_xlfn.XLOOKUP(JL$1,generator!$B$2:$B$295,generator!$Q$2:$Q$295,"ARGH")</f>
        <v>98.17</v>
      </c>
      <c r="JM21" s="3" t="str">
        <f>_xlfn.XLOOKUP(JM$1,generator!$B$2:$B$295,generator!$Q$2:$Q$295,"ARGH")</f>
        <v>98.17</v>
      </c>
      <c r="JN21" s="3" t="str">
        <f>_xlfn.XLOOKUP(JN$1,generator!$B$2:$B$295,generator!$Q$2:$Q$295,"ARGH")</f>
        <v>98.17</v>
      </c>
      <c r="JO21" s="3" t="str">
        <f>_xlfn.XLOOKUP(JO$1,generator!$B$2:$B$295,generator!$Q$2:$Q$295,"ARGH")</f>
        <v>98.17</v>
      </c>
      <c r="JP21" s="3" t="str">
        <f>_xlfn.XLOOKUP(JP$1,generator!$B$2:$B$295,generator!$Q$2:$Q$295,"ARGH")</f>
        <v>47.53</v>
      </c>
      <c r="JQ21" s="3" t="str">
        <f>_xlfn.XLOOKUP(JQ$1,generator!$B$2:$B$295,generator!$Q$2:$Q$295,"ARGH")</f>
        <v>108.86</v>
      </c>
      <c r="JR21" s="3" t="str">
        <f>_xlfn.XLOOKUP(JR$1,generator!$B$2:$B$295,generator!$Q$2:$Q$295,"ARGH")</f>
        <v>83.15</v>
      </c>
      <c r="JS21" s="3" t="str">
        <f>_xlfn.XLOOKUP(JS$1,generator!$B$2:$B$295,generator!$Q$2:$Q$295,"ARGH")</f>
        <v>83.15</v>
      </c>
      <c r="JT21" s="3" t="str">
        <f>_xlfn.XLOOKUP(JT$1,generator!$B$2:$B$295,generator!$Q$2:$Q$295,"ARGH")</f>
        <v>108.86</v>
      </c>
      <c r="JU21" s="3">
        <f>_xlfn.XLOOKUP(JU$1,generator!$B$2:$B$295,generator!$Q$2:$Q$295,"ARGH")</f>
        <v>0</v>
      </c>
      <c r="JV21" s="3" t="str">
        <f>_xlfn.XLOOKUP(JV$1,generator!$B$2:$B$295,generator!$Q$2:$Q$295,"ARGH")</f>
        <v>77.63</v>
      </c>
      <c r="JW21" s="3" t="str">
        <f>_xlfn.XLOOKUP(JW$1,generator!$B$2:$B$295,generator!$Q$2:$Q$295,"ARGH")</f>
        <v>77.64</v>
      </c>
      <c r="JX21" s="3" t="str">
        <f>_xlfn.XLOOKUP(JX$1,generator!$B$2:$B$295,generator!$Q$2:$Q$295,"ARGH")</f>
        <v>331.49</v>
      </c>
      <c r="JY21" s="3">
        <f>_xlfn.XLOOKUP(JY$1,generator!$B$2:$B$295,generator!$Q$2:$Q$295,"ARGH")</f>
        <v>7000</v>
      </c>
      <c r="JZ21" s="3">
        <f>_xlfn.XLOOKUP(JZ$1,generator!$B$2:$B$295,generator!$Q$2:$Q$295,"ARGH")</f>
        <v>0</v>
      </c>
      <c r="KA21" s="3">
        <f>_xlfn.XLOOKUP(KA$1,generator!$B$2:$B$295,generator!$Q$2:$Q$295,"ARGH")</f>
        <v>0</v>
      </c>
      <c r="KB21" s="3">
        <f>_xlfn.XLOOKUP(KB$1,generator!$B$2:$B$295,generator!$Q$2:$Q$295,"ARGH")</f>
        <v>0</v>
      </c>
      <c r="KC21" s="3">
        <f>_xlfn.XLOOKUP(KC$1,generator!$B$2:$B$295,generator!$Q$2:$Q$295,"ARGH")</f>
        <v>0</v>
      </c>
    </row>
    <row r="22" spans="1:289" x14ac:dyDescent="0.3">
      <c r="A22" s="4" t="s">
        <v>3017</v>
      </c>
      <c r="B22" s="3">
        <v>15000</v>
      </c>
      <c r="C22" s="3">
        <v>15000</v>
      </c>
      <c r="D22" s="3">
        <v>15000</v>
      </c>
      <c r="E22" s="3">
        <f>_xlfn.XLOOKUP(E$1,generator!$B$2:$B$295,generator!$Q$2:$Q$295,"ARGH")</f>
        <v>9000</v>
      </c>
      <c r="F22" s="3">
        <f>_xlfn.XLOOKUP(F$1,generator!$B$2:$B$295,generator!$Q$2:$Q$295,"ARGH")</f>
        <v>9000</v>
      </c>
      <c r="G22" s="3">
        <f>_xlfn.XLOOKUP(G$1,generator!$B$2:$B$295,generator!$Q$2:$Q$295,"ARGH")</f>
        <v>9000</v>
      </c>
      <c r="H22" s="3">
        <f>_xlfn.XLOOKUP(H$1,generator!$B$2:$B$295,generator!$Q$2:$Q$295,"ARGH")</f>
        <v>9000</v>
      </c>
      <c r="I22" s="3">
        <f>_xlfn.XLOOKUP(I$1,generator!$B$2:$B$295,generator!$Q$2:$Q$295,"ARGH")</f>
        <v>9000</v>
      </c>
      <c r="J22" s="3">
        <f>_xlfn.XLOOKUP(J$1,generator!$B$2:$B$295,generator!$Q$2:$Q$295,"ARGH")</f>
        <v>9000</v>
      </c>
      <c r="K22" s="3">
        <f>_xlfn.XLOOKUP(K$1,generator!$B$2:$B$295,generator!$Q$2:$Q$295,"ARGH")</f>
        <v>9000</v>
      </c>
      <c r="L22" s="3">
        <f>_xlfn.XLOOKUP(L$1,generator!$B$2:$B$295,generator!$Q$2:$Q$295,"ARGH")</f>
        <v>9000</v>
      </c>
      <c r="M22" s="3">
        <f>_xlfn.XLOOKUP(M$1,generator!$B$2:$B$295,generator!$Q$2:$Q$295,"ARGH")</f>
        <v>9000</v>
      </c>
      <c r="N22" s="3">
        <f>_xlfn.XLOOKUP(N$1,generator!$B$2:$B$295,generator!$Q$2:$Q$295,"ARGH")</f>
        <v>9000</v>
      </c>
      <c r="O22" s="3">
        <f>_xlfn.XLOOKUP(O$1,generator!$B$2:$B$295,generator!$Q$2:$Q$295,"ARGH")</f>
        <v>9000</v>
      </c>
      <c r="P22" s="3">
        <f>_xlfn.XLOOKUP(P$1,generator!$B$2:$B$295,generator!$Q$2:$Q$295,"ARGH")</f>
        <v>9000</v>
      </c>
      <c r="Q22" s="3">
        <f>_xlfn.XLOOKUP(Q$1,generator!$B$2:$B$295,generator!$Q$2:$Q$295,"ARGH")</f>
        <v>9000</v>
      </c>
      <c r="R22" s="3">
        <f>_xlfn.XLOOKUP(R$1,generator!$B$2:$B$295,generator!$Q$2:$Q$295,"ARGH")</f>
        <v>9000</v>
      </c>
      <c r="S22" s="3">
        <f>_xlfn.XLOOKUP(S$1,generator!$B$2:$B$295,generator!$Q$2:$Q$295,"ARGH")</f>
        <v>9000</v>
      </c>
      <c r="T22" s="3">
        <f>_xlfn.XLOOKUP(T$1,generator!$B$2:$B$295,generator!$Q$2:$Q$295,"ARGH")</f>
        <v>9000</v>
      </c>
      <c r="U22" s="3">
        <f>_xlfn.XLOOKUP(U$1,generator!$B$2:$B$295,generator!$Q$2:$Q$295,"ARGH")</f>
        <v>9000</v>
      </c>
      <c r="V22" s="3">
        <f>_xlfn.XLOOKUP(V$1,generator!$B$2:$B$295,generator!$Q$2:$Q$295,"ARGH")</f>
        <v>9000</v>
      </c>
      <c r="W22" s="3">
        <f>_xlfn.XLOOKUP(W$1,generator!$B$2:$B$295,generator!$Q$2:$Q$295,"ARGH")</f>
        <v>9000</v>
      </c>
      <c r="X22" s="3">
        <f>_xlfn.XLOOKUP(X$1,generator!$B$2:$B$295,generator!$Q$2:$Q$295,"ARGH")</f>
        <v>9000</v>
      </c>
      <c r="Y22" s="3">
        <f>_xlfn.XLOOKUP(Y$1,generator!$B$2:$B$295,generator!$Q$2:$Q$295,"ARGH")</f>
        <v>9000</v>
      </c>
      <c r="Z22" s="3">
        <f>_xlfn.XLOOKUP(Z$1,generator!$B$2:$B$295,generator!$Q$2:$Q$295,"ARGH")</f>
        <v>9000</v>
      </c>
      <c r="AA22" s="3">
        <f>_xlfn.XLOOKUP(AA$1,generator!$B$2:$B$295,generator!$Q$2:$Q$295,"ARGH")</f>
        <v>9000</v>
      </c>
      <c r="AB22" s="3">
        <f>_xlfn.XLOOKUP(AB$1,generator!$B$2:$B$295,generator!$Q$2:$Q$295,"ARGH")</f>
        <v>9000</v>
      </c>
      <c r="AC22" s="3">
        <f>_xlfn.XLOOKUP(AC$1,generator!$B$2:$B$295,generator!$Q$2:$Q$295,"ARGH")</f>
        <v>9000</v>
      </c>
      <c r="AD22" s="3">
        <f>_xlfn.XLOOKUP(AD$1,generator!$B$2:$B$295,generator!$Q$2:$Q$295,"ARGH")</f>
        <v>9000</v>
      </c>
      <c r="AE22" s="3">
        <f>_xlfn.XLOOKUP(AE$1,generator!$B$2:$B$295,generator!$Q$2:$Q$295,"ARGH")</f>
        <v>9000</v>
      </c>
      <c r="AF22" s="3">
        <f>_xlfn.XLOOKUP(AF$1,generator!$B$2:$B$295,generator!$Q$2:$Q$295,"ARGH")</f>
        <v>9000</v>
      </c>
      <c r="AG22" s="3">
        <f>_xlfn.XLOOKUP(AG$1,generator!$B$2:$B$295,generator!$Q$2:$Q$295,"ARGH")</f>
        <v>9000</v>
      </c>
      <c r="AH22" s="3">
        <f>_xlfn.XLOOKUP(AH$1,generator!$B$2:$B$295,generator!$Q$2:$Q$295,"ARGH")</f>
        <v>9000</v>
      </c>
      <c r="AI22" s="3">
        <f>_xlfn.XLOOKUP(AI$1,generator!$B$2:$B$295,generator!$Q$2:$Q$295,"ARGH")</f>
        <v>9000</v>
      </c>
      <c r="AJ22" s="3">
        <f>_xlfn.XLOOKUP(AJ$1,generator!$B$2:$B$295,generator!$Q$2:$Q$295,"ARGH")</f>
        <v>9000</v>
      </c>
      <c r="AK22" s="3">
        <f>_xlfn.XLOOKUP(AK$1,generator!$B$2:$B$295,generator!$Q$2:$Q$295,"ARGH")</f>
        <v>9000</v>
      </c>
      <c r="AL22" s="3">
        <f>_xlfn.XLOOKUP(AL$1,generator!$B$2:$B$295,generator!$Q$2:$Q$295,"ARGH")</f>
        <v>9000</v>
      </c>
      <c r="AM22" s="3">
        <f>_xlfn.XLOOKUP(AM$1,generator!$B$2:$B$295,generator!$Q$2:$Q$295,"ARGH")</f>
        <v>9000</v>
      </c>
      <c r="AN22" s="3">
        <f>_xlfn.XLOOKUP(AN$1,generator!$B$2:$B$295,generator!$Q$2:$Q$295,"ARGH")</f>
        <v>9000</v>
      </c>
      <c r="AO22" s="3">
        <f>_xlfn.XLOOKUP(AO$1,generator!$B$2:$B$295,generator!$Q$2:$Q$295,"ARGH")</f>
        <v>9000</v>
      </c>
      <c r="AP22" s="3">
        <f>_xlfn.XLOOKUP(AP$1,generator!$B$2:$B$295,generator!$Q$2:$Q$295,"ARGH")</f>
        <v>9000</v>
      </c>
      <c r="AQ22" s="3">
        <f>_xlfn.XLOOKUP(AQ$1,generator!$B$2:$B$295,generator!$Q$2:$Q$295,"ARGH")</f>
        <v>9000</v>
      </c>
      <c r="AR22" s="3">
        <f>_xlfn.XLOOKUP(AR$1,generator!$B$2:$B$295,generator!$Q$2:$Q$295,"ARGH")</f>
        <v>9000</v>
      </c>
      <c r="AS22" s="3">
        <f>_xlfn.XLOOKUP(AS$1,generator!$B$2:$B$295,generator!$Q$2:$Q$295,"ARGH")</f>
        <v>9000</v>
      </c>
      <c r="AT22" s="3">
        <f>_xlfn.XLOOKUP(AT$1,generator!$B$2:$B$295,generator!$Q$2:$Q$295,"ARGH")</f>
        <v>9000</v>
      </c>
      <c r="AU22" s="3">
        <f>_xlfn.XLOOKUP(AU$1,generator!$B$2:$B$295,generator!$Q$2:$Q$295,"ARGH")</f>
        <v>9000</v>
      </c>
      <c r="AV22" s="3">
        <f>_xlfn.XLOOKUP(AV$1,generator!$B$2:$B$295,generator!$Q$2:$Q$295,"ARGH")</f>
        <v>9000</v>
      </c>
      <c r="AW22" s="3">
        <f>_xlfn.XLOOKUP(AW$1,generator!$B$2:$B$295,generator!$Q$2:$Q$295,"ARGH")</f>
        <v>9000</v>
      </c>
      <c r="AX22" s="3">
        <f>_xlfn.XLOOKUP(AX$1,generator!$B$2:$B$295,generator!$Q$2:$Q$295,"ARGH")</f>
        <v>9000</v>
      </c>
      <c r="AY22" s="3">
        <f>_xlfn.XLOOKUP(AY$1,generator!$B$2:$B$295,generator!$Q$2:$Q$295,"ARGH")</f>
        <v>9000</v>
      </c>
      <c r="AZ22" s="3">
        <f>_xlfn.XLOOKUP(AZ$1,generator!$B$2:$B$295,generator!$Q$2:$Q$295,"ARGH")</f>
        <v>9000</v>
      </c>
      <c r="BA22" s="3">
        <f>_xlfn.XLOOKUP(BA$1,generator!$B$2:$B$295,generator!$Q$2:$Q$295,"ARGH")</f>
        <v>9000</v>
      </c>
      <c r="BB22" s="3">
        <f>_xlfn.XLOOKUP(BB$1,generator!$B$2:$B$295,generator!$Q$2:$Q$295,"ARGH")</f>
        <v>9000</v>
      </c>
      <c r="BC22" s="3">
        <f>_xlfn.XLOOKUP(BC$1,generator!$B$2:$B$295,generator!$Q$2:$Q$295,"ARGH")</f>
        <v>9000</v>
      </c>
      <c r="BD22" s="3">
        <f>_xlfn.XLOOKUP(BD$1,generator!$B$2:$B$295,generator!$Q$2:$Q$295,"ARGH")</f>
        <v>9000</v>
      </c>
      <c r="BE22" s="3">
        <f>_xlfn.XLOOKUP(BE$1,generator!$B$2:$B$295,generator!$Q$2:$Q$295,"ARGH")</f>
        <v>9000</v>
      </c>
      <c r="BF22" s="3">
        <f>_xlfn.XLOOKUP(BF$1,generator!$B$2:$B$295,generator!$Q$2:$Q$295,"ARGH")</f>
        <v>9000</v>
      </c>
      <c r="BG22" s="3">
        <f>_xlfn.XLOOKUP(BG$1,generator!$B$2:$B$295,generator!$Q$2:$Q$295,"ARGH")</f>
        <v>9000</v>
      </c>
      <c r="BH22" s="3">
        <f>_xlfn.XLOOKUP(BH$1,generator!$B$2:$B$295,generator!$Q$2:$Q$295,"ARGH")</f>
        <v>9000</v>
      </c>
      <c r="BI22" s="3">
        <f>_xlfn.XLOOKUP(BI$1,generator!$B$2:$B$295,generator!$Q$2:$Q$295,"ARGH")</f>
        <v>9000</v>
      </c>
      <c r="BJ22" s="3">
        <f>_xlfn.XLOOKUP(BJ$1,generator!$B$2:$B$295,generator!$Q$2:$Q$295,"ARGH")</f>
        <v>9000</v>
      </c>
      <c r="BK22" s="3">
        <f>_xlfn.XLOOKUP(BK$1,generator!$B$2:$B$295,generator!$Q$2:$Q$295,"ARGH")</f>
        <v>9000</v>
      </c>
      <c r="BL22" s="3">
        <f>_xlfn.XLOOKUP(BL$1,generator!$B$2:$B$295,generator!$Q$2:$Q$295,"ARGH")</f>
        <v>9000</v>
      </c>
      <c r="BM22" s="3">
        <f>_xlfn.XLOOKUP(BM$1,generator!$B$2:$B$295,generator!$Q$2:$Q$295,"ARGH")</f>
        <v>9000</v>
      </c>
      <c r="BN22" s="3">
        <f>_xlfn.XLOOKUP(BN$1,generator!$B$2:$B$295,generator!$Q$2:$Q$295,"ARGH")</f>
        <v>9000</v>
      </c>
      <c r="BO22" s="3">
        <f>_xlfn.XLOOKUP(BO$1,generator!$B$2:$B$295,generator!$Q$2:$Q$295,"ARGH")</f>
        <v>9000</v>
      </c>
      <c r="BP22" s="3">
        <f>_xlfn.XLOOKUP(BP$1,generator!$B$2:$B$295,generator!$Q$2:$Q$295,"ARGH")</f>
        <v>9000</v>
      </c>
      <c r="BQ22" s="3">
        <f>_xlfn.XLOOKUP(BQ$1,generator!$B$2:$B$295,generator!$Q$2:$Q$295,"ARGH")</f>
        <v>9000</v>
      </c>
      <c r="BR22" s="3">
        <f>_xlfn.XLOOKUP(BR$1,generator!$B$2:$B$295,generator!$Q$2:$Q$295,"ARGH")</f>
        <v>9000</v>
      </c>
      <c r="BS22" s="3">
        <f>_xlfn.XLOOKUP(BS$1,generator!$B$2:$B$295,generator!$Q$2:$Q$295,"ARGH")</f>
        <v>9000</v>
      </c>
      <c r="BT22" s="3">
        <f>_xlfn.XLOOKUP(BT$1,generator!$B$2:$B$295,generator!$Q$2:$Q$295,"ARGH")</f>
        <v>9000</v>
      </c>
      <c r="BU22" s="3">
        <f>_xlfn.XLOOKUP(BU$1,generator!$B$2:$B$295,generator!$Q$2:$Q$295,"ARGH")</f>
        <v>9000</v>
      </c>
      <c r="BV22" s="3">
        <f>_xlfn.XLOOKUP(BV$1,generator!$B$2:$B$295,generator!$Q$2:$Q$295,"ARGH")</f>
        <v>9000</v>
      </c>
      <c r="BW22" s="3">
        <f>_xlfn.XLOOKUP(BW$1,generator!$B$2:$B$295,generator!$Q$2:$Q$295,"ARGH")</f>
        <v>9000</v>
      </c>
      <c r="BX22" s="3">
        <f>_xlfn.XLOOKUP(BX$1,generator!$B$2:$B$295,generator!$Q$2:$Q$295,"ARGH")</f>
        <v>9000</v>
      </c>
      <c r="BY22" s="3">
        <f>_xlfn.XLOOKUP(BY$1,generator!$B$2:$B$295,generator!$Q$2:$Q$295,"ARGH")</f>
        <v>9000</v>
      </c>
      <c r="BZ22" s="3">
        <f>_xlfn.XLOOKUP(BZ$1,generator!$B$2:$B$295,generator!$Q$2:$Q$295,"ARGH")</f>
        <v>9000</v>
      </c>
      <c r="CA22" s="3">
        <f>_xlfn.XLOOKUP(CA$1,generator!$B$2:$B$295,generator!$Q$2:$Q$295,"ARGH")</f>
        <v>9000</v>
      </c>
      <c r="CB22" s="3">
        <f>_xlfn.XLOOKUP(CB$1,generator!$B$2:$B$295,generator!$Q$2:$Q$295,"ARGH")</f>
        <v>9000</v>
      </c>
      <c r="CC22" s="3">
        <f>_xlfn.XLOOKUP(CC$1,generator!$B$2:$B$295,generator!$Q$2:$Q$295,"ARGH")</f>
        <v>9000</v>
      </c>
      <c r="CD22" s="3">
        <f>_xlfn.XLOOKUP(CD$1,generator!$B$2:$B$295,generator!$Q$2:$Q$295,"ARGH")</f>
        <v>9000</v>
      </c>
      <c r="CE22" s="3">
        <f>_xlfn.XLOOKUP(CE$1,generator!$B$2:$B$295,generator!$Q$2:$Q$295,"ARGH")</f>
        <v>9000</v>
      </c>
      <c r="CF22" s="3">
        <f>_xlfn.XLOOKUP(CF$1,generator!$B$2:$B$295,generator!$Q$2:$Q$295,"ARGH")</f>
        <v>9000</v>
      </c>
      <c r="CG22" s="3">
        <f>_xlfn.XLOOKUP(CG$1,generator!$B$2:$B$295,generator!$Q$2:$Q$295,"ARGH")</f>
        <v>9000</v>
      </c>
      <c r="CH22" s="3">
        <f>_xlfn.XLOOKUP(CH$1,generator!$B$2:$B$295,generator!$Q$2:$Q$295,"ARGH")</f>
        <v>9000</v>
      </c>
      <c r="CI22" s="3">
        <f>_xlfn.XLOOKUP(CI$1,generator!$B$2:$B$295,generator!$Q$2:$Q$295,"ARGH")</f>
        <v>9000</v>
      </c>
      <c r="CJ22" s="3">
        <f>_xlfn.XLOOKUP(CJ$1,generator!$B$2:$B$295,generator!$Q$2:$Q$295,"ARGH")</f>
        <v>9000</v>
      </c>
      <c r="CK22" s="3">
        <f>_xlfn.XLOOKUP(CK$1,generator!$B$2:$B$295,generator!$Q$2:$Q$295,"ARGH")</f>
        <v>9000</v>
      </c>
      <c r="CL22" s="3">
        <f>_xlfn.XLOOKUP(CL$1,generator!$B$2:$B$295,generator!$Q$2:$Q$295,"ARGH")</f>
        <v>9000</v>
      </c>
      <c r="CM22" s="3">
        <f>_xlfn.XLOOKUP(CM$1,generator!$B$2:$B$295,generator!$Q$2:$Q$295,"ARGH")</f>
        <v>9000</v>
      </c>
      <c r="CN22" s="3">
        <f>_xlfn.XLOOKUP(CN$1,generator!$B$2:$B$295,generator!$Q$2:$Q$295,"ARGH")</f>
        <v>9000</v>
      </c>
      <c r="CO22" s="3">
        <f>_xlfn.XLOOKUP(CO$1,generator!$B$2:$B$295,generator!$Q$2:$Q$295,"ARGH")</f>
        <v>9000</v>
      </c>
      <c r="CP22" s="3">
        <f>_xlfn.XLOOKUP(CP$1,generator!$B$2:$B$295,generator!$Q$2:$Q$295,"ARGH")</f>
        <v>9000</v>
      </c>
      <c r="CQ22" s="3">
        <f>_xlfn.XLOOKUP(CQ$1,generator!$B$2:$B$295,generator!$Q$2:$Q$295,"ARGH")</f>
        <v>9000</v>
      </c>
      <c r="CR22" s="3">
        <f>_xlfn.XLOOKUP(CR$1,generator!$B$2:$B$295,generator!$Q$2:$Q$295,"ARGH")</f>
        <v>9000</v>
      </c>
      <c r="CS22" s="3">
        <f>_xlfn.XLOOKUP(CS$1,generator!$B$2:$B$295,generator!$Q$2:$Q$295,"ARGH")</f>
        <v>9000</v>
      </c>
      <c r="CT22" s="3">
        <f>_xlfn.XLOOKUP(CT$1,generator!$B$2:$B$295,generator!$Q$2:$Q$295,"ARGH")</f>
        <v>9000</v>
      </c>
      <c r="CU22" s="3">
        <f>_xlfn.XLOOKUP(CU$1,generator!$B$2:$B$295,generator!$Q$2:$Q$295,"ARGH")</f>
        <v>9000</v>
      </c>
      <c r="CV22" s="3">
        <f>_xlfn.XLOOKUP(CV$1,generator!$B$2:$B$295,generator!$Q$2:$Q$295,"ARGH")</f>
        <v>9000</v>
      </c>
      <c r="CW22" s="3">
        <f>_xlfn.XLOOKUP(CW$1,generator!$B$2:$B$295,generator!$Q$2:$Q$295,"ARGH")</f>
        <v>9000</v>
      </c>
      <c r="CX22" s="3">
        <f>_xlfn.XLOOKUP(CX$1,generator!$B$2:$B$295,generator!$Q$2:$Q$295,"ARGH")</f>
        <v>9000</v>
      </c>
      <c r="CY22" s="3">
        <f>_xlfn.XLOOKUP(CY$1,generator!$B$2:$B$295,generator!$Q$2:$Q$295,"ARGH")</f>
        <v>9000</v>
      </c>
      <c r="CZ22" s="3">
        <f>_xlfn.XLOOKUP(CZ$1,generator!$B$2:$B$295,generator!$Q$2:$Q$295,"ARGH")</f>
        <v>9000</v>
      </c>
      <c r="DA22" s="3">
        <f>_xlfn.XLOOKUP(DA$1,generator!$B$2:$B$295,generator!$Q$2:$Q$295,"ARGH")</f>
        <v>9000</v>
      </c>
      <c r="DB22" s="3">
        <f>_xlfn.XLOOKUP(DB$1,generator!$B$2:$B$295,generator!$Q$2:$Q$295,"ARGH")</f>
        <v>9000</v>
      </c>
      <c r="DC22" s="3">
        <f>_xlfn.XLOOKUP(DC$1,generator!$B$2:$B$295,generator!$Q$2:$Q$295,"ARGH")</f>
        <v>9000</v>
      </c>
      <c r="DD22" s="3">
        <f>_xlfn.XLOOKUP(DD$1,generator!$B$2:$B$295,generator!$Q$2:$Q$295,"ARGH")</f>
        <v>9000</v>
      </c>
      <c r="DE22" s="3">
        <f>_xlfn.XLOOKUP(DE$1,generator!$B$2:$B$295,generator!$Q$2:$Q$295,"ARGH")</f>
        <v>9000</v>
      </c>
      <c r="DF22" s="3">
        <f>_xlfn.XLOOKUP(DF$1,generator!$B$2:$B$295,generator!$Q$2:$Q$295,"ARGH")</f>
        <v>9000</v>
      </c>
      <c r="DG22" s="3">
        <f>_xlfn.XLOOKUP(DG$1,generator!$B$2:$B$295,generator!$Q$2:$Q$295,"ARGH")</f>
        <v>9000</v>
      </c>
      <c r="DH22" s="3">
        <f>_xlfn.XLOOKUP(DH$1,generator!$B$2:$B$295,generator!$Q$2:$Q$295,"ARGH")</f>
        <v>9000</v>
      </c>
      <c r="DI22" s="3">
        <f>_xlfn.XLOOKUP(DI$1,generator!$B$2:$B$295,generator!$Q$2:$Q$295,"ARGH")</f>
        <v>9000</v>
      </c>
      <c r="DJ22" s="3">
        <f>_xlfn.XLOOKUP(DJ$1,generator!$B$2:$B$295,generator!$Q$2:$Q$295,"ARGH")</f>
        <v>9000</v>
      </c>
      <c r="DK22" s="3">
        <f>_xlfn.XLOOKUP(DK$1,generator!$B$2:$B$295,generator!$Q$2:$Q$295,"ARGH")</f>
        <v>9000</v>
      </c>
      <c r="DL22" s="3">
        <f>_xlfn.XLOOKUP(DL$1,generator!$B$2:$B$295,generator!$Q$2:$Q$295,"ARGH")</f>
        <v>9000</v>
      </c>
      <c r="DM22" s="3">
        <f>_xlfn.XLOOKUP(DM$1,generator!$B$2:$B$295,generator!$Q$2:$Q$295,"ARGH")</f>
        <v>9000</v>
      </c>
      <c r="DN22" s="3">
        <f>_xlfn.XLOOKUP(DN$1,generator!$B$2:$B$295,generator!$Q$2:$Q$295,"ARGH")</f>
        <v>9000</v>
      </c>
      <c r="DO22" s="3">
        <f>_xlfn.XLOOKUP(DO$1,generator!$B$2:$B$295,generator!$Q$2:$Q$295,"ARGH")</f>
        <v>9000</v>
      </c>
      <c r="DP22" s="3">
        <f>_xlfn.XLOOKUP(DP$1,generator!$B$2:$B$295,generator!$Q$2:$Q$295,"ARGH")</f>
        <v>9000</v>
      </c>
      <c r="DQ22" s="3">
        <f>_xlfn.XLOOKUP(DQ$1,generator!$B$2:$B$295,generator!$Q$2:$Q$295,"ARGH")</f>
        <v>9000</v>
      </c>
      <c r="DR22" s="3">
        <f>_xlfn.XLOOKUP(DR$1,generator!$B$2:$B$295,generator!$Q$2:$Q$295,"ARGH")</f>
        <v>9000</v>
      </c>
      <c r="DS22" s="3">
        <f>_xlfn.XLOOKUP(DS$1,generator!$B$2:$B$295,generator!$Q$2:$Q$295,"ARGH")</f>
        <v>9000</v>
      </c>
      <c r="DT22" s="3">
        <f>_xlfn.XLOOKUP(DT$1,generator!$B$2:$B$295,generator!$Q$2:$Q$295,"ARGH")</f>
        <v>9000</v>
      </c>
      <c r="DU22" s="3">
        <f>_xlfn.XLOOKUP(DU$1,generator!$B$2:$B$295,generator!$Q$2:$Q$295,"ARGH")</f>
        <v>9000</v>
      </c>
      <c r="DV22" s="3">
        <f>_xlfn.XLOOKUP(DV$1,generator!$B$2:$B$295,generator!$Q$2:$Q$295,"ARGH")</f>
        <v>9000</v>
      </c>
      <c r="DW22" s="3">
        <f>_xlfn.XLOOKUP(DW$1,generator!$B$2:$B$295,generator!$Q$2:$Q$295,"ARGH")</f>
        <v>9000</v>
      </c>
      <c r="DX22" s="3">
        <f>_xlfn.XLOOKUP(DX$1,generator!$B$2:$B$295,generator!$Q$2:$Q$295,"ARGH")</f>
        <v>9000</v>
      </c>
      <c r="DY22" s="3">
        <f>_xlfn.XLOOKUP(DY$1,generator!$B$2:$B$295,generator!$Q$2:$Q$295,"ARGH")</f>
        <v>9000</v>
      </c>
      <c r="DZ22" s="3">
        <f>_xlfn.XLOOKUP(DZ$1,generator!$B$2:$B$295,generator!$Q$2:$Q$295,"ARGH")</f>
        <v>9000</v>
      </c>
      <c r="EA22" s="3">
        <f>_xlfn.XLOOKUP(EA$1,generator!$B$2:$B$295,generator!$Q$2:$Q$295,"ARGH")</f>
        <v>9000</v>
      </c>
      <c r="EB22" s="3">
        <f>_xlfn.XLOOKUP(EB$1,generator!$B$2:$B$295,generator!$Q$2:$Q$295,"ARGH")</f>
        <v>9000</v>
      </c>
      <c r="EC22" s="3">
        <f>_xlfn.XLOOKUP(EC$1,generator!$B$2:$B$295,generator!$Q$2:$Q$295,"ARGH")</f>
        <v>9000</v>
      </c>
      <c r="ED22" s="3">
        <f>_xlfn.XLOOKUP(ED$1,generator!$B$2:$B$295,generator!$Q$2:$Q$295,"ARGH")</f>
        <v>9000</v>
      </c>
      <c r="EE22" s="3">
        <f>_xlfn.XLOOKUP(EE$1,generator!$B$2:$B$295,generator!$Q$2:$Q$295,"ARGH")</f>
        <v>9000</v>
      </c>
      <c r="EF22" s="3">
        <f>_xlfn.XLOOKUP(EF$1,generator!$B$2:$B$295,generator!$Q$2:$Q$295,"ARGH")</f>
        <v>9000</v>
      </c>
      <c r="EG22" s="3">
        <f>_xlfn.XLOOKUP(EG$1,generator!$B$2:$B$295,generator!$Q$2:$Q$295,"ARGH")</f>
        <v>9000</v>
      </c>
      <c r="EH22" s="3">
        <f>_xlfn.XLOOKUP(EH$1,generator!$B$2:$B$295,generator!$Q$2:$Q$295,"ARGH")</f>
        <v>9000</v>
      </c>
      <c r="EI22" s="3">
        <f>_xlfn.XLOOKUP(EI$1,generator!$B$2:$B$295,generator!$Q$2:$Q$295,"ARGH")</f>
        <v>9000</v>
      </c>
      <c r="EJ22" s="3">
        <f>_xlfn.XLOOKUP(EJ$1,generator!$B$2:$B$295,generator!$Q$2:$Q$295,"ARGH")</f>
        <v>9000</v>
      </c>
      <c r="EK22" s="3">
        <f>_xlfn.XLOOKUP(EK$1,generator!$B$2:$B$295,generator!$Q$2:$Q$295,"ARGH")</f>
        <v>9000</v>
      </c>
      <c r="EL22" s="3">
        <f>_xlfn.XLOOKUP(EL$1,generator!$B$2:$B$295,generator!$Q$2:$Q$295,"ARGH")</f>
        <v>9000</v>
      </c>
      <c r="EM22" s="3">
        <f>_xlfn.XLOOKUP(EM$1,generator!$B$2:$B$295,generator!$Q$2:$Q$295,"ARGH")</f>
        <v>9000</v>
      </c>
      <c r="EN22" s="3">
        <f>_xlfn.XLOOKUP(EN$1,generator!$B$2:$B$295,generator!$Q$2:$Q$295,"ARGH")</f>
        <v>9000</v>
      </c>
      <c r="EO22" s="3">
        <f>_xlfn.XLOOKUP(EO$1,generator!$B$2:$B$295,generator!$Q$2:$Q$295,"ARGH")</f>
        <v>9000</v>
      </c>
      <c r="EP22" s="3">
        <f>_xlfn.XLOOKUP(EP$1,generator!$B$2:$B$295,generator!$Q$2:$Q$295,"ARGH")</f>
        <v>9000</v>
      </c>
      <c r="EQ22" s="3">
        <f>_xlfn.XLOOKUP(EQ$1,generator!$B$2:$B$295,generator!$Q$2:$Q$295,"ARGH")</f>
        <v>9000</v>
      </c>
      <c r="ER22" s="3">
        <f>_xlfn.XLOOKUP(ER$1,generator!$B$2:$B$295,generator!$Q$2:$Q$295,"ARGH")</f>
        <v>9000</v>
      </c>
      <c r="ES22" s="3">
        <f>_xlfn.XLOOKUP(ES$1,generator!$B$2:$B$295,generator!$Q$2:$Q$295,"ARGH")</f>
        <v>9000</v>
      </c>
      <c r="ET22" s="3">
        <f>_xlfn.XLOOKUP(ET$1,generator!$B$2:$B$295,generator!$Q$2:$Q$295,"ARGH")</f>
        <v>9000</v>
      </c>
      <c r="EU22" s="3">
        <f>_xlfn.XLOOKUP(EU$1,generator!$B$2:$B$295,generator!$Q$2:$Q$295,"ARGH")</f>
        <v>9000</v>
      </c>
      <c r="EV22" s="3">
        <f>_xlfn.XLOOKUP(EV$1,generator!$B$2:$B$295,generator!$Q$2:$Q$295,"ARGH")</f>
        <v>9000</v>
      </c>
      <c r="EW22" s="3">
        <f>_xlfn.XLOOKUP(EW$1,generator!$B$2:$B$295,generator!$Q$2:$Q$295,"ARGH")</f>
        <v>9000</v>
      </c>
      <c r="EX22" s="3">
        <f>_xlfn.XLOOKUP(EX$1,generator!$B$2:$B$295,generator!$Q$2:$Q$295,"ARGH")</f>
        <v>9000</v>
      </c>
      <c r="EY22" s="3">
        <f>_xlfn.XLOOKUP(EY$1,generator!$B$2:$B$295,generator!$Q$2:$Q$295,"ARGH")</f>
        <v>9000</v>
      </c>
      <c r="EZ22" s="3">
        <f>_xlfn.XLOOKUP(EZ$1,generator!$B$2:$B$295,generator!$Q$2:$Q$295,"ARGH")</f>
        <v>9000</v>
      </c>
      <c r="FA22" s="3">
        <f>_xlfn.XLOOKUP(FA$1,generator!$B$2:$B$295,generator!$Q$2:$Q$295,"ARGH")</f>
        <v>9000</v>
      </c>
      <c r="FB22" s="3">
        <f>_xlfn.XLOOKUP(FB$1,generator!$B$2:$B$295,generator!$Q$2:$Q$295,"ARGH")</f>
        <v>9000</v>
      </c>
      <c r="FC22" s="3">
        <f>_xlfn.XLOOKUP(FC$1,generator!$B$2:$B$295,generator!$Q$2:$Q$295,"ARGH")</f>
        <v>9000</v>
      </c>
      <c r="FD22" s="3">
        <f>_xlfn.XLOOKUP(FD$1,generator!$B$2:$B$295,generator!$Q$2:$Q$295,"ARGH")</f>
        <v>9000</v>
      </c>
      <c r="FE22" s="3">
        <f>_xlfn.XLOOKUP(FE$1,generator!$B$2:$B$295,generator!$Q$2:$Q$295,"ARGH")</f>
        <v>9000</v>
      </c>
      <c r="FF22" s="3">
        <f>_xlfn.XLOOKUP(FF$1,generator!$B$2:$B$295,generator!$Q$2:$Q$295,"ARGH")</f>
        <v>9000</v>
      </c>
      <c r="FG22" s="3">
        <f>_xlfn.XLOOKUP(FG$1,generator!$B$2:$B$295,generator!$Q$2:$Q$295,"ARGH")</f>
        <v>9000</v>
      </c>
      <c r="FH22" s="3">
        <f>_xlfn.XLOOKUP(FH$1,generator!$B$2:$B$295,generator!$Q$2:$Q$295,"ARGH")</f>
        <v>9000</v>
      </c>
      <c r="FI22" s="3">
        <f>_xlfn.XLOOKUP(FI$1,generator!$B$2:$B$295,generator!$Q$2:$Q$295,"ARGH")</f>
        <v>9000</v>
      </c>
      <c r="FJ22" s="3">
        <f>_xlfn.XLOOKUP(FJ$1,generator!$B$2:$B$295,generator!$Q$2:$Q$295,"ARGH")</f>
        <v>9000</v>
      </c>
      <c r="FK22" s="3">
        <f>_xlfn.XLOOKUP(FK$1,generator!$B$2:$B$295,generator!$Q$2:$Q$295,"ARGH")</f>
        <v>9000</v>
      </c>
      <c r="FL22" s="3">
        <f>_xlfn.XLOOKUP(FL$1,generator!$B$2:$B$295,generator!$Q$2:$Q$295,"ARGH")</f>
        <v>9000</v>
      </c>
      <c r="FM22" s="3">
        <f>_xlfn.XLOOKUP(FM$1,generator!$B$2:$B$295,generator!$Q$2:$Q$295,"ARGH")</f>
        <v>9000</v>
      </c>
      <c r="FN22" s="3">
        <f>_xlfn.XLOOKUP(FN$1,generator!$B$2:$B$295,generator!$Q$2:$Q$295,"ARGH")</f>
        <v>9000</v>
      </c>
      <c r="FO22" s="3">
        <f>_xlfn.XLOOKUP(FO$1,generator!$B$2:$B$295,generator!$Q$2:$Q$295,"ARGH")</f>
        <v>9000</v>
      </c>
      <c r="FP22" s="3">
        <f>_xlfn.XLOOKUP(FP$1,generator!$B$2:$B$295,generator!$Q$2:$Q$295,"ARGH")</f>
        <v>9000</v>
      </c>
      <c r="FQ22" s="3">
        <f>_xlfn.XLOOKUP(FQ$1,generator!$B$2:$B$295,generator!$Q$2:$Q$295,"ARGH")</f>
        <v>9000</v>
      </c>
      <c r="FR22" s="3">
        <f>_xlfn.XLOOKUP(FR$1,generator!$B$2:$B$295,generator!$Q$2:$Q$295,"ARGH")</f>
        <v>9000</v>
      </c>
      <c r="FS22" s="3">
        <f>_xlfn.XLOOKUP(FS$1,generator!$B$2:$B$295,generator!$Q$2:$Q$295,"ARGH")</f>
        <v>9000</v>
      </c>
      <c r="FT22" s="3">
        <f>_xlfn.XLOOKUP(FT$1,generator!$B$2:$B$295,generator!$Q$2:$Q$295,"ARGH")</f>
        <v>9000</v>
      </c>
      <c r="FU22" s="3">
        <f>_xlfn.XLOOKUP(FU$1,generator!$B$2:$B$295,generator!$Q$2:$Q$295,"ARGH")</f>
        <v>9000</v>
      </c>
      <c r="FV22" s="3">
        <f>_xlfn.XLOOKUP(FV$1,generator!$B$2:$B$295,generator!$Q$2:$Q$295,"ARGH")</f>
        <v>9000</v>
      </c>
      <c r="FW22" s="3">
        <f>_xlfn.XLOOKUP(FW$1,generator!$B$2:$B$295,generator!$Q$2:$Q$295,"ARGH")</f>
        <v>9000</v>
      </c>
      <c r="FX22" s="3">
        <f>_xlfn.XLOOKUP(FX$1,generator!$B$2:$B$295,generator!$Q$2:$Q$295,"ARGH")</f>
        <v>9000</v>
      </c>
      <c r="FY22" s="3">
        <f>_xlfn.XLOOKUP(FY$1,generator!$B$2:$B$295,generator!$Q$2:$Q$295,"ARGH")</f>
        <v>9000</v>
      </c>
      <c r="FZ22" s="3">
        <f>_xlfn.XLOOKUP(FZ$1,generator!$B$2:$B$295,generator!$Q$2:$Q$295,"ARGH")</f>
        <v>9000</v>
      </c>
      <c r="GA22" s="3">
        <f>_xlfn.XLOOKUP(GA$1,generator!$B$2:$B$295,generator!$Q$2:$Q$295,"ARGH")</f>
        <v>9000</v>
      </c>
      <c r="GB22" s="3">
        <f>_xlfn.XLOOKUP(GB$1,generator!$B$2:$B$295,generator!$Q$2:$Q$295,"ARGH")</f>
        <v>9000</v>
      </c>
      <c r="GC22" s="3">
        <f>_xlfn.XLOOKUP(GC$1,generator!$B$2:$B$295,generator!$Q$2:$Q$295,"ARGH")</f>
        <v>9000</v>
      </c>
      <c r="GD22" s="3">
        <f>_xlfn.XLOOKUP(GD$1,generator!$B$2:$B$295,generator!$Q$2:$Q$295,"ARGH")</f>
        <v>9000</v>
      </c>
      <c r="GE22" s="3">
        <f>_xlfn.XLOOKUP(GE$1,generator!$B$2:$B$295,generator!$Q$2:$Q$295,"ARGH")</f>
        <v>9000</v>
      </c>
      <c r="GF22" s="3">
        <f>_xlfn.XLOOKUP(GF$1,generator!$B$2:$B$295,generator!$Q$2:$Q$295,"ARGH")</f>
        <v>9000</v>
      </c>
      <c r="GG22" s="3">
        <f>_xlfn.XLOOKUP(GG$1,generator!$B$2:$B$295,generator!$Q$2:$Q$295,"ARGH")</f>
        <v>9000</v>
      </c>
      <c r="GH22" s="3">
        <f>_xlfn.XLOOKUP(GH$1,generator!$B$2:$B$295,generator!$Q$2:$Q$295,"ARGH")</f>
        <v>9000</v>
      </c>
      <c r="GI22" s="3">
        <f>_xlfn.XLOOKUP(GI$1,generator!$B$2:$B$295,generator!$Q$2:$Q$295,"ARGH")</f>
        <v>9000</v>
      </c>
      <c r="GJ22" s="3">
        <f>_xlfn.XLOOKUP(GJ$1,generator!$B$2:$B$295,generator!$Q$2:$Q$295,"ARGH")</f>
        <v>9000</v>
      </c>
      <c r="GK22" s="3">
        <f>_xlfn.XLOOKUP(GK$1,generator!$B$2:$B$295,generator!$Q$2:$Q$295,"ARGH")</f>
        <v>9000</v>
      </c>
      <c r="GL22" s="3">
        <f>_xlfn.XLOOKUP(GL$1,generator!$B$2:$B$295,generator!$Q$2:$Q$295,"ARGH")</f>
        <v>9000</v>
      </c>
      <c r="GM22" s="3">
        <f>_xlfn.XLOOKUP(GM$1,generator!$B$2:$B$295,generator!$Q$2:$Q$295,"ARGH")</f>
        <v>9000</v>
      </c>
      <c r="GN22" s="3">
        <f>_xlfn.XLOOKUP(GN$1,generator!$B$2:$B$295,generator!$Q$2:$Q$295,"ARGH")</f>
        <v>9000</v>
      </c>
      <c r="GO22" s="3">
        <f>_xlfn.XLOOKUP(GO$1,generator!$B$2:$B$295,generator!$Q$2:$Q$295,"ARGH")</f>
        <v>9000</v>
      </c>
      <c r="GP22" s="3">
        <f>_xlfn.XLOOKUP(GP$1,generator!$B$2:$B$295,generator!$Q$2:$Q$295,"ARGH")</f>
        <v>9000</v>
      </c>
      <c r="GQ22" s="3">
        <f>_xlfn.XLOOKUP(GQ$1,generator!$B$2:$B$295,generator!$Q$2:$Q$295,"ARGH")</f>
        <v>9000</v>
      </c>
      <c r="GR22" s="3">
        <f>_xlfn.XLOOKUP(GR$1,generator!$B$2:$B$295,generator!$Q$2:$Q$295,"ARGH")</f>
        <v>9000</v>
      </c>
      <c r="GS22" s="3">
        <f>_xlfn.XLOOKUP(GS$1,generator!$B$2:$B$295,generator!$Q$2:$Q$295,"ARGH")</f>
        <v>9000</v>
      </c>
      <c r="GT22" s="3">
        <f>_xlfn.XLOOKUP(GT$1,generator!$B$2:$B$295,generator!$Q$2:$Q$295,"ARGH")</f>
        <v>9000</v>
      </c>
      <c r="GU22" s="3">
        <f>_xlfn.XLOOKUP(GU$1,generator!$B$2:$B$295,generator!$Q$2:$Q$295,"ARGH")</f>
        <v>9000</v>
      </c>
      <c r="GV22" s="3">
        <f>_xlfn.XLOOKUP(GV$1,generator!$B$2:$B$295,generator!$Q$2:$Q$295,"ARGH")</f>
        <v>9000</v>
      </c>
      <c r="GW22" s="3">
        <f>_xlfn.XLOOKUP(GW$1,generator!$B$2:$B$295,generator!$Q$2:$Q$295,"ARGH")</f>
        <v>9000</v>
      </c>
      <c r="GX22" s="3">
        <f>_xlfn.XLOOKUP(GX$1,generator!$B$2:$B$295,generator!$Q$2:$Q$295,"ARGH")</f>
        <v>9000</v>
      </c>
      <c r="GY22" s="3">
        <f>_xlfn.XLOOKUP(GY$1,generator!$B$2:$B$295,generator!$Q$2:$Q$295,"ARGH")</f>
        <v>9000</v>
      </c>
      <c r="GZ22" s="3">
        <f>_xlfn.XLOOKUP(GZ$1,generator!$B$2:$B$295,generator!$Q$2:$Q$295,"ARGH")</f>
        <v>9000</v>
      </c>
      <c r="HA22" s="3">
        <f>_xlfn.XLOOKUP(HA$1,generator!$B$2:$B$295,generator!$Q$2:$Q$295,"ARGH")</f>
        <v>9000</v>
      </c>
      <c r="HB22" s="3">
        <f>_xlfn.XLOOKUP(HB$1,generator!$B$2:$B$295,generator!$Q$2:$Q$295,"ARGH")</f>
        <v>9000</v>
      </c>
      <c r="HC22" s="3">
        <f>_xlfn.XLOOKUP(HC$1,generator!$B$2:$B$295,generator!$Q$2:$Q$295,"ARGH")</f>
        <v>9000</v>
      </c>
      <c r="HD22" s="3">
        <f>_xlfn.XLOOKUP(HD$1,generator!$B$2:$B$295,generator!$Q$2:$Q$295,"ARGH")</f>
        <v>9000</v>
      </c>
      <c r="HE22" s="3">
        <f>_xlfn.XLOOKUP(HE$1,generator!$B$2:$B$295,generator!$Q$2:$Q$295,"ARGH")</f>
        <v>8000</v>
      </c>
      <c r="HF22" s="3" t="str">
        <f>_xlfn.XLOOKUP(HF$1,generator!$B$2:$B$295,generator!$Q$2:$Q$295,"ARGH")</f>
        <v>143</v>
      </c>
      <c r="HG22" s="3" t="str">
        <f>_xlfn.XLOOKUP(HG$1,generator!$B$2:$B$295,generator!$Q$2:$Q$295,"ARGH")</f>
        <v>143</v>
      </c>
      <c r="HH22" s="3" t="str">
        <f>_xlfn.XLOOKUP(HH$1,generator!$B$2:$B$295,generator!$Q$2:$Q$295,"ARGH")</f>
        <v>143</v>
      </c>
      <c r="HI22" s="3" t="str">
        <f>_xlfn.XLOOKUP(HI$1,generator!$B$2:$B$295,generator!$Q$2:$Q$295,"ARGH")</f>
        <v>246.74</v>
      </c>
      <c r="HJ22" s="3" t="str">
        <f>_xlfn.XLOOKUP(HJ$1,generator!$B$2:$B$295,generator!$Q$2:$Q$295,"ARGH")</f>
        <v>246.74</v>
      </c>
      <c r="HK22" s="3" t="str">
        <f>_xlfn.XLOOKUP(HK$1,generator!$B$2:$B$295,generator!$Q$2:$Q$295,"ARGH")</f>
        <v>206.04</v>
      </c>
      <c r="HL22" s="3" t="str">
        <f>_xlfn.XLOOKUP(HL$1,generator!$B$2:$B$295,generator!$Q$2:$Q$295,"ARGH")</f>
        <v>506.96</v>
      </c>
      <c r="HM22" s="3" t="str">
        <f>_xlfn.XLOOKUP(HM$1,generator!$B$2:$B$295,generator!$Q$2:$Q$295,"ARGH")</f>
        <v>506.95</v>
      </c>
      <c r="HN22" s="3" t="str">
        <f>_xlfn.XLOOKUP(HN$1,generator!$B$2:$B$295,generator!$Q$2:$Q$295,"ARGH")</f>
        <v>190.97</v>
      </c>
      <c r="HO22" s="3" t="str">
        <f>_xlfn.XLOOKUP(HO$1,generator!$B$2:$B$295,generator!$Q$2:$Q$295,"ARGH")</f>
        <v>190.97</v>
      </c>
      <c r="HP22" s="3" t="str">
        <f>_xlfn.XLOOKUP(HP$1,generator!$B$2:$B$295,generator!$Q$2:$Q$295,"ARGH")</f>
        <v>424.84</v>
      </c>
      <c r="HQ22" s="3" t="str">
        <f>_xlfn.XLOOKUP(HQ$1,generator!$B$2:$B$295,generator!$Q$2:$Q$295,"ARGH")</f>
        <v>425.9</v>
      </c>
      <c r="HR22" s="3" t="str">
        <f>_xlfn.XLOOKUP(HR$1,generator!$B$2:$B$295,generator!$Q$2:$Q$295,"ARGH")</f>
        <v>425.9</v>
      </c>
      <c r="HS22" s="3" t="str">
        <f>_xlfn.XLOOKUP(HS$1,generator!$B$2:$B$295,generator!$Q$2:$Q$295,"ARGH")</f>
        <v>196.54</v>
      </c>
      <c r="HT22" s="3" t="str">
        <f>_xlfn.XLOOKUP(HT$1,generator!$B$2:$B$295,generator!$Q$2:$Q$295,"ARGH")</f>
        <v>196.54</v>
      </c>
      <c r="HU22" s="3" t="str">
        <f>_xlfn.XLOOKUP(HU$1,generator!$B$2:$B$295,generator!$Q$2:$Q$295,"ARGH")</f>
        <v>145.57</v>
      </c>
      <c r="HV22" s="3" t="str">
        <f>_xlfn.XLOOKUP(HV$1,generator!$B$2:$B$295,generator!$Q$2:$Q$295,"ARGH")</f>
        <v>132.62</v>
      </c>
      <c r="HW22" s="3" t="str">
        <f>_xlfn.XLOOKUP(HW$1,generator!$B$2:$B$295,generator!$Q$2:$Q$295,"ARGH")</f>
        <v>193.76</v>
      </c>
      <c r="HX22" s="3" t="str">
        <f>_xlfn.XLOOKUP(HX$1,generator!$B$2:$B$295,generator!$Q$2:$Q$295,"ARGH")</f>
        <v>193.76</v>
      </c>
      <c r="HY22" s="3" t="str">
        <f>_xlfn.XLOOKUP(HY$1,generator!$B$2:$B$295,generator!$Q$2:$Q$295,"ARGH")</f>
        <v>79.19</v>
      </c>
      <c r="HZ22" s="3" t="str">
        <f>_xlfn.XLOOKUP(HZ$1,generator!$B$2:$B$295,generator!$Q$2:$Q$295,"ARGH")</f>
        <v>125.79</v>
      </c>
      <c r="IA22" s="3" t="str">
        <f>_xlfn.XLOOKUP(IA$1,generator!$B$2:$B$295,generator!$Q$2:$Q$295,"ARGH")</f>
        <v>54.19</v>
      </c>
      <c r="IB22" s="3" t="str">
        <f>_xlfn.XLOOKUP(IB$1,generator!$B$2:$B$295,generator!$Q$2:$Q$295,"ARGH")</f>
        <v>59.7</v>
      </c>
      <c r="IC22" s="3">
        <f>_xlfn.XLOOKUP(IC$1,generator!$B$2:$B$295,generator!$Q$2:$Q$295,"ARGH")</f>
        <v>0</v>
      </c>
      <c r="ID22" s="3" t="str">
        <f>_xlfn.XLOOKUP(ID$1,generator!$B$2:$B$295,generator!$Q$2:$Q$295,"ARGH")</f>
        <v>121.14</v>
      </c>
      <c r="IE22" s="3" t="str">
        <f>_xlfn.XLOOKUP(IE$1,generator!$B$2:$B$295,generator!$Q$2:$Q$295,"ARGH")</f>
        <v>26.6</v>
      </c>
      <c r="IF22" s="3">
        <f>_xlfn.XLOOKUP(IF$1,generator!$B$2:$B$295,generator!$Q$2:$Q$295,"ARGH")</f>
        <v>8000</v>
      </c>
      <c r="IG22" s="3">
        <f>_xlfn.XLOOKUP(IG$1,generator!$B$2:$B$295,generator!$Q$2:$Q$295,"ARGH")</f>
        <v>8000</v>
      </c>
      <c r="IH22" s="3">
        <f>_xlfn.XLOOKUP(IH$1,generator!$B$2:$B$295,generator!$Q$2:$Q$295,"ARGH")</f>
        <v>8000</v>
      </c>
      <c r="II22" s="3">
        <f>_xlfn.XLOOKUP(II$1,generator!$B$2:$B$295,generator!$Q$2:$Q$295,"ARGH")</f>
        <v>8000</v>
      </c>
      <c r="IJ22" s="3">
        <f>_xlfn.XLOOKUP(IJ$1,generator!$B$2:$B$295,generator!$Q$2:$Q$295,"ARGH")</f>
        <v>8000</v>
      </c>
      <c r="IK22" s="3">
        <f>_xlfn.XLOOKUP(IK$1,generator!$B$2:$B$295,generator!$Q$2:$Q$295,"ARGH")</f>
        <v>8000</v>
      </c>
      <c r="IL22" s="3">
        <f>_xlfn.XLOOKUP(IL$1,generator!$B$2:$B$295,generator!$Q$2:$Q$295,"ARGH")</f>
        <v>8000</v>
      </c>
      <c r="IM22" s="3">
        <f>_xlfn.XLOOKUP(IM$1,generator!$B$2:$B$295,generator!$Q$2:$Q$295,"ARGH")</f>
        <v>8000</v>
      </c>
      <c r="IN22" s="3">
        <f>_xlfn.XLOOKUP(IN$1,generator!$B$2:$B$295,generator!$Q$2:$Q$295,"ARGH")</f>
        <v>8000</v>
      </c>
      <c r="IO22" s="3">
        <f>_xlfn.XLOOKUP(IO$1,generator!$B$2:$B$295,generator!$Q$2:$Q$295,"ARGH")</f>
        <v>8000</v>
      </c>
      <c r="IP22" s="3">
        <f>_xlfn.XLOOKUP(IP$1,generator!$B$2:$B$295,generator!$Q$2:$Q$295,"ARGH")</f>
        <v>8000</v>
      </c>
      <c r="IQ22" s="3">
        <f>_xlfn.XLOOKUP(IQ$1,generator!$B$2:$B$295,generator!$Q$2:$Q$295,"ARGH")</f>
        <v>8000</v>
      </c>
      <c r="IR22" s="3">
        <f>_xlfn.XLOOKUP(IR$1,generator!$B$2:$B$295,generator!$Q$2:$Q$295,"ARGH")</f>
        <v>8000</v>
      </c>
      <c r="IS22" s="3">
        <f>_xlfn.XLOOKUP(IS$1,generator!$B$2:$B$295,generator!$Q$2:$Q$295,"ARGH")</f>
        <v>8000</v>
      </c>
      <c r="IT22" s="3">
        <f>_xlfn.XLOOKUP(IT$1,generator!$B$2:$B$295,generator!$Q$2:$Q$295,"ARGH")</f>
        <v>8000</v>
      </c>
      <c r="IU22" s="3">
        <f>_xlfn.XLOOKUP(IU$1,generator!$B$2:$B$295,generator!$Q$2:$Q$295,"ARGH")</f>
        <v>8000</v>
      </c>
      <c r="IV22" s="3">
        <f>_xlfn.XLOOKUP(IV$1,generator!$B$2:$B$295,generator!$Q$2:$Q$295,"ARGH")</f>
        <v>8000</v>
      </c>
      <c r="IW22" s="3" t="str">
        <f>_xlfn.XLOOKUP(IW$1,generator!$B$2:$B$295,generator!$Q$2:$Q$295,"ARGH")</f>
        <v>108.19</v>
      </c>
      <c r="IX22" s="3" t="str">
        <f>_xlfn.XLOOKUP(IX$1,generator!$B$2:$B$295,generator!$Q$2:$Q$295,"ARGH")</f>
        <v>108.18</v>
      </c>
      <c r="IY22" s="3" t="str">
        <f>_xlfn.XLOOKUP(IY$1,generator!$B$2:$B$295,generator!$Q$2:$Q$295,"ARGH")</f>
        <v>108.17</v>
      </c>
      <c r="IZ22" s="3" t="str">
        <f>_xlfn.XLOOKUP(IZ$1,generator!$B$2:$B$295,generator!$Q$2:$Q$295,"ARGH")</f>
        <v>40.96</v>
      </c>
      <c r="JA22" s="3">
        <f>_xlfn.XLOOKUP(JA$1,generator!$B$2:$B$295,generator!$Q$2:$Q$295,"ARGH")</f>
        <v>0</v>
      </c>
      <c r="JB22" s="3">
        <f>_xlfn.XLOOKUP(JB$1,generator!$B$2:$B$295,generator!$Q$2:$Q$295,"ARGH")</f>
        <v>0</v>
      </c>
      <c r="JC22" s="3" t="str">
        <f>_xlfn.XLOOKUP(JC$1,generator!$B$2:$B$295,generator!$Q$2:$Q$295,"ARGH")</f>
        <v>75.91</v>
      </c>
      <c r="JD22" s="3" t="str">
        <f>_xlfn.XLOOKUP(JD$1,generator!$B$2:$B$295,generator!$Q$2:$Q$295,"ARGH")</f>
        <v>75.91</v>
      </c>
      <c r="JE22" s="3" t="str">
        <f>_xlfn.XLOOKUP(JE$1,generator!$B$2:$B$295,generator!$Q$2:$Q$295,"ARGH")</f>
        <v>51.59</v>
      </c>
      <c r="JF22" s="3" t="str">
        <f>_xlfn.XLOOKUP(JF$1,generator!$B$2:$B$295,generator!$Q$2:$Q$295,"ARGH")</f>
        <v>111.57</v>
      </c>
      <c r="JG22" s="3">
        <f>_xlfn.XLOOKUP(JG$1,generator!$B$2:$B$295,generator!$Q$2:$Q$295,"ARGH")</f>
        <v>0</v>
      </c>
      <c r="JH22" s="3" t="str">
        <f>_xlfn.XLOOKUP(JH$1,generator!$B$2:$B$295,generator!$Q$2:$Q$295,"ARGH")</f>
        <v>48.65</v>
      </c>
      <c r="JI22" s="3" t="str">
        <f>_xlfn.XLOOKUP(JI$1,generator!$B$2:$B$295,generator!$Q$2:$Q$295,"ARGH")</f>
        <v>71.88</v>
      </c>
      <c r="JJ22" s="3" t="str">
        <f>_xlfn.XLOOKUP(JJ$1,generator!$B$2:$B$295,generator!$Q$2:$Q$295,"ARGH")</f>
        <v>98.17</v>
      </c>
      <c r="JK22" s="3" t="str">
        <f>_xlfn.XLOOKUP(JK$1,generator!$B$2:$B$295,generator!$Q$2:$Q$295,"ARGH")</f>
        <v>98.17</v>
      </c>
      <c r="JL22" s="3" t="str">
        <f>_xlfn.XLOOKUP(JL$1,generator!$B$2:$B$295,generator!$Q$2:$Q$295,"ARGH")</f>
        <v>98.17</v>
      </c>
      <c r="JM22" s="3" t="str">
        <f>_xlfn.XLOOKUP(JM$1,generator!$B$2:$B$295,generator!$Q$2:$Q$295,"ARGH")</f>
        <v>98.17</v>
      </c>
      <c r="JN22" s="3" t="str">
        <f>_xlfn.XLOOKUP(JN$1,generator!$B$2:$B$295,generator!$Q$2:$Q$295,"ARGH")</f>
        <v>98.17</v>
      </c>
      <c r="JO22" s="3" t="str">
        <f>_xlfn.XLOOKUP(JO$1,generator!$B$2:$B$295,generator!$Q$2:$Q$295,"ARGH")</f>
        <v>98.17</v>
      </c>
      <c r="JP22" s="3" t="str">
        <f>_xlfn.XLOOKUP(JP$1,generator!$B$2:$B$295,generator!$Q$2:$Q$295,"ARGH")</f>
        <v>47.53</v>
      </c>
      <c r="JQ22" s="3" t="str">
        <f>_xlfn.XLOOKUP(JQ$1,generator!$B$2:$B$295,generator!$Q$2:$Q$295,"ARGH")</f>
        <v>108.86</v>
      </c>
      <c r="JR22" s="3" t="str">
        <f>_xlfn.XLOOKUP(JR$1,generator!$B$2:$B$295,generator!$Q$2:$Q$295,"ARGH")</f>
        <v>83.15</v>
      </c>
      <c r="JS22" s="3" t="str">
        <f>_xlfn.XLOOKUP(JS$1,generator!$B$2:$B$295,generator!$Q$2:$Q$295,"ARGH")</f>
        <v>83.15</v>
      </c>
      <c r="JT22" s="3" t="str">
        <f>_xlfn.XLOOKUP(JT$1,generator!$B$2:$B$295,generator!$Q$2:$Q$295,"ARGH")</f>
        <v>108.86</v>
      </c>
      <c r="JU22" s="3">
        <f>_xlfn.XLOOKUP(JU$1,generator!$B$2:$B$295,generator!$Q$2:$Q$295,"ARGH")</f>
        <v>0</v>
      </c>
      <c r="JV22" s="3" t="str">
        <f>_xlfn.XLOOKUP(JV$1,generator!$B$2:$B$295,generator!$Q$2:$Q$295,"ARGH")</f>
        <v>77.63</v>
      </c>
      <c r="JW22" s="3" t="str">
        <f>_xlfn.XLOOKUP(JW$1,generator!$B$2:$B$295,generator!$Q$2:$Q$295,"ARGH")</f>
        <v>77.64</v>
      </c>
      <c r="JX22" s="3" t="str">
        <f>_xlfn.XLOOKUP(JX$1,generator!$B$2:$B$295,generator!$Q$2:$Q$295,"ARGH")</f>
        <v>331.49</v>
      </c>
      <c r="JY22" s="3">
        <f>_xlfn.XLOOKUP(JY$1,generator!$B$2:$B$295,generator!$Q$2:$Q$295,"ARGH")</f>
        <v>7000</v>
      </c>
      <c r="JZ22" s="3">
        <f>_xlfn.XLOOKUP(JZ$1,generator!$B$2:$B$295,generator!$Q$2:$Q$295,"ARGH")</f>
        <v>0</v>
      </c>
      <c r="KA22" s="3">
        <f>_xlfn.XLOOKUP(KA$1,generator!$B$2:$B$295,generator!$Q$2:$Q$295,"ARGH")</f>
        <v>0</v>
      </c>
      <c r="KB22" s="3">
        <f>_xlfn.XLOOKUP(KB$1,generator!$B$2:$B$295,generator!$Q$2:$Q$295,"ARGH")</f>
        <v>0</v>
      </c>
      <c r="KC22" s="3">
        <f>_xlfn.XLOOKUP(KC$1,generator!$B$2:$B$295,generator!$Q$2:$Q$295,"ARGH")</f>
        <v>0</v>
      </c>
    </row>
    <row r="23" spans="1:289" x14ac:dyDescent="0.3">
      <c r="A23" s="4" t="s">
        <v>3018</v>
      </c>
      <c r="B23" s="3">
        <v>15000</v>
      </c>
      <c r="C23" s="3">
        <v>15000</v>
      </c>
      <c r="D23" s="3">
        <v>15000</v>
      </c>
      <c r="E23" s="3">
        <f>_xlfn.XLOOKUP(E$1,generator!$B$2:$B$295,generator!$Q$2:$Q$295,"ARGH")</f>
        <v>9000</v>
      </c>
      <c r="F23" s="3">
        <f>_xlfn.XLOOKUP(F$1,generator!$B$2:$B$295,generator!$Q$2:$Q$295,"ARGH")</f>
        <v>9000</v>
      </c>
      <c r="G23" s="3">
        <f>_xlfn.XLOOKUP(G$1,generator!$B$2:$B$295,generator!$Q$2:$Q$295,"ARGH")</f>
        <v>9000</v>
      </c>
      <c r="H23" s="3">
        <f>_xlfn.XLOOKUP(H$1,generator!$B$2:$B$295,generator!$Q$2:$Q$295,"ARGH")</f>
        <v>9000</v>
      </c>
      <c r="I23" s="3">
        <f>_xlfn.XLOOKUP(I$1,generator!$B$2:$B$295,generator!$Q$2:$Q$295,"ARGH")</f>
        <v>9000</v>
      </c>
      <c r="J23" s="3">
        <f>_xlfn.XLOOKUP(J$1,generator!$B$2:$B$295,generator!$Q$2:$Q$295,"ARGH")</f>
        <v>9000</v>
      </c>
      <c r="K23" s="3">
        <f>_xlfn.XLOOKUP(K$1,generator!$B$2:$B$295,generator!$Q$2:$Q$295,"ARGH")</f>
        <v>9000</v>
      </c>
      <c r="L23" s="3">
        <f>_xlfn.XLOOKUP(L$1,generator!$B$2:$B$295,generator!$Q$2:$Q$295,"ARGH")</f>
        <v>9000</v>
      </c>
      <c r="M23" s="3">
        <f>_xlfn.XLOOKUP(M$1,generator!$B$2:$B$295,generator!$Q$2:$Q$295,"ARGH")</f>
        <v>9000</v>
      </c>
      <c r="N23" s="3">
        <f>_xlfn.XLOOKUP(N$1,generator!$B$2:$B$295,generator!$Q$2:$Q$295,"ARGH")</f>
        <v>9000</v>
      </c>
      <c r="O23" s="3">
        <f>_xlfn.XLOOKUP(O$1,generator!$B$2:$B$295,generator!$Q$2:$Q$295,"ARGH")</f>
        <v>9000</v>
      </c>
      <c r="P23" s="3">
        <f>_xlfn.XLOOKUP(P$1,generator!$B$2:$B$295,generator!$Q$2:$Q$295,"ARGH")</f>
        <v>9000</v>
      </c>
      <c r="Q23" s="3">
        <f>_xlfn.XLOOKUP(Q$1,generator!$B$2:$B$295,generator!$Q$2:$Q$295,"ARGH")</f>
        <v>9000</v>
      </c>
      <c r="R23" s="3">
        <f>_xlfn.XLOOKUP(R$1,generator!$B$2:$B$295,generator!$Q$2:$Q$295,"ARGH")</f>
        <v>9000</v>
      </c>
      <c r="S23" s="3">
        <f>_xlfn.XLOOKUP(S$1,generator!$B$2:$B$295,generator!$Q$2:$Q$295,"ARGH")</f>
        <v>9000</v>
      </c>
      <c r="T23" s="3">
        <f>_xlfn.XLOOKUP(T$1,generator!$B$2:$B$295,generator!$Q$2:$Q$295,"ARGH")</f>
        <v>9000</v>
      </c>
      <c r="U23" s="3">
        <f>_xlfn.XLOOKUP(U$1,generator!$B$2:$B$295,generator!$Q$2:$Q$295,"ARGH")</f>
        <v>9000</v>
      </c>
      <c r="V23" s="3">
        <f>_xlfn.XLOOKUP(V$1,generator!$B$2:$B$295,generator!$Q$2:$Q$295,"ARGH")</f>
        <v>9000</v>
      </c>
      <c r="W23" s="3">
        <f>_xlfn.XLOOKUP(W$1,generator!$B$2:$B$295,generator!$Q$2:$Q$295,"ARGH")</f>
        <v>9000</v>
      </c>
      <c r="X23" s="3">
        <f>_xlfn.XLOOKUP(X$1,generator!$B$2:$B$295,generator!$Q$2:$Q$295,"ARGH")</f>
        <v>9000</v>
      </c>
      <c r="Y23" s="3">
        <f>_xlfn.XLOOKUP(Y$1,generator!$B$2:$B$295,generator!$Q$2:$Q$295,"ARGH")</f>
        <v>9000</v>
      </c>
      <c r="Z23" s="3">
        <f>_xlfn.XLOOKUP(Z$1,generator!$B$2:$B$295,generator!$Q$2:$Q$295,"ARGH")</f>
        <v>9000</v>
      </c>
      <c r="AA23" s="3">
        <f>_xlfn.XLOOKUP(AA$1,generator!$B$2:$B$295,generator!$Q$2:$Q$295,"ARGH")</f>
        <v>9000</v>
      </c>
      <c r="AB23" s="3">
        <f>_xlfn.XLOOKUP(AB$1,generator!$B$2:$B$295,generator!$Q$2:$Q$295,"ARGH")</f>
        <v>9000</v>
      </c>
      <c r="AC23" s="3">
        <f>_xlfn.XLOOKUP(AC$1,generator!$B$2:$B$295,generator!$Q$2:$Q$295,"ARGH")</f>
        <v>9000</v>
      </c>
      <c r="AD23" s="3">
        <f>_xlfn.XLOOKUP(AD$1,generator!$B$2:$B$295,generator!$Q$2:$Q$295,"ARGH")</f>
        <v>9000</v>
      </c>
      <c r="AE23" s="3">
        <f>_xlfn.XLOOKUP(AE$1,generator!$B$2:$B$295,generator!$Q$2:$Q$295,"ARGH")</f>
        <v>9000</v>
      </c>
      <c r="AF23" s="3">
        <f>_xlfn.XLOOKUP(AF$1,generator!$B$2:$B$295,generator!$Q$2:$Q$295,"ARGH")</f>
        <v>9000</v>
      </c>
      <c r="AG23" s="3">
        <f>_xlfn.XLOOKUP(AG$1,generator!$B$2:$B$295,generator!$Q$2:$Q$295,"ARGH")</f>
        <v>9000</v>
      </c>
      <c r="AH23" s="3">
        <f>_xlfn.XLOOKUP(AH$1,generator!$B$2:$B$295,generator!$Q$2:$Q$295,"ARGH")</f>
        <v>9000</v>
      </c>
      <c r="AI23" s="3">
        <f>_xlfn.XLOOKUP(AI$1,generator!$B$2:$B$295,generator!$Q$2:$Q$295,"ARGH")</f>
        <v>9000</v>
      </c>
      <c r="AJ23" s="3">
        <f>_xlfn.XLOOKUP(AJ$1,generator!$B$2:$B$295,generator!$Q$2:$Q$295,"ARGH")</f>
        <v>9000</v>
      </c>
      <c r="AK23" s="3">
        <f>_xlfn.XLOOKUP(AK$1,generator!$B$2:$B$295,generator!$Q$2:$Q$295,"ARGH")</f>
        <v>9000</v>
      </c>
      <c r="AL23" s="3">
        <f>_xlfn.XLOOKUP(AL$1,generator!$B$2:$B$295,generator!$Q$2:$Q$295,"ARGH")</f>
        <v>9000</v>
      </c>
      <c r="AM23" s="3">
        <f>_xlfn.XLOOKUP(AM$1,generator!$B$2:$B$295,generator!$Q$2:$Q$295,"ARGH")</f>
        <v>9000</v>
      </c>
      <c r="AN23" s="3">
        <f>_xlfn.XLOOKUP(AN$1,generator!$B$2:$B$295,generator!$Q$2:$Q$295,"ARGH")</f>
        <v>9000</v>
      </c>
      <c r="AO23" s="3">
        <f>_xlfn.XLOOKUP(AO$1,generator!$B$2:$B$295,generator!$Q$2:$Q$295,"ARGH")</f>
        <v>9000</v>
      </c>
      <c r="AP23" s="3">
        <f>_xlfn.XLOOKUP(AP$1,generator!$B$2:$B$295,generator!$Q$2:$Q$295,"ARGH")</f>
        <v>9000</v>
      </c>
      <c r="AQ23" s="3">
        <f>_xlfn.XLOOKUP(AQ$1,generator!$B$2:$B$295,generator!$Q$2:$Q$295,"ARGH")</f>
        <v>9000</v>
      </c>
      <c r="AR23" s="3">
        <f>_xlfn.XLOOKUP(AR$1,generator!$B$2:$B$295,generator!$Q$2:$Q$295,"ARGH")</f>
        <v>9000</v>
      </c>
      <c r="AS23" s="3">
        <f>_xlfn.XLOOKUP(AS$1,generator!$B$2:$B$295,generator!$Q$2:$Q$295,"ARGH")</f>
        <v>9000</v>
      </c>
      <c r="AT23" s="3">
        <f>_xlfn.XLOOKUP(AT$1,generator!$B$2:$B$295,generator!$Q$2:$Q$295,"ARGH")</f>
        <v>9000</v>
      </c>
      <c r="AU23" s="3">
        <f>_xlfn.XLOOKUP(AU$1,generator!$B$2:$B$295,generator!$Q$2:$Q$295,"ARGH")</f>
        <v>9000</v>
      </c>
      <c r="AV23" s="3">
        <f>_xlfn.XLOOKUP(AV$1,generator!$B$2:$B$295,generator!$Q$2:$Q$295,"ARGH")</f>
        <v>9000</v>
      </c>
      <c r="AW23" s="3">
        <f>_xlfn.XLOOKUP(AW$1,generator!$B$2:$B$295,generator!$Q$2:$Q$295,"ARGH")</f>
        <v>9000</v>
      </c>
      <c r="AX23" s="3">
        <f>_xlfn.XLOOKUP(AX$1,generator!$B$2:$B$295,generator!$Q$2:$Q$295,"ARGH")</f>
        <v>9000</v>
      </c>
      <c r="AY23" s="3">
        <f>_xlfn.XLOOKUP(AY$1,generator!$B$2:$B$295,generator!$Q$2:$Q$295,"ARGH")</f>
        <v>9000</v>
      </c>
      <c r="AZ23" s="3">
        <f>_xlfn.XLOOKUP(AZ$1,generator!$B$2:$B$295,generator!$Q$2:$Q$295,"ARGH")</f>
        <v>9000</v>
      </c>
      <c r="BA23" s="3">
        <f>_xlfn.XLOOKUP(BA$1,generator!$B$2:$B$295,generator!$Q$2:$Q$295,"ARGH")</f>
        <v>9000</v>
      </c>
      <c r="BB23" s="3">
        <f>_xlfn.XLOOKUP(BB$1,generator!$B$2:$B$295,generator!$Q$2:$Q$295,"ARGH")</f>
        <v>9000</v>
      </c>
      <c r="BC23" s="3">
        <f>_xlfn.XLOOKUP(BC$1,generator!$B$2:$B$295,generator!$Q$2:$Q$295,"ARGH")</f>
        <v>9000</v>
      </c>
      <c r="BD23" s="3">
        <f>_xlfn.XLOOKUP(BD$1,generator!$B$2:$B$295,generator!$Q$2:$Q$295,"ARGH")</f>
        <v>9000</v>
      </c>
      <c r="BE23" s="3">
        <f>_xlfn.XLOOKUP(BE$1,generator!$B$2:$B$295,generator!$Q$2:$Q$295,"ARGH")</f>
        <v>9000</v>
      </c>
      <c r="BF23" s="3">
        <f>_xlfn.XLOOKUP(BF$1,generator!$B$2:$B$295,generator!$Q$2:$Q$295,"ARGH")</f>
        <v>9000</v>
      </c>
      <c r="BG23" s="3">
        <f>_xlfn.XLOOKUP(BG$1,generator!$B$2:$B$295,generator!$Q$2:$Q$295,"ARGH")</f>
        <v>9000</v>
      </c>
      <c r="BH23" s="3">
        <f>_xlfn.XLOOKUP(BH$1,generator!$B$2:$B$295,generator!$Q$2:$Q$295,"ARGH")</f>
        <v>9000</v>
      </c>
      <c r="BI23" s="3">
        <f>_xlfn.XLOOKUP(BI$1,generator!$B$2:$B$295,generator!$Q$2:$Q$295,"ARGH")</f>
        <v>9000</v>
      </c>
      <c r="BJ23" s="3">
        <f>_xlfn.XLOOKUP(BJ$1,generator!$B$2:$B$295,generator!$Q$2:$Q$295,"ARGH")</f>
        <v>9000</v>
      </c>
      <c r="BK23" s="3">
        <f>_xlfn.XLOOKUP(BK$1,generator!$B$2:$B$295,generator!$Q$2:$Q$295,"ARGH")</f>
        <v>9000</v>
      </c>
      <c r="BL23" s="3">
        <f>_xlfn.XLOOKUP(BL$1,generator!$B$2:$B$295,generator!$Q$2:$Q$295,"ARGH")</f>
        <v>9000</v>
      </c>
      <c r="BM23" s="3">
        <f>_xlfn.XLOOKUP(BM$1,generator!$B$2:$B$295,generator!$Q$2:$Q$295,"ARGH")</f>
        <v>9000</v>
      </c>
      <c r="BN23" s="3">
        <f>_xlfn.XLOOKUP(BN$1,generator!$B$2:$B$295,generator!$Q$2:$Q$295,"ARGH")</f>
        <v>9000</v>
      </c>
      <c r="BO23" s="3">
        <f>_xlfn.XLOOKUP(BO$1,generator!$B$2:$B$295,generator!$Q$2:$Q$295,"ARGH")</f>
        <v>9000</v>
      </c>
      <c r="BP23" s="3">
        <f>_xlfn.XLOOKUP(BP$1,generator!$B$2:$B$295,generator!$Q$2:$Q$295,"ARGH")</f>
        <v>9000</v>
      </c>
      <c r="BQ23" s="3">
        <f>_xlfn.XLOOKUP(BQ$1,generator!$B$2:$B$295,generator!$Q$2:$Q$295,"ARGH")</f>
        <v>9000</v>
      </c>
      <c r="BR23" s="3">
        <f>_xlfn.XLOOKUP(BR$1,generator!$B$2:$B$295,generator!$Q$2:$Q$295,"ARGH")</f>
        <v>9000</v>
      </c>
      <c r="BS23" s="3">
        <f>_xlfn.XLOOKUP(BS$1,generator!$B$2:$B$295,generator!$Q$2:$Q$295,"ARGH")</f>
        <v>9000</v>
      </c>
      <c r="BT23" s="3">
        <f>_xlfn.XLOOKUP(BT$1,generator!$B$2:$B$295,generator!$Q$2:$Q$295,"ARGH")</f>
        <v>9000</v>
      </c>
      <c r="BU23" s="3">
        <f>_xlfn.XLOOKUP(BU$1,generator!$B$2:$B$295,generator!$Q$2:$Q$295,"ARGH")</f>
        <v>9000</v>
      </c>
      <c r="BV23" s="3">
        <f>_xlfn.XLOOKUP(BV$1,generator!$B$2:$B$295,generator!$Q$2:$Q$295,"ARGH")</f>
        <v>9000</v>
      </c>
      <c r="BW23" s="3">
        <f>_xlfn.XLOOKUP(BW$1,generator!$B$2:$B$295,generator!$Q$2:$Q$295,"ARGH")</f>
        <v>9000</v>
      </c>
      <c r="BX23" s="3">
        <f>_xlfn.XLOOKUP(BX$1,generator!$B$2:$B$295,generator!$Q$2:$Q$295,"ARGH")</f>
        <v>9000</v>
      </c>
      <c r="BY23" s="3">
        <f>_xlfn.XLOOKUP(BY$1,generator!$B$2:$B$295,generator!$Q$2:$Q$295,"ARGH")</f>
        <v>9000</v>
      </c>
      <c r="BZ23" s="3">
        <f>_xlfn.XLOOKUP(BZ$1,generator!$B$2:$B$295,generator!$Q$2:$Q$295,"ARGH")</f>
        <v>9000</v>
      </c>
      <c r="CA23" s="3">
        <f>_xlfn.XLOOKUP(CA$1,generator!$B$2:$B$295,generator!$Q$2:$Q$295,"ARGH")</f>
        <v>9000</v>
      </c>
      <c r="CB23" s="3">
        <f>_xlfn.XLOOKUP(CB$1,generator!$B$2:$B$295,generator!$Q$2:$Q$295,"ARGH")</f>
        <v>9000</v>
      </c>
      <c r="CC23" s="3">
        <f>_xlfn.XLOOKUP(CC$1,generator!$B$2:$B$295,generator!$Q$2:$Q$295,"ARGH")</f>
        <v>9000</v>
      </c>
      <c r="CD23" s="3">
        <f>_xlfn.XLOOKUP(CD$1,generator!$B$2:$B$295,generator!$Q$2:$Q$295,"ARGH")</f>
        <v>9000</v>
      </c>
      <c r="CE23" s="3">
        <f>_xlfn.XLOOKUP(CE$1,generator!$B$2:$B$295,generator!$Q$2:$Q$295,"ARGH")</f>
        <v>9000</v>
      </c>
      <c r="CF23" s="3">
        <f>_xlfn.XLOOKUP(CF$1,generator!$B$2:$B$295,generator!$Q$2:$Q$295,"ARGH")</f>
        <v>9000</v>
      </c>
      <c r="CG23" s="3">
        <f>_xlfn.XLOOKUP(CG$1,generator!$B$2:$B$295,generator!$Q$2:$Q$295,"ARGH")</f>
        <v>9000</v>
      </c>
      <c r="CH23" s="3">
        <f>_xlfn.XLOOKUP(CH$1,generator!$B$2:$B$295,generator!$Q$2:$Q$295,"ARGH")</f>
        <v>9000</v>
      </c>
      <c r="CI23" s="3">
        <f>_xlfn.XLOOKUP(CI$1,generator!$B$2:$B$295,generator!$Q$2:$Q$295,"ARGH")</f>
        <v>9000</v>
      </c>
      <c r="CJ23" s="3">
        <f>_xlfn.XLOOKUP(CJ$1,generator!$B$2:$B$295,generator!$Q$2:$Q$295,"ARGH")</f>
        <v>9000</v>
      </c>
      <c r="CK23" s="3">
        <f>_xlfn.XLOOKUP(CK$1,generator!$B$2:$B$295,generator!$Q$2:$Q$295,"ARGH")</f>
        <v>9000</v>
      </c>
      <c r="CL23" s="3">
        <f>_xlfn.XLOOKUP(CL$1,generator!$B$2:$B$295,generator!$Q$2:$Q$295,"ARGH")</f>
        <v>9000</v>
      </c>
      <c r="CM23" s="3">
        <f>_xlfn.XLOOKUP(CM$1,generator!$B$2:$B$295,generator!$Q$2:$Q$295,"ARGH")</f>
        <v>9000</v>
      </c>
      <c r="CN23" s="3">
        <f>_xlfn.XLOOKUP(CN$1,generator!$B$2:$B$295,generator!$Q$2:$Q$295,"ARGH")</f>
        <v>9000</v>
      </c>
      <c r="CO23" s="3">
        <f>_xlfn.XLOOKUP(CO$1,generator!$B$2:$B$295,generator!$Q$2:$Q$295,"ARGH")</f>
        <v>9000</v>
      </c>
      <c r="CP23" s="3">
        <f>_xlfn.XLOOKUP(CP$1,generator!$B$2:$B$295,generator!$Q$2:$Q$295,"ARGH")</f>
        <v>9000</v>
      </c>
      <c r="CQ23" s="3">
        <f>_xlfn.XLOOKUP(CQ$1,generator!$B$2:$B$295,generator!$Q$2:$Q$295,"ARGH")</f>
        <v>9000</v>
      </c>
      <c r="CR23" s="3">
        <f>_xlfn.XLOOKUP(CR$1,generator!$B$2:$B$295,generator!$Q$2:$Q$295,"ARGH")</f>
        <v>9000</v>
      </c>
      <c r="CS23" s="3">
        <f>_xlfn.XLOOKUP(CS$1,generator!$B$2:$B$295,generator!$Q$2:$Q$295,"ARGH")</f>
        <v>9000</v>
      </c>
      <c r="CT23" s="3">
        <f>_xlfn.XLOOKUP(CT$1,generator!$B$2:$B$295,generator!$Q$2:$Q$295,"ARGH")</f>
        <v>9000</v>
      </c>
      <c r="CU23" s="3">
        <f>_xlfn.XLOOKUP(CU$1,generator!$B$2:$B$295,generator!$Q$2:$Q$295,"ARGH")</f>
        <v>9000</v>
      </c>
      <c r="CV23" s="3">
        <f>_xlfn.XLOOKUP(CV$1,generator!$B$2:$B$295,generator!$Q$2:$Q$295,"ARGH")</f>
        <v>9000</v>
      </c>
      <c r="CW23" s="3">
        <f>_xlfn.XLOOKUP(CW$1,generator!$B$2:$B$295,generator!$Q$2:$Q$295,"ARGH")</f>
        <v>9000</v>
      </c>
      <c r="CX23" s="3">
        <f>_xlfn.XLOOKUP(CX$1,generator!$B$2:$B$295,generator!$Q$2:$Q$295,"ARGH")</f>
        <v>9000</v>
      </c>
      <c r="CY23" s="3">
        <f>_xlfn.XLOOKUP(CY$1,generator!$B$2:$B$295,generator!$Q$2:$Q$295,"ARGH")</f>
        <v>9000</v>
      </c>
      <c r="CZ23" s="3">
        <f>_xlfn.XLOOKUP(CZ$1,generator!$B$2:$B$295,generator!$Q$2:$Q$295,"ARGH")</f>
        <v>9000</v>
      </c>
      <c r="DA23" s="3">
        <f>_xlfn.XLOOKUP(DA$1,generator!$B$2:$B$295,generator!$Q$2:$Q$295,"ARGH")</f>
        <v>9000</v>
      </c>
      <c r="DB23" s="3">
        <f>_xlfn.XLOOKUP(DB$1,generator!$B$2:$B$295,generator!$Q$2:$Q$295,"ARGH")</f>
        <v>9000</v>
      </c>
      <c r="DC23" s="3">
        <f>_xlfn.XLOOKUP(DC$1,generator!$B$2:$B$295,generator!$Q$2:$Q$295,"ARGH")</f>
        <v>9000</v>
      </c>
      <c r="DD23" s="3">
        <f>_xlfn.XLOOKUP(DD$1,generator!$B$2:$B$295,generator!$Q$2:$Q$295,"ARGH")</f>
        <v>9000</v>
      </c>
      <c r="DE23" s="3">
        <f>_xlfn.XLOOKUP(DE$1,generator!$B$2:$B$295,generator!$Q$2:$Q$295,"ARGH")</f>
        <v>9000</v>
      </c>
      <c r="DF23" s="3">
        <f>_xlfn.XLOOKUP(DF$1,generator!$B$2:$B$295,generator!$Q$2:$Q$295,"ARGH")</f>
        <v>9000</v>
      </c>
      <c r="DG23" s="3">
        <f>_xlfn.XLOOKUP(DG$1,generator!$B$2:$B$295,generator!$Q$2:$Q$295,"ARGH")</f>
        <v>9000</v>
      </c>
      <c r="DH23" s="3">
        <f>_xlfn.XLOOKUP(DH$1,generator!$B$2:$B$295,generator!$Q$2:$Q$295,"ARGH")</f>
        <v>9000</v>
      </c>
      <c r="DI23" s="3">
        <f>_xlfn.XLOOKUP(DI$1,generator!$B$2:$B$295,generator!$Q$2:$Q$295,"ARGH")</f>
        <v>9000</v>
      </c>
      <c r="DJ23" s="3">
        <f>_xlfn.XLOOKUP(DJ$1,generator!$B$2:$B$295,generator!$Q$2:$Q$295,"ARGH")</f>
        <v>9000</v>
      </c>
      <c r="DK23" s="3">
        <f>_xlfn.XLOOKUP(DK$1,generator!$B$2:$B$295,generator!$Q$2:$Q$295,"ARGH")</f>
        <v>9000</v>
      </c>
      <c r="DL23" s="3">
        <f>_xlfn.XLOOKUP(DL$1,generator!$B$2:$B$295,generator!$Q$2:$Q$295,"ARGH")</f>
        <v>9000</v>
      </c>
      <c r="DM23" s="3">
        <f>_xlfn.XLOOKUP(DM$1,generator!$B$2:$B$295,generator!$Q$2:$Q$295,"ARGH")</f>
        <v>9000</v>
      </c>
      <c r="DN23" s="3">
        <f>_xlfn.XLOOKUP(DN$1,generator!$B$2:$B$295,generator!$Q$2:$Q$295,"ARGH")</f>
        <v>9000</v>
      </c>
      <c r="DO23" s="3">
        <f>_xlfn.XLOOKUP(DO$1,generator!$B$2:$B$295,generator!$Q$2:$Q$295,"ARGH")</f>
        <v>9000</v>
      </c>
      <c r="DP23" s="3">
        <f>_xlfn.XLOOKUP(DP$1,generator!$B$2:$B$295,generator!$Q$2:$Q$295,"ARGH")</f>
        <v>9000</v>
      </c>
      <c r="DQ23" s="3">
        <f>_xlfn.XLOOKUP(DQ$1,generator!$B$2:$B$295,generator!$Q$2:$Q$295,"ARGH")</f>
        <v>9000</v>
      </c>
      <c r="DR23" s="3">
        <f>_xlfn.XLOOKUP(DR$1,generator!$B$2:$B$295,generator!$Q$2:$Q$295,"ARGH")</f>
        <v>9000</v>
      </c>
      <c r="DS23" s="3">
        <f>_xlfn.XLOOKUP(DS$1,generator!$B$2:$B$295,generator!$Q$2:$Q$295,"ARGH")</f>
        <v>9000</v>
      </c>
      <c r="DT23" s="3">
        <f>_xlfn.XLOOKUP(DT$1,generator!$B$2:$B$295,generator!$Q$2:$Q$295,"ARGH")</f>
        <v>9000</v>
      </c>
      <c r="DU23" s="3">
        <f>_xlfn.XLOOKUP(DU$1,generator!$B$2:$B$295,generator!$Q$2:$Q$295,"ARGH")</f>
        <v>9000</v>
      </c>
      <c r="DV23" s="3">
        <f>_xlfn.XLOOKUP(DV$1,generator!$B$2:$B$295,generator!$Q$2:$Q$295,"ARGH")</f>
        <v>9000</v>
      </c>
      <c r="DW23" s="3">
        <f>_xlfn.XLOOKUP(DW$1,generator!$B$2:$B$295,generator!$Q$2:$Q$295,"ARGH")</f>
        <v>9000</v>
      </c>
      <c r="DX23" s="3">
        <f>_xlfn.XLOOKUP(DX$1,generator!$B$2:$B$295,generator!$Q$2:$Q$295,"ARGH")</f>
        <v>9000</v>
      </c>
      <c r="DY23" s="3">
        <f>_xlfn.XLOOKUP(DY$1,generator!$B$2:$B$295,generator!$Q$2:$Q$295,"ARGH")</f>
        <v>9000</v>
      </c>
      <c r="DZ23" s="3">
        <f>_xlfn.XLOOKUP(DZ$1,generator!$B$2:$B$295,generator!$Q$2:$Q$295,"ARGH")</f>
        <v>9000</v>
      </c>
      <c r="EA23" s="3">
        <f>_xlfn.XLOOKUP(EA$1,generator!$B$2:$B$295,generator!$Q$2:$Q$295,"ARGH")</f>
        <v>9000</v>
      </c>
      <c r="EB23" s="3">
        <f>_xlfn.XLOOKUP(EB$1,generator!$B$2:$B$295,generator!$Q$2:$Q$295,"ARGH")</f>
        <v>9000</v>
      </c>
      <c r="EC23" s="3">
        <f>_xlfn.XLOOKUP(EC$1,generator!$B$2:$B$295,generator!$Q$2:$Q$295,"ARGH")</f>
        <v>9000</v>
      </c>
      <c r="ED23" s="3">
        <f>_xlfn.XLOOKUP(ED$1,generator!$B$2:$B$295,generator!$Q$2:$Q$295,"ARGH")</f>
        <v>9000</v>
      </c>
      <c r="EE23" s="3">
        <f>_xlfn.XLOOKUP(EE$1,generator!$B$2:$B$295,generator!$Q$2:$Q$295,"ARGH")</f>
        <v>9000</v>
      </c>
      <c r="EF23" s="3">
        <f>_xlfn.XLOOKUP(EF$1,generator!$B$2:$B$295,generator!$Q$2:$Q$295,"ARGH")</f>
        <v>9000</v>
      </c>
      <c r="EG23" s="3">
        <f>_xlfn.XLOOKUP(EG$1,generator!$B$2:$B$295,generator!$Q$2:$Q$295,"ARGH")</f>
        <v>9000</v>
      </c>
      <c r="EH23" s="3">
        <f>_xlfn.XLOOKUP(EH$1,generator!$B$2:$B$295,generator!$Q$2:$Q$295,"ARGH")</f>
        <v>9000</v>
      </c>
      <c r="EI23" s="3">
        <f>_xlfn.XLOOKUP(EI$1,generator!$B$2:$B$295,generator!$Q$2:$Q$295,"ARGH")</f>
        <v>9000</v>
      </c>
      <c r="EJ23" s="3">
        <f>_xlfn.XLOOKUP(EJ$1,generator!$B$2:$B$295,generator!$Q$2:$Q$295,"ARGH")</f>
        <v>9000</v>
      </c>
      <c r="EK23" s="3">
        <f>_xlfn.XLOOKUP(EK$1,generator!$B$2:$B$295,generator!$Q$2:$Q$295,"ARGH")</f>
        <v>9000</v>
      </c>
      <c r="EL23" s="3">
        <f>_xlfn.XLOOKUP(EL$1,generator!$B$2:$B$295,generator!$Q$2:$Q$295,"ARGH")</f>
        <v>9000</v>
      </c>
      <c r="EM23" s="3">
        <f>_xlfn.XLOOKUP(EM$1,generator!$B$2:$B$295,generator!$Q$2:$Q$295,"ARGH")</f>
        <v>9000</v>
      </c>
      <c r="EN23" s="3">
        <f>_xlfn.XLOOKUP(EN$1,generator!$B$2:$B$295,generator!$Q$2:$Q$295,"ARGH")</f>
        <v>9000</v>
      </c>
      <c r="EO23" s="3">
        <f>_xlfn.XLOOKUP(EO$1,generator!$B$2:$B$295,generator!$Q$2:$Q$295,"ARGH")</f>
        <v>9000</v>
      </c>
      <c r="EP23" s="3">
        <f>_xlfn.XLOOKUP(EP$1,generator!$B$2:$B$295,generator!$Q$2:$Q$295,"ARGH")</f>
        <v>9000</v>
      </c>
      <c r="EQ23" s="3">
        <f>_xlfn.XLOOKUP(EQ$1,generator!$B$2:$B$295,generator!$Q$2:$Q$295,"ARGH")</f>
        <v>9000</v>
      </c>
      <c r="ER23" s="3">
        <f>_xlfn.XLOOKUP(ER$1,generator!$B$2:$B$295,generator!$Q$2:$Q$295,"ARGH")</f>
        <v>9000</v>
      </c>
      <c r="ES23" s="3">
        <f>_xlfn.XLOOKUP(ES$1,generator!$B$2:$B$295,generator!$Q$2:$Q$295,"ARGH")</f>
        <v>9000</v>
      </c>
      <c r="ET23" s="3">
        <f>_xlfn.XLOOKUP(ET$1,generator!$B$2:$B$295,generator!$Q$2:$Q$295,"ARGH")</f>
        <v>9000</v>
      </c>
      <c r="EU23" s="3">
        <f>_xlfn.XLOOKUP(EU$1,generator!$B$2:$B$295,generator!$Q$2:$Q$295,"ARGH")</f>
        <v>9000</v>
      </c>
      <c r="EV23" s="3">
        <f>_xlfn.XLOOKUP(EV$1,generator!$B$2:$B$295,generator!$Q$2:$Q$295,"ARGH")</f>
        <v>9000</v>
      </c>
      <c r="EW23" s="3">
        <f>_xlfn.XLOOKUP(EW$1,generator!$B$2:$B$295,generator!$Q$2:$Q$295,"ARGH")</f>
        <v>9000</v>
      </c>
      <c r="EX23" s="3">
        <f>_xlfn.XLOOKUP(EX$1,generator!$B$2:$B$295,generator!$Q$2:$Q$295,"ARGH")</f>
        <v>9000</v>
      </c>
      <c r="EY23" s="3">
        <f>_xlfn.XLOOKUP(EY$1,generator!$B$2:$B$295,generator!$Q$2:$Q$295,"ARGH")</f>
        <v>9000</v>
      </c>
      <c r="EZ23" s="3">
        <f>_xlfn.XLOOKUP(EZ$1,generator!$B$2:$B$295,generator!$Q$2:$Q$295,"ARGH")</f>
        <v>9000</v>
      </c>
      <c r="FA23" s="3">
        <f>_xlfn.XLOOKUP(FA$1,generator!$B$2:$B$295,generator!$Q$2:$Q$295,"ARGH")</f>
        <v>9000</v>
      </c>
      <c r="FB23" s="3">
        <f>_xlfn.XLOOKUP(FB$1,generator!$B$2:$B$295,generator!$Q$2:$Q$295,"ARGH")</f>
        <v>9000</v>
      </c>
      <c r="FC23" s="3">
        <f>_xlfn.XLOOKUP(FC$1,generator!$B$2:$B$295,generator!$Q$2:$Q$295,"ARGH")</f>
        <v>9000</v>
      </c>
      <c r="FD23" s="3">
        <f>_xlfn.XLOOKUP(FD$1,generator!$B$2:$B$295,generator!$Q$2:$Q$295,"ARGH")</f>
        <v>9000</v>
      </c>
      <c r="FE23" s="3">
        <f>_xlfn.XLOOKUP(FE$1,generator!$B$2:$B$295,generator!$Q$2:$Q$295,"ARGH")</f>
        <v>9000</v>
      </c>
      <c r="FF23" s="3">
        <f>_xlfn.XLOOKUP(FF$1,generator!$B$2:$B$295,generator!$Q$2:$Q$295,"ARGH")</f>
        <v>9000</v>
      </c>
      <c r="FG23" s="3">
        <f>_xlfn.XLOOKUP(FG$1,generator!$B$2:$B$295,generator!$Q$2:$Q$295,"ARGH")</f>
        <v>9000</v>
      </c>
      <c r="FH23" s="3">
        <f>_xlfn.XLOOKUP(FH$1,generator!$B$2:$B$295,generator!$Q$2:$Q$295,"ARGH")</f>
        <v>9000</v>
      </c>
      <c r="FI23" s="3">
        <f>_xlfn.XLOOKUP(FI$1,generator!$B$2:$B$295,generator!$Q$2:$Q$295,"ARGH")</f>
        <v>9000</v>
      </c>
      <c r="FJ23" s="3">
        <f>_xlfn.XLOOKUP(FJ$1,generator!$B$2:$B$295,generator!$Q$2:$Q$295,"ARGH")</f>
        <v>9000</v>
      </c>
      <c r="FK23" s="3">
        <f>_xlfn.XLOOKUP(FK$1,generator!$B$2:$B$295,generator!$Q$2:$Q$295,"ARGH")</f>
        <v>9000</v>
      </c>
      <c r="FL23" s="3">
        <f>_xlfn.XLOOKUP(FL$1,generator!$B$2:$B$295,generator!$Q$2:$Q$295,"ARGH")</f>
        <v>9000</v>
      </c>
      <c r="FM23" s="3">
        <f>_xlfn.XLOOKUP(FM$1,generator!$B$2:$B$295,generator!$Q$2:$Q$295,"ARGH")</f>
        <v>9000</v>
      </c>
      <c r="FN23" s="3">
        <f>_xlfn.XLOOKUP(FN$1,generator!$B$2:$B$295,generator!$Q$2:$Q$295,"ARGH")</f>
        <v>9000</v>
      </c>
      <c r="FO23" s="3">
        <f>_xlfn.XLOOKUP(FO$1,generator!$B$2:$B$295,generator!$Q$2:$Q$295,"ARGH")</f>
        <v>9000</v>
      </c>
      <c r="FP23" s="3">
        <f>_xlfn.XLOOKUP(FP$1,generator!$B$2:$B$295,generator!$Q$2:$Q$295,"ARGH")</f>
        <v>9000</v>
      </c>
      <c r="FQ23" s="3">
        <f>_xlfn.XLOOKUP(FQ$1,generator!$B$2:$B$295,generator!$Q$2:$Q$295,"ARGH")</f>
        <v>9000</v>
      </c>
      <c r="FR23" s="3">
        <f>_xlfn.XLOOKUP(FR$1,generator!$B$2:$B$295,generator!$Q$2:$Q$295,"ARGH")</f>
        <v>9000</v>
      </c>
      <c r="FS23" s="3">
        <f>_xlfn.XLOOKUP(FS$1,generator!$B$2:$B$295,generator!$Q$2:$Q$295,"ARGH")</f>
        <v>9000</v>
      </c>
      <c r="FT23" s="3">
        <f>_xlfn.XLOOKUP(FT$1,generator!$B$2:$B$295,generator!$Q$2:$Q$295,"ARGH")</f>
        <v>9000</v>
      </c>
      <c r="FU23" s="3">
        <f>_xlfn.XLOOKUP(FU$1,generator!$B$2:$B$295,generator!$Q$2:$Q$295,"ARGH")</f>
        <v>9000</v>
      </c>
      <c r="FV23" s="3">
        <f>_xlfn.XLOOKUP(FV$1,generator!$B$2:$B$295,generator!$Q$2:$Q$295,"ARGH")</f>
        <v>9000</v>
      </c>
      <c r="FW23" s="3">
        <f>_xlfn.XLOOKUP(FW$1,generator!$B$2:$B$295,generator!$Q$2:$Q$295,"ARGH")</f>
        <v>9000</v>
      </c>
      <c r="FX23" s="3">
        <f>_xlfn.XLOOKUP(FX$1,generator!$B$2:$B$295,generator!$Q$2:$Q$295,"ARGH")</f>
        <v>9000</v>
      </c>
      <c r="FY23" s="3">
        <f>_xlfn.XLOOKUP(FY$1,generator!$B$2:$B$295,generator!$Q$2:$Q$295,"ARGH")</f>
        <v>9000</v>
      </c>
      <c r="FZ23" s="3">
        <f>_xlfn.XLOOKUP(FZ$1,generator!$B$2:$B$295,generator!$Q$2:$Q$295,"ARGH")</f>
        <v>9000</v>
      </c>
      <c r="GA23" s="3">
        <f>_xlfn.XLOOKUP(GA$1,generator!$B$2:$B$295,generator!$Q$2:$Q$295,"ARGH")</f>
        <v>9000</v>
      </c>
      <c r="GB23" s="3">
        <f>_xlfn.XLOOKUP(GB$1,generator!$B$2:$B$295,generator!$Q$2:$Q$295,"ARGH")</f>
        <v>9000</v>
      </c>
      <c r="GC23" s="3">
        <f>_xlfn.XLOOKUP(GC$1,generator!$B$2:$B$295,generator!$Q$2:$Q$295,"ARGH")</f>
        <v>9000</v>
      </c>
      <c r="GD23" s="3">
        <f>_xlfn.XLOOKUP(GD$1,generator!$B$2:$B$295,generator!$Q$2:$Q$295,"ARGH")</f>
        <v>9000</v>
      </c>
      <c r="GE23" s="3">
        <f>_xlfn.XLOOKUP(GE$1,generator!$B$2:$B$295,generator!$Q$2:$Q$295,"ARGH")</f>
        <v>9000</v>
      </c>
      <c r="GF23" s="3">
        <f>_xlfn.XLOOKUP(GF$1,generator!$B$2:$B$295,generator!$Q$2:$Q$295,"ARGH")</f>
        <v>9000</v>
      </c>
      <c r="GG23" s="3">
        <f>_xlfn.XLOOKUP(GG$1,generator!$B$2:$B$295,generator!$Q$2:$Q$295,"ARGH")</f>
        <v>9000</v>
      </c>
      <c r="GH23" s="3">
        <f>_xlfn.XLOOKUP(GH$1,generator!$B$2:$B$295,generator!$Q$2:$Q$295,"ARGH")</f>
        <v>9000</v>
      </c>
      <c r="GI23" s="3">
        <f>_xlfn.XLOOKUP(GI$1,generator!$B$2:$B$295,generator!$Q$2:$Q$295,"ARGH")</f>
        <v>9000</v>
      </c>
      <c r="GJ23" s="3">
        <f>_xlfn.XLOOKUP(GJ$1,generator!$B$2:$B$295,generator!$Q$2:$Q$295,"ARGH")</f>
        <v>9000</v>
      </c>
      <c r="GK23" s="3">
        <f>_xlfn.XLOOKUP(GK$1,generator!$B$2:$B$295,generator!$Q$2:$Q$295,"ARGH")</f>
        <v>9000</v>
      </c>
      <c r="GL23" s="3">
        <f>_xlfn.XLOOKUP(GL$1,generator!$B$2:$B$295,generator!$Q$2:$Q$295,"ARGH")</f>
        <v>9000</v>
      </c>
      <c r="GM23" s="3">
        <f>_xlfn.XLOOKUP(GM$1,generator!$B$2:$B$295,generator!$Q$2:$Q$295,"ARGH")</f>
        <v>9000</v>
      </c>
      <c r="GN23" s="3">
        <f>_xlfn.XLOOKUP(GN$1,generator!$B$2:$B$295,generator!$Q$2:$Q$295,"ARGH")</f>
        <v>9000</v>
      </c>
      <c r="GO23" s="3">
        <f>_xlfn.XLOOKUP(GO$1,generator!$B$2:$B$295,generator!$Q$2:$Q$295,"ARGH")</f>
        <v>9000</v>
      </c>
      <c r="GP23" s="3">
        <f>_xlfn.XLOOKUP(GP$1,generator!$B$2:$B$295,generator!$Q$2:$Q$295,"ARGH")</f>
        <v>9000</v>
      </c>
      <c r="GQ23" s="3">
        <f>_xlfn.XLOOKUP(GQ$1,generator!$B$2:$B$295,generator!$Q$2:$Q$295,"ARGH")</f>
        <v>9000</v>
      </c>
      <c r="GR23" s="3">
        <f>_xlfn.XLOOKUP(GR$1,generator!$B$2:$B$295,generator!$Q$2:$Q$295,"ARGH")</f>
        <v>9000</v>
      </c>
      <c r="GS23" s="3">
        <f>_xlfn.XLOOKUP(GS$1,generator!$B$2:$B$295,generator!$Q$2:$Q$295,"ARGH")</f>
        <v>9000</v>
      </c>
      <c r="GT23" s="3">
        <f>_xlfn.XLOOKUP(GT$1,generator!$B$2:$B$295,generator!$Q$2:$Q$295,"ARGH")</f>
        <v>9000</v>
      </c>
      <c r="GU23" s="3">
        <f>_xlfn.XLOOKUP(GU$1,generator!$B$2:$B$295,generator!$Q$2:$Q$295,"ARGH")</f>
        <v>9000</v>
      </c>
      <c r="GV23" s="3">
        <f>_xlfn.XLOOKUP(GV$1,generator!$B$2:$B$295,generator!$Q$2:$Q$295,"ARGH")</f>
        <v>9000</v>
      </c>
      <c r="GW23" s="3">
        <f>_xlfn.XLOOKUP(GW$1,generator!$B$2:$B$295,generator!$Q$2:$Q$295,"ARGH")</f>
        <v>9000</v>
      </c>
      <c r="GX23" s="3">
        <f>_xlfn.XLOOKUP(GX$1,generator!$B$2:$B$295,generator!$Q$2:$Q$295,"ARGH")</f>
        <v>9000</v>
      </c>
      <c r="GY23" s="3">
        <f>_xlfn.XLOOKUP(GY$1,generator!$B$2:$B$295,generator!$Q$2:$Q$295,"ARGH")</f>
        <v>9000</v>
      </c>
      <c r="GZ23" s="3">
        <f>_xlfn.XLOOKUP(GZ$1,generator!$B$2:$B$295,generator!$Q$2:$Q$295,"ARGH")</f>
        <v>9000</v>
      </c>
      <c r="HA23" s="3">
        <f>_xlfn.XLOOKUP(HA$1,generator!$B$2:$B$295,generator!$Q$2:$Q$295,"ARGH")</f>
        <v>9000</v>
      </c>
      <c r="HB23" s="3">
        <f>_xlfn.XLOOKUP(HB$1,generator!$B$2:$B$295,generator!$Q$2:$Q$295,"ARGH")</f>
        <v>9000</v>
      </c>
      <c r="HC23" s="3">
        <f>_xlfn.XLOOKUP(HC$1,generator!$B$2:$B$295,generator!$Q$2:$Q$295,"ARGH")</f>
        <v>9000</v>
      </c>
      <c r="HD23" s="3">
        <f>_xlfn.XLOOKUP(HD$1,generator!$B$2:$B$295,generator!$Q$2:$Q$295,"ARGH")</f>
        <v>9000</v>
      </c>
      <c r="HE23" s="3">
        <f>_xlfn.XLOOKUP(HE$1,generator!$B$2:$B$295,generator!$Q$2:$Q$295,"ARGH")</f>
        <v>8000</v>
      </c>
      <c r="HF23" s="3" t="str">
        <f>_xlfn.XLOOKUP(HF$1,generator!$B$2:$B$295,generator!$Q$2:$Q$295,"ARGH")</f>
        <v>143</v>
      </c>
      <c r="HG23" s="3" t="str">
        <f>_xlfn.XLOOKUP(HG$1,generator!$B$2:$B$295,generator!$Q$2:$Q$295,"ARGH")</f>
        <v>143</v>
      </c>
      <c r="HH23" s="3" t="str">
        <f>_xlfn.XLOOKUP(HH$1,generator!$B$2:$B$295,generator!$Q$2:$Q$295,"ARGH")</f>
        <v>143</v>
      </c>
      <c r="HI23" s="3" t="str">
        <f>_xlfn.XLOOKUP(HI$1,generator!$B$2:$B$295,generator!$Q$2:$Q$295,"ARGH")</f>
        <v>246.74</v>
      </c>
      <c r="HJ23" s="3" t="str">
        <f>_xlfn.XLOOKUP(HJ$1,generator!$B$2:$B$295,generator!$Q$2:$Q$295,"ARGH")</f>
        <v>246.74</v>
      </c>
      <c r="HK23" s="3" t="str">
        <f>_xlfn.XLOOKUP(HK$1,generator!$B$2:$B$295,generator!$Q$2:$Q$295,"ARGH")</f>
        <v>206.04</v>
      </c>
      <c r="HL23" s="3" t="str">
        <f>_xlfn.XLOOKUP(HL$1,generator!$B$2:$B$295,generator!$Q$2:$Q$295,"ARGH")</f>
        <v>506.96</v>
      </c>
      <c r="HM23" s="3" t="str">
        <f>_xlfn.XLOOKUP(HM$1,generator!$B$2:$B$295,generator!$Q$2:$Q$295,"ARGH")</f>
        <v>506.95</v>
      </c>
      <c r="HN23" s="3" t="str">
        <f>_xlfn.XLOOKUP(HN$1,generator!$B$2:$B$295,generator!$Q$2:$Q$295,"ARGH")</f>
        <v>190.97</v>
      </c>
      <c r="HO23" s="3" t="str">
        <f>_xlfn.XLOOKUP(HO$1,generator!$B$2:$B$295,generator!$Q$2:$Q$295,"ARGH")</f>
        <v>190.97</v>
      </c>
      <c r="HP23" s="3" t="str">
        <f>_xlfn.XLOOKUP(HP$1,generator!$B$2:$B$295,generator!$Q$2:$Q$295,"ARGH")</f>
        <v>424.84</v>
      </c>
      <c r="HQ23" s="3" t="str">
        <f>_xlfn.XLOOKUP(HQ$1,generator!$B$2:$B$295,generator!$Q$2:$Q$295,"ARGH")</f>
        <v>425.9</v>
      </c>
      <c r="HR23" s="3" t="str">
        <f>_xlfn.XLOOKUP(HR$1,generator!$B$2:$B$295,generator!$Q$2:$Q$295,"ARGH")</f>
        <v>425.9</v>
      </c>
      <c r="HS23" s="3" t="str">
        <f>_xlfn.XLOOKUP(HS$1,generator!$B$2:$B$295,generator!$Q$2:$Q$295,"ARGH")</f>
        <v>196.54</v>
      </c>
      <c r="HT23" s="3" t="str">
        <f>_xlfn.XLOOKUP(HT$1,generator!$B$2:$B$295,generator!$Q$2:$Q$295,"ARGH")</f>
        <v>196.54</v>
      </c>
      <c r="HU23" s="3" t="str">
        <f>_xlfn.XLOOKUP(HU$1,generator!$B$2:$B$295,generator!$Q$2:$Q$295,"ARGH")</f>
        <v>145.57</v>
      </c>
      <c r="HV23" s="3" t="str">
        <f>_xlfn.XLOOKUP(HV$1,generator!$B$2:$B$295,generator!$Q$2:$Q$295,"ARGH")</f>
        <v>132.62</v>
      </c>
      <c r="HW23" s="3" t="str">
        <f>_xlfn.XLOOKUP(HW$1,generator!$B$2:$B$295,generator!$Q$2:$Q$295,"ARGH")</f>
        <v>193.76</v>
      </c>
      <c r="HX23" s="3" t="str">
        <f>_xlfn.XLOOKUP(HX$1,generator!$B$2:$B$295,generator!$Q$2:$Q$295,"ARGH")</f>
        <v>193.76</v>
      </c>
      <c r="HY23" s="3" t="str">
        <f>_xlfn.XLOOKUP(HY$1,generator!$B$2:$B$295,generator!$Q$2:$Q$295,"ARGH")</f>
        <v>79.19</v>
      </c>
      <c r="HZ23" s="3" t="str">
        <f>_xlfn.XLOOKUP(HZ$1,generator!$B$2:$B$295,generator!$Q$2:$Q$295,"ARGH")</f>
        <v>125.79</v>
      </c>
      <c r="IA23" s="3" t="str">
        <f>_xlfn.XLOOKUP(IA$1,generator!$B$2:$B$295,generator!$Q$2:$Q$295,"ARGH")</f>
        <v>54.19</v>
      </c>
      <c r="IB23" s="3" t="str">
        <f>_xlfn.XLOOKUP(IB$1,generator!$B$2:$B$295,generator!$Q$2:$Q$295,"ARGH")</f>
        <v>59.7</v>
      </c>
      <c r="IC23" s="3">
        <f>_xlfn.XLOOKUP(IC$1,generator!$B$2:$B$295,generator!$Q$2:$Q$295,"ARGH")</f>
        <v>0</v>
      </c>
      <c r="ID23" s="3" t="str">
        <f>_xlfn.XLOOKUP(ID$1,generator!$B$2:$B$295,generator!$Q$2:$Q$295,"ARGH")</f>
        <v>121.14</v>
      </c>
      <c r="IE23" s="3" t="str">
        <f>_xlfn.XLOOKUP(IE$1,generator!$B$2:$B$295,generator!$Q$2:$Q$295,"ARGH")</f>
        <v>26.6</v>
      </c>
      <c r="IF23" s="3">
        <f>_xlfn.XLOOKUP(IF$1,generator!$B$2:$B$295,generator!$Q$2:$Q$295,"ARGH")</f>
        <v>8000</v>
      </c>
      <c r="IG23" s="3">
        <f>_xlfn.XLOOKUP(IG$1,generator!$B$2:$B$295,generator!$Q$2:$Q$295,"ARGH")</f>
        <v>8000</v>
      </c>
      <c r="IH23" s="3">
        <f>_xlfn.XLOOKUP(IH$1,generator!$B$2:$B$295,generator!$Q$2:$Q$295,"ARGH")</f>
        <v>8000</v>
      </c>
      <c r="II23" s="3">
        <f>_xlfn.XLOOKUP(II$1,generator!$B$2:$B$295,generator!$Q$2:$Q$295,"ARGH")</f>
        <v>8000</v>
      </c>
      <c r="IJ23" s="3">
        <f>_xlfn.XLOOKUP(IJ$1,generator!$B$2:$B$295,generator!$Q$2:$Q$295,"ARGH")</f>
        <v>8000</v>
      </c>
      <c r="IK23" s="3">
        <f>_xlfn.XLOOKUP(IK$1,generator!$B$2:$B$295,generator!$Q$2:$Q$295,"ARGH")</f>
        <v>8000</v>
      </c>
      <c r="IL23" s="3">
        <f>_xlfn.XLOOKUP(IL$1,generator!$B$2:$B$295,generator!$Q$2:$Q$295,"ARGH")</f>
        <v>8000</v>
      </c>
      <c r="IM23" s="3">
        <f>_xlfn.XLOOKUP(IM$1,generator!$B$2:$B$295,generator!$Q$2:$Q$295,"ARGH")</f>
        <v>8000</v>
      </c>
      <c r="IN23" s="3">
        <f>_xlfn.XLOOKUP(IN$1,generator!$B$2:$B$295,generator!$Q$2:$Q$295,"ARGH")</f>
        <v>8000</v>
      </c>
      <c r="IO23" s="3">
        <f>_xlfn.XLOOKUP(IO$1,generator!$B$2:$B$295,generator!$Q$2:$Q$295,"ARGH")</f>
        <v>8000</v>
      </c>
      <c r="IP23" s="3">
        <f>_xlfn.XLOOKUP(IP$1,generator!$B$2:$B$295,generator!$Q$2:$Q$295,"ARGH")</f>
        <v>8000</v>
      </c>
      <c r="IQ23" s="3">
        <f>_xlfn.XLOOKUP(IQ$1,generator!$B$2:$B$295,generator!$Q$2:$Q$295,"ARGH")</f>
        <v>8000</v>
      </c>
      <c r="IR23" s="3">
        <f>_xlfn.XLOOKUP(IR$1,generator!$B$2:$B$295,generator!$Q$2:$Q$295,"ARGH")</f>
        <v>8000</v>
      </c>
      <c r="IS23" s="3">
        <f>_xlfn.XLOOKUP(IS$1,generator!$B$2:$B$295,generator!$Q$2:$Q$295,"ARGH")</f>
        <v>8000</v>
      </c>
      <c r="IT23" s="3">
        <f>_xlfn.XLOOKUP(IT$1,generator!$B$2:$B$295,generator!$Q$2:$Q$295,"ARGH")</f>
        <v>8000</v>
      </c>
      <c r="IU23" s="3">
        <f>_xlfn.XLOOKUP(IU$1,generator!$B$2:$B$295,generator!$Q$2:$Q$295,"ARGH")</f>
        <v>8000</v>
      </c>
      <c r="IV23" s="3">
        <f>_xlfn.XLOOKUP(IV$1,generator!$B$2:$B$295,generator!$Q$2:$Q$295,"ARGH")</f>
        <v>8000</v>
      </c>
      <c r="IW23" s="3" t="str">
        <f>_xlfn.XLOOKUP(IW$1,generator!$B$2:$B$295,generator!$Q$2:$Q$295,"ARGH")</f>
        <v>108.19</v>
      </c>
      <c r="IX23" s="3" t="str">
        <f>_xlfn.XLOOKUP(IX$1,generator!$B$2:$B$295,generator!$Q$2:$Q$295,"ARGH")</f>
        <v>108.18</v>
      </c>
      <c r="IY23" s="3" t="str">
        <f>_xlfn.XLOOKUP(IY$1,generator!$B$2:$B$295,generator!$Q$2:$Q$295,"ARGH")</f>
        <v>108.17</v>
      </c>
      <c r="IZ23" s="3" t="str">
        <f>_xlfn.XLOOKUP(IZ$1,generator!$B$2:$B$295,generator!$Q$2:$Q$295,"ARGH")</f>
        <v>40.96</v>
      </c>
      <c r="JA23" s="3">
        <f>_xlfn.XLOOKUP(JA$1,generator!$B$2:$B$295,generator!$Q$2:$Q$295,"ARGH")</f>
        <v>0</v>
      </c>
      <c r="JB23" s="3">
        <f>_xlfn.XLOOKUP(JB$1,generator!$B$2:$B$295,generator!$Q$2:$Q$295,"ARGH")</f>
        <v>0</v>
      </c>
      <c r="JC23" s="3" t="str">
        <f>_xlfn.XLOOKUP(JC$1,generator!$B$2:$B$295,generator!$Q$2:$Q$295,"ARGH")</f>
        <v>75.91</v>
      </c>
      <c r="JD23" s="3" t="str">
        <f>_xlfn.XLOOKUP(JD$1,generator!$B$2:$B$295,generator!$Q$2:$Q$295,"ARGH")</f>
        <v>75.91</v>
      </c>
      <c r="JE23" s="3" t="str">
        <f>_xlfn.XLOOKUP(JE$1,generator!$B$2:$B$295,generator!$Q$2:$Q$295,"ARGH")</f>
        <v>51.59</v>
      </c>
      <c r="JF23" s="3" t="str">
        <f>_xlfn.XLOOKUP(JF$1,generator!$B$2:$B$295,generator!$Q$2:$Q$295,"ARGH")</f>
        <v>111.57</v>
      </c>
      <c r="JG23" s="3">
        <f>_xlfn.XLOOKUP(JG$1,generator!$B$2:$B$295,generator!$Q$2:$Q$295,"ARGH")</f>
        <v>0</v>
      </c>
      <c r="JH23" s="3" t="str">
        <f>_xlfn.XLOOKUP(JH$1,generator!$B$2:$B$295,generator!$Q$2:$Q$295,"ARGH")</f>
        <v>48.65</v>
      </c>
      <c r="JI23" s="3" t="str">
        <f>_xlfn.XLOOKUP(JI$1,generator!$B$2:$B$295,generator!$Q$2:$Q$295,"ARGH")</f>
        <v>71.88</v>
      </c>
      <c r="JJ23" s="3" t="str">
        <f>_xlfn.XLOOKUP(JJ$1,generator!$B$2:$B$295,generator!$Q$2:$Q$295,"ARGH")</f>
        <v>98.17</v>
      </c>
      <c r="JK23" s="3" t="str">
        <f>_xlfn.XLOOKUP(JK$1,generator!$B$2:$B$295,generator!$Q$2:$Q$295,"ARGH")</f>
        <v>98.17</v>
      </c>
      <c r="JL23" s="3" t="str">
        <f>_xlfn.XLOOKUP(JL$1,generator!$B$2:$B$295,generator!$Q$2:$Q$295,"ARGH")</f>
        <v>98.17</v>
      </c>
      <c r="JM23" s="3" t="str">
        <f>_xlfn.XLOOKUP(JM$1,generator!$B$2:$B$295,generator!$Q$2:$Q$295,"ARGH")</f>
        <v>98.17</v>
      </c>
      <c r="JN23" s="3" t="str">
        <f>_xlfn.XLOOKUP(JN$1,generator!$B$2:$B$295,generator!$Q$2:$Q$295,"ARGH")</f>
        <v>98.17</v>
      </c>
      <c r="JO23" s="3" t="str">
        <f>_xlfn.XLOOKUP(JO$1,generator!$B$2:$B$295,generator!$Q$2:$Q$295,"ARGH")</f>
        <v>98.17</v>
      </c>
      <c r="JP23" s="3" t="str">
        <f>_xlfn.XLOOKUP(JP$1,generator!$B$2:$B$295,generator!$Q$2:$Q$295,"ARGH")</f>
        <v>47.53</v>
      </c>
      <c r="JQ23" s="3" t="str">
        <f>_xlfn.XLOOKUP(JQ$1,generator!$B$2:$B$295,generator!$Q$2:$Q$295,"ARGH")</f>
        <v>108.86</v>
      </c>
      <c r="JR23" s="3" t="str">
        <f>_xlfn.XLOOKUP(JR$1,generator!$B$2:$B$295,generator!$Q$2:$Q$295,"ARGH")</f>
        <v>83.15</v>
      </c>
      <c r="JS23" s="3" t="str">
        <f>_xlfn.XLOOKUP(JS$1,generator!$B$2:$B$295,generator!$Q$2:$Q$295,"ARGH")</f>
        <v>83.15</v>
      </c>
      <c r="JT23" s="3" t="str">
        <f>_xlfn.XLOOKUP(JT$1,generator!$B$2:$B$295,generator!$Q$2:$Q$295,"ARGH")</f>
        <v>108.86</v>
      </c>
      <c r="JU23" s="3">
        <f>_xlfn.XLOOKUP(JU$1,generator!$B$2:$B$295,generator!$Q$2:$Q$295,"ARGH")</f>
        <v>0</v>
      </c>
      <c r="JV23" s="3" t="str">
        <f>_xlfn.XLOOKUP(JV$1,generator!$B$2:$B$295,generator!$Q$2:$Q$295,"ARGH")</f>
        <v>77.63</v>
      </c>
      <c r="JW23" s="3" t="str">
        <f>_xlfn.XLOOKUP(JW$1,generator!$B$2:$B$295,generator!$Q$2:$Q$295,"ARGH")</f>
        <v>77.64</v>
      </c>
      <c r="JX23" s="3" t="str">
        <f>_xlfn.XLOOKUP(JX$1,generator!$B$2:$B$295,generator!$Q$2:$Q$295,"ARGH")</f>
        <v>331.49</v>
      </c>
      <c r="JY23" s="3">
        <f>_xlfn.XLOOKUP(JY$1,generator!$B$2:$B$295,generator!$Q$2:$Q$295,"ARGH")</f>
        <v>7000</v>
      </c>
      <c r="JZ23" s="3">
        <f>_xlfn.XLOOKUP(JZ$1,generator!$B$2:$B$295,generator!$Q$2:$Q$295,"ARGH")</f>
        <v>0</v>
      </c>
      <c r="KA23" s="3">
        <f>_xlfn.XLOOKUP(KA$1,generator!$B$2:$B$295,generator!$Q$2:$Q$295,"ARGH")</f>
        <v>0</v>
      </c>
      <c r="KB23" s="3">
        <f>_xlfn.XLOOKUP(KB$1,generator!$B$2:$B$295,generator!$Q$2:$Q$295,"ARGH")</f>
        <v>0</v>
      </c>
      <c r="KC23" s="3">
        <f>_xlfn.XLOOKUP(KC$1,generator!$B$2:$B$295,generator!$Q$2:$Q$295,"ARGH")</f>
        <v>0</v>
      </c>
    </row>
    <row r="24" spans="1:289" x14ac:dyDescent="0.3">
      <c r="A24" s="4" t="s">
        <v>3019</v>
      </c>
      <c r="B24" s="3">
        <v>15000</v>
      </c>
      <c r="C24" s="3">
        <v>15000</v>
      </c>
      <c r="D24" s="3">
        <v>15000</v>
      </c>
      <c r="E24" s="3">
        <f>_xlfn.XLOOKUP(E$1,generator!$B$2:$B$295,generator!$Q$2:$Q$295,"ARGH")</f>
        <v>9000</v>
      </c>
      <c r="F24" s="3">
        <f>_xlfn.XLOOKUP(F$1,generator!$B$2:$B$295,generator!$Q$2:$Q$295,"ARGH")</f>
        <v>9000</v>
      </c>
      <c r="G24" s="3">
        <f>_xlfn.XLOOKUP(G$1,generator!$B$2:$B$295,generator!$Q$2:$Q$295,"ARGH")</f>
        <v>9000</v>
      </c>
      <c r="H24" s="3">
        <f>_xlfn.XLOOKUP(H$1,generator!$B$2:$B$295,generator!$Q$2:$Q$295,"ARGH")</f>
        <v>9000</v>
      </c>
      <c r="I24" s="3">
        <f>_xlfn.XLOOKUP(I$1,generator!$B$2:$B$295,generator!$Q$2:$Q$295,"ARGH")</f>
        <v>9000</v>
      </c>
      <c r="J24" s="3">
        <f>_xlfn.XLOOKUP(J$1,generator!$B$2:$B$295,generator!$Q$2:$Q$295,"ARGH")</f>
        <v>9000</v>
      </c>
      <c r="K24" s="3">
        <f>_xlfn.XLOOKUP(K$1,generator!$B$2:$B$295,generator!$Q$2:$Q$295,"ARGH")</f>
        <v>9000</v>
      </c>
      <c r="L24" s="3">
        <f>_xlfn.XLOOKUP(L$1,generator!$B$2:$B$295,generator!$Q$2:$Q$295,"ARGH")</f>
        <v>9000</v>
      </c>
      <c r="M24" s="3">
        <f>_xlfn.XLOOKUP(M$1,generator!$B$2:$B$295,generator!$Q$2:$Q$295,"ARGH")</f>
        <v>9000</v>
      </c>
      <c r="N24" s="3">
        <f>_xlfn.XLOOKUP(N$1,generator!$B$2:$B$295,generator!$Q$2:$Q$295,"ARGH")</f>
        <v>9000</v>
      </c>
      <c r="O24" s="3">
        <f>_xlfn.XLOOKUP(O$1,generator!$B$2:$B$295,generator!$Q$2:$Q$295,"ARGH")</f>
        <v>9000</v>
      </c>
      <c r="P24" s="3">
        <f>_xlfn.XLOOKUP(P$1,generator!$B$2:$B$295,generator!$Q$2:$Q$295,"ARGH")</f>
        <v>9000</v>
      </c>
      <c r="Q24" s="3">
        <f>_xlfn.XLOOKUP(Q$1,generator!$B$2:$B$295,generator!$Q$2:$Q$295,"ARGH")</f>
        <v>9000</v>
      </c>
      <c r="R24" s="3">
        <f>_xlfn.XLOOKUP(R$1,generator!$B$2:$B$295,generator!$Q$2:$Q$295,"ARGH")</f>
        <v>9000</v>
      </c>
      <c r="S24" s="3">
        <f>_xlfn.XLOOKUP(S$1,generator!$B$2:$B$295,generator!$Q$2:$Q$295,"ARGH")</f>
        <v>9000</v>
      </c>
      <c r="T24" s="3">
        <f>_xlfn.XLOOKUP(T$1,generator!$B$2:$B$295,generator!$Q$2:$Q$295,"ARGH")</f>
        <v>9000</v>
      </c>
      <c r="U24" s="3">
        <f>_xlfn.XLOOKUP(U$1,generator!$B$2:$B$295,generator!$Q$2:$Q$295,"ARGH")</f>
        <v>9000</v>
      </c>
      <c r="V24" s="3">
        <f>_xlfn.XLOOKUP(V$1,generator!$B$2:$B$295,generator!$Q$2:$Q$295,"ARGH")</f>
        <v>9000</v>
      </c>
      <c r="W24" s="3">
        <f>_xlfn.XLOOKUP(W$1,generator!$B$2:$B$295,generator!$Q$2:$Q$295,"ARGH")</f>
        <v>9000</v>
      </c>
      <c r="X24" s="3">
        <f>_xlfn.XLOOKUP(X$1,generator!$B$2:$B$295,generator!$Q$2:$Q$295,"ARGH")</f>
        <v>9000</v>
      </c>
      <c r="Y24" s="3">
        <f>_xlfn.XLOOKUP(Y$1,generator!$B$2:$B$295,generator!$Q$2:$Q$295,"ARGH")</f>
        <v>9000</v>
      </c>
      <c r="Z24" s="3">
        <f>_xlfn.XLOOKUP(Z$1,generator!$B$2:$B$295,generator!$Q$2:$Q$295,"ARGH")</f>
        <v>9000</v>
      </c>
      <c r="AA24" s="3">
        <f>_xlfn.XLOOKUP(AA$1,generator!$B$2:$B$295,generator!$Q$2:$Q$295,"ARGH")</f>
        <v>9000</v>
      </c>
      <c r="AB24" s="3">
        <f>_xlfn.XLOOKUP(AB$1,generator!$B$2:$B$295,generator!$Q$2:$Q$295,"ARGH")</f>
        <v>9000</v>
      </c>
      <c r="AC24" s="3">
        <f>_xlfn.XLOOKUP(AC$1,generator!$B$2:$B$295,generator!$Q$2:$Q$295,"ARGH")</f>
        <v>9000</v>
      </c>
      <c r="AD24" s="3">
        <f>_xlfn.XLOOKUP(AD$1,generator!$B$2:$B$295,generator!$Q$2:$Q$295,"ARGH")</f>
        <v>9000</v>
      </c>
      <c r="AE24" s="3">
        <f>_xlfn.XLOOKUP(AE$1,generator!$B$2:$B$295,generator!$Q$2:$Q$295,"ARGH")</f>
        <v>9000</v>
      </c>
      <c r="AF24" s="3">
        <f>_xlfn.XLOOKUP(AF$1,generator!$B$2:$B$295,generator!$Q$2:$Q$295,"ARGH")</f>
        <v>9000</v>
      </c>
      <c r="AG24" s="3">
        <f>_xlfn.XLOOKUP(AG$1,generator!$B$2:$B$295,generator!$Q$2:$Q$295,"ARGH")</f>
        <v>9000</v>
      </c>
      <c r="AH24" s="3">
        <f>_xlfn.XLOOKUP(AH$1,generator!$B$2:$B$295,generator!$Q$2:$Q$295,"ARGH")</f>
        <v>9000</v>
      </c>
      <c r="AI24" s="3">
        <f>_xlfn.XLOOKUP(AI$1,generator!$B$2:$B$295,generator!$Q$2:$Q$295,"ARGH")</f>
        <v>9000</v>
      </c>
      <c r="AJ24" s="3">
        <f>_xlfn.XLOOKUP(AJ$1,generator!$B$2:$B$295,generator!$Q$2:$Q$295,"ARGH")</f>
        <v>9000</v>
      </c>
      <c r="AK24" s="3">
        <f>_xlfn.XLOOKUP(AK$1,generator!$B$2:$B$295,generator!$Q$2:$Q$295,"ARGH")</f>
        <v>9000</v>
      </c>
      <c r="AL24" s="3">
        <f>_xlfn.XLOOKUP(AL$1,generator!$B$2:$B$295,generator!$Q$2:$Q$295,"ARGH")</f>
        <v>9000</v>
      </c>
      <c r="AM24" s="3">
        <f>_xlfn.XLOOKUP(AM$1,generator!$B$2:$B$295,generator!$Q$2:$Q$295,"ARGH")</f>
        <v>9000</v>
      </c>
      <c r="AN24" s="3">
        <f>_xlfn.XLOOKUP(AN$1,generator!$B$2:$B$295,generator!$Q$2:$Q$295,"ARGH")</f>
        <v>9000</v>
      </c>
      <c r="AO24" s="3">
        <f>_xlfn.XLOOKUP(AO$1,generator!$B$2:$B$295,generator!$Q$2:$Q$295,"ARGH")</f>
        <v>9000</v>
      </c>
      <c r="AP24" s="3">
        <f>_xlfn.XLOOKUP(AP$1,generator!$B$2:$B$295,generator!$Q$2:$Q$295,"ARGH")</f>
        <v>9000</v>
      </c>
      <c r="AQ24" s="3">
        <f>_xlfn.XLOOKUP(AQ$1,generator!$B$2:$B$295,generator!$Q$2:$Q$295,"ARGH")</f>
        <v>9000</v>
      </c>
      <c r="AR24" s="3">
        <f>_xlfn.XLOOKUP(AR$1,generator!$B$2:$B$295,generator!$Q$2:$Q$295,"ARGH")</f>
        <v>9000</v>
      </c>
      <c r="AS24" s="3">
        <f>_xlfn.XLOOKUP(AS$1,generator!$B$2:$B$295,generator!$Q$2:$Q$295,"ARGH")</f>
        <v>9000</v>
      </c>
      <c r="AT24" s="3">
        <f>_xlfn.XLOOKUP(AT$1,generator!$B$2:$B$295,generator!$Q$2:$Q$295,"ARGH")</f>
        <v>9000</v>
      </c>
      <c r="AU24" s="3">
        <f>_xlfn.XLOOKUP(AU$1,generator!$B$2:$B$295,generator!$Q$2:$Q$295,"ARGH")</f>
        <v>9000</v>
      </c>
      <c r="AV24" s="3">
        <f>_xlfn.XLOOKUP(AV$1,generator!$B$2:$B$295,generator!$Q$2:$Q$295,"ARGH")</f>
        <v>9000</v>
      </c>
      <c r="AW24" s="3">
        <f>_xlfn.XLOOKUP(AW$1,generator!$B$2:$B$295,generator!$Q$2:$Q$295,"ARGH")</f>
        <v>9000</v>
      </c>
      <c r="AX24" s="3">
        <f>_xlfn.XLOOKUP(AX$1,generator!$B$2:$B$295,generator!$Q$2:$Q$295,"ARGH")</f>
        <v>9000</v>
      </c>
      <c r="AY24" s="3">
        <f>_xlfn.XLOOKUP(AY$1,generator!$B$2:$B$295,generator!$Q$2:$Q$295,"ARGH")</f>
        <v>9000</v>
      </c>
      <c r="AZ24" s="3">
        <f>_xlfn.XLOOKUP(AZ$1,generator!$B$2:$B$295,generator!$Q$2:$Q$295,"ARGH")</f>
        <v>9000</v>
      </c>
      <c r="BA24" s="3">
        <f>_xlfn.XLOOKUP(BA$1,generator!$B$2:$B$295,generator!$Q$2:$Q$295,"ARGH")</f>
        <v>9000</v>
      </c>
      <c r="BB24" s="3">
        <f>_xlfn.XLOOKUP(BB$1,generator!$B$2:$B$295,generator!$Q$2:$Q$295,"ARGH")</f>
        <v>9000</v>
      </c>
      <c r="BC24" s="3">
        <f>_xlfn.XLOOKUP(BC$1,generator!$B$2:$B$295,generator!$Q$2:$Q$295,"ARGH")</f>
        <v>9000</v>
      </c>
      <c r="BD24" s="3">
        <f>_xlfn.XLOOKUP(BD$1,generator!$B$2:$B$295,generator!$Q$2:$Q$295,"ARGH")</f>
        <v>9000</v>
      </c>
      <c r="BE24" s="3">
        <f>_xlfn.XLOOKUP(BE$1,generator!$B$2:$B$295,generator!$Q$2:$Q$295,"ARGH")</f>
        <v>9000</v>
      </c>
      <c r="BF24" s="3">
        <f>_xlfn.XLOOKUP(BF$1,generator!$B$2:$B$295,generator!$Q$2:$Q$295,"ARGH")</f>
        <v>9000</v>
      </c>
      <c r="BG24" s="3">
        <f>_xlfn.XLOOKUP(BG$1,generator!$B$2:$B$295,generator!$Q$2:$Q$295,"ARGH")</f>
        <v>9000</v>
      </c>
      <c r="BH24" s="3">
        <f>_xlfn.XLOOKUP(BH$1,generator!$B$2:$B$295,generator!$Q$2:$Q$295,"ARGH")</f>
        <v>9000</v>
      </c>
      <c r="BI24" s="3">
        <f>_xlfn.XLOOKUP(BI$1,generator!$B$2:$B$295,generator!$Q$2:$Q$295,"ARGH")</f>
        <v>9000</v>
      </c>
      <c r="BJ24" s="3">
        <f>_xlfn.XLOOKUP(BJ$1,generator!$B$2:$B$295,generator!$Q$2:$Q$295,"ARGH")</f>
        <v>9000</v>
      </c>
      <c r="BK24" s="3">
        <f>_xlfn.XLOOKUP(BK$1,generator!$B$2:$B$295,generator!$Q$2:$Q$295,"ARGH")</f>
        <v>9000</v>
      </c>
      <c r="BL24" s="3">
        <f>_xlfn.XLOOKUP(BL$1,generator!$B$2:$B$295,generator!$Q$2:$Q$295,"ARGH")</f>
        <v>9000</v>
      </c>
      <c r="BM24" s="3">
        <f>_xlfn.XLOOKUP(BM$1,generator!$B$2:$B$295,generator!$Q$2:$Q$295,"ARGH")</f>
        <v>9000</v>
      </c>
      <c r="BN24" s="3">
        <f>_xlfn.XLOOKUP(BN$1,generator!$B$2:$B$295,generator!$Q$2:$Q$295,"ARGH")</f>
        <v>9000</v>
      </c>
      <c r="BO24" s="3">
        <f>_xlfn.XLOOKUP(BO$1,generator!$B$2:$B$295,generator!$Q$2:$Q$295,"ARGH")</f>
        <v>9000</v>
      </c>
      <c r="BP24" s="3">
        <f>_xlfn.XLOOKUP(BP$1,generator!$B$2:$B$295,generator!$Q$2:$Q$295,"ARGH")</f>
        <v>9000</v>
      </c>
      <c r="BQ24" s="3">
        <f>_xlfn.XLOOKUP(BQ$1,generator!$B$2:$B$295,generator!$Q$2:$Q$295,"ARGH")</f>
        <v>9000</v>
      </c>
      <c r="BR24" s="3">
        <f>_xlfn.XLOOKUP(BR$1,generator!$B$2:$B$295,generator!$Q$2:$Q$295,"ARGH")</f>
        <v>9000</v>
      </c>
      <c r="BS24" s="3">
        <f>_xlfn.XLOOKUP(BS$1,generator!$B$2:$B$295,generator!$Q$2:$Q$295,"ARGH")</f>
        <v>9000</v>
      </c>
      <c r="BT24" s="3">
        <f>_xlfn.XLOOKUP(BT$1,generator!$B$2:$B$295,generator!$Q$2:$Q$295,"ARGH")</f>
        <v>9000</v>
      </c>
      <c r="BU24" s="3">
        <f>_xlfn.XLOOKUP(BU$1,generator!$B$2:$B$295,generator!$Q$2:$Q$295,"ARGH")</f>
        <v>9000</v>
      </c>
      <c r="BV24" s="3">
        <f>_xlfn.XLOOKUP(BV$1,generator!$B$2:$B$295,generator!$Q$2:$Q$295,"ARGH")</f>
        <v>9000</v>
      </c>
      <c r="BW24" s="3">
        <f>_xlfn.XLOOKUP(BW$1,generator!$B$2:$B$295,generator!$Q$2:$Q$295,"ARGH")</f>
        <v>9000</v>
      </c>
      <c r="BX24" s="3">
        <f>_xlfn.XLOOKUP(BX$1,generator!$B$2:$B$295,generator!$Q$2:$Q$295,"ARGH")</f>
        <v>9000</v>
      </c>
      <c r="BY24" s="3">
        <f>_xlfn.XLOOKUP(BY$1,generator!$B$2:$B$295,generator!$Q$2:$Q$295,"ARGH")</f>
        <v>9000</v>
      </c>
      <c r="BZ24" s="3">
        <f>_xlfn.XLOOKUP(BZ$1,generator!$B$2:$B$295,generator!$Q$2:$Q$295,"ARGH")</f>
        <v>9000</v>
      </c>
      <c r="CA24" s="3">
        <f>_xlfn.XLOOKUP(CA$1,generator!$B$2:$B$295,generator!$Q$2:$Q$295,"ARGH")</f>
        <v>9000</v>
      </c>
      <c r="CB24" s="3">
        <f>_xlfn.XLOOKUP(CB$1,generator!$B$2:$B$295,generator!$Q$2:$Q$295,"ARGH")</f>
        <v>9000</v>
      </c>
      <c r="CC24" s="3">
        <f>_xlfn.XLOOKUP(CC$1,generator!$B$2:$B$295,generator!$Q$2:$Q$295,"ARGH")</f>
        <v>9000</v>
      </c>
      <c r="CD24" s="3">
        <f>_xlfn.XLOOKUP(CD$1,generator!$B$2:$B$295,generator!$Q$2:$Q$295,"ARGH")</f>
        <v>9000</v>
      </c>
      <c r="CE24" s="3">
        <f>_xlfn.XLOOKUP(CE$1,generator!$B$2:$B$295,generator!$Q$2:$Q$295,"ARGH")</f>
        <v>9000</v>
      </c>
      <c r="CF24" s="3">
        <f>_xlfn.XLOOKUP(CF$1,generator!$B$2:$B$295,generator!$Q$2:$Q$295,"ARGH")</f>
        <v>9000</v>
      </c>
      <c r="CG24" s="3">
        <f>_xlfn.XLOOKUP(CG$1,generator!$B$2:$B$295,generator!$Q$2:$Q$295,"ARGH")</f>
        <v>9000</v>
      </c>
      <c r="CH24" s="3">
        <f>_xlfn.XLOOKUP(CH$1,generator!$B$2:$B$295,generator!$Q$2:$Q$295,"ARGH")</f>
        <v>9000</v>
      </c>
      <c r="CI24" s="3">
        <f>_xlfn.XLOOKUP(CI$1,generator!$B$2:$B$295,generator!$Q$2:$Q$295,"ARGH")</f>
        <v>9000</v>
      </c>
      <c r="CJ24" s="3">
        <f>_xlfn.XLOOKUP(CJ$1,generator!$B$2:$B$295,generator!$Q$2:$Q$295,"ARGH")</f>
        <v>9000</v>
      </c>
      <c r="CK24" s="3">
        <f>_xlfn.XLOOKUP(CK$1,generator!$B$2:$B$295,generator!$Q$2:$Q$295,"ARGH")</f>
        <v>9000</v>
      </c>
      <c r="CL24" s="3">
        <f>_xlfn.XLOOKUP(CL$1,generator!$B$2:$B$295,generator!$Q$2:$Q$295,"ARGH")</f>
        <v>9000</v>
      </c>
      <c r="CM24" s="3">
        <f>_xlfn.XLOOKUP(CM$1,generator!$B$2:$B$295,generator!$Q$2:$Q$295,"ARGH")</f>
        <v>9000</v>
      </c>
      <c r="CN24" s="3">
        <f>_xlfn.XLOOKUP(CN$1,generator!$B$2:$B$295,generator!$Q$2:$Q$295,"ARGH")</f>
        <v>9000</v>
      </c>
      <c r="CO24" s="3">
        <f>_xlfn.XLOOKUP(CO$1,generator!$B$2:$B$295,generator!$Q$2:$Q$295,"ARGH")</f>
        <v>9000</v>
      </c>
      <c r="CP24" s="3">
        <f>_xlfn.XLOOKUP(CP$1,generator!$B$2:$B$295,generator!$Q$2:$Q$295,"ARGH")</f>
        <v>9000</v>
      </c>
      <c r="CQ24" s="3">
        <f>_xlfn.XLOOKUP(CQ$1,generator!$B$2:$B$295,generator!$Q$2:$Q$295,"ARGH")</f>
        <v>9000</v>
      </c>
      <c r="CR24" s="3">
        <f>_xlfn.XLOOKUP(CR$1,generator!$B$2:$B$295,generator!$Q$2:$Q$295,"ARGH")</f>
        <v>9000</v>
      </c>
      <c r="CS24" s="3">
        <f>_xlfn.XLOOKUP(CS$1,generator!$B$2:$B$295,generator!$Q$2:$Q$295,"ARGH")</f>
        <v>9000</v>
      </c>
      <c r="CT24" s="3">
        <f>_xlfn.XLOOKUP(CT$1,generator!$B$2:$B$295,generator!$Q$2:$Q$295,"ARGH")</f>
        <v>9000</v>
      </c>
      <c r="CU24" s="3">
        <f>_xlfn.XLOOKUP(CU$1,generator!$B$2:$B$295,generator!$Q$2:$Q$295,"ARGH")</f>
        <v>9000</v>
      </c>
      <c r="CV24" s="3">
        <f>_xlfn.XLOOKUP(CV$1,generator!$B$2:$B$295,generator!$Q$2:$Q$295,"ARGH")</f>
        <v>9000</v>
      </c>
      <c r="CW24" s="3">
        <f>_xlfn.XLOOKUP(CW$1,generator!$B$2:$B$295,generator!$Q$2:$Q$295,"ARGH")</f>
        <v>9000</v>
      </c>
      <c r="CX24" s="3">
        <f>_xlfn.XLOOKUP(CX$1,generator!$B$2:$B$295,generator!$Q$2:$Q$295,"ARGH")</f>
        <v>9000</v>
      </c>
      <c r="CY24" s="3">
        <f>_xlfn.XLOOKUP(CY$1,generator!$B$2:$B$295,generator!$Q$2:$Q$295,"ARGH")</f>
        <v>9000</v>
      </c>
      <c r="CZ24" s="3">
        <f>_xlfn.XLOOKUP(CZ$1,generator!$B$2:$B$295,generator!$Q$2:$Q$295,"ARGH")</f>
        <v>9000</v>
      </c>
      <c r="DA24" s="3">
        <f>_xlfn.XLOOKUP(DA$1,generator!$B$2:$B$295,generator!$Q$2:$Q$295,"ARGH")</f>
        <v>9000</v>
      </c>
      <c r="DB24" s="3">
        <f>_xlfn.XLOOKUP(DB$1,generator!$B$2:$B$295,generator!$Q$2:$Q$295,"ARGH")</f>
        <v>9000</v>
      </c>
      <c r="DC24" s="3">
        <f>_xlfn.XLOOKUP(DC$1,generator!$B$2:$B$295,generator!$Q$2:$Q$295,"ARGH")</f>
        <v>9000</v>
      </c>
      <c r="DD24" s="3">
        <f>_xlfn.XLOOKUP(DD$1,generator!$B$2:$B$295,generator!$Q$2:$Q$295,"ARGH")</f>
        <v>9000</v>
      </c>
      <c r="DE24" s="3">
        <f>_xlfn.XLOOKUP(DE$1,generator!$B$2:$B$295,generator!$Q$2:$Q$295,"ARGH")</f>
        <v>9000</v>
      </c>
      <c r="DF24" s="3">
        <f>_xlfn.XLOOKUP(DF$1,generator!$B$2:$B$295,generator!$Q$2:$Q$295,"ARGH")</f>
        <v>9000</v>
      </c>
      <c r="DG24" s="3">
        <f>_xlfn.XLOOKUP(DG$1,generator!$B$2:$B$295,generator!$Q$2:$Q$295,"ARGH")</f>
        <v>9000</v>
      </c>
      <c r="DH24" s="3">
        <f>_xlfn.XLOOKUP(DH$1,generator!$B$2:$B$295,generator!$Q$2:$Q$295,"ARGH")</f>
        <v>9000</v>
      </c>
      <c r="DI24" s="3">
        <f>_xlfn.XLOOKUP(DI$1,generator!$B$2:$B$295,generator!$Q$2:$Q$295,"ARGH")</f>
        <v>9000</v>
      </c>
      <c r="DJ24" s="3">
        <f>_xlfn.XLOOKUP(DJ$1,generator!$B$2:$B$295,generator!$Q$2:$Q$295,"ARGH")</f>
        <v>9000</v>
      </c>
      <c r="DK24" s="3">
        <f>_xlfn.XLOOKUP(DK$1,generator!$B$2:$B$295,generator!$Q$2:$Q$295,"ARGH")</f>
        <v>9000</v>
      </c>
      <c r="DL24" s="3">
        <f>_xlfn.XLOOKUP(DL$1,generator!$B$2:$B$295,generator!$Q$2:$Q$295,"ARGH")</f>
        <v>9000</v>
      </c>
      <c r="DM24" s="3">
        <f>_xlfn.XLOOKUP(DM$1,generator!$B$2:$B$295,generator!$Q$2:$Q$295,"ARGH")</f>
        <v>9000</v>
      </c>
      <c r="DN24" s="3">
        <f>_xlfn.XLOOKUP(DN$1,generator!$B$2:$B$295,generator!$Q$2:$Q$295,"ARGH")</f>
        <v>9000</v>
      </c>
      <c r="DO24" s="3">
        <f>_xlfn.XLOOKUP(DO$1,generator!$B$2:$B$295,generator!$Q$2:$Q$295,"ARGH")</f>
        <v>9000</v>
      </c>
      <c r="DP24" s="3">
        <f>_xlfn.XLOOKUP(DP$1,generator!$B$2:$B$295,generator!$Q$2:$Q$295,"ARGH")</f>
        <v>9000</v>
      </c>
      <c r="DQ24" s="3">
        <f>_xlfn.XLOOKUP(DQ$1,generator!$B$2:$B$295,generator!$Q$2:$Q$295,"ARGH")</f>
        <v>9000</v>
      </c>
      <c r="DR24" s="3">
        <f>_xlfn.XLOOKUP(DR$1,generator!$B$2:$B$295,generator!$Q$2:$Q$295,"ARGH")</f>
        <v>9000</v>
      </c>
      <c r="DS24" s="3">
        <f>_xlfn.XLOOKUP(DS$1,generator!$B$2:$B$295,generator!$Q$2:$Q$295,"ARGH")</f>
        <v>9000</v>
      </c>
      <c r="DT24" s="3">
        <f>_xlfn.XLOOKUP(DT$1,generator!$B$2:$B$295,generator!$Q$2:$Q$295,"ARGH")</f>
        <v>9000</v>
      </c>
      <c r="DU24" s="3">
        <f>_xlfn.XLOOKUP(DU$1,generator!$B$2:$B$295,generator!$Q$2:$Q$295,"ARGH")</f>
        <v>9000</v>
      </c>
      <c r="DV24" s="3">
        <f>_xlfn.XLOOKUP(DV$1,generator!$B$2:$B$295,generator!$Q$2:$Q$295,"ARGH")</f>
        <v>9000</v>
      </c>
      <c r="DW24" s="3">
        <f>_xlfn.XLOOKUP(DW$1,generator!$B$2:$B$295,generator!$Q$2:$Q$295,"ARGH")</f>
        <v>9000</v>
      </c>
      <c r="DX24" s="3">
        <f>_xlfn.XLOOKUP(DX$1,generator!$B$2:$B$295,generator!$Q$2:$Q$295,"ARGH")</f>
        <v>9000</v>
      </c>
      <c r="DY24" s="3">
        <f>_xlfn.XLOOKUP(DY$1,generator!$B$2:$B$295,generator!$Q$2:$Q$295,"ARGH")</f>
        <v>9000</v>
      </c>
      <c r="DZ24" s="3">
        <f>_xlfn.XLOOKUP(DZ$1,generator!$B$2:$B$295,generator!$Q$2:$Q$295,"ARGH")</f>
        <v>9000</v>
      </c>
      <c r="EA24" s="3">
        <f>_xlfn.XLOOKUP(EA$1,generator!$B$2:$B$295,generator!$Q$2:$Q$295,"ARGH")</f>
        <v>9000</v>
      </c>
      <c r="EB24" s="3">
        <f>_xlfn.XLOOKUP(EB$1,generator!$B$2:$B$295,generator!$Q$2:$Q$295,"ARGH")</f>
        <v>9000</v>
      </c>
      <c r="EC24" s="3">
        <f>_xlfn.XLOOKUP(EC$1,generator!$B$2:$B$295,generator!$Q$2:$Q$295,"ARGH")</f>
        <v>9000</v>
      </c>
      <c r="ED24" s="3">
        <f>_xlfn.XLOOKUP(ED$1,generator!$B$2:$B$295,generator!$Q$2:$Q$295,"ARGH")</f>
        <v>9000</v>
      </c>
      <c r="EE24" s="3">
        <f>_xlfn.XLOOKUP(EE$1,generator!$B$2:$B$295,generator!$Q$2:$Q$295,"ARGH")</f>
        <v>9000</v>
      </c>
      <c r="EF24" s="3">
        <f>_xlfn.XLOOKUP(EF$1,generator!$B$2:$B$295,generator!$Q$2:$Q$295,"ARGH")</f>
        <v>9000</v>
      </c>
      <c r="EG24" s="3">
        <f>_xlfn.XLOOKUP(EG$1,generator!$B$2:$B$295,generator!$Q$2:$Q$295,"ARGH")</f>
        <v>9000</v>
      </c>
      <c r="EH24" s="3">
        <f>_xlfn.XLOOKUP(EH$1,generator!$B$2:$B$295,generator!$Q$2:$Q$295,"ARGH")</f>
        <v>9000</v>
      </c>
      <c r="EI24" s="3">
        <f>_xlfn.XLOOKUP(EI$1,generator!$B$2:$B$295,generator!$Q$2:$Q$295,"ARGH")</f>
        <v>9000</v>
      </c>
      <c r="EJ24" s="3">
        <f>_xlfn.XLOOKUP(EJ$1,generator!$B$2:$B$295,generator!$Q$2:$Q$295,"ARGH")</f>
        <v>9000</v>
      </c>
      <c r="EK24" s="3">
        <f>_xlfn.XLOOKUP(EK$1,generator!$B$2:$B$295,generator!$Q$2:$Q$295,"ARGH")</f>
        <v>9000</v>
      </c>
      <c r="EL24" s="3">
        <f>_xlfn.XLOOKUP(EL$1,generator!$B$2:$B$295,generator!$Q$2:$Q$295,"ARGH")</f>
        <v>9000</v>
      </c>
      <c r="EM24" s="3">
        <f>_xlfn.XLOOKUP(EM$1,generator!$B$2:$B$295,generator!$Q$2:$Q$295,"ARGH")</f>
        <v>9000</v>
      </c>
      <c r="EN24" s="3">
        <f>_xlfn.XLOOKUP(EN$1,generator!$B$2:$B$295,generator!$Q$2:$Q$295,"ARGH")</f>
        <v>9000</v>
      </c>
      <c r="EO24" s="3">
        <f>_xlfn.XLOOKUP(EO$1,generator!$B$2:$B$295,generator!$Q$2:$Q$295,"ARGH")</f>
        <v>9000</v>
      </c>
      <c r="EP24" s="3">
        <f>_xlfn.XLOOKUP(EP$1,generator!$B$2:$B$295,generator!$Q$2:$Q$295,"ARGH")</f>
        <v>9000</v>
      </c>
      <c r="EQ24" s="3">
        <f>_xlfn.XLOOKUP(EQ$1,generator!$B$2:$B$295,generator!$Q$2:$Q$295,"ARGH")</f>
        <v>9000</v>
      </c>
      <c r="ER24" s="3">
        <f>_xlfn.XLOOKUP(ER$1,generator!$B$2:$B$295,generator!$Q$2:$Q$295,"ARGH")</f>
        <v>9000</v>
      </c>
      <c r="ES24" s="3">
        <f>_xlfn.XLOOKUP(ES$1,generator!$B$2:$B$295,generator!$Q$2:$Q$295,"ARGH")</f>
        <v>9000</v>
      </c>
      <c r="ET24" s="3">
        <f>_xlfn.XLOOKUP(ET$1,generator!$B$2:$B$295,generator!$Q$2:$Q$295,"ARGH")</f>
        <v>9000</v>
      </c>
      <c r="EU24" s="3">
        <f>_xlfn.XLOOKUP(EU$1,generator!$B$2:$B$295,generator!$Q$2:$Q$295,"ARGH")</f>
        <v>9000</v>
      </c>
      <c r="EV24" s="3">
        <f>_xlfn.XLOOKUP(EV$1,generator!$B$2:$B$295,generator!$Q$2:$Q$295,"ARGH")</f>
        <v>9000</v>
      </c>
      <c r="EW24" s="3">
        <f>_xlfn.XLOOKUP(EW$1,generator!$B$2:$B$295,generator!$Q$2:$Q$295,"ARGH")</f>
        <v>9000</v>
      </c>
      <c r="EX24" s="3">
        <f>_xlfn.XLOOKUP(EX$1,generator!$B$2:$B$295,generator!$Q$2:$Q$295,"ARGH")</f>
        <v>9000</v>
      </c>
      <c r="EY24" s="3">
        <f>_xlfn.XLOOKUP(EY$1,generator!$B$2:$B$295,generator!$Q$2:$Q$295,"ARGH")</f>
        <v>9000</v>
      </c>
      <c r="EZ24" s="3">
        <f>_xlfn.XLOOKUP(EZ$1,generator!$B$2:$B$295,generator!$Q$2:$Q$295,"ARGH")</f>
        <v>9000</v>
      </c>
      <c r="FA24" s="3">
        <f>_xlfn.XLOOKUP(FA$1,generator!$B$2:$B$295,generator!$Q$2:$Q$295,"ARGH")</f>
        <v>9000</v>
      </c>
      <c r="FB24" s="3">
        <f>_xlfn.XLOOKUP(FB$1,generator!$B$2:$B$295,generator!$Q$2:$Q$295,"ARGH")</f>
        <v>9000</v>
      </c>
      <c r="FC24" s="3">
        <f>_xlfn.XLOOKUP(FC$1,generator!$B$2:$B$295,generator!$Q$2:$Q$295,"ARGH")</f>
        <v>9000</v>
      </c>
      <c r="FD24" s="3">
        <f>_xlfn.XLOOKUP(FD$1,generator!$B$2:$B$295,generator!$Q$2:$Q$295,"ARGH")</f>
        <v>9000</v>
      </c>
      <c r="FE24" s="3">
        <f>_xlfn.XLOOKUP(FE$1,generator!$B$2:$B$295,generator!$Q$2:$Q$295,"ARGH")</f>
        <v>9000</v>
      </c>
      <c r="FF24" s="3">
        <f>_xlfn.XLOOKUP(FF$1,generator!$B$2:$B$295,generator!$Q$2:$Q$295,"ARGH")</f>
        <v>9000</v>
      </c>
      <c r="FG24" s="3">
        <f>_xlfn.XLOOKUP(FG$1,generator!$B$2:$B$295,generator!$Q$2:$Q$295,"ARGH")</f>
        <v>9000</v>
      </c>
      <c r="FH24" s="3">
        <f>_xlfn.XLOOKUP(FH$1,generator!$B$2:$B$295,generator!$Q$2:$Q$295,"ARGH")</f>
        <v>9000</v>
      </c>
      <c r="FI24" s="3">
        <f>_xlfn.XLOOKUP(FI$1,generator!$B$2:$B$295,generator!$Q$2:$Q$295,"ARGH")</f>
        <v>9000</v>
      </c>
      <c r="FJ24" s="3">
        <f>_xlfn.XLOOKUP(FJ$1,generator!$B$2:$B$295,generator!$Q$2:$Q$295,"ARGH")</f>
        <v>9000</v>
      </c>
      <c r="FK24" s="3">
        <f>_xlfn.XLOOKUP(FK$1,generator!$B$2:$B$295,generator!$Q$2:$Q$295,"ARGH")</f>
        <v>9000</v>
      </c>
      <c r="FL24" s="3">
        <f>_xlfn.XLOOKUP(FL$1,generator!$B$2:$B$295,generator!$Q$2:$Q$295,"ARGH")</f>
        <v>9000</v>
      </c>
      <c r="FM24" s="3">
        <f>_xlfn.XLOOKUP(FM$1,generator!$B$2:$B$295,generator!$Q$2:$Q$295,"ARGH")</f>
        <v>9000</v>
      </c>
      <c r="FN24" s="3">
        <f>_xlfn.XLOOKUP(FN$1,generator!$B$2:$B$295,generator!$Q$2:$Q$295,"ARGH")</f>
        <v>9000</v>
      </c>
      <c r="FO24" s="3">
        <f>_xlfn.XLOOKUP(FO$1,generator!$B$2:$B$295,generator!$Q$2:$Q$295,"ARGH")</f>
        <v>9000</v>
      </c>
      <c r="FP24" s="3">
        <f>_xlfn.XLOOKUP(FP$1,generator!$B$2:$B$295,generator!$Q$2:$Q$295,"ARGH")</f>
        <v>9000</v>
      </c>
      <c r="FQ24" s="3">
        <f>_xlfn.XLOOKUP(FQ$1,generator!$B$2:$B$295,generator!$Q$2:$Q$295,"ARGH")</f>
        <v>9000</v>
      </c>
      <c r="FR24" s="3">
        <f>_xlfn.XLOOKUP(FR$1,generator!$B$2:$B$295,generator!$Q$2:$Q$295,"ARGH")</f>
        <v>9000</v>
      </c>
      <c r="FS24" s="3">
        <f>_xlfn.XLOOKUP(FS$1,generator!$B$2:$B$295,generator!$Q$2:$Q$295,"ARGH")</f>
        <v>9000</v>
      </c>
      <c r="FT24" s="3">
        <f>_xlfn.XLOOKUP(FT$1,generator!$B$2:$B$295,generator!$Q$2:$Q$295,"ARGH")</f>
        <v>9000</v>
      </c>
      <c r="FU24" s="3">
        <f>_xlfn.XLOOKUP(FU$1,generator!$B$2:$B$295,generator!$Q$2:$Q$295,"ARGH")</f>
        <v>9000</v>
      </c>
      <c r="FV24" s="3">
        <f>_xlfn.XLOOKUP(FV$1,generator!$B$2:$B$295,generator!$Q$2:$Q$295,"ARGH")</f>
        <v>9000</v>
      </c>
      <c r="FW24" s="3">
        <f>_xlfn.XLOOKUP(FW$1,generator!$B$2:$B$295,generator!$Q$2:$Q$295,"ARGH")</f>
        <v>9000</v>
      </c>
      <c r="FX24" s="3">
        <f>_xlfn.XLOOKUP(FX$1,generator!$B$2:$B$295,generator!$Q$2:$Q$295,"ARGH")</f>
        <v>9000</v>
      </c>
      <c r="FY24" s="3">
        <f>_xlfn.XLOOKUP(FY$1,generator!$B$2:$B$295,generator!$Q$2:$Q$295,"ARGH")</f>
        <v>9000</v>
      </c>
      <c r="FZ24" s="3">
        <f>_xlfn.XLOOKUP(FZ$1,generator!$B$2:$B$295,generator!$Q$2:$Q$295,"ARGH")</f>
        <v>9000</v>
      </c>
      <c r="GA24" s="3">
        <f>_xlfn.XLOOKUP(GA$1,generator!$B$2:$B$295,generator!$Q$2:$Q$295,"ARGH")</f>
        <v>9000</v>
      </c>
      <c r="GB24" s="3">
        <f>_xlfn.XLOOKUP(GB$1,generator!$B$2:$B$295,generator!$Q$2:$Q$295,"ARGH")</f>
        <v>9000</v>
      </c>
      <c r="GC24" s="3">
        <f>_xlfn.XLOOKUP(GC$1,generator!$B$2:$B$295,generator!$Q$2:$Q$295,"ARGH")</f>
        <v>9000</v>
      </c>
      <c r="GD24" s="3">
        <f>_xlfn.XLOOKUP(GD$1,generator!$B$2:$B$295,generator!$Q$2:$Q$295,"ARGH")</f>
        <v>9000</v>
      </c>
      <c r="GE24" s="3">
        <f>_xlfn.XLOOKUP(GE$1,generator!$B$2:$B$295,generator!$Q$2:$Q$295,"ARGH")</f>
        <v>9000</v>
      </c>
      <c r="GF24" s="3">
        <f>_xlfn.XLOOKUP(GF$1,generator!$B$2:$B$295,generator!$Q$2:$Q$295,"ARGH")</f>
        <v>9000</v>
      </c>
      <c r="GG24" s="3">
        <f>_xlfn.XLOOKUP(GG$1,generator!$B$2:$B$295,generator!$Q$2:$Q$295,"ARGH")</f>
        <v>9000</v>
      </c>
      <c r="GH24" s="3">
        <f>_xlfn.XLOOKUP(GH$1,generator!$B$2:$B$295,generator!$Q$2:$Q$295,"ARGH")</f>
        <v>9000</v>
      </c>
      <c r="GI24" s="3">
        <f>_xlfn.XLOOKUP(GI$1,generator!$B$2:$B$295,generator!$Q$2:$Q$295,"ARGH")</f>
        <v>9000</v>
      </c>
      <c r="GJ24" s="3">
        <f>_xlfn.XLOOKUP(GJ$1,generator!$B$2:$B$295,generator!$Q$2:$Q$295,"ARGH")</f>
        <v>9000</v>
      </c>
      <c r="GK24" s="3">
        <f>_xlfn.XLOOKUP(GK$1,generator!$B$2:$B$295,generator!$Q$2:$Q$295,"ARGH")</f>
        <v>9000</v>
      </c>
      <c r="GL24" s="3">
        <f>_xlfn.XLOOKUP(GL$1,generator!$B$2:$B$295,generator!$Q$2:$Q$295,"ARGH")</f>
        <v>9000</v>
      </c>
      <c r="GM24" s="3">
        <f>_xlfn.XLOOKUP(GM$1,generator!$B$2:$B$295,generator!$Q$2:$Q$295,"ARGH")</f>
        <v>9000</v>
      </c>
      <c r="GN24" s="3">
        <f>_xlfn.XLOOKUP(GN$1,generator!$B$2:$B$295,generator!$Q$2:$Q$295,"ARGH")</f>
        <v>9000</v>
      </c>
      <c r="GO24" s="3">
        <f>_xlfn.XLOOKUP(GO$1,generator!$B$2:$B$295,generator!$Q$2:$Q$295,"ARGH")</f>
        <v>9000</v>
      </c>
      <c r="GP24" s="3">
        <f>_xlfn.XLOOKUP(GP$1,generator!$B$2:$B$295,generator!$Q$2:$Q$295,"ARGH")</f>
        <v>9000</v>
      </c>
      <c r="GQ24" s="3">
        <f>_xlfn.XLOOKUP(GQ$1,generator!$B$2:$B$295,generator!$Q$2:$Q$295,"ARGH")</f>
        <v>9000</v>
      </c>
      <c r="GR24" s="3">
        <f>_xlfn.XLOOKUP(GR$1,generator!$B$2:$B$295,generator!$Q$2:$Q$295,"ARGH")</f>
        <v>9000</v>
      </c>
      <c r="GS24" s="3">
        <f>_xlfn.XLOOKUP(GS$1,generator!$B$2:$B$295,generator!$Q$2:$Q$295,"ARGH")</f>
        <v>9000</v>
      </c>
      <c r="GT24" s="3">
        <f>_xlfn.XLOOKUP(GT$1,generator!$B$2:$B$295,generator!$Q$2:$Q$295,"ARGH")</f>
        <v>9000</v>
      </c>
      <c r="GU24" s="3">
        <f>_xlfn.XLOOKUP(GU$1,generator!$B$2:$B$295,generator!$Q$2:$Q$295,"ARGH")</f>
        <v>9000</v>
      </c>
      <c r="GV24" s="3">
        <f>_xlfn.XLOOKUP(GV$1,generator!$B$2:$B$295,generator!$Q$2:$Q$295,"ARGH")</f>
        <v>9000</v>
      </c>
      <c r="GW24" s="3">
        <f>_xlfn.XLOOKUP(GW$1,generator!$B$2:$B$295,generator!$Q$2:$Q$295,"ARGH")</f>
        <v>9000</v>
      </c>
      <c r="GX24" s="3">
        <f>_xlfn.XLOOKUP(GX$1,generator!$B$2:$B$295,generator!$Q$2:$Q$295,"ARGH")</f>
        <v>9000</v>
      </c>
      <c r="GY24" s="3">
        <f>_xlfn.XLOOKUP(GY$1,generator!$B$2:$B$295,generator!$Q$2:$Q$295,"ARGH")</f>
        <v>9000</v>
      </c>
      <c r="GZ24" s="3">
        <f>_xlfn.XLOOKUP(GZ$1,generator!$B$2:$B$295,generator!$Q$2:$Q$295,"ARGH")</f>
        <v>9000</v>
      </c>
      <c r="HA24" s="3">
        <f>_xlfn.XLOOKUP(HA$1,generator!$B$2:$B$295,generator!$Q$2:$Q$295,"ARGH")</f>
        <v>9000</v>
      </c>
      <c r="HB24" s="3">
        <f>_xlfn.XLOOKUP(HB$1,generator!$B$2:$B$295,generator!$Q$2:$Q$295,"ARGH")</f>
        <v>9000</v>
      </c>
      <c r="HC24" s="3">
        <f>_xlfn.XLOOKUP(HC$1,generator!$B$2:$B$295,generator!$Q$2:$Q$295,"ARGH")</f>
        <v>9000</v>
      </c>
      <c r="HD24" s="3">
        <f>_xlfn.XLOOKUP(HD$1,generator!$B$2:$B$295,generator!$Q$2:$Q$295,"ARGH")</f>
        <v>9000</v>
      </c>
      <c r="HE24" s="3">
        <f>_xlfn.XLOOKUP(HE$1,generator!$B$2:$B$295,generator!$Q$2:$Q$295,"ARGH")</f>
        <v>8000</v>
      </c>
      <c r="HF24" s="3" t="str">
        <f>_xlfn.XLOOKUP(HF$1,generator!$B$2:$B$295,generator!$Q$2:$Q$295,"ARGH")</f>
        <v>143</v>
      </c>
      <c r="HG24" s="3" t="str">
        <f>_xlfn.XLOOKUP(HG$1,generator!$B$2:$B$295,generator!$Q$2:$Q$295,"ARGH")</f>
        <v>143</v>
      </c>
      <c r="HH24" s="3" t="str">
        <f>_xlfn.XLOOKUP(HH$1,generator!$B$2:$B$295,generator!$Q$2:$Q$295,"ARGH")</f>
        <v>143</v>
      </c>
      <c r="HI24" s="3" t="str">
        <f>_xlfn.XLOOKUP(HI$1,generator!$B$2:$B$295,generator!$Q$2:$Q$295,"ARGH")</f>
        <v>246.74</v>
      </c>
      <c r="HJ24" s="3" t="str">
        <f>_xlfn.XLOOKUP(HJ$1,generator!$B$2:$B$295,generator!$Q$2:$Q$295,"ARGH")</f>
        <v>246.74</v>
      </c>
      <c r="HK24" s="3" t="str">
        <f>_xlfn.XLOOKUP(HK$1,generator!$B$2:$B$295,generator!$Q$2:$Q$295,"ARGH")</f>
        <v>206.04</v>
      </c>
      <c r="HL24" s="3" t="str">
        <f>_xlfn.XLOOKUP(HL$1,generator!$B$2:$B$295,generator!$Q$2:$Q$295,"ARGH")</f>
        <v>506.96</v>
      </c>
      <c r="HM24" s="3" t="str">
        <f>_xlfn.XLOOKUP(HM$1,generator!$B$2:$B$295,generator!$Q$2:$Q$295,"ARGH")</f>
        <v>506.95</v>
      </c>
      <c r="HN24" s="3" t="str">
        <f>_xlfn.XLOOKUP(HN$1,generator!$B$2:$B$295,generator!$Q$2:$Q$295,"ARGH")</f>
        <v>190.97</v>
      </c>
      <c r="HO24" s="3" t="str">
        <f>_xlfn.XLOOKUP(HO$1,generator!$B$2:$B$295,generator!$Q$2:$Q$295,"ARGH")</f>
        <v>190.97</v>
      </c>
      <c r="HP24" s="3" t="str">
        <f>_xlfn.XLOOKUP(HP$1,generator!$B$2:$B$295,generator!$Q$2:$Q$295,"ARGH")</f>
        <v>424.84</v>
      </c>
      <c r="HQ24" s="3" t="str">
        <f>_xlfn.XLOOKUP(HQ$1,generator!$B$2:$B$295,generator!$Q$2:$Q$295,"ARGH")</f>
        <v>425.9</v>
      </c>
      <c r="HR24" s="3" t="str">
        <f>_xlfn.XLOOKUP(HR$1,generator!$B$2:$B$295,generator!$Q$2:$Q$295,"ARGH")</f>
        <v>425.9</v>
      </c>
      <c r="HS24" s="3" t="str">
        <f>_xlfn.XLOOKUP(HS$1,generator!$B$2:$B$295,generator!$Q$2:$Q$295,"ARGH")</f>
        <v>196.54</v>
      </c>
      <c r="HT24" s="3" t="str">
        <f>_xlfn.XLOOKUP(HT$1,generator!$B$2:$B$295,generator!$Q$2:$Q$295,"ARGH")</f>
        <v>196.54</v>
      </c>
      <c r="HU24" s="3" t="str">
        <f>_xlfn.XLOOKUP(HU$1,generator!$B$2:$B$295,generator!$Q$2:$Q$295,"ARGH")</f>
        <v>145.57</v>
      </c>
      <c r="HV24" s="3" t="str">
        <f>_xlfn.XLOOKUP(HV$1,generator!$B$2:$B$295,generator!$Q$2:$Q$295,"ARGH")</f>
        <v>132.62</v>
      </c>
      <c r="HW24" s="3" t="str">
        <f>_xlfn.XLOOKUP(HW$1,generator!$B$2:$B$295,generator!$Q$2:$Q$295,"ARGH")</f>
        <v>193.76</v>
      </c>
      <c r="HX24" s="3" t="str">
        <f>_xlfn.XLOOKUP(HX$1,generator!$B$2:$B$295,generator!$Q$2:$Q$295,"ARGH")</f>
        <v>193.76</v>
      </c>
      <c r="HY24" s="3" t="str">
        <f>_xlfn.XLOOKUP(HY$1,generator!$B$2:$B$295,generator!$Q$2:$Q$295,"ARGH")</f>
        <v>79.19</v>
      </c>
      <c r="HZ24" s="3" t="str">
        <f>_xlfn.XLOOKUP(HZ$1,generator!$B$2:$B$295,generator!$Q$2:$Q$295,"ARGH")</f>
        <v>125.79</v>
      </c>
      <c r="IA24" s="3" t="str">
        <f>_xlfn.XLOOKUP(IA$1,generator!$B$2:$B$295,generator!$Q$2:$Q$295,"ARGH")</f>
        <v>54.19</v>
      </c>
      <c r="IB24" s="3" t="str">
        <f>_xlfn.XLOOKUP(IB$1,generator!$B$2:$B$295,generator!$Q$2:$Q$295,"ARGH")</f>
        <v>59.7</v>
      </c>
      <c r="IC24" s="3">
        <f>_xlfn.XLOOKUP(IC$1,generator!$B$2:$B$295,generator!$Q$2:$Q$295,"ARGH")</f>
        <v>0</v>
      </c>
      <c r="ID24" s="3" t="str">
        <f>_xlfn.XLOOKUP(ID$1,generator!$B$2:$B$295,generator!$Q$2:$Q$295,"ARGH")</f>
        <v>121.14</v>
      </c>
      <c r="IE24" s="3" t="str">
        <f>_xlfn.XLOOKUP(IE$1,generator!$B$2:$B$295,generator!$Q$2:$Q$295,"ARGH")</f>
        <v>26.6</v>
      </c>
      <c r="IF24" s="3">
        <f>_xlfn.XLOOKUP(IF$1,generator!$B$2:$B$295,generator!$Q$2:$Q$295,"ARGH")</f>
        <v>8000</v>
      </c>
      <c r="IG24" s="3">
        <f>_xlfn.XLOOKUP(IG$1,generator!$B$2:$B$295,generator!$Q$2:$Q$295,"ARGH")</f>
        <v>8000</v>
      </c>
      <c r="IH24" s="3">
        <f>_xlfn.XLOOKUP(IH$1,generator!$B$2:$B$295,generator!$Q$2:$Q$295,"ARGH")</f>
        <v>8000</v>
      </c>
      <c r="II24" s="3">
        <f>_xlfn.XLOOKUP(II$1,generator!$B$2:$B$295,generator!$Q$2:$Q$295,"ARGH")</f>
        <v>8000</v>
      </c>
      <c r="IJ24" s="3">
        <f>_xlfn.XLOOKUP(IJ$1,generator!$B$2:$B$295,generator!$Q$2:$Q$295,"ARGH")</f>
        <v>8000</v>
      </c>
      <c r="IK24" s="3">
        <f>_xlfn.XLOOKUP(IK$1,generator!$B$2:$B$295,generator!$Q$2:$Q$295,"ARGH")</f>
        <v>8000</v>
      </c>
      <c r="IL24" s="3">
        <f>_xlfn.XLOOKUP(IL$1,generator!$B$2:$B$295,generator!$Q$2:$Q$295,"ARGH")</f>
        <v>8000</v>
      </c>
      <c r="IM24" s="3">
        <f>_xlfn.XLOOKUP(IM$1,generator!$B$2:$B$295,generator!$Q$2:$Q$295,"ARGH")</f>
        <v>8000</v>
      </c>
      <c r="IN24" s="3">
        <f>_xlfn.XLOOKUP(IN$1,generator!$B$2:$B$295,generator!$Q$2:$Q$295,"ARGH")</f>
        <v>8000</v>
      </c>
      <c r="IO24" s="3">
        <f>_xlfn.XLOOKUP(IO$1,generator!$B$2:$B$295,generator!$Q$2:$Q$295,"ARGH")</f>
        <v>8000</v>
      </c>
      <c r="IP24" s="3">
        <f>_xlfn.XLOOKUP(IP$1,generator!$B$2:$B$295,generator!$Q$2:$Q$295,"ARGH")</f>
        <v>8000</v>
      </c>
      <c r="IQ24" s="3">
        <f>_xlfn.XLOOKUP(IQ$1,generator!$B$2:$B$295,generator!$Q$2:$Q$295,"ARGH")</f>
        <v>8000</v>
      </c>
      <c r="IR24" s="3">
        <f>_xlfn.XLOOKUP(IR$1,generator!$B$2:$B$295,generator!$Q$2:$Q$295,"ARGH")</f>
        <v>8000</v>
      </c>
      <c r="IS24" s="3">
        <f>_xlfn.XLOOKUP(IS$1,generator!$B$2:$B$295,generator!$Q$2:$Q$295,"ARGH")</f>
        <v>8000</v>
      </c>
      <c r="IT24" s="3">
        <f>_xlfn.XLOOKUP(IT$1,generator!$B$2:$B$295,generator!$Q$2:$Q$295,"ARGH")</f>
        <v>8000</v>
      </c>
      <c r="IU24" s="3">
        <f>_xlfn.XLOOKUP(IU$1,generator!$B$2:$B$295,generator!$Q$2:$Q$295,"ARGH")</f>
        <v>8000</v>
      </c>
      <c r="IV24" s="3">
        <f>_xlfn.XLOOKUP(IV$1,generator!$B$2:$B$295,generator!$Q$2:$Q$295,"ARGH")</f>
        <v>8000</v>
      </c>
      <c r="IW24" s="3" t="str">
        <f>_xlfn.XLOOKUP(IW$1,generator!$B$2:$B$295,generator!$Q$2:$Q$295,"ARGH")</f>
        <v>108.19</v>
      </c>
      <c r="IX24" s="3" t="str">
        <f>_xlfn.XLOOKUP(IX$1,generator!$B$2:$B$295,generator!$Q$2:$Q$295,"ARGH")</f>
        <v>108.18</v>
      </c>
      <c r="IY24" s="3" t="str">
        <f>_xlfn.XLOOKUP(IY$1,generator!$B$2:$B$295,generator!$Q$2:$Q$295,"ARGH")</f>
        <v>108.17</v>
      </c>
      <c r="IZ24" s="3" t="str">
        <f>_xlfn.XLOOKUP(IZ$1,generator!$B$2:$B$295,generator!$Q$2:$Q$295,"ARGH")</f>
        <v>40.96</v>
      </c>
      <c r="JA24" s="3">
        <f>_xlfn.XLOOKUP(JA$1,generator!$B$2:$B$295,generator!$Q$2:$Q$295,"ARGH")</f>
        <v>0</v>
      </c>
      <c r="JB24" s="3">
        <f>_xlfn.XLOOKUP(JB$1,generator!$B$2:$B$295,generator!$Q$2:$Q$295,"ARGH")</f>
        <v>0</v>
      </c>
      <c r="JC24" s="3" t="str">
        <f>_xlfn.XLOOKUP(JC$1,generator!$B$2:$B$295,generator!$Q$2:$Q$295,"ARGH")</f>
        <v>75.91</v>
      </c>
      <c r="JD24" s="3" t="str">
        <f>_xlfn.XLOOKUP(JD$1,generator!$B$2:$B$295,generator!$Q$2:$Q$295,"ARGH")</f>
        <v>75.91</v>
      </c>
      <c r="JE24" s="3" t="str">
        <f>_xlfn.XLOOKUP(JE$1,generator!$B$2:$B$295,generator!$Q$2:$Q$295,"ARGH")</f>
        <v>51.59</v>
      </c>
      <c r="JF24" s="3" t="str">
        <f>_xlfn.XLOOKUP(JF$1,generator!$B$2:$B$295,generator!$Q$2:$Q$295,"ARGH")</f>
        <v>111.57</v>
      </c>
      <c r="JG24" s="3">
        <f>_xlfn.XLOOKUP(JG$1,generator!$B$2:$B$295,generator!$Q$2:$Q$295,"ARGH")</f>
        <v>0</v>
      </c>
      <c r="JH24" s="3" t="str">
        <f>_xlfn.XLOOKUP(JH$1,generator!$B$2:$B$295,generator!$Q$2:$Q$295,"ARGH")</f>
        <v>48.65</v>
      </c>
      <c r="JI24" s="3" t="str">
        <f>_xlfn.XLOOKUP(JI$1,generator!$B$2:$B$295,generator!$Q$2:$Q$295,"ARGH")</f>
        <v>71.88</v>
      </c>
      <c r="JJ24" s="3" t="str">
        <f>_xlfn.XLOOKUP(JJ$1,generator!$B$2:$B$295,generator!$Q$2:$Q$295,"ARGH")</f>
        <v>98.17</v>
      </c>
      <c r="JK24" s="3" t="str">
        <f>_xlfn.XLOOKUP(JK$1,generator!$B$2:$B$295,generator!$Q$2:$Q$295,"ARGH")</f>
        <v>98.17</v>
      </c>
      <c r="JL24" s="3" t="str">
        <f>_xlfn.XLOOKUP(JL$1,generator!$B$2:$B$295,generator!$Q$2:$Q$295,"ARGH")</f>
        <v>98.17</v>
      </c>
      <c r="JM24" s="3" t="str">
        <f>_xlfn.XLOOKUP(JM$1,generator!$B$2:$B$295,generator!$Q$2:$Q$295,"ARGH")</f>
        <v>98.17</v>
      </c>
      <c r="JN24" s="3" t="str">
        <f>_xlfn.XLOOKUP(JN$1,generator!$B$2:$B$295,generator!$Q$2:$Q$295,"ARGH")</f>
        <v>98.17</v>
      </c>
      <c r="JO24" s="3" t="str">
        <f>_xlfn.XLOOKUP(JO$1,generator!$B$2:$B$295,generator!$Q$2:$Q$295,"ARGH")</f>
        <v>98.17</v>
      </c>
      <c r="JP24" s="3" t="str">
        <f>_xlfn.XLOOKUP(JP$1,generator!$B$2:$B$295,generator!$Q$2:$Q$295,"ARGH")</f>
        <v>47.53</v>
      </c>
      <c r="JQ24" s="3" t="str">
        <f>_xlfn.XLOOKUP(JQ$1,generator!$B$2:$B$295,generator!$Q$2:$Q$295,"ARGH")</f>
        <v>108.86</v>
      </c>
      <c r="JR24" s="3" t="str">
        <f>_xlfn.XLOOKUP(JR$1,generator!$B$2:$B$295,generator!$Q$2:$Q$295,"ARGH")</f>
        <v>83.15</v>
      </c>
      <c r="JS24" s="3" t="str">
        <f>_xlfn.XLOOKUP(JS$1,generator!$B$2:$B$295,generator!$Q$2:$Q$295,"ARGH")</f>
        <v>83.15</v>
      </c>
      <c r="JT24" s="3" t="str">
        <f>_xlfn.XLOOKUP(JT$1,generator!$B$2:$B$295,generator!$Q$2:$Q$295,"ARGH")</f>
        <v>108.86</v>
      </c>
      <c r="JU24" s="3">
        <f>_xlfn.XLOOKUP(JU$1,generator!$B$2:$B$295,generator!$Q$2:$Q$295,"ARGH")</f>
        <v>0</v>
      </c>
      <c r="JV24" s="3" t="str">
        <f>_xlfn.XLOOKUP(JV$1,generator!$B$2:$B$295,generator!$Q$2:$Q$295,"ARGH")</f>
        <v>77.63</v>
      </c>
      <c r="JW24" s="3" t="str">
        <f>_xlfn.XLOOKUP(JW$1,generator!$B$2:$B$295,generator!$Q$2:$Q$295,"ARGH")</f>
        <v>77.64</v>
      </c>
      <c r="JX24" s="3" t="str">
        <f>_xlfn.XLOOKUP(JX$1,generator!$B$2:$B$295,generator!$Q$2:$Q$295,"ARGH")</f>
        <v>331.49</v>
      </c>
      <c r="JY24" s="3">
        <f>_xlfn.XLOOKUP(JY$1,generator!$B$2:$B$295,generator!$Q$2:$Q$295,"ARGH")</f>
        <v>7000</v>
      </c>
      <c r="JZ24" s="3">
        <f>_xlfn.XLOOKUP(JZ$1,generator!$B$2:$B$295,generator!$Q$2:$Q$295,"ARGH")</f>
        <v>0</v>
      </c>
      <c r="KA24" s="3">
        <f>_xlfn.XLOOKUP(KA$1,generator!$B$2:$B$295,generator!$Q$2:$Q$295,"ARGH")</f>
        <v>0</v>
      </c>
      <c r="KB24" s="3">
        <f>_xlfn.XLOOKUP(KB$1,generator!$B$2:$B$295,generator!$Q$2:$Q$295,"ARGH")</f>
        <v>0</v>
      </c>
      <c r="KC24" s="3">
        <f>_xlfn.XLOOKUP(KC$1,generator!$B$2:$B$295,generator!$Q$2:$Q$295,"ARGH")</f>
        <v>0</v>
      </c>
    </row>
    <row r="25" spans="1:289" x14ac:dyDescent="0.3">
      <c r="A25" s="4" t="s">
        <v>3020</v>
      </c>
      <c r="B25" s="3">
        <v>15000</v>
      </c>
      <c r="C25" s="3">
        <v>15000</v>
      </c>
      <c r="D25" s="3">
        <v>15000</v>
      </c>
      <c r="E25" s="3">
        <f>_xlfn.XLOOKUP(E$1,generator!$B$2:$B$295,generator!$Q$2:$Q$295,"ARGH")</f>
        <v>9000</v>
      </c>
      <c r="F25" s="3">
        <f>_xlfn.XLOOKUP(F$1,generator!$B$2:$B$295,generator!$Q$2:$Q$295,"ARGH")</f>
        <v>9000</v>
      </c>
      <c r="G25" s="3">
        <f>_xlfn.XLOOKUP(G$1,generator!$B$2:$B$295,generator!$Q$2:$Q$295,"ARGH")</f>
        <v>9000</v>
      </c>
      <c r="H25" s="3">
        <f>_xlfn.XLOOKUP(H$1,generator!$B$2:$B$295,generator!$Q$2:$Q$295,"ARGH")</f>
        <v>9000</v>
      </c>
      <c r="I25" s="3">
        <f>_xlfn.XLOOKUP(I$1,generator!$B$2:$B$295,generator!$Q$2:$Q$295,"ARGH")</f>
        <v>9000</v>
      </c>
      <c r="J25" s="3">
        <f>_xlfn.XLOOKUP(J$1,generator!$B$2:$B$295,generator!$Q$2:$Q$295,"ARGH")</f>
        <v>9000</v>
      </c>
      <c r="K25" s="3">
        <f>_xlfn.XLOOKUP(K$1,generator!$B$2:$B$295,generator!$Q$2:$Q$295,"ARGH")</f>
        <v>9000</v>
      </c>
      <c r="L25" s="3">
        <f>_xlfn.XLOOKUP(L$1,generator!$B$2:$B$295,generator!$Q$2:$Q$295,"ARGH")</f>
        <v>9000</v>
      </c>
      <c r="M25" s="3">
        <f>_xlfn.XLOOKUP(M$1,generator!$B$2:$B$295,generator!$Q$2:$Q$295,"ARGH")</f>
        <v>9000</v>
      </c>
      <c r="N25" s="3">
        <f>_xlfn.XLOOKUP(N$1,generator!$B$2:$B$295,generator!$Q$2:$Q$295,"ARGH")</f>
        <v>9000</v>
      </c>
      <c r="O25" s="3">
        <f>_xlfn.XLOOKUP(O$1,generator!$B$2:$B$295,generator!$Q$2:$Q$295,"ARGH")</f>
        <v>9000</v>
      </c>
      <c r="P25" s="3">
        <f>_xlfn.XLOOKUP(P$1,generator!$B$2:$B$295,generator!$Q$2:$Q$295,"ARGH")</f>
        <v>9000</v>
      </c>
      <c r="Q25" s="3">
        <f>_xlfn.XLOOKUP(Q$1,generator!$B$2:$B$295,generator!$Q$2:$Q$295,"ARGH")</f>
        <v>9000</v>
      </c>
      <c r="R25" s="3">
        <f>_xlfn.XLOOKUP(R$1,generator!$B$2:$B$295,generator!$Q$2:$Q$295,"ARGH")</f>
        <v>9000</v>
      </c>
      <c r="S25" s="3">
        <f>_xlfn.XLOOKUP(S$1,generator!$B$2:$B$295,generator!$Q$2:$Q$295,"ARGH")</f>
        <v>9000</v>
      </c>
      <c r="T25" s="3">
        <f>_xlfn.XLOOKUP(T$1,generator!$B$2:$B$295,generator!$Q$2:$Q$295,"ARGH")</f>
        <v>9000</v>
      </c>
      <c r="U25" s="3">
        <f>_xlfn.XLOOKUP(U$1,generator!$B$2:$B$295,generator!$Q$2:$Q$295,"ARGH")</f>
        <v>9000</v>
      </c>
      <c r="V25" s="3">
        <f>_xlfn.XLOOKUP(V$1,generator!$B$2:$B$295,generator!$Q$2:$Q$295,"ARGH")</f>
        <v>9000</v>
      </c>
      <c r="W25" s="3">
        <f>_xlfn.XLOOKUP(W$1,generator!$B$2:$B$295,generator!$Q$2:$Q$295,"ARGH")</f>
        <v>9000</v>
      </c>
      <c r="X25" s="3">
        <f>_xlfn.XLOOKUP(X$1,generator!$B$2:$B$295,generator!$Q$2:$Q$295,"ARGH")</f>
        <v>9000</v>
      </c>
      <c r="Y25" s="3">
        <f>_xlfn.XLOOKUP(Y$1,generator!$B$2:$B$295,generator!$Q$2:$Q$295,"ARGH")</f>
        <v>9000</v>
      </c>
      <c r="Z25" s="3">
        <f>_xlfn.XLOOKUP(Z$1,generator!$B$2:$B$295,generator!$Q$2:$Q$295,"ARGH")</f>
        <v>9000</v>
      </c>
      <c r="AA25" s="3">
        <f>_xlfn.XLOOKUP(AA$1,generator!$B$2:$B$295,generator!$Q$2:$Q$295,"ARGH")</f>
        <v>9000</v>
      </c>
      <c r="AB25" s="3">
        <f>_xlfn.XLOOKUP(AB$1,generator!$B$2:$B$295,generator!$Q$2:$Q$295,"ARGH")</f>
        <v>9000</v>
      </c>
      <c r="AC25" s="3">
        <f>_xlfn.XLOOKUP(AC$1,generator!$B$2:$B$295,generator!$Q$2:$Q$295,"ARGH")</f>
        <v>9000</v>
      </c>
      <c r="AD25" s="3">
        <f>_xlfn.XLOOKUP(AD$1,generator!$B$2:$B$295,generator!$Q$2:$Q$295,"ARGH")</f>
        <v>9000</v>
      </c>
      <c r="AE25" s="3">
        <f>_xlfn.XLOOKUP(AE$1,generator!$B$2:$B$295,generator!$Q$2:$Q$295,"ARGH")</f>
        <v>9000</v>
      </c>
      <c r="AF25" s="3">
        <f>_xlfn.XLOOKUP(AF$1,generator!$B$2:$B$295,generator!$Q$2:$Q$295,"ARGH")</f>
        <v>9000</v>
      </c>
      <c r="AG25" s="3">
        <f>_xlfn.XLOOKUP(AG$1,generator!$B$2:$B$295,generator!$Q$2:$Q$295,"ARGH")</f>
        <v>9000</v>
      </c>
      <c r="AH25" s="3">
        <f>_xlfn.XLOOKUP(AH$1,generator!$B$2:$B$295,generator!$Q$2:$Q$295,"ARGH")</f>
        <v>9000</v>
      </c>
      <c r="AI25" s="3">
        <f>_xlfn.XLOOKUP(AI$1,generator!$B$2:$B$295,generator!$Q$2:$Q$295,"ARGH")</f>
        <v>9000</v>
      </c>
      <c r="AJ25" s="3">
        <f>_xlfn.XLOOKUP(AJ$1,generator!$B$2:$B$295,generator!$Q$2:$Q$295,"ARGH")</f>
        <v>9000</v>
      </c>
      <c r="AK25" s="3">
        <f>_xlfn.XLOOKUP(AK$1,generator!$B$2:$B$295,generator!$Q$2:$Q$295,"ARGH")</f>
        <v>9000</v>
      </c>
      <c r="AL25" s="3">
        <f>_xlfn.XLOOKUP(AL$1,generator!$B$2:$B$295,generator!$Q$2:$Q$295,"ARGH")</f>
        <v>9000</v>
      </c>
      <c r="AM25" s="3">
        <f>_xlfn.XLOOKUP(AM$1,generator!$B$2:$B$295,generator!$Q$2:$Q$295,"ARGH")</f>
        <v>9000</v>
      </c>
      <c r="AN25" s="3">
        <f>_xlfn.XLOOKUP(AN$1,generator!$B$2:$B$295,generator!$Q$2:$Q$295,"ARGH")</f>
        <v>9000</v>
      </c>
      <c r="AO25" s="3">
        <f>_xlfn.XLOOKUP(AO$1,generator!$B$2:$B$295,generator!$Q$2:$Q$295,"ARGH")</f>
        <v>9000</v>
      </c>
      <c r="AP25" s="3">
        <f>_xlfn.XLOOKUP(AP$1,generator!$B$2:$B$295,generator!$Q$2:$Q$295,"ARGH")</f>
        <v>9000</v>
      </c>
      <c r="AQ25" s="3">
        <f>_xlfn.XLOOKUP(AQ$1,generator!$B$2:$B$295,generator!$Q$2:$Q$295,"ARGH")</f>
        <v>9000</v>
      </c>
      <c r="AR25" s="3">
        <f>_xlfn.XLOOKUP(AR$1,generator!$B$2:$B$295,generator!$Q$2:$Q$295,"ARGH")</f>
        <v>9000</v>
      </c>
      <c r="AS25" s="3">
        <f>_xlfn.XLOOKUP(AS$1,generator!$B$2:$B$295,generator!$Q$2:$Q$295,"ARGH")</f>
        <v>9000</v>
      </c>
      <c r="AT25" s="3">
        <f>_xlfn.XLOOKUP(AT$1,generator!$B$2:$B$295,generator!$Q$2:$Q$295,"ARGH")</f>
        <v>9000</v>
      </c>
      <c r="AU25" s="3">
        <f>_xlfn.XLOOKUP(AU$1,generator!$B$2:$B$295,generator!$Q$2:$Q$295,"ARGH")</f>
        <v>9000</v>
      </c>
      <c r="AV25" s="3">
        <f>_xlfn.XLOOKUP(AV$1,generator!$B$2:$B$295,generator!$Q$2:$Q$295,"ARGH")</f>
        <v>9000</v>
      </c>
      <c r="AW25" s="3">
        <f>_xlfn.XLOOKUP(AW$1,generator!$B$2:$B$295,generator!$Q$2:$Q$295,"ARGH")</f>
        <v>9000</v>
      </c>
      <c r="AX25" s="3">
        <f>_xlfn.XLOOKUP(AX$1,generator!$B$2:$B$295,generator!$Q$2:$Q$295,"ARGH")</f>
        <v>9000</v>
      </c>
      <c r="AY25" s="3">
        <f>_xlfn.XLOOKUP(AY$1,generator!$B$2:$B$295,generator!$Q$2:$Q$295,"ARGH")</f>
        <v>9000</v>
      </c>
      <c r="AZ25" s="3">
        <f>_xlfn.XLOOKUP(AZ$1,generator!$B$2:$B$295,generator!$Q$2:$Q$295,"ARGH")</f>
        <v>9000</v>
      </c>
      <c r="BA25" s="3">
        <f>_xlfn.XLOOKUP(BA$1,generator!$B$2:$B$295,generator!$Q$2:$Q$295,"ARGH")</f>
        <v>9000</v>
      </c>
      <c r="BB25" s="3">
        <f>_xlfn.XLOOKUP(BB$1,generator!$B$2:$B$295,generator!$Q$2:$Q$295,"ARGH")</f>
        <v>9000</v>
      </c>
      <c r="BC25" s="3">
        <f>_xlfn.XLOOKUP(BC$1,generator!$B$2:$B$295,generator!$Q$2:$Q$295,"ARGH")</f>
        <v>9000</v>
      </c>
      <c r="BD25" s="3">
        <f>_xlfn.XLOOKUP(BD$1,generator!$B$2:$B$295,generator!$Q$2:$Q$295,"ARGH")</f>
        <v>9000</v>
      </c>
      <c r="BE25" s="3">
        <f>_xlfn.XLOOKUP(BE$1,generator!$B$2:$B$295,generator!$Q$2:$Q$295,"ARGH")</f>
        <v>9000</v>
      </c>
      <c r="BF25" s="3">
        <f>_xlfn.XLOOKUP(BF$1,generator!$B$2:$B$295,generator!$Q$2:$Q$295,"ARGH")</f>
        <v>9000</v>
      </c>
      <c r="BG25" s="3">
        <f>_xlfn.XLOOKUP(BG$1,generator!$B$2:$B$295,generator!$Q$2:$Q$295,"ARGH")</f>
        <v>9000</v>
      </c>
      <c r="BH25" s="3">
        <f>_xlfn.XLOOKUP(BH$1,generator!$B$2:$B$295,generator!$Q$2:$Q$295,"ARGH")</f>
        <v>9000</v>
      </c>
      <c r="BI25" s="3">
        <f>_xlfn.XLOOKUP(BI$1,generator!$B$2:$B$295,generator!$Q$2:$Q$295,"ARGH")</f>
        <v>9000</v>
      </c>
      <c r="BJ25" s="3">
        <f>_xlfn.XLOOKUP(BJ$1,generator!$B$2:$B$295,generator!$Q$2:$Q$295,"ARGH")</f>
        <v>9000</v>
      </c>
      <c r="BK25" s="3">
        <f>_xlfn.XLOOKUP(BK$1,generator!$B$2:$B$295,generator!$Q$2:$Q$295,"ARGH")</f>
        <v>9000</v>
      </c>
      <c r="BL25" s="3">
        <f>_xlfn.XLOOKUP(BL$1,generator!$B$2:$B$295,generator!$Q$2:$Q$295,"ARGH")</f>
        <v>9000</v>
      </c>
      <c r="BM25" s="3">
        <f>_xlfn.XLOOKUP(BM$1,generator!$B$2:$B$295,generator!$Q$2:$Q$295,"ARGH")</f>
        <v>9000</v>
      </c>
      <c r="BN25" s="3">
        <f>_xlfn.XLOOKUP(BN$1,generator!$B$2:$B$295,generator!$Q$2:$Q$295,"ARGH")</f>
        <v>9000</v>
      </c>
      <c r="BO25" s="3">
        <f>_xlfn.XLOOKUP(BO$1,generator!$B$2:$B$295,generator!$Q$2:$Q$295,"ARGH")</f>
        <v>9000</v>
      </c>
      <c r="BP25" s="3">
        <f>_xlfn.XLOOKUP(BP$1,generator!$B$2:$B$295,generator!$Q$2:$Q$295,"ARGH")</f>
        <v>9000</v>
      </c>
      <c r="BQ25" s="3">
        <f>_xlfn.XLOOKUP(BQ$1,generator!$B$2:$B$295,generator!$Q$2:$Q$295,"ARGH")</f>
        <v>9000</v>
      </c>
      <c r="BR25" s="3">
        <f>_xlfn.XLOOKUP(BR$1,generator!$B$2:$B$295,generator!$Q$2:$Q$295,"ARGH")</f>
        <v>9000</v>
      </c>
      <c r="BS25" s="3">
        <f>_xlfn.XLOOKUP(BS$1,generator!$B$2:$B$295,generator!$Q$2:$Q$295,"ARGH")</f>
        <v>9000</v>
      </c>
      <c r="BT25" s="3">
        <f>_xlfn.XLOOKUP(BT$1,generator!$B$2:$B$295,generator!$Q$2:$Q$295,"ARGH")</f>
        <v>9000</v>
      </c>
      <c r="BU25" s="3">
        <f>_xlfn.XLOOKUP(BU$1,generator!$B$2:$B$295,generator!$Q$2:$Q$295,"ARGH")</f>
        <v>9000</v>
      </c>
      <c r="BV25" s="3">
        <f>_xlfn.XLOOKUP(BV$1,generator!$B$2:$B$295,generator!$Q$2:$Q$295,"ARGH")</f>
        <v>9000</v>
      </c>
      <c r="BW25" s="3">
        <f>_xlfn.XLOOKUP(BW$1,generator!$B$2:$B$295,generator!$Q$2:$Q$295,"ARGH")</f>
        <v>9000</v>
      </c>
      <c r="BX25" s="3">
        <f>_xlfn.XLOOKUP(BX$1,generator!$B$2:$B$295,generator!$Q$2:$Q$295,"ARGH")</f>
        <v>9000</v>
      </c>
      <c r="BY25" s="3">
        <f>_xlfn.XLOOKUP(BY$1,generator!$B$2:$B$295,generator!$Q$2:$Q$295,"ARGH")</f>
        <v>9000</v>
      </c>
      <c r="BZ25" s="3">
        <f>_xlfn.XLOOKUP(BZ$1,generator!$B$2:$B$295,generator!$Q$2:$Q$295,"ARGH")</f>
        <v>9000</v>
      </c>
      <c r="CA25" s="3">
        <f>_xlfn.XLOOKUP(CA$1,generator!$B$2:$B$295,generator!$Q$2:$Q$295,"ARGH")</f>
        <v>9000</v>
      </c>
      <c r="CB25" s="3">
        <f>_xlfn.XLOOKUP(CB$1,generator!$B$2:$B$295,generator!$Q$2:$Q$295,"ARGH")</f>
        <v>9000</v>
      </c>
      <c r="CC25" s="3">
        <f>_xlfn.XLOOKUP(CC$1,generator!$B$2:$B$295,generator!$Q$2:$Q$295,"ARGH")</f>
        <v>9000</v>
      </c>
      <c r="CD25" s="3">
        <f>_xlfn.XLOOKUP(CD$1,generator!$B$2:$B$295,generator!$Q$2:$Q$295,"ARGH")</f>
        <v>9000</v>
      </c>
      <c r="CE25" s="3">
        <f>_xlfn.XLOOKUP(CE$1,generator!$B$2:$B$295,generator!$Q$2:$Q$295,"ARGH")</f>
        <v>9000</v>
      </c>
      <c r="CF25" s="3">
        <f>_xlfn.XLOOKUP(CF$1,generator!$B$2:$B$295,generator!$Q$2:$Q$295,"ARGH")</f>
        <v>9000</v>
      </c>
      <c r="CG25" s="3">
        <f>_xlfn.XLOOKUP(CG$1,generator!$B$2:$B$295,generator!$Q$2:$Q$295,"ARGH")</f>
        <v>9000</v>
      </c>
      <c r="CH25" s="3">
        <f>_xlfn.XLOOKUP(CH$1,generator!$B$2:$B$295,generator!$Q$2:$Q$295,"ARGH")</f>
        <v>9000</v>
      </c>
      <c r="CI25" s="3">
        <f>_xlfn.XLOOKUP(CI$1,generator!$B$2:$B$295,generator!$Q$2:$Q$295,"ARGH")</f>
        <v>9000</v>
      </c>
      <c r="CJ25" s="3">
        <f>_xlfn.XLOOKUP(CJ$1,generator!$B$2:$B$295,generator!$Q$2:$Q$295,"ARGH")</f>
        <v>9000</v>
      </c>
      <c r="CK25" s="3">
        <f>_xlfn.XLOOKUP(CK$1,generator!$B$2:$B$295,generator!$Q$2:$Q$295,"ARGH")</f>
        <v>9000</v>
      </c>
      <c r="CL25" s="3">
        <f>_xlfn.XLOOKUP(CL$1,generator!$B$2:$B$295,generator!$Q$2:$Q$295,"ARGH")</f>
        <v>9000</v>
      </c>
      <c r="CM25" s="3">
        <f>_xlfn.XLOOKUP(CM$1,generator!$B$2:$B$295,generator!$Q$2:$Q$295,"ARGH")</f>
        <v>9000</v>
      </c>
      <c r="CN25" s="3">
        <f>_xlfn.XLOOKUP(CN$1,generator!$B$2:$B$295,generator!$Q$2:$Q$295,"ARGH")</f>
        <v>9000</v>
      </c>
      <c r="CO25" s="3">
        <f>_xlfn.XLOOKUP(CO$1,generator!$B$2:$B$295,generator!$Q$2:$Q$295,"ARGH")</f>
        <v>9000</v>
      </c>
      <c r="CP25" s="3">
        <f>_xlfn.XLOOKUP(CP$1,generator!$B$2:$B$295,generator!$Q$2:$Q$295,"ARGH")</f>
        <v>9000</v>
      </c>
      <c r="CQ25" s="3">
        <f>_xlfn.XLOOKUP(CQ$1,generator!$B$2:$B$295,generator!$Q$2:$Q$295,"ARGH")</f>
        <v>9000</v>
      </c>
      <c r="CR25" s="3">
        <f>_xlfn.XLOOKUP(CR$1,generator!$B$2:$B$295,generator!$Q$2:$Q$295,"ARGH")</f>
        <v>9000</v>
      </c>
      <c r="CS25" s="3">
        <f>_xlfn.XLOOKUP(CS$1,generator!$B$2:$B$295,generator!$Q$2:$Q$295,"ARGH")</f>
        <v>9000</v>
      </c>
      <c r="CT25" s="3">
        <f>_xlfn.XLOOKUP(CT$1,generator!$B$2:$B$295,generator!$Q$2:$Q$295,"ARGH")</f>
        <v>9000</v>
      </c>
      <c r="CU25" s="3">
        <f>_xlfn.XLOOKUP(CU$1,generator!$B$2:$B$295,generator!$Q$2:$Q$295,"ARGH")</f>
        <v>9000</v>
      </c>
      <c r="CV25" s="3">
        <f>_xlfn.XLOOKUP(CV$1,generator!$B$2:$B$295,generator!$Q$2:$Q$295,"ARGH")</f>
        <v>9000</v>
      </c>
      <c r="CW25" s="3">
        <f>_xlfn.XLOOKUP(CW$1,generator!$B$2:$B$295,generator!$Q$2:$Q$295,"ARGH")</f>
        <v>9000</v>
      </c>
      <c r="CX25" s="3">
        <f>_xlfn.XLOOKUP(CX$1,generator!$B$2:$B$295,generator!$Q$2:$Q$295,"ARGH")</f>
        <v>9000</v>
      </c>
      <c r="CY25" s="3">
        <f>_xlfn.XLOOKUP(CY$1,generator!$B$2:$B$295,generator!$Q$2:$Q$295,"ARGH")</f>
        <v>9000</v>
      </c>
      <c r="CZ25" s="3">
        <f>_xlfn.XLOOKUP(CZ$1,generator!$B$2:$B$295,generator!$Q$2:$Q$295,"ARGH")</f>
        <v>9000</v>
      </c>
      <c r="DA25" s="3">
        <f>_xlfn.XLOOKUP(DA$1,generator!$B$2:$B$295,generator!$Q$2:$Q$295,"ARGH")</f>
        <v>9000</v>
      </c>
      <c r="DB25" s="3">
        <f>_xlfn.XLOOKUP(DB$1,generator!$B$2:$B$295,generator!$Q$2:$Q$295,"ARGH")</f>
        <v>9000</v>
      </c>
      <c r="DC25" s="3">
        <f>_xlfn.XLOOKUP(DC$1,generator!$B$2:$B$295,generator!$Q$2:$Q$295,"ARGH")</f>
        <v>9000</v>
      </c>
      <c r="DD25" s="3">
        <f>_xlfn.XLOOKUP(DD$1,generator!$B$2:$B$295,generator!$Q$2:$Q$295,"ARGH")</f>
        <v>9000</v>
      </c>
      <c r="DE25" s="3">
        <f>_xlfn.XLOOKUP(DE$1,generator!$B$2:$B$295,generator!$Q$2:$Q$295,"ARGH")</f>
        <v>9000</v>
      </c>
      <c r="DF25" s="3">
        <f>_xlfn.XLOOKUP(DF$1,generator!$B$2:$B$295,generator!$Q$2:$Q$295,"ARGH")</f>
        <v>9000</v>
      </c>
      <c r="DG25" s="3">
        <f>_xlfn.XLOOKUP(DG$1,generator!$B$2:$B$295,generator!$Q$2:$Q$295,"ARGH")</f>
        <v>9000</v>
      </c>
      <c r="DH25" s="3">
        <f>_xlfn.XLOOKUP(DH$1,generator!$B$2:$B$295,generator!$Q$2:$Q$295,"ARGH")</f>
        <v>9000</v>
      </c>
      <c r="DI25" s="3">
        <f>_xlfn.XLOOKUP(DI$1,generator!$B$2:$B$295,generator!$Q$2:$Q$295,"ARGH")</f>
        <v>9000</v>
      </c>
      <c r="DJ25" s="3">
        <f>_xlfn.XLOOKUP(DJ$1,generator!$B$2:$B$295,generator!$Q$2:$Q$295,"ARGH")</f>
        <v>9000</v>
      </c>
      <c r="DK25" s="3">
        <f>_xlfn.XLOOKUP(DK$1,generator!$B$2:$B$295,generator!$Q$2:$Q$295,"ARGH")</f>
        <v>9000</v>
      </c>
      <c r="DL25" s="3">
        <f>_xlfn.XLOOKUP(DL$1,generator!$B$2:$B$295,generator!$Q$2:$Q$295,"ARGH")</f>
        <v>9000</v>
      </c>
      <c r="DM25" s="3">
        <f>_xlfn.XLOOKUP(DM$1,generator!$B$2:$B$295,generator!$Q$2:$Q$295,"ARGH")</f>
        <v>9000</v>
      </c>
      <c r="DN25" s="3">
        <f>_xlfn.XLOOKUP(DN$1,generator!$B$2:$B$295,generator!$Q$2:$Q$295,"ARGH")</f>
        <v>9000</v>
      </c>
      <c r="DO25" s="3">
        <f>_xlfn.XLOOKUP(DO$1,generator!$B$2:$B$295,generator!$Q$2:$Q$295,"ARGH")</f>
        <v>9000</v>
      </c>
      <c r="DP25" s="3">
        <f>_xlfn.XLOOKUP(DP$1,generator!$B$2:$B$295,generator!$Q$2:$Q$295,"ARGH")</f>
        <v>9000</v>
      </c>
      <c r="DQ25" s="3">
        <f>_xlfn.XLOOKUP(DQ$1,generator!$B$2:$B$295,generator!$Q$2:$Q$295,"ARGH")</f>
        <v>9000</v>
      </c>
      <c r="DR25" s="3">
        <f>_xlfn.XLOOKUP(DR$1,generator!$B$2:$B$295,generator!$Q$2:$Q$295,"ARGH")</f>
        <v>9000</v>
      </c>
      <c r="DS25" s="3">
        <f>_xlfn.XLOOKUP(DS$1,generator!$B$2:$B$295,generator!$Q$2:$Q$295,"ARGH")</f>
        <v>9000</v>
      </c>
      <c r="DT25" s="3">
        <f>_xlfn.XLOOKUP(DT$1,generator!$B$2:$B$295,generator!$Q$2:$Q$295,"ARGH")</f>
        <v>9000</v>
      </c>
      <c r="DU25" s="3">
        <f>_xlfn.XLOOKUP(DU$1,generator!$B$2:$B$295,generator!$Q$2:$Q$295,"ARGH")</f>
        <v>9000</v>
      </c>
      <c r="DV25" s="3">
        <f>_xlfn.XLOOKUP(DV$1,generator!$B$2:$B$295,generator!$Q$2:$Q$295,"ARGH")</f>
        <v>9000</v>
      </c>
      <c r="DW25" s="3">
        <f>_xlfn.XLOOKUP(DW$1,generator!$B$2:$B$295,generator!$Q$2:$Q$295,"ARGH")</f>
        <v>9000</v>
      </c>
      <c r="DX25" s="3">
        <f>_xlfn.XLOOKUP(DX$1,generator!$B$2:$B$295,generator!$Q$2:$Q$295,"ARGH")</f>
        <v>9000</v>
      </c>
      <c r="DY25" s="3">
        <f>_xlfn.XLOOKUP(DY$1,generator!$B$2:$B$295,generator!$Q$2:$Q$295,"ARGH")</f>
        <v>9000</v>
      </c>
      <c r="DZ25" s="3">
        <f>_xlfn.XLOOKUP(DZ$1,generator!$B$2:$B$295,generator!$Q$2:$Q$295,"ARGH")</f>
        <v>9000</v>
      </c>
      <c r="EA25" s="3">
        <f>_xlfn.XLOOKUP(EA$1,generator!$B$2:$B$295,generator!$Q$2:$Q$295,"ARGH")</f>
        <v>9000</v>
      </c>
      <c r="EB25" s="3">
        <f>_xlfn.XLOOKUP(EB$1,generator!$B$2:$B$295,generator!$Q$2:$Q$295,"ARGH")</f>
        <v>9000</v>
      </c>
      <c r="EC25" s="3">
        <f>_xlfn.XLOOKUP(EC$1,generator!$B$2:$B$295,generator!$Q$2:$Q$295,"ARGH")</f>
        <v>9000</v>
      </c>
      <c r="ED25" s="3">
        <f>_xlfn.XLOOKUP(ED$1,generator!$B$2:$B$295,generator!$Q$2:$Q$295,"ARGH")</f>
        <v>9000</v>
      </c>
      <c r="EE25" s="3">
        <f>_xlfn.XLOOKUP(EE$1,generator!$B$2:$B$295,generator!$Q$2:$Q$295,"ARGH")</f>
        <v>9000</v>
      </c>
      <c r="EF25" s="3">
        <f>_xlfn.XLOOKUP(EF$1,generator!$B$2:$B$295,generator!$Q$2:$Q$295,"ARGH")</f>
        <v>9000</v>
      </c>
      <c r="EG25" s="3">
        <f>_xlfn.XLOOKUP(EG$1,generator!$B$2:$B$295,generator!$Q$2:$Q$295,"ARGH")</f>
        <v>9000</v>
      </c>
      <c r="EH25" s="3">
        <f>_xlfn.XLOOKUP(EH$1,generator!$B$2:$B$295,generator!$Q$2:$Q$295,"ARGH")</f>
        <v>9000</v>
      </c>
      <c r="EI25" s="3">
        <f>_xlfn.XLOOKUP(EI$1,generator!$B$2:$B$295,generator!$Q$2:$Q$295,"ARGH")</f>
        <v>9000</v>
      </c>
      <c r="EJ25" s="3">
        <f>_xlfn.XLOOKUP(EJ$1,generator!$B$2:$B$295,generator!$Q$2:$Q$295,"ARGH")</f>
        <v>9000</v>
      </c>
      <c r="EK25" s="3">
        <f>_xlfn.XLOOKUP(EK$1,generator!$B$2:$B$295,generator!$Q$2:$Q$295,"ARGH")</f>
        <v>9000</v>
      </c>
      <c r="EL25" s="3">
        <f>_xlfn.XLOOKUP(EL$1,generator!$B$2:$B$295,generator!$Q$2:$Q$295,"ARGH")</f>
        <v>9000</v>
      </c>
      <c r="EM25" s="3">
        <f>_xlfn.XLOOKUP(EM$1,generator!$B$2:$B$295,generator!$Q$2:$Q$295,"ARGH")</f>
        <v>9000</v>
      </c>
      <c r="EN25" s="3">
        <f>_xlfn.XLOOKUP(EN$1,generator!$B$2:$B$295,generator!$Q$2:$Q$295,"ARGH")</f>
        <v>9000</v>
      </c>
      <c r="EO25" s="3">
        <f>_xlfn.XLOOKUP(EO$1,generator!$B$2:$B$295,generator!$Q$2:$Q$295,"ARGH")</f>
        <v>9000</v>
      </c>
      <c r="EP25" s="3">
        <f>_xlfn.XLOOKUP(EP$1,generator!$B$2:$B$295,generator!$Q$2:$Q$295,"ARGH")</f>
        <v>9000</v>
      </c>
      <c r="EQ25" s="3">
        <f>_xlfn.XLOOKUP(EQ$1,generator!$B$2:$B$295,generator!$Q$2:$Q$295,"ARGH")</f>
        <v>9000</v>
      </c>
      <c r="ER25" s="3">
        <f>_xlfn.XLOOKUP(ER$1,generator!$B$2:$B$295,generator!$Q$2:$Q$295,"ARGH")</f>
        <v>9000</v>
      </c>
      <c r="ES25" s="3">
        <f>_xlfn.XLOOKUP(ES$1,generator!$B$2:$B$295,generator!$Q$2:$Q$295,"ARGH")</f>
        <v>9000</v>
      </c>
      <c r="ET25" s="3">
        <f>_xlfn.XLOOKUP(ET$1,generator!$B$2:$B$295,generator!$Q$2:$Q$295,"ARGH")</f>
        <v>9000</v>
      </c>
      <c r="EU25" s="3">
        <f>_xlfn.XLOOKUP(EU$1,generator!$B$2:$B$295,generator!$Q$2:$Q$295,"ARGH")</f>
        <v>9000</v>
      </c>
      <c r="EV25" s="3">
        <f>_xlfn.XLOOKUP(EV$1,generator!$B$2:$B$295,generator!$Q$2:$Q$295,"ARGH")</f>
        <v>9000</v>
      </c>
      <c r="EW25" s="3">
        <f>_xlfn.XLOOKUP(EW$1,generator!$B$2:$B$295,generator!$Q$2:$Q$295,"ARGH")</f>
        <v>9000</v>
      </c>
      <c r="EX25" s="3">
        <f>_xlfn.XLOOKUP(EX$1,generator!$B$2:$B$295,generator!$Q$2:$Q$295,"ARGH")</f>
        <v>9000</v>
      </c>
      <c r="EY25" s="3">
        <f>_xlfn.XLOOKUP(EY$1,generator!$B$2:$B$295,generator!$Q$2:$Q$295,"ARGH")</f>
        <v>9000</v>
      </c>
      <c r="EZ25" s="3">
        <f>_xlfn.XLOOKUP(EZ$1,generator!$B$2:$B$295,generator!$Q$2:$Q$295,"ARGH")</f>
        <v>9000</v>
      </c>
      <c r="FA25" s="3">
        <f>_xlfn.XLOOKUP(FA$1,generator!$B$2:$B$295,generator!$Q$2:$Q$295,"ARGH")</f>
        <v>9000</v>
      </c>
      <c r="FB25" s="3">
        <f>_xlfn.XLOOKUP(FB$1,generator!$B$2:$B$295,generator!$Q$2:$Q$295,"ARGH")</f>
        <v>9000</v>
      </c>
      <c r="FC25" s="3">
        <f>_xlfn.XLOOKUP(FC$1,generator!$B$2:$B$295,generator!$Q$2:$Q$295,"ARGH")</f>
        <v>9000</v>
      </c>
      <c r="FD25" s="3">
        <f>_xlfn.XLOOKUP(FD$1,generator!$B$2:$B$295,generator!$Q$2:$Q$295,"ARGH")</f>
        <v>9000</v>
      </c>
      <c r="FE25" s="3">
        <f>_xlfn.XLOOKUP(FE$1,generator!$B$2:$B$295,generator!$Q$2:$Q$295,"ARGH")</f>
        <v>9000</v>
      </c>
      <c r="FF25" s="3">
        <f>_xlfn.XLOOKUP(FF$1,generator!$B$2:$B$295,generator!$Q$2:$Q$295,"ARGH")</f>
        <v>9000</v>
      </c>
      <c r="FG25" s="3">
        <f>_xlfn.XLOOKUP(FG$1,generator!$B$2:$B$295,generator!$Q$2:$Q$295,"ARGH")</f>
        <v>9000</v>
      </c>
      <c r="FH25" s="3">
        <f>_xlfn.XLOOKUP(FH$1,generator!$B$2:$B$295,generator!$Q$2:$Q$295,"ARGH")</f>
        <v>9000</v>
      </c>
      <c r="FI25" s="3">
        <f>_xlfn.XLOOKUP(FI$1,generator!$B$2:$B$295,generator!$Q$2:$Q$295,"ARGH")</f>
        <v>9000</v>
      </c>
      <c r="FJ25" s="3">
        <f>_xlfn.XLOOKUP(FJ$1,generator!$B$2:$B$295,generator!$Q$2:$Q$295,"ARGH")</f>
        <v>9000</v>
      </c>
      <c r="FK25" s="3">
        <f>_xlfn.XLOOKUP(FK$1,generator!$B$2:$B$295,generator!$Q$2:$Q$295,"ARGH")</f>
        <v>9000</v>
      </c>
      <c r="FL25" s="3">
        <f>_xlfn.XLOOKUP(FL$1,generator!$B$2:$B$295,generator!$Q$2:$Q$295,"ARGH")</f>
        <v>9000</v>
      </c>
      <c r="FM25" s="3">
        <f>_xlfn.XLOOKUP(FM$1,generator!$B$2:$B$295,generator!$Q$2:$Q$295,"ARGH")</f>
        <v>9000</v>
      </c>
      <c r="FN25" s="3">
        <f>_xlfn.XLOOKUP(FN$1,generator!$B$2:$B$295,generator!$Q$2:$Q$295,"ARGH")</f>
        <v>9000</v>
      </c>
      <c r="FO25" s="3">
        <f>_xlfn.XLOOKUP(FO$1,generator!$B$2:$B$295,generator!$Q$2:$Q$295,"ARGH")</f>
        <v>9000</v>
      </c>
      <c r="FP25" s="3">
        <f>_xlfn.XLOOKUP(FP$1,generator!$B$2:$B$295,generator!$Q$2:$Q$295,"ARGH")</f>
        <v>9000</v>
      </c>
      <c r="FQ25" s="3">
        <f>_xlfn.XLOOKUP(FQ$1,generator!$B$2:$B$295,generator!$Q$2:$Q$295,"ARGH")</f>
        <v>9000</v>
      </c>
      <c r="FR25" s="3">
        <f>_xlfn.XLOOKUP(FR$1,generator!$B$2:$B$295,generator!$Q$2:$Q$295,"ARGH")</f>
        <v>9000</v>
      </c>
      <c r="FS25" s="3">
        <f>_xlfn.XLOOKUP(FS$1,generator!$B$2:$B$295,generator!$Q$2:$Q$295,"ARGH")</f>
        <v>9000</v>
      </c>
      <c r="FT25" s="3">
        <f>_xlfn.XLOOKUP(FT$1,generator!$B$2:$B$295,generator!$Q$2:$Q$295,"ARGH")</f>
        <v>9000</v>
      </c>
      <c r="FU25" s="3">
        <f>_xlfn.XLOOKUP(FU$1,generator!$B$2:$B$295,generator!$Q$2:$Q$295,"ARGH")</f>
        <v>9000</v>
      </c>
      <c r="FV25" s="3">
        <f>_xlfn.XLOOKUP(FV$1,generator!$B$2:$B$295,generator!$Q$2:$Q$295,"ARGH")</f>
        <v>9000</v>
      </c>
      <c r="FW25" s="3">
        <f>_xlfn.XLOOKUP(FW$1,generator!$B$2:$B$295,generator!$Q$2:$Q$295,"ARGH")</f>
        <v>9000</v>
      </c>
      <c r="FX25" s="3">
        <f>_xlfn.XLOOKUP(FX$1,generator!$B$2:$B$295,generator!$Q$2:$Q$295,"ARGH")</f>
        <v>9000</v>
      </c>
      <c r="FY25" s="3">
        <f>_xlfn.XLOOKUP(FY$1,generator!$B$2:$B$295,generator!$Q$2:$Q$295,"ARGH")</f>
        <v>9000</v>
      </c>
      <c r="FZ25" s="3">
        <f>_xlfn.XLOOKUP(FZ$1,generator!$B$2:$B$295,generator!$Q$2:$Q$295,"ARGH")</f>
        <v>9000</v>
      </c>
      <c r="GA25" s="3">
        <f>_xlfn.XLOOKUP(GA$1,generator!$B$2:$B$295,generator!$Q$2:$Q$295,"ARGH")</f>
        <v>9000</v>
      </c>
      <c r="GB25" s="3">
        <f>_xlfn.XLOOKUP(GB$1,generator!$B$2:$B$295,generator!$Q$2:$Q$295,"ARGH")</f>
        <v>9000</v>
      </c>
      <c r="GC25" s="3">
        <f>_xlfn.XLOOKUP(GC$1,generator!$B$2:$B$295,generator!$Q$2:$Q$295,"ARGH")</f>
        <v>9000</v>
      </c>
      <c r="GD25" s="3">
        <f>_xlfn.XLOOKUP(GD$1,generator!$B$2:$B$295,generator!$Q$2:$Q$295,"ARGH")</f>
        <v>9000</v>
      </c>
      <c r="GE25" s="3">
        <f>_xlfn.XLOOKUP(GE$1,generator!$B$2:$B$295,generator!$Q$2:$Q$295,"ARGH")</f>
        <v>9000</v>
      </c>
      <c r="GF25" s="3">
        <f>_xlfn.XLOOKUP(GF$1,generator!$B$2:$B$295,generator!$Q$2:$Q$295,"ARGH")</f>
        <v>9000</v>
      </c>
      <c r="GG25" s="3">
        <f>_xlfn.XLOOKUP(GG$1,generator!$B$2:$B$295,generator!$Q$2:$Q$295,"ARGH")</f>
        <v>9000</v>
      </c>
      <c r="GH25" s="3">
        <f>_xlfn.XLOOKUP(GH$1,generator!$B$2:$B$295,generator!$Q$2:$Q$295,"ARGH")</f>
        <v>9000</v>
      </c>
      <c r="GI25" s="3">
        <f>_xlfn.XLOOKUP(GI$1,generator!$B$2:$B$295,generator!$Q$2:$Q$295,"ARGH")</f>
        <v>9000</v>
      </c>
      <c r="GJ25" s="3">
        <f>_xlfn.XLOOKUP(GJ$1,generator!$B$2:$B$295,generator!$Q$2:$Q$295,"ARGH")</f>
        <v>9000</v>
      </c>
      <c r="GK25" s="3">
        <f>_xlfn.XLOOKUP(GK$1,generator!$B$2:$B$295,generator!$Q$2:$Q$295,"ARGH")</f>
        <v>9000</v>
      </c>
      <c r="GL25" s="3">
        <f>_xlfn.XLOOKUP(GL$1,generator!$B$2:$B$295,generator!$Q$2:$Q$295,"ARGH")</f>
        <v>9000</v>
      </c>
      <c r="GM25" s="3">
        <f>_xlfn.XLOOKUP(GM$1,generator!$B$2:$B$295,generator!$Q$2:$Q$295,"ARGH")</f>
        <v>9000</v>
      </c>
      <c r="GN25" s="3">
        <f>_xlfn.XLOOKUP(GN$1,generator!$B$2:$B$295,generator!$Q$2:$Q$295,"ARGH")</f>
        <v>9000</v>
      </c>
      <c r="GO25" s="3">
        <f>_xlfn.XLOOKUP(GO$1,generator!$B$2:$B$295,generator!$Q$2:$Q$295,"ARGH")</f>
        <v>9000</v>
      </c>
      <c r="GP25" s="3">
        <f>_xlfn.XLOOKUP(GP$1,generator!$B$2:$B$295,generator!$Q$2:$Q$295,"ARGH")</f>
        <v>9000</v>
      </c>
      <c r="GQ25" s="3">
        <f>_xlfn.XLOOKUP(GQ$1,generator!$B$2:$B$295,generator!$Q$2:$Q$295,"ARGH")</f>
        <v>9000</v>
      </c>
      <c r="GR25" s="3">
        <f>_xlfn.XLOOKUP(GR$1,generator!$B$2:$B$295,generator!$Q$2:$Q$295,"ARGH")</f>
        <v>9000</v>
      </c>
      <c r="GS25" s="3">
        <f>_xlfn.XLOOKUP(GS$1,generator!$B$2:$B$295,generator!$Q$2:$Q$295,"ARGH")</f>
        <v>9000</v>
      </c>
      <c r="GT25" s="3">
        <f>_xlfn.XLOOKUP(GT$1,generator!$B$2:$B$295,generator!$Q$2:$Q$295,"ARGH")</f>
        <v>9000</v>
      </c>
      <c r="GU25" s="3">
        <f>_xlfn.XLOOKUP(GU$1,generator!$B$2:$B$295,generator!$Q$2:$Q$295,"ARGH")</f>
        <v>9000</v>
      </c>
      <c r="GV25" s="3">
        <f>_xlfn.XLOOKUP(GV$1,generator!$B$2:$B$295,generator!$Q$2:$Q$295,"ARGH")</f>
        <v>9000</v>
      </c>
      <c r="GW25" s="3">
        <f>_xlfn.XLOOKUP(GW$1,generator!$B$2:$B$295,generator!$Q$2:$Q$295,"ARGH")</f>
        <v>9000</v>
      </c>
      <c r="GX25" s="3">
        <f>_xlfn.XLOOKUP(GX$1,generator!$B$2:$B$295,generator!$Q$2:$Q$295,"ARGH")</f>
        <v>9000</v>
      </c>
      <c r="GY25" s="3">
        <f>_xlfn.XLOOKUP(GY$1,generator!$B$2:$B$295,generator!$Q$2:$Q$295,"ARGH")</f>
        <v>9000</v>
      </c>
      <c r="GZ25" s="3">
        <f>_xlfn.XLOOKUP(GZ$1,generator!$B$2:$B$295,generator!$Q$2:$Q$295,"ARGH")</f>
        <v>9000</v>
      </c>
      <c r="HA25" s="3">
        <f>_xlfn.XLOOKUP(HA$1,generator!$B$2:$B$295,generator!$Q$2:$Q$295,"ARGH")</f>
        <v>9000</v>
      </c>
      <c r="HB25" s="3">
        <f>_xlfn.XLOOKUP(HB$1,generator!$B$2:$B$295,generator!$Q$2:$Q$295,"ARGH")</f>
        <v>9000</v>
      </c>
      <c r="HC25" s="3">
        <f>_xlfn.XLOOKUP(HC$1,generator!$B$2:$B$295,generator!$Q$2:$Q$295,"ARGH")</f>
        <v>9000</v>
      </c>
      <c r="HD25" s="3">
        <f>_xlfn.XLOOKUP(HD$1,generator!$B$2:$B$295,generator!$Q$2:$Q$295,"ARGH")</f>
        <v>9000</v>
      </c>
      <c r="HE25" s="3">
        <f>_xlfn.XLOOKUP(HE$1,generator!$B$2:$B$295,generator!$Q$2:$Q$295,"ARGH")</f>
        <v>8000</v>
      </c>
      <c r="HF25" s="3" t="str">
        <f>_xlfn.XLOOKUP(HF$1,generator!$B$2:$B$295,generator!$Q$2:$Q$295,"ARGH")</f>
        <v>143</v>
      </c>
      <c r="HG25" s="3" t="str">
        <f>_xlfn.XLOOKUP(HG$1,generator!$B$2:$B$295,generator!$Q$2:$Q$295,"ARGH")</f>
        <v>143</v>
      </c>
      <c r="HH25" s="3" t="str">
        <f>_xlfn.XLOOKUP(HH$1,generator!$B$2:$B$295,generator!$Q$2:$Q$295,"ARGH")</f>
        <v>143</v>
      </c>
      <c r="HI25" s="3" t="str">
        <f>_xlfn.XLOOKUP(HI$1,generator!$B$2:$B$295,generator!$Q$2:$Q$295,"ARGH")</f>
        <v>246.74</v>
      </c>
      <c r="HJ25" s="3" t="str">
        <f>_xlfn.XLOOKUP(HJ$1,generator!$B$2:$B$295,generator!$Q$2:$Q$295,"ARGH")</f>
        <v>246.74</v>
      </c>
      <c r="HK25" s="3" t="str">
        <f>_xlfn.XLOOKUP(HK$1,generator!$B$2:$B$295,generator!$Q$2:$Q$295,"ARGH")</f>
        <v>206.04</v>
      </c>
      <c r="HL25" s="3" t="str">
        <f>_xlfn.XLOOKUP(HL$1,generator!$B$2:$B$295,generator!$Q$2:$Q$295,"ARGH")</f>
        <v>506.96</v>
      </c>
      <c r="HM25" s="3" t="str">
        <f>_xlfn.XLOOKUP(HM$1,generator!$B$2:$B$295,generator!$Q$2:$Q$295,"ARGH")</f>
        <v>506.95</v>
      </c>
      <c r="HN25" s="3" t="str">
        <f>_xlfn.XLOOKUP(HN$1,generator!$B$2:$B$295,generator!$Q$2:$Q$295,"ARGH")</f>
        <v>190.97</v>
      </c>
      <c r="HO25" s="3" t="str">
        <f>_xlfn.XLOOKUP(HO$1,generator!$B$2:$B$295,generator!$Q$2:$Q$295,"ARGH")</f>
        <v>190.97</v>
      </c>
      <c r="HP25" s="3" t="str">
        <f>_xlfn.XLOOKUP(HP$1,generator!$B$2:$B$295,generator!$Q$2:$Q$295,"ARGH")</f>
        <v>424.84</v>
      </c>
      <c r="HQ25" s="3" t="str">
        <f>_xlfn.XLOOKUP(HQ$1,generator!$B$2:$B$295,generator!$Q$2:$Q$295,"ARGH")</f>
        <v>425.9</v>
      </c>
      <c r="HR25" s="3" t="str">
        <f>_xlfn.XLOOKUP(HR$1,generator!$B$2:$B$295,generator!$Q$2:$Q$295,"ARGH")</f>
        <v>425.9</v>
      </c>
      <c r="HS25" s="3" t="str">
        <f>_xlfn.XLOOKUP(HS$1,generator!$B$2:$B$295,generator!$Q$2:$Q$295,"ARGH")</f>
        <v>196.54</v>
      </c>
      <c r="HT25" s="3" t="str">
        <f>_xlfn.XLOOKUP(HT$1,generator!$B$2:$B$295,generator!$Q$2:$Q$295,"ARGH")</f>
        <v>196.54</v>
      </c>
      <c r="HU25" s="3" t="str">
        <f>_xlfn.XLOOKUP(HU$1,generator!$B$2:$B$295,generator!$Q$2:$Q$295,"ARGH")</f>
        <v>145.57</v>
      </c>
      <c r="HV25" s="3" t="str">
        <f>_xlfn.XLOOKUP(HV$1,generator!$B$2:$B$295,generator!$Q$2:$Q$295,"ARGH")</f>
        <v>132.62</v>
      </c>
      <c r="HW25" s="3" t="str">
        <f>_xlfn.XLOOKUP(HW$1,generator!$B$2:$B$295,generator!$Q$2:$Q$295,"ARGH")</f>
        <v>193.76</v>
      </c>
      <c r="HX25" s="3" t="str">
        <f>_xlfn.XLOOKUP(HX$1,generator!$B$2:$B$295,generator!$Q$2:$Q$295,"ARGH")</f>
        <v>193.76</v>
      </c>
      <c r="HY25" s="3" t="str">
        <f>_xlfn.XLOOKUP(HY$1,generator!$B$2:$B$295,generator!$Q$2:$Q$295,"ARGH")</f>
        <v>79.19</v>
      </c>
      <c r="HZ25" s="3" t="str">
        <f>_xlfn.XLOOKUP(HZ$1,generator!$B$2:$B$295,generator!$Q$2:$Q$295,"ARGH")</f>
        <v>125.79</v>
      </c>
      <c r="IA25" s="3" t="str">
        <f>_xlfn.XLOOKUP(IA$1,generator!$B$2:$B$295,generator!$Q$2:$Q$295,"ARGH")</f>
        <v>54.19</v>
      </c>
      <c r="IB25" s="3" t="str">
        <f>_xlfn.XLOOKUP(IB$1,generator!$B$2:$B$295,generator!$Q$2:$Q$295,"ARGH")</f>
        <v>59.7</v>
      </c>
      <c r="IC25" s="3">
        <f>_xlfn.XLOOKUP(IC$1,generator!$B$2:$B$295,generator!$Q$2:$Q$295,"ARGH")</f>
        <v>0</v>
      </c>
      <c r="ID25" s="3" t="str">
        <f>_xlfn.XLOOKUP(ID$1,generator!$B$2:$B$295,generator!$Q$2:$Q$295,"ARGH")</f>
        <v>121.14</v>
      </c>
      <c r="IE25" s="3" t="str">
        <f>_xlfn.XLOOKUP(IE$1,generator!$B$2:$B$295,generator!$Q$2:$Q$295,"ARGH")</f>
        <v>26.6</v>
      </c>
      <c r="IF25" s="3">
        <f>_xlfn.XLOOKUP(IF$1,generator!$B$2:$B$295,generator!$Q$2:$Q$295,"ARGH")</f>
        <v>8000</v>
      </c>
      <c r="IG25" s="3">
        <f>_xlfn.XLOOKUP(IG$1,generator!$B$2:$B$295,generator!$Q$2:$Q$295,"ARGH")</f>
        <v>8000</v>
      </c>
      <c r="IH25" s="3">
        <f>_xlfn.XLOOKUP(IH$1,generator!$B$2:$B$295,generator!$Q$2:$Q$295,"ARGH")</f>
        <v>8000</v>
      </c>
      <c r="II25" s="3">
        <f>_xlfn.XLOOKUP(II$1,generator!$B$2:$B$295,generator!$Q$2:$Q$295,"ARGH")</f>
        <v>8000</v>
      </c>
      <c r="IJ25" s="3">
        <f>_xlfn.XLOOKUP(IJ$1,generator!$B$2:$B$295,generator!$Q$2:$Q$295,"ARGH")</f>
        <v>8000</v>
      </c>
      <c r="IK25" s="3">
        <f>_xlfn.XLOOKUP(IK$1,generator!$B$2:$B$295,generator!$Q$2:$Q$295,"ARGH")</f>
        <v>8000</v>
      </c>
      <c r="IL25" s="3">
        <f>_xlfn.XLOOKUP(IL$1,generator!$B$2:$B$295,generator!$Q$2:$Q$295,"ARGH")</f>
        <v>8000</v>
      </c>
      <c r="IM25" s="3">
        <f>_xlfn.XLOOKUP(IM$1,generator!$B$2:$B$295,generator!$Q$2:$Q$295,"ARGH")</f>
        <v>8000</v>
      </c>
      <c r="IN25" s="3">
        <f>_xlfn.XLOOKUP(IN$1,generator!$B$2:$B$295,generator!$Q$2:$Q$295,"ARGH")</f>
        <v>8000</v>
      </c>
      <c r="IO25" s="3">
        <f>_xlfn.XLOOKUP(IO$1,generator!$B$2:$B$295,generator!$Q$2:$Q$295,"ARGH")</f>
        <v>8000</v>
      </c>
      <c r="IP25" s="3">
        <f>_xlfn.XLOOKUP(IP$1,generator!$B$2:$B$295,generator!$Q$2:$Q$295,"ARGH")</f>
        <v>8000</v>
      </c>
      <c r="IQ25" s="3">
        <f>_xlfn.XLOOKUP(IQ$1,generator!$B$2:$B$295,generator!$Q$2:$Q$295,"ARGH")</f>
        <v>8000</v>
      </c>
      <c r="IR25" s="3">
        <f>_xlfn.XLOOKUP(IR$1,generator!$B$2:$B$295,generator!$Q$2:$Q$295,"ARGH")</f>
        <v>8000</v>
      </c>
      <c r="IS25" s="3">
        <f>_xlfn.XLOOKUP(IS$1,generator!$B$2:$B$295,generator!$Q$2:$Q$295,"ARGH")</f>
        <v>8000</v>
      </c>
      <c r="IT25" s="3">
        <f>_xlfn.XLOOKUP(IT$1,generator!$B$2:$B$295,generator!$Q$2:$Q$295,"ARGH")</f>
        <v>8000</v>
      </c>
      <c r="IU25" s="3">
        <f>_xlfn.XLOOKUP(IU$1,generator!$B$2:$B$295,generator!$Q$2:$Q$295,"ARGH")</f>
        <v>8000</v>
      </c>
      <c r="IV25" s="3">
        <f>_xlfn.XLOOKUP(IV$1,generator!$B$2:$B$295,generator!$Q$2:$Q$295,"ARGH")</f>
        <v>8000</v>
      </c>
      <c r="IW25" s="3" t="str">
        <f>_xlfn.XLOOKUP(IW$1,generator!$B$2:$B$295,generator!$Q$2:$Q$295,"ARGH")</f>
        <v>108.19</v>
      </c>
      <c r="IX25" s="3" t="str">
        <f>_xlfn.XLOOKUP(IX$1,generator!$B$2:$B$295,generator!$Q$2:$Q$295,"ARGH")</f>
        <v>108.18</v>
      </c>
      <c r="IY25" s="3" t="str">
        <f>_xlfn.XLOOKUP(IY$1,generator!$B$2:$B$295,generator!$Q$2:$Q$295,"ARGH")</f>
        <v>108.17</v>
      </c>
      <c r="IZ25" s="3" t="str">
        <f>_xlfn.XLOOKUP(IZ$1,generator!$B$2:$B$295,generator!$Q$2:$Q$295,"ARGH")</f>
        <v>40.96</v>
      </c>
      <c r="JA25" s="3">
        <f>_xlfn.XLOOKUP(JA$1,generator!$B$2:$B$295,generator!$Q$2:$Q$295,"ARGH")</f>
        <v>0</v>
      </c>
      <c r="JB25" s="3">
        <f>_xlfn.XLOOKUP(JB$1,generator!$B$2:$B$295,generator!$Q$2:$Q$295,"ARGH")</f>
        <v>0</v>
      </c>
      <c r="JC25" s="3" t="str">
        <f>_xlfn.XLOOKUP(JC$1,generator!$B$2:$B$295,generator!$Q$2:$Q$295,"ARGH")</f>
        <v>75.91</v>
      </c>
      <c r="JD25" s="3" t="str">
        <f>_xlfn.XLOOKUP(JD$1,generator!$B$2:$B$295,generator!$Q$2:$Q$295,"ARGH")</f>
        <v>75.91</v>
      </c>
      <c r="JE25" s="3" t="str">
        <f>_xlfn.XLOOKUP(JE$1,generator!$B$2:$B$295,generator!$Q$2:$Q$295,"ARGH")</f>
        <v>51.59</v>
      </c>
      <c r="JF25" s="3" t="str">
        <f>_xlfn.XLOOKUP(JF$1,generator!$B$2:$B$295,generator!$Q$2:$Q$295,"ARGH")</f>
        <v>111.57</v>
      </c>
      <c r="JG25" s="3">
        <f>_xlfn.XLOOKUP(JG$1,generator!$B$2:$B$295,generator!$Q$2:$Q$295,"ARGH")</f>
        <v>0</v>
      </c>
      <c r="JH25" s="3" t="str">
        <f>_xlfn.XLOOKUP(JH$1,generator!$B$2:$B$295,generator!$Q$2:$Q$295,"ARGH")</f>
        <v>48.65</v>
      </c>
      <c r="JI25" s="3" t="str">
        <f>_xlfn.XLOOKUP(JI$1,generator!$B$2:$B$295,generator!$Q$2:$Q$295,"ARGH")</f>
        <v>71.88</v>
      </c>
      <c r="JJ25" s="3" t="str">
        <f>_xlfn.XLOOKUP(JJ$1,generator!$B$2:$B$295,generator!$Q$2:$Q$295,"ARGH")</f>
        <v>98.17</v>
      </c>
      <c r="JK25" s="3" t="str">
        <f>_xlfn.XLOOKUP(JK$1,generator!$B$2:$B$295,generator!$Q$2:$Q$295,"ARGH")</f>
        <v>98.17</v>
      </c>
      <c r="JL25" s="3" t="str">
        <f>_xlfn.XLOOKUP(JL$1,generator!$B$2:$B$295,generator!$Q$2:$Q$295,"ARGH")</f>
        <v>98.17</v>
      </c>
      <c r="JM25" s="3" t="str">
        <f>_xlfn.XLOOKUP(JM$1,generator!$B$2:$B$295,generator!$Q$2:$Q$295,"ARGH")</f>
        <v>98.17</v>
      </c>
      <c r="JN25" s="3" t="str">
        <f>_xlfn.XLOOKUP(JN$1,generator!$B$2:$B$295,generator!$Q$2:$Q$295,"ARGH")</f>
        <v>98.17</v>
      </c>
      <c r="JO25" s="3" t="str">
        <f>_xlfn.XLOOKUP(JO$1,generator!$B$2:$B$295,generator!$Q$2:$Q$295,"ARGH")</f>
        <v>98.17</v>
      </c>
      <c r="JP25" s="3" t="str">
        <f>_xlfn.XLOOKUP(JP$1,generator!$B$2:$B$295,generator!$Q$2:$Q$295,"ARGH")</f>
        <v>47.53</v>
      </c>
      <c r="JQ25" s="3" t="str">
        <f>_xlfn.XLOOKUP(JQ$1,generator!$B$2:$B$295,generator!$Q$2:$Q$295,"ARGH")</f>
        <v>108.86</v>
      </c>
      <c r="JR25" s="3" t="str">
        <f>_xlfn.XLOOKUP(JR$1,generator!$B$2:$B$295,generator!$Q$2:$Q$295,"ARGH")</f>
        <v>83.15</v>
      </c>
      <c r="JS25" s="3" t="str">
        <f>_xlfn.XLOOKUP(JS$1,generator!$B$2:$B$295,generator!$Q$2:$Q$295,"ARGH")</f>
        <v>83.15</v>
      </c>
      <c r="JT25" s="3" t="str">
        <f>_xlfn.XLOOKUP(JT$1,generator!$B$2:$B$295,generator!$Q$2:$Q$295,"ARGH")</f>
        <v>108.86</v>
      </c>
      <c r="JU25" s="3">
        <f>_xlfn.XLOOKUP(JU$1,generator!$B$2:$B$295,generator!$Q$2:$Q$295,"ARGH")</f>
        <v>0</v>
      </c>
      <c r="JV25" s="3" t="str">
        <f>_xlfn.XLOOKUP(JV$1,generator!$B$2:$B$295,generator!$Q$2:$Q$295,"ARGH")</f>
        <v>77.63</v>
      </c>
      <c r="JW25" s="3" t="str">
        <f>_xlfn.XLOOKUP(JW$1,generator!$B$2:$B$295,generator!$Q$2:$Q$295,"ARGH")</f>
        <v>77.64</v>
      </c>
      <c r="JX25" s="3" t="str">
        <f>_xlfn.XLOOKUP(JX$1,generator!$B$2:$B$295,generator!$Q$2:$Q$295,"ARGH")</f>
        <v>331.49</v>
      </c>
      <c r="JY25" s="3">
        <f>_xlfn.XLOOKUP(JY$1,generator!$B$2:$B$295,generator!$Q$2:$Q$295,"ARGH")</f>
        <v>7000</v>
      </c>
      <c r="JZ25" s="3">
        <f>_xlfn.XLOOKUP(JZ$1,generator!$B$2:$B$295,generator!$Q$2:$Q$295,"ARGH")</f>
        <v>0</v>
      </c>
      <c r="KA25" s="3">
        <f>_xlfn.XLOOKUP(KA$1,generator!$B$2:$B$295,generator!$Q$2:$Q$295,"ARGH")</f>
        <v>0</v>
      </c>
      <c r="KB25" s="3">
        <f>_xlfn.XLOOKUP(KB$1,generator!$B$2:$B$295,generator!$Q$2:$Q$295,"ARGH")</f>
        <v>0</v>
      </c>
      <c r="KC25" s="3">
        <f>_xlfn.XLOOKUP(KC$1,generator!$B$2:$B$295,generator!$Q$2:$Q$295,"ARGH")</f>
        <v>0</v>
      </c>
    </row>
    <row r="26" spans="1:289" x14ac:dyDescent="0.3">
      <c r="A26" s="4" t="s">
        <v>3021</v>
      </c>
      <c r="B26" s="3">
        <v>15000</v>
      </c>
      <c r="C26" s="3">
        <v>15000</v>
      </c>
      <c r="D26" s="3">
        <v>15000</v>
      </c>
      <c r="E26" s="3">
        <f>_xlfn.XLOOKUP(E$1,generator!$B$2:$B$295,generator!$Q$2:$Q$295,"ARGH")</f>
        <v>9000</v>
      </c>
      <c r="F26" s="3">
        <f>_xlfn.XLOOKUP(F$1,generator!$B$2:$B$295,generator!$Q$2:$Q$295,"ARGH")</f>
        <v>9000</v>
      </c>
      <c r="G26" s="3">
        <f>_xlfn.XLOOKUP(G$1,generator!$B$2:$B$295,generator!$Q$2:$Q$295,"ARGH")</f>
        <v>9000</v>
      </c>
      <c r="H26" s="3">
        <f>_xlfn.XLOOKUP(H$1,generator!$B$2:$B$295,generator!$Q$2:$Q$295,"ARGH")</f>
        <v>9000</v>
      </c>
      <c r="I26" s="3">
        <f>_xlfn.XLOOKUP(I$1,generator!$B$2:$B$295,generator!$Q$2:$Q$295,"ARGH")</f>
        <v>9000</v>
      </c>
      <c r="J26" s="3">
        <f>_xlfn.XLOOKUP(J$1,generator!$B$2:$B$295,generator!$Q$2:$Q$295,"ARGH")</f>
        <v>9000</v>
      </c>
      <c r="K26" s="3">
        <f>_xlfn.XLOOKUP(K$1,generator!$B$2:$B$295,generator!$Q$2:$Q$295,"ARGH")</f>
        <v>9000</v>
      </c>
      <c r="L26" s="3">
        <f>_xlfn.XLOOKUP(L$1,generator!$B$2:$B$295,generator!$Q$2:$Q$295,"ARGH")</f>
        <v>9000</v>
      </c>
      <c r="M26" s="3">
        <f>_xlfn.XLOOKUP(M$1,generator!$B$2:$B$295,generator!$Q$2:$Q$295,"ARGH")</f>
        <v>9000</v>
      </c>
      <c r="N26" s="3">
        <f>_xlfn.XLOOKUP(N$1,generator!$B$2:$B$295,generator!$Q$2:$Q$295,"ARGH")</f>
        <v>9000</v>
      </c>
      <c r="O26" s="3">
        <f>_xlfn.XLOOKUP(O$1,generator!$B$2:$B$295,generator!$Q$2:$Q$295,"ARGH")</f>
        <v>9000</v>
      </c>
      <c r="P26" s="3">
        <f>_xlfn.XLOOKUP(P$1,generator!$B$2:$B$295,generator!$Q$2:$Q$295,"ARGH")</f>
        <v>9000</v>
      </c>
      <c r="Q26" s="3">
        <f>_xlfn.XLOOKUP(Q$1,generator!$B$2:$B$295,generator!$Q$2:$Q$295,"ARGH")</f>
        <v>9000</v>
      </c>
      <c r="R26" s="3">
        <f>_xlfn.XLOOKUP(R$1,generator!$B$2:$B$295,generator!$Q$2:$Q$295,"ARGH")</f>
        <v>9000</v>
      </c>
      <c r="S26" s="3">
        <f>_xlfn.XLOOKUP(S$1,generator!$B$2:$B$295,generator!$Q$2:$Q$295,"ARGH")</f>
        <v>9000</v>
      </c>
      <c r="T26" s="3">
        <f>_xlfn.XLOOKUP(T$1,generator!$B$2:$B$295,generator!$Q$2:$Q$295,"ARGH")</f>
        <v>9000</v>
      </c>
      <c r="U26" s="3">
        <f>_xlfn.XLOOKUP(U$1,generator!$B$2:$B$295,generator!$Q$2:$Q$295,"ARGH")</f>
        <v>9000</v>
      </c>
      <c r="V26" s="3">
        <f>_xlfn.XLOOKUP(V$1,generator!$B$2:$B$295,generator!$Q$2:$Q$295,"ARGH")</f>
        <v>9000</v>
      </c>
      <c r="W26" s="3">
        <f>_xlfn.XLOOKUP(W$1,generator!$B$2:$B$295,generator!$Q$2:$Q$295,"ARGH")</f>
        <v>9000</v>
      </c>
      <c r="X26" s="3">
        <f>_xlfn.XLOOKUP(X$1,generator!$B$2:$B$295,generator!$Q$2:$Q$295,"ARGH")</f>
        <v>9000</v>
      </c>
      <c r="Y26" s="3">
        <f>_xlfn.XLOOKUP(Y$1,generator!$B$2:$B$295,generator!$Q$2:$Q$295,"ARGH")</f>
        <v>9000</v>
      </c>
      <c r="Z26" s="3">
        <f>_xlfn.XLOOKUP(Z$1,generator!$B$2:$B$295,generator!$Q$2:$Q$295,"ARGH")</f>
        <v>9000</v>
      </c>
      <c r="AA26" s="3">
        <f>_xlfn.XLOOKUP(AA$1,generator!$B$2:$B$295,generator!$Q$2:$Q$295,"ARGH")</f>
        <v>9000</v>
      </c>
      <c r="AB26" s="3">
        <f>_xlfn.XLOOKUP(AB$1,generator!$B$2:$B$295,generator!$Q$2:$Q$295,"ARGH")</f>
        <v>9000</v>
      </c>
      <c r="AC26" s="3">
        <f>_xlfn.XLOOKUP(AC$1,generator!$B$2:$B$295,generator!$Q$2:$Q$295,"ARGH")</f>
        <v>9000</v>
      </c>
      <c r="AD26" s="3">
        <f>_xlfn.XLOOKUP(AD$1,generator!$B$2:$B$295,generator!$Q$2:$Q$295,"ARGH")</f>
        <v>9000</v>
      </c>
      <c r="AE26" s="3">
        <f>_xlfn.XLOOKUP(AE$1,generator!$B$2:$B$295,generator!$Q$2:$Q$295,"ARGH")</f>
        <v>9000</v>
      </c>
      <c r="AF26" s="3">
        <f>_xlfn.XLOOKUP(AF$1,generator!$B$2:$B$295,generator!$Q$2:$Q$295,"ARGH")</f>
        <v>9000</v>
      </c>
      <c r="AG26" s="3">
        <f>_xlfn.XLOOKUP(AG$1,generator!$B$2:$B$295,generator!$Q$2:$Q$295,"ARGH")</f>
        <v>9000</v>
      </c>
      <c r="AH26" s="3">
        <f>_xlfn.XLOOKUP(AH$1,generator!$B$2:$B$295,generator!$Q$2:$Q$295,"ARGH")</f>
        <v>9000</v>
      </c>
      <c r="AI26" s="3">
        <f>_xlfn.XLOOKUP(AI$1,generator!$B$2:$B$295,generator!$Q$2:$Q$295,"ARGH")</f>
        <v>9000</v>
      </c>
      <c r="AJ26" s="3">
        <f>_xlfn.XLOOKUP(AJ$1,generator!$B$2:$B$295,generator!$Q$2:$Q$295,"ARGH")</f>
        <v>9000</v>
      </c>
      <c r="AK26" s="3">
        <f>_xlfn.XLOOKUP(AK$1,generator!$B$2:$B$295,generator!$Q$2:$Q$295,"ARGH")</f>
        <v>9000</v>
      </c>
      <c r="AL26" s="3">
        <f>_xlfn.XLOOKUP(AL$1,generator!$B$2:$B$295,generator!$Q$2:$Q$295,"ARGH")</f>
        <v>9000</v>
      </c>
      <c r="AM26" s="3">
        <f>_xlfn.XLOOKUP(AM$1,generator!$B$2:$B$295,generator!$Q$2:$Q$295,"ARGH")</f>
        <v>9000</v>
      </c>
      <c r="AN26" s="3">
        <f>_xlfn.XLOOKUP(AN$1,generator!$B$2:$B$295,generator!$Q$2:$Q$295,"ARGH")</f>
        <v>9000</v>
      </c>
      <c r="AO26" s="3">
        <f>_xlfn.XLOOKUP(AO$1,generator!$B$2:$B$295,generator!$Q$2:$Q$295,"ARGH")</f>
        <v>9000</v>
      </c>
      <c r="AP26" s="3">
        <f>_xlfn.XLOOKUP(AP$1,generator!$B$2:$B$295,generator!$Q$2:$Q$295,"ARGH")</f>
        <v>9000</v>
      </c>
      <c r="AQ26" s="3">
        <f>_xlfn.XLOOKUP(AQ$1,generator!$B$2:$B$295,generator!$Q$2:$Q$295,"ARGH")</f>
        <v>9000</v>
      </c>
      <c r="AR26" s="3">
        <f>_xlfn.XLOOKUP(AR$1,generator!$B$2:$B$295,generator!$Q$2:$Q$295,"ARGH")</f>
        <v>9000</v>
      </c>
      <c r="AS26" s="3">
        <f>_xlfn.XLOOKUP(AS$1,generator!$B$2:$B$295,generator!$Q$2:$Q$295,"ARGH")</f>
        <v>9000</v>
      </c>
      <c r="AT26" s="3">
        <f>_xlfn.XLOOKUP(AT$1,generator!$B$2:$B$295,generator!$Q$2:$Q$295,"ARGH")</f>
        <v>9000</v>
      </c>
      <c r="AU26" s="3">
        <f>_xlfn.XLOOKUP(AU$1,generator!$B$2:$B$295,generator!$Q$2:$Q$295,"ARGH")</f>
        <v>9000</v>
      </c>
      <c r="AV26" s="3">
        <f>_xlfn.XLOOKUP(AV$1,generator!$B$2:$B$295,generator!$Q$2:$Q$295,"ARGH")</f>
        <v>9000</v>
      </c>
      <c r="AW26" s="3">
        <f>_xlfn.XLOOKUP(AW$1,generator!$B$2:$B$295,generator!$Q$2:$Q$295,"ARGH")</f>
        <v>9000</v>
      </c>
      <c r="AX26" s="3">
        <f>_xlfn.XLOOKUP(AX$1,generator!$B$2:$B$295,generator!$Q$2:$Q$295,"ARGH")</f>
        <v>9000</v>
      </c>
      <c r="AY26" s="3">
        <f>_xlfn.XLOOKUP(AY$1,generator!$B$2:$B$295,generator!$Q$2:$Q$295,"ARGH")</f>
        <v>9000</v>
      </c>
      <c r="AZ26" s="3">
        <f>_xlfn.XLOOKUP(AZ$1,generator!$B$2:$B$295,generator!$Q$2:$Q$295,"ARGH")</f>
        <v>9000</v>
      </c>
      <c r="BA26" s="3">
        <f>_xlfn.XLOOKUP(BA$1,generator!$B$2:$B$295,generator!$Q$2:$Q$295,"ARGH")</f>
        <v>9000</v>
      </c>
      <c r="BB26" s="3">
        <f>_xlfn.XLOOKUP(BB$1,generator!$B$2:$B$295,generator!$Q$2:$Q$295,"ARGH")</f>
        <v>9000</v>
      </c>
      <c r="BC26" s="3">
        <f>_xlfn.XLOOKUP(BC$1,generator!$B$2:$B$295,generator!$Q$2:$Q$295,"ARGH")</f>
        <v>9000</v>
      </c>
      <c r="BD26" s="3">
        <f>_xlfn.XLOOKUP(BD$1,generator!$B$2:$B$295,generator!$Q$2:$Q$295,"ARGH")</f>
        <v>9000</v>
      </c>
      <c r="BE26" s="3">
        <f>_xlfn.XLOOKUP(BE$1,generator!$B$2:$B$295,generator!$Q$2:$Q$295,"ARGH")</f>
        <v>9000</v>
      </c>
      <c r="BF26" s="3">
        <f>_xlfn.XLOOKUP(BF$1,generator!$B$2:$B$295,generator!$Q$2:$Q$295,"ARGH")</f>
        <v>9000</v>
      </c>
      <c r="BG26" s="3">
        <f>_xlfn.XLOOKUP(BG$1,generator!$B$2:$B$295,generator!$Q$2:$Q$295,"ARGH")</f>
        <v>9000</v>
      </c>
      <c r="BH26" s="3">
        <f>_xlfn.XLOOKUP(BH$1,generator!$B$2:$B$295,generator!$Q$2:$Q$295,"ARGH")</f>
        <v>9000</v>
      </c>
      <c r="BI26" s="3">
        <f>_xlfn.XLOOKUP(BI$1,generator!$B$2:$B$295,generator!$Q$2:$Q$295,"ARGH")</f>
        <v>9000</v>
      </c>
      <c r="BJ26" s="3">
        <f>_xlfn.XLOOKUP(BJ$1,generator!$B$2:$B$295,generator!$Q$2:$Q$295,"ARGH")</f>
        <v>9000</v>
      </c>
      <c r="BK26" s="3">
        <f>_xlfn.XLOOKUP(BK$1,generator!$B$2:$B$295,generator!$Q$2:$Q$295,"ARGH")</f>
        <v>9000</v>
      </c>
      <c r="BL26" s="3">
        <f>_xlfn.XLOOKUP(BL$1,generator!$B$2:$B$295,generator!$Q$2:$Q$295,"ARGH")</f>
        <v>9000</v>
      </c>
      <c r="BM26" s="3">
        <f>_xlfn.XLOOKUP(BM$1,generator!$B$2:$B$295,generator!$Q$2:$Q$295,"ARGH")</f>
        <v>9000</v>
      </c>
      <c r="BN26" s="3">
        <f>_xlfn.XLOOKUP(BN$1,generator!$B$2:$B$295,generator!$Q$2:$Q$295,"ARGH")</f>
        <v>9000</v>
      </c>
      <c r="BO26" s="3">
        <f>_xlfn.XLOOKUP(BO$1,generator!$B$2:$B$295,generator!$Q$2:$Q$295,"ARGH")</f>
        <v>9000</v>
      </c>
      <c r="BP26" s="3">
        <f>_xlfn.XLOOKUP(BP$1,generator!$B$2:$B$295,generator!$Q$2:$Q$295,"ARGH")</f>
        <v>9000</v>
      </c>
      <c r="BQ26" s="3">
        <f>_xlfn.XLOOKUP(BQ$1,generator!$B$2:$B$295,generator!$Q$2:$Q$295,"ARGH")</f>
        <v>9000</v>
      </c>
      <c r="BR26" s="3">
        <f>_xlfn.XLOOKUP(BR$1,generator!$B$2:$B$295,generator!$Q$2:$Q$295,"ARGH")</f>
        <v>9000</v>
      </c>
      <c r="BS26" s="3">
        <f>_xlfn.XLOOKUP(BS$1,generator!$B$2:$B$295,generator!$Q$2:$Q$295,"ARGH")</f>
        <v>9000</v>
      </c>
      <c r="BT26" s="3">
        <f>_xlfn.XLOOKUP(BT$1,generator!$B$2:$B$295,generator!$Q$2:$Q$295,"ARGH")</f>
        <v>9000</v>
      </c>
      <c r="BU26" s="3">
        <f>_xlfn.XLOOKUP(BU$1,generator!$B$2:$B$295,generator!$Q$2:$Q$295,"ARGH")</f>
        <v>9000</v>
      </c>
      <c r="BV26" s="3">
        <f>_xlfn.XLOOKUP(BV$1,generator!$B$2:$B$295,generator!$Q$2:$Q$295,"ARGH")</f>
        <v>9000</v>
      </c>
      <c r="BW26" s="3">
        <f>_xlfn.XLOOKUP(BW$1,generator!$B$2:$B$295,generator!$Q$2:$Q$295,"ARGH")</f>
        <v>9000</v>
      </c>
      <c r="BX26" s="3">
        <f>_xlfn.XLOOKUP(BX$1,generator!$B$2:$B$295,generator!$Q$2:$Q$295,"ARGH")</f>
        <v>9000</v>
      </c>
      <c r="BY26" s="3">
        <f>_xlfn.XLOOKUP(BY$1,generator!$B$2:$B$295,generator!$Q$2:$Q$295,"ARGH")</f>
        <v>9000</v>
      </c>
      <c r="BZ26" s="3">
        <f>_xlfn.XLOOKUP(BZ$1,generator!$B$2:$B$295,generator!$Q$2:$Q$295,"ARGH")</f>
        <v>9000</v>
      </c>
      <c r="CA26" s="3">
        <f>_xlfn.XLOOKUP(CA$1,generator!$B$2:$B$295,generator!$Q$2:$Q$295,"ARGH")</f>
        <v>9000</v>
      </c>
      <c r="CB26" s="3">
        <f>_xlfn.XLOOKUP(CB$1,generator!$B$2:$B$295,generator!$Q$2:$Q$295,"ARGH")</f>
        <v>9000</v>
      </c>
      <c r="CC26" s="3">
        <f>_xlfn.XLOOKUP(CC$1,generator!$B$2:$B$295,generator!$Q$2:$Q$295,"ARGH")</f>
        <v>9000</v>
      </c>
      <c r="CD26" s="3">
        <f>_xlfn.XLOOKUP(CD$1,generator!$B$2:$B$295,generator!$Q$2:$Q$295,"ARGH")</f>
        <v>9000</v>
      </c>
      <c r="CE26" s="3">
        <f>_xlfn.XLOOKUP(CE$1,generator!$B$2:$B$295,generator!$Q$2:$Q$295,"ARGH")</f>
        <v>9000</v>
      </c>
      <c r="CF26" s="3">
        <f>_xlfn.XLOOKUP(CF$1,generator!$B$2:$B$295,generator!$Q$2:$Q$295,"ARGH")</f>
        <v>9000</v>
      </c>
      <c r="CG26" s="3">
        <f>_xlfn.XLOOKUP(CG$1,generator!$B$2:$B$295,generator!$Q$2:$Q$295,"ARGH")</f>
        <v>9000</v>
      </c>
      <c r="CH26" s="3">
        <f>_xlfn.XLOOKUP(CH$1,generator!$B$2:$B$295,generator!$Q$2:$Q$295,"ARGH")</f>
        <v>9000</v>
      </c>
      <c r="CI26" s="3">
        <f>_xlfn.XLOOKUP(CI$1,generator!$B$2:$B$295,generator!$Q$2:$Q$295,"ARGH")</f>
        <v>9000</v>
      </c>
      <c r="CJ26" s="3">
        <f>_xlfn.XLOOKUP(CJ$1,generator!$B$2:$B$295,generator!$Q$2:$Q$295,"ARGH")</f>
        <v>9000</v>
      </c>
      <c r="CK26" s="3">
        <f>_xlfn.XLOOKUP(CK$1,generator!$B$2:$B$295,generator!$Q$2:$Q$295,"ARGH")</f>
        <v>9000</v>
      </c>
      <c r="CL26" s="3">
        <f>_xlfn.XLOOKUP(CL$1,generator!$B$2:$B$295,generator!$Q$2:$Q$295,"ARGH")</f>
        <v>9000</v>
      </c>
      <c r="CM26" s="3">
        <f>_xlfn.XLOOKUP(CM$1,generator!$B$2:$B$295,generator!$Q$2:$Q$295,"ARGH")</f>
        <v>9000</v>
      </c>
      <c r="CN26" s="3">
        <f>_xlfn.XLOOKUP(CN$1,generator!$B$2:$B$295,generator!$Q$2:$Q$295,"ARGH")</f>
        <v>9000</v>
      </c>
      <c r="CO26" s="3">
        <f>_xlfn.XLOOKUP(CO$1,generator!$B$2:$B$295,generator!$Q$2:$Q$295,"ARGH")</f>
        <v>9000</v>
      </c>
      <c r="CP26" s="3">
        <f>_xlfn.XLOOKUP(CP$1,generator!$B$2:$B$295,generator!$Q$2:$Q$295,"ARGH")</f>
        <v>9000</v>
      </c>
      <c r="CQ26" s="3">
        <f>_xlfn.XLOOKUP(CQ$1,generator!$B$2:$B$295,generator!$Q$2:$Q$295,"ARGH")</f>
        <v>9000</v>
      </c>
      <c r="CR26" s="3">
        <f>_xlfn.XLOOKUP(CR$1,generator!$B$2:$B$295,generator!$Q$2:$Q$295,"ARGH")</f>
        <v>9000</v>
      </c>
      <c r="CS26" s="3">
        <f>_xlfn.XLOOKUP(CS$1,generator!$B$2:$B$295,generator!$Q$2:$Q$295,"ARGH")</f>
        <v>9000</v>
      </c>
      <c r="CT26" s="3">
        <f>_xlfn.XLOOKUP(CT$1,generator!$B$2:$B$295,generator!$Q$2:$Q$295,"ARGH")</f>
        <v>9000</v>
      </c>
      <c r="CU26" s="3">
        <f>_xlfn.XLOOKUP(CU$1,generator!$B$2:$B$295,generator!$Q$2:$Q$295,"ARGH")</f>
        <v>9000</v>
      </c>
      <c r="CV26" s="3">
        <f>_xlfn.XLOOKUP(CV$1,generator!$B$2:$B$295,generator!$Q$2:$Q$295,"ARGH")</f>
        <v>9000</v>
      </c>
      <c r="CW26" s="3">
        <f>_xlfn.XLOOKUP(CW$1,generator!$B$2:$B$295,generator!$Q$2:$Q$295,"ARGH")</f>
        <v>9000</v>
      </c>
      <c r="CX26" s="3">
        <f>_xlfn.XLOOKUP(CX$1,generator!$B$2:$B$295,generator!$Q$2:$Q$295,"ARGH")</f>
        <v>9000</v>
      </c>
      <c r="CY26" s="3">
        <f>_xlfn.XLOOKUP(CY$1,generator!$B$2:$B$295,generator!$Q$2:$Q$295,"ARGH")</f>
        <v>9000</v>
      </c>
      <c r="CZ26" s="3">
        <f>_xlfn.XLOOKUP(CZ$1,generator!$B$2:$B$295,generator!$Q$2:$Q$295,"ARGH")</f>
        <v>9000</v>
      </c>
      <c r="DA26" s="3">
        <f>_xlfn.XLOOKUP(DA$1,generator!$B$2:$B$295,generator!$Q$2:$Q$295,"ARGH")</f>
        <v>9000</v>
      </c>
      <c r="DB26" s="3">
        <f>_xlfn.XLOOKUP(DB$1,generator!$B$2:$B$295,generator!$Q$2:$Q$295,"ARGH")</f>
        <v>9000</v>
      </c>
      <c r="DC26" s="3">
        <f>_xlfn.XLOOKUP(DC$1,generator!$B$2:$B$295,generator!$Q$2:$Q$295,"ARGH")</f>
        <v>9000</v>
      </c>
      <c r="DD26" s="3">
        <f>_xlfn.XLOOKUP(DD$1,generator!$B$2:$B$295,generator!$Q$2:$Q$295,"ARGH")</f>
        <v>9000</v>
      </c>
      <c r="DE26" s="3">
        <f>_xlfn.XLOOKUP(DE$1,generator!$B$2:$B$295,generator!$Q$2:$Q$295,"ARGH")</f>
        <v>9000</v>
      </c>
      <c r="DF26" s="3">
        <f>_xlfn.XLOOKUP(DF$1,generator!$B$2:$B$295,generator!$Q$2:$Q$295,"ARGH")</f>
        <v>9000</v>
      </c>
      <c r="DG26" s="3">
        <f>_xlfn.XLOOKUP(DG$1,generator!$B$2:$B$295,generator!$Q$2:$Q$295,"ARGH")</f>
        <v>9000</v>
      </c>
      <c r="DH26" s="3">
        <f>_xlfn.XLOOKUP(DH$1,generator!$B$2:$B$295,generator!$Q$2:$Q$295,"ARGH")</f>
        <v>9000</v>
      </c>
      <c r="DI26" s="3">
        <f>_xlfn.XLOOKUP(DI$1,generator!$B$2:$B$295,generator!$Q$2:$Q$295,"ARGH")</f>
        <v>9000</v>
      </c>
      <c r="DJ26" s="3">
        <f>_xlfn.XLOOKUP(DJ$1,generator!$B$2:$B$295,generator!$Q$2:$Q$295,"ARGH")</f>
        <v>9000</v>
      </c>
      <c r="DK26" s="3">
        <f>_xlfn.XLOOKUP(DK$1,generator!$B$2:$B$295,generator!$Q$2:$Q$295,"ARGH")</f>
        <v>9000</v>
      </c>
      <c r="DL26" s="3">
        <f>_xlfn.XLOOKUP(DL$1,generator!$B$2:$B$295,generator!$Q$2:$Q$295,"ARGH")</f>
        <v>9000</v>
      </c>
      <c r="DM26" s="3">
        <f>_xlfn.XLOOKUP(DM$1,generator!$B$2:$B$295,generator!$Q$2:$Q$295,"ARGH")</f>
        <v>9000</v>
      </c>
      <c r="DN26" s="3">
        <f>_xlfn.XLOOKUP(DN$1,generator!$B$2:$B$295,generator!$Q$2:$Q$295,"ARGH")</f>
        <v>9000</v>
      </c>
      <c r="DO26" s="3">
        <f>_xlfn.XLOOKUP(DO$1,generator!$B$2:$B$295,generator!$Q$2:$Q$295,"ARGH")</f>
        <v>9000</v>
      </c>
      <c r="DP26" s="3">
        <f>_xlfn.XLOOKUP(DP$1,generator!$B$2:$B$295,generator!$Q$2:$Q$295,"ARGH")</f>
        <v>9000</v>
      </c>
      <c r="DQ26" s="3">
        <f>_xlfn.XLOOKUP(DQ$1,generator!$B$2:$B$295,generator!$Q$2:$Q$295,"ARGH")</f>
        <v>9000</v>
      </c>
      <c r="DR26" s="3">
        <f>_xlfn.XLOOKUP(DR$1,generator!$B$2:$B$295,generator!$Q$2:$Q$295,"ARGH")</f>
        <v>9000</v>
      </c>
      <c r="DS26" s="3">
        <f>_xlfn.XLOOKUP(DS$1,generator!$B$2:$B$295,generator!$Q$2:$Q$295,"ARGH")</f>
        <v>9000</v>
      </c>
      <c r="DT26" s="3">
        <f>_xlfn.XLOOKUP(DT$1,generator!$B$2:$B$295,generator!$Q$2:$Q$295,"ARGH")</f>
        <v>9000</v>
      </c>
      <c r="DU26" s="3">
        <f>_xlfn.XLOOKUP(DU$1,generator!$B$2:$B$295,generator!$Q$2:$Q$295,"ARGH")</f>
        <v>9000</v>
      </c>
      <c r="DV26" s="3">
        <f>_xlfn.XLOOKUP(DV$1,generator!$B$2:$B$295,generator!$Q$2:$Q$295,"ARGH")</f>
        <v>9000</v>
      </c>
      <c r="DW26" s="3">
        <f>_xlfn.XLOOKUP(DW$1,generator!$B$2:$B$295,generator!$Q$2:$Q$295,"ARGH")</f>
        <v>9000</v>
      </c>
      <c r="DX26" s="3">
        <f>_xlfn.XLOOKUP(DX$1,generator!$B$2:$B$295,generator!$Q$2:$Q$295,"ARGH")</f>
        <v>9000</v>
      </c>
      <c r="DY26" s="3">
        <f>_xlfn.XLOOKUP(DY$1,generator!$B$2:$B$295,generator!$Q$2:$Q$295,"ARGH")</f>
        <v>9000</v>
      </c>
      <c r="DZ26" s="3">
        <f>_xlfn.XLOOKUP(DZ$1,generator!$B$2:$B$295,generator!$Q$2:$Q$295,"ARGH")</f>
        <v>9000</v>
      </c>
      <c r="EA26" s="3">
        <f>_xlfn.XLOOKUP(EA$1,generator!$B$2:$B$295,generator!$Q$2:$Q$295,"ARGH")</f>
        <v>9000</v>
      </c>
      <c r="EB26" s="3">
        <f>_xlfn.XLOOKUP(EB$1,generator!$B$2:$B$295,generator!$Q$2:$Q$295,"ARGH")</f>
        <v>9000</v>
      </c>
      <c r="EC26" s="3">
        <f>_xlfn.XLOOKUP(EC$1,generator!$B$2:$B$295,generator!$Q$2:$Q$295,"ARGH")</f>
        <v>9000</v>
      </c>
      <c r="ED26" s="3">
        <f>_xlfn.XLOOKUP(ED$1,generator!$B$2:$B$295,generator!$Q$2:$Q$295,"ARGH")</f>
        <v>9000</v>
      </c>
      <c r="EE26" s="3">
        <f>_xlfn.XLOOKUP(EE$1,generator!$B$2:$B$295,generator!$Q$2:$Q$295,"ARGH")</f>
        <v>9000</v>
      </c>
      <c r="EF26" s="3">
        <f>_xlfn.XLOOKUP(EF$1,generator!$B$2:$B$295,generator!$Q$2:$Q$295,"ARGH")</f>
        <v>9000</v>
      </c>
      <c r="EG26" s="3">
        <f>_xlfn.XLOOKUP(EG$1,generator!$B$2:$B$295,generator!$Q$2:$Q$295,"ARGH")</f>
        <v>9000</v>
      </c>
      <c r="EH26" s="3">
        <f>_xlfn.XLOOKUP(EH$1,generator!$B$2:$B$295,generator!$Q$2:$Q$295,"ARGH")</f>
        <v>9000</v>
      </c>
      <c r="EI26" s="3">
        <f>_xlfn.XLOOKUP(EI$1,generator!$B$2:$B$295,generator!$Q$2:$Q$295,"ARGH")</f>
        <v>9000</v>
      </c>
      <c r="EJ26" s="3">
        <f>_xlfn.XLOOKUP(EJ$1,generator!$B$2:$B$295,generator!$Q$2:$Q$295,"ARGH")</f>
        <v>9000</v>
      </c>
      <c r="EK26" s="3">
        <f>_xlfn.XLOOKUP(EK$1,generator!$B$2:$B$295,generator!$Q$2:$Q$295,"ARGH")</f>
        <v>9000</v>
      </c>
      <c r="EL26" s="3">
        <f>_xlfn.XLOOKUP(EL$1,generator!$B$2:$B$295,generator!$Q$2:$Q$295,"ARGH")</f>
        <v>9000</v>
      </c>
      <c r="EM26" s="3">
        <f>_xlfn.XLOOKUP(EM$1,generator!$B$2:$B$295,generator!$Q$2:$Q$295,"ARGH")</f>
        <v>9000</v>
      </c>
      <c r="EN26" s="3">
        <f>_xlfn.XLOOKUP(EN$1,generator!$B$2:$B$295,generator!$Q$2:$Q$295,"ARGH")</f>
        <v>9000</v>
      </c>
      <c r="EO26" s="3">
        <f>_xlfn.XLOOKUP(EO$1,generator!$B$2:$B$295,generator!$Q$2:$Q$295,"ARGH")</f>
        <v>9000</v>
      </c>
      <c r="EP26" s="3">
        <f>_xlfn.XLOOKUP(EP$1,generator!$B$2:$B$295,generator!$Q$2:$Q$295,"ARGH")</f>
        <v>9000</v>
      </c>
      <c r="EQ26" s="3">
        <f>_xlfn.XLOOKUP(EQ$1,generator!$B$2:$B$295,generator!$Q$2:$Q$295,"ARGH")</f>
        <v>9000</v>
      </c>
      <c r="ER26" s="3">
        <f>_xlfn.XLOOKUP(ER$1,generator!$B$2:$B$295,generator!$Q$2:$Q$295,"ARGH")</f>
        <v>9000</v>
      </c>
      <c r="ES26" s="3">
        <f>_xlfn.XLOOKUP(ES$1,generator!$B$2:$B$295,generator!$Q$2:$Q$295,"ARGH")</f>
        <v>9000</v>
      </c>
      <c r="ET26" s="3">
        <f>_xlfn.XLOOKUP(ET$1,generator!$B$2:$B$295,generator!$Q$2:$Q$295,"ARGH")</f>
        <v>9000</v>
      </c>
      <c r="EU26" s="3">
        <f>_xlfn.XLOOKUP(EU$1,generator!$B$2:$B$295,generator!$Q$2:$Q$295,"ARGH")</f>
        <v>9000</v>
      </c>
      <c r="EV26" s="3">
        <f>_xlfn.XLOOKUP(EV$1,generator!$B$2:$B$295,generator!$Q$2:$Q$295,"ARGH")</f>
        <v>9000</v>
      </c>
      <c r="EW26" s="3">
        <f>_xlfn.XLOOKUP(EW$1,generator!$B$2:$B$295,generator!$Q$2:$Q$295,"ARGH")</f>
        <v>9000</v>
      </c>
      <c r="EX26" s="3">
        <f>_xlfn.XLOOKUP(EX$1,generator!$B$2:$B$295,generator!$Q$2:$Q$295,"ARGH")</f>
        <v>9000</v>
      </c>
      <c r="EY26" s="3">
        <f>_xlfn.XLOOKUP(EY$1,generator!$B$2:$B$295,generator!$Q$2:$Q$295,"ARGH")</f>
        <v>9000</v>
      </c>
      <c r="EZ26" s="3">
        <f>_xlfn.XLOOKUP(EZ$1,generator!$B$2:$B$295,generator!$Q$2:$Q$295,"ARGH")</f>
        <v>9000</v>
      </c>
      <c r="FA26" s="3">
        <f>_xlfn.XLOOKUP(FA$1,generator!$B$2:$B$295,generator!$Q$2:$Q$295,"ARGH")</f>
        <v>9000</v>
      </c>
      <c r="FB26" s="3">
        <f>_xlfn.XLOOKUP(FB$1,generator!$B$2:$B$295,generator!$Q$2:$Q$295,"ARGH")</f>
        <v>9000</v>
      </c>
      <c r="FC26" s="3">
        <f>_xlfn.XLOOKUP(FC$1,generator!$B$2:$B$295,generator!$Q$2:$Q$295,"ARGH")</f>
        <v>9000</v>
      </c>
      <c r="FD26" s="3">
        <f>_xlfn.XLOOKUP(FD$1,generator!$B$2:$B$295,generator!$Q$2:$Q$295,"ARGH")</f>
        <v>9000</v>
      </c>
      <c r="FE26" s="3">
        <f>_xlfn.XLOOKUP(FE$1,generator!$B$2:$B$295,generator!$Q$2:$Q$295,"ARGH")</f>
        <v>9000</v>
      </c>
      <c r="FF26" s="3">
        <f>_xlfn.XLOOKUP(FF$1,generator!$B$2:$B$295,generator!$Q$2:$Q$295,"ARGH")</f>
        <v>9000</v>
      </c>
      <c r="FG26" s="3">
        <f>_xlfn.XLOOKUP(FG$1,generator!$B$2:$B$295,generator!$Q$2:$Q$295,"ARGH")</f>
        <v>9000</v>
      </c>
      <c r="FH26" s="3">
        <f>_xlfn.XLOOKUP(FH$1,generator!$B$2:$B$295,generator!$Q$2:$Q$295,"ARGH")</f>
        <v>9000</v>
      </c>
      <c r="FI26" s="3">
        <f>_xlfn.XLOOKUP(FI$1,generator!$B$2:$B$295,generator!$Q$2:$Q$295,"ARGH")</f>
        <v>9000</v>
      </c>
      <c r="FJ26" s="3">
        <f>_xlfn.XLOOKUP(FJ$1,generator!$B$2:$B$295,generator!$Q$2:$Q$295,"ARGH")</f>
        <v>9000</v>
      </c>
      <c r="FK26" s="3">
        <f>_xlfn.XLOOKUP(FK$1,generator!$B$2:$B$295,generator!$Q$2:$Q$295,"ARGH")</f>
        <v>9000</v>
      </c>
      <c r="FL26" s="3">
        <f>_xlfn.XLOOKUP(FL$1,generator!$B$2:$B$295,generator!$Q$2:$Q$295,"ARGH")</f>
        <v>9000</v>
      </c>
      <c r="FM26" s="3">
        <f>_xlfn.XLOOKUP(FM$1,generator!$B$2:$B$295,generator!$Q$2:$Q$295,"ARGH")</f>
        <v>9000</v>
      </c>
      <c r="FN26" s="3">
        <f>_xlfn.XLOOKUP(FN$1,generator!$B$2:$B$295,generator!$Q$2:$Q$295,"ARGH")</f>
        <v>9000</v>
      </c>
      <c r="FO26" s="3">
        <f>_xlfn.XLOOKUP(FO$1,generator!$B$2:$B$295,generator!$Q$2:$Q$295,"ARGH")</f>
        <v>9000</v>
      </c>
      <c r="FP26" s="3">
        <f>_xlfn.XLOOKUP(FP$1,generator!$B$2:$B$295,generator!$Q$2:$Q$295,"ARGH")</f>
        <v>9000</v>
      </c>
      <c r="FQ26" s="3">
        <f>_xlfn.XLOOKUP(FQ$1,generator!$B$2:$B$295,generator!$Q$2:$Q$295,"ARGH")</f>
        <v>9000</v>
      </c>
      <c r="FR26" s="3">
        <f>_xlfn.XLOOKUP(FR$1,generator!$B$2:$B$295,generator!$Q$2:$Q$295,"ARGH")</f>
        <v>9000</v>
      </c>
      <c r="FS26" s="3">
        <f>_xlfn.XLOOKUP(FS$1,generator!$B$2:$B$295,generator!$Q$2:$Q$295,"ARGH")</f>
        <v>9000</v>
      </c>
      <c r="FT26" s="3">
        <f>_xlfn.XLOOKUP(FT$1,generator!$B$2:$B$295,generator!$Q$2:$Q$295,"ARGH")</f>
        <v>9000</v>
      </c>
      <c r="FU26" s="3">
        <f>_xlfn.XLOOKUP(FU$1,generator!$B$2:$B$295,generator!$Q$2:$Q$295,"ARGH")</f>
        <v>9000</v>
      </c>
      <c r="FV26" s="3">
        <f>_xlfn.XLOOKUP(FV$1,generator!$B$2:$B$295,generator!$Q$2:$Q$295,"ARGH")</f>
        <v>9000</v>
      </c>
      <c r="FW26" s="3">
        <f>_xlfn.XLOOKUP(FW$1,generator!$B$2:$B$295,generator!$Q$2:$Q$295,"ARGH")</f>
        <v>9000</v>
      </c>
      <c r="FX26" s="3">
        <f>_xlfn.XLOOKUP(FX$1,generator!$B$2:$B$295,generator!$Q$2:$Q$295,"ARGH")</f>
        <v>9000</v>
      </c>
      <c r="FY26" s="3">
        <f>_xlfn.XLOOKUP(FY$1,generator!$B$2:$B$295,generator!$Q$2:$Q$295,"ARGH")</f>
        <v>9000</v>
      </c>
      <c r="FZ26" s="3">
        <f>_xlfn.XLOOKUP(FZ$1,generator!$B$2:$B$295,generator!$Q$2:$Q$295,"ARGH")</f>
        <v>9000</v>
      </c>
      <c r="GA26" s="3">
        <f>_xlfn.XLOOKUP(GA$1,generator!$B$2:$B$295,generator!$Q$2:$Q$295,"ARGH")</f>
        <v>9000</v>
      </c>
      <c r="GB26" s="3">
        <f>_xlfn.XLOOKUP(GB$1,generator!$B$2:$B$295,generator!$Q$2:$Q$295,"ARGH")</f>
        <v>9000</v>
      </c>
      <c r="GC26" s="3">
        <f>_xlfn.XLOOKUP(GC$1,generator!$B$2:$B$295,generator!$Q$2:$Q$295,"ARGH")</f>
        <v>9000</v>
      </c>
      <c r="GD26" s="3">
        <f>_xlfn.XLOOKUP(GD$1,generator!$B$2:$B$295,generator!$Q$2:$Q$295,"ARGH")</f>
        <v>9000</v>
      </c>
      <c r="GE26" s="3">
        <f>_xlfn.XLOOKUP(GE$1,generator!$B$2:$B$295,generator!$Q$2:$Q$295,"ARGH")</f>
        <v>9000</v>
      </c>
      <c r="GF26" s="3">
        <f>_xlfn.XLOOKUP(GF$1,generator!$B$2:$B$295,generator!$Q$2:$Q$295,"ARGH")</f>
        <v>9000</v>
      </c>
      <c r="GG26" s="3">
        <f>_xlfn.XLOOKUP(GG$1,generator!$B$2:$B$295,generator!$Q$2:$Q$295,"ARGH")</f>
        <v>9000</v>
      </c>
      <c r="GH26" s="3">
        <f>_xlfn.XLOOKUP(GH$1,generator!$B$2:$B$295,generator!$Q$2:$Q$295,"ARGH")</f>
        <v>9000</v>
      </c>
      <c r="GI26" s="3">
        <f>_xlfn.XLOOKUP(GI$1,generator!$B$2:$B$295,generator!$Q$2:$Q$295,"ARGH")</f>
        <v>9000</v>
      </c>
      <c r="GJ26" s="3">
        <f>_xlfn.XLOOKUP(GJ$1,generator!$B$2:$B$295,generator!$Q$2:$Q$295,"ARGH")</f>
        <v>9000</v>
      </c>
      <c r="GK26" s="3">
        <f>_xlfn.XLOOKUP(GK$1,generator!$B$2:$B$295,generator!$Q$2:$Q$295,"ARGH")</f>
        <v>9000</v>
      </c>
      <c r="GL26" s="3">
        <f>_xlfn.XLOOKUP(GL$1,generator!$B$2:$B$295,generator!$Q$2:$Q$295,"ARGH")</f>
        <v>9000</v>
      </c>
      <c r="GM26" s="3">
        <f>_xlfn.XLOOKUP(GM$1,generator!$B$2:$B$295,generator!$Q$2:$Q$295,"ARGH")</f>
        <v>9000</v>
      </c>
      <c r="GN26" s="3">
        <f>_xlfn.XLOOKUP(GN$1,generator!$B$2:$B$295,generator!$Q$2:$Q$295,"ARGH")</f>
        <v>9000</v>
      </c>
      <c r="GO26" s="3">
        <f>_xlfn.XLOOKUP(GO$1,generator!$B$2:$B$295,generator!$Q$2:$Q$295,"ARGH")</f>
        <v>9000</v>
      </c>
      <c r="GP26" s="3">
        <f>_xlfn.XLOOKUP(GP$1,generator!$B$2:$B$295,generator!$Q$2:$Q$295,"ARGH")</f>
        <v>9000</v>
      </c>
      <c r="GQ26" s="3">
        <f>_xlfn.XLOOKUP(GQ$1,generator!$B$2:$B$295,generator!$Q$2:$Q$295,"ARGH")</f>
        <v>9000</v>
      </c>
      <c r="GR26" s="3">
        <f>_xlfn.XLOOKUP(GR$1,generator!$B$2:$B$295,generator!$Q$2:$Q$295,"ARGH")</f>
        <v>9000</v>
      </c>
      <c r="GS26" s="3">
        <f>_xlfn.XLOOKUP(GS$1,generator!$B$2:$B$295,generator!$Q$2:$Q$295,"ARGH")</f>
        <v>9000</v>
      </c>
      <c r="GT26" s="3">
        <f>_xlfn.XLOOKUP(GT$1,generator!$B$2:$B$295,generator!$Q$2:$Q$295,"ARGH")</f>
        <v>9000</v>
      </c>
      <c r="GU26" s="3">
        <f>_xlfn.XLOOKUP(GU$1,generator!$B$2:$B$295,generator!$Q$2:$Q$295,"ARGH")</f>
        <v>9000</v>
      </c>
      <c r="GV26" s="3">
        <f>_xlfn.XLOOKUP(GV$1,generator!$B$2:$B$295,generator!$Q$2:$Q$295,"ARGH")</f>
        <v>9000</v>
      </c>
      <c r="GW26" s="3">
        <f>_xlfn.XLOOKUP(GW$1,generator!$B$2:$B$295,generator!$Q$2:$Q$295,"ARGH")</f>
        <v>9000</v>
      </c>
      <c r="GX26" s="3">
        <f>_xlfn.XLOOKUP(GX$1,generator!$B$2:$B$295,generator!$Q$2:$Q$295,"ARGH")</f>
        <v>9000</v>
      </c>
      <c r="GY26" s="3">
        <f>_xlfn.XLOOKUP(GY$1,generator!$B$2:$B$295,generator!$Q$2:$Q$295,"ARGH")</f>
        <v>9000</v>
      </c>
      <c r="GZ26" s="3">
        <f>_xlfn.XLOOKUP(GZ$1,generator!$B$2:$B$295,generator!$Q$2:$Q$295,"ARGH")</f>
        <v>9000</v>
      </c>
      <c r="HA26" s="3">
        <f>_xlfn.XLOOKUP(HA$1,generator!$B$2:$B$295,generator!$Q$2:$Q$295,"ARGH")</f>
        <v>9000</v>
      </c>
      <c r="HB26" s="3">
        <f>_xlfn.XLOOKUP(HB$1,generator!$B$2:$B$295,generator!$Q$2:$Q$295,"ARGH")</f>
        <v>9000</v>
      </c>
      <c r="HC26" s="3">
        <f>_xlfn.XLOOKUP(HC$1,generator!$B$2:$B$295,generator!$Q$2:$Q$295,"ARGH")</f>
        <v>9000</v>
      </c>
      <c r="HD26" s="3">
        <f>_xlfn.XLOOKUP(HD$1,generator!$B$2:$B$295,generator!$Q$2:$Q$295,"ARGH")</f>
        <v>9000</v>
      </c>
      <c r="HE26" s="3">
        <f>_xlfn.XLOOKUP(HE$1,generator!$B$2:$B$295,generator!$Q$2:$Q$295,"ARGH")</f>
        <v>8000</v>
      </c>
      <c r="HF26" s="3" t="str">
        <f>_xlfn.XLOOKUP(HF$1,generator!$B$2:$B$295,generator!$Q$2:$Q$295,"ARGH")</f>
        <v>143</v>
      </c>
      <c r="HG26" s="3" t="str">
        <f>_xlfn.XLOOKUP(HG$1,generator!$B$2:$B$295,generator!$Q$2:$Q$295,"ARGH")</f>
        <v>143</v>
      </c>
      <c r="HH26" s="3" t="str">
        <f>_xlfn.XLOOKUP(HH$1,generator!$B$2:$B$295,generator!$Q$2:$Q$295,"ARGH")</f>
        <v>143</v>
      </c>
      <c r="HI26" s="3" t="str">
        <f>_xlfn.XLOOKUP(HI$1,generator!$B$2:$B$295,generator!$Q$2:$Q$295,"ARGH")</f>
        <v>246.74</v>
      </c>
      <c r="HJ26" s="3" t="str">
        <f>_xlfn.XLOOKUP(HJ$1,generator!$B$2:$B$295,generator!$Q$2:$Q$295,"ARGH")</f>
        <v>246.74</v>
      </c>
      <c r="HK26" s="3" t="str">
        <f>_xlfn.XLOOKUP(HK$1,generator!$B$2:$B$295,generator!$Q$2:$Q$295,"ARGH")</f>
        <v>206.04</v>
      </c>
      <c r="HL26" s="3" t="str">
        <f>_xlfn.XLOOKUP(HL$1,generator!$B$2:$B$295,generator!$Q$2:$Q$295,"ARGH")</f>
        <v>506.96</v>
      </c>
      <c r="HM26" s="3" t="str">
        <f>_xlfn.XLOOKUP(HM$1,generator!$B$2:$B$295,generator!$Q$2:$Q$295,"ARGH")</f>
        <v>506.95</v>
      </c>
      <c r="HN26" s="3" t="str">
        <f>_xlfn.XLOOKUP(HN$1,generator!$B$2:$B$295,generator!$Q$2:$Q$295,"ARGH")</f>
        <v>190.97</v>
      </c>
      <c r="HO26" s="3" t="str">
        <f>_xlfn.XLOOKUP(HO$1,generator!$B$2:$B$295,generator!$Q$2:$Q$295,"ARGH")</f>
        <v>190.97</v>
      </c>
      <c r="HP26" s="3" t="str">
        <f>_xlfn.XLOOKUP(HP$1,generator!$B$2:$B$295,generator!$Q$2:$Q$295,"ARGH")</f>
        <v>424.84</v>
      </c>
      <c r="HQ26" s="3" t="str">
        <f>_xlfn.XLOOKUP(HQ$1,generator!$B$2:$B$295,generator!$Q$2:$Q$295,"ARGH")</f>
        <v>425.9</v>
      </c>
      <c r="HR26" s="3" t="str">
        <f>_xlfn.XLOOKUP(HR$1,generator!$B$2:$B$295,generator!$Q$2:$Q$295,"ARGH")</f>
        <v>425.9</v>
      </c>
      <c r="HS26" s="3" t="str">
        <f>_xlfn.XLOOKUP(HS$1,generator!$B$2:$B$295,generator!$Q$2:$Q$295,"ARGH")</f>
        <v>196.54</v>
      </c>
      <c r="HT26" s="3" t="str">
        <f>_xlfn.XLOOKUP(HT$1,generator!$B$2:$B$295,generator!$Q$2:$Q$295,"ARGH")</f>
        <v>196.54</v>
      </c>
      <c r="HU26" s="3" t="str">
        <f>_xlfn.XLOOKUP(HU$1,generator!$B$2:$B$295,generator!$Q$2:$Q$295,"ARGH")</f>
        <v>145.57</v>
      </c>
      <c r="HV26" s="3" t="str">
        <f>_xlfn.XLOOKUP(HV$1,generator!$B$2:$B$295,generator!$Q$2:$Q$295,"ARGH")</f>
        <v>132.62</v>
      </c>
      <c r="HW26" s="3" t="str">
        <f>_xlfn.XLOOKUP(HW$1,generator!$B$2:$B$295,generator!$Q$2:$Q$295,"ARGH")</f>
        <v>193.76</v>
      </c>
      <c r="HX26" s="3" t="str">
        <f>_xlfn.XLOOKUP(HX$1,generator!$B$2:$B$295,generator!$Q$2:$Q$295,"ARGH")</f>
        <v>193.76</v>
      </c>
      <c r="HY26" s="3" t="str">
        <f>_xlfn.XLOOKUP(HY$1,generator!$B$2:$B$295,generator!$Q$2:$Q$295,"ARGH")</f>
        <v>79.19</v>
      </c>
      <c r="HZ26" s="3" t="str">
        <f>_xlfn.XLOOKUP(HZ$1,generator!$B$2:$B$295,generator!$Q$2:$Q$295,"ARGH")</f>
        <v>125.79</v>
      </c>
      <c r="IA26" s="3" t="str">
        <f>_xlfn.XLOOKUP(IA$1,generator!$B$2:$B$295,generator!$Q$2:$Q$295,"ARGH")</f>
        <v>54.19</v>
      </c>
      <c r="IB26" s="3" t="str">
        <f>_xlfn.XLOOKUP(IB$1,generator!$B$2:$B$295,generator!$Q$2:$Q$295,"ARGH")</f>
        <v>59.7</v>
      </c>
      <c r="IC26" s="3">
        <f>_xlfn.XLOOKUP(IC$1,generator!$B$2:$B$295,generator!$Q$2:$Q$295,"ARGH")</f>
        <v>0</v>
      </c>
      <c r="ID26" s="3" t="str">
        <f>_xlfn.XLOOKUP(ID$1,generator!$B$2:$B$295,generator!$Q$2:$Q$295,"ARGH")</f>
        <v>121.14</v>
      </c>
      <c r="IE26" s="3" t="str">
        <f>_xlfn.XLOOKUP(IE$1,generator!$B$2:$B$295,generator!$Q$2:$Q$295,"ARGH")</f>
        <v>26.6</v>
      </c>
      <c r="IF26" s="3">
        <f>_xlfn.XLOOKUP(IF$1,generator!$B$2:$B$295,generator!$Q$2:$Q$295,"ARGH")</f>
        <v>8000</v>
      </c>
      <c r="IG26" s="3">
        <f>_xlfn.XLOOKUP(IG$1,generator!$B$2:$B$295,generator!$Q$2:$Q$295,"ARGH")</f>
        <v>8000</v>
      </c>
      <c r="IH26" s="3">
        <f>_xlfn.XLOOKUP(IH$1,generator!$B$2:$B$295,generator!$Q$2:$Q$295,"ARGH")</f>
        <v>8000</v>
      </c>
      <c r="II26" s="3">
        <f>_xlfn.XLOOKUP(II$1,generator!$B$2:$B$295,generator!$Q$2:$Q$295,"ARGH")</f>
        <v>8000</v>
      </c>
      <c r="IJ26" s="3">
        <f>_xlfn.XLOOKUP(IJ$1,generator!$B$2:$B$295,generator!$Q$2:$Q$295,"ARGH")</f>
        <v>8000</v>
      </c>
      <c r="IK26" s="3">
        <f>_xlfn.XLOOKUP(IK$1,generator!$B$2:$B$295,generator!$Q$2:$Q$295,"ARGH")</f>
        <v>8000</v>
      </c>
      <c r="IL26" s="3">
        <f>_xlfn.XLOOKUP(IL$1,generator!$B$2:$B$295,generator!$Q$2:$Q$295,"ARGH")</f>
        <v>8000</v>
      </c>
      <c r="IM26" s="3">
        <f>_xlfn.XLOOKUP(IM$1,generator!$B$2:$B$295,generator!$Q$2:$Q$295,"ARGH")</f>
        <v>8000</v>
      </c>
      <c r="IN26" s="3">
        <f>_xlfn.XLOOKUP(IN$1,generator!$B$2:$B$295,generator!$Q$2:$Q$295,"ARGH")</f>
        <v>8000</v>
      </c>
      <c r="IO26" s="3">
        <f>_xlfn.XLOOKUP(IO$1,generator!$B$2:$B$295,generator!$Q$2:$Q$295,"ARGH")</f>
        <v>8000</v>
      </c>
      <c r="IP26" s="3">
        <f>_xlfn.XLOOKUP(IP$1,generator!$B$2:$B$295,generator!$Q$2:$Q$295,"ARGH")</f>
        <v>8000</v>
      </c>
      <c r="IQ26" s="3">
        <f>_xlfn.XLOOKUP(IQ$1,generator!$B$2:$B$295,generator!$Q$2:$Q$295,"ARGH")</f>
        <v>8000</v>
      </c>
      <c r="IR26" s="3">
        <f>_xlfn.XLOOKUP(IR$1,generator!$B$2:$B$295,generator!$Q$2:$Q$295,"ARGH")</f>
        <v>8000</v>
      </c>
      <c r="IS26" s="3">
        <f>_xlfn.XLOOKUP(IS$1,generator!$B$2:$B$295,generator!$Q$2:$Q$295,"ARGH")</f>
        <v>8000</v>
      </c>
      <c r="IT26" s="3">
        <f>_xlfn.XLOOKUP(IT$1,generator!$B$2:$B$295,generator!$Q$2:$Q$295,"ARGH")</f>
        <v>8000</v>
      </c>
      <c r="IU26" s="3">
        <f>_xlfn.XLOOKUP(IU$1,generator!$B$2:$B$295,generator!$Q$2:$Q$295,"ARGH")</f>
        <v>8000</v>
      </c>
      <c r="IV26" s="3">
        <f>_xlfn.XLOOKUP(IV$1,generator!$B$2:$B$295,generator!$Q$2:$Q$295,"ARGH")</f>
        <v>8000</v>
      </c>
      <c r="IW26" s="3" t="str">
        <f>_xlfn.XLOOKUP(IW$1,generator!$B$2:$B$295,generator!$Q$2:$Q$295,"ARGH")</f>
        <v>108.19</v>
      </c>
      <c r="IX26" s="3" t="str">
        <f>_xlfn.XLOOKUP(IX$1,generator!$B$2:$B$295,generator!$Q$2:$Q$295,"ARGH")</f>
        <v>108.18</v>
      </c>
      <c r="IY26" s="3" t="str">
        <f>_xlfn.XLOOKUP(IY$1,generator!$B$2:$B$295,generator!$Q$2:$Q$295,"ARGH")</f>
        <v>108.17</v>
      </c>
      <c r="IZ26" s="3" t="str">
        <f>_xlfn.XLOOKUP(IZ$1,generator!$B$2:$B$295,generator!$Q$2:$Q$295,"ARGH")</f>
        <v>40.96</v>
      </c>
      <c r="JA26" s="3">
        <f>_xlfn.XLOOKUP(JA$1,generator!$B$2:$B$295,generator!$Q$2:$Q$295,"ARGH")</f>
        <v>0</v>
      </c>
      <c r="JB26" s="3">
        <f>_xlfn.XLOOKUP(JB$1,generator!$B$2:$B$295,generator!$Q$2:$Q$295,"ARGH")</f>
        <v>0</v>
      </c>
      <c r="JC26" s="3" t="str">
        <f>_xlfn.XLOOKUP(JC$1,generator!$B$2:$B$295,generator!$Q$2:$Q$295,"ARGH")</f>
        <v>75.91</v>
      </c>
      <c r="JD26" s="3" t="str">
        <f>_xlfn.XLOOKUP(JD$1,generator!$B$2:$B$295,generator!$Q$2:$Q$295,"ARGH")</f>
        <v>75.91</v>
      </c>
      <c r="JE26" s="3" t="str">
        <f>_xlfn.XLOOKUP(JE$1,generator!$B$2:$B$295,generator!$Q$2:$Q$295,"ARGH")</f>
        <v>51.59</v>
      </c>
      <c r="JF26" s="3" t="str">
        <f>_xlfn.XLOOKUP(JF$1,generator!$B$2:$B$295,generator!$Q$2:$Q$295,"ARGH")</f>
        <v>111.57</v>
      </c>
      <c r="JG26" s="3">
        <f>_xlfn.XLOOKUP(JG$1,generator!$B$2:$B$295,generator!$Q$2:$Q$295,"ARGH")</f>
        <v>0</v>
      </c>
      <c r="JH26" s="3" t="str">
        <f>_xlfn.XLOOKUP(JH$1,generator!$B$2:$B$295,generator!$Q$2:$Q$295,"ARGH")</f>
        <v>48.65</v>
      </c>
      <c r="JI26" s="3" t="str">
        <f>_xlfn.XLOOKUP(JI$1,generator!$B$2:$B$295,generator!$Q$2:$Q$295,"ARGH")</f>
        <v>71.88</v>
      </c>
      <c r="JJ26" s="3" t="str">
        <f>_xlfn.XLOOKUP(JJ$1,generator!$B$2:$B$295,generator!$Q$2:$Q$295,"ARGH")</f>
        <v>98.17</v>
      </c>
      <c r="JK26" s="3" t="str">
        <f>_xlfn.XLOOKUP(JK$1,generator!$B$2:$B$295,generator!$Q$2:$Q$295,"ARGH")</f>
        <v>98.17</v>
      </c>
      <c r="JL26" s="3" t="str">
        <f>_xlfn.XLOOKUP(JL$1,generator!$B$2:$B$295,generator!$Q$2:$Q$295,"ARGH")</f>
        <v>98.17</v>
      </c>
      <c r="JM26" s="3" t="str">
        <f>_xlfn.XLOOKUP(JM$1,generator!$B$2:$B$295,generator!$Q$2:$Q$295,"ARGH")</f>
        <v>98.17</v>
      </c>
      <c r="JN26" s="3" t="str">
        <f>_xlfn.XLOOKUP(JN$1,generator!$B$2:$B$295,generator!$Q$2:$Q$295,"ARGH")</f>
        <v>98.17</v>
      </c>
      <c r="JO26" s="3" t="str">
        <f>_xlfn.XLOOKUP(JO$1,generator!$B$2:$B$295,generator!$Q$2:$Q$295,"ARGH")</f>
        <v>98.17</v>
      </c>
      <c r="JP26" s="3" t="str">
        <f>_xlfn.XLOOKUP(JP$1,generator!$B$2:$B$295,generator!$Q$2:$Q$295,"ARGH")</f>
        <v>47.53</v>
      </c>
      <c r="JQ26" s="3" t="str">
        <f>_xlfn.XLOOKUP(JQ$1,generator!$B$2:$B$295,generator!$Q$2:$Q$295,"ARGH")</f>
        <v>108.86</v>
      </c>
      <c r="JR26" s="3" t="str">
        <f>_xlfn.XLOOKUP(JR$1,generator!$B$2:$B$295,generator!$Q$2:$Q$295,"ARGH")</f>
        <v>83.15</v>
      </c>
      <c r="JS26" s="3" t="str">
        <f>_xlfn.XLOOKUP(JS$1,generator!$B$2:$B$295,generator!$Q$2:$Q$295,"ARGH")</f>
        <v>83.15</v>
      </c>
      <c r="JT26" s="3" t="str">
        <f>_xlfn.XLOOKUP(JT$1,generator!$B$2:$B$295,generator!$Q$2:$Q$295,"ARGH")</f>
        <v>108.86</v>
      </c>
      <c r="JU26" s="3">
        <f>_xlfn.XLOOKUP(JU$1,generator!$B$2:$B$295,generator!$Q$2:$Q$295,"ARGH")</f>
        <v>0</v>
      </c>
      <c r="JV26" s="3" t="str">
        <f>_xlfn.XLOOKUP(JV$1,generator!$B$2:$B$295,generator!$Q$2:$Q$295,"ARGH")</f>
        <v>77.63</v>
      </c>
      <c r="JW26" s="3" t="str">
        <f>_xlfn.XLOOKUP(JW$1,generator!$B$2:$B$295,generator!$Q$2:$Q$295,"ARGH")</f>
        <v>77.64</v>
      </c>
      <c r="JX26" s="3" t="str">
        <f>_xlfn.XLOOKUP(JX$1,generator!$B$2:$B$295,generator!$Q$2:$Q$295,"ARGH")</f>
        <v>331.49</v>
      </c>
      <c r="JY26" s="3">
        <f>_xlfn.XLOOKUP(JY$1,generator!$B$2:$B$295,generator!$Q$2:$Q$295,"ARGH")</f>
        <v>7000</v>
      </c>
      <c r="JZ26" s="3">
        <f>_xlfn.XLOOKUP(JZ$1,generator!$B$2:$B$295,generator!$Q$2:$Q$295,"ARGH")</f>
        <v>0</v>
      </c>
      <c r="KA26" s="3">
        <f>_xlfn.XLOOKUP(KA$1,generator!$B$2:$B$295,generator!$Q$2:$Q$295,"ARGH")</f>
        <v>0</v>
      </c>
      <c r="KB26" s="3">
        <f>_xlfn.XLOOKUP(KB$1,generator!$B$2:$B$295,generator!$Q$2:$Q$295,"ARGH")</f>
        <v>0</v>
      </c>
      <c r="KC26" s="3">
        <f>_xlfn.XLOOKUP(KC$1,generator!$B$2:$B$295,generator!$Q$2:$Q$295,"ARGH")</f>
        <v>0</v>
      </c>
    </row>
    <row r="27" spans="1:289" x14ac:dyDescent="0.3">
      <c r="A27" s="4" t="s">
        <v>3022</v>
      </c>
      <c r="B27" s="3">
        <v>15000</v>
      </c>
      <c r="C27" s="3">
        <v>15000</v>
      </c>
      <c r="D27" s="3">
        <v>15000</v>
      </c>
      <c r="E27" s="3">
        <f>_xlfn.XLOOKUP(E$1,generator!$B$2:$B$295,generator!$Q$2:$Q$295,"ARGH")</f>
        <v>9000</v>
      </c>
      <c r="F27" s="3">
        <f>_xlfn.XLOOKUP(F$1,generator!$B$2:$B$295,generator!$Q$2:$Q$295,"ARGH")</f>
        <v>9000</v>
      </c>
      <c r="G27" s="3">
        <f>_xlfn.XLOOKUP(G$1,generator!$B$2:$B$295,generator!$Q$2:$Q$295,"ARGH")</f>
        <v>9000</v>
      </c>
      <c r="H27" s="3">
        <f>_xlfn.XLOOKUP(H$1,generator!$B$2:$B$295,generator!$Q$2:$Q$295,"ARGH")</f>
        <v>9000</v>
      </c>
      <c r="I27" s="3">
        <f>_xlfn.XLOOKUP(I$1,generator!$B$2:$B$295,generator!$Q$2:$Q$295,"ARGH")</f>
        <v>9000</v>
      </c>
      <c r="J27" s="3">
        <f>_xlfn.XLOOKUP(J$1,generator!$B$2:$B$295,generator!$Q$2:$Q$295,"ARGH")</f>
        <v>9000</v>
      </c>
      <c r="K27" s="3">
        <f>_xlfn.XLOOKUP(K$1,generator!$B$2:$B$295,generator!$Q$2:$Q$295,"ARGH")</f>
        <v>9000</v>
      </c>
      <c r="L27" s="3">
        <f>_xlfn.XLOOKUP(L$1,generator!$B$2:$B$295,generator!$Q$2:$Q$295,"ARGH")</f>
        <v>9000</v>
      </c>
      <c r="M27" s="3">
        <f>_xlfn.XLOOKUP(M$1,generator!$B$2:$B$295,generator!$Q$2:$Q$295,"ARGH")</f>
        <v>9000</v>
      </c>
      <c r="N27" s="3">
        <f>_xlfn.XLOOKUP(N$1,generator!$B$2:$B$295,generator!$Q$2:$Q$295,"ARGH")</f>
        <v>9000</v>
      </c>
      <c r="O27" s="3">
        <f>_xlfn.XLOOKUP(O$1,generator!$B$2:$B$295,generator!$Q$2:$Q$295,"ARGH")</f>
        <v>9000</v>
      </c>
      <c r="P27" s="3">
        <f>_xlfn.XLOOKUP(P$1,generator!$B$2:$B$295,generator!$Q$2:$Q$295,"ARGH")</f>
        <v>9000</v>
      </c>
      <c r="Q27" s="3">
        <f>_xlfn.XLOOKUP(Q$1,generator!$B$2:$B$295,generator!$Q$2:$Q$295,"ARGH")</f>
        <v>9000</v>
      </c>
      <c r="R27" s="3">
        <f>_xlfn.XLOOKUP(R$1,generator!$B$2:$B$295,generator!$Q$2:$Q$295,"ARGH")</f>
        <v>9000</v>
      </c>
      <c r="S27" s="3">
        <f>_xlfn.XLOOKUP(S$1,generator!$B$2:$B$295,generator!$Q$2:$Q$295,"ARGH")</f>
        <v>9000</v>
      </c>
      <c r="T27" s="3">
        <f>_xlfn.XLOOKUP(T$1,generator!$B$2:$B$295,generator!$Q$2:$Q$295,"ARGH")</f>
        <v>9000</v>
      </c>
      <c r="U27" s="3">
        <f>_xlfn.XLOOKUP(U$1,generator!$B$2:$B$295,generator!$Q$2:$Q$295,"ARGH")</f>
        <v>9000</v>
      </c>
      <c r="V27" s="3">
        <f>_xlfn.XLOOKUP(V$1,generator!$B$2:$B$295,generator!$Q$2:$Q$295,"ARGH")</f>
        <v>9000</v>
      </c>
      <c r="W27" s="3">
        <f>_xlfn.XLOOKUP(W$1,generator!$B$2:$B$295,generator!$Q$2:$Q$295,"ARGH")</f>
        <v>9000</v>
      </c>
      <c r="X27" s="3">
        <f>_xlfn.XLOOKUP(X$1,generator!$B$2:$B$295,generator!$Q$2:$Q$295,"ARGH")</f>
        <v>9000</v>
      </c>
      <c r="Y27" s="3">
        <f>_xlfn.XLOOKUP(Y$1,generator!$B$2:$B$295,generator!$Q$2:$Q$295,"ARGH")</f>
        <v>9000</v>
      </c>
      <c r="Z27" s="3">
        <f>_xlfn.XLOOKUP(Z$1,generator!$B$2:$B$295,generator!$Q$2:$Q$295,"ARGH")</f>
        <v>9000</v>
      </c>
      <c r="AA27" s="3">
        <f>_xlfn.XLOOKUP(AA$1,generator!$B$2:$B$295,generator!$Q$2:$Q$295,"ARGH")</f>
        <v>9000</v>
      </c>
      <c r="AB27" s="3">
        <f>_xlfn.XLOOKUP(AB$1,generator!$B$2:$B$295,generator!$Q$2:$Q$295,"ARGH")</f>
        <v>9000</v>
      </c>
      <c r="AC27" s="3">
        <f>_xlfn.XLOOKUP(AC$1,generator!$B$2:$B$295,generator!$Q$2:$Q$295,"ARGH")</f>
        <v>9000</v>
      </c>
      <c r="AD27" s="3">
        <f>_xlfn.XLOOKUP(AD$1,generator!$B$2:$B$295,generator!$Q$2:$Q$295,"ARGH")</f>
        <v>9000</v>
      </c>
      <c r="AE27" s="3">
        <f>_xlfn.XLOOKUP(AE$1,generator!$B$2:$B$295,generator!$Q$2:$Q$295,"ARGH")</f>
        <v>9000</v>
      </c>
      <c r="AF27" s="3">
        <f>_xlfn.XLOOKUP(AF$1,generator!$B$2:$B$295,generator!$Q$2:$Q$295,"ARGH")</f>
        <v>9000</v>
      </c>
      <c r="AG27" s="3">
        <f>_xlfn.XLOOKUP(AG$1,generator!$B$2:$B$295,generator!$Q$2:$Q$295,"ARGH")</f>
        <v>9000</v>
      </c>
      <c r="AH27" s="3">
        <f>_xlfn.XLOOKUP(AH$1,generator!$B$2:$B$295,generator!$Q$2:$Q$295,"ARGH")</f>
        <v>9000</v>
      </c>
      <c r="AI27" s="3">
        <f>_xlfn.XLOOKUP(AI$1,generator!$B$2:$B$295,generator!$Q$2:$Q$295,"ARGH")</f>
        <v>9000</v>
      </c>
      <c r="AJ27" s="3">
        <f>_xlfn.XLOOKUP(AJ$1,generator!$B$2:$B$295,generator!$Q$2:$Q$295,"ARGH")</f>
        <v>9000</v>
      </c>
      <c r="AK27" s="3">
        <f>_xlfn.XLOOKUP(AK$1,generator!$B$2:$B$295,generator!$Q$2:$Q$295,"ARGH")</f>
        <v>9000</v>
      </c>
      <c r="AL27" s="3">
        <f>_xlfn.XLOOKUP(AL$1,generator!$B$2:$B$295,generator!$Q$2:$Q$295,"ARGH")</f>
        <v>9000</v>
      </c>
      <c r="AM27" s="3">
        <f>_xlfn.XLOOKUP(AM$1,generator!$B$2:$B$295,generator!$Q$2:$Q$295,"ARGH")</f>
        <v>9000</v>
      </c>
      <c r="AN27" s="3">
        <f>_xlfn.XLOOKUP(AN$1,generator!$B$2:$B$295,generator!$Q$2:$Q$295,"ARGH")</f>
        <v>9000</v>
      </c>
      <c r="AO27" s="3">
        <f>_xlfn.XLOOKUP(AO$1,generator!$B$2:$B$295,generator!$Q$2:$Q$295,"ARGH")</f>
        <v>9000</v>
      </c>
      <c r="AP27" s="3">
        <f>_xlfn.XLOOKUP(AP$1,generator!$B$2:$B$295,generator!$Q$2:$Q$295,"ARGH")</f>
        <v>9000</v>
      </c>
      <c r="AQ27" s="3">
        <f>_xlfn.XLOOKUP(AQ$1,generator!$B$2:$B$295,generator!$Q$2:$Q$295,"ARGH")</f>
        <v>9000</v>
      </c>
      <c r="AR27" s="3">
        <f>_xlfn.XLOOKUP(AR$1,generator!$B$2:$B$295,generator!$Q$2:$Q$295,"ARGH")</f>
        <v>9000</v>
      </c>
      <c r="AS27" s="3">
        <f>_xlfn.XLOOKUP(AS$1,generator!$B$2:$B$295,generator!$Q$2:$Q$295,"ARGH")</f>
        <v>9000</v>
      </c>
      <c r="AT27" s="3">
        <f>_xlfn.XLOOKUP(AT$1,generator!$B$2:$B$295,generator!$Q$2:$Q$295,"ARGH")</f>
        <v>9000</v>
      </c>
      <c r="AU27" s="3">
        <f>_xlfn.XLOOKUP(AU$1,generator!$B$2:$B$295,generator!$Q$2:$Q$295,"ARGH")</f>
        <v>9000</v>
      </c>
      <c r="AV27" s="3">
        <f>_xlfn.XLOOKUP(AV$1,generator!$B$2:$B$295,generator!$Q$2:$Q$295,"ARGH")</f>
        <v>9000</v>
      </c>
      <c r="AW27" s="3">
        <f>_xlfn.XLOOKUP(AW$1,generator!$B$2:$B$295,generator!$Q$2:$Q$295,"ARGH")</f>
        <v>9000</v>
      </c>
      <c r="AX27" s="3">
        <f>_xlfn.XLOOKUP(AX$1,generator!$B$2:$B$295,generator!$Q$2:$Q$295,"ARGH")</f>
        <v>9000</v>
      </c>
      <c r="AY27" s="3">
        <f>_xlfn.XLOOKUP(AY$1,generator!$B$2:$B$295,generator!$Q$2:$Q$295,"ARGH")</f>
        <v>9000</v>
      </c>
      <c r="AZ27" s="3">
        <f>_xlfn.XLOOKUP(AZ$1,generator!$B$2:$B$295,generator!$Q$2:$Q$295,"ARGH")</f>
        <v>9000</v>
      </c>
      <c r="BA27" s="3">
        <f>_xlfn.XLOOKUP(BA$1,generator!$B$2:$B$295,generator!$Q$2:$Q$295,"ARGH")</f>
        <v>9000</v>
      </c>
      <c r="BB27" s="3">
        <f>_xlfn.XLOOKUP(BB$1,generator!$B$2:$B$295,generator!$Q$2:$Q$295,"ARGH")</f>
        <v>9000</v>
      </c>
      <c r="BC27" s="3">
        <f>_xlfn.XLOOKUP(BC$1,generator!$B$2:$B$295,generator!$Q$2:$Q$295,"ARGH")</f>
        <v>9000</v>
      </c>
      <c r="BD27" s="3">
        <f>_xlfn.XLOOKUP(BD$1,generator!$B$2:$B$295,generator!$Q$2:$Q$295,"ARGH")</f>
        <v>9000</v>
      </c>
      <c r="BE27" s="3">
        <f>_xlfn.XLOOKUP(BE$1,generator!$B$2:$B$295,generator!$Q$2:$Q$295,"ARGH")</f>
        <v>9000</v>
      </c>
      <c r="BF27" s="3">
        <f>_xlfn.XLOOKUP(BF$1,generator!$B$2:$B$295,generator!$Q$2:$Q$295,"ARGH")</f>
        <v>9000</v>
      </c>
      <c r="BG27" s="3">
        <f>_xlfn.XLOOKUP(BG$1,generator!$B$2:$B$295,generator!$Q$2:$Q$295,"ARGH")</f>
        <v>9000</v>
      </c>
      <c r="BH27" s="3">
        <f>_xlfn.XLOOKUP(BH$1,generator!$B$2:$B$295,generator!$Q$2:$Q$295,"ARGH")</f>
        <v>9000</v>
      </c>
      <c r="BI27" s="3">
        <f>_xlfn.XLOOKUP(BI$1,generator!$B$2:$B$295,generator!$Q$2:$Q$295,"ARGH")</f>
        <v>9000</v>
      </c>
      <c r="BJ27" s="3">
        <f>_xlfn.XLOOKUP(BJ$1,generator!$B$2:$B$295,generator!$Q$2:$Q$295,"ARGH")</f>
        <v>9000</v>
      </c>
      <c r="BK27" s="3">
        <f>_xlfn.XLOOKUP(BK$1,generator!$B$2:$B$295,generator!$Q$2:$Q$295,"ARGH")</f>
        <v>9000</v>
      </c>
      <c r="BL27" s="3">
        <f>_xlfn.XLOOKUP(BL$1,generator!$B$2:$B$295,generator!$Q$2:$Q$295,"ARGH")</f>
        <v>9000</v>
      </c>
      <c r="BM27" s="3">
        <f>_xlfn.XLOOKUP(BM$1,generator!$B$2:$B$295,generator!$Q$2:$Q$295,"ARGH")</f>
        <v>9000</v>
      </c>
      <c r="BN27" s="3">
        <f>_xlfn.XLOOKUP(BN$1,generator!$B$2:$B$295,generator!$Q$2:$Q$295,"ARGH")</f>
        <v>9000</v>
      </c>
      <c r="BO27" s="3">
        <f>_xlfn.XLOOKUP(BO$1,generator!$B$2:$B$295,generator!$Q$2:$Q$295,"ARGH")</f>
        <v>9000</v>
      </c>
      <c r="BP27" s="3">
        <f>_xlfn.XLOOKUP(BP$1,generator!$B$2:$B$295,generator!$Q$2:$Q$295,"ARGH")</f>
        <v>9000</v>
      </c>
      <c r="BQ27" s="3">
        <f>_xlfn.XLOOKUP(BQ$1,generator!$B$2:$B$295,generator!$Q$2:$Q$295,"ARGH")</f>
        <v>9000</v>
      </c>
      <c r="BR27" s="3">
        <f>_xlfn.XLOOKUP(BR$1,generator!$B$2:$B$295,generator!$Q$2:$Q$295,"ARGH")</f>
        <v>9000</v>
      </c>
      <c r="BS27" s="3">
        <f>_xlfn.XLOOKUP(BS$1,generator!$B$2:$B$295,generator!$Q$2:$Q$295,"ARGH")</f>
        <v>9000</v>
      </c>
      <c r="BT27" s="3">
        <f>_xlfn.XLOOKUP(BT$1,generator!$B$2:$B$295,generator!$Q$2:$Q$295,"ARGH")</f>
        <v>9000</v>
      </c>
      <c r="BU27" s="3">
        <f>_xlfn.XLOOKUP(BU$1,generator!$B$2:$B$295,generator!$Q$2:$Q$295,"ARGH")</f>
        <v>9000</v>
      </c>
      <c r="BV27" s="3">
        <f>_xlfn.XLOOKUP(BV$1,generator!$B$2:$B$295,generator!$Q$2:$Q$295,"ARGH")</f>
        <v>9000</v>
      </c>
      <c r="BW27" s="3">
        <f>_xlfn.XLOOKUP(BW$1,generator!$B$2:$B$295,generator!$Q$2:$Q$295,"ARGH")</f>
        <v>9000</v>
      </c>
      <c r="BX27" s="3">
        <f>_xlfn.XLOOKUP(BX$1,generator!$B$2:$B$295,generator!$Q$2:$Q$295,"ARGH")</f>
        <v>9000</v>
      </c>
      <c r="BY27" s="3">
        <f>_xlfn.XLOOKUP(BY$1,generator!$B$2:$B$295,generator!$Q$2:$Q$295,"ARGH")</f>
        <v>9000</v>
      </c>
      <c r="BZ27" s="3">
        <f>_xlfn.XLOOKUP(BZ$1,generator!$B$2:$B$295,generator!$Q$2:$Q$295,"ARGH")</f>
        <v>9000</v>
      </c>
      <c r="CA27" s="3">
        <f>_xlfn.XLOOKUP(CA$1,generator!$B$2:$B$295,generator!$Q$2:$Q$295,"ARGH")</f>
        <v>9000</v>
      </c>
      <c r="CB27" s="3">
        <f>_xlfn.XLOOKUP(CB$1,generator!$B$2:$B$295,generator!$Q$2:$Q$295,"ARGH")</f>
        <v>9000</v>
      </c>
      <c r="CC27" s="3">
        <f>_xlfn.XLOOKUP(CC$1,generator!$B$2:$B$295,generator!$Q$2:$Q$295,"ARGH")</f>
        <v>9000</v>
      </c>
      <c r="CD27" s="3">
        <f>_xlfn.XLOOKUP(CD$1,generator!$B$2:$B$295,generator!$Q$2:$Q$295,"ARGH")</f>
        <v>9000</v>
      </c>
      <c r="CE27" s="3">
        <f>_xlfn.XLOOKUP(CE$1,generator!$B$2:$B$295,generator!$Q$2:$Q$295,"ARGH")</f>
        <v>9000</v>
      </c>
      <c r="CF27" s="3">
        <f>_xlfn.XLOOKUP(CF$1,generator!$B$2:$B$295,generator!$Q$2:$Q$295,"ARGH")</f>
        <v>9000</v>
      </c>
      <c r="CG27" s="3">
        <f>_xlfn.XLOOKUP(CG$1,generator!$B$2:$B$295,generator!$Q$2:$Q$295,"ARGH")</f>
        <v>9000</v>
      </c>
      <c r="CH27" s="3">
        <f>_xlfn.XLOOKUP(CH$1,generator!$B$2:$B$295,generator!$Q$2:$Q$295,"ARGH")</f>
        <v>9000</v>
      </c>
      <c r="CI27" s="3">
        <f>_xlfn.XLOOKUP(CI$1,generator!$B$2:$B$295,generator!$Q$2:$Q$295,"ARGH")</f>
        <v>9000</v>
      </c>
      <c r="CJ27" s="3">
        <f>_xlfn.XLOOKUP(CJ$1,generator!$B$2:$B$295,generator!$Q$2:$Q$295,"ARGH")</f>
        <v>9000</v>
      </c>
      <c r="CK27" s="3">
        <f>_xlfn.XLOOKUP(CK$1,generator!$B$2:$B$295,generator!$Q$2:$Q$295,"ARGH")</f>
        <v>9000</v>
      </c>
      <c r="CL27" s="3">
        <f>_xlfn.XLOOKUP(CL$1,generator!$B$2:$B$295,generator!$Q$2:$Q$295,"ARGH")</f>
        <v>9000</v>
      </c>
      <c r="CM27" s="3">
        <f>_xlfn.XLOOKUP(CM$1,generator!$B$2:$B$295,generator!$Q$2:$Q$295,"ARGH")</f>
        <v>9000</v>
      </c>
      <c r="CN27" s="3">
        <f>_xlfn.XLOOKUP(CN$1,generator!$B$2:$B$295,generator!$Q$2:$Q$295,"ARGH")</f>
        <v>9000</v>
      </c>
      <c r="CO27" s="3">
        <f>_xlfn.XLOOKUP(CO$1,generator!$B$2:$B$295,generator!$Q$2:$Q$295,"ARGH")</f>
        <v>9000</v>
      </c>
      <c r="CP27" s="3">
        <f>_xlfn.XLOOKUP(CP$1,generator!$B$2:$B$295,generator!$Q$2:$Q$295,"ARGH")</f>
        <v>9000</v>
      </c>
      <c r="CQ27" s="3">
        <f>_xlfn.XLOOKUP(CQ$1,generator!$B$2:$B$295,generator!$Q$2:$Q$295,"ARGH")</f>
        <v>9000</v>
      </c>
      <c r="CR27" s="3">
        <f>_xlfn.XLOOKUP(CR$1,generator!$B$2:$B$295,generator!$Q$2:$Q$295,"ARGH")</f>
        <v>9000</v>
      </c>
      <c r="CS27" s="3">
        <f>_xlfn.XLOOKUP(CS$1,generator!$B$2:$B$295,generator!$Q$2:$Q$295,"ARGH")</f>
        <v>9000</v>
      </c>
      <c r="CT27" s="3">
        <f>_xlfn.XLOOKUP(CT$1,generator!$B$2:$B$295,generator!$Q$2:$Q$295,"ARGH")</f>
        <v>9000</v>
      </c>
      <c r="CU27" s="3">
        <f>_xlfn.XLOOKUP(CU$1,generator!$B$2:$B$295,generator!$Q$2:$Q$295,"ARGH")</f>
        <v>9000</v>
      </c>
      <c r="CV27" s="3">
        <f>_xlfn.XLOOKUP(CV$1,generator!$B$2:$B$295,generator!$Q$2:$Q$295,"ARGH")</f>
        <v>9000</v>
      </c>
      <c r="CW27" s="3">
        <f>_xlfn.XLOOKUP(CW$1,generator!$B$2:$B$295,generator!$Q$2:$Q$295,"ARGH")</f>
        <v>9000</v>
      </c>
      <c r="CX27" s="3">
        <f>_xlfn.XLOOKUP(CX$1,generator!$B$2:$B$295,generator!$Q$2:$Q$295,"ARGH")</f>
        <v>9000</v>
      </c>
      <c r="CY27" s="3">
        <f>_xlfn.XLOOKUP(CY$1,generator!$B$2:$B$295,generator!$Q$2:$Q$295,"ARGH")</f>
        <v>9000</v>
      </c>
      <c r="CZ27" s="3">
        <f>_xlfn.XLOOKUP(CZ$1,generator!$B$2:$B$295,generator!$Q$2:$Q$295,"ARGH")</f>
        <v>9000</v>
      </c>
      <c r="DA27" s="3">
        <f>_xlfn.XLOOKUP(DA$1,generator!$B$2:$B$295,generator!$Q$2:$Q$295,"ARGH")</f>
        <v>9000</v>
      </c>
      <c r="DB27" s="3">
        <f>_xlfn.XLOOKUP(DB$1,generator!$B$2:$B$295,generator!$Q$2:$Q$295,"ARGH")</f>
        <v>9000</v>
      </c>
      <c r="DC27" s="3">
        <f>_xlfn.XLOOKUP(DC$1,generator!$B$2:$B$295,generator!$Q$2:$Q$295,"ARGH")</f>
        <v>9000</v>
      </c>
      <c r="DD27" s="3">
        <f>_xlfn.XLOOKUP(DD$1,generator!$B$2:$B$295,generator!$Q$2:$Q$295,"ARGH")</f>
        <v>9000</v>
      </c>
      <c r="DE27" s="3">
        <f>_xlfn.XLOOKUP(DE$1,generator!$B$2:$B$295,generator!$Q$2:$Q$295,"ARGH")</f>
        <v>9000</v>
      </c>
      <c r="DF27" s="3">
        <f>_xlfn.XLOOKUP(DF$1,generator!$B$2:$B$295,generator!$Q$2:$Q$295,"ARGH")</f>
        <v>9000</v>
      </c>
      <c r="DG27" s="3">
        <f>_xlfn.XLOOKUP(DG$1,generator!$B$2:$B$295,generator!$Q$2:$Q$295,"ARGH")</f>
        <v>9000</v>
      </c>
      <c r="DH27" s="3">
        <f>_xlfn.XLOOKUP(DH$1,generator!$B$2:$B$295,generator!$Q$2:$Q$295,"ARGH")</f>
        <v>9000</v>
      </c>
      <c r="DI27" s="3">
        <f>_xlfn.XLOOKUP(DI$1,generator!$B$2:$B$295,generator!$Q$2:$Q$295,"ARGH")</f>
        <v>9000</v>
      </c>
      <c r="DJ27" s="3">
        <f>_xlfn.XLOOKUP(DJ$1,generator!$B$2:$B$295,generator!$Q$2:$Q$295,"ARGH")</f>
        <v>9000</v>
      </c>
      <c r="DK27" s="3">
        <f>_xlfn.XLOOKUP(DK$1,generator!$B$2:$B$295,generator!$Q$2:$Q$295,"ARGH")</f>
        <v>9000</v>
      </c>
      <c r="DL27" s="3">
        <f>_xlfn.XLOOKUP(DL$1,generator!$B$2:$B$295,generator!$Q$2:$Q$295,"ARGH")</f>
        <v>9000</v>
      </c>
      <c r="DM27" s="3">
        <f>_xlfn.XLOOKUP(DM$1,generator!$B$2:$B$295,generator!$Q$2:$Q$295,"ARGH")</f>
        <v>9000</v>
      </c>
      <c r="DN27" s="3">
        <f>_xlfn.XLOOKUP(DN$1,generator!$B$2:$B$295,generator!$Q$2:$Q$295,"ARGH")</f>
        <v>9000</v>
      </c>
      <c r="DO27" s="3">
        <f>_xlfn.XLOOKUP(DO$1,generator!$B$2:$B$295,generator!$Q$2:$Q$295,"ARGH")</f>
        <v>9000</v>
      </c>
      <c r="DP27" s="3">
        <f>_xlfn.XLOOKUP(DP$1,generator!$B$2:$B$295,generator!$Q$2:$Q$295,"ARGH")</f>
        <v>9000</v>
      </c>
      <c r="DQ27" s="3">
        <f>_xlfn.XLOOKUP(DQ$1,generator!$B$2:$B$295,generator!$Q$2:$Q$295,"ARGH")</f>
        <v>9000</v>
      </c>
      <c r="DR27" s="3">
        <f>_xlfn.XLOOKUP(DR$1,generator!$B$2:$B$295,generator!$Q$2:$Q$295,"ARGH")</f>
        <v>9000</v>
      </c>
      <c r="DS27" s="3">
        <f>_xlfn.XLOOKUP(DS$1,generator!$B$2:$B$295,generator!$Q$2:$Q$295,"ARGH")</f>
        <v>9000</v>
      </c>
      <c r="DT27" s="3">
        <f>_xlfn.XLOOKUP(DT$1,generator!$B$2:$B$295,generator!$Q$2:$Q$295,"ARGH")</f>
        <v>9000</v>
      </c>
      <c r="DU27" s="3">
        <f>_xlfn.XLOOKUP(DU$1,generator!$B$2:$B$295,generator!$Q$2:$Q$295,"ARGH")</f>
        <v>9000</v>
      </c>
      <c r="DV27" s="3">
        <f>_xlfn.XLOOKUP(DV$1,generator!$B$2:$B$295,generator!$Q$2:$Q$295,"ARGH")</f>
        <v>9000</v>
      </c>
      <c r="DW27" s="3">
        <f>_xlfn.XLOOKUP(DW$1,generator!$B$2:$B$295,generator!$Q$2:$Q$295,"ARGH")</f>
        <v>9000</v>
      </c>
      <c r="DX27" s="3">
        <f>_xlfn.XLOOKUP(DX$1,generator!$B$2:$B$295,generator!$Q$2:$Q$295,"ARGH")</f>
        <v>9000</v>
      </c>
      <c r="DY27" s="3">
        <f>_xlfn.XLOOKUP(DY$1,generator!$B$2:$B$295,generator!$Q$2:$Q$295,"ARGH")</f>
        <v>9000</v>
      </c>
      <c r="DZ27" s="3">
        <f>_xlfn.XLOOKUP(DZ$1,generator!$B$2:$B$295,generator!$Q$2:$Q$295,"ARGH")</f>
        <v>9000</v>
      </c>
      <c r="EA27" s="3">
        <f>_xlfn.XLOOKUP(EA$1,generator!$B$2:$B$295,generator!$Q$2:$Q$295,"ARGH")</f>
        <v>9000</v>
      </c>
      <c r="EB27" s="3">
        <f>_xlfn.XLOOKUP(EB$1,generator!$B$2:$B$295,generator!$Q$2:$Q$295,"ARGH")</f>
        <v>9000</v>
      </c>
      <c r="EC27" s="3">
        <f>_xlfn.XLOOKUP(EC$1,generator!$B$2:$B$295,generator!$Q$2:$Q$295,"ARGH")</f>
        <v>9000</v>
      </c>
      <c r="ED27" s="3">
        <f>_xlfn.XLOOKUP(ED$1,generator!$B$2:$B$295,generator!$Q$2:$Q$295,"ARGH")</f>
        <v>9000</v>
      </c>
      <c r="EE27" s="3">
        <f>_xlfn.XLOOKUP(EE$1,generator!$B$2:$B$295,generator!$Q$2:$Q$295,"ARGH")</f>
        <v>9000</v>
      </c>
      <c r="EF27" s="3">
        <f>_xlfn.XLOOKUP(EF$1,generator!$B$2:$B$295,generator!$Q$2:$Q$295,"ARGH")</f>
        <v>9000</v>
      </c>
      <c r="EG27" s="3">
        <f>_xlfn.XLOOKUP(EG$1,generator!$B$2:$B$295,generator!$Q$2:$Q$295,"ARGH")</f>
        <v>9000</v>
      </c>
      <c r="EH27" s="3">
        <f>_xlfn.XLOOKUP(EH$1,generator!$B$2:$B$295,generator!$Q$2:$Q$295,"ARGH")</f>
        <v>9000</v>
      </c>
      <c r="EI27" s="3">
        <f>_xlfn.XLOOKUP(EI$1,generator!$B$2:$B$295,generator!$Q$2:$Q$295,"ARGH")</f>
        <v>9000</v>
      </c>
      <c r="EJ27" s="3">
        <f>_xlfn.XLOOKUP(EJ$1,generator!$B$2:$B$295,generator!$Q$2:$Q$295,"ARGH")</f>
        <v>9000</v>
      </c>
      <c r="EK27" s="3">
        <f>_xlfn.XLOOKUP(EK$1,generator!$B$2:$B$295,generator!$Q$2:$Q$295,"ARGH")</f>
        <v>9000</v>
      </c>
      <c r="EL27" s="3">
        <f>_xlfn.XLOOKUP(EL$1,generator!$B$2:$B$295,generator!$Q$2:$Q$295,"ARGH")</f>
        <v>9000</v>
      </c>
      <c r="EM27" s="3">
        <f>_xlfn.XLOOKUP(EM$1,generator!$B$2:$B$295,generator!$Q$2:$Q$295,"ARGH")</f>
        <v>9000</v>
      </c>
      <c r="EN27" s="3">
        <f>_xlfn.XLOOKUP(EN$1,generator!$B$2:$B$295,generator!$Q$2:$Q$295,"ARGH")</f>
        <v>9000</v>
      </c>
      <c r="EO27" s="3">
        <f>_xlfn.XLOOKUP(EO$1,generator!$B$2:$B$295,generator!$Q$2:$Q$295,"ARGH")</f>
        <v>9000</v>
      </c>
      <c r="EP27" s="3">
        <f>_xlfn.XLOOKUP(EP$1,generator!$B$2:$B$295,generator!$Q$2:$Q$295,"ARGH")</f>
        <v>9000</v>
      </c>
      <c r="EQ27" s="3">
        <f>_xlfn.XLOOKUP(EQ$1,generator!$B$2:$B$295,generator!$Q$2:$Q$295,"ARGH")</f>
        <v>9000</v>
      </c>
      <c r="ER27" s="3">
        <f>_xlfn.XLOOKUP(ER$1,generator!$B$2:$B$295,generator!$Q$2:$Q$295,"ARGH")</f>
        <v>9000</v>
      </c>
      <c r="ES27" s="3">
        <f>_xlfn.XLOOKUP(ES$1,generator!$B$2:$B$295,generator!$Q$2:$Q$295,"ARGH")</f>
        <v>9000</v>
      </c>
      <c r="ET27" s="3">
        <f>_xlfn.XLOOKUP(ET$1,generator!$B$2:$B$295,generator!$Q$2:$Q$295,"ARGH")</f>
        <v>9000</v>
      </c>
      <c r="EU27" s="3">
        <f>_xlfn.XLOOKUP(EU$1,generator!$B$2:$B$295,generator!$Q$2:$Q$295,"ARGH")</f>
        <v>9000</v>
      </c>
      <c r="EV27" s="3">
        <f>_xlfn.XLOOKUP(EV$1,generator!$B$2:$B$295,generator!$Q$2:$Q$295,"ARGH")</f>
        <v>9000</v>
      </c>
      <c r="EW27" s="3">
        <f>_xlfn.XLOOKUP(EW$1,generator!$B$2:$B$295,generator!$Q$2:$Q$295,"ARGH")</f>
        <v>9000</v>
      </c>
      <c r="EX27" s="3">
        <f>_xlfn.XLOOKUP(EX$1,generator!$B$2:$B$295,generator!$Q$2:$Q$295,"ARGH")</f>
        <v>9000</v>
      </c>
      <c r="EY27" s="3">
        <f>_xlfn.XLOOKUP(EY$1,generator!$B$2:$B$295,generator!$Q$2:$Q$295,"ARGH")</f>
        <v>9000</v>
      </c>
      <c r="EZ27" s="3">
        <f>_xlfn.XLOOKUP(EZ$1,generator!$B$2:$B$295,generator!$Q$2:$Q$295,"ARGH")</f>
        <v>9000</v>
      </c>
      <c r="FA27" s="3">
        <f>_xlfn.XLOOKUP(FA$1,generator!$B$2:$B$295,generator!$Q$2:$Q$295,"ARGH")</f>
        <v>9000</v>
      </c>
      <c r="FB27" s="3">
        <f>_xlfn.XLOOKUP(FB$1,generator!$B$2:$B$295,generator!$Q$2:$Q$295,"ARGH")</f>
        <v>9000</v>
      </c>
      <c r="FC27" s="3">
        <f>_xlfn.XLOOKUP(FC$1,generator!$B$2:$B$295,generator!$Q$2:$Q$295,"ARGH")</f>
        <v>9000</v>
      </c>
      <c r="FD27" s="3">
        <f>_xlfn.XLOOKUP(FD$1,generator!$B$2:$B$295,generator!$Q$2:$Q$295,"ARGH")</f>
        <v>9000</v>
      </c>
      <c r="FE27" s="3">
        <f>_xlfn.XLOOKUP(FE$1,generator!$B$2:$B$295,generator!$Q$2:$Q$295,"ARGH")</f>
        <v>9000</v>
      </c>
      <c r="FF27" s="3">
        <f>_xlfn.XLOOKUP(FF$1,generator!$B$2:$B$295,generator!$Q$2:$Q$295,"ARGH")</f>
        <v>9000</v>
      </c>
      <c r="FG27" s="3">
        <f>_xlfn.XLOOKUP(FG$1,generator!$B$2:$B$295,generator!$Q$2:$Q$295,"ARGH")</f>
        <v>9000</v>
      </c>
      <c r="FH27" s="3">
        <f>_xlfn.XLOOKUP(FH$1,generator!$B$2:$B$295,generator!$Q$2:$Q$295,"ARGH")</f>
        <v>9000</v>
      </c>
      <c r="FI27" s="3">
        <f>_xlfn.XLOOKUP(FI$1,generator!$B$2:$B$295,generator!$Q$2:$Q$295,"ARGH")</f>
        <v>9000</v>
      </c>
      <c r="FJ27" s="3">
        <f>_xlfn.XLOOKUP(FJ$1,generator!$B$2:$B$295,generator!$Q$2:$Q$295,"ARGH")</f>
        <v>9000</v>
      </c>
      <c r="FK27" s="3">
        <f>_xlfn.XLOOKUP(FK$1,generator!$B$2:$B$295,generator!$Q$2:$Q$295,"ARGH")</f>
        <v>9000</v>
      </c>
      <c r="FL27" s="3">
        <f>_xlfn.XLOOKUP(FL$1,generator!$B$2:$B$295,generator!$Q$2:$Q$295,"ARGH")</f>
        <v>9000</v>
      </c>
      <c r="FM27" s="3">
        <f>_xlfn.XLOOKUP(FM$1,generator!$B$2:$B$295,generator!$Q$2:$Q$295,"ARGH")</f>
        <v>9000</v>
      </c>
      <c r="FN27" s="3">
        <f>_xlfn.XLOOKUP(FN$1,generator!$B$2:$B$295,generator!$Q$2:$Q$295,"ARGH")</f>
        <v>9000</v>
      </c>
      <c r="FO27" s="3">
        <f>_xlfn.XLOOKUP(FO$1,generator!$B$2:$B$295,generator!$Q$2:$Q$295,"ARGH")</f>
        <v>9000</v>
      </c>
      <c r="FP27" s="3">
        <f>_xlfn.XLOOKUP(FP$1,generator!$B$2:$B$295,generator!$Q$2:$Q$295,"ARGH")</f>
        <v>9000</v>
      </c>
      <c r="FQ27" s="3">
        <f>_xlfn.XLOOKUP(FQ$1,generator!$B$2:$B$295,generator!$Q$2:$Q$295,"ARGH")</f>
        <v>9000</v>
      </c>
      <c r="FR27" s="3">
        <f>_xlfn.XLOOKUP(FR$1,generator!$B$2:$B$295,generator!$Q$2:$Q$295,"ARGH")</f>
        <v>9000</v>
      </c>
      <c r="FS27" s="3">
        <f>_xlfn.XLOOKUP(FS$1,generator!$B$2:$B$295,generator!$Q$2:$Q$295,"ARGH")</f>
        <v>9000</v>
      </c>
      <c r="FT27" s="3">
        <f>_xlfn.XLOOKUP(FT$1,generator!$B$2:$B$295,generator!$Q$2:$Q$295,"ARGH")</f>
        <v>9000</v>
      </c>
      <c r="FU27" s="3">
        <f>_xlfn.XLOOKUP(FU$1,generator!$B$2:$B$295,generator!$Q$2:$Q$295,"ARGH")</f>
        <v>9000</v>
      </c>
      <c r="FV27" s="3">
        <f>_xlfn.XLOOKUP(FV$1,generator!$B$2:$B$295,generator!$Q$2:$Q$295,"ARGH")</f>
        <v>9000</v>
      </c>
      <c r="FW27" s="3">
        <f>_xlfn.XLOOKUP(FW$1,generator!$B$2:$B$295,generator!$Q$2:$Q$295,"ARGH")</f>
        <v>9000</v>
      </c>
      <c r="FX27" s="3">
        <f>_xlfn.XLOOKUP(FX$1,generator!$B$2:$B$295,generator!$Q$2:$Q$295,"ARGH")</f>
        <v>9000</v>
      </c>
      <c r="FY27" s="3">
        <f>_xlfn.XLOOKUP(FY$1,generator!$B$2:$B$295,generator!$Q$2:$Q$295,"ARGH")</f>
        <v>9000</v>
      </c>
      <c r="FZ27" s="3">
        <f>_xlfn.XLOOKUP(FZ$1,generator!$B$2:$B$295,generator!$Q$2:$Q$295,"ARGH")</f>
        <v>9000</v>
      </c>
      <c r="GA27" s="3">
        <f>_xlfn.XLOOKUP(GA$1,generator!$B$2:$B$295,generator!$Q$2:$Q$295,"ARGH")</f>
        <v>9000</v>
      </c>
      <c r="GB27" s="3">
        <f>_xlfn.XLOOKUP(GB$1,generator!$B$2:$B$295,generator!$Q$2:$Q$295,"ARGH")</f>
        <v>9000</v>
      </c>
      <c r="GC27" s="3">
        <f>_xlfn.XLOOKUP(GC$1,generator!$B$2:$B$295,generator!$Q$2:$Q$295,"ARGH")</f>
        <v>9000</v>
      </c>
      <c r="GD27" s="3">
        <f>_xlfn.XLOOKUP(GD$1,generator!$B$2:$B$295,generator!$Q$2:$Q$295,"ARGH")</f>
        <v>9000</v>
      </c>
      <c r="GE27" s="3">
        <f>_xlfn.XLOOKUP(GE$1,generator!$B$2:$B$295,generator!$Q$2:$Q$295,"ARGH")</f>
        <v>9000</v>
      </c>
      <c r="GF27" s="3">
        <f>_xlfn.XLOOKUP(GF$1,generator!$B$2:$B$295,generator!$Q$2:$Q$295,"ARGH")</f>
        <v>9000</v>
      </c>
      <c r="GG27" s="3">
        <f>_xlfn.XLOOKUP(GG$1,generator!$B$2:$B$295,generator!$Q$2:$Q$295,"ARGH")</f>
        <v>9000</v>
      </c>
      <c r="GH27" s="3">
        <f>_xlfn.XLOOKUP(GH$1,generator!$B$2:$B$295,generator!$Q$2:$Q$295,"ARGH")</f>
        <v>9000</v>
      </c>
      <c r="GI27" s="3">
        <f>_xlfn.XLOOKUP(GI$1,generator!$B$2:$B$295,generator!$Q$2:$Q$295,"ARGH")</f>
        <v>9000</v>
      </c>
      <c r="GJ27" s="3">
        <f>_xlfn.XLOOKUP(GJ$1,generator!$B$2:$B$295,generator!$Q$2:$Q$295,"ARGH")</f>
        <v>9000</v>
      </c>
      <c r="GK27" s="3">
        <f>_xlfn.XLOOKUP(GK$1,generator!$B$2:$B$295,generator!$Q$2:$Q$295,"ARGH")</f>
        <v>9000</v>
      </c>
      <c r="GL27" s="3">
        <f>_xlfn.XLOOKUP(GL$1,generator!$B$2:$B$295,generator!$Q$2:$Q$295,"ARGH")</f>
        <v>9000</v>
      </c>
      <c r="GM27" s="3">
        <f>_xlfn.XLOOKUP(GM$1,generator!$B$2:$B$295,generator!$Q$2:$Q$295,"ARGH")</f>
        <v>9000</v>
      </c>
      <c r="GN27" s="3">
        <f>_xlfn.XLOOKUP(GN$1,generator!$B$2:$B$295,generator!$Q$2:$Q$295,"ARGH")</f>
        <v>9000</v>
      </c>
      <c r="GO27" s="3">
        <f>_xlfn.XLOOKUP(GO$1,generator!$B$2:$B$295,generator!$Q$2:$Q$295,"ARGH")</f>
        <v>9000</v>
      </c>
      <c r="GP27" s="3">
        <f>_xlfn.XLOOKUP(GP$1,generator!$B$2:$B$295,generator!$Q$2:$Q$295,"ARGH")</f>
        <v>9000</v>
      </c>
      <c r="GQ27" s="3">
        <f>_xlfn.XLOOKUP(GQ$1,generator!$B$2:$B$295,generator!$Q$2:$Q$295,"ARGH")</f>
        <v>9000</v>
      </c>
      <c r="GR27" s="3">
        <f>_xlfn.XLOOKUP(GR$1,generator!$B$2:$B$295,generator!$Q$2:$Q$295,"ARGH")</f>
        <v>9000</v>
      </c>
      <c r="GS27" s="3">
        <f>_xlfn.XLOOKUP(GS$1,generator!$B$2:$B$295,generator!$Q$2:$Q$295,"ARGH")</f>
        <v>9000</v>
      </c>
      <c r="GT27" s="3">
        <f>_xlfn.XLOOKUP(GT$1,generator!$B$2:$B$295,generator!$Q$2:$Q$295,"ARGH")</f>
        <v>9000</v>
      </c>
      <c r="GU27" s="3">
        <f>_xlfn.XLOOKUP(GU$1,generator!$B$2:$B$295,generator!$Q$2:$Q$295,"ARGH")</f>
        <v>9000</v>
      </c>
      <c r="GV27" s="3">
        <f>_xlfn.XLOOKUP(GV$1,generator!$B$2:$B$295,generator!$Q$2:$Q$295,"ARGH")</f>
        <v>9000</v>
      </c>
      <c r="GW27" s="3">
        <f>_xlfn.XLOOKUP(GW$1,generator!$B$2:$B$295,generator!$Q$2:$Q$295,"ARGH")</f>
        <v>9000</v>
      </c>
      <c r="GX27" s="3">
        <f>_xlfn.XLOOKUP(GX$1,generator!$B$2:$B$295,generator!$Q$2:$Q$295,"ARGH")</f>
        <v>9000</v>
      </c>
      <c r="GY27" s="3">
        <f>_xlfn.XLOOKUP(GY$1,generator!$B$2:$B$295,generator!$Q$2:$Q$295,"ARGH")</f>
        <v>9000</v>
      </c>
      <c r="GZ27" s="3">
        <f>_xlfn.XLOOKUP(GZ$1,generator!$B$2:$B$295,generator!$Q$2:$Q$295,"ARGH")</f>
        <v>9000</v>
      </c>
      <c r="HA27" s="3">
        <f>_xlfn.XLOOKUP(HA$1,generator!$B$2:$B$295,generator!$Q$2:$Q$295,"ARGH")</f>
        <v>9000</v>
      </c>
      <c r="HB27" s="3">
        <f>_xlfn.XLOOKUP(HB$1,generator!$B$2:$B$295,generator!$Q$2:$Q$295,"ARGH")</f>
        <v>9000</v>
      </c>
      <c r="HC27" s="3">
        <f>_xlfn.XLOOKUP(HC$1,generator!$B$2:$B$295,generator!$Q$2:$Q$295,"ARGH")</f>
        <v>9000</v>
      </c>
      <c r="HD27" s="3">
        <f>_xlfn.XLOOKUP(HD$1,generator!$B$2:$B$295,generator!$Q$2:$Q$295,"ARGH")</f>
        <v>9000</v>
      </c>
      <c r="HE27" s="3">
        <f>_xlfn.XLOOKUP(HE$1,generator!$B$2:$B$295,generator!$Q$2:$Q$295,"ARGH")</f>
        <v>8000</v>
      </c>
      <c r="HF27" s="3" t="str">
        <f>_xlfn.XLOOKUP(HF$1,generator!$B$2:$B$295,generator!$Q$2:$Q$295,"ARGH")</f>
        <v>143</v>
      </c>
      <c r="HG27" s="3" t="str">
        <f>_xlfn.XLOOKUP(HG$1,generator!$B$2:$B$295,generator!$Q$2:$Q$295,"ARGH")</f>
        <v>143</v>
      </c>
      <c r="HH27" s="3" t="str">
        <f>_xlfn.XLOOKUP(HH$1,generator!$B$2:$B$295,generator!$Q$2:$Q$295,"ARGH")</f>
        <v>143</v>
      </c>
      <c r="HI27" s="3" t="str">
        <f>_xlfn.XLOOKUP(HI$1,generator!$B$2:$B$295,generator!$Q$2:$Q$295,"ARGH")</f>
        <v>246.74</v>
      </c>
      <c r="HJ27" s="3" t="str">
        <f>_xlfn.XLOOKUP(HJ$1,generator!$B$2:$B$295,generator!$Q$2:$Q$295,"ARGH")</f>
        <v>246.74</v>
      </c>
      <c r="HK27" s="3" t="str">
        <f>_xlfn.XLOOKUP(HK$1,generator!$B$2:$B$295,generator!$Q$2:$Q$295,"ARGH")</f>
        <v>206.04</v>
      </c>
      <c r="HL27" s="3" t="str">
        <f>_xlfn.XLOOKUP(HL$1,generator!$B$2:$B$295,generator!$Q$2:$Q$295,"ARGH")</f>
        <v>506.96</v>
      </c>
      <c r="HM27" s="3" t="str">
        <f>_xlfn.XLOOKUP(HM$1,generator!$B$2:$B$295,generator!$Q$2:$Q$295,"ARGH")</f>
        <v>506.95</v>
      </c>
      <c r="HN27" s="3" t="str">
        <f>_xlfn.XLOOKUP(HN$1,generator!$B$2:$B$295,generator!$Q$2:$Q$295,"ARGH")</f>
        <v>190.97</v>
      </c>
      <c r="HO27" s="3" t="str">
        <f>_xlfn.XLOOKUP(HO$1,generator!$B$2:$B$295,generator!$Q$2:$Q$295,"ARGH")</f>
        <v>190.97</v>
      </c>
      <c r="HP27" s="3" t="str">
        <f>_xlfn.XLOOKUP(HP$1,generator!$B$2:$B$295,generator!$Q$2:$Q$295,"ARGH")</f>
        <v>424.84</v>
      </c>
      <c r="HQ27" s="3" t="str">
        <f>_xlfn.XLOOKUP(HQ$1,generator!$B$2:$B$295,generator!$Q$2:$Q$295,"ARGH")</f>
        <v>425.9</v>
      </c>
      <c r="HR27" s="3" t="str">
        <f>_xlfn.XLOOKUP(HR$1,generator!$B$2:$B$295,generator!$Q$2:$Q$295,"ARGH")</f>
        <v>425.9</v>
      </c>
      <c r="HS27" s="3" t="str">
        <f>_xlfn.XLOOKUP(HS$1,generator!$B$2:$B$295,generator!$Q$2:$Q$295,"ARGH")</f>
        <v>196.54</v>
      </c>
      <c r="HT27" s="3" t="str">
        <f>_xlfn.XLOOKUP(HT$1,generator!$B$2:$B$295,generator!$Q$2:$Q$295,"ARGH")</f>
        <v>196.54</v>
      </c>
      <c r="HU27" s="3" t="str">
        <f>_xlfn.XLOOKUP(HU$1,generator!$B$2:$B$295,generator!$Q$2:$Q$295,"ARGH")</f>
        <v>145.57</v>
      </c>
      <c r="HV27" s="3" t="str">
        <f>_xlfn.XLOOKUP(HV$1,generator!$B$2:$B$295,generator!$Q$2:$Q$295,"ARGH")</f>
        <v>132.62</v>
      </c>
      <c r="HW27" s="3" t="str">
        <f>_xlfn.XLOOKUP(HW$1,generator!$B$2:$B$295,generator!$Q$2:$Q$295,"ARGH")</f>
        <v>193.76</v>
      </c>
      <c r="HX27" s="3" t="str">
        <f>_xlfn.XLOOKUP(HX$1,generator!$B$2:$B$295,generator!$Q$2:$Q$295,"ARGH")</f>
        <v>193.76</v>
      </c>
      <c r="HY27" s="3" t="str">
        <f>_xlfn.XLOOKUP(HY$1,generator!$B$2:$B$295,generator!$Q$2:$Q$295,"ARGH")</f>
        <v>79.19</v>
      </c>
      <c r="HZ27" s="3" t="str">
        <f>_xlfn.XLOOKUP(HZ$1,generator!$B$2:$B$295,generator!$Q$2:$Q$295,"ARGH")</f>
        <v>125.79</v>
      </c>
      <c r="IA27" s="3" t="str">
        <f>_xlfn.XLOOKUP(IA$1,generator!$B$2:$B$295,generator!$Q$2:$Q$295,"ARGH")</f>
        <v>54.19</v>
      </c>
      <c r="IB27" s="3" t="str">
        <f>_xlfn.XLOOKUP(IB$1,generator!$B$2:$B$295,generator!$Q$2:$Q$295,"ARGH")</f>
        <v>59.7</v>
      </c>
      <c r="IC27" s="3">
        <f>_xlfn.XLOOKUP(IC$1,generator!$B$2:$B$295,generator!$Q$2:$Q$295,"ARGH")</f>
        <v>0</v>
      </c>
      <c r="ID27" s="3" t="str">
        <f>_xlfn.XLOOKUP(ID$1,generator!$B$2:$B$295,generator!$Q$2:$Q$295,"ARGH")</f>
        <v>121.14</v>
      </c>
      <c r="IE27" s="3" t="str">
        <f>_xlfn.XLOOKUP(IE$1,generator!$B$2:$B$295,generator!$Q$2:$Q$295,"ARGH")</f>
        <v>26.6</v>
      </c>
      <c r="IF27" s="3">
        <f>_xlfn.XLOOKUP(IF$1,generator!$B$2:$B$295,generator!$Q$2:$Q$295,"ARGH")</f>
        <v>8000</v>
      </c>
      <c r="IG27" s="3">
        <f>_xlfn.XLOOKUP(IG$1,generator!$B$2:$B$295,generator!$Q$2:$Q$295,"ARGH")</f>
        <v>8000</v>
      </c>
      <c r="IH27" s="3">
        <f>_xlfn.XLOOKUP(IH$1,generator!$B$2:$B$295,generator!$Q$2:$Q$295,"ARGH")</f>
        <v>8000</v>
      </c>
      <c r="II27" s="3">
        <f>_xlfn.XLOOKUP(II$1,generator!$B$2:$B$295,generator!$Q$2:$Q$295,"ARGH")</f>
        <v>8000</v>
      </c>
      <c r="IJ27" s="3">
        <f>_xlfn.XLOOKUP(IJ$1,generator!$B$2:$B$295,generator!$Q$2:$Q$295,"ARGH")</f>
        <v>8000</v>
      </c>
      <c r="IK27" s="3">
        <f>_xlfn.XLOOKUP(IK$1,generator!$B$2:$B$295,generator!$Q$2:$Q$295,"ARGH")</f>
        <v>8000</v>
      </c>
      <c r="IL27" s="3">
        <f>_xlfn.XLOOKUP(IL$1,generator!$B$2:$B$295,generator!$Q$2:$Q$295,"ARGH")</f>
        <v>8000</v>
      </c>
      <c r="IM27" s="3">
        <f>_xlfn.XLOOKUP(IM$1,generator!$B$2:$B$295,generator!$Q$2:$Q$295,"ARGH")</f>
        <v>8000</v>
      </c>
      <c r="IN27" s="3">
        <f>_xlfn.XLOOKUP(IN$1,generator!$B$2:$B$295,generator!$Q$2:$Q$295,"ARGH")</f>
        <v>8000</v>
      </c>
      <c r="IO27" s="3">
        <f>_xlfn.XLOOKUP(IO$1,generator!$B$2:$B$295,generator!$Q$2:$Q$295,"ARGH")</f>
        <v>8000</v>
      </c>
      <c r="IP27" s="3">
        <f>_xlfn.XLOOKUP(IP$1,generator!$B$2:$B$295,generator!$Q$2:$Q$295,"ARGH")</f>
        <v>8000</v>
      </c>
      <c r="IQ27" s="3">
        <f>_xlfn.XLOOKUP(IQ$1,generator!$B$2:$B$295,generator!$Q$2:$Q$295,"ARGH")</f>
        <v>8000</v>
      </c>
      <c r="IR27" s="3">
        <f>_xlfn.XLOOKUP(IR$1,generator!$B$2:$B$295,generator!$Q$2:$Q$295,"ARGH")</f>
        <v>8000</v>
      </c>
      <c r="IS27" s="3">
        <f>_xlfn.XLOOKUP(IS$1,generator!$B$2:$B$295,generator!$Q$2:$Q$295,"ARGH")</f>
        <v>8000</v>
      </c>
      <c r="IT27" s="3">
        <f>_xlfn.XLOOKUP(IT$1,generator!$B$2:$B$295,generator!$Q$2:$Q$295,"ARGH")</f>
        <v>8000</v>
      </c>
      <c r="IU27" s="3">
        <f>_xlfn.XLOOKUP(IU$1,generator!$B$2:$B$295,generator!$Q$2:$Q$295,"ARGH")</f>
        <v>8000</v>
      </c>
      <c r="IV27" s="3">
        <f>_xlfn.XLOOKUP(IV$1,generator!$B$2:$B$295,generator!$Q$2:$Q$295,"ARGH")</f>
        <v>8000</v>
      </c>
      <c r="IW27" s="3" t="str">
        <f>_xlfn.XLOOKUP(IW$1,generator!$B$2:$B$295,generator!$Q$2:$Q$295,"ARGH")</f>
        <v>108.19</v>
      </c>
      <c r="IX27" s="3" t="str">
        <f>_xlfn.XLOOKUP(IX$1,generator!$B$2:$B$295,generator!$Q$2:$Q$295,"ARGH")</f>
        <v>108.18</v>
      </c>
      <c r="IY27" s="3" t="str">
        <f>_xlfn.XLOOKUP(IY$1,generator!$B$2:$B$295,generator!$Q$2:$Q$295,"ARGH")</f>
        <v>108.17</v>
      </c>
      <c r="IZ27" s="3" t="str">
        <f>_xlfn.XLOOKUP(IZ$1,generator!$B$2:$B$295,generator!$Q$2:$Q$295,"ARGH")</f>
        <v>40.96</v>
      </c>
      <c r="JA27" s="3">
        <f>_xlfn.XLOOKUP(JA$1,generator!$B$2:$B$295,generator!$Q$2:$Q$295,"ARGH")</f>
        <v>0</v>
      </c>
      <c r="JB27" s="3">
        <f>_xlfn.XLOOKUP(JB$1,generator!$B$2:$B$295,generator!$Q$2:$Q$295,"ARGH")</f>
        <v>0</v>
      </c>
      <c r="JC27" s="3" t="str">
        <f>_xlfn.XLOOKUP(JC$1,generator!$B$2:$B$295,generator!$Q$2:$Q$295,"ARGH")</f>
        <v>75.91</v>
      </c>
      <c r="JD27" s="3" t="str">
        <f>_xlfn.XLOOKUP(JD$1,generator!$B$2:$B$295,generator!$Q$2:$Q$295,"ARGH")</f>
        <v>75.91</v>
      </c>
      <c r="JE27" s="3" t="str">
        <f>_xlfn.XLOOKUP(JE$1,generator!$B$2:$B$295,generator!$Q$2:$Q$295,"ARGH")</f>
        <v>51.59</v>
      </c>
      <c r="JF27" s="3" t="str">
        <f>_xlfn.XLOOKUP(JF$1,generator!$B$2:$B$295,generator!$Q$2:$Q$295,"ARGH")</f>
        <v>111.57</v>
      </c>
      <c r="JG27" s="3">
        <f>_xlfn.XLOOKUP(JG$1,generator!$B$2:$B$295,generator!$Q$2:$Q$295,"ARGH")</f>
        <v>0</v>
      </c>
      <c r="JH27" s="3" t="str">
        <f>_xlfn.XLOOKUP(JH$1,generator!$B$2:$B$295,generator!$Q$2:$Q$295,"ARGH")</f>
        <v>48.65</v>
      </c>
      <c r="JI27" s="3" t="str">
        <f>_xlfn.XLOOKUP(JI$1,generator!$B$2:$B$295,generator!$Q$2:$Q$295,"ARGH")</f>
        <v>71.88</v>
      </c>
      <c r="JJ27" s="3" t="str">
        <f>_xlfn.XLOOKUP(JJ$1,generator!$B$2:$B$295,generator!$Q$2:$Q$295,"ARGH")</f>
        <v>98.17</v>
      </c>
      <c r="JK27" s="3" t="str">
        <f>_xlfn.XLOOKUP(JK$1,generator!$B$2:$B$295,generator!$Q$2:$Q$295,"ARGH")</f>
        <v>98.17</v>
      </c>
      <c r="JL27" s="3" t="str">
        <f>_xlfn.XLOOKUP(JL$1,generator!$B$2:$B$295,generator!$Q$2:$Q$295,"ARGH")</f>
        <v>98.17</v>
      </c>
      <c r="JM27" s="3" t="str">
        <f>_xlfn.XLOOKUP(JM$1,generator!$B$2:$B$295,generator!$Q$2:$Q$295,"ARGH")</f>
        <v>98.17</v>
      </c>
      <c r="JN27" s="3" t="str">
        <f>_xlfn.XLOOKUP(JN$1,generator!$B$2:$B$295,generator!$Q$2:$Q$295,"ARGH")</f>
        <v>98.17</v>
      </c>
      <c r="JO27" s="3" t="str">
        <f>_xlfn.XLOOKUP(JO$1,generator!$B$2:$B$295,generator!$Q$2:$Q$295,"ARGH")</f>
        <v>98.17</v>
      </c>
      <c r="JP27" s="3" t="str">
        <f>_xlfn.XLOOKUP(JP$1,generator!$B$2:$B$295,generator!$Q$2:$Q$295,"ARGH")</f>
        <v>47.53</v>
      </c>
      <c r="JQ27" s="3" t="str">
        <f>_xlfn.XLOOKUP(JQ$1,generator!$B$2:$B$295,generator!$Q$2:$Q$295,"ARGH")</f>
        <v>108.86</v>
      </c>
      <c r="JR27" s="3" t="str">
        <f>_xlfn.XLOOKUP(JR$1,generator!$B$2:$B$295,generator!$Q$2:$Q$295,"ARGH")</f>
        <v>83.15</v>
      </c>
      <c r="JS27" s="3" t="str">
        <f>_xlfn.XLOOKUP(JS$1,generator!$B$2:$B$295,generator!$Q$2:$Q$295,"ARGH")</f>
        <v>83.15</v>
      </c>
      <c r="JT27" s="3" t="str">
        <f>_xlfn.XLOOKUP(JT$1,generator!$B$2:$B$295,generator!$Q$2:$Q$295,"ARGH")</f>
        <v>108.86</v>
      </c>
      <c r="JU27" s="3">
        <f>_xlfn.XLOOKUP(JU$1,generator!$B$2:$B$295,generator!$Q$2:$Q$295,"ARGH")</f>
        <v>0</v>
      </c>
      <c r="JV27" s="3" t="str">
        <f>_xlfn.XLOOKUP(JV$1,generator!$B$2:$B$295,generator!$Q$2:$Q$295,"ARGH")</f>
        <v>77.63</v>
      </c>
      <c r="JW27" s="3" t="str">
        <f>_xlfn.XLOOKUP(JW$1,generator!$B$2:$B$295,generator!$Q$2:$Q$295,"ARGH")</f>
        <v>77.64</v>
      </c>
      <c r="JX27" s="3" t="str">
        <f>_xlfn.XLOOKUP(JX$1,generator!$B$2:$B$295,generator!$Q$2:$Q$295,"ARGH")</f>
        <v>331.49</v>
      </c>
      <c r="JY27" s="3">
        <f>_xlfn.XLOOKUP(JY$1,generator!$B$2:$B$295,generator!$Q$2:$Q$295,"ARGH")</f>
        <v>7000</v>
      </c>
      <c r="JZ27" s="3">
        <f>_xlfn.XLOOKUP(JZ$1,generator!$B$2:$B$295,generator!$Q$2:$Q$295,"ARGH")</f>
        <v>0</v>
      </c>
      <c r="KA27" s="3">
        <f>_xlfn.XLOOKUP(KA$1,generator!$B$2:$B$295,generator!$Q$2:$Q$295,"ARGH")</f>
        <v>0</v>
      </c>
      <c r="KB27" s="3">
        <f>_xlfn.XLOOKUP(KB$1,generator!$B$2:$B$295,generator!$Q$2:$Q$295,"ARGH")</f>
        <v>0</v>
      </c>
      <c r="KC27" s="3">
        <f>_xlfn.XLOOKUP(KC$1,generator!$B$2:$B$295,generator!$Q$2:$Q$295,"ARGH")</f>
        <v>0</v>
      </c>
    </row>
    <row r="28" spans="1:289" x14ac:dyDescent="0.3">
      <c r="A28" s="4" t="s">
        <v>3023</v>
      </c>
      <c r="B28" s="3">
        <v>15000</v>
      </c>
      <c r="C28" s="3">
        <v>15000</v>
      </c>
      <c r="D28" s="3">
        <v>15000</v>
      </c>
      <c r="E28" s="3">
        <f>_xlfn.XLOOKUP(E$1,generator!$B$2:$B$295,generator!$Q$2:$Q$295,"ARGH")</f>
        <v>9000</v>
      </c>
      <c r="F28" s="3">
        <f>_xlfn.XLOOKUP(F$1,generator!$B$2:$B$295,generator!$Q$2:$Q$295,"ARGH")</f>
        <v>9000</v>
      </c>
      <c r="G28" s="3">
        <f>_xlfn.XLOOKUP(G$1,generator!$B$2:$B$295,generator!$Q$2:$Q$295,"ARGH")</f>
        <v>9000</v>
      </c>
      <c r="H28" s="3">
        <f>_xlfn.XLOOKUP(H$1,generator!$B$2:$B$295,generator!$Q$2:$Q$295,"ARGH")</f>
        <v>9000</v>
      </c>
      <c r="I28" s="3">
        <f>_xlfn.XLOOKUP(I$1,generator!$B$2:$B$295,generator!$Q$2:$Q$295,"ARGH")</f>
        <v>9000</v>
      </c>
      <c r="J28" s="3">
        <f>_xlfn.XLOOKUP(J$1,generator!$B$2:$B$295,generator!$Q$2:$Q$295,"ARGH")</f>
        <v>9000</v>
      </c>
      <c r="K28" s="3">
        <f>_xlfn.XLOOKUP(K$1,generator!$B$2:$B$295,generator!$Q$2:$Q$295,"ARGH")</f>
        <v>9000</v>
      </c>
      <c r="L28" s="3">
        <f>_xlfn.XLOOKUP(L$1,generator!$B$2:$B$295,generator!$Q$2:$Q$295,"ARGH")</f>
        <v>9000</v>
      </c>
      <c r="M28" s="3">
        <f>_xlfn.XLOOKUP(M$1,generator!$B$2:$B$295,generator!$Q$2:$Q$295,"ARGH")</f>
        <v>9000</v>
      </c>
      <c r="N28" s="3">
        <f>_xlfn.XLOOKUP(N$1,generator!$B$2:$B$295,generator!$Q$2:$Q$295,"ARGH")</f>
        <v>9000</v>
      </c>
      <c r="O28" s="3">
        <f>_xlfn.XLOOKUP(O$1,generator!$B$2:$B$295,generator!$Q$2:$Q$295,"ARGH")</f>
        <v>9000</v>
      </c>
      <c r="P28" s="3">
        <f>_xlfn.XLOOKUP(P$1,generator!$B$2:$B$295,generator!$Q$2:$Q$295,"ARGH")</f>
        <v>9000</v>
      </c>
      <c r="Q28" s="3">
        <f>_xlfn.XLOOKUP(Q$1,generator!$B$2:$B$295,generator!$Q$2:$Q$295,"ARGH")</f>
        <v>9000</v>
      </c>
      <c r="R28" s="3">
        <f>_xlfn.XLOOKUP(R$1,generator!$B$2:$B$295,generator!$Q$2:$Q$295,"ARGH")</f>
        <v>9000</v>
      </c>
      <c r="S28" s="3">
        <f>_xlfn.XLOOKUP(S$1,generator!$B$2:$B$295,generator!$Q$2:$Q$295,"ARGH")</f>
        <v>9000</v>
      </c>
      <c r="T28" s="3">
        <f>_xlfn.XLOOKUP(T$1,generator!$B$2:$B$295,generator!$Q$2:$Q$295,"ARGH")</f>
        <v>9000</v>
      </c>
      <c r="U28" s="3">
        <f>_xlfn.XLOOKUP(U$1,generator!$B$2:$B$295,generator!$Q$2:$Q$295,"ARGH")</f>
        <v>9000</v>
      </c>
      <c r="V28" s="3">
        <f>_xlfn.XLOOKUP(V$1,generator!$B$2:$B$295,generator!$Q$2:$Q$295,"ARGH")</f>
        <v>9000</v>
      </c>
      <c r="W28" s="3">
        <f>_xlfn.XLOOKUP(W$1,generator!$B$2:$B$295,generator!$Q$2:$Q$295,"ARGH")</f>
        <v>9000</v>
      </c>
      <c r="X28" s="3">
        <f>_xlfn.XLOOKUP(X$1,generator!$B$2:$B$295,generator!$Q$2:$Q$295,"ARGH")</f>
        <v>9000</v>
      </c>
      <c r="Y28" s="3">
        <f>_xlfn.XLOOKUP(Y$1,generator!$B$2:$B$295,generator!$Q$2:$Q$295,"ARGH")</f>
        <v>9000</v>
      </c>
      <c r="Z28" s="3">
        <f>_xlfn.XLOOKUP(Z$1,generator!$B$2:$B$295,generator!$Q$2:$Q$295,"ARGH")</f>
        <v>9000</v>
      </c>
      <c r="AA28" s="3">
        <f>_xlfn.XLOOKUP(AA$1,generator!$B$2:$B$295,generator!$Q$2:$Q$295,"ARGH")</f>
        <v>9000</v>
      </c>
      <c r="AB28" s="3">
        <f>_xlfn.XLOOKUP(AB$1,generator!$B$2:$B$295,generator!$Q$2:$Q$295,"ARGH")</f>
        <v>9000</v>
      </c>
      <c r="AC28" s="3">
        <f>_xlfn.XLOOKUP(AC$1,generator!$B$2:$B$295,generator!$Q$2:$Q$295,"ARGH")</f>
        <v>9000</v>
      </c>
      <c r="AD28" s="3">
        <f>_xlfn.XLOOKUP(AD$1,generator!$B$2:$B$295,generator!$Q$2:$Q$295,"ARGH")</f>
        <v>9000</v>
      </c>
      <c r="AE28" s="3">
        <f>_xlfn.XLOOKUP(AE$1,generator!$B$2:$B$295,generator!$Q$2:$Q$295,"ARGH")</f>
        <v>9000</v>
      </c>
      <c r="AF28" s="3">
        <f>_xlfn.XLOOKUP(AF$1,generator!$B$2:$B$295,generator!$Q$2:$Q$295,"ARGH")</f>
        <v>9000</v>
      </c>
      <c r="AG28" s="3">
        <f>_xlfn.XLOOKUP(AG$1,generator!$B$2:$B$295,generator!$Q$2:$Q$295,"ARGH")</f>
        <v>9000</v>
      </c>
      <c r="AH28" s="3">
        <f>_xlfn.XLOOKUP(AH$1,generator!$B$2:$B$295,generator!$Q$2:$Q$295,"ARGH")</f>
        <v>9000</v>
      </c>
      <c r="AI28" s="3">
        <f>_xlfn.XLOOKUP(AI$1,generator!$B$2:$B$295,generator!$Q$2:$Q$295,"ARGH")</f>
        <v>9000</v>
      </c>
      <c r="AJ28" s="3">
        <f>_xlfn.XLOOKUP(AJ$1,generator!$B$2:$B$295,generator!$Q$2:$Q$295,"ARGH")</f>
        <v>9000</v>
      </c>
      <c r="AK28" s="3">
        <f>_xlfn.XLOOKUP(AK$1,generator!$B$2:$B$295,generator!$Q$2:$Q$295,"ARGH")</f>
        <v>9000</v>
      </c>
      <c r="AL28" s="3">
        <f>_xlfn.XLOOKUP(AL$1,generator!$B$2:$B$295,generator!$Q$2:$Q$295,"ARGH")</f>
        <v>9000</v>
      </c>
      <c r="AM28" s="3">
        <f>_xlfn.XLOOKUP(AM$1,generator!$B$2:$B$295,generator!$Q$2:$Q$295,"ARGH")</f>
        <v>9000</v>
      </c>
      <c r="AN28" s="3">
        <f>_xlfn.XLOOKUP(AN$1,generator!$B$2:$B$295,generator!$Q$2:$Q$295,"ARGH")</f>
        <v>9000</v>
      </c>
      <c r="AO28" s="3">
        <f>_xlfn.XLOOKUP(AO$1,generator!$B$2:$B$295,generator!$Q$2:$Q$295,"ARGH")</f>
        <v>9000</v>
      </c>
      <c r="AP28" s="3">
        <f>_xlfn.XLOOKUP(AP$1,generator!$B$2:$B$295,generator!$Q$2:$Q$295,"ARGH")</f>
        <v>9000</v>
      </c>
      <c r="AQ28" s="3">
        <f>_xlfn.XLOOKUP(AQ$1,generator!$B$2:$B$295,generator!$Q$2:$Q$295,"ARGH")</f>
        <v>9000</v>
      </c>
      <c r="AR28" s="3">
        <f>_xlfn.XLOOKUP(AR$1,generator!$B$2:$B$295,generator!$Q$2:$Q$295,"ARGH")</f>
        <v>9000</v>
      </c>
      <c r="AS28" s="3">
        <f>_xlfn.XLOOKUP(AS$1,generator!$B$2:$B$295,generator!$Q$2:$Q$295,"ARGH")</f>
        <v>9000</v>
      </c>
      <c r="AT28" s="3">
        <f>_xlfn.XLOOKUP(AT$1,generator!$B$2:$B$295,generator!$Q$2:$Q$295,"ARGH")</f>
        <v>9000</v>
      </c>
      <c r="AU28" s="3">
        <f>_xlfn.XLOOKUP(AU$1,generator!$B$2:$B$295,generator!$Q$2:$Q$295,"ARGH")</f>
        <v>9000</v>
      </c>
      <c r="AV28" s="3">
        <f>_xlfn.XLOOKUP(AV$1,generator!$B$2:$B$295,generator!$Q$2:$Q$295,"ARGH")</f>
        <v>9000</v>
      </c>
      <c r="AW28" s="3">
        <f>_xlfn.XLOOKUP(AW$1,generator!$B$2:$B$295,generator!$Q$2:$Q$295,"ARGH")</f>
        <v>9000</v>
      </c>
      <c r="AX28" s="3">
        <f>_xlfn.XLOOKUP(AX$1,generator!$B$2:$B$295,generator!$Q$2:$Q$295,"ARGH")</f>
        <v>9000</v>
      </c>
      <c r="AY28" s="3">
        <f>_xlfn.XLOOKUP(AY$1,generator!$B$2:$B$295,generator!$Q$2:$Q$295,"ARGH")</f>
        <v>9000</v>
      </c>
      <c r="AZ28" s="3">
        <f>_xlfn.XLOOKUP(AZ$1,generator!$B$2:$B$295,generator!$Q$2:$Q$295,"ARGH")</f>
        <v>9000</v>
      </c>
      <c r="BA28" s="3">
        <f>_xlfn.XLOOKUP(BA$1,generator!$B$2:$B$295,generator!$Q$2:$Q$295,"ARGH")</f>
        <v>9000</v>
      </c>
      <c r="BB28" s="3">
        <f>_xlfn.XLOOKUP(BB$1,generator!$B$2:$B$295,generator!$Q$2:$Q$295,"ARGH")</f>
        <v>9000</v>
      </c>
      <c r="BC28" s="3">
        <f>_xlfn.XLOOKUP(BC$1,generator!$B$2:$B$295,generator!$Q$2:$Q$295,"ARGH")</f>
        <v>9000</v>
      </c>
      <c r="BD28" s="3">
        <f>_xlfn.XLOOKUP(BD$1,generator!$B$2:$B$295,generator!$Q$2:$Q$295,"ARGH")</f>
        <v>9000</v>
      </c>
      <c r="BE28" s="3">
        <f>_xlfn.XLOOKUP(BE$1,generator!$B$2:$B$295,generator!$Q$2:$Q$295,"ARGH")</f>
        <v>9000</v>
      </c>
      <c r="BF28" s="3">
        <f>_xlfn.XLOOKUP(BF$1,generator!$B$2:$B$295,generator!$Q$2:$Q$295,"ARGH")</f>
        <v>9000</v>
      </c>
      <c r="BG28" s="3">
        <f>_xlfn.XLOOKUP(BG$1,generator!$B$2:$B$295,generator!$Q$2:$Q$295,"ARGH")</f>
        <v>9000</v>
      </c>
      <c r="BH28" s="3">
        <f>_xlfn.XLOOKUP(BH$1,generator!$B$2:$B$295,generator!$Q$2:$Q$295,"ARGH")</f>
        <v>9000</v>
      </c>
      <c r="BI28" s="3">
        <f>_xlfn.XLOOKUP(BI$1,generator!$B$2:$B$295,generator!$Q$2:$Q$295,"ARGH")</f>
        <v>9000</v>
      </c>
      <c r="BJ28" s="3">
        <f>_xlfn.XLOOKUP(BJ$1,generator!$B$2:$B$295,generator!$Q$2:$Q$295,"ARGH")</f>
        <v>9000</v>
      </c>
      <c r="BK28" s="3">
        <f>_xlfn.XLOOKUP(BK$1,generator!$B$2:$B$295,generator!$Q$2:$Q$295,"ARGH")</f>
        <v>9000</v>
      </c>
      <c r="BL28" s="3">
        <f>_xlfn.XLOOKUP(BL$1,generator!$B$2:$B$295,generator!$Q$2:$Q$295,"ARGH")</f>
        <v>9000</v>
      </c>
      <c r="BM28" s="3">
        <f>_xlfn.XLOOKUP(BM$1,generator!$B$2:$B$295,generator!$Q$2:$Q$295,"ARGH")</f>
        <v>9000</v>
      </c>
      <c r="BN28" s="3">
        <f>_xlfn.XLOOKUP(BN$1,generator!$B$2:$B$295,generator!$Q$2:$Q$295,"ARGH")</f>
        <v>9000</v>
      </c>
      <c r="BO28" s="3">
        <f>_xlfn.XLOOKUP(BO$1,generator!$B$2:$B$295,generator!$Q$2:$Q$295,"ARGH")</f>
        <v>9000</v>
      </c>
      <c r="BP28" s="3">
        <f>_xlfn.XLOOKUP(BP$1,generator!$B$2:$B$295,generator!$Q$2:$Q$295,"ARGH")</f>
        <v>9000</v>
      </c>
      <c r="BQ28" s="3">
        <f>_xlfn.XLOOKUP(BQ$1,generator!$B$2:$B$295,generator!$Q$2:$Q$295,"ARGH")</f>
        <v>9000</v>
      </c>
      <c r="BR28" s="3">
        <f>_xlfn.XLOOKUP(BR$1,generator!$B$2:$B$295,generator!$Q$2:$Q$295,"ARGH")</f>
        <v>9000</v>
      </c>
      <c r="BS28" s="3">
        <f>_xlfn.XLOOKUP(BS$1,generator!$B$2:$B$295,generator!$Q$2:$Q$295,"ARGH")</f>
        <v>9000</v>
      </c>
      <c r="BT28" s="3">
        <f>_xlfn.XLOOKUP(BT$1,generator!$B$2:$B$295,generator!$Q$2:$Q$295,"ARGH")</f>
        <v>9000</v>
      </c>
      <c r="BU28" s="3">
        <f>_xlfn.XLOOKUP(BU$1,generator!$B$2:$B$295,generator!$Q$2:$Q$295,"ARGH")</f>
        <v>9000</v>
      </c>
      <c r="BV28" s="3">
        <f>_xlfn.XLOOKUP(BV$1,generator!$B$2:$B$295,generator!$Q$2:$Q$295,"ARGH")</f>
        <v>9000</v>
      </c>
      <c r="BW28" s="3">
        <f>_xlfn.XLOOKUP(BW$1,generator!$B$2:$B$295,generator!$Q$2:$Q$295,"ARGH")</f>
        <v>9000</v>
      </c>
      <c r="BX28" s="3">
        <f>_xlfn.XLOOKUP(BX$1,generator!$B$2:$B$295,generator!$Q$2:$Q$295,"ARGH")</f>
        <v>9000</v>
      </c>
      <c r="BY28" s="3">
        <f>_xlfn.XLOOKUP(BY$1,generator!$B$2:$B$295,generator!$Q$2:$Q$295,"ARGH")</f>
        <v>9000</v>
      </c>
      <c r="BZ28" s="3">
        <f>_xlfn.XLOOKUP(BZ$1,generator!$B$2:$B$295,generator!$Q$2:$Q$295,"ARGH")</f>
        <v>9000</v>
      </c>
      <c r="CA28" s="3">
        <f>_xlfn.XLOOKUP(CA$1,generator!$B$2:$B$295,generator!$Q$2:$Q$295,"ARGH")</f>
        <v>9000</v>
      </c>
      <c r="CB28" s="3">
        <f>_xlfn.XLOOKUP(CB$1,generator!$B$2:$B$295,generator!$Q$2:$Q$295,"ARGH")</f>
        <v>9000</v>
      </c>
      <c r="CC28" s="3">
        <f>_xlfn.XLOOKUP(CC$1,generator!$B$2:$B$295,generator!$Q$2:$Q$295,"ARGH")</f>
        <v>9000</v>
      </c>
      <c r="CD28" s="3">
        <f>_xlfn.XLOOKUP(CD$1,generator!$B$2:$B$295,generator!$Q$2:$Q$295,"ARGH")</f>
        <v>9000</v>
      </c>
      <c r="CE28" s="3">
        <f>_xlfn.XLOOKUP(CE$1,generator!$B$2:$B$295,generator!$Q$2:$Q$295,"ARGH")</f>
        <v>9000</v>
      </c>
      <c r="CF28" s="3">
        <f>_xlfn.XLOOKUP(CF$1,generator!$B$2:$B$295,generator!$Q$2:$Q$295,"ARGH")</f>
        <v>9000</v>
      </c>
      <c r="CG28" s="3">
        <f>_xlfn.XLOOKUP(CG$1,generator!$B$2:$B$295,generator!$Q$2:$Q$295,"ARGH")</f>
        <v>9000</v>
      </c>
      <c r="CH28" s="3">
        <f>_xlfn.XLOOKUP(CH$1,generator!$B$2:$B$295,generator!$Q$2:$Q$295,"ARGH")</f>
        <v>9000</v>
      </c>
      <c r="CI28" s="3">
        <f>_xlfn.XLOOKUP(CI$1,generator!$B$2:$B$295,generator!$Q$2:$Q$295,"ARGH")</f>
        <v>9000</v>
      </c>
      <c r="CJ28" s="3">
        <f>_xlfn.XLOOKUP(CJ$1,generator!$B$2:$B$295,generator!$Q$2:$Q$295,"ARGH")</f>
        <v>9000</v>
      </c>
      <c r="CK28" s="3">
        <f>_xlfn.XLOOKUP(CK$1,generator!$B$2:$B$295,generator!$Q$2:$Q$295,"ARGH")</f>
        <v>9000</v>
      </c>
      <c r="CL28" s="3">
        <f>_xlfn.XLOOKUP(CL$1,generator!$B$2:$B$295,generator!$Q$2:$Q$295,"ARGH")</f>
        <v>9000</v>
      </c>
      <c r="CM28" s="3">
        <f>_xlfn.XLOOKUP(CM$1,generator!$B$2:$B$295,generator!$Q$2:$Q$295,"ARGH")</f>
        <v>9000</v>
      </c>
      <c r="CN28" s="3">
        <f>_xlfn.XLOOKUP(CN$1,generator!$B$2:$B$295,generator!$Q$2:$Q$295,"ARGH")</f>
        <v>9000</v>
      </c>
      <c r="CO28" s="3">
        <f>_xlfn.XLOOKUP(CO$1,generator!$B$2:$B$295,generator!$Q$2:$Q$295,"ARGH")</f>
        <v>9000</v>
      </c>
      <c r="CP28" s="3">
        <f>_xlfn.XLOOKUP(CP$1,generator!$B$2:$B$295,generator!$Q$2:$Q$295,"ARGH")</f>
        <v>9000</v>
      </c>
      <c r="CQ28" s="3">
        <f>_xlfn.XLOOKUP(CQ$1,generator!$B$2:$B$295,generator!$Q$2:$Q$295,"ARGH")</f>
        <v>9000</v>
      </c>
      <c r="CR28" s="3">
        <f>_xlfn.XLOOKUP(CR$1,generator!$B$2:$B$295,generator!$Q$2:$Q$295,"ARGH")</f>
        <v>9000</v>
      </c>
      <c r="CS28" s="3">
        <f>_xlfn.XLOOKUP(CS$1,generator!$B$2:$B$295,generator!$Q$2:$Q$295,"ARGH")</f>
        <v>9000</v>
      </c>
      <c r="CT28" s="3">
        <f>_xlfn.XLOOKUP(CT$1,generator!$B$2:$B$295,generator!$Q$2:$Q$295,"ARGH")</f>
        <v>9000</v>
      </c>
      <c r="CU28" s="3">
        <f>_xlfn.XLOOKUP(CU$1,generator!$B$2:$B$295,generator!$Q$2:$Q$295,"ARGH")</f>
        <v>9000</v>
      </c>
      <c r="CV28" s="3">
        <f>_xlfn.XLOOKUP(CV$1,generator!$B$2:$B$295,generator!$Q$2:$Q$295,"ARGH")</f>
        <v>9000</v>
      </c>
      <c r="CW28" s="3">
        <f>_xlfn.XLOOKUP(CW$1,generator!$B$2:$B$295,generator!$Q$2:$Q$295,"ARGH")</f>
        <v>9000</v>
      </c>
      <c r="CX28" s="3">
        <f>_xlfn.XLOOKUP(CX$1,generator!$B$2:$B$295,generator!$Q$2:$Q$295,"ARGH")</f>
        <v>9000</v>
      </c>
      <c r="CY28" s="3">
        <f>_xlfn.XLOOKUP(CY$1,generator!$B$2:$B$295,generator!$Q$2:$Q$295,"ARGH")</f>
        <v>9000</v>
      </c>
      <c r="CZ28" s="3">
        <f>_xlfn.XLOOKUP(CZ$1,generator!$B$2:$B$295,generator!$Q$2:$Q$295,"ARGH")</f>
        <v>9000</v>
      </c>
      <c r="DA28" s="3">
        <f>_xlfn.XLOOKUP(DA$1,generator!$B$2:$B$295,generator!$Q$2:$Q$295,"ARGH")</f>
        <v>9000</v>
      </c>
      <c r="DB28" s="3">
        <f>_xlfn.XLOOKUP(DB$1,generator!$B$2:$B$295,generator!$Q$2:$Q$295,"ARGH")</f>
        <v>9000</v>
      </c>
      <c r="DC28" s="3">
        <f>_xlfn.XLOOKUP(DC$1,generator!$B$2:$B$295,generator!$Q$2:$Q$295,"ARGH")</f>
        <v>9000</v>
      </c>
      <c r="DD28" s="3">
        <f>_xlfn.XLOOKUP(DD$1,generator!$B$2:$B$295,generator!$Q$2:$Q$295,"ARGH")</f>
        <v>9000</v>
      </c>
      <c r="DE28" s="3">
        <f>_xlfn.XLOOKUP(DE$1,generator!$B$2:$B$295,generator!$Q$2:$Q$295,"ARGH")</f>
        <v>9000</v>
      </c>
      <c r="DF28" s="3">
        <f>_xlfn.XLOOKUP(DF$1,generator!$B$2:$B$295,generator!$Q$2:$Q$295,"ARGH")</f>
        <v>9000</v>
      </c>
      <c r="DG28" s="3">
        <f>_xlfn.XLOOKUP(DG$1,generator!$B$2:$B$295,generator!$Q$2:$Q$295,"ARGH")</f>
        <v>9000</v>
      </c>
      <c r="DH28" s="3">
        <f>_xlfn.XLOOKUP(DH$1,generator!$B$2:$B$295,generator!$Q$2:$Q$295,"ARGH")</f>
        <v>9000</v>
      </c>
      <c r="DI28" s="3">
        <f>_xlfn.XLOOKUP(DI$1,generator!$B$2:$B$295,generator!$Q$2:$Q$295,"ARGH")</f>
        <v>9000</v>
      </c>
      <c r="DJ28" s="3">
        <f>_xlfn.XLOOKUP(DJ$1,generator!$B$2:$B$295,generator!$Q$2:$Q$295,"ARGH")</f>
        <v>9000</v>
      </c>
      <c r="DK28" s="3">
        <f>_xlfn.XLOOKUP(DK$1,generator!$B$2:$B$295,generator!$Q$2:$Q$295,"ARGH")</f>
        <v>9000</v>
      </c>
      <c r="DL28" s="3">
        <f>_xlfn.XLOOKUP(DL$1,generator!$B$2:$B$295,generator!$Q$2:$Q$295,"ARGH")</f>
        <v>9000</v>
      </c>
      <c r="DM28" s="3">
        <f>_xlfn.XLOOKUP(DM$1,generator!$B$2:$B$295,generator!$Q$2:$Q$295,"ARGH")</f>
        <v>9000</v>
      </c>
      <c r="DN28" s="3">
        <f>_xlfn.XLOOKUP(DN$1,generator!$B$2:$B$295,generator!$Q$2:$Q$295,"ARGH")</f>
        <v>9000</v>
      </c>
      <c r="DO28" s="3">
        <f>_xlfn.XLOOKUP(DO$1,generator!$B$2:$B$295,generator!$Q$2:$Q$295,"ARGH")</f>
        <v>9000</v>
      </c>
      <c r="DP28" s="3">
        <f>_xlfn.XLOOKUP(DP$1,generator!$B$2:$B$295,generator!$Q$2:$Q$295,"ARGH")</f>
        <v>9000</v>
      </c>
      <c r="DQ28" s="3">
        <f>_xlfn.XLOOKUP(DQ$1,generator!$B$2:$B$295,generator!$Q$2:$Q$295,"ARGH")</f>
        <v>9000</v>
      </c>
      <c r="DR28" s="3">
        <f>_xlfn.XLOOKUP(DR$1,generator!$B$2:$B$295,generator!$Q$2:$Q$295,"ARGH")</f>
        <v>9000</v>
      </c>
      <c r="DS28" s="3">
        <f>_xlfn.XLOOKUP(DS$1,generator!$B$2:$B$295,generator!$Q$2:$Q$295,"ARGH")</f>
        <v>9000</v>
      </c>
      <c r="DT28" s="3">
        <f>_xlfn.XLOOKUP(DT$1,generator!$B$2:$B$295,generator!$Q$2:$Q$295,"ARGH")</f>
        <v>9000</v>
      </c>
      <c r="DU28" s="3">
        <f>_xlfn.XLOOKUP(DU$1,generator!$B$2:$B$295,generator!$Q$2:$Q$295,"ARGH")</f>
        <v>9000</v>
      </c>
      <c r="DV28" s="3">
        <f>_xlfn.XLOOKUP(DV$1,generator!$B$2:$B$295,generator!$Q$2:$Q$295,"ARGH")</f>
        <v>9000</v>
      </c>
      <c r="DW28" s="3">
        <f>_xlfn.XLOOKUP(DW$1,generator!$B$2:$B$295,generator!$Q$2:$Q$295,"ARGH")</f>
        <v>9000</v>
      </c>
      <c r="DX28" s="3">
        <f>_xlfn.XLOOKUP(DX$1,generator!$B$2:$B$295,generator!$Q$2:$Q$295,"ARGH")</f>
        <v>9000</v>
      </c>
      <c r="DY28" s="3">
        <f>_xlfn.XLOOKUP(DY$1,generator!$B$2:$B$295,generator!$Q$2:$Q$295,"ARGH")</f>
        <v>9000</v>
      </c>
      <c r="DZ28" s="3">
        <f>_xlfn.XLOOKUP(DZ$1,generator!$B$2:$B$295,generator!$Q$2:$Q$295,"ARGH")</f>
        <v>9000</v>
      </c>
      <c r="EA28" s="3">
        <f>_xlfn.XLOOKUP(EA$1,generator!$B$2:$B$295,generator!$Q$2:$Q$295,"ARGH")</f>
        <v>9000</v>
      </c>
      <c r="EB28" s="3">
        <f>_xlfn.XLOOKUP(EB$1,generator!$B$2:$B$295,generator!$Q$2:$Q$295,"ARGH")</f>
        <v>9000</v>
      </c>
      <c r="EC28" s="3">
        <f>_xlfn.XLOOKUP(EC$1,generator!$B$2:$B$295,generator!$Q$2:$Q$295,"ARGH")</f>
        <v>9000</v>
      </c>
      <c r="ED28" s="3">
        <f>_xlfn.XLOOKUP(ED$1,generator!$B$2:$B$295,generator!$Q$2:$Q$295,"ARGH")</f>
        <v>9000</v>
      </c>
      <c r="EE28" s="3">
        <f>_xlfn.XLOOKUP(EE$1,generator!$B$2:$B$295,generator!$Q$2:$Q$295,"ARGH")</f>
        <v>9000</v>
      </c>
      <c r="EF28" s="3">
        <f>_xlfn.XLOOKUP(EF$1,generator!$B$2:$B$295,generator!$Q$2:$Q$295,"ARGH")</f>
        <v>9000</v>
      </c>
      <c r="EG28" s="3">
        <f>_xlfn.XLOOKUP(EG$1,generator!$B$2:$B$295,generator!$Q$2:$Q$295,"ARGH")</f>
        <v>9000</v>
      </c>
      <c r="EH28" s="3">
        <f>_xlfn.XLOOKUP(EH$1,generator!$B$2:$B$295,generator!$Q$2:$Q$295,"ARGH")</f>
        <v>9000</v>
      </c>
      <c r="EI28" s="3">
        <f>_xlfn.XLOOKUP(EI$1,generator!$B$2:$B$295,generator!$Q$2:$Q$295,"ARGH")</f>
        <v>9000</v>
      </c>
      <c r="EJ28" s="3">
        <f>_xlfn.XLOOKUP(EJ$1,generator!$B$2:$B$295,generator!$Q$2:$Q$295,"ARGH")</f>
        <v>9000</v>
      </c>
      <c r="EK28" s="3">
        <f>_xlfn.XLOOKUP(EK$1,generator!$B$2:$B$295,generator!$Q$2:$Q$295,"ARGH")</f>
        <v>9000</v>
      </c>
      <c r="EL28" s="3">
        <f>_xlfn.XLOOKUP(EL$1,generator!$B$2:$B$295,generator!$Q$2:$Q$295,"ARGH")</f>
        <v>9000</v>
      </c>
      <c r="EM28" s="3">
        <f>_xlfn.XLOOKUP(EM$1,generator!$B$2:$B$295,generator!$Q$2:$Q$295,"ARGH")</f>
        <v>9000</v>
      </c>
      <c r="EN28" s="3">
        <f>_xlfn.XLOOKUP(EN$1,generator!$B$2:$B$295,generator!$Q$2:$Q$295,"ARGH")</f>
        <v>9000</v>
      </c>
      <c r="EO28" s="3">
        <f>_xlfn.XLOOKUP(EO$1,generator!$B$2:$B$295,generator!$Q$2:$Q$295,"ARGH")</f>
        <v>9000</v>
      </c>
      <c r="EP28" s="3">
        <f>_xlfn.XLOOKUP(EP$1,generator!$B$2:$B$295,generator!$Q$2:$Q$295,"ARGH")</f>
        <v>9000</v>
      </c>
      <c r="EQ28" s="3">
        <f>_xlfn.XLOOKUP(EQ$1,generator!$B$2:$B$295,generator!$Q$2:$Q$295,"ARGH")</f>
        <v>9000</v>
      </c>
      <c r="ER28" s="3">
        <f>_xlfn.XLOOKUP(ER$1,generator!$B$2:$B$295,generator!$Q$2:$Q$295,"ARGH")</f>
        <v>9000</v>
      </c>
      <c r="ES28" s="3">
        <f>_xlfn.XLOOKUP(ES$1,generator!$B$2:$B$295,generator!$Q$2:$Q$295,"ARGH")</f>
        <v>9000</v>
      </c>
      <c r="ET28" s="3">
        <f>_xlfn.XLOOKUP(ET$1,generator!$B$2:$B$295,generator!$Q$2:$Q$295,"ARGH")</f>
        <v>9000</v>
      </c>
      <c r="EU28" s="3">
        <f>_xlfn.XLOOKUP(EU$1,generator!$B$2:$B$295,generator!$Q$2:$Q$295,"ARGH")</f>
        <v>9000</v>
      </c>
      <c r="EV28" s="3">
        <f>_xlfn.XLOOKUP(EV$1,generator!$B$2:$B$295,generator!$Q$2:$Q$295,"ARGH")</f>
        <v>9000</v>
      </c>
      <c r="EW28" s="3">
        <f>_xlfn.XLOOKUP(EW$1,generator!$B$2:$B$295,generator!$Q$2:$Q$295,"ARGH")</f>
        <v>9000</v>
      </c>
      <c r="EX28" s="3">
        <f>_xlfn.XLOOKUP(EX$1,generator!$B$2:$B$295,generator!$Q$2:$Q$295,"ARGH")</f>
        <v>9000</v>
      </c>
      <c r="EY28" s="3">
        <f>_xlfn.XLOOKUP(EY$1,generator!$B$2:$B$295,generator!$Q$2:$Q$295,"ARGH")</f>
        <v>9000</v>
      </c>
      <c r="EZ28" s="3">
        <f>_xlfn.XLOOKUP(EZ$1,generator!$B$2:$B$295,generator!$Q$2:$Q$295,"ARGH")</f>
        <v>9000</v>
      </c>
      <c r="FA28" s="3">
        <f>_xlfn.XLOOKUP(FA$1,generator!$B$2:$B$295,generator!$Q$2:$Q$295,"ARGH")</f>
        <v>9000</v>
      </c>
      <c r="FB28" s="3">
        <f>_xlfn.XLOOKUP(FB$1,generator!$B$2:$B$295,generator!$Q$2:$Q$295,"ARGH")</f>
        <v>9000</v>
      </c>
      <c r="FC28" s="3">
        <f>_xlfn.XLOOKUP(FC$1,generator!$B$2:$B$295,generator!$Q$2:$Q$295,"ARGH")</f>
        <v>9000</v>
      </c>
      <c r="FD28" s="3">
        <f>_xlfn.XLOOKUP(FD$1,generator!$B$2:$B$295,generator!$Q$2:$Q$295,"ARGH")</f>
        <v>9000</v>
      </c>
      <c r="FE28" s="3">
        <f>_xlfn.XLOOKUP(FE$1,generator!$B$2:$B$295,generator!$Q$2:$Q$295,"ARGH")</f>
        <v>9000</v>
      </c>
      <c r="FF28" s="3">
        <f>_xlfn.XLOOKUP(FF$1,generator!$B$2:$B$295,generator!$Q$2:$Q$295,"ARGH")</f>
        <v>9000</v>
      </c>
      <c r="FG28" s="3">
        <f>_xlfn.XLOOKUP(FG$1,generator!$B$2:$B$295,generator!$Q$2:$Q$295,"ARGH")</f>
        <v>9000</v>
      </c>
      <c r="FH28" s="3">
        <f>_xlfn.XLOOKUP(FH$1,generator!$B$2:$B$295,generator!$Q$2:$Q$295,"ARGH")</f>
        <v>9000</v>
      </c>
      <c r="FI28" s="3">
        <f>_xlfn.XLOOKUP(FI$1,generator!$B$2:$B$295,generator!$Q$2:$Q$295,"ARGH")</f>
        <v>9000</v>
      </c>
      <c r="FJ28" s="3">
        <f>_xlfn.XLOOKUP(FJ$1,generator!$B$2:$B$295,generator!$Q$2:$Q$295,"ARGH")</f>
        <v>9000</v>
      </c>
      <c r="FK28" s="3">
        <f>_xlfn.XLOOKUP(FK$1,generator!$B$2:$B$295,generator!$Q$2:$Q$295,"ARGH")</f>
        <v>9000</v>
      </c>
      <c r="FL28" s="3">
        <f>_xlfn.XLOOKUP(FL$1,generator!$B$2:$B$295,generator!$Q$2:$Q$295,"ARGH")</f>
        <v>9000</v>
      </c>
      <c r="FM28" s="3">
        <f>_xlfn.XLOOKUP(FM$1,generator!$B$2:$B$295,generator!$Q$2:$Q$295,"ARGH")</f>
        <v>9000</v>
      </c>
      <c r="FN28" s="3">
        <f>_xlfn.XLOOKUP(FN$1,generator!$B$2:$B$295,generator!$Q$2:$Q$295,"ARGH")</f>
        <v>9000</v>
      </c>
      <c r="FO28" s="3">
        <f>_xlfn.XLOOKUP(FO$1,generator!$B$2:$B$295,generator!$Q$2:$Q$295,"ARGH")</f>
        <v>9000</v>
      </c>
      <c r="FP28" s="3">
        <f>_xlfn.XLOOKUP(FP$1,generator!$B$2:$B$295,generator!$Q$2:$Q$295,"ARGH")</f>
        <v>9000</v>
      </c>
      <c r="FQ28" s="3">
        <f>_xlfn.XLOOKUP(FQ$1,generator!$B$2:$B$295,generator!$Q$2:$Q$295,"ARGH")</f>
        <v>9000</v>
      </c>
      <c r="FR28" s="3">
        <f>_xlfn.XLOOKUP(FR$1,generator!$B$2:$B$295,generator!$Q$2:$Q$295,"ARGH")</f>
        <v>9000</v>
      </c>
      <c r="FS28" s="3">
        <f>_xlfn.XLOOKUP(FS$1,generator!$B$2:$B$295,generator!$Q$2:$Q$295,"ARGH")</f>
        <v>9000</v>
      </c>
      <c r="FT28" s="3">
        <f>_xlfn.XLOOKUP(FT$1,generator!$B$2:$B$295,generator!$Q$2:$Q$295,"ARGH")</f>
        <v>9000</v>
      </c>
      <c r="FU28" s="3">
        <f>_xlfn.XLOOKUP(FU$1,generator!$B$2:$B$295,generator!$Q$2:$Q$295,"ARGH")</f>
        <v>9000</v>
      </c>
      <c r="FV28" s="3">
        <f>_xlfn.XLOOKUP(FV$1,generator!$B$2:$B$295,generator!$Q$2:$Q$295,"ARGH")</f>
        <v>9000</v>
      </c>
      <c r="FW28" s="3">
        <f>_xlfn.XLOOKUP(FW$1,generator!$B$2:$B$295,generator!$Q$2:$Q$295,"ARGH")</f>
        <v>9000</v>
      </c>
      <c r="FX28" s="3">
        <f>_xlfn.XLOOKUP(FX$1,generator!$B$2:$B$295,generator!$Q$2:$Q$295,"ARGH")</f>
        <v>9000</v>
      </c>
      <c r="FY28" s="3">
        <f>_xlfn.XLOOKUP(FY$1,generator!$B$2:$B$295,generator!$Q$2:$Q$295,"ARGH")</f>
        <v>9000</v>
      </c>
      <c r="FZ28" s="3">
        <f>_xlfn.XLOOKUP(FZ$1,generator!$B$2:$B$295,generator!$Q$2:$Q$295,"ARGH")</f>
        <v>9000</v>
      </c>
      <c r="GA28" s="3">
        <f>_xlfn.XLOOKUP(GA$1,generator!$B$2:$B$295,generator!$Q$2:$Q$295,"ARGH")</f>
        <v>9000</v>
      </c>
      <c r="GB28" s="3">
        <f>_xlfn.XLOOKUP(GB$1,generator!$B$2:$B$295,generator!$Q$2:$Q$295,"ARGH")</f>
        <v>9000</v>
      </c>
      <c r="GC28" s="3">
        <f>_xlfn.XLOOKUP(GC$1,generator!$B$2:$B$295,generator!$Q$2:$Q$295,"ARGH")</f>
        <v>9000</v>
      </c>
      <c r="GD28" s="3">
        <f>_xlfn.XLOOKUP(GD$1,generator!$B$2:$B$295,generator!$Q$2:$Q$295,"ARGH")</f>
        <v>9000</v>
      </c>
      <c r="GE28" s="3">
        <f>_xlfn.XLOOKUP(GE$1,generator!$B$2:$B$295,generator!$Q$2:$Q$295,"ARGH")</f>
        <v>9000</v>
      </c>
      <c r="GF28" s="3">
        <f>_xlfn.XLOOKUP(GF$1,generator!$B$2:$B$295,generator!$Q$2:$Q$295,"ARGH")</f>
        <v>9000</v>
      </c>
      <c r="GG28" s="3">
        <f>_xlfn.XLOOKUP(GG$1,generator!$B$2:$B$295,generator!$Q$2:$Q$295,"ARGH")</f>
        <v>9000</v>
      </c>
      <c r="GH28" s="3">
        <f>_xlfn.XLOOKUP(GH$1,generator!$B$2:$B$295,generator!$Q$2:$Q$295,"ARGH")</f>
        <v>9000</v>
      </c>
      <c r="GI28" s="3">
        <f>_xlfn.XLOOKUP(GI$1,generator!$B$2:$B$295,generator!$Q$2:$Q$295,"ARGH")</f>
        <v>9000</v>
      </c>
      <c r="GJ28" s="3">
        <f>_xlfn.XLOOKUP(GJ$1,generator!$B$2:$B$295,generator!$Q$2:$Q$295,"ARGH")</f>
        <v>9000</v>
      </c>
      <c r="GK28" s="3">
        <f>_xlfn.XLOOKUP(GK$1,generator!$B$2:$B$295,generator!$Q$2:$Q$295,"ARGH")</f>
        <v>9000</v>
      </c>
      <c r="GL28" s="3">
        <f>_xlfn.XLOOKUP(GL$1,generator!$B$2:$B$295,generator!$Q$2:$Q$295,"ARGH")</f>
        <v>9000</v>
      </c>
      <c r="GM28" s="3">
        <f>_xlfn.XLOOKUP(GM$1,generator!$B$2:$B$295,generator!$Q$2:$Q$295,"ARGH")</f>
        <v>9000</v>
      </c>
      <c r="GN28" s="3">
        <f>_xlfn.XLOOKUP(GN$1,generator!$B$2:$B$295,generator!$Q$2:$Q$295,"ARGH")</f>
        <v>9000</v>
      </c>
      <c r="GO28" s="3">
        <f>_xlfn.XLOOKUP(GO$1,generator!$B$2:$B$295,generator!$Q$2:$Q$295,"ARGH")</f>
        <v>9000</v>
      </c>
      <c r="GP28" s="3">
        <f>_xlfn.XLOOKUP(GP$1,generator!$B$2:$B$295,generator!$Q$2:$Q$295,"ARGH")</f>
        <v>9000</v>
      </c>
      <c r="GQ28" s="3">
        <f>_xlfn.XLOOKUP(GQ$1,generator!$B$2:$B$295,generator!$Q$2:$Q$295,"ARGH")</f>
        <v>9000</v>
      </c>
      <c r="GR28" s="3">
        <f>_xlfn.XLOOKUP(GR$1,generator!$B$2:$B$295,generator!$Q$2:$Q$295,"ARGH")</f>
        <v>9000</v>
      </c>
      <c r="GS28" s="3">
        <f>_xlfn.XLOOKUP(GS$1,generator!$B$2:$B$295,generator!$Q$2:$Q$295,"ARGH")</f>
        <v>9000</v>
      </c>
      <c r="GT28" s="3">
        <f>_xlfn.XLOOKUP(GT$1,generator!$B$2:$B$295,generator!$Q$2:$Q$295,"ARGH")</f>
        <v>9000</v>
      </c>
      <c r="GU28" s="3">
        <f>_xlfn.XLOOKUP(GU$1,generator!$B$2:$B$295,generator!$Q$2:$Q$295,"ARGH")</f>
        <v>9000</v>
      </c>
      <c r="GV28" s="3">
        <f>_xlfn.XLOOKUP(GV$1,generator!$B$2:$B$295,generator!$Q$2:$Q$295,"ARGH")</f>
        <v>9000</v>
      </c>
      <c r="GW28" s="3">
        <f>_xlfn.XLOOKUP(GW$1,generator!$B$2:$B$295,generator!$Q$2:$Q$295,"ARGH")</f>
        <v>9000</v>
      </c>
      <c r="GX28" s="3">
        <f>_xlfn.XLOOKUP(GX$1,generator!$B$2:$B$295,generator!$Q$2:$Q$295,"ARGH")</f>
        <v>9000</v>
      </c>
      <c r="GY28" s="3">
        <f>_xlfn.XLOOKUP(GY$1,generator!$B$2:$B$295,generator!$Q$2:$Q$295,"ARGH")</f>
        <v>9000</v>
      </c>
      <c r="GZ28" s="3">
        <f>_xlfn.XLOOKUP(GZ$1,generator!$B$2:$B$295,generator!$Q$2:$Q$295,"ARGH")</f>
        <v>9000</v>
      </c>
      <c r="HA28" s="3">
        <f>_xlfn.XLOOKUP(HA$1,generator!$B$2:$B$295,generator!$Q$2:$Q$295,"ARGH")</f>
        <v>9000</v>
      </c>
      <c r="HB28" s="3">
        <f>_xlfn.XLOOKUP(HB$1,generator!$B$2:$B$295,generator!$Q$2:$Q$295,"ARGH")</f>
        <v>9000</v>
      </c>
      <c r="HC28" s="3">
        <f>_xlfn.XLOOKUP(HC$1,generator!$B$2:$B$295,generator!$Q$2:$Q$295,"ARGH")</f>
        <v>9000</v>
      </c>
      <c r="HD28" s="3">
        <f>_xlfn.XLOOKUP(HD$1,generator!$B$2:$B$295,generator!$Q$2:$Q$295,"ARGH")</f>
        <v>9000</v>
      </c>
      <c r="HE28" s="3">
        <f>_xlfn.XLOOKUP(HE$1,generator!$B$2:$B$295,generator!$Q$2:$Q$295,"ARGH")</f>
        <v>8000</v>
      </c>
      <c r="HF28" s="3" t="str">
        <f>_xlfn.XLOOKUP(HF$1,generator!$B$2:$B$295,generator!$Q$2:$Q$295,"ARGH")</f>
        <v>143</v>
      </c>
      <c r="HG28" s="3" t="str">
        <f>_xlfn.XLOOKUP(HG$1,generator!$B$2:$B$295,generator!$Q$2:$Q$295,"ARGH")</f>
        <v>143</v>
      </c>
      <c r="HH28" s="3" t="str">
        <f>_xlfn.XLOOKUP(HH$1,generator!$B$2:$B$295,generator!$Q$2:$Q$295,"ARGH")</f>
        <v>143</v>
      </c>
      <c r="HI28" s="3" t="str">
        <f>_xlfn.XLOOKUP(HI$1,generator!$B$2:$B$295,generator!$Q$2:$Q$295,"ARGH")</f>
        <v>246.74</v>
      </c>
      <c r="HJ28" s="3" t="str">
        <f>_xlfn.XLOOKUP(HJ$1,generator!$B$2:$B$295,generator!$Q$2:$Q$295,"ARGH")</f>
        <v>246.74</v>
      </c>
      <c r="HK28" s="3" t="str">
        <f>_xlfn.XLOOKUP(HK$1,generator!$B$2:$B$295,generator!$Q$2:$Q$295,"ARGH")</f>
        <v>206.04</v>
      </c>
      <c r="HL28" s="3" t="str">
        <f>_xlfn.XLOOKUP(HL$1,generator!$B$2:$B$295,generator!$Q$2:$Q$295,"ARGH")</f>
        <v>506.96</v>
      </c>
      <c r="HM28" s="3" t="str">
        <f>_xlfn.XLOOKUP(HM$1,generator!$B$2:$B$295,generator!$Q$2:$Q$295,"ARGH")</f>
        <v>506.95</v>
      </c>
      <c r="HN28" s="3" t="str">
        <f>_xlfn.XLOOKUP(HN$1,generator!$B$2:$B$295,generator!$Q$2:$Q$295,"ARGH")</f>
        <v>190.97</v>
      </c>
      <c r="HO28" s="3" t="str">
        <f>_xlfn.XLOOKUP(HO$1,generator!$B$2:$B$295,generator!$Q$2:$Q$295,"ARGH")</f>
        <v>190.97</v>
      </c>
      <c r="HP28" s="3" t="str">
        <f>_xlfn.XLOOKUP(HP$1,generator!$B$2:$B$295,generator!$Q$2:$Q$295,"ARGH")</f>
        <v>424.84</v>
      </c>
      <c r="HQ28" s="3" t="str">
        <f>_xlfn.XLOOKUP(HQ$1,generator!$B$2:$B$295,generator!$Q$2:$Q$295,"ARGH")</f>
        <v>425.9</v>
      </c>
      <c r="HR28" s="3" t="str">
        <f>_xlfn.XLOOKUP(HR$1,generator!$B$2:$B$295,generator!$Q$2:$Q$295,"ARGH")</f>
        <v>425.9</v>
      </c>
      <c r="HS28" s="3" t="str">
        <f>_xlfn.XLOOKUP(HS$1,generator!$B$2:$B$295,generator!$Q$2:$Q$295,"ARGH")</f>
        <v>196.54</v>
      </c>
      <c r="HT28" s="3" t="str">
        <f>_xlfn.XLOOKUP(HT$1,generator!$B$2:$B$295,generator!$Q$2:$Q$295,"ARGH")</f>
        <v>196.54</v>
      </c>
      <c r="HU28" s="3" t="str">
        <f>_xlfn.XLOOKUP(HU$1,generator!$B$2:$B$295,generator!$Q$2:$Q$295,"ARGH")</f>
        <v>145.57</v>
      </c>
      <c r="HV28" s="3" t="str">
        <f>_xlfn.XLOOKUP(HV$1,generator!$B$2:$B$295,generator!$Q$2:$Q$295,"ARGH")</f>
        <v>132.62</v>
      </c>
      <c r="HW28" s="3" t="str">
        <f>_xlfn.XLOOKUP(HW$1,generator!$B$2:$B$295,generator!$Q$2:$Q$295,"ARGH")</f>
        <v>193.76</v>
      </c>
      <c r="HX28" s="3" t="str">
        <f>_xlfn.XLOOKUP(HX$1,generator!$B$2:$B$295,generator!$Q$2:$Q$295,"ARGH")</f>
        <v>193.76</v>
      </c>
      <c r="HY28" s="3" t="str">
        <f>_xlfn.XLOOKUP(HY$1,generator!$B$2:$B$295,generator!$Q$2:$Q$295,"ARGH")</f>
        <v>79.19</v>
      </c>
      <c r="HZ28" s="3" t="str">
        <f>_xlfn.XLOOKUP(HZ$1,generator!$B$2:$B$295,generator!$Q$2:$Q$295,"ARGH")</f>
        <v>125.79</v>
      </c>
      <c r="IA28" s="3" t="str">
        <f>_xlfn.XLOOKUP(IA$1,generator!$B$2:$B$295,generator!$Q$2:$Q$295,"ARGH")</f>
        <v>54.19</v>
      </c>
      <c r="IB28" s="3" t="str">
        <f>_xlfn.XLOOKUP(IB$1,generator!$B$2:$B$295,generator!$Q$2:$Q$295,"ARGH")</f>
        <v>59.7</v>
      </c>
      <c r="IC28" s="3">
        <f>_xlfn.XLOOKUP(IC$1,generator!$B$2:$B$295,generator!$Q$2:$Q$295,"ARGH")</f>
        <v>0</v>
      </c>
      <c r="ID28" s="3" t="str">
        <f>_xlfn.XLOOKUP(ID$1,generator!$B$2:$B$295,generator!$Q$2:$Q$295,"ARGH")</f>
        <v>121.14</v>
      </c>
      <c r="IE28" s="3" t="str">
        <f>_xlfn.XLOOKUP(IE$1,generator!$B$2:$B$295,generator!$Q$2:$Q$295,"ARGH")</f>
        <v>26.6</v>
      </c>
      <c r="IF28" s="3">
        <f>_xlfn.XLOOKUP(IF$1,generator!$B$2:$B$295,generator!$Q$2:$Q$295,"ARGH")</f>
        <v>8000</v>
      </c>
      <c r="IG28" s="3">
        <f>_xlfn.XLOOKUP(IG$1,generator!$B$2:$B$295,generator!$Q$2:$Q$295,"ARGH")</f>
        <v>8000</v>
      </c>
      <c r="IH28" s="3">
        <f>_xlfn.XLOOKUP(IH$1,generator!$B$2:$B$295,generator!$Q$2:$Q$295,"ARGH")</f>
        <v>8000</v>
      </c>
      <c r="II28" s="3">
        <f>_xlfn.XLOOKUP(II$1,generator!$B$2:$B$295,generator!$Q$2:$Q$295,"ARGH")</f>
        <v>8000</v>
      </c>
      <c r="IJ28" s="3">
        <f>_xlfn.XLOOKUP(IJ$1,generator!$B$2:$B$295,generator!$Q$2:$Q$295,"ARGH")</f>
        <v>8000</v>
      </c>
      <c r="IK28" s="3">
        <f>_xlfn.XLOOKUP(IK$1,generator!$B$2:$B$295,generator!$Q$2:$Q$295,"ARGH")</f>
        <v>8000</v>
      </c>
      <c r="IL28" s="3">
        <f>_xlfn.XLOOKUP(IL$1,generator!$B$2:$B$295,generator!$Q$2:$Q$295,"ARGH")</f>
        <v>8000</v>
      </c>
      <c r="IM28" s="3">
        <f>_xlfn.XLOOKUP(IM$1,generator!$B$2:$B$295,generator!$Q$2:$Q$295,"ARGH")</f>
        <v>8000</v>
      </c>
      <c r="IN28" s="3">
        <f>_xlfn.XLOOKUP(IN$1,generator!$B$2:$B$295,generator!$Q$2:$Q$295,"ARGH")</f>
        <v>8000</v>
      </c>
      <c r="IO28" s="3">
        <f>_xlfn.XLOOKUP(IO$1,generator!$B$2:$B$295,generator!$Q$2:$Q$295,"ARGH")</f>
        <v>8000</v>
      </c>
      <c r="IP28" s="3">
        <f>_xlfn.XLOOKUP(IP$1,generator!$B$2:$B$295,generator!$Q$2:$Q$295,"ARGH")</f>
        <v>8000</v>
      </c>
      <c r="IQ28" s="3">
        <f>_xlfn.XLOOKUP(IQ$1,generator!$B$2:$B$295,generator!$Q$2:$Q$295,"ARGH")</f>
        <v>8000</v>
      </c>
      <c r="IR28" s="3">
        <f>_xlfn.XLOOKUP(IR$1,generator!$B$2:$B$295,generator!$Q$2:$Q$295,"ARGH")</f>
        <v>8000</v>
      </c>
      <c r="IS28" s="3">
        <f>_xlfn.XLOOKUP(IS$1,generator!$B$2:$B$295,generator!$Q$2:$Q$295,"ARGH")</f>
        <v>8000</v>
      </c>
      <c r="IT28" s="3">
        <f>_xlfn.XLOOKUP(IT$1,generator!$B$2:$B$295,generator!$Q$2:$Q$295,"ARGH")</f>
        <v>8000</v>
      </c>
      <c r="IU28" s="3">
        <f>_xlfn.XLOOKUP(IU$1,generator!$B$2:$B$295,generator!$Q$2:$Q$295,"ARGH")</f>
        <v>8000</v>
      </c>
      <c r="IV28" s="3">
        <f>_xlfn.XLOOKUP(IV$1,generator!$B$2:$B$295,generator!$Q$2:$Q$295,"ARGH")</f>
        <v>8000</v>
      </c>
      <c r="IW28" s="3" t="str">
        <f>_xlfn.XLOOKUP(IW$1,generator!$B$2:$B$295,generator!$Q$2:$Q$295,"ARGH")</f>
        <v>108.19</v>
      </c>
      <c r="IX28" s="3" t="str">
        <f>_xlfn.XLOOKUP(IX$1,generator!$B$2:$B$295,generator!$Q$2:$Q$295,"ARGH")</f>
        <v>108.18</v>
      </c>
      <c r="IY28" s="3" t="str">
        <f>_xlfn.XLOOKUP(IY$1,generator!$B$2:$B$295,generator!$Q$2:$Q$295,"ARGH")</f>
        <v>108.17</v>
      </c>
      <c r="IZ28" s="3" t="str">
        <f>_xlfn.XLOOKUP(IZ$1,generator!$B$2:$B$295,generator!$Q$2:$Q$295,"ARGH")</f>
        <v>40.96</v>
      </c>
      <c r="JA28" s="3">
        <f>_xlfn.XLOOKUP(JA$1,generator!$B$2:$B$295,generator!$Q$2:$Q$295,"ARGH")</f>
        <v>0</v>
      </c>
      <c r="JB28" s="3">
        <f>_xlfn.XLOOKUP(JB$1,generator!$B$2:$B$295,generator!$Q$2:$Q$295,"ARGH")</f>
        <v>0</v>
      </c>
      <c r="JC28" s="3" t="str">
        <f>_xlfn.XLOOKUP(JC$1,generator!$B$2:$B$295,generator!$Q$2:$Q$295,"ARGH")</f>
        <v>75.91</v>
      </c>
      <c r="JD28" s="3" t="str">
        <f>_xlfn.XLOOKUP(JD$1,generator!$B$2:$B$295,generator!$Q$2:$Q$295,"ARGH")</f>
        <v>75.91</v>
      </c>
      <c r="JE28" s="3" t="str">
        <f>_xlfn.XLOOKUP(JE$1,generator!$B$2:$B$295,generator!$Q$2:$Q$295,"ARGH")</f>
        <v>51.59</v>
      </c>
      <c r="JF28" s="3" t="str">
        <f>_xlfn.XLOOKUP(JF$1,generator!$B$2:$B$295,generator!$Q$2:$Q$295,"ARGH")</f>
        <v>111.57</v>
      </c>
      <c r="JG28" s="3">
        <f>_xlfn.XLOOKUP(JG$1,generator!$B$2:$B$295,generator!$Q$2:$Q$295,"ARGH")</f>
        <v>0</v>
      </c>
      <c r="JH28" s="3" t="str">
        <f>_xlfn.XLOOKUP(JH$1,generator!$B$2:$B$295,generator!$Q$2:$Q$295,"ARGH")</f>
        <v>48.65</v>
      </c>
      <c r="JI28" s="3" t="str">
        <f>_xlfn.XLOOKUP(JI$1,generator!$B$2:$B$295,generator!$Q$2:$Q$295,"ARGH")</f>
        <v>71.88</v>
      </c>
      <c r="JJ28" s="3" t="str">
        <f>_xlfn.XLOOKUP(JJ$1,generator!$B$2:$B$295,generator!$Q$2:$Q$295,"ARGH")</f>
        <v>98.17</v>
      </c>
      <c r="JK28" s="3" t="str">
        <f>_xlfn.XLOOKUP(JK$1,generator!$B$2:$B$295,generator!$Q$2:$Q$295,"ARGH")</f>
        <v>98.17</v>
      </c>
      <c r="JL28" s="3" t="str">
        <f>_xlfn.XLOOKUP(JL$1,generator!$B$2:$B$295,generator!$Q$2:$Q$295,"ARGH")</f>
        <v>98.17</v>
      </c>
      <c r="JM28" s="3" t="str">
        <f>_xlfn.XLOOKUP(JM$1,generator!$B$2:$B$295,generator!$Q$2:$Q$295,"ARGH")</f>
        <v>98.17</v>
      </c>
      <c r="JN28" s="3" t="str">
        <f>_xlfn.XLOOKUP(JN$1,generator!$B$2:$B$295,generator!$Q$2:$Q$295,"ARGH")</f>
        <v>98.17</v>
      </c>
      <c r="JO28" s="3" t="str">
        <f>_xlfn.XLOOKUP(JO$1,generator!$B$2:$B$295,generator!$Q$2:$Q$295,"ARGH")</f>
        <v>98.17</v>
      </c>
      <c r="JP28" s="3" t="str">
        <f>_xlfn.XLOOKUP(JP$1,generator!$B$2:$B$295,generator!$Q$2:$Q$295,"ARGH")</f>
        <v>47.53</v>
      </c>
      <c r="JQ28" s="3" t="str">
        <f>_xlfn.XLOOKUP(JQ$1,generator!$B$2:$B$295,generator!$Q$2:$Q$295,"ARGH")</f>
        <v>108.86</v>
      </c>
      <c r="JR28" s="3" t="str">
        <f>_xlfn.XLOOKUP(JR$1,generator!$B$2:$B$295,generator!$Q$2:$Q$295,"ARGH")</f>
        <v>83.15</v>
      </c>
      <c r="JS28" s="3" t="str">
        <f>_xlfn.XLOOKUP(JS$1,generator!$B$2:$B$295,generator!$Q$2:$Q$295,"ARGH")</f>
        <v>83.15</v>
      </c>
      <c r="JT28" s="3" t="str">
        <f>_xlfn.XLOOKUP(JT$1,generator!$B$2:$B$295,generator!$Q$2:$Q$295,"ARGH")</f>
        <v>108.86</v>
      </c>
      <c r="JU28" s="3">
        <f>_xlfn.XLOOKUP(JU$1,generator!$B$2:$B$295,generator!$Q$2:$Q$295,"ARGH")</f>
        <v>0</v>
      </c>
      <c r="JV28" s="3" t="str">
        <f>_xlfn.XLOOKUP(JV$1,generator!$B$2:$B$295,generator!$Q$2:$Q$295,"ARGH")</f>
        <v>77.63</v>
      </c>
      <c r="JW28" s="3" t="str">
        <f>_xlfn.XLOOKUP(JW$1,generator!$B$2:$B$295,generator!$Q$2:$Q$295,"ARGH")</f>
        <v>77.64</v>
      </c>
      <c r="JX28" s="3" t="str">
        <f>_xlfn.XLOOKUP(JX$1,generator!$B$2:$B$295,generator!$Q$2:$Q$295,"ARGH")</f>
        <v>331.49</v>
      </c>
      <c r="JY28" s="3">
        <f>_xlfn.XLOOKUP(JY$1,generator!$B$2:$B$295,generator!$Q$2:$Q$295,"ARGH")</f>
        <v>7000</v>
      </c>
      <c r="JZ28" s="3">
        <f>_xlfn.XLOOKUP(JZ$1,generator!$B$2:$B$295,generator!$Q$2:$Q$295,"ARGH")</f>
        <v>0</v>
      </c>
      <c r="KA28" s="3">
        <f>_xlfn.XLOOKUP(KA$1,generator!$B$2:$B$295,generator!$Q$2:$Q$295,"ARGH")</f>
        <v>0</v>
      </c>
      <c r="KB28" s="3">
        <f>_xlfn.XLOOKUP(KB$1,generator!$B$2:$B$295,generator!$Q$2:$Q$295,"ARGH")</f>
        <v>0</v>
      </c>
      <c r="KC28" s="3">
        <f>_xlfn.XLOOKUP(KC$1,generator!$B$2:$B$295,generator!$Q$2:$Q$295,"ARGH")</f>
        <v>0</v>
      </c>
    </row>
    <row r="29" spans="1:289" x14ac:dyDescent="0.3">
      <c r="A29" s="4" t="s">
        <v>3024</v>
      </c>
      <c r="B29" s="3">
        <v>15000</v>
      </c>
      <c r="C29" s="3">
        <v>15000</v>
      </c>
      <c r="D29" s="3">
        <v>15000</v>
      </c>
      <c r="E29" s="3">
        <f>_xlfn.XLOOKUP(E$1,generator!$B$2:$B$295,generator!$Q$2:$Q$295,"ARGH")</f>
        <v>9000</v>
      </c>
      <c r="F29" s="3">
        <f>_xlfn.XLOOKUP(F$1,generator!$B$2:$B$295,generator!$Q$2:$Q$295,"ARGH")</f>
        <v>9000</v>
      </c>
      <c r="G29" s="3">
        <f>_xlfn.XLOOKUP(G$1,generator!$B$2:$B$295,generator!$Q$2:$Q$295,"ARGH")</f>
        <v>9000</v>
      </c>
      <c r="H29" s="3">
        <f>_xlfn.XLOOKUP(H$1,generator!$B$2:$B$295,generator!$Q$2:$Q$295,"ARGH")</f>
        <v>9000</v>
      </c>
      <c r="I29" s="3">
        <f>_xlfn.XLOOKUP(I$1,generator!$B$2:$B$295,generator!$Q$2:$Q$295,"ARGH")</f>
        <v>9000</v>
      </c>
      <c r="J29" s="3">
        <f>_xlfn.XLOOKUP(J$1,generator!$B$2:$B$295,generator!$Q$2:$Q$295,"ARGH")</f>
        <v>9000</v>
      </c>
      <c r="K29" s="3">
        <f>_xlfn.XLOOKUP(K$1,generator!$B$2:$B$295,generator!$Q$2:$Q$295,"ARGH")</f>
        <v>9000</v>
      </c>
      <c r="L29" s="3">
        <f>_xlfn.XLOOKUP(L$1,generator!$B$2:$B$295,generator!$Q$2:$Q$295,"ARGH")</f>
        <v>9000</v>
      </c>
      <c r="M29" s="3">
        <f>_xlfn.XLOOKUP(M$1,generator!$B$2:$B$295,generator!$Q$2:$Q$295,"ARGH")</f>
        <v>9000</v>
      </c>
      <c r="N29" s="3">
        <f>_xlfn.XLOOKUP(N$1,generator!$B$2:$B$295,generator!$Q$2:$Q$295,"ARGH")</f>
        <v>9000</v>
      </c>
      <c r="O29" s="3">
        <f>_xlfn.XLOOKUP(O$1,generator!$B$2:$B$295,generator!$Q$2:$Q$295,"ARGH")</f>
        <v>9000</v>
      </c>
      <c r="P29" s="3">
        <f>_xlfn.XLOOKUP(P$1,generator!$B$2:$B$295,generator!$Q$2:$Q$295,"ARGH")</f>
        <v>9000</v>
      </c>
      <c r="Q29" s="3">
        <f>_xlfn.XLOOKUP(Q$1,generator!$B$2:$B$295,generator!$Q$2:$Q$295,"ARGH")</f>
        <v>9000</v>
      </c>
      <c r="R29" s="3">
        <f>_xlfn.XLOOKUP(R$1,generator!$B$2:$B$295,generator!$Q$2:$Q$295,"ARGH")</f>
        <v>9000</v>
      </c>
      <c r="S29" s="3">
        <f>_xlfn.XLOOKUP(S$1,generator!$B$2:$B$295,generator!$Q$2:$Q$295,"ARGH")</f>
        <v>9000</v>
      </c>
      <c r="T29" s="3">
        <f>_xlfn.XLOOKUP(T$1,generator!$B$2:$B$295,generator!$Q$2:$Q$295,"ARGH")</f>
        <v>9000</v>
      </c>
      <c r="U29" s="3">
        <f>_xlfn.XLOOKUP(U$1,generator!$B$2:$B$295,generator!$Q$2:$Q$295,"ARGH")</f>
        <v>9000</v>
      </c>
      <c r="V29" s="3">
        <f>_xlfn.XLOOKUP(V$1,generator!$B$2:$B$295,generator!$Q$2:$Q$295,"ARGH")</f>
        <v>9000</v>
      </c>
      <c r="W29" s="3">
        <f>_xlfn.XLOOKUP(W$1,generator!$B$2:$B$295,generator!$Q$2:$Q$295,"ARGH")</f>
        <v>9000</v>
      </c>
      <c r="X29" s="3">
        <f>_xlfn.XLOOKUP(X$1,generator!$B$2:$B$295,generator!$Q$2:$Q$295,"ARGH")</f>
        <v>9000</v>
      </c>
      <c r="Y29" s="3">
        <f>_xlfn.XLOOKUP(Y$1,generator!$B$2:$B$295,generator!$Q$2:$Q$295,"ARGH")</f>
        <v>9000</v>
      </c>
      <c r="Z29" s="3">
        <f>_xlfn.XLOOKUP(Z$1,generator!$B$2:$B$295,generator!$Q$2:$Q$295,"ARGH")</f>
        <v>9000</v>
      </c>
      <c r="AA29" s="3">
        <f>_xlfn.XLOOKUP(AA$1,generator!$B$2:$B$295,generator!$Q$2:$Q$295,"ARGH")</f>
        <v>9000</v>
      </c>
      <c r="AB29" s="3">
        <f>_xlfn.XLOOKUP(AB$1,generator!$B$2:$B$295,generator!$Q$2:$Q$295,"ARGH")</f>
        <v>9000</v>
      </c>
      <c r="AC29" s="3">
        <f>_xlfn.XLOOKUP(AC$1,generator!$B$2:$B$295,generator!$Q$2:$Q$295,"ARGH")</f>
        <v>9000</v>
      </c>
      <c r="AD29" s="3">
        <f>_xlfn.XLOOKUP(AD$1,generator!$B$2:$B$295,generator!$Q$2:$Q$295,"ARGH")</f>
        <v>9000</v>
      </c>
      <c r="AE29" s="3">
        <f>_xlfn.XLOOKUP(AE$1,generator!$B$2:$B$295,generator!$Q$2:$Q$295,"ARGH")</f>
        <v>9000</v>
      </c>
      <c r="AF29" s="3">
        <f>_xlfn.XLOOKUP(AF$1,generator!$B$2:$B$295,generator!$Q$2:$Q$295,"ARGH")</f>
        <v>9000</v>
      </c>
      <c r="AG29" s="3">
        <f>_xlfn.XLOOKUP(AG$1,generator!$B$2:$B$295,generator!$Q$2:$Q$295,"ARGH")</f>
        <v>9000</v>
      </c>
      <c r="AH29" s="3">
        <f>_xlfn.XLOOKUP(AH$1,generator!$B$2:$B$295,generator!$Q$2:$Q$295,"ARGH")</f>
        <v>9000</v>
      </c>
      <c r="AI29" s="3">
        <f>_xlfn.XLOOKUP(AI$1,generator!$B$2:$B$295,generator!$Q$2:$Q$295,"ARGH")</f>
        <v>9000</v>
      </c>
      <c r="AJ29" s="3">
        <f>_xlfn.XLOOKUP(AJ$1,generator!$B$2:$B$295,generator!$Q$2:$Q$295,"ARGH")</f>
        <v>9000</v>
      </c>
      <c r="AK29" s="3">
        <f>_xlfn.XLOOKUP(AK$1,generator!$B$2:$B$295,generator!$Q$2:$Q$295,"ARGH")</f>
        <v>9000</v>
      </c>
      <c r="AL29" s="3">
        <f>_xlfn.XLOOKUP(AL$1,generator!$B$2:$B$295,generator!$Q$2:$Q$295,"ARGH")</f>
        <v>9000</v>
      </c>
      <c r="AM29" s="3">
        <f>_xlfn.XLOOKUP(AM$1,generator!$B$2:$B$295,generator!$Q$2:$Q$295,"ARGH")</f>
        <v>9000</v>
      </c>
      <c r="AN29" s="3">
        <f>_xlfn.XLOOKUP(AN$1,generator!$B$2:$B$295,generator!$Q$2:$Q$295,"ARGH")</f>
        <v>9000</v>
      </c>
      <c r="AO29" s="3">
        <f>_xlfn.XLOOKUP(AO$1,generator!$B$2:$B$295,generator!$Q$2:$Q$295,"ARGH")</f>
        <v>9000</v>
      </c>
      <c r="AP29" s="3">
        <f>_xlfn.XLOOKUP(AP$1,generator!$B$2:$B$295,generator!$Q$2:$Q$295,"ARGH")</f>
        <v>9000</v>
      </c>
      <c r="AQ29" s="3">
        <f>_xlfn.XLOOKUP(AQ$1,generator!$B$2:$B$295,generator!$Q$2:$Q$295,"ARGH")</f>
        <v>9000</v>
      </c>
      <c r="AR29" s="3">
        <f>_xlfn.XLOOKUP(AR$1,generator!$B$2:$B$295,generator!$Q$2:$Q$295,"ARGH")</f>
        <v>9000</v>
      </c>
      <c r="AS29" s="3">
        <f>_xlfn.XLOOKUP(AS$1,generator!$B$2:$B$295,generator!$Q$2:$Q$295,"ARGH")</f>
        <v>9000</v>
      </c>
      <c r="AT29" s="3">
        <f>_xlfn.XLOOKUP(AT$1,generator!$B$2:$B$295,generator!$Q$2:$Q$295,"ARGH")</f>
        <v>9000</v>
      </c>
      <c r="AU29" s="3">
        <f>_xlfn.XLOOKUP(AU$1,generator!$B$2:$B$295,generator!$Q$2:$Q$295,"ARGH")</f>
        <v>9000</v>
      </c>
      <c r="AV29" s="3">
        <f>_xlfn.XLOOKUP(AV$1,generator!$B$2:$B$295,generator!$Q$2:$Q$295,"ARGH")</f>
        <v>9000</v>
      </c>
      <c r="AW29" s="3">
        <f>_xlfn.XLOOKUP(AW$1,generator!$B$2:$B$295,generator!$Q$2:$Q$295,"ARGH")</f>
        <v>9000</v>
      </c>
      <c r="AX29" s="3">
        <f>_xlfn.XLOOKUP(AX$1,generator!$B$2:$B$295,generator!$Q$2:$Q$295,"ARGH")</f>
        <v>9000</v>
      </c>
      <c r="AY29" s="3">
        <f>_xlfn.XLOOKUP(AY$1,generator!$B$2:$B$295,generator!$Q$2:$Q$295,"ARGH")</f>
        <v>9000</v>
      </c>
      <c r="AZ29" s="3">
        <f>_xlfn.XLOOKUP(AZ$1,generator!$B$2:$B$295,generator!$Q$2:$Q$295,"ARGH")</f>
        <v>9000</v>
      </c>
      <c r="BA29" s="3">
        <f>_xlfn.XLOOKUP(BA$1,generator!$B$2:$B$295,generator!$Q$2:$Q$295,"ARGH")</f>
        <v>9000</v>
      </c>
      <c r="BB29" s="3">
        <f>_xlfn.XLOOKUP(BB$1,generator!$B$2:$B$295,generator!$Q$2:$Q$295,"ARGH")</f>
        <v>9000</v>
      </c>
      <c r="BC29" s="3">
        <f>_xlfn.XLOOKUP(BC$1,generator!$B$2:$B$295,generator!$Q$2:$Q$295,"ARGH")</f>
        <v>9000</v>
      </c>
      <c r="BD29" s="3">
        <f>_xlfn.XLOOKUP(BD$1,generator!$B$2:$B$295,generator!$Q$2:$Q$295,"ARGH")</f>
        <v>9000</v>
      </c>
      <c r="BE29" s="3">
        <f>_xlfn.XLOOKUP(BE$1,generator!$B$2:$B$295,generator!$Q$2:$Q$295,"ARGH")</f>
        <v>9000</v>
      </c>
      <c r="BF29" s="3">
        <f>_xlfn.XLOOKUP(BF$1,generator!$B$2:$B$295,generator!$Q$2:$Q$295,"ARGH")</f>
        <v>9000</v>
      </c>
      <c r="BG29" s="3">
        <f>_xlfn.XLOOKUP(BG$1,generator!$B$2:$B$295,generator!$Q$2:$Q$295,"ARGH")</f>
        <v>9000</v>
      </c>
      <c r="BH29" s="3">
        <f>_xlfn.XLOOKUP(BH$1,generator!$B$2:$B$295,generator!$Q$2:$Q$295,"ARGH")</f>
        <v>9000</v>
      </c>
      <c r="BI29" s="3">
        <f>_xlfn.XLOOKUP(BI$1,generator!$B$2:$B$295,generator!$Q$2:$Q$295,"ARGH")</f>
        <v>9000</v>
      </c>
      <c r="BJ29" s="3">
        <f>_xlfn.XLOOKUP(BJ$1,generator!$B$2:$B$295,generator!$Q$2:$Q$295,"ARGH")</f>
        <v>9000</v>
      </c>
      <c r="BK29" s="3">
        <f>_xlfn.XLOOKUP(BK$1,generator!$B$2:$B$295,generator!$Q$2:$Q$295,"ARGH")</f>
        <v>9000</v>
      </c>
      <c r="BL29" s="3">
        <f>_xlfn.XLOOKUP(BL$1,generator!$B$2:$B$295,generator!$Q$2:$Q$295,"ARGH")</f>
        <v>9000</v>
      </c>
      <c r="BM29" s="3">
        <f>_xlfn.XLOOKUP(BM$1,generator!$B$2:$B$295,generator!$Q$2:$Q$295,"ARGH")</f>
        <v>9000</v>
      </c>
      <c r="BN29" s="3">
        <f>_xlfn.XLOOKUP(BN$1,generator!$B$2:$B$295,generator!$Q$2:$Q$295,"ARGH")</f>
        <v>9000</v>
      </c>
      <c r="BO29" s="3">
        <f>_xlfn.XLOOKUP(BO$1,generator!$B$2:$B$295,generator!$Q$2:$Q$295,"ARGH")</f>
        <v>9000</v>
      </c>
      <c r="BP29" s="3">
        <f>_xlfn.XLOOKUP(BP$1,generator!$B$2:$B$295,generator!$Q$2:$Q$295,"ARGH")</f>
        <v>9000</v>
      </c>
      <c r="BQ29" s="3">
        <f>_xlfn.XLOOKUP(BQ$1,generator!$B$2:$B$295,generator!$Q$2:$Q$295,"ARGH")</f>
        <v>9000</v>
      </c>
      <c r="BR29" s="3">
        <f>_xlfn.XLOOKUP(BR$1,generator!$B$2:$B$295,generator!$Q$2:$Q$295,"ARGH")</f>
        <v>9000</v>
      </c>
      <c r="BS29" s="3">
        <f>_xlfn.XLOOKUP(BS$1,generator!$B$2:$B$295,generator!$Q$2:$Q$295,"ARGH")</f>
        <v>9000</v>
      </c>
      <c r="BT29" s="3">
        <f>_xlfn.XLOOKUP(BT$1,generator!$B$2:$B$295,generator!$Q$2:$Q$295,"ARGH")</f>
        <v>9000</v>
      </c>
      <c r="BU29" s="3">
        <f>_xlfn.XLOOKUP(BU$1,generator!$B$2:$B$295,generator!$Q$2:$Q$295,"ARGH")</f>
        <v>9000</v>
      </c>
      <c r="BV29" s="3">
        <f>_xlfn.XLOOKUP(BV$1,generator!$B$2:$B$295,generator!$Q$2:$Q$295,"ARGH")</f>
        <v>9000</v>
      </c>
      <c r="BW29" s="3">
        <f>_xlfn.XLOOKUP(BW$1,generator!$B$2:$B$295,generator!$Q$2:$Q$295,"ARGH")</f>
        <v>9000</v>
      </c>
      <c r="BX29" s="3">
        <f>_xlfn.XLOOKUP(BX$1,generator!$B$2:$B$295,generator!$Q$2:$Q$295,"ARGH")</f>
        <v>9000</v>
      </c>
      <c r="BY29" s="3">
        <f>_xlfn.XLOOKUP(BY$1,generator!$B$2:$B$295,generator!$Q$2:$Q$295,"ARGH")</f>
        <v>9000</v>
      </c>
      <c r="BZ29" s="3">
        <f>_xlfn.XLOOKUP(BZ$1,generator!$B$2:$B$295,generator!$Q$2:$Q$295,"ARGH")</f>
        <v>9000</v>
      </c>
      <c r="CA29" s="3">
        <f>_xlfn.XLOOKUP(CA$1,generator!$B$2:$B$295,generator!$Q$2:$Q$295,"ARGH")</f>
        <v>9000</v>
      </c>
      <c r="CB29" s="3">
        <f>_xlfn.XLOOKUP(CB$1,generator!$B$2:$B$295,generator!$Q$2:$Q$295,"ARGH")</f>
        <v>9000</v>
      </c>
      <c r="CC29" s="3">
        <f>_xlfn.XLOOKUP(CC$1,generator!$B$2:$B$295,generator!$Q$2:$Q$295,"ARGH")</f>
        <v>9000</v>
      </c>
      <c r="CD29" s="3">
        <f>_xlfn.XLOOKUP(CD$1,generator!$B$2:$B$295,generator!$Q$2:$Q$295,"ARGH")</f>
        <v>9000</v>
      </c>
      <c r="CE29" s="3">
        <f>_xlfn.XLOOKUP(CE$1,generator!$B$2:$B$295,generator!$Q$2:$Q$295,"ARGH")</f>
        <v>9000</v>
      </c>
      <c r="CF29" s="3">
        <f>_xlfn.XLOOKUP(CF$1,generator!$B$2:$B$295,generator!$Q$2:$Q$295,"ARGH")</f>
        <v>9000</v>
      </c>
      <c r="CG29" s="3">
        <f>_xlfn.XLOOKUP(CG$1,generator!$B$2:$B$295,generator!$Q$2:$Q$295,"ARGH")</f>
        <v>9000</v>
      </c>
      <c r="CH29" s="3">
        <f>_xlfn.XLOOKUP(CH$1,generator!$B$2:$B$295,generator!$Q$2:$Q$295,"ARGH")</f>
        <v>9000</v>
      </c>
      <c r="CI29" s="3">
        <f>_xlfn.XLOOKUP(CI$1,generator!$B$2:$B$295,generator!$Q$2:$Q$295,"ARGH")</f>
        <v>9000</v>
      </c>
      <c r="CJ29" s="3">
        <f>_xlfn.XLOOKUP(CJ$1,generator!$B$2:$B$295,generator!$Q$2:$Q$295,"ARGH")</f>
        <v>9000</v>
      </c>
      <c r="CK29" s="3">
        <f>_xlfn.XLOOKUP(CK$1,generator!$B$2:$B$295,generator!$Q$2:$Q$295,"ARGH")</f>
        <v>9000</v>
      </c>
      <c r="CL29" s="3">
        <f>_xlfn.XLOOKUP(CL$1,generator!$B$2:$B$295,generator!$Q$2:$Q$295,"ARGH")</f>
        <v>9000</v>
      </c>
      <c r="CM29" s="3">
        <f>_xlfn.XLOOKUP(CM$1,generator!$B$2:$B$295,generator!$Q$2:$Q$295,"ARGH")</f>
        <v>9000</v>
      </c>
      <c r="CN29" s="3">
        <f>_xlfn.XLOOKUP(CN$1,generator!$B$2:$B$295,generator!$Q$2:$Q$295,"ARGH")</f>
        <v>9000</v>
      </c>
      <c r="CO29" s="3">
        <f>_xlfn.XLOOKUP(CO$1,generator!$B$2:$B$295,generator!$Q$2:$Q$295,"ARGH")</f>
        <v>9000</v>
      </c>
      <c r="CP29" s="3">
        <f>_xlfn.XLOOKUP(CP$1,generator!$B$2:$B$295,generator!$Q$2:$Q$295,"ARGH")</f>
        <v>9000</v>
      </c>
      <c r="CQ29" s="3">
        <f>_xlfn.XLOOKUP(CQ$1,generator!$B$2:$B$295,generator!$Q$2:$Q$295,"ARGH")</f>
        <v>9000</v>
      </c>
      <c r="CR29" s="3">
        <f>_xlfn.XLOOKUP(CR$1,generator!$B$2:$B$295,generator!$Q$2:$Q$295,"ARGH")</f>
        <v>9000</v>
      </c>
      <c r="CS29" s="3">
        <f>_xlfn.XLOOKUP(CS$1,generator!$B$2:$B$295,generator!$Q$2:$Q$295,"ARGH")</f>
        <v>9000</v>
      </c>
      <c r="CT29" s="3">
        <f>_xlfn.XLOOKUP(CT$1,generator!$B$2:$B$295,generator!$Q$2:$Q$295,"ARGH")</f>
        <v>9000</v>
      </c>
      <c r="CU29" s="3">
        <f>_xlfn.XLOOKUP(CU$1,generator!$B$2:$B$295,generator!$Q$2:$Q$295,"ARGH")</f>
        <v>9000</v>
      </c>
      <c r="CV29" s="3">
        <f>_xlfn.XLOOKUP(CV$1,generator!$B$2:$B$295,generator!$Q$2:$Q$295,"ARGH")</f>
        <v>9000</v>
      </c>
      <c r="CW29" s="3">
        <f>_xlfn.XLOOKUP(CW$1,generator!$B$2:$B$295,generator!$Q$2:$Q$295,"ARGH")</f>
        <v>9000</v>
      </c>
      <c r="CX29" s="3">
        <f>_xlfn.XLOOKUP(CX$1,generator!$B$2:$B$295,generator!$Q$2:$Q$295,"ARGH")</f>
        <v>9000</v>
      </c>
      <c r="CY29" s="3">
        <f>_xlfn.XLOOKUP(CY$1,generator!$B$2:$B$295,generator!$Q$2:$Q$295,"ARGH")</f>
        <v>9000</v>
      </c>
      <c r="CZ29" s="3">
        <f>_xlfn.XLOOKUP(CZ$1,generator!$B$2:$B$295,generator!$Q$2:$Q$295,"ARGH")</f>
        <v>9000</v>
      </c>
      <c r="DA29" s="3">
        <f>_xlfn.XLOOKUP(DA$1,generator!$B$2:$B$295,generator!$Q$2:$Q$295,"ARGH")</f>
        <v>9000</v>
      </c>
      <c r="DB29" s="3">
        <f>_xlfn.XLOOKUP(DB$1,generator!$B$2:$B$295,generator!$Q$2:$Q$295,"ARGH")</f>
        <v>9000</v>
      </c>
      <c r="DC29" s="3">
        <f>_xlfn.XLOOKUP(DC$1,generator!$B$2:$B$295,generator!$Q$2:$Q$295,"ARGH")</f>
        <v>9000</v>
      </c>
      <c r="DD29" s="3">
        <f>_xlfn.XLOOKUP(DD$1,generator!$B$2:$B$295,generator!$Q$2:$Q$295,"ARGH")</f>
        <v>9000</v>
      </c>
      <c r="DE29" s="3">
        <f>_xlfn.XLOOKUP(DE$1,generator!$B$2:$B$295,generator!$Q$2:$Q$295,"ARGH")</f>
        <v>9000</v>
      </c>
      <c r="DF29" s="3">
        <f>_xlfn.XLOOKUP(DF$1,generator!$B$2:$B$295,generator!$Q$2:$Q$295,"ARGH")</f>
        <v>9000</v>
      </c>
      <c r="DG29" s="3">
        <f>_xlfn.XLOOKUP(DG$1,generator!$B$2:$B$295,generator!$Q$2:$Q$295,"ARGH")</f>
        <v>9000</v>
      </c>
      <c r="DH29" s="3">
        <f>_xlfn.XLOOKUP(DH$1,generator!$B$2:$B$295,generator!$Q$2:$Q$295,"ARGH")</f>
        <v>9000</v>
      </c>
      <c r="DI29" s="3">
        <f>_xlfn.XLOOKUP(DI$1,generator!$B$2:$B$295,generator!$Q$2:$Q$295,"ARGH")</f>
        <v>9000</v>
      </c>
      <c r="DJ29" s="3">
        <f>_xlfn.XLOOKUP(DJ$1,generator!$B$2:$B$295,generator!$Q$2:$Q$295,"ARGH")</f>
        <v>9000</v>
      </c>
      <c r="DK29" s="3">
        <f>_xlfn.XLOOKUP(DK$1,generator!$B$2:$B$295,generator!$Q$2:$Q$295,"ARGH")</f>
        <v>9000</v>
      </c>
      <c r="DL29" s="3">
        <f>_xlfn.XLOOKUP(DL$1,generator!$B$2:$B$295,generator!$Q$2:$Q$295,"ARGH")</f>
        <v>9000</v>
      </c>
      <c r="DM29" s="3">
        <f>_xlfn.XLOOKUP(DM$1,generator!$B$2:$B$295,generator!$Q$2:$Q$295,"ARGH")</f>
        <v>9000</v>
      </c>
      <c r="DN29" s="3">
        <f>_xlfn.XLOOKUP(DN$1,generator!$B$2:$B$295,generator!$Q$2:$Q$295,"ARGH")</f>
        <v>9000</v>
      </c>
      <c r="DO29" s="3">
        <f>_xlfn.XLOOKUP(DO$1,generator!$B$2:$B$295,generator!$Q$2:$Q$295,"ARGH")</f>
        <v>9000</v>
      </c>
      <c r="DP29" s="3">
        <f>_xlfn.XLOOKUP(DP$1,generator!$B$2:$B$295,generator!$Q$2:$Q$295,"ARGH")</f>
        <v>9000</v>
      </c>
      <c r="DQ29" s="3">
        <f>_xlfn.XLOOKUP(DQ$1,generator!$B$2:$B$295,generator!$Q$2:$Q$295,"ARGH")</f>
        <v>9000</v>
      </c>
      <c r="DR29" s="3">
        <f>_xlfn.XLOOKUP(DR$1,generator!$B$2:$B$295,generator!$Q$2:$Q$295,"ARGH")</f>
        <v>9000</v>
      </c>
      <c r="DS29" s="3">
        <f>_xlfn.XLOOKUP(DS$1,generator!$B$2:$B$295,generator!$Q$2:$Q$295,"ARGH")</f>
        <v>9000</v>
      </c>
      <c r="DT29" s="3">
        <f>_xlfn.XLOOKUP(DT$1,generator!$B$2:$B$295,generator!$Q$2:$Q$295,"ARGH")</f>
        <v>9000</v>
      </c>
      <c r="DU29" s="3">
        <f>_xlfn.XLOOKUP(DU$1,generator!$B$2:$B$295,generator!$Q$2:$Q$295,"ARGH")</f>
        <v>9000</v>
      </c>
      <c r="DV29" s="3">
        <f>_xlfn.XLOOKUP(DV$1,generator!$B$2:$B$295,generator!$Q$2:$Q$295,"ARGH")</f>
        <v>9000</v>
      </c>
      <c r="DW29" s="3">
        <f>_xlfn.XLOOKUP(DW$1,generator!$B$2:$B$295,generator!$Q$2:$Q$295,"ARGH")</f>
        <v>9000</v>
      </c>
      <c r="DX29" s="3">
        <f>_xlfn.XLOOKUP(DX$1,generator!$B$2:$B$295,generator!$Q$2:$Q$295,"ARGH")</f>
        <v>9000</v>
      </c>
      <c r="DY29" s="3">
        <f>_xlfn.XLOOKUP(DY$1,generator!$B$2:$B$295,generator!$Q$2:$Q$295,"ARGH")</f>
        <v>9000</v>
      </c>
      <c r="DZ29" s="3">
        <f>_xlfn.XLOOKUP(DZ$1,generator!$B$2:$B$295,generator!$Q$2:$Q$295,"ARGH")</f>
        <v>9000</v>
      </c>
      <c r="EA29" s="3">
        <f>_xlfn.XLOOKUP(EA$1,generator!$B$2:$B$295,generator!$Q$2:$Q$295,"ARGH")</f>
        <v>9000</v>
      </c>
      <c r="EB29" s="3">
        <f>_xlfn.XLOOKUP(EB$1,generator!$B$2:$B$295,generator!$Q$2:$Q$295,"ARGH")</f>
        <v>9000</v>
      </c>
      <c r="EC29" s="3">
        <f>_xlfn.XLOOKUP(EC$1,generator!$B$2:$B$295,generator!$Q$2:$Q$295,"ARGH")</f>
        <v>9000</v>
      </c>
      <c r="ED29" s="3">
        <f>_xlfn.XLOOKUP(ED$1,generator!$B$2:$B$295,generator!$Q$2:$Q$295,"ARGH")</f>
        <v>9000</v>
      </c>
      <c r="EE29" s="3">
        <f>_xlfn.XLOOKUP(EE$1,generator!$B$2:$B$295,generator!$Q$2:$Q$295,"ARGH")</f>
        <v>9000</v>
      </c>
      <c r="EF29" s="3">
        <f>_xlfn.XLOOKUP(EF$1,generator!$B$2:$B$295,generator!$Q$2:$Q$295,"ARGH")</f>
        <v>9000</v>
      </c>
      <c r="EG29" s="3">
        <f>_xlfn.XLOOKUP(EG$1,generator!$B$2:$B$295,generator!$Q$2:$Q$295,"ARGH")</f>
        <v>9000</v>
      </c>
      <c r="EH29" s="3">
        <f>_xlfn.XLOOKUP(EH$1,generator!$B$2:$B$295,generator!$Q$2:$Q$295,"ARGH")</f>
        <v>9000</v>
      </c>
      <c r="EI29" s="3">
        <f>_xlfn.XLOOKUP(EI$1,generator!$B$2:$B$295,generator!$Q$2:$Q$295,"ARGH")</f>
        <v>9000</v>
      </c>
      <c r="EJ29" s="3">
        <f>_xlfn.XLOOKUP(EJ$1,generator!$B$2:$B$295,generator!$Q$2:$Q$295,"ARGH")</f>
        <v>9000</v>
      </c>
      <c r="EK29" s="3">
        <f>_xlfn.XLOOKUP(EK$1,generator!$B$2:$B$295,generator!$Q$2:$Q$295,"ARGH")</f>
        <v>9000</v>
      </c>
      <c r="EL29" s="3">
        <f>_xlfn.XLOOKUP(EL$1,generator!$B$2:$B$295,generator!$Q$2:$Q$295,"ARGH")</f>
        <v>9000</v>
      </c>
      <c r="EM29" s="3">
        <f>_xlfn.XLOOKUP(EM$1,generator!$B$2:$B$295,generator!$Q$2:$Q$295,"ARGH")</f>
        <v>9000</v>
      </c>
      <c r="EN29" s="3">
        <f>_xlfn.XLOOKUP(EN$1,generator!$B$2:$B$295,generator!$Q$2:$Q$295,"ARGH")</f>
        <v>9000</v>
      </c>
      <c r="EO29" s="3">
        <f>_xlfn.XLOOKUP(EO$1,generator!$B$2:$B$295,generator!$Q$2:$Q$295,"ARGH")</f>
        <v>9000</v>
      </c>
      <c r="EP29" s="3">
        <f>_xlfn.XLOOKUP(EP$1,generator!$B$2:$B$295,generator!$Q$2:$Q$295,"ARGH")</f>
        <v>9000</v>
      </c>
      <c r="EQ29" s="3">
        <f>_xlfn.XLOOKUP(EQ$1,generator!$B$2:$B$295,generator!$Q$2:$Q$295,"ARGH")</f>
        <v>9000</v>
      </c>
      <c r="ER29" s="3">
        <f>_xlfn.XLOOKUP(ER$1,generator!$B$2:$B$295,generator!$Q$2:$Q$295,"ARGH")</f>
        <v>9000</v>
      </c>
      <c r="ES29" s="3">
        <f>_xlfn.XLOOKUP(ES$1,generator!$B$2:$B$295,generator!$Q$2:$Q$295,"ARGH")</f>
        <v>9000</v>
      </c>
      <c r="ET29" s="3">
        <f>_xlfn.XLOOKUP(ET$1,generator!$B$2:$B$295,generator!$Q$2:$Q$295,"ARGH")</f>
        <v>9000</v>
      </c>
      <c r="EU29" s="3">
        <f>_xlfn.XLOOKUP(EU$1,generator!$B$2:$B$295,generator!$Q$2:$Q$295,"ARGH")</f>
        <v>9000</v>
      </c>
      <c r="EV29" s="3">
        <f>_xlfn.XLOOKUP(EV$1,generator!$B$2:$B$295,generator!$Q$2:$Q$295,"ARGH")</f>
        <v>9000</v>
      </c>
      <c r="EW29" s="3">
        <f>_xlfn.XLOOKUP(EW$1,generator!$B$2:$B$295,generator!$Q$2:$Q$295,"ARGH")</f>
        <v>9000</v>
      </c>
      <c r="EX29" s="3">
        <f>_xlfn.XLOOKUP(EX$1,generator!$B$2:$B$295,generator!$Q$2:$Q$295,"ARGH")</f>
        <v>9000</v>
      </c>
      <c r="EY29" s="3">
        <f>_xlfn.XLOOKUP(EY$1,generator!$B$2:$B$295,generator!$Q$2:$Q$295,"ARGH")</f>
        <v>9000</v>
      </c>
      <c r="EZ29" s="3">
        <f>_xlfn.XLOOKUP(EZ$1,generator!$B$2:$B$295,generator!$Q$2:$Q$295,"ARGH")</f>
        <v>9000</v>
      </c>
      <c r="FA29" s="3">
        <f>_xlfn.XLOOKUP(FA$1,generator!$B$2:$B$295,generator!$Q$2:$Q$295,"ARGH")</f>
        <v>9000</v>
      </c>
      <c r="FB29" s="3">
        <f>_xlfn.XLOOKUP(FB$1,generator!$B$2:$B$295,generator!$Q$2:$Q$295,"ARGH")</f>
        <v>9000</v>
      </c>
      <c r="FC29" s="3">
        <f>_xlfn.XLOOKUP(FC$1,generator!$B$2:$B$295,generator!$Q$2:$Q$295,"ARGH")</f>
        <v>9000</v>
      </c>
      <c r="FD29" s="3">
        <f>_xlfn.XLOOKUP(FD$1,generator!$B$2:$B$295,generator!$Q$2:$Q$295,"ARGH")</f>
        <v>9000</v>
      </c>
      <c r="FE29" s="3">
        <f>_xlfn.XLOOKUP(FE$1,generator!$B$2:$B$295,generator!$Q$2:$Q$295,"ARGH")</f>
        <v>9000</v>
      </c>
      <c r="FF29" s="3">
        <f>_xlfn.XLOOKUP(FF$1,generator!$B$2:$B$295,generator!$Q$2:$Q$295,"ARGH")</f>
        <v>9000</v>
      </c>
      <c r="FG29" s="3">
        <f>_xlfn.XLOOKUP(FG$1,generator!$B$2:$B$295,generator!$Q$2:$Q$295,"ARGH")</f>
        <v>9000</v>
      </c>
      <c r="FH29" s="3">
        <f>_xlfn.XLOOKUP(FH$1,generator!$B$2:$B$295,generator!$Q$2:$Q$295,"ARGH")</f>
        <v>9000</v>
      </c>
      <c r="FI29" s="3">
        <f>_xlfn.XLOOKUP(FI$1,generator!$B$2:$B$295,generator!$Q$2:$Q$295,"ARGH")</f>
        <v>9000</v>
      </c>
      <c r="FJ29" s="3">
        <f>_xlfn.XLOOKUP(FJ$1,generator!$B$2:$B$295,generator!$Q$2:$Q$295,"ARGH")</f>
        <v>9000</v>
      </c>
      <c r="FK29" s="3">
        <f>_xlfn.XLOOKUP(FK$1,generator!$B$2:$B$295,generator!$Q$2:$Q$295,"ARGH")</f>
        <v>9000</v>
      </c>
      <c r="FL29" s="3">
        <f>_xlfn.XLOOKUP(FL$1,generator!$B$2:$B$295,generator!$Q$2:$Q$295,"ARGH")</f>
        <v>9000</v>
      </c>
      <c r="FM29" s="3">
        <f>_xlfn.XLOOKUP(FM$1,generator!$B$2:$B$295,generator!$Q$2:$Q$295,"ARGH")</f>
        <v>9000</v>
      </c>
      <c r="FN29" s="3">
        <f>_xlfn.XLOOKUP(FN$1,generator!$B$2:$B$295,generator!$Q$2:$Q$295,"ARGH")</f>
        <v>9000</v>
      </c>
      <c r="FO29" s="3">
        <f>_xlfn.XLOOKUP(FO$1,generator!$B$2:$B$295,generator!$Q$2:$Q$295,"ARGH")</f>
        <v>9000</v>
      </c>
      <c r="FP29" s="3">
        <f>_xlfn.XLOOKUP(FP$1,generator!$B$2:$B$295,generator!$Q$2:$Q$295,"ARGH")</f>
        <v>9000</v>
      </c>
      <c r="FQ29" s="3">
        <f>_xlfn.XLOOKUP(FQ$1,generator!$B$2:$B$295,generator!$Q$2:$Q$295,"ARGH")</f>
        <v>9000</v>
      </c>
      <c r="FR29" s="3">
        <f>_xlfn.XLOOKUP(FR$1,generator!$B$2:$B$295,generator!$Q$2:$Q$295,"ARGH")</f>
        <v>9000</v>
      </c>
      <c r="FS29" s="3">
        <f>_xlfn.XLOOKUP(FS$1,generator!$B$2:$B$295,generator!$Q$2:$Q$295,"ARGH")</f>
        <v>9000</v>
      </c>
      <c r="FT29" s="3">
        <f>_xlfn.XLOOKUP(FT$1,generator!$B$2:$B$295,generator!$Q$2:$Q$295,"ARGH")</f>
        <v>9000</v>
      </c>
      <c r="FU29" s="3">
        <f>_xlfn.XLOOKUP(FU$1,generator!$B$2:$B$295,generator!$Q$2:$Q$295,"ARGH")</f>
        <v>9000</v>
      </c>
      <c r="FV29" s="3">
        <f>_xlfn.XLOOKUP(FV$1,generator!$B$2:$B$295,generator!$Q$2:$Q$295,"ARGH")</f>
        <v>9000</v>
      </c>
      <c r="FW29" s="3">
        <f>_xlfn.XLOOKUP(FW$1,generator!$B$2:$B$295,generator!$Q$2:$Q$295,"ARGH")</f>
        <v>9000</v>
      </c>
      <c r="FX29" s="3">
        <f>_xlfn.XLOOKUP(FX$1,generator!$B$2:$B$295,generator!$Q$2:$Q$295,"ARGH")</f>
        <v>9000</v>
      </c>
      <c r="FY29" s="3">
        <f>_xlfn.XLOOKUP(FY$1,generator!$B$2:$B$295,generator!$Q$2:$Q$295,"ARGH")</f>
        <v>9000</v>
      </c>
      <c r="FZ29" s="3">
        <f>_xlfn.XLOOKUP(FZ$1,generator!$B$2:$B$295,generator!$Q$2:$Q$295,"ARGH")</f>
        <v>9000</v>
      </c>
      <c r="GA29" s="3">
        <f>_xlfn.XLOOKUP(GA$1,generator!$B$2:$B$295,generator!$Q$2:$Q$295,"ARGH")</f>
        <v>9000</v>
      </c>
      <c r="GB29" s="3">
        <f>_xlfn.XLOOKUP(GB$1,generator!$B$2:$B$295,generator!$Q$2:$Q$295,"ARGH")</f>
        <v>9000</v>
      </c>
      <c r="GC29" s="3">
        <f>_xlfn.XLOOKUP(GC$1,generator!$B$2:$B$295,generator!$Q$2:$Q$295,"ARGH")</f>
        <v>9000</v>
      </c>
      <c r="GD29" s="3">
        <f>_xlfn.XLOOKUP(GD$1,generator!$B$2:$B$295,generator!$Q$2:$Q$295,"ARGH")</f>
        <v>9000</v>
      </c>
      <c r="GE29" s="3">
        <f>_xlfn.XLOOKUP(GE$1,generator!$B$2:$B$295,generator!$Q$2:$Q$295,"ARGH")</f>
        <v>9000</v>
      </c>
      <c r="GF29" s="3">
        <f>_xlfn.XLOOKUP(GF$1,generator!$B$2:$B$295,generator!$Q$2:$Q$295,"ARGH")</f>
        <v>9000</v>
      </c>
      <c r="GG29" s="3">
        <f>_xlfn.XLOOKUP(GG$1,generator!$B$2:$B$295,generator!$Q$2:$Q$295,"ARGH")</f>
        <v>9000</v>
      </c>
      <c r="GH29" s="3">
        <f>_xlfn.XLOOKUP(GH$1,generator!$B$2:$B$295,generator!$Q$2:$Q$295,"ARGH")</f>
        <v>9000</v>
      </c>
      <c r="GI29" s="3">
        <f>_xlfn.XLOOKUP(GI$1,generator!$B$2:$B$295,generator!$Q$2:$Q$295,"ARGH")</f>
        <v>9000</v>
      </c>
      <c r="GJ29" s="3">
        <f>_xlfn.XLOOKUP(GJ$1,generator!$B$2:$B$295,generator!$Q$2:$Q$295,"ARGH")</f>
        <v>9000</v>
      </c>
      <c r="GK29" s="3">
        <f>_xlfn.XLOOKUP(GK$1,generator!$B$2:$B$295,generator!$Q$2:$Q$295,"ARGH")</f>
        <v>9000</v>
      </c>
      <c r="GL29" s="3">
        <f>_xlfn.XLOOKUP(GL$1,generator!$B$2:$B$295,generator!$Q$2:$Q$295,"ARGH")</f>
        <v>9000</v>
      </c>
      <c r="GM29" s="3">
        <f>_xlfn.XLOOKUP(GM$1,generator!$B$2:$B$295,generator!$Q$2:$Q$295,"ARGH")</f>
        <v>9000</v>
      </c>
      <c r="GN29" s="3">
        <f>_xlfn.XLOOKUP(GN$1,generator!$B$2:$B$295,generator!$Q$2:$Q$295,"ARGH")</f>
        <v>9000</v>
      </c>
      <c r="GO29" s="3">
        <f>_xlfn.XLOOKUP(GO$1,generator!$B$2:$B$295,generator!$Q$2:$Q$295,"ARGH")</f>
        <v>9000</v>
      </c>
      <c r="GP29" s="3">
        <f>_xlfn.XLOOKUP(GP$1,generator!$B$2:$B$295,generator!$Q$2:$Q$295,"ARGH")</f>
        <v>9000</v>
      </c>
      <c r="GQ29" s="3">
        <f>_xlfn.XLOOKUP(GQ$1,generator!$B$2:$B$295,generator!$Q$2:$Q$295,"ARGH")</f>
        <v>9000</v>
      </c>
      <c r="GR29" s="3">
        <f>_xlfn.XLOOKUP(GR$1,generator!$B$2:$B$295,generator!$Q$2:$Q$295,"ARGH")</f>
        <v>9000</v>
      </c>
      <c r="GS29" s="3">
        <f>_xlfn.XLOOKUP(GS$1,generator!$B$2:$B$295,generator!$Q$2:$Q$295,"ARGH")</f>
        <v>9000</v>
      </c>
      <c r="GT29" s="3">
        <f>_xlfn.XLOOKUP(GT$1,generator!$B$2:$B$295,generator!$Q$2:$Q$295,"ARGH")</f>
        <v>9000</v>
      </c>
      <c r="GU29" s="3">
        <f>_xlfn.XLOOKUP(GU$1,generator!$B$2:$B$295,generator!$Q$2:$Q$295,"ARGH")</f>
        <v>9000</v>
      </c>
      <c r="GV29" s="3">
        <f>_xlfn.XLOOKUP(GV$1,generator!$B$2:$B$295,generator!$Q$2:$Q$295,"ARGH")</f>
        <v>9000</v>
      </c>
      <c r="GW29" s="3">
        <f>_xlfn.XLOOKUP(GW$1,generator!$B$2:$B$295,generator!$Q$2:$Q$295,"ARGH")</f>
        <v>9000</v>
      </c>
      <c r="GX29" s="3">
        <f>_xlfn.XLOOKUP(GX$1,generator!$B$2:$B$295,generator!$Q$2:$Q$295,"ARGH")</f>
        <v>9000</v>
      </c>
      <c r="GY29" s="3">
        <f>_xlfn.XLOOKUP(GY$1,generator!$B$2:$B$295,generator!$Q$2:$Q$295,"ARGH")</f>
        <v>9000</v>
      </c>
      <c r="GZ29" s="3">
        <f>_xlfn.XLOOKUP(GZ$1,generator!$B$2:$B$295,generator!$Q$2:$Q$295,"ARGH")</f>
        <v>9000</v>
      </c>
      <c r="HA29" s="3">
        <f>_xlfn.XLOOKUP(HA$1,generator!$B$2:$B$295,generator!$Q$2:$Q$295,"ARGH")</f>
        <v>9000</v>
      </c>
      <c r="HB29" s="3">
        <f>_xlfn.XLOOKUP(HB$1,generator!$B$2:$B$295,generator!$Q$2:$Q$295,"ARGH")</f>
        <v>9000</v>
      </c>
      <c r="HC29" s="3">
        <f>_xlfn.XLOOKUP(HC$1,generator!$B$2:$B$295,generator!$Q$2:$Q$295,"ARGH")</f>
        <v>9000</v>
      </c>
      <c r="HD29" s="3">
        <f>_xlfn.XLOOKUP(HD$1,generator!$B$2:$B$295,generator!$Q$2:$Q$295,"ARGH")</f>
        <v>9000</v>
      </c>
      <c r="HE29" s="3">
        <f>_xlfn.XLOOKUP(HE$1,generator!$B$2:$B$295,generator!$Q$2:$Q$295,"ARGH")</f>
        <v>8000</v>
      </c>
      <c r="HF29" s="3" t="str">
        <f>_xlfn.XLOOKUP(HF$1,generator!$B$2:$B$295,generator!$Q$2:$Q$295,"ARGH")</f>
        <v>143</v>
      </c>
      <c r="HG29" s="3" t="str">
        <f>_xlfn.XLOOKUP(HG$1,generator!$B$2:$B$295,generator!$Q$2:$Q$295,"ARGH")</f>
        <v>143</v>
      </c>
      <c r="HH29" s="3" t="str">
        <f>_xlfn.XLOOKUP(HH$1,generator!$B$2:$B$295,generator!$Q$2:$Q$295,"ARGH")</f>
        <v>143</v>
      </c>
      <c r="HI29" s="3" t="str">
        <f>_xlfn.XLOOKUP(HI$1,generator!$B$2:$B$295,generator!$Q$2:$Q$295,"ARGH")</f>
        <v>246.74</v>
      </c>
      <c r="HJ29" s="3" t="str">
        <f>_xlfn.XLOOKUP(HJ$1,generator!$B$2:$B$295,generator!$Q$2:$Q$295,"ARGH")</f>
        <v>246.74</v>
      </c>
      <c r="HK29" s="3" t="str">
        <f>_xlfn.XLOOKUP(HK$1,generator!$B$2:$B$295,generator!$Q$2:$Q$295,"ARGH")</f>
        <v>206.04</v>
      </c>
      <c r="HL29" s="3" t="str">
        <f>_xlfn.XLOOKUP(HL$1,generator!$B$2:$B$295,generator!$Q$2:$Q$295,"ARGH")</f>
        <v>506.96</v>
      </c>
      <c r="HM29" s="3" t="str">
        <f>_xlfn.XLOOKUP(HM$1,generator!$B$2:$B$295,generator!$Q$2:$Q$295,"ARGH")</f>
        <v>506.95</v>
      </c>
      <c r="HN29" s="3" t="str">
        <f>_xlfn.XLOOKUP(HN$1,generator!$B$2:$B$295,generator!$Q$2:$Q$295,"ARGH")</f>
        <v>190.97</v>
      </c>
      <c r="HO29" s="3" t="str">
        <f>_xlfn.XLOOKUP(HO$1,generator!$B$2:$B$295,generator!$Q$2:$Q$295,"ARGH")</f>
        <v>190.97</v>
      </c>
      <c r="HP29" s="3" t="str">
        <f>_xlfn.XLOOKUP(HP$1,generator!$B$2:$B$295,generator!$Q$2:$Q$295,"ARGH")</f>
        <v>424.84</v>
      </c>
      <c r="HQ29" s="3" t="str">
        <f>_xlfn.XLOOKUP(HQ$1,generator!$B$2:$B$295,generator!$Q$2:$Q$295,"ARGH")</f>
        <v>425.9</v>
      </c>
      <c r="HR29" s="3" t="str">
        <f>_xlfn.XLOOKUP(HR$1,generator!$B$2:$B$295,generator!$Q$2:$Q$295,"ARGH")</f>
        <v>425.9</v>
      </c>
      <c r="HS29" s="3" t="str">
        <f>_xlfn.XLOOKUP(HS$1,generator!$B$2:$B$295,generator!$Q$2:$Q$295,"ARGH")</f>
        <v>196.54</v>
      </c>
      <c r="HT29" s="3" t="str">
        <f>_xlfn.XLOOKUP(HT$1,generator!$B$2:$B$295,generator!$Q$2:$Q$295,"ARGH")</f>
        <v>196.54</v>
      </c>
      <c r="HU29" s="3" t="str">
        <f>_xlfn.XLOOKUP(HU$1,generator!$B$2:$B$295,generator!$Q$2:$Q$295,"ARGH")</f>
        <v>145.57</v>
      </c>
      <c r="HV29" s="3" t="str">
        <f>_xlfn.XLOOKUP(HV$1,generator!$B$2:$B$295,generator!$Q$2:$Q$295,"ARGH")</f>
        <v>132.62</v>
      </c>
      <c r="HW29" s="3" t="str">
        <f>_xlfn.XLOOKUP(HW$1,generator!$B$2:$B$295,generator!$Q$2:$Q$295,"ARGH")</f>
        <v>193.76</v>
      </c>
      <c r="HX29" s="3" t="str">
        <f>_xlfn.XLOOKUP(HX$1,generator!$B$2:$B$295,generator!$Q$2:$Q$295,"ARGH")</f>
        <v>193.76</v>
      </c>
      <c r="HY29" s="3" t="str">
        <f>_xlfn.XLOOKUP(HY$1,generator!$B$2:$B$295,generator!$Q$2:$Q$295,"ARGH")</f>
        <v>79.19</v>
      </c>
      <c r="HZ29" s="3" t="str">
        <f>_xlfn.XLOOKUP(HZ$1,generator!$B$2:$B$295,generator!$Q$2:$Q$295,"ARGH")</f>
        <v>125.79</v>
      </c>
      <c r="IA29" s="3" t="str">
        <f>_xlfn.XLOOKUP(IA$1,generator!$B$2:$B$295,generator!$Q$2:$Q$295,"ARGH")</f>
        <v>54.19</v>
      </c>
      <c r="IB29" s="3" t="str">
        <f>_xlfn.XLOOKUP(IB$1,generator!$B$2:$B$295,generator!$Q$2:$Q$295,"ARGH")</f>
        <v>59.7</v>
      </c>
      <c r="IC29" s="3">
        <f>_xlfn.XLOOKUP(IC$1,generator!$B$2:$B$295,generator!$Q$2:$Q$295,"ARGH")</f>
        <v>0</v>
      </c>
      <c r="ID29" s="3" t="str">
        <f>_xlfn.XLOOKUP(ID$1,generator!$B$2:$B$295,generator!$Q$2:$Q$295,"ARGH")</f>
        <v>121.14</v>
      </c>
      <c r="IE29" s="3" t="str">
        <f>_xlfn.XLOOKUP(IE$1,generator!$B$2:$B$295,generator!$Q$2:$Q$295,"ARGH")</f>
        <v>26.6</v>
      </c>
      <c r="IF29" s="3">
        <f>_xlfn.XLOOKUP(IF$1,generator!$B$2:$B$295,generator!$Q$2:$Q$295,"ARGH")</f>
        <v>8000</v>
      </c>
      <c r="IG29" s="3">
        <f>_xlfn.XLOOKUP(IG$1,generator!$B$2:$B$295,generator!$Q$2:$Q$295,"ARGH")</f>
        <v>8000</v>
      </c>
      <c r="IH29" s="3">
        <f>_xlfn.XLOOKUP(IH$1,generator!$B$2:$B$295,generator!$Q$2:$Q$295,"ARGH")</f>
        <v>8000</v>
      </c>
      <c r="II29" s="3">
        <f>_xlfn.XLOOKUP(II$1,generator!$B$2:$B$295,generator!$Q$2:$Q$295,"ARGH")</f>
        <v>8000</v>
      </c>
      <c r="IJ29" s="3">
        <f>_xlfn.XLOOKUP(IJ$1,generator!$B$2:$B$295,generator!$Q$2:$Q$295,"ARGH")</f>
        <v>8000</v>
      </c>
      <c r="IK29" s="3">
        <f>_xlfn.XLOOKUP(IK$1,generator!$B$2:$B$295,generator!$Q$2:$Q$295,"ARGH")</f>
        <v>8000</v>
      </c>
      <c r="IL29" s="3">
        <f>_xlfn.XLOOKUP(IL$1,generator!$B$2:$B$295,generator!$Q$2:$Q$295,"ARGH")</f>
        <v>8000</v>
      </c>
      <c r="IM29" s="3">
        <f>_xlfn.XLOOKUP(IM$1,generator!$B$2:$B$295,generator!$Q$2:$Q$295,"ARGH")</f>
        <v>8000</v>
      </c>
      <c r="IN29" s="3">
        <f>_xlfn.XLOOKUP(IN$1,generator!$B$2:$B$295,generator!$Q$2:$Q$295,"ARGH")</f>
        <v>8000</v>
      </c>
      <c r="IO29" s="3">
        <f>_xlfn.XLOOKUP(IO$1,generator!$B$2:$B$295,generator!$Q$2:$Q$295,"ARGH")</f>
        <v>8000</v>
      </c>
      <c r="IP29" s="3">
        <f>_xlfn.XLOOKUP(IP$1,generator!$B$2:$B$295,generator!$Q$2:$Q$295,"ARGH")</f>
        <v>8000</v>
      </c>
      <c r="IQ29" s="3">
        <f>_xlfn.XLOOKUP(IQ$1,generator!$B$2:$B$295,generator!$Q$2:$Q$295,"ARGH")</f>
        <v>8000</v>
      </c>
      <c r="IR29" s="3">
        <f>_xlfn.XLOOKUP(IR$1,generator!$B$2:$B$295,generator!$Q$2:$Q$295,"ARGH")</f>
        <v>8000</v>
      </c>
      <c r="IS29" s="3">
        <f>_xlfn.XLOOKUP(IS$1,generator!$B$2:$B$295,generator!$Q$2:$Q$295,"ARGH")</f>
        <v>8000</v>
      </c>
      <c r="IT29" s="3">
        <f>_xlfn.XLOOKUP(IT$1,generator!$B$2:$B$295,generator!$Q$2:$Q$295,"ARGH")</f>
        <v>8000</v>
      </c>
      <c r="IU29" s="3">
        <f>_xlfn.XLOOKUP(IU$1,generator!$B$2:$B$295,generator!$Q$2:$Q$295,"ARGH")</f>
        <v>8000</v>
      </c>
      <c r="IV29" s="3">
        <f>_xlfn.XLOOKUP(IV$1,generator!$B$2:$B$295,generator!$Q$2:$Q$295,"ARGH")</f>
        <v>8000</v>
      </c>
      <c r="IW29" s="3" t="str">
        <f>_xlfn.XLOOKUP(IW$1,generator!$B$2:$B$295,generator!$Q$2:$Q$295,"ARGH")</f>
        <v>108.19</v>
      </c>
      <c r="IX29" s="3" t="str">
        <f>_xlfn.XLOOKUP(IX$1,generator!$B$2:$B$295,generator!$Q$2:$Q$295,"ARGH")</f>
        <v>108.18</v>
      </c>
      <c r="IY29" s="3" t="str">
        <f>_xlfn.XLOOKUP(IY$1,generator!$B$2:$B$295,generator!$Q$2:$Q$295,"ARGH")</f>
        <v>108.17</v>
      </c>
      <c r="IZ29" s="3" t="str">
        <f>_xlfn.XLOOKUP(IZ$1,generator!$B$2:$B$295,generator!$Q$2:$Q$295,"ARGH")</f>
        <v>40.96</v>
      </c>
      <c r="JA29" s="3">
        <f>_xlfn.XLOOKUP(JA$1,generator!$B$2:$B$295,generator!$Q$2:$Q$295,"ARGH")</f>
        <v>0</v>
      </c>
      <c r="JB29" s="3">
        <f>_xlfn.XLOOKUP(JB$1,generator!$B$2:$B$295,generator!$Q$2:$Q$295,"ARGH")</f>
        <v>0</v>
      </c>
      <c r="JC29" s="3" t="str">
        <f>_xlfn.XLOOKUP(JC$1,generator!$B$2:$B$295,generator!$Q$2:$Q$295,"ARGH")</f>
        <v>75.91</v>
      </c>
      <c r="JD29" s="3" t="str">
        <f>_xlfn.XLOOKUP(JD$1,generator!$B$2:$B$295,generator!$Q$2:$Q$295,"ARGH")</f>
        <v>75.91</v>
      </c>
      <c r="JE29" s="3" t="str">
        <f>_xlfn.XLOOKUP(JE$1,generator!$B$2:$B$295,generator!$Q$2:$Q$295,"ARGH")</f>
        <v>51.59</v>
      </c>
      <c r="JF29" s="3" t="str">
        <f>_xlfn.XLOOKUP(JF$1,generator!$B$2:$B$295,generator!$Q$2:$Q$295,"ARGH")</f>
        <v>111.57</v>
      </c>
      <c r="JG29" s="3">
        <f>_xlfn.XLOOKUP(JG$1,generator!$B$2:$B$295,generator!$Q$2:$Q$295,"ARGH")</f>
        <v>0</v>
      </c>
      <c r="JH29" s="3" t="str">
        <f>_xlfn.XLOOKUP(JH$1,generator!$B$2:$B$295,generator!$Q$2:$Q$295,"ARGH")</f>
        <v>48.65</v>
      </c>
      <c r="JI29" s="3" t="str">
        <f>_xlfn.XLOOKUP(JI$1,generator!$B$2:$B$295,generator!$Q$2:$Q$295,"ARGH")</f>
        <v>71.88</v>
      </c>
      <c r="JJ29" s="3" t="str">
        <f>_xlfn.XLOOKUP(JJ$1,generator!$B$2:$B$295,generator!$Q$2:$Q$295,"ARGH")</f>
        <v>98.17</v>
      </c>
      <c r="JK29" s="3" t="str">
        <f>_xlfn.XLOOKUP(JK$1,generator!$B$2:$B$295,generator!$Q$2:$Q$295,"ARGH")</f>
        <v>98.17</v>
      </c>
      <c r="JL29" s="3" t="str">
        <f>_xlfn.XLOOKUP(JL$1,generator!$B$2:$B$295,generator!$Q$2:$Q$295,"ARGH")</f>
        <v>98.17</v>
      </c>
      <c r="JM29" s="3" t="str">
        <f>_xlfn.XLOOKUP(JM$1,generator!$B$2:$B$295,generator!$Q$2:$Q$295,"ARGH")</f>
        <v>98.17</v>
      </c>
      <c r="JN29" s="3" t="str">
        <f>_xlfn.XLOOKUP(JN$1,generator!$B$2:$B$295,generator!$Q$2:$Q$295,"ARGH")</f>
        <v>98.17</v>
      </c>
      <c r="JO29" s="3" t="str">
        <f>_xlfn.XLOOKUP(JO$1,generator!$B$2:$B$295,generator!$Q$2:$Q$295,"ARGH")</f>
        <v>98.17</v>
      </c>
      <c r="JP29" s="3" t="str">
        <f>_xlfn.XLOOKUP(JP$1,generator!$B$2:$B$295,generator!$Q$2:$Q$295,"ARGH")</f>
        <v>47.53</v>
      </c>
      <c r="JQ29" s="3" t="str">
        <f>_xlfn.XLOOKUP(JQ$1,generator!$B$2:$B$295,generator!$Q$2:$Q$295,"ARGH")</f>
        <v>108.86</v>
      </c>
      <c r="JR29" s="3" t="str">
        <f>_xlfn.XLOOKUP(JR$1,generator!$B$2:$B$295,generator!$Q$2:$Q$295,"ARGH")</f>
        <v>83.15</v>
      </c>
      <c r="JS29" s="3" t="str">
        <f>_xlfn.XLOOKUP(JS$1,generator!$B$2:$B$295,generator!$Q$2:$Q$295,"ARGH")</f>
        <v>83.15</v>
      </c>
      <c r="JT29" s="3" t="str">
        <f>_xlfn.XLOOKUP(JT$1,generator!$B$2:$B$295,generator!$Q$2:$Q$295,"ARGH")</f>
        <v>108.86</v>
      </c>
      <c r="JU29" s="3">
        <f>_xlfn.XLOOKUP(JU$1,generator!$B$2:$B$295,generator!$Q$2:$Q$295,"ARGH")</f>
        <v>0</v>
      </c>
      <c r="JV29" s="3" t="str">
        <f>_xlfn.XLOOKUP(JV$1,generator!$B$2:$B$295,generator!$Q$2:$Q$295,"ARGH")</f>
        <v>77.63</v>
      </c>
      <c r="JW29" s="3" t="str">
        <f>_xlfn.XLOOKUP(JW$1,generator!$B$2:$B$295,generator!$Q$2:$Q$295,"ARGH")</f>
        <v>77.64</v>
      </c>
      <c r="JX29" s="3" t="str">
        <f>_xlfn.XLOOKUP(JX$1,generator!$B$2:$B$295,generator!$Q$2:$Q$295,"ARGH")</f>
        <v>331.49</v>
      </c>
      <c r="JY29" s="3">
        <f>_xlfn.XLOOKUP(JY$1,generator!$B$2:$B$295,generator!$Q$2:$Q$295,"ARGH")</f>
        <v>7000</v>
      </c>
      <c r="JZ29" s="3">
        <f>_xlfn.XLOOKUP(JZ$1,generator!$B$2:$B$295,generator!$Q$2:$Q$295,"ARGH")</f>
        <v>0</v>
      </c>
      <c r="KA29" s="3">
        <f>_xlfn.XLOOKUP(KA$1,generator!$B$2:$B$295,generator!$Q$2:$Q$295,"ARGH")</f>
        <v>0</v>
      </c>
      <c r="KB29" s="3">
        <f>_xlfn.XLOOKUP(KB$1,generator!$B$2:$B$295,generator!$Q$2:$Q$295,"ARGH")</f>
        <v>0</v>
      </c>
      <c r="KC29" s="3">
        <f>_xlfn.XLOOKUP(KC$1,generator!$B$2:$B$295,generator!$Q$2:$Q$295,"ARGH")</f>
        <v>0</v>
      </c>
    </row>
    <row r="30" spans="1:289" x14ac:dyDescent="0.3">
      <c r="A30" s="4" t="s">
        <v>3025</v>
      </c>
      <c r="B30" s="3">
        <v>15000</v>
      </c>
      <c r="C30" s="3">
        <v>15000</v>
      </c>
      <c r="D30" s="3">
        <v>15000</v>
      </c>
      <c r="E30" s="3">
        <f>_xlfn.XLOOKUP(E$1,generator!$B$2:$B$295,generator!$Q$2:$Q$295,"ARGH")</f>
        <v>9000</v>
      </c>
      <c r="F30" s="3">
        <f>_xlfn.XLOOKUP(F$1,generator!$B$2:$B$295,generator!$Q$2:$Q$295,"ARGH")</f>
        <v>9000</v>
      </c>
      <c r="G30" s="3">
        <f>_xlfn.XLOOKUP(G$1,generator!$B$2:$B$295,generator!$Q$2:$Q$295,"ARGH")</f>
        <v>9000</v>
      </c>
      <c r="H30" s="3">
        <f>_xlfn.XLOOKUP(H$1,generator!$B$2:$B$295,generator!$Q$2:$Q$295,"ARGH")</f>
        <v>9000</v>
      </c>
      <c r="I30" s="3">
        <f>_xlfn.XLOOKUP(I$1,generator!$B$2:$B$295,generator!$Q$2:$Q$295,"ARGH")</f>
        <v>9000</v>
      </c>
      <c r="J30" s="3">
        <f>_xlfn.XLOOKUP(J$1,generator!$B$2:$B$295,generator!$Q$2:$Q$295,"ARGH")</f>
        <v>9000</v>
      </c>
      <c r="K30" s="3">
        <f>_xlfn.XLOOKUP(K$1,generator!$B$2:$B$295,generator!$Q$2:$Q$295,"ARGH")</f>
        <v>9000</v>
      </c>
      <c r="L30" s="3">
        <f>_xlfn.XLOOKUP(L$1,generator!$B$2:$B$295,generator!$Q$2:$Q$295,"ARGH")</f>
        <v>9000</v>
      </c>
      <c r="M30" s="3">
        <f>_xlfn.XLOOKUP(M$1,generator!$B$2:$B$295,generator!$Q$2:$Q$295,"ARGH")</f>
        <v>9000</v>
      </c>
      <c r="N30" s="3">
        <f>_xlfn.XLOOKUP(N$1,generator!$B$2:$B$295,generator!$Q$2:$Q$295,"ARGH")</f>
        <v>9000</v>
      </c>
      <c r="O30" s="3">
        <f>_xlfn.XLOOKUP(O$1,generator!$B$2:$B$295,generator!$Q$2:$Q$295,"ARGH")</f>
        <v>9000</v>
      </c>
      <c r="P30" s="3">
        <f>_xlfn.XLOOKUP(P$1,generator!$B$2:$B$295,generator!$Q$2:$Q$295,"ARGH")</f>
        <v>9000</v>
      </c>
      <c r="Q30" s="3">
        <f>_xlfn.XLOOKUP(Q$1,generator!$B$2:$B$295,generator!$Q$2:$Q$295,"ARGH")</f>
        <v>9000</v>
      </c>
      <c r="R30" s="3">
        <f>_xlfn.XLOOKUP(R$1,generator!$B$2:$B$295,generator!$Q$2:$Q$295,"ARGH")</f>
        <v>9000</v>
      </c>
      <c r="S30" s="3">
        <f>_xlfn.XLOOKUP(S$1,generator!$B$2:$B$295,generator!$Q$2:$Q$295,"ARGH")</f>
        <v>9000</v>
      </c>
      <c r="T30" s="3">
        <f>_xlfn.XLOOKUP(T$1,generator!$B$2:$B$295,generator!$Q$2:$Q$295,"ARGH")</f>
        <v>9000</v>
      </c>
      <c r="U30" s="3">
        <f>_xlfn.XLOOKUP(U$1,generator!$B$2:$B$295,generator!$Q$2:$Q$295,"ARGH")</f>
        <v>9000</v>
      </c>
      <c r="V30" s="3">
        <f>_xlfn.XLOOKUP(V$1,generator!$B$2:$B$295,generator!$Q$2:$Q$295,"ARGH")</f>
        <v>9000</v>
      </c>
      <c r="W30" s="3">
        <f>_xlfn.XLOOKUP(W$1,generator!$B$2:$B$295,generator!$Q$2:$Q$295,"ARGH")</f>
        <v>9000</v>
      </c>
      <c r="X30" s="3">
        <f>_xlfn.XLOOKUP(X$1,generator!$B$2:$B$295,generator!$Q$2:$Q$295,"ARGH")</f>
        <v>9000</v>
      </c>
      <c r="Y30" s="3">
        <f>_xlfn.XLOOKUP(Y$1,generator!$B$2:$B$295,generator!$Q$2:$Q$295,"ARGH")</f>
        <v>9000</v>
      </c>
      <c r="Z30" s="3">
        <f>_xlfn.XLOOKUP(Z$1,generator!$B$2:$B$295,generator!$Q$2:$Q$295,"ARGH")</f>
        <v>9000</v>
      </c>
      <c r="AA30" s="3">
        <f>_xlfn.XLOOKUP(AA$1,generator!$B$2:$B$295,generator!$Q$2:$Q$295,"ARGH")</f>
        <v>9000</v>
      </c>
      <c r="AB30" s="3">
        <f>_xlfn.XLOOKUP(AB$1,generator!$B$2:$B$295,generator!$Q$2:$Q$295,"ARGH")</f>
        <v>9000</v>
      </c>
      <c r="AC30" s="3">
        <f>_xlfn.XLOOKUP(AC$1,generator!$B$2:$B$295,generator!$Q$2:$Q$295,"ARGH")</f>
        <v>9000</v>
      </c>
      <c r="AD30" s="3">
        <f>_xlfn.XLOOKUP(AD$1,generator!$B$2:$B$295,generator!$Q$2:$Q$295,"ARGH")</f>
        <v>9000</v>
      </c>
      <c r="AE30" s="3">
        <f>_xlfn.XLOOKUP(AE$1,generator!$B$2:$B$295,generator!$Q$2:$Q$295,"ARGH")</f>
        <v>9000</v>
      </c>
      <c r="AF30" s="3">
        <f>_xlfn.XLOOKUP(AF$1,generator!$B$2:$B$295,generator!$Q$2:$Q$295,"ARGH")</f>
        <v>9000</v>
      </c>
      <c r="AG30" s="3">
        <f>_xlfn.XLOOKUP(AG$1,generator!$B$2:$B$295,generator!$Q$2:$Q$295,"ARGH")</f>
        <v>9000</v>
      </c>
      <c r="AH30" s="3">
        <f>_xlfn.XLOOKUP(AH$1,generator!$B$2:$B$295,generator!$Q$2:$Q$295,"ARGH")</f>
        <v>9000</v>
      </c>
      <c r="AI30" s="3">
        <f>_xlfn.XLOOKUP(AI$1,generator!$B$2:$B$295,generator!$Q$2:$Q$295,"ARGH")</f>
        <v>9000</v>
      </c>
      <c r="AJ30" s="3">
        <f>_xlfn.XLOOKUP(AJ$1,generator!$B$2:$B$295,generator!$Q$2:$Q$295,"ARGH")</f>
        <v>9000</v>
      </c>
      <c r="AK30" s="3">
        <f>_xlfn.XLOOKUP(AK$1,generator!$B$2:$B$295,generator!$Q$2:$Q$295,"ARGH")</f>
        <v>9000</v>
      </c>
      <c r="AL30" s="3">
        <f>_xlfn.XLOOKUP(AL$1,generator!$B$2:$B$295,generator!$Q$2:$Q$295,"ARGH")</f>
        <v>9000</v>
      </c>
      <c r="AM30" s="3">
        <f>_xlfn.XLOOKUP(AM$1,generator!$B$2:$B$295,generator!$Q$2:$Q$295,"ARGH")</f>
        <v>9000</v>
      </c>
      <c r="AN30" s="3">
        <f>_xlfn.XLOOKUP(AN$1,generator!$B$2:$B$295,generator!$Q$2:$Q$295,"ARGH")</f>
        <v>9000</v>
      </c>
      <c r="AO30" s="3">
        <f>_xlfn.XLOOKUP(AO$1,generator!$B$2:$B$295,generator!$Q$2:$Q$295,"ARGH")</f>
        <v>9000</v>
      </c>
      <c r="AP30" s="3">
        <f>_xlfn.XLOOKUP(AP$1,generator!$B$2:$B$295,generator!$Q$2:$Q$295,"ARGH")</f>
        <v>9000</v>
      </c>
      <c r="AQ30" s="3">
        <f>_xlfn.XLOOKUP(AQ$1,generator!$B$2:$B$295,generator!$Q$2:$Q$295,"ARGH")</f>
        <v>9000</v>
      </c>
      <c r="AR30" s="3">
        <f>_xlfn.XLOOKUP(AR$1,generator!$B$2:$B$295,generator!$Q$2:$Q$295,"ARGH")</f>
        <v>9000</v>
      </c>
      <c r="AS30" s="3">
        <f>_xlfn.XLOOKUP(AS$1,generator!$B$2:$B$295,generator!$Q$2:$Q$295,"ARGH")</f>
        <v>9000</v>
      </c>
      <c r="AT30" s="3">
        <f>_xlfn.XLOOKUP(AT$1,generator!$B$2:$B$295,generator!$Q$2:$Q$295,"ARGH")</f>
        <v>9000</v>
      </c>
      <c r="AU30" s="3">
        <f>_xlfn.XLOOKUP(AU$1,generator!$B$2:$B$295,generator!$Q$2:$Q$295,"ARGH")</f>
        <v>9000</v>
      </c>
      <c r="AV30" s="3">
        <f>_xlfn.XLOOKUP(AV$1,generator!$B$2:$B$295,generator!$Q$2:$Q$295,"ARGH")</f>
        <v>9000</v>
      </c>
      <c r="AW30" s="3">
        <f>_xlfn.XLOOKUP(AW$1,generator!$B$2:$B$295,generator!$Q$2:$Q$295,"ARGH")</f>
        <v>9000</v>
      </c>
      <c r="AX30" s="3">
        <f>_xlfn.XLOOKUP(AX$1,generator!$B$2:$B$295,generator!$Q$2:$Q$295,"ARGH")</f>
        <v>9000</v>
      </c>
      <c r="AY30" s="3">
        <f>_xlfn.XLOOKUP(AY$1,generator!$B$2:$B$295,generator!$Q$2:$Q$295,"ARGH")</f>
        <v>9000</v>
      </c>
      <c r="AZ30" s="3">
        <f>_xlfn.XLOOKUP(AZ$1,generator!$B$2:$B$295,generator!$Q$2:$Q$295,"ARGH")</f>
        <v>9000</v>
      </c>
      <c r="BA30" s="3">
        <f>_xlfn.XLOOKUP(BA$1,generator!$B$2:$B$295,generator!$Q$2:$Q$295,"ARGH")</f>
        <v>9000</v>
      </c>
      <c r="BB30" s="3">
        <f>_xlfn.XLOOKUP(BB$1,generator!$B$2:$B$295,generator!$Q$2:$Q$295,"ARGH")</f>
        <v>9000</v>
      </c>
      <c r="BC30" s="3">
        <f>_xlfn.XLOOKUP(BC$1,generator!$B$2:$B$295,generator!$Q$2:$Q$295,"ARGH")</f>
        <v>9000</v>
      </c>
      <c r="BD30" s="3">
        <f>_xlfn.XLOOKUP(BD$1,generator!$B$2:$B$295,generator!$Q$2:$Q$295,"ARGH")</f>
        <v>9000</v>
      </c>
      <c r="BE30" s="3">
        <f>_xlfn.XLOOKUP(BE$1,generator!$B$2:$B$295,generator!$Q$2:$Q$295,"ARGH")</f>
        <v>9000</v>
      </c>
      <c r="BF30" s="3">
        <f>_xlfn.XLOOKUP(BF$1,generator!$B$2:$B$295,generator!$Q$2:$Q$295,"ARGH")</f>
        <v>9000</v>
      </c>
      <c r="BG30" s="3">
        <f>_xlfn.XLOOKUP(BG$1,generator!$B$2:$B$295,generator!$Q$2:$Q$295,"ARGH")</f>
        <v>9000</v>
      </c>
      <c r="BH30" s="3">
        <f>_xlfn.XLOOKUP(BH$1,generator!$B$2:$B$295,generator!$Q$2:$Q$295,"ARGH")</f>
        <v>9000</v>
      </c>
      <c r="BI30" s="3">
        <f>_xlfn.XLOOKUP(BI$1,generator!$B$2:$B$295,generator!$Q$2:$Q$295,"ARGH")</f>
        <v>9000</v>
      </c>
      <c r="BJ30" s="3">
        <f>_xlfn.XLOOKUP(BJ$1,generator!$B$2:$B$295,generator!$Q$2:$Q$295,"ARGH")</f>
        <v>9000</v>
      </c>
      <c r="BK30" s="3">
        <f>_xlfn.XLOOKUP(BK$1,generator!$B$2:$B$295,generator!$Q$2:$Q$295,"ARGH")</f>
        <v>9000</v>
      </c>
      <c r="BL30" s="3">
        <f>_xlfn.XLOOKUP(BL$1,generator!$B$2:$B$295,generator!$Q$2:$Q$295,"ARGH")</f>
        <v>9000</v>
      </c>
      <c r="BM30" s="3">
        <f>_xlfn.XLOOKUP(BM$1,generator!$B$2:$B$295,generator!$Q$2:$Q$295,"ARGH")</f>
        <v>9000</v>
      </c>
      <c r="BN30" s="3">
        <f>_xlfn.XLOOKUP(BN$1,generator!$B$2:$B$295,generator!$Q$2:$Q$295,"ARGH")</f>
        <v>9000</v>
      </c>
      <c r="BO30" s="3">
        <f>_xlfn.XLOOKUP(BO$1,generator!$B$2:$B$295,generator!$Q$2:$Q$295,"ARGH")</f>
        <v>9000</v>
      </c>
      <c r="BP30" s="3">
        <f>_xlfn.XLOOKUP(BP$1,generator!$B$2:$B$295,generator!$Q$2:$Q$295,"ARGH")</f>
        <v>9000</v>
      </c>
      <c r="BQ30" s="3">
        <f>_xlfn.XLOOKUP(BQ$1,generator!$B$2:$B$295,generator!$Q$2:$Q$295,"ARGH")</f>
        <v>9000</v>
      </c>
      <c r="BR30" s="3">
        <f>_xlfn.XLOOKUP(BR$1,generator!$B$2:$B$295,generator!$Q$2:$Q$295,"ARGH")</f>
        <v>9000</v>
      </c>
      <c r="BS30" s="3">
        <f>_xlfn.XLOOKUP(BS$1,generator!$B$2:$B$295,generator!$Q$2:$Q$295,"ARGH")</f>
        <v>9000</v>
      </c>
      <c r="BT30" s="3">
        <f>_xlfn.XLOOKUP(BT$1,generator!$B$2:$B$295,generator!$Q$2:$Q$295,"ARGH")</f>
        <v>9000</v>
      </c>
      <c r="BU30" s="3">
        <f>_xlfn.XLOOKUP(BU$1,generator!$B$2:$B$295,generator!$Q$2:$Q$295,"ARGH")</f>
        <v>9000</v>
      </c>
      <c r="BV30" s="3">
        <f>_xlfn.XLOOKUP(BV$1,generator!$B$2:$B$295,generator!$Q$2:$Q$295,"ARGH")</f>
        <v>9000</v>
      </c>
      <c r="BW30" s="3">
        <f>_xlfn.XLOOKUP(BW$1,generator!$B$2:$B$295,generator!$Q$2:$Q$295,"ARGH")</f>
        <v>9000</v>
      </c>
      <c r="BX30" s="3">
        <f>_xlfn.XLOOKUP(BX$1,generator!$B$2:$B$295,generator!$Q$2:$Q$295,"ARGH")</f>
        <v>9000</v>
      </c>
      <c r="BY30" s="3">
        <f>_xlfn.XLOOKUP(BY$1,generator!$B$2:$B$295,generator!$Q$2:$Q$295,"ARGH")</f>
        <v>9000</v>
      </c>
      <c r="BZ30" s="3">
        <f>_xlfn.XLOOKUP(BZ$1,generator!$B$2:$B$295,generator!$Q$2:$Q$295,"ARGH")</f>
        <v>9000</v>
      </c>
      <c r="CA30" s="3">
        <f>_xlfn.XLOOKUP(CA$1,generator!$B$2:$B$295,generator!$Q$2:$Q$295,"ARGH")</f>
        <v>9000</v>
      </c>
      <c r="CB30" s="3">
        <f>_xlfn.XLOOKUP(CB$1,generator!$B$2:$B$295,generator!$Q$2:$Q$295,"ARGH")</f>
        <v>9000</v>
      </c>
      <c r="CC30" s="3">
        <f>_xlfn.XLOOKUP(CC$1,generator!$B$2:$B$295,generator!$Q$2:$Q$295,"ARGH")</f>
        <v>9000</v>
      </c>
      <c r="CD30" s="3">
        <f>_xlfn.XLOOKUP(CD$1,generator!$B$2:$B$295,generator!$Q$2:$Q$295,"ARGH")</f>
        <v>9000</v>
      </c>
      <c r="CE30" s="3">
        <f>_xlfn.XLOOKUP(CE$1,generator!$B$2:$B$295,generator!$Q$2:$Q$295,"ARGH")</f>
        <v>9000</v>
      </c>
      <c r="CF30" s="3">
        <f>_xlfn.XLOOKUP(CF$1,generator!$B$2:$B$295,generator!$Q$2:$Q$295,"ARGH")</f>
        <v>9000</v>
      </c>
      <c r="CG30" s="3">
        <f>_xlfn.XLOOKUP(CG$1,generator!$B$2:$B$295,generator!$Q$2:$Q$295,"ARGH")</f>
        <v>9000</v>
      </c>
      <c r="CH30" s="3">
        <f>_xlfn.XLOOKUP(CH$1,generator!$B$2:$B$295,generator!$Q$2:$Q$295,"ARGH")</f>
        <v>9000</v>
      </c>
      <c r="CI30" s="3">
        <f>_xlfn.XLOOKUP(CI$1,generator!$B$2:$B$295,generator!$Q$2:$Q$295,"ARGH")</f>
        <v>9000</v>
      </c>
      <c r="CJ30" s="3">
        <f>_xlfn.XLOOKUP(CJ$1,generator!$B$2:$B$295,generator!$Q$2:$Q$295,"ARGH")</f>
        <v>9000</v>
      </c>
      <c r="CK30" s="3">
        <f>_xlfn.XLOOKUP(CK$1,generator!$B$2:$B$295,generator!$Q$2:$Q$295,"ARGH")</f>
        <v>9000</v>
      </c>
      <c r="CL30" s="3">
        <f>_xlfn.XLOOKUP(CL$1,generator!$B$2:$B$295,generator!$Q$2:$Q$295,"ARGH")</f>
        <v>9000</v>
      </c>
      <c r="CM30" s="3">
        <f>_xlfn.XLOOKUP(CM$1,generator!$B$2:$B$295,generator!$Q$2:$Q$295,"ARGH")</f>
        <v>9000</v>
      </c>
      <c r="CN30" s="3">
        <f>_xlfn.XLOOKUP(CN$1,generator!$B$2:$B$295,generator!$Q$2:$Q$295,"ARGH")</f>
        <v>9000</v>
      </c>
      <c r="CO30" s="3">
        <f>_xlfn.XLOOKUP(CO$1,generator!$B$2:$B$295,generator!$Q$2:$Q$295,"ARGH")</f>
        <v>9000</v>
      </c>
      <c r="CP30" s="3">
        <f>_xlfn.XLOOKUP(CP$1,generator!$B$2:$B$295,generator!$Q$2:$Q$295,"ARGH")</f>
        <v>9000</v>
      </c>
      <c r="CQ30" s="3">
        <f>_xlfn.XLOOKUP(CQ$1,generator!$B$2:$B$295,generator!$Q$2:$Q$295,"ARGH")</f>
        <v>9000</v>
      </c>
      <c r="CR30" s="3">
        <f>_xlfn.XLOOKUP(CR$1,generator!$B$2:$B$295,generator!$Q$2:$Q$295,"ARGH")</f>
        <v>9000</v>
      </c>
      <c r="CS30" s="3">
        <f>_xlfn.XLOOKUP(CS$1,generator!$B$2:$B$295,generator!$Q$2:$Q$295,"ARGH")</f>
        <v>9000</v>
      </c>
      <c r="CT30" s="3">
        <f>_xlfn.XLOOKUP(CT$1,generator!$B$2:$B$295,generator!$Q$2:$Q$295,"ARGH")</f>
        <v>9000</v>
      </c>
      <c r="CU30" s="3">
        <f>_xlfn.XLOOKUP(CU$1,generator!$B$2:$B$295,generator!$Q$2:$Q$295,"ARGH")</f>
        <v>9000</v>
      </c>
      <c r="CV30" s="3">
        <f>_xlfn.XLOOKUP(CV$1,generator!$B$2:$B$295,generator!$Q$2:$Q$295,"ARGH")</f>
        <v>9000</v>
      </c>
      <c r="CW30" s="3">
        <f>_xlfn.XLOOKUP(CW$1,generator!$B$2:$B$295,generator!$Q$2:$Q$295,"ARGH")</f>
        <v>9000</v>
      </c>
      <c r="CX30" s="3">
        <f>_xlfn.XLOOKUP(CX$1,generator!$B$2:$B$295,generator!$Q$2:$Q$295,"ARGH")</f>
        <v>9000</v>
      </c>
      <c r="CY30" s="3">
        <f>_xlfn.XLOOKUP(CY$1,generator!$B$2:$B$295,generator!$Q$2:$Q$295,"ARGH")</f>
        <v>9000</v>
      </c>
      <c r="CZ30" s="3">
        <f>_xlfn.XLOOKUP(CZ$1,generator!$B$2:$B$295,generator!$Q$2:$Q$295,"ARGH")</f>
        <v>9000</v>
      </c>
      <c r="DA30" s="3">
        <f>_xlfn.XLOOKUP(DA$1,generator!$B$2:$B$295,generator!$Q$2:$Q$295,"ARGH")</f>
        <v>9000</v>
      </c>
      <c r="DB30" s="3">
        <f>_xlfn.XLOOKUP(DB$1,generator!$B$2:$B$295,generator!$Q$2:$Q$295,"ARGH")</f>
        <v>9000</v>
      </c>
      <c r="DC30" s="3">
        <f>_xlfn.XLOOKUP(DC$1,generator!$B$2:$B$295,generator!$Q$2:$Q$295,"ARGH")</f>
        <v>9000</v>
      </c>
      <c r="DD30" s="3">
        <f>_xlfn.XLOOKUP(DD$1,generator!$B$2:$B$295,generator!$Q$2:$Q$295,"ARGH")</f>
        <v>9000</v>
      </c>
      <c r="DE30" s="3">
        <f>_xlfn.XLOOKUP(DE$1,generator!$B$2:$B$295,generator!$Q$2:$Q$295,"ARGH")</f>
        <v>9000</v>
      </c>
      <c r="DF30" s="3">
        <f>_xlfn.XLOOKUP(DF$1,generator!$B$2:$B$295,generator!$Q$2:$Q$295,"ARGH")</f>
        <v>9000</v>
      </c>
      <c r="DG30" s="3">
        <f>_xlfn.XLOOKUP(DG$1,generator!$B$2:$B$295,generator!$Q$2:$Q$295,"ARGH")</f>
        <v>9000</v>
      </c>
      <c r="DH30" s="3">
        <f>_xlfn.XLOOKUP(DH$1,generator!$B$2:$B$295,generator!$Q$2:$Q$295,"ARGH")</f>
        <v>9000</v>
      </c>
      <c r="DI30" s="3">
        <f>_xlfn.XLOOKUP(DI$1,generator!$B$2:$B$295,generator!$Q$2:$Q$295,"ARGH")</f>
        <v>9000</v>
      </c>
      <c r="DJ30" s="3">
        <f>_xlfn.XLOOKUP(DJ$1,generator!$B$2:$B$295,generator!$Q$2:$Q$295,"ARGH")</f>
        <v>9000</v>
      </c>
      <c r="DK30" s="3">
        <f>_xlfn.XLOOKUP(DK$1,generator!$B$2:$B$295,generator!$Q$2:$Q$295,"ARGH")</f>
        <v>9000</v>
      </c>
      <c r="DL30" s="3">
        <f>_xlfn.XLOOKUP(DL$1,generator!$B$2:$B$295,generator!$Q$2:$Q$295,"ARGH")</f>
        <v>9000</v>
      </c>
      <c r="DM30" s="3">
        <f>_xlfn.XLOOKUP(DM$1,generator!$B$2:$B$295,generator!$Q$2:$Q$295,"ARGH")</f>
        <v>9000</v>
      </c>
      <c r="DN30" s="3">
        <f>_xlfn.XLOOKUP(DN$1,generator!$B$2:$B$295,generator!$Q$2:$Q$295,"ARGH")</f>
        <v>9000</v>
      </c>
      <c r="DO30" s="3">
        <f>_xlfn.XLOOKUP(DO$1,generator!$B$2:$B$295,generator!$Q$2:$Q$295,"ARGH")</f>
        <v>9000</v>
      </c>
      <c r="DP30" s="3">
        <f>_xlfn.XLOOKUP(DP$1,generator!$B$2:$B$295,generator!$Q$2:$Q$295,"ARGH")</f>
        <v>9000</v>
      </c>
      <c r="DQ30" s="3">
        <f>_xlfn.XLOOKUP(DQ$1,generator!$B$2:$B$295,generator!$Q$2:$Q$295,"ARGH")</f>
        <v>9000</v>
      </c>
      <c r="DR30" s="3">
        <f>_xlfn.XLOOKUP(DR$1,generator!$B$2:$B$295,generator!$Q$2:$Q$295,"ARGH")</f>
        <v>9000</v>
      </c>
      <c r="DS30" s="3">
        <f>_xlfn.XLOOKUP(DS$1,generator!$B$2:$B$295,generator!$Q$2:$Q$295,"ARGH")</f>
        <v>9000</v>
      </c>
      <c r="DT30" s="3">
        <f>_xlfn.XLOOKUP(DT$1,generator!$B$2:$B$295,generator!$Q$2:$Q$295,"ARGH")</f>
        <v>9000</v>
      </c>
      <c r="DU30" s="3">
        <f>_xlfn.XLOOKUP(DU$1,generator!$B$2:$B$295,generator!$Q$2:$Q$295,"ARGH")</f>
        <v>9000</v>
      </c>
      <c r="DV30" s="3">
        <f>_xlfn.XLOOKUP(DV$1,generator!$B$2:$B$295,generator!$Q$2:$Q$295,"ARGH")</f>
        <v>9000</v>
      </c>
      <c r="DW30" s="3">
        <f>_xlfn.XLOOKUP(DW$1,generator!$B$2:$B$295,generator!$Q$2:$Q$295,"ARGH")</f>
        <v>9000</v>
      </c>
      <c r="DX30" s="3">
        <f>_xlfn.XLOOKUP(DX$1,generator!$B$2:$B$295,generator!$Q$2:$Q$295,"ARGH")</f>
        <v>9000</v>
      </c>
      <c r="DY30" s="3">
        <f>_xlfn.XLOOKUP(DY$1,generator!$B$2:$B$295,generator!$Q$2:$Q$295,"ARGH")</f>
        <v>9000</v>
      </c>
      <c r="DZ30" s="3">
        <f>_xlfn.XLOOKUP(DZ$1,generator!$B$2:$B$295,generator!$Q$2:$Q$295,"ARGH")</f>
        <v>9000</v>
      </c>
      <c r="EA30" s="3">
        <f>_xlfn.XLOOKUP(EA$1,generator!$B$2:$B$295,generator!$Q$2:$Q$295,"ARGH")</f>
        <v>9000</v>
      </c>
      <c r="EB30" s="3">
        <f>_xlfn.XLOOKUP(EB$1,generator!$B$2:$B$295,generator!$Q$2:$Q$295,"ARGH")</f>
        <v>9000</v>
      </c>
      <c r="EC30" s="3">
        <f>_xlfn.XLOOKUP(EC$1,generator!$B$2:$B$295,generator!$Q$2:$Q$295,"ARGH")</f>
        <v>9000</v>
      </c>
      <c r="ED30" s="3">
        <f>_xlfn.XLOOKUP(ED$1,generator!$B$2:$B$295,generator!$Q$2:$Q$295,"ARGH")</f>
        <v>9000</v>
      </c>
      <c r="EE30" s="3">
        <f>_xlfn.XLOOKUP(EE$1,generator!$B$2:$B$295,generator!$Q$2:$Q$295,"ARGH")</f>
        <v>9000</v>
      </c>
      <c r="EF30" s="3">
        <f>_xlfn.XLOOKUP(EF$1,generator!$B$2:$B$295,generator!$Q$2:$Q$295,"ARGH")</f>
        <v>9000</v>
      </c>
      <c r="EG30" s="3">
        <f>_xlfn.XLOOKUP(EG$1,generator!$B$2:$B$295,generator!$Q$2:$Q$295,"ARGH")</f>
        <v>9000</v>
      </c>
      <c r="EH30" s="3">
        <f>_xlfn.XLOOKUP(EH$1,generator!$B$2:$B$295,generator!$Q$2:$Q$295,"ARGH")</f>
        <v>9000</v>
      </c>
      <c r="EI30" s="3">
        <f>_xlfn.XLOOKUP(EI$1,generator!$B$2:$B$295,generator!$Q$2:$Q$295,"ARGH")</f>
        <v>9000</v>
      </c>
      <c r="EJ30" s="3">
        <f>_xlfn.XLOOKUP(EJ$1,generator!$B$2:$B$295,generator!$Q$2:$Q$295,"ARGH")</f>
        <v>9000</v>
      </c>
      <c r="EK30" s="3">
        <f>_xlfn.XLOOKUP(EK$1,generator!$B$2:$B$295,generator!$Q$2:$Q$295,"ARGH")</f>
        <v>9000</v>
      </c>
      <c r="EL30" s="3">
        <f>_xlfn.XLOOKUP(EL$1,generator!$B$2:$B$295,generator!$Q$2:$Q$295,"ARGH")</f>
        <v>9000</v>
      </c>
      <c r="EM30" s="3">
        <f>_xlfn.XLOOKUP(EM$1,generator!$B$2:$B$295,generator!$Q$2:$Q$295,"ARGH")</f>
        <v>9000</v>
      </c>
      <c r="EN30" s="3">
        <f>_xlfn.XLOOKUP(EN$1,generator!$B$2:$B$295,generator!$Q$2:$Q$295,"ARGH")</f>
        <v>9000</v>
      </c>
      <c r="EO30" s="3">
        <f>_xlfn.XLOOKUP(EO$1,generator!$B$2:$B$295,generator!$Q$2:$Q$295,"ARGH")</f>
        <v>9000</v>
      </c>
      <c r="EP30" s="3">
        <f>_xlfn.XLOOKUP(EP$1,generator!$B$2:$B$295,generator!$Q$2:$Q$295,"ARGH")</f>
        <v>9000</v>
      </c>
      <c r="EQ30" s="3">
        <f>_xlfn.XLOOKUP(EQ$1,generator!$B$2:$B$295,generator!$Q$2:$Q$295,"ARGH")</f>
        <v>9000</v>
      </c>
      <c r="ER30" s="3">
        <f>_xlfn.XLOOKUP(ER$1,generator!$B$2:$B$295,generator!$Q$2:$Q$295,"ARGH")</f>
        <v>9000</v>
      </c>
      <c r="ES30" s="3">
        <f>_xlfn.XLOOKUP(ES$1,generator!$B$2:$B$295,generator!$Q$2:$Q$295,"ARGH")</f>
        <v>9000</v>
      </c>
      <c r="ET30" s="3">
        <f>_xlfn.XLOOKUP(ET$1,generator!$B$2:$B$295,generator!$Q$2:$Q$295,"ARGH")</f>
        <v>9000</v>
      </c>
      <c r="EU30" s="3">
        <f>_xlfn.XLOOKUP(EU$1,generator!$B$2:$B$295,generator!$Q$2:$Q$295,"ARGH")</f>
        <v>9000</v>
      </c>
      <c r="EV30" s="3">
        <f>_xlfn.XLOOKUP(EV$1,generator!$B$2:$B$295,generator!$Q$2:$Q$295,"ARGH")</f>
        <v>9000</v>
      </c>
      <c r="EW30" s="3">
        <f>_xlfn.XLOOKUP(EW$1,generator!$B$2:$B$295,generator!$Q$2:$Q$295,"ARGH")</f>
        <v>9000</v>
      </c>
      <c r="EX30" s="3">
        <f>_xlfn.XLOOKUP(EX$1,generator!$B$2:$B$295,generator!$Q$2:$Q$295,"ARGH")</f>
        <v>9000</v>
      </c>
      <c r="EY30" s="3">
        <f>_xlfn.XLOOKUP(EY$1,generator!$B$2:$B$295,generator!$Q$2:$Q$295,"ARGH")</f>
        <v>9000</v>
      </c>
      <c r="EZ30" s="3">
        <f>_xlfn.XLOOKUP(EZ$1,generator!$B$2:$B$295,generator!$Q$2:$Q$295,"ARGH")</f>
        <v>9000</v>
      </c>
      <c r="FA30" s="3">
        <f>_xlfn.XLOOKUP(FA$1,generator!$B$2:$B$295,generator!$Q$2:$Q$295,"ARGH")</f>
        <v>9000</v>
      </c>
      <c r="FB30" s="3">
        <f>_xlfn.XLOOKUP(FB$1,generator!$B$2:$B$295,generator!$Q$2:$Q$295,"ARGH")</f>
        <v>9000</v>
      </c>
      <c r="FC30" s="3">
        <f>_xlfn.XLOOKUP(FC$1,generator!$B$2:$B$295,generator!$Q$2:$Q$295,"ARGH")</f>
        <v>9000</v>
      </c>
      <c r="FD30" s="3">
        <f>_xlfn.XLOOKUP(FD$1,generator!$B$2:$B$295,generator!$Q$2:$Q$295,"ARGH")</f>
        <v>9000</v>
      </c>
      <c r="FE30" s="3">
        <f>_xlfn.XLOOKUP(FE$1,generator!$B$2:$B$295,generator!$Q$2:$Q$295,"ARGH")</f>
        <v>9000</v>
      </c>
      <c r="FF30" s="3">
        <f>_xlfn.XLOOKUP(FF$1,generator!$B$2:$B$295,generator!$Q$2:$Q$295,"ARGH")</f>
        <v>9000</v>
      </c>
      <c r="FG30" s="3">
        <f>_xlfn.XLOOKUP(FG$1,generator!$B$2:$B$295,generator!$Q$2:$Q$295,"ARGH")</f>
        <v>9000</v>
      </c>
      <c r="FH30" s="3">
        <f>_xlfn.XLOOKUP(FH$1,generator!$B$2:$B$295,generator!$Q$2:$Q$295,"ARGH")</f>
        <v>9000</v>
      </c>
      <c r="FI30" s="3">
        <f>_xlfn.XLOOKUP(FI$1,generator!$B$2:$B$295,generator!$Q$2:$Q$295,"ARGH")</f>
        <v>9000</v>
      </c>
      <c r="FJ30" s="3">
        <f>_xlfn.XLOOKUP(FJ$1,generator!$B$2:$B$295,generator!$Q$2:$Q$295,"ARGH")</f>
        <v>9000</v>
      </c>
      <c r="FK30" s="3">
        <f>_xlfn.XLOOKUP(FK$1,generator!$B$2:$B$295,generator!$Q$2:$Q$295,"ARGH")</f>
        <v>9000</v>
      </c>
      <c r="FL30" s="3">
        <f>_xlfn.XLOOKUP(FL$1,generator!$B$2:$B$295,generator!$Q$2:$Q$295,"ARGH")</f>
        <v>9000</v>
      </c>
      <c r="FM30" s="3">
        <f>_xlfn.XLOOKUP(FM$1,generator!$B$2:$B$295,generator!$Q$2:$Q$295,"ARGH")</f>
        <v>9000</v>
      </c>
      <c r="FN30" s="3">
        <f>_xlfn.XLOOKUP(FN$1,generator!$B$2:$B$295,generator!$Q$2:$Q$295,"ARGH")</f>
        <v>9000</v>
      </c>
      <c r="FO30" s="3">
        <f>_xlfn.XLOOKUP(FO$1,generator!$B$2:$B$295,generator!$Q$2:$Q$295,"ARGH")</f>
        <v>9000</v>
      </c>
      <c r="FP30" s="3">
        <f>_xlfn.XLOOKUP(FP$1,generator!$B$2:$B$295,generator!$Q$2:$Q$295,"ARGH")</f>
        <v>9000</v>
      </c>
      <c r="FQ30" s="3">
        <f>_xlfn.XLOOKUP(FQ$1,generator!$B$2:$B$295,generator!$Q$2:$Q$295,"ARGH")</f>
        <v>9000</v>
      </c>
      <c r="FR30" s="3">
        <f>_xlfn.XLOOKUP(FR$1,generator!$B$2:$B$295,generator!$Q$2:$Q$295,"ARGH")</f>
        <v>9000</v>
      </c>
      <c r="FS30" s="3">
        <f>_xlfn.XLOOKUP(FS$1,generator!$B$2:$B$295,generator!$Q$2:$Q$295,"ARGH")</f>
        <v>9000</v>
      </c>
      <c r="FT30" s="3">
        <f>_xlfn.XLOOKUP(FT$1,generator!$B$2:$B$295,generator!$Q$2:$Q$295,"ARGH")</f>
        <v>9000</v>
      </c>
      <c r="FU30" s="3">
        <f>_xlfn.XLOOKUP(FU$1,generator!$B$2:$B$295,generator!$Q$2:$Q$295,"ARGH")</f>
        <v>9000</v>
      </c>
      <c r="FV30" s="3">
        <f>_xlfn.XLOOKUP(FV$1,generator!$B$2:$B$295,generator!$Q$2:$Q$295,"ARGH")</f>
        <v>9000</v>
      </c>
      <c r="FW30" s="3">
        <f>_xlfn.XLOOKUP(FW$1,generator!$B$2:$B$295,generator!$Q$2:$Q$295,"ARGH")</f>
        <v>9000</v>
      </c>
      <c r="FX30" s="3">
        <f>_xlfn.XLOOKUP(FX$1,generator!$B$2:$B$295,generator!$Q$2:$Q$295,"ARGH")</f>
        <v>9000</v>
      </c>
      <c r="FY30" s="3">
        <f>_xlfn.XLOOKUP(FY$1,generator!$B$2:$B$295,generator!$Q$2:$Q$295,"ARGH")</f>
        <v>9000</v>
      </c>
      <c r="FZ30" s="3">
        <f>_xlfn.XLOOKUP(FZ$1,generator!$B$2:$B$295,generator!$Q$2:$Q$295,"ARGH")</f>
        <v>9000</v>
      </c>
      <c r="GA30" s="3">
        <f>_xlfn.XLOOKUP(GA$1,generator!$B$2:$B$295,generator!$Q$2:$Q$295,"ARGH")</f>
        <v>9000</v>
      </c>
      <c r="GB30" s="3">
        <f>_xlfn.XLOOKUP(GB$1,generator!$B$2:$B$295,generator!$Q$2:$Q$295,"ARGH")</f>
        <v>9000</v>
      </c>
      <c r="GC30" s="3">
        <f>_xlfn.XLOOKUP(GC$1,generator!$B$2:$B$295,generator!$Q$2:$Q$295,"ARGH")</f>
        <v>9000</v>
      </c>
      <c r="GD30" s="3">
        <f>_xlfn.XLOOKUP(GD$1,generator!$B$2:$B$295,generator!$Q$2:$Q$295,"ARGH")</f>
        <v>9000</v>
      </c>
      <c r="GE30" s="3">
        <f>_xlfn.XLOOKUP(GE$1,generator!$B$2:$B$295,generator!$Q$2:$Q$295,"ARGH")</f>
        <v>9000</v>
      </c>
      <c r="GF30" s="3">
        <f>_xlfn.XLOOKUP(GF$1,generator!$B$2:$B$295,generator!$Q$2:$Q$295,"ARGH")</f>
        <v>9000</v>
      </c>
      <c r="GG30" s="3">
        <f>_xlfn.XLOOKUP(GG$1,generator!$B$2:$B$295,generator!$Q$2:$Q$295,"ARGH")</f>
        <v>9000</v>
      </c>
      <c r="GH30" s="3">
        <f>_xlfn.XLOOKUP(GH$1,generator!$B$2:$B$295,generator!$Q$2:$Q$295,"ARGH")</f>
        <v>9000</v>
      </c>
      <c r="GI30" s="3">
        <f>_xlfn.XLOOKUP(GI$1,generator!$B$2:$B$295,generator!$Q$2:$Q$295,"ARGH")</f>
        <v>9000</v>
      </c>
      <c r="GJ30" s="3">
        <f>_xlfn.XLOOKUP(GJ$1,generator!$B$2:$B$295,generator!$Q$2:$Q$295,"ARGH")</f>
        <v>9000</v>
      </c>
      <c r="GK30" s="3">
        <f>_xlfn.XLOOKUP(GK$1,generator!$B$2:$B$295,generator!$Q$2:$Q$295,"ARGH")</f>
        <v>9000</v>
      </c>
      <c r="GL30" s="3">
        <f>_xlfn.XLOOKUP(GL$1,generator!$B$2:$B$295,generator!$Q$2:$Q$295,"ARGH")</f>
        <v>9000</v>
      </c>
      <c r="GM30" s="3">
        <f>_xlfn.XLOOKUP(GM$1,generator!$B$2:$B$295,generator!$Q$2:$Q$295,"ARGH")</f>
        <v>9000</v>
      </c>
      <c r="GN30" s="3">
        <f>_xlfn.XLOOKUP(GN$1,generator!$B$2:$B$295,generator!$Q$2:$Q$295,"ARGH")</f>
        <v>9000</v>
      </c>
      <c r="GO30" s="3">
        <f>_xlfn.XLOOKUP(GO$1,generator!$B$2:$B$295,generator!$Q$2:$Q$295,"ARGH")</f>
        <v>9000</v>
      </c>
      <c r="GP30" s="3">
        <f>_xlfn.XLOOKUP(GP$1,generator!$B$2:$B$295,generator!$Q$2:$Q$295,"ARGH")</f>
        <v>9000</v>
      </c>
      <c r="GQ30" s="3">
        <f>_xlfn.XLOOKUP(GQ$1,generator!$B$2:$B$295,generator!$Q$2:$Q$295,"ARGH")</f>
        <v>9000</v>
      </c>
      <c r="GR30" s="3">
        <f>_xlfn.XLOOKUP(GR$1,generator!$B$2:$B$295,generator!$Q$2:$Q$295,"ARGH")</f>
        <v>9000</v>
      </c>
      <c r="GS30" s="3">
        <f>_xlfn.XLOOKUP(GS$1,generator!$B$2:$B$295,generator!$Q$2:$Q$295,"ARGH")</f>
        <v>9000</v>
      </c>
      <c r="GT30" s="3">
        <f>_xlfn.XLOOKUP(GT$1,generator!$B$2:$B$295,generator!$Q$2:$Q$295,"ARGH")</f>
        <v>9000</v>
      </c>
      <c r="GU30" s="3">
        <f>_xlfn.XLOOKUP(GU$1,generator!$B$2:$B$295,generator!$Q$2:$Q$295,"ARGH")</f>
        <v>9000</v>
      </c>
      <c r="GV30" s="3">
        <f>_xlfn.XLOOKUP(GV$1,generator!$B$2:$B$295,generator!$Q$2:$Q$295,"ARGH")</f>
        <v>9000</v>
      </c>
      <c r="GW30" s="3">
        <f>_xlfn.XLOOKUP(GW$1,generator!$B$2:$B$295,generator!$Q$2:$Q$295,"ARGH")</f>
        <v>9000</v>
      </c>
      <c r="GX30" s="3">
        <f>_xlfn.XLOOKUP(GX$1,generator!$B$2:$B$295,generator!$Q$2:$Q$295,"ARGH")</f>
        <v>9000</v>
      </c>
      <c r="GY30" s="3">
        <f>_xlfn.XLOOKUP(GY$1,generator!$B$2:$B$295,generator!$Q$2:$Q$295,"ARGH")</f>
        <v>9000</v>
      </c>
      <c r="GZ30" s="3">
        <f>_xlfn.XLOOKUP(GZ$1,generator!$B$2:$B$295,generator!$Q$2:$Q$295,"ARGH")</f>
        <v>9000</v>
      </c>
      <c r="HA30" s="3">
        <f>_xlfn.XLOOKUP(HA$1,generator!$B$2:$B$295,generator!$Q$2:$Q$295,"ARGH")</f>
        <v>9000</v>
      </c>
      <c r="HB30" s="3">
        <f>_xlfn.XLOOKUP(HB$1,generator!$B$2:$B$295,generator!$Q$2:$Q$295,"ARGH")</f>
        <v>9000</v>
      </c>
      <c r="HC30" s="3">
        <f>_xlfn.XLOOKUP(HC$1,generator!$B$2:$B$295,generator!$Q$2:$Q$295,"ARGH")</f>
        <v>9000</v>
      </c>
      <c r="HD30" s="3">
        <f>_xlfn.XLOOKUP(HD$1,generator!$B$2:$B$295,generator!$Q$2:$Q$295,"ARGH")</f>
        <v>9000</v>
      </c>
      <c r="HE30" s="3">
        <f>_xlfn.XLOOKUP(HE$1,generator!$B$2:$B$295,generator!$Q$2:$Q$295,"ARGH")</f>
        <v>8000</v>
      </c>
      <c r="HF30" s="3" t="str">
        <f>_xlfn.XLOOKUP(HF$1,generator!$B$2:$B$295,generator!$Q$2:$Q$295,"ARGH")</f>
        <v>143</v>
      </c>
      <c r="HG30" s="3" t="str">
        <f>_xlfn.XLOOKUP(HG$1,generator!$B$2:$B$295,generator!$Q$2:$Q$295,"ARGH")</f>
        <v>143</v>
      </c>
      <c r="HH30" s="3" t="str">
        <f>_xlfn.XLOOKUP(HH$1,generator!$B$2:$B$295,generator!$Q$2:$Q$295,"ARGH")</f>
        <v>143</v>
      </c>
      <c r="HI30" s="3" t="str">
        <f>_xlfn.XLOOKUP(HI$1,generator!$B$2:$B$295,generator!$Q$2:$Q$295,"ARGH")</f>
        <v>246.74</v>
      </c>
      <c r="HJ30" s="3" t="str">
        <f>_xlfn.XLOOKUP(HJ$1,generator!$B$2:$B$295,generator!$Q$2:$Q$295,"ARGH")</f>
        <v>246.74</v>
      </c>
      <c r="HK30" s="3" t="str">
        <f>_xlfn.XLOOKUP(HK$1,generator!$B$2:$B$295,generator!$Q$2:$Q$295,"ARGH")</f>
        <v>206.04</v>
      </c>
      <c r="HL30" s="3" t="str">
        <f>_xlfn.XLOOKUP(HL$1,generator!$B$2:$B$295,generator!$Q$2:$Q$295,"ARGH")</f>
        <v>506.96</v>
      </c>
      <c r="HM30" s="3" t="str">
        <f>_xlfn.XLOOKUP(HM$1,generator!$B$2:$B$295,generator!$Q$2:$Q$295,"ARGH")</f>
        <v>506.95</v>
      </c>
      <c r="HN30" s="3" t="str">
        <f>_xlfn.XLOOKUP(HN$1,generator!$B$2:$B$295,generator!$Q$2:$Q$295,"ARGH")</f>
        <v>190.97</v>
      </c>
      <c r="HO30" s="3" t="str">
        <f>_xlfn.XLOOKUP(HO$1,generator!$B$2:$B$295,generator!$Q$2:$Q$295,"ARGH")</f>
        <v>190.97</v>
      </c>
      <c r="HP30" s="3" t="str">
        <f>_xlfn.XLOOKUP(HP$1,generator!$B$2:$B$295,generator!$Q$2:$Q$295,"ARGH")</f>
        <v>424.84</v>
      </c>
      <c r="HQ30" s="3" t="str">
        <f>_xlfn.XLOOKUP(HQ$1,generator!$B$2:$B$295,generator!$Q$2:$Q$295,"ARGH")</f>
        <v>425.9</v>
      </c>
      <c r="HR30" s="3" t="str">
        <f>_xlfn.XLOOKUP(HR$1,generator!$B$2:$B$295,generator!$Q$2:$Q$295,"ARGH")</f>
        <v>425.9</v>
      </c>
      <c r="HS30" s="3" t="str">
        <f>_xlfn.XLOOKUP(HS$1,generator!$B$2:$B$295,generator!$Q$2:$Q$295,"ARGH")</f>
        <v>196.54</v>
      </c>
      <c r="HT30" s="3" t="str">
        <f>_xlfn.XLOOKUP(HT$1,generator!$B$2:$B$295,generator!$Q$2:$Q$295,"ARGH")</f>
        <v>196.54</v>
      </c>
      <c r="HU30" s="3" t="str">
        <f>_xlfn.XLOOKUP(HU$1,generator!$B$2:$B$295,generator!$Q$2:$Q$295,"ARGH")</f>
        <v>145.57</v>
      </c>
      <c r="HV30" s="3" t="str">
        <f>_xlfn.XLOOKUP(HV$1,generator!$B$2:$B$295,generator!$Q$2:$Q$295,"ARGH")</f>
        <v>132.62</v>
      </c>
      <c r="HW30" s="3" t="str">
        <f>_xlfn.XLOOKUP(HW$1,generator!$B$2:$B$295,generator!$Q$2:$Q$295,"ARGH")</f>
        <v>193.76</v>
      </c>
      <c r="HX30" s="3" t="str">
        <f>_xlfn.XLOOKUP(HX$1,generator!$B$2:$B$295,generator!$Q$2:$Q$295,"ARGH")</f>
        <v>193.76</v>
      </c>
      <c r="HY30" s="3" t="str">
        <f>_xlfn.XLOOKUP(HY$1,generator!$B$2:$B$295,generator!$Q$2:$Q$295,"ARGH")</f>
        <v>79.19</v>
      </c>
      <c r="HZ30" s="3" t="str">
        <f>_xlfn.XLOOKUP(HZ$1,generator!$B$2:$B$295,generator!$Q$2:$Q$295,"ARGH")</f>
        <v>125.79</v>
      </c>
      <c r="IA30" s="3" t="str">
        <f>_xlfn.XLOOKUP(IA$1,generator!$B$2:$B$295,generator!$Q$2:$Q$295,"ARGH")</f>
        <v>54.19</v>
      </c>
      <c r="IB30" s="3" t="str">
        <f>_xlfn.XLOOKUP(IB$1,generator!$B$2:$B$295,generator!$Q$2:$Q$295,"ARGH")</f>
        <v>59.7</v>
      </c>
      <c r="IC30" s="3">
        <f>_xlfn.XLOOKUP(IC$1,generator!$B$2:$B$295,generator!$Q$2:$Q$295,"ARGH")</f>
        <v>0</v>
      </c>
      <c r="ID30" s="3" t="str">
        <f>_xlfn.XLOOKUP(ID$1,generator!$B$2:$B$295,generator!$Q$2:$Q$295,"ARGH")</f>
        <v>121.14</v>
      </c>
      <c r="IE30" s="3" t="str">
        <f>_xlfn.XLOOKUP(IE$1,generator!$B$2:$B$295,generator!$Q$2:$Q$295,"ARGH")</f>
        <v>26.6</v>
      </c>
      <c r="IF30" s="3">
        <f>_xlfn.XLOOKUP(IF$1,generator!$B$2:$B$295,generator!$Q$2:$Q$295,"ARGH")</f>
        <v>8000</v>
      </c>
      <c r="IG30" s="3">
        <f>_xlfn.XLOOKUP(IG$1,generator!$B$2:$B$295,generator!$Q$2:$Q$295,"ARGH")</f>
        <v>8000</v>
      </c>
      <c r="IH30" s="3">
        <f>_xlfn.XLOOKUP(IH$1,generator!$B$2:$B$295,generator!$Q$2:$Q$295,"ARGH")</f>
        <v>8000</v>
      </c>
      <c r="II30" s="3">
        <f>_xlfn.XLOOKUP(II$1,generator!$B$2:$B$295,generator!$Q$2:$Q$295,"ARGH")</f>
        <v>8000</v>
      </c>
      <c r="IJ30" s="3">
        <f>_xlfn.XLOOKUP(IJ$1,generator!$B$2:$B$295,generator!$Q$2:$Q$295,"ARGH")</f>
        <v>8000</v>
      </c>
      <c r="IK30" s="3">
        <f>_xlfn.XLOOKUP(IK$1,generator!$B$2:$B$295,generator!$Q$2:$Q$295,"ARGH")</f>
        <v>8000</v>
      </c>
      <c r="IL30" s="3">
        <f>_xlfn.XLOOKUP(IL$1,generator!$B$2:$B$295,generator!$Q$2:$Q$295,"ARGH")</f>
        <v>8000</v>
      </c>
      <c r="IM30" s="3">
        <f>_xlfn.XLOOKUP(IM$1,generator!$B$2:$B$295,generator!$Q$2:$Q$295,"ARGH")</f>
        <v>8000</v>
      </c>
      <c r="IN30" s="3">
        <f>_xlfn.XLOOKUP(IN$1,generator!$B$2:$B$295,generator!$Q$2:$Q$295,"ARGH")</f>
        <v>8000</v>
      </c>
      <c r="IO30" s="3">
        <f>_xlfn.XLOOKUP(IO$1,generator!$B$2:$B$295,generator!$Q$2:$Q$295,"ARGH")</f>
        <v>8000</v>
      </c>
      <c r="IP30" s="3">
        <f>_xlfn.XLOOKUP(IP$1,generator!$B$2:$B$295,generator!$Q$2:$Q$295,"ARGH")</f>
        <v>8000</v>
      </c>
      <c r="IQ30" s="3">
        <f>_xlfn.XLOOKUP(IQ$1,generator!$B$2:$B$295,generator!$Q$2:$Q$295,"ARGH")</f>
        <v>8000</v>
      </c>
      <c r="IR30" s="3">
        <f>_xlfn.XLOOKUP(IR$1,generator!$B$2:$B$295,generator!$Q$2:$Q$295,"ARGH")</f>
        <v>8000</v>
      </c>
      <c r="IS30" s="3">
        <f>_xlfn.XLOOKUP(IS$1,generator!$B$2:$B$295,generator!$Q$2:$Q$295,"ARGH")</f>
        <v>8000</v>
      </c>
      <c r="IT30" s="3">
        <f>_xlfn.XLOOKUP(IT$1,generator!$B$2:$B$295,generator!$Q$2:$Q$295,"ARGH")</f>
        <v>8000</v>
      </c>
      <c r="IU30" s="3">
        <f>_xlfn.XLOOKUP(IU$1,generator!$B$2:$B$295,generator!$Q$2:$Q$295,"ARGH")</f>
        <v>8000</v>
      </c>
      <c r="IV30" s="3">
        <f>_xlfn.XLOOKUP(IV$1,generator!$B$2:$B$295,generator!$Q$2:$Q$295,"ARGH")</f>
        <v>8000</v>
      </c>
      <c r="IW30" s="3" t="str">
        <f>_xlfn.XLOOKUP(IW$1,generator!$B$2:$B$295,generator!$Q$2:$Q$295,"ARGH")</f>
        <v>108.19</v>
      </c>
      <c r="IX30" s="3" t="str">
        <f>_xlfn.XLOOKUP(IX$1,generator!$B$2:$B$295,generator!$Q$2:$Q$295,"ARGH")</f>
        <v>108.18</v>
      </c>
      <c r="IY30" s="3" t="str">
        <f>_xlfn.XLOOKUP(IY$1,generator!$B$2:$B$295,generator!$Q$2:$Q$295,"ARGH")</f>
        <v>108.17</v>
      </c>
      <c r="IZ30" s="3" t="str">
        <f>_xlfn.XLOOKUP(IZ$1,generator!$B$2:$B$295,generator!$Q$2:$Q$295,"ARGH")</f>
        <v>40.96</v>
      </c>
      <c r="JA30" s="3">
        <f>_xlfn.XLOOKUP(JA$1,generator!$B$2:$B$295,generator!$Q$2:$Q$295,"ARGH")</f>
        <v>0</v>
      </c>
      <c r="JB30" s="3">
        <f>_xlfn.XLOOKUP(JB$1,generator!$B$2:$B$295,generator!$Q$2:$Q$295,"ARGH")</f>
        <v>0</v>
      </c>
      <c r="JC30" s="3" t="str">
        <f>_xlfn.XLOOKUP(JC$1,generator!$B$2:$B$295,generator!$Q$2:$Q$295,"ARGH")</f>
        <v>75.91</v>
      </c>
      <c r="JD30" s="3" t="str">
        <f>_xlfn.XLOOKUP(JD$1,generator!$B$2:$B$295,generator!$Q$2:$Q$295,"ARGH")</f>
        <v>75.91</v>
      </c>
      <c r="JE30" s="3" t="str">
        <f>_xlfn.XLOOKUP(JE$1,generator!$B$2:$B$295,generator!$Q$2:$Q$295,"ARGH")</f>
        <v>51.59</v>
      </c>
      <c r="JF30" s="3" t="str">
        <f>_xlfn.XLOOKUP(JF$1,generator!$B$2:$B$295,generator!$Q$2:$Q$295,"ARGH")</f>
        <v>111.57</v>
      </c>
      <c r="JG30" s="3">
        <f>_xlfn.XLOOKUP(JG$1,generator!$B$2:$B$295,generator!$Q$2:$Q$295,"ARGH")</f>
        <v>0</v>
      </c>
      <c r="JH30" s="3" t="str">
        <f>_xlfn.XLOOKUP(JH$1,generator!$B$2:$B$295,generator!$Q$2:$Q$295,"ARGH")</f>
        <v>48.65</v>
      </c>
      <c r="JI30" s="3" t="str">
        <f>_xlfn.XLOOKUP(JI$1,generator!$B$2:$B$295,generator!$Q$2:$Q$295,"ARGH")</f>
        <v>71.88</v>
      </c>
      <c r="JJ30" s="3" t="str">
        <f>_xlfn.XLOOKUP(JJ$1,generator!$B$2:$B$295,generator!$Q$2:$Q$295,"ARGH")</f>
        <v>98.17</v>
      </c>
      <c r="JK30" s="3" t="str">
        <f>_xlfn.XLOOKUP(JK$1,generator!$B$2:$B$295,generator!$Q$2:$Q$295,"ARGH")</f>
        <v>98.17</v>
      </c>
      <c r="JL30" s="3" t="str">
        <f>_xlfn.XLOOKUP(JL$1,generator!$B$2:$B$295,generator!$Q$2:$Q$295,"ARGH")</f>
        <v>98.17</v>
      </c>
      <c r="JM30" s="3" t="str">
        <f>_xlfn.XLOOKUP(JM$1,generator!$B$2:$B$295,generator!$Q$2:$Q$295,"ARGH")</f>
        <v>98.17</v>
      </c>
      <c r="JN30" s="3" t="str">
        <f>_xlfn.XLOOKUP(JN$1,generator!$B$2:$B$295,generator!$Q$2:$Q$295,"ARGH")</f>
        <v>98.17</v>
      </c>
      <c r="JO30" s="3" t="str">
        <f>_xlfn.XLOOKUP(JO$1,generator!$B$2:$B$295,generator!$Q$2:$Q$295,"ARGH")</f>
        <v>98.17</v>
      </c>
      <c r="JP30" s="3" t="str">
        <f>_xlfn.XLOOKUP(JP$1,generator!$B$2:$B$295,generator!$Q$2:$Q$295,"ARGH")</f>
        <v>47.53</v>
      </c>
      <c r="JQ30" s="3" t="str">
        <f>_xlfn.XLOOKUP(JQ$1,generator!$B$2:$B$295,generator!$Q$2:$Q$295,"ARGH")</f>
        <v>108.86</v>
      </c>
      <c r="JR30" s="3" t="str">
        <f>_xlfn.XLOOKUP(JR$1,generator!$B$2:$B$295,generator!$Q$2:$Q$295,"ARGH")</f>
        <v>83.15</v>
      </c>
      <c r="JS30" s="3" t="str">
        <f>_xlfn.XLOOKUP(JS$1,generator!$B$2:$B$295,generator!$Q$2:$Q$295,"ARGH")</f>
        <v>83.15</v>
      </c>
      <c r="JT30" s="3" t="str">
        <f>_xlfn.XLOOKUP(JT$1,generator!$B$2:$B$295,generator!$Q$2:$Q$295,"ARGH")</f>
        <v>108.86</v>
      </c>
      <c r="JU30" s="3">
        <f>_xlfn.XLOOKUP(JU$1,generator!$B$2:$B$295,generator!$Q$2:$Q$295,"ARGH")</f>
        <v>0</v>
      </c>
      <c r="JV30" s="3" t="str">
        <f>_xlfn.XLOOKUP(JV$1,generator!$B$2:$B$295,generator!$Q$2:$Q$295,"ARGH")</f>
        <v>77.63</v>
      </c>
      <c r="JW30" s="3" t="str">
        <f>_xlfn.XLOOKUP(JW$1,generator!$B$2:$B$295,generator!$Q$2:$Q$295,"ARGH")</f>
        <v>77.64</v>
      </c>
      <c r="JX30" s="3" t="str">
        <f>_xlfn.XLOOKUP(JX$1,generator!$B$2:$B$295,generator!$Q$2:$Q$295,"ARGH")</f>
        <v>331.49</v>
      </c>
      <c r="JY30" s="3">
        <f>_xlfn.XLOOKUP(JY$1,generator!$B$2:$B$295,generator!$Q$2:$Q$295,"ARGH")</f>
        <v>7000</v>
      </c>
      <c r="JZ30" s="3">
        <f>_xlfn.XLOOKUP(JZ$1,generator!$B$2:$B$295,generator!$Q$2:$Q$295,"ARGH")</f>
        <v>0</v>
      </c>
      <c r="KA30" s="3">
        <f>_xlfn.XLOOKUP(KA$1,generator!$B$2:$B$295,generator!$Q$2:$Q$295,"ARGH")</f>
        <v>0</v>
      </c>
      <c r="KB30" s="3">
        <f>_xlfn.XLOOKUP(KB$1,generator!$B$2:$B$295,generator!$Q$2:$Q$295,"ARGH")</f>
        <v>0</v>
      </c>
      <c r="KC30" s="3">
        <f>_xlfn.XLOOKUP(KC$1,generator!$B$2:$B$295,generator!$Q$2:$Q$295,"ARGH")</f>
        <v>0</v>
      </c>
    </row>
    <row r="31" spans="1:289" x14ac:dyDescent="0.3">
      <c r="A31" s="4" t="s">
        <v>3026</v>
      </c>
      <c r="B31" s="3">
        <v>15000</v>
      </c>
      <c r="C31" s="3">
        <v>15000</v>
      </c>
      <c r="D31" s="3">
        <v>15000</v>
      </c>
      <c r="E31" s="3">
        <f>_xlfn.XLOOKUP(E$1,generator!$B$2:$B$295,generator!$Q$2:$Q$295,"ARGH")</f>
        <v>9000</v>
      </c>
      <c r="F31" s="3">
        <f>_xlfn.XLOOKUP(F$1,generator!$B$2:$B$295,generator!$Q$2:$Q$295,"ARGH")</f>
        <v>9000</v>
      </c>
      <c r="G31" s="3">
        <f>_xlfn.XLOOKUP(G$1,generator!$B$2:$B$295,generator!$Q$2:$Q$295,"ARGH")</f>
        <v>9000</v>
      </c>
      <c r="H31" s="3">
        <f>_xlfn.XLOOKUP(H$1,generator!$B$2:$B$295,generator!$Q$2:$Q$295,"ARGH")</f>
        <v>9000</v>
      </c>
      <c r="I31" s="3">
        <f>_xlfn.XLOOKUP(I$1,generator!$B$2:$B$295,generator!$Q$2:$Q$295,"ARGH")</f>
        <v>9000</v>
      </c>
      <c r="J31" s="3">
        <f>_xlfn.XLOOKUP(J$1,generator!$B$2:$B$295,generator!$Q$2:$Q$295,"ARGH")</f>
        <v>9000</v>
      </c>
      <c r="K31" s="3">
        <f>_xlfn.XLOOKUP(K$1,generator!$B$2:$B$295,generator!$Q$2:$Q$295,"ARGH")</f>
        <v>9000</v>
      </c>
      <c r="L31" s="3">
        <f>_xlfn.XLOOKUP(L$1,generator!$B$2:$B$295,generator!$Q$2:$Q$295,"ARGH")</f>
        <v>9000</v>
      </c>
      <c r="M31" s="3">
        <f>_xlfn.XLOOKUP(M$1,generator!$B$2:$B$295,generator!$Q$2:$Q$295,"ARGH")</f>
        <v>9000</v>
      </c>
      <c r="N31" s="3">
        <f>_xlfn.XLOOKUP(N$1,generator!$B$2:$B$295,generator!$Q$2:$Q$295,"ARGH")</f>
        <v>9000</v>
      </c>
      <c r="O31" s="3">
        <f>_xlfn.XLOOKUP(O$1,generator!$B$2:$B$295,generator!$Q$2:$Q$295,"ARGH")</f>
        <v>9000</v>
      </c>
      <c r="P31" s="3">
        <f>_xlfn.XLOOKUP(P$1,generator!$B$2:$B$295,generator!$Q$2:$Q$295,"ARGH")</f>
        <v>9000</v>
      </c>
      <c r="Q31" s="3">
        <f>_xlfn.XLOOKUP(Q$1,generator!$B$2:$B$295,generator!$Q$2:$Q$295,"ARGH")</f>
        <v>9000</v>
      </c>
      <c r="R31" s="3">
        <f>_xlfn.XLOOKUP(R$1,generator!$B$2:$B$295,generator!$Q$2:$Q$295,"ARGH")</f>
        <v>9000</v>
      </c>
      <c r="S31" s="3">
        <f>_xlfn.XLOOKUP(S$1,generator!$B$2:$B$295,generator!$Q$2:$Q$295,"ARGH")</f>
        <v>9000</v>
      </c>
      <c r="T31" s="3">
        <f>_xlfn.XLOOKUP(T$1,generator!$B$2:$B$295,generator!$Q$2:$Q$295,"ARGH")</f>
        <v>9000</v>
      </c>
      <c r="U31" s="3">
        <f>_xlfn.XLOOKUP(U$1,generator!$B$2:$B$295,generator!$Q$2:$Q$295,"ARGH")</f>
        <v>9000</v>
      </c>
      <c r="V31" s="3">
        <f>_xlfn.XLOOKUP(V$1,generator!$B$2:$B$295,generator!$Q$2:$Q$295,"ARGH")</f>
        <v>9000</v>
      </c>
      <c r="W31" s="3">
        <f>_xlfn.XLOOKUP(W$1,generator!$B$2:$B$295,generator!$Q$2:$Q$295,"ARGH")</f>
        <v>9000</v>
      </c>
      <c r="X31" s="3">
        <f>_xlfn.XLOOKUP(X$1,generator!$B$2:$B$295,generator!$Q$2:$Q$295,"ARGH")</f>
        <v>9000</v>
      </c>
      <c r="Y31" s="3">
        <f>_xlfn.XLOOKUP(Y$1,generator!$B$2:$B$295,generator!$Q$2:$Q$295,"ARGH")</f>
        <v>9000</v>
      </c>
      <c r="Z31" s="3">
        <f>_xlfn.XLOOKUP(Z$1,generator!$B$2:$B$295,generator!$Q$2:$Q$295,"ARGH")</f>
        <v>9000</v>
      </c>
      <c r="AA31" s="3">
        <f>_xlfn.XLOOKUP(AA$1,generator!$B$2:$B$295,generator!$Q$2:$Q$295,"ARGH")</f>
        <v>9000</v>
      </c>
      <c r="AB31" s="3">
        <f>_xlfn.XLOOKUP(AB$1,generator!$B$2:$B$295,generator!$Q$2:$Q$295,"ARGH")</f>
        <v>9000</v>
      </c>
      <c r="AC31" s="3">
        <f>_xlfn.XLOOKUP(AC$1,generator!$B$2:$B$295,generator!$Q$2:$Q$295,"ARGH")</f>
        <v>9000</v>
      </c>
      <c r="AD31" s="3">
        <f>_xlfn.XLOOKUP(AD$1,generator!$B$2:$B$295,generator!$Q$2:$Q$295,"ARGH")</f>
        <v>9000</v>
      </c>
      <c r="AE31" s="3">
        <f>_xlfn.XLOOKUP(AE$1,generator!$B$2:$B$295,generator!$Q$2:$Q$295,"ARGH")</f>
        <v>9000</v>
      </c>
      <c r="AF31" s="3">
        <f>_xlfn.XLOOKUP(AF$1,generator!$B$2:$B$295,generator!$Q$2:$Q$295,"ARGH")</f>
        <v>9000</v>
      </c>
      <c r="AG31" s="3">
        <f>_xlfn.XLOOKUP(AG$1,generator!$B$2:$B$295,generator!$Q$2:$Q$295,"ARGH")</f>
        <v>9000</v>
      </c>
      <c r="AH31" s="3">
        <f>_xlfn.XLOOKUP(AH$1,generator!$B$2:$B$295,generator!$Q$2:$Q$295,"ARGH")</f>
        <v>9000</v>
      </c>
      <c r="AI31" s="3">
        <f>_xlfn.XLOOKUP(AI$1,generator!$B$2:$B$295,generator!$Q$2:$Q$295,"ARGH")</f>
        <v>9000</v>
      </c>
      <c r="AJ31" s="3">
        <f>_xlfn.XLOOKUP(AJ$1,generator!$B$2:$B$295,generator!$Q$2:$Q$295,"ARGH")</f>
        <v>9000</v>
      </c>
      <c r="AK31" s="3">
        <f>_xlfn.XLOOKUP(AK$1,generator!$B$2:$B$295,generator!$Q$2:$Q$295,"ARGH")</f>
        <v>9000</v>
      </c>
      <c r="AL31" s="3">
        <f>_xlfn.XLOOKUP(AL$1,generator!$B$2:$B$295,generator!$Q$2:$Q$295,"ARGH")</f>
        <v>9000</v>
      </c>
      <c r="AM31" s="3">
        <f>_xlfn.XLOOKUP(AM$1,generator!$B$2:$B$295,generator!$Q$2:$Q$295,"ARGH")</f>
        <v>9000</v>
      </c>
      <c r="AN31" s="3">
        <f>_xlfn.XLOOKUP(AN$1,generator!$B$2:$B$295,generator!$Q$2:$Q$295,"ARGH")</f>
        <v>9000</v>
      </c>
      <c r="AO31" s="3">
        <f>_xlfn.XLOOKUP(AO$1,generator!$B$2:$B$295,generator!$Q$2:$Q$295,"ARGH")</f>
        <v>9000</v>
      </c>
      <c r="AP31" s="3">
        <f>_xlfn.XLOOKUP(AP$1,generator!$B$2:$B$295,generator!$Q$2:$Q$295,"ARGH")</f>
        <v>9000</v>
      </c>
      <c r="AQ31" s="3">
        <f>_xlfn.XLOOKUP(AQ$1,generator!$B$2:$B$295,generator!$Q$2:$Q$295,"ARGH")</f>
        <v>9000</v>
      </c>
      <c r="AR31" s="3">
        <f>_xlfn.XLOOKUP(AR$1,generator!$B$2:$B$295,generator!$Q$2:$Q$295,"ARGH")</f>
        <v>9000</v>
      </c>
      <c r="AS31" s="3">
        <f>_xlfn.XLOOKUP(AS$1,generator!$B$2:$B$295,generator!$Q$2:$Q$295,"ARGH")</f>
        <v>9000</v>
      </c>
      <c r="AT31" s="3">
        <f>_xlfn.XLOOKUP(AT$1,generator!$B$2:$B$295,generator!$Q$2:$Q$295,"ARGH")</f>
        <v>9000</v>
      </c>
      <c r="AU31" s="3">
        <f>_xlfn.XLOOKUP(AU$1,generator!$B$2:$B$295,generator!$Q$2:$Q$295,"ARGH")</f>
        <v>9000</v>
      </c>
      <c r="AV31" s="3">
        <f>_xlfn.XLOOKUP(AV$1,generator!$B$2:$B$295,generator!$Q$2:$Q$295,"ARGH")</f>
        <v>9000</v>
      </c>
      <c r="AW31" s="3">
        <f>_xlfn.XLOOKUP(AW$1,generator!$B$2:$B$295,generator!$Q$2:$Q$295,"ARGH")</f>
        <v>9000</v>
      </c>
      <c r="AX31" s="3">
        <f>_xlfn.XLOOKUP(AX$1,generator!$B$2:$B$295,generator!$Q$2:$Q$295,"ARGH")</f>
        <v>9000</v>
      </c>
      <c r="AY31" s="3">
        <f>_xlfn.XLOOKUP(AY$1,generator!$B$2:$B$295,generator!$Q$2:$Q$295,"ARGH")</f>
        <v>9000</v>
      </c>
      <c r="AZ31" s="3">
        <f>_xlfn.XLOOKUP(AZ$1,generator!$B$2:$B$295,generator!$Q$2:$Q$295,"ARGH")</f>
        <v>9000</v>
      </c>
      <c r="BA31" s="3">
        <f>_xlfn.XLOOKUP(BA$1,generator!$B$2:$B$295,generator!$Q$2:$Q$295,"ARGH")</f>
        <v>9000</v>
      </c>
      <c r="BB31" s="3">
        <f>_xlfn.XLOOKUP(BB$1,generator!$B$2:$B$295,generator!$Q$2:$Q$295,"ARGH")</f>
        <v>9000</v>
      </c>
      <c r="BC31" s="3">
        <f>_xlfn.XLOOKUP(BC$1,generator!$B$2:$B$295,generator!$Q$2:$Q$295,"ARGH")</f>
        <v>9000</v>
      </c>
      <c r="BD31" s="3">
        <f>_xlfn.XLOOKUP(BD$1,generator!$B$2:$B$295,generator!$Q$2:$Q$295,"ARGH")</f>
        <v>9000</v>
      </c>
      <c r="BE31" s="3">
        <f>_xlfn.XLOOKUP(BE$1,generator!$B$2:$B$295,generator!$Q$2:$Q$295,"ARGH")</f>
        <v>9000</v>
      </c>
      <c r="BF31" s="3">
        <f>_xlfn.XLOOKUP(BF$1,generator!$B$2:$B$295,generator!$Q$2:$Q$295,"ARGH")</f>
        <v>9000</v>
      </c>
      <c r="BG31" s="3">
        <f>_xlfn.XLOOKUP(BG$1,generator!$B$2:$B$295,generator!$Q$2:$Q$295,"ARGH")</f>
        <v>9000</v>
      </c>
      <c r="BH31" s="3">
        <f>_xlfn.XLOOKUP(BH$1,generator!$B$2:$B$295,generator!$Q$2:$Q$295,"ARGH")</f>
        <v>9000</v>
      </c>
      <c r="BI31" s="3">
        <f>_xlfn.XLOOKUP(BI$1,generator!$B$2:$B$295,generator!$Q$2:$Q$295,"ARGH")</f>
        <v>9000</v>
      </c>
      <c r="BJ31" s="3">
        <f>_xlfn.XLOOKUP(BJ$1,generator!$B$2:$B$295,generator!$Q$2:$Q$295,"ARGH")</f>
        <v>9000</v>
      </c>
      <c r="BK31" s="3">
        <f>_xlfn.XLOOKUP(BK$1,generator!$B$2:$B$295,generator!$Q$2:$Q$295,"ARGH")</f>
        <v>9000</v>
      </c>
      <c r="BL31" s="3">
        <f>_xlfn.XLOOKUP(BL$1,generator!$B$2:$B$295,generator!$Q$2:$Q$295,"ARGH")</f>
        <v>9000</v>
      </c>
      <c r="BM31" s="3">
        <f>_xlfn.XLOOKUP(BM$1,generator!$B$2:$B$295,generator!$Q$2:$Q$295,"ARGH")</f>
        <v>9000</v>
      </c>
      <c r="BN31" s="3">
        <f>_xlfn.XLOOKUP(BN$1,generator!$B$2:$B$295,generator!$Q$2:$Q$295,"ARGH")</f>
        <v>9000</v>
      </c>
      <c r="BO31" s="3">
        <f>_xlfn.XLOOKUP(BO$1,generator!$B$2:$B$295,generator!$Q$2:$Q$295,"ARGH")</f>
        <v>9000</v>
      </c>
      <c r="BP31" s="3">
        <f>_xlfn.XLOOKUP(BP$1,generator!$B$2:$B$295,generator!$Q$2:$Q$295,"ARGH")</f>
        <v>9000</v>
      </c>
      <c r="BQ31" s="3">
        <f>_xlfn.XLOOKUP(BQ$1,generator!$B$2:$B$295,generator!$Q$2:$Q$295,"ARGH")</f>
        <v>9000</v>
      </c>
      <c r="BR31" s="3">
        <f>_xlfn.XLOOKUP(BR$1,generator!$B$2:$B$295,generator!$Q$2:$Q$295,"ARGH")</f>
        <v>9000</v>
      </c>
      <c r="BS31" s="3">
        <f>_xlfn.XLOOKUP(BS$1,generator!$B$2:$B$295,generator!$Q$2:$Q$295,"ARGH")</f>
        <v>9000</v>
      </c>
      <c r="BT31" s="3">
        <f>_xlfn.XLOOKUP(BT$1,generator!$B$2:$B$295,generator!$Q$2:$Q$295,"ARGH")</f>
        <v>9000</v>
      </c>
      <c r="BU31" s="3">
        <f>_xlfn.XLOOKUP(BU$1,generator!$B$2:$B$295,generator!$Q$2:$Q$295,"ARGH")</f>
        <v>9000</v>
      </c>
      <c r="BV31" s="3">
        <f>_xlfn.XLOOKUP(BV$1,generator!$B$2:$B$295,generator!$Q$2:$Q$295,"ARGH")</f>
        <v>9000</v>
      </c>
      <c r="BW31" s="3">
        <f>_xlfn.XLOOKUP(BW$1,generator!$B$2:$B$295,generator!$Q$2:$Q$295,"ARGH")</f>
        <v>9000</v>
      </c>
      <c r="BX31" s="3">
        <f>_xlfn.XLOOKUP(BX$1,generator!$B$2:$B$295,generator!$Q$2:$Q$295,"ARGH")</f>
        <v>9000</v>
      </c>
      <c r="BY31" s="3">
        <f>_xlfn.XLOOKUP(BY$1,generator!$B$2:$B$295,generator!$Q$2:$Q$295,"ARGH")</f>
        <v>9000</v>
      </c>
      <c r="BZ31" s="3">
        <f>_xlfn.XLOOKUP(BZ$1,generator!$B$2:$B$295,generator!$Q$2:$Q$295,"ARGH")</f>
        <v>9000</v>
      </c>
      <c r="CA31" s="3">
        <f>_xlfn.XLOOKUP(CA$1,generator!$B$2:$B$295,generator!$Q$2:$Q$295,"ARGH")</f>
        <v>9000</v>
      </c>
      <c r="CB31" s="3">
        <f>_xlfn.XLOOKUP(CB$1,generator!$B$2:$B$295,generator!$Q$2:$Q$295,"ARGH")</f>
        <v>9000</v>
      </c>
      <c r="CC31" s="3">
        <f>_xlfn.XLOOKUP(CC$1,generator!$B$2:$B$295,generator!$Q$2:$Q$295,"ARGH")</f>
        <v>9000</v>
      </c>
      <c r="CD31" s="3">
        <f>_xlfn.XLOOKUP(CD$1,generator!$B$2:$B$295,generator!$Q$2:$Q$295,"ARGH")</f>
        <v>9000</v>
      </c>
      <c r="CE31" s="3">
        <f>_xlfn.XLOOKUP(CE$1,generator!$B$2:$B$295,generator!$Q$2:$Q$295,"ARGH")</f>
        <v>9000</v>
      </c>
      <c r="CF31" s="3">
        <f>_xlfn.XLOOKUP(CF$1,generator!$B$2:$B$295,generator!$Q$2:$Q$295,"ARGH")</f>
        <v>9000</v>
      </c>
      <c r="CG31" s="3">
        <f>_xlfn.XLOOKUP(CG$1,generator!$B$2:$B$295,generator!$Q$2:$Q$295,"ARGH")</f>
        <v>9000</v>
      </c>
      <c r="CH31" s="3">
        <f>_xlfn.XLOOKUP(CH$1,generator!$B$2:$B$295,generator!$Q$2:$Q$295,"ARGH")</f>
        <v>9000</v>
      </c>
      <c r="CI31" s="3">
        <f>_xlfn.XLOOKUP(CI$1,generator!$B$2:$B$295,generator!$Q$2:$Q$295,"ARGH")</f>
        <v>9000</v>
      </c>
      <c r="CJ31" s="3">
        <f>_xlfn.XLOOKUP(CJ$1,generator!$B$2:$B$295,generator!$Q$2:$Q$295,"ARGH")</f>
        <v>9000</v>
      </c>
      <c r="CK31" s="3">
        <f>_xlfn.XLOOKUP(CK$1,generator!$B$2:$B$295,generator!$Q$2:$Q$295,"ARGH")</f>
        <v>9000</v>
      </c>
      <c r="CL31" s="3">
        <f>_xlfn.XLOOKUP(CL$1,generator!$B$2:$B$295,generator!$Q$2:$Q$295,"ARGH")</f>
        <v>9000</v>
      </c>
      <c r="CM31" s="3">
        <f>_xlfn.XLOOKUP(CM$1,generator!$B$2:$B$295,generator!$Q$2:$Q$295,"ARGH")</f>
        <v>9000</v>
      </c>
      <c r="CN31" s="3">
        <f>_xlfn.XLOOKUP(CN$1,generator!$B$2:$B$295,generator!$Q$2:$Q$295,"ARGH")</f>
        <v>9000</v>
      </c>
      <c r="CO31" s="3">
        <f>_xlfn.XLOOKUP(CO$1,generator!$B$2:$B$295,generator!$Q$2:$Q$295,"ARGH")</f>
        <v>9000</v>
      </c>
      <c r="CP31" s="3">
        <f>_xlfn.XLOOKUP(CP$1,generator!$B$2:$B$295,generator!$Q$2:$Q$295,"ARGH")</f>
        <v>9000</v>
      </c>
      <c r="CQ31" s="3">
        <f>_xlfn.XLOOKUP(CQ$1,generator!$B$2:$B$295,generator!$Q$2:$Q$295,"ARGH")</f>
        <v>9000</v>
      </c>
      <c r="CR31" s="3">
        <f>_xlfn.XLOOKUP(CR$1,generator!$B$2:$B$295,generator!$Q$2:$Q$295,"ARGH")</f>
        <v>9000</v>
      </c>
      <c r="CS31" s="3">
        <f>_xlfn.XLOOKUP(CS$1,generator!$B$2:$B$295,generator!$Q$2:$Q$295,"ARGH")</f>
        <v>9000</v>
      </c>
      <c r="CT31" s="3">
        <f>_xlfn.XLOOKUP(CT$1,generator!$B$2:$B$295,generator!$Q$2:$Q$295,"ARGH")</f>
        <v>9000</v>
      </c>
      <c r="CU31" s="3">
        <f>_xlfn.XLOOKUP(CU$1,generator!$B$2:$B$295,generator!$Q$2:$Q$295,"ARGH")</f>
        <v>9000</v>
      </c>
      <c r="CV31" s="3">
        <f>_xlfn.XLOOKUP(CV$1,generator!$B$2:$B$295,generator!$Q$2:$Q$295,"ARGH")</f>
        <v>9000</v>
      </c>
      <c r="CW31" s="3">
        <f>_xlfn.XLOOKUP(CW$1,generator!$B$2:$B$295,generator!$Q$2:$Q$295,"ARGH")</f>
        <v>9000</v>
      </c>
      <c r="CX31" s="3">
        <f>_xlfn.XLOOKUP(CX$1,generator!$B$2:$B$295,generator!$Q$2:$Q$295,"ARGH")</f>
        <v>9000</v>
      </c>
      <c r="CY31" s="3">
        <f>_xlfn.XLOOKUP(CY$1,generator!$B$2:$B$295,generator!$Q$2:$Q$295,"ARGH")</f>
        <v>9000</v>
      </c>
      <c r="CZ31" s="3">
        <f>_xlfn.XLOOKUP(CZ$1,generator!$B$2:$B$295,generator!$Q$2:$Q$295,"ARGH")</f>
        <v>9000</v>
      </c>
      <c r="DA31" s="3">
        <f>_xlfn.XLOOKUP(DA$1,generator!$B$2:$B$295,generator!$Q$2:$Q$295,"ARGH")</f>
        <v>9000</v>
      </c>
      <c r="DB31" s="3">
        <f>_xlfn.XLOOKUP(DB$1,generator!$B$2:$B$295,generator!$Q$2:$Q$295,"ARGH")</f>
        <v>9000</v>
      </c>
      <c r="DC31" s="3">
        <f>_xlfn.XLOOKUP(DC$1,generator!$B$2:$B$295,generator!$Q$2:$Q$295,"ARGH")</f>
        <v>9000</v>
      </c>
      <c r="DD31" s="3">
        <f>_xlfn.XLOOKUP(DD$1,generator!$B$2:$B$295,generator!$Q$2:$Q$295,"ARGH")</f>
        <v>9000</v>
      </c>
      <c r="DE31" s="3">
        <f>_xlfn.XLOOKUP(DE$1,generator!$B$2:$B$295,generator!$Q$2:$Q$295,"ARGH")</f>
        <v>9000</v>
      </c>
      <c r="DF31" s="3">
        <f>_xlfn.XLOOKUP(DF$1,generator!$B$2:$B$295,generator!$Q$2:$Q$295,"ARGH")</f>
        <v>9000</v>
      </c>
      <c r="DG31" s="3">
        <f>_xlfn.XLOOKUP(DG$1,generator!$B$2:$B$295,generator!$Q$2:$Q$295,"ARGH")</f>
        <v>9000</v>
      </c>
      <c r="DH31" s="3">
        <f>_xlfn.XLOOKUP(DH$1,generator!$B$2:$B$295,generator!$Q$2:$Q$295,"ARGH")</f>
        <v>9000</v>
      </c>
      <c r="DI31" s="3">
        <f>_xlfn.XLOOKUP(DI$1,generator!$B$2:$B$295,generator!$Q$2:$Q$295,"ARGH")</f>
        <v>9000</v>
      </c>
      <c r="DJ31" s="3">
        <f>_xlfn.XLOOKUP(DJ$1,generator!$B$2:$B$295,generator!$Q$2:$Q$295,"ARGH")</f>
        <v>9000</v>
      </c>
      <c r="DK31" s="3">
        <f>_xlfn.XLOOKUP(DK$1,generator!$B$2:$B$295,generator!$Q$2:$Q$295,"ARGH")</f>
        <v>9000</v>
      </c>
      <c r="DL31" s="3">
        <f>_xlfn.XLOOKUP(DL$1,generator!$B$2:$B$295,generator!$Q$2:$Q$295,"ARGH")</f>
        <v>9000</v>
      </c>
      <c r="DM31" s="3">
        <f>_xlfn.XLOOKUP(DM$1,generator!$B$2:$B$295,generator!$Q$2:$Q$295,"ARGH")</f>
        <v>9000</v>
      </c>
      <c r="DN31" s="3">
        <f>_xlfn.XLOOKUP(DN$1,generator!$B$2:$B$295,generator!$Q$2:$Q$295,"ARGH")</f>
        <v>9000</v>
      </c>
      <c r="DO31" s="3">
        <f>_xlfn.XLOOKUP(DO$1,generator!$B$2:$B$295,generator!$Q$2:$Q$295,"ARGH")</f>
        <v>9000</v>
      </c>
      <c r="DP31" s="3">
        <f>_xlfn.XLOOKUP(DP$1,generator!$B$2:$B$295,generator!$Q$2:$Q$295,"ARGH")</f>
        <v>9000</v>
      </c>
      <c r="DQ31" s="3">
        <f>_xlfn.XLOOKUP(DQ$1,generator!$B$2:$B$295,generator!$Q$2:$Q$295,"ARGH")</f>
        <v>9000</v>
      </c>
      <c r="DR31" s="3">
        <f>_xlfn.XLOOKUP(DR$1,generator!$B$2:$B$295,generator!$Q$2:$Q$295,"ARGH")</f>
        <v>9000</v>
      </c>
      <c r="DS31" s="3">
        <f>_xlfn.XLOOKUP(DS$1,generator!$B$2:$B$295,generator!$Q$2:$Q$295,"ARGH")</f>
        <v>9000</v>
      </c>
      <c r="DT31" s="3">
        <f>_xlfn.XLOOKUP(DT$1,generator!$B$2:$B$295,generator!$Q$2:$Q$295,"ARGH")</f>
        <v>9000</v>
      </c>
      <c r="DU31" s="3">
        <f>_xlfn.XLOOKUP(DU$1,generator!$B$2:$B$295,generator!$Q$2:$Q$295,"ARGH")</f>
        <v>9000</v>
      </c>
      <c r="DV31" s="3">
        <f>_xlfn.XLOOKUP(DV$1,generator!$B$2:$B$295,generator!$Q$2:$Q$295,"ARGH")</f>
        <v>9000</v>
      </c>
      <c r="DW31" s="3">
        <f>_xlfn.XLOOKUP(DW$1,generator!$B$2:$B$295,generator!$Q$2:$Q$295,"ARGH")</f>
        <v>9000</v>
      </c>
      <c r="DX31" s="3">
        <f>_xlfn.XLOOKUP(DX$1,generator!$B$2:$B$295,generator!$Q$2:$Q$295,"ARGH")</f>
        <v>9000</v>
      </c>
      <c r="DY31" s="3">
        <f>_xlfn.XLOOKUP(DY$1,generator!$B$2:$B$295,generator!$Q$2:$Q$295,"ARGH")</f>
        <v>9000</v>
      </c>
      <c r="DZ31" s="3">
        <f>_xlfn.XLOOKUP(DZ$1,generator!$B$2:$B$295,generator!$Q$2:$Q$295,"ARGH")</f>
        <v>9000</v>
      </c>
      <c r="EA31" s="3">
        <f>_xlfn.XLOOKUP(EA$1,generator!$B$2:$B$295,generator!$Q$2:$Q$295,"ARGH")</f>
        <v>9000</v>
      </c>
      <c r="EB31" s="3">
        <f>_xlfn.XLOOKUP(EB$1,generator!$B$2:$B$295,generator!$Q$2:$Q$295,"ARGH")</f>
        <v>9000</v>
      </c>
      <c r="EC31" s="3">
        <f>_xlfn.XLOOKUP(EC$1,generator!$B$2:$B$295,generator!$Q$2:$Q$295,"ARGH")</f>
        <v>9000</v>
      </c>
      <c r="ED31" s="3">
        <f>_xlfn.XLOOKUP(ED$1,generator!$B$2:$B$295,generator!$Q$2:$Q$295,"ARGH")</f>
        <v>9000</v>
      </c>
      <c r="EE31" s="3">
        <f>_xlfn.XLOOKUP(EE$1,generator!$B$2:$B$295,generator!$Q$2:$Q$295,"ARGH")</f>
        <v>9000</v>
      </c>
      <c r="EF31" s="3">
        <f>_xlfn.XLOOKUP(EF$1,generator!$B$2:$B$295,generator!$Q$2:$Q$295,"ARGH")</f>
        <v>9000</v>
      </c>
      <c r="EG31" s="3">
        <f>_xlfn.XLOOKUP(EG$1,generator!$B$2:$B$295,generator!$Q$2:$Q$295,"ARGH")</f>
        <v>9000</v>
      </c>
      <c r="EH31" s="3">
        <f>_xlfn.XLOOKUP(EH$1,generator!$B$2:$B$295,generator!$Q$2:$Q$295,"ARGH")</f>
        <v>9000</v>
      </c>
      <c r="EI31" s="3">
        <f>_xlfn.XLOOKUP(EI$1,generator!$B$2:$B$295,generator!$Q$2:$Q$295,"ARGH")</f>
        <v>9000</v>
      </c>
      <c r="EJ31" s="3">
        <f>_xlfn.XLOOKUP(EJ$1,generator!$B$2:$B$295,generator!$Q$2:$Q$295,"ARGH")</f>
        <v>9000</v>
      </c>
      <c r="EK31" s="3">
        <f>_xlfn.XLOOKUP(EK$1,generator!$B$2:$B$295,generator!$Q$2:$Q$295,"ARGH")</f>
        <v>9000</v>
      </c>
      <c r="EL31" s="3">
        <f>_xlfn.XLOOKUP(EL$1,generator!$B$2:$B$295,generator!$Q$2:$Q$295,"ARGH")</f>
        <v>9000</v>
      </c>
      <c r="EM31" s="3">
        <f>_xlfn.XLOOKUP(EM$1,generator!$B$2:$B$295,generator!$Q$2:$Q$295,"ARGH")</f>
        <v>9000</v>
      </c>
      <c r="EN31" s="3">
        <f>_xlfn.XLOOKUP(EN$1,generator!$B$2:$B$295,generator!$Q$2:$Q$295,"ARGH")</f>
        <v>9000</v>
      </c>
      <c r="EO31" s="3">
        <f>_xlfn.XLOOKUP(EO$1,generator!$B$2:$B$295,generator!$Q$2:$Q$295,"ARGH")</f>
        <v>9000</v>
      </c>
      <c r="EP31" s="3">
        <f>_xlfn.XLOOKUP(EP$1,generator!$B$2:$B$295,generator!$Q$2:$Q$295,"ARGH")</f>
        <v>9000</v>
      </c>
      <c r="EQ31" s="3">
        <f>_xlfn.XLOOKUP(EQ$1,generator!$B$2:$B$295,generator!$Q$2:$Q$295,"ARGH")</f>
        <v>9000</v>
      </c>
      <c r="ER31" s="3">
        <f>_xlfn.XLOOKUP(ER$1,generator!$B$2:$B$295,generator!$Q$2:$Q$295,"ARGH")</f>
        <v>9000</v>
      </c>
      <c r="ES31" s="3">
        <f>_xlfn.XLOOKUP(ES$1,generator!$B$2:$B$295,generator!$Q$2:$Q$295,"ARGH")</f>
        <v>9000</v>
      </c>
      <c r="ET31" s="3">
        <f>_xlfn.XLOOKUP(ET$1,generator!$B$2:$B$295,generator!$Q$2:$Q$295,"ARGH")</f>
        <v>9000</v>
      </c>
      <c r="EU31" s="3">
        <f>_xlfn.XLOOKUP(EU$1,generator!$B$2:$B$295,generator!$Q$2:$Q$295,"ARGH")</f>
        <v>9000</v>
      </c>
      <c r="EV31" s="3">
        <f>_xlfn.XLOOKUP(EV$1,generator!$B$2:$B$295,generator!$Q$2:$Q$295,"ARGH")</f>
        <v>9000</v>
      </c>
      <c r="EW31" s="3">
        <f>_xlfn.XLOOKUP(EW$1,generator!$B$2:$B$295,generator!$Q$2:$Q$295,"ARGH")</f>
        <v>9000</v>
      </c>
      <c r="EX31" s="3">
        <f>_xlfn.XLOOKUP(EX$1,generator!$B$2:$B$295,generator!$Q$2:$Q$295,"ARGH")</f>
        <v>9000</v>
      </c>
      <c r="EY31" s="3">
        <f>_xlfn.XLOOKUP(EY$1,generator!$B$2:$B$295,generator!$Q$2:$Q$295,"ARGH")</f>
        <v>9000</v>
      </c>
      <c r="EZ31" s="3">
        <f>_xlfn.XLOOKUP(EZ$1,generator!$B$2:$B$295,generator!$Q$2:$Q$295,"ARGH")</f>
        <v>9000</v>
      </c>
      <c r="FA31" s="3">
        <f>_xlfn.XLOOKUP(FA$1,generator!$B$2:$B$295,generator!$Q$2:$Q$295,"ARGH")</f>
        <v>9000</v>
      </c>
      <c r="FB31" s="3">
        <f>_xlfn.XLOOKUP(FB$1,generator!$B$2:$B$295,generator!$Q$2:$Q$295,"ARGH")</f>
        <v>9000</v>
      </c>
      <c r="FC31" s="3">
        <f>_xlfn.XLOOKUP(FC$1,generator!$B$2:$B$295,generator!$Q$2:$Q$295,"ARGH")</f>
        <v>9000</v>
      </c>
      <c r="FD31" s="3">
        <f>_xlfn.XLOOKUP(FD$1,generator!$B$2:$B$295,generator!$Q$2:$Q$295,"ARGH")</f>
        <v>9000</v>
      </c>
      <c r="FE31" s="3">
        <f>_xlfn.XLOOKUP(FE$1,generator!$B$2:$B$295,generator!$Q$2:$Q$295,"ARGH")</f>
        <v>9000</v>
      </c>
      <c r="FF31" s="3">
        <f>_xlfn.XLOOKUP(FF$1,generator!$B$2:$B$295,generator!$Q$2:$Q$295,"ARGH")</f>
        <v>9000</v>
      </c>
      <c r="FG31" s="3">
        <f>_xlfn.XLOOKUP(FG$1,generator!$B$2:$B$295,generator!$Q$2:$Q$295,"ARGH")</f>
        <v>9000</v>
      </c>
      <c r="FH31" s="3">
        <f>_xlfn.XLOOKUP(FH$1,generator!$B$2:$B$295,generator!$Q$2:$Q$295,"ARGH")</f>
        <v>9000</v>
      </c>
      <c r="FI31" s="3">
        <f>_xlfn.XLOOKUP(FI$1,generator!$B$2:$B$295,generator!$Q$2:$Q$295,"ARGH")</f>
        <v>9000</v>
      </c>
      <c r="FJ31" s="3">
        <f>_xlfn.XLOOKUP(FJ$1,generator!$B$2:$B$295,generator!$Q$2:$Q$295,"ARGH")</f>
        <v>9000</v>
      </c>
      <c r="FK31" s="3">
        <f>_xlfn.XLOOKUP(FK$1,generator!$B$2:$B$295,generator!$Q$2:$Q$295,"ARGH")</f>
        <v>9000</v>
      </c>
      <c r="FL31" s="3">
        <f>_xlfn.XLOOKUP(FL$1,generator!$B$2:$B$295,generator!$Q$2:$Q$295,"ARGH")</f>
        <v>9000</v>
      </c>
      <c r="FM31" s="3">
        <f>_xlfn.XLOOKUP(FM$1,generator!$B$2:$B$295,generator!$Q$2:$Q$295,"ARGH")</f>
        <v>9000</v>
      </c>
      <c r="FN31" s="3">
        <f>_xlfn.XLOOKUP(FN$1,generator!$B$2:$B$295,generator!$Q$2:$Q$295,"ARGH")</f>
        <v>9000</v>
      </c>
      <c r="FO31" s="3">
        <f>_xlfn.XLOOKUP(FO$1,generator!$B$2:$B$295,generator!$Q$2:$Q$295,"ARGH")</f>
        <v>9000</v>
      </c>
      <c r="FP31" s="3">
        <f>_xlfn.XLOOKUP(FP$1,generator!$B$2:$B$295,generator!$Q$2:$Q$295,"ARGH")</f>
        <v>9000</v>
      </c>
      <c r="FQ31" s="3">
        <f>_xlfn.XLOOKUP(FQ$1,generator!$B$2:$B$295,generator!$Q$2:$Q$295,"ARGH")</f>
        <v>9000</v>
      </c>
      <c r="FR31" s="3">
        <f>_xlfn.XLOOKUP(FR$1,generator!$B$2:$B$295,generator!$Q$2:$Q$295,"ARGH")</f>
        <v>9000</v>
      </c>
      <c r="FS31" s="3">
        <f>_xlfn.XLOOKUP(FS$1,generator!$B$2:$B$295,generator!$Q$2:$Q$295,"ARGH")</f>
        <v>9000</v>
      </c>
      <c r="FT31" s="3">
        <f>_xlfn.XLOOKUP(FT$1,generator!$B$2:$B$295,generator!$Q$2:$Q$295,"ARGH")</f>
        <v>9000</v>
      </c>
      <c r="FU31" s="3">
        <f>_xlfn.XLOOKUP(FU$1,generator!$B$2:$B$295,generator!$Q$2:$Q$295,"ARGH")</f>
        <v>9000</v>
      </c>
      <c r="FV31" s="3">
        <f>_xlfn.XLOOKUP(FV$1,generator!$B$2:$B$295,generator!$Q$2:$Q$295,"ARGH")</f>
        <v>9000</v>
      </c>
      <c r="FW31" s="3">
        <f>_xlfn.XLOOKUP(FW$1,generator!$B$2:$B$295,generator!$Q$2:$Q$295,"ARGH")</f>
        <v>9000</v>
      </c>
      <c r="FX31" s="3">
        <f>_xlfn.XLOOKUP(FX$1,generator!$B$2:$B$295,generator!$Q$2:$Q$295,"ARGH")</f>
        <v>9000</v>
      </c>
      <c r="FY31" s="3">
        <f>_xlfn.XLOOKUP(FY$1,generator!$B$2:$B$295,generator!$Q$2:$Q$295,"ARGH")</f>
        <v>9000</v>
      </c>
      <c r="FZ31" s="3">
        <f>_xlfn.XLOOKUP(FZ$1,generator!$B$2:$B$295,generator!$Q$2:$Q$295,"ARGH")</f>
        <v>9000</v>
      </c>
      <c r="GA31" s="3">
        <f>_xlfn.XLOOKUP(GA$1,generator!$B$2:$B$295,generator!$Q$2:$Q$295,"ARGH")</f>
        <v>9000</v>
      </c>
      <c r="GB31" s="3">
        <f>_xlfn.XLOOKUP(GB$1,generator!$B$2:$B$295,generator!$Q$2:$Q$295,"ARGH")</f>
        <v>9000</v>
      </c>
      <c r="GC31" s="3">
        <f>_xlfn.XLOOKUP(GC$1,generator!$B$2:$B$295,generator!$Q$2:$Q$295,"ARGH")</f>
        <v>9000</v>
      </c>
      <c r="GD31" s="3">
        <f>_xlfn.XLOOKUP(GD$1,generator!$B$2:$B$295,generator!$Q$2:$Q$295,"ARGH")</f>
        <v>9000</v>
      </c>
      <c r="GE31" s="3">
        <f>_xlfn.XLOOKUP(GE$1,generator!$B$2:$B$295,generator!$Q$2:$Q$295,"ARGH")</f>
        <v>9000</v>
      </c>
      <c r="GF31" s="3">
        <f>_xlfn.XLOOKUP(GF$1,generator!$B$2:$B$295,generator!$Q$2:$Q$295,"ARGH")</f>
        <v>9000</v>
      </c>
      <c r="GG31" s="3">
        <f>_xlfn.XLOOKUP(GG$1,generator!$B$2:$B$295,generator!$Q$2:$Q$295,"ARGH")</f>
        <v>9000</v>
      </c>
      <c r="GH31" s="3">
        <f>_xlfn.XLOOKUP(GH$1,generator!$B$2:$B$295,generator!$Q$2:$Q$295,"ARGH")</f>
        <v>9000</v>
      </c>
      <c r="GI31" s="3">
        <f>_xlfn.XLOOKUP(GI$1,generator!$B$2:$B$295,generator!$Q$2:$Q$295,"ARGH")</f>
        <v>9000</v>
      </c>
      <c r="GJ31" s="3">
        <f>_xlfn.XLOOKUP(GJ$1,generator!$B$2:$B$295,generator!$Q$2:$Q$295,"ARGH")</f>
        <v>9000</v>
      </c>
      <c r="GK31" s="3">
        <f>_xlfn.XLOOKUP(GK$1,generator!$B$2:$B$295,generator!$Q$2:$Q$295,"ARGH")</f>
        <v>9000</v>
      </c>
      <c r="GL31" s="3">
        <f>_xlfn.XLOOKUP(GL$1,generator!$B$2:$B$295,generator!$Q$2:$Q$295,"ARGH")</f>
        <v>9000</v>
      </c>
      <c r="GM31" s="3">
        <f>_xlfn.XLOOKUP(GM$1,generator!$B$2:$B$295,generator!$Q$2:$Q$295,"ARGH")</f>
        <v>9000</v>
      </c>
      <c r="GN31" s="3">
        <f>_xlfn.XLOOKUP(GN$1,generator!$B$2:$B$295,generator!$Q$2:$Q$295,"ARGH")</f>
        <v>9000</v>
      </c>
      <c r="GO31" s="3">
        <f>_xlfn.XLOOKUP(GO$1,generator!$B$2:$B$295,generator!$Q$2:$Q$295,"ARGH")</f>
        <v>9000</v>
      </c>
      <c r="GP31" s="3">
        <f>_xlfn.XLOOKUP(GP$1,generator!$B$2:$B$295,generator!$Q$2:$Q$295,"ARGH")</f>
        <v>9000</v>
      </c>
      <c r="GQ31" s="3">
        <f>_xlfn.XLOOKUP(GQ$1,generator!$B$2:$B$295,generator!$Q$2:$Q$295,"ARGH")</f>
        <v>9000</v>
      </c>
      <c r="GR31" s="3">
        <f>_xlfn.XLOOKUP(GR$1,generator!$B$2:$B$295,generator!$Q$2:$Q$295,"ARGH")</f>
        <v>9000</v>
      </c>
      <c r="GS31" s="3">
        <f>_xlfn.XLOOKUP(GS$1,generator!$B$2:$B$295,generator!$Q$2:$Q$295,"ARGH")</f>
        <v>9000</v>
      </c>
      <c r="GT31" s="3">
        <f>_xlfn.XLOOKUP(GT$1,generator!$B$2:$B$295,generator!$Q$2:$Q$295,"ARGH")</f>
        <v>9000</v>
      </c>
      <c r="GU31" s="3">
        <f>_xlfn.XLOOKUP(GU$1,generator!$B$2:$B$295,generator!$Q$2:$Q$295,"ARGH")</f>
        <v>9000</v>
      </c>
      <c r="GV31" s="3">
        <f>_xlfn.XLOOKUP(GV$1,generator!$B$2:$B$295,generator!$Q$2:$Q$295,"ARGH")</f>
        <v>9000</v>
      </c>
      <c r="GW31" s="3">
        <f>_xlfn.XLOOKUP(GW$1,generator!$B$2:$B$295,generator!$Q$2:$Q$295,"ARGH")</f>
        <v>9000</v>
      </c>
      <c r="GX31" s="3">
        <f>_xlfn.XLOOKUP(GX$1,generator!$B$2:$B$295,generator!$Q$2:$Q$295,"ARGH")</f>
        <v>9000</v>
      </c>
      <c r="GY31" s="3">
        <f>_xlfn.XLOOKUP(GY$1,generator!$B$2:$B$295,generator!$Q$2:$Q$295,"ARGH")</f>
        <v>9000</v>
      </c>
      <c r="GZ31" s="3">
        <f>_xlfn.XLOOKUP(GZ$1,generator!$B$2:$B$295,generator!$Q$2:$Q$295,"ARGH")</f>
        <v>9000</v>
      </c>
      <c r="HA31" s="3">
        <f>_xlfn.XLOOKUP(HA$1,generator!$B$2:$B$295,generator!$Q$2:$Q$295,"ARGH")</f>
        <v>9000</v>
      </c>
      <c r="HB31" s="3">
        <f>_xlfn.XLOOKUP(HB$1,generator!$B$2:$B$295,generator!$Q$2:$Q$295,"ARGH")</f>
        <v>9000</v>
      </c>
      <c r="HC31" s="3">
        <f>_xlfn.XLOOKUP(HC$1,generator!$B$2:$B$295,generator!$Q$2:$Q$295,"ARGH")</f>
        <v>9000</v>
      </c>
      <c r="HD31" s="3">
        <f>_xlfn.XLOOKUP(HD$1,generator!$B$2:$B$295,generator!$Q$2:$Q$295,"ARGH")</f>
        <v>9000</v>
      </c>
      <c r="HE31" s="3">
        <f>_xlfn.XLOOKUP(HE$1,generator!$B$2:$B$295,generator!$Q$2:$Q$295,"ARGH")</f>
        <v>8000</v>
      </c>
      <c r="HF31" s="3" t="str">
        <f>_xlfn.XLOOKUP(HF$1,generator!$B$2:$B$295,generator!$Q$2:$Q$295,"ARGH")</f>
        <v>143</v>
      </c>
      <c r="HG31" s="3" t="str">
        <f>_xlfn.XLOOKUP(HG$1,generator!$B$2:$B$295,generator!$Q$2:$Q$295,"ARGH")</f>
        <v>143</v>
      </c>
      <c r="HH31" s="3" t="str">
        <f>_xlfn.XLOOKUP(HH$1,generator!$B$2:$B$295,generator!$Q$2:$Q$295,"ARGH")</f>
        <v>143</v>
      </c>
      <c r="HI31" s="3" t="str">
        <f>_xlfn.XLOOKUP(HI$1,generator!$B$2:$B$295,generator!$Q$2:$Q$295,"ARGH")</f>
        <v>246.74</v>
      </c>
      <c r="HJ31" s="3" t="str">
        <f>_xlfn.XLOOKUP(HJ$1,generator!$B$2:$B$295,generator!$Q$2:$Q$295,"ARGH")</f>
        <v>246.74</v>
      </c>
      <c r="HK31" s="3" t="str">
        <f>_xlfn.XLOOKUP(HK$1,generator!$B$2:$B$295,generator!$Q$2:$Q$295,"ARGH")</f>
        <v>206.04</v>
      </c>
      <c r="HL31" s="3" t="str">
        <f>_xlfn.XLOOKUP(HL$1,generator!$B$2:$B$295,generator!$Q$2:$Q$295,"ARGH")</f>
        <v>506.96</v>
      </c>
      <c r="HM31" s="3" t="str">
        <f>_xlfn.XLOOKUP(HM$1,generator!$B$2:$B$295,generator!$Q$2:$Q$295,"ARGH")</f>
        <v>506.95</v>
      </c>
      <c r="HN31" s="3" t="str">
        <f>_xlfn.XLOOKUP(HN$1,generator!$B$2:$B$295,generator!$Q$2:$Q$295,"ARGH")</f>
        <v>190.97</v>
      </c>
      <c r="HO31" s="3" t="str">
        <f>_xlfn.XLOOKUP(HO$1,generator!$B$2:$B$295,generator!$Q$2:$Q$295,"ARGH")</f>
        <v>190.97</v>
      </c>
      <c r="HP31" s="3" t="str">
        <f>_xlfn.XLOOKUP(HP$1,generator!$B$2:$B$295,generator!$Q$2:$Q$295,"ARGH")</f>
        <v>424.84</v>
      </c>
      <c r="HQ31" s="3" t="str">
        <f>_xlfn.XLOOKUP(HQ$1,generator!$B$2:$B$295,generator!$Q$2:$Q$295,"ARGH")</f>
        <v>425.9</v>
      </c>
      <c r="HR31" s="3" t="str">
        <f>_xlfn.XLOOKUP(HR$1,generator!$B$2:$B$295,generator!$Q$2:$Q$295,"ARGH")</f>
        <v>425.9</v>
      </c>
      <c r="HS31" s="3" t="str">
        <f>_xlfn.XLOOKUP(HS$1,generator!$B$2:$B$295,generator!$Q$2:$Q$295,"ARGH")</f>
        <v>196.54</v>
      </c>
      <c r="HT31" s="3" t="str">
        <f>_xlfn.XLOOKUP(HT$1,generator!$B$2:$B$295,generator!$Q$2:$Q$295,"ARGH")</f>
        <v>196.54</v>
      </c>
      <c r="HU31" s="3" t="str">
        <f>_xlfn.XLOOKUP(HU$1,generator!$B$2:$B$295,generator!$Q$2:$Q$295,"ARGH")</f>
        <v>145.57</v>
      </c>
      <c r="HV31" s="3" t="str">
        <f>_xlfn.XLOOKUP(HV$1,generator!$B$2:$B$295,generator!$Q$2:$Q$295,"ARGH")</f>
        <v>132.62</v>
      </c>
      <c r="HW31" s="3" t="str">
        <f>_xlfn.XLOOKUP(HW$1,generator!$B$2:$B$295,generator!$Q$2:$Q$295,"ARGH")</f>
        <v>193.76</v>
      </c>
      <c r="HX31" s="3" t="str">
        <f>_xlfn.XLOOKUP(HX$1,generator!$B$2:$B$295,generator!$Q$2:$Q$295,"ARGH")</f>
        <v>193.76</v>
      </c>
      <c r="HY31" s="3" t="str">
        <f>_xlfn.XLOOKUP(HY$1,generator!$B$2:$B$295,generator!$Q$2:$Q$295,"ARGH")</f>
        <v>79.19</v>
      </c>
      <c r="HZ31" s="3" t="str">
        <f>_xlfn.XLOOKUP(HZ$1,generator!$B$2:$B$295,generator!$Q$2:$Q$295,"ARGH")</f>
        <v>125.79</v>
      </c>
      <c r="IA31" s="3" t="str">
        <f>_xlfn.XLOOKUP(IA$1,generator!$B$2:$B$295,generator!$Q$2:$Q$295,"ARGH")</f>
        <v>54.19</v>
      </c>
      <c r="IB31" s="3" t="str">
        <f>_xlfn.XLOOKUP(IB$1,generator!$B$2:$B$295,generator!$Q$2:$Q$295,"ARGH")</f>
        <v>59.7</v>
      </c>
      <c r="IC31" s="3">
        <f>_xlfn.XLOOKUP(IC$1,generator!$B$2:$B$295,generator!$Q$2:$Q$295,"ARGH")</f>
        <v>0</v>
      </c>
      <c r="ID31" s="3" t="str">
        <f>_xlfn.XLOOKUP(ID$1,generator!$B$2:$B$295,generator!$Q$2:$Q$295,"ARGH")</f>
        <v>121.14</v>
      </c>
      <c r="IE31" s="3" t="str">
        <f>_xlfn.XLOOKUP(IE$1,generator!$B$2:$B$295,generator!$Q$2:$Q$295,"ARGH")</f>
        <v>26.6</v>
      </c>
      <c r="IF31" s="3">
        <f>_xlfn.XLOOKUP(IF$1,generator!$B$2:$B$295,generator!$Q$2:$Q$295,"ARGH")</f>
        <v>8000</v>
      </c>
      <c r="IG31" s="3">
        <f>_xlfn.XLOOKUP(IG$1,generator!$B$2:$B$295,generator!$Q$2:$Q$295,"ARGH")</f>
        <v>8000</v>
      </c>
      <c r="IH31" s="3">
        <f>_xlfn.XLOOKUP(IH$1,generator!$B$2:$B$295,generator!$Q$2:$Q$295,"ARGH")</f>
        <v>8000</v>
      </c>
      <c r="II31" s="3">
        <f>_xlfn.XLOOKUP(II$1,generator!$B$2:$B$295,generator!$Q$2:$Q$295,"ARGH")</f>
        <v>8000</v>
      </c>
      <c r="IJ31" s="3">
        <f>_xlfn.XLOOKUP(IJ$1,generator!$B$2:$B$295,generator!$Q$2:$Q$295,"ARGH")</f>
        <v>8000</v>
      </c>
      <c r="IK31" s="3">
        <f>_xlfn.XLOOKUP(IK$1,generator!$B$2:$B$295,generator!$Q$2:$Q$295,"ARGH")</f>
        <v>8000</v>
      </c>
      <c r="IL31" s="3">
        <f>_xlfn.XLOOKUP(IL$1,generator!$B$2:$B$295,generator!$Q$2:$Q$295,"ARGH")</f>
        <v>8000</v>
      </c>
      <c r="IM31" s="3">
        <f>_xlfn.XLOOKUP(IM$1,generator!$B$2:$B$295,generator!$Q$2:$Q$295,"ARGH")</f>
        <v>8000</v>
      </c>
      <c r="IN31" s="3">
        <f>_xlfn.XLOOKUP(IN$1,generator!$B$2:$B$295,generator!$Q$2:$Q$295,"ARGH")</f>
        <v>8000</v>
      </c>
      <c r="IO31" s="3">
        <f>_xlfn.XLOOKUP(IO$1,generator!$B$2:$B$295,generator!$Q$2:$Q$295,"ARGH")</f>
        <v>8000</v>
      </c>
      <c r="IP31" s="3">
        <f>_xlfn.XLOOKUP(IP$1,generator!$B$2:$B$295,generator!$Q$2:$Q$295,"ARGH")</f>
        <v>8000</v>
      </c>
      <c r="IQ31" s="3">
        <f>_xlfn.XLOOKUP(IQ$1,generator!$B$2:$B$295,generator!$Q$2:$Q$295,"ARGH")</f>
        <v>8000</v>
      </c>
      <c r="IR31" s="3">
        <f>_xlfn.XLOOKUP(IR$1,generator!$B$2:$B$295,generator!$Q$2:$Q$295,"ARGH")</f>
        <v>8000</v>
      </c>
      <c r="IS31" s="3">
        <f>_xlfn.XLOOKUP(IS$1,generator!$B$2:$B$295,generator!$Q$2:$Q$295,"ARGH")</f>
        <v>8000</v>
      </c>
      <c r="IT31" s="3">
        <f>_xlfn.XLOOKUP(IT$1,generator!$B$2:$B$295,generator!$Q$2:$Q$295,"ARGH")</f>
        <v>8000</v>
      </c>
      <c r="IU31" s="3">
        <f>_xlfn.XLOOKUP(IU$1,generator!$B$2:$B$295,generator!$Q$2:$Q$295,"ARGH")</f>
        <v>8000</v>
      </c>
      <c r="IV31" s="3">
        <f>_xlfn.XLOOKUP(IV$1,generator!$B$2:$B$295,generator!$Q$2:$Q$295,"ARGH")</f>
        <v>8000</v>
      </c>
      <c r="IW31" s="3" t="str">
        <f>_xlfn.XLOOKUP(IW$1,generator!$B$2:$B$295,generator!$Q$2:$Q$295,"ARGH")</f>
        <v>108.19</v>
      </c>
      <c r="IX31" s="3" t="str">
        <f>_xlfn.XLOOKUP(IX$1,generator!$B$2:$B$295,generator!$Q$2:$Q$295,"ARGH")</f>
        <v>108.18</v>
      </c>
      <c r="IY31" s="3" t="str">
        <f>_xlfn.XLOOKUP(IY$1,generator!$B$2:$B$295,generator!$Q$2:$Q$295,"ARGH")</f>
        <v>108.17</v>
      </c>
      <c r="IZ31" s="3" t="str">
        <f>_xlfn.XLOOKUP(IZ$1,generator!$B$2:$B$295,generator!$Q$2:$Q$295,"ARGH")</f>
        <v>40.96</v>
      </c>
      <c r="JA31" s="3">
        <f>_xlfn.XLOOKUP(JA$1,generator!$B$2:$B$295,generator!$Q$2:$Q$295,"ARGH")</f>
        <v>0</v>
      </c>
      <c r="JB31" s="3">
        <f>_xlfn.XLOOKUP(JB$1,generator!$B$2:$B$295,generator!$Q$2:$Q$295,"ARGH")</f>
        <v>0</v>
      </c>
      <c r="JC31" s="3" t="str">
        <f>_xlfn.XLOOKUP(JC$1,generator!$B$2:$B$295,generator!$Q$2:$Q$295,"ARGH")</f>
        <v>75.91</v>
      </c>
      <c r="JD31" s="3" t="str">
        <f>_xlfn.XLOOKUP(JD$1,generator!$B$2:$B$295,generator!$Q$2:$Q$295,"ARGH")</f>
        <v>75.91</v>
      </c>
      <c r="JE31" s="3" t="str">
        <f>_xlfn.XLOOKUP(JE$1,generator!$B$2:$B$295,generator!$Q$2:$Q$295,"ARGH")</f>
        <v>51.59</v>
      </c>
      <c r="JF31" s="3" t="str">
        <f>_xlfn.XLOOKUP(JF$1,generator!$B$2:$B$295,generator!$Q$2:$Q$295,"ARGH")</f>
        <v>111.57</v>
      </c>
      <c r="JG31" s="3">
        <f>_xlfn.XLOOKUP(JG$1,generator!$B$2:$B$295,generator!$Q$2:$Q$295,"ARGH")</f>
        <v>0</v>
      </c>
      <c r="JH31" s="3" t="str">
        <f>_xlfn.XLOOKUP(JH$1,generator!$B$2:$B$295,generator!$Q$2:$Q$295,"ARGH")</f>
        <v>48.65</v>
      </c>
      <c r="JI31" s="3" t="str">
        <f>_xlfn.XLOOKUP(JI$1,generator!$B$2:$B$295,generator!$Q$2:$Q$295,"ARGH")</f>
        <v>71.88</v>
      </c>
      <c r="JJ31" s="3" t="str">
        <f>_xlfn.XLOOKUP(JJ$1,generator!$B$2:$B$295,generator!$Q$2:$Q$295,"ARGH")</f>
        <v>98.17</v>
      </c>
      <c r="JK31" s="3" t="str">
        <f>_xlfn.XLOOKUP(JK$1,generator!$B$2:$B$295,generator!$Q$2:$Q$295,"ARGH")</f>
        <v>98.17</v>
      </c>
      <c r="JL31" s="3" t="str">
        <f>_xlfn.XLOOKUP(JL$1,generator!$B$2:$B$295,generator!$Q$2:$Q$295,"ARGH")</f>
        <v>98.17</v>
      </c>
      <c r="JM31" s="3" t="str">
        <f>_xlfn.XLOOKUP(JM$1,generator!$B$2:$B$295,generator!$Q$2:$Q$295,"ARGH")</f>
        <v>98.17</v>
      </c>
      <c r="JN31" s="3" t="str">
        <f>_xlfn.XLOOKUP(JN$1,generator!$B$2:$B$295,generator!$Q$2:$Q$295,"ARGH")</f>
        <v>98.17</v>
      </c>
      <c r="JO31" s="3" t="str">
        <f>_xlfn.XLOOKUP(JO$1,generator!$B$2:$B$295,generator!$Q$2:$Q$295,"ARGH")</f>
        <v>98.17</v>
      </c>
      <c r="JP31" s="3" t="str">
        <f>_xlfn.XLOOKUP(JP$1,generator!$B$2:$B$295,generator!$Q$2:$Q$295,"ARGH")</f>
        <v>47.53</v>
      </c>
      <c r="JQ31" s="3" t="str">
        <f>_xlfn.XLOOKUP(JQ$1,generator!$B$2:$B$295,generator!$Q$2:$Q$295,"ARGH")</f>
        <v>108.86</v>
      </c>
      <c r="JR31" s="3" t="str">
        <f>_xlfn.XLOOKUP(JR$1,generator!$B$2:$B$295,generator!$Q$2:$Q$295,"ARGH")</f>
        <v>83.15</v>
      </c>
      <c r="JS31" s="3" t="str">
        <f>_xlfn.XLOOKUP(JS$1,generator!$B$2:$B$295,generator!$Q$2:$Q$295,"ARGH")</f>
        <v>83.15</v>
      </c>
      <c r="JT31" s="3" t="str">
        <f>_xlfn.XLOOKUP(JT$1,generator!$B$2:$B$295,generator!$Q$2:$Q$295,"ARGH")</f>
        <v>108.86</v>
      </c>
      <c r="JU31" s="3">
        <f>_xlfn.XLOOKUP(JU$1,generator!$B$2:$B$295,generator!$Q$2:$Q$295,"ARGH")</f>
        <v>0</v>
      </c>
      <c r="JV31" s="3" t="str">
        <f>_xlfn.XLOOKUP(JV$1,generator!$B$2:$B$295,generator!$Q$2:$Q$295,"ARGH")</f>
        <v>77.63</v>
      </c>
      <c r="JW31" s="3" t="str">
        <f>_xlfn.XLOOKUP(JW$1,generator!$B$2:$B$295,generator!$Q$2:$Q$295,"ARGH")</f>
        <v>77.64</v>
      </c>
      <c r="JX31" s="3" t="str">
        <f>_xlfn.XLOOKUP(JX$1,generator!$B$2:$B$295,generator!$Q$2:$Q$295,"ARGH")</f>
        <v>331.49</v>
      </c>
      <c r="JY31" s="3">
        <f>_xlfn.XLOOKUP(JY$1,generator!$B$2:$B$295,generator!$Q$2:$Q$295,"ARGH")</f>
        <v>7000</v>
      </c>
      <c r="JZ31" s="3">
        <f>_xlfn.XLOOKUP(JZ$1,generator!$B$2:$B$295,generator!$Q$2:$Q$295,"ARGH")</f>
        <v>0</v>
      </c>
      <c r="KA31" s="3">
        <f>_xlfn.XLOOKUP(KA$1,generator!$B$2:$B$295,generator!$Q$2:$Q$295,"ARGH")</f>
        <v>0</v>
      </c>
      <c r="KB31" s="3">
        <f>_xlfn.XLOOKUP(KB$1,generator!$B$2:$B$295,generator!$Q$2:$Q$295,"ARGH")</f>
        <v>0</v>
      </c>
      <c r="KC31" s="3">
        <f>_xlfn.XLOOKUP(KC$1,generator!$B$2:$B$295,generator!$Q$2:$Q$295,"ARGH")</f>
        <v>0</v>
      </c>
    </row>
    <row r="32" spans="1:289" x14ac:dyDescent="0.3">
      <c r="A32" s="4" t="s">
        <v>3027</v>
      </c>
      <c r="B32" s="3">
        <v>15000</v>
      </c>
      <c r="C32" s="3">
        <v>15000</v>
      </c>
      <c r="D32" s="3">
        <v>15000</v>
      </c>
      <c r="E32" s="3">
        <f>_xlfn.XLOOKUP(E$1,generator!$B$2:$B$295,generator!$Q$2:$Q$295,"ARGH")</f>
        <v>9000</v>
      </c>
      <c r="F32" s="3">
        <f>_xlfn.XLOOKUP(F$1,generator!$B$2:$B$295,generator!$Q$2:$Q$295,"ARGH")</f>
        <v>9000</v>
      </c>
      <c r="G32" s="3">
        <f>_xlfn.XLOOKUP(G$1,generator!$B$2:$B$295,generator!$Q$2:$Q$295,"ARGH")</f>
        <v>9000</v>
      </c>
      <c r="H32" s="3">
        <f>_xlfn.XLOOKUP(H$1,generator!$B$2:$B$295,generator!$Q$2:$Q$295,"ARGH")</f>
        <v>9000</v>
      </c>
      <c r="I32" s="3">
        <f>_xlfn.XLOOKUP(I$1,generator!$B$2:$B$295,generator!$Q$2:$Q$295,"ARGH")</f>
        <v>9000</v>
      </c>
      <c r="J32" s="3">
        <f>_xlfn.XLOOKUP(J$1,generator!$B$2:$B$295,generator!$Q$2:$Q$295,"ARGH")</f>
        <v>9000</v>
      </c>
      <c r="K32" s="3">
        <f>_xlfn.XLOOKUP(K$1,generator!$B$2:$B$295,generator!$Q$2:$Q$295,"ARGH")</f>
        <v>9000</v>
      </c>
      <c r="L32" s="3">
        <f>_xlfn.XLOOKUP(L$1,generator!$B$2:$B$295,generator!$Q$2:$Q$295,"ARGH")</f>
        <v>9000</v>
      </c>
      <c r="M32" s="3">
        <f>_xlfn.XLOOKUP(M$1,generator!$B$2:$B$295,generator!$Q$2:$Q$295,"ARGH")</f>
        <v>9000</v>
      </c>
      <c r="N32" s="3">
        <f>_xlfn.XLOOKUP(N$1,generator!$B$2:$B$295,generator!$Q$2:$Q$295,"ARGH")</f>
        <v>9000</v>
      </c>
      <c r="O32" s="3">
        <f>_xlfn.XLOOKUP(O$1,generator!$B$2:$B$295,generator!$Q$2:$Q$295,"ARGH")</f>
        <v>9000</v>
      </c>
      <c r="P32" s="3">
        <f>_xlfn.XLOOKUP(P$1,generator!$B$2:$B$295,generator!$Q$2:$Q$295,"ARGH")</f>
        <v>9000</v>
      </c>
      <c r="Q32" s="3">
        <f>_xlfn.XLOOKUP(Q$1,generator!$B$2:$B$295,generator!$Q$2:$Q$295,"ARGH")</f>
        <v>9000</v>
      </c>
      <c r="R32" s="3">
        <f>_xlfn.XLOOKUP(R$1,generator!$B$2:$B$295,generator!$Q$2:$Q$295,"ARGH")</f>
        <v>9000</v>
      </c>
      <c r="S32" s="3">
        <f>_xlfn.XLOOKUP(S$1,generator!$B$2:$B$295,generator!$Q$2:$Q$295,"ARGH")</f>
        <v>9000</v>
      </c>
      <c r="T32" s="3">
        <f>_xlfn.XLOOKUP(T$1,generator!$B$2:$B$295,generator!$Q$2:$Q$295,"ARGH")</f>
        <v>9000</v>
      </c>
      <c r="U32" s="3">
        <f>_xlfn.XLOOKUP(U$1,generator!$B$2:$B$295,generator!$Q$2:$Q$295,"ARGH")</f>
        <v>9000</v>
      </c>
      <c r="V32" s="3">
        <f>_xlfn.XLOOKUP(V$1,generator!$B$2:$B$295,generator!$Q$2:$Q$295,"ARGH")</f>
        <v>9000</v>
      </c>
      <c r="W32" s="3">
        <f>_xlfn.XLOOKUP(W$1,generator!$B$2:$B$295,generator!$Q$2:$Q$295,"ARGH")</f>
        <v>9000</v>
      </c>
      <c r="X32" s="3">
        <f>_xlfn.XLOOKUP(X$1,generator!$B$2:$B$295,generator!$Q$2:$Q$295,"ARGH")</f>
        <v>9000</v>
      </c>
      <c r="Y32" s="3">
        <f>_xlfn.XLOOKUP(Y$1,generator!$B$2:$B$295,generator!$Q$2:$Q$295,"ARGH")</f>
        <v>9000</v>
      </c>
      <c r="Z32" s="3">
        <f>_xlfn.XLOOKUP(Z$1,generator!$B$2:$B$295,generator!$Q$2:$Q$295,"ARGH")</f>
        <v>9000</v>
      </c>
      <c r="AA32" s="3">
        <f>_xlfn.XLOOKUP(AA$1,generator!$B$2:$B$295,generator!$Q$2:$Q$295,"ARGH")</f>
        <v>9000</v>
      </c>
      <c r="AB32" s="3">
        <f>_xlfn.XLOOKUP(AB$1,generator!$B$2:$B$295,generator!$Q$2:$Q$295,"ARGH")</f>
        <v>9000</v>
      </c>
      <c r="AC32" s="3">
        <f>_xlfn.XLOOKUP(AC$1,generator!$B$2:$B$295,generator!$Q$2:$Q$295,"ARGH")</f>
        <v>9000</v>
      </c>
      <c r="AD32" s="3">
        <f>_xlfn.XLOOKUP(AD$1,generator!$B$2:$B$295,generator!$Q$2:$Q$295,"ARGH")</f>
        <v>9000</v>
      </c>
      <c r="AE32" s="3">
        <f>_xlfn.XLOOKUP(AE$1,generator!$B$2:$B$295,generator!$Q$2:$Q$295,"ARGH")</f>
        <v>9000</v>
      </c>
      <c r="AF32" s="3">
        <f>_xlfn.XLOOKUP(AF$1,generator!$B$2:$B$295,generator!$Q$2:$Q$295,"ARGH")</f>
        <v>9000</v>
      </c>
      <c r="AG32" s="3">
        <f>_xlfn.XLOOKUP(AG$1,generator!$B$2:$B$295,generator!$Q$2:$Q$295,"ARGH")</f>
        <v>9000</v>
      </c>
      <c r="AH32" s="3">
        <f>_xlfn.XLOOKUP(AH$1,generator!$B$2:$B$295,generator!$Q$2:$Q$295,"ARGH")</f>
        <v>9000</v>
      </c>
      <c r="AI32" s="3">
        <f>_xlfn.XLOOKUP(AI$1,generator!$B$2:$B$295,generator!$Q$2:$Q$295,"ARGH")</f>
        <v>9000</v>
      </c>
      <c r="AJ32" s="3">
        <f>_xlfn.XLOOKUP(AJ$1,generator!$B$2:$B$295,generator!$Q$2:$Q$295,"ARGH")</f>
        <v>9000</v>
      </c>
      <c r="AK32" s="3">
        <f>_xlfn.XLOOKUP(AK$1,generator!$B$2:$B$295,generator!$Q$2:$Q$295,"ARGH")</f>
        <v>9000</v>
      </c>
      <c r="AL32" s="3">
        <f>_xlfn.XLOOKUP(AL$1,generator!$B$2:$B$295,generator!$Q$2:$Q$295,"ARGH")</f>
        <v>9000</v>
      </c>
      <c r="AM32" s="3">
        <f>_xlfn.XLOOKUP(AM$1,generator!$B$2:$B$295,generator!$Q$2:$Q$295,"ARGH")</f>
        <v>9000</v>
      </c>
      <c r="AN32" s="3">
        <f>_xlfn.XLOOKUP(AN$1,generator!$B$2:$B$295,generator!$Q$2:$Q$295,"ARGH")</f>
        <v>9000</v>
      </c>
      <c r="AO32" s="3">
        <f>_xlfn.XLOOKUP(AO$1,generator!$B$2:$B$295,generator!$Q$2:$Q$295,"ARGH")</f>
        <v>9000</v>
      </c>
      <c r="AP32" s="3">
        <f>_xlfn.XLOOKUP(AP$1,generator!$B$2:$B$295,generator!$Q$2:$Q$295,"ARGH")</f>
        <v>9000</v>
      </c>
      <c r="AQ32" s="3">
        <f>_xlfn.XLOOKUP(AQ$1,generator!$B$2:$B$295,generator!$Q$2:$Q$295,"ARGH")</f>
        <v>9000</v>
      </c>
      <c r="AR32" s="3">
        <f>_xlfn.XLOOKUP(AR$1,generator!$B$2:$B$295,generator!$Q$2:$Q$295,"ARGH")</f>
        <v>9000</v>
      </c>
      <c r="AS32" s="3">
        <f>_xlfn.XLOOKUP(AS$1,generator!$B$2:$B$295,generator!$Q$2:$Q$295,"ARGH")</f>
        <v>9000</v>
      </c>
      <c r="AT32" s="3">
        <f>_xlfn.XLOOKUP(AT$1,generator!$B$2:$B$295,generator!$Q$2:$Q$295,"ARGH")</f>
        <v>9000</v>
      </c>
      <c r="AU32" s="3">
        <f>_xlfn.XLOOKUP(AU$1,generator!$B$2:$B$295,generator!$Q$2:$Q$295,"ARGH")</f>
        <v>9000</v>
      </c>
      <c r="AV32" s="3">
        <f>_xlfn.XLOOKUP(AV$1,generator!$B$2:$B$295,generator!$Q$2:$Q$295,"ARGH")</f>
        <v>9000</v>
      </c>
      <c r="AW32" s="3">
        <f>_xlfn.XLOOKUP(AW$1,generator!$B$2:$B$295,generator!$Q$2:$Q$295,"ARGH")</f>
        <v>9000</v>
      </c>
      <c r="AX32" s="3">
        <f>_xlfn.XLOOKUP(AX$1,generator!$B$2:$B$295,generator!$Q$2:$Q$295,"ARGH")</f>
        <v>9000</v>
      </c>
      <c r="AY32" s="3">
        <f>_xlfn.XLOOKUP(AY$1,generator!$B$2:$B$295,generator!$Q$2:$Q$295,"ARGH")</f>
        <v>9000</v>
      </c>
      <c r="AZ32" s="3">
        <f>_xlfn.XLOOKUP(AZ$1,generator!$B$2:$B$295,generator!$Q$2:$Q$295,"ARGH")</f>
        <v>9000</v>
      </c>
      <c r="BA32" s="3">
        <f>_xlfn.XLOOKUP(BA$1,generator!$B$2:$B$295,generator!$Q$2:$Q$295,"ARGH")</f>
        <v>9000</v>
      </c>
      <c r="BB32" s="3">
        <f>_xlfn.XLOOKUP(BB$1,generator!$B$2:$B$295,generator!$Q$2:$Q$295,"ARGH")</f>
        <v>9000</v>
      </c>
      <c r="BC32" s="3">
        <f>_xlfn.XLOOKUP(BC$1,generator!$B$2:$B$295,generator!$Q$2:$Q$295,"ARGH")</f>
        <v>9000</v>
      </c>
      <c r="BD32" s="3">
        <f>_xlfn.XLOOKUP(BD$1,generator!$B$2:$B$295,generator!$Q$2:$Q$295,"ARGH")</f>
        <v>9000</v>
      </c>
      <c r="BE32" s="3">
        <f>_xlfn.XLOOKUP(BE$1,generator!$B$2:$B$295,generator!$Q$2:$Q$295,"ARGH")</f>
        <v>9000</v>
      </c>
      <c r="BF32" s="3">
        <f>_xlfn.XLOOKUP(BF$1,generator!$B$2:$B$295,generator!$Q$2:$Q$295,"ARGH")</f>
        <v>9000</v>
      </c>
      <c r="BG32" s="3">
        <f>_xlfn.XLOOKUP(BG$1,generator!$B$2:$B$295,generator!$Q$2:$Q$295,"ARGH")</f>
        <v>9000</v>
      </c>
      <c r="BH32" s="3">
        <f>_xlfn.XLOOKUP(BH$1,generator!$B$2:$B$295,generator!$Q$2:$Q$295,"ARGH")</f>
        <v>9000</v>
      </c>
      <c r="BI32" s="3">
        <f>_xlfn.XLOOKUP(BI$1,generator!$B$2:$B$295,generator!$Q$2:$Q$295,"ARGH")</f>
        <v>9000</v>
      </c>
      <c r="BJ32" s="3">
        <f>_xlfn.XLOOKUP(BJ$1,generator!$B$2:$B$295,generator!$Q$2:$Q$295,"ARGH")</f>
        <v>9000</v>
      </c>
      <c r="BK32" s="3">
        <f>_xlfn.XLOOKUP(BK$1,generator!$B$2:$B$295,generator!$Q$2:$Q$295,"ARGH")</f>
        <v>9000</v>
      </c>
      <c r="BL32" s="3">
        <f>_xlfn.XLOOKUP(BL$1,generator!$B$2:$B$295,generator!$Q$2:$Q$295,"ARGH")</f>
        <v>9000</v>
      </c>
      <c r="BM32" s="3">
        <f>_xlfn.XLOOKUP(BM$1,generator!$B$2:$B$295,generator!$Q$2:$Q$295,"ARGH")</f>
        <v>9000</v>
      </c>
      <c r="BN32" s="3">
        <f>_xlfn.XLOOKUP(BN$1,generator!$B$2:$B$295,generator!$Q$2:$Q$295,"ARGH")</f>
        <v>9000</v>
      </c>
      <c r="BO32" s="3">
        <f>_xlfn.XLOOKUP(BO$1,generator!$B$2:$B$295,generator!$Q$2:$Q$295,"ARGH")</f>
        <v>9000</v>
      </c>
      <c r="BP32" s="3">
        <f>_xlfn.XLOOKUP(BP$1,generator!$B$2:$B$295,generator!$Q$2:$Q$295,"ARGH")</f>
        <v>9000</v>
      </c>
      <c r="BQ32" s="3">
        <f>_xlfn.XLOOKUP(BQ$1,generator!$B$2:$B$295,generator!$Q$2:$Q$295,"ARGH")</f>
        <v>9000</v>
      </c>
      <c r="BR32" s="3">
        <f>_xlfn.XLOOKUP(BR$1,generator!$B$2:$B$295,generator!$Q$2:$Q$295,"ARGH")</f>
        <v>9000</v>
      </c>
      <c r="BS32" s="3">
        <f>_xlfn.XLOOKUP(BS$1,generator!$B$2:$B$295,generator!$Q$2:$Q$295,"ARGH")</f>
        <v>9000</v>
      </c>
      <c r="BT32" s="3">
        <f>_xlfn.XLOOKUP(BT$1,generator!$B$2:$B$295,generator!$Q$2:$Q$295,"ARGH")</f>
        <v>9000</v>
      </c>
      <c r="BU32" s="3">
        <f>_xlfn.XLOOKUP(BU$1,generator!$B$2:$B$295,generator!$Q$2:$Q$295,"ARGH")</f>
        <v>9000</v>
      </c>
      <c r="BV32" s="3">
        <f>_xlfn.XLOOKUP(BV$1,generator!$B$2:$B$295,generator!$Q$2:$Q$295,"ARGH")</f>
        <v>9000</v>
      </c>
      <c r="BW32" s="3">
        <f>_xlfn.XLOOKUP(BW$1,generator!$B$2:$B$295,generator!$Q$2:$Q$295,"ARGH")</f>
        <v>9000</v>
      </c>
      <c r="BX32" s="3">
        <f>_xlfn.XLOOKUP(BX$1,generator!$B$2:$B$295,generator!$Q$2:$Q$295,"ARGH")</f>
        <v>9000</v>
      </c>
      <c r="BY32" s="3">
        <f>_xlfn.XLOOKUP(BY$1,generator!$B$2:$B$295,generator!$Q$2:$Q$295,"ARGH")</f>
        <v>9000</v>
      </c>
      <c r="BZ32" s="3">
        <f>_xlfn.XLOOKUP(BZ$1,generator!$B$2:$B$295,generator!$Q$2:$Q$295,"ARGH")</f>
        <v>9000</v>
      </c>
      <c r="CA32" s="3">
        <f>_xlfn.XLOOKUP(CA$1,generator!$B$2:$B$295,generator!$Q$2:$Q$295,"ARGH")</f>
        <v>9000</v>
      </c>
      <c r="CB32" s="3">
        <f>_xlfn.XLOOKUP(CB$1,generator!$B$2:$B$295,generator!$Q$2:$Q$295,"ARGH")</f>
        <v>9000</v>
      </c>
      <c r="CC32" s="3">
        <f>_xlfn.XLOOKUP(CC$1,generator!$B$2:$B$295,generator!$Q$2:$Q$295,"ARGH")</f>
        <v>9000</v>
      </c>
      <c r="CD32" s="3">
        <f>_xlfn.XLOOKUP(CD$1,generator!$B$2:$B$295,generator!$Q$2:$Q$295,"ARGH")</f>
        <v>9000</v>
      </c>
      <c r="CE32" s="3">
        <f>_xlfn.XLOOKUP(CE$1,generator!$B$2:$B$295,generator!$Q$2:$Q$295,"ARGH")</f>
        <v>9000</v>
      </c>
      <c r="CF32" s="3">
        <f>_xlfn.XLOOKUP(CF$1,generator!$B$2:$B$295,generator!$Q$2:$Q$295,"ARGH")</f>
        <v>9000</v>
      </c>
      <c r="CG32" s="3">
        <f>_xlfn.XLOOKUP(CG$1,generator!$B$2:$B$295,generator!$Q$2:$Q$295,"ARGH")</f>
        <v>9000</v>
      </c>
      <c r="CH32" s="3">
        <f>_xlfn.XLOOKUP(CH$1,generator!$B$2:$B$295,generator!$Q$2:$Q$295,"ARGH")</f>
        <v>9000</v>
      </c>
      <c r="CI32" s="3">
        <f>_xlfn.XLOOKUP(CI$1,generator!$B$2:$B$295,generator!$Q$2:$Q$295,"ARGH")</f>
        <v>9000</v>
      </c>
      <c r="CJ32" s="3">
        <f>_xlfn.XLOOKUP(CJ$1,generator!$B$2:$B$295,generator!$Q$2:$Q$295,"ARGH")</f>
        <v>9000</v>
      </c>
      <c r="CK32" s="3">
        <f>_xlfn.XLOOKUP(CK$1,generator!$B$2:$B$295,generator!$Q$2:$Q$295,"ARGH")</f>
        <v>9000</v>
      </c>
      <c r="CL32" s="3">
        <f>_xlfn.XLOOKUP(CL$1,generator!$B$2:$B$295,generator!$Q$2:$Q$295,"ARGH")</f>
        <v>9000</v>
      </c>
      <c r="CM32" s="3">
        <f>_xlfn.XLOOKUP(CM$1,generator!$B$2:$B$295,generator!$Q$2:$Q$295,"ARGH")</f>
        <v>9000</v>
      </c>
      <c r="CN32" s="3">
        <f>_xlfn.XLOOKUP(CN$1,generator!$B$2:$B$295,generator!$Q$2:$Q$295,"ARGH")</f>
        <v>9000</v>
      </c>
      <c r="CO32" s="3">
        <f>_xlfn.XLOOKUP(CO$1,generator!$B$2:$B$295,generator!$Q$2:$Q$295,"ARGH")</f>
        <v>9000</v>
      </c>
      <c r="CP32" s="3">
        <f>_xlfn.XLOOKUP(CP$1,generator!$B$2:$B$295,generator!$Q$2:$Q$295,"ARGH")</f>
        <v>9000</v>
      </c>
      <c r="CQ32" s="3">
        <f>_xlfn.XLOOKUP(CQ$1,generator!$B$2:$B$295,generator!$Q$2:$Q$295,"ARGH")</f>
        <v>9000</v>
      </c>
      <c r="CR32" s="3">
        <f>_xlfn.XLOOKUP(CR$1,generator!$B$2:$B$295,generator!$Q$2:$Q$295,"ARGH")</f>
        <v>9000</v>
      </c>
      <c r="CS32" s="3">
        <f>_xlfn.XLOOKUP(CS$1,generator!$B$2:$B$295,generator!$Q$2:$Q$295,"ARGH")</f>
        <v>9000</v>
      </c>
      <c r="CT32" s="3">
        <f>_xlfn.XLOOKUP(CT$1,generator!$B$2:$B$295,generator!$Q$2:$Q$295,"ARGH")</f>
        <v>9000</v>
      </c>
      <c r="CU32" s="3">
        <f>_xlfn.XLOOKUP(CU$1,generator!$B$2:$B$295,generator!$Q$2:$Q$295,"ARGH")</f>
        <v>9000</v>
      </c>
      <c r="CV32" s="3">
        <f>_xlfn.XLOOKUP(CV$1,generator!$B$2:$B$295,generator!$Q$2:$Q$295,"ARGH")</f>
        <v>9000</v>
      </c>
      <c r="CW32" s="3">
        <f>_xlfn.XLOOKUP(CW$1,generator!$B$2:$B$295,generator!$Q$2:$Q$295,"ARGH")</f>
        <v>9000</v>
      </c>
      <c r="CX32" s="3">
        <f>_xlfn.XLOOKUP(CX$1,generator!$B$2:$B$295,generator!$Q$2:$Q$295,"ARGH")</f>
        <v>9000</v>
      </c>
      <c r="CY32" s="3">
        <f>_xlfn.XLOOKUP(CY$1,generator!$B$2:$B$295,generator!$Q$2:$Q$295,"ARGH")</f>
        <v>9000</v>
      </c>
      <c r="CZ32" s="3">
        <f>_xlfn.XLOOKUP(CZ$1,generator!$B$2:$B$295,generator!$Q$2:$Q$295,"ARGH")</f>
        <v>9000</v>
      </c>
      <c r="DA32" s="3">
        <f>_xlfn.XLOOKUP(DA$1,generator!$B$2:$B$295,generator!$Q$2:$Q$295,"ARGH")</f>
        <v>9000</v>
      </c>
      <c r="DB32" s="3">
        <f>_xlfn.XLOOKUP(DB$1,generator!$B$2:$B$295,generator!$Q$2:$Q$295,"ARGH")</f>
        <v>9000</v>
      </c>
      <c r="DC32" s="3">
        <f>_xlfn.XLOOKUP(DC$1,generator!$B$2:$B$295,generator!$Q$2:$Q$295,"ARGH")</f>
        <v>9000</v>
      </c>
      <c r="DD32" s="3">
        <f>_xlfn.XLOOKUP(DD$1,generator!$B$2:$B$295,generator!$Q$2:$Q$295,"ARGH")</f>
        <v>9000</v>
      </c>
      <c r="DE32" s="3">
        <f>_xlfn.XLOOKUP(DE$1,generator!$B$2:$B$295,generator!$Q$2:$Q$295,"ARGH")</f>
        <v>9000</v>
      </c>
      <c r="DF32" s="3">
        <f>_xlfn.XLOOKUP(DF$1,generator!$B$2:$B$295,generator!$Q$2:$Q$295,"ARGH")</f>
        <v>9000</v>
      </c>
      <c r="DG32" s="3">
        <f>_xlfn.XLOOKUP(DG$1,generator!$B$2:$B$295,generator!$Q$2:$Q$295,"ARGH")</f>
        <v>9000</v>
      </c>
      <c r="DH32" s="3">
        <f>_xlfn.XLOOKUP(DH$1,generator!$B$2:$B$295,generator!$Q$2:$Q$295,"ARGH")</f>
        <v>9000</v>
      </c>
      <c r="DI32" s="3">
        <f>_xlfn.XLOOKUP(DI$1,generator!$B$2:$B$295,generator!$Q$2:$Q$295,"ARGH")</f>
        <v>9000</v>
      </c>
      <c r="DJ32" s="3">
        <f>_xlfn.XLOOKUP(DJ$1,generator!$B$2:$B$295,generator!$Q$2:$Q$295,"ARGH")</f>
        <v>9000</v>
      </c>
      <c r="DK32" s="3">
        <f>_xlfn.XLOOKUP(DK$1,generator!$B$2:$B$295,generator!$Q$2:$Q$295,"ARGH")</f>
        <v>9000</v>
      </c>
      <c r="DL32" s="3">
        <f>_xlfn.XLOOKUP(DL$1,generator!$B$2:$B$295,generator!$Q$2:$Q$295,"ARGH")</f>
        <v>9000</v>
      </c>
      <c r="DM32" s="3">
        <f>_xlfn.XLOOKUP(DM$1,generator!$B$2:$B$295,generator!$Q$2:$Q$295,"ARGH")</f>
        <v>9000</v>
      </c>
      <c r="DN32" s="3">
        <f>_xlfn.XLOOKUP(DN$1,generator!$B$2:$B$295,generator!$Q$2:$Q$295,"ARGH")</f>
        <v>9000</v>
      </c>
      <c r="DO32" s="3">
        <f>_xlfn.XLOOKUP(DO$1,generator!$B$2:$B$295,generator!$Q$2:$Q$295,"ARGH")</f>
        <v>9000</v>
      </c>
      <c r="DP32" s="3">
        <f>_xlfn.XLOOKUP(DP$1,generator!$B$2:$B$295,generator!$Q$2:$Q$295,"ARGH")</f>
        <v>9000</v>
      </c>
      <c r="DQ32" s="3">
        <f>_xlfn.XLOOKUP(DQ$1,generator!$B$2:$B$295,generator!$Q$2:$Q$295,"ARGH")</f>
        <v>9000</v>
      </c>
      <c r="DR32" s="3">
        <f>_xlfn.XLOOKUP(DR$1,generator!$B$2:$B$295,generator!$Q$2:$Q$295,"ARGH")</f>
        <v>9000</v>
      </c>
      <c r="DS32" s="3">
        <f>_xlfn.XLOOKUP(DS$1,generator!$B$2:$B$295,generator!$Q$2:$Q$295,"ARGH")</f>
        <v>9000</v>
      </c>
      <c r="DT32" s="3">
        <f>_xlfn.XLOOKUP(DT$1,generator!$B$2:$B$295,generator!$Q$2:$Q$295,"ARGH")</f>
        <v>9000</v>
      </c>
      <c r="DU32" s="3">
        <f>_xlfn.XLOOKUP(DU$1,generator!$B$2:$B$295,generator!$Q$2:$Q$295,"ARGH")</f>
        <v>9000</v>
      </c>
      <c r="DV32" s="3">
        <f>_xlfn.XLOOKUP(DV$1,generator!$B$2:$B$295,generator!$Q$2:$Q$295,"ARGH")</f>
        <v>9000</v>
      </c>
      <c r="DW32" s="3">
        <f>_xlfn.XLOOKUP(DW$1,generator!$B$2:$B$295,generator!$Q$2:$Q$295,"ARGH")</f>
        <v>9000</v>
      </c>
      <c r="DX32" s="3">
        <f>_xlfn.XLOOKUP(DX$1,generator!$B$2:$B$295,generator!$Q$2:$Q$295,"ARGH")</f>
        <v>9000</v>
      </c>
      <c r="DY32" s="3">
        <f>_xlfn.XLOOKUP(DY$1,generator!$B$2:$B$295,generator!$Q$2:$Q$295,"ARGH")</f>
        <v>9000</v>
      </c>
      <c r="DZ32" s="3">
        <f>_xlfn.XLOOKUP(DZ$1,generator!$B$2:$B$295,generator!$Q$2:$Q$295,"ARGH")</f>
        <v>9000</v>
      </c>
      <c r="EA32" s="3">
        <f>_xlfn.XLOOKUP(EA$1,generator!$B$2:$B$295,generator!$Q$2:$Q$295,"ARGH")</f>
        <v>9000</v>
      </c>
      <c r="EB32" s="3">
        <f>_xlfn.XLOOKUP(EB$1,generator!$B$2:$B$295,generator!$Q$2:$Q$295,"ARGH")</f>
        <v>9000</v>
      </c>
      <c r="EC32" s="3">
        <f>_xlfn.XLOOKUP(EC$1,generator!$B$2:$B$295,generator!$Q$2:$Q$295,"ARGH")</f>
        <v>9000</v>
      </c>
      <c r="ED32" s="3">
        <f>_xlfn.XLOOKUP(ED$1,generator!$B$2:$B$295,generator!$Q$2:$Q$295,"ARGH")</f>
        <v>9000</v>
      </c>
      <c r="EE32" s="3">
        <f>_xlfn.XLOOKUP(EE$1,generator!$B$2:$B$295,generator!$Q$2:$Q$295,"ARGH")</f>
        <v>9000</v>
      </c>
      <c r="EF32" s="3">
        <f>_xlfn.XLOOKUP(EF$1,generator!$B$2:$B$295,generator!$Q$2:$Q$295,"ARGH")</f>
        <v>9000</v>
      </c>
      <c r="EG32" s="3">
        <f>_xlfn.XLOOKUP(EG$1,generator!$B$2:$B$295,generator!$Q$2:$Q$295,"ARGH")</f>
        <v>9000</v>
      </c>
      <c r="EH32" s="3">
        <f>_xlfn.XLOOKUP(EH$1,generator!$B$2:$B$295,generator!$Q$2:$Q$295,"ARGH")</f>
        <v>9000</v>
      </c>
      <c r="EI32" s="3">
        <f>_xlfn.XLOOKUP(EI$1,generator!$B$2:$B$295,generator!$Q$2:$Q$295,"ARGH")</f>
        <v>9000</v>
      </c>
      <c r="EJ32" s="3">
        <f>_xlfn.XLOOKUP(EJ$1,generator!$B$2:$B$295,generator!$Q$2:$Q$295,"ARGH")</f>
        <v>9000</v>
      </c>
      <c r="EK32" s="3">
        <f>_xlfn.XLOOKUP(EK$1,generator!$B$2:$B$295,generator!$Q$2:$Q$295,"ARGH")</f>
        <v>9000</v>
      </c>
      <c r="EL32" s="3">
        <f>_xlfn.XLOOKUP(EL$1,generator!$B$2:$B$295,generator!$Q$2:$Q$295,"ARGH")</f>
        <v>9000</v>
      </c>
      <c r="EM32" s="3">
        <f>_xlfn.XLOOKUP(EM$1,generator!$B$2:$B$295,generator!$Q$2:$Q$295,"ARGH")</f>
        <v>9000</v>
      </c>
      <c r="EN32" s="3">
        <f>_xlfn.XLOOKUP(EN$1,generator!$B$2:$B$295,generator!$Q$2:$Q$295,"ARGH")</f>
        <v>9000</v>
      </c>
      <c r="EO32" s="3">
        <f>_xlfn.XLOOKUP(EO$1,generator!$B$2:$B$295,generator!$Q$2:$Q$295,"ARGH")</f>
        <v>9000</v>
      </c>
      <c r="EP32" s="3">
        <f>_xlfn.XLOOKUP(EP$1,generator!$B$2:$B$295,generator!$Q$2:$Q$295,"ARGH")</f>
        <v>9000</v>
      </c>
      <c r="EQ32" s="3">
        <f>_xlfn.XLOOKUP(EQ$1,generator!$B$2:$B$295,generator!$Q$2:$Q$295,"ARGH")</f>
        <v>9000</v>
      </c>
      <c r="ER32" s="3">
        <f>_xlfn.XLOOKUP(ER$1,generator!$B$2:$B$295,generator!$Q$2:$Q$295,"ARGH")</f>
        <v>9000</v>
      </c>
      <c r="ES32" s="3">
        <f>_xlfn.XLOOKUP(ES$1,generator!$B$2:$B$295,generator!$Q$2:$Q$295,"ARGH")</f>
        <v>9000</v>
      </c>
      <c r="ET32" s="3">
        <f>_xlfn.XLOOKUP(ET$1,generator!$B$2:$B$295,generator!$Q$2:$Q$295,"ARGH")</f>
        <v>9000</v>
      </c>
      <c r="EU32" s="3">
        <f>_xlfn.XLOOKUP(EU$1,generator!$B$2:$B$295,generator!$Q$2:$Q$295,"ARGH")</f>
        <v>9000</v>
      </c>
      <c r="EV32" s="3">
        <f>_xlfn.XLOOKUP(EV$1,generator!$B$2:$B$295,generator!$Q$2:$Q$295,"ARGH")</f>
        <v>9000</v>
      </c>
      <c r="EW32" s="3">
        <f>_xlfn.XLOOKUP(EW$1,generator!$B$2:$B$295,generator!$Q$2:$Q$295,"ARGH")</f>
        <v>9000</v>
      </c>
      <c r="EX32" s="3">
        <f>_xlfn.XLOOKUP(EX$1,generator!$B$2:$B$295,generator!$Q$2:$Q$295,"ARGH")</f>
        <v>9000</v>
      </c>
      <c r="EY32" s="3">
        <f>_xlfn.XLOOKUP(EY$1,generator!$B$2:$B$295,generator!$Q$2:$Q$295,"ARGH")</f>
        <v>9000</v>
      </c>
      <c r="EZ32" s="3">
        <f>_xlfn.XLOOKUP(EZ$1,generator!$B$2:$B$295,generator!$Q$2:$Q$295,"ARGH")</f>
        <v>9000</v>
      </c>
      <c r="FA32" s="3">
        <f>_xlfn.XLOOKUP(FA$1,generator!$B$2:$B$295,generator!$Q$2:$Q$295,"ARGH")</f>
        <v>9000</v>
      </c>
      <c r="FB32" s="3">
        <f>_xlfn.XLOOKUP(FB$1,generator!$B$2:$B$295,generator!$Q$2:$Q$295,"ARGH")</f>
        <v>9000</v>
      </c>
      <c r="FC32" s="3">
        <f>_xlfn.XLOOKUP(FC$1,generator!$B$2:$B$295,generator!$Q$2:$Q$295,"ARGH")</f>
        <v>9000</v>
      </c>
      <c r="FD32" s="3">
        <f>_xlfn.XLOOKUP(FD$1,generator!$B$2:$B$295,generator!$Q$2:$Q$295,"ARGH")</f>
        <v>9000</v>
      </c>
      <c r="FE32" s="3">
        <f>_xlfn.XLOOKUP(FE$1,generator!$B$2:$B$295,generator!$Q$2:$Q$295,"ARGH")</f>
        <v>9000</v>
      </c>
      <c r="FF32" s="3">
        <f>_xlfn.XLOOKUP(FF$1,generator!$B$2:$B$295,generator!$Q$2:$Q$295,"ARGH")</f>
        <v>9000</v>
      </c>
      <c r="FG32" s="3">
        <f>_xlfn.XLOOKUP(FG$1,generator!$B$2:$B$295,generator!$Q$2:$Q$295,"ARGH")</f>
        <v>9000</v>
      </c>
      <c r="FH32" s="3">
        <f>_xlfn.XLOOKUP(FH$1,generator!$B$2:$B$295,generator!$Q$2:$Q$295,"ARGH")</f>
        <v>9000</v>
      </c>
      <c r="FI32" s="3">
        <f>_xlfn.XLOOKUP(FI$1,generator!$B$2:$B$295,generator!$Q$2:$Q$295,"ARGH")</f>
        <v>9000</v>
      </c>
      <c r="FJ32" s="3">
        <f>_xlfn.XLOOKUP(FJ$1,generator!$B$2:$B$295,generator!$Q$2:$Q$295,"ARGH")</f>
        <v>9000</v>
      </c>
      <c r="FK32" s="3">
        <f>_xlfn.XLOOKUP(FK$1,generator!$B$2:$B$295,generator!$Q$2:$Q$295,"ARGH")</f>
        <v>9000</v>
      </c>
      <c r="FL32" s="3">
        <f>_xlfn.XLOOKUP(FL$1,generator!$B$2:$B$295,generator!$Q$2:$Q$295,"ARGH")</f>
        <v>9000</v>
      </c>
      <c r="FM32" s="3">
        <f>_xlfn.XLOOKUP(FM$1,generator!$B$2:$B$295,generator!$Q$2:$Q$295,"ARGH")</f>
        <v>9000</v>
      </c>
      <c r="FN32" s="3">
        <f>_xlfn.XLOOKUP(FN$1,generator!$B$2:$B$295,generator!$Q$2:$Q$295,"ARGH")</f>
        <v>9000</v>
      </c>
      <c r="FO32" s="3">
        <f>_xlfn.XLOOKUP(FO$1,generator!$B$2:$B$295,generator!$Q$2:$Q$295,"ARGH")</f>
        <v>9000</v>
      </c>
      <c r="FP32" s="3">
        <f>_xlfn.XLOOKUP(FP$1,generator!$B$2:$B$295,generator!$Q$2:$Q$295,"ARGH")</f>
        <v>9000</v>
      </c>
      <c r="FQ32" s="3">
        <f>_xlfn.XLOOKUP(FQ$1,generator!$B$2:$B$295,generator!$Q$2:$Q$295,"ARGH")</f>
        <v>9000</v>
      </c>
      <c r="FR32" s="3">
        <f>_xlfn.XLOOKUP(FR$1,generator!$B$2:$B$295,generator!$Q$2:$Q$295,"ARGH")</f>
        <v>9000</v>
      </c>
      <c r="FS32" s="3">
        <f>_xlfn.XLOOKUP(FS$1,generator!$B$2:$B$295,generator!$Q$2:$Q$295,"ARGH")</f>
        <v>9000</v>
      </c>
      <c r="FT32" s="3">
        <f>_xlfn.XLOOKUP(FT$1,generator!$B$2:$B$295,generator!$Q$2:$Q$295,"ARGH")</f>
        <v>9000</v>
      </c>
      <c r="FU32" s="3">
        <f>_xlfn.XLOOKUP(FU$1,generator!$B$2:$B$295,generator!$Q$2:$Q$295,"ARGH")</f>
        <v>9000</v>
      </c>
      <c r="FV32" s="3">
        <f>_xlfn.XLOOKUP(FV$1,generator!$B$2:$B$295,generator!$Q$2:$Q$295,"ARGH")</f>
        <v>9000</v>
      </c>
      <c r="FW32" s="3">
        <f>_xlfn.XLOOKUP(FW$1,generator!$B$2:$B$295,generator!$Q$2:$Q$295,"ARGH")</f>
        <v>9000</v>
      </c>
      <c r="FX32" s="3">
        <f>_xlfn.XLOOKUP(FX$1,generator!$B$2:$B$295,generator!$Q$2:$Q$295,"ARGH")</f>
        <v>9000</v>
      </c>
      <c r="FY32" s="3">
        <f>_xlfn.XLOOKUP(FY$1,generator!$B$2:$B$295,generator!$Q$2:$Q$295,"ARGH")</f>
        <v>9000</v>
      </c>
      <c r="FZ32" s="3">
        <f>_xlfn.XLOOKUP(FZ$1,generator!$B$2:$B$295,generator!$Q$2:$Q$295,"ARGH")</f>
        <v>9000</v>
      </c>
      <c r="GA32" s="3">
        <f>_xlfn.XLOOKUP(GA$1,generator!$B$2:$B$295,generator!$Q$2:$Q$295,"ARGH")</f>
        <v>9000</v>
      </c>
      <c r="GB32" s="3">
        <f>_xlfn.XLOOKUP(GB$1,generator!$B$2:$B$295,generator!$Q$2:$Q$295,"ARGH")</f>
        <v>9000</v>
      </c>
      <c r="GC32" s="3">
        <f>_xlfn.XLOOKUP(GC$1,generator!$B$2:$B$295,generator!$Q$2:$Q$295,"ARGH")</f>
        <v>9000</v>
      </c>
      <c r="GD32" s="3">
        <f>_xlfn.XLOOKUP(GD$1,generator!$B$2:$B$295,generator!$Q$2:$Q$295,"ARGH")</f>
        <v>9000</v>
      </c>
      <c r="GE32" s="3">
        <f>_xlfn.XLOOKUP(GE$1,generator!$B$2:$B$295,generator!$Q$2:$Q$295,"ARGH")</f>
        <v>9000</v>
      </c>
      <c r="GF32" s="3">
        <f>_xlfn.XLOOKUP(GF$1,generator!$B$2:$B$295,generator!$Q$2:$Q$295,"ARGH")</f>
        <v>9000</v>
      </c>
      <c r="GG32" s="3">
        <f>_xlfn.XLOOKUP(GG$1,generator!$B$2:$B$295,generator!$Q$2:$Q$295,"ARGH")</f>
        <v>9000</v>
      </c>
      <c r="GH32" s="3">
        <f>_xlfn.XLOOKUP(GH$1,generator!$B$2:$B$295,generator!$Q$2:$Q$295,"ARGH")</f>
        <v>9000</v>
      </c>
      <c r="GI32" s="3">
        <f>_xlfn.XLOOKUP(GI$1,generator!$B$2:$B$295,generator!$Q$2:$Q$295,"ARGH")</f>
        <v>9000</v>
      </c>
      <c r="GJ32" s="3">
        <f>_xlfn.XLOOKUP(GJ$1,generator!$B$2:$B$295,generator!$Q$2:$Q$295,"ARGH")</f>
        <v>9000</v>
      </c>
      <c r="GK32" s="3">
        <f>_xlfn.XLOOKUP(GK$1,generator!$B$2:$B$295,generator!$Q$2:$Q$295,"ARGH")</f>
        <v>9000</v>
      </c>
      <c r="GL32" s="3">
        <f>_xlfn.XLOOKUP(GL$1,generator!$B$2:$B$295,generator!$Q$2:$Q$295,"ARGH")</f>
        <v>9000</v>
      </c>
      <c r="GM32" s="3">
        <f>_xlfn.XLOOKUP(GM$1,generator!$B$2:$B$295,generator!$Q$2:$Q$295,"ARGH")</f>
        <v>9000</v>
      </c>
      <c r="GN32" s="3">
        <f>_xlfn.XLOOKUP(GN$1,generator!$B$2:$B$295,generator!$Q$2:$Q$295,"ARGH")</f>
        <v>9000</v>
      </c>
      <c r="GO32" s="3">
        <f>_xlfn.XLOOKUP(GO$1,generator!$B$2:$B$295,generator!$Q$2:$Q$295,"ARGH")</f>
        <v>9000</v>
      </c>
      <c r="GP32" s="3">
        <f>_xlfn.XLOOKUP(GP$1,generator!$B$2:$B$295,generator!$Q$2:$Q$295,"ARGH")</f>
        <v>9000</v>
      </c>
      <c r="GQ32" s="3">
        <f>_xlfn.XLOOKUP(GQ$1,generator!$B$2:$B$295,generator!$Q$2:$Q$295,"ARGH")</f>
        <v>9000</v>
      </c>
      <c r="GR32" s="3">
        <f>_xlfn.XLOOKUP(GR$1,generator!$B$2:$B$295,generator!$Q$2:$Q$295,"ARGH")</f>
        <v>9000</v>
      </c>
      <c r="GS32" s="3">
        <f>_xlfn.XLOOKUP(GS$1,generator!$B$2:$B$295,generator!$Q$2:$Q$295,"ARGH")</f>
        <v>9000</v>
      </c>
      <c r="GT32" s="3">
        <f>_xlfn.XLOOKUP(GT$1,generator!$B$2:$B$295,generator!$Q$2:$Q$295,"ARGH")</f>
        <v>9000</v>
      </c>
      <c r="GU32" s="3">
        <f>_xlfn.XLOOKUP(GU$1,generator!$B$2:$B$295,generator!$Q$2:$Q$295,"ARGH")</f>
        <v>9000</v>
      </c>
      <c r="GV32" s="3">
        <f>_xlfn.XLOOKUP(GV$1,generator!$B$2:$B$295,generator!$Q$2:$Q$295,"ARGH")</f>
        <v>9000</v>
      </c>
      <c r="GW32" s="3">
        <f>_xlfn.XLOOKUP(GW$1,generator!$B$2:$B$295,generator!$Q$2:$Q$295,"ARGH")</f>
        <v>9000</v>
      </c>
      <c r="GX32" s="3">
        <f>_xlfn.XLOOKUP(GX$1,generator!$B$2:$B$295,generator!$Q$2:$Q$295,"ARGH")</f>
        <v>9000</v>
      </c>
      <c r="GY32" s="3">
        <f>_xlfn.XLOOKUP(GY$1,generator!$B$2:$B$295,generator!$Q$2:$Q$295,"ARGH")</f>
        <v>9000</v>
      </c>
      <c r="GZ32" s="3">
        <f>_xlfn.XLOOKUP(GZ$1,generator!$B$2:$B$295,generator!$Q$2:$Q$295,"ARGH")</f>
        <v>9000</v>
      </c>
      <c r="HA32" s="3">
        <f>_xlfn.XLOOKUP(HA$1,generator!$B$2:$B$295,generator!$Q$2:$Q$295,"ARGH")</f>
        <v>9000</v>
      </c>
      <c r="HB32" s="3">
        <f>_xlfn.XLOOKUP(HB$1,generator!$B$2:$B$295,generator!$Q$2:$Q$295,"ARGH")</f>
        <v>9000</v>
      </c>
      <c r="HC32" s="3">
        <f>_xlfn.XLOOKUP(HC$1,generator!$B$2:$B$295,generator!$Q$2:$Q$295,"ARGH")</f>
        <v>9000</v>
      </c>
      <c r="HD32" s="3">
        <f>_xlfn.XLOOKUP(HD$1,generator!$B$2:$B$295,generator!$Q$2:$Q$295,"ARGH")</f>
        <v>9000</v>
      </c>
      <c r="HE32" s="3">
        <f>_xlfn.XLOOKUP(HE$1,generator!$B$2:$B$295,generator!$Q$2:$Q$295,"ARGH")</f>
        <v>8000</v>
      </c>
      <c r="HF32" s="3" t="str">
        <f>_xlfn.XLOOKUP(HF$1,generator!$B$2:$B$295,generator!$Q$2:$Q$295,"ARGH")</f>
        <v>143</v>
      </c>
      <c r="HG32" s="3" t="str">
        <f>_xlfn.XLOOKUP(HG$1,generator!$B$2:$B$295,generator!$Q$2:$Q$295,"ARGH")</f>
        <v>143</v>
      </c>
      <c r="HH32" s="3" t="str">
        <f>_xlfn.XLOOKUP(HH$1,generator!$B$2:$B$295,generator!$Q$2:$Q$295,"ARGH")</f>
        <v>143</v>
      </c>
      <c r="HI32" s="3" t="str">
        <f>_xlfn.XLOOKUP(HI$1,generator!$B$2:$B$295,generator!$Q$2:$Q$295,"ARGH")</f>
        <v>246.74</v>
      </c>
      <c r="HJ32" s="3" t="str">
        <f>_xlfn.XLOOKUP(HJ$1,generator!$B$2:$B$295,generator!$Q$2:$Q$295,"ARGH")</f>
        <v>246.74</v>
      </c>
      <c r="HK32" s="3" t="str">
        <f>_xlfn.XLOOKUP(HK$1,generator!$B$2:$B$295,generator!$Q$2:$Q$295,"ARGH")</f>
        <v>206.04</v>
      </c>
      <c r="HL32" s="3" t="str">
        <f>_xlfn.XLOOKUP(HL$1,generator!$B$2:$B$295,generator!$Q$2:$Q$295,"ARGH")</f>
        <v>506.96</v>
      </c>
      <c r="HM32" s="3" t="str">
        <f>_xlfn.XLOOKUP(HM$1,generator!$B$2:$B$295,generator!$Q$2:$Q$295,"ARGH")</f>
        <v>506.95</v>
      </c>
      <c r="HN32" s="3" t="str">
        <f>_xlfn.XLOOKUP(HN$1,generator!$B$2:$B$295,generator!$Q$2:$Q$295,"ARGH")</f>
        <v>190.97</v>
      </c>
      <c r="HO32" s="3" t="str">
        <f>_xlfn.XLOOKUP(HO$1,generator!$B$2:$B$295,generator!$Q$2:$Q$295,"ARGH")</f>
        <v>190.97</v>
      </c>
      <c r="HP32" s="3" t="str">
        <f>_xlfn.XLOOKUP(HP$1,generator!$B$2:$B$295,generator!$Q$2:$Q$295,"ARGH")</f>
        <v>424.84</v>
      </c>
      <c r="HQ32" s="3" t="str">
        <f>_xlfn.XLOOKUP(HQ$1,generator!$B$2:$B$295,generator!$Q$2:$Q$295,"ARGH")</f>
        <v>425.9</v>
      </c>
      <c r="HR32" s="3" t="str">
        <f>_xlfn.XLOOKUP(HR$1,generator!$B$2:$B$295,generator!$Q$2:$Q$295,"ARGH")</f>
        <v>425.9</v>
      </c>
      <c r="HS32" s="3" t="str">
        <f>_xlfn.XLOOKUP(HS$1,generator!$B$2:$B$295,generator!$Q$2:$Q$295,"ARGH")</f>
        <v>196.54</v>
      </c>
      <c r="HT32" s="3" t="str">
        <f>_xlfn.XLOOKUP(HT$1,generator!$B$2:$B$295,generator!$Q$2:$Q$295,"ARGH")</f>
        <v>196.54</v>
      </c>
      <c r="HU32" s="3" t="str">
        <f>_xlfn.XLOOKUP(HU$1,generator!$B$2:$B$295,generator!$Q$2:$Q$295,"ARGH")</f>
        <v>145.57</v>
      </c>
      <c r="HV32" s="3" t="str">
        <f>_xlfn.XLOOKUP(HV$1,generator!$B$2:$B$295,generator!$Q$2:$Q$295,"ARGH")</f>
        <v>132.62</v>
      </c>
      <c r="HW32" s="3" t="str">
        <f>_xlfn.XLOOKUP(HW$1,generator!$B$2:$B$295,generator!$Q$2:$Q$295,"ARGH")</f>
        <v>193.76</v>
      </c>
      <c r="HX32" s="3" t="str">
        <f>_xlfn.XLOOKUP(HX$1,generator!$B$2:$B$295,generator!$Q$2:$Q$295,"ARGH")</f>
        <v>193.76</v>
      </c>
      <c r="HY32" s="3" t="str">
        <f>_xlfn.XLOOKUP(HY$1,generator!$B$2:$B$295,generator!$Q$2:$Q$295,"ARGH")</f>
        <v>79.19</v>
      </c>
      <c r="HZ32" s="3" t="str">
        <f>_xlfn.XLOOKUP(HZ$1,generator!$B$2:$B$295,generator!$Q$2:$Q$295,"ARGH")</f>
        <v>125.79</v>
      </c>
      <c r="IA32" s="3" t="str">
        <f>_xlfn.XLOOKUP(IA$1,generator!$B$2:$B$295,generator!$Q$2:$Q$295,"ARGH")</f>
        <v>54.19</v>
      </c>
      <c r="IB32" s="3" t="str">
        <f>_xlfn.XLOOKUP(IB$1,generator!$B$2:$B$295,generator!$Q$2:$Q$295,"ARGH")</f>
        <v>59.7</v>
      </c>
      <c r="IC32" s="3">
        <f>_xlfn.XLOOKUP(IC$1,generator!$B$2:$B$295,generator!$Q$2:$Q$295,"ARGH")</f>
        <v>0</v>
      </c>
      <c r="ID32" s="3" t="str">
        <f>_xlfn.XLOOKUP(ID$1,generator!$B$2:$B$295,generator!$Q$2:$Q$295,"ARGH")</f>
        <v>121.14</v>
      </c>
      <c r="IE32" s="3" t="str">
        <f>_xlfn.XLOOKUP(IE$1,generator!$B$2:$B$295,generator!$Q$2:$Q$295,"ARGH")</f>
        <v>26.6</v>
      </c>
      <c r="IF32" s="3">
        <f>_xlfn.XLOOKUP(IF$1,generator!$B$2:$B$295,generator!$Q$2:$Q$295,"ARGH")</f>
        <v>8000</v>
      </c>
      <c r="IG32" s="3">
        <f>_xlfn.XLOOKUP(IG$1,generator!$B$2:$B$295,generator!$Q$2:$Q$295,"ARGH")</f>
        <v>8000</v>
      </c>
      <c r="IH32" s="3">
        <f>_xlfn.XLOOKUP(IH$1,generator!$B$2:$B$295,generator!$Q$2:$Q$295,"ARGH")</f>
        <v>8000</v>
      </c>
      <c r="II32" s="3">
        <f>_xlfn.XLOOKUP(II$1,generator!$B$2:$B$295,generator!$Q$2:$Q$295,"ARGH")</f>
        <v>8000</v>
      </c>
      <c r="IJ32" s="3">
        <f>_xlfn.XLOOKUP(IJ$1,generator!$B$2:$B$295,generator!$Q$2:$Q$295,"ARGH")</f>
        <v>8000</v>
      </c>
      <c r="IK32" s="3">
        <f>_xlfn.XLOOKUP(IK$1,generator!$B$2:$B$295,generator!$Q$2:$Q$295,"ARGH")</f>
        <v>8000</v>
      </c>
      <c r="IL32" s="3">
        <f>_xlfn.XLOOKUP(IL$1,generator!$B$2:$B$295,generator!$Q$2:$Q$295,"ARGH")</f>
        <v>8000</v>
      </c>
      <c r="IM32" s="3">
        <f>_xlfn.XLOOKUP(IM$1,generator!$B$2:$B$295,generator!$Q$2:$Q$295,"ARGH")</f>
        <v>8000</v>
      </c>
      <c r="IN32" s="3">
        <f>_xlfn.XLOOKUP(IN$1,generator!$B$2:$B$295,generator!$Q$2:$Q$295,"ARGH")</f>
        <v>8000</v>
      </c>
      <c r="IO32" s="3">
        <f>_xlfn.XLOOKUP(IO$1,generator!$B$2:$B$295,generator!$Q$2:$Q$295,"ARGH")</f>
        <v>8000</v>
      </c>
      <c r="IP32" s="3">
        <f>_xlfn.XLOOKUP(IP$1,generator!$B$2:$B$295,generator!$Q$2:$Q$295,"ARGH")</f>
        <v>8000</v>
      </c>
      <c r="IQ32" s="3">
        <f>_xlfn.XLOOKUP(IQ$1,generator!$B$2:$B$295,generator!$Q$2:$Q$295,"ARGH")</f>
        <v>8000</v>
      </c>
      <c r="IR32" s="3">
        <f>_xlfn.XLOOKUP(IR$1,generator!$B$2:$B$295,generator!$Q$2:$Q$295,"ARGH")</f>
        <v>8000</v>
      </c>
      <c r="IS32" s="3">
        <f>_xlfn.XLOOKUP(IS$1,generator!$B$2:$B$295,generator!$Q$2:$Q$295,"ARGH")</f>
        <v>8000</v>
      </c>
      <c r="IT32" s="3">
        <f>_xlfn.XLOOKUP(IT$1,generator!$B$2:$B$295,generator!$Q$2:$Q$295,"ARGH")</f>
        <v>8000</v>
      </c>
      <c r="IU32" s="3">
        <f>_xlfn.XLOOKUP(IU$1,generator!$B$2:$B$295,generator!$Q$2:$Q$295,"ARGH")</f>
        <v>8000</v>
      </c>
      <c r="IV32" s="3">
        <f>_xlfn.XLOOKUP(IV$1,generator!$B$2:$B$295,generator!$Q$2:$Q$295,"ARGH")</f>
        <v>8000</v>
      </c>
      <c r="IW32" s="3" t="str">
        <f>_xlfn.XLOOKUP(IW$1,generator!$B$2:$B$295,generator!$Q$2:$Q$295,"ARGH")</f>
        <v>108.19</v>
      </c>
      <c r="IX32" s="3" t="str">
        <f>_xlfn.XLOOKUP(IX$1,generator!$B$2:$B$295,generator!$Q$2:$Q$295,"ARGH")</f>
        <v>108.18</v>
      </c>
      <c r="IY32" s="3" t="str">
        <f>_xlfn.XLOOKUP(IY$1,generator!$B$2:$B$295,generator!$Q$2:$Q$295,"ARGH")</f>
        <v>108.17</v>
      </c>
      <c r="IZ32" s="3" t="str">
        <f>_xlfn.XLOOKUP(IZ$1,generator!$B$2:$B$295,generator!$Q$2:$Q$295,"ARGH")</f>
        <v>40.96</v>
      </c>
      <c r="JA32" s="3">
        <f>_xlfn.XLOOKUP(JA$1,generator!$B$2:$B$295,generator!$Q$2:$Q$295,"ARGH")</f>
        <v>0</v>
      </c>
      <c r="JB32" s="3">
        <f>_xlfn.XLOOKUP(JB$1,generator!$B$2:$B$295,generator!$Q$2:$Q$295,"ARGH")</f>
        <v>0</v>
      </c>
      <c r="JC32" s="3" t="str">
        <f>_xlfn.XLOOKUP(JC$1,generator!$B$2:$B$295,generator!$Q$2:$Q$295,"ARGH")</f>
        <v>75.91</v>
      </c>
      <c r="JD32" s="3" t="str">
        <f>_xlfn.XLOOKUP(JD$1,generator!$B$2:$B$295,generator!$Q$2:$Q$295,"ARGH")</f>
        <v>75.91</v>
      </c>
      <c r="JE32" s="3" t="str">
        <f>_xlfn.XLOOKUP(JE$1,generator!$B$2:$B$295,generator!$Q$2:$Q$295,"ARGH")</f>
        <v>51.59</v>
      </c>
      <c r="JF32" s="3" t="str">
        <f>_xlfn.XLOOKUP(JF$1,generator!$B$2:$B$295,generator!$Q$2:$Q$295,"ARGH")</f>
        <v>111.57</v>
      </c>
      <c r="JG32" s="3">
        <f>_xlfn.XLOOKUP(JG$1,generator!$B$2:$B$295,generator!$Q$2:$Q$295,"ARGH")</f>
        <v>0</v>
      </c>
      <c r="JH32" s="3" t="str">
        <f>_xlfn.XLOOKUP(JH$1,generator!$B$2:$B$295,generator!$Q$2:$Q$295,"ARGH")</f>
        <v>48.65</v>
      </c>
      <c r="JI32" s="3" t="str">
        <f>_xlfn.XLOOKUP(JI$1,generator!$B$2:$B$295,generator!$Q$2:$Q$295,"ARGH")</f>
        <v>71.88</v>
      </c>
      <c r="JJ32" s="3" t="str">
        <f>_xlfn.XLOOKUP(JJ$1,generator!$B$2:$B$295,generator!$Q$2:$Q$295,"ARGH")</f>
        <v>98.17</v>
      </c>
      <c r="JK32" s="3" t="str">
        <f>_xlfn.XLOOKUP(JK$1,generator!$B$2:$B$295,generator!$Q$2:$Q$295,"ARGH")</f>
        <v>98.17</v>
      </c>
      <c r="JL32" s="3" t="str">
        <f>_xlfn.XLOOKUP(JL$1,generator!$B$2:$B$295,generator!$Q$2:$Q$295,"ARGH")</f>
        <v>98.17</v>
      </c>
      <c r="JM32" s="3" t="str">
        <f>_xlfn.XLOOKUP(JM$1,generator!$B$2:$B$295,generator!$Q$2:$Q$295,"ARGH")</f>
        <v>98.17</v>
      </c>
      <c r="JN32" s="3" t="str">
        <f>_xlfn.XLOOKUP(JN$1,generator!$B$2:$B$295,generator!$Q$2:$Q$295,"ARGH")</f>
        <v>98.17</v>
      </c>
      <c r="JO32" s="3" t="str">
        <f>_xlfn.XLOOKUP(JO$1,generator!$B$2:$B$295,generator!$Q$2:$Q$295,"ARGH")</f>
        <v>98.17</v>
      </c>
      <c r="JP32" s="3" t="str">
        <f>_xlfn.XLOOKUP(JP$1,generator!$B$2:$B$295,generator!$Q$2:$Q$295,"ARGH")</f>
        <v>47.53</v>
      </c>
      <c r="JQ32" s="3" t="str">
        <f>_xlfn.XLOOKUP(JQ$1,generator!$B$2:$B$295,generator!$Q$2:$Q$295,"ARGH")</f>
        <v>108.86</v>
      </c>
      <c r="JR32" s="3" t="str">
        <f>_xlfn.XLOOKUP(JR$1,generator!$B$2:$B$295,generator!$Q$2:$Q$295,"ARGH")</f>
        <v>83.15</v>
      </c>
      <c r="JS32" s="3" t="str">
        <f>_xlfn.XLOOKUP(JS$1,generator!$B$2:$B$295,generator!$Q$2:$Q$295,"ARGH")</f>
        <v>83.15</v>
      </c>
      <c r="JT32" s="3" t="str">
        <f>_xlfn.XLOOKUP(JT$1,generator!$B$2:$B$295,generator!$Q$2:$Q$295,"ARGH")</f>
        <v>108.86</v>
      </c>
      <c r="JU32" s="3">
        <f>_xlfn.XLOOKUP(JU$1,generator!$B$2:$B$295,generator!$Q$2:$Q$295,"ARGH")</f>
        <v>0</v>
      </c>
      <c r="JV32" s="3" t="str">
        <f>_xlfn.XLOOKUP(JV$1,generator!$B$2:$B$295,generator!$Q$2:$Q$295,"ARGH")</f>
        <v>77.63</v>
      </c>
      <c r="JW32" s="3" t="str">
        <f>_xlfn.XLOOKUP(JW$1,generator!$B$2:$B$295,generator!$Q$2:$Q$295,"ARGH")</f>
        <v>77.64</v>
      </c>
      <c r="JX32" s="3" t="str">
        <f>_xlfn.XLOOKUP(JX$1,generator!$B$2:$B$295,generator!$Q$2:$Q$295,"ARGH")</f>
        <v>331.49</v>
      </c>
      <c r="JY32" s="3">
        <f>_xlfn.XLOOKUP(JY$1,generator!$B$2:$B$295,generator!$Q$2:$Q$295,"ARGH")</f>
        <v>7000</v>
      </c>
      <c r="JZ32" s="3">
        <f>_xlfn.XLOOKUP(JZ$1,generator!$B$2:$B$295,generator!$Q$2:$Q$295,"ARGH")</f>
        <v>0</v>
      </c>
      <c r="KA32" s="3">
        <f>_xlfn.XLOOKUP(KA$1,generator!$B$2:$B$295,generator!$Q$2:$Q$295,"ARGH")</f>
        <v>0</v>
      </c>
      <c r="KB32" s="3">
        <f>_xlfn.XLOOKUP(KB$1,generator!$B$2:$B$295,generator!$Q$2:$Q$295,"ARGH")</f>
        <v>0</v>
      </c>
      <c r="KC32" s="3">
        <f>_xlfn.XLOOKUP(KC$1,generator!$B$2:$B$295,generator!$Q$2:$Q$295,"ARGH")</f>
        <v>0</v>
      </c>
    </row>
    <row r="33" spans="1:289" x14ac:dyDescent="0.3">
      <c r="A33" s="4" t="s">
        <v>3028</v>
      </c>
      <c r="B33" s="3">
        <v>15000</v>
      </c>
      <c r="C33" s="3">
        <v>15000</v>
      </c>
      <c r="D33" s="3">
        <v>15000</v>
      </c>
      <c r="E33" s="3">
        <f>_xlfn.XLOOKUP(E$1,generator!$B$2:$B$295,generator!$Q$2:$Q$295,"ARGH")</f>
        <v>9000</v>
      </c>
      <c r="F33" s="3">
        <f>_xlfn.XLOOKUP(F$1,generator!$B$2:$B$295,generator!$Q$2:$Q$295,"ARGH")</f>
        <v>9000</v>
      </c>
      <c r="G33" s="3">
        <f>_xlfn.XLOOKUP(G$1,generator!$B$2:$B$295,generator!$Q$2:$Q$295,"ARGH")</f>
        <v>9000</v>
      </c>
      <c r="H33" s="3">
        <f>_xlfn.XLOOKUP(H$1,generator!$B$2:$B$295,generator!$Q$2:$Q$295,"ARGH")</f>
        <v>9000</v>
      </c>
      <c r="I33" s="3">
        <f>_xlfn.XLOOKUP(I$1,generator!$B$2:$B$295,generator!$Q$2:$Q$295,"ARGH")</f>
        <v>9000</v>
      </c>
      <c r="J33" s="3">
        <f>_xlfn.XLOOKUP(J$1,generator!$B$2:$B$295,generator!$Q$2:$Q$295,"ARGH")</f>
        <v>9000</v>
      </c>
      <c r="K33" s="3">
        <f>_xlfn.XLOOKUP(K$1,generator!$B$2:$B$295,generator!$Q$2:$Q$295,"ARGH")</f>
        <v>9000</v>
      </c>
      <c r="L33" s="3">
        <f>_xlfn.XLOOKUP(L$1,generator!$B$2:$B$295,generator!$Q$2:$Q$295,"ARGH")</f>
        <v>9000</v>
      </c>
      <c r="M33" s="3">
        <f>_xlfn.XLOOKUP(M$1,generator!$B$2:$B$295,generator!$Q$2:$Q$295,"ARGH")</f>
        <v>9000</v>
      </c>
      <c r="N33" s="3">
        <f>_xlfn.XLOOKUP(N$1,generator!$B$2:$B$295,generator!$Q$2:$Q$295,"ARGH")</f>
        <v>9000</v>
      </c>
      <c r="O33" s="3">
        <f>_xlfn.XLOOKUP(O$1,generator!$B$2:$B$295,generator!$Q$2:$Q$295,"ARGH")</f>
        <v>9000</v>
      </c>
      <c r="P33" s="3">
        <f>_xlfn.XLOOKUP(P$1,generator!$B$2:$B$295,generator!$Q$2:$Q$295,"ARGH")</f>
        <v>9000</v>
      </c>
      <c r="Q33" s="3">
        <f>_xlfn.XLOOKUP(Q$1,generator!$B$2:$B$295,generator!$Q$2:$Q$295,"ARGH")</f>
        <v>9000</v>
      </c>
      <c r="R33" s="3">
        <f>_xlfn.XLOOKUP(R$1,generator!$B$2:$B$295,generator!$Q$2:$Q$295,"ARGH")</f>
        <v>9000</v>
      </c>
      <c r="S33" s="3">
        <f>_xlfn.XLOOKUP(S$1,generator!$B$2:$B$295,generator!$Q$2:$Q$295,"ARGH")</f>
        <v>9000</v>
      </c>
      <c r="T33" s="3">
        <f>_xlfn.XLOOKUP(T$1,generator!$B$2:$B$295,generator!$Q$2:$Q$295,"ARGH")</f>
        <v>9000</v>
      </c>
      <c r="U33" s="3">
        <f>_xlfn.XLOOKUP(U$1,generator!$B$2:$B$295,generator!$Q$2:$Q$295,"ARGH")</f>
        <v>9000</v>
      </c>
      <c r="V33" s="3">
        <f>_xlfn.XLOOKUP(V$1,generator!$B$2:$B$295,generator!$Q$2:$Q$295,"ARGH")</f>
        <v>9000</v>
      </c>
      <c r="W33" s="3">
        <f>_xlfn.XLOOKUP(W$1,generator!$B$2:$B$295,generator!$Q$2:$Q$295,"ARGH")</f>
        <v>9000</v>
      </c>
      <c r="X33" s="3">
        <f>_xlfn.XLOOKUP(X$1,generator!$B$2:$B$295,generator!$Q$2:$Q$295,"ARGH")</f>
        <v>9000</v>
      </c>
      <c r="Y33" s="3">
        <f>_xlfn.XLOOKUP(Y$1,generator!$B$2:$B$295,generator!$Q$2:$Q$295,"ARGH")</f>
        <v>9000</v>
      </c>
      <c r="Z33" s="3">
        <f>_xlfn.XLOOKUP(Z$1,generator!$B$2:$B$295,generator!$Q$2:$Q$295,"ARGH")</f>
        <v>9000</v>
      </c>
      <c r="AA33" s="3">
        <f>_xlfn.XLOOKUP(AA$1,generator!$B$2:$B$295,generator!$Q$2:$Q$295,"ARGH")</f>
        <v>9000</v>
      </c>
      <c r="AB33" s="3">
        <f>_xlfn.XLOOKUP(AB$1,generator!$B$2:$B$295,generator!$Q$2:$Q$295,"ARGH")</f>
        <v>9000</v>
      </c>
      <c r="AC33" s="3">
        <f>_xlfn.XLOOKUP(AC$1,generator!$B$2:$B$295,generator!$Q$2:$Q$295,"ARGH")</f>
        <v>9000</v>
      </c>
      <c r="AD33" s="3">
        <f>_xlfn.XLOOKUP(AD$1,generator!$B$2:$B$295,generator!$Q$2:$Q$295,"ARGH")</f>
        <v>9000</v>
      </c>
      <c r="AE33" s="3">
        <f>_xlfn.XLOOKUP(AE$1,generator!$B$2:$B$295,generator!$Q$2:$Q$295,"ARGH")</f>
        <v>9000</v>
      </c>
      <c r="AF33" s="3">
        <f>_xlfn.XLOOKUP(AF$1,generator!$B$2:$B$295,generator!$Q$2:$Q$295,"ARGH")</f>
        <v>9000</v>
      </c>
      <c r="AG33" s="3">
        <f>_xlfn.XLOOKUP(AG$1,generator!$B$2:$B$295,generator!$Q$2:$Q$295,"ARGH")</f>
        <v>9000</v>
      </c>
      <c r="AH33" s="3">
        <f>_xlfn.XLOOKUP(AH$1,generator!$B$2:$B$295,generator!$Q$2:$Q$295,"ARGH")</f>
        <v>9000</v>
      </c>
      <c r="AI33" s="3">
        <f>_xlfn.XLOOKUP(AI$1,generator!$B$2:$B$295,generator!$Q$2:$Q$295,"ARGH")</f>
        <v>9000</v>
      </c>
      <c r="AJ33" s="3">
        <f>_xlfn.XLOOKUP(AJ$1,generator!$B$2:$B$295,generator!$Q$2:$Q$295,"ARGH")</f>
        <v>9000</v>
      </c>
      <c r="AK33" s="3">
        <f>_xlfn.XLOOKUP(AK$1,generator!$B$2:$B$295,generator!$Q$2:$Q$295,"ARGH")</f>
        <v>9000</v>
      </c>
      <c r="AL33" s="3">
        <f>_xlfn.XLOOKUP(AL$1,generator!$B$2:$B$295,generator!$Q$2:$Q$295,"ARGH")</f>
        <v>9000</v>
      </c>
      <c r="AM33" s="3">
        <f>_xlfn.XLOOKUP(AM$1,generator!$B$2:$B$295,generator!$Q$2:$Q$295,"ARGH")</f>
        <v>9000</v>
      </c>
      <c r="AN33" s="3">
        <f>_xlfn.XLOOKUP(AN$1,generator!$B$2:$B$295,generator!$Q$2:$Q$295,"ARGH")</f>
        <v>9000</v>
      </c>
      <c r="AO33" s="3">
        <f>_xlfn.XLOOKUP(AO$1,generator!$B$2:$B$295,generator!$Q$2:$Q$295,"ARGH")</f>
        <v>9000</v>
      </c>
      <c r="AP33" s="3">
        <f>_xlfn.XLOOKUP(AP$1,generator!$B$2:$B$295,generator!$Q$2:$Q$295,"ARGH")</f>
        <v>9000</v>
      </c>
      <c r="AQ33" s="3">
        <f>_xlfn.XLOOKUP(AQ$1,generator!$B$2:$B$295,generator!$Q$2:$Q$295,"ARGH")</f>
        <v>9000</v>
      </c>
      <c r="AR33" s="3">
        <f>_xlfn.XLOOKUP(AR$1,generator!$B$2:$B$295,generator!$Q$2:$Q$295,"ARGH")</f>
        <v>9000</v>
      </c>
      <c r="AS33" s="3">
        <f>_xlfn.XLOOKUP(AS$1,generator!$B$2:$B$295,generator!$Q$2:$Q$295,"ARGH")</f>
        <v>9000</v>
      </c>
      <c r="AT33" s="3">
        <f>_xlfn.XLOOKUP(AT$1,generator!$B$2:$B$295,generator!$Q$2:$Q$295,"ARGH")</f>
        <v>9000</v>
      </c>
      <c r="AU33" s="3">
        <f>_xlfn.XLOOKUP(AU$1,generator!$B$2:$B$295,generator!$Q$2:$Q$295,"ARGH")</f>
        <v>9000</v>
      </c>
      <c r="AV33" s="3">
        <f>_xlfn.XLOOKUP(AV$1,generator!$B$2:$B$295,generator!$Q$2:$Q$295,"ARGH")</f>
        <v>9000</v>
      </c>
      <c r="AW33" s="3">
        <f>_xlfn.XLOOKUP(AW$1,generator!$B$2:$B$295,generator!$Q$2:$Q$295,"ARGH")</f>
        <v>9000</v>
      </c>
      <c r="AX33" s="3">
        <f>_xlfn.XLOOKUP(AX$1,generator!$B$2:$B$295,generator!$Q$2:$Q$295,"ARGH")</f>
        <v>9000</v>
      </c>
      <c r="AY33" s="3">
        <f>_xlfn.XLOOKUP(AY$1,generator!$B$2:$B$295,generator!$Q$2:$Q$295,"ARGH")</f>
        <v>9000</v>
      </c>
      <c r="AZ33" s="3">
        <f>_xlfn.XLOOKUP(AZ$1,generator!$B$2:$B$295,generator!$Q$2:$Q$295,"ARGH")</f>
        <v>9000</v>
      </c>
      <c r="BA33" s="3">
        <f>_xlfn.XLOOKUP(BA$1,generator!$B$2:$B$295,generator!$Q$2:$Q$295,"ARGH")</f>
        <v>9000</v>
      </c>
      <c r="BB33" s="3">
        <f>_xlfn.XLOOKUP(BB$1,generator!$B$2:$B$295,generator!$Q$2:$Q$295,"ARGH")</f>
        <v>9000</v>
      </c>
      <c r="BC33" s="3">
        <f>_xlfn.XLOOKUP(BC$1,generator!$B$2:$B$295,generator!$Q$2:$Q$295,"ARGH")</f>
        <v>9000</v>
      </c>
      <c r="BD33" s="3">
        <f>_xlfn.XLOOKUP(BD$1,generator!$B$2:$B$295,generator!$Q$2:$Q$295,"ARGH")</f>
        <v>9000</v>
      </c>
      <c r="BE33" s="3">
        <f>_xlfn.XLOOKUP(BE$1,generator!$B$2:$B$295,generator!$Q$2:$Q$295,"ARGH")</f>
        <v>9000</v>
      </c>
      <c r="BF33" s="3">
        <f>_xlfn.XLOOKUP(BF$1,generator!$B$2:$B$295,generator!$Q$2:$Q$295,"ARGH")</f>
        <v>9000</v>
      </c>
      <c r="BG33" s="3">
        <f>_xlfn.XLOOKUP(BG$1,generator!$B$2:$B$295,generator!$Q$2:$Q$295,"ARGH")</f>
        <v>9000</v>
      </c>
      <c r="BH33" s="3">
        <f>_xlfn.XLOOKUP(BH$1,generator!$B$2:$B$295,generator!$Q$2:$Q$295,"ARGH")</f>
        <v>9000</v>
      </c>
      <c r="BI33" s="3">
        <f>_xlfn.XLOOKUP(BI$1,generator!$B$2:$B$295,generator!$Q$2:$Q$295,"ARGH")</f>
        <v>9000</v>
      </c>
      <c r="BJ33" s="3">
        <f>_xlfn.XLOOKUP(BJ$1,generator!$B$2:$B$295,generator!$Q$2:$Q$295,"ARGH")</f>
        <v>9000</v>
      </c>
      <c r="BK33" s="3">
        <f>_xlfn.XLOOKUP(BK$1,generator!$B$2:$B$295,generator!$Q$2:$Q$295,"ARGH")</f>
        <v>9000</v>
      </c>
      <c r="BL33" s="3">
        <f>_xlfn.XLOOKUP(BL$1,generator!$B$2:$B$295,generator!$Q$2:$Q$295,"ARGH")</f>
        <v>9000</v>
      </c>
      <c r="BM33" s="3">
        <f>_xlfn.XLOOKUP(BM$1,generator!$B$2:$B$295,generator!$Q$2:$Q$295,"ARGH")</f>
        <v>9000</v>
      </c>
      <c r="BN33" s="3">
        <f>_xlfn.XLOOKUP(BN$1,generator!$B$2:$B$295,generator!$Q$2:$Q$295,"ARGH")</f>
        <v>9000</v>
      </c>
      <c r="BO33" s="3">
        <f>_xlfn.XLOOKUP(BO$1,generator!$B$2:$B$295,generator!$Q$2:$Q$295,"ARGH")</f>
        <v>9000</v>
      </c>
      <c r="BP33" s="3">
        <f>_xlfn.XLOOKUP(BP$1,generator!$B$2:$B$295,generator!$Q$2:$Q$295,"ARGH")</f>
        <v>9000</v>
      </c>
      <c r="BQ33" s="3">
        <f>_xlfn.XLOOKUP(BQ$1,generator!$B$2:$B$295,generator!$Q$2:$Q$295,"ARGH")</f>
        <v>9000</v>
      </c>
      <c r="BR33" s="3">
        <f>_xlfn.XLOOKUP(BR$1,generator!$B$2:$B$295,generator!$Q$2:$Q$295,"ARGH")</f>
        <v>9000</v>
      </c>
      <c r="BS33" s="3">
        <f>_xlfn.XLOOKUP(BS$1,generator!$B$2:$B$295,generator!$Q$2:$Q$295,"ARGH")</f>
        <v>9000</v>
      </c>
      <c r="BT33" s="3">
        <f>_xlfn.XLOOKUP(BT$1,generator!$B$2:$B$295,generator!$Q$2:$Q$295,"ARGH")</f>
        <v>9000</v>
      </c>
      <c r="BU33" s="3">
        <f>_xlfn.XLOOKUP(BU$1,generator!$B$2:$B$295,generator!$Q$2:$Q$295,"ARGH")</f>
        <v>9000</v>
      </c>
      <c r="BV33" s="3">
        <f>_xlfn.XLOOKUP(BV$1,generator!$B$2:$B$295,generator!$Q$2:$Q$295,"ARGH")</f>
        <v>9000</v>
      </c>
      <c r="BW33" s="3">
        <f>_xlfn.XLOOKUP(BW$1,generator!$B$2:$B$295,generator!$Q$2:$Q$295,"ARGH")</f>
        <v>9000</v>
      </c>
      <c r="BX33" s="3">
        <f>_xlfn.XLOOKUP(BX$1,generator!$B$2:$B$295,generator!$Q$2:$Q$295,"ARGH")</f>
        <v>9000</v>
      </c>
      <c r="BY33" s="3">
        <f>_xlfn.XLOOKUP(BY$1,generator!$B$2:$B$295,generator!$Q$2:$Q$295,"ARGH")</f>
        <v>9000</v>
      </c>
      <c r="BZ33" s="3">
        <f>_xlfn.XLOOKUP(BZ$1,generator!$B$2:$B$295,generator!$Q$2:$Q$295,"ARGH")</f>
        <v>9000</v>
      </c>
      <c r="CA33" s="3">
        <f>_xlfn.XLOOKUP(CA$1,generator!$B$2:$B$295,generator!$Q$2:$Q$295,"ARGH")</f>
        <v>9000</v>
      </c>
      <c r="CB33" s="3">
        <f>_xlfn.XLOOKUP(CB$1,generator!$B$2:$B$295,generator!$Q$2:$Q$295,"ARGH")</f>
        <v>9000</v>
      </c>
      <c r="CC33" s="3">
        <f>_xlfn.XLOOKUP(CC$1,generator!$B$2:$B$295,generator!$Q$2:$Q$295,"ARGH")</f>
        <v>9000</v>
      </c>
      <c r="CD33" s="3">
        <f>_xlfn.XLOOKUP(CD$1,generator!$B$2:$B$295,generator!$Q$2:$Q$295,"ARGH")</f>
        <v>9000</v>
      </c>
      <c r="CE33" s="3">
        <f>_xlfn.XLOOKUP(CE$1,generator!$B$2:$B$295,generator!$Q$2:$Q$295,"ARGH")</f>
        <v>9000</v>
      </c>
      <c r="CF33" s="3">
        <f>_xlfn.XLOOKUP(CF$1,generator!$B$2:$B$295,generator!$Q$2:$Q$295,"ARGH")</f>
        <v>9000</v>
      </c>
      <c r="CG33" s="3">
        <f>_xlfn.XLOOKUP(CG$1,generator!$B$2:$B$295,generator!$Q$2:$Q$295,"ARGH")</f>
        <v>9000</v>
      </c>
      <c r="CH33" s="3">
        <f>_xlfn.XLOOKUP(CH$1,generator!$B$2:$B$295,generator!$Q$2:$Q$295,"ARGH")</f>
        <v>9000</v>
      </c>
      <c r="CI33" s="3">
        <f>_xlfn.XLOOKUP(CI$1,generator!$B$2:$B$295,generator!$Q$2:$Q$295,"ARGH")</f>
        <v>9000</v>
      </c>
      <c r="CJ33" s="3">
        <f>_xlfn.XLOOKUP(CJ$1,generator!$B$2:$B$295,generator!$Q$2:$Q$295,"ARGH")</f>
        <v>9000</v>
      </c>
      <c r="CK33" s="3">
        <f>_xlfn.XLOOKUP(CK$1,generator!$B$2:$B$295,generator!$Q$2:$Q$295,"ARGH")</f>
        <v>9000</v>
      </c>
      <c r="CL33" s="3">
        <f>_xlfn.XLOOKUP(CL$1,generator!$B$2:$B$295,generator!$Q$2:$Q$295,"ARGH")</f>
        <v>9000</v>
      </c>
      <c r="CM33" s="3">
        <f>_xlfn.XLOOKUP(CM$1,generator!$B$2:$B$295,generator!$Q$2:$Q$295,"ARGH")</f>
        <v>9000</v>
      </c>
      <c r="CN33" s="3">
        <f>_xlfn.XLOOKUP(CN$1,generator!$B$2:$B$295,generator!$Q$2:$Q$295,"ARGH")</f>
        <v>9000</v>
      </c>
      <c r="CO33" s="3">
        <f>_xlfn.XLOOKUP(CO$1,generator!$B$2:$B$295,generator!$Q$2:$Q$295,"ARGH")</f>
        <v>9000</v>
      </c>
      <c r="CP33" s="3">
        <f>_xlfn.XLOOKUP(CP$1,generator!$B$2:$B$295,generator!$Q$2:$Q$295,"ARGH")</f>
        <v>9000</v>
      </c>
      <c r="CQ33" s="3">
        <f>_xlfn.XLOOKUP(CQ$1,generator!$B$2:$B$295,generator!$Q$2:$Q$295,"ARGH")</f>
        <v>9000</v>
      </c>
      <c r="CR33" s="3">
        <f>_xlfn.XLOOKUP(CR$1,generator!$B$2:$B$295,generator!$Q$2:$Q$295,"ARGH")</f>
        <v>9000</v>
      </c>
      <c r="CS33" s="3">
        <f>_xlfn.XLOOKUP(CS$1,generator!$B$2:$B$295,generator!$Q$2:$Q$295,"ARGH")</f>
        <v>9000</v>
      </c>
      <c r="CT33" s="3">
        <f>_xlfn.XLOOKUP(CT$1,generator!$B$2:$B$295,generator!$Q$2:$Q$295,"ARGH")</f>
        <v>9000</v>
      </c>
      <c r="CU33" s="3">
        <f>_xlfn.XLOOKUP(CU$1,generator!$B$2:$B$295,generator!$Q$2:$Q$295,"ARGH")</f>
        <v>9000</v>
      </c>
      <c r="CV33" s="3">
        <f>_xlfn.XLOOKUP(CV$1,generator!$B$2:$B$295,generator!$Q$2:$Q$295,"ARGH")</f>
        <v>9000</v>
      </c>
      <c r="CW33" s="3">
        <f>_xlfn.XLOOKUP(CW$1,generator!$B$2:$B$295,generator!$Q$2:$Q$295,"ARGH")</f>
        <v>9000</v>
      </c>
      <c r="CX33" s="3">
        <f>_xlfn.XLOOKUP(CX$1,generator!$B$2:$B$295,generator!$Q$2:$Q$295,"ARGH")</f>
        <v>9000</v>
      </c>
      <c r="CY33" s="3">
        <f>_xlfn.XLOOKUP(CY$1,generator!$B$2:$B$295,generator!$Q$2:$Q$295,"ARGH")</f>
        <v>9000</v>
      </c>
      <c r="CZ33" s="3">
        <f>_xlfn.XLOOKUP(CZ$1,generator!$B$2:$B$295,generator!$Q$2:$Q$295,"ARGH")</f>
        <v>9000</v>
      </c>
      <c r="DA33" s="3">
        <f>_xlfn.XLOOKUP(DA$1,generator!$B$2:$B$295,generator!$Q$2:$Q$295,"ARGH")</f>
        <v>9000</v>
      </c>
      <c r="DB33" s="3">
        <f>_xlfn.XLOOKUP(DB$1,generator!$B$2:$B$295,generator!$Q$2:$Q$295,"ARGH")</f>
        <v>9000</v>
      </c>
      <c r="DC33" s="3">
        <f>_xlfn.XLOOKUP(DC$1,generator!$B$2:$B$295,generator!$Q$2:$Q$295,"ARGH")</f>
        <v>9000</v>
      </c>
      <c r="DD33" s="3">
        <f>_xlfn.XLOOKUP(DD$1,generator!$B$2:$B$295,generator!$Q$2:$Q$295,"ARGH")</f>
        <v>9000</v>
      </c>
      <c r="DE33" s="3">
        <f>_xlfn.XLOOKUP(DE$1,generator!$B$2:$B$295,generator!$Q$2:$Q$295,"ARGH")</f>
        <v>9000</v>
      </c>
      <c r="DF33" s="3">
        <f>_xlfn.XLOOKUP(DF$1,generator!$B$2:$B$295,generator!$Q$2:$Q$295,"ARGH")</f>
        <v>9000</v>
      </c>
      <c r="DG33" s="3">
        <f>_xlfn.XLOOKUP(DG$1,generator!$B$2:$B$295,generator!$Q$2:$Q$295,"ARGH")</f>
        <v>9000</v>
      </c>
      <c r="DH33" s="3">
        <f>_xlfn.XLOOKUP(DH$1,generator!$B$2:$B$295,generator!$Q$2:$Q$295,"ARGH")</f>
        <v>9000</v>
      </c>
      <c r="DI33" s="3">
        <f>_xlfn.XLOOKUP(DI$1,generator!$B$2:$B$295,generator!$Q$2:$Q$295,"ARGH")</f>
        <v>9000</v>
      </c>
      <c r="DJ33" s="3">
        <f>_xlfn.XLOOKUP(DJ$1,generator!$B$2:$B$295,generator!$Q$2:$Q$295,"ARGH")</f>
        <v>9000</v>
      </c>
      <c r="DK33" s="3">
        <f>_xlfn.XLOOKUP(DK$1,generator!$B$2:$B$295,generator!$Q$2:$Q$295,"ARGH")</f>
        <v>9000</v>
      </c>
      <c r="DL33" s="3">
        <f>_xlfn.XLOOKUP(DL$1,generator!$B$2:$B$295,generator!$Q$2:$Q$295,"ARGH")</f>
        <v>9000</v>
      </c>
      <c r="DM33" s="3">
        <f>_xlfn.XLOOKUP(DM$1,generator!$B$2:$B$295,generator!$Q$2:$Q$295,"ARGH")</f>
        <v>9000</v>
      </c>
      <c r="DN33" s="3">
        <f>_xlfn.XLOOKUP(DN$1,generator!$B$2:$B$295,generator!$Q$2:$Q$295,"ARGH")</f>
        <v>9000</v>
      </c>
      <c r="DO33" s="3">
        <f>_xlfn.XLOOKUP(DO$1,generator!$B$2:$B$295,generator!$Q$2:$Q$295,"ARGH")</f>
        <v>9000</v>
      </c>
      <c r="DP33" s="3">
        <f>_xlfn.XLOOKUP(DP$1,generator!$B$2:$B$295,generator!$Q$2:$Q$295,"ARGH")</f>
        <v>9000</v>
      </c>
      <c r="DQ33" s="3">
        <f>_xlfn.XLOOKUP(DQ$1,generator!$B$2:$B$295,generator!$Q$2:$Q$295,"ARGH")</f>
        <v>9000</v>
      </c>
      <c r="DR33" s="3">
        <f>_xlfn.XLOOKUP(DR$1,generator!$B$2:$B$295,generator!$Q$2:$Q$295,"ARGH")</f>
        <v>9000</v>
      </c>
      <c r="DS33" s="3">
        <f>_xlfn.XLOOKUP(DS$1,generator!$B$2:$B$295,generator!$Q$2:$Q$295,"ARGH")</f>
        <v>9000</v>
      </c>
      <c r="DT33" s="3">
        <f>_xlfn.XLOOKUP(DT$1,generator!$B$2:$B$295,generator!$Q$2:$Q$295,"ARGH")</f>
        <v>9000</v>
      </c>
      <c r="DU33" s="3">
        <f>_xlfn.XLOOKUP(DU$1,generator!$B$2:$B$295,generator!$Q$2:$Q$295,"ARGH")</f>
        <v>9000</v>
      </c>
      <c r="DV33" s="3">
        <f>_xlfn.XLOOKUP(DV$1,generator!$B$2:$B$295,generator!$Q$2:$Q$295,"ARGH")</f>
        <v>9000</v>
      </c>
      <c r="DW33" s="3">
        <f>_xlfn.XLOOKUP(DW$1,generator!$B$2:$B$295,generator!$Q$2:$Q$295,"ARGH")</f>
        <v>9000</v>
      </c>
      <c r="DX33" s="3">
        <f>_xlfn.XLOOKUP(DX$1,generator!$B$2:$B$295,generator!$Q$2:$Q$295,"ARGH")</f>
        <v>9000</v>
      </c>
      <c r="DY33" s="3">
        <f>_xlfn.XLOOKUP(DY$1,generator!$B$2:$B$295,generator!$Q$2:$Q$295,"ARGH")</f>
        <v>9000</v>
      </c>
      <c r="DZ33" s="3">
        <f>_xlfn.XLOOKUP(DZ$1,generator!$B$2:$B$295,generator!$Q$2:$Q$295,"ARGH")</f>
        <v>9000</v>
      </c>
      <c r="EA33" s="3">
        <f>_xlfn.XLOOKUP(EA$1,generator!$B$2:$B$295,generator!$Q$2:$Q$295,"ARGH")</f>
        <v>9000</v>
      </c>
      <c r="EB33" s="3">
        <f>_xlfn.XLOOKUP(EB$1,generator!$B$2:$B$295,generator!$Q$2:$Q$295,"ARGH")</f>
        <v>9000</v>
      </c>
      <c r="EC33" s="3">
        <f>_xlfn.XLOOKUP(EC$1,generator!$B$2:$B$295,generator!$Q$2:$Q$295,"ARGH")</f>
        <v>9000</v>
      </c>
      <c r="ED33" s="3">
        <f>_xlfn.XLOOKUP(ED$1,generator!$B$2:$B$295,generator!$Q$2:$Q$295,"ARGH")</f>
        <v>9000</v>
      </c>
      <c r="EE33" s="3">
        <f>_xlfn.XLOOKUP(EE$1,generator!$B$2:$B$295,generator!$Q$2:$Q$295,"ARGH")</f>
        <v>9000</v>
      </c>
      <c r="EF33" s="3">
        <f>_xlfn.XLOOKUP(EF$1,generator!$B$2:$B$295,generator!$Q$2:$Q$295,"ARGH")</f>
        <v>9000</v>
      </c>
      <c r="EG33" s="3">
        <f>_xlfn.XLOOKUP(EG$1,generator!$B$2:$B$295,generator!$Q$2:$Q$295,"ARGH")</f>
        <v>9000</v>
      </c>
      <c r="EH33" s="3">
        <f>_xlfn.XLOOKUP(EH$1,generator!$B$2:$B$295,generator!$Q$2:$Q$295,"ARGH")</f>
        <v>9000</v>
      </c>
      <c r="EI33" s="3">
        <f>_xlfn.XLOOKUP(EI$1,generator!$B$2:$B$295,generator!$Q$2:$Q$295,"ARGH")</f>
        <v>9000</v>
      </c>
      <c r="EJ33" s="3">
        <f>_xlfn.XLOOKUP(EJ$1,generator!$B$2:$B$295,generator!$Q$2:$Q$295,"ARGH")</f>
        <v>9000</v>
      </c>
      <c r="EK33" s="3">
        <f>_xlfn.XLOOKUP(EK$1,generator!$B$2:$B$295,generator!$Q$2:$Q$295,"ARGH")</f>
        <v>9000</v>
      </c>
      <c r="EL33" s="3">
        <f>_xlfn.XLOOKUP(EL$1,generator!$B$2:$B$295,generator!$Q$2:$Q$295,"ARGH")</f>
        <v>9000</v>
      </c>
      <c r="EM33" s="3">
        <f>_xlfn.XLOOKUP(EM$1,generator!$B$2:$B$295,generator!$Q$2:$Q$295,"ARGH")</f>
        <v>9000</v>
      </c>
      <c r="EN33" s="3">
        <f>_xlfn.XLOOKUP(EN$1,generator!$B$2:$B$295,generator!$Q$2:$Q$295,"ARGH")</f>
        <v>9000</v>
      </c>
      <c r="EO33" s="3">
        <f>_xlfn.XLOOKUP(EO$1,generator!$B$2:$B$295,generator!$Q$2:$Q$295,"ARGH")</f>
        <v>9000</v>
      </c>
      <c r="EP33" s="3">
        <f>_xlfn.XLOOKUP(EP$1,generator!$B$2:$B$295,generator!$Q$2:$Q$295,"ARGH")</f>
        <v>9000</v>
      </c>
      <c r="EQ33" s="3">
        <f>_xlfn.XLOOKUP(EQ$1,generator!$B$2:$B$295,generator!$Q$2:$Q$295,"ARGH")</f>
        <v>9000</v>
      </c>
      <c r="ER33" s="3">
        <f>_xlfn.XLOOKUP(ER$1,generator!$B$2:$B$295,generator!$Q$2:$Q$295,"ARGH")</f>
        <v>9000</v>
      </c>
      <c r="ES33" s="3">
        <f>_xlfn.XLOOKUP(ES$1,generator!$B$2:$B$295,generator!$Q$2:$Q$295,"ARGH")</f>
        <v>9000</v>
      </c>
      <c r="ET33" s="3">
        <f>_xlfn.XLOOKUP(ET$1,generator!$B$2:$B$295,generator!$Q$2:$Q$295,"ARGH")</f>
        <v>9000</v>
      </c>
      <c r="EU33" s="3">
        <f>_xlfn.XLOOKUP(EU$1,generator!$B$2:$B$295,generator!$Q$2:$Q$295,"ARGH")</f>
        <v>9000</v>
      </c>
      <c r="EV33" s="3">
        <f>_xlfn.XLOOKUP(EV$1,generator!$B$2:$B$295,generator!$Q$2:$Q$295,"ARGH")</f>
        <v>9000</v>
      </c>
      <c r="EW33" s="3">
        <f>_xlfn.XLOOKUP(EW$1,generator!$B$2:$B$295,generator!$Q$2:$Q$295,"ARGH")</f>
        <v>9000</v>
      </c>
      <c r="EX33" s="3">
        <f>_xlfn.XLOOKUP(EX$1,generator!$B$2:$B$295,generator!$Q$2:$Q$295,"ARGH")</f>
        <v>9000</v>
      </c>
      <c r="EY33" s="3">
        <f>_xlfn.XLOOKUP(EY$1,generator!$B$2:$B$295,generator!$Q$2:$Q$295,"ARGH")</f>
        <v>9000</v>
      </c>
      <c r="EZ33" s="3">
        <f>_xlfn.XLOOKUP(EZ$1,generator!$B$2:$B$295,generator!$Q$2:$Q$295,"ARGH")</f>
        <v>9000</v>
      </c>
      <c r="FA33" s="3">
        <f>_xlfn.XLOOKUP(FA$1,generator!$B$2:$B$295,generator!$Q$2:$Q$295,"ARGH")</f>
        <v>9000</v>
      </c>
      <c r="FB33" s="3">
        <f>_xlfn.XLOOKUP(FB$1,generator!$B$2:$B$295,generator!$Q$2:$Q$295,"ARGH")</f>
        <v>9000</v>
      </c>
      <c r="FC33" s="3">
        <f>_xlfn.XLOOKUP(FC$1,generator!$B$2:$B$295,generator!$Q$2:$Q$295,"ARGH")</f>
        <v>9000</v>
      </c>
      <c r="FD33" s="3">
        <f>_xlfn.XLOOKUP(FD$1,generator!$B$2:$B$295,generator!$Q$2:$Q$295,"ARGH")</f>
        <v>9000</v>
      </c>
      <c r="FE33" s="3">
        <f>_xlfn.XLOOKUP(FE$1,generator!$B$2:$B$295,generator!$Q$2:$Q$295,"ARGH")</f>
        <v>9000</v>
      </c>
      <c r="FF33" s="3">
        <f>_xlfn.XLOOKUP(FF$1,generator!$B$2:$B$295,generator!$Q$2:$Q$295,"ARGH")</f>
        <v>9000</v>
      </c>
      <c r="FG33" s="3">
        <f>_xlfn.XLOOKUP(FG$1,generator!$B$2:$B$295,generator!$Q$2:$Q$295,"ARGH")</f>
        <v>9000</v>
      </c>
      <c r="FH33" s="3">
        <f>_xlfn.XLOOKUP(FH$1,generator!$B$2:$B$295,generator!$Q$2:$Q$295,"ARGH")</f>
        <v>9000</v>
      </c>
      <c r="FI33" s="3">
        <f>_xlfn.XLOOKUP(FI$1,generator!$B$2:$B$295,generator!$Q$2:$Q$295,"ARGH")</f>
        <v>9000</v>
      </c>
      <c r="FJ33" s="3">
        <f>_xlfn.XLOOKUP(FJ$1,generator!$B$2:$B$295,generator!$Q$2:$Q$295,"ARGH")</f>
        <v>9000</v>
      </c>
      <c r="FK33" s="3">
        <f>_xlfn.XLOOKUP(FK$1,generator!$B$2:$B$295,generator!$Q$2:$Q$295,"ARGH")</f>
        <v>9000</v>
      </c>
      <c r="FL33" s="3">
        <f>_xlfn.XLOOKUP(FL$1,generator!$B$2:$B$295,generator!$Q$2:$Q$295,"ARGH")</f>
        <v>9000</v>
      </c>
      <c r="FM33" s="3">
        <f>_xlfn.XLOOKUP(FM$1,generator!$B$2:$B$295,generator!$Q$2:$Q$295,"ARGH")</f>
        <v>9000</v>
      </c>
      <c r="FN33" s="3">
        <f>_xlfn.XLOOKUP(FN$1,generator!$B$2:$B$295,generator!$Q$2:$Q$295,"ARGH")</f>
        <v>9000</v>
      </c>
      <c r="FO33" s="3">
        <f>_xlfn.XLOOKUP(FO$1,generator!$B$2:$B$295,generator!$Q$2:$Q$295,"ARGH")</f>
        <v>9000</v>
      </c>
      <c r="FP33" s="3">
        <f>_xlfn.XLOOKUP(FP$1,generator!$B$2:$B$295,generator!$Q$2:$Q$295,"ARGH")</f>
        <v>9000</v>
      </c>
      <c r="FQ33" s="3">
        <f>_xlfn.XLOOKUP(FQ$1,generator!$B$2:$B$295,generator!$Q$2:$Q$295,"ARGH")</f>
        <v>9000</v>
      </c>
      <c r="FR33" s="3">
        <f>_xlfn.XLOOKUP(FR$1,generator!$B$2:$B$295,generator!$Q$2:$Q$295,"ARGH")</f>
        <v>9000</v>
      </c>
      <c r="FS33" s="3">
        <f>_xlfn.XLOOKUP(FS$1,generator!$B$2:$B$295,generator!$Q$2:$Q$295,"ARGH")</f>
        <v>9000</v>
      </c>
      <c r="FT33" s="3">
        <f>_xlfn.XLOOKUP(FT$1,generator!$B$2:$B$295,generator!$Q$2:$Q$295,"ARGH")</f>
        <v>9000</v>
      </c>
      <c r="FU33" s="3">
        <f>_xlfn.XLOOKUP(FU$1,generator!$B$2:$B$295,generator!$Q$2:$Q$295,"ARGH")</f>
        <v>9000</v>
      </c>
      <c r="FV33" s="3">
        <f>_xlfn.XLOOKUP(FV$1,generator!$B$2:$B$295,generator!$Q$2:$Q$295,"ARGH")</f>
        <v>9000</v>
      </c>
      <c r="FW33" s="3">
        <f>_xlfn.XLOOKUP(FW$1,generator!$B$2:$B$295,generator!$Q$2:$Q$295,"ARGH")</f>
        <v>9000</v>
      </c>
      <c r="FX33" s="3">
        <f>_xlfn.XLOOKUP(FX$1,generator!$B$2:$B$295,generator!$Q$2:$Q$295,"ARGH")</f>
        <v>9000</v>
      </c>
      <c r="FY33" s="3">
        <f>_xlfn.XLOOKUP(FY$1,generator!$B$2:$B$295,generator!$Q$2:$Q$295,"ARGH")</f>
        <v>9000</v>
      </c>
      <c r="FZ33" s="3">
        <f>_xlfn.XLOOKUP(FZ$1,generator!$B$2:$B$295,generator!$Q$2:$Q$295,"ARGH")</f>
        <v>9000</v>
      </c>
      <c r="GA33" s="3">
        <f>_xlfn.XLOOKUP(GA$1,generator!$B$2:$B$295,generator!$Q$2:$Q$295,"ARGH")</f>
        <v>9000</v>
      </c>
      <c r="GB33" s="3">
        <f>_xlfn.XLOOKUP(GB$1,generator!$B$2:$B$295,generator!$Q$2:$Q$295,"ARGH")</f>
        <v>9000</v>
      </c>
      <c r="GC33" s="3">
        <f>_xlfn.XLOOKUP(GC$1,generator!$B$2:$B$295,generator!$Q$2:$Q$295,"ARGH")</f>
        <v>9000</v>
      </c>
      <c r="GD33" s="3">
        <f>_xlfn.XLOOKUP(GD$1,generator!$B$2:$B$295,generator!$Q$2:$Q$295,"ARGH")</f>
        <v>9000</v>
      </c>
      <c r="GE33" s="3">
        <f>_xlfn.XLOOKUP(GE$1,generator!$B$2:$B$295,generator!$Q$2:$Q$295,"ARGH")</f>
        <v>9000</v>
      </c>
      <c r="GF33" s="3">
        <f>_xlfn.XLOOKUP(GF$1,generator!$B$2:$B$295,generator!$Q$2:$Q$295,"ARGH")</f>
        <v>9000</v>
      </c>
      <c r="GG33" s="3">
        <f>_xlfn.XLOOKUP(GG$1,generator!$B$2:$B$295,generator!$Q$2:$Q$295,"ARGH")</f>
        <v>9000</v>
      </c>
      <c r="GH33" s="3">
        <f>_xlfn.XLOOKUP(GH$1,generator!$B$2:$B$295,generator!$Q$2:$Q$295,"ARGH")</f>
        <v>9000</v>
      </c>
      <c r="GI33" s="3">
        <f>_xlfn.XLOOKUP(GI$1,generator!$B$2:$B$295,generator!$Q$2:$Q$295,"ARGH")</f>
        <v>9000</v>
      </c>
      <c r="GJ33" s="3">
        <f>_xlfn.XLOOKUP(GJ$1,generator!$B$2:$B$295,generator!$Q$2:$Q$295,"ARGH")</f>
        <v>9000</v>
      </c>
      <c r="GK33" s="3">
        <f>_xlfn.XLOOKUP(GK$1,generator!$B$2:$B$295,generator!$Q$2:$Q$295,"ARGH")</f>
        <v>9000</v>
      </c>
      <c r="GL33" s="3">
        <f>_xlfn.XLOOKUP(GL$1,generator!$B$2:$B$295,generator!$Q$2:$Q$295,"ARGH")</f>
        <v>9000</v>
      </c>
      <c r="GM33" s="3">
        <f>_xlfn.XLOOKUP(GM$1,generator!$B$2:$B$295,generator!$Q$2:$Q$295,"ARGH")</f>
        <v>9000</v>
      </c>
      <c r="GN33" s="3">
        <f>_xlfn.XLOOKUP(GN$1,generator!$B$2:$B$295,generator!$Q$2:$Q$295,"ARGH")</f>
        <v>9000</v>
      </c>
      <c r="GO33" s="3">
        <f>_xlfn.XLOOKUP(GO$1,generator!$B$2:$B$295,generator!$Q$2:$Q$295,"ARGH")</f>
        <v>9000</v>
      </c>
      <c r="GP33" s="3">
        <f>_xlfn.XLOOKUP(GP$1,generator!$B$2:$B$295,generator!$Q$2:$Q$295,"ARGH")</f>
        <v>9000</v>
      </c>
      <c r="GQ33" s="3">
        <f>_xlfn.XLOOKUP(GQ$1,generator!$B$2:$B$295,generator!$Q$2:$Q$295,"ARGH")</f>
        <v>9000</v>
      </c>
      <c r="GR33" s="3">
        <f>_xlfn.XLOOKUP(GR$1,generator!$B$2:$B$295,generator!$Q$2:$Q$295,"ARGH")</f>
        <v>9000</v>
      </c>
      <c r="GS33" s="3">
        <f>_xlfn.XLOOKUP(GS$1,generator!$B$2:$B$295,generator!$Q$2:$Q$295,"ARGH")</f>
        <v>9000</v>
      </c>
      <c r="GT33" s="3">
        <f>_xlfn.XLOOKUP(GT$1,generator!$B$2:$B$295,generator!$Q$2:$Q$295,"ARGH")</f>
        <v>9000</v>
      </c>
      <c r="GU33" s="3">
        <f>_xlfn.XLOOKUP(GU$1,generator!$B$2:$B$295,generator!$Q$2:$Q$295,"ARGH")</f>
        <v>9000</v>
      </c>
      <c r="GV33" s="3">
        <f>_xlfn.XLOOKUP(GV$1,generator!$B$2:$B$295,generator!$Q$2:$Q$295,"ARGH")</f>
        <v>9000</v>
      </c>
      <c r="GW33" s="3">
        <f>_xlfn.XLOOKUP(GW$1,generator!$B$2:$B$295,generator!$Q$2:$Q$295,"ARGH")</f>
        <v>9000</v>
      </c>
      <c r="GX33" s="3">
        <f>_xlfn.XLOOKUP(GX$1,generator!$B$2:$B$295,generator!$Q$2:$Q$295,"ARGH")</f>
        <v>9000</v>
      </c>
      <c r="GY33" s="3">
        <f>_xlfn.XLOOKUP(GY$1,generator!$B$2:$B$295,generator!$Q$2:$Q$295,"ARGH")</f>
        <v>9000</v>
      </c>
      <c r="GZ33" s="3">
        <f>_xlfn.XLOOKUP(GZ$1,generator!$B$2:$B$295,generator!$Q$2:$Q$295,"ARGH")</f>
        <v>9000</v>
      </c>
      <c r="HA33" s="3">
        <f>_xlfn.XLOOKUP(HA$1,generator!$B$2:$B$295,generator!$Q$2:$Q$295,"ARGH")</f>
        <v>9000</v>
      </c>
      <c r="HB33" s="3">
        <f>_xlfn.XLOOKUP(HB$1,generator!$B$2:$B$295,generator!$Q$2:$Q$295,"ARGH")</f>
        <v>9000</v>
      </c>
      <c r="HC33" s="3">
        <f>_xlfn.XLOOKUP(HC$1,generator!$B$2:$B$295,generator!$Q$2:$Q$295,"ARGH")</f>
        <v>9000</v>
      </c>
      <c r="HD33" s="3">
        <f>_xlfn.XLOOKUP(HD$1,generator!$B$2:$B$295,generator!$Q$2:$Q$295,"ARGH")</f>
        <v>9000</v>
      </c>
      <c r="HE33" s="3">
        <f>_xlfn.XLOOKUP(HE$1,generator!$B$2:$B$295,generator!$Q$2:$Q$295,"ARGH")</f>
        <v>8000</v>
      </c>
      <c r="HF33" s="3" t="str">
        <f>_xlfn.XLOOKUP(HF$1,generator!$B$2:$B$295,generator!$Q$2:$Q$295,"ARGH")</f>
        <v>143</v>
      </c>
      <c r="HG33" s="3" t="str">
        <f>_xlfn.XLOOKUP(HG$1,generator!$B$2:$B$295,generator!$Q$2:$Q$295,"ARGH")</f>
        <v>143</v>
      </c>
      <c r="HH33" s="3" t="str">
        <f>_xlfn.XLOOKUP(HH$1,generator!$B$2:$B$295,generator!$Q$2:$Q$295,"ARGH")</f>
        <v>143</v>
      </c>
      <c r="HI33" s="3" t="str">
        <f>_xlfn.XLOOKUP(HI$1,generator!$B$2:$B$295,generator!$Q$2:$Q$295,"ARGH")</f>
        <v>246.74</v>
      </c>
      <c r="HJ33" s="3" t="str">
        <f>_xlfn.XLOOKUP(HJ$1,generator!$B$2:$B$295,generator!$Q$2:$Q$295,"ARGH")</f>
        <v>246.74</v>
      </c>
      <c r="HK33" s="3" t="str">
        <f>_xlfn.XLOOKUP(HK$1,generator!$B$2:$B$295,generator!$Q$2:$Q$295,"ARGH")</f>
        <v>206.04</v>
      </c>
      <c r="HL33" s="3" t="str">
        <f>_xlfn.XLOOKUP(HL$1,generator!$B$2:$B$295,generator!$Q$2:$Q$295,"ARGH")</f>
        <v>506.96</v>
      </c>
      <c r="HM33" s="3" t="str">
        <f>_xlfn.XLOOKUP(HM$1,generator!$B$2:$B$295,generator!$Q$2:$Q$295,"ARGH")</f>
        <v>506.95</v>
      </c>
      <c r="HN33" s="3" t="str">
        <f>_xlfn.XLOOKUP(HN$1,generator!$B$2:$B$295,generator!$Q$2:$Q$295,"ARGH")</f>
        <v>190.97</v>
      </c>
      <c r="HO33" s="3" t="str">
        <f>_xlfn.XLOOKUP(HO$1,generator!$B$2:$B$295,generator!$Q$2:$Q$295,"ARGH")</f>
        <v>190.97</v>
      </c>
      <c r="HP33" s="3" t="str">
        <f>_xlfn.XLOOKUP(HP$1,generator!$B$2:$B$295,generator!$Q$2:$Q$295,"ARGH")</f>
        <v>424.84</v>
      </c>
      <c r="HQ33" s="3" t="str">
        <f>_xlfn.XLOOKUP(HQ$1,generator!$B$2:$B$295,generator!$Q$2:$Q$295,"ARGH")</f>
        <v>425.9</v>
      </c>
      <c r="HR33" s="3" t="str">
        <f>_xlfn.XLOOKUP(HR$1,generator!$B$2:$B$295,generator!$Q$2:$Q$295,"ARGH")</f>
        <v>425.9</v>
      </c>
      <c r="HS33" s="3" t="str">
        <f>_xlfn.XLOOKUP(HS$1,generator!$B$2:$B$295,generator!$Q$2:$Q$295,"ARGH")</f>
        <v>196.54</v>
      </c>
      <c r="HT33" s="3" t="str">
        <f>_xlfn.XLOOKUP(HT$1,generator!$B$2:$B$295,generator!$Q$2:$Q$295,"ARGH")</f>
        <v>196.54</v>
      </c>
      <c r="HU33" s="3" t="str">
        <f>_xlfn.XLOOKUP(HU$1,generator!$B$2:$B$295,generator!$Q$2:$Q$295,"ARGH")</f>
        <v>145.57</v>
      </c>
      <c r="HV33" s="3" t="str">
        <f>_xlfn.XLOOKUP(HV$1,generator!$B$2:$B$295,generator!$Q$2:$Q$295,"ARGH")</f>
        <v>132.62</v>
      </c>
      <c r="HW33" s="3" t="str">
        <f>_xlfn.XLOOKUP(HW$1,generator!$B$2:$B$295,generator!$Q$2:$Q$295,"ARGH")</f>
        <v>193.76</v>
      </c>
      <c r="HX33" s="3" t="str">
        <f>_xlfn.XLOOKUP(HX$1,generator!$B$2:$B$295,generator!$Q$2:$Q$295,"ARGH")</f>
        <v>193.76</v>
      </c>
      <c r="HY33" s="3" t="str">
        <f>_xlfn.XLOOKUP(HY$1,generator!$B$2:$B$295,generator!$Q$2:$Q$295,"ARGH")</f>
        <v>79.19</v>
      </c>
      <c r="HZ33" s="3" t="str">
        <f>_xlfn.XLOOKUP(HZ$1,generator!$B$2:$B$295,generator!$Q$2:$Q$295,"ARGH")</f>
        <v>125.79</v>
      </c>
      <c r="IA33" s="3" t="str">
        <f>_xlfn.XLOOKUP(IA$1,generator!$B$2:$B$295,generator!$Q$2:$Q$295,"ARGH")</f>
        <v>54.19</v>
      </c>
      <c r="IB33" s="3" t="str">
        <f>_xlfn.XLOOKUP(IB$1,generator!$B$2:$B$295,generator!$Q$2:$Q$295,"ARGH")</f>
        <v>59.7</v>
      </c>
      <c r="IC33" s="3">
        <f>_xlfn.XLOOKUP(IC$1,generator!$B$2:$B$295,generator!$Q$2:$Q$295,"ARGH")</f>
        <v>0</v>
      </c>
      <c r="ID33" s="3" t="str">
        <f>_xlfn.XLOOKUP(ID$1,generator!$B$2:$B$295,generator!$Q$2:$Q$295,"ARGH")</f>
        <v>121.14</v>
      </c>
      <c r="IE33" s="3" t="str">
        <f>_xlfn.XLOOKUP(IE$1,generator!$B$2:$B$295,generator!$Q$2:$Q$295,"ARGH")</f>
        <v>26.6</v>
      </c>
      <c r="IF33" s="3">
        <f>_xlfn.XLOOKUP(IF$1,generator!$B$2:$B$295,generator!$Q$2:$Q$295,"ARGH")</f>
        <v>8000</v>
      </c>
      <c r="IG33" s="3">
        <f>_xlfn.XLOOKUP(IG$1,generator!$B$2:$B$295,generator!$Q$2:$Q$295,"ARGH")</f>
        <v>8000</v>
      </c>
      <c r="IH33" s="3">
        <f>_xlfn.XLOOKUP(IH$1,generator!$B$2:$B$295,generator!$Q$2:$Q$295,"ARGH")</f>
        <v>8000</v>
      </c>
      <c r="II33" s="3">
        <f>_xlfn.XLOOKUP(II$1,generator!$B$2:$B$295,generator!$Q$2:$Q$295,"ARGH")</f>
        <v>8000</v>
      </c>
      <c r="IJ33" s="3">
        <f>_xlfn.XLOOKUP(IJ$1,generator!$B$2:$B$295,generator!$Q$2:$Q$295,"ARGH")</f>
        <v>8000</v>
      </c>
      <c r="IK33" s="3">
        <f>_xlfn.XLOOKUP(IK$1,generator!$B$2:$B$295,generator!$Q$2:$Q$295,"ARGH")</f>
        <v>8000</v>
      </c>
      <c r="IL33" s="3">
        <f>_xlfn.XLOOKUP(IL$1,generator!$B$2:$B$295,generator!$Q$2:$Q$295,"ARGH")</f>
        <v>8000</v>
      </c>
      <c r="IM33" s="3">
        <f>_xlfn.XLOOKUP(IM$1,generator!$B$2:$B$295,generator!$Q$2:$Q$295,"ARGH")</f>
        <v>8000</v>
      </c>
      <c r="IN33" s="3">
        <f>_xlfn.XLOOKUP(IN$1,generator!$B$2:$B$295,generator!$Q$2:$Q$295,"ARGH")</f>
        <v>8000</v>
      </c>
      <c r="IO33" s="3">
        <f>_xlfn.XLOOKUP(IO$1,generator!$B$2:$B$295,generator!$Q$2:$Q$295,"ARGH")</f>
        <v>8000</v>
      </c>
      <c r="IP33" s="3">
        <f>_xlfn.XLOOKUP(IP$1,generator!$B$2:$B$295,generator!$Q$2:$Q$295,"ARGH")</f>
        <v>8000</v>
      </c>
      <c r="IQ33" s="3">
        <f>_xlfn.XLOOKUP(IQ$1,generator!$B$2:$B$295,generator!$Q$2:$Q$295,"ARGH")</f>
        <v>8000</v>
      </c>
      <c r="IR33" s="3">
        <f>_xlfn.XLOOKUP(IR$1,generator!$B$2:$B$295,generator!$Q$2:$Q$295,"ARGH")</f>
        <v>8000</v>
      </c>
      <c r="IS33" s="3">
        <f>_xlfn.XLOOKUP(IS$1,generator!$B$2:$B$295,generator!$Q$2:$Q$295,"ARGH")</f>
        <v>8000</v>
      </c>
      <c r="IT33" s="3">
        <f>_xlfn.XLOOKUP(IT$1,generator!$B$2:$B$295,generator!$Q$2:$Q$295,"ARGH")</f>
        <v>8000</v>
      </c>
      <c r="IU33" s="3">
        <f>_xlfn.XLOOKUP(IU$1,generator!$B$2:$B$295,generator!$Q$2:$Q$295,"ARGH")</f>
        <v>8000</v>
      </c>
      <c r="IV33" s="3">
        <f>_xlfn.XLOOKUP(IV$1,generator!$B$2:$B$295,generator!$Q$2:$Q$295,"ARGH")</f>
        <v>8000</v>
      </c>
      <c r="IW33" s="3" t="str">
        <f>_xlfn.XLOOKUP(IW$1,generator!$B$2:$B$295,generator!$Q$2:$Q$295,"ARGH")</f>
        <v>108.19</v>
      </c>
      <c r="IX33" s="3" t="str">
        <f>_xlfn.XLOOKUP(IX$1,generator!$B$2:$B$295,generator!$Q$2:$Q$295,"ARGH")</f>
        <v>108.18</v>
      </c>
      <c r="IY33" s="3" t="str">
        <f>_xlfn.XLOOKUP(IY$1,generator!$B$2:$B$295,generator!$Q$2:$Q$295,"ARGH")</f>
        <v>108.17</v>
      </c>
      <c r="IZ33" s="3" t="str">
        <f>_xlfn.XLOOKUP(IZ$1,generator!$B$2:$B$295,generator!$Q$2:$Q$295,"ARGH")</f>
        <v>40.96</v>
      </c>
      <c r="JA33" s="3">
        <f>_xlfn.XLOOKUP(JA$1,generator!$B$2:$B$295,generator!$Q$2:$Q$295,"ARGH")</f>
        <v>0</v>
      </c>
      <c r="JB33" s="3">
        <f>_xlfn.XLOOKUP(JB$1,generator!$B$2:$B$295,generator!$Q$2:$Q$295,"ARGH")</f>
        <v>0</v>
      </c>
      <c r="JC33" s="3" t="str">
        <f>_xlfn.XLOOKUP(JC$1,generator!$B$2:$B$295,generator!$Q$2:$Q$295,"ARGH")</f>
        <v>75.91</v>
      </c>
      <c r="JD33" s="3" t="str">
        <f>_xlfn.XLOOKUP(JD$1,generator!$B$2:$B$295,generator!$Q$2:$Q$295,"ARGH")</f>
        <v>75.91</v>
      </c>
      <c r="JE33" s="3" t="str">
        <f>_xlfn.XLOOKUP(JE$1,generator!$B$2:$B$295,generator!$Q$2:$Q$295,"ARGH")</f>
        <v>51.59</v>
      </c>
      <c r="JF33" s="3" t="str">
        <f>_xlfn.XLOOKUP(JF$1,generator!$B$2:$B$295,generator!$Q$2:$Q$295,"ARGH")</f>
        <v>111.57</v>
      </c>
      <c r="JG33" s="3">
        <f>_xlfn.XLOOKUP(JG$1,generator!$B$2:$B$295,generator!$Q$2:$Q$295,"ARGH")</f>
        <v>0</v>
      </c>
      <c r="JH33" s="3" t="str">
        <f>_xlfn.XLOOKUP(JH$1,generator!$B$2:$B$295,generator!$Q$2:$Q$295,"ARGH")</f>
        <v>48.65</v>
      </c>
      <c r="JI33" s="3" t="str">
        <f>_xlfn.XLOOKUP(JI$1,generator!$B$2:$B$295,generator!$Q$2:$Q$295,"ARGH")</f>
        <v>71.88</v>
      </c>
      <c r="JJ33" s="3" t="str">
        <f>_xlfn.XLOOKUP(JJ$1,generator!$B$2:$B$295,generator!$Q$2:$Q$295,"ARGH")</f>
        <v>98.17</v>
      </c>
      <c r="JK33" s="3" t="str">
        <f>_xlfn.XLOOKUP(JK$1,generator!$B$2:$B$295,generator!$Q$2:$Q$295,"ARGH")</f>
        <v>98.17</v>
      </c>
      <c r="JL33" s="3" t="str">
        <f>_xlfn.XLOOKUP(JL$1,generator!$B$2:$B$295,generator!$Q$2:$Q$295,"ARGH")</f>
        <v>98.17</v>
      </c>
      <c r="JM33" s="3" t="str">
        <f>_xlfn.XLOOKUP(JM$1,generator!$B$2:$B$295,generator!$Q$2:$Q$295,"ARGH")</f>
        <v>98.17</v>
      </c>
      <c r="JN33" s="3" t="str">
        <f>_xlfn.XLOOKUP(JN$1,generator!$B$2:$B$295,generator!$Q$2:$Q$295,"ARGH")</f>
        <v>98.17</v>
      </c>
      <c r="JO33" s="3" t="str">
        <f>_xlfn.XLOOKUP(JO$1,generator!$B$2:$B$295,generator!$Q$2:$Q$295,"ARGH")</f>
        <v>98.17</v>
      </c>
      <c r="JP33" s="3" t="str">
        <f>_xlfn.XLOOKUP(JP$1,generator!$B$2:$B$295,generator!$Q$2:$Q$295,"ARGH")</f>
        <v>47.53</v>
      </c>
      <c r="JQ33" s="3" t="str">
        <f>_xlfn.XLOOKUP(JQ$1,generator!$B$2:$B$295,generator!$Q$2:$Q$295,"ARGH")</f>
        <v>108.86</v>
      </c>
      <c r="JR33" s="3" t="str">
        <f>_xlfn.XLOOKUP(JR$1,generator!$B$2:$B$295,generator!$Q$2:$Q$295,"ARGH")</f>
        <v>83.15</v>
      </c>
      <c r="JS33" s="3" t="str">
        <f>_xlfn.XLOOKUP(JS$1,generator!$B$2:$B$295,generator!$Q$2:$Q$295,"ARGH")</f>
        <v>83.15</v>
      </c>
      <c r="JT33" s="3" t="str">
        <f>_xlfn.XLOOKUP(JT$1,generator!$B$2:$B$295,generator!$Q$2:$Q$295,"ARGH")</f>
        <v>108.86</v>
      </c>
      <c r="JU33" s="3">
        <f>_xlfn.XLOOKUP(JU$1,generator!$B$2:$B$295,generator!$Q$2:$Q$295,"ARGH")</f>
        <v>0</v>
      </c>
      <c r="JV33" s="3" t="str">
        <f>_xlfn.XLOOKUP(JV$1,generator!$B$2:$B$295,generator!$Q$2:$Q$295,"ARGH")</f>
        <v>77.63</v>
      </c>
      <c r="JW33" s="3" t="str">
        <f>_xlfn.XLOOKUP(JW$1,generator!$B$2:$B$295,generator!$Q$2:$Q$295,"ARGH")</f>
        <v>77.64</v>
      </c>
      <c r="JX33" s="3" t="str">
        <f>_xlfn.XLOOKUP(JX$1,generator!$B$2:$B$295,generator!$Q$2:$Q$295,"ARGH")</f>
        <v>331.49</v>
      </c>
      <c r="JY33" s="3">
        <f>_xlfn.XLOOKUP(JY$1,generator!$B$2:$B$295,generator!$Q$2:$Q$295,"ARGH")</f>
        <v>7000</v>
      </c>
      <c r="JZ33" s="3">
        <f>_xlfn.XLOOKUP(JZ$1,generator!$B$2:$B$295,generator!$Q$2:$Q$295,"ARGH")</f>
        <v>0</v>
      </c>
      <c r="KA33" s="3">
        <f>_xlfn.XLOOKUP(KA$1,generator!$B$2:$B$295,generator!$Q$2:$Q$295,"ARGH")</f>
        <v>0</v>
      </c>
      <c r="KB33" s="3">
        <f>_xlfn.XLOOKUP(KB$1,generator!$B$2:$B$295,generator!$Q$2:$Q$295,"ARGH")</f>
        <v>0</v>
      </c>
      <c r="KC33" s="3">
        <f>_xlfn.XLOOKUP(KC$1,generator!$B$2:$B$295,generator!$Q$2:$Q$295,"ARGH")</f>
        <v>0</v>
      </c>
    </row>
    <row r="34" spans="1:289" x14ac:dyDescent="0.3">
      <c r="A34" s="4" t="s">
        <v>3029</v>
      </c>
      <c r="B34" s="3">
        <v>15000</v>
      </c>
      <c r="C34" s="3">
        <v>15000</v>
      </c>
      <c r="D34" s="3">
        <v>15000</v>
      </c>
      <c r="E34" s="3">
        <f>_xlfn.XLOOKUP(E$1,generator!$B$2:$B$295,generator!$Q$2:$Q$295,"ARGH")</f>
        <v>9000</v>
      </c>
      <c r="F34" s="3">
        <f>_xlfn.XLOOKUP(F$1,generator!$B$2:$B$295,generator!$Q$2:$Q$295,"ARGH")</f>
        <v>9000</v>
      </c>
      <c r="G34" s="3">
        <f>_xlfn.XLOOKUP(G$1,generator!$B$2:$B$295,generator!$Q$2:$Q$295,"ARGH")</f>
        <v>9000</v>
      </c>
      <c r="H34" s="3">
        <f>_xlfn.XLOOKUP(H$1,generator!$B$2:$B$295,generator!$Q$2:$Q$295,"ARGH")</f>
        <v>9000</v>
      </c>
      <c r="I34" s="3">
        <f>_xlfn.XLOOKUP(I$1,generator!$B$2:$B$295,generator!$Q$2:$Q$295,"ARGH")</f>
        <v>9000</v>
      </c>
      <c r="J34" s="3">
        <f>_xlfn.XLOOKUP(J$1,generator!$B$2:$B$295,generator!$Q$2:$Q$295,"ARGH")</f>
        <v>9000</v>
      </c>
      <c r="K34" s="3">
        <f>_xlfn.XLOOKUP(K$1,generator!$B$2:$B$295,generator!$Q$2:$Q$295,"ARGH")</f>
        <v>9000</v>
      </c>
      <c r="L34" s="3">
        <f>_xlfn.XLOOKUP(L$1,generator!$B$2:$B$295,generator!$Q$2:$Q$295,"ARGH")</f>
        <v>9000</v>
      </c>
      <c r="M34" s="3">
        <f>_xlfn.XLOOKUP(M$1,generator!$B$2:$B$295,generator!$Q$2:$Q$295,"ARGH")</f>
        <v>9000</v>
      </c>
      <c r="N34" s="3">
        <f>_xlfn.XLOOKUP(N$1,generator!$B$2:$B$295,generator!$Q$2:$Q$295,"ARGH")</f>
        <v>9000</v>
      </c>
      <c r="O34" s="3">
        <f>_xlfn.XLOOKUP(O$1,generator!$B$2:$B$295,generator!$Q$2:$Q$295,"ARGH")</f>
        <v>9000</v>
      </c>
      <c r="P34" s="3">
        <f>_xlfn.XLOOKUP(P$1,generator!$B$2:$B$295,generator!$Q$2:$Q$295,"ARGH")</f>
        <v>9000</v>
      </c>
      <c r="Q34" s="3">
        <f>_xlfn.XLOOKUP(Q$1,generator!$B$2:$B$295,generator!$Q$2:$Q$295,"ARGH")</f>
        <v>9000</v>
      </c>
      <c r="R34" s="3">
        <f>_xlfn.XLOOKUP(R$1,generator!$B$2:$B$295,generator!$Q$2:$Q$295,"ARGH")</f>
        <v>9000</v>
      </c>
      <c r="S34" s="3">
        <f>_xlfn.XLOOKUP(S$1,generator!$B$2:$B$295,generator!$Q$2:$Q$295,"ARGH")</f>
        <v>9000</v>
      </c>
      <c r="T34" s="3">
        <f>_xlfn.XLOOKUP(T$1,generator!$B$2:$B$295,generator!$Q$2:$Q$295,"ARGH")</f>
        <v>9000</v>
      </c>
      <c r="U34" s="3">
        <f>_xlfn.XLOOKUP(U$1,generator!$B$2:$B$295,generator!$Q$2:$Q$295,"ARGH")</f>
        <v>9000</v>
      </c>
      <c r="V34" s="3">
        <f>_xlfn.XLOOKUP(V$1,generator!$B$2:$B$295,generator!$Q$2:$Q$295,"ARGH")</f>
        <v>9000</v>
      </c>
      <c r="W34" s="3">
        <f>_xlfn.XLOOKUP(W$1,generator!$B$2:$B$295,generator!$Q$2:$Q$295,"ARGH")</f>
        <v>9000</v>
      </c>
      <c r="X34" s="3">
        <f>_xlfn.XLOOKUP(X$1,generator!$B$2:$B$295,generator!$Q$2:$Q$295,"ARGH")</f>
        <v>9000</v>
      </c>
      <c r="Y34" s="3">
        <f>_xlfn.XLOOKUP(Y$1,generator!$B$2:$B$295,generator!$Q$2:$Q$295,"ARGH")</f>
        <v>9000</v>
      </c>
      <c r="Z34" s="3">
        <f>_xlfn.XLOOKUP(Z$1,generator!$B$2:$B$295,generator!$Q$2:$Q$295,"ARGH")</f>
        <v>9000</v>
      </c>
      <c r="AA34" s="3">
        <f>_xlfn.XLOOKUP(AA$1,generator!$B$2:$B$295,generator!$Q$2:$Q$295,"ARGH")</f>
        <v>9000</v>
      </c>
      <c r="AB34" s="3">
        <f>_xlfn.XLOOKUP(AB$1,generator!$B$2:$B$295,generator!$Q$2:$Q$295,"ARGH")</f>
        <v>9000</v>
      </c>
      <c r="AC34" s="3">
        <f>_xlfn.XLOOKUP(AC$1,generator!$B$2:$B$295,generator!$Q$2:$Q$295,"ARGH")</f>
        <v>9000</v>
      </c>
      <c r="AD34" s="3">
        <f>_xlfn.XLOOKUP(AD$1,generator!$B$2:$B$295,generator!$Q$2:$Q$295,"ARGH")</f>
        <v>9000</v>
      </c>
      <c r="AE34" s="3">
        <f>_xlfn.XLOOKUP(AE$1,generator!$B$2:$B$295,generator!$Q$2:$Q$295,"ARGH")</f>
        <v>9000</v>
      </c>
      <c r="AF34" s="3">
        <f>_xlfn.XLOOKUP(AF$1,generator!$B$2:$B$295,generator!$Q$2:$Q$295,"ARGH")</f>
        <v>9000</v>
      </c>
      <c r="AG34" s="3">
        <f>_xlfn.XLOOKUP(AG$1,generator!$B$2:$B$295,generator!$Q$2:$Q$295,"ARGH")</f>
        <v>9000</v>
      </c>
      <c r="AH34" s="3">
        <f>_xlfn.XLOOKUP(AH$1,generator!$B$2:$B$295,generator!$Q$2:$Q$295,"ARGH")</f>
        <v>9000</v>
      </c>
      <c r="AI34" s="3">
        <f>_xlfn.XLOOKUP(AI$1,generator!$B$2:$B$295,generator!$Q$2:$Q$295,"ARGH")</f>
        <v>9000</v>
      </c>
      <c r="AJ34" s="3">
        <f>_xlfn.XLOOKUP(AJ$1,generator!$B$2:$B$295,generator!$Q$2:$Q$295,"ARGH")</f>
        <v>9000</v>
      </c>
      <c r="AK34" s="3">
        <f>_xlfn.XLOOKUP(AK$1,generator!$B$2:$B$295,generator!$Q$2:$Q$295,"ARGH")</f>
        <v>9000</v>
      </c>
      <c r="AL34" s="3">
        <f>_xlfn.XLOOKUP(AL$1,generator!$B$2:$B$295,generator!$Q$2:$Q$295,"ARGH")</f>
        <v>9000</v>
      </c>
      <c r="AM34" s="3">
        <f>_xlfn.XLOOKUP(AM$1,generator!$B$2:$B$295,generator!$Q$2:$Q$295,"ARGH")</f>
        <v>9000</v>
      </c>
      <c r="AN34" s="3">
        <f>_xlfn.XLOOKUP(AN$1,generator!$B$2:$B$295,generator!$Q$2:$Q$295,"ARGH")</f>
        <v>9000</v>
      </c>
      <c r="AO34" s="3">
        <f>_xlfn.XLOOKUP(AO$1,generator!$B$2:$B$295,generator!$Q$2:$Q$295,"ARGH")</f>
        <v>9000</v>
      </c>
      <c r="AP34" s="3">
        <f>_xlfn.XLOOKUP(AP$1,generator!$B$2:$B$295,generator!$Q$2:$Q$295,"ARGH")</f>
        <v>9000</v>
      </c>
      <c r="AQ34" s="3">
        <f>_xlfn.XLOOKUP(AQ$1,generator!$B$2:$B$295,generator!$Q$2:$Q$295,"ARGH")</f>
        <v>9000</v>
      </c>
      <c r="AR34" s="3">
        <f>_xlfn.XLOOKUP(AR$1,generator!$B$2:$B$295,generator!$Q$2:$Q$295,"ARGH")</f>
        <v>9000</v>
      </c>
      <c r="AS34" s="3">
        <f>_xlfn.XLOOKUP(AS$1,generator!$B$2:$B$295,generator!$Q$2:$Q$295,"ARGH")</f>
        <v>9000</v>
      </c>
      <c r="AT34" s="3">
        <f>_xlfn.XLOOKUP(AT$1,generator!$B$2:$B$295,generator!$Q$2:$Q$295,"ARGH")</f>
        <v>9000</v>
      </c>
      <c r="AU34" s="3">
        <f>_xlfn.XLOOKUP(AU$1,generator!$B$2:$B$295,generator!$Q$2:$Q$295,"ARGH")</f>
        <v>9000</v>
      </c>
      <c r="AV34" s="3">
        <f>_xlfn.XLOOKUP(AV$1,generator!$B$2:$B$295,generator!$Q$2:$Q$295,"ARGH")</f>
        <v>9000</v>
      </c>
      <c r="AW34" s="3">
        <f>_xlfn.XLOOKUP(AW$1,generator!$B$2:$B$295,generator!$Q$2:$Q$295,"ARGH")</f>
        <v>9000</v>
      </c>
      <c r="AX34" s="3">
        <f>_xlfn.XLOOKUP(AX$1,generator!$B$2:$B$295,generator!$Q$2:$Q$295,"ARGH")</f>
        <v>9000</v>
      </c>
      <c r="AY34" s="3">
        <f>_xlfn.XLOOKUP(AY$1,generator!$B$2:$B$295,generator!$Q$2:$Q$295,"ARGH")</f>
        <v>9000</v>
      </c>
      <c r="AZ34" s="3">
        <f>_xlfn.XLOOKUP(AZ$1,generator!$B$2:$B$295,generator!$Q$2:$Q$295,"ARGH")</f>
        <v>9000</v>
      </c>
      <c r="BA34" s="3">
        <f>_xlfn.XLOOKUP(BA$1,generator!$B$2:$B$295,generator!$Q$2:$Q$295,"ARGH")</f>
        <v>9000</v>
      </c>
      <c r="BB34" s="3">
        <f>_xlfn.XLOOKUP(BB$1,generator!$B$2:$B$295,generator!$Q$2:$Q$295,"ARGH")</f>
        <v>9000</v>
      </c>
      <c r="BC34" s="3">
        <f>_xlfn.XLOOKUP(BC$1,generator!$B$2:$B$295,generator!$Q$2:$Q$295,"ARGH")</f>
        <v>9000</v>
      </c>
      <c r="BD34" s="3">
        <f>_xlfn.XLOOKUP(BD$1,generator!$B$2:$B$295,generator!$Q$2:$Q$295,"ARGH")</f>
        <v>9000</v>
      </c>
      <c r="BE34" s="3">
        <f>_xlfn.XLOOKUP(BE$1,generator!$B$2:$B$295,generator!$Q$2:$Q$295,"ARGH")</f>
        <v>9000</v>
      </c>
      <c r="BF34" s="3">
        <f>_xlfn.XLOOKUP(BF$1,generator!$B$2:$B$295,generator!$Q$2:$Q$295,"ARGH")</f>
        <v>9000</v>
      </c>
      <c r="BG34" s="3">
        <f>_xlfn.XLOOKUP(BG$1,generator!$B$2:$B$295,generator!$Q$2:$Q$295,"ARGH")</f>
        <v>9000</v>
      </c>
      <c r="BH34" s="3">
        <f>_xlfn.XLOOKUP(BH$1,generator!$B$2:$B$295,generator!$Q$2:$Q$295,"ARGH")</f>
        <v>9000</v>
      </c>
      <c r="BI34" s="3">
        <f>_xlfn.XLOOKUP(BI$1,generator!$B$2:$B$295,generator!$Q$2:$Q$295,"ARGH")</f>
        <v>9000</v>
      </c>
      <c r="BJ34" s="3">
        <f>_xlfn.XLOOKUP(BJ$1,generator!$B$2:$B$295,generator!$Q$2:$Q$295,"ARGH")</f>
        <v>9000</v>
      </c>
      <c r="BK34" s="3">
        <f>_xlfn.XLOOKUP(BK$1,generator!$B$2:$B$295,generator!$Q$2:$Q$295,"ARGH")</f>
        <v>9000</v>
      </c>
      <c r="BL34" s="3">
        <f>_xlfn.XLOOKUP(BL$1,generator!$B$2:$B$295,generator!$Q$2:$Q$295,"ARGH")</f>
        <v>9000</v>
      </c>
      <c r="BM34" s="3">
        <f>_xlfn.XLOOKUP(BM$1,generator!$B$2:$B$295,generator!$Q$2:$Q$295,"ARGH")</f>
        <v>9000</v>
      </c>
      <c r="BN34" s="3">
        <f>_xlfn.XLOOKUP(BN$1,generator!$B$2:$B$295,generator!$Q$2:$Q$295,"ARGH")</f>
        <v>9000</v>
      </c>
      <c r="BO34" s="3">
        <f>_xlfn.XLOOKUP(BO$1,generator!$B$2:$B$295,generator!$Q$2:$Q$295,"ARGH")</f>
        <v>9000</v>
      </c>
      <c r="BP34" s="3">
        <f>_xlfn.XLOOKUP(BP$1,generator!$B$2:$B$295,generator!$Q$2:$Q$295,"ARGH")</f>
        <v>9000</v>
      </c>
      <c r="BQ34" s="3">
        <f>_xlfn.XLOOKUP(BQ$1,generator!$B$2:$B$295,generator!$Q$2:$Q$295,"ARGH")</f>
        <v>9000</v>
      </c>
      <c r="BR34" s="3">
        <f>_xlfn.XLOOKUP(BR$1,generator!$B$2:$B$295,generator!$Q$2:$Q$295,"ARGH")</f>
        <v>9000</v>
      </c>
      <c r="BS34" s="3">
        <f>_xlfn.XLOOKUP(BS$1,generator!$B$2:$B$295,generator!$Q$2:$Q$295,"ARGH")</f>
        <v>9000</v>
      </c>
      <c r="BT34" s="3">
        <f>_xlfn.XLOOKUP(BT$1,generator!$B$2:$B$295,generator!$Q$2:$Q$295,"ARGH")</f>
        <v>9000</v>
      </c>
      <c r="BU34" s="3">
        <f>_xlfn.XLOOKUP(BU$1,generator!$B$2:$B$295,generator!$Q$2:$Q$295,"ARGH")</f>
        <v>9000</v>
      </c>
      <c r="BV34" s="3">
        <f>_xlfn.XLOOKUP(BV$1,generator!$B$2:$B$295,generator!$Q$2:$Q$295,"ARGH")</f>
        <v>9000</v>
      </c>
      <c r="BW34" s="3">
        <f>_xlfn.XLOOKUP(BW$1,generator!$B$2:$B$295,generator!$Q$2:$Q$295,"ARGH")</f>
        <v>9000</v>
      </c>
      <c r="BX34" s="3">
        <f>_xlfn.XLOOKUP(BX$1,generator!$B$2:$B$295,generator!$Q$2:$Q$295,"ARGH")</f>
        <v>9000</v>
      </c>
      <c r="BY34" s="3">
        <f>_xlfn.XLOOKUP(BY$1,generator!$B$2:$B$295,generator!$Q$2:$Q$295,"ARGH")</f>
        <v>9000</v>
      </c>
      <c r="BZ34" s="3">
        <f>_xlfn.XLOOKUP(BZ$1,generator!$B$2:$B$295,generator!$Q$2:$Q$295,"ARGH")</f>
        <v>9000</v>
      </c>
      <c r="CA34" s="3">
        <f>_xlfn.XLOOKUP(CA$1,generator!$B$2:$B$295,generator!$Q$2:$Q$295,"ARGH")</f>
        <v>9000</v>
      </c>
      <c r="CB34" s="3">
        <f>_xlfn.XLOOKUP(CB$1,generator!$B$2:$B$295,generator!$Q$2:$Q$295,"ARGH")</f>
        <v>9000</v>
      </c>
      <c r="CC34" s="3">
        <f>_xlfn.XLOOKUP(CC$1,generator!$B$2:$B$295,generator!$Q$2:$Q$295,"ARGH")</f>
        <v>9000</v>
      </c>
      <c r="CD34" s="3">
        <f>_xlfn.XLOOKUP(CD$1,generator!$B$2:$B$295,generator!$Q$2:$Q$295,"ARGH")</f>
        <v>9000</v>
      </c>
      <c r="CE34" s="3">
        <f>_xlfn.XLOOKUP(CE$1,generator!$B$2:$B$295,generator!$Q$2:$Q$295,"ARGH")</f>
        <v>9000</v>
      </c>
      <c r="CF34" s="3">
        <f>_xlfn.XLOOKUP(CF$1,generator!$B$2:$B$295,generator!$Q$2:$Q$295,"ARGH")</f>
        <v>9000</v>
      </c>
      <c r="CG34" s="3">
        <f>_xlfn.XLOOKUP(CG$1,generator!$B$2:$B$295,generator!$Q$2:$Q$295,"ARGH")</f>
        <v>9000</v>
      </c>
      <c r="CH34" s="3">
        <f>_xlfn.XLOOKUP(CH$1,generator!$B$2:$B$295,generator!$Q$2:$Q$295,"ARGH")</f>
        <v>9000</v>
      </c>
      <c r="CI34" s="3">
        <f>_xlfn.XLOOKUP(CI$1,generator!$B$2:$B$295,generator!$Q$2:$Q$295,"ARGH")</f>
        <v>9000</v>
      </c>
      <c r="CJ34" s="3">
        <f>_xlfn.XLOOKUP(CJ$1,generator!$B$2:$B$295,generator!$Q$2:$Q$295,"ARGH")</f>
        <v>9000</v>
      </c>
      <c r="CK34" s="3">
        <f>_xlfn.XLOOKUP(CK$1,generator!$B$2:$B$295,generator!$Q$2:$Q$295,"ARGH")</f>
        <v>9000</v>
      </c>
      <c r="CL34" s="3">
        <f>_xlfn.XLOOKUP(CL$1,generator!$B$2:$B$295,generator!$Q$2:$Q$295,"ARGH")</f>
        <v>9000</v>
      </c>
      <c r="CM34" s="3">
        <f>_xlfn.XLOOKUP(CM$1,generator!$B$2:$B$295,generator!$Q$2:$Q$295,"ARGH")</f>
        <v>9000</v>
      </c>
      <c r="CN34" s="3">
        <f>_xlfn.XLOOKUP(CN$1,generator!$B$2:$B$295,generator!$Q$2:$Q$295,"ARGH")</f>
        <v>9000</v>
      </c>
      <c r="CO34" s="3">
        <f>_xlfn.XLOOKUP(CO$1,generator!$B$2:$B$295,generator!$Q$2:$Q$295,"ARGH")</f>
        <v>9000</v>
      </c>
      <c r="CP34" s="3">
        <f>_xlfn.XLOOKUP(CP$1,generator!$B$2:$B$295,generator!$Q$2:$Q$295,"ARGH")</f>
        <v>9000</v>
      </c>
      <c r="CQ34" s="3">
        <f>_xlfn.XLOOKUP(CQ$1,generator!$B$2:$B$295,generator!$Q$2:$Q$295,"ARGH")</f>
        <v>9000</v>
      </c>
      <c r="CR34" s="3">
        <f>_xlfn.XLOOKUP(CR$1,generator!$B$2:$B$295,generator!$Q$2:$Q$295,"ARGH")</f>
        <v>9000</v>
      </c>
      <c r="CS34" s="3">
        <f>_xlfn.XLOOKUP(CS$1,generator!$B$2:$B$295,generator!$Q$2:$Q$295,"ARGH")</f>
        <v>9000</v>
      </c>
      <c r="CT34" s="3">
        <f>_xlfn.XLOOKUP(CT$1,generator!$B$2:$B$295,generator!$Q$2:$Q$295,"ARGH")</f>
        <v>9000</v>
      </c>
      <c r="CU34" s="3">
        <f>_xlfn.XLOOKUP(CU$1,generator!$B$2:$B$295,generator!$Q$2:$Q$295,"ARGH")</f>
        <v>9000</v>
      </c>
      <c r="CV34" s="3">
        <f>_xlfn.XLOOKUP(CV$1,generator!$B$2:$B$295,generator!$Q$2:$Q$295,"ARGH")</f>
        <v>9000</v>
      </c>
      <c r="CW34" s="3">
        <f>_xlfn.XLOOKUP(CW$1,generator!$B$2:$B$295,generator!$Q$2:$Q$295,"ARGH")</f>
        <v>9000</v>
      </c>
      <c r="CX34" s="3">
        <f>_xlfn.XLOOKUP(CX$1,generator!$B$2:$B$295,generator!$Q$2:$Q$295,"ARGH")</f>
        <v>9000</v>
      </c>
      <c r="CY34" s="3">
        <f>_xlfn.XLOOKUP(CY$1,generator!$B$2:$B$295,generator!$Q$2:$Q$295,"ARGH")</f>
        <v>9000</v>
      </c>
      <c r="CZ34" s="3">
        <f>_xlfn.XLOOKUP(CZ$1,generator!$B$2:$B$295,generator!$Q$2:$Q$295,"ARGH")</f>
        <v>9000</v>
      </c>
      <c r="DA34" s="3">
        <f>_xlfn.XLOOKUP(DA$1,generator!$B$2:$B$295,generator!$Q$2:$Q$295,"ARGH")</f>
        <v>9000</v>
      </c>
      <c r="DB34" s="3">
        <f>_xlfn.XLOOKUP(DB$1,generator!$B$2:$B$295,generator!$Q$2:$Q$295,"ARGH")</f>
        <v>9000</v>
      </c>
      <c r="DC34" s="3">
        <f>_xlfn.XLOOKUP(DC$1,generator!$B$2:$B$295,generator!$Q$2:$Q$295,"ARGH")</f>
        <v>9000</v>
      </c>
      <c r="DD34" s="3">
        <f>_xlfn.XLOOKUP(DD$1,generator!$B$2:$B$295,generator!$Q$2:$Q$295,"ARGH")</f>
        <v>9000</v>
      </c>
      <c r="DE34" s="3">
        <f>_xlfn.XLOOKUP(DE$1,generator!$B$2:$B$295,generator!$Q$2:$Q$295,"ARGH")</f>
        <v>9000</v>
      </c>
      <c r="DF34" s="3">
        <f>_xlfn.XLOOKUP(DF$1,generator!$B$2:$B$295,generator!$Q$2:$Q$295,"ARGH")</f>
        <v>9000</v>
      </c>
      <c r="DG34" s="3">
        <f>_xlfn.XLOOKUP(DG$1,generator!$B$2:$B$295,generator!$Q$2:$Q$295,"ARGH")</f>
        <v>9000</v>
      </c>
      <c r="DH34" s="3">
        <f>_xlfn.XLOOKUP(DH$1,generator!$B$2:$B$295,generator!$Q$2:$Q$295,"ARGH")</f>
        <v>9000</v>
      </c>
      <c r="DI34" s="3">
        <f>_xlfn.XLOOKUP(DI$1,generator!$B$2:$B$295,generator!$Q$2:$Q$295,"ARGH")</f>
        <v>9000</v>
      </c>
      <c r="DJ34" s="3">
        <f>_xlfn.XLOOKUP(DJ$1,generator!$B$2:$B$295,generator!$Q$2:$Q$295,"ARGH")</f>
        <v>9000</v>
      </c>
      <c r="DK34" s="3">
        <f>_xlfn.XLOOKUP(DK$1,generator!$B$2:$B$295,generator!$Q$2:$Q$295,"ARGH")</f>
        <v>9000</v>
      </c>
      <c r="DL34" s="3">
        <f>_xlfn.XLOOKUP(DL$1,generator!$B$2:$B$295,generator!$Q$2:$Q$295,"ARGH")</f>
        <v>9000</v>
      </c>
      <c r="DM34" s="3">
        <f>_xlfn.XLOOKUP(DM$1,generator!$B$2:$B$295,generator!$Q$2:$Q$295,"ARGH")</f>
        <v>9000</v>
      </c>
      <c r="DN34" s="3">
        <f>_xlfn.XLOOKUP(DN$1,generator!$B$2:$B$295,generator!$Q$2:$Q$295,"ARGH")</f>
        <v>9000</v>
      </c>
      <c r="DO34" s="3">
        <f>_xlfn.XLOOKUP(DO$1,generator!$B$2:$B$295,generator!$Q$2:$Q$295,"ARGH")</f>
        <v>9000</v>
      </c>
      <c r="DP34" s="3">
        <f>_xlfn.XLOOKUP(DP$1,generator!$B$2:$B$295,generator!$Q$2:$Q$295,"ARGH")</f>
        <v>9000</v>
      </c>
      <c r="DQ34" s="3">
        <f>_xlfn.XLOOKUP(DQ$1,generator!$B$2:$B$295,generator!$Q$2:$Q$295,"ARGH")</f>
        <v>9000</v>
      </c>
      <c r="DR34" s="3">
        <f>_xlfn.XLOOKUP(DR$1,generator!$B$2:$B$295,generator!$Q$2:$Q$295,"ARGH")</f>
        <v>9000</v>
      </c>
      <c r="DS34" s="3">
        <f>_xlfn.XLOOKUP(DS$1,generator!$B$2:$B$295,generator!$Q$2:$Q$295,"ARGH")</f>
        <v>9000</v>
      </c>
      <c r="DT34" s="3">
        <f>_xlfn.XLOOKUP(DT$1,generator!$B$2:$B$295,generator!$Q$2:$Q$295,"ARGH")</f>
        <v>9000</v>
      </c>
      <c r="DU34" s="3">
        <f>_xlfn.XLOOKUP(DU$1,generator!$B$2:$B$295,generator!$Q$2:$Q$295,"ARGH")</f>
        <v>9000</v>
      </c>
      <c r="DV34" s="3">
        <f>_xlfn.XLOOKUP(DV$1,generator!$B$2:$B$295,generator!$Q$2:$Q$295,"ARGH")</f>
        <v>9000</v>
      </c>
      <c r="DW34" s="3">
        <f>_xlfn.XLOOKUP(DW$1,generator!$B$2:$B$295,generator!$Q$2:$Q$295,"ARGH")</f>
        <v>9000</v>
      </c>
      <c r="DX34" s="3">
        <f>_xlfn.XLOOKUP(DX$1,generator!$B$2:$B$295,generator!$Q$2:$Q$295,"ARGH")</f>
        <v>9000</v>
      </c>
      <c r="DY34" s="3">
        <f>_xlfn.XLOOKUP(DY$1,generator!$B$2:$B$295,generator!$Q$2:$Q$295,"ARGH")</f>
        <v>9000</v>
      </c>
      <c r="DZ34" s="3">
        <f>_xlfn.XLOOKUP(DZ$1,generator!$B$2:$B$295,generator!$Q$2:$Q$295,"ARGH")</f>
        <v>9000</v>
      </c>
      <c r="EA34" s="3">
        <f>_xlfn.XLOOKUP(EA$1,generator!$B$2:$B$295,generator!$Q$2:$Q$295,"ARGH")</f>
        <v>9000</v>
      </c>
      <c r="EB34" s="3">
        <f>_xlfn.XLOOKUP(EB$1,generator!$B$2:$B$295,generator!$Q$2:$Q$295,"ARGH")</f>
        <v>9000</v>
      </c>
      <c r="EC34" s="3">
        <f>_xlfn.XLOOKUP(EC$1,generator!$B$2:$B$295,generator!$Q$2:$Q$295,"ARGH")</f>
        <v>9000</v>
      </c>
      <c r="ED34" s="3">
        <f>_xlfn.XLOOKUP(ED$1,generator!$B$2:$B$295,generator!$Q$2:$Q$295,"ARGH")</f>
        <v>9000</v>
      </c>
      <c r="EE34" s="3">
        <f>_xlfn.XLOOKUP(EE$1,generator!$B$2:$B$295,generator!$Q$2:$Q$295,"ARGH")</f>
        <v>9000</v>
      </c>
      <c r="EF34" s="3">
        <f>_xlfn.XLOOKUP(EF$1,generator!$B$2:$B$295,generator!$Q$2:$Q$295,"ARGH")</f>
        <v>9000</v>
      </c>
      <c r="EG34" s="3">
        <f>_xlfn.XLOOKUP(EG$1,generator!$B$2:$B$295,generator!$Q$2:$Q$295,"ARGH")</f>
        <v>9000</v>
      </c>
      <c r="EH34" s="3">
        <f>_xlfn.XLOOKUP(EH$1,generator!$B$2:$B$295,generator!$Q$2:$Q$295,"ARGH")</f>
        <v>9000</v>
      </c>
      <c r="EI34" s="3">
        <f>_xlfn.XLOOKUP(EI$1,generator!$B$2:$B$295,generator!$Q$2:$Q$295,"ARGH")</f>
        <v>9000</v>
      </c>
      <c r="EJ34" s="3">
        <f>_xlfn.XLOOKUP(EJ$1,generator!$B$2:$B$295,generator!$Q$2:$Q$295,"ARGH")</f>
        <v>9000</v>
      </c>
      <c r="EK34" s="3">
        <f>_xlfn.XLOOKUP(EK$1,generator!$B$2:$B$295,generator!$Q$2:$Q$295,"ARGH")</f>
        <v>9000</v>
      </c>
      <c r="EL34" s="3">
        <f>_xlfn.XLOOKUP(EL$1,generator!$B$2:$B$295,generator!$Q$2:$Q$295,"ARGH")</f>
        <v>9000</v>
      </c>
      <c r="EM34" s="3">
        <f>_xlfn.XLOOKUP(EM$1,generator!$B$2:$B$295,generator!$Q$2:$Q$295,"ARGH")</f>
        <v>9000</v>
      </c>
      <c r="EN34" s="3">
        <f>_xlfn.XLOOKUP(EN$1,generator!$B$2:$B$295,generator!$Q$2:$Q$295,"ARGH")</f>
        <v>9000</v>
      </c>
      <c r="EO34" s="3">
        <f>_xlfn.XLOOKUP(EO$1,generator!$B$2:$B$295,generator!$Q$2:$Q$295,"ARGH")</f>
        <v>9000</v>
      </c>
      <c r="EP34" s="3">
        <f>_xlfn.XLOOKUP(EP$1,generator!$B$2:$B$295,generator!$Q$2:$Q$295,"ARGH")</f>
        <v>9000</v>
      </c>
      <c r="EQ34" s="3">
        <f>_xlfn.XLOOKUP(EQ$1,generator!$B$2:$B$295,generator!$Q$2:$Q$295,"ARGH")</f>
        <v>9000</v>
      </c>
      <c r="ER34" s="3">
        <f>_xlfn.XLOOKUP(ER$1,generator!$B$2:$B$295,generator!$Q$2:$Q$295,"ARGH")</f>
        <v>9000</v>
      </c>
      <c r="ES34" s="3">
        <f>_xlfn.XLOOKUP(ES$1,generator!$B$2:$B$295,generator!$Q$2:$Q$295,"ARGH")</f>
        <v>9000</v>
      </c>
      <c r="ET34" s="3">
        <f>_xlfn.XLOOKUP(ET$1,generator!$B$2:$B$295,generator!$Q$2:$Q$295,"ARGH")</f>
        <v>9000</v>
      </c>
      <c r="EU34" s="3">
        <f>_xlfn.XLOOKUP(EU$1,generator!$B$2:$B$295,generator!$Q$2:$Q$295,"ARGH")</f>
        <v>9000</v>
      </c>
      <c r="EV34" s="3">
        <f>_xlfn.XLOOKUP(EV$1,generator!$B$2:$B$295,generator!$Q$2:$Q$295,"ARGH")</f>
        <v>9000</v>
      </c>
      <c r="EW34" s="3">
        <f>_xlfn.XLOOKUP(EW$1,generator!$B$2:$B$295,generator!$Q$2:$Q$295,"ARGH")</f>
        <v>9000</v>
      </c>
      <c r="EX34" s="3">
        <f>_xlfn.XLOOKUP(EX$1,generator!$B$2:$B$295,generator!$Q$2:$Q$295,"ARGH")</f>
        <v>9000</v>
      </c>
      <c r="EY34" s="3">
        <f>_xlfn.XLOOKUP(EY$1,generator!$B$2:$B$295,generator!$Q$2:$Q$295,"ARGH")</f>
        <v>9000</v>
      </c>
      <c r="EZ34" s="3">
        <f>_xlfn.XLOOKUP(EZ$1,generator!$B$2:$B$295,generator!$Q$2:$Q$295,"ARGH")</f>
        <v>9000</v>
      </c>
      <c r="FA34" s="3">
        <f>_xlfn.XLOOKUP(FA$1,generator!$B$2:$B$295,generator!$Q$2:$Q$295,"ARGH")</f>
        <v>9000</v>
      </c>
      <c r="FB34" s="3">
        <f>_xlfn.XLOOKUP(FB$1,generator!$B$2:$B$295,generator!$Q$2:$Q$295,"ARGH")</f>
        <v>9000</v>
      </c>
      <c r="FC34" s="3">
        <f>_xlfn.XLOOKUP(FC$1,generator!$B$2:$B$295,generator!$Q$2:$Q$295,"ARGH")</f>
        <v>9000</v>
      </c>
      <c r="FD34" s="3">
        <f>_xlfn.XLOOKUP(FD$1,generator!$B$2:$B$295,generator!$Q$2:$Q$295,"ARGH")</f>
        <v>9000</v>
      </c>
      <c r="FE34" s="3">
        <f>_xlfn.XLOOKUP(FE$1,generator!$B$2:$B$295,generator!$Q$2:$Q$295,"ARGH")</f>
        <v>9000</v>
      </c>
      <c r="FF34" s="3">
        <f>_xlfn.XLOOKUP(FF$1,generator!$B$2:$B$295,generator!$Q$2:$Q$295,"ARGH")</f>
        <v>9000</v>
      </c>
      <c r="FG34" s="3">
        <f>_xlfn.XLOOKUP(FG$1,generator!$B$2:$B$295,generator!$Q$2:$Q$295,"ARGH")</f>
        <v>9000</v>
      </c>
      <c r="FH34" s="3">
        <f>_xlfn.XLOOKUP(FH$1,generator!$B$2:$B$295,generator!$Q$2:$Q$295,"ARGH")</f>
        <v>9000</v>
      </c>
      <c r="FI34" s="3">
        <f>_xlfn.XLOOKUP(FI$1,generator!$B$2:$B$295,generator!$Q$2:$Q$295,"ARGH")</f>
        <v>9000</v>
      </c>
      <c r="FJ34" s="3">
        <f>_xlfn.XLOOKUP(FJ$1,generator!$B$2:$B$295,generator!$Q$2:$Q$295,"ARGH")</f>
        <v>9000</v>
      </c>
      <c r="FK34" s="3">
        <f>_xlfn.XLOOKUP(FK$1,generator!$B$2:$B$295,generator!$Q$2:$Q$295,"ARGH")</f>
        <v>9000</v>
      </c>
      <c r="FL34" s="3">
        <f>_xlfn.XLOOKUP(FL$1,generator!$B$2:$B$295,generator!$Q$2:$Q$295,"ARGH")</f>
        <v>9000</v>
      </c>
      <c r="FM34" s="3">
        <f>_xlfn.XLOOKUP(FM$1,generator!$B$2:$B$295,generator!$Q$2:$Q$295,"ARGH")</f>
        <v>9000</v>
      </c>
      <c r="FN34" s="3">
        <f>_xlfn.XLOOKUP(FN$1,generator!$B$2:$B$295,generator!$Q$2:$Q$295,"ARGH")</f>
        <v>9000</v>
      </c>
      <c r="FO34" s="3">
        <f>_xlfn.XLOOKUP(FO$1,generator!$B$2:$B$295,generator!$Q$2:$Q$295,"ARGH")</f>
        <v>9000</v>
      </c>
      <c r="FP34" s="3">
        <f>_xlfn.XLOOKUP(FP$1,generator!$B$2:$B$295,generator!$Q$2:$Q$295,"ARGH")</f>
        <v>9000</v>
      </c>
      <c r="FQ34" s="3">
        <f>_xlfn.XLOOKUP(FQ$1,generator!$B$2:$B$295,generator!$Q$2:$Q$295,"ARGH")</f>
        <v>9000</v>
      </c>
      <c r="FR34" s="3">
        <f>_xlfn.XLOOKUP(FR$1,generator!$B$2:$B$295,generator!$Q$2:$Q$295,"ARGH")</f>
        <v>9000</v>
      </c>
      <c r="FS34" s="3">
        <f>_xlfn.XLOOKUP(FS$1,generator!$B$2:$B$295,generator!$Q$2:$Q$295,"ARGH")</f>
        <v>9000</v>
      </c>
      <c r="FT34" s="3">
        <f>_xlfn.XLOOKUP(FT$1,generator!$B$2:$B$295,generator!$Q$2:$Q$295,"ARGH")</f>
        <v>9000</v>
      </c>
      <c r="FU34" s="3">
        <f>_xlfn.XLOOKUP(FU$1,generator!$B$2:$B$295,generator!$Q$2:$Q$295,"ARGH")</f>
        <v>9000</v>
      </c>
      <c r="FV34" s="3">
        <f>_xlfn.XLOOKUP(FV$1,generator!$B$2:$B$295,generator!$Q$2:$Q$295,"ARGH")</f>
        <v>9000</v>
      </c>
      <c r="FW34" s="3">
        <f>_xlfn.XLOOKUP(FW$1,generator!$B$2:$B$295,generator!$Q$2:$Q$295,"ARGH")</f>
        <v>9000</v>
      </c>
      <c r="FX34" s="3">
        <f>_xlfn.XLOOKUP(FX$1,generator!$B$2:$B$295,generator!$Q$2:$Q$295,"ARGH")</f>
        <v>9000</v>
      </c>
      <c r="FY34" s="3">
        <f>_xlfn.XLOOKUP(FY$1,generator!$B$2:$B$295,generator!$Q$2:$Q$295,"ARGH")</f>
        <v>9000</v>
      </c>
      <c r="FZ34" s="3">
        <f>_xlfn.XLOOKUP(FZ$1,generator!$B$2:$B$295,generator!$Q$2:$Q$295,"ARGH")</f>
        <v>9000</v>
      </c>
      <c r="GA34" s="3">
        <f>_xlfn.XLOOKUP(GA$1,generator!$B$2:$B$295,generator!$Q$2:$Q$295,"ARGH")</f>
        <v>9000</v>
      </c>
      <c r="GB34" s="3">
        <f>_xlfn.XLOOKUP(GB$1,generator!$B$2:$B$295,generator!$Q$2:$Q$295,"ARGH")</f>
        <v>9000</v>
      </c>
      <c r="GC34" s="3">
        <f>_xlfn.XLOOKUP(GC$1,generator!$B$2:$B$295,generator!$Q$2:$Q$295,"ARGH")</f>
        <v>9000</v>
      </c>
      <c r="GD34" s="3">
        <f>_xlfn.XLOOKUP(GD$1,generator!$B$2:$B$295,generator!$Q$2:$Q$295,"ARGH")</f>
        <v>9000</v>
      </c>
      <c r="GE34" s="3">
        <f>_xlfn.XLOOKUP(GE$1,generator!$B$2:$B$295,generator!$Q$2:$Q$295,"ARGH")</f>
        <v>9000</v>
      </c>
      <c r="GF34" s="3">
        <f>_xlfn.XLOOKUP(GF$1,generator!$B$2:$B$295,generator!$Q$2:$Q$295,"ARGH")</f>
        <v>9000</v>
      </c>
      <c r="GG34" s="3">
        <f>_xlfn.XLOOKUP(GG$1,generator!$B$2:$B$295,generator!$Q$2:$Q$295,"ARGH")</f>
        <v>9000</v>
      </c>
      <c r="GH34" s="3">
        <f>_xlfn.XLOOKUP(GH$1,generator!$B$2:$B$295,generator!$Q$2:$Q$295,"ARGH")</f>
        <v>9000</v>
      </c>
      <c r="GI34" s="3">
        <f>_xlfn.XLOOKUP(GI$1,generator!$B$2:$B$295,generator!$Q$2:$Q$295,"ARGH")</f>
        <v>9000</v>
      </c>
      <c r="GJ34" s="3">
        <f>_xlfn.XLOOKUP(GJ$1,generator!$B$2:$B$295,generator!$Q$2:$Q$295,"ARGH")</f>
        <v>9000</v>
      </c>
      <c r="GK34" s="3">
        <f>_xlfn.XLOOKUP(GK$1,generator!$B$2:$B$295,generator!$Q$2:$Q$295,"ARGH")</f>
        <v>9000</v>
      </c>
      <c r="GL34" s="3">
        <f>_xlfn.XLOOKUP(GL$1,generator!$B$2:$B$295,generator!$Q$2:$Q$295,"ARGH")</f>
        <v>9000</v>
      </c>
      <c r="GM34" s="3">
        <f>_xlfn.XLOOKUP(GM$1,generator!$B$2:$B$295,generator!$Q$2:$Q$295,"ARGH")</f>
        <v>9000</v>
      </c>
      <c r="GN34" s="3">
        <f>_xlfn.XLOOKUP(GN$1,generator!$B$2:$B$295,generator!$Q$2:$Q$295,"ARGH")</f>
        <v>9000</v>
      </c>
      <c r="GO34" s="3">
        <f>_xlfn.XLOOKUP(GO$1,generator!$B$2:$B$295,generator!$Q$2:$Q$295,"ARGH")</f>
        <v>9000</v>
      </c>
      <c r="GP34" s="3">
        <f>_xlfn.XLOOKUP(GP$1,generator!$B$2:$B$295,generator!$Q$2:$Q$295,"ARGH")</f>
        <v>9000</v>
      </c>
      <c r="GQ34" s="3">
        <f>_xlfn.XLOOKUP(GQ$1,generator!$B$2:$B$295,generator!$Q$2:$Q$295,"ARGH")</f>
        <v>9000</v>
      </c>
      <c r="GR34" s="3">
        <f>_xlfn.XLOOKUP(GR$1,generator!$B$2:$B$295,generator!$Q$2:$Q$295,"ARGH")</f>
        <v>9000</v>
      </c>
      <c r="GS34" s="3">
        <f>_xlfn.XLOOKUP(GS$1,generator!$B$2:$B$295,generator!$Q$2:$Q$295,"ARGH")</f>
        <v>9000</v>
      </c>
      <c r="GT34" s="3">
        <f>_xlfn.XLOOKUP(GT$1,generator!$B$2:$B$295,generator!$Q$2:$Q$295,"ARGH")</f>
        <v>9000</v>
      </c>
      <c r="GU34" s="3">
        <f>_xlfn.XLOOKUP(GU$1,generator!$B$2:$B$295,generator!$Q$2:$Q$295,"ARGH")</f>
        <v>9000</v>
      </c>
      <c r="GV34" s="3">
        <f>_xlfn.XLOOKUP(GV$1,generator!$B$2:$B$295,generator!$Q$2:$Q$295,"ARGH")</f>
        <v>9000</v>
      </c>
      <c r="GW34" s="3">
        <f>_xlfn.XLOOKUP(GW$1,generator!$B$2:$B$295,generator!$Q$2:$Q$295,"ARGH")</f>
        <v>9000</v>
      </c>
      <c r="GX34" s="3">
        <f>_xlfn.XLOOKUP(GX$1,generator!$B$2:$B$295,generator!$Q$2:$Q$295,"ARGH")</f>
        <v>9000</v>
      </c>
      <c r="GY34" s="3">
        <f>_xlfn.XLOOKUP(GY$1,generator!$B$2:$B$295,generator!$Q$2:$Q$295,"ARGH")</f>
        <v>9000</v>
      </c>
      <c r="GZ34" s="3">
        <f>_xlfn.XLOOKUP(GZ$1,generator!$B$2:$B$295,generator!$Q$2:$Q$295,"ARGH")</f>
        <v>9000</v>
      </c>
      <c r="HA34" s="3">
        <f>_xlfn.XLOOKUP(HA$1,generator!$B$2:$B$295,generator!$Q$2:$Q$295,"ARGH")</f>
        <v>9000</v>
      </c>
      <c r="HB34" s="3">
        <f>_xlfn.XLOOKUP(HB$1,generator!$B$2:$B$295,generator!$Q$2:$Q$295,"ARGH")</f>
        <v>9000</v>
      </c>
      <c r="HC34" s="3">
        <f>_xlfn.XLOOKUP(HC$1,generator!$B$2:$B$295,generator!$Q$2:$Q$295,"ARGH")</f>
        <v>9000</v>
      </c>
      <c r="HD34" s="3">
        <f>_xlfn.XLOOKUP(HD$1,generator!$B$2:$B$295,generator!$Q$2:$Q$295,"ARGH")</f>
        <v>9000</v>
      </c>
      <c r="HE34" s="3">
        <f>_xlfn.XLOOKUP(HE$1,generator!$B$2:$B$295,generator!$Q$2:$Q$295,"ARGH")</f>
        <v>8000</v>
      </c>
      <c r="HF34" s="3" t="str">
        <f>_xlfn.XLOOKUP(HF$1,generator!$B$2:$B$295,generator!$Q$2:$Q$295,"ARGH")</f>
        <v>143</v>
      </c>
      <c r="HG34" s="3" t="str">
        <f>_xlfn.XLOOKUP(HG$1,generator!$B$2:$B$295,generator!$Q$2:$Q$295,"ARGH")</f>
        <v>143</v>
      </c>
      <c r="HH34" s="3" t="str">
        <f>_xlfn.XLOOKUP(HH$1,generator!$B$2:$B$295,generator!$Q$2:$Q$295,"ARGH")</f>
        <v>143</v>
      </c>
      <c r="HI34" s="3" t="str">
        <f>_xlfn.XLOOKUP(HI$1,generator!$B$2:$B$295,generator!$Q$2:$Q$295,"ARGH")</f>
        <v>246.74</v>
      </c>
      <c r="HJ34" s="3" t="str">
        <f>_xlfn.XLOOKUP(HJ$1,generator!$B$2:$B$295,generator!$Q$2:$Q$295,"ARGH")</f>
        <v>246.74</v>
      </c>
      <c r="HK34" s="3" t="str">
        <f>_xlfn.XLOOKUP(HK$1,generator!$B$2:$B$295,generator!$Q$2:$Q$295,"ARGH")</f>
        <v>206.04</v>
      </c>
      <c r="HL34" s="3" t="str">
        <f>_xlfn.XLOOKUP(HL$1,generator!$B$2:$B$295,generator!$Q$2:$Q$295,"ARGH")</f>
        <v>506.96</v>
      </c>
      <c r="HM34" s="3" t="str">
        <f>_xlfn.XLOOKUP(HM$1,generator!$B$2:$B$295,generator!$Q$2:$Q$295,"ARGH")</f>
        <v>506.95</v>
      </c>
      <c r="HN34" s="3" t="str">
        <f>_xlfn.XLOOKUP(HN$1,generator!$B$2:$B$295,generator!$Q$2:$Q$295,"ARGH")</f>
        <v>190.97</v>
      </c>
      <c r="HO34" s="3" t="str">
        <f>_xlfn.XLOOKUP(HO$1,generator!$B$2:$B$295,generator!$Q$2:$Q$295,"ARGH")</f>
        <v>190.97</v>
      </c>
      <c r="HP34" s="3" t="str">
        <f>_xlfn.XLOOKUP(HP$1,generator!$B$2:$B$295,generator!$Q$2:$Q$295,"ARGH")</f>
        <v>424.84</v>
      </c>
      <c r="HQ34" s="3" t="str">
        <f>_xlfn.XLOOKUP(HQ$1,generator!$B$2:$B$295,generator!$Q$2:$Q$295,"ARGH")</f>
        <v>425.9</v>
      </c>
      <c r="HR34" s="3" t="str">
        <f>_xlfn.XLOOKUP(HR$1,generator!$B$2:$B$295,generator!$Q$2:$Q$295,"ARGH")</f>
        <v>425.9</v>
      </c>
      <c r="HS34" s="3" t="str">
        <f>_xlfn.XLOOKUP(HS$1,generator!$B$2:$B$295,generator!$Q$2:$Q$295,"ARGH")</f>
        <v>196.54</v>
      </c>
      <c r="HT34" s="3" t="str">
        <f>_xlfn.XLOOKUP(HT$1,generator!$B$2:$B$295,generator!$Q$2:$Q$295,"ARGH")</f>
        <v>196.54</v>
      </c>
      <c r="HU34" s="3" t="str">
        <f>_xlfn.XLOOKUP(HU$1,generator!$B$2:$B$295,generator!$Q$2:$Q$295,"ARGH")</f>
        <v>145.57</v>
      </c>
      <c r="HV34" s="3" t="str">
        <f>_xlfn.XLOOKUP(HV$1,generator!$B$2:$B$295,generator!$Q$2:$Q$295,"ARGH")</f>
        <v>132.62</v>
      </c>
      <c r="HW34" s="3" t="str">
        <f>_xlfn.XLOOKUP(HW$1,generator!$B$2:$B$295,generator!$Q$2:$Q$295,"ARGH")</f>
        <v>193.76</v>
      </c>
      <c r="HX34" s="3" t="str">
        <f>_xlfn.XLOOKUP(HX$1,generator!$B$2:$B$295,generator!$Q$2:$Q$295,"ARGH")</f>
        <v>193.76</v>
      </c>
      <c r="HY34" s="3" t="str">
        <f>_xlfn.XLOOKUP(HY$1,generator!$B$2:$B$295,generator!$Q$2:$Q$295,"ARGH")</f>
        <v>79.19</v>
      </c>
      <c r="HZ34" s="3" t="str">
        <f>_xlfn.XLOOKUP(HZ$1,generator!$B$2:$B$295,generator!$Q$2:$Q$295,"ARGH")</f>
        <v>125.79</v>
      </c>
      <c r="IA34" s="3" t="str">
        <f>_xlfn.XLOOKUP(IA$1,generator!$B$2:$B$295,generator!$Q$2:$Q$295,"ARGH")</f>
        <v>54.19</v>
      </c>
      <c r="IB34" s="3" t="str">
        <f>_xlfn.XLOOKUP(IB$1,generator!$B$2:$B$295,generator!$Q$2:$Q$295,"ARGH")</f>
        <v>59.7</v>
      </c>
      <c r="IC34" s="3">
        <f>_xlfn.XLOOKUP(IC$1,generator!$B$2:$B$295,generator!$Q$2:$Q$295,"ARGH")</f>
        <v>0</v>
      </c>
      <c r="ID34" s="3" t="str">
        <f>_xlfn.XLOOKUP(ID$1,generator!$B$2:$B$295,generator!$Q$2:$Q$295,"ARGH")</f>
        <v>121.14</v>
      </c>
      <c r="IE34" s="3" t="str">
        <f>_xlfn.XLOOKUP(IE$1,generator!$B$2:$B$295,generator!$Q$2:$Q$295,"ARGH")</f>
        <v>26.6</v>
      </c>
      <c r="IF34" s="3">
        <f>_xlfn.XLOOKUP(IF$1,generator!$B$2:$B$295,generator!$Q$2:$Q$295,"ARGH")</f>
        <v>8000</v>
      </c>
      <c r="IG34" s="3">
        <f>_xlfn.XLOOKUP(IG$1,generator!$B$2:$B$295,generator!$Q$2:$Q$295,"ARGH")</f>
        <v>8000</v>
      </c>
      <c r="IH34" s="3">
        <f>_xlfn.XLOOKUP(IH$1,generator!$B$2:$B$295,generator!$Q$2:$Q$295,"ARGH")</f>
        <v>8000</v>
      </c>
      <c r="II34" s="3">
        <f>_xlfn.XLOOKUP(II$1,generator!$B$2:$B$295,generator!$Q$2:$Q$295,"ARGH")</f>
        <v>8000</v>
      </c>
      <c r="IJ34" s="3">
        <f>_xlfn.XLOOKUP(IJ$1,generator!$B$2:$B$295,generator!$Q$2:$Q$295,"ARGH")</f>
        <v>8000</v>
      </c>
      <c r="IK34" s="3">
        <f>_xlfn.XLOOKUP(IK$1,generator!$B$2:$B$295,generator!$Q$2:$Q$295,"ARGH")</f>
        <v>8000</v>
      </c>
      <c r="IL34" s="3">
        <f>_xlfn.XLOOKUP(IL$1,generator!$B$2:$B$295,generator!$Q$2:$Q$295,"ARGH")</f>
        <v>8000</v>
      </c>
      <c r="IM34" s="3">
        <f>_xlfn.XLOOKUP(IM$1,generator!$B$2:$B$295,generator!$Q$2:$Q$295,"ARGH")</f>
        <v>8000</v>
      </c>
      <c r="IN34" s="3">
        <f>_xlfn.XLOOKUP(IN$1,generator!$B$2:$B$295,generator!$Q$2:$Q$295,"ARGH")</f>
        <v>8000</v>
      </c>
      <c r="IO34" s="3">
        <f>_xlfn.XLOOKUP(IO$1,generator!$B$2:$B$295,generator!$Q$2:$Q$295,"ARGH")</f>
        <v>8000</v>
      </c>
      <c r="IP34" s="3">
        <f>_xlfn.XLOOKUP(IP$1,generator!$B$2:$B$295,generator!$Q$2:$Q$295,"ARGH")</f>
        <v>8000</v>
      </c>
      <c r="IQ34" s="3">
        <f>_xlfn.XLOOKUP(IQ$1,generator!$B$2:$B$295,generator!$Q$2:$Q$295,"ARGH")</f>
        <v>8000</v>
      </c>
      <c r="IR34" s="3">
        <f>_xlfn.XLOOKUP(IR$1,generator!$B$2:$B$295,generator!$Q$2:$Q$295,"ARGH")</f>
        <v>8000</v>
      </c>
      <c r="IS34" s="3">
        <f>_xlfn.XLOOKUP(IS$1,generator!$B$2:$B$295,generator!$Q$2:$Q$295,"ARGH")</f>
        <v>8000</v>
      </c>
      <c r="IT34" s="3">
        <f>_xlfn.XLOOKUP(IT$1,generator!$B$2:$B$295,generator!$Q$2:$Q$295,"ARGH")</f>
        <v>8000</v>
      </c>
      <c r="IU34" s="3">
        <f>_xlfn.XLOOKUP(IU$1,generator!$B$2:$B$295,generator!$Q$2:$Q$295,"ARGH")</f>
        <v>8000</v>
      </c>
      <c r="IV34" s="3">
        <f>_xlfn.XLOOKUP(IV$1,generator!$B$2:$B$295,generator!$Q$2:$Q$295,"ARGH")</f>
        <v>8000</v>
      </c>
      <c r="IW34" s="3" t="str">
        <f>_xlfn.XLOOKUP(IW$1,generator!$B$2:$B$295,generator!$Q$2:$Q$295,"ARGH")</f>
        <v>108.19</v>
      </c>
      <c r="IX34" s="3" t="str">
        <f>_xlfn.XLOOKUP(IX$1,generator!$B$2:$B$295,generator!$Q$2:$Q$295,"ARGH")</f>
        <v>108.18</v>
      </c>
      <c r="IY34" s="3" t="str">
        <f>_xlfn.XLOOKUP(IY$1,generator!$B$2:$B$295,generator!$Q$2:$Q$295,"ARGH")</f>
        <v>108.17</v>
      </c>
      <c r="IZ34" s="3" t="str">
        <f>_xlfn.XLOOKUP(IZ$1,generator!$B$2:$B$295,generator!$Q$2:$Q$295,"ARGH")</f>
        <v>40.96</v>
      </c>
      <c r="JA34" s="3">
        <f>_xlfn.XLOOKUP(JA$1,generator!$B$2:$B$295,generator!$Q$2:$Q$295,"ARGH")</f>
        <v>0</v>
      </c>
      <c r="JB34" s="3">
        <f>_xlfn.XLOOKUP(JB$1,generator!$B$2:$B$295,generator!$Q$2:$Q$295,"ARGH")</f>
        <v>0</v>
      </c>
      <c r="JC34" s="3" t="str">
        <f>_xlfn.XLOOKUP(JC$1,generator!$B$2:$B$295,generator!$Q$2:$Q$295,"ARGH")</f>
        <v>75.91</v>
      </c>
      <c r="JD34" s="3" t="str">
        <f>_xlfn.XLOOKUP(JD$1,generator!$B$2:$B$295,generator!$Q$2:$Q$295,"ARGH")</f>
        <v>75.91</v>
      </c>
      <c r="JE34" s="3" t="str">
        <f>_xlfn.XLOOKUP(JE$1,generator!$B$2:$B$295,generator!$Q$2:$Q$295,"ARGH")</f>
        <v>51.59</v>
      </c>
      <c r="JF34" s="3" t="str">
        <f>_xlfn.XLOOKUP(JF$1,generator!$B$2:$B$295,generator!$Q$2:$Q$295,"ARGH")</f>
        <v>111.57</v>
      </c>
      <c r="JG34" s="3">
        <f>_xlfn.XLOOKUP(JG$1,generator!$B$2:$B$295,generator!$Q$2:$Q$295,"ARGH")</f>
        <v>0</v>
      </c>
      <c r="JH34" s="3" t="str">
        <f>_xlfn.XLOOKUP(JH$1,generator!$B$2:$B$295,generator!$Q$2:$Q$295,"ARGH")</f>
        <v>48.65</v>
      </c>
      <c r="JI34" s="3" t="str">
        <f>_xlfn.XLOOKUP(JI$1,generator!$B$2:$B$295,generator!$Q$2:$Q$295,"ARGH")</f>
        <v>71.88</v>
      </c>
      <c r="JJ34" s="3" t="str">
        <f>_xlfn.XLOOKUP(JJ$1,generator!$B$2:$B$295,generator!$Q$2:$Q$295,"ARGH")</f>
        <v>98.17</v>
      </c>
      <c r="JK34" s="3" t="str">
        <f>_xlfn.XLOOKUP(JK$1,generator!$B$2:$B$295,generator!$Q$2:$Q$295,"ARGH")</f>
        <v>98.17</v>
      </c>
      <c r="JL34" s="3" t="str">
        <f>_xlfn.XLOOKUP(JL$1,generator!$B$2:$B$295,generator!$Q$2:$Q$295,"ARGH")</f>
        <v>98.17</v>
      </c>
      <c r="JM34" s="3" t="str">
        <f>_xlfn.XLOOKUP(JM$1,generator!$B$2:$B$295,generator!$Q$2:$Q$295,"ARGH")</f>
        <v>98.17</v>
      </c>
      <c r="JN34" s="3" t="str">
        <f>_xlfn.XLOOKUP(JN$1,generator!$B$2:$B$295,generator!$Q$2:$Q$295,"ARGH")</f>
        <v>98.17</v>
      </c>
      <c r="JO34" s="3" t="str">
        <f>_xlfn.XLOOKUP(JO$1,generator!$B$2:$B$295,generator!$Q$2:$Q$295,"ARGH")</f>
        <v>98.17</v>
      </c>
      <c r="JP34" s="3" t="str">
        <f>_xlfn.XLOOKUP(JP$1,generator!$B$2:$B$295,generator!$Q$2:$Q$295,"ARGH")</f>
        <v>47.53</v>
      </c>
      <c r="JQ34" s="3" t="str">
        <f>_xlfn.XLOOKUP(JQ$1,generator!$B$2:$B$295,generator!$Q$2:$Q$295,"ARGH")</f>
        <v>108.86</v>
      </c>
      <c r="JR34" s="3" t="str">
        <f>_xlfn.XLOOKUP(JR$1,generator!$B$2:$B$295,generator!$Q$2:$Q$295,"ARGH")</f>
        <v>83.15</v>
      </c>
      <c r="JS34" s="3" t="str">
        <f>_xlfn.XLOOKUP(JS$1,generator!$B$2:$B$295,generator!$Q$2:$Q$295,"ARGH")</f>
        <v>83.15</v>
      </c>
      <c r="JT34" s="3" t="str">
        <f>_xlfn.XLOOKUP(JT$1,generator!$B$2:$B$295,generator!$Q$2:$Q$295,"ARGH")</f>
        <v>108.86</v>
      </c>
      <c r="JU34" s="3">
        <f>_xlfn.XLOOKUP(JU$1,generator!$B$2:$B$295,generator!$Q$2:$Q$295,"ARGH")</f>
        <v>0</v>
      </c>
      <c r="JV34" s="3" t="str">
        <f>_xlfn.XLOOKUP(JV$1,generator!$B$2:$B$295,generator!$Q$2:$Q$295,"ARGH")</f>
        <v>77.63</v>
      </c>
      <c r="JW34" s="3" t="str">
        <f>_xlfn.XLOOKUP(JW$1,generator!$B$2:$B$295,generator!$Q$2:$Q$295,"ARGH")</f>
        <v>77.64</v>
      </c>
      <c r="JX34" s="3" t="str">
        <f>_xlfn.XLOOKUP(JX$1,generator!$B$2:$B$295,generator!$Q$2:$Q$295,"ARGH")</f>
        <v>331.49</v>
      </c>
      <c r="JY34" s="3">
        <f>_xlfn.XLOOKUP(JY$1,generator!$B$2:$B$295,generator!$Q$2:$Q$295,"ARGH")</f>
        <v>7000</v>
      </c>
      <c r="JZ34" s="3">
        <f>_xlfn.XLOOKUP(JZ$1,generator!$B$2:$B$295,generator!$Q$2:$Q$295,"ARGH")</f>
        <v>0</v>
      </c>
      <c r="KA34" s="3">
        <f>_xlfn.XLOOKUP(KA$1,generator!$B$2:$B$295,generator!$Q$2:$Q$295,"ARGH")</f>
        <v>0</v>
      </c>
      <c r="KB34" s="3">
        <f>_xlfn.XLOOKUP(KB$1,generator!$B$2:$B$295,generator!$Q$2:$Q$295,"ARGH")</f>
        <v>0</v>
      </c>
      <c r="KC34" s="3">
        <f>_xlfn.XLOOKUP(KC$1,generator!$B$2:$B$295,generator!$Q$2:$Q$295,"ARGH")</f>
        <v>0</v>
      </c>
    </row>
    <row r="35" spans="1:289" x14ac:dyDescent="0.3">
      <c r="A35" s="4" t="s">
        <v>3030</v>
      </c>
      <c r="B35" s="3">
        <v>15000</v>
      </c>
      <c r="C35" s="3">
        <v>15000</v>
      </c>
      <c r="D35" s="3">
        <v>15000</v>
      </c>
      <c r="E35" s="3">
        <f>_xlfn.XLOOKUP(E$1,generator!$B$2:$B$295,generator!$Q$2:$Q$295,"ARGH")</f>
        <v>9000</v>
      </c>
      <c r="F35" s="3">
        <f>_xlfn.XLOOKUP(F$1,generator!$B$2:$B$295,generator!$Q$2:$Q$295,"ARGH")</f>
        <v>9000</v>
      </c>
      <c r="G35" s="3">
        <f>_xlfn.XLOOKUP(G$1,generator!$B$2:$B$295,generator!$Q$2:$Q$295,"ARGH")</f>
        <v>9000</v>
      </c>
      <c r="H35" s="3">
        <f>_xlfn.XLOOKUP(H$1,generator!$B$2:$B$295,generator!$Q$2:$Q$295,"ARGH")</f>
        <v>9000</v>
      </c>
      <c r="I35" s="3">
        <f>_xlfn.XLOOKUP(I$1,generator!$B$2:$B$295,generator!$Q$2:$Q$295,"ARGH")</f>
        <v>9000</v>
      </c>
      <c r="J35" s="3">
        <f>_xlfn.XLOOKUP(J$1,generator!$B$2:$B$295,generator!$Q$2:$Q$295,"ARGH")</f>
        <v>9000</v>
      </c>
      <c r="K35" s="3">
        <f>_xlfn.XLOOKUP(K$1,generator!$B$2:$B$295,generator!$Q$2:$Q$295,"ARGH")</f>
        <v>9000</v>
      </c>
      <c r="L35" s="3">
        <f>_xlfn.XLOOKUP(L$1,generator!$B$2:$B$295,generator!$Q$2:$Q$295,"ARGH")</f>
        <v>9000</v>
      </c>
      <c r="M35" s="3">
        <f>_xlfn.XLOOKUP(M$1,generator!$B$2:$B$295,generator!$Q$2:$Q$295,"ARGH")</f>
        <v>9000</v>
      </c>
      <c r="N35" s="3">
        <f>_xlfn.XLOOKUP(N$1,generator!$B$2:$B$295,generator!$Q$2:$Q$295,"ARGH")</f>
        <v>9000</v>
      </c>
      <c r="O35" s="3">
        <f>_xlfn.XLOOKUP(O$1,generator!$B$2:$B$295,generator!$Q$2:$Q$295,"ARGH")</f>
        <v>9000</v>
      </c>
      <c r="P35" s="3">
        <f>_xlfn.XLOOKUP(P$1,generator!$B$2:$B$295,generator!$Q$2:$Q$295,"ARGH")</f>
        <v>9000</v>
      </c>
      <c r="Q35" s="3">
        <f>_xlfn.XLOOKUP(Q$1,generator!$B$2:$B$295,generator!$Q$2:$Q$295,"ARGH")</f>
        <v>9000</v>
      </c>
      <c r="R35" s="3">
        <f>_xlfn.XLOOKUP(R$1,generator!$B$2:$B$295,generator!$Q$2:$Q$295,"ARGH")</f>
        <v>9000</v>
      </c>
      <c r="S35" s="3">
        <f>_xlfn.XLOOKUP(S$1,generator!$B$2:$B$295,generator!$Q$2:$Q$295,"ARGH")</f>
        <v>9000</v>
      </c>
      <c r="T35" s="3">
        <f>_xlfn.XLOOKUP(T$1,generator!$B$2:$B$295,generator!$Q$2:$Q$295,"ARGH")</f>
        <v>9000</v>
      </c>
      <c r="U35" s="3">
        <f>_xlfn.XLOOKUP(U$1,generator!$B$2:$B$295,generator!$Q$2:$Q$295,"ARGH")</f>
        <v>9000</v>
      </c>
      <c r="V35" s="3">
        <f>_xlfn.XLOOKUP(V$1,generator!$B$2:$B$295,generator!$Q$2:$Q$295,"ARGH")</f>
        <v>9000</v>
      </c>
      <c r="W35" s="3">
        <f>_xlfn.XLOOKUP(W$1,generator!$B$2:$B$295,generator!$Q$2:$Q$295,"ARGH")</f>
        <v>9000</v>
      </c>
      <c r="X35" s="3">
        <f>_xlfn.XLOOKUP(X$1,generator!$B$2:$B$295,generator!$Q$2:$Q$295,"ARGH")</f>
        <v>9000</v>
      </c>
      <c r="Y35" s="3">
        <f>_xlfn.XLOOKUP(Y$1,generator!$B$2:$B$295,generator!$Q$2:$Q$295,"ARGH")</f>
        <v>9000</v>
      </c>
      <c r="Z35" s="3">
        <f>_xlfn.XLOOKUP(Z$1,generator!$B$2:$B$295,generator!$Q$2:$Q$295,"ARGH")</f>
        <v>9000</v>
      </c>
      <c r="AA35" s="3">
        <f>_xlfn.XLOOKUP(AA$1,generator!$B$2:$B$295,generator!$Q$2:$Q$295,"ARGH")</f>
        <v>9000</v>
      </c>
      <c r="AB35" s="3">
        <f>_xlfn.XLOOKUP(AB$1,generator!$B$2:$B$295,generator!$Q$2:$Q$295,"ARGH")</f>
        <v>9000</v>
      </c>
      <c r="AC35" s="3">
        <f>_xlfn.XLOOKUP(AC$1,generator!$B$2:$B$295,generator!$Q$2:$Q$295,"ARGH")</f>
        <v>9000</v>
      </c>
      <c r="AD35" s="3">
        <f>_xlfn.XLOOKUP(AD$1,generator!$B$2:$B$295,generator!$Q$2:$Q$295,"ARGH")</f>
        <v>9000</v>
      </c>
      <c r="AE35" s="3">
        <f>_xlfn.XLOOKUP(AE$1,generator!$B$2:$B$295,generator!$Q$2:$Q$295,"ARGH")</f>
        <v>9000</v>
      </c>
      <c r="AF35" s="3">
        <f>_xlfn.XLOOKUP(AF$1,generator!$B$2:$B$295,generator!$Q$2:$Q$295,"ARGH")</f>
        <v>9000</v>
      </c>
      <c r="AG35" s="3">
        <f>_xlfn.XLOOKUP(AG$1,generator!$B$2:$B$295,generator!$Q$2:$Q$295,"ARGH")</f>
        <v>9000</v>
      </c>
      <c r="AH35" s="3">
        <f>_xlfn.XLOOKUP(AH$1,generator!$B$2:$B$295,generator!$Q$2:$Q$295,"ARGH")</f>
        <v>9000</v>
      </c>
      <c r="AI35" s="3">
        <f>_xlfn.XLOOKUP(AI$1,generator!$B$2:$B$295,generator!$Q$2:$Q$295,"ARGH")</f>
        <v>9000</v>
      </c>
      <c r="AJ35" s="3">
        <f>_xlfn.XLOOKUP(AJ$1,generator!$B$2:$B$295,generator!$Q$2:$Q$295,"ARGH")</f>
        <v>9000</v>
      </c>
      <c r="AK35" s="3">
        <f>_xlfn.XLOOKUP(AK$1,generator!$B$2:$B$295,generator!$Q$2:$Q$295,"ARGH")</f>
        <v>9000</v>
      </c>
      <c r="AL35" s="3">
        <f>_xlfn.XLOOKUP(AL$1,generator!$B$2:$B$295,generator!$Q$2:$Q$295,"ARGH")</f>
        <v>9000</v>
      </c>
      <c r="AM35" s="3">
        <f>_xlfn.XLOOKUP(AM$1,generator!$B$2:$B$295,generator!$Q$2:$Q$295,"ARGH")</f>
        <v>9000</v>
      </c>
      <c r="AN35" s="3">
        <f>_xlfn.XLOOKUP(AN$1,generator!$B$2:$B$295,generator!$Q$2:$Q$295,"ARGH")</f>
        <v>9000</v>
      </c>
      <c r="AO35" s="3">
        <f>_xlfn.XLOOKUP(AO$1,generator!$B$2:$B$295,generator!$Q$2:$Q$295,"ARGH")</f>
        <v>9000</v>
      </c>
      <c r="AP35" s="3">
        <f>_xlfn.XLOOKUP(AP$1,generator!$B$2:$B$295,generator!$Q$2:$Q$295,"ARGH")</f>
        <v>9000</v>
      </c>
      <c r="AQ35" s="3">
        <f>_xlfn.XLOOKUP(AQ$1,generator!$B$2:$B$295,generator!$Q$2:$Q$295,"ARGH")</f>
        <v>9000</v>
      </c>
      <c r="AR35" s="3">
        <f>_xlfn.XLOOKUP(AR$1,generator!$B$2:$B$295,generator!$Q$2:$Q$295,"ARGH")</f>
        <v>9000</v>
      </c>
      <c r="AS35" s="3">
        <f>_xlfn.XLOOKUP(AS$1,generator!$B$2:$B$295,generator!$Q$2:$Q$295,"ARGH")</f>
        <v>9000</v>
      </c>
      <c r="AT35" s="3">
        <f>_xlfn.XLOOKUP(AT$1,generator!$B$2:$B$295,generator!$Q$2:$Q$295,"ARGH")</f>
        <v>9000</v>
      </c>
      <c r="AU35" s="3">
        <f>_xlfn.XLOOKUP(AU$1,generator!$B$2:$B$295,generator!$Q$2:$Q$295,"ARGH")</f>
        <v>9000</v>
      </c>
      <c r="AV35" s="3">
        <f>_xlfn.XLOOKUP(AV$1,generator!$B$2:$B$295,generator!$Q$2:$Q$295,"ARGH")</f>
        <v>9000</v>
      </c>
      <c r="AW35" s="3">
        <f>_xlfn.XLOOKUP(AW$1,generator!$B$2:$B$295,generator!$Q$2:$Q$295,"ARGH")</f>
        <v>9000</v>
      </c>
      <c r="AX35" s="3">
        <f>_xlfn.XLOOKUP(AX$1,generator!$B$2:$B$295,generator!$Q$2:$Q$295,"ARGH")</f>
        <v>9000</v>
      </c>
      <c r="AY35" s="3">
        <f>_xlfn.XLOOKUP(AY$1,generator!$B$2:$B$295,generator!$Q$2:$Q$295,"ARGH")</f>
        <v>9000</v>
      </c>
      <c r="AZ35" s="3">
        <f>_xlfn.XLOOKUP(AZ$1,generator!$B$2:$B$295,generator!$Q$2:$Q$295,"ARGH")</f>
        <v>9000</v>
      </c>
      <c r="BA35" s="3">
        <f>_xlfn.XLOOKUP(BA$1,generator!$B$2:$B$295,generator!$Q$2:$Q$295,"ARGH")</f>
        <v>9000</v>
      </c>
      <c r="BB35" s="3">
        <f>_xlfn.XLOOKUP(BB$1,generator!$B$2:$B$295,generator!$Q$2:$Q$295,"ARGH")</f>
        <v>9000</v>
      </c>
      <c r="BC35" s="3">
        <f>_xlfn.XLOOKUP(BC$1,generator!$B$2:$B$295,generator!$Q$2:$Q$295,"ARGH")</f>
        <v>9000</v>
      </c>
      <c r="BD35" s="3">
        <f>_xlfn.XLOOKUP(BD$1,generator!$B$2:$B$295,generator!$Q$2:$Q$295,"ARGH")</f>
        <v>9000</v>
      </c>
      <c r="BE35" s="3">
        <f>_xlfn.XLOOKUP(BE$1,generator!$B$2:$B$295,generator!$Q$2:$Q$295,"ARGH")</f>
        <v>9000</v>
      </c>
      <c r="BF35" s="3">
        <f>_xlfn.XLOOKUP(BF$1,generator!$B$2:$B$295,generator!$Q$2:$Q$295,"ARGH")</f>
        <v>9000</v>
      </c>
      <c r="BG35" s="3">
        <f>_xlfn.XLOOKUP(BG$1,generator!$B$2:$B$295,generator!$Q$2:$Q$295,"ARGH")</f>
        <v>9000</v>
      </c>
      <c r="BH35" s="3">
        <f>_xlfn.XLOOKUP(BH$1,generator!$B$2:$B$295,generator!$Q$2:$Q$295,"ARGH")</f>
        <v>9000</v>
      </c>
      <c r="BI35" s="3">
        <f>_xlfn.XLOOKUP(BI$1,generator!$B$2:$B$295,generator!$Q$2:$Q$295,"ARGH")</f>
        <v>9000</v>
      </c>
      <c r="BJ35" s="3">
        <f>_xlfn.XLOOKUP(BJ$1,generator!$B$2:$B$295,generator!$Q$2:$Q$295,"ARGH")</f>
        <v>9000</v>
      </c>
      <c r="BK35" s="3">
        <f>_xlfn.XLOOKUP(BK$1,generator!$B$2:$B$295,generator!$Q$2:$Q$295,"ARGH")</f>
        <v>9000</v>
      </c>
      <c r="BL35" s="3">
        <f>_xlfn.XLOOKUP(BL$1,generator!$B$2:$B$295,generator!$Q$2:$Q$295,"ARGH")</f>
        <v>9000</v>
      </c>
      <c r="BM35" s="3">
        <f>_xlfn.XLOOKUP(BM$1,generator!$B$2:$B$295,generator!$Q$2:$Q$295,"ARGH")</f>
        <v>9000</v>
      </c>
      <c r="BN35" s="3">
        <f>_xlfn.XLOOKUP(BN$1,generator!$B$2:$B$295,generator!$Q$2:$Q$295,"ARGH")</f>
        <v>9000</v>
      </c>
      <c r="BO35" s="3">
        <f>_xlfn.XLOOKUP(BO$1,generator!$B$2:$B$295,generator!$Q$2:$Q$295,"ARGH")</f>
        <v>9000</v>
      </c>
      <c r="BP35" s="3">
        <f>_xlfn.XLOOKUP(BP$1,generator!$B$2:$B$295,generator!$Q$2:$Q$295,"ARGH")</f>
        <v>9000</v>
      </c>
      <c r="BQ35" s="3">
        <f>_xlfn.XLOOKUP(BQ$1,generator!$B$2:$B$295,generator!$Q$2:$Q$295,"ARGH")</f>
        <v>9000</v>
      </c>
      <c r="BR35" s="3">
        <f>_xlfn.XLOOKUP(BR$1,generator!$B$2:$B$295,generator!$Q$2:$Q$295,"ARGH")</f>
        <v>9000</v>
      </c>
      <c r="BS35" s="3">
        <f>_xlfn.XLOOKUP(BS$1,generator!$B$2:$B$295,generator!$Q$2:$Q$295,"ARGH")</f>
        <v>9000</v>
      </c>
      <c r="BT35" s="3">
        <f>_xlfn.XLOOKUP(BT$1,generator!$B$2:$B$295,generator!$Q$2:$Q$295,"ARGH")</f>
        <v>9000</v>
      </c>
      <c r="BU35" s="3">
        <f>_xlfn.XLOOKUP(BU$1,generator!$B$2:$B$295,generator!$Q$2:$Q$295,"ARGH")</f>
        <v>9000</v>
      </c>
      <c r="BV35" s="3">
        <f>_xlfn.XLOOKUP(BV$1,generator!$B$2:$B$295,generator!$Q$2:$Q$295,"ARGH")</f>
        <v>9000</v>
      </c>
      <c r="BW35" s="3">
        <f>_xlfn.XLOOKUP(BW$1,generator!$B$2:$B$295,generator!$Q$2:$Q$295,"ARGH")</f>
        <v>9000</v>
      </c>
      <c r="BX35" s="3">
        <f>_xlfn.XLOOKUP(BX$1,generator!$B$2:$B$295,generator!$Q$2:$Q$295,"ARGH")</f>
        <v>9000</v>
      </c>
      <c r="BY35" s="3">
        <f>_xlfn.XLOOKUP(BY$1,generator!$B$2:$B$295,generator!$Q$2:$Q$295,"ARGH")</f>
        <v>9000</v>
      </c>
      <c r="BZ35" s="3">
        <f>_xlfn.XLOOKUP(BZ$1,generator!$B$2:$B$295,generator!$Q$2:$Q$295,"ARGH")</f>
        <v>9000</v>
      </c>
      <c r="CA35" s="3">
        <f>_xlfn.XLOOKUP(CA$1,generator!$B$2:$B$295,generator!$Q$2:$Q$295,"ARGH")</f>
        <v>9000</v>
      </c>
      <c r="CB35" s="3">
        <f>_xlfn.XLOOKUP(CB$1,generator!$B$2:$B$295,generator!$Q$2:$Q$295,"ARGH")</f>
        <v>9000</v>
      </c>
      <c r="CC35" s="3">
        <f>_xlfn.XLOOKUP(CC$1,generator!$B$2:$B$295,generator!$Q$2:$Q$295,"ARGH")</f>
        <v>9000</v>
      </c>
      <c r="CD35" s="3">
        <f>_xlfn.XLOOKUP(CD$1,generator!$B$2:$B$295,generator!$Q$2:$Q$295,"ARGH")</f>
        <v>9000</v>
      </c>
      <c r="CE35" s="3">
        <f>_xlfn.XLOOKUP(CE$1,generator!$B$2:$B$295,generator!$Q$2:$Q$295,"ARGH")</f>
        <v>9000</v>
      </c>
      <c r="CF35" s="3">
        <f>_xlfn.XLOOKUP(CF$1,generator!$B$2:$B$295,generator!$Q$2:$Q$295,"ARGH")</f>
        <v>9000</v>
      </c>
      <c r="CG35" s="3">
        <f>_xlfn.XLOOKUP(CG$1,generator!$B$2:$B$295,generator!$Q$2:$Q$295,"ARGH")</f>
        <v>9000</v>
      </c>
      <c r="CH35" s="3">
        <f>_xlfn.XLOOKUP(CH$1,generator!$B$2:$B$295,generator!$Q$2:$Q$295,"ARGH")</f>
        <v>9000</v>
      </c>
      <c r="CI35" s="3">
        <f>_xlfn.XLOOKUP(CI$1,generator!$B$2:$B$295,generator!$Q$2:$Q$295,"ARGH")</f>
        <v>9000</v>
      </c>
      <c r="CJ35" s="3">
        <f>_xlfn.XLOOKUP(CJ$1,generator!$B$2:$B$295,generator!$Q$2:$Q$295,"ARGH")</f>
        <v>9000</v>
      </c>
      <c r="CK35" s="3">
        <f>_xlfn.XLOOKUP(CK$1,generator!$B$2:$B$295,generator!$Q$2:$Q$295,"ARGH")</f>
        <v>9000</v>
      </c>
      <c r="CL35" s="3">
        <f>_xlfn.XLOOKUP(CL$1,generator!$B$2:$B$295,generator!$Q$2:$Q$295,"ARGH")</f>
        <v>9000</v>
      </c>
      <c r="CM35" s="3">
        <f>_xlfn.XLOOKUP(CM$1,generator!$B$2:$B$295,generator!$Q$2:$Q$295,"ARGH")</f>
        <v>9000</v>
      </c>
      <c r="CN35" s="3">
        <f>_xlfn.XLOOKUP(CN$1,generator!$B$2:$B$295,generator!$Q$2:$Q$295,"ARGH")</f>
        <v>9000</v>
      </c>
      <c r="CO35" s="3">
        <f>_xlfn.XLOOKUP(CO$1,generator!$B$2:$B$295,generator!$Q$2:$Q$295,"ARGH")</f>
        <v>9000</v>
      </c>
      <c r="CP35" s="3">
        <f>_xlfn.XLOOKUP(CP$1,generator!$B$2:$B$295,generator!$Q$2:$Q$295,"ARGH")</f>
        <v>9000</v>
      </c>
      <c r="CQ35" s="3">
        <f>_xlfn.XLOOKUP(CQ$1,generator!$B$2:$B$295,generator!$Q$2:$Q$295,"ARGH")</f>
        <v>9000</v>
      </c>
      <c r="CR35" s="3">
        <f>_xlfn.XLOOKUP(CR$1,generator!$B$2:$B$295,generator!$Q$2:$Q$295,"ARGH")</f>
        <v>9000</v>
      </c>
      <c r="CS35" s="3">
        <f>_xlfn.XLOOKUP(CS$1,generator!$B$2:$B$295,generator!$Q$2:$Q$295,"ARGH")</f>
        <v>9000</v>
      </c>
      <c r="CT35" s="3">
        <f>_xlfn.XLOOKUP(CT$1,generator!$B$2:$B$295,generator!$Q$2:$Q$295,"ARGH")</f>
        <v>9000</v>
      </c>
      <c r="CU35" s="3">
        <f>_xlfn.XLOOKUP(CU$1,generator!$B$2:$B$295,generator!$Q$2:$Q$295,"ARGH")</f>
        <v>9000</v>
      </c>
      <c r="CV35" s="3">
        <f>_xlfn.XLOOKUP(CV$1,generator!$B$2:$B$295,generator!$Q$2:$Q$295,"ARGH")</f>
        <v>9000</v>
      </c>
      <c r="CW35" s="3">
        <f>_xlfn.XLOOKUP(CW$1,generator!$B$2:$B$295,generator!$Q$2:$Q$295,"ARGH")</f>
        <v>9000</v>
      </c>
      <c r="CX35" s="3">
        <f>_xlfn.XLOOKUP(CX$1,generator!$B$2:$B$295,generator!$Q$2:$Q$295,"ARGH")</f>
        <v>9000</v>
      </c>
      <c r="CY35" s="3">
        <f>_xlfn.XLOOKUP(CY$1,generator!$B$2:$B$295,generator!$Q$2:$Q$295,"ARGH")</f>
        <v>9000</v>
      </c>
      <c r="CZ35" s="3">
        <f>_xlfn.XLOOKUP(CZ$1,generator!$B$2:$B$295,generator!$Q$2:$Q$295,"ARGH")</f>
        <v>9000</v>
      </c>
      <c r="DA35" s="3">
        <f>_xlfn.XLOOKUP(DA$1,generator!$B$2:$B$295,generator!$Q$2:$Q$295,"ARGH")</f>
        <v>9000</v>
      </c>
      <c r="DB35" s="3">
        <f>_xlfn.XLOOKUP(DB$1,generator!$B$2:$B$295,generator!$Q$2:$Q$295,"ARGH")</f>
        <v>9000</v>
      </c>
      <c r="DC35" s="3">
        <f>_xlfn.XLOOKUP(DC$1,generator!$B$2:$B$295,generator!$Q$2:$Q$295,"ARGH")</f>
        <v>9000</v>
      </c>
      <c r="DD35" s="3">
        <f>_xlfn.XLOOKUP(DD$1,generator!$B$2:$B$295,generator!$Q$2:$Q$295,"ARGH")</f>
        <v>9000</v>
      </c>
      <c r="DE35" s="3">
        <f>_xlfn.XLOOKUP(DE$1,generator!$B$2:$B$295,generator!$Q$2:$Q$295,"ARGH")</f>
        <v>9000</v>
      </c>
      <c r="DF35" s="3">
        <f>_xlfn.XLOOKUP(DF$1,generator!$B$2:$B$295,generator!$Q$2:$Q$295,"ARGH")</f>
        <v>9000</v>
      </c>
      <c r="DG35" s="3">
        <f>_xlfn.XLOOKUP(DG$1,generator!$B$2:$B$295,generator!$Q$2:$Q$295,"ARGH")</f>
        <v>9000</v>
      </c>
      <c r="DH35" s="3">
        <f>_xlfn.XLOOKUP(DH$1,generator!$B$2:$B$295,generator!$Q$2:$Q$295,"ARGH")</f>
        <v>9000</v>
      </c>
      <c r="DI35" s="3">
        <f>_xlfn.XLOOKUP(DI$1,generator!$B$2:$B$295,generator!$Q$2:$Q$295,"ARGH")</f>
        <v>9000</v>
      </c>
      <c r="DJ35" s="3">
        <f>_xlfn.XLOOKUP(DJ$1,generator!$B$2:$B$295,generator!$Q$2:$Q$295,"ARGH")</f>
        <v>9000</v>
      </c>
      <c r="DK35" s="3">
        <f>_xlfn.XLOOKUP(DK$1,generator!$B$2:$B$295,generator!$Q$2:$Q$295,"ARGH")</f>
        <v>9000</v>
      </c>
      <c r="DL35" s="3">
        <f>_xlfn.XLOOKUP(DL$1,generator!$B$2:$B$295,generator!$Q$2:$Q$295,"ARGH")</f>
        <v>9000</v>
      </c>
      <c r="DM35" s="3">
        <f>_xlfn.XLOOKUP(DM$1,generator!$B$2:$B$295,generator!$Q$2:$Q$295,"ARGH")</f>
        <v>9000</v>
      </c>
      <c r="DN35" s="3">
        <f>_xlfn.XLOOKUP(DN$1,generator!$B$2:$B$295,generator!$Q$2:$Q$295,"ARGH")</f>
        <v>9000</v>
      </c>
      <c r="DO35" s="3">
        <f>_xlfn.XLOOKUP(DO$1,generator!$B$2:$B$295,generator!$Q$2:$Q$295,"ARGH")</f>
        <v>9000</v>
      </c>
      <c r="DP35" s="3">
        <f>_xlfn.XLOOKUP(DP$1,generator!$B$2:$B$295,generator!$Q$2:$Q$295,"ARGH")</f>
        <v>9000</v>
      </c>
      <c r="DQ35" s="3">
        <f>_xlfn.XLOOKUP(DQ$1,generator!$B$2:$B$295,generator!$Q$2:$Q$295,"ARGH")</f>
        <v>9000</v>
      </c>
      <c r="DR35" s="3">
        <f>_xlfn.XLOOKUP(DR$1,generator!$B$2:$B$295,generator!$Q$2:$Q$295,"ARGH")</f>
        <v>9000</v>
      </c>
      <c r="DS35" s="3">
        <f>_xlfn.XLOOKUP(DS$1,generator!$B$2:$B$295,generator!$Q$2:$Q$295,"ARGH")</f>
        <v>9000</v>
      </c>
      <c r="DT35" s="3">
        <f>_xlfn.XLOOKUP(DT$1,generator!$B$2:$B$295,generator!$Q$2:$Q$295,"ARGH")</f>
        <v>9000</v>
      </c>
      <c r="DU35" s="3">
        <f>_xlfn.XLOOKUP(DU$1,generator!$B$2:$B$295,generator!$Q$2:$Q$295,"ARGH")</f>
        <v>9000</v>
      </c>
      <c r="DV35" s="3">
        <f>_xlfn.XLOOKUP(DV$1,generator!$B$2:$B$295,generator!$Q$2:$Q$295,"ARGH")</f>
        <v>9000</v>
      </c>
      <c r="DW35" s="3">
        <f>_xlfn.XLOOKUP(DW$1,generator!$B$2:$B$295,generator!$Q$2:$Q$295,"ARGH")</f>
        <v>9000</v>
      </c>
      <c r="DX35" s="3">
        <f>_xlfn.XLOOKUP(DX$1,generator!$B$2:$B$295,generator!$Q$2:$Q$295,"ARGH")</f>
        <v>9000</v>
      </c>
      <c r="DY35" s="3">
        <f>_xlfn.XLOOKUP(DY$1,generator!$B$2:$B$295,generator!$Q$2:$Q$295,"ARGH")</f>
        <v>9000</v>
      </c>
      <c r="DZ35" s="3">
        <f>_xlfn.XLOOKUP(DZ$1,generator!$B$2:$B$295,generator!$Q$2:$Q$295,"ARGH")</f>
        <v>9000</v>
      </c>
      <c r="EA35" s="3">
        <f>_xlfn.XLOOKUP(EA$1,generator!$B$2:$B$295,generator!$Q$2:$Q$295,"ARGH")</f>
        <v>9000</v>
      </c>
      <c r="EB35" s="3">
        <f>_xlfn.XLOOKUP(EB$1,generator!$B$2:$B$295,generator!$Q$2:$Q$295,"ARGH")</f>
        <v>9000</v>
      </c>
      <c r="EC35" s="3">
        <f>_xlfn.XLOOKUP(EC$1,generator!$B$2:$B$295,generator!$Q$2:$Q$295,"ARGH")</f>
        <v>9000</v>
      </c>
      <c r="ED35" s="3">
        <f>_xlfn.XLOOKUP(ED$1,generator!$B$2:$B$295,generator!$Q$2:$Q$295,"ARGH")</f>
        <v>9000</v>
      </c>
      <c r="EE35" s="3">
        <f>_xlfn.XLOOKUP(EE$1,generator!$B$2:$B$295,generator!$Q$2:$Q$295,"ARGH")</f>
        <v>9000</v>
      </c>
      <c r="EF35" s="3">
        <f>_xlfn.XLOOKUP(EF$1,generator!$B$2:$B$295,generator!$Q$2:$Q$295,"ARGH")</f>
        <v>9000</v>
      </c>
      <c r="EG35" s="3">
        <f>_xlfn.XLOOKUP(EG$1,generator!$B$2:$B$295,generator!$Q$2:$Q$295,"ARGH")</f>
        <v>9000</v>
      </c>
      <c r="EH35" s="3">
        <f>_xlfn.XLOOKUP(EH$1,generator!$B$2:$B$295,generator!$Q$2:$Q$295,"ARGH")</f>
        <v>9000</v>
      </c>
      <c r="EI35" s="3">
        <f>_xlfn.XLOOKUP(EI$1,generator!$B$2:$B$295,generator!$Q$2:$Q$295,"ARGH")</f>
        <v>9000</v>
      </c>
      <c r="EJ35" s="3">
        <f>_xlfn.XLOOKUP(EJ$1,generator!$B$2:$B$295,generator!$Q$2:$Q$295,"ARGH")</f>
        <v>9000</v>
      </c>
      <c r="EK35" s="3">
        <f>_xlfn.XLOOKUP(EK$1,generator!$B$2:$B$295,generator!$Q$2:$Q$295,"ARGH")</f>
        <v>9000</v>
      </c>
      <c r="EL35" s="3">
        <f>_xlfn.XLOOKUP(EL$1,generator!$B$2:$B$295,generator!$Q$2:$Q$295,"ARGH")</f>
        <v>9000</v>
      </c>
      <c r="EM35" s="3">
        <f>_xlfn.XLOOKUP(EM$1,generator!$B$2:$B$295,generator!$Q$2:$Q$295,"ARGH")</f>
        <v>9000</v>
      </c>
      <c r="EN35" s="3">
        <f>_xlfn.XLOOKUP(EN$1,generator!$B$2:$B$295,generator!$Q$2:$Q$295,"ARGH")</f>
        <v>9000</v>
      </c>
      <c r="EO35" s="3">
        <f>_xlfn.XLOOKUP(EO$1,generator!$B$2:$B$295,generator!$Q$2:$Q$295,"ARGH")</f>
        <v>9000</v>
      </c>
      <c r="EP35" s="3">
        <f>_xlfn.XLOOKUP(EP$1,generator!$B$2:$B$295,generator!$Q$2:$Q$295,"ARGH")</f>
        <v>9000</v>
      </c>
      <c r="EQ35" s="3">
        <f>_xlfn.XLOOKUP(EQ$1,generator!$B$2:$B$295,generator!$Q$2:$Q$295,"ARGH")</f>
        <v>9000</v>
      </c>
      <c r="ER35" s="3">
        <f>_xlfn.XLOOKUP(ER$1,generator!$B$2:$B$295,generator!$Q$2:$Q$295,"ARGH")</f>
        <v>9000</v>
      </c>
      <c r="ES35" s="3">
        <f>_xlfn.XLOOKUP(ES$1,generator!$B$2:$B$295,generator!$Q$2:$Q$295,"ARGH")</f>
        <v>9000</v>
      </c>
      <c r="ET35" s="3">
        <f>_xlfn.XLOOKUP(ET$1,generator!$B$2:$B$295,generator!$Q$2:$Q$295,"ARGH")</f>
        <v>9000</v>
      </c>
      <c r="EU35" s="3">
        <f>_xlfn.XLOOKUP(EU$1,generator!$B$2:$B$295,generator!$Q$2:$Q$295,"ARGH")</f>
        <v>9000</v>
      </c>
      <c r="EV35" s="3">
        <f>_xlfn.XLOOKUP(EV$1,generator!$B$2:$B$295,generator!$Q$2:$Q$295,"ARGH")</f>
        <v>9000</v>
      </c>
      <c r="EW35" s="3">
        <f>_xlfn.XLOOKUP(EW$1,generator!$B$2:$B$295,generator!$Q$2:$Q$295,"ARGH")</f>
        <v>9000</v>
      </c>
      <c r="EX35" s="3">
        <f>_xlfn.XLOOKUP(EX$1,generator!$B$2:$B$295,generator!$Q$2:$Q$295,"ARGH")</f>
        <v>9000</v>
      </c>
      <c r="EY35" s="3">
        <f>_xlfn.XLOOKUP(EY$1,generator!$B$2:$B$295,generator!$Q$2:$Q$295,"ARGH")</f>
        <v>9000</v>
      </c>
      <c r="EZ35" s="3">
        <f>_xlfn.XLOOKUP(EZ$1,generator!$B$2:$B$295,generator!$Q$2:$Q$295,"ARGH")</f>
        <v>9000</v>
      </c>
      <c r="FA35" s="3">
        <f>_xlfn.XLOOKUP(FA$1,generator!$B$2:$B$295,generator!$Q$2:$Q$295,"ARGH")</f>
        <v>9000</v>
      </c>
      <c r="FB35" s="3">
        <f>_xlfn.XLOOKUP(FB$1,generator!$B$2:$B$295,generator!$Q$2:$Q$295,"ARGH")</f>
        <v>9000</v>
      </c>
      <c r="FC35" s="3">
        <f>_xlfn.XLOOKUP(FC$1,generator!$B$2:$B$295,generator!$Q$2:$Q$295,"ARGH")</f>
        <v>9000</v>
      </c>
      <c r="FD35" s="3">
        <f>_xlfn.XLOOKUP(FD$1,generator!$B$2:$B$295,generator!$Q$2:$Q$295,"ARGH")</f>
        <v>9000</v>
      </c>
      <c r="FE35" s="3">
        <f>_xlfn.XLOOKUP(FE$1,generator!$B$2:$B$295,generator!$Q$2:$Q$295,"ARGH")</f>
        <v>9000</v>
      </c>
      <c r="FF35" s="3">
        <f>_xlfn.XLOOKUP(FF$1,generator!$B$2:$B$295,generator!$Q$2:$Q$295,"ARGH")</f>
        <v>9000</v>
      </c>
      <c r="FG35" s="3">
        <f>_xlfn.XLOOKUP(FG$1,generator!$B$2:$B$295,generator!$Q$2:$Q$295,"ARGH")</f>
        <v>9000</v>
      </c>
      <c r="FH35" s="3">
        <f>_xlfn.XLOOKUP(FH$1,generator!$B$2:$B$295,generator!$Q$2:$Q$295,"ARGH")</f>
        <v>9000</v>
      </c>
      <c r="FI35" s="3">
        <f>_xlfn.XLOOKUP(FI$1,generator!$B$2:$B$295,generator!$Q$2:$Q$295,"ARGH")</f>
        <v>9000</v>
      </c>
      <c r="FJ35" s="3">
        <f>_xlfn.XLOOKUP(FJ$1,generator!$B$2:$B$295,generator!$Q$2:$Q$295,"ARGH")</f>
        <v>9000</v>
      </c>
      <c r="FK35" s="3">
        <f>_xlfn.XLOOKUP(FK$1,generator!$B$2:$B$295,generator!$Q$2:$Q$295,"ARGH")</f>
        <v>9000</v>
      </c>
      <c r="FL35" s="3">
        <f>_xlfn.XLOOKUP(FL$1,generator!$B$2:$B$295,generator!$Q$2:$Q$295,"ARGH")</f>
        <v>9000</v>
      </c>
      <c r="FM35" s="3">
        <f>_xlfn.XLOOKUP(FM$1,generator!$B$2:$B$295,generator!$Q$2:$Q$295,"ARGH")</f>
        <v>9000</v>
      </c>
      <c r="FN35" s="3">
        <f>_xlfn.XLOOKUP(FN$1,generator!$B$2:$B$295,generator!$Q$2:$Q$295,"ARGH")</f>
        <v>9000</v>
      </c>
      <c r="FO35" s="3">
        <f>_xlfn.XLOOKUP(FO$1,generator!$B$2:$B$295,generator!$Q$2:$Q$295,"ARGH")</f>
        <v>9000</v>
      </c>
      <c r="FP35" s="3">
        <f>_xlfn.XLOOKUP(FP$1,generator!$B$2:$B$295,generator!$Q$2:$Q$295,"ARGH")</f>
        <v>9000</v>
      </c>
      <c r="FQ35" s="3">
        <f>_xlfn.XLOOKUP(FQ$1,generator!$B$2:$B$295,generator!$Q$2:$Q$295,"ARGH")</f>
        <v>9000</v>
      </c>
      <c r="FR35" s="3">
        <f>_xlfn.XLOOKUP(FR$1,generator!$B$2:$B$295,generator!$Q$2:$Q$295,"ARGH")</f>
        <v>9000</v>
      </c>
      <c r="FS35" s="3">
        <f>_xlfn.XLOOKUP(FS$1,generator!$B$2:$B$295,generator!$Q$2:$Q$295,"ARGH")</f>
        <v>9000</v>
      </c>
      <c r="FT35" s="3">
        <f>_xlfn.XLOOKUP(FT$1,generator!$B$2:$B$295,generator!$Q$2:$Q$295,"ARGH")</f>
        <v>9000</v>
      </c>
      <c r="FU35" s="3">
        <f>_xlfn.XLOOKUP(FU$1,generator!$B$2:$B$295,generator!$Q$2:$Q$295,"ARGH")</f>
        <v>9000</v>
      </c>
      <c r="FV35" s="3">
        <f>_xlfn.XLOOKUP(FV$1,generator!$B$2:$B$295,generator!$Q$2:$Q$295,"ARGH")</f>
        <v>9000</v>
      </c>
      <c r="FW35" s="3">
        <f>_xlfn.XLOOKUP(FW$1,generator!$B$2:$B$295,generator!$Q$2:$Q$295,"ARGH")</f>
        <v>9000</v>
      </c>
      <c r="FX35" s="3">
        <f>_xlfn.XLOOKUP(FX$1,generator!$B$2:$B$295,generator!$Q$2:$Q$295,"ARGH")</f>
        <v>9000</v>
      </c>
      <c r="FY35" s="3">
        <f>_xlfn.XLOOKUP(FY$1,generator!$B$2:$B$295,generator!$Q$2:$Q$295,"ARGH")</f>
        <v>9000</v>
      </c>
      <c r="FZ35" s="3">
        <f>_xlfn.XLOOKUP(FZ$1,generator!$B$2:$B$295,generator!$Q$2:$Q$295,"ARGH")</f>
        <v>9000</v>
      </c>
      <c r="GA35" s="3">
        <f>_xlfn.XLOOKUP(GA$1,generator!$B$2:$B$295,generator!$Q$2:$Q$295,"ARGH")</f>
        <v>9000</v>
      </c>
      <c r="GB35" s="3">
        <f>_xlfn.XLOOKUP(GB$1,generator!$B$2:$B$295,generator!$Q$2:$Q$295,"ARGH")</f>
        <v>9000</v>
      </c>
      <c r="GC35" s="3">
        <f>_xlfn.XLOOKUP(GC$1,generator!$B$2:$B$295,generator!$Q$2:$Q$295,"ARGH")</f>
        <v>9000</v>
      </c>
      <c r="GD35" s="3">
        <f>_xlfn.XLOOKUP(GD$1,generator!$B$2:$B$295,generator!$Q$2:$Q$295,"ARGH")</f>
        <v>9000</v>
      </c>
      <c r="GE35" s="3">
        <f>_xlfn.XLOOKUP(GE$1,generator!$B$2:$B$295,generator!$Q$2:$Q$295,"ARGH")</f>
        <v>9000</v>
      </c>
      <c r="GF35" s="3">
        <f>_xlfn.XLOOKUP(GF$1,generator!$B$2:$B$295,generator!$Q$2:$Q$295,"ARGH")</f>
        <v>9000</v>
      </c>
      <c r="GG35" s="3">
        <f>_xlfn.XLOOKUP(GG$1,generator!$B$2:$B$295,generator!$Q$2:$Q$295,"ARGH")</f>
        <v>9000</v>
      </c>
      <c r="GH35" s="3">
        <f>_xlfn.XLOOKUP(GH$1,generator!$B$2:$B$295,generator!$Q$2:$Q$295,"ARGH")</f>
        <v>9000</v>
      </c>
      <c r="GI35" s="3">
        <f>_xlfn.XLOOKUP(GI$1,generator!$B$2:$B$295,generator!$Q$2:$Q$295,"ARGH")</f>
        <v>9000</v>
      </c>
      <c r="GJ35" s="3">
        <f>_xlfn.XLOOKUP(GJ$1,generator!$B$2:$B$295,generator!$Q$2:$Q$295,"ARGH")</f>
        <v>9000</v>
      </c>
      <c r="GK35" s="3">
        <f>_xlfn.XLOOKUP(GK$1,generator!$B$2:$B$295,generator!$Q$2:$Q$295,"ARGH")</f>
        <v>9000</v>
      </c>
      <c r="GL35" s="3">
        <f>_xlfn.XLOOKUP(GL$1,generator!$B$2:$B$295,generator!$Q$2:$Q$295,"ARGH")</f>
        <v>9000</v>
      </c>
      <c r="GM35" s="3">
        <f>_xlfn.XLOOKUP(GM$1,generator!$B$2:$B$295,generator!$Q$2:$Q$295,"ARGH")</f>
        <v>9000</v>
      </c>
      <c r="GN35" s="3">
        <f>_xlfn.XLOOKUP(GN$1,generator!$B$2:$B$295,generator!$Q$2:$Q$295,"ARGH")</f>
        <v>9000</v>
      </c>
      <c r="GO35" s="3">
        <f>_xlfn.XLOOKUP(GO$1,generator!$B$2:$B$295,generator!$Q$2:$Q$295,"ARGH")</f>
        <v>9000</v>
      </c>
      <c r="GP35" s="3">
        <f>_xlfn.XLOOKUP(GP$1,generator!$B$2:$B$295,generator!$Q$2:$Q$295,"ARGH")</f>
        <v>9000</v>
      </c>
      <c r="GQ35" s="3">
        <f>_xlfn.XLOOKUP(GQ$1,generator!$B$2:$B$295,generator!$Q$2:$Q$295,"ARGH")</f>
        <v>9000</v>
      </c>
      <c r="GR35" s="3">
        <f>_xlfn.XLOOKUP(GR$1,generator!$B$2:$B$295,generator!$Q$2:$Q$295,"ARGH")</f>
        <v>9000</v>
      </c>
      <c r="GS35" s="3">
        <f>_xlfn.XLOOKUP(GS$1,generator!$B$2:$B$295,generator!$Q$2:$Q$295,"ARGH")</f>
        <v>9000</v>
      </c>
      <c r="GT35" s="3">
        <f>_xlfn.XLOOKUP(GT$1,generator!$B$2:$B$295,generator!$Q$2:$Q$295,"ARGH")</f>
        <v>9000</v>
      </c>
      <c r="GU35" s="3">
        <f>_xlfn.XLOOKUP(GU$1,generator!$B$2:$B$295,generator!$Q$2:$Q$295,"ARGH")</f>
        <v>9000</v>
      </c>
      <c r="GV35" s="3">
        <f>_xlfn.XLOOKUP(GV$1,generator!$B$2:$B$295,generator!$Q$2:$Q$295,"ARGH")</f>
        <v>9000</v>
      </c>
      <c r="GW35" s="3">
        <f>_xlfn.XLOOKUP(GW$1,generator!$B$2:$B$295,generator!$Q$2:$Q$295,"ARGH")</f>
        <v>9000</v>
      </c>
      <c r="GX35" s="3">
        <f>_xlfn.XLOOKUP(GX$1,generator!$B$2:$B$295,generator!$Q$2:$Q$295,"ARGH")</f>
        <v>9000</v>
      </c>
      <c r="GY35" s="3">
        <f>_xlfn.XLOOKUP(GY$1,generator!$B$2:$B$295,generator!$Q$2:$Q$295,"ARGH")</f>
        <v>9000</v>
      </c>
      <c r="GZ35" s="3">
        <f>_xlfn.XLOOKUP(GZ$1,generator!$B$2:$B$295,generator!$Q$2:$Q$295,"ARGH")</f>
        <v>9000</v>
      </c>
      <c r="HA35" s="3">
        <f>_xlfn.XLOOKUP(HA$1,generator!$B$2:$B$295,generator!$Q$2:$Q$295,"ARGH")</f>
        <v>9000</v>
      </c>
      <c r="HB35" s="3">
        <f>_xlfn.XLOOKUP(HB$1,generator!$B$2:$B$295,generator!$Q$2:$Q$295,"ARGH")</f>
        <v>9000</v>
      </c>
      <c r="HC35" s="3">
        <f>_xlfn.XLOOKUP(HC$1,generator!$B$2:$B$295,generator!$Q$2:$Q$295,"ARGH")</f>
        <v>9000</v>
      </c>
      <c r="HD35" s="3">
        <f>_xlfn.XLOOKUP(HD$1,generator!$B$2:$B$295,generator!$Q$2:$Q$295,"ARGH")</f>
        <v>9000</v>
      </c>
      <c r="HE35" s="3">
        <f>_xlfn.XLOOKUP(HE$1,generator!$B$2:$B$295,generator!$Q$2:$Q$295,"ARGH")</f>
        <v>8000</v>
      </c>
      <c r="HF35" s="3" t="str">
        <f>_xlfn.XLOOKUP(HF$1,generator!$B$2:$B$295,generator!$Q$2:$Q$295,"ARGH")</f>
        <v>143</v>
      </c>
      <c r="HG35" s="3" t="str">
        <f>_xlfn.XLOOKUP(HG$1,generator!$B$2:$B$295,generator!$Q$2:$Q$295,"ARGH")</f>
        <v>143</v>
      </c>
      <c r="HH35" s="3" t="str">
        <f>_xlfn.XLOOKUP(HH$1,generator!$B$2:$B$295,generator!$Q$2:$Q$295,"ARGH")</f>
        <v>143</v>
      </c>
      <c r="HI35" s="3" t="str">
        <f>_xlfn.XLOOKUP(HI$1,generator!$B$2:$B$295,generator!$Q$2:$Q$295,"ARGH")</f>
        <v>246.74</v>
      </c>
      <c r="HJ35" s="3" t="str">
        <f>_xlfn.XLOOKUP(HJ$1,generator!$B$2:$B$295,generator!$Q$2:$Q$295,"ARGH")</f>
        <v>246.74</v>
      </c>
      <c r="HK35" s="3" t="str">
        <f>_xlfn.XLOOKUP(HK$1,generator!$B$2:$B$295,generator!$Q$2:$Q$295,"ARGH")</f>
        <v>206.04</v>
      </c>
      <c r="HL35" s="3" t="str">
        <f>_xlfn.XLOOKUP(HL$1,generator!$B$2:$B$295,generator!$Q$2:$Q$295,"ARGH")</f>
        <v>506.96</v>
      </c>
      <c r="HM35" s="3" t="str">
        <f>_xlfn.XLOOKUP(HM$1,generator!$B$2:$B$295,generator!$Q$2:$Q$295,"ARGH")</f>
        <v>506.95</v>
      </c>
      <c r="HN35" s="3" t="str">
        <f>_xlfn.XLOOKUP(HN$1,generator!$B$2:$B$295,generator!$Q$2:$Q$295,"ARGH")</f>
        <v>190.97</v>
      </c>
      <c r="HO35" s="3" t="str">
        <f>_xlfn.XLOOKUP(HO$1,generator!$B$2:$B$295,generator!$Q$2:$Q$295,"ARGH")</f>
        <v>190.97</v>
      </c>
      <c r="HP35" s="3" t="str">
        <f>_xlfn.XLOOKUP(HP$1,generator!$B$2:$B$295,generator!$Q$2:$Q$295,"ARGH")</f>
        <v>424.84</v>
      </c>
      <c r="HQ35" s="3" t="str">
        <f>_xlfn.XLOOKUP(HQ$1,generator!$B$2:$B$295,generator!$Q$2:$Q$295,"ARGH")</f>
        <v>425.9</v>
      </c>
      <c r="HR35" s="3" t="str">
        <f>_xlfn.XLOOKUP(HR$1,generator!$B$2:$B$295,generator!$Q$2:$Q$295,"ARGH")</f>
        <v>425.9</v>
      </c>
      <c r="HS35" s="3" t="str">
        <f>_xlfn.XLOOKUP(HS$1,generator!$B$2:$B$295,generator!$Q$2:$Q$295,"ARGH")</f>
        <v>196.54</v>
      </c>
      <c r="HT35" s="3" t="str">
        <f>_xlfn.XLOOKUP(HT$1,generator!$B$2:$B$295,generator!$Q$2:$Q$295,"ARGH")</f>
        <v>196.54</v>
      </c>
      <c r="HU35" s="3" t="str">
        <f>_xlfn.XLOOKUP(HU$1,generator!$B$2:$B$295,generator!$Q$2:$Q$295,"ARGH")</f>
        <v>145.57</v>
      </c>
      <c r="HV35" s="3" t="str">
        <f>_xlfn.XLOOKUP(HV$1,generator!$B$2:$B$295,generator!$Q$2:$Q$295,"ARGH")</f>
        <v>132.62</v>
      </c>
      <c r="HW35" s="3" t="str">
        <f>_xlfn.XLOOKUP(HW$1,generator!$B$2:$B$295,generator!$Q$2:$Q$295,"ARGH")</f>
        <v>193.76</v>
      </c>
      <c r="HX35" s="3" t="str">
        <f>_xlfn.XLOOKUP(HX$1,generator!$B$2:$B$295,generator!$Q$2:$Q$295,"ARGH")</f>
        <v>193.76</v>
      </c>
      <c r="HY35" s="3" t="str">
        <f>_xlfn.XLOOKUP(HY$1,generator!$B$2:$B$295,generator!$Q$2:$Q$295,"ARGH")</f>
        <v>79.19</v>
      </c>
      <c r="HZ35" s="3" t="str">
        <f>_xlfn.XLOOKUP(HZ$1,generator!$B$2:$B$295,generator!$Q$2:$Q$295,"ARGH")</f>
        <v>125.79</v>
      </c>
      <c r="IA35" s="3" t="str">
        <f>_xlfn.XLOOKUP(IA$1,generator!$B$2:$B$295,generator!$Q$2:$Q$295,"ARGH")</f>
        <v>54.19</v>
      </c>
      <c r="IB35" s="3" t="str">
        <f>_xlfn.XLOOKUP(IB$1,generator!$B$2:$B$295,generator!$Q$2:$Q$295,"ARGH")</f>
        <v>59.7</v>
      </c>
      <c r="IC35" s="3">
        <f>_xlfn.XLOOKUP(IC$1,generator!$B$2:$B$295,generator!$Q$2:$Q$295,"ARGH")</f>
        <v>0</v>
      </c>
      <c r="ID35" s="3" t="str">
        <f>_xlfn.XLOOKUP(ID$1,generator!$B$2:$B$295,generator!$Q$2:$Q$295,"ARGH")</f>
        <v>121.14</v>
      </c>
      <c r="IE35" s="3" t="str">
        <f>_xlfn.XLOOKUP(IE$1,generator!$B$2:$B$295,generator!$Q$2:$Q$295,"ARGH")</f>
        <v>26.6</v>
      </c>
      <c r="IF35" s="3">
        <f>_xlfn.XLOOKUP(IF$1,generator!$B$2:$B$295,generator!$Q$2:$Q$295,"ARGH")</f>
        <v>8000</v>
      </c>
      <c r="IG35" s="3">
        <f>_xlfn.XLOOKUP(IG$1,generator!$B$2:$B$295,generator!$Q$2:$Q$295,"ARGH")</f>
        <v>8000</v>
      </c>
      <c r="IH35" s="3">
        <f>_xlfn.XLOOKUP(IH$1,generator!$B$2:$B$295,generator!$Q$2:$Q$295,"ARGH")</f>
        <v>8000</v>
      </c>
      <c r="II35" s="3">
        <f>_xlfn.XLOOKUP(II$1,generator!$B$2:$B$295,generator!$Q$2:$Q$295,"ARGH")</f>
        <v>8000</v>
      </c>
      <c r="IJ35" s="3">
        <f>_xlfn.XLOOKUP(IJ$1,generator!$B$2:$B$295,generator!$Q$2:$Q$295,"ARGH")</f>
        <v>8000</v>
      </c>
      <c r="IK35" s="3">
        <f>_xlfn.XLOOKUP(IK$1,generator!$B$2:$B$295,generator!$Q$2:$Q$295,"ARGH")</f>
        <v>8000</v>
      </c>
      <c r="IL35" s="3">
        <f>_xlfn.XLOOKUP(IL$1,generator!$B$2:$B$295,generator!$Q$2:$Q$295,"ARGH")</f>
        <v>8000</v>
      </c>
      <c r="IM35" s="3">
        <f>_xlfn.XLOOKUP(IM$1,generator!$B$2:$B$295,generator!$Q$2:$Q$295,"ARGH")</f>
        <v>8000</v>
      </c>
      <c r="IN35" s="3">
        <f>_xlfn.XLOOKUP(IN$1,generator!$B$2:$B$295,generator!$Q$2:$Q$295,"ARGH")</f>
        <v>8000</v>
      </c>
      <c r="IO35" s="3">
        <f>_xlfn.XLOOKUP(IO$1,generator!$B$2:$B$295,generator!$Q$2:$Q$295,"ARGH")</f>
        <v>8000</v>
      </c>
      <c r="IP35" s="3">
        <f>_xlfn.XLOOKUP(IP$1,generator!$B$2:$B$295,generator!$Q$2:$Q$295,"ARGH")</f>
        <v>8000</v>
      </c>
      <c r="IQ35" s="3">
        <f>_xlfn.XLOOKUP(IQ$1,generator!$B$2:$B$295,generator!$Q$2:$Q$295,"ARGH")</f>
        <v>8000</v>
      </c>
      <c r="IR35" s="3">
        <f>_xlfn.XLOOKUP(IR$1,generator!$B$2:$B$295,generator!$Q$2:$Q$295,"ARGH")</f>
        <v>8000</v>
      </c>
      <c r="IS35" s="3">
        <f>_xlfn.XLOOKUP(IS$1,generator!$B$2:$B$295,generator!$Q$2:$Q$295,"ARGH")</f>
        <v>8000</v>
      </c>
      <c r="IT35" s="3">
        <f>_xlfn.XLOOKUP(IT$1,generator!$B$2:$B$295,generator!$Q$2:$Q$295,"ARGH")</f>
        <v>8000</v>
      </c>
      <c r="IU35" s="3">
        <f>_xlfn.XLOOKUP(IU$1,generator!$B$2:$B$295,generator!$Q$2:$Q$295,"ARGH")</f>
        <v>8000</v>
      </c>
      <c r="IV35" s="3">
        <f>_xlfn.XLOOKUP(IV$1,generator!$B$2:$B$295,generator!$Q$2:$Q$295,"ARGH")</f>
        <v>8000</v>
      </c>
      <c r="IW35" s="3" t="str">
        <f>_xlfn.XLOOKUP(IW$1,generator!$B$2:$B$295,generator!$Q$2:$Q$295,"ARGH")</f>
        <v>108.19</v>
      </c>
      <c r="IX35" s="3" t="str">
        <f>_xlfn.XLOOKUP(IX$1,generator!$B$2:$B$295,generator!$Q$2:$Q$295,"ARGH")</f>
        <v>108.18</v>
      </c>
      <c r="IY35" s="3" t="str">
        <f>_xlfn.XLOOKUP(IY$1,generator!$B$2:$B$295,generator!$Q$2:$Q$295,"ARGH")</f>
        <v>108.17</v>
      </c>
      <c r="IZ35" s="3" t="str">
        <f>_xlfn.XLOOKUP(IZ$1,generator!$B$2:$B$295,generator!$Q$2:$Q$295,"ARGH")</f>
        <v>40.96</v>
      </c>
      <c r="JA35" s="3">
        <f>_xlfn.XLOOKUP(JA$1,generator!$B$2:$B$295,generator!$Q$2:$Q$295,"ARGH")</f>
        <v>0</v>
      </c>
      <c r="JB35" s="3">
        <f>_xlfn.XLOOKUP(JB$1,generator!$B$2:$B$295,generator!$Q$2:$Q$295,"ARGH")</f>
        <v>0</v>
      </c>
      <c r="JC35" s="3" t="str">
        <f>_xlfn.XLOOKUP(JC$1,generator!$B$2:$B$295,generator!$Q$2:$Q$295,"ARGH")</f>
        <v>75.91</v>
      </c>
      <c r="JD35" s="3" t="str">
        <f>_xlfn.XLOOKUP(JD$1,generator!$B$2:$B$295,generator!$Q$2:$Q$295,"ARGH")</f>
        <v>75.91</v>
      </c>
      <c r="JE35" s="3" t="str">
        <f>_xlfn.XLOOKUP(JE$1,generator!$B$2:$B$295,generator!$Q$2:$Q$295,"ARGH")</f>
        <v>51.59</v>
      </c>
      <c r="JF35" s="3" t="str">
        <f>_xlfn.XLOOKUP(JF$1,generator!$B$2:$B$295,generator!$Q$2:$Q$295,"ARGH")</f>
        <v>111.57</v>
      </c>
      <c r="JG35" s="3">
        <f>_xlfn.XLOOKUP(JG$1,generator!$B$2:$B$295,generator!$Q$2:$Q$295,"ARGH")</f>
        <v>0</v>
      </c>
      <c r="JH35" s="3" t="str">
        <f>_xlfn.XLOOKUP(JH$1,generator!$B$2:$B$295,generator!$Q$2:$Q$295,"ARGH")</f>
        <v>48.65</v>
      </c>
      <c r="JI35" s="3" t="str">
        <f>_xlfn.XLOOKUP(JI$1,generator!$B$2:$B$295,generator!$Q$2:$Q$295,"ARGH")</f>
        <v>71.88</v>
      </c>
      <c r="JJ35" s="3" t="str">
        <f>_xlfn.XLOOKUP(JJ$1,generator!$B$2:$B$295,generator!$Q$2:$Q$295,"ARGH")</f>
        <v>98.17</v>
      </c>
      <c r="JK35" s="3" t="str">
        <f>_xlfn.XLOOKUP(JK$1,generator!$B$2:$B$295,generator!$Q$2:$Q$295,"ARGH")</f>
        <v>98.17</v>
      </c>
      <c r="JL35" s="3" t="str">
        <f>_xlfn.XLOOKUP(JL$1,generator!$B$2:$B$295,generator!$Q$2:$Q$295,"ARGH")</f>
        <v>98.17</v>
      </c>
      <c r="JM35" s="3" t="str">
        <f>_xlfn.XLOOKUP(JM$1,generator!$B$2:$B$295,generator!$Q$2:$Q$295,"ARGH")</f>
        <v>98.17</v>
      </c>
      <c r="JN35" s="3" t="str">
        <f>_xlfn.XLOOKUP(JN$1,generator!$B$2:$B$295,generator!$Q$2:$Q$295,"ARGH")</f>
        <v>98.17</v>
      </c>
      <c r="JO35" s="3" t="str">
        <f>_xlfn.XLOOKUP(JO$1,generator!$B$2:$B$295,generator!$Q$2:$Q$295,"ARGH")</f>
        <v>98.17</v>
      </c>
      <c r="JP35" s="3" t="str">
        <f>_xlfn.XLOOKUP(JP$1,generator!$B$2:$B$295,generator!$Q$2:$Q$295,"ARGH")</f>
        <v>47.53</v>
      </c>
      <c r="JQ35" s="3" t="str">
        <f>_xlfn.XLOOKUP(JQ$1,generator!$B$2:$B$295,generator!$Q$2:$Q$295,"ARGH")</f>
        <v>108.86</v>
      </c>
      <c r="JR35" s="3" t="str">
        <f>_xlfn.XLOOKUP(JR$1,generator!$B$2:$B$295,generator!$Q$2:$Q$295,"ARGH")</f>
        <v>83.15</v>
      </c>
      <c r="JS35" s="3" t="str">
        <f>_xlfn.XLOOKUP(JS$1,generator!$B$2:$B$295,generator!$Q$2:$Q$295,"ARGH")</f>
        <v>83.15</v>
      </c>
      <c r="JT35" s="3" t="str">
        <f>_xlfn.XLOOKUP(JT$1,generator!$B$2:$B$295,generator!$Q$2:$Q$295,"ARGH")</f>
        <v>108.86</v>
      </c>
      <c r="JU35" s="3">
        <f>_xlfn.XLOOKUP(JU$1,generator!$B$2:$B$295,generator!$Q$2:$Q$295,"ARGH")</f>
        <v>0</v>
      </c>
      <c r="JV35" s="3" t="str">
        <f>_xlfn.XLOOKUP(JV$1,generator!$B$2:$B$295,generator!$Q$2:$Q$295,"ARGH")</f>
        <v>77.63</v>
      </c>
      <c r="JW35" s="3" t="str">
        <f>_xlfn.XLOOKUP(JW$1,generator!$B$2:$B$295,generator!$Q$2:$Q$295,"ARGH")</f>
        <v>77.64</v>
      </c>
      <c r="JX35" s="3" t="str">
        <f>_xlfn.XLOOKUP(JX$1,generator!$B$2:$B$295,generator!$Q$2:$Q$295,"ARGH")</f>
        <v>331.49</v>
      </c>
      <c r="JY35" s="3">
        <f>_xlfn.XLOOKUP(JY$1,generator!$B$2:$B$295,generator!$Q$2:$Q$295,"ARGH")</f>
        <v>7000</v>
      </c>
      <c r="JZ35" s="3">
        <f>_xlfn.XLOOKUP(JZ$1,generator!$B$2:$B$295,generator!$Q$2:$Q$295,"ARGH")</f>
        <v>0</v>
      </c>
      <c r="KA35" s="3">
        <f>_xlfn.XLOOKUP(KA$1,generator!$B$2:$B$295,generator!$Q$2:$Q$295,"ARGH")</f>
        <v>0</v>
      </c>
      <c r="KB35" s="3">
        <f>_xlfn.XLOOKUP(KB$1,generator!$B$2:$B$295,generator!$Q$2:$Q$295,"ARGH")</f>
        <v>0</v>
      </c>
      <c r="KC35" s="3">
        <f>_xlfn.XLOOKUP(KC$1,generator!$B$2:$B$295,generator!$Q$2:$Q$295,"ARGH")</f>
        <v>0</v>
      </c>
    </row>
    <row r="36" spans="1:289" x14ac:dyDescent="0.3">
      <c r="A36" s="4" t="s">
        <v>3031</v>
      </c>
      <c r="B36" s="3">
        <v>15000</v>
      </c>
      <c r="C36" s="3">
        <v>15000</v>
      </c>
      <c r="D36" s="3">
        <v>15000</v>
      </c>
      <c r="E36" s="3">
        <f>_xlfn.XLOOKUP(E$1,generator!$B$2:$B$295,generator!$Q$2:$Q$295,"ARGH")</f>
        <v>9000</v>
      </c>
      <c r="F36" s="3">
        <f>_xlfn.XLOOKUP(F$1,generator!$B$2:$B$295,generator!$Q$2:$Q$295,"ARGH")</f>
        <v>9000</v>
      </c>
      <c r="G36" s="3">
        <f>_xlfn.XLOOKUP(G$1,generator!$B$2:$B$295,generator!$Q$2:$Q$295,"ARGH")</f>
        <v>9000</v>
      </c>
      <c r="H36" s="3">
        <f>_xlfn.XLOOKUP(H$1,generator!$B$2:$B$295,generator!$Q$2:$Q$295,"ARGH")</f>
        <v>9000</v>
      </c>
      <c r="I36" s="3">
        <f>_xlfn.XLOOKUP(I$1,generator!$B$2:$B$295,generator!$Q$2:$Q$295,"ARGH")</f>
        <v>9000</v>
      </c>
      <c r="J36" s="3">
        <f>_xlfn.XLOOKUP(J$1,generator!$B$2:$B$295,generator!$Q$2:$Q$295,"ARGH")</f>
        <v>9000</v>
      </c>
      <c r="K36" s="3">
        <f>_xlfn.XLOOKUP(K$1,generator!$B$2:$B$295,generator!$Q$2:$Q$295,"ARGH")</f>
        <v>9000</v>
      </c>
      <c r="L36" s="3">
        <f>_xlfn.XLOOKUP(L$1,generator!$B$2:$B$295,generator!$Q$2:$Q$295,"ARGH")</f>
        <v>9000</v>
      </c>
      <c r="M36" s="3">
        <f>_xlfn.XLOOKUP(M$1,generator!$B$2:$B$295,generator!$Q$2:$Q$295,"ARGH")</f>
        <v>9000</v>
      </c>
      <c r="N36" s="3">
        <f>_xlfn.XLOOKUP(N$1,generator!$B$2:$B$295,generator!$Q$2:$Q$295,"ARGH")</f>
        <v>9000</v>
      </c>
      <c r="O36" s="3">
        <f>_xlfn.XLOOKUP(O$1,generator!$B$2:$B$295,generator!$Q$2:$Q$295,"ARGH")</f>
        <v>9000</v>
      </c>
      <c r="P36" s="3">
        <f>_xlfn.XLOOKUP(P$1,generator!$B$2:$B$295,generator!$Q$2:$Q$295,"ARGH")</f>
        <v>9000</v>
      </c>
      <c r="Q36" s="3">
        <f>_xlfn.XLOOKUP(Q$1,generator!$B$2:$B$295,generator!$Q$2:$Q$295,"ARGH")</f>
        <v>9000</v>
      </c>
      <c r="R36" s="3">
        <f>_xlfn.XLOOKUP(R$1,generator!$B$2:$B$295,generator!$Q$2:$Q$295,"ARGH")</f>
        <v>9000</v>
      </c>
      <c r="S36" s="3">
        <f>_xlfn.XLOOKUP(S$1,generator!$B$2:$B$295,generator!$Q$2:$Q$295,"ARGH")</f>
        <v>9000</v>
      </c>
      <c r="T36" s="3">
        <f>_xlfn.XLOOKUP(T$1,generator!$B$2:$B$295,generator!$Q$2:$Q$295,"ARGH")</f>
        <v>9000</v>
      </c>
      <c r="U36" s="3">
        <f>_xlfn.XLOOKUP(U$1,generator!$B$2:$B$295,generator!$Q$2:$Q$295,"ARGH")</f>
        <v>9000</v>
      </c>
      <c r="V36" s="3">
        <f>_xlfn.XLOOKUP(V$1,generator!$B$2:$B$295,generator!$Q$2:$Q$295,"ARGH")</f>
        <v>9000</v>
      </c>
      <c r="W36" s="3">
        <f>_xlfn.XLOOKUP(W$1,generator!$B$2:$B$295,generator!$Q$2:$Q$295,"ARGH")</f>
        <v>9000</v>
      </c>
      <c r="X36" s="3">
        <f>_xlfn.XLOOKUP(X$1,generator!$B$2:$B$295,generator!$Q$2:$Q$295,"ARGH")</f>
        <v>9000</v>
      </c>
      <c r="Y36" s="3">
        <f>_xlfn.XLOOKUP(Y$1,generator!$B$2:$B$295,generator!$Q$2:$Q$295,"ARGH")</f>
        <v>9000</v>
      </c>
      <c r="Z36" s="3">
        <f>_xlfn.XLOOKUP(Z$1,generator!$B$2:$B$295,generator!$Q$2:$Q$295,"ARGH")</f>
        <v>9000</v>
      </c>
      <c r="AA36" s="3">
        <f>_xlfn.XLOOKUP(AA$1,generator!$B$2:$B$295,generator!$Q$2:$Q$295,"ARGH")</f>
        <v>9000</v>
      </c>
      <c r="AB36" s="3">
        <f>_xlfn.XLOOKUP(AB$1,generator!$B$2:$B$295,generator!$Q$2:$Q$295,"ARGH")</f>
        <v>9000</v>
      </c>
      <c r="AC36" s="3">
        <f>_xlfn.XLOOKUP(AC$1,generator!$B$2:$B$295,generator!$Q$2:$Q$295,"ARGH")</f>
        <v>9000</v>
      </c>
      <c r="AD36" s="3">
        <f>_xlfn.XLOOKUP(AD$1,generator!$B$2:$B$295,generator!$Q$2:$Q$295,"ARGH")</f>
        <v>9000</v>
      </c>
      <c r="AE36" s="3">
        <f>_xlfn.XLOOKUP(AE$1,generator!$B$2:$B$295,generator!$Q$2:$Q$295,"ARGH")</f>
        <v>9000</v>
      </c>
      <c r="AF36" s="3">
        <f>_xlfn.XLOOKUP(AF$1,generator!$B$2:$B$295,generator!$Q$2:$Q$295,"ARGH")</f>
        <v>9000</v>
      </c>
      <c r="AG36" s="3">
        <f>_xlfn.XLOOKUP(AG$1,generator!$B$2:$B$295,generator!$Q$2:$Q$295,"ARGH")</f>
        <v>9000</v>
      </c>
      <c r="AH36" s="3">
        <f>_xlfn.XLOOKUP(AH$1,generator!$B$2:$B$295,generator!$Q$2:$Q$295,"ARGH")</f>
        <v>9000</v>
      </c>
      <c r="AI36" s="3">
        <f>_xlfn.XLOOKUP(AI$1,generator!$B$2:$B$295,generator!$Q$2:$Q$295,"ARGH")</f>
        <v>9000</v>
      </c>
      <c r="AJ36" s="3">
        <f>_xlfn.XLOOKUP(AJ$1,generator!$B$2:$B$295,generator!$Q$2:$Q$295,"ARGH")</f>
        <v>9000</v>
      </c>
      <c r="AK36" s="3">
        <f>_xlfn.XLOOKUP(AK$1,generator!$B$2:$B$295,generator!$Q$2:$Q$295,"ARGH")</f>
        <v>9000</v>
      </c>
      <c r="AL36" s="3">
        <f>_xlfn.XLOOKUP(AL$1,generator!$B$2:$B$295,generator!$Q$2:$Q$295,"ARGH")</f>
        <v>9000</v>
      </c>
      <c r="AM36" s="3">
        <f>_xlfn.XLOOKUP(AM$1,generator!$B$2:$B$295,generator!$Q$2:$Q$295,"ARGH")</f>
        <v>9000</v>
      </c>
      <c r="AN36" s="3">
        <f>_xlfn.XLOOKUP(AN$1,generator!$B$2:$B$295,generator!$Q$2:$Q$295,"ARGH")</f>
        <v>9000</v>
      </c>
      <c r="AO36" s="3">
        <f>_xlfn.XLOOKUP(AO$1,generator!$B$2:$B$295,generator!$Q$2:$Q$295,"ARGH")</f>
        <v>9000</v>
      </c>
      <c r="AP36" s="3">
        <f>_xlfn.XLOOKUP(AP$1,generator!$B$2:$B$295,generator!$Q$2:$Q$295,"ARGH")</f>
        <v>9000</v>
      </c>
      <c r="AQ36" s="3">
        <f>_xlfn.XLOOKUP(AQ$1,generator!$B$2:$B$295,generator!$Q$2:$Q$295,"ARGH")</f>
        <v>9000</v>
      </c>
      <c r="AR36" s="3">
        <f>_xlfn.XLOOKUP(AR$1,generator!$B$2:$B$295,generator!$Q$2:$Q$295,"ARGH")</f>
        <v>9000</v>
      </c>
      <c r="AS36" s="3">
        <f>_xlfn.XLOOKUP(AS$1,generator!$B$2:$B$295,generator!$Q$2:$Q$295,"ARGH")</f>
        <v>9000</v>
      </c>
      <c r="AT36" s="3">
        <f>_xlfn.XLOOKUP(AT$1,generator!$B$2:$B$295,generator!$Q$2:$Q$295,"ARGH")</f>
        <v>9000</v>
      </c>
      <c r="AU36" s="3">
        <f>_xlfn.XLOOKUP(AU$1,generator!$B$2:$B$295,generator!$Q$2:$Q$295,"ARGH")</f>
        <v>9000</v>
      </c>
      <c r="AV36" s="3">
        <f>_xlfn.XLOOKUP(AV$1,generator!$B$2:$B$295,generator!$Q$2:$Q$295,"ARGH")</f>
        <v>9000</v>
      </c>
      <c r="AW36" s="3">
        <f>_xlfn.XLOOKUP(AW$1,generator!$B$2:$B$295,generator!$Q$2:$Q$295,"ARGH")</f>
        <v>9000</v>
      </c>
      <c r="AX36" s="3">
        <f>_xlfn.XLOOKUP(AX$1,generator!$B$2:$B$295,generator!$Q$2:$Q$295,"ARGH")</f>
        <v>9000</v>
      </c>
      <c r="AY36" s="3">
        <f>_xlfn.XLOOKUP(AY$1,generator!$B$2:$B$295,generator!$Q$2:$Q$295,"ARGH")</f>
        <v>9000</v>
      </c>
      <c r="AZ36" s="3">
        <f>_xlfn.XLOOKUP(AZ$1,generator!$B$2:$B$295,generator!$Q$2:$Q$295,"ARGH")</f>
        <v>9000</v>
      </c>
      <c r="BA36" s="3">
        <f>_xlfn.XLOOKUP(BA$1,generator!$B$2:$B$295,generator!$Q$2:$Q$295,"ARGH")</f>
        <v>9000</v>
      </c>
      <c r="BB36" s="3">
        <f>_xlfn.XLOOKUP(BB$1,generator!$B$2:$B$295,generator!$Q$2:$Q$295,"ARGH")</f>
        <v>9000</v>
      </c>
      <c r="BC36" s="3">
        <f>_xlfn.XLOOKUP(BC$1,generator!$B$2:$B$295,generator!$Q$2:$Q$295,"ARGH")</f>
        <v>9000</v>
      </c>
      <c r="BD36" s="3">
        <f>_xlfn.XLOOKUP(BD$1,generator!$B$2:$B$295,generator!$Q$2:$Q$295,"ARGH")</f>
        <v>9000</v>
      </c>
      <c r="BE36" s="3">
        <f>_xlfn.XLOOKUP(BE$1,generator!$B$2:$B$295,generator!$Q$2:$Q$295,"ARGH")</f>
        <v>9000</v>
      </c>
      <c r="BF36" s="3">
        <f>_xlfn.XLOOKUP(BF$1,generator!$B$2:$B$295,generator!$Q$2:$Q$295,"ARGH")</f>
        <v>9000</v>
      </c>
      <c r="BG36" s="3">
        <f>_xlfn.XLOOKUP(BG$1,generator!$B$2:$B$295,generator!$Q$2:$Q$295,"ARGH")</f>
        <v>9000</v>
      </c>
      <c r="BH36" s="3">
        <f>_xlfn.XLOOKUP(BH$1,generator!$B$2:$B$295,generator!$Q$2:$Q$295,"ARGH")</f>
        <v>9000</v>
      </c>
      <c r="BI36" s="3">
        <f>_xlfn.XLOOKUP(BI$1,generator!$B$2:$B$295,generator!$Q$2:$Q$295,"ARGH")</f>
        <v>9000</v>
      </c>
      <c r="BJ36" s="3">
        <f>_xlfn.XLOOKUP(BJ$1,generator!$B$2:$B$295,generator!$Q$2:$Q$295,"ARGH")</f>
        <v>9000</v>
      </c>
      <c r="BK36" s="3">
        <f>_xlfn.XLOOKUP(BK$1,generator!$B$2:$B$295,generator!$Q$2:$Q$295,"ARGH")</f>
        <v>9000</v>
      </c>
      <c r="BL36" s="3">
        <f>_xlfn.XLOOKUP(BL$1,generator!$B$2:$B$295,generator!$Q$2:$Q$295,"ARGH")</f>
        <v>9000</v>
      </c>
      <c r="BM36" s="3">
        <f>_xlfn.XLOOKUP(BM$1,generator!$B$2:$B$295,generator!$Q$2:$Q$295,"ARGH")</f>
        <v>9000</v>
      </c>
      <c r="BN36" s="3">
        <f>_xlfn.XLOOKUP(BN$1,generator!$B$2:$B$295,generator!$Q$2:$Q$295,"ARGH")</f>
        <v>9000</v>
      </c>
      <c r="BO36" s="3">
        <f>_xlfn.XLOOKUP(BO$1,generator!$B$2:$B$295,generator!$Q$2:$Q$295,"ARGH")</f>
        <v>9000</v>
      </c>
      <c r="BP36" s="3">
        <f>_xlfn.XLOOKUP(BP$1,generator!$B$2:$B$295,generator!$Q$2:$Q$295,"ARGH")</f>
        <v>9000</v>
      </c>
      <c r="BQ36" s="3">
        <f>_xlfn.XLOOKUP(BQ$1,generator!$B$2:$B$295,generator!$Q$2:$Q$295,"ARGH")</f>
        <v>9000</v>
      </c>
      <c r="BR36" s="3">
        <f>_xlfn.XLOOKUP(BR$1,generator!$B$2:$B$295,generator!$Q$2:$Q$295,"ARGH")</f>
        <v>9000</v>
      </c>
      <c r="BS36" s="3">
        <f>_xlfn.XLOOKUP(BS$1,generator!$B$2:$B$295,generator!$Q$2:$Q$295,"ARGH")</f>
        <v>9000</v>
      </c>
      <c r="BT36" s="3">
        <f>_xlfn.XLOOKUP(BT$1,generator!$B$2:$B$295,generator!$Q$2:$Q$295,"ARGH")</f>
        <v>9000</v>
      </c>
      <c r="BU36" s="3">
        <f>_xlfn.XLOOKUP(BU$1,generator!$B$2:$B$295,generator!$Q$2:$Q$295,"ARGH")</f>
        <v>9000</v>
      </c>
      <c r="BV36" s="3">
        <f>_xlfn.XLOOKUP(BV$1,generator!$B$2:$B$295,generator!$Q$2:$Q$295,"ARGH")</f>
        <v>9000</v>
      </c>
      <c r="BW36" s="3">
        <f>_xlfn.XLOOKUP(BW$1,generator!$B$2:$B$295,generator!$Q$2:$Q$295,"ARGH")</f>
        <v>9000</v>
      </c>
      <c r="BX36" s="3">
        <f>_xlfn.XLOOKUP(BX$1,generator!$B$2:$B$295,generator!$Q$2:$Q$295,"ARGH")</f>
        <v>9000</v>
      </c>
      <c r="BY36" s="3">
        <f>_xlfn.XLOOKUP(BY$1,generator!$B$2:$B$295,generator!$Q$2:$Q$295,"ARGH")</f>
        <v>9000</v>
      </c>
      <c r="BZ36" s="3">
        <f>_xlfn.XLOOKUP(BZ$1,generator!$B$2:$B$295,generator!$Q$2:$Q$295,"ARGH")</f>
        <v>9000</v>
      </c>
      <c r="CA36" s="3">
        <f>_xlfn.XLOOKUP(CA$1,generator!$B$2:$B$295,generator!$Q$2:$Q$295,"ARGH")</f>
        <v>9000</v>
      </c>
      <c r="CB36" s="3">
        <f>_xlfn.XLOOKUP(CB$1,generator!$B$2:$B$295,generator!$Q$2:$Q$295,"ARGH")</f>
        <v>9000</v>
      </c>
      <c r="CC36" s="3">
        <f>_xlfn.XLOOKUP(CC$1,generator!$B$2:$B$295,generator!$Q$2:$Q$295,"ARGH")</f>
        <v>9000</v>
      </c>
      <c r="CD36" s="3">
        <f>_xlfn.XLOOKUP(CD$1,generator!$B$2:$B$295,generator!$Q$2:$Q$295,"ARGH")</f>
        <v>9000</v>
      </c>
      <c r="CE36" s="3">
        <f>_xlfn.XLOOKUP(CE$1,generator!$B$2:$B$295,generator!$Q$2:$Q$295,"ARGH")</f>
        <v>9000</v>
      </c>
      <c r="CF36" s="3">
        <f>_xlfn.XLOOKUP(CF$1,generator!$B$2:$B$295,generator!$Q$2:$Q$295,"ARGH")</f>
        <v>9000</v>
      </c>
      <c r="CG36" s="3">
        <f>_xlfn.XLOOKUP(CG$1,generator!$B$2:$B$295,generator!$Q$2:$Q$295,"ARGH")</f>
        <v>9000</v>
      </c>
      <c r="CH36" s="3">
        <f>_xlfn.XLOOKUP(CH$1,generator!$B$2:$B$295,generator!$Q$2:$Q$295,"ARGH")</f>
        <v>9000</v>
      </c>
      <c r="CI36" s="3">
        <f>_xlfn.XLOOKUP(CI$1,generator!$B$2:$B$295,generator!$Q$2:$Q$295,"ARGH")</f>
        <v>9000</v>
      </c>
      <c r="CJ36" s="3">
        <f>_xlfn.XLOOKUP(CJ$1,generator!$B$2:$B$295,generator!$Q$2:$Q$295,"ARGH")</f>
        <v>9000</v>
      </c>
      <c r="CK36" s="3">
        <f>_xlfn.XLOOKUP(CK$1,generator!$B$2:$B$295,generator!$Q$2:$Q$295,"ARGH")</f>
        <v>9000</v>
      </c>
      <c r="CL36" s="3">
        <f>_xlfn.XLOOKUP(CL$1,generator!$B$2:$B$295,generator!$Q$2:$Q$295,"ARGH")</f>
        <v>9000</v>
      </c>
      <c r="CM36" s="3">
        <f>_xlfn.XLOOKUP(CM$1,generator!$B$2:$B$295,generator!$Q$2:$Q$295,"ARGH")</f>
        <v>9000</v>
      </c>
      <c r="CN36" s="3">
        <f>_xlfn.XLOOKUP(CN$1,generator!$B$2:$B$295,generator!$Q$2:$Q$295,"ARGH")</f>
        <v>9000</v>
      </c>
      <c r="CO36" s="3">
        <f>_xlfn.XLOOKUP(CO$1,generator!$B$2:$B$295,generator!$Q$2:$Q$295,"ARGH")</f>
        <v>9000</v>
      </c>
      <c r="CP36" s="3">
        <f>_xlfn.XLOOKUP(CP$1,generator!$B$2:$B$295,generator!$Q$2:$Q$295,"ARGH")</f>
        <v>9000</v>
      </c>
      <c r="CQ36" s="3">
        <f>_xlfn.XLOOKUP(CQ$1,generator!$B$2:$B$295,generator!$Q$2:$Q$295,"ARGH")</f>
        <v>9000</v>
      </c>
      <c r="CR36" s="3">
        <f>_xlfn.XLOOKUP(CR$1,generator!$B$2:$B$295,generator!$Q$2:$Q$295,"ARGH")</f>
        <v>9000</v>
      </c>
      <c r="CS36" s="3">
        <f>_xlfn.XLOOKUP(CS$1,generator!$B$2:$B$295,generator!$Q$2:$Q$295,"ARGH")</f>
        <v>9000</v>
      </c>
      <c r="CT36" s="3">
        <f>_xlfn.XLOOKUP(CT$1,generator!$B$2:$B$295,generator!$Q$2:$Q$295,"ARGH")</f>
        <v>9000</v>
      </c>
      <c r="CU36" s="3">
        <f>_xlfn.XLOOKUP(CU$1,generator!$B$2:$B$295,generator!$Q$2:$Q$295,"ARGH")</f>
        <v>9000</v>
      </c>
      <c r="CV36" s="3">
        <f>_xlfn.XLOOKUP(CV$1,generator!$B$2:$B$295,generator!$Q$2:$Q$295,"ARGH")</f>
        <v>9000</v>
      </c>
      <c r="CW36" s="3">
        <f>_xlfn.XLOOKUP(CW$1,generator!$B$2:$B$295,generator!$Q$2:$Q$295,"ARGH")</f>
        <v>9000</v>
      </c>
      <c r="CX36" s="3">
        <f>_xlfn.XLOOKUP(CX$1,generator!$B$2:$B$295,generator!$Q$2:$Q$295,"ARGH")</f>
        <v>9000</v>
      </c>
      <c r="CY36" s="3">
        <f>_xlfn.XLOOKUP(CY$1,generator!$B$2:$B$295,generator!$Q$2:$Q$295,"ARGH")</f>
        <v>9000</v>
      </c>
      <c r="CZ36" s="3">
        <f>_xlfn.XLOOKUP(CZ$1,generator!$B$2:$B$295,generator!$Q$2:$Q$295,"ARGH")</f>
        <v>9000</v>
      </c>
      <c r="DA36" s="3">
        <f>_xlfn.XLOOKUP(DA$1,generator!$B$2:$B$295,generator!$Q$2:$Q$295,"ARGH")</f>
        <v>9000</v>
      </c>
      <c r="DB36" s="3">
        <f>_xlfn.XLOOKUP(DB$1,generator!$B$2:$B$295,generator!$Q$2:$Q$295,"ARGH")</f>
        <v>9000</v>
      </c>
      <c r="DC36" s="3">
        <f>_xlfn.XLOOKUP(DC$1,generator!$B$2:$B$295,generator!$Q$2:$Q$295,"ARGH")</f>
        <v>9000</v>
      </c>
      <c r="DD36" s="3">
        <f>_xlfn.XLOOKUP(DD$1,generator!$B$2:$B$295,generator!$Q$2:$Q$295,"ARGH")</f>
        <v>9000</v>
      </c>
      <c r="DE36" s="3">
        <f>_xlfn.XLOOKUP(DE$1,generator!$B$2:$B$295,generator!$Q$2:$Q$295,"ARGH")</f>
        <v>9000</v>
      </c>
      <c r="DF36" s="3">
        <f>_xlfn.XLOOKUP(DF$1,generator!$B$2:$B$295,generator!$Q$2:$Q$295,"ARGH")</f>
        <v>9000</v>
      </c>
      <c r="DG36" s="3">
        <f>_xlfn.XLOOKUP(DG$1,generator!$B$2:$B$295,generator!$Q$2:$Q$295,"ARGH")</f>
        <v>9000</v>
      </c>
      <c r="DH36" s="3">
        <f>_xlfn.XLOOKUP(DH$1,generator!$B$2:$B$295,generator!$Q$2:$Q$295,"ARGH")</f>
        <v>9000</v>
      </c>
      <c r="DI36" s="3">
        <f>_xlfn.XLOOKUP(DI$1,generator!$B$2:$B$295,generator!$Q$2:$Q$295,"ARGH")</f>
        <v>9000</v>
      </c>
      <c r="DJ36" s="3">
        <f>_xlfn.XLOOKUP(DJ$1,generator!$B$2:$B$295,generator!$Q$2:$Q$295,"ARGH")</f>
        <v>9000</v>
      </c>
      <c r="DK36" s="3">
        <f>_xlfn.XLOOKUP(DK$1,generator!$B$2:$B$295,generator!$Q$2:$Q$295,"ARGH")</f>
        <v>9000</v>
      </c>
      <c r="DL36" s="3">
        <f>_xlfn.XLOOKUP(DL$1,generator!$B$2:$B$295,generator!$Q$2:$Q$295,"ARGH")</f>
        <v>9000</v>
      </c>
      <c r="DM36" s="3">
        <f>_xlfn.XLOOKUP(DM$1,generator!$B$2:$B$295,generator!$Q$2:$Q$295,"ARGH")</f>
        <v>9000</v>
      </c>
      <c r="DN36" s="3">
        <f>_xlfn.XLOOKUP(DN$1,generator!$B$2:$B$295,generator!$Q$2:$Q$295,"ARGH")</f>
        <v>9000</v>
      </c>
      <c r="DO36" s="3">
        <f>_xlfn.XLOOKUP(DO$1,generator!$B$2:$B$295,generator!$Q$2:$Q$295,"ARGH")</f>
        <v>9000</v>
      </c>
      <c r="DP36" s="3">
        <f>_xlfn.XLOOKUP(DP$1,generator!$B$2:$B$295,generator!$Q$2:$Q$295,"ARGH")</f>
        <v>9000</v>
      </c>
      <c r="DQ36" s="3">
        <f>_xlfn.XLOOKUP(DQ$1,generator!$B$2:$B$295,generator!$Q$2:$Q$295,"ARGH")</f>
        <v>9000</v>
      </c>
      <c r="DR36" s="3">
        <f>_xlfn.XLOOKUP(DR$1,generator!$B$2:$B$295,generator!$Q$2:$Q$295,"ARGH")</f>
        <v>9000</v>
      </c>
      <c r="DS36" s="3">
        <f>_xlfn.XLOOKUP(DS$1,generator!$B$2:$B$295,generator!$Q$2:$Q$295,"ARGH")</f>
        <v>9000</v>
      </c>
      <c r="DT36" s="3">
        <f>_xlfn.XLOOKUP(DT$1,generator!$B$2:$B$295,generator!$Q$2:$Q$295,"ARGH")</f>
        <v>9000</v>
      </c>
      <c r="DU36" s="3">
        <f>_xlfn.XLOOKUP(DU$1,generator!$B$2:$B$295,generator!$Q$2:$Q$295,"ARGH")</f>
        <v>9000</v>
      </c>
      <c r="DV36" s="3">
        <f>_xlfn.XLOOKUP(DV$1,generator!$B$2:$B$295,generator!$Q$2:$Q$295,"ARGH")</f>
        <v>9000</v>
      </c>
      <c r="DW36" s="3">
        <f>_xlfn.XLOOKUP(DW$1,generator!$B$2:$B$295,generator!$Q$2:$Q$295,"ARGH")</f>
        <v>9000</v>
      </c>
      <c r="DX36" s="3">
        <f>_xlfn.XLOOKUP(DX$1,generator!$B$2:$B$295,generator!$Q$2:$Q$295,"ARGH")</f>
        <v>9000</v>
      </c>
      <c r="DY36" s="3">
        <f>_xlfn.XLOOKUP(DY$1,generator!$B$2:$B$295,generator!$Q$2:$Q$295,"ARGH")</f>
        <v>9000</v>
      </c>
      <c r="DZ36" s="3">
        <f>_xlfn.XLOOKUP(DZ$1,generator!$B$2:$B$295,generator!$Q$2:$Q$295,"ARGH")</f>
        <v>9000</v>
      </c>
      <c r="EA36" s="3">
        <f>_xlfn.XLOOKUP(EA$1,generator!$B$2:$B$295,generator!$Q$2:$Q$295,"ARGH")</f>
        <v>9000</v>
      </c>
      <c r="EB36" s="3">
        <f>_xlfn.XLOOKUP(EB$1,generator!$B$2:$B$295,generator!$Q$2:$Q$295,"ARGH")</f>
        <v>9000</v>
      </c>
      <c r="EC36" s="3">
        <f>_xlfn.XLOOKUP(EC$1,generator!$B$2:$B$295,generator!$Q$2:$Q$295,"ARGH")</f>
        <v>9000</v>
      </c>
      <c r="ED36" s="3">
        <f>_xlfn.XLOOKUP(ED$1,generator!$B$2:$B$295,generator!$Q$2:$Q$295,"ARGH")</f>
        <v>9000</v>
      </c>
      <c r="EE36" s="3">
        <f>_xlfn.XLOOKUP(EE$1,generator!$B$2:$B$295,generator!$Q$2:$Q$295,"ARGH")</f>
        <v>9000</v>
      </c>
      <c r="EF36" s="3">
        <f>_xlfn.XLOOKUP(EF$1,generator!$B$2:$B$295,generator!$Q$2:$Q$295,"ARGH")</f>
        <v>9000</v>
      </c>
      <c r="EG36" s="3">
        <f>_xlfn.XLOOKUP(EG$1,generator!$B$2:$B$295,generator!$Q$2:$Q$295,"ARGH")</f>
        <v>9000</v>
      </c>
      <c r="EH36" s="3">
        <f>_xlfn.XLOOKUP(EH$1,generator!$B$2:$B$295,generator!$Q$2:$Q$295,"ARGH")</f>
        <v>9000</v>
      </c>
      <c r="EI36" s="3">
        <f>_xlfn.XLOOKUP(EI$1,generator!$B$2:$B$295,generator!$Q$2:$Q$295,"ARGH")</f>
        <v>9000</v>
      </c>
      <c r="EJ36" s="3">
        <f>_xlfn.XLOOKUP(EJ$1,generator!$B$2:$B$295,generator!$Q$2:$Q$295,"ARGH")</f>
        <v>9000</v>
      </c>
      <c r="EK36" s="3">
        <f>_xlfn.XLOOKUP(EK$1,generator!$B$2:$B$295,generator!$Q$2:$Q$295,"ARGH")</f>
        <v>9000</v>
      </c>
      <c r="EL36" s="3">
        <f>_xlfn.XLOOKUP(EL$1,generator!$B$2:$B$295,generator!$Q$2:$Q$295,"ARGH")</f>
        <v>9000</v>
      </c>
      <c r="EM36" s="3">
        <f>_xlfn.XLOOKUP(EM$1,generator!$B$2:$B$295,generator!$Q$2:$Q$295,"ARGH")</f>
        <v>9000</v>
      </c>
      <c r="EN36" s="3">
        <f>_xlfn.XLOOKUP(EN$1,generator!$B$2:$B$295,generator!$Q$2:$Q$295,"ARGH")</f>
        <v>9000</v>
      </c>
      <c r="EO36" s="3">
        <f>_xlfn.XLOOKUP(EO$1,generator!$B$2:$B$295,generator!$Q$2:$Q$295,"ARGH")</f>
        <v>9000</v>
      </c>
      <c r="EP36" s="3">
        <f>_xlfn.XLOOKUP(EP$1,generator!$B$2:$B$295,generator!$Q$2:$Q$295,"ARGH")</f>
        <v>9000</v>
      </c>
      <c r="EQ36" s="3">
        <f>_xlfn.XLOOKUP(EQ$1,generator!$B$2:$B$295,generator!$Q$2:$Q$295,"ARGH")</f>
        <v>9000</v>
      </c>
      <c r="ER36" s="3">
        <f>_xlfn.XLOOKUP(ER$1,generator!$B$2:$B$295,generator!$Q$2:$Q$295,"ARGH")</f>
        <v>9000</v>
      </c>
      <c r="ES36" s="3">
        <f>_xlfn.XLOOKUP(ES$1,generator!$B$2:$B$295,generator!$Q$2:$Q$295,"ARGH")</f>
        <v>9000</v>
      </c>
      <c r="ET36" s="3">
        <f>_xlfn.XLOOKUP(ET$1,generator!$B$2:$B$295,generator!$Q$2:$Q$295,"ARGH")</f>
        <v>9000</v>
      </c>
      <c r="EU36" s="3">
        <f>_xlfn.XLOOKUP(EU$1,generator!$B$2:$B$295,generator!$Q$2:$Q$295,"ARGH")</f>
        <v>9000</v>
      </c>
      <c r="EV36" s="3">
        <f>_xlfn.XLOOKUP(EV$1,generator!$B$2:$B$295,generator!$Q$2:$Q$295,"ARGH")</f>
        <v>9000</v>
      </c>
      <c r="EW36" s="3">
        <f>_xlfn.XLOOKUP(EW$1,generator!$B$2:$B$295,generator!$Q$2:$Q$295,"ARGH")</f>
        <v>9000</v>
      </c>
      <c r="EX36" s="3">
        <f>_xlfn.XLOOKUP(EX$1,generator!$B$2:$B$295,generator!$Q$2:$Q$295,"ARGH")</f>
        <v>9000</v>
      </c>
      <c r="EY36" s="3">
        <f>_xlfn.XLOOKUP(EY$1,generator!$B$2:$B$295,generator!$Q$2:$Q$295,"ARGH")</f>
        <v>9000</v>
      </c>
      <c r="EZ36" s="3">
        <f>_xlfn.XLOOKUP(EZ$1,generator!$B$2:$B$295,generator!$Q$2:$Q$295,"ARGH")</f>
        <v>9000</v>
      </c>
      <c r="FA36" s="3">
        <f>_xlfn.XLOOKUP(FA$1,generator!$B$2:$B$295,generator!$Q$2:$Q$295,"ARGH")</f>
        <v>9000</v>
      </c>
      <c r="FB36" s="3">
        <f>_xlfn.XLOOKUP(FB$1,generator!$B$2:$B$295,generator!$Q$2:$Q$295,"ARGH")</f>
        <v>9000</v>
      </c>
      <c r="FC36" s="3">
        <f>_xlfn.XLOOKUP(FC$1,generator!$B$2:$B$295,generator!$Q$2:$Q$295,"ARGH")</f>
        <v>9000</v>
      </c>
      <c r="FD36" s="3">
        <f>_xlfn.XLOOKUP(FD$1,generator!$B$2:$B$295,generator!$Q$2:$Q$295,"ARGH")</f>
        <v>9000</v>
      </c>
      <c r="FE36" s="3">
        <f>_xlfn.XLOOKUP(FE$1,generator!$B$2:$B$295,generator!$Q$2:$Q$295,"ARGH")</f>
        <v>9000</v>
      </c>
      <c r="FF36" s="3">
        <f>_xlfn.XLOOKUP(FF$1,generator!$B$2:$B$295,generator!$Q$2:$Q$295,"ARGH")</f>
        <v>9000</v>
      </c>
      <c r="FG36" s="3">
        <f>_xlfn.XLOOKUP(FG$1,generator!$B$2:$B$295,generator!$Q$2:$Q$295,"ARGH")</f>
        <v>9000</v>
      </c>
      <c r="FH36" s="3">
        <f>_xlfn.XLOOKUP(FH$1,generator!$B$2:$B$295,generator!$Q$2:$Q$295,"ARGH")</f>
        <v>9000</v>
      </c>
      <c r="FI36" s="3">
        <f>_xlfn.XLOOKUP(FI$1,generator!$B$2:$B$295,generator!$Q$2:$Q$295,"ARGH")</f>
        <v>9000</v>
      </c>
      <c r="FJ36" s="3">
        <f>_xlfn.XLOOKUP(FJ$1,generator!$B$2:$B$295,generator!$Q$2:$Q$295,"ARGH")</f>
        <v>9000</v>
      </c>
      <c r="FK36" s="3">
        <f>_xlfn.XLOOKUP(FK$1,generator!$B$2:$B$295,generator!$Q$2:$Q$295,"ARGH")</f>
        <v>9000</v>
      </c>
      <c r="FL36" s="3">
        <f>_xlfn.XLOOKUP(FL$1,generator!$B$2:$B$295,generator!$Q$2:$Q$295,"ARGH")</f>
        <v>9000</v>
      </c>
      <c r="FM36" s="3">
        <f>_xlfn.XLOOKUP(FM$1,generator!$B$2:$B$295,generator!$Q$2:$Q$295,"ARGH")</f>
        <v>9000</v>
      </c>
      <c r="FN36" s="3">
        <f>_xlfn.XLOOKUP(FN$1,generator!$B$2:$B$295,generator!$Q$2:$Q$295,"ARGH")</f>
        <v>9000</v>
      </c>
      <c r="FO36" s="3">
        <f>_xlfn.XLOOKUP(FO$1,generator!$B$2:$B$295,generator!$Q$2:$Q$295,"ARGH")</f>
        <v>9000</v>
      </c>
      <c r="FP36" s="3">
        <f>_xlfn.XLOOKUP(FP$1,generator!$B$2:$B$295,generator!$Q$2:$Q$295,"ARGH")</f>
        <v>9000</v>
      </c>
      <c r="FQ36" s="3">
        <f>_xlfn.XLOOKUP(FQ$1,generator!$B$2:$B$295,generator!$Q$2:$Q$295,"ARGH")</f>
        <v>9000</v>
      </c>
      <c r="FR36" s="3">
        <f>_xlfn.XLOOKUP(FR$1,generator!$B$2:$B$295,generator!$Q$2:$Q$295,"ARGH")</f>
        <v>9000</v>
      </c>
      <c r="FS36" s="3">
        <f>_xlfn.XLOOKUP(FS$1,generator!$B$2:$B$295,generator!$Q$2:$Q$295,"ARGH")</f>
        <v>9000</v>
      </c>
      <c r="FT36" s="3">
        <f>_xlfn.XLOOKUP(FT$1,generator!$B$2:$B$295,generator!$Q$2:$Q$295,"ARGH")</f>
        <v>9000</v>
      </c>
      <c r="FU36" s="3">
        <f>_xlfn.XLOOKUP(FU$1,generator!$B$2:$B$295,generator!$Q$2:$Q$295,"ARGH")</f>
        <v>9000</v>
      </c>
      <c r="FV36" s="3">
        <f>_xlfn.XLOOKUP(FV$1,generator!$B$2:$B$295,generator!$Q$2:$Q$295,"ARGH")</f>
        <v>9000</v>
      </c>
      <c r="FW36" s="3">
        <f>_xlfn.XLOOKUP(FW$1,generator!$B$2:$B$295,generator!$Q$2:$Q$295,"ARGH")</f>
        <v>9000</v>
      </c>
      <c r="FX36" s="3">
        <f>_xlfn.XLOOKUP(FX$1,generator!$B$2:$B$295,generator!$Q$2:$Q$295,"ARGH")</f>
        <v>9000</v>
      </c>
      <c r="FY36" s="3">
        <f>_xlfn.XLOOKUP(FY$1,generator!$B$2:$B$295,generator!$Q$2:$Q$295,"ARGH")</f>
        <v>9000</v>
      </c>
      <c r="FZ36" s="3">
        <f>_xlfn.XLOOKUP(FZ$1,generator!$B$2:$B$295,generator!$Q$2:$Q$295,"ARGH")</f>
        <v>9000</v>
      </c>
      <c r="GA36" s="3">
        <f>_xlfn.XLOOKUP(GA$1,generator!$B$2:$B$295,generator!$Q$2:$Q$295,"ARGH")</f>
        <v>9000</v>
      </c>
      <c r="GB36" s="3">
        <f>_xlfn.XLOOKUP(GB$1,generator!$B$2:$B$295,generator!$Q$2:$Q$295,"ARGH")</f>
        <v>9000</v>
      </c>
      <c r="GC36" s="3">
        <f>_xlfn.XLOOKUP(GC$1,generator!$B$2:$B$295,generator!$Q$2:$Q$295,"ARGH")</f>
        <v>9000</v>
      </c>
      <c r="GD36" s="3">
        <f>_xlfn.XLOOKUP(GD$1,generator!$B$2:$B$295,generator!$Q$2:$Q$295,"ARGH")</f>
        <v>9000</v>
      </c>
      <c r="GE36" s="3">
        <f>_xlfn.XLOOKUP(GE$1,generator!$B$2:$B$295,generator!$Q$2:$Q$295,"ARGH")</f>
        <v>9000</v>
      </c>
      <c r="GF36" s="3">
        <f>_xlfn.XLOOKUP(GF$1,generator!$B$2:$B$295,generator!$Q$2:$Q$295,"ARGH")</f>
        <v>9000</v>
      </c>
      <c r="GG36" s="3">
        <f>_xlfn.XLOOKUP(GG$1,generator!$B$2:$B$295,generator!$Q$2:$Q$295,"ARGH")</f>
        <v>9000</v>
      </c>
      <c r="GH36" s="3">
        <f>_xlfn.XLOOKUP(GH$1,generator!$B$2:$B$295,generator!$Q$2:$Q$295,"ARGH")</f>
        <v>9000</v>
      </c>
      <c r="GI36" s="3">
        <f>_xlfn.XLOOKUP(GI$1,generator!$B$2:$B$295,generator!$Q$2:$Q$295,"ARGH")</f>
        <v>9000</v>
      </c>
      <c r="GJ36" s="3">
        <f>_xlfn.XLOOKUP(GJ$1,generator!$B$2:$B$295,generator!$Q$2:$Q$295,"ARGH")</f>
        <v>9000</v>
      </c>
      <c r="GK36" s="3">
        <f>_xlfn.XLOOKUP(GK$1,generator!$B$2:$B$295,generator!$Q$2:$Q$295,"ARGH")</f>
        <v>9000</v>
      </c>
      <c r="GL36" s="3">
        <f>_xlfn.XLOOKUP(GL$1,generator!$B$2:$B$295,generator!$Q$2:$Q$295,"ARGH")</f>
        <v>9000</v>
      </c>
      <c r="GM36" s="3">
        <f>_xlfn.XLOOKUP(GM$1,generator!$B$2:$B$295,generator!$Q$2:$Q$295,"ARGH")</f>
        <v>9000</v>
      </c>
      <c r="GN36" s="3">
        <f>_xlfn.XLOOKUP(GN$1,generator!$B$2:$B$295,generator!$Q$2:$Q$295,"ARGH")</f>
        <v>9000</v>
      </c>
      <c r="GO36" s="3">
        <f>_xlfn.XLOOKUP(GO$1,generator!$B$2:$B$295,generator!$Q$2:$Q$295,"ARGH")</f>
        <v>9000</v>
      </c>
      <c r="GP36" s="3">
        <f>_xlfn.XLOOKUP(GP$1,generator!$B$2:$B$295,generator!$Q$2:$Q$295,"ARGH")</f>
        <v>9000</v>
      </c>
      <c r="GQ36" s="3">
        <f>_xlfn.XLOOKUP(GQ$1,generator!$B$2:$B$295,generator!$Q$2:$Q$295,"ARGH")</f>
        <v>9000</v>
      </c>
      <c r="GR36" s="3">
        <f>_xlfn.XLOOKUP(GR$1,generator!$B$2:$B$295,generator!$Q$2:$Q$295,"ARGH")</f>
        <v>9000</v>
      </c>
      <c r="GS36" s="3">
        <f>_xlfn.XLOOKUP(GS$1,generator!$B$2:$B$295,generator!$Q$2:$Q$295,"ARGH")</f>
        <v>9000</v>
      </c>
      <c r="GT36" s="3">
        <f>_xlfn.XLOOKUP(GT$1,generator!$B$2:$B$295,generator!$Q$2:$Q$295,"ARGH")</f>
        <v>9000</v>
      </c>
      <c r="GU36" s="3">
        <f>_xlfn.XLOOKUP(GU$1,generator!$B$2:$B$295,generator!$Q$2:$Q$295,"ARGH")</f>
        <v>9000</v>
      </c>
      <c r="GV36" s="3">
        <f>_xlfn.XLOOKUP(GV$1,generator!$B$2:$B$295,generator!$Q$2:$Q$295,"ARGH")</f>
        <v>9000</v>
      </c>
      <c r="GW36" s="3">
        <f>_xlfn.XLOOKUP(GW$1,generator!$B$2:$B$295,generator!$Q$2:$Q$295,"ARGH")</f>
        <v>9000</v>
      </c>
      <c r="GX36" s="3">
        <f>_xlfn.XLOOKUP(GX$1,generator!$B$2:$B$295,generator!$Q$2:$Q$295,"ARGH")</f>
        <v>9000</v>
      </c>
      <c r="GY36" s="3">
        <f>_xlfn.XLOOKUP(GY$1,generator!$B$2:$B$295,generator!$Q$2:$Q$295,"ARGH")</f>
        <v>9000</v>
      </c>
      <c r="GZ36" s="3">
        <f>_xlfn.XLOOKUP(GZ$1,generator!$B$2:$B$295,generator!$Q$2:$Q$295,"ARGH")</f>
        <v>9000</v>
      </c>
      <c r="HA36" s="3">
        <f>_xlfn.XLOOKUP(HA$1,generator!$B$2:$B$295,generator!$Q$2:$Q$295,"ARGH")</f>
        <v>9000</v>
      </c>
      <c r="HB36" s="3">
        <f>_xlfn.XLOOKUP(HB$1,generator!$B$2:$B$295,generator!$Q$2:$Q$295,"ARGH")</f>
        <v>9000</v>
      </c>
      <c r="HC36" s="3">
        <f>_xlfn.XLOOKUP(HC$1,generator!$B$2:$B$295,generator!$Q$2:$Q$295,"ARGH")</f>
        <v>9000</v>
      </c>
      <c r="HD36" s="3">
        <f>_xlfn.XLOOKUP(HD$1,generator!$B$2:$B$295,generator!$Q$2:$Q$295,"ARGH")</f>
        <v>9000</v>
      </c>
      <c r="HE36" s="3">
        <f>_xlfn.XLOOKUP(HE$1,generator!$B$2:$B$295,generator!$Q$2:$Q$295,"ARGH")</f>
        <v>8000</v>
      </c>
      <c r="HF36" s="3" t="str">
        <f>_xlfn.XLOOKUP(HF$1,generator!$B$2:$B$295,generator!$Q$2:$Q$295,"ARGH")</f>
        <v>143</v>
      </c>
      <c r="HG36" s="3" t="str">
        <f>_xlfn.XLOOKUP(HG$1,generator!$B$2:$B$295,generator!$Q$2:$Q$295,"ARGH")</f>
        <v>143</v>
      </c>
      <c r="HH36" s="3" t="str">
        <f>_xlfn.XLOOKUP(HH$1,generator!$B$2:$B$295,generator!$Q$2:$Q$295,"ARGH")</f>
        <v>143</v>
      </c>
      <c r="HI36" s="3" t="str">
        <f>_xlfn.XLOOKUP(HI$1,generator!$B$2:$B$295,generator!$Q$2:$Q$295,"ARGH")</f>
        <v>246.74</v>
      </c>
      <c r="HJ36" s="3" t="str">
        <f>_xlfn.XLOOKUP(HJ$1,generator!$B$2:$B$295,generator!$Q$2:$Q$295,"ARGH")</f>
        <v>246.74</v>
      </c>
      <c r="HK36" s="3" t="str">
        <f>_xlfn.XLOOKUP(HK$1,generator!$B$2:$B$295,generator!$Q$2:$Q$295,"ARGH")</f>
        <v>206.04</v>
      </c>
      <c r="HL36" s="3" t="str">
        <f>_xlfn.XLOOKUP(HL$1,generator!$B$2:$B$295,generator!$Q$2:$Q$295,"ARGH")</f>
        <v>506.96</v>
      </c>
      <c r="HM36" s="3" t="str">
        <f>_xlfn.XLOOKUP(HM$1,generator!$B$2:$B$295,generator!$Q$2:$Q$295,"ARGH")</f>
        <v>506.95</v>
      </c>
      <c r="HN36" s="3" t="str">
        <f>_xlfn.XLOOKUP(HN$1,generator!$B$2:$B$295,generator!$Q$2:$Q$295,"ARGH")</f>
        <v>190.97</v>
      </c>
      <c r="HO36" s="3" t="str">
        <f>_xlfn.XLOOKUP(HO$1,generator!$B$2:$B$295,generator!$Q$2:$Q$295,"ARGH")</f>
        <v>190.97</v>
      </c>
      <c r="HP36" s="3" t="str">
        <f>_xlfn.XLOOKUP(HP$1,generator!$B$2:$B$295,generator!$Q$2:$Q$295,"ARGH")</f>
        <v>424.84</v>
      </c>
      <c r="HQ36" s="3" t="str">
        <f>_xlfn.XLOOKUP(HQ$1,generator!$B$2:$B$295,generator!$Q$2:$Q$295,"ARGH")</f>
        <v>425.9</v>
      </c>
      <c r="HR36" s="3" t="str">
        <f>_xlfn.XLOOKUP(HR$1,generator!$B$2:$B$295,generator!$Q$2:$Q$295,"ARGH")</f>
        <v>425.9</v>
      </c>
      <c r="HS36" s="3" t="str">
        <f>_xlfn.XLOOKUP(HS$1,generator!$B$2:$B$295,generator!$Q$2:$Q$295,"ARGH")</f>
        <v>196.54</v>
      </c>
      <c r="HT36" s="3" t="str">
        <f>_xlfn.XLOOKUP(HT$1,generator!$B$2:$B$295,generator!$Q$2:$Q$295,"ARGH")</f>
        <v>196.54</v>
      </c>
      <c r="HU36" s="3" t="str">
        <f>_xlfn.XLOOKUP(HU$1,generator!$B$2:$B$295,generator!$Q$2:$Q$295,"ARGH")</f>
        <v>145.57</v>
      </c>
      <c r="HV36" s="3" t="str">
        <f>_xlfn.XLOOKUP(HV$1,generator!$B$2:$B$295,generator!$Q$2:$Q$295,"ARGH")</f>
        <v>132.62</v>
      </c>
      <c r="HW36" s="3" t="str">
        <f>_xlfn.XLOOKUP(HW$1,generator!$B$2:$B$295,generator!$Q$2:$Q$295,"ARGH")</f>
        <v>193.76</v>
      </c>
      <c r="HX36" s="3" t="str">
        <f>_xlfn.XLOOKUP(HX$1,generator!$B$2:$B$295,generator!$Q$2:$Q$295,"ARGH")</f>
        <v>193.76</v>
      </c>
      <c r="HY36" s="3" t="str">
        <f>_xlfn.XLOOKUP(HY$1,generator!$B$2:$B$295,generator!$Q$2:$Q$295,"ARGH")</f>
        <v>79.19</v>
      </c>
      <c r="HZ36" s="3" t="str">
        <f>_xlfn.XLOOKUP(HZ$1,generator!$B$2:$B$295,generator!$Q$2:$Q$295,"ARGH")</f>
        <v>125.79</v>
      </c>
      <c r="IA36" s="3" t="str">
        <f>_xlfn.XLOOKUP(IA$1,generator!$B$2:$B$295,generator!$Q$2:$Q$295,"ARGH")</f>
        <v>54.19</v>
      </c>
      <c r="IB36" s="3" t="str">
        <f>_xlfn.XLOOKUP(IB$1,generator!$B$2:$B$295,generator!$Q$2:$Q$295,"ARGH")</f>
        <v>59.7</v>
      </c>
      <c r="IC36" s="3">
        <f>_xlfn.XLOOKUP(IC$1,generator!$B$2:$B$295,generator!$Q$2:$Q$295,"ARGH")</f>
        <v>0</v>
      </c>
      <c r="ID36" s="3" t="str">
        <f>_xlfn.XLOOKUP(ID$1,generator!$B$2:$B$295,generator!$Q$2:$Q$295,"ARGH")</f>
        <v>121.14</v>
      </c>
      <c r="IE36" s="3" t="str">
        <f>_xlfn.XLOOKUP(IE$1,generator!$B$2:$B$295,generator!$Q$2:$Q$295,"ARGH")</f>
        <v>26.6</v>
      </c>
      <c r="IF36" s="3">
        <f>_xlfn.XLOOKUP(IF$1,generator!$B$2:$B$295,generator!$Q$2:$Q$295,"ARGH")</f>
        <v>8000</v>
      </c>
      <c r="IG36" s="3">
        <f>_xlfn.XLOOKUP(IG$1,generator!$B$2:$B$295,generator!$Q$2:$Q$295,"ARGH")</f>
        <v>8000</v>
      </c>
      <c r="IH36" s="3">
        <f>_xlfn.XLOOKUP(IH$1,generator!$B$2:$B$295,generator!$Q$2:$Q$295,"ARGH")</f>
        <v>8000</v>
      </c>
      <c r="II36" s="3">
        <f>_xlfn.XLOOKUP(II$1,generator!$B$2:$B$295,generator!$Q$2:$Q$295,"ARGH")</f>
        <v>8000</v>
      </c>
      <c r="IJ36" s="3">
        <f>_xlfn.XLOOKUP(IJ$1,generator!$B$2:$B$295,generator!$Q$2:$Q$295,"ARGH")</f>
        <v>8000</v>
      </c>
      <c r="IK36" s="3">
        <f>_xlfn.XLOOKUP(IK$1,generator!$B$2:$B$295,generator!$Q$2:$Q$295,"ARGH")</f>
        <v>8000</v>
      </c>
      <c r="IL36" s="3">
        <f>_xlfn.XLOOKUP(IL$1,generator!$B$2:$B$295,generator!$Q$2:$Q$295,"ARGH")</f>
        <v>8000</v>
      </c>
      <c r="IM36" s="3">
        <f>_xlfn.XLOOKUP(IM$1,generator!$B$2:$B$295,generator!$Q$2:$Q$295,"ARGH")</f>
        <v>8000</v>
      </c>
      <c r="IN36" s="3">
        <f>_xlfn.XLOOKUP(IN$1,generator!$B$2:$B$295,generator!$Q$2:$Q$295,"ARGH")</f>
        <v>8000</v>
      </c>
      <c r="IO36" s="3">
        <f>_xlfn.XLOOKUP(IO$1,generator!$B$2:$B$295,generator!$Q$2:$Q$295,"ARGH")</f>
        <v>8000</v>
      </c>
      <c r="IP36" s="3">
        <f>_xlfn.XLOOKUP(IP$1,generator!$B$2:$B$295,generator!$Q$2:$Q$295,"ARGH")</f>
        <v>8000</v>
      </c>
      <c r="IQ36" s="3">
        <f>_xlfn.XLOOKUP(IQ$1,generator!$B$2:$B$295,generator!$Q$2:$Q$295,"ARGH")</f>
        <v>8000</v>
      </c>
      <c r="IR36" s="3">
        <f>_xlfn.XLOOKUP(IR$1,generator!$B$2:$B$295,generator!$Q$2:$Q$295,"ARGH")</f>
        <v>8000</v>
      </c>
      <c r="IS36" s="3">
        <f>_xlfn.XLOOKUP(IS$1,generator!$B$2:$B$295,generator!$Q$2:$Q$295,"ARGH")</f>
        <v>8000</v>
      </c>
      <c r="IT36" s="3">
        <f>_xlfn.XLOOKUP(IT$1,generator!$B$2:$B$295,generator!$Q$2:$Q$295,"ARGH")</f>
        <v>8000</v>
      </c>
      <c r="IU36" s="3">
        <f>_xlfn.XLOOKUP(IU$1,generator!$B$2:$B$295,generator!$Q$2:$Q$295,"ARGH")</f>
        <v>8000</v>
      </c>
      <c r="IV36" s="3">
        <f>_xlfn.XLOOKUP(IV$1,generator!$B$2:$B$295,generator!$Q$2:$Q$295,"ARGH")</f>
        <v>8000</v>
      </c>
      <c r="IW36" s="3" t="str">
        <f>_xlfn.XLOOKUP(IW$1,generator!$B$2:$B$295,generator!$Q$2:$Q$295,"ARGH")</f>
        <v>108.19</v>
      </c>
      <c r="IX36" s="3" t="str">
        <f>_xlfn.XLOOKUP(IX$1,generator!$B$2:$B$295,generator!$Q$2:$Q$295,"ARGH")</f>
        <v>108.18</v>
      </c>
      <c r="IY36" s="3" t="str">
        <f>_xlfn.XLOOKUP(IY$1,generator!$B$2:$B$295,generator!$Q$2:$Q$295,"ARGH")</f>
        <v>108.17</v>
      </c>
      <c r="IZ36" s="3" t="str">
        <f>_xlfn.XLOOKUP(IZ$1,generator!$B$2:$B$295,generator!$Q$2:$Q$295,"ARGH")</f>
        <v>40.96</v>
      </c>
      <c r="JA36" s="3">
        <f>_xlfn.XLOOKUP(JA$1,generator!$B$2:$B$295,generator!$Q$2:$Q$295,"ARGH")</f>
        <v>0</v>
      </c>
      <c r="JB36" s="3">
        <f>_xlfn.XLOOKUP(JB$1,generator!$B$2:$B$295,generator!$Q$2:$Q$295,"ARGH")</f>
        <v>0</v>
      </c>
      <c r="JC36" s="3" t="str">
        <f>_xlfn.XLOOKUP(JC$1,generator!$B$2:$B$295,generator!$Q$2:$Q$295,"ARGH")</f>
        <v>75.91</v>
      </c>
      <c r="JD36" s="3" t="str">
        <f>_xlfn.XLOOKUP(JD$1,generator!$B$2:$B$295,generator!$Q$2:$Q$295,"ARGH")</f>
        <v>75.91</v>
      </c>
      <c r="JE36" s="3" t="str">
        <f>_xlfn.XLOOKUP(JE$1,generator!$B$2:$B$295,generator!$Q$2:$Q$295,"ARGH")</f>
        <v>51.59</v>
      </c>
      <c r="JF36" s="3" t="str">
        <f>_xlfn.XLOOKUP(JF$1,generator!$B$2:$B$295,generator!$Q$2:$Q$295,"ARGH")</f>
        <v>111.57</v>
      </c>
      <c r="JG36" s="3">
        <f>_xlfn.XLOOKUP(JG$1,generator!$B$2:$B$295,generator!$Q$2:$Q$295,"ARGH")</f>
        <v>0</v>
      </c>
      <c r="JH36" s="3" t="str">
        <f>_xlfn.XLOOKUP(JH$1,generator!$B$2:$B$295,generator!$Q$2:$Q$295,"ARGH")</f>
        <v>48.65</v>
      </c>
      <c r="JI36" s="3" t="str">
        <f>_xlfn.XLOOKUP(JI$1,generator!$B$2:$B$295,generator!$Q$2:$Q$295,"ARGH")</f>
        <v>71.88</v>
      </c>
      <c r="JJ36" s="3" t="str">
        <f>_xlfn.XLOOKUP(JJ$1,generator!$B$2:$B$295,generator!$Q$2:$Q$295,"ARGH")</f>
        <v>98.17</v>
      </c>
      <c r="JK36" s="3" t="str">
        <f>_xlfn.XLOOKUP(JK$1,generator!$B$2:$B$295,generator!$Q$2:$Q$295,"ARGH")</f>
        <v>98.17</v>
      </c>
      <c r="JL36" s="3" t="str">
        <f>_xlfn.XLOOKUP(JL$1,generator!$B$2:$B$295,generator!$Q$2:$Q$295,"ARGH")</f>
        <v>98.17</v>
      </c>
      <c r="JM36" s="3" t="str">
        <f>_xlfn.XLOOKUP(JM$1,generator!$B$2:$B$295,generator!$Q$2:$Q$295,"ARGH")</f>
        <v>98.17</v>
      </c>
      <c r="JN36" s="3" t="str">
        <f>_xlfn.XLOOKUP(JN$1,generator!$B$2:$B$295,generator!$Q$2:$Q$295,"ARGH")</f>
        <v>98.17</v>
      </c>
      <c r="JO36" s="3" t="str">
        <f>_xlfn.XLOOKUP(JO$1,generator!$B$2:$B$295,generator!$Q$2:$Q$295,"ARGH")</f>
        <v>98.17</v>
      </c>
      <c r="JP36" s="3" t="str">
        <f>_xlfn.XLOOKUP(JP$1,generator!$B$2:$B$295,generator!$Q$2:$Q$295,"ARGH")</f>
        <v>47.53</v>
      </c>
      <c r="JQ36" s="3" t="str">
        <f>_xlfn.XLOOKUP(JQ$1,generator!$B$2:$B$295,generator!$Q$2:$Q$295,"ARGH")</f>
        <v>108.86</v>
      </c>
      <c r="JR36" s="3" t="str">
        <f>_xlfn.XLOOKUP(JR$1,generator!$B$2:$B$295,generator!$Q$2:$Q$295,"ARGH")</f>
        <v>83.15</v>
      </c>
      <c r="JS36" s="3" t="str">
        <f>_xlfn.XLOOKUP(JS$1,generator!$B$2:$B$295,generator!$Q$2:$Q$295,"ARGH")</f>
        <v>83.15</v>
      </c>
      <c r="JT36" s="3" t="str">
        <f>_xlfn.XLOOKUP(JT$1,generator!$B$2:$B$295,generator!$Q$2:$Q$295,"ARGH")</f>
        <v>108.86</v>
      </c>
      <c r="JU36" s="3">
        <f>_xlfn.XLOOKUP(JU$1,generator!$B$2:$B$295,generator!$Q$2:$Q$295,"ARGH")</f>
        <v>0</v>
      </c>
      <c r="JV36" s="3" t="str">
        <f>_xlfn.XLOOKUP(JV$1,generator!$B$2:$B$295,generator!$Q$2:$Q$295,"ARGH")</f>
        <v>77.63</v>
      </c>
      <c r="JW36" s="3" t="str">
        <f>_xlfn.XLOOKUP(JW$1,generator!$B$2:$B$295,generator!$Q$2:$Q$295,"ARGH")</f>
        <v>77.64</v>
      </c>
      <c r="JX36" s="3" t="str">
        <f>_xlfn.XLOOKUP(JX$1,generator!$B$2:$B$295,generator!$Q$2:$Q$295,"ARGH")</f>
        <v>331.49</v>
      </c>
      <c r="JY36" s="3">
        <f>_xlfn.XLOOKUP(JY$1,generator!$B$2:$B$295,generator!$Q$2:$Q$295,"ARGH")</f>
        <v>7000</v>
      </c>
      <c r="JZ36" s="3">
        <f>_xlfn.XLOOKUP(JZ$1,generator!$B$2:$B$295,generator!$Q$2:$Q$295,"ARGH")</f>
        <v>0</v>
      </c>
      <c r="KA36" s="3">
        <f>_xlfn.XLOOKUP(KA$1,generator!$B$2:$B$295,generator!$Q$2:$Q$295,"ARGH")</f>
        <v>0</v>
      </c>
      <c r="KB36" s="3">
        <f>_xlfn.XLOOKUP(KB$1,generator!$B$2:$B$295,generator!$Q$2:$Q$295,"ARGH")</f>
        <v>0</v>
      </c>
      <c r="KC36" s="3">
        <f>_xlfn.XLOOKUP(KC$1,generator!$B$2:$B$295,generator!$Q$2:$Q$295,"ARGH")</f>
        <v>0</v>
      </c>
    </row>
    <row r="37" spans="1:289" x14ac:dyDescent="0.3">
      <c r="A37" s="4" t="s">
        <v>3032</v>
      </c>
      <c r="B37" s="3">
        <v>15000</v>
      </c>
      <c r="C37" s="3">
        <v>15000</v>
      </c>
      <c r="D37" s="3">
        <v>15000</v>
      </c>
      <c r="E37" s="3">
        <f>_xlfn.XLOOKUP(E$1,generator!$B$2:$B$295,generator!$Q$2:$Q$295,"ARGH")</f>
        <v>9000</v>
      </c>
      <c r="F37" s="3">
        <f>_xlfn.XLOOKUP(F$1,generator!$B$2:$B$295,generator!$Q$2:$Q$295,"ARGH")</f>
        <v>9000</v>
      </c>
      <c r="G37" s="3">
        <f>_xlfn.XLOOKUP(G$1,generator!$B$2:$B$295,generator!$Q$2:$Q$295,"ARGH")</f>
        <v>9000</v>
      </c>
      <c r="H37" s="3">
        <f>_xlfn.XLOOKUP(H$1,generator!$B$2:$B$295,generator!$Q$2:$Q$295,"ARGH")</f>
        <v>9000</v>
      </c>
      <c r="I37" s="3">
        <f>_xlfn.XLOOKUP(I$1,generator!$B$2:$B$295,generator!$Q$2:$Q$295,"ARGH")</f>
        <v>9000</v>
      </c>
      <c r="J37" s="3">
        <f>_xlfn.XLOOKUP(J$1,generator!$B$2:$B$295,generator!$Q$2:$Q$295,"ARGH")</f>
        <v>9000</v>
      </c>
      <c r="K37" s="3">
        <f>_xlfn.XLOOKUP(K$1,generator!$B$2:$B$295,generator!$Q$2:$Q$295,"ARGH")</f>
        <v>9000</v>
      </c>
      <c r="L37" s="3">
        <f>_xlfn.XLOOKUP(L$1,generator!$B$2:$B$295,generator!$Q$2:$Q$295,"ARGH")</f>
        <v>9000</v>
      </c>
      <c r="M37" s="3">
        <f>_xlfn.XLOOKUP(M$1,generator!$B$2:$B$295,generator!$Q$2:$Q$295,"ARGH")</f>
        <v>9000</v>
      </c>
      <c r="N37" s="3">
        <f>_xlfn.XLOOKUP(N$1,generator!$B$2:$B$295,generator!$Q$2:$Q$295,"ARGH")</f>
        <v>9000</v>
      </c>
      <c r="O37" s="3">
        <f>_xlfn.XLOOKUP(O$1,generator!$B$2:$B$295,generator!$Q$2:$Q$295,"ARGH")</f>
        <v>9000</v>
      </c>
      <c r="P37" s="3">
        <f>_xlfn.XLOOKUP(P$1,generator!$B$2:$B$295,generator!$Q$2:$Q$295,"ARGH")</f>
        <v>9000</v>
      </c>
      <c r="Q37" s="3">
        <f>_xlfn.XLOOKUP(Q$1,generator!$B$2:$B$295,generator!$Q$2:$Q$295,"ARGH")</f>
        <v>9000</v>
      </c>
      <c r="R37" s="3">
        <f>_xlfn.XLOOKUP(R$1,generator!$B$2:$B$295,generator!$Q$2:$Q$295,"ARGH")</f>
        <v>9000</v>
      </c>
      <c r="S37" s="3">
        <f>_xlfn.XLOOKUP(S$1,generator!$B$2:$B$295,generator!$Q$2:$Q$295,"ARGH")</f>
        <v>9000</v>
      </c>
      <c r="T37" s="3">
        <f>_xlfn.XLOOKUP(T$1,generator!$B$2:$B$295,generator!$Q$2:$Q$295,"ARGH")</f>
        <v>9000</v>
      </c>
      <c r="U37" s="3">
        <f>_xlfn.XLOOKUP(U$1,generator!$B$2:$B$295,generator!$Q$2:$Q$295,"ARGH")</f>
        <v>9000</v>
      </c>
      <c r="V37" s="3">
        <f>_xlfn.XLOOKUP(V$1,generator!$B$2:$B$295,generator!$Q$2:$Q$295,"ARGH")</f>
        <v>9000</v>
      </c>
      <c r="W37" s="3">
        <f>_xlfn.XLOOKUP(W$1,generator!$B$2:$B$295,generator!$Q$2:$Q$295,"ARGH")</f>
        <v>9000</v>
      </c>
      <c r="X37" s="3">
        <f>_xlfn.XLOOKUP(X$1,generator!$B$2:$B$295,generator!$Q$2:$Q$295,"ARGH")</f>
        <v>9000</v>
      </c>
      <c r="Y37" s="3">
        <f>_xlfn.XLOOKUP(Y$1,generator!$B$2:$B$295,generator!$Q$2:$Q$295,"ARGH")</f>
        <v>9000</v>
      </c>
      <c r="Z37" s="3">
        <f>_xlfn.XLOOKUP(Z$1,generator!$B$2:$B$295,generator!$Q$2:$Q$295,"ARGH")</f>
        <v>9000</v>
      </c>
      <c r="AA37" s="3">
        <f>_xlfn.XLOOKUP(AA$1,generator!$B$2:$B$295,generator!$Q$2:$Q$295,"ARGH")</f>
        <v>9000</v>
      </c>
      <c r="AB37" s="3">
        <f>_xlfn.XLOOKUP(AB$1,generator!$B$2:$B$295,generator!$Q$2:$Q$295,"ARGH")</f>
        <v>9000</v>
      </c>
      <c r="AC37" s="3">
        <f>_xlfn.XLOOKUP(AC$1,generator!$B$2:$B$295,generator!$Q$2:$Q$295,"ARGH")</f>
        <v>9000</v>
      </c>
      <c r="AD37" s="3">
        <f>_xlfn.XLOOKUP(AD$1,generator!$B$2:$B$295,generator!$Q$2:$Q$295,"ARGH")</f>
        <v>9000</v>
      </c>
      <c r="AE37" s="3">
        <f>_xlfn.XLOOKUP(AE$1,generator!$B$2:$B$295,generator!$Q$2:$Q$295,"ARGH")</f>
        <v>9000</v>
      </c>
      <c r="AF37" s="3">
        <f>_xlfn.XLOOKUP(AF$1,generator!$B$2:$B$295,generator!$Q$2:$Q$295,"ARGH")</f>
        <v>9000</v>
      </c>
      <c r="AG37" s="3">
        <f>_xlfn.XLOOKUP(AG$1,generator!$B$2:$B$295,generator!$Q$2:$Q$295,"ARGH")</f>
        <v>9000</v>
      </c>
      <c r="AH37" s="3">
        <f>_xlfn.XLOOKUP(AH$1,generator!$B$2:$B$295,generator!$Q$2:$Q$295,"ARGH")</f>
        <v>9000</v>
      </c>
      <c r="AI37" s="3">
        <f>_xlfn.XLOOKUP(AI$1,generator!$B$2:$B$295,generator!$Q$2:$Q$295,"ARGH")</f>
        <v>9000</v>
      </c>
      <c r="AJ37" s="3">
        <f>_xlfn.XLOOKUP(AJ$1,generator!$B$2:$B$295,generator!$Q$2:$Q$295,"ARGH")</f>
        <v>9000</v>
      </c>
      <c r="AK37" s="3">
        <f>_xlfn.XLOOKUP(AK$1,generator!$B$2:$B$295,generator!$Q$2:$Q$295,"ARGH")</f>
        <v>9000</v>
      </c>
      <c r="AL37" s="3">
        <f>_xlfn.XLOOKUP(AL$1,generator!$B$2:$B$295,generator!$Q$2:$Q$295,"ARGH")</f>
        <v>9000</v>
      </c>
      <c r="AM37" s="3">
        <f>_xlfn.XLOOKUP(AM$1,generator!$B$2:$B$295,generator!$Q$2:$Q$295,"ARGH")</f>
        <v>9000</v>
      </c>
      <c r="AN37" s="3">
        <f>_xlfn.XLOOKUP(AN$1,generator!$B$2:$B$295,generator!$Q$2:$Q$295,"ARGH")</f>
        <v>9000</v>
      </c>
      <c r="AO37" s="3">
        <f>_xlfn.XLOOKUP(AO$1,generator!$B$2:$B$295,generator!$Q$2:$Q$295,"ARGH")</f>
        <v>9000</v>
      </c>
      <c r="AP37" s="3">
        <f>_xlfn.XLOOKUP(AP$1,generator!$B$2:$B$295,generator!$Q$2:$Q$295,"ARGH")</f>
        <v>9000</v>
      </c>
      <c r="AQ37" s="3">
        <f>_xlfn.XLOOKUP(AQ$1,generator!$B$2:$B$295,generator!$Q$2:$Q$295,"ARGH")</f>
        <v>9000</v>
      </c>
      <c r="AR37" s="3">
        <f>_xlfn.XLOOKUP(AR$1,generator!$B$2:$B$295,generator!$Q$2:$Q$295,"ARGH")</f>
        <v>9000</v>
      </c>
      <c r="AS37" s="3">
        <f>_xlfn.XLOOKUP(AS$1,generator!$B$2:$B$295,generator!$Q$2:$Q$295,"ARGH")</f>
        <v>9000</v>
      </c>
      <c r="AT37" s="3">
        <f>_xlfn.XLOOKUP(AT$1,generator!$B$2:$B$295,generator!$Q$2:$Q$295,"ARGH")</f>
        <v>9000</v>
      </c>
      <c r="AU37" s="3">
        <f>_xlfn.XLOOKUP(AU$1,generator!$B$2:$B$295,generator!$Q$2:$Q$295,"ARGH")</f>
        <v>9000</v>
      </c>
      <c r="AV37" s="3">
        <f>_xlfn.XLOOKUP(AV$1,generator!$B$2:$B$295,generator!$Q$2:$Q$295,"ARGH")</f>
        <v>9000</v>
      </c>
      <c r="AW37" s="3">
        <f>_xlfn.XLOOKUP(AW$1,generator!$B$2:$B$295,generator!$Q$2:$Q$295,"ARGH")</f>
        <v>9000</v>
      </c>
      <c r="AX37" s="3">
        <f>_xlfn.XLOOKUP(AX$1,generator!$B$2:$B$295,generator!$Q$2:$Q$295,"ARGH")</f>
        <v>9000</v>
      </c>
      <c r="AY37" s="3">
        <f>_xlfn.XLOOKUP(AY$1,generator!$B$2:$B$295,generator!$Q$2:$Q$295,"ARGH")</f>
        <v>9000</v>
      </c>
      <c r="AZ37" s="3">
        <f>_xlfn.XLOOKUP(AZ$1,generator!$B$2:$B$295,generator!$Q$2:$Q$295,"ARGH")</f>
        <v>9000</v>
      </c>
      <c r="BA37" s="3">
        <f>_xlfn.XLOOKUP(BA$1,generator!$B$2:$B$295,generator!$Q$2:$Q$295,"ARGH")</f>
        <v>9000</v>
      </c>
      <c r="BB37" s="3">
        <f>_xlfn.XLOOKUP(BB$1,generator!$B$2:$B$295,generator!$Q$2:$Q$295,"ARGH")</f>
        <v>9000</v>
      </c>
      <c r="BC37" s="3">
        <f>_xlfn.XLOOKUP(BC$1,generator!$B$2:$B$295,generator!$Q$2:$Q$295,"ARGH")</f>
        <v>9000</v>
      </c>
      <c r="BD37" s="3">
        <f>_xlfn.XLOOKUP(BD$1,generator!$B$2:$B$295,generator!$Q$2:$Q$295,"ARGH")</f>
        <v>9000</v>
      </c>
      <c r="BE37" s="3">
        <f>_xlfn.XLOOKUP(BE$1,generator!$B$2:$B$295,generator!$Q$2:$Q$295,"ARGH")</f>
        <v>9000</v>
      </c>
      <c r="BF37" s="3">
        <f>_xlfn.XLOOKUP(BF$1,generator!$B$2:$B$295,generator!$Q$2:$Q$295,"ARGH")</f>
        <v>9000</v>
      </c>
      <c r="BG37" s="3">
        <f>_xlfn.XLOOKUP(BG$1,generator!$B$2:$B$295,generator!$Q$2:$Q$295,"ARGH")</f>
        <v>9000</v>
      </c>
      <c r="BH37" s="3">
        <f>_xlfn.XLOOKUP(BH$1,generator!$B$2:$B$295,generator!$Q$2:$Q$295,"ARGH")</f>
        <v>9000</v>
      </c>
      <c r="BI37" s="3">
        <f>_xlfn.XLOOKUP(BI$1,generator!$B$2:$B$295,generator!$Q$2:$Q$295,"ARGH")</f>
        <v>9000</v>
      </c>
      <c r="BJ37" s="3">
        <f>_xlfn.XLOOKUP(BJ$1,generator!$B$2:$B$295,generator!$Q$2:$Q$295,"ARGH")</f>
        <v>9000</v>
      </c>
      <c r="BK37" s="3">
        <f>_xlfn.XLOOKUP(BK$1,generator!$B$2:$B$295,generator!$Q$2:$Q$295,"ARGH")</f>
        <v>9000</v>
      </c>
      <c r="BL37" s="3">
        <f>_xlfn.XLOOKUP(BL$1,generator!$B$2:$B$295,generator!$Q$2:$Q$295,"ARGH")</f>
        <v>9000</v>
      </c>
      <c r="BM37" s="3">
        <f>_xlfn.XLOOKUP(BM$1,generator!$B$2:$B$295,generator!$Q$2:$Q$295,"ARGH")</f>
        <v>9000</v>
      </c>
      <c r="BN37" s="3">
        <f>_xlfn.XLOOKUP(BN$1,generator!$B$2:$B$295,generator!$Q$2:$Q$295,"ARGH")</f>
        <v>9000</v>
      </c>
      <c r="BO37" s="3">
        <f>_xlfn.XLOOKUP(BO$1,generator!$B$2:$B$295,generator!$Q$2:$Q$295,"ARGH")</f>
        <v>9000</v>
      </c>
      <c r="BP37" s="3">
        <f>_xlfn.XLOOKUP(BP$1,generator!$B$2:$B$295,generator!$Q$2:$Q$295,"ARGH")</f>
        <v>9000</v>
      </c>
      <c r="BQ37" s="3">
        <f>_xlfn.XLOOKUP(BQ$1,generator!$B$2:$B$295,generator!$Q$2:$Q$295,"ARGH")</f>
        <v>9000</v>
      </c>
      <c r="BR37" s="3">
        <f>_xlfn.XLOOKUP(BR$1,generator!$B$2:$B$295,generator!$Q$2:$Q$295,"ARGH")</f>
        <v>9000</v>
      </c>
      <c r="BS37" s="3">
        <f>_xlfn.XLOOKUP(BS$1,generator!$B$2:$B$295,generator!$Q$2:$Q$295,"ARGH")</f>
        <v>9000</v>
      </c>
      <c r="BT37" s="3">
        <f>_xlfn.XLOOKUP(BT$1,generator!$B$2:$B$295,generator!$Q$2:$Q$295,"ARGH")</f>
        <v>9000</v>
      </c>
      <c r="BU37" s="3">
        <f>_xlfn.XLOOKUP(BU$1,generator!$B$2:$B$295,generator!$Q$2:$Q$295,"ARGH")</f>
        <v>9000</v>
      </c>
      <c r="BV37" s="3">
        <f>_xlfn.XLOOKUP(BV$1,generator!$B$2:$B$295,generator!$Q$2:$Q$295,"ARGH")</f>
        <v>9000</v>
      </c>
      <c r="BW37" s="3">
        <f>_xlfn.XLOOKUP(BW$1,generator!$B$2:$B$295,generator!$Q$2:$Q$295,"ARGH")</f>
        <v>9000</v>
      </c>
      <c r="BX37" s="3">
        <f>_xlfn.XLOOKUP(BX$1,generator!$B$2:$B$295,generator!$Q$2:$Q$295,"ARGH")</f>
        <v>9000</v>
      </c>
      <c r="BY37" s="3">
        <f>_xlfn.XLOOKUP(BY$1,generator!$B$2:$B$295,generator!$Q$2:$Q$295,"ARGH")</f>
        <v>9000</v>
      </c>
      <c r="BZ37" s="3">
        <f>_xlfn.XLOOKUP(BZ$1,generator!$B$2:$B$295,generator!$Q$2:$Q$295,"ARGH")</f>
        <v>9000</v>
      </c>
      <c r="CA37" s="3">
        <f>_xlfn.XLOOKUP(CA$1,generator!$B$2:$B$295,generator!$Q$2:$Q$295,"ARGH")</f>
        <v>9000</v>
      </c>
      <c r="CB37" s="3">
        <f>_xlfn.XLOOKUP(CB$1,generator!$B$2:$B$295,generator!$Q$2:$Q$295,"ARGH")</f>
        <v>9000</v>
      </c>
      <c r="CC37" s="3">
        <f>_xlfn.XLOOKUP(CC$1,generator!$B$2:$B$295,generator!$Q$2:$Q$295,"ARGH")</f>
        <v>9000</v>
      </c>
      <c r="CD37" s="3">
        <f>_xlfn.XLOOKUP(CD$1,generator!$B$2:$B$295,generator!$Q$2:$Q$295,"ARGH")</f>
        <v>9000</v>
      </c>
      <c r="CE37" s="3">
        <f>_xlfn.XLOOKUP(CE$1,generator!$B$2:$B$295,generator!$Q$2:$Q$295,"ARGH")</f>
        <v>9000</v>
      </c>
      <c r="CF37" s="3">
        <f>_xlfn.XLOOKUP(CF$1,generator!$B$2:$B$295,generator!$Q$2:$Q$295,"ARGH")</f>
        <v>9000</v>
      </c>
      <c r="CG37" s="3">
        <f>_xlfn.XLOOKUP(CG$1,generator!$B$2:$B$295,generator!$Q$2:$Q$295,"ARGH")</f>
        <v>9000</v>
      </c>
      <c r="CH37" s="3">
        <f>_xlfn.XLOOKUP(CH$1,generator!$B$2:$B$295,generator!$Q$2:$Q$295,"ARGH")</f>
        <v>9000</v>
      </c>
      <c r="CI37" s="3">
        <f>_xlfn.XLOOKUP(CI$1,generator!$B$2:$B$295,generator!$Q$2:$Q$295,"ARGH")</f>
        <v>9000</v>
      </c>
      <c r="CJ37" s="3">
        <f>_xlfn.XLOOKUP(CJ$1,generator!$B$2:$B$295,generator!$Q$2:$Q$295,"ARGH")</f>
        <v>9000</v>
      </c>
      <c r="CK37" s="3">
        <f>_xlfn.XLOOKUP(CK$1,generator!$B$2:$B$295,generator!$Q$2:$Q$295,"ARGH")</f>
        <v>9000</v>
      </c>
      <c r="CL37" s="3">
        <f>_xlfn.XLOOKUP(CL$1,generator!$B$2:$B$295,generator!$Q$2:$Q$295,"ARGH")</f>
        <v>9000</v>
      </c>
      <c r="CM37" s="3">
        <f>_xlfn.XLOOKUP(CM$1,generator!$B$2:$B$295,generator!$Q$2:$Q$295,"ARGH")</f>
        <v>9000</v>
      </c>
      <c r="CN37" s="3">
        <f>_xlfn.XLOOKUP(CN$1,generator!$B$2:$B$295,generator!$Q$2:$Q$295,"ARGH")</f>
        <v>9000</v>
      </c>
      <c r="CO37" s="3">
        <f>_xlfn.XLOOKUP(CO$1,generator!$B$2:$B$295,generator!$Q$2:$Q$295,"ARGH")</f>
        <v>9000</v>
      </c>
      <c r="CP37" s="3">
        <f>_xlfn.XLOOKUP(CP$1,generator!$B$2:$B$295,generator!$Q$2:$Q$295,"ARGH")</f>
        <v>9000</v>
      </c>
      <c r="CQ37" s="3">
        <f>_xlfn.XLOOKUP(CQ$1,generator!$B$2:$B$295,generator!$Q$2:$Q$295,"ARGH")</f>
        <v>9000</v>
      </c>
      <c r="CR37" s="3">
        <f>_xlfn.XLOOKUP(CR$1,generator!$B$2:$B$295,generator!$Q$2:$Q$295,"ARGH")</f>
        <v>9000</v>
      </c>
      <c r="CS37" s="3">
        <f>_xlfn.XLOOKUP(CS$1,generator!$B$2:$B$295,generator!$Q$2:$Q$295,"ARGH")</f>
        <v>9000</v>
      </c>
      <c r="CT37" s="3">
        <f>_xlfn.XLOOKUP(CT$1,generator!$B$2:$B$295,generator!$Q$2:$Q$295,"ARGH")</f>
        <v>9000</v>
      </c>
      <c r="CU37" s="3">
        <f>_xlfn.XLOOKUP(CU$1,generator!$B$2:$B$295,generator!$Q$2:$Q$295,"ARGH")</f>
        <v>9000</v>
      </c>
      <c r="CV37" s="3">
        <f>_xlfn.XLOOKUP(CV$1,generator!$B$2:$B$295,generator!$Q$2:$Q$295,"ARGH")</f>
        <v>9000</v>
      </c>
      <c r="CW37" s="3">
        <f>_xlfn.XLOOKUP(CW$1,generator!$B$2:$B$295,generator!$Q$2:$Q$295,"ARGH")</f>
        <v>9000</v>
      </c>
      <c r="CX37" s="3">
        <f>_xlfn.XLOOKUP(CX$1,generator!$B$2:$B$295,generator!$Q$2:$Q$295,"ARGH")</f>
        <v>9000</v>
      </c>
      <c r="CY37" s="3">
        <f>_xlfn.XLOOKUP(CY$1,generator!$B$2:$B$295,generator!$Q$2:$Q$295,"ARGH")</f>
        <v>9000</v>
      </c>
      <c r="CZ37" s="3">
        <f>_xlfn.XLOOKUP(CZ$1,generator!$B$2:$B$295,generator!$Q$2:$Q$295,"ARGH")</f>
        <v>9000</v>
      </c>
      <c r="DA37" s="3">
        <f>_xlfn.XLOOKUP(DA$1,generator!$B$2:$B$295,generator!$Q$2:$Q$295,"ARGH")</f>
        <v>9000</v>
      </c>
      <c r="DB37" s="3">
        <f>_xlfn.XLOOKUP(DB$1,generator!$B$2:$B$295,generator!$Q$2:$Q$295,"ARGH")</f>
        <v>9000</v>
      </c>
      <c r="DC37" s="3">
        <f>_xlfn.XLOOKUP(DC$1,generator!$B$2:$B$295,generator!$Q$2:$Q$295,"ARGH")</f>
        <v>9000</v>
      </c>
      <c r="DD37" s="3">
        <f>_xlfn.XLOOKUP(DD$1,generator!$B$2:$B$295,generator!$Q$2:$Q$295,"ARGH")</f>
        <v>9000</v>
      </c>
      <c r="DE37" s="3">
        <f>_xlfn.XLOOKUP(DE$1,generator!$B$2:$B$295,generator!$Q$2:$Q$295,"ARGH")</f>
        <v>9000</v>
      </c>
      <c r="DF37" s="3">
        <f>_xlfn.XLOOKUP(DF$1,generator!$B$2:$B$295,generator!$Q$2:$Q$295,"ARGH")</f>
        <v>9000</v>
      </c>
      <c r="DG37" s="3">
        <f>_xlfn.XLOOKUP(DG$1,generator!$B$2:$B$295,generator!$Q$2:$Q$295,"ARGH")</f>
        <v>9000</v>
      </c>
      <c r="DH37" s="3">
        <f>_xlfn.XLOOKUP(DH$1,generator!$B$2:$B$295,generator!$Q$2:$Q$295,"ARGH")</f>
        <v>9000</v>
      </c>
      <c r="DI37" s="3">
        <f>_xlfn.XLOOKUP(DI$1,generator!$B$2:$B$295,generator!$Q$2:$Q$295,"ARGH")</f>
        <v>9000</v>
      </c>
      <c r="DJ37" s="3">
        <f>_xlfn.XLOOKUP(DJ$1,generator!$B$2:$B$295,generator!$Q$2:$Q$295,"ARGH")</f>
        <v>9000</v>
      </c>
      <c r="DK37" s="3">
        <f>_xlfn.XLOOKUP(DK$1,generator!$B$2:$B$295,generator!$Q$2:$Q$295,"ARGH")</f>
        <v>9000</v>
      </c>
      <c r="DL37" s="3">
        <f>_xlfn.XLOOKUP(DL$1,generator!$B$2:$B$295,generator!$Q$2:$Q$295,"ARGH")</f>
        <v>9000</v>
      </c>
      <c r="DM37" s="3">
        <f>_xlfn.XLOOKUP(DM$1,generator!$B$2:$B$295,generator!$Q$2:$Q$295,"ARGH")</f>
        <v>9000</v>
      </c>
      <c r="DN37" s="3">
        <f>_xlfn.XLOOKUP(DN$1,generator!$B$2:$B$295,generator!$Q$2:$Q$295,"ARGH")</f>
        <v>9000</v>
      </c>
      <c r="DO37" s="3">
        <f>_xlfn.XLOOKUP(DO$1,generator!$B$2:$B$295,generator!$Q$2:$Q$295,"ARGH")</f>
        <v>9000</v>
      </c>
      <c r="DP37" s="3">
        <f>_xlfn.XLOOKUP(DP$1,generator!$B$2:$B$295,generator!$Q$2:$Q$295,"ARGH")</f>
        <v>9000</v>
      </c>
      <c r="DQ37" s="3">
        <f>_xlfn.XLOOKUP(DQ$1,generator!$B$2:$B$295,generator!$Q$2:$Q$295,"ARGH")</f>
        <v>9000</v>
      </c>
      <c r="DR37" s="3">
        <f>_xlfn.XLOOKUP(DR$1,generator!$B$2:$B$295,generator!$Q$2:$Q$295,"ARGH")</f>
        <v>9000</v>
      </c>
      <c r="DS37" s="3">
        <f>_xlfn.XLOOKUP(DS$1,generator!$B$2:$B$295,generator!$Q$2:$Q$295,"ARGH")</f>
        <v>9000</v>
      </c>
      <c r="DT37" s="3">
        <f>_xlfn.XLOOKUP(DT$1,generator!$B$2:$B$295,generator!$Q$2:$Q$295,"ARGH")</f>
        <v>9000</v>
      </c>
      <c r="DU37" s="3">
        <f>_xlfn.XLOOKUP(DU$1,generator!$B$2:$B$295,generator!$Q$2:$Q$295,"ARGH")</f>
        <v>9000</v>
      </c>
      <c r="DV37" s="3">
        <f>_xlfn.XLOOKUP(DV$1,generator!$B$2:$B$295,generator!$Q$2:$Q$295,"ARGH")</f>
        <v>9000</v>
      </c>
      <c r="DW37" s="3">
        <f>_xlfn.XLOOKUP(DW$1,generator!$B$2:$B$295,generator!$Q$2:$Q$295,"ARGH")</f>
        <v>9000</v>
      </c>
      <c r="DX37" s="3">
        <f>_xlfn.XLOOKUP(DX$1,generator!$B$2:$B$295,generator!$Q$2:$Q$295,"ARGH")</f>
        <v>9000</v>
      </c>
      <c r="DY37" s="3">
        <f>_xlfn.XLOOKUP(DY$1,generator!$B$2:$B$295,generator!$Q$2:$Q$295,"ARGH")</f>
        <v>9000</v>
      </c>
      <c r="DZ37" s="3">
        <f>_xlfn.XLOOKUP(DZ$1,generator!$B$2:$B$295,generator!$Q$2:$Q$295,"ARGH")</f>
        <v>9000</v>
      </c>
      <c r="EA37" s="3">
        <f>_xlfn.XLOOKUP(EA$1,generator!$B$2:$B$295,generator!$Q$2:$Q$295,"ARGH")</f>
        <v>9000</v>
      </c>
      <c r="EB37" s="3">
        <f>_xlfn.XLOOKUP(EB$1,generator!$B$2:$B$295,generator!$Q$2:$Q$295,"ARGH")</f>
        <v>9000</v>
      </c>
      <c r="EC37" s="3">
        <f>_xlfn.XLOOKUP(EC$1,generator!$B$2:$B$295,generator!$Q$2:$Q$295,"ARGH")</f>
        <v>9000</v>
      </c>
      <c r="ED37" s="3">
        <f>_xlfn.XLOOKUP(ED$1,generator!$B$2:$B$295,generator!$Q$2:$Q$295,"ARGH")</f>
        <v>9000</v>
      </c>
      <c r="EE37" s="3">
        <f>_xlfn.XLOOKUP(EE$1,generator!$B$2:$B$295,generator!$Q$2:$Q$295,"ARGH")</f>
        <v>9000</v>
      </c>
      <c r="EF37" s="3">
        <f>_xlfn.XLOOKUP(EF$1,generator!$B$2:$B$295,generator!$Q$2:$Q$295,"ARGH")</f>
        <v>9000</v>
      </c>
      <c r="EG37" s="3">
        <f>_xlfn.XLOOKUP(EG$1,generator!$B$2:$B$295,generator!$Q$2:$Q$295,"ARGH")</f>
        <v>9000</v>
      </c>
      <c r="EH37" s="3">
        <f>_xlfn.XLOOKUP(EH$1,generator!$B$2:$B$295,generator!$Q$2:$Q$295,"ARGH")</f>
        <v>9000</v>
      </c>
      <c r="EI37" s="3">
        <f>_xlfn.XLOOKUP(EI$1,generator!$B$2:$B$295,generator!$Q$2:$Q$295,"ARGH")</f>
        <v>9000</v>
      </c>
      <c r="EJ37" s="3">
        <f>_xlfn.XLOOKUP(EJ$1,generator!$B$2:$B$295,generator!$Q$2:$Q$295,"ARGH")</f>
        <v>9000</v>
      </c>
      <c r="EK37" s="3">
        <f>_xlfn.XLOOKUP(EK$1,generator!$B$2:$B$295,generator!$Q$2:$Q$295,"ARGH")</f>
        <v>9000</v>
      </c>
      <c r="EL37" s="3">
        <f>_xlfn.XLOOKUP(EL$1,generator!$B$2:$B$295,generator!$Q$2:$Q$295,"ARGH")</f>
        <v>9000</v>
      </c>
      <c r="EM37" s="3">
        <f>_xlfn.XLOOKUP(EM$1,generator!$B$2:$B$295,generator!$Q$2:$Q$295,"ARGH")</f>
        <v>9000</v>
      </c>
      <c r="EN37" s="3">
        <f>_xlfn.XLOOKUP(EN$1,generator!$B$2:$B$295,generator!$Q$2:$Q$295,"ARGH")</f>
        <v>9000</v>
      </c>
      <c r="EO37" s="3">
        <f>_xlfn.XLOOKUP(EO$1,generator!$B$2:$B$295,generator!$Q$2:$Q$295,"ARGH")</f>
        <v>9000</v>
      </c>
      <c r="EP37" s="3">
        <f>_xlfn.XLOOKUP(EP$1,generator!$B$2:$B$295,generator!$Q$2:$Q$295,"ARGH")</f>
        <v>9000</v>
      </c>
      <c r="EQ37" s="3">
        <f>_xlfn.XLOOKUP(EQ$1,generator!$B$2:$B$295,generator!$Q$2:$Q$295,"ARGH")</f>
        <v>9000</v>
      </c>
      <c r="ER37" s="3">
        <f>_xlfn.XLOOKUP(ER$1,generator!$B$2:$B$295,generator!$Q$2:$Q$295,"ARGH")</f>
        <v>9000</v>
      </c>
      <c r="ES37" s="3">
        <f>_xlfn.XLOOKUP(ES$1,generator!$B$2:$B$295,generator!$Q$2:$Q$295,"ARGH")</f>
        <v>9000</v>
      </c>
      <c r="ET37" s="3">
        <f>_xlfn.XLOOKUP(ET$1,generator!$B$2:$B$295,generator!$Q$2:$Q$295,"ARGH")</f>
        <v>9000</v>
      </c>
      <c r="EU37" s="3">
        <f>_xlfn.XLOOKUP(EU$1,generator!$B$2:$B$295,generator!$Q$2:$Q$295,"ARGH")</f>
        <v>9000</v>
      </c>
      <c r="EV37" s="3">
        <f>_xlfn.XLOOKUP(EV$1,generator!$B$2:$B$295,generator!$Q$2:$Q$295,"ARGH")</f>
        <v>9000</v>
      </c>
      <c r="EW37" s="3">
        <f>_xlfn.XLOOKUP(EW$1,generator!$B$2:$B$295,generator!$Q$2:$Q$295,"ARGH")</f>
        <v>9000</v>
      </c>
      <c r="EX37" s="3">
        <f>_xlfn.XLOOKUP(EX$1,generator!$B$2:$B$295,generator!$Q$2:$Q$295,"ARGH")</f>
        <v>9000</v>
      </c>
      <c r="EY37" s="3">
        <f>_xlfn.XLOOKUP(EY$1,generator!$B$2:$B$295,generator!$Q$2:$Q$295,"ARGH")</f>
        <v>9000</v>
      </c>
      <c r="EZ37" s="3">
        <f>_xlfn.XLOOKUP(EZ$1,generator!$B$2:$B$295,generator!$Q$2:$Q$295,"ARGH")</f>
        <v>9000</v>
      </c>
      <c r="FA37" s="3">
        <f>_xlfn.XLOOKUP(FA$1,generator!$B$2:$B$295,generator!$Q$2:$Q$295,"ARGH")</f>
        <v>9000</v>
      </c>
      <c r="FB37" s="3">
        <f>_xlfn.XLOOKUP(FB$1,generator!$B$2:$B$295,generator!$Q$2:$Q$295,"ARGH")</f>
        <v>9000</v>
      </c>
      <c r="FC37" s="3">
        <f>_xlfn.XLOOKUP(FC$1,generator!$B$2:$B$295,generator!$Q$2:$Q$295,"ARGH")</f>
        <v>9000</v>
      </c>
      <c r="FD37" s="3">
        <f>_xlfn.XLOOKUP(FD$1,generator!$B$2:$B$295,generator!$Q$2:$Q$295,"ARGH")</f>
        <v>9000</v>
      </c>
      <c r="FE37" s="3">
        <f>_xlfn.XLOOKUP(FE$1,generator!$B$2:$B$295,generator!$Q$2:$Q$295,"ARGH")</f>
        <v>9000</v>
      </c>
      <c r="FF37" s="3">
        <f>_xlfn.XLOOKUP(FF$1,generator!$B$2:$B$295,generator!$Q$2:$Q$295,"ARGH")</f>
        <v>9000</v>
      </c>
      <c r="FG37" s="3">
        <f>_xlfn.XLOOKUP(FG$1,generator!$B$2:$B$295,generator!$Q$2:$Q$295,"ARGH")</f>
        <v>9000</v>
      </c>
      <c r="FH37" s="3">
        <f>_xlfn.XLOOKUP(FH$1,generator!$B$2:$B$295,generator!$Q$2:$Q$295,"ARGH")</f>
        <v>9000</v>
      </c>
      <c r="FI37" s="3">
        <f>_xlfn.XLOOKUP(FI$1,generator!$B$2:$B$295,generator!$Q$2:$Q$295,"ARGH")</f>
        <v>9000</v>
      </c>
      <c r="FJ37" s="3">
        <f>_xlfn.XLOOKUP(FJ$1,generator!$B$2:$B$295,generator!$Q$2:$Q$295,"ARGH")</f>
        <v>9000</v>
      </c>
      <c r="FK37" s="3">
        <f>_xlfn.XLOOKUP(FK$1,generator!$B$2:$B$295,generator!$Q$2:$Q$295,"ARGH")</f>
        <v>9000</v>
      </c>
      <c r="FL37" s="3">
        <f>_xlfn.XLOOKUP(FL$1,generator!$B$2:$B$295,generator!$Q$2:$Q$295,"ARGH")</f>
        <v>9000</v>
      </c>
      <c r="FM37" s="3">
        <f>_xlfn.XLOOKUP(FM$1,generator!$B$2:$B$295,generator!$Q$2:$Q$295,"ARGH")</f>
        <v>9000</v>
      </c>
      <c r="FN37" s="3">
        <f>_xlfn.XLOOKUP(FN$1,generator!$B$2:$B$295,generator!$Q$2:$Q$295,"ARGH")</f>
        <v>9000</v>
      </c>
      <c r="FO37" s="3">
        <f>_xlfn.XLOOKUP(FO$1,generator!$B$2:$B$295,generator!$Q$2:$Q$295,"ARGH")</f>
        <v>9000</v>
      </c>
      <c r="FP37" s="3">
        <f>_xlfn.XLOOKUP(FP$1,generator!$B$2:$B$295,generator!$Q$2:$Q$295,"ARGH")</f>
        <v>9000</v>
      </c>
      <c r="FQ37" s="3">
        <f>_xlfn.XLOOKUP(FQ$1,generator!$B$2:$B$295,generator!$Q$2:$Q$295,"ARGH")</f>
        <v>9000</v>
      </c>
      <c r="FR37" s="3">
        <f>_xlfn.XLOOKUP(FR$1,generator!$B$2:$B$295,generator!$Q$2:$Q$295,"ARGH")</f>
        <v>9000</v>
      </c>
      <c r="FS37" s="3">
        <f>_xlfn.XLOOKUP(FS$1,generator!$B$2:$B$295,generator!$Q$2:$Q$295,"ARGH")</f>
        <v>9000</v>
      </c>
      <c r="FT37" s="3">
        <f>_xlfn.XLOOKUP(FT$1,generator!$B$2:$B$295,generator!$Q$2:$Q$295,"ARGH")</f>
        <v>9000</v>
      </c>
      <c r="FU37" s="3">
        <f>_xlfn.XLOOKUP(FU$1,generator!$B$2:$B$295,generator!$Q$2:$Q$295,"ARGH")</f>
        <v>9000</v>
      </c>
      <c r="FV37" s="3">
        <f>_xlfn.XLOOKUP(FV$1,generator!$B$2:$B$295,generator!$Q$2:$Q$295,"ARGH")</f>
        <v>9000</v>
      </c>
      <c r="FW37" s="3">
        <f>_xlfn.XLOOKUP(FW$1,generator!$B$2:$B$295,generator!$Q$2:$Q$295,"ARGH")</f>
        <v>9000</v>
      </c>
      <c r="FX37" s="3">
        <f>_xlfn.XLOOKUP(FX$1,generator!$B$2:$B$295,generator!$Q$2:$Q$295,"ARGH")</f>
        <v>9000</v>
      </c>
      <c r="FY37" s="3">
        <f>_xlfn.XLOOKUP(FY$1,generator!$B$2:$B$295,generator!$Q$2:$Q$295,"ARGH")</f>
        <v>9000</v>
      </c>
      <c r="FZ37" s="3">
        <f>_xlfn.XLOOKUP(FZ$1,generator!$B$2:$B$295,generator!$Q$2:$Q$295,"ARGH")</f>
        <v>9000</v>
      </c>
      <c r="GA37" s="3">
        <f>_xlfn.XLOOKUP(GA$1,generator!$B$2:$B$295,generator!$Q$2:$Q$295,"ARGH")</f>
        <v>9000</v>
      </c>
      <c r="GB37" s="3">
        <f>_xlfn.XLOOKUP(GB$1,generator!$B$2:$B$295,generator!$Q$2:$Q$295,"ARGH")</f>
        <v>9000</v>
      </c>
      <c r="GC37" s="3">
        <f>_xlfn.XLOOKUP(GC$1,generator!$B$2:$B$295,generator!$Q$2:$Q$295,"ARGH")</f>
        <v>9000</v>
      </c>
      <c r="GD37" s="3">
        <f>_xlfn.XLOOKUP(GD$1,generator!$B$2:$B$295,generator!$Q$2:$Q$295,"ARGH")</f>
        <v>9000</v>
      </c>
      <c r="GE37" s="3">
        <f>_xlfn.XLOOKUP(GE$1,generator!$B$2:$B$295,generator!$Q$2:$Q$295,"ARGH")</f>
        <v>9000</v>
      </c>
      <c r="GF37" s="3">
        <f>_xlfn.XLOOKUP(GF$1,generator!$B$2:$B$295,generator!$Q$2:$Q$295,"ARGH")</f>
        <v>9000</v>
      </c>
      <c r="GG37" s="3">
        <f>_xlfn.XLOOKUP(GG$1,generator!$B$2:$B$295,generator!$Q$2:$Q$295,"ARGH")</f>
        <v>9000</v>
      </c>
      <c r="GH37" s="3">
        <f>_xlfn.XLOOKUP(GH$1,generator!$B$2:$B$295,generator!$Q$2:$Q$295,"ARGH")</f>
        <v>9000</v>
      </c>
      <c r="GI37" s="3">
        <f>_xlfn.XLOOKUP(GI$1,generator!$B$2:$B$295,generator!$Q$2:$Q$295,"ARGH")</f>
        <v>9000</v>
      </c>
      <c r="GJ37" s="3">
        <f>_xlfn.XLOOKUP(GJ$1,generator!$B$2:$B$295,generator!$Q$2:$Q$295,"ARGH")</f>
        <v>9000</v>
      </c>
      <c r="GK37" s="3">
        <f>_xlfn.XLOOKUP(GK$1,generator!$B$2:$B$295,generator!$Q$2:$Q$295,"ARGH")</f>
        <v>9000</v>
      </c>
      <c r="GL37" s="3">
        <f>_xlfn.XLOOKUP(GL$1,generator!$B$2:$B$295,generator!$Q$2:$Q$295,"ARGH")</f>
        <v>9000</v>
      </c>
      <c r="GM37" s="3">
        <f>_xlfn.XLOOKUP(GM$1,generator!$B$2:$B$295,generator!$Q$2:$Q$295,"ARGH")</f>
        <v>9000</v>
      </c>
      <c r="GN37" s="3">
        <f>_xlfn.XLOOKUP(GN$1,generator!$B$2:$B$295,generator!$Q$2:$Q$295,"ARGH")</f>
        <v>9000</v>
      </c>
      <c r="GO37" s="3">
        <f>_xlfn.XLOOKUP(GO$1,generator!$B$2:$B$295,generator!$Q$2:$Q$295,"ARGH")</f>
        <v>9000</v>
      </c>
      <c r="GP37" s="3">
        <f>_xlfn.XLOOKUP(GP$1,generator!$B$2:$B$295,generator!$Q$2:$Q$295,"ARGH")</f>
        <v>9000</v>
      </c>
      <c r="GQ37" s="3">
        <f>_xlfn.XLOOKUP(GQ$1,generator!$B$2:$B$295,generator!$Q$2:$Q$295,"ARGH")</f>
        <v>9000</v>
      </c>
      <c r="GR37" s="3">
        <f>_xlfn.XLOOKUP(GR$1,generator!$B$2:$B$295,generator!$Q$2:$Q$295,"ARGH")</f>
        <v>9000</v>
      </c>
      <c r="GS37" s="3">
        <f>_xlfn.XLOOKUP(GS$1,generator!$B$2:$B$295,generator!$Q$2:$Q$295,"ARGH")</f>
        <v>9000</v>
      </c>
      <c r="GT37" s="3">
        <f>_xlfn.XLOOKUP(GT$1,generator!$B$2:$B$295,generator!$Q$2:$Q$295,"ARGH")</f>
        <v>9000</v>
      </c>
      <c r="GU37" s="3">
        <f>_xlfn.XLOOKUP(GU$1,generator!$B$2:$B$295,generator!$Q$2:$Q$295,"ARGH")</f>
        <v>9000</v>
      </c>
      <c r="GV37" s="3">
        <f>_xlfn.XLOOKUP(GV$1,generator!$B$2:$B$295,generator!$Q$2:$Q$295,"ARGH")</f>
        <v>9000</v>
      </c>
      <c r="GW37" s="3">
        <f>_xlfn.XLOOKUP(GW$1,generator!$B$2:$B$295,generator!$Q$2:$Q$295,"ARGH")</f>
        <v>9000</v>
      </c>
      <c r="GX37" s="3">
        <f>_xlfn.XLOOKUP(GX$1,generator!$B$2:$B$295,generator!$Q$2:$Q$295,"ARGH")</f>
        <v>9000</v>
      </c>
      <c r="GY37" s="3">
        <f>_xlfn.XLOOKUP(GY$1,generator!$B$2:$B$295,generator!$Q$2:$Q$295,"ARGH")</f>
        <v>9000</v>
      </c>
      <c r="GZ37" s="3">
        <f>_xlfn.XLOOKUP(GZ$1,generator!$B$2:$B$295,generator!$Q$2:$Q$295,"ARGH")</f>
        <v>9000</v>
      </c>
      <c r="HA37" s="3">
        <f>_xlfn.XLOOKUP(HA$1,generator!$B$2:$B$295,generator!$Q$2:$Q$295,"ARGH")</f>
        <v>9000</v>
      </c>
      <c r="HB37" s="3">
        <f>_xlfn.XLOOKUP(HB$1,generator!$B$2:$B$295,generator!$Q$2:$Q$295,"ARGH")</f>
        <v>9000</v>
      </c>
      <c r="HC37" s="3">
        <f>_xlfn.XLOOKUP(HC$1,generator!$B$2:$B$295,generator!$Q$2:$Q$295,"ARGH")</f>
        <v>9000</v>
      </c>
      <c r="HD37" s="3">
        <f>_xlfn.XLOOKUP(HD$1,generator!$B$2:$B$295,generator!$Q$2:$Q$295,"ARGH")</f>
        <v>9000</v>
      </c>
      <c r="HE37" s="3">
        <f>_xlfn.XLOOKUP(HE$1,generator!$B$2:$B$295,generator!$Q$2:$Q$295,"ARGH")</f>
        <v>8000</v>
      </c>
      <c r="HF37" s="3" t="str">
        <f>_xlfn.XLOOKUP(HF$1,generator!$B$2:$B$295,generator!$Q$2:$Q$295,"ARGH")</f>
        <v>143</v>
      </c>
      <c r="HG37" s="3" t="str">
        <f>_xlfn.XLOOKUP(HG$1,generator!$B$2:$B$295,generator!$Q$2:$Q$295,"ARGH")</f>
        <v>143</v>
      </c>
      <c r="HH37" s="3" t="str">
        <f>_xlfn.XLOOKUP(HH$1,generator!$B$2:$B$295,generator!$Q$2:$Q$295,"ARGH")</f>
        <v>143</v>
      </c>
      <c r="HI37" s="3" t="str">
        <f>_xlfn.XLOOKUP(HI$1,generator!$B$2:$B$295,generator!$Q$2:$Q$295,"ARGH")</f>
        <v>246.74</v>
      </c>
      <c r="HJ37" s="3" t="str">
        <f>_xlfn.XLOOKUP(HJ$1,generator!$B$2:$B$295,generator!$Q$2:$Q$295,"ARGH")</f>
        <v>246.74</v>
      </c>
      <c r="HK37" s="3" t="str">
        <f>_xlfn.XLOOKUP(HK$1,generator!$B$2:$B$295,generator!$Q$2:$Q$295,"ARGH")</f>
        <v>206.04</v>
      </c>
      <c r="HL37" s="3" t="str">
        <f>_xlfn.XLOOKUP(HL$1,generator!$B$2:$B$295,generator!$Q$2:$Q$295,"ARGH")</f>
        <v>506.96</v>
      </c>
      <c r="HM37" s="3" t="str">
        <f>_xlfn.XLOOKUP(HM$1,generator!$B$2:$B$295,generator!$Q$2:$Q$295,"ARGH")</f>
        <v>506.95</v>
      </c>
      <c r="HN37" s="3" t="str">
        <f>_xlfn.XLOOKUP(HN$1,generator!$B$2:$B$295,generator!$Q$2:$Q$295,"ARGH")</f>
        <v>190.97</v>
      </c>
      <c r="HO37" s="3" t="str">
        <f>_xlfn.XLOOKUP(HO$1,generator!$B$2:$B$295,generator!$Q$2:$Q$295,"ARGH")</f>
        <v>190.97</v>
      </c>
      <c r="HP37" s="3" t="str">
        <f>_xlfn.XLOOKUP(HP$1,generator!$B$2:$B$295,generator!$Q$2:$Q$295,"ARGH")</f>
        <v>424.84</v>
      </c>
      <c r="HQ37" s="3" t="str">
        <f>_xlfn.XLOOKUP(HQ$1,generator!$B$2:$B$295,generator!$Q$2:$Q$295,"ARGH")</f>
        <v>425.9</v>
      </c>
      <c r="HR37" s="3" t="str">
        <f>_xlfn.XLOOKUP(HR$1,generator!$B$2:$B$295,generator!$Q$2:$Q$295,"ARGH")</f>
        <v>425.9</v>
      </c>
      <c r="HS37" s="3" t="str">
        <f>_xlfn.XLOOKUP(HS$1,generator!$B$2:$B$295,generator!$Q$2:$Q$295,"ARGH")</f>
        <v>196.54</v>
      </c>
      <c r="HT37" s="3" t="str">
        <f>_xlfn.XLOOKUP(HT$1,generator!$B$2:$B$295,generator!$Q$2:$Q$295,"ARGH")</f>
        <v>196.54</v>
      </c>
      <c r="HU37" s="3" t="str">
        <f>_xlfn.XLOOKUP(HU$1,generator!$B$2:$B$295,generator!$Q$2:$Q$295,"ARGH")</f>
        <v>145.57</v>
      </c>
      <c r="HV37" s="3" t="str">
        <f>_xlfn.XLOOKUP(HV$1,generator!$B$2:$B$295,generator!$Q$2:$Q$295,"ARGH")</f>
        <v>132.62</v>
      </c>
      <c r="HW37" s="3" t="str">
        <f>_xlfn.XLOOKUP(HW$1,generator!$B$2:$B$295,generator!$Q$2:$Q$295,"ARGH")</f>
        <v>193.76</v>
      </c>
      <c r="HX37" s="3" t="str">
        <f>_xlfn.XLOOKUP(HX$1,generator!$B$2:$B$295,generator!$Q$2:$Q$295,"ARGH")</f>
        <v>193.76</v>
      </c>
      <c r="HY37" s="3" t="str">
        <f>_xlfn.XLOOKUP(HY$1,generator!$B$2:$B$295,generator!$Q$2:$Q$295,"ARGH")</f>
        <v>79.19</v>
      </c>
      <c r="HZ37" s="3" t="str">
        <f>_xlfn.XLOOKUP(HZ$1,generator!$B$2:$B$295,generator!$Q$2:$Q$295,"ARGH")</f>
        <v>125.79</v>
      </c>
      <c r="IA37" s="3" t="str">
        <f>_xlfn.XLOOKUP(IA$1,generator!$B$2:$B$295,generator!$Q$2:$Q$295,"ARGH")</f>
        <v>54.19</v>
      </c>
      <c r="IB37" s="3" t="str">
        <f>_xlfn.XLOOKUP(IB$1,generator!$B$2:$B$295,generator!$Q$2:$Q$295,"ARGH")</f>
        <v>59.7</v>
      </c>
      <c r="IC37" s="3">
        <f>_xlfn.XLOOKUP(IC$1,generator!$B$2:$B$295,generator!$Q$2:$Q$295,"ARGH")</f>
        <v>0</v>
      </c>
      <c r="ID37" s="3" t="str">
        <f>_xlfn.XLOOKUP(ID$1,generator!$B$2:$B$295,generator!$Q$2:$Q$295,"ARGH")</f>
        <v>121.14</v>
      </c>
      <c r="IE37" s="3" t="str">
        <f>_xlfn.XLOOKUP(IE$1,generator!$B$2:$B$295,generator!$Q$2:$Q$295,"ARGH")</f>
        <v>26.6</v>
      </c>
      <c r="IF37" s="3">
        <f>_xlfn.XLOOKUP(IF$1,generator!$B$2:$B$295,generator!$Q$2:$Q$295,"ARGH")</f>
        <v>8000</v>
      </c>
      <c r="IG37" s="3">
        <f>_xlfn.XLOOKUP(IG$1,generator!$B$2:$B$295,generator!$Q$2:$Q$295,"ARGH")</f>
        <v>8000</v>
      </c>
      <c r="IH37" s="3">
        <f>_xlfn.XLOOKUP(IH$1,generator!$B$2:$B$295,generator!$Q$2:$Q$295,"ARGH")</f>
        <v>8000</v>
      </c>
      <c r="II37" s="3">
        <f>_xlfn.XLOOKUP(II$1,generator!$B$2:$B$295,generator!$Q$2:$Q$295,"ARGH")</f>
        <v>8000</v>
      </c>
      <c r="IJ37" s="3">
        <f>_xlfn.XLOOKUP(IJ$1,generator!$B$2:$B$295,generator!$Q$2:$Q$295,"ARGH")</f>
        <v>8000</v>
      </c>
      <c r="IK37" s="3">
        <f>_xlfn.XLOOKUP(IK$1,generator!$B$2:$B$295,generator!$Q$2:$Q$295,"ARGH")</f>
        <v>8000</v>
      </c>
      <c r="IL37" s="3">
        <f>_xlfn.XLOOKUP(IL$1,generator!$B$2:$B$295,generator!$Q$2:$Q$295,"ARGH")</f>
        <v>8000</v>
      </c>
      <c r="IM37" s="3">
        <f>_xlfn.XLOOKUP(IM$1,generator!$B$2:$B$295,generator!$Q$2:$Q$295,"ARGH")</f>
        <v>8000</v>
      </c>
      <c r="IN37" s="3">
        <f>_xlfn.XLOOKUP(IN$1,generator!$B$2:$B$295,generator!$Q$2:$Q$295,"ARGH")</f>
        <v>8000</v>
      </c>
      <c r="IO37" s="3">
        <f>_xlfn.XLOOKUP(IO$1,generator!$B$2:$B$295,generator!$Q$2:$Q$295,"ARGH")</f>
        <v>8000</v>
      </c>
      <c r="IP37" s="3">
        <f>_xlfn.XLOOKUP(IP$1,generator!$B$2:$B$295,generator!$Q$2:$Q$295,"ARGH")</f>
        <v>8000</v>
      </c>
      <c r="IQ37" s="3">
        <f>_xlfn.XLOOKUP(IQ$1,generator!$B$2:$B$295,generator!$Q$2:$Q$295,"ARGH")</f>
        <v>8000</v>
      </c>
      <c r="IR37" s="3">
        <f>_xlfn.XLOOKUP(IR$1,generator!$B$2:$B$295,generator!$Q$2:$Q$295,"ARGH")</f>
        <v>8000</v>
      </c>
      <c r="IS37" s="3">
        <f>_xlfn.XLOOKUP(IS$1,generator!$B$2:$B$295,generator!$Q$2:$Q$295,"ARGH")</f>
        <v>8000</v>
      </c>
      <c r="IT37" s="3">
        <f>_xlfn.XLOOKUP(IT$1,generator!$B$2:$B$295,generator!$Q$2:$Q$295,"ARGH")</f>
        <v>8000</v>
      </c>
      <c r="IU37" s="3">
        <f>_xlfn.XLOOKUP(IU$1,generator!$B$2:$B$295,generator!$Q$2:$Q$295,"ARGH")</f>
        <v>8000</v>
      </c>
      <c r="IV37" s="3">
        <f>_xlfn.XLOOKUP(IV$1,generator!$B$2:$B$295,generator!$Q$2:$Q$295,"ARGH")</f>
        <v>8000</v>
      </c>
      <c r="IW37" s="3" t="str">
        <f>_xlfn.XLOOKUP(IW$1,generator!$B$2:$B$295,generator!$Q$2:$Q$295,"ARGH")</f>
        <v>108.19</v>
      </c>
      <c r="IX37" s="3" t="str">
        <f>_xlfn.XLOOKUP(IX$1,generator!$B$2:$B$295,generator!$Q$2:$Q$295,"ARGH")</f>
        <v>108.18</v>
      </c>
      <c r="IY37" s="3" t="str">
        <f>_xlfn.XLOOKUP(IY$1,generator!$B$2:$B$295,generator!$Q$2:$Q$295,"ARGH")</f>
        <v>108.17</v>
      </c>
      <c r="IZ37" s="3" t="str">
        <f>_xlfn.XLOOKUP(IZ$1,generator!$B$2:$B$295,generator!$Q$2:$Q$295,"ARGH")</f>
        <v>40.96</v>
      </c>
      <c r="JA37" s="3">
        <f>_xlfn.XLOOKUP(JA$1,generator!$B$2:$B$295,generator!$Q$2:$Q$295,"ARGH")</f>
        <v>0</v>
      </c>
      <c r="JB37" s="3">
        <f>_xlfn.XLOOKUP(JB$1,generator!$B$2:$B$295,generator!$Q$2:$Q$295,"ARGH")</f>
        <v>0</v>
      </c>
      <c r="JC37" s="3" t="str">
        <f>_xlfn.XLOOKUP(JC$1,generator!$B$2:$B$295,generator!$Q$2:$Q$295,"ARGH")</f>
        <v>75.91</v>
      </c>
      <c r="JD37" s="3" t="str">
        <f>_xlfn.XLOOKUP(JD$1,generator!$B$2:$B$295,generator!$Q$2:$Q$295,"ARGH")</f>
        <v>75.91</v>
      </c>
      <c r="JE37" s="3" t="str">
        <f>_xlfn.XLOOKUP(JE$1,generator!$B$2:$B$295,generator!$Q$2:$Q$295,"ARGH")</f>
        <v>51.59</v>
      </c>
      <c r="JF37" s="3" t="str">
        <f>_xlfn.XLOOKUP(JF$1,generator!$B$2:$B$295,generator!$Q$2:$Q$295,"ARGH")</f>
        <v>111.57</v>
      </c>
      <c r="JG37" s="3">
        <f>_xlfn.XLOOKUP(JG$1,generator!$B$2:$B$295,generator!$Q$2:$Q$295,"ARGH")</f>
        <v>0</v>
      </c>
      <c r="JH37" s="3" t="str">
        <f>_xlfn.XLOOKUP(JH$1,generator!$B$2:$B$295,generator!$Q$2:$Q$295,"ARGH")</f>
        <v>48.65</v>
      </c>
      <c r="JI37" s="3" t="str">
        <f>_xlfn.XLOOKUP(JI$1,generator!$B$2:$B$295,generator!$Q$2:$Q$295,"ARGH")</f>
        <v>71.88</v>
      </c>
      <c r="JJ37" s="3" t="str">
        <f>_xlfn.XLOOKUP(JJ$1,generator!$B$2:$B$295,generator!$Q$2:$Q$295,"ARGH")</f>
        <v>98.17</v>
      </c>
      <c r="JK37" s="3" t="str">
        <f>_xlfn.XLOOKUP(JK$1,generator!$B$2:$B$295,generator!$Q$2:$Q$295,"ARGH")</f>
        <v>98.17</v>
      </c>
      <c r="JL37" s="3" t="str">
        <f>_xlfn.XLOOKUP(JL$1,generator!$B$2:$B$295,generator!$Q$2:$Q$295,"ARGH")</f>
        <v>98.17</v>
      </c>
      <c r="JM37" s="3" t="str">
        <f>_xlfn.XLOOKUP(JM$1,generator!$B$2:$B$295,generator!$Q$2:$Q$295,"ARGH")</f>
        <v>98.17</v>
      </c>
      <c r="JN37" s="3" t="str">
        <f>_xlfn.XLOOKUP(JN$1,generator!$B$2:$B$295,generator!$Q$2:$Q$295,"ARGH")</f>
        <v>98.17</v>
      </c>
      <c r="JO37" s="3" t="str">
        <f>_xlfn.XLOOKUP(JO$1,generator!$B$2:$B$295,generator!$Q$2:$Q$295,"ARGH")</f>
        <v>98.17</v>
      </c>
      <c r="JP37" s="3" t="str">
        <f>_xlfn.XLOOKUP(JP$1,generator!$B$2:$B$295,generator!$Q$2:$Q$295,"ARGH")</f>
        <v>47.53</v>
      </c>
      <c r="JQ37" s="3" t="str">
        <f>_xlfn.XLOOKUP(JQ$1,generator!$B$2:$B$295,generator!$Q$2:$Q$295,"ARGH")</f>
        <v>108.86</v>
      </c>
      <c r="JR37" s="3" t="str">
        <f>_xlfn.XLOOKUP(JR$1,generator!$B$2:$B$295,generator!$Q$2:$Q$295,"ARGH")</f>
        <v>83.15</v>
      </c>
      <c r="JS37" s="3" t="str">
        <f>_xlfn.XLOOKUP(JS$1,generator!$B$2:$B$295,generator!$Q$2:$Q$295,"ARGH")</f>
        <v>83.15</v>
      </c>
      <c r="JT37" s="3" t="str">
        <f>_xlfn.XLOOKUP(JT$1,generator!$B$2:$B$295,generator!$Q$2:$Q$295,"ARGH")</f>
        <v>108.86</v>
      </c>
      <c r="JU37" s="3">
        <f>_xlfn.XLOOKUP(JU$1,generator!$B$2:$B$295,generator!$Q$2:$Q$295,"ARGH")</f>
        <v>0</v>
      </c>
      <c r="JV37" s="3" t="str">
        <f>_xlfn.XLOOKUP(JV$1,generator!$B$2:$B$295,generator!$Q$2:$Q$295,"ARGH")</f>
        <v>77.63</v>
      </c>
      <c r="JW37" s="3" t="str">
        <f>_xlfn.XLOOKUP(JW$1,generator!$B$2:$B$295,generator!$Q$2:$Q$295,"ARGH")</f>
        <v>77.64</v>
      </c>
      <c r="JX37" s="3" t="str">
        <f>_xlfn.XLOOKUP(JX$1,generator!$B$2:$B$295,generator!$Q$2:$Q$295,"ARGH")</f>
        <v>331.49</v>
      </c>
      <c r="JY37" s="3">
        <f>_xlfn.XLOOKUP(JY$1,generator!$B$2:$B$295,generator!$Q$2:$Q$295,"ARGH")</f>
        <v>7000</v>
      </c>
      <c r="JZ37" s="3">
        <f>_xlfn.XLOOKUP(JZ$1,generator!$B$2:$B$295,generator!$Q$2:$Q$295,"ARGH")</f>
        <v>0</v>
      </c>
      <c r="KA37" s="3">
        <f>_xlfn.XLOOKUP(KA$1,generator!$B$2:$B$295,generator!$Q$2:$Q$295,"ARGH")</f>
        <v>0</v>
      </c>
      <c r="KB37" s="3">
        <f>_xlfn.XLOOKUP(KB$1,generator!$B$2:$B$295,generator!$Q$2:$Q$295,"ARGH")</f>
        <v>0</v>
      </c>
      <c r="KC37" s="3">
        <f>_xlfn.XLOOKUP(KC$1,generator!$B$2:$B$295,generator!$Q$2:$Q$295,"ARGH")</f>
        <v>0</v>
      </c>
    </row>
    <row r="38" spans="1:289" x14ac:dyDescent="0.3">
      <c r="A38" s="4" t="s">
        <v>3033</v>
      </c>
      <c r="B38" s="3">
        <v>15000</v>
      </c>
      <c r="C38" s="3">
        <v>15000</v>
      </c>
      <c r="D38" s="3">
        <v>15000</v>
      </c>
      <c r="E38" s="3">
        <f>_xlfn.XLOOKUP(E$1,generator!$B$2:$B$295,generator!$Q$2:$Q$295,"ARGH")</f>
        <v>9000</v>
      </c>
      <c r="F38" s="3">
        <f>_xlfn.XLOOKUP(F$1,generator!$B$2:$B$295,generator!$Q$2:$Q$295,"ARGH")</f>
        <v>9000</v>
      </c>
      <c r="G38" s="3">
        <f>_xlfn.XLOOKUP(G$1,generator!$B$2:$B$295,generator!$Q$2:$Q$295,"ARGH")</f>
        <v>9000</v>
      </c>
      <c r="H38" s="3">
        <f>_xlfn.XLOOKUP(H$1,generator!$B$2:$B$295,generator!$Q$2:$Q$295,"ARGH")</f>
        <v>9000</v>
      </c>
      <c r="I38" s="3">
        <f>_xlfn.XLOOKUP(I$1,generator!$B$2:$B$295,generator!$Q$2:$Q$295,"ARGH")</f>
        <v>9000</v>
      </c>
      <c r="J38" s="3">
        <f>_xlfn.XLOOKUP(J$1,generator!$B$2:$B$295,generator!$Q$2:$Q$295,"ARGH")</f>
        <v>9000</v>
      </c>
      <c r="K38" s="3">
        <f>_xlfn.XLOOKUP(K$1,generator!$B$2:$B$295,generator!$Q$2:$Q$295,"ARGH")</f>
        <v>9000</v>
      </c>
      <c r="L38" s="3">
        <f>_xlfn.XLOOKUP(L$1,generator!$B$2:$B$295,generator!$Q$2:$Q$295,"ARGH")</f>
        <v>9000</v>
      </c>
      <c r="M38" s="3">
        <f>_xlfn.XLOOKUP(M$1,generator!$B$2:$B$295,generator!$Q$2:$Q$295,"ARGH")</f>
        <v>9000</v>
      </c>
      <c r="N38" s="3">
        <f>_xlfn.XLOOKUP(N$1,generator!$B$2:$B$295,generator!$Q$2:$Q$295,"ARGH")</f>
        <v>9000</v>
      </c>
      <c r="O38" s="3">
        <f>_xlfn.XLOOKUP(O$1,generator!$B$2:$B$295,generator!$Q$2:$Q$295,"ARGH")</f>
        <v>9000</v>
      </c>
      <c r="P38" s="3">
        <f>_xlfn.XLOOKUP(P$1,generator!$B$2:$B$295,generator!$Q$2:$Q$295,"ARGH")</f>
        <v>9000</v>
      </c>
      <c r="Q38" s="3">
        <f>_xlfn.XLOOKUP(Q$1,generator!$B$2:$B$295,generator!$Q$2:$Q$295,"ARGH")</f>
        <v>9000</v>
      </c>
      <c r="R38" s="3">
        <f>_xlfn.XLOOKUP(R$1,generator!$B$2:$B$295,generator!$Q$2:$Q$295,"ARGH")</f>
        <v>9000</v>
      </c>
      <c r="S38" s="3">
        <f>_xlfn.XLOOKUP(S$1,generator!$B$2:$B$295,generator!$Q$2:$Q$295,"ARGH")</f>
        <v>9000</v>
      </c>
      <c r="T38" s="3">
        <f>_xlfn.XLOOKUP(T$1,generator!$B$2:$B$295,generator!$Q$2:$Q$295,"ARGH")</f>
        <v>9000</v>
      </c>
      <c r="U38" s="3">
        <f>_xlfn.XLOOKUP(U$1,generator!$B$2:$B$295,generator!$Q$2:$Q$295,"ARGH")</f>
        <v>9000</v>
      </c>
      <c r="V38" s="3">
        <f>_xlfn.XLOOKUP(V$1,generator!$B$2:$B$295,generator!$Q$2:$Q$295,"ARGH")</f>
        <v>9000</v>
      </c>
      <c r="W38" s="3">
        <f>_xlfn.XLOOKUP(W$1,generator!$B$2:$B$295,generator!$Q$2:$Q$295,"ARGH")</f>
        <v>9000</v>
      </c>
      <c r="X38" s="3">
        <f>_xlfn.XLOOKUP(X$1,generator!$B$2:$B$295,generator!$Q$2:$Q$295,"ARGH")</f>
        <v>9000</v>
      </c>
      <c r="Y38" s="3">
        <f>_xlfn.XLOOKUP(Y$1,generator!$B$2:$B$295,generator!$Q$2:$Q$295,"ARGH")</f>
        <v>9000</v>
      </c>
      <c r="Z38" s="3">
        <f>_xlfn.XLOOKUP(Z$1,generator!$B$2:$B$295,generator!$Q$2:$Q$295,"ARGH")</f>
        <v>9000</v>
      </c>
      <c r="AA38" s="3">
        <f>_xlfn.XLOOKUP(AA$1,generator!$B$2:$B$295,generator!$Q$2:$Q$295,"ARGH")</f>
        <v>9000</v>
      </c>
      <c r="AB38" s="3">
        <f>_xlfn.XLOOKUP(AB$1,generator!$B$2:$B$295,generator!$Q$2:$Q$295,"ARGH")</f>
        <v>9000</v>
      </c>
      <c r="AC38" s="3">
        <f>_xlfn.XLOOKUP(AC$1,generator!$B$2:$B$295,generator!$Q$2:$Q$295,"ARGH")</f>
        <v>9000</v>
      </c>
      <c r="AD38" s="3">
        <f>_xlfn.XLOOKUP(AD$1,generator!$B$2:$B$295,generator!$Q$2:$Q$295,"ARGH")</f>
        <v>9000</v>
      </c>
      <c r="AE38" s="3">
        <f>_xlfn.XLOOKUP(AE$1,generator!$B$2:$B$295,generator!$Q$2:$Q$295,"ARGH")</f>
        <v>9000</v>
      </c>
      <c r="AF38" s="3">
        <f>_xlfn.XLOOKUP(AF$1,generator!$B$2:$B$295,generator!$Q$2:$Q$295,"ARGH")</f>
        <v>9000</v>
      </c>
      <c r="AG38" s="3">
        <f>_xlfn.XLOOKUP(AG$1,generator!$B$2:$B$295,generator!$Q$2:$Q$295,"ARGH")</f>
        <v>9000</v>
      </c>
      <c r="AH38" s="3">
        <f>_xlfn.XLOOKUP(AH$1,generator!$B$2:$B$295,generator!$Q$2:$Q$295,"ARGH")</f>
        <v>9000</v>
      </c>
      <c r="AI38" s="3">
        <f>_xlfn.XLOOKUP(AI$1,generator!$B$2:$B$295,generator!$Q$2:$Q$295,"ARGH")</f>
        <v>9000</v>
      </c>
      <c r="AJ38" s="3">
        <f>_xlfn.XLOOKUP(AJ$1,generator!$B$2:$B$295,generator!$Q$2:$Q$295,"ARGH")</f>
        <v>9000</v>
      </c>
      <c r="AK38" s="3">
        <f>_xlfn.XLOOKUP(AK$1,generator!$B$2:$B$295,generator!$Q$2:$Q$295,"ARGH")</f>
        <v>9000</v>
      </c>
      <c r="AL38" s="3">
        <f>_xlfn.XLOOKUP(AL$1,generator!$B$2:$B$295,generator!$Q$2:$Q$295,"ARGH")</f>
        <v>9000</v>
      </c>
      <c r="AM38" s="3">
        <f>_xlfn.XLOOKUP(AM$1,generator!$B$2:$B$295,generator!$Q$2:$Q$295,"ARGH")</f>
        <v>9000</v>
      </c>
      <c r="AN38" s="3">
        <f>_xlfn.XLOOKUP(AN$1,generator!$B$2:$B$295,generator!$Q$2:$Q$295,"ARGH")</f>
        <v>9000</v>
      </c>
      <c r="AO38" s="3">
        <f>_xlfn.XLOOKUP(AO$1,generator!$B$2:$B$295,generator!$Q$2:$Q$295,"ARGH")</f>
        <v>9000</v>
      </c>
      <c r="AP38" s="3">
        <f>_xlfn.XLOOKUP(AP$1,generator!$B$2:$B$295,generator!$Q$2:$Q$295,"ARGH")</f>
        <v>9000</v>
      </c>
      <c r="AQ38" s="3">
        <f>_xlfn.XLOOKUP(AQ$1,generator!$B$2:$B$295,generator!$Q$2:$Q$295,"ARGH")</f>
        <v>9000</v>
      </c>
      <c r="AR38" s="3">
        <f>_xlfn.XLOOKUP(AR$1,generator!$B$2:$B$295,generator!$Q$2:$Q$295,"ARGH")</f>
        <v>9000</v>
      </c>
      <c r="AS38" s="3">
        <f>_xlfn.XLOOKUP(AS$1,generator!$B$2:$B$295,generator!$Q$2:$Q$295,"ARGH")</f>
        <v>9000</v>
      </c>
      <c r="AT38" s="3">
        <f>_xlfn.XLOOKUP(AT$1,generator!$B$2:$B$295,generator!$Q$2:$Q$295,"ARGH")</f>
        <v>9000</v>
      </c>
      <c r="AU38" s="3">
        <f>_xlfn.XLOOKUP(AU$1,generator!$B$2:$B$295,generator!$Q$2:$Q$295,"ARGH")</f>
        <v>9000</v>
      </c>
      <c r="AV38" s="3">
        <f>_xlfn.XLOOKUP(AV$1,generator!$B$2:$B$295,generator!$Q$2:$Q$295,"ARGH")</f>
        <v>9000</v>
      </c>
      <c r="AW38" s="3">
        <f>_xlfn.XLOOKUP(AW$1,generator!$B$2:$B$295,generator!$Q$2:$Q$295,"ARGH")</f>
        <v>9000</v>
      </c>
      <c r="AX38" s="3">
        <f>_xlfn.XLOOKUP(AX$1,generator!$B$2:$B$295,generator!$Q$2:$Q$295,"ARGH")</f>
        <v>9000</v>
      </c>
      <c r="AY38" s="3">
        <f>_xlfn.XLOOKUP(AY$1,generator!$B$2:$B$295,generator!$Q$2:$Q$295,"ARGH")</f>
        <v>9000</v>
      </c>
      <c r="AZ38" s="3">
        <f>_xlfn.XLOOKUP(AZ$1,generator!$B$2:$B$295,generator!$Q$2:$Q$295,"ARGH")</f>
        <v>9000</v>
      </c>
      <c r="BA38" s="3">
        <f>_xlfn.XLOOKUP(BA$1,generator!$B$2:$B$295,generator!$Q$2:$Q$295,"ARGH")</f>
        <v>9000</v>
      </c>
      <c r="BB38" s="3">
        <f>_xlfn.XLOOKUP(BB$1,generator!$B$2:$B$295,generator!$Q$2:$Q$295,"ARGH")</f>
        <v>9000</v>
      </c>
      <c r="BC38" s="3">
        <f>_xlfn.XLOOKUP(BC$1,generator!$B$2:$B$295,generator!$Q$2:$Q$295,"ARGH")</f>
        <v>9000</v>
      </c>
      <c r="BD38" s="3">
        <f>_xlfn.XLOOKUP(BD$1,generator!$B$2:$B$295,generator!$Q$2:$Q$295,"ARGH")</f>
        <v>9000</v>
      </c>
      <c r="BE38" s="3">
        <f>_xlfn.XLOOKUP(BE$1,generator!$B$2:$B$295,generator!$Q$2:$Q$295,"ARGH")</f>
        <v>9000</v>
      </c>
      <c r="BF38" s="3">
        <f>_xlfn.XLOOKUP(BF$1,generator!$B$2:$B$295,generator!$Q$2:$Q$295,"ARGH")</f>
        <v>9000</v>
      </c>
      <c r="BG38" s="3">
        <f>_xlfn.XLOOKUP(BG$1,generator!$B$2:$B$295,generator!$Q$2:$Q$295,"ARGH")</f>
        <v>9000</v>
      </c>
      <c r="BH38" s="3">
        <f>_xlfn.XLOOKUP(BH$1,generator!$B$2:$B$295,generator!$Q$2:$Q$295,"ARGH")</f>
        <v>9000</v>
      </c>
      <c r="BI38" s="3">
        <f>_xlfn.XLOOKUP(BI$1,generator!$B$2:$B$295,generator!$Q$2:$Q$295,"ARGH")</f>
        <v>9000</v>
      </c>
      <c r="BJ38" s="3">
        <f>_xlfn.XLOOKUP(BJ$1,generator!$B$2:$B$295,generator!$Q$2:$Q$295,"ARGH")</f>
        <v>9000</v>
      </c>
      <c r="BK38" s="3">
        <f>_xlfn.XLOOKUP(BK$1,generator!$B$2:$B$295,generator!$Q$2:$Q$295,"ARGH")</f>
        <v>9000</v>
      </c>
      <c r="BL38" s="3">
        <f>_xlfn.XLOOKUP(BL$1,generator!$B$2:$B$295,generator!$Q$2:$Q$295,"ARGH")</f>
        <v>9000</v>
      </c>
      <c r="BM38" s="3">
        <f>_xlfn.XLOOKUP(BM$1,generator!$B$2:$B$295,generator!$Q$2:$Q$295,"ARGH")</f>
        <v>9000</v>
      </c>
      <c r="BN38" s="3">
        <f>_xlfn.XLOOKUP(BN$1,generator!$B$2:$B$295,generator!$Q$2:$Q$295,"ARGH")</f>
        <v>9000</v>
      </c>
      <c r="BO38" s="3">
        <f>_xlfn.XLOOKUP(BO$1,generator!$B$2:$B$295,generator!$Q$2:$Q$295,"ARGH")</f>
        <v>9000</v>
      </c>
      <c r="BP38" s="3">
        <f>_xlfn.XLOOKUP(BP$1,generator!$B$2:$B$295,generator!$Q$2:$Q$295,"ARGH")</f>
        <v>9000</v>
      </c>
      <c r="BQ38" s="3">
        <f>_xlfn.XLOOKUP(BQ$1,generator!$B$2:$B$295,generator!$Q$2:$Q$295,"ARGH")</f>
        <v>9000</v>
      </c>
      <c r="BR38" s="3">
        <f>_xlfn.XLOOKUP(BR$1,generator!$B$2:$B$295,generator!$Q$2:$Q$295,"ARGH")</f>
        <v>9000</v>
      </c>
      <c r="BS38" s="3">
        <f>_xlfn.XLOOKUP(BS$1,generator!$B$2:$B$295,generator!$Q$2:$Q$295,"ARGH")</f>
        <v>9000</v>
      </c>
      <c r="BT38" s="3">
        <f>_xlfn.XLOOKUP(BT$1,generator!$B$2:$B$295,generator!$Q$2:$Q$295,"ARGH")</f>
        <v>9000</v>
      </c>
      <c r="BU38" s="3">
        <f>_xlfn.XLOOKUP(BU$1,generator!$B$2:$B$295,generator!$Q$2:$Q$295,"ARGH")</f>
        <v>9000</v>
      </c>
      <c r="BV38" s="3">
        <f>_xlfn.XLOOKUP(BV$1,generator!$B$2:$B$295,generator!$Q$2:$Q$295,"ARGH")</f>
        <v>9000</v>
      </c>
      <c r="BW38" s="3">
        <f>_xlfn.XLOOKUP(BW$1,generator!$B$2:$B$295,generator!$Q$2:$Q$295,"ARGH")</f>
        <v>9000</v>
      </c>
      <c r="BX38" s="3">
        <f>_xlfn.XLOOKUP(BX$1,generator!$B$2:$B$295,generator!$Q$2:$Q$295,"ARGH")</f>
        <v>9000</v>
      </c>
      <c r="BY38" s="3">
        <f>_xlfn.XLOOKUP(BY$1,generator!$B$2:$B$295,generator!$Q$2:$Q$295,"ARGH")</f>
        <v>9000</v>
      </c>
      <c r="BZ38" s="3">
        <f>_xlfn.XLOOKUP(BZ$1,generator!$B$2:$B$295,generator!$Q$2:$Q$295,"ARGH")</f>
        <v>9000</v>
      </c>
      <c r="CA38" s="3">
        <f>_xlfn.XLOOKUP(CA$1,generator!$B$2:$B$295,generator!$Q$2:$Q$295,"ARGH")</f>
        <v>9000</v>
      </c>
      <c r="CB38" s="3">
        <f>_xlfn.XLOOKUP(CB$1,generator!$B$2:$B$295,generator!$Q$2:$Q$295,"ARGH")</f>
        <v>9000</v>
      </c>
      <c r="CC38" s="3">
        <f>_xlfn.XLOOKUP(CC$1,generator!$B$2:$B$295,generator!$Q$2:$Q$295,"ARGH")</f>
        <v>9000</v>
      </c>
      <c r="CD38" s="3">
        <f>_xlfn.XLOOKUP(CD$1,generator!$B$2:$B$295,generator!$Q$2:$Q$295,"ARGH")</f>
        <v>9000</v>
      </c>
      <c r="CE38" s="3">
        <f>_xlfn.XLOOKUP(CE$1,generator!$B$2:$B$295,generator!$Q$2:$Q$295,"ARGH")</f>
        <v>9000</v>
      </c>
      <c r="CF38" s="3">
        <f>_xlfn.XLOOKUP(CF$1,generator!$B$2:$B$295,generator!$Q$2:$Q$295,"ARGH")</f>
        <v>9000</v>
      </c>
      <c r="CG38" s="3">
        <f>_xlfn.XLOOKUP(CG$1,generator!$B$2:$B$295,generator!$Q$2:$Q$295,"ARGH")</f>
        <v>9000</v>
      </c>
      <c r="CH38" s="3">
        <f>_xlfn.XLOOKUP(CH$1,generator!$B$2:$B$295,generator!$Q$2:$Q$295,"ARGH")</f>
        <v>9000</v>
      </c>
      <c r="CI38" s="3">
        <f>_xlfn.XLOOKUP(CI$1,generator!$B$2:$B$295,generator!$Q$2:$Q$295,"ARGH")</f>
        <v>9000</v>
      </c>
      <c r="CJ38" s="3">
        <f>_xlfn.XLOOKUP(CJ$1,generator!$B$2:$B$295,generator!$Q$2:$Q$295,"ARGH")</f>
        <v>9000</v>
      </c>
      <c r="CK38" s="3">
        <f>_xlfn.XLOOKUP(CK$1,generator!$B$2:$B$295,generator!$Q$2:$Q$295,"ARGH")</f>
        <v>9000</v>
      </c>
      <c r="CL38" s="3">
        <f>_xlfn.XLOOKUP(CL$1,generator!$B$2:$B$295,generator!$Q$2:$Q$295,"ARGH")</f>
        <v>9000</v>
      </c>
      <c r="CM38" s="3">
        <f>_xlfn.XLOOKUP(CM$1,generator!$B$2:$B$295,generator!$Q$2:$Q$295,"ARGH")</f>
        <v>9000</v>
      </c>
      <c r="CN38" s="3">
        <f>_xlfn.XLOOKUP(CN$1,generator!$B$2:$B$295,generator!$Q$2:$Q$295,"ARGH")</f>
        <v>9000</v>
      </c>
      <c r="CO38" s="3">
        <f>_xlfn.XLOOKUP(CO$1,generator!$B$2:$B$295,generator!$Q$2:$Q$295,"ARGH")</f>
        <v>9000</v>
      </c>
      <c r="CP38" s="3">
        <f>_xlfn.XLOOKUP(CP$1,generator!$B$2:$B$295,generator!$Q$2:$Q$295,"ARGH")</f>
        <v>9000</v>
      </c>
      <c r="CQ38" s="3">
        <f>_xlfn.XLOOKUP(CQ$1,generator!$B$2:$B$295,generator!$Q$2:$Q$295,"ARGH")</f>
        <v>9000</v>
      </c>
      <c r="CR38" s="3">
        <f>_xlfn.XLOOKUP(CR$1,generator!$B$2:$B$295,generator!$Q$2:$Q$295,"ARGH")</f>
        <v>9000</v>
      </c>
      <c r="CS38" s="3">
        <f>_xlfn.XLOOKUP(CS$1,generator!$B$2:$B$295,generator!$Q$2:$Q$295,"ARGH")</f>
        <v>9000</v>
      </c>
      <c r="CT38" s="3">
        <f>_xlfn.XLOOKUP(CT$1,generator!$B$2:$B$295,generator!$Q$2:$Q$295,"ARGH")</f>
        <v>9000</v>
      </c>
      <c r="CU38" s="3">
        <f>_xlfn.XLOOKUP(CU$1,generator!$B$2:$B$295,generator!$Q$2:$Q$295,"ARGH")</f>
        <v>9000</v>
      </c>
      <c r="CV38" s="3">
        <f>_xlfn.XLOOKUP(CV$1,generator!$B$2:$B$295,generator!$Q$2:$Q$295,"ARGH")</f>
        <v>9000</v>
      </c>
      <c r="CW38" s="3">
        <f>_xlfn.XLOOKUP(CW$1,generator!$B$2:$B$295,generator!$Q$2:$Q$295,"ARGH")</f>
        <v>9000</v>
      </c>
      <c r="CX38" s="3">
        <f>_xlfn.XLOOKUP(CX$1,generator!$B$2:$B$295,generator!$Q$2:$Q$295,"ARGH")</f>
        <v>9000</v>
      </c>
      <c r="CY38" s="3">
        <f>_xlfn.XLOOKUP(CY$1,generator!$B$2:$B$295,generator!$Q$2:$Q$295,"ARGH")</f>
        <v>9000</v>
      </c>
      <c r="CZ38" s="3">
        <f>_xlfn.XLOOKUP(CZ$1,generator!$B$2:$B$295,generator!$Q$2:$Q$295,"ARGH")</f>
        <v>9000</v>
      </c>
      <c r="DA38" s="3">
        <f>_xlfn.XLOOKUP(DA$1,generator!$B$2:$B$295,generator!$Q$2:$Q$295,"ARGH")</f>
        <v>9000</v>
      </c>
      <c r="DB38" s="3">
        <f>_xlfn.XLOOKUP(DB$1,generator!$B$2:$B$295,generator!$Q$2:$Q$295,"ARGH")</f>
        <v>9000</v>
      </c>
      <c r="DC38" s="3">
        <f>_xlfn.XLOOKUP(DC$1,generator!$B$2:$B$295,generator!$Q$2:$Q$295,"ARGH")</f>
        <v>9000</v>
      </c>
      <c r="DD38" s="3">
        <f>_xlfn.XLOOKUP(DD$1,generator!$B$2:$B$295,generator!$Q$2:$Q$295,"ARGH")</f>
        <v>9000</v>
      </c>
      <c r="DE38" s="3">
        <f>_xlfn.XLOOKUP(DE$1,generator!$B$2:$B$295,generator!$Q$2:$Q$295,"ARGH")</f>
        <v>9000</v>
      </c>
      <c r="DF38" s="3">
        <f>_xlfn.XLOOKUP(DF$1,generator!$B$2:$B$295,generator!$Q$2:$Q$295,"ARGH")</f>
        <v>9000</v>
      </c>
      <c r="DG38" s="3">
        <f>_xlfn.XLOOKUP(DG$1,generator!$B$2:$B$295,generator!$Q$2:$Q$295,"ARGH")</f>
        <v>9000</v>
      </c>
      <c r="DH38" s="3">
        <f>_xlfn.XLOOKUP(DH$1,generator!$B$2:$B$295,generator!$Q$2:$Q$295,"ARGH")</f>
        <v>9000</v>
      </c>
      <c r="DI38" s="3">
        <f>_xlfn.XLOOKUP(DI$1,generator!$B$2:$B$295,generator!$Q$2:$Q$295,"ARGH")</f>
        <v>9000</v>
      </c>
      <c r="DJ38" s="3">
        <f>_xlfn.XLOOKUP(DJ$1,generator!$B$2:$B$295,generator!$Q$2:$Q$295,"ARGH")</f>
        <v>9000</v>
      </c>
      <c r="DK38" s="3">
        <f>_xlfn.XLOOKUP(DK$1,generator!$B$2:$B$295,generator!$Q$2:$Q$295,"ARGH")</f>
        <v>9000</v>
      </c>
      <c r="DL38" s="3">
        <f>_xlfn.XLOOKUP(DL$1,generator!$B$2:$B$295,generator!$Q$2:$Q$295,"ARGH")</f>
        <v>9000</v>
      </c>
      <c r="DM38" s="3">
        <f>_xlfn.XLOOKUP(DM$1,generator!$B$2:$B$295,generator!$Q$2:$Q$295,"ARGH")</f>
        <v>9000</v>
      </c>
      <c r="DN38" s="3">
        <f>_xlfn.XLOOKUP(DN$1,generator!$B$2:$B$295,generator!$Q$2:$Q$295,"ARGH")</f>
        <v>9000</v>
      </c>
      <c r="DO38" s="3">
        <f>_xlfn.XLOOKUP(DO$1,generator!$B$2:$B$295,generator!$Q$2:$Q$295,"ARGH")</f>
        <v>9000</v>
      </c>
      <c r="DP38" s="3">
        <f>_xlfn.XLOOKUP(DP$1,generator!$B$2:$B$295,generator!$Q$2:$Q$295,"ARGH")</f>
        <v>9000</v>
      </c>
      <c r="DQ38" s="3">
        <f>_xlfn.XLOOKUP(DQ$1,generator!$B$2:$B$295,generator!$Q$2:$Q$295,"ARGH")</f>
        <v>9000</v>
      </c>
      <c r="DR38" s="3">
        <f>_xlfn.XLOOKUP(DR$1,generator!$B$2:$B$295,generator!$Q$2:$Q$295,"ARGH")</f>
        <v>9000</v>
      </c>
      <c r="DS38" s="3">
        <f>_xlfn.XLOOKUP(DS$1,generator!$B$2:$B$295,generator!$Q$2:$Q$295,"ARGH")</f>
        <v>9000</v>
      </c>
      <c r="DT38" s="3">
        <f>_xlfn.XLOOKUP(DT$1,generator!$B$2:$B$295,generator!$Q$2:$Q$295,"ARGH")</f>
        <v>9000</v>
      </c>
      <c r="DU38" s="3">
        <f>_xlfn.XLOOKUP(DU$1,generator!$B$2:$B$295,generator!$Q$2:$Q$295,"ARGH")</f>
        <v>9000</v>
      </c>
      <c r="DV38" s="3">
        <f>_xlfn.XLOOKUP(DV$1,generator!$B$2:$B$295,generator!$Q$2:$Q$295,"ARGH")</f>
        <v>9000</v>
      </c>
      <c r="DW38" s="3">
        <f>_xlfn.XLOOKUP(DW$1,generator!$B$2:$B$295,generator!$Q$2:$Q$295,"ARGH")</f>
        <v>9000</v>
      </c>
      <c r="DX38" s="3">
        <f>_xlfn.XLOOKUP(DX$1,generator!$B$2:$B$295,generator!$Q$2:$Q$295,"ARGH")</f>
        <v>9000</v>
      </c>
      <c r="DY38" s="3">
        <f>_xlfn.XLOOKUP(DY$1,generator!$B$2:$B$295,generator!$Q$2:$Q$295,"ARGH")</f>
        <v>9000</v>
      </c>
      <c r="DZ38" s="3">
        <f>_xlfn.XLOOKUP(DZ$1,generator!$B$2:$B$295,generator!$Q$2:$Q$295,"ARGH")</f>
        <v>9000</v>
      </c>
      <c r="EA38" s="3">
        <f>_xlfn.XLOOKUP(EA$1,generator!$B$2:$B$295,generator!$Q$2:$Q$295,"ARGH")</f>
        <v>9000</v>
      </c>
      <c r="EB38" s="3">
        <f>_xlfn.XLOOKUP(EB$1,generator!$B$2:$B$295,generator!$Q$2:$Q$295,"ARGH")</f>
        <v>9000</v>
      </c>
      <c r="EC38" s="3">
        <f>_xlfn.XLOOKUP(EC$1,generator!$B$2:$B$295,generator!$Q$2:$Q$295,"ARGH")</f>
        <v>9000</v>
      </c>
      <c r="ED38" s="3">
        <f>_xlfn.XLOOKUP(ED$1,generator!$B$2:$B$295,generator!$Q$2:$Q$295,"ARGH")</f>
        <v>9000</v>
      </c>
      <c r="EE38" s="3">
        <f>_xlfn.XLOOKUP(EE$1,generator!$B$2:$B$295,generator!$Q$2:$Q$295,"ARGH")</f>
        <v>9000</v>
      </c>
      <c r="EF38" s="3">
        <f>_xlfn.XLOOKUP(EF$1,generator!$B$2:$B$295,generator!$Q$2:$Q$295,"ARGH")</f>
        <v>9000</v>
      </c>
      <c r="EG38" s="3">
        <f>_xlfn.XLOOKUP(EG$1,generator!$B$2:$B$295,generator!$Q$2:$Q$295,"ARGH")</f>
        <v>9000</v>
      </c>
      <c r="EH38" s="3">
        <f>_xlfn.XLOOKUP(EH$1,generator!$B$2:$B$295,generator!$Q$2:$Q$295,"ARGH")</f>
        <v>9000</v>
      </c>
      <c r="EI38" s="3">
        <f>_xlfn.XLOOKUP(EI$1,generator!$B$2:$B$295,generator!$Q$2:$Q$295,"ARGH")</f>
        <v>9000</v>
      </c>
      <c r="EJ38" s="3">
        <f>_xlfn.XLOOKUP(EJ$1,generator!$B$2:$B$295,generator!$Q$2:$Q$295,"ARGH")</f>
        <v>9000</v>
      </c>
      <c r="EK38" s="3">
        <f>_xlfn.XLOOKUP(EK$1,generator!$B$2:$B$295,generator!$Q$2:$Q$295,"ARGH")</f>
        <v>9000</v>
      </c>
      <c r="EL38" s="3">
        <f>_xlfn.XLOOKUP(EL$1,generator!$B$2:$B$295,generator!$Q$2:$Q$295,"ARGH")</f>
        <v>9000</v>
      </c>
      <c r="EM38" s="3">
        <f>_xlfn.XLOOKUP(EM$1,generator!$B$2:$B$295,generator!$Q$2:$Q$295,"ARGH")</f>
        <v>9000</v>
      </c>
      <c r="EN38" s="3">
        <f>_xlfn.XLOOKUP(EN$1,generator!$B$2:$B$295,generator!$Q$2:$Q$295,"ARGH")</f>
        <v>9000</v>
      </c>
      <c r="EO38" s="3">
        <f>_xlfn.XLOOKUP(EO$1,generator!$B$2:$B$295,generator!$Q$2:$Q$295,"ARGH")</f>
        <v>9000</v>
      </c>
      <c r="EP38" s="3">
        <f>_xlfn.XLOOKUP(EP$1,generator!$B$2:$B$295,generator!$Q$2:$Q$295,"ARGH")</f>
        <v>9000</v>
      </c>
      <c r="EQ38" s="3">
        <f>_xlfn.XLOOKUP(EQ$1,generator!$B$2:$B$295,generator!$Q$2:$Q$295,"ARGH")</f>
        <v>9000</v>
      </c>
      <c r="ER38" s="3">
        <f>_xlfn.XLOOKUP(ER$1,generator!$B$2:$B$295,generator!$Q$2:$Q$295,"ARGH")</f>
        <v>9000</v>
      </c>
      <c r="ES38" s="3">
        <f>_xlfn.XLOOKUP(ES$1,generator!$B$2:$B$295,generator!$Q$2:$Q$295,"ARGH")</f>
        <v>9000</v>
      </c>
      <c r="ET38" s="3">
        <f>_xlfn.XLOOKUP(ET$1,generator!$B$2:$B$295,generator!$Q$2:$Q$295,"ARGH")</f>
        <v>9000</v>
      </c>
      <c r="EU38" s="3">
        <f>_xlfn.XLOOKUP(EU$1,generator!$B$2:$B$295,generator!$Q$2:$Q$295,"ARGH")</f>
        <v>9000</v>
      </c>
      <c r="EV38" s="3">
        <f>_xlfn.XLOOKUP(EV$1,generator!$B$2:$B$295,generator!$Q$2:$Q$295,"ARGH")</f>
        <v>9000</v>
      </c>
      <c r="EW38" s="3">
        <f>_xlfn.XLOOKUP(EW$1,generator!$B$2:$B$295,generator!$Q$2:$Q$295,"ARGH")</f>
        <v>9000</v>
      </c>
      <c r="EX38" s="3">
        <f>_xlfn.XLOOKUP(EX$1,generator!$B$2:$B$295,generator!$Q$2:$Q$295,"ARGH")</f>
        <v>9000</v>
      </c>
      <c r="EY38" s="3">
        <f>_xlfn.XLOOKUP(EY$1,generator!$B$2:$B$295,generator!$Q$2:$Q$295,"ARGH")</f>
        <v>9000</v>
      </c>
      <c r="EZ38" s="3">
        <f>_xlfn.XLOOKUP(EZ$1,generator!$B$2:$B$295,generator!$Q$2:$Q$295,"ARGH")</f>
        <v>9000</v>
      </c>
      <c r="FA38" s="3">
        <f>_xlfn.XLOOKUP(FA$1,generator!$B$2:$B$295,generator!$Q$2:$Q$295,"ARGH")</f>
        <v>9000</v>
      </c>
      <c r="FB38" s="3">
        <f>_xlfn.XLOOKUP(FB$1,generator!$B$2:$B$295,generator!$Q$2:$Q$295,"ARGH")</f>
        <v>9000</v>
      </c>
      <c r="FC38" s="3">
        <f>_xlfn.XLOOKUP(FC$1,generator!$B$2:$B$295,generator!$Q$2:$Q$295,"ARGH")</f>
        <v>9000</v>
      </c>
      <c r="FD38" s="3">
        <f>_xlfn.XLOOKUP(FD$1,generator!$B$2:$B$295,generator!$Q$2:$Q$295,"ARGH")</f>
        <v>9000</v>
      </c>
      <c r="FE38" s="3">
        <f>_xlfn.XLOOKUP(FE$1,generator!$B$2:$B$295,generator!$Q$2:$Q$295,"ARGH")</f>
        <v>9000</v>
      </c>
      <c r="FF38" s="3">
        <f>_xlfn.XLOOKUP(FF$1,generator!$B$2:$B$295,generator!$Q$2:$Q$295,"ARGH")</f>
        <v>9000</v>
      </c>
      <c r="FG38" s="3">
        <f>_xlfn.XLOOKUP(FG$1,generator!$B$2:$B$295,generator!$Q$2:$Q$295,"ARGH")</f>
        <v>9000</v>
      </c>
      <c r="FH38" s="3">
        <f>_xlfn.XLOOKUP(FH$1,generator!$B$2:$B$295,generator!$Q$2:$Q$295,"ARGH")</f>
        <v>9000</v>
      </c>
      <c r="FI38" s="3">
        <f>_xlfn.XLOOKUP(FI$1,generator!$B$2:$B$295,generator!$Q$2:$Q$295,"ARGH")</f>
        <v>9000</v>
      </c>
      <c r="FJ38" s="3">
        <f>_xlfn.XLOOKUP(FJ$1,generator!$B$2:$B$295,generator!$Q$2:$Q$295,"ARGH")</f>
        <v>9000</v>
      </c>
      <c r="FK38" s="3">
        <f>_xlfn.XLOOKUP(FK$1,generator!$B$2:$B$295,generator!$Q$2:$Q$295,"ARGH")</f>
        <v>9000</v>
      </c>
      <c r="FL38" s="3">
        <f>_xlfn.XLOOKUP(FL$1,generator!$B$2:$B$295,generator!$Q$2:$Q$295,"ARGH")</f>
        <v>9000</v>
      </c>
      <c r="FM38" s="3">
        <f>_xlfn.XLOOKUP(FM$1,generator!$B$2:$B$295,generator!$Q$2:$Q$295,"ARGH")</f>
        <v>9000</v>
      </c>
      <c r="FN38" s="3">
        <f>_xlfn.XLOOKUP(FN$1,generator!$B$2:$B$295,generator!$Q$2:$Q$295,"ARGH")</f>
        <v>9000</v>
      </c>
      <c r="FO38" s="3">
        <f>_xlfn.XLOOKUP(FO$1,generator!$B$2:$B$295,generator!$Q$2:$Q$295,"ARGH")</f>
        <v>9000</v>
      </c>
      <c r="FP38" s="3">
        <f>_xlfn.XLOOKUP(FP$1,generator!$B$2:$B$295,generator!$Q$2:$Q$295,"ARGH")</f>
        <v>9000</v>
      </c>
      <c r="FQ38" s="3">
        <f>_xlfn.XLOOKUP(FQ$1,generator!$B$2:$B$295,generator!$Q$2:$Q$295,"ARGH")</f>
        <v>9000</v>
      </c>
      <c r="FR38" s="3">
        <f>_xlfn.XLOOKUP(FR$1,generator!$B$2:$B$295,generator!$Q$2:$Q$295,"ARGH")</f>
        <v>9000</v>
      </c>
      <c r="FS38" s="3">
        <f>_xlfn.XLOOKUP(FS$1,generator!$B$2:$B$295,generator!$Q$2:$Q$295,"ARGH")</f>
        <v>9000</v>
      </c>
      <c r="FT38" s="3">
        <f>_xlfn.XLOOKUP(FT$1,generator!$B$2:$B$295,generator!$Q$2:$Q$295,"ARGH")</f>
        <v>9000</v>
      </c>
      <c r="FU38" s="3">
        <f>_xlfn.XLOOKUP(FU$1,generator!$B$2:$B$295,generator!$Q$2:$Q$295,"ARGH")</f>
        <v>9000</v>
      </c>
      <c r="FV38" s="3">
        <f>_xlfn.XLOOKUP(FV$1,generator!$B$2:$B$295,generator!$Q$2:$Q$295,"ARGH")</f>
        <v>9000</v>
      </c>
      <c r="FW38" s="3">
        <f>_xlfn.XLOOKUP(FW$1,generator!$B$2:$B$295,generator!$Q$2:$Q$295,"ARGH")</f>
        <v>9000</v>
      </c>
      <c r="FX38" s="3">
        <f>_xlfn.XLOOKUP(FX$1,generator!$B$2:$B$295,generator!$Q$2:$Q$295,"ARGH")</f>
        <v>9000</v>
      </c>
      <c r="FY38" s="3">
        <f>_xlfn.XLOOKUP(FY$1,generator!$B$2:$B$295,generator!$Q$2:$Q$295,"ARGH")</f>
        <v>9000</v>
      </c>
      <c r="FZ38" s="3">
        <f>_xlfn.XLOOKUP(FZ$1,generator!$B$2:$B$295,generator!$Q$2:$Q$295,"ARGH")</f>
        <v>9000</v>
      </c>
      <c r="GA38" s="3">
        <f>_xlfn.XLOOKUP(GA$1,generator!$B$2:$B$295,generator!$Q$2:$Q$295,"ARGH")</f>
        <v>9000</v>
      </c>
      <c r="GB38" s="3">
        <f>_xlfn.XLOOKUP(GB$1,generator!$B$2:$B$295,generator!$Q$2:$Q$295,"ARGH")</f>
        <v>9000</v>
      </c>
      <c r="GC38" s="3">
        <f>_xlfn.XLOOKUP(GC$1,generator!$B$2:$B$295,generator!$Q$2:$Q$295,"ARGH")</f>
        <v>9000</v>
      </c>
      <c r="GD38" s="3">
        <f>_xlfn.XLOOKUP(GD$1,generator!$B$2:$B$295,generator!$Q$2:$Q$295,"ARGH")</f>
        <v>9000</v>
      </c>
      <c r="GE38" s="3">
        <f>_xlfn.XLOOKUP(GE$1,generator!$B$2:$B$295,generator!$Q$2:$Q$295,"ARGH")</f>
        <v>9000</v>
      </c>
      <c r="GF38" s="3">
        <f>_xlfn.XLOOKUP(GF$1,generator!$B$2:$B$295,generator!$Q$2:$Q$295,"ARGH")</f>
        <v>9000</v>
      </c>
      <c r="GG38" s="3">
        <f>_xlfn.XLOOKUP(GG$1,generator!$B$2:$B$295,generator!$Q$2:$Q$295,"ARGH")</f>
        <v>9000</v>
      </c>
      <c r="GH38" s="3">
        <f>_xlfn.XLOOKUP(GH$1,generator!$B$2:$B$295,generator!$Q$2:$Q$295,"ARGH")</f>
        <v>9000</v>
      </c>
      <c r="GI38" s="3">
        <f>_xlfn.XLOOKUP(GI$1,generator!$B$2:$B$295,generator!$Q$2:$Q$295,"ARGH")</f>
        <v>9000</v>
      </c>
      <c r="GJ38" s="3">
        <f>_xlfn.XLOOKUP(GJ$1,generator!$B$2:$B$295,generator!$Q$2:$Q$295,"ARGH")</f>
        <v>9000</v>
      </c>
      <c r="GK38" s="3">
        <f>_xlfn.XLOOKUP(GK$1,generator!$B$2:$B$295,generator!$Q$2:$Q$295,"ARGH")</f>
        <v>9000</v>
      </c>
      <c r="GL38" s="3">
        <f>_xlfn.XLOOKUP(GL$1,generator!$B$2:$B$295,generator!$Q$2:$Q$295,"ARGH")</f>
        <v>9000</v>
      </c>
      <c r="GM38" s="3">
        <f>_xlfn.XLOOKUP(GM$1,generator!$B$2:$B$295,generator!$Q$2:$Q$295,"ARGH")</f>
        <v>9000</v>
      </c>
      <c r="GN38" s="3">
        <f>_xlfn.XLOOKUP(GN$1,generator!$B$2:$B$295,generator!$Q$2:$Q$295,"ARGH")</f>
        <v>9000</v>
      </c>
      <c r="GO38" s="3">
        <f>_xlfn.XLOOKUP(GO$1,generator!$B$2:$B$295,generator!$Q$2:$Q$295,"ARGH")</f>
        <v>9000</v>
      </c>
      <c r="GP38" s="3">
        <f>_xlfn.XLOOKUP(GP$1,generator!$B$2:$B$295,generator!$Q$2:$Q$295,"ARGH")</f>
        <v>9000</v>
      </c>
      <c r="GQ38" s="3">
        <f>_xlfn.XLOOKUP(GQ$1,generator!$B$2:$B$295,generator!$Q$2:$Q$295,"ARGH")</f>
        <v>9000</v>
      </c>
      <c r="GR38" s="3">
        <f>_xlfn.XLOOKUP(GR$1,generator!$B$2:$B$295,generator!$Q$2:$Q$295,"ARGH")</f>
        <v>9000</v>
      </c>
      <c r="GS38" s="3">
        <f>_xlfn.XLOOKUP(GS$1,generator!$B$2:$B$295,generator!$Q$2:$Q$295,"ARGH")</f>
        <v>9000</v>
      </c>
      <c r="GT38" s="3">
        <f>_xlfn.XLOOKUP(GT$1,generator!$B$2:$B$295,generator!$Q$2:$Q$295,"ARGH")</f>
        <v>9000</v>
      </c>
      <c r="GU38" s="3">
        <f>_xlfn.XLOOKUP(GU$1,generator!$B$2:$B$295,generator!$Q$2:$Q$295,"ARGH")</f>
        <v>9000</v>
      </c>
      <c r="GV38" s="3">
        <f>_xlfn.XLOOKUP(GV$1,generator!$B$2:$B$295,generator!$Q$2:$Q$295,"ARGH")</f>
        <v>9000</v>
      </c>
      <c r="GW38" s="3">
        <f>_xlfn.XLOOKUP(GW$1,generator!$B$2:$B$295,generator!$Q$2:$Q$295,"ARGH")</f>
        <v>9000</v>
      </c>
      <c r="GX38" s="3">
        <f>_xlfn.XLOOKUP(GX$1,generator!$B$2:$B$295,generator!$Q$2:$Q$295,"ARGH")</f>
        <v>9000</v>
      </c>
      <c r="GY38" s="3">
        <f>_xlfn.XLOOKUP(GY$1,generator!$B$2:$B$295,generator!$Q$2:$Q$295,"ARGH")</f>
        <v>9000</v>
      </c>
      <c r="GZ38" s="3">
        <f>_xlfn.XLOOKUP(GZ$1,generator!$B$2:$B$295,generator!$Q$2:$Q$295,"ARGH")</f>
        <v>9000</v>
      </c>
      <c r="HA38" s="3">
        <f>_xlfn.XLOOKUP(HA$1,generator!$B$2:$B$295,generator!$Q$2:$Q$295,"ARGH")</f>
        <v>9000</v>
      </c>
      <c r="HB38" s="3">
        <f>_xlfn.XLOOKUP(HB$1,generator!$B$2:$B$295,generator!$Q$2:$Q$295,"ARGH")</f>
        <v>9000</v>
      </c>
      <c r="HC38" s="3">
        <f>_xlfn.XLOOKUP(HC$1,generator!$B$2:$B$295,generator!$Q$2:$Q$295,"ARGH")</f>
        <v>9000</v>
      </c>
      <c r="HD38" s="3">
        <f>_xlfn.XLOOKUP(HD$1,generator!$B$2:$B$295,generator!$Q$2:$Q$295,"ARGH")</f>
        <v>9000</v>
      </c>
      <c r="HE38" s="3">
        <f>_xlfn.XLOOKUP(HE$1,generator!$B$2:$B$295,generator!$Q$2:$Q$295,"ARGH")</f>
        <v>8000</v>
      </c>
      <c r="HF38" s="3" t="str">
        <f>_xlfn.XLOOKUP(HF$1,generator!$B$2:$B$295,generator!$Q$2:$Q$295,"ARGH")</f>
        <v>143</v>
      </c>
      <c r="HG38" s="3" t="str">
        <f>_xlfn.XLOOKUP(HG$1,generator!$B$2:$B$295,generator!$Q$2:$Q$295,"ARGH")</f>
        <v>143</v>
      </c>
      <c r="HH38" s="3" t="str">
        <f>_xlfn.XLOOKUP(HH$1,generator!$B$2:$B$295,generator!$Q$2:$Q$295,"ARGH")</f>
        <v>143</v>
      </c>
      <c r="HI38" s="3" t="str">
        <f>_xlfn.XLOOKUP(HI$1,generator!$B$2:$B$295,generator!$Q$2:$Q$295,"ARGH")</f>
        <v>246.74</v>
      </c>
      <c r="HJ38" s="3" t="str">
        <f>_xlfn.XLOOKUP(HJ$1,generator!$B$2:$B$295,generator!$Q$2:$Q$295,"ARGH")</f>
        <v>246.74</v>
      </c>
      <c r="HK38" s="3" t="str">
        <f>_xlfn.XLOOKUP(HK$1,generator!$B$2:$B$295,generator!$Q$2:$Q$295,"ARGH")</f>
        <v>206.04</v>
      </c>
      <c r="HL38" s="3" t="str">
        <f>_xlfn.XLOOKUP(HL$1,generator!$B$2:$B$295,generator!$Q$2:$Q$295,"ARGH")</f>
        <v>506.96</v>
      </c>
      <c r="HM38" s="3" t="str">
        <f>_xlfn.XLOOKUP(HM$1,generator!$B$2:$B$295,generator!$Q$2:$Q$295,"ARGH")</f>
        <v>506.95</v>
      </c>
      <c r="HN38" s="3" t="str">
        <f>_xlfn.XLOOKUP(HN$1,generator!$B$2:$B$295,generator!$Q$2:$Q$295,"ARGH")</f>
        <v>190.97</v>
      </c>
      <c r="HO38" s="3" t="str">
        <f>_xlfn.XLOOKUP(HO$1,generator!$B$2:$B$295,generator!$Q$2:$Q$295,"ARGH")</f>
        <v>190.97</v>
      </c>
      <c r="HP38" s="3" t="str">
        <f>_xlfn.XLOOKUP(HP$1,generator!$B$2:$B$295,generator!$Q$2:$Q$295,"ARGH")</f>
        <v>424.84</v>
      </c>
      <c r="HQ38" s="3" t="str">
        <f>_xlfn.XLOOKUP(HQ$1,generator!$B$2:$B$295,generator!$Q$2:$Q$295,"ARGH")</f>
        <v>425.9</v>
      </c>
      <c r="HR38" s="3" t="str">
        <f>_xlfn.XLOOKUP(HR$1,generator!$B$2:$B$295,generator!$Q$2:$Q$295,"ARGH")</f>
        <v>425.9</v>
      </c>
      <c r="HS38" s="3" t="str">
        <f>_xlfn.XLOOKUP(HS$1,generator!$B$2:$B$295,generator!$Q$2:$Q$295,"ARGH")</f>
        <v>196.54</v>
      </c>
      <c r="HT38" s="3" t="str">
        <f>_xlfn.XLOOKUP(HT$1,generator!$B$2:$B$295,generator!$Q$2:$Q$295,"ARGH")</f>
        <v>196.54</v>
      </c>
      <c r="HU38" s="3" t="str">
        <f>_xlfn.XLOOKUP(HU$1,generator!$B$2:$B$295,generator!$Q$2:$Q$295,"ARGH")</f>
        <v>145.57</v>
      </c>
      <c r="HV38" s="3" t="str">
        <f>_xlfn.XLOOKUP(HV$1,generator!$B$2:$B$295,generator!$Q$2:$Q$295,"ARGH")</f>
        <v>132.62</v>
      </c>
      <c r="HW38" s="3" t="str">
        <f>_xlfn.XLOOKUP(HW$1,generator!$B$2:$B$295,generator!$Q$2:$Q$295,"ARGH")</f>
        <v>193.76</v>
      </c>
      <c r="HX38" s="3" t="str">
        <f>_xlfn.XLOOKUP(HX$1,generator!$B$2:$B$295,generator!$Q$2:$Q$295,"ARGH")</f>
        <v>193.76</v>
      </c>
      <c r="HY38" s="3" t="str">
        <f>_xlfn.XLOOKUP(HY$1,generator!$B$2:$B$295,generator!$Q$2:$Q$295,"ARGH")</f>
        <v>79.19</v>
      </c>
      <c r="HZ38" s="3" t="str">
        <f>_xlfn.XLOOKUP(HZ$1,generator!$B$2:$B$295,generator!$Q$2:$Q$295,"ARGH")</f>
        <v>125.79</v>
      </c>
      <c r="IA38" s="3" t="str">
        <f>_xlfn.XLOOKUP(IA$1,generator!$B$2:$B$295,generator!$Q$2:$Q$295,"ARGH")</f>
        <v>54.19</v>
      </c>
      <c r="IB38" s="3" t="str">
        <f>_xlfn.XLOOKUP(IB$1,generator!$B$2:$B$295,generator!$Q$2:$Q$295,"ARGH")</f>
        <v>59.7</v>
      </c>
      <c r="IC38" s="3">
        <f>_xlfn.XLOOKUP(IC$1,generator!$B$2:$B$295,generator!$Q$2:$Q$295,"ARGH")</f>
        <v>0</v>
      </c>
      <c r="ID38" s="3" t="str">
        <f>_xlfn.XLOOKUP(ID$1,generator!$B$2:$B$295,generator!$Q$2:$Q$295,"ARGH")</f>
        <v>121.14</v>
      </c>
      <c r="IE38" s="3" t="str">
        <f>_xlfn.XLOOKUP(IE$1,generator!$B$2:$B$295,generator!$Q$2:$Q$295,"ARGH")</f>
        <v>26.6</v>
      </c>
      <c r="IF38" s="3">
        <f>_xlfn.XLOOKUP(IF$1,generator!$B$2:$B$295,generator!$Q$2:$Q$295,"ARGH")</f>
        <v>8000</v>
      </c>
      <c r="IG38" s="3">
        <f>_xlfn.XLOOKUP(IG$1,generator!$B$2:$B$295,generator!$Q$2:$Q$295,"ARGH")</f>
        <v>8000</v>
      </c>
      <c r="IH38" s="3">
        <f>_xlfn.XLOOKUP(IH$1,generator!$B$2:$B$295,generator!$Q$2:$Q$295,"ARGH")</f>
        <v>8000</v>
      </c>
      <c r="II38" s="3">
        <f>_xlfn.XLOOKUP(II$1,generator!$B$2:$B$295,generator!$Q$2:$Q$295,"ARGH")</f>
        <v>8000</v>
      </c>
      <c r="IJ38" s="3">
        <f>_xlfn.XLOOKUP(IJ$1,generator!$B$2:$B$295,generator!$Q$2:$Q$295,"ARGH")</f>
        <v>8000</v>
      </c>
      <c r="IK38" s="3">
        <f>_xlfn.XLOOKUP(IK$1,generator!$B$2:$B$295,generator!$Q$2:$Q$295,"ARGH")</f>
        <v>8000</v>
      </c>
      <c r="IL38" s="3">
        <f>_xlfn.XLOOKUP(IL$1,generator!$B$2:$B$295,generator!$Q$2:$Q$295,"ARGH")</f>
        <v>8000</v>
      </c>
      <c r="IM38" s="3">
        <f>_xlfn.XLOOKUP(IM$1,generator!$B$2:$B$295,generator!$Q$2:$Q$295,"ARGH")</f>
        <v>8000</v>
      </c>
      <c r="IN38" s="3">
        <f>_xlfn.XLOOKUP(IN$1,generator!$B$2:$B$295,generator!$Q$2:$Q$295,"ARGH")</f>
        <v>8000</v>
      </c>
      <c r="IO38" s="3">
        <f>_xlfn.XLOOKUP(IO$1,generator!$B$2:$B$295,generator!$Q$2:$Q$295,"ARGH")</f>
        <v>8000</v>
      </c>
      <c r="IP38" s="3">
        <f>_xlfn.XLOOKUP(IP$1,generator!$B$2:$B$295,generator!$Q$2:$Q$295,"ARGH")</f>
        <v>8000</v>
      </c>
      <c r="IQ38" s="3">
        <f>_xlfn.XLOOKUP(IQ$1,generator!$B$2:$B$295,generator!$Q$2:$Q$295,"ARGH")</f>
        <v>8000</v>
      </c>
      <c r="IR38" s="3">
        <f>_xlfn.XLOOKUP(IR$1,generator!$B$2:$B$295,generator!$Q$2:$Q$295,"ARGH")</f>
        <v>8000</v>
      </c>
      <c r="IS38" s="3">
        <f>_xlfn.XLOOKUP(IS$1,generator!$B$2:$B$295,generator!$Q$2:$Q$295,"ARGH")</f>
        <v>8000</v>
      </c>
      <c r="IT38" s="3">
        <f>_xlfn.XLOOKUP(IT$1,generator!$B$2:$B$295,generator!$Q$2:$Q$295,"ARGH")</f>
        <v>8000</v>
      </c>
      <c r="IU38" s="3">
        <f>_xlfn.XLOOKUP(IU$1,generator!$B$2:$B$295,generator!$Q$2:$Q$295,"ARGH")</f>
        <v>8000</v>
      </c>
      <c r="IV38" s="3">
        <f>_xlfn.XLOOKUP(IV$1,generator!$B$2:$B$295,generator!$Q$2:$Q$295,"ARGH")</f>
        <v>8000</v>
      </c>
      <c r="IW38" s="3" t="str">
        <f>_xlfn.XLOOKUP(IW$1,generator!$B$2:$B$295,generator!$Q$2:$Q$295,"ARGH")</f>
        <v>108.19</v>
      </c>
      <c r="IX38" s="3" t="str">
        <f>_xlfn.XLOOKUP(IX$1,generator!$B$2:$B$295,generator!$Q$2:$Q$295,"ARGH")</f>
        <v>108.18</v>
      </c>
      <c r="IY38" s="3" t="str">
        <f>_xlfn.XLOOKUP(IY$1,generator!$B$2:$B$295,generator!$Q$2:$Q$295,"ARGH")</f>
        <v>108.17</v>
      </c>
      <c r="IZ38" s="3" t="str">
        <f>_xlfn.XLOOKUP(IZ$1,generator!$B$2:$B$295,generator!$Q$2:$Q$295,"ARGH")</f>
        <v>40.96</v>
      </c>
      <c r="JA38" s="3">
        <f>_xlfn.XLOOKUP(JA$1,generator!$B$2:$B$295,generator!$Q$2:$Q$295,"ARGH")</f>
        <v>0</v>
      </c>
      <c r="JB38" s="3">
        <f>_xlfn.XLOOKUP(JB$1,generator!$B$2:$B$295,generator!$Q$2:$Q$295,"ARGH")</f>
        <v>0</v>
      </c>
      <c r="JC38" s="3" t="str">
        <f>_xlfn.XLOOKUP(JC$1,generator!$B$2:$B$295,generator!$Q$2:$Q$295,"ARGH")</f>
        <v>75.91</v>
      </c>
      <c r="JD38" s="3" t="str">
        <f>_xlfn.XLOOKUP(JD$1,generator!$B$2:$B$295,generator!$Q$2:$Q$295,"ARGH")</f>
        <v>75.91</v>
      </c>
      <c r="JE38" s="3" t="str">
        <f>_xlfn.XLOOKUP(JE$1,generator!$B$2:$B$295,generator!$Q$2:$Q$295,"ARGH")</f>
        <v>51.59</v>
      </c>
      <c r="JF38" s="3" t="str">
        <f>_xlfn.XLOOKUP(JF$1,generator!$B$2:$B$295,generator!$Q$2:$Q$295,"ARGH")</f>
        <v>111.57</v>
      </c>
      <c r="JG38" s="3">
        <f>_xlfn.XLOOKUP(JG$1,generator!$B$2:$B$295,generator!$Q$2:$Q$295,"ARGH")</f>
        <v>0</v>
      </c>
      <c r="JH38" s="3" t="str">
        <f>_xlfn.XLOOKUP(JH$1,generator!$B$2:$B$295,generator!$Q$2:$Q$295,"ARGH")</f>
        <v>48.65</v>
      </c>
      <c r="JI38" s="3" t="str">
        <f>_xlfn.XLOOKUP(JI$1,generator!$B$2:$B$295,generator!$Q$2:$Q$295,"ARGH")</f>
        <v>71.88</v>
      </c>
      <c r="JJ38" s="3" t="str">
        <f>_xlfn.XLOOKUP(JJ$1,generator!$B$2:$B$295,generator!$Q$2:$Q$295,"ARGH")</f>
        <v>98.17</v>
      </c>
      <c r="JK38" s="3" t="str">
        <f>_xlfn.XLOOKUP(JK$1,generator!$B$2:$B$295,generator!$Q$2:$Q$295,"ARGH")</f>
        <v>98.17</v>
      </c>
      <c r="JL38" s="3" t="str">
        <f>_xlfn.XLOOKUP(JL$1,generator!$B$2:$B$295,generator!$Q$2:$Q$295,"ARGH")</f>
        <v>98.17</v>
      </c>
      <c r="JM38" s="3" t="str">
        <f>_xlfn.XLOOKUP(JM$1,generator!$B$2:$B$295,generator!$Q$2:$Q$295,"ARGH")</f>
        <v>98.17</v>
      </c>
      <c r="JN38" s="3" t="str">
        <f>_xlfn.XLOOKUP(JN$1,generator!$B$2:$B$295,generator!$Q$2:$Q$295,"ARGH")</f>
        <v>98.17</v>
      </c>
      <c r="JO38" s="3" t="str">
        <f>_xlfn.XLOOKUP(JO$1,generator!$B$2:$B$295,generator!$Q$2:$Q$295,"ARGH")</f>
        <v>98.17</v>
      </c>
      <c r="JP38" s="3" t="str">
        <f>_xlfn.XLOOKUP(JP$1,generator!$B$2:$B$295,generator!$Q$2:$Q$295,"ARGH")</f>
        <v>47.53</v>
      </c>
      <c r="JQ38" s="3" t="str">
        <f>_xlfn.XLOOKUP(JQ$1,generator!$B$2:$B$295,generator!$Q$2:$Q$295,"ARGH")</f>
        <v>108.86</v>
      </c>
      <c r="JR38" s="3" t="str">
        <f>_xlfn.XLOOKUP(JR$1,generator!$B$2:$B$295,generator!$Q$2:$Q$295,"ARGH")</f>
        <v>83.15</v>
      </c>
      <c r="JS38" s="3" t="str">
        <f>_xlfn.XLOOKUP(JS$1,generator!$B$2:$B$295,generator!$Q$2:$Q$295,"ARGH")</f>
        <v>83.15</v>
      </c>
      <c r="JT38" s="3" t="str">
        <f>_xlfn.XLOOKUP(JT$1,generator!$B$2:$B$295,generator!$Q$2:$Q$295,"ARGH")</f>
        <v>108.86</v>
      </c>
      <c r="JU38" s="3">
        <f>_xlfn.XLOOKUP(JU$1,generator!$B$2:$B$295,generator!$Q$2:$Q$295,"ARGH")</f>
        <v>0</v>
      </c>
      <c r="JV38" s="3" t="str">
        <f>_xlfn.XLOOKUP(JV$1,generator!$B$2:$B$295,generator!$Q$2:$Q$295,"ARGH")</f>
        <v>77.63</v>
      </c>
      <c r="JW38" s="3" t="str">
        <f>_xlfn.XLOOKUP(JW$1,generator!$B$2:$B$295,generator!$Q$2:$Q$295,"ARGH")</f>
        <v>77.64</v>
      </c>
      <c r="JX38" s="3" t="str">
        <f>_xlfn.XLOOKUP(JX$1,generator!$B$2:$B$295,generator!$Q$2:$Q$295,"ARGH")</f>
        <v>331.49</v>
      </c>
      <c r="JY38" s="3">
        <f>_xlfn.XLOOKUP(JY$1,generator!$B$2:$B$295,generator!$Q$2:$Q$295,"ARGH")</f>
        <v>7000</v>
      </c>
      <c r="JZ38" s="3">
        <f>_xlfn.XLOOKUP(JZ$1,generator!$B$2:$B$295,generator!$Q$2:$Q$295,"ARGH")</f>
        <v>0</v>
      </c>
      <c r="KA38" s="3">
        <f>_xlfn.XLOOKUP(KA$1,generator!$B$2:$B$295,generator!$Q$2:$Q$295,"ARGH")</f>
        <v>0</v>
      </c>
      <c r="KB38" s="3">
        <f>_xlfn.XLOOKUP(KB$1,generator!$B$2:$B$295,generator!$Q$2:$Q$295,"ARGH")</f>
        <v>0</v>
      </c>
      <c r="KC38" s="3">
        <f>_xlfn.XLOOKUP(KC$1,generator!$B$2:$B$295,generator!$Q$2:$Q$295,"ARGH")</f>
        <v>0</v>
      </c>
    </row>
    <row r="39" spans="1:289" x14ac:dyDescent="0.3">
      <c r="A39" s="4" t="s">
        <v>3034</v>
      </c>
      <c r="B39" s="3">
        <v>15000</v>
      </c>
      <c r="C39" s="3">
        <v>15000</v>
      </c>
      <c r="D39" s="3">
        <v>15000</v>
      </c>
      <c r="E39" s="3">
        <f>_xlfn.XLOOKUP(E$1,generator!$B$2:$B$295,generator!$Q$2:$Q$295,"ARGH")</f>
        <v>9000</v>
      </c>
      <c r="F39" s="3">
        <f>_xlfn.XLOOKUP(F$1,generator!$B$2:$B$295,generator!$Q$2:$Q$295,"ARGH")</f>
        <v>9000</v>
      </c>
      <c r="G39" s="3">
        <f>_xlfn.XLOOKUP(G$1,generator!$B$2:$B$295,generator!$Q$2:$Q$295,"ARGH")</f>
        <v>9000</v>
      </c>
      <c r="H39" s="3">
        <f>_xlfn.XLOOKUP(H$1,generator!$B$2:$B$295,generator!$Q$2:$Q$295,"ARGH")</f>
        <v>9000</v>
      </c>
      <c r="I39" s="3">
        <f>_xlfn.XLOOKUP(I$1,generator!$B$2:$B$295,generator!$Q$2:$Q$295,"ARGH")</f>
        <v>9000</v>
      </c>
      <c r="J39" s="3">
        <f>_xlfn.XLOOKUP(J$1,generator!$B$2:$B$295,generator!$Q$2:$Q$295,"ARGH")</f>
        <v>9000</v>
      </c>
      <c r="K39" s="3">
        <f>_xlfn.XLOOKUP(K$1,generator!$B$2:$B$295,generator!$Q$2:$Q$295,"ARGH")</f>
        <v>9000</v>
      </c>
      <c r="L39" s="3">
        <f>_xlfn.XLOOKUP(L$1,generator!$B$2:$B$295,generator!$Q$2:$Q$295,"ARGH")</f>
        <v>9000</v>
      </c>
      <c r="M39" s="3">
        <f>_xlfn.XLOOKUP(M$1,generator!$B$2:$B$295,generator!$Q$2:$Q$295,"ARGH")</f>
        <v>9000</v>
      </c>
      <c r="N39" s="3">
        <f>_xlfn.XLOOKUP(N$1,generator!$B$2:$B$295,generator!$Q$2:$Q$295,"ARGH")</f>
        <v>9000</v>
      </c>
      <c r="O39" s="3">
        <f>_xlfn.XLOOKUP(O$1,generator!$B$2:$B$295,generator!$Q$2:$Q$295,"ARGH")</f>
        <v>9000</v>
      </c>
      <c r="P39" s="3">
        <f>_xlfn.XLOOKUP(P$1,generator!$B$2:$B$295,generator!$Q$2:$Q$295,"ARGH")</f>
        <v>9000</v>
      </c>
      <c r="Q39" s="3">
        <f>_xlfn.XLOOKUP(Q$1,generator!$B$2:$B$295,generator!$Q$2:$Q$295,"ARGH")</f>
        <v>9000</v>
      </c>
      <c r="R39" s="3">
        <f>_xlfn.XLOOKUP(R$1,generator!$B$2:$B$295,generator!$Q$2:$Q$295,"ARGH")</f>
        <v>9000</v>
      </c>
      <c r="S39" s="3">
        <f>_xlfn.XLOOKUP(S$1,generator!$B$2:$B$295,generator!$Q$2:$Q$295,"ARGH")</f>
        <v>9000</v>
      </c>
      <c r="T39" s="3">
        <f>_xlfn.XLOOKUP(T$1,generator!$B$2:$B$295,generator!$Q$2:$Q$295,"ARGH")</f>
        <v>9000</v>
      </c>
      <c r="U39" s="3">
        <f>_xlfn.XLOOKUP(U$1,generator!$B$2:$B$295,generator!$Q$2:$Q$295,"ARGH")</f>
        <v>9000</v>
      </c>
      <c r="V39" s="3">
        <f>_xlfn.XLOOKUP(V$1,generator!$B$2:$B$295,generator!$Q$2:$Q$295,"ARGH")</f>
        <v>9000</v>
      </c>
      <c r="W39" s="3">
        <f>_xlfn.XLOOKUP(W$1,generator!$B$2:$B$295,generator!$Q$2:$Q$295,"ARGH")</f>
        <v>9000</v>
      </c>
      <c r="X39" s="3">
        <f>_xlfn.XLOOKUP(X$1,generator!$B$2:$B$295,generator!$Q$2:$Q$295,"ARGH")</f>
        <v>9000</v>
      </c>
      <c r="Y39" s="3">
        <f>_xlfn.XLOOKUP(Y$1,generator!$B$2:$B$295,generator!$Q$2:$Q$295,"ARGH")</f>
        <v>9000</v>
      </c>
      <c r="Z39" s="3">
        <f>_xlfn.XLOOKUP(Z$1,generator!$B$2:$B$295,generator!$Q$2:$Q$295,"ARGH")</f>
        <v>9000</v>
      </c>
      <c r="AA39" s="3">
        <f>_xlfn.XLOOKUP(AA$1,generator!$B$2:$B$295,generator!$Q$2:$Q$295,"ARGH")</f>
        <v>9000</v>
      </c>
      <c r="AB39" s="3">
        <f>_xlfn.XLOOKUP(AB$1,generator!$B$2:$B$295,generator!$Q$2:$Q$295,"ARGH")</f>
        <v>9000</v>
      </c>
      <c r="AC39" s="3">
        <f>_xlfn.XLOOKUP(AC$1,generator!$B$2:$B$295,generator!$Q$2:$Q$295,"ARGH")</f>
        <v>9000</v>
      </c>
      <c r="AD39" s="3">
        <f>_xlfn.XLOOKUP(AD$1,generator!$B$2:$B$295,generator!$Q$2:$Q$295,"ARGH")</f>
        <v>9000</v>
      </c>
      <c r="AE39" s="3">
        <f>_xlfn.XLOOKUP(AE$1,generator!$B$2:$B$295,generator!$Q$2:$Q$295,"ARGH")</f>
        <v>9000</v>
      </c>
      <c r="AF39" s="3">
        <f>_xlfn.XLOOKUP(AF$1,generator!$B$2:$B$295,generator!$Q$2:$Q$295,"ARGH")</f>
        <v>9000</v>
      </c>
      <c r="AG39" s="3">
        <f>_xlfn.XLOOKUP(AG$1,generator!$B$2:$B$295,generator!$Q$2:$Q$295,"ARGH")</f>
        <v>9000</v>
      </c>
      <c r="AH39" s="3">
        <f>_xlfn.XLOOKUP(AH$1,generator!$B$2:$B$295,generator!$Q$2:$Q$295,"ARGH")</f>
        <v>9000</v>
      </c>
      <c r="AI39" s="3">
        <f>_xlfn.XLOOKUP(AI$1,generator!$B$2:$B$295,generator!$Q$2:$Q$295,"ARGH")</f>
        <v>9000</v>
      </c>
      <c r="AJ39" s="3">
        <f>_xlfn.XLOOKUP(AJ$1,generator!$B$2:$B$295,generator!$Q$2:$Q$295,"ARGH")</f>
        <v>9000</v>
      </c>
      <c r="AK39" s="3">
        <f>_xlfn.XLOOKUP(AK$1,generator!$B$2:$B$295,generator!$Q$2:$Q$295,"ARGH")</f>
        <v>9000</v>
      </c>
      <c r="AL39" s="3">
        <f>_xlfn.XLOOKUP(AL$1,generator!$B$2:$B$295,generator!$Q$2:$Q$295,"ARGH")</f>
        <v>9000</v>
      </c>
      <c r="AM39" s="3">
        <f>_xlfn.XLOOKUP(AM$1,generator!$B$2:$B$295,generator!$Q$2:$Q$295,"ARGH")</f>
        <v>9000</v>
      </c>
      <c r="AN39" s="3">
        <f>_xlfn.XLOOKUP(AN$1,generator!$B$2:$B$295,generator!$Q$2:$Q$295,"ARGH")</f>
        <v>9000</v>
      </c>
      <c r="AO39" s="3">
        <f>_xlfn.XLOOKUP(AO$1,generator!$B$2:$B$295,generator!$Q$2:$Q$295,"ARGH")</f>
        <v>9000</v>
      </c>
      <c r="AP39" s="3">
        <f>_xlfn.XLOOKUP(AP$1,generator!$B$2:$B$295,generator!$Q$2:$Q$295,"ARGH")</f>
        <v>9000</v>
      </c>
      <c r="AQ39" s="3">
        <f>_xlfn.XLOOKUP(AQ$1,generator!$B$2:$B$295,generator!$Q$2:$Q$295,"ARGH")</f>
        <v>9000</v>
      </c>
      <c r="AR39" s="3">
        <f>_xlfn.XLOOKUP(AR$1,generator!$B$2:$B$295,generator!$Q$2:$Q$295,"ARGH")</f>
        <v>9000</v>
      </c>
      <c r="AS39" s="3">
        <f>_xlfn.XLOOKUP(AS$1,generator!$B$2:$B$295,generator!$Q$2:$Q$295,"ARGH")</f>
        <v>9000</v>
      </c>
      <c r="AT39" s="3">
        <f>_xlfn.XLOOKUP(AT$1,generator!$B$2:$B$295,generator!$Q$2:$Q$295,"ARGH")</f>
        <v>9000</v>
      </c>
      <c r="AU39" s="3">
        <f>_xlfn.XLOOKUP(AU$1,generator!$B$2:$B$295,generator!$Q$2:$Q$295,"ARGH")</f>
        <v>9000</v>
      </c>
      <c r="AV39" s="3">
        <f>_xlfn.XLOOKUP(AV$1,generator!$B$2:$B$295,generator!$Q$2:$Q$295,"ARGH")</f>
        <v>9000</v>
      </c>
      <c r="AW39" s="3">
        <f>_xlfn.XLOOKUP(AW$1,generator!$B$2:$B$295,generator!$Q$2:$Q$295,"ARGH")</f>
        <v>9000</v>
      </c>
      <c r="AX39" s="3">
        <f>_xlfn.XLOOKUP(AX$1,generator!$B$2:$B$295,generator!$Q$2:$Q$295,"ARGH")</f>
        <v>9000</v>
      </c>
      <c r="AY39" s="3">
        <f>_xlfn.XLOOKUP(AY$1,generator!$B$2:$B$295,generator!$Q$2:$Q$295,"ARGH")</f>
        <v>9000</v>
      </c>
      <c r="AZ39" s="3">
        <f>_xlfn.XLOOKUP(AZ$1,generator!$B$2:$B$295,generator!$Q$2:$Q$295,"ARGH")</f>
        <v>9000</v>
      </c>
      <c r="BA39" s="3">
        <f>_xlfn.XLOOKUP(BA$1,generator!$B$2:$B$295,generator!$Q$2:$Q$295,"ARGH")</f>
        <v>9000</v>
      </c>
      <c r="BB39" s="3">
        <f>_xlfn.XLOOKUP(BB$1,generator!$B$2:$B$295,generator!$Q$2:$Q$295,"ARGH")</f>
        <v>9000</v>
      </c>
      <c r="BC39" s="3">
        <f>_xlfn.XLOOKUP(BC$1,generator!$B$2:$B$295,generator!$Q$2:$Q$295,"ARGH")</f>
        <v>9000</v>
      </c>
      <c r="BD39" s="3">
        <f>_xlfn.XLOOKUP(BD$1,generator!$B$2:$B$295,generator!$Q$2:$Q$295,"ARGH")</f>
        <v>9000</v>
      </c>
      <c r="BE39" s="3">
        <f>_xlfn.XLOOKUP(BE$1,generator!$B$2:$B$295,generator!$Q$2:$Q$295,"ARGH")</f>
        <v>9000</v>
      </c>
      <c r="BF39" s="3">
        <f>_xlfn.XLOOKUP(BF$1,generator!$B$2:$B$295,generator!$Q$2:$Q$295,"ARGH")</f>
        <v>9000</v>
      </c>
      <c r="BG39" s="3">
        <f>_xlfn.XLOOKUP(BG$1,generator!$B$2:$B$295,generator!$Q$2:$Q$295,"ARGH")</f>
        <v>9000</v>
      </c>
      <c r="BH39" s="3">
        <f>_xlfn.XLOOKUP(BH$1,generator!$B$2:$B$295,generator!$Q$2:$Q$295,"ARGH")</f>
        <v>9000</v>
      </c>
      <c r="BI39" s="3">
        <f>_xlfn.XLOOKUP(BI$1,generator!$B$2:$B$295,generator!$Q$2:$Q$295,"ARGH")</f>
        <v>9000</v>
      </c>
      <c r="BJ39" s="3">
        <f>_xlfn.XLOOKUP(BJ$1,generator!$B$2:$B$295,generator!$Q$2:$Q$295,"ARGH")</f>
        <v>9000</v>
      </c>
      <c r="BK39" s="3">
        <f>_xlfn.XLOOKUP(BK$1,generator!$B$2:$B$295,generator!$Q$2:$Q$295,"ARGH")</f>
        <v>9000</v>
      </c>
      <c r="BL39" s="3">
        <f>_xlfn.XLOOKUP(BL$1,generator!$B$2:$B$295,generator!$Q$2:$Q$295,"ARGH")</f>
        <v>9000</v>
      </c>
      <c r="BM39" s="3">
        <f>_xlfn.XLOOKUP(BM$1,generator!$B$2:$B$295,generator!$Q$2:$Q$295,"ARGH")</f>
        <v>9000</v>
      </c>
      <c r="BN39" s="3">
        <f>_xlfn.XLOOKUP(BN$1,generator!$B$2:$B$295,generator!$Q$2:$Q$295,"ARGH")</f>
        <v>9000</v>
      </c>
      <c r="BO39" s="3">
        <f>_xlfn.XLOOKUP(BO$1,generator!$B$2:$B$295,generator!$Q$2:$Q$295,"ARGH")</f>
        <v>9000</v>
      </c>
      <c r="BP39" s="3">
        <f>_xlfn.XLOOKUP(BP$1,generator!$B$2:$B$295,generator!$Q$2:$Q$295,"ARGH")</f>
        <v>9000</v>
      </c>
      <c r="BQ39" s="3">
        <f>_xlfn.XLOOKUP(BQ$1,generator!$B$2:$B$295,generator!$Q$2:$Q$295,"ARGH")</f>
        <v>9000</v>
      </c>
      <c r="BR39" s="3">
        <f>_xlfn.XLOOKUP(BR$1,generator!$B$2:$B$295,generator!$Q$2:$Q$295,"ARGH")</f>
        <v>9000</v>
      </c>
      <c r="BS39" s="3">
        <f>_xlfn.XLOOKUP(BS$1,generator!$B$2:$B$295,generator!$Q$2:$Q$295,"ARGH")</f>
        <v>9000</v>
      </c>
      <c r="BT39" s="3">
        <f>_xlfn.XLOOKUP(BT$1,generator!$B$2:$B$295,generator!$Q$2:$Q$295,"ARGH")</f>
        <v>9000</v>
      </c>
      <c r="BU39" s="3">
        <f>_xlfn.XLOOKUP(BU$1,generator!$B$2:$B$295,generator!$Q$2:$Q$295,"ARGH")</f>
        <v>9000</v>
      </c>
      <c r="BV39" s="3">
        <f>_xlfn.XLOOKUP(BV$1,generator!$B$2:$B$295,generator!$Q$2:$Q$295,"ARGH")</f>
        <v>9000</v>
      </c>
      <c r="BW39" s="3">
        <f>_xlfn.XLOOKUP(BW$1,generator!$B$2:$B$295,generator!$Q$2:$Q$295,"ARGH")</f>
        <v>9000</v>
      </c>
      <c r="BX39" s="3">
        <f>_xlfn.XLOOKUP(BX$1,generator!$B$2:$B$295,generator!$Q$2:$Q$295,"ARGH")</f>
        <v>9000</v>
      </c>
      <c r="BY39" s="3">
        <f>_xlfn.XLOOKUP(BY$1,generator!$B$2:$B$295,generator!$Q$2:$Q$295,"ARGH")</f>
        <v>9000</v>
      </c>
      <c r="BZ39" s="3">
        <f>_xlfn.XLOOKUP(BZ$1,generator!$B$2:$B$295,generator!$Q$2:$Q$295,"ARGH")</f>
        <v>9000</v>
      </c>
      <c r="CA39" s="3">
        <f>_xlfn.XLOOKUP(CA$1,generator!$B$2:$B$295,generator!$Q$2:$Q$295,"ARGH")</f>
        <v>9000</v>
      </c>
      <c r="CB39" s="3">
        <f>_xlfn.XLOOKUP(CB$1,generator!$B$2:$B$295,generator!$Q$2:$Q$295,"ARGH")</f>
        <v>9000</v>
      </c>
      <c r="CC39" s="3">
        <f>_xlfn.XLOOKUP(CC$1,generator!$B$2:$B$295,generator!$Q$2:$Q$295,"ARGH")</f>
        <v>9000</v>
      </c>
      <c r="CD39" s="3">
        <f>_xlfn.XLOOKUP(CD$1,generator!$B$2:$B$295,generator!$Q$2:$Q$295,"ARGH")</f>
        <v>9000</v>
      </c>
      <c r="CE39" s="3">
        <f>_xlfn.XLOOKUP(CE$1,generator!$B$2:$B$295,generator!$Q$2:$Q$295,"ARGH")</f>
        <v>9000</v>
      </c>
      <c r="CF39" s="3">
        <f>_xlfn.XLOOKUP(CF$1,generator!$B$2:$B$295,generator!$Q$2:$Q$295,"ARGH")</f>
        <v>9000</v>
      </c>
      <c r="CG39" s="3">
        <f>_xlfn.XLOOKUP(CG$1,generator!$B$2:$B$295,generator!$Q$2:$Q$295,"ARGH")</f>
        <v>9000</v>
      </c>
      <c r="CH39" s="3">
        <f>_xlfn.XLOOKUP(CH$1,generator!$B$2:$B$295,generator!$Q$2:$Q$295,"ARGH")</f>
        <v>9000</v>
      </c>
      <c r="CI39" s="3">
        <f>_xlfn.XLOOKUP(CI$1,generator!$B$2:$B$295,generator!$Q$2:$Q$295,"ARGH")</f>
        <v>9000</v>
      </c>
      <c r="CJ39" s="3">
        <f>_xlfn.XLOOKUP(CJ$1,generator!$B$2:$B$295,generator!$Q$2:$Q$295,"ARGH")</f>
        <v>9000</v>
      </c>
      <c r="CK39" s="3">
        <f>_xlfn.XLOOKUP(CK$1,generator!$B$2:$B$295,generator!$Q$2:$Q$295,"ARGH")</f>
        <v>9000</v>
      </c>
      <c r="CL39" s="3">
        <f>_xlfn.XLOOKUP(CL$1,generator!$B$2:$B$295,generator!$Q$2:$Q$295,"ARGH")</f>
        <v>9000</v>
      </c>
      <c r="CM39" s="3">
        <f>_xlfn.XLOOKUP(CM$1,generator!$B$2:$B$295,generator!$Q$2:$Q$295,"ARGH")</f>
        <v>9000</v>
      </c>
      <c r="CN39" s="3">
        <f>_xlfn.XLOOKUP(CN$1,generator!$B$2:$B$295,generator!$Q$2:$Q$295,"ARGH")</f>
        <v>9000</v>
      </c>
      <c r="CO39" s="3">
        <f>_xlfn.XLOOKUP(CO$1,generator!$B$2:$B$295,generator!$Q$2:$Q$295,"ARGH")</f>
        <v>9000</v>
      </c>
      <c r="CP39" s="3">
        <f>_xlfn.XLOOKUP(CP$1,generator!$B$2:$B$295,generator!$Q$2:$Q$295,"ARGH")</f>
        <v>9000</v>
      </c>
      <c r="CQ39" s="3">
        <f>_xlfn.XLOOKUP(CQ$1,generator!$B$2:$B$295,generator!$Q$2:$Q$295,"ARGH")</f>
        <v>9000</v>
      </c>
      <c r="CR39" s="3">
        <f>_xlfn.XLOOKUP(CR$1,generator!$B$2:$B$295,generator!$Q$2:$Q$295,"ARGH")</f>
        <v>9000</v>
      </c>
      <c r="CS39" s="3">
        <f>_xlfn.XLOOKUP(CS$1,generator!$B$2:$B$295,generator!$Q$2:$Q$295,"ARGH")</f>
        <v>9000</v>
      </c>
      <c r="CT39" s="3">
        <f>_xlfn.XLOOKUP(CT$1,generator!$B$2:$B$295,generator!$Q$2:$Q$295,"ARGH")</f>
        <v>9000</v>
      </c>
      <c r="CU39" s="3">
        <f>_xlfn.XLOOKUP(CU$1,generator!$B$2:$B$295,generator!$Q$2:$Q$295,"ARGH")</f>
        <v>9000</v>
      </c>
      <c r="CV39" s="3">
        <f>_xlfn.XLOOKUP(CV$1,generator!$B$2:$B$295,generator!$Q$2:$Q$295,"ARGH")</f>
        <v>9000</v>
      </c>
      <c r="CW39" s="3">
        <f>_xlfn.XLOOKUP(CW$1,generator!$B$2:$B$295,generator!$Q$2:$Q$295,"ARGH")</f>
        <v>9000</v>
      </c>
      <c r="CX39" s="3">
        <f>_xlfn.XLOOKUP(CX$1,generator!$B$2:$B$295,generator!$Q$2:$Q$295,"ARGH")</f>
        <v>9000</v>
      </c>
      <c r="CY39" s="3">
        <f>_xlfn.XLOOKUP(CY$1,generator!$B$2:$B$295,generator!$Q$2:$Q$295,"ARGH")</f>
        <v>9000</v>
      </c>
      <c r="CZ39" s="3">
        <f>_xlfn.XLOOKUP(CZ$1,generator!$B$2:$B$295,generator!$Q$2:$Q$295,"ARGH")</f>
        <v>9000</v>
      </c>
      <c r="DA39" s="3">
        <f>_xlfn.XLOOKUP(DA$1,generator!$B$2:$B$295,generator!$Q$2:$Q$295,"ARGH")</f>
        <v>9000</v>
      </c>
      <c r="DB39" s="3">
        <f>_xlfn.XLOOKUP(DB$1,generator!$B$2:$B$295,generator!$Q$2:$Q$295,"ARGH")</f>
        <v>9000</v>
      </c>
      <c r="DC39" s="3">
        <f>_xlfn.XLOOKUP(DC$1,generator!$B$2:$B$295,generator!$Q$2:$Q$295,"ARGH")</f>
        <v>9000</v>
      </c>
      <c r="DD39" s="3">
        <f>_xlfn.XLOOKUP(DD$1,generator!$B$2:$B$295,generator!$Q$2:$Q$295,"ARGH")</f>
        <v>9000</v>
      </c>
      <c r="DE39" s="3">
        <f>_xlfn.XLOOKUP(DE$1,generator!$B$2:$B$295,generator!$Q$2:$Q$295,"ARGH")</f>
        <v>9000</v>
      </c>
      <c r="DF39" s="3">
        <f>_xlfn.XLOOKUP(DF$1,generator!$B$2:$B$295,generator!$Q$2:$Q$295,"ARGH")</f>
        <v>9000</v>
      </c>
      <c r="DG39" s="3">
        <f>_xlfn.XLOOKUP(DG$1,generator!$B$2:$B$295,generator!$Q$2:$Q$295,"ARGH")</f>
        <v>9000</v>
      </c>
      <c r="DH39" s="3">
        <f>_xlfn.XLOOKUP(DH$1,generator!$B$2:$B$295,generator!$Q$2:$Q$295,"ARGH")</f>
        <v>9000</v>
      </c>
      <c r="DI39" s="3">
        <f>_xlfn.XLOOKUP(DI$1,generator!$B$2:$B$295,generator!$Q$2:$Q$295,"ARGH")</f>
        <v>9000</v>
      </c>
      <c r="DJ39" s="3">
        <f>_xlfn.XLOOKUP(DJ$1,generator!$B$2:$B$295,generator!$Q$2:$Q$295,"ARGH")</f>
        <v>9000</v>
      </c>
      <c r="DK39" s="3">
        <f>_xlfn.XLOOKUP(DK$1,generator!$B$2:$B$295,generator!$Q$2:$Q$295,"ARGH")</f>
        <v>9000</v>
      </c>
      <c r="DL39" s="3">
        <f>_xlfn.XLOOKUP(DL$1,generator!$B$2:$B$295,generator!$Q$2:$Q$295,"ARGH")</f>
        <v>9000</v>
      </c>
      <c r="DM39" s="3">
        <f>_xlfn.XLOOKUP(DM$1,generator!$B$2:$B$295,generator!$Q$2:$Q$295,"ARGH")</f>
        <v>9000</v>
      </c>
      <c r="DN39" s="3">
        <f>_xlfn.XLOOKUP(DN$1,generator!$B$2:$B$295,generator!$Q$2:$Q$295,"ARGH")</f>
        <v>9000</v>
      </c>
      <c r="DO39" s="3">
        <f>_xlfn.XLOOKUP(DO$1,generator!$B$2:$B$295,generator!$Q$2:$Q$295,"ARGH")</f>
        <v>9000</v>
      </c>
      <c r="DP39" s="3">
        <f>_xlfn.XLOOKUP(DP$1,generator!$B$2:$B$295,generator!$Q$2:$Q$295,"ARGH")</f>
        <v>9000</v>
      </c>
      <c r="DQ39" s="3">
        <f>_xlfn.XLOOKUP(DQ$1,generator!$B$2:$B$295,generator!$Q$2:$Q$295,"ARGH")</f>
        <v>9000</v>
      </c>
      <c r="DR39" s="3">
        <f>_xlfn.XLOOKUP(DR$1,generator!$B$2:$B$295,generator!$Q$2:$Q$295,"ARGH")</f>
        <v>9000</v>
      </c>
      <c r="DS39" s="3">
        <f>_xlfn.XLOOKUP(DS$1,generator!$B$2:$B$295,generator!$Q$2:$Q$295,"ARGH")</f>
        <v>9000</v>
      </c>
      <c r="DT39" s="3">
        <f>_xlfn.XLOOKUP(DT$1,generator!$B$2:$B$295,generator!$Q$2:$Q$295,"ARGH")</f>
        <v>9000</v>
      </c>
      <c r="DU39" s="3">
        <f>_xlfn.XLOOKUP(DU$1,generator!$B$2:$B$295,generator!$Q$2:$Q$295,"ARGH")</f>
        <v>9000</v>
      </c>
      <c r="DV39" s="3">
        <f>_xlfn.XLOOKUP(DV$1,generator!$B$2:$B$295,generator!$Q$2:$Q$295,"ARGH")</f>
        <v>9000</v>
      </c>
      <c r="DW39" s="3">
        <f>_xlfn.XLOOKUP(DW$1,generator!$B$2:$B$295,generator!$Q$2:$Q$295,"ARGH")</f>
        <v>9000</v>
      </c>
      <c r="DX39" s="3">
        <f>_xlfn.XLOOKUP(DX$1,generator!$B$2:$B$295,generator!$Q$2:$Q$295,"ARGH")</f>
        <v>9000</v>
      </c>
      <c r="DY39" s="3">
        <f>_xlfn.XLOOKUP(DY$1,generator!$B$2:$B$295,generator!$Q$2:$Q$295,"ARGH")</f>
        <v>9000</v>
      </c>
      <c r="DZ39" s="3">
        <f>_xlfn.XLOOKUP(DZ$1,generator!$B$2:$B$295,generator!$Q$2:$Q$295,"ARGH")</f>
        <v>9000</v>
      </c>
      <c r="EA39" s="3">
        <f>_xlfn.XLOOKUP(EA$1,generator!$B$2:$B$295,generator!$Q$2:$Q$295,"ARGH")</f>
        <v>9000</v>
      </c>
      <c r="EB39" s="3">
        <f>_xlfn.XLOOKUP(EB$1,generator!$B$2:$B$295,generator!$Q$2:$Q$295,"ARGH")</f>
        <v>9000</v>
      </c>
      <c r="EC39" s="3">
        <f>_xlfn.XLOOKUP(EC$1,generator!$B$2:$B$295,generator!$Q$2:$Q$295,"ARGH")</f>
        <v>9000</v>
      </c>
      <c r="ED39" s="3">
        <f>_xlfn.XLOOKUP(ED$1,generator!$B$2:$B$295,generator!$Q$2:$Q$295,"ARGH")</f>
        <v>9000</v>
      </c>
      <c r="EE39" s="3">
        <f>_xlfn.XLOOKUP(EE$1,generator!$B$2:$B$295,generator!$Q$2:$Q$295,"ARGH")</f>
        <v>9000</v>
      </c>
      <c r="EF39" s="3">
        <f>_xlfn.XLOOKUP(EF$1,generator!$B$2:$B$295,generator!$Q$2:$Q$295,"ARGH")</f>
        <v>9000</v>
      </c>
      <c r="EG39" s="3">
        <f>_xlfn.XLOOKUP(EG$1,generator!$B$2:$B$295,generator!$Q$2:$Q$295,"ARGH")</f>
        <v>9000</v>
      </c>
      <c r="EH39" s="3">
        <f>_xlfn.XLOOKUP(EH$1,generator!$B$2:$B$295,generator!$Q$2:$Q$295,"ARGH")</f>
        <v>9000</v>
      </c>
      <c r="EI39" s="3">
        <f>_xlfn.XLOOKUP(EI$1,generator!$B$2:$B$295,generator!$Q$2:$Q$295,"ARGH")</f>
        <v>9000</v>
      </c>
      <c r="EJ39" s="3">
        <f>_xlfn.XLOOKUP(EJ$1,generator!$B$2:$B$295,generator!$Q$2:$Q$295,"ARGH")</f>
        <v>9000</v>
      </c>
      <c r="EK39" s="3">
        <f>_xlfn.XLOOKUP(EK$1,generator!$B$2:$B$295,generator!$Q$2:$Q$295,"ARGH")</f>
        <v>9000</v>
      </c>
      <c r="EL39" s="3">
        <f>_xlfn.XLOOKUP(EL$1,generator!$B$2:$B$295,generator!$Q$2:$Q$295,"ARGH")</f>
        <v>9000</v>
      </c>
      <c r="EM39" s="3">
        <f>_xlfn.XLOOKUP(EM$1,generator!$B$2:$B$295,generator!$Q$2:$Q$295,"ARGH")</f>
        <v>9000</v>
      </c>
      <c r="EN39" s="3">
        <f>_xlfn.XLOOKUP(EN$1,generator!$B$2:$B$295,generator!$Q$2:$Q$295,"ARGH")</f>
        <v>9000</v>
      </c>
      <c r="EO39" s="3">
        <f>_xlfn.XLOOKUP(EO$1,generator!$B$2:$B$295,generator!$Q$2:$Q$295,"ARGH")</f>
        <v>9000</v>
      </c>
      <c r="EP39" s="3">
        <f>_xlfn.XLOOKUP(EP$1,generator!$B$2:$B$295,generator!$Q$2:$Q$295,"ARGH")</f>
        <v>9000</v>
      </c>
      <c r="EQ39" s="3">
        <f>_xlfn.XLOOKUP(EQ$1,generator!$B$2:$B$295,generator!$Q$2:$Q$295,"ARGH")</f>
        <v>9000</v>
      </c>
      <c r="ER39" s="3">
        <f>_xlfn.XLOOKUP(ER$1,generator!$B$2:$B$295,generator!$Q$2:$Q$295,"ARGH")</f>
        <v>9000</v>
      </c>
      <c r="ES39" s="3">
        <f>_xlfn.XLOOKUP(ES$1,generator!$B$2:$B$295,generator!$Q$2:$Q$295,"ARGH")</f>
        <v>9000</v>
      </c>
      <c r="ET39" s="3">
        <f>_xlfn.XLOOKUP(ET$1,generator!$B$2:$B$295,generator!$Q$2:$Q$295,"ARGH")</f>
        <v>9000</v>
      </c>
      <c r="EU39" s="3">
        <f>_xlfn.XLOOKUP(EU$1,generator!$B$2:$B$295,generator!$Q$2:$Q$295,"ARGH")</f>
        <v>9000</v>
      </c>
      <c r="EV39" s="3">
        <f>_xlfn.XLOOKUP(EV$1,generator!$B$2:$B$295,generator!$Q$2:$Q$295,"ARGH")</f>
        <v>9000</v>
      </c>
      <c r="EW39" s="3">
        <f>_xlfn.XLOOKUP(EW$1,generator!$B$2:$B$295,generator!$Q$2:$Q$295,"ARGH")</f>
        <v>9000</v>
      </c>
      <c r="EX39" s="3">
        <f>_xlfn.XLOOKUP(EX$1,generator!$B$2:$B$295,generator!$Q$2:$Q$295,"ARGH")</f>
        <v>9000</v>
      </c>
      <c r="EY39" s="3">
        <f>_xlfn.XLOOKUP(EY$1,generator!$B$2:$B$295,generator!$Q$2:$Q$295,"ARGH")</f>
        <v>9000</v>
      </c>
      <c r="EZ39" s="3">
        <f>_xlfn.XLOOKUP(EZ$1,generator!$B$2:$B$295,generator!$Q$2:$Q$295,"ARGH")</f>
        <v>9000</v>
      </c>
      <c r="FA39" s="3">
        <f>_xlfn.XLOOKUP(FA$1,generator!$B$2:$B$295,generator!$Q$2:$Q$295,"ARGH")</f>
        <v>9000</v>
      </c>
      <c r="FB39" s="3">
        <f>_xlfn.XLOOKUP(FB$1,generator!$B$2:$B$295,generator!$Q$2:$Q$295,"ARGH")</f>
        <v>9000</v>
      </c>
      <c r="FC39" s="3">
        <f>_xlfn.XLOOKUP(FC$1,generator!$B$2:$B$295,generator!$Q$2:$Q$295,"ARGH")</f>
        <v>9000</v>
      </c>
      <c r="FD39" s="3">
        <f>_xlfn.XLOOKUP(FD$1,generator!$B$2:$B$295,generator!$Q$2:$Q$295,"ARGH")</f>
        <v>9000</v>
      </c>
      <c r="FE39" s="3">
        <f>_xlfn.XLOOKUP(FE$1,generator!$B$2:$B$295,generator!$Q$2:$Q$295,"ARGH")</f>
        <v>9000</v>
      </c>
      <c r="FF39" s="3">
        <f>_xlfn.XLOOKUP(FF$1,generator!$B$2:$B$295,generator!$Q$2:$Q$295,"ARGH")</f>
        <v>9000</v>
      </c>
      <c r="FG39" s="3">
        <f>_xlfn.XLOOKUP(FG$1,generator!$B$2:$B$295,generator!$Q$2:$Q$295,"ARGH")</f>
        <v>9000</v>
      </c>
      <c r="FH39" s="3">
        <f>_xlfn.XLOOKUP(FH$1,generator!$B$2:$B$295,generator!$Q$2:$Q$295,"ARGH")</f>
        <v>9000</v>
      </c>
      <c r="FI39" s="3">
        <f>_xlfn.XLOOKUP(FI$1,generator!$B$2:$B$295,generator!$Q$2:$Q$295,"ARGH")</f>
        <v>9000</v>
      </c>
      <c r="FJ39" s="3">
        <f>_xlfn.XLOOKUP(FJ$1,generator!$B$2:$B$295,generator!$Q$2:$Q$295,"ARGH")</f>
        <v>9000</v>
      </c>
      <c r="FK39" s="3">
        <f>_xlfn.XLOOKUP(FK$1,generator!$B$2:$B$295,generator!$Q$2:$Q$295,"ARGH")</f>
        <v>9000</v>
      </c>
      <c r="FL39" s="3">
        <f>_xlfn.XLOOKUP(FL$1,generator!$B$2:$B$295,generator!$Q$2:$Q$295,"ARGH")</f>
        <v>9000</v>
      </c>
      <c r="FM39" s="3">
        <f>_xlfn.XLOOKUP(FM$1,generator!$B$2:$B$295,generator!$Q$2:$Q$295,"ARGH")</f>
        <v>9000</v>
      </c>
      <c r="FN39" s="3">
        <f>_xlfn.XLOOKUP(FN$1,generator!$B$2:$B$295,generator!$Q$2:$Q$295,"ARGH")</f>
        <v>9000</v>
      </c>
      <c r="FO39" s="3">
        <f>_xlfn.XLOOKUP(FO$1,generator!$B$2:$B$295,generator!$Q$2:$Q$295,"ARGH")</f>
        <v>9000</v>
      </c>
      <c r="FP39" s="3">
        <f>_xlfn.XLOOKUP(FP$1,generator!$B$2:$B$295,generator!$Q$2:$Q$295,"ARGH")</f>
        <v>9000</v>
      </c>
      <c r="FQ39" s="3">
        <f>_xlfn.XLOOKUP(FQ$1,generator!$B$2:$B$295,generator!$Q$2:$Q$295,"ARGH")</f>
        <v>9000</v>
      </c>
      <c r="FR39" s="3">
        <f>_xlfn.XLOOKUP(FR$1,generator!$B$2:$B$295,generator!$Q$2:$Q$295,"ARGH")</f>
        <v>9000</v>
      </c>
      <c r="FS39" s="3">
        <f>_xlfn.XLOOKUP(FS$1,generator!$B$2:$B$295,generator!$Q$2:$Q$295,"ARGH")</f>
        <v>9000</v>
      </c>
      <c r="FT39" s="3">
        <f>_xlfn.XLOOKUP(FT$1,generator!$B$2:$B$295,generator!$Q$2:$Q$295,"ARGH")</f>
        <v>9000</v>
      </c>
      <c r="FU39" s="3">
        <f>_xlfn.XLOOKUP(FU$1,generator!$B$2:$B$295,generator!$Q$2:$Q$295,"ARGH")</f>
        <v>9000</v>
      </c>
      <c r="FV39" s="3">
        <f>_xlfn.XLOOKUP(FV$1,generator!$B$2:$B$295,generator!$Q$2:$Q$295,"ARGH")</f>
        <v>9000</v>
      </c>
      <c r="FW39" s="3">
        <f>_xlfn.XLOOKUP(FW$1,generator!$B$2:$B$295,generator!$Q$2:$Q$295,"ARGH")</f>
        <v>9000</v>
      </c>
      <c r="FX39" s="3">
        <f>_xlfn.XLOOKUP(FX$1,generator!$B$2:$B$295,generator!$Q$2:$Q$295,"ARGH")</f>
        <v>9000</v>
      </c>
      <c r="FY39" s="3">
        <f>_xlfn.XLOOKUP(FY$1,generator!$B$2:$B$295,generator!$Q$2:$Q$295,"ARGH")</f>
        <v>9000</v>
      </c>
      <c r="FZ39" s="3">
        <f>_xlfn.XLOOKUP(FZ$1,generator!$B$2:$B$295,generator!$Q$2:$Q$295,"ARGH")</f>
        <v>9000</v>
      </c>
      <c r="GA39" s="3">
        <f>_xlfn.XLOOKUP(GA$1,generator!$B$2:$B$295,generator!$Q$2:$Q$295,"ARGH")</f>
        <v>9000</v>
      </c>
      <c r="GB39" s="3">
        <f>_xlfn.XLOOKUP(GB$1,generator!$B$2:$B$295,generator!$Q$2:$Q$295,"ARGH")</f>
        <v>9000</v>
      </c>
      <c r="GC39" s="3">
        <f>_xlfn.XLOOKUP(GC$1,generator!$B$2:$B$295,generator!$Q$2:$Q$295,"ARGH")</f>
        <v>9000</v>
      </c>
      <c r="GD39" s="3">
        <f>_xlfn.XLOOKUP(GD$1,generator!$B$2:$B$295,generator!$Q$2:$Q$295,"ARGH")</f>
        <v>9000</v>
      </c>
      <c r="GE39" s="3">
        <f>_xlfn.XLOOKUP(GE$1,generator!$B$2:$B$295,generator!$Q$2:$Q$295,"ARGH")</f>
        <v>9000</v>
      </c>
      <c r="GF39" s="3">
        <f>_xlfn.XLOOKUP(GF$1,generator!$B$2:$B$295,generator!$Q$2:$Q$295,"ARGH")</f>
        <v>9000</v>
      </c>
      <c r="GG39" s="3">
        <f>_xlfn.XLOOKUP(GG$1,generator!$B$2:$B$295,generator!$Q$2:$Q$295,"ARGH")</f>
        <v>9000</v>
      </c>
      <c r="GH39" s="3">
        <f>_xlfn.XLOOKUP(GH$1,generator!$B$2:$B$295,generator!$Q$2:$Q$295,"ARGH")</f>
        <v>9000</v>
      </c>
      <c r="GI39" s="3">
        <f>_xlfn.XLOOKUP(GI$1,generator!$B$2:$B$295,generator!$Q$2:$Q$295,"ARGH")</f>
        <v>9000</v>
      </c>
      <c r="GJ39" s="3">
        <f>_xlfn.XLOOKUP(GJ$1,generator!$B$2:$B$295,generator!$Q$2:$Q$295,"ARGH")</f>
        <v>9000</v>
      </c>
      <c r="GK39" s="3">
        <f>_xlfn.XLOOKUP(GK$1,generator!$B$2:$B$295,generator!$Q$2:$Q$295,"ARGH")</f>
        <v>9000</v>
      </c>
      <c r="GL39" s="3">
        <f>_xlfn.XLOOKUP(GL$1,generator!$B$2:$B$295,generator!$Q$2:$Q$295,"ARGH")</f>
        <v>9000</v>
      </c>
      <c r="GM39" s="3">
        <f>_xlfn.XLOOKUP(GM$1,generator!$B$2:$B$295,generator!$Q$2:$Q$295,"ARGH")</f>
        <v>9000</v>
      </c>
      <c r="GN39" s="3">
        <f>_xlfn.XLOOKUP(GN$1,generator!$B$2:$B$295,generator!$Q$2:$Q$295,"ARGH")</f>
        <v>9000</v>
      </c>
      <c r="GO39" s="3">
        <f>_xlfn.XLOOKUP(GO$1,generator!$B$2:$B$295,generator!$Q$2:$Q$295,"ARGH")</f>
        <v>9000</v>
      </c>
      <c r="GP39" s="3">
        <f>_xlfn.XLOOKUP(GP$1,generator!$B$2:$B$295,generator!$Q$2:$Q$295,"ARGH")</f>
        <v>9000</v>
      </c>
      <c r="GQ39" s="3">
        <f>_xlfn.XLOOKUP(GQ$1,generator!$B$2:$B$295,generator!$Q$2:$Q$295,"ARGH")</f>
        <v>9000</v>
      </c>
      <c r="GR39" s="3">
        <f>_xlfn.XLOOKUP(GR$1,generator!$B$2:$B$295,generator!$Q$2:$Q$295,"ARGH")</f>
        <v>9000</v>
      </c>
      <c r="GS39" s="3">
        <f>_xlfn.XLOOKUP(GS$1,generator!$B$2:$B$295,generator!$Q$2:$Q$295,"ARGH")</f>
        <v>9000</v>
      </c>
      <c r="GT39" s="3">
        <f>_xlfn.XLOOKUP(GT$1,generator!$B$2:$B$295,generator!$Q$2:$Q$295,"ARGH")</f>
        <v>9000</v>
      </c>
      <c r="GU39" s="3">
        <f>_xlfn.XLOOKUP(GU$1,generator!$B$2:$B$295,generator!$Q$2:$Q$295,"ARGH")</f>
        <v>9000</v>
      </c>
      <c r="GV39" s="3">
        <f>_xlfn.XLOOKUP(GV$1,generator!$B$2:$B$295,generator!$Q$2:$Q$295,"ARGH")</f>
        <v>9000</v>
      </c>
      <c r="GW39" s="3">
        <f>_xlfn.XLOOKUP(GW$1,generator!$B$2:$B$295,generator!$Q$2:$Q$295,"ARGH")</f>
        <v>9000</v>
      </c>
      <c r="GX39" s="3">
        <f>_xlfn.XLOOKUP(GX$1,generator!$B$2:$B$295,generator!$Q$2:$Q$295,"ARGH")</f>
        <v>9000</v>
      </c>
      <c r="GY39" s="3">
        <f>_xlfn.XLOOKUP(GY$1,generator!$B$2:$B$295,generator!$Q$2:$Q$295,"ARGH")</f>
        <v>9000</v>
      </c>
      <c r="GZ39" s="3">
        <f>_xlfn.XLOOKUP(GZ$1,generator!$B$2:$B$295,generator!$Q$2:$Q$295,"ARGH")</f>
        <v>9000</v>
      </c>
      <c r="HA39" s="3">
        <f>_xlfn.XLOOKUP(HA$1,generator!$B$2:$B$295,generator!$Q$2:$Q$295,"ARGH")</f>
        <v>9000</v>
      </c>
      <c r="HB39" s="3">
        <f>_xlfn.XLOOKUP(HB$1,generator!$B$2:$B$295,generator!$Q$2:$Q$295,"ARGH")</f>
        <v>9000</v>
      </c>
      <c r="HC39" s="3">
        <f>_xlfn.XLOOKUP(HC$1,generator!$B$2:$B$295,generator!$Q$2:$Q$295,"ARGH")</f>
        <v>9000</v>
      </c>
      <c r="HD39" s="3">
        <f>_xlfn.XLOOKUP(HD$1,generator!$B$2:$B$295,generator!$Q$2:$Q$295,"ARGH")</f>
        <v>9000</v>
      </c>
      <c r="HE39" s="3">
        <f>_xlfn.XLOOKUP(HE$1,generator!$B$2:$B$295,generator!$Q$2:$Q$295,"ARGH")</f>
        <v>8000</v>
      </c>
      <c r="HF39" s="3" t="str">
        <f>_xlfn.XLOOKUP(HF$1,generator!$B$2:$B$295,generator!$Q$2:$Q$295,"ARGH")</f>
        <v>143</v>
      </c>
      <c r="HG39" s="3" t="str">
        <f>_xlfn.XLOOKUP(HG$1,generator!$B$2:$B$295,generator!$Q$2:$Q$295,"ARGH")</f>
        <v>143</v>
      </c>
      <c r="HH39" s="3" t="str">
        <f>_xlfn.XLOOKUP(HH$1,generator!$B$2:$B$295,generator!$Q$2:$Q$295,"ARGH")</f>
        <v>143</v>
      </c>
      <c r="HI39" s="3" t="str">
        <f>_xlfn.XLOOKUP(HI$1,generator!$B$2:$B$295,generator!$Q$2:$Q$295,"ARGH")</f>
        <v>246.74</v>
      </c>
      <c r="HJ39" s="3" t="str">
        <f>_xlfn.XLOOKUP(HJ$1,generator!$B$2:$B$295,generator!$Q$2:$Q$295,"ARGH")</f>
        <v>246.74</v>
      </c>
      <c r="HK39" s="3" t="str">
        <f>_xlfn.XLOOKUP(HK$1,generator!$B$2:$B$295,generator!$Q$2:$Q$295,"ARGH")</f>
        <v>206.04</v>
      </c>
      <c r="HL39" s="3" t="str">
        <f>_xlfn.XLOOKUP(HL$1,generator!$B$2:$B$295,generator!$Q$2:$Q$295,"ARGH")</f>
        <v>506.96</v>
      </c>
      <c r="HM39" s="3" t="str">
        <f>_xlfn.XLOOKUP(HM$1,generator!$B$2:$B$295,generator!$Q$2:$Q$295,"ARGH")</f>
        <v>506.95</v>
      </c>
      <c r="HN39" s="3" t="str">
        <f>_xlfn.XLOOKUP(HN$1,generator!$B$2:$B$295,generator!$Q$2:$Q$295,"ARGH")</f>
        <v>190.97</v>
      </c>
      <c r="HO39" s="3" t="str">
        <f>_xlfn.XLOOKUP(HO$1,generator!$B$2:$B$295,generator!$Q$2:$Q$295,"ARGH")</f>
        <v>190.97</v>
      </c>
      <c r="HP39" s="3" t="str">
        <f>_xlfn.XLOOKUP(HP$1,generator!$B$2:$B$295,generator!$Q$2:$Q$295,"ARGH")</f>
        <v>424.84</v>
      </c>
      <c r="HQ39" s="3" t="str">
        <f>_xlfn.XLOOKUP(HQ$1,generator!$B$2:$B$295,generator!$Q$2:$Q$295,"ARGH")</f>
        <v>425.9</v>
      </c>
      <c r="HR39" s="3" t="str">
        <f>_xlfn.XLOOKUP(HR$1,generator!$B$2:$B$295,generator!$Q$2:$Q$295,"ARGH")</f>
        <v>425.9</v>
      </c>
      <c r="HS39" s="3" t="str">
        <f>_xlfn.XLOOKUP(HS$1,generator!$B$2:$B$295,generator!$Q$2:$Q$295,"ARGH")</f>
        <v>196.54</v>
      </c>
      <c r="HT39" s="3" t="str">
        <f>_xlfn.XLOOKUP(HT$1,generator!$B$2:$B$295,generator!$Q$2:$Q$295,"ARGH")</f>
        <v>196.54</v>
      </c>
      <c r="HU39" s="3" t="str">
        <f>_xlfn.XLOOKUP(HU$1,generator!$B$2:$B$295,generator!$Q$2:$Q$295,"ARGH")</f>
        <v>145.57</v>
      </c>
      <c r="HV39" s="3" t="str">
        <f>_xlfn.XLOOKUP(HV$1,generator!$B$2:$B$295,generator!$Q$2:$Q$295,"ARGH")</f>
        <v>132.62</v>
      </c>
      <c r="HW39" s="3" t="str">
        <f>_xlfn.XLOOKUP(HW$1,generator!$B$2:$B$295,generator!$Q$2:$Q$295,"ARGH")</f>
        <v>193.76</v>
      </c>
      <c r="HX39" s="3" t="str">
        <f>_xlfn.XLOOKUP(HX$1,generator!$B$2:$B$295,generator!$Q$2:$Q$295,"ARGH")</f>
        <v>193.76</v>
      </c>
      <c r="HY39" s="3" t="str">
        <f>_xlfn.XLOOKUP(HY$1,generator!$B$2:$B$295,generator!$Q$2:$Q$295,"ARGH")</f>
        <v>79.19</v>
      </c>
      <c r="HZ39" s="3" t="str">
        <f>_xlfn.XLOOKUP(HZ$1,generator!$B$2:$B$295,generator!$Q$2:$Q$295,"ARGH")</f>
        <v>125.79</v>
      </c>
      <c r="IA39" s="3" t="str">
        <f>_xlfn.XLOOKUP(IA$1,generator!$B$2:$B$295,generator!$Q$2:$Q$295,"ARGH")</f>
        <v>54.19</v>
      </c>
      <c r="IB39" s="3" t="str">
        <f>_xlfn.XLOOKUP(IB$1,generator!$B$2:$B$295,generator!$Q$2:$Q$295,"ARGH")</f>
        <v>59.7</v>
      </c>
      <c r="IC39" s="3">
        <f>_xlfn.XLOOKUP(IC$1,generator!$B$2:$B$295,generator!$Q$2:$Q$295,"ARGH")</f>
        <v>0</v>
      </c>
      <c r="ID39" s="3" t="str">
        <f>_xlfn.XLOOKUP(ID$1,generator!$B$2:$B$295,generator!$Q$2:$Q$295,"ARGH")</f>
        <v>121.14</v>
      </c>
      <c r="IE39" s="3" t="str">
        <f>_xlfn.XLOOKUP(IE$1,generator!$B$2:$B$295,generator!$Q$2:$Q$295,"ARGH")</f>
        <v>26.6</v>
      </c>
      <c r="IF39" s="3">
        <f>_xlfn.XLOOKUP(IF$1,generator!$B$2:$B$295,generator!$Q$2:$Q$295,"ARGH")</f>
        <v>8000</v>
      </c>
      <c r="IG39" s="3">
        <f>_xlfn.XLOOKUP(IG$1,generator!$B$2:$B$295,generator!$Q$2:$Q$295,"ARGH")</f>
        <v>8000</v>
      </c>
      <c r="IH39" s="3">
        <f>_xlfn.XLOOKUP(IH$1,generator!$B$2:$B$295,generator!$Q$2:$Q$295,"ARGH")</f>
        <v>8000</v>
      </c>
      <c r="II39" s="3">
        <f>_xlfn.XLOOKUP(II$1,generator!$B$2:$B$295,generator!$Q$2:$Q$295,"ARGH")</f>
        <v>8000</v>
      </c>
      <c r="IJ39" s="3">
        <f>_xlfn.XLOOKUP(IJ$1,generator!$B$2:$B$295,generator!$Q$2:$Q$295,"ARGH")</f>
        <v>8000</v>
      </c>
      <c r="IK39" s="3">
        <f>_xlfn.XLOOKUP(IK$1,generator!$B$2:$B$295,generator!$Q$2:$Q$295,"ARGH")</f>
        <v>8000</v>
      </c>
      <c r="IL39" s="3">
        <f>_xlfn.XLOOKUP(IL$1,generator!$B$2:$B$295,generator!$Q$2:$Q$295,"ARGH")</f>
        <v>8000</v>
      </c>
      <c r="IM39" s="3">
        <f>_xlfn.XLOOKUP(IM$1,generator!$B$2:$B$295,generator!$Q$2:$Q$295,"ARGH")</f>
        <v>8000</v>
      </c>
      <c r="IN39" s="3">
        <f>_xlfn.XLOOKUP(IN$1,generator!$B$2:$B$295,generator!$Q$2:$Q$295,"ARGH")</f>
        <v>8000</v>
      </c>
      <c r="IO39" s="3">
        <f>_xlfn.XLOOKUP(IO$1,generator!$B$2:$B$295,generator!$Q$2:$Q$295,"ARGH")</f>
        <v>8000</v>
      </c>
      <c r="IP39" s="3">
        <f>_xlfn.XLOOKUP(IP$1,generator!$B$2:$B$295,generator!$Q$2:$Q$295,"ARGH")</f>
        <v>8000</v>
      </c>
      <c r="IQ39" s="3">
        <f>_xlfn.XLOOKUP(IQ$1,generator!$B$2:$B$295,generator!$Q$2:$Q$295,"ARGH")</f>
        <v>8000</v>
      </c>
      <c r="IR39" s="3">
        <f>_xlfn.XLOOKUP(IR$1,generator!$B$2:$B$295,generator!$Q$2:$Q$295,"ARGH")</f>
        <v>8000</v>
      </c>
      <c r="IS39" s="3">
        <f>_xlfn.XLOOKUP(IS$1,generator!$B$2:$B$295,generator!$Q$2:$Q$295,"ARGH")</f>
        <v>8000</v>
      </c>
      <c r="IT39" s="3">
        <f>_xlfn.XLOOKUP(IT$1,generator!$B$2:$B$295,generator!$Q$2:$Q$295,"ARGH")</f>
        <v>8000</v>
      </c>
      <c r="IU39" s="3">
        <f>_xlfn.XLOOKUP(IU$1,generator!$B$2:$B$295,generator!$Q$2:$Q$295,"ARGH")</f>
        <v>8000</v>
      </c>
      <c r="IV39" s="3">
        <f>_xlfn.XLOOKUP(IV$1,generator!$B$2:$B$295,generator!$Q$2:$Q$295,"ARGH")</f>
        <v>8000</v>
      </c>
      <c r="IW39" s="3" t="str">
        <f>_xlfn.XLOOKUP(IW$1,generator!$B$2:$B$295,generator!$Q$2:$Q$295,"ARGH")</f>
        <v>108.19</v>
      </c>
      <c r="IX39" s="3" t="str">
        <f>_xlfn.XLOOKUP(IX$1,generator!$B$2:$B$295,generator!$Q$2:$Q$295,"ARGH")</f>
        <v>108.18</v>
      </c>
      <c r="IY39" s="3" t="str">
        <f>_xlfn.XLOOKUP(IY$1,generator!$B$2:$B$295,generator!$Q$2:$Q$295,"ARGH")</f>
        <v>108.17</v>
      </c>
      <c r="IZ39" s="3" t="str">
        <f>_xlfn.XLOOKUP(IZ$1,generator!$B$2:$B$295,generator!$Q$2:$Q$295,"ARGH")</f>
        <v>40.96</v>
      </c>
      <c r="JA39" s="3">
        <f>_xlfn.XLOOKUP(JA$1,generator!$B$2:$B$295,generator!$Q$2:$Q$295,"ARGH")</f>
        <v>0</v>
      </c>
      <c r="JB39" s="3">
        <f>_xlfn.XLOOKUP(JB$1,generator!$B$2:$B$295,generator!$Q$2:$Q$295,"ARGH")</f>
        <v>0</v>
      </c>
      <c r="JC39" s="3" t="str">
        <f>_xlfn.XLOOKUP(JC$1,generator!$B$2:$B$295,generator!$Q$2:$Q$295,"ARGH")</f>
        <v>75.91</v>
      </c>
      <c r="JD39" s="3" t="str">
        <f>_xlfn.XLOOKUP(JD$1,generator!$B$2:$B$295,generator!$Q$2:$Q$295,"ARGH")</f>
        <v>75.91</v>
      </c>
      <c r="JE39" s="3" t="str">
        <f>_xlfn.XLOOKUP(JE$1,generator!$B$2:$B$295,generator!$Q$2:$Q$295,"ARGH")</f>
        <v>51.59</v>
      </c>
      <c r="JF39" s="3" t="str">
        <f>_xlfn.XLOOKUP(JF$1,generator!$B$2:$B$295,generator!$Q$2:$Q$295,"ARGH")</f>
        <v>111.57</v>
      </c>
      <c r="JG39" s="3">
        <f>_xlfn.XLOOKUP(JG$1,generator!$B$2:$B$295,generator!$Q$2:$Q$295,"ARGH")</f>
        <v>0</v>
      </c>
      <c r="JH39" s="3" t="str">
        <f>_xlfn.XLOOKUP(JH$1,generator!$B$2:$B$295,generator!$Q$2:$Q$295,"ARGH")</f>
        <v>48.65</v>
      </c>
      <c r="JI39" s="3" t="str">
        <f>_xlfn.XLOOKUP(JI$1,generator!$B$2:$B$295,generator!$Q$2:$Q$295,"ARGH")</f>
        <v>71.88</v>
      </c>
      <c r="JJ39" s="3" t="str">
        <f>_xlfn.XLOOKUP(JJ$1,generator!$B$2:$B$295,generator!$Q$2:$Q$295,"ARGH")</f>
        <v>98.17</v>
      </c>
      <c r="JK39" s="3" t="str">
        <f>_xlfn.XLOOKUP(JK$1,generator!$B$2:$B$295,generator!$Q$2:$Q$295,"ARGH")</f>
        <v>98.17</v>
      </c>
      <c r="JL39" s="3" t="str">
        <f>_xlfn.XLOOKUP(JL$1,generator!$B$2:$B$295,generator!$Q$2:$Q$295,"ARGH")</f>
        <v>98.17</v>
      </c>
      <c r="JM39" s="3" t="str">
        <f>_xlfn.XLOOKUP(JM$1,generator!$B$2:$B$295,generator!$Q$2:$Q$295,"ARGH")</f>
        <v>98.17</v>
      </c>
      <c r="JN39" s="3" t="str">
        <f>_xlfn.XLOOKUP(JN$1,generator!$B$2:$B$295,generator!$Q$2:$Q$295,"ARGH")</f>
        <v>98.17</v>
      </c>
      <c r="JO39" s="3" t="str">
        <f>_xlfn.XLOOKUP(JO$1,generator!$B$2:$B$295,generator!$Q$2:$Q$295,"ARGH")</f>
        <v>98.17</v>
      </c>
      <c r="JP39" s="3" t="str">
        <f>_xlfn.XLOOKUP(JP$1,generator!$B$2:$B$295,generator!$Q$2:$Q$295,"ARGH")</f>
        <v>47.53</v>
      </c>
      <c r="JQ39" s="3" t="str">
        <f>_xlfn.XLOOKUP(JQ$1,generator!$B$2:$B$295,generator!$Q$2:$Q$295,"ARGH")</f>
        <v>108.86</v>
      </c>
      <c r="JR39" s="3" t="str">
        <f>_xlfn.XLOOKUP(JR$1,generator!$B$2:$B$295,generator!$Q$2:$Q$295,"ARGH")</f>
        <v>83.15</v>
      </c>
      <c r="JS39" s="3" t="str">
        <f>_xlfn.XLOOKUP(JS$1,generator!$B$2:$B$295,generator!$Q$2:$Q$295,"ARGH")</f>
        <v>83.15</v>
      </c>
      <c r="JT39" s="3" t="str">
        <f>_xlfn.XLOOKUP(JT$1,generator!$B$2:$B$295,generator!$Q$2:$Q$295,"ARGH")</f>
        <v>108.86</v>
      </c>
      <c r="JU39" s="3">
        <f>_xlfn.XLOOKUP(JU$1,generator!$B$2:$B$295,generator!$Q$2:$Q$295,"ARGH")</f>
        <v>0</v>
      </c>
      <c r="JV39" s="3" t="str">
        <f>_xlfn.XLOOKUP(JV$1,generator!$B$2:$B$295,generator!$Q$2:$Q$295,"ARGH")</f>
        <v>77.63</v>
      </c>
      <c r="JW39" s="3" t="str">
        <f>_xlfn.XLOOKUP(JW$1,generator!$B$2:$B$295,generator!$Q$2:$Q$295,"ARGH")</f>
        <v>77.64</v>
      </c>
      <c r="JX39" s="3" t="str">
        <f>_xlfn.XLOOKUP(JX$1,generator!$B$2:$B$295,generator!$Q$2:$Q$295,"ARGH")</f>
        <v>331.49</v>
      </c>
      <c r="JY39" s="3">
        <f>_xlfn.XLOOKUP(JY$1,generator!$B$2:$B$295,generator!$Q$2:$Q$295,"ARGH")</f>
        <v>7000</v>
      </c>
      <c r="JZ39" s="3">
        <f>_xlfn.XLOOKUP(JZ$1,generator!$B$2:$B$295,generator!$Q$2:$Q$295,"ARGH")</f>
        <v>0</v>
      </c>
      <c r="KA39" s="3">
        <f>_xlfn.XLOOKUP(KA$1,generator!$B$2:$B$295,generator!$Q$2:$Q$295,"ARGH")</f>
        <v>0</v>
      </c>
      <c r="KB39" s="3">
        <f>_xlfn.XLOOKUP(KB$1,generator!$B$2:$B$295,generator!$Q$2:$Q$295,"ARGH")</f>
        <v>0</v>
      </c>
      <c r="KC39" s="3">
        <f>_xlfn.XLOOKUP(KC$1,generator!$B$2:$B$295,generator!$Q$2:$Q$295,"ARGH")</f>
        <v>0</v>
      </c>
    </row>
    <row r="40" spans="1:289" x14ac:dyDescent="0.3">
      <c r="A40" s="4" t="s">
        <v>3035</v>
      </c>
      <c r="B40" s="3">
        <v>15000</v>
      </c>
      <c r="C40" s="3">
        <v>15000</v>
      </c>
      <c r="D40" s="3">
        <v>15000</v>
      </c>
      <c r="E40" s="3">
        <f>_xlfn.XLOOKUP(E$1,generator!$B$2:$B$295,generator!$Q$2:$Q$295,"ARGH")</f>
        <v>9000</v>
      </c>
      <c r="F40" s="3">
        <f>_xlfn.XLOOKUP(F$1,generator!$B$2:$B$295,generator!$Q$2:$Q$295,"ARGH")</f>
        <v>9000</v>
      </c>
      <c r="G40" s="3">
        <f>_xlfn.XLOOKUP(G$1,generator!$B$2:$B$295,generator!$Q$2:$Q$295,"ARGH")</f>
        <v>9000</v>
      </c>
      <c r="H40" s="3">
        <f>_xlfn.XLOOKUP(H$1,generator!$B$2:$B$295,generator!$Q$2:$Q$295,"ARGH")</f>
        <v>9000</v>
      </c>
      <c r="I40" s="3">
        <f>_xlfn.XLOOKUP(I$1,generator!$B$2:$B$295,generator!$Q$2:$Q$295,"ARGH")</f>
        <v>9000</v>
      </c>
      <c r="J40" s="3">
        <f>_xlfn.XLOOKUP(J$1,generator!$B$2:$B$295,generator!$Q$2:$Q$295,"ARGH")</f>
        <v>9000</v>
      </c>
      <c r="K40" s="3">
        <f>_xlfn.XLOOKUP(K$1,generator!$B$2:$B$295,generator!$Q$2:$Q$295,"ARGH")</f>
        <v>9000</v>
      </c>
      <c r="L40" s="3">
        <f>_xlfn.XLOOKUP(L$1,generator!$B$2:$B$295,generator!$Q$2:$Q$295,"ARGH")</f>
        <v>9000</v>
      </c>
      <c r="M40" s="3">
        <f>_xlfn.XLOOKUP(M$1,generator!$B$2:$B$295,generator!$Q$2:$Q$295,"ARGH")</f>
        <v>9000</v>
      </c>
      <c r="N40" s="3">
        <f>_xlfn.XLOOKUP(N$1,generator!$B$2:$B$295,generator!$Q$2:$Q$295,"ARGH")</f>
        <v>9000</v>
      </c>
      <c r="O40" s="3">
        <f>_xlfn.XLOOKUP(O$1,generator!$B$2:$B$295,generator!$Q$2:$Q$295,"ARGH")</f>
        <v>9000</v>
      </c>
      <c r="P40" s="3">
        <f>_xlfn.XLOOKUP(P$1,generator!$B$2:$B$295,generator!$Q$2:$Q$295,"ARGH")</f>
        <v>9000</v>
      </c>
      <c r="Q40" s="3">
        <f>_xlfn.XLOOKUP(Q$1,generator!$B$2:$B$295,generator!$Q$2:$Q$295,"ARGH")</f>
        <v>9000</v>
      </c>
      <c r="R40" s="3">
        <f>_xlfn.XLOOKUP(R$1,generator!$B$2:$B$295,generator!$Q$2:$Q$295,"ARGH")</f>
        <v>9000</v>
      </c>
      <c r="S40" s="3">
        <f>_xlfn.XLOOKUP(S$1,generator!$B$2:$B$295,generator!$Q$2:$Q$295,"ARGH")</f>
        <v>9000</v>
      </c>
      <c r="T40" s="3">
        <f>_xlfn.XLOOKUP(T$1,generator!$B$2:$B$295,generator!$Q$2:$Q$295,"ARGH")</f>
        <v>9000</v>
      </c>
      <c r="U40" s="3">
        <f>_xlfn.XLOOKUP(U$1,generator!$B$2:$B$295,generator!$Q$2:$Q$295,"ARGH")</f>
        <v>9000</v>
      </c>
      <c r="V40" s="3">
        <f>_xlfn.XLOOKUP(V$1,generator!$B$2:$B$295,generator!$Q$2:$Q$295,"ARGH")</f>
        <v>9000</v>
      </c>
      <c r="W40" s="3">
        <f>_xlfn.XLOOKUP(W$1,generator!$B$2:$B$295,generator!$Q$2:$Q$295,"ARGH")</f>
        <v>9000</v>
      </c>
      <c r="X40" s="3">
        <f>_xlfn.XLOOKUP(X$1,generator!$B$2:$B$295,generator!$Q$2:$Q$295,"ARGH")</f>
        <v>9000</v>
      </c>
      <c r="Y40" s="3">
        <f>_xlfn.XLOOKUP(Y$1,generator!$B$2:$B$295,generator!$Q$2:$Q$295,"ARGH")</f>
        <v>9000</v>
      </c>
      <c r="Z40" s="3">
        <f>_xlfn.XLOOKUP(Z$1,generator!$B$2:$B$295,generator!$Q$2:$Q$295,"ARGH")</f>
        <v>9000</v>
      </c>
      <c r="AA40" s="3">
        <f>_xlfn.XLOOKUP(AA$1,generator!$B$2:$B$295,generator!$Q$2:$Q$295,"ARGH")</f>
        <v>9000</v>
      </c>
      <c r="AB40" s="3">
        <f>_xlfn.XLOOKUP(AB$1,generator!$B$2:$B$295,generator!$Q$2:$Q$295,"ARGH")</f>
        <v>9000</v>
      </c>
      <c r="AC40" s="3">
        <f>_xlfn.XLOOKUP(AC$1,generator!$B$2:$B$295,generator!$Q$2:$Q$295,"ARGH")</f>
        <v>9000</v>
      </c>
      <c r="AD40" s="3">
        <f>_xlfn.XLOOKUP(AD$1,generator!$B$2:$B$295,generator!$Q$2:$Q$295,"ARGH")</f>
        <v>9000</v>
      </c>
      <c r="AE40" s="3">
        <f>_xlfn.XLOOKUP(AE$1,generator!$B$2:$B$295,generator!$Q$2:$Q$295,"ARGH")</f>
        <v>9000</v>
      </c>
      <c r="AF40" s="3">
        <f>_xlfn.XLOOKUP(AF$1,generator!$B$2:$B$295,generator!$Q$2:$Q$295,"ARGH")</f>
        <v>9000</v>
      </c>
      <c r="AG40" s="3">
        <f>_xlfn.XLOOKUP(AG$1,generator!$B$2:$B$295,generator!$Q$2:$Q$295,"ARGH")</f>
        <v>9000</v>
      </c>
      <c r="AH40" s="3">
        <f>_xlfn.XLOOKUP(AH$1,generator!$B$2:$B$295,generator!$Q$2:$Q$295,"ARGH")</f>
        <v>9000</v>
      </c>
      <c r="AI40" s="3">
        <f>_xlfn.XLOOKUP(AI$1,generator!$B$2:$B$295,generator!$Q$2:$Q$295,"ARGH")</f>
        <v>9000</v>
      </c>
      <c r="AJ40" s="3">
        <f>_xlfn.XLOOKUP(AJ$1,generator!$B$2:$B$295,generator!$Q$2:$Q$295,"ARGH")</f>
        <v>9000</v>
      </c>
      <c r="AK40" s="3">
        <f>_xlfn.XLOOKUP(AK$1,generator!$B$2:$B$295,generator!$Q$2:$Q$295,"ARGH")</f>
        <v>9000</v>
      </c>
      <c r="AL40" s="3">
        <f>_xlfn.XLOOKUP(AL$1,generator!$B$2:$B$295,generator!$Q$2:$Q$295,"ARGH")</f>
        <v>9000</v>
      </c>
      <c r="AM40" s="3">
        <f>_xlfn.XLOOKUP(AM$1,generator!$B$2:$B$295,generator!$Q$2:$Q$295,"ARGH")</f>
        <v>9000</v>
      </c>
      <c r="AN40" s="3">
        <f>_xlfn.XLOOKUP(AN$1,generator!$B$2:$B$295,generator!$Q$2:$Q$295,"ARGH")</f>
        <v>9000</v>
      </c>
      <c r="AO40" s="3">
        <f>_xlfn.XLOOKUP(AO$1,generator!$B$2:$B$295,generator!$Q$2:$Q$295,"ARGH")</f>
        <v>9000</v>
      </c>
      <c r="AP40" s="3">
        <f>_xlfn.XLOOKUP(AP$1,generator!$B$2:$B$295,generator!$Q$2:$Q$295,"ARGH")</f>
        <v>9000</v>
      </c>
      <c r="AQ40" s="3">
        <f>_xlfn.XLOOKUP(AQ$1,generator!$B$2:$B$295,generator!$Q$2:$Q$295,"ARGH")</f>
        <v>9000</v>
      </c>
      <c r="AR40" s="3">
        <f>_xlfn.XLOOKUP(AR$1,generator!$B$2:$B$295,generator!$Q$2:$Q$295,"ARGH")</f>
        <v>9000</v>
      </c>
      <c r="AS40" s="3">
        <f>_xlfn.XLOOKUP(AS$1,generator!$B$2:$B$295,generator!$Q$2:$Q$295,"ARGH")</f>
        <v>9000</v>
      </c>
      <c r="AT40" s="3">
        <f>_xlfn.XLOOKUP(AT$1,generator!$B$2:$B$295,generator!$Q$2:$Q$295,"ARGH")</f>
        <v>9000</v>
      </c>
      <c r="AU40" s="3">
        <f>_xlfn.XLOOKUP(AU$1,generator!$B$2:$B$295,generator!$Q$2:$Q$295,"ARGH")</f>
        <v>9000</v>
      </c>
      <c r="AV40" s="3">
        <f>_xlfn.XLOOKUP(AV$1,generator!$B$2:$B$295,generator!$Q$2:$Q$295,"ARGH")</f>
        <v>9000</v>
      </c>
      <c r="AW40" s="3">
        <f>_xlfn.XLOOKUP(AW$1,generator!$B$2:$B$295,generator!$Q$2:$Q$295,"ARGH")</f>
        <v>9000</v>
      </c>
      <c r="AX40" s="3">
        <f>_xlfn.XLOOKUP(AX$1,generator!$B$2:$B$295,generator!$Q$2:$Q$295,"ARGH")</f>
        <v>9000</v>
      </c>
      <c r="AY40" s="3">
        <f>_xlfn.XLOOKUP(AY$1,generator!$B$2:$B$295,generator!$Q$2:$Q$295,"ARGH")</f>
        <v>9000</v>
      </c>
      <c r="AZ40" s="3">
        <f>_xlfn.XLOOKUP(AZ$1,generator!$B$2:$B$295,generator!$Q$2:$Q$295,"ARGH")</f>
        <v>9000</v>
      </c>
      <c r="BA40" s="3">
        <f>_xlfn.XLOOKUP(BA$1,generator!$B$2:$B$295,generator!$Q$2:$Q$295,"ARGH")</f>
        <v>9000</v>
      </c>
      <c r="BB40" s="3">
        <f>_xlfn.XLOOKUP(BB$1,generator!$B$2:$B$295,generator!$Q$2:$Q$295,"ARGH")</f>
        <v>9000</v>
      </c>
      <c r="BC40" s="3">
        <f>_xlfn.XLOOKUP(BC$1,generator!$B$2:$B$295,generator!$Q$2:$Q$295,"ARGH")</f>
        <v>9000</v>
      </c>
      <c r="BD40" s="3">
        <f>_xlfn.XLOOKUP(BD$1,generator!$B$2:$B$295,generator!$Q$2:$Q$295,"ARGH")</f>
        <v>9000</v>
      </c>
      <c r="BE40" s="3">
        <f>_xlfn.XLOOKUP(BE$1,generator!$B$2:$B$295,generator!$Q$2:$Q$295,"ARGH")</f>
        <v>9000</v>
      </c>
      <c r="BF40" s="3">
        <f>_xlfn.XLOOKUP(BF$1,generator!$B$2:$B$295,generator!$Q$2:$Q$295,"ARGH")</f>
        <v>9000</v>
      </c>
      <c r="BG40" s="3">
        <f>_xlfn.XLOOKUP(BG$1,generator!$B$2:$B$295,generator!$Q$2:$Q$295,"ARGH")</f>
        <v>9000</v>
      </c>
      <c r="BH40" s="3">
        <f>_xlfn.XLOOKUP(BH$1,generator!$B$2:$B$295,generator!$Q$2:$Q$295,"ARGH")</f>
        <v>9000</v>
      </c>
      <c r="BI40" s="3">
        <f>_xlfn.XLOOKUP(BI$1,generator!$B$2:$B$295,generator!$Q$2:$Q$295,"ARGH")</f>
        <v>9000</v>
      </c>
      <c r="BJ40" s="3">
        <f>_xlfn.XLOOKUP(BJ$1,generator!$B$2:$B$295,generator!$Q$2:$Q$295,"ARGH")</f>
        <v>9000</v>
      </c>
      <c r="BK40" s="3">
        <f>_xlfn.XLOOKUP(BK$1,generator!$B$2:$B$295,generator!$Q$2:$Q$295,"ARGH")</f>
        <v>9000</v>
      </c>
      <c r="BL40" s="3">
        <f>_xlfn.XLOOKUP(BL$1,generator!$B$2:$B$295,generator!$Q$2:$Q$295,"ARGH")</f>
        <v>9000</v>
      </c>
      <c r="BM40" s="3">
        <f>_xlfn.XLOOKUP(BM$1,generator!$B$2:$B$295,generator!$Q$2:$Q$295,"ARGH")</f>
        <v>9000</v>
      </c>
      <c r="BN40" s="3">
        <f>_xlfn.XLOOKUP(BN$1,generator!$B$2:$B$295,generator!$Q$2:$Q$295,"ARGH")</f>
        <v>9000</v>
      </c>
      <c r="BO40" s="3">
        <f>_xlfn.XLOOKUP(BO$1,generator!$B$2:$B$295,generator!$Q$2:$Q$295,"ARGH")</f>
        <v>9000</v>
      </c>
      <c r="BP40" s="3">
        <f>_xlfn.XLOOKUP(BP$1,generator!$B$2:$B$295,generator!$Q$2:$Q$295,"ARGH")</f>
        <v>9000</v>
      </c>
      <c r="BQ40" s="3">
        <f>_xlfn.XLOOKUP(BQ$1,generator!$B$2:$B$295,generator!$Q$2:$Q$295,"ARGH")</f>
        <v>9000</v>
      </c>
      <c r="BR40" s="3">
        <f>_xlfn.XLOOKUP(BR$1,generator!$B$2:$B$295,generator!$Q$2:$Q$295,"ARGH")</f>
        <v>9000</v>
      </c>
      <c r="BS40" s="3">
        <f>_xlfn.XLOOKUP(BS$1,generator!$B$2:$B$295,generator!$Q$2:$Q$295,"ARGH")</f>
        <v>9000</v>
      </c>
      <c r="BT40" s="3">
        <f>_xlfn.XLOOKUP(BT$1,generator!$B$2:$B$295,generator!$Q$2:$Q$295,"ARGH")</f>
        <v>9000</v>
      </c>
      <c r="BU40" s="3">
        <f>_xlfn.XLOOKUP(BU$1,generator!$B$2:$B$295,generator!$Q$2:$Q$295,"ARGH")</f>
        <v>9000</v>
      </c>
      <c r="BV40" s="3">
        <f>_xlfn.XLOOKUP(BV$1,generator!$B$2:$B$295,generator!$Q$2:$Q$295,"ARGH")</f>
        <v>9000</v>
      </c>
      <c r="BW40" s="3">
        <f>_xlfn.XLOOKUP(BW$1,generator!$B$2:$B$295,generator!$Q$2:$Q$295,"ARGH")</f>
        <v>9000</v>
      </c>
      <c r="BX40" s="3">
        <f>_xlfn.XLOOKUP(BX$1,generator!$B$2:$B$295,generator!$Q$2:$Q$295,"ARGH")</f>
        <v>9000</v>
      </c>
      <c r="BY40" s="3">
        <f>_xlfn.XLOOKUP(BY$1,generator!$B$2:$B$295,generator!$Q$2:$Q$295,"ARGH")</f>
        <v>9000</v>
      </c>
      <c r="BZ40" s="3">
        <f>_xlfn.XLOOKUP(BZ$1,generator!$B$2:$B$295,generator!$Q$2:$Q$295,"ARGH")</f>
        <v>9000</v>
      </c>
      <c r="CA40" s="3">
        <f>_xlfn.XLOOKUP(CA$1,generator!$B$2:$B$295,generator!$Q$2:$Q$295,"ARGH")</f>
        <v>9000</v>
      </c>
      <c r="CB40" s="3">
        <f>_xlfn.XLOOKUP(CB$1,generator!$B$2:$B$295,generator!$Q$2:$Q$295,"ARGH")</f>
        <v>9000</v>
      </c>
      <c r="CC40" s="3">
        <f>_xlfn.XLOOKUP(CC$1,generator!$B$2:$B$295,generator!$Q$2:$Q$295,"ARGH")</f>
        <v>9000</v>
      </c>
      <c r="CD40" s="3">
        <f>_xlfn.XLOOKUP(CD$1,generator!$B$2:$B$295,generator!$Q$2:$Q$295,"ARGH")</f>
        <v>9000</v>
      </c>
      <c r="CE40" s="3">
        <f>_xlfn.XLOOKUP(CE$1,generator!$B$2:$B$295,generator!$Q$2:$Q$295,"ARGH")</f>
        <v>9000</v>
      </c>
      <c r="CF40" s="3">
        <f>_xlfn.XLOOKUP(CF$1,generator!$B$2:$B$295,generator!$Q$2:$Q$295,"ARGH")</f>
        <v>9000</v>
      </c>
      <c r="CG40" s="3">
        <f>_xlfn.XLOOKUP(CG$1,generator!$B$2:$B$295,generator!$Q$2:$Q$295,"ARGH")</f>
        <v>9000</v>
      </c>
      <c r="CH40" s="3">
        <f>_xlfn.XLOOKUP(CH$1,generator!$B$2:$B$295,generator!$Q$2:$Q$295,"ARGH")</f>
        <v>9000</v>
      </c>
      <c r="CI40" s="3">
        <f>_xlfn.XLOOKUP(CI$1,generator!$B$2:$B$295,generator!$Q$2:$Q$295,"ARGH")</f>
        <v>9000</v>
      </c>
      <c r="CJ40" s="3">
        <f>_xlfn.XLOOKUP(CJ$1,generator!$B$2:$B$295,generator!$Q$2:$Q$295,"ARGH")</f>
        <v>9000</v>
      </c>
      <c r="CK40" s="3">
        <f>_xlfn.XLOOKUP(CK$1,generator!$B$2:$B$295,generator!$Q$2:$Q$295,"ARGH")</f>
        <v>9000</v>
      </c>
      <c r="CL40" s="3">
        <f>_xlfn.XLOOKUP(CL$1,generator!$B$2:$B$295,generator!$Q$2:$Q$295,"ARGH")</f>
        <v>9000</v>
      </c>
      <c r="CM40" s="3">
        <f>_xlfn.XLOOKUP(CM$1,generator!$B$2:$B$295,generator!$Q$2:$Q$295,"ARGH")</f>
        <v>9000</v>
      </c>
      <c r="CN40" s="3">
        <f>_xlfn.XLOOKUP(CN$1,generator!$B$2:$B$295,generator!$Q$2:$Q$295,"ARGH")</f>
        <v>9000</v>
      </c>
      <c r="CO40" s="3">
        <f>_xlfn.XLOOKUP(CO$1,generator!$B$2:$B$295,generator!$Q$2:$Q$295,"ARGH")</f>
        <v>9000</v>
      </c>
      <c r="CP40" s="3">
        <f>_xlfn.XLOOKUP(CP$1,generator!$B$2:$B$295,generator!$Q$2:$Q$295,"ARGH")</f>
        <v>9000</v>
      </c>
      <c r="CQ40" s="3">
        <f>_xlfn.XLOOKUP(CQ$1,generator!$B$2:$B$295,generator!$Q$2:$Q$295,"ARGH")</f>
        <v>9000</v>
      </c>
      <c r="CR40" s="3">
        <f>_xlfn.XLOOKUP(CR$1,generator!$B$2:$B$295,generator!$Q$2:$Q$295,"ARGH")</f>
        <v>9000</v>
      </c>
      <c r="CS40" s="3">
        <f>_xlfn.XLOOKUP(CS$1,generator!$B$2:$B$295,generator!$Q$2:$Q$295,"ARGH")</f>
        <v>9000</v>
      </c>
      <c r="CT40" s="3">
        <f>_xlfn.XLOOKUP(CT$1,generator!$B$2:$B$295,generator!$Q$2:$Q$295,"ARGH")</f>
        <v>9000</v>
      </c>
      <c r="CU40" s="3">
        <f>_xlfn.XLOOKUP(CU$1,generator!$B$2:$B$295,generator!$Q$2:$Q$295,"ARGH")</f>
        <v>9000</v>
      </c>
      <c r="CV40" s="3">
        <f>_xlfn.XLOOKUP(CV$1,generator!$B$2:$B$295,generator!$Q$2:$Q$295,"ARGH")</f>
        <v>9000</v>
      </c>
      <c r="CW40" s="3">
        <f>_xlfn.XLOOKUP(CW$1,generator!$B$2:$B$295,generator!$Q$2:$Q$295,"ARGH")</f>
        <v>9000</v>
      </c>
      <c r="CX40" s="3">
        <f>_xlfn.XLOOKUP(CX$1,generator!$B$2:$B$295,generator!$Q$2:$Q$295,"ARGH")</f>
        <v>9000</v>
      </c>
      <c r="CY40" s="3">
        <f>_xlfn.XLOOKUP(CY$1,generator!$B$2:$B$295,generator!$Q$2:$Q$295,"ARGH")</f>
        <v>9000</v>
      </c>
      <c r="CZ40" s="3">
        <f>_xlfn.XLOOKUP(CZ$1,generator!$B$2:$B$295,generator!$Q$2:$Q$295,"ARGH")</f>
        <v>9000</v>
      </c>
      <c r="DA40" s="3">
        <f>_xlfn.XLOOKUP(DA$1,generator!$B$2:$B$295,generator!$Q$2:$Q$295,"ARGH")</f>
        <v>9000</v>
      </c>
      <c r="DB40" s="3">
        <f>_xlfn.XLOOKUP(DB$1,generator!$B$2:$B$295,generator!$Q$2:$Q$295,"ARGH")</f>
        <v>9000</v>
      </c>
      <c r="DC40" s="3">
        <f>_xlfn.XLOOKUP(DC$1,generator!$B$2:$B$295,generator!$Q$2:$Q$295,"ARGH")</f>
        <v>9000</v>
      </c>
      <c r="DD40" s="3">
        <f>_xlfn.XLOOKUP(DD$1,generator!$B$2:$B$295,generator!$Q$2:$Q$295,"ARGH")</f>
        <v>9000</v>
      </c>
      <c r="DE40" s="3">
        <f>_xlfn.XLOOKUP(DE$1,generator!$B$2:$B$295,generator!$Q$2:$Q$295,"ARGH")</f>
        <v>9000</v>
      </c>
      <c r="DF40" s="3">
        <f>_xlfn.XLOOKUP(DF$1,generator!$B$2:$B$295,generator!$Q$2:$Q$295,"ARGH")</f>
        <v>9000</v>
      </c>
      <c r="DG40" s="3">
        <f>_xlfn.XLOOKUP(DG$1,generator!$B$2:$B$295,generator!$Q$2:$Q$295,"ARGH")</f>
        <v>9000</v>
      </c>
      <c r="DH40" s="3">
        <f>_xlfn.XLOOKUP(DH$1,generator!$B$2:$B$295,generator!$Q$2:$Q$295,"ARGH")</f>
        <v>9000</v>
      </c>
      <c r="DI40" s="3">
        <f>_xlfn.XLOOKUP(DI$1,generator!$B$2:$B$295,generator!$Q$2:$Q$295,"ARGH")</f>
        <v>9000</v>
      </c>
      <c r="DJ40" s="3">
        <f>_xlfn.XLOOKUP(DJ$1,generator!$B$2:$B$295,generator!$Q$2:$Q$295,"ARGH")</f>
        <v>9000</v>
      </c>
      <c r="DK40" s="3">
        <f>_xlfn.XLOOKUP(DK$1,generator!$B$2:$B$295,generator!$Q$2:$Q$295,"ARGH")</f>
        <v>9000</v>
      </c>
      <c r="DL40" s="3">
        <f>_xlfn.XLOOKUP(DL$1,generator!$B$2:$B$295,generator!$Q$2:$Q$295,"ARGH")</f>
        <v>9000</v>
      </c>
      <c r="DM40" s="3">
        <f>_xlfn.XLOOKUP(DM$1,generator!$B$2:$B$295,generator!$Q$2:$Q$295,"ARGH")</f>
        <v>9000</v>
      </c>
      <c r="DN40" s="3">
        <f>_xlfn.XLOOKUP(DN$1,generator!$B$2:$B$295,generator!$Q$2:$Q$295,"ARGH")</f>
        <v>9000</v>
      </c>
      <c r="DO40" s="3">
        <f>_xlfn.XLOOKUP(DO$1,generator!$B$2:$B$295,generator!$Q$2:$Q$295,"ARGH")</f>
        <v>9000</v>
      </c>
      <c r="DP40" s="3">
        <f>_xlfn.XLOOKUP(DP$1,generator!$B$2:$B$295,generator!$Q$2:$Q$295,"ARGH")</f>
        <v>9000</v>
      </c>
      <c r="DQ40" s="3">
        <f>_xlfn.XLOOKUP(DQ$1,generator!$B$2:$B$295,generator!$Q$2:$Q$295,"ARGH")</f>
        <v>9000</v>
      </c>
      <c r="DR40" s="3">
        <f>_xlfn.XLOOKUP(DR$1,generator!$B$2:$B$295,generator!$Q$2:$Q$295,"ARGH")</f>
        <v>9000</v>
      </c>
      <c r="DS40" s="3">
        <f>_xlfn.XLOOKUP(DS$1,generator!$B$2:$B$295,generator!$Q$2:$Q$295,"ARGH")</f>
        <v>9000</v>
      </c>
      <c r="DT40" s="3">
        <f>_xlfn.XLOOKUP(DT$1,generator!$B$2:$B$295,generator!$Q$2:$Q$295,"ARGH")</f>
        <v>9000</v>
      </c>
      <c r="DU40" s="3">
        <f>_xlfn.XLOOKUP(DU$1,generator!$B$2:$B$295,generator!$Q$2:$Q$295,"ARGH")</f>
        <v>9000</v>
      </c>
      <c r="DV40" s="3">
        <f>_xlfn.XLOOKUP(DV$1,generator!$B$2:$B$295,generator!$Q$2:$Q$295,"ARGH")</f>
        <v>9000</v>
      </c>
      <c r="DW40" s="3">
        <f>_xlfn.XLOOKUP(DW$1,generator!$B$2:$B$295,generator!$Q$2:$Q$295,"ARGH")</f>
        <v>9000</v>
      </c>
      <c r="DX40" s="3">
        <f>_xlfn.XLOOKUP(DX$1,generator!$B$2:$B$295,generator!$Q$2:$Q$295,"ARGH")</f>
        <v>9000</v>
      </c>
      <c r="DY40" s="3">
        <f>_xlfn.XLOOKUP(DY$1,generator!$B$2:$B$295,generator!$Q$2:$Q$295,"ARGH")</f>
        <v>9000</v>
      </c>
      <c r="DZ40" s="3">
        <f>_xlfn.XLOOKUP(DZ$1,generator!$B$2:$B$295,generator!$Q$2:$Q$295,"ARGH")</f>
        <v>9000</v>
      </c>
      <c r="EA40" s="3">
        <f>_xlfn.XLOOKUP(EA$1,generator!$B$2:$B$295,generator!$Q$2:$Q$295,"ARGH")</f>
        <v>9000</v>
      </c>
      <c r="EB40" s="3">
        <f>_xlfn.XLOOKUP(EB$1,generator!$B$2:$B$295,generator!$Q$2:$Q$295,"ARGH")</f>
        <v>9000</v>
      </c>
      <c r="EC40" s="3">
        <f>_xlfn.XLOOKUP(EC$1,generator!$B$2:$B$295,generator!$Q$2:$Q$295,"ARGH")</f>
        <v>9000</v>
      </c>
      <c r="ED40" s="3">
        <f>_xlfn.XLOOKUP(ED$1,generator!$B$2:$B$295,generator!$Q$2:$Q$295,"ARGH")</f>
        <v>9000</v>
      </c>
      <c r="EE40" s="3">
        <f>_xlfn.XLOOKUP(EE$1,generator!$B$2:$B$295,generator!$Q$2:$Q$295,"ARGH")</f>
        <v>9000</v>
      </c>
      <c r="EF40" s="3">
        <f>_xlfn.XLOOKUP(EF$1,generator!$B$2:$B$295,generator!$Q$2:$Q$295,"ARGH")</f>
        <v>9000</v>
      </c>
      <c r="EG40" s="3">
        <f>_xlfn.XLOOKUP(EG$1,generator!$B$2:$B$295,generator!$Q$2:$Q$295,"ARGH")</f>
        <v>9000</v>
      </c>
      <c r="EH40" s="3">
        <f>_xlfn.XLOOKUP(EH$1,generator!$B$2:$B$295,generator!$Q$2:$Q$295,"ARGH")</f>
        <v>9000</v>
      </c>
      <c r="EI40" s="3">
        <f>_xlfn.XLOOKUP(EI$1,generator!$B$2:$B$295,generator!$Q$2:$Q$295,"ARGH")</f>
        <v>9000</v>
      </c>
      <c r="EJ40" s="3">
        <f>_xlfn.XLOOKUP(EJ$1,generator!$B$2:$B$295,generator!$Q$2:$Q$295,"ARGH")</f>
        <v>9000</v>
      </c>
      <c r="EK40" s="3">
        <f>_xlfn.XLOOKUP(EK$1,generator!$B$2:$B$295,generator!$Q$2:$Q$295,"ARGH")</f>
        <v>9000</v>
      </c>
      <c r="EL40" s="3">
        <f>_xlfn.XLOOKUP(EL$1,generator!$B$2:$B$295,generator!$Q$2:$Q$295,"ARGH")</f>
        <v>9000</v>
      </c>
      <c r="EM40" s="3">
        <f>_xlfn.XLOOKUP(EM$1,generator!$B$2:$B$295,generator!$Q$2:$Q$295,"ARGH")</f>
        <v>9000</v>
      </c>
      <c r="EN40" s="3">
        <f>_xlfn.XLOOKUP(EN$1,generator!$B$2:$B$295,generator!$Q$2:$Q$295,"ARGH")</f>
        <v>9000</v>
      </c>
      <c r="EO40" s="3">
        <f>_xlfn.XLOOKUP(EO$1,generator!$B$2:$B$295,generator!$Q$2:$Q$295,"ARGH")</f>
        <v>9000</v>
      </c>
      <c r="EP40" s="3">
        <f>_xlfn.XLOOKUP(EP$1,generator!$B$2:$B$295,generator!$Q$2:$Q$295,"ARGH")</f>
        <v>9000</v>
      </c>
      <c r="EQ40" s="3">
        <f>_xlfn.XLOOKUP(EQ$1,generator!$B$2:$B$295,generator!$Q$2:$Q$295,"ARGH")</f>
        <v>9000</v>
      </c>
      <c r="ER40" s="3">
        <f>_xlfn.XLOOKUP(ER$1,generator!$B$2:$B$295,generator!$Q$2:$Q$295,"ARGH")</f>
        <v>9000</v>
      </c>
      <c r="ES40" s="3">
        <f>_xlfn.XLOOKUP(ES$1,generator!$B$2:$B$295,generator!$Q$2:$Q$295,"ARGH")</f>
        <v>9000</v>
      </c>
      <c r="ET40" s="3">
        <f>_xlfn.XLOOKUP(ET$1,generator!$B$2:$B$295,generator!$Q$2:$Q$295,"ARGH")</f>
        <v>9000</v>
      </c>
      <c r="EU40" s="3">
        <f>_xlfn.XLOOKUP(EU$1,generator!$B$2:$B$295,generator!$Q$2:$Q$295,"ARGH")</f>
        <v>9000</v>
      </c>
      <c r="EV40" s="3">
        <f>_xlfn.XLOOKUP(EV$1,generator!$B$2:$B$295,generator!$Q$2:$Q$295,"ARGH")</f>
        <v>9000</v>
      </c>
      <c r="EW40" s="3">
        <f>_xlfn.XLOOKUP(EW$1,generator!$B$2:$B$295,generator!$Q$2:$Q$295,"ARGH")</f>
        <v>9000</v>
      </c>
      <c r="EX40" s="3">
        <f>_xlfn.XLOOKUP(EX$1,generator!$B$2:$B$295,generator!$Q$2:$Q$295,"ARGH")</f>
        <v>9000</v>
      </c>
      <c r="EY40" s="3">
        <f>_xlfn.XLOOKUP(EY$1,generator!$B$2:$B$295,generator!$Q$2:$Q$295,"ARGH")</f>
        <v>9000</v>
      </c>
      <c r="EZ40" s="3">
        <f>_xlfn.XLOOKUP(EZ$1,generator!$B$2:$B$295,generator!$Q$2:$Q$295,"ARGH")</f>
        <v>9000</v>
      </c>
      <c r="FA40" s="3">
        <f>_xlfn.XLOOKUP(FA$1,generator!$B$2:$B$295,generator!$Q$2:$Q$295,"ARGH")</f>
        <v>9000</v>
      </c>
      <c r="FB40" s="3">
        <f>_xlfn.XLOOKUP(FB$1,generator!$B$2:$B$295,generator!$Q$2:$Q$295,"ARGH")</f>
        <v>9000</v>
      </c>
      <c r="FC40" s="3">
        <f>_xlfn.XLOOKUP(FC$1,generator!$B$2:$B$295,generator!$Q$2:$Q$295,"ARGH")</f>
        <v>9000</v>
      </c>
      <c r="FD40" s="3">
        <f>_xlfn.XLOOKUP(FD$1,generator!$B$2:$B$295,generator!$Q$2:$Q$295,"ARGH")</f>
        <v>9000</v>
      </c>
      <c r="FE40" s="3">
        <f>_xlfn.XLOOKUP(FE$1,generator!$B$2:$B$295,generator!$Q$2:$Q$295,"ARGH")</f>
        <v>9000</v>
      </c>
      <c r="FF40" s="3">
        <f>_xlfn.XLOOKUP(FF$1,generator!$B$2:$B$295,generator!$Q$2:$Q$295,"ARGH")</f>
        <v>9000</v>
      </c>
      <c r="FG40" s="3">
        <f>_xlfn.XLOOKUP(FG$1,generator!$B$2:$B$295,generator!$Q$2:$Q$295,"ARGH")</f>
        <v>9000</v>
      </c>
      <c r="FH40" s="3">
        <f>_xlfn.XLOOKUP(FH$1,generator!$B$2:$B$295,generator!$Q$2:$Q$295,"ARGH")</f>
        <v>9000</v>
      </c>
      <c r="FI40" s="3">
        <f>_xlfn.XLOOKUP(FI$1,generator!$B$2:$B$295,generator!$Q$2:$Q$295,"ARGH")</f>
        <v>9000</v>
      </c>
      <c r="FJ40" s="3">
        <f>_xlfn.XLOOKUP(FJ$1,generator!$B$2:$B$295,generator!$Q$2:$Q$295,"ARGH")</f>
        <v>9000</v>
      </c>
      <c r="FK40" s="3">
        <f>_xlfn.XLOOKUP(FK$1,generator!$B$2:$B$295,generator!$Q$2:$Q$295,"ARGH")</f>
        <v>9000</v>
      </c>
      <c r="FL40" s="3">
        <f>_xlfn.XLOOKUP(FL$1,generator!$B$2:$B$295,generator!$Q$2:$Q$295,"ARGH")</f>
        <v>9000</v>
      </c>
      <c r="FM40" s="3">
        <f>_xlfn.XLOOKUP(FM$1,generator!$B$2:$B$295,generator!$Q$2:$Q$295,"ARGH")</f>
        <v>9000</v>
      </c>
      <c r="FN40" s="3">
        <f>_xlfn.XLOOKUP(FN$1,generator!$B$2:$B$295,generator!$Q$2:$Q$295,"ARGH")</f>
        <v>9000</v>
      </c>
      <c r="FO40" s="3">
        <f>_xlfn.XLOOKUP(FO$1,generator!$B$2:$B$295,generator!$Q$2:$Q$295,"ARGH")</f>
        <v>9000</v>
      </c>
      <c r="FP40" s="3">
        <f>_xlfn.XLOOKUP(FP$1,generator!$B$2:$B$295,generator!$Q$2:$Q$295,"ARGH")</f>
        <v>9000</v>
      </c>
      <c r="FQ40" s="3">
        <f>_xlfn.XLOOKUP(FQ$1,generator!$B$2:$B$295,generator!$Q$2:$Q$295,"ARGH")</f>
        <v>9000</v>
      </c>
      <c r="FR40" s="3">
        <f>_xlfn.XLOOKUP(FR$1,generator!$B$2:$B$295,generator!$Q$2:$Q$295,"ARGH")</f>
        <v>9000</v>
      </c>
      <c r="FS40" s="3">
        <f>_xlfn.XLOOKUP(FS$1,generator!$B$2:$B$295,generator!$Q$2:$Q$295,"ARGH")</f>
        <v>9000</v>
      </c>
      <c r="FT40" s="3">
        <f>_xlfn.XLOOKUP(FT$1,generator!$B$2:$B$295,generator!$Q$2:$Q$295,"ARGH")</f>
        <v>9000</v>
      </c>
      <c r="FU40" s="3">
        <f>_xlfn.XLOOKUP(FU$1,generator!$B$2:$B$295,generator!$Q$2:$Q$295,"ARGH")</f>
        <v>9000</v>
      </c>
      <c r="FV40" s="3">
        <f>_xlfn.XLOOKUP(FV$1,generator!$B$2:$B$295,generator!$Q$2:$Q$295,"ARGH")</f>
        <v>9000</v>
      </c>
      <c r="FW40" s="3">
        <f>_xlfn.XLOOKUP(FW$1,generator!$B$2:$B$295,generator!$Q$2:$Q$295,"ARGH")</f>
        <v>9000</v>
      </c>
      <c r="FX40" s="3">
        <f>_xlfn.XLOOKUP(FX$1,generator!$B$2:$B$295,generator!$Q$2:$Q$295,"ARGH")</f>
        <v>9000</v>
      </c>
      <c r="FY40" s="3">
        <f>_xlfn.XLOOKUP(FY$1,generator!$B$2:$B$295,generator!$Q$2:$Q$295,"ARGH")</f>
        <v>9000</v>
      </c>
      <c r="FZ40" s="3">
        <f>_xlfn.XLOOKUP(FZ$1,generator!$B$2:$B$295,generator!$Q$2:$Q$295,"ARGH")</f>
        <v>9000</v>
      </c>
      <c r="GA40" s="3">
        <f>_xlfn.XLOOKUP(GA$1,generator!$B$2:$B$295,generator!$Q$2:$Q$295,"ARGH")</f>
        <v>9000</v>
      </c>
      <c r="GB40" s="3">
        <f>_xlfn.XLOOKUP(GB$1,generator!$B$2:$B$295,generator!$Q$2:$Q$295,"ARGH")</f>
        <v>9000</v>
      </c>
      <c r="GC40" s="3">
        <f>_xlfn.XLOOKUP(GC$1,generator!$B$2:$B$295,generator!$Q$2:$Q$295,"ARGH")</f>
        <v>9000</v>
      </c>
      <c r="GD40" s="3">
        <f>_xlfn.XLOOKUP(GD$1,generator!$B$2:$B$295,generator!$Q$2:$Q$295,"ARGH")</f>
        <v>9000</v>
      </c>
      <c r="GE40" s="3">
        <f>_xlfn.XLOOKUP(GE$1,generator!$B$2:$B$295,generator!$Q$2:$Q$295,"ARGH")</f>
        <v>9000</v>
      </c>
      <c r="GF40" s="3">
        <f>_xlfn.XLOOKUP(GF$1,generator!$B$2:$B$295,generator!$Q$2:$Q$295,"ARGH")</f>
        <v>9000</v>
      </c>
      <c r="GG40" s="3">
        <f>_xlfn.XLOOKUP(GG$1,generator!$B$2:$B$295,generator!$Q$2:$Q$295,"ARGH")</f>
        <v>9000</v>
      </c>
      <c r="GH40" s="3">
        <f>_xlfn.XLOOKUP(GH$1,generator!$B$2:$B$295,generator!$Q$2:$Q$295,"ARGH")</f>
        <v>9000</v>
      </c>
      <c r="GI40" s="3">
        <f>_xlfn.XLOOKUP(GI$1,generator!$B$2:$B$295,generator!$Q$2:$Q$295,"ARGH")</f>
        <v>9000</v>
      </c>
      <c r="GJ40" s="3">
        <f>_xlfn.XLOOKUP(GJ$1,generator!$B$2:$B$295,generator!$Q$2:$Q$295,"ARGH")</f>
        <v>9000</v>
      </c>
      <c r="GK40" s="3">
        <f>_xlfn.XLOOKUP(GK$1,generator!$B$2:$B$295,generator!$Q$2:$Q$295,"ARGH")</f>
        <v>9000</v>
      </c>
      <c r="GL40" s="3">
        <f>_xlfn.XLOOKUP(GL$1,generator!$B$2:$B$295,generator!$Q$2:$Q$295,"ARGH")</f>
        <v>9000</v>
      </c>
      <c r="GM40" s="3">
        <f>_xlfn.XLOOKUP(GM$1,generator!$B$2:$B$295,generator!$Q$2:$Q$295,"ARGH")</f>
        <v>9000</v>
      </c>
      <c r="GN40" s="3">
        <f>_xlfn.XLOOKUP(GN$1,generator!$B$2:$B$295,generator!$Q$2:$Q$295,"ARGH")</f>
        <v>9000</v>
      </c>
      <c r="GO40" s="3">
        <f>_xlfn.XLOOKUP(GO$1,generator!$B$2:$B$295,generator!$Q$2:$Q$295,"ARGH")</f>
        <v>9000</v>
      </c>
      <c r="GP40" s="3">
        <f>_xlfn.XLOOKUP(GP$1,generator!$B$2:$B$295,generator!$Q$2:$Q$295,"ARGH")</f>
        <v>9000</v>
      </c>
      <c r="GQ40" s="3">
        <f>_xlfn.XLOOKUP(GQ$1,generator!$B$2:$B$295,generator!$Q$2:$Q$295,"ARGH")</f>
        <v>9000</v>
      </c>
      <c r="GR40" s="3">
        <f>_xlfn.XLOOKUP(GR$1,generator!$B$2:$B$295,generator!$Q$2:$Q$295,"ARGH")</f>
        <v>9000</v>
      </c>
      <c r="GS40" s="3">
        <f>_xlfn.XLOOKUP(GS$1,generator!$B$2:$B$295,generator!$Q$2:$Q$295,"ARGH")</f>
        <v>9000</v>
      </c>
      <c r="GT40" s="3">
        <f>_xlfn.XLOOKUP(GT$1,generator!$B$2:$B$295,generator!$Q$2:$Q$295,"ARGH")</f>
        <v>9000</v>
      </c>
      <c r="GU40" s="3">
        <f>_xlfn.XLOOKUP(GU$1,generator!$B$2:$B$295,generator!$Q$2:$Q$295,"ARGH")</f>
        <v>9000</v>
      </c>
      <c r="GV40" s="3">
        <f>_xlfn.XLOOKUP(GV$1,generator!$B$2:$B$295,generator!$Q$2:$Q$295,"ARGH")</f>
        <v>9000</v>
      </c>
      <c r="GW40" s="3">
        <f>_xlfn.XLOOKUP(GW$1,generator!$B$2:$B$295,generator!$Q$2:$Q$295,"ARGH")</f>
        <v>9000</v>
      </c>
      <c r="GX40" s="3">
        <f>_xlfn.XLOOKUP(GX$1,generator!$B$2:$B$295,generator!$Q$2:$Q$295,"ARGH")</f>
        <v>9000</v>
      </c>
      <c r="GY40" s="3">
        <f>_xlfn.XLOOKUP(GY$1,generator!$B$2:$B$295,generator!$Q$2:$Q$295,"ARGH")</f>
        <v>9000</v>
      </c>
      <c r="GZ40" s="3">
        <f>_xlfn.XLOOKUP(GZ$1,generator!$B$2:$B$295,generator!$Q$2:$Q$295,"ARGH")</f>
        <v>9000</v>
      </c>
      <c r="HA40" s="3">
        <f>_xlfn.XLOOKUP(HA$1,generator!$B$2:$B$295,generator!$Q$2:$Q$295,"ARGH")</f>
        <v>9000</v>
      </c>
      <c r="HB40" s="3">
        <f>_xlfn.XLOOKUP(HB$1,generator!$B$2:$B$295,generator!$Q$2:$Q$295,"ARGH")</f>
        <v>9000</v>
      </c>
      <c r="HC40" s="3">
        <f>_xlfn.XLOOKUP(HC$1,generator!$B$2:$B$295,generator!$Q$2:$Q$295,"ARGH")</f>
        <v>9000</v>
      </c>
      <c r="HD40" s="3">
        <f>_xlfn.XLOOKUP(HD$1,generator!$B$2:$B$295,generator!$Q$2:$Q$295,"ARGH")</f>
        <v>9000</v>
      </c>
      <c r="HE40" s="3">
        <f>_xlfn.XLOOKUP(HE$1,generator!$B$2:$B$295,generator!$Q$2:$Q$295,"ARGH")</f>
        <v>8000</v>
      </c>
      <c r="HF40" s="3" t="str">
        <f>_xlfn.XLOOKUP(HF$1,generator!$B$2:$B$295,generator!$Q$2:$Q$295,"ARGH")</f>
        <v>143</v>
      </c>
      <c r="HG40" s="3" t="str">
        <f>_xlfn.XLOOKUP(HG$1,generator!$B$2:$B$295,generator!$Q$2:$Q$295,"ARGH")</f>
        <v>143</v>
      </c>
      <c r="HH40" s="3" t="str">
        <f>_xlfn.XLOOKUP(HH$1,generator!$B$2:$B$295,generator!$Q$2:$Q$295,"ARGH")</f>
        <v>143</v>
      </c>
      <c r="HI40" s="3" t="str">
        <f>_xlfn.XLOOKUP(HI$1,generator!$B$2:$B$295,generator!$Q$2:$Q$295,"ARGH")</f>
        <v>246.74</v>
      </c>
      <c r="HJ40" s="3" t="str">
        <f>_xlfn.XLOOKUP(HJ$1,generator!$B$2:$B$295,generator!$Q$2:$Q$295,"ARGH")</f>
        <v>246.74</v>
      </c>
      <c r="HK40" s="3" t="str">
        <f>_xlfn.XLOOKUP(HK$1,generator!$B$2:$B$295,generator!$Q$2:$Q$295,"ARGH")</f>
        <v>206.04</v>
      </c>
      <c r="HL40" s="3" t="str">
        <f>_xlfn.XLOOKUP(HL$1,generator!$B$2:$B$295,generator!$Q$2:$Q$295,"ARGH")</f>
        <v>506.96</v>
      </c>
      <c r="HM40" s="3" t="str">
        <f>_xlfn.XLOOKUP(HM$1,generator!$B$2:$B$295,generator!$Q$2:$Q$295,"ARGH")</f>
        <v>506.95</v>
      </c>
      <c r="HN40" s="3" t="str">
        <f>_xlfn.XLOOKUP(HN$1,generator!$B$2:$B$295,generator!$Q$2:$Q$295,"ARGH")</f>
        <v>190.97</v>
      </c>
      <c r="HO40" s="3" t="str">
        <f>_xlfn.XLOOKUP(HO$1,generator!$B$2:$B$295,generator!$Q$2:$Q$295,"ARGH")</f>
        <v>190.97</v>
      </c>
      <c r="HP40" s="3" t="str">
        <f>_xlfn.XLOOKUP(HP$1,generator!$B$2:$B$295,generator!$Q$2:$Q$295,"ARGH")</f>
        <v>424.84</v>
      </c>
      <c r="HQ40" s="3" t="str">
        <f>_xlfn.XLOOKUP(HQ$1,generator!$B$2:$B$295,generator!$Q$2:$Q$295,"ARGH")</f>
        <v>425.9</v>
      </c>
      <c r="HR40" s="3" t="str">
        <f>_xlfn.XLOOKUP(HR$1,generator!$B$2:$B$295,generator!$Q$2:$Q$295,"ARGH")</f>
        <v>425.9</v>
      </c>
      <c r="HS40" s="3" t="str">
        <f>_xlfn.XLOOKUP(HS$1,generator!$B$2:$B$295,generator!$Q$2:$Q$295,"ARGH")</f>
        <v>196.54</v>
      </c>
      <c r="HT40" s="3" t="str">
        <f>_xlfn.XLOOKUP(HT$1,generator!$B$2:$B$295,generator!$Q$2:$Q$295,"ARGH")</f>
        <v>196.54</v>
      </c>
      <c r="HU40" s="3" t="str">
        <f>_xlfn.XLOOKUP(HU$1,generator!$B$2:$B$295,generator!$Q$2:$Q$295,"ARGH")</f>
        <v>145.57</v>
      </c>
      <c r="HV40" s="3" t="str">
        <f>_xlfn.XLOOKUP(HV$1,generator!$B$2:$B$295,generator!$Q$2:$Q$295,"ARGH")</f>
        <v>132.62</v>
      </c>
      <c r="HW40" s="3" t="str">
        <f>_xlfn.XLOOKUP(HW$1,generator!$B$2:$B$295,generator!$Q$2:$Q$295,"ARGH")</f>
        <v>193.76</v>
      </c>
      <c r="HX40" s="3" t="str">
        <f>_xlfn.XLOOKUP(HX$1,generator!$B$2:$B$295,generator!$Q$2:$Q$295,"ARGH")</f>
        <v>193.76</v>
      </c>
      <c r="HY40" s="3" t="str">
        <f>_xlfn.XLOOKUP(HY$1,generator!$B$2:$B$295,generator!$Q$2:$Q$295,"ARGH")</f>
        <v>79.19</v>
      </c>
      <c r="HZ40" s="3" t="str">
        <f>_xlfn.XLOOKUP(HZ$1,generator!$B$2:$B$295,generator!$Q$2:$Q$295,"ARGH")</f>
        <v>125.79</v>
      </c>
      <c r="IA40" s="3" t="str">
        <f>_xlfn.XLOOKUP(IA$1,generator!$B$2:$B$295,generator!$Q$2:$Q$295,"ARGH")</f>
        <v>54.19</v>
      </c>
      <c r="IB40" s="3" t="str">
        <f>_xlfn.XLOOKUP(IB$1,generator!$B$2:$B$295,generator!$Q$2:$Q$295,"ARGH")</f>
        <v>59.7</v>
      </c>
      <c r="IC40" s="3">
        <f>_xlfn.XLOOKUP(IC$1,generator!$B$2:$B$295,generator!$Q$2:$Q$295,"ARGH")</f>
        <v>0</v>
      </c>
      <c r="ID40" s="3" t="str">
        <f>_xlfn.XLOOKUP(ID$1,generator!$B$2:$B$295,generator!$Q$2:$Q$295,"ARGH")</f>
        <v>121.14</v>
      </c>
      <c r="IE40" s="3" t="str">
        <f>_xlfn.XLOOKUP(IE$1,generator!$B$2:$B$295,generator!$Q$2:$Q$295,"ARGH")</f>
        <v>26.6</v>
      </c>
      <c r="IF40" s="3">
        <f>_xlfn.XLOOKUP(IF$1,generator!$B$2:$B$295,generator!$Q$2:$Q$295,"ARGH")</f>
        <v>8000</v>
      </c>
      <c r="IG40" s="3">
        <f>_xlfn.XLOOKUP(IG$1,generator!$B$2:$B$295,generator!$Q$2:$Q$295,"ARGH")</f>
        <v>8000</v>
      </c>
      <c r="IH40" s="3">
        <f>_xlfn.XLOOKUP(IH$1,generator!$B$2:$B$295,generator!$Q$2:$Q$295,"ARGH")</f>
        <v>8000</v>
      </c>
      <c r="II40" s="3">
        <f>_xlfn.XLOOKUP(II$1,generator!$B$2:$B$295,generator!$Q$2:$Q$295,"ARGH")</f>
        <v>8000</v>
      </c>
      <c r="IJ40" s="3">
        <f>_xlfn.XLOOKUP(IJ$1,generator!$B$2:$B$295,generator!$Q$2:$Q$295,"ARGH")</f>
        <v>8000</v>
      </c>
      <c r="IK40" s="3">
        <f>_xlfn.XLOOKUP(IK$1,generator!$B$2:$B$295,generator!$Q$2:$Q$295,"ARGH")</f>
        <v>8000</v>
      </c>
      <c r="IL40" s="3">
        <f>_xlfn.XLOOKUP(IL$1,generator!$B$2:$B$295,generator!$Q$2:$Q$295,"ARGH")</f>
        <v>8000</v>
      </c>
      <c r="IM40" s="3">
        <f>_xlfn.XLOOKUP(IM$1,generator!$B$2:$B$295,generator!$Q$2:$Q$295,"ARGH")</f>
        <v>8000</v>
      </c>
      <c r="IN40" s="3">
        <f>_xlfn.XLOOKUP(IN$1,generator!$B$2:$B$295,generator!$Q$2:$Q$295,"ARGH")</f>
        <v>8000</v>
      </c>
      <c r="IO40" s="3">
        <f>_xlfn.XLOOKUP(IO$1,generator!$B$2:$B$295,generator!$Q$2:$Q$295,"ARGH")</f>
        <v>8000</v>
      </c>
      <c r="IP40" s="3">
        <f>_xlfn.XLOOKUP(IP$1,generator!$B$2:$B$295,generator!$Q$2:$Q$295,"ARGH")</f>
        <v>8000</v>
      </c>
      <c r="IQ40" s="3">
        <f>_xlfn.XLOOKUP(IQ$1,generator!$B$2:$B$295,generator!$Q$2:$Q$295,"ARGH")</f>
        <v>8000</v>
      </c>
      <c r="IR40" s="3">
        <f>_xlfn.XLOOKUP(IR$1,generator!$B$2:$B$295,generator!$Q$2:$Q$295,"ARGH")</f>
        <v>8000</v>
      </c>
      <c r="IS40" s="3">
        <f>_xlfn.XLOOKUP(IS$1,generator!$B$2:$B$295,generator!$Q$2:$Q$295,"ARGH")</f>
        <v>8000</v>
      </c>
      <c r="IT40" s="3">
        <f>_xlfn.XLOOKUP(IT$1,generator!$B$2:$B$295,generator!$Q$2:$Q$295,"ARGH")</f>
        <v>8000</v>
      </c>
      <c r="IU40" s="3">
        <f>_xlfn.XLOOKUP(IU$1,generator!$B$2:$B$295,generator!$Q$2:$Q$295,"ARGH")</f>
        <v>8000</v>
      </c>
      <c r="IV40" s="3">
        <f>_xlfn.XLOOKUP(IV$1,generator!$B$2:$B$295,generator!$Q$2:$Q$295,"ARGH")</f>
        <v>8000</v>
      </c>
      <c r="IW40" s="3" t="str">
        <f>_xlfn.XLOOKUP(IW$1,generator!$B$2:$B$295,generator!$Q$2:$Q$295,"ARGH")</f>
        <v>108.19</v>
      </c>
      <c r="IX40" s="3" t="str">
        <f>_xlfn.XLOOKUP(IX$1,generator!$B$2:$B$295,generator!$Q$2:$Q$295,"ARGH")</f>
        <v>108.18</v>
      </c>
      <c r="IY40" s="3" t="str">
        <f>_xlfn.XLOOKUP(IY$1,generator!$B$2:$B$295,generator!$Q$2:$Q$295,"ARGH")</f>
        <v>108.17</v>
      </c>
      <c r="IZ40" s="3" t="str">
        <f>_xlfn.XLOOKUP(IZ$1,generator!$B$2:$B$295,generator!$Q$2:$Q$295,"ARGH")</f>
        <v>40.96</v>
      </c>
      <c r="JA40" s="3">
        <f>_xlfn.XLOOKUP(JA$1,generator!$B$2:$B$295,generator!$Q$2:$Q$295,"ARGH")</f>
        <v>0</v>
      </c>
      <c r="JB40" s="3">
        <f>_xlfn.XLOOKUP(JB$1,generator!$B$2:$B$295,generator!$Q$2:$Q$295,"ARGH")</f>
        <v>0</v>
      </c>
      <c r="JC40" s="3" t="str">
        <f>_xlfn.XLOOKUP(JC$1,generator!$B$2:$B$295,generator!$Q$2:$Q$295,"ARGH")</f>
        <v>75.91</v>
      </c>
      <c r="JD40" s="3" t="str">
        <f>_xlfn.XLOOKUP(JD$1,generator!$B$2:$B$295,generator!$Q$2:$Q$295,"ARGH")</f>
        <v>75.91</v>
      </c>
      <c r="JE40" s="3" t="str">
        <f>_xlfn.XLOOKUP(JE$1,generator!$B$2:$B$295,generator!$Q$2:$Q$295,"ARGH")</f>
        <v>51.59</v>
      </c>
      <c r="JF40" s="3" t="str">
        <f>_xlfn.XLOOKUP(JF$1,generator!$B$2:$B$295,generator!$Q$2:$Q$295,"ARGH")</f>
        <v>111.57</v>
      </c>
      <c r="JG40" s="3">
        <f>_xlfn.XLOOKUP(JG$1,generator!$B$2:$B$295,generator!$Q$2:$Q$295,"ARGH")</f>
        <v>0</v>
      </c>
      <c r="JH40" s="3" t="str">
        <f>_xlfn.XLOOKUP(JH$1,generator!$B$2:$B$295,generator!$Q$2:$Q$295,"ARGH")</f>
        <v>48.65</v>
      </c>
      <c r="JI40" s="3" t="str">
        <f>_xlfn.XLOOKUP(JI$1,generator!$B$2:$B$295,generator!$Q$2:$Q$295,"ARGH")</f>
        <v>71.88</v>
      </c>
      <c r="JJ40" s="3" t="str">
        <f>_xlfn.XLOOKUP(JJ$1,generator!$B$2:$B$295,generator!$Q$2:$Q$295,"ARGH")</f>
        <v>98.17</v>
      </c>
      <c r="JK40" s="3" t="str">
        <f>_xlfn.XLOOKUP(JK$1,generator!$B$2:$B$295,generator!$Q$2:$Q$295,"ARGH")</f>
        <v>98.17</v>
      </c>
      <c r="JL40" s="3" t="str">
        <f>_xlfn.XLOOKUP(JL$1,generator!$B$2:$B$295,generator!$Q$2:$Q$295,"ARGH")</f>
        <v>98.17</v>
      </c>
      <c r="JM40" s="3" t="str">
        <f>_xlfn.XLOOKUP(JM$1,generator!$B$2:$B$295,generator!$Q$2:$Q$295,"ARGH")</f>
        <v>98.17</v>
      </c>
      <c r="JN40" s="3" t="str">
        <f>_xlfn.XLOOKUP(JN$1,generator!$B$2:$B$295,generator!$Q$2:$Q$295,"ARGH")</f>
        <v>98.17</v>
      </c>
      <c r="JO40" s="3" t="str">
        <f>_xlfn.XLOOKUP(JO$1,generator!$B$2:$B$295,generator!$Q$2:$Q$295,"ARGH")</f>
        <v>98.17</v>
      </c>
      <c r="JP40" s="3" t="str">
        <f>_xlfn.XLOOKUP(JP$1,generator!$B$2:$B$295,generator!$Q$2:$Q$295,"ARGH")</f>
        <v>47.53</v>
      </c>
      <c r="JQ40" s="3" t="str">
        <f>_xlfn.XLOOKUP(JQ$1,generator!$B$2:$B$295,generator!$Q$2:$Q$295,"ARGH")</f>
        <v>108.86</v>
      </c>
      <c r="JR40" s="3" t="str">
        <f>_xlfn.XLOOKUP(JR$1,generator!$B$2:$B$295,generator!$Q$2:$Q$295,"ARGH")</f>
        <v>83.15</v>
      </c>
      <c r="JS40" s="3" t="str">
        <f>_xlfn.XLOOKUP(JS$1,generator!$B$2:$B$295,generator!$Q$2:$Q$295,"ARGH")</f>
        <v>83.15</v>
      </c>
      <c r="JT40" s="3" t="str">
        <f>_xlfn.XLOOKUP(JT$1,generator!$B$2:$B$295,generator!$Q$2:$Q$295,"ARGH")</f>
        <v>108.86</v>
      </c>
      <c r="JU40" s="3">
        <f>_xlfn.XLOOKUP(JU$1,generator!$B$2:$B$295,generator!$Q$2:$Q$295,"ARGH")</f>
        <v>0</v>
      </c>
      <c r="JV40" s="3" t="str">
        <f>_xlfn.XLOOKUP(JV$1,generator!$B$2:$B$295,generator!$Q$2:$Q$295,"ARGH")</f>
        <v>77.63</v>
      </c>
      <c r="JW40" s="3" t="str">
        <f>_xlfn.XLOOKUP(JW$1,generator!$B$2:$B$295,generator!$Q$2:$Q$295,"ARGH")</f>
        <v>77.64</v>
      </c>
      <c r="JX40" s="3" t="str">
        <f>_xlfn.XLOOKUP(JX$1,generator!$B$2:$B$295,generator!$Q$2:$Q$295,"ARGH")</f>
        <v>331.49</v>
      </c>
      <c r="JY40" s="3">
        <f>_xlfn.XLOOKUP(JY$1,generator!$B$2:$B$295,generator!$Q$2:$Q$295,"ARGH")</f>
        <v>7000</v>
      </c>
      <c r="JZ40" s="3">
        <f>_xlfn.XLOOKUP(JZ$1,generator!$B$2:$B$295,generator!$Q$2:$Q$295,"ARGH")</f>
        <v>0</v>
      </c>
      <c r="KA40" s="3">
        <f>_xlfn.XLOOKUP(KA$1,generator!$B$2:$B$295,generator!$Q$2:$Q$295,"ARGH")</f>
        <v>0</v>
      </c>
      <c r="KB40" s="3">
        <f>_xlfn.XLOOKUP(KB$1,generator!$B$2:$B$295,generator!$Q$2:$Q$295,"ARGH")</f>
        <v>0</v>
      </c>
      <c r="KC40" s="3">
        <f>_xlfn.XLOOKUP(KC$1,generator!$B$2:$B$295,generator!$Q$2:$Q$295,"ARGH")</f>
        <v>0</v>
      </c>
    </row>
    <row r="41" spans="1:289" x14ac:dyDescent="0.3">
      <c r="A41" s="4" t="s">
        <v>3036</v>
      </c>
      <c r="B41" s="3">
        <v>15000</v>
      </c>
      <c r="C41" s="3">
        <v>15000</v>
      </c>
      <c r="D41" s="3">
        <v>15000</v>
      </c>
      <c r="E41" s="3">
        <f>_xlfn.XLOOKUP(E$1,generator!$B$2:$B$295,generator!$Q$2:$Q$295,"ARGH")</f>
        <v>9000</v>
      </c>
      <c r="F41" s="3">
        <f>_xlfn.XLOOKUP(F$1,generator!$B$2:$B$295,generator!$Q$2:$Q$295,"ARGH")</f>
        <v>9000</v>
      </c>
      <c r="G41" s="3">
        <f>_xlfn.XLOOKUP(G$1,generator!$B$2:$B$295,generator!$Q$2:$Q$295,"ARGH")</f>
        <v>9000</v>
      </c>
      <c r="H41" s="3">
        <f>_xlfn.XLOOKUP(H$1,generator!$B$2:$B$295,generator!$Q$2:$Q$295,"ARGH")</f>
        <v>9000</v>
      </c>
      <c r="I41" s="3">
        <f>_xlfn.XLOOKUP(I$1,generator!$B$2:$B$295,generator!$Q$2:$Q$295,"ARGH")</f>
        <v>9000</v>
      </c>
      <c r="J41" s="3">
        <f>_xlfn.XLOOKUP(J$1,generator!$B$2:$B$295,generator!$Q$2:$Q$295,"ARGH")</f>
        <v>9000</v>
      </c>
      <c r="K41" s="3">
        <f>_xlfn.XLOOKUP(K$1,generator!$B$2:$B$295,generator!$Q$2:$Q$295,"ARGH")</f>
        <v>9000</v>
      </c>
      <c r="L41" s="3">
        <f>_xlfn.XLOOKUP(L$1,generator!$B$2:$B$295,generator!$Q$2:$Q$295,"ARGH")</f>
        <v>9000</v>
      </c>
      <c r="M41" s="3">
        <f>_xlfn.XLOOKUP(M$1,generator!$B$2:$B$295,generator!$Q$2:$Q$295,"ARGH")</f>
        <v>9000</v>
      </c>
      <c r="N41" s="3">
        <f>_xlfn.XLOOKUP(N$1,generator!$B$2:$B$295,generator!$Q$2:$Q$295,"ARGH")</f>
        <v>9000</v>
      </c>
      <c r="O41" s="3">
        <f>_xlfn.XLOOKUP(O$1,generator!$B$2:$B$295,generator!$Q$2:$Q$295,"ARGH")</f>
        <v>9000</v>
      </c>
      <c r="P41" s="3">
        <f>_xlfn.XLOOKUP(P$1,generator!$B$2:$B$295,generator!$Q$2:$Q$295,"ARGH")</f>
        <v>9000</v>
      </c>
      <c r="Q41" s="3">
        <f>_xlfn.XLOOKUP(Q$1,generator!$B$2:$B$295,generator!$Q$2:$Q$295,"ARGH")</f>
        <v>9000</v>
      </c>
      <c r="R41" s="3">
        <f>_xlfn.XLOOKUP(R$1,generator!$B$2:$B$295,generator!$Q$2:$Q$295,"ARGH")</f>
        <v>9000</v>
      </c>
      <c r="S41" s="3">
        <f>_xlfn.XLOOKUP(S$1,generator!$B$2:$B$295,generator!$Q$2:$Q$295,"ARGH")</f>
        <v>9000</v>
      </c>
      <c r="T41" s="3">
        <f>_xlfn.XLOOKUP(T$1,generator!$B$2:$B$295,generator!$Q$2:$Q$295,"ARGH")</f>
        <v>9000</v>
      </c>
      <c r="U41" s="3">
        <f>_xlfn.XLOOKUP(U$1,generator!$B$2:$B$295,generator!$Q$2:$Q$295,"ARGH")</f>
        <v>9000</v>
      </c>
      <c r="V41" s="3">
        <f>_xlfn.XLOOKUP(V$1,generator!$B$2:$B$295,generator!$Q$2:$Q$295,"ARGH")</f>
        <v>9000</v>
      </c>
      <c r="W41" s="3">
        <f>_xlfn.XLOOKUP(W$1,generator!$B$2:$B$295,generator!$Q$2:$Q$295,"ARGH")</f>
        <v>9000</v>
      </c>
      <c r="X41" s="3">
        <f>_xlfn.XLOOKUP(X$1,generator!$B$2:$B$295,generator!$Q$2:$Q$295,"ARGH")</f>
        <v>9000</v>
      </c>
      <c r="Y41" s="3">
        <f>_xlfn.XLOOKUP(Y$1,generator!$B$2:$B$295,generator!$Q$2:$Q$295,"ARGH")</f>
        <v>9000</v>
      </c>
      <c r="Z41" s="3">
        <f>_xlfn.XLOOKUP(Z$1,generator!$B$2:$B$295,generator!$Q$2:$Q$295,"ARGH")</f>
        <v>9000</v>
      </c>
      <c r="AA41" s="3">
        <f>_xlfn.XLOOKUP(AA$1,generator!$B$2:$B$295,generator!$Q$2:$Q$295,"ARGH")</f>
        <v>9000</v>
      </c>
      <c r="AB41" s="3">
        <f>_xlfn.XLOOKUP(AB$1,generator!$B$2:$B$295,generator!$Q$2:$Q$295,"ARGH")</f>
        <v>9000</v>
      </c>
      <c r="AC41" s="3">
        <f>_xlfn.XLOOKUP(AC$1,generator!$B$2:$B$295,generator!$Q$2:$Q$295,"ARGH")</f>
        <v>9000</v>
      </c>
      <c r="AD41" s="3">
        <f>_xlfn.XLOOKUP(AD$1,generator!$B$2:$B$295,generator!$Q$2:$Q$295,"ARGH")</f>
        <v>9000</v>
      </c>
      <c r="AE41" s="3">
        <f>_xlfn.XLOOKUP(AE$1,generator!$B$2:$B$295,generator!$Q$2:$Q$295,"ARGH")</f>
        <v>9000</v>
      </c>
      <c r="AF41" s="3">
        <f>_xlfn.XLOOKUP(AF$1,generator!$B$2:$B$295,generator!$Q$2:$Q$295,"ARGH")</f>
        <v>9000</v>
      </c>
      <c r="AG41" s="3">
        <f>_xlfn.XLOOKUP(AG$1,generator!$B$2:$B$295,generator!$Q$2:$Q$295,"ARGH")</f>
        <v>9000</v>
      </c>
      <c r="AH41" s="3">
        <f>_xlfn.XLOOKUP(AH$1,generator!$B$2:$B$295,generator!$Q$2:$Q$295,"ARGH")</f>
        <v>9000</v>
      </c>
      <c r="AI41" s="3">
        <f>_xlfn.XLOOKUP(AI$1,generator!$B$2:$B$295,generator!$Q$2:$Q$295,"ARGH")</f>
        <v>9000</v>
      </c>
      <c r="AJ41" s="3">
        <f>_xlfn.XLOOKUP(AJ$1,generator!$B$2:$B$295,generator!$Q$2:$Q$295,"ARGH")</f>
        <v>9000</v>
      </c>
      <c r="AK41" s="3">
        <f>_xlfn.XLOOKUP(AK$1,generator!$B$2:$B$295,generator!$Q$2:$Q$295,"ARGH")</f>
        <v>9000</v>
      </c>
      <c r="AL41" s="3">
        <f>_xlfn.XLOOKUP(AL$1,generator!$B$2:$B$295,generator!$Q$2:$Q$295,"ARGH")</f>
        <v>9000</v>
      </c>
      <c r="AM41" s="3">
        <f>_xlfn.XLOOKUP(AM$1,generator!$B$2:$B$295,generator!$Q$2:$Q$295,"ARGH")</f>
        <v>9000</v>
      </c>
      <c r="AN41" s="3">
        <f>_xlfn.XLOOKUP(AN$1,generator!$B$2:$B$295,generator!$Q$2:$Q$295,"ARGH")</f>
        <v>9000</v>
      </c>
      <c r="AO41" s="3">
        <f>_xlfn.XLOOKUP(AO$1,generator!$B$2:$B$295,generator!$Q$2:$Q$295,"ARGH")</f>
        <v>9000</v>
      </c>
      <c r="AP41" s="3">
        <f>_xlfn.XLOOKUP(AP$1,generator!$B$2:$B$295,generator!$Q$2:$Q$295,"ARGH")</f>
        <v>9000</v>
      </c>
      <c r="AQ41" s="3">
        <f>_xlfn.XLOOKUP(AQ$1,generator!$B$2:$B$295,generator!$Q$2:$Q$295,"ARGH")</f>
        <v>9000</v>
      </c>
      <c r="AR41" s="3">
        <f>_xlfn.XLOOKUP(AR$1,generator!$B$2:$B$295,generator!$Q$2:$Q$295,"ARGH")</f>
        <v>9000</v>
      </c>
      <c r="AS41" s="3">
        <f>_xlfn.XLOOKUP(AS$1,generator!$B$2:$B$295,generator!$Q$2:$Q$295,"ARGH")</f>
        <v>9000</v>
      </c>
      <c r="AT41" s="3">
        <f>_xlfn.XLOOKUP(AT$1,generator!$B$2:$B$295,generator!$Q$2:$Q$295,"ARGH")</f>
        <v>9000</v>
      </c>
      <c r="AU41" s="3">
        <f>_xlfn.XLOOKUP(AU$1,generator!$B$2:$B$295,generator!$Q$2:$Q$295,"ARGH")</f>
        <v>9000</v>
      </c>
      <c r="AV41" s="3">
        <f>_xlfn.XLOOKUP(AV$1,generator!$B$2:$B$295,generator!$Q$2:$Q$295,"ARGH")</f>
        <v>9000</v>
      </c>
      <c r="AW41" s="3">
        <f>_xlfn.XLOOKUP(AW$1,generator!$B$2:$B$295,generator!$Q$2:$Q$295,"ARGH")</f>
        <v>9000</v>
      </c>
      <c r="AX41" s="3">
        <f>_xlfn.XLOOKUP(AX$1,generator!$B$2:$B$295,generator!$Q$2:$Q$295,"ARGH")</f>
        <v>9000</v>
      </c>
      <c r="AY41" s="3">
        <f>_xlfn.XLOOKUP(AY$1,generator!$B$2:$B$295,generator!$Q$2:$Q$295,"ARGH")</f>
        <v>9000</v>
      </c>
      <c r="AZ41" s="3">
        <f>_xlfn.XLOOKUP(AZ$1,generator!$B$2:$B$295,generator!$Q$2:$Q$295,"ARGH")</f>
        <v>9000</v>
      </c>
      <c r="BA41" s="3">
        <f>_xlfn.XLOOKUP(BA$1,generator!$B$2:$B$295,generator!$Q$2:$Q$295,"ARGH")</f>
        <v>9000</v>
      </c>
      <c r="BB41" s="3">
        <f>_xlfn.XLOOKUP(BB$1,generator!$B$2:$B$295,generator!$Q$2:$Q$295,"ARGH")</f>
        <v>9000</v>
      </c>
      <c r="BC41" s="3">
        <f>_xlfn.XLOOKUP(BC$1,generator!$B$2:$B$295,generator!$Q$2:$Q$295,"ARGH")</f>
        <v>9000</v>
      </c>
      <c r="BD41" s="3">
        <f>_xlfn.XLOOKUP(BD$1,generator!$B$2:$B$295,generator!$Q$2:$Q$295,"ARGH")</f>
        <v>9000</v>
      </c>
      <c r="BE41" s="3">
        <f>_xlfn.XLOOKUP(BE$1,generator!$B$2:$B$295,generator!$Q$2:$Q$295,"ARGH")</f>
        <v>9000</v>
      </c>
      <c r="BF41" s="3">
        <f>_xlfn.XLOOKUP(BF$1,generator!$B$2:$B$295,generator!$Q$2:$Q$295,"ARGH")</f>
        <v>9000</v>
      </c>
      <c r="BG41" s="3">
        <f>_xlfn.XLOOKUP(BG$1,generator!$B$2:$B$295,generator!$Q$2:$Q$295,"ARGH")</f>
        <v>9000</v>
      </c>
      <c r="BH41" s="3">
        <f>_xlfn.XLOOKUP(BH$1,generator!$B$2:$B$295,generator!$Q$2:$Q$295,"ARGH")</f>
        <v>9000</v>
      </c>
      <c r="BI41" s="3">
        <f>_xlfn.XLOOKUP(BI$1,generator!$B$2:$B$295,generator!$Q$2:$Q$295,"ARGH")</f>
        <v>9000</v>
      </c>
      <c r="BJ41" s="3">
        <f>_xlfn.XLOOKUP(BJ$1,generator!$B$2:$B$295,generator!$Q$2:$Q$295,"ARGH")</f>
        <v>9000</v>
      </c>
      <c r="BK41" s="3">
        <f>_xlfn.XLOOKUP(BK$1,generator!$B$2:$B$295,generator!$Q$2:$Q$295,"ARGH")</f>
        <v>9000</v>
      </c>
      <c r="BL41" s="3">
        <f>_xlfn.XLOOKUP(BL$1,generator!$B$2:$B$295,generator!$Q$2:$Q$295,"ARGH")</f>
        <v>9000</v>
      </c>
      <c r="BM41" s="3">
        <f>_xlfn.XLOOKUP(BM$1,generator!$B$2:$B$295,generator!$Q$2:$Q$295,"ARGH")</f>
        <v>9000</v>
      </c>
      <c r="BN41" s="3">
        <f>_xlfn.XLOOKUP(BN$1,generator!$B$2:$B$295,generator!$Q$2:$Q$295,"ARGH")</f>
        <v>9000</v>
      </c>
      <c r="BO41" s="3">
        <f>_xlfn.XLOOKUP(BO$1,generator!$B$2:$B$295,generator!$Q$2:$Q$295,"ARGH")</f>
        <v>9000</v>
      </c>
      <c r="BP41" s="3">
        <f>_xlfn.XLOOKUP(BP$1,generator!$B$2:$B$295,generator!$Q$2:$Q$295,"ARGH")</f>
        <v>9000</v>
      </c>
      <c r="BQ41" s="3">
        <f>_xlfn.XLOOKUP(BQ$1,generator!$B$2:$B$295,generator!$Q$2:$Q$295,"ARGH")</f>
        <v>9000</v>
      </c>
      <c r="BR41" s="3">
        <f>_xlfn.XLOOKUP(BR$1,generator!$B$2:$B$295,generator!$Q$2:$Q$295,"ARGH")</f>
        <v>9000</v>
      </c>
      <c r="BS41" s="3">
        <f>_xlfn.XLOOKUP(BS$1,generator!$B$2:$B$295,generator!$Q$2:$Q$295,"ARGH")</f>
        <v>9000</v>
      </c>
      <c r="BT41" s="3">
        <f>_xlfn.XLOOKUP(BT$1,generator!$B$2:$B$295,generator!$Q$2:$Q$295,"ARGH")</f>
        <v>9000</v>
      </c>
      <c r="BU41" s="3">
        <f>_xlfn.XLOOKUP(BU$1,generator!$B$2:$B$295,generator!$Q$2:$Q$295,"ARGH")</f>
        <v>9000</v>
      </c>
      <c r="BV41" s="3">
        <f>_xlfn.XLOOKUP(BV$1,generator!$B$2:$B$295,generator!$Q$2:$Q$295,"ARGH")</f>
        <v>9000</v>
      </c>
      <c r="BW41" s="3">
        <f>_xlfn.XLOOKUP(BW$1,generator!$B$2:$B$295,generator!$Q$2:$Q$295,"ARGH")</f>
        <v>9000</v>
      </c>
      <c r="BX41" s="3">
        <f>_xlfn.XLOOKUP(BX$1,generator!$B$2:$B$295,generator!$Q$2:$Q$295,"ARGH")</f>
        <v>9000</v>
      </c>
      <c r="BY41" s="3">
        <f>_xlfn.XLOOKUP(BY$1,generator!$B$2:$B$295,generator!$Q$2:$Q$295,"ARGH")</f>
        <v>9000</v>
      </c>
      <c r="BZ41" s="3">
        <f>_xlfn.XLOOKUP(BZ$1,generator!$B$2:$B$295,generator!$Q$2:$Q$295,"ARGH")</f>
        <v>9000</v>
      </c>
      <c r="CA41" s="3">
        <f>_xlfn.XLOOKUP(CA$1,generator!$B$2:$B$295,generator!$Q$2:$Q$295,"ARGH")</f>
        <v>9000</v>
      </c>
      <c r="CB41" s="3">
        <f>_xlfn.XLOOKUP(CB$1,generator!$B$2:$B$295,generator!$Q$2:$Q$295,"ARGH")</f>
        <v>9000</v>
      </c>
      <c r="CC41" s="3">
        <f>_xlfn.XLOOKUP(CC$1,generator!$B$2:$B$295,generator!$Q$2:$Q$295,"ARGH")</f>
        <v>9000</v>
      </c>
      <c r="CD41" s="3">
        <f>_xlfn.XLOOKUP(CD$1,generator!$B$2:$B$295,generator!$Q$2:$Q$295,"ARGH")</f>
        <v>9000</v>
      </c>
      <c r="CE41" s="3">
        <f>_xlfn.XLOOKUP(CE$1,generator!$B$2:$B$295,generator!$Q$2:$Q$295,"ARGH")</f>
        <v>9000</v>
      </c>
      <c r="CF41" s="3">
        <f>_xlfn.XLOOKUP(CF$1,generator!$B$2:$B$295,generator!$Q$2:$Q$295,"ARGH")</f>
        <v>9000</v>
      </c>
      <c r="CG41" s="3">
        <f>_xlfn.XLOOKUP(CG$1,generator!$B$2:$B$295,generator!$Q$2:$Q$295,"ARGH")</f>
        <v>9000</v>
      </c>
      <c r="CH41" s="3">
        <f>_xlfn.XLOOKUP(CH$1,generator!$B$2:$B$295,generator!$Q$2:$Q$295,"ARGH")</f>
        <v>9000</v>
      </c>
      <c r="CI41" s="3">
        <f>_xlfn.XLOOKUP(CI$1,generator!$B$2:$B$295,generator!$Q$2:$Q$295,"ARGH")</f>
        <v>9000</v>
      </c>
      <c r="CJ41" s="3">
        <f>_xlfn.XLOOKUP(CJ$1,generator!$B$2:$B$295,generator!$Q$2:$Q$295,"ARGH")</f>
        <v>9000</v>
      </c>
      <c r="CK41" s="3">
        <f>_xlfn.XLOOKUP(CK$1,generator!$B$2:$B$295,generator!$Q$2:$Q$295,"ARGH")</f>
        <v>9000</v>
      </c>
      <c r="CL41" s="3">
        <f>_xlfn.XLOOKUP(CL$1,generator!$B$2:$B$295,generator!$Q$2:$Q$295,"ARGH")</f>
        <v>9000</v>
      </c>
      <c r="CM41" s="3">
        <f>_xlfn.XLOOKUP(CM$1,generator!$B$2:$B$295,generator!$Q$2:$Q$295,"ARGH")</f>
        <v>9000</v>
      </c>
      <c r="CN41" s="3">
        <f>_xlfn.XLOOKUP(CN$1,generator!$B$2:$B$295,generator!$Q$2:$Q$295,"ARGH")</f>
        <v>9000</v>
      </c>
      <c r="CO41" s="3">
        <f>_xlfn.XLOOKUP(CO$1,generator!$B$2:$B$295,generator!$Q$2:$Q$295,"ARGH")</f>
        <v>9000</v>
      </c>
      <c r="CP41" s="3">
        <f>_xlfn.XLOOKUP(CP$1,generator!$B$2:$B$295,generator!$Q$2:$Q$295,"ARGH")</f>
        <v>9000</v>
      </c>
      <c r="CQ41" s="3">
        <f>_xlfn.XLOOKUP(CQ$1,generator!$B$2:$B$295,generator!$Q$2:$Q$295,"ARGH")</f>
        <v>9000</v>
      </c>
      <c r="CR41" s="3">
        <f>_xlfn.XLOOKUP(CR$1,generator!$B$2:$B$295,generator!$Q$2:$Q$295,"ARGH")</f>
        <v>9000</v>
      </c>
      <c r="CS41" s="3">
        <f>_xlfn.XLOOKUP(CS$1,generator!$B$2:$B$295,generator!$Q$2:$Q$295,"ARGH")</f>
        <v>9000</v>
      </c>
      <c r="CT41" s="3">
        <f>_xlfn.XLOOKUP(CT$1,generator!$B$2:$B$295,generator!$Q$2:$Q$295,"ARGH")</f>
        <v>9000</v>
      </c>
      <c r="CU41" s="3">
        <f>_xlfn.XLOOKUP(CU$1,generator!$B$2:$B$295,generator!$Q$2:$Q$295,"ARGH")</f>
        <v>9000</v>
      </c>
      <c r="CV41" s="3">
        <f>_xlfn.XLOOKUP(CV$1,generator!$B$2:$B$295,generator!$Q$2:$Q$295,"ARGH")</f>
        <v>9000</v>
      </c>
      <c r="CW41" s="3">
        <f>_xlfn.XLOOKUP(CW$1,generator!$B$2:$B$295,generator!$Q$2:$Q$295,"ARGH")</f>
        <v>9000</v>
      </c>
      <c r="CX41" s="3">
        <f>_xlfn.XLOOKUP(CX$1,generator!$B$2:$B$295,generator!$Q$2:$Q$295,"ARGH")</f>
        <v>9000</v>
      </c>
      <c r="CY41" s="3">
        <f>_xlfn.XLOOKUP(CY$1,generator!$B$2:$B$295,generator!$Q$2:$Q$295,"ARGH")</f>
        <v>9000</v>
      </c>
      <c r="CZ41" s="3">
        <f>_xlfn.XLOOKUP(CZ$1,generator!$B$2:$B$295,generator!$Q$2:$Q$295,"ARGH")</f>
        <v>9000</v>
      </c>
      <c r="DA41" s="3">
        <f>_xlfn.XLOOKUP(DA$1,generator!$B$2:$B$295,generator!$Q$2:$Q$295,"ARGH")</f>
        <v>9000</v>
      </c>
      <c r="DB41" s="3">
        <f>_xlfn.XLOOKUP(DB$1,generator!$B$2:$B$295,generator!$Q$2:$Q$295,"ARGH")</f>
        <v>9000</v>
      </c>
      <c r="DC41" s="3">
        <f>_xlfn.XLOOKUP(DC$1,generator!$B$2:$B$295,generator!$Q$2:$Q$295,"ARGH")</f>
        <v>9000</v>
      </c>
      <c r="DD41" s="3">
        <f>_xlfn.XLOOKUP(DD$1,generator!$B$2:$B$295,generator!$Q$2:$Q$295,"ARGH")</f>
        <v>9000</v>
      </c>
      <c r="DE41" s="3">
        <f>_xlfn.XLOOKUP(DE$1,generator!$B$2:$B$295,generator!$Q$2:$Q$295,"ARGH")</f>
        <v>9000</v>
      </c>
      <c r="DF41" s="3">
        <f>_xlfn.XLOOKUP(DF$1,generator!$B$2:$B$295,generator!$Q$2:$Q$295,"ARGH")</f>
        <v>9000</v>
      </c>
      <c r="DG41" s="3">
        <f>_xlfn.XLOOKUP(DG$1,generator!$B$2:$B$295,generator!$Q$2:$Q$295,"ARGH")</f>
        <v>9000</v>
      </c>
      <c r="DH41" s="3">
        <f>_xlfn.XLOOKUP(DH$1,generator!$B$2:$B$295,generator!$Q$2:$Q$295,"ARGH")</f>
        <v>9000</v>
      </c>
      <c r="DI41" s="3">
        <f>_xlfn.XLOOKUP(DI$1,generator!$B$2:$B$295,generator!$Q$2:$Q$295,"ARGH")</f>
        <v>9000</v>
      </c>
      <c r="DJ41" s="3">
        <f>_xlfn.XLOOKUP(DJ$1,generator!$B$2:$B$295,generator!$Q$2:$Q$295,"ARGH")</f>
        <v>9000</v>
      </c>
      <c r="DK41" s="3">
        <f>_xlfn.XLOOKUP(DK$1,generator!$B$2:$B$295,generator!$Q$2:$Q$295,"ARGH")</f>
        <v>9000</v>
      </c>
      <c r="DL41" s="3">
        <f>_xlfn.XLOOKUP(DL$1,generator!$B$2:$B$295,generator!$Q$2:$Q$295,"ARGH")</f>
        <v>9000</v>
      </c>
      <c r="DM41" s="3">
        <f>_xlfn.XLOOKUP(DM$1,generator!$B$2:$B$295,generator!$Q$2:$Q$295,"ARGH")</f>
        <v>9000</v>
      </c>
      <c r="DN41" s="3">
        <f>_xlfn.XLOOKUP(DN$1,generator!$B$2:$B$295,generator!$Q$2:$Q$295,"ARGH")</f>
        <v>9000</v>
      </c>
      <c r="DO41" s="3">
        <f>_xlfn.XLOOKUP(DO$1,generator!$B$2:$B$295,generator!$Q$2:$Q$295,"ARGH")</f>
        <v>9000</v>
      </c>
      <c r="DP41" s="3">
        <f>_xlfn.XLOOKUP(DP$1,generator!$B$2:$B$295,generator!$Q$2:$Q$295,"ARGH")</f>
        <v>9000</v>
      </c>
      <c r="DQ41" s="3">
        <f>_xlfn.XLOOKUP(DQ$1,generator!$B$2:$B$295,generator!$Q$2:$Q$295,"ARGH")</f>
        <v>9000</v>
      </c>
      <c r="DR41" s="3">
        <f>_xlfn.XLOOKUP(DR$1,generator!$B$2:$B$295,generator!$Q$2:$Q$295,"ARGH")</f>
        <v>9000</v>
      </c>
      <c r="DS41" s="3">
        <f>_xlfn.XLOOKUP(DS$1,generator!$B$2:$B$295,generator!$Q$2:$Q$295,"ARGH")</f>
        <v>9000</v>
      </c>
      <c r="DT41" s="3">
        <f>_xlfn.XLOOKUP(DT$1,generator!$B$2:$B$295,generator!$Q$2:$Q$295,"ARGH")</f>
        <v>9000</v>
      </c>
      <c r="DU41" s="3">
        <f>_xlfn.XLOOKUP(DU$1,generator!$B$2:$B$295,generator!$Q$2:$Q$295,"ARGH")</f>
        <v>9000</v>
      </c>
      <c r="DV41" s="3">
        <f>_xlfn.XLOOKUP(DV$1,generator!$B$2:$B$295,generator!$Q$2:$Q$295,"ARGH")</f>
        <v>9000</v>
      </c>
      <c r="DW41" s="3">
        <f>_xlfn.XLOOKUP(DW$1,generator!$B$2:$B$295,generator!$Q$2:$Q$295,"ARGH")</f>
        <v>9000</v>
      </c>
      <c r="DX41" s="3">
        <f>_xlfn.XLOOKUP(DX$1,generator!$B$2:$B$295,generator!$Q$2:$Q$295,"ARGH")</f>
        <v>9000</v>
      </c>
      <c r="DY41" s="3">
        <f>_xlfn.XLOOKUP(DY$1,generator!$B$2:$B$295,generator!$Q$2:$Q$295,"ARGH")</f>
        <v>9000</v>
      </c>
      <c r="DZ41" s="3">
        <f>_xlfn.XLOOKUP(DZ$1,generator!$B$2:$B$295,generator!$Q$2:$Q$295,"ARGH")</f>
        <v>9000</v>
      </c>
      <c r="EA41" s="3">
        <f>_xlfn.XLOOKUP(EA$1,generator!$B$2:$B$295,generator!$Q$2:$Q$295,"ARGH")</f>
        <v>9000</v>
      </c>
      <c r="EB41" s="3">
        <f>_xlfn.XLOOKUP(EB$1,generator!$B$2:$B$295,generator!$Q$2:$Q$295,"ARGH")</f>
        <v>9000</v>
      </c>
      <c r="EC41" s="3">
        <f>_xlfn.XLOOKUP(EC$1,generator!$B$2:$B$295,generator!$Q$2:$Q$295,"ARGH")</f>
        <v>9000</v>
      </c>
      <c r="ED41" s="3">
        <f>_xlfn.XLOOKUP(ED$1,generator!$B$2:$B$295,generator!$Q$2:$Q$295,"ARGH")</f>
        <v>9000</v>
      </c>
      <c r="EE41" s="3">
        <f>_xlfn.XLOOKUP(EE$1,generator!$B$2:$B$295,generator!$Q$2:$Q$295,"ARGH")</f>
        <v>9000</v>
      </c>
      <c r="EF41" s="3">
        <f>_xlfn.XLOOKUP(EF$1,generator!$B$2:$B$295,generator!$Q$2:$Q$295,"ARGH")</f>
        <v>9000</v>
      </c>
      <c r="EG41" s="3">
        <f>_xlfn.XLOOKUP(EG$1,generator!$B$2:$B$295,generator!$Q$2:$Q$295,"ARGH")</f>
        <v>9000</v>
      </c>
      <c r="EH41" s="3">
        <f>_xlfn.XLOOKUP(EH$1,generator!$B$2:$B$295,generator!$Q$2:$Q$295,"ARGH")</f>
        <v>9000</v>
      </c>
      <c r="EI41" s="3">
        <f>_xlfn.XLOOKUP(EI$1,generator!$B$2:$B$295,generator!$Q$2:$Q$295,"ARGH")</f>
        <v>9000</v>
      </c>
      <c r="EJ41" s="3">
        <f>_xlfn.XLOOKUP(EJ$1,generator!$B$2:$B$295,generator!$Q$2:$Q$295,"ARGH")</f>
        <v>9000</v>
      </c>
      <c r="EK41" s="3">
        <f>_xlfn.XLOOKUP(EK$1,generator!$B$2:$B$295,generator!$Q$2:$Q$295,"ARGH")</f>
        <v>9000</v>
      </c>
      <c r="EL41" s="3">
        <f>_xlfn.XLOOKUP(EL$1,generator!$B$2:$B$295,generator!$Q$2:$Q$295,"ARGH")</f>
        <v>9000</v>
      </c>
      <c r="EM41" s="3">
        <f>_xlfn.XLOOKUP(EM$1,generator!$B$2:$B$295,generator!$Q$2:$Q$295,"ARGH")</f>
        <v>9000</v>
      </c>
      <c r="EN41" s="3">
        <f>_xlfn.XLOOKUP(EN$1,generator!$B$2:$B$295,generator!$Q$2:$Q$295,"ARGH")</f>
        <v>9000</v>
      </c>
      <c r="EO41" s="3">
        <f>_xlfn.XLOOKUP(EO$1,generator!$B$2:$B$295,generator!$Q$2:$Q$295,"ARGH")</f>
        <v>9000</v>
      </c>
      <c r="EP41" s="3">
        <f>_xlfn.XLOOKUP(EP$1,generator!$B$2:$B$295,generator!$Q$2:$Q$295,"ARGH")</f>
        <v>9000</v>
      </c>
      <c r="EQ41" s="3">
        <f>_xlfn.XLOOKUP(EQ$1,generator!$B$2:$B$295,generator!$Q$2:$Q$295,"ARGH")</f>
        <v>9000</v>
      </c>
      <c r="ER41" s="3">
        <f>_xlfn.XLOOKUP(ER$1,generator!$B$2:$B$295,generator!$Q$2:$Q$295,"ARGH")</f>
        <v>9000</v>
      </c>
      <c r="ES41" s="3">
        <f>_xlfn.XLOOKUP(ES$1,generator!$B$2:$B$295,generator!$Q$2:$Q$295,"ARGH")</f>
        <v>9000</v>
      </c>
      <c r="ET41" s="3">
        <f>_xlfn.XLOOKUP(ET$1,generator!$B$2:$B$295,generator!$Q$2:$Q$295,"ARGH")</f>
        <v>9000</v>
      </c>
      <c r="EU41" s="3">
        <f>_xlfn.XLOOKUP(EU$1,generator!$B$2:$B$295,generator!$Q$2:$Q$295,"ARGH")</f>
        <v>9000</v>
      </c>
      <c r="EV41" s="3">
        <f>_xlfn.XLOOKUP(EV$1,generator!$B$2:$B$295,generator!$Q$2:$Q$295,"ARGH")</f>
        <v>9000</v>
      </c>
      <c r="EW41" s="3">
        <f>_xlfn.XLOOKUP(EW$1,generator!$B$2:$B$295,generator!$Q$2:$Q$295,"ARGH")</f>
        <v>9000</v>
      </c>
      <c r="EX41" s="3">
        <f>_xlfn.XLOOKUP(EX$1,generator!$B$2:$B$295,generator!$Q$2:$Q$295,"ARGH")</f>
        <v>9000</v>
      </c>
      <c r="EY41" s="3">
        <f>_xlfn.XLOOKUP(EY$1,generator!$B$2:$B$295,generator!$Q$2:$Q$295,"ARGH")</f>
        <v>9000</v>
      </c>
      <c r="EZ41" s="3">
        <f>_xlfn.XLOOKUP(EZ$1,generator!$B$2:$B$295,generator!$Q$2:$Q$295,"ARGH")</f>
        <v>9000</v>
      </c>
      <c r="FA41" s="3">
        <f>_xlfn.XLOOKUP(FA$1,generator!$B$2:$B$295,generator!$Q$2:$Q$295,"ARGH")</f>
        <v>9000</v>
      </c>
      <c r="FB41" s="3">
        <f>_xlfn.XLOOKUP(FB$1,generator!$B$2:$B$295,generator!$Q$2:$Q$295,"ARGH")</f>
        <v>9000</v>
      </c>
      <c r="FC41" s="3">
        <f>_xlfn.XLOOKUP(FC$1,generator!$B$2:$B$295,generator!$Q$2:$Q$295,"ARGH")</f>
        <v>9000</v>
      </c>
      <c r="FD41" s="3">
        <f>_xlfn.XLOOKUP(FD$1,generator!$B$2:$B$295,generator!$Q$2:$Q$295,"ARGH")</f>
        <v>9000</v>
      </c>
      <c r="FE41" s="3">
        <f>_xlfn.XLOOKUP(FE$1,generator!$B$2:$B$295,generator!$Q$2:$Q$295,"ARGH")</f>
        <v>9000</v>
      </c>
      <c r="FF41" s="3">
        <f>_xlfn.XLOOKUP(FF$1,generator!$B$2:$B$295,generator!$Q$2:$Q$295,"ARGH")</f>
        <v>9000</v>
      </c>
      <c r="FG41" s="3">
        <f>_xlfn.XLOOKUP(FG$1,generator!$B$2:$B$295,generator!$Q$2:$Q$295,"ARGH")</f>
        <v>9000</v>
      </c>
      <c r="FH41" s="3">
        <f>_xlfn.XLOOKUP(FH$1,generator!$B$2:$B$295,generator!$Q$2:$Q$295,"ARGH")</f>
        <v>9000</v>
      </c>
      <c r="FI41" s="3">
        <f>_xlfn.XLOOKUP(FI$1,generator!$B$2:$B$295,generator!$Q$2:$Q$295,"ARGH")</f>
        <v>9000</v>
      </c>
      <c r="FJ41" s="3">
        <f>_xlfn.XLOOKUP(FJ$1,generator!$B$2:$B$295,generator!$Q$2:$Q$295,"ARGH")</f>
        <v>9000</v>
      </c>
      <c r="FK41" s="3">
        <f>_xlfn.XLOOKUP(FK$1,generator!$B$2:$B$295,generator!$Q$2:$Q$295,"ARGH")</f>
        <v>9000</v>
      </c>
      <c r="FL41" s="3">
        <f>_xlfn.XLOOKUP(FL$1,generator!$B$2:$B$295,generator!$Q$2:$Q$295,"ARGH")</f>
        <v>9000</v>
      </c>
      <c r="FM41" s="3">
        <f>_xlfn.XLOOKUP(FM$1,generator!$B$2:$B$295,generator!$Q$2:$Q$295,"ARGH")</f>
        <v>9000</v>
      </c>
      <c r="FN41" s="3">
        <f>_xlfn.XLOOKUP(FN$1,generator!$B$2:$B$295,generator!$Q$2:$Q$295,"ARGH")</f>
        <v>9000</v>
      </c>
      <c r="FO41" s="3">
        <f>_xlfn.XLOOKUP(FO$1,generator!$B$2:$B$295,generator!$Q$2:$Q$295,"ARGH")</f>
        <v>9000</v>
      </c>
      <c r="FP41" s="3">
        <f>_xlfn.XLOOKUP(FP$1,generator!$B$2:$B$295,generator!$Q$2:$Q$295,"ARGH")</f>
        <v>9000</v>
      </c>
      <c r="FQ41" s="3">
        <f>_xlfn.XLOOKUP(FQ$1,generator!$B$2:$B$295,generator!$Q$2:$Q$295,"ARGH")</f>
        <v>9000</v>
      </c>
      <c r="FR41" s="3">
        <f>_xlfn.XLOOKUP(FR$1,generator!$B$2:$B$295,generator!$Q$2:$Q$295,"ARGH")</f>
        <v>9000</v>
      </c>
      <c r="FS41" s="3">
        <f>_xlfn.XLOOKUP(FS$1,generator!$B$2:$B$295,generator!$Q$2:$Q$295,"ARGH")</f>
        <v>9000</v>
      </c>
      <c r="FT41" s="3">
        <f>_xlfn.XLOOKUP(FT$1,generator!$B$2:$B$295,generator!$Q$2:$Q$295,"ARGH")</f>
        <v>9000</v>
      </c>
      <c r="FU41" s="3">
        <f>_xlfn.XLOOKUP(FU$1,generator!$B$2:$B$295,generator!$Q$2:$Q$295,"ARGH")</f>
        <v>9000</v>
      </c>
      <c r="FV41" s="3">
        <f>_xlfn.XLOOKUP(FV$1,generator!$B$2:$B$295,generator!$Q$2:$Q$295,"ARGH")</f>
        <v>9000</v>
      </c>
      <c r="FW41" s="3">
        <f>_xlfn.XLOOKUP(FW$1,generator!$B$2:$B$295,generator!$Q$2:$Q$295,"ARGH")</f>
        <v>9000</v>
      </c>
      <c r="FX41" s="3">
        <f>_xlfn.XLOOKUP(FX$1,generator!$B$2:$B$295,generator!$Q$2:$Q$295,"ARGH")</f>
        <v>9000</v>
      </c>
      <c r="FY41" s="3">
        <f>_xlfn.XLOOKUP(FY$1,generator!$B$2:$B$295,generator!$Q$2:$Q$295,"ARGH")</f>
        <v>9000</v>
      </c>
      <c r="FZ41" s="3">
        <f>_xlfn.XLOOKUP(FZ$1,generator!$B$2:$B$295,generator!$Q$2:$Q$295,"ARGH")</f>
        <v>9000</v>
      </c>
      <c r="GA41" s="3">
        <f>_xlfn.XLOOKUP(GA$1,generator!$B$2:$B$295,generator!$Q$2:$Q$295,"ARGH")</f>
        <v>9000</v>
      </c>
      <c r="GB41" s="3">
        <f>_xlfn.XLOOKUP(GB$1,generator!$B$2:$B$295,generator!$Q$2:$Q$295,"ARGH")</f>
        <v>9000</v>
      </c>
      <c r="GC41" s="3">
        <f>_xlfn.XLOOKUP(GC$1,generator!$B$2:$B$295,generator!$Q$2:$Q$295,"ARGH")</f>
        <v>9000</v>
      </c>
      <c r="GD41" s="3">
        <f>_xlfn.XLOOKUP(GD$1,generator!$B$2:$B$295,generator!$Q$2:$Q$295,"ARGH")</f>
        <v>9000</v>
      </c>
      <c r="GE41" s="3">
        <f>_xlfn.XLOOKUP(GE$1,generator!$B$2:$B$295,generator!$Q$2:$Q$295,"ARGH")</f>
        <v>9000</v>
      </c>
      <c r="GF41" s="3">
        <f>_xlfn.XLOOKUP(GF$1,generator!$B$2:$B$295,generator!$Q$2:$Q$295,"ARGH")</f>
        <v>9000</v>
      </c>
      <c r="GG41" s="3">
        <f>_xlfn.XLOOKUP(GG$1,generator!$B$2:$B$295,generator!$Q$2:$Q$295,"ARGH")</f>
        <v>9000</v>
      </c>
      <c r="GH41" s="3">
        <f>_xlfn.XLOOKUP(GH$1,generator!$B$2:$B$295,generator!$Q$2:$Q$295,"ARGH")</f>
        <v>9000</v>
      </c>
      <c r="GI41" s="3">
        <f>_xlfn.XLOOKUP(GI$1,generator!$B$2:$B$295,generator!$Q$2:$Q$295,"ARGH")</f>
        <v>9000</v>
      </c>
      <c r="GJ41" s="3">
        <f>_xlfn.XLOOKUP(GJ$1,generator!$B$2:$B$295,generator!$Q$2:$Q$295,"ARGH")</f>
        <v>9000</v>
      </c>
      <c r="GK41" s="3">
        <f>_xlfn.XLOOKUP(GK$1,generator!$B$2:$B$295,generator!$Q$2:$Q$295,"ARGH")</f>
        <v>9000</v>
      </c>
      <c r="GL41" s="3">
        <f>_xlfn.XLOOKUP(GL$1,generator!$B$2:$B$295,generator!$Q$2:$Q$295,"ARGH")</f>
        <v>9000</v>
      </c>
      <c r="GM41" s="3">
        <f>_xlfn.XLOOKUP(GM$1,generator!$B$2:$B$295,generator!$Q$2:$Q$295,"ARGH")</f>
        <v>9000</v>
      </c>
      <c r="GN41" s="3">
        <f>_xlfn.XLOOKUP(GN$1,generator!$B$2:$B$295,generator!$Q$2:$Q$295,"ARGH")</f>
        <v>9000</v>
      </c>
      <c r="GO41" s="3">
        <f>_xlfn.XLOOKUP(GO$1,generator!$B$2:$B$295,generator!$Q$2:$Q$295,"ARGH")</f>
        <v>9000</v>
      </c>
      <c r="GP41" s="3">
        <f>_xlfn.XLOOKUP(GP$1,generator!$B$2:$B$295,generator!$Q$2:$Q$295,"ARGH")</f>
        <v>9000</v>
      </c>
      <c r="GQ41" s="3">
        <f>_xlfn.XLOOKUP(GQ$1,generator!$B$2:$B$295,generator!$Q$2:$Q$295,"ARGH")</f>
        <v>9000</v>
      </c>
      <c r="GR41" s="3">
        <f>_xlfn.XLOOKUP(GR$1,generator!$B$2:$B$295,generator!$Q$2:$Q$295,"ARGH")</f>
        <v>9000</v>
      </c>
      <c r="GS41" s="3">
        <f>_xlfn.XLOOKUP(GS$1,generator!$B$2:$B$295,generator!$Q$2:$Q$295,"ARGH")</f>
        <v>9000</v>
      </c>
      <c r="GT41" s="3">
        <f>_xlfn.XLOOKUP(GT$1,generator!$B$2:$B$295,generator!$Q$2:$Q$295,"ARGH")</f>
        <v>9000</v>
      </c>
      <c r="GU41" s="3">
        <f>_xlfn.XLOOKUP(GU$1,generator!$B$2:$B$295,generator!$Q$2:$Q$295,"ARGH")</f>
        <v>9000</v>
      </c>
      <c r="GV41" s="3">
        <f>_xlfn.XLOOKUP(GV$1,generator!$B$2:$B$295,generator!$Q$2:$Q$295,"ARGH")</f>
        <v>9000</v>
      </c>
      <c r="GW41" s="3">
        <f>_xlfn.XLOOKUP(GW$1,generator!$B$2:$B$295,generator!$Q$2:$Q$295,"ARGH")</f>
        <v>9000</v>
      </c>
      <c r="GX41" s="3">
        <f>_xlfn.XLOOKUP(GX$1,generator!$B$2:$B$295,generator!$Q$2:$Q$295,"ARGH")</f>
        <v>9000</v>
      </c>
      <c r="GY41" s="3">
        <f>_xlfn.XLOOKUP(GY$1,generator!$B$2:$B$295,generator!$Q$2:$Q$295,"ARGH")</f>
        <v>9000</v>
      </c>
      <c r="GZ41" s="3">
        <f>_xlfn.XLOOKUP(GZ$1,generator!$B$2:$B$295,generator!$Q$2:$Q$295,"ARGH")</f>
        <v>9000</v>
      </c>
      <c r="HA41" s="3">
        <f>_xlfn.XLOOKUP(HA$1,generator!$B$2:$B$295,generator!$Q$2:$Q$295,"ARGH")</f>
        <v>9000</v>
      </c>
      <c r="HB41" s="3">
        <f>_xlfn.XLOOKUP(HB$1,generator!$B$2:$B$295,generator!$Q$2:$Q$295,"ARGH")</f>
        <v>9000</v>
      </c>
      <c r="HC41" s="3">
        <f>_xlfn.XLOOKUP(HC$1,generator!$B$2:$B$295,generator!$Q$2:$Q$295,"ARGH")</f>
        <v>9000</v>
      </c>
      <c r="HD41" s="3">
        <f>_xlfn.XLOOKUP(HD$1,generator!$B$2:$B$295,generator!$Q$2:$Q$295,"ARGH")</f>
        <v>9000</v>
      </c>
      <c r="HE41" s="3">
        <f>_xlfn.XLOOKUP(HE$1,generator!$B$2:$B$295,generator!$Q$2:$Q$295,"ARGH")</f>
        <v>8000</v>
      </c>
      <c r="HF41" s="3" t="str">
        <f>_xlfn.XLOOKUP(HF$1,generator!$B$2:$B$295,generator!$Q$2:$Q$295,"ARGH")</f>
        <v>143</v>
      </c>
      <c r="HG41" s="3" t="str">
        <f>_xlfn.XLOOKUP(HG$1,generator!$B$2:$B$295,generator!$Q$2:$Q$295,"ARGH")</f>
        <v>143</v>
      </c>
      <c r="HH41" s="3" t="str">
        <f>_xlfn.XLOOKUP(HH$1,generator!$B$2:$B$295,generator!$Q$2:$Q$295,"ARGH")</f>
        <v>143</v>
      </c>
      <c r="HI41" s="3" t="str">
        <f>_xlfn.XLOOKUP(HI$1,generator!$B$2:$B$295,generator!$Q$2:$Q$295,"ARGH")</f>
        <v>246.74</v>
      </c>
      <c r="HJ41" s="3" t="str">
        <f>_xlfn.XLOOKUP(HJ$1,generator!$B$2:$B$295,generator!$Q$2:$Q$295,"ARGH")</f>
        <v>246.74</v>
      </c>
      <c r="HK41" s="3" t="str">
        <f>_xlfn.XLOOKUP(HK$1,generator!$B$2:$B$295,generator!$Q$2:$Q$295,"ARGH")</f>
        <v>206.04</v>
      </c>
      <c r="HL41" s="3" t="str">
        <f>_xlfn.XLOOKUP(HL$1,generator!$B$2:$B$295,generator!$Q$2:$Q$295,"ARGH")</f>
        <v>506.96</v>
      </c>
      <c r="HM41" s="3" t="str">
        <f>_xlfn.XLOOKUP(HM$1,generator!$B$2:$B$295,generator!$Q$2:$Q$295,"ARGH")</f>
        <v>506.95</v>
      </c>
      <c r="HN41" s="3" t="str">
        <f>_xlfn.XLOOKUP(HN$1,generator!$B$2:$B$295,generator!$Q$2:$Q$295,"ARGH")</f>
        <v>190.97</v>
      </c>
      <c r="HO41" s="3" t="str">
        <f>_xlfn.XLOOKUP(HO$1,generator!$B$2:$B$295,generator!$Q$2:$Q$295,"ARGH")</f>
        <v>190.97</v>
      </c>
      <c r="HP41" s="3" t="str">
        <f>_xlfn.XLOOKUP(HP$1,generator!$B$2:$B$295,generator!$Q$2:$Q$295,"ARGH")</f>
        <v>424.84</v>
      </c>
      <c r="HQ41" s="3" t="str">
        <f>_xlfn.XLOOKUP(HQ$1,generator!$B$2:$B$295,generator!$Q$2:$Q$295,"ARGH")</f>
        <v>425.9</v>
      </c>
      <c r="HR41" s="3" t="str">
        <f>_xlfn.XLOOKUP(HR$1,generator!$B$2:$B$295,generator!$Q$2:$Q$295,"ARGH")</f>
        <v>425.9</v>
      </c>
      <c r="HS41" s="3" t="str">
        <f>_xlfn.XLOOKUP(HS$1,generator!$B$2:$B$295,generator!$Q$2:$Q$295,"ARGH")</f>
        <v>196.54</v>
      </c>
      <c r="HT41" s="3" t="str">
        <f>_xlfn.XLOOKUP(HT$1,generator!$B$2:$B$295,generator!$Q$2:$Q$295,"ARGH")</f>
        <v>196.54</v>
      </c>
      <c r="HU41" s="3" t="str">
        <f>_xlfn.XLOOKUP(HU$1,generator!$B$2:$B$295,generator!$Q$2:$Q$295,"ARGH")</f>
        <v>145.57</v>
      </c>
      <c r="HV41" s="3" t="str">
        <f>_xlfn.XLOOKUP(HV$1,generator!$B$2:$B$295,generator!$Q$2:$Q$295,"ARGH")</f>
        <v>132.62</v>
      </c>
      <c r="HW41" s="3" t="str">
        <f>_xlfn.XLOOKUP(HW$1,generator!$B$2:$B$295,generator!$Q$2:$Q$295,"ARGH")</f>
        <v>193.76</v>
      </c>
      <c r="HX41" s="3" t="str">
        <f>_xlfn.XLOOKUP(HX$1,generator!$B$2:$B$295,generator!$Q$2:$Q$295,"ARGH")</f>
        <v>193.76</v>
      </c>
      <c r="HY41" s="3" t="str">
        <f>_xlfn.XLOOKUP(HY$1,generator!$B$2:$B$295,generator!$Q$2:$Q$295,"ARGH")</f>
        <v>79.19</v>
      </c>
      <c r="HZ41" s="3" t="str">
        <f>_xlfn.XLOOKUP(HZ$1,generator!$B$2:$B$295,generator!$Q$2:$Q$295,"ARGH")</f>
        <v>125.79</v>
      </c>
      <c r="IA41" s="3" t="str">
        <f>_xlfn.XLOOKUP(IA$1,generator!$B$2:$B$295,generator!$Q$2:$Q$295,"ARGH")</f>
        <v>54.19</v>
      </c>
      <c r="IB41" s="3" t="str">
        <f>_xlfn.XLOOKUP(IB$1,generator!$B$2:$B$295,generator!$Q$2:$Q$295,"ARGH")</f>
        <v>59.7</v>
      </c>
      <c r="IC41" s="3">
        <f>_xlfn.XLOOKUP(IC$1,generator!$B$2:$B$295,generator!$Q$2:$Q$295,"ARGH")</f>
        <v>0</v>
      </c>
      <c r="ID41" s="3" t="str">
        <f>_xlfn.XLOOKUP(ID$1,generator!$B$2:$B$295,generator!$Q$2:$Q$295,"ARGH")</f>
        <v>121.14</v>
      </c>
      <c r="IE41" s="3" t="str">
        <f>_xlfn.XLOOKUP(IE$1,generator!$B$2:$B$295,generator!$Q$2:$Q$295,"ARGH")</f>
        <v>26.6</v>
      </c>
      <c r="IF41" s="3">
        <f>_xlfn.XLOOKUP(IF$1,generator!$B$2:$B$295,generator!$Q$2:$Q$295,"ARGH")</f>
        <v>8000</v>
      </c>
      <c r="IG41" s="3">
        <f>_xlfn.XLOOKUP(IG$1,generator!$B$2:$B$295,generator!$Q$2:$Q$295,"ARGH")</f>
        <v>8000</v>
      </c>
      <c r="IH41" s="3">
        <f>_xlfn.XLOOKUP(IH$1,generator!$B$2:$B$295,generator!$Q$2:$Q$295,"ARGH")</f>
        <v>8000</v>
      </c>
      <c r="II41" s="3">
        <f>_xlfn.XLOOKUP(II$1,generator!$B$2:$B$295,generator!$Q$2:$Q$295,"ARGH")</f>
        <v>8000</v>
      </c>
      <c r="IJ41" s="3">
        <f>_xlfn.XLOOKUP(IJ$1,generator!$B$2:$B$295,generator!$Q$2:$Q$295,"ARGH")</f>
        <v>8000</v>
      </c>
      <c r="IK41" s="3">
        <f>_xlfn.XLOOKUP(IK$1,generator!$B$2:$B$295,generator!$Q$2:$Q$295,"ARGH")</f>
        <v>8000</v>
      </c>
      <c r="IL41" s="3">
        <f>_xlfn.XLOOKUP(IL$1,generator!$B$2:$B$295,generator!$Q$2:$Q$295,"ARGH")</f>
        <v>8000</v>
      </c>
      <c r="IM41" s="3">
        <f>_xlfn.XLOOKUP(IM$1,generator!$B$2:$B$295,generator!$Q$2:$Q$295,"ARGH")</f>
        <v>8000</v>
      </c>
      <c r="IN41" s="3">
        <f>_xlfn.XLOOKUP(IN$1,generator!$B$2:$B$295,generator!$Q$2:$Q$295,"ARGH")</f>
        <v>8000</v>
      </c>
      <c r="IO41" s="3">
        <f>_xlfn.XLOOKUP(IO$1,generator!$B$2:$B$295,generator!$Q$2:$Q$295,"ARGH")</f>
        <v>8000</v>
      </c>
      <c r="IP41" s="3">
        <f>_xlfn.XLOOKUP(IP$1,generator!$B$2:$B$295,generator!$Q$2:$Q$295,"ARGH")</f>
        <v>8000</v>
      </c>
      <c r="IQ41" s="3">
        <f>_xlfn.XLOOKUP(IQ$1,generator!$B$2:$B$295,generator!$Q$2:$Q$295,"ARGH")</f>
        <v>8000</v>
      </c>
      <c r="IR41" s="3">
        <f>_xlfn.XLOOKUP(IR$1,generator!$B$2:$B$295,generator!$Q$2:$Q$295,"ARGH")</f>
        <v>8000</v>
      </c>
      <c r="IS41" s="3">
        <f>_xlfn.XLOOKUP(IS$1,generator!$B$2:$B$295,generator!$Q$2:$Q$295,"ARGH")</f>
        <v>8000</v>
      </c>
      <c r="IT41" s="3">
        <f>_xlfn.XLOOKUP(IT$1,generator!$B$2:$B$295,generator!$Q$2:$Q$295,"ARGH")</f>
        <v>8000</v>
      </c>
      <c r="IU41" s="3">
        <f>_xlfn.XLOOKUP(IU$1,generator!$B$2:$B$295,generator!$Q$2:$Q$295,"ARGH")</f>
        <v>8000</v>
      </c>
      <c r="IV41" s="3">
        <f>_xlfn.XLOOKUP(IV$1,generator!$B$2:$B$295,generator!$Q$2:$Q$295,"ARGH")</f>
        <v>8000</v>
      </c>
      <c r="IW41" s="3" t="str">
        <f>_xlfn.XLOOKUP(IW$1,generator!$B$2:$B$295,generator!$Q$2:$Q$295,"ARGH")</f>
        <v>108.19</v>
      </c>
      <c r="IX41" s="3" t="str">
        <f>_xlfn.XLOOKUP(IX$1,generator!$B$2:$B$295,generator!$Q$2:$Q$295,"ARGH")</f>
        <v>108.18</v>
      </c>
      <c r="IY41" s="3" t="str">
        <f>_xlfn.XLOOKUP(IY$1,generator!$B$2:$B$295,generator!$Q$2:$Q$295,"ARGH")</f>
        <v>108.17</v>
      </c>
      <c r="IZ41" s="3" t="str">
        <f>_xlfn.XLOOKUP(IZ$1,generator!$B$2:$B$295,generator!$Q$2:$Q$295,"ARGH")</f>
        <v>40.96</v>
      </c>
      <c r="JA41" s="3">
        <f>_xlfn.XLOOKUP(JA$1,generator!$B$2:$B$295,generator!$Q$2:$Q$295,"ARGH")</f>
        <v>0</v>
      </c>
      <c r="JB41" s="3">
        <f>_xlfn.XLOOKUP(JB$1,generator!$B$2:$B$295,generator!$Q$2:$Q$295,"ARGH")</f>
        <v>0</v>
      </c>
      <c r="JC41" s="3" t="str">
        <f>_xlfn.XLOOKUP(JC$1,generator!$B$2:$B$295,generator!$Q$2:$Q$295,"ARGH")</f>
        <v>75.91</v>
      </c>
      <c r="JD41" s="3" t="str">
        <f>_xlfn.XLOOKUP(JD$1,generator!$B$2:$B$295,generator!$Q$2:$Q$295,"ARGH")</f>
        <v>75.91</v>
      </c>
      <c r="JE41" s="3" t="str">
        <f>_xlfn.XLOOKUP(JE$1,generator!$B$2:$B$295,generator!$Q$2:$Q$295,"ARGH")</f>
        <v>51.59</v>
      </c>
      <c r="JF41" s="3" t="str">
        <f>_xlfn.XLOOKUP(JF$1,generator!$B$2:$B$295,generator!$Q$2:$Q$295,"ARGH")</f>
        <v>111.57</v>
      </c>
      <c r="JG41" s="3">
        <f>_xlfn.XLOOKUP(JG$1,generator!$B$2:$B$295,generator!$Q$2:$Q$295,"ARGH")</f>
        <v>0</v>
      </c>
      <c r="JH41" s="3" t="str">
        <f>_xlfn.XLOOKUP(JH$1,generator!$B$2:$B$295,generator!$Q$2:$Q$295,"ARGH")</f>
        <v>48.65</v>
      </c>
      <c r="JI41" s="3" t="str">
        <f>_xlfn.XLOOKUP(JI$1,generator!$B$2:$B$295,generator!$Q$2:$Q$295,"ARGH")</f>
        <v>71.88</v>
      </c>
      <c r="JJ41" s="3" t="str">
        <f>_xlfn.XLOOKUP(JJ$1,generator!$B$2:$B$295,generator!$Q$2:$Q$295,"ARGH")</f>
        <v>98.17</v>
      </c>
      <c r="JK41" s="3" t="str">
        <f>_xlfn.XLOOKUP(JK$1,generator!$B$2:$B$295,generator!$Q$2:$Q$295,"ARGH")</f>
        <v>98.17</v>
      </c>
      <c r="JL41" s="3" t="str">
        <f>_xlfn.XLOOKUP(JL$1,generator!$B$2:$B$295,generator!$Q$2:$Q$295,"ARGH")</f>
        <v>98.17</v>
      </c>
      <c r="JM41" s="3" t="str">
        <f>_xlfn.XLOOKUP(JM$1,generator!$B$2:$B$295,generator!$Q$2:$Q$295,"ARGH")</f>
        <v>98.17</v>
      </c>
      <c r="JN41" s="3" t="str">
        <f>_xlfn.XLOOKUP(JN$1,generator!$B$2:$B$295,generator!$Q$2:$Q$295,"ARGH")</f>
        <v>98.17</v>
      </c>
      <c r="JO41" s="3" t="str">
        <f>_xlfn.XLOOKUP(JO$1,generator!$B$2:$B$295,generator!$Q$2:$Q$295,"ARGH")</f>
        <v>98.17</v>
      </c>
      <c r="JP41" s="3" t="str">
        <f>_xlfn.XLOOKUP(JP$1,generator!$B$2:$B$295,generator!$Q$2:$Q$295,"ARGH")</f>
        <v>47.53</v>
      </c>
      <c r="JQ41" s="3" t="str">
        <f>_xlfn.XLOOKUP(JQ$1,generator!$B$2:$B$295,generator!$Q$2:$Q$295,"ARGH")</f>
        <v>108.86</v>
      </c>
      <c r="JR41" s="3" t="str">
        <f>_xlfn.XLOOKUP(JR$1,generator!$B$2:$B$295,generator!$Q$2:$Q$295,"ARGH")</f>
        <v>83.15</v>
      </c>
      <c r="JS41" s="3" t="str">
        <f>_xlfn.XLOOKUP(JS$1,generator!$B$2:$B$295,generator!$Q$2:$Q$295,"ARGH")</f>
        <v>83.15</v>
      </c>
      <c r="JT41" s="3" t="str">
        <f>_xlfn.XLOOKUP(JT$1,generator!$B$2:$B$295,generator!$Q$2:$Q$295,"ARGH")</f>
        <v>108.86</v>
      </c>
      <c r="JU41" s="3">
        <f>_xlfn.XLOOKUP(JU$1,generator!$B$2:$B$295,generator!$Q$2:$Q$295,"ARGH")</f>
        <v>0</v>
      </c>
      <c r="JV41" s="3" t="str">
        <f>_xlfn.XLOOKUP(JV$1,generator!$B$2:$B$295,generator!$Q$2:$Q$295,"ARGH")</f>
        <v>77.63</v>
      </c>
      <c r="JW41" s="3" t="str">
        <f>_xlfn.XLOOKUP(JW$1,generator!$B$2:$B$295,generator!$Q$2:$Q$295,"ARGH")</f>
        <v>77.64</v>
      </c>
      <c r="JX41" s="3" t="str">
        <f>_xlfn.XLOOKUP(JX$1,generator!$B$2:$B$295,generator!$Q$2:$Q$295,"ARGH")</f>
        <v>331.49</v>
      </c>
      <c r="JY41" s="3">
        <f>_xlfn.XLOOKUP(JY$1,generator!$B$2:$B$295,generator!$Q$2:$Q$295,"ARGH")</f>
        <v>7000</v>
      </c>
      <c r="JZ41" s="3">
        <f>_xlfn.XLOOKUP(JZ$1,generator!$B$2:$B$295,generator!$Q$2:$Q$295,"ARGH")</f>
        <v>0</v>
      </c>
      <c r="KA41" s="3">
        <f>_xlfn.XLOOKUP(KA$1,generator!$B$2:$B$295,generator!$Q$2:$Q$295,"ARGH")</f>
        <v>0</v>
      </c>
      <c r="KB41" s="3">
        <f>_xlfn.XLOOKUP(KB$1,generator!$B$2:$B$295,generator!$Q$2:$Q$295,"ARGH")</f>
        <v>0</v>
      </c>
      <c r="KC41" s="3">
        <f>_xlfn.XLOOKUP(KC$1,generator!$B$2:$B$295,generator!$Q$2:$Q$295,"ARGH")</f>
        <v>0</v>
      </c>
    </row>
    <row r="42" spans="1:289" x14ac:dyDescent="0.3">
      <c r="A42" s="4" t="s">
        <v>3037</v>
      </c>
      <c r="B42" s="3">
        <v>15000</v>
      </c>
      <c r="C42" s="3">
        <v>15000</v>
      </c>
      <c r="D42" s="3">
        <v>15000</v>
      </c>
      <c r="E42" s="3">
        <f>_xlfn.XLOOKUP(E$1,generator!$B$2:$B$295,generator!$Q$2:$Q$295,"ARGH")</f>
        <v>9000</v>
      </c>
      <c r="F42" s="3">
        <f>_xlfn.XLOOKUP(F$1,generator!$B$2:$B$295,generator!$Q$2:$Q$295,"ARGH")</f>
        <v>9000</v>
      </c>
      <c r="G42" s="3">
        <f>_xlfn.XLOOKUP(G$1,generator!$B$2:$B$295,generator!$Q$2:$Q$295,"ARGH")</f>
        <v>9000</v>
      </c>
      <c r="H42" s="3">
        <f>_xlfn.XLOOKUP(H$1,generator!$B$2:$B$295,generator!$Q$2:$Q$295,"ARGH")</f>
        <v>9000</v>
      </c>
      <c r="I42" s="3">
        <f>_xlfn.XLOOKUP(I$1,generator!$B$2:$B$295,generator!$Q$2:$Q$295,"ARGH")</f>
        <v>9000</v>
      </c>
      <c r="J42" s="3">
        <f>_xlfn.XLOOKUP(J$1,generator!$B$2:$B$295,generator!$Q$2:$Q$295,"ARGH")</f>
        <v>9000</v>
      </c>
      <c r="K42" s="3">
        <f>_xlfn.XLOOKUP(K$1,generator!$B$2:$B$295,generator!$Q$2:$Q$295,"ARGH")</f>
        <v>9000</v>
      </c>
      <c r="L42" s="3">
        <f>_xlfn.XLOOKUP(L$1,generator!$B$2:$B$295,generator!$Q$2:$Q$295,"ARGH")</f>
        <v>9000</v>
      </c>
      <c r="M42" s="3">
        <f>_xlfn.XLOOKUP(M$1,generator!$B$2:$B$295,generator!$Q$2:$Q$295,"ARGH")</f>
        <v>9000</v>
      </c>
      <c r="N42" s="3">
        <f>_xlfn.XLOOKUP(N$1,generator!$B$2:$B$295,generator!$Q$2:$Q$295,"ARGH")</f>
        <v>9000</v>
      </c>
      <c r="O42" s="3">
        <f>_xlfn.XLOOKUP(O$1,generator!$B$2:$B$295,generator!$Q$2:$Q$295,"ARGH")</f>
        <v>9000</v>
      </c>
      <c r="P42" s="3">
        <f>_xlfn.XLOOKUP(P$1,generator!$B$2:$B$295,generator!$Q$2:$Q$295,"ARGH")</f>
        <v>9000</v>
      </c>
      <c r="Q42" s="3">
        <f>_xlfn.XLOOKUP(Q$1,generator!$B$2:$B$295,generator!$Q$2:$Q$295,"ARGH")</f>
        <v>9000</v>
      </c>
      <c r="R42" s="3">
        <f>_xlfn.XLOOKUP(R$1,generator!$B$2:$B$295,generator!$Q$2:$Q$295,"ARGH")</f>
        <v>9000</v>
      </c>
      <c r="S42" s="3">
        <f>_xlfn.XLOOKUP(S$1,generator!$B$2:$B$295,generator!$Q$2:$Q$295,"ARGH")</f>
        <v>9000</v>
      </c>
      <c r="T42" s="3">
        <f>_xlfn.XLOOKUP(T$1,generator!$B$2:$B$295,generator!$Q$2:$Q$295,"ARGH")</f>
        <v>9000</v>
      </c>
      <c r="U42" s="3">
        <f>_xlfn.XLOOKUP(U$1,generator!$B$2:$B$295,generator!$Q$2:$Q$295,"ARGH")</f>
        <v>9000</v>
      </c>
      <c r="V42" s="3">
        <f>_xlfn.XLOOKUP(V$1,generator!$B$2:$B$295,generator!$Q$2:$Q$295,"ARGH")</f>
        <v>9000</v>
      </c>
      <c r="W42" s="3">
        <f>_xlfn.XLOOKUP(W$1,generator!$B$2:$B$295,generator!$Q$2:$Q$295,"ARGH")</f>
        <v>9000</v>
      </c>
      <c r="X42" s="3">
        <f>_xlfn.XLOOKUP(X$1,generator!$B$2:$B$295,generator!$Q$2:$Q$295,"ARGH")</f>
        <v>9000</v>
      </c>
      <c r="Y42" s="3">
        <f>_xlfn.XLOOKUP(Y$1,generator!$B$2:$B$295,generator!$Q$2:$Q$295,"ARGH")</f>
        <v>9000</v>
      </c>
      <c r="Z42" s="3">
        <f>_xlfn.XLOOKUP(Z$1,generator!$B$2:$B$295,generator!$Q$2:$Q$295,"ARGH")</f>
        <v>9000</v>
      </c>
      <c r="AA42" s="3">
        <f>_xlfn.XLOOKUP(AA$1,generator!$B$2:$B$295,generator!$Q$2:$Q$295,"ARGH")</f>
        <v>9000</v>
      </c>
      <c r="AB42" s="3">
        <f>_xlfn.XLOOKUP(AB$1,generator!$B$2:$B$295,generator!$Q$2:$Q$295,"ARGH")</f>
        <v>9000</v>
      </c>
      <c r="AC42" s="3">
        <f>_xlfn.XLOOKUP(AC$1,generator!$B$2:$B$295,generator!$Q$2:$Q$295,"ARGH")</f>
        <v>9000</v>
      </c>
      <c r="AD42" s="3">
        <f>_xlfn.XLOOKUP(AD$1,generator!$B$2:$B$295,generator!$Q$2:$Q$295,"ARGH")</f>
        <v>9000</v>
      </c>
      <c r="AE42" s="3">
        <f>_xlfn.XLOOKUP(AE$1,generator!$B$2:$B$295,generator!$Q$2:$Q$295,"ARGH")</f>
        <v>9000</v>
      </c>
      <c r="AF42" s="3">
        <f>_xlfn.XLOOKUP(AF$1,generator!$B$2:$B$295,generator!$Q$2:$Q$295,"ARGH")</f>
        <v>9000</v>
      </c>
      <c r="AG42" s="3">
        <f>_xlfn.XLOOKUP(AG$1,generator!$B$2:$B$295,generator!$Q$2:$Q$295,"ARGH")</f>
        <v>9000</v>
      </c>
      <c r="AH42" s="3">
        <f>_xlfn.XLOOKUP(AH$1,generator!$B$2:$B$295,generator!$Q$2:$Q$295,"ARGH")</f>
        <v>9000</v>
      </c>
      <c r="AI42" s="3">
        <f>_xlfn.XLOOKUP(AI$1,generator!$B$2:$B$295,generator!$Q$2:$Q$295,"ARGH")</f>
        <v>9000</v>
      </c>
      <c r="AJ42" s="3">
        <f>_xlfn.XLOOKUP(AJ$1,generator!$B$2:$B$295,generator!$Q$2:$Q$295,"ARGH")</f>
        <v>9000</v>
      </c>
      <c r="AK42" s="3">
        <f>_xlfn.XLOOKUP(AK$1,generator!$B$2:$B$295,generator!$Q$2:$Q$295,"ARGH")</f>
        <v>9000</v>
      </c>
      <c r="AL42" s="3">
        <f>_xlfn.XLOOKUP(AL$1,generator!$B$2:$B$295,generator!$Q$2:$Q$295,"ARGH")</f>
        <v>9000</v>
      </c>
      <c r="AM42" s="3">
        <f>_xlfn.XLOOKUP(AM$1,generator!$B$2:$B$295,generator!$Q$2:$Q$295,"ARGH")</f>
        <v>9000</v>
      </c>
      <c r="AN42" s="3">
        <f>_xlfn.XLOOKUP(AN$1,generator!$B$2:$B$295,generator!$Q$2:$Q$295,"ARGH")</f>
        <v>9000</v>
      </c>
      <c r="AO42" s="3">
        <f>_xlfn.XLOOKUP(AO$1,generator!$B$2:$B$295,generator!$Q$2:$Q$295,"ARGH")</f>
        <v>9000</v>
      </c>
      <c r="AP42" s="3">
        <f>_xlfn.XLOOKUP(AP$1,generator!$B$2:$B$295,generator!$Q$2:$Q$295,"ARGH")</f>
        <v>9000</v>
      </c>
      <c r="AQ42" s="3">
        <f>_xlfn.XLOOKUP(AQ$1,generator!$B$2:$B$295,generator!$Q$2:$Q$295,"ARGH")</f>
        <v>9000</v>
      </c>
      <c r="AR42" s="3">
        <f>_xlfn.XLOOKUP(AR$1,generator!$B$2:$B$295,generator!$Q$2:$Q$295,"ARGH")</f>
        <v>9000</v>
      </c>
      <c r="AS42" s="3">
        <f>_xlfn.XLOOKUP(AS$1,generator!$B$2:$B$295,generator!$Q$2:$Q$295,"ARGH")</f>
        <v>9000</v>
      </c>
      <c r="AT42" s="3">
        <f>_xlfn.XLOOKUP(AT$1,generator!$B$2:$B$295,generator!$Q$2:$Q$295,"ARGH")</f>
        <v>9000</v>
      </c>
      <c r="AU42" s="3">
        <f>_xlfn.XLOOKUP(AU$1,generator!$B$2:$B$295,generator!$Q$2:$Q$295,"ARGH")</f>
        <v>9000</v>
      </c>
      <c r="AV42" s="3">
        <f>_xlfn.XLOOKUP(AV$1,generator!$B$2:$B$295,generator!$Q$2:$Q$295,"ARGH")</f>
        <v>9000</v>
      </c>
      <c r="AW42" s="3">
        <f>_xlfn.XLOOKUP(AW$1,generator!$B$2:$B$295,generator!$Q$2:$Q$295,"ARGH")</f>
        <v>9000</v>
      </c>
      <c r="AX42" s="3">
        <f>_xlfn.XLOOKUP(AX$1,generator!$B$2:$B$295,generator!$Q$2:$Q$295,"ARGH")</f>
        <v>9000</v>
      </c>
      <c r="AY42" s="3">
        <f>_xlfn.XLOOKUP(AY$1,generator!$B$2:$B$295,generator!$Q$2:$Q$295,"ARGH")</f>
        <v>9000</v>
      </c>
      <c r="AZ42" s="3">
        <f>_xlfn.XLOOKUP(AZ$1,generator!$B$2:$B$295,generator!$Q$2:$Q$295,"ARGH")</f>
        <v>9000</v>
      </c>
      <c r="BA42" s="3">
        <f>_xlfn.XLOOKUP(BA$1,generator!$B$2:$B$295,generator!$Q$2:$Q$295,"ARGH")</f>
        <v>9000</v>
      </c>
      <c r="BB42" s="3">
        <f>_xlfn.XLOOKUP(BB$1,generator!$B$2:$B$295,generator!$Q$2:$Q$295,"ARGH")</f>
        <v>9000</v>
      </c>
      <c r="BC42" s="3">
        <f>_xlfn.XLOOKUP(BC$1,generator!$B$2:$B$295,generator!$Q$2:$Q$295,"ARGH")</f>
        <v>9000</v>
      </c>
      <c r="BD42" s="3">
        <f>_xlfn.XLOOKUP(BD$1,generator!$B$2:$B$295,generator!$Q$2:$Q$295,"ARGH")</f>
        <v>9000</v>
      </c>
      <c r="BE42" s="3">
        <f>_xlfn.XLOOKUP(BE$1,generator!$B$2:$B$295,generator!$Q$2:$Q$295,"ARGH")</f>
        <v>9000</v>
      </c>
      <c r="BF42" s="3">
        <f>_xlfn.XLOOKUP(BF$1,generator!$B$2:$B$295,generator!$Q$2:$Q$295,"ARGH")</f>
        <v>9000</v>
      </c>
      <c r="BG42" s="3">
        <f>_xlfn.XLOOKUP(BG$1,generator!$B$2:$B$295,generator!$Q$2:$Q$295,"ARGH")</f>
        <v>9000</v>
      </c>
      <c r="BH42" s="3">
        <f>_xlfn.XLOOKUP(BH$1,generator!$B$2:$B$295,generator!$Q$2:$Q$295,"ARGH")</f>
        <v>9000</v>
      </c>
      <c r="BI42" s="3">
        <f>_xlfn.XLOOKUP(BI$1,generator!$B$2:$B$295,generator!$Q$2:$Q$295,"ARGH")</f>
        <v>9000</v>
      </c>
      <c r="BJ42" s="3">
        <f>_xlfn.XLOOKUP(BJ$1,generator!$B$2:$B$295,generator!$Q$2:$Q$295,"ARGH")</f>
        <v>9000</v>
      </c>
      <c r="BK42" s="3">
        <f>_xlfn.XLOOKUP(BK$1,generator!$B$2:$B$295,generator!$Q$2:$Q$295,"ARGH")</f>
        <v>9000</v>
      </c>
      <c r="BL42" s="3">
        <f>_xlfn.XLOOKUP(BL$1,generator!$B$2:$B$295,generator!$Q$2:$Q$295,"ARGH")</f>
        <v>9000</v>
      </c>
      <c r="BM42" s="3">
        <f>_xlfn.XLOOKUP(BM$1,generator!$B$2:$B$295,generator!$Q$2:$Q$295,"ARGH")</f>
        <v>9000</v>
      </c>
      <c r="BN42" s="3">
        <f>_xlfn.XLOOKUP(BN$1,generator!$B$2:$B$295,generator!$Q$2:$Q$295,"ARGH")</f>
        <v>9000</v>
      </c>
      <c r="BO42" s="3">
        <f>_xlfn.XLOOKUP(BO$1,generator!$B$2:$B$295,generator!$Q$2:$Q$295,"ARGH")</f>
        <v>9000</v>
      </c>
      <c r="BP42" s="3">
        <f>_xlfn.XLOOKUP(BP$1,generator!$B$2:$B$295,generator!$Q$2:$Q$295,"ARGH")</f>
        <v>9000</v>
      </c>
      <c r="BQ42" s="3">
        <f>_xlfn.XLOOKUP(BQ$1,generator!$B$2:$B$295,generator!$Q$2:$Q$295,"ARGH")</f>
        <v>9000</v>
      </c>
      <c r="BR42" s="3">
        <f>_xlfn.XLOOKUP(BR$1,generator!$B$2:$B$295,generator!$Q$2:$Q$295,"ARGH")</f>
        <v>9000</v>
      </c>
      <c r="BS42" s="3">
        <f>_xlfn.XLOOKUP(BS$1,generator!$B$2:$B$295,generator!$Q$2:$Q$295,"ARGH")</f>
        <v>9000</v>
      </c>
      <c r="BT42" s="3">
        <f>_xlfn.XLOOKUP(BT$1,generator!$B$2:$B$295,generator!$Q$2:$Q$295,"ARGH")</f>
        <v>9000</v>
      </c>
      <c r="BU42" s="3">
        <f>_xlfn.XLOOKUP(BU$1,generator!$B$2:$B$295,generator!$Q$2:$Q$295,"ARGH")</f>
        <v>9000</v>
      </c>
      <c r="BV42" s="3">
        <f>_xlfn.XLOOKUP(BV$1,generator!$B$2:$B$295,generator!$Q$2:$Q$295,"ARGH")</f>
        <v>9000</v>
      </c>
      <c r="BW42" s="3">
        <f>_xlfn.XLOOKUP(BW$1,generator!$B$2:$B$295,generator!$Q$2:$Q$295,"ARGH")</f>
        <v>9000</v>
      </c>
      <c r="BX42" s="3">
        <f>_xlfn.XLOOKUP(BX$1,generator!$B$2:$B$295,generator!$Q$2:$Q$295,"ARGH")</f>
        <v>9000</v>
      </c>
      <c r="BY42" s="3">
        <f>_xlfn.XLOOKUP(BY$1,generator!$B$2:$B$295,generator!$Q$2:$Q$295,"ARGH")</f>
        <v>9000</v>
      </c>
      <c r="BZ42" s="3">
        <f>_xlfn.XLOOKUP(BZ$1,generator!$B$2:$B$295,generator!$Q$2:$Q$295,"ARGH")</f>
        <v>9000</v>
      </c>
      <c r="CA42" s="3">
        <f>_xlfn.XLOOKUP(CA$1,generator!$B$2:$B$295,generator!$Q$2:$Q$295,"ARGH")</f>
        <v>9000</v>
      </c>
      <c r="CB42" s="3">
        <f>_xlfn.XLOOKUP(CB$1,generator!$B$2:$B$295,generator!$Q$2:$Q$295,"ARGH")</f>
        <v>9000</v>
      </c>
      <c r="CC42" s="3">
        <f>_xlfn.XLOOKUP(CC$1,generator!$B$2:$B$295,generator!$Q$2:$Q$295,"ARGH")</f>
        <v>9000</v>
      </c>
      <c r="CD42" s="3">
        <f>_xlfn.XLOOKUP(CD$1,generator!$B$2:$B$295,generator!$Q$2:$Q$295,"ARGH")</f>
        <v>9000</v>
      </c>
      <c r="CE42" s="3">
        <f>_xlfn.XLOOKUP(CE$1,generator!$B$2:$B$295,generator!$Q$2:$Q$295,"ARGH")</f>
        <v>9000</v>
      </c>
      <c r="CF42" s="3">
        <f>_xlfn.XLOOKUP(CF$1,generator!$B$2:$B$295,generator!$Q$2:$Q$295,"ARGH")</f>
        <v>9000</v>
      </c>
      <c r="CG42" s="3">
        <f>_xlfn.XLOOKUP(CG$1,generator!$B$2:$B$295,generator!$Q$2:$Q$295,"ARGH")</f>
        <v>9000</v>
      </c>
      <c r="CH42" s="3">
        <f>_xlfn.XLOOKUP(CH$1,generator!$B$2:$B$295,generator!$Q$2:$Q$295,"ARGH")</f>
        <v>9000</v>
      </c>
      <c r="CI42" s="3">
        <f>_xlfn.XLOOKUP(CI$1,generator!$B$2:$B$295,generator!$Q$2:$Q$295,"ARGH")</f>
        <v>9000</v>
      </c>
      <c r="CJ42" s="3">
        <f>_xlfn.XLOOKUP(CJ$1,generator!$B$2:$B$295,generator!$Q$2:$Q$295,"ARGH")</f>
        <v>9000</v>
      </c>
      <c r="CK42" s="3">
        <f>_xlfn.XLOOKUP(CK$1,generator!$B$2:$B$295,generator!$Q$2:$Q$295,"ARGH")</f>
        <v>9000</v>
      </c>
      <c r="CL42" s="3">
        <f>_xlfn.XLOOKUP(CL$1,generator!$B$2:$B$295,generator!$Q$2:$Q$295,"ARGH")</f>
        <v>9000</v>
      </c>
      <c r="CM42" s="3">
        <f>_xlfn.XLOOKUP(CM$1,generator!$B$2:$B$295,generator!$Q$2:$Q$295,"ARGH")</f>
        <v>9000</v>
      </c>
      <c r="CN42" s="3">
        <f>_xlfn.XLOOKUP(CN$1,generator!$B$2:$B$295,generator!$Q$2:$Q$295,"ARGH")</f>
        <v>9000</v>
      </c>
      <c r="CO42" s="3">
        <f>_xlfn.XLOOKUP(CO$1,generator!$B$2:$B$295,generator!$Q$2:$Q$295,"ARGH")</f>
        <v>9000</v>
      </c>
      <c r="CP42" s="3">
        <f>_xlfn.XLOOKUP(CP$1,generator!$B$2:$B$295,generator!$Q$2:$Q$295,"ARGH")</f>
        <v>9000</v>
      </c>
      <c r="CQ42" s="3">
        <f>_xlfn.XLOOKUP(CQ$1,generator!$B$2:$B$295,generator!$Q$2:$Q$295,"ARGH")</f>
        <v>9000</v>
      </c>
      <c r="CR42" s="3">
        <f>_xlfn.XLOOKUP(CR$1,generator!$B$2:$B$295,generator!$Q$2:$Q$295,"ARGH")</f>
        <v>9000</v>
      </c>
      <c r="CS42" s="3">
        <f>_xlfn.XLOOKUP(CS$1,generator!$B$2:$B$295,generator!$Q$2:$Q$295,"ARGH")</f>
        <v>9000</v>
      </c>
      <c r="CT42" s="3">
        <f>_xlfn.XLOOKUP(CT$1,generator!$B$2:$B$295,generator!$Q$2:$Q$295,"ARGH")</f>
        <v>9000</v>
      </c>
      <c r="CU42" s="3">
        <f>_xlfn.XLOOKUP(CU$1,generator!$B$2:$B$295,generator!$Q$2:$Q$295,"ARGH")</f>
        <v>9000</v>
      </c>
      <c r="CV42" s="3">
        <f>_xlfn.XLOOKUP(CV$1,generator!$B$2:$B$295,generator!$Q$2:$Q$295,"ARGH")</f>
        <v>9000</v>
      </c>
      <c r="CW42" s="3">
        <f>_xlfn.XLOOKUP(CW$1,generator!$B$2:$B$295,generator!$Q$2:$Q$295,"ARGH")</f>
        <v>9000</v>
      </c>
      <c r="CX42" s="3">
        <f>_xlfn.XLOOKUP(CX$1,generator!$B$2:$B$295,generator!$Q$2:$Q$295,"ARGH")</f>
        <v>9000</v>
      </c>
      <c r="CY42" s="3">
        <f>_xlfn.XLOOKUP(CY$1,generator!$B$2:$B$295,generator!$Q$2:$Q$295,"ARGH")</f>
        <v>9000</v>
      </c>
      <c r="CZ42" s="3">
        <f>_xlfn.XLOOKUP(CZ$1,generator!$B$2:$B$295,generator!$Q$2:$Q$295,"ARGH")</f>
        <v>9000</v>
      </c>
      <c r="DA42" s="3">
        <f>_xlfn.XLOOKUP(DA$1,generator!$B$2:$B$295,generator!$Q$2:$Q$295,"ARGH")</f>
        <v>9000</v>
      </c>
      <c r="DB42" s="3">
        <f>_xlfn.XLOOKUP(DB$1,generator!$B$2:$B$295,generator!$Q$2:$Q$295,"ARGH")</f>
        <v>9000</v>
      </c>
      <c r="DC42" s="3">
        <f>_xlfn.XLOOKUP(DC$1,generator!$B$2:$B$295,generator!$Q$2:$Q$295,"ARGH")</f>
        <v>9000</v>
      </c>
      <c r="DD42" s="3">
        <f>_xlfn.XLOOKUP(DD$1,generator!$B$2:$B$295,generator!$Q$2:$Q$295,"ARGH")</f>
        <v>9000</v>
      </c>
      <c r="DE42" s="3">
        <f>_xlfn.XLOOKUP(DE$1,generator!$B$2:$B$295,generator!$Q$2:$Q$295,"ARGH")</f>
        <v>9000</v>
      </c>
      <c r="DF42" s="3">
        <f>_xlfn.XLOOKUP(DF$1,generator!$B$2:$B$295,generator!$Q$2:$Q$295,"ARGH")</f>
        <v>9000</v>
      </c>
      <c r="DG42" s="3">
        <f>_xlfn.XLOOKUP(DG$1,generator!$B$2:$B$295,generator!$Q$2:$Q$295,"ARGH")</f>
        <v>9000</v>
      </c>
      <c r="DH42" s="3">
        <f>_xlfn.XLOOKUP(DH$1,generator!$B$2:$B$295,generator!$Q$2:$Q$295,"ARGH")</f>
        <v>9000</v>
      </c>
      <c r="DI42" s="3">
        <f>_xlfn.XLOOKUP(DI$1,generator!$B$2:$B$295,generator!$Q$2:$Q$295,"ARGH")</f>
        <v>9000</v>
      </c>
      <c r="DJ42" s="3">
        <f>_xlfn.XLOOKUP(DJ$1,generator!$B$2:$B$295,generator!$Q$2:$Q$295,"ARGH")</f>
        <v>9000</v>
      </c>
      <c r="DK42" s="3">
        <f>_xlfn.XLOOKUP(DK$1,generator!$B$2:$B$295,generator!$Q$2:$Q$295,"ARGH")</f>
        <v>9000</v>
      </c>
      <c r="DL42" s="3">
        <f>_xlfn.XLOOKUP(DL$1,generator!$B$2:$B$295,generator!$Q$2:$Q$295,"ARGH")</f>
        <v>9000</v>
      </c>
      <c r="DM42" s="3">
        <f>_xlfn.XLOOKUP(DM$1,generator!$B$2:$B$295,generator!$Q$2:$Q$295,"ARGH")</f>
        <v>9000</v>
      </c>
      <c r="DN42" s="3">
        <f>_xlfn.XLOOKUP(DN$1,generator!$B$2:$B$295,generator!$Q$2:$Q$295,"ARGH")</f>
        <v>9000</v>
      </c>
      <c r="DO42" s="3">
        <f>_xlfn.XLOOKUP(DO$1,generator!$B$2:$B$295,generator!$Q$2:$Q$295,"ARGH")</f>
        <v>9000</v>
      </c>
      <c r="DP42" s="3">
        <f>_xlfn.XLOOKUP(DP$1,generator!$B$2:$B$295,generator!$Q$2:$Q$295,"ARGH")</f>
        <v>9000</v>
      </c>
      <c r="DQ42" s="3">
        <f>_xlfn.XLOOKUP(DQ$1,generator!$B$2:$B$295,generator!$Q$2:$Q$295,"ARGH")</f>
        <v>9000</v>
      </c>
      <c r="DR42" s="3">
        <f>_xlfn.XLOOKUP(DR$1,generator!$B$2:$B$295,generator!$Q$2:$Q$295,"ARGH")</f>
        <v>9000</v>
      </c>
      <c r="DS42" s="3">
        <f>_xlfn.XLOOKUP(DS$1,generator!$B$2:$B$295,generator!$Q$2:$Q$295,"ARGH")</f>
        <v>9000</v>
      </c>
      <c r="DT42" s="3">
        <f>_xlfn.XLOOKUP(DT$1,generator!$B$2:$B$295,generator!$Q$2:$Q$295,"ARGH")</f>
        <v>9000</v>
      </c>
      <c r="DU42" s="3">
        <f>_xlfn.XLOOKUP(DU$1,generator!$B$2:$B$295,generator!$Q$2:$Q$295,"ARGH")</f>
        <v>9000</v>
      </c>
      <c r="DV42" s="3">
        <f>_xlfn.XLOOKUP(DV$1,generator!$B$2:$B$295,generator!$Q$2:$Q$295,"ARGH")</f>
        <v>9000</v>
      </c>
      <c r="DW42" s="3">
        <f>_xlfn.XLOOKUP(DW$1,generator!$B$2:$B$295,generator!$Q$2:$Q$295,"ARGH")</f>
        <v>9000</v>
      </c>
      <c r="DX42" s="3">
        <f>_xlfn.XLOOKUP(DX$1,generator!$B$2:$B$295,generator!$Q$2:$Q$295,"ARGH")</f>
        <v>9000</v>
      </c>
      <c r="DY42" s="3">
        <f>_xlfn.XLOOKUP(DY$1,generator!$B$2:$B$295,generator!$Q$2:$Q$295,"ARGH")</f>
        <v>9000</v>
      </c>
      <c r="DZ42" s="3">
        <f>_xlfn.XLOOKUP(DZ$1,generator!$B$2:$B$295,generator!$Q$2:$Q$295,"ARGH")</f>
        <v>9000</v>
      </c>
      <c r="EA42" s="3">
        <f>_xlfn.XLOOKUP(EA$1,generator!$B$2:$B$295,generator!$Q$2:$Q$295,"ARGH")</f>
        <v>9000</v>
      </c>
      <c r="EB42" s="3">
        <f>_xlfn.XLOOKUP(EB$1,generator!$B$2:$B$295,generator!$Q$2:$Q$295,"ARGH")</f>
        <v>9000</v>
      </c>
      <c r="EC42" s="3">
        <f>_xlfn.XLOOKUP(EC$1,generator!$B$2:$B$295,generator!$Q$2:$Q$295,"ARGH")</f>
        <v>9000</v>
      </c>
      <c r="ED42" s="3">
        <f>_xlfn.XLOOKUP(ED$1,generator!$B$2:$B$295,generator!$Q$2:$Q$295,"ARGH")</f>
        <v>9000</v>
      </c>
      <c r="EE42" s="3">
        <f>_xlfn.XLOOKUP(EE$1,generator!$B$2:$B$295,generator!$Q$2:$Q$295,"ARGH")</f>
        <v>9000</v>
      </c>
      <c r="EF42" s="3">
        <f>_xlfn.XLOOKUP(EF$1,generator!$B$2:$B$295,generator!$Q$2:$Q$295,"ARGH")</f>
        <v>9000</v>
      </c>
      <c r="EG42" s="3">
        <f>_xlfn.XLOOKUP(EG$1,generator!$B$2:$B$295,generator!$Q$2:$Q$295,"ARGH")</f>
        <v>9000</v>
      </c>
      <c r="EH42" s="3">
        <f>_xlfn.XLOOKUP(EH$1,generator!$B$2:$B$295,generator!$Q$2:$Q$295,"ARGH")</f>
        <v>9000</v>
      </c>
      <c r="EI42" s="3">
        <f>_xlfn.XLOOKUP(EI$1,generator!$B$2:$B$295,generator!$Q$2:$Q$295,"ARGH")</f>
        <v>9000</v>
      </c>
      <c r="EJ42" s="3">
        <f>_xlfn.XLOOKUP(EJ$1,generator!$B$2:$B$295,generator!$Q$2:$Q$295,"ARGH")</f>
        <v>9000</v>
      </c>
      <c r="EK42" s="3">
        <f>_xlfn.XLOOKUP(EK$1,generator!$B$2:$B$295,generator!$Q$2:$Q$295,"ARGH")</f>
        <v>9000</v>
      </c>
      <c r="EL42" s="3">
        <f>_xlfn.XLOOKUP(EL$1,generator!$B$2:$B$295,generator!$Q$2:$Q$295,"ARGH")</f>
        <v>9000</v>
      </c>
      <c r="EM42" s="3">
        <f>_xlfn.XLOOKUP(EM$1,generator!$B$2:$B$295,generator!$Q$2:$Q$295,"ARGH")</f>
        <v>9000</v>
      </c>
      <c r="EN42" s="3">
        <f>_xlfn.XLOOKUP(EN$1,generator!$B$2:$B$295,generator!$Q$2:$Q$295,"ARGH")</f>
        <v>9000</v>
      </c>
      <c r="EO42" s="3">
        <f>_xlfn.XLOOKUP(EO$1,generator!$B$2:$B$295,generator!$Q$2:$Q$295,"ARGH")</f>
        <v>9000</v>
      </c>
      <c r="EP42" s="3">
        <f>_xlfn.XLOOKUP(EP$1,generator!$B$2:$B$295,generator!$Q$2:$Q$295,"ARGH")</f>
        <v>9000</v>
      </c>
      <c r="EQ42" s="3">
        <f>_xlfn.XLOOKUP(EQ$1,generator!$B$2:$B$295,generator!$Q$2:$Q$295,"ARGH")</f>
        <v>9000</v>
      </c>
      <c r="ER42" s="3">
        <f>_xlfn.XLOOKUP(ER$1,generator!$B$2:$B$295,generator!$Q$2:$Q$295,"ARGH")</f>
        <v>9000</v>
      </c>
      <c r="ES42" s="3">
        <f>_xlfn.XLOOKUP(ES$1,generator!$B$2:$B$295,generator!$Q$2:$Q$295,"ARGH")</f>
        <v>9000</v>
      </c>
      <c r="ET42" s="3">
        <f>_xlfn.XLOOKUP(ET$1,generator!$B$2:$B$295,generator!$Q$2:$Q$295,"ARGH")</f>
        <v>9000</v>
      </c>
      <c r="EU42" s="3">
        <f>_xlfn.XLOOKUP(EU$1,generator!$B$2:$B$295,generator!$Q$2:$Q$295,"ARGH")</f>
        <v>9000</v>
      </c>
      <c r="EV42" s="3">
        <f>_xlfn.XLOOKUP(EV$1,generator!$B$2:$B$295,generator!$Q$2:$Q$295,"ARGH")</f>
        <v>9000</v>
      </c>
      <c r="EW42" s="3">
        <f>_xlfn.XLOOKUP(EW$1,generator!$B$2:$B$295,generator!$Q$2:$Q$295,"ARGH")</f>
        <v>9000</v>
      </c>
      <c r="EX42" s="3">
        <f>_xlfn.XLOOKUP(EX$1,generator!$B$2:$B$295,generator!$Q$2:$Q$295,"ARGH")</f>
        <v>9000</v>
      </c>
      <c r="EY42" s="3">
        <f>_xlfn.XLOOKUP(EY$1,generator!$B$2:$B$295,generator!$Q$2:$Q$295,"ARGH")</f>
        <v>9000</v>
      </c>
      <c r="EZ42" s="3">
        <f>_xlfn.XLOOKUP(EZ$1,generator!$B$2:$B$295,generator!$Q$2:$Q$295,"ARGH")</f>
        <v>9000</v>
      </c>
      <c r="FA42" s="3">
        <f>_xlfn.XLOOKUP(FA$1,generator!$B$2:$B$295,generator!$Q$2:$Q$295,"ARGH")</f>
        <v>9000</v>
      </c>
      <c r="FB42" s="3">
        <f>_xlfn.XLOOKUP(FB$1,generator!$B$2:$B$295,generator!$Q$2:$Q$295,"ARGH")</f>
        <v>9000</v>
      </c>
      <c r="FC42" s="3">
        <f>_xlfn.XLOOKUP(FC$1,generator!$B$2:$B$295,generator!$Q$2:$Q$295,"ARGH")</f>
        <v>9000</v>
      </c>
      <c r="FD42" s="3">
        <f>_xlfn.XLOOKUP(FD$1,generator!$B$2:$B$295,generator!$Q$2:$Q$295,"ARGH")</f>
        <v>9000</v>
      </c>
      <c r="FE42" s="3">
        <f>_xlfn.XLOOKUP(FE$1,generator!$B$2:$B$295,generator!$Q$2:$Q$295,"ARGH")</f>
        <v>9000</v>
      </c>
      <c r="FF42" s="3">
        <f>_xlfn.XLOOKUP(FF$1,generator!$B$2:$B$295,generator!$Q$2:$Q$295,"ARGH")</f>
        <v>9000</v>
      </c>
      <c r="FG42" s="3">
        <f>_xlfn.XLOOKUP(FG$1,generator!$B$2:$B$295,generator!$Q$2:$Q$295,"ARGH")</f>
        <v>9000</v>
      </c>
      <c r="FH42" s="3">
        <f>_xlfn.XLOOKUP(FH$1,generator!$B$2:$B$295,generator!$Q$2:$Q$295,"ARGH")</f>
        <v>9000</v>
      </c>
      <c r="FI42" s="3">
        <f>_xlfn.XLOOKUP(FI$1,generator!$B$2:$B$295,generator!$Q$2:$Q$295,"ARGH")</f>
        <v>9000</v>
      </c>
      <c r="FJ42" s="3">
        <f>_xlfn.XLOOKUP(FJ$1,generator!$B$2:$B$295,generator!$Q$2:$Q$295,"ARGH")</f>
        <v>9000</v>
      </c>
      <c r="FK42" s="3">
        <f>_xlfn.XLOOKUP(FK$1,generator!$B$2:$B$295,generator!$Q$2:$Q$295,"ARGH")</f>
        <v>9000</v>
      </c>
      <c r="FL42" s="3">
        <f>_xlfn.XLOOKUP(FL$1,generator!$B$2:$B$295,generator!$Q$2:$Q$295,"ARGH")</f>
        <v>9000</v>
      </c>
      <c r="FM42" s="3">
        <f>_xlfn.XLOOKUP(FM$1,generator!$B$2:$B$295,generator!$Q$2:$Q$295,"ARGH")</f>
        <v>9000</v>
      </c>
      <c r="FN42" s="3">
        <f>_xlfn.XLOOKUP(FN$1,generator!$B$2:$B$295,generator!$Q$2:$Q$295,"ARGH")</f>
        <v>9000</v>
      </c>
      <c r="FO42" s="3">
        <f>_xlfn.XLOOKUP(FO$1,generator!$B$2:$B$295,generator!$Q$2:$Q$295,"ARGH")</f>
        <v>9000</v>
      </c>
      <c r="FP42" s="3">
        <f>_xlfn.XLOOKUP(FP$1,generator!$B$2:$B$295,generator!$Q$2:$Q$295,"ARGH")</f>
        <v>9000</v>
      </c>
      <c r="FQ42" s="3">
        <f>_xlfn.XLOOKUP(FQ$1,generator!$B$2:$B$295,generator!$Q$2:$Q$295,"ARGH")</f>
        <v>9000</v>
      </c>
      <c r="FR42" s="3">
        <f>_xlfn.XLOOKUP(FR$1,generator!$B$2:$B$295,generator!$Q$2:$Q$295,"ARGH")</f>
        <v>9000</v>
      </c>
      <c r="FS42" s="3">
        <f>_xlfn.XLOOKUP(FS$1,generator!$B$2:$B$295,generator!$Q$2:$Q$295,"ARGH")</f>
        <v>9000</v>
      </c>
      <c r="FT42" s="3">
        <f>_xlfn.XLOOKUP(FT$1,generator!$B$2:$B$295,generator!$Q$2:$Q$295,"ARGH")</f>
        <v>9000</v>
      </c>
      <c r="FU42" s="3">
        <f>_xlfn.XLOOKUP(FU$1,generator!$B$2:$B$295,generator!$Q$2:$Q$295,"ARGH")</f>
        <v>9000</v>
      </c>
      <c r="FV42" s="3">
        <f>_xlfn.XLOOKUP(FV$1,generator!$B$2:$B$295,generator!$Q$2:$Q$295,"ARGH")</f>
        <v>9000</v>
      </c>
      <c r="FW42" s="3">
        <f>_xlfn.XLOOKUP(FW$1,generator!$B$2:$B$295,generator!$Q$2:$Q$295,"ARGH")</f>
        <v>9000</v>
      </c>
      <c r="FX42" s="3">
        <f>_xlfn.XLOOKUP(FX$1,generator!$B$2:$B$295,generator!$Q$2:$Q$295,"ARGH")</f>
        <v>9000</v>
      </c>
      <c r="FY42" s="3">
        <f>_xlfn.XLOOKUP(FY$1,generator!$B$2:$B$295,generator!$Q$2:$Q$295,"ARGH")</f>
        <v>9000</v>
      </c>
      <c r="FZ42" s="3">
        <f>_xlfn.XLOOKUP(FZ$1,generator!$B$2:$B$295,generator!$Q$2:$Q$295,"ARGH")</f>
        <v>9000</v>
      </c>
      <c r="GA42" s="3">
        <f>_xlfn.XLOOKUP(GA$1,generator!$B$2:$B$295,generator!$Q$2:$Q$295,"ARGH")</f>
        <v>9000</v>
      </c>
      <c r="GB42" s="3">
        <f>_xlfn.XLOOKUP(GB$1,generator!$B$2:$B$295,generator!$Q$2:$Q$295,"ARGH")</f>
        <v>9000</v>
      </c>
      <c r="GC42" s="3">
        <f>_xlfn.XLOOKUP(GC$1,generator!$B$2:$B$295,generator!$Q$2:$Q$295,"ARGH")</f>
        <v>9000</v>
      </c>
      <c r="GD42" s="3">
        <f>_xlfn.XLOOKUP(GD$1,generator!$B$2:$B$295,generator!$Q$2:$Q$295,"ARGH")</f>
        <v>9000</v>
      </c>
      <c r="GE42" s="3">
        <f>_xlfn.XLOOKUP(GE$1,generator!$B$2:$B$295,generator!$Q$2:$Q$295,"ARGH")</f>
        <v>9000</v>
      </c>
      <c r="GF42" s="3">
        <f>_xlfn.XLOOKUP(GF$1,generator!$B$2:$B$295,generator!$Q$2:$Q$295,"ARGH")</f>
        <v>9000</v>
      </c>
      <c r="GG42" s="3">
        <f>_xlfn.XLOOKUP(GG$1,generator!$B$2:$B$295,generator!$Q$2:$Q$295,"ARGH")</f>
        <v>9000</v>
      </c>
      <c r="GH42" s="3">
        <f>_xlfn.XLOOKUP(GH$1,generator!$B$2:$B$295,generator!$Q$2:$Q$295,"ARGH")</f>
        <v>9000</v>
      </c>
      <c r="GI42" s="3">
        <f>_xlfn.XLOOKUP(GI$1,generator!$B$2:$B$295,generator!$Q$2:$Q$295,"ARGH")</f>
        <v>9000</v>
      </c>
      <c r="GJ42" s="3">
        <f>_xlfn.XLOOKUP(GJ$1,generator!$B$2:$B$295,generator!$Q$2:$Q$295,"ARGH")</f>
        <v>9000</v>
      </c>
      <c r="GK42" s="3">
        <f>_xlfn.XLOOKUP(GK$1,generator!$B$2:$B$295,generator!$Q$2:$Q$295,"ARGH")</f>
        <v>9000</v>
      </c>
      <c r="GL42" s="3">
        <f>_xlfn.XLOOKUP(GL$1,generator!$B$2:$B$295,generator!$Q$2:$Q$295,"ARGH")</f>
        <v>9000</v>
      </c>
      <c r="GM42" s="3">
        <f>_xlfn.XLOOKUP(GM$1,generator!$B$2:$B$295,generator!$Q$2:$Q$295,"ARGH")</f>
        <v>9000</v>
      </c>
      <c r="GN42" s="3">
        <f>_xlfn.XLOOKUP(GN$1,generator!$B$2:$B$295,generator!$Q$2:$Q$295,"ARGH")</f>
        <v>9000</v>
      </c>
      <c r="GO42" s="3">
        <f>_xlfn.XLOOKUP(GO$1,generator!$B$2:$B$295,generator!$Q$2:$Q$295,"ARGH")</f>
        <v>9000</v>
      </c>
      <c r="GP42" s="3">
        <f>_xlfn.XLOOKUP(GP$1,generator!$B$2:$B$295,generator!$Q$2:$Q$295,"ARGH")</f>
        <v>9000</v>
      </c>
      <c r="GQ42" s="3">
        <f>_xlfn.XLOOKUP(GQ$1,generator!$B$2:$B$295,generator!$Q$2:$Q$295,"ARGH")</f>
        <v>9000</v>
      </c>
      <c r="GR42" s="3">
        <f>_xlfn.XLOOKUP(GR$1,generator!$B$2:$B$295,generator!$Q$2:$Q$295,"ARGH")</f>
        <v>9000</v>
      </c>
      <c r="GS42" s="3">
        <f>_xlfn.XLOOKUP(GS$1,generator!$B$2:$B$295,generator!$Q$2:$Q$295,"ARGH")</f>
        <v>9000</v>
      </c>
      <c r="GT42" s="3">
        <f>_xlfn.XLOOKUP(GT$1,generator!$B$2:$B$295,generator!$Q$2:$Q$295,"ARGH")</f>
        <v>9000</v>
      </c>
      <c r="GU42" s="3">
        <f>_xlfn.XLOOKUP(GU$1,generator!$B$2:$B$295,generator!$Q$2:$Q$295,"ARGH")</f>
        <v>9000</v>
      </c>
      <c r="GV42" s="3">
        <f>_xlfn.XLOOKUP(GV$1,generator!$B$2:$B$295,generator!$Q$2:$Q$295,"ARGH")</f>
        <v>9000</v>
      </c>
      <c r="GW42" s="3">
        <f>_xlfn.XLOOKUP(GW$1,generator!$B$2:$B$295,generator!$Q$2:$Q$295,"ARGH")</f>
        <v>9000</v>
      </c>
      <c r="GX42" s="3">
        <f>_xlfn.XLOOKUP(GX$1,generator!$B$2:$B$295,generator!$Q$2:$Q$295,"ARGH")</f>
        <v>9000</v>
      </c>
      <c r="GY42" s="3">
        <f>_xlfn.XLOOKUP(GY$1,generator!$B$2:$B$295,generator!$Q$2:$Q$295,"ARGH")</f>
        <v>9000</v>
      </c>
      <c r="GZ42" s="3">
        <f>_xlfn.XLOOKUP(GZ$1,generator!$B$2:$B$295,generator!$Q$2:$Q$295,"ARGH")</f>
        <v>9000</v>
      </c>
      <c r="HA42" s="3">
        <f>_xlfn.XLOOKUP(HA$1,generator!$B$2:$B$295,generator!$Q$2:$Q$295,"ARGH")</f>
        <v>9000</v>
      </c>
      <c r="HB42" s="3">
        <f>_xlfn.XLOOKUP(HB$1,generator!$B$2:$B$295,generator!$Q$2:$Q$295,"ARGH")</f>
        <v>9000</v>
      </c>
      <c r="HC42" s="3">
        <f>_xlfn.XLOOKUP(HC$1,generator!$B$2:$B$295,generator!$Q$2:$Q$295,"ARGH")</f>
        <v>9000</v>
      </c>
      <c r="HD42" s="3">
        <f>_xlfn.XLOOKUP(HD$1,generator!$B$2:$B$295,generator!$Q$2:$Q$295,"ARGH")</f>
        <v>9000</v>
      </c>
      <c r="HE42" s="3">
        <f>_xlfn.XLOOKUP(HE$1,generator!$B$2:$B$295,generator!$Q$2:$Q$295,"ARGH")</f>
        <v>8000</v>
      </c>
      <c r="HF42" s="3" t="str">
        <f>_xlfn.XLOOKUP(HF$1,generator!$B$2:$B$295,generator!$Q$2:$Q$295,"ARGH")</f>
        <v>143</v>
      </c>
      <c r="HG42" s="3" t="str">
        <f>_xlfn.XLOOKUP(HG$1,generator!$B$2:$B$295,generator!$Q$2:$Q$295,"ARGH")</f>
        <v>143</v>
      </c>
      <c r="HH42" s="3" t="str">
        <f>_xlfn.XLOOKUP(HH$1,generator!$B$2:$B$295,generator!$Q$2:$Q$295,"ARGH")</f>
        <v>143</v>
      </c>
      <c r="HI42" s="3" t="str">
        <f>_xlfn.XLOOKUP(HI$1,generator!$B$2:$B$295,generator!$Q$2:$Q$295,"ARGH")</f>
        <v>246.74</v>
      </c>
      <c r="HJ42" s="3" t="str">
        <f>_xlfn.XLOOKUP(HJ$1,generator!$B$2:$B$295,generator!$Q$2:$Q$295,"ARGH")</f>
        <v>246.74</v>
      </c>
      <c r="HK42" s="3" t="str">
        <f>_xlfn.XLOOKUP(HK$1,generator!$B$2:$B$295,generator!$Q$2:$Q$295,"ARGH")</f>
        <v>206.04</v>
      </c>
      <c r="HL42" s="3" t="str">
        <f>_xlfn.XLOOKUP(HL$1,generator!$B$2:$B$295,generator!$Q$2:$Q$295,"ARGH")</f>
        <v>506.96</v>
      </c>
      <c r="HM42" s="3" t="str">
        <f>_xlfn.XLOOKUP(HM$1,generator!$B$2:$B$295,generator!$Q$2:$Q$295,"ARGH")</f>
        <v>506.95</v>
      </c>
      <c r="HN42" s="3" t="str">
        <f>_xlfn.XLOOKUP(HN$1,generator!$B$2:$B$295,generator!$Q$2:$Q$295,"ARGH")</f>
        <v>190.97</v>
      </c>
      <c r="HO42" s="3" t="str">
        <f>_xlfn.XLOOKUP(HO$1,generator!$B$2:$B$295,generator!$Q$2:$Q$295,"ARGH")</f>
        <v>190.97</v>
      </c>
      <c r="HP42" s="3" t="str">
        <f>_xlfn.XLOOKUP(HP$1,generator!$B$2:$B$295,generator!$Q$2:$Q$295,"ARGH")</f>
        <v>424.84</v>
      </c>
      <c r="HQ42" s="3" t="str">
        <f>_xlfn.XLOOKUP(HQ$1,generator!$B$2:$B$295,generator!$Q$2:$Q$295,"ARGH")</f>
        <v>425.9</v>
      </c>
      <c r="HR42" s="3" t="str">
        <f>_xlfn.XLOOKUP(HR$1,generator!$B$2:$B$295,generator!$Q$2:$Q$295,"ARGH")</f>
        <v>425.9</v>
      </c>
      <c r="HS42" s="3" t="str">
        <f>_xlfn.XLOOKUP(HS$1,generator!$B$2:$B$295,generator!$Q$2:$Q$295,"ARGH")</f>
        <v>196.54</v>
      </c>
      <c r="HT42" s="3" t="str">
        <f>_xlfn.XLOOKUP(HT$1,generator!$B$2:$B$295,generator!$Q$2:$Q$295,"ARGH")</f>
        <v>196.54</v>
      </c>
      <c r="HU42" s="3" t="str">
        <f>_xlfn.XLOOKUP(HU$1,generator!$B$2:$B$295,generator!$Q$2:$Q$295,"ARGH")</f>
        <v>145.57</v>
      </c>
      <c r="HV42" s="3" t="str">
        <f>_xlfn.XLOOKUP(HV$1,generator!$B$2:$B$295,generator!$Q$2:$Q$295,"ARGH")</f>
        <v>132.62</v>
      </c>
      <c r="HW42" s="3" t="str">
        <f>_xlfn.XLOOKUP(HW$1,generator!$B$2:$B$295,generator!$Q$2:$Q$295,"ARGH")</f>
        <v>193.76</v>
      </c>
      <c r="HX42" s="3" t="str">
        <f>_xlfn.XLOOKUP(HX$1,generator!$B$2:$B$295,generator!$Q$2:$Q$295,"ARGH")</f>
        <v>193.76</v>
      </c>
      <c r="HY42" s="3" t="str">
        <f>_xlfn.XLOOKUP(HY$1,generator!$B$2:$B$295,generator!$Q$2:$Q$295,"ARGH")</f>
        <v>79.19</v>
      </c>
      <c r="HZ42" s="3" t="str">
        <f>_xlfn.XLOOKUP(HZ$1,generator!$B$2:$B$295,generator!$Q$2:$Q$295,"ARGH")</f>
        <v>125.79</v>
      </c>
      <c r="IA42" s="3" t="str">
        <f>_xlfn.XLOOKUP(IA$1,generator!$B$2:$B$295,generator!$Q$2:$Q$295,"ARGH")</f>
        <v>54.19</v>
      </c>
      <c r="IB42" s="3" t="str">
        <f>_xlfn.XLOOKUP(IB$1,generator!$B$2:$B$295,generator!$Q$2:$Q$295,"ARGH")</f>
        <v>59.7</v>
      </c>
      <c r="IC42" s="3">
        <f>_xlfn.XLOOKUP(IC$1,generator!$B$2:$B$295,generator!$Q$2:$Q$295,"ARGH")</f>
        <v>0</v>
      </c>
      <c r="ID42" s="3" t="str">
        <f>_xlfn.XLOOKUP(ID$1,generator!$B$2:$B$295,generator!$Q$2:$Q$295,"ARGH")</f>
        <v>121.14</v>
      </c>
      <c r="IE42" s="3" t="str">
        <f>_xlfn.XLOOKUP(IE$1,generator!$B$2:$B$295,generator!$Q$2:$Q$295,"ARGH")</f>
        <v>26.6</v>
      </c>
      <c r="IF42" s="3">
        <f>_xlfn.XLOOKUP(IF$1,generator!$B$2:$B$295,generator!$Q$2:$Q$295,"ARGH")</f>
        <v>8000</v>
      </c>
      <c r="IG42" s="3">
        <f>_xlfn.XLOOKUP(IG$1,generator!$B$2:$B$295,generator!$Q$2:$Q$295,"ARGH")</f>
        <v>8000</v>
      </c>
      <c r="IH42" s="3">
        <f>_xlfn.XLOOKUP(IH$1,generator!$B$2:$B$295,generator!$Q$2:$Q$295,"ARGH")</f>
        <v>8000</v>
      </c>
      <c r="II42" s="3">
        <f>_xlfn.XLOOKUP(II$1,generator!$B$2:$B$295,generator!$Q$2:$Q$295,"ARGH")</f>
        <v>8000</v>
      </c>
      <c r="IJ42" s="3">
        <f>_xlfn.XLOOKUP(IJ$1,generator!$B$2:$B$295,generator!$Q$2:$Q$295,"ARGH")</f>
        <v>8000</v>
      </c>
      <c r="IK42" s="3">
        <f>_xlfn.XLOOKUP(IK$1,generator!$B$2:$B$295,generator!$Q$2:$Q$295,"ARGH")</f>
        <v>8000</v>
      </c>
      <c r="IL42" s="3">
        <f>_xlfn.XLOOKUP(IL$1,generator!$B$2:$B$295,generator!$Q$2:$Q$295,"ARGH")</f>
        <v>8000</v>
      </c>
      <c r="IM42" s="3">
        <f>_xlfn.XLOOKUP(IM$1,generator!$B$2:$B$295,generator!$Q$2:$Q$295,"ARGH")</f>
        <v>8000</v>
      </c>
      <c r="IN42" s="3">
        <f>_xlfn.XLOOKUP(IN$1,generator!$B$2:$B$295,generator!$Q$2:$Q$295,"ARGH")</f>
        <v>8000</v>
      </c>
      <c r="IO42" s="3">
        <f>_xlfn.XLOOKUP(IO$1,generator!$B$2:$B$295,generator!$Q$2:$Q$295,"ARGH")</f>
        <v>8000</v>
      </c>
      <c r="IP42" s="3">
        <f>_xlfn.XLOOKUP(IP$1,generator!$B$2:$B$295,generator!$Q$2:$Q$295,"ARGH")</f>
        <v>8000</v>
      </c>
      <c r="IQ42" s="3">
        <f>_xlfn.XLOOKUP(IQ$1,generator!$B$2:$B$295,generator!$Q$2:$Q$295,"ARGH")</f>
        <v>8000</v>
      </c>
      <c r="IR42" s="3">
        <f>_xlfn.XLOOKUP(IR$1,generator!$B$2:$B$295,generator!$Q$2:$Q$295,"ARGH")</f>
        <v>8000</v>
      </c>
      <c r="IS42" s="3">
        <f>_xlfn.XLOOKUP(IS$1,generator!$B$2:$B$295,generator!$Q$2:$Q$295,"ARGH")</f>
        <v>8000</v>
      </c>
      <c r="IT42" s="3">
        <f>_xlfn.XLOOKUP(IT$1,generator!$B$2:$B$295,generator!$Q$2:$Q$295,"ARGH")</f>
        <v>8000</v>
      </c>
      <c r="IU42" s="3">
        <f>_xlfn.XLOOKUP(IU$1,generator!$B$2:$B$295,generator!$Q$2:$Q$295,"ARGH")</f>
        <v>8000</v>
      </c>
      <c r="IV42" s="3">
        <f>_xlfn.XLOOKUP(IV$1,generator!$B$2:$B$295,generator!$Q$2:$Q$295,"ARGH")</f>
        <v>8000</v>
      </c>
      <c r="IW42" s="3" t="str">
        <f>_xlfn.XLOOKUP(IW$1,generator!$B$2:$B$295,generator!$Q$2:$Q$295,"ARGH")</f>
        <v>108.19</v>
      </c>
      <c r="IX42" s="3" t="str">
        <f>_xlfn.XLOOKUP(IX$1,generator!$B$2:$B$295,generator!$Q$2:$Q$295,"ARGH")</f>
        <v>108.18</v>
      </c>
      <c r="IY42" s="3" t="str">
        <f>_xlfn.XLOOKUP(IY$1,generator!$B$2:$B$295,generator!$Q$2:$Q$295,"ARGH")</f>
        <v>108.17</v>
      </c>
      <c r="IZ42" s="3" t="str">
        <f>_xlfn.XLOOKUP(IZ$1,generator!$B$2:$B$295,generator!$Q$2:$Q$295,"ARGH")</f>
        <v>40.96</v>
      </c>
      <c r="JA42" s="3">
        <f>_xlfn.XLOOKUP(JA$1,generator!$B$2:$B$295,generator!$Q$2:$Q$295,"ARGH")</f>
        <v>0</v>
      </c>
      <c r="JB42" s="3">
        <f>_xlfn.XLOOKUP(JB$1,generator!$B$2:$B$295,generator!$Q$2:$Q$295,"ARGH")</f>
        <v>0</v>
      </c>
      <c r="JC42" s="3" t="str">
        <f>_xlfn.XLOOKUP(JC$1,generator!$B$2:$B$295,generator!$Q$2:$Q$295,"ARGH")</f>
        <v>75.91</v>
      </c>
      <c r="JD42" s="3" t="str">
        <f>_xlfn.XLOOKUP(JD$1,generator!$B$2:$B$295,generator!$Q$2:$Q$295,"ARGH")</f>
        <v>75.91</v>
      </c>
      <c r="JE42" s="3" t="str">
        <f>_xlfn.XLOOKUP(JE$1,generator!$B$2:$B$295,generator!$Q$2:$Q$295,"ARGH")</f>
        <v>51.59</v>
      </c>
      <c r="JF42" s="3" t="str">
        <f>_xlfn.XLOOKUP(JF$1,generator!$B$2:$B$295,generator!$Q$2:$Q$295,"ARGH")</f>
        <v>111.57</v>
      </c>
      <c r="JG42" s="3">
        <f>_xlfn.XLOOKUP(JG$1,generator!$B$2:$B$295,generator!$Q$2:$Q$295,"ARGH")</f>
        <v>0</v>
      </c>
      <c r="JH42" s="3" t="str">
        <f>_xlfn.XLOOKUP(JH$1,generator!$B$2:$B$295,generator!$Q$2:$Q$295,"ARGH")</f>
        <v>48.65</v>
      </c>
      <c r="JI42" s="3" t="str">
        <f>_xlfn.XLOOKUP(JI$1,generator!$B$2:$B$295,generator!$Q$2:$Q$295,"ARGH")</f>
        <v>71.88</v>
      </c>
      <c r="JJ42" s="3" t="str">
        <f>_xlfn.XLOOKUP(JJ$1,generator!$B$2:$B$295,generator!$Q$2:$Q$295,"ARGH")</f>
        <v>98.17</v>
      </c>
      <c r="JK42" s="3" t="str">
        <f>_xlfn.XLOOKUP(JK$1,generator!$B$2:$B$295,generator!$Q$2:$Q$295,"ARGH")</f>
        <v>98.17</v>
      </c>
      <c r="JL42" s="3" t="str">
        <f>_xlfn.XLOOKUP(JL$1,generator!$B$2:$B$295,generator!$Q$2:$Q$295,"ARGH")</f>
        <v>98.17</v>
      </c>
      <c r="JM42" s="3" t="str">
        <f>_xlfn.XLOOKUP(JM$1,generator!$B$2:$B$295,generator!$Q$2:$Q$295,"ARGH")</f>
        <v>98.17</v>
      </c>
      <c r="JN42" s="3" t="str">
        <f>_xlfn.XLOOKUP(JN$1,generator!$B$2:$B$295,generator!$Q$2:$Q$295,"ARGH")</f>
        <v>98.17</v>
      </c>
      <c r="JO42" s="3" t="str">
        <f>_xlfn.XLOOKUP(JO$1,generator!$B$2:$B$295,generator!$Q$2:$Q$295,"ARGH")</f>
        <v>98.17</v>
      </c>
      <c r="JP42" s="3" t="str">
        <f>_xlfn.XLOOKUP(JP$1,generator!$B$2:$B$295,generator!$Q$2:$Q$295,"ARGH")</f>
        <v>47.53</v>
      </c>
      <c r="JQ42" s="3" t="str">
        <f>_xlfn.XLOOKUP(JQ$1,generator!$B$2:$B$295,generator!$Q$2:$Q$295,"ARGH")</f>
        <v>108.86</v>
      </c>
      <c r="JR42" s="3" t="str">
        <f>_xlfn.XLOOKUP(JR$1,generator!$B$2:$B$295,generator!$Q$2:$Q$295,"ARGH")</f>
        <v>83.15</v>
      </c>
      <c r="JS42" s="3" t="str">
        <f>_xlfn.XLOOKUP(JS$1,generator!$B$2:$B$295,generator!$Q$2:$Q$295,"ARGH")</f>
        <v>83.15</v>
      </c>
      <c r="JT42" s="3" t="str">
        <f>_xlfn.XLOOKUP(JT$1,generator!$B$2:$B$295,generator!$Q$2:$Q$295,"ARGH")</f>
        <v>108.86</v>
      </c>
      <c r="JU42" s="3">
        <f>_xlfn.XLOOKUP(JU$1,generator!$B$2:$B$295,generator!$Q$2:$Q$295,"ARGH")</f>
        <v>0</v>
      </c>
      <c r="JV42" s="3" t="str">
        <f>_xlfn.XLOOKUP(JV$1,generator!$B$2:$B$295,generator!$Q$2:$Q$295,"ARGH")</f>
        <v>77.63</v>
      </c>
      <c r="JW42" s="3" t="str">
        <f>_xlfn.XLOOKUP(JW$1,generator!$B$2:$B$295,generator!$Q$2:$Q$295,"ARGH")</f>
        <v>77.64</v>
      </c>
      <c r="JX42" s="3" t="str">
        <f>_xlfn.XLOOKUP(JX$1,generator!$B$2:$B$295,generator!$Q$2:$Q$295,"ARGH")</f>
        <v>331.49</v>
      </c>
      <c r="JY42" s="3">
        <f>_xlfn.XLOOKUP(JY$1,generator!$B$2:$B$295,generator!$Q$2:$Q$295,"ARGH")</f>
        <v>7000</v>
      </c>
      <c r="JZ42" s="3">
        <f>_xlfn.XLOOKUP(JZ$1,generator!$B$2:$B$295,generator!$Q$2:$Q$295,"ARGH")</f>
        <v>0</v>
      </c>
      <c r="KA42" s="3">
        <f>_xlfn.XLOOKUP(KA$1,generator!$B$2:$B$295,generator!$Q$2:$Q$295,"ARGH")</f>
        <v>0</v>
      </c>
      <c r="KB42" s="3">
        <f>_xlfn.XLOOKUP(KB$1,generator!$B$2:$B$295,generator!$Q$2:$Q$295,"ARGH")</f>
        <v>0</v>
      </c>
      <c r="KC42" s="3">
        <f>_xlfn.XLOOKUP(KC$1,generator!$B$2:$B$295,generator!$Q$2:$Q$295,"ARGH")</f>
        <v>0</v>
      </c>
    </row>
    <row r="43" spans="1:289" x14ac:dyDescent="0.3">
      <c r="A43" s="4" t="s">
        <v>3038</v>
      </c>
      <c r="B43" s="3">
        <v>15000</v>
      </c>
      <c r="C43" s="3">
        <v>15000</v>
      </c>
      <c r="D43" s="3">
        <v>15000</v>
      </c>
      <c r="E43" s="3">
        <f>_xlfn.XLOOKUP(E$1,generator!$B$2:$B$295,generator!$Q$2:$Q$295,"ARGH")</f>
        <v>9000</v>
      </c>
      <c r="F43" s="3">
        <f>_xlfn.XLOOKUP(F$1,generator!$B$2:$B$295,generator!$Q$2:$Q$295,"ARGH")</f>
        <v>9000</v>
      </c>
      <c r="G43" s="3">
        <f>_xlfn.XLOOKUP(G$1,generator!$B$2:$B$295,generator!$Q$2:$Q$295,"ARGH")</f>
        <v>9000</v>
      </c>
      <c r="H43" s="3">
        <f>_xlfn.XLOOKUP(H$1,generator!$B$2:$B$295,generator!$Q$2:$Q$295,"ARGH")</f>
        <v>9000</v>
      </c>
      <c r="I43" s="3">
        <f>_xlfn.XLOOKUP(I$1,generator!$B$2:$B$295,generator!$Q$2:$Q$295,"ARGH")</f>
        <v>9000</v>
      </c>
      <c r="J43" s="3">
        <f>_xlfn.XLOOKUP(J$1,generator!$B$2:$B$295,generator!$Q$2:$Q$295,"ARGH")</f>
        <v>9000</v>
      </c>
      <c r="K43" s="3">
        <f>_xlfn.XLOOKUP(K$1,generator!$B$2:$B$295,generator!$Q$2:$Q$295,"ARGH")</f>
        <v>9000</v>
      </c>
      <c r="L43" s="3">
        <f>_xlfn.XLOOKUP(L$1,generator!$B$2:$B$295,generator!$Q$2:$Q$295,"ARGH")</f>
        <v>9000</v>
      </c>
      <c r="M43" s="3">
        <f>_xlfn.XLOOKUP(M$1,generator!$B$2:$B$295,generator!$Q$2:$Q$295,"ARGH")</f>
        <v>9000</v>
      </c>
      <c r="N43" s="3">
        <f>_xlfn.XLOOKUP(N$1,generator!$B$2:$B$295,generator!$Q$2:$Q$295,"ARGH")</f>
        <v>9000</v>
      </c>
      <c r="O43" s="3">
        <f>_xlfn.XLOOKUP(O$1,generator!$B$2:$B$295,generator!$Q$2:$Q$295,"ARGH")</f>
        <v>9000</v>
      </c>
      <c r="P43" s="3">
        <f>_xlfn.XLOOKUP(P$1,generator!$B$2:$B$295,generator!$Q$2:$Q$295,"ARGH")</f>
        <v>9000</v>
      </c>
      <c r="Q43" s="3">
        <f>_xlfn.XLOOKUP(Q$1,generator!$B$2:$B$295,generator!$Q$2:$Q$295,"ARGH")</f>
        <v>9000</v>
      </c>
      <c r="R43" s="3">
        <f>_xlfn.XLOOKUP(R$1,generator!$B$2:$B$295,generator!$Q$2:$Q$295,"ARGH")</f>
        <v>9000</v>
      </c>
      <c r="S43" s="3">
        <f>_xlfn.XLOOKUP(S$1,generator!$B$2:$B$295,generator!$Q$2:$Q$295,"ARGH")</f>
        <v>9000</v>
      </c>
      <c r="T43" s="3">
        <f>_xlfn.XLOOKUP(T$1,generator!$B$2:$B$295,generator!$Q$2:$Q$295,"ARGH")</f>
        <v>9000</v>
      </c>
      <c r="U43" s="3">
        <f>_xlfn.XLOOKUP(U$1,generator!$B$2:$B$295,generator!$Q$2:$Q$295,"ARGH")</f>
        <v>9000</v>
      </c>
      <c r="V43" s="3">
        <f>_xlfn.XLOOKUP(V$1,generator!$B$2:$B$295,generator!$Q$2:$Q$295,"ARGH")</f>
        <v>9000</v>
      </c>
      <c r="W43" s="3">
        <f>_xlfn.XLOOKUP(W$1,generator!$B$2:$B$295,generator!$Q$2:$Q$295,"ARGH")</f>
        <v>9000</v>
      </c>
      <c r="X43" s="3">
        <f>_xlfn.XLOOKUP(X$1,generator!$B$2:$B$295,generator!$Q$2:$Q$295,"ARGH")</f>
        <v>9000</v>
      </c>
      <c r="Y43" s="3">
        <f>_xlfn.XLOOKUP(Y$1,generator!$B$2:$B$295,generator!$Q$2:$Q$295,"ARGH")</f>
        <v>9000</v>
      </c>
      <c r="Z43" s="3">
        <f>_xlfn.XLOOKUP(Z$1,generator!$B$2:$B$295,generator!$Q$2:$Q$295,"ARGH")</f>
        <v>9000</v>
      </c>
      <c r="AA43" s="3">
        <f>_xlfn.XLOOKUP(AA$1,generator!$B$2:$B$295,generator!$Q$2:$Q$295,"ARGH")</f>
        <v>9000</v>
      </c>
      <c r="AB43" s="3">
        <f>_xlfn.XLOOKUP(AB$1,generator!$B$2:$B$295,generator!$Q$2:$Q$295,"ARGH")</f>
        <v>9000</v>
      </c>
      <c r="AC43" s="3">
        <f>_xlfn.XLOOKUP(AC$1,generator!$B$2:$B$295,generator!$Q$2:$Q$295,"ARGH")</f>
        <v>9000</v>
      </c>
      <c r="AD43" s="3">
        <f>_xlfn.XLOOKUP(AD$1,generator!$B$2:$B$295,generator!$Q$2:$Q$295,"ARGH")</f>
        <v>9000</v>
      </c>
      <c r="AE43" s="3">
        <f>_xlfn.XLOOKUP(AE$1,generator!$B$2:$B$295,generator!$Q$2:$Q$295,"ARGH")</f>
        <v>9000</v>
      </c>
      <c r="AF43" s="3">
        <f>_xlfn.XLOOKUP(AF$1,generator!$B$2:$B$295,generator!$Q$2:$Q$295,"ARGH")</f>
        <v>9000</v>
      </c>
      <c r="AG43" s="3">
        <f>_xlfn.XLOOKUP(AG$1,generator!$B$2:$B$295,generator!$Q$2:$Q$295,"ARGH")</f>
        <v>9000</v>
      </c>
      <c r="AH43" s="3">
        <f>_xlfn.XLOOKUP(AH$1,generator!$B$2:$B$295,generator!$Q$2:$Q$295,"ARGH")</f>
        <v>9000</v>
      </c>
      <c r="AI43" s="3">
        <f>_xlfn.XLOOKUP(AI$1,generator!$B$2:$B$295,generator!$Q$2:$Q$295,"ARGH")</f>
        <v>9000</v>
      </c>
      <c r="AJ43" s="3">
        <f>_xlfn.XLOOKUP(AJ$1,generator!$B$2:$B$295,generator!$Q$2:$Q$295,"ARGH")</f>
        <v>9000</v>
      </c>
      <c r="AK43" s="3">
        <f>_xlfn.XLOOKUP(AK$1,generator!$B$2:$B$295,generator!$Q$2:$Q$295,"ARGH")</f>
        <v>9000</v>
      </c>
      <c r="AL43" s="3">
        <f>_xlfn.XLOOKUP(AL$1,generator!$B$2:$B$295,generator!$Q$2:$Q$295,"ARGH")</f>
        <v>9000</v>
      </c>
      <c r="AM43" s="3">
        <f>_xlfn.XLOOKUP(AM$1,generator!$B$2:$B$295,generator!$Q$2:$Q$295,"ARGH")</f>
        <v>9000</v>
      </c>
      <c r="AN43" s="3">
        <f>_xlfn.XLOOKUP(AN$1,generator!$B$2:$B$295,generator!$Q$2:$Q$295,"ARGH")</f>
        <v>9000</v>
      </c>
      <c r="AO43" s="3">
        <f>_xlfn.XLOOKUP(AO$1,generator!$B$2:$B$295,generator!$Q$2:$Q$295,"ARGH")</f>
        <v>9000</v>
      </c>
      <c r="AP43" s="3">
        <f>_xlfn.XLOOKUP(AP$1,generator!$B$2:$B$295,generator!$Q$2:$Q$295,"ARGH")</f>
        <v>9000</v>
      </c>
      <c r="AQ43" s="3">
        <f>_xlfn.XLOOKUP(AQ$1,generator!$B$2:$B$295,generator!$Q$2:$Q$295,"ARGH")</f>
        <v>9000</v>
      </c>
      <c r="AR43" s="3">
        <f>_xlfn.XLOOKUP(AR$1,generator!$B$2:$B$295,generator!$Q$2:$Q$295,"ARGH")</f>
        <v>9000</v>
      </c>
      <c r="AS43" s="3">
        <f>_xlfn.XLOOKUP(AS$1,generator!$B$2:$B$295,generator!$Q$2:$Q$295,"ARGH")</f>
        <v>9000</v>
      </c>
      <c r="AT43" s="3">
        <f>_xlfn.XLOOKUP(AT$1,generator!$B$2:$B$295,generator!$Q$2:$Q$295,"ARGH")</f>
        <v>9000</v>
      </c>
      <c r="AU43" s="3">
        <f>_xlfn.XLOOKUP(AU$1,generator!$B$2:$B$295,generator!$Q$2:$Q$295,"ARGH")</f>
        <v>9000</v>
      </c>
      <c r="AV43" s="3">
        <f>_xlfn.XLOOKUP(AV$1,generator!$B$2:$B$295,generator!$Q$2:$Q$295,"ARGH")</f>
        <v>9000</v>
      </c>
      <c r="AW43" s="3">
        <f>_xlfn.XLOOKUP(AW$1,generator!$B$2:$B$295,generator!$Q$2:$Q$295,"ARGH")</f>
        <v>9000</v>
      </c>
      <c r="AX43" s="3">
        <f>_xlfn.XLOOKUP(AX$1,generator!$B$2:$B$295,generator!$Q$2:$Q$295,"ARGH")</f>
        <v>9000</v>
      </c>
      <c r="AY43" s="3">
        <f>_xlfn.XLOOKUP(AY$1,generator!$B$2:$B$295,generator!$Q$2:$Q$295,"ARGH")</f>
        <v>9000</v>
      </c>
      <c r="AZ43" s="3">
        <f>_xlfn.XLOOKUP(AZ$1,generator!$B$2:$B$295,generator!$Q$2:$Q$295,"ARGH")</f>
        <v>9000</v>
      </c>
      <c r="BA43" s="3">
        <f>_xlfn.XLOOKUP(BA$1,generator!$B$2:$B$295,generator!$Q$2:$Q$295,"ARGH")</f>
        <v>9000</v>
      </c>
      <c r="BB43" s="3">
        <f>_xlfn.XLOOKUP(BB$1,generator!$B$2:$B$295,generator!$Q$2:$Q$295,"ARGH")</f>
        <v>9000</v>
      </c>
      <c r="BC43" s="3">
        <f>_xlfn.XLOOKUP(BC$1,generator!$B$2:$B$295,generator!$Q$2:$Q$295,"ARGH")</f>
        <v>9000</v>
      </c>
      <c r="BD43" s="3">
        <f>_xlfn.XLOOKUP(BD$1,generator!$B$2:$B$295,generator!$Q$2:$Q$295,"ARGH")</f>
        <v>9000</v>
      </c>
      <c r="BE43" s="3">
        <f>_xlfn.XLOOKUP(BE$1,generator!$B$2:$B$295,generator!$Q$2:$Q$295,"ARGH")</f>
        <v>9000</v>
      </c>
      <c r="BF43" s="3">
        <f>_xlfn.XLOOKUP(BF$1,generator!$B$2:$B$295,generator!$Q$2:$Q$295,"ARGH")</f>
        <v>9000</v>
      </c>
      <c r="BG43" s="3">
        <f>_xlfn.XLOOKUP(BG$1,generator!$B$2:$B$295,generator!$Q$2:$Q$295,"ARGH")</f>
        <v>9000</v>
      </c>
      <c r="BH43" s="3">
        <f>_xlfn.XLOOKUP(BH$1,generator!$B$2:$B$295,generator!$Q$2:$Q$295,"ARGH")</f>
        <v>9000</v>
      </c>
      <c r="BI43" s="3">
        <f>_xlfn.XLOOKUP(BI$1,generator!$B$2:$B$295,generator!$Q$2:$Q$295,"ARGH")</f>
        <v>9000</v>
      </c>
      <c r="BJ43" s="3">
        <f>_xlfn.XLOOKUP(BJ$1,generator!$B$2:$B$295,generator!$Q$2:$Q$295,"ARGH")</f>
        <v>9000</v>
      </c>
      <c r="BK43" s="3">
        <f>_xlfn.XLOOKUP(BK$1,generator!$B$2:$B$295,generator!$Q$2:$Q$295,"ARGH")</f>
        <v>9000</v>
      </c>
      <c r="BL43" s="3">
        <f>_xlfn.XLOOKUP(BL$1,generator!$B$2:$B$295,generator!$Q$2:$Q$295,"ARGH")</f>
        <v>9000</v>
      </c>
      <c r="BM43" s="3">
        <f>_xlfn.XLOOKUP(BM$1,generator!$B$2:$B$295,generator!$Q$2:$Q$295,"ARGH")</f>
        <v>9000</v>
      </c>
      <c r="BN43" s="3">
        <f>_xlfn.XLOOKUP(BN$1,generator!$B$2:$B$295,generator!$Q$2:$Q$295,"ARGH")</f>
        <v>9000</v>
      </c>
      <c r="BO43" s="3">
        <f>_xlfn.XLOOKUP(BO$1,generator!$B$2:$B$295,generator!$Q$2:$Q$295,"ARGH")</f>
        <v>9000</v>
      </c>
      <c r="BP43" s="3">
        <f>_xlfn.XLOOKUP(BP$1,generator!$B$2:$B$295,generator!$Q$2:$Q$295,"ARGH")</f>
        <v>9000</v>
      </c>
      <c r="BQ43" s="3">
        <f>_xlfn.XLOOKUP(BQ$1,generator!$B$2:$B$295,generator!$Q$2:$Q$295,"ARGH")</f>
        <v>9000</v>
      </c>
      <c r="BR43" s="3">
        <f>_xlfn.XLOOKUP(BR$1,generator!$B$2:$B$295,generator!$Q$2:$Q$295,"ARGH")</f>
        <v>9000</v>
      </c>
      <c r="BS43" s="3">
        <f>_xlfn.XLOOKUP(BS$1,generator!$B$2:$B$295,generator!$Q$2:$Q$295,"ARGH")</f>
        <v>9000</v>
      </c>
      <c r="BT43" s="3">
        <f>_xlfn.XLOOKUP(BT$1,generator!$B$2:$B$295,generator!$Q$2:$Q$295,"ARGH")</f>
        <v>9000</v>
      </c>
      <c r="BU43" s="3">
        <f>_xlfn.XLOOKUP(BU$1,generator!$B$2:$B$295,generator!$Q$2:$Q$295,"ARGH")</f>
        <v>9000</v>
      </c>
      <c r="BV43" s="3">
        <f>_xlfn.XLOOKUP(BV$1,generator!$B$2:$B$295,generator!$Q$2:$Q$295,"ARGH")</f>
        <v>9000</v>
      </c>
      <c r="BW43" s="3">
        <f>_xlfn.XLOOKUP(BW$1,generator!$B$2:$B$295,generator!$Q$2:$Q$295,"ARGH")</f>
        <v>9000</v>
      </c>
      <c r="BX43" s="3">
        <f>_xlfn.XLOOKUP(BX$1,generator!$B$2:$B$295,generator!$Q$2:$Q$295,"ARGH")</f>
        <v>9000</v>
      </c>
      <c r="BY43" s="3">
        <f>_xlfn.XLOOKUP(BY$1,generator!$B$2:$B$295,generator!$Q$2:$Q$295,"ARGH")</f>
        <v>9000</v>
      </c>
      <c r="BZ43" s="3">
        <f>_xlfn.XLOOKUP(BZ$1,generator!$B$2:$B$295,generator!$Q$2:$Q$295,"ARGH")</f>
        <v>9000</v>
      </c>
      <c r="CA43" s="3">
        <f>_xlfn.XLOOKUP(CA$1,generator!$B$2:$B$295,generator!$Q$2:$Q$295,"ARGH")</f>
        <v>9000</v>
      </c>
      <c r="CB43" s="3">
        <f>_xlfn.XLOOKUP(CB$1,generator!$B$2:$B$295,generator!$Q$2:$Q$295,"ARGH")</f>
        <v>9000</v>
      </c>
      <c r="CC43" s="3">
        <f>_xlfn.XLOOKUP(CC$1,generator!$B$2:$B$295,generator!$Q$2:$Q$295,"ARGH")</f>
        <v>9000</v>
      </c>
      <c r="CD43" s="3">
        <f>_xlfn.XLOOKUP(CD$1,generator!$B$2:$B$295,generator!$Q$2:$Q$295,"ARGH")</f>
        <v>9000</v>
      </c>
      <c r="CE43" s="3">
        <f>_xlfn.XLOOKUP(CE$1,generator!$B$2:$B$295,generator!$Q$2:$Q$295,"ARGH")</f>
        <v>9000</v>
      </c>
      <c r="CF43" s="3">
        <f>_xlfn.XLOOKUP(CF$1,generator!$B$2:$B$295,generator!$Q$2:$Q$295,"ARGH")</f>
        <v>9000</v>
      </c>
      <c r="CG43" s="3">
        <f>_xlfn.XLOOKUP(CG$1,generator!$B$2:$B$295,generator!$Q$2:$Q$295,"ARGH")</f>
        <v>9000</v>
      </c>
      <c r="CH43" s="3">
        <f>_xlfn.XLOOKUP(CH$1,generator!$B$2:$B$295,generator!$Q$2:$Q$295,"ARGH")</f>
        <v>9000</v>
      </c>
      <c r="CI43" s="3">
        <f>_xlfn.XLOOKUP(CI$1,generator!$B$2:$B$295,generator!$Q$2:$Q$295,"ARGH")</f>
        <v>9000</v>
      </c>
      <c r="CJ43" s="3">
        <f>_xlfn.XLOOKUP(CJ$1,generator!$B$2:$B$295,generator!$Q$2:$Q$295,"ARGH")</f>
        <v>9000</v>
      </c>
      <c r="CK43" s="3">
        <f>_xlfn.XLOOKUP(CK$1,generator!$B$2:$B$295,generator!$Q$2:$Q$295,"ARGH")</f>
        <v>9000</v>
      </c>
      <c r="CL43" s="3">
        <f>_xlfn.XLOOKUP(CL$1,generator!$B$2:$B$295,generator!$Q$2:$Q$295,"ARGH")</f>
        <v>9000</v>
      </c>
      <c r="CM43" s="3">
        <f>_xlfn.XLOOKUP(CM$1,generator!$B$2:$B$295,generator!$Q$2:$Q$295,"ARGH")</f>
        <v>9000</v>
      </c>
      <c r="CN43" s="3">
        <f>_xlfn.XLOOKUP(CN$1,generator!$B$2:$B$295,generator!$Q$2:$Q$295,"ARGH")</f>
        <v>9000</v>
      </c>
      <c r="CO43" s="3">
        <f>_xlfn.XLOOKUP(CO$1,generator!$B$2:$B$295,generator!$Q$2:$Q$295,"ARGH")</f>
        <v>9000</v>
      </c>
      <c r="CP43" s="3">
        <f>_xlfn.XLOOKUP(CP$1,generator!$B$2:$B$295,generator!$Q$2:$Q$295,"ARGH")</f>
        <v>9000</v>
      </c>
      <c r="CQ43" s="3">
        <f>_xlfn.XLOOKUP(CQ$1,generator!$B$2:$B$295,generator!$Q$2:$Q$295,"ARGH")</f>
        <v>9000</v>
      </c>
      <c r="CR43" s="3">
        <f>_xlfn.XLOOKUP(CR$1,generator!$B$2:$B$295,generator!$Q$2:$Q$295,"ARGH")</f>
        <v>9000</v>
      </c>
      <c r="CS43" s="3">
        <f>_xlfn.XLOOKUP(CS$1,generator!$B$2:$B$295,generator!$Q$2:$Q$295,"ARGH")</f>
        <v>9000</v>
      </c>
      <c r="CT43" s="3">
        <f>_xlfn.XLOOKUP(CT$1,generator!$B$2:$B$295,generator!$Q$2:$Q$295,"ARGH")</f>
        <v>9000</v>
      </c>
      <c r="CU43" s="3">
        <f>_xlfn.XLOOKUP(CU$1,generator!$B$2:$B$295,generator!$Q$2:$Q$295,"ARGH")</f>
        <v>9000</v>
      </c>
      <c r="CV43" s="3">
        <f>_xlfn.XLOOKUP(CV$1,generator!$B$2:$B$295,generator!$Q$2:$Q$295,"ARGH")</f>
        <v>9000</v>
      </c>
      <c r="CW43" s="3">
        <f>_xlfn.XLOOKUP(CW$1,generator!$B$2:$B$295,generator!$Q$2:$Q$295,"ARGH")</f>
        <v>9000</v>
      </c>
      <c r="CX43" s="3">
        <f>_xlfn.XLOOKUP(CX$1,generator!$B$2:$B$295,generator!$Q$2:$Q$295,"ARGH")</f>
        <v>9000</v>
      </c>
      <c r="CY43" s="3">
        <f>_xlfn.XLOOKUP(CY$1,generator!$B$2:$B$295,generator!$Q$2:$Q$295,"ARGH")</f>
        <v>9000</v>
      </c>
      <c r="CZ43" s="3">
        <f>_xlfn.XLOOKUP(CZ$1,generator!$B$2:$B$295,generator!$Q$2:$Q$295,"ARGH")</f>
        <v>9000</v>
      </c>
      <c r="DA43" s="3">
        <f>_xlfn.XLOOKUP(DA$1,generator!$B$2:$B$295,generator!$Q$2:$Q$295,"ARGH")</f>
        <v>9000</v>
      </c>
      <c r="DB43" s="3">
        <f>_xlfn.XLOOKUP(DB$1,generator!$B$2:$B$295,generator!$Q$2:$Q$295,"ARGH")</f>
        <v>9000</v>
      </c>
      <c r="DC43" s="3">
        <f>_xlfn.XLOOKUP(DC$1,generator!$B$2:$B$295,generator!$Q$2:$Q$295,"ARGH")</f>
        <v>9000</v>
      </c>
      <c r="DD43" s="3">
        <f>_xlfn.XLOOKUP(DD$1,generator!$B$2:$B$295,generator!$Q$2:$Q$295,"ARGH")</f>
        <v>9000</v>
      </c>
      <c r="DE43" s="3">
        <f>_xlfn.XLOOKUP(DE$1,generator!$B$2:$B$295,generator!$Q$2:$Q$295,"ARGH")</f>
        <v>9000</v>
      </c>
      <c r="DF43" s="3">
        <f>_xlfn.XLOOKUP(DF$1,generator!$B$2:$B$295,generator!$Q$2:$Q$295,"ARGH")</f>
        <v>9000</v>
      </c>
      <c r="DG43" s="3">
        <f>_xlfn.XLOOKUP(DG$1,generator!$B$2:$B$295,generator!$Q$2:$Q$295,"ARGH")</f>
        <v>9000</v>
      </c>
      <c r="DH43" s="3">
        <f>_xlfn.XLOOKUP(DH$1,generator!$B$2:$B$295,generator!$Q$2:$Q$295,"ARGH")</f>
        <v>9000</v>
      </c>
      <c r="DI43" s="3">
        <f>_xlfn.XLOOKUP(DI$1,generator!$B$2:$B$295,generator!$Q$2:$Q$295,"ARGH")</f>
        <v>9000</v>
      </c>
      <c r="DJ43" s="3">
        <f>_xlfn.XLOOKUP(DJ$1,generator!$B$2:$B$295,generator!$Q$2:$Q$295,"ARGH")</f>
        <v>9000</v>
      </c>
      <c r="DK43" s="3">
        <f>_xlfn.XLOOKUP(DK$1,generator!$B$2:$B$295,generator!$Q$2:$Q$295,"ARGH")</f>
        <v>9000</v>
      </c>
      <c r="DL43" s="3">
        <f>_xlfn.XLOOKUP(DL$1,generator!$B$2:$B$295,generator!$Q$2:$Q$295,"ARGH")</f>
        <v>9000</v>
      </c>
      <c r="DM43" s="3">
        <f>_xlfn.XLOOKUP(DM$1,generator!$B$2:$B$295,generator!$Q$2:$Q$295,"ARGH")</f>
        <v>9000</v>
      </c>
      <c r="DN43" s="3">
        <f>_xlfn.XLOOKUP(DN$1,generator!$B$2:$B$295,generator!$Q$2:$Q$295,"ARGH")</f>
        <v>9000</v>
      </c>
      <c r="DO43" s="3">
        <f>_xlfn.XLOOKUP(DO$1,generator!$B$2:$B$295,generator!$Q$2:$Q$295,"ARGH")</f>
        <v>9000</v>
      </c>
      <c r="DP43" s="3">
        <f>_xlfn.XLOOKUP(DP$1,generator!$B$2:$B$295,generator!$Q$2:$Q$295,"ARGH")</f>
        <v>9000</v>
      </c>
      <c r="DQ43" s="3">
        <f>_xlfn.XLOOKUP(DQ$1,generator!$B$2:$B$295,generator!$Q$2:$Q$295,"ARGH")</f>
        <v>9000</v>
      </c>
      <c r="DR43" s="3">
        <f>_xlfn.XLOOKUP(DR$1,generator!$B$2:$B$295,generator!$Q$2:$Q$295,"ARGH")</f>
        <v>9000</v>
      </c>
      <c r="DS43" s="3">
        <f>_xlfn.XLOOKUP(DS$1,generator!$B$2:$B$295,generator!$Q$2:$Q$295,"ARGH")</f>
        <v>9000</v>
      </c>
      <c r="DT43" s="3">
        <f>_xlfn.XLOOKUP(DT$1,generator!$B$2:$B$295,generator!$Q$2:$Q$295,"ARGH")</f>
        <v>9000</v>
      </c>
      <c r="DU43" s="3">
        <f>_xlfn.XLOOKUP(DU$1,generator!$B$2:$B$295,generator!$Q$2:$Q$295,"ARGH")</f>
        <v>9000</v>
      </c>
      <c r="DV43" s="3">
        <f>_xlfn.XLOOKUP(DV$1,generator!$B$2:$B$295,generator!$Q$2:$Q$295,"ARGH")</f>
        <v>9000</v>
      </c>
      <c r="DW43" s="3">
        <f>_xlfn.XLOOKUP(DW$1,generator!$B$2:$B$295,generator!$Q$2:$Q$295,"ARGH")</f>
        <v>9000</v>
      </c>
      <c r="DX43" s="3">
        <f>_xlfn.XLOOKUP(DX$1,generator!$B$2:$B$295,generator!$Q$2:$Q$295,"ARGH")</f>
        <v>9000</v>
      </c>
      <c r="DY43" s="3">
        <f>_xlfn.XLOOKUP(DY$1,generator!$B$2:$B$295,generator!$Q$2:$Q$295,"ARGH")</f>
        <v>9000</v>
      </c>
      <c r="DZ43" s="3">
        <f>_xlfn.XLOOKUP(DZ$1,generator!$B$2:$B$295,generator!$Q$2:$Q$295,"ARGH")</f>
        <v>9000</v>
      </c>
      <c r="EA43" s="3">
        <f>_xlfn.XLOOKUP(EA$1,generator!$B$2:$B$295,generator!$Q$2:$Q$295,"ARGH")</f>
        <v>9000</v>
      </c>
      <c r="EB43" s="3">
        <f>_xlfn.XLOOKUP(EB$1,generator!$B$2:$B$295,generator!$Q$2:$Q$295,"ARGH")</f>
        <v>9000</v>
      </c>
      <c r="EC43" s="3">
        <f>_xlfn.XLOOKUP(EC$1,generator!$B$2:$B$295,generator!$Q$2:$Q$295,"ARGH")</f>
        <v>9000</v>
      </c>
      <c r="ED43" s="3">
        <f>_xlfn.XLOOKUP(ED$1,generator!$B$2:$B$295,generator!$Q$2:$Q$295,"ARGH")</f>
        <v>9000</v>
      </c>
      <c r="EE43" s="3">
        <f>_xlfn.XLOOKUP(EE$1,generator!$B$2:$B$295,generator!$Q$2:$Q$295,"ARGH")</f>
        <v>9000</v>
      </c>
      <c r="EF43" s="3">
        <f>_xlfn.XLOOKUP(EF$1,generator!$B$2:$B$295,generator!$Q$2:$Q$295,"ARGH")</f>
        <v>9000</v>
      </c>
      <c r="EG43" s="3">
        <f>_xlfn.XLOOKUP(EG$1,generator!$B$2:$B$295,generator!$Q$2:$Q$295,"ARGH")</f>
        <v>9000</v>
      </c>
      <c r="EH43" s="3">
        <f>_xlfn.XLOOKUP(EH$1,generator!$B$2:$B$295,generator!$Q$2:$Q$295,"ARGH")</f>
        <v>9000</v>
      </c>
      <c r="EI43" s="3">
        <f>_xlfn.XLOOKUP(EI$1,generator!$B$2:$B$295,generator!$Q$2:$Q$295,"ARGH")</f>
        <v>9000</v>
      </c>
      <c r="EJ43" s="3">
        <f>_xlfn.XLOOKUP(EJ$1,generator!$B$2:$B$295,generator!$Q$2:$Q$295,"ARGH")</f>
        <v>9000</v>
      </c>
      <c r="EK43" s="3">
        <f>_xlfn.XLOOKUP(EK$1,generator!$B$2:$B$295,generator!$Q$2:$Q$295,"ARGH")</f>
        <v>9000</v>
      </c>
      <c r="EL43" s="3">
        <f>_xlfn.XLOOKUP(EL$1,generator!$B$2:$B$295,generator!$Q$2:$Q$295,"ARGH")</f>
        <v>9000</v>
      </c>
      <c r="EM43" s="3">
        <f>_xlfn.XLOOKUP(EM$1,generator!$B$2:$B$295,generator!$Q$2:$Q$295,"ARGH")</f>
        <v>9000</v>
      </c>
      <c r="EN43" s="3">
        <f>_xlfn.XLOOKUP(EN$1,generator!$B$2:$B$295,generator!$Q$2:$Q$295,"ARGH")</f>
        <v>9000</v>
      </c>
      <c r="EO43" s="3">
        <f>_xlfn.XLOOKUP(EO$1,generator!$B$2:$B$295,generator!$Q$2:$Q$295,"ARGH")</f>
        <v>9000</v>
      </c>
      <c r="EP43" s="3">
        <f>_xlfn.XLOOKUP(EP$1,generator!$B$2:$B$295,generator!$Q$2:$Q$295,"ARGH")</f>
        <v>9000</v>
      </c>
      <c r="EQ43" s="3">
        <f>_xlfn.XLOOKUP(EQ$1,generator!$B$2:$B$295,generator!$Q$2:$Q$295,"ARGH")</f>
        <v>9000</v>
      </c>
      <c r="ER43" s="3">
        <f>_xlfn.XLOOKUP(ER$1,generator!$B$2:$B$295,generator!$Q$2:$Q$295,"ARGH")</f>
        <v>9000</v>
      </c>
      <c r="ES43" s="3">
        <f>_xlfn.XLOOKUP(ES$1,generator!$B$2:$B$295,generator!$Q$2:$Q$295,"ARGH")</f>
        <v>9000</v>
      </c>
      <c r="ET43" s="3">
        <f>_xlfn.XLOOKUP(ET$1,generator!$B$2:$B$295,generator!$Q$2:$Q$295,"ARGH")</f>
        <v>9000</v>
      </c>
      <c r="EU43" s="3">
        <f>_xlfn.XLOOKUP(EU$1,generator!$B$2:$B$295,generator!$Q$2:$Q$295,"ARGH")</f>
        <v>9000</v>
      </c>
      <c r="EV43" s="3">
        <f>_xlfn.XLOOKUP(EV$1,generator!$B$2:$B$295,generator!$Q$2:$Q$295,"ARGH")</f>
        <v>9000</v>
      </c>
      <c r="EW43" s="3">
        <f>_xlfn.XLOOKUP(EW$1,generator!$B$2:$B$295,generator!$Q$2:$Q$295,"ARGH")</f>
        <v>9000</v>
      </c>
      <c r="EX43" s="3">
        <f>_xlfn.XLOOKUP(EX$1,generator!$B$2:$B$295,generator!$Q$2:$Q$295,"ARGH")</f>
        <v>9000</v>
      </c>
      <c r="EY43" s="3">
        <f>_xlfn.XLOOKUP(EY$1,generator!$B$2:$B$295,generator!$Q$2:$Q$295,"ARGH")</f>
        <v>9000</v>
      </c>
      <c r="EZ43" s="3">
        <f>_xlfn.XLOOKUP(EZ$1,generator!$B$2:$B$295,generator!$Q$2:$Q$295,"ARGH")</f>
        <v>9000</v>
      </c>
      <c r="FA43" s="3">
        <f>_xlfn.XLOOKUP(FA$1,generator!$B$2:$B$295,generator!$Q$2:$Q$295,"ARGH")</f>
        <v>9000</v>
      </c>
      <c r="FB43" s="3">
        <f>_xlfn.XLOOKUP(FB$1,generator!$B$2:$B$295,generator!$Q$2:$Q$295,"ARGH")</f>
        <v>9000</v>
      </c>
      <c r="FC43" s="3">
        <f>_xlfn.XLOOKUP(FC$1,generator!$B$2:$B$295,generator!$Q$2:$Q$295,"ARGH")</f>
        <v>9000</v>
      </c>
      <c r="FD43" s="3">
        <f>_xlfn.XLOOKUP(FD$1,generator!$B$2:$B$295,generator!$Q$2:$Q$295,"ARGH")</f>
        <v>9000</v>
      </c>
      <c r="FE43" s="3">
        <f>_xlfn.XLOOKUP(FE$1,generator!$B$2:$B$295,generator!$Q$2:$Q$295,"ARGH")</f>
        <v>9000</v>
      </c>
      <c r="FF43" s="3">
        <f>_xlfn.XLOOKUP(FF$1,generator!$B$2:$B$295,generator!$Q$2:$Q$295,"ARGH")</f>
        <v>9000</v>
      </c>
      <c r="FG43" s="3">
        <f>_xlfn.XLOOKUP(FG$1,generator!$B$2:$B$295,generator!$Q$2:$Q$295,"ARGH")</f>
        <v>9000</v>
      </c>
      <c r="FH43" s="3">
        <f>_xlfn.XLOOKUP(FH$1,generator!$B$2:$B$295,generator!$Q$2:$Q$295,"ARGH")</f>
        <v>9000</v>
      </c>
      <c r="FI43" s="3">
        <f>_xlfn.XLOOKUP(FI$1,generator!$B$2:$B$295,generator!$Q$2:$Q$295,"ARGH")</f>
        <v>9000</v>
      </c>
      <c r="FJ43" s="3">
        <f>_xlfn.XLOOKUP(FJ$1,generator!$B$2:$B$295,generator!$Q$2:$Q$295,"ARGH")</f>
        <v>9000</v>
      </c>
      <c r="FK43" s="3">
        <f>_xlfn.XLOOKUP(FK$1,generator!$B$2:$B$295,generator!$Q$2:$Q$295,"ARGH")</f>
        <v>9000</v>
      </c>
      <c r="FL43" s="3">
        <f>_xlfn.XLOOKUP(FL$1,generator!$B$2:$B$295,generator!$Q$2:$Q$295,"ARGH")</f>
        <v>9000</v>
      </c>
      <c r="FM43" s="3">
        <f>_xlfn.XLOOKUP(FM$1,generator!$B$2:$B$295,generator!$Q$2:$Q$295,"ARGH")</f>
        <v>9000</v>
      </c>
      <c r="FN43" s="3">
        <f>_xlfn.XLOOKUP(FN$1,generator!$B$2:$B$295,generator!$Q$2:$Q$295,"ARGH")</f>
        <v>9000</v>
      </c>
      <c r="FO43" s="3">
        <f>_xlfn.XLOOKUP(FO$1,generator!$B$2:$B$295,generator!$Q$2:$Q$295,"ARGH")</f>
        <v>9000</v>
      </c>
      <c r="FP43" s="3">
        <f>_xlfn.XLOOKUP(FP$1,generator!$B$2:$B$295,generator!$Q$2:$Q$295,"ARGH")</f>
        <v>9000</v>
      </c>
      <c r="FQ43" s="3">
        <f>_xlfn.XLOOKUP(FQ$1,generator!$B$2:$B$295,generator!$Q$2:$Q$295,"ARGH")</f>
        <v>9000</v>
      </c>
      <c r="FR43" s="3">
        <f>_xlfn.XLOOKUP(FR$1,generator!$B$2:$B$295,generator!$Q$2:$Q$295,"ARGH")</f>
        <v>9000</v>
      </c>
      <c r="FS43" s="3">
        <f>_xlfn.XLOOKUP(FS$1,generator!$B$2:$B$295,generator!$Q$2:$Q$295,"ARGH")</f>
        <v>9000</v>
      </c>
      <c r="FT43" s="3">
        <f>_xlfn.XLOOKUP(FT$1,generator!$B$2:$B$295,generator!$Q$2:$Q$295,"ARGH")</f>
        <v>9000</v>
      </c>
      <c r="FU43" s="3">
        <f>_xlfn.XLOOKUP(FU$1,generator!$B$2:$B$295,generator!$Q$2:$Q$295,"ARGH")</f>
        <v>9000</v>
      </c>
      <c r="FV43" s="3">
        <f>_xlfn.XLOOKUP(FV$1,generator!$B$2:$B$295,generator!$Q$2:$Q$295,"ARGH")</f>
        <v>9000</v>
      </c>
      <c r="FW43" s="3">
        <f>_xlfn.XLOOKUP(FW$1,generator!$B$2:$B$295,generator!$Q$2:$Q$295,"ARGH")</f>
        <v>9000</v>
      </c>
      <c r="FX43" s="3">
        <f>_xlfn.XLOOKUP(FX$1,generator!$B$2:$B$295,generator!$Q$2:$Q$295,"ARGH")</f>
        <v>9000</v>
      </c>
      <c r="FY43" s="3">
        <f>_xlfn.XLOOKUP(FY$1,generator!$B$2:$B$295,generator!$Q$2:$Q$295,"ARGH")</f>
        <v>9000</v>
      </c>
      <c r="FZ43" s="3">
        <f>_xlfn.XLOOKUP(FZ$1,generator!$B$2:$B$295,generator!$Q$2:$Q$295,"ARGH")</f>
        <v>9000</v>
      </c>
      <c r="GA43" s="3">
        <f>_xlfn.XLOOKUP(GA$1,generator!$B$2:$B$295,generator!$Q$2:$Q$295,"ARGH")</f>
        <v>9000</v>
      </c>
      <c r="GB43" s="3">
        <f>_xlfn.XLOOKUP(GB$1,generator!$B$2:$B$295,generator!$Q$2:$Q$295,"ARGH")</f>
        <v>9000</v>
      </c>
      <c r="GC43" s="3">
        <f>_xlfn.XLOOKUP(GC$1,generator!$B$2:$B$295,generator!$Q$2:$Q$295,"ARGH")</f>
        <v>9000</v>
      </c>
      <c r="GD43" s="3">
        <f>_xlfn.XLOOKUP(GD$1,generator!$B$2:$B$295,generator!$Q$2:$Q$295,"ARGH")</f>
        <v>9000</v>
      </c>
      <c r="GE43" s="3">
        <f>_xlfn.XLOOKUP(GE$1,generator!$B$2:$B$295,generator!$Q$2:$Q$295,"ARGH")</f>
        <v>9000</v>
      </c>
      <c r="GF43" s="3">
        <f>_xlfn.XLOOKUP(GF$1,generator!$B$2:$B$295,generator!$Q$2:$Q$295,"ARGH")</f>
        <v>9000</v>
      </c>
      <c r="GG43" s="3">
        <f>_xlfn.XLOOKUP(GG$1,generator!$B$2:$B$295,generator!$Q$2:$Q$295,"ARGH")</f>
        <v>9000</v>
      </c>
      <c r="GH43" s="3">
        <f>_xlfn.XLOOKUP(GH$1,generator!$B$2:$B$295,generator!$Q$2:$Q$295,"ARGH")</f>
        <v>9000</v>
      </c>
      <c r="GI43" s="3">
        <f>_xlfn.XLOOKUP(GI$1,generator!$B$2:$B$295,generator!$Q$2:$Q$295,"ARGH")</f>
        <v>9000</v>
      </c>
      <c r="GJ43" s="3">
        <f>_xlfn.XLOOKUP(GJ$1,generator!$B$2:$B$295,generator!$Q$2:$Q$295,"ARGH")</f>
        <v>9000</v>
      </c>
      <c r="GK43" s="3">
        <f>_xlfn.XLOOKUP(GK$1,generator!$B$2:$B$295,generator!$Q$2:$Q$295,"ARGH")</f>
        <v>9000</v>
      </c>
      <c r="GL43" s="3">
        <f>_xlfn.XLOOKUP(GL$1,generator!$B$2:$B$295,generator!$Q$2:$Q$295,"ARGH")</f>
        <v>9000</v>
      </c>
      <c r="GM43" s="3">
        <f>_xlfn.XLOOKUP(GM$1,generator!$B$2:$B$295,generator!$Q$2:$Q$295,"ARGH")</f>
        <v>9000</v>
      </c>
      <c r="GN43" s="3">
        <f>_xlfn.XLOOKUP(GN$1,generator!$B$2:$B$295,generator!$Q$2:$Q$295,"ARGH")</f>
        <v>9000</v>
      </c>
      <c r="GO43" s="3">
        <f>_xlfn.XLOOKUP(GO$1,generator!$B$2:$B$295,generator!$Q$2:$Q$295,"ARGH")</f>
        <v>9000</v>
      </c>
      <c r="GP43" s="3">
        <f>_xlfn.XLOOKUP(GP$1,generator!$B$2:$B$295,generator!$Q$2:$Q$295,"ARGH")</f>
        <v>9000</v>
      </c>
      <c r="GQ43" s="3">
        <f>_xlfn.XLOOKUP(GQ$1,generator!$B$2:$B$295,generator!$Q$2:$Q$295,"ARGH")</f>
        <v>9000</v>
      </c>
      <c r="GR43" s="3">
        <f>_xlfn.XLOOKUP(GR$1,generator!$B$2:$B$295,generator!$Q$2:$Q$295,"ARGH")</f>
        <v>9000</v>
      </c>
      <c r="GS43" s="3">
        <f>_xlfn.XLOOKUP(GS$1,generator!$B$2:$B$295,generator!$Q$2:$Q$295,"ARGH")</f>
        <v>9000</v>
      </c>
      <c r="GT43" s="3">
        <f>_xlfn.XLOOKUP(GT$1,generator!$B$2:$B$295,generator!$Q$2:$Q$295,"ARGH")</f>
        <v>9000</v>
      </c>
      <c r="GU43" s="3">
        <f>_xlfn.XLOOKUP(GU$1,generator!$B$2:$B$295,generator!$Q$2:$Q$295,"ARGH")</f>
        <v>9000</v>
      </c>
      <c r="GV43" s="3">
        <f>_xlfn.XLOOKUP(GV$1,generator!$B$2:$B$295,generator!$Q$2:$Q$295,"ARGH")</f>
        <v>9000</v>
      </c>
      <c r="GW43" s="3">
        <f>_xlfn.XLOOKUP(GW$1,generator!$B$2:$B$295,generator!$Q$2:$Q$295,"ARGH")</f>
        <v>9000</v>
      </c>
      <c r="GX43" s="3">
        <f>_xlfn.XLOOKUP(GX$1,generator!$B$2:$B$295,generator!$Q$2:$Q$295,"ARGH")</f>
        <v>9000</v>
      </c>
      <c r="GY43" s="3">
        <f>_xlfn.XLOOKUP(GY$1,generator!$B$2:$B$295,generator!$Q$2:$Q$295,"ARGH")</f>
        <v>9000</v>
      </c>
      <c r="GZ43" s="3">
        <f>_xlfn.XLOOKUP(GZ$1,generator!$B$2:$B$295,generator!$Q$2:$Q$295,"ARGH")</f>
        <v>9000</v>
      </c>
      <c r="HA43" s="3">
        <f>_xlfn.XLOOKUP(HA$1,generator!$B$2:$B$295,generator!$Q$2:$Q$295,"ARGH")</f>
        <v>9000</v>
      </c>
      <c r="HB43" s="3">
        <f>_xlfn.XLOOKUP(HB$1,generator!$B$2:$B$295,generator!$Q$2:$Q$295,"ARGH")</f>
        <v>9000</v>
      </c>
      <c r="HC43" s="3">
        <f>_xlfn.XLOOKUP(HC$1,generator!$B$2:$B$295,generator!$Q$2:$Q$295,"ARGH")</f>
        <v>9000</v>
      </c>
      <c r="HD43" s="3">
        <f>_xlfn.XLOOKUP(HD$1,generator!$B$2:$B$295,generator!$Q$2:$Q$295,"ARGH")</f>
        <v>9000</v>
      </c>
      <c r="HE43" s="3">
        <f>_xlfn.XLOOKUP(HE$1,generator!$B$2:$B$295,generator!$Q$2:$Q$295,"ARGH")</f>
        <v>8000</v>
      </c>
      <c r="HF43" s="3" t="str">
        <f>_xlfn.XLOOKUP(HF$1,generator!$B$2:$B$295,generator!$Q$2:$Q$295,"ARGH")</f>
        <v>143</v>
      </c>
      <c r="HG43" s="3" t="str">
        <f>_xlfn.XLOOKUP(HG$1,generator!$B$2:$B$295,generator!$Q$2:$Q$295,"ARGH")</f>
        <v>143</v>
      </c>
      <c r="HH43" s="3" t="str">
        <f>_xlfn.XLOOKUP(HH$1,generator!$B$2:$B$295,generator!$Q$2:$Q$295,"ARGH")</f>
        <v>143</v>
      </c>
      <c r="HI43" s="3" t="str">
        <f>_xlfn.XLOOKUP(HI$1,generator!$B$2:$B$295,generator!$Q$2:$Q$295,"ARGH")</f>
        <v>246.74</v>
      </c>
      <c r="HJ43" s="3" t="str">
        <f>_xlfn.XLOOKUP(HJ$1,generator!$B$2:$B$295,generator!$Q$2:$Q$295,"ARGH")</f>
        <v>246.74</v>
      </c>
      <c r="HK43" s="3" t="str">
        <f>_xlfn.XLOOKUP(HK$1,generator!$B$2:$B$295,generator!$Q$2:$Q$295,"ARGH")</f>
        <v>206.04</v>
      </c>
      <c r="HL43" s="3" t="str">
        <f>_xlfn.XLOOKUP(HL$1,generator!$B$2:$B$295,generator!$Q$2:$Q$295,"ARGH")</f>
        <v>506.96</v>
      </c>
      <c r="HM43" s="3" t="str">
        <f>_xlfn.XLOOKUP(HM$1,generator!$B$2:$B$295,generator!$Q$2:$Q$295,"ARGH")</f>
        <v>506.95</v>
      </c>
      <c r="HN43" s="3" t="str">
        <f>_xlfn.XLOOKUP(HN$1,generator!$B$2:$B$295,generator!$Q$2:$Q$295,"ARGH")</f>
        <v>190.97</v>
      </c>
      <c r="HO43" s="3" t="str">
        <f>_xlfn.XLOOKUP(HO$1,generator!$B$2:$B$295,generator!$Q$2:$Q$295,"ARGH")</f>
        <v>190.97</v>
      </c>
      <c r="HP43" s="3" t="str">
        <f>_xlfn.XLOOKUP(HP$1,generator!$B$2:$B$295,generator!$Q$2:$Q$295,"ARGH")</f>
        <v>424.84</v>
      </c>
      <c r="HQ43" s="3" t="str">
        <f>_xlfn.XLOOKUP(HQ$1,generator!$B$2:$B$295,generator!$Q$2:$Q$295,"ARGH")</f>
        <v>425.9</v>
      </c>
      <c r="HR43" s="3" t="str">
        <f>_xlfn.XLOOKUP(HR$1,generator!$B$2:$B$295,generator!$Q$2:$Q$295,"ARGH")</f>
        <v>425.9</v>
      </c>
      <c r="HS43" s="3" t="str">
        <f>_xlfn.XLOOKUP(HS$1,generator!$B$2:$B$295,generator!$Q$2:$Q$295,"ARGH")</f>
        <v>196.54</v>
      </c>
      <c r="HT43" s="3" t="str">
        <f>_xlfn.XLOOKUP(HT$1,generator!$B$2:$B$295,generator!$Q$2:$Q$295,"ARGH")</f>
        <v>196.54</v>
      </c>
      <c r="HU43" s="3" t="str">
        <f>_xlfn.XLOOKUP(HU$1,generator!$B$2:$B$295,generator!$Q$2:$Q$295,"ARGH")</f>
        <v>145.57</v>
      </c>
      <c r="HV43" s="3" t="str">
        <f>_xlfn.XLOOKUP(HV$1,generator!$B$2:$B$295,generator!$Q$2:$Q$295,"ARGH")</f>
        <v>132.62</v>
      </c>
      <c r="HW43" s="3" t="str">
        <f>_xlfn.XLOOKUP(HW$1,generator!$B$2:$B$295,generator!$Q$2:$Q$295,"ARGH")</f>
        <v>193.76</v>
      </c>
      <c r="HX43" s="3" t="str">
        <f>_xlfn.XLOOKUP(HX$1,generator!$B$2:$B$295,generator!$Q$2:$Q$295,"ARGH")</f>
        <v>193.76</v>
      </c>
      <c r="HY43" s="3" t="str">
        <f>_xlfn.XLOOKUP(HY$1,generator!$B$2:$B$295,generator!$Q$2:$Q$295,"ARGH")</f>
        <v>79.19</v>
      </c>
      <c r="HZ43" s="3" t="str">
        <f>_xlfn.XLOOKUP(HZ$1,generator!$B$2:$B$295,generator!$Q$2:$Q$295,"ARGH")</f>
        <v>125.79</v>
      </c>
      <c r="IA43" s="3" t="str">
        <f>_xlfn.XLOOKUP(IA$1,generator!$B$2:$B$295,generator!$Q$2:$Q$295,"ARGH")</f>
        <v>54.19</v>
      </c>
      <c r="IB43" s="3" t="str">
        <f>_xlfn.XLOOKUP(IB$1,generator!$B$2:$B$295,generator!$Q$2:$Q$295,"ARGH")</f>
        <v>59.7</v>
      </c>
      <c r="IC43" s="3">
        <f>_xlfn.XLOOKUP(IC$1,generator!$B$2:$B$295,generator!$Q$2:$Q$295,"ARGH")</f>
        <v>0</v>
      </c>
      <c r="ID43" s="3" t="str">
        <f>_xlfn.XLOOKUP(ID$1,generator!$B$2:$B$295,generator!$Q$2:$Q$295,"ARGH")</f>
        <v>121.14</v>
      </c>
      <c r="IE43" s="3" t="str">
        <f>_xlfn.XLOOKUP(IE$1,generator!$B$2:$B$295,generator!$Q$2:$Q$295,"ARGH")</f>
        <v>26.6</v>
      </c>
      <c r="IF43" s="3">
        <f>_xlfn.XLOOKUP(IF$1,generator!$B$2:$B$295,generator!$Q$2:$Q$295,"ARGH")</f>
        <v>8000</v>
      </c>
      <c r="IG43" s="3">
        <f>_xlfn.XLOOKUP(IG$1,generator!$B$2:$B$295,generator!$Q$2:$Q$295,"ARGH")</f>
        <v>8000</v>
      </c>
      <c r="IH43" s="3">
        <f>_xlfn.XLOOKUP(IH$1,generator!$B$2:$B$295,generator!$Q$2:$Q$295,"ARGH")</f>
        <v>8000</v>
      </c>
      <c r="II43" s="3">
        <f>_xlfn.XLOOKUP(II$1,generator!$B$2:$B$295,generator!$Q$2:$Q$295,"ARGH")</f>
        <v>8000</v>
      </c>
      <c r="IJ43" s="3">
        <f>_xlfn.XLOOKUP(IJ$1,generator!$B$2:$B$295,generator!$Q$2:$Q$295,"ARGH")</f>
        <v>8000</v>
      </c>
      <c r="IK43" s="3">
        <f>_xlfn.XLOOKUP(IK$1,generator!$B$2:$B$295,generator!$Q$2:$Q$295,"ARGH")</f>
        <v>8000</v>
      </c>
      <c r="IL43" s="3">
        <f>_xlfn.XLOOKUP(IL$1,generator!$B$2:$B$295,generator!$Q$2:$Q$295,"ARGH")</f>
        <v>8000</v>
      </c>
      <c r="IM43" s="3">
        <f>_xlfn.XLOOKUP(IM$1,generator!$B$2:$B$295,generator!$Q$2:$Q$295,"ARGH")</f>
        <v>8000</v>
      </c>
      <c r="IN43" s="3">
        <f>_xlfn.XLOOKUP(IN$1,generator!$B$2:$B$295,generator!$Q$2:$Q$295,"ARGH")</f>
        <v>8000</v>
      </c>
      <c r="IO43" s="3">
        <f>_xlfn.XLOOKUP(IO$1,generator!$B$2:$B$295,generator!$Q$2:$Q$295,"ARGH")</f>
        <v>8000</v>
      </c>
      <c r="IP43" s="3">
        <f>_xlfn.XLOOKUP(IP$1,generator!$B$2:$B$295,generator!$Q$2:$Q$295,"ARGH")</f>
        <v>8000</v>
      </c>
      <c r="IQ43" s="3">
        <f>_xlfn.XLOOKUP(IQ$1,generator!$B$2:$B$295,generator!$Q$2:$Q$295,"ARGH")</f>
        <v>8000</v>
      </c>
      <c r="IR43" s="3">
        <f>_xlfn.XLOOKUP(IR$1,generator!$B$2:$B$295,generator!$Q$2:$Q$295,"ARGH")</f>
        <v>8000</v>
      </c>
      <c r="IS43" s="3">
        <f>_xlfn.XLOOKUP(IS$1,generator!$B$2:$B$295,generator!$Q$2:$Q$295,"ARGH")</f>
        <v>8000</v>
      </c>
      <c r="IT43" s="3">
        <f>_xlfn.XLOOKUP(IT$1,generator!$B$2:$B$295,generator!$Q$2:$Q$295,"ARGH")</f>
        <v>8000</v>
      </c>
      <c r="IU43" s="3">
        <f>_xlfn.XLOOKUP(IU$1,generator!$B$2:$B$295,generator!$Q$2:$Q$295,"ARGH")</f>
        <v>8000</v>
      </c>
      <c r="IV43" s="3">
        <f>_xlfn.XLOOKUP(IV$1,generator!$B$2:$B$295,generator!$Q$2:$Q$295,"ARGH")</f>
        <v>8000</v>
      </c>
      <c r="IW43" s="3" t="str">
        <f>_xlfn.XLOOKUP(IW$1,generator!$B$2:$B$295,generator!$Q$2:$Q$295,"ARGH")</f>
        <v>108.19</v>
      </c>
      <c r="IX43" s="3" t="str">
        <f>_xlfn.XLOOKUP(IX$1,generator!$B$2:$B$295,generator!$Q$2:$Q$295,"ARGH")</f>
        <v>108.18</v>
      </c>
      <c r="IY43" s="3" t="str">
        <f>_xlfn.XLOOKUP(IY$1,generator!$B$2:$B$295,generator!$Q$2:$Q$295,"ARGH")</f>
        <v>108.17</v>
      </c>
      <c r="IZ43" s="3" t="str">
        <f>_xlfn.XLOOKUP(IZ$1,generator!$B$2:$B$295,generator!$Q$2:$Q$295,"ARGH")</f>
        <v>40.96</v>
      </c>
      <c r="JA43" s="3">
        <f>_xlfn.XLOOKUP(JA$1,generator!$B$2:$B$295,generator!$Q$2:$Q$295,"ARGH")</f>
        <v>0</v>
      </c>
      <c r="JB43" s="3">
        <f>_xlfn.XLOOKUP(JB$1,generator!$B$2:$B$295,generator!$Q$2:$Q$295,"ARGH")</f>
        <v>0</v>
      </c>
      <c r="JC43" s="3" t="str">
        <f>_xlfn.XLOOKUP(JC$1,generator!$B$2:$B$295,generator!$Q$2:$Q$295,"ARGH")</f>
        <v>75.91</v>
      </c>
      <c r="JD43" s="3" t="str">
        <f>_xlfn.XLOOKUP(JD$1,generator!$B$2:$B$295,generator!$Q$2:$Q$295,"ARGH")</f>
        <v>75.91</v>
      </c>
      <c r="JE43" s="3" t="str">
        <f>_xlfn.XLOOKUP(JE$1,generator!$B$2:$B$295,generator!$Q$2:$Q$295,"ARGH")</f>
        <v>51.59</v>
      </c>
      <c r="JF43" s="3" t="str">
        <f>_xlfn.XLOOKUP(JF$1,generator!$B$2:$B$295,generator!$Q$2:$Q$295,"ARGH")</f>
        <v>111.57</v>
      </c>
      <c r="JG43" s="3">
        <f>_xlfn.XLOOKUP(JG$1,generator!$B$2:$B$295,generator!$Q$2:$Q$295,"ARGH")</f>
        <v>0</v>
      </c>
      <c r="JH43" s="3" t="str">
        <f>_xlfn.XLOOKUP(JH$1,generator!$B$2:$B$295,generator!$Q$2:$Q$295,"ARGH")</f>
        <v>48.65</v>
      </c>
      <c r="JI43" s="3" t="str">
        <f>_xlfn.XLOOKUP(JI$1,generator!$B$2:$B$295,generator!$Q$2:$Q$295,"ARGH")</f>
        <v>71.88</v>
      </c>
      <c r="JJ43" s="3" t="str">
        <f>_xlfn.XLOOKUP(JJ$1,generator!$B$2:$B$295,generator!$Q$2:$Q$295,"ARGH")</f>
        <v>98.17</v>
      </c>
      <c r="JK43" s="3" t="str">
        <f>_xlfn.XLOOKUP(JK$1,generator!$B$2:$B$295,generator!$Q$2:$Q$295,"ARGH")</f>
        <v>98.17</v>
      </c>
      <c r="JL43" s="3" t="str">
        <f>_xlfn.XLOOKUP(JL$1,generator!$B$2:$B$295,generator!$Q$2:$Q$295,"ARGH")</f>
        <v>98.17</v>
      </c>
      <c r="JM43" s="3" t="str">
        <f>_xlfn.XLOOKUP(JM$1,generator!$B$2:$B$295,generator!$Q$2:$Q$295,"ARGH")</f>
        <v>98.17</v>
      </c>
      <c r="JN43" s="3" t="str">
        <f>_xlfn.XLOOKUP(JN$1,generator!$B$2:$B$295,generator!$Q$2:$Q$295,"ARGH")</f>
        <v>98.17</v>
      </c>
      <c r="JO43" s="3" t="str">
        <f>_xlfn.XLOOKUP(JO$1,generator!$B$2:$B$295,generator!$Q$2:$Q$295,"ARGH")</f>
        <v>98.17</v>
      </c>
      <c r="JP43" s="3" t="str">
        <f>_xlfn.XLOOKUP(JP$1,generator!$B$2:$B$295,generator!$Q$2:$Q$295,"ARGH")</f>
        <v>47.53</v>
      </c>
      <c r="JQ43" s="3" t="str">
        <f>_xlfn.XLOOKUP(JQ$1,generator!$B$2:$B$295,generator!$Q$2:$Q$295,"ARGH")</f>
        <v>108.86</v>
      </c>
      <c r="JR43" s="3" t="str">
        <f>_xlfn.XLOOKUP(JR$1,generator!$B$2:$B$295,generator!$Q$2:$Q$295,"ARGH")</f>
        <v>83.15</v>
      </c>
      <c r="JS43" s="3" t="str">
        <f>_xlfn.XLOOKUP(JS$1,generator!$B$2:$B$295,generator!$Q$2:$Q$295,"ARGH")</f>
        <v>83.15</v>
      </c>
      <c r="JT43" s="3" t="str">
        <f>_xlfn.XLOOKUP(JT$1,generator!$B$2:$B$295,generator!$Q$2:$Q$295,"ARGH")</f>
        <v>108.86</v>
      </c>
      <c r="JU43" s="3">
        <f>_xlfn.XLOOKUP(JU$1,generator!$B$2:$B$295,generator!$Q$2:$Q$295,"ARGH")</f>
        <v>0</v>
      </c>
      <c r="JV43" s="3" t="str">
        <f>_xlfn.XLOOKUP(JV$1,generator!$B$2:$B$295,generator!$Q$2:$Q$295,"ARGH")</f>
        <v>77.63</v>
      </c>
      <c r="JW43" s="3" t="str">
        <f>_xlfn.XLOOKUP(JW$1,generator!$B$2:$B$295,generator!$Q$2:$Q$295,"ARGH")</f>
        <v>77.64</v>
      </c>
      <c r="JX43" s="3" t="str">
        <f>_xlfn.XLOOKUP(JX$1,generator!$B$2:$B$295,generator!$Q$2:$Q$295,"ARGH")</f>
        <v>331.49</v>
      </c>
      <c r="JY43" s="3">
        <f>_xlfn.XLOOKUP(JY$1,generator!$B$2:$B$295,generator!$Q$2:$Q$295,"ARGH")</f>
        <v>7000</v>
      </c>
      <c r="JZ43" s="3">
        <f>_xlfn.XLOOKUP(JZ$1,generator!$B$2:$B$295,generator!$Q$2:$Q$295,"ARGH")</f>
        <v>0</v>
      </c>
      <c r="KA43" s="3">
        <f>_xlfn.XLOOKUP(KA$1,generator!$B$2:$B$295,generator!$Q$2:$Q$295,"ARGH")</f>
        <v>0</v>
      </c>
      <c r="KB43" s="3">
        <f>_xlfn.XLOOKUP(KB$1,generator!$B$2:$B$295,generator!$Q$2:$Q$295,"ARGH")</f>
        <v>0</v>
      </c>
      <c r="KC43" s="3">
        <f>_xlfn.XLOOKUP(KC$1,generator!$B$2:$B$295,generator!$Q$2:$Q$295,"ARGH")</f>
        <v>0</v>
      </c>
    </row>
    <row r="44" spans="1:289" x14ac:dyDescent="0.3">
      <c r="A44" s="4" t="s">
        <v>3039</v>
      </c>
      <c r="B44" s="3">
        <v>15000</v>
      </c>
      <c r="C44" s="3">
        <v>15000</v>
      </c>
      <c r="D44" s="3">
        <v>15000</v>
      </c>
      <c r="E44" s="3">
        <f>_xlfn.XLOOKUP(E$1,generator!$B$2:$B$295,generator!$Q$2:$Q$295,"ARGH")</f>
        <v>9000</v>
      </c>
      <c r="F44" s="3">
        <f>_xlfn.XLOOKUP(F$1,generator!$B$2:$B$295,generator!$Q$2:$Q$295,"ARGH")</f>
        <v>9000</v>
      </c>
      <c r="G44" s="3">
        <f>_xlfn.XLOOKUP(G$1,generator!$B$2:$B$295,generator!$Q$2:$Q$295,"ARGH")</f>
        <v>9000</v>
      </c>
      <c r="H44" s="3">
        <f>_xlfn.XLOOKUP(H$1,generator!$B$2:$B$295,generator!$Q$2:$Q$295,"ARGH")</f>
        <v>9000</v>
      </c>
      <c r="I44" s="3">
        <f>_xlfn.XLOOKUP(I$1,generator!$B$2:$B$295,generator!$Q$2:$Q$295,"ARGH")</f>
        <v>9000</v>
      </c>
      <c r="J44" s="3">
        <f>_xlfn.XLOOKUP(J$1,generator!$B$2:$B$295,generator!$Q$2:$Q$295,"ARGH")</f>
        <v>9000</v>
      </c>
      <c r="K44" s="3">
        <f>_xlfn.XLOOKUP(K$1,generator!$B$2:$B$295,generator!$Q$2:$Q$295,"ARGH")</f>
        <v>9000</v>
      </c>
      <c r="L44" s="3">
        <f>_xlfn.XLOOKUP(L$1,generator!$B$2:$B$295,generator!$Q$2:$Q$295,"ARGH")</f>
        <v>9000</v>
      </c>
      <c r="M44" s="3">
        <f>_xlfn.XLOOKUP(M$1,generator!$B$2:$B$295,generator!$Q$2:$Q$295,"ARGH")</f>
        <v>9000</v>
      </c>
      <c r="N44" s="3">
        <f>_xlfn.XLOOKUP(N$1,generator!$B$2:$B$295,generator!$Q$2:$Q$295,"ARGH")</f>
        <v>9000</v>
      </c>
      <c r="O44" s="3">
        <f>_xlfn.XLOOKUP(O$1,generator!$B$2:$B$295,generator!$Q$2:$Q$295,"ARGH")</f>
        <v>9000</v>
      </c>
      <c r="P44" s="3">
        <f>_xlfn.XLOOKUP(P$1,generator!$B$2:$B$295,generator!$Q$2:$Q$295,"ARGH")</f>
        <v>9000</v>
      </c>
      <c r="Q44" s="3">
        <f>_xlfn.XLOOKUP(Q$1,generator!$B$2:$B$295,generator!$Q$2:$Q$295,"ARGH")</f>
        <v>9000</v>
      </c>
      <c r="R44" s="3">
        <f>_xlfn.XLOOKUP(R$1,generator!$B$2:$B$295,generator!$Q$2:$Q$295,"ARGH")</f>
        <v>9000</v>
      </c>
      <c r="S44" s="3">
        <f>_xlfn.XLOOKUP(S$1,generator!$B$2:$B$295,generator!$Q$2:$Q$295,"ARGH")</f>
        <v>9000</v>
      </c>
      <c r="T44" s="3">
        <f>_xlfn.XLOOKUP(T$1,generator!$B$2:$B$295,generator!$Q$2:$Q$295,"ARGH")</f>
        <v>9000</v>
      </c>
      <c r="U44" s="3">
        <f>_xlfn.XLOOKUP(U$1,generator!$B$2:$B$295,generator!$Q$2:$Q$295,"ARGH")</f>
        <v>9000</v>
      </c>
      <c r="V44" s="3">
        <f>_xlfn.XLOOKUP(V$1,generator!$B$2:$B$295,generator!$Q$2:$Q$295,"ARGH")</f>
        <v>9000</v>
      </c>
      <c r="W44" s="3">
        <f>_xlfn.XLOOKUP(W$1,generator!$B$2:$B$295,generator!$Q$2:$Q$295,"ARGH")</f>
        <v>9000</v>
      </c>
      <c r="X44" s="3">
        <f>_xlfn.XLOOKUP(X$1,generator!$B$2:$B$295,generator!$Q$2:$Q$295,"ARGH")</f>
        <v>9000</v>
      </c>
      <c r="Y44" s="3">
        <f>_xlfn.XLOOKUP(Y$1,generator!$B$2:$B$295,generator!$Q$2:$Q$295,"ARGH")</f>
        <v>9000</v>
      </c>
      <c r="Z44" s="3">
        <f>_xlfn.XLOOKUP(Z$1,generator!$B$2:$B$295,generator!$Q$2:$Q$295,"ARGH")</f>
        <v>9000</v>
      </c>
      <c r="AA44" s="3">
        <f>_xlfn.XLOOKUP(AA$1,generator!$B$2:$B$295,generator!$Q$2:$Q$295,"ARGH")</f>
        <v>9000</v>
      </c>
      <c r="AB44" s="3">
        <f>_xlfn.XLOOKUP(AB$1,generator!$B$2:$B$295,generator!$Q$2:$Q$295,"ARGH")</f>
        <v>9000</v>
      </c>
      <c r="AC44" s="3">
        <f>_xlfn.XLOOKUP(AC$1,generator!$B$2:$B$295,generator!$Q$2:$Q$295,"ARGH")</f>
        <v>9000</v>
      </c>
      <c r="AD44" s="3">
        <f>_xlfn.XLOOKUP(AD$1,generator!$B$2:$B$295,generator!$Q$2:$Q$295,"ARGH")</f>
        <v>9000</v>
      </c>
      <c r="AE44" s="3">
        <f>_xlfn.XLOOKUP(AE$1,generator!$B$2:$B$295,generator!$Q$2:$Q$295,"ARGH")</f>
        <v>9000</v>
      </c>
      <c r="AF44" s="3">
        <f>_xlfn.XLOOKUP(AF$1,generator!$B$2:$B$295,generator!$Q$2:$Q$295,"ARGH")</f>
        <v>9000</v>
      </c>
      <c r="AG44" s="3">
        <f>_xlfn.XLOOKUP(AG$1,generator!$B$2:$B$295,generator!$Q$2:$Q$295,"ARGH")</f>
        <v>9000</v>
      </c>
      <c r="AH44" s="3">
        <f>_xlfn.XLOOKUP(AH$1,generator!$B$2:$B$295,generator!$Q$2:$Q$295,"ARGH")</f>
        <v>9000</v>
      </c>
      <c r="AI44" s="3">
        <f>_xlfn.XLOOKUP(AI$1,generator!$B$2:$B$295,generator!$Q$2:$Q$295,"ARGH")</f>
        <v>9000</v>
      </c>
      <c r="AJ44" s="3">
        <f>_xlfn.XLOOKUP(AJ$1,generator!$B$2:$B$295,generator!$Q$2:$Q$295,"ARGH")</f>
        <v>9000</v>
      </c>
      <c r="AK44" s="3">
        <f>_xlfn.XLOOKUP(AK$1,generator!$B$2:$B$295,generator!$Q$2:$Q$295,"ARGH")</f>
        <v>9000</v>
      </c>
      <c r="AL44" s="3">
        <f>_xlfn.XLOOKUP(AL$1,generator!$B$2:$B$295,generator!$Q$2:$Q$295,"ARGH")</f>
        <v>9000</v>
      </c>
      <c r="AM44" s="3">
        <f>_xlfn.XLOOKUP(AM$1,generator!$B$2:$B$295,generator!$Q$2:$Q$295,"ARGH")</f>
        <v>9000</v>
      </c>
      <c r="AN44" s="3">
        <f>_xlfn.XLOOKUP(AN$1,generator!$B$2:$B$295,generator!$Q$2:$Q$295,"ARGH")</f>
        <v>9000</v>
      </c>
      <c r="AO44" s="3">
        <f>_xlfn.XLOOKUP(AO$1,generator!$B$2:$B$295,generator!$Q$2:$Q$295,"ARGH")</f>
        <v>9000</v>
      </c>
      <c r="AP44" s="3">
        <f>_xlfn.XLOOKUP(AP$1,generator!$B$2:$B$295,generator!$Q$2:$Q$295,"ARGH")</f>
        <v>9000</v>
      </c>
      <c r="AQ44" s="3">
        <f>_xlfn.XLOOKUP(AQ$1,generator!$B$2:$B$295,generator!$Q$2:$Q$295,"ARGH")</f>
        <v>9000</v>
      </c>
      <c r="AR44" s="3">
        <f>_xlfn.XLOOKUP(AR$1,generator!$B$2:$B$295,generator!$Q$2:$Q$295,"ARGH")</f>
        <v>9000</v>
      </c>
      <c r="AS44" s="3">
        <f>_xlfn.XLOOKUP(AS$1,generator!$B$2:$B$295,generator!$Q$2:$Q$295,"ARGH")</f>
        <v>9000</v>
      </c>
      <c r="AT44" s="3">
        <f>_xlfn.XLOOKUP(AT$1,generator!$B$2:$B$295,generator!$Q$2:$Q$295,"ARGH")</f>
        <v>9000</v>
      </c>
      <c r="AU44" s="3">
        <f>_xlfn.XLOOKUP(AU$1,generator!$B$2:$B$295,generator!$Q$2:$Q$295,"ARGH")</f>
        <v>9000</v>
      </c>
      <c r="AV44" s="3">
        <f>_xlfn.XLOOKUP(AV$1,generator!$B$2:$B$295,generator!$Q$2:$Q$295,"ARGH")</f>
        <v>9000</v>
      </c>
      <c r="AW44" s="3">
        <f>_xlfn.XLOOKUP(AW$1,generator!$B$2:$B$295,generator!$Q$2:$Q$295,"ARGH")</f>
        <v>9000</v>
      </c>
      <c r="AX44" s="3">
        <f>_xlfn.XLOOKUP(AX$1,generator!$B$2:$B$295,generator!$Q$2:$Q$295,"ARGH")</f>
        <v>9000</v>
      </c>
      <c r="AY44" s="3">
        <f>_xlfn.XLOOKUP(AY$1,generator!$B$2:$B$295,generator!$Q$2:$Q$295,"ARGH")</f>
        <v>9000</v>
      </c>
      <c r="AZ44" s="3">
        <f>_xlfn.XLOOKUP(AZ$1,generator!$B$2:$B$295,generator!$Q$2:$Q$295,"ARGH")</f>
        <v>9000</v>
      </c>
      <c r="BA44" s="3">
        <f>_xlfn.XLOOKUP(BA$1,generator!$B$2:$B$295,generator!$Q$2:$Q$295,"ARGH")</f>
        <v>9000</v>
      </c>
      <c r="BB44" s="3">
        <f>_xlfn.XLOOKUP(BB$1,generator!$B$2:$B$295,generator!$Q$2:$Q$295,"ARGH")</f>
        <v>9000</v>
      </c>
      <c r="BC44" s="3">
        <f>_xlfn.XLOOKUP(BC$1,generator!$B$2:$B$295,generator!$Q$2:$Q$295,"ARGH")</f>
        <v>9000</v>
      </c>
      <c r="BD44" s="3">
        <f>_xlfn.XLOOKUP(BD$1,generator!$B$2:$B$295,generator!$Q$2:$Q$295,"ARGH")</f>
        <v>9000</v>
      </c>
      <c r="BE44" s="3">
        <f>_xlfn.XLOOKUP(BE$1,generator!$B$2:$B$295,generator!$Q$2:$Q$295,"ARGH")</f>
        <v>9000</v>
      </c>
      <c r="BF44" s="3">
        <f>_xlfn.XLOOKUP(BF$1,generator!$B$2:$B$295,generator!$Q$2:$Q$295,"ARGH")</f>
        <v>9000</v>
      </c>
      <c r="BG44" s="3">
        <f>_xlfn.XLOOKUP(BG$1,generator!$B$2:$B$295,generator!$Q$2:$Q$295,"ARGH")</f>
        <v>9000</v>
      </c>
      <c r="BH44" s="3">
        <f>_xlfn.XLOOKUP(BH$1,generator!$B$2:$B$295,generator!$Q$2:$Q$295,"ARGH")</f>
        <v>9000</v>
      </c>
      <c r="BI44" s="3">
        <f>_xlfn.XLOOKUP(BI$1,generator!$B$2:$B$295,generator!$Q$2:$Q$295,"ARGH")</f>
        <v>9000</v>
      </c>
      <c r="BJ44" s="3">
        <f>_xlfn.XLOOKUP(BJ$1,generator!$B$2:$B$295,generator!$Q$2:$Q$295,"ARGH")</f>
        <v>9000</v>
      </c>
      <c r="BK44" s="3">
        <f>_xlfn.XLOOKUP(BK$1,generator!$B$2:$B$295,generator!$Q$2:$Q$295,"ARGH")</f>
        <v>9000</v>
      </c>
      <c r="BL44" s="3">
        <f>_xlfn.XLOOKUP(BL$1,generator!$B$2:$B$295,generator!$Q$2:$Q$295,"ARGH")</f>
        <v>9000</v>
      </c>
      <c r="BM44" s="3">
        <f>_xlfn.XLOOKUP(BM$1,generator!$B$2:$B$295,generator!$Q$2:$Q$295,"ARGH")</f>
        <v>9000</v>
      </c>
      <c r="BN44" s="3">
        <f>_xlfn.XLOOKUP(BN$1,generator!$B$2:$B$295,generator!$Q$2:$Q$295,"ARGH")</f>
        <v>9000</v>
      </c>
      <c r="BO44" s="3">
        <f>_xlfn.XLOOKUP(BO$1,generator!$B$2:$B$295,generator!$Q$2:$Q$295,"ARGH")</f>
        <v>9000</v>
      </c>
      <c r="BP44" s="3">
        <f>_xlfn.XLOOKUP(BP$1,generator!$B$2:$B$295,generator!$Q$2:$Q$295,"ARGH")</f>
        <v>9000</v>
      </c>
      <c r="BQ44" s="3">
        <f>_xlfn.XLOOKUP(BQ$1,generator!$B$2:$B$295,generator!$Q$2:$Q$295,"ARGH")</f>
        <v>9000</v>
      </c>
      <c r="BR44" s="3">
        <f>_xlfn.XLOOKUP(BR$1,generator!$B$2:$B$295,generator!$Q$2:$Q$295,"ARGH")</f>
        <v>9000</v>
      </c>
      <c r="BS44" s="3">
        <f>_xlfn.XLOOKUP(BS$1,generator!$B$2:$B$295,generator!$Q$2:$Q$295,"ARGH")</f>
        <v>9000</v>
      </c>
      <c r="BT44" s="3">
        <f>_xlfn.XLOOKUP(BT$1,generator!$B$2:$B$295,generator!$Q$2:$Q$295,"ARGH")</f>
        <v>9000</v>
      </c>
      <c r="BU44" s="3">
        <f>_xlfn.XLOOKUP(BU$1,generator!$B$2:$B$295,generator!$Q$2:$Q$295,"ARGH")</f>
        <v>9000</v>
      </c>
      <c r="BV44" s="3">
        <f>_xlfn.XLOOKUP(BV$1,generator!$B$2:$B$295,generator!$Q$2:$Q$295,"ARGH")</f>
        <v>9000</v>
      </c>
      <c r="BW44" s="3">
        <f>_xlfn.XLOOKUP(BW$1,generator!$B$2:$B$295,generator!$Q$2:$Q$295,"ARGH")</f>
        <v>9000</v>
      </c>
      <c r="BX44" s="3">
        <f>_xlfn.XLOOKUP(BX$1,generator!$B$2:$B$295,generator!$Q$2:$Q$295,"ARGH")</f>
        <v>9000</v>
      </c>
      <c r="BY44" s="3">
        <f>_xlfn.XLOOKUP(BY$1,generator!$B$2:$B$295,generator!$Q$2:$Q$295,"ARGH")</f>
        <v>9000</v>
      </c>
      <c r="BZ44" s="3">
        <f>_xlfn.XLOOKUP(BZ$1,generator!$B$2:$B$295,generator!$Q$2:$Q$295,"ARGH")</f>
        <v>9000</v>
      </c>
      <c r="CA44" s="3">
        <f>_xlfn.XLOOKUP(CA$1,generator!$B$2:$B$295,generator!$Q$2:$Q$295,"ARGH")</f>
        <v>9000</v>
      </c>
      <c r="CB44" s="3">
        <f>_xlfn.XLOOKUP(CB$1,generator!$B$2:$B$295,generator!$Q$2:$Q$295,"ARGH")</f>
        <v>9000</v>
      </c>
      <c r="CC44" s="3">
        <f>_xlfn.XLOOKUP(CC$1,generator!$B$2:$B$295,generator!$Q$2:$Q$295,"ARGH")</f>
        <v>9000</v>
      </c>
      <c r="CD44" s="3">
        <f>_xlfn.XLOOKUP(CD$1,generator!$B$2:$B$295,generator!$Q$2:$Q$295,"ARGH")</f>
        <v>9000</v>
      </c>
      <c r="CE44" s="3">
        <f>_xlfn.XLOOKUP(CE$1,generator!$B$2:$B$295,generator!$Q$2:$Q$295,"ARGH")</f>
        <v>9000</v>
      </c>
      <c r="CF44" s="3">
        <f>_xlfn.XLOOKUP(CF$1,generator!$B$2:$B$295,generator!$Q$2:$Q$295,"ARGH")</f>
        <v>9000</v>
      </c>
      <c r="CG44" s="3">
        <f>_xlfn.XLOOKUP(CG$1,generator!$B$2:$B$295,generator!$Q$2:$Q$295,"ARGH")</f>
        <v>9000</v>
      </c>
      <c r="CH44" s="3">
        <f>_xlfn.XLOOKUP(CH$1,generator!$B$2:$B$295,generator!$Q$2:$Q$295,"ARGH")</f>
        <v>9000</v>
      </c>
      <c r="CI44" s="3">
        <f>_xlfn.XLOOKUP(CI$1,generator!$B$2:$B$295,generator!$Q$2:$Q$295,"ARGH")</f>
        <v>9000</v>
      </c>
      <c r="CJ44" s="3">
        <f>_xlfn.XLOOKUP(CJ$1,generator!$B$2:$B$295,generator!$Q$2:$Q$295,"ARGH")</f>
        <v>9000</v>
      </c>
      <c r="CK44" s="3">
        <f>_xlfn.XLOOKUP(CK$1,generator!$B$2:$B$295,generator!$Q$2:$Q$295,"ARGH")</f>
        <v>9000</v>
      </c>
      <c r="CL44" s="3">
        <f>_xlfn.XLOOKUP(CL$1,generator!$B$2:$B$295,generator!$Q$2:$Q$295,"ARGH")</f>
        <v>9000</v>
      </c>
      <c r="CM44" s="3">
        <f>_xlfn.XLOOKUP(CM$1,generator!$B$2:$B$295,generator!$Q$2:$Q$295,"ARGH")</f>
        <v>9000</v>
      </c>
      <c r="CN44" s="3">
        <f>_xlfn.XLOOKUP(CN$1,generator!$B$2:$B$295,generator!$Q$2:$Q$295,"ARGH")</f>
        <v>9000</v>
      </c>
      <c r="CO44" s="3">
        <f>_xlfn.XLOOKUP(CO$1,generator!$B$2:$B$295,generator!$Q$2:$Q$295,"ARGH")</f>
        <v>9000</v>
      </c>
      <c r="CP44" s="3">
        <f>_xlfn.XLOOKUP(CP$1,generator!$B$2:$B$295,generator!$Q$2:$Q$295,"ARGH")</f>
        <v>9000</v>
      </c>
      <c r="CQ44" s="3">
        <f>_xlfn.XLOOKUP(CQ$1,generator!$B$2:$B$295,generator!$Q$2:$Q$295,"ARGH")</f>
        <v>9000</v>
      </c>
      <c r="CR44" s="3">
        <f>_xlfn.XLOOKUP(CR$1,generator!$B$2:$B$295,generator!$Q$2:$Q$295,"ARGH")</f>
        <v>9000</v>
      </c>
      <c r="CS44" s="3">
        <f>_xlfn.XLOOKUP(CS$1,generator!$B$2:$B$295,generator!$Q$2:$Q$295,"ARGH")</f>
        <v>9000</v>
      </c>
      <c r="CT44" s="3">
        <f>_xlfn.XLOOKUP(CT$1,generator!$B$2:$B$295,generator!$Q$2:$Q$295,"ARGH")</f>
        <v>9000</v>
      </c>
      <c r="CU44" s="3">
        <f>_xlfn.XLOOKUP(CU$1,generator!$B$2:$B$295,generator!$Q$2:$Q$295,"ARGH")</f>
        <v>9000</v>
      </c>
      <c r="CV44" s="3">
        <f>_xlfn.XLOOKUP(CV$1,generator!$B$2:$B$295,generator!$Q$2:$Q$295,"ARGH")</f>
        <v>9000</v>
      </c>
      <c r="CW44" s="3">
        <f>_xlfn.XLOOKUP(CW$1,generator!$B$2:$B$295,generator!$Q$2:$Q$295,"ARGH")</f>
        <v>9000</v>
      </c>
      <c r="CX44" s="3">
        <f>_xlfn.XLOOKUP(CX$1,generator!$B$2:$B$295,generator!$Q$2:$Q$295,"ARGH")</f>
        <v>9000</v>
      </c>
      <c r="CY44" s="3">
        <f>_xlfn.XLOOKUP(CY$1,generator!$B$2:$B$295,generator!$Q$2:$Q$295,"ARGH")</f>
        <v>9000</v>
      </c>
      <c r="CZ44" s="3">
        <f>_xlfn.XLOOKUP(CZ$1,generator!$B$2:$B$295,generator!$Q$2:$Q$295,"ARGH")</f>
        <v>9000</v>
      </c>
      <c r="DA44" s="3">
        <f>_xlfn.XLOOKUP(DA$1,generator!$B$2:$B$295,generator!$Q$2:$Q$295,"ARGH")</f>
        <v>9000</v>
      </c>
      <c r="DB44" s="3">
        <f>_xlfn.XLOOKUP(DB$1,generator!$B$2:$B$295,generator!$Q$2:$Q$295,"ARGH")</f>
        <v>9000</v>
      </c>
      <c r="DC44" s="3">
        <f>_xlfn.XLOOKUP(DC$1,generator!$B$2:$B$295,generator!$Q$2:$Q$295,"ARGH")</f>
        <v>9000</v>
      </c>
      <c r="DD44" s="3">
        <f>_xlfn.XLOOKUP(DD$1,generator!$B$2:$B$295,generator!$Q$2:$Q$295,"ARGH")</f>
        <v>9000</v>
      </c>
      <c r="DE44" s="3">
        <f>_xlfn.XLOOKUP(DE$1,generator!$B$2:$B$295,generator!$Q$2:$Q$295,"ARGH")</f>
        <v>9000</v>
      </c>
      <c r="DF44" s="3">
        <f>_xlfn.XLOOKUP(DF$1,generator!$B$2:$B$295,generator!$Q$2:$Q$295,"ARGH")</f>
        <v>9000</v>
      </c>
      <c r="DG44" s="3">
        <f>_xlfn.XLOOKUP(DG$1,generator!$B$2:$B$295,generator!$Q$2:$Q$295,"ARGH")</f>
        <v>9000</v>
      </c>
      <c r="DH44" s="3">
        <f>_xlfn.XLOOKUP(DH$1,generator!$B$2:$B$295,generator!$Q$2:$Q$295,"ARGH")</f>
        <v>9000</v>
      </c>
      <c r="DI44" s="3">
        <f>_xlfn.XLOOKUP(DI$1,generator!$B$2:$B$295,generator!$Q$2:$Q$295,"ARGH")</f>
        <v>9000</v>
      </c>
      <c r="DJ44" s="3">
        <f>_xlfn.XLOOKUP(DJ$1,generator!$B$2:$B$295,generator!$Q$2:$Q$295,"ARGH")</f>
        <v>9000</v>
      </c>
      <c r="DK44" s="3">
        <f>_xlfn.XLOOKUP(DK$1,generator!$B$2:$B$295,generator!$Q$2:$Q$295,"ARGH")</f>
        <v>9000</v>
      </c>
      <c r="DL44" s="3">
        <f>_xlfn.XLOOKUP(DL$1,generator!$B$2:$B$295,generator!$Q$2:$Q$295,"ARGH")</f>
        <v>9000</v>
      </c>
      <c r="DM44" s="3">
        <f>_xlfn.XLOOKUP(DM$1,generator!$B$2:$B$295,generator!$Q$2:$Q$295,"ARGH")</f>
        <v>9000</v>
      </c>
      <c r="DN44" s="3">
        <f>_xlfn.XLOOKUP(DN$1,generator!$B$2:$B$295,generator!$Q$2:$Q$295,"ARGH")</f>
        <v>9000</v>
      </c>
      <c r="DO44" s="3">
        <f>_xlfn.XLOOKUP(DO$1,generator!$B$2:$B$295,generator!$Q$2:$Q$295,"ARGH")</f>
        <v>9000</v>
      </c>
      <c r="DP44" s="3">
        <f>_xlfn.XLOOKUP(DP$1,generator!$B$2:$B$295,generator!$Q$2:$Q$295,"ARGH")</f>
        <v>9000</v>
      </c>
      <c r="DQ44" s="3">
        <f>_xlfn.XLOOKUP(DQ$1,generator!$B$2:$B$295,generator!$Q$2:$Q$295,"ARGH")</f>
        <v>9000</v>
      </c>
      <c r="DR44" s="3">
        <f>_xlfn.XLOOKUP(DR$1,generator!$B$2:$B$295,generator!$Q$2:$Q$295,"ARGH")</f>
        <v>9000</v>
      </c>
      <c r="DS44" s="3">
        <f>_xlfn.XLOOKUP(DS$1,generator!$B$2:$B$295,generator!$Q$2:$Q$295,"ARGH")</f>
        <v>9000</v>
      </c>
      <c r="DT44" s="3">
        <f>_xlfn.XLOOKUP(DT$1,generator!$B$2:$B$295,generator!$Q$2:$Q$295,"ARGH")</f>
        <v>9000</v>
      </c>
      <c r="DU44" s="3">
        <f>_xlfn.XLOOKUP(DU$1,generator!$B$2:$B$295,generator!$Q$2:$Q$295,"ARGH")</f>
        <v>9000</v>
      </c>
      <c r="DV44" s="3">
        <f>_xlfn.XLOOKUP(DV$1,generator!$B$2:$B$295,generator!$Q$2:$Q$295,"ARGH")</f>
        <v>9000</v>
      </c>
      <c r="DW44" s="3">
        <f>_xlfn.XLOOKUP(DW$1,generator!$B$2:$B$295,generator!$Q$2:$Q$295,"ARGH")</f>
        <v>9000</v>
      </c>
      <c r="DX44" s="3">
        <f>_xlfn.XLOOKUP(DX$1,generator!$B$2:$B$295,generator!$Q$2:$Q$295,"ARGH")</f>
        <v>9000</v>
      </c>
      <c r="DY44" s="3">
        <f>_xlfn.XLOOKUP(DY$1,generator!$B$2:$B$295,generator!$Q$2:$Q$295,"ARGH")</f>
        <v>9000</v>
      </c>
      <c r="DZ44" s="3">
        <f>_xlfn.XLOOKUP(DZ$1,generator!$B$2:$B$295,generator!$Q$2:$Q$295,"ARGH")</f>
        <v>9000</v>
      </c>
      <c r="EA44" s="3">
        <f>_xlfn.XLOOKUP(EA$1,generator!$B$2:$B$295,generator!$Q$2:$Q$295,"ARGH")</f>
        <v>9000</v>
      </c>
      <c r="EB44" s="3">
        <f>_xlfn.XLOOKUP(EB$1,generator!$B$2:$B$295,generator!$Q$2:$Q$295,"ARGH")</f>
        <v>9000</v>
      </c>
      <c r="EC44" s="3">
        <f>_xlfn.XLOOKUP(EC$1,generator!$B$2:$B$295,generator!$Q$2:$Q$295,"ARGH")</f>
        <v>9000</v>
      </c>
      <c r="ED44" s="3">
        <f>_xlfn.XLOOKUP(ED$1,generator!$B$2:$B$295,generator!$Q$2:$Q$295,"ARGH")</f>
        <v>9000</v>
      </c>
      <c r="EE44" s="3">
        <f>_xlfn.XLOOKUP(EE$1,generator!$B$2:$B$295,generator!$Q$2:$Q$295,"ARGH")</f>
        <v>9000</v>
      </c>
      <c r="EF44" s="3">
        <f>_xlfn.XLOOKUP(EF$1,generator!$B$2:$B$295,generator!$Q$2:$Q$295,"ARGH")</f>
        <v>9000</v>
      </c>
      <c r="EG44" s="3">
        <f>_xlfn.XLOOKUP(EG$1,generator!$B$2:$B$295,generator!$Q$2:$Q$295,"ARGH")</f>
        <v>9000</v>
      </c>
      <c r="EH44" s="3">
        <f>_xlfn.XLOOKUP(EH$1,generator!$B$2:$B$295,generator!$Q$2:$Q$295,"ARGH")</f>
        <v>9000</v>
      </c>
      <c r="EI44" s="3">
        <f>_xlfn.XLOOKUP(EI$1,generator!$B$2:$B$295,generator!$Q$2:$Q$295,"ARGH")</f>
        <v>9000</v>
      </c>
      <c r="EJ44" s="3">
        <f>_xlfn.XLOOKUP(EJ$1,generator!$B$2:$B$295,generator!$Q$2:$Q$295,"ARGH")</f>
        <v>9000</v>
      </c>
      <c r="EK44" s="3">
        <f>_xlfn.XLOOKUP(EK$1,generator!$B$2:$B$295,generator!$Q$2:$Q$295,"ARGH")</f>
        <v>9000</v>
      </c>
      <c r="EL44" s="3">
        <f>_xlfn.XLOOKUP(EL$1,generator!$B$2:$B$295,generator!$Q$2:$Q$295,"ARGH")</f>
        <v>9000</v>
      </c>
      <c r="EM44" s="3">
        <f>_xlfn.XLOOKUP(EM$1,generator!$B$2:$B$295,generator!$Q$2:$Q$295,"ARGH")</f>
        <v>9000</v>
      </c>
      <c r="EN44" s="3">
        <f>_xlfn.XLOOKUP(EN$1,generator!$B$2:$B$295,generator!$Q$2:$Q$295,"ARGH")</f>
        <v>9000</v>
      </c>
      <c r="EO44" s="3">
        <f>_xlfn.XLOOKUP(EO$1,generator!$B$2:$B$295,generator!$Q$2:$Q$295,"ARGH")</f>
        <v>9000</v>
      </c>
      <c r="EP44" s="3">
        <f>_xlfn.XLOOKUP(EP$1,generator!$B$2:$B$295,generator!$Q$2:$Q$295,"ARGH")</f>
        <v>9000</v>
      </c>
      <c r="EQ44" s="3">
        <f>_xlfn.XLOOKUP(EQ$1,generator!$B$2:$B$295,generator!$Q$2:$Q$295,"ARGH")</f>
        <v>9000</v>
      </c>
      <c r="ER44" s="3">
        <f>_xlfn.XLOOKUP(ER$1,generator!$B$2:$B$295,generator!$Q$2:$Q$295,"ARGH")</f>
        <v>9000</v>
      </c>
      <c r="ES44" s="3">
        <f>_xlfn.XLOOKUP(ES$1,generator!$B$2:$B$295,generator!$Q$2:$Q$295,"ARGH")</f>
        <v>9000</v>
      </c>
      <c r="ET44" s="3">
        <f>_xlfn.XLOOKUP(ET$1,generator!$B$2:$B$295,generator!$Q$2:$Q$295,"ARGH")</f>
        <v>9000</v>
      </c>
      <c r="EU44" s="3">
        <f>_xlfn.XLOOKUP(EU$1,generator!$B$2:$B$295,generator!$Q$2:$Q$295,"ARGH")</f>
        <v>9000</v>
      </c>
      <c r="EV44" s="3">
        <f>_xlfn.XLOOKUP(EV$1,generator!$B$2:$B$295,generator!$Q$2:$Q$295,"ARGH")</f>
        <v>9000</v>
      </c>
      <c r="EW44" s="3">
        <f>_xlfn.XLOOKUP(EW$1,generator!$B$2:$B$295,generator!$Q$2:$Q$295,"ARGH")</f>
        <v>9000</v>
      </c>
      <c r="EX44" s="3">
        <f>_xlfn.XLOOKUP(EX$1,generator!$B$2:$B$295,generator!$Q$2:$Q$295,"ARGH")</f>
        <v>9000</v>
      </c>
      <c r="EY44" s="3">
        <f>_xlfn.XLOOKUP(EY$1,generator!$B$2:$B$295,generator!$Q$2:$Q$295,"ARGH")</f>
        <v>9000</v>
      </c>
      <c r="EZ44" s="3">
        <f>_xlfn.XLOOKUP(EZ$1,generator!$B$2:$B$295,generator!$Q$2:$Q$295,"ARGH")</f>
        <v>9000</v>
      </c>
      <c r="FA44" s="3">
        <f>_xlfn.XLOOKUP(FA$1,generator!$B$2:$B$295,generator!$Q$2:$Q$295,"ARGH")</f>
        <v>9000</v>
      </c>
      <c r="FB44" s="3">
        <f>_xlfn.XLOOKUP(FB$1,generator!$B$2:$B$295,generator!$Q$2:$Q$295,"ARGH")</f>
        <v>9000</v>
      </c>
      <c r="FC44" s="3">
        <f>_xlfn.XLOOKUP(FC$1,generator!$B$2:$B$295,generator!$Q$2:$Q$295,"ARGH")</f>
        <v>9000</v>
      </c>
      <c r="FD44" s="3">
        <f>_xlfn.XLOOKUP(FD$1,generator!$B$2:$B$295,generator!$Q$2:$Q$295,"ARGH")</f>
        <v>9000</v>
      </c>
      <c r="FE44" s="3">
        <f>_xlfn.XLOOKUP(FE$1,generator!$B$2:$B$295,generator!$Q$2:$Q$295,"ARGH")</f>
        <v>9000</v>
      </c>
      <c r="FF44" s="3">
        <f>_xlfn.XLOOKUP(FF$1,generator!$B$2:$B$295,generator!$Q$2:$Q$295,"ARGH")</f>
        <v>9000</v>
      </c>
      <c r="FG44" s="3">
        <f>_xlfn.XLOOKUP(FG$1,generator!$B$2:$B$295,generator!$Q$2:$Q$295,"ARGH")</f>
        <v>9000</v>
      </c>
      <c r="FH44" s="3">
        <f>_xlfn.XLOOKUP(FH$1,generator!$B$2:$B$295,generator!$Q$2:$Q$295,"ARGH")</f>
        <v>9000</v>
      </c>
      <c r="FI44" s="3">
        <f>_xlfn.XLOOKUP(FI$1,generator!$B$2:$B$295,generator!$Q$2:$Q$295,"ARGH")</f>
        <v>9000</v>
      </c>
      <c r="FJ44" s="3">
        <f>_xlfn.XLOOKUP(FJ$1,generator!$B$2:$B$295,generator!$Q$2:$Q$295,"ARGH")</f>
        <v>9000</v>
      </c>
      <c r="FK44" s="3">
        <f>_xlfn.XLOOKUP(FK$1,generator!$B$2:$B$295,generator!$Q$2:$Q$295,"ARGH")</f>
        <v>9000</v>
      </c>
      <c r="FL44" s="3">
        <f>_xlfn.XLOOKUP(FL$1,generator!$B$2:$B$295,generator!$Q$2:$Q$295,"ARGH")</f>
        <v>9000</v>
      </c>
      <c r="FM44" s="3">
        <f>_xlfn.XLOOKUP(FM$1,generator!$B$2:$B$295,generator!$Q$2:$Q$295,"ARGH")</f>
        <v>9000</v>
      </c>
      <c r="FN44" s="3">
        <f>_xlfn.XLOOKUP(FN$1,generator!$B$2:$B$295,generator!$Q$2:$Q$295,"ARGH")</f>
        <v>9000</v>
      </c>
      <c r="FO44" s="3">
        <f>_xlfn.XLOOKUP(FO$1,generator!$B$2:$B$295,generator!$Q$2:$Q$295,"ARGH")</f>
        <v>9000</v>
      </c>
      <c r="FP44" s="3">
        <f>_xlfn.XLOOKUP(FP$1,generator!$B$2:$B$295,generator!$Q$2:$Q$295,"ARGH")</f>
        <v>9000</v>
      </c>
      <c r="FQ44" s="3">
        <f>_xlfn.XLOOKUP(FQ$1,generator!$B$2:$B$295,generator!$Q$2:$Q$295,"ARGH")</f>
        <v>9000</v>
      </c>
      <c r="FR44" s="3">
        <f>_xlfn.XLOOKUP(FR$1,generator!$B$2:$B$295,generator!$Q$2:$Q$295,"ARGH")</f>
        <v>9000</v>
      </c>
      <c r="FS44" s="3">
        <f>_xlfn.XLOOKUP(FS$1,generator!$B$2:$B$295,generator!$Q$2:$Q$295,"ARGH")</f>
        <v>9000</v>
      </c>
      <c r="FT44" s="3">
        <f>_xlfn.XLOOKUP(FT$1,generator!$B$2:$B$295,generator!$Q$2:$Q$295,"ARGH")</f>
        <v>9000</v>
      </c>
      <c r="FU44" s="3">
        <f>_xlfn.XLOOKUP(FU$1,generator!$B$2:$B$295,generator!$Q$2:$Q$295,"ARGH")</f>
        <v>9000</v>
      </c>
      <c r="FV44" s="3">
        <f>_xlfn.XLOOKUP(FV$1,generator!$B$2:$B$295,generator!$Q$2:$Q$295,"ARGH")</f>
        <v>9000</v>
      </c>
      <c r="FW44" s="3">
        <f>_xlfn.XLOOKUP(FW$1,generator!$B$2:$B$295,generator!$Q$2:$Q$295,"ARGH")</f>
        <v>9000</v>
      </c>
      <c r="FX44" s="3">
        <f>_xlfn.XLOOKUP(FX$1,generator!$B$2:$B$295,generator!$Q$2:$Q$295,"ARGH")</f>
        <v>9000</v>
      </c>
      <c r="FY44" s="3">
        <f>_xlfn.XLOOKUP(FY$1,generator!$B$2:$B$295,generator!$Q$2:$Q$295,"ARGH")</f>
        <v>9000</v>
      </c>
      <c r="FZ44" s="3">
        <f>_xlfn.XLOOKUP(FZ$1,generator!$B$2:$B$295,generator!$Q$2:$Q$295,"ARGH")</f>
        <v>9000</v>
      </c>
      <c r="GA44" s="3">
        <f>_xlfn.XLOOKUP(GA$1,generator!$B$2:$B$295,generator!$Q$2:$Q$295,"ARGH")</f>
        <v>9000</v>
      </c>
      <c r="GB44" s="3">
        <f>_xlfn.XLOOKUP(GB$1,generator!$B$2:$B$295,generator!$Q$2:$Q$295,"ARGH")</f>
        <v>9000</v>
      </c>
      <c r="GC44" s="3">
        <f>_xlfn.XLOOKUP(GC$1,generator!$B$2:$B$295,generator!$Q$2:$Q$295,"ARGH")</f>
        <v>9000</v>
      </c>
      <c r="GD44" s="3">
        <f>_xlfn.XLOOKUP(GD$1,generator!$B$2:$B$295,generator!$Q$2:$Q$295,"ARGH")</f>
        <v>9000</v>
      </c>
      <c r="GE44" s="3">
        <f>_xlfn.XLOOKUP(GE$1,generator!$B$2:$B$295,generator!$Q$2:$Q$295,"ARGH")</f>
        <v>9000</v>
      </c>
      <c r="GF44" s="3">
        <f>_xlfn.XLOOKUP(GF$1,generator!$B$2:$B$295,generator!$Q$2:$Q$295,"ARGH")</f>
        <v>9000</v>
      </c>
      <c r="GG44" s="3">
        <f>_xlfn.XLOOKUP(GG$1,generator!$B$2:$B$295,generator!$Q$2:$Q$295,"ARGH")</f>
        <v>9000</v>
      </c>
      <c r="GH44" s="3">
        <f>_xlfn.XLOOKUP(GH$1,generator!$B$2:$B$295,generator!$Q$2:$Q$295,"ARGH")</f>
        <v>9000</v>
      </c>
      <c r="GI44" s="3">
        <f>_xlfn.XLOOKUP(GI$1,generator!$B$2:$B$295,generator!$Q$2:$Q$295,"ARGH")</f>
        <v>9000</v>
      </c>
      <c r="GJ44" s="3">
        <f>_xlfn.XLOOKUP(GJ$1,generator!$B$2:$B$295,generator!$Q$2:$Q$295,"ARGH")</f>
        <v>9000</v>
      </c>
      <c r="GK44" s="3">
        <f>_xlfn.XLOOKUP(GK$1,generator!$B$2:$B$295,generator!$Q$2:$Q$295,"ARGH")</f>
        <v>9000</v>
      </c>
      <c r="GL44" s="3">
        <f>_xlfn.XLOOKUP(GL$1,generator!$B$2:$B$295,generator!$Q$2:$Q$295,"ARGH")</f>
        <v>9000</v>
      </c>
      <c r="GM44" s="3">
        <f>_xlfn.XLOOKUP(GM$1,generator!$B$2:$B$295,generator!$Q$2:$Q$295,"ARGH")</f>
        <v>9000</v>
      </c>
      <c r="GN44" s="3">
        <f>_xlfn.XLOOKUP(GN$1,generator!$B$2:$B$295,generator!$Q$2:$Q$295,"ARGH")</f>
        <v>9000</v>
      </c>
      <c r="GO44" s="3">
        <f>_xlfn.XLOOKUP(GO$1,generator!$B$2:$B$295,generator!$Q$2:$Q$295,"ARGH")</f>
        <v>9000</v>
      </c>
      <c r="GP44" s="3">
        <f>_xlfn.XLOOKUP(GP$1,generator!$B$2:$B$295,generator!$Q$2:$Q$295,"ARGH")</f>
        <v>9000</v>
      </c>
      <c r="GQ44" s="3">
        <f>_xlfn.XLOOKUP(GQ$1,generator!$B$2:$B$295,generator!$Q$2:$Q$295,"ARGH")</f>
        <v>9000</v>
      </c>
      <c r="GR44" s="3">
        <f>_xlfn.XLOOKUP(GR$1,generator!$B$2:$B$295,generator!$Q$2:$Q$295,"ARGH")</f>
        <v>9000</v>
      </c>
      <c r="GS44" s="3">
        <f>_xlfn.XLOOKUP(GS$1,generator!$B$2:$B$295,generator!$Q$2:$Q$295,"ARGH")</f>
        <v>9000</v>
      </c>
      <c r="GT44" s="3">
        <f>_xlfn.XLOOKUP(GT$1,generator!$B$2:$B$295,generator!$Q$2:$Q$295,"ARGH")</f>
        <v>9000</v>
      </c>
      <c r="GU44" s="3">
        <f>_xlfn.XLOOKUP(GU$1,generator!$B$2:$B$295,generator!$Q$2:$Q$295,"ARGH")</f>
        <v>9000</v>
      </c>
      <c r="GV44" s="3">
        <f>_xlfn.XLOOKUP(GV$1,generator!$B$2:$B$295,generator!$Q$2:$Q$295,"ARGH")</f>
        <v>9000</v>
      </c>
      <c r="GW44" s="3">
        <f>_xlfn.XLOOKUP(GW$1,generator!$B$2:$B$295,generator!$Q$2:$Q$295,"ARGH")</f>
        <v>9000</v>
      </c>
      <c r="GX44" s="3">
        <f>_xlfn.XLOOKUP(GX$1,generator!$B$2:$B$295,generator!$Q$2:$Q$295,"ARGH")</f>
        <v>9000</v>
      </c>
      <c r="GY44" s="3">
        <f>_xlfn.XLOOKUP(GY$1,generator!$B$2:$B$295,generator!$Q$2:$Q$295,"ARGH")</f>
        <v>9000</v>
      </c>
      <c r="GZ44" s="3">
        <f>_xlfn.XLOOKUP(GZ$1,generator!$B$2:$B$295,generator!$Q$2:$Q$295,"ARGH")</f>
        <v>9000</v>
      </c>
      <c r="HA44" s="3">
        <f>_xlfn.XLOOKUP(HA$1,generator!$B$2:$B$295,generator!$Q$2:$Q$295,"ARGH")</f>
        <v>9000</v>
      </c>
      <c r="HB44" s="3">
        <f>_xlfn.XLOOKUP(HB$1,generator!$B$2:$B$295,generator!$Q$2:$Q$295,"ARGH")</f>
        <v>9000</v>
      </c>
      <c r="HC44" s="3">
        <f>_xlfn.XLOOKUP(HC$1,generator!$B$2:$B$295,generator!$Q$2:$Q$295,"ARGH")</f>
        <v>9000</v>
      </c>
      <c r="HD44" s="3">
        <f>_xlfn.XLOOKUP(HD$1,generator!$B$2:$B$295,generator!$Q$2:$Q$295,"ARGH")</f>
        <v>9000</v>
      </c>
      <c r="HE44" s="3">
        <f>_xlfn.XLOOKUP(HE$1,generator!$B$2:$B$295,generator!$Q$2:$Q$295,"ARGH")</f>
        <v>8000</v>
      </c>
      <c r="HF44" s="3" t="str">
        <f>_xlfn.XLOOKUP(HF$1,generator!$B$2:$B$295,generator!$Q$2:$Q$295,"ARGH")</f>
        <v>143</v>
      </c>
      <c r="HG44" s="3" t="str">
        <f>_xlfn.XLOOKUP(HG$1,generator!$B$2:$B$295,generator!$Q$2:$Q$295,"ARGH")</f>
        <v>143</v>
      </c>
      <c r="HH44" s="3" t="str">
        <f>_xlfn.XLOOKUP(HH$1,generator!$B$2:$B$295,generator!$Q$2:$Q$295,"ARGH")</f>
        <v>143</v>
      </c>
      <c r="HI44" s="3" t="str">
        <f>_xlfn.XLOOKUP(HI$1,generator!$B$2:$B$295,generator!$Q$2:$Q$295,"ARGH")</f>
        <v>246.74</v>
      </c>
      <c r="HJ44" s="3" t="str">
        <f>_xlfn.XLOOKUP(HJ$1,generator!$B$2:$B$295,generator!$Q$2:$Q$295,"ARGH")</f>
        <v>246.74</v>
      </c>
      <c r="HK44" s="3" t="str">
        <f>_xlfn.XLOOKUP(HK$1,generator!$B$2:$B$295,generator!$Q$2:$Q$295,"ARGH")</f>
        <v>206.04</v>
      </c>
      <c r="HL44" s="3" t="str">
        <f>_xlfn.XLOOKUP(HL$1,generator!$B$2:$B$295,generator!$Q$2:$Q$295,"ARGH")</f>
        <v>506.96</v>
      </c>
      <c r="HM44" s="3" t="str">
        <f>_xlfn.XLOOKUP(HM$1,generator!$B$2:$B$295,generator!$Q$2:$Q$295,"ARGH")</f>
        <v>506.95</v>
      </c>
      <c r="HN44" s="3" t="str">
        <f>_xlfn.XLOOKUP(HN$1,generator!$B$2:$B$295,generator!$Q$2:$Q$295,"ARGH")</f>
        <v>190.97</v>
      </c>
      <c r="HO44" s="3" t="str">
        <f>_xlfn.XLOOKUP(HO$1,generator!$B$2:$B$295,generator!$Q$2:$Q$295,"ARGH")</f>
        <v>190.97</v>
      </c>
      <c r="HP44" s="3" t="str">
        <f>_xlfn.XLOOKUP(HP$1,generator!$B$2:$B$295,generator!$Q$2:$Q$295,"ARGH")</f>
        <v>424.84</v>
      </c>
      <c r="HQ44" s="3" t="str">
        <f>_xlfn.XLOOKUP(HQ$1,generator!$B$2:$B$295,generator!$Q$2:$Q$295,"ARGH")</f>
        <v>425.9</v>
      </c>
      <c r="HR44" s="3" t="str">
        <f>_xlfn.XLOOKUP(HR$1,generator!$B$2:$B$295,generator!$Q$2:$Q$295,"ARGH")</f>
        <v>425.9</v>
      </c>
      <c r="HS44" s="3" t="str">
        <f>_xlfn.XLOOKUP(HS$1,generator!$B$2:$B$295,generator!$Q$2:$Q$295,"ARGH")</f>
        <v>196.54</v>
      </c>
      <c r="HT44" s="3" t="str">
        <f>_xlfn.XLOOKUP(HT$1,generator!$B$2:$B$295,generator!$Q$2:$Q$295,"ARGH")</f>
        <v>196.54</v>
      </c>
      <c r="HU44" s="3" t="str">
        <f>_xlfn.XLOOKUP(HU$1,generator!$B$2:$B$295,generator!$Q$2:$Q$295,"ARGH")</f>
        <v>145.57</v>
      </c>
      <c r="HV44" s="3" t="str">
        <f>_xlfn.XLOOKUP(HV$1,generator!$B$2:$B$295,generator!$Q$2:$Q$295,"ARGH")</f>
        <v>132.62</v>
      </c>
      <c r="HW44" s="3" t="str">
        <f>_xlfn.XLOOKUP(HW$1,generator!$B$2:$B$295,generator!$Q$2:$Q$295,"ARGH")</f>
        <v>193.76</v>
      </c>
      <c r="HX44" s="3" t="str">
        <f>_xlfn.XLOOKUP(HX$1,generator!$B$2:$B$295,generator!$Q$2:$Q$295,"ARGH")</f>
        <v>193.76</v>
      </c>
      <c r="HY44" s="3" t="str">
        <f>_xlfn.XLOOKUP(HY$1,generator!$B$2:$B$295,generator!$Q$2:$Q$295,"ARGH")</f>
        <v>79.19</v>
      </c>
      <c r="HZ44" s="3" t="str">
        <f>_xlfn.XLOOKUP(HZ$1,generator!$B$2:$B$295,generator!$Q$2:$Q$295,"ARGH")</f>
        <v>125.79</v>
      </c>
      <c r="IA44" s="3" t="str">
        <f>_xlfn.XLOOKUP(IA$1,generator!$B$2:$B$295,generator!$Q$2:$Q$295,"ARGH")</f>
        <v>54.19</v>
      </c>
      <c r="IB44" s="3" t="str">
        <f>_xlfn.XLOOKUP(IB$1,generator!$B$2:$B$295,generator!$Q$2:$Q$295,"ARGH")</f>
        <v>59.7</v>
      </c>
      <c r="IC44" s="3">
        <f>_xlfn.XLOOKUP(IC$1,generator!$B$2:$B$295,generator!$Q$2:$Q$295,"ARGH")</f>
        <v>0</v>
      </c>
      <c r="ID44" s="3" t="str">
        <f>_xlfn.XLOOKUP(ID$1,generator!$B$2:$B$295,generator!$Q$2:$Q$295,"ARGH")</f>
        <v>121.14</v>
      </c>
      <c r="IE44" s="3" t="str">
        <f>_xlfn.XLOOKUP(IE$1,generator!$B$2:$B$295,generator!$Q$2:$Q$295,"ARGH")</f>
        <v>26.6</v>
      </c>
      <c r="IF44" s="3">
        <f>_xlfn.XLOOKUP(IF$1,generator!$B$2:$B$295,generator!$Q$2:$Q$295,"ARGH")</f>
        <v>8000</v>
      </c>
      <c r="IG44" s="3">
        <f>_xlfn.XLOOKUP(IG$1,generator!$B$2:$B$295,generator!$Q$2:$Q$295,"ARGH")</f>
        <v>8000</v>
      </c>
      <c r="IH44" s="3">
        <f>_xlfn.XLOOKUP(IH$1,generator!$B$2:$B$295,generator!$Q$2:$Q$295,"ARGH")</f>
        <v>8000</v>
      </c>
      <c r="II44" s="3">
        <f>_xlfn.XLOOKUP(II$1,generator!$B$2:$B$295,generator!$Q$2:$Q$295,"ARGH")</f>
        <v>8000</v>
      </c>
      <c r="IJ44" s="3">
        <f>_xlfn.XLOOKUP(IJ$1,generator!$B$2:$B$295,generator!$Q$2:$Q$295,"ARGH")</f>
        <v>8000</v>
      </c>
      <c r="IK44" s="3">
        <f>_xlfn.XLOOKUP(IK$1,generator!$B$2:$B$295,generator!$Q$2:$Q$295,"ARGH")</f>
        <v>8000</v>
      </c>
      <c r="IL44" s="3">
        <f>_xlfn.XLOOKUP(IL$1,generator!$B$2:$B$295,generator!$Q$2:$Q$295,"ARGH")</f>
        <v>8000</v>
      </c>
      <c r="IM44" s="3">
        <f>_xlfn.XLOOKUP(IM$1,generator!$B$2:$B$295,generator!$Q$2:$Q$295,"ARGH")</f>
        <v>8000</v>
      </c>
      <c r="IN44" s="3">
        <f>_xlfn.XLOOKUP(IN$1,generator!$B$2:$B$295,generator!$Q$2:$Q$295,"ARGH")</f>
        <v>8000</v>
      </c>
      <c r="IO44" s="3">
        <f>_xlfn.XLOOKUP(IO$1,generator!$B$2:$B$295,generator!$Q$2:$Q$295,"ARGH")</f>
        <v>8000</v>
      </c>
      <c r="IP44" s="3">
        <f>_xlfn.XLOOKUP(IP$1,generator!$B$2:$B$295,generator!$Q$2:$Q$295,"ARGH")</f>
        <v>8000</v>
      </c>
      <c r="IQ44" s="3">
        <f>_xlfn.XLOOKUP(IQ$1,generator!$B$2:$B$295,generator!$Q$2:$Q$295,"ARGH")</f>
        <v>8000</v>
      </c>
      <c r="IR44" s="3">
        <f>_xlfn.XLOOKUP(IR$1,generator!$B$2:$B$295,generator!$Q$2:$Q$295,"ARGH")</f>
        <v>8000</v>
      </c>
      <c r="IS44" s="3">
        <f>_xlfn.XLOOKUP(IS$1,generator!$B$2:$B$295,generator!$Q$2:$Q$295,"ARGH")</f>
        <v>8000</v>
      </c>
      <c r="IT44" s="3">
        <f>_xlfn.XLOOKUP(IT$1,generator!$B$2:$B$295,generator!$Q$2:$Q$295,"ARGH")</f>
        <v>8000</v>
      </c>
      <c r="IU44" s="3">
        <f>_xlfn.XLOOKUP(IU$1,generator!$B$2:$B$295,generator!$Q$2:$Q$295,"ARGH")</f>
        <v>8000</v>
      </c>
      <c r="IV44" s="3">
        <f>_xlfn.XLOOKUP(IV$1,generator!$B$2:$B$295,generator!$Q$2:$Q$295,"ARGH")</f>
        <v>8000</v>
      </c>
      <c r="IW44" s="3" t="str">
        <f>_xlfn.XLOOKUP(IW$1,generator!$B$2:$B$295,generator!$Q$2:$Q$295,"ARGH")</f>
        <v>108.19</v>
      </c>
      <c r="IX44" s="3" t="str">
        <f>_xlfn.XLOOKUP(IX$1,generator!$B$2:$B$295,generator!$Q$2:$Q$295,"ARGH")</f>
        <v>108.18</v>
      </c>
      <c r="IY44" s="3" t="str">
        <f>_xlfn.XLOOKUP(IY$1,generator!$B$2:$B$295,generator!$Q$2:$Q$295,"ARGH")</f>
        <v>108.17</v>
      </c>
      <c r="IZ44" s="3" t="str">
        <f>_xlfn.XLOOKUP(IZ$1,generator!$B$2:$B$295,generator!$Q$2:$Q$295,"ARGH")</f>
        <v>40.96</v>
      </c>
      <c r="JA44" s="3">
        <f>_xlfn.XLOOKUP(JA$1,generator!$B$2:$B$295,generator!$Q$2:$Q$295,"ARGH")</f>
        <v>0</v>
      </c>
      <c r="JB44" s="3">
        <f>_xlfn.XLOOKUP(JB$1,generator!$B$2:$B$295,generator!$Q$2:$Q$295,"ARGH")</f>
        <v>0</v>
      </c>
      <c r="JC44" s="3" t="str">
        <f>_xlfn.XLOOKUP(JC$1,generator!$B$2:$B$295,generator!$Q$2:$Q$295,"ARGH")</f>
        <v>75.91</v>
      </c>
      <c r="JD44" s="3" t="str">
        <f>_xlfn.XLOOKUP(JD$1,generator!$B$2:$B$295,generator!$Q$2:$Q$295,"ARGH")</f>
        <v>75.91</v>
      </c>
      <c r="JE44" s="3" t="str">
        <f>_xlfn.XLOOKUP(JE$1,generator!$B$2:$B$295,generator!$Q$2:$Q$295,"ARGH")</f>
        <v>51.59</v>
      </c>
      <c r="JF44" s="3" t="str">
        <f>_xlfn.XLOOKUP(JF$1,generator!$B$2:$B$295,generator!$Q$2:$Q$295,"ARGH")</f>
        <v>111.57</v>
      </c>
      <c r="JG44" s="3">
        <f>_xlfn.XLOOKUP(JG$1,generator!$B$2:$B$295,generator!$Q$2:$Q$295,"ARGH")</f>
        <v>0</v>
      </c>
      <c r="JH44" s="3" t="str">
        <f>_xlfn.XLOOKUP(JH$1,generator!$B$2:$B$295,generator!$Q$2:$Q$295,"ARGH")</f>
        <v>48.65</v>
      </c>
      <c r="JI44" s="3" t="str">
        <f>_xlfn.XLOOKUP(JI$1,generator!$B$2:$B$295,generator!$Q$2:$Q$295,"ARGH")</f>
        <v>71.88</v>
      </c>
      <c r="JJ44" s="3" t="str">
        <f>_xlfn.XLOOKUP(JJ$1,generator!$B$2:$B$295,generator!$Q$2:$Q$295,"ARGH")</f>
        <v>98.17</v>
      </c>
      <c r="JK44" s="3" t="str">
        <f>_xlfn.XLOOKUP(JK$1,generator!$B$2:$B$295,generator!$Q$2:$Q$295,"ARGH")</f>
        <v>98.17</v>
      </c>
      <c r="JL44" s="3" t="str">
        <f>_xlfn.XLOOKUP(JL$1,generator!$B$2:$B$295,generator!$Q$2:$Q$295,"ARGH")</f>
        <v>98.17</v>
      </c>
      <c r="JM44" s="3" t="str">
        <f>_xlfn.XLOOKUP(JM$1,generator!$B$2:$B$295,generator!$Q$2:$Q$295,"ARGH")</f>
        <v>98.17</v>
      </c>
      <c r="JN44" s="3" t="str">
        <f>_xlfn.XLOOKUP(JN$1,generator!$B$2:$B$295,generator!$Q$2:$Q$295,"ARGH")</f>
        <v>98.17</v>
      </c>
      <c r="JO44" s="3" t="str">
        <f>_xlfn.XLOOKUP(JO$1,generator!$B$2:$B$295,generator!$Q$2:$Q$295,"ARGH")</f>
        <v>98.17</v>
      </c>
      <c r="JP44" s="3" t="str">
        <f>_xlfn.XLOOKUP(JP$1,generator!$B$2:$B$295,generator!$Q$2:$Q$295,"ARGH")</f>
        <v>47.53</v>
      </c>
      <c r="JQ44" s="3" t="str">
        <f>_xlfn.XLOOKUP(JQ$1,generator!$B$2:$B$295,generator!$Q$2:$Q$295,"ARGH")</f>
        <v>108.86</v>
      </c>
      <c r="JR44" s="3" t="str">
        <f>_xlfn.XLOOKUP(JR$1,generator!$B$2:$B$295,generator!$Q$2:$Q$295,"ARGH")</f>
        <v>83.15</v>
      </c>
      <c r="JS44" s="3" t="str">
        <f>_xlfn.XLOOKUP(JS$1,generator!$B$2:$B$295,generator!$Q$2:$Q$295,"ARGH")</f>
        <v>83.15</v>
      </c>
      <c r="JT44" s="3" t="str">
        <f>_xlfn.XLOOKUP(JT$1,generator!$B$2:$B$295,generator!$Q$2:$Q$295,"ARGH")</f>
        <v>108.86</v>
      </c>
      <c r="JU44" s="3">
        <f>_xlfn.XLOOKUP(JU$1,generator!$B$2:$B$295,generator!$Q$2:$Q$295,"ARGH")</f>
        <v>0</v>
      </c>
      <c r="JV44" s="3" t="str">
        <f>_xlfn.XLOOKUP(JV$1,generator!$B$2:$B$295,generator!$Q$2:$Q$295,"ARGH")</f>
        <v>77.63</v>
      </c>
      <c r="JW44" s="3" t="str">
        <f>_xlfn.XLOOKUP(JW$1,generator!$B$2:$B$295,generator!$Q$2:$Q$295,"ARGH")</f>
        <v>77.64</v>
      </c>
      <c r="JX44" s="3" t="str">
        <f>_xlfn.XLOOKUP(JX$1,generator!$B$2:$B$295,generator!$Q$2:$Q$295,"ARGH")</f>
        <v>331.49</v>
      </c>
      <c r="JY44" s="3">
        <f>_xlfn.XLOOKUP(JY$1,generator!$B$2:$B$295,generator!$Q$2:$Q$295,"ARGH")</f>
        <v>7000</v>
      </c>
      <c r="JZ44" s="3">
        <f>_xlfn.XLOOKUP(JZ$1,generator!$B$2:$B$295,generator!$Q$2:$Q$295,"ARGH")</f>
        <v>0</v>
      </c>
      <c r="KA44" s="3">
        <f>_xlfn.XLOOKUP(KA$1,generator!$B$2:$B$295,generator!$Q$2:$Q$295,"ARGH")</f>
        <v>0</v>
      </c>
      <c r="KB44" s="3">
        <f>_xlfn.XLOOKUP(KB$1,generator!$B$2:$B$295,generator!$Q$2:$Q$295,"ARGH")</f>
        <v>0</v>
      </c>
      <c r="KC44" s="3">
        <f>_xlfn.XLOOKUP(KC$1,generator!$B$2:$B$295,generator!$Q$2:$Q$295,"ARGH")</f>
        <v>0</v>
      </c>
    </row>
    <row r="45" spans="1:289" x14ac:dyDescent="0.3">
      <c r="A45" s="4" t="s">
        <v>3040</v>
      </c>
      <c r="B45" s="3">
        <v>15000</v>
      </c>
      <c r="C45" s="3">
        <v>15000</v>
      </c>
      <c r="D45" s="3">
        <v>15000</v>
      </c>
      <c r="E45" s="3">
        <f>_xlfn.XLOOKUP(E$1,generator!$B$2:$B$295,generator!$Q$2:$Q$295,"ARGH")</f>
        <v>9000</v>
      </c>
      <c r="F45" s="3">
        <f>_xlfn.XLOOKUP(F$1,generator!$B$2:$B$295,generator!$Q$2:$Q$295,"ARGH")</f>
        <v>9000</v>
      </c>
      <c r="G45" s="3">
        <f>_xlfn.XLOOKUP(G$1,generator!$B$2:$B$295,generator!$Q$2:$Q$295,"ARGH")</f>
        <v>9000</v>
      </c>
      <c r="H45" s="3">
        <f>_xlfn.XLOOKUP(H$1,generator!$B$2:$B$295,generator!$Q$2:$Q$295,"ARGH")</f>
        <v>9000</v>
      </c>
      <c r="I45" s="3">
        <f>_xlfn.XLOOKUP(I$1,generator!$B$2:$B$295,generator!$Q$2:$Q$295,"ARGH")</f>
        <v>9000</v>
      </c>
      <c r="J45" s="3">
        <f>_xlfn.XLOOKUP(J$1,generator!$B$2:$B$295,generator!$Q$2:$Q$295,"ARGH")</f>
        <v>9000</v>
      </c>
      <c r="K45" s="3">
        <f>_xlfn.XLOOKUP(K$1,generator!$B$2:$B$295,generator!$Q$2:$Q$295,"ARGH")</f>
        <v>9000</v>
      </c>
      <c r="L45" s="3">
        <f>_xlfn.XLOOKUP(L$1,generator!$B$2:$B$295,generator!$Q$2:$Q$295,"ARGH")</f>
        <v>9000</v>
      </c>
      <c r="M45" s="3">
        <f>_xlfn.XLOOKUP(M$1,generator!$B$2:$B$295,generator!$Q$2:$Q$295,"ARGH")</f>
        <v>9000</v>
      </c>
      <c r="N45" s="3">
        <f>_xlfn.XLOOKUP(N$1,generator!$B$2:$B$295,generator!$Q$2:$Q$295,"ARGH")</f>
        <v>9000</v>
      </c>
      <c r="O45" s="3">
        <f>_xlfn.XLOOKUP(O$1,generator!$B$2:$B$295,generator!$Q$2:$Q$295,"ARGH")</f>
        <v>9000</v>
      </c>
      <c r="P45" s="3">
        <f>_xlfn.XLOOKUP(P$1,generator!$B$2:$B$295,generator!$Q$2:$Q$295,"ARGH")</f>
        <v>9000</v>
      </c>
      <c r="Q45" s="3">
        <f>_xlfn.XLOOKUP(Q$1,generator!$B$2:$B$295,generator!$Q$2:$Q$295,"ARGH")</f>
        <v>9000</v>
      </c>
      <c r="R45" s="3">
        <f>_xlfn.XLOOKUP(R$1,generator!$B$2:$B$295,generator!$Q$2:$Q$295,"ARGH")</f>
        <v>9000</v>
      </c>
      <c r="S45" s="3">
        <f>_xlfn.XLOOKUP(S$1,generator!$B$2:$B$295,generator!$Q$2:$Q$295,"ARGH")</f>
        <v>9000</v>
      </c>
      <c r="T45" s="3">
        <f>_xlfn.XLOOKUP(T$1,generator!$B$2:$B$295,generator!$Q$2:$Q$295,"ARGH")</f>
        <v>9000</v>
      </c>
      <c r="U45" s="3">
        <f>_xlfn.XLOOKUP(U$1,generator!$B$2:$B$295,generator!$Q$2:$Q$295,"ARGH")</f>
        <v>9000</v>
      </c>
      <c r="V45" s="3">
        <f>_xlfn.XLOOKUP(V$1,generator!$B$2:$B$295,generator!$Q$2:$Q$295,"ARGH")</f>
        <v>9000</v>
      </c>
      <c r="W45" s="3">
        <f>_xlfn.XLOOKUP(W$1,generator!$B$2:$B$295,generator!$Q$2:$Q$295,"ARGH")</f>
        <v>9000</v>
      </c>
      <c r="X45" s="3">
        <f>_xlfn.XLOOKUP(X$1,generator!$B$2:$B$295,generator!$Q$2:$Q$295,"ARGH")</f>
        <v>9000</v>
      </c>
      <c r="Y45" s="3">
        <f>_xlfn.XLOOKUP(Y$1,generator!$B$2:$B$295,generator!$Q$2:$Q$295,"ARGH")</f>
        <v>9000</v>
      </c>
      <c r="Z45" s="3">
        <f>_xlfn.XLOOKUP(Z$1,generator!$B$2:$B$295,generator!$Q$2:$Q$295,"ARGH")</f>
        <v>9000</v>
      </c>
      <c r="AA45" s="3">
        <f>_xlfn.XLOOKUP(AA$1,generator!$B$2:$B$295,generator!$Q$2:$Q$295,"ARGH")</f>
        <v>9000</v>
      </c>
      <c r="AB45" s="3">
        <f>_xlfn.XLOOKUP(AB$1,generator!$B$2:$B$295,generator!$Q$2:$Q$295,"ARGH")</f>
        <v>9000</v>
      </c>
      <c r="AC45" s="3">
        <f>_xlfn.XLOOKUP(AC$1,generator!$B$2:$B$295,generator!$Q$2:$Q$295,"ARGH")</f>
        <v>9000</v>
      </c>
      <c r="AD45" s="3">
        <f>_xlfn.XLOOKUP(AD$1,generator!$B$2:$B$295,generator!$Q$2:$Q$295,"ARGH")</f>
        <v>9000</v>
      </c>
      <c r="AE45" s="3">
        <f>_xlfn.XLOOKUP(AE$1,generator!$B$2:$B$295,generator!$Q$2:$Q$295,"ARGH")</f>
        <v>9000</v>
      </c>
      <c r="AF45" s="3">
        <f>_xlfn.XLOOKUP(AF$1,generator!$B$2:$B$295,generator!$Q$2:$Q$295,"ARGH")</f>
        <v>9000</v>
      </c>
      <c r="AG45" s="3">
        <f>_xlfn.XLOOKUP(AG$1,generator!$B$2:$B$295,generator!$Q$2:$Q$295,"ARGH")</f>
        <v>9000</v>
      </c>
      <c r="AH45" s="3">
        <f>_xlfn.XLOOKUP(AH$1,generator!$B$2:$B$295,generator!$Q$2:$Q$295,"ARGH")</f>
        <v>9000</v>
      </c>
      <c r="AI45" s="3">
        <f>_xlfn.XLOOKUP(AI$1,generator!$B$2:$B$295,generator!$Q$2:$Q$295,"ARGH")</f>
        <v>9000</v>
      </c>
      <c r="AJ45" s="3">
        <f>_xlfn.XLOOKUP(AJ$1,generator!$B$2:$B$295,generator!$Q$2:$Q$295,"ARGH")</f>
        <v>9000</v>
      </c>
      <c r="AK45" s="3">
        <f>_xlfn.XLOOKUP(AK$1,generator!$B$2:$B$295,generator!$Q$2:$Q$295,"ARGH")</f>
        <v>9000</v>
      </c>
      <c r="AL45" s="3">
        <f>_xlfn.XLOOKUP(AL$1,generator!$B$2:$B$295,generator!$Q$2:$Q$295,"ARGH")</f>
        <v>9000</v>
      </c>
      <c r="AM45" s="3">
        <f>_xlfn.XLOOKUP(AM$1,generator!$B$2:$B$295,generator!$Q$2:$Q$295,"ARGH")</f>
        <v>9000</v>
      </c>
      <c r="AN45" s="3">
        <f>_xlfn.XLOOKUP(AN$1,generator!$B$2:$B$295,generator!$Q$2:$Q$295,"ARGH")</f>
        <v>9000</v>
      </c>
      <c r="AO45" s="3">
        <f>_xlfn.XLOOKUP(AO$1,generator!$B$2:$B$295,generator!$Q$2:$Q$295,"ARGH")</f>
        <v>9000</v>
      </c>
      <c r="AP45" s="3">
        <f>_xlfn.XLOOKUP(AP$1,generator!$B$2:$B$295,generator!$Q$2:$Q$295,"ARGH")</f>
        <v>9000</v>
      </c>
      <c r="AQ45" s="3">
        <f>_xlfn.XLOOKUP(AQ$1,generator!$B$2:$B$295,generator!$Q$2:$Q$295,"ARGH")</f>
        <v>9000</v>
      </c>
      <c r="AR45" s="3">
        <f>_xlfn.XLOOKUP(AR$1,generator!$B$2:$B$295,generator!$Q$2:$Q$295,"ARGH")</f>
        <v>9000</v>
      </c>
      <c r="AS45" s="3">
        <f>_xlfn.XLOOKUP(AS$1,generator!$B$2:$B$295,generator!$Q$2:$Q$295,"ARGH")</f>
        <v>9000</v>
      </c>
      <c r="AT45" s="3">
        <f>_xlfn.XLOOKUP(AT$1,generator!$B$2:$B$295,generator!$Q$2:$Q$295,"ARGH")</f>
        <v>9000</v>
      </c>
      <c r="AU45" s="3">
        <f>_xlfn.XLOOKUP(AU$1,generator!$B$2:$B$295,generator!$Q$2:$Q$295,"ARGH")</f>
        <v>9000</v>
      </c>
      <c r="AV45" s="3">
        <f>_xlfn.XLOOKUP(AV$1,generator!$B$2:$B$295,generator!$Q$2:$Q$295,"ARGH")</f>
        <v>9000</v>
      </c>
      <c r="AW45" s="3">
        <f>_xlfn.XLOOKUP(AW$1,generator!$B$2:$B$295,generator!$Q$2:$Q$295,"ARGH")</f>
        <v>9000</v>
      </c>
      <c r="AX45" s="3">
        <f>_xlfn.XLOOKUP(AX$1,generator!$B$2:$B$295,generator!$Q$2:$Q$295,"ARGH")</f>
        <v>9000</v>
      </c>
      <c r="AY45" s="3">
        <f>_xlfn.XLOOKUP(AY$1,generator!$B$2:$B$295,generator!$Q$2:$Q$295,"ARGH")</f>
        <v>9000</v>
      </c>
      <c r="AZ45" s="3">
        <f>_xlfn.XLOOKUP(AZ$1,generator!$B$2:$B$295,generator!$Q$2:$Q$295,"ARGH")</f>
        <v>9000</v>
      </c>
      <c r="BA45" s="3">
        <f>_xlfn.XLOOKUP(BA$1,generator!$B$2:$B$295,generator!$Q$2:$Q$295,"ARGH")</f>
        <v>9000</v>
      </c>
      <c r="BB45" s="3">
        <f>_xlfn.XLOOKUP(BB$1,generator!$B$2:$B$295,generator!$Q$2:$Q$295,"ARGH")</f>
        <v>9000</v>
      </c>
      <c r="BC45" s="3">
        <f>_xlfn.XLOOKUP(BC$1,generator!$B$2:$B$295,generator!$Q$2:$Q$295,"ARGH")</f>
        <v>9000</v>
      </c>
      <c r="BD45" s="3">
        <f>_xlfn.XLOOKUP(BD$1,generator!$B$2:$B$295,generator!$Q$2:$Q$295,"ARGH")</f>
        <v>9000</v>
      </c>
      <c r="BE45" s="3">
        <f>_xlfn.XLOOKUP(BE$1,generator!$B$2:$B$295,generator!$Q$2:$Q$295,"ARGH")</f>
        <v>9000</v>
      </c>
      <c r="BF45" s="3">
        <f>_xlfn.XLOOKUP(BF$1,generator!$B$2:$B$295,generator!$Q$2:$Q$295,"ARGH")</f>
        <v>9000</v>
      </c>
      <c r="BG45" s="3">
        <f>_xlfn.XLOOKUP(BG$1,generator!$B$2:$B$295,generator!$Q$2:$Q$295,"ARGH")</f>
        <v>9000</v>
      </c>
      <c r="BH45" s="3">
        <f>_xlfn.XLOOKUP(BH$1,generator!$B$2:$B$295,generator!$Q$2:$Q$295,"ARGH")</f>
        <v>9000</v>
      </c>
      <c r="BI45" s="3">
        <f>_xlfn.XLOOKUP(BI$1,generator!$B$2:$B$295,generator!$Q$2:$Q$295,"ARGH")</f>
        <v>9000</v>
      </c>
      <c r="BJ45" s="3">
        <f>_xlfn.XLOOKUP(BJ$1,generator!$B$2:$B$295,generator!$Q$2:$Q$295,"ARGH")</f>
        <v>9000</v>
      </c>
      <c r="BK45" s="3">
        <f>_xlfn.XLOOKUP(BK$1,generator!$B$2:$B$295,generator!$Q$2:$Q$295,"ARGH")</f>
        <v>9000</v>
      </c>
      <c r="BL45" s="3">
        <f>_xlfn.XLOOKUP(BL$1,generator!$B$2:$B$295,generator!$Q$2:$Q$295,"ARGH")</f>
        <v>9000</v>
      </c>
      <c r="BM45" s="3">
        <f>_xlfn.XLOOKUP(BM$1,generator!$B$2:$B$295,generator!$Q$2:$Q$295,"ARGH")</f>
        <v>9000</v>
      </c>
      <c r="BN45" s="3">
        <f>_xlfn.XLOOKUP(BN$1,generator!$B$2:$B$295,generator!$Q$2:$Q$295,"ARGH")</f>
        <v>9000</v>
      </c>
      <c r="BO45" s="3">
        <f>_xlfn.XLOOKUP(BO$1,generator!$B$2:$B$295,generator!$Q$2:$Q$295,"ARGH")</f>
        <v>9000</v>
      </c>
      <c r="BP45" s="3">
        <f>_xlfn.XLOOKUP(BP$1,generator!$B$2:$B$295,generator!$Q$2:$Q$295,"ARGH")</f>
        <v>9000</v>
      </c>
      <c r="BQ45" s="3">
        <f>_xlfn.XLOOKUP(BQ$1,generator!$B$2:$B$295,generator!$Q$2:$Q$295,"ARGH")</f>
        <v>9000</v>
      </c>
      <c r="BR45" s="3">
        <f>_xlfn.XLOOKUP(BR$1,generator!$B$2:$B$295,generator!$Q$2:$Q$295,"ARGH")</f>
        <v>9000</v>
      </c>
      <c r="BS45" s="3">
        <f>_xlfn.XLOOKUP(BS$1,generator!$B$2:$B$295,generator!$Q$2:$Q$295,"ARGH")</f>
        <v>9000</v>
      </c>
      <c r="BT45" s="3">
        <f>_xlfn.XLOOKUP(BT$1,generator!$B$2:$B$295,generator!$Q$2:$Q$295,"ARGH")</f>
        <v>9000</v>
      </c>
      <c r="BU45" s="3">
        <f>_xlfn.XLOOKUP(BU$1,generator!$B$2:$B$295,generator!$Q$2:$Q$295,"ARGH")</f>
        <v>9000</v>
      </c>
      <c r="BV45" s="3">
        <f>_xlfn.XLOOKUP(BV$1,generator!$B$2:$B$295,generator!$Q$2:$Q$295,"ARGH")</f>
        <v>9000</v>
      </c>
      <c r="BW45" s="3">
        <f>_xlfn.XLOOKUP(BW$1,generator!$B$2:$B$295,generator!$Q$2:$Q$295,"ARGH")</f>
        <v>9000</v>
      </c>
      <c r="BX45" s="3">
        <f>_xlfn.XLOOKUP(BX$1,generator!$B$2:$B$295,generator!$Q$2:$Q$295,"ARGH")</f>
        <v>9000</v>
      </c>
      <c r="BY45" s="3">
        <f>_xlfn.XLOOKUP(BY$1,generator!$B$2:$B$295,generator!$Q$2:$Q$295,"ARGH")</f>
        <v>9000</v>
      </c>
      <c r="BZ45" s="3">
        <f>_xlfn.XLOOKUP(BZ$1,generator!$B$2:$B$295,generator!$Q$2:$Q$295,"ARGH")</f>
        <v>9000</v>
      </c>
      <c r="CA45" s="3">
        <f>_xlfn.XLOOKUP(CA$1,generator!$B$2:$B$295,generator!$Q$2:$Q$295,"ARGH")</f>
        <v>9000</v>
      </c>
      <c r="CB45" s="3">
        <f>_xlfn.XLOOKUP(CB$1,generator!$B$2:$B$295,generator!$Q$2:$Q$295,"ARGH")</f>
        <v>9000</v>
      </c>
      <c r="CC45" s="3">
        <f>_xlfn.XLOOKUP(CC$1,generator!$B$2:$B$295,generator!$Q$2:$Q$295,"ARGH")</f>
        <v>9000</v>
      </c>
      <c r="CD45" s="3">
        <f>_xlfn.XLOOKUP(CD$1,generator!$B$2:$B$295,generator!$Q$2:$Q$295,"ARGH")</f>
        <v>9000</v>
      </c>
      <c r="CE45" s="3">
        <f>_xlfn.XLOOKUP(CE$1,generator!$B$2:$B$295,generator!$Q$2:$Q$295,"ARGH")</f>
        <v>9000</v>
      </c>
      <c r="CF45" s="3">
        <f>_xlfn.XLOOKUP(CF$1,generator!$B$2:$B$295,generator!$Q$2:$Q$295,"ARGH")</f>
        <v>9000</v>
      </c>
      <c r="CG45" s="3">
        <f>_xlfn.XLOOKUP(CG$1,generator!$B$2:$B$295,generator!$Q$2:$Q$295,"ARGH")</f>
        <v>9000</v>
      </c>
      <c r="CH45" s="3">
        <f>_xlfn.XLOOKUP(CH$1,generator!$B$2:$B$295,generator!$Q$2:$Q$295,"ARGH")</f>
        <v>9000</v>
      </c>
      <c r="CI45" s="3">
        <f>_xlfn.XLOOKUP(CI$1,generator!$B$2:$B$295,generator!$Q$2:$Q$295,"ARGH")</f>
        <v>9000</v>
      </c>
      <c r="CJ45" s="3">
        <f>_xlfn.XLOOKUP(CJ$1,generator!$B$2:$B$295,generator!$Q$2:$Q$295,"ARGH")</f>
        <v>9000</v>
      </c>
      <c r="CK45" s="3">
        <f>_xlfn.XLOOKUP(CK$1,generator!$B$2:$B$295,generator!$Q$2:$Q$295,"ARGH")</f>
        <v>9000</v>
      </c>
      <c r="CL45" s="3">
        <f>_xlfn.XLOOKUP(CL$1,generator!$B$2:$B$295,generator!$Q$2:$Q$295,"ARGH")</f>
        <v>9000</v>
      </c>
      <c r="CM45" s="3">
        <f>_xlfn.XLOOKUP(CM$1,generator!$B$2:$B$295,generator!$Q$2:$Q$295,"ARGH")</f>
        <v>9000</v>
      </c>
      <c r="CN45" s="3">
        <f>_xlfn.XLOOKUP(CN$1,generator!$B$2:$B$295,generator!$Q$2:$Q$295,"ARGH")</f>
        <v>9000</v>
      </c>
      <c r="CO45" s="3">
        <f>_xlfn.XLOOKUP(CO$1,generator!$B$2:$B$295,generator!$Q$2:$Q$295,"ARGH")</f>
        <v>9000</v>
      </c>
      <c r="CP45" s="3">
        <f>_xlfn.XLOOKUP(CP$1,generator!$B$2:$B$295,generator!$Q$2:$Q$295,"ARGH")</f>
        <v>9000</v>
      </c>
      <c r="CQ45" s="3">
        <f>_xlfn.XLOOKUP(CQ$1,generator!$B$2:$B$295,generator!$Q$2:$Q$295,"ARGH")</f>
        <v>9000</v>
      </c>
      <c r="CR45" s="3">
        <f>_xlfn.XLOOKUP(CR$1,generator!$B$2:$B$295,generator!$Q$2:$Q$295,"ARGH")</f>
        <v>9000</v>
      </c>
      <c r="CS45" s="3">
        <f>_xlfn.XLOOKUP(CS$1,generator!$B$2:$B$295,generator!$Q$2:$Q$295,"ARGH")</f>
        <v>9000</v>
      </c>
      <c r="CT45" s="3">
        <f>_xlfn.XLOOKUP(CT$1,generator!$B$2:$B$295,generator!$Q$2:$Q$295,"ARGH")</f>
        <v>9000</v>
      </c>
      <c r="CU45" s="3">
        <f>_xlfn.XLOOKUP(CU$1,generator!$B$2:$B$295,generator!$Q$2:$Q$295,"ARGH")</f>
        <v>9000</v>
      </c>
      <c r="CV45" s="3">
        <f>_xlfn.XLOOKUP(CV$1,generator!$B$2:$B$295,generator!$Q$2:$Q$295,"ARGH")</f>
        <v>9000</v>
      </c>
      <c r="CW45" s="3">
        <f>_xlfn.XLOOKUP(CW$1,generator!$B$2:$B$295,generator!$Q$2:$Q$295,"ARGH")</f>
        <v>9000</v>
      </c>
      <c r="CX45" s="3">
        <f>_xlfn.XLOOKUP(CX$1,generator!$B$2:$B$295,generator!$Q$2:$Q$295,"ARGH")</f>
        <v>9000</v>
      </c>
      <c r="CY45" s="3">
        <f>_xlfn.XLOOKUP(CY$1,generator!$B$2:$B$295,generator!$Q$2:$Q$295,"ARGH")</f>
        <v>9000</v>
      </c>
      <c r="CZ45" s="3">
        <f>_xlfn.XLOOKUP(CZ$1,generator!$B$2:$B$295,generator!$Q$2:$Q$295,"ARGH")</f>
        <v>9000</v>
      </c>
      <c r="DA45" s="3">
        <f>_xlfn.XLOOKUP(DA$1,generator!$B$2:$B$295,generator!$Q$2:$Q$295,"ARGH")</f>
        <v>9000</v>
      </c>
      <c r="DB45" s="3">
        <f>_xlfn.XLOOKUP(DB$1,generator!$B$2:$B$295,generator!$Q$2:$Q$295,"ARGH")</f>
        <v>9000</v>
      </c>
      <c r="DC45" s="3">
        <f>_xlfn.XLOOKUP(DC$1,generator!$B$2:$B$295,generator!$Q$2:$Q$295,"ARGH")</f>
        <v>9000</v>
      </c>
      <c r="DD45" s="3">
        <f>_xlfn.XLOOKUP(DD$1,generator!$B$2:$B$295,generator!$Q$2:$Q$295,"ARGH")</f>
        <v>9000</v>
      </c>
      <c r="DE45" s="3">
        <f>_xlfn.XLOOKUP(DE$1,generator!$B$2:$B$295,generator!$Q$2:$Q$295,"ARGH")</f>
        <v>9000</v>
      </c>
      <c r="DF45" s="3">
        <f>_xlfn.XLOOKUP(DF$1,generator!$B$2:$B$295,generator!$Q$2:$Q$295,"ARGH")</f>
        <v>9000</v>
      </c>
      <c r="DG45" s="3">
        <f>_xlfn.XLOOKUP(DG$1,generator!$B$2:$B$295,generator!$Q$2:$Q$295,"ARGH")</f>
        <v>9000</v>
      </c>
      <c r="DH45" s="3">
        <f>_xlfn.XLOOKUP(DH$1,generator!$B$2:$B$295,generator!$Q$2:$Q$295,"ARGH")</f>
        <v>9000</v>
      </c>
      <c r="DI45" s="3">
        <f>_xlfn.XLOOKUP(DI$1,generator!$B$2:$B$295,generator!$Q$2:$Q$295,"ARGH")</f>
        <v>9000</v>
      </c>
      <c r="DJ45" s="3">
        <f>_xlfn.XLOOKUP(DJ$1,generator!$B$2:$B$295,generator!$Q$2:$Q$295,"ARGH")</f>
        <v>9000</v>
      </c>
      <c r="DK45" s="3">
        <f>_xlfn.XLOOKUP(DK$1,generator!$B$2:$B$295,generator!$Q$2:$Q$295,"ARGH")</f>
        <v>9000</v>
      </c>
      <c r="DL45" s="3">
        <f>_xlfn.XLOOKUP(DL$1,generator!$B$2:$B$295,generator!$Q$2:$Q$295,"ARGH")</f>
        <v>9000</v>
      </c>
      <c r="DM45" s="3">
        <f>_xlfn.XLOOKUP(DM$1,generator!$B$2:$B$295,generator!$Q$2:$Q$295,"ARGH")</f>
        <v>9000</v>
      </c>
      <c r="DN45" s="3">
        <f>_xlfn.XLOOKUP(DN$1,generator!$B$2:$B$295,generator!$Q$2:$Q$295,"ARGH")</f>
        <v>9000</v>
      </c>
      <c r="DO45" s="3">
        <f>_xlfn.XLOOKUP(DO$1,generator!$B$2:$B$295,generator!$Q$2:$Q$295,"ARGH")</f>
        <v>9000</v>
      </c>
      <c r="DP45" s="3">
        <f>_xlfn.XLOOKUP(DP$1,generator!$B$2:$B$295,generator!$Q$2:$Q$295,"ARGH")</f>
        <v>9000</v>
      </c>
      <c r="DQ45" s="3">
        <f>_xlfn.XLOOKUP(DQ$1,generator!$B$2:$B$295,generator!$Q$2:$Q$295,"ARGH")</f>
        <v>9000</v>
      </c>
      <c r="DR45" s="3">
        <f>_xlfn.XLOOKUP(DR$1,generator!$B$2:$B$295,generator!$Q$2:$Q$295,"ARGH")</f>
        <v>9000</v>
      </c>
      <c r="DS45" s="3">
        <f>_xlfn.XLOOKUP(DS$1,generator!$B$2:$B$295,generator!$Q$2:$Q$295,"ARGH")</f>
        <v>9000</v>
      </c>
      <c r="DT45" s="3">
        <f>_xlfn.XLOOKUP(DT$1,generator!$B$2:$B$295,generator!$Q$2:$Q$295,"ARGH")</f>
        <v>9000</v>
      </c>
      <c r="DU45" s="3">
        <f>_xlfn.XLOOKUP(DU$1,generator!$B$2:$B$295,generator!$Q$2:$Q$295,"ARGH")</f>
        <v>9000</v>
      </c>
      <c r="DV45" s="3">
        <f>_xlfn.XLOOKUP(DV$1,generator!$B$2:$B$295,generator!$Q$2:$Q$295,"ARGH")</f>
        <v>9000</v>
      </c>
      <c r="DW45" s="3">
        <f>_xlfn.XLOOKUP(DW$1,generator!$B$2:$B$295,generator!$Q$2:$Q$295,"ARGH")</f>
        <v>9000</v>
      </c>
      <c r="DX45" s="3">
        <f>_xlfn.XLOOKUP(DX$1,generator!$B$2:$B$295,generator!$Q$2:$Q$295,"ARGH")</f>
        <v>9000</v>
      </c>
      <c r="DY45" s="3">
        <f>_xlfn.XLOOKUP(DY$1,generator!$B$2:$B$295,generator!$Q$2:$Q$295,"ARGH")</f>
        <v>9000</v>
      </c>
      <c r="DZ45" s="3">
        <f>_xlfn.XLOOKUP(DZ$1,generator!$B$2:$B$295,generator!$Q$2:$Q$295,"ARGH")</f>
        <v>9000</v>
      </c>
      <c r="EA45" s="3">
        <f>_xlfn.XLOOKUP(EA$1,generator!$B$2:$B$295,generator!$Q$2:$Q$295,"ARGH")</f>
        <v>9000</v>
      </c>
      <c r="EB45" s="3">
        <f>_xlfn.XLOOKUP(EB$1,generator!$B$2:$B$295,generator!$Q$2:$Q$295,"ARGH")</f>
        <v>9000</v>
      </c>
      <c r="EC45" s="3">
        <f>_xlfn.XLOOKUP(EC$1,generator!$B$2:$B$295,generator!$Q$2:$Q$295,"ARGH")</f>
        <v>9000</v>
      </c>
      <c r="ED45" s="3">
        <f>_xlfn.XLOOKUP(ED$1,generator!$B$2:$B$295,generator!$Q$2:$Q$295,"ARGH")</f>
        <v>9000</v>
      </c>
      <c r="EE45" s="3">
        <f>_xlfn.XLOOKUP(EE$1,generator!$B$2:$B$295,generator!$Q$2:$Q$295,"ARGH")</f>
        <v>9000</v>
      </c>
      <c r="EF45" s="3">
        <f>_xlfn.XLOOKUP(EF$1,generator!$B$2:$B$295,generator!$Q$2:$Q$295,"ARGH")</f>
        <v>9000</v>
      </c>
      <c r="EG45" s="3">
        <f>_xlfn.XLOOKUP(EG$1,generator!$B$2:$B$295,generator!$Q$2:$Q$295,"ARGH")</f>
        <v>9000</v>
      </c>
      <c r="EH45" s="3">
        <f>_xlfn.XLOOKUP(EH$1,generator!$B$2:$B$295,generator!$Q$2:$Q$295,"ARGH")</f>
        <v>9000</v>
      </c>
      <c r="EI45" s="3">
        <f>_xlfn.XLOOKUP(EI$1,generator!$B$2:$B$295,generator!$Q$2:$Q$295,"ARGH")</f>
        <v>9000</v>
      </c>
      <c r="EJ45" s="3">
        <f>_xlfn.XLOOKUP(EJ$1,generator!$B$2:$B$295,generator!$Q$2:$Q$295,"ARGH")</f>
        <v>9000</v>
      </c>
      <c r="EK45" s="3">
        <f>_xlfn.XLOOKUP(EK$1,generator!$B$2:$B$295,generator!$Q$2:$Q$295,"ARGH")</f>
        <v>9000</v>
      </c>
      <c r="EL45" s="3">
        <f>_xlfn.XLOOKUP(EL$1,generator!$B$2:$B$295,generator!$Q$2:$Q$295,"ARGH")</f>
        <v>9000</v>
      </c>
      <c r="EM45" s="3">
        <f>_xlfn.XLOOKUP(EM$1,generator!$B$2:$B$295,generator!$Q$2:$Q$295,"ARGH")</f>
        <v>9000</v>
      </c>
      <c r="EN45" s="3">
        <f>_xlfn.XLOOKUP(EN$1,generator!$B$2:$B$295,generator!$Q$2:$Q$295,"ARGH")</f>
        <v>9000</v>
      </c>
      <c r="EO45" s="3">
        <f>_xlfn.XLOOKUP(EO$1,generator!$B$2:$B$295,generator!$Q$2:$Q$295,"ARGH")</f>
        <v>9000</v>
      </c>
      <c r="EP45" s="3">
        <f>_xlfn.XLOOKUP(EP$1,generator!$B$2:$B$295,generator!$Q$2:$Q$295,"ARGH")</f>
        <v>9000</v>
      </c>
      <c r="EQ45" s="3">
        <f>_xlfn.XLOOKUP(EQ$1,generator!$B$2:$B$295,generator!$Q$2:$Q$295,"ARGH")</f>
        <v>9000</v>
      </c>
      <c r="ER45" s="3">
        <f>_xlfn.XLOOKUP(ER$1,generator!$B$2:$B$295,generator!$Q$2:$Q$295,"ARGH")</f>
        <v>9000</v>
      </c>
      <c r="ES45" s="3">
        <f>_xlfn.XLOOKUP(ES$1,generator!$B$2:$B$295,generator!$Q$2:$Q$295,"ARGH")</f>
        <v>9000</v>
      </c>
      <c r="ET45" s="3">
        <f>_xlfn.XLOOKUP(ET$1,generator!$B$2:$B$295,generator!$Q$2:$Q$295,"ARGH")</f>
        <v>9000</v>
      </c>
      <c r="EU45" s="3">
        <f>_xlfn.XLOOKUP(EU$1,generator!$B$2:$B$295,generator!$Q$2:$Q$295,"ARGH")</f>
        <v>9000</v>
      </c>
      <c r="EV45" s="3">
        <f>_xlfn.XLOOKUP(EV$1,generator!$B$2:$B$295,generator!$Q$2:$Q$295,"ARGH")</f>
        <v>9000</v>
      </c>
      <c r="EW45" s="3">
        <f>_xlfn.XLOOKUP(EW$1,generator!$B$2:$B$295,generator!$Q$2:$Q$295,"ARGH")</f>
        <v>9000</v>
      </c>
      <c r="EX45" s="3">
        <f>_xlfn.XLOOKUP(EX$1,generator!$B$2:$B$295,generator!$Q$2:$Q$295,"ARGH")</f>
        <v>9000</v>
      </c>
      <c r="EY45" s="3">
        <f>_xlfn.XLOOKUP(EY$1,generator!$B$2:$B$295,generator!$Q$2:$Q$295,"ARGH")</f>
        <v>9000</v>
      </c>
      <c r="EZ45" s="3">
        <f>_xlfn.XLOOKUP(EZ$1,generator!$B$2:$B$295,generator!$Q$2:$Q$295,"ARGH")</f>
        <v>9000</v>
      </c>
      <c r="FA45" s="3">
        <f>_xlfn.XLOOKUP(FA$1,generator!$B$2:$B$295,generator!$Q$2:$Q$295,"ARGH")</f>
        <v>9000</v>
      </c>
      <c r="FB45" s="3">
        <f>_xlfn.XLOOKUP(FB$1,generator!$B$2:$B$295,generator!$Q$2:$Q$295,"ARGH")</f>
        <v>9000</v>
      </c>
      <c r="FC45" s="3">
        <f>_xlfn.XLOOKUP(FC$1,generator!$B$2:$B$295,generator!$Q$2:$Q$295,"ARGH")</f>
        <v>9000</v>
      </c>
      <c r="FD45" s="3">
        <f>_xlfn.XLOOKUP(FD$1,generator!$B$2:$B$295,generator!$Q$2:$Q$295,"ARGH")</f>
        <v>9000</v>
      </c>
      <c r="FE45" s="3">
        <f>_xlfn.XLOOKUP(FE$1,generator!$B$2:$B$295,generator!$Q$2:$Q$295,"ARGH")</f>
        <v>9000</v>
      </c>
      <c r="FF45" s="3">
        <f>_xlfn.XLOOKUP(FF$1,generator!$B$2:$B$295,generator!$Q$2:$Q$295,"ARGH")</f>
        <v>9000</v>
      </c>
      <c r="FG45" s="3">
        <f>_xlfn.XLOOKUP(FG$1,generator!$B$2:$B$295,generator!$Q$2:$Q$295,"ARGH")</f>
        <v>9000</v>
      </c>
      <c r="FH45" s="3">
        <f>_xlfn.XLOOKUP(FH$1,generator!$B$2:$B$295,generator!$Q$2:$Q$295,"ARGH")</f>
        <v>9000</v>
      </c>
      <c r="FI45" s="3">
        <f>_xlfn.XLOOKUP(FI$1,generator!$B$2:$B$295,generator!$Q$2:$Q$295,"ARGH")</f>
        <v>9000</v>
      </c>
      <c r="FJ45" s="3">
        <f>_xlfn.XLOOKUP(FJ$1,generator!$B$2:$B$295,generator!$Q$2:$Q$295,"ARGH")</f>
        <v>9000</v>
      </c>
      <c r="FK45" s="3">
        <f>_xlfn.XLOOKUP(FK$1,generator!$B$2:$B$295,generator!$Q$2:$Q$295,"ARGH")</f>
        <v>9000</v>
      </c>
      <c r="FL45" s="3">
        <f>_xlfn.XLOOKUP(FL$1,generator!$B$2:$B$295,generator!$Q$2:$Q$295,"ARGH")</f>
        <v>9000</v>
      </c>
      <c r="FM45" s="3">
        <f>_xlfn.XLOOKUP(FM$1,generator!$B$2:$B$295,generator!$Q$2:$Q$295,"ARGH")</f>
        <v>9000</v>
      </c>
      <c r="FN45" s="3">
        <f>_xlfn.XLOOKUP(FN$1,generator!$B$2:$B$295,generator!$Q$2:$Q$295,"ARGH")</f>
        <v>9000</v>
      </c>
      <c r="FO45" s="3">
        <f>_xlfn.XLOOKUP(FO$1,generator!$B$2:$B$295,generator!$Q$2:$Q$295,"ARGH")</f>
        <v>9000</v>
      </c>
      <c r="FP45" s="3">
        <f>_xlfn.XLOOKUP(FP$1,generator!$B$2:$B$295,generator!$Q$2:$Q$295,"ARGH")</f>
        <v>9000</v>
      </c>
      <c r="FQ45" s="3">
        <f>_xlfn.XLOOKUP(FQ$1,generator!$B$2:$B$295,generator!$Q$2:$Q$295,"ARGH")</f>
        <v>9000</v>
      </c>
      <c r="FR45" s="3">
        <f>_xlfn.XLOOKUP(FR$1,generator!$B$2:$B$295,generator!$Q$2:$Q$295,"ARGH")</f>
        <v>9000</v>
      </c>
      <c r="FS45" s="3">
        <f>_xlfn.XLOOKUP(FS$1,generator!$B$2:$B$295,generator!$Q$2:$Q$295,"ARGH")</f>
        <v>9000</v>
      </c>
      <c r="FT45" s="3">
        <f>_xlfn.XLOOKUP(FT$1,generator!$B$2:$B$295,generator!$Q$2:$Q$295,"ARGH")</f>
        <v>9000</v>
      </c>
      <c r="FU45" s="3">
        <f>_xlfn.XLOOKUP(FU$1,generator!$B$2:$B$295,generator!$Q$2:$Q$295,"ARGH")</f>
        <v>9000</v>
      </c>
      <c r="FV45" s="3">
        <f>_xlfn.XLOOKUP(FV$1,generator!$B$2:$B$295,generator!$Q$2:$Q$295,"ARGH")</f>
        <v>9000</v>
      </c>
      <c r="FW45" s="3">
        <f>_xlfn.XLOOKUP(FW$1,generator!$B$2:$B$295,generator!$Q$2:$Q$295,"ARGH")</f>
        <v>9000</v>
      </c>
      <c r="FX45" s="3">
        <f>_xlfn.XLOOKUP(FX$1,generator!$B$2:$B$295,generator!$Q$2:$Q$295,"ARGH")</f>
        <v>9000</v>
      </c>
      <c r="FY45" s="3">
        <f>_xlfn.XLOOKUP(FY$1,generator!$B$2:$B$295,generator!$Q$2:$Q$295,"ARGH")</f>
        <v>9000</v>
      </c>
      <c r="FZ45" s="3">
        <f>_xlfn.XLOOKUP(FZ$1,generator!$B$2:$B$295,generator!$Q$2:$Q$295,"ARGH")</f>
        <v>9000</v>
      </c>
      <c r="GA45" s="3">
        <f>_xlfn.XLOOKUP(GA$1,generator!$B$2:$B$295,generator!$Q$2:$Q$295,"ARGH")</f>
        <v>9000</v>
      </c>
      <c r="GB45" s="3">
        <f>_xlfn.XLOOKUP(GB$1,generator!$B$2:$B$295,generator!$Q$2:$Q$295,"ARGH")</f>
        <v>9000</v>
      </c>
      <c r="GC45" s="3">
        <f>_xlfn.XLOOKUP(GC$1,generator!$B$2:$B$295,generator!$Q$2:$Q$295,"ARGH")</f>
        <v>9000</v>
      </c>
      <c r="GD45" s="3">
        <f>_xlfn.XLOOKUP(GD$1,generator!$B$2:$B$295,generator!$Q$2:$Q$295,"ARGH")</f>
        <v>9000</v>
      </c>
      <c r="GE45" s="3">
        <f>_xlfn.XLOOKUP(GE$1,generator!$B$2:$B$295,generator!$Q$2:$Q$295,"ARGH")</f>
        <v>9000</v>
      </c>
      <c r="GF45" s="3">
        <f>_xlfn.XLOOKUP(GF$1,generator!$B$2:$B$295,generator!$Q$2:$Q$295,"ARGH")</f>
        <v>9000</v>
      </c>
      <c r="GG45" s="3">
        <f>_xlfn.XLOOKUP(GG$1,generator!$B$2:$B$295,generator!$Q$2:$Q$295,"ARGH")</f>
        <v>9000</v>
      </c>
      <c r="GH45" s="3">
        <f>_xlfn.XLOOKUP(GH$1,generator!$B$2:$B$295,generator!$Q$2:$Q$295,"ARGH")</f>
        <v>9000</v>
      </c>
      <c r="GI45" s="3">
        <f>_xlfn.XLOOKUP(GI$1,generator!$B$2:$B$295,generator!$Q$2:$Q$295,"ARGH")</f>
        <v>9000</v>
      </c>
      <c r="GJ45" s="3">
        <f>_xlfn.XLOOKUP(GJ$1,generator!$B$2:$B$295,generator!$Q$2:$Q$295,"ARGH")</f>
        <v>9000</v>
      </c>
      <c r="GK45" s="3">
        <f>_xlfn.XLOOKUP(GK$1,generator!$B$2:$B$295,generator!$Q$2:$Q$295,"ARGH")</f>
        <v>9000</v>
      </c>
      <c r="GL45" s="3">
        <f>_xlfn.XLOOKUP(GL$1,generator!$B$2:$B$295,generator!$Q$2:$Q$295,"ARGH")</f>
        <v>9000</v>
      </c>
      <c r="GM45" s="3">
        <f>_xlfn.XLOOKUP(GM$1,generator!$B$2:$B$295,generator!$Q$2:$Q$295,"ARGH")</f>
        <v>9000</v>
      </c>
      <c r="GN45" s="3">
        <f>_xlfn.XLOOKUP(GN$1,generator!$B$2:$B$295,generator!$Q$2:$Q$295,"ARGH")</f>
        <v>9000</v>
      </c>
      <c r="GO45" s="3">
        <f>_xlfn.XLOOKUP(GO$1,generator!$B$2:$B$295,generator!$Q$2:$Q$295,"ARGH")</f>
        <v>9000</v>
      </c>
      <c r="GP45" s="3">
        <f>_xlfn.XLOOKUP(GP$1,generator!$B$2:$B$295,generator!$Q$2:$Q$295,"ARGH")</f>
        <v>9000</v>
      </c>
      <c r="GQ45" s="3">
        <f>_xlfn.XLOOKUP(GQ$1,generator!$B$2:$B$295,generator!$Q$2:$Q$295,"ARGH")</f>
        <v>9000</v>
      </c>
      <c r="GR45" s="3">
        <f>_xlfn.XLOOKUP(GR$1,generator!$B$2:$B$295,generator!$Q$2:$Q$295,"ARGH")</f>
        <v>9000</v>
      </c>
      <c r="GS45" s="3">
        <f>_xlfn.XLOOKUP(GS$1,generator!$B$2:$B$295,generator!$Q$2:$Q$295,"ARGH")</f>
        <v>9000</v>
      </c>
      <c r="GT45" s="3">
        <f>_xlfn.XLOOKUP(GT$1,generator!$B$2:$B$295,generator!$Q$2:$Q$295,"ARGH")</f>
        <v>9000</v>
      </c>
      <c r="GU45" s="3">
        <f>_xlfn.XLOOKUP(GU$1,generator!$B$2:$B$295,generator!$Q$2:$Q$295,"ARGH")</f>
        <v>9000</v>
      </c>
      <c r="GV45" s="3">
        <f>_xlfn.XLOOKUP(GV$1,generator!$B$2:$B$295,generator!$Q$2:$Q$295,"ARGH")</f>
        <v>9000</v>
      </c>
      <c r="GW45" s="3">
        <f>_xlfn.XLOOKUP(GW$1,generator!$B$2:$B$295,generator!$Q$2:$Q$295,"ARGH")</f>
        <v>9000</v>
      </c>
      <c r="GX45" s="3">
        <f>_xlfn.XLOOKUP(GX$1,generator!$B$2:$B$295,generator!$Q$2:$Q$295,"ARGH")</f>
        <v>9000</v>
      </c>
      <c r="GY45" s="3">
        <f>_xlfn.XLOOKUP(GY$1,generator!$B$2:$B$295,generator!$Q$2:$Q$295,"ARGH")</f>
        <v>9000</v>
      </c>
      <c r="GZ45" s="3">
        <f>_xlfn.XLOOKUP(GZ$1,generator!$B$2:$B$295,generator!$Q$2:$Q$295,"ARGH")</f>
        <v>9000</v>
      </c>
      <c r="HA45" s="3">
        <f>_xlfn.XLOOKUP(HA$1,generator!$B$2:$B$295,generator!$Q$2:$Q$295,"ARGH")</f>
        <v>9000</v>
      </c>
      <c r="HB45" s="3">
        <f>_xlfn.XLOOKUP(HB$1,generator!$B$2:$B$295,generator!$Q$2:$Q$295,"ARGH")</f>
        <v>9000</v>
      </c>
      <c r="HC45" s="3">
        <f>_xlfn.XLOOKUP(HC$1,generator!$B$2:$B$295,generator!$Q$2:$Q$295,"ARGH")</f>
        <v>9000</v>
      </c>
      <c r="HD45" s="3">
        <f>_xlfn.XLOOKUP(HD$1,generator!$B$2:$B$295,generator!$Q$2:$Q$295,"ARGH")</f>
        <v>9000</v>
      </c>
      <c r="HE45" s="3">
        <f>_xlfn.XLOOKUP(HE$1,generator!$B$2:$B$295,generator!$Q$2:$Q$295,"ARGH")</f>
        <v>8000</v>
      </c>
      <c r="HF45" s="3" t="str">
        <f>_xlfn.XLOOKUP(HF$1,generator!$B$2:$B$295,generator!$Q$2:$Q$295,"ARGH")</f>
        <v>143</v>
      </c>
      <c r="HG45" s="3" t="str">
        <f>_xlfn.XLOOKUP(HG$1,generator!$B$2:$B$295,generator!$Q$2:$Q$295,"ARGH")</f>
        <v>143</v>
      </c>
      <c r="HH45" s="3" t="str">
        <f>_xlfn.XLOOKUP(HH$1,generator!$B$2:$B$295,generator!$Q$2:$Q$295,"ARGH")</f>
        <v>143</v>
      </c>
      <c r="HI45" s="3" t="str">
        <f>_xlfn.XLOOKUP(HI$1,generator!$B$2:$B$295,generator!$Q$2:$Q$295,"ARGH")</f>
        <v>246.74</v>
      </c>
      <c r="HJ45" s="3" t="str">
        <f>_xlfn.XLOOKUP(HJ$1,generator!$B$2:$B$295,generator!$Q$2:$Q$295,"ARGH")</f>
        <v>246.74</v>
      </c>
      <c r="HK45" s="3" t="str">
        <f>_xlfn.XLOOKUP(HK$1,generator!$B$2:$B$295,generator!$Q$2:$Q$295,"ARGH")</f>
        <v>206.04</v>
      </c>
      <c r="HL45" s="3" t="str">
        <f>_xlfn.XLOOKUP(HL$1,generator!$B$2:$B$295,generator!$Q$2:$Q$295,"ARGH")</f>
        <v>506.96</v>
      </c>
      <c r="HM45" s="3" t="str">
        <f>_xlfn.XLOOKUP(HM$1,generator!$B$2:$B$295,generator!$Q$2:$Q$295,"ARGH")</f>
        <v>506.95</v>
      </c>
      <c r="HN45" s="3" t="str">
        <f>_xlfn.XLOOKUP(HN$1,generator!$B$2:$B$295,generator!$Q$2:$Q$295,"ARGH")</f>
        <v>190.97</v>
      </c>
      <c r="HO45" s="3" t="str">
        <f>_xlfn.XLOOKUP(HO$1,generator!$B$2:$B$295,generator!$Q$2:$Q$295,"ARGH")</f>
        <v>190.97</v>
      </c>
      <c r="HP45" s="3" t="str">
        <f>_xlfn.XLOOKUP(HP$1,generator!$B$2:$B$295,generator!$Q$2:$Q$295,"ARGH")</f>
        <v>424.84</v>
      </c>
      <c r="HQ45" s="3" t="str">
        <f>_xlfn.XLOOKUP(HQ$1,generator!$B$2:$B$295,generator!$Q$2:$Q$295,"ARGH")</f>
        <v>425.9</v>
      </c>
      <c r="HR45" s="3" t="str">
        <f>_xlfn.XLOOKUP(HR$1,generator!$B$2:$B$295,generator!$Q$2:$Q$295,"ARGH")</f>
        <v>425.9</v>
      </c>
      <c r="HS45" s="3" t="str">
        <f>_xlfn.XLOOKUP(HS$1,generator!$B$2:$B$295,generator!$Q$2:$Q$295,"ARGH")</f>
        <v>196.54</v>
      </c>
      <c r="HT45" s="3" t="str">
        <f>_xlfn.XLOOKUP(HT$1,generator!$B$2:$B$295,generator!$Q$2:$Q$295,"ARGH")</f>
        <v>196.54</v>
      </c>
      <c r="HU45" s="3" t="str">
        <f>_xlfn.XLOOKUP(HU$1,generator!$B$2:$B$295,generator!$Q$2:$Q$295,"ARGH")</f>
        <v>145.57</v>
      </c>
      <c r="HV45" s="3" t="str">
        <f>_xlfn.XLOOKUP(HV$1,generator!$B$2:$B$295,generator!$Q$2:$Q$295,"ARGH")</f>
        <v>132.62</v>
      </c>
      <c r="HW45" s="3" t="str">
        <f>_xlfn.XLOOKUP(HW$1,generator!$B$2:$B$295,generator!$Q$2:$Q$295,"ARGH")</f>
        <v>193.76</v>
      </c>
      <c r="HX45" s="3" t="str">
        <f>_xlfn.XLOOKUP(HX$1,generator!$B$2:$B$295,generator!$Q$2:$Q$295,"ARGH")</f>
        <v>193.76</v>
      </c>
      <c r="HY45" s="3" t="str">
        <f>_xlfn.XLOOKUP(HY$1,generator!$B$2:$B$295,generator!$Q$2:$Q$295,"ARGH")</f>
        <v>79.19</v>
      </c>
      <c r="HZ45" s="3" t="str">
        <f>_xlfn.XLOOKUP(HZ$1,generator!$B$2:$B$295,generator!$Q$2:$Q$295,"ARGH")</f>
        <v>125.79</v>
      </c>
      <c r="IA45" s="3" t="str">
        <f>_xlfn.XLOOKUP(IA$1,generator!$B$2:$B$295,generator!$Q$2:$Q$295,"ARGH")</f>
        <v>54.19</v>
      </c>
      <c r="IB45" s="3" t="str">
        <f>_xlfn.XLOOKUP(IB$1,generator!$B$2:$B$295,generator!$Q$2:$Q$295,"ARGH")</f>
        <v>59.7</v>
      </c>
      <c r="IC45" s="3">
        <f>_xlfn.XLOOKUP(IC$1,generator!$B$2:$B$295,generator!$Q$2:$Q$295,"ARGH")</f>
        <v>0</v>
      </c>
      <c r="ID45" s="3" t="str">
        <f>_xlfn.XLOOKUP(ID$1,generator!$B$2:$B$295,generator!$Q$2:$Q$295,"ARGH")</f>
        <v>121.14</v>
      </c>
      <c r="IE45" s="3" t="str">
        <f>_xlfn.XLOOKUP(IE$1,generator!$B$2:$B$295,generator!$Q$2:$Q$295,"ARGH")</f>
        <v>26.6</v>
      </c>
      <c r="IF45" s="3">
        <f>_xlfn.XLOOKUP(IF$1,generator!$B$2:$B$295,generator!$Q$2:$Q$295,"ARGH")</f>
        <v>8000</v>
      </c>
      <c r="IG45" s="3">
        <f>_xlfn.XLOOKUP(IG$1,generator!$B$2:$B$295,generator!$Q$2:$Q$295,"ARGH")</f>
        <v>8000</v>
      </c>
      <c r="IH45" s="3">
        <f>_xlfn.XLOOKUP(IH$1,generator!$B$2:$B$295,generator!$Q$2:$Q$295,"ARGH")</f>
        <v>8000</v>
      </c>
      <c r="II45" s="3">
        <f>_xlfn.XLOOKUP(II$1,generator!$B$2:$B$295,generator!$Q$2:$Q$295,"ARGH")</f>
        <v>8000</v>
      </c>
      <c r="IJ45" s="3">
        <f>_xlfn.XLOOKUP(IJ$1,generator!$B$2:$B$295,generator!$Q$2:$Q$295,"ARGH")</f>
        <v>8000</v>
      </c>
      <c r="IK45" s="3">
        <f>_xlfn.XLOOKUP(IK$1,generator!$B$2:$B$295,generator!$Q$2:$Q$295,"ARGH")</f>
        <v>8000</v>
      </c>
      <c r="IL45" s="3">
        <f>_xlfn.XLOOKUP(IL$1,generator!$B$2:$B$295,generator!$Q$2:$Q$295,"ARGH")</f>
        <v>8000</v>
      </c>
      <c r="IM45" s="3">
        <f>_xlfn.XLOOKUP(IM$1,generator!$B$2:$B$295,generator!$Q$2:$Q$295,"ARGH")</f>
        <v>8000</v>
      </c>
      <c r="IN45" s="3">
        <f>_xlfn.XLOOKUP(IN$1,generator!$B$2:$B$295,generator!$Q$2:$Q$295,"ARGH")</f>
        <v>8000</v>
      </c>
      <c r="IO45" s="3">
        <f>_xlfn.XLOOKUP(IO$1,generator!$B$2:$B$295,generator!$Q$2:$Q$295,"ARGH")</f>
        <v>8000</v>
      </c>
      <c r="IP45" s="3">
        <f>_xlfn.XLOOKUP(IP$1,generator!$B$2:$B$295,generator!$Q$2:$Q$295,"ARGH")</f>
        <v>8000</v>
      </c>
      <c r="IQ45" s="3">
        <f>_xlfn.XLOOKUP(IQ$1,generator!$B$2:$B$295,generator!$Q$2:$Q$295,"ARGH")</f>
        <v>8000</v>
      </c>
      <c r="IR45" s="3">
        <f>_xlfn.XLOOKUP(IR$1,generator!$B$2:$B$295,generator!$Q$2:$Q$295,"ARGH")</f>
        <v>8000</v>
      </c>
      <c r="IS45" s="3">
        <f>_xlfn.XLOOKUP(IS$1,generator!$B$2:$B$295,generator!$Q$2:$Q$295,"ARGH")</f>
        <v>8000</v>
      </c>
      <c r="IT45" s="3">
        <f>_xlfn.XLOOKUP(IT$1,generator!$B$2:$B$295,generator!$Q$2:$Q$295,"ARGH")</f>
        <v>8000</v>
      </c>
      <c r="IU45" s="3">
        <f>_xlfn.XLOOKUP(IU$1,generator!$B$2:$B$295,generator!$Q$2:$Q$295,"ARGH")</f>
        <v>8000</v>
      </c>
      <c r="IV45" s="3">
        <f>_xlfn.XLOOKUP(IV$1,generator!$B$2:$B$295,generator!$Q$2:$Q$295,"ARGH")</f>
        <v>8000</v>
      </c>
      <c r="IW45" s="3" t="str">
        <f>_xlfn.XLOOKUP(IW$1,generator!$B$2:$B$295,generator!$Q$2:$Q$295,"ARGH")</f>
        <v>108.19</v>
      </c>
      <c r="IX45" s="3" t="str">
        <f>_xlfn.XLOOKUP(IX$1,generator!$B$2:$B$295,generator!$Q$2:$Q$295,"ARGH")</f>
        <v>108.18</v>
      </c>
      <c r="IY45" s="3" t="str">
        <f>_xlfn.XLOOKUP(IY$1,generator!$B$2:$B$295,generator!$Q$2:$Q$295,"ARGH")</f>
        <v>108.17</v>
      </c>
      <c r="IZ45" s="3" t="str">
        <f>_xlfn.XLOOKUP(IZ$1,generator!$B$2:$B$295,generator!$Q$2:$Q$295,"ARGH")</f>
        <v>40.96</v>
      </c>
      <c r="JA45" s="3">
        <f>_xlfn.XLOOKUP(JA$1,generator!$B$2:$B$295,generator!$Q$2:$Q$295,"ARGH")</f>
        <v>0</v>
      </c>
      <c r="JB45" s="3">
        <f>_xlfn.XLOOKUP(JB$1,generator!$B$2:$B$295,generator!$Q$2:$Q$295,"ARGH")</f>
        <v>0</v>
      </c>
      <c r="JC45" s="3" t="str">
        <f>_xlfn.XLOOKUP(JC$1,generator!$B$2:$B$295,generator!$Q$2:$Q$295,"ARGH")</f>
        <v>75.91</v>
      </c>
      <c r="JD45" s="3" t="str">
        <f>_xlfn.XLOOKUP(JD$1,generator!$B$2:$B$295,generator!$Q$2:$Q$295,"ARGH")</f>
        <v>75.91</v>
      </c>
      <c r="JE45" s="3" t="str">
        <f>_xlfn.XLOOKUP(JE$1,generator!$B$2:$B$295,generator!$Q$2:$Q$295,"ARGH")</f>
        <v>51.59</v>
      </c>
      <c r="JF45" s="3" t="str">
        <f>_xlfn.XLOOKUP(JF$1,generator!$B$2:$B$295,generator!$Q$2:$Q$295,"ARGH")</f>
        <v>111.57</v>
      </c>
      <c r="JG45" s="3">
        <f>_xlfn.XLOOKUP(JG$1,generator!$B$2:$B$295,generator!$Q$2:$Q$295,"ARGH")</f>
        <v>0</v>
      </c>
      <c r="JH45" s="3" t="str">
        <f>_xlfn.XLOOKUP(JH$1,generator!$B$2:$B$295,generator!$Q$2:$Q$295,"ARGH")</f>
        <v>48.65</v>
      </c>
      <c r="JI45" s="3" t="str">
        <f>_xlfn.XLOOKUP(JI$1,generator!$B$2:$B$295,generator!$Q$2:$Q$295,"ARGH")</f>
        <v>71.88</v>
      </c>
      <c r="JJ45" s="3" t="str">
        <f>_xlfn.XLOOKUP(JJ$1,generator!$B$2:$B$295,generator!$Q$2:$Q$295,"ARGH")</f>
        <v>98.17</v>
      </c>
      <c r="JK45" s="3" t="str">
        <f>_xlfn.XLOOKUP(JK$1,generator!$B$2:$B$295,generator!$Q$2:$Q$295,"ARGH")</f>
        <v>98.17</v>
      </c>
      <c r="JL45" s="3" t="str">
        <f>_xlfn.XLOOKUP(JL$1,generator!$B$2:$B$295,generator!$Q$2:$Q$295,"ARGH")</f>
        <v>98.17</v>
      </c>
      <c r="JM45" s="3" t="str">
        <f>_xlfn.XLOOKUP(JM$1,generator!$B$2:$B$295,generator!$Q$2:$Q$295,"ARGH")</f>
        <v>98.17</v>
      </c>
      <c r="JN45" s="3" t="str">
        <f>_xlfn.XLOOKUP(JN$1,generator!$B$2:$B$295,generator!$Q$2:$Q$295,"ARGH")</f>
        <v>98.17</v>
      </c>
      <c r="JO45" s="3" t="str">
        <f>_xlfn.XLOOKUP(JO$1,generator!$B$2:$B$295,generator!$Q$2:$Q$295,"ARGH")</f>
        <v>98.17</v>
      </c>
      <c r="JP45" s="3" t="str">
        <f>_xlfn.XLOOKUP(JP$1,generator!$B$2:$B$295,generator!$Q$2:$Q$295,"ARGH")</f>
        <v>47.53</v>
      </c>
      <c r="JQ45" s="3" t="str">
        <f>_xlfn.XLOOKUP(JQ$1,generator!$B$2:$B$295,generator!$Q$2:$Q$295,"ARGH")</f>
        <v>108.86</v>
      </c>
      <c r="JR45" s="3" t="str">
        <f>_xlfn.XLOOKUP(JR$1,generator!$B$2:$B$295,generator!$Q$2:$Q$295,"ARGH")</f>
        <v>83.15</v>
      </c>
      <c r="JS45" s="3" t="str">
        <f>_xlfn.XLOOKUP(JS$1,generator!$B$2:$B$295,generator!$Q$2:$Q$295,"ARGH")</f>
        <v>83.15</v>
      </c>
      <c r="JT45" s="3" t="str">
        <f>_xlfn.XLOOKUP(JT$1,generator!$B$2:$B$295,generator!$Q$2:$Q$295,"ARGH")</f>
        <v>108.86</v>
      </c>
      <c r="JU45" s="3">
        <f>_xlfn.XLOOKUP(JU$1,generator!$B$2:$B$295,generator!$Q$2:$Q$295,"ARGH")</f>
        <v>0</v>
      </c>
      <c r="JV45" s="3" t="str">
        <f>_xlfn.XLOOKUP(JV$1,generator!$B$2:$B$295,generator!$Q$2:$Q$295,"ARGH")</f>
        <v>77.63</v>
      </c>
      <c r="JW45" s="3" t="str">
        <f>_xlfn.XLOOKUP(JW$1,generator!$B$2:$B$295,generator!$Q$2:$Q$295,"ARGH")</f>
        <v>77.64</v>
      </c>
      <c r="JX45" s="3" t="str">
        <f>_xlfn.XLOOKUP(JX$1,generator!$B$2:$B$295,generator!$Q$2:$Q$295,"ARGH")</f>
        <v>331.49</v>
      </c>
      <c r="JY45" s="3">
        <f>_xlfn.XLOOKUP(JY$1,generator!$B$2:$B$295,generator!$Q$2:$Q$295,"ARGH")</f>
        <v>7000</v>
      </c>
      <c r="JZ45" s="3">
        <f>_xlfn.XLOOKUP(JZ$1,generator!$B$2:$B$295,generator!$Q$2:$Q$295,"ARGH")</f>
        <v>0</v>
      </c>
      <c r="KA45" s="3">
        <f>_xlfn.XLOOKUP(KA$1,generator!$B$2:$B$295,generator!$Q$2:$Q$295,"ARGH")</f>
        <v>0</v>
      </c>
      <c r="KB45" s="3">
        <f>_xlfn.XLOOKUP(KB$1,generator!$B$2:$B$295,generator!$Q$2:$Q$295,"ARGH")</f>
        <v>0</v>
      </c>
      <c r="KC45" s="3">
        <f>_xlfn.XLOOKUP(KC$1,generator!$B$2:$B$295,generator!$Q$2:$Q$295,"ARGH")</f>
        <v>0</v>
      </c>
    </row>
    <row r="46" spans="1:289" x14ac:dyDescent="0.3">
      <c r="A46" s="4" t="s">
        <v>3041</v>
      </c>
      <c r="B46" s="3">
        <v>15000</v>
      </c>
      <c r="C46" s="3">
        <v>15000</v>
      </c>
      <c r="D46" s="3">
        <v>15000</v>
      </c>
      <c r="E46" s="3">
        <f>_xlfn.XLOOKUP(E$1,generator!$B$2:$B$295,generator!$Q$2:$Q$295,"ARGH")</f>
        <v>9000</v>
      </c>
      <c r="F46" s="3">
        <f>_xlfn.XLOOKUP(F$1,generator!$B$2:$B$295,generator!$Q$2:$Q$295,"ARGH")</f>
        <v>9000</v>
      </c>
      <c r="G46" s="3">
        <f>_xlfn.XLOOKUP(G$1,generator!$B$2:$B$295,generator!$Q$2:$Q$295,"ARGH")</f>
        <v>9000</v>
      </c>
      <c r="H46" s="3">
        <f>_xlfn.XLOOKUP(H$1,generator!$B$2:$B$295,generator!$Q$2:$Q$295,"ARGH")</f>
        <v>9000</v>
      </c>
      <c r="I46" s="3">
        <f>_xlfn.XLOOKUP(I$1,generator!$B$2:$B$295,generator!$Q$2:$Q$295,"ARGH")</f>
        <v>9000</v>
      </c>
      <c r="J46" s="3">
        <f>_xlfn.XLOOKUP(J$1,generator!$B$2:$B$295,generator!$Q$2:$Q$295,"ARGH")</f>
        <v>9000</v>
      </c>
      <c r="K46" s="3">
        <f>_xlfn.XLOOKUP(K$1,generator!$B$2:$B$295,generator!$Q$2:$Q$295,"ARGH")</f>
        <v>9000</v>
      </c>
      <c r="L46" s="3">
        <f>_xlfn.XLOOKUP(L$1,generator!$B$2:$B$295,generator!$Q$2:$Q$295,"ARGH")</f>
        <v>9000</v>
      </c>
      <c r="M46" s="3">
        <f>_xlfn.XLOOKUP(M$1,generator!$B$2:$B$295,generator!$Q$2:$Q$295,"ARGH")</f>
        <v>9000</v>
      </c>
      <c r="N46" s="3">
        <f>_xlfn.XLOOKUP(N$1,generator!$B$2:$B$295,generator!$Q$2:$Q$295,"ARGH")</f>
        <v>9000</v>
      </c>
      <c r="O46" s="3">
        <f>_xlfn.XLOOKUP(O$1,generator!$B$2:$B$295,generator!$Q$2:$Q$295,"ARGH")</f>
        <v>9000</v>
      </c>
      <c r="P46" s="3">
        <f>_xlfn.XLOOKUP(P$1,generator!$B$2:$B$295,generator!$Q$2:$Q$295,"ARGH")</f>
        <v>9000</v>
      </c>
      <c r="Q46" s="3">
        <f>_xlfn.XLOOKUP(Q$1,generator!$B$2:$B$295,generator!$Q$2:$Q$295,"ARGH")</f>
        <v>9000</v>
      </c>
      <c r="R46" s="3">
        <f>_xlfn.XLOOKUP(R$1,generator!$B$2:$B$295,generator!$Q$2:$Q$295,"ARGH")</f>
        <v>9000</v>
      </c>
      <c r="S46" s="3">
        <f>_xlfn.XLOOKUP(S$1,generator!$B$2:$B$295,generator!$Q$2:$Q$295,"ARGH")</f>
        <v>9000</v>
      </c>
      <c r="T46" s="3">
        <f>_xlfn.XLOOKUP(T$1,generator!$B$2:$B$295,generator!$Q$2:$Q$295,"ARGH")</f>
        <v>9000</v>
      </c>
      <c r="U46" s="3">
        <f>_xlfn.XLOOKUP(U$1,generator!$B$2:$B$295,generator!$Q$2:$Q$295,"ARGH")</f>
        <v>9000</v>
      </c>
      <c r="V46" s="3">
        <f>_xlfn.XLOOKUP(V$1,generator!$B$2:$B$295,generator!$Q$2:$Q$295,"ARGH")</f>
        <v>9000</v>
      </c>
      <c r="W46" s="3">
        <f>_xlfn.XLOOKUP(W$1,generator!$B$2:$B$295,generator!$Q$2:$Q$295,"ARGH")</f>
        <v>9000</v>
      </c>
      <c r="X46" s="3">
        <f>_xlfn.XLOOKUP(X$1,generator!$B$2:$B$295,generator!$Q$2:$Q$295,"ARGH")</f>
        <v>9000</v>
      </c>
      <c r="Y46" s="3">
        <f>_xlfn.XLOOKUP(Y$1,generator!$B$2:$B$295,generator!$Q$2:$Q$295,"ARGH")</f>
        <v>9000</v>
      </c>
      <c r="Z46" s="3">
        <f>_xlfn.XLOOKUP(Z$1,generator!$B$2:$B$295,generator!$Q$2:$Q$295,"ARGH")</f>
        <v>9000</v>
      </c>
      <c r="AA46" s="3">
        <f>_xlfn.XLOOKUP(AA$1,generator!$B$2:$B$295,generator!$Q$2:$Q$295,"ARGH")</f>
        <v>9000</v>
      </c>
      <c r="AB46" s="3">
        <f>_xlfn.XLOOKUP(AB$1,generator!$B$2:$B$295,generator!$Q$2:$Q$295,"ARGH")</f>
        <v>9000</v>
      </c>
      <c r="AC46" s="3">
        <f>_xlfn.XLOOKUP(AC$1,generator!$B$2:$B$295,generator!$Q$2:$Q$295,"ARGH")</f>
        <v>9000</v>
      </c>
      <c r="AD46" s="3">
        <f>_xlfn.XLOOKUP(AD$1,generator!$B$2:$B$295,generator!$Q$2:$Q$295,"ARGH")</f>
        <v>9000</v>
      </c>
      <c r="AE46" s="3">
        <f>_xlfn.XLOOKUP(AE$1,generator!$B$2:$B$295,generator!$Q$2:$Q$295,"ARGH")</f>
        <v>9000</v>
      </c>
      <c r="AF46" s="3">
        <f>_xlfn.XLOOKUP(AF$1,generator!$B$2:$B$295,generator!$Q$2:$Q$295,"ARGH")</f>
        <v>9000</v>
      </c>
      <c r="AG46" s="3">
        <f>_xlfn.XLOOKUP(AG$1,generator!$B$2:$B$295,generator!$Q$2:$Q$295,"ARGH")</f>
        <v>9000</v>
      </c>
      <c r="AH46" s="3">
        <f>_xlfn.XLOOKUP(AH$1,generator!$B$2:$B$295,generator!$Q$2:$Q$295,"ARGH")</f>
        <v>9000</v>
      </c>
      <c r="AI46" s="3">
        <f>_xlfn.XLOOKUP(AI$1,generator!$B$2:$B$295,generator!$Q$2:$Q$295,"ARGH")</f>
        <v>9000</v>
      </c>
      <c r="AJ46" s="3">
        <f>_xlfn.XLOOKUP(AJ$1,generator!$B$2:$B$295,generator!$Q$2:$Q$295,"ARGH")</f>
        <v>9000</v>
      </c>
      <c r="AK46" s="3">
        <f>_xlfn.XLOOKUP(AK$1,generator!$B$2:$B$295,generator!$Q$2:$Q$295,"ARGH")</f>
        <v>9000</v>
      </c>
      <c r="AL46" s="3">
        <f>_xlfn.XLOOKUP(AL$1,generator!$B$2:$B$295,generator!$Q$2:$Q$295,"ARGH")</f>
        <v>9000</v>
      </c>
      <c r="AM46" s="3">
        <f>_xlfn.XLOOKUP(AM$1,generator!$B$2:$B$295,generator!$Q$2:$Q$295,"ARGH")</f>
        <v>9000</v>
      </c>
      <c r="AN46" s="3">
        <f>_xlfn.XLOOKUP(AN$1,generator!$B$2:$B$295,generator!$Q$2:$Q$295,"ARGH")</f>
        <v>9000</v>
      </c>
      <c r="AO46" s="3">
        <f>_xlfn.XLOOKUP(AO$1,generator!$B$2:$B$295,generator!$Q$2:$Q$295,"ARGH")</f>
        <v>9000</v>
      </c>
      <c r="AP46" s="3">
        <f>_xlfn.XLOOKUP(AP$1,generator!$B$2:$B$295,generator!$Q$2:$Q$295,"ARGH")</f>
        <v>9000</v>
      </c>
      <c r="AQ46" s="3">
        <f>_xlfn.XLOOKUP(AQ$1,generator!$B$2:$B$295,generator!$Q$2:$Q$295,"ARGH")</f>
        <v>9000</v>
      </c>
      <c r="AR46" s="3">
        <f>_xlfn.XLOOKUP(AR$1,generator!$B$2:$B$295,generator!$Q$2:$Q$295,"ARGH")</f>
        <v>9000</v>
      </c>
      <c r="AS46" s="3">
        <f>_xlfn.XLOOKUP(AS$1,generator!$B$2:$B$295,generator!$Q$2:$Q$295,"ARGH")</f>
        <v>9000</v>
      </c>
      <c r="AT46" s="3">
        <f>_xlfn.XLOOKUP(AT$1,generator!$B$2:$B$295,generator!$Q$2:$Q$295,"ARGH")</f>
        <v>9000</v>
      </c>
      <c r="AU46" s="3">
        <f>_xlfn.XLOOKUP(AU$1,generator!$B$2:$B$295,generator!$Q$2:$Q$295,"ARGH")</f>
        <v>9000</v>
      </c>
      <c r="AV46" s="3">
        <f>_xlfn.XLOOKUP(AV$1,generator!$B$2:$B$295,generator!$Q$2:$Q$295,"ARGH")</f>
        <v>9000</v>
      </c>
      <c r="AW46" s="3">
        <f>_xlfn.XLOOKUP(AW$1,generator!$B$2:$B$295,generator!$Q$2:$Q$295,"ARGH")</f>
        <v>9000</v>
      </c>
      <c r="AX46" s="3">
        <f>_xlfn.XLOOKUP(AX$1,generator!$B$2:$B$295,generator!$Q$2:$Q$295,"ARGH")</f>
        <v>9000</v>
      </c>
      <c r="AY46" s="3">
        <f>_xlfn.XLOOKUP(AY$1,generator!$B$2:$B$295,generator!$Q$2:$Q$295,"ARGH")</f>
        <v>9000</v>
      </c>
      <c r="AZ46" s="3">
        <f>_xlfn.XLOOKUP(AZ$1,generator!$B$2:$B$295,generator!$Q$2:$Q$295,"ARGH")</f>
        <v>9000</v>
      </c>
      <c r="BA46" s="3">
        <f>_xlfn.XLOOKUP(BA$1,generator!$B$2:$B$295,generator!$Q$2:$Q$295,"ARGH")</f>
        <v>9000</v>
      </c>
      <c r="BB46" s="3">
        <f>_xlfn.XLOOKUP(BB$1,generator!$B$2:$B$295,generator!$Q$2:$Q$295,"ARGH")</f>
        <v>9000</v>
      </c>
      <c r="BC46" s="3">
        <f>_xlfn.XLOOKUP(BC$1,generator!$B$2:$B$295,generator!$Q$2:$Q$295,"ARGH")</f>
        <v>9000</v>
      </c>
      <c r="BD46" s="3">
        <f>_xlfn.XLOOKUP(BD$1,generator!$B$2:$B$295,generator!$Q$2:$Q$295,"ARGH")</f>
        <v>9000</v>
      </c>
      <c r="BE46" s="3">
        <f>_xlfn.XLOOKUP(BE$1,generator!$B$2:$B$295,generator!$Q$2:$Q$295,"ARGH")</f>
        <v>9000</v>
      </c>
      <c r="BF46" s="3">
        <f>_xlfn.XLOOKUP(BF$1,generator!$B$2:$B$295,generator!$Q$2:$Q$295,"ARGH")</f>
        <v>9000</v>
      </c>
      <c r="BG46" s="3">
        <f>_xlfn.XLOOKUP(BG$1,generator!$B$2:$B$295,generator!$Q$2:$Q$295,"ARGH")</f>
        <v>9000</v>
      </c>
      <c r="BH46" s="3">
        <f>_xlfn.XLOOKUP(BH$1,generator!$B$2:$B$295,generator!$Q$2:$Q$295,"ARGH")</f>
        <v>9000</v>
      </c>
      <c r="BI46" s="3">
        <f>_xlfn.XLOOKUP(BI$1,generator!$B$2:$B$295,generator!$Q$2:$Q$295,"ARGH")</f>
        <v>9000</v>
      </c>
      <c r="BJ46" s="3">
        <f>_xlfn.XLOOKUP(BJ$1,generator!$B$2:$B$295,generator!$Q$2:$Q$295,"ARGH")</f>
        <v>9000</v>
      </c>
      <c r="BK46" s="3">
        <f>_xlfn.XLOOKUP(BK$1,generator!$B$2:$B$295,generator!$Q$2:$Q$295,"ARGH")</f>
        <v>9000</v>
      </c>
      <c r="BL46" s="3">
        <f>_xlfn.XLOOKUP(BL$1,generator!$B$2:$B$295,generator!$Q$2:$Q$295,"ARGH")</f>
        <v>9000</v>
      </c>
      <c r="BM46" s="3">
        <f>_xlfn.XLOOKUP(BM$1,generator!$B$2:$B$295,generator!$Q$2:$Q$295,"ARGH")</f>
        <v>9000</v>
      </c>
      <c r="BN46" s="3">
        <f>_xlfn.XLOOKUP(BN$1,generator!$B$2:$B$295,generator!$Q$2:$Q$295,"ARGH")</f>
        <v>9000</v>
      </c>
      <c r="BO46" s="3">
        <f>_xlfn.XLOOKUP(BO$1,generator!$B$2:$B$295,generator!$Q$2:$Q$295,"ARGH")</f>
        <v>9000</v>
      </c>
      <c r="BP46" s="3">
        <f>_xlfn.XLOOKUP(BP$1,generator!$B$2:$B$295,generator!$Q$2:$Q$295,"ARGH")</f>
        <v>9000</v>
      </c>
      <c r="BQ46" s="3">
        <f>_xlfn.XLOOKUP(BQ$1,generator!$B$2:$B$295,generator!$Q$2:$Q$295,"ARGH")</f>
        <v>9000</v>
      </c>
      <c r="BR46" s="3">
        <f>_xlfn.XLOOKUP(BR$1,generator!$B$2:$B$295,generator!$Q$2:$Q$295,"ARGH")</f>
        <v>9000</v>
      </c>
      <c r="BS46" s="3">
        <f>_xlfn.XLOOKUP(BS$1,generator!$B$2:$B$295,generator!$Q$2:$Q$295,"ARGH")</f>
        <v>9000</v>
      </c>
      <c r="BT46" s="3">
        <f>_xlfn.XLOOKUP(BT$1,generator!$B$2:$B$295,generator!$Q$2:$Q$295,"ARGH")</f>
        <v>9000</v>
      </c>
      <c r="BU46" s="3">
        <f>_xlfn.XLOOKUP(BU$1,generator!$B$2:$B$295,generator!$Q$2:$Q$295,"ARGH")</f>
        <v>9000</v>
      </c>
      <c r="BV46" s="3">
        <f>_xlfn.XLOOKUP(BV$1,generator!$B$2:$B$295,generator!$Q$2:$Q$295,"ARGH")</f>
        <v>9000</v>
      </c>
      <c r="BW46" s="3">
        <f>_xlfn.XLOOKUP(BW$1,generator!$B$2:$B$295,generator!$Q$2:$Q$295,"ARGH")</f>
        <v>9000</v>
      </c>
      <c r="BX46" s="3">
        <f>_xlfn.XLOOKUP(BX$1,generator!$B$2:$B$295,generator!$Q$2:$Q$295,"ARGH")</f>
        <v>9000</v>
      </c>
      <c r="BY46" s="3">
        <f>_xlfn.XLOOKUP(BY$1,generator!$B$2:$B$295,generator!$Q$2:$Q$295,"ARGH")</f>
        <v>9000</v>
      </c>
      <c r="BZ46" s="3">
        <f>_xlfn.XLOOKUP(BZ$1,generator!$B$2:$B$295,generator!$Q$2:$Q$295,"ARGH")</f>
        <v>9000</v>
      </c>
      <c r="CA46" s="3">
        <f>_xlfn.XLOOKUP(CA$1,generator!$B$2:$B$295,generator!$Q$2:$Q$295,"ARGH")</f>
        <v>9000</v>
      </c>
      <c r="CB46" s="3">
        <f>_xlfn.XLOOKUP(CB$1,generator!$B$2:$B$295,generator!$Q$2:$Q$295,"ARGH")</f>
        <v>9000</v>
      </c>
      <c r="CC46" s="3">
        <f>_xlfn.XLOOKUP(CC$1,generator!$B$2:$B$295,generator!$Q$2:$Q$295,"ARGH")</f>
        <v>9000</v>
      </c>
      <c r="CD46" s="3">
        <f>_xlfn.XLOOKUP(CD$1,generator!$B$2:$B$295,generator!$Q$2:$Q$295,"ARGH")</f>
        <v>9000</v>
      </c>
      <c r="CE46" s="3">
        <f>_xlfn.XLOOKUP(CE$1,generator!$B$2:$B$295,generator!$Q$2:$Q$295,"ARGH")</f>
        <v>9000</v>
      </c>
      <c r="CF46" s="3">
        <f>_xlfn.XLOOKUP(CF$1,generator!$B$2:$B$295,generator!$Q$2:$Q$295,"ARGH")</f>
        <v>9000</v>
      </c>
      <c r="CG46" s="3">
        <f>_xlfn.XLOOKUP(CG$1,generator!$B$2:$B$295,generator!$Q$2:$Q$295,"ARGH")</f>
        <v>9000</v>
      </c>
      <c r="CH46" s="3">
        <f>_xlfn.XLOOKUP(CH$1,generator!$B$2:$B$295,generator!$Q$2:$Q$295,"ARGH")</f>
        <v>9000</v>
      </c>
      <c r="CI46" s="3">
        <f>_xlfn.XLOOKUP(CI$1,generator!$B$2:$B$295,generator!$Q$2:$Q$295,"ARGH")</f>
        <v>9000</v>
      </c>
      <c r="CJ46" s="3">
        <f>_xlfn.XLOOKUP(CJ$1,generator!$B$2:$B$295,generator!$Q$2:$Q$295,"ARGH")</f>
        <v>9000</v>
      </c>
      <c r="CK46" s="3">
        <f>_xlfn.XLOOKUP(CK$1,generator!$B$2:$B$295,generator!$Q$2:$Q$295,"ARGH")</f>
        <v>9000</v>
      </c>
      <c r="CL46" s="3">
        <f>_xlfn.XLOOKUP(CL$1,generator!$B$2:$B$295,generator!$Q$2:$Q$295,"ARGH")</f>
        <v>9000</v>
      </c>
      <c r="CM46" s="3">
        <f>_xlfn.XLOOKUP(CM$1,generator!$B$2:$B$295,generator!$Q$2:$Q$295,"ARGH")</f>
        <v>9000</v>
      </c>
      <c r="CN46" s="3">
        <f>_xlfn.XLOOKUP(CN$1,generator!$B$2:$B$295,generator!$Q$2:$Q$295,"ARGH")</f>
        <v>9000</v>
      </c>
      <c r="CO46" s="3">
        <f>_xlfn.XLOOKUP(CO$1,generator!$B$2:$B$295,generator!$Q$2:$Q$295,"ARGH")</f>
        <v>9000</v>
      </c>
      <c r="CP46" s="3">
        <f>_xlfn.XLOOKUP(CP$1,generator!$B$2:$B$295,generator!$Q$2:$Q$295,"ARGH")</f>
        <v>9000</v>
      </c>
      <c r="CQ46" s="3">
        <f>_xlfn.XLOOKUP(CQ$1,generator!$B$2:$B$295,generator!$Q$2:$Q$295,"ARGH")</f>
        <v>9000</v>
      </c>
      <c r="CR46" s="3">
        <f>_xlfn.XLOOKUP(CR$1,generator!$B$2:$B$295,generator!$Q$2:$Q$295,"ARGH")</f>
        <v>9000</v>
      </c>
      <c r="CS46" s="3">
        <f>_xlfn.XLOOKUP(CS$1,generator!$B$2:$B$295,generator!$Q$2:$Q$295,"ARGH")</f>
        <v>9000</v>
      </c>
      <c r="CT46" s="3">
        <f>_xlfn.XLOOKUP(CT$1,generator!$B$2:$B$295,generator!$Q$2:$Q$295,"ARGH")</f>
        <v>9000</v>
      </c>
      <c r="CU46" s="3">
        <f>_xlfn.XLOOKUP(CU$1,generator!$B$2:$B$295,generator!$Q$2:$Q$295,"ARGH")</f>
        <v>9000</v>
      </c>
      <c r="CV46" s="3">
        <f>_xlfn.XLOOKUP(CV$1,generator!$B$2:$B$295,generator!$Q$2:$Q$295,"ARGH")</f>
        <v>9000</v>
      </c>
      <c r="CW46" s="3">
        <f>_xlfn.XLOOKUP(CW$1,generator!$B$2:$B$295,generator!$Q$2:$Q$295,"ARGH")</f>
        <v>9000</v>
      </c>
      <c r="CX46" s="3">
        <f>_xlfn.XLOOKUP(CX$1,generator!$B$2:$B$295,generator!$Q$2:$Q$295,"ARGH")</f>
        <v>9000</v>
      </c>
      <c r="CY46" s="3">
        <f>_xlfn.XLOOKUP(CY$1,generator!$B$2:$B$295,generator!$Q$2:$Q$295,"ARGH")</f>
        <v>9000</v>
      </c>
      <c r="CZ46" s="3">
        <f>_xlfn.XLOOKUP(CZ$1,generator!$B$2:$B$295,generator!$Q$2:$Q$295,"ARGH")</f>
        <v>9000</v>
      </c>
      <c r="DA46" s="3">
        <f>_xlfn.XLOOKUP(DA$1,generator!$B$2:$B$295,generator!$Q$2:$Q$295,"ARGH")</f>
        <v>9000</v>
      </c>
      <c r="DB46" s="3">
        <f>_xlfn.XLOOKUP(DB$1,generator!$B$2:$B$295,generator!$Q$2:$Q$295,"ARGH")</f>
        <v>9000</v>
      </c>
      <c r="DC46" s="3">
        <f>_xlfn.XLOOKUP(DC$1,generator!$B$2:$B$295,generator!$Q$2:$Q$295,"ARGH")</f>
        <v>9000</v>
      </c>
      <c r="DD46" s="3">
        <f>_xlfn.XLOOKUP(DD$1,generator!$B$2:$B$295,generator!$Q$2:$Q$295,"ARGH")</f>
        <v>9000</v>
      </c>
      <c r="DE46" s="3">
        <f>_xlfn.XLOOKUP(DE$1,generator!$B$2:$B$295,generator!$Q$2:$Q$295,"ARGH")</f>
        <v>9000</v>
      </c>
      <c r="DF46" s="3">
        <f>_xlfn.XLOOKUP(DF$1,generator!$B$2:$B$295,generator!$Q$2:$Q$295,"ARGH")</f>
        <v>9000</v>
      </c>
      <c r="DG46" s="3">
        <f>_xlfn.XLOOKUP(DG$1,generator!$B$2:$B$295,generator!$Q$2:$Q$295,"ARGH")</f>
        <v>9000</v>
      </c>
      <c r="DH46" s="3">
        <f>_xlfn.XLOOKUP(DH$1,generator!$B$2:$B$295,generator!$Q$2:$Q$295,"ARGH")</f>
        <v>9000</v>
      </c>
      <c r="DI46" s="3">
        <f>_xlfn.XLOOKUP(DI$1,generator!$B$2:$B$295,generator!$Q$2:$Q$295,"ARGH")</f>
        <v>9000</v>
      </c>
      <c r="DJ46" s="3">
        <f>_xlfn.XLOOKUP(DJ$1,generator!$B$2:$B$295,generator!$Q$2:$Q$295,"ARGH")</f>
        <v>9000</v>
      </c>
      <c r="DK46" s="3">
        <f>_xlfn.XLOOKUP(DK$1,generator!$B$2:$B$295,generator!$Q$2:$Q$295,"ARGH")</f>
        <v>9000</v>
      </c>
      <c r="DL46" s="3">
        <f>_xlfn.XLOOKUP(DL$1,generator!$B$2:$B$295,generator!$Q$2:$Q$295,"ARGH")</f>
        <v>9000</v>
      </c>
      <c r="DM46" s="3">
        <f>_xlfn.XLOOKUP(DM$1,generator!$B$2:$B$295,generator!$Q$2:$Q$295,"ARGH")</f>
        <v>9000</v>
      </c>
      <c r="DN46" s="3">
        <f>_xlfn.XLOOKUP(DN$1,generator!$B$2:$B$295,generator!$Q$2:$Q$295,"ARGH")</f>
        <v>9000</v>
      </c>
      <c r="DO46" s="3">
        <f>_xlfn.XLOOKUP(DO$1,generator!$B$2:$B$295,generator!$Q$2:$Q$295,"ARGH")</f>
        <v>9000</v>
      </c>
      <c r="DP46" s="3">
        <f>_xlfn.XLOOKUP(DP$1,generator!$B$2:$B$295,generator!$Q$2:$Q$295,"ARGH")</f>
        <v>9000</v>
      </c>
      <c r="DQ46" s="3">
        <f>_xlfn.XLOOKUP(DQ$1,generator!$B$2:$B$295,generator!$Q$2:$Q$295,"ARGH")</f>
        <v>9000</v>
      </c>
      <c r="DR46" s="3">
        <f>_xlfn.XLOOKUP(DR$1,generator!$B$2:$B$295,generator!$Q$2:$Q$295,"ARGH")</f>
        <v>9000</v>
      </c>
      <c r="DS46" s="3">
        <f>_xlfn.XLOOKUP(DS$1,generator!$B$2:$B$295,generator!$Q$2:$Q$295,"ARGH")</f>
        <v>9000</v>
      </c>
      <c r="DT46" s="3">
        <f>_xlfn.XLOOKUP(DT$1,generator!$B$2:$B$295,generator!$Q$2:$Q$295,"ARGH")</f>
        <v>9000</v>
      </c>
      <c r="DU46" s="3">
        <f>_xlfn.XLOOKUP(DU$1,generator!$B$2:$B$295,generator!$Q$2:$Q$295,"ARGH")</f>
        <v>9000</v>
      </c>
      <c r="DV46" s="3">
        <f>_xlfn.XLOOKUP(DV$1,generator!$B$2:$B$295,generator!$Q$2:$Q$295,"ARGH")</f>
        <v>9000</v>
      </c>
      <c r="DW46" s="3">
        <f>_xlfn.XLOOKUP(DW$1,generator!$B$2:$B$295,generator!$Q$2:$Q$295,"ARGH")</f>
        <v>9000</v>
      </c>
      <c r="DX46" s="3">
        <f>_xlfn.XLOOKUP(DX$1,generator!$B$2:$B$295,generator!$Q$2:$Q$295,"ARGH")</f>
        <v>9000</v>
      </c>
      <c r="DY46" s="3">
        <f>_xlfn.XLOOKUP(DY$1,generator!$B$2:$B$295,generator!$Q$2:$Q$295,"ARGH")</f>
        <v>9000</v>
      </c>
      <c r="DZ46" s="3">
        <f>_xlfn.XLOOKUP(DZ$1,generator!$B$2:$B$295,generator!$Q$2:$Q$295,"ARGH")</f>
        <v>9000</v>
      </c>
      <c r="EA46" s="3">
        <f>_xlfn.XLOOKUP(EA$1,generator!$B$2:$B$295,generator!$Q$2:$Q$295,"ARGH")</f>
        <v>9000</v>
      </c>
      <c r="EB46" s="3">
        <f>_xlfn.XLOOKUP(EB$1,generator!$B$2:$B$295,generator!$Q$2:$Q$295,"ARGH")</f>
        <v>9000</v>
      </c>
      <c r="EC46" s="3">
        <f>_xlfn.XLOOKUP(EC$1,generator!$B$2:$B$295,generator!$Q$2:$Q$295,"ARGH")</f>
        <v>9000</v>
      </c>
      <c r="ED46" s="3">
        <f>_xlfn.XLOOKUP(ED$1,generator!$B$2:$B$295,generator!$Q$2:$Q$295,"ARGH")</f>
        <v>9000</v>
      </c>
      <c r="EE46" s="3">
        <f>_xlfn.XLOOKUP(EE$1,generator!$B$2:$B$295,generator!$Q$2:$Q$295,"ARGH")</f>
        <v>9000</v>
      </c>
      <c r="EF46" s="3">
        <f>_xlfn.XLOOKUP(EF$1,generator!$B$2:$B$295,generator!$Q$2:$Q$295,"ARGH")</f>
        <v>9000</v>
      </c>
      <c r="EG46" s="3">
        <f>_xlfn.XLOOKUP(EG$1,generator!$B$2:$B$295,generator!$Q$2:$Q$295,"ARGH")</f>
        <v>9000</v>
      </c>
      <c r="EH46" s="3">
        <f>_xlfn.XLOOKUP(EH$1,generator!$B$2:$B$295,generator!$Q$2:$Q$295,"ARGH")</f>
        <v>9000</v>
      </c>
      <c r="EI46" s="3">
        <f>_xlfn.XLOOKUP(EI$1,generator!$B$2:$B$295,generator!$Q$2:$Q$295,"ARGH")</f>
        <v>9000</v>
      </c>
      <c r="EJ46" s="3">
        <f>_xlfn.XLOOKUP(EJ$1,generator!$B$2:$B$295,generator!$Q$2:$Q$295,"ARGH")</f>
        <v>9000</v>
      </c>
      <c r="EK46" s="3">
        <f>_xlfn.XLOOKUP(EK$1,generator!$B$2:$B$295,generator!$Q$2:$Q$295,"ARGH")</f>
        <v>9000</v>
      </c>
      <c r="EL46" s="3">
        <f>_xlfn.XLOOKUP(EL$1,generator!$B$2:$B$295,generator!$Q$2:$Q$295,"ARGH")</f>
        <v>9000</v>
      </c>
      <c r="EM46" s="3">
        <f>_xlfn.XLOOKUP(EM$1,generator!$B$2:$B$295,generator!$Q$2:$Q$295,"ARGH")</f>
        <v>9000</v>
      </c>
      <c r="EN46" s="3">
        <f>_xlfn.XLOOKUP(EN$1,generator!$B$2:$B$295,generator!$Q$2:$Q$295,"ARGH")</f>
        <v>9000</v>
      </c>
      <c r="EO46" s="3">
        <f>_xlfn.XLOOKUP(EO$1,generator!$B$2:$B$295,generator!$Q$2:$Q$295,"ARGH")</f>
        <v>9000</v>
      </c>
      <c r="EP46" s="3">
        <f>_xlfn.XLOOKUP(EP$1,generator!$B$2:$B$295,generator!$Q$2:$Q$295,"ARGH")</f>
        <v>9000</v>
      </c>
      <c r="EQ46" s="3">
        <f>_xlfn.XLOOKUP(EQ$1,generator!$B$2:$B$295,generator!$Q$2:$Q$295,"ARGH")</f>
        <v>9000</v>
      </c>
      <c r="ER46" s="3">
        <f>_xlfn.XLOOKUP(ER$1,generator!$B$2:$B$295,generator!$Q$2:$Q$295,"ARGH")</f>
        <v>9000</v>
      </c>
      <c r="ES46" s="3">
        <f>_xlfn.XLOOKUP(ES$1,generator!$B$2:$B$295,generator!$Q$2:$Q$295,"ARGH")</f>
        <v>9000</v>
      </c>
      <c r="ET46" s="3">
        <f>_xlfn.XLOOKUP(ET$1,generator!$B$2:$B$295,generator!$Q$2:$Q$295,"ARGH")</f>
        <v>9000</v>
      </c>
      <c r="EU46" s="3">
        <f>_xlfn.XLOOKUP(EU$1,generator!$B$2:$B$295,generator!$Q$2:$Q$295,"ARGH")</f>
        <v>9000</v>
      </c>
      <c r="EV46" s="3">
        <f>_xlfn.XLOOKUP(EV$1,generator!$B$2:$B$295,generator!$Q$2:$Q$295,"ARGH")</f>
        <v>9000</v>
      </c>
      <c r="EW46" s="3">
        <f>_xlfn.XLOOKUP(EW$1,generator!$B$2:$B$295,generator!$Q$2:$Q$295,"ARGH")</f>
        <v>9000</v>
      </c>
      <c r="EX46" s="3">
        <f>_xlfn.XLOOKUP(EX$1,generator!$B$2:$B$295,generator!$Q$2:$Q$295,"ARGH")</f>
        <v>9000</v>
      </c>
      <c r="EY46" s="3">
        <f>_xlfn.XLOOKUP(EY$1,generator!$B$2:$B$295,generator!$Q$2:$Q$295,"ARGH")</f>
        <v>9000</v>
      </c>
      <c r="EZ46" s="3">
        <f>_xlfn.XLOOKUP(EZ$1,generator!$B$2:$B$295,generator!$Q$2:$Q$295,"ARGH")</f>
        <v>9000</v>
      </c>
      <c r="FA46" s="3">
        <f>_xlfn.XLOOKUP(FA$1,generator!$B$2:$B$295,generator!$Q$2:$Q$295,"ARGH")</f>
        <v>9000</v>
      </c>
      <c r="FB46" s="3">
        <f>_xlfn.XLOOKUP(FB$1,generator!$B$2:$B$295,generator!$Q$2:$Q$295,"ARGH")</f>
        <v>9000</v>
      </c>
      <c r="FC46" s="3">
        <f>_xlfn.XLOOKUP(FC$1,generator!$B$2:$B$295,generator!$Q$2:$Q$295,"ARGH")</f>
        <v>9000</v>
      </c>
      <c r="FD46" s="3">
        <f>_xlfn.XLOOKUP(FD$1,generator!$B$2:$B$295,generator!$Q$2:$Q$295,"ARGH")</f>
        <v>9000</v>
      </c>
      <c r="FE46" s="3">
        <f>_xlfn.XLOOKUP(FE$1,generator!$B$2:$B$295,generator!$Q$2:$Q$295,"ARGH")</f>
        <v>9000</v>
      </c>
      <c r="FF46" s="3">
        <f>_xlfn.XLOOKUP(FF$1,generator!$B$2:$B$295,generator!$Q$2:$Q$295,"ARGH")</f>
        <v>9000</v>
      </c>
      <c r="FG46" s="3">
        <f>_xlfn.XLOOKUP(FG$1,generator!$B$2:$B$295,generator!$Q$2:$Q$295,"ARGH")</f>
        <v>9000</v>
      </c>
      <c r="FH46" s="3">
        <f>_xlfn.XLOOKUP(FH$1,generator!$B$2:$B$295,generator!$Q$2:$Q$295,"ARGH")</f>
        <v>9000</v>
      </c>
      <c r="FI46" s="3">
        <f>_xlfn.XLOOKUP(FI$1,generator!$B$2:$B$295,generator!$Q$2:$Q$295,"ARGH")</f>
        <v>9000</v>
      </c>
      <c r="FJ46" s="3">
        <f>_xlfn.XLOOKUP(FJ$1,generator!$B$2:$B$295,generator!$Q$2:$Q$295,"ARGH")</f>
        <v>9000</v>
      </c>
      <c r="FK46" s="3">
        <f>_xlfn.XLOOKUP(FK$1,generator!$B$2:$B$295,generator!$Q$2:$Q$295,"ARGH")</f>
        <v>9000</v>
      </c>
      <c r="FL46" s="3">
        <f>_xlfn.XLOOKUP(FL$1,generator!$B$2:$B$295,generator!$Q$2:$Q$295,"ARGH")</f>
        <v>9000</v>
      </c>
      <c r="FM46" s="3">
        <f>_xlfn.XLOOKUP(FM$1,generator!$B$2:$B$295,generator!$Q$2:$Q$295,"ARGH")</f>
        <v>9000</v>
      </c>
      <c r="FN46" s="3">
        <f>_xlfn.XLOOKUP(FN$1,generator!$B$2:$B$295,generator!$Q$2:$Q$295,"ARGH")</f>
        <v>9000</v>
      </c>
      <c r="FO46" s="3">
        <f>_xlfn.XLOOKUP(FO$1,generator!$B$2:$B$295,generator!$Q$2:$Q$295,"ARGH")</f>
        <v>9000</v>
      </c>
      <c r="FP46" s="3">
        <f>_xlfn.XLOOKUP(FP$1,generator!$B$2:$B$295,generator!$Q$2:$Q$295,"ARGH")</f>
        <v>9000</v>
      </c>
      <c r="FQ46" s="3">
        <f>_xlfn.XLOOKUP(FQ$1,generator!$B$2:$B$295,generator!$Q$2:$Q$295,"ARGH")</f>
        <v>9000</v>
      </c>
      <c r="FR46" s="3">
        <f>_xlfn.XLOOKUP(FR$1,generator!$B$2:$B$295,generator!$Q$2:$Q$295,"ARGH")</f>
        <v>9000</v>
      </c>
      <c r="FS46" s="3">
        <f>_xlfn.XLOOKUP(FS$1,generator!$B$2:$B$295,generator!$Q$2:$Q$295,"ARGH")</f>
        <v>9000</v>
      </c>
      <c r="FT46" s="3">
        <f>_xlfn.XLOOKUP(FT$1,generator!$B$2:$B$295,generator!$Q$2:$Q$295,"ARGH")</f>
        <v>9000</v>
      </c>
      <c r="FU46" s="3">
        <f>_xlfn.XLOOKUP(FU$1,generator!$B$2:$B$295,generator!$Q$2:$Q$295,"ARGH")</f>
        <v>9000</v>
      </c>
      <c r="FV46" s="3">
        <f>_xlfn.XLOOKUP(FV$1,generator!$B$2:$B$295,generator!$Q$2:$Q$295,"ARGH")</f>
        <v>9000</v>
      </c>
      <c r="FW46" s="3">
        <f>_xlfn.XLOOKUP(FW$1,generator!$B$2:$B$295,generator!$Q$2:$Q$295,"ARGH")</f>
        <v>9000</v>
      </c>
      <c r="FX46" s="3">
        <f>_xlfn.XLOOKUP(FX$1,generator!$B$2:$B$295,generator!$Q$2:$Q$295,"ARGH")</f>
        <v>9000</v>
      </c>
      <c r="FY46" s="3">
        <f>_xlfn.XLOOKUP(FY$1,generator!$B$2:$B$295,generator!$Q$2:$Q$295,"ARGH")</f>
        <v>9000</v>
      </c>
      <c r="FZ46" s="3">
        <f>_xlfn.XLOOKUP(FZ$1,generator!$B$2:$B$295,generator!$Q$2:$Q$295,"ARGH")</f>
        <v>9000</v>
      </c>
      <c r="GA46" s="3">
        <f>_xlfn.XLOOKUP(GA$1,generator!$B$2:$B$295,generator!$Q$2:$Q$295,"ARGH")</f>
        <v>9000</v>
      </c>
      <c r="GB46" s="3">
        <f>_xlfn.XLOOKUP(GB$1,generator!$B$2:$B$295,generator!$Q$2:$Q$295,"ARGH")</f>
        <v>9000</v>
      </c>
      <c r="GC46" s="3">
        <f>_xlfn.XLOOKUP(GC$1,generator!$B$2:$B$295,generator!$Q$2:$Q$295,"ARGH")</f>
        <v>9000</v>
      </c>
      <c r="GD46" s="3">
        <f>_xlfn.XLOOKUP(GD$1,generator!$B$2:$B$295,generator!$Q$2:$Q$295,"ARGH")</f>
        <v>9000</v>
      </c>
      <c r="GE46" s="3">
        <f>_xlfn.XLOOKUP(GE$1,generator!$B$2:$B$295,generator!$Q$2:$Q$295,"ARGH")</f>
        <v>9000</v>
      </c>
      <c r="GF46" s="3">
        <f>_xlfn.XLOOKUP(GF$1,generator!$B$2:$B$295,generator!$Q$2:$Q$295,"ARGH")</f>
        <v>9000</v>
      </c>
      <c r="GG46" s="3">
        <f>_xlfn.XLOOKUP(GG$1,generator!$B$2:$B$295,generator!$Q$2:$Q$295,"ARGH")</f>
        <v>9000</v>
      </c>
      <c r="GH46" s="3">
        <f>_xlfn.XLOOKUP(GH$1,generator!$B$2:$B$295,generator!$Q$2:$Q$295,"ARGH")</f>
        <v>9000</v>
      </c>
      <c r="GI46" s="3">
        <f>_xlfn.XLOOKUP(GI$1,generator!$B$2:$B$295,generator!$Q$2:$Q$295,"ARGH")</f>
        <v>9000</v>
      </c>
      <c r="GJ46" s="3">
        <f>_xlfn.XLOOKUP(GJ$1,generator!$B$2:$B$295,generator!$Q$2:$Q$295,"ARGH")</f>
        <v>9000</v>
      </c>
      <c r="GK46" s="3">
        <f>_xlfn.XLOOKUP(GK$1,generator!$B$2:$B$295,generator!$Q$2:$Q$295,"ARGH")</f>
        <v>9000</v>
      </c>
      <c r="GL46" s="3">
        <f>_xlfn.XLOOKUP(GL$1,generator!$B$2:$B$295,generator!$Q$2:$Q$295,"ARGH")</f>
        <v>9000</v>
      </c>
      <c r="GM46" s="3">
        <f>_xlfn.XLOOKUP(GM$1,generator!$B$2:$B$295,generator!$Q$2:$Q$295,"ARGH")</f>
        <v>9000</v>
      </c>
      <c r="GN46" s="3">
        <f>_xlfn.XLOOKUP(GN$1,generator!$B$2:$B$295,generator!$Q$2:$Q$295,"ARGH")</f>
        <v>9000</v>
      </c>
      <c r="GO46" s="3">
        <f>_xlfn.XLOOKUP(GO$1,generator!$B$2:$B$295,generator!$Q$2:$Q$295,"ARGH")</f>
        <v>9000</v>
      </c>
      <c r="GP46" s="3">
        <f>_xlfn.XLOOKUP(GP$1,generator!$B$2:$B$295,generator!$Q$2:$Q$295,"ARGH")</f>
        <v>9000</v>
      </c>
      <c r="GQ46" s="3">
        <f>_xlfn.XLOOKUP(GQ$1,generator!$B$2:$B$295,generator!$Q$2:$Q$295,"ARGH")</f>
        <v>9000</v>
      </c>
      <c r="GR46" s="3">
        <f>_xlfn.XLOOKUP(GR$1,generator!$B$2:$B$295,generator!$Q$2:$Q$295,"ARGH")</f>
        <v>9000</v>
      </c>
      <c r="GS46" s="3">
        <f>_xlfn.XLOOKUP(GS$1,generator!$B$2:$B$295,generator!$Q$2:$Q$295,"ARGH")</f>
        <v>9000</v>
      </c>
      <c r="GT46" s="3">
        <f>_xlfn.XLOOKUP(GT$1,generator!$B$2:$B$295,generator!$Q$2:$Q$295,"ARGH")</f>
        <v>9000</v>
      </c>
      <c r="GU46" s="3">
        <f>_xlfn.XLOOKUP(GU$1,generator!$B$2:$B$295,generator!$Q$2:$Q$295,"ARGH")</f>
        <v>9000</v>
      </c>
      <c r="GV46" s="3">
        <f>_xlfn.XLOOKUP(GV$1,generator!$B$2:$B$295,generator!$Q$2:$Q$295,"ARGH")</f>
        <v>9000</v>
      </c>
      <c r="GW46" s="3">
        <f>_xlfn.XLOOKUP(GW$1,generator!$B$2:$B$295,generator!$Q$2:$Q$295,"ARGH")</f>
        <v>9000</v>
      </c>
      <c r="GX46" s="3">
        <f>_xlfn.XLOOKUP(GX$1,generator!$B$2:$B$295,generator!$Q$2:$Q$295,"ARGH")</f>
        <v>9000</v>
      </c>
      <c r="GY46" s="3">
        <f>_xlfn.XLOOKUP(GY$1,generator!$B$2:$B$295,generator!$Q$2:$Q$295,"ARGH")</f>
        <v>9000</v>
      </c>
      <c r="GZ46" s="3">
        <f>_xlfn.XLOOKUP(GZ$1,generator!$B$2:$B$295,generator!$Q$2:$Q$295,"ARGH")</f>
        <v>9000</v>
      </c>
      <c r="HA46" s="3">
        <f>_xlfn.XLOOKUP(HA$1,generator!$B$2:$B$295,generator!$Q$2:$Q$295,"ARGH")</f>
        <v>9000</v>
      </c>
      <c r="HB46" s="3">
        <f>_xlfn.XLOOKUP(HB$1,generator!$B$2:$B$295,generator!$Q$2:$Q$295,"ARGH")</f>
        <v>9000</v>
      </c>
      <c r="HC46" s="3">
        <f>_xlfn.XLOOKUP(HC$1,generator!$B$2:$B$295,generator!$Q$2:$Q$295,"ARGH")</f>
        <v>9000</v>
      </c>
      <c r="HD46" s="3">
        <f>_xlfn.XLOOKUP(HD$1,generator!$B$2:$B$295,generator!$Q$2:$Q$295,"ARGH")</f>
        <v>9000</v>
      </c>
      <c r="HE46" s="3">
        <f>_xlfn.XLOOKUP(HE$1,generator!$B$2:$B$295,generator!$Q$2:$Q$295,"ARGH")</f>
        <v>8000</v>
      </c>
      <c r="HF46" s="3" t="str">
        <f>_xlfn.XLOOKUP(HF$1,generator!$B$2:$B$295,generator!$Q$2:$Q$295,"ARGH")</f>
        <v>143</v>
      </c>
      <c r="HG46" s="3" t="str">
        <f>_xlfn.XLOOKUP(HG$1,generator!$B$2:$B$295,generator!$Q$2:$Q$295,"ARGH")</f>
        <v>143</v>
      </c>
      <c r="HH46" s="3" t="str">
        <f>_xlfn.XLOOKUP(HH$1,generator!$B$2:$B$295,generator!$Q$2:$Q$295,"ARGH")</f>
        <v>143</v>
      </c>
      <c r="HI46" s="3" t="str">
        <f>_xlfn.XLOOKUP(HI$1,generator!$B$2:$B$295,generator!$Q$2:$Q$295,"ARGH")</f>
        <v>246.74</v>
      </c>
      <c r="HJ46" s="3" t="str">
        <f>_xlfn.XLOOKUP(HJ$1,generator!$B$2:$B$295,generator!$Q$2:$Q$295,"ARGH")</f>
        <v>246.74</v>
      </c>
      <c r="HK46" s="3" t="str">
        <f>_xlfn.XLOOKUP(HK$1,generator!$B$2:$B$295,generator!$Q$2:$Q$295,"ARGH")</f>
        <v>206.04</v>
      </c>
      <c r="HL46" s="3" t="str">
        <f>_xlfn.XLOOKUP(HL$1,generator!$B$2:$B$295,generator!$Q$2:$Q$295,"ARGH")</f>
        <v>506.96</v>
      </c>
      <c r="HM46" s="3" t="str">
        <f>_xlfn.XLOOKUP(HM$1,generator!$B$2:$B$295,generator!$Q$2:$Q$295,"ARGH")</f>
        <v>506.95</v>
      </c>
      <c r="HN46" s="3" t="str">
        <f>_xlfn.XLOOKUP(HN$1,generator!$B$2:$B$295,generator!$Q$2:$Q$295,"ARGH")</f>
        <v>190.97</v>
      </c>
      <c r="HO46" s="3" t="str">
        <f>_xlfn.XLOOKUP(HO$1,generator!$B$2:$B$295,generator!$Q$2:$Q$295,"ARGH")</f>
        <v>190.97</v>
      </c>
      <c r="HP46" s="3" t="str">
        <f>_xlfn.XLOOKUP(HP$1,generator!$B$2:$B$295,generator!$Q$2:$Q$295,"ARGH")</f>
        <v>424.84</v>
      </c>
      <c r="HQ46" s="3" t="str">
        <f>_xlfn.XLOOKUP(HQ$1,generator!$B$2:$B$295,generator!$Q$2:$Q$295,"ARGH")</f>
        <v>425.9</v>
      </c>
      <c r="HR46" s="3" t="str">
        <f>_xlfn.XLOOKUP(HR$1,generator!$B$2:$B$295,generator!$Q$2:$Q$295,"ARGH")</f>
        <v>425.9</v>
      </c>
      <c r="HS46" s="3" t="str">
        <f>_xlfn.XLOOKUP(HS$1,generator!$B$2:$B$295,generator!$Q$2:$Q$295,"ARGH")</f>
        <v>196.54</v>
      </c>
      <c r="HT46" s="3" t="str">
        <f>_xlfn.XLOOKUP(HT$1,generator!$B$2:$B$295,generator!$Q$2:$Q$295,"ARGH")</f>
        <v>196.54</v>
      </c>
      <c r="HU46" s="3" t="str">
        <f>_xlfn.XLOOKUP(HU$1,generator!$B$2:$B$295,generator!$Q$2:$Q$295,"ARGH")</f>
        <v>145.57</v>
      </c>
      <c r="HV46" s="3" t="str">
        <f>_xlfn.XLOOKUP(HV$1,generator!$B$2:$B$295,generator!$Q$2:$Q$295,"ARGH")</f>
        <v>132.62</v>
      </c>
      <c r="HW46" s="3" t="str">
        <f>_xlfn.XLOOKUP(HW$1,generator!$B$2:$B$295,generator!$Q$2:$Q$295,"ARGH")</f>
        <v>193.76</v>
      </c>
      <c r="HX46" s="3" t="str">
        <f>_xlfn.XLOOKUP(HX$1,generator!$B$2:$B$295,generator!$Q$2:$Q$295,"ARGH")</f>
        <v>193.76</v>
      </c>
      <c r="HY46" s="3" t="str">
        <f>_xlfn.XLOOKUP(HY$1,generator!$B$2:$B$295,generator!$Q$2:$Q$295,"ARGH")</f>
        <v>79.19</v>
      </c>
      <c r="HZ46" s="3" t="str">
        <f>_xlfn.XLOOKUP(HZ$1,generator!$B$2:$B$295,generator!$Q$2:$Q$295,"ARGH")</f>
        <v>125.79</v>
      </c>
      <c r="IA46" s="3" t="str">
        <f>_xlfn.XLOOKUP(IA$1,generator!$B$2:$B$295,generator!$Q$2:$Q$295,"ARGH")</f>
        <v>54.19</v>
      </c>
      <c r="IB46" s="3" t="str">
        <f>_xlfn.XLOOKUP(IB$1,generator!$B$2:$B$295,generator!$Q$2:$Q$295,"ARGH")</f>
        <v>59.7</v>
      </c>
      <c r="IC46" s="3">
        <f>_xlfn.XLOOKUP(IC$1,generator!$B$2:$B$295,generator!$Q$2:$Q$295,"ARGH")</f>
        <v>0</v>
      </c>
      <c r="ID46" s="3" t="str">
        <f>_xlfn.XLOOKUP(ID$1,generator!$B$2:$B$295,generator!$Q$2:$Q$295,"ARGH")</f>
        <v>121.14</v>
      </c>
      <c r="IE46" s="3" t="str">
        <f>_xlfn.XLOOKUP(IE$1,generator!$B$2:$B$295,generator!$Q$2:$Q$295,"ARGH")</f>
        <v>26.6</v>
      </c>
      <c r="IF46" s="3">
        <f>_xlfn.XLOOKUP(IF$1,generator!$B$2:$B$295,generator!$Q$2:$Q$295,"ARGH")</f>
        <v>8000</v>
      </c>
      <c r="IG46" s="3">
        <f>_xlfn.XLOOKUP(IG$1,generator!$B$2:$B$295,generator!$Q$2:$Q$295,"ARGH")</f>
        <v>8000</v>
      </c>
      <c r="IH46" s="3">
        <f>_xlfn.XLOOKUP(IH$1,generator!$B$2:$B$295,generator!$Q$2:$Q$295,"ARGH")</f>
        <v>8000</v>
      </c>
      <c r="II46" s="3">
        <f>_xlfn.XLOOKUP(II$1,generator!$B$2:$B$295,generator!$Q$2:$Q$295,"ARGH")</f>
        <v>8000</v>
      </c>
      <c r="IJ46" s="3">
        <f>_xlfn.XLOOKUP(IJ$1,generator!$B$2:$B$295,generator!$Q$2:$Q$295,"ARGH")</f>
        <v>8000</v>
      </c>
      <c r="IK46" s="3">
        <f>_xlfn.XLOOKUP(IK$1,generator!$B$2:$B$295,generator!$Q$2:$Q$295,"ARGH")</f>
        <v>8000</v>
      </c>
      <c r="IL46" s="3">
        <f>_xlfn.XLOOKUP(IL$1,generator!$B$2:$B$295,generator!$Q$2:$Q$295,"ARGH")</f>
        <v>8000</v>
      </c>
      <c r="IM46" s="3">
        <f>_xlfn.XLOOKUP(IM$1,generator!$B$2:$B$295,generator!$Q$2:$Q$295,"ARGH")</f>
        <v>8000</v>
      </c>
      <c r="IN46" s="3">
        <f>_xlfn.XLOOKUP(IN$1,generator!$B$2:$B$295,generator!$Q$2:$Q$295,"ARGH")</f>
        <v>8000</v>
      </c>
      <c r="IO46" s="3">
        <f>_xlfn.XLOOKUP(IO$1,generator!$B$2:$B$295,generator!$Q$2:$Q$295,"ARGH")</f>
        <v>8000</v>
      </c>
      <c r="IP46" s="3">
        <f>_xlfn.XLOOKUP(IP$1,generator!$B$2:$B$295,generator!$Q$2:$Q$295,"ARGH")</f>
        <v>8000</v>
      </c>
      <c r="IQ46" s="3">
        <f>_xlfn.XLOOKUP(IQ$1,generator!$B$2:$B$295,generator!$Q$2:$Q$295,"ARGH")</f>
        <v>8000</v>
      </c>
      <c r="IR46" s="3">
        <f>_xlfn.XLOOKUP(IR$1,generator!$B$2:$B$295,generator!$Q$2:$Q$295,"ARGH")</f>
        <v>8000</v>
      </c>
      <c r="IS46" s="3">
        <f>_xlfn.XLOOKUP(IS$1,generator!$B$2:$B$295,generator!$Q$2:$Q$295,"ARGH")</f>
        <v>8000</v>
      </c>
      <c r="IT46" s="3">
        <f>_xlfn.XLOOKUP(IT$1,generator!$B$2:$B$295,generator!$Q$2:$Q$295,"ARGH")</f>
        <v>8000</v>
      </c>
      <c r="IU46" s="3">
        <f>_xlfn.XLOOKUP(IU$1,generator!$B$2:$B$295,generator!$Q$2:$Q$295,"ARGH")</f>
        <v>8000</v>
      </c>
      <c r="IV46" s="3">
        <f>_xlfn.XLOOKUP(IV$1,generator!$B$2:$B$295,generator!$Q$2:$Q$295,"ARGH")</f>
        <v>8000</v>
      </c>
      <c r="IW46" s="3" t="str">
        <f>_xlfn.XLOOKUP(IW$1,generator!$B$2:$B$295,generator!$Q$2:$Q$295,"ARGH")</f>
        <v>108.19</v>
      </c>
      <c r="IX46" s="3" t="str">
        <f>_xlfn.XLOOKUP(IX$1,generator!$B$2:$B$295,generator!$Q$2:$Q$295,"ARGH")</f>
        <v>108.18</v>
      </c>
      <c r="IY46" s="3" t="str">
        <f>_xlfn.XLOOKUP(IY$1,generator!$B$2:$B$295,generator!$Q$2:$Q$295,"ARGH")</f>
        <v>108.17</v>
      </c>
      <c r="IZ46" s="3" t="str">
        <f>_xlfn.XLOOKUP(IZ$1,generator!$B$2:$B$295,generator!$Q$2:$Q$295,"ARGH")</f>
        <v>40.96</v>
      </c>
      <c r="JA46" s="3">
        <f>_xlfn.XLOOKUP(JA$1,generator!$B$2:$B$295,generator!$Q$2:$Q$295,"ARGH")</f>
        <v>0</v>
      </c>
      <c r="JB46" s="3">
        <f>_xlfn.XLOOKUP(JB$1,generator!$B$2:$B$295,generator!$Q$2:$Q$295,"ARGH")</f>
        <v>0</v>
      </c>
      <c r="JC46" s="3" t="str">
        <f>_xlfn.XLOOKUP(JC$1,generator!$B$2:$B$295,generator!$Q$2:$Q$295,"ARGH")</f>
        <v>75.91</v>
      </c>
      <c r="JD46" s="3" t="str">
        <f>_xlfn.XLOOKUP(JD$1,generator!$B$2:$B$295,generator!$Q$2:$Q$295,"ARGH")</f>
        <v>75.91</v>
      </c>
      <c r="JE46" s="3" t="str">
        <f>_xlfn.XLOOKUP(JE$1,generator!$B$2:$B$295,generator!$Q$2:$Q$295,"ARGH")</f>
        <v>51.59</v>
      </c>
      <c r="JF46" s="3" t="str">
        <f>_xlfn.XLOOKUP(JF$1,generator!$B$2:$B$295,generator!$Q$2:$Q$295,"ARGH")</f>
        <v>111.57</v>
      </c>
      <c r="JG46" s="3">
        <f>_xlfn.XLOOKUP(JG$1,generator!$B$2:$B$295,generator!$Q$2:$Q$295,"ARGH")</f>
        <v>0</v>
      </c>
      <c r="JH46" s="3" t="str">
        <f>_xlfn.XLOOKUP(JH$1,generator!$B$2:$B$295,generator!$Q$2:$Q$295,"ARGH")</f>
        <v>48.65</v>
      </c>
      <c r="JI46" s="3" t="str">
        <f>_xlfn.XLOOKUP(JI$1,generator!$B$2:$B$295,generator!$Q$2:$Q$295,"ARGH")</f>
        <v>71.88</v>
      </c>
      <c r="JJ46" s="3" t="str">
        <f>_xlfn.XLOOKUP(JJ$1,generator!$B$2:$B$295,generator!$Q$2:$Q$295,"ARGH")</f>
        <v>98.17</v>
      </c>
      <c r="JK46" s="3" t="str">
        <f>_xlfn.XLOOKUP(JK$1,generator!$B$2:$B$295,generator!$Q$2:$Q$295,"ARGH")</f>
        <v>98.17</v>
      </c>
      <c r="JL46" s="3" t="str">
        <f>_xlfn.XLOOKUP(JL$1,generator!$B$2:$B$295,generator!$Q$2:$Q$295,"ARGH")</f>
        <v>98.17</v>
      </c>
      <c r="JM46" s="3" t="str">
        <f>_xlfn.XLOOKUP(JM$1,generator!$B$2:$B$295,generator!$Q$2:$Q$295,"ARGH")</f>
        <v>98.17</v>
      </c>
      <c r="JN46" s="3" t="str">
        <f>_xlfn.XLOOKUP(JN$1,generator!$B$2:$B$295,generator!$Q$2:$Q$295,"ARGH")</f>
        <v>98.17</v>
      </c>
      <c r="JO46" s="3" t="str">
        <f>_xlfn.XLOOKUP(JO$1,generator!$B$2:$B$295,generator!$Q$2:$Q$295,"ARGH")</f>
        <v>98.17</v>
      </c>
      <c r="JP46" s="3" t="str">
        <f>_xlfn.XLOOKUP(JP$1,generator!$B$2:$B$295,generator!$Q$2:$Q$295,"ARGH")</f>
        <v>47.53</v>
      </c>
      <c r="JQ46" s="3" t="str">
        <f>_xlfn.XLOOKUP(JQ$1,generator!$B$2:$B$295,generator!$Q$2:$Q$295,"ARGH")</f>
        <v>108.86</v>
      </c>
      <c r="JR46" s="3" t="str">
        <f>_xlfn.XLOOKUP(JR$1,generator!$B$2:$B$295,generator!$Q$2:$Q$295,"ARGH")</f>
        <v>83.15</v>
      </c>
      <c r="JS46" s="3" t="str">
        <f>_xlfn.XLOOKUP(JS$1,generator!$B$2:$B$295,generator!$Q$2:$Q$295,"ARGH")</f>
        <v>83.15</v>
      </c>
      <c r="JT46" s="3" t="str">
        <f>_xlfn.XLOOKUP(JT$1,generator!$B$2:$B$295,generator!$Q$2:$Q$295,"ARGH")</f>
        <v>108.86</v>
      </c>
      <c r="JU46" s="3">
        <f>_xlfn.XLOOKUP(JU$1,generator!$B$2:$B$295,generator!$Q$2:$Q$295,"ARGH")</f>
        <v>0</v>
      </c>
      <c r="JV46" s="3" t="str">
        <f>_xlfn.XLOOKUP(JV$1,generator!$B$2:$B$295,generator!$Q$2:$Q$295,"ARGH")</f>
        <v>77.63</v>
      </c>
      <c r="JW46" s="3" t="str">
        <f>_xlfn.XLOOKUP(JW$1,generator!$B$2:$B$295,generator!$Q$2:$Q$295,"ARGH")</f>
        <v>77.64</v>
      </c>
      <c r="JX46" s="3" t="str">
        <f>_xlfn.XLOOKUP(JX$1,generator!$B$2:$B$295,generator!$Q$2:$Q$295,"ARGH")</f>
        <v>331.49</v>
      </c>
      <c r="JY46" s="3">
        <f>_xlfn.XLOOKUP(JY$1,generator!$B$2:$B$295,generator!$Q$2:$Q$295,"ARGH")</f>
        <v>7000</v>
      </c>
      <c r="JZ46" s="3">
        <f>_xlfn.XLOOKUP(JZ$1,generator!$B$2:$B$295,generator!$Q$2:$Q$295,"ARGH")</f>
        <v>0</v>
      </c>
      <c r="KA46" s="3">
        <f>_xlfn.XLOOKUP(KA$1,generator!$B$2:$B$295,generator!$Q$2:$Q$295,"ARGH")</f>
        <v>0</v>
      </c>
      <c r="KB46" s="3">
        <f>_xlfn.XLOOKUP(KB$1,generator!$B$2:$B$295,generator!$Q$2:$Q$295,"ARGH")</f>
        <v>0</v>
      </c>
      <c r="KC46" s="3">
        <f>_xlfn.XLOOKUP(KC$1,generator!$B$2:$B$295,generator!$Q$2:$Q$295,"ARGH")</f>
        <v>0</v>
      </c>
    </row>
    <row r="47" spans="1:289" x14ac:dyDescent="0.3">
      <c r="A47" s="4" t="s">
        <v>3042</v>
      </c>
      <c r="B47" s="3">
        <v>15000</v>
      </c>
      <c r="C47" s="3">
        <v>15000</v>
      </c>
      <c r="D47" s="3">
        <v>15000</v>
      </c>
      <c r="E47" s="3">
        <f>_xlfn.XLOOKUP(E$1,generator!$B$2:$B$295,generator!$Q$2:$Q$295,"ARGH")</f>
        <v>9000</v>
      </c>
      <c r="F47" s="3">
        <f>_xlfn.XLOOKUP(F$1,generator!$B$2:$B$295,generator!$Q$2:$Q$295,"ARGH")</f>
        <v>9000</v>
      </c>
      <c r="G47" s="3">
        <f>_xlfn.XLOOKUP(G$1,generator!$B$2:$B$295,generator!$Q$2:$Q$295,"ARGH")</f>
        <v>9000</v>
      </c>
      <c r="H47" s="3">
        <f>_xlfn.XLOOKUP(H$1,generator!$B$2:$B$295,generator!$Q$2:$Q$295,"ARGH")</f>
        <v>9000</v>
      </c>
      <c r="I47" s="3">
        <f>_xlfn.XLOOKUP(I$1,generator!$B$2:$B$295,generator!$Q$2:$Q$295,"ARGH")</f>
        <v>9000</v>
      </c>
      <c r="J47" s="3">
        <f>_xlfn.XLOOKUP(J$1,generator!$B$2:$B$295,generator!$Q$2:$Q$295,"ARGH")</f>
        <v>9000</v>
      </c>
      <c r="K47" s="3">
        <f>_xlfn.XLOOKUP(K$1,generator!$B$2:$B$295,generator!$Q$2:$Q$295,"ARGH")</f>
        <v>9000</v>
      </c>
      <c r="L47" s="3">
        <f>_xlfn.XLOOKUP(L$1,generator!$B$2:$B$295,generator!$Q$2:$Q$295,"ARGH")</f>
        <v>9000</v>
      </c>
      <c r="M47" s="3">
        <f>_xlfn.XLOOKUP(M$1,generator!$B$2:$B$295,generator!$Q$2:$Q$295,"ARGH")</f>
        <v>9000</v>
      </c>
      <c r="N47" s="3">
        <f>_xlfn.XLOOKUP(N$1,generator!$B$2:$B$295,generator!$Q$2:$Q$295,"ARGH")</f>
        <v>9000</v>
      </c>
      <c r="O47" s="3">
        <f>_xlfn.XLOOKUP(O$1,generator!$B$2:$B$295,generator!$Q$2:$Q$295,"ARGH")</f>
        <v>9000</v>
      </c>
      <c r="P47" s="3">
        <f>_xlfn.XLOOKUP(P$1,generator!$B$2:$B$295,generator!$Q$2:$Q$295,"ARGH")</f>
        <v>9000</v>
      </c>
      <c r="Q47" s="3">
        <f>_xlfn.XLOOKUP(Q$1,generator!$B$2:$B$295,generator!$Q$2:$Q$295,"ARGH")</f>
        <v>9000</v>
      </c>
      <c r="R47" s="3">
        <f>_xlfn.XLOOKUP(R$1,generator!$B$2:$B$295,generator!$Q$2:$Q$295,"ARGH")</f>
        <v>9000</v>
      </c>
      <c r="S47" s="3">
        <f>_xlfn.XLOOKUP(S$1,generator!$B$2:$B$295,generator!$Q$2:$Q$295,"ARGH")</f>
        <v>9000</v>
      </c>
      <c r="T47" s="3">
        <f>_xlfn.XLOOKUP(T$1,generator!$B$2:$B$295,generator!$Q$2:$Q$295,"ARGH")</f>
        <v>9000</v>
      </c>
      <c r="U47" s="3">
        <f>_xlfn.XLOOKUP(U$1,generator!$B$2:$B$295,generator!$Q$2:$Q$295,"ARGH")</f>
        <v>9000</v>
      </c>
      <c r="V47" s="3">
        <f>_xlfn.XLOOKUP(V$1,generator!$B$2:$B$295,generator!$Q$2:$Q$295,"ARGH")</f>
        <v>9000</v>
      </c>
      <c r="W47" s="3">
        <f>_xlfn.XLOOKUP(W$1,generator!$B$2:$B$295,generator!$Q$2:$Q$295,"ARGH")</f>
        <v>9000</v>
      </c>
      <c r="X47" s="3">
        <f>_xlfn.XLOOKUP(X$1,generator!$B$2:$B$295,generator!$Q$2:$Q$295,"ARGH")</f>
        <v>9000</v>
      </c>
      <c r="Y47" s="3">
        <f>_xlfn.XLOOKUP(Y$1,generator!$B$2:$B$295,generator!$Q$2:$Q$295,"ARGH")</f>
        <v>9000</v>
      </c>
      <c r="Z47" s="3">
        <f>_xlfn.XLOOKUP(Z$1,generator!$B$2:$B$295,generator!$Q$2:$Q$295,"ARGH")</f>
        <v>9000</v>
      </c>
      <c r="AA47" s="3">
        <f>_xlfn.XLOOKUP(AA$1,generator!$B$2:$B$295,generator!$Q$2:$Q$295,"ARGH")</f>
        <v>9000</v>
      </c>
      <c r="AB47" s="3">
        <f>_xlfn.XLOOKUP(AB$1,generator!$B$2:$B$295,generator!$Q$2:$Q$295,"ARGH")</f>
        <v>9000</v>
      </c>
      <c r="AC47" s="3">
        <f>_xlfn.XLOOKUP(AC$1,generator!$B$2:$B$295,generator!$Q$2:$Q$295,"ARGH")</f>
        <v>9000</v>
      </c>
      <c r="AD47" s="3">
        <f>_xlfn.XLOOKUP(AD$1,generator!$B$2:$B$295,generator!$Q$2:$Q$295,"ARGH")</f>
        <v>9000</v>
      </c>
      <c r="AE47" s="3">
        <f>_xlfn.XLOOKUP(AE$1,generator!$B$2:$B$295,generator!$Q$2:$Q$295,"ARGH")</f>
        <v>9000</v>
      </c>
      <c r="AF47" s="3">
        <f>_xlfn.XLOOKUP(AF$1,generator!$B$2:$B$295,generator!$Q$2:$Q$295,"ARGH")</f>
        <v>9000</v>
      </c>
      <c r="AG47" s="3">
        <f>_xlfn.XLOOKUP(AG$1,generator!$B$2:$B$295,generator!$Q$2:$Q$295,"ARGH")</f>
        <v>9000</v>
      </c>
      <c r="AH47" s="3">
        <f>_xlfn.XLOOKUP(AH$1,generator!$B$2:$B$295,generator!$Q$2:$Q$295,"ARGH")</f>
        <v>9000</v>
      </c>
      <c r="AI47" s="3">
        <f>_xlfn.XLOOKUP(AI$1,generator!$B$2:$B$295,generator!$Q$2:$Q$295,"ARGH")</f>
        <v>9000</v>
      </c>
      <c r="AJ47" s="3">
        <f>_xlfn.XLOOKUP(AJ$1,generator!$B$2:$B$295,generator!$Q$2:$Q$295,"ARGH")</f>
        <v>9000</v>
      </c>
      <c r="AK47" s="3">
        <f>_xlfn.XLOOKUP(AK$1,generator!$B$2:$B$295,generator!$Q$2:$Q$295,"ARGH")</f>
        <v>9000</v>
      </c>
      <c r="AL47" s="3">
        <f>_xlfn.XLOOKUP(AL$1,generator!$B$2:$B$295,generator!$Q$2:$Q$295,"ARGH")</f>
        <v>9000</v>
      </c>
      <c r="AM47" s="3">
        <f>_xlfn.XLOOKUP(AM$1,generator!$B$2:$B$295,generator!$Q$2:$Q$295,"ARGH")</f>
        <v>9000</v>
      </c>
      <c r="AN47" s="3">
        <f>_xlfn.XLOOKUP(AN$1,generator!$B$2:$B$295,generator!$Q$2:$Q$295,"ARGH")</f>
        <v>9000</v>
      </c>
      <c r="AO47" s="3">
        <f>_xlfn.XLOOKUP(AO$1,generator!$B$2:$B$295,generator!$Q$2:$Q$295,"ARGH")</f>
        <v>9000</v>
      </c>
      <c r="AP47" s="3">
        <f>_xlfn.XLOOKUP(AP$1,generator!$B$2:$B$295,generator!$Q$2:$Q$295,"ARGH")</f>
        <v>9000</v>
      </c>
      <c r="AQ47" s="3">
        <f>_xlfn.XLOOKUP(AQ$1,generator!$B$2:$B$295,generator!$Q$2:$Q$295,"ARGH")</f>
        <v>9000</v>
      </c>
      <c r="AR47" s="3">
        <f>_xlfn.XLOOKUP(AR$1,generator!$B$2:$B$295,generator!$Q$2:$Q$295,"ARGH")</f>
        <v>9000</v>
      </c>
      <c r="AS47" s="3">
        <f>_xlfn.XLOOKUP(AS$1,generator!$B$2:$B$295,generator!$Q$2:$Q$295,"ARGH")</f>
        <v>9000</v>
      </c>
      <c r="AT47" s="3">
        <f>_xlfn.XLOOKUP(AT$1,generator!$B$2:$B$295,generator!$Q$2:$Q$295,"ARGH")</f>
        <v>9000</v>
      </c>
      <c r="AU47" s="3">
        <f>_xlfn.XLOOKUP(AU$1,generator!$B$2:$B$295,generator!$Q$2:$Q$295,"ARGH")</f>
        <v>9000</v>
      </c>
      <c r="AV47" s="3">
        <f>_xlfn.XLOOKUP(AV$1,generator!$B$2:$B$295,generator!$Q$2:$Q$295,"ARGH")</f>
        <v>9000</v>
      </c>
      <c r="AW47" s="3">
        <f>_xlfn.XLOOKUP(AW$1,generator!$B$2:$B$295,generator!$Q$2:$Q$295,"ARGH")</f>
        <v>9000</v>
      </c>
      <c r="AX47" s="3">
        <f>_xlfn.XLOOKUP(AX$1,generator!$B$2:$B$295,generator!$Q$2:$Q$295,"ARGH")</f>
        <v>9000</v>
      </c>
      <c r="AY47" s="3">
        <f>_xlfn.XLOOKUP(AY$1,generator!$B$2:$B$295,generator!$Q$2:$Q$295,"ARGH")</f>
        <v>9000</v>
      </c>
      <c r="AZ47" s="3">
        <f>_xlfn.XLOOKUP(AZ$1,generator!$B$2:$B$295,generator!$Q$2:$Q$295,"ARGH")</f>
        <v>9000</v>
      </c>
      <c r="BA47" s="3">
        <f>_xlfn.XLOOKUP(BA$1,generator!$B$2:$B$295,generator!$Q$2:$Q$295,"ARGH")</f>
        <v>9000</v>
      </c>
      <c r="BB47" s="3">
        <f>_xlfn.XLOOKUP(BB$1,generator!$B$2:$B$295,generator!$Q$2:$Q$295,"ARGH")</f>
        <v>9000</v>
      </c>
      <c r="BC47" s="3">
        <f>_xlfn.XLOOKUP(BC$1,generator!$B$2:$B$295,generator!$Q$2:$Q$295,"ARGH")</f>
        <v>9000</v>
      </c>
      <c r="BD47" s="3">
        <f>_xlfn.XLOOKUP(BD$1,generator!$B$2:$B$295,generator!$Q$2:$Q$295,"ARGH")</f>
        <v>9000</v>
      </c>
      <c r="BE47" s="3">
        <f>_xlfn.XLOOKUP(BE$1,generator!$B$2:$B$295,generator!$Q$2:$Q$295,"ARGH")</f>
        <v>9000</v>
      </c>
      <c r="BF47" s="3">
        <f>_xlfn.XLOOKUP(BF$1,generator!$B$2:$B$295,generator!$Q$2:$Q$295,"ARGH")</f>
        <v>9000</v>
      </c>
      <c r="BG47" s="3">
        <f>_xlfn.XLOOKUP(BG$1,generator!$B$2:$B$295,generator!$Q$2:$Q$295,"ARGH")</f>
        <v>9000</v>
      </c>
      <c r="BH47" s="3">
        <f>_xlfn.XLOOKUP(BH$1,generator!$B$2:$B$295,generator!$Q$2:$Q$295,"ARGH")</f>
        <v>9000</v>
      </c>
      <c r="BI47" s="3">
        <f>_xlfn.XLOOKUP(BI$1,generator!$B$2:$B$295,generator!$Q$2:$Q$295,"ARGH")</f>
        <v>9000</v>
      </c>
      <c r="BJ47" s="3">
        <f>_xlfn.XLOOKUP(BJ$1,generator!$B$2:$B$295,generator!$Q$2:$Q$295,"ARGH")</f>
        <v>9000</v>
      </c>
      <c r="BK47" s="3">
        <f>_xlfn.XLOOKUP(BK$1,generator!$B$2:$B$295,generator!$Q$2:$Q$295,"ARGH")</f>
        <v>9000</v>
      </c>
      <c r="BL47" s="3">
        <f>_xlfn.XLOOKUP(BL$1,generator!$B$2:$B$295,generator!$Q$2:$Q$295,"ARGH")</f>
        <v>9000</v>
      </c>
      <c r="BM47" s="3">
        <f>_xlfn.XLOOKUP(BM$1,generator!$B$2:$B$295,generator!$Q$2:$Q$295,"ARGH")</f>
        <v>9000</v>
      </c>
      <c r="BN47" s="3">
        <f>_xlfn.XLOOKUP(BN$1,generator!$B$2:$B$295,generator!$Q$2:$Q$295,"ARGH")</f>
        <v>9000</v>
      </c>
      <c r="BO47" s="3">
        <f>_xlfn.XLOOKUP(BO$1,generator!$B$2:$B$295,generator!$Q$2:$Q$295,"ARGH")</f>
        <v>9000</v>
      </c>
      <c r="BP47" s="3">
        <f>_xlfn.XLOOKUP(BP$1,generator!$B$2:$B$295,generator!$Q$2:$Q$295,"ARGH")</f>
        <v>9000</v>
      </c>
      <c r="BQ47" s="3">
        <f>_xlfn.XLOOKUP(BQ$1,generator!$B$2:$B$295,generator!$Q$2:$Q$295,"ARGH")</f>
        <v>9000</v>
      </c>
      <c r="BR47" s="3">
        <f>_xlfn.XLOOKUP(BR$1,generator!$B$2:$B$295,generator!$Q$2:$Q$295,"ARGH")</f>
        <v>9000</v>
      </c>
      <c r="BS47" s="3">
        <f>_xlfn.XLOOKUP(BS$1,generator!$B$2:$B$295,generator!$Q$2:$Q$295,"ARGH")</f>
        <v>9000</v>
      </c>
      <c r="BT47" s="3">
        <f>_xlfn.XLOOKUP(BT$1,generator!$B$2:$B$295,generator!$Q$2:$Q$295,"ARGH")</f>
        <v>9000</v>
      </c>
      <c r="BU47" s="3">
        <f>_xlfn.XLOOKUP(BU$1,generator!$B$2:$B$295,generator!$Q$2:$Q$295,"ARGH")</f>
        <v>9000</v>
      </c>
      <c r="BV47" s="3">
        <f>_xlfn.XLOOKUP(BV$1,generator!$B$2:$B$295,generator!$Q$2:$Q$295,"ARGH")</f>
        <v>9000</v>
      </c>
      <c r="BW47" s="3">
        <f>_xlfn.XLOOKUP(BW$1,generator!$B$2:$B$295,generator!$Q$2:$Q$295,"ARGH")</f>
        <v>9000</v>
      </c>
      <c r="BX47" s="3">
        <f>_xlfn.XLOOKUP(BX$1,generator!$B$2:$B$295,generator!$Q$2:$Q$295,"ARGH")</f>
        <v>9000</v>
      </c>
      <c r="BY47" s="3">
        <f>_xlfn.XLOOKUP(BY$1,generator!$B$2:$B$295,generator!$Q$2:$Q$295,"ARGH")</f>
        <v>9000</v>
      </c>
      <c r="BZ47" s="3">
        <f>_xlfn.XLOOKUP(BZ$1,generator!$B$2:$B$295,generator!$Q$2:$Q$295,"ARGH")</f>
        <v>9000</v>
      </c>
      <c r="CA47" s="3">
        <f>_xlfn.XLOOKUP(CA$1,generator!$B$2:$B$295,generator!$Q$2:$Q$295,"ARGH")</f>
        <v>9000</v>
      </c>
      <c r="CB47" s="3">
        <f>_xlfn.XLOOKUP(CB$1,generator!$B$2:$B$295,generator!$Q$2:$Q$295,"ARGH")</f>
        <v>9000</v>
      </c>
      <c r="CC47" s="3">
        <f>_xlfn.XLOOKUP(CC$1,generator!$B$2:$B$295,generator!$Q$2:$Q$295,"ARGH")</f>
        <v>9000</v>
      </c>
      <c r="CD47" s="3">
        <f>_xlfn.XLOOKUP(CD$1,generator!$B$2:$B$295,generator!$Q$2:$Q$295,"ARGH")</f>
        <v>9000</v>
      </c>
      <c r="CE47" s="3">
        <f>_xlfn.XLOOKUP(CE$1,generator!$B$2:$B$295,generator!$Q$2:$Q$295,"ARGH")</f>
        <v>9000</v>
      </c>
      <c r="CF47" s="3">
        <f>_xlfn.XLOOKUP(CF$1,generator!$B$2:$B$295,generator!$Q$2:$Q$295,"ARGH")</f>
        <v>9000</v>
      </c>
      <c r="CG47" s="3">
        <f>_xlfn.XLOOKUP(CG$1,generator!$B$2:$B$295,generator!$Q$2:$Q$295,"ARGH")</f>
        <v>9000</v>
      </c>
      <c r="CH47" s="3">
        <f>_xlfn.XLOOKUP(CH$1,generator!$B$2:$B$295,generator!$Q$2:$Q$295,"ARGH")</f>
        <v>9000</v>
      </c>
      <c r="CI47" s="3">
        <f>_xlfn.XLOOKUP(CI$1,generator!$B$2:$B$295,generator!$Q$2:$Q$295,"ARGH")</f>
        <v>9000</v>
      </c>
      <c r="CJ47" s="3">
        <f>_xlfn.XLOOKUP(CJ$1,generator!$B$2:$B$295,generator!$Q$2:$Q$295,"ARGH")</f>
        <v>9000</v>
      </c>
      <c r="CK47" s="3">
        <f>_xlfn.XLOOKUP(CK$1,generator!$B$2:$B$295,generator!$Q$2:$Q$295,"ARGH")</f>
        <v>9000</v>
      </c>
      <c r="CL47" s="3">
        <f>_xlfn.XLOOKUP(CL$1,generator!$B$2:$B$295,generator!$Q$2:$Q$295,"ARGH")</f>
        <v>9000</v>
      </c>
      <c r="CM47" s="3">
        <f>_xlfn.XLOOKUP(CM$1,generator!$B$2:$B$295,generator!$Q$2:$Q$295,"ARGH")</f>
        <v>9000</v>
      </c>
      <c r="CN47" s="3">
        <f>_xlfn.XLOOKUP(CN$1,generator!$B$2:$B$295,generator!$Q$2:$Q$295,"ARGH")</f>
        <v>9000</v>
      </c>
      <c r="CO47" s="3">
        <f>_xlfn.XLOOKUP(CO$1,generator!$B$2:$B$295,generator!$Q$2:$Q$295,"ARGH")</f>
        <v>9000</v>
      </c>
      <c r="CP47" s="3">
        <f>_xlfn.XLOOKUP(CP$1,generator!$B$2:$B$295,generator!$Q$2:$Q$295,"ARGH")</f>
        <v>9000</v>
      </c>
      <c r="CQ47" s="3">
        <f>_xlfn.XLOOKUP(CQ$1,generator!$B$2:$B$295,generator!$Q$2:$Q$295,"ARGH")</f>
        <v>9000</v>
      </c>
      <c r="CR47" s="3">
        <f>_xlfn.XLOOKUP(CR$1,generator!$B$2:$B$295,generator!$Q$2:$Q$295,"ARGH")</f>
        <v>9000</v>
      </c>
      <c r="CS47" s="3">
        <f>_xlfn.XLOOKUP(CS$1,generator!$B$2:$B$295,generator!$Q$2:$Q$295,"ARGH")</f>
        <v>9000</v>
      </c>
      <c r="CT47" s="3">
        <f>_xlfn.XLOOKUP(CT$1,generator!$B$2:$B$295,generator!$Q$2:$Q$295,"ARGH")</f>
        <v>9000</v>
      </c>
      <c r="CU47" s="3">
        <f>_xlfn.XLOOKUP(CU$1,generator!$B$2:$B$295,generator!$Q$2:$Q$295,"ARGH")</f>
        <v>9000</v>
      </c>
      <c r="CV47" s="3">
        <f>_xlfn.XLOOKUP(CV$1,generator!$B$2:$B$295,generator!$Q$2:$Q$295,"ARGH")</f>
        <v>9000</v>
      </c>
      <c r="CW47" s="3">
        <f>_xlfn.XLOOKUP(CW$1,generator!$B$2:$B$295,generator!$Q$2:$Q$295,"ARGH")</f>
        <v>9000</v>
      </c>
      <c r="CX47" s="3">
        <f>_xlfn.XLOOKUP(CX$1,generator!$B$2:$B$295,generator!$Q$2:$Q$295,"ARGH")</f>
        <v>9000</v>
      </c>
      <c r="CY47" s="3">
        <f>_xlfn.XLOOKUP(CY$1,generator!$B$2:$B$295,generator!$Q$2:$Q$295,"ARGH")</f>
        <v>9000</v>
      </c>
      <c r="CZ47" s="3">
        <f>_xlfn.XLOOKUP(CZ$1,generator!$B$2:$B$295,generator!$Q$2:$Q$295,"ARGH")</f>
        <v>9000</v>
      </c>
      <c r="DA47" s="3">
        <f>_xlfn.XLOOKUP(DA$1,generator!$B$2:$B$295,generator!$Q$2:$Q$295,"ARGH")</f>
        <v>9000</v>
      </c>
      <c r="DB47" s="3">
        <f>_xlfn.XLOOKUP(DB$1,generator!$B$2:$B$295,generator!$Q$2:$Q$295,"ARGH")</f>
        <v>9000</v>
      </c>
      <c r="DC47" s="3">
        <f>_xlfn.XLOOKUP(DC$1,generator!$B$2:$B$295,generator!$Q$2:$Q$295,"ARGH")</f>
        <v>9000</v>
      </c>
      <c r="DD47" s="3">
        <f>_xlfn.XLOOKUP(DD$1,generator!$B$2:$B$295,generator!$Q$2:$Q$295,"ARGH")</f>
        <v>9000</v>
      </c>
      <c r="DE47" s="3">
        <f>_xlfn.XLOOKUP(DE$1,generator!$B$2:$B$295,generator!$Q$2:$Q$295,"ARGH")</f>
        <v>9000</v>
      </c>
      <c r="DF47" s="3">
        <f>_xlfn.XLOOKUP(DF$1,generator!$B$2:$B$295,generator!$Q$2:$Q$295,"ARGH")</f>
        <v>9000</v>
      </c>
      <c r="DG47" s="3">
        <f>_xlfn.XLOOKUP(DG$1,generator!$B$2:$B$295,generator!$Q$2:$Q$295,"ARGH")</f>
        <v>9000</v>
      </c>
      <c r="DH47" s="3">
        <f>_xlfn.XLOOKUP(DH$1,generator!$B$2:$B$295,generator!$Q$2:$Q$295,"ARGH")</f>
        <v>9000</v>
      </c>
      <c r="DI47" s="3">
        <f>_xlfn.XLOOKUP(DI$1,generator!$B$2:$B$295,generator!$Q$2:$Q$295,"ARGH")</f>
        <v>9000</v>
      </c>
      <c r="DJ47" s="3">
        <f>_xlfn.XLOOKUP(DJ$1,generator!$B$2:$B$295,generator!$Q$2:$Q$295,"ARGH")</f>
        <v>9000</v>
      </c>
      <c r="DK47" s="3">
        <f>_xlfn.XLOOKUP(DK$1,generator!$B$2:$B$295,generator!$Q$2:$Q$295,"ARGH")</f>
        <v>9000</v>
      </c>
      <c r="DL47" s="3">
        <f>_xlfn.XLOOKUP(DL$1,generator!$B$2:$B$295,generator!$Q$2:$Q$295,"ARGH")</f>
        <v>9000</v>
      </c>
      <c r="DM47" s="3">
        <f>_xlfn.XLOOKUP(DM$1,generator!$B$2:$B$295,generator!$Q$2:$Q$295,"ARGH")</f>
        <v>9000</v>
      </c>
      <c r="DN47" s="3">
        <f>_xlfn.XLOOKUP(DN$1,generator!$B$2:$B$295,generator!$Q$2:$Q$295,"ARGH")</f>
        <v>9000</v>
      </c>
      <c r="DO47" s="3">
        <f>_xlfn.XLOOKUP(DO$1,generator!$B$2:$B$295,generator!$Q$2:$Q$295,"ARGH")</f>
        <v>9000</v>
      </c>
      <c r="DP47" s="3">
        <f>_xlfn.XLOOKUP(DP$1,generator!$B$2:$B$295,generator!$Q$2:$Q$295,"ARGH")</f>
        <v>9000</v>
      </c>
      <c r="DQ47" s="3">
        <f>_xlfn.XLOOKUP(DQ$1,generator!$B$2:$B$295,generator!$Q$2:$Q$295,"ARGH")</f>
        <v>9000</v>
      </c>
      <c r="DR47" s="3">
        <f>_xlfn.XLOOKUP(DR$1,generator!$B$2:$B$295,generator!$Q$2:$Q$295,"ARGH")</f>
        <v>9000</v>
      </c>
      <c r="DS47" s="3">
        <f>_xlfn.XLOOKUP(DS$1,generator!$B$2:$B$295,generator!$Q$2:$Q$295,"ARGH")</f>
        <v>9000</v>
      </c>
      <c r="DT47" s="3">
        <f>_xlfn.XLOOKUP(DT$1,generator!$B$2:$B$295,generator!$Q$2:$Q$295,"ARGH")</f>
        <v>9000</v>
      </c>
      <c r="DU47" s="3">
        <f>_xlfn.XLOOKUP(DU$1,generator!$B$2:$B$295,generator!$Q$2:$Q$295,"ARGH")</f>
        <v>9000</v>
      </c>
      <c r="DV47" s="3">
        <f>_xlfn.XLOOKUP(DV$1,generator!$B$2:$B$295,generator!$Q$2:$Q$295,"ARGH")</f>
        <v>9000</v>
      </c>
      <c r="DW47" s="3">
        <f>_xlfn.XLOOKUP(DW$1,generator!$B$2:$B$295,generator!$Q$2:$Q$295,"ARGH")</f>
        <v>9000</v>
      </c>
      <c r="DX47" s="3">
        <f>_xlfn.XLOOKUP(DX$1,generator!$B$2:$B$295,generator!$Q$2:$Q$295,"ARGH")</f>
        <v>9000</v>
      </c>
      <c r="DY47" s="3">
        <f>_xlfn.XLOOKUP(DY$1,generator!$B$2:$B$295,generator!$Q$2:$Q$295,"ARGH")</f>
        <v>9000</v>
      </c>
      <c r="DZ47" s="3">
        <f>_xlfn.XLOOKUP(DZ$1,generator!$B$2:$B$295,generator!$Q$2:$Q$295,"ARGH")</f>
        <v>9000</v>
      </c>
      <c r="EA47" s="3">
        <f>_xlfn.XLOOKUP(EA$1,generator!$B$2:$B$295,generator!$Q$2:$Q$295,"ARGH")</f>
        <v>9000</v>
      </c>
      <c r="EB47" s="3">
        <f>_xlfn.XLOOKUP(EB$1,generator!$B$2:$B$295,generator!$Q$2:$Q$295,"ARGH")</f>
        <v>9000</v>
      </c>
      <c r="EC47" s="3">
        <f>_xlfn.XLOOKUP(EC$1,generator!$B$2:$B$295,generator!$Q$2:$Q$295,"ARGH")</f>
        <v>9000</v>
      </c>
      <c r="ED47" s="3">
        <f>_xlfn.XLOOKUP(ED$1,generator!$B$2:$B$295,generator!$Q$2:$Q$295,"ARGH")</f>
        <v>9000</v>
      </c>
      <c r="EE47" s="3">
        <f>_xlfn.XLOOKUP(EE$1,generator!$B$2:$B$295,generator!$Q$2:$Q$295,"ARGH")</f>
        <v>9000</v>
      </c>
      <c r="EF47" s="3">
        <f>_xlfn.XLOOKUP(EF$1,generator!$B$2:$B$295,generator!$Q$2:$Q$295,"ARGH")</f>
        <v>9000</v>
      </c>
      <c r="EG47" s="3">
        <f>_xlfn.XLOOKUP(EG$1,generator!$B$2:$B$295,generator!$Q$2:$Q$295,"ARGH")</f>
        <v>9000</v>
      </c>
      <c r="EH47" s="3">
        <f>_xlfn.XLOOKUP(EH$1,generator!$B$2:$B$295,generator!$Q$2:$Q$295,"ARGH")</f>
        <v>9000</v>
      </c>
      <c r="EI47" s="3">
        <f>_xlfn.XLOOKUP(EI$1,generator!$B$2:$B$295,generator!$Q$2:$Q$295,"ARGH")</f>
        <v>9000</v>
      </c>
      <c r="EJ47" s="3">
        <f>_xlfn.XLOOKUP(EJ$1,generator!$B$2:$B$295,generator!$Q$2:$Q$295,"ARGH")</f>
        <v>9000</v>
      </c>
      <c r="EK47" s="3">
        <f>_xlfn.XLOOKUP(EK$1,generator!$B$2:$B$295,generator!$Q$2:$Q$295,"ARGH")</f>
        <v>9000</v>
      </c>
      <c r="EL47" s="3">
        <f>_xlfn.XLOOKUP(EL$1,generator!$B$2:$B$295,generator!$Q$2:$Q$295,"ARGH")</f>
        <v>9000</v>
      </c>
      <c r="EM47" s="3">
        <f>_xlfn.XLOOKUP(EM$1,generator!$B$2:$B$295,generator!$Q$2:$Q$295,"ARGH")</f>
        <v>9000</v>
      </c>
      <c r="EN47" s="3">
        <f>_xlfn.XLOOKUP(EN$1,generator!$B$2:$B$295,generator!$Q$2:$Q$295,"ARGH")</f>
        <v>9000</v>
      </c>
      <c r="EO47" s="3">
        <f>_xlfn.XLOOKUP(EO$1,generator!$B$2:$B$295,generator!$Q$2:$Q$295,"ARGH")</f>
        <v>9000</v>
      </c>
      <c r="EP47" s="3">
        <f>_xlfn.XLOOKUP(EP$1,generator!$B$2:$B$295,generator!$Q$2:$Q$295,"ARGH")</f>
        <v>9000</v>
      </c>
      <c r="EQ47" s="3">
        <f>_xlfn.XLOOKUP(EQ$1,generator!$B$2:$B$295,generator!$Q$2:$Q$295,"ARGH")</f>
        <v>9000</v>
      </c>
      <c r="ER47" s="3">
        <f>_xlfn.XLOOKUP(ER$1,generator!$B$2:$B$295,generator!$Q$2:$Q$295,"ARGH")</f>
        <v>9000</v>
      </c>
      <c r="ES47" s="3">
        <f>_xlfn.XLOOKUP(ES$1,generator!$B$2:$B$295,generator!$Q$2:$Q$295,"ARGH")</f>
        <v>9000</v>
      </c>
      <c r="ET47" s="3">
        <f>_xlfn.XLOOKUP(ET$1,generator!$B$2:$B$295,generator!$Q$2:$Q$295,"ARGH")</f>
        <v>9000</v>
      </c>
      <c r="EU47" s="3">
        <f>_xlfn.XLOOKUP(EU$1,generator!$B$2:$B$295,generator!$Q$2:$Q$295,"ARGH")</f>
        <v>9000</v>
      </c>
      <c r="EV47" s="3">
        <f>_xlfn.XLOOKUP(EV$1,generator!$B$2:$B$295,generator!$Q$2:$Q$295,"ARGH")</f>
        <v>9000</v>
      </c>
      <c r="EW47" s="3">
        <f>_xlfn.XLOOKUP(EW$1,generator!$B$2:$B$295,generator!$Q$2:$Q$295,"ARGH")</f>
        <v>9000</v>
      </c>
      <c r="EX47" s="3">
        <f>_xlfn.XLOOKUP(EX$1,generator!$B$2:$B$295,generator!$Q$2:$Q$295,"ARGH")</f>
        <v>9000</v>
      </c>
      <c r="EY47" s="3">
        <f>_xlfn.XLOOKUP(EY$1,generator!$B$2:$B$295,generator!$Q$2:$Q$295,"ARGH")</f>
        <v>9000</v>
      </c>
      <c r="EZ47" s="3">
        <f>_xlfn.XLOOKUP(EZ$1,generator!$B$2:$B$295,generator!$Q$2:$Q$295,"ARGH")</f>
        <v>9000</v>
      </c>
      <c r="FA47" s="3">
        <f>_xlfn.XLOOKUP(FA$1,generator!$B$2:$B$295,generator!$Q$2:$Q$295,"ARGH")</f>
        <v>9000</v>
      </c>
      <c r="FB47" s="3">
        <f>_xlfn.XLOOKUP(FB$1,generator!$B$2:$B$295,generator!$Q$2:$Q$295,"ARGH")</f>
        <v>9000</v>
      </c>
      <c r="FC47" s="3">
        <f>_xlfn.XLOOKUP(FC$1,generator!$B$2:$B$295,generator!$Q$2:$Q$295,"ARGH")</f>
        <v>9000</v>
      </c>
      <c r="FD47" s="3">
        <f>_xlfn.XLOOKUP(FD$1,generator!$B$2:$B$295,generator!$Q$2:$Q$295,"ARGH")</f>
        <v>9000</v>
      </c>
      <c r="FE47" s="3">
        <f>_xlfn.XLOOKUP(FE$1,generator!$B$2:$B$295,generator!$Q$2:$Q$295,"ARGH")</f>
        <v>9000</v>
      </c>
      <c r="FF47" s="3">
        <f>_xlfn.XLOOKUP(FF$1,generator!$B$2:$B$295,generator!$Q$2:$Q$295,"ARGH")</f>
        <v>9000</v>
      </c>
      <c r="FG47" s="3">
        <f>_xlfn.XLOOKUP(FG$1,generator!$B$2:$B$295,generator!$Q$2:$Q$295,"ARGH")</f>
        <v>9000</v>
      </c>
      <c r="FH47" s="3">
        <f>_xlfn.XLOOKUP(FH$1,generator!$B$2:$B$295,generator!$Q$2:$Q$295,"ARGH")</f>
        <v>9000</v>
      </c>
      <c r="FI47" s="3">
        <f>_xlfn.XLOOKUP(FI$1,generator!$B$2:$B$295,generator!$Q$2:$Q$295,"ARGH")</f>
        <v>9000</v>
      </c>
      <c r="FJ47" s="3">
        <f>_xlfn.XLOOKUP(FJ$1,generator!$B$2:$B$295,generator!$Q$2:$Q$295,"ARGH")</f>
        <v>9000</v>
      </c>
      <c r="FK47" s="3">
        <f>_xlfn.XLOOKUP(FK$1,generator!$B$2:$B$295,generator!$Q$2:$Q$295,"ARGH")</f>
        <v>9000</v>
      </c>
      <c r="FL47" s="3">
        <f>_xlfn.XLOOKUP(FL$1,generator!$B$2:$B$295,generator!$Q$2:$Q$295,"ARGH")</f>
        <v>9000</v>
      </c>
      <c r="FM47" s="3">
        <f>_xlfn.XLOOKUP(FM$1,generator!$B$2:$B$295,generator!$Q$2:$Q$295,"ARGH")</f>
        <v>9000</v>
      </c>
      <c r="FN47" s="3">
        <f>_xlfn.XLOOKUP(FN$1,generator!$B$2:$B$295,generator!$Q$2:$Q$295,"ARGH")</f>
        <v>9000</v>
      </c>
      <c r="FO47" s="3">
        <f>_xlfn.XLOOKUP(FO$1,generator!$B$2:$B$295,generator!$Q$2:$Q$295,"ARGH")</f>
        <v>9000</v>
      </c>
      <c r="FP47" s="3">
        <f>_xlfn.XLOOKUP(FP$1,generator!$B$2:$B$295,generator!$Q$2:$Q$295,"ARGH")</f>
        <v>9000</v>
      </c>
      <c r="FQ47" s="3">
        <f>_xlfn.XLOOKUP(FQ$1,generator!$B$2:$B$295,generator!$Q$2:$Q$295,"ARGH")</f>
        <v>9000</v>
      </c>
      <c r="FR47" s="3">
        <f>_xlfn.XLOOKUP(FR$1,generator!$B$2:$B$295,generator!$Q$2:$Q$295,"ARGH")</f>
        <v>9000</v>
      </c>
      <c r="FS47" s="3">
        <f>_xlfn.XLOOKUP(FS$1,generator!$B$2:$B$295,generator!$Q$2:$Q$295,"ARGH")</f>
        <v>9000</v>
      </c>
      <c r="FT47" s="3">
        <f>_xlfn.XLOOKUP(FT$1,generator!$B$2:$B$295,generator!$Q$2:$Q$295,"ARGH")</f>
        <v>9000</v>
      </c>
      <c r="FU47" s="3">
        <f>_xlfn.XLOOKUP(FU$1,generator!$B$2:$B$295,generator!$Q$2:$Q$295,"ARGH")</f>
        <v>9000</v>
      </c>
      <c r="FV47" s="3">
        <f>_xlfn.XLOOKUP(FV$1,generator!$B$2:$B$295,generator!$Q$2:$Q$295,"ARGH")</f>
        <v>9000</v>
      </c>
      <c r="FW47" s="3">
        <f>_xlfn.XLOOKUP(FW$1,generator!$B$2:$B$295,generator!$Q$2:$Q$295,"ARGH")</f>
        <v>9000</v>
      </c>
      <c r="FX47" s="3">
        <f>_xlfn.XLOOKUP(FX$1,generator!$B$2:$B$295,generator!$Q$2:$Q$295,"ARGH")</f>
        <v>9000</v>
      </c>
      <c r="FY47" s="3">
        <f>_xlfn.XLOOKUP(FY$1,generator!$B$2:$B$295,generator!$Q$2:$Q$295,"ARGH")</f>
        <v>9000</v>
      </c>
      <c r="FZ47" s="3">
        <f>_xlfn.XLOOKUP(FZ$1,generator!$B$2:$B$295,generator!$Q$2:$Q$295,"ARGH")</f>
        <v>9000</v>
      </c>
      <c r="GA47" s="3">
        <f>_xlfn.XLOOKUP(GA$1,generator!$B$2:$B$295,generator!$Q$2:$Q$295,"ARGH")</f>
        <v>9000</v>
      </c>
      <c r="GB47" s="3">
        <f>_xlfn.XLOOKUP(GB$1,generator!$B$2:$B$295,generator!$Q$2:$Q$295,"ARGH")</f>
        <v>9000</v>
      </c>
      <c r="GC47" s="3">
        <f>_xlfn.XLOOKUP(GC$1,generator!$B$2:$B$295,generator!$Q$2:$Q$295,"ARGH")</f>
        <v>9000</v>
      </c>
      <c r="GD47" s="3">
        <f>_xlfn.XLOOKUP(GD$1,generator!$B$2:$B$295,generator!$Q$2:$Q$295,"ARGH")</f>
        <v>9000</v>
      </c>
      <c r="GE47" s="3">
        <f>_xlfn.XLOOKUP(GE$1,generator!$B$2:$B$295,generator!$Q$2:$Q$295,"ARGH")</f>
        <v>9000</v>
      </c>
      <c r="GF47" s="3">
        <f>_xlfn.XLOOKUP(GF$1,generator!$B$2:$B$295,generator!$Q$2:$Q$295,"ARGH")</f>
        <v>9000</v>
      </c>
      <c r="GG47" s="3">
        <f>_xlfn.XLOOKUP(GG$1,generator!$B$2:$B$295,generator!$Q$2:$Q$295,"ARGH")</f>
        <v>9000</v>
      </c>
      <c r="GH47" s="3">
        <f>_xlfn.XLOOKUP(GH$1,generator!$B$2:$B$295,generator!$Q$2:$Q$295,"ARGH")</f>
        <v>9000</v>
      </c>
      <c r="GI47" s="3">
        <f>_xlfn.XLOOKUP(GI$1,generator!$B$2:$B$295,generator!$Q$2:$Q$295,"ARGH")</f>
        <v>9000</v>
      </c>
      <c r="GJ47" s="3">
        <f>_xlfn.XLOOKUP(GJ$1,generator!$B$2:$B$295,generator!$Q$2:$Q$295,"ARGH")</f>
        <v>9000</v>
      </c>
      <c r="GK47" s="3">
        <f>_xlfn.XLOOKUP(GK$1,generator!$B$2:$B$295,generator!$Q$2:$Q$295,"ARGH")</f>
        <v>9000</v>
      </c>
      <c r="GL47" s="3">
        <f>_xlfn.XLOOKUP(GL$1,generator!$B$2:$B$295,generator!$Q$2:$Q$295,"ARGH")</f>
        <v>9000</v>
      </c>
      <c r="GM47" s="3">
        <f>_xlfn.XLOOKUP(GM$1,generator!$B$2:$B$295,generator!$Q$2:$Q$295,"ARGH")</f>
        <v>9000</v>
      </c>
      <c r="GN47" s="3">
        <f>_xlfn.XLOOKUP(GN$1,generator!$B$2:$B$295,generator!$Q$2:$Q$295,"ARGH")</f>
        <v>9000</v>
      </c>
      <c r="GO47" s="3">
        <f>_xlfn.XLOOKUP(GO$1,generator!$B$2:$B$295,generator!$Q$2:$Q$295,"ARGH")</f>
        <v>9000</v>
      </c>
      <c r="GP47" s="3">
        <f>_xlfn.XLOOKUP(GP$1,generator!$B$2:$B$295,generator!$Q$2:$Q$295,"ARGH")</f>
        <v>9000</v>
      </c>
      <c r="GQ47" s="3">
        <f>_xlfn.XLOOKUP(GQ$1,generator!$B$2:$B$295,generator!$Q$2:$Q$295,"ARGH")</f>
        <v>9000</v>
      </c>
      <c r="GR47" s="3">
        <f>_xlfn.XLOOKUP(GR$1,generator!$B$2:$B$295,generator!$Q$2:$Q$295,"ARGH")</f>
        <v>9000</v>
      </c>
      <c r="GS47" s="3">
        <f>_xlfn.XLOOKUP(GS$1,generator!$B$2:$B$295,generator!$Q$2:$Q$295,"ARGH")</f>
        <v>9000</v>
      </c>
      <c r="GT47" s="3">
        <f>_xlfn.XLOOKUP(GT$1,generator!$B$2:$B$295,generator!$Q$2:$Q$295,"ARGH")</f>
        <v>9000</v>
      </c>
      <c r="GU47" s="3">
        <f>_xlfn.XLOOKUP(GU$1,generator!$B$2:$B$295,generator!$Q$2:$Q$295,"ARGH")</f>
        <v>9000</v>
      </c>
      <c r="GV47" s="3">
        <f>_xlfn.XLOOKUP(GV$1,generator!$B$2:$B$295,generator!$Q$2:$Q$295,"ARGH")</f>
        <v>9000</v>
      </c>
      <c r="GW47" s="3">
        <f>_xlfn.XLOOKUP(GW$1,generator!$B$2:$B$295,generator!$Q$2:$Q$295,"ARGH")</f>
        <v>9000</v>
      </c>
      <c r="GX47" s="3">
        <f>_xlfn.XLOOKUP(GX$1,generator!$B$2:$B$295,generator!$Q$2:$Q$295,"ARGH")</f>
        <v>9000</v>
      </c>
      <c r="GY47" s="3">
        <f>_xlfn.XLOOKUP(GY$1,generator!$B$2:$B$295,generator!$Q$2:$Q$295,"ARGH")</f>
        <v>9000</v>
      </c>
      <c r="GZ47" s="3">
        <f>_xlfn.XLOOKUP(GZ$1,generator!$B$2:$B$295,generator!$Q$2:$Q$295,"ARGH")</f>
        <v>9000</v>
      </c>
      <c r="HA47" s="3">
        <f>_xlfn.XLOOKUP(HA$1,generator!$B$2:$B$295,generator!$Q$2:$Q$295,"ARGH")</f>
        <v>9000</v>
      </c>
      <c r="HB47" s="3">
        <f>_xlfn.XLOOKUP(HB$1,generator!$B$2:$B$295,generator!$Q$2:$Q$295,"ARGH")</f>
        <v>9000</v>
      </c>
      <c r="HC47" s="3">
        <f>_xlfn.XLOOKUP(HC$1,generator!$B$2:$B$295,generator!$Q$2:$Q$295,"ARGH")</f>
        <v>9000</v>
      </c>
      <c r="HD47" s="3">
        <f>_xlfn.XLOOKUP(HD$1,generator!$B$2:$B$295,generator!$Q$2:$Q$295,"ARGH")</f>
        <v>9000</v>
      </c>
      <c r="HE47" s="3">
        <f>_xlfn.XLOOKUP(HE$1,generator!$B$2:$B$295,generator!$Q$2:$Q$295,"ARGH")</f>
        <v>8000</v>
      </c>
      <c r="HF47" s="3" t="str">
        <f>_xlfn.XLOOKUP(HF$1,generator!$B$2:$B$295,generator!$Q$2:$Q$295,"ARGH")</f>
        <v>143</v>
      </c>
      <c r="HG47" s="3" t="str">
        <f>_xlfn.XLOOKUP(HG$1,generator!$B$2:$B$295,generator!$Q$2:$Q$295,"ARGH")</f>
        <v>143</v>
      </c>
      <c r="HH47" s="3" t="str">
        <f>_xlfn.XLOOKUP(HH$1,generator!$B$2:$B$295,generator!$Q$2:$Q$295,"ARGH")</f>
        <v>143</v>
      </c>
      <c r="HI47" s="3" t="str">
        <f>_xlfn.XLOOKUP(HI$1,generator!$B$2:$B$295,generator!$Q$2:$Q$295,"ARGH")</f>
        <v>246.74</v>
      </c>
      <c r="HJ47" s="3" t="str">
        <f>_xlfn.XLOOKUP(HJ$1,generator!$B$2:$B$295,generator!$Q$2:$Q$295,"ARGH")</f>
        <v>246.74</v>
      </c>
      <c r="HK47" s="3" t="str">
        <f>_xlfn.XLOOKUP(HK$1,generator!$B$2:$B$295,generator!$Q$2:$Q$295,"ARGH")</f>
        <v>206.04</v>
      </c>
      <c r="HL47" s="3" t="str">
        <f>_xlfn.XLOOKUP(HL$1,generator!$B$2:$B$295,generator!$Q$2:$Q$295,"ARGH")</f>
        <v>506.96</v>
      </c>
      <c r="HM47" s="3" t="str">
        <f>_xlfn.XLOOKUP(HM$1,generator!$B$2:$B$295,generator!$Q$2:$Q$295,"ARGH")</f>
        <v>506.95</v>
      </c>
      <c r="HN47" s="3" t="str">
        <f>_xlfn.XLOOKUP(HN$1,generator!$B$2:$B$295,generator!$Q$2:$Q$295,"ARGH")</f>
        <v>190.97</v>
      </c>
      <c r="HO47" s="3" t="str">
        <f>_xlfn.XLOOKUP(HO$1,generator!$B$2:$B$295,generator!$Q$2:$Q$295,"ARGH")</f>
        <v>190.97</v>
      </c>
      <c r="HP47" s="3" t="str">
        <f>_xlfn.XLOOKUP(HP$1,generator!$B$2:$B$295,generator!$Q$2:$Q$295,"ARGH")</f>
        <v>424.84</v>
      </c>
      <c r="HQ47" s="3" t="str">
        <f>_xlfn.XLOOKUP(HQ$1,generator!$B$2:$B$295,generator!$Q$2:$Q$295,"ARGH")</f>
        <v>425.9</v>
      </c>
      <c r="HR47" s="3" t="str">
        <f>_xlfn.XLOOKUP(HR$1,generator!$B$2:$B$295,generator!$Q$2:$Q$295,"ARGH")</f>
        <v>425.9</v>
      </c>
      <c r="HS47" s="3" t="str">
        <f>_xlfn.XLOOKUP(HS$1,generator!$B$2:$B$295,generator!$Q$2:$Q$295,"ARGH")</f>
        <v>196.54</v>
      </c>
      <c r="HT47" s="3" t="str">
        <f>_xlfn.XLOOKUP(HT$1,generator!$B$2:$B$295,generator!$Q$2:$Q$295,"ARGH")</f>
        <v>196.54</v>
      </c>
      <c r="HU47" s="3" t="str">
        <f>_xlfn.XLOOKUP(HU$1,generator!$B$2:$B$295,generator!$Q$2:$Q$295,"ARGH")</f>
        <v>145.57</v>
      </c>
      <c r="HV47" s="3" t="str">
        <f>_xlfn.XLOOKUP(HV$1,generator!$B$2:$B$295,generator!$Q$2:$Q$295,"ARGH")</f>
        <v>132.62</v>
      </c>
      <c r="HW47" s="3" t="str">
        <f>_xlfn.XLOOKUP(HW$1,generator!$B$2:$B$295,generator!$Q$2:$Q$295,"ARGH")</f>
        <v>193.76</v>
      </c>
      <c r="HX47" s="3" t="str">
        <f>_xlfn.XLOOKUP(HX$1,generator!$B$2:$B$295,generator!$Q$2:$Q$295,"ARGH")</f>
        <v>193.76</v>
      </c>
      <c r="HY47" s="3" t="str">
        <f>_xlfn.XLOOKUP(HY$1,generator!$B$2:$B$295,generator!$Q$2:$Q$295,"ARGH")</f>
        <v>79.19</v>
      </c>
      <c r="HZ47" s="3" t="str">
        <f>_xlfn.XLOOKUP(HZ$1,generator!$B$2:$B$295,generator!$Q$2:$Q$295,"ARGH")</f>
        <v>125.79</v>
      </c>
      <c r="IA47" s="3" t="str">
        <f>_xlfn.XLOOKUP(IA$1,generator!$B$2:$B$295,generator!$Q$2:$Q$295,"ARGH")</f>
        <v>54.19</v>
      </c>
      <c r="IB47" s="3" t="str">
        <f>_xlfn.XLOOKUP(IB$1,generator!$B$2:$B$295,generator!$Q$2:$Q$295,"ARGH")</f>
        <v>59.7</v>
      </c>
      <c r="IC47" s="3">
        <f>_xlfn.XLOOKUP(IC$1,generator!$B$2:$B$295,generator!$Q$2:$Q$295,"ARGH")</f>
        <v>0</v>
      </c>
      <c r="ID47" s="3" t="str">
        <f>_xlfn.XLOOKUP(ID$1,generator!$B$2:$B$295,generator!$Q$2:$Q$295,"ARGH")</f>
        <v>121.14</v>
      </c>
      <c r="IE47" s="3" t="str">
        <f>_xlfn.XLOOKUP(IE$1,generator!$B$2:$B$295,generator!$Q$2:$Q$295,"ARGH")</f>
        <v>26.6</v>
      </c>
      <c r="IF47" s="3">
        <f>_xlfn.XLOOKUP(IF$1,generator!$B$2:$B$295,generator!$Q$2:$Q$295,"ARGH")</f>
        <v>8000</v>
      </c>
      <c r="IG47" s="3">
        <f>_xlfn.XLOOKUP(IG$1,generator!$B$2:$B$295,generator!$Q$2:$Q$295,"ARGH")</f>
        <v>8000</v>
      </c>
      <c r="IH47" s="3">
        <f>_xlfn.XLOOKUP(IH$1,generator!$B$2:$B$295,generator!$Q$2:$Q$295,"ARGH")</f>
        <v>8000</v>
      </c>
      <c r="II47" s="3">
        <f>_xlfn.XLOOKUP(II$1,generator!$B$2:$B$295,generator!$Q$2:$Q$295,"ARGH")</f>
        <v>8000</v>
      </c>
      <c r="IJ47" s="3">
        <f>_xlfn.XLOOKUP(IJ$1,generator!$B$2:$B$295,generator!$Q$2:$Q$295,"ARGH")</f>
        <v>8000</v>
      </c>
      <c r="IK47" s="3">
        <f>_xlfn.XLOOKUP(IK$1,generator!$B$2:$B$295,generator!$Q$2:$Q$295,"ARGH")</f>
        <v>8000</v>
      </c>
      <c r="IL47" s="3">
        <f>_xlfn.XLOOKUP(IL$1,generator!$B$2:$B$295,generator!$Q$2:$Q$295,"ARGH")</f>
        <v>8000</v>
      </c>
      <c r="IM47" s="3">
        <f>_xlfn.XLOOKUP(IM$1,generator!$B$2:$B$295,generator!$Q$2:$Q$295,"ARGH")</f>
        <v>8000</v>
      </c>
      <c r="IN47" s="3">
        <f>_xlfn.XLOOKUP(IN$1,generator!$B$2:$B$295,generator!$Q$2:$Q$295,"ARGH")</f>
        <v>8000</v>
      </c>
      <c r="IO47" s="3">
        <f>_xlfn.XLOOKUP(IO$1,generator!$B$2:$B$295,generator!$Q$2:$Q$295,"ARGH")</f>
        <v>8000</v>
      </c>
      <c r="IP47" s="3">
        <f>_xlfn.XLOOKUP(IP$1,generator!$B$2:$B$295,generator!$Q$2:$Q$295,"ARGH")</f>
        <v>8000</v>
      </c>
      <c r="IQ47" s="3">
        <f>_xlfn.XLOOKUP(IQ$1,generator!$B$2:$B$295,generator!$Q$2:$Q$295,"ARGH")</f>
        <v>8000</v>
      </c>
      <c r="IR47" s="3">
        <f>_xlfn.XLOOKUP(IR$1,generator!$B$2:$B$295,generator!$Q$2:$Q$295,"ARGH")</f>
        <v>8000</v>
      </c>
      <c r="IS47" s="3">
        <f>_xlfn.XLOOKUP(IS$1,generator!$B$2:$B$295,generator!$Q$2:$Q$295,"ARGH")</f>
        <v>8000</v>
      </c>
      <c r="IT47" s="3">
        <f>_xlfn.XLOOKUP(IT$1,generator!$B$2:$B$295,generator!$Q$2:$Q$295,"ARGH")</f>
        <v>8000</v>
      </c>
      <c r="IU47" s="3">
        <f>_xlfn.XLOOKUP(IU$1,generator!$B$2:$B$295,generator!$Q$2:$Q$295,"ARGH")</f>
        <v>8000</v>
      </c>
      <c r="IV47" s="3">
        <f>_xlfn.XLOOKUP(IV$1,generator!$B$2:$B$295,generator!$Q$2:$Q$295,"ARGH")</f>
        <v>8000</v>
      </c>
      <c r="IW47" s="3" t="str">
        <f>_xlfn.XLOOKUP(IW$1,generator!$B$2:$B$295,generator!$Q$2:$Q$295,"ARGH")</f>
        <v>108.19</v>
      </c>
      <c r="IX47" s="3" t="str">
        <f>_xlfn.XLOOKUP(IX$1,generator!$B$2:$B$295,generator!$Q$2:$Q$295,"ARGH")</f>
        <v>108.18</v>
      </c>
      <c r="IY47" s="3" t="str">
        <f>_xlfn.XLOOKUP(IY$1,generator!$B$2:$B$295,generator!$Q$2:$Q$295,"ARGH")</f>
        <v>108.17</v>
      </c>
      <c r="IZ47" s="3" t="str">
        <f>_xlfn.XLOOKUP(IZ$1,generator!$B$2:$B$295,generator!$Q$2:$Q$295,"ARGH")</f>
        <v>40.96</v>
      </c>
      <c r="JA47" s="3">
        <f>_xlfn.XLOOKUP(JA$1,generator!$B$2:$B$295,generator!$Q$2:$Q$295,"ARGH")</f>
        <v>0</v>
      </c>
      <c r="JB47" s="3">
        <f>_xlfn.XLOOKUP(JB$1,generator!$B$2:$B$295,generator!$Q$2:$Q$295,"ARGH")</f>
        <v>0</v>
      </c>
      <c r="JC47" s="3" t="str">
        <f>_xlfn.XLOOKUP(JC$1,generator!$B$2:$B$295,generator!$Q$2:$Q$295,"ARGH")</f>
        <v>75.91</v>
      </c>
      <c r="JD47" s="3" t="str">
        <f>_xlfn.XLOOKUP(JD$1,generator!$B$2:$B$295,generator!$Q$2:$Q$295,"ARGH")</f>
        <v>75.91</v>
      </c>
      <c r="JE47" s="3" t="str">
        <f>_xlfn.XLOOKUP(JE$1,generator!$B$2:$B$295,generator!$Q$2:$Q$295,"ARGH")</f>
        <v>51.59</v>
      </c>
      <c r="JF47" s="3" t="str">
        <f>_xlfn.XLOOKUP(JF$1,generator!$B$2:$B$295,generator!$Q$2:$Q$295,"ARGH")</f>
        <v>111.57</v>
      </c>
      <c r="JG47" s="3">
        <f>_xlfn.XLOOKUP(JG$1,generator!$B$2:$B$295,generator!$Q$2:$Q$295,"ARGH")</f>
        <v>0</v>
      </c>
      <c r="JH47" s="3" t="str">
        <f>_xlfn.XLOOKUP(JH$1,generator!$B$2:$B$295,generator!$Q$2:$Q$295,"ARGH")</f>
        <v>48.65</v>
      </c>
      <c r="JI47" s="3" t="str">
        <f>_xlfn.XLOOKUP(JI$1,generator!$B$2:$B$295,generator!$Q$2:$Q$295,"ARGH")</f>
        <v>71.88</v>
      </c>
      <c r="JJ47" s="3" t="str">
        <f>_xlfn.XLOOKUP(JJ$1,generator!$B$2:$B$295,generator!$Q$2:$Q$295,"ARGH")</f>
        <v>98.17</v>
      </c>
      <c r="JK47" s="3" t="str">
        <f>_xlfn.XLOOKUP(JK$1,generator!$B$2:$B$295,generator!$Q$2:$Q$295,"ARGH")</f>
        <v>98.17</v>
      </c>
      <c r="JL47" s="3" t="str">
        <f>_xlfn.XLOOKUP(JL$1,generator!$B$2:$B$295,generator!$Q$2:$Q$295,"ARGH")</f>
        <v>98.17</v>
      </c>
      <c r="JM47" s="3" t="str">
        <f>_xlfn.XLOOKUP(JM$1,generator!$B$2:$B$295,generator!$Q$2:$Q$295,"ARGH")</f>
        <v>98.17</v>
      </c>
      <c r="JN47" s="3" t="str">
        <f>_xlfn.XLOOKUP(JN$1,generator!$B$2:$B$295,generator!$Q$2:$Q$295,"ARGH")</f>
        <v>98.17</v>
      </c>
      <c r="JO47" s="3" t="str">
        <f>_xlfn.XLOOKUP(JO$1,generator!$B$2:$B$295,generator!$Q$2:$Q$295,"ARGH")</f>
        <v>98.17</v>
      </c>
      <c r="JP47" s="3" t="str">
        <f>_xlfn.XLOOKUP(JP$1,generator!$B$2:$B$295,generator!$Q$2:$Q$295,"ARGH")</f>
        <v>47.53</v>
      </c>
      <c r="JQ47" s="3" t="str">
        <f>_xlfn.XLOOKUP(JQ$1,generator!$B$2:$B$295,generator!$Q$2:$Q$295,"ARGH")</f>
        <v>108.86</v>
      </c>
      <c r="JR47" s="3" t="str">
        <f>_xlfn.XLOOKUP(JR$1,generator!$B$2:$B$295,generator!$Q$2:$Q$295,"ARGH")</f>
        <v>83.15</v>
      </c>
      <c r="JS47" s="3" t="str">
        <f>_xlfn.XLOOKUP(JS$1,generator!$B$2:$B$295,generator!$Q$2:$Q$295,"ARGH")</f>
        <v>83.15</v>
      </c>
      <c r="JT47" s="3" t="str">
        <f>_xlfn.XLOOKUP(JT$1,generator!$B$2:$B$295,generator!$Q$2:$Q$295,"ARGH")</f>
        <v>108.86</v>
      </c>
      <c r="JU47" s="3">
        <f>_xlfn.XLOOKUP(JU$1,generator!$B$2:$B$295,generator!$Q$2:$Q$295,"ARGH")</f>
        <v>0</v>
      </c>
      <c r="JV47" s="3" t="str">
        <f>_xlfn.XLOOKUP(JV$1,generator!$B$2:$B$295,generator!$Q$2:$Q$295,"ARGH")</f>
        <v>77.63</v>
      </c>
      <c r="JW47" s="3" t="str">
        <f>_xlfn.XLOOKUP(JW$1,generator!$B$2:$B$295,generator!$Q$2:$Q$295,"ARGH")</f>
        <v>77.64</v>
      </c>
      <c r="JX47" s="3" t="str">
        <f>_xlfn.XLOOKUP(JX$1,generator!$B$2:$B$295,generator!$Q$2:$Q$295,"ARGH")</f>
        <v>331.49</v>
      </c>
      <c r="JY47" s="3">
        <f>_xlfn.XLOOKUP(JY$1,generator!$B$2:$B$295,generator!$Q$2:$Q$295,"ARGH")</f>
        <v>7000</v>
      </c>
      <c r="JZ47" s="3">
        <f>_xlfn.XLOOKUP(JZ$1,generator!$B$2:$B$295,generator!$Q$2:$Q$295,"ARGH")</f>
        <v>0</v>
      </c>
      <c r="KA47" s="3">
        <f>_xlfn.XLOOKUP(KA$1,generator!$B$2:$B$295,generator!$Q$2:$Q$295,"ARGH")</f>
        <v>0</v>
      </c>
      <c r="KB47" s="3">
        <f>_xlfn.XLOOKUP(KB$1,generator!$B$2:$B$295,generator!$Q$2:$Q$295,"ARGH")</f>
        <v>0</v>
      </c>
      <c r="KC47" s="3">
        <f>_xlfn.XLOOKUP(KC$1,generator!$B$2:$B$295,generator!$Q$2:$Q$295,"ARGH")</f>
        <v>0</v>
      </c>
    </row>
    <row r="48" spans="1:289" x14ac:dyDescent="0.3">
      <c r="A48" s="4" t="s">
        <v>3043</v>
      </c>
      <c r="B48" s="3">
        <v>15000</v>
      </c>
      <c r="C48" s="3">
        <v>15000</v>
      </c>
      <c r="D48" s="3">
        <v>15000</v>
      </c>
      <c r="E48" s="3">
        <f>_xlfn.XLOOKUP(E$1,generator!$B$2:$B$295,generator!$Q$2:$Q$295,"ARGH")</f>
        <v>9000</v>
      </c>
      <c r="F48" s="3">
        <f>_xlfn.XLOOKUP(F$1,generator!$B$2:$B$295,generator!$Q$2:$Q$295,"ARGH")</f>
        <v>9000</v>
      </c>
      <c r="G48" s="3">
        <f>_xlfn.XLOOKUP(G$1,generator!$B$2:$B$295,generator!$Q$2:$Q$295,"ARGH")</f>
        <v>9000</v>
      </c>
      <c r="H48" s="3">
        <f>_xlfn.XLOOKUP(H$1,generator!$B$2:$B$295,generator!$Q$2:$Q$295,"ARGH")</f>
        <v>9000</v>
      </c>
      <c r="I48" s="3">
        <f>_xlfn.XLOOKUP(I$1,generator!$B$2:$B$295,generator!$Q$2:$Q$295,"ARGH")</f>
        <v>9000</v>
      </c>
      <c r="J48" s="3">
        <f>_xlfn.XLOOKUP(J$1,generator!$B$2:$B$295,generator!$Q$2:$Q$295,"ARGH")</f>
        <v>9000</v>
      </c>
      <c r="K48" s="3">
        <f>_xlfn.XLOOKUP(K$1,generator!$B$2:$B$295,generator!$Q$2:$Q$295,"ARGH")</f>
        <v>9000</v>
      </c>
      <c r="L48" s="3">
        <f>_xlfn.XLOOKUP(L$1,generator!$B$2:$B$295,generator!$Q$2:$Q$295,"ARGH")</f>
        <v>9000</v>
      </c>
      <c r="M48" s="3">
        <f>_xlfn.XLOOKUP(M$1,generator!$B$2:$B$295,generator!$Q$2:$Q$295,"ARGH")</f>
        <v>9000</v>
      </c>
      <c r="N48" s="3">
        <f>_xlfn.XLOOKUP(N$1,generator!$B$2:$B$295,generator!$Q$2:$Q$295,"ARGH")</f>
        <v>9000</v>
      </c>
      <c r="O48" s="3">
        <f>_xlfn.XLOOKUP(O$1,generator!$B$2:$B$295,generator!$Q$2:$Q$295,"ARGH")</f>
        <v>9000</v>
      </c>
      <c r="P48" s="3">
        <f>_xlfn.XLOOKUP(P$1,generator!$B$2:$B$295,generator!$Q$2:$Q$295,"ARGH")</f>
        <v>9000</v>
      </c>
      <c r="Q48" s="3">
        <f>_xlfn.XLOOKUP(Q$1,generator!$B$2:$B$295,generator!$Q$2:$Q$295,"ARGH")</f>
        <v>9000</v>
      </c>
      <c r="R48" s="3">
        <f>_xlfn.XLOOKUP(R$1,generator!$B$2:$B$295,generator!$Q$2:$Q$295,"ARGH")</f>
        <v>9000</v>
      </c>
      <c r="S48" s="3">
        <f>_xlfn.XLOOKUP(S$1,generator!$B$2:$B$295,generator!$Q$2:$Q$295,"ARGH")</f>
        <v>9000</v>
      </c>
      <c r="T48" s="3">
        <f>_xlfn.XLOOKUP(T$1,generator!$B$2:$B$295,generator!$Q$2:$Q$295,"ARGH")</f>
        <v>9000</v>
      </c>
      <c r="U48" s="3">
        <f>_xlfn.XLOOKUP(U$1,generator!$B$2:$B$295,generator!$Q$2:$Q$295,"ARGH")</f>
        <v>9000</v>
      </c>
      <c r="V48" s="3">
        <f>_xlfn.XLOOKUP(V$1,generator!$B$2:$B$295,generator!$Q$2:$Q$295,"ARGH")</f>
        <v>9000</v>
      </c>
      <c r="W48" s="3">
        <f>_xlfn.XLOOKUP(W$1,generator!$B$2:$B$295,generator!$Q$2:$Q$295,"ARGH")</f>
        <v>9000</v>
      </c>
      <c r="X48" s="3">
        <f>_xlfn.XLOOKUP(X$1,generator!$B$2:$B$295,generator!$Q$2:$Q$295,"ARGH")</f>
        <v>9000</v>
      </c>
      <c r="Y48" s="3">
        <f>_xlfn.XLOOKUP(Y$1,generator!$B$2:$B$295,generator!$Q$2:$Q$295,"ARGH")</f>
        <v>9000</v>
      </c>
      <c r="Z48" s="3">
        <f>_xlfn.XLOOKUP(Z$1,generator!$B$2:$B$295,generator!$Q$2:$Q$295,"ARGH")</f>
        <v>9000</v>
      </c>
      <c r="AA48" s="3">
        <f>_xlfn.XLOOKUP(AA$1,generator!$B$2:$B$295,generator!$Q$2:$Q$295,"ARGH")</f>
        <v>9000</v>
      </c>
      <c r="AB48" s="3">
        <f>_xlfn.XLOOKUP(AB$1,generator!$B$2:$B$295,generator!$Q$2:$Q$295,"ARGH")</f>
        <v>9000</v>
      </c>
      <c r="AC48" s="3">
        <f>_xlfn.XLOOKUP(AC$1,generator!$B$2:$B$295,generator!$Q$2:$Q$295,"ARGH")</f>
        <v>9000</v>
      </c>
      <c r="AD48" s="3">
        <f>_xlfn.XLOOKUP(AD$1,generator!$B$2:$B$295,generator!$Q$2:$Q$295,"ARGH")</f>
        <v>9000</v>
      </c>
      <c r="AE48" s="3">
        <f>_xlfn.XLOOKUP(AE$1,generator!$B$2:$B$295,generator!$Q$2:$Q$295,"ARGH")</f>
        <v>9000</v>
      </c>
      <c r="AF48" s="3">
        <f>_xlfn.XLOOKUP(AF$1,generator!$B$2:$B$295,generator!$Q$2:$Q$295,"ARGH")</f>
        <v>9000</v>
      </c>
      <c r="AG48" s="3">
        <f>_xlfn.XLOOKUP(AG$1,generator!$B$2:$B$295,generator!$Q$2:$Q$295,"ARGH")</f>
        <v>9000</v>
      </c>
      <c r="AH48" s="3">
        <f>_xlfn.XLOOKUP(AH$1,generator!$B$2:$B$295,generator!$Q$2:$Q$295,"ARGH")</f>
        <v>9000</v>
      </c>
      <c r="AI48" s="3">
        <f>_xlfn.XLOOKUP(AI$1,generator!$B$2:$B$295,generator!$Q$2:$Q$295,"ARGH")</f>
        <v>9000</v>
      </c>
      <c r="AJ48" s="3">
        <f>_xlfn.XLOOKUP(AJ$1,generator!$B$2:$B$295,generator!$Q$2:$Q$295,"ARGH")</f>
        <v>9000</v>
      </c>
      <c r="AK48" s="3">
        <f>_xlfn.XLOOKUP(AK$1,generator!$B$2:$B$295,generator!$Q$2:$Q$295,"ARGH")</f>
        <v>9000</v>
      </c>
      <c r="AL48" s="3">
        <f>_xlfn.XLOOKUP(AL$1,generator!$B$2:$B$295,generator!$Q$2:$Q$295,"ARGH")</f>
        <v>9000</v>
      </c>
      <c r="AM48" s="3">
        <f>_xlfn.XLOOKUP(AM$1,generator!$B$2:$B$295,generator!$Q$2:$Q$295,"ARGH")</f>
        <v>9000</v>
      </c>
      <c r="AN48" s="3">
        <f>_xlfn.XLOOKUP(AN$1,generator!$B$2:$B$295,generator!$Q$2:$Q$295,"ARGH")</f>
        <v>9000</v>
      </c>
      <c r="AO48" s="3">
        <f>_xlfn.XLOOKUP(AO$1,generator!$B$2:$B$295,generator!$Q$2:$Q$295,"ARGH")</f>
        <v>9000</v>
      </c>
      <c r="AP48" s="3">
        <f>_xlfn.XLOOKUP(AP$1,generator!$B$2:$B$295,generator!$Q$2:$Q$295,"ARGH")</f>
        <v>9000</v>
      </c>
      <c r="AQ48" s="3">
        <f>_xlfn.XLOOKUP(AQ$1,generator!$B$2:$B$295,generator!$Q$2:$Q$295,"ARGH")</f>
        <v>9000</v>
      </c>
      <c r="AR48" s="3">
        <f>_xlfn.XLOOKUP(AR$1,generator!$B$2:$B$295,generator!$Q$2:$Q$295,"ARGH")</f>
        <v>9000</v>
      </c>
      <c r="AS48" s="3">
        <f>_xlfn.XLOOKUP(AS$1,generator!$B$2:$B$295,generator!$Q$2:$Q$295,"ARGH")</f>
        <v>9000</v>
      </c>
      <c r="AT48" s="3">
        <f>_xlfn.XLOOKUP(AT$1,generator!$B$2:$B$295,generator!$Q$2:$Q$295,"ARGH")</f>
        <v>9000</v>
      </c>
      <c r="AU48" s="3">
        <f>_xlfn.XLOOKUP(AU$1,generator!$B$2:$B$295,generator!$Q$2:$Q$295,"ARGH")</f>
        <v>9000</v>
      </c>
      <c r="AV48" s="3">
        <f>_xlfn.XLOOKUP(AV$1,generator!$B$2:$B$295,generator!$Q$2:$Q$295,"ARGH")</f>
        <v>9000</v>
      </c>
      <c r="AW48" s="3">
        <f>_xlfn.XLOOKUP(AW$1,generator!$B$2:$B$295,generator!$Q$2:$Q$295,"ARGH")</f>
        <v>9000</v>
      </c>
      <c r="AX48" s="3">
        <f>_xlfn.XLOOKUP(AX$1,generator!$B$2:$B$295,generator!$Q$2:$Q$295,"ARGH")</f>
        <v>9000</v>
      </c>
      <c r="AY48" s="3">
        <f>_xlfn.XLOOKUP(AY$1,generator!$B$2:$B$295,generator!$Q$2:$Q$295,"ARGH")</f>
        <v>9000</v>
      </c>
      <c r="AZ48" s="3">
        <f>_xlfn.XLOOKUP(AZ$1,generator!$B$2:$B$295,generator!$Q$2:$Q$295,"ARGH")</f>
        <v>9000</v>
      </c>
      <c r="BA48" s="3">
        <f>_xlfn.XLOOKUP(BA$1,generator!$B$2:$B$295,generator!$Q$2:$Q$295,"ARGH")</f>
        <v>9000</v>
      </c>
      <c r="BB48" s="3">
        <f>_xlfn.XLOOKUP(BB$1,generator!$B$2:$B$295,generator!$Q$2:$Q$295,"ARGH")</f>
        <v>9000</v>
      </c>
      <c r="BC48" s="3">
        <f>_xlfn.XLOOKUP(BC$1,generator!$B$2:$B$295,generator!$Q$2:$Q$295,"ARGH")</f>
        <v>9000</v>
      </c>
      <c r="BD48" s="3">
        <f>_xlfn.XLOOKUP(BD$1,generator!$B$2:$B$295,generator!$Q$2:$Q$295,"ARGH")</f>
        <v>9000</v>
      </c>
      <c r="BE48" s="3">
        <f>_xlfn.XLOOKUP(BE$1,generator!$B$2:$B$295,generator!$Q$2:$Q$295,"ARGH")</f>
        <v>9000</v>
      </c>
      <c r="BF48" s="3">
        <f>_xlfn.XLOOKUP(BF$1,generator!$B$2:$B$295,generator!$Q$2:$Q$295,"ARGH")</f>
        <v>9000</v>
      </c>
      <c r="BG48" s="3">
        <f>_xlfn.XLOOKUP(BG$1,generator!$B$2:$B$295,generator!$Q$2:$Q$295,"ARGH")</f>
        <v>9000</v>
      </c>
      <c r="BH48" s="3">
        <f>_xlfn.XLOOKUP(BH$1,generator!$B$2:$B$295,generator!$Q$2:$Q$295,"ARGH")</f>
        <v>9000</v>
      </c>
      <c r="BI48" s="3">
        <f>_xlfn.XLOOKUP(BI$1,generator!$B$2:$B$295,generator!$Q$2:$Q$295,"ARGH")</f>
        <v>9000</v>
      </c>
      <c r="BJ48" s="3">
        <f>_xlfn.XLOOKUP(BJ$1,generator!$B$2:$B$295,generator!$Q$2:$Q$295,"ARGH")</f>
        <v>9000</v>
      </c>
      <c r="BK48" s="3">
        <f>_xlfn.XLOOKUP(BK$1,generator!$B$2:$B$295,generator!$Q$2:$Q$295,"ARGH")</f>
        <v>9000</v>
      </c>
      <c r="BL48" s="3">
        <f>_xlfn.XLOOKUP(BL$1,generator!$B$2:$B$295,generator!$Q$2:$Q$295,"ARGH")</f>
        <v>9000</v>
      </c>
      <c r="BM48" s="3">
        <f>_xlfn.XLOOKUP(BM$1,generator!$B$2:$B$295,generator!$Q$2:$Q$295,"ARGH")</f>
        <v>9000</v>
      </c>
      <c r="BN48" s="3">
        <f>_xlfn.XLOOKUP(BN$1,generator!$B$2:$B$295,generator!$Q$2:$Q$295,"ARGH")</f>
        <v>9000</v>
      </c>
      <c r="BO48" s="3">
        <f>_xlfn.XLOOKUP(BO$1,generator!$B$2:$B$295,generator!$Q$2:$Q$295,"ARGH")</f>
        <v>9000</v>
      </c>
      <c r="BP48" s="3">
        <f>_xlfn.XLOOKUP(BP$1,generator!$B$2:$B$295,generator!$Q$2:$Q$295,"ARGH")</f>
        <v>9000</v>
      </c>
      <c r="BQ48" s="3">
        <f>_xlfn.XLOOKUP(BQ$1,generator!$B$2:$B$295,generator!$Q$2:$Q$295,"ARGH")</f>
        <v>9000</v>
      </c>
      <c r="BR48" s="3">
        <f>_xlfn.XLOOKUP(BR$1,generator!$B$2:$B$295,generator!$Q$2:$Q$295,"ARGH")</f>
        <v>9000</v>
      </c>
      <c r="BS48" s="3">
        <f>_xlfn.XLOOKUP(BS$1,generator!$B$2:$B$295,generator!$Q$2:$Q$295,"ARGH")</f>
        <v>9000</v>
      </c>
      <c r="BT48" s="3">
        <f>_xlfn.XLOOKUP(BT$1,generator!$B$2:$B$295,generator!$Q$2:$Q$295,"ARGH")</f>
        <v>9000</v>
      </c>
      <c r="BU48" s="3">
        <f>_xlfn.XLOOKUP(BU$1,generator!$B$2:$B$295,generator!$Q$2:$Q$295,"ARGH")</f>
        <v>9000</v>
      </c>
      <c r="BV48" s="3">
        <f>_xlfn.XLOOKUP(BV$1,generator!$B$2:$B$295,generator!$Q$2:$Q$295,"ARGH")</f>
        <v>9000</v>
      </c>
      <c r="BW48" s="3">
        <f>_xlfn.XLOOKUP(BW$1,generator!$B$2:$B$295,generator!$Q$2:$Q$295,"ARGH")</f>
        <v>9000</v>
      </c>
      <c r="BX48" s="3">
        <f>_xlfn.XLOOKUP(BX$1,generator!$B$2:$B$295,generator!$Q$2:$Q$295,"ARGH")</f>
        <v>9000</v>
      </c>
      <c r="BY48" s="3">
        <f>_xlfn.XLOOKUP(BY$1,generator!$B$2:$B$295,generator!$Q$2:$Q$295,"ARGH")</f>
        <v>9000</v>
      </c>
      <c r="BZ48" s="3">
        <f>_xlfn.XLOOKUP(BZ$1,generator!$B$2:$B$295,generator!$Q$2:$Q$295,"ARGH")</f>
        <v>9000</v>
      </c>
      <c r="CA48" s="3">
        <f>_xlfn.XLOOKUP(CA$1,generator!$B$2:$B$295,generator!$Q$2:$Q$295,"ARGH")</f>
        <v>9000</v>
      </c>
      <c r="CB48" s="3">
        <f>_xlfn.XLOOKUP(CB$1,generator!$B$2:$B$295,generator!$Q$2:$Q$295,"ARGH")</f>
        <v>9000</v>
      </c>
      <c r="CC48" s="3">
        <f>_xlfn.XLOOKUP(CC$1,generator!$B$2:$B$295,generator!$Q$2:$Q$295,"ARGH")</f>
        <v>9000</v>
      </c>
      <c r="CD48" s="3">
        <f>_xlfn.XLOOKUP(CD$1,generator!$B$2:$B$295,generator!$Q$2:$Q$295,"ARGH")</f>
        <v>9000</v>
      </c>
      <c r="CE48" s="3">
        <f>_xlfn.XLOOKUP(CE$1,generator!$B$2:$B$295,generator!$Q$2:$Q$295,"ARGH")</f>
        <v>9000</v>
      </c>
      <c r="CF48" s="3">
        <f>_xlfn.XLOOKUP(CF$1,generator!$B$2:$B$295,generator!$Q$2:$Q$295,"ARGH")</f>
        <v>9000</v>
      </c>
      <c r="CG48" s="3">
        <f>_xlfn.XLOOKUP(CG$1,generator!$B$2:$B$295,generator!$Q$2:$Q$295,"ARGH")</f>
        <v>9000</v>
      </c>
      <c r="CH48" s="3">
        <f>_xlfn.XLOOKUP(CH$1,generator!$B$2:$B$295,generator!$Q$2:$Q$295,"ARGH")</f>
        <v>9000</v>
      </c>
      <c r="CI48" s="3">
        <f>_xlfn.XLOOKUP(CI$1,generator!$B$2:$B$295,generator!$Q$2:$Q$295,"ARGH")</f>
        <v>9000</v>
      </c>
      <c r="CJ48" s="3">
        <f>_xlfn.XLOOKUP(CJ$1,generator!$B$2:$B$295,generator!$Q$2:$Q$295,"ARGH")</f>
        <v>9000</v>
      </c>
      <c r="CK48" s="3">
        <f>_xlfn.XLOOKUP(CK$1,generator!$B$2:$B$295,generator!$Q$2:$Q$295,"ARGH")</f>
        <v>9000</v>
      </c>
      <c r="CL48" s="3">
        <f>_xlfn.XLOOKUP(CL$1,generator!$B$2:$B$295,generator!$Q$2:$Q$295,"ARGH")</f>
        <v>9000</v>
      </c>
      <c r="CM48" s="3">
        <f>_xlfn.XLOOKUP(CM$1,generator!$B$2:$B$295,generator!$Q$2:$Q$295,"ARGH")</f>
        <v>9000</v>
      </c>
      <c r="CN48" s="3">
        <f>_xlfn.XLOOKUP(CN$1,generator!$B$2:$B$295,generator!$Q$2:$Q$295,"ARGH")</f>
        <v>9000</v>
      </c>
      <c r="CO48" s="3">
        <f>_xlfn.XLOOKUP(CO$1,generator!$B$2:$B$295,generator!$Q$2:$Q$295,"ARGH")</f>
        <v>9000</v>
      </c>
      <c r="CP48" s="3">
        <f>_xlfn.XLOOKUP(CP$1,generator!$B$2:$B$295,generator!$Q$2:$Q$295,"ARGH")</f>
        <v>9000</v>
      </c>
      <c r="CQ48" s="3">
        <f>_xlfn.XLOOKUP(CQ$1,generator!$B$2:$B$295,generator!$Q$2:$Q$295,"ARGH")</f>
        <v>9000</v>
      </c>
      <c r="CR48" s="3">
        <f>_xlfn.XLOOKUP(CR$1,generator!$B$2:$B$295,generator!$Q$2:$Q$295,"ARGH")</f>
        <v>9000</v>
      </c>
      <c r="CS48" s="3">
        <f>_xlfn.XLOOKUP(CS$1,generator!$B$2:$B$295,generator!$Q$2:$Q$295,"ARGH")</f>
        <v>9000</v>
      </c>
      <c r="CT48" s="3">
        <f>_xlfn.XLOOKUP(CT$1,generator!$B$2:$B$295,generator!$Q$2:$Q$295,"ARGH")</f>
        <v>9000</v>
      </c>
      <c r="CU48" s="3">
        <f>_xlfn.XLOOKUP(CU$1,generator!$B$2:$B$295,generator!$Q$2:$Q$295,"ARGH")</f>
        <v>9000</v>
      </c>
      <c r="CV48" s="3">
        <f>_xlfn.XLOOKUP(CV$1,generator!$B$2:$B$295,generator!$Q$2:$Q$295,"ARGH")</f>
        <v>9000</v>
      </c>
      <c r="CW48" s="3">
        <f>_xlfn.XLOOKUP(CW$1,generator!$B$2:$B$295,generator!$Q$2:$Q$295,"ARGH")</f>
        <v>9000</v>
      </c>
      <c r="CX48" s="3">
        <f>_xlfn.XLOOKUP(CX$1,generator!$B$2:$B$295,generator!$Q$2:$Q$295,"ARGH")</f>
        <v>9000</v>
      </c>
      <c r="CY48" s="3">
        <f>_xlfn.XLOOKUP(CY$1,generator!$B$2:$B$295,generator!$Q$2:$Q$295,"ARGH")</f>
        <v>9000</v>
      </c>
      <c r="CZ48" s="3">
        <f>_xlfn.XLOOKUP(CZ$1,generator!$B$2:$B$295,generator!$Q$2:$Q$295,"ARGH")</f>
        <v>9000</v>
      </c>
      <c r="DA48" s="3">
        <f>_xlfn.XLOOKUP(DA$1,generator!$B$2:$B$295,generator!$Q$2:$Q$295,"ARGH")</f>
        <v>9000</v>
      </c>
      <c r="DB48" s="3">
        <f>_xlfn.XLOOKUP(DB$1,generator!$B$2:$B$295,generator!$Q$2:$Q$295,"ARGH")</f>
        <v>9000</v>
      </c>
      <c r="DC48" s="3">
        <f>_xlfn.XLOOKUP(DC$1,generator!$B$2:$B$295,generator!$Q$2:$Q$295,"ARGH")</f>
        <v>9000</v>
      </c>
      <c r="DD48" s="3">
        <f>_xlfn.XLOOKUP(DD$1,generator!$B$2:$B$295,generator!$Q$2:$Q$295,"ARGH")</f>
        <v>9000</v>
      </c>
      <c r="DE48" s="3">
        <f>_xlfn.XLOOKUP(DE$1,generator!$B$2:$B$295,generator!$Q$2:$Q$295,"ARGH")</f>
        <v>9000</v>
      </c>
      <c r="DF48" s="3">
        <f>_xlfn.XLOOKUP(DF$1,generator!$B$2:$B$295,generator!$Q$2:$Q$295,"ARGH")</f>
        <v>9000</v>
      </c>
      <c r="DG48" s="3">
        <f>_xlfn.XLOOKUP(DG$1,generator!$B$2:$B$295,generator!$Q$2:$Q$295,"ARGH")</f>
        <v>9000</v>
      </c>
      <c r="DH48" s="3">
        <f>_xlfn.XLOOKUP(DH$1,generator!$B$2:$B$295,generator!$Q$2:$Q$295,"ARGH")</f>
        <v>9000</v>
      </c>
      <c r="DI48" s="3">
        <f>_xlfn.XLOOKUP(DI$1,generator!$B$2:$B$295,generator!$Q$2:$Q$295,"ARGH")</f>
        <v>9000</v>
      </c>
      <c r="DJ48" s="3">
        <f>_xlfn.XLOOKUP(DJ$1,generator!$B$2:$B$295,generator!$Q$2:$Q$295,"ARGH")</f>
        <v>9000</v>
      </c>
      <c r="DK48" s="3">
        <f>_xlfn.XLOOKUP(DK$1,generator!$B$2:$B$295,generator!$Q$2:$Q$295,"ARGH")</f>
        <v>9000</v>
      </c>
      <c r="DL48" s="3">
        <f>_xlfn.XLOOKUP(DL$1,generator!$B$2:$B$295,generator!$Q$2:$Q$295,"ARGH")</f>
        <v>9000</v>
      </c>
      <c r="DM48" s="3">
        <f>_xlfn.XLOOKUP(DM$1,generator!$B$2:$B$295,generator!$Q$2:$Q$295,"ARGH")</f>
        <v>9000</v>
      </c>
      <c r="DN48" s="3">
        <f>_xlfn.XLOOKUP(DN$1,generator!$B$2:$B$295,generator!$Q$2:$Q$295,"ARGH")</f>
        <v>9000</v>
      </c>
      <c r="DO48" s="3">
        <f>_xlfn.XLOOKUP(DO$1,generator!$B$2:$B$295,generator!$Q$2:$Q$295,"ARGH")</f>
        <v>9000</v>
      </c>
      <c r="DP48" s="3">
        <f>_xlfn.XLOOKUP(DP$1,generator!$B$2:$B$295,generator!$Q$2:$Q$295,"ARGH")</f>
        <v>9000</v>
      </c>
      <c r="DQ48" s="3">
        <f>_xlfn.XLOOKUP(DQ$1,generator!$B$2:$B$295,generator!$Q$2:$Q$295,"ARGH")</f>
        <v>9000</v>
      </c>
      <c r="DR48" s="3">
        <f>_xlfn.XLOOKUP(DR$1,generator!$B$2:$B$295,generator!$Q$2:$Q$295,"ARGH")</f>
        <v>9000</v>
      </c>
      <c r="DS48" s="3">
        <f>_xlfn.XLOOKUP(DS$1,generator!$B$2:$B$295,generator!$Q$2:$Q$295,"ARGH")</f>
        <v>9000</v>
      </c>
      <c r="DT48" s="3">
        <f>_xlfn.XLOOKUP(DT$1,generator!$B$2:$B$295,generator!$Q$2:$Q$295,"ARGH")</f>
        <v>9000</v>
      </c>
      <c r="DU48" s="3">
        <f>_xlfn.XLOOKUP(DU$1,generator!$B$2:$B$295,generator!$Q$2:$Q$295,"ARGH")</f>
        <v>9000</v>
      </c>
      <c r="DV48" s="3">
        <f>_xlfn.XLOOKUP(DV$1,generator!$B$2:$B$295,generator!$Q$2:$Q$295,"ARGH")</f>
        <v>9000</v>
      </c>
      <c r="DW48" s="3">
        <f>_xlfn.XLOOKUP(DW$1,generator!$B$2:$B$295,generator!$Q$2:$Q$295,"ARGH")</f>
        <v>9000</v>
      </c>
      <c r="DX48" s="3">
        <f>_xlfn.XLOOKUP(DX$1,generator!$B$2:$B$295,generator!$Q$2:$Q$295,"ARGH")</f>
        <v>9000</v>
      </c>
      <c r="DY48" s="3">
        <f>_xlfn.XLOOKUP(DY$1,generator!$B$2:$B$295,generator!$Q$2:$Q$295,"ARGH")</f>
        <v>9000</v>
      </c>
      <c r="DZ48" s="3">
        <f>_xlfn.XLOOKUP(DZ$1,generator!$B$2:$B$295,generator!$Q$2:$Q$295,"ARGH")</f>
        <v>9000</v>
      </c>
      <c r="EA48" s="3">
        <f>_xlfn.XLOOKUP(EA$1,generator!$B$2:$B$295,generator!$Q$2:$Q$295,"ARGH")</f>
        <v>9000</v>
      </c>
      <c r="EB48" s="3">
        <f>_xlfn.XLOOKUP(EB$1,generator!$B$2:$B$295,generator!$Q$2:$Q$295,"ARGH")</f>
        <v>9000</v>
      </c>
      <c r="EC48" s="3">
        <f>_xlfn.XLOOKUP(EC$1,generator!$B$2:$B$295,generator!$Q$2:$Q$295,"ARGH")</f>
        <v>9000</v>
      </c>
      <c r="ED48" s="3">
        <f>_xlfn.XLOOKUP(ED$1,generator!$B$2:$B$295,generator!$Q$2:$Q$295,"ARGH")</f>
        <v>9000</v>
      </c>
      <c r="EE48" s="3">
        <f>_xlfn.XLOOKUP(EE$1,generator!$B$2:$B$295,generator!$Q$2:$Q$295,"ARGH")</f>
        <v>9000</v>
      </c>
      <c r="EF48" s="3">
        <f>_xlfn.XLOOKUP(EF$1,generator!$B$2:$B$295,generator!$Q$2:$Q$295,"ARGH")</f>
        <v>9000</v>
      </c>
      <c r="EG48" s="3">
        <f>_xlfn.XLOOKUP(EG$1,generator!$B$2:$B$295,generator!$Q$2:$Q$295,"ARGH")</f>
        <v>9000</v>
      </c>
      <c r="EH48" s="3">
        <f>_xlfn.XLOOKUP(EH$1,generator!$B$2:$B$295,generator!$Q$2:$Q$295,"ARGH")</f>
        <v>9000</v>
      </c>
      <c r="EI48" s="3">
        <f>_xlfn.XLOOKUP(EI$1,generator!$B$2:$B$295,generator!$Q$2:$Q$295,"ARGH")</f>
        <v>9000</v>
      </c>
      <c r="EJ48" s="3">
        <f>_xlfn.XLOOKUP(EJ$1,generator!$B$2:$B$295,generator!$Q$2:$Q$295,"ARGH")</f>
        <v>9000</v>
      </c>
      <c r="EK48" s="3">
        <f>_xlfn.XLOOKUP(EK$1,generator!$B$2:$B$295,generator!$Q$2:$Q$295,"ARGH")</f>
        <v>9000</v>
      </c>
      <c r="EL48" s="3">
        <f>_xlfn.XLOOKUP(EL$1,generator!$B$2:$B$295,generator!$Q$2:$Q$295,"ARGH")</f>
        <v>9000</v>
      </c>
      <c r="EM48" s="3">
        <f>_xlfn.XLOOKUP(EM$1,generator!$B$2:$B$295,generator!$Q$2:$Q$295,"ARGH")</f>
        <v>9000</v>
      </c>
      <c r="EN48" s="3">
        <f>_xlfn.XLOOKUP(EN$1,generator!$B$2:$B$295,generator!$Q$2:$Q$295,"ARGH")</f>
        <v>9000</v>
      </c>
      <c r="EO48" s="3">
        <f>_xlfn.XLOOKUP(EO$1,generator!$B$2:$B$295,generator!$Q$2:$Q$295,"ARGH")</f>
        <v>9000</v>
      </c>
      <c r="EP48" s="3">
        <f>_xlfn.XLOOKUP(EP$1,generator!$B$2:$B$295,generator!$Q$2:$Q$295,"ARGH")</f>
        <v>9000</v>
      </c>
      <c r="EQ48" s="3">
        <f>_xlfn.XLOOKUP(EQ$1,generator!$B$2:$B$295,generator!$Q$2:$Q$295,"ARGH")</f>
        <v>9000</v>
      </c>
      <c r="ER48" s="3">
        <f>_xlfn.XLOOKUP(ER$1,generator!$B$2:$B$295,generator!$Q$2:$Q$295,"ARGH")</f>
        <v>9000</v>
      </c>
      <c r="ES48" s="3">
        <f>_xlfn.XLOOKUP(ES$1,generator!$B$2:$B$295,generator!$Q$2:$Q$295,"ARGH")</f>
        <v>9000</v>
      </c>
      <c r="ET48" s="3">
        <f>_xlfn.XLOOKUP(ET$1,generator!$B$2:$B$295,generator!$Q$2:$Q$295,"ARGH")</f>
        <v>9000</v>
      </c>
      <c r="EU48" s="3">
        <f>_xlfn.XLOOKUP(EU$1,generator!$B$2:$B$295,generator!$Q$2:$Q$295,"ARGH")</f>
        <v>9000</v>
      </c>
      <c r="EV48" s="3">
        <f>_xlfn.XLOOKUP(EV$1,generator!$B$2:$B$295,generator!$Q$2:$Q$295,"ARGH")</f>
        <v>9000</v>
      </c>
      <c r="EW48" s="3">
        <f>_xlfn.XLOOKUP(EW$1,generator!$B$2:$B$295,generator!$Q$2:$Q$295,"ARGH")</f>
        <v>9000</v>
      </c>
      <c r="EX48" s="3">
        <f>_xlfn.XLOOKUP(EX$1,generator!$B$2:$B$295,generator!$Q$2:$Q$295,"ARGH")</f>
        <v>9000</v>
      </c>
      <c r="EY48" s="3">
        <f>_xlfn.XLOOKUP(EY$1,generator!$B$2:$B$295,generator!$Q$2:$Q$295,"ARGH")</f>
        <v>9000</v>
      </c>
      <c r="EZ48" s="3">
        <f>_xlfn.XLOOKUP(EZ$1,generator!$B$2:$B$295,generator!$Q$2:$Q$295,"ARGH")</f>
        <v>9000</v>
      </c>
      <c r="FA48" s="3">
        <f>_xlfn.XLOOKUP(FA$1,generator!$B$2:$B$295,generator!$Q$2:$Q$295,"ARGH")</f>
        <v>9000</v>
      </c>
      <c r="FB48" s="3">
        <f>_xlfn.XLOOKUP(FB$1,generator!$B$2:$B$295,generator!$Q$2:$Q$295,"ARGH")</f>
        <v>9000</v>
      </c>
      <c r="FC48" s="3">
        <f>_xlfn.XLOOKUP(FC$1,generator!$B$2:$B$295,generator!$Q$2:$Q$295,"ARGH")</f>
        <v>9000</v>
      </c>
      <c r="FD48" s="3">
        <f>_xlfn.XLOOKUP(FD$1,generator!$B$2:$B$295,generator!$Q$2:$Q$295,"ARGH")</f>
        <v>9000</v>
      </c>
      <c r="FE48" s="3">
        <f>_xlfn.XLOOKUP(FE$1,generator!$B$2:$B$295,generator!$Q$2:$Q$295,"ARGH")</f>
        <v>9000</v>
      </c>
      <c r="FF48" s="3">
        <f>_xlfn.XLOOKUP(FF$1,generator!$B$2:$B$295,generator!$Q$2:$Q$295,"ARGH")</f>
        <v>9000</v>
      </c>
      <c r="FG48" s="3">
        <f>_xlfn.XLOOKUP(FG$1,generator!$B$2:$B$295,generator!$Q$2:$Q$295,"ARGH")</f>
        <v>9000</v>
      </c>
      <c r="FH48" s="3">
        <f>_xlfn.XLOOKUP(FH$1,generator!$B$2:$B$295,generator!$Q$2:$Q$295,"ARGH")</f>
        <v>9000</v>
      </c>
      <c r="FI48" s="3">
        <f>_xlfn.XLOOKUP(FI$1,generator!$B$2:$B$295,generator!$Q$2:$Q$295,"ARGH")</f>
        <v>9000</v>
      </c>
      <c r="FJ48" s="3">
        <f>_xlfn.XLOOKUP(FJ$1,generator!$B$2:$B$295,generator!$Q$2:$Q$295,"ARGH")</f>
        <v>9000</v>
      </c>
      <c r="FK48" s="3">
        <f>_xlfn.XLOOKUP(FK$1,generator!$B$2:$B$295,generator!$Q$2:$Q$295,"ARGH")</f>
        <v>9000</v>
      </c>
      <c r="FL48" s="3">
        <f>_xlfn.XLOOKUP(FL$1,generator!$B$2:$B$295,generator!$Q$2:$Q$295,"ARGH")</f>
        <v>9000</v>
      </c>
      <c r="FM48" s="3">
        <f>_xlfn.XLOOKUP(FM$1,generator!$B$2:$B$295,generator!$Q$2:$Q$295,"ARGH")</f>
        <v>9000</v>
      </c>
      <c r="FN48" s="3">
        <f>_xlfn.XLOOKUP(FN$1,generator!$B$2:$B$295,generator!$Q$2:$Q$295,"ARGH")</f>
        <v>9000</v>
      </c>
      <c r="FO48" s="3">
        <f>_xlfn.XLOOKUP(FO$1,generator!$B$2:$B$295,generator!$Q$2:$Q$295,"ARGH")</f>
        <v>9000</v>
      </c>
      <c r="FP48" s="3">
        <f>_xlfn.XLOOKUP(FP$1,generator!$B$2:$B$295,generator!$Q$2:$Q$295,"ARGH")</f>
        <v>9000</v>
      </c>
      <c r="FQ48" s="3">
        <f>_xlfn.XLOOKUP(FQ$1,generator!$B$2:$B$295,generator!$Q$2:$Q$295,"ARGH")</f>
        <v>9000</v>
      </c>
      <c r="FR48" s="3">
        <f>_xlfn.XLOOKUP(FR$1,generator!$B$2:$B$295,generator!$Q$2:$Q$295,"ARGH")</f>
        <v>9000</v>
      </c>
      <c r="FS48" s="3">
        <f>_xlfn.XLOOKUP(FS$1,generator!$B$2:$B$295,generator!$Q$2:$Q$295,"ARGH")</f>
        <v>9000</v>
      </c>
      <c r="FT48" s="3">
        <f>_xlfn.XLOOKUP(FT$1,generator!$B$2:$B$295,generator!$Q$2:$Q$295,"ARGH")</f>
        <v>9000</v>
      </c>
      <c r="FU48" s="3">
        <f>_xlfn.XLOOKUP(FU$1,generator!$B$2:$B$295,generator!$Q$2:$Q$295,"ARGH")</f>
        <v>9000</v>
      </c>
      <c r="FV48" s="3">
        <f>_xlfn.XLOOKUP(FV$1,generator!$B$2:$B$295,generator!$Q$2:$Q$295,"ARGH")</f>
        <v>9000</v>
      </c>
      <c r="FW48" s="3">
        <f>_xlfn.XLOOKUP(FW$1,generator!$B$2:$B$295,generator!$Q$2:$Q$295,"ARGH")</f>
        <v>9000</v>
      </c>
      <c r="FX48" s="3">
        <f>_xlfn.XLOOKUP(FX$1,generator!$B$2:$B$295,generator!$Q$2:$Q$295,"ARGH")</f>
        <v>9000</v>
      </c>
      <c r="FY48" s="3">
        <f>_xlfn.XLOOKUP(FY$1,generator!$B$2:$B$295,generator!$Q$2:$Q$295,"ARGH")</f>
        <v>9000</v>
      </c>
      <c r="FZ48" s="3">
        <f>_xlfn.XLOOKUP(FZ$1,generator!$B$2:$B$295,generator!$Q$2:$Q$295,"ARGH")</f>
        <v>9000</v>
      </c>
      <c r="GA48" s="3">
        <f>_xlfn.XLOOKUP(GA$1,generator!$B$2:$B$295,generator!$Q$2:$Q$295,"ARGH")</f>
        <v>9000</v>
      </c>
      <c r="GB48" s="3">
        <f>_xlfn.XLOOKUP(GB$1,generator!$B$2:$B$295,generator!$Q$2:$Q$295,"ARGH")</f>
        <v>9000</v>
      </c>
      <c r="GC48" s="3">
        <f>_xlfn.XLOOKUP(GC$1,generator!$B$2:$B$295,generator!$Q$2:$Q$295,"ARGH")</f>
        <v>9000</v>
      </c>
      <c r="GD48" s="3">
        <f>_xlfn.XLOOKUP(GD$1,generator!$B$2:$B$295,generator!$Q$2:$Q$295,"ARGH")</f>
        <v>9000</v>
      </c>
      <c r="GE48" s="3">
        <f>_xlfn.XLOOKUP(GE$1,generator!$B$2:$B$295,generator!$Q$2:$Q$295,"ARGH")</f>
        <v>9000</v>
      </c>
      <c r="GF48" s="3">
        <f>_xlfn.XLOOKUP(GF$1,generator!$B$2:$B$295,generator!$Q$2:$Q$295,"ARGH")</f>
        <v>9000</v>
      </c>
      <c r="GG48" s="3">
        <f>_xlfn.XLOOKUP(GG$1,generator!$B$2:$B$295,generator!$Q$2:$Q$295,"ARGH")</f>
        <v>9000</v>
      </c>
      <c r="GH48" s="3">
        <f>_xlfn.XLOOKUP(GH$1,generator!$B$2:$B$295,generator!$Q$2:$Q$295,"ARGH")</f>
        <v>9000</v>
      </c>
      <c r="GI48" s="3">
        <f>_xlfn.XLOOKUP(GI$1,generator!$B$2:$B$295,generator!$Q$2:$Q$295,"ARGH")</f>
        <v>9000</v>
      </c>
      <c r="GJ48" s="3">
        <f>_xlfn.XLOOKUP(GJ$1,generator!$B$2:$B$295,generator!$Q$2:$Q$295,"ARGH")</f>
        <v>9000</v>
      </c>
      <c r="GK48" s="3">
        <f>_xlfn.XLOOKUP(GK$1,generator!$B$2:$B$295,generator!$Q$2:$Q$295,"ARGH")</f>
        <v>9000</v>
      </c>
      <c r="GL48" s="3">
        <f>_xlfn.XLOOKUP(GL$1,generator!$B$2:$B$295,generator!$Q$2:$Q$295,"ARGH")</f>
        <v>9000</v>
      </c>
      <c r="GM48" s="3">
        <f>_xlfn.XLOOKUP(GM$1,generator!$B$2:$B$295,generator!$Q$2:$Q$295,"ARGH")</f>
        <v>9000</v>
      </c>
      <c r="GN48" s="3">
        <f>_xlfn.XLOOKUP(GN$1,generator!$B$2:$B$295,generator!$Q$2:$Q$295,"ARGH")</f>
        <v>9000</v>
      </c>
      <c r="GO48" s="3">
        <f>_xlfn.XLOOKUP(GO$1,generator!$B$2:$B$295,generator!$Q$2:$Q$295,"ARGH")</f>
        <v>9000</v>
      </c>
      <c r="GP48" s="3">
        <f>_xlfn.XLOOKUP(GP$1,generator!$B$2:$B$295,generator!$Q$2:$Q$295,"ARGH")</f>
        <v>9000</v>
      </c>
      <c r="GQ48" s="3">
        <f>_xlfn.XLOOKUP(GQ$1,generator!$B$2:$B$295,generator!$Q$2:$Q$295,"ARGH")</f>
        <v>9000</v>
      </c>
      <c r="GR48" s="3">
        <f>_xlfn.XLOOKUP(GR$1,generator!$B$2:$B$295,generator!$Q$2:$Q$295,"ARGH")</f>
        <v>9000</v>
      </c>
      <c r="GS48" s="3">
        <f>_xlfn.XLOOKUP(GS$1,generator!$B$2:$B$295,generator!$Q$2:$Q$295,"ARGH")</f>
        <v>9000</v>
      </c>
      <c r="GT48" s="3">
        <f>_xlfn.XLOOKUP(GT$1,generator!$B$2:$B$295,generator!$Q$2:$Q$295,"ARGH")</f>
        <v>9000</v>
      </c>
      <c r="GU48" s="3">
        <f>_xlfn.XLOOKUP(GU$1,generator!$B$2:$B$295,generator!$Q$2:$Q$295,"ARGH")</f>
        <v>9000</v>
      </c>
      <c r="GV48" s="3">
        <f>_xlfn.XLOOKUP(GV$1,generator!$B$2:$B$295,generator!$Q$2:$Q$295,"ARGH")</f>
        <v>9000</v>
      </c>
      <c r="GW48" s="3">
        <f>_xlfn.XLOOKUP(GW$1,generator!$B$2:$B$295,generator!$Q$2:$Q$295,"ARGH")</f>
        <v>9000</v>
      </c>
      <c r="GX48" s="3">
        <f>_xlfn.XLOOKUP(GX$1,generator!$B$2:$B$295,generator!$Q$2:$Q$295,"ARGH")</f>
        <v>9000</v>
      </c>
      <c r="GY48" s="3">
        <f>_xlfn.XLOOKUP(GY$1,generator!$B$2:$B$295,generator!$Q$2:$Q$295,"ARGH")</f>
        <v>9000</v>
      </c>
      <c r="GZ48" s="3">
        <f>_xlfn.XLOOKUP(GZ$1,generator!$B$2:$B$295,generator!$Q$2:$Q$295,"ARGH")</f>
        <v>9000</v>
      </c>
      <c r="HA48" s="3">
        <f>_xlfn.XLOOKUP(HA$1,generator!$B$2:$B$295,generator!$Q$2:$Q$295,"ARGH")</f>
        <v>9000</v>
      </c>
      <c r="HB48" s="3">
        <f>_xlfn.XLOOKUP(HB$1,generator!$B$2:$B$295,generator!$Q$2:$Q$295,"ARGH")</f>
        <v>9000</v>
      </c>
      <c r="HC48" s="3">
        <f>_xlfn.XLOOKUP(HC$1,generator!$B$2:$B$295,generator!$Q$2:$Q$295,"ARGH")</f>
        <v>9000</v>
      </c>
      <c r="HD48" s="3">
        <f>_xlfn.XLOOKUP(HD$1,generator!$B$2:$B$295,generator!$Q$2:$Q$295,"ARGH")</f>
        <v>9000</v>
      </c>
      <c r="HE48" s="3">
        <f>_xlfn.XLOOKUP(HE$1,generator!$B$2:$B$295,generator!$Q$2:$Q$295,"ARGH")</f>
        <v>8000</v>
      </c>
      <c r="HF48" s="3" t="str">
        <f>_xlfn.XLOOKUP(HF$1,generator!$B$2:$B$295,generator!$Q$2:$Q$295,"ARGH")</f>
        <v>143</v>
      </c>
      <c r="HG48" s="3" t="str">
        <f>_xlfn.XLOOKUP(HG$1,generator!$B$2:$B$295,generator!$Q$2:$Q$295,"ARGH")</f>
        <v>143</v>
      </c>
      <c r="HH48" s="3" t="str">
        <f>_xlfn.XLOOKUP(HH$1,generator!$B$2:$B$295,generator!$Q$2:$Q$295,"ARGH")</f>
        <v>143</v>
      </c>
      <c r="HI48" s="3" t="str">
        <f>_xlfn.XLOOKUP(HI$1,generator!$B$2:$B$295,generator!$Q$2:$Q$295,"ARGH")</f>
        <v>246.74</v>
      </c>
      <c r="HJ48" s="3" t="str">
        <f>_xlfn.XLOOKUP(HJ$1,generator!$B$2:$B$295,generator!$Q$2:$Q$295,"ARGH")</f>
        <v>246.74</v>
      </c>
      <c r="HK48" s="3" t="str">
        <f>_xlfn.XLOOKUP(HK$1,generator!$B$2:$B$295,generator!$Q$2:$Q$295,"ARGH")</f>
        <v>206.04</v>
      </c>
      <c r="HL48" s="3" t="str">
        <f>_xlfn.XLOOKUP(HL$1,generator!$B$2:$B$295,generator!$Q$2:$Q$295,"ARGH")</f>
        <v>506.96</v>
      </c>
      <c r="HM48" s="3" t="str">
        <f>_xlfn.XLOOKUP(HM$1,generator!$B$2:$B$295,generator!$Q$2:$Q$295,"ARGH")</f>
        <v>506.95</v>
      </c>
      <c r="HN48" s="3" t="str">
        <f>_xlfn.XLOOKUP(HN$1,generator!$B$2:$B$295,generator!$Q$2:$Q$295,"ARGH")</f>
        <v>190.97</v>
      </c>
      <c r="HO48" s="3" t="str">
        <f>_xlfn.XLOOKUP(HO$1,generator!$B$2:$B$295,generator!$Q$2:$Q$295,"ARGH")</f>
        <v>190.97</v>
      </c>
      <c r="HP48" s="3" t="str">
        <f>_xlfn.XLOOKUP(HP$1,generator!$B$2:$B$295,generator!$Q$2:$Q$295,"ARGH")</f>
        <v>424.84</v>
      </c>
      <c r="HQ48" s="3" t="str">
        <f>_xlfn.XLOOKUP(HQ$1,generator!$B$2:$B$295,generator!$Q$2:$Q$295,"ARGH")</f>
        <v>425.9</v>
      </c>
      <c r="HR48" s="3" t="str">
        <f>_xlfn.XLOOKUP(HR$1,generator!$B$2:$B$295,generator!$Q$2:$Q$295,"ARGH")</f>
        <v>425.9</v>
      </c>
      <c r="HS48" s="3" t="str">
        <f>_xlfn.XLOOKUP(HS$1,generator!$B$2:$B$295,generator!$Q$2:$Q$295,"ARGH")</f>
        <v>196.54</v>
      </c>
      <c r="HT48" s="3" t="str">
        <f>_xlfn.XLOOKUP(HT$1,generator!$B$2:$B$295,generator!$Q$2:$Q$295,"ARGH")</f>
        <v>196.54</v>
      </c>
      <c r="HU48" s="3" t="str">
        <f>_xlfn.XLOOKUP(HU$1,generator!$B$2:$B$295,generator!$Q$2:$Q$295,"ARGH")</f>
        <v>145.57</v>
      </c>
      <c r="HV48" s="3" t="str">
        <f>_xlfn.XLOOKUP(HV$1,generator!$B$2:$B$295,generator!$Q$2:$Q$295,"ARGH")</f>
        <v>132.62</v>
      </c>
      <c r="HW48" s="3" t="str">
        <f>_xlfn.XLOOKUP(HW$1,generator!$B$2:$B$295,generator!$Q$2:$Q$295,"ARGH")</f>
        <v>193.76</v>
      </c>
      <c r="HX48" s="3" t="str">
        <f>_xlfn.XLOOKUP(HX$1,generator!$B$2:$B$295,generator!$Q$2:$Q$295,"ARGH")</f>
        <v>193.76</v>
      </c>
      <c r="HY48" s="3" t="str">
        <f>_xlfn.XLOOKUP(HY$1,generator!$B$2:$B$295,generator!$Q$2:$Q$295,"ARGH")</f>
        <v>79.19</v>
      </c>
      <c r="HZ48" s="3" t="str">
        <f>_xlfn.XLOOKUP(HZ$1,generator!$B$2:$B$295,generator!$Q$2:$Q$295,"ARGH")</f>
        <v>125.79</v>
      </c>
      <c r="IA48" s="3" t="str">
        <f>_xlfn.XLOOKUP(IA$1,generator!$B$2:$B$295,generator!$Q$2:$Q$295,"ARGH")</f>
        <v>54.19</v>
      </c>
      <c r="IB48" s="3" t="str">
        <f>_xlfn.XLOOKUP(IB$1,generator!$B$2:$B$295,generator!$Q$2:$Q$295,"ARGH")</f>
        <v>59.7</v>
      </c>
      <c r="IC48" s="3">
        <f>_xlfn.XLOOKUP(IC$1,generator!$B$2:$B$295,generator!$Q$2:$Q$295,"ARGH")</f>
        <v>0</v>
      </c>
      <c r="ID48" s="3" t="str">
        <f>_xlfn.XLOOKUP(ID$1,generator!$B$2:$B$295,generator!$Q$2:$Q$295,"ARGH")</f>
        <v>121.14</v>
      </c>
      <c r="IE48" s="3" t="str">
        <f>_xlfn.XLOOKUP(IE$1,generator!$B$2:$B$295,generator!$Q$2:$Q$295,"ARGH")</f>
        <v>26.6</v>
      </c>
      <c r="IF48" s="3">
        <f>_xlfn.XLOOKUP(IF$1,generator!$B$2:$B$295,generator!$Q$2:$Q$295,"ARGH")</f>
        <v>8000</v>
      </c>
      <c r="IG48" s="3">
        <f>_xlfn.XLOOKUP(IG$1,generator!$B$2:$B$295,generator!$Q$2:$Q$295,"ARGH")</f>
        <v>8000</v>
      </c>
      <c r="IH48" s="3">
        <f>_xlfn.XLOOKUP(IH$1,generator!$B$2:$B$295,generator!$Q$2:$Q$295,"ARGH")</f>
        <v>8000</v>
      </c>
      <c r="II48" s="3">
        <f>_xlfn.XLOOKUP(II$1,generator!$B$2:$B$295,generator!$Q$2:$Q$295,"ARGH")</f>
        <v>8000</v>
      </c>
      <c r="IJ48" s="3">
        <f>_xlfn.XLOOKUP(IJ$1,generator!$B$2:$B$295,generator!$Q$2:$Q$295,"ARGH")</f>
        <v>8000</v>
      </c>
      <c r="IK48" s="3">
        <f>_xlfn.XLOOKUP(IK$1,generator!$B$2:$B$295,generator!$Q$2:$Q$295,"ARGH")</f>
        <v>8000</v>
      </c>
      <c r="IL48" s="3">
        <f>_xlfn.XLOOKUP(IL$1,generator!$B$2:$B$295,generator!$Q$2:$Q$295,"ARGH")</f>
        <v>8000</v>
      </c>
      <c r="IM48" s="3">
        <f>_xlfn.XLOOKUP(IM$1,generator!$B$2:$B$295,generator!$Q$2:$Q$295,"ARGH")</f>
        <v>8000</v>
      </c>
      <c r="IN48" s="3">
        <f>_xlfn.XLOOKUP(IN$1,generator!$B$2:$B$295,generator!$Q$2:$Q$295,"ARGH")</f>
        <v>8000</v>
      </c>
      <c r="IO48" s="3">
        <f>_xlfn.XLOOKUP(IO$1,generator!$B$2:$B$295,generator!$Q$2:$Q$295,"ARGH")</f>
        <v>8000</v>
      </c>
      <c r="IP48" s="3">
        <f>_xlfn.XLOOKUP(IP$1,generator!$B$2:$B$295,generator!$Q$2:$Q$295,"ARGH")</f>
        <v>8000</v>
      </c>
      <c r="IQ48" s="3">
        <f>_xlfn.XLOOKUP(IQ$1,generator!$B$2:$B$295,generator!$Q$2:$Q$295,"ARGH")</f>
        <v>8000</v>
      </c>
      <c r="IR48" s="3">
        <f>_xlfn.XLOOKUP(IR$1,generator!$B$2:$B$295,generator!$Q$2:$Q$295,"ARGH")</f>
        <v>8000</v>
      </c>
      <c r="IS48" s="3">
        <f>_xlfn.XLOOKUP(IS$1,generator!$B$2:$B$295,generator!$Q$2:$Q$295,"ARGH")</f>
        <v>8000</v>
      </c>
      <c r="IT48" s="3">
        <f>_xlfn.XLOOKUP(IT$1,generator!$B$2:$B$295,generator!$Q$2:$Q$295,"ARGH")</f>
        <v>8000</v>
      </c>
      <c r="IU48" s="3">
        <f>_xlfn.XLOOKUP(IU$1,generator!$B$2:$B$295,generator!$Q$2:$Q$295,"ARGH")</f>
        <v>8000</v>
      </c>
      <c r="IV48" s="3">
        <f>_xlfn.XLOOKUP(IV$1,generator!$B$2:$B$295,generator!$Q$2:$Q$295,"ARGH")</f>
        <v>8000</v>
      </c>
      <c r="IW48" s="3" t="str">
        <f>_xlfn.XLOOKUP(IW$1,generator!$B$2:$B$295,generator!$Q$2:$Q$295,"ARGH")</f>
        <v>108.19</v>
      </c>
      <c r="IX48" s="3" t="str">
        <f>_xlfn.XLOOKUP(IX$1,generator!$B$2:$B$295,generator!$Q$2:$Q$295,"ARGH")</f>
        <v>108.18</v>
      </c>
      <c r="IY48" s="3" t="str">
        <f>_xlfn.XLOOKUP(IY$1,generator!$B$2:$B$295,generator!$Q$2:$Q$295,"ARGH")</f>
        <v>108.17</v>
      </c>
      <c r="IZ48" s="3" t="str">
        <f>_xlfn.XLOOKUP(IZ$1,generator!$B$2:$B$295,generator!$Q$2:$Q$295,"ARGH")</f>
        <v>40.96</v>
      </c>
      <c r="JA48" s="3">
        <f>_xlfn.XLOOKUP(JA$1,generator!$B$2:$B$295,generator!$Q$2:$Q$295,"ARGH")</f>
        <v>0</v>
      </c>
      <c r="JB48" s="3">
        <f>_xlfn.XLOOKUP(JB$1,generator!$B$2:$B$295,generator!$Q$2:$Q$295,"ARGH")</f>
        <v>0</v>
      </c>
      <c r="JC48" s="3" t="str">
        <f>_xlfn.XLOOKUP(JC$1,generator!$B$2:$B$295,generator!$Q$2:$Q$295,"ARGH")</f>
        <v>75.91</v>
      </c>
      <c r="JD48" s="3" t="str">
        <f>_xlfn.XLOOKUP(JD$1,generator!$B$2:$B$295,generator!$Q$2:$Q$295,"ARGH")</f>
        <v>75.91</v>
      </c>
      <c r="JE48" s="3" t="str">
        <f>_xlfn.XLOOKUP(JE$1,generator!$B$2:$B$295,generator!$Q$2:$Q$295,"ARGH")</f>
        <v>51.59</v>
      </c>
      <c r="JF48" s="3" t="str">
        <f>_xlfn.XLOOKUP(JF$1,generator!$B$2:$B$295,generator!$Q$2:$Q$295,"ARGH")</f>
        <v>111.57</v>
      </c>
      <c r="JG48" s="3">
        <f>_xlfn.XLOOKUP(JG$1,generator!$B$2:$B$295,generator!$Q$2:$Q$295,"ARGH")</f>
        <v>0</v>
      </c>
      <c r="JH48" s="3" t="str">
        <f>_xlfn.XLOOKUP(JH$1,generator!$B$2:$B$295,generator!$Q$2:$Q$295,"ARGH")</f>
        <v>48.65</v>
      </c>
      <c r="JI48" s="3" t="str">
        <f>_xlfn.XLOOKUP(JI$1,generator!$B$2:$B$295,generator!$Q$2:$Q$295,"ARGH")</f>
        <v>71.88</v>
      </c>
      <c r="JJ48" s="3" t="str">
        <f>_xlfn.XLOOKUP(JJ$1,generator!$B$2:$B$295,generator!$Q$2:$Q$295,"ARGH")</f>
        <v>98.17</v>
      </c>
      <c r="JK48" s="3" t="str">
        <f>_xlfn.XLOOKUP(JK$1,generator!$B$2:$B$295,generator!$Q$2:$Q$295,"ARGH")</f>
        <v>98.17</v>
      </c>
      <c r="JL48" s="3" t="str">
        <f>_xlfn.XLOOKUP(JL$1,generator!$B$2:$B$295,generator!$Q$2:$Q$295,"ARGH")</f>
        <v>98.17</v>
      </c>
      <c r="JM48" s="3" t="str">
        <f>_xlfn.XLOOKUP(JM$1,generator!$B$2:$B$295,generator!$Q$2:$Q$295,"ARGH")</f>
        <v>98.17</v>
      </c>
      <c r="JN48" s="3" t="str">
        <f>_xlfn.XLOOKUP(JN$1,generator!$B$2:$B$295,generator!$Q$2:$Q$295,"ARGH")</f>
        <v>98.17</v>
      </c>
      <c r="JO48" s="3" t="str">
        <f>_xlfn.XLOOKUP(JO$1,generator!$B$2:$B$295,generator!$Q$2:$Q$295,"ARGH")</f>
        <v>98.17</v>
      </c>
      <c r="JP48" s="3" t="str">
        <f>_xlfn.XLOOKUP(JP$1,generator!$B$2:$B$295,generator!$Q$2:$Q$295,"ARGH")</f>
        <v>47.53</v>
      </c>
      <c r="JQ48" s="3" t="str">
        <f>_xlfn.XLOOKUP(JQ$1,generator!$B$2:$B$295,generator!$Q$2:$Q$295,"ARGH")</f>
        <v>108.86</v>
      </c>
      <c r="JR48" s="3" t="str">
        <f>_xlfn.XLOOKUP(JR$1,generator!$B$2:$B$295,generator!$Q$2:$Q$295,"ARGH")</f>
        <v>83.15</v>
      </c>
      <c r="JS48" s="3" t="str">
        <f>_xlfn.XLOOKUP(JS$1,generator!$B$2:$B$295,generator!$Q$2:$Q$295,"ARGH")</f>
        <v>83.15</v>
      </c>
      <c r="JT48" s="3" t="str">
        <f>_xlfn.XLOOKUP(JT$1,generator!$B$2:$B$295,generator!$Q$2:$Q$295,"ARGH")</f>
        <v>108.86</v>
      </c>
      <c r="JU48" s="3">
        <f>_xlfn.XLOOKUP(JU$1,generator!$B$2:$B$295,generator!$Q$2:$Q$295,"ARGH")</f>
        <v>0</v>
      </c>
      <c r="JV48" s="3" t="str">
        <f>_xlfn.XLOOKUP(JV$1,generator!$B$2:$B$295,generator!$Q$2:$Q$295,"ARGH")</f>
        <v>77.63</v>
      </c>
      <c r="JW48" s="3" t="str">
        <f>_xlfn.XLOOKUP(JW$1,generator!$B$2:$B$295,generator!$Q$2:$Q$295,"ARGH")</f>
        <v>77.64</v>
      </c>
      <c r="JX48" s="3" t="str">
        <f>_xlfn.XLOOKUP(JX$1,generator!$B$2:$B$295,generator!$Q$2:$Q$295,"ARGH")</f>
        <v>331.49</v>
      </c>
      <c r="JY48" s="3">
        <f>_xlfn.XLOOKUP(JY$1,generator!$B$2:$B$295,generator!$Q$2:$Q$295,"ARGH")</f>
        <v>7000</v>
      </c>
      <c r="JZ48" s="3">
        <f>_xlfn.XLOOKUP(JZ$1,generator!$B$2:$B$295,generator!$Q$2:$Q$295,"ARGH")</f>
        <v>0</v>
      </c>
      <c r="KA48" s="3">
        <f>_xlfn.XLOOKUP(KA$1,generator!$B$2:$B$295,generator!$Q$2:$Q$295,"ARGH")</f>
        <v>0</v>
      </c>
      <c r="KB48" s="3">
        <f>_xlfn.XLOOKUP(KB$1,generator!$B$2:$B$295,generator!$Q$2:$Q$295,"ARGH")</f>
        <v>0</v>
      </c>
      <c r="KC48" s="3">
        <f>_xlfn.XLOOKUP(KC$1,generator!$B$2:$B$295,generator!$Q$2:$Q$295,"ARGH")</f>
        <v>0</v>
      </c>
    </row>
    <row r="49" spans="1:289" x14ac:dyDescent="0.3">
      <c r="A49" s="4" t="s">
        <v>3044</v>
      </c>
      <c r="B49" s="3">
        <v>15000</v>
      </c>
      <c r="C49" s="3">
        <v>15000</v>
      </c>
      <c r="D49" s="3">
        <v>15000</v>
      </c>
      <c r="E49" s="3">
        <f>_xlfn.XLOOKUP(E$1,generator!$B$2:$B$295,generator!$Q$2:$Q$295,"ARGH")</f>
        <v>9000</v>
      </c>
      <c r="F49" s="3">
        <f>_xlfn.XLOOKUP(F$1,generator!$B$2:$B$295,generator!$Q$2:$Q$295,"ARGH")</f>
        <v>9000</v>
      </c>
      <c r="G49" s="3">
        <f>_xlfn.XLOOKUP(G$1,generator!$B$2:$B$295,generator!$Q$2:$Q$295,"ARGH")</f>
        <v>9000</v>
      </c>
      <c r="H49" s="3">
        <f>_xlfn.XLOOKUP(H$1,generator!$B$2:$B$295,generator!$Q$2:$Q$295,"ARGH")</f>
        <v>9000</v>
      </c>
      <c r="I49" s="3">
        <f>_xlfn.XLOOKUP(I$1,generator!$B$2:$B$295,generator!$Q$2:$Q$295,"ARGH")</f>
        <v>9000</v>
      </c>
      <c r="J49" s="3">
        <f>_xlfn.XLOOKUP(J$1,generator!$B$2:$B$295,generator!$Q$2:$Q$295,"ARGH")</f>
        <v>9000</v>
      </c>
      <c r="K49" s="3">
        <f>_xlfn.XLOOKUP(K$1,generator!$B$2:$B$295,generator!$Q$2:$Q$295,"ARGH")</f>
        <v>9000</v>
      </c>
      <c r="L49" s="3">
        <f>_xlfn.XLOOKUP(L$1,generator!$B$2:$B$295,generator!$Q$2:$Q$295,"ARGH")</f>
        <v>9000</v>
      </c>
      <c r="M49" s="3">
        <f>_xlfn.XLOOKUP(M$1,generator!$B$2:$B$295,generator!$Q$2:$Q$295,"ARGH")</f>
        <v>9000</v>
      </c>
      <c r="N49" s="3">
        <f>_xlfn.XLOOKUP(N$1,generator!$B$2:$B$295,generator!$Q$2:$Q$295,"ARGH")</f>
        <v>9000</v>
      </c>
      <c r="O49" s="3">
        <f>_xlfn.XLOOKUP(O$1,generator!$B$2:$B$295,generator!$Q$2:$Q$295,"ARGH")</f>
        <v>9000</v>
      </c>
      <c r="P49" s="3">
        <f>_xlfn.XLOOKUP(P$1,generator!$B$2:$B$295,generator!$Q$2:$Q$295,"ARGH")</f>
        <v>9000</v>
      </c>
      <c r="Q49" s="3">
        <f>_xlfn.XLOOKUP(Q$1,generator!$B$2:$B$295,generator!$Q$2:$Q$295,"ARGH")</f>
        <v>9000</v>
      </c>
      <c r="R49" s="3">
        <f>_xlfn.XLOOKUP(R$1,generator!$B$2:$B$295,generator!$Q$2:$Q$295,"ARGH")</f>
        <v>9000</v>
      </c>
      <c r="S49" s="3">
        <f>_xlfn.XLOOKUP(S$1,generator!$B$2:$B$295,generator!$Q$2:$Q$295,"ARGH")</f>
        <v>9000</v>
      </c>
      <c r="T49" s="3">
        <f>_xlfn.XLOOKUP(T$1,generator!$B$2:$B$295,generator!$Q$2:$Q$295,"ARGH")</f>
        <v>9000</v>
      </c>
      <c r="U49" s="3">
        <f>_xlfn.XLOOKUP(U$1,generator!$B$2:$B$295,generator!$Q$2:$Q$295,"ARGH")</f>
        <v>9000</v>
      </c>
      <c r="V49" s="3">
        <f>_xlfn.XLOOKUP(V$1,generator!$B$2:$B$295,generator!$Q$2:$Q$295,"ARGH")</f>
        <v>9000</v>
      </c>
      <c r="W49" s="3">
        <f>_xlfn.XLOOKUP(W$1,generator!$B$2:$B$295,generator!$Q$2:$Q$295,"ARGH")</f>
        <v>9000</v>
      </c>
      <c r="X49" s="3">
        <f>_xlfn.XLOOKUP(X$1,generator!$B$2:$B$295,generator!$Q$2:$Q$295,"ARGH")</f>
        <v>9000</v>
      </c>
      <c r="Y49" s="3">
        <f>_xlfn.XLOOKUP(Y$1,generator!$B$2:$B$295,generator!$Q$2:$Q$295,"ARGH")</f>
        <v>9000</v>
      </c>
      <c r="Z49" s="3">
        <f>_xlfn.XLOOKUP(Z$1,generator!$B$2:$B$295,generator!$Q$2:$Q$295,"ARGH")</f>
        <v>9000</v>
      </c>
      <c r="AA49" s="3">
        <f>_xlfn.XLOOKUP(AA$1,generator!$B$2:$B$295,generator!$Q$2:$Q$295,"ARGH")</f>
        <v>9000</v>
      </c>
      <c r="AB49" s="3">
        <f>_xlfn.XLOOKUP(AB$1,generator!$B$2:$B$295,generator!$Q$2:$Q$295,"ARGH")</f>
        <v>9000</v>
      </c>
      <c r="AC49" s="3">
        <f>_xlfn.XLOOKUP(AC$1,generator!$B$2:$B$295,generator!$Q$2:$Q$295,"ARGH")</f>
        <v>9000</v>
      </c>
      <c r="AD49" s="3">
        <f>_xlfn.XLOOKUP(AD$1,generator!$B$2:$B$295,generator!$Q$2:$Q$295,"ARGH")</f>
        <v>9000</v>
      </c>
      <c r="AE49" s="3">
        <f>_xlfn.XLOOKUP(AE$1,generator!$B$2:$B$295,generator!$Q$2:$Q$295,"ARGH")</f>
        <v>9000</v>
      </c>
      <c r="AF49" s="3">
        <f>_xlfn.XLOOKUP(AF$1,generator!$B$2:$B$295,generator!$Q$2:$Q$295,"ARGH")</f>
        <v>9000</v>
      </c>
      <c r="AG49" s="3">
        <f>_xlfn.XLOOKUP(AG$1,generator!$B$2:$B$295,generator!$Q$2:$Q$295,"ARGH")</f>
        <v>9000</v>
      </c>
      <c r="AH49" s="3">
        <f>_xlfn.XLOOKUP(AH$1,generator!$B$2:$B$295,generator!$Q$2:$Q$295,"ARGH")</f>
        <v>9000</v>
      </c>
      <c r="AI49" s="3">
        <f>_xlfn.XLOOKUP(AI$1,generator!$B$2:$B$295,generator!$Q$2:$Q$295,"ARGH")</f>
        <v>9000</v>
      </c>
      <c r="AJ49" s="3">
        <f>_xlfn.XLOOKUP(AJ$1,generator!$B$2:$B$295,generator!$Q$2:$Q$295,"ARGH")</f>
        <v>9000</v>
      </c>
      <c r="AK49" s="3">
        <f>_xlfn.XLOOKUP(AK$1,generator!$B$2:$B$295,generator!$Q$2:$Q$295,"ARGH")</f>
        <v>9000</v>
      </c>
      <c r="AL49" s="3">
        <f>_xlfn.XLOOKUP(AL$1,generator!$B$2:$B$295,generator!$Q$2:$Q$295,"ARGH")</f>
        <v>9000</v>
      </c>
      <c r="AM49" s="3">
        <f>_xlfn.XLOOKUP(AM$1,generator!$B$2:$B$295,generator!$Q$2:$Q$295,"ARGH")</f>
        <v>9000</v>
      </c>
      <c r="AN49" s="3">
        <f>_xlfn.XLOOKUP(AN$1,generator!$B$2:$B$295,generator!$Q$2:$Q$295,"ARGH")</f>
        <v>9000</v>
      </c>
      <c r="AO49" s="3">
        <f>_xlfn.XLOOKUP(AO$1,generator!$B$2:$B$295,generator!$Q$2:$Q$295,"ARGH")</f>
        <v>9000</v>
      </c>
      <c r="AP49" s="3">
        <f>_xlfn.XLOOKUP(AP$1,generator!$B$2:$B$295,generator!$Q$2:$Q$295,"ARGH")</f>
        <v>9000</v>
      </c>
      <c r="AQ49" s="3">
        <f>_xlfn.XLOOKUP(AQ$1,generator!$B$2:$B$295,generator!$Q$2:$Q$295,"ARGH")</f>
        <v>9000</v>
      </c>
      <c r="AR49" s="3">
        <f>_xlfn.XLOOKUP(AR$1,generator!$B$2:$B$295,generator!$Q$2:$Q$295,"ARGH")</f>
        <v>9000</v>
      </c>
      <c r="AS49" s="3">
        <f>_xlfn.XLOOKUP(AS$1,generator!$B$2:$B$295,generator!$Q$2:$Q$295,"ARGH")</f>
        <v>9000</v>
      </c>
      <c r="AT49" s="3">
        <f>_xlfn.XLOOKUP(AT$1,generator!$B$2:$B$295,generator!$Q$2:$Q$295,"ARGH")</f>
        <v>9000</v>
      </c>
      <c r="AU49" s="3">
        <f>_xlfn.XLOOKUP(AU$1,generator!$B$2:$B$295,generator!$Q$2:$Q$295,"ARGH")</f>
        <v>9000</v>
      </c>
      <c r="AV49" s="3">
        <f>_xlfn.XLOOKUP(AV$1,generator!$B$2:$B$295,generator!$Q$2:$Q$295,"ARGH")</f>
        <v>9000</v>
      </c>
      <c r="AW49" s="3">
        <f>_xlfn.XLOOKUP(AW$1,generator!$B$2:$B$295,generator!$Q$2:$Q$295,"ARGH")</f>
        <v>9000</v>
      </c>
      <c r="AX49" s="3">
        <f>_xlfn.XLOOKUP(AX$1,generator!$B$2:$B$295,generator!$Q$2:$Q$295,"ARGH")</f>
        <v>9000</v>
      </c>
      <c r="AY49" s="3">
        <f>_xlfn.XLOOKUP(AY$1,generator!$B$2:$B$295,generator!$Q$2:$Q$295,"ARGH")</f>
        <v>9000</v>
      </c>
      <c r="AZ49" s="3">
        <f>_xlfn.XLOOKUP(AZ$1,generator!$B$2:$B$295,generator!$Q$2:$Q$295,"ARGH")</f>
        <v>9000</v>
      </c>
      <c r="BA49" s="3">
        <f>_xlfn.XLOOKUP(BA$1,generator!$B$2:$B$295,generator!$Q$2:$Q$295,"ARGH")</f>
        <v>9000</v>
      </c>
      <c r="BB49" s="3">
        <f>_xlfn.XLOOKUP(BB$1,generator!$B$2:$B$295,generator!$Q$2:$Q$295,"ARGH")</f>
        <v>9000</v>
      </c>
      <c r="BC49" s="3">
        <f>_xlfn.XLOOKUP(BC$1,generator!$B$2:$B$295,generator!$Q$2:$Q$295,"ARGH")</f>
        <v>9000</v>
      </c>
      <c r="BD49" s="3">
        <f>_xlfn.XLOOKUP(BD$1,generator!$B$2:$B$295,generator!$Q$2:$Q$295,"ARGH")</f>
        <v>9000</v>
      </c>
      <c r="BE49" s="3">
        <f>_xlfn.XLOOKUP(BE$1,generator!$B$2:$B$295,generator!$Q$2:$Q$295,"ARGH")</f>
        <v>9000</v>
      </c>
      <c r="BF49" s="3">
        <f>_xlfn.XLOOKUP(BF$1,generator!$B$2:$B$295,generator!$Q$2:$Q$295,"ARGH")</f>
        <v>9000</v>
      </c>
      <c r="BG49" s="3">
        <f>_xlfn.XLOOKUP(BG$1,generator!$B$2:$B$295,generator!$Q$2:$Q$295,"ARGH")</f>
        <v>9000</v>
      </c>
      <c r="BH49" s="3">
        <f>_xlfn.XLOOKUP(BH$1,generator!$B$2:$B$295,generator!$Q$2:$Q$295,"ARGH")</f>
        <v>9000</v>
      </c>
      <c r="BI49" s="3">
        <f>_xlfn.XLOOKUP(BI$1,generator!$B$2:$B$295,generator!$Q$2:$Q$295,"ARGH")</f>
        <v>9000</v>
      </c>
      <c r="BJ49" s="3">
        <f>_xlfn.XLOOKUP(BJ$1,generator!$B$2:$B$295,generator!$Q$2:$Q$295,"ARGH")</f>
        <v>9000</v>
      </c>
      <c r="BK49" s="3">
        <f>_xlfn.XLOOKUP(BK$1,generator!$B$2:$B$295,generator!$Q$2:$Q$295,"ARGH")</f>
        <v>9000</v>
      </c>
      <c r="BL49" s="3">
        <f>_xlfn.XLOOKUP(BL$1,generator!$B$2:$B$295,generator!$Q$2:$Q$295,"ARGH")</f>
        <v>9000</v>
      </c>
      <c r="BM49" s="3">
        <f>_xlfn.XLOOKUP(BM$1,generator!$B$2:$B$295,generator!$Q$2:$Q$295,"ARGH")</f>
        <v>9000</v>
      </c>
      <c r="BN49" s="3">
        <f>_xlfn.XLOOKUP(BN$1,generator!$B$2:$B$295,generator!$Q$2:$Q$295,"ARGH")</f>
        <v>9000</v>
      </c>
      <c r="BO49" s="3">
        <f>_xlfn.XLOOKUP(BO$1,generator!$B$2:$B$295,generator!$Q$2:$Q$295,"ARGH")</f>
        <v>9000</v>
      </c>
      <c r="BP49" s="3">
        <f>_xlfn.XLOOKUP(BP$1,generator!$B$2:$B$295,generator!$Q$2:$Q$295,"ARGH")</f>
        <v>9000</v>
      </c>
      <c r="BQ49" s="3">
        <f>_xlfn.XLOOKUP(BQ$1,generator!$B$2:$B$295,generator!$Q$2:$Q$295,"ARGH")</f>
        <v>9000</v>
      </c>
      <c r="BR49" s="3">
        <f>_xlfn.XLOOKUP(BR$1,generator!$B$2:$B$295,generator!$Q$2:$Q$295,"ARGH")</f>
        <v>9000</v>
      </c>
      <c r="BS49" s="3">
        <f>_xlfn.XLOOKUP(BS$1,generator!$B$2:$B$295,generator!$Q$2:$Q$295,"ARGH")</f>
        <v>9000</v>
      </c>
      <c r="BT49" s="3">
        <f>_xlfn.XLOOKUP(BT$1,generator!$B$2:$B$295,generator!$Q$2:$Q$295,"ARGH")</f>
        <v>9000</v>
      </c>
      <c r="BU49" s="3">
        <f>_xlfn.XLOOKUP(BU$1,generator!$B$2:$B$295,generator!$Q$2:$Q$295,"ARGH")</f>
        <v>9000</v>
      </c>
      <c r="BV49" s="3">
        <f>_xlfn.XLOOKUP(BV$1,generator!$B$2:$B$295,generator!$Q$2:$Q$295,"ARGH")</f>
        <v>9000</v>
      </c>
      <c r="BW49" s="3">
        <f>_xlfn.XLOOKUP(BW$1,generator!$B$2:$B$295,generator!$Q$2:$Q$295,"ARGH")</f>
        <v>9000</v>
      </c>
      <c r="BX49" s="3">
        <f>_xlfn.XLOOKUP(BX$1,generator!$B$2:$B$295,generator!$Q$2:$Q$295,"ARGH")</f>
        <v>9000</v>
      </c>
      <c r="BY49" s="3">
        <f>_xlfn.XLOOKUP(BY$1,generator!$B$2:$B$295,generator!$Q$2:$Q$295,"ARGH")</f>
        <v>9000</v>
      </c>
      <c r="BZ49" s="3">
        <f>_xlfn.XLOOKUP(BZ$1,generator!$B$2:$B$295,generator!$Q$2:$Q$295,"ARGH")</f>
        <v>9000</v>
      </c>
      <c r="CA49" s="3">
        <f>_xlfn.XLOOKUP(CA$1,generator!$B$2:$B$295,generator!$Q$2:$Q$295,"ARGH")</f>
        <v>9000</v>
      </c>
      <c r="CB49" s="3">
        <f>_xlfn.XLOOKUP(CB$1,generator!$B$2:$B$295,generator!$Q$2:$Q$295,"ARGH")</f>
        <v>9000</v>
      </c>
      <c r="CC49" s="3">
        <f>_xlfn.XLOOKUP(CC$1,generator!$B$2:$B$295,generator!$Q$2:$Q$295,"ARGH")</f>
        <v>9000</v>
      </c>
      <c r="CD49" s="3">
        <f>_xlfn.XLOOKUP(CD$1,generator!$B$2:$B$295,generator!$Q$2:$Q$295,"ARGH")</f>
        <v>9000</v>
      </c>
      <c r="CE49" s="3">
        <f>_xlfn.XLOOKUP(CE$1,generator!$B$2:$B$295,generator!$Q$2:$Q$295,"ARGH")</f>
        <v>9000</v>
      </c>
      <c r="CF49" s="3">
        <f>_xlfn.XLOOKUP(CF$1,generator!$B$2:$B$295,generator!$Q$2:$Q$295,"ARGH")</f>
        <v>9000</v>
      </c>
      <c r="CG49" s="3">
        <f>_xlfn.XLOOKUP(CG$1,generator!$B$2:$B$295,generator!$Q$2:$Q$295,"ARGH")</f>
        <v>9000</v>
      </c>
      <c r="CH49" s="3">
        <f>_xlfn.XLOOKUP(CH$1,generator!$B$2:$B$295,generator!$Q$2:$Q$295,"ARGH")</f>
        <v>9000</v>
      </c>
      <c r="CI49" s="3">
        <f>_xlfn.XLOOKUP(CI$1,generator!$B$2:$B$295,generator!$Q$2:$Q$295,"ARGH")</f>
        <v>9000</v>
      </c>
      <c r="CJ49" s="3">
        <f>_xlfn.XLOOKUP(CJ$1,generator!$B$2:$B$295,generator!$Q$2:$Q$295,"ARGH")</f>
        <v>9000</v>
      </c>
      <c r="CK49" s="3">
        <f>_xlfn.XLOOKUP(CK$1,generator!$B$2:$B$295,generator!$Q$2:$Q$295,"ARGH")</f>
        <v>9000</v>
      </c>
      <c r="CL49" s="3">
        <f>_xlfn.XLOOKUP(CL$1,generator!$B$2:$B$295,generator!$Q$2:$Q$295,"ARGH")</f>
        <v>9000</v>
      </c>
      <c r="CM49" s="3">
        <f>_xlfn.XLOOKUP(CM$1,generator!$B$2:$B$295,generator!$Q$2:$Q$295,"ARGH")</f>
        <v>9000</v>
      </c>
      <c r="CN49" s="3">
        <f>_xlfn.XLOOKUP(CN$1,generator!$B$2:$B$295,generator!$Q$2:$Q$295,"ARGH")</f>
        <v>9000</v>
      </c>
      <c r="CO49" s="3">
        <f>_xlfn.XLOOKUP(CO$1,generator!$B$2:$B$295,generator!$Q$2:$Q$295,"ARGH")</f>
        <v>9000</v>
      </c>
      <c r="CP49" s="3">
        <f>_xlfn.XLOOKUP(CP$1,generator!$B$2:$B$295,generator!$Q$2:$Q$295,"ARGH")</f>
        <v>9000</v>
      </c>
      <c r="CQ49" s="3">
        <f>_xlfn.XLOOKUP(CQ$1,generator!$B$2:$B$295,generator!$Q$2:$Q$295,"ARGH")</f>
        <v>9000</v>
      </c>
      <c r="CR49" s="3">
        <f>_xlfn.XLOOKUP(CR$1,generator!$B$2:$B$295,generator!$Q$2:$Q$295,"ARGH")</f>
        <v>9000</v>
      </c>
      <c r="CS49" s="3">
        <f>_xlfn.XLOOKUP(CS$1,generator!$B$2:$B$295,generator!$Q$2:$Q$295,"ARGH")</f>
        <v>9000</v>
      </c>
      <c r="CT49" s="3">
        <f>_xlfn.XLOOKUP(CT$1,generator!$B$2:$B$295,generator!$Q$2:$Q$295,"ARGH")</f>
        <v>9000</v>
      </c>
      <c r="CU49" s="3">
        <f>_xlfn.XLOOKUP(CU$1,generator!$B$2:$B$295,generator!$Q$2:$Q$295,"ARGH")</f>
        <v>9000</v>
      </c>
      <c r="CV49" s="3">
        <f>_xlfn.XLOOKUP(CV$1,generator!$B$2:$B$295,generator!$Q$2:$Q$295,"ARGH")</f>
        <v>9000</v>
      </c>
      <c r="CW49" s="3">
        <f>_xlfn.XLOOKUP(CW$1,generator!$B$2:$B$295,generator!$Q$2:$Q$295,"ARGH")</f>
        <v>9000</v>
      </c>
      <c r="CX49" s="3">
        <f>_xlfn.XLOOKUP(CX$1,generator!$B$2:$B$295,generator!$Q$2:$Q$295,"ARGH")</f>
        <v>9000</v>
      </c>
      <c r="CY49" s="3">
        <f>_xlfn.XLOOKUP(CY$1,generator!$B$2:$B$295,generator!$Q$2:$Q$295,"ARGH")</f>
        <v>9000</v>
      </c>
      <c r="CZ49" s="3">
        <f>_xlfn.XLOOKUP(CZ$1,generator!$B$2:$B$295,generator!$Q$2:$Q$295,"ARGH")</f>
        <v>9000</v>
      </c>
      <c r="DA49" s="3">
        <f>_xlfn.XLOOKUP(DA$1,generator!$B$2:$B$295,generator!$Q$2:$Q$295,"ARGH")</f>
        <v>9000</v>
      </c>
      <c r="DB49" s="3">
        <f>_xlfn.XLOOKUP(DB$1,generator!$B$2:$B$295,generator!$Q$2:$Q$295,"ARGH")</f>
        <v>9000</v>
      </c>
      <c r="DC49" s="3">
        <f>_xlfn.XLOOKUP(DC$1,generator!$B$2:$B$295,generator!$Q$2:$Q$295,"ARGH")</f>
        <v>9000</v>
      </c>
      <c r="DD49" s="3">
        <f>_xlfn.XLOOKUP(DD$1,generator!$B$2:$B$295,generator!$Q$2:$Q$295,"ARGH")</f>
        <v>9000</v>
      </c>
      <c r="DE49" s="3">
        <f>_xlfn.XLOOKUP(DE$1,generator!$B$2:$B$295,generator!$Q$2:$Q$295,"ARGH")</f>
        <v>9000</v>
      </c>
      <c r="DF49" s="3">
        <f>_xlfn.XLOOKUP(DF$1,generator!$B$2:$B$295,generator!$Q$2:$Q$295,"ARGH")</f>
        <v>9000</v>
      </c>
      <c r="DG49" s="3">
        <f>_xlfn.XLOOKUP(DG$1,generator!$B$2:$B$295,generator!$Q$2:$Q$295,"ARGH")</f>
        <v>9000</v>
      </c>
      <c r="DH49" s="3">
        <f>_xlfn.XLOOKUP(DH$1,generator!$B$2:$B$295,generator!$Q$2:$Q$295,"ARGH")</f>
        <v>9000</v>
      </c>
      <c r="DI49" s="3">
        <f>_xlfn.XLOOKUP(DI$1,generator!$B$2:$B$295,generator!$Q$2:$Q$295,"ARGH")</f>
        <v>9000</v>
      </c>
      <c r="DJ49" s="3">
        <f>_xlfn.XLOOKUP(DJ$1,generator!$B$2:$B$295,generator!$Q$2:$Q$295,"ARGH")</f>
        <v>9000</v>
      </c>
      <c r="DK49" s="3">
        <f>_xlfn.XLOOKUP(DK$1,generator!$B$2:$B$295,generator!$Q$2:$Q$295,"ARGH")</f>
        <v>9000</v>
      </c>
      <c r="DL49" s="3">
        <f>_xlfn.XLOOKUP(DL$1,generator!$B$2:$B$295,generator!$Q$2:$Q$295,"ARGH")</f>
        <v>9000</v>
      </c>
      <c r="DM49" s="3">
        <f>_xlfn.XLOOKUP(DM$1,generator!$B$2:$B$295,generator!$Q$2:$Q$295,"ARGH")</f>
        <v>9000</v>
      </c>
      <c r="DN49" s="3">
        <f>_xlfn.XLOOKUP(DN$1,generator!$B$2:$B$295,generator!$Q$2:$Q$295,"ARGH")</f>
        <v>9000</v>
      </c>
      <c r="DO49" s="3">
        <f>_xlfn.XLOOKUP(DO$1,generator!$B$2:$B$295,generator!$Q$2:$Q$295,"ARGH")</f>
        <v>9000</v>
      </c>
      <c r="DP49" s="3">
        <f>_xlfn.XLOOKUP(DP$1,generator!$B$2:$B$295,generator!$Q$2:$Q$295,"ARGH")</f>
        <v>9000</v>
      </c>
      <c r="DQ49" s="3">
        <f>_xlfn.XLOOKUP(DQ$1,generator!$B$2:$B$295,generator!$Q$2:$Q$295,"ARGH")</f>
        <v>9000</v>
      </c>
      <c r="DR49" s="3">
        <f>_xlfn.XLOOKUP(DR$1,generator!$B$2:$B$295,generator!$Q$2:$Q$295,"ARGH")</f>
        <v>9000</v>
      </c>
      <c r="DS49" s="3">
        <f>_xlfn.XLOOKUP(DS$1,generator!$B$2:$B$295,generator!$Q$2:$Q$295,"ARGH")</f>
        <v>9000</v>
      </c>
      <c r="DT49" s="3">
        <f>_xlfn.XLOOKUP(DT$1,generator!$B$2:$B$295,generator!$Q$2:$Q$295,"ARGH")</f>
        <v>9000</v>
      </c>
      <c r="DU49" s="3">
        <f>_xlfn.XLOOKUP(DU$1,generator!$B$2:$B$295,generator!$Q$2:$Q$295,"ARGH")</f>
        <v>9000</v>
      </c>
      <c r="DV49" s="3">
        <f>_xlfn.XLOOKUP(DV$1,generator!$B$2:$B$295,generator!$Q$2:$Q$295,"ARGH")</f>
        <v>9000</v>
      </c>
      <c r="DW49" s="3">
        <f>_xlfn.XLOOKUP(DW$1,generator!$B$2:$B$295,generator!$Q$2:$Q$295,"ARGH")</f>
        <v>9000</v>
      </c>
      <c r="DX49" s="3">
        <f>_xlfn.XLOOKUP(DX$1,generator!$B$2:$B$295,generator!$Q$2:$Q$295,"ARGH")</f>
        <v>9000</v>
      </c>
      <c r="DY49" s="3">
        <f>_xlfn.XLOOKUP(DY$1,generator!$B$2:$B$295,generator!$Q$2:$Q$295,"ARGH")</f>
        <v>9000</v>
      </c>
      <c r="DZ49" s="3">
        <f>_xlfn.XLOOKUP(DZ$1,generator!$B$2:$B$295,generator!$Q$2:$Q$295,"ARGH")</f>
        <v>9000</v>
      </c>
      <c r="EA49" s="3">
        <f>_xlfn.XLOOKUP(EA$1,generator!$B$2:$B$295,generator!$Q$2:$Q$295,"ARGH")</f>
        <v>9000</v>
      </c>
      <c r="EB49" s="3">
        <f>_xlfn.XLOOKUP(EB$1,generator!$B$2:$B$295,generator!$Q$2:$Q$295,"ARGH")</f>
        <v>9000</v>
      </c>
      <c r="EC49" s="3">
        <f>_xlfn.XLOOKUP(EC$1,generator!$B$2:$B$295,generator!$Q$2:$Q$295,"ARGH")</f>
        <v>9000</v>
      </c>
      <c r="ED49" s="3">
        <f>_xlfn.XLOOKUP(ED$1,generator!$B$2:$B$295,generator!$Q$2:$Q$295,"ARGH")</f>
        <v>9000</v>
      </c>
      <c r="EE49" s="3">
        <f>_xlfn.XLOOKUP(EE$1,generator!$B$2:$B$295,generator!$Q$2:$Q$295,"ARGH")</f>
        <v>9000</v>
      </c>
      <c r="EF49" s="3">
        <f>_xlfn.XLOOKUP(EF$1,generator!$B$2:$B$295,generator!$Q$2:$Q$295,"ARGH")</f>
        <v>9000</v>
      </c>
      <c r="EG49" s="3">
        <f>_xlfn.XLOOKUP(EG$1,generator!$B$2:$B$295,generator!$Q$2:$Q$295,"ARGH")</f>
        <v>9000</v>
      </c>
      <c r="EH49" s="3">
        <f>_xlfn.XLOOKUP(EH$1,generator!$B$2:$B$295,generator!$Q$2:$Q$295,"ARGH")</f>
        <v>9000</v>
      </c>
      <c r="EI49" s="3">
        <f>_xlfn.XLOOKUP(EI$1,generator!$B$2:$B$295,generator!$Q$2:$Q$295,"ARGH")</f>
        <v>9000</v>
      </c>
      <c r="EJ49" s="3">
        <f>_xlfn.XLOOKUP(EJ$1,generator!$B$2:$B$295,generator!$Q$2:$Q$295,"ARGH")</f>
        <v>9000</v>
      </c>
      <c r="EK49" s="3">
        <f>_xlfn.XLOOKUP(EK$1,generator!$B$2:$B$295,generator!$Q$2:$Q$295,"ARGH")</f>
        <v>9000</v>
      </c>
      <c r="EL49" s="3">
        <f>_xlfn.XLOOKUP(EL$1,generator!$B$2:$B$295,generator!$Q$2:$Q$295,"ARGH")</f>
        <v>9000</v>
      </c>
      <c r="EM49" s="3">
        <f>_xlfn.XLOOKUP(EM$1,generator!$B$2:$B$295,generator!$Q$2:$Q$295,"ARGH")</f>
        <v>9000</v>
      </c>
      <c r="EN49" s="3">
        <f>_xlfn.XLOOKUP(EN$1,generator!$B$2:$B$295,generator!$Q$2:$Q$295,"ARGH")</f>
        <v>9000</v>
      </c>
      <c r="EO49" s="3">
        <f>_xlfn.XLOOKUP(EO$1,generator!$B$2:$B$295,generator!$Q$2:$Q$295,"ARGH")</f>
        <v>9000</v>
      </c>
      <c r="EP49" s="3">
        <f>_xlfn.XLOOKUP(EP$1,generator!$B$2:$B$295,generator!$Q$2:$Q$295,"ARGH")</f>
        <v>9000</v>
      </c>
      <c r="EQ49" s="3">
        <f>_xlfn.XLOOKUP(EQ$1,generator!$B$2:$B$295,generator!$Q$2:$Q$295,"ARGH")</f>
        <v>9000</v>
      </c>
      <c r="ER49" s="3">
        <f>_xlfn.XLOOKUP(ER$1,generator!$B$2:$B$295,generator!$Q$2:$Q$295,"ARGH")</f>
        <v>9000</v>
      </c>
      <c r="ES49" s="3">
        <f>_xlfn.XLOOKUP(ES$1,generator!$B$2:$B$295,generator!$Q$2:$Q$295,"ARGH")</f>
        <v>9000</v>
      </c>
      <c r="ET49" s="3">
        <f>_xlfn.XLOOKUP(ET$1,generator!$B$2:$B$295,generator!$Q$2:$Q$295,"ARGH")</f>
        <v>9000</v>
      </c>
      <c r="EU49" s="3">
        <f>_xlfn.XLOOKUP(EU$1,generator!$B$2:$B$295,generator!$Q$2:$Q$295,"ARGH")</f>
        <v>9000</v>
      </c>
      <c r="EV49" s="3">
        <f>_xlfn.XLOOKUP(EV$1,generator!$B$2:$B$295,generator!$Q$2:$Q$295,"ARGH")</f>
        <v>9000</v>
      </c>
      <c r="EW49" s="3">
        <f>_xlfn.XLOOKUP(EW$1,generator!$B$2:$B$295,generator!$Q$2:$Q$295,"ARGH")</f>
        <v>9000</v>
      </c>
      <c r="EX49" s="3">
        <f>_xlfn.XLOOKUP(EX$1,generator!$B$2:$B$295,generator!$Q$2:$Q$295,"ARGH")</f>
        <v>9000</v>
      </c>
      <c r="EY49" s="3">
        <f>_xlfn.XLOOKUP(EY$1,generator!$B$2:$B$295,generator!$Q$2:$Q$295,"ARGH")</f>
        <v>9000</v>
      </c>
      <c r="EZ49" s="3">
        <f>_xlfn.XLOOKUP(EZ$1,generator!$B$2:$B$295,generator!$Q$2:$Q$295,"ARGH")</f>
        <v>9000</v>
      </c>
      <c r="FA49" s="3">
        <f>_xlfn.XLOOKUP(FA$1,generator!$B$2:$B$295,generator!$Q$2:$Q$295,"ARGH")</f>
        <v>9000</v>
      </c>
      <c r="FB49" s="3">
        <f>_xlfn.XLOOKUP(FB$1,generator!$B$2:$B$295,generator!$Q$2:$Q$295,"ARGH")</f>
        <v>9000</v>
      </c>
      <c r="FC49" s="3">
        <f>_xlfn.XLOOKUP(FC$1,generator!$B$2:$B$295,generator!$Q$2:$Q$295,"ARGH")</f>
        <v>9000</v>
      </c>
      <c r="FD49" s="3">
        <f>_xlfn.XLOOKUP(FD$1,generator!$B$2:$B$295,generator!$Q$2:$Q$295,"ARGH")</f>
        <v>9000</v>
      </c>
      <c r="FE49" s="3">
        <f>_xlfn.XLOOKUP(FE$1,generator!$B$2:$B$295,generator!$Q$2:$Q$295,"ARGH")</f>
        <v>9000</v>
      </c>
      <c r="FF49" s="3">
        <f>_xlfn.XLOOKUP(FF$1,generator!$B$2:$B$295,generator!$Q$2:$Q$295,"ARGH")</f>
        <v>9000</v>
      </c>
      <c r="FG49" s="3">
        <f>_xlfn.XLOOKUP(FG$1,generator!$B$2:$B$295,generator!$Q$2:$Q$295,"ARGH")</f>
        <v>9000</v>
      </c>
      <c r="FH49" s="3">
        <f>_xlfn.XLOOKUP(FH$1,generator!$B$2:$B$295,generator!$Q$2:$Q$295,"ARGH")</f>
        <v>9000</v>
      </c>
      <c r="FI49" s="3">
        <f>_xlfn.XLOOKUP(FI$1,generator!$B$2:$B$295,generator!$Q$2:$Q$295,"ARGH")</f>
        <v>9000</v>
      </c>
      <c r="FJ49" s="3">
        <f>_xlfn.XLOOKUP(FJ$1,generator!$B$2:$B$295,generator!$Q$2:$Q$295,"ARGH")</f>
        <v>9000</v>
      </c>
      <c r="FK49" s="3">
        <f>_xlfn.XLOOKUP(FK$1,generator!$B$2:$B$295,generator!$Q$2:$Q$295,"ARGH")</f>
        <v>9000</v>
      </c>
      <c r="FL49" s="3">
        <f>_xlfn.XLOOKUP(FL$1,generator!$B$2:$B$295,generator!$Q$2:$Q$295,"ARGH")</f>
        <v>9000</v>
      </c>
      <c r="FM49" s="3">
        <f>_xlfn.XLOOKUP(FM$1,generator!$B$2:$B$295,generator!$Q$2:$Q$295,"ARGH")</f>
        <v>9000</v>
      </c>
      <c r="FN49" s="3">
        <f>_xlfn.XLOOKUP(FN$1,generator!$B$2:$B$295,generator!$Q$2:$Q$295,"ARGH")</f>
        <v>9000</v>
      </c>
      <c r="FO49" s="3">
        <f>_xlfn.XLOOKUP(FO$1,generator!$B$2:$B$295,generator!$Q$2:$Q$295,"ARGH")</f>
        <v>9000</v>
      </c>
      <c r="FP49" s="3">
        <f>_xlfn.XLOOKUP(FP$1,generator!$B$2:$B$295,generator!$Q$2:$Q$295,"ARGH")</f>
        <v>9000</v>
      </c>
      <c r="FQ49" s="3">
        <f>_xlfn.XLOOKUP(FQ$1,generator!$B$2:$B$295,generator!$Q$2:$Q$295,"ARGH")</f>
        <v>9000</v>
      </c>
      <c r="FR49" s="3">
        <f>_xlfn.XLOOKUP(FR$1,generator!$B$2:$B$295,generator!$Q$2:$Q$295,"ARGH")</f>
        <v>9000</v>
      </c>
      <c r="FS49" s="3">
        <f>_xlfn.XLOOKUP(FS$1,generator!$B$2:$B$295,generator!$Q$2:$Q$295,"ARGH")</f>
        <v>9000</v>
      </c>
      <c r="FT49" s="3">
        <f>_xlfn.XLOOKUP(FT$1,generator!$B$2:$B$295,generator!$Q$2:$Q$295,"ARGH")</f>
        <v>9000</v>
      </c>
      <c r="FU49" s="3">
        <f>_xlfn.XLOOKUP(FU$1,generator!$B$2:$B$295,generator!$Q$2:$Q$295,"ARGH")</f>
        <v>9000</v>
      </c>
      <c r="FV49" s="3">
        <f>_xlfn.XLOOKUP(FV$1,generator!$B$2:$B$295,generator!$Q$2:$Q$295,"ARGH")</f>
        <v>9000</v>
      </c>
      <c r="FW49" s="3">
        <f>_xlfn.XLOOKUP(FW$1,generator!$B$2:$B$295,generator!$Q$2:$Q$295,"ARGH")</f>
        <v>9000</v>
      </c>
      <c r="FX49" s="3">
        <f>_xlfn.XLOOKUP(FX$1,generator!$B$2:$B$295,generator!$Q$2:$Q$295,"ARGH")</f>
        <v>9000</v>
      </c>
      <c r="FY49" s="3">
        <f>_xlfn.XLOOKUP(FY$1,generator!$B$2:$B$295,generator!$Q$2:$Q$295,"ARGH")</f>
        <v>9000</v>
      </c>
      <c r="FZ49" s="3">
        <f>_xlfn.XLOOKUP(FZ$1,generator!$B$2:$B$295,generator!$Q$2:$Q$295,"ARGH")</f>
        <v>9000</v>
      </c>
      <c r="GA49" s="3">
        <f>_xlfn.XLOOKUP(GA$1,generator!$B$2:$B$295,generator!$Q$2:$Q$295,"ARGH")</f>
        <v>9000</v>
      </c>
      <c r="GB49" s="3">
        <f>_xlfn.XLOOKUP(GB$1,generator!$B$2:$B$295,generator!$Q$2:$Q$295,"ARGH")</f>
        <v>9000</v>
      </c>
      <c r="GC49" s="3">
        <f>_xlfn.XLOOKUP(GC$1,generator!$B$2:$B$295,generator!$Q$2:$Q$295,"ARGH")</f>
        <v>9000</v>
      </c>
      <c r="GD49" s="3">
        <f>_xlfn.XLOOKUP(GD$1,generator!$B$2:$B$295,generator!$Q$2:$Q$295,"ARGH")</f>
        <v>9000</v>
      </c>
      <c r="GE49" s="3">
        <f>_xlfn.XLOOKUP(GE$1,generator!$B$2:$B$295,generator!$Q$2:$Q$295,"ARGH")</f>
        <v>9000</v>
      </c>
      <c r="GF49" s="3">
        <f>_xlfn.XLOOKUP(GF$1,generator!$B$2:$B$295,generator!$Q$2:$Q$295,"ARGH")</f>
        <v>9000</v>
      </c>
      <c r="GG49" s="3">
        <f>_xlfn.XLOOKUP(GG$1,generator!$B$2:$B$295,generator!$Q$2:$Q$295,"ARGH")</f>
        <v>9000</v>
      </c>
      <c r="GH49" s="3">
        <f>_xlfn.XLOOKUP(GH$1,generator!$B$2:$B$295,generator!$Q$2:$Q$295,"ARGH")</f>
        <v>9000</v>
      </c>
      <c r="GI49" s="3">
        <f>_xlfn.XLOOKUP(GI$1,generator!$B$2:$B$295,generator!$Q$2:$Q$295,"ARGH")</f>
        <v>9000</v>
      </c>
      <c r="GJ49" s="3">
        <f>_xlfn.XLOOKUP(GJ$1,generator!$B$2:$B$295,generator!$Q$2:$Q$295,"ARGH")</f>
        <v>9000</v>
      </c>
      <c r="GK49" s="3">
        <f>_xlfn.XLOOKUP(GK$1,generator!$B$2:$B$295,generator!$Q$2:$Q$295,"ARGH")</f>
        <v>9000</v>
      </c>
      <c r="GL49" s="3">
        <f>_xlfn.XLOOKUP(GL$1,generator!$B$2:$B$295,generator!$Q$2:$Q$295,"ARGH")</f>
        <v>9000</v>
      </c>
      <c r="GM49" s="3">
        <f>_xlfn.XLOOKUP(GM$1,generator!$B$2:$B$295,generator!$Q$2:$Q$295,"ARGH")</f>
        <v>9000</v>
      </c>
      <c r="GN49" s="3">
        <f>_xlfn.XLOOKUP(GN$1,generator!$B$2:$B$295,generator!$Q$2:$Q$295,"ARGH")</f>
        <v>9000</v>
      </c>
      <c r="GO49" s="3">
        <f>_xlfn.XLOOKUP(GO$1,generator!$B$2:$B$295,generator!$Q$2:$Q$295,"ARGH")</f>
        <v>9000</v>
      </c>
      <c r="GP49" s="3">
        <f>_xlfn.XLOOKUP(GP$1,generator!$B$2:$B$295,generator!$Q$2:$Q$295,"ARGH")</f>
        <v>9000</v>
      </c>
      <c r="GQ49" s="3">
        <f>_xlfn.XLOOKUP(GQ$1,generator!$B$2:$B$295,generator!$Q$2:$Q$295,"ARGH")</f>
        <v>9000</v>
      </c>
      <c r="GR49" s="3">
        <f>_xlfn.XLOOKUP(GR$1,generator!$B$2:$B$295,generator!$Q$2:$Q$295,"ARGH")</f>
        <v>9000</v>
      </c>
      <c r="GS49" s="3">
        <f>_xlfn.XLOOKUP(GS$1,generator!$B$2:$B$295,generator!$Q$2:$Q$295,"ARGH")</f>
        <v>9000</v>
      </c>
      <c r="GT49" s="3">
        <f>_xlfn.XLOOKUP(GT$1,generator!$B$2:$B$295,generator!$Q$2:$Q$295,"ARGH")</f>
        <v>9000</v>
      </c>
      <c r="GU49" s="3">
        <f>_xlfn.XLOOKUP(GU$1,generator!$B$2:$B$295,generator!$Q$2:$Q$295,"ARGH")</f>
        <v>9000</v>
      </c>
      <c r="GV49" s="3">
        <f>_xlfn.XLOOKUP(GV$1,generator!$B$2:$B$295,generator!$Q$2:$Q$295,"ARGH")</f>
        <v>9000</v>
      </c>
      <c r="GW49" s="3">
        <f>_xlfn.XLOOKUP(GW$1,generator!$B$2:$B$295,generator!$Q$2:$Q$295,"ARGH")</f>
        <v>9000</v>
      </c>
      <c r="GX49" s="3">
        <f>_xlfn.XLOOKUP(GX$1,generator!$B$2:$B$295,generator!$Q$2:$Q$295,"ARGH")</f>
        <v>9000</v>
      </c>
      <c r="GY49" s="3">
        <f>_xlfn.XLOOKUP(GY$1,generator!$B$2:$B$295,generator!$Q$2:$Q$295,"ARGH")</f>
        <v>9000</v>
      </c>
      <c r="GZ49" s="3">
        <f>_xlfn.XLOOKUP(GZ$1,generator!$B$2:$B$295,generator!$Q$2:$Q$295,"ARGH")</f>
        <v>9000</v>
      </c>
      <c r="HA49" s="3">
        <f>_xlfn.XLOOKUP(HA$1,generator!$B$2:$B$295,generator!$Q$2:$Q$295,"ARGH")</f>
        <v>9000</v>
      </c>
      <c r="HB49" s="3">
        <f>_xlfn.XLOOKUP(HB$1,generator!$B$2:$B$295,generator!$Q$2:$Q$295,"ARGH")</f>
        <v>9000</v>
      </c>
      <c r="HC49" s="3">
        <f>_xlfn.XLOOKUP(HC$1,generator!$B$2:$B$295,generator!$Q$2:$Q$295,"ARGH")</f>
        <v>9000</v>
      </c>
      <c r="HD49" s="3">
        <f>_xlfn.XLOOKUP(HD$1,generator!$B$2:$B$295,generator!$Q$2:$Q$295,"ARGH")</f>
        <v>9000</v>
      </c>
      <c r="HE49" s="3">
        <f>_xlfn.XLOOKUP(HE$1,generator!$B$2:$B$295,generator!$Q$2:$Q$295,"ARGH")</f>
        <v>8000</v>
      </c>
      <c r="HF49" s="3" t="str">
        <f>_xlfn.XLOOKUP(HF$1,generator!$B$2:$B$295,generator!$Q$2:$Q$295,"ARGH")</f>
        <v>143</v>
      </c>
      <c r="HG49" s="3" t="str">
        <f>_xlfn.XLOOKUP(HG$1,generator!$B$2:$B$295,generator!$Q$2:$Q$295,"ARGH")</f>
        <v>143</v>
      </c>
      <c r="HH49" s="3" t="str">
        <f>_xlfn.XLOOKUP(HH$1,generator!$B$2:$B$295,generator!$Q$2:$Q$295,"ARGH")</f>
        <v>143</v>
      </c>
      <c r="HI49" s="3" t="str">
        <f>_xlfn.XLOOKUP(HI$1,generator!$B$2:$B$295,generator!$Q$2:$Q$295,"ARGH")</f>
        <v>246.74</v>
      </c>
      <c r="HJ49" s="3" t="str">
        <f>_xlfn.XLOOKUP(HJ$1,generator!$B$2:$B$295,generator!$Q$2:$Q$295,"ARGH")</f>
        <v>246.74</v>
      </c>
      <c r="HK49" s="3" t="str">
        <f>_xlfn.XLOOKUP(HK$1,generator!$B$2:$B$295,generator!$Q$2:$Q$295,"ARGH")</f>
        <v>206.04</v>
      </c>
      <c r="HL49" s="3" t="str">
        <f>_xlfn.XLOOKUP(HL$1,generator!$B$2:$B$295,generator!$Q$2:$Q$295,"ARGH")</f>
        <v>506.96</v>
      </c>
      <c r="HM49" s="3" t="str">
        <f>_xlfn.XLOOKUP(HM$1,generator!$B$2:$B$295,generator!$Q$2:$Q$295,"ARGH")</f>
        <v>506.95</v>
      </c>
      <c r="HN49" s="3" t="str">
        <f>_xlfn.XLOOKUP(HN$1,generator!$B$2:$B$295,generator!$Q$2:$Q$295,"ARGH")</f>
        <v>190.97</v>
      </c>
      <c r="HO49" s="3" t="str">
        <f>_xlfn.XLOOKUP(HO$1,generator!$B$2:$B$295,generator!$Q$2:$Q$295,"ARGH")</f>
        <v>190.97</v>
      </c>
      <c r="HP49" s="3" t="str">
        <f>_xlfn.XLOOKUP(HP$1,generator!$B$2:$B$295,generator!$Q$2:$Q$295,"ARGH")</f>
        <v>424.84</v>
      </c>
      <c r="HQ49" s="3" t="str">
        <f>_xlfn.XLOOKUP(HQ$1,generator!$B$2:$B$295,generator!$Q$2:$Q$295,"ARGH")</f>
        <v>425.9</v>
      </c>
      <c r="HR49" s="3" t="str">
        <f>_xlfn.XLOOKUP(HR$1,generator!$B$2:$B$295,generator!$Q$2:$Q$295,"ARGH")</f>
        <v>425.9</v>
      </c>
      <c r="HS49" s="3" t="str">
        <f>_xlfn.XLOOKUP(HS$1,generator!$B$2:$B$295,generator!$Q$2:$Q$295,"ARGH")</f>
        <v>196.54</v>
      </c>
      <c r="HT49" s="3" t="str">
        <f>_xlfn.XLOOKUP(HT$1,generator!$B$2:$B$295,generator!$Q$2:$Q$295,"ARGH")</f>
        <v>196.54</v>
      </c>
      <c r="HU49" s="3" t="str">
        <f>_xlfn.XLOOKUP(HU$1,generator!$B$2:$B$295,generator!$Q$2:$Q$295,"ARGH")</f>
        <v>145.57</v>
      </c>
      <c r="HV49" s="3" t="str">
        <f>_xlfn.XLOOKUP(HV$1,generator!$B$2:$B$295,generator!$Q$2:$Q$295,"ARGH")</f>
        <v>132.62</v>
      </c>
      <c r="HW49" s="3" t="str">
        <f>_xlfn.XLOOKUP(HW$1,generator!$B$2:$B$295,generator!$Q$2:$Q$295,"ARGH")</f>
        <v>193.76</v>
      </c>
      <c r="HX49" s="3" t="str">
        <f>_xlfn.XLOOKUP(HX$1,generator!$B$2:$B$295,generator!$Q$2:$Q$295,"ARGH")</f>
        <v>193.76</v>
      </c>
      <c r="HY49" s="3" t="str">
        <f>_xlfn.XLOOKUP(HY$1,generator!$B$2:$B$295,generator!$Q$2:$Q$295,"ARGH")</f>
        <v>79.19</v>
      </c>
      <c r="HZ49" s="3" t="str">
        <f>_xlfn.XLOOKUP(HZ$1,generator!$B$2:$B$295,generator!$Q$2:$Q$295,"ARGH")</f>
        <v>125.79</v>
      </c>
      <c r="IA49" s="3" t="str">
        <f>_xlfn.XLOOKUP(IA$1,generator!$B$2:$B$295,generator!$Q$2:$Q$295,"ARGH")</f>
        <v>54.19</v>
      </c>
      <c r="IB49" s="3" t="str">
        <f>_xlfn.XLOOKUP(IB$1,generator!$B$2:$B$295,generator!$Q$2:$Q$295,"ARGH")</f>
        <v>59.7</v>
      </c>
      <c r="IC49" s="3">
        <f>_xlfn.XLOOKUP(IC$1,generator!$B$2:$B$295,generator!$Q$2:$Q$295,"ARGH")</f>
        <v>0</v>
      </c>
      <c r="ID49" s="3" t="str">
        <f>_xlfn.XLOOKUP(ID$1,generator!$B$2:$B$295,generator!$Q$2:$Q$295,"ARGH")</f>
        <v>121.14</v>
      </c>
      <c r="IE49" s="3" t="str">
        <f>_xlfn.XLOOKUP(IE$1,generator!$B$2:$B$295,generator!$Q$2:$Q$295,"ARGH")</f>
        <v>26.6</v>
      </c>
      <c r="IF49" s="3">
        <f>_xlfn.XLOOKUP(IF$1,generator!$B$2:$B$295,generator!$Q$2:$Q$295,"ARGH")</f>
        <v>8000</v>
      </c>
      <c r="IG49" s="3">
        <f>_xlfn.XLOOKUP(IG$1,generator!$B$2:$B$295,generator!$Q$2:$Q$295,"ARGH")</f>
        <v>8000</v>
      </c>
      <c r="IH49" s="3">
        <f>_xlfn.XLOOKUP(IH$1,generator!$B$2:$B$295,generator!$Q$2:$Q$295,"ARGH")</f>
        <v>8000</v>
      </c>
      <c r="II49" s="3">
        <f>_xlfn.XLOOKUP(II$1,generator!$B$2:$B$295,generator!$Q$2:$Q$295,"ARGH")</f>
        <v>8000</v>
      </c>
      <c r="IJ49" s="3">
        <f>_xlfn.XLOOKUP(IJ$1,generator!$B$2:$B$295,generator!$Q$2:$Q$295,"ARGH")</f>
        <v>8000</v>
      </c>
      <c r="IK49" s="3">
        <f>_xlfn.XLOOKUP(IK$1,generator!$B$2:$B$295,generator!$Q$2:$Q$295,"ARGH")</f>
        <v>8000</v>
      </c>
      <c r="IL49" s="3">
        <f>_xlfn.XLOOKUP(IL$1,generator!$B$2:$B$295,generator!$Q$2:$Q$295,"ARGH")</f>
        <v>8000</v>
      </c>
      <c r="IM49" s="3">
        <f>_xlfn.XLOOKUP(IM$1,generator!$B$2:$B$295,generator!$Q$2:$Q$295,"ARGH")</f>
        <v>8000</v>
      </c>
      <c r="IN49" s="3">
        <f>_xlfn.XLOOKUP(IN$1,generator!$B$2:$B$295,generator!$Q$2:$Q$295,"ARGH")</f>
        <v>8000</v>
      </c>
      <c r="IO49" s="3">
        <f>_xlfn.XLOOKUP(IO$1,generator!$B$2:$B$295,generator!$Q$2:$Q$295,"ARGH")</f>
        <v>8000</v>
      </c>
      <c r="IP49" s="3">
        <f>_xlfn.XLOOKUP(IP$1,generator!$B$2:$B$295,generator!$Q$2:$Q$295,"ARGH")</f>
        <v>8000</v>
      </c>
      <c r="IQ49" s="3">
        <f>_xlfn.XLOOKUP(IQ$1,generator!$B$2:$B$295,generator!$Q$2:$Q$295,"ARGH")</f>
        <v>8000</v>
      </c>
      <c r="IR49" s="3">
        <f>_xlfn.XLOOKUP(IR$1,generator!$B$2:$B$295,generator!$Q$2:$Q$295,"ARGH")</f>
        <v>8000</v>
      </c>
      <c r="IS49" s="3">
        <f>_xlfn.XLOOKUP(IS$1,generator!$B$2:$B$295,generator!$Q$2:$Q$295,"ARGH")</f>
        <v>8000</v>
      </c>
      <c r="IT49" s="3">
        <f>_xlfn.XLOOKUP(IT$1,generator!$B$2:$B$295,generator!$Q$2:$Q$295,"ARGH")</f>
        <v>8000</v>
      </c>
      <c r="IU49" s="3">
        <f>_xlfn.XLOOKUP(IU$1,generator!$B$2:$B$295,generator!$Q$2:$Q$295,"ARGH")</f>
        <v>8000</v>
      </c>
      <c r="IV49" s="3">
        <f>_xlfn.XLOOKUP(IV$1,generator!$B$2:$B$295,generator!$Q$2:$Q$295,"ARGH")</f>
        <v>8000</v>
      </c>
      <c r="IW49" s="3" t="str">
        <f>_xlfn.XLOOKUP(IW$1,generator!$B$2:$B$295,generator!$Q$2:$Q$295,"ARGH")</f>
        <v>108.19</v>
      </c>
      <c r="IX49" s="3" t="str">
        <f>_xlfn.XLOOKUP(IX$1,generator!$B$2:$B$295,generator!$Q$2:$Q$295,"ARGH")</f>
        <v>108.18</v>
      </c>
      <c r="IY49" s="3" t="str">
        <f>_xlfn.XLOOKUP(IY$1,generator!$B$2:$B$295,generator!$Q$2:$Q$295,"ARGH")</f>
        <v>108.17</v>
      </c>
      <c r="IZ49" s="3" t="str">
        <f>_xlfn.XLOOKUP(IZ$1,generator!$B$2:$B$295,generator!$Q$2:$Q$295,"ARGH")</f>
        <v>40.96</v>
      </c>
      <c r="JA49" s="3">
        <f>_xlfn.XLOOKUP(JA$1,generator!$B$2:$B$295,generator!$Q$2:$Q$295,"ARGH")</f>
        <v>0</v>
      </c>
      <c r="JB49" s="3">
        <f>_xlfn.XLOOKUP(JB$1,generator!$B$2:$B$295,generator!$Q$2:$Q$295,"ARGH")</f>
        <v>0</v>
      </c>
      <c r="JC49" s="3" t="str">
        <f>_xlfn.XLOOKUP(JC$1,generator!$B$2:$B$295,generator!$Q$2:$Q$295,"ARGH")</f>
        <v>75.91</v>
      </c>
      <c r="JD49" s="3" t="str">
        <f>_xlfn.XLOOKUP(JD$1,generator!$B$2:$B$295,generator!$Q$2:$Q$295,"ARGH")</f>
        <v>75.91</v>
      </c>
      <c r="JE49" s="3" t="str">
        <f>_xlfn.XLOOKUP(JE$1,generator!$B$2:$B$295,generator!$Q$2:$Q$295,"ARGH")</f>
        <v>51.59</v>
      </c>
      <c r="JF49" s="3" t="str">
        <f>_xlfn.XLOOKUP(JF$1,generator!$B$2:$B$295,generator!$Q$2:$Q$295,"ARGH")</f>
        <v>111.57</v>
      </c>
      <c r="JG49" s="3">
        <f>_xlfn.XLOOKUP(JG$1,generator!$B$2:$B$295,generator!$Q$2:$Q$295,"ARGH")</f>
        <v>0</v>
      </c>
      <c r="JH49" s="3" t="str">
        <f>_xlfn.XLOOKUP(JH$1,generator!$B$2:$B$295,generator!$Q$2:$Q$295,"ARGH")</f>
        <v>48.65</v>
      </c>
      <c r="JI49" s="3" t="str">
        <f>_xlfn.XLOOKUP(JI$1,generator!$B$2:$B$295,generator!$Q$2:$Q$295,"ARGH")</f>
        <v>71.88</v>
      </c>
      <c r="JJ49" s="3" t="str">
        <f>_xlfn.XLOOKUP(JJ$1,generator!$B$2:$B$295,generator!$Q$2:$Q$295,"ARGH")</f>
        <v>98.17</v>
      </c>
      <c r="JK49" s="3" t="str">
        <f>_xlfn.XLOOKUP(JK$1,generator!$B$2:$B$295,generator!$Q$2:$Q$295,"ARGH")</f>
        <v>98.17</v>
      </c>
      <c r="JL49" s="3" t="str">
        <f>_xlfn.XLOOKUP(JL$1,generator!$B$2:$B$295,generator!$Q$2:$Q$295,"ARGH")</f>
        <v>98.17</v>
      </c>
      <c r="JM49" s="3" t="str">
        <f>_xlfn.XLOOKUP(JM$1,generator!$B$2:$B$295,generator!$Q$2:$Q$295,"ARGH")</f>
        <v>98.17</v>
      </c>
      <c r="JN49" s="3" t="str">
        <f>_xlfn.XLOOKUP(JN$1,generator!$B$2:$B$295,generator!$Q$2:$Q$295,"ARGH")</f>
        <v>98.17</v>
      </c>
      <c r="JO49" s="3" t="str">
        <f>_xlfn.XLOOKUP(JO$1,generator!$B$2:$B$295,generator!$Q$2:$Q$295,"ARGH")</f>
        <v>98.17</v>
      </c>
      <c r="JP49" s="3" t="str">
        <f>_xlfn.XLOOKUP(JP$1,generator!$B$2:$B$295,generator!$Q$2:$Q$295,"ARGH")</f>
        <v>47.53</v>
      </c>
      <c r="JQ49" s="3" t="str">
        <f>_xlfn.XLOOKUP(JQ$1,generator!$B$2:$B$295,generator!$Q$2:$Q$295,"ARGH")</f>
        <v>108.86</v>
      </c>
      <c r="JR49" s="3" t="str">
        <f>_xlfn.XLOOKUP(JR$1,generator!$B$2:$B$295,generator!$Q$2:$Q$295,"ARGH")</f>
        <v>83.15</v>
      </c>
      <c r="JS49" s="3" t="str">
        <f>_xlfn.XLOOKUP(JS$1,generator!$B$2:$B$295,generator!$Q$2:$Q$295,"ARGH")</f>
        <v>83.15</v>
      </c>
      <c r="JT49" s="3" t="str">
        <f>_xlfn.XLOOKUP(JT$1,generator!$B$2:$B$295,generator!$Q$2:$Q$295,"ARGH")</f>
        <v>108.86</v>
      </c>
      <c r="JU49" s="3">
        <f>_xlfn.XLOOKUP(JU$1,generator!$B$2:$B$295,generator!$Q$2:$Q$295,"ARGH")</f>
        <v>0</v>
      </c>
      <c r="JV49" s="3" t="str">
        <f>_xlfn.XLOOKUP(JV$1,generator!$B$2:$B$295,generator!$Q$2:$Q$295,"ARGH")</f>
        <v>77.63</v>
      </c>
      <c r="JW49" s="3" t="str">
        <f>_xlfn.XLOOKUP(JW$1,generator!$B$2:$B$295,generator!$Q$2:$Q$295,"ARGH")</f>
        <v>77.64</v>
      </c>
      <c r="JX49" s="3" t="str">
        <f>_xlfn.XLOOKUP(JX$1,generator!$B$2:$B$295,generator!$Q$2:$Q$295,"ARGH")</f>
        <v>331.49</v>
      </c>
      <c r="JY49" s="3">
        <f>_xlfn.XLOOKUP(JY$1,generator!$B$2:$B$295,generator!$Q$2:$Q$295,"ARGH")</f>
        <v>7000</v>
      </c>
      <c r="JZ49" s="3">
        <f>_xlfn.XLOOKUP(JZ$1,generator!$B$2:$B$295,generator!$Q$2:$Q$295,"ARGH")</f>
        <v>0</v>
      </c>
      <c r="KA49" s="3">
        <f>_xlfn.XLOOKUP(KA$1,generator!$B$2:$B$295,generator!$Q$2:$Q$295,"ARGH")</f>
        <v>0</v>
      </c>
      <c r="KB49" s="3">
        <f>_xlfn.XLOOKUP(KB$1,generator!$B$2:$B$295,generator!$Q$2:$Q$295,"ARGH")</f>
        <v>0</v>
      </c>
      <c r="KC49" s="3">
        <f>_xlfn.XLOOKUP(KC$1,generator!$B$2:$B$295,generator!$Q$2:$Q$295,"ARGH")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zoomScale="110" zoomScaleNormal="110" workbookViewId="0">
      <selection activeCell="K28" sqref="K28:K29"/>
    </sheetView>
  </sheetViews>
  <sheetFormatPr defaultColWidth="8.77734375" defaultRowHeight="14.4" x14ac:dyDescent="0.3"/>
  <cols>
    <col min="1" max="1025" width="8.44140625" customWidth="1"/>
  </cols>
  <sheetData>
    <row r="1" spans="1:1" x14ac:dyDescent="0.3">
      <c r="A1" s="1" t="s">
        <v>22</v>
      </c>
    </row>
    <row r="2" spans="1:1" x14ac:dyDescent="0.3">
      <c r="A2" s="6">
        <v>100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10aed6-0335-46d2-b190-87c476b048cc" xsi:nil="true"/>
    <lcf76f155ced4ddcb4097134ff3c332f xmlns="6dce361f-7b53-4909-8b0d-30e42626cdc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cd288e11850d22ee40981664a927e65e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b8a8939e80faa41470004db56e4a3333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8DCC68-DE29-405F-AF91-B4AEFE460474}">
  <ds:schemaRefs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23f97e4a-4cde-4203-a712-a632ca730d07"/>
    <ds:schemaRef ds:uri="b352a690-13b6-446a-ad80-20b9a9231a5f"/>
    <ds:schemaRef ds:uri="http://schemas.microsoft.com/office/2006/metadata/properties"/>
    <ds:schemaRef ds:uri="http://www.w3.org/XML/1998/namespace"/>
    <ds:schemaRef ds:uri="3610aed6-0335-46d2-b190-87c476b048cc"/>
    <ds:schemaRef ds:uri="6dce361f-7b53-4909-8b0d-30e42626cdc9"/>
  </ds:schemaRefs>
</ds:datastoreItem>
</file>

<file path=customXml/itemProps2.xml><?xml version="1.0" encoding="utf-8"?>
<ds:datastoreItem xmlns:ds="http://schemas.openxmlformats.org/officeDocument/2006/customXml" ds:itemID="{19063C31-411A-4FED-97ED-8082117E98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DFE53B3-CBA2-4721-BCB6-3D852AD2B7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demand</vt:lpstr>
      <vt:lpstr>ts_PD</vt:lpstr>
      <vt:lpstr>ts_VOLL</vt:lpstr>
      <vt:lpstr>branch</vt:lpstr>
      <vt:lpstr>ts_Lmax</vt:lpstr>
      <vt:lpstr>transformer</vt:lpstr>
      <vt:lpstr>ts_TLmax</vt:lpstr>
      <vt:lpstr>generator</vt:lpstr>
      <vt:lpstr>ts_PGLB</vt:lpstr>
      <vt:lpstr>ts_PGUB</vt:lpstr>
      <vt:lpstr>ts_bid</vt:lpstr>
      <vt:lpstr>baseMVA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Richard Nayer</cp:lastModifiedBy>
  <cp:revision>39</cp:revision>
  <dcterms:created xsi:type="dcterms:W3CDTF">2018-04-06T13:47:03Z</dcterms:created>
  <dcterms:modified xsi:type="dcterms:W3CDTF">2025-10-03T13:08:55Z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